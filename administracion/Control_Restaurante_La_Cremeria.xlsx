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CONFIG" sheetId="2" state="visible" r:id="rId4"/>
    <sheet name="DASHBOARD" sheetId="3" state="visible" r:id="rId5"/>
    <sheet name="INSUMOS" sheetId="4" state="visible" r:id="rId6"/>
    <sheet name="COMPRAS" sheetId="5" state="visible" r:id="rId7"/>
    <sheet name="RECETAS" sheetId="6" state="visible" r:id="rId8"/>
    <sheet name="FICHA_TECNICA" sheetId="7" state="visible" r:id="rId9"/>
    <sheet name="PRODUCTOS" sheetId="8" state="visible" r:id="rId10"/>
    <sheet name="VENTAS" sheetId="9" state="visible" r:id="rId11"/>
    <sheet name="MERMAS" sheetId="10" state="visible" r:id="rId12"/>
    <sheet name="PLANILLA" sheetId="11" state="visible" r:id="rId13"/>
    <sheet name="GASTOS" sheetId="12" state="visible" r:id="rId14"/>
    <sheet name="CAJA_DIARIA" sheetId="13" state="visible" r:id="rId15"/>
    <sheet name="ESTADO_RESULTADOS" sheetId="14" state="visible" r:id="rId16"/>
    <sheet name="PUNTO_EQUILIBRIO" sheetId="15" state="visible" r:id="rId17"/>
    <sheet name="FLUJO_CAJA" sheetId="16" state="visible" r:id="rId18"/>
  </sheets>
  <definedNames>
    <definedName function="false" hidden="true" localSheetId="12" name="_xlnm._FilterDatabase" vbProcedure="false">CAJA_DIARIA!$A$5:$O$405</definedName>
    <definedName function="false" hidden="true" localSheetId="4" name="_xlnm._FilterDatabase" vbProcedure="false">COMPRAS!$A$5:$R$1005</definedName>
    <definedName function="false" hidden="true" localSheetId="11" name="_xlnm._FilterDatabase" vbProcedure="false">GASTOS!$A$5:$K$1005</definedName>
    <definedName function="false" hidden="true" localSheetId="3" name="_xlnm._FilterDatabase" vbProcedure="false">INSUMOS!$A$5:$AA$205</definedName>
    <definedName function="false" hidden="true" localSheetId="9" name="_xlnm._FilterDatabase" vbProcedure="false">MERMAS!$A$5:$L$505</definedName>
    <definedName function="false" hidden="true" localSheetId="10" name="_xlnm._FilterDatabase" vbProcedure="false">PLANILLA!$A$5:$S$505</definedName>
    <definedName function="false" hidden="true" localSheetId="7" name="_xlnm._FilterDatabase" vbProcedure="false">PRODUCTOS!$A$5:$S$105</definedName>
    <definedName function="false" hidden="true" localSheetId="5" name="_xlnm._FilterDatabase" vbProcedure="false">RECETAS!$A$5:$N$605</definedName>
    <definedName function="false" hidden="true" localSheetId="8" name="_xlnm._FilterDatabase" vbProcedure="false">VENTAS!$A$5:$O$2005</definedName>
    <definedName function="false" hidden="false" name="ANIO" vbProcedure="false">CONFIG!$C$7</definedName>
    <definedName function="false" hidden="false" name="CCSS_OBRERO" vbProcedure="false">CONFIG!$C$12</definedName>
    <definedName function="false" hidden="false" name="CCSS_PATRONAL" vbProcedure="false">CONFIG!$C$11</definedName>
    <definedName function="false" hidden="false" name="CRECIMIENTO" vbProcedure="false">CONFIG!$C$26</definedName>
    <definedName function="false" hidden="false" name="DIAS_OPERACION" vbProcedure="false">CONFIG!$C$23</definedName>
    <definedName function="false" hidden="false" name="EFECTIVO_INICIAL" vbProcedure="false">CONFIG!$C$24</definedName>
    <definedName function="false" hidden="false" name="FOODCOST_MAX" vbProcedure="false">CONFIG!$C$22</definedName>
    <definedName function="false" hidden="false" name="HORAS_MES" vbProcedure="false">CONFIG!$C$18</definedName>
    <definedName function="false" hidden="false" name="IMPREVISTOS" vbProcedure="false">CONFIG!$C$19</definedName>
    <definedName function="false" hidden="false" name="INICIO_FLUJO" vbProcedure="false">CONFIG!$C$25</definedName>
    <definedName function="false" hidden="false" name="INS_RT" vbProcedure="false">CONFIG!$C$13</definedName>
    <definedName function="false" hidden="false" name="IVA_COMPRAS_PROM" vbProcedure="false">CONFIG!$C$10</definedName>
    <definedName function="false" hidden="false" name="IVA_VENTAS" vbProcedure="false">CONFIG!$C$9</definedName>
    <definedName function="false" hidden="false" name="MARGEN_OBJ" vbProcedure="false">CONFIG!$C$21</definedName>
    <definedName function="false" hidden="false" name="MESES_RESERVA" vbProcedure="false">CONFIG!$C$27</definedName>
    <definedName function="false" hidden="false" name="MES_REPORTE" vbProcedure="false">CONFIG!$C$8</definedName>
    <definedName function="false" hidden="false" name="NEGOCIO" vbProcedure="false">CONFIG!$C$6</definedName>
    <definedName function="false" hidden="false" name="PROV_AGUINALDO" vbProcedure="false">CONFIG!$C$14</definedName>
    <definedName function="false" hidden="false" name="PROV_CESANTIA" vbProcedure="false">CONFIG!$C$16</definedName>
    <definedName function="false" hidden="false" name="PROV_VACACIONES" vbProcedure="false">CONFIG!$C$15</definedName>
    <definedName function="false" hidden="false" name="RECARGO_HE" vbProcedure="false">CONFIG!$C$17</definedName>
    <definedName function="false" hidden="false" name="RENTA" vbProcedure="false">CONFIG!$C$20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g, ml o u. Todo el libro usa esta unidad para este insumo.</t>
        </r>
      </text>
    </comment>
    <comment ref="F5" authorId="0">
      <text>
        <r>
          <rPr>
            <sz val="10"/>
            <rFont val="Arial"/>
            <family val="2"/>
          </rPr>
          <t xml:space="preserve">Ej.: caja de 1 kg = 1000 g; paquete de 50 vasos = 50 u.</t>
        </r>
      </text>
    </comment>
    <comment ref="H5" authorId="0">
      <text>
        <r>
          <rPr>
            <sz val="10"/>
            <rFont val="Arial"/>
            <family val="2"/>
          </rPr>
          <t xml:space="preserve">Canasta básica 1%, general 13%.</t>
        </r>
      </text>
    </comment>
    <comment ref="I5" authorId="0">
      <text>
        <r>
          <rPr>
            <sz val="10"/>
            <rFont val="Arial"/>
            <family val="2"/>
          </rPr>
          <t xml:space="preserve">Parte realmente utilizable. Fresas ~85%, mango ~65%. 100% si no hay desperdicio.</t>
        </r>
      </text>
    </comment>
    <comment ref="L5" authorId="0">
      <text>
        <r>
          <rPr>
            <sz val="10"/>
            <rFont val="Arial"/>
            <family val="2"/>
          </rPr>
          <t xml:space="preserve">Inventario contado el día que empieza a usar el libro.</t>
        </r>
      </text>
    </comment>
    <comment ref="V5" authorId="0">
      <text>
        <r>
          <rPr>
            <sz val="10"/>
            <rFont val="Arial"/>
            <family val="2"/>
          </rPr>
          <t xml:space="preserve">Escriba lo que contó en bodega. Déjelo vacío si no contó.</t>
        </r>
      </text>
    </comment>
    <comment ref="Z5" authorId="0">
      <text>
        <r>
          <rPr>
            <sz val="10"/>
            <rFont val="Arial"/>
            <family val="2"/>
          </rPr>
          <t xml:space="preserve">Lleva el stock al doble del mínimo.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5" authorId="0">
      <text>
        <r>
          <rPr>
            <sz val="10"/>
            <rFont val="Arial"/>
            <family val="2"/>
          </rPr>
          <t xml:space="preserve">Cantidad neta ÷ % aprovechamiento ÷ porciones × unidades vendidas.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1 si la receta es por porción. Ej.: lote de brownie rinde 20 porciones.</t>
        </r>
      </text>
    </comment>
    <comment ref="P5" authorId="0">
      <text>
        <r>
          <rPr>
            <sz val="10"/>
            <rFont val="Arial"/>
            <family val="2"/>
          </rPr>
          <t xml:space="preserve">Para PUNTO_EQUILIBRIO (objetivo de ventas).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8" authorId="0">
      <text>
        <r>
          <rPr>
            <sz val="10"/>
            <rFont val="Arial"/>
            <family val="2"/>
          </rPr>
          <t xml:space="preserve">Último mes registrado en PLANILLA. Puede sobrescribir.</t>
        </r>
      </text>
    </comment>
    <comment ref="C49" authorId="0">
      <text>
        <r>
          <rPr>
            <sz val="10"/>
            <rFont val="Arial"/>
            <family val="2"/>
          </rPr>
          <t xml:space="preserve">Ej.: equipo de ₡2,500,000 / 60 meses.</t>
        </r>
      </text>
    </comment>
  </commentList>
</comments>
</file>

<file path=xl/sharedStrings.xml><?xml version="1.0" encoding="utf-8"?>
<sst xmlns="http://schemas.openxmlformats.org/spreadsheetml/2006/main" count="996" uniqueCount="610">
  <si>
    <t xml:space="preserve">CONTROL ADMINISTRATIVO – RESTAURANTE / HELADERÍA</t>
  </si>
  <si>
    <t xml:space="preserve">Inventario, costos, recetas, planilla, gastos, caja y reportes en un solo libro.</t>
  </si>
  <si>
    <t xml:space="preserve">Negocio:</t>
  </si>
  <si>
    <t xml:space="preserve">CÓMO LEER LOS COLORES</t>
  </si>
  <si>
    <t xml:space="preserve">Azul claro, letra azul</t>
  </si>
  <si>
    <t xml:space="preserve">Celda para LLENAR por usted (datos de entrada).</t>
  </si>
  <si>
    <t xml:space="preserve">Gris</t>
  </si>
  <si>
    <t xml:space="preserve">Se calcula sola. No la escriba (tiene fórmula).</t>
  </si>
  <si>
    <t xml:space="preserve">Letra verde</t>
  </si>
  <si>
    <t xml:space="preserve">Viene de otra hoja (enlace).</t>
  </si>
  <si>
    <t xml:space="preserve">Amarillo</t>
  </si>
  <si>
    <t xml:space="preserve">Resultado o supuesto clave.</t>
  </si>
  <si>
    <t xml:space="preserve">ORDEN DE USO</t>
  </si>
  <si>
    <t xml:space="preserve">CONFIG</t>
  </si>
  <si>
    <t xml:space="preserve">1 sola vez: nombre, año, % IVA, cargas sociales CCSS/INS, márgenes objetivo y listas desplegables.</t>
  </si>
  <si>
    <t xml:space="preserve">INSUMOS</t>
  </si>
  <si>
    <t xml:space="preserve">Catálogo de materias primas y empaques: presentación de compra, precio, % aprovechamiento, stock mínimo e inicial. Aquí ve el INVENTARIO ACTUAL, su valor y qué reordenar.</t>
  </si>
  <si>
    <t xml:space="preserve">COMPRAS</t>
  </si>
  <si>
    <t xml:space="preserve">Registre cada factura de proveedor. Suma al inventario y actualiza el último costo del insumo. Controle pendientes de pago.</t>
  </si>
  <si>
    <t xml:space="preserve">RECETAS</t>
  </si>
  <si>
    <t xml:space="preserve">Una línea por ingrediente de cada producto (cantidad neta por porción o por lote). Calcula el costo de cada receta.</t>
  </si>
  <si>
    <t xml:space="preserve">FICHA_TECNICA</t>
  </si>
  <si>
    <t xml:space="preserve">Elija un producto y vea su ficha técnica: ingredientes, costo, margen, precio sugerido y preparación.</t>
  </si>
  <si>
    <t xml:space="preserve">PRODUCTOS</t>
  </si>
  <si>
    <t xml:space="preserve">Menú con precio de venta (con IVA). Calcula costo variable, contribución, food cost y precio sugerido.</t>
  </si>
  <si>
    <t xml:space="preserve">VENTAS</t>
  </si>
  <si>
    <t xml:space="preserve">Registre ventas (por ticket o total diario por producto). Descuenta el inventario según las recetas.</t>
  </si>
  <si>
    <t xml:space="preserve">MERMAS</t>
  </si>
  <si>
    <t xml:space="preserve">Mermas, vencidos, cortesías y ajustes de conteo físico. Afectan inventario y resultados.</t>
  </si>
  <si>
    <t xml:space="preserve">PLANILLA</t>
  </si>
  <si>
    <t xml:space="preserve">Planilla mensual: salario, horas extra, CCSS obrera/patronal, INS, aguinaldo, vacaciones, cesantía.</t>
  </si>
  <si>
    <t xml:space="preserve">GASTOS</t>
  </si>
  <si>
    <t xml:space="preserve">Gastos operativos (alquiler, luz, agua, internet, publicidad, contador, etc.).</t>
  </si>
  <si>
    <t xml:space="preserve">CAJA_DIARIA</t>
  </si>
  <si>
    <t xml:space="preserve">Cierre de caja: fondo, ventas por medio de pago, efectivo esperado vs contado, faltantes/sobrantes.</t>
  </si>
  <si>
    <t xml:space="preserve">ESTADO_RESULTADOS</t>
  </si>
  <si>
    <t xml:space="preserve">Automático: ventas, costo de ventas, utilidad, planilla, gastos, indicadores e IVA por mes.</t>
  </si>
  <si>
    <t xml:space="preserve">PUNTO_EQUILIBRIO</t>
  </si>
  <si>
    <t xml:space="preserve">Presupuesto mensual por producto, punto de equilibrio y calculadoras de precio (recargo vs margen).</t>
  </si>
  <si>
    <t xml:space="preserve">FLUJO_CAJA</t>
  </si>
  <si>
    <t xml:space="preserve">Proyección de 12 meses: entradas, pagos previstos, aguinaldo, reserva mínima y alertas de faltante.</t>
  </si>
  <si>
    <t xml:space="preserve">DASHBOARD</t>
  </si>
  <si>
    <t xml:space="preserve">Resumen del mes elegido: KPIs, productos más rentables, insumos por reordenar y gráfico anual.</t>
  </si>
  <si>
    <t xml:space="preserve">REGLAS DE ORO</t>
  </si>
  <si>
    <t xml:space="preserve">•</t>
  </si>
  <si>
    <t xml:space="preserve">Precios de venta con IVA en PRODUCTOS; los análisis usan el precio NETO (sin IVA), como en la capacitación.</t>
  </si>
  <si>
    <t xml:space="preserve">Las recetas usan cantidades NETAS aprovechables (g, ml o unidades). El % de aprovechamiento convierte a cantidad bruta comprada.</t>
  </si>
  <si>
    <t xml:space="preserve">La planilla fija va una sola vez (en PLANILLA), nunca dentro del costo de las recetas.</t>
  </si>
  <si>
    <t xml:space="preserve">Use el mismo período en todo y no duplique costos (p. ej., no meta en GASTOS lo que ya está en COMPRAS de insumos).</t>
  </si>
  <si>
    <t xml:space="preserve">Haga un conteo físico al menos semanal en INSUMOS (columna 'Conteo físico') para detectar faltantes.</t>
  </si>
  <si>
    <t xml:space="preserve">Los datos que trae el libro son EJEMPLOS ilustrativos: bórrelos o reemplácelos por los suyos. Verifique tasas CCSS/INS/renta vigentes con su contador.</t>
  </si>
  <si>
    <t xml:space="preserve">CONFIGURACIÓN Y PARÁMETROS</t>
  </si>
  <si>
    <t xml:space="preserve">Llene las celdas azules. Las demás hojas usan estos valores por su nombre (p. ej. IVA_VENTAS).</t>
  </si>
  <si>
    <t xml:space="preserve">LISTAS DESPLEGABLES (puede agregar opciones en las celdas azules vacías)</t>
  </si>
  <si>
    <t xml:space="preserve">Parámetro</t>
  </si>
  <si>
    <t xml:space="preserve">Valor</t>
  </si>
  <si>
    <t xml:space="preserve">Nota / fuente</t>
  </si>
  <si>
    <t xml:space="preserve">Categorías de insumo</t>
  </si>
  <si>
    <t xml:space="preserve">Unidades base</t>
  </si>
  <si>
    <t xml:space="preserve">Categorías de gasto</t>
  </si>
  <si>
    <t xml:space="preserve">Medios de pago</t>
  </si>
  <si>
    <t xml:space="preserve">Movimientos de inventario</t>
  </si>
  <si>
    <t xml:space="preserve">Canales de venta</t>
  </si>
  <si>
    <t xml:space="preserve">Forma de pago compras</t>
  </si>
  <si>
    <t xml:space="preserve">Estado de pago</t>
  </si>
  <si>
    <t xml:space="preserve">Tipo de gasto</t>
  </si>
  <si>
    <t xml:space="preserve">Categorías de producto</t>
  </si>
  <si>
    <t xml:space="preserve">Nombre del negocio</t>
  </si>
  <si>
    <t xml:space="preserve">La Cremería</t>
  </si>
  <si>
    <t xml:space="preserve">Aparece en reportes.</t>
  </si>
  <si>
    <t xml:space="preserve">Fruta</t>
  </si>
  <si>
    <t xml:space="preserve">g</t>
  </si>
  <si>
    <t xml:space="preserve">Alquiler</t>
  </si>
  <si>
    <t xml:space="preserve">Efectivo</t>
  </si>
  <si>
    <t xml:space="preserve">Merma</t>
  </si>
  <si>
    <t xml:space="preserve">Local</t>
  </si>
  <si>
    <t xml:space="preserve">Contado</t>
  </si>
  <si>
    <t xml:space="preserve">Pagado</t>
  </si>
  <si>
    <t xml:space="preserve">Fijo</t>
  </si>
  <si>
    <t xml:space="preserve">Fresas con crema</t>
  </si>
  <si>
    <t xml:space="preserve">Año del estado de resultados</t>
  </si>
  <si>
    <t xml:space="preserve">Columnas ene–dic de ESTADO_RESULTADOS.</t>
  </si>
  <si>
    <t xml:space="preserve">Lácteos</t>
  </si>
  <si>
    <t xml:space="preserve">ml</t>
  </si>
  <si>
    <t xml:space="preserve">Electricidad</t>
  </si>
  <si>
    <t xml:space="preserve">SINPE Móvil</t>
  </si>
  <si>
    <t xml:space="preserve">Vencimiento</t>
  </si>
  <si>
    <t xml:space="preserve">Para llevar</t>
  </si>
  <si>
    <t xml:space="preserve">Crédito</t>
  </si>
  <si>
    <t xml:space="preserve">Pendiente</t>
  </si>
  <si>
    <t xml:space="preserve">Variable</t>
  </si>
  <si>
    <t xml:space="preserve">Especiales</t>
  </si>
  <si>
    <t xml:space="preserve">Mes a analizar en el DASHBOARD</t>
  </si>
  <si>
    <t xml:space="preserve">Escriba el día 1 del mes.</t>
  </si>
  <si>
    <t xml:space="preserve">Abarrotes</t>
  </si>
  <si>
    <t xml:space="preserve">u</t>
  </si>
  <si>
    <t xml:space="preserve">Agua</t>
  </si>
  <si>
    <t xml:space="preserve">Tarjeta</t>
  </si>
  <si>
    <t xml:space="preserve">Daño</t>
  </si>
  <si>
    <t xml:space="preserve">WhatsApp</t>
  </si>
  <si>
    <t xml:space="preserve">Extras</t>
  </si>
  <si>
    <t xml:space="preserve">IVA en ventas</t>
  </si>
  <si>
    <t xml:space="preserve">Tarifa general CR 13%. Se usa como valor por defecto en PRODUCTOS.</t>
  </si>
  <si>
    <t xml:space="preserve">Toppings</t>
  </si>
  <si>
    <t xml:space="preserve">Internet y teléfono</t>
  </si>
  <si>
    <t xml:space="preserve">Plataforma</t>
  </si>
  <si>
    <t xml:space="preserve">Consumo interno</t>
  </si>
  <si>
    <t xml:space="preserve">Delivery</t>
  </si>
  <si>
    <t xml:space="preserve">Postres</t>
  </si>
  <si>
    <t xml:space="preserve">IVA promedio en compras de insumos</t>
  </si>
  <si>
    <t xml:space="preserve">Supuesto para el flujo de caja (mezcla canasta básica 1% y 13%).</t>
  </si>
  <si>
    <t xml:space="preserve">Jarabes y salsas</t>
  </si>
  <si>
    <t xml:space="preserve">Gas</t>
  </si>
  <si>
    <t xml:space="preserve">Transferencia</t>
  </si>
  <si>
    <t xml:space="preserve">Cortesía</t>
  </si>
  <si>
    <t xml:space="preserve">Bebidas</t>
  </si>
  <si>
    <t xml:space="preserve">CCSS cuota patronal</t>
  </si>
  <si>
    <t xml:space="preserve">Valor usado en la capacitación (26.50%). Verifique la tasa vigente.</t>
  </si>
  <si>
    <t xml:space="preserve">Empaque</t>
  </si>
  <si>
    <t xml:space="preserve">Publicidad y redes</t>
  </si>
  <si>
    <t xml:space="preserve">Ajuste (-) faltante</t>
  </si>
  <si>
    <t xml:space="preserve">CCSS cuota obrera (rebajo al trabajador)</t>
  </si>
  <si>
    <t xml:space="preserve">Supuesto. Verifique la tasa vigente.</t>
  </si>
  <si>
    <t xml:space="preserve">Limpieza</t>
  </si>
  <si>
    <t xml:space="preserve">Servicios profesionales</t>
  </si>
  <si>
    <t xml:space="preserve">Ajuste (+) sobrante</t>
  </si>
  <si>
    <t xml:space="preserve">Póliza riesgos del trabajo (INS)</t>
  </si>
  <si>
    <t xml:space="preserve">Valor de la capacitación (1.85%). Depende de su póliza.</t>
  </si>
  <si>
    <t xml:space="preserve">Otros</t>
  </si>
  <si>
    <t xml:space="preserve">Mantenimiento y reparaciones</t>
  </si>
  <si>
    <t xml:space="preserve">Provisión aguinaldo</t>
  </si>
  <si>
    <t xml:space="preserve">1/12 del salario.</t>
  </si>
  <si>
    <t xml:space="preserve">Provisión vacaciones</t>
  </si>
  <si>
    <t xml:space="preserve">Valor de la capacitación (4.16%).</t>
  </si>
  <si>
    <t xml:space="preserve">Patentes, permisos y seguros</t>
  </si>
  <si>
    <t xml:space="preserve">Provisión cesantía / despidos</t>
  </si>
  <si>
    <t xml:space="preserve">Valor de la capacitación (5.33%).</t>
  </si>
  <si>
    <t xml:space="preserve">Comisiones tarjetas/plataformas</t>
  </si>
  <si>
    <t xml:space="preserve">Recargo hora extra (x salario/hora)</t>
  </si>
  <si>
    <t xml:space="preserve">Tiempo y medio.</t>
  </si>
  <si>
    <t xml:space="preserve">Transporte y combustible</t>
  </si>
  <si>
    <t xml:space="preserve">Horas base por mes (salario/hora)</t>
  </si>
  <si>
    <t xml:space="preserve">30 días x 8 horas.</t>
  </si>
  <si>
    <t xml:space="preserve">Otros gastos</t>
  </si>
  <si>
    <t xml:space="preserve">Imprevistos en flujo de caja</t>
  </si>
  <si>
    <t xml:space="preserve">Valor de la capacitación (5%).</t>
  </si>
  <si>
    <t xml:space="preserve">Impuesto sobre la renta estimado</t>
  </si>
  <si>
    <t xml:space="preserve">Supuesto de la capacitación. Persona jurídica PYME / física tiene tramos: confirme con su contador.</t>
  </si>
  <si>
    <t xml:space="preserve">Margen de contribución objetivo</t>
  </si>
  <si>
    <t xml:space="preserve">Para precio sugerido = costo ÷ (1 − margen).</t>
  </si>
  <si>
    <t xml:space="preserve">Food cost máximo aceptable</t>
  </si>
  <si>
    <t xml:space="preserve">Si un producto lo supera se marca 'REVISAR PRECIO'.</t>
  </si>
  <si>
    <t xml:space="preserve">Días de operación por mes</t>
  </si>
  <si>
    <t xml:space="preserve">Para venta diaria necesaria.</t>
  </si>
  <si>
    <t xml:space="preserve">Efectivo inicial en banco (flujo)</t>
  </si>
  <si>
    <t xml:space="preserve">Saldo al inicio del flujo de caja.</t>
  </si>
  <si>
    <t xml:space="preserve">Mes de inicio del flujo de caja</t>
  </si>
  <si>
    <t xml:space="preserve">Día 1 del primer mes proyectado.</t>
  </si>
  <si>
    <t xml:space="preserve">Crecimiento mensual de ventas (flujo)</t>
  </si>
  <si>
    <t xml:space="preserve">Supuesto de proyección.</t>
  </si>
  <si>
    <t xml:space="preserve">Meses de gastos fijos como reserva mínima</t>
  </si>
  <si>
    <t xml:space="preserve">Si el saldo baja de esto, el flujo alerta.</t>
  </si>
  <si>
    <t xml:space="preserve">DASHBOARD DEL MES</t>
  </si>
  <si>
    <t xml:space="preserve">Cambie el mes en CONFIG → 'Mes a analizar en el DASHBOARD'.</t>
  </si>
  <si>
    <t xml:space="preserve">Meta food cost ≤</t>
  </si>
  <si>
    <t xml:space="preserve">Resultados</t>
  </si>
  <si>
    <t xml:space="preserve">Indicadores</t>
  </si>
  <si>
    <t xml:space="preserve">Control</t>
  </si>
  <si>
    <t xml:space="preserve">Ventas netas</t>
  </si>
  <si>
    <t xml:space="preserve">Food cost %</t>
  </si>
  <si>
    <t xml:space="preserve">Valor del inventario hoy</t>
  </si>
  <si>
    <t xml:space="preserve">Costo de ventas</t>
  </si>
  <si>
    <t xml:space="preserve">Labor cost %</t>
  </si>
  <si>
    <t xml:space="preserve">Insumos por reordenar / agotados</t>
  </si>
  <si>
    <t xml:space="preserve">Utilidad bruta</t>
  </si>
  <si>
    <t xml:space="preserve">Prime cost %</t>
  </si>
  <si>
    <t xml:space="preserve">Diferencias de conteo físico (₡)</t>
  </si>
  <si>
    <t xml:space="preserve">Gastos de operación (incl. planilla)</t>
  </si>
  <si>
    <t xml:space="preserve">Margen operativo %</t>
  </si>
  <si>
    <t xml:space="preserve">Compras pendientes de pago</t>
  </si>
  <si>
    <t xml:space="preserve">UTILIDAD OPERATIVA</t>
  </si>
  <si>
    <t xml:space="preserve">IVA neto por pagar (estimado)</t>
  </si>
  <si>
    <t xml:space="preserve">Productos con precio a revisar</t>
  </si>
  <si>
    <t xml:space="preserve">Productos en el mes</t>
  </si>
  <si>
    <t xml:space="preserve">Producto</t>
  </si>
  <si>
    <t xml:space="preserve">Unidades</t>
  </si>
  <si>
    <t xml:space="preserve">Venta neta</t>
  </si>
  <si>
    <t xml:space="preserve">Contribución</t>
  </si>
  <si>
    <t xml:space="preserve">% de la contribución total</t>
  </si>
  <si>
    <t xml:space="preserve">Margen %</t>
  </si>
  <si>
    <t xml:space="preserve">Insumos por reordenar (desde INSUMOS)</t>
  </si>
  <si>
    <t xml:space="preserve">Insumo</t>
  </si>
  <si>
    <t xml:space="preserve">Stock actual</t>
  </si>
  <si>
    <t xml:space="preserve">Proveedor</t>
  </si>
  <si>
    <t xml:space="preserve">Sugerido comprar (presentaciones)</t>
  </si>
  <si>
    <t xml:space="preserve">Estado</t>
  </si>
  <si>
    <t xml:space="preserve">INSUMOS E INVENTARIO</t>
  </si>
  <si>
    <t xml:space="preserve">Catálogo de materias primas y empaques. Todas las cantidades en UNIDAD BASE (g, ml o u). Stock actual = inicial + compras − consumo por ventas (recetas) ± mermas/ajustes.</t>
  </si>
  <si>
    <t xml:space="preserve">Costo vigente = último costo de COMPRAS (si existe) o el precio de catálogo. Costo real = costo ÷ % aprovechamiento (cáscara, hojas, residuos).</t>
  </si>
  <si>
    <t xml:space="preserve">Valor total inventario:</t>
  </si>
  <si>
    <t xml:space="preserve">Faltantes ₡:</t>
  </si>
  <si>
    <t xml:space="preserve">Código</t>
  </si>
  <si>
    <t xml:space="preserve">Categoría</t>
  </si>
  <si>
    <t xml:space="preserve">Unidad base</t>
  </si>
  <si>
    <t xml:space="preserve">Presentación de compra</t>
  </si>
  <si>
    <t xml:space="preserve">Contenido por presentación (unid. base)</t>
  </si>
  <si>
    <t xml:space="preserve">Precio presentación sin IVA (catálogo)</t>
  </si>
  <si>
    <t xml:space="preserve">% IVA en compra</t>
  </si>
  <si>
    <t xml:space="preserve">% aprovecha-miento</t>
  </si>
  <si>
    <t xml:space="preserve">Proveedor principal</t>
  </si>
  <si>
    <t xml:space="preserve">Stock mínimo (unid. base)</t>
  </si>
  <si>
    <t xml:space="preserve">Stock inicial (unid. base)</t>
  </si>
  <si>
    <t xml:space="preserve">Costo catálogo por unid. base</t>
  </si>
  <si>
    <t xml:space="preserve">Último costo de compra por unid. base</t>
  </si>
  <si>
    <t xml:space="preserve">Costo vigente por unid. base</t>
  </si>
  <si>
    <t xml:space="preserve">Costo REAL por unid. base (con aprovech.)</t>
  </si>
  <si>
    <t xml:space="preserve">Entradas (compras)</t>
  </si>
  <si>
    <t xml:space="preserve">Consumo por ventas (recetas)</t>
  </si>
  <si>
    <t xml:space="preserve">Mermas y ajustes (±)</t>
  </si>
  <si>
    <t xml:space="preserve">STOCK TEÓRICO ACTUAL</t>
  </si>
  <si>
    <t xml:space="preserve">Valor del inventario</t>
  </si>
  <si>
    <t xml:space="preserve">Conteo físico (unid. base)</t>
  </si>
  <si>
    <t xml:space="preserve">Diferencia (físico − teórico)</t>
  </si>
  <si>
    <t xml:space="preserve">Valor de la diferencia</t>
  </si>
  <si>
    <t xml:space="preserve">Sugerido a comprar (presentaciones)</t>
  </si>
  <si>
    <t xml:space="preserve">aux alerta</t>
  </si>
  <si>
    <t xml:space="preserve">I001</t>
  </si>
  <si>
    <t xml:space="preserve">Fresas frescas</t>
  </si>
  <si>
    <t xml:space="preserve">Caja 5 kg</t>
  </si>
  <si>
    <t xml:space="preserve">Productor / feria</t>
  </si>
  <si>
    <t xml:space="preserve">I002</t>
  </si>
  <si>
    <t xml:space="preserve">Mango maduro</t>
  </si>
  <si>
    <t xml:space="preserve">Kilo</t>
  </si>
  <si>
    <t xml:space="preserve">I003</t>
  </si>
  <si>
    <t xml:space="preserve">Pulpa de maracuyá</t>
  </si>
  <si>
    <t xml:space="preserve">Bolsa 1 kg</t>
  </si>
  <si>
    <t xml:space="preserve">Distribuidora</t>
  </si>
  <si>
    <t xml:space="preserve">I004</t>
  </si>
  <si>
    <t xml:space="preserve">Crema dulce</t>
  </si>
  <si>
    <t xml:space="preserve">Caja 1 L</t>
  </si>
  <si>
    <t xml:space="preserve">Distribuidora lácteos</t>
  </si>
  <si>
    <t xml:space="preserve">I005</t>
  </si>
  <si>
    <t xml:space="preserve">Leche condensada</t>
  </si>
  <si>
    <t xml:space="preserve">Lata 397 g</t>
  </si>
  <si>
    <t xml:space="preserve">Mayorista</t>
  </si>
  <si>
    <t xml:space="preserve">I006</t>
  </si>
  <si>
    <t xml:space="preserve">Esencia de vainilla</t>
  </si>
  <si>
    <t xml:space="preserve">Frasco 250 ml</t>
  </si>
  <si>
    <t xml:space="preserve">I007</t>
  </si>
  <si>
    <t xml:space="preserve">Azúcar</t>
  </si>
  <si>
    <t xml:space="preserve">Bolsa 2 kg</t>
  </si>
  <si>
    <t xml:space="preserve">I008</t>
  </si>
  <si>
    <t xml:space="preserve">Galleta Oreo triturada</t>
  </si>
  <si>
    <t xml:space="preserve">Paquete 432 g</t>
  </si>
  <si>
    <t xml:space="preserve">I009</t>
  </si>
  <si>
    <t xml:space="preserve">Brownie (topping)</t>
  </si>
  <si>
    <t xml:space="preserve">Bandeja 1 kg</t>
  </si>
  <si>
    <t xml:space="preserve">Panadería</t>
  </si>
  <si>
    <t xml:space="preserve">I010</t>
  </si>
  <si>
    <t xml:space="preserve">Marshmallows</t>
  </si>
  <si>
    <t xml:space="preserve">Bolsa 500 g</t>
  </si>
  <si>
    <t xml:space="preserve">I011</t>
  </si>
  <si>
    <t xml:space="preserve">Gomitas</t>
  </si>
  <si>
    <t xml:space="preserve">I012</t>
  </si>
  <si>
    <t xml:space="preserve">Granola</t>
  </si>
  <si>
    <t xml:space="preserve">I013</t>
  </si>
  <si>
    <t xml:space="preserve">Maní picado</t>
  </si>
  <si>
    <t xml:space="preserve">I014</t>
  </si>
  <si>
    <t xml:space="preserve">Almendras fileteadas</t>
  </si>
  <si>
    <t xml:space="preserve">I015</t>
  </si>
  <si>
    <t xml:space="preserve">Arándanos deshidratados</t>
  </si>
  <si>
    <t xml:space="preserve">I016</t>
  </si>
  <si>
    <t xml:space="preserve">Queso rallado</t>
  </si>
  <si>
    <t xml:space="preserve">I017</t>
  </si>
  <si>
    <t xml:space="preserve">Jarabe de chocolate</t>
  </si>
  <si>
    <t xml:space="preserve">Botella 623 g</t>
  </si>
  <si>
    <t xml:space="preserve">I018</t>
  </si>
  <si>
    <t xml:space="preserve">Nutella</t>
  </si>
  <si>
    <t xml:space="preserve">Frasco 750 g</t>
  </si>
  <si>
    <t xml:space="preserve">I019</t>
  </si>
  <si>
    <t xml:space="preserve">Dulce de leche</t>
  </si>
  <si>
    <t xml:space="preserve">Frasco 1 kg</t>
  </si>
  <si>
    <t xml:space="preserve">I020</t>
  </si>
  <si>
    <t xml:space="preserve">Vaso 8 oz con tapa</t>
  </si>
  <si>
    <t xml:space="preserve">Paquete 50 u</t>
  </si>
  <si>
    <t xml:space="preserve">Empaques CR</t>
  </si>
  <si>
    <t xml:space="preserve">I021</t>
  </si>
  <si>
    <t xml:space="preserve">Vaso 12 oz con tapa</t>
  </si>
  <si>
    <t xml:space="preserve">I022</t>
  </si>
  <si>
    <t xml:space="preserve">Vaso 16 oz con tapa</t>
  </si>
  <si>
    <t xml:space="preserve">I023</t>
  </si>
  <si>
    <t xml:space="preserve">Vaso 24 oz con tapa</t>
  </si>
  <si>
    <t xml:space="preserve">I024</t>
  </si>
  <si>
    <t xml:space="preserve">Cuchara plástica</t>
  </si>
  <si>
    <t xml:space="preserve">Paquete 100 u</t>
  </si>
  <si>
    <t xml:space="preserve">I025</t>
  </si>
  <si>
    <t xml:space="preserve">Servilleta</t>
  </si>
  <si>
    <t xml:space="preserve">Paquete 500 u</t>
  </si>
  <si>
    <t xml:space="preserve">I026</t>
  </si>
  <si>
    <t xml:space="preserve">Bolsa para llevar</t>
  </si>
  <si>
    <t xml:space="preserve">I027</t>
  </si>
  <si>
    <t xml:space="preserve">Crema de pistacho</t>
  </si>
  <si>
    <t xml:space="preserve">Frasco 200 g</t>
  </si>
  <si>
    <t xml:space="preserve">Importadora</t>
  </si>
  <si>
    <t xml:space="preserve">I028</t>
  </si>
  <si>
    <t xml:space="preserve">Harina</t>
  </si>
  <si>
    <t xml:space="preserve">I029</t>
  </si>
  <si>
    <t xml:space="preserve">Mantequilla</t>
  </si>
  <si>
    <t xml:space="preserve">Barra 500 g</t>
  </si>
  <si>
    <t xml:space="preserve">I030</t>
  </si>
  <si>
    <t xml:space="preserve">Cacao en polvo</t>
  </si>
  <si>
    <t xml:space="preserve">I031</t>
  </si>
  <si>
    <t xml:space="preserve">Huevos</t>
  </si>
  <si>
    <t xml:space="preserve">Cartón 30 u</t>
  </si>
  <si>
    <t xml:space="preserve">Granja</t>
  </si>
  <si>
    <t xml:space="preserve">REGISTRO DE COMPRAS A PROVEEDORES</t>
  </si>
  <si>
    <t xml:space="preserve">Una línea por insumo de cada factura. La cantidad se escribe en PRESENTACIONES (cajas, paquetes, latas); el libro la convierte a unidad base y la suma al inventario.</t>
  </si>
  <si>
    <t xml:space="preserve">Pendiente de pago:</t>
  </si>
  <si>
    <t xml:space="preserve">Fecha</t>
  </si>
  <si>
    <t xml:space="preserve">N° factura</t>
  </si>
  <si>
    <t xml:space="preserve">Código insumo</t>
  </si>
  <si>
    <t xml:space="preserve">Presentación</t>
  </si>
  <si>
    <t xml:space="preserve">Cantidad (presenta-ciones)</t>
  </si>
  <si>
    <t xml:space="preserve">Contenido por presentación</t>
  </si>
  <si>
    <t xml:space="preserve">Cantidad en unid. base</t>
  </si>
  <si>
    <t xml:space="preserve">Subtotal sin IVA</t>
  </si>
  <si>
    <t xml:space="preserve">% IVA</t>
  </si>
  <si>
    <t xml:space="preserve">IVA</t>
  </si>
  <si>
    <t xml:space="preserve">Total factura línea</t>
  </si>
  <si>
    <t xml:space="preserve">Costo por unid. base</t>
  </si>
  <si>
    <t xml:space="preserve">Forma de pago</t>
  </si>
  <si>
    <t xml:space="preserve">Mes</t>
  </si>
  <si>
    <t xml:space="preserve">Última compra del insumo (1=sí)</t>
  </si>
  <si>
    <t xml:space="preserve">FA-1021</t>
  </si>
  <si>
    <t xml:space="preserve">D-5530</t>
  </si>
  <si>
    <t xml:space="preserve">M-8812</t>
  </si>
  <si>
    <t xml:space="preserve">E-0099</t>
  </si>
  <si>
    <t xml:space="preserve">RECETAS (FICHAS DE COSTO POR INGREDIENTE)</t>
  </si>
  <si>
    <t xml:space="preserve">Una línea por ingrediente. Cantidad NETA usada por porción (o por lote si en PRODUCTOS indicó más porciones). Incluya empaque (vaso, tapa, cuchara, servilleta). La nómina fija NO va aquí.</t>
  </si>
  <si>
    <t xml:space="preserve">Código producto</t>
  </si>
  <si>
    <t xml:space="preserve">Unidad</t>
  </si>
  <si>
    <t xml:space="preserve">Cantidad neta por receta</t>
  </si>
  <si>
    <t xml:space="preserve">Costo real por unidad</t>
  </si>
  <si>
    <t xml:space="preserve">Costo de la línea (receta)</t>
  </si>
  <si>
    <t xml:space="preserve">Porciones de la receta</t>
  </si>
  <si>
    <t xml:space="preserve">Costo por porción</t>
  </si>
  <si>
    <t xml:space="preserve">Unidades vendidas del producto</t>
  </si>
  <si>
    <t xml:space="preserve">Consumo bruto de inventario</t>
  </si>
  <si>
    <t xml:space="preserve">N° línea</t>
  </si>
  <si>
    <t xml:space="preserve">Clave</t>
  </si>
  <si>
    <t xml:space="preserve">P001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</si>
  <si>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</si>
  <si>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</si>
  <si>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</si>
  <si>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</si>
  <si>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</si>
  <si>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</si>
  <si>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</si>
  <si>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</si>
  <si>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FICHA TÉCNICA DEL PRODUCTO</t>
  </si>
  <si>
    <t xml:space="preserve">Elija el código del producto en la celda azul. Se arma sola con la receta, costos y margen.</t>
  </si>
  <si>
    <t xml:space="preserve">Producto:</t>
  </si>
  <si>
    <t xml:space="preserve">Porciones por receta</t>
  </si>
  <si>
    <t xml:space="preserve">Precio venta CON IVA</t>
  </si>
  <si>
    <t xml:space="preserve">Precio neto (sin IVA)</t>
  </si>
  <si>
    <t xml:space="preserve">#</t>
  </si>
  <si>
    <t xml:space="preserve">Ingrediente / insumo</t>
  </si>
  <si>
    <t xml:space="preserve">Cantidad</t>
  </si>
  <si>
    <t xml:space="preserve">Costo unitario</t>
  </si>
  <si>
    <t xml:space="preserve">Costo total</t>
  </si>
  <si>
    <t xml:space="preserve">Costo total de la receta</t>
  </si>
  <si>
    <t xml:space="preserve">Costo variable por porción</t>
  </si>
  <si>
    <t xml:space="preserve">Contribución por porción</t>
  </si>
  <si>
    <t xml:space="preserve">Margen de contribución %</t>
  </si>
  <si>
    <t xml:space="preserve">Precio sugerido CON IVA (margen objetivo)</t>
  </si>
  <si>
    <t xml:space="preserve">Preparación / notas</t>
  </si>
  <si>
    <t xml:space="preserve">PRODUCTOS DEL MENÚ: COSTEO Y PRECIOS</t>
  </si>
  <si>
    <t xml:space="preserve">Precio de venta CON IVA (el que ve el cliente). Costo variable viene de RECETAS. Precio sugerido = costo ÷ (1 − margen objetivo)  →  'margen sobre ventas', no recargo sobre costo.</t>
  </si>
  <si>
    <t xml:space="preserve">Contribución = precio neto − costo variable: lo que cada venta aporta para pagar fijos (alquiler, planilla…) y generar utilidad.</t>
  </si>
  <si>
    <t xml:space="preserve">Porciones por receta / lote</t>
  </si>
  <si>
    <t xml:space="preserve">Contribu-ción unitaria</t>
  </si>
  <si>
    <t xml:space="preserve">Margen objetivo %</t>
  </si>
  <si>
    <t xml:space="preserve">Precio sugerido neto</t>
  </si>
  <si>
    <t xml:space="preserve">Precio sugerido CON IVA</t>
  </si>
  <si>
    <t xml:space="preserve">Recargo sobre costo %</t>
  </si>
  <si>
    <t xml:space="preserve">Ventas estimadas por mes (unid.)</t>
  </si>
  <si>
    <t xml:space="preserve">Unidades vendidas (registradas)</t>
  </si>
  <si>
    <t xml:space="preserve">Preparación / notas de la ficha técnica</t>
  </si>
  <si>
    <t xml:space="preserve">Fresas con crema Pequeño (8 oz)</t>
  </si>
  <si>
    <t xml:space="preserve">1) Lavar y desinfectar fresas, quitar hojas y picar en cuartos. 2) Batir crema dulce con leche condensada y vainilla. 3) Capas: fresas – crema – fresas. 4) 1 topping incluido. 5) Glaseado leche condensada. Tapar y servir con cuchara.</t>
  </si>
  <si>
    <t xml:space="preserve">Fresas con crema Mediano (12 oz)</t>
  </si>
  <si>
    <t xml:space="preserve">Igual al pequeño en vaso de 12 oz. Incluye 2 toppings.</t>
  </si>
  <si>
    <t xml:space="preserve">Fresas con crema Grande (16 oz)</t>
  </si>
  <si>
    <t xml:space="preserve">Vaso de 16 oz. Incluye 3 toppings.</t>
  </si>
  <si>
    <t xml:space="preserve">Fresas con crema Extra grande (24 oz)</t>
  </si>
  <si>
    <t xml:space="preserve">Vaso de 24 oz. Incluye 4 toppings y bolsa.</t>
  </si>
  <si>
    <t xml:space="preserve">Maracumango</t>
  </si>
  <si>
    <t xml:space="preserve">Mango en cubos + pulpa de maracuyá + crema. Vaso 16 oz.</t>
  </si>
  <si>
    <t xml:space="preserve">Topping extra</t>
  </si>
  <si>
    <t xml:space="preserve">Porción 15 g (Oreo, granola, maní, gomitas…). Costeado con Oreo.</t>
  </si>
  <si>
    <t xml:space="preserve">Topping extra premium</t>
  </si>
  <si>
    <t xml:space="preserve">Porción 15 g (almendras, arándanos o queso). Costeado con almendras.</t>
  </si>
  <si>
    <t xml:space="preserve">Jarabe premium (Nutella / pistacho)</t>
  </si>
  <si>
    <t xml:space="preserve">Porción 25 g. Costeado con Nutella.</t>
  </si>
  <si>
    <t xml:space="preserve">Brownie de la casa (lote de 20)</t>
  </si>
  <si>
    <t xml:space="preserve">Ejemplo de LOTE: la receta es para 20 porciones; el costo se divide entre 20. Horno 180 °C, 25 min.</t>
  </si>
  <si>
    <t xml:space="preserve">REGISTRO DE VENTAS</t>
  </si>
  <si>
    <t xml:space="preserve">Puede registrar cada ticket o, al cierre del día, el total vendido por producto y medio de pago (reporte del POS). Cada venta descuenta del inventario los insumos de su receta.</t>
  </si>
  <si>
    <t xml:space="preserve">N° ticket / factura</t>
  </si>
  <si>
    <t xml:space="preserve">Precio unitario CON IVA</t>
  </si>
  <si>
    <t xml:space="preserve">Descuento (₡)</t>
  </si>
  <si>
    <t xml:space="preserve">Venta total CON IVA</t>
  </si>
  <si>
    <t xml:space="preserve">Costo variable (receta)</t>
  </si>
  <si>
    <t xml:space="preserve">Medio de pago</t>
  </si>
  <si>
    <t xml:space="preserve">Canal</t>
  </si>
  <si>
    <t xml:space="preserve">Cierre 03/10</t>
  </si>
  <si>
    <t xml:space="preserve">Cierre 04/10</t>
  </si>
  <si>
    <t xml:space="preserve">MERMAS, CORTESÍAS Y AJUSTES DE INVENTARIO</t>
  </si>
  <si>
    <t xml:space="preserve">Cantidad siempre POSITIVA en unidad base. Todo resta del inventario excepto 'Ajuste (+) sobrante'. Use los ajustes para cuadrar con el conteo físico.</t>
  </si>
  <si>
    <t xml:space="preserve">Tipo de movimiento</t>
  </si>
  <si>
    <t xml:space="preserve">Cantidad (unid. base)</t>
  </si>
  <si>
    <t xml:space="preserve">Motivo / detalle</t>
  </si>
  <si>
    <t xml:space="preserve">Responsable</t>
  </si>
  <si>
    <t xml:space="preserve">Cantidad con signo</t>
  </si>
  <si>
    <t xml:space="preserve">Valor (₡, negativo = pérdida)</t>
  </si>
  <si>
    <t xml:space="preserve">Fresas golpeadas / pasadas</t>
  </si>
  <si>
    <t xml:space="preserve">Encargado</t>
  </si>
  <si>
    <t xml:space="preserve">Caja abierta vencida</t>
  </si>
  <si>
    <t xml:space="preserve">PLANILLA MENSUAL Y CARGAS SOCIALES</t>
  </si>
  <si>
    <t xml:space="preserve">Una línea por colaborador por mes. Tasas en CONFIG (verifique las vigentes de CCSS e INS). Costo total empresa = bruto + CCSS patronal + INS + provisiones (aguinaldo, vacaciones, cesantía).</t>
  </si>
  <si>
    <t xml:space="preserve">Mes del DASHBOARD →</t>
  </si>
  <si>
    <t xml:space="preserve">Mes (día 1)</t>
  </si>
  <si>
    <t xml:space="preserve">Colaborador</t>
  </si>
  <si>
    <t xml:space="preserve">Puesto</t>
  </si>
  <si>
    <t xml:space="preserve">Salario base mensual</t>
  </si>
  <si>
    <t xml:space="preserve">Horas extra (cantidad)</t>
  </si>
  <si>
    <t xml:space="preserve">Valor hora extra</t>
  </si>
  <si>
    <t xml:space="preserve">Monto horas extra</t>
  </si>
  <si>
    <t xml:space="preserve">Bonos / comisiones / otros</t>
  </si>
  <si>
    <t xml:space="preserve">SALARIO BRUTO</t>
  </si>
  <si>
    <t xml:space="preserve">CCSS obrera (rebajo)</t>
  </si>
  <si>
    <t xml:space="preserve">Otras deducciones (adelantos, renta, embargos)</t>
  </si>
  <si>
    <t xml:space="preserve">NETO A PAGAR</t>
  </si>
  <si>
    <t xml:space="preserve">CCSS patronal</t>
  </si>
  <si>
    <t xml:space="preserve">INS riesgos del trabajo</t>
  </si>
  <si>
    <t xml:space="preserve">Provisión cesantía</t>
  </si>
  <si>
    <t xml:space="preserve">COSTO TOTAL EMPRESA</t>
  </si>
  <si>
    <t xml:space="preserve">Mes (normalizado)</t>
  </si>
  <si>
    <t xml:space="preserve">Colaborador 1</t>
  </si>
  <si>
    <t xml:space="preserve">Encargado(a)</t>
  </si>
  <si>
    <t xml:space="preserve">Colaborador 2</t>
  </si>
  <si>
    <t xml:space="preserve">Dependiente</t>
  </si>
  <si>
    <t xml:space="preserve">Colaborador 3</t>
  </si>
  <si>
    <t xml:space="preserve">Dependiente medio tiempo</t>
  </si>
  <si>
    <t xml:space="preserve">GASTOS OPERATIVOS</t>
  </si>
  <si>
    <t xml:space="preserve">Todo gasto que NO sea insumo de receta ni planilla: alquiler, servicios, publicidad, contador, mantenimiento, comisiones, etc.</t>
  </si>
  <si>
    <t xml:space="preserve">Descripción</t>
  </si>
  <si>
    <t xml:space="preserve">Fijo / Variable</t>
  </si>
  <si>
    <t xml:space="preserve">Monto sin IVA</t>
  </si>
  <si>
    <t xml:space="preserve">Total pagado</t>
  </si>
  <si>
    <t xml:space="preserve">Alquiler local octubre</t>
  </si>
  <si>
    <t xml:space="preserve">Arrendador</t>
  </si>
  <si>
    <t xml:space="preserve">Recibo eléctrico</t>
  </si>
  <si>
    <t xml:space="preserve">CNFL / ICE</t>
  </si>
  <si>
    <t xml:space="preserve">Recibo de agua</t>
  </si>
  <si>
    <t xml:space="preserve">AyA</t>
  </si>
  <si>
    <t xml:space="preserve">Internet + celular WhatsApp</t>
  </si>
  <si>
    <t xml:space="preserve">Operador</t>
  </si>
  <si>
    <t xml:space="preserve">Pauta Instagram / TikTok</t>
  </si>
  <si>
    <t xml:space="preserve">Meta</t>
  </si>
  <si>
    <t xml:space="preserve">Contador mensual</t>
  </si>
  <si>
    <t xml:space="preserve">Contador</t>
  </si>
  <si>
    <t xml:space="preserve">CIERRE DE CAJA DIARIO</t>
  </si>
  <si>
    <t xml:space="preserve">Ventas por medio de pago vienen de VENTAS (misma fecha). Efectivo esperado = fondo + ventas en efectivo − gastos pagados de caja − depósitos/retiros.</t>
  </si>
  <si>
    <t xml:space="preserve">Fondo inicial</t>
  </si>
  <si>
    <t xml:space="preserve">Ventas efectivo</t>
  </si>
  <si>
    <t xml:space="preserve">Ventas SINPE Móvil</t>
  </si>
  <si>
    <t xml:space="preserve">Ventas tarjeta</t>
  </si>
  <si>
    <t xml:space="preserve">Otros medios</t>
  </si>
  <si>
    <t xml:space="preserve">TOTAL VENTAS DÍA</t>
  </si>
  <si>
    <t xml:space="preserve">Gastos pagados de caja</t>
  </si>
  <si>
    <t xml:space="preserve">Depósitos / retiros</t>
  </si>
  <si>
    <t xml:space="preserve">Efectivo esperado</t>
  </si>
  <si>
    <t xml:space="preserve">Efectivo contado</t>
  </si>
  <si>
    <t xml:space="preserve">Diferencia</t>
  </si>
  <si>
    <t xml:space="preserve">Observaciones</t>
  </si>
  <si>
    <t xml:space="preserve">Faltan ₡1,000: revisar vuelto</t>
  </si>
  <si>
    <t xml:space="preserve">ESTADO DE RESULTADOS MENSUAL (REAL)</t>
  </si>
  <si>
    <t xml:space="preserve">Automático a partir de VENTAS, MERMAS, PLANILLA, GASTOS y COMPRAS. Costo de ventas = costo teórico de receta de lo vendido.</t>
  </si>
  <si>
    <t xml:space="preserve">Concepto (₡)</t>
  </si>
  <si>
    <t xml:space="preserve">TOTAL AÑO</t>
  </si>
  <si>
    <t xml:space="preserve">INGRESOS</t>
  </si>
  <si>
    <t xml:space="preserve">Ventas brutas (con IVA)</t>
  </si>
  <si>
    <t xml:space="preserve">(−) IVA cobrado</t>
  </si>
  <si>
    <t xml:space="preserve">VENTAS NETAS</t>
  </si>
  <si>
    <t xml:space="preserve">(−) Costo de ventas (recetas)</t>
  </si>
  <si>
    <t xml:space="preserve">UTILIDAD BRUTA (contribución)</t>
  </si>
  <si>
    <t xml:space="preserve">Margen bruto %</t>
  </si>
  <si>
    <t xml:space="preserve">GASTOS DE OPERACIÓN</t>
  </si>
  <si>
    <t xml:space="preserve">Mermas y ajustes de inventario</t>
  </si>
  <si>
    <t xml:space="preserve">Planilla (costo total empresa)</t>
  </si>
  <si>
    <t xml:space="preserve">TOTAL GASTOS DE OPERACIÓN</t>
  </si>
  <si>
    <t xml:space="preserve">UTILIDAD OPERATIVA (antes de impuestos)</t>
  </si>
  <si>
    <t xml:space="preserve">(−) Impuesto sobre la renta estimado</t>
  </si>
  <si>
    <t xml:space="preserve">UTILIDAD NETA</t>
  </si>
  <si>
    <t xml:space="preserve">INDICADORES</t>
  </si>
  <si>
    <t xml:space="preserve">Food cost % (costo ventas ÷ ventas netas)</t>
  </si>
  <si>
    <t xml:space="preserve">Labor cost % (planilla ÷ ventas netas)</t>
  </si>
  <si>
    <t xml:space="preserve">Prime cost % (costo ventas + planilla)</t>
  </si>
  <si>
    <t xml:space="preserve">IVA DEL MES (referencia para la declaración)</t>
  </si>
  <si>
    <t xml:space="preserve">IVA cobrado en ventas (débito)</t>
  </si>
  <si>
    <t xml:space="preserve">IVA pagado en compras y gastos (crédito)</t>
  </si>
  <si>
    <t xml:space="preserve">OTROS DATOS</t>
  </si>
  <si>
    <t xml:space="preserve">Compras de insumos del mes (sin IVA)</t>
  </si>
  <si>
    <t xml:space="preserve">PRESUPUESTO MENSUAL Y PUNTO DE EQUILIBRIO</t>
  </si>
  <si>
    <t xml:space="preserve">Sección 1 toma costo, precio y ventas estimadas de PRODUCTOS. Escriba el precio de la competencia y los gastos mensuales en azul.</t>
  </si>
  <si>
    <t xml:space="preserve">Las ventas en esta hoja son NETAS (sin IVA).</t>
  </si>
  <si>
    <t xml:space="preserve">1) Estudio de precios y márgenes unitarios</t>
  </si>
  <si>
    <t xml:space="preserve">Artículos o servicios</t>
  </si>
  <si>
    <t xml:space="preserve">Precio de la competencia (neto)</t>
  </si>
  <si>
    <t xml:space="preserve">Costo variable unitario (C)</t>
  </si>
  <si>
    <t xml:space="preserve">Precio unitario neto (P)</t>
  </si>
  <si>
    <t xml:space="preserve">Price gap vs competencia</t>
  </si>
  <si>
    <t xml:space="preserve">Margen de contribución unitario</t>
  </si>
  <si>
    <t xml:space="preserve">Ventas unidades mes (Q)</t>
  </si>
  <si>
    <t xml:space="preserve">Mix de ventas</t>
  </si>
  <si>
    <t xml:space="preserve">Ventas (P×Q)</t>
  </si>
  <si>
    <t xml:space="preserve">Costos (C×Q)</t>
  </si>
  <si>
    <t xml:space="preserve">TOTAL / PROMEDIO PONDERADO</t>
  </si>
  <si>
    <t xml:space="preserve">2) Estado de resultados presupuestado (colones por mes)</t>
  </si>
  <si>
    <t xml:space="preserve">Unidades de venta</t>
  </si>
  <si>
    <t xml:space="preserve">Costo variable directo (C×Q)</t>
  </si>
  <si>
    <t xml:space="preserve">% Margen bruto de contribución</t>
  </si>
  <si>
    <t xml:space="preserve">Gastos operativos mensuales:</t>
  </si>
  <si>
    <t xml:space="preserve">   Planilla (costo total empresa)</t>
  </si>
  <si>
    <t xml:space="preserve">   Alquiler del local</t>
  </si>
  <si>
    <t xml:space="preserve">   Electricidad</t>
  </si>
  <si>
    <t xml:space="preserve">   Agua</t>
  </si>
  <si>
    <t xml:space="preserve">   Internet y teléfono</t>
  </si>
  <si>
    <t xml:space="preserve">   Gas</t>
  </si>
  <si>
    <t xml:space="preserve">   Publicidad y redes</t>
  </si>
  <si>
    <t xml:space="preserve">   Servicios profesionales (contador)</t>
  </si>
  <si>
    <t xml:space="preserve">   Mantenimiento y limpieza</t>
  </si>
  <si>
    <t xml:space="preserve">   Patentes, permisos y seguros</t>
  </si>
  <si>
    <t xml:space="preserve">   Comisiones tarjetas / plataformas</t>
  </si>
  <si>
    <t xml:space="preserve">   Depreciación de equipo (no es salida de efectivo)</t>
  </si>
  <si>
    <t xml:space="preserve">   Otros</t>
  </si>
  <si>
    <t xml:space="preserve">Utilidad neta antes de impuestos</t>
  </si>
  <si>
    <t xml:space="preserve">% Margen neto</t>
  </si>
  <si>
    <t xml:space="preserve">PUNTO DE EQUILIBRIO en ventas (₡ netos/mes)</t>
  </si>
  <si>
    <t xml:space="preserve">Fórmula: gastos operativos ÷ % margen de contribución</t>
  </si>
  <si>
    <t xml:space="preserve">Punto de equilibrio en unidades/mes (mix actual)</t>
  </si>
  <si>
    <t xml:space="preserve">Fórmula: gastos operativos ÷ contribución unitaria promedio ponderada</t>
  </si>
  <si>
    <t xml:space="preserve">Venta diaria necesaria para equilibrio (₡ netos)</t>
  </si>
  <si>
    <t xml:space="preserve">Venta diaria necesaria CON IVA</t>
  </si>
  <si>
    <t xml:space="preserve">Margen de seguridad % (cuánto pueden caer las ventas)</t>
  </si>
  <si>
    <t xml:space="preserve">Utilidad meta mensual deseada</t>
  </si>
  <si>
    <t xml:space="preserve">Ventas netas necesarias para la utilidad meta</t>
  </si>
  <si>
    <t xml:space="preserve">3) Calculadora: precio y aporte (un solo producto)</t>
  </si>
  <si>
    <t xml:space="preserve">Costo variable por unidad</t>
  </si>
  <si>
    <t xml:space="preserve">Gastos fijos mensuales</t>
  </si>
  <si>
    <t xml:space="preserve">Meta de utilidad operativa</t>
  </si>
  <si>
    <t xml:space="preserve">Ventas previstas (unidades/mes)</t>
  </si>
  <si>
    <t xml:space="preserve">Precio neto = Variable + (Fijos + Meta) ÷ Unidades</t>
  </si>
  <si>
    <t xml:space="preserve">Contribución por unidad</t>
  </si>
  <si>
    <t xml:space="preserve">Aporte total de las unidades previstas</t>
  </si>
  <si>
    <t xml:space="preserve">Utilidad (aporte − fijos)</t>
  </si>
  <si>
    <t xml:space="preserve">¿Y si solo vendo estas unidades?</t>
  </si>
  <si>
    <t xml:space="preserve">Utilidad / (pérdida) con esas unidades</t>
  </si>
  <si>
    <t xml:space="preserve">4) Calculadora: recargo sobre costo vs margen sobre ventas</t>
  </si>
  <si>
    <t xml:space="preserve">Costo variable</t>
  </si>
  <si>
    <t xml:space="preserve">Recargo sobre el costo %</t>
  </si>
  <si>
    <t xml:space="preserve">Precio con recargo = costo × (1 + recargo)</t>
  </si>
  <si>
    <t xml:space="preserve">Margen real sobre ventas %</t>
  </si>
  <si>
    <t xml:space="preserve">El mismo porcentaje da precios distintos. La contribución aún debe cubrir los fijos.</t>
  </si>
  <si>
    <t xml:space="preserve">Margen objetivo sobre ventas %</t>
  </si>
  <si>
    <t xml:space="preserve">Precio por margen = costo ÷ (1 − margen)</t>
  </si>
  <si>
    <t xml:space="preserve">Contribución con ese precio</t>
  </si>
  <si>
    <t xml:space="preserve">FLUJO DE CAJA PROYECTADO – 12 MESES</t>
  </si>
  <si>
    <t xml:space="preserve">Plan de caja: caja inicial y cobros · compras y pagos previstos · reserva y acciones ante faltantes. Base: PUNTO_EQUILIBRIO y PLANILLA. Puede sobrescribir cualquier mes en las filas azules.</t>
  </si>
  <si>
    <t xml:space="preserve">TOTAL</t>
  </si>
  <si>
    <t xml:space="preserve">SALDO INICIAL DE CAJA</t>
  </si>
  <si>
    <t xml:space="preserve">ENTRADAS</t>
  </si>
  <si>
    <t xml:space="preserve">Ventas cobradas (con IVA)</t>
  </si>
  <si>
    <t xml:space="preserve">Préstamos / aportes de socios</t>
  </si>
  <si>
    <t xml:space="preserve">TOTAL ENTRADAS</t>
  </si>
  <si>
    <t xml:space="preserve">SALIDAS (pagos previstos)</t>
  </si>
  <si>
    <t xml:space="preserve">Compras de insumos (con IVA)</t>
  </si>
  <si>
    <t xml:space="preserve">Salarios brutos</t>
  </si>
  <si>
    <t xml:space="preserve">CCSS patronal + INS</t>
  </si>
  <si>
    <t xml:space="preserve">Aguinaldo (se paga en diciembre)</t>
  </si>
  <si>
    <t xml:space="preserve">Gastos operativos (sin planilla ni depreciación)</t>
  </si>
  <si>
    <t xml:space="preserve">IVA neto a Hacienda (del mes anterior)</t>
  </si>
  <si>
    <t xml:space="preserve">Cuotas de préstamos</t>
  </si>
  <si>
    <t xml:space="preserve">Impuesto sobre la renta / pagos parciales</t>
  </si>
  <si>
    <t xml:space="preserve">Inversiones / compras de equipo</t>
  </si>
  <si>
    <t xml:space="preserve">Imprevistos</t>
  </si>
  <si>
    <t xml:space="preserve">TOTAL SALIDAS</t>
  </si>
  <si>
    <t xml:space="preserve">RESULTADO</t>
  </si>
  <si>
    <t xml:space="preserve">Movimiento del mes (entradas − salidas)</t>
  </si>
  <si>
    <t xml:space="preserve">SALDO FINAL DE CAJA</t>
  </si>
  <si>
    <t xml:space="preserve">Reserva mínima requerida</t>
  </si>
  <si>
    <t xml:space="preserve">Alerta</t>
  </si>
  <si>
    <t xml:space="preserve">ACCIONES ANTE FALTANTES (si aparece BAJO RESERVA o FALTANTE)</t>
  </si>
  <si>
    <t xml:space="preserve">• Negociar crédito o plazo con proveedores (pasar compras de Contado a Crédito).</t>
  </si>
  <si>
    <t xml:space="preserve">• Reducir inventario: comprar más seguido y en menor cantidad los perecederos.</t>
  </si>
  <si>
    <t xml:space="preserve">• Empujar productos de mayor contribución (ver DASHBOARD) y combos.</t>
  </si>
  <si>
    <t xml:space="preserve">• Posponer inversiones y gastos no esenciales.</t>
  </si>
  <si>
    <t xml:space="preserve">• Línea de crédito revolutiva o aporte de socios ANTES del mes en rojo, no después.</t>
  </si>
  <si>
    <t xml:space="preserve">• Separar mensualmente la provisión de aguinaldo, vacaciones e IVA en una cuenta aparte.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</si>
</sst>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mmm\-yyyy"/>
    <numFmt numFmtId="167" formatCode="0.0%;[RED]\-0.0%;\-"/>
    <numFmt numFmtId="168" formatCode="0.00"/>
    <numFmt numFmtId="169" formatCode="\₡#,##0;[RED]&quot;-₡&quot;#,##0;\-"/>
    <numFmt numFmtId="170" formatCode="0.0"/>
    <numFmt numFmtId="171" formatCode="#,##0;[RED]\-#,##0;\-"/>
    <numFmt numFmtId="172" formatCode="#,##0.0;[RED]\-#,##0.0;\-"/>
    <numFmt numFmtId="173" formatCode="\₡#,##0.00;[RED]&quot;-₡&quot;#,##0.00;\-"/>
    <numFmt numFmtId="174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8B8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  <font>
      <b val="true"/>
      <sz val="12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2F75B5"/>
        <bgColor rgb="FF4F81BD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>
          <bgColor rgb="FFF8CBAD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F81BD"/>
      <rgbColor rgb="FFBFBFBF"/>
      <rgbColor rgb="FF7F7F7F"/>
      <rgbColor rgb="FF9999FF"/>
      <rgbColor rgb="FF7030A0"/>
      <rgbColor rgb="FFF2F2F2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9CCFF"/>
      <rgbColor rgb="FFFCE4D6"/>
      <rgbColor rgb="FFCC99FF"/>
      <rgbColor rgb="FFF8CBAD"/>
      <rgbColor rgb="FF2F75B5"/>
      <rgbColor rgb="FF33CCCC"/>
      <rgbColor rgb="FF70AD47"/>
      <rgbColor rgb="FFFFCC00"/>
      <rgbColor rgb="FFFF9900"/>
      <rgbColor rgb="FFED7D31"/>
      <rgbColor rgb="FF595959"/>
      <rgbColor rgb="FF878787"/>
      <rgbColor rgb="FF1F3864"/>
      <rgbColor rgb="FF2E8B8B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netas vs utilidad operativa (año)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ESTADO_RESULTADOS!B9</c:f>
              <c:strCache>
                <c:ptCount val="1"/>
                <c:pt idx="0">
                  <c:v>VENTAS NETAS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ESTADO_RESULTADOS!$C$5:$N$5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ESTADO_RESULTADOS!$C$9:$N$9</c:f>
              <c:numCache>
                <c:formatCode>\₡#,##0;[RED]"-₡"#,##0;\-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342212.389380531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ESTADO_RESULTADOS!B32</c:f>
              <c:strCache>
                <c:ptCount val="1"/>
                <c:pt idx="0">
                  <c:v>UTILIDAD OPERATIVA (antes de impuestos)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ESTADO_RESULTADOS!$C$5:$N$5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ESTADO_RESULTADOS!$C$32:$N$32</c:f>
              <c:numCache>
                <c:formatCode>\₡#,##0;[RED]"-₡"#,##0;\-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-2151073.50957183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497751"/>
        <c:axId val="7909329"/>
      </c:barChart>
      <c:catAx>
        <c:axId val="1497751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9329"/>
        <c:crosses val="autoZero"/>
        <c:auto val="1"/>
        <c:lblAlgn val="ctr"/>
        <c:lblOffset val="100"/>
        <c:noMultiLvlLbl val="0"/>
      </c:catAx>
      <c:valAx>
        <c:axId val="7909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₡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₡#,##0;[RED]&quot;-₡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77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50</xdr:row>
      <xdr:rowOff>100440</xdr:rowOff>
    </xdr:from>
    <xdr:to>
      <xdr:col>7</xdr:col>
      <xdr:colOff>1153080</xdr:colOff>
      <xdr:row>65</xdr:row>
      <xdr:rowOff>122400</xdr:rowOff>
    </xdr:to>
    <xdr:graphicFrame>
      <xdr:nvGraphicFramePr>
        <xdr:cNvPr id="0" name="Chart 1"/>
        <xdr:cNvGraphicFramePr/>
      </xdr:nvGraphicFramePr>
      <xdr:xfrm>
        <a:off x="211320" y="10096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ontrol_Restaurante_La_Cremeria.xlsx" TargetMode="External"/><Relationship Id="rId2" Type="http://schemas.openxmlformats.org/officeDocument/2006/relationships/hyperlink" Target="Control_Restaurante_La_Cremeria.xlsx" TargetMode="External"/><Relationship Id="rId3" Type="http://schemas.openxmlformats.org/officeDocument/2006/relationships/hyperlink" Target="Control_Restaurante_La_Cremeria.xlsx" TargetMode="External"/><Relationship Id="rId4" Type="http://schemas.openxmlformats.org/officeDocument/2006/relationships/hyperlink" Target="Control_Restaurante_La_Cremeria.xlsx" TargetMode="External"/><Relationship Id="rId5" Type="http://schemas.openxmlformats.org/officeDocument/2006/relationships/hyperlink" Target="Control_Restaurante_La_Cremeria.xlsx" TargetMode="External"/><Relationship Id="rId6" Type="http://schemas.openxmlformats.org/officeDocument/2006/relationships/hyperlink" Target="Control_Restaurante_La_Cremeria.xlsx" TargetMode="External"/><Relationship Id="rId7" Type="http://schemas.openxmlformats.org/officeDocument/2006/relationships/hyperlink" Target="Control_Restaurante_La_Cremeria.xlsx" TargetMode="External"/><Relationship Id="rId8" Type="http://schemas.openxmlformats.org/officeDocument/2006/relationships/hyperlink" Target="Control_Restaurante_La_Cremeria.xlsx" TargetMode="External"/><Relationship Id="rId9" Type="http://schemas.openxmlformats.org/officeDocument/2006/relationships/hyperlink" Target="Control_Restaurante_La_Cremeria.xlsx" TargetMode="External"/><Relationship Id="rId10" Type="http://schemas.openxmlformats.org/officeDocument/2006/relationships/hyperlink" Target="Control_Restaurante_La_Cremeria.xlsx" TargetMode="External"/><Relationship Id="rId11" Type="http://schemas.openxmlformats.org/officeDocument/2006/relationships/hyperlink" Target="Control_Restaurante_La_Cremeria.xlsx" TargetMode="External"/><Relationship Id="rId12" Type="http://schemas.openxmlformats.org/officeDocument/2006/relationships/hyperlink" Target="Control_Restaurante_La_Cremeria.xlsx" TargetMode="External"/><Relationship Id="rId13" Type="http://schemas.openxmlformats.org/officeDocument/2006/relationships/hyperlink" Target="Control_Restaurante_La_Cremeria.xlsx" TargetMode="External"/><Relationship Id="rId14" Type="http://schemas.openxmlformats.org/officeDocument/2006/relationships/hyperlink" Target="Control_Restaurante_La_Cremeria.xlsx" TargetMode="External"/><Relationship Id="rId15" Type="http://schemas.openxmlformats.org/officeDocument/2006/relationships/hyperlink" Target="Control_Restaurante_La_Cremeria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35" hidden="false" customHeight="false" outlineLevel="0" collapsed="false">
      <c r="B4" s="3" t="s">
        <v>2</v>
      </c>
      <c r="C4" s="4" t="str">
        <f aca="false">NEGOCIO</f>
        <v>La Cremería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6" t="s">
        <v>4</v>
      </c>
      <c r="C7" s="7" t="s">
        <v>5</v>
      </c>
    </row>
    <row r="8" customFormat="false" ht="15" hidden="false" customHeight="false" outlineLevel="0" collapsed="false">
      <c r="B8" s="8" t="s">
        <v>6</v>
      </c>
      <c r="C8" s="7" t="s">
        <v>7</v>
      </c>
    </row>
    <row r="9" customFormat="false" ht="15" hidden="false" customHeight="false" outlineLevel="0" collapsed="false">
      <c r="B9" s="9" t="s">
        <v>8</v>
      </c>
      <c r="C9" s="7" t="s">
        <v>9</v>
      </c>
    </row>
    <row r="10" customFormat="false" ht="15" hidden="false" customHeight="false" outlineLevel="0" collapsed="false">
      <c r="B10" s="10" t="s">
        <v>10</v>
      </c>
      <c r="C10" s="7" t="s">
        <v>11</v>
      </c>
    </row>
    <row r="12" customFormat="false" ht="15" hidden="false" customHeight="false" outlineLevel="0" collapsed="false">
      <c r="B12" s="5" t="s">
        <v>12</v>
      </c>
    </row>
    <row r="13" customFormat="false" ht="27.75" hidden="false" customHeight="true" outlineLevel="0" collapsed="false">
      <c r="B13" s="11" t="s">
        <v>13</v>
      </c>
      <c r="C13" s="12" t="s">
        <v>14</v>
      </c>
    </row>
    <row r="14" customFormat="false" ht="27.75" hidden="false" customHeight="true" outlineLevel="0" collapsed="false">
      <c r="B14" s="11" t="s">
        <v>15</v>
      </c>
      <c r="C14" s="12" t="s">
        <v>16</v>
      </c>
    </row>
    <row r="15" customFormat="false" ht="27.75" hidden="false" customHeight="true" outlineLevel="0" collapsed="false">
      <c r="B15" s="11" t="s">
        <v>17</v>
      </c>
      <c r="C15" s="12" t="s">
        <v>18</v>
      </c>
    </row>
    <row r="16" customFormat="false" ht="27.75" hidden="false" customHeight="true" outlineLevel="0" collapsed="false">
      <c r="B16" s="11" t="s">
        <v>19</v>
      </c>
      <c r="C16" s="12" t="s">
        <v>20</v>
      </c>
    </row>
    <row r="17" customFormat="false" ht="27.75" hidden="false" customHeight="true" outlineLevel="0" collapsed="false">
      <c r="B17" s="11" t="s">
        <v>21</v>
      </c>
      <c r="C17" s="12" t="s">
        <v>22</v>
      </c>
    </row>
    <row r="18" customFormat="false" ht="27.75" hidden="false" customHeight="true" outlineLevel="0" collapsed="false">
      <c r="B18" s="11" t="s">
        <v>23</v>
      </c>
      <c r="C18" s="12" t="s">
        <v>24</v>
      </c>
    </row>
    <row r="19" customFormat="false" ht="27.75" hidden="false" customHeight="true" outlineLevel="0" collapsed="false">
      <c r="B19" s="11" t="s">
        <v>25</v>
      </c>
      <c r="C19" s="12" t="s">
        <v>26</v>
      </c>
    </row>
    <row r="20" customFormat="false" ht="27.75" hidden="false" customHeight="true" outlineLevel="0" collapsed="false">
      <c r="B20" s="11" t="s">
        <v>27</v>
      </c>
      <c r="C20" s="12" t="s">
        <v>28</v>
      </c>
    </row>
    <row r="21" customFormat="false" ht="27.75" hidden="false" customHeight="true" outlineLevel="0" collapsed="false">
      <c r="B21" s="11" t="s">
        <v>29</v>
      </c>
      <c r="C21" s="12" t="s">
        <v>30</v>
      </c>
    </row>
    <row r="22" customFormat="false" ht="27.75" hidden="false" customHeight="true" outlineLevel="0" collapsed="false">
      <c r="B22" s="11" t="s">
        <v>31</v>
      </c>
      <c r="C22" s="12" t="s">
        <v>32</v>
      </c>
    </row>
    <row r="23" customFormat="false" ht="27.75" hidden="false" customHeight="true" outlineLevel="0" collapsed="false">
      <c r="B23" s="11" t="s">
        <v>33</v>
      </c>
      <c r="C23" s="12" t="s">
        <v>34</v>
      </c>
    </row>
    <row r="24" customFormat="false" ht="27.75" hidden="false" customHeight="true" outlineLevel="0" collapsed="false">
      <c r="B24" s="11" t="s">
        <v>35</v>
      </c>
      <c r="C24" s="12" t="s">
        <v>36</v>
      </c>
    </row>
    <row r="25" customFormat="false" ht="27.75" hidden="false" customHeight="true" outlineLevel="0" collapsed="false">
      <c r="B25" s="11" t="s">
        <v>37</v>
      </c>
      <c r="C25" s="12" t="s">
        <v>38</v>
      </c>
    </row>
    <row r="26" customFormat="false" ht="27.75" hidden="false" customHeight="true" outlineLevel="0" collapsed="false">
      <c r="B26" s="11" t="s">
        <v>39</v>
      </c>
      <c r="C26" s="12" t="s">
        <v>40</v>
      </c>
    </row>
    <row r="27" customFormat="false" ht="27.75" hidden="false" customHeight="true" outlineLevel="0" collapsed="false">
      <c r="B27" s="11" t="s">
        <v>41</v>
      </c>
      <c r="C27" s="12" t="s">
        <v>42</v>
      </c>
    </row>
    <row r="29" customFormat="false" ht="15" hidden="false" customHeight="false" outlineLevel="0" collapsed="false">
      <c r="B29" s="5" t="s">
        <v>43</v>
      </c>
    </row>
    <row r="30" customFormat="false" ht="15" hidden="false" customHeight="false" outlineLevel="0" collapsed="false">
      <c r="B30" s="13" t="s">
        <v>44</v>
      </c>
      <c r="C30" s="14" t="s">
        <v>45</v>
      </c>
    </row>
    <row r="31" customFormat="false" ht="23.85" hidden="false" customHeight="false" outlineLevel="0" collapsed="false">
      <c r="B31" s="13" t="s">
        <v>44</v>
      </c>
      <c r="C31" s="14" t="s">
        <v>46</v>
      </c>
    </row>
    <row r="32" customFormat="false" ht="15" hidden="false" customHeight="false" outlineLevel="0" collapsed="false">
      <c r="B32" s="13" t="s">
        <v>44</v>
      </c>
      <c r="C32" s="14" t="s">
        <v>47</v>
      </c>
    </row>
    <row r="33" customFormat="false" ht="23.85" hidden="false" customHeight="false" outlineLevel="0" collapsed="false">
      <c r="B33" s="13" t="s">
        <v>44</v>
      </c>
      <c r="C33" s="14" t="s">
        <v>48</v>
      </c>
    </row>
    <row r="34" customFormat="false" ht="15" hidden="false" customHeight="false" outlineLevel="0" collapsed="false">
      <c r="B34" s="13" t="s">
        <v>44</v>
      </c>
      <c r="C34" s="14" t="s">
        <v>49</v>
      </c>
    </row>
    <row r="35" customFormat="false" ht="23.85" hidden="false" customHeight="false" outlineLevel="0" collapsed="false">
      <c r="B35" s="13" t="s">
        <v>44</v>
      </c>
      <c r="C35" s="14" t="s">
        <v>50</v>
      </c>
    </row>
  </sheetData>
  <hyperlinks>
    <hyperlink ref="B13" r:id="rId1" location="'CONFIG'!A1" display="CONFIG"/>
    <hyperlink ref="B14" r:id="rId2" location="'INSUMOS'!A1" display="INSUMOS"/>
    <hyperlink ref="B15" r:id="rId3" location="'COMPRAS'!A1" display="COMPRAS"/>
    <hyperlink ref="B16" r:id="rId4" location="'RECETAS'!A1" display="RECETAS"/>
    <hyperlink ref="B17" r:id="rId5" location="'FICHA_TECNICA'!A1" display="FICHA_TECNICA"/>
    <hyperlink ref="B18" r:id="rId6" location="'PRODUCTOS'!A1" display="PRODUCTOS"/>
    <hyperlink ref="B19" r:id="rId7" location="'VENTAS'!A1" display="VENTAS"/>
    <hyperlink ref="B20" r:id="rId8" location="'MERMAS'!A1" display="MERMAS"/>
    <hyperlink ref="B21" r:id="rId9" location="'PLANILLA'!A1" display="PLANILLA"/>
    <hyperlink ref="B22" r:id="rId10" location="'GASTOS'!A1" display="GASTOS"/>
    <hyperlink ref="B23" r:id="rId11" location="'CAJA_DIARIA'!A1" display="CAJA_DIARIA"/>
    <hyperlink ref="B24" r:id="rId12" location="'ESTADO_RESULTADOS'!A1" display="ESTADO_RESULTADOS"/>
    <hyperlink ref="B25" r:id="rId13" location="'PUNTO_EQUILIBRIO'!A1" display="PUNTO_EQUILIBRIO"/>
    <hyperlink ref="B26" r:id="rId14" location="'FLUJO_CAJA'!A1" display="FLUJO_CAJA"/>
    <hyperlink ref="B27" r:id="rId15" location="'DASHBOARD'!A1" display="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15" min="6" style="0" width="24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F4" s="5" t="s">
        <v>53</v>
      </c>
    </row>
    <row r="5" customFormat="false" ht="30" hidden="false" customHeight="true" outlineLevel="0" collapsed="false">
      <c r="B5" s="15" t="s">
        <v>54</v>
      </c>
      <c r="C5" s="15" t="s">
        <v>55</v>
      </c>
      <c r="D5" s="15" t="s">
        <v>56</v>
      </c>
      <c r="F5" s="16" t="s">
        <v>57</v>
      </c>
      <c r="G5" s="16" t="s">
        <v>58</v>
      </c>
      <c r="H5" s="16" t="s">
        <v>59</v>
      </c>
      <c r="I5" s="16" t="s">
        <v>60</v>
      </c>
      <c r="J5" s="16" t="s">
        <v>61</v>
      </c>
      <c r="K5" s="16" t="s">
        <v>62</v>
      </c>
      <c r="L5" s="16" t="s">
        <v>63</v>
      </c>
      <c r="M5" s="16" t="s">
        <v>64</v>
      </c>
      <c r="N5" s="16" t="s">
        <v>65</v>
      </c>
      <c r="O5" s="16" t="s">
        <v>66</v>
      </c>
    </row>
    <row r="6" customFormat="false" ht="15" hidden="false" customHeight="false" outlineLevel="0" collapsed="false">
      <c r="B6" s="7" t="s">
        <v>67</v>
      </c>
      <c r="C6" s="17" t="s">
        <v>68</v>
      </c>
      <c r="D6" s="18" t="s">
        <v>69</v>
      </c>
      <c r="F6" s="6" t="s">
        <v>70</v>
      </c>
      <c r="G6" s="6" t="s">
        <v>71</v>
      </c>
      <c r="H6" s="6" t="s">
        <v>72</v>
      </c>
      <c r="I6" s="6" t="s">
        <v>73</v>
      </c>
      <c r="J6" s="6" t="s">
        <v>74</v>
      </c>
      <c r="K6" s="6" t="s">
        <v>75</v>
      </c>
      <c r="L6" s="6" t="s">
        <v>76</v>
      </c>
      <c r="M6" s="6" t="s">
        <v>77</v>
      </c>
      <c r="N6" s="6" t="s">
        <v>78</v>
      </c>
      <c r="O6" s="6" t="s">
        <v>79</v>
      </c>
    </row>
    <row r="7" customFormat="false" ht="15" hidden="false" customHeight="false" outlineLevel="0" collapsed="false">
      <c r="B7" s="7" t="s">
        <v>80</v>
      </c>
      <c r="C7" s="19" t="n">
        <v>2026</v>
      </c>
      <c r="D7" s="18" t="s">
        <v>81</v>
      </c>
      <c r="F7" s="6" t="s">
        <v>82</v>
      </c>
      <c r="G7" s="6" t="s">
        <v>83</v>
      </c>
      <c r="H7" s="6" t="s">
        <v>84</v>
      </c>
      <c r="I7" s="6" t="s">
        <v>85</v>
      </c>
      <c r="J7" s="6" t="s">
        <v>86</v>
      </c>
      <c r="K7" s="6" t="s">
        <v>87</v>
      </c>
      <c r="L7" s="6" t="s">
        <v>88</v>
      </c>
      <c r="M7" s="6" t="s">
        <v>89</v>
      </c>
      <c r="N7" s="6" t="s">
        <v>90</v>
      </c>
      <c r="O7" s="6" t="s">
        <v>91</v>
      </c>
    </row>
    <row r="8" customFormat="false" ht="15" hidden="false" customHeight="false" outlineLevel="0" collapsed="false">
      <c r="B8" s="7" t="s">
        <v>92</v>
      </c>
      <c r="C8" s="20" t="n">
        <v>46296</v>
      </c>
      <c r="D8" s="18" t="s">
        <v>93</v>
      </c>
      <c r="F8" s="6" t="s">
        <v>94</v>
      </c>
      <c r="G8" s="6" t="s">
        <v>95</v>
      </c>
      <c r="H8" s="6" t="s">
        <v>96</v>
      </c>
      <c r="I8" s="6" t="s">
        <v>97</v>
      </c>
      <c r="J8" s="6" t="s">
        <v>98</v>
      </c>
      <c r="K8" s="6" t="s">
        <v>99</v>
      </c>
      <c r="L8" s="6"/>
      <c r="M8" s="6"/>
      <c r="N8" s="6"/>
      <c r="O8" s="6" t="s">
        <v>100</v>
      </c>
    </row>
    <row r="9" customFormat="false" ht="22.35" hidden="false" customHeight="false" outlineLevel="0" collapsed="false">
      <c r="B9" s="7" t="s">
        <v>101</v>
      </c>
      <c r="C9" s="21" t="n">
        <v>0.13</v>
      </c>
      <c r="D9" s="18" t="s">
        <v>102</v>
      </c>
      <c r="F9" s="6" t="s">
        <v>103</v>
      </c>
      <c r="G9" s="6"/>
      <c r="H9" s="6" t="s">
        <v>104</v>
      </c>
      <c r="I9" s="6" t="s">
        <v>105</v>
      </c>
      <c r="J9" s="6" t="s">
        <v>106</v>
      </c>
      <c r="K9" s="6" t="s">
        <v>107</v>
      </c>
      <c r="L9" s="6"/>
      <c r="M9" s="6"/>
      <c r="N9" s="6"/>
      <c r="O9" s="6" t="s">
        <v>108</v>
      </c>
    </row>
    <row r="10" customFormat="false" ht="15" hidden="false" customHeight="false" outlineLevel="0" collapsed="false">
      <c r="B10" s="7" t="s">
        <v>109</v>
      </c>
      <c r="C10" s="21" t="n">
        <v>0.05</v>
      </c>
      <c r="D10" s="18" t="s">
        <v>110</v>
      </c>
      <c r="F10" s="6" t="s">
        <v>111</v>
      </c>
      <c r="G10" s="6"/>
      <c r="H10" s="6" t="s">
        <v>112</v>
      </c>
      <c r="I10" s="6" t="s">
        <v>113</v>
      </c>
      <c r="J10" s="6" t="s">
        <v>114</v>
      </c>
      <c r="K10" s="6"/>
      <c r="L10" s="6"/>
      <c r="M10" s="6"/>
      <c r="N10" s="6"/>
      <c r="O10" s="6" t="s">
        <v>115</v>
      </c>
    </row>
    <row r="11" customFormat="false" ht="15" hidden="false" customHeight="false" outlineLevel="0" collapsed="false">
      <c r="B11" s="7" t="s">
        <v>116</v>
      </c>
      <c r="C11" s="21" t="n">
        <v>0.265</v>
      </c>
      <c r="D11" s="18" t="s">
        <v>117</v>
      </c>
      <c r="F11" s="6" t="s">
        <v>118</v>
      </c>
      <c r="G11" s="6"/>
      <c r="H11" s="6" t="s">
        <v>119</v>
      </c>
      <c r="I11" s="6"/>
      <c r="J11" s="6" t="s">
        <v>120</v>
      </c>
      <c r="K11" s="6"/>
      <c r="L11" s="6"/>
      <c r="M11" s="6"/>
      <c r="N11" s="6"/>
      <c r="O11" s="6"/>
    </row>
    <row r="12" customFormat="false" ht="15" hidden="false" customHeight="false" outlineLevel="0" collapsed="false">
      <c r="B12" s="7" t="s">
        <v>121</v>
      </c>
      <c r="C12" s="21" t="n">
        <v>0.1067</v>
      </c>
      <c r="D12" s="18" t="s">
        <v>122</v>
      </c>
      <c r="F12" s="6" t="s">
        <v>123</v>
      </c>
      <c r="G12" s="6"/>
      <c r="H12" s="6" t="s">
        <v>124</v>
      </c>
      <c r="I12" s="6"/>
      <c r="J12" s="6" t="s">
        <v>125</v>
      </c>
      <c r="K12" s="6"/>
      <c r="L12" s="6"/>
      <c r="M12" s="6"/>
      <c r="N12" s="6"/>
      <c r="O12" s="6"/>
    </row>
    <row r="13" customFormat="false" ht="15" hidden="false" customHeight="false" outlineLevel="0" collapsed="false">
      <c r="B13" s="7" t="s">
        <v>126</v>
      </c>
      <c r="C13" s="21" t="n">
        <v>0.0185</v>
      </c>
      <c r="D13" s="18" t="s">
        <v>127</v>
      </c>
      <c r="F13" s="6" t="s">
        <v>128</v>
      </c>
      <c r="G13" s="6"/>
      <c r="H13" s="6" t="s">
        <v>129</v>
      </c>
      <c r="I13" s="6"/>
      <c r="J13" s="6"/>
      <c r="K13" s="6"/>
      <c r="L13" s="6"/>
      <c r="M13" s="6"/>
      <c r="N13" s="6"/>
      <c r="O13" s="6"/>
    </row>
    <row r="14" customFormat="false" ht="15" hidden="false" customHeight="false" outlineLevel="0" collapsed="false">
      <c r="B14" s="7" t="s">
        <v>130</v>
      </c>
      <c r="C14" s="21" t="n">
        <v>0.0833</v>
      </c>
      <c r="D14" s="18" t="s">
        <v>131</v>
      </c>
      <c r="F14" s="6"/>
      <c r="G14" s="6"/>
      <c r="H14" s="6" t="s">
        <v>123</v>
      </c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B15" s="7" t="s">
        <v>132</v>
      </c>
      <c r="C15" s="21" t="n">
        <v>0.0416</v>
      </c>
      <c r="D15" s="18" t="s">
        <v>133</v>
      </c>
      <c r="F15" s="6"/>
      <c r="G15" s="6"/>
      <c r="H15" s="6" t="s">
        <v>134</v>
      </c>
      <c r="I15" s="6"/>
      <c r="J15" s="6"/>
      <c r="K15" s="6"/>
      <c r="L15" s="6"/>
      <c r="M15" s="6"/>
      <c r="N15" s="6"/>
      <c r="O15" s="6"/>
    </row>
    <row r="16" customFormat="false" ht="15" hidden="false" customHeight="false" outlineLevel="0" collapsed="false">
      <c r="B16" s="7" t="s">
        <v>135</v>
      </c>
      <c r="C16" s="21" t="n">
        <v>0.0533</v>
      </c>
      <c r="D16" s="18" t="s">
        <v>136</v>
      </c>
      <c r="F16" s="6"/>
      <c r="G16" s="6"/>
      <c r="H16" s="6" t="s">
        <v>137</v>
      </c>
      <c r="I16" s="6"/>
      <c r="J16" s="6"/>
      <c r="K16" s="6"/>
      <c r="L16" s="6"/>
      <c r="M16" s="6"/>
      <c r="N16" s="6"/>
      <c r="O16" s="6"/>
    </row>
    <row r="17" customFormat="false" ht="15" hidden="false" customHeight="false" outlineLevel="0" collapsed="false">
      <c r="B17" s="7" t="s">
        <v>138</v>
      </c>
      <c r="C17" s="22" t="n">
        <v>1.5</v>
      </c>
      <c r="D17" s="18" t="s">
        <v>139</v>
      </c>
      <c r="F17" s="6"/>
      <c r="G17" s="6"/>
      <c r="H17" s="6" t="s">
        <v>140</v>
      </c>
      <c r="I17" s="6"/>
      <c r="J17" s="6"/>
      <c r="K17" s="6"/>
      <c r="L17" s="6"/>
      <c r="M17" s="6"/>
      <c r="N17" s="6"/>
      <c r="O17" s="6"/>
    </row>
    <row r="18" customFormat="false" ht="15" hidden="false" customHeight="false" outlineLevel="0" collapsed="false">
      <c r="B18" s="7" t="s">
        <v>141</v>
      </c>
      <c r="C18" s="19" t="n">
        <v>240</v>
      </c>
      <c r="D18" s="18" t="s">
        <v>142</v>
      </c>
      <c r="F18" s="6"/>
      <c r="G18" s="6"/>
      <c r="H18" s="6" t="s">
        <v>143</v>
      </c>
      <c r="I18" s="6"/>
      <c r="J18" s="6"/>
      <c r="K18" s="6"/>
      <c r="L18" s="6"/>
      <c r="M18" s="6"/>
      <c r="N18" s="6"/>
      <c r="O18" s="6"/>
    </row>
    <row r="19" customFormat="false" ht="15" hidden="false" customHeight="false" outlineLevel="0" collapsed="false">
      <c r="B19" s="7" t="s">
        <v>144</v>
      </c>
      <c r="C19" s="21" t="n">
        <v>0.05</v>
      </c>
      <c r="D19" s="18" t="s">
        <v>145</v>
      </c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22.35" hidden="false" customHeight="false" outlineLevel="0" collapsed="false">
      <c r="B20" s="7" t="s">
        <v>146</v>
      </c>
      <c r="C20" s="21" t="n">
        <v>0.15</v>
      </c>
      <c r="D20" s="18" t="s">
        <v>147</v>
      </c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5" hidden="false" customHeight="false" outlineLevel="0" collapsed="false">
      <c r="B21" s="7" t="s">
        <v>148</v>
      </c>
      <c r="C21" s="21" t="n">
        <v>0.65</v>
      </c>
      <c r="D21" s="18" t="s">
        <v>149</v>
      </c>
    </row>
    <row r="22" customFormat="false" ht="15" hidden="false" customHeight="false" outlineLevel="0" collapsed="false">
      <c r="B22" s="7" t="s">
        <v>150</v>
      </c>
      <c r="C22" s="21" t="n">
        <v>0.35</v>
      </c>
      <c r="D22" s="18" t="s">
        <v>151</v>
      </c>
    </row>
    <row r="23" customFormat="false" ht="15" hidden="false" customHeight="false" outlineLevel="0" collapsed="false">
      <c r="B23" s="7" t="s">
        <v>152</v>
      </c>
      <c r="C23" s="19" t="n">
        <v>26</v>
      </c>
      <c r="D23" s="18" t="s">
        <v>153</v>
      </c>
    </row>
    <row r="24" customFormat="false" ht="15" hidden="false" customHeight="false" outlineLevel="0" collapsed="false">
      <c r="B24" s="7" t="s">
        <v>154</v>
      </c>
      <c r="C24" s="23" t="n">
        <v>1500000</v>
      </c>
      <c r="D24" s="18" t="s">
        <v>155</v>
      </c>
    </row>
    <row r="25" customFormat="false" ht="15" hidden="false" customHeight="false" outlineLevel="0" collapsed="false">
      <c r="B25" s="7" t="s">
        <v>156</v>
      </c>
      <c r="C25" s="20" t="n">
        <v>46327</v>
      </c>
      <c r="D25" s="18" t="s">
        <v>157</v>
      </c>
    </row>
    <row r="26" customFormat="false" ht="15" hidden="false" customHeight="false" outlineLevel="0" collapsed="false">
      <c r="B26" s="7" t="s">
        <v>158</v>
      </c>
      <c r="C26" s="21" t="n">
        <v>0.02</v>
      </c>
      <c r="D26" s="18" t="s">
        <v>159</v>
      </c>
    </row>
    <row r="27" customFormat="false" ht="15" hidden="false" customHeight="false" outlineLevel="0" collapsed="false">
      <c r="B27" s="7" t="s">
        <v>160</v>
      </c>
      <c r="C27" s="24" t="n">
        <v>1</v>
      </c>
      <c r="D27" s="18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7" min="7" style="0" width="3"/>
    <col collapsed="false" customWidth="true" hidden="false" outlineLevel="0" max="8" min="8" style="0" width="30"/>
    <col collapsed="false" customWidth="true" hidden="false" outlineLevel="0" max="9" min="9" style="0" width="15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16.15" hidden="false" customHeight="false" outlineLevel="0" collapsed="false">
      <c r="B4" s="25" t="str">
        <f aca="false">NEGOCIO</f>
        <v>La Cremería</v>
      </c>
      <c r="C4" s="26" t="n">
        <f aca="false">MES_REPORTE</f>
        <v>46296</v>
      </c>
      <c r="F4" s="2" t="s">
        <v>164</v>
      </c>
      <c r="G4" s="27" t="n">
        <f aca="false">FOODCOST_MAX</f>
        <v>0.35</v>
      </c>
    </row>
    <row r="5" customFormat="false" ht="15" hidden="false" customHeight="false" outlineLevel="0" collapsed="false">
      <c r="B5" s="5" t="s">
        <v>165</v>
      </c>
      <c r="E5" s="5" t="s">
        <v>166</v>
      </c>
      <c r="H5" s="5" t="s">
        <v>167</v>
      </c>
    </row>
    <row r="6" customFormat="false" ht="15" hidden="false" customHeight="false" outlineLevel="0" collapsed="false">
      <c r="B6" s="28" t="s">
        <v>168</v>
      </c>
      <c r="C6" s="29" t="n">
        <f aca="false">IFERROR(INDEX(ESTADO_RESULTADOS!$C$9:$N$9,MATCH(MES_REPORTE,ESTADO_RESULTADOS!$C$5:$N$5,0)),0)</f>
        <v>342212.389380531</v>
      </c>
      <c r="E6" s="28" t="s">
        <v>169</v>
      </c>
      <c r="F6" s="30" t="n">
        <f aca="false">IFERROR(INDEX(ESTADO_RESULTADOS!$C$37:$N$37,MATCH(MES_REPORTE,ESTADO_RESULTADOS!$C$5:$N$5,0)),0)</f>
        <v>0.35242937630247</v>
      </c>
      <c r="H6" s="28" t="s">
        <v>170</v>
      </c>
      <c r="I6" s="29" t="n">
        <f aca="false">SUM(INSUMOS!$U$6:$U$205)</f>
        <v>388439.301047641</v>
      </c>
    </row>
    <row r="7" customFormat="false" ht="15" hidden="false" customHeight="false" outlineLevel="0" collapsed="false">
      <c r="B7" s="28" t="s">
        <v>171</v>
      </c>
      <c r="C7" s="29" t="n">
        <f aca="false">IFERROR(INDEX(ESTADO_RESULTADOS!$C$10:$N$10,MATCH(MES_REPORTE,ESTADO_RESULTADOS!$C$5:$N$5,0)),0)</f>
        <v>120605.698952359</v>
      </c>
      <c r="E7" s="28" t="s">
        <v>172</v>
      </c>
      <c r="F7" s="30" t="n">
        <f aca="false">IFERROR(INDEX(ESTADO_RESULTADOS!$C$38:$N$38,MATCH(MES_REPORTE,ESTADO_RESULTADOS!$C$5:$N$5,0)),0)</f>
        <v>4.93765057150246</v>
      </c>
      <c r="H7" s="28" t="s">
        <v>173</v>
      </c>
      <c r="I7" s="31" t="n">
        <f aca="false">COUNTIF(INSUMOS!$Y$6:$Y$205,"REORDENAR")+COUNTIF(INSUMOS!$Y$6:$Y$205,"AGOTADO")</f>
        <v>1</v>
      </c>
    </row>
    <row r="8" customFormat="false" ht="15" hidden="false" customHeight="false" outlineLevel="0" collapsed="false">
      <c r="B8" s="28" t="s">
        <v>174</v>
      </c>
      <c r="C8" s="29" t="n">
        <f aca="false">IFERROR(INDEX(ESTADO_RESULTADOS!$C$11:$N$11,MATCH(MES_REPORTE,ESTADO_RESULTADOS!$C$5:$N$5,0)),0)</f>
        <v>221606.690428172</v>
      </c>
      <c r="E8" s="28" t="s">
        <v>175</v>
      </c>
      <c r="F8" s="30" t="n">
        <f aca="false">IFERROR(INDEX(ESTADO_RESULTADOS!$C$39:$N$39,MATCH(MES_REPORTE,ESTADO_RESULTADOS!$C$5:$N$5,0)),0)</f>
        <v>5.29007994780493</v>
      </c>
      <c r="H8" s="28" t="s">
        <v>176</v>
      </c>
      <c r="I8" s="29" t="n">
        <f aca="false">SUM(INSUMOS!$X$6:$X$205)</f>
        <v>0</v>
      </c>
    </row>
    <row r="9" customFormat="false" ht="15" hidden="false" customHeight="false" outlineLevel="0" collapsed="false">
      <c r="B9" s="28" t="s">
        <v>177</v>
      </c>
      <c r="C9" s="29" t="n">
        <f aca="false">IFERROR(INDEX(ESTADO_RESULTADOS!$C$31:$N$31,MATCH(MES_REPORTE,ESTADO_RESULTADOS!$C$5:$N$5,0)),0)</f>
        <v>2372680.2</v>
      </c>
      <c r="E9" s="28" t="s">
        <v>178</v>
      </c>
      <c r="F9" s="30" t="n">
        <f aca="false">IFERROR(INDEX(ESTADO_RESULTADOS!$C$33:$N$33,MATCH(MES_REPORTE,ESTADO_RESULTADOS!$C$5:$N$5,0)),0)</f>
        <v>-6.2857850163335</v>
      </c>
      <c r="H9" s="28" t="s">
        <v>179</v>
      </c>
      <c r="I9" s="29" t="n">
        <f aca="false">SUMIFS(COMPRAS!$M$6:$M$1005,COMPRAS!$P$6:$P$1005,"Pendiente")</f>
        <v>51246</v>
      </c>
    </row>
    <row r="10" customFormat="false" ht="15" hidden="false" customHeight="false" outlineLevel="0" collapsed="false">
      <c r="B10" s="32" t="s">
        <v>180</v>
      </c>
      <c r="C10" s="33" t="n">
        <f aca="false">IFERROR(INDEX(ESTADO_RESULTADOS!$C$32:$N$32,MATCH(MES_REPORTE,ESTADO_RESULTADOS!$C$5:$N$5,0)),0)</f>
        <v>-2151073.50957183</v>
      </c>
      <c r="E10" s="28" t="s">
        <v>181</v>
      </c>
      <c r="F10" s="29" t="n">
        <f aca="false">IFERROR(INDEX(ESTADO_RESULTADOS!$C$43:$N$43,MATCH(MES_REPORTE,ESTADO_RESULTADOS!$C$5:$N$5,0)),0)</f>
        <v>-49695.389380531</v>
      </c>
      <c r="H10" s="28" t="s">
        <v>182</v>
      </c>
      <c r="I10" s="31" t="n">
        <f aca="false">COUNTIF(PRODUCTOS!$R$6:$R$105,"REVISAR PRECIO")</f>
        <v>6</v>
      </c>
    </row>
    <row r="12" customFormat="false" ht="15" hidden="false" customHeight="false" outlineLevel="0" collapsed="false">
      <c r="B12" s="5" t="s">
        <v>183</v>
      </c>
    </row>
    <row r="13" customFormat="false" ht="15" hidden="false" customHeight="false" outlineLevel="0" collapsed="false">
      <c r="B13" s="15" t="s">
        <v>184</v>
      </c>
      <c r="C13" s="15" t="s">
        <v>185</v>
      </c>
      <c r="E13" s="15" t="s">
        <v>186</v>
      </c>
      <c r="F13" s="15" t="s">
        <v>187</v>
      </c>
      <c r="H13" s="15" t="s">
        <v>188</v>
      </c>
      <c r="I13" s="15" t="s">
        <v>189</v>
      </c>
    </row>
    <row r="14" customFormat="false" ht="15" hidden="false" customHeight="false" outlineLevel="0" collapsed="false">
      <c r="B14" s="8" t="str">
        <f aca="false">IF(PRODUCTOS!$A$6="","",PRODUCTOS!$B$6)</f>
        <v>Fresas con crema Pequeño (8 oz)</v>
      </c>
      <c r="C14" s="34" t="n">
        <f aca="false">IF(PRODUCTOS!$A$6="","",SUMIFS(VENTAS!$E$6:$E$2005,VENTAS!$C$6:$C$2005,PRODUCTOS!$A$6,VENTAS!$O$6:$O$2005,MES_REPORTE))</f>
        <v>27</v>
      </c>
      <c r="E14" s="35" t="n">
        <f aca="false">IF(PRODUCTOS!$A$6="","",SUMIFS(VENTAS!$J$6:$J$2005,VENTAS!$C$6:$C$2005,PRODUCTOS!$A$6,VENTAS!$O$6:$O$2005,MES_REPORTE))</f>
        <v>46592.9203539823</v>
      </c>
      <c r="F14" s="35" t="n">
        <f aca="false">IF(PRODUCTOS!$A$6="","",SUMIFS(VENTAS!$L$6:$L$2005,VENTAS!$C$6:$C$2005,PRODUCTOS!$A$6,VENTAS!$O$6:$O$2005,MES_REPORTE))</f>
        <v>28411.9379988021</v>
      </c>
      <c r="H14" s="36" t="n">
        <f aca="false">IF(PRODUCTOS!$A$6="","",IFERROR(F14/SUM($F$14:$F$33),0))</f>
        <v>0.128208845788485</v>
      </c>
      <c r="I14" s="36" t="n">
        <f aca="false">IF(PRODUCTOS!$A$6="","",IFERROR(F14/E14,0))</f>
        <v>0.609790882025572</v>
      </c>
    </row>
    <row r="15" customFormat="false" ht="15" hidden="false" customHeight="false" outlineLevel="0" collapsed="false">
      <c r="B15" s="8" t="str">
        <f aca="false">IF(PRODUCTOS!$A$7="","",PRODUCTOS!$B$7)</f>
        <v>Fresas con crema Mediano (12 oz)</v>
      </c>
      <c r="C15" s="34" t="n">
        <f aca="false">IF(PRODUCTOS!$A$7="","",SUMIFS(VENTAS!$E$6:$E$2005,VENTAS!$C$6:$C$2005,PRODUCTOS!$A$7,VENTAS!$O$6:$O$2005,MES_REPORTE))</f>
        <v>40</v>
      </c>
      <c r="E15" s="35" t="n">
        <f aca="false">IF(PRODUCTOS!$A$7="","",SUMIFS(VENTAS!$J$6:$J$2005,VENTAS!$C$6:$C$2005,PRODUCTOS!$A$7,VENTAS!$O$6:$O$2005,MES_REPORTE))</f>
        <v>104424.778761062</v>
      </c>
      <c r="F15" s="35" t="n">
        <f aca="false">IF(PRODUCTOS!$A$7="","",SUMIFS(VENTAS!$L$6:$L$2005,VENTAS!$C$6:$C$2005,PRODUCTOS!$A$7,VENTAS!$O$6:$O$2005,MES_REPORTE))</f>
        <v>64299.3570154603</v>
      </c>
      <c r="H15" s="36" t="n">
        <f aca="false">IF(PRODUCTOS!$A$7="","",IFERROR(F15/SUM($F$14:$F$33),0))</f>
        <v>0.290150793241963</v>
      </c>
      <c r="I15" s="36" t="n">
        <f aca="false">IF(PRODUCTOS!$A$7="","",IFERROR(F15/E15,0))</f>
        <v>0.615748079893814</v>
      </c>
    </row>
    <row r="16" customFormat="false" ht="15" hidden="false" customHeight="false" outlineLevel="0" collapsed="false">
      <c r="B16" s="8" t="str">
        <f aca="false">IF(PRODUCTOS!$A$8="","",PRODUCTOS!$B$8)</f>
        <v>Fresas con crema Grande (16 oz)</v>
      </c>
      <c r="C16" s="34" t="n">
        <f aca="false">IF(PRODUCTOS!$A$8="","",SUMIFS(VENTAS!$E$6:$E$2005,VENTAS!$C$6:$C$2005,PRODUCTOS!$A$8,VENTAS!$O$6:$O$2005,MES_REPORTE))</f>
        <v>20</v>
      </c>
      <c r="E16" s="35" t="n">
        <f aca="false">IF(PRODUCTOS!$A$8="","",SUMIFS(VENTAS!$J$6:$J$2005,VENTAS!$C$6:$C$2005,PRODUCTOS!$A$8,VENTAS!$O$6:$O$2005,MES_REPORTE))</f>
        <v>87610.6194690266</v>
      </c>
      <c r="F16" s="35" t="n">
        <f aca="false">IF(PRODUCTOS!$A$8="","",SUMIFS(VENTAS!$L$6:$L$2005,VENTAS!$C$6:$C$2005,PRODUCTOS!$A$8,VENTAS!$O$6:$O$2005,MES_REPORTE))</f>
        <v>57112.9937629671</v>
      </c>
      <c r="H16" s="36" t="n">
        <f aca="false">IF(PRODUCTOS!$A$8="","",IFERROR(F16/SUM($F$14:$F$33),0))</f>
        <v>0.257722335244561</v>
      </c>
      <c r="I16" s="36" t="n">
        <f aca="false">IF(PRODUCTOS!$A$8="","",IFERROR(F16/E16,0))</f>
        <v>0.651895787395483</v>
      </c>
    </row>
    <row r="17" customFormat="false" ht="15" hidden="false" customHeight="false" outlineLevel="0" collapsed="false">
      <c r="B17" s="8" t="str">
        <f aca="false">IF(PRODUCTOS!$A$9="","",PRODUCTOS!$B$9)</f>
        <v>Fresas con crema Extra grande (24 oz)</v>
      </c>
      <c r="C17" s="34" t="n">
        <f aca="false">IF(PRODUCTOS!$A$9="","",SUMIFS(VENTAS!$E$6:$E$2005,VENTAS!$C$6:$C$2005,PRODUCTOS!$A$9,VENTAS!$O$6:$O$2005,MES_REPORTE))</f>
        <v>7</v>
      </c>
      <c r="E17" s="35" t="n">
        <f aca="false">IF(PRODUCTOS!$A$9="","",SUMIFS(VENTAS!$J$6:$J$2005,VENTAS!$C$6:$C$2005,PRODUCTOS!$A$9,VENTAS!$O$6:$O$2005,MES_REPORTE))</f>
        <v>43053.0973451327</v>
      </c>
      <c r="F17" s="35" t="n">
        <f aca="false">IF(PRODUCTOS!$A$9="","",SUMIFS(VENTAS!$L$6:$L$2005,VENTAS!$C$6:$C$2005,PRODUCTOS!$A$9,VENTAS!$O$6:$O$2005,MES_REPORTE))</f>
        <v>26601.182406599</v>
      </c>
      <c r="H17" s="36" t="n">
        <f aca="false">IF(PRODUCTOS!$A$9="","",IFERROR(F17/SUM($F$14:$F$33),0))</f>
        <v>0.120037812735717</v>
      </c>
      <c r="I17" s="36" t="n">
        <f aca="false">IF(PRODUCTOS!$A$9="","",IFERROR(F17/E17,0))</f>
        <v>0.617869190533543</v>
      </c>
    </row>
    <row r="18" customFormat="false" ht="15" hidden="false" customHeight="false" outlineLevel="0" collapsed="false">
      <c r="B18" s="8" t="str">
        <f aca="false">IF(PRODUCTOS!$A$10="","",PRODUCTOS!$B$10)</f>
        <v>Maracumango</v>
      </c>
      <c r="C18" s="34" t="n">
        <f aca="false">IF(PRODUCTOS!$A$10="","",SUMIFS(VENTAS!$E$6:$E$2005,VENTAS!$C$6:$C$2005,PRODUCTOS!$A$10,VENTAS!$O$6:$O$2005,MES_REPORTE))</f>
        <v>13</v>
      </c>
      <c r="E18" s="35" t="n">
        <f aca="false">IF(PRODUCTOS!$A$10="","",SUMIFS(VENTAS!$J$6:$J$2005,VENTAS!$C$6:$C$2005,PRODUCTOS!$A$10,VENTAS!$O$6:$O$2005,MES_REPORTE))</f>
        <v>48318.5840707965</v>
      </c>
      <c r="F18" s="35" t="n">
        <f aca="false">IF(PRODUCTOS!$A$10="","",SUMIFS(VENTAS!$L$6:$L$2005,VENTAS!$C$6:$C$2005,PRODUCTOS!$A$10,VENTAS!$O$6:$O$2005,MES_REPORTE))</f>
        <v>36509.646238082</v>
      </c>
      <c r="H18" s="36" t="n">
        <f aca="false">IF(PRODUCTOS!$A$10="","",IFERROR(F18/SUM($F$14:$F$33),0))</f>
        <v>0.164749747255107</v>
      </c>
      <c r="I18" s="36" t="n">
        <f aca="false">IF(PRODUCTOS!$A$10="","",IFERROR(F18/E18,0))</f>
        <v>0.755602568663603</v>
      </c>
    </row>
    <row r="19" customFormat="false" ht="15" hidden="false" customHeight="false" outlineLevel="0" collapsed="false">
      <c r="B19" s="8" t="str">
        <f aca="false">IF(PRODUCTOS!$A$11="","",PRODUCTOS!$B$11)</f>
        <v>Topping extra</v>
      </c>
      <c r="C19" s="34" t="n">
        <f aca="false">IF(PRODUCTOS!$A$11="","",SUMIFS(VENTAS!$E$6:$E$2005,VENTAS!$C$6:$C$2005,PRODUCTOS!$A$11,VENTAS!$O$6:$O$2005,MES_REPORTE))</f>
        <v>8</v>
      </c>
      <c r="E19" s="35" t="n">
        <f aca="false">IF(PRODUCTOS!$A$11="","",SUMIFS(VENTAS!$J$6:$J$2005,VENTAS!$C$6:$C$2005,PRODUCTOS!$A$11,VENTAS!$O$6:$O$2005,MES_REPORTE))</f>
        <v>1415.92920353982</v>
      </c>
      <c r="F19" s="35" t="n">
        <f aca="false">IF(PRODUCTOS!$A$11="","",SUMIFS(VENTAS!$L$6:$L$2005,VENTAS!$C$6:$C$2005,PRODUCTOS!$A$11,VENTAS!$O$6:$O$2005,MES_REPORTE))</f>
        <v>655.695285411168</v>
      </c>
      <c r="H19" s="36" t="n">
        <f aca="false">IF(PRODUCTOS!$A$11="","",IFERROR(F19/SUM($F$14:$F$33),0))</f>
        <v>0.00295882441159281</v>
      </c>
      <c r="I19" s="36" t="n">
        <f aca="false">IF(PRODUCTOS!$A$11="","",IFERROR(F19/E19,0))</f>
        <v>0.463084795321638</v>
      </c>
    </row>
    <row r="20" customFormat="false" ht="15" hidden="false" customHeight="false" outlineLevel="0" collapsed="false">
      <c r="B20" s="8" t="str">
        <f aca="false">IF(PRODUCTOS!$A$12="","",PRODUCTOS!$B$12)</f>
        <v>Topping extra premium</v>
      </c>
      <c r="C20" s="34" t="n">
        <f aca="false">IF(PRODUCTOS!$A$12="","",SUMIFS(VENTAS!$E$6:$E$2005,VENTAS!$C$6:$C$2005,PRODUCTOS!$A$12,VENTAS!$O$6:$O$2005,MES_REPORTE))</f>
        <v>4</v>
      </c>
      <c r="E20" s="35" t="n">
        <f aca="false">IF(PRODUCTOS!$A$12="","",SUMIFS(VENTAS!$J$6:$J$2005,VENTAS!$C$6:$C$2005,PRODUCTOS!$A$12,VENTAS!$O$6:$O$2005,MES_REPORTE))</f>
        <v>1061.94690265487</v>
      </c>
      <c r="F20" s="35" t="n">
        <f aca="false">IF(PRODUCTOS!$A$12="","",SUMIFS(VENTAS!$L$6:$L$2005,VENTAS!$C$6:$C$2005,PRODUCTOS!$A$12,VENTAS!$O$6:$O$2005,MES_REPORTE))</f>
        <v>491.946902654867</v>
      </c>
      <c r="H20" s="36" t="n">
        <f aca="false">IF(PRODUCTOS!$A$12="","",IFERROR(F20/SUM($F$14:$F$33),0))</f>
        <v>0.00221990997521042</v>
      </c>
      <c r="I20" s="36" t="n">
        <f aca="false">IF(PRODUCTOS!$A$12="","",IFERROR(F20/E20,0))</f>
        <v>0.46325</v>
      </c>
    </row>
    <row r="21" customFormat="false" ht="15" hidden="false" customHeight="false" outlineLevel="0" collapsed="false">
      <c r="B21" s="8" t="str">
        <f aca="false">IF(PRODUCTOS!$A$13="","",PRODUCTOS!$B$13)</f>
        <v>Jarabe premium (Nutella / pistacho)</v>
      </c>
      <c r="C21" s="34" t="n">
        <f aca="false">IF(PRODUCTOS!$A$13="","",SUMIFS(VENTAS!$E$6:$E$2005,VENTAS!$C$6:$C$2005,PRODUCTOS!$A$13,VENTAS!$O$6:$O$2005,MES_REPORTE))</f>
        <v>5</v>
      </c>
      <c r="E21" s="35" t="n">
        <f aca="false">IF(PRODUCTOS!$A$13="","",SUMIFS(VENTAS!$J$6:$J$2005,VENTAS!$C$6:$C$2005,PRODUCTOS!$A$13,VENTAS!$O$6:$O$2005,MES_REPORTE))</f>
        <v>1769.91150442478</v>
      </c>
      <c r="F21" s="35" t="n">
        <f aca="false">IF(PRODUCTOS!$A$13="","",SUMIFS(VENTAS!$L$6:$L$2005,VENTAS!$C$6:$C$2005,PRODUCTOS!$A$13,VENTAS!$O$6:$O$2005,MES_REPORTE))</f>
        <v>576.929048284428</v>
      </c>
      <c r="H21" s="36" t="n">
        <f aca="false">IF(PRODUCTOS!$A$13="","",IFERROR(F21/SUM($F$14:$F$33),0))</f>
        <v>0.00260339183428861</v>
      </c>
      <c r="I21" s="36" t="n">
        <f aca="false">IF(PRODUCTOS!$A$13="","",IFERROR(F21/E21,0))</f>
        <v>0.325964912280702</v>
      </c>
    </row>
    <row r="22" customFormat="false" ht="15" hidden="false" customHeight="false" outlineLevel="0" collapsed="false">
      <c r="B22" s="8" t="str">
        <f aca="false">IF(PRODUCTOS!$A$14="","",PRODUCTOS!$B$14)</f>
        <v>Brownie de la casa (lote de 20)</v>
      </c>
      <c r="C22" s="34" t="n">
        <f aca="false">IF(PRODUCTOS!$A$14="","",SUMIFS(VENTAS!$E$6:$E$2005,VENTAS!$C$6:$C$2005,PRODUCTOS!$A$14,VENTAS!$O$6:$O$2005,MES_REPORTE))</f>
        <v>6</v>
      </c>
      <c r="E22" s="35" t="n">
        <f aca="false">IF(PRODUCTOS!$A$14="","",SUMIFS(VENTAS!$J$6:$J$2005,VENTAS!$C$6:$C$2005,PRODUCTOS!$A$14,VENTAS!$O$6:$O$2005,MES_REPORTE))</f>
        <v>7964.60176991151</v>
      </c>
      <c r="F22" s="35" t="n">
        <f aca="false">IF(PRODUCTOS!$A$14="","",SUMIFS(VENTAS!$L$6:$L$2005,VENTAS!$C$6:$C$2005,PRODUCTOS!$A$14,VENTAS!$O$6:$O$2005,MES_REPORTE))</f>
        <v>6947.00176991151</v>
      </c>
      <c r="H22" s="36" t="n">
        <f aca="false">IF(PRODUCTOS!$A$14="","",IFERROR(F22/SUM($F$14:$F$33),0))</f>
        <v>0.0313483395130761</v>
      </c>
      <c r="I22" s="36" t="n">
        <f aca="false">IF(PRODUCTOS!$A$14="","",IFERROR(F22/E22,0))</f>
        <v>0.872234666666667</v>
      </c>
    </row>
    <row r="23" customFormat="false" ht="15" hidden="false" customHeight="false" outlineLevel="0" collapsed="false">
      <c r="B23" s="8" t="str">
        <f aca="false">IF(PRODUCTOS!$A$15="","",PRODUCTOS!$B$15)</f>
        <v/>
      </c>
      <c r="C23" s="34" t="str">
        <f aca="false">IF(PRODUCTOS!$A$15="","",SUMIFS(VENTAS!$E$6:$E$2005,VENTAS!$C$6:$C$2005,PRODUCTOS!$A$15,VENTAS!$O$6:$O$2005,MES_REPORTE))</f>
        <v/>
      </c>
      <c r="E23" s="35" t="str">
        <f aca="false">IF(PRODUCTOS!$A$15="","",SUMIFS(VENTAS!$J$6:$J$2005,VENTAS!$C$6:$C$2005,PRODUCTOS!$A$15,VENTAS!$O$6:$O$2005,MES_REPORTE))</f>
        <v/>
      </c>
      <c r="F23" s="35" t="str">
        <f aca="false">IF(PRODUCTOS!$A$15="","",SUMIFS(VENTAS!$L$6:$L$2005,VENTAS!$C$6:$C$2005,PRODUCTOS!$A$15,VENTAS!$O$6:$O$2005,MES_REPORTE))</f>
        <v/>
      </c>
      <c r="H23" s="36" t="str">
        <f aca="false">IF(PRODUCTOS!$A$15="","",IFERROR(F23/SUM($F$14:$F$33),0))</f>
        <v/>
      </c>
      <c r="I23" s="36" t="str">
        <f aca="false">IF(PRODUCTOS!$A$15="","",IFERROR(F23/E23,0))</f>
        <v/>
      </c>
    </row>
    <row r="24" customFormat="false" ht="15" hidden="false" customHeight="false" outlineLevel="0" collapsed="false">
      <c r="B24" s="8" t="str">
        <f aca="false">IF(PRODUCTOS!$A$16="","",PRODUCTOS!$B$16)</f>
        <v/>
      </c>
      <c r="C24" s="34" t="str">
        <f aca="false">IF(PRODUCTOS!$A$16="","",SUMIFS(VENTAS!$E$6:$E$2005,VENTAS!$C$6:$C$2005,PRODUCTOS!$A$16,VENTAS!$O$6:$O$2005,MES_REPORTE))</f>
        <v/>
      </c>
      <c r="E24" s="35" t="str">
        <f aca="false">IF(PRODUCTOS!$A$16="","",SUMIFS(VENTAS!$J$6:$J$2005,VENTAS!$C$6:$C$2005,PRODUCTOS!$A$16,VENTAS!$O$6:$O$2005,MES_REPORTE))</f>
        <v/>
      </c>
      <c r="F24" s="35" t="str">
        <f aca="false">IF(PRODUCTOS!$A$16="","",SUMIFS(VENTAS!$L$6:$L$2005,VENTAS!$C$6:$C$2005,PRODUCTOS!$A$16,VENTAS!$O$6:$O$2005,MES_REPORTE))</f>
        <v/>
      </c>
      <c r="H24" s="36" t="str">
        <f aca="false">IF(PRODUCTOS!$A$16="","",IFERROR(F24/SUM($F$14:$F$33),0))</f>
        <v/>
      </c>
      <c r="I24" s="36" t="str">
        <f aca="false">IF(PRODUCTOS!$A$16="","",IFERROR(F24/E24,0))</f>
        <v/>
      </c>
    </row>
    <row r="25" customFormat="false" ht="15" hidden="false" customHeight="false" outlineLevel="0" collapsed="false">
      <c r="B25" s="8" t="str">
        <f aca="false">IF(PRODUCTOS!$A$17="","",PRODUCTOS!$B$17)</f>
        <v/>
      </c>
      <c r="C25" s="34" t="str">
        <f aca="false">IF(PRODUCTOS!$A$17="","",SUMIFS(VENTAS!$E$6:$E$2005,VENTAS!$C$6:$C$2005,PRODUCTOS!$A$17,VENTAS!$O$6:$O$2005,MES_REPORTE))</f>
        <v/>
      </c>
      <c r="E25" s="35" t="str">
        <f aca="false">IF(PRODUCTOS!$A$17="","",SUMIFS(VENTAS!$J$6:$J$2005,VENTAS!$C$6:$C$2005,PRODUCTOS!$A$17,VENTAS!$O$6:$O$2005,MES_REPORTE))</f>
        <v/>
      </c>
      <c r="F25" s="35" t="str">
        <f aca="false">IF(PRODUCTOS!$A$17="","",SUMIFS(VENTAS!$L$6:$L$2005,VENTAS!$C$6:$C$2005,PRODUCTOS!$A$17,VENTAS!$O$6:$O$2005,MES_REPORTE))</f>
        <v/>
      </c>
      <c r="H25" s="36" t="str">
        <f aca="false">IF(PRODUCTOS!$A$17="","",IFERROR(F25/SUM($F$14:$F$33),0))</f>
        <v/>
      </c>
      <c r="I25" s="36" t="str">
        <f aca="false">IF(PRODUCTOS!$A$17="","",IFERROR(F25/E25,0))</f>
        <v/>
      </c>
    </row>
    <row r="26" customFormat="false" ht="15" hidden="false" customHeight="false" outlineLevel="0" collapsed="false">
      <c r="B26" s="8" t="str">
        <f aca="false">IF(PRODUCTOS!$A$18="","",PRODUCTOS!$B$18)</f>
        <v/>
      </c>
      <c r="C26" s="34" t="str">
        <f aca="false">IF(PRODUCTOS!$A$18="","",SUMIFS(VENTAS!$E$6:$E$2005,VENTAS!$C$6:$C$2005,PRODUCTOS!$A$18,VENTAS!$O$6:$O$2005,MES_REPORTE))</f>
        <v/>
      </c>
      <c r="E26" s="35" t="str">
        <f aca="false">IF(PRODUCTOS!$A$18="","",SUMIFS(VENTAS!$J$6:$J$2005,VENTAS!$C$6:$C$2005,PRODUCTOS!$A$18,VENTAS!$O$6:$O$2005,MES_REPORTE))</f>
        <v/>
      </c>
      <c r="F26" s="35" t="str">
        <f aca="false">IF(PRODUCTOS!$A$18="","",SUMIFS(VENTAS!$L$6:$L$2005,VENTAS!$C$6:$C$2005,PRODUCTOS!$A$18,VENTAS!$O$6:$O$2005,MES_REPORTE))</f>
        <v/>
      </c>
      <c r="H26" s="36" t="str">
        <f aca="false">IF(PRODUCTOS!$A$18="","",IFERROR(F26/SUM($F$14:$F$33),0))</f>
        <v/>
      </c>
      <c r="I26" s="36" t="str">
        <f aca="false">IF(PRODUCTOS!$A$18="","",IFERROR(F26/E26,0))</f>
        <v/>
      </c>
    </row>
    <row r="27" customFormat="false" ht="15" hidden="false" customHeight="false" outlineLevel="0" collapsed="false">
      <c r="B27" s="8" t="str">
        <f aca="false">IF(PRODUCTOS!$A$19="","",PRODUCTOS!$B$19)</f>
        <v/>
      </c>
      <c r="C27" s="34" t="str">
        <f aca="false">IF(PRODUCTOS!$A$19="","",SUMIFS(VENTAS!$E$6:$E$2005,VENTAS!$C$6:$C$2005,PRODUCTOS!$A$19,VENTAS!$O$6:$O$2005,MES_REPORTE))</f>
        <v/>
      </c>
      <c r="E27" s="35" t="str">
        <f aca="false">IF(PRODUCTOS!$A$19="","",SUMIFS(VENTAS!$J$6:$J$2005,VENTAS!$C$6:$C$2005,PRODUCTOS!$A$19,VENTAS!$O$6:$O$2005,MES_REPORTE))</f>
        <v/>
      </c>
      <c r="F27" s="35" t="str">
        <f aca="false">IF(PRODUCTOS!$A$19="","",SUMIFS(VENTAS!$L$6:$L$2005,VENTAS!$C$6:$C$2005,PRODUCTOS!$A$19,VENTAS!$O$6:$O$2005,MES_REPORTE))</f>
        <v/>
      </c>
      <c r="H27" s="36" t="str">
        <f aca="false">IF(PRODUCTOS!$A$19="","",IFERROR(F27/SUM($F$14:$F$33),0))</f>
        <v/>
      </c>
      <c r="I27" s="36" t="str">
        <f aca="false">IF(PRODUCTOS!$A$19="","",IFERROR(F27/E27,0))</f>
        <v/>
      </c>
    </row>
    <row r="28" customFormat="false" ht="15" hidden="false" customHeight="false" outlineLevel="0" collapsed="false">
      <c r="B28" s="8" t="str">
        <f aca="false">IF(PRODUCTOS!$A$20="","",PRODUCTOS!$B$20)</f>
        <v/>
      </c>
      <c r="C28" s="34" t="str">
        <f aca="false">IF(PRODUCTOS!$A$20="","",SUMIFS(VENTAS!$E$6:$E$2005,VENTAS!$C$6:$C$2005,PRODUCTOS!$A$20,VENTAS!$O$6:$O$2005,MES_REPORTE))</f>
        <v/>
      </c>
      <c r="E28" s="35" t="str">
        <f aca="false">IF(PRODUCTOS!$A$20="","",SUMIFS(VENTAS!$J$6:$J$2005,VENTAS!$C$6:$C$2005,PRODUCTOS!$A$20,VENTAS!$O$6:$O$2005,MES_REPORTE))</f>
        <v/>
      </c>
      <c r="F28" s="35" t="str">
        <f aca="false">IF(PRODUCTOS!$A$20="","",SUMIFS(VENTAS!$L$6:$L$2005,VENTAS!$C$6:$C$2005,PRODUCTOS!$A$20,VENTAS!$O$6:$O$2005,MES_REPORTE))</f>
        <v/>
      </c>
      <c r="H28" s="36" t="str">
        <f aca="false">IF(PRODUCTOS!$A$20="","",IFERROR(F28/SUM($F$14:$F$33),0))</f>
        <v/>
      </c>
      <c r="I28" s="36" t="str">
        <f aca="false">IF(PRODUCTOS!$A$20="","",IFERROR(F28/E28,0))</f>
        <v/>
      </c>
    </row>
    <row r="29" customFormat="false" ht="15" hidden="false" customHeight="false" outlineLevel="0" collapsed="false">
      <c r="B29" s="8" t="str">
        <f aca="false">IF(PRODUCTOS!$A$21="","",PRODUCTOS!$B$21)</f>
        <v/>
      </c>
      <c r="C29" s="34" t="str">
        <f aca="false">IF(PRODUCTOS!$A$21="","",SUMIFS(VENTAS!$E$6:$E$2005,VENTAS!$C$6:$C$2005,PRODUCTOS!$A$21,VENTAS!$O$6:$O$2005,MES_REPORTE))</f>
        <v/>
      </c>
      <c r="E29" s="35" t="str">
        <f aca="false">IF(PRODUCTOS!$A$21="","",SUMIFS(VENTAS!$J$6:$J$2005,VENTAS!$C$6:$C$2005,PRODUCTOS!$A$21,VENTAS!$O$6:$O$2005,MES_REPORTE))</f>
        <v/>
      </c>
      <c r="F29" s="35" t="str">
        <f aca="false">IF(PRODUCTOS!$A$21="","",SUMIFS(VENTAS!$L$6:$L$2005,VENTAS!$C$6:$C$2005,PRODUCTOS!$A$21,VENTAS!$O$6:$O$2005,MES_REPORTE))</f>
        <v/>
      </c>
      <c r="H29" s="36" t="str">
        <f aca="false">IF(PRODUCTOS!$A$21="","",IFERROR(F29/SUM($F$14:$F$33),0))</f>
        <v/>
      </c>
      <c r="I29" s="36" t="str">
        <f aca="false">IF(PRODUCTOS!$A$21="","",IFERROR(F29/E29,0))</f>
        <v/>
      </c>
    </row>
    <row r="30" customFormat="false" ht="15" hidden="false" customHeight="false" outlineLevel="0" collapsed="false">
      <c r="B30" s="8" t="str">
        <f aca="false">IF(PRODUCTOS!$A$22="","",PRODUCTOS!$B$22)</f>
        <v/>
      </c>
      <c r="C30" s="34" t="str">
        <f aca="false">IF(PRODUCTOS!$A$22="","",SUMIFS(VENTAS!$E$6:$E$2005,VENTAS!$C$6:$C$2005,PRODUCTOS!$A$22,VENTAS!$O$6:$O$2005,MES_REPORTE))</f>
        <v/>
      </c>
      <c r="E30" s="35" t="str">
        <f aca="false">IF(PRODUCTOS!$A$22="","",SUMIFS(VENTAS!$J$6:$J$2005,VENTAS!$C$6:$C$2005,PRODUCTOS!$A$22,VENTAS!$O$6:$O$2005,MES_REPORTE))</f>
        <v/>
      </c>
      <c r="F30" s="35" t="str">
        <f aca="false">IF(PRODUCTOS!$A$22="","",SUMIFS(VENTAS!$L$6:$L$2005,VENTAS!$C$6:$C$2005,PRODUCTOS!$A$22,VENTAS!$O$6:$O$2005,MES_REPORTE))</f>
        <v/>
      </c>
      <c r="H30" s="36" t="str">
        <f aca="false">IF(PRODUCTOS!$A$22="","",IFERROR(F30/SUM($F$14:$F$33),0))</f>
        <v/>
      </c>
      <c r="I30" s="36" t="str">
        <f aca="false">IF(PRODUCTOS!$A$22="","",IFERROR(F30/E30,0))</f>
        <v/>
      </c>
    </row>
    <row r="31" customFormat="false" ht="15" hidden="false" customHeight="false" outlineLevel="0" collapsed="false">
      <c r="B31" s="8" t="str">
        <f aca="false">IF(PRODUCTOS!$A$23="","",PRODUCTOS!$B$23)</f>
        <v/>
      </c>
      <c r="C31" s="34" t="str">
        <f aca="false">IF(PRODUCTOS!$A$23="","",SUMIFS(VENTAS!$E$6:$E$2005,VENTAS!$C$6:$C$2005,PRODUCTOS!$A$23,VENTAS!$O$6:$O$2005,MES_REPORTE))</f>
        <v/>
      </c>
      <c r="E31" s="35" t="str">
        <f aca="false">IF(PRODUCTOS!$A$23="","",SUMIFS(VENTAS!$J$6:$J$2005,VENTAS!$C$6:$C$2005,PRODUCTOS!$A$23,VENTAS!$O$6:$O$2005,MES_REPORTE))</f>
        <v/>
      </c>
      <c r="F31" s="35" t="str">
        <f aca="false">IF(PRODUCTOS!$A$23="","",SUMIFS(VENTAS!$L$6:$L$2005,VENTAS!$C$6:$C$2005,PRODUCTOS!$A$23,VENTAS!$O$6:$O$2005,MES_REPORTE))</f>
        <v/>
      </c>
      <c r="H31" s="36" t="str">
        <f aca="false">IF(PRODUCTOS!$A$23="","",IFERROR(F31/SUM($F$14:$F$33),0))</f>
        <v/>
      </c>
      <c r="I31" s="36" t="str">
        <f aca="false">IF(PRODUCTOS!$A$23="","",IFERROR(F31/E31,0))</f>
        <v/>
      </c>
    </row>
    <row r="32" customFormat="false" ht="15" hidden="false" customHeight="false" outlineLevel="0" collapsed="false">
      <c r="B32" s="8" t="str">
        <f aca="false">IF(PRODUCTOS!$A$24="","",PRODUCTOS!$B$24)</f>
        <v/>
      </c>
      <c r="C32" s="34" t="str">
        <f aca="false">IF(PRODUCTOS!$A$24="","",SUMIFS(VENTAS!$E$6:$E$2005,VENTAS!$C$6:$C$2005,PRODUCTOS!$A$24,VENTAS!$O$6:$O$2005,MES_REPORTE))</f>
        <v/>
      </c>
      <c r="E32" s="35" t="str">
        <f aca="false">IF(PRODUCTOS!$A$24="","",SUMIFS(VENTAS!$J$6:$J$2005,VENTAS!$C$6:$C$2005,PRODUCTOS!$A$24,VENTAS!$O$6:$O$2005,MES_REPORTE))</f>
        <v/>
      </c>
      <c r="F32" s="35" t="str">
        <f aca="false">IF(PRODUCTOS!$A$24="","",SUMIFS(VENTAS!$L$6:$L$2005,VENTAS!$C$6:$C$2005,PRODUCTOS!$A$24,VENTAS!$O$6:$O$2005,MES_REPORTE))</f>
        <v/>
      </c>
      <c r="H32" s="36" t="str">
        <f aca="false">IF(PRODUCTOS!$A$24="","",IFERROR(F32/SUM($F$14:$F$33),0))</f>
        <v/>
      </c>
      <c r="I32" s="36" t="str">
        <f aca="false">IF(PRODUCTOS!$A$24="","",IFERROR(F32/E32,0))</f>
        <v/>
      </c>
    </row>
    <row r="33" customFormat="false" ht="15" hidden="false" customHeight="false" outlineLevel="0" collapsed="false">
      <c r="B33" s="8" t="str">
        <f aca="false">IF(PRODUCTOS!$A$25="","",PRODUCTOS!$B$25)</f>
        <v/>
      </c>
      <c r="C33" s="34" t="str">
        <f aca="false">IF(PRODUCTOS!$A$25="","",SUMIFS(VENTAS!$E$6:$E$2005,VENTAS!$C$6:$C$2005,PRODUCTOS!$A$25,VENTAS!$O$6:$O$2005,MES_REPORTE))</f>
        <v/>
      </c>
      <c r="E33" s="35" t="str">
        <f aca="false">IF(PRODUCTOS!$A$25="","",SUMIFS(VENTAS!$J$6:$J$2005,VENTAS!$C$6:$C$2005,PRODUCTOS!$A$25,VENTAS!$O$6:$O$2005,MES_REPORTE))</f>
        <v/>
      </c>
      <c r="F33" s="35" t="str">
        <f aca="false">IF(PRODUCTOS!$A$25="","",SUMIFS(VENTAS!$L$6:$L$2005,VENTAS!$C$6:$C$2005,PRODUCTOS!$A$25,VENTAS!$O$6:$O$2005,MES_REPORTE))</f>
        <v/>
      </c>
      <c r="H33" s="36" t="str">
        <f aca="false">IF(PRODUCTOS!$A$25="","",IFERROR(F33/SUM($F$14:$F$33),0))</f>
        <v/>
      </c>
      <c r="I33" s="36" t="str">
        <f aca="false">IF(PRODUCTOS!$A$25="","",IFERROR(F33/E33,0))</f>
        <v/>
      </c>
    </row>
    <row r="35" customFormat="false" ht="15" hidden="false" customHeight="false" outlineLevel="0" collapsed="false">
      <c r="B35" s="5" t="s">
        <v>190</v>
      </c>
    </row>
    <row r="36" customFormat="false" ht="46.25" hidden="false" customHeight="false" outlineLevel="0" collapsed="false">
      <c r="B36" s="15" t="s">
        <v>191</v>
      </c>
      <c r="C36" s="15" t="s">
        <v>192</v>
      </c>
      <c r="E36" s="15" t="s">
        <v>193</v>
      </c>
      <c r="F36" s="15" t="s">
        <v>194</v>
      </c>
      <c r="H36" s="15" t="s">
        <v>195</v>
      </c>
    </row>
    <row r="37" customFormat="false" ht="15" hidden="false" customHeight="false" outlineLevel="0" collapsed="false">
      <c r="B37" s="8" t="str">
        <f aca="false">IFERROR(INDEX(INSUMOS!$B:$B,SMALL(INSUMOS!$AA$6:$AA$205,1)),"")</f>
        <v>Granola</v>
      </c>
      <c r="C37" s="34" t="n">
        <f aca="false">IFERROR(INDEX(INSUMOS!$T:$T,SMALL(INSUMOS!$AA$6:$AA$205,1)),"")</f>
        <v>400</v>
      </c>
      <c r="E37" s="8" t="str">
        <f aca="false">IFERROR(INDEX(INSUMOS!$J:$J,SMALL(INSUMOS!$AA$6:$AA$205,1)),"")</f>
        <v>Mayorista</v>
      </c>
      <c r="F37" s="34" t="n">
        <f aca="false">IFERROR(INDEX(INSUMOS!$Z:$Z,SMALL(INSUMOS!$AA$6:$AA$205,1)),"")</f>
        <v>1</v>
      </c>
      <c r="H37" s="8" t="str">
        <f aca="false">IFERROR(INDEX(INSUMOS!$Y:$Y,SMALL(INSUMOS!$AA$6:$AA$205,1)),"")</f>
        <v>REORDENAR</v>
      </c>
    </row>
    <row r="38" customFormat="false" ht="15" hidden="false" customHeight="false" outlineLevel="0" collapsed="false">
      <c r="B38" s="8" t="str">
        <f aca="false">IFERROR(INDEX(INSUMOS!$B:$B,SMALL(INSUMOS!$AA$6:$AA$205,2)),"")</f>
        <v/>
      </c>
      <c r="C38" s="34" t="str">
        <f aca="false">IFERROR(INDEX(INSUMOS!$T:$T,SMALL(INSUMOS!$AA$6:$AA$205,2)),"")</f>
        <v/>
      </c>
      <c r="E38" s="8" t="str">
        <f aca="false">IFERROR(INDEX(INSUMOS!$J:$J,SMALL(INSUMOS!$AA$6:$AA$205,2)),"")</f>
        <v/>
      </c>
      <c r="F38" s="34" t="str">
        <f aca="false">IFERROR(INDEX(INSUMOS!$Z:$Z,SMALL(INSUMOS!$AA$6:$AA$205,2)),"")</f>
        <v/>
      </c>
      <c r="H38" s="8" t="str">
        <f aca="false">IFERROR(INDEX(INSUMOS!$Y:$Y,SMALL(INSUMOS!$AA$6:$AA$205,2)),"")</f>
        <v/>
      </c>
    </row>
    <row r="39" customFormat="false" ht="15" hidden="false" customHeight="false" outlineLevel="0" collapsed="false">
      <c r="B39" s="8" t="str">
        <f aca="false">IFERROR(INDEX(INSUMOS!$B:$B,SMALL(INSUMOS!$AA$6:$AA$205,3)),"")</f>
        <v/>
      </c>
      <c r="C39" s="34" t="str">
        <f aca="false">IFERROR(INDEX(INSUMOS!$T:$T,SMALL(INSUMOS!$AA$6:$AA$205,3)),"")</f>
        <v/>
      </c>
      <c r="E39" s="8" t="str">
        <f aca="false">IFERROR(INDEX(INSUMOS!$J:$J,SMALL(INSUMOS!$AA$6:$AA$205,3)),"")</f>
        <v/>
      </c>
      <c r="F39" s="34" t="str">
        <f aca="false">IFERROR(INDEX(INSUMOS!$Z:$Z,SMALL(INSUMOS!$AA$6:$AA$205,3)),"")</f>
        <v/>
      </c>
      <c r="H39" s="8" t="str">
        <f aca="false">IFERROR(INDEX(INSUMOS!$Y:$Y,SMALL(INSUMOS!$AA$6:$AA$205,3)),"")</f>
        <v/>
      </c>
    </row>
    <row r="40" customFormat="false" ht="15" hidden="false" customHeight="false" outlineLevel="0" collapsed="false">
      <c r="B40" s="8" t="str">
        <f aca="false">IFERROR(INDEX(INSUMOS!$B:$B,SMALL(INSUMOS!$AA$6:$AA$205,4)),"")</f>
        <v/>
      </c>
      <c r="C40" s="34" t="str">
        <f aca="false">IFERROR(INDEX(INSUMOS!$T:$T,SMALL(INSUMOS!$AA$6:$AA$205,4)),"")</f>
        <v/>
      </c>
      <c r="E40" s="8" t="str">
        <f aca="false">IFERROR(INDEX(INSUMOS!$J:$J,SMALL(INSUMOS!$AA$6:$AA$205,4)),"")</f>
        <v/>
      </c>
      <c r="F40" s="34" t="str">
        <f aca="false">IFERROR(INDEX(INSUMOS!$Z:$Z,SMALL(INSUMOS!$AA$6:$AA$205,4)),"")</f>
        <v/>
      </c>
      <c r="H40" s="8" t="str">
        <f aca="false">IFERROR(INDEX(INSUMOS!$Y:$Y,SMALL(INSUMOS!$AA$6:$AA$205,4)),"")</f>
        <v/>
      </c>
    </row>
    <row r="41" customFormat="false" ht="15" hidden="false" customHeight="false" outlineLevel="0" collapsed="false">
      <c r="B41" s="8" t="str">
        <f aca="false">IFERROR(INDEX(INSUMOS!$B:$B,SMALL(INSUMOS!$AA$6:$AA$205,5)),"")</f>
        <v/>
      </c>
      <c r="C41" s="34" t="str">
        <f aca="false">IFERROR(INDEX(INSUMOS!$T:$T,SMALL(INSUMOS!$AA$6:$AA$205,5)),"")</f>
        <v/>
      </c>
      <c r="E41" s="8" t="str">
        <f aca="false">IFERROR(INDEX(INSUMOS!$J:$J,SMALL(INSUMOS!$AA$6:$AA$205,5)),"")</f>
        <v/>
      </c>
      <c r="F41" s="34" t="str">
        <f aca="false">IFERROR(INDEX(INSUMOS!$Z:$Z,SMALL(INSUMOS!$AA$6:$AA$205,5)),"")</f>
        <v/>
      </c>
      <c r="H41" s="8" t="str">
        <f aca="false">IFERROR(INDEX(INSUMOS!$Y:$Y,SMALL(INSUMOS!$AA$6:$AA$205,5)),"")</f>
        <v/>
      </c>
    </row>
    <row r="42" customFormat="false" ht="15" hidden="false" customHeight="false" outlineLevel="0" collapsed="false">
      <c r="B42" s="8" t="str">
        <f aca="false">IFERROR(INDEX(INSUMOS!$B:$B,SMALL(INSUMOS!$AA$6:$AA$205,6)),"")</f>
        <v/>
      </c>
      <c r="C42" s="34" t="str">
        <f aca="false">IFERROR(INDEX(INSUMOS!$T:$T,SMALL(INSUMOS!$AA$6:$AA$205,6)),"")</f>
        <v/>
      </c>
      <c r="E42" s="8" t="str">
        <f aca="false">IFERROR(INDEX(INSUMOS!$J:$J,SMALL(INSUMOS!$AA$6:$AA$205,6)),"")</f>
        <v/>
      </c>
      <c r="F42" s="34" t="str">
        <f aca="false">IFERROR(INDEX(INSUMOS!$Z:$Z,SMALL(INSUMOS!$AA$6:$AA$205,6)),"")</f>
        <v/>
      </c>
      <c r="H42" s="8" t="str">
        <f aca="false">IFERROR(INDEX(INSUMOS!$Y:$Y,SMALL(INSUMOS!$AA$6:$AA$205,6)),"")</f>
        <v/>
      </c>
    </row>
    <row r="43" customFormat="false" ht="15" hidden="false" customHeight="false" outlineLevel="0" collapsed="false">
      <c r="B43" s="8" t="str">
        <f aca="false">IFERROR(INDEX(INSUMOS!$B:$B,SMALL(INSUMOS!$AA$6:$AA$205,7)),"")</f>
        <v/>
      </c>
      <c r="C43" s="34" t="str">
        <f aca="false">IFERROR(INDEX(INSUMOS!$T:$T,SMALL(INSUMOS!$AA$6:$AA$205,7)),"")</f>
        <v/>
      </c>
      <c r="E43" s="8" t="str">
        <f aca="false">IFERROR(INDEX(INSUMOS!$J:$J,SMALL(INSUMOS!$AA$6:$AA$205,7)),"")</f>
        <v/>
      </c>
      <c r="F43" s="34" t="str">
        <f aca="false">IFERROR(INDEX(INSUMOS!$Z:$Z,SMALL(INSUMOS!$AA$6:$AA$205,7)),"")</f>
        <v/>
      </c>
      <c r="H43" s="8" t="str">
        <f aca="false">IFERROR(INDEX(INSUMOS!$Y:$Y,SMALL(INSUMOS!$AA$6:$AA$205,7)),"")</f>
        <v/>
      </c>
    </row>
    <row r="44" customFormat="false" ht="15" hidden="false" customHeight="false" outlineLevel="0" collapsed="false">
      <c r="B44" s="8" t="str">
        <f aca="false">IFERROR(INDEX(INSUMOS!$B:$B,SMALL(INSUMOS!$AA$6:$AA$205,8)),"")</f>
        <v/>
      </c>
      <c r="C44" s="34" t="str">
        <f aca="false">IFERROR(INDEX(INSUMOS!$T:$T,SMALL(INSUMOS!$AA$6:$AA$205,8)),"")</f>
        <v/>
      </c>
      <c r="E44" s="8" t="str">
        <f aca="false">IFERROR(INDEX(INSUMOS!$J:$J,SMALL(INSUMOS!$AA$6:$AA$205,8)),"")</f>
        <v/>
      </c>
      <c r="F44" s="34" t="str">
        <f aca="false">IFERROR(INDEX(INSUMOS!$Z:$Z,SMALL(INSUMOS!$AA$6:$AA$205,8)),"")</f>
        <v/>
      </c>
      <c r="H44" s="8" t="str">
        <f aca="false">IFERROR(INDEX(INSUMOS!$Y:$Y,SMALL(INSUMOS!$AA$6:$AA$205,8)),"")</f>
        <v/>
      </c>
    </row>
    <row r="45" customFormat="false" ht="15" hidden="false" customHeight="false" outlineLevel="0" collapsed="false">
      <c r="B45" s="8" t="str">
        <f aca="false">IFERROR(INDEX(INSUMOS!$B:$B,SMALL(INSUMOS!$AA$6:$AA$205,9)),"")</f>
        <v/>
      </c>
      <c r="C45" s="34" t="str">
        <f aca="false">IFERROR(INDEX(INSUMOS!$T:$T,SMALL(INSUMOS!$AA$6:$AA$205,9)),"")</f>
        <v/>
      </c>
      <c r="E45" s="8" t="str">
        <f aca="false">IFERROR(INDEX(INSUMOS!$J:$J,SMALL(INSUMOS!$AA$6:$AA$205,9)),"")</f>
        <v/>
      </c>
      <c r="F45" s="34" t="str">
        <f aca="false">IFERROR(INDEX(INSUMOS!$Z:$Z,SMALL(INSUMOS!$AA$6:$AA$205,9)),"")</f>
        <v/>
      </c>
      <c r="H45" s="8" t="str">
        <f aca="false">IFERROR(INDEX(INSUMOS!$Y:$Y,SMALL(INSUMOS!$AA$6:$AA$205,9)),"")</f>
        <v/>
      </c>
    </row>
    <row r="46" customFormat="false" ht="15" hidden="false" customHeight="false" outlineLevel="0" collapsed="false">
      <c r="B46" s="8" t="str">
        <f aca="false">IFERROR(INDEX(INSUMOS!$B:$B,SMALL(INSUMOS!$AA$6:$AA$205,10)),"")</f>
        <v/>
      </c>
      <c r="C46" s="34" t="str">
        <f aca="false">IFERROR(INDEX(INSUMOS!$T:$T,SMALL(INSUMOS!$AA$6:$AA$205,10)),"")</f>
        <v/>
      </c>
      <c r="E46" s="8" t="str">
        <f aca="false">IFERROR(INDEX(INSUMOS!$J:$J,SMALL(INSUMOS!$AA$6:$AA$205,10)),"")</f>
        <v/>
      </c>
      <c r="F46" s="34" t="str">
        <f aca="false">IFERROR(INDEX(INSUMOS!$Z:$Z,SMALL(INSUMOS!$AA$6:$AA$205,10)),"")</f>
        <v/>
      </c>
      <c r="H46" s="8" t="str">
        <f aca="false">IFERROR(INDEX(INSUMOS!$Y:$Y,SMALL(INSUMOS!$AA$6:$AA$205,10)),"")</f>
        <v/>
      </c>
    </row>
    <row r="47" customFormat="false" ht="15" hidden="false" customHeight="false" outlineLevel="0" collapsed="false">
      <c r="B47" s="8" t="str">
        <f aca="false">IFERROR(INDEX(INSUMOS!$B:$B,SMALL(INSUMOS!$AA$6:$AA$205,11)),"")</f>
        <v/>
      </c>
      <c r="C47" s="34" t="str">
        <f aca="false">IFERROR(INDEX(INSUMOS!$T:$T,SMALL(INSUMOS!$AA$6:$AA$205,11)),"")</f>
        <v/>
      </c>
      <c r="E47" s="8" t="str">
        <f aca="false">IFERROR(INDEX(INSUMOS!$J:$J,SMALL(INSUMOS!$AA$6:$AA$205,11)),"")</f>
        <v/>
      </c>
      <c r="F47" s="34" t="str">
        <f aca="false">IFERROR(INDEX(INSUMOS!$Z:$Z,SMALL(INSUMOS!$AA$6:$AA$205,11)),"")</f>
        <v/>
      </c>
      <c r="H47" s="8" t="str">
        <f aca="false">IFERROR(INDEX(INSUMOS!$Y:$Y,SMALL(INSUMOS!$AA$6:$AA$205,11)),"")</f>
        <v/>
      </c>
    </row>
    <row r="48" customFormat="false" ht="15" hidden="false" customHeight="false" outlineLevel="0" collapsed="false">
      <c r="B48" s="8" t="str">
        <f aca="false">IFERROR(INDEX(INSUMOS!$B:$B,SMALL(INSUMOS!$AA$6:$AA$205,12)),"")</f>
        <v/>
      </c>
      <c r="C48" s="34" t="str">
        <f aca="false">IFERROR(INDEX(INSUMOS!$T:$T,SMALL(INSUMOS!$AA$6:$AA$205,12)),"")</f>
        <v/>
      </c>
      <c r="E48" s="8" t="str">
        <f aca="false">IFERROR(INDEX(INSUMOS!$J:$J,SMALL(INSUMOS!$AA$6:$AA$205,12)),"")</f>
        <v/>
      </c>
      <c r="F48" s="34" t="str">
        <f aca="false">IFERROR(INDEX(INSUMOS!$Z:$Z,SMALL(INSUMOS!$AA$6:$AA$205,12)),"")</f>
        <v/>
      </c>
      <c r="H48" s="8" t="str">
        <f aca="false">IFERROR(INDEX(INSUMOS!$Y:$Y,SMALL(INSUMOS!$AA$6:$AA$205,12)),"")</f>
        <v/>
      </c>
    </row>
    <row r="49" customFormat="false" ht="15" hidden="false" customHeight="false" outlineLevel="0" collapsed="false">
      <c r="B49" s="8" t="str">
        <f aca="false">IFERROR(INDEX(INSUMOS!$B:$B,SMALL(INSUMOS!$AA$6:$AA$205,13)),"")</f>
        <v/>
      </c>
      <c r="C49" s="34" t="str">
        <f aca="false">IFERROR(INDEX(INSUMOS!$T:$T,SMALL(INSUMOS!$AA$6:$AA$205,13)),"")</f>
        <v/>
      </c>
      <c r="E49" s="8" t="str">
        <f aca="false">IFERROR(INDEX(INSUMOS!$J:$J,SMALL(INSUMOS!$AA$6:$AA$205,13)),"")</f>
        <v/>
      </c>
      <c r="F49" s="34" t="str">
        <f aca="false">IFERROR(INDEX(INSUMOS!$Z:$Z,SMALL(INSUMOS!$AA$6:$AA$205,13)),"")</f>
        <v/>
      </c>
      <c r="H49" s="8" t="str">
        <f aca="false">IFERROR(INDEX(INSUMOS!$Y:$Y,SMALL(INSUMOS!$AA$6:$AA$205,13)),"")</f>
        <v/>
      </c>
    </row>
    <row r="50" customFormat="false" ht="15" hidden="false" customHeight="false" outlineLevel="0" collapsed="false">
      <c r="B50" s="8" t="str">
        <f aca="false">IFERROR(INDEX(INSUMOS!$B:$B,SMALL(INSUMOS!$AA$6:$AA$205,14)),"")</f>
        <v/>
      </c>
      <c r="C50" s="34" t="str">
        <f aca="false">IFERROR(INDEX(INSUMOS!$T:$T,SMALL(INSUMOS!$AA$6:$AA$205,14)),"")</f>
        <v/>
      </c>
      <c r="E50" s="8" t="str">
        <f aca="false">IFERROR(INDEX(INSUMOS!$J:$J,SMALL(INSUMOS!$AA$6:$AA$205,14)),"")</f>
        <v/>
      </c>
      <c r="F50" s="34" t="str">
        <f aca="false">IFERROR(INDEX(INSUMOS!$Z:$Z,SMALL(INSUMOS!$AA$6:$AA$205,14)),"")</f>
        <v/>
      </c>
      <c r="H50" s="8" t="str">
        <f aca="false">IFERROR(INDEX(INSUMOS!$Y:$Y,SMALL(INSUMOS!$AA$6:$AA$205,14)),"")</f>
        <v/>
      </c>
    </row>
    <row r="51" customFormat="false" ht="15" hidden="false" customHeight="false" outlineLevel="0" collapsed="false">
      <c r="B51" s="8" t="str">
        <f aca="false">IFERROR(INDEX(INSUMOS!$B:$B,SMALL(INSUMOS!$AA$6:$AA$205,15)),"")</f>
        <v/>
      </c>
      <c r="C51" s="34" t="str">
        <f aca="false">IFERROR(INDEX(INSUMOS!$T:$T,SMALL(INSUMOS!$AA$6:$AA$205,15)),"")</f>
        <v/>
      </c>
      <c r="E51" s="8" t="str">
        <f aca="false">IFERROR(INDEX(INSUMOS!$J:$J,SMALL(INSUMOS!$AA$6:$AA$205,15)),"")</f>
        <v/>
      </c>
      <c r="F51" s="34" t="str">
        <f aca="false">IFERROR(INDEX(INSUMOS!$Z:$Z,SMALL(INSUMOS!$AA$6:$AA$205,15)),"")</f>
        <v/>
      </c>
      <c r="H51" s="8" t="str">
        <f aca="false">IFERROR(INDEX(INSUMOS!$Y:$Y,SMALL(INSUMOS!$AA$6:$AA$205,15)),"")</f>
        <v/>
      </c>
    </row>
  </sheetData>
  <conditionalFormatting sqref="F6">
    <cfRule type="expression" priority="2" aboveAverage="0" equalAverage="0" bottom="0" percent="0" rank="0" text="" dxfId="0">
      <formula>$F$6&gt;FOODCOST_MAX</formula>
    </cfRule>
  </conditionalFormatting>
  <conditionalFormatting sqref="H14:H33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{A1C5A0A7-7090-4645-B1EB-B9FADAFDB1F4}</x14:id>
        </ext>
      </extLst>
    </cfRule>
  </conditionalFormatting>
  <conditionalFormatting sqref="H37:H51">
    <cfRule type="expression" priority="4" aboveAverage="0" equalAverage="0" bottom="0" percent="0" rank="0" text="" dxfId="1">
      <formula>$H37="AGOTADO"</formula>
    </cfRule>
    <cfRule type="expression" priority="5" aboveAverage="0" equalAverage="0" bottom="0" percent="0" rank="0" text="" dxfId="2">
      <formula>$H37="REORDENAR"</formula>
    </cfRule>
    <cfRule type="expression" priority="6" aboveAverage="0" equalAverage="0" bottom="0" percent="0" rank="0" text="" dxfId="3">
      <formula>$H37="OK"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5A0A7-7090-4645-B1EB-B9FADAFDB1F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H14:H33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8B"/>
    <pageSetUpPr fitToPage="false"/>
  </sheetPr>
  <dimension ref="A1:AA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5" min="11" style="0" width="11"/>
    <col collapsed="false" customWidth="true" hidden="false" outlineLevel="0" max="16" min="16" style="0" width="12"/>
    <col collapsed="false" customWidth="true" hidden="false" outlineLevel="0" max="18" min="17" style="0" width="11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3" min="22" style="0" width="11"/>
    <col collapsed="false" customWidth="true" hidden="false" outlineLevel="0" max="26" min="24" style="0" width="12"/>
    <col collapsed="false" customWidth="true" hidden="true" outlineLevel="0" max="27" min="27" style="0" width="6"/>
  </cols>
  <sheetData>
    <row r="1" customFormat="false" ht="19.7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3" customFormat="false" ht="15" hidden="false" customHeight="false" outlineLevel="0" collapsed="false">
      <c r="A3" s="2" t="s">
        <v>198</v>
      </c>
    </row>
    <row r="4" customFormat="false" ht="15" hidden="false" customHeight="false" outlineLevel="0" collapsed="false">
      <c r="T4" s="37" t="s">
        <v>199</v>
      </c>
      <c r="U4" s="38" t="n">
        <f aca="false">SUM(U6:U205)</f>
        <v>388439.301047641</v>
      </c>
      <c r="W4" s="3" t="s">
        <v>200</v>
      </c>
      <c r="X4" s="38" t="n">
        <f aca="false">SUM(X6:X205)</f>
        <v>0</v>
      </c>
    </row>
    <row r="5" customFormat="false" ht="42" hidden="false" customHeight="true" outlineLevel="0" collapsed="false">
      <c r="A5" s="16" t="s">
        <v>201</v>
      </c>
      <c r="B5" s="16" t="s">
        <v>191</v>
      </c>
      <c r="C5" s="16" t="s">
        <v>202</v>
      </c>
      <c r="D5" s="16" t="s">
        <v>203</v>
      </c>
      <c r="E5" s="16" t="s">
        <v>204</v>
      </c>
      <c r="F5" s="16" t="s">
        <v>205</v>
      </c>
      <c r="G5" s="16" t="s">
        <v>206</v>
      </c>
      <c r="H5" s="16" t="s">
        <v>207</v>
      </c>
      <c r="I5" s="16" t="s">
        <v>208</v>
      </c>
      <c r="J5" s="16" t="s">
        <v>209</v>
      </c>
      <c r="K5" s="16" t="s">
        <v>210</v>
      </c>
      <c r="L5" s="16" t="s">
        <v>211</v>
      </c>
      <c r="M5" s="15" t="s">
        <v>212</v>
      </c>
      <c r="N5" s="15" t="s">
        <v>213</v>
      </c>
      <c r="O5" s="15" t="s">
        <v>214</v>
      </c>
      <c r="P5" s="15" t="s">
        <v>215</v>
      </c>
      <c r="Q5" s="15" t="s">
        <v>216</v>
      </c>
      <c r="R5" s="15" t="s">
        <v>217</v>
      </c>
      <c r="S5" s="15" t="s">
        <v>218</v>
      </c>
      <c r="T5" s="15" t="s">
        <v>219</v>
      </c>
      <c r="U5" s="15" t="s">
        <v>220</v>
      </c>
      <c r="V5" s="16" t="s">
        <v>221</v>
      </c>
      <c r="W5" s="15" t="s">
        <v>222</v>
      </c>
      <c r="X5" s="15" t="s">
        <v>223</v>
      </c>
      <c r="Y5" s="15" t="s">
        <v>195</v>
      </c>
      <c r="Z5" s="15" t="s">
        <v>224</v>
      </c>
      <c r="AA5" s="15" t="s">
        <v>225</v>
      </c>
    </row>
    <row r="6" customFormat="false" ht="15" hidden="false" customHeight="false" outlineLevel="0" collapsed="false">
      <c r="A6" s="6" t="s">
        <v>226</v>
      </c>
      <c r="B6" s="6" t="s">
        <v>227</v>
      </c>
      <c r="C6" s="6" t="s">
        <v>70</v>
      </c>
      <c r="D6" s="6" t="s">
        <v>71</v>
      </c>
      <c r="E6" s="6" t="s">
        <v>228</v>
      </c>
      <c r="F6" s="39" t="n">
        <v>5000</v>
      </c>
      <c r="G6" s="40" t="n">
        <v>14000</v>
      </c>
      <c r="H6" s="41" t="n">
        <v>0.01</v>
      </c>
      <c r="I6" s="41" t="n">
        <v>0.85</v>
      </c>
      <c r="J6" s="6" t="s">
        <v>229</v>
      </c>
      <c r="K6" s="42" t="n">
        <v>5000</v>
      </c>
      <c r="L6" s="42" t="n">
        <v>12000</v>
      </c>
      <c r="M6" s="43" t="n">
        <f aca="false">IF($A6="","",IFERROR($G6/$F6,0))</f>
        <v>2.8</v>
      </c>
      <c r="N6" s="43" t="n">
        <f aca="false">IF($A6="","",IFERROR(SUMIFS(COMPRAS!$N$6:$N$1005,COMPRAS!$D$6:$D$1005,$A6,COMPRAS!$R$6:$R$1005,1)/COUNTIFS(COMPRAS!$D$6:$D$1005,$A6,COMPRAS!$R$6:$R$1005,1),0))</f>
        <v>2.8</v>
      </c>
      <c r="O6" s="43" t="n">
        <f aca="false">IF($A6="","",IF($N6&gt;0,$N6,$M6))</f>
        <v>2.8</v>
      </c>
      <c r="P6" s="43" t="n">
        <f aca="false">IF($A6="","",IF(N($I6)&gt;0,$O6/$I6,$O6))</f>
        <v>3.29411764705882</v>
      </c>
      <c r="Q6" s="34" t="n">
        <f aca="false">IF($A6="","",SUMIFS(COMPRAS!$I$6:$I$1005,COMPRAS!$D$6:$D$1005,$A6))</f>
        <v>15000</v>
      </c>
      <c r="R6" s="34" t="n">
        <f aca="false">IF($A6="","",SUMIFS(RECETAS!$L$6:$L$605,RECETAS!$C$6:$C$605,$A6))</f>
        <v>17258.8235294118</v>
      </c>
      <c r="S6" s="34" t="n">
        <f aca="false">IF($A6="","",SUMIFS(MERMAS!$J$6:$J$505,MERMAS!$B$6:$B$505,$A6))</f>
        <v>-600</v>
      </c>
      <c r="T6" s="34" t="n">
        <f aca="false">IF($A6="","",N($L6)+$Q6-$R6+$S6)</f>
        <v>9141.17647058823</v>
      </c>
      <c r="U6" s="35" t="n">
        <f aca="false">IF($A6="","",$T6*$O6)</f>
        <v>25595.2941176471</v>
      </c>
      <c r="V6" s="42"/>
      <c r="W6" s="34" t="str">
        <f aca="false">IF(OR($A6="",$V6=""),"",$V6-$T6)</f>
        <v/>
      </c>
      <c r="X6" s="35" t="str">
        <f aca="false">IF($W6="","",$W6*$O6)</f>
        <v/>
      </c>
      <c r="Y6" s="8" t="str">
        <f aca="false">IF($A6="","",IF($T6&lt;=0,"AGOTADO",IF($T6&lt;=N($K6),"REORDENAR","OK")))</f>
        <v>OK</v>
      </c>
      <c r="Z6" s="34" t="n">
        <f aca="false">IF($A6="","",IF($T6&lt;=N($K6),ROUNDUP((2*N($K6)-$T6)/$F6,0),0))</f>
        <v>0</v>
      </c>
      <c r="AA6" s="8" t="str">
        <f aca="false">IF(OR($Y6="REORDENAR",$Y6="AGOTADO"),ROW(),"")</f>
        <v/>
      </c>
    </row>
    <row r="7" customFormat="false" ht="15" hidden="false" customHeight="false" outlineLevel="0" collapsed="false">
      <c r="A7" s="6" t="s">
        <v>230</v>
      </c>
      <c r="B7" s="6" t="s">
        <v>231</v>
      </c>
      <c r="C7" s="6" t="s">
        <v>70</v>
      </c>
      <c r="D7" s="6" t="s">
        <v>71</v>
      </c>
      <c r="E7" s="6" t="s">
        <v>232</v>
      </c>
      <c r="F7" s="39" t="n">
        <v>1000</v>
      </c>
      <c r="G7" s="40" t="n">
        <v>1200</v>
      </c>
      <c r="H7" s="41" t="n">
        <v>0.01</v>
      </c>
      <c r="I7" s="41" t="n">
        <v>0.65</v>
      </c>
      <c r="J7" s="6" t="s">
        <v>229</v>
      </c>
      <c r="K7" s="42" t="n">
        <v>2000</v>
      </c>
      <c r="L7" s="42" t="n">
        <v>5000</v>
      </c>
      <c r="M7" s="43" t="n">
        <f aca="false">IF($A7="","",IFERROR($G7/$F7,0))</f>
        <v>1.2</v>
      </c>
      <c r="N7" s="43" t="n">
        <f aca="false">IF($A7="","",IFERROR(SUMIFS(COMPRAS!$N$6:$N$1005,COMPRAS!$D$6:$D$1005,$A7,COMPRAS!$R$6:$R$1005,1)/COUNTIFS(COMPRAS!$D$6:$D$1005,$A7,COMPRAS!$R$6:$R$1005,1),0))</f>
        <v>1.3</v>
      </c>
      <c r="O7" s="43" t="n">
        <f aca="false">IF($A7="","",IF($N7&gt;0,$N7,$M7))</f>
        <v>1.3</v>
      </c>
      <c r="P7" s="43" t="n">
        <f aca="false">IF($A7="","",IF(N($I7)&gt;0,$O7/$I7,$O7))</f>
        <v>2</v>
      </c>
      <c r="Q7" s="34" t="n">
        <f aca="false">IF($A7="","",SUMIFS(COMPRAS!$I$6:$I$1005,COMPRAS!$D$6:$D$1005,$A7))</f>
        <v>5000</v>
      </c>
      <c r="R7" s="34" t="n">
        <f aca="false">IF($A7="","",SUMIFS(RECETAS!$L$6:$L$605,RECETAS!$C$6:$C$605,$A7))</f>
        <v>3600</v>
      </c>
      <c r="S7" s="34" t="n">
        <f aca="false">IF($A7="","",SUMIFS(MERMAS!$J$6:$J$505,MERMAS!$B$6:$B$505,$A7))</f>
        <v>0</v>
      </c>
      <c r="T7" s="34" t="n">
        <f aca="false">IF($A7="","",N($L7)+$Q7-$R7+$S7)</f>
        <v>6400</v>
      </c>
      <c r="U7" s="35" t="n">
        <f aca="false">IF($A7="","",$T7*$O7)</f>
        <v>8320</v>
      </c>
      <c r="V7" s="42"/>
      <c r="W7" s="34" t="str">
        <f aca="false">IF(OR($A7="",$V7=""),"",$V7-$T7)</f>
        <v/>
      </c>
      <c r="X7" s="35" t="str">
        <f aca="false">IF($W7="","",$W7*$O7)</f>
        <v/>
      </c>
      <c r="Y7" s="8" t="str">
        <f aca="false">IF($A7="","",IF($T7&lt;=0,"AGOTADO",IF($T7&lt;=N($K7),"REORDENAR","OK")))</f>
        <v>OK</v>
      </c>
      <c r="Z7" s="34" t="n">
        <f aca="false">IF($A7="","",IF($T7&lt;=N($K7),ROUNDUP((2*N($K7)-$T7)/$F7,0),0))</f>
        <v>0</v>
      </c>
      <c r="AA7" s="8" t="str">
        <f aca="false">IF(OR($Y7="REORDENAR",$Y7="AGOTADO"),ROW(),"")</f>
        <v/>
      </c>
    </row>
    <row r="8" customFormat="false" ht="15" hidden="false" customHeight="false" outlineLevel="0" collapsed="false">
      <c r="A8" s="6" t="s">
        <v>233</v>
      </c>
      <c r="B8" s="6" t="s">
        <v>234</v>
      </c>
      <c r="C8" s="6" t="s">
        <v>70</v>
      </c>
      <c r="D8" s="6" t="s">
        <v>71</v>
      </c>
      <c r="E8" s="6" t="s">
        <v>235</v>
      </c>
      <c r="F8" s="39" t="n">
        <v>1000</v>
      </c>
      <c r="G8" s="40" t="n">
        <v>2800</v>
      </c>
      <c r="H8" s="41" t="n">
        <v>0.01</v>
      </c>
      <c r="I8" s="41" t="n">
        <v>1</v>
      </c>
      <c r="J8" s="6" t="s">
        <v>236</v>
      </c>
      <c r="K8" s="42" t="n">
        <v>1000</v>
      </c>
      <c r="L8" s="42" t="n">
        <v>3000</v>
      </c>
      <c r="M8" s="43" t="n">
        <f aca="false">IF($A8="","",IFERROR($G8/$F8,0))</f>
        <v>2.8</v>
      </c>
      <c r="N8" s="43" t="n">
        <f aca="false">IF($A8="","",IFERROR(SUMIFS(COMPRAS!$N$6:$N$1005,COMPRAS!$D$6:$D$1005,$A8,COMPRAS!$R$6:$R$1005,1)/COUNTIFS(COMPRAS!$D$6:$D$1005,$A8,COMPRAS!$R$6:$R$1005,1),0))</f>
        <v>0</v>
      </c>
      <c r="O8" s="43" t="n">
        <f aca="false">IF($A8="","",IF($N8&gt;0,$N8,$M8))</f>
        <v>2.8</v>
      </c>
      <c r="P8" s="43" t="n">
        <f aca="false">IF($A8="","",IF(N($I8)&gt;0,$O8/$I8,$O8))</f>
        <v>2.8</v>
      </c>
      <c r="Q8" s="34" t="n">
        <f aca="false">IF($A8="","",SUMIFS(COMPRAS!$I$6:$I$1005,COMPRAS!$D$6:$D$1005,$A8))</f>
        <v>0</v>
      </c>
      <c r="R8" s="34" t="n">
        <f aca="false">IF($A8="","",SUMIFS(RECETAS!$L$6:$L$605,RECETAS!$C$6:$C$605,$A8))</f>
        <v>780</v>
      </c>
      <c r="S8" s="34" t="n">
        <f aca="false">IF($A8="","",SUMIFS(MERMAS!$J$6:$J$505,MERMAS!$B$6:$B$505,$A8))</f>
        <v>0</v>
      </c>
      <c r="T8" s="34" t="n">
        <f aca="false">IF($A8="","",N($L8)+$Q8-$R8+$S8)</f>
        <v>2220</v>
      </c>
      <c r="U8" s="35" t="n">
        <f aca="false">IF($A8="","",$T8*$O8)</f>
        <v>6216</v>
      </c>
      <c r="V8" s="42"/>
      <c r="W8" s="34" t="str">
        <f aca="false">IF(OR($A8="",$V8=""),"",$V8-$T8)</f>
        <v/>
      </c>
      <c r="X8" s="35" t="str">
        <f aca="false">IF($W8="","",$W8*$O8)</f>
        <v/>
      </c>
      <c r="Y8" s="8" t="str">
        <f aca="false">IF($A8="","",IF($T8&lt;=0,"AGOTADO",IF($T8&lt;=N($K8),"REORDENAR","OK")))</f>
        <v>OK</v>
      </c>
      <c r="Z8" s="34" t="n">
        <f aca="false">IF($A8="","",IF($T8&lt;=N($K8),ROUNDUP((2*N($K8)-$T8)/$F8,0),0))</f>
        <v>0</v>
      </c>
      <c r="AA8" s="8" t="str">
        <f aca="false">IF(OR($Y8="REORDENAR",$Y8="AGOTADO"),ROW(),"")</f>
        <v/>
      </c>
    </row>
    <row r="9" customFormat="false" ht="15" hidden="false" customHeight="false" outlineLevel="0" collapsed="false">
      <c r="A9" s="6" t="s">
        <v>237</v>
      </c>
      <c r="B9" s="6" t="s">
        <v>238</v>
      </c>
      <c r="C9" s="6" t="s">
        <v>82</v>
      </c>
      <c r="D9" s="6" t="s">
        <v>83</v>
      </c>
      <c r="E9" s="6" t="s">
        <v>239</v>
      </c>
      <c r="F9" s="39" t="n">
        <v>1000</v>
      </c>
      <c r="G9" s="40" t="n">
        <v>2500</v>
      </c>
      <c r="H9" s="41" t="n">
        <v>0.01</v>
      </c>
      <c r="I9" s="41" t="n">
        <v>1</v>
      </c>
      <c r="J9" s="6" t="s">
        <v>240</v>
      </c>
      <c r="K9" s="42" t="n">
        <v>4000</v>
      </c>
      <c r="L9" s="42" t="n">
        <v>10000</v>
      </c>
      <c r="M9" s="43" t="n">
        <f aca="false">IF($A9="","",IFERROR($G9/$F9,0))</f>
        <v>2.5</v>
      </c>
      <c r="N9" s="43" t="n">
        <f aca="false">IF($A9="","",IFERROR(SUMIFS(COMPRAS!$N$6:$N$1005,COMPRAS!$D$6:$D$1005,$A9,COMPRAS!$R$6:$R$1005,1)/COUNTIFS(COMPRAS!$D$6:$D$1005,$A9,COMPRAS!$R$6:$R$1005,1),0))</f>
        <v>2.55</v>
      </c>
      <c r="O9" s="43" t="n">
        <f aca="false">IF($A9="","",IF($N9&gt;0,$N9,$M9))</f>
        <v>2.55</v>
      </c>
      <c r="P9" s="43" t="n">
        <f aca="false">IF($A9="","",IF(N($I9)&gt;0,$O9/$I9,$O9))</f>
        <v>2.55</v>
      </c>
      <c r="Q9" s="34" t="n">
        <f aca="false">IF($A9="","",SUMIFS(COMPRAS!$I$6:$I$1005,COMPRAS!$D$6:$D$1005,$A9))</f>
        <v>12000</v>
      </c>
      <c r="R9" s="34" t="n">
        <f aca="false">IF($A9="","",SUMIFS(RECETAS!$L$6:$L$605,RECETAS!$C$6:$C$605,$A9))</f>
        <v>7645</v>
      </c>
      <c r="S9" s="34" t="n">
        <f aca="false">IF($A9="","",SUMIFS(MERMAS!$J$6:$J$505,MERMAS!$B$6:$B$505,$A9))</f>
        <v>-500</v>
      </c>
      <c r="T9" s="34" t="n">
        <f aca="false">IF($A9="","",N($L9)+$Q9-$R9+$S9)</f>
        <v>13855</v>
      </c>
      <c r="U9" s="35" t="n">
        <f aca="false">IF($A9="","",$T9*$O9)</f>
        <v>35330.25</v>
      </c>
      <c r="V9" s="42"/>
      <c r="W9" s="34" t="str">
        <f aca="false">IF(OR($A9="",$V9=""),"",$V9-$T9)</f>
        <v/>
      </c>
      <c r="X9" s="35" t="str">
        <f aca="false">IF($W9="","",$W9*$O9)</f>
        <v/>
      </c>
      <c r="Y9" s="8" t="str">
        <f aca="false">IF($A9="","",IF($T9&lt;=0,"AGOTADO",IF($T9&lt;=N($K9),"REORDENAR","OK")))</f>
        <v>OK</v>
      </c>
      <c r="Z9" s="34" t="n">
        <f aca="false">IF($A9="","",IF($T9&lt;=N($K9),ROUNDUP((2*N($K9)-$T9)/$F9,0),0))</f>
        <v>0</v>
      </c>
      <c r="AA9" s="8" t="str">
        <f aca="false">IF(OR($Y9="REORDENAR",$Y9="AGOTADO"),ROW(),"")</f>
        <v/>
      </c>
    </row>
    <row r="10" customFormat="false" ht="15" hidden="false" customHeight="false" outlineLevel="0" collapsed="false">
      <c r="A10" s="6" t="s">
        <v>241</v>
      </c>
      <c r="B10" s="6" t="s">
        <v>242</v>
      </c>
      <c r="C10" s="6" t="s">
        <v>82</v>
      </c>
      <c r="D10" s="6" t="s">
        <v>71</v>
      </c>
      <c r="E10" s="6" t="s">
        <v>243</v>
      </c>
      <c r="F10" s="39" t="n">
        <v>397</v>
      </c>
      <c r="G10" s="40" t="n">
        <v>1250</v>
      </c>
      <c r="H10" s="41" t="n">
        <v>0.13</v>
      </c>
      <c r="I10" s="41" t="n">
        <v>0.97</v>
      </c>
      <c r="J10" s="6" t="s">
        <v>244</v>
      </c>
      <c r="K10" s="42" t="n">
        <v>3970</v>
      </c>
      <c r="L10" s="42" t="n">
        <v>7940</v>
      </c>
      <c r="M10" s="43" t="n">
        <f aca="false">IF($A10="","",IFERROR($G10/$F10,0))</f>
        <v>3.14861460957179</v>
      </c>
      <c r="N10" s="43" t="n">
        <f aca="false">IF($A10="","",IFERROR(SUMIFS(COMPRAS!$N$6:$N$1005,COMPRAS!$D$6:$D$1005,$A10,COMPRAS!$R$6:$R$1005,1)/COUNTIFS(COMPRAS!$D$6:$D$1005,$A10,COMPRAS!$R$6:$R$1005,1),0))</f>
        <v>3.14861460957179</v>
      </c>
      <c r="O10" s="43" t="n">
        <f aca="false">IF($A10="","",IF($N10&gt;0,$N10,$M10))</f>
        <v>3.14861460957179</v>
      </c>
      <c r="P10" s="43" t="n">
        <f aca="false">IF($A10="","",IF(N($I10)&gt;0,$O10/$I10,$O10))</f>
        <v>3.24599444285751</v>
      </c>
      <c r="Q10" s="34" t="n">
        <f aca="false">IF($A10="","",SUMIFS(COMPRAS!$I$6:$I$1005,COMPRAS!$D$6:$D$1005,$A10))</f>
        <v>9528</v>
      </c>
      <c r="R10" s="34" t="n">
        <f aca="false">IF($A10="","",SUMIFS(RECETAS!$L$6:$L$605,RECETAS!$C$6:$C$605,$A10))</f>
        <v>3592.78350515464</v>
      </c>
      <c r="S10" s="34" t="n">
        <f aca="false">IF($A10="","",SUMIFS(MERMAS!$J$6:$J$505,MERMAS!$B$6:$B$505,$A10))</f>
        <v>0</v>
      </c>
      <c r="T10" s="34" t="n">
        <f aca="false">IF($A10="","",N($L10)+$Q10-$R10+$S10)</f>
        <v>13875.2164948454</v>
      </c>
      <c r="U10" s="35" t="n">
        <f aca="false">IF($A10="","",$T10*$O10)</f>
        <v>43687.7093666416</v>
      </c>
      <c r="V10" s="42"/>
      <c r="W10" s="34" t="str">
        <f aca="false">IF(OR($A10="",$V10=""),"",$V10-$T10)</f>
        <v/>
      </c>
      <c r="X10" s="35" t="str">
        <f aca="false">IF($W10="","",$W10*$O10)</f>
        <v/>
      </c>
      <c r="Y10" s="8" t="str">
        <f aca="false">IF($A10="","",IF($T10&lt;=0,"AGOTADO",IF($T10&lt;=N($K10),"REORDENAR","OK")))</f>
        <v>OK</v>
      </c>
      <c r="Z10" s="34" t="n">
        <f aca="false">IF($A10="","",IF($T10&lt;=N($K10),ROUNDUP((2*N($K10)-$T10)/$F10,0),0))</f>
        <v>0</v>
      </c>
      <c r="AA10" s="8" t="str">
        <f aca="false">IF(OR($Y10="REORDENAR",$Y10="AGOTADO"),ROW(),"")</f>
        <v/>
      </c>
    </row>
    <row r="11" customFormat="false" ht="15" hidden="false" customHeight="false" outlineLevel="0" collapsed="false">
      <c r="A11" s="6" t="s">
        <v>245</v>
      </c>
      <c r="B11" s="6" t="s">
        <v>246</v>
      </c>
      <c r="C11" s="6" t="s">
        <v>94</v>
      </c>
      <c r="D11" s="6" t="s">
        <v>83</v>
      </c>
      <c r="E11" s="6" t="s">
        <v>247</v>
      </c>
      <c r="F11" s="39" t="n">
        <v>250</v>
      </c>
      <c r="G11" s="40" t="n">
        <v>1800</v>
      </c>
      <c r="H11" s="41" t="n">
        <v>0.13</v>
      </c>
      <c r="I11" s="41" t="n">
        <v>1</v>
      </c>
      <c r="J11" s="6" t="s">
        <v>244</v>
      </c>
      <c r="K11" s="42" t="n">
        <v>250</v>
      </c>
      <c r="L11" s="42" t="n">
        <v>500</v>
      </c>
      <c r="M11" s="43" t="n">
        <f aca="false">IF($A11="","",IFERROR($G11/$F11,0))</f>
        <v>7.2</v>
      </c>
      <c r="N11" s="43" t="n">
        <f aca="false">IF($A11="","",IFERROR(SUMIFS(COMPRAS!$N$6:$N$1005,COMPRAS!$D$6:$D$1005,$A11,COMPRAS!$R$6:$R$1005,1)/COUNTIFS(COMPRAS!$D$6:$D$1005,$A11,COMPRAS!$R$6:$R$1005,1),0))</f>
        <v>0</v>
      </c>
      <c r="O11" s="43" t="n">
        <f aca="false">IF($A11="","",IF($N11&gt;0,$N11,$M11))</f>
        <v>7.2</v>
      </c>
      <c r="P11" s="43" t="n">
        <f aca="false">IF($A11="","",IF(N($I11)&gt;0,$O11/$I11,$O11))</f>
        <v>7.2</v>
      </c>
      <c r="Q11" s="34" t="n">
        <f aca="false">IF($A11="","",SUMIFS(COMPRAS!$I$6:$I$1005,COMPRAS!$D$6:$D$1005,$A11))</f>
        <v>0</v>
      </c>
      <c r="R11" s="34" t="n">
        <f aca="false">IF($A11="","",SUMIFS(RECETAS!$L$6:$L$605,RECETAS!$C$6:$C$605,$A11))</f>
        <v>151</v>
      </c>
      <c r="S11" s="34" t="n">
        <f aca="false">IF($A11="","",SUMIFS(MERMAS!$J$6:$J$505,MERMAS!$B$6:$B$505,$A11))</f>
        <v>0</v>
      </c>
      <c r="T11" s="34" t="n">
        <f aca="false">IF($A11="","",N($L11)+$Q11-$R11+$S11)</f>
        <v>349</v>
      </c>
      <c r="U11" s="35" t="n">
        <f aca="false">IF($A11="","",$T11*$O11)</f>
        <v>2512.8</v>
      </c>
      <c r="V11" s="42"/>
      <c r="W11" s="34" t="str">
        <f aca="false">IF(OR($A11="",$V11=""),"",$V11-$T11)</f>
        <v/>
      </c>
      <c r="X11" s="35" t="str">
        <f aca="false">IF($W11="","",$W11*$O11)</f>
        <v/>
      </c>
      <c r="Y11" s="8" t="str">
        <f aca="false">IF($A11="","",IF($T11&lt;=0,"AGOTADO",IF($T11&lt;=N($K11),"REORDENAR","OK")))</f>
        <v>OK</v>
      </c>
      <c r="Z11" s="34" t="n">
        <f aca="false">IF($A11="","",IF($T11&lt;=N($K11),ROUNDUP((2*N($K11)-$T11)/$F11,0),0))</f>
        <v>0</v>
      </c>
      <c r="AA11" s="8" t="str">
        <f aca="false">IF(OR($Y11="REORDENAR",$Y11="AGOTADO"),ROW(),"")</f>
        <v/>
      </c>
    </row>
    <row r="12" customFormat="false" ht="15" hidden="false" customHeight="false" outlineLevel="0" collapsed="false">
      <c r="A12" s="6" t="s">
        <v>248</v>
      </c>
      <c r="B12" s="6" t="s">
        <v>249</v>
      </c>
      <c r="C12" s="6" t="s">
        <v>94</v>
      </c>
      <c r="D12" s="6" t="s">
        <v>71</v>
      </c>
      <c r="E12" s="6" t="s">
        <v>250</v>
      </c>
      <c r="F12" s="39" t="n">
        <v>2000</v>
      </c>
      <c r="G12" s="40" t="n">
        <v>1700</v>
      </c>
      <c r="H12" s="41" t="n">
        <v>0.01</v>
      </c>
      <c r="I12" s="41" t="n">
        <v>1</v>
      </c>
      <c r="J12" s="6" t="s">
        <v>244</v>
      </c>
      <c r="K12" s="42" t="n">
        <v>2000</v>
      </c>
      <c r="L12" s="42" t="n">
        <v>4000</v>
      </c>
      <c r="M12" s="43" t="n">
        <f aca="false">IF($A12="","",IFERROR($G12/$F12,0))</f>
        <v>0.85</v>
      </c>
      <c r="N12" s="43" t="n">
        <f aca="false">IF($A12="","",IFERROR(SUMIFS(COMPRAS!$N$6:$N$1005,COMPRAS!$D$6:$D$1005,$A12,COMPRAS!$R$6:$R$1005,1)/COUNTIFS(COMPRAS!$D$6:$D$1005,$A12,COMPRAS!$R$6:$R$1005,1),0))</f>
        <v>0</v>
      </c>
      <c r="O12" s="43" t="n">
        <f aca="false">IF($A12="","",IF($N12&gt;0,$N12,$M12))</f>
        <v>0.85</v>
      </c>
      <c r="P12" s="43" t="n">
        <f aca="false">IF($A12="","",IF(N($I12)&gt;0,$O12/$I12,$O12))</f>
        <v>0.85</v>
      </c>
      <c r="Q12" s="34" t="n">
        <f aca="false">IF($A12="","",SUMIFS(COMPRAS!$I$6:$I$1005,COMPRAS!$D$6:$D$1005,$A12))</f>
        <v>0</v>
      </c>
      <c r="R12" s="34" t="n">
        <f aca="false">IF($A12="","",SUMIFS(RECETAS!$L$6:$L$605,RECETAS!$C$6:$C$605,$A12))</f>
        <v>120</v>
      </c>
      <c r="S12" s="34" t="n">
        <f aca="false">IF($A12="","",SUMIFS(MERMAS!$J$6:$J$505,MERMAS!$B$6:$B$505,$A12))</f>
        <v>0</v>
      </c>
      <c r="T12" s="34" t="n">
        <f aca="false">IF($A12="","",N($L12)+$Q12-$R12+$S12)</f>
        <v>3880</v>
      </c>
      <c r="U12" s="35" t="n">
        <f aca="false">IF($A12="","",$T12*$O12)</f>
        <v>3298</v>
      </c>
      <c r="V12" s="42"/>
      <c r="W12" s="34" t="str">
        <f aca="false">IF(OR($A12="",$V12=""),"",$V12-$T12)</f>
        <v/>
      </c>
      <c r="X12" s="35" t="str">
        <f aca="false">IF($W12="","",$W12*$O12)</f>
        <v/>
      </c>
      <c r="Y12" s="8" t="str">
        <f aca="false">IF($A12="","",IF($T12&lt;=0,"AGOTADO",IF($T12&lt;=N($K12),"REORDENAR","OK")))</f>
        <v>OK</v>
      </c>
      <c r="Z12" s="34" t="n">
        <f aca="false">IF($A12="","",IF($T12&lt;=N($K12),ROUNDUP((2*N($K12)-$T12)/$F12,0),0))</f>
        <v>0</v>
      </c>
      <c r="AA12" s="8" t="str">
        <f aca="false">IF(OR($Y12="REORDENAR",$Y12="AGOTADO"),ROW(),"")</f>
        <v/>
      </c>
    </row>
    <row r="13" customFormat="false" ht="15" hidden="false" customHeight="false" outlineLevel="0" collapsed="false">
      <c r="A13" s="6" t="s">
        <v>251</v>
      </c>
      <c r="B13" s="6" t="s">
        <v>252</v>
      </c>
      <c r="C13" s="6" t="s">
        <v>103</v>
      </c>
      <c r="D13" s="6" t="s">
        <v>71</v>
      </c>
      <c r="E13" s="6" t="s">
        <v>253</v>
      </c>
      <c r="F13" s="39" t="n">
        <v>432</v>
      </c>
      <c r="G13" s="40" t="n">
        <v>2600</v>
      </c>
      <c r="H13" s="41" t="n">
        <v>0.13</v>
      </c>
      <c r="I13" s="41" t="n">
        <v>0.95</v>
      </c>
      <c r="J13" s="6" t="s">
        <v>244</v>
      </c>
      <c r="K13" s="42" t="n">
        <v>864</v>
      </c>
      <c r="L13" s="42" t="n">
        <v>2160</v>
      </c>
      <c r="M13" s="43" t="n">
        <f aca="false">IF($A13="","",IFERROR($G13/$F13,0))</f>
        <v>6.01851851851852</v>
      </c>
      <c r="N13" s="43" t="n">
        <f aca="false">IF($A13="","",IFERROR(SUMIFS(COMPRAS!$N$6:$N$1005,COMPRAS!$D$6:$D$1005,$A13,COMPRAS!$R$6:$R$1005,1)/COUNTIFS(COMPRAS!$D$6:$D$1005,$A13,COMPRAS!$R$6:$R$1005,1),0))</f>
        <v>6.01851851851852</v>
      </c>
      <c r="O13" s="43" t="n">
        <f aca="false">IF($A13="","",IF($N13&gt;0,$N13,$M13))</f>
        <v>6.01851851851852</v>
      </c>
      <c r="P13" s="43" t="n">
        <f aca="false">IF($A13="","",IF(N($I13)&gt;0,$O13/$I13,$O13))</f>
        <v>6.33528265107212</v>
      </c>
      <c r="Q13" s="34" t="n">
        <f aca="false">IF($A13="","",SUMIFS(COMPRAS!$I$6:$I$1005,COMPRAS!$D$6:$D$1005,$A13))</f>
        <v>1728</v>
      </c>
      <c r="R13" s="34" t="n">
        <f aca="false">IF($A13="","",SUMIFS(RECETAS!$L$6:$L$605,RECETAS!$C$6:$C$605,$A13))</f>
        <v>1789.47368421053</v>
      </c>
      <c r="S13" s="34" t="n">
        <f aca="false">IF($A13="","",SUMIFS(MERMAS!$J$6:$J$505,MERMAS!$B$6:$B$505,$A13))</f>
        <v>0</v>
      </c>
      <c r="T13" s="34" t="n">
        <f aca="false">IF($A13="","",N($L13)+$Q13-$R13+$S13)</f>
        <v>2098.52631578947</v>
      </c>
      <c r="U13" s="35" t="n">
        <f aca="false">IF($A13="","",$T13*$O13)</f>
        <v>12630.0194931774</v>
      </c>
      <c r="V13" s="42"/>
      <c r="W13" s="34" t="str">
        <f aca="false">IF(OR($A13="",$V13=""),"",$V13-$T13)</f>
        <v/>
      </c>
      <c r="X13" s="35" t="str">
        <f aca="false">IF($W13="","",$W13*$O13)</f>
        <v/>
      </c>
      <c r="Y13" s="8" t="str">
        <f aca="false">IF($A13="","",IF($T13&lt;=0,"AGOTADO",IF($T13&lt;=N($K13),"REORDENAR","OK")))</f>
        <v>OK</v>
      </c>
      <c r="Z13" s="34" t="n">
        <f aca="false">IF($A13="","",IF($T13&lt;=N($K13),ROUNDUP((2*N($K13)-$T13)/$F13,0),0))</f>
        <v>0</v>
      </c>
      <c r="AA13" s="8" t="str">
        <f aca="false">IF(OR($Y13="REORDENAR",$Y13="AGOTADO"),ROW(),"")</f>
        <v/>
      </c>
    </row>
    <row r="14" customFormat="false" ht="15" hidden="false" customHeight="false" outlineLevel="0" collapsed="false">
      <c r="A14" s="6" t="s">
        <v>254</v>
      </c>
      <c r="B14" s="6" t="s">
        <v>255</v>
      </c>
      <c r="C14" s="6" t="s">
        <v>103</v>
      </c>
      <c r="D14" s="6" t="s">
        <v>71</v>
      </c>
      <c r="E14" s="6" t="s">
        <v>256</v>
      </c>
      <c r="F14" s="39" t="n">
        <v>1000</v>
      </c>
      <c r="G14" s="40" t="n">
        <v>5500</v>
      </c>
      <c r="H14" s="41" t="n">
        <v>0.13</v>
      </c>
      <c r="I14" s="41" t="n">
        <v>0.95</v>
      </c>
      <c r="J14" s="6" t="s">
        <v>257</v>
      </c>
      <c r="K14" s="42" t="n">
        <v>500</v>
      </c>
      <c r="L14" s="42" t="n">
        <v>1000</v>
      </c>
      <c r="M14" s="43" t="n">
        <f aca="false">IF($A14="","",IFERROR($G14/$F14,0))</f>
        <v>5.5</v>
      </c>
      <c r="N14" s="43" t="n">
        <f aca="false">IF($A14="","",IFERROR(SUMIFS(COMPRAS!$N$6:$N$1005,COMPRAS!$D$6:$D$1005,$A14,COMPRAS!$R$6:$R$1005,1)/COUNTIFS(COMPRAS!$D$6:$D$1005,$A14,COMPRAS!$R$6:$R$1005,1),0))</f>
        <v>0</v>
      </c>
      <c r="O14" s="43" t="n">
        <f aca="false">IF($A14="","",IF($N14&gt;0,$N14,$M14))</f>
        <v>5.5</v>
      </c>
      <c r="P14" s="43" t="n">
        <f aca="false">IF($A14="","",IF(N($I14)&gt;0,$O14/$I14,$O14))</f>
        <v>5.78947368421053</v>
      </c>
      <c r="Q14" s="34" t="n">
        <f aca="false">IF($A14="","",SUMIFS(COMPRAS!$I$6:$I$1005,COMPRAS!$D$6:$D$1005,$A14))</f>
        <v>0</v>
      </c>
      <c r="R14" s="34" t="n">
        <f aca="false">IF($A14="","",SUMIFS(RECETAS!$L$6:$L$605,RECETAS!$C$6:$C$605,$A14))</f>
        <v>221.052631578947</v>
      </c>
      <c r="S14" s="34" t="n">
        <f aca="false">IF($A14="","",SUMIFS(MERMAS!$J$6:$J$505,MERMAS!$B$6:$B$505,$A14))</f>
        <v>0</v>
      </c>
      <c r="T14" s="34" t="n">
        <f aca="false">IF($A14="","",N($L14)+$Q14-$R14+$S14)</f>
        <v>778.947368421053</v>
      </c>
      <c r="U14" s="35" t="n">
        <f aca="false">IF($A14="","",$T14*$O14)</f>
        <v>4284.21052631579</v>
      </c>
      <c r="V14" s="42"/>
      <c r="W14" s="34" t="str">
        <f aca="false">IF(OR($A14="",$V14=""),"",$V14-$T14)</f>
        <v/>
      </c>
      <c r="X14" s="35" t="str">
        <f aca="false">IF($W14="","",$W14*$O14)</f>
        <v/>
      </c>
      <c r="Y14" s="8" t="str">
        <f aca="false">IF($A14="","",IF($T14&lt;=0,"AGOTADO",IF($T14&lt;=N($K14),"REORDENAR","OK")))</f>
        <v>OK</v>
      </c>
      <c r="Z14" s="34" t="n">
        <f aca="false">IF($A14="","",IF($T14&lt;=N($K14),ROUNDUP((2*N($K14)-$T14)/$F14,0),0))</f>
        <v>0</v>
      </c>
      <c r="AA14" s="8" t="str">
        <f aca="false">IF(OR($Y14="REORDENAR",$Y14="AGOTADO"),ROW(),"")</f>
        <v/>
      </c>
    </row>
    <row r="15" customFormat="false" ht="15" hidden="false" customHeight="false" outlineLevel="0" collapsed="false">
      <c r="A15" s="6" t="s">
        <v>258</v>
      </c>
      <c r="B15" s="6" t="s">
        <v>259</v>
      </c>
      <c r="C15" s="6" t="s">
        <v>103</v>
      </c>
      <c r="D15" s="6" t="s">
        <v>71</v>
      </c>
      <c r="E15" s="6" t="s">
        <v>260</v>
      </c>
      <c r="F15" s="39" t="n">
        <v>500</v>
      </c>
      <c r="G15" s="40" t="n">
        <v>2200</v>
      </c>
      <c r="H15" s="41" t="n">
        <v>0.13</v>
      </c>
      <c r="I15" s="41" t="n">
        <v>1</v>
      </c>
      <c r="J15" s="6" t="s">
        <v>244</v>
      </c>
      <c r="K15" s="42" t="n">
        <v>500</v>
      </c>
      <c r="L15" s="42" t="n">
        <v>1000</v>
      </c>
      <c r="M15" s="43" t="n">
        <f aca="false">IF($A15="","",IFERROR($G15/$F15,0))</f>
        <v>4.4</v>
      </c>
      <c r="N15" s="43" t="n">
        <f aca="false">IF($A15="","",IFERROR(SUMIFS(COMPRAS!$N$6:$N$1005,COMPRAS!$D$6:$D$1005,$A15,COMPRAS!$R$6:$R$1005,1)/COUNTIFS(COMPRAS!$D$6:$D$1005,$A15,COMPRAS!$R$6:$R$1005,1),0))</f>
        <v>0</v>
      </c>
      <c r="O15" s="43" t="n">
        <f aca="false">IF($A15="","",IF($N15&gt;0,$N15,$M15))</f>
        <v>4.4</v>
      </c>
      <c r="P15" s="43" t="n">
        <f aca="false">IF($A15="","",IF(N($I15)&gt;0,$O15/$I15,$O15))</f>
        <v>4.4</v>
      </c>
      <c r="Q15" s="34" t="n">
        <f aca="false">IF($A15="","",SUMIFS(COMPRAS!$I$6:$I$1005,COMPRAS!$D$6:$D$1005,$A15))</f>
        <v>0</v>
      </c>
      <c r="R15" s="34" t="n">
        <f aca="false">IF($A15="","",SUMIFS(RECETAS!$L$6:$L$605,RECETAS!$C$6:$C$605,$A15))</f>
        <v>440</v>
      </c>
      <c r="S15" s="34" t="n">
        <f aca="false">IF($A15="","",SUMIFS(MERMAS!$J$6:$J$505,MERMAS!$B$6:$B$505,$A15))</f>
        <v>0</v>
      </c>
      <c r="T15" s="34" t="n">
        <f aca="false">IF($A15="","",N($L15)+$Q15-$R15+$S15)</f>
        <v>560</v>
      </c>
      <c r="U15" s="35" t="n">
        <f aca="false">IF($A15="","",$T15*$O15)</f>
        <v>2464</v>
      </c>
      <c r="V15" s="42"/>
      <c r="W15" s="34" t="str">
        <f aca="false">IF(OR($A15="",$V15=""),"",$V15-$T15)</f>
        <v/>
      </c>
      <c r="X15" s="35" t="str">
        <f aca="false">IF($W15="","",$W15*$O15)</f>
        <v/>
      </c>
      <c r="Y15" s="8" t="str">
        <f aca="false">IF($A15="","",IF($T15&lt;=0,"AGOTADO",IF($T15&lt;=N($K15),"REORDENAR","OK")))</f>
        <v>OK</v>
      </c>
      <c r="Z15" s="34" t="n">
        <f aca="false">IF($A15="","",IF($T15&lt;=N($K15),ROUNDUP((2*N($K15)-$T15)/$F15,0),0))</f>
        <v>0</v>
      </c>
      <c r="AA15" s="8" t="str">
        <f aca="false">IF(OR($Y15="REORDENAR",$Y15="AGOTADO"),ROW(),"")</f>
        <v/>
      </c>
    </row>
    <row r="16" customFormat="false" ht="15" hidden="false" customHeight="false" outlineLevel="0" collapsed="false">
      <c r="A16" s="6" t="s">
        <v>261</v>
      </c>
      <c r="B16" s="6" t="s">
        <v>262</v>
      </c>
      <c r="C16" s="6" t="s">
        <v>103</v>
      </c>
      <c r="D16" s="6" t="s">
        <v>71</v>
      </c>
      <c r="E16" s="6" t="s">
        <v>235</v>
      </c>
      <c r="F16" s="39" t="n">
        <v>1000</v>
      </c>
      <c r="G16" s="40" t="n">
        <v>3800</v>
      </c>
      <c r="H16" s="41" t="n">
        <v>0.13</v>
      </c>
      <c r="I16" s="41" t="n">
        <v>1</v>
      </c>
      <c r="J16" s="6" t="s">
        <v>244</v>
      </c>
      <c r="K16" s="42" t="n">
        <v>500</v>
      </c>
      <c r="L16" s="42" t="n">
        <v>1000</v>
      </c>
      <c r="M16" s="43" t="n">
        <f aca="false">IF($A16="","",IFERROR($G16/$F16,0))</f>
        <v>3.8</v>
      </c>
      <c r="N16" s="43" t="n">
        <f aca="false">IF($A16="","",IFERROR(SUMIFS(COMPRAS!$N$6:$N$1005,COMPRAS!$D$6:$D$1005,$A16,COMPRAS!$R$6:$R$1005,1)/COUNTIFS(COMPRAS!$D$6:$D$1005,$A16,COMPRAS!$R$6:$R$1005,1),0))</f>
        <v>0</v>
      </c>
      <c r="O16" s="43" t="n">
        <f aca="false">IF($A16="","",IF($N16&gt;0,$N16,$M16))</f>
        <v>3.8</v>
      </c>
      <c r="P16" s="43" t="n">
        <f aca="false">IF($A16="","",IF(N($I16)&gt;0,$O16/$I16,$O16))</f>
        <v>3.8</v>
      </c>
      <c r="Q16" s="34" t="n">
        <f aca="false">IF($A16="","",SUMIFS(COMPRAS!$I$6:$I$1005,COMPRAS!$D$6:$D$1005,$A16))</f>
        <v>0</v>
      </c>
      <c r="R16" s="34" t="n">
        <f aca="false">IF($A16="","",SUMIFS(RECETAS!$L$6:$L$605,RECETAS!$C$6:$C$605,$A16))</f>
        <v>440</v>
      </c>
      <c r="S16" s="34" t="n">
        <f aca="false">IF($A16="","",SUMIFS(MERMAS!$J$6:$J$505,MERMAS!$B$6:$B$505,$A16))</f>
        <v>0</v>
      </c>
      <c r="T16" s="34" t="n">
        <f aca="false">IF($A16="","",N($L16)+$Q16-$R16+$S16)</f>
        <v>560</v>
      </c>
      <c r="U16" s="35" t="n">
        <f aca="false">IF($A16="","",$T16*$O16)</f>
        <v>2128</v>
      </c>
      <c r="V16" s="42"/>
      <c r="W16" s="34" t="str">
        <f aca="false">IF(OR($A16="",$V16=""),"",$V16-$T16)</f>
        <v/>
      </c>
      <c r="X16" s="35" t="str">
        <f aca="false">IF($W16="","",$W16*$O16)</f>
        <v/>
      </c>
      <c r="Y16" s="8" t="str">
        <f aca="false">IF($A16="","",IF($T16&lt;=0,"AGOTADO",IF($T16&lt;=N($K16),"REORDENAR","OK")))</f>
        <v>OK</v>
      </c>
      <c r="Z16" s="34" t="n">
        <f aca="false">IF($A16="","",IF($T16&lt;=N($K16),ROUNDUP((2*N($K16)-$T16)/$F16,0),0))</f>
        <v>0</v>
      </c>
      <c r="AA16" s="8" t="str">
        <f aca="false">IF(OR($Y16="REORDENAR",$Y16="AGOTADO"),ROW(),"")</f>
        <v/>
      </c>
    </row>
    <row r="17" customFormat="false" ht="15" hidden="false" customHeight="false" outlineLevel="0" collapsed="false">
      <c r="A17" s="6" t="s">
        <v>263</v>
      </c>
      <c r="B17" s="6" t="s">
        <v>264</v>
      </c>
      <c r="C17" s="6" t="s">
        <v>103</v>
      </c>
      <c r="D17" s="6" t="s">
        <v>71</v>
      </c>
      <c r="E17" s="6" t="s">
        <v>235</v>
      </c>
      <c r="F17" s="39" t="n">
        <v>1000</v>
      </c>
      <c r="G17" s="40" t="n">
        <v>4200</v>
      </c>
      <c r="H17" s="41" t="n">
        <v>0.13</v>
      </c>
      <c r="I17" s="41" t="n">
        <v>1</v>
      </c>
      <c r="J17" s="6" t="s">
        <v>244</v>
      </c>
      <c r="K17" s="42" t="n">
        <v>500</v>
      </c>
      <c r="L17" s="42" t="n">
        <v>1000</v>
      </c>
      <c r="M17" s="43" t="n">
        <f aca="false">IF($A17="","",IFERROR($G17/$F17,0))</f>
        <v>4.2</v>
      </c>
      <c r="N17" s="43" t="n">
        <f aca="false">IF($A17="","",IFERROR(SUMIFS(COMPRAS!$N$6:$N$1005,COMPRAS!$D$6:$D$1005,$A17,COMPRAS!$R$6:$R$1005,1)/COUNTIFS(COMPRAS!$D$6:$D$1005,$A17,COMPRAS!$R$6:$R$1005,1),0))</f>
        <v>0</v>
      </c>
      <c r="O17" s="43" t="n">
        <f aca="false">IF($A17="","",IF($N17&gt;0,$N17,$M17))</f>
        <v>4.2</v>
      </c>
      <c r="P17" s="43" t="n">
        <f aca="false">IF($A17="","",IF(N($I17)&gt;0,$O17/$I17,$O17))</f>
        <v>4.2</v>
      </c>
      <c r="Q17" s="34" t="n">
        <f aca="false">IF($A17="","",SUMIFS(COMPRAS!$I$6:$I$1005,COMPRAS!$D$6:$D$1005,$A17))</f>
        <v>0</v>
      </c>
      <c r="R17" s="34" t="n">
        <f aca="false">IF($A17="","",SUMIFS(RECETAS!$L$6:$L$605,RECETAS!$C$6:$C$605,$A17))</f>
        <v>600</v>
      </c>
      <c r="S17" s="34" t="n">
        <f aca="false">IF($A17="","",SUMIFS(MERMAS!$J$6:$J$505,MERMAS!$B$6:$B$505,$A17))</f>
        <v>0</v>
      </c>
      <c r="T17" s="34" t="n">
        <f aca="false">IF($A17="","",N($L17)+$Q17-$R17+$S17)</f>
        <v>400</v>
      </c>
      <c r="U17" s="35" t="n">
        <f aca="false">IF($A17="","",$T17*$O17)</f>
        <v>1680</v>
      </c>
      <c r="V17" s="42"/>
      <c r="W17" s="34" t="str">
        <f aca="false">IF(OR($A17="",$V17=""),"",$V17-$T17)</f>
        <v/>
      </c>
      <c r="X17" s="35" t="str">
        <f aca="false">IF($W17="","",$W17*$O17)</f>
        <v/>
      </c>
      <c r="Y17" s="8" t="str">
        <f aca="false">IF($A17="","",IF($T17&lt;=0,"AGOTADO",IF($T17&lt;=N($K17),"REORDENAR","OK")))</f>
        <v>REORDENAR</v>
      </c>
      <c r="Z17" s="34" t="n">
        <f aca="false">IF($A17="","",IF($T17&lt;=N($K17),ROUNDUP((2*N($K17)-$T17)/$F17,0),0))</f>
        <v>1</v>
      </c>
      <c r="AA17" s="8" t="n">
        <f aca="false">IF(OR($Y17="REORDENAR",$Y17="AGOTADO"),ROW(),"")</f>
        <v>17</v>
      </c>
    </row>
    <row r="18" customFormat="false" ht="15" hidden="false" customHeight="false" outlineLevel="0" collapsed="false">
      <c r="A18" s="6" t="s">
        <v>265</v>
      </c>
      <c r="B18" s="6" t="s">
        <v>266</v>
      </c>
      <c r="C18" s="6" t="s">
        <v>103</v>
      </c>
      <c r="D18" s="6" t="s">
        <v>71</v>
      </c>
      <c r="E18" s="6" t="s">
        <v>235</v>
      </c>
      <c r="F18" s="39" t="n">
        <v>1000</v>
      </c>
      <c r="G18" s="40" t="n">
        <v>3600</v>
      </c>
      <c r="H18" s="41" t="n">
        <v>0.13</v>
      </c>
      <c r="I18" s="41" t="n">
        <v>1</v>
      </c>
      <c r="J18" s="6" t="s">
        <v>244</v>
      </c>
      <c r="K18" s="42" t="n">
        <v>500</v>
      </c>
      <c r="L18" s="42" t="n">
        <v>1000</v>
      </c>
      <c r="M18" s="43" t="n">
        <f aca="false">IF($A18="","",IFERROR($G18/$F18,0))</f>
        <v>3.6</v>
      </c>
      <c r="N18" s="43" t="n">
        <f aca="false">IF($A18="","",IFERROR(SUMIFS(COMPRAS!$N$6:$N$1005,COMPRAS!$D$6:$D$1005,$A18,COMPRAS!$R$6:$R$1005,1)/COUNTIFS(COMPRAS!$D$6:$D$1005,$A18,COMPRAS!$R$6:$R$1005,1),0))</f>
        <v>0</v>
      </c>
      <c r="O18" s="43" t="n">
        <f aca="false">IF($A18="","",IF($N18&gt;0,$N18,$M18))</f>
        <v>3.6</v>
      </c>
      <c r="P18" s="43" t="n">
        <f aca="false">IF($A18="","",IF(N($I18)&gt;0,$O18/$I18,$O18))</f>
        <v>3.6</v>
      </c>
      <c r="Q18" s="34" t="n">
        <f aca="false">IF($A18="","",SUMIFS(COMPRAS!$I$6:$I$1005,COMPRAS!$D$6:$D$1005,$A18))</f>
        <v>0</v>
      </c>
      <c r="R18" s="34" t="n">
        <f aca="false">IF($A18="","",SUMIFS(RECETAS!$L$6:$L$605,RECETAS!$C$6:$C$605,$A18))</f>
        <v>0</v>
      </c>
      <c r="S18" s="34" t="n">
        <f aca="false">IF($A18="","",SUMIFS(MERMAS!$J$6:$J$505,MERMAS!$B$6:$B$505,$A18))</f>
        <v>0</v>
      </c>
      <c r="T18" s="34" t="n">
        <f aca="false">IF($A18="","",N($L18)+$Q18-$R18+$S18)</f>
        <v>1000</v>
      </c>
      <c r="U18" s="35" t="n">
        <f aca="false">IF($A18="","",$T18*$O18)</f>
        <v>3600</v>
      </c>
      <c r="V18" s="42"/>
      <c r="W18" s="34" t="str">
        <f aca="false">IF(OR($A18="",$V18=""),"",$V18-$T18)</f>
        <v/>
      </c>
      <c r="X18" s="35" t="str">
        <f aca="false">IF($W18="","",$W18*$O18)</f>
        <v/>
      </c>
      <c r="Y18" s="8" t="str">
        <f aca="false">IF($A18="","",IF($T18&lt;=0,"AGOTADO",IF($T18&lt;=N($K18),"REORDENAR","OK")))</f>
        <v>OK</v>
      </c>
      <c r="Z18" s="34" t="n">
        <f aca="false">IF($A18="","",IF($T18&lt;=N($K18),ROUNDUP((2*N($K18)-$T18)/$F18,0),0))</f>
        <v>0</v>
      </c>
      <c r="AA18" s="8" t="str">
        <f aca="false">IF(OR($Y18="REORDENAR",$Y18="AGOTADO"),ROW(),"")</f>
        <v/>
      </c>
    </row>
    <row r="19" customFormat="false" ht="15" hidden="false" customHeight="false" outlineLevel="0" collapsed="false">
      <c r="A19" s="6" t="s">
        <v>267</v>
      </c>
      <c r="B19" s="6" t="s">
        <v>268</v>
      </c>
      <c r="C19" s="6" t="s">
        <v>103</v>
      </c>
      <c r="D19" s="6" t="s">
        <v>71</v>
      </c>
      <c r="E19" s="6" t="s">
        <v>235</v>
      </c>
      <c r="F19" s="39" t="n">
        <v>1000</v>
      </c>
      <c r="G19" s="40" t="n">
        <v>9500</v>
      </c>
      <c r="H19" s="41" t="n">
        <v>0.13</v>
      </c>
      <c r="I19" s="41" t="n">
        <v>1</v>
      </c>
      <c r="J19" s="6" t="s">
        <v>244</v>
      </c>
      <c r="K19" s="42" t="n">
        <v>300</v>
      </c>
      <c r="L19" s="42" t="n">
        <v>1000</v>
      </c>
      <c r="M19" s="43" t="n">
        <f aca="false">IF($A19="","",IFERROR($G19/$F19,0))</f>
        <v>9.5</v>
      </c>
      <c r="N19" s="43" t="n">
        <f aca="false">IF($A19="","",IFERROR(SUMIFS(COMPRAS!$N$6:$N$1005,COMPRAS!$D$6:$D$1005,$A19,COMPRAS!$R$6:$R$1005,1)/COUNTIFS(COMPRAS!$D$6:$D$1005,$A19,COMPRAS!$R$6:$R$1005,1),0))</f>
        <v>0</v>
      </c>
      <c r="O19" s="43" t="n">
        <f aca="false">IF($A19="","",IF($N19&gt;0,$N19,$M19))</f>
        <v>9.5</v>
      </c>
      <c r="P19" s="43" t="n">
        <f aca="false">IF($A19="","",IF(N($I19)&gt;0,$O19/$I19,$O19))</f>
        <v>9.5</v>
      </c>
      <c r="Q19" s="34" t="n">
        <f aca="false">IF($A19="","",SUMIFS(COMPRAS!$I$6:$I$1005,COMPRAS!$D$6:$D$1005,$A19))</f>
        <v>0</v>
      </c>
      <c r="R19" s="34" t="n">
        <f aca="false">IF($A19="","",SUMIFS(RECETAS!$L$6:$L$605,RECETAS!$C$6:$C$605,$A19))</f>
        <v>60</v>
      </c>
      <c r="S19" s="34" t="n">
        <f aca="false">IF($A19="","",SUMIFS(MERMAS!$J$6:$J$505,MERMAS!$B$6:$B$505,$A19))</f>
        <v>0</v>
      </c>
      <c r="T19" s="34" t="n">
        <f aca="false">IF($A19="","",N($L19)+$Q19-$R19+$S19)</f>
        <v>940</v>
      </c>
      <c r="U19" s="35" t="n">
        <f aca="false">IF($A19="","",$T19*$O19)</f>
        <v>8930</v>
      </c>
      <c r="V19" s="42"/>
      <c r="W19" s="34" t="str">
        <f aca="false">IF(OR($A19="",$V19=""),"",$V19-$T19)</f>
        <v/>
      </c>
      <c r="X19" s="35" t="str">
        <f aca="false">IF($W19="","",$W19*$O19)</f>
        <v/>
      </c>
      <c r="Y19" s="8" t="str">
        <f aca="false">IF($A19="","",IF($T19&lt;=0,"AGOTADO",IF($T19&lt;=N($K19),"REORDENAR","OK")))</f>
        <v>OK</v>
      </c>
      <c r="Z19" s="34" t="n">
        <f aca="false">IF($A19="","",IF($T19&lt;=N($K19),ROUNDUP((2*N($K19)-$T19)/$F19,0),0))</f>
        <v>0</v>
      </c>
      <c r="AA19" s="8" t="str">
        <f aca="false">IF(OR($Y19="REORDENAR",$Y19="AGOTADO"),ROW(),"")</f>
        <v/>
      </c>
    </row>
    <row r="20" customFormat="false" ht="15" hidden="false" customHeight="false" outlineLevel="0" collapsed="false">
      <c r="A20" s="6" t="s">
        <v>269</v>
      </c>
      <c r="B20" s="6" t="s">
        <v>270</v>
      </c>
      <c r="C20" s="6" t="s">
        <v>103</v>
      </c>
      <c r="D20" s="6" t="s">
        <v>71</v>
      </c>
      <c r="E20" s="6" t="s">
        <v>235</v>
      </c>
      <c r="F20" s="39" t="n">
        <v>1000</v>
      </c>
      <c r="G20" s="40" t="n">
        <v>8500</v>
      </c>
      <c r="H20" s="41" t="n">
        <v>0.13</v>
      </c>
      <c r="I20" s="41" t="n">
        <v>1</v>
      </c>
      <c r="J20" s="6" t="s">
        <v>244</v>
      </c>
      <c r="K20" s="42" t="n">
        <v>300</v>
      </c>
      <c r="L20" s="42" t="n">
        <v>1000</v>
      </c>
      <c r="M20" s="43" t="n">
        <f aca="false">IF($A20="","",IFERROR($G20/$F20,0))</f>
        <v>8.5</v>
      </c>
      <c r="N20" s="43" t="n">
        <f aca="false">IF($A20="","",IFERROR(SUMIFS(COMPRAS!$N$6:$N$1005,COMPRAS!$D$6:$D$1005,$A20,COMPRAS!$R$6:$R$1005,1)/COUNTIFS(COMPRAS!$D$6:$D$1005,$A20,COMPRAS!$R$6:$R$1005,1),0))</f>
        <v>0</v>
      </c>
      <c r="O20" s="43" t="n">
        <f aca="false">IF($A20="","",IF($N20&gt;0,$N20,$M20))</f>
        <v>8.5</v>
      </c>
      <c r="P20" s="43" t="n">
        <f aca="false">IF($A20="","",IF(N($I20)&gt;0,$O20/$I20,$O20))</f>
        <v>8.5</v>
      </c>
      <c r="Q20" s="34" t="n">
        <f aca="false">IF($A20="","",SUMIFS(COMPRAS!$I$6:$I$1005,COMPRAS!$D$6:$D$1005,$A20))</f>
        <v>0</v>
      </c>
      <c r="R20" s="34" t="n">
        <f aca="false">IF($A20="","",SUMIFS(RECETAS!$L$6:$L$605,RECETAS!$C$6:$C$605,$A20))</f>
        <v>0</v>
      </c>
      <c r="S20" s="34" t="n">
        <f aca="false">IF($A20="","",SUMIFS(MERMAS!$J$6:$J$505,MERMAS!$B$6:$B$505,$A20))</f>
        <v>0</v>
      </c>
      <c r="T20" s="34" t="n">
        <f aca="false">IF($A20="","",N($L20)+$Q20-$R20+$S20)</f>
        <v>1000</v>
      </c>
      <c r="U20" s="35" t="n">
        <f aca="false">IF($A20="","",$T20*$O20)</f>
        <v>8500</v>
      </c>
      <c r="V20" s="42"/>
      <c r="W20" s="34" t="str">
        <f aca="false">IF(OR($A20="",$V20=""),"",$V20-$T20)</f>
        <v/>
      </c>
      <c r="X20" s="35" t="str">
        <f aca="false">IF($W20="","",$W20*$O20)</f>
        <v/>
      </c>
      <c r="Y20" s="8" t="str">
        <f aca="false">IF($A20="","",IF($T20&lt;=0,"AGOTADO",IF($T20&lt;=N($K20),"REORDENAR","OK")))</f>
        <v>OK</v>
      </c>
      <c r="Z20" s="34" t="n">
        <f aca="false">IF($A20="","",IF($T20&lt;=N($K20),ROUNDUP((2*N($K20)-$T20)/$F20,0),0))</f>
        <v>0</v>
      </c>
      <c r="AA20" s="8" t="str">
        <f aca="false">IF(OR($Y20="REORDENAR",$Y20="AGOTADO"),ROW(),"")</f>
        <v/>
      </c>
    </row>
    <row r="21" customFormat="false" ht="15" hidden="false" customHeight="false" outlineLevel="0" collapsed="false">
      <c r="A21" s="6" t="s">
        <v>271</v>
      </c>
      <c r="B21" s="6" t="s">
        <v>272</v>
      </c>
      <c r="C21" s="6" t="s">
        <v>82</v>
      </c>
      <c r="D21" s="6" t="s">
        <v>71</v>
      </c>
      <c r="E21" s="6" t="s">
        <v>235</v>
      </c>
      <c r="F21" s="39" t="n">
        <v>1000</v>
      </c>
      <c r="G21" s="40" t="n">
        <v>6500</v>
      </c>
      <c r="H21" s="41" t="n">
        <v>0.01</v>
      </c>
      <c r="I21" s="41" t="n">
        <v>1</v>
      </c>
      <c r="J21" s="6" t="s">
        <v>240</v>
      </c>
      <c r="K21" s="42" t="n">
        <v>300</v>
      </c>
      <c r="L21" s="42" t="n">
        <v>1000</v>
      </c>
      <c r="M21" s="43" t="n">
        <f aca="false">IF($A21="","",IFERROR($G21/$F21,0))</f>
        <v>6.5</v>
      </c>
      <c r="N21" s="43" t="n">
        <f aca="false">IF($A21="","",IFERROR(SUMIFS(COMPRAS!$N$6:$N$1005,COMPRAS!$D$6:$D$1005,$A21,COMPRAS!$R$6:$R$1005,1)/COUNTIFS(COMPRAS!$D$6:$D$1005,$A21,COMPRAS!$R$6:$R$1005,1),0))</f>
        <v>0</v>
      </c>
      <c r="O21" s="43" t="n">
        <f aca="false">IF($A21="","",IF($N21&gt;0,$N21,$M21))</f>
        <v>6.5</v>
      </c>
      <c r="P21" s="43" t="n">
        <f aca="false">IF($A21="","",IF(N($I21)&gt;0,$O21/$I21,$O21))</f>
        <v>6.5</v>
      </c>
      <c r="Q21" s="34" t="n">
        <f aca="false">IF($A21="","",SUMIFS(COMPRAS!$I$6:$I$1005,COMPRAS!$D$6:$D$1005,$A21))</f>
        <v>0</v>
      </c>
      <c r="R21" s="34" t="n">
        <f aca="false">IF($A21="","",SUMIFS(RECETAS!$L$6:$L$605,RECETAS!$C$6:$C$605,$A21))</f>
        <v>0</v>
      </c>
      <c r="S21" s="34" t="n">
        <f aca="false">IF($A21="","",SUMIFS(MERMAS!$J$6:$J$505,MERMAS!$B$6:$B$505,$A21))</f>
        <v>0</v>
      </c>
      <c r="T21" s="34" t="n">
        <f aca="false">IF($A21="","",N($L21)+$Q21-$R21+$S21)</f>
        <v>1000</v>
      </c>
      <c r="U21" s="35" t="n">
        <f aca="false">IF($A21="","",$T21*$O21)</f>
        <v>6500</v>
      </c>
      <c r="V21" s="42"/>
      <c r="W21" s="34" t="str">
        <f aca="false">IF(OR($A21="",$V21=""),"",$V21-$T21)</f>
        <v/>
      </c>
      <c r="X21" s="35" t="str">
        <f aca="false">IF($W21="","",$W21*$O21)</f>
        <v/>
      </c>
      <c r="Y21" s="8" t="str">
        <f aca="false">IF($A21="","",IF($T21&lt;=0,"AGOTADO",IF($T21&lt;=N($K21),"REORDENAR","OK")))</f>
        <v>OK</v>
      </c>
      <c r="Z21" s="34" t="n">
        <f aca="false">IF($A21="","",IF($T21&lt;=N($K21),ROUNDUP((2*N($K21)-$T21)/$F21,0),0))</f>
        <v>0</v>
      </c>
      <c r="AA21" s="8" t="str">
        <f aca="false">IF(OR($Y21="REORDENAR",$Y21="AGOTADO"),ROW(),"")</f>
        <v/>
      </c>
    </row>
    <row r="22" customFormat="false" ht="15" hidden="false" customHeight="false" outlineLevel="0" collapsed="false">
      <c r="A22" s="6" t="s">
        <v>273</v>
      </c>
      <c r="B22" s="6" t="s">
        <v>274</v>
      </c>
      <c r="C22" s="6" t="s">
        <v>111</v>
      </c>
      <c r="D22" s="6" t="s">
        <v>71</v>
      </c>
      <c r="E22" s="6" t="s">
        <v>275</v>
      </c>
      <c r="F22" s="39" t="n">
        <v>623</v>
      </c>
      <c r="G22" s="40" t="n">
        <v>2900</v>
      </c>
      <c r="H22" s="41" t="n">
        <v>0.13</v>
      </c>
      <c r="I22" s="41" t="n">
        <v>0.95</v>
      </c>
      <c r="J22" s="6" t="s">
        <v>244</v>
      </c>
      <c r="K22" s="42" t="n">
        <v>623</v>
      </c>
      <c r="L22" s="42" t="n">
        <v>1246</v>
      </c>
      <c r="M22" s="43" t="n">
        <f aca="false">IF($A22="","",IFERROR($G22/$F22,0))</f>
        <v>4.65489566613162</v>
      </c>
      <c r="N22" s="43" t="n">
        <f aca="false">IF($A22="","",IFERROR(SUMIFS(COMPRAS!$N$6:$N$1005,COMPRAS!$D$6:$D$1005,$A22,COMPRAS!$R$6:$R$1005,1)/COUNTIFS(COMPRAS!$D$6:$D$1005,$A22,COMPRAS!$R$6:$R$1005,1),0))</f>
        <v>0</v>
      </c>
      <c r="O22" s="43" t="n">
        <f aca="false">IF($A22="","",IF($N22&gt;0,$N22,$M22))</f>
        <v>4.65489566613162</v>
      </c>
      <c r="P22" s="43" t="n">
        <f aca="false">IF($A22="","",IF(N($I22)&gt;0,$O22/$I22,$O22))</f>
        <v>4.89989017487539</v>
      </c>
      <c r="Q22" s="34" t="n">
        <f aca="false">IF($A22="","",SUMIFS(COMPRAS!$I$6:$I$1005,COMPRAS!$D$6:$D$1005,$A22))</f>
        <v>0</v>
      </c>
      <c r="R22" s="34" t="n">
        <f aca="false">IF($A22="","",SUMIFS(RECETAS!$L$6:$L$605,RECETAS!$C$6:$C$605,$A22))</f>
        <v>0</v>
      </c>
      <c r="S22" s="34" t="n">
        <f aca="false">IF($A22="","",SUMIFS(MERMAS!$J$6:$J$505,MERMAS!$B$6:$B$505,$A22))</f>
        <v>0</v>
      </c>
      <c r="T22" s="34" t="n">
        <f aca="false">IF($A22="","",N($L22)+$Q22-$R22+$S22)</f>
        <v>1246</v>
      </c>
      <c r="U22" s="35" t="n">
        <f aca="false">IF($A22="","",$T22*$O22)</f>
        <v>5800</v>
      </c>
      <c r="V22" s="42"/>
      <c r="W22" s="34" t="str">
        <f aca="false">IF(OR($A22="",$V22=""),"",$V22-$T22)</f>
        <v/>
      </c>
      <c r="X22" s="35" t="str">
        <f aca="false">IF($W22="","",$W22*$O22)</f>
        <v/>
      </c>
      <c r="Y22" s="8" t="str">
        <f aca="false">IF($A22="","",IF($T22&lt;=0,"AGOTADO",IF($T22&lt;=N($K22),"REORDENAR","OK")))</f>
        <v>OK</v>
      </c>
      <c r="Z22" s="34" t="n">
        <f aca="false">IF($A22="","",IF($T22&lt;=N($K22),ROUNDUP((2*N($K22)-$T22)/$F22,0),0))</f>
        <v>0</v>
      </c>
      <c r="AA22" s="8" t="str">
        <f aca="false">IF(OR($Y22="REORDENAR",$Y22="AGOTADO"),ROW(),"")</f>
        <v/>
      </c>
    </row>
    <row r="23" customFormat="false" ht="15" hidden="false" customHeight="false" outlineLevel="0" collapsed="false">
      <c r="A23" s="6" t="s">
        <v>276</v>
      </c>
      <c r="B23" s="6" t="s">
        <v>277</v>
      </c>
      <c r="C23" s="6" t="s">
        <v>111</v>
      </c>
      <c r="D23" s="6" t="s">
        <v>71</v>
      </c>
      <c r="E23" s="6" t="s">
        <v>278</v>
      </c>
      <c r="F23" s="39" t="n">
        <v>750</v>
      </c>
      <c r="G23" s="40" t="n">
        <v>6800</v>
      </c>
      <c r="H23" s="41" t="n">
        <v>0.13</v>
      </c>
      <c r="I23" s="41" t="n">
        <v>0.95</v>
      </c>
      <c r="J23" s="6" t="s">
        <v>244</v>
      </c>
      <c r="K23" s="42" t="n">
        <v>750</v>
      </c>
      <c r="L23" s="42" t="n">
        <v>1500</v>
      </c>
      <c r="M23" s="43" t="n">
        <f aca="false">IF($A23="","",IFERROR($G23/$F23,0))</f>
        <v>9.06666666666667</v>
      </c>
      <c r="N23" s="43" t="n">
        <f aca="false">IF($A23="","",IFERROR(SUMIFS(COMPRAS!$N$6:$N$1005,COMPRAS!$D$6:$D$1005,$A23,COMPRAS!$R$6:$R$1005,1)/COUNTIFS(COMPRAS!$D$6:$D$1005,$A23,COMPRAS!$R$6:$R$1005,1),0))</f>
        <v>0</v>
      </c>
      <c r="O23" s="43" t="n">
        <f aca="false">IF($A23="","",IF($N23&gt;0,$N23,$M23))</f>
        <v>9.06666666666667</v>
      </c>
      <c r="P23" s="43" t="n">
        <f aca="false">IF($A23="","",IF(N($I23)&gt;0,$O23/$I23,$O23))</f>
        <v>9.54385964912281</v>
      </c>
      <c r="Q23" s="34" t="n">
        <f aca="false">IF($A23="","",SUMIFS(COMPRAS!$I$6:$I$1005,COMPRAS!$D$6:$D$1005,$A23))</f>
        <v>0</v>
      </c>
      <c r="R23" s="34" t="n">
        <f aca="false">IF($A23="","",SUMIFS(RECETAS!$L$6:$L$605,RECETAS!$C$6:$C$605,$A23))</f>
        <v>131.578947368421</v>
      </c>
      <c r="S23" s="34" t="n">
        <f aca="false">IF($A23="","",SUMIFS(MERMAS!$J$6:$J$505,MERMAS!$B$6:$B$505,$A23))</f>
        <v>0</v>
      </c>
      <c r="T23" s="34" t="n">
        <f aca="false">IF($A23="","",N($L23)+$Q23-$R23+$S23)</f>
        <v>1368.42105263158</v>
      </c>
      <c r="U23" s="35" t="n">
        <f aca="false">IF($A23="","",$T23*$O23)</f>
        <v>12407.0175438596</v>
      </c>
      <c r="V23" s="42"/>
      <c r="W23" s="34" t="str">
        <f aca="false">IF(OR($A23="",$V23=""),"",$V23-$T23)</f>
        <v/>
      </c>
      <c r="X23" s="35" t="str">
        <f aca="false">IF($W23="","",$W23*$O23)</f>
        <v/>
      </c>
      <c r="Y23" s="8" t="str">
        <f aca="false">IF($A23="","",IF($T23&lt;=0,"AGOTADO",IF($T23&lt;=N($K23),"REORDENAR","OK")))</f>
        <v>OK</v>
      </c>
      <c r="Z23" s="34" t="n">
        <f aca="false">IF($A23="","",IF($T23&lt;=N($K23),ROUNDUP((2*N($K23)-$T23)/$F23,0),0))</f>
        <v>0</v>
      </c>
      <c r="AA23" s="8" t="str">
        <f aca="false">IF(OR($Y23="REORDENAR",$Y23="AGOTADO"),ROW(),"")</f>
        <v/>
      </c>
    </row>
    <row r="24" customFormat="false" ht="15" hidden="false" customHeight="false" outlineLevel="0" collapsed="false">
      <c r="A24" s="6" t="s">
        <v>279</v>
      </c>
      <c r="B24" s="6" t="s">
        <v>280</v>
      </c>
      <c r="C24" s="6" t="s">
        <v>111</v>
      </c>
      <c r="D24" s="6" t="s">
        <v>71</v>
      </c>
      <c r="E24" s="6" t="s">
        <v>281</v>
      </c>
      <c r="F24" s="39" t="n">
        <v>1000</v>
      </c>
      <c r="G24" s="40" t="n">
        <v>3200</v>
      </c>
      <c r="H24" s="41" t="n">
        <v>0.13</v>
      </c>
      <c r="I24" s="41" t="n">
        <v>0.97</v>
      </c>
      <c r="J24" s="6" t="s">
        <v>244</v>
      </c>
      <c r="K24" s="42" t="n">
        <v>1000</v>
      </c>
      <c r="L24" s="42" t="n">
        <v>2000</v>
      </c>
      <c r="M24" s="43" t="n">
        <f aca="false">IF($A24="","",IFERROR($G24/$F24,0))</f>
        <v>3.2</v>
      </c>
      <c r="N24" s="43" t="n">
        <f aca="false">IF($A24="","",IFERROR(SUMIFS(COMPRAS!$N$6:$N$1005,COMPRAS!$D$6:$D$1005,$A24,COMPRAS!$R$6:$R$1005,1)/COUNTIFS(COMPRAS!$D$6:$D$1005,$A24,COMPRAS!$R$6:$R$1005,1),0))</f>
        <v>0</v>
      </c>
      <c r="O24" s="43" t="n">
        <f aca="false">IF($A24="","",IF($N24&gt;0,$N24,$M24))</f>
        <v>3.2</v>
      </c>
      <c r="P24" s="43" t="n">
        <f aca="false">IF($A24="","",IF(N($I24)&gt;0,$O24/$I24,$O24))</f>
        <v>3.29896907216495</v>
      </c>
      <c r="Q24" s="34" t="n">
        <f aca="false">IF($A24="","",SUMIFS(COMPRAS!$I$6:$I$1005,COMPRAS!$D$6:$D$1005,$A24))</f>
        <v>0</v>
      </c>
      <c r="R24" s="34" t="n">
        <f aca="false">IF($A24="","",SUMIFS(RECETAS!$L$6:$L$605,RECETAS!$C$6:$C$605,$A24))</f>
        <v>0</v>
      </c>
      <c r="S24" s="34" t="n">
        <f aca="false">IF($A24="","",SUMIFS(MERMAS!$J$6:$J$505,MERMAS!$B$6:$B$505,$A24))</f>
        <v>0</v>
      </c>
      <c r="T24" s="34" t="n">
        <f aca="false">IF($A24="","",N($L24)+$Q24-$R24+$S24)</f>
        <v>2000</v>
      </c>
      <c r="U24" s="35" t="n">
        <f aca="false">IF($A24="","",$T24*$O24)</f>
        <v>6400</v>
      </c>
      <c r="V24" s="42"/>
      <c r="W24" s="34" t="str">
        <f aca="false">IF(OR($A24="",$V24=""),"",$V24-$T24)</f>
        <v/>
      </c>
      <c r="X24" s="35" t="str">
        <f aca="false">IF($W24="","",$W24*$O24)</f>
        <v/>
      </c>
      <c r="Y24" s="8" t="str">
        <f aca="false">IF($A24="","",IF($T24&lt;=0,"AGOTADO",IF($T24&lt;=N($K24),"REORDENAR","OK")))</f>
        <v>OK</v>
      </c>
      <c r="Z24" s="34" t="n">
        <f aca="false">IF($A24="","",IF($T24&lt;=N($K24),ROUNDUP((2*N($K24)-$T24)/$F24,0),0))</f>
        <v>0</v>
      </c>
      <c r="AA24" s="8" t="str">
        <f aca="false">IF(OR($Y24="REORDENAR",$Y24="AGOTADO"),ROW(),"")</f>
        <v/>
      </c>
    </row>
    <row r="25" customFormat="false" ht="15" hidden="false" customHeight="false" outlineLevel="0" collapsed="false">
      <c r="A25" s="6" t="s">
        <v>282</v>
      </c>
      <c r="B25" s="6" t="s">
        <v>283</v>
      </c>
      <c r="C25" s="6" t="s">
        <v>118</v>
      </c>
      <c r="D25" s="6" t="s">
        <v>95</v>
      </c>
      <c r="E25" s="6" t="s">
        <v>284</v>
      </c>
      <c r="F25" s="39" t="n">
        <v>50</v>
      </c>
      <c r="G25" s="40" t="n">
        <v>3750</v>
      </c>
      <c r="H25" s="41" t="n">
        <v>0.13</v>
      </c>
      <c r="I25" s="41" t="n">
        <v>1</v>
      </c>
      <c r="J25" s="6" t="s">
        <v>285</v>
      </c>
      <c r="K25" s="42" t="n">
        <v>100</v>
      </c>
      <c r="L25" s="42" t="n">
        <v>300</v>
      </c>
      <c r="M25" s="43" t="n">
        <f aca="false">IF($A25="","",IFERROR($G25/$F25,0))</f>
        <v>75</v>
      </c>
      <c r="N25" s="43" t="n">
        <f aca="false">IF($A25="","",IFERROR(SUMIFS(COMPRAS!$N$6:$N$1005,COMPRAS!$D$6:$D$1005,$A25,COMPRAS!$R$6:$R$1005,1)/COUNTIFS(COMPRAS!$D$6:$D$1005,$A25,COMPRAS!$R$6:$R$1005,1),0))</f>
        <v>0</v>
      </c>
      <c r="O25" s="43" t="n">
        <f aca="false">IF($A25="","",IF($N25&gt;0,$N25,$M25))</f>
        <v>75</v>
      </c>
      <c r="P25" s="43" t="n">
        <f aca="false">IF($A25="","",IF(N($I25)&gt;0,$O25/$I25,$O25))</f>
        <v>75</v>
      </c>
      <c r="Q25" s="34" t="n">
        <f aca="false">IF($A25="","",SUMIFS(COMPRAS!$I$6:$I$1005,COMPRAS!$D$6:$D$1005,$A25))</f>
        <v>0</v>
      </c>
      <c r="R25" s="34" t="n">
        <f aca="false">IF($A25="","",SUMIFS(RECETAS!$L$6:$L$605,RECETAS!$C$6:$C$605,$A25))</f>
        <v>27</v>
      </c>
      <c r="S25" s="34" t="n">
        <f aca="false">IF($A25="","",SUMIFS(MERMAS!$J$6:$J$505,MERMAS!$B$6:$B$505,$A25))</f>
        <v>0</v>
      </c>
      <c r="T25" s="34" t="n">
        <f aca="false">IF($A25="","",N($L25)+$Q25-$R25+$S25)</f>
        <v>273</v>
      </c>
      <c r="U25" s="35" t="n">
        <f aca="false">IF($A25="","",$T25*$O25)</f>
        <v>20475</v>
      </c>
      <c r="V25" s="42"/>
      <c r="W25" s="34" t="str">
        <f aca="false">IF(OR($A25="",$V25=""),"",$V25-$T25)</f>
        <v/>
      </c>
      <c r="X25" s="35" t="str">
        <f aca="false">IF($W25="","",$W25*$O25)</f>
        <v/>
      </c>
      <c r="Y25" s="8" t="str">
        <f aca="false">IF($A25="","",IF($T25&lt;=0,"AGOTADO",IF($T25&lt;=N($K25),"REORDENAR","OK")))</f>
        <v>OK</v>
      </c>
      <c r="Z25" s="34" t="n">
        <f aca="false">IF($A25="","",IF($T25&lt;=N($K25),ROUNDUP((2*N($K25)-$T25)/$F25,0),0))</f>
        <v>0</v>
      </c>
      <c r="AA25" s="8" t="str">
        <f aca="false">IF(OR($Y25="REORDENAR",$Y25="AGOTADO"),ROW(),"")</f>
        <v/>
      </c>
    </row>
    <row r="26" customFormat="false" ht="15" hidden="false" customHeight="false" outlineLevel="0" collapsed="false">
      <c r="A26" s="6" t="s">
        <v>286</v>
      </c>
      <c r="B26" s="6" t="s">
        <v>287</v>
      </c>
      <c r="C26" s="6" t="s">
        <v>118</v>
      </c>
      <c r="D26" s="6" t="s">
        <v>95</v>
      </c>
      <c r="E26" s="6" t="s">
        <v>284</v>
      </c>
      <c r="F26" s="39" t="n">
        <v>50</v>
      </c>
      <c r="G26" s="40" t="n">
        <v>4500</v>
      </c>
      <c r="H26" s="41" t="n">
        <v>0.13</v>
      </c>
      <c r="I26" s="41" t="n">
        <v>1</v>
      </c>
      <c r="J26" s="6" t="s">
        <v>285</v>
      </c>
      <c r="K26" s="42" t="n">
        <v>100</v>
      </c>
      <c r="L26" s="42" t="n">
        <v>400</v>
      </c>
      <c r="M26" s="43" t="n">
        <f aca="false">IF($A26="","",IFERROR($G26/$F26,0))</f>
        <v>90</v>
      </c>
      <c r="N26" s="43" t="n">
        <f aca="false">IF($A26="","",IFERROR(SUMIFS(COMPRAS!$N$6:$N$1005,COMPRAS!$D$6:$D$1005,$A26,COMPRAS!$R$6:$R$1005,1)/COUNTIFS(COMPRAS!$D$6:$D$1005,$A26,COMPRAS!$R$6:$R$1005,1),0))</f>
        <v>90</v>
      </c>
      <c r="O26" s="43" t="n">
        <f aca="false">IF($A26="","",IF($N26&gt;0,$N26,$M26))</f>
        <v>90</v>
      </c>
      <c r="P26" s="43" t="n">
        <f aca="false">IF($A26="","",IF(N($I26)&gt;0,$O26/$I26,$O26))</f>
        <v>90</v>
      </c>
      <c r="Q26" s="34" t="n">
        <f aca="false">IF($A26="","",SUMIFS(COMPRAS!$I$6:$I$1005,COMPRAS!$D$6:$D$1005,$A26))</f>
        <v>200</v>
      </c>
      <c r="R26" s="34" t="n">
        <f aca="false">IF($A26="","",SUMIFS(RECETAS!$L$6:$L$605,RECETAS!$C$6:$C$605,$A26))</f>
        <v>40</v>
      </c>
      <c r="S26" s="34" t="n">
        <f aca="false">IF($A26="","",SUMIFS(MERMAS!$J$6:$J$505,MERMAS!$B$6:$B$505,$A26))</f>
        <v>0</v>
      </c>
      <c r="T26" s="34" t="n">
        <f aca="false">IF($A26="","",N($L26)+$Q26-$R26+$S26)</f>
        <v>560</v>
      </c>
      <c r="U26" s="35" t="n">
        <f aca="false">IF($A26="","",$T26*$O26)</f>
        <v>50400</v>
      </c>
      <c r="V26" s="42"/>
      <c r="W26" s="34" t="str">
        <f aca="false">IF(OR($A26="",$V26=""),"",$V26-$T26)</f>
        <v/>
      </c>
      <c r="X26" s="35" t="str">
        <f aca="false">IF($W26="","",$W26*$O26)</f>
        <v/>
      </c>
      <c r="Y26" s="8" t="str">
        <f aca="false">IF($A26="","",IF($T26&lt;=0,"AGOTADO",IF($T26&lt;=N($K26),"REORDENAR","OK")))</f>
        <v>OK</v>
      </c>
      <c r="Z26" s="34" t="n">
        <f aca="false">IF($A26="","",IF($T26&lt;=N($K26),ROUNDUP((2*N($K26)-$T26)/$F26,0),0))</f>
        <v>0</v>
      </c>
      <c r="AA26" s="8" t="str">
        <f aca="false">IF(OR($Y26="REORDENAR",$Y26="AGOTADO"),ROW(),"")</f>
        <v/>
      </c>
    </row>
    <row r="27" customFormat="false" ht="15" hidden="false" customHeight="false" outlineLevel="0" collapsed="false">
      <c r="A27" s="6" t="s">
        <v>288</v>
      </c>
      <c r="B27" s="6" t="s">
        <v>289</v>
      </c>
      <c r="C27" s="6" t="s">
        <v>118</v>
      </c>
      <c r="D27" s="6" t="s">
        <v>95</v>
      </c>
      <c r="E27" s="6" t="s">
        <v>284</v>
      </c>
      <c r="F27" s="39" t="n">
        <v>50</v>
      </c>
      <c r="G27" s="40" t="n">
        <v>5500</v>
      </c>
      <c r="H27" s="41" t="n">
        <v>0.13</v>
      </c>
      <c r="I27" s="41" t="n">
        <v>1</v>
      </c>
      <c r="J27" s="6" t="s">
        <v>285</v>
      </c>
      <c r="K27" s="42" t="n">
        <v>100</v>
      </c>
      <c r="L27" s="42" t="n">
        <v>400</v>
      </c>
      <c r="M27" s="43" t="n">
        <f aca="false">IF($A27="","",IFERROR($G27/$F27,0))</f>
        <v>110</v>
      </c>
      <c r="N27" s="43" t="n">
        <f aca="false">IF($A27="","",IFERROR(SUMIFS(COMPRAS!$N$6:$N$1005,COMPRAS!$D$6:$D$1005,$A27,COMPRAS!$R$6:$R$1005,1)/COUNTIFS(COMPRAS!$D$6:$D$1005,$A27,COMPRAS!$R$6:$R$1005,1),0))</f>
        <v>0</v>
      </c>
      <c r="O27" s="43" t="n">
        <f aca="false">IF($A27="","",IF($N27&gt;0,$N27,$M27))</f>
        <v>110</v>
      </c>
      <c r="P27" s="43" t="n">
        <f aca="false">IF($A27="","",IF(N($I27)&gt;0,$O27/$I27,$O27))</f>
        <v>110</v>
      </c>
      <c r="Q27" s="34" t="n">
        <f aca="false">IF($A27="","",SUMIFS(COMPRAS!$I$6:$I$1005,COMPRAS!$D$6:$D$1005,$A27))</f>
        <v>0</v>
      </c>
      <c r="R27" s="34" t="n">
        <f aca="false">IF($A27="","",SUMIFS(RECETAS!$L$6:$L$605,RECETAS!$C$6:$C$605,$A27))</f>
        <v>33</v>
      </c>
      <c r="S27" s="34" t="n">
        <f aca="false">IF($A27="","",SUMIFS(MERMAS!$J$6:$J$505,MERMAS!$B$6:$B$505,$A27))</f>
        <v>0</v>
      </c>
      <c r="T27" s="34" t="n">
        <f aca="false">IF($A27="","",N($L27)+$Q27-$R27+$S27)</f>
        <v>367</v>
      </c>
      <c r="U27" s="35" t="n">
        <f aca="false">IF($A27="","",$T27*$O27)</f>
        <v>40370</v>
      </c>
      <c r="V27" s="42"/>
      <c r="W27" s="34" t="str">
        <f aca="false">IF(OR($A27="",$V27=""),"",$V27-$T27)</f>
        <v/>
      </c>
      <c r="X27" s="35" t="str">
        <f aca="false">IF($W27="","",$W27*$O27)</f>
        <v/>
      </c>
      <c r="Y27" s="8" t="str">
        <f aca="false">IF($A27="","",IF($T27&lt;=0,"AGOTADO",IF($T27&lt;=N($K27),"REORDENAR","OK")))</f>
        <v>OK</v>
      </c>
      <c r="Z27" s="34" t="n">
        <f aca="false">IF($A27="","",IF($T27&lt;=N($K27),ROUNDUP((2*N($K27)-$T27)/$F27,0),0))</f>
        <v>0</v>
      </c>
      <c r="AA27" s="8" t="str">
        <f aca="false">IF(OR($Y27="REORDENAR",$Y27="AGOTADO"),ROW(),"")</f>
        <v/>
      </c>
    </row>
    <row r="28" customFormat="false" ht="15" hidden="false" customHeight="false" outlineLevel="0" collapsed="false">
      <c r="A28" s="6" t="s">
        <v>290</v>
      </c>
      <c r="B28" s="6" t="s">
        <v>291</v>
      </c>
      <c r="C28" s="6" t="s">
        <v>118</v>
      </c>
      <c r="D28" s="6" t="s">
        <v>95</v>
      </c>
      <c r="E28" s="6" t="s">
        <v>284</v>
      </c>
      <c r="F28" s="39" t="n">
        <v>50</v>
      </c>
      <c r="G28" s="40" t="n">
        <v>7000</v>
      </c>
      <c r="H28" s="41" t="n">
        <v>0.13</v>
      </c>
      <c r="I28" s="41" t="n">
        <v>1</v>
      </c>
      <c r="J28" s="6" t="s">
        <v>285</v>
      </c>
      <c r="K28" s="42" t="n">
        <v>50</v>
      </c>
      <c r="L28" s="42" t="n">
        <v>150</v>
      </c>
      <c r="M28" s="43" t="n">
        <f aca="false">IF($A28="","",IFERROR($G28/$F28,0))</f>
        <v>140</v>
      </c>
      <c r="N28" s="43" t="n">
        <f aca="false">IF($A28="","",IFERROR(SUMIFS(COMPRAS!$N$6:$N$1005,COMPRAS!$D$6:$D$1005,$A28,COMPRAS!$R$6:$R$1005,1)/COUNTIFS(COMPRAS!$D$6:$D$1005,$A28,COMPRAS!$R$6:$R$1005,1),0))</f>
        <v>0</v>
      </c>
      <c r="O28" s="43" t="n">
        <f aca="false">IF($A28="","",IF($N28&gt;0,$N28,$M28))</f>
        <v>140</v>
      </c>
      <c r="P28" s="43" t="n">
        <f aca="false">IF($A28="","",IF(N($I28)&gt;0,$O28/$I28,$O28))</f>
        <v>140</v>
      </c>
      <c r="Q28" s="34" t="n">
        <f aca="false">IF($A28="","",SUMIFS(COMPRAS!$I$6:$I$1005,COMPRAS!$D$6:$D$1005,$A28))</f>
        <v>0</v>
      </c>
      <c r="R28" s="34" t="n">
        <f aca="false">IF($A28="","",SUMIFS(RECETAS!$L$6:$L$605,RECETAS!$C$6:$C$605,$A28))</f>
        <v>7</v>
      </c>
      <c r="S28" s="34" t="n">
        <f aca="false">IF($A28="","",SUMIFS(MERMAS!$J$6:$J$505,MERMAS!$B$6:$B$505,$A28))</f>
        <v>0</v>
      </c>
      <c r="T28" s="34" t="n">
        <f aca="false">IF($A28="","",N($L28)+$Q28-$R28+$S28)</f>
        <v>143</v>
      </c>
      <c r="U28" s="35" t="n">
        <f aca="false">IF($A28="","",$T28*$O28)</f>
        <v>20020</v>
      </c>
      <c r="V28" s="42"/>
      <c r="W28" s="34" t="str">
        <f aca="false">IF(OR($A28="",$V28=""),"",$V28-$T28)</f>
        <v/>
      </c>
      <c r="X28" s="35" t="str">
        <f aca="false">IF($W28="","",$W28*$O28)</f>
        <v/>
      </c>
      <c r="Y28" s="8" t="str">
        <f aca="false">IF($A28="","",IF($T28&lt;=0,"AGOTADO",IF($T28&lt;=N($K28),"REORDENAR","OK")))</f>
        <v>OK</v>
      </c>
      <c r="Z28" s="34" t="n">
        <f aca="false">IF($A28="","",IF($T28&lt;=N($K28),ROUNDUP((2*N($K28)-$T28)/$F28,0),0))</f>
        <v>0</v>
      </c>
      <c r="AA28" s="8" t="str">
        <f aca="false">IF(OR($Y28="REORDENAR",$Y28="AGOTADO"),ROW(),"")</f>
        <v/>
      </c>
    </row>
    <row r="29" customFormat="false" ht="15" hidden="false" customHeight="false" outlineLevel="0" collapsed="false">
      <c r="A29" s="6" t="s">
        <v>292</v>
      </c>
      <c r="B29" s="6" t="s">
        <v>293</v>
      </c>
      <c r="C29" s="6" t="s">
        <v>118</v>
      </c>
      <c r="D29" s="6" t="s">
        <v>95</v>
      </c>
      <c r="E29" s="6" t="s">
        <v>294</v>
      </c>
      <c r="F29" s="39" t="n">
        <v>100</v>
      </c>
      <c r="G29" s="40" t="n">
        <v>1500</v>
      </c>
      <c r="H29" s="41" t="n">
        <v>0.13</v>
      </c>
      <c r="I29" s="41" t="n">
        <v>1</v>
      </c>
      <c r="J29" s="6" t="s">
        <v>285</v>
      </c>
      <c r="K29" s="42" t="n">
        <v>200</v>
      </c>
      <c r="L29" s="42" t="n">
        <v>1000</v>
      </c>
      <c r="M29" s="43" t="n">
        <f aca="false">IF($A29="","",IFERROR($G29/$F29,0))</f>
        <v>15</v>
      </c>
      <c r="N29" s="43" t="n">
        <f aca="false">IF($A29="","",IFERROR(SUMIFS(COMPRAS!$N$6:$N$1005,COMPRAS!$D$6:$D$1005,$A29,COMPRAS!$R$6:$R$1005,1)/COUNTIFS(COMPRAS!$D$6:$D$1005,$A29,COMPRAS!$R$6:$R$1005,1),0))</f>
        <v>0</v>
      </c>
      <c r="O29" s="43" t="n">
        <f aca="false">IF($A29="","",IF($N29&gt;0,$N29,$M29))</f>
        <v>15</v>
      </c>
      <c r="P29" s="43" t="n">
        <f aca="false">IF($A29="","",IF(N($I29)&gt;0,$O29/$I29,$O29))</f>
        <v>15</v>
      </c>
      <c r="Q29" s="34" t="n">
        <f aca="false">IF($A29="","",SUMIFS(COMPRAS!$I$6:$I$1005,COMPRAS!$D$6:$D$1005,$A29))</f>
        <v>0</v>
      </c>
      <c r="R29" s="34" t="n">
        <f aca="false">IF($A29="","",SUMIFS(RECETAS!$L$6:$L$605,RECETAS!$C$6:$C$605,$A29))</f>
        <v>107</v>
      </c>
      <c r="S29" s="34" t="n">
        <f aca="false">IF($A29="","",SUMIFS(MERMAS!$J$6:$J$505,MERMAS!$B$6:$B$505,$A29))</f>
        <v>0</v>
      </c>
      <c r="T29" s="34" t="n">
        <f aca="false">IF($A29="","",N($L29)+$Q29-$R29+$S29)</f>
        <v>893</v>
      </c>
      <c r="U29" s="35" t="n">
        <f aca="false">IF($A29="","",$T29*$O29)</f>
        <v>13395</v>
      </c>
      <c r="V29" s="42"/>
      <c r="W29" s="34" t="str">
        <f aca="false">IF(OR($A29="",$V29=""),"",$V29-$T29)</f>
        <v/>
      </c>
      <c r="X29" s="35" t="str">
        <f aca="false">IF($W29="","",$W29*$O29)</f>
        <v/>
      </c>
      <c r="Y29" s="8" t="str">
        <f aca="false">IF($A29="","",IF($T29&lt;=0,"AGOTADO",IF($T29&lt;=N($K29),"REORDENAR","OK")))</f>
        <v>OK</v>
      </c>
      <c r="Z29" s="34" t="n">
        <f aca="false">IF($A29="","",IF($T29&lt;=N($K29),ROUNDUP((2*N($K29)-$T29)/$F29,0),0))</f>
        <v>0</v>
      </c>
      <c r="AA29" s="8" t="str">
        <f aca="false">IF(OR($Y29="REORDENAR",$Y29="AGOTADO"),ROW(),"")</f>
        <v/>
      </c>
    </row>
    <row r="30" customFormat="false" ht="15" hidden="false" customHeight="false" outlineLevel="0" collapsed="false">
      <c r="A30" s="6" t="s">
        <v>295</v>
      </c>
      <c r="B30" s="6" t="s">
        <v>296</v>
      </c>
      <c r="C30" s="6" t="s">
        <v>118</v>
      </c>
      <c r="D30" s="6" t="s">
        <v>95</v>
      </c>
      <c r="E30" s="6" t="s">
        <v>297</v>
      </c>
      <c r="F30" s="39" t="n">
        <v>500</v>
      </c>
      <c r="G30" s="40" t="n">
        <v>2500</v>
      </c>
      <c r="H30" s="41" t="n">
        <v>0.13</v>
      </c>
      <c r="I30" s="41" t="n">
        <v>1</v>
      </c>
      <c r="J30" s="6" t="s">
        <v>285</v>
      </c>
      <c r="K30" s="42" t="n">
        <v>500</v>
      </c>
      <c r="L30" s="42" t="n">
        <v>2000</v>
      </c>
      <c r="M30" s="43" t="n">
        <f aca="false">IF($A30="","",IFERROR($G30/$F30,0))</f>
        <v>5</v>
      </c>
      <c r="N30" s="43" t="n">
        <f aca="false">IF($A30="","",IFERROR(SUMIFS(COMPRAS!$N$6:$N$1005,COMPRAS!$D$6:$D$1005,$A30,COMPRAS!$R$6:$R$1005,1)/COUNTIFS(COMPRAS!$D$6:$D$1005,$A30,COMPRAS!$R$6:$R$1005,1),0))</f>
        <v>0</v>
      </c>
      <c r="O30" s="43" t="n">
        <f aca="false">IF($A30="","",IF($N30&gt;0,$N30,$M30))</f>
        <v>5</v>
      </c>
      <c r="P30" s="43" t="n">
        <f aca="false">IF($A30="","",IF(N($I30)&gt;0,$O30/$I30,$O30))</f>
        <v>5</v>
      </c>
      <c r="Q30" s="34" t="n">
        <f aca="false">IF($A30="","",SUMIFS(COMPRAS!$I$6:$I$1005,COMPRAS!$D$6:$D$1005,$A30))</f>
        <v>0</v>
      </c>
      <c r="R30" s="34" t="n">
        <f aca="false">IF($A30="","",SUMIFS(RECETAS!$L$6:$L$605,RECETAS!$C$6:$C$605,$A30))</f>
        <v>140</v>
      </c>
      <c r="S30" s="34" t="n">
        <f aca="false">IF($A30="","",SUMIFS(MERMAS!$J$6:$J$505,MERMAS!$B$6:$B$505,$A30))</f>
        <v>0</v>
      </c>
      <c r="T30" s="34" t="n">
        <f aca="false">IF($A30="","",N($L30)+$Q30-$R30+$S30)</f>
        <v>1860</v>
      </c>
      <c r="U30" s="35" t="n">
        <f aca="false">IF($A30="","",$T30*$O30)</f>
        <v>9300</v>
      </c>
      <c r="V30" s="42"/>
      <c r="W30" s="34" t="str">
        <f aca="false">IF(OR($A30="",$V30=""),"",$V30-$T30)</f>
        <v/>
      </c>
      <c r="X30" s="35" t="str">
        <f aca="false">IF($W30="","",$W30*$O30)</f>
        <v/>
      </c>
      <c r="Y30" s="8" t="str">
        <f aca="false">IF($A30="","",IF($T30&lt;=0,"AGOTADO",IF($T30&lt;=N($K30),"REORDENAR","OK")))</f>
        <v>OK</v>
      </c>
      <c r="Z30" s="34" t="n">
        <f aca="false">IF($A30="","",IF($T30&lt;=N($K30),ROUNDUP((2*N($K30)-$T30)/$F30,0),0))</f>
        <v>0</v>
      </c>
      <c r="AA30" s="8" t="str">
        <f aca="false">IF(OR($Y30="REORDENAR",$Y30="AGOTADO"),ROW(),"")</f>
        <v/>
      </c>
    </row>
    <row r="31" customFormat="false" ht="15" hidden="false" customHeight="false" outlineLevel="0" collapsed="false">
      <c r="A31" s="6" t="s">
        <v>298</v>
      </c>
      <c r="B31" s="6" t="s">
        <v>299</v>
      </c>
      <c r="C31" s="6" t="s">
        <v>118</v>
      </c>
      <c r="D31" s="6" t="s">
        <v>95</v>
      </c>
      <c r="E31" s="6" t="s">
        <v>294</v>
      </c>
      <c r="F31" s="39" t="n">
        <v>100</v>
      </c>
      <c r="G31" s="40" t="n">
        <v>2000</v>
      </c>
      <c r="H31" s="41" t="n">
        <v>0.13</v>
      </c>
      <c r="I31" s="41" t="n">
        <v>1</v>
      </c>
      <c r="J31" s="6" t="s">
        <v>285</v>
      </c>
      <c r="K31" s="42" t="n">
        <v>100</v>
      </c>
      <c r="L31" s="42" t="n">
        <v>300</v>
      </c>
      <c r="M31" s="43" t="n">
        <f aca="false">IF($A31="","",IFERROR($G31/$F31,0))</f>
        <v>20</v>
      </c>
      <c r="N31" s="43" t="n">
        <f aca="false">IF($A31="","",IFERROR(SUMIFS(COMPRAS!$N$6:$N$1005,COMPRAS!$D$6:$D$1005,$A31,COMPRAS!$R$6:$R$1005,1)/COUNTIFS(COMPRAS!$D$6:$D$1005,$A31,COMPRAS!$R$6:$R$1005,1),0))</f>
        <v>0</v>
      </c>
      <c r="O31" s="43" t="n">
        <f aca="false">IF($A31="","",IF($N31&gt;0,$N31,$M31))</f>
        <v>20</v>
      </c>
      <c r="P31" s="43" t="n">
        <f aca="false">IF($A31="","",IF(N($I31)&gt;0,$O31/$I31,$O31))</f>
        <v>20</v>
      </c>
      <c r="Q31" s="34" t="n">
        <f aca="false">IF($A31="","",SUMIFS(COMPRAS!$I$6:$I$1005,COMPRAS!$D$6:$D$1005,$A31))</f>
        <v>0</v>
      </c>
      <c r="R31" s="34" t="n">
        <f aca="false">IF($A31="","",SUMIFS(RECETAS!$L$6:$L$605,RECETAS!$C$6:$C$605,$A31))</f>
        <v>7</v>
      </c>
      <c r="S31" s="34" t="n">
        <f aca="false">IF($A31="","",SUMIFS(MERMAS!$J$6:$J$505,MERMAS!$B$6:$B$505,$A31))</f>
        <v>0</v>
      </c>
      <c r="T31" s="34" t="n">
        <f aca="false">IF($A31="","",N($L31)+$Q31-$R31+$S31)</f>
        <v>293</v>
      </c>
      <c r="U31" s="35" t="n">
        <f aca="false">IF($A31="","",$T31*$O31)</f>
        <v>5860</v>
      </c>
      <c r="V31" s="42"/>
      <c r="W31" s="34" t="str">
        <f aca="false">IF(OR($A31="",$V31=""),"",$V31-$T31)</f>
        <v/>
      </c>
      <c r="X31" s="35" t="str">
        <f aca="false">IF($W31="","",$W31*$O31)</f>
        <v/>
      </c>
      <c r="Y31" s="8" t="str">
        <f aca="false">IF($A31="","",IF($T31&lt;=0,"AGOTADO",IF($T31&lt;=N($K31),"REORDENAR","OK")))</f>
        <v>OK</v>
      </c>
      <c r="Z31" s="34" t="n">
        <f aca="false">IF($A31="","",IF($T31&lt;=N($K31),ROUNDUP((2*N($K31)-$T31)/$F31,0),0))</f>
        <v>0</v>
      </c>
      <c r="AA31" s="8" t="str">
        <f aca="false">IF(OR($Y31="REORDENAR",$Y31="AGOTADO"),ROW(),"")</f>
        <v/>
      </c>
    </row>
    <row r="32" customFormat="false" ht="15" hidden="false" customHeight="false" outlineLevel="0" collapsed="false">
      <c r="A32" s="6" t="s">
        <v>300</v>
      </c>
      <c r="B32" s="6" t="s">
        <v>301</v>
      </c>
      <c r="C32" s="6" t="s">
        <v>111</v>
      </c>
      <c r="D32" s="6" t="s">
        <v>71</v>
      </c>
      <c r="E32" s="6" t="s">
        <v>302</v>
      </c>
      <c r="F32" s="39" t="n">
        <v>200</v>
      </c>
      <c r="G32" s="40" t="n">
        <v>4500</v>
      </c>
      <c r="H32" s="41" t="n">
        <v>0.13</v>
      </c>
      <c r="I32" s="41" t="n">
        <v>0.95</v>
      </c>
      <c r="J32" s="6" t="s">
        <v>303</v>
      </c>
      <c r="K32" s="42" t="n">
        <v>200</v>
      </c>
      <c r="L32" s="42" t="n">
        <v>600</v>
      </c>
      <c r="M32" s="43" t="n">
        <f aca="false">IF($A32="","",IFERROR($G32/$F32,0))</f>
        <v>22.5</v>
      </c>
      <c r="N32" s="43" t="n">
        <f aca="false">IF($A32="","",IFERROR(SUMIFS(COMPRAS!$N$6:$N$1005,COMPRAS!$D$6:$D$1005,$A32,COMPRAS!$R$6:$R$1005,1)/COUNTIFS(COMPRAS!$D$6:$D$1005,$A32,COMPRAS!$R$6:$R$1005,1),0))</f>
        <v>0</v>
      </c>
      <c r="O32" s="43" t="n">
        <f aca="false">IF($A32="","",IF($N32&gt;0,$N32,$M32))</f>
        <v>22.5</v>
      </c>
      <c r="P32" s="43" t="n">
        <f aca="false">IF($A32="","",IF(N($I32)&gt;0,$O32/$I32,$O32))</f>
        <v>23.6842105263158</v>
      </c>
      <c r="Q32" s="34" t="n">
        <f aca="false">IF($A32="","",SUMIFS(COMPRAS!$I$6:$I$1005,COMPRAS!$D$6:$D$1005,$A32))</f>
        <v>0</v>
      </c>
      <c r="R32" s="34" t="n">
        <f aca="false">IF($A32="","",SUMIFS(RECETAS!$L$6:$L$605,RECETAS!$C$6:$C$605,$A32))</f>
        <v>0</v>
      </c>
      <c r="S32" s="34" t="n">
        <f aca="false">IF($A32="","",SUMIFS(MERMAS!$J$6:$J$505,MERMAS!$B$6:$B$505,$A32))</f>
        <v>0</v>
      </c>
      <c r="T32" s="34" t="n">
        <f aca="false">IF($A32="","",N($L32)+$Q32-$R32+$S32)</f>
        <v>600</v>
      </c>
      <c r="U32" s="35" t="n">
        <f aca="false">IF($A32="","",$T32*$O32)</f>
        <v>13500</v>
      </c>
      <c r="V32" s="42"/>
      <c r="W32" s="34" t="str">
        <f aca="false">IF(OR($A32="",$V32=""),"",$V32-$T32)</f>
        <v/>
      </c>
      <c r="X32" s="35" t="str">
        <f aca="false">IF($W32="","",$W32*$O32)</f>
        <v/>
      </c>
      <c r="Y32" s="8" t="str">
        <f aca="false">IF($A32="","",IF($T32&lt;=0,"AGOTADO",IF($T32&lt;=N($K32),"REORDENAR","OK")))</f>
        <v>OK</v>
      </c>
      <c r="Z32" s="34" t="n">
        <f aca="false">IF($A32="","",IF($T32&lt;=N($K32),ROUNDUP((2*N($K32)-$T32)/$F32,0),0))</f>
        <v>0</v>
      </c>
      <c r="AA32" s="8" t="str">
        <f aca="false">IF(OR($Y32="REORDENAR",$Y32="AGOTADO"),ROW(),"")</f>
        <v/>
      </c>
    </row>
    <row r="33" customFormat="false" ht="15" hidden="false" customHeight="false" outlineLevel="0" collapsed="false">
      <c r="A33" s="6" t="s">
        <v>304</v>
      </c>
      <c r="B33" s="6" t="s">
        <v>305</v>
      </c>
      <c r="C33" s="6" t="s">
        <v>94</v>
      </c>
      <c r="D33" s="6" t="s">
        <v>71</v>
      </c>
      <c r="E33" s="6" t="s">
        <v>235</v>
      </c>
      <c r="F33" s="39" t="n">
        <v>1000</v>
      </c>
      <c r="G33" s="40" t="n">
        <v>1100</v>
      </c>
      <c r="H33" s="41" t="n">
        <v>0.01</v>
      </c>
      <c r="I33" s="41" t="n">
        <v>1</v>
      </c>
      <c r="J33" s="6" t="s">
        <v>244</v>
      </c>
      <c r="K33" s="42" t="n">
        <v>1000</v>
      </c>
      <c r="L33" s="42" t="n">
        <v>2000</v>
      </c>
      <c r="M33" s="43" t="n">
        <f aca="false">IF($A33="","",IFERROR($G33/$F33,0))</f>
        <v>1.1</v>
      </c>
      <c r="N33" s="43" t="n">
        <f aca="false">IF($A33="","",IFERROR(SUMIFS(COMPRAS!$N$6:$N$1005,COMPRAS!$D$6:$D$1005,$A33,COMPRAS!$R$6:$R$1005,1)/COUNTIFS(COMPRAS!$D$6:$D$1005,$A33,COMPRAS!$R$6:$R$1005,1),0))</f>
        <v>0</v>
      </c>
      <c r="O33" s="43" t="n">
        <f aca="false">IF($A33="","",IF($N33&gt;0,$N33,$M33))</f>
        <v>1.1</v>
      </c>
      <c r="P33" s="43" t="n">
        <f aca="false">IF($A33="","",IF(N($I33)&gt;0,$O33/$I33,$O33))</f>
        <v>1.1</v>
      </c>
      <c r="Q33" s="34" t="n">
        <f aca="false">IF($A33="","",SUMIFS(COMPRAS!$I$6:$I$1005,COMPRAS!$D$6:$D$1005,$A33))</f>
        <v>0</v>
      </c>
      <c r="R33" s="34" t="n">
        <f aca="false">IF($A33="","",SUMIFS(RECETAS!$L$6:$L$605,RECETAS!$C$6:$C$605,$A33))</f>
        <v>120</v>
      </c>
      <c r="S33" s="34" t="n">
        <f aca="false">IF($A33="","",SUMIFS(MERMAS!$J$6:$J$505,MERMAS!$B$6:$B$505,$A33))</f>
        <v>0</v>
      </c>
      <c r="T33" s="34" t="n">
        <f aca="false">IF($A33="","",N($L33)+$Q33-$R33+$S33)</f>
        <v>1880</v>
      </c>
      <c r="U33" s="35" t="n">
        <f aca="false">IF($A33="","",$T33*$O33)</f>
        <v>2068</v>
      </c>
      <c r="V33" s="42"/>
      <c r="W33" s="34" t="str">
        <f aca="false">IF(OR($A33="",$V33=""),"",$V33-$T33)</f>
        <v/>
      </c>
      <c r="X33" s="35" t="str">
        <f aca="false">IF($W33="","",$W33*$O33)</f>
        <v/>
      </c>
      <c r="Y33" s="8" t="str">
        <f aca="false">IF($A33="","",IF($T33&lt;=0,"AGOTADO",IF($T33&lt;=N($K33),"REORDENAR","OK")))</f>
        <v>OK</v>
      </c>
      <c r="Z33" s="34" t="n">
        <f aca="false">IF($A33="","",IF($T33&lt;=N($K33),ROUNDUP((2*N($K33)-$T33)/$F33,0),0))</f>
        <v>0</v>
      </c>
      <c r="AA33" s="8" t="str">
        <f aca="false">IF(OR($Y33="REORDENAR",$Y33="AGOTADO"),ROW(),"")</f>
        <v/>
      </c>
    </row>
    <row r="34" customFormat="false" ht="15" hidden="false" customHeight="false" outlineLevel="0" collapsed="false">
      <c r="A34" s="6" t="s">
        <v>306</v>
      </c>
      <c r="B34" s="6" t="s">
        <v>307</v>
      </c>
      <c r="C34" s="6" t="s">
        <v>82</v>
      </c>
      <c r="D34" s="6" t="s">
        <v>71</v>
      </c>
      <c r="E34" s="6" t="s">
        <v>308</v>
      </c>
      <c r="F34" s="39" t="n">
        <v>500</v>
      </c>
      <c r="G34" s="40" t="n">
        <v>2000</v>
      </c>
      <c r="H34" s="41" t="n">
        <v>0.01</v>
      </c>
      <c r="I34" s="41" t="n">
        <v>1</v>
      </c>
      <c r="J34" s="6" t="s">
        <v>240</v>
      </c>
      <c r="K34" s="42" t="n">
        <v>500</v>
      </c>
      <c r="L34" s="42" t="n">
        <v>1000</v>
      </c>
      <c r="M34" s="43" t="n">
        <f aca="false">IF($A34="","",IFERROR($G34/$F34,0))</f>
        <v>4</v>
      </c>
      <c r="N34" s="43" t="n">
        <f aca="false">IF($A34="","",IFERROR(SUMIFS(COMPRAS!$N$6:$N$1005,COMPRAS!$D$6:$D$1005,$A34,COMPRAS!$R$6:$R$1005,1)/COUNTIFS(COMPRAS!$D$6:$D$1005,$A34,COMPRAS!$R$6:$R$1005,1),0))</f>
        <v>0</v>
      </c>
      <c r="O34" s="43" t="n">
        <f aca="false">IF($A34="","",IF($N34&gt;0,$N34,$M34))</f>
        <v>4</v>
      </c>
      <c r="P34" s="43" t="n">
        <f aca="false">IF($A34="","",IF(N($I34)&gt;0,$O34/$I34,$O34))</f>
        <v>4</v>
      </c>
      <c r="Q34" s="34" t="n">
        <f aca="false">IF($A34="","",SUMIFS(COMPRAS!$I$6:$I$1005,COMPRAS!$D$6:$D$1005,$A34))</f>
        <v>0</v>
      </c>
      <c r="R34" s="34" t="n">
        <f aca="false">IF($A34="","",SUMIFS(RECETAS!$L$6:$L$605,RECETAS!$C$6:$C$605,$A34))</f>
        <v>75</v>
      </c>
      <c r="S34" s="34" t="n">
        <f aca="false">IF($A34="","",SUMIFS(MERMAS!$J$6:$J$505,MERMAS!$B$6:$B$505,$A34))</f>
        <v>0</v>
      </c>
      <c r="T34" s="34" t="n">
        <f aca="false">IF($A34="","",N($L34)+$Q34-$R34+$S34)</f>
        <v>925</v>
      </c>
      <c r="U34" s="35" t="n">
        <f aca="false">IF($A34="","",$T34*$O34)</f>
        <v>3700</v>
      </c>
      <c r="V34" s="42"/>
      <c r="W34" s="34" t="str">
        <f aca="false">IF(OR($A34="",$V34=""),"",$V34-$T34)</f>
        <v/>
      </c>
      <c r="X34" s="35" t="str">
        <f aca="false">IF($W34="","",$W34*$O34)</f>
        <v/>
      </c>
      <c r="Y34" s="8" t="str">
        <f aca="false">IF($A34="","",IF($T34&lt;=0,"AGOTADO",IF($T34&lt;=N($K34),"REORDENAR","OK")))</f>
        <v>OK</v>
      </c>
      <c r="Z34" s="34" t="n">
        <f aca="false">IF($A34="","",IF($T34&lt;=N($K34),ROUNDUP((2*N($K34)-$T34)/$F34,0),0))</f>
        <v>0</v>
      </c>
      <c r="AA34" s="8" t="str">
        <f aca="false">IF(OR($Y34="REORDENAR",$Y34="AGOTADO"),ROW(),"")</f>
        <v/>
      </c>
    </row>
    <row r="35" customFormat="false" ht="15" hidden="false" customHeight="false" outlineLevel="0" collapsed="false">
      <c r="A35" s="6" t="s">
        <v>309</v>
      </c>
      <c r="B35" s="6" t="s">
        <v>310</v>
      </c>
      <c r="C35" s="6" t="s">
        <v>94</v>
      </c>
      <c r="D35" s="6" t="s">
        <v>71</v>
      </c>
      <c r="E35" s="6" t="s">
        <v>260</v>
      </c>
      <c r="F35" s="39" t="n">
        <v>500</v>
      </c>
      <c r="G35" s="40" t="n">
        <v>3500</v>
      </c>
      <c r="H35" s="41" t="n">
        <v>0.13</v>
      </c>
      <c r="I35" s="41" t="n">
        <v>1</v>
      </c>
      <c r="J35" s="6" t="s">
        <v>244</v>
      </c>
      <c r="K35" s="42" t="n">
        <v>250</v>
      </c>
      <c r="L35" s="42" t="n">
        <v>500</v>
      </c>
      <c r="M35" s="43" t="n">
        <f aca="false">IF($A35="","",IFERROR($G35/$F35,0))</f>
        <v>7</v>
      </c>
      <c r="N35" s="43" t="n">
        <f aca="false">IF($A35="","",IFERROR(SUMIFS(COMPRAS!$N$6:$N$1005,COMPRAS!$D$6:$D$1005,$A35,COMPRAS!$R$6:$R$1005,1)/COUNTIFS(COMPRAS!$D$6:$D$1005,$A35,COMPRAS!$R$6:$R$1005,1),0))</f>
        <v>0</v>
      </c>
      <c r="O35" s="43" t="n">
        <f aca="false">IF($A35="","",IF($N35&gt;0,$N35,$M35))</f>
        <v>7</v>
      </c>
      <c r="P35" s="43" t="n">
        <f aca="false">IF($A35="","",IF(N($I35)&gt;0,$O35/$I35,$O35))</f>
        <v>7</v>
      </c>
      <c r="Q35" s="34" t="n">
        <f aca="false">IF($A35="","",SUMIFS(COMPRAS!$I$6:$I$1005,COMPRAS!$D$6:$D$1005,$A35))</f>
        <v>0</v>
      </c>
      <c r="R35" s="34" t="n">
        <f aca="false">IF($A35="","",SUMIFS(RECETAS!$L$6:$L$605,RECETAS!$C$6:$C$605,$A35))</f>
        <v>36</v>
      </c>
      <c r="S35" s="34" t="n">
        <f aca="false">IF($A35="","",SUMIFS(MERMAS!$J$6:$J$505,MERMAS!$B$6:$B$505,$A35))</f>
        <v>0</v>
      </c>
      <c r="T35" s="34" t="n">
        <f aca="false">IF($A35="","",N($L35)+$Q35-$R35+$S35)</f>
        <v>464</v>
      </c>
      <c r="U35" s="35" t="n">
        <f aca="false">IF($A35="","",$T35*$O35)</f>
        <v>3248</v>
      </c>
      <c r="V35" s="42"/>
      <c r="W35" s="34" t="str">
        <f aca="false">IF(OR($A35="",$V35=""),"",$V35-$T35)</f>
        <v/>
      </c>
      <c r="X35" s="35" t="str">
        <f aca="false">IF($W35="","",$W35*$O35)</f>
        <v/>
      </c>
      <c r="Y35" s="8" t="str">
        <f aca="false">IF($A35="","",IF($T35&lt;=0,"AGOTADO",IF($T35&lt;=N($K35),"REORDENAR","OK")))</f>
        <v>OK</v>
      </c>
      <c r="Z35" s="34" t="n">
        <f aca="false">IF($A35="","",IF($T35&lt;=N($K35),ROUNDUP((2*N($K35)-$T35)/$F35,0),0))</f>
        <v>0</v>
      </c>
      <c r="AA35" s="8" t="str">
        <f aca="false">IF(OR($Y35="REORDENAR",$Y35="AGOTADO"),ROW(),"")</f>
        <v/>
      </c>
    </row>
    <row r="36" customFormat="false" ht="15" hidden="false" customHeight="false" outlineLevel="0" collapsed="false">
      <c r="A36" s="6" t="s">
        <v>311</v>
      </c>
      <c r="B36" s="6" t="s">
        <v>312</v>
      </c>
      <c r="C36" s="6" t="s">
        <v>94</v>
      </c>
      <c r="D36" s="6" t="s">
        <v>95</v>
      </c>
      <c r="E36" s="6" t="s">
        <v>313</v>
      </c>
      <c r="F36" s="39" t="n">
        <v>30</v>
      </c>
      <c r="G36" s="40" t="n">
        <v>3000</v>
      </c>
      <c r="H36" s="41" t="n">
        <v>0.01</v>
      </c>
      <c r="I36" s="41" t="n">
        <v>1</v>
      </c>
      <c r="J36" s="6" t="s">
        <v>314</v>
      </c>
      <c r="K36" s="42" t="n">
        <v>30</v>
      </c>
      <c r="L36" s="42" t="n">
        <v>60</v>
      </c>
      <c r="M36" s="43" t="n">
        <f aca="false">IF($A36="","",IFERROR($G36/$F36,0))</f>
        <v>100</v>
      </c>
      <c r="N36" s="43" t="n">
        <f aca="false">IF($A36="","",IFERROR(SUMIFS(COMPRAS!$N$6:$N$1005,COMPRAS!$D$6:$D$1005,$A36,COMPRAS!$R$6:$R$1005,1)/COUNTIFS(COMPRAS!$D$6:$D$1005,$A36,COMPRAS!$R$6:$R$1005,1),0))</f>
        <v>0</v>
      </c>
      <c r="O36" s="43" t="n">
        <f aca="false">IF($A36="","",IF($N36&gt;0,$N36,$M36))</f>
        <v>100</v>
      </c>
      <c r="P36" s="43" t="n">
        <f aca="false">IF($A36="","",IF(N($I36)&gt;0,$O36/$I36,$O36))</f>
        <v>100</v>
      </c>
      <c r="Q36" s="34" t="n">
        <f aca="false">IF($A36="","",SUMIFS(COMPRAS!$I$6:$I$1005,COMPRAS!$D$6:$D$1005,$A36))</f>
        <v>0</v>
      </c>
      <c r="R36" s="34" t="n">
        <f aca="false">IF($A36="","",SUMIFS(RECETAS!$L$6:$L$605,RECETAS!$C$6:$C$605,$A36))</f>
        <v>1.8</v>
      </c>
      <c r="S36" s="34" t="n">
        <f aca="false">IF($A36="","",SUMIFS(MERMAS!$J$6:$J$505,MERMAS!$B$6:$B$505,$A36))</f>
        <v>0</v>
      </c>
      <c r="T36" s="34" t="n">
        <f aca="false">IF($A36="","",N($L36)+$Q36-$R36+$S36)</f>
        <v>58.2</v>
      </c>
      <c r="U36" s="35" t="n">
        <f aca="false">IF($A36="","",$T36*$O36)</f>
        <v>5820</v>
      </c>
      <c r="V36" s="42"/>
      <c r="W36" s="34" t="str">
        <f aca="false">IF(OR($A36="",$V36=""),"",$V36-$T36)</f>
        <v/>
      </c>
      <c r="X36" s="35" t="str">
        <f aca="false">IF($W36="","",$W36*$O36)</f>
        <v/>
      </c>
      <c r="Y36" s="8" t="str">
        <f aca="false">IF($A36="","",IF($T36&lt;=0,"AGOTADO",IF($T36&lt;=N($K36),"REORDENAR","OK")))</f>
        <v>OK</v>
      </c>
      <c r="Z36" s="34" t="n">
        <f aca="false">IF($A36="","",IF($T36&lt;=N($K36),ROUNDUP((2*N($K36)-$T36)/$F36,0),0))</f>
        <v>0</v>
      </c>
      <c r="AA36" s="8" t="str">
        <f aca="false">IF(OR($Y36="REORDENAR",$Y36="AGOTADO"),ROW(),"")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39"/>
      <c r="G37" s="40"/>
      <c r="H37" s="41"/>
      <c r="I37" s="41"/>
      <c r="J37" s="6"/>
      <c r="K37" s="42"/>
      <c r="L37" s="42"/>
      <c r="M37" s="43" t="str">
        <f aca="false">IF($A37="","",IFERROR($G37/$F37,0))</f>
        <v/>
      </c>
      <c r="N37" s="43" t="str">
        <f aca="false">IF($A37="","",IFERROR(SUMIFS(COMPRAS!$N$6:$N$1005,COMPRAS!$D$6:$D$1005,$A37,COMPRAS!$R$6:$R$1005,1)/COUNTIFS(COMPRAS!$D$6:$D$1005,$A37,COMPRAS!$R$6:$R$1005,1),0))</f>
        <v/>
      </c>
      <c r="O37" s="43" t="str">
        <f aca="false">IF($A37="","",IF($N37&gt;0,$N37,$M37))</f>
        <v/>
      </c>
      <c r="P37" s="43" t="str">
        <f aca="false">IF($A37="","",IF(N($I37)&gt;0,$O37/$I37,$O37))</f>
        <v/>
      </c>
      <c r="Q37" s="34" t="str">
        <f aca="false">IF($A37="","",SUMIFS(COMPRAS!$I$6:$I$1005,COMPRAS!$D$6:$D$1005,$A37))</f>
        <v/>
      </c>
      <c r="R37" s="34" t="str">
        <f aca="false">IF($A37="","",SUMIFS(RECETAS!$L$6:$L$605,RECETAS!$C$6:$C$605,$A37))</f>
        <v/>
      </c>
      <c r="S37" s="34" t="str">
        <f aca="false">IF($A37="","",SUMIFS(MERMAS!$J$6:$J$505,MERMAS!$B$6:$B$505,$A37))</f>
        <v/>
      </c>
      <c r="T37" s="34" t="str">
        <f aca="false">IF($A37="","",N($L37)+$Q37-$R37+$S37)</f>
        <v/>
      </c>
      <c r="U37" s="35" t="str">
        <f aca="false">IF($A37="","",$T37*$O37)</f>
        <v/>
      </c>
      <c r="V37" s="42"/>
      <c r="W37" s="34" t="str">
        <f aca="false">IF(OR($A37="",$V37=""),"",$V37-$T37)</f>
        <v/>
      </c>
      <c r="X37" s="35" t="str">
        <f aca="false">IF($W37="","",$W37*$O37)</f>
        <v/>
      </c>
      <c r="Y37" s="8" t="str">
        <f aca="false">IF($A37="","",IF($T37&lt;=0,"AGOTADO",IF($T37&lt;=N($K37),"REORDENAR","OK")))</f>
        <v/>
      </c>
      <c r="Z37" s="34" t="str">
        <f aca="false">IF($A37="","",IF($T37&lt;=N($K37),ROUNDUP((2*N($K37)-$T37)/$F37,0),0))</f>
        <v/>
      </c>
      <c r="AA37" s="8" t="str">
        <f aca="false">IF(OR($Y37="REORDENAR",$Y37="AGOTADO"),ROW(),"")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39"/>
      <c r="G38" s="40"/>
      <c r="H38" s="41"/>
      <c r="I38" s="41"/>
      <c r="J38" s="6"/>
      <c r="K38" s="42"/>
      <c r="L38" s="42"/>
      <c r="M38" s="43" t="str">
        <f aca="false">IF($A38="","",IFERROR($G38/$F38,0))</f>
        <v/>
      </c>
      <c r="N38" s="43" t="str">
        <f aca="false">IF($A38="","",IFERROR(SUMIFS(COMPRAS!$N$6:$N$1005,COMPRAS!$D$6:$D$1005,$A38,COMPRAS!$R$6:$R$1005,1)/COUNTIFS(COMPRAS!$D$6:$D$1005,$A38,COMPRAS!$R$6:$R$1005,1),0))</f>
        <v/>
      </c>
      <c r="O38" s="43" t="str">
        <f aca="false">IF($A38="","",IF($N38&gt;0,$N38,$M38))</f>
        <v/>
      </c>
      <c r="P38" s="43" t="str">
        <f aca="false">IF($A38="","",IF(N($I38)&gt;0,$O38/$I38,$O38))</f>
        <v/>
      </c>
      <c r="Q38" s="34" t="str">
        <f aca="false">IF($A38="","",SUMIFS(COMPRAS!$I$6:$I$1005,COMPRAS!$D$6:$D$1005,$A38))</f>
        <v/>
      </c>
      <c r="R38" s="34" t="str">
        <f aca="false">IF($A38="","",SUMIFS(RECETAS!$L$6:$L$605,RECETAS!$C$6:$C$605,$A38))</f>
        <v/>
      </c>
      <c r="S38" s="34" t="str">
        <f aca="false">IF($A38="","",SUMIFS(MERMAS!$J$6:$J$505,MERMAS!$B$6:$B$505,$A38))</f>
        <v/>
      </c>
      <c r="T38" s="34" t="str">
        <f aca="false">IF($A38="","",N($L38)+$Q38-$R38+$S38)</f>
        <v/>
      </c>
      <c r="U38" s="35" t="str">
        <f aca="false">IF($A38="","",$T38*$O38)</f>
        <v/>
      </c>
      <c r="V38" s="42"/>
      <c r="W38" s="34" t="str">
        <f aca="false">IF(OR($A38="",$V38=""),"",$V38-$T38)</f>
        <v/>
      </c>
      <c r="X38" s="35" t="str">
        <f aca="false">IF($W38="","",$W38*$O38)</f>
        <v/>
      </c>
      <c r="Y38" s="8" t="str">
        <f aca="false">IF($A38="","",IF($T38&lt;=0,"AGOTADO",IF($T38&lt;=N($K38),"REORDENAR","OK")))</f>
        <v/>
      </c>
      <c r="Z38" s="34" t="str">
        <f aca="false">IF($A38="","",IF($T38&lt;=N($K38),ROUNDUP((2*N($K38)-$T38)/$F38,0),0))</f>
        <v/>
      </c>
      <c r="AA38" s="8" t="str">
        <f aca="false">IF(OR($Y38="REORDENAR",$Y38="AGOTADO"),ROW(),"")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39"/>
      <c r="G39" s="40"/>
      <c r="H39" s="41"/>
      <c r="I39" s="41"/>
      <c r="J39" s="6"/>
      <c r="K39" s="42"/>
      <c r="L39" s="42"/>
      <c r="M39" s="43" t="str">
        <f aca="false">IF($A39="","",IFERROR($G39/$F39,0))</f>
        <v/>
      </c>
      <c r="N39" s="43" t="str">
        <f aca="false">IF($A39="","",IFERROR(SUMIFS(COMPRAS!$N$6:$N$1005,COMPRAS!$D$6:$D$1005,$A39,COMPRAS!$R$6:$R$1005,1)/COUNTIFS(COMPRAS!$D$6:$D$1005,$A39,COMPRAS!$R$6:$R$1005,1),0))</f>
        <v/>
      </c>
      <c r="O39" s="43" t="str">
        <f aca="false">IF($A39="","",IF($N39&gt;0,$N39,$M39))</f>
        <v/>
      </c>
      <c r="P39" s="43" t="str">
        <f aca="false">IF($A39="","",IF(N($I39)&gt;0,$O39/$I39,$O39))</f>
        <v/>
      </c>
      <c r="Q39" s="34" t="str">
        <f aca="false">IF($A39="","",SUMIFS(COMPRAS!$I$6:$I$1005,COMPRAS!$D$6:$D$1005,$A39))</f>
        <v/>
      </c>
      <c r="R39" s="34" t="str">
        <f aca="false">IF($A39="","",SUMIFS(RECETAS!$L$6:$L$605,RECETAS!$C$6:$C$605,$A39))</f>
        <v/>
      </c>
      <c r="S39" s="34" t="str">
        <f aca="false">IF($A39="","",SUMIFS(MERMAS!$J$6:$J$505,MERMAS!$B$6:$B$505,$A39))</f>
        <v/>
      </c>
      <c r="T39" s="34" t="str">
        <f aca="false">IF($A39="","",N($L39)+$Q39-$R39+$S39)</f>
        <v/>
      </c>
      <c r="U39" s="35" t="str">
        <f aca="false">IF($A39="","",$T39*$O39)</f>
        <v/>
      </c>
      <c r="V39" s="42"/>
      <c r="W39" s="34" t="str">
        <f aca="false">IF(OR($A39="",$V39=""),"",$V39-$T39)</f>
        <v/>
      </c>
      <c r="X39" s="35" t="str">
        <f aca="false">IF($W39="","",$W39*$O39)</f>
        <v/>
      </c>
      <c r="Y39" s="8" t="str">
        <f aca="false">IF($A39="","",IF($T39&lt;=0,"AGOTADO",IF($T39&lt;=N($K39),"REORDENAR","OK")))</f>
        <v/>
      </c>
      <c r="Z39" s="34" t="str">
        <f aca="false">IF($A39="","",IF($T39&lt;=N($K39),ROUNDUP((2*N($K39)-$T39)/$F39,0),0))</f>
        <v/>
      </c>
      <c r="AA39" s="8" t="str">
        <f aca="false">IF(OR($Y39="REORDENAR",$Y39="AGOTADO"),ROW(),"")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39"/>
      <c r="G40" s="40"/>
      <c r="H40" s="41"/>
      <c r="I40" s="41"/>
      <c r="J40" s="6"/>
      <c r="K40" s="42"/>
      <c r="L40" s="42"/>
      <c r="M40" s="43" t="str">
        <f aca="false">IF($A40="","",IFERROR($G40/$F40,0))</f>
        <v/>
      </c>
      <c r="N40" s="43" t="str">
        <f aca="false">IF($A40="","",IFERROR(SUMIFS(COMPRAS!$N$6:$N$1005,COMPRAS!$D$6:$D$1005,$A40,COMPRAS!$R$6:$R$1005,1)/COUNTIFS(COMPRAS!$D$6:$D$1005,$A40,COMPRAS!$R$6:$R$1005,1),0))</f>
        <v/>
      </c>
      <c r="O40" s="43" t="str">
        <f aca="false">IF($A40="","",IF($N40&gt;0,$N40,$M40))</f>
        <v/>
      </c>
      <c r="P40" s="43" t="str">
        <f aca="false">IF($A40="","",IF(N($I40)&gt;0,$O40/$I40,$O40))</f>
        <v/>
      </c>
      <c r="Q40" s="34" t="str">
        <f aca="false">IF($A40="","",SUMIFS(COMPRAS!$I$6:$I$1005,COMPRAS!$D$6:$D$1005,$A40))</f>
        <v/>
      </c>
      <c r="R40" s="34" t="str">
        <f aca="false">IF($A40="","",SUMIFS(RECETAS!$L$6:$L$605,RECETAS!$C$6:$C$605,$A40))</f>
        <v/>
      </c>
      <c r="S40" s="34" t="str">
        <f aca="false">IF($A40="","",SUMIFS(MERMAS!$J$6:$J$505,MERMAS!$B$6:$B$505,$A40))</f>
        <v/>
      </c>
      <c r="T40" s="34" t="str">
        <f aca="false">IF($A40="","",N($L40)+$Q40-$R40+$S40)</f>
        <v/>
      </c>
      <c r="U40" s="35" t="str">
        <f aca="false">IF($A40="","",$T40*$O40)</f>
        <v/>
      </c>
      <c r="V40" s="42"/>
      <c r="W40" s="34" t="str">
        <f aca="false">IF(OR($A40="",$V40=""),"",$V40-$T40)</f>
        <v/>
      </c>
      <c r="X40" s="35" t="str">
        <f aca="false">IF($W40="","",$W40*$O40)</f>
        <v/>
      </c>
      <c r="Y40" s="8" t="str">
        <f aca="false">IF($A40="","",IF($T40&lt;=0,"AGOTADO",IF($T40&lt;=N($K40),"REORDENAR","OK")))</f>
        <v/>
      </c>
      <c r="Z40" s="34" t="str">
        <f aca="false">IF($A40="","",IF($T40&lt;=N($K40),ROUNDUP((2*N($K40)-$T40)/$F40,0),0))</f>
        <v/>
      </c>
      <c r="AA40" s="8" t="str">
        <f aca="false">IF(OR($Y40="REORDENAR",$Y40="AGOTADO"),ROW(),"")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39"/>
      <c r="G41" s="40"/>
      <c r="H41" s="41"/>
      <c r="I41" s="41"/>
      <c r="J41" s="6"/>
      <c r="K41" s="42"/>
      <c r="L41" s="42"/>
      <c r="M41" s="43" t="str">
        <f aca="false">IF($A41="","",IFERROR($G41/$F41,0))</f>
        <v/>
      </c>
      <c r="N41" s="43" t="str">
        <f aca="false">IF($A41="","",IFERROR(SUMIFS(COMPRAS!$N$6:$N$1005,COMPRAS!$D$6:$D$1005,$A41,COMPRAS!$R$6:$R$1005,1)/COUNTIFS(COMPRAS!$D$6:$D$1005,$A41,COMPRAS!$R$6:$R$1005,1),0))</f>
        <v/>
      </c>
      <c r="O41" s="43" t="str">
        <f aca="false">IF($A41="","",IF($N41&gt;0,$N41,$M41))</f>
        <v/>
      </c>
      <c r="P41" s="43" t="str">
        <f aca="false">IF($A41="","",IF(N($I41)&gt;0,$O41/$I41,$O41))</f>
        <v/>
      </c>
      <c r="Q41" s="34" t="str">
        <f aca="false">IF($A41="","",SUMIFS(COMPRAS!$I$6:$I$1005,COMPRAS!$D$6:$D$1005,$A41))</f>
        <v/>
      </c>
      <c r="R41" s="34" t="str">
        <f aca="false">IF($A41="","",SUMIFS(RECETAS!$L$6:$L$605,RECETAS!$C$6:$C$605,$A41))</f>
        <v/>
      </c>
      <c r="S41" s="34" t="str">
        <f aca="false">IF($A41="","",SUMIFS(MERMAS!$J$6:$J$505,MERMAS!$B$6:$B$505,$A41))</f>
        <v/>
      </c>
      <c r="T41" s="34" t="str">
        <f aca="false">IF($A41="","",N($L41)+$Q41-$R41+$S41)</f>
        <v/>
      </c>
      <c r="U41" s="35" t="str">
        <f aca="false">IF($A41="","",$T41*$O41)</f>
        <v/>
      </c>
      <c r="V41" s="42"/>
      <c r="W41" s="34" t="str">
        <f aca="false">IF(OR($A41="",$V41=""),"",$V41-$T41)</f>
        <v/>
      </c>
      <c r="X41" s="35" t="str">
        <f aca="false">IF($W41="","",$W41*$O41)</f>
        <v/>
      </c>
      <c r="Y41" s="8" t="str">
        <f aca="false">IF($A41="","",IF($T41&lt;=0,"AGOTADO",IF($T41&lt;=N($K41),"REORDENAR","OK")))</f>
        <v/>
      </c>
      <c r="Z41" s="34" t="str">
        <f aca="false">IF($A41="","",IF($T41&lt;=N($K41),ROUNDUP((2*N($K41)-$T41)/$F41,0),0))</f>
        <v/>
      </c>
      <c r="AA41" s="8" t="str">
        <f aca="false">IF(OR($Y41="REORDENAR",$Y41="AGOTADO"),ROW(),"")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39"/>
      <c r="G42" s="40"/>
      <c r="H42" s="41"/>
      <c r="I42" s="41"/>
      <c r="J42" s="6"/>
      <c r="K42" s="42"/>
      <c r="L42" s="42"/>
      <c r="M42" s="43" t="str">
        <f aca="false">IF($A42="","",IFERROR($G42/$F42,0))</f>
        <v/>
      </c>
      <c r="N42" s="43" t="str">
        <f aca="false">IF($A42="","",IFERROR(SUMIFS(COMPRAS!$N$6:$N$1005,COMPRAS!$D$6:$D$1005,$A42,COMPRAS!$R$6:$R$1005,1)/COUNTIFS(COMPRAS!$D$6:$D$1005,$A42,COMPRAS!$R$6:$R$1005,1),0))</f>
        <v/>
      </c>
      <c r="O42" s="43" t="str">
        <f aca="false">IF($A42="","",IF($N42&gt;0,$N42,$M42))</f>
        <v/>
      </c>
      <c r="P42" s="43" t="str">
        <f aca="false">IF($A42="","",IF(N($I42)&gt;0,$O42/$I42,$O42))</f>
        <v/>
      </c>
      <c r="Q42" s="34" t="str">
        <f aca="false">IF($A42="","",SUMIFS(COMPRAS!$I$6:$I$1005,COMPRAS!$D$6:$D$1005,$A42))</f>
        <v/>
      </c>
      <c r="R42" s="34" t="str">
        <f aca="false">IF($A42="","",SUMIFS(RECETAS!$L$6:$L$605,RECETAS!$C$6:$C$605,$A42))</f>
        <v/>
      </c>
      <c r="S42" s="34" t="str">
        <f aca="false">IF($A42="","",SUMIFS(MERMAS!$J$6:$J$505,MERMAS!$B$6:$B$505,$A42))</f>
        <v/>
      </c>
      <c r="T42" s="34" t="str">
        <f aca="false">IF($A42="","",N($L42)+$Q42-$R42+$S42)</f>
        <v/>
      </c>
      <c r="U42" s="35" t="str">
        <f aca="false">IF($A42="","",$T42*$O42)</f>
        <v/>
      </c>
      <c r="V42" s="42"/>
      <c r="W42" s="34" t="str">
        <f aca="false">IF(OR($A42="",$V42=""),"",$V42-$T42)</f>
        <v/>
      </c>
      <c r="X42" s="35" t="str">
        <f aca="false">IF($W42="","",$W42*$O42)</f>
        <v/>
      </c>
      <c r="Y42" s="8" t="str">
        <f aca="false">IF($A42="","",IF($T42&lt;=0,"AGOTADO",IF($T42&lt;=N($K42),"REORDENAR","OK")))</f>
        <v/>
      </c>
      <c r="Z42" s="34" t="str">
        <f aca="false">IF($A42="","",IF($T42&lt;=N($K42),ROUNDUP((2*N($K42)-$T42)/$F42,0),0))</f>
        <v/>
      </c>
      <c r="AA42" s="8" t="str">
        <f aca="false">IF(OR($Y42="REORDENAR",$Y42="AGOTADO"),ROW(),"")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39"/>
      <c r="G43" s="40"/>
      <c r="H43" s="41"/>
      <c r="I43" s="41"/>
      <c r="J43" s="6"/>
      <c r="K43" s="42"/>
      <c r="L43" s="42"/>
      <c r="M43" s="43" t="str">
        <f aca="false">IF($A43="","",IFERROR($G43/$F43,0))</f>
        <v/>
      </c>
      <c r="N43" s="43" t="str">
        <f aca="false">IF($A43="","",IFERROR(SUMIFS(COMPRAS!$N$6:$N$1005,COMPRAS!$D$6:$D$1005,$A43,COMPRAS!$R$6:$R$1005,1)/COUNTIFS(COMPRAS!$D$6:$D$1005,$A43,COMPRAS!$R$6:$R$1005,1),0))</f>
        <v/>
      </c>
      <c r="O43" s="43" t="str">
        <f aca="false">IF($A43="","",IF($N43&gt;0,$N43,$M43))</f>
        <v/>
      </c>
      <c r="P43" s="43" t="str">
        <f aca="false">IF($A43="","",IF(N($I43)&gt;0,$O43/$I43,$O43))</f>
        <v/>
      </c>
      <c r="Q43" s="34" t="str">
        <f aca="false">IF($A43="","",SUMIFS(COMPRAS!$I$6:$I$1005,COMPRAS!$D$6:$D$1005,$A43))</f>
        <v/>
      </c>
      <c r="R43" s="34" t="str">
        <f aca="false">IF($A43="","",SUMIFS(RECETAS!$L$6:$L$605,RECETAS!$C$6:$C$605,$A43))</f>
        <v/>
      </c>
      <c r="S43" s="34" t="str">
        <f aca="false">IF($A43="","",SUMIFS(MERMAS!$J$6:$J$505,MERMAS!$B$6:$B$505,$A43))</f>
        <v/>
      </c>
      <c r="T43" s="34" t="str">
        <f aca="false">IF($A43="","",N($L43)+$Q43-$R43+$S43)</f>
        <v/>
      </c>
      <c r="U43" s="35" t="str">
        <f aca="false">IF($A43="","",$T43*$O43)</f>
        <v/>
      </c>
      <c r="V43" s="42"/>
      <c r="W43" s="34" t="str">
        <f aca="false">IF(OR($A43="",$V43=""),"",$V43-$T43)</f>
        <v/>
      </c>
      <c r="X43" s="35" t="str">
        <f aca="false">IF($W43="","",$W43*$O43)</f>
        <v/>
      </c>
      <c r="Y43" s="8" t="str">
        <f aca="false">IF($A43="","",IF($T43&lt;=0,"AGOTADO",IF($T43&lt;=N($K43),"REORDENAR","OK")))</f>
        <v/>
      </c>
      <c r="Z43" s="34" t="str">
        <f aca="false">IF($A43="","",IF($T43&lt;=N($K43),ROUNDUP((2*N($K43)-$T43)/$F43,0),0))</f>
        <v/>
      </c>
      <c r="AA43" s="8" t="str">
        <f aca="false">IF(OR($Y43="REORDENAR",$Y43="AGOTADO"),ROW(),"")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39"/>
      <c r="G44" s="40"/>
      <c r="H44" s="41"/>
      <c r="I44" s="41"/>
      <c r="J44" s="6"/>
      <c r="K44" s="42"/>
      <c r="L44" s="42"/>
      <c r="M44" s="43" t="str">
        <f aca="false">IF($A44="","",IFERROR($G44/$F44,0))</f>
        <v/>
      </c>
      <c r="N44" s="43" t="str">
        <f aca="false">IF($A44="","",IFERROR(SUMIFS(COMPRAS!$N$6:$N$1005,COMPRAS!$D$6:$D$1005,$A44,COMPRAS!$R$6:$R$1005,1)/COUNTIFS(COMPRAS!$D$6:$D$1005,$A44,COMPRAS!$R$6:$R$1005,1),0))</f>
        <v/>
      </c>
      <c r="O44" s="43" t="str">
        <f aca="false">IF($A44="","",IF($N44&gt;0,$N44,$M44))</f>
        <v/>
      </c>
      <c r="P44" s="43" t="str">
        <f aca="false">IF($A44="","",IF(N($I44)&gt;0,$O44/$I44,$O44))</f>
        <v/>
      </c>
      <c r="Q44" s="34" t="str">
        <f aca="false">IF($A44="","",SUMIFS(COMPRAS!$I$6:$I$1005,COMPRAS!$D$6:$D$1005,$A44))</f>
        <v/>
      </c>
      <c r="R44" s="34" t="str">
        <f aca="false">IF($A44="","",SUMIFS(RECETAS!$L$6:$L$605,RECETAS!$C$6:$C$605,$A44))</f>
        <v/>
      </c>
      <c r="S44" s="34" t="str">
        <f aca="false">IF($A44="","",SUMIFS(MERMAS!$J$6:$J$505,MERMAS!$B$6:$B$505,$A44))</f>
        <v/>
      </c>
      <c r="T44" s="34" t="str">
        <f aca="false">IF($A44="","",N($L44)+$Q44-$R44+$S44)</f>
        <v/>
      </c>
      <c r="U44" s="35" t="str">
        <f aca="false">IF($A44="","",$T44*$O44)</f>
        <v/>
      </c>
      <c r="V44" s="42"/>
      <c r="W44" s="34" t="str">
        <f aca="false">IF(OR($A44="",$V44=""),"",$V44-$T44)</f>
        <v/>
      </c>
      <c r="X44" s="35" t="str">
        <f aca="false">IF($W44="","",$W44*$O44)</f>
        <v/>
      </c>
      <c r="Y44" s="8" t="str">
        <f aca="false">IF($A44="","",IF($T44&lt;=0,"AGOTADO",IF($T44&lt;=N($K44),"REORDENAR","OK")))</f>
        <v/>
      </c>
      <c r="Z44" s="34" t="str">
        <f aca="false">IF($A44="","",IF($T44&lt;=N($K44),ROUNDUP((2*N($K44)-$T44)/$F44,0),0))</f>
        <v/>
      </c>
      <c r="AA44" s="8" t="str">
        <f aca="false">IF(OR($Y44="REORDENAR",$Y44="AGOTADO"),ROW(),"")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39"/>
      <c r="G45" s="40"/>
      <c r="H45" s="41"/>
      <c r="I45" s="41"/>
      <c r="J45" s="6"/>
      <c r="K45" s="42"/>
      <c r="L45" s="42"/>
      <c r="M45" s="43" t="str">
        <f aca="false">IF($A45="","",IFERROR($G45/$F45,0))</f>
        <v/>
      </c>
      <c r="N45" s="43" t="str">
        <f aca="false">IF($A45="","",IFERROR(SUMIFS(COMPRAS!$N$6:$N$1005,COMPRAS!$D$6:$D$1005,$A45,COMPRAS!$R$6:$R$1005,1)/COUNTIFS(COMPRAS!$D$6:$D$1005,$A45,COMPRAS!$R$6:$R$1005,1),0))</f>
        <v/>
      </c>
      <c r="O45" s="43" t="str">
        <f aca="false">IF($A45="","",IF($N45&gt;0,$N45,$M45))</f>
        <v/>
      </c>
      <c r="P45" s="43" t="str">
        <f aca="false">IF($A45="","",IF(N($I45)&gt;0,$O45/$I45,$O45))</f>
        <v/>
      </c>
      <c r="Q45" s="34" t="str">
        <f aca="false">IF($A45="","",SUMIFS(COMPRAS!$I$6:$I$1005,COMPRAS!$D$6:$D$1005,$A45))</f>
        <v/>
      </c>
      <c r="R45" s="34" t="str">
        <f aca="false">IF($A45="","",SUMIFS(RECETAS!$L$6:$L$605,RECETAS!$C$6:$C$605,$A45))</f>
        <v/>
      </c>
      <c r="S45" s="34" t="str">
        <f aca="false">IF($A45="","",SUMIFS(MERMAS!$J$6:$J$505,MERMAS!$B$6:$B$505,$A45))</f>
        <v/>
      </c>
      <c r="T45" s="34" t="str">
        <f aca="false">IF($A45="","",N($L45)+$Q45-$R45+$S45)</f>
        <v/>
      </c>
      <c r="U45" s="35" t="str">
        <f aca="false">IF($A45="","",$T45*$O45)</f>
        <v/>
      </c>
      <c r="V45" s="42"/>
      <c r="W45" s="34" t="str">
        <f aca="false">IF(OR($A45="",$V45=""),"",$V45-$T45)</f>
        <v/>
      </c>
      <c r="X45" s="35" t="str">
        <f aca="false">IF($W45="","",$W45*$O45)</f>
        <v/>
      </c>
      <c r="Y45" s="8" t="str">
        <f aca="false">IF($A45="","",IF($T45&lt;=0,"AGOTADO",IF($T45&lt;=N($K45),"REORDENAR","OK")))</f>
        <v/>
      </c>
      <c r="Z45" s="34" t="str">
        <f aca="false">IF($A45="","",IF($T45&lt;=N($K45),ROUNDUP((2*N($K45)-$T45)/$F45,0),0))</f>
        <v/>
      </c>
      <c r="AA45" s="8" t="str">
        <f aca="false">IF(OR($Y45="REORDENAR",$Y45="AGOTADO"),ROW(),"")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39"/>
      <c r="G46" s="40"/>
      <c r="H46" s="41"/>
      <c r="I46" s="41"/>
      <c r="J46" s="6"/>
      <c r="K46" s="42"/>
      <c r="L46" s="42"/>
      <c r="M46" s="43" t="str">
        <f aca="false">IF($A46="","",IFERROR($G46/$F46,0))</f>
        <v/>
      </c>
      <c r="N46" s="43" t="str">
        <f aca="false">IF($A46="","",IFERROR(SUMIFS(COMPRAS!$N$6:$N$1005,COMPRAS!$D$6:$D$1005,$A46,COMPRAS!$R$6:$R$1005,1)/COUNTIFS(COMPRAS!$D$6:$D$1005,$A46,COMPRAS!$R$6:$R$1005,1),0))</f>
        <v/>
      </c>
      <c r="O46" s="43" t="str">
        <f aca="false">IF($A46="","",IF($N46&gt;0,$N46,$M46))</f>
        <v/>
      </c>
      <c r="P46" s="43" t="str">
        <f aca="false">IF($A46="","",IF(N($I46)&gt;0,$O46/$I46,$O46))</f>
        <v/>
      </c>
      <c r="Q46" s="34" t="str">
        <f aca="false">IF($A46="","",SUMIFS(COMPRAS!$I$6:$I$1005,COMPRAS!$D$6:$D$1005,$A46))</f>
        <v/>
      </c>
      <c r="R46" s="34" t="str">
        <f aca="false">IF($A46="","",SUMIFS(RECETAS!$L$6:$L$605,RECETAS!$C$6:$C$605,$A46))</f>
        <v/>
      </c>
      <c r="S46" s="34" t="str">
        <f aca="false">IF($A46="","",SUMIFS(MERMAS!$J$6:$J$505,MERMAS!$B$6:$B$505,$A46))</f>
        <v/>
      </c>
      <c r="T46" s="34" t="str">
        <f aca="false">IF($A46="","",N($L46)+$Q46-$R46+$S46)</f>
        <v/>
      </c>
      <c r="U46" s="35" t="str">
        <f aca="false">IF($A46="","",$T46*$O46)</f>
        <v/>
      </c>
      <c r="V46" s="42"/>
      <c r="W46" s="34" t="str">
        <f aca="false">IF(OR($A46="",$V46=""),"",$V46-$T46)</f>
        <v/>
      </c>
      <c r="X46" s="35" t="str">
        <f aca="false">IF($W46="","",$W46*$O46)</f>
        <v/>
      </c>
      <c r="Y46" s="8" t="str">
        <f aca="false">IF($A46="","",IF($T46&lt;=0,"AGOTADO",IF($T46&lt;=N($K46),"REORDENAR","OK")))</f>
        <v/>
      </c>
      <c r="Z46" s="34" t="str">
        <f aca="false">IF($A46="","",IF($T46&lt;=N($K46),ROUNDUP((2*N($K46)-$T46)/$F46,0),0))</f>
        <v/>
      </c>
      <c r="AA46" s="8" t="str">
        <f aca="false">IF(OR($Y46="REORDENAR",$Y46="AGOTADO"),ROW(),"")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39"/>
      <c r="G47" s="40"/>
      <c r="H47" s="41"/>
      <c r="I47" s="41"/>
      <c r="J47" s="6"/>
      <c r="K47" s="42"/>
      <c r="L47" s="42"/>
      <c r="M47" s="43" t="str">
        <f aca="false">IF($A47="","",IFERROR($G47/$F47,0))</f>
        <v/>
      </c>
      <c r="N47" s="43" t="str">
        <f aca="false">IF($A47="","",IFERROR(SUMIFS(COMPRAS!$N$6:$N$1005,COMPRAS!$D$6:$D$1005,$A47,COMPRAS!$R$6:$R$1005,1)/COUNTIFS(COMPRAS!$D$6:$D$1005,$A47,COMPRAS!$R$6:$R$1005,1),0))</f>
        <v/>
      </c>
      <c r="O47" s="43" t="str">
        <f aca="false">IF($A47="","",IF($N47&gt;0,$N47,$M47))</f>
        <v/>
      </c>
      <c r="P47" s="43" t="str">
        <f aca="false">IF($A47="","",IF(N($I47)&gt;0,$O47/$I47,$O47))</f>
        <v/>
      </c>
      <c r="Q47" s="34" t="str">
        <f aca="false">IF($A47="","",SUMIFS(COMPRAS!$I$6:$I$1005,COMPRAS!$D$6:$D$1005,$A47))</f>
        <v/>
      </c>
      <c r="R47" s="34" t="str">
        <f aca="false">IF($A47="","",SUMIFS(RECETAS!$L$6:$L$605,RECETAS!$C$6:$C$605,$A47))</f>
        <v/>
      </c>
      <c r="S47" s="34" t="str">
        <f aca="false">IF($A47="","",SUMIFS(MERMAS!$J$6:$J$505,MERMAS!$B$6:$B$505,$A47))</f>
        <v/>
      </c>
      <c r="T47" s="34" t="str">
        <f aca="false">IF($A47="","",N($L47)+$Q47-$R47+$S47)</f>
        <v/>
      </c>
      <c r="U47" s="35" t="str">
        <f aca="false">IF($A47="","",$T47*$O47)</f>
        <v/>
      </c>
      <c r="V47" s="42"/>
      <c r="W47" s="34" t="str">
        <f aca="false">IF(OR($A47="",$V47=""),"",$V47-$T47)</f>
        <v/>
      </c>
      <c r="X47" s="35" t="str">
        <f aca="false">IF($W47="","",$W47*$O47)</f>
        <v/>
      </c>
      <c r="Y47" s="8" t="str">
        <f aca="false">IF($A47="","",IF($T47&lt;=0,"AGOTADO",IF($T47&lt;=N($K47),"REORDENAR","OK")))</f>
        <v/>
      </c>
      <c r="Z47" s="34" t="str">
        <f aca="false">IF($A47="","",IF($T47&lt;=N($K47),ROUNDUP((2*N($K47)-$T47)/$F47,0),0))</f>
        <v/>
      </c>
      <c r="AA47" s="8" t="str">
        <f aca="false">IF(OR($Y47="REORDENAR",$Y47="AGOTADO"),ROW(),"")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39"/>
      <c r="G48" s="40"/>
      <c r="H48" s="41"/>
      <c r="I48" s="41"/>
      <c r="J48" s="6"/>
      <c r="K48" s="42"/>
      <c r="L48" s="42"/>
      <c r="M48" s="43" t="str">
        <f aca="false">IF($A48="","",IFERROR($G48/$F48,0))</f>
        <v/>
      </c>
      <c r="N48" s="43" t="str">
        <f aca="false">IF($A48="","",IFERROR(SUMIFS(COMPRAS!$N$6:$N$1005,COMPRAS!$D$6:$D$1005,$A48,COMPRAS!$R$6:$R$1005,1)/COUNTIFS(COMPRAS!$D$6:$D$1005,$A48,COMPRAS!$R$6:$R$1005,1),0))</f>
        <v/>
      </c>
      <c r="O48" s="43" t="str">
        <f aca="false">IF($A48="","",IF($N48&gt;0,$N48,$M48))</f>
        <v/>
      </c>
      <c r="P48" s="43" t="str">
        <f aca="false">IF($A48="","",IF(N($I48)&gt;0,$O48/$I48,$O48))</f>
        <v/>
      </c>
      <c r="Q48" s="34" t="str">
        <f aca="false">IF($A48="","",SUMIFS(COMPRAS!$I$6:$I$1005,COMPRAS!$D$6:$D$1005,$A48))</f>
        <v/>
      </c>
      <c r="R48" s="34" t="str">
        <f aca="false">IF($A48="","",SUMIFS(RECETAS!$L$6:$L$605,RECETAS!$C$6:$C$605,$A48))</f>
        <v/>
      </c>
      <c r="S48" s="34" t="str">
        <f aca="false">IF($A48="","",SUMIFS(MERMAS!$J$6:$J$505,MERMAS!$B$6:$B$505,$A48))</f>
        <v/>
      </c>
      <c r="T48" s="34" t="str">
        <f aca="false">IF($A48="","",N($L48)+$Q48-$R48+$S48)</f>
        <v/>
      </c>
      <c r="U48" s="35" t="str">
        <f aca="false">IF($A48="","",$T48*$O48)</f>
        <v/>
      </c>
      <c r="V48" s="42"/>
      <c r="W48" s="34" t="str">
        <f aca="false">IF(OR($A48="",$V48=""),"",$V48-$T48)</f>
        <v/>
      </c>
      <c r="X48" s="35" t="str">
        <f aca="false">IF($W48="","",$W48*$O48)</f>
        <v/>
      </c>
      <c r="Y48" s="8" t="str">
        <f aca="false">IF($A48="","",IF($T48&lt;=0,"AGOTADO",IF($T48&lt;=N($K48),"REORDENAR","OK")))</f>
        <v/>
      </c>
      <c r="Z48" s="34" t="str">
        <f aca="false">IF($A48="","",IF($T48&lt;=N($K48),ROUNDUP((2*N($K48)-$T48)/$F48,0),0))</f>
        <v/>
      </c>
      <c r="AA48" s="8" t="str">
        <f aca="false">IF(OR($Y48="REORDENAR",$Y48="AGOTADO"),ROW(),"")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39"/>
      <c r="G49" s="40"/>
      <c r="H49" s="41"/>
      <c r="I49" s="41"/>
      <c r="J49" s="6"/>
      <c r="K49" s="42"/>
      <c r="L49" s="42"/>
      <c r="M49" s="43" t="str">
        <f aca="false">IF($A49="","",IFERROR($G49/$F49,0))</f>
        <v/>
      </c>
      <c r="N49" s="43" t="str">
        <f aca="false">IF($A49="","",IFERROR(SUMIFS(COMPRAS!$N$6:$N$1005,COMPRAS!$D$6:$D$1005,$A49,COMPRAS!$R$6:$R$1005,1)/COUNTIFS(COMPRAS!$D$6:$D$1005,$A49,COMPRAS!$R$6:$R$1005,1),0))</f>
        <v/>
      </c>
      <c r="O49" s="43" t="str">
        <f aca="false">IF($A49="","",IF($N49&gt;0,$N49,$M49))</f>
        <v/>
      </c>
      <c r="P49" s="43" t="str">
        <f aca="false">IF($A49="","",IF(N($I49)&gt;0,$O49/$I49,$O49))</f>
        <v/>
      </c>
      <c r="Q49" s="34" t="str">
        <f aca="false">IF($A49="","",SUMIFS(COMPRAS!$I$6:$I$1005,COMPRAS!$D$6:$D$1005,$A49))</f>
        <v/>
      </c>
      <c r="R49" s="34" t="str">
        <f aca="false">IF($A49="","",SUMIFS(RECETAS!$L$6:$L$605,RECETAS!$C$6:$C$605,$A49))</f>
        <v/>
      </c>
      <c r="S49" s="34" t="str">
        <f aca="false">IF($A49="","",SUMIFS(MERMAS!$J$6:$J$505,MERMAS!$B$6:$B$505,$A49))</f>
        <v/>
      </c>
      <c r="T49" s="34" t="str">
        <f aca="false">IF($A49="","",N($L49)+$Q49-$R49+$S49)</f>
        <v/>
      </c>
      <c r="U49" s="35" t="str">
        <f aca="false">IF($A49="","",$T49*$O49)</f>
        <v/>
      </c>
      <c r="V49" s="42"/>
      <c r="W49" s="34" t="str">
        <f aca="false">IF(OR($A49="",$V49=""),"",$V49-$T49)</f>
        <v/>
      </c>
      <c r="X49" s="35" t="str">
        <f aca="false">IF($W49="","",$W49*$O49)</f>
        <v/>
      </c>
      <c r="Y49" s="8" t="str">
        <f aca="false">IF($A49="","",IF($T49&lt;=0,"AGOTADO",IF($T49&lt;=N($K49),"REORDENAR","OK")))</f>
        <v/>
      </c>
      <c r="Z49" s="34" t="str">
        <f aca="false">IF($A49="","",IF($T49&lt;=N($K49),ROUNDUP((2*N($K49)-$T49)/$F49,0),0))</f>
        <v/>
      </c>
      <c r="AA49" s="8" t="str">
        <f aca="false">IF(OR($Y49="REORDENAR",$Y49="AGOTADO"),ROW(),"")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39"/>
      <c r="G50" s="40"/>
      <c r="H50" s="41"/>
      <c r="I50" s="41"/>
      <c r="J50" s="6"/>
      <c r="K50" s="42"/>
      <c r="L50" s="42"/>
      <c r="M50" s="43" t="str">
        <f aca="false">IF($A50="","",IFERROR($G50/$F50,0))</f>
        <v/>
      </c>
      <c r="N50" s="43" t="str">
        <f aca="false">IF($A50="","",IFERROR(SUMIFS(COMPRAS!$N$6:$N$1005,COMPRAS!$D$6:$D$1005,$A50,COMPRAS!$R$6:$R$1005,1)/COUNTIFS(COMPRAS!$D$6:$D$1005,$A50,COMPRAS!$R$6:$R$1005,1),0))</f>
        <v/>
      </c>
      <c r="O50" s="43" t="str">
        <f aca="false">IF($A50="","",IF($N50&gt;0,$N50,$M50))</f>
        <v/>
      </c>
      <c r="P50" s="43" t="str">
        <f aca="false">IF($A50="","",IF(N($I50)&gt;0,$O50/$I50,$O50))</f>
        <v/>
      </c>
      <c r="Q50" s="34" t="str">
        <f aca="false">IF($A50="","",SUMIFS(COMPRAS!$I$6:$I$1005,COMPRAS!$D$6:$D$1005,$A50))</f>
        <v/>
      </c>
      <c r="R50" s="34" t="str">
        <f aca="false">IF($A50="","",SUMIFS(RECETAS!$L$6:$L$605,RECETAS!$C$6:$C$605,$A50))</f>
        <v/>
      </c>
      <c r="S50" s="34" t="str">
        <f aca="false">IF($A50="","",SUMIFS(MERMAS!$J$6:$J$505,MERMAS!$B$6:$B$505,$A50))</f>
        <v/>
      </c>
      <c r="T50" s="34" t="str">
        <f aca="false">IF($A50="","",N($L50)+$Q50-$R50+$S50)</f>
        <v/>
      </c>
      <c r="U50" s="35" t="str">
        <f aca="false">IF($A50="","",$T50*$O50)</f>
        <v/>
      </c>
      <c r="V50" s="42"/>
      <c r="W50" s="34" t="str">
        <f aca="false">IF(OR($A50="",$V50=""),"",$V50-$T50)</f>
        <v/>
      </c>
      <c r="X50" s="35" t="str">
        <f aca="false">IF($W50="","",$W50*$O50)</f>
        <v/>
      </c>
      <c r="Y50" s="8" t="str">
        <f aca="false">IF($A50="","",IF($T50&lt;=0,"AGOTADO",IF($T50&lt;=N($K50),"REORDENAR","OK")))</f>
        <v/>
      </c>
      <c r="Z50" s="34" t="str">
        <f aca="false">IF($A50="","",IF($T50&lt;=N($K50),ROUNDUP((2*N($K50)-$T50)/$F50,0),0))</f>
        <v/>
      </c>
      <c r="AA50" s="8" t="str">
        <f aca="false">IF(OR($Y50="REORDENAR",$Y50="AGOTADO"),ROW(),"")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39"/>
      <c r="G51" s="40"/>
      <c r="H51" s="41"/>
      <c r="I51" s="41"/>
      <c r="J51" s="6"/>
      <c r="K51" s="42"/>
      <c r="L51" s="42"/>
      <c r="M51" s="43" t="str">
        <f aca="false">IF($A51="","",IFERROR($G51/$F51,0))</f>
        <v/>
      </c>
      <c r="N51" s="43" t="str">
        <f aca="false">IF($A51="","",IFERROR(SUMIFS(COMPRAS!$N$6:$N$1005,COMPRAS!$D$6:$D$1005,$A51,COMPRAS!$R$6:$R$1005,1)/COUNTIFS(COMPRAS!$D$6:$D$1005,$A51,COMPRAS!$R$6:$R$1005,1),0))</f>
        <v/>
      </c>
      <c r="O51" s="43" t="str">
        <f aca="false">IF($A51="","",IF($N51&gt;0,$N51,$M51))</f>
        <v/>
      </c>
      <c r="P51" s="43" t="str">
        <f aca="false">IF($A51="","",IF(N($I51)&gt;0,$O51/$I51,$O51))</f>
        <v/>
      </c>
      <c r="Q51" s="34" t="str">
        <f aca="false">IF($A51="","",SUMIFS(COMPRAS!$I$6:$I$1005,COMPRAS!$D$6:$D$1005,$A51))</f>
        <v/>
      </c>
      <c r="R51" s="34" t="str">
        <f aca="false">IF($A51="","",SUMIFS(RECETAS!$L$6:$L$605,RECETAS!$C$6:$C$605,$A51))</f>
        <v/>
      </c>
      <c r="S51" s="34" t="str">
        <f aca="false">IF($A51="","",SUMIFS(MERMAS!$J$6:$J$505,MERMAS!$B$6:$B$505,$A51))</f>
        <v/>
      </c>
      <c r="T51" s="34" t="str">
        <f aca="false">IF($A51="","",N($L51)+$Q51-$R51+$S51)</f>
        <v/>
      </c>
      <c r="U51" s="35" t="str">
        <f aca="false">IF($A51="","",$T51*$O51)</f>
        <v/>
      </c>
      <c r="V51" s="42"/>
      <c r="W51" s="34" t="str">
        <f aca="false">IF(OR($A51="",$V51=""),"",$V51-$T51)</f>
        <v/>
      </c>
      <c r="X51" s="35" t="str">
        <f aca="false">IF($W51="","",$W51*$O51)</f>
        <v/>
      </c>
      <c r="Y51" s="8" t="str">
        <f aca="false">IF($A51="","",IF($T51&lt;=0,"AGOTADO",IF($T51&lt;=N($K51),"REORDENAR","OK")))</f>
        <v/>
      </c>
      <c r="Z51" s="34" t="str">
        <f aca="false">IF($A51="","",IF($T51&lt;=N($K51),ROUNDUP((2*N($K51)-$T51)/$F51,0),0))</f>
        <v/>
      </c>
      <c r="AA51" s="8" t="str">
        <f aca="false">IF(OR($Y51="REORDENAR",$Y51="AGOTADO"),ROW(),"")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39"/>
      <c r="G52" s="40"/>
      <c r="H52" s="41"/>
      <c r="I52" s="41"/>
      <c r="J52" s="6"/>
      <c r="K52" s="42"/>
      <c r="L52" s="42"/>
      <c r="M52" s="43" t="str">
        <f aca="false">IF($A52="","",IFERROR($G52/$F52,0))</f>
        <v/>
      </c>
      <c r="N52" s="43" t="str">
        <f aca="false">IF($A52="","",IFERROR(SUMIFS(COMPRAS!$N$6:$N$1005,COMPRAS!$D$6:$D$1005,$A52,COMPRAS!$R$6:$R$1005,1)/COUNTIFS(COMPRAS!$D$6:$D$1005,$A52,COMPRAS!$R$6:$R$1005,1),0))</f>
        <v/>
      </c>
      <c r="O52" s="43" t="str">
        <f aca="false">IF($A52="","",IF($N52&gt;0,$N52,$M52))</f>
        <v/>
      </c>
      <c r="P52" s="43" t="str">
        <f aca="false">IF($A52="","",IF(N($I52)&gt;0,$O52/$I52,$O52))</f>
        <v/>
      </c>
      <c r="Q52" s="34" t="str">
        <f aca="false">IF($A52="","",SUMIFS(COMPRAS!$I$6:$I$1005,COMPRAS!$D$6:$D$1005,$A52))</f>
        <v/>
      </c>
      <c r="R52" s="34" t="str">
        <f aca="false">IF($A52="","",SUMIFS(RECETAS!$L$6:$L$605,RECETAS!$C$6:$C$605,$A52))</f>
        <v/>
      </c>
      <c r="S52" s="34" t="str">
        <f aca="false">IF($A52="","",SUMIFS(MERMAS!$J$6:$J$505,MERMAS!$B$6:$B$505,$A52))</f>
        <v/>
      </c>
      <c r="T52" s="34" t="str">
        <f aca="false">IF($A52="","",N($L52)+$Q52-$R52+$S52)</f>
        <v/>
      </c>
      <c r="U52" s="35" t="str">
        <f aca="false">IF($A52="","",$T52*$O52)</f>
        <v/>
      </c>
      <c r="V52" s="42"/>
      <c r="W52" s="34" t="str">
        <f aca="false">IF(OR($A52="",$V52=""),"",$V52-$T52)</f>
        <v/>
      </c>
      <c r="X52" s="35" t="str">
        <f aca="false">IF($W52="","",$W52*$O52)</f>
        <v/>
      </c>
      <c r="Y52" s="8" t="str">
        <f aca="false">IF($A52="","",IF($T52&lt;=0,"AGOTADO",IF($T52&lt;=N($K52),"REORDENAR","OK")))</f>
        <v/>
      </c>
      <c r="Z52" s="34" t="str">
        <f aca="false">IF($A52="","",IF($T52&lt;=N($K52),ROUNDUP((2*N($K52)-$T52)/$F52,0),0))</f>
        <v/>
      </c>
      <c r="AA52" s="8" t="str">
        <f aca="false">IF(OR($Y52="REORDENAR",$Y52="AGOTADO"),ROW(),"")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39"/>
      <c r="G53" s="40"/>
      <c r="H53" s="41"/>
      <c r="I53" s="41"/>
      <c r="J53" s="6"/>
      <c r="K53" s="42"/>
      <c r="L53" s="42"/>
      <c r="M53" s="43" t="str">
        <f aca="false">IF($A53="","",IFERROR($G53/$F53,0))</f>
        <v/>
      </c>
      <c r="N53" s="43" t="str">
        <f aca="false">IF($A53="","",IFERROR(SUMIFS(COMPRAS!$N$6:$N$1005,COMPRAS!$D$6:$D$1005,$A53,COMPRAS!$R$6:$R$1005,1)/COUNTIFS(COMPRAS!$D$6:$D$1005,$A53,COMPRAS!$R$6:$R$1005,1),0))</f>
        <v/>
      </c>
      <c r="O53" s="43" t="str">
        <f aca="false">IF($A53="","",IF($N53&gt;0,$N53,$M53))</f>
        <v/>
      </c>
      <c r="P53" s="43" t="str">
        <f aca="false">IF($A53="","",IF(N($I53)&gt;0,$O53/$I53,$O53))</f>
        <v/>
      </c>
      <c r="Q53" s="34" t="str">
        <f aca="false">IF($A53="","",SUMIFS(COMPRAS!$I$6:$I$1005,COMPRAS!$D$6:$D$1005,$A53))</f>
        <v/>
      </c>
      <c r="R53" s="34" t="str">
        <f aca="false">IF($A53="","",SUMIFS(RECETAS!$L$6:$L$605,RECETAS!$C$6:$C$605,$A53))</f>
        <v/>
      </c>
      <c r="S53" s="34" t="str">
        <f aca="false">IF($A53="","",SUMIFS(MERMAS!$J$6:$J$505,MERMAS!$B$6:$B$505,$A53))</f>
        <v/>
      </c>
      <c r="T53" s="34" t="str">
        <f aca="false">IF($A53="","",N($L53)+$Q53-$R53+$S53)</f>
        <v/>
      </c>
      <c r="U53" s="35" t="str">
        <f aca="false">IF($A53="","",$T53*$O53)</f>
        <v/>
      </c>
      <c r="V53" s="42"/>
      <c r="W53" s="34" t="str">
        <f aca="false">IF(OR($A53="",$V53=""),"",$V53-$T53)</f>
        <v/>
      </c>
      <c r="X53" s="35" t="str">
        <f aca="false">IF($W53="","",$W53*$O53)</f>
        <v/>
      </c>
      <c r="Y53" s="8" t="str">
        <f aca="false">IF($A53="","",IF($T53&lt;=0,"AGOTADO",IF($T53&lt;=N($K53),"REORDENAR","OK")))</f>
        <v/>
      </c>
      <c r="Z53" s="34" t="str">
        <f aca="false">IF($A53="","",IF($T53&lt;=N($K53),ROUNDUP((2*N($K53)-$T53)/$F53,0),0))</f>
        <v/>
      </c>
      <c r="AA53" s="8" t="str">
        <f aca="false">IF(OR($Y53="REORDENAR",$Y53="AGOTADO"),ROW(),"")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39"/>
      <c r="G54" s="40"/>
      <c r="H54" s="41"/>
      <c r="I54" s="41"/>
      <c r="J54" s="6"/>
      <c r="K54" s="42"/>
      <c r="L54" s="42"/>
      <c r="M54" s="43" t="str">
        <f aca="false">IF($A54="","",IFERROR($G54/$F54,0))</f>
        <v/>
      </c>
      <c r="N54" s="43" t="str">
        <f aca="false">IF($A54="","",IFERROR(SUMIFS(COMPRAS!$N$6:$N$1005,COMPRAS!$D$6:$D$1005,$A54,COMPRAS!$R$6:$R$1005,1)/COUNTIFS(COMPRAS!$D$6:$D$1005,$A54,COMPRAS!$R$6:$R$1005,1),0))</f>
        <v/>
      </c>
      <c r="O54" s="43" t="str">
        <f aca="false">IF($A54="","",IF($N54&gt;0,$N54,$M54))</f>
        <v/>
      </c>
      <c r="P54" s="43" t="str">
        <f aca="false">IF($A54="","",IF(N($I54)&gt;0,$O54/$I54,$O54))</f>
        <v/>
      </c>
      <c r="Q54" s="34" t="str">
        <f aca="false">IF($A54="","",SUMIFS(COMPRAS!$I$6:$I$1005,COMPRAS!$D$6:$D$1005,$A54))</f>
        <v/>
      </c>
      <c r="R54" s="34" t="str">
        <f aca="false">IF($A54="","",SUMIFS(RECETAS!$L$6:$L$605,RECETAS!$C$6:$C$605,$A54))</f>
        <v/>
      </c>
      <c r="S54" s="34" t="str">
        <f aca="false">IF($A54="","",SUMIFS(MERMAS!$J$6:$J$505,MERMAS!$B$6:$B$505,$A54))</f>
        <v/>
      </c>
      <c r="T54" s="34" t="str">
        <f aca="false">IF($A54="","",N($L54)+$Q54-$R54+$S54)</f>
        <v/>
      </c>
      <c r="U54" s="35" t="str">
        <f aca="false">IF($A54="","",$T54*$O54)</f>
        <v/>
      </c>
      <c r="V54" s="42"/>
      <c r="W54" s="34" t="str">
        <f aca="false">IF(OR($A54="",$V54=""),"",$V54-$T54)</f>
        <v/>
      </c>
      <c r="X54" s="35" t="str">
        <f aca="false">IF($W54="","",$W54*$O54)</f>
        <v/>
      </c>
      <c r="Y54" s="8" t="str">
        <f aca="false">IF($A54="","",IF($T54&lt;=0,"AGOTADO",IF($T54&lt;=N($K54),"REORDENAR","OK")))</f>
        <v/>
      </c>
      <c r="Z54" s="34" t="str">
        <f aca="false">IF($A54="","",IF($T54&lt;=N($K54),ROUNDUP((2*N($K54)-$T54)/$F54,0),0))</f>
        <v/>
      </c>
      <c r="AA54" s="8" t="str">
        <f aca="false">IF(OR($Y54="REORDENAR",$Y54="AGOTADO"),ROW(),"")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39"/>
      <c r="G55" s="40"/>
      <c r="H55" s="41"/>
      <c r="I55" s="41"/>
      <c r="J55" s="6"/>
      <c r="K55" s="42"/>
      <c r="L55" s="42"/>
      <c r="M55" s="43" t="str">
        <f aca="false">IF($A55="","",IFERROR($G55/$F55,0))</f>
        <v/>
      </c>
      <c r="N55" s="43" t="str">
        <f aca="false">IF($A55="","",IFERROR(SUMIFS(COMPRAS!$N$6:$N$1005,COMPRAS!$D$6:$D$1005,$A55,COMPRAS!$R$6:$R$1005,1)/COUNTIFS(COMPRAS!$D$6:$D$1005,$A55,COMPRAS!$R$6:$R$1005,1),0))</f>
        <v/>
      </c>
      <c r="O55" s="43" t="str">
        <f aca="false">IF($A55="","",IF($N55&gt;0,$N55,$M55))</f>
        <v/>
      </c>
      <c r="P55" s="43" t="str">
        <f aca="false">IF($A55="","",IF(N($I55)&gt;0,$O55/$I55,$O55))</f>
        <v/>
      </c>
      <c r="Q55" s="34" t="str">
        <f aca="false">IF($A55="","",SUMIFS(COMPRAS!$I$6:$I$1005,COMPRAS!$D$6:$D$1005,$A55))</f>
        <v/>
      </c>
      <c r="R55" s="34" t="str">
        <f aca="false">IF($A55="","",SUMIFS(RECETAS!$L$6:$L$605,RECETAS!$C$6:$C$605,$A55))</f>
        <v/>
      </c>
      <c r="S55" s="34" t="str">
        <f aca="false">IF($A55="","",SUMIFS(MERMAS!$J$6:$J$505,MERMAS!$B$6:$B$505,$A55))</f>
        <v/>
      </c>
      <c r="T55" s="34" t="str">
        <f aca="false">IF($A55="","",N($L55)+$Q55-$R55+$S55)</f>
        <v/>
      </c>
      <c r="U55" s="35" t="str">
        <f aca="false">IF($A55="","",$T55*$O55)</f>
        <v/>
      </c>
      <c r="V55" s="42"/>
      <c r="W55" s="34" t="str">
        <f aca="false">IF(OR($A55="",$V55=""),"",$V55-$T55)</f>
        <v/>
      </c>
      <c r="X55" s="35" t="str">
        <f aca="false">IF($W55="","",$W55*$O55)</f>
        <v/>
      </c>
      <c r="Y55" s="8" t="str">
        <f aca="false">IF($A55="","",IF($T55&lt;=0,"AGOTADO",IF($T55&lt;=N($K55),"REORDENAR","OK")))</f>
        <v/>
      </c>
      <c r="Z55" s="34" t="str">
        <f aca="false">IF($A55="","",IF($T55&lt;=N($K55),ROUNDUP((2*N($K55)-$T55)/$F55,0),0))</f>
        <v/>
      </c>
      <c r="AA55" s="8" t="str">
        <f aca="false">IF(OR($Y55="REORDENAR",$Y55="AGOTADO"),ROW(),"")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39"/>
      <c r="G56" s="40"/>
      <c r="H56" s="41"/>
      <c r="I56" s="41"/>
      <c r="J56" s="6"/>
      <c r="K56" s="42"/>
      <c r="L56" s="42"/>
      <c r="M56" s="43" t="str">
        <f aca="false">IF($A56="","",IFERROR($G56/$F56,0))</f>
        <v/>
      </c>
      <c r="N56" s="43" t="str">
        <f aca="false">IF($A56="","",IFERROR(SUMIFS(COMPRAS!$N$6:$N$1005,COMPRAS!$D$6:$D$1005,$A56,COMPRAS!$R$6:$R$1005,1)/COUNTIFS(COMPRAS!$D$6:$D$1005,$A56,COMPRAS!$R$6:$R$1005,1),0))</f>
        <v/>
      </c>
      <c r="O56" s="43" t="str">
        <f aca="false">IF($A56="","",IF($N56&gt;0,$N56,$M56))</f>
        <v/>
      </c>
      <c r="P56" s="43" t="str">
        <f aca="false">IF($A56="","",IF(N($I56)&gt;0,$O56/$I56,$O56))</f>
        <v/>
      </c>
      <c r="Q56" s="34" t="str">
        <f aca="false">IF($A56="","",SUMIFS(COMPRAS!$I$6:$I$1005,COMPRAS!$D$6:$D$1005,$A56))</f>
        <v/>
      </c>
      <c r="R56" s="34" t="str">
        <f aca="false">IF($A56="","",SUMIFS(RECETAS!$L$6:$L$605,RECETAS!$C$6:$C$605,$A56))</f>
        <v/>
      </c>
      <c r="S56" s="34" t="str">
        <f aca="false">IF($A56="","",SUMIFS(MERMAS!$J$6:$J$505,MERMAS!$B$6:$B$505,$A56))</f>
        <v/>
      </c>
      <c r="T56" s="34" t="str">
        <f aca="false">IF($A56="","",N($L56)+$Q56-$R56+$S56)</f>
        <v/>
      </c>
      <c r="U56" s="35" t="str">
        <f aca="false">IF($A56="","",$T56*$O56)</f>
        <v/>
      </c>
      <c r="V56" s="42"/>
      <c r="W56" s="34" t="str">
        <f aca="false">IF(OR($A56="",$V56=""),"",$V56-$T56)</f>
        <v/>
      </c>
      <c r="X56" s="35" t="str">
        <f aca="false">IF($W56="","",$W56*$O56)</f>
        <v/>
      </c>
      <c r="Y56" s="8" t="str">
        <f aca="false">IF($A56="","",IF($T56&lt;=0,"AGOTADO",IF($T56&lt;=N($K56),"REORDENAR","OK")))</f>
        <v/>
      </c>
      <c r="Z56" s="34" t="str">
        <f aca="false">IF($A56="","",IF($T56&lt;=N($K56),ROUNDUP((2*N($K56)-$T56)/$F56,0),0))</f>
        <v/>
      </c>
      <c r="AA56" s="8" t="str">
        <f aca="false">IF(OR($Y56="REORDENAR",$Y56="AGOTADO"),ROW(),"")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39"/>
      <c r="G57" s="40"/>
      <c r="H57" s="41"/>
      <c r="I57" s="41"/>
      <c r="J57" s="6"/>
      <c r="K57" s="42"/>
      <c r="L57" s="42"/>
      <c r="M57" s="43" t="str">
        <f aca="false">IF($A57="","",IFERROR($G57/$F57,0))</f>
        <v/>
      </c>
      <c r="N57" s="43" t="str">
        <f aca="false">IF($A57="","",IFERROR(SUMIFS(COMPRAS!$N$6:$N$1005,COMPRAS!$D$6:$D$1005,$A57,COMPRAS!$R$6:$R$1005,1)/COUNTIFS(COMPRAS!$D$6:$D$1005,$A57,COMPRAS!$R$6:$R$1005,1),0))</f>
        <v/>
      </c>
      <c r="O57" s="43" t="str">
        <f aca="false">IF($A57="","",IF($N57&gt;0,$N57,$M57))</f>
        <v/>
      </c>
      <c r="P57" s="43" t="str">
        <f aca="false">IF($A57="","",IF(N($I57)&gt;0,$O57/$I57,$O57))</f>
        <v/>
      </c>
      <c r="Q57" s="34" t="str">
        <f aca="false">IF($A57="","",SUMIFS(COMPRAS!$I$6:$I$1005,COMPRAS!$D$6:$D$1005,$A57))</f>
        <v/>
      </c>
      <c r="R57" s="34" t="str">
        <f aca="false">IF($A57="","",SUMIFS(RECETAS!$L$6:$L$605,RECETAS!$C$6:$C$605,$A57))</f>
        <v/>
      </c>
      <c r="S57" s="34" t="str">
        <f aca="false">IF($A57="","",SUMIFS(MERMAS!$J$6:$J$505,MERMAS!$B$6:$B$505,$A57))</f>
        <v/>
      </c>
      <c r="T57" s="34" t="str">
        <f aca="false">IF($A57="","",N($L57)+$Q57-$R57+$S57)</f>
        <v/>
      </c>
      <c r="U57" s="35" t="str">
        <f aca="false">IF($A57="","",$T57*$O57)</f>
        <v/>
      </c>
      <c r="V57" s="42"/>
      <c r="W57" s="34" t="str">
        <f aca="false">IF(OR($A57="",$V57=""),"",$V57-$T57)</f>
        <v/>
      </c>
      <c r="X57" s="35" t="str">
        <f aca="false">IF($W57="","",$W57*$O57)</f>
        <v/>
      </c>
      <c r="Y57" s="8" t="str">
        <f aca="false">IF($A57="","",IF($T57&lt;=0,"AGOTADO",IF($T57&lt;=N($K57),"REORDENAR","OK")))</f>
        <v/>
      </c>
      <c r="Z57" s="34" t="str">
        <f aca="false">IF($A57="","",IF($T57&lt;=N($K57),ROUNDUP((2*N($K57)-$T57)/$F57,0),0))</f>
        <v/>
      </c>
      <c r="AA57" s="8" t="str">
        <f aca="false">IF(OR($Y57="REORDENAR",$Y57="AGOTADO"),ROW(),"")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39"/>
      <c r="G58" s="40"/>
      <c r="H58" s="41"/>
      <c r="I58" s="41"/>
      <c r="J58" s="6"/>
      <c r="K58" s="42"/>
      <c r="L58" s="42"/>
      <c r="M58" s="43" t="str">
        <f aca="false">IF($A58="","",IFERROR($G58/$F58,0))</f>
        <v/>
      </c>
      <c r="N58" s="43" t="str">
        <f aca="false">IF($A58="","",IFERROR(SUMIFS(COMPRAS!$N$6:$N$1005,COMPRAS!$D$6:$D$1005,$A58,COMPRAS!$R$6:$R$1005,1)/COUNTIFS(COMPRAS!$D$6:$D$1005,$A58,COMPRAS!$R$6:$R$1005,1),0))</f>
        <v/>
      </c>
      <c r="O58" s="43" t="str">
        <f aca="false">IF($A58="","",IF($N58&gt;0,$N58,$M58))</f>
        <v/>
      </c>
      <c r="P58" s="43" t="str">
        <f aca="false">IF($A58="","",IF(N($I58)&gt;0,$O58/$I58,$O58))</f>
        <v/>
      </c>
      <c r="Q58" s="34" t="str">
        <f aca="false">IF($A58="","",SUMIFS(COMPRAS!$I$6:$I$1005,COMPRAS!$D$6:$D$1005,$A58))</f>
        <v/>
      </c>
      <c r="R58" s="34" t="str">
        <f aca="false">IF($A58="","",SUMIFS(RECETAS!$L$6:$L$605,RECETAS!$C$6:$C$605,$A58))</f>
        <v/>
      </c>
      <c r="S58" s="34" t="str">
        <f aca="false">IF($A58="","",SUMIFS(MERMAS!$J$6:$J$505,MERMAS!$B$6:$B$505,$A58))</f>
        <v/>
      </c>
      <c r="T58" s="34" t="str">
        <f aca="false">IF($A58="","",N($L58)+$Q58-$R58+$S58)</f>
        <v/>
      </c>
      <c r="U58" s="35" t="str">
        <f aca="false">IF($A58="","",$T58*$O58)</f>
        <v/>
      </c>
      <c r="V58" s="42"/>
      <c r="W58" s="34" t="str">
        <f aca="false">IF(OR($A58="",$V58=""),"",$V58-$T58)</f>
        <v/>
      </c>
      <c r="X58" s="35" t="str">
        <f aca="false">IF($W58="","",$W58*$O58)</f>
        <v/>
      </c>
      <c r="Y58" s="8" t="str">
        <f aca="false">IF($A58="","",IF($T58&lt;=0,"AGOTADO",IF($T58&lt;=N($K58),"REORDENAR","OK")))</f>
        <v/>
      </c>
      <c r="Z58" s="34" t="str">
        <f aca="false">IF($A58="","",IF($T58&lt;=N($K58),ROUNDUP((2*N($K58)-$T58)/$F58,0),0))</f>
        <v/>
      </c>
      <c r="AA58" s="8" t="str">
        <f aca="false">IF(OR($Y58="REORDENAR",$Y58="AGOTADO"),ROW(),"")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39"/>
      <c r="G59" s="40"/>
      <c r="H59" s="41"/>
      <c r="I59" s="41"/>
      <c r="J59" s="6"/>
      <c r="K59" s="42"/>
      <c r="L59" s="42"/>
      <c r="M59" s="43" t="str">
        <f aca="false">IF($A59="","",IFERROR($G59/$F59,0))</f>
        <v/>
      </c>
      <c r="N59" s="43" t="str">
        <f aca="false">IF($A59="","",IFERROR(SUMIFS(COMPRAS!$N$6:$N$1005,COMPRAS!$D$6:$D$1005,$A59,COMPRAS!$R$6:$R$1005,1)/COUNTIFS(COMPRAS!$D$6:$D$1005,$A59,COMPRAS!$R$6:$R$1005,1),0))</f>
        <v/>
      </c>
      <c r="O59" s="43" t="str">
        <f aca="false">IF($A59="","",IF($N59&gt;0,$N59,$M59))</f>
        <v/>
      </c>
      <c r="P59" s="43" t="str">
        <f aca="false">IF($A59="","",IF(N($I59)&gt;0,$O59/$I59,$O59))</f>
        <v/>
      </c>
      <c r="Q59" s="34" t="str">
        <f aca="false">IF($A59="","",SUMIFS(COMPRAS!$I$6:$I$1005,COMPRAS!$D$6:$D$1005,$A59))</f>
        <v/>
      </c>
      <c r="R59" s="34" t="str">
        <f aca="false">IF($A59="","",SUMIFS(RECETAS!$L$6:$L$605,RECETAS!$C$6:$C$605,$A59))</f>
        <v/>
      </c>
      <c r="S59" s="34" t="str">
        <f aca="false">IF($A59="","",SUMIFS(MERMAS!$J$6:$J$505,MERMAS!$B$6:$B$505,$A59))</f>
        <v/>
      </c>
      <c r="T59" s="34" t="str">
        <f aca="false">IF($A59="","",N($L59)+$Q59-$R59+$S59)</f>
        <v/>
      </c>
      <c r="U59" s="35" t="str">
        <f aca="false">IF($A59="","",$T59*$O59)</f>
        <v/>
      </c>
      <c r="V59" s="42"/>
      <c r="W59" s="34" t="str">
        <f aca="false">IF(OR($A59="",$V59=""),"",$V59-$T59)</f>
        <v/>
      </c>
      <c r="X59" s="35" t="str">
        <f aca="false">IF($W59="","",$W59*$O59)</f>
        <v/>
      </c>
      <c r="Y59" s="8" t="str">
        <f aca="false">IF($A59="","",IF($T59&lt;=0,"AGOTADO",IF($T59&lt;=N($K59),"REORDENAR","OK")))</f>
        <v/>
      </c>
      <c r="Z59" s="34" t="str">
        <f aca="false">IF($A59="","",IF($T59&lt;=N($K59),ROUNDUP((2*N($K59)-$T59)/$F59,0),0))</f>
        <v/>
      </c>
      <c r="AA59" s="8" t="str">
        <f aca="false">IF(OR($Y59="REORDENAR",$Y59="AGOTADO"),ROW(),"")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39"/>
      <c r="G60" s="40"/>
      <c r="H60" s="41"/>
      <c r="I60" s="41"/>
      <c r="J60" s="6"/>
      <c r="K60" s="42"/>
      <c r="L60" s="42"/>
      <c r="M60" s="43" t="str">
        <f aca="false">IF($A60="","",IFERROR($G60/$F60,0))</f>
        <v/>
      </c>
      <c r="N60" s="43" t="str">
        <f aca="false">IF($A60="","",IFERROR(SUMIFS(COMPRAS!$N$6:$N$1005,COMPRAS!$D$6:$D$1005,$A60,COMPRAS!$R$6:$R$1005,1)/COUNTIFS(COMPRAS!$D$6:$D$1005,$A60,COMPRAS!$R$6:$R$1005,1),0))</f>
        <v/>
      </c>
      <c r="O60" s="43" t="str">
        <f aca="false">IF($A60="","",IF($N60&gt;0,$N60,$M60))</f>
        <v/>
      </c>
      <c r="P60" s="43" t="str">
        <f aca="false">IF($A60="","",IF(N($I60)&gt;0,$O60/$I60,$O60))</f>
        <v/>
      </c>
      <c r="Q60" s="34" t="str">
        <f aca="false">IF($A60="","",SUMIFS(COMPRAS!$I$6:$I$1005,COMPRAS!$D$6:$D$1005,$A60))</f>
        <v/>
      </c>
      <c r="R60" s="34" t="str">
        <f aca="false">IF($A60="","",SUMIFS(RECETAS!$L$6:$L$605,RECETAS!$C$6:$C$605,$A60))</f>
        <v/>
      </c>
      <c r="S60" s="34" t="str">
        <f aca="false">IF($A60="","",SUMIFS(MERMAS!$J$6:$J$505,MERMAS!$B$6:$B$505,$A60))</f>
        <v/>
      </c>
      <c r="T60" s="34" t="str">
        <f aca="false">IF($A60="","",N($L60)+$Q60-$R60+$S60)</f>
        <v/>
      </c>
      <c r="U60" s="35" t="str">
        <f aca="false">IF($A60="","",$T60*$O60)</f>
        <v/>
      </c>
      <c r="V60" s="42"/>
      <c r="W60" s="34" t="str">
        <f aca="false">IF(OR($A60="",$V60=""),"",$V60-$T60)</f>
        <v/>
      </c>
      <c r="X60" s="35" t="str">
        <f aca="false">IF($W60="","",$W60*$O60)</f>
        <v/>
      </c>
      <c r="Y60" s="8" t="str">
        <f aca="false">IF($A60="","",IF($T60&lt;=0,"AGOTADO",IF($T60&lt;=N($K60),"REORDENAR","OK")))</f>
        <v/>
      </c>
      <c r="Z60" s="34" t="str">
        <f aca="false">IF($A60="","",IF($T60&lt;=N($K60),ROUNDUP((2*N($K60)-$T60)/$F60,0),0))</f>
        <v/>
      </c>
      <c r="AA60" s="8" t="str">
        <f aca="false">IF(OR($Y60="REORDENAR",$Y60="AGOTADO"),ROW(),"")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39"/>
      <c r="G61" s="40"/>
      <c r="H61" s="41"/>
      <c r="I61" s="41"/>
      <c r="J61" s="6"/>
      <c r="K61" s="42"/>
      <c r="L61" s="42"/>
      <c r="M61" s="43" t="str">
        <f aca="false">IF($A61="","",IFERROR($G61/$F61,0))</f>
        <v/>
      </c>
      <c r="N61" s="43" t="str">
        <f aca="false">IF($A61="","",IFERROR(SUMIFS(COMPRAS!$N$6:$N$1005,COMPRAS!$D$6:$D$1005,$A61,COMPRAS!$R$6:$R$1005,1)/COUNTIFS(COMPRAS!$D$6:$D$1005,$A61,COMPRAS!$R$6:$R$1005,1),0))</f>
        <v/>
      </c>
      <c r="O61" s="43" t="str">
        <f aca="false">IF($A61="","",IF($N61&gt;0,$N61,$M61))</f>
        <v/>
      </c>
      <c r="P61" s="43" t="str">
        <f aca="false">IF($A61="","",IF(N($I61)&gt;0,$O61/$I61,$O61))</f>
        <v/>
      </c>
      <c r="Q61" s="34" t="str">
        <f aca="false">IF($A61="","",SUMIFS(COMPRAS!$I$6:$I$1005,COMPRAS!$D$6:$D$1005,$A61))</f>
        <v/>
      </c>
      <c r="R61" s="34" t="str">
        <f aca="false">IF($A61="","",SUMIFS(RECETAS!$L$6:$L$605,RECETAS!$C$6:$C$605,$A61))</f>
        <v/>
      </c>
      <c r="S61" s="34" t="str">
        <f aca="false">IF($A61="","",SUMIFS(MERMAS!$J$6:$J$505,MERMAS!$B$6:$B$505,$A61))</f>
        <v/>
      </c>
      <c r="T61" s="34" t="str">
        <f aca="false">IF($A61="","",N($L61)+$Q61-$R61+$S61)</f>
        <v/>
      </c>
      <c r="U61" s="35" t="str">
        <f aca="false">IF($A61="","",$T61*$O61)</f>
        <v/>
      </c>
      <c r="V61" s="42"/>
      <c r="W61" s="34" t="str">
        <f aca="false">IF(OR($A61="",$V61=""),"",$V61-$T61)</f>
        <v/>
      </c>
      <c r="X61" s="35" t="str">
        <f aca="false">IF($W61="","",$W61*$O61)</f>
        <v/>
      </c>
      <c r="Y61" s="8" t="str">
        <f aca="false">IF($A61="","",IF($T61&lt;=0,"AGOTADO",IF($T61&lt;=N($K61),"REORDENAR","OK")))</f>
        <v/>
      </c>
      <c r="Z61" s="34" t="str">
        <f aca="false">IF($A61="","",IF($T61&lt;=N($K61),ROUNDUP((2*N($K61)-$T61)/$F61,0),0))</f>
        <v/>
      </c>
      <c r="AA61" s="8" t="str">
        <f aca="false">IF(OR($Y61="REORDENAR",$Y61="AGOTADO"),ROW(),"")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39"/>
      <c r="G62" s="40"/>
      <c r="H62" s="41"/>
      <c r="I62" s="41"/>
      <c r="J62" s="6"/>
      <c r="K62" s="42"/>
      <c r="L62" s="42"/>
      <c r="M62" s="43" t="str">
        <f aca="false">IF($A62="","",IFERROR($G62/$F62,0))</f>
        <v/>
      </c>
      <c r="N62" s="43" t="str">
        <f aca="false">IF($A62="","",IFERROR(SUMIFS(COMPRAS!$N$6:$N$1005,COMPRAS!$D$6:$D$1005,$A62,COMPRAS!$R$6:$R$1005,1)/COUNTIFS(COMPRAS!$D$6:$D$1005,$A62,COMPRAS!$R$6:$R$1005,1),0))</f>
        <v/>
      </c>
      <c r="O62" s="43" t="str">
        <f aca="false">IF($A62="","",IF($N62&gt;0,$N62,$M62))</f>
        <v/>
      </c>
      <c r="P62" s="43" t="str">
        <f aca="false">IF($A62="","",IF(N($I62)&gt;0,$O62/$I62,$O62))</f>
        <v/>
      </c>
      <c r="Q62" s="34" t="str">
        <f aca="false">IF($A62="","",SUMIFS(COMPRAS!$I$6:$I$1005,COMPRAS!$D$6:$D$1005,$A62))</f>
        <v/>
      </c>
      <c r="R62" s="34" t="str">
        <f aca="false">IF($A62="","",SUMIFS(RECETAS!$L$6:$L$605,RECETAS!$C$6:$C$605,$A62))</f>
        <v/>
      </c>
      <c r="S62" s="34" t="str">
        <f aca="false">IF($A62="","",SUMIFS(MERMAS!$J$6:$J$505,MERMAS!$B$6:$B$505,$A62))</f>
        <v/>
      </c>
      <c r="T62" s="34" t="str">
        <f aca="false">IF($A62="","",N($L62)+$Q62-$R62+$S62)</f>
        <v/>
      </c>
      <c r="U62" s="35" t="str">
        <f aca="false">IF($A62="","",$T62*$O62)</f>
        <v/>
      </c>
      <c r="V62" s="42"/>
      <c r="W62" s="34" t="str">
        <f aca="false">IF(OR($A62="",$V62=""),"",$V62-$T62)</f>
        <v/>
      </c>
      <c r="X62" s="35" t="str">
        <f aca="false">IF($W62="","",$W62*$O62)</f>
        <v/>
      </c>
      <c r="Y62" s="8" t="str">
        <f aca="false">IF($A62="","",IF($T62&lt;=0,"AGOTADO",IF($T62&lt;=N($K62),"REORDENAR","OK")))</f>
        <v/>
      </c>
      <c r="Z62" s="34" t="str">
        <f aca="false">IF($A62="","",IF($T62&lt;=N($K62),ROUNDUP((2*N($K62)-$T62)/$F62,0),0))</f>
        <v/>
      </c>
      <c r="AA62" s="8" t="str">
        <f aca="false">IF(OR($Y62="REORDENAR",$Y62="AGOTADO"),ROW(),"")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39"/>
      <c r="G63" s="40"/>
      <c r="H63" s="41"/>
      <c r="I63" s="41"/>
      <c r="J63" s="6"/>
      <c r="K63" s="42"/>
      <c r="L63" s="42"/>
      <c r="M63" s="43" t="str">
        <f aca="false">IF($A63="","",IFERROR($G63/$F63,0))</f>
        <v/>
      </c>
      <c r="N63" s="43" t="str">
        <f aca="false">IF($A63="","",IFERROR(SUMIFS(COMPRAS!$N$6:$N$1005,COMPRAS!$D$6:$D$1005,$A63,COMPRAS!$R$6:$R$1005,1)/COUNTIFS(COMPRAS!$D$6:$D$1005,$A63,COMPRAS!$R$6:$R$1005,1),0))</f>
        <v/>
      </c>
      <c r="O63" s="43" t="str">
        <f aca="false">IF($A63="","",IF($N63&gt;0,$N63,$M63))</f>
        <v/>
      </c>
      <c r="P63" s="43" t="str">
        <f aca="false">IF($A63="","",IF(N($I63)&gt;0,$O63/$I63,$O63))</f>
        <v/>
      </c>
      <c r="Q63" s="34" t="str">
        <f aca="false">IF($A63="","",SUMIFS(COMPRAS!$I$6:$I$1005,COMPRAS!$D$6:$D$1005,$A63))</f>
        <v/>
      </c>
      <c r="R63" s="34" t="str">
        <f aca="false">IF($A63="","",SUMIFS(RECETAS!$L$6:$L$605,RECETAS!$C$6:$C$605,$A63))</f>
        <v/>
      </c>
      <c r="S63" s="34" t="str">
        <f aca="false">IF($A63="","",SUMIFS(MERMAS!$J$6:$J$505,MERMAS!$B$6:$B$505,$A63))</f>
        <v/>
      </c>
      <c r="T63" s="34" t="str">
        <f aca="false">IF($A63="","",N($L63)+$Q63-$R63+$S63)</f>
        <v/>
      </c>
      <c r="U63" s="35" t="str">
        <f aca="false">IF($A63="","",$T63*$O63)</f>
        <v/>
      </c>
      <c r="V63" s="42"/>
      <c r="W63" s="34" t="str">
        <f aca="false">IF(OR($A63="",$V63=""),"",$V63-$T63)</f>
        <v/>
      </c>
      <c r="X63" s="35" t="str">
        <f aca="false">IF($W63="","",$W63*$O63)</f>
        <v/>
      </c>
      <c r="Y63" s="8" t="str">
        <f aca="false">IF($A63="","",IF($T63&lt;=0,"AGOTADO",IF($T63&lt;=N($K63),"REORDENAR","OK")))</f>
        <v/>
      </c>
      <c r="Z63" s="34" t="str">
        <f aca="false">IF($A63="","",IF($T63&lt;=N($K63),ROUNDUP((2*N($K63)-$T63)/$F63,0),0))</f>
        <v/>
      </c>
      <c r="AA63" s="8" t="str">
        <f aca="false">IF(OR($Y63="REORDENAR",$Y63="AGOTADO"),ROW(),"")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39"/>
      <c r="G64" s="40"/>
      <c r="H64" s="41"/>
      <c r="I64" s="41"/>
      <c r="J64" s="6"/>
      <c r="K64" s="42"/>
      <c r="L64" s="42"/>
      <c r="M64" s="43" t="str">
        <f aca="false">IF($A64="","",IFERROR($G64/$F64,0))</f>
        <v/>
      </c>
      <c r="N64" s="43" t="str">
        <f aca="false">IF($A64="","",IFERROR(SUMIFS(COMPRAS!$N$6:$N$1005,COMPRAS!$D$6:$D$1005,$A64,COMPRAS!$R$6:$R$1005,1)/COUNTIFS(COMPRAS!$D$6:$D$1005,$A64,COMPRAS!$R$6:$R$1005,1),0))</f>
        <v/>
      </c>
      <c r="O64" s="43" t="str">
        <f aca="false">IF($A64="","",IF($N64&gt;0,$N64,$M64))</f>
        <v/>
      </c>
      <c r="P64" s="43" t="str">
        <f aca="false">IF($A64="","",IF(N($I64)&gt;0,$O64/$I64,$O64))</f>
        <v/>
      </c>
      <c r="Q64" s="34" t="str">
        <f aca="false">IF($A64="","",SUMIFS(COMPRAS!$I$6:$I$1005,COMPRAS!$D$6:$D$1005,$A64))</f>
        <v/>
      </c>
      <c r="R64" s="34" t="str">
        <f aca="false">IF($A64="","",SUMIFS(RECETAS!$L$6:$L$605,RECETAS!$C$6:$C$605,$A64))</f>
        <v/>
      </c>
      <c r="S64" s="34" t="str">
        <f aca="false">IF($A64="","",SUMIFS(MERMAS!$J$6:$J$505,MERMAS!$B$6:$B$505,$A64))</f>
        <v/>
      </c>
      <c r="T64" s="34" t="str">
        <f aca="false">IF($A64="","",N($L64)+$Q64-$R64+$S64)</f>
        <v/>
      </c>
      <c r="U64" s="35" t="str">
        <f aca="false">IF($A64="","",$T64*$O64)</f>
        <v/>
      </c>
      <c r="V64" s="42"/>
      <c r="W64" s="34" t="str">
        <f aca="false">IF(OR($A64="",$V64=""),"",$V64-$T64)</f>
        <v/>
      </c>
      <c r="X64" s="35" t="str">
        <f aca="false">IF($W64="","",$W64*$O64)</f>
        <v/>
      </c>
      <c r="Y64" s="8" t="str">
        <f aca="false">IF($A64="","",IF($T64&lt;=0,"AGOTADO",IF($T64&lt;=N($K64),"REORDENAR","OK")))</f>
        <v/>
      </c>
      <c r="Z64" s="34" t="str">
        <f aca="false">IF($A64="","",IF($T64&lt;=N($K64),ROUNDUP((2*N($K64)-$T64)/$F64,0),0))</f>
        <v/>
      </c>
      <c r="AA64" s="8" t="str">
        <f aca="false">IF(OR($Y64="REORDENAR",$Y64="AGOTADO"),ROW(),"")</f>
        <v/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39"/>
      <c r="G65" s="40"/>
      <c r="H65" s="41"/>
      <c r="I65" s="41"/>
      <c r="J65" s="6"/>
      <c r="K65" s="42"/>
      <c r="L65" s="42"/>
      <c r="M65" s="43" t="str">
        <f aca="false">IF($A65="","",IFERROR($G65/$F65,0))</f>
        <v/>
      </c>
      <c r="N65" s="43" t="str">
        <f aca="false">IF($A65="","",IFERROR(SUMIFS(COMPRAS!$N$6:$N$1005,COMPRAS!$D$6:$D$1005,$A65,COMPRAS!$R$6:$R$1005,1)/COUNTIFS(COMPRAS!$D$6:$D$1005,$A65,COMPRAS!$R$6:$R$1005,1),0))</f>
        <v/>
      </c>
      <c r="O65" s="43" t="str">
        <f aca="false">IF($A65="","",IF($N65&gt;0,$N65,$M65))</f>
        <v/>
      </c>
      <c r="P65" s="43" t="str">
        <f aca="false">IF($A65="","",IF(N($I65)&gt;0,$O65/$I65,$O65))</f>
        <v/>
      </c>
      <c r="Q65" s="34" t="str">
        <f aca="false">IF($A65="","",SUMIFS(COMPRAS!$I$6:$I$1005,COMPRAS!$D$6:$D$1005,$A65))</f>
        <v/>
      </c>
      <c r="R65" s="34" t="str">
        <f aca="false">IF($A65="","",SUMIFS(RECETAS!$L$6:$L$605,RECETAS!$C$6:$C$605,$A65))</f>
        <v/>
      </c>
      <c r="S65" s="34" t="str">
        <f aca="false">IF($A65="","",SUMIFS(MERMAS!$J$6:$J$505,MERMAS!$B$6:$B$505,$A65))</f>
        <v/>
      </c>
      <c r="T65" s="34" t="str">
        <f aca="false">IF($A65="","",N($L65)+$Q65-$R65+$S65)</f>
        <v/>
      </c>
      <c r="U65" s="35" t="str">
        <f aca="false">IF($A65="","",$T65*$O65)</f>
        <v/>
      </c>
      <c r="V65" s="42"/>
      <c r="W65" s="34" t="str">
        <f aca="false">IF(OR($A65="",$V65=""),"",$V65-$T65)</f>
        <v/>
      </c>
      <c r="X65" s="35" t="str">
        <f aca="false">IF($W65="","",$W65*$O65)</f>
        <v/>
      </c>
      <c r="Y65" s="8" t="str">
        <f aca="false">IF($A65="","",IF($T65&lt;=0,"AGOTADO",IF($T65&lt;=N($K65),"REORDENAR","OK")))</f>
        <v/>
      </c>
      <c r="Z65" s="34" t="str">
        <f aca="false">IF($A65="","",IF($T65&lt;=N($K65),ROUNDUP((2*N($K65)-$T65)/$F65,0),0))</f>
        <v/>
      </c>
      <c r="AA65" s="8" t="str">
        <f aca="false">IF(OR($Y65="REORDENAR",$Y65="AGOTADO"),ROW(),"")</f>
        <v/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39"/>
      <c r="G66" s="40"/>
      <c r="H66" s="41"/>
      <c r="I66" s="41"/>
      <c r="J66" s="6"/>
      <c r="K66" s="42"/>
      <c r="L66" s="42"/>
      <c r="M66" s="43" t="str">
        <f aca="false">IF($A66="","",IFERROR($G66/$F66,0))</f>
        <v/>
      </c>
      <c r="N66" s="43" t="str">
        <f aca="false">IF($A66="","",IFERROR(SUMIFS(COMPRAS!$N$6:$N$1005,COMPRAS!$D$6:$D$1005,$A66,COMPRAS!$R$6:$R$1005,1)/COUNTIFS(COMPRAS!$D$6:$D$1005,$A66,COMPRAS!$R$6:$R$1005,1),0))</f>
        <v/>
      </c>
      <c r="O66" s="43" t="str">
        <f aca="false">IF($A66="","",IF($N66&gt;0,$N66,$M66))</f>
        <v/>
      </c>
      <c r="P66" s="43" t="str">
        <f aca="false">IF($A66="","",IF(N($I66)&gt;0,$O66/$I66,$O66))</f>
        <v/>
      </c>
      <c r="Q66" s="34" t="str">
        <f aca="false">IF($A66="","",SUMIFS(COMPRAS!$I$6:$I$1005,COMPRAS!$D$6:$D$1005,$A66))</f>
        <v/>
      </c>
      <c r="R66" s="34" t="str">
        <f aca="false">IF($A66="","",SUMIFS(RECETAS!$L$6:$L$605,RECETAS!$C$6:$C$605,$A66))</f>
        <v/>
      </c>
      <c r="S66" s="34" t="str">
        <f aca="false">IF($A66="","",SUMIFS(MERMAS!$J$6:$J$505,MERMAS!$B$6:$B$505,$A66))</f>
        <v/>
      </c>
      <c r="T66" s="34" t="str">
        <f aca="false">IF($A66="","",N($L66)+$Q66-$R66+$S66)</f>
        <v/>
      </c>
      <c r="U66" s="35" t="str">
        <f aca="false">IF($A66="","",$T66*$O66)</f>
        <v/>
      </c>
      <c r="V66" s="42"/>
      <c r="W66" s="34" t="str">
        <f aca="false">IF(OR($A66="",$V66=""),"",$V66-$T66)</f>
        <v/>
      </c>
      <c r="X66" s="35" t="str">
        <f aca="false">IF($W66="","",$W66*$O66)</f>
        <v/>
      </c>
      <c r="Y66" s="8" t="str">
        <f aca="false">IF($A66="","",IF($T66&lt;=0,"AGOTADO",IF($T66&lt;=N($K66),"REORDENAR","OK")))</f>
        <v/>
      </c>
      <c r="Z66" s="34" t="str">
        <f aca="false">IF($A66="","",IF($T66&lt;=N($K66),ROUNDUP((2*N($K66)-$T66)/$F66,0),0))</f>
        <v/>
      </c>
      <c r="AA66" s="8" t="str">
        <f aca="false">IF(OR($Y66="REORDENAR",$Y66="AGOTADO"),ROW(),"")</f>
        <v/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39"/>
      <c r="G67" s="40"/>
      <c r="H67" s="41"/>
      <c r="I67" s="41"/>
      <c r="J67" s="6"/>
      <c r="K67" s="42"/>
      <c r="L67" s="42"/>
      <c r="M67" s="43" t="str">
        <f aca="false">IF($A67="","",IFERROR($G67/$F67,0))</f>
        <v/>
      </c>
      <c r="N67" s="43" t="str">
        <f aca="false">IF($A67="","",IFERROR(SUMIFS(COMPRAS!$N$6:$N$1005,COMPRAS!$D$6:$D$1005,$A67,COMPRAS!$R$6:$R$1005,1)/COUNTIFS(COMPRAS!$D$6:$D$1005,$A67,COMPRAS!$R$6:$R$1005,1),0))</f>
        <v/>
      </c>
      <c r="O67" s="43" t="str">
        <f aca="false">IF($A67="","",IF($N67&gt;0,$N67,$M67))</f>
        <v/>
      </c>
      <c r="P67" s="43" t="str">
        <f aca="false">IF($A67="","",IF(N($I67)&gt;0,$O67/$I67,$O67))</f>
        <v/>
      </c>
      <c r="Q67" s="34" t="str">
        <f aca="false">IF($A67="","",SUMIFS(COMPRAS!$I$6:$I$1005,COMPRAS!$D$6:$D$1005,$A67))</f>
        <v/>
      </c>
      <c r="R67" s="34" t="str">
        <f aca="false">IF($A67="","",SUMIFS(RECETAS!$L$6:$L$605,RECETAS!$C$6:$C$605,$A67))</f>
        <v/>
      </c>
      <c r="S67" s="34" t="str">
        <f aca="false">IF($A67="","",SUMIFS(MERMAS!$J$6:$J$505,MERMAS!$B$6:$B$505,$A67))</f>
        <v/>
      </c>
      <c r="T67" s="34" t="str">
        <f aca="false">IF($A67="","",N($L67)+$Q67-$R67+$S67)</f>
        <v/>
      </c>
      <c r="U67" s="35" t="str">
        <f aca="false">IF($A67="","",$T67*$O67)</f>
        <v/>
      </c>
      <c r="V67" s="42"/>
      <c r="W67" s="34" t="str">
        <f aca="false">IF(OR($A67="",$V67=""),"",$V67-$T67)</f>
        <v/>
      </c>
      <c r="X67" s="35" t="str">
        <f aca="false">IF($W67="","",$W67*$O67)</f>
        <v/>
      </c>
      <c r="Y67" s="8" t="str">
        <f aca="false">IF($A67="","",IF($T67&lt;=0,"AGOTADO",IF($T67&lt;=N($K67),"REORDENAR","OK")))</f>
        <v/>
      </c>
      <c r="Z67" s="34" t="str">
        <f aca="false">IF($A67="","",IF($T67&lt;=N($K67),ROUNDUP((2*N($K67)-$T67)/$F67,0),0))</f>
        <v/>
      </c>
      <c r="AA67" s="8" t="str">
        <f aca="false">IF(OR($Y67="REORDENAR",$Y67="AGOTADO"),ROW(),"")</f>
        <v/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39"/>
      <c r="G68" s="40"/>
      <c r="H68" s="41"/>
      <c r="I68" s="41"/>
      <c r="J68" s="6"/>
      <c r="K68" s="42"/>
      <c r="L68" s="42"/>
      <c r="M68" s="43" t="str">
        <f aca="false">IF($A68="","",IFERROR($G68/$F68,0))</f>
        <v/>
      </c>
      <c r="N68" s="43" t="str">
        <f aca="false">IF($A68="","",IFERROR(SUMIFS(COMPRAS!$N$6:$N$1005,COMPRAS!$D$6:$D$1005,$A68,COMPRAS!$R$6:$R$1005,1)/COUNTIFS(COMPRAS!$D$6:$D$1005,$A68,COMPRAS!$R$6:$R$1005,1),0))</f>
        <v/>
      </c>
      <c r="O68" s="43" t="str">
        <f aca="false">IF($A68="","",IF($N68&gt;0,$N68,$M68))</f>
        <v/>
      </c>
      <c r="P68" s="43" t="str">
        <f aca="false">IF($A68="","",IF(N($I68)&gt;0,$O68/$I68,$O68))</f>
        <v/>
      </c>
      <c r="Q68" s="34" t="str">
        <f aca="false">IF($A68="","",SUMIFS(COMPRAS!$I$6:$I$1005,COMPRAS!$D$6:$D$1005,$A68))</f>
        <v/>
      </c>
      <c r="R68" s="34" t="str">
        <f aca="false">IF($A68="","",SUMIFS(RECETAS!$L$6:$L$605,RECETAS!$C$6:$C$605,$A68))</f>
        <v/>
      </c>
      <c r="S68" s="34" t="str">
        <f aca="false">IF($A68="","",SUMIFS(MERMAS!$J$6:$J$505,MERMAS!$B$6:$B$505,$A68))</f>
        <v/>
      </c>
      <c r="T68" s="34" t="str">
        <f aca="false">IF($A68="","",N($L68)+$Q68-$R68+$S68)</f>
        <v/>
      </c>
      <c r="U68" s="35" t="str">
        <f aca="false">IF($A68="","",$T68*$O68)</f>
        <v/>
      </c>
      <c r="V68" s="42"/>
      <c r="W68" s="34" t="str">
        <f aca="false">IF(OR($A68="",$V68=""),"",$V68-$T68)</f>
        <v/>
      </c>
      <c r="X68" s="35" t="str">
        <f aca="false">IF($W68="","",$W68*$O68)</f>
        <v/>
      </c>
      <c r="Y68" s="8" t="str">
        <f aca="false">IF($A68="","",IF($T68&lt;=0,"AGOTADO",IF($T68&lt;=N($K68),"REORDENAR","OK")))</f>
        <v/>
      </c>
      <c r="Z68" s="34" t="str">
        <f aca="false">IF($A68="","",IF($T68&lt;=N($K68),ROUNDUP((2*N($K68)-$T68)/$F68,0),0))</f>
        <v/>
      </c>
      <c r="AA68" s="8" t="str">
        <f aca="false">IF(OR($Y68="REORDENAR",$Y68="AGOTADO"),ROW(),"")</f>
        <v/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39"/>
      <c r="G69" s="40"/>
      <c r="H69" s="41"/>
      <c r="I69" s="41"/>
      <c r="J69" s="6"/>
      <c r="K69" s="42"/>
      <c r="L69" s="42"/>
      <c r="M69" s="43" t="str">
        <f aca="false">IF($A69="","",IFERROR($G69/$F69,0))</f>
        <v/>
      </c>
      <c r="N69" s="43" t="str">
        <f aca="false">IF($A69="","",IFERROR(SUMIFS(COMPRAS!$N$6:$N$1005,COMPRAS!$D$6:$D$1005,$A69,COMPRAS!$R$6:$R$1005,1)/COUNTIFS(COMPRAS!$D$6:$D$1005,$A69,COMPRAS!$R$6:$R$1005,1),0))</f>
        <v/>
      </c>
      <c r="O69" s="43" t="str">
        <f aca="false">IF($A69="","",IF($N69&gt;0,$N69,$M69))</f>
        <v/>
      </c>
      <c r="P69" s="43" t="str">
        <f aca="false">IF($A69="","",IF(N($I69)&gt;0,$O69/$I69,$O69))</f>
        <v/>
      </c>
      <c r="Q69" s="34" t="str">
        <f aca="false">IF($A69="","",SUMIFS(COMPRAS!$I$6:$I$1005,COMPRAS!$D$6:$D$1005,$A69))</f>
        <v/>
      </c>
      <c r="R69" s="34" t="str">
        <f aca="false">IF($A69="","",SUMIFS(RECETAS!$L$6:$L$605,RECETAS!$C$6:$C$605,$A69))</f>
        <v/>
      </c>
      <c r="S69" s="34" t="str">
        <f aca="false">IF($A69="","",SUMIFS(MERMAS!$J$6:$J$505,MERMAS!$B$6:$B$505,$A69))</f>
        <v/>
      </c>
      <c r="T69" s="34" t="str">
        <f aca="false">IF($A69="","",N($L69)+$Q69-$R69+$S69)</f>
        <v/>
      </c>
      <c r="U69" s="35" t="str">
        <f aca="false">IF($A69="","",$T69*$O69)</f>
        <v/>
      </c>
      <c r="V69" s="42"/>
      <c r="W69" s="34" t="str">
        <f aca="false">IF(OR($A69="",$V69=""),"",$V69-$T69)</f>
        <v/>
      </c>
      <c r="X69" s="35" t="str">
        <f aca="false">IF($W69="","",$W69*$O69)</f>
        <v/>
      </c>
      <c r="Y69" s="8" t="str">
        <f aca="false">IF($A69="","",IF($T69&lt;=0,"AGOTADO",IF($T69&lt;=N($K69),"REORDENAR","OK")))</f>
        <v/>
      </c>
      <c r="Z69" s="34" t="str">
        <f aca="false">IF($A69="","",IF($T69&lt;=N($K69),ROUNDUP((2*N($K69)-$T69)/$F69,0),0))</f>
        <v/>
      </c>
      <c r="AA69" s="8" t="str">
        <f aca="false">IF(OR($Y69="REORDENAR",$Y69="AGOTADO"),ROW(),"")</f>
        <v/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39"/>
      <c r="G70" s="40"/>
      <c r="H70" s="41"/>
      <c r="I70" s="41"/>
      <c r="J70" s="6"/>
      <c r="K70" s="42"/>
      <c r="L70" s="42"/>
      <c r="M70" s="43" t="str">
        <f aca="false">IF($A70="","",IFERROR($G70/$F70,0))</f>
        <v/>
      </c>
      <c r="N70" s="43" t="str">
        <f aca="false">IF($A70="","",IFERROR(SUMIFS(COMPRAS!$N$6:$N$1005,COMPRAS!$D$6:$D$1005,$A70,COMPRAS!$R$6:$R$1005,1)/COUNTIFS(COMPRAS!$D$6:$D$1005,$A70,COMPRAS!$R$6:$R$1005,1),0))</f>
        <v/>
      </c>
      <c r="O70" s="43" t="str">
        <f aca="false">IF($A70="","",IF($N70&gt;0,$N70,$M70))</f>
        <v/>
      </c>
      <c r="P70" s="43" t="str">
        <f aca="false">IF($A70="","",IF(N($I70)&gt;0,$O70/$I70,$O70))</f>
        <v/>
      </c>
      <c r="Q70" s="34" t="str">
        <f aca="false">IF($A70="","",SUMIFS(COMPRAS!$I$6:$I$1005,COMPRAS!$D$6:$D$1005,$A70))</f>
        <v/>
      </c>
      <c r="R70" s="34" t="str">
        <f aca="false">IF($A70="","",SUMIFS(RECETAS!$L$6:$L$605,RECETAS!$C$6:$C$605,$A70))</f>
        <v/>
      </c>
      <c r="S70" s="34" t="str">
        <f aca="false">IF($A70="","",SUMIFS(MERMAS!$J$6:$J$505,MERMAS!$B$6:$B$505,$A70))</f>
        <v/>
      </c>
      <c r="T70" s="34" t="str">
        <f aca="false">IF($A70="","",N($L70)+$Q70-$R70+$S70)</f>
        <v/>
      </c>
      <c r="U70" s="35" t="str">
        <f aca="false">IF($A70="","",$T70*$O70)</f>
        <v/>
      </c>
      <c r="V70" s="42"/>
      <c r="W70" s="34" t="str">
        <f aca="false">IF(OR($A70="",$V70=""),"",$V70-$T70)</f>
        <v/>
      </c>
      <c r="X70" s="35" t="str">
        <f aca="false">IF($W70="","",$W70*$O70)</f>
        <v/>
      </c>
      <c r="Y70" s="8" t="str">
        <f aca="false">IF($A70="","",IF($T70&lt;=0,"AGOTADO",IF($T70&lt;=N($K70),"REORDENAR","OK")))</f>
        <v/>
      </c>
      <c r="Z70" s="34" t="str">
        <f aca="false">IF($A70="","",IF($T70&lt;=N($K70),ROUNDUP((2*N($K70)-$T70)/$F70,0),0))</f>
        <v/>
      </c>
      <c r="AA70" s="8" t="str">
        <f aca="false">IF(OR($Y70="REORDENAR",$Y70="AGOTADO"),ROW(),"")</f>
        <v/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39"/>
      <c r="G71" s="40"/>
      <c r="H71" s="41"/>
      <c r="I71" s="41"/>
      <c r="J71" s="6"/>
      <c r="K71" s="42"/>
      <c r="L71" s="42"/>
      <c r="M71" s="43" t="str">
        <f aca="false">IF($A71="","",IFERROR($G71/$F71,0))</f>
        <v/>
      </c>
      <c r="N71" s="43" t="str">
        <f aca="false">IF($A71="","",IFERROR(SUMIFS(COMPRAS!$N$6:$N$1005,COMPRAS!$D$6:$D$1005,$A71,COMPRAS!$R$6:$R$1005,1)/COUNTIFS(COMPRAS!$D$6:$D$1005,$A71,COMPRAS!$R$6:$R$1005,1),0))</f>
        <v/>
      </c>
      <c r="O71" s="43" t="str">
        <f aca="false">IF($A71="","",IF($N71&gt;0,$N71,$M71))</f>
        <v/>
      </c>
      <c r="P71" s="43" t="str">
        <f aca="false">IF($A71="","",IF(N($I71)&gt;0,$O71/$I71,$O71))</f>
        <v/>
      </c>
      <c r="Q71" s="34" t="str">
        <f aca="false">IF($A71="","",SUMIFS(COMPRAS!$I$6:$I$1005,COMPRAS!$D$6:$D$1005,$A71))</f>
        <v/>
      </c>
      <c r="R71" s="34" t="str">
        <f aca="false">IF($A71="","",SUMIFS(RECETAS!$L$6:$L$605,RECETAS!$C$6:$C$605,$A71))</f>
        <v/>
      </c>
      <c r="S71" s="34" t="str">
        <f aca="false">IF($A71="","",SUMIFS(MERMAS!$J$6:$J$505,MERMAS!$B$6:$B$505,$A71))</f>
        <v/>
      </c>
      <c r="T71" s="34" t="str">
        <f aca="false">IF($A71="","",N($L71)+$Q71-$R71+$S71)</f>
        <v/>
      </c>
      <c r="U71" s="35" t="str">
        <f aca="false">IF($A71="","",$T71*$O71)</f>
        <v/>
      </c>
      <c r="V71" s="42"/>
      <c r="W71" s="34" t="str">
        <f aca="false">IF(OR($A71="",$V71=""),"",$V71-$T71)</f>
        <v/>
      </c>
      <c r="X71" s="35" t="str">
        <f aca="false">IF($W71="","",$W71*$O71)</f>
        <v/>
      </c>
      <c r="Y71" s="8" t="str">
        <f aca="false">IF($A71="","",IF($T71&lt;=0,"AGOTADO",IF($T71&lt;=N($K71),"REORDENAR","OK")))</f>
        <v/>
      </c>
      <c r="Z71" s="34" t="str">
        <f aca="false">IF($A71="","",IF($T71&lt;=N($K71),ROUNDUP((2*N($K71)-$T71)/$F71,0),0))</f>
        <v/>
      </c>
      <c r="AA71" s="8" t="str">
        <f aca="false">IF(OR($Y71="REORDENAR",$Y71="AGOTADO"),ROW(),"")</f>
        <v/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39"/>
      <c r="G72" s="40"/>
      <c r="H72" s="41"/>
      <c r="I72" s="41"/>
      <c r="J72" s="6"/>
      <c r="K72" s="42"/>
      <c r="L72" s="42"/>
      <c r="M72" s="43" t="str">
        <f aca="false">IF($A72="","",IFERROR($G72/$F72,0))</f>
        <v/>
      </c>
      <c r="N72" s="43" t="str">
        <f aca="false">IF($A72="","",IFERROR(SUMIFS(COMPRAS!$N$6:$N$1005,COMPRAS!$D$6:$D$1005,$A72,COMPRAS!$R$6:$R$1005,1)/COUNTIFS(COMPRAS!$D$6:$D$1005,$A72,COMPRAS!$R$6:$R$1005,1),0))</f>
        <v/>
      </c>
      <c r="O72" s="43" t="str">
        <f aca="false">IF($A72="","",IF($N72&gt;0,$N72,$M72))</f>
        <v/>
      </c>
      <c r="P72" s="43" t="str">
        <f aca="false">IF($A72="","",IF(N($I72)&gt;0,$O72/$I72,$O72))</f>
        <v/>
      </c>
      <c r="Q72" s="34" t="str">
        <f aca="false">IF($A72="","",SUMIFS(COMPRAS!$I$6:$I$1005,COMPRAS!$D$6:$D$1005,$A72))</f>
        <v/>
      </c>
      <c r="R72" s="34" t="str">
        <f aca="false">IF($A72="","",SUMIFS(RECETAS!$L$6:$L$605,RECETAS!$C$6:$C$605,$A72))</f>
        <v/>
      </c>
      <c r="S72" s="34" t="str">
        <f aca="false">IF($A72="","",SUMIFS(MERMAS!$J$6:$J$505,MERMAS!$B$6:$B$505,$A72))</f>
        <v/>
      </c>
      <c r="T72" s="34" t="str">
        <f aca="false">IF($A72="","",N($L72)+$Q72-$R72+$S72)</f>
        <v/>
      </c>
      <c r="U72" s="35" t="str">
        <f aca="false">IF($A72="","",$T72*$O72)</f>
        <v/>
      </c>
      <c r="V72" s="42"/>
      <c r="W72" s="34" t="str">
        <f aca="false">IF(OR($A72="",$V72=""),"",$V72-$T72)</f>
        <v/>
      </c>
      <c r="X72" s="35" t="str">
        <f aca="false">IF($W72="","",$W72*$O72)</f>
        <v/>
      </c>
      <c r="Y72" s="8" t="str">
        <f aca="false">IF($A72="","",IF($T72&lt;=0,"AGOTADO",IF($T72&lt;=N($K72),"REORDENAR","OK")))</f>
        <v/>
      </c>
      <c r="Z72" s="34" t="str">
        <f aca="false">IF($A72="","",IF($T72&lt;=N($K72),ROUNDUP((2*N($K72)-$T72)/$F72,0),0))</f>
        <v/>
      </c>
      <c r="AA72" s="8" t="str">
        <f aca="false">IF(OR($Y72="REORDENAR",$Y72="AGOTADO"),ROW(),"")</f>
        <v/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39"/>
      <c r="G73" s="40"/>
      <c r="H73" s="41"/>
      <c r="I73" s="41"/>
      <c r="J73" s="6"/>
      <c r="K73" s="42"/>
      <c r="L73" s="42"/>
      <c r="M73" s="43" t="str">
        <f aca="false">IF($A73="","",IFERROR($G73/$F73,0))</f>
        <v/>
      </c>
      <c r="N73" s="43" t="str">
        <f aca="false">IF($A73="","",IFERROR(SUMIFS(COMPRAS!$N$6:$N$1005,COMPRAS!$D$6:$D$1005,$A73,COMPRAS!$R$6:$R$1005,1)/COUNTIFS(COMPRAS!$D$6:$D$1005,$A73,COMPRAS!$R$6:$R$1005,1),0))</f>
        <v/>
      </c>
      <c r="O73" s="43" t="str">
        <f aca="false">IF($A73="","",IF($N73&gt;0,$N73,$M73))</f>
        <v/>
      </c>
      <c r="P73" s="43" t="str">
        <f aca="false">IF($A73="","",IF(N($I73)&gt;0,$O73/$I73,$O73))</f>
        <v/>
      </c>
      <c r="Q73" s="34" t="str">
        <f aca="false">IF($A73="","",SUMIFS(COMPRAS!$I$6:$I$1005,COMPRAS!$D$6:$D$1005,$A73))</f>
        <v/>
      </c>
      <c r="R73" s="34" t="str">
        <f aca="false">IF($A73="","",SUMIFS(RECETAS!$L$6:$L$605,RECETAS!$C$6:$C$605,$A73))</f>
        <v/>
      </c>
      <c r="S73" s="34" t="str">
        <f aca="false">IF($A73="","",SUMIFS(MERMAS!$J$6:$J$505,MERMAS!$B$6:$B$505,$A73))</f>
        <v/>
      </c>
      <c r="T73" s="34" t="str">
        <f aca="false">IF($A73="","",N($L73)+$Q73-$R73+$S73)</f>
        <v/>
      </c>
      <c r="U73" s="35" t="str">
        <f aca="false">IF($A73="","",$T73*$O73)</f>
        <v/>
      </c>
      <c r="V73" s="42"/>
      <c r="W73" s="34" t="str">
        <f aca="false">IF(OR($A73="",$V73=""),"",$V73-$T73)</f>
        <v/>
      </c>
      <c r="X73" s="35" t="str">
        <f aca="false">IF($W73="","",$W73*$O73)</f>
        <v/>
      </c>
      <c r="Y73" s="8" t="str">
        <f aca="false">IF($A73="","",IF($T73&lt;=0,"AGOTADO",IF($T73&lt;=N($K73),"REORDENAR","OK")))</f>
        <v/>
      </c>
      <c r="Z73" s="34" t="str">
        <f aca="false">IF($A73="","",IF($T73&lt;=N($K73),ROUNDUP((2*N($K73)-$T73)/$F73,0),0))</f>
        <v/>
      </c>
      <c r="AA73" s="8" t="str">
        <f aca="false">IF(OR($Y73="REORDENAR",$Y73="AGOTADO"),ROW(),"")</f>
        <v/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39"/>
      <c r="G74" s="40"/>
      <c r="H74" s="41"/>
      <c r="I74" s="41"/>
      <c r="J74" s="6"/>
      <c r="K74" s="42"/>
      <c r="L74" s="42"/>
      <c r="M74" s="43" t="str">
        <f aca="false">IF($A74="","",IFERROR($G74/$F74,0))</f>
        <v/>
      </c>
      <c r="N74" s="43" t="str">
        <f aca="false">IF($A74="","",IFERROR(SUMIFS(COMPRAS!$N$6:$N$1005,COMPRAS!$D$6:$D$1005,$A74,COMPRAS!$R$6:$R$1005,1)/COUNTIFS(COMPRAS!$D$6:$D$1005,$A74,COMPRAS!$R$6:$R$1005,1),0))</f>
        <v/>
      </c>
      <c r="O74" s="43" t="str">
        <f aca="false">IF($A74="","",IF($N74&gt;0,$N74,$M74))</f>
        <v/>
      </c>
      <c r="P74" s="43" t="str">
        <f aca="false">IF($A74="","",IF(N($I74)&gt;0,$O74/$I74,$O74))</f>
        <v/>
      </c>
      <c r="Q74" s="34" t="str">
        <f aca="false">IF($A74="","",SUMIFS(COMPRAS!$I$6:$I$1005,COMPRAS!$D$6:$D$1005,$A74))</f>
        <v/>
      </c>
      <c r="R74" s="34" t="str">
        <f aca="false">IF($A74="","",SUMIFS(RECETAS!$L$6:$L$605,RECETAS!$C$6:$C$605,$A74))</f>
        <v/>
      </c>
      <c r="S74" s="34" t="str">
        <f aca="false">IF($A74="","",SUMIFS(MERMAS!$J$6:$J$505,MERMAS!$B$6:$B$505,$A74))</f>
        <v/>
      </c>
      <c r="T74" s="34" t="str">
        <f aca="false">IF($A74="","",N($L74)+$Q74-$R74+$S74)</f>
        <v/>
      </c>
      <c r="U74" s="35" t="str">
        <f aca="false">IF($A74="","",$T74*$O74)</f>
        <v/>
      </c>
      <c r="V74" s="42"/>
      <c r="W74" s="34" t="str">
        <f aca="false">IF(OR($A74="",$V74=""),"",$V74-$T74)</f>
        <v/>
      </c>
      <c r="X74" s="35" t="str">
        <f aca="false">IF($W74="","",$W74*$O74)</f>
        <v/>
      </c>
      <c r="Y74" s="8" t="str">
        <f aca="false">IF($A74="","",IF($T74&lt;=0,"AGOTADO",IF($T74&lt;=N($K74),"REORDENAR","OK")))</f>
        <v/>
      </c>
      <c r="Z74" s="34" t="str">
        <f aca="false">IF($A74="","",IF($T74&lt;=N($K74),ROUNDUP((2*N($K74)-$T74)/$F74,0),0))</f>
        <v/>
      </c>
      <c r="AA74" s="8" t="str">
        <f aca="false">IF(OR($Y74="REORDENAR",$Y74="AGOTADO"),ROW(),"")</f>
        <v/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39"/>
      <c r="G75" s="40"/>
      <c r="H75" s="41"/>
      <c r="I75" s="41"/>
      <c r="J75" s="6"/>
      <c r="K75" s="42"/>
      <c r="L75" s="42"/>
      <c r="M75" s="43" t="str">
        <f aca="false">IF($A75="","",IFERROR($G75/$F75,0))</f>
        <v/>
      </c>
      <c r="N75" s="43" t="str">
        <f aca="false">IF($A75="","",IFERROR(SUMIFS(COMPRAS!$N$6:$N$1005,COMPRAS!$D$6:$D$1005,$A75,COMPRAS!$R$6:$R$1005,1)/COUNTIFS(COMPRAS!$D$6:$D$1005,$A75,COMPRAS!$R$6:$R$1005,1),0))</f>
        <v/>
      </c>
      <c r="O75" s="43" t="str">
        <f aca="false">IF($A75="","",IF($N75&gt;0,$N75,$M75))</f>
        <v/>
      </c>
      <c r="P75" s="43" t="str">
        <f aca="false">IF($A75="","",IF(N($I75)&gt;0,$O75/$I75,$O75))</f>
        <v/>
      </c>
      <c r="Q75" s="34" t="str">
        <f aca="false">IF($A75="","",SUMIFS(COMPRAS!$I$6:$I$1005,COMPRAS!$D$6:$D$1005,$A75))</f>
        <v/>
      </c>
      <c r="R75" s="34" t="str">
        <f aca="false">IF($A75="","",SUMIFS(RECETAS!$L$6:$L$605,RECETAS!$C$6:$C$605,$A75))</f>
        <v/>
      </c>
      <c r="S75" s="34" t="str">
        <f aca="false">IF($A75="","",SUMIFS(MERMAS!$J$6:$J$505,MERMAS!$B$6:$B$505,$A75))</f>
        <v/>
      </c>
      <c r="T75" s="34" t="str">
        <f aca="false">IF($A75="","",N($L75)+$Q75-$R75+$S75)</f>
        <v/>
      </c>
      <c r="U75" s="35" t="str">
        <f aca="false">IF($A75="","",$T75*$O75)</f>
        <v/>
      </c>
      <c r="V75" s="42"/>
      <c r="W75" s="34" t="str">
        <f aca="false">IF(OR($A75="",$V75=""),"",$V75-$T75)</f>
        <v/>
      </c>
      <c r="X75" s="35" t="str">
        <f aca="false">IF($W75="","",$W75*$O75)</f>
        <v/>
      </c>
      <c r="Y75" s="8" t="str">
        <f aca="false">IF($A75="","",IF($T75&lt;=0,"AGOTADO",IF($T75&lt;=N($K75),"REORDENAR","OK")))</f>
        <v/>
      </c>
      <c r="Z75" s="34" t="str">
        <f aca="false">IF($A75="","",IF($T75&lt;=N($K75),ROUNDUP((2*N($K75)-$T75)/$F75,0),0))</f>
        <v/>
      </c>
      <c r="AA75" s="8" t="str">
        <f aca="false">IF(OR($Y75="REORDENAR",$Y75="AGOTADO"),ROW(),"")</f>
        <v/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39"/>
      <c r="G76" s="40"/>
      <c r="H76" s="41"/>
      <c r="I76" s="41"/>
      <c r="J76" s="6"/>
      <c r="K76" s="42"/>
      <c r="L76" s="42"/>
      <c r="M76" s="43" t="str">
        <f aca="false">IF($A76="","",IFERROR($G76/$F76,0))</f>
        <v/>
      </c>
      <c r="N76" s="43" t="str">
        <f aca="false">IF($A76="","",IFERROR(SUMIFS(COMPRAS!$N$6:$N$1005,COMPRAS!$D$6:$D$1005,$A76,COMPRAS!$R$6:$R$1005,1)/COUNTIFS(COMPRAS!$D$6:$D$1005,$A76,COMPRAS!$R$6:$R$1005,1),0))</f>
        <v/>
      </c>
      <c r="O76" s="43" t="str">
        <f aca="false">IF($A76="","",IF($N76&gt;0,$N76,$M76))</f>
        <v/>
      </c>
      <c r="P76" s="43" t="str">
        <f aca="false">IF($A76="","",IF(N($I76)&gt;0,$O76/$I76,$O76))</f>
        <v/>
      </c>
      <c r="Q76" s="34" t="str">
        <f aca="false">IF($A76="","",SUMIFS(COMPRAS!$I$6:$I$1005,COMPRAS!$D$6:$D$1005,$A76))</f>
        <v/>
      </c>
      <c r="R76" s="34" t="str">
        <f aca="false">IF($A76="","",SUMIFS(RECETAS!$L$6:$L$605,RECETAS!$C$6:$C$605,$A76))</f>
        <v/>
      </c>
      <c r="S76" s="34" t="str">
        <f aca="false">IF($A76="","",SUMIFS(MERMAS!$J$6:$J$505,MERMAS!$B$6:$B$505,$A76))</f>
        <v/>
      </c>
      <c r="T76" s="34" t="str">
        <f aca="false">IF($A76="","",N($L76)+$Q76-$R76+$S76)</f>
        <v/>
      </c>
      <c r="U76" s="35" t="str">
        <f aca="false">IF($A76="","",$T76*$O76)</f>
        <v/>
      </c>
      <c r="V76" s="42"/>
      <c r="W76" s="34" t="str">
        <f aca="false">IF(OR($A76="",$V76=""),"",$V76-$T76)</f>
        <v/>
      </c>
      <c r="X76" s="35" t="str">
        <f aca="false">IF($W76="","",$W76*$O76)</f>
        <v/>
      </c>
      <c r="Y76" s="8" t="str">
        <f aca="false">IF($A76="","",IF($T76&lt;=0,"AGOTADO",IF($T76&lt;=N($K76),"REORDENAR","OK")))</f>
        <v/>
      </c>
      <c r="Z76" s="34" t="str">
        <f aca="false">IF($A76="","",IF($T76&lt;=N($K76),ROUNDUP((2*N($K76)-$T76)/$F76,0),0))</f>
        <v/>
      </c>
      <c r="AA76" s="8" t="str">
        <f aca="false">IF(OR($Y76="REORDENAR",$Y76="AGOTADO"),ROW(),"")</f>
        <v/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39"/>
      <c r="G77" s="40"/>
      <c r="H77" s="41"/>
      <c r="I77" s="41"/>
      <c r="J77" s="6"/>
      <c r="K77" s="42"/>
      <c r="L77" s="42"/>
      <c r="M77" s="43" t="str">
        <f aca="false">IF($A77="","",IFERROR($G77/$F77,0))</f>
        <v/>
      </c>
      <c r="N77" s="43" t="str">
        <f aca="false">IF($A77="","",IFERROR(SUMIFS(COMPRAS!$N$6:$N$1005,COMPRAS!$D$6:$D$1005,$A77,COMPRAS!$R$6:$R$1005,1)/COUNTIFS(COMPRAS!$D$6:$D$1005,$A77,COMPRAS!$R$6:$R$1005,1),0))</f>
        <v/>
      </c>
      <c r="O77" s="43" t="str">
        <f aca="false">IF($A77="","",IF($N77&gt;0,$N77,$M77))</f>
        <v/>
      </c>
      <c r="P77" s="43" t="str">
        <f aca="false">IF($A77="","",IF(N($I77)&gt;0,$O77/$I77,$O77))</f>
        <v/>
      </c>
      <c r="Q77" s="34" t="str">
        <f aca="false">IF($A77="","",SUMIFS(COMPRAS!$I$6:$I$1005,COMPRAS!$D$6:$D$1005,$A77))</f>
        <v/>
      </c>
      <c r="R77" s="34" t="str">
        <f aca="false">IF($A77="","",SUMIFS(RECETAS!$L$6:$L$605,RECETAS!$C$6:$C$605,$A77))</f>
        <v/>
      </c>
      <c r="S77" s="34" t="str">
        <f aca="false">IF($A77="","",SUMIFS(MERMAS!$J$6:$J$505,MERMAS!$B$6:$B$505,$A77))</f>
        <v/>
      </c>
      <c r="T77" s="34" t="str">
        <f aca="false">IF($A77="","",N($L77)+$Q77-$R77+$S77)</f>
        <v/>
      </c>
      <c r="U77" s="35" t="str">
        <f aca="false">IF($A77="","",$T77*$O77)</f>
        <v/>
      </c>
      <c r="V77" s="42"/>
      <c r="W77" s="34" t="str">
        <f aca="false">IF(OR($A77="",$V77=""),"",$V77-$T77)</f>
        <v/>
      </c>
      <c r="X77" s="35" t="str">
        <f aca="false">IF($W77="","",$W77*$O77)</f>
        <v/>
      </c>
      <c r="Y77" s="8" t="str">
        <f aca="false">IF($A77="","",IF($T77&lt;=0,"AGOTADO",IF($T77&lt;=N($K77),"REORDENAR","OK")))</f>
        <v/>
      </c>
      <c r="Z77" s="34" t="str">
        <f aca="false">IF($A77="","",IF($T77&lt;=N($K77),ROUNDUP((2*N($K77)-$T77)/$F77,0),0))</f>
        <v/>
      </c>
      <c r="AA77" s="8" t="str">
        <f aca="false">IF(OR($Y77="REORDENAR",$Y77="AGOTADO"),ROW(),"")</f>
        <v/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39"/>
      <c r="G78" s="40"/>
      <c r="H78" s="41"/>
      <c r="I78" s="41"/>
      <c r="J78" s="6"/>
      <c r="K78" s="42"/>
      <c r="L78" s="42"/>
      <c r="M78" s="43" t="str">
        <f aca="false">IF($A78="","",IFERROR($G78/$F78,0))</f>
        <v/>
      </c>
      <c r="N78" s="43" t="str">
        <f aca="false">IF($A78="","",IFERROR(SUMIFS(COMPRAS!$N$6:$N$1005,COMPRAS!$D$6:$D$1005,$A78,COMPRAS!$R$6:$R$1005,1)/COUNTIFS(COMPRAS!$D$6:$D$1005,$A78,COMPRAS!$R$6:$R$1005,1),0))</f>
        <v/>
      </c>
      <c r="O78" s="43" t="str">
        <f aca="false">IF($A78="","",IF($N78&gt;0,$N78,$M78))</f>
        <v/>
      </c>
      <c r="P78" s="43" t="str">
        <f aca="false">IF($A78="","",IF(N($I78)&gt;0,$O78/$I78,$O78))</f>
        <v/>
      </c>
      <c r="Q78" s="34" t="str">
        <f aca="false">IF($A78="","",SUMIFS(COMPRAS!$I$6:$I$1005,COMPRAS!$D$6:$D$1005,$A78))</f>
        <v/>
      </c>
      <c r="R78" s="34" t="str">
        <f aca="false">IF($A78="","",SUMIFS(RECETAS!$L$6:$L$605,RECETAS!$C$6:$C$605,$A78))</f>
        <v/>
      </c>
      <c r="S78" s="34" t="str">
        <f aca="false">IF($A78="","",SUMIFS(MERMAS!$J$6:$J$505,MERMAS!$B$6:$B$505,$A78))</f>
        <v/>
      </c>
      <c r="T78" s="34" t="str">
        <f aca="false">IF($A78="","",N($L78)+$Q78-$R78+$S78)</f>
        <v/>
      </c>
      <c r="U78" s="35" t="str">
        <f aca="false">IF($A78="","",$T78*$O78)</f>
        <v/>
      </c>
      <c r="V78" s="42"/>
      <c r="W78" s="34" t="str">
        <f aca="false">IF(OR($A78="",$V78=""),"",$V78-$T78)</f>
        <v/>
      </c>
      <c r="X78" s="35" t="str">
        <f aca="false">IF($W78="","",$W78*$O78)</f>
        <v/>
      </c>
      <c r="Y78" s="8" t="str">
        <f aca="false">IF($A78="","",IF($T78&lt;=0,"AGOTADO",IF($T78&lt;=N($K78),"REORDENAR","OK")))</f>
        <v/>
      </c>
      <c r="Z78" s="34" t="str">
        <f aca="false">IF($A78="","",IF($T78&lt;=N($K78),ROUNDUP((2*N($K78)-$T78)/$F78,0),0))</f>
        <v/>
      </c>
      <c r="AA78" s="8" t="str">
        <f aca="false">IF(OR($Y78="REORDENAR",$Y78="AGOTADO"),ROW(),"")</f>
        <v/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39"/>
      <c r="G79" s="40"/>
      <c r="H79" s="41"/>
      <c r="I79" s="41"/>
      <c r="J79" s="6"/>
      <c r="K79" s="42"/>
      <c r="L79" s="42"/>
      <c r="M79" s="43" t="str">
        <f aca="false">IF($A79="","",IFERROR($G79/$F79,0))</f>
        <v/>
      </c>
      <c r="N79" s="43" t="str">
        <f aca="false">IF($A79="","",IFERROR(SUMIFS(COMPRAS!$N$6:$N$1005,COMPRAS!$D$6:$D$1005,$A79,COMPRAS!$R$6:$R$1005,1)/COUNTIFS(COMPRAS!$D$6:$D$1005,$A79,COMPRAS!$R$6:$R$1005,1),0))</f>
        <v/>
      </c>
      <c r="O79" s="43" t="str">
        <f aca="false">IF($A79="","",IF($N79&gt;0,$N79,$M79))</f>
        <v/>
      </c>
      <c r="P79" s="43" t="str">
        <f aca="false">IF($A79="","",IF(N($I79)&gt;0,$O79/$I79,$O79))</f>
        <v/>
      </c>
      <c r="Q79" s="34" t="str">
        <f aca="false">IF($A79="","",SUMIFS(COMPRAS!$I$6:$I$1005,COMPRAS!$D$6:$D$1005,$A79))</f>
        <v/>
      </c>
      <c r="R79" s="34" t="str">
        <f aca="false">IF($A79="","",SUMIFS(RECETAS!$L$6:$L$605,RECETAS!$C$6:$C$605,$A79))</f>
        <v/>
      </c>
      <c r="S79" s="34" t="str">
        <f aca="false">IF($A79="","",SUMIFS(MERMAS!$J$6:$J$505,MERMAS!$B$6:$B$505,$A79))</f>
        <v/>
      </c>
      <c r="T79" s="34" t="str">
        <f aca="false">IF($A79="","",N($L79)+$Q79-$R79+$S79)</f>
        <v/>
      </c>
      <c r="U79" s="35" t="str">
        <f aca="false">IF($A79="","",$T79*$O79)</f>
        <v/>
      </c>
      <c r="V79" s="42"/>
      <c r="W79" s="34" t="str">
        <f aca="false">IF(OR($A79="",$V79=""),"",$V79-$T79)</f>
        <v/>
      </c>
      <c r="X79" s="35" t="str">
        <f aca="false">IF($W79="","",$W79*$O79)</f>
        <v/>
      </c>
      <c r="Y79" s="8" t="str">
        <f aca="false">IF($A79="","",IF($T79&lt;=0,"AGOTADO",IF($T79&lt;=N($K79),"REORDENAR","OK")))</f>
        <v/>
      </c>
      <c r="Z79" s="34" t="str">
        <f aca="false">IF($A79="","",IF($T79&lt;=N($K79),ROUNDUP((2*N($K79)-$T79)/$F79,0),0))</f>
        <v/>
      </c>
      <c r="AA79" s="8" t="str">
        <f aca="false">IF(OR($Y79="REORDENAR",$Y79="AGOTADO"),ROW(),"")</f>
        <v/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39"/>
      <c r="G80" s="40"/>
      <c r="H80" s="41"/>
      <c r="I80" s="41"/>
      <c r="J80" s="6"/>
      <c r="K80" s="42"/>
      <c r="L80" s="42"/>
      <c r="M80" s="43" t="str">
        <f aca="false">IF($A80="","",IFERROR($G80/$F80,0))</f>
        <v/>
      </c>
      <c r="N80" s="43" t="str">
        <f aca="false">IF($A80="","",IFERROR(SUMIFS(COMPRAS!$N$6:$N$1005,COMPRAS!$D$6:$D$1005,$A80,COMPRAS!$R$6:$R$1005,1)/COUNTIFS(COMPRAS!$D$6:$D$1005,$A80,COMPRAS!$R$6:$R$1005,1),0))</f>
        <v/>
      </c>
      <c r="O80" s="43" t="str">
        <f aca="false">IF($A80="","",IF($N80&gt;0,$N80,$M80))</f>
        <v/>
      </c>
      <c r="P80" s="43" t="str">
        <f aca="false">IF($A80="","",IF(N($I80)&gt;0,$O80/$I80,$O80))</f>
        <v/>
      </c>
      <c r="Q80" s="34" t="str">
        <f aca="false">IF($A80="","",SUMIFS(COMPRAS!$I$6:$I$1005,COMPRAS!$D$6:$D$1005,$A80))</f>
        <v/>
      </c>
      <c r="R80" s="34" t="str">
        <f aca="false">IF($A80="","",SUMIFS(RECETAS!$L$6:$L$605,RECETAS!$C$6:$C$605,$A80))</f>
        <v/>
      </c>
      <c r="S80" s="34" t="str">
        <f aca="false">IF($A80="","",SUMIFS(MERMAS!$J$6:$J$505,MERMAS!$B$6:$B$505,$A80))</f>
        <v/>
      </c>
      <c r="T80" s="34" t="str">
        <f aca="false">IF($A80="","",N($L80)+$Q80-$R80+$S80)</f>
        <v/>
      </c>
      <c r="U80" s="35" t="str">
        <f aca="false">IF($A80="","",$T80*$O80)</f>
        <v/>
      </c>
      <c r="V80" s="42"/>
      <c r="W80" s="34" t="str">
        <f aca="false">IF(OR($A80="",$V80=""),"",$V80-$T80)</f>
        <v/>
      </c>
      <c r="X80" s="35" t="str">
        <f aca="false">IF($W80="","",$W80*$O80)</f>
        <v/>
      </c>
      <c r="Y80" s="8" t="str">
        <f aca="false">IF($A80="","",IF($T80&lt;=0,"AGOTADO",IF($T80&lt;=N($K80),"REORDENAR","OK")))</f>
        <v/>
      </c>
      <c r="Z80" s="34" t="str">
        <f aca="false">IF($A80="","",IF($T80&lt;=N($K80),ROUNDUP((2*N($K80)-$T80)/$F80,0),0))</f>
        <v/>
      </c>
      <c r="AA80" s="8" t="str">
        <f aca="false">IF(OR($Y80="REORDENAR",$Y80="AGOTADO"),ROW(),"")</f>
        <v/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39"/>
      <c r="G81" s="40"/>
      <c r="H81" s="41"/>
      <c r="I81" s="41"/>
      <c r="J81" s="6"/>
      <c r="K81" s="42"/>
      <c r="L81" s="42"/>
      <c r="M81" s="43" t="str">
        <f aca="false">IF($A81="","",IFERROR($G81/$F81,0))</f>
        <v/>
      </c>
      <c r="N81" s="43" t="str">
        <f aca="false">IF($A81="","",IFERROR(SUMIFS(COMPRAS!$N$6:$N$1005,COMPRAS!$D$6:$D$1005,$A81,COMPRAS!$R$6:$R$1005,1)/COUNTIFS(COMPRAS!$D$6:$D$1005,$A81,COMPRAS!$R$6:$R$1005,1),0))</f>
        <v/>
      </c>
      <c r="O81" s="43" t="str">
        <f aca="false">IF($A81="","",IF($N81&gt;0,$N81,$M81))</f>
        <v/>
      </c>
      <c r="P81" s="43" t="str">
        <f aca="false">IF($A81="","",IF(N($I81)&gt;0,$O81/$I81,$O81))</f>
        <v/>
      </c>
      <c r="Q81" s="34" t="str">
        <f aca="false">IF($A81="","",SUMIFS(COMPRAS!$I$6:$I$1005,COMPRAS!$D$6:$D$1005,$A81))</f>
        <v/>
      </c>
      <c r="R81" s="34" t="str">
        <f aca="false">IF($A81="","",SUMIFS(RECETAS!$L$6:$L$605,RECETAS!$C$6:$C$605,$A81))</f>
        <v/>
      </c>
      <c r="S81" s="34" t="str">
        <f aca="false">IF($A81="","",SUMIFS(MERMAS!$J$6:$J$505,MERMAS!$B$6:$B$505,$A81))</f>
        <v/>
      </c>
      <c r="T81" s="34" t="str">
        <f aca="false">IF($A81="","",N($L81)+$Q81-$R81+$S81)</f>
        <v/>
      </c>
      <c r="U81" s="35" t="str">
        <f aca="false">IF($A81="","",$T81*$O81)</f>
        <v/>
      </c>
      <c r="V81" s="42"/>
      <c r="W81" s="34" t="str">
        <f aca="false">IF(OR($A81="",$V81=""),"",$V81-$T81)</f>
        <v/>
      </c>
      <c r="X81" s="35" t="str">
        <f aca="false">IF($W81="","",$W81*$O81)</f>
        <v/>
      </c>
      <c r="Y81" s="8" t="str">
        <f aca="false">IF($A81="","",IF($T81&lt;=0,"AGOTADO",IF($T81&lt;=N($K81),"REORDENAR","OK")))</f>
        <v/>
      </c>
      <c r="Z81" s="34" t="str">
        <f aca="false">IF($A81="","",IF($T81&lt;=N($K81),ROUNDUP((2*N($K81)-$T81)/$F81,0),0))</f>
        <v/>
      </c>
      <c r="AA81" s="8" t="str">
        <f aca="false">IF(OR($Y81="REORDENAR",$Y81="AGOTADO"),ROW(),"")</f>
        <v/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39"/>
      <c r="G82" s="40"/>
      <c r="H82" s="41"/>
      <c r="I82" s="41"/>
      <c r="J82" s="6"/>
      <c r="K82" s="42"/>
      <c r="L82" s="42"/>
      <c r="M82" s="43" t="str">
        <f aca="false">IF($A82="","",IFERROR($G82/$F82,0))</f>
        <v/>
      </c>
      <c r="N82" s="43" t="str">
        <f aca="false">IF($A82="","",IFERROR(SUMIFS(COMPRAS!$N$6:$N$1005,COMPRAS!$D$6:$D$1005,$A82,COMPRAS!$R$6:$R$1005,1)/COUNTIFS(COMPRAS!$D$6:$D$1005,$A82,COMPRAS!$R$6:$R$1005,1),0))</f>
        <v/>
      </c>
      <c r="O82" s="43" t="str">
        <f aca="false">IF($A82="","",IF($N82&gt;0,$N82,$M82))</f>
        <v/>
      </c>
      <c r="P82" s="43" t="str">
        <f aca="false">IF($A82="","",IF(N($I82)&gt;0,$O82/$I82,$O82))</f>
        <v/>
      </c>
      <c r="Q82" s="34" t="str">
        <f aca="false">IF($A82="","",SUMIFS(COMPRAS!$I$6:$I$1005,COMPRAS!$D$6:$D$1005,$A82))</f>
        <v/>
      </c>
      <c r="R82" s="34" t="str">
        <f aca="false">IF($A82="","",SUMIFS(RECETAS!$L$6:$L$605,RECETAS!$C$6:$C$605,$A82))</f>
        <v/>
      </c>
      <c r="S82" s="34" t="str">
        <f aca="false">IF($A82="","",SUMIFS(MERMAS!$J$6:$J$505,MERMAS!$B$6:$B$505,$A82))</f>
        <v/>
      </c>
      <c r="T82" s="34" t="str">
        <f aca="false">IF($A82="","",N($L82)+$Q82-$R82+$S82)</f>
        <v/>
      </c>
      <c r="U82" s="35" t="str">
        <f aca="false">IF($A82="","",$T82*$O82)</f>
        <v/>
      </c>
      <c r="V82" s="42"/>
      <c r="W82" s="34" t="str">
        <f aca="false">IF(OR($A82="",$V82=""),"",$V82-$T82)</f>
        <v/>
      </c>
      <c r="X82" s="35" t="str">
        <f aca="false">IF($W82="","",$W82*$O82)</f>
        <v/>
      </c>
      <c r="Y82" s="8" t="str">
        <f aca="false">IF($A82="","",IF($T82&lt;=0,"AGOTADO",IF($T82&lt;=N($K82),"REORDENAR","OK")))</f>
        <v/>
      </c>
      <c r="Z82" s="34" t="str">
        <f aca="false">IF($A82="","",IF($T82&lt;=N($K82),ROUNDUP((2*N($K82)-$T82)/$F82,0),0))</f>
        <v/>
      </c>
      <c r="AA82" s="8" t="str">
        <f aca="false">IF(OR($Y82="REORDENAR",$Y82="AGOTADO"),ROW(),"")</f>
        <v/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39"/>
      <c r="G83" s="40"/>
      <c r="H83" s="41"/>
      <c r="I83" s="41"/>
      <c r="J83" s="6"/>
      <c r="K83" s="42"/>
      <c r="L83" s="42"/>
      <c r="M83" s="43" t="str">
        <f aca="false">IF($A83="","",IFERROR($G83/$F83,0))</f>
        <v/>
      </c>
      <c r="N83" s="43" t="str">
        <f aca="false">IF($A83="","",IFERROR(SUMIFS(COMPRAS!$N$6:$N$1005,COMPRAS!$D$6:$D$1005,$A83,COMPRAS!$R$6:$R$1005,1)/COUNTIFS(COMPRAS!$D$6:$D$1005,$A83,COMPRAS!$R$6:$R$1005,1),0))</f>
        <v/>
      </c>
      <c r="O83" s="43" t="str">
        <f aca="false">IF($A83="","",IF($N83&gt;0,$N83,$M83))</f>
        <v/>
      </c>
      <c r="P83" s="43" t="str">
        <f aca="false">IF($A83="","",IF(N($I83)&gt;0,$O83/$I83,$O83))</f>
        <v/>
      </c>
      <c r="Q83" s="34" t="str">
        <f aca="false">IF($A83="","",SUMIFS(COMPRAS!$I$6:$I$1005,COMPRAS!$D$6:$D$1005,$A83))</f>
        <v/>
      </c>
      <c r="R83" s="34" t="str">
        <f aca="false">IF($A83="","",SUMIFS(RECETAS!$L$6:$L$605,RECETAS!$C$6:$C$605,$A83))</f>
        <v/>
      </c>
      <c r="S83" s="34" t="str">
        <f aca="false">IF($A83="","",SUMIFS(MERMAS!$J$6:$J$505,MERMAS!$B$6:$B$505,$A83))</f>
        <v/>
      </c>
      <c r="T83" s="34" t="str">
        <f aca="false">IF($A83="","",N($L83)+$Q83-$R83+$S83)</f>
        <v/>
      </c>
      <c r="U83" s="35" t="str">
        <f aca="false">IF($A83="","",$T83*$O83)</f>
        <v/>
      </c>
      <c r="V83" s="42"/>
      <c r="W83" s="34" t="str">
        <f aca="false">IF(OR($A83="",$V83=""),"",$V83-$T83)</f>
        <v/>
      </c>
      <c r="X83" s="35" t="str">
        <f aca="false">IF($W83="","",$W83*$O83)</f>
        <v/>
      </c>
      <c r="Y83" s="8" t="str">
        <f aca="false">IF($A83="","",IF($T83&lt;=0,"AGOTADO",IF($T83&lt;=N($K83),"REORDENAR","OK")))</f>
        <v/>
      </c>
      <c r="Z83" s="34" t="str">
        <f aca="false">IF($A83="","",IF($T83&lt;=N($K83),ROUNDUP((2*N($K83)-$T83)/$F83,0),0))</f>
        <v/>
      </c>
      <c r="AA83" s="8" t="str">
        <f aca="false">IF(OR($Y83="REORDENAR",$Y83="AGOTADO"),ROW(),"")</f>
        <v/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39"/>
      <c r="G84" s="40"/>
      <c r="H84" s="41"/>
      <c r="I84" s="41"/>
      <c r="J84" s="6"/>
      <c r="K84" s="42"/>
      <c r="L84" s="42"/>
      <c r="M84" s="43" t="str">
        <f aca="false">IF($A84="","",IFERROR($G84/$F84,0))</f>
        <v/>
      </c>
      <c r="N84" s="43" t="str">
        <f aca="false">IF($A84="","",IFERROR(SUMIFS(COMPRAS!$N$6:$N$1005,COMPRAS!$D$6:$D$1005,$A84,COMPRAS!$R$6:$R$1005,1)/COUNTIFS(COMPRAS!$D$6:$D$1005,$A84,COMPRAS!$R$6:$R$1005,1),0))</f>
        <v/>
      </c>
      <c r="O84" s="43" t="str">
        <f aca="false">IF($A84="","",IF($N84&gt;0,$N84,$M84))</f>
        <v/>
      </c>
      <c r="P84" s="43" t="str">
        <f aca="false">IF($A84="","",IF(N($I84)&gt;0,$O84/$I84,$O84))</f>
        <v/>
      </c>
      <c r="Q84" s="34" t="str">
        <f aca="false">IF($A84="","",SUMIFS(COMPRAS!$I$6:$I$1005,COMPRAS!$D$6:$D$1005,$A84))</f>
        <v/>
      </c>
      <c r="R84" s="34" t="str">
        <f aca="false">IF($A84="","",SUMIFS(RECETAS!$L$6:$L$605,RECETAS!$C$6:$C$605,$A84))</f>
        <v/>
      </c>
      <c r="S84" s="34" t="str">
        <f aca="false">IF($A84="","",SUMIFS(MERMAS!$J$6:$J$505,MERMAS!$B$6:$B$505,$A84))</f>
        <v/>
      </c>
      <c r="T84" s="34" t="str">
        <f aca="false">IF($A84="","",N($L84)+$Q84-$R84+$S84)</f>
        <v/>
      </c>
      <c r="U84" s="35" t="str">
        <f aca="false">IF($A84="","",$T84*$O84)</f>
        <v/>
      </c>
      <c r="V84" s="42"/>
      <c r="W84" s="34" t="str">
        <f aca="false">IF(OR($A84="",$V84=""),"",$V84-$T84)</f>
        <v/>
      </c>
      <c r="X84" s="35" t="str">
        <f aca="false">IF($W84="","",$W84*$O84)</f>
        <v/>
      </c>
      <c r="Y84" s="8" t="str">
        <f aca="false">IF($A84="","",IF($T84&lt;=0,"AGOTADO",IF($T84&lt;=N($K84),"REORDENAR","OK")))</f>
        <v/>
      </c>
      <c r="Z84" s="34" t="str">
        <f aca="false">IF($A84="","",IF($T84&lt;=N($K84),ROUNDUP((2*N($K84)-$T84)/$F84,0),0))</f>
        <v/>
      </c>
      <c r="AA84" s="8" t="str">
        <f aca="false">IF(OR($Y84="REORDENAR",$Y84="AGOTADO"),ROW(),"")</f>
        <v/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39"/>
      <c r="G85" s="40"/>
      <c r="H85" s="41"/>
      <c r="I85" s="41"/>
      <c r="J85" s="6"/>
      <c r="K85" s="42"/>
      <c r="L85" s="42"/>
      <c r="M85" s="43" t="str">
        <f aca="false">IF($A85="","",IFERROR($G85/$F85,0))</f>
        <v/>
      </c>
      <c r="N85" s="43" t="str">
        <f aca="false">IF($A85="","",IFERROR(SUMIFS(COMPRAS!$N$6:$N$1005,COMPRAS!$D$6:$D$1005,$A85,COMPRAS!$R$6:$R$1005,1)/COUNTIFS(COMPRAS!$D$6:$D$1005,$A85,COMPRAS!$R$6:$R$1005,1),0))</f>
        <v/>
      </c>
      <c r="O85" s="43" t="str">
        <f aca="false">IF($A85="","",IF($N85&gt;0,$N85,$M85))</f>
        <v/>
      </c>
      <c r="P85" s="43" t="str">
        <f aca="false">IF($A85="","",IF(N($I85)&gt;0,$O85/$I85,$O85))</f>
        <v/>
      </c>
      <c r="Q85" s="34" t="str">
        <f aca="false">IF($A85="","",SUMIFS(COMPRAS!$I$6:$I$1005,COMPRAS!$D$6:$D$1005,$A85))</f>
        <v/>
      </c>
      <c r="R85" s="34" t="str">
        <f aca="false">IF($A85="","",SUMIFS(RECETAS!$L$6:$L$605,RECETAS!$C$6:$C$605,$A85))</f>
        <v/>
      </c>
      <c r="S85" s="34" t="str">
        <f aca="false">IF($A85="","",SUMIFS(MERMAS!$J$6:$J$505,MERMAS!$B$6:$B$505,$A85))</f>
        <v/>
      </c>
      <c r="T85" s="34" t="str">
        <f aca="false">IF($A85="","",N($L85)+$Q85-$R85+$S85)</f>
        <v/>
      </c>
      <c r="U85" s="35" t="str">
        <f aca="false">IF($A85="","",$T85*$O85)</f>
        <v/>
      </c>
      <c r="V85" s="42"/>
      <c r="W85" s="34" t="str">
        <f aca="false">IF(OR($A85="",$V85=""),"",$V85-$T85)</f>
        <v/>
      </c>
      <c r="X85" s="35" t="str">
        <f aca="false">IF($W85="","",$W85*$O85)</f>
        <v/>
      </c>
      <c r="Y85" s="8" t="str">
        <f aca="false">IF($A85="","",IF($T85&lt;=0,"AGOTADO",IF($T85&lt;=N($K85),"REORDENAR","OK")))</f>
        <v/>
      </c>
      <c r="Z85" s="34" t="str">
        <f aca="false">IF($A85="","",IF($T85&lt;=N($K85),ROUNDUP((2*N($K85)-$T85)/$F85,0),0))</f>
        <v/>
      </c>
      <c r="AA85" s="8" t="str">
        <f aca="false">IF(OR($Y85="REORDENAR",$Y85="AGOTADO"),ROW(),"")</f>
        <v/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39"/>
      <c r="G86" s="40"/>
      <c r="H86" s="41"/>
      <c r="I86" s="41"/>
      <c r="J86" s="6"/>
      <c r="K86" s="42"/>
      <c r="L86" s="42"/>
      <c r="M86" s="43" t="str">
        <f aca="false">IF($A86="","",IFERROR($G86/$F86,0))</f>
        <v/>
      </c>
      <c r="N86" s="43" t="str">
        <f aca="false">IF($A86="","",IFERROR(SUMIFS(COMPRAS!$N$6:$N$1005,COMPRAS!$D$6:$D$1005,$A86,COMPRAS!$R$6:$R$1005,1)/COUNTIFS(COMPRAS!$D$6:$D$1005,$A86,COMPRAS!$R$6:$R$1005,1),0))</f>
        <v/>
      </c>
      <c r="O86" s="43" t="str">
        <f aca="false">IF($A86="","",IF($N86&gt;0,$N86,$M86))</f>
        <v/>
      </c>
      <c r="P86" s="43" t="str">
        <f aca="false">IF($A86="","",IF(N($I86)&gt;0,$O86/$I86,$O86))</f>
        <v/>
      </c>
      <c r="Q86" s="34" t="str">
        <f aca="false">IF($A86="","",SUMIFS(COMPRAS!$I$6:$I$1005,COMPRAS!$D$6:$D$1005,$A86))</f>
        <v/>
      </c>
      <c r="R86" s="34" t="str">
        <f aca="false">IF($A86="","",SUMIFS(RECETAS!$L$6:$L$605,RECETAS!$C$6:$C$605,$A86))</f>
        <v/>
      </c>
      <c r="S86" s="34" t="str">
        <f aca="false">IF($A86="","",SUMIFS(MERMAS!$J$6:$J$505,MERMAS!$B$6:$B$505,$A86))</f>
        <v/>
      </c>
      <c r="T86" s="34" t="str">
        <f aca="false">IF($A86="","",N($L86)+$Q86-$R86+$S86)</f>
        <v/>
      </c>
      <c r="U86" s="35" t="str">
        <f aca="false">IF($A86="","",$T86*$O86)</f>
        <v/>
      </c>
      <c r="V86" s="42"/>
      <c r="W86" s="34" t="str">
        <f aca="false">IF(OR($A86="",$V86=""),"",$V86-$T86)</f>
        <v/>
      </c>
      <c r="X86" s="35" t="str">
        <f aca="false">IF($W86="","",$W86*$O86)</f>
        <v/>
      </c>
      <c r="Y86" s="8" t="str">
        <f aca="false">IF($A86="","",IF($T86&lt;=0,"AGOTADO",IF($T86&lt;=N($K86),"REORDENAR","OK")))</f>
        <v/>
      </c>
      <c r="Z86" s="34" t="str">
        <f aca="false">IF($A86="","",IF($T86&lt;=N($K86),ROUNDUP((2*N($K86)-$T86)/$F86,0),0))</f>
        <v/>
      </c>
      <c r="AA86" s="8" t="str">
        <f aca="false">IF(OR($Y86="REORDENAR",$Y86="AGOTADO"),ROW(),"")</f>
        <v/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39"/>
      <c r="G87" s="40"/>
      <c r="H87" s="41"/>
      <c r="I87" s="41"/>
      <c r="J87" s="6"/>
      <c r="K87" s="42"/>
      <c r="L87" s="42"/>
      <c r="M87" s="43" t="str">
        <f aca="false">IF($A87="","",IFERROR($G87/$F87,0))</f>
        <v/>
      </c>
      <c r="N87" s="43" t="str">
        <f aca="false">IF($A87="","",IFERROR(SUMIFS(COMPRAS!$N$6:$N$1005,COMPRAS!$D$6:$D$1005,$A87,COMPRAS!$R$6:$R$1005,1)/COUNTIFS(COMPRAS!$D$6:$D$1005,$A87,COMPRAS!$R$6:$R$1005,1),0))</f>
        <v/>
      </c>
      <c r="O87" s="43" t="str">
        <f aca="false">IF($A87="","",IF($N87&gt;0,$N87,$M87))</f>
        <v/>
      </c>
      <c r="P87" s="43" t="str">
        <f aca="false">IF($A87="","",IF(N($I87)&gt;0,$O87/$I87,$O87))</f>
        <v/>
      </c>
      <c r="Q87" s="34" t="str">
        <f aca="false">IF($A87="","",SUMIFS(COMPRAS!$I$6:$I$1005,COMPRAS!$D$6:$D$1005,$A87))</f>
        <v/>
      </c>
      <c r="R87" s="34" t="str">
        <f aca="false">IF($A87="","",SUMIFS(RECETAS!$L$6:$L$605,RECETAS!$C$6:$C$605,$A87))</f>
        <v/>
      </c>
      <c r="S87" s="34" t="str">
        <f aca="false">IF($A87="","",SUMIFS(MERMAS!$J$6:$J$505,MERMAS!$B$6:$B$505,$A87))</f>
        <v/>
      </c>
      <c r="T87" s="34" t="str">
        <f aca="false">IF($A87="","",N($L87)+$Q87-$R87+$S87)</f>
        <v/>
      </c>
      <c r="U87" s="35" t="str">
        <f aca="false">IF($A87="","",$T87*$O87)</f>
        <v/>
      </c>
      <c r="V87" s="42"/>
      <c r="W87" s="34" t="str">
        <f aca="false">IF(OR($A87="",$V87=""),"",$V87-$T87)</f>
        <v/>
      </c>
      <c r="X87" s="35" t="str">
        <f aca="false">IF($W87="","",$W87*$O87)</f>
        <v/>
      </c>
      <c r="Y87" s="8" t="str">
        <f aca="false">IF($A87="","",IF($T87&lt;=0,"AGOTADO",IF($T87&lt;=N($K87),"REORDENAR","OK")))</f>
        <v/>
      </c>
      <c r="Z87" s="34" t="str">
        <f aca="false">IF($A87="","",IF($T87&lt;=N($K87),ROUNDUP((2*N($K87)-$T87)/$F87,0),0))</f>
        <v/>
      </c>
      <c r="AA87" s="8" t="str">
        <f aca="false">IF(OR($Y87="REORDENAR",$Y87="AGOTADO"),ROW(),"")</f>
        <v/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39"/>
      <c r="G88" s="40"/>
      <c r="H88" s="41"/>
      <c r="I88" s="41"/>
      <c r="J88" s="6"/>
      <c r="K88" s="42"/>
      <c r="L88" s="42"/>
      <c r="M88" s="43" t="str">
        <f aca="false">IF($A88="","",IFERROR($G88/$F88,0))</f>
        <v/>
      </c>
      <c r="N88" s="43" t="str">
        <f aca="false">IF($A88="","",IFERROR(SUMIFS(COMPRAS!$N$6:$N$1005,COMPRAS!$D$6:$D$1005,$A88,COMPRAS!$R$6:$R$1005,1)/COUNTIFS(COMPRAS!$D$6:$D$1005,$A88,COMPRAS!$R$6:$R$1005,1),0))</f>
        <v/>
      </c>
      <c r="O88" s="43" t="str">
        <f aca="false">IF($A88="","",IF($N88&gt;0,$N88,$M88))</f>
        <v/>
      </c>
      <c r="P88" s="43" t="str">
        <f aca="false">IF($A88="","",IF(N($I88)&gt;0,$O88/$I88,$O88))</f>
        <v/>
      </c>
      <c r="Q88" s="34" t="str">
        <f aca="false">IF($A88="","",SUMIFS(COMPRAS!$I$6:$I$1005,COMPRAS!$D$6:$D$1005,$A88))</f>
        <v/>
      </c>
      <c r="R88" s="34" t="str">
        <f aca="false">IF($A88="","",SUMIFS(RECETAS!$L$6:$L$605,RECETAS!$C$6:$C$605,$A88))</f>
        <v/>
      </c>
      <c r="S88" s="34" t="str">
        <f aca="false">IF($A88="","",SUMIFS(MERMAS!$J$6:$J$505,MERMAS!$B$6:$B$505,$A88))</f>
        <v/>
      </c>
      <c r="T88" s="34" t="str">
        <f aca="false">IF($A88="","",N($L88)+$Q88-$R88+$S88)</f>
        <v/>
      </c>
      <c r="U88" s="35" t="str">
        <f aca="false">IF($A88="","",$T88*$O88)</f>
        <v/>
      </c>
      <c r="V88" s="42"/>
      <c r="W88" s="34" t="str">
        <f aca="false">IF(OR($A88="",$V88=""),"",$V88-$T88)</f>
        <v/>
      </c>
      <c r="X88" s="35" t="str">
        <f aca="false">IF($W88="","",$W88*$O88)</f>
        <v/>
      </c>
      <c r="Y88" s="8" t="str">
        <f aca="false">IF($A88="","",IF($T88&lt;=0,"AGOTADO",IF($T88&lt;=N($K88),"REORDENAR","OK")))</f>
        <v/>
      </c>
      <c r="Z88" s="34" t="str">
        <f aca="false">IF($A88="","",IF($T88&lt;=N($K88),ROUNDUP((2*N($K88)-$T88)/$F88,0),0))</f>
        <v/>
      </c>
      <c r="AA88" s="8" t="str">
        <f aca="false">IF(OR($Y88="REORDENAR",$Y88="AGOTADO"),ROW(),"")</f>
        <v/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39"/>
      <c r="G89" s="40"/>
      <c r="H89" s="41"/>
      <c r="I89" s="41"/>
      <c r="J89" s="6"/>
      <c r="K89" s="42"/>
      <c r="L89" s="42"/>
      <c r="M89" s="43" t="str">
        <f aca="false">IF($A89="","",IFERROR($G89/$F89,0))</f>
        <v/>
      </c>
      <c r="N89" s="43" t="str">
        <f aca="false">IF($A89="","",IFERROR(SUMIFS(COMPRAS!$N$6:$N$1005,COMPRAS!$D$6:$D$1005,$A89,COMPRAS!$R$6:$R$1005,1)/COUNTIFS(COMPRAS!$D$6:$D$1005,$A89,COMPRAS!$R$6:$R$1005,1),0))</f>
        <v/>
      </c>
      <c r="O89" s="43" t="str">
        <f aca="false">IF($A89="","",IF($N89&gt;0,$N89,$M89))</f>
        <v/>
      </c>
      <c r="P89" s="43" t="str">
        <f aca="false">IF($A89="","",IF(N($I89)&gt;0,$O89/$I89,$O89))</f>
        <v/>
      </c>
      <c r="Q89" s="34" t="str">
        <f aca="false">IF($A89="","",SUMIFS(COMPRAS!$I$6:$I$1005,COMPRAS!$D$6:$D$1005,$A89))</f>
        <v/>
      </c>
      <c r="R89" s="34" t="str">
        <f aca="false">IF($A89="","",SUMIFS(RECETAS!$L$6:$L$605,RECETAS!$C$6:$C$605,$A89))</f>
        <v/>
      </c>
      <c r="S89" s="34" t="str">
        <f aca="false">IF($A89="","",SUMIFS(MERMAS!$J$6:$J$505,MERMAS!$B$6:$B$505,$A89))</f>
        <v/>
      </c>
      <c r="T89" s="34" t="str">
        <f aca="false">IF($A89="","",N($L89)+$Q89-$R89+$S89)</f>
        <v/>
      </c>
      <c r="U89" s="35" t="str">
        <f aca="false">IF($A89="","",$T89*$O89)</f>
        <v/>
      </c>
      <c r="V89" s="42"/>
      <c r="W89" s="34" t="str">
        <f aca="false">IF(OR($A89="",$V89=""),"",$V89-$T89)</f>
        <v/>
      </c>
      <c r="X89" s="35" t="str">
        <f aca="false">IF($W89="","",$W89*$O89)</f>
        <v/>
      </c>
      <c r="Y89" s="8" t="str">
        <f aca="false">IF($A89="","",IF($T89&lt;=0,"AGOTADO",IF($T89&lt;=N($K89),"REORDENAR","OK")))</f>
        <v/>
      </c>
      <c r="Z89" s="34" t="str">
        <f aca="false">IF($A89="","",IF($T89&lt;=N($K89),ROUNDUP((2*N($K89)-$T89)/$F89,0),0))</f>
        <v/>
      </c>
      <c r="AA89" s="8" t="str">
        <f aca="false">IF(OR($Y89="REORDENAR",$Y89="AGOTADO"),ROW(),"")</f>
        <v/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39"/>
      <c r="G90" s="40"/>
      <c r="H90" s="41"/>
      <c r="I90" s="41"/>
      <c r="J90" s="6"/>
      <c r="K90" s="42"/>
      <c r="L90" s="42"/>
      <c r="M90" s="43" t="str">
        <f aca="false">IF($A90="","",IFERROR($G90/$F90,0))</f>
        <v/>
      </c>
      <c r="N90" s="43" t="str">
        <f aca="false">IF($A90="","",IFERROR(SUMIFS(COMPRAS!$N$6:$N$1005,COMPRAS!$D$6:$D$1005,$A90,COMPRAS!$R$6:$R$1005,1)/COUNTIFS(COMPRAS!$D$6:$D$1005,$A90,COMPRAS!$R$6:$R$1005,1),0))</f>
        <v/>
      </c>
      <c r="O90" s="43" t="str">
        <f aca="false">IF($A90="","",IF($N90&gt;0,$N90,$M90))</f>
        <v/>
      </c>
      <c r="P90" s="43" t="str">
        <f aca="false">IF($A90="","",IF(N($I90)&gt;0,$O90/$I90,$O90))</f>
        <v/>
      </c>
      <c r="Q90" s="34" t="str">
        <f aca="false">IF($A90="","",SUMIFS(COMPRAS!$I$6:$I$1005,COMPRAS!$D$6:$D$1005,$A90))</f>
        <v/>
      </c>
      <c r="R90" s="34" t="str">
        <f aca="false">IF($A90="","",SUMIFS(RECETAS!$L$6:$L$605,RECETAS!$C$6:$C$605,$A90))</f>
        <v/>
      </c>
      <c r="S90" s="34" t="str">
        <f aca="false">IF($A90="","",SUMIFS(MERMAS!$J$6:$J$505,MERMAS!$B$6:$B$505,$A90))</f>
        <v/>
      </c>
      <c r="T90" s="34" t="str">
        <f aca="false">IF($A90="","",N($L90)+$Q90-$R90+$S90)</f>
        <v/>
      </c>
      <c r="U90" s="35" t="str">
        <f aca="false">IF($A90="","",$T90*$O90)</f>
        <v/>
      </c>
      <c r="V90" s="42"/>
      <c r="W90" s="34" t="str">
        <f aca="false">IF(OR($A90="",$V90=""),"",$V90-$T90)</f>
        <v/>
      </c>
      <c r="X90" s="35" t="str">
        <f aca="false">IF($W90="","",$W90*$O90)</f>
        <v/>
      </c>
      <c r="Y90" s="8" t="str">
        <f aca="false">IF($A90="","",IF($T90&lt;=0,"AGOTADO",IF($T90&lt;=N($K90),"REORDENAR","OK")))</f>
        <v/>
      </c>
      <c r="Z90" s="34" t="str">
        <f aca="false">IF($A90="","",IF($T90&lt;=N($K90),ROUNDUP((2*N($K90)-$T90)/$F90,0),0))</f>
        <v/>
      </c>
      <c r="AA90" s="8" t="str">
        <f aca="false">IF(OR($Y90="REORDENAR",$Y90="AGOTADO"),ROW(),"")</f>
        <v/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39"/>
      <c r="G91" s="40"/>
      <c r="H91" s="41"/>
      <c r="I91" s="41"/>
      <c r="J91" s="6"/>
      <c r="K91" s="42"/>
      <c r="L91" s="42"/>
      <c r="M91" s="43" t="str">
        <f aca="false">IF($A91="","",IFERROR($G91/$F91,0))</f>
        <v/>
      </c>
      <c r="N91" s="43" t="str">
        <f aca="false">IF($A91="","",IFERROR(SUMIFS(COMPRAS!$N$6:$N$1005,COMPRAS!$D$6:$D$1005,$A91,COMPRAS!$R$6:$R$1005,1)/COUNTIFS(COMPRAS!$D$6:$D$1005,$A91,COMPRAS!$R$6:$R$1005,1),0))</f>
        <v/>
      </c>
      <c r="O91" s="43" t="str">
        <f aca="false">IF($A91="","",IF($N91&gt;0,$N91,$M91))</f>
        <v/>
      </c>
      <c r="P91" s="43" t="str">
        <f aca="false">IF($A91="","",IF(N($I91)&gt;0,$O91/$I91,$O91))</f>
        <v/>
      </c>
      <c r="Q91" s="34" t="str">
        <f aca="false">IF($A91="","",SUMIFS(COMPRAS!$I$6:$I$1005,COMPRAS!$D$6:$D$1005,$A91))</f>
        <v/>
      </c>
      <c r="R91" s="34" t="str">
        <f aca="false">IF($A91="","",SUMIFS(RECETAS!$L$6:$L$605,RECETAS!$C$6:$C$605,$A91))</f>
        <v/>
      </c>
      <c r="S91" s="34" t="str">
        <f aca="false">IF($A91="","",SUMIFS(MERMAS!$J$6:$J$505,MERMAS!$B$6:$B$505,$A91))</f>
        <v/>
      </c>
      <c r="T91" s="34" t="str">
        <f aca="false">IF($A91="","",N($L91)+$Q91-$R91+$S91)</f>
        <v/>
      </c>
      <c r="U91" s="35" t="str">
        <f aca="false">IF($A91="","",$T91*$O91)</f>
        <v/>
      </c>
      <c r="V91" s="42"/>
      <c r="W91" s="34" t="str">
        <f aca="false">IF(OR($A91="",$V91=""),"",$V91-$T91)</f>
        <v/>
      </c>
      <c r="X91" s="35" t="str">
        <f aca="false">IF($W91="","",$W91*$O91)</f>
        <v/>
      </c>
      <c r="Y91" s="8" t="str">
        <f aca="false">IF($A91="","",IF($T91&lt;=0,"AGOTADO",IF($T91&lt;=N($K91),"REORDENAR","OK")))</f>
        <v/>
      </c>
      <c r="Z91" s="34" t="str">
        <f aca="false">IF($A91="","",IF($T91&lt;=N($K91),ROUNDUP((2*N($K91)-$T91)/$F91,0),0))</f>
        <v/>
      </c>
      <c r="AA91" s="8" t="str">
        <f aca="false">IF(OR($Y91="REORDENAR",$Y91="AGOTADO"),ROW(),"")</f>
        <v/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39"/>
      <c r="G92" s="40"/>
      <c r="H92" s="41"/>
      <c r="I92" s="41"/>
      <c r="J92" s="6"/>
      <c r="K92" s="42"/>
      <c r="L92" s="42"/>
      <c r="M92" s="43" t="str">
        <f aca="false">IF($A92="","",IFERROR($G92/$F92,0))</f>
        <v/>
      </c>
      <c r="N92" s="43" t="str">
        <f aca="false">IF($A92="","",IFERROR(SUMIFS(COMPRAS!$N$6:$N$1005,COMPRAS!$D$6:$D$1005,$A92,COMPRAS!$R$6:$R$1005,1)/COUNTIFS(COMPRAS!$D$6:$D$1005,$A92,COMPRAS!$R$6:$R$1005,1),0))</f>
        <v/>
      </c>
      <c r="O92" s="43" t="str">
        <f aca="false">IF($A92="","",IF($N92&gt;0,$N92,$M92))</f>
        <v/>
      </c>
      <c r="P92" s="43" t="str">
        <f aca="false">IF($A92="","",IF(N($I92)&gt;0,$O92/$I92,$O92))</f>
        <v/>
      </c>
      <c r="Q92" s="34" t="str">
        <f aca="false">IF($A92="","",SUMIFS(COMPRAS!$I$6:$I$1005,COMPRAS!$D$6:$D$1005,$A92))</f>
        <v/>
      </c>
      <c r="R92" s="34" t="str">
        <f aca="false">IF($A92="","",SUMIFS(RECETAS!$L$6:$L$605,RECETAS!$C$6:$C$605,$A92))</f>
        <v/>
      </c>
      <c r="S92" s="34" t="str">
        <f aca="false">IF($A92="","",SUMIFS(MERMAS!$J$6:$J$505,MERMAS!$B$6:$B$505,$A92))</f>
        <v/>
      </c>
      <c r="T92" s="34" t="str">
        <f aca="false">IF($A92="","",N($L92)+$Q92-$R92+$S92)</f>
        <v/>
      </c>
      <c r="U92" s="35" t="str">
        <f aca="false">IF($A92="","",$T92*$O92)</f>
        <v/>
      </c>
      <c r="V92" s="42"/>
      <c r="W92" s="34" t="str">
        <f aca="false">IF(OR($A92="",$V92=""),"",$V92-$T92)</f>
        <v/>
      </c>
      <c r="X92" s="35" t="str">
        <f aca="false">IF($W92="","",$W92*$O92)</f>
        <v/>
      </c>
      <c r="Y92" s="8" t="str">
        <f aca="false">IF($A92="","",IF($T92&lt;=0,"AGOTADO",IF($T92&lt;=N($K92),"REORDENAR","OK")))</f>
        <v/>
      </c>
      <c r="Z92" s="34" t="str">
        <f aca="false">IF($A92="","",IF($T92&lt;=N($K92),ROUNDUP((2*N($K92)-$T92)/$F92,0),0))</f>
        <v/>
      </c>
      <c r="AA92" s="8" t="str">
        <f aca="false">IF(OR($Y92="REORDENAR",$Y92="AGOTADO"),ROW(),"")</f>
        <v/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39"/>
      <c r="G93" s="40"/>
      <c r="H93" s="41"/>
      <c r="I93" s="41"/>
      <c r="J93" s="6"/>
      <c r="K93" s="42"/>
      <c r="L93" s="42"/>
      <c r="M93" s="43" t="str">
        <f aca="false">IF($A93="","",IFERROR($G93/$F93,0))</f>
        <v/>
      </c>
      <c r="N93" s="43" t="str">
        <f aca="false">IF($A93="","",IFERROR(SUMIFS(COMPRAS!$N$6:$N$1005,COMPRAS!$D$6:$D$1005,$A93,COMPRAS!$R$6:$R$1005,1)/COUNTIFS(COMPRAS!$D$6:$D$1005,$A93,COMPRAS!$R$6:$R$1005,1),0))</f>
        <v/>
      </c>
      <c r="O93" s="43" t="str">
        <f aca="false">IF($A93="","",IF($N93&gt;0,$N93,$M93))</f>
        <v/>
      </c>
      <c r="P93" s="43" t="str">
        <f aca="false">IF($A93="","",IF(N($I93)&gt;0,$O93/$I93,$O93))</f>
        <v/>
      </c>
      <c r="Q93" s="34" t="str">
        <f aca="false">IF($A93="","",SUMIFS(COMPRAS!$I$6:$I$1005,COMPRAS!$D$6:$D$1005,$A93))</f>
        <v/>
      </c>
      <c r="R93" s="34" t="str">
        <f aca="false">IF($A93="","",SUMIFS(RECETAS!$L$6:$L$605,RECETAS!$C$6:$C$605,$A93))</f>
        <v/>
      </c>
      <c r="S93" s="34" t="str">
        <f aca="false">IF($A93="","",SUMIFS(MERMAS!$J$6:$J$505,MERMAS!$B$6:$B$505,$A93))</f>
        <v/>
      </c>
      <c r="T93" s="34" t="str">
        <f aca="false">IF($A93="","",N($L93)+$Q93-$R93+$S93)</f>
        <v/>
      </c>
      <c r="U93" s="35" t="str">
        <f aca="false">IF($A93="","",$T93*$O93)</f>
        <v/>
      </c>
      <c r="V93" s="42"/>
      <c r="W93" s="34" t="str">
        <f aca="false">IF(OR($A93="",$V93=""),"",$V93-$T93)</f>
        <v/>
      </c>
      <c r="X93" s="35" t="str">
        <f aca="false">IF($W93="","",$W93*$O93)</f>
        <v/>
      </c>
      <c r="Y93" s="8" t="str">
        <f aca="false">IF($A93="","",IF($T93&lt;=0,"AGOTADO",IF($T93&lt;=N($K93),"REORDENAR","OK")))</f>
        <v/>
      </c>
      <c r="Z93" s="34" t="str">
        <f aca="false">IF($A93="","",IF($T93&lt;=N($K93),ROUNDUP((2*N($K93)-$T93)/$F93,0),0))</f>
        <v/>
      </c>
      <c r="AA93" s="8" t="str">
        <f aca="false">IF(OR($Y93="REORDENAR",$Y93="AGOTADO"),ROW(),"")</f>
        <v/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39"/>
      <c r="G94" s="40"/>
      <c r="H94" s="41"/>
      <c r="I94" s="41"/>
      <c r="J94" s="6"/>
      <c r="K94" s="42"/>
      <c r="L94" s="42"/>
      <c r="M94" s="43" t="str">
        <f aca="false">IF($A94="","",IFERROR($G94/$F94,0))</f>
        <v/>
      </c>
      <c r="N94" s="43" t="str">
        <f aca="false">IF($A94="","",IFERROR(SUMIFS(COMPRAS!$N$6:$N$1005,COMPRAS!$D$6:$D$1005,$A94,COMPRAS!$R$6:$R$1005,1)/COUNTIFS(COMPRAS!$D$6:$D$1005,$A94,COMPRAS!$R$6:$R$1005,1),0))</f>
        <v/>
      </c>
      <c r="O94" s="43" t="str">
        <f aca="false">IF($A94="","",IF($N94&gt;0,$N94,$M94))</f>
        <v/>
      </c>
      <c r="P94" s="43" t="str">
        <f aca="false">IF($A94="","",IF(N($I94)&gt;0,$O94/$I94,$O94))</f>
        <v/>
      </c>
      <c r="Q94" s="34" t="str">
        <f aca="false">IF($A94="","",SUMIFS(COMPRAS!$I$6:$I$1005,COMPRAS!$D$6:$D$1005,$A94))</f>
        <v/>
      </c>
      <c r="R94" s="34" t="str">
        <f aca="false">IF($A94="","",SUMIFS(RECETAS!$L$6:$L$605,RECETAS!$C$6:$C$605,$A94))</f>
        <v/>
      </c>
      <c r="S94" s="34" t="str">
        <f aca="false">IF($A94="","",SUMIFS(MERMAS!$J$6:$J$505,MERMAS!$B$6:$B$505,$A94))</f>
        <v/>
      </c>
      <c r="T94" s="34" t="str">
        <f aca="false">IF($A94="","",N($L94)+$Q94-$R94+$S94)</f>
        <v/>
      </c>
      <c r="U94" s="35" t="str">
        <f aca="false">IF($A94="","",$T94*$O94)</f>
        <v/>
      </c>
      <c r="V94" s="42"/>
      <c r="W94" s="34" t="str">
        <f aca="false">IF(OR($A94="",$V94=""),"",$V94-$T94)</f>
        <v/>
      </c>
      <c r="X94" s="35" t="str">
        <f aca="false">IF($W94="","",$W94*$O94)</f>
        <v/>
      </c>
      <c r="Y94" s="8" t="str">
        <f aca="false">IF($A94="","",IF($T94&lt;=0,"AGOTADO",IF($T94&lt;=N($K94),"REORDENAR","OK")))</f>
        <v/>
      </c>
      <c r="Z94" s="34" t="str">
        <f aca="false">IF($A94="","",IF($T94&lt;=N($K94),ROUNDUP((2*N($K94)-$T94)/$F94,0),0))</f>
        <v/>
      </c>
      <c r="AA94" s="8" t="str">
        <f aca="false">IF(OR($Y94="REORDENAR",$Y94="AGOTADO"),ROW(),"")</f>
        <v/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39"/>
      <c r="G95" s="40"/>
      <c r="H95" s="41"/>
      <c r="I95" s="41"/>
      <c r="J95" s="6"/>
      <c r="K95" s="42"/>
      <c r="L95" s="42"/>
      <c r="M95" s="43" t="str">
        <f aca="false">IF($A95="","",IFERROR($G95/$F95,0))</f>
        <v/>
      </c>
      <c r="N95" s="43" t="str">
        <f aca="false">IF($A95="","",IFERROR(SUMIFS(COMPRAS!$N$6:$N$1005,COMPRAS!$D$6:$D$1005,$A95,COMPRAS!$R$6:$R$1005,1)/COUNTIFS(COMPRAS!$D$6:$D$1005,$A95,COMPRAS!$R$6:$R$1005,1),0))</f>
        <v/>
      </c>
      <c r="O95" s="43" t="str">
        <f aca="false">IF($A95="","",IF($N95&gt;0,$N95,$M95))</f>
        <v/>
      </c>
      <c r="P95" s="43" t="str">
        <f aca="false">IF($A95="","",IF(N($I95)&gt;0,$O95/$I95,$O95))</f>
        <v/>
      </c>
      <c r="Q95" s="34" t="str">
        <f aca="false">IF($A95="","",SUMIFS(COMPRAS!$I$6:$I$1005,COMPRAS!$D$6:$D$1005,$A95))</f>
        <v/>
      </c>
      <c r="R95" s="34" t="str">
        <f aca="false">IF($A95="","",SUMIFS(RECETAS!$L$6:$L$605,RECETAS!$C$6:$C$605,$A95))</f>
        <v/>
      </c>
      <c r="S95" s="34" t="str">
        <f aca="false">IF($A95="","",SUMIFS(MERMAS!$J$6:$J$505,MERMAS!$B$6:$B$505,$A95))</f>
        <v/>
      </c>
      <c r="T95" s="34" t="str">
        <f aca="false">IF($A95="","",N($L95)+$Q95-$R95+$S95)</f>
        <v/>
      </c>
      <c r="U95" s="35" t="str">
        <f aca="false">IF($A95="","",$T95*$O95)</f>
        <v/>
      </c>
      <c r="V95" s="42"/>
      <c r="W95" s="34" t="str">
        <f aca="false">IF(OR($A95="",$V95=""),"",$V95-$T95)</f>
        <v/>
      </c>
      <c r="X95" s="35" t="str">
        <f aca="false">IF($W95="","",$W95*$O95)</f>
        <v/>
      </c>
      <c r="Y95" s="8" t="str">
        <f aca="false">IF($A95="","",IF($T95&lt;=0,"AGOTADO",IF($T95&lt;=N($K95),"REORDENAR","OK")))</f>
        <v/>
      </c>
      <c r="Z95" s="34" t="str">
        <f aca="false">IF($A95="","",IF($T95&lt;=N($K95),ROUNDUP((2*N($K95)-$T95)/$F95,0),0))</f>
        <v/>
      </c>
      <c r="AA95" s="8" t="str">
        <f aca="false">IF(OR($Y95="REORDENAR",$Y95="AGOTADO"),ROW(),"")</f>
        <v/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39"/>
      <c r="G96" s="40"/>
      <c r="H96" s="41"/>
      <c r="I96" s="41"/>
      <c r="J96" s="6"/>
      <c r="K96" s="42"/>
      <c r="L96" s="42"/>
      <c r="M96" s="43" t="str">
        <f aca="false">IF($A96="","",IFERROR($G96/$F96,0))</f>
        <v/>
      </c>
      <c r="N96" s="43" t="str">
        <f aca="false">IF($A96="","",IFERROR(SUMIFS(COMPRAS!$N$6:$N$1005,COMPRAS!$D$6:$D$1005,$A96,COMPRAS!$R$6:$R$1005,1)/COUNTIFS(COMPRAS!$D$6:$D$1005,$A96,COMPRAS!$R$6:$R$1005,1),0))</f>
        <v/>
      </c>
      <c r="O96" s="43" t="str">
        <f aca="false">IF($A96="","",IF($N96&gt;0,$N96,$M96))</f>
        <v/>
      </c>
      <c r="P96" s="43" t="str">
        <f aca="false">IF($A96="","",IF(N($I96)&gt;0,$O96/$I96,$O96))</f>
        <v/>
      </c>
      <c r="Q96" s="34" t="str">
        <f aca="false">IF($A96="","",SUMIFS(COMPRAS!$I$6:$I$1005,COMPRAS!$D$6:$D$1005,$A96))</f>
        <v/>
      </c>
      <c r="R96" s="34" t="str">
        <f aca="false">IF($A96="","",SUMIFS(RECETAS!$L$6:$L$605,RECETAS!$C$6:$C$605,$A96))</f>
        <v/>
      </c>
      <c r="S96" s="34" t="str">
        <f aca="false">IF($A96="","",SUMIFS(MERMAS!$J$6:$J$505,MERMAS!$B$6:$B$505,$A96))</f>
        <v/>
      </c>
      <c r="T96" s="34" t="str">
        <f aca="false">IF($A96="","",N($L96)+$Q96-$R96+$S96)</f>
        <v/>
      </c>
      <c r="U96" s="35" t="str">
        <f aca="false">IF($A96="","",$T96*$O96)</f>
        <v/>
      </c>
      <c r="V96" s="42"/>
      <c r="W96" s="34" t="str">
        <f aca="false">IF(OR($A96="",$V96=""),"",$V96-$T96)</f>
        <v/>
      </c>
      <c r="X96" s="35" t="str">
        <f aca="false">IF($W96="","",$W96*$O96)</f>
        <v/>
      </c>
      <c r="Y96" s="8" t="str">
        <f aca="false">IF($A96="","",IF($T96&lt;=0,"AGOTADO",IF($T96&lt;=N($K96),"REORDENAR","OK")))</f>
        <v/>
      </c>
      <c r="Z96" s="34" t="str">
        <f aca="false">IF($A96="","",IF($T96&lt;=N($K96),ROUNDUP((2*N($K96)-$T96)/$F96,0),0))</f>
        <v/>
      </c>
      <c r="AA96" s="8" t="str">
        <f aca="false">IF(OR($Y96="REORDENAR",$Y96="AGOTADO"),ROW(),"")</f>
        <v/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39"/>
      <c r="G97" s="40"/>
      <c r="H97" s="41"/>
      <c r="I97" s="41"/>
      <c r="J97" s="6"/>
      <c r="K97" s="42"/>
      <c r="L97" s="42"/>
      <c r="M97" s="43" t="str">
        <f aca="false">IF($A97="","",IFERROR($G97/$F97,0))</f>
        <v/>
      </c>
      <c r="N97" s="43" t="str">
        <f aca="false">IF($A97="","",IFERROR(SUMIFS(COMPRAS!$N$6:$N$1005,COMPRAS!$D$6:$D$1005,$A97,COMPRAS!$R$6:$R$1005,1)/COUNTIFS(COMPRAS!$D$6:$D$1005,$A97,COMPRAS!$R$6:$R$1005,1),0))</f>
        <v/>
      </c>
      <c r="O97" s="43" t="str">
        <f aca="false">IF($A97="","",IF($N97&gt;0,$N97,$M97))</f>
        <v/>
      </c>
      <c r="P97" s="43" t="str">
        <f aca="false">IF($A97="","",IF(N($I97)&gt;0,$O97/$I97,$O97))</f>
        <v/>
      </c>
      <c r="Q97" s="34" t="str">
        <f aca="false">IF($A97="","",SUMIFS(COMPRAS!$I$6:$I$1005,COMPRAS!$D$6:$D$1005,$A97))</f>
        <v/>
      </c>
      <c r="R97" s="34" t="str">
        <f aca="false">IF($A97="","",SUMIFS(RECETAS!$L$6:$L$605,RECETAS!$C$6:$C$605,$A97))</f>
        <v/>
      </c>
      <c r="S97" s="34" t="str">
        <f aca="false">IF($A97="","",SUMIFS(MERMAS!$J$6:$J$505,MERMAS!$B$6:$B$505,$A97))</f>
        <v/>
      </c>
      <c r="T97" s="34" t="str">
        <f aca="false">IF($A97="","",N($L97)+$Q97-$R97+$S97)</f>
        <v/>
      </c>
      <c r="U97" s="35" t="str">
        <f aca="false">IF($A97="","",$T97*$O97)</f>
        <v/>
      </c>
      <c r="V97" s="42"/>
      <c r="W97" s="34" t="str">
        <f aca="false">IF(OR($A97="",$V97=""),"",$V97-$T97)</f>
        <v/>
      </c>
      <c r="X97" s="35" t="str">
        <f aca="false">IF($W97="","",$W97*$O97)</f>
        <v/>
      </c>
      <c r="Y97" s="8" t="str">
        <f aca="false">IF($A97="","",IF($T97&lt;=0,"AGOTADO",IF($T97&lt;=N($K97),"REORDENAR","OK")))</f>
        <v/>
      </c>
      <c r="Z97" s="34" t="str">
        <f aca="false">IF($A97="","",IF($T97&lt;=N($K97),ROUNDUP((2*N($K97)-$T97)/$F97,0),0))</f>
        <v/>
      </c>
      <c r="AA97" s="8" t="str">
        <f aca="false">IF(OR($Y97="REORDENAR",$Y97="AGOTADO"),ROW(),"")</f>
        <v/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39"/>
      <c r="G98" s="40"/>
      <c r="H98" s="41"/>
      <c r="I98" s="41"/>
      <c r="J98" s="6"/>
      <c r="K98" s="42"/>
      <c r="L98" s="42"/>
      <c r="M98" s="43" t="str">
        <f aca="false">IF($A98="","",IFERROR($G98/$F98,0))</f>
        <v/>
      </c>
      <c r="N98" s="43" t="str">
        <f aca="false">IF($A98="","",IFERROR(SUMIFS(COMPRAS!$N$6:$N$1005,COMPRAS!$D$6:$D$1005,$A98,COMPRAS!$R$6:$R$1005,1)/COUNTIFS(COMPRAS!$D$6:$D$1005,$A98,COMPRAS!$R$6:$R$1005,1),0))</f>
        <v/>
      </c>
      <c r="O98" s="43" t="str">
        <f aca="false">IF($A98="","",IF($N98&gt;0,$N98,$M98))</f>
        <v/>
      </c>
      <c r="P98" s="43" t="str">
        <f aca="false">IF($A98="","",IF(N($I98)&gt;0,$O98/$I98,$O98))</f>
        <v/>
      </c>
      <c r="Q98" s="34" t="str">
        <f aca="false">IF($A98="","",SUMIFS(COMPRAS!$I$6:$I$1005,COMPRAS!$D$6:$D$1005,$A98))</f>
        <v/>
      </c>
      <c r="R98" s="34" t="str">
        <f aca="false">IF($A98="","",SUMIFS(RECETAS!$L$6:$L$605,RECETAS!$C$6:$C$605,$A98))</f>
        <v/>
      </c>
      <c r="S98" s="34" t="str">
        <f aca="false">IF($A98="","",SUMIFS(MERMAS!$J$6:$J$505,MERMAS!$B$6:$B$505,$A98))</f>
        <v/>
      </c>
      <c r="T98" s="34" t="str">
        <f aca="false">IF($A98="","",N($L98)+$Q98-$R98+$S98)</f>
        <v/>
      </c>
      <c r="U98" s="35" t="str">
        <f aca="false">IF($A98="","",$T98*$O98)</f>
        <v/>
      </c>
      <c r="V98" s="42"/>
      <c r="W98" s="34" t="str">
        <f aca="false">IF(OR($A98="",$V98=""),"",$V98-$T98)</f>
        <v/>
      </c>
      <c r="X98" s="35" t="str">
        <f aca="false">IF($W98="","",$W98*$O98)</f>
        <v/>
      </c>
      <c r="Y98" s="8" t="str">
        <f aca="false">IF($A98="","",IF($T98&lt;=0,"AGOTADO",IF($T98&lt;=N($K98),"REORDENAR","OK")))</f>
        <v/>
      </c>
      <c r="Z98" s="34" t="str">
        <f aca="false">IF($A98="","",IF($T98&lt;=N($K98),ROUNDUP((2*N($K98)-$T98)/$F98,0),0))</f>
        <v/>
      </c>
      <c r="AA98" s="8" t="str">
        <f aca="false">IF(OR($Y98="REORDENAR",$Y98="AGOTADO"),ROW(),"")</f>
        <v/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39"/>
      <c r="G99" s="40"/>
      <c r="H99" s="41"/>
      <c r="I99" s="41"/>
      <c r="J99" s="6"/>
      <c r="K99" s="42"/>
      <c r="L99" s="42"/>
      <c r="M99" s="43" t="str">
        <f aca="false">IF($A99="","",IFERROR($G99/$F99,0))</f>
        <v/>
      </c>
      <c r="N99" s="43" t="str">
        <f aca="false">IF($A99="","",IFERROR(SUMIFS(COMPRAS!$N$6:$N$1005,COMPRAS!$D$6:$D$1005,$A99,COMPRAS!$R$6:$R$1005,1)/COUNTIFS(COMPRAS!$D$6:$D$1005,$A99,COMPRAS!$R$6:$R$1005,1),0))</f>
        <v/>
      </c>
      <c r="O99" s="43" t="str">
        <f aca="false">IF($A99="","",IF($N99&gt;0,$N99,$M99))</f>
        <v/>
      </c>
      <c r="P99" s="43" t="str">
        <f aca="false">IF($A99="","",IF(N($I99)&gt;0,$O99/$I99,$O99))</f>
        <v/>
      </c>
      <c r="Q99" s="34" t="str">
        <f aca="false">IF($A99="","",SUMIFS(COMPRAS!$I$6:$I$1005,COMPRAS!$D$6:$D$1005,$A99))</f>
        <v/>
      </c>
      <c r="R99" s="34" t="str">
        <f aca="false">IF($A99="","",SUMIFS(RECETAS!$L$6:$L$605,RECETAS!$C$6:$C$605,$A99))</f>
        <v/>
      </c>
      <c r="S99" s="34" t="str">
        <f aca="false">IF($A99="","",SUMIFS(MERMAS!$J$6:$J$505,MERMAS!$B$6:$B$505,$A99))</f>
        <v/>
      </c>
      <c r="T99" s="34" t="str">
        <f aca="false">IF($A99="","",N($L99)+$Q99-$R99+$S99)</f>
        <v/>
      </c>
      <c r="U99" s="35" t="str">
        <f aca="false">IF($A99="","",$T99*$O99)</f>
        <v/>
      </c>
      <c r="V99" s="42"/>
      <c r="W99" s="34" t="str">
        <f aca="false">IF(OR($A99="",$V99=""),"",$V99-$T99)</f>
        <v/>
      </c>
      <c r="X99" s="35" t="str">
        <f aca="false">IF($W99="","",$W99*$O99)</f>
        <v/>
      </c>
      <c r="Y99" s="8" t="str">
        <f aca="false">IF($A99="","",IF($T99&lt;=0,"AGOTADO",IF($T99&lt;=N($K99),"REORDENAR","OK")))</f>
        <v/>
      </c>
      <c r="Z99" s="34" t="str">
        <f aca="false">IF($A99="","",IF($T99&lt;=N($K99),ROUNDUP((2*N($K99)-$T99)/$F99,0),0))</f>
        <v/>
      </c>
      <c r="AA99" s="8" t="str">
        <f aca="false">IF(OR($Y99="REORDENAR",$Y99="AGOTADO"),ROW(),"")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39"/>
      <c r="G100" s="40"/>
      <c r="H100" s="41"/>
      <c r="I100" s="41"/>
      <c r="J100" s="6"/>
      <c r="K100" s="42"/>
      <c r="L100" s="42"/>
      <c r="M100" s="43" t="str">
        <f aca="false">IF($A100="","",IFERROR($G100/$F100,0))</f>
        <v/>
      </c>
      <c r="N100" s="43" t="str">
        <f aca="false">IF($A100="","",IFERROR(SUMIFS(COMPRAS!$N$6:$N$1005,COMPRAS!$D$6:$D$1005,$A100,COMPRAS!$R$6:$R$1005,1)/COUNTIFS(COMPRAS!$D$6:$D$1005,$A100,COMPRAS!$R$6:$R$1005,1),0))</f>
        <v/>
      </c>
      <c r="O100" s="43" t="str">
        <f aca="false">IF($A100="","",IF($N100&gt;0,$N100,$M100))</f>
        <v/>
      </c>
      <c r="P100" s="43" t="str">
        <f aca="false">IF($A100="","",IF(N($I100)&gt;0,$O100/$I100,$O100))</f>
        <v/>
      </c>
      <c r="Q100" s="34" t="str">
        <f aca="false">IF($A100="","",SUMIFS(COMPRAS!$I$6:$I$1005,COMPRAS!$D$6:$D$1005,$A100))</f>
        <v/>
      </c>
      <c r="R100" s="34" t="str">
        <f aca="false">IF($A100="","",SUMIFS(RECETAS!$L$6:$L$605,RECETAS!$C$6:$C$605,$A100))</f>
        <v/>
      </c>
      <c r="S100" s="34" t="str">
        <f aca="false">IF($A100="","",SUMIFS(MERMAS!$J$6:$J$505,MERMAS!$B$6:$B$505,$A100))</f>
        <v/>
      </c>
      <c r="T100" s="34" t="str">
        <f aca="false">IF($A100="","",N($L100)+$Q100-$R100+$S100)</f>
        <v/>
      </c>
      <c r="U100" s="35" t="str">
        <f aca="false">IF($A100="","",$T100*$O100)</f>
        <v/>
      </c>
      <c r="V100" s="42"/>
      <c r="W100" s="34" t="str">
        <f aca="false">IF(OR($A100="",$V100=""),"",$V100-$T100)</f>
        <v/>
      </c>
      <c r="X100" s="35" t="str">
        <f aca="false">IF($W100="","",$W100*$O100)</f>
        <v/>
      </c>
      <c r="Y100" s="8" t="str">
        <f aca="false">IF($A100="","",IF($T100&lt;=0,"AGOTADO",IF($T100&lt;=N($K100),"REORDENAR","OK")))</f>
        <v/>
      </c>
      <c r="Z100" s="34" t="str">
        <f aca="false">IF($A100="","",IF($T100&lt;=N($K100),ROUNDUP((2*N($K100)-$T100)/$F100,0),0))</f>
        <v/>
      </c>
      <c r="AA100" s="8" t="str">
        <f aca="false">IF(OR($Y100="REORDENAR",$Y100="AGOTADO"),ROW(),"")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39"/>
      <c r="G101" s="40"/>
      <c r="H101" s="41"/>
      <c r="I101" s="41"/>
      <c r="J101" s="6"/>
      <c r="K101" s="42"/>
      <c r="L101" s="42"/>
      <c r="M101" s="43" t="str">
        <f aca="false">IF($A101="","",IFERROR($G101/$F101,0))</f>
        <v/>
      </c>
      <c r="N101" s="43" t="str">
        <f aca="false">IF($A101="","",IFERROR(SUMIFS(COMPRAS!$N$6:$N$1005,COMPRAS!$D$6:$D$1005,$A101,COMPRAS!$R$6:$R$1005,1)/COUNTIFS(COMPRAS!$D$6:$D$1005,$A101,COMPRAS!$R$6:$R$1005,1),0))</f>
        <v/>
      </c>
      <c r="O101" s="43" t="str">
        <f aca="false">IF($A101="","",IF($N101&gt;0,$N101,$M101))</f>
        <v/>
      </c>
      <c r="P101" s="43" t="str">
        <f aca="false">IF($A101="","",IF(N($I101)&gt;0,$O101/$I101,$O101))</f>
        <v/>
      </c>
      <c r="Q101" s="34" t="str">
        <f aca="false">IF($A101="","",SUMIFS(COMPRAS!$I$6:$I$1005,COMPRAS!$D$6:$D$1005,$A101))</f>
        <v/>
      </c>
      <c r="R101" s="34" t="str">
        <f aca="false">IF($A101="","",SUMIFS(RECETAS!$L$6:$L$605,RECETAS!$C$6:$C$605,$A101))</f>
        <v/>
      </c>
      <c r="S101" s="34" t="str">
        <f aca="false">IF($A101="","",SUMIFS(MERMAS!$J$6:$J$505,MERMAS!$B$6:$B$505,$A101))</f>
        <v/>
      </c>
      <c r="T101" s="34" t="str">
        <f aca="false">IF($A101="","",N($L101)+$Q101-$R101+$S101)</f>
        <v/>
      </c>
      <c r="U101" s="35" t="str">
        <f aca="false">IF($A101="","",$T101*$O101)</f>
        <v/>
      </c>
      <c r="V101" s="42"/>
      <c r="W101" s="34" t="str">
        <f aca="false">IF(OR($A101="",$V101=""),"",$V101-$T101)</f>
        <v/>
      </c>
      <c r="X101" s="35" t="str">
        <f aca="false">IF($W101="","",$W101*$O101)</f>
        <v/>
      </c>
      <c r="Y101" s="8" t="str">
        <f aca="false">IF($A101="","",IF($T101&lt;=0,"AGOTADO",IF($T101&lt;=N($K101),"REORDENAR","OK")))</f>
        <v/>
      </c>
      <c r="Z101" s="34" t="str">
        <f aca="false">IF($A101="","",IF($T101&lt;=N($K101),ROUNDUP((2*N($K101)-$T101)/$F101,0),0))</f>
        <v/>
      </c>
      <c r="AA101" s="8" t="str">
        <f aca="false">IF(OR($Y101="REORDENAR",$Y101="AGOTADO"),ROW(),"")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39"/>
      <c r="G102" s="40"/>
      <c r="H102" s="41"/>
      <c r="I102" s="41"/>
      <c r="J102" s="6"/>
      <c r="K102" s="42"/>
      <c r="L102" s="42"/>
      <c r="M102" s="43" t="str">
        <f aca="false">IF($A102="","",IFERROR($G102/$F102,0))</f>
        <v/>
      </c>
      <c r="N102" s="43" t="str">
        <f aca="false">IF($A102="","",IFERROR(SUMIFS(COMPRAS!$N$6:$N$1005,COMPRAS!$D$6:$D$1005,$A102,COMPRAS!$R$6:$R$1005,1)/COUNTIFS(COMPRAS!$D$6:$D$1005,$A102,COMPRAS!$R$6:$R$1005,1),0))</f>
        <v/>
      </c>
      <c r="O102" s="43" t="str">
        <f aca="false">IF($A102="","",IF($N102&gt;0,$N102,$M102))</f>
        <v/>
      </c>
      <c r="P102" s="43" t="str">
        <f aca="false">IF($A102="","",IF(N($I102)&gt;0,$O102/$I102,$O102))</f>
        <v/>
      </c>
      <c r="Q102" s="34" t="str">
        <f aca="false">IF($A102="","",SUMIFS(COMPRAS!$I$6:$I$1005,COMPRAS!$D$6:$D$1005,$A102))</f>
        <v/>
      </c>
      <c r="R102" s="34" t="str">
        <f aca="false">IF($A102="","",SUMIFS(RECETAS!$L$6:$L$605,RECETAS!$C$6:$C$605,$A102))</f>
        <v/>
      </c>
      <c r="S102" s="34" t="str">
        <f aca="false">IF($A102="","",SUMIFS(MERMAS!$J$6:$J$505,MERMAS!$B$6:$B$505,$A102))</f>
        <v/>
      </c>
      <c r="T102" s="34" t="str">
        <f aca="false">IF($A102="","",N($L102)+$Q102-$R102+$S102)</f>
        <v/>
      </c>
      <c r="U102" s="35" t="str">
        <f aca="false">IF($A102="","",$T102*$O102)</f>
        <v/>
      </c>
      <c r="V102" s="42"/>
      <c r="W102" s="34" t="str">
        <f aca="false">IF(OR($A102="",$V102=""),"",$V102-$T102)</f>
        <v/>
      </c>
      <c r="X102" s="35" t="str">
        <f aca="false">IF($W102="","",$W102*$O102)</f>
        <v/>
      </c>
      <c r="Y102" s="8" t="str">
        <f aca="false">IF($A102="","",IF($T102&lt;=0,"AGOTADO",IF($T102&lt;=N($K102),"REORDENAR","OK")))</f>
        <v/>
      </c>
      <c r="Z102" s="34" t="str">
        <f aca="false">IF($A102="","",IF($T102&lt;=N($K102),ROUNDUP((2*N($K102)-$T102)/$F102,0),0))</f>
        <v/>
      </c>
      <c r="AA102" s="8" t="str">
        <f aca="false">IF(OR($Y102="REORDENAR",$Y102="AGOTADO"),ROW(),"")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39"/>
      <c r="G103" s="40"/>
      <c r="H103" s="41"/>
      <c r="I103" s="41"/>
      <c r="J103" s="6"/>
      <c r="K103" s="42"/>
      <c r="L103" s="42"/>
      <c r="M103" s="43" t="str">
        <f aca="false">IF($A103="","",IFERROR($G103/$F103,0))</f>
        <v/>
      </c>
      <c r="N103" s="43" t="str">
        <f aca="false">IF($A103="","",IFERROR(SUMIFS(COMPRAS!$N$6:$N$1005,COMPRAS!$D$6:$D$1005,$A103,COMPRAS!$R$6:$R$1005,1)/COUNTIFS(COMPRAS!$D$6:$D$1005,$A103,COMPRAS!$R$6:$R$1005,1),0))</f>
        <v/>
      </c>
      <c r="O103" s="43" t="str">
        <f aca="false">IF($A103="","",IF($N103&gt;0,$N103,$M103))</f>
        <v/>
      </c>
      <c r="P103" s="43" t="str">
        <f aca="false">IF($A103="","",IF(N($I103)&gt;0,$O103/$I103,$O103))</f>
        <v/>
      </c>
      <c r="Q103" s="34" t="str">
        <f aca="false">IF($A103="","",SUMIFS(COMPRAS!$I$6:$I$1005,COMPRAS!$D$6:$D$1005,$A103))</f>
        <v/>
      </c>
      <c r="R103" s="34" t="str">
        <f aca="false">IF($A103="","",SUMIFS(RECETAS!$L$6:$L$605,RECETAS!$C$6:$C$605,$A103))</f>
        <v/>
      </c>
      <c r="S103" s="34" t="str">
        <f aca="false">IF($A103="","",SUMIFS(MERMAS!$J$6:$J$505,MERMAS!$B$6:$B$505,$A103))</f>
        <v/>
      </c>
      <c r="T103" s="34" t="str">
        <f aca="false">IF($A103="","",N($L103)+$Q103-$R103+$S103)</f>
        <v/>
      </c>
      <c r="U103" s="35" t="str">
        <f aca="false">IF($A103="","",$T103*$O103)</f>
        <v/>
      </c>
      <c r="V103" s="42"/>
      <c r="W103" s="34" t="str">
        <f aca="false">IF(OR($A103="",$V103=""),"",$V103-$T103)</f>
        <v/>
      </c>
      <c r="X103" s="35" t="str">
        <f aca="false">IF($W103="","",$W103*$O103)</f>
        <v/>
      </c>
      <c r="Y103" s="8" t="str">
        <f aca="false">IF($A103="","",IF($T103&lt;=0,"AGOTADO",IF($T103&lt;=N($K103),"REORDENAR","OK")))</f>
        <v/>
      </c>
      <c r="Z103" s="34" t="str">
        <f aca="false">IF($A103="","",IF($T103&lt;=N($K103),ROUNDUP((2*N($K103)-$T103)/$F103,0),0))</f>
        <v/>
      </c>
      <c r="AA103" s="8" t="str">
        <f aca="false">IF(OR($Y103="REORDENAR",$Y103="AGOTADO"),ROW(),"")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39"/>
      <c r="G104" s="40"/>
      <c r="H104" s="41"/>
      <c r="I104" s="41"/>
      <c r="J104" s="6"/>
      <c r="K104" s="42"/>
      <c r="L104" s="42"/>
      <c r="M104" s="43" t="str">
        <f aca="false">IF($A104="","",IFERROR($G104/$F104,0))</f>
        <v/>
      </c>
      <c r="N104" s="43" t="str">
        <f aca="false">IF($A104="","",IFERROR(SUMIFS(COMPRAS!$N$6:$N$1005,COMPRAS!$D$6:$D$1005,$A104,COMPRAS!$R$6:$R$1005,1)/COUNTIFS(COMPRAS!$D$6:$D$1005,$A104,COMPRAS!$R$6:$R$1005,1),0))</f>
        <v/>
      </c>
      <c r="O104" s="43" t="str">
        <f aca="false">IF($A104="","",IF($N104&gt;0,$N104,$M104))</f>
        <v/>
      </c>
      <c r="P104" s="43" t="str">
        <f aca="false">IF($A104="","",IF(N($I104)&gt;0,$O104/$I104,$O104))</f>
        <v/>
      </c>
      <c r="Q104" s="34" t="str">
        <f aca="false">IF($A104="","",SUMIFS(COMPRAS!$I$6:$I$1005,COMPRAS!$D$6:$D$1005,$A104))</f>
        <v/>
      </c>
      <c r="R104" s="34" t="str">
        <f aca="false">IF($A104="","",SUMIFS(RECETAS!$L$6:$L$605,RECETAS!$C$6:$C$605,$A104))</f>
        <v/>
      </c>
      <c r="S104" s="34" t="str">
        <f aca="false">IF($A104="","",SUMIFS(MERMAS!$J$6:$J$505,MERMAS!$B$6:$B$505,$A104))</f>
        <v/>
      </c>
      <c r="T104" s="34" t="str">
        <f aca="false">IF($A104="","",N($L104)+$Q104-$R104+$S104)</f>
        <v/>
      </c>
      <c r="U104" s="35" t="str">
        <f aca="false">IF($A104="","",$T104*$O104)</f>
        <v/>
      </c>
      <c r="V104" s="42"/>
      <c r="W104" s="34" t="str">
        <f aca="false">IF(OR($A104="",$V104=""),"",$V104-$T104)</f>
        <v/>
      </c>
      <c r="X104" s="35" t="str">
        <f aca="false">IF($W104="","",$W104*$O104)</f>
        <v/>
      </c>
      <c r="Y104" s="8" t="str">
        <f aca="false">IF($A104="","",IF($T104&lt;=0,"AGOTADO",IF($T104&lt;=N($K104),"REORDENAR","OK")))</f>
        <v/>
      </c>
      <c r="Z104" s="34" t="str">
        <f aca="false">IF($A104="","",IF($T104&lt;=N($K104),ROUNDUP((2*N($K104)-$T104)/$F104,0),0))</f>
        <v/>
      </c>
      <c r="AA104" s="8" t="str">
        <f aca="false">IF(OR($Y104="REORDENAR",$Y104="AGOTADO"),ROW(),"")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39"/>
      <c r="G105" s="40"/>
      <c r="H105" s="41"/>
      <c r="I105" s="41"/>
      <c r="J105" s="6"/>
      <c r="K105" s="42"/>
      <c r="L105" s="42"/>
      <c r="M105" s="43" t="str">
        <f aca="false">IF($A105="","",IFERROR($G105/$F105,0))</f>
        <v/>
      </c>
      <c r="N105" s="43" t="str">
        <f aca="false">IF($A105="","",IFERROR(SUMIFS(COMPRAS!$N$6:$N$1005,COMPRAS!$D$6:$D$1005,$A105,COMPRAS!$R$6:$R$1005,1)/COUNTIFS(COMPRAS!$D$6:$D$1005,$A105,COMPRAS!$R$6:$R$1005,1),0))</f>
        <v/>
      </c>
      <c r="O105" s="43" t="str">
        <f aca="false">IF($A105="","",IF($N105&gt;0,$N105,$M105))</f>
        <v/>
      </c>
      <c r="P105" s="43" t="str">
        <f aca="false">IF($A105="","",IF(N($I105)&gt;0,$O105/$I105,$O105))</f>
        <v/>
      </c>
      <c r="Q105" s="34" t="str">
        <f aca="false">IF($A105="","",SUMIFS(COMPRAS!$I$6:$I$1005,COMPRAS!$D$6:$D$1005,$A105))</f>
        <v/>
      </c>
      <c r="R105" s="34" t="str">
        <f aca="false">IF($A105="","",SUMIFS(RECETAS!$L$6:$L$605,RECETAS!$C$6:$C$605,$A105))</f>
        <v/>
      </c>
      <c r="S105" s="34" t="str">
        <f aca="false">IF($A105="","",SUMIFS(MERMAS!$J$6:$J$505,MERMAS!$B$6:$B$505,$A105))</f>
        <v/>
      </c>
      <c r="T105" s="34" t="str">
        <f aca="false">IF($A105="","",N($L105)+$Q105-$R105+$S105)</f>
        <v/>
      </c>
      <c r="U105" s="35" t="str">
        <f aca="false">IF($A105="","",$T105*$O105)</f>
        <v/>
      </c>
      <c r="V105" s="42"/>
      <c r="W105" s="34" t="str">
        <f aca="false">IF(OR($A105="",$V105=""),"",$V105-$T105)</f>
        <v/>
      </c>
      <c r="X105" s="35" t="str">
        <f aca="false">IF($W105="","",$W105*$O105)</f>
        <v/>
      </c>
      <c r="Y105" s="8" t="str">
        <f aca="false">IF($A105="","",IF($T105&lt;=0,"AGOTADO",IF($T105&lt;=N($K105),"REORDENAR","OK")))</f>
        <v/>
      </c>
      <c r="Z105" s="34" t="str">
        <f aca="false">IF($A105="","",IF($T105&lt;=N($K105),ROUNDUP((2*N($K105)-$T105)/$F105,0),0))</f>
        <v/>
      </c>
      <c r="AA105" s="8" t="str">
        <f aca="false">IF(OR($Y105="REORDENAR",$Y105="AGOTADO"),ROW(),"")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39"/>
      <c r="G106" s="40"/>
      <c r="H106" s="41"/>
      <c r="I106" s="41"/>
      <c r="J106" s="6"/>
      <c r="K106" s="42"/>
      <c r="L106" s="42"/>
      <c r="M106" s="43" t="str">
        <f aca="false">IF($A106="","",IFERROR($G106/$F106,0))</f>
        <v/>
      </c>
      <c r="N106" s="43" t="str">
        <f aca="false">IF($A106="","",IFERROR(SUMIFS(COMPRAS!$N$6:$N$1005,COMPRAS!$D$6:$D$1005,$A106,COMPRAS!$R$6:$R$1005,1)/COUNTIFS(COMPRAS!$D$6:$D$1005,$A106,COMPRAS!$R$6:$R$1005,1),0))</f>
        <v/>
      </c>
      <c r="O106" s="43" t="str">
        <f aca="false">IF($A106="","",IF($N106&gt;0,$N106,$M106))</f>
        <v/>
      </c>
      <c r="P106" s="43" t="str">
        <f aca="false">IF($A106="","",IF(N($I106)&gt;0,$O106/$I106,$O106))</f>
        <v/>
      </c>
      <c r="Q106" s="34" t="str">
        <f aca="false">IF($A106="","",SUMIFS(COMPRAS!$I$6:$I$1005,COMPRAS!$D$6:$D$1005,$A106))</f>
        <v/>
      </c>
      <c r="R106" s="34" t="str">
        <f aca="false">IF($A106="","",SUMIFS(RECETAS!$L$6:$L$605,RECETAS!$C$6:$C$605,$A106))</f>
        <v/>
      </c>
      <c r="S106" s="34" t="str">
        <f aca="false">IF($A106="","",SUMIFS(MERMAS!$J$6:$J$505,MERMAS!$B$6:$B$505,$A106))</f>
        <v/>
      </c>
      <c r="T106" s="34" t="str">
        <f aca="false">IF($A106="","",N($L106)+$Q106-$R106+$S106)</f>
        <v/>
      </c>
      <c r="U106" s="35" t="str">
        <f aca="false">IF($A106="","",$T106*$O106)</f>
        <v/>
      </c>
      <c r="V106" s="42"/>
      <c r="W106" s="34" t="str">
        <f aca="false">IF(OR($A106="",$V106=""),"",$V106-$T106)</f>
        <v/>
      </c>
      <c r="X106" s="35" t="str">
        <f aca="false">IF($W106="","",$W106*$O106)</f>
        <v/>
      </c>
      <c r="Y106" s="8" t="str">
        <f aca="false">IF($A106="","",IF($T106&lt;=0,"AGOTADO",IF($T106&lt;=N($K106),"REORDENAR","OK")))</f>
        <v/>
      </c>
      <c r="Z106" s="34" t="str">
        <f aca="false">IF($A106="","",IF($T106&lt;=N($K106),ROUNDUP((2*N($K106)-$T106)/$F106,0),0))</f>
        <v/>
      </c>
      <c r="AA106" s="8" t="str">
        <f aca="false">IF(OR($Y106="REORDENAR",$Y106="AGOTADO"),ROW(),"")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39"/>
      <c r="G107" s="40"/>
      <c r="H107" s="41"/>
      <c r="I107" s="41"/>
      <c r="J107" s="6"/>
      <c r="K107" s="42"/>
      <c r="L107" s="42"/>
      <c r="M107" s="43" t="str">
        <f aca="false">IF($A107="","",IFERROR($G107/$F107,0))</f>
        <v/>
      </c>
      <c r="N107" s="43" t="str">
        <f aca="false">IF($A107="","",IFERROR(SUMIFS(COMPRAS!$N$6:$N$1005,COMPRAS!$D$6:$D$1005,$A107,COMPRAS!$R$6:$R$1005,1)/COUNTIFS(COMPRAS!$D$6:$D$1005,$A107,COMPRAS!$R$6:$R$1005,1),0))</f>
        <v/>
      </c>
      <c r="O107" s="43" t="str">
        <f aca="false">IF($A107="","",IF($N107&gt;0,$N107,$M107))</f>
        <v/>
      </c>
      <c r="P107" s="43" t="str">
        <f aca="false">IF($A107="","",IF(N($I107)&gt;0,$O107/$I107,$O107))</f>
        <v/>
      </c>
      <c r="Q107" s="34" t="str">
        <f aca="false">IF($A107="","",SUMIFS(COMPRAS!$I$6:$I$1005,COMPRAS!$D$6:$D$1005,$A107))</f>
        <v/>
      </c>
      <c r="R107" s="34" t="str">
        <f aca="false">IF($A107="","",SUMIFS(RECETAS!$L$6:$L$605,RECETAS!$C$6:$C$605,$A107))</f>
        <v/>
      </c>
      <c r="S107" s="34" t="str">
        <f aca="false">IF($A107="","",SUMIFS(MERMAS!$J$6:$J$505,MERMAS!$B$6:$B$505,$A107))</f>
        <v/>
      </c>
      <c r="T107" s="34" t="str">
        <f aca="false">IF($A107="","",N($L107)+$Q107-$R107+$S107)</f>
        <v/>
      </c>
      <c r="U107" s="35" t="str">
        <f aca="false">IF($A107="","",$T107*$O107)</f>
        <v/>
      </c>
      <c r="V107" s="42"/>
      <c r="W107" s="34" t="str">
        <f aca="false">IF(OR($A107="",$V107=""),"",$V107-$T107)</f>
        <v/>
      </c>
      <c r="X107" s="35" t="str">
        <f aca="false">IF($W107="","",$W107*$O107)</f>
        <v/>
      </c>
      <c r="Y107" s="8" t="str">
        <f aca="false">IF($A107="","",IF($T107&lt;=0,"AGOTADO",IF($T107&lt;=N($K107),"REORDENAR","OK")))</f>
        <v/>
      </c>
      <c r="Z107" s="34" t="str">
        <f aca="false">IF($A107="","",IF($T107&lt;=N($K107),ROUNDUP((2*N($K107)-$T107)/$F107,0),0))</f>
        <v/>
      </c>
      <c r="AA107" s="8" t="str">
        <f aca="false">IF(OR($Y107="REORDENAR",$Y107="AGOTADO"),ROW(),"")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39"/>
      <c r="G108" s="40"/>
      <c r="H108" s="41"/>
      <c r="I108" s="41"/>
      <c r="J108" s="6"/>
      <c r="K108" s="42"/>
      <c r="L108" s="42"/>
      <c r="M108" s="43" t="str">
        <f aca="false">IF($A108="","",IFERROR($G108/$F108,0))</f>
        <v/>
      </c>
      <c r="N108" s="43" t="str">
        <f aca="false">IF($A108="","",IFERROR(SUMIFS(COMPRAS!$N$6:$N$1005,COMPRAS!$D$6:$D$1005,$A108,COMPRAS!$R$6:$R$1005,1)/COUNTIFS(COMPRAS!$D$6:$D$1005,$A108,COMPRAS!$R$6:$R$1005,1),0))</f>
        <v/>
      </c>
      <c r="O108" s="43" t="str">
        <f aca="false">IF($A108="","",IF($N108&gt;0,$N108,$M108))</f>
        <v/>
      </c>
      <c r="P108" s="43" t="str">
        <f aca="false">IF($A108="","",IF(N($I108)&gt;0,$O108/$I108,$O108))</f>
        <v/>
      </c>
      <c r="Q108" s="34" t="str">
        <f aca="false">IF($A108="","",SUMIFS(COMPRAS!$I$6:$I$1005,COMPRAS!$D$6:$D$1005,$A108))</f>
        <v/>
      </c>
      <c r="R108" s="34" t="str">
        <f aca="false">IF($A108="","",SUMIFS(RECETAS!$L$6:$L$605,RECETAS!$C$6:$C$605,$A108))</f>
        <v/>
      </c>
      <c r="S108" s="34" t="str">
        <f aca="false">IF($A108="","",SUMIFS(MERMAS!$J$6:$J$505,MERMAS!$B$6:$B$505,$A108))</f>
        <v/>
      </c>
      <c r="T108" s="34" t="str">
        <f aca="false">IF($A108="","",N($L108)+$Q108-$R108+$S108)</f>
        <v/>
      </c>
      <c r="U108" s="35" t="str">
        <f aca="false">IF($A108="","",$T108*$O108)</f>
        <v/>
      </c>
      <c r="V108" s="42"/>
      <c r="W108" s="34" t="str">
        <f aca="false">IF(OR($A108="",$V108=""),"",$V108-$T108)</f>
        <v/>
      </c>
      <c r="X108" s="35" t="str">
        <f aca="false">IF($W108="","",$W108*$O108)</f>
        <v/>
      </c>
      <c r="Y108" s="8" t="str">
        <f aca="false">IF($A108="","",IF($T108&lt;=0,"AGOTADO",IF($T108&lt;=N($K108),"REORDENAR","OK")))</f>
        <v/>
      </c>
      <c r="Z108" s="34" t="str">
        <f aca="false">IF($A108="","",IF($T108&lt;=N($K108),ROUNDUP((2*N($K108)-$T108)/$F108,0),0))</f>
        <v/>
      </c>
      <c r="AA108" s="8" t="str">
        <f aca="false">IF(OR($Y108="REORDENAR",$Y108="AGOTADO"),ROW(),"")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39"/>
      <c r="G109" s="40"/>
      <c r="H109" s="41"/>
      <c r="I109" s="41"/>
      <c r="J109" s="6"/>
      <c r="K109" s="42"/>
      <c r="L109" s="42"/>
      <c r="M109" s="43" t="str">
        <f aca="false">IF($A109="","",IFERROR($G109/$F109,0))</f>
        <v/>
      </c>
      <c r="N109" s="43" t="str">
        <f aca="false">IF($A109="","",IFERROR(SUMIFS(COMPRAS!$N$6:$N$1005,COMPRAS!$D$6:$D$1005,$A109,COMPRAS!$R$6:$R$1005,1)/COUNTIFS(COMPRAS!$D$6:$D$1005,$A109,COMPRAS!$R$6:$R$1005,1),0))</f>
        <v/>
      </c>
      <c r="O109" s="43" t="str">
        <f aca="false">IF($A109="","",IF($N109&gt;0,$N109,$M109))</f>
        <v/>
      </c>
      <c r="P109" s="43" t="str">
        <f aca="false">IF($A109="","",IF(N($I109)&gt;0,$O109/$I109,$O109))</f>
        <v/>
      </c>
      <c r="Q109" s="34" t="str">
        <f aca="false">IF($A109="","",SUMIFS(COMPRAS!$I$6:$I$1005,COMPRAS!$D$6:$D$1005,$A109))</f>
        <v/>
      </c>
      <c r="R109" s="34" t="str">
        <f aca="false">IF($A109="","",SUMIFS(RECETAS!$L$6:$L$605,RECETAS!$C$6:$C$605,$A109))</f>
        <v/>
      </c>
      <c r="S109" s="34" t="str">
        <f aca="false">IF($A109="","",SUMIFS(MERMAS!$J$6:$J$505,MERMAS!$B$6:$B$505,$A109))</f>
        <v/>
      </c>
      <c r="T109" s="34" t="str">
        <f aca="false">IF($A109="","",N($L109)+$Q109-$R109+$S109)</f>
        <v/>
      </c>
      <c r="U109" s="35" t="str">
        <f aca="false">IF($A109="","",$T109*$O109)</f>
        <v/>
      </c>
      <c r="V109" s="42"/>
      <c r="W109" s="34" t="str">
        <f aca="false">IF(OR($A109="",$V109=""),"",$V109-$T109)</f>
        <v/>
      </c>
      <c r="X109" s="35" t="str">
        <f aca="false">IF($W109="","",$W109*$O109)</f>
        <v/>
      </c>
      <c r="Y109" s="8" t="str">
        <f aca="false">IF($A109="","",IF($T109&lt;=0,"AGOTADO",IF($T109&lt;=N($K109),"REORDENAR","OK")))</f>
        <v/>
      </c>
      <c r="Z109" s="34" t="str">
        <f aca="false">IF($A109="","",IF($T109&lt;=N($K109),ROUNDUP((2*N($K109)-$T109)/$F109,0),0))</f>
        <v/>
      </c>
      <c r="AA109" s="8" t="str">
        <f aca="false">IF(OR($Y109="REORDENAR",$Y109="AGOTADO"),ROW(),"")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39"/>
      <c r="G110" s="40"/>
      <c r="H110" s="41"/>
      <c r="I110" s="41"/>
      <c r="J110" s="6"/>
      <c r="K110" s="42"/>
      <c r="L110" s="42"/>
      <c r="M110" s="43" t="str">
        <f aca="false">IF($A110="","",IFERROR($G110/$F110,0))</f>
        <v/>
      </c>
      <c r="N110" s="43" t="str">
        <f aca="false">IF($A110="","",IFERROR(SUMIFS(COMPRAS!$N$6:$N$1005,COMPRAS!$D$6:$D$1005,$A110,COMPRAS!$R$6:$R$1005,1)/COUNTIFS(COMPRAS!$D$6:$D$1005,$A110,COMPRAS!$R$6:$R$1005,1),0))</f>
        <v/>
      </c>
      <c r="O110" s="43" t="str">
        <f aca="false">IF($A110="","",IF($N110&gt;0,$N110,$M110))</f>
        <v/>
      </c>
      <c r="P110" s="43" t="str">
        <f aca="false">IF($A110="","",IF(N($I110)&gt;0,$O110/$I110,$O110))</f>
        <v/>
      </c>
      <c r="Q110" s="34" t="str">
        <f aca="false">IF($A110="","",SUMIFS(COMPRAS!$I$6:$I$1005,COMPRAS!$D$6:$D$1005,$A110))</f>
        <v/>
      </c>
      <c r="R110" s="34" t="str">
        <f aca="false">IF($A110="","",SUMIFS(RECETAS!$L$6:$L$605,RECETAS!$C$6:$C$605,$A110))</f>
        <v/>
      </c>
      <c r="S110" s="34" t="str">
        <f aca="false">IF($A110="","",SUMIFS(MERMAS!$J$6:$J$505,MERMAS!$B$6:$B$505,$A110))</f>
        <v/>
      </c>
      <c r="T110" s="34" t="str">
        <f aca="false">IF($A110="","",N($L110)+$Q110-$R110+$S110)</f>
        <v/>
      </c>
      <c r="U110" s="35" t="str">
        <f aca="false">IF($A110="","",$T110*$O110)</f>
        <v/>
      </c>
      <c r="V110" s="42"/>
      <c r="W110" s="34" t="str">
        <f aca="false">IF(OR($A110="",$V110=""),"",$V110-$T110)</f>
        <v/>
      </c>
      <c r="X110" s="35" t="str">
        <f aca="false">IF($W110="","",$W110*$O110)</f>
        <v/>
      </c>
      <c r="Y110" s="8" t="str">
        <f aca="false">IF($A110="","",IF($T110&lt;=0,"AGOTADO",IF($T110&lt;=N($K110),"REORDENAR","OK")))</f>
        <v/>
      </c>
      <c r="Z110" s="34" t="str">
        <f aca="false">IF($A110="","",IF($T110&lt;=N($K110),ROUNDUP((2*N($K110)-$T110)/$F110,0),0))</f>
        <v/>
      </c>
      <c r="AA110" s="8" t="str">
        <f aca="false">IF(OR($Y110="REORDENAR",$Y110="AGOTADO"),ROW(),"")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39"/>
      <c r="G111" s="40"/>
      <c r="H111" s="41"/>
      <c r="I111" s="41"/>
      <c r="J111" s="6"/>
      <c r="K111" s="42"/>
      <c r="L111" s="42"/>
      <c r="M111" s="43" t="str">
        <f aca="false">IF($A111="","",IFERROR($G111/$F111,0))</f>
        <v/>
      </c>
      <c r="N111" s="43" t="str">
        <f aca="false">IF($A111="","",IFERROR(SUMIFS(COMPRAS!$N$6:$N$1005,COMPRAS!$D$6:$D$1005,$A111,COMPRAS!$R$6:$R$1005,1)/COUNTIFS(COMPRAS!$D$6:$D$1005,$A111,COMPRAS!$R$6:$R$1005,1),0))</f>
        <v/>
      </c>
      <c r="O111" s="43" t="str">
        <f aca="false">IF($A111="","",IF($N111&gt;0,$N111,$M111))</f>
        <v/>
      </c>
      <c r="P111" s="43" t="str">
        <f aca="false">IF($A111="","",IF(N($I111)&gt;0,$O111/$I111,$O111))</f>
        <v/>
      </c>
      <c r="Q111" s="34" t="str">
        <f aca="false">IF($A111="","",SUMIFS(COMPRAS!$I$6:$I$1005,COMPRAS!$D$6:$D$1005,$A111))</f>
        <v/>
      </c>
      <c r="R111" s="34" t="str">
        <f aca="false">IF($A111="","",SUMIFS(RECETAS!$L$6:$L$605,RECETAS!$C$6:$C$605,$A111))</f>
        <v/>
      </c>
      <c r="S111" s="34" t="str">
        <f aca="false">IF($A111="","",SUMIFS(MERMAS!$J$6:$J$505,MERMAS!$B$6:$B$505,$A111))</f>
        <v/>
      </c>
      <c r="T111" s="34" t="str">
        <f aca="false">IF($A111="","",N($L111)+$Q111-$R111+$S111)</f>
        <v/>
      </c>
      <c r="U111" s="35" t="str">
        <f aca="false">IF($A111="","",$T111*$O111)</f>
        <v/>
      </c>
      <c r="V111" s="42"/>
      <c r="W111" s="34" t="str">
        <f aca="false">IF(OR($A111="",$V111=""),"",$V111-$T111)</f>
        <v/>
      </c>
      <c r="X111" s="35" t="str">
        <f aca="false">IF($W111="","",$W111*$O111)</f>
        <v/>
      </c>
      <c r="Y111" s="8" t="str">
        <f aca="false">IF($A111="","",IF($T111&lt;=0,"AGOTADO",IF($T111&lt;=N($K111),"REORDENAR","OK")))</f>
        <v/>
      </c>
      <c r="Z111" s="34" t="str">
        <f aca="false">IF($A111="","",IF($T111&lt;=N($K111),ROUNDUP((2*N($K111)-$T111)/$F111,0),0))</f>
        <v/>
      </c>
      <c r="AA111" s="8" t="str">
        <f aca="false">IF(OR($Y111="REORDENAR",$Y111="AGOTADO"),ROW(),"")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39"/>
      <c r="G112" s="40"/>
      <c r="H112" s="41"/>
      <c r="I112" s="41"/>
      <c r="J112" s="6"/>
      <c r="K112" s="42"/>
      <c r="L112" s="42"/>
      <c r="M112" s="43" t="str">
        <f aca="false">IF($A112="","",IFERROR($G112/$F112,0))</f>
        <v/>
      </c>
      <c r="N112" s="43" t="str">
        <f aca="false">IF($A112="","",IFERROR(SUMIFS(COMPRAS!$N$6:$N$1005,COMPRAS!$D$6:$D$1005,$A112,COMPRAS!$R$6:$R$1005,1)/COUNTIFS(COMPRAS!$D$6:$D$1005,$A112,COMPRAS!$R$6:$R$1005,1),0))</f>
        <v/>
      </c>
      <c r="O112" s="43" t="str">
        <f aca="false">IF($A112="","",IF($N112&gt;0,$N112,$M112))</f>
        <v/>
      </c>
      <c r="P112" s="43" t="str">
        <f aca="false">IF($A112="","",IF(N($I112)&gt;0,$O112/$I112,$O112))</f>
        <v/>
      </c>
      <c r="Q112" s="34" t="str">
        <f aca="false">IF($A112="","",SUMIFS(COMPRAS!$I$6:$I$1005,COMPRAS!$D$6:$D$1005,$A112))</f>
        <v/>
      </c>
      <c r="R112" s="34" t="str">
        <f aca="false">IF($A112="","",SUMIFS(RECETAS!$L$6:$L$605,RECETAS!$C$6:$C$605,$A112))</f>
        <v/>
      </c>
      <c r="S112" s="34" t="str">
        <f aca="false">IF($A112="","",SUMIFS(MERMAS!$J$6:$J$505,MERMAS!$B$6:$B$505,$A112))</f>
        <v/>
      </c>
      <c r="T112" s="34" t="str">
        <f aca="false">IF($A112="","",N($L112)+$Q112-$R112+$S112)</f>
        <v/>
      </c>
      <c r="U112" s="35" t="str">
        <f aca="false">IF($A112="","",$T112*$O112)</f>
        <v/>
      </c>
      <c r="V112" s="42"/>
      <c r="W112" s="34" t="str">
        <f aca="false">IF(OR($A112="",$V112=""),"",$V112-$T112)</f>
        <v/>
      </c>
      <c r="X112" s="35" t="str">
        <f aca="false">IF($W112="","",$W112*$O112)</f>
        <v/>
      </c>
      <c r="Y112" s="8" t="str">
        <f aca="false">IF($A112="","",IF($T112&lt;=0,"AGOTADO",IF($T112&lt;=N($K112),"REORDENAR","OK")))</f>
        <v/>
      </c>
      <c r="Z112" s="34" t="str">
        <f aca="false">IF($A112="","",IF($T112&lt;=N($K112),ROUNDUP((2*N($K112)-$T112)/$F112,0),0))</f>
        <v/>
      </c>
      <c r="AA112" s="8" t="str">
        <f aca="false">IF(OR($Y112="REORDENAR",$Y112="AGOTADO"),ROW(),"")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39"/>
      <c r="G113" s="40"/>
      <c r="H113" s="41"/>
      <c r="I113" s="41"/>
      <c r="J113" s="6"/>
      <c r="K113" s="42"/>
      <c r="L113" s="42"/>
      <c r="M113" s="43" t="str">
        <f aca="false">IF($A113="","",IFERROR($G113/$F113,0))</f>
        <v/>
      </c>
      <c r="N113" s="43" t="str">
        <f aca="false">IF($A113="","",IFERROR(SUMIFS(COMPRAS!$N$6:$N$1005,COMPRAS!$D$6:$D$1005,$A113,COMPRAS!$R$6:$R$1005,1)/COUNTIFS(COMPRAS!$D$6:$D$1005,$A113,COMPRAS!$R$6:$R$1005,1),0))</f>
        <v/>
      </c>
      <c r="O113" s="43" t="str">
        <f aca="false">IF($A113="","",IF($N113&gt;0,$N113,$M113))</f>
        <v/>
      </c>
      <c r="P113" s="43" t="str">
        <f aca="false">IF($A113="","",IF(N($I113)&gt;0,$O113/$I113,$O113))</f>
        <v/>
      </c>
      <c r="Q113" s="34" t="str">
        <f aca="false">IF($A113="","",SUMIFS(COMPRAS!$I$6:$I$1005,COMPRAS!$D$6:$D$1005,$A113))</f>
        <v/>
      </c>
      <c r="R113" s="34" t="str">
        <f aca="false">IF($A113="","",SUMIFS(RECETAS!$L$6:$L$605,RECETAS!$C$6:$C$605,$A113))</f>
        <v/>
      </c>
      <c r="S113" s="34" t="str">
        <f aca="false">IF($A113="","",SUMIFS(MERMAS!$J$6:$J$505,MERMAS!$B$6:$B$505,$A113))</f>
        <v/>
      </c>
      <c r="T113" s="34" t="str">
        <f aca="false">IF($A113="","",N($L113)+$Q113-$R113+$S113)</f>
        <v/>
      </c>
      <c r="U113" s="35" t="str">
        <f aca="false">IF($A113="","",$T113*$O113)</f>
        <v/>
      </c>
      <c r="V113" s="42"/>
      <c r="W113" s="34" t="str">
        <f aca="false">IF(OR($A113="",$V113=""),"",$V113-$T113)</f>
        <v/>
      </c>
      <c r="X113" s="35" t="str">
        <f aca="false">IF($W113="","",$W113*$O113)</f>
        <v/>
      </c>
      <c r="Y113" s="8" t="str">
        <f aca="false">IF($A113="","",IF($T113&lt;=0,"AGOTADO",IF($T113&lt;=N($K113),"REORDENAR","OK")))</f>
        <v/>
      </c>
      <c r="Z113" s="34" t="str">
        <f aca="false">IF($A113="","",IF($T113&lt;=N($K113),ROUNDUP((2*N($K113)-$T113)/$F113,0),0))</f>
        <v/>
      </c>
      <c r="AA113" s="8" t="str">
        <f aca="false">IF(OR($Y113="REORDENAR",$Y113="AGOTADO"),ROW(),"")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39"/>
      <c r="G114" s="40"/>
      <c r="H114" s="41"/>
      <c r="I114" s="41"/>
      <c r="J114" s="6"/>
      <c r="K114" s="42"/>
      <c r="L114" s="42"/>
      <c r="M114" s="43" t="str">
        <f aca="false">IF($A114="","",IFERROR($G114/$F114,0))</f>
        <v/>
      </c>
      <c r="N114" s="43" t="str">
        <f aca="false">IF($A114="","",IFERROR(SUMIFS(COMPRAS!$N$6:$N$1005,COMPRAS!$D$6:$D$1005,$A114,COMPRAS!$R$6:$R$1005,1)/COUNTIFS(COMPRAS!$D$6:$D$1005,$A114,COMPRAS!$R$6:$R$1005,1),0))</f>
        <v/>
      </c>
      <c r="O114" s="43" t="str">
        <f aca="false">IF($A114="","",IF($N114&gt;0,$N114,$M114))</f>
        <v/>
      </c>
      <c r="P114" s="43" t="str">
        <f aca="false">IF($A114="","",IF(N($I114)&gt;0,$O114/$I114,$O114))</f>
        <v/>
      </c>
      <c r="Q114" s="34" t="str">
        <f aca="false">IF($A114="","",SUMIFS(COMPRAS!$I$6:$I$1005,COMPRAS!$D$6:$D$1005,$A114))</f>
        <v/>
      </c>
      <c r="R114" s="34" t="str">
        <f aca="false">IF($A114="","",SUMIFS(RECETAS!$L$6:$L$605,RECETAS!$C$6:$C$605,$A114))</f>
        <v/>
      </c>
      <c r="S114" s="34" t="str">
        <f aca="false">IF($A114="","",SUMIFS(MERMAS!$J$6:$J$505,MERMAS!$B$6:$B$505,$A114))</f>
        <v/>
      </c>
      <c r="T114" s="34" t="str">
        <f aca="false">IF($A114="","",N($L114)+$Q114-$R114+$S114)</f>
        <v/>
      </c>
      <c r="U114" s="35" t="str">
        <f aca="false">IF($A114="","",$T114*$O114)</f>
        <v/>
      </c>
      <c r="V114" s="42"/>
      <c r="W114" s="34" t="str">
        <f aca="false">IF(OR($A114="",$V114=""),"",$V114-$T114)</f>
        <v/>
      </c>
      <c r="X114" s="35" t="str">
        <f aca="false">IF($W114="","",$W114*$O114)</f>
        <v/>
      </c>
      <c r="Y114" s="8" t="str">
        <f aca="false">IF($A114="","",IF($T114&lt;=0,"AGOTADO",IF($T114&lt;=N($K114),"REORDENAR","OK")))</f>
        <v/>
      </c>
      <c r="Z114" s="34" t="str">
        <f aca="false">IF($A114="","",IF($T114&lt;=N($K114),ROUNDUP((2*N($K114)-$T114)/$F114,0),0))</f>
        <v/>
      </c>
      <c r="AA114" s="8" t="str">
        <f aca="false">IF(OR($Y114="REORDENAR",$Y114="AGOTADO"),ROW(),"")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39"/>
      <c r="G115" s="40"/>
      <c r="H115" s="41"/>
      <c r="I115" s="41"/>
      <c r="J115" s="6"/>
      <c r="K115" s="42"/>
      <c r="L115" s="42"/>
      <c r="M115" s="43" t="str">
        <f aca="false">IF($A115="","",IFERROR($G115/$F115,0))</f>
        <v/>
      </c>
      <c r="N115" s="43" t="str">
        <f aca="false">IF($A115="","",IFERROR(SUMIFS(COMPRAS!$N$6:$N$1005,COMPRAS!$D$6:$D$1005,$A115,COMPRAS!$R$6:$R$1005,1)/COUNTIFS(COMPRAS!$D$6:$D$1005,$A115,COMPRAS!$R$6:$R$1005,1),0))</f>
        <v/>
      </c>
      <c r="O115" s="43" t="str">
        <f aca="false">IF($A115="","",IF($N115&gt;0,$N115,$M115))</f>
        <v/>
      </c>
      <c r="P115" s="43" t="str">
        <f aca="false">IF($A115="","",IF(N($I115)&gt;0,$O115/$I115,$O115))</f>
        <v/>
      </c>
      <c r="Q115" s="34" t="str">
        <f aca="false">IF($A115="","",SUMIFS(COMPRAS!$I$6:$I$1005,COMPRAS!$D$6:$D$1005,$A115))</f>
        <v/>
      </c>
      <c r="R115" s="34" t="str">
        <f aca="false">IF($A115="","",SUMIFS(RECETAS!$L$6:$L$605,RECETAS!$C$6:$C$605,$A115))</f>
        <v/>
      </c>
      <c r="S115" s="34" t="str">
        <f aca="false">IF($A115="","",SUMIFS(MERMAS!$J$6:$J$505,MERMAS!$B$6:$B$505,$A115))</f>
        <v/>
      </c>
      <c r="T115" s="34" t="str">
        <f aca="false">IF($A115="","",N($L115)+$Q115-$R115+$S115)</f>
        <v/>
      </c>
      <c r="U115" s="35" t="str">
        <f aca="false">IF($A115="","",$T115*$O115)</f>
        <v/>
      </c>
      <c r="V115" s="42"/>
      <c r="W115" s="34" t="str">
        <f aca="false">IF(OR($A115="",$V115=""),"",$V115-$T115)</f>
        <v/>
      </c>
      <c r="X115" s="35" t="str">
        <f aca="false">IF($W115="","",$W115*$O115)</f>
        <v/>
      </c>
      <c r="Y115" s="8" t="str">
        <f aca="false">IF($A115="","",IF($T115&lt;=0,"AGOTADO",IF($T115&lt;=N($K115),"REORDENAR","OK")))</f>
        <v/>
      </c>
      <c r="Z115" s="34" t="str">
        <f aca="false">IF($A115="","",IF($T115&lt;=N($K115),ROUNDUP((2*N($K115)-$T115)/$F115,0),0))</f>
        <v/>
      </c>
      <c r="AA115" s="8" t="str">
        <f aca="false">IF(OR($Y115="REORDENAR",$Y115="AGOTADO"),ROW(),"")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39"/>
      <c r="G116" s="40"/>
      <c r="H116" s="41"/>
      <c r="I116" s="41"/>
      <c r="J116" s="6"/>
      <c r="K116" s="42"/>
      <c r="L116" s="42"/>
      <c r="M116" s="43" t="str">
        <f aca="false">IF($A116="","",IFERROR($G116/$F116,0))</f>
        <v/>
      </c>
      <c r="N116" s="43" t="str">
        <f aca="false">IF($A116="","",IFERROR(SUMIFS(COMPRAS!$N$6:$N$1005,COMPRAS!$D$6:$D$1005,$A116,COMPRAS!$R$6:$R$1005,1)/COUNTIFS(COMPRAS!$D$6:$D$1005,$A116,COMPRAS!$R$6:$R$1005,1),0))</f>
        <v/>
      </c>
      <c r="O116" s="43" t="str">
        <f aca="false">IF($A116="","",IF($N116&gt;0,$N116,$M116))</f>
        <v/>
      </c>
      <c r="P116" s="43" t="str">
        <f aca="false">IF($A116="","",IF(N($I116)&gt;0,$O116/$I116,$O116))</f>
        <v/>
      </c>
      <c r="Q116" s="34" t="str">
        <f aca="false">IF($A116="","",SUMIFS(COMPRAS!$I$6:$I$1005,COMPRAS!$D$6:$D$1005,$A116))</f>
        <v/>
      </c>
      <c r="R116" s="34" t="str">
        <f aca="false">IF($A116="","",SUMIFS(RECETAS!$L$6:$L$605,RECETAS!$C$6:$C$605,$A116))</f>
        <v/>
      </c>
      <c r="S116" s="34" t="str">
        <f aca="false">IF($A116="","",SUMIFS(MERMAS!$J$6:$J$505,MERMAS!$B$6:$B$505,$A116))</f>
        <v/>
      </c>
      <c r="T116" s="34" t="str">
        <f aca="false">IF($A116="","",N($L116)+$Q116-$R116+$S116)</f>
        <v/>
      </c>
      <c r="U116" s="35" t="str">
        <f aca="false">IF($A116="","",$T116*$O116)</f>
        <v/>
      </c>
      <c r="V116" s="42"/>
      <c r="W116" s="34" t="str">
        <f aca="false">IF(OR($A116="",$V116=""),"",$V116-$T116)</f>
        <v/>
      </c>
      <c r="X116" s="35" t="str">
        <f aca="false">IF($W116="","",$W116*$O116)</f>
        <v/>
      </c>
      <c r="Y116" s="8" t="str">
        <f aca="false">IF($A116="","",IF($T116&lt;=0,"AGOTADO",IF($T116&lt;=N($K116),"REORDENAR","OK")))</f>
        <v/>
      </c>
      <c r="Z116" s="34" t="str">
        <f aca="false">IF($A116="","",IF($T116&lt;=N($K116),ROUNDUP((2*N($K116)-$T116)/$F116,0),0))</f>
        <v/>
      </c>
      <c r="AA116" s="8" t="str">
        <f aca="false">IF(OR($Y116="REORDENAR",$Y116="AGOTADO"),ROW(),"")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39"/>
      <c r="G117" s="40"/>
      <c r="H117" s="41"/>
      <c r="I117" s="41"/>
      <c r="J117" s="6"/>
      <c r="K117" s="42"/>
      <c r="L117" s="42"/>
      <c r="M117" s="43" t="str">
        <f aca="false">IF($A117="","",IFERROR($G117/$F117,0))</f>
        <v/>
      </c>
      <c r="N117" s="43" t="str">
        <f aca="false">IF($A117="","",IFERROR(SUMIFS(COMPRAS!$N$6:$N$1005,COMPRAS!$D$6:$D$1005,$A117,COMPRAS!$R$6:$R$1005,1)/COUNTIFS(COMPRAS!$D$6:$D$1005,$A117,COMPRAS!$R$6:$R$1005,1),0))</f>
        <v/>
      </c>
      <c r="O117" s="43" t="str">
        <f aca="false">IF($A117="","",IF($N117&gt;0,$N117,$M117))</f>
        <v/>
      </c>
      <c r="P117" s="43" t="str">
        <f aca="false">IF($A117="","",IF(N($I117)&gt;0,$O117/$I117,$O117))</f>
        <v/>
      </c>
      <c r="Q117" s="34" t="str">
        <f aca="false">IF($A117="","",SUMIFS(COMPRAS!$I$6:$I$1005,COMPRAS!$D$6:$D$1005,$A117))</f>
        <v/>
      </c>
      <c r="R117" s="34" t="str">
        <f aca="false">IF($A117="","",SUMIFS(RECETAS!$L$6:$L$605,RECETAS!$C$6:$C$605,$A117))</f>
        <v/>
      </c>
      <c r="S117" s="34" t="str">
        <f aca="false">IF($A117="","",SUMIFS(MERMAS!$J$6:$J$505,MERMAS!$B$6:$B$505,$A117))</f>
        <v/>
      </c>
      <c r="T117" s="34" t="str">
        <f aca="false">IF($A117="","",N($L117)+$Q117-$R117+$S117)</f>
        <v/>
      </c>
      <c r="U117" s="35" t="str">
        <f aca="false">IF($A117="","",$T117*$O117)</f>
        <v/>
      </c>
      <c r="V117" s="42"/>
      <c r="W117" s="34" t="str">
        <f aca="false">IF(OR($A117="",$V117=""),"",$V117-$T117)</f>
        <v/>
      </c>
      <c r="X117" s="35" t="str">
        <f aca="false">IF($W117="","",$W117*$O117)</f>
        <v/>
      </c>
      <c r="Y117" s="8" t="str">
        <f aca="false">IF($A117="","",IF($T117&lt;=0,"AGOTADO",IF($T117&lt;=N($K117),"REORDENAR","OK")))</f>
        <v/>
      </c>
      <c r="Z117" s="34" t="str">
        <f aca="false">IF($A117="","",IF($T117&lt;=N($K117),ROUNDUP((2*N($K117)-$T117)/$F117,0),0))</f>
        <v/>
      </c>
      <c r="AA117" s="8" t="str">
        <f aca="false">IF(OR($Y117="REORDENAR",$Y117="AGOTADO"),ROW(),"")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39"/>
      <c r="G118" s="40"/>
      <c r="H118" s="41"/>
      <c r="I118" s="41"/>
      <c r="J118" s="6"/>
      <c r="K118" s="42"/>
      <c r="L118" s="42"/>
      <c r="M118" s="43" t="str">
        <f aca="false">IF($A118="","",IFERROR($G118/$F118,0))</f>
        <v/>
      </c>
      <c r="N118" s="43" t="str">
        <f aca="false">IF($A118="","",IFERROR(SUMIFS(COMPRAS!$N$6:$N$1005,COMPRAS!$D$6:$D$1005,$A118,COMPRAS!$R$6:$R$1005,1)/COUNTIFS(COMPRAS!$D$6:$D$1005,$A118,COMPRAS!$R$6:$R$1005,1),0))</f>
        <v/>
      </c>
      <c r="O118" s="43" t="str">
        <f aca="false">IF($A118="","",IF($N118&gt;0,$N118,$M118))</f>
        <v/>
      </c>
      <c r="P118" s="43" t="str">
        <f aca="false">IF($A118="","",IF(N($I118)&gt;0,$O118/$I118,$O118))</f>
        <v/>
      </c>
      <c r="Q118" s="34" t="str">
        <f aca="false">IF($A118="","",SUMIFS(COMPRAS!$I$6:$I$1005,COMPRAS!$D$6:$D$1005,$A118))</f>
        <v/>
      </c>
      <c r="R118" s="34" t="str">
        <f aca="false">IF($A118="","",SUMIFS(RECETAS!$L$6:$L$605,RECETAS!$C$6:$C$605,$A118))</f>
        <v/>
      </c>
      <c r="S118" s="34" t="str">
        <f aca="false">IF($A118="","",SUMIFS(MERMAS!$J$6:$J$505,MERMAS!$B$6:$B$505,$A118))</f>
        <v/>
      </c>
      <c r="T118" s="34" t="str">
        <f aca="false">IF($A118="","",N($L118)+$Q118-$R118+$S118)</f>
        <v/>
      </c>
      <c r="U118" s="35" t="str">
        <f aca="false">IF($A118="","",$T118*$O118)</f>
        <v/>
      </c>
      <c r="V118" s="42"/>
      <c r="W118" s="34" t="str">
        <f aca="false">IF(OR($A118="",$V118=""),"",$V118-$T118)</f>
        <v/>
      </c>
      <c r="X118" s="35" t="str">
        <f aca="false">IF($W118="","",$W118*$O118)</f>
        <v/>
      </c>
      <c r="Y118" s="8" t="str">
        <f aca="false">IF($A118="","",IF($T118&lt;=0,"AGOTADO",IF($T118&lt;=N($K118),"REORDENAR","OK")))</f>
        <v/>
      </c>
      <c r="Z118" s="34" t="str">
        <f aca="false">IF($A118="","",IF($T118&lt;=N($K118),ROUNDUP((2*N($K118)-$T118)/$F118,0),0))</f>
        <v/>
      </c>
      <c r="AA118" s="8" t="str">
        <f aca="false">IF(OR($Y118="REORDENAR",$Y118="AGOTADO"),ROW(),"")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39"/>
      <c r="G119" s="40"/>
      <c r="H119" s="41"/>
      <c r="I119" s="41"/>
      <c r="J119" s="6"/>
      <c r="K119" s="42"/>
      <c r="L119" s="42"/>
      <c r="M119" s="43" t="str">
        <f aca="false">IF($A119="","",IFERROR($G119/$F119,0))</f>
        <v/>
      </c>
      <c r="N119" s="43" t="str">
        <f aca="false">IF($A119="","",IFERROR(SUMIFS(COMPRAS!$N$6:$N$1005,COMPRAS!$D$6:$D$1005,$A119,COMPRAS!$R$6:$R$1005,1)/COUNTIFS(COMPRAS!$D$6:$D$1005,$A119,COMPRAS!$R$6:$R$1005,1),0))</f>
        <v/>
      </c>
      <c r="O119" s="43" t="str">
        <f aca="false">IF($A119="","",IF($N119&gt;0,$N119,$M119))</f>
        <v/>
      </c>
      <c r="P119" s="43" t="str">
        <f aca="false">IF($A119="","",IF(N($I119)&gt;0,$O119/$I119,$O119))</f>
        <v/>
      </c>
      <c r="Q119" s="34" t="str">
        <f aca="false">IF($A119="","",SUMIFS(COMPRAS!$I$6:$I$1005,COMPRAS!$D$6:$D$1005,$A119))</f>
        <v/>
      </c>
      <c r="R119" s="34" t="str">
        <f aca="false">IF($A119="","",SUMIFS(RECETAS!$L$6:$L$605,RECETAS!$C$6:$C$605,$A119))</f>
        <v/>
      </c>
      <c r="S119" s="34" t="str">
        <f aca="false">IF($A119="","",SUMIFS(MERMAS!$J$6:$J$505,MERMAS!$B$6:$B$505,$A119))</f>
        <v/>
      </c>
      <c r="T119" s="34" t="str">
        <f aca="false">IF($A119="","",N($L119)+$Q119-$R119+$S119)</f>
        <v/>
      </c>
      <c r="U119" s="35" t="str">
        <f aca="false">IF($A119="","",$T119*$O119)</f>
        <v/>
      </c>
      <c r="V119" s="42"/>
      <c r="W119" s="34" t="str">
        <f aca="false">IF(OR($A119="",$V119=""),"",$V119-$T119)</f>
        <v/>
      </c>
      <c r="X119" s="35" t="str">
        <f aca="false">IF($W119="","",$W119*$O119)</f>
        <v/>
      </c>
      <c r="Y119" s="8" t="str">
        <f aca="false">IF($A119="","",IF($T119&lt;=0,"AGOTADO",IF($T119&lt;=N($K119),"REORDENAR","OK")))</f>
        <v/>
      </c>
      <c r="Z119" s="34" t="str">
        <f aca="false">IF($A119="","",IF($T119&lt;=N($K119),ROUNDUP((2*N($K119)-$T119)/$F119,0),0))</f>
        <v/>
      </c>
      <c r="AA119" s="8" t="str">
        <f aca="false">IF(OR($Y119="REORDENAR",$Y119="AGOTADO"),ROW(),"")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39"/>
      <c r="G120" s="40"/>
      <c r="H120" s="41"/>
      <c r="I120" s="41"/>
      <c r="J120" s="6"/>
      <c r="K120" s="42"/>
      <c r="L120" s="42"/>
      <c r="M120" s="43" t="str">
        <f aca="false">IF($A120="","",IFERROR($G120/$F120,0))</f>
        <v/>
      </c>
      <c r="N120" s="43" t="str">
        <f aca="false">IF($A120="","",IFERROR(SUMIFS(COMPRAS!$N$6:$N$1005,COMPRAS!$D$6:$D$1005,$A120,COMPRAS!$R$6:$R$1005,1)/COUNTIFS(COMPRAS!$D$6:$D$1005,$A120,COMPRAS!$R$6:$R$1005,1),0))</f>
        <v/>
      </c>
      <c r="O120" s="43" t="str">
        <f aca="false">IF($A120="","",IF($N120&gt;0,$N120,$M120))</f>
        <v/>
      </c>
      <c r="P120" s="43" t="str">
        <f aca="false">IF($A120="","",IF(N($I120)&gt;0,$O120/$I120,$O120))</f>
        <v/>
      </c>
      <c r="Q120" s="34" t="str">
        <f aca="false">IF($A120="","",SUMIFS(COMPRAS!$I$6:$I$1005,COMPRAS!$D$6:$D$1005,$A120))</f>
        <v/>
      </c>
      <c r="R120" s="34" t="str">
        <f aca="false">IF($A120="","",SUMIFS(RECETAS!$L$6:$L$605,RECETAS!$C$6:$C$605,$A120))</f>
        <v/>
      </c>
      <c r="S120" s="34" t="str">
        <f aca="false">IF($A120="","",SUMIFS(MERMAS!$J$6:$J$505,MERMAS!$B$6:$B$505,$A120))</f>
        <v/>
      </c>
      <c r="T120" s="34" t="str">
        <f aca="false">IF($A120="","",N($L120)+$Q120-$R120+$S120)</f>
        <v/>
      </c>
      <c r="U120" s="35" t="str">
        <f aca="false">IF($A120="","",$T120*$O120)</f>
        <v/>
      </c>
      <c r="V120" s="42"/>
      <c r="W120" s="34" t="str">
        <f aca="false">IF(OR($A120="",$V120=""),"",$V120-$T120)</f>
        <v/>
      </c>
      <c r="X120" s="35" t="str">
        <f aca="false">IF($W120="","",$W120*$O120)</f>
        <v/>
      </c>
      <c r="Y120" s="8" t="str">
        <f aca="false">IF($A120="","",IF($T120&lt;=0,"AGOTADO",IF($T120&lt;=N($K120),"REORDENAR","OK")))</f>
        <v/>
      </c>
      <c r="Z120" s="34" t="str">
        <f aca="false">IF($A120="","",IF($T120&lt;=N($K120),ROUNDUP((2*N($K120)-$T120)/$F120,0),0))</f>
        <v/>
      </c>
      <c r="AA120" s="8" t="str">
        <f aca="false">IF(OR($Y120="REORDENAR",$Y120="AGOTADO"),ROW(),"")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39"/>
      <c r="G121" s="40"/>
      <c r="H121" s="41"/>
      <c r="I121" s="41"/>
      <c r="J121" s="6"/>
      <c r="K121" s="42"/>
      <c r="L121" s="42"/>
      <c r="M121" s="43" t="str">
        <f aca="false">IF($A121="","",IFERROR($G121/$F121,0))</f>
        <v/>
      </c>
      <c r="N121" s="43" t="str">
        <f aca="false">IF($A121="","",IFERROR(SUMIFS(COMPRAS!$N$6:$N$1005,COMPRAS!$D$6:$D$1005,$A121,COMPRAS!$R$6:$R$1005,1)/COUNTIFS(COMPRAS!$D$6:$D$1005,$A121,COMPRAS!$R$6:$R$1005,1),0))</f>
        <v/>
      </c>
      <c r="O121" s="43" t="str">
        <f aca="false">IF($A121="","",IF($N121&gt;0,$N121,$M121))</f>
        <v/>
      </c>
      <c r="P121" s="43" t="str">
        <f aca="false">IF($A121="","",IF(N($I121)&gt;0,$O121/$I121,$O121))</f>
        <v/>
      </c>
      <c r="Q121" s="34" t="str">
        <f aca="false">IF($A121="","",SUMIFS(COMPRAS!$I$6:$I$1005,COMPRAS!$D$6:$D$1005,$A121))</f>
        <v/>
      </c>
      <c r="R121" s="34" t="str">
        <f aca="false">IF($A121="","",SUMIFS(RECETAS!$L$6:$L$605,RECETAS!$C$6:$C$605,$A121))</f>
        <v/>
      </c>
      <c r="S121" s="34" t="str">
        <f aca="false">IF($A121="","",SUMIFS(MERMAS!$J$6:$J$505,MERMAS!$B$6:$B$505,$A121))</f>
        <v/>
      </c>
      <c r="T121" s="34" t="str">
        <f aca="false">IF($A121="","",N($L121)+$Q121-$R121+$S121)</f>
        <v/>
      </c>
      <c r="U121" s="35" t="str">
        <f aca="false">IF($A121="","",$T121*$O121)</f>
        <v/>
      </c>
      <c r="V121" s="42"/>
      <c r="W121" s="34" t="str">
        <f aca="false">IF(OR($A121="",$V121=""),"",$V121-$T121)</f>
        <v/>
      </c>
      <c r="X121" s="35" t="str">
        <f aca="false">IF($W121="","",$W121*$O121)</f>
        <v/>
      </c>
      <c r="Y121" s="8" t="str">
        <f aca="false">IF($A121="","",IF($T121&lt;=0,"AGOTADO",IF($T121&lt;=N($K121),"REORDENAR","OK")))</f>
        <v/>
      </c>
      <c r="Z121" s="34" t="str">
        <f aca="false">IF($A121="","",IF($T121&lt;=N($K121),ROUNDUP((2*N($K121)-$T121)/$F121,0),0))</f>
        <v/>
      </c>
      <c r="AA121" s="8" t="str">
        <f aca="false">IF(OR($Y121="REORDENAR",$Y121="AGOTADO"),ROW(),"")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39"/>
      <c r="G122" s="40"/>
      <c r="H122" s="41"/>
      <c r="I122" s="41"/>
      <c r="J122" s="6"/>
      <c r="K122" s="42"/>
      <c r="L122" s="42"/>
      <c r="M122" s="43" t="str">
        <f aca="false">IF($A122="","",IFERROR($G122/$F122,0))</f>
        <v/>
      </c>
      <c r="N122" s="43" t="str">
        <f aca="false">IF($A122="","",IFERROR(SUMIFS(COMPRAS!$N$6:$N$1005,COMPRAS!$D$6:$D$1005,$A122,COMPRAS!$R$6:$R$1005,1)/COUNTIFS(COMPRAS!$D$6:$D$1005,$A122,COMPRAS!$R$6:$R$1005,1),0))</f>
        <v/>
      </c>
      <c r="O122" s="43" t="str">
        <f aca="false">IF($A122="","",IF($N122&gt;0,$N122,$M122))</f>
        <v/>
      </c>
      <c r="P122" s="43" t="str">
        <f aca="false">IF($A122="","",IF(N($I122)&gt;0,$O122/$I122,$O122))</f>
        <v/>
      </c>
      <c r="Q122" s="34" t="str">
        <f aca="false">IF($A122="","",SUMIFS(COMPRAS!$I$6:$I$1005,COMPRAS!$D$6:$D$1005,$A122))</f>
        <v/>
      </c>
      <c r="R122" s="34" t="str">
        <f aca="false">IF($A122="","",SUMIFS(RECETAS!$L$6:$L$605,RECETAS!$C$6:$C$605,$A122))</f>
        <v/>
      </c>
      <c r="S122" s="34" t="str">
        <f aca="false">IF($A122="","",SUMIFS(MERMAS!$J$6:$J$505,MERMAS!$B$6:$B$505,$A122))</f>
        <v/>
      </c>
      <c r="T122" s="34" t="str">
        <f aca="false">IF($A122="","",N($L122)+$Q122-$R122+$S122)</f>
        <v/>
      </c>
      <c r="U122" s="35" t="str">
        <f aca="false">IF($A122="","",$T122*$O122)</f>
        <v/>
      </c>
      <c r="V122" s="42"/>
      <c r="W122" s="34" t="str">
        <f aca="false">IF(OR($A122="",$V122=""),"",$V122-$T122)</f>
        <v/>
      </c>
      <c r="X122" s="35" t="str">
        <f aca="false">IF($W122="","",$W122*$O122)</f>
        <v/>
      </c>
      <c r="Y122" s="8" t="str">
        <f aca="false">IF($A122="","",IF($T122&lt;=0,"AGOTADO",IF($T122&lt;=N($K122),"REORDENAR","OK")))</f>
        <v/>
      </c>
      <c r="Z122" s="34" t="str">
        <f aca="false">IF($A122="","",IF($T122&lt;=N($K122),ROUNDUP((2*N($K122)-$T122)/$F122,0),0))</f>
        <v/>
      </c>
      <c r="AA122" s="8" t="str">
        <f aca="false">IF(OR($Y122="REORDENAR",$Y122="AGOTADO"),ROW(),"")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39"/>
      <c r="G123" s="40"/>
      <c r="H123" s="41"/>
      <c r="I123" s="41"/>
      <c r="J123" s="6"/>
      <c r="K123" s="42"/>
      <c r="L123" s="42"/>
      <c r="M123" s="43" t="str">
        <f aca="false">IF($A123="","",IFERROR($G123/$F123,0))</f>
        <v/>
      </c>
      <c r="N123" s="43" t="str">
        <f aca="false">IF($A123="","",IFERROR(SUMIFS(COMPRAS!$N$6:$N$1005,COMPRAS!$D$6:$D$1005,$A123,COMPRAS!$R$6:$R$1005,1)/COUNTIFS(COMPRAS!$D$6:$D$1005,$A123,COMPRAS!$R$6:$R$1005,1),0))</f>
        <v/>
      </c>
      <c r="O123" s="43" t="str">
        <f aca="false">IF($A123="","",IF($N123&gt;0,$N123,$M123))</f>
        <v/>
      </c>
      <c r="P123" s="43" t="str">
        <f aca="false">IF($A123="","",IF(N($I123)&gt;0,$O123/$I123,$O123))</f>
        <v/>
      </c>
      <c r="Q123" s="34" t="str">
        <f aca="false">IF($A123="","",SUMIFS(COMPRAS!$I$6:$I$1005,COMPRAS!$D$6:$D$1005,$A123))</f>
        <v/>
      </c>
      <c r="R123" s="34" t="str">
        <f aca="false">IF($A123="","",SUMIFS(RECETAS!$L$6:$L$605,RECETAS!$C$6:$C$605,$A123))</f>
        <v/>
      </c>
      <c r="S123" s="34" t="str">
        <f aca="false">IF($A123="","",SUMIFS(MERMAS!$J$6:$J$505,MERMAS!$B$6:$B$505,$A123))</f>
        <v/>
      </c>
      <c r="T123" s="34" t="str">
        <f aca="false">IF($A123="","",N($L123)+$Q123-$R123+$S123)</f>
        <v/>
      </c>
      <c r="U123" s="35" t="str">
        <f aca="false">IF($A123="","",$T123*$O123)</f>
        <v/>
      </c>
      <c r="V123" s="42"/>
      <c r="W123" s="34" t="str">
        <f aca="false">IF(OR($A123="",$V123=""),"",$V123-$T123)</f>
        <v/>
      </c>
      <c r="X123" s="35" t="str">
        <f aca="false">IF($W123="","",$W123*$O123)</f>
        <v/>
      </c>
      <c r="Y123" s="8" t="str">
        <f aca="false">IF($A123="","",IF($T123&lt;=0,"AGOTADO",IF($T123&lt;=N($K123),"REORDENAR","OK")))</f>
        <v/>
      </c>
      <c r="Z123" s="34" t="str">
        <f aca="false">IF($A123="","",IF($T123&lt;=N($K123),ROUNDUP((2*N($K123)-$T123)/$F123,0),0))</f>
        <v/>
      </c>
      <c r="AA123" s="8" t="str">
        <f aca="false">IF(OR($Y123="REORDENAR",$Y123="AGOTADO"),ROW(),"")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39"/>
      <c r="G124" s="40"/>
      <c r="H124" s="41"/>
      <c r="I124" s="41"/>
      <c r="J124" s="6"/>
      <c r="K124" s="42"/>
      <c r="L124" s="42"/>
      <c r="M124" s="43" t="str">
        <f aca="false">IF($A124="","",IFERROR($G124/$F124,0))</f>
        <v/>
      </c>
      <c r="N124" s="43" t="str">
        <f aca="false">IF($A124="","",IFERROR(SUMIFS(COMPRAS!$N$6:$N$1005,COMPRAS!$D$6:$D$1005,$A124,COMPRAS!$R$6:$R$1005,1)/COUNTIFS(COMPRAS!$D$6:$D$1005,$A124,COMPRAS!$R$6:$R$1005,1),0))</f>
        <v/>
      </c>
      <c r="O124" s="43" t="str">
        <f aca="false">IF($A124="","",IF($N124&gt;0,$N124,$M124))</f>
        <v/>
      </c>
      <c r="P124" s="43" t="str">
        <f aca="false">IF($A124="","",IF(N($I124)&gt;0,$O124/$I124,$O124))</f>
        <v/>
      </c>
      <c r="Q124" s="34" t="str">
        <f aca="false">IF($A124="","",SUMIFS(COMPRAS!$I$6:$I$1005,COMPRAS!$D$6:$D$1005,$A124))</f>
        <v/>
      </c>
      <c r="R124" s="34" t="str">
        <f aca="false">IF($A124="","",SUMIFS(RECETAS!$L$6:$L$605,RECETAS!$C$6:$C$605,$A124))</f>
        <v/>
      </c>
      <c r="S124" s="34" t="str">
        <f aca="false">IF($A124="","",SUMIFS(MERMAS!$J$6:$J$505,MERMAS!$B$6:$B$505,$A124))</f>
        <v/>
      </c>
      <c r="T124" s="34" t="str">
        <f aca="false">IF($A124="","",N($L124)+$Q124-$R124+$S124)</f>
        <v/>
      </c>
      <c r="U124" s="35" t="str">
        <f aca="false">IF($A124="","",$T124*$O124)</f>
        <v/>
      </c>
      <c r="V124" s="42"/>
      <c r="W124" s="34" t="str">
        <f aca="false">IF(OR($A124="",$V124=""),"",$V124-$T124)</f>
        <v/>
      </c>
      <c r="X124" s="35" t="str">
        <f aca="false">IF($W124="","",$W124*$O124)</f>
        <v/>
      </c>
      <c r="Y124" s="8" t="str">
        <f aca="false">IF($A124="","",IF($T124&lt;=0,"AGOTADO",IF($T124&lt;=N($K124),"REORDENAR","OK")))</f>
        <v/>
      </c>
      <c r="Z124" s="34" t="str">
        <f aca="false">IF($A124="","",IF($T124&lt;=N($K124),ROUNDUP((2*N($K124)-$T124)/$F124,0),0))</f>
        <v/>
      </c>
      <c r="AA124" s="8" t="str">
        <f aca="false">IF(OR($Y124="REORDENAR",$Y124="AGOTADO"),ROW(),"")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39"/>
      <c r="G125" s="40"/>
      <c r="H125" s="41"/>
      <c r="I125" s="41"/>
      <c r="J125" s="6"/>
      <c r="K125" s="42"/>
      <c r="L125" s="42"/>
      <c r="M125" s="43" t="str">
        <f aca="false">IF($A125="","",IFERROR($G125/$F125,0))</f>
        <v/>
      </c>
      <c r="N125" s="43" t="str">
        <f aca="false">IF($A125="","",IFERROR(SUMIFS(COMPRAS!$N$6:$N$1005,COMPRAS!$D$6:$D$1005,$A125,COMPRAS!$R$6:$R$1005,1)/COUNTIFS(COMPRAS!$D$6:$D$1005,$A125,COMPRAS!$R$6:$R$1005,1),0))</f>
        <v/>
      </c>
      <c r="O125" s="43" t="str">
        <f aca="false">IF($A125="","",IF($N125&gt;0,$N125,$M125))</f>
        <v/>
      </c>
      <c r="P125" s="43" t="str">
        <f aca="false">IF($A125="","",IF(N($I125)&gt;0,$O125/$I125,$O125))</f>
        <v/>
      </c>
      <c r="Q125" s="34" t="str">
        <f aca="false">IF($A125="","",SUMIFS(COMPRAS!$I$6:$I$1005,COMPRAS!$D$6:$D$1005,$A125))</f>
        <v/>
      </c>
      <c r="R125" s="34" t="str">
        <f aca="false">IF($A125="","",SUMIFS(RECETAS!$L$6:$L$605,RECETAS!$C$6:$C$605,$A125))</f>
        <v/>
      </c>
      <c r="S125" s="34" t="str">
        <f aca="false">IF($A125="","",SUMIFS(MERMAS!$J$6:$J$505,MERMAS!$B$6:$B$505,$A125))</f>
        <v/>
      </c>
      <c r="T125" s="34" t="str">
        <f aca="false">IF($A125="","",N($L125)+$Q125-$R125+$S125)</f>
        <v/>
      </c>
      <c r="U125" s="35" t="str">
        <f aca="false">IF($A125="","",$T125*$O125)</f>
        <v/>
      </c>
      <c r="V125" s="42"/>
      <c r="W125" s="34" t="str">
        <f aca="false">IF(OR($A125="",$V125=""),"",$V125-$T125)</f>
        <v/>
      </c>
      <c r="X125" s="35" t="str">
        <f aca="false">IF($W125="","",$W125*$O125)</f>
        <v/>
      </c>
      <c r="Y125" s="8" t="str">
        <f aca="false">IF($A125="","",IF($T125&lt;=0,"AGOTADO",IF($T125&lt;=N($K125),"REORDENAR","OK")))</f>
        <v/>
      </c>
      <c r="Z125" s="34" t="str">
        <f aca="false">IF($A125="","",IF($T125&lt;=N($K125),ROUNDUP((2*N($K125)-$T125)/$F125,0),0))</f>
        <v/>
      </c>
      <c r="AA125" s="8" t="str">
        <f aca="false">IF(OR($Y125="REORDENAR",$Y125="AGOTADO"),ROW(),"")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39"/>
      <c r="G126" s="40"/>
      <c r="H126" s="41"/>
      <c r="I126" s="41"/>
      <c r="J126" s="6"/>
      <c r="K126" s="42"/>
      <c r="L126" s="42"/>
      <c r="M126" s="43" t="str">
        <f aca="false">IF($A126="","",IFERROR($G126/$F126,0))</f>
        <v/>
      </c>
      <c r="N126" s="43" t="str">
        <f aca="false">IF($A126="","",IFERROR(SUMIFS(COMPRAS!$N$6:$N$1005,COMPRAS!$D$6:$D$1005,$A126,COMPRAS!$R$6:$R$1005,1)/COUNTIFS(COMPRAS!$D$6:$D$1005,$A126,COMPRAS!$R$6:$R$1005,1),0))</f>
        <v/>
      </c>
      <c r="O126" s="43" t="str">
        <f aca="false">IF($A126="","",IF($N126&gt;0,$N126,$M126))</f>
        <v/>
      </c>
      <c r="P126" s="43" t="str">
        <f aca="false">IF($A126="","",IF(N($I126)&gt;0,$O126/$I126,$O126))</f>
        <v/>
      </c>
      <c r="Q126" s="34" t="str">
        <f aca="false">IF($A126="","",SUMIFS(COMPRAS!$I$6:$I$1005,COMPRAS!$D$6:$D$1005,$A126))</f>
        <v/>
      </c>
      <c r="R126" s="34" t="str">
        <f aca="false">IF($A126="","",SUMIFS(RECETAS!$L$6:$L$605,RECETAS!$C$6:$C$605,$A126))</f>
        <v/>
      </c>
      <c r="S126" s="34" t="str">
        <f aca="false">IF($A126="","",SUMIFS(MERMAS!$J$6:$J$505,MERMAS!$B$6:$B$505,$A126))</f>
        <v/>
      </c>
      <c r="T126" s="34" t="str">
        <f aca="false">IF($A126="","",N($L126)+$Q126-$R126+$S126)</f>
        <v/>
      </c>
      <c r="U126" s="35" t="str">
        <f aca="false">IF($A126="","",$T126*$O126)</f>
        <v/>
      </c>
      <c r="V126" s="42"/>
      <c r="W126" s="34" t="str">
        <f aca="false">IF(OR($A126="",$V126=""),"",$V126-$T126)</f>
        <v/>
      </c>
      <c r="X126" s="35" t="str">
        <f aca="false">IF($W126="","",$W126*$O126)</f>
        <v/>
      </c>
      <c r="Y126" s="8" t="str">
        <f aca="false">IF($A126="","",IF($T126&lt;=0,"AGOTADO",IF($T126&lt;=N($K126),"REORDENAR","OK")))</f>
        <v/>
      </c>
      <c r="Z126" s="34" t="str">
        <f aca="false">IF($A126="","",IF($T126&lt;=N($K126),ROUNDUP((2*N($K126)-$T126)/$F126,0),0))</f>
        <v/>
      </c>
      <c r="AA126" s="8" t="str">
        <f aca="false">IF(OR($Y126="REORDENAR",$Y126="AGOTADO"),ROW(),"")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39"/>
      <c r="G127" s="40"/>
      <c r="H127" s="41"/>
      <c r="I127" s="41"/>
      <c r="J127" s="6"/>
      <c r="K127" s="42"/>
      <c r="L127" s="42"/>
      <c r="M127" s="43" t="str">
        <f aca="false">IF($A127="","",IFERROR($G127/$F127,0))</f>
        <v/>
      </c>
      <c r="N127" s="43" t="str">
        <f aca="false">IF($A127="","",IFERROR(SUMIFS(COMPRAS!$N$6:$N$1005,COMPRAS!$D$6:$D$1005,$A127,COMPRAS!$R$6:$R$1005,1)/COUNTIFS(COMPRAS!$D$6:$D$1005,$A127,COMPRAS!$R$6:$R$1005,1),0))</f>
        <v/>
      </c>
      <c r="O127" s="43" t="str">
        <f aca="false">IF($A127="","",IF($N127&gt;0,$N127,$M127))</f>
        <v/>
      </c>
      <c r="P127" s="43" t="str">
        <f aca="false">IF($A127="","",IF(N($I127)&gt;0,$O127/$I127,$O127))</f>
        <v/>
      </c>
      <c r="Q127" s="34" t="str">
        <f aca="false">IF($A127="","",SUMIFS(COMPRAS!$I$6:$I$1005,COMPRAS!$D$6:$D$1005,$A127))</f>
        <v/>
      </c>
      <c r="R127" s="34" t="str">
        <f aca="false">IF($A127="","",SUMIFS(RECETAS!$L$6:$L$605,RECETAS!$C$6:$C$605,$A127))</f>
        <v/>
      </c>
      <c r="S127" s="34" t="str">
        <f aca="false">IF($A127="","",SUMIFS(MERMAS!$J$6:$J$505,MERMAS!$B$6:$B$505,$A127))</f>
        <v/>
      </c>
      <c r="T127" s="34" t="str">
        <f aca="false">IF($A127="","",N($L127)+$Q127-$R127+$S127)</f>
        <v/>
      </c>
      <c r="U127" s="35" t="str">
        <f aca="false">IF($A127="","",$T127*$O127)</f>
        <v/>
      </c>
      <c r="V127" s="42"/>
      <c r="W127" s="34" t="str">
        <f aca="false">IF(OR($A127="",$V127=""),"",$V127-$T127)</f>
        <v/>
      </c>
      <c r="X127" s="35" t="str">
        <f aca="false">IF($W127="","",$W127*$O127)</f>
        <v/>
      </c>
      <c r="Y127" s="8" t="str">
        <f aca="false">IF($A127="","",IF($T127&lt;=0,"AGOTADO",IF($T127&lt;=N($K127),"REORDENAR","OK")))</f>
        <v/>
      </c>
      <c r="Z127" s="34" t="str">
        <f aca="false">IF($A127="","",IF($T127&lt;=N($K127),ROUNDUP((2*N($K127)-$T127)/$F127,0),0))</f>
        <v/>
      </c>
      <c r="AA127" s="8" t="str">
        <f aca="false">IF(OR($Y127="REORDENAR",$Y127="AGOTADO"),ROW(),"")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39"/>
      <c r="G128" s="40"/>
      <c r="H128" s="41"/>
      <c r="I128" s="41"/>
      <c r="J128" s="6"/>
      <c r="K128" s="42"/>
      <c r="L128" s="42"/>
      <c r="M128" s="43" t="str">
        <f aca="false">IF($A128="","",IFERROR($G128/$F128,0))</f>
        <v/>
      </c>
      <c r="N128" s="43" t="str">
        <f aca="false">IF($A128="","",IFERROR(SUMIFS(COMPRAS!$N$6:$N$1005,COMPRAS!$D$6:$D$1005,$A128,COMPRAS!$R$6:$R$1005,1)/COUNTIFS(COMPRAS!$D$6:$D$1005,$A128,COMPRAS!$R$6:$R$1005,1),0))</f>
        <v/>
      </c>
      <c r="O128" s="43" t="str">
        <f aca="false">IF($A128="","",IF($N128&gt;0,$N128,$M128))</f>
        <v/>
      </c>
      <c r="P128" s="43" t="str">
        <f aca="false">IF($A128="","",IF(N($I128)&gt;0,$O128/$I128,$O128))</f>
        <v/>
      </c>
      <c r="Q128" s="34" t="str">
        <f aca="false">IF($A128="","",SUMIFS(COMPRAS!$I$6:$I$1005,COMPRAS!$D$6:$D$1005,$A128))</f>
        <v/>
      </c>
      <c r="R128" s="34" t="str">
        <f aca="false">IF($A128="","",SUMIFS(RECETAS!$L$6:$L$605,RECETAS!$C$6:$C$605,$A128))</f>
        <v/>
      </c>
      <c r="S128" s="34" t="str">
        <f aca="false">IF($A128="","",SUMIFS(MERMAS!$J$6:$J$505,MERMAS!$B$6:$B$505,$A128))</f>
        <v/>
      </c>
      <c r="T128" s="34" t="str">
        <f aca="false">IF($A128="","",N($L128)+$Q128-$R128+$S128)</f>
        <v/>
      </c>
      <c r="U128" s="35" t="str">
        <f aca="false">IF($A128="","",$T128*$O128)</f>
        <v/>
      </c>
      <c r="V128" s="42"/>
      <c r="W128" s="34" t="str">
        <f aca="false">IF(OR($A128="",$V128=""),"",$V128-$T128)</f>
        <v/>
      </c>
      <c r="X128" s="35" t="str">
        <f aca="false">IF($W128="","",$W128*$O128)</f>
        <v/>
      </c>
      <c r="Y128" s="8" t="str">
        <f aca="false">IF($A128="","",IF($T128&lt;=0,"AGOTADO",IF($T128&lt;=N($K128),"REORDENAR","OK")))</f>
        <v/>
      </c>
      <c r="Z128" s="34" t="str">
        <f aca="false">IF($A128="","",IF($T128&lt;=N($K128),ROUNDUP((2*N($K128)-$T128)/$F128,0),0))</f>
        <v/>
      </c>
      <c r="AA128" s="8" t="str">
        <f aca="false">IF(OR($Y128="REORDENAR",$Y128="AGOTADO"),ROW(),"")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39"/>
      <c r="G129" s="40"/>
      <c r="H129" s="41"/>
      <c r="I129" s="41"/>
      <c r="J129" s="6"/>
      <c r="K129" s="42"/>
      <c r="L129" s="42"/>
      <c r="M129" s="43" t="str">
        <f aca="false">IF($A129="","",IFERROR($G129/$F129,0))</f>
        <v/>
      </c>
      <c r="N129" s="43" t="str">
        <f aca="false">IF($A129="","",IFERROR(SUMIFS(COMPRAS!$N$6:$N$1005,COMPRAS!$D$6:$D$1005,$A129,COMPRAS!$R$6:$R$1005,1)/COUNTIFS(COMPRAS!$D$6:$D$1005,$A129,COMPRAS!$R$6:$R$1005,1),0))</f>
        <v/>
      </c>
      <c r="O129" s="43" t="str">
        <f aca="false">IF($A129="","",IF($N129&gt;0,$N129,$M129))</f>
        <v/>
      </c>
      <c r="P129" s="43" t="str">
        <f aca="false">IF($A129="","",IF(N($I129)&gt;0,$O129/$I129,$O129))</f>
        <v/>
      </c>
      <c r="Q129" s="34" t="str">
        <f aca="false">IF($A129="","",SUMIFS(COMPRAS!$I$6:$I$1005,COMPRAS!$D$6:$D$1005,$A129))</f>
        <v/>
      </c>
      <c r="R129" s="34" t="str">
        <f aca="false">IF($A129="","",SUMIFS(RECETAS!$L$6:$L$605,RECETAS!$C$6:$C$605,$A129))</f>
        <v/>
      </c>
      <c r="S129" s="34" t="str">
        <f aca="false">IF($A129="","",SUMIFS(MERMAS!$J$6:$J$505,MERMAS!$B$6:$B$505,$A129))</f>
        <v/>
      </c>
      <c r="T129" s="34" t="str">
        <f aca="false">IF($A129="","",N($L129)+$Q129-$R129+$S129)</f>
        <v/>
      </c>
      <c r="U129" s="35" t="str">
        <f aca="false">IF($A129="","",$T129*$O129)</f>
        <v/>
      </c>
      <c r="V129" s="42"/>
      <c r="W129" s="34" t="str">
        <f aca="false">IF(OR($A129="",$V129=""),"",$V129-$T129)</f>
        <v/>
      </c>
      <c r="X129" s="35" t="str">
        <f aca="false">IF($W129="","",$W129*$O129)</f>
        <v/>
      </c>
      <c r="Y129" s="8" t="str">
        <f aca="false">IF($A129="","",IF($T129&lt;=0,"AGOTADO",IF($T129&lt;=N($K129),"REORDENAR","OK")))</f>
        <v/>
      </c>
      <c r="Z129" s="34" t="str">
        <f aca="false">IF($A129="","",IF($T129&lt;=N($K129),ROUNDUP((2*N($K129)-$T129)/$F129,0),0))</f>
        <v/>
      </c>
      <c r="AA129" s="8" t="str">
        <f aca="false">IF(OR($Y129="REORDENAR",$Y129="AGOTADO"),ROW(),"")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39"/>
      <c r="G130" s="40"/>
      <c r="H130" s="41"/>
      <c r="I130" s="41"/>
      <c r="J130" s="6"/>
      <c r="K130" s="42"/>
      <c r="L130" s="42"/>
      <c r="M130" s="43" t="str">
        <f aca="false">IF($A130="","",IFERROR($G130/$F130,0))</f>
        <v/>
      </c>
      <c r="N130" s="43" t="str">
        <f aca="false">IF($A130="","",IFERROR(SUMIFS(COMPRAS!$N$6:$N$1005,COMPRAS!$D$6:$D$1005,$A130,COMPRAS!$R$6:$R$1005,1)/COUNTIFS(COMPRAS!$D$6:$D$1005,$A130,COMPRAS!$R$6:$R$1005,1),0))</f>
        <v/>
      </c>
      <c r="O130" s="43" t="str">
        <f aca="false">IF($A130="","",IF($N130&gt;0,$N130,$M130))</f>
        <v/>
      </c>
      <c r="P130" s="43" t="str">
        <f aca="false">IF($A130="","",IF(N($I130)&gt;0,$O130/$I130,$O130))</f>
        <v/>
      </c>
      <c r="Q130" s="34" t="str">
        <f aca="false">IF($A130="","",SUMIFS(COMPRAS!$I$6:$I$1005,COMPRAS!$D$6:$D$1005,$A130))</f>
        <v/>
      </c>
      <c r="R130" s="34" t="str">
        <f aca="false">IF($A130="","",SUMIFS(RECETAS!$L$6:$L$605,RECETAS!$C$6:$C$605,$A130))</f>
        <v/>
      </c>
      <c r="S130" s="34" t="str">
        <f aca="false">IF($A130="","",SUMIFS(MERMAS!$J$6:$J$505,MERMAS!$B$6:$B$505,$A130))</f>
        <v/>
      </c>
      <c r="T130" s="34" t="str">
        <f aca="false">IF($A130="","",N($L130)+$Q130-$R130+$S130)</f>
        <v/>
      </c>
      <c r="U130" s="35" t="str">
        <f aca="false">IF($A130="","",$T130*$O130)</f>
        <v/>
      </c>
      <c r="V130" s="42"/>
      <c r="W130" s="34" t="str">
        <f aca="false">IF(OR($A130="",$V130=""),"",$V130-$T130)</f>
        <v/>
      </c>
      <c r="X130" s="35" t="str">
        <f aca="false">IF($W130="","",$W130*$O130)</f>
        <v/>
      </c>
      <c r="Y130" s="8" t="str">
        <f aca="false">IF($A130="","",IF($T130&lt;=0,"AGOTADO",IF($T130&lt;=N($K130),"REORDENAR","OK")))</f>
        <v/>
      </c>
      <c r="Z130" s="34" t="str">
        <f aca="false">IF($A130="","",IF($T130&lt;=N($K130),ROUNDUP((2*N($K130)-$T130)/$F130,0),0))</f>
        <v/>
      </c>
      <c r="AA130" s="8" t="str">
        <f aca="false">IF(OR($Y130="REORDENAR",$Y130="AGOTADO"),ROW(),"")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39"/>
      <c r="G131" s="40"/>
      <c r="H131" s="41"/>
      <c r="I131" s="41"/>
      <c r="J131" s="6"/>
      <c r="K131" s="42"/>
      <c r="L131" s="42"/>
      <c r="M131" s="43" t="str">
        <f aca="false">IF($A131="","",IFERROR($G131/$F131,0))</f>
        <v/>
      </c>
      <c r="N131" s="43" t="str">
        <f aca="false">IF($A131="","",IFERROR(SUMIFS(COMPRAS!$N$6:$N$1005,COMPRAS!$D$6:$D$1005,$A131,COMPRAS!$R$6:$R$1005,1)/COUNTIFS(COMPRAS!$D$6:$D$1005,$A131,COMPRAS!$R$6:$R$1005,1),0))</f>
        <v/>
      </c>
      <c r="O131" s="43" t="str">
        <f aca="false">IF($A131="","",IF($N131&gt;0,$N131,$M131))</f>
        <v/>
      </c>
      <c r="P131" s="43" t="str">
        <f aca="false">IF($A131="","",IF(N($I131)&gt;0,$O131/$I131,$O131))</f>
        <v/>
      </c>
      <c r="Q131" s="34" t="str">
        <f aca="false">IF($A131="","",SUMIFS(COMPRAS!$I$6:$I$1005,COMPRAS!$D$6:$D$1005,$A131))</f>
        <v/>
      </c>
      <c r="R131" s="34" t="str">
        <f aca="false">IF($A131="","",SUMIFS(RECETAS!$L$6:$L$605,RECETAS!$C$6:$C$605,$A131))</f>
        <v/>
      </c>
      <c r="S131" s="34" t="str">
        <f aca="false">IF($A131="","",SUMIFS(MERMAS!$J$6:$J$505,MERMAS!$B$6:$B$505,$A131))</f>
        <v/>
      </c>
      <c r="T131" s="34" t="str">
        <f aca="false">IF($A131="","",N($L131)+$Q131-$R131+$S131)</f>
        <v/>
      </c>
      <c r="U131" s="35" t="str">
        <f aca="false">IF($A131="","",$T131*$O131)</f>
        <v/>
      </c>
      <c r="V131" s="42"/>
      <c r="W131" s="34" t="str">
        <f aca="false">IF(OR($A131="",$V131=""),"",$V131-$T131)</f>
        <v/>
      </c>
      <c r="X131" s="35" t="str">
        <f aca="false">IF($W131="","",$W131*$O131)</f>
        <v/>
      </c>
      <c r="Y131" s="8" t="str">
        <f aca="false">IF($A131="","",IF($T131&lt;=0,"AGOTADO",IF($T131&lt;=N($K131),"REORDENAR","OK")))</f>
        <v/>
      </c>
      <c r="Z131" s="34" t="str">
        <f aca="false">IF($A131="","",IF($T131&lt;=N($K131),ROUNDUP((2*N($K131)-$T131)/$F131,0),0))</f>
        <v/>
      </c>
      <c r="AA131" s="8" t="str">
        <f aca="false">IF(OR($Y131="REORDENAR",$Y131="AGOTADO"),ROW(),"")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39"/>
      <c r="G132" s="40"/>
      <c r="H132" s="41"/>
      <c r="I132" s="41"/>
      <c r="J132" s="6"/>
      <c r="K132" s="42"/>
      <c r="L132" s="42"/>
      <c r="M132" s="43" t="str">
        <f aca="false">IF($A132="","",IFERROR($G132/$F132,0))</f>
        <v/>
      </c>
      <c r="N132" s="43" t="str">
        <f aca="false">IF($A132="","",IFERROR(SUMIFS(COMPRAS!$N$6:$N$1005,COMPRAS!$D$6:$D$1005,$A132,COMPRAS!$R$6:$R$1005,1)/COUNTIFS(COMPRAS!$D$6:$D$1005,$A132,COMPRAS!$R$6:$R$1005,1),0))</f>
        <v/>
      </c>
      <c r="O132" s="43" t="str">
        <f aca="false">IF($A132="","",IF($N132&gt;0,$N132,$M132))</f>
        <v/>
      </c>
      <c r="P132" s="43" t="str">
        <f aca="false">IF($A132="","",IF(N($I132)&gt;0,$O132/$I132,$O132))</f>
        <v/>
      </c>
      <c r="Q132" s="34" t="str">
        <f aca="false">IF($A132="","",SUMIFS(COMPRAS!$I$6:$I$1005,COMPRAS!$D$6:$D$1005,$A132))</f>
        <v/>
      </c>
      <c r="R132" s="34" t="str">
        <f aca="false">IF($A132="","",SUMIFS(RECETAS!$L$6:$L$605,RECETAS!$C$6:$C$605,$A132))</f>
        <v/>
      </c>
      <c r="S132" s="34" t="str">
        <f aca="false">IF($A132="","",SUMIFS(MERMAS!$J$6:$J$505,MERMAS!$B$6:$B$505,$A132))</f>
        <v/>
      </c>
      <c r="T132" s="34" t="str">
        <f aca="false">IF($A132="","",N($L132)+$Q132-$R132+$S132)</f>
        <v/>
      </c>
      <c r="U132" s="35" t="str">
        <f aca="false">IF($A132="","",$T132*$O132)</f>
        <v/>
      </c>
      <c r="V132" s="42"/>
      <c r="W132" s="34" t="str">
        <f aca="false">IF(OR($A132="",$V132=""),"",$V132-$T132)</f>
        <v/>
      </c>
      <c r="X132" s="35" t="str">
        <f aca="false">IF($W132="","",$W132*$O132)</f>
        <v/>
      </c>
      <c r="Y132" s="8" t="str">
        <f aca="false">IF($A132="","",IF($T132&lt;=0,"AGOTADO",IF($T132&lt;=N($K132),"REORDENAR","OK")))</f>
        <v/>
      </c>
      <c r="Z132" s="34" t="str">
        <f aca="false">IF($A132="","",IF($T132&lt;=N($K132),ROUNDUP((2*N($K132)-$T132)/$F132,0),0))</f>
        <v/>
      </c>
      <c r="AA132" s="8" t="str">
        <f aca="false">IF(OR($Y132="REORDENAR",$Y132="AGOTADO"),ROW(),"")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39"/>
      <c r="G133" s="40"/>
      <c r="H133" s="41"/>
      <c r="I133" s="41"/>
      <c r="J133" s="6"/>
      <c r="K133" s="42"/>
      <c r="L133" s="42"/>
      <c r="M133" s="43" t="str">
        <f aca="false">IF($A133="","",IFERROR($G133/$F133,0))</f>
        <v/>
      </c>
      <c r="N133" s="43" t="str">
        <f aca="false">IF($A133="","",IFERROR(SUMIFS(COMPRAS!$N$6:$N$1005,COMPRAS!$D$6:$D$1005,$A133,COMPRAS!$R$6:$R$1005,1)/COUNTIFS(COMPRAS!$D$6:$D$1005,$A133,COMPRAS!$R$6:$R$1005,1),0))</f>
        <v/>
      </c>
      <c r="O133" s="43" t="str">
        <f aca="false">IF($A133="","",IF($N133&gt;0,$N133,$M133))</f>
        <v/>
      </c>
      <c r="P133" s="43" t="str">
        <f aca="false">IF($A133="","",IF(N($I133)&gt;0,$O133/$I133,$O133))</f>
        <v/>
      </c>
      <c r="Q133" s="34" t="str">
        <f aca="false">IF($A133="","",SUMIFS(COMPRAS!$I$6:$I$1005,COMPRAS!$D$6:$D$1005,$A133))</f>
        <v/>
      </c>
      <c r="R133" s="34" t="str">
        <f aca="false">IF($A133="","",SUMIFS(RECETAS!$L$6:$L$605,RECETAS!$C$6:$C$605,$A133))</f>
        <v/>
      </c>
      <c r="S133" s="34" t="str">
        <f aca="false">IF($A133="","",SUMIFS(MERMAS!$J$6:$J$505,MERMAS!$B$6:$B$505,$A133))</f>
        <v/>
      </c>
      <c r="T133" s="34" t="str">
        <f aca="false">IF($A133="","",N($L133)+$Q133-$R133+$S133)</f>
        <v/>
      </c>
      <c r="U133" s="35" t="str">
        <f aca="false">IF($A133="","",$T133*$O133)</f>
        <v/>
      </c>
      <c r="V133" s="42"/>
      <c r="W133" s="34" t="str">
        <f aca="false">IF(OR($A133="",$V133=""),"",$V133-$T133)</f>
        <v/>
      </c>
      <c r="X133" s="35" t="str">
        <f aca="false">IF($W133="","",$W133*$O133)</f>
        <v/>
      </c>
      <c r="Y133" s="8" t="str">
        <f aca="false">IF($A133="","",IF($T133&lt;=0,"AGOTADO",IF($T133&lt;=N($K133),"REORDENAR","OK")))</f>
        <v/>
      </c>
      <c r="Z133" s="34" t="str">
        <f aca="false">IF($A133="","",IF($T133&lt;=N($K133),ROUNDUP((2*N($K133)-$T133)/$F133,0),0))</f>
        <v/>
      </c>
      <c r="AA133" s="8" t="str">
        <f aca="false">IF(OR($Y133="REORDENAR",$Y133="AGOTADO"),ROW(),"")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39"/>
      <c r="G134" s="40"/>
      <c r="H134" s="41"/>
      <c r="I134" s="41"/>
      <c r="J134" s="6"/>
      <c r="K134" s="42"/>
      <c r="L134" s="42"/>
      <c r="M134" s="43" t="str">
        <f aca="false">IF($A134="","",IFERROR($G134/$F134,0))</f>
        <v/>
      </c>
      <c r="N134" s="43" t="str">
        <f aca="false">IF($A134="","",IFERROR(SUMIFS(COMPRAS!$N$6:$N$1005,COMPRAS!$D$6:$D$1005,$A134,COMPRAS!$R$6:$R$1005,1)/COUNTIFS(COMPRAS!$D$6:$D$1005,$A134,COMPRAS!$R$6:$R$1005,1),0))</f>
        <v/>
      </c>
      <c r="O134" s="43" t="str">
        <f aca="false">IF($A134="","",IF($N134&gt;0,$N134,$M134))</f>
        <v/>
      </c>
      <c r="P134" s="43" t="str">
        <f aca="false">IF($A134="","",IF(N($I134)&gt;0,$O134/$I134,$O134))</f>
        <v/>
      </c>
      <c r="Q134" s="34" t="str">
        <f aca="false">IF($A134="","",SUMIFS(COMPRAS!$I$6:$I$1005,COMPRAS!$D$6:$D$1005,$A134))</f>
        <v/>
      </c>
      <c r="R134" s="34" t="str">
        <f aca="false">IF($A134="","",SUMIFS(RECETAS!$L$6:$L$605,RECETAS!$C$6:$C$605,$A134))</f>
        <v/>
      </c>
      <c r="S134" s="34" t="str">
        <f aca="false">IF($A134="","",SUMIFS(MERMAS!$J$6:$J$505,MERMAS!$B$6:$B$505,$A134))</f>
        <v/>
      </c>
      <c r="T134" s="34" t="str">
        <f aca="false">IF($A134="","",N($L134)+$Q134-$R134+$S134)</f>
        <v/>
      </c>
      <c r="U134" s="35" t="str">
        <f aca="false">IF($A134="","",$T134*$O134)</f>
        <v/>
      </c>
      <c r="V134" s="42"/>
      <c r="W134" s="34" t="str">
        <f aca="false">IF(OR($A134="",$V134=""),"",$V134-$T134)</f>
        <v/>
      </c>
      <c r="X134" s="35" t="str">
        <f aca="false">IF($W134="","",$W134*$O134)</f>
        <v/>
      </c>
      <c r="Y134" s="8" t="str">
        <f aca="false">IF($A134="","",IF($T134&lt;=0,"AGOTADO",IF($T134&lt;=N($K134),"REORDENAR","OK")))</f>
        <v/>
      </c>
      <c r="Z134" s="34" t="str">
        <f aca="false">IF($A134="","",IF($T134&lt;=N($K134),ROUNDUP((2*N($K134)-$T134)/$F134,0),0))</f>
        <v/>
      </c>
      <c r="AA134" s="8" t="str">
        <f aca="false">IF(OR($Y134="REORDENAR",$Y134="AGOTADO"),ROW(),"")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39"/>
      <c r="G135" s="40"/>
      <c r="H135" s="41"/>
      <c r="I135" s="41"/>
      <c r="J135" s="6"/>
      <c r="K135" s="42"/>
      <c r="L135" s="42"/>
      <c r="M135" s="43" t="str">
        <f aca="false">IF($A135="","",IFERROR($G135/$F135,0))</f>
        <v/>
      </c>
      <c r="N135" s="43" t="str">
        <f aca="false">IF($A135="","",IFERROR(SUMIFS(COMPRAS!$N$6:$N$1005,COMPRAS!$D$6:$D$1005,$A135,COMPRAS!$R$6:$R$1005,1)/COUNTIFS(COMPRAS!$D$6:$D$1005,$A135,COMPRAS!$R$6:$R$1005,1),0))</f>
        <v/>
      </c>
      <c r="O135" s="43" t="str">
        <f aca="false">IF($A135="","",IF($N135&gt;0,$N135,$M135))</f>
        <v/>
      </c>
      <c r="P135" s="43" t="str">
        <f aca="false">IF($A135="","",IF(N($I135)&gt;0,$O135/$I135,$O135))</f>
        <v/>
      </c>
      <c r="Q135" s="34" t="str">
        <f aca="false">IF($A135="","",SUMIFS(COMPRAS!$I$6:$I$1005,COMPRAS!$D$6:$D$1005,$A135))</f>
        <v/>
      </c>
      <c r="R135" s="34" t="str">
        <f aca="false">IF($A135="","",SUMIFS(RECETAS!$L$6:$L$605,RECETAS!$C$6:$C$605,$A135))</f>
        <v/>
      </c>
      <c r="S135" s="34" t="str">
        <f aca="false">IF($A135="","",SUMIFS(MERMAS!$J$6:$J$505,MERMAS!$B$6:$B$505,$A135))</f>
        <v/>
      </c>
      <c r="T135" s="34" t="str">
        <f aca="false">IF($A135="","",N($L135)+$Q135-$R135+$S135)</f>
        <v/>
      </c>
      <c r="U135" s="35" t="str">
        <f aca="false">IF($A135="","",$T135*$O135)</f>
        <v/>
      </c>
      <c r="V135" s="42"/>
      <c r="W135" s="34" t="str">
        <f aca="false">IF(OR($A135="",$V135=""),"",$V135-$T135)</f>
        <v/>
      </c>
      <c r="X135" s="35" t="str">
        <f aca="false">IF($W135="","",$W135*$O135)</f>
        <v/>
      </c>
      <c r="Y135" s="8" t="str">
        <f aca="false">IF($A135="","",IF($T135&lt;=0,"AGOTADO",IF($T135&lt;=N($K135),"REORDENAR","OK")))</f>
        <v/>
      </c>
      <c r="Z135" s="34" t="str">
        <f aca="false">IF($A135="","",IF($T135&lt;=N($K135),ROUNDUP((2*N($K135)-$T135)/$F135,0),0))</f>
        <v/>
      </c>
      <c r="AA135" s="8" t="str">
        <f aca="false">IF(OR($Y135="REORDENAR",$Y135="AGOTADO"),ROW(),"")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39"/>
      <c r="G136" s="40"/>
      <c r="H136" s="41"/>
      <c r="I136" s="41"/>
      <c r="J136" s="6"/>
      <c r="K136" s="42"/>
      <c r="L136" s="42"/>
      <c r="M136" s="43" t="str">
        <f aca="false">IF($A136="","",IFERROR($G136/$F136,0))</f>
        <v/>
      </c>
      <c r="N136" s="43" t="str">
        <f aca="false">IF($A136="","",IFERROR(SUMIFS(COMPRAS!$N$6:$N$1005,COMPRAS!$D$6:$D$1005,$A136,COMPRAS!$R$6:$R$1005,1)/COUNTIFS(COMPRAS!$D$6:$D$1005,$A136,COMPRAS!$R$6:$R$1005,1),0))</f>
        <v/>
      </c>
      <c r="O136" s="43" t="str">
        <f aca="false">IF($A136="","",IF($N136&gt;0,$N136,$M136))</f>
        <v/>
      </c>
      <c r="P136" s="43" t="str">
        <f aca="false">IF($A136="","",IF(N($I136)&gt;0,$O136/$I136,$O136))</f>
        <v/>
      </c>
      <c r="Q136" s="34" t="str">
        <f aca="false">IF($A136="","",SUMIFS(COMPRAS!$I$6:$I$1005,COMPRAS!$D$6:$D$1005,$A136))</f>
        <v/>
      </c>
      <c r="R136" s="34" t="str">
        <f aca="false">IF($A136="","",SUMIFS(RECETAS!$L$6:$L$605,RECETAS!$C$6:$C$605,$A136))</f>
        <v/>
      </c>
      <c r="S136" s="34" t="str">
        <f aca="false">IF($A136="","",SUMIFS(MERMAS!$J$6:$J$505,MERMAS!$B$6:$B$505,$A136))</f>
        <v/>
      </c>
      <c r="T136" s="34" t="str">
        <f aca="false">IF($A136="","",N($L136)+$Q136-$R136+$S136)</f>
        <v/>
      </c>
      <c r="U136" s="35" t="str">
        <f aca="false">IF($A136="","",$T136*$O136)</f>
        <v/>
      </c>
      <c r="V136" s="42"/>
      <c r="W136" s="34" t="str">
        <f aca="false">IF(OR($A136="",$V136=""),"",$V136-$T136)</f>
        <v/>
      </c>
      <c r="X136" s="35" t="str">
        <f aca="false">IF($W136="","",$W136*$O136)</f>
        <v/>
      </c>
      <c r="Y136" s="8" t="str">
        <f aca="false">IF($A136="","",IF($T136&lt;=0,"AGOTADO",IF($T136&lt;=N($K136),"REORDENAR","OK")))</f>
        <v/>
      </c>
      <c r="Z136" s="34" t="str">
        <f aca="false">IF($A136="","",IF($T136&lt;=N($K136),ROUNDUP((2*N($K136)-$T136)/$F136,0),0))</f>
        <v/>
      </c>
      <c r="AA136" s="8" t="str">
        <f aca="false">IF(OR($Y136="REORDENAR",$Y136="AGOTADO"),ROW(),"")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39"/>
      <c r="G137" s="40"/>
      <c r="H137" s="41"/>
      <c r="I137" s="41"/>
      <c r="J137" s="6"/>
      <c r="K137" s="42"/>
      <c r="L137" s="42"/>
      <c r="M137" s="43" t="str">
        <f aca="false">IF($A137="","",IFERROR($G137/$F137,0))</f>
        <v/>
      </c>
      <c r="N137" s="43" t="str">
        <f aca="false">IF($A137="","",IFERROR(SUMIFS(COMPRAS!$N$6:$N$1005,COMPRAS!$D$6:$D$1005,$A137,COMPRAS!$R$6:$R$1005,1)/COUNTIFS(COMPRAS!$D$6:$D$1005,$A137,COMPRAS!$R$6:$R$1005,1),0))</f>
        <v/>
      </c>
      <c r="O137" s="43" t="str">
        <f aca="false">IF($A137="","",IF($N137&gt;0,$N137,$M137))</f>
        <v/>
      </c>
      <c r="P137" s="43" t="str">
        <f aca="false">IF($A137="","",IF(N($I137)&gt;0,$O137/$I137,$O137))</f>
        <v/>
      </c>
      <c r="Q137" s="34" t="str">
        <f aca="false">IF($A137="","",SUMIFS(COMPRAS!$I$6:$I$1005,COMPRAS!$D$6:$D$1005,$A137))</f>
        <v/>
      </c>
      <c r="R137" s="34" t="str">
        <f aca="false">IF($A137="","",SUMIFS(RECETAS!$L$6:$L$605,RECETAS!$C$6:$C$605,$A137))</f>
        <v/>
      </c>
      <c r="S137" s="34" t="str">
        <f aca="false">IF($A137="","",SUMIFS(MERMAS!$J$6:$J$505,MERMAS!$B$6:$B$505,$A137))</f>
        <v/>
      </c>
      <c r="T137" s="34" t="str">
        <f aca="false">IF($A137="","",N($L137)+$Q137-$R137+$S137)</f>
        <v/>
      </c>
      <c r="U137" s="35" t="str">
        <f aca="false">IF($A137="","",$T137*$O137)</f>
        <v/>
      </c>
      <c r="V137" s="42"/>
      <c r="W137" s="34" t="str">
        <f aca="false">IF(OR($A137="",$V137=""),"",$V137-$T137)</f>
        <v/>
      </c>
      <c r="X137" s="35" t="str">
        <f aca="false">IF($W137="","",$W137*$O137)</f>
        <v/>
      </c>
      <c r="Y137" s="8" t="str">
        <f aca="false">IF($A137="","",IF($T137&lt;=0,"AGOTADO",IF($T137&lt;=N($K137),"REORDENAR","OK")))</f>
        <v/>
      </c>
      <c r="Z137" s="34" t="str">
        <f aca="false">IF($A137="","",IF($T137&lt;=N($K137),ROUNDUP((2*N($K137)-$T137)/$F137,0),0))</f>
        <v/>
      </c>
      <c r="AA137" s="8" t="str">
        <f aca="false">IF(OR($Y137="REORDENAR",$Y137="AGOTADO"),ROW(),"")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39"/>
      <c r="G138" s="40"/>
      <c r="H138" s="41"/>
      <c r="I138" s="41"/>
      <c r="J138" s="6"/>
      <c r="K138" s="42"/>
      <c r="L138" s="42"/>
      <c r="M138" s="43" t="str">
        <f aca="false">IF($A138="","",IFERROR($G138/$F138,0))</f>
        <v/>
      </c>
      <c r="N138" s="43" t="str">
        <f aca="false">IF($A138="","",IFERROR(SUMIFS(COMPRAS!$N$6:$N$1005,COMPRAS!$D$6:$D$1005,$A138,COMPRAS!$R$6:$R$1005,1)/COUNTIFS(COMPRAS!$D$6:$D$1005,$A138,COMPRAS!$R$6:$R$1005,1),0))</f>
        <v/>
      </c>
      <c r="O138" s="43" t="str">
        <f aca="false">IF($A138="","",IF($N138&gt;0,$N138,$M138))</f>
        <v/>
      </c>
      <c r="P138" s="43" t="str">
        <f aca="false">IF($A138="","",IF(N($I138)&gt;0,$O138/$I138,$O138))</f>
        <v/>
      </c>
      <c r="Q138" s="34" t="str">
        <f aca="false">IF($A138="","",SUMIFS(COMPRAS!$I$6:$I$1005,COMPRAS!$D$6:$D$1005,$A138))</f>
        <v/>
      </c>
      <c r="R138" s="34" t="str">
        <f aca="false">IF($A138="","",SUMIFS(RECETAS!$L$6:$L$605,RECETAS!$C$6:$C$605,$A138))</f>
        <v/>
      </c>
      <c r="S138" s="34" t="str">
        <f aca="false">IF($A138="","",SUMIFS(MERMAS!$J$6:$J$505,MERMAS!$B$6:$B$505,$A138))</f>
        <v/>
      </c>
      <c r="T138" s="34" t="str">
        <f aca="false">IF($A138="","",N($L138)+$Q138-$R138+$S138)</f>
        <v/>
      </c>
      <c r="U138" s="35" t="str">
        <f aca="false">IF($A138="","",$T138*$O138)</f>
        <v/>
      </c>
      <c r="V138" s="42"/>
      <c r="W138" s="34" t="str">
        <f aca="false">IF(OR($A138="",$V138=""),"",$V138-$T138)</f>
        <v/>
      </c>
      <c r="X138" s="35" t="str">
        <f aca="false">IF($W138="","",$W138*$O138)</f>
        <v/>
      </c>
      <c r="Y138" s="8" t="str">
        <f aca="false">IF($A138="","",IF($T138&lt;=0,"AGOTADO",IF($T138&lt;=N($K138),"REORDENAR","OK")))</f>
        <v/>
      </c>
      <c r="Z138" s="34" t="str">
        <f aca="false">IF($A138="","",IF($T138&lt;=N($K138),ROUNDUP((2*N($K138)-$T138)/$F138,0),0))</f>
        <v/>
      </c>
      <c r="AA138" s="8" t="str">
        <f aca="false">IF(OR($Y138="REORDENAR",$Y138="AGOTADO"),ROW(),"")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39"/>
      <c r="G139" s="40"/>
      <c r="H139" s="41"/>
      <c r="I139" s="41"/>
      <c r="J139" s="6"/>
      <c r="K139" s="42"/>
      <c r="L139" s="42"/>
      <c r="M139" s="43" t="str">
        <f aca="false">IF($A139="","",IFERROR($G139/$F139,0))</f>
        <v/>
      </c>
      <c r="N139" s="43" t="str">
        <f aca="false">IF($A139="","",IFERROR(SUMIFS(COMPRAS!$N$6:$N$1005,COMPRAS!$D$6:$D$1005,$A139,COMPRAS!$R$6:$R$1005,1)/COUNTIFS(COMPRAS!$D$6:$D$1005,$A139,COMPRAS!$R$6:$R$1005,1),0))</f>
        <v/>
      </c>
      <c r="O139" s="43" t="str">
        <f aca="false">IF($A139="","",IF($N139&gt;0,$N139,$M139))</f>
        <v/>
      </c>
      <c r="P139" s="43" t="str">
        <f aca="false">IF($A139="","",IF(N($I139)&gt;0,$O139/$I139,$O139))</f>
        <v/>
      </c>
      <c r="Q139" s="34" t="str">
        <f aca="false">IF($A139="","",SUMIFS(COMPRAS!$I$6:$I$1005,COMPRAS!$D$6:$D$1005,$A139))</f>
        <v/>
      </c>
      <c r="R139" s="34" t="str">
        <f aca="false">IF($A139="","",SUMIFS(RECETAS!$L$6:$L$605,RECETAS!$C$6:$C$605,$A139))</f>
        <v/>
      </c>
      <c r="S139" s="34" t="str">
        <f aca="false">IF($A139="","",SUMIFS(MERMAS!$J$6:$J$505,MERMAS!$B$6:$B$505,$A139))</f>
        <v/>
      </c>
      <c r="T139" s="34" t="str">
        <f aca="false">IF($A139="","",N($L139)+$Q139-$R139+$S139)</f>
        <v/>
      </c>
      <c r="U139" s="35" t="str">
        <f aca="false">IF($A139="","",$T139*$O139)</f>
        <v/>
      </c>
      <c r="V139" s="42"/>
      <c r="W139" s="34" t="str">
        <f aca="false">IF(OR($A139="",$V139=""),"",$V139-$T139)</f>
        <v/>
      </c>
      <c r="X139" s="35" t="str">
        <f aca="false">IF($W139="","",$W139*$O139)</f>
        <v/>
      </c>
      <c r="Y139" s="8" t="str">
        <f aca="false">IF($A139="","",IF($T139&lt;=0,"AGOTADO",IF($T139&lt;=N($K139),"REORDENAR","OK")))</f>
        <v/>
      </c>
      <c r="Z139" s="34" t="str">
        <f aca="false">IF($A139="","",IF($T139&lt;=N($K139),ROUNDUP((2*N($K139)-$T139)/$F139,0),0))</f>
        <v/>
      </c>
      <c r="AA139" s="8" t="str">
        <f aca="false">IF(OR($Y139="REORDENAR",$Y139="AGOTADO"),ROW(),"")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39"/>
      <c r="G140" s="40"/>
      <c r="H140" s="41"/>
      <c r="I140" s="41"/>
      <c r="J140" s="6"/>
      <c r="K140" s="42"/>
      <c r="L140" s="42"/>
      <c r="M140" s="43" t="str">
        <f aca="false">IF($A140="","",IFERROR($G140/$F140,0))</f>
        <v/>
      </c>
      <c r="N140" s="43" t="str">
        <f aca="false">IF($A140="","",IFERROR(SUMIFS(COMPRAS!$N$6:$N$1005,COMPRAS!$D$6:$D$1005,$A140,COMPRAS!$R$6:$R$1005,1)/COUNTIFS(COMPRAS!$D$6:$D$1005,$A140,COMPRAS!$R$6:$R$1005,1),0))</f>
        <v/>
      </c>
      <c r="O140" s="43" t="str">
        <f aca="false">IF($A140="","",IF($N140&gt;0,$N140,$M140))</f>
        <v/>
      </c>
      <c r="P140" s="43" t="str">
        <f aca="false">IF($A140="","",IF(N($I140)&gt;0,$O140/$I140,$O140))</f>
        <v/>
      </c>
      <c r="Q140" s="34" t="str">
        <f aca="false">IF($A140="","",SUMIFS(COMPRAS!$I$6:$I$1005,COMPRAS!$D$6:$D$1005,$A140))</f>
        <v/>
      </c>
      <c r="R140" s="34" t="str">
        <f aca="false">IF($A140="","",SUMIFS(RECETAS!$L$6:$L$605,RECETAS!$C$6:$C$605,$A140))</f>
        <v/>
      </c>
      <c r="S140" s="34" t="str">
        <f aca="false">IF($A140="","",SUMIFS(MERMAS!$J$6:$J$505,MERMAS!$B$6:$B$505,$A140))</f>
        <v/>
      </c>
      <c r="T140" s="34" t="str">
        <f aca="false">IF($A140="","",N($L140)+$Q140-$R140+$S140)</f>
        <v/>
      </c>
      <c r="U140" s="35" t="str">
        <f aca="false">IF($A140="","",$T140*$O140)</f>
        <v/>
      </c>
      <c r="V140" s="42"/>
      <c r="W140" s="34" t="str">
        <f aca="false">IF(OR($A140="",$V140=""),"",$V140-$T140)</f>
        <v/>
      </c>
      <c r="X140" s="35" t="str">
        <f aca="false">IF($W140="","",$W140*$O140)</f>
        <v/>
      </c>
      <c r="Y140" s="8" t="str">
        <f aca="false">IF($A140="","",IF($T140&lt;=0,"AGOTADO",IF($T140&lt;=N($K140),"REORDENAR","OK")))</f>
        <v/>
      </c>
      <c r="Z140" s="34" t="str">
        <f aca="false">IF($A140="","",IF($T140&lt;=N($K140),ROUNDUP((2*N($K140)-$T140)/$F140,0),0))</f>
        <v/>
      </c>
      <c r="AA140" s="8" t="str">
        <f aca="false">IF(OR($Y140="REORDENAR",$Y140="AGOTADO"),ROW(),"")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39"/>
      <c r="G141" s="40"/>
      <c r="H141" s="41"/>
      <c r="I141" s="41"/>
      <c r="J141" s="6"/>
      <c r="K141" s="42"/>
      <c r="L141" s="42"/>
      <c r="M141" s="43" t="str">
        <f aca="false">IF($A141="","",IFERROR($G141/$F141,0))</f>
        <v/>
      </c>
      <c r="N141" s="43" t="str">
        <f aca="false">IF($A141="","",IFERROR(SUMIFS(COMPRAS!$N$6:$N$1005,COMPRAS!$D$6:$D$1005,$A141,COMPRAS!$R$6:$R$1005,1)/COUNTIFS(COMPRAS!$D$6:$D$1005,$A141,COMPRAS!$R$6:$R$1005,1),0))</f>
        <v/>
      </c>
      <c r="O141" s="43" t="str">
        <f aca="false">IF($A141="","",IF($N141&gt;0,$N141,$M141))</f>
        <v/>
      </c>
      <c r="P141" s="43" t="str">
        <f aca="false">IF($A141="","",IF(N($I141)&gt;0,$O141/$I141,$O141))</f>
        <v/>
      </c>
      <c r="Q141" s="34" t="str">
        <f aca="false">IF($A141="","",SUMIFS(COMPRAS!$I$6:$I$1005,COMPRAS!$D$6:$D$1005,$A141))</f>
        <v/>
      </c>
      <c r="R141" s="34" t="str">
        <f aca="false">IF($A141="","",SUMIFS(RECETAS!$L$6:$L$605,RECETAS!$C$6:$C$605,$A141))</f>
        <v/>
      </c>
      <c r="S141" s="34" t="str">
        <f aca="false">IF($A141="","",SUMIFS(MERMAS!$J$6:$J$505,MERMAS!$B$6:$B$505,$A141))</f>
        <v/>
      </c>
      <c r="T141" s="34" t="str">
        <f aca="false">IF($A141="","",N($L141)+$Q141-$R141+$S141)</f>
        <v/>
      </c>
      <c r="U141" s="35" t="str">
        <f aca="false">IF($A141="","",$T141*$O141)</f>
        <v/>
      </c>
      <c r="V141" s="42"/>
      <c r="W141" s="34" t="str">
        <f aca="false">IF(OR($A141="",$V141=""),"",$V141-$T141)</f>
        <v/>
      </c>
      <c r="X141" s="35" t="str">
        <f aca="false">IF($W141="","",$W141*$O141)</f>
        <v/>
      </c>
      <c r="Y141" s="8" t="str">
        <f aca="false">IF($A141="","",IF($T141&lt;=0,"AGOTADO",IF($T141&lt;=N($K141),"REORDENAR","OK")))</f>
        <v/>
      </c>
      <c r="Z141" s="34" t="str">
        <f aca="false">IF($A141="","",IF($T141&lt;=N($K141),ROUNDUP((2*N($K141)-$T141)/$F141,0),0))</f>
        <v/>
      </c>
      <c r="AA141" s="8" t="str">
        <f aca="false">IF(OR($Y141="REORDENAR",$Y141="AGOTADO"),ROW(),"")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39"/>
      <c r="G142" s="40"/>
      <c r="H142" s="41"/>
      <c r="I142" s="41"/>
      <c r="J142" s="6"/>
      <c r="K142" s="42"/>
      <c r="L142" s="42"/>
      <c r="M142" s="43" t="str">
        <f aca="false">IF($A142="","",IFERROR($G142/$F142,0))</f>
        <v/>
      </c>
      <c r="N142" s="43" t="str">
        <f aca="false">IF($A142="","",IFERROR(SUMIFS(COMPRAS!$N$6:$N$1005,COMPRAS!$D$6:$D$1005,$A142,COMPRAS!$R$6:$R$1005,1)/COUNTIFS(COMPRAS!$D$6:$D$1005,$A142,COMPRAS!$R$6:$R$1005,1),0))</f>
        <v/>
      </c>
      <c r="O142" s="43" t="str">
        <f aca="false">IF($A142="","",IF($N142&gt;0,$N142,$M142))</f>
        <v/>
      </c>
      <c r="P142" s="43" t="str">
        <f aca="false">IF($A142="","",IF(N($I142)&gt;0,$O142/$I142,$O142))</f>
        <v/>
      </c>
      <c r="Q142" s="34" t="str">
        <f aca="false">IF($A142="","",SUMIFS(COMPRAS!$I$6:$I$1005,COMPRAS!$D$6:$D$1005,$A142))</f>
        <v/>
      </c>
      <c r="R142" s="34" t="str">
        <f aca="false">IF($A142="","",SUMIFS(RECETAS!$L$6:$L$605,RECETAS!$C$6:$C$605,$A142))</f>
        <v/>
      </c>
      <c r="S142" s="34" t="str">
        <f aca="false">IF($A142="","",SUMIFS(MERMAS!$J$6:$J$505,MERMAS!$B$6:$B$505,$A142))</f>
        <v/>
      </c>
      <c r="T142" s="34" t="str">
        <f aca="false">IF($A142="","",N($L142)+$Q142-$R142+$S142)</f>
        <v/>
      </c>
      <c r="U142" s="35" t="str">
        <f aca="false">IF($A142="","",$T142*$O142)</f>
        <v/>
      </c>
      <c r="V142" s="42"/>
      <c r="W142" s="34" t="str">
        <f aca="false">IF(OR($A142="",$V142=""),"",$V142-$T142)</f>
        <v/>
      </c>
      <c r="X142" s="35" t="str">
        <f aca="false">IF($W142="","",$W142*$O142)</f>
        <v/>
      </c>
      <c r="Y142" s="8" t="str">
        <f aca="false">IF($A142="","",IF($T142&lt;=0,"AGOTADO",IF($T142&lt;=N($K142),"REORDENAR","OK")))</f>
        <v/>
      </c>
      <c r="Z142" s="34" t="str">
        <f aca="false">IF($A142="","",IF($T142&lt;=N($K142),ROUNDUP((2*N($K142)-$T142)/$F142,0),0))</f>
        <v/>
      </c>
      <c r="AA142" s="8" t="str">
        <f aca="false">IF(OR($Y142="REORDENAR",$Y142="AGOTADO"),ROW(),"")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39"/>
      <c r="G143" s="40"/>
      <c r="H143" s="41"/>
      <c r="I143" s="41"/>
      <c r="J143" s="6"/>
      <c r="K143" s="42"/>
      <c r="L143" s="42"/>
      <c r="M143" s="43" t="str">
        <f aca="false">IF($A143="","",IFERROR($G143/$F143,0))</f>
        <v/>
      </c>
      <c r="N143" s="43" t="str">
        <f aca="false">IF($A143="","",IFERROR(SUMIFS(COMPRAS!$N$6:$N$1005,COMPRAS!$D$6:$D$1005,$A143,COMPRAS!$R$6:$R$1005,1)/COUNTIFS(COMPRAS!$D$6:$D$1005,$A143,COMPRAS!$R$6:$R$1005,1),0))</f>
        <v/>
      </c>
      <c r="O143" s="43" t="str">
        <f aca="false">IF($A143="","",IF($N143&gt;0,$N143,$M143))</f>
        <v/>
      </c>
      <c r="P143" s="43" t="str">
        <f aca="false">IF($A143="","",IF(N($I143)&gt;0,$O143/$I143,$O143))</f>
        <v/>
      </c>
      <c r="Q143" s="34" t="str">
        <f aca="false">IF($A143="","",SUMIFS(COMPRAS!$I$6:$I$1005,COMPRAS!$D$6:$D$1005,$A143))</f>
        <v/>
      </c>
      <c r="R143" s="34" t="str">
        <f aca="false">IF($A143="","",SUMIFS(RECETAS!$L$6:$L$605,RECETAS!$C$6:$C$605,$A143))</f>
        <v/>
      </c>
      <c r="S143" s="34" t="str">
        <f aca="false">IF($A143="","",SUMIFS(MERMAS!$J$6:$J$505,MERMAS!$B$6:$B$505,$A143))</f>
        <v/>
      </c>
      <c r="T143" s="34" t="str">
        <f aca="false">IF($A143="","",N($L143)+$Q143-$R143+$S143)</f>
        <v/>
      </c>
      <c r="U143" s="35" t="str">
        <f aca="false">IF($A143="","",$T143*$O143)</f>
        <v/>
      </c>
      <c r="V143" s="42"/>
      <c r="W143" s="34" t="str">
        <f aca="false">IF(OR($A143="",$V143=""),"",$V143-$T143)</f>
        <v/>
      </c>
      <c r="X143" s="35" t="str">
        <f aca="false">IF($W143="","",$W143*$O143)</f>
        <v/>
      </c>
      <c r="Y143" s="8" t="str">
        <f aca="false">IF($A143="","",IF($T143&lt;=0,"AGOTADO",IF($T143&lt;=N($K143),"REORDENAR","OK")))</f>
        <v/>
      </c>
      <c r="Z143" s="34" t="str">
        <f aca="false">IF($A143="","",IF($T143&lt;=N($K143),ROUNDUP((2*N($K143)-$T143)/$F143,0),0))</f>
        <v/>
      </c>
      <c r="AA143" s="8" t="str">
        <f aca="false">IF(OR($Y143="REORDENAR",$Y143="AGOTADO"),ROW(),"")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39"/>
      <c r="G144" s="40"/>
      <c r="H144" s="41"/>
      <c r="I144" s="41"/>
      <c r="J144" s="6"/>
      <c r="K144" s="42"/>
      <c r="L144" s="42"/>
      <c r="M144" s="43" t="str">
        <f aca="false">IF($A144="","",IFERROR($G144/$F144,0))</f>
        <v/>
      </c>
      <c r="N144" s="43" t="str">
        <f aca="false">IF($A144="","",IFERROR(SUMIFS(COMPRAS!$N$6:$N$1005,COMPRAS!$D$6:$D$1005,$A144,COMPRAS!$R$6:$R$1005,1)/COUNTIFS(COMPRAS!$D$6:$D$1005,$A144,COMPRAS!$R$6:$R$1005,1),0))</f>
        <v/>
      </c>
      <c r="O144" s="43" t="str">
        <f aca="false">IF($A144="","",IF($N144&gt;0,$N144,$M144))</f>
        <v/>
      </c>
      <c r="P144" s="43" t="str">
        <f aca="false">IF($A144="","",IF(N($I144)&gt;0,$O144/$I144,$O144))</f>
        <v/>
      </c>
      <c r="Q144" s="34" t="str">
        <f aca="false">IF($A144="","",SUMIFS(COMPRAS!$I$6:$I$1005,COMPRAS!$D$6:$D$1005,$A144))</f>
        <v/>
      </c>
      <c r="R144" s="34" t="str">
        <f aca="false">IF($A144="","",SUMIFS(RECETAS!$L$6:$L$605,RECETAS!$C$6:$C$605,$A144))</f>
        <v/>
      </c>
      <c r="S144" s="34" t="str">
        <f aca="false">IF($A144="","",SUMIFS(MERMAS!$J$6:$J$505,MERMAS!$B$6:$B$505,$A144))</f>
        <v/>
      </c>
      <c r="T144" s="34" t="str">
        <f aca="false">IF($A144="","",N($L144)+$Q144-$R144+$S144)</f>
        <v/>
      </c>
      <c r="U144" s="35" t="str">
        <f aca="false">IF($A144="","",$T144*$O144)</f>
        <v/>
      </c>
      <c r="V144" s="42"/>
      <c r="W144" s="34" t="str">
        <f aca="false">IF(OR($A144="",$V144=""),"",$V144-$T144)</f>
        <v/>
      </c>
      <c r="X144" s="35" t="str">
        <f aca="false">IF($W144="","",$W144*$O144)</f>
        <v/>
      </c>
      <c r="Y144" s="8" t="str">
        <f aca="false">IF($A144="","",IF($T144&lt;=0,"AGOTADO",IF($T144&lt;=N($K144),"REORDENAR","OK")))</f>
        <v/>
      </c>
      <c r="Z144" s="34" t="str">
        <f aca="false">IF($A144="","",IF($T144&lt;=N($K144),ROUNDUP((2*N($K144)-$T144)/$F144,0),0))</f>
        <v/>
      </c>
      <c r="AA144" s="8" t="str">
        <f aca="false">IF(OR($Y144="REORDENAR",$Y144="AGOTADO"),ROW(),"")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39"/>
      <c r="G145" s="40"/>
      <c r="H145" s="41"/>
      <c r="I145" s="41"/>
      <c r="J145" s="6"/>
      <c r="K145" s="42"/>
      <c r="L145" s="42"/>
      <c r="M145" s="43" t="str">
        <f aca="false">IF($A145="","",IFERROR($G145/$F145,0))</f>
        <v/>
      </c>
      <c r="N145" s="43" t="str">
        <f aca="false">IF($A145="","",IFERROR(SUMIFS(COMPRAS!$N$6:$N$1005,COMPRAS!$D$6:$D$1005,$A145,COMPRAS!$R$6:$R$1005,1)/COUNTIFS(COMPRAS!$D$6:$D$1005,$A145,COMPRAS!$R$6:$R$1005,1),0))</f>
        <v/>
      </c>
      <c r="O145" s="43" t="str">
        <f aca="false">IF($A145="","",IF($N145&gt;0,$N145,$M145))</f>
        <v/>
      </c>
      <c r="P145" s="43" t="str">
        <f aca="false">IF($A145="","",IF(N($I145)&gt;0,$O145/$I145,$O145))</f>
        <v/>
      </c>
      <c r="Q145" s="34" t="str">
        <f aca="false">IF($A145="","",SUMIFS(COMPRAS!$I$6:$I$1005,COMPRAS!$D$6:$D$1005,$A145))</f>
        <v/>
      </c>
      <c r="R145" s="34" t="str">
        <f aca="false">IF($A145="","",SUMIFS(RECETAS!$L$6:$L$605,RECETAS!$C$6:$C$605,$A145))</f>
        <v/>
      </c>
      <c r="S145" s="34" t="str">
        <f aca="false">IF($A145="","",SUMIFS(MERMAS!$J$6:$J$505,MERMAS!$B$6:$B$505,$A145))</f>
        <v/>
      </c>
      <c r="T145" s="34" t="str">
        <f aca="false">IF($A145="","",N($L145)+$Q145-$R145+$S145)</f>
        <v/>
      </c>
      <c r="U145" s="35" t="str">
        <f aca="false">IF($A145="","",$T145*$O145)</f>
        <v/>
      </c>
      <c r="V145" s="42"/>
      <c r="W145" s="34" t="str">
        <f aca="false">IF(OR($A145="",$V145=""),"",$V145-$T145)</f>
        <v/>
      </c>
      <c r="X145" s="35" t="str">
        <f aca="false">IF($W145="","",$W145*$O145)</f>
        <v/>
      </c>
      <c r="Y145" s="8" t="str">
        <f aca="false">IF($A145="","",IF($T145&lt;=0,"AGOTADO",IF($T145&lt;=N($K145),"REORDENAR","OK")))</f>
        <v/>
      </c>
      <c r="Z145" s="34" t="str">
        <f aca="false">IF($A145="","",IF($T145&lt;=N($K145),ROUNDUP((2*N($K145)-$T145)/$F145,0),0))</f>
        <v/>
      </c>
      <c r="AA145" s="8" t="str">
        <f aca="false">IF(OR($Y145="REORDENAR",$Y145="AGOTADO"),ROW(),"")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39"/>
      <c r="G146" s="40"/>
      <c r="H146" s="41"/>
      <c r="I146" s="41"/>
      <c r="J146" s="6"/>
      <c r="K146" s="42"/>
      <c r="L146" s="42"/>
      <c r="M146" s="43" t="str">
        <f aca="false">IF($A146="","",IFERROR($G146/$F146,0))</f>
        <v/>
      </c>
      <c r="N146" s="43" t="str">
        <f aca="false">IF($A146="","",IFERROR(SUMIFS(COMPRAS!$N$6:$N$1005,COMPRAS!$D$6:$D$1005,$A146,COMPRAS!$R$6:$R$1005,1)/COUNTIFS(COMPRAS!$D$6:$D$1005,$A146,COMPRAS!$R$6:$R$1005,1),0))</f>
        <v/>
      </c>
      <c r="O146" s="43" t="str">
        <f aca="false">IF($A146="","",IF($N146&gt;0,$N146,$M146))</f>
        <v/>
      </c>
      <c r="P146" s="43" t="str">
        <f aca="false">IF($A146="","",IF(N($I146)&gt;0,$O146/$I146,$O146))</f>
        <v/>
      </c>
      <c r="Q146" s="34" t="str">
        <f aca="false">IF($A146="","",SUMIFS(COMPRAS!$I$6:$I$1005,COMPRAS!$D$6:$D$1005,$A146))</f>
        <v/>
      </c>
      <c r="R146" s="34" t="str">
        <f aca="false">IF($A146="","",SUMIFS(RECETAS!$L$6:$L$605,RECETAS!$C$6:$C$605,$A146))</f>
        <v/>
      </c>
      <c r="S146" s="34" t="str">
        <f aca="false">IF($A146="","",SUMIFS(MERMAS!$J$6:$J$505,MERMAS!$B$6:$B$505,$A146))</f>
        <v/>
      </c>
      <c r="T146" s="34" t="str">
        <f aca="false">IF($A146="","",N($L146)+$Q146-$R146+$S146)</f>
        <v/>
      </c>
      <c r="U146" s="35" t="str">
        <f aca="false">IF($A146="","",$T146*$O146)</f>
        <v/>
      </c>
      <c r="V146" s="42"/>
      <c r="W146" s="34" t="str">
        <f aca="false">IF(OR($A146="",$V146=""),"",$V146-$T146)</f>
        <v/>
      </c>
      <c r="X146" s="35" t="str">
        <f aca="false">IF($W146="","",$W146*$O146)</f>
        <v/>
      </c>
      <c r="Y146" s="8" t="str">
        <f aca="false">IF($A146="","",IF($T146&lt;=0,"AGOTADO",IF($T146&lt;=N($K146),"REORDENAR","OK")))</f>
        <v/>
      </c>
      <c r="Z146" s="34" t="str">
        <f aca="false">IF($A146="","",IF($T146&lt;=N($K146),ROUNDUP((2*N($K146)-$T146)/$F146,0),0))</f>
        <v/>
      </c>
      <c r="AA146" s="8" t="str">
        <f aca="false">IF(OR($Y146="REORDENAR",$Y146="AGOTADO"),ROW(),"")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39"/>
      <c r="G147" s="40"/>
      <c r="H147" s="41"/>
      <c r="I147" s="41"/>
      <c r="J147" s="6"/>
      <c r="K147" s="42"/>
      <c r="L147" s="42"/>
      <c r="M147" s="43" t="str">
        <f aca="false">IF($A147="","",IFERROR($G147/$F147,0))</f>
        <v/>
      </c>
      <c r="N147" s="43" t="str">
        <f aca="false">IF($A147="","",IFERROR(SUMIFS(COMPRAS!$N$6:$N$1005,COMPRAS!$D$6:$D$1005,$A147,COMPRAS!$R$6:$R$1005,1)/COUNTIFS(COMPRAS!$D$6:$D$1005,$A147,COMPRAS!$R$6:$R$1005,1),0))</f>
        <v/>
      </c>
      <c r="O147" s="43" t="str">
        <f aca="false">IF($A147="","",IF($N147&gt;0,$N147,$M147))</f>
        <v/>
      </c>
      <c r="P147" s="43" t="str">
        <f aca="false">IF($A147="","",IF(N($I147)&gt;0,$O147/$I147,$O147))</f>
        <v/>
      </c>
      <c r="Q147" s="34" t="str">
        <f aca="false">IF($A147="","",SUMIFS(COMPRAS!$I$6:$I$1005,COMPRAS!$D$6:$D$1005,$A147))</f>
        <v/>
      </c>
      <c r="R147" s="34" t="str">
        <f aca="false">IF($A147="","",SUMIFS(RECETAS!$L$6:$L$605,RECETAS!$C$6:$C$605,$A147))</f>
        <v/>
      </c>
      <c r="S147" s="34" t="str">
        <f aca="false">IF($A147="","",SUMIFS(MERMAS!$J$6:$J$505,MERMAS!$B$6:$B$505,$A147))</f>
        <v/>
      </c>
      <c r="T147" s="34" t="str">
        <f aca="false">IF($A147="","",N($L147)+$Q147-$R147+$S147)</f>
        <v/>
      </c>
      <c r="U147" s="35" t="str">
        <f aca="false">IF($A147="","",$T147*$O147)</f>
        <v/>
      </c>
      <c r="V147" s="42"/>
      <c r="W147" s="34" t="str">
        <f aca="false">IF(OR($A147="",$V147=""),"",$V147-$T147)</f>
        <v/>
      </c>
      <c r="X147" s="35" t="str">
        <f aca="false">IF($W147="","",$W147*$O147)</f>
        <v/>
      </c>
      <c r="Y147" s="8" t="str">
        <f aca="false">IF($A147="","",IF($T147&lt;=0,"AGOTADO",IF($T147&lt;=N($K147),"REORDENAR","OK")))</f>
        <v/>
      </c>
      <c r="Z147" s="34" t="str">
        <f aca="false">IF($A147="","",IF($T147&lt;=N($K147),ROUNDUP((2*N($K147)-$T147)/$F147,0),0))</f>
        <v/>
      </c>
      <c r="AA147" s="8" t="str">
        <f aca="false">IF(OR($Y147="REORDENAR",$Y147="AGOTADO"),ROW(),"")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39"/>
      <c r="G148" s="40"/>
      <c r="H148" s="41"/>
      <c r="I148" s="41"/>
      <c r="J148" s="6"/>
      <c r="K148" s="42"/>
      <c r="L148" s="42"/>
      <c r="M148" s="43" t="str">
        <f aca="false">IF($A148="","",IFERROR($G148/$F148,0))</f>
        <v/>
      </c>
      <c r="N148" s="43" t="str">
        <f aca="false">IF($A148="","",IFERROR(SUMIFS(COMPRAS!$N$6:$N$1005,COMPRAS!$D$6:$D$1005,$A148,COMPRAS!$R$6:$R$1005,1)/COUNTIFS(COMPRAS!$D$6:$D$1005,$A148,COMPRAS!$R$6:$R$1005,1),0))</f>
        <v/>
      </c>
      <c r="O148" s="43" t="str">
        <f aca="false">IF($A148="","",IF($N148&gt;0,$N148,$M148))</f>
        <v/>
      </c>
      <c r="P148" s="43" t="str">
        <f aca="false">IF($A148="","",IF(N($I148)&gt;0,$O148/$I148,$O148))</f>
        <v/>
      </c>
      <c r="Q148" s="34" t="str">
        <f aca="false">IF($A148="","",SUMIFS(COMPRAS!$I$6:$I$1005,COMPRAS!$D$6:$D$1005,$A148))</f>
        <v/>
      </c>
      <c r="R148" s="34" t="str">
        <f aca="false">IF($A148="","",SUMIFS(RECETAS!$L$6:$L$605,RECETAS!$C$6:$C$605,$A148))</f>
        <v/>
      </c>
      <c r="S148" s="34" t="str">
        <f aca="false">IF($A148="","",SUMIFS(MERMAS!$J$6:$J$505,MERMAS!$B$6:$B$505,$A148))</f>
        <v/>
      </c>
      <c r="T148" s="34" t="str">
        <f aca="false">IF($A148="","",N($L148)+$Q148-$R148+$S148)</f>
        <v/>
      </c>
      <c r="U148" s="35" t="str">
        <f aca="false">IF($A148="","",$T148*$O148)</f>
        <v/>
      </c>
      <c r="V148" s="42"/>
      <c r="W148" s="34" t="str">
        <f aca="false">IF(OR($A148="",$V148=""),"",$V148-$T148)</f>
        <v/>
      </c>
      <c r="X148" s="35" t="str">
        <f aca="false">IF($W148="","",$W148*$O148)</f>
        <v/>
      </c>
      <c r="Y148" s="8" t="str">
        <f aca="false">IF($A148="","",IF($T148&lt;=0,"AGOTADO",IF($T148&lt;=N($K148),"REORDENAR","OK")))</f>
        <v/>
      </c>
      <c r="Z148" s="34" t="str">
        <f aca="false">IF($A148="","",IF($T148&lt;=N($K148),ROUNDUP((2*N($K148)-$T148)/$F148,0),0))</f>
        <v/>
      </c>
      <c r="AA148" s="8" t="str">
        <f aca="false">IF(OR($Y148="REORDENAR",$Y148="AGOTADO"),ROW(),"")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39"/>
      <c r="G149" s="40"/>
      <c r="H149" s="41"/>
      <c r="I149" s="41"/>
      <c r="J149" s="6"/>
      <c r="K149" s="42"/>
      <c r="L149" s="42"/>
      <c r="M149" s="43" t="str">
        <f aca="false">IF($A149="","",IFERROR($G149/$F149,0))</f>
        <v/>
      </c>
      <c r="N149" s="43" t="str">
        <f aca="false">IF($A149="","",IFERROR(SUMIFS(COMPRAS!$N$6:$N$1005,COMPRAS!$D$6:$D$1005,$A149,COMPRAS!$R$6:$R$1005,1)/COUNTIFS(COMPRAS!$D$6:$D$1005,$A149,COMPRAS!$R$6:$R$1005,1),0))</f>
        <v/>
      </c>
      <c r="O149" s="43" t="str">
        <f aca="false">IF($A149="","",IF($N149&gt;0,$N149,$M149))</f>
        <v/>
      </c>
      <c r="P149" s="43" t="str">
        <f aca="false">IF($A149="","",IF(N($I149)&gt;0,$O149/$I149,$O149))</f>
        <v/>
      </c>
      <c r="Q149" s="34" t="str">
        <f aca="false">IF($A149="","",SUMIFS(COMPRAS!$I$6:$I$1005,COMPRAS!$D$6:$D$1005,$A149))</f>
        <v/>
      </c>
      <c r="R149" s="34" t="str">
        <f aca="false">IF($A149="","",SUMIFS(RECETAS!$L$6:$L$605,RECETAS!$C$6:$C$605,$A149))</f>
        <v/>
      </c>
      <c r="S149" s="34" t="str">
        <f aca="false">IF($A149="","",SUMIFS(MERMAS!$J$6:$J$505,MERMAS!$B$6:$B$505,$A149))</f>
        <v/>
      </c>
      <c r="T149" s="34" t="str">
        <f aca="false">IF($A149="","",N($L149)+$Q149-$R149+$S149)</f>
        <v/>
      </c>
      <c r="U149" s="35" t="str">
        <f aca="false">IF($A149="","",$T149*$O149)</f>
        <v/>
      </c>
      <c r="V149" s="42"/>
      <c r="W149" s="34" t="str">
        <f aca="false">IF(OR($A149="",$V149=""),"",$V149-$T149)</f>
        <v/>
      </c>
      <c r="X149" s="35" t="str">
        <f aca="false">IF($W149="","",$W149*$O149)</f>
        <v/>
      </c>
      <c r="Y149" s="8" t="str">
        <f aca="false">IF($A149="","",IF($T149&lt;=0,"AGOTADO",IF($T149&lt;=N($K149),"REORDENAR","OK")))</f>
        <v/>
      </c>
      <c r="Z149" s="34" t="str">
        <f aca="false">IF($A149="","",IF($T149&lt;=N($K149),ROUNDUP((2*N($K149)-$T149)/$F149,0),0))</f>
        <v/>
      </c>
      <c r="AA149" s="8" t="str">
        <f aca="false">IF(OR($Y149="REORDENAR",$Y149="AGOTADO"),ROW(),"")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39"/>
      <c r="G150" s="40"/>
      <c r="H150" s="41"/>
      <c r="I150" s="41"/>
      <c r="J150" s="6"/>
      <c r="K150" s="42"/>
      <c r="L150" s="42"/>
      <c r="M150" s="43" t="str">
        <f aca="false">IF($A150="","",IFERROR($G150/$F150,0))</f>
        <v/>
      </c>
      <c r="N150" s="43" t="str">
        <f aca="false">IF($A150="","",IFERROR(SUMIFS(COMPRAS!$N$6:$N$1005,COMPRAS!$D$6:$D$1005,$A150,COMPRAS!$R$6:$R$1005,1)/COUNTIFS(COMPRAS!$D$6:$D$1005,$A150,COMPRAS!$R$6:$R$1005,1),0))</f>
        <v/>
      </c>
      <c r="O150" s="43" t="str">
        <f aca="false">IF($A150="","",IF($N150&gt;0,$N150,$M150))</f>
        <v/>
      </c>
      <c r="P150" s="43" t="str">
        <f aca="false">IF($A150="","",IF(N($I150)&gt;0,$O150/$I150,$O150))</f>
        <v/>
      </c>
      <c r="Q150" s="34" t="str">
        <f aca="false">IF($A150="","",SUMIFS(COMPRAS!$I$6:$I$1005,COMPRAS!$D$6:$D$1005,$A150))</f>
        <v/>
      </c>
      <c r="R150" s="34" t="str">
        <f aca="false">IF($A150="","",SUMIFS(RECETAS!$L$6:$L$605,RECETAS!$C$6:$C$605,$A150))</f>
        <v/>
      </c>
      <c r="S150" s="34" t="str">
        <f aca="false">IF($A150="","",SUMIFS(MERMAS!$J$6:$J$505,MERMAS!$B$6:$B$505,$A150))</f>
        <v/>
      </c>
      <c r="T150" s="34" t="str">
        <f aca="false">IF($A150="","",N($L150)+$Q150-$R150+$S150)</f>
        <v/>
      </c>
      <c r="U150" s="35" t="str">
        <f aca="false">IF($A150="","",$T150*$O150)</f>
        <v/>
      </c>
      <c r="V150" s="42"/>
      <c r="W150" s="34" t="str">
        <f aca="false">IF(OR($A150="",$V150=""),"",$V150-$T150)</f>
        <v/>
      </c>
      <c r="X150" s="35" t="str">
        <f aca="false">IF($W150="","",$W150*$O150)</f>
        <v/>
      </c>
      <c r="Y150" s="8" t="str">
        <f aca="false">IF($A150="","",IF($T150&lt;=0,"AGOTADO",IF($T150&lt;=N($K150),"REORDENAR","OK")))</f>
        <v/>
      </c>
      <c r="Z150" s="34" t="str">
        <f aca="false">IF($A150="","",IF($T150&lt;=N($K150),ROUNDUP((2*N($K150)-$T150)/$F150,0),0))</f>
        <v/>
      </c>
      <c r="AA150" s="8" t="str">
        <f aca="false">IF(OR($Y150="REORDENAR",$Y150="AGOTADO"),ROW(),"")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39"/>
      <c r="G151" s="40"/>
      <c r="H151" s="41"/>
      <c r="I151" s="41"/>
      <c r="J151" s="6"/>
      <c r="K151" s="42"/>
      <c r="L151" s="42"/>
      <c r="M151" s="43" t="str">
        <f aca="false">IF($A151="","",IFERROR($G151/$F151,0))</f>
        <v/>
      </c>
      <c r="N151" s="43" t="str">
        <f aca="false">IF($A151="","",IFERROR(SUMIFS(COMPRAS!$N$6:$N$1005,COMPRAS!$D$6:$D$1005,$A151,COMPRAS!$R$6:$R$1005,1)/COUNTIFS(COMPRAS!$D$6:$D$1005,$A151,COMPRAS!$R$6:$R$1005,1),0))</f>
        <v/>
      </c>
      <c r="O151" s="43" t="str">
        <f aca="false">IF($A151="","",IF($N151&gt;0,$N151,$M151))</f>
        <v/>
      </c>
      <c r="P151" s="43" t="str">
        <f aca="false">IF($A151="","",IF(N($I151)&gt;0,$O151/$I151,$O151))</f>
        <v/>
      </c>
      <c r="Q151" s="34" t="str">
        <f aca="false">IF($A151="","",SUMIFS(COMPRAS!$I$6:$I$1005,COMPRAS!$D$6:$D$1005,$A151))</f>
        <v/>
      </c>
      <c r="R151" s="34" t="str">
        <f aca="false">IF($A151="","",SUMIFS(RECETAS!$L$6:$L$605,RECETAS!$C$6:$C$605,$A151))</f>
        <v/>
      </c>
      <c r="S151" s="34" t="str">
        <f aca="false">IF($A151="","",SUMIFS(MERMAS!$J$6:$J$505,MERMAS!$B$6:$B$505,$A151))</f>
        <v/>
      </c>
      <c r="T151" s="34" t="str">
        <f aca="false">IF($A151="","",N($L151)+$Q151-$R151+$S151)</f>
        <v/>
      </c>
      <c r="U151" s="35" t="str">
        <f aca="false">IF($A151="","",$T151*$O151)</f>
        <v/>
      </c>
      <c r="V151" s="42"/>
      <c r="W151" s="34" t="str">
        <f aca="false">IF(OR($A151="",$V151=""),"",$V151-$T151)</f>
        <v/>
      </c>
      <c r="X151" s="35" t="str">
        <f aca="false">IF($W151="","",$W151*$O151)</f>
        <v/>
      </c>
      <c r="Y151" s="8" t="str">
        <f aca="false">IF($A151="","",IF($T151&lt;=0,"AGOTADO",IF($T151&lt;=N($K151),"REORDENAR","OK")))</f>
        <v/>
      </c>
      <c r="Z151" s="34" t="str">
        <f aca="false">IF($A151="","",IF($T151&lt;=N($K151),ROUNDUP((2*N($K151)-$T151)/$F151,0),0))</f>
        <v/>
      </c>
      <c r="AA151" s="8" t="str">
        <f aca="false">IF(OR($Y151="REORDENAR",$Y151="AGOTADO"),ROW(),"")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39"/>
      <c r="G152" s="40"/>
      <c r="H152" s="41"/>
      <c r="I152" s="41"/>
      <c r="J152" s="6"/>
      <c r="K152" s="42"/>
      <c r="L152" s="42"/>
      <c r="M152" s="43" t="str">
        <f aca="false">IF($A152="","",IFERROR($G152/$F152,0))</f>
        <v/>
      </c>
      <c r="N152" s="43" t="str">
        <f aca="false">IF($A152="","",IFERROR(SUMIFS(COMPRAS!$N$6:$N$1005,COMPRAS!$D$6:$D$1005,$A152,COMPRAS!$R$6:$R$1005,1)/COUNTIFS(COMPRAS!$D$6:$D$1005,$A152,COMPRAS!$R$6:$R$1005,1),0))</f>
        <v/>
      </c>
      <c r="O152" s="43" t="str">
        <f aca="false">IF($A152="","",IF($N152&gt;0,$N152,$M152))</f>
        <v/>
      </c>
      <c r="P152" s="43" t="str">
        <f aca="false">IF($A152="","",IF(N($I152)&gt;0,$O152/$I152,$O152))</f>
        <v/>
      </c>
      <c r="Q152" s="34" t="str">
        <f aca="false">IF($A152="","",SUMIFS(COMPRAS!$I$6:$I$1005,COMPRAS!$D$6:$D$1005,$A152))</f>
        <v/>
      </c>
      <c r="R152" s="34" t="str">
        <f aca="false">IF($A152="","",SUMIFS(RECETAS!$L$6:$L$605,RECETAS!$C$6:$C$605,$A152))</f>
        <v/>
      </c>
      <c r="S152" s="34" t="str">
        <f aca="false">IF($A152="","",SUMIFS(MERMAS!$J$6:$J$505,MERMAS!$B$6:$B$505,$A152))</f>
        <v/>
      </c>
      <c r="T152" s="34" t="str">
        <f aca="false">IF($A152="","",N($L152)+$Q152-$R152+$S152)</f>
        <v/>
      </c>
      <c r="U152" s="35" t="str">
        <f aca="false">IF($A152="","",$T152*$O152)</f>
        <v/>
      </c>
      <c r="V152" s="42"/>
      <c r="W152" s="34" t="str">
        <f aca="false">IF(OR($A152="",$V152=""),"",$V152-$T152)</f>
        <v/>
      </c>
      <c r="X152" s="35" t="str">
        <f aca="false">IF($W152="","",$W152*$O152)</f>
        <v/>
      </c>
      <c r="Y152" s="8" t="str">
        <f aca="false">IF($A152="","",IF($T152&lt;=0,"AGOTADO",IF($T152&lt;=N($K152),"REORDENAR","OK")))</f>
        <v/>
      </c>
      <c r="Z152" s="34" t="str">
        <f aca="false">IF($A152="","",IF($T152&lt;=N($K152),ROUNDUP((2*N($K152)-$T152)/$F152,0),0))</f>
        <v/>
      </c>
      <c r="AA152" s="8" t="str">
        <f aca="false">IF(OR($Y152="REORDENAR",$Y152="AGOTADO"),ROW(),"")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39"/>
      <c r="G153" s="40"/>
      <c r="H153" s="41"/>
      <c r="I153" s="41"/>
      <c r="J153" s="6"/>
      <c r="K153" s="42"/>
      <c r="L153" s="42"/>
      <c r="M153" s="43" t="str">
        <f aca="false">IF($A153="","",IFERROR($G153/$F153,0))</f>
        <v/>
      </c>
      <c r="N153" s="43" t="str">
        <f aca="false">IF($A153="","",IFERROR(SUMIFS(COMPRAS!$N$6:$N$1005,COMPRAS!$D$6:$D$1005,$A153,COMPRAS!$R$6:$R$1005,1)/COUNTIFS(COMPRAS!$D$6:$D$1005,$A153,COMPRAS!$R$6:$R$1005,1),0))</f>
        <v/>
      </c>
      <c r="O153" s="43" t="str">
        <f aca="false">IF($A153="","",IF($N153&gt;0,$N153,$M153))</f>
        <v/>
      </c>
      <c r="P153" s="43" t="str">
        <f aca="false">IF($A153="","",IF(N($I153)&gt;0,$O153/$I153,$O153))</f>
        <v/>
      </c>
      <c r="Q153" s="34" t="str">
        <f aca="false">IF($A153="","",SUMIFS(COMPRAS!$I$6:$I$1005,COMPRAS!$D$6:$D$1005,$A153))</f>
        <v/>
      </c>
      <c r="R153" s="34" t="str">
        <f aca="false">IF($A153="","",SUMIFS(RECETAS!$L$6:$L$605,RECETAS!$C$6:$C$605,$A153))</f>
        <v/>
      </c>
      <c r="S153" s="34" t="str">
        <f aca="false">IF($A153="","",SUMIFS(MERMAS!$J$6:$J$505,MERMAS!$B$6:$B$505,$A153))</f>
        <v/>
      </c>
      <c r="T153" s="34" t="str">
        <f aca="false">IF($A153="","",N($L153)+$Q153-$R153+$S153)</f>
        <v/>
      </c>
      <c r="U153" s="35" t="str">
        <f aca="false">IF($A153="","",$T153*$O153)</f>
        <v/>
      </c>
      <c r="V153" s="42"/>
      <c r="W153" s="34" t="str">
        <f aca="false">IF(OR($A153="",$V153=""),"",$V153-$T153)</f>
        <v/>
      </c>
      <c r="X153" s="35" t="str">
        <f aca="false">IF($W153="","",$W153*$O153)</f>
        <v/>
      </c>
      <c r="Y153" s="8" t="str">
        <f aca="false">IF($A153="","",IF($T153&lt;=0,"AGOTADO",IF($T153&lt;=N($K153),"REORDENAR","OK")))</f>
        <v/>
      </c>
      <c r="Z153" s="34" t="str">
        <f aca="false">IF($A153="","",IF($T153&lt;=N($K153),ROUNDUP((2*N($K153)-$T153)/$F153,0),0))</f>
        <v/>
      </c>
      <c r="AA153" s="8" t="str">
        <f aca="false">IF(OR($Y153="REORDENAR",$Y153="AGOTADO"),ROW(),"")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39"/>
      <c r="G154" s="40"/>
      <c r="H154" s="41"/>
      <c r="I154" s="41"/>
      <c r="J154" s="6"/>
      <c r="K154" s="42"/>
      <c r="L154" s="42"/>
      <c r="M154" s="43" t="str">
        <f aca="false">IF($A154="","",IFERROR($G154/$F154,0))</f>
        <v/>
      </c>
      <c r="N154" s="43" t="str">
        <f aca="false">IF($A154="","",IFERROR(SUMIFS(COMPRAS!$N$6:$N$1005,COMPRAS!$D$6:$D$1005,$A154,COMPRAS!$R$6:$R$1005,1)/COUNTIFS(COMPRAS!$D$6:$D$1005,$A154,COMPRAS!$R$6:$R$1005,1),0))</f>
        <v/>
      </c>
      <c r="O154" s="43" t="str">
        <f aca="false">IF($A154="","",IF($N154&gt;0,$N154,$M154))</f>
        <v/>
      </c>
      <c r="P154" s="43" t="str">
        <f aca="false">IF($A154="","",IF(N($I154)&gt;0,$O154/$I154,$O154))</f>
        <v/>
      </c>
      <c r="Q154" s="34" t="str">
        <f aca="false">IF($A154="","",SUMIFS(COMPRAS!$I$6:$I$1005,COMPRAS!$D$6:$D$1005,$A154))</f>
        <v/>
      </c>
      <c r="R154" s="34" t="str">
        <f aca="false">IF($A154="","",SUMIFS(RECETAS!$L$6:$L$605,RECETAS!$C$6:$C$605,$A154))</f>
        <v/>
      </c>
      <c r="S154" s="34" t="str">
        <f aca="false">IF($A154="","",SUMIFS(MERMAS!$J$6:$J$505,MERMAS!$B$6:$B$505,$A154))</f>
        <v/>
      </c>
      <c r="T154" s="34" t="str">
        <f aca="false">IF($A154="","",N($L154)+$Q154-$R154+$S154)</f>
        <v/>
      </c>
      <c r="U154" s="35" t="str">
        <f aca="false">IF($A154="","",$T154*$O154)</f>
        <v/>
      </c>
      <c r="V154" s="42"/>
      <c r="W154" s="34" t="str">
        <f aca="false">IF(OR($A154="",$V154=""),"",$V154-$T154)</f>
        <v/>
      </c>
      <c r="X154" s="35" t="str">
        <f aca="false">IF($W154="","",$W154*$O154)</f>
        <v/>
      </c>
      <c r="Y154" s="8" t="str">
        <f aca="false">IF($A154="","",IF($T154&lt;=0,"AGOTADO",IF($T154&lt;=N($K154),"REORDENAR","OK")))</f>
        <v/>
      </c>
      <c r="Z154" s="34" t="str">
        <f aca="false">IF($A154="","",IF($T154&lt;=N($K154),ROUNDUP((2*N($K154)-$T154)/$F154,0),0))</f>
        <v/>
      </c>
      <c r="AA154" s="8" t="str">
        <f aca="false">IF(OR($Y154="REORDENAR",$Y154="AGOTADO"),ROW(),"")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39"/>
      <c r="G155" s="40"/>
      <c r="H155" s="41"/>
      <c r="I155" s="41"/>
      <c r="J155" s="6"/>
      <c r="K155" s="42"/>
      <c r="L155" s="42"/>
      <c r="M155" s="43" t="str">
        <f aca="false">IF($A155="","",IFERROR($G155/$F155,0))</f>
        <v/>
      </c>
      <c r="N155" s="43" t="str">
        <f aca="false">IF($A155="","",IFERROR(SUMIFS(COMPRAS!$N$6:$N$1005,COMPRAS!$D$6:$D$1005,$A155,COMPRAS!$R$6:$R$1005,1)/COUNTIFS(COMPRAS!$D$6:$D$1005,$A155,COMPRAS!$R$6:$R$1005,1),0))</f>
        <v/>
      </c>
      <c r="O155" s="43" t="str">
        <f aca="false">IF($A155="","",IF($N155&gt;0,$N155,$M155))</f>
        <v/>
      </c>
      <c r="P155" s="43" t="str">
        <f aca="false">IF($A155="","",IF(N($I155)&gt;0,$O155/$I155,$O155))</f>
        <v/>
      </c>
      <c r="Q155" s="34" t="str">
        <f aca="false">IF($A155="","",SUMIFS(COMPRAS!$I$6:$I$1005,COMPRAS!$D$6:$D$1005,$A155))</f>
        <v/>
      </c>
      <c r="R155" s="34" t="str">
        <f aca="false">IF($A155="","",SUMIFS(RECETAS!$L$6:$L$605,RECETAS!$C$6:$C$605,$A155))</f>
        <v/>
      </c>
      <c r="S155" s="34" t="str">
        <f aca="false">IF($A155="","",SUMIFS(MERMAS!$J$6:$J$505,MERMAS!$B$6:$B$505,$A155))</f>
        <v/>
      </c>
      <c r="T155" s="34" t="str">
        <f aca="false">IF($A155="","",N($L155)+$Q155-$R155+$S155)</f>
        <v/>
      </c>
      <c r="U155" s="35" t="str">
        <f aca="false">IF($A155="","",$T155*$O155)</f>
        <v/>
      </c>
      <c r="V155" s="42"/>
      <c r="W155" s="34" t="str">
        <f aca="false">IF(OR($A155="",$V155=""),"",$V155-$T155)</f>
        <v/>
      </c>
      <c r="X155" s="35" t="str">
        <f aca="false">IF($W155="","",$W155*$O155)</f>
        <v/>
      </c>
      <c r="Y155" s="8" t="str">
        <f aca="false">IF($A155="","",IF($T155&lt;=0,"AGOTADO",IF($T155&lt;=N($K155),"REORDENAR","OK")))</f>
        <v/>
      </c>
      <c r="Z155" s="34" t="str">
        <f aca="false">IF($A155="","",IF($T155&lt;=N($K155),ROUNDUP((2*N($K155)-$T155)/$F155,0),0))</f>
        <v/>
      </c>
      <c r="AA155" s="8" t="str">
        <f aca="false">IF(OR($Y155="REORDENAR",$Y155="AGOTADO"),ROW(),"")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39"/>
      <c r="G156" s="40"/>
      <c r="H156" s="41"/>
      <c r="I156" s="41"/>
      <c r="J156" s="6"/>
      <c r="K156" s="42"/>
      <c r="L156" s="42"/>
      <c r="M156" s="43" t="str">
        <f aca="false">IF($A156="","",IFERROR($G156/$F156,0))</f>
        <v/>
      </c>
      <c r="N156" s="43" t="str">
        <f aca="false">IF($A156="","",IFERROR(SUMIFS(COMPRAS!$N$6:$N$1005,COMPRAS!$D$6:$D$1005,$A156,COMPRAS!$R$6:$R$1005,1)/COUNTIFS(COMPRAS!$D$6:$D$1005,$A156,COMPRAS!$R$6:$R$1005,1),0))</f>
        <v/>
      </c>
      <c r="O156" s="43" t="str">
        <f aca="false">IF($A156="","",IF($N156&gt;0,$N156,$M156))</f>
        <v/>
      </c>
      <c r="P156" s="43" t="str">
        <f aca="false">IF($A156="","",IF(N($I156)&gt;0,$O156/$I156,$O156))</f>
        <v/>
      </c>
      <c r="Q156" s="34" t="str">
        <f aca="false">IF($A156="","",SUMIFS(COMPRAS!$I$6:$I$1005,COMPRAS!$D$6:$D$1005,$A156))</f>
        <v/>
      </c>
      <c r="R156" s="34" t="str">
        <f aca="false">IF($A156="","",SUMIFS(RECETAS!$L$6:$L$605,RECETAS!$C$6:$C$605,$A156))</f>
        <v/>
      </c>
      <c r="S156" s="34" t="str">
        <f aca="false">IF($A156="","",SUMIFS(MERMAS!$J$6:$J$505,MERMAS!$B$6:$B$505,$A156))</f>
        <v/>
      </c>
      <c r="T156" s="34" t="str">
        <f aca="false">IF($A156="","",N($L156)+$Q156-$R156+$S156)</f>
        <v/>
      </c>
      <c r="U156" s="35" t="str">
        <f aca="false">IF($A156="","",$T156*$O156)</f>
        <v/>
      </c>
      <c r="V156" s="42"/>
      <c r="W156" s="34" t="str">
        <f aca="false">IF(OR($A156="",$V156=""),"",$V156-$T156)</f>
        <v/>
      </c>
      <c r="X156" s="35" t="str">
        <f aca="false">IF($W156="","",$W156*$O156)</f>
        <v/>
      </c>
      <c r="Y156" s="8" t="str">
        <f aca="false">IF($A156="","",IF($T156&lt;=0,"AGOTADO",IF($T156&lt;=N($K156),"REORDENAR","OK")))</f>
        <v/>
      </c>
      <c r="Z156" s="34" t="str">
        <f aca="false">IF($A156="","",IF($T156&lt;=N($K156),ROUNDUP((2*N($K156)-$T156)/$F156,0),0))</f>
        <v/>
      </c>
      <c r="AA156" s="8" t="str">
        <f aca="false">IF(OR($Y156="REORDENAR",$Y156="AGOTADO"),ROW(),"")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39"/>
      <c r="G157" s="40"/>
      <c r="H157" s="41"/>
      <c r="I157" s="41"/>
      <c r="J157" s="6"/>
      <c r="K157" s="42"/>
      <c r="L157" s="42"/>
      <c r="M157" s="43" t="str">
        <f aca="false">IF($A157="","",IFERROR($G157/$F157,0))</f>
        <v/>
      </c>
      <c r="N157" s="43" t="str">
        <f aca="false">IF($A157="","",IFERROR(SUMIFS(COMPRAS!$N$6:$N$1005,COMPRAS!$D$6:$D$1005,$A157,COMPRAS!$R$6:$R$1005,1)/COUNTIFS(COMPRAS!$D$6:$D$1005,$A157,COMPRAS!$R$6:$R$1005,1),0))</f>
        <v/>
      </c>
      <c r="O157" s="43" t="str">
        <f aca="false">IF($A157="","",IF($N157&gt;0,$N157,$M157))</f>
        <v/>
      </c>
      <c r="P157" s="43" t="str">
        <f aca="false">IF($A157="","",IF(N($I157)&gt;0,$O157/$I157,$O157))</f>
        <v/>
      </c>
      <c r="Q157" s="34" t="str">
        <f aca="false">IF($A157="","",SUMIFS(COMPRAS!$I$6:$I$1005,COMPRAS!$D$6:$D$1005,$A157))</f>
        <v/>
      </c>
      <c r="R157" s="34" t="str">
        <f aca="false">IF($A157="","",SUMIFS(RECETAS!$L$6:$L$605,RECETAS!$C$6:$C$605,$A157))</f>
        <v/>
      </c>
      <c r="S157" s="34" t="str">
        <f aca="false">IF($A157="","",SUMIFS(MERMAS!$J$6:$J$505,MERMAS!$B$6:$B$505,$A157))</f>
        <v/>
      </c>
      <c r="T157" s="34" t="str">
        <f aca="false">IF($A157="","",N($L157)+$Q157-$R157+$S157)</f>
        <v/>
      </c>
      <c r="U157" s="35" t="str">
        <f aca="false">IF($A157="","",$T157*$O157)</f>
        <v/>
      </c>
      <c r="V157" s="42"/>
      <c r="W157" s="34" t="str">
        <f aca="false">IF(OR($A157="",$V157=""),"",$V157-$T157)</f>
        <v/>
      </c>
      <c r="X157" s="35" t="str">
        <f aca="false">IF($W157="","",$W157*$O157)</f>
        <v/>
      </c>
      <c r="Y157" s="8" t="str">
        <f aca="false">IF($A157="","",IF($T157&lt;=0,"AGOTADO",IF($T157&lt;=N($K157),"REORDENAR","OK")))</f>
        <v/>
      </c>
      <c r="Z157" s="34" t="str">
        <f aca="false">IF($A157="","",IF($T157&lt;=N($K157),ROUNDUP((2*N($K157)-$T157)/$F157,0),0))</f>
        <v/>
      </c>
      <c r="AA157" s="8" t="str">
        <f aca="false">IF(OR($Y157="REORDENAR",$Y157="AGOTADO"),ROW(),"")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39"/>
      <c r="G158" s="40"/>
      <c r="H158" s="41"/>
      <c r="I158" s="41"/>
      <c r="J158" s="6"/>
      <c r="K158" s="42"/>
      <c r="L158" s="42"/>
      <c r="M158" s="43" t="str">
        <f aca="false">IF($A158="","",IFERROR($G158/$F158,0))</f>
        <v/>
      </c>
      <c r="N158" s="43" t="str">
        <f aca="false">IF($A158="","",IFERROR(SUMIFS(COMPRAS!$N$6:$N$1005,COMPRAS!$D$6:$D$1005,$A158,COMPRAS!$R$6:$R$1005,1)/COUNTIFS(COMPRAS!$D$6:$D$1005,$A158,COMPRAS!$R$6:$R$1005,1),0))</f>
        <v/>
      </c>
      <c r="O158" s="43" t="str">
        <f aca="false">IF($A158="","",IF($N158&gt;0,$N158,$M158))</f>
        <v/>
      </c>
      <c r="P158" s="43" t="str">
        <f aca="false">IF($A158="","",IF(N($I158)&gt;0,$O158/$I158,$O158))</f>
        <v/>
      </c>
      <c r="Q158" s="34" t="str">
        <f aca="false">IF($A158="","",SUMIFS(COMPRAS!$I$6:$I$1005,COMPRAS!$D$6:$D$1005,$A158))</f>
        <v/>
      </c>
      <c r="R158" s="34" t="str">
        <f aca="false">IF($A158="","",SUMIFS(RECETAS!$L$6:$L$605,RECETAS!$C$6:$C$605,$A158))</f>
        <v/>
      </c>
      <c r="S158" s="34" t="str">
        <f aca="false">IF($A158="","",SUMIFS(MERMAS!$J$6:$J$505,MERMAS!$B$6:$B$505,$A158))</f>
        <v/>
      </c>
      <c r="T158" s="34" t="str">
        <f aca="false">IF($A158="","",N($L158)+$Q158-$R158+$S158)</f>
        <v/>
      </c>
      <c r="U158" s="35" t="str">
        <f aca="false">IF($A158="","",$T158*$O158)</f>
        <v/>
      </c>
      <c r="V158" s="42"/>
      <c r="W158" s="34" t="str">
        <f aca="false">IF(OR($A158="",$V158=""),"",$V158-$T158)</f>
        <v/>
      </c>
      <c r="X158" s="35" t="str">
        <f aca="false">IF($W158="","",$W158*$O158)</f>
        <v/>
      </c>
      <c r="Y158" s="8" t="str">
        <f aca="false">IF($A158="","",IF($T158&lt;=0,"AGOTADO",IF($T158&lt;=N($K158),"REORDENAR","OK")))</f>
        <v/>
      </c>
      <c r="Z158" s="34" t="str">
        <f aca="false">IF($A158="","",IF($T158&lt;=N($K158),ROUNDUP((2*N($K158)-$T158)/$F158,0),0))</f>
        <v/>
      </c>
      <c r="AA158" s="8" t="str">
        <f aca="false">IF(OR($Y158="REORDENAR",$Y158="AGOTADO"),ROW(),"")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39"/>
      <c r="G159" s="40"/>
      <c r="H159" s="41"/>
      <c r="I159" s="41"/>
      <c r="J159" s="6"/>
      <c r="K159" s="42"/>
      <c r="L159" s="42"/>
      <c r="M159" s="43" t="str">
        <f aca="false">IF($A159="","",IFERROR($G159/$F159,0))</f>
        <v/>
      </c>
      <c r="N159" s="43" t="str">
        <f aca="false">IF($A159="","",IFERROR(SUMIFS(COMPRAS!$N$6:$N$1005,COMPRAS!$D$6:$D$1005,$A159,COMPRAS!$R$6:$R$1005,1)/COUNTIFS(COMPRAS!$D$6:$D$1005,$A159,COMPRAS!$R$6:$R$1005,1),0))</f>
        <v/>
      </c>
      <c r="O159" s="43" t="str">
        <f aca="false">IF($A159="","",IF($N159&gt;0,$N159,$M159))</f>
        <v/>
      </c>
      <c r="P159" s="43" t="str">
        <f aca="false">IF($A159="","",IF(N($I159)&gt;0,$O159/$I159,$O159))</f>
        <v/>
      </c>
      <c r="Q159" s="34" t="str">
        <f aca="false">IF($A159="","",SUMIFS(COMPRAS!$I$6:$I$1005,COMPRAS!$D$6:$D$1005,$A159))</f>
        <v/>
      </c>
      <c r="R159" s="34" t="str">
        <f aca="false">IF($A159="","",SUMIFS(RECETAS!$L$6:$L$605,RECETAS!$C$6:$C$605,$A159))</f>
        <v/>
      </c>
      <c r="S159" s="34" t="str">
        <f aca="false">IF($A159="","",SUMIFS(MERMAS!$J$6:$J$505,MERMAS!$B$6:$B$505,$A159))</f>
        <v/>
      </c>
      <c r="T159" s="34" t="str">
        <f aca="false">IF($A159="","",N($L159)+$Q159-$R159+$S159)</f>
        <v/>
      </c>
      <c r="U159" s="35" t="str">
        <f aca="false">IF($A159="","",$T159*$O159)</f>
        <v/>
      </c>
      <c r="V159" s="42"/>
      <c r="W159" s="34" t="str">
        <f aca="false">IF(OR($A159="",$V159=""),"",$V159-$T159)</f>
        <v/>
      </c>
      <c r="X159" s="35" t="str">
        <f aca="false">IF($W159="","",$W159*$O159)</f>
        <v/>
      </c>
      <c r="Y159" s="8" t="str">
        <f aca="false">IF($A159="","",IF($T159&lt;=0,"AGOTADO",IF($T159&lt;=N($K159),"REORDENAR","OK")))</f>
        <v/>
      </c>
      <c r="Z159" s="34" t="str">
        <f aca="false">IF($A159="","",IF($T159&lt;=N($K159),ROUNDUP((2*N($K159)-$T159)/$F159,0),0))</f>
        <v/>
      </c>
      <c r="AA159" s="8" t="str">
        <f aca="false">IF(OR($Y159="REORDENAR",$Y159="AGOTADO"),ROW(),"")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39"/>
      <c r="G160" s="40"/>
      <c r="H160" s="41"/>
      <c r="I160" s="41"/>
      <c r="J160" s="6"/>
      <c r="K160" s="42"/>
      <c r="L160" s="42"/>
      <c r="M160" s="43" t="str">
        <f aca="false">IF($A160="","",IFERROR($G160/$F160,0))</f>
        <v/>
      </c>
      <c r="N160" s="43" t="str">
        <f aca="false">IF($A160="","",IFERROR(SUMIFS(COMPRAS!$N$6:$N$1005,COMPRAS!$D$6:$D$1005,$A160,COMPRAS!$R$6:$R$1005,1)/COUNTIFS(COMPRAS!$D$6:$D$1005,$A160,COMPRAS!$R$6:$R$1005,1),0))</f>
        <v/>
      </c>
      <c r="O160" s="43" t="str">
        <f aca="false">IF($A160="","",IF($N160&gt;0,$N160,$M160))</f>
        <v/>
      </c>
      <c r="P160" s="43" t="str">
        <f aca="false">IF($A160="","",IF(N($I160)&gt;0,$O160/$I160,$O160))</f>
        <v/>
      </c>
      <c r="Q160" s="34" t="str">
        <f aca="false">IF($A160="","",SUMIFS(COMPRAS!$I$6:$I$1005,COMPRAS!$D$6:$D$1005,$A160))</f>
        <v/>
      </c>
      <c r="R160" s="34" t="str">
        <f aca="false">IF($A160="","",SUMIFS(RECETAS!$L$6:$L$605,RECETAS!$C$6:$C$605,$A160))</f>
        <v/>
      </c>
      <c r="S160" s="34" t="str">
        <f aca="false">IF($A160="","",SUMIFS(MERMAS!$J$6:$J$505,MERMAS!$B$6:$B$505,$A160))</f>
        <v/>
      </c>
      <c r="T160" s="34" t="str">
        <f aca="false">IF($A160="","",N($L160)+$Q160-$R160+$S160)</f>
        <v/>
      </c>
      <c r="U160" s="35" t="str">
        <f aca="false">IF($A160="","",$T160*$O160)</f>
        <v/>
      </c>
      <c r="V160" s="42"/>
      <c r="W160" s="34" t="str">
        <f aca="false">IF(OR($A160="",$V160=""),"",$V160-$T160)</f>
        <v/>
      </c>
      <c r="X160" s="35" t="str">
        <f aca="false">IF($W160="","",$W160*$O160)</f>
        <v/>
      </c>
      <c r="Y160" s="8" t="str">
        <f aca="false">IF($A160="","",IF($T160&lt;=0,"AGOTADO",IF($T160&lt;=N($K160),"REORDENAR","OK")))</f>
        <v/>
      </c>
      <c r="Z160" s="34" t="str">
        <f aca="false">IF($A160="","",IF($T160&lt;=N($K160),ROUNDUP((2*N($K160)-$T160)/$F160,0),0))</f>
        <v/>
      </c>
      <c r="AA160" s="8" t="str">
        <f aca="false">IF(OR($Y160="REORDENAR",$Y160="AGOTADO"),ROW(),"")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39"/>
      <c r="G161" s="40"/>
      <c r="H161" s="41"/>
      <c r="I161" s="41"/>
      <c r="J161" s="6"/>
      <c r="K161" s="42"/>
      <c r="L161" s="42"/>
      <c r="M161" s="43" t="str">
        <f aca="false">IF($A161="","",IFERROR($G161/$F161,0))</f>
        <v/>
      </c>
      <c r="N161" s="43" t="str">
        <f aca="false">IF($A161="","",IFERROR(SUMIFS(COMPRAS!$N$6:$N$1005,COMPRAS!$D$6:$D$1005,$A161,COMPRAS!$R$6:$R$1005,1)/COUNTIFS(COMPRAS!$D$6:$D$1005,$A161,COMPRAS!$R$6:$R$1005,1),0))</f>
        <v/>
      </c>
      <c r="O161" s="43" t="str">
        <f aca="false">IF($A161="","",IF($N161&gt;0,$N161,$M161))</f>
        <v/>
      </c>
      <c r="P161" s="43" t="str">
        <f aca="false">IF($A161="","",IF(N($I161)&gt;0,$O161/$I161,$O161))</f>
        <v/>
      </c>
      <c r="Q161" s="34" t="str">
        <f aca="false">IF($A161="","",SUMIFS(COMPRAS!$I$6:$I$1005,COMPRAS!$D$6:$D$1005,$A161))</f>
        <v/>
      </c>
      <c r="R161" s="34" t="str">
        <f aca="false">IF($A161="","",SUMIFS(RECETAS!$L$6:$L$605,RECETAS!$C$6:$C$605,$A161))</f>
        <v/>
      </c>
      <c r="S161" s="34" t="str">
        <f aca="false">IF($A161="","",SUMIFS(MERMAS!$J$6:$J$505,MERMAS!$B$6:$B$505,$A161))</f>
        <v/>
      </c>
      <c r="T161" s="34" t="str">
        <f aca="false">IF($A161="","",N($L161)+$Q161-$R161+$S161)</f>
        <v/>
      </c>
      <c r="U161" s="35" t="str">
        <f aca="false">IF($A161="","",$T161*$O161)</f>
        <v/>
      </c>
      <c r="V161" s="42"/>
      <c r="W161" s="34" t="str">
        <f aca="false">IF(OR($A161="",$V161=""),"",$V161-$T161)</f>
        <v/>
      </c>
      <c r="X161" s="35" t="str">
        <f aca="false">IF($W161="","",$W161*$O161)</f>
        <v/>
      </c>
      <c r="Y161" s="8" t="str">
        <f aca="false">IF($A161="","",IF($T161&lt;=0,"AGOTADO",IF($T161&lt;=N($K161),"REORDENAR","OK")))</f>
        <v/>
      </c>
      <c r="Z161" s="34" t="str">
        <f aca="false">IF($A161="","",IF($T161&lt;=N($K161),ROUNDUP((2*N($K161)-$T161)/$F161,0),0))</f>
        <v/>
      </c>
      <c r="AA161" s="8" t="str">
        <f aca="false">IF(OR($Y161="REORDENAR",$Y161="AGOTADO"),ROW(),"")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39"/>
      <c r="G162" s="40"/>
      <c r="H162" s="41"/>
      <c r="I162" s="41"/>
      <c r="J162" s="6"/>
      <c r="K162" s="42"/>
      <c r="L162" s="42"/>
      <c r="M162" s="43" t="str">
        <f aca="false">IF($A162="","",IFERROR($G162/$F162,0))</f>
        <v/>
      </c>
      <c r="N162" s="43" t="str">
        <f aca="false">IF($A162="","",IFERROR(SUMIFS(COMPRAS!$N$6:$N$1005,COMPRAS!$D$6:$D$1005,$A162,COMPRAS!$R$6:$R$1005,1)/COUNTIFS(COMPRAS!$D$6:$D$1005,$A162,COMPRAS!$R$6:$R$1005,1),0))</f>
        <v/>
      </c>
      <c r="O162" s="43" t="str">
        <f aca="false">IF($A162="","",IF($N162&gt;0,$N162,$M162))</f>
        <v/>
      </c>
      <c r="P162" s="43" t="str">
        <f aca="false">IF($A162="","",IF(N($I162)&gt;0,$O162/$I162,$O162))</f>
        <v/>
      </c>
      <c r="Q162" s="34" t="str">
        <f aca="false">IF($A162="","",SUMIFS(COMPRAS!$I$6:$I$1005,COMPRAS!$D$6:$D$1005,$A162))</f>
        <v/>
      </c>
      <c r="R162" s="34" t="str">
        <f aca="false">IF($A162="","",SUMIFS(RECETAS!$L$6:$L$605,RECETAS!$C$6:$C$605,$A162))</f>
        <v/>
      </c>
      <c r="S162" s="34" t="str">
        <f aca="false">IF($A162="","",SUMIFS(MERMAS!$J$6:$J$505,MERMAS!$B$6:$B$505,$A162))</f>
        <v/>
      </c>
      <c r="T162" s="34" t="str">
        <f aca="false">IF($A162="","",N($L162)+$Q162-$R162+$S162)</f>
        <v/>
      </c>
      <c r="U162" s="35" t="str">
        <f aca="false">IF($A162="","",$T162*$O162)</f>
        <v/>
      </c>
      <c r="V162" s="42"/>
      <c r="W162" s="34" t="str">
        <f aca="false">IF(OR($A162="",$V162=""),"",$V162-$T162)</f>
        <v/>
      </c>
      <c r="X162" s="35" t="str">
        <f aca="false">IF($W162="","",$W162*$O162)</f>
        <v/>
      </c>
      <c r="Y162" s="8" t="str">
        <f aca="false">IF($A162="","",IF($T162&lt;=0,"AGOTADO",IF($T162&lt;=N($K162),"REORDENAR","OK")))</f>
        <v/>
      </c>
      <c r="Z162" s="34" t="str">
        <f aca="false">IF($A162="","",IF($T162&lt;=N($K162),ROUNDUP((2*N($K162)-$T162)/$F162,0),0))</f>
        <v/>
      </c>
      <c r="AA162" s="8" t="str">
        <f aca="false">IF(OR($Y162="REORDENAR",$Y162="AGOTADO"),ROW(),"")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39"/>
      <c r="G163" s="40"/>
      <c r="H163" s="41"/>
      <c r="I163" s="41"/>
      <c r="J163" s="6"/>
      <c r="K163" s="42"/>
      <c r="L163" s="42"/>
      <c r="M163" s="43" t="str">
        <f aca="false">IF($A163="","",IFERROR($G163/$F163,0))</f>
        <v/>
      </c>
      <c r="N163" s="43" t="str">
        <f aca="false">IF($A163="","",IFERROR(SUMIFS(COMPRAS!$N$6:$N$1005,COMPRAS!$D$6:$D$1005,$A163,COMPRAS!$R$6:$R$1005,1)/COUNTIFS(COMPRAS!$D$6:$D$1005,$A163,COMPRAS!$R$6:$R$1005,1),0))</f>
        <v/>
      </c>
      <c r="O163" s="43" t="str">
        <f aca="false">IF($A163="","",IF($N163&gt;0,$N163,$M163))</f>
        <v/>
      </c>
      <c r="P163" s="43" t="str">
        <f aca="false">IF($A163="","",IF(N($I163)&gt;0,$O163/$I163,$O163))</f>
        <v/>
      </c>
      <c r="Q163" s="34" t="str">
        <f aca="false">IF($A163="","",SUMIFS(COMPRAS!$I$6:$I$1005,COMPRAS!$D$6:$D$1005,$A163))</f>
        <v/>
      </c>
      <c r="R163" s="34" t="str">
        <f aca="false">IF($A163="","",SUMIFS(RECETAS!$L$6:$L$605,RECETAS!$C$6:$C$605,$A163))</f>
        <v/>
      </c>
      <c r="S163" s="34" t="str">
        <f aca="false">IF($A163="","",SUMIFS(MERMAS!$J$6:$J$505,MERMAS!$B$6:$B$505,$A163))</f>
        <v/>
      </c>
      <c r="T163" s="34" t="str">
        <f aca="false">IF($A163="","",N($L163)+$Q163-$R163+$S163)</f>
        <v/>
      </c>
      <c r="U163" s="35" t="str">
        <f aca="false">IF($A163="","",$T163*$O163)</f>
        <v/>
      </c>
      <c r="V163" s="42"/>
      <c r="W163" s="34" t="str">
        <f aca="false">IF(OR($A163="",$V163=""),"",$V163-$T163)</f>
        <v/>
      </c>
      <c r="X163" s="35" t="str">
        <f aca="false">IF($W163="","",$W163*$O163)</f>
        <v/>
      </c>
      <c r="Y163" s="8" t="str">
        <f aca="false">IF($A163="","",IF($T163&lt;=0,"AGOTADO",IF($T163&lt;=N($K163),"REORDENAR","OK")))</f>
        <v/>
      </c>
      <c r="Z163" s="34" t="str">
        <f aca="false">IF($A163="","",IF($T163&lt;=N($K163),ROUNDUP((2*N($K163)-$T163)/$F163,0),0))</f>
        <v/>
      </c>
      <c r="AA163" s="8" t="str">
        <f aca="false">IF(OR($Y163="REORDENAR",$Y163="AGOTADO"),ROW(),"")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39"/>
      <c r="G164" s="40"/>
      <c r="H164" s="41"/>
      <c r="I164" s="41"/>
      <c r="J164" s="6"/>
      <c r="K164" s="42"/>
      <c r="L164" s="42"/>
      <c r="M164" s="43" t="str">
        <f aca="false">IF($A164="","",IFERROR($G164/$F164,0))</f>
        <v/>
      </c>
      <c r="N164" s="43" t="str">
        <f aca="false">IF($A164="","",IFERROR(SUMIFS(COMPRAS!$N$6:$N$1005,COMPRAS!$D$6:$D$1005,$A164,COMPRAS!$R$6:$R$1005,1)/COUNTIFS(COMPRAS!$D$6:$D$1005,$A164,COMPRAS!$R$6:$R$1005,1),0))</f>
        <v/>
      </c>
      <c r="O164" s="43" t="str">
        <f aca="false">IF($A164="","",IF($N164&gt;0,$N164,$M164))</f>
        <v/>
      </c>
      <c r="P164" s="43" t="str">
        <f aca="false">IF($A164="","",IF(N($I164)&gt;0,$O164/$I164,$O164))</f>
        <v/>
      </c>
      <c r="Q164" s="34" t="str">
        <f aca="false">IF($A164="","",SUMIFS(COMPRAS!$I$6:$I$1005,COMPRAS!$D$6:$D$1005,$A164))</f>
        <v/>
      </c>
      <c r="R164" s="34" t="str">
        <f aca="false">IF($A164="","",SUMIFS(RECETAS!$L$6:$L$605,RECETAS!$C$6:$C$605,$A164))</f>
        <v/>
      </c>
      <c r="S164" s="34" t="str">
        <f aca="false">IF($A164="","",SUMIFS(MERMAS!$J$6:$J$505,MERMAS!$B$6:$B$505,$A164))</f>
        <v/>
      </c>
      <c r="T164" s="34" t="str">
        <f aca="false">IF($A164="","",N($L164)+$Q164-$R164+$S164)</f>
        <v/>
      </c>
      <c r="U164" s="35" t="str">
        <f aca="false">IF($A164="","",$T164*$O164)</f>
        <v/>
      </c>
      <c r="V164" s="42"/>
      <c r="W164" s="34" t="str">
        <f aca="false">IF(OR($A164="",$V164=""),"",$V164-$T164)</f>
        <v/>
      </c>
      <c r="X164" s="35" t="str">
        <f aca="false">IF($W164="","",$W164*$O164)</f>
        <v/>
      </c>
      <c r="Y164" s="8" t="str">
        <f aca="false">IF($A164="","",IF($T164&lt;=0,"AGOTADO",IF($T164&lt;=N($K164),"REORDENAR","OK")))</f>
        <v/>
      </c>
      <c r="Z164" s="34" t="str">
        <f aca="false">IF($A164="","",IF($T164&lt;=N($K164),ROUNDUP((2*N($K164)-$T164)/$F164,0),0))</f>
        <v/>
      </c>
      <c r="AA164" s="8" t="str">
        <f aca="false">IF(OR($Y164="REORDENAR",$Y164="AGOTADO"),ROW(),"")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39"/>
      <c r="G165" s="40"/>
      <c r="H165" s="41"/>
      <c r="I165" s="41"/>
      <c r="J165" s="6"/>
      <c r="K165" s="42"/>
      <c r="L165" s="42"/>
      <c r="M165" s="43" t="str">
        <f aca="false">IF($A165="","",IFERROR($G165/$F165,0))</f>
        <v/>
      </c>
      <c r="N165" s="43" t="str">
        <f aca="false">IF($A165="","",IFERROR(SUMIFS(COMPRAS!$N$6:$N$1005,COMPRAS!$D$6:$D$1005,$A165,COMPRAS!$R$6:$R$1005,1)/COUNTIFS(COMPRAS!$D$6:$D$1005,$A165,COMPRAS!$R$6:$R$1005,1),0))</f>
        <v/>
      </c>
      <c r="O165" s="43" t="str">
        <f aca="false">IF($A165="","",IF($N165&gt;0,$N165,$M165))</f>
        <v/>
      </c>
      <c r="P165" s="43" t="str">
        <f aca="false">IF($A165="","",IF(N($I165)&gt;0,$O165/$I165,$O165))</f>
        <v/>
      </c>
      <c r="Q165" s="34" t="str">
        <f aca="false">IF($A165="","",SUMIFS(COMPRAS!$I$6:$I$1005,COMPRAS!$D$6:$D$1005,$A165))</f>
        <v/>
      </c>
      <c r="R165" s="34" t="str">
        <f aca="false">IF($A165="","",SUMIFS(RECETAS!$L$6:$L$605,RECETAS!$C$6:$C$605,$A165))</f>
        <v/>
      </c>
      <c r="S165" s="34" t="str">
        <f aca="false">IF($A165="","",SUMIFS(MERMAS!$J$6:$J$505,MERMAS!$B$6:$B$505,$A165))</f>
        <v/>
      </c>
      <c r="T165" s="34" t="str">
        <f aca="false">IF($A165="","",N($L165)+$Q165-$R165+$S165)</f>
        <v/>
      </c>
      <c r="U165" s="35" t="str">
        <f aca="false">IF($A165="","",$T165*$O165)</f>
        <v/>
      </c>
      <c r="V165" s="42"/>
      <c r="W165" s="34" t="str">
        <f aca="false">IF(OR($A165="",$V165=""),"",$V165-$T165)</f>
        <v/>
      </c>
      <c r="X165" s="35" t="str">
        <f aca="false">IF($W165="","",$W165*$O165)</f>
        <v/>
      </c>
      <c r="Y165" s="8" t="str">
        <f aca="false">IF($A165="","",IF($T165&lt;=0,"AGOTADO",IF($T165&lt;=N($K165),"REORDENAR","OK")))</f>
        <v/>
      </c>
      <c r="Z165" s="34" t="str">
        <f aca="false">IF($A165="","",IF($T165&lt;=N($K165),ROUNDUP((2*N($K165)-$T165)/$F165,0),0))</f>
        <v/>
      </c>
      <c r="AA165" s="8" t="str">
        <f aca="false">IF(OR($Y165="REORDENAR",$Y165="AGOTADO"),ROW(),"")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39"/>
      <c r="G166" s="40"/>
      <c r="H166" s="41"/>
      <c r="I166" s="41"/>
      <c r="J166" s="6"/>
      <c r="K166" s="42"/>
      <c r="L166" s="42"/>
      <c r="M166" s="43" t="str">
        <f aca="false">IF($A166="","",IFERROR($G166/$F166,0))</f>
        <v/>
      </c>
      <c r="N166" s="43" t="str">
        <f aca="false">IF($A166="","",IFERROR(SUMIFS(COMPRAS!$N$6:$N$1005,COMPRAS!$D$6:$D$1005,$A166,COMPRAS!$R$6:$R$1005,1)/COUNTIFS(COMPRAS!$D$6:$D$1005,$A166,COMPRAS!$R$6:$R$1005,1),0))</f>
        <v/>
      </c>
      <c r="O166" s="43" t="str">
        <f aca="false">IF($A166="","",IF($N166&gt;0,$N166,$M166))</f>
        <v/>
      </c>
      <c r="P166" s="43" t="str">
        <f aca="false">IF($A166="","",IF(N($I166)&gt;0,$O166/$I166,$O166))</f>
        <v/>
      </c>
      <c r="Q166" s="34" t="str">
        <f aca="false">IF($A166="","",SUMIFS(COMPRAS!$I$6:$I$1005,COMPRAS!$D$6:$D$1005,$A166))</f>
        <v/>
      </c>
      <c r="R166" s="34" t="str">
        <f aca="false">IF($A166="","",SUMIFS(RECETAS!$L$6:$L$605,RECETAS!$C$6:$C$605,$A166))</f>
        <v/>
      </c>
      <c r="S166" s="34" t="str">
        <f aca="false">IF($A166="","",SUMIFS(MERMAS!$J$6:$J$505,MERMAS!$B$6:$B$505,$A166))</f>
        <v/>
      </c>
      <c r="T166" s="34" t="str">
        <f aca="false">IF($A166="","",N($L166)+$Q166-$R166+$S166)</f>
        <v/>
      </c>
      <c r="U166" s="35" t="str">
        <f aca="false">IF($A166="","",$T166*$O166)</f>
        <v/>
      </c>
      <c r="V166" s="42"/>
      <c r="W166" s="34" t="str">
        <f aca="false">IF(OR($A166="",$V166=""),"",$V166-$T166)</f>
        <v/>
      </c>
      <c r="X166" s="35" t="str">
        <f aca="false">IF($W166="","",$W166*$O166)</f>
        <v/>
      </c>
      <c r="Y166" s="8" t="str">
        <f aca="false">IF($A166="","",IF($T166&lt;=0,"AGOTADO",IF($T166&lt;=N($K166),"REORDENAR","OK")))</f>
        <v/>
      </c>
      <c r="Z166" s="34" t="str">
        <f aca="false">IF($A166="","",IF($T166&lt;=N($K166),ROUNDUP((2*N($K166)-$T166)/$F166,0),0))</f>
        <v/>
      </c>
      <c r="AA166" s="8" t="str">
        <f aca="false">IF(OR($Y166="REORDENAR",$Y166="AGOTADO"),ROW(),"")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39"/>
      <c r="G167" s="40"/>
      <c r="H167" s="41"/>
      <c r="I167" s="41"/>
      <c r="J167" s="6"/>
      <c r="K167" s="42"/>
      <c r="L167" s="42"/>
      <c r="M167" s="43" t="str">
        <f aca="false">IF($A167="","",IFERROR($G167/$F167,0))</f>
        <v/>
      </c>
      <c r="N167" s="43" t="str">
        <f aca="false">IF($A167="","",IFERROR(SUMIFS(COMPRAS!$N$6:$N$1005,COMPRAS!$D$6:$D$1005,$A167,COMPRAS!$R$6:$R$1005,1)/COUNTIFS(COMPRAS!$D$6:$D$1005,$A167,COMPRAS!$R$6:$R$1005,1),0))</f>
        <v/>
      </c>
      <c r="O167" s="43" t="str">
        <f aca="false">IF($A167="","",IF($N167&gt;0,$N167,$M167))</f>
        <v/>
      </c>
      <c r="P167" s="43" t="str">
        <f aca="false">IF($A167="","",IF(N($I167)&gt;0,$O167/$I167,$O167))</f>
        <v/>
      </c>
      <c r="Q167" s="34" t="str">
        <f aca="false">IF($A167="","",SUMIFS(COMPRAS!$I$6:$I$1005,COMPRAS!$D$6:$D$1005,$A167))</f>
        <v/>
      </c>
      <c r="R167" s="34" t="str">
        <f aca="false">IF($A167="","",SUMIFS(RECETAS!$L$6:$L$605,RECETAS!$C$6:$C$605,$A167))</f>
        <v/>
      </c>
      <c r="S167" s="34" t="str">
        <f aca="false">IF($A167="","",SUMIFS(MERMAS!$J$6:$J$505,MERMAS!$B$6:$B$505,$A167))</f>
        <v/>
      </c>
      <c r="T167" s="34" t="str">
        <f aca="false">IF($A167="","",N($L167)+$Q167-$R167+$S167)</f>
        <v/>
      </c>
      <c r="U167" s="35" t="str">
        <f aca="false">IF($A167="","",$T167*$O167)</f>
        <v/>
      </c>
      <c r="V167" s="42"/>
      <c r="W167" s="34" t="str">
        <f aca="false">IF(OR($A167="",$V167=""),"",$V167-$T167)</f>
        <v/>
      </c>
      <c r="X167" s="35" t="str">
        <f aca="false">IF($W167="","",$W167*$O167)</f>
        <v/>
      </c>
      <c r="Y167" s="8" t="str">
        <f aca="false">IF($A167="","",IF($T167&lt;=0,"AGOTADO",IF($T167&lt;=N($K167),"REORDENAR","OK")))</f>
        <v/>
      </c>
      <c r="Z167" s="34" t="str">
        <f aca="false">IF($A167="","",IF($T167&lt;=N($K167),ROUNDUP((2*N($K167)-$T167)/$F167,0),0))</f>
        <v/>
      </c>
      <c r="AA167" s="8" t="str">
        <f aca="false">IF(OR($Y167="REORDENAR",$Y167="AGOTADO"),ROW(),"")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39"/>
      <c r="G168" s="40"/>
      <c r="H168" s="41"/>
      <c r="I168" s="41"/>
      <c r="J168" s="6"/>
      <c r="K168" s="42"/>
      <c r="L168" s="42"/>
      <c r="M168" s="43" t="str">
        <f aca="false">IF($A168="","",IFERROR($G168/$F168,0))</f>
        <v/>
      </c>
      <c r="N168" s="43" t="str">
        <f aca="false">IF($A168="","",IFERROR(SUMIFS(COMPRAS!$N$6:$N$1005,COMPRAS!$D$6:$D$1005,$A168,COMPRAS!$R$6:$R$1005,1)/COUNTIFS(COMPRAS!$D$6:$D$1005,$A168,COMPRAS!$R$6:$R$1005,1),0))</f>
        <v/>
      </c>
      <c r="O168" s="43" t="str">
        <f aca="false">IF($A168="","",IF($N168&gt;0,$N168,$M168))</f>
        <v/>
      </c>
      <c r="P168" s="43" t="str">
        <f aca="false">IF($A168="","",IF(N($I168)&gt;0,$O168/$I168,$O168))</f>
        <v/>
      </c>
      <c r="Q168" s="34" t="str">
        <f aca="false">IF($A168="","",SUMIFS(COMPRAS!$I$6:$I$1005,COMPRAS!$D$6:$D$1005,$A168))</f>
        <v/>
      </c>
      <c r="R168" s="34" t="str">
        <f aca="false">IF($A168="","",SUMIFS(RECETAS!$L$6:$L$605,RECETAS!$C$6:$C$605,$A168))</f>
        <v/>
      </c>
      <c r="S168" s="34" t="str">
        <f aca="false">IF($A168="","",SUMIFS(MERMAS!$J$6:$J$505,MERMAS!$B$6:$B$505,$A168))</f>
        <v/>
      </c>
      <c r="T168" s="34" t="str">
        <f aca="false">IF($A168="","",N($L168)+$Q168-$R168+$S168)</f>
        <v/>
      </c>
      <c r="U168" s="35" t="str">
        <f aca="false">IF($A168="","",$T168*$O168)</f>
        <v/>
      </c>
      <c r="V168" s="42"/>
      <c r="W168" s="34" t="str">
        <f aca="false">IF(OR($A168="",$V168=""),"",$V168-$T168)</f>
        <v/>
      </c>
      <c r="X168" s="35" t="str">
        <f aca="false">IF($W168="","",$W168*$O168)</f>
        <v/>
      </c>
      <c r="Y168" s="8" t="str">
        <f aca="false">IF($A168="","",IF($T168&lt;=0,"AGOTADO",IF($T168&lt;=N($K168),"REORDENAR","OK")))</f>
        <v/>
      </c>
      <c r="Z168" s="34" t="str">
        <f aca="false">IF($A168="","",IF($T168&lt;=N($K168),ROUNDUP((2*N($K168)-$T168)/$F168,0),0))</f>
        <v/>
      </c>
      <c r="AA168" s="8" t="str">
        <f aca="false">IF(OR($Y168="REORDENAR",$Y168="AGOTADO"),ROW(),"")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39"/>
      <c r="G169" s="40"/>
      <c r="H169" s="41"/>
      <c r="I169" s="41"/>
      <c r="J169" s="6"/>
      <c r="K169" s="42"/>
      <c r="L169" s="42"/>
      <c r="M169" s="43" t="str">
        <f aca="false">IF($A169="","",IFERROR($G169/$F169,0))</f>
        <v/>
      </c>
      <c r="N169" s="43" t="str">
        <f aca="false">IF($A169="","",IFERROR(SUMIFS(COMPRAS!$N$6:$N$1005,COMPRAS!$D$6:$D$1005,$A169,COMPRAS!$R$6:$R$1005,1)/COUNTIFS(COMPRAS!$D$6:$D$1005,$A169,COMPRAS!$R$6:$R$1005,1),0))</f>
        <v/>
      </c>
      <c r="O169" s="43" t="str">
        <f aca="false">IF($A169="","",IF($N169&gt;0,$N169,$M169))</f>
        <v/>
      </c>
      <c r="P169" s="43" t="str">
        <f aca="false">IF($A169="","",IF(N($I169)&gt;0,$O169/$I169,$O169))</f>
        <v/>
      </c>
      <c r="Q169" s="34" t="str">
        <f aca="false">IF($A169="","",SUMIFS(COMPRAS!$I$6:$I$1005,COMPRAS!$D$6:$D$1005,$A169))</f>
        <v/>
      </c>
      <c r="R169" s="34" t="str">
        <f aca="false">IF($A169="","",SUMIFS(RECETAS!$L$6:$L$605,RECETAS!$C$6:$C$605,$A169))</f>
        <v/>
      </c>
      <c r="S169" s="34" t="str">
        <f aca="false">IF($A169="","",SUMIFS(MERMAS!$J$6:$J$505,MERMAS!$B$6:$B$505,$A169))</f>
        <v/>
      </c>
      <c r="T169" s="34" t="str">
        <f aca="false">IF($A169="","",N($L169)+$Q169-$R169+$S169)</f>
        <v/>
      </c>
      <c r="U169" s="35" t="str">
        <f aca="false">IF($A169="","",$T169*$O169)</f>
        <v/>
      </c>
      <c r="V169" s="42"/>
      <c r="W169" s="34" t="str">
        <f aca="false">IF(OR($A169="",$V169=""),"",$V169-$T169)</f>
        <v/>
      </c>
      <c r="X169" s="35" t="str">
        <f aca="false">IF($W169="","",$W169*$O169)</f>
        <v/>
      </c>
      <c r="Y169" s="8" t="str">
        <f aca="false">IF($A169="","",IF($T169&lt;=0,"AGOTADO",IF($T169&lt;=N($K169),"REORDENAR","OK")))</f>
        <v/>
      </c>
      <c r="Z169" s="34" t="str">
        <f aca="false">IF($A169="","",IF($T169&lt;=N($K169),ROUNDUP((2*N($K169)-$T169)/$F169,0),0))</f>
        <v/>
      </c>
      <c r="AA169" s="8" t="str">
        <f aca="false">IF(OR($Y169="REORDENAR",$Y169="AGOTADO"),ROW(),"")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39"/>
      <c r="G170" s="40"/>
      <c r="H170" s="41"/>
      <c r="I170" s="41"/>
      <c r="J170" s="6"/>
      <c r="K170" s="42"/>
      <c r="L170" s="42"/>
      <c r="M170" s="43" t="str">
        <f aca="false">IF($A170="","",IFERROR($G170/$F170,0))</f>
        <v/>
      </c>
      <c r="N170" s="43" t="str">
        <f aca="false">IF($A170="","",IFERROR(SUMIFS(COMPRAS!$N$6:$N$1005,COMPRAS!$D$6:$D$1005,$A170,COMPRAS!$R$6:$R$1005,1)/COUNTIFS(COMPRAS!$D$6:$D$1005,$A170,COMPRAS!$R$6:$R$1005,1),0))</f>
        <v/>
      </c>
      <c r="O170" s="43" t="str">
        <f aca="false">IF($A170="","",IF($N170&gt;0,$N170,$M170))</f>
        <v/>
      </c>
      <c r="P170" s="43" t="str">
        <f aca="false">IF($A170="","",IF(N($I170)&gt;0,$O170/$I170,$O170))</f>
        <v/>
      </c>
      <c r="Q170" s="34" t="str">
        <f aca="false">IF($A170="","",SUMIFS(COMPRAS!$I$6:$I$1005,COMPRAS!$D$6:$D$1005,$A170))</f>
        <v/>
      </c>
      <c r="R170" s="34" t="str">
        <f aca="false">IF($A170="","",SUMIFS(RECETAS!$L$6:$L$605,RECETAS!$C$6:$C$605,$A170))</f>
        <v/>
      </c>
      <c r="S170" s="34" t="str">
        <f aca="false">IF($A170="","",SUMIFS(MERMAS!$J$6:$J$505,MERMAS!$B$6:$B$505,$A170))</f>
        <v/>
      </c>
      <c r="T170" s="34" t="str">
        <f aca="false">IF($A170="","",N($L170)+$Q170-$R170+$S170)</f>
        <v/>
      </c>
      <c r="U170" s="35" t="str">
        <f aca="false">IF($A170="","",$T170*$O170)</f>
        <v/>
      </c>
      <c r="V170" s="42"/>
      <c r="W170" s="34" t="str">
        <f aca="false">IF(OR($A170="",$V170=""),"",$V170-$T170)</f>
        <v/>
      </c>
      <c r="X170" s="35" t="str">
        <f aca="false">IF($W170="","",$W170*$O170)</f>
        <v/>
      </c>
      <c r="Y170" s="8" t="str">
        <f aca="false">IF($A170="","",IF($T170&lt;=0,"AGOTADO",IF($T170&lt;=N($K170),"REORDENAR","OK")))</f>
        <v/>
      </c>
      <c r="Z170" s="34" t="str">
        <f aca="false">IF($A170="","",IF($T170&lt;=N($K170),ROUNDUP((2*N($K170)-$T170)/$F170,0),0))</f>
        <v/>
      </c>
      <c r="AA170" s="8" t="str">
        <f aca="false">IF(OR($Y170="REORDENAR",$Y170="AGOTADO"),ROW(),"")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39"/>
      <c r="G171" s="40"/>
      <c r="H171" s="41"/>
      <c r="I171" s="41"/>
      <c r="J171" s="6"/>
      <c r="K171" s="42"/>
      <c r="L171" s="42"/>
      <c r="M171" s="43" t="str">
        <f aca="false">IF($A171="","",IFERROR($G171/$F171,0))</f>
        <v/>
      </c>
      <c r="N171" s="43" t="str">
        <f aca="false">IF($A171="","",IFERROR(SUMIFS(COMPRAS!$N$6:$N$1005,COMPRAS!$D$6:$D$1005,$A171,COMPRAS!$R$6:$R$1005,1)/COUNTIFS(COMPRAS!$D$6:$D$1005,$A171,COMPRAS!$R$6:$R$1005,1),0))</f>
        <v/>
      </c>
      <c r="O171" s="43" t="str">
        <f aca="false">IF($A171="","",IF($N171&gt;0,$N171,$M171))</f>
        <v/>
      </c>
      <c r="P171" s="43" t="str">
        <f aca="false">IF($A171="","",IF(N($I171)&gt;0,$O171/$I171,$O171))</f>
        <v/>
      </c>
      <c r="Q171" s="34" t="str">
        <f aca="false">IF($A171="","",SUMIFS(COMPRAS!$I$6:$I$1005,COMPRAS!$D$6:$D$1005,$A171))</f>
        <v/>
      </c>
      <c r="R171" s="34" t="str">
        <f aca="false">IF($A171="","",SUMIFS(RECETAS!$L$6:$L$605,RECETAS!$C$6:$C$605,$A171))</f>
        <v/>
      </c>
      <c r="S171" s="34" t="str">
        <f aca="false">IF($A171="","",SUMIFS(MERMAS!$J$6:$J$505,MERMAS!$B$6:$B$505,$A171))</f>
        <v/>
      </c>
      <c r="T171" s="34" t="str">
        <f aca="false">IF($A171="","",N($L171)+$Q171-$R171+$S171)</f>
        <v/>
      </c>
      <c r="U171" s="35" t="str">
        <f aca="false">IF($A171="","",$T171*$O171)</f>
        <v/>
      </c>
      <c r="V171" s="42"/>
      <c r="W171" s="34" t="str">
        <f aca="false">IF(OR($A171="",$V171=""),"",$V171-$T171)</f>
        <v/>
      </c>
      <c r="X171" s="35" t="str">
        <f aca="false">IF($W171="","",$W171*$O171)</f>
        <v/>
      </c>
      <c r="Y171" s="8" t="str">
        <f aca="false">IF($A171="","",IF($T171&lt;=0,"AGOTADO",IF($T171&lt;=N($K171),"REORDENAR","OK")))</f>
        <v/>
      </c>
      <c r="Z171" s="34" t="str">
        <f aca="false">IF($A171="","",IF($T171&lt;=N($K171),ROUNDUP((2*N($K171)-$T171)/$F171,0),0))</f>
        <v/>
      </c>
      <c r="AA171" s="8" t="str">
        <f aca="false">IF(OR($Y171="REORDENAR",$Y171="AGOTADO"),ROW(),"")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39"/>
      <c r="G172" s="40"/>
      <c r="H172" s="41"/>
      <c r="I172" s="41"/>
      <c r="J172" s="6"/>
      <c r="K172" s="42"/>
      <c r="L172" s="42"/>
      <c r="M172" s="43" t="str">
        <f aca="false">IF($A172="","",IFERROR($G172/$F172,0))</f>
        <v/>
      </c>
      <c r="N172" s="43" t="str">
        <f aca="false">IF($A172="","",IFERROR(SUMIFS(COMPRAS!$N$6:$N$1005,COMPRAS!$D$6:$D$1005,$A172,COMPRAS!$R$6:$R$1005,1)/COUNTIFS(COMPRAS!$D$6:$D$1005,$A172,COMPRAS!$R$6:$R$1005,1),0))</f>
        <v/>
      </c>
      <c r="O172" s="43" t="str">
        <f aca="false">IF($A172="","",IF($N172&gt;0,$N172,$M172))</f>
        <v/>
      </c>
      <c r="P172" s="43" t="str">
        <f aca="false">IF($A172="","",IF(N($I172)&gt;0,$O172/$I172,$O172))</f>
        <v/>
      </c>
      <c r="Q172" s="34" t="str">
        <f aca="false">IF($A172="","",SUMIFS(COMPRAS!$I$6:$I$1005,COMPRAS!$D$6:$D$1005,$A172))</f>
        <v/>
      </c>
      <c r="R172" s="34" t="str">
        <f aca="false">IF($A172="","",SUMIFS(RECETAS!$L$6:$L$605,RECETAS!$C$6:$C$605,$A172))</f>
        <v/>
      </c>
      <c r="S172" s="34" t="str">
        <f aca="false">IF($A172="","",SUMIFS(MERMAS!$J$6:$J$505,MERMAS!$B$6:$B$505,$A172))</f>
        <v/>
      </c>
      <c r="T172" s="34" t="str">
        <f aca="false">IF($A172="","",N($L172)+$Q172-$R172+$S172)</f>
        <v/>
      </c>
      <c r="U172" s="35" t="str">
        <f aca="false">IF($A172="","",$T172*$O172)</f>
        <v/>
      </c>
      <c r="V172" s="42"/>
      <c r="W172" s="34" t="str">
        <f aca="false">IF(OR($A172="",$V172=""),"",$V172-$T172)</f>
        <v/>
      </c>
      <c r="X172" s="35" t="str">
        <f aca="false">IF($W172="","",$W172*$O172)</f>
        <v/>
      </c>
      <c r="Y172" s="8" t="str">
        <f aca="false">IF($A172="","",IF($T172&lt;=0,"AGOTADO",IF($T172&lt;=N($K172),"REORDENAR","OK")))</f>
        <v/>
      </c>
      <c r="Z172" s="34" t="str">
        <f aca="false">IF($A172="","",IF($T172&lt;=N($K172),ROUNDUP((2*N($K172)-$T172)/$F172,0),0))</f>
        <v/>
      </c>
      <c r="AA172" s="8" t="str">
        <f aca="false">IF(OR($Y172="REORDENAR",$Y172="AGOTADO"),ROW(),"")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39"/>
      <c r="G173" s="40"/>
      <c r="H173" s="41"/>
      <c r="I173" s="41"/>
      <c r="J173" s="6"/>
      <c r="K173" s="42"/>
      <c r="L173" s="42"/>
      <c r="M173" s="43" t="str">
        <f aca="false">IF($A173="","",IFERROR($G173/$F173,0))</f>
        <v/>
      </c>
      <c r="N173" s="43" t="str">
        <f aca="false">IF($A173="","",IFERROR(SUMIFS(COMPRAS!$N$6:$N$1005,COMPRAS!$D$6:$D$1005,$A173,COMPRAS!$R$6:$R$1005,1)/COUNTIFS(COMPRAS!$D$6:$D$1005,$A173,COMPRAS!$R$6:$R$1005,1),0))</f>
        <v/>
      </c>
      <c r="O173" s="43" t="str">
        <f aca="false">IF($A173="","",IF($N173&gt;0,$N173,$M173))</f>
        <v/>
      </c>
      <c r="P173" s="43" t="str">
        <f aca="false">IF($A173="","",IF(N($I173)&gt;0,$O173/$I173,$O173))</f>
        <v/>
      </c>
      <c r="Q173" s="34" t="str">
        <f aca="false">IF($A173="","",SUMIFS(COMPRAS!$I$6:$I$1005,COMPRAS!$D$6:$D$1005,$A173))</f>
        <v/>
      </c>
      <c r="R173" s="34" t="str">
        <f aca="false">IF($A173="","",SUMIFS(RECETAS!$L$6:$L$605,RECETAS!$C$6:$C$605,$A173))</f>
        <v/>
      </c>
      <c r="S173" s="34" t="str">
        <f aca="false">IF($A173="","",SUMIFS(MERMAS!$J$6:$J$505,MERMAS!$B$6:$B$505,$A173))</f>
        <v/>
      </c>
      <c r="T173" s="34" t="str">
        <f aca="false">IF($A173="","",N($L173)+$Q173-$R173+$S173)</f>
        <v/>
      </c>
      <c r="U173" s="35" t="str">
        <f aca="false">IF($A173="","",$T173*$O173)</f>
        <v/>
      </c>
      <c r="V173" s="42"/>
      <c r="W173" s="34" t="str">
        <f aca="false">IF(OR($A173="",$V173=""),"",$V173-$T173)</f>
        <v/>
      </c>
      <c r="X173" s="35" t="str">
        <f aca="false">IF($W173="","",$W173*$O173)</f>
        <v/>
      </c>
      <c r="Y173" s="8" t="str">
        <f aca="false">IF($A173="","",IF($T173&lt;=0,"AGOTADO",IF($T173&lt;=N($K173),"REORDENAR","OK")))</f>
        <v/>
      </c>
      <c r="Z173" s="34" t="str">
        <f aca="false">IF($A173="","",IF($T173&lt;=N($K173),ROUNDUP((2*N($K173)-$T173)/$F173,0),0))</f>
        <v/>
      </c>
      <c r="AA173" s="8" t="str">
        <f aca="false">IF(OR($Y173="REORDENAR",$Y173="AGOTADO"),ROW(),"")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39"/>
      <c r="G174" s="40"/>
      <c r="H174" s="41"/>
      <c r="I174" s="41"/>
      <c r="J174" s="6"/>
      <c r="K174" s="42"/>
      <c r="L174" s="42"/>
      <c r="M174" s="43" t="str">
        <f aca="false">IF($A174="","",IFERROR($G174/$F174,0))</f>
        <v/>
      </c>
      <c r="N174" s="43" t="str">
        <f aca="false">IF($A174="","",IFERROR(SUMIFS(COMPRAS!$N$6:$N$1005,COMPRAS!$D$6:$D$1005,$A174,COMPRAS!$R$6:$R$1005,1)/COUNTIFS(COMPRAS!$D$6:$D$1005,$A174,COMPRAS!$R$6:$R$1005,1),0))</f>
        <v/>
      </c>
      <c r="O174" s="43" t="str">
        <f aca="false">IF($A174="","",IF($N174&gt;0,$N174,$M174))</f>
        <v/>
      </c>
      <c r="P174" s="43" t="str">
        <f aca="false">IF($A174="","",IF(N($I174)&gt;0,$O174/$I174,$O174))</f>
        <v/>
      </c>
      <c r="Q174" s="34" t="str">
        <f aca="false">IF($A174="","",SUMIFS(COMPRAS!$I$6:$I$1005,COMPRAS!$D$6:$D$1005,$A174))</f>
        <v/>
      </c>
      <c r="R174" s="34" t="str">
        <f aca="false">IF($A174="","",SUMIFS(RECETAS!$L$6:$L$605,RECETAS!$C$6:$C$605,$A174))</f>
        <v/>
      </c>
      <c r="S174" s="34" t="str">
        <f aca="false">IF($A174="","",SUMIFS(MERMAS!$J$6:$J$505,MERMAS!$B$6:$B$505,$A174))</f>
        <v/>
      </c>
      <c r="T174" s="34" t="str">
        <f aca="false">IF($A174="","",N($L174)+$Q174-$R174+$S174)</f>
        <v/>
      </c>
      <c r="U174" s="35" t="str">
        <f aca="false">IF($A174="","",$T174*$O174)</f>
        <v/>
      </c>
      <c r="V174" s="42"/>
      <c r="W174" s="34" t="str">
        <f aca="false">IF(OR($A174="",$V174=""),"",$V174-$T174)</f>
        <v/>
      </c>
      <c r="X174" s="35" t="str">
        <f aca="false">IF($W174="","",$W174*$O174)</f>
        <v/>
      </c>
      <c r="Y174" s="8" t="str">
        <f aca="false">IF($A174="","",IF($T174&lt;=0,"AGOTADO",IF($T174&lt;=N($K174),"REORDENAR","OK")))</f>
        <v/>
      </c>
      <c r="Z174" s="34" t="str">
        <f aca="false">IF($A174="","",IF($T174&lt;=N($K174),ROUNDUP((2*N($K174)-$T174)/$F174,0),0))</f>
        <v/>
      </c>
      <c r="AA174" s="8" t="str">
        <f aca="false">IF(OR($Y174="REORDENAR",$Y174="AGOTADO"),ROW(),"")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39"/>
      <c r="G175" s="40"/>
      <c r="H175" s="41"/>
      <c r="I175" s="41"/>
      <c r="J175" s="6"/>
      <c r="K175" s="42"/>
      <c r="L175" s="42"/>
      <c r="M175" s="43" t="str">
        <f aca="false">IF($A175="","",IFERROR($G175/$F175,0))</f>
        <v/>
      </c>
      <c r="N175" s="43" t="str">
        <f aca="false">IF($A175="","",IFERROR(SUMIFS(COMPRAS!$N$6:$N$1005,COMPRAS!$D$6:$D$1005,$A175,COMPRAS!$R$6:$R$1005,1)/COUNTIFS(COMPRAS!$D$6:$D$1005,$A175,COMPRAS!$R$6:$R$1005,1),0))</f>
        <v/>
      </c>
      <c r="O175" s="43" t="str">
        <f aca="false">IF($A175="","",IF($N175&gt;0,$N175,$M175))</f>
        <v/>
      </c>
      <c r="P175" s="43" t="str">
        <f aca="false">IF($A175="","",IF(N($I175)&gt;0,$O175/$I175,$O175))</f>
        <v/>
      </c>
      <c r="Q175" s="34" t="str">
        <f aca="false">IF($A175="","",SUMIFS(COMPRAS!$I$6:$I$1005,COMPRAS!$D$6:$D$1005,$A175))</f>
        <v/>
      </c>
      <c r="R175" s="34" t="str">
        <f aca="false">IF($A175="","",SUMIFS(RECETAS!$L$6:$L$605,RECETAS!$C$6:$C$605,$A175))</f>
        <v/>
      </c>
      <c r="S175" s="34" t="str">
        <f aca="false">IF($A175="","",SUMIFS(MERMAS!$J$6:$J$505,MERMAS!$B$6:$B$505,$A175))</f>
        <v/>
      </c>
      <c r="T175" s="34" t="str">
        <f aca="false">IF($A175="","",N($L175)+$Q175-$R175+$S175)</f>
        <v/>
      </c>
      <c r="U175" s="35" t="str">
        <f aca="false">IF($A175="","",$T175*$O175)</f>
        <v/>
      </c>
      <c r="V175" s="42"/>
      <c r="W175" s="34" t="str">
        <f aca="false">IF(OR($A175="",$V175=""),"",$V175-$T175)</f>
        <v/>
      </c>
      <c r="X175" s="35" t="str">
        <f aca="false">IF($W175="","",$W175*$O175)</f>
        <v/>
      </c>
      <c r="Y175" s="8" t="str">
        <f aca="false">IF($A175="","",IF($T175&lt;=0,"AGOTADO",IF($T175&lt;=N($K175),"REORDENAR","OK")))</f>
        <v/>
      </c>
      <c r="Z175" s="34" t="str">
        <f aca="false">IF($A175="","",IF($T175&lt;=N($K175),ROUNDUP((2*N($K175)-$T175)/$F175,0),0))</f>
        <v/>
      </c>
      <c r="AA175" s="8" t="str">
        <f aca="false">IF(OR($Y175="REORDENAR",$Y175="AGOTADO"),ROW(),"")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39"/>
      <c r="G176" s="40"/>
      <c r="H176" s="41"/>
      <c r="I176" s="41"/>
      <c r="J176" s="6"/>
      <c r="K176" s="42"/>
      <c r="L176" s="42"/>
      <c r="M176" s="43" t="str">
        <f aca="false">IF($A176="","",IFERROR($G176/$F176,0))</f>
        <v/>
      </c>
      <c r="N176" s="43" t="str">
        <f aca="false">IF($A176="","",IFERROR(SUMIFS(COMPRAS!$N$6:$N$1005,COMPRAS!$D$6:$D$1005,$A176,COMPRAS!$R$6:$R$1005,1)/COUNTIFS(COMPRAS!$D$6:$D$1005,$A176,COMPRAS!$R$6:$R$1005,1),0))</f>
        <v/>
      </c>
      <c r="O176" s="43" t="str">
        <f aca="false">IF($A176="","",IF($N176&gt;0,$N176,$M176))</f>
        <v/>
      </c>
      <c r="P176" s="43" t="str">
        <f aca="false">IF($A176="","",IF(N($I176)&gt;0,$O176/$I176,$O176))</f>
        <v/>
      </c>
      <c r="Q176" s="34" t="str">
        <f aca="false">IF($A176="","",SUMIFS(COMPRAS!$I$6:$I$1005,COMPRAS!$D$6:$D$1005,$A176))</f>
        <v/>
      </c>
      <c r="R176" s="34" t="str">
        <f aca="false">IF($A176="","",SUMIFS(RECETAS!$L$6:$L$605,RECETAS!$C$6:$C$605,$A176))</f>
        <v/>
      </c>
      <c r="S176" s="34" t="str">
        <f aca="false">IF($A176="","",SUMIFS(MERMAS!$J$6:$J$505,MERMAS!$B$6:$B$505,$A176))</f>
        <v/>
      </c>
      <c r="T176" s="34" t="str">
        <f aca="false">IF($A176="","",N($L176)+$Q176-$R176+$S176)</f>
        <v/>
      </c>
      <c r="U176" s="35" t="str">
        <f aca="false">IF($A176="","",$T176*$O176)</f>
        <v/>
      </c>
      <c r="V176" s="42"/>
      <c r="W176" s="34" t="str">
        <f aca="false">IF(OR($A176="",$V176=""),"",$V176-$T176)</f>
        <v/>
      </c>
      <c r="X176" s="35" t="str">
        <f aca="false">IF($W176="","",$W176*$O176)</f>
        <v/>
      </c>
      <c r="Y176" s="8" t="str">
        <f aca="false">IF($A176="","",IF($T176&lt;=0,"AGOTADO",IF($T176&lt;=N($K176),"REORDENAR","OK")))</f>
        <v/>
      </c>
      <c r="Z176" s="34" t="str">
        <f aca="false">IF($A176="","",IF($T176&lt;=N($K176),ROUNDUP((2*N($K176)-$T176)/$F176,0),0))</f>
        <v/>
      </c>
      <c r="AA176" s="8" t="str">
        <f aca="false">IF(OR($Y176="REORDENAR",$Y176="AGOTADO"),ROW(),"")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39"/>
      <c r="G177" s="40"/>
      <c r="H177" s="41"/>
      <c r="I177" s="41"/>
      <c r="J177" s="6"/>
      <c r="K177" s="42"/>
      <c r="L177" s="42"/>
      <c r="M177" s="43" t="str">
        <f aca="false">IF($A177="","",IFERROR($G177/$F177,0))</f>
        <v/>
      </c>
      <c r="N177" s="43" t="str">
        <f aca="false">IF($A177="","",IFERROR(SUMIFS(COMPRAS!$N$6:$N$1005,COMPRAS!$D$6:$D$1005,$A177,COMPRAS!$R$6:$R$1005,1)/COUNTIFS(COMPRAS!$D$6:$D$1005,$A177,COMPRAS!$R$6:$R$1005,1),0))</f>
        <v/>
      </c>
      <c r="O177" s="43" t="str">
        <f aca="false">IF($A177="","",IF($N177&gt;0,$N177,$M177))</f>
        <v/>
      </c>
      <c r="P177" s="43" t="str">
        <f aca="false">IF($A177="","",IF(N($I177)&gt;0,$O177/$I177,$O177))</f>
        <v/>
      </c>
      <c r="Q177" s="34" t="str">
        <f aca="false">IF($A177="","",SUMIFS(COMPRAS!$I$6:$I$1005,COMPRAS!$D$6:$D$1005,$A177))</f>
        <v/>
      </c>
      <c r="R177" s="34" t="str">
        <f aca="false">IF($A177="","",SUMIFS(RECETAS!$L$6:$L$605,RECETAS!$C$6:$C$605,$A177))</f>
        <v/>
      </c>
      <c r="S177" s="34" t="str">
        <f aca="false">IF($A177="","",SUMIFS(MERMAS!$J$6:$J$505,MERMAS!$B$6:$B$505,$A177))</f>
        <v/>
      </c>
      <c r="T177" s="34" t="str">
        <f aca="false">IF($A177="","",N($L177)+$Q177-$R177+$S177)</f>
        <v/>
      </c>
      <c r="U177" s="35" t="str">
        <f aca="false">IF($A177="","",$T177*$O177)</f>
        <v/>
      </c>
      <c r="V177" s="42"/>
      <c r="W177" s="34" t="str">
        <f aca="false">IF(OR($A177="",$V177=""),"",$V177-$T177)</f>
        <v/>
      </c>
      <c r="X177" s="35" t="str">
        <f aca="false">IF($W177="","",$W177*$O177)</f>
        <v/>
      </c>
      <c r="Y177" s="8" t="str">
        <f aca="false">IF($A177="","",IF($T177&lt;=0,"AGOTADO",IF($T177&lt;=N($K177),"REORDENAR","OK")))</f>
        <v/>
      </c>
      <c r="Z177" s="34" t="str">
        <f aca="false">IF($A177="","",IF($T177&lt;=N($K177),ROUNDUP((2*N($K177)-$T177)/$F177,0),0))</f>
        <v/>
      </c>
      <c r="AA177" s="8" t="str">
        <f aca="false">IF(OR($Y177="REORDENAR",$Y177="AGOTADO"),ROW(),"")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39"/>
      <c r="G178" s="40"/>
      <c r="H178" s="41"/>
      <c r="I178" s="41"/>
      <c r="J178" s="6"/>
      <c r="K178" s="42"/>
      <c r="L178" s="42"/>
      <c r="M178" s="43" t="str">
        <f aca="false">IF($A178="","",IFERROR($G178/$F178,0))</f>
        <v/>
      </c>
      <c r="N178" s="43" t="str">
        <f aca="false">IF($A178="","",IFERROR(SUMIFS(COMPRAS!$N$6:$N$1005,COMPRAS!$D$6:$D$1005,$A178,COMPRAS!$R$6:$R$1005,1)/COUNTIFS(COMPRAS!$D$6:$D$1005,$A178,COMPRAS!$R$6:$R$1005,1),0))</f>
        <v/>
      </c>
      <c r="O178" s="43" t="str">
        <f aca="false">IF($A178="","",IF($N178&gt;0,$N178,$M178))</f>
        <v/>
      </c>
      <c r="P178" s="43" t="str">
        <f aca="false">IF($A178="","",IF(N($I178)&gt;0,$O178/$I178,$O178))</f>
        <v/>
      </c>
      <c r="Q178" s="34" t="str">
        <f aca="false">IF($A178="","",SUMIFS(COMPRAS!$I$6:$I$1005,COMPRAS!$D$6:$D$1005,$A178))</f>
        <v/>
      </c>
      <c r="R178" s="34" t="str">
        <f aca="false">IF($A178="","",SUMIFS(RECETAS!$L$6:$L$605,RECETAS!$C$6:$C$605,$A178))</f>
        <v/>
      </c>
      <c r="S178" s="34" t="str">
        <f aca="false">IF($A178="","",SUMIFS(MERMAS!$J$6:$J$505,MERMAS!$B$6:$B$505,$A178))</f>
        <v/>
      </c>
      <c r="T178" s="34" t="str">
        <f aca="false">IF($A178="","",N($L178)+$Q178-$R178+$S178)</f>
        <v/>
      </c>
      <c r="U178" s="35" t="str">
        <f aca="false">IF($A178="","",$T178*$O178)</f>
        <v/>
      </c>
      <c r="V178" s="42"/>
      <c r="W178" s="34" t="str">
        <f aca="false">IF(OR($A178="",$V178=""),"",$V178-$T178)</f>
        <v/>
      </c>
      <c r="X178" s="35" t="str">
        <f aca="false">IF($W178="","",$W178*$O178)</f>
        <v/>
      </c>
      <c r="Y178" s="8" t="str">
        <f aca="false">IF($A178="","",IF($T178&lt;=0,"AGOTADO",IF($T178&lt;=N($K178),"REORDENAR","OK")))</f>
        <v/>
      </c>
      <c r="Z178" s="34" t="str">
        <f aca="false">IF($A178="","",IF($T178&lt;=N($K178),ROUNDUP((2*N($K178)-$T178)/$F178,0),0))</f>
        <v/>
      </c>
      <c r="AA178" s="8" t="str">
        <f aca="false">IF(OR($Y178="REORDENAR",$Y178="AGOTADO"),ROW(),"")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39"/>
      <c r="G179" s="40"/>
      <c r="H179" s="41"/>
      <c r="I179" s="41"/>
      <c r="J179" s="6"/>
      <c r="K179" s="42"/>
      <c r="L179" s="42"/>
      <c r="M179" s="43" t="str">
        <f aca="false">IF($A179="","",IFERROR($G179/$F179,0))</f>
        <v/>
      </c>
      <c r="N179" s="43" t="str">
        <f aca="false">IF($A179="","",IFERROR(SUMIFS(COMPRAS!$N$6:$N$1005,COMPRAS!$D$6:$D$1005,$A179,COMPRAS!$R$6:$R$1005,1)/COUNTIFS(COMPRAS!$D$6:$D$1005,$A179,COMPRAS!$R$6:$R$1005,1),0))</f>
        <v/>
      </c>
      <c r="O179" s="43" t="str">
        <f aca="false">IF($A179="","",IF($N179&gt;0,$N179,$M179))</f>
        <v/>
      </c>
      <c r="P179" s="43" t="str">
        <f aca="false">IF($A179="","",IF(N($I179)&gt;0,$O179/$I179,$O179))</f>
        <v/>
      </c>
      <c r="Q179" s="34" t="str">
        <f aca="false">IF($A179="","",SUMIFS(COMPRAS!$I$6:$I$1005,COMPRAS!$D$6:$D$1005,$A179))</f>
        <v/>
      </c>
      <c r="R179" s="34" t="str">
        <f aca="false">IF($A179="","",SUMIFS(RECETAS!$L$6:$L$605,RECETAS!$C$6:$C$605,$A179))</f>
        <v/>
      </c>
      <c r="S179" s="34" t="str">
        <f aca="false">IF($A179="","",SUMIFS(MERMAS!$J$6:$J$505,MERMAS!$B$6:$B$505,$A179))</f>
        <v/>
      </c>
      <c r="T179" s="34" t="str">
        <f aca="false">IF($A179="","",N($L179)+$Q179-$R179+$S179)</f>
        <v/>
      </c>
      <c r="U179" s="35" t="str">
        <f aca="false">IF($A179="","",$T179*$O179)</f>
        <v/>
      </c>
      <c r="V179" s="42"/>
      <c r="W179" s="34" t="str">
        <f aca="false">IF(OR($A179="",$V179=""),"",$V179-$T179)</f>
        <v/>
      </c>
      <c r="X179" s="35" t="str">
        <f aca="false">IF($W179="","",$W179*$O179)</f>
        <v/>
      </c>
      <c r="Y179" s="8" t="str">
        <f aca="false">IF($A179="","",IF($T179&lt;=0,"AGOTADO",IF($T179&lt;=N($K179),"REORDENAR","OK")))</f>
        <v/>
      </c>
      <c r="Z179" s="34" t="str">
        <f aca="false">IF($A179="","",IF($T179&lt;=N($K179),ROUNDUP((2*N($K179)-$T179)/$F179,0),0))</f>
        <v/>
      </c>
      <c r="AA179" s="8" t="str">
        <f aca="false">IF(OR($Y179="REORDENAR",$Y179="AGOTADO"),ROW(),"")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39"/>
      <c r="G180" s="40"/>
      <c r="H180" s="41"/>
      <c r="I180" s="41"/>
      <c r="J180" s="6"/>
      <c r="K180" s="42"/>
      <c r="L180" s="42"/>
      <c r="M180" s="43" t="str">
        <f aca="false">IF($A180="","",IFERROR($G180/$F180,0))</f>
        <v/>
      </c>
      <c r="N180" s="43" t="str">
        <f aca="false">IF($A180="","",IFERROR(SUMIFS(COMPRAS!$N$6:$N$1005,COMPRAS!$D$6:$D$1005,$A180,COMPRAS!$R$6:$R$1005,1)/COUNTIFS(COMPRAS!$D$6:$D$1005,$A180,COMPRAS!$R$6:$R$1005,1),0))</f>
        <v/>
      </c>
      <c r="O180" s="43" t="str">
        <f aca="false">IF($A180="","",IF($N180&gt;0,$N180,$M180))</f>
        <v/>
      </c>
      <c r="P180" s="43" t="str">
        <f aca="false">IF($A180="","",IF(N($I180)&gt;0,$O180/$I180,$O180))</f>
        <v/>
      </c>
      <c r="Q180" s="34" t="str">
        <f aca="false">IF($A180="","",SUMIFS(COMPRAS!$I$6:$I$1005,COMPRAS!$D$6:$D$1005,$A180))</f>
        <v/>
      </c>
      <c r="R180" s="34" t="str">
        <f aca="false">IF($A180="","",SUMIFS(RECETAS!$L$6:$L$605,RECETAS!$C$6:$C$605,$A180))</f>
        <v/>
      </c>
      <c r="S180" s="34" t="str">
        <f aca="false">IF($A180="","",SUMIFS(MERMAS!$J$6:$J$505,MERMAS!$B$6:$B$505,$A180))</f>
        <v/>
      </c>
      <c r="T180" s="34" t="str">
        <f aca="false">IF($A180="","",N($L180)+$Q180-$R180+$S180)</f>
        <v/>
      </c>
      <c r="U180" s="35" t="str">
        <f aca="false">IF($A180="","",$T180*$O180)</f>
        <v/>
      </c>
      <c r="V180" s="42"/>
      <c r="W180" s="34" t="str">
        <f aca="false">IF(OR($A180="",$V180=""),"",$V180-$T180)</f>
        <v/>
      </c>
      <c r="X180" s="35" t="str">
        <f aca="false">IF($W180="","",$W180*$O180)</f>
        <v/>
      </c>
      <c r="Y180" s="8" t="str">
        <f aca="false">IF($A180="","",IF($T180&lt;=0,"AGOTADO",IF($T180&lt;=N($K180),"REORDENAR","OK")))</f>
        <v/>
      </c>
      <c r="Z180" s="34" t="str">
        <f aca="false">IF($A180="","",IF($T180&lt;=N($K180),ROUNDUP((2*N($K180)-$T180)/$F180,0),0))</f>
        <v/>
      </c>
      <c r="AA180" s="8" t="str">
        <f aca="false">IF(OR($Y180="REORDENAR",$Y180="AGOTADO"),ROW(),"")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39"/>
      <c r="G181" s="40"/>
      <c r="H181" s="41"/>
      <c r="I181" s="41"/>
      <c r="J181" s="6"/>
      <c r="K181" s="42"/>
      <c r="L181" s="42"/>
      <c r="M181" s="43" t="str">
        <f aca="false">IF($A181="","",IFERROR($G181/$F181,0))</f>
        <v/>
      </c>
      <c r="N181" s="43" t="str">
        <f aca="false">IF($A181="","",IFERROR(SUMIFS(COMPRAS!$N$6:$N$1005,COMPRAS!$D$6:$D$1005,$A181,COMPRAS!$R$6:$R$1005,1)/COUNTIFS(COMPRAS!$D$6:$D$1005,$A181,COMPRAS!$R$6:$R$1005,1),0))</f>
        <v/>
      </c>
      <c r="O181" s="43" t="str">
        <f aca="false">IF($A181="","",IF($N181&gt;0,$N181,$M181))</f>
        <v/>
      </c>
      <c r="P181" s="43" t="str">
        <f aca="false">IF($A181="","",IF(N($I181)&gt;0,$O181/$I181,$O181))</f>
        <v/>
      </c>
      <c r="Q181" s="34" t="str">
        <f aca="false">IF($A181="","",SUMIFS(COMPRAS!$I$6:$I$1005,COMPRAS!$D$6:$D$1005,$A181))</f>
        <v/>
      </c>
      <c r="R181" s="34" t="str">
        <f aca="false">IF($A181="","",SUMIFS(RECETAS!$L$6:$L$605,RECETAS!$C$6:$C$605,$A181))</f>
        <v/>
      </c>
      <c r="S181" s="34" t="str">
        <f aca="false">IF($A181="","",SUMIFS(MERMAS!$J$6:$J$505,MERMAS!$B$6:$B$505,$A181))</f>
        <v/>
      </c>
      <c r="T181" s="34" t="str">
        <f aca="false">IF($A181="","",N($L181)+$Q181-$R181+$S181)</f>
        <v/>
      </c>
      <c r="U181" s="35" t="str">
        <f aca="false">IF($A181="","",$T181*$O181)</f>
        <v/>
      </c>
      <c r="V181" s="42"/>
      <c r="W181" s="34" t="str">
        <f aca="false">IF(OR($A181="",$V181=""),"",$V181-$T181)</f>
        <v/>
      </c>
      <c r="X181" s="35" t="str">
        <f aca="false">IF($W181="","",$W181*$O181)</f>
        <v/>
      </c>
      <c r="Y181" s="8" t="str">
        <f aca="false">IF($A181="","",IF($T181&lt;=0,"AGOTADO",IF($T181&lt;=N($K181),"REORDENAR","OK")))</f>
        <v/>
      </c>
      <c r="Z181" s="34" t="str">
        <f aca="false">IF($A181="","",IF($T181&lt;=N($K181),ROUNDUP((2*N($K181)-$T181)/$F181,0),0))</f>
        <v/>
      </c>
      <c r="AA181" s="8" t="str">
        <f aca="false">IF(OR($Y181="REORDENAR",$Y181="AGOTADO"),ROW(),"")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39"/>
      <c r="G182" s="40"/>
      <c r="H182" s="41"/>
      <c r="I182" s="41"/>
      <c r="J182" s="6"/>
      <c r="K182" s="42"/>
      <c r="L182" s="42"/>
      <c r="M182" s="43" t="str">
        <f aca="false">IF($A182="","",IFERROR($G182/$F182,0))</f>
        <v/>
      </c>
      <c r="N182" s="43" t="str">
        <f aca="false">IF($A182="","",IFERROR(SUMIFS(COMPRAS!$N$6:$N$1005,COMPRAS!$D$6:$D$1005,$A182,COMPRAS!$R$6:$R$1005,1)/COUNTIFS(COMPRAS!$D$6:$D$1005,$A182,COMPRAS!$R$6:$R$1005,1),0))</f>
        <v/>
      </c>
      <c r="O182" s="43" t="str">
        <f aca="false">IF($A182="","",IF($N182&gt;0,$N182,$M182))</f>
        <v/>
      </c>
      <c r="P182" s="43" t="str">
        <f aca="false">IF($A182="","",IF(N($I182)&gt;0,$O182/$I182,$O182))</f>
        <v/>
      </c>
      <c r="Q182" s="34" t="str">
        <f aca="false">IF($A182="","",SUMIFS(COMPRAS!$I$6:$I$1005,COMPRAS!$D$6:$D$1005,$A182))</f>
        <v/>
      </c>
      <c r="R182" s="34" t="str">
        <f aca="false">IF($A182="","",SUMIFS(RECETAS!$L$6:$L$605,RECETAS!$C$6:$C$605,$A182))</f>
        <v/>
      </c>
      <c r="S182" s="34" t="str">
        <f aca="false">IF($A182="","",SUMIFS(MERMAS!$J$6:$J$505,MERMAS!$B$6:$B$505,$A182))</f>
        <v/>
      </c>
      <c r="T182" s="34" t="str">
        <f aca="false">IF($A182="","",N($L182)+$Q182-$R182+$S182)</f>
        <v/>
      </c>
      <c r="U182" s="35" t="str">
        <f aca="false">IF($A182="","",$T182*$O182)</f>
        <v/>
      </c>
      <c r="V182" s="42"/>
      <c r="W182" s="34" t="str">
        <f aca="false">IF(OR($A182="",$V182=""),"",$V182-$T182)</f>
        <v/>
      </c>
      <c r="X182" s="35" t="str">
        <f aca="false">IF($W182="","",$W182*$O182)</f>
        <v/>
      </c>
      <c r="Y182" s="8" t="str">
        <f aca="false">IF($A182="","",IF($T182&lt;=0,"AGOTADO",IF($T182&lt;=N($K182),"REORDENAR","OK")))</f>
        <v/>
      </c>
      <c r="Z182" s="34" t="str">
        <f aca="false">IF($A182="","",IF($T182&lt;=N($K182),ROUNDUP((2*N($K182)-$T182)/$F182,0),0))</f>
        <v/>
      </c>
      <c r="AA182" s="8" t="str">
        <f aca="false">IF(OR($Y182="REORDENAR",$Y182="AGOTADO"),ROW(),"")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39"/>
      <c r="G183" s="40"/>
      <c r="H183" s="41"/>
      <c r="I183" s="41"/>
      <c r="J183" s="6"/>
      <c r="K183" s="42"/>
      <c r="L183" s="42"/>
      <c r="M183" s="43" t="str">
        <f aca="false">IF($A183="","",IFERROR($G183/$F183,0))</f>
        <v/>
      </c>
      <c r="N183" s="43" t="str">
        <f aca="false">IF($A183="","",IFERROR(SUMIFS(COMPRAS!$N$6:$N$1005,COMPRAS!$D$6:$D$1005,$A183,COMPRAS!$R$6:$R$1005,1)/COUNTIFS(COMPRAS!$D$6:$D$1005,$A183,COMPRAS!$R$6:$R$1005,1),0))</f>
        <v/>
      </c>
      <c r="O183" s="43" t="str">
        <f aca="false">IF($A183="","",IF($N183&gt;0,$N183,$M183))</f>
        <v/>
      </c>
      <c r="P183" s="43" t="str">
        <f aca="false">IF($A183="","",IF(N($I183)&gt;0,$O183/$I183,$O183))</f>
        <v/>
      </c>
      <c r="Q183" s="34" t="str">
        <f aca="false">IF($A183="","",SUMIFS(COMPRAS!$I$6:$I$1005,COMPRAS!$D$6:$D$1005,$A183))</f>
        <v/>
      </c>
      <c r="R183" s="34" t="str">
        <f aca="false">IF($A183="","",SUMIFS(RECETAS!$L$6:$L$605,RECETAS!$C$6:$C$605,$A183))</f>
        <v/>
      </c>
      <c r="S183" s="34" t="str">
        <f aca="false">IF($A183="","",SUMIFS(MERMAS!$J$6:$J$505,MERMAS!$B$6:$B$505,$A183))</f>
        <v/>
      </c>
      <c r="T183" s="34" t="str">
        <f aca="false">IF($A183="","",N($L183)+$Q183-$R183+$S183)</f>
        <v/>
      </c>
      <c r="U183" s="35" t="str">
        <f aca="false">IF($A183="","",$T183*$O183)</f>
        <v/>
      </c>
      <c r="V183" s="42"/>
      <c r="W183" s="34" t="str">
        <f aca="false">IF(OR($A183="",$V183=""),"",$V183-$T183)</f>
        <v/>
      </c>
      <c r="X183" s="35" t="str">
        <f aca="false">IF($W183="","",$W183*$O183)</f>
        <v/>
      </c>
      <c r="Y183" s="8" t="str">
        <f aca="false">IF($A183="","",IF($T183&lt;=0,"AGOTADO",IF($T183&lt;=N($K183),"REORDENAR","OK")))</f>
        <v/>
      </c>
      <c r="Z183" s="34" t="str">
        <f aca="false">IF($A183="","",IF($T183&lt;=N($K183),ROUNDUP((2*N($K183)-$T183)/$F183,0),0))</f>
        <v/>
      </c>
      <c r="AA183" s="8" t="str">
        <f aca="false">IF(OR($Y183="REORDENAR",$Y183="AGOTADO"),ROW(),"")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39"/>
      <c r="G184" s="40"/>
      <c r="H184" s="41"/>
      <c r="I184" s="41"/>
      <c r="J184" s="6"/>
      <c r="K184" s="42"/>
      <c r="L184" s="42"/>
      <c r="M184" s="43" t="str">
        <f aca="false">IF($A184="","",IFERROR($G184/$F184,0))</f>
        <v/>
      </c>
      <c r="N184" s="43" t="str">
        <f aca="false">IF($A184="","",IFERROR(SUMIFS(COMPRAS!$N$6:$N$1005,COMPRAS!$D$6:$D$1005,$A184,COMPRAS!$R$6:$R$1005,1)/COUNTIFS(COMPRAS!$D$6:$D$1005,$A184,COMPRAS!$R$6:$R$1005,1),0))</f>
        <v/>
      </c>
      <c r="O184" s="43" t="str">
        <f aca="false">IF($A184="","",IF($N184&gt;0,$N184,$M184))</f>
        <v/>
      </c>
      <c r="P184" s="43" t="str">
        <f aca="false">IF($A184="","",IF(N($I184)&gt;0,$O184/$I184,$O184))</f>
        <v/>
      </c>
      <c r="Q184" s="34" t="str">
        <f aca="false">IF($A184="","",SUMIFS(COMPRAS!$I$6:$I$1005,COMPRAS!$D$6:$D$1005,$A184))</f>
        <v/>
      </c>
      <c r="R184" s="34" t="str">
        <f aca="false">IF($A184="","",SUMIFS(RECETAS!$L$6:$L$605,RECETAS!$C$6:$C$605,$A184))</f>
        <v/>
      </c>
      <c r="S184" s="34" t="str">
        <f aca="false">IF($A184="","",SUMIFS(MERMAS!$J$6:$J$505,MERMAS!$B$6:$B$505,$A184))</f>
        <v/>
      </c>
      <c r="T184" s="34" t="str">
        <f aca="false">IF($A184="","",N($L184)+$Q184-$R184+$S184)</f>
        <v/>
      </c>
      <c r="U184" s="35" t="str">
        <f aca="false">IF($A184="","",$T184*$O184)</f>
        <v/>
      </c>
      <c r="V184" s="42"/>
      <c r="W184" s="34" t="str">
        <f aca="false">IF(OR($A184="",$V184=""),"",$V184-$T184)</f>
        <v/>
      </c>
      <c r="X184" s="35" t="str">
        <f aca="false">IF($W184="","",$W184*$O184)</f>
        <v/>
      </c>
      <c r="Y184" s="8" t="str">
        <f aca="false">IF($A184="","",IF($T184&lt;=0,"AGOTADO",IF($T184&lt;=N($K184),"REORDENAR","OK")))</f>
        <v/>
      </c>
      <c r="Z184" s="34" t="str">
        <f aca="false">IF($A184="","",IF($T184&lt;=N($K184),ROUNDUP((2*N($K184)-$T184)/$F184,0),0))</f>
        <v/>
      </c>
      <c r="AA184" s="8" t="str">
        <f aca="false">IF(OR($Y184="REORDENAR",$Y184="AGOTADO"),ROW(),"")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39"/>
      <c r="G185" s="40"/>
      <c r="H185" s="41"/>
      <c r="I185" s="41"/>
      <c r="J185" s="6"/>
      <c r="K185" s="42"/>
      <c r="L185" s="42"/>
      <c r="M185" s="43" t="str">
        <f aca="false">IF($A185="","",IFERROR($G185/$F185,0))</f>
        <v/>
      </c>
      <c r="N185" s="43" t="str">
        <f aca="false">IF($A185="","",IFERROR(SUMIFS(COMPRAS!$N$6:$N$1005,COMPRAS!$D$6:$D$1005,$A185,COMPRAS!$R$6:$R$1005,1)/COUNTIFS(COMPRAS!$D$6:$D$1005,$A185,COMPRAS!$R$6:$R$1005,1),0))</f>
        <v/>
      </c>
      <c r="O185" s="43" t="str">
        <f aca="false">IF($A185="","",IF($N185&gt;0,$N185,$M185))</f>
        <v/>
      </c>
      <c r="P185" s="43" t="str">
        <f aca="false">IF($A185="","",IF(N($I185)&gt;0,$O185/$I185,$O185))</f>
        <v/>
      </c>
      <c r="Q185" s="34" t="str">
        <f aca="false">IF($A185="","",SUMIFS(COMPRAS!$I$6:$I$1005,COMPRAS!$D$6:$D$1005,$A185))</f>
        <v/>
      </c>
      <c r="R185" s="34" t="str">
        <f aca="false">IF($A185="","",SUMIFS(RECETAS!$L$6:$L$605,RECETAS!$C$6:$C$605,$A185))</f>
        <v/>
      </c>
      <c r="S185" s="34" t="str">
        <f aca="false">IF($A185="","",SUMIFS(MERMAS!$J$6:$J$505,MERMAS!$B$6:$B$505,$A185))</f>
        <v/>
      </c>
      <c r="T185" s="34" t="str">
        <f aca="false">IF($A185="","",N($L185)+$Q185-$R185+$S185)</f>
        <v/>
      </c>
      <c r="U185" s="35" t="str">
        <f aca="false">IF($A185="","",$T185*$O185)</f>
        <v/>
      </c>
      <c r="V185" s="42"/>
      <c r="W185" s="34" t="str">
        <f aca="false">IF(OR($A185="",$V185=""),"",$V185-$T185)</f>
        <v/>
      </c>
      <c r="X185" s="35" t="str">
        <f aca="false">IF($W185="","",$W185*$O185)</f>
        <v/>
      </c>
      <c r="Y185" s="8" t="str">
        <f aca="false">IF($A185="","",IF($T185&lt;=0,"AGOTADO",IF($T185&lt;=N($K185),"REORDENAR","OK")))</f>
        <v/>
      </c>
      <c r="Z185" s="34" t="str">
        <f aca="false">IF($A185="","",IF($T185&lt;=N($K185),ROUNDUP((2*N($K185)-$T185)/$F185,0),0))</f>
        <v/>
      </c>
      <c r="AA185" s="8" t="str">
        <f aca="false">IF(OR($Y185="REORDENAR",$Y185="AGOTADO"),ROW(),"")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39"/>
      <c r="G186" s="40"/>
      <c r="H186" s="41"/>
      <c r="I186" s="41"/>
      <c r="J186" s="6"/>
      <c r="K186" s="42"/>
      <c r="L186" s="42"/>
      <c r="M186" s="43" t="str">
        <f aca="false">IF($A186="","",IFERROR($G186/$F186,0))</f>
        <v/>
      </c>
      <c r="N186" s="43" t="str">
        <f aca="false">IF($A186="","",IFERROR(SUMIFS(COMPRAS!$N$6:$N$1005,COMPRAS!$D$6:$D$1005,$A186,COMPRAS!$R$6:$R$1005,1)/COUNTIFS(COMPRAS!$D$6:$D$1005,$A186,COMPRAS!$R$6:$R$1005,1),0))</f>
        <v/>
      </c>
      <c r="O186" s="43" t="str">
        <f aca="false">IF($A186="","",IF($N186&gt;0,$N186,$M186))</f>
        <v/>
      </c>
      <c r="P186" s="43" t="str">
        <f aca="false">IF($A186="","",IF(N($I186)&gt;0,$O186/$I186,$O186))</f>
        <v/>
      </c>
      <c r="Q186" s="34" t="str">
        <f aca="false">IF($A186="","",SUMIFS(COMPRAS!$I$6:$I$1005,COMPRAS!$D$6:$D$1005,$A186))</f>
        <v/>
      </c>
      <c r="R186" s="34" t="str">
        <f aca="false">IF($A186="","",SUMIFS(RECETAS!$L$6:$L$605,RECETAS!$C$6:$C$605,$A186))</f>
        <v/>
      </c>
      <c r="S186" s="34" t="str">
        <f aca="false">IF($A186="","",SUMIFS(MERMAS!$J$6:$J$505,MERMAS!$B$6:$B$505,$A186))</f>
        <v/>
      </c>
      <c r="T186" s="34" t="str">
        <f aca="false">IF($A186="","",N($L186)+$Q186-$R186+$S186)</f>
        <v/>
      </c>
      <c r="U186" s="35" t="str">
        <f aca="false">IF($A186="","",$T186*$O186)</f>
        <v/>
      </c>
      <c r="V186" s="42"/>
      <c r="W186" s="34" t="str">
        <f aca="false">IF(OR($A186="",$V186=""),"",$V186-$T186)</f>
        <v/>
      </c>
      <c r="X186" s="35" t="str">
        <f aca="false">IF($W186="","",$W186*$O186)</f>
        <v/>
      </c>
      <c r="Y186" s="8" t="str">
        <f aca="false">IF($A186="","",IF($T186&lt;=0,"AGOTADO",IF($T186&lt;=N($K186),"REORDENAR","OK")))</f>
        <v/>
      </c>
      <c r="Z186" s="34" t="str">
        <f aca="false">IF($A186="","",IF($T186&lt;=N($K186),ROUNDUP((2*N($K186)-$T186)/$F186,0),0))</f>
        <v/>
      </c>
      <c r="AA186" s="8" t="str">
        <f aca="false">IF(OR($Y186="REORDENAR",$Y186="AGOTADO"),ROW(),"")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39"/>
      <c r="G187" s="40"/>
      <c r="H187" s="41"/>
      <c r="I187" s="41"/>
      <c r="J187" s="6"/>
      <c r="K187" s="42"/>
      <c r="L187" s="42"/>
      <c r="M187" s="43" t="str">
        <f aca="false">IF($A187="","",IFERROR($G187/$F187,0))</f>
        <v/>
      </c>
      <c r="N187" s="43" t="str">
        <f aca="false">IF($A187="","",IFERROR(SUMIFS(COMPRAS!$N$6:$N$1005,COMPRAS!$D$6:$D$1005,$A187,COMPRAS!$R$6:$R$1005,1)/COUNTIFS(COMPRAS!$D$6:$D$1005,$A187,COMPRAS!$R$6:$R$1005,1),0))</f>
        <v/>
      </c>
      <c r="O187" s="43" t="str">
        <f aca="false">IF($A187="","",IF($N187&gt;0,$N187,$M187))</f>
        <v/>
      </c>
      <c r="P187" s="43" t="str">
        <f aca="false">IF($A187="","",IF(N($I187)&gt;0,$O187/$I187,$O187))</f>
        <v/>
      </c>
      <c r="Q187" s="34" t="str">
        <f aca="false">IF($A187="","",SUMIFS(COMPRAS!$I$6:$I$1005,COMPRAS!$D$6:$D$1005,$A187))</f>
        <v/>
      </c>
      <c r="R187" s="34" t="str">
        <f aca="false">IF($A187="","",SUMIFS(RECETAS!$L$6:$L$605,RECETAS!$C$6:$C$605,$A187))</f>
        <v/>
      </c>
      <c r="S187" s="34" t="str">
        <f aca="false">IF($A187="","",SUMIFS(MERMAS!$J$6:$J$505,MERMAS!$B$6:$B$505,$A187))</f>
        <v/>
      </c>
      <c r="T187" s="34" t="str">
        <f aca="false">IF($A187="","",N($L187)+$Q187-$R187+$S187)</f>
        <v/>
      </c>
      <c r="U187" s="35" t="str">
        <f aca="false">IF($A187="","",$T187*$O187)</f>
        <v/>
      </c>
      <c r="V187" s="42"/>
      <c r="W187" s="34" t="str">
        <f aca="false">IF(OR($A187="",$V187=""),"",$V187-$T187)</f>
        <v/>
      </c>
      <c r="X187" s="35" t="str">
        <f aca="false">IF($W187="","",$W187*$O187)</f>
        <v/>
      </c>
      <c r="Y187" s="8" t="str">
        <f aca="false">IF($A187="","",IF($T187&lt;=0,"AGOTADO",IF($T187&lt;=N($K187),"REORDENAR","OK")))</f>
        <v/>
      </c>
      <c r="Z187" s="34" t="str">
        <f aca="false">IF($A187="","",IF($T187&lt;=N($K187),ROUNDUP((2*N($K187)-$T187)/$F187,0),0))</f>
        <v/>
      </c>
      <c r="AA187" s="8" t="str">
        <f aca="false">IF(OR($Y187="REORDENAR",$Y187="AGOTADO"),ROW(),"")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39"/>
      <c r="G188" s="40"/>
      <c r="H188" s="41"/>
      <c r="I188" s="41"/>
      <c r="J188" s="6"/>
      <c r="K188" s="42"/>
      <c r="L188" s="42"/>
      <c r="M188" s="43" t="str">
        <f aca="false">IF($A188="","",IFERROR($G188/$F188,0))</f>
        <v/>
      </c>
      <c r="N188" s="43" t="str">
        <f aca="false">IF($A188="","",IFERROR(SUMIFS(COMPRAS!$N$6:$N$1005,COMPRAS!$D$6:$D$1005,$A188,COMPRAS!$R$6:$R$1005,1)/COUNTIFS(COMPRAS!$D$6:$D$1005,$A188,COMPRAS!$R$6:$R$1005,1),0))</f>
        <v/>
      </c>
      <c r="O188" s="43" t="str">
        <f aca="false">IF($A188="","",IF($N188&gt;0,$N188,$M188))</f>
        <v/>
      </c>
      <c r="P188" s="43" t="str">
        <f aca="false">IF($A188="","",IF(N($I188)&gt;0,$O188/$I188,$O188))</f>
        <v/>
      </c>
      <c r="Q188" s="34" t="str">
        <f aca="false">IF($A188="","",SUMIFS(COMPRAS!$I$6:$I$1005,COMPRAS!$D$6:$D$1005,$A188))</f>
        <v/>
      </c>
      <c r="R188" s="34" t="str">
        <f aca="false">IF($A188="","",SUMIFS(RECETAS!$L$6:$L$605,RECETAS!$C$6:$C$605,$A188))</f>
        <v/>
      </c>
      <c r="S188" s="34" t="str">
        <f aca="false">IF($A188="","",SUMIFS(MERMAS!$J$6:$J$505,MERMAS!$B$6:$B$505,$A188))</f>
        <v/>
      </c>
      <c r="T188" s="34" t="str">
        <f aca="false">IF($A188="","",N($L188)+$Q188-$R188+$S188)</f>
        <v/>
      </c>
      <c r="U188" s="35" t="str">
        <f aca="false">IF($A188="","",$T188*$O188)</f>
        <v/>
      </c>
      <c r="V188" s="42"/>
      <c r="W188" s="34" t="str">
        <f aca="false">IF(OR($A188="",$V188=""),"",$V188-$T188)</f>
        <v/>
      </c>
      <c r="X188" s="35" t="str">
        <f aca="false">IF($W188="","",$W188*$O188)</f>
        <v/>
      </c>
      <c r="Y188" s="8" t="str">
        <f aca="false">IF($A188="","",IF($T188&lt;=0,"AGOTADO",IF($T188&lt;=N($K188),"REORDENAR","OK")))</f>
        <v/>
      </c>
      <c r="Z188" s="34" t="str">
        <f aca="false">IF($A188="","",IF($T188&lt;=N($K188),ROUNDUP((2*N($K188)-$T188)/$F188,0),0))</f>
        <v/>
      </c>
      <c r="AA188" s="8" t="str">
        <f aca="false">IF(OR($Y188="REORDENAR",$Y188="AGOTADO"),ROW(),"")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39"/>
      <c r="G189" s="40"/>
      <c r="H189" s="41"/>
      <c r="I189" s="41"/>
      <c r="J189" s="6"/>
      <c r="K189" s="42"/>
      <c r="L189" s="42"/>
      <c r="M189" s="43" t="str">
        <f aca="false">IF($A189="","",IFERROR($G189/$F189,0))</f>
        <v/>
      </c>
      <c r="N189" s="43" t="str">
        <f aca="false">IF($A189="","",IFERROR(SUMIFS(COMPRAS!$N$6:$N$1005,COMPRAS!$D$6:$D$1005,$A189,COMPRAS!$R$6:$R$1005,1)/COUNTIFS(COMPRAS!$D$6:$D$1005,$A189,COMPRAS!$R$6:$R$1005,1),0))</f>
        <v/>
      </c>
      <c r="O189" s="43" t="str">
        <f aca="false">IF($A189="","",IF($N189&gt;0,$N189,$M189))</f>
        <v/>
      </c>
      <c r="P189" s="43" t="str">
        <f aca="false">IF($A189="","",IF(N($I189)&gt;0,$O189/$I189,$O189))</f>
        <v/>
      </c>
      <c r="Q189" s="34" t="str">
        <f aca="false">IF($A189="","",SUMIFS(COMPRAS!$I$6:$I$1005,COMPRAS!$D$6:$D$1005,$A189))</f>
        <v/>
      </c>
      <c r="R189" s="34" t="str">
        <f aca="false">IF($A189="","",SUMIFS(RECETAS!$L$6:$L$605,RECETAS!$C$6:$C$605,$A189))</f>
        <v/>
      </c>
      <c r="S189" s="34" t="str">
        <f aca="false">IF($A189="","",SUMIFS(MERMAS!$J$6:$J$505,MERMAS!$B$6:$B$505,$A189))</f>
        <v/>
      </c>
      <c r="T189" s="34" t="str">
        <f aca="false">IF($A189="","",N($L189)+$Q189-$R189+$S189)</f>
        <v/>
      </c>
      <c r="U189" s="35" t="str">
        <f aca="false">IF($A189="","",$T189*$O189)</f>
        <v/>
      </c>
      <c r="V189" s="42"/>
      <c r="W189" s="34" t="str">
        <f aca="false">IF(OR($A189="",$V189=""),"",$V189-$T189)</f>
        <v/>
      </c>
      <c r="X189" s="35" t="str">
        <f aca="false">IF($W189="","",$W189*$O189)</f>
        <v/>
      </c>
      <c r="Y189" s="8" t="str">
        <f aca="false">IF($A189="","",IF($T189&lt;=0,"AGOTADO",IF($T189&lt;=N($K189),"REORDENAR","OK")))</f>
        <v/>
      </c>
      <c r="Z189" s="34" t="str">
        <f aca="false">IF($A189="","",IF($T189&lt;=N($K189),ROUNDUP((2*N($K189)-$T189)/$F189,0),0))</f>
        <v/>
      </c>
      <c r="AA189" s="8" t="str">
        <f aca="false">IF(OR($Y189="REORDENAR",$Y189="AGOTADO"),ROW(),"")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39"/>
      <c r="G190" s="40"/>
      <c r="H190" s="41"/>
      <c r="I190" s="41"/>
      <c r="J190" s="6"/>
      <c r="K190" s="42"/>
      <c r="L190" s="42"/>
      <c r="M190" s="43" t="str">
        <f aca="false">IF($A190="","",IFERROR($G190/$F190,0))</f>
        <v/>
      </c>
      <c r="N190" s="43" t="str">
        <f aca="false">IF($A190="","",IFERROR(SUMIFS(COMPRAS!$N$6:$N$1005,COMPRAS!$D$6:$D$1005,$A190,COMPRAS!$R$6:$R$1005,1)/COUNTIFS(COMPRAS!$D$6:$D$1005,$A190,COMPRAS!$R$6:$R$1005,1),0))</f>
        <v/>
      </c>
      <c r="O190" s="43" t="str">
        <f aca="false">IF($A190="","",IF($N190&gt;0,$N190,$M190))</f>
        <v/>
      </c>
      <c r="P190" s="43" t="str">
        <f aca="false">IF($A190="","",IF(N($I190)&gt;0,$O190/$I190,$O190))</f>
        <v/>
      </c>
      <c r="Q190" s="34" t="str">
        <f aca="false">IF($A190="","",SUMIFS(COMPRAS!$I$6:$I$1005,COMPRAS!$D$6:$D$1005,$A190))</f>
        <v/>
      </c>
      <c r="R190" s="34" t="str">
        <f aca="false">IF($A190="","",SUMIFS(RECETAS!$L$6:$L$605,RECETAS!$C$6:$C$605,$A190))</f>
        <v/>
      </c>
      <c r="S190" s="34" t="str">
        <f aca="false">IF($A190="","",SUMIFS(MERMAS!$J$6:$J$505,MERMAS!$B$6:$B$505,$A190))</f>
        <v/>
      </c>
      <c r="T190" s="34" t="str">
        <f aca="false">IF($A190="","",N($L190)+$Q190-$R190+$S190)</f>
        <v/>
      </c>
      <c r="U190" s="35" t="str">
        <f aca="false">IF($A190="","",$T190*$O190)</f>
        <v/>
      </c>
      <c r="V190" s="42"/>
      <c r="W190" s="34" t="str">
        <f aca="false">IF(OR($A190="",$V190=""),"",$V190-$T190)</f>
        <v/>
      </c>
      <c r="X190" s="35" t="str">
        <f aca="false">IF($W190="","",$W190*$O190)</f>
        <v/>
      </c>
      <c r="Y190" s="8" t="str">
        <f aca="false">IF($A190="","",IF($T190&lt;=0,"AGOTADO",IF($T190&lt;=N($K190),"REORDENAR","OK")))</f>
        <v/>
      </c>
      <c r="Z190" s="34" t="str">
        <f aca="false">IF($A190="","",IF($T190&lt;=N($K190),ROUNDUP((2*N($K190)-$T190)/$F190,0),0))</f>
        <v/>
      </c>
      <c r="AA190" s="8" t="str">
        <f aca="false">IF(OR($Y190="REORDENAR",$Y190="AGOTADO"),ROW(),"")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39"/>
      <c r="G191" s="40"/>
      <c r="H191" s="41"/>
      <c r="I191" s="41"/>
      <c r="J191" s="6"/>
      <c r="K191" s="42"/>
      <c r="L191" s="42"/>
      <c r="M191" s="43" t="str">
        <f aca="false">IF($A191="","",IFERROR($G191/$F191,0))</f>
        <v/>
      </c>
      <c r="N191" s="43" t="str">
        <f aca="false">IF($A191="","",IFERROR(SUMIFS(COMPRAS!$N$6:$N$1005,COMPRAS!$D$6:$D$1005,$A191,COMPRAS!$R$6:$R$1005,1)/COUNTIFS(COMPRAS!$D$6:$D$1005,$A191,COMPRAS!$R$6:$R$1005,1),0))</f>
        <v/>
      </c>
      <c r="O191" s="43" t="str">
        <f aca="false">IF($A191="","",IF($N191&gt;0,$N191,$M191))</f>
        <v/>
      </c>
      <c r="P191" s="43" t="str">
        <f aca="false">IF($A191="","",IF(N($I191)&gt;0,$O191/$I191,$O191))</f>
        <v/>
      </c>
      <c r="Q191" s="34" t="str">
        <f aca="false">IF($A191="","",SUMIFS(COMPRAS!$I$6:$I$1005,COMPRAS!$D$6:$D$1005,$A191))</f>
        <v/>
      </c>
      <c r="R191" s="34" t="str">
        <f aca="false">IF($A191="","",SUMIFS(RECETAS!$L$6:$L$605,RECETAS!$C$6:$C$605,$A191))</f>
        <v/>
      </c>
      <c r="S191" s="34" t="str">
        <f aca="false">IF($A191="","",SUMIFS(MERMAS!$J$6:$J$505,MERMAS!$B$6:$B$505,$A191))</f>
        <v/>
      </c>
      <c r="T191" s="34" t="str">
        <f aca="false">IF($A191="","",N($L191)+$Q191-$R191+$S191)</f>
        <v/>
      </c>
      <c r="U191" s="35" t="str">
        <f aca="false">IF($A191="","",$T191*$O191)</f>
        <v/>
      </c>
      <c r="V191" s="42"/>
      <c r="W191" s="34" t="str">
        <f aca="false">IF(OR($A191="",$V191=""),"",$V191-$T191)</f>
        <v/>
      </c>
      <c r="X191" s="35" t="str">
        <f aca="false">IF($W191="","",$W191*$O191)</f>
        <v/>
      </c>
      <c r="Y191" s="8" t="str">
        <f aca="false">IF($A191="","",IF($T191&lt;=0,"AGOTADO",IF($T191&lt;=N($K191),"REORDENAR","OK")))</f>
        <v/>
      </c>
      <c r="Z191" s="34" t="str">
        <f aca="false">IF($A191="","",IF($T191&lt;=N($K191),ROUNDUP((2*N($K191)-$T191)/$F191,0),0))</f>
        <v/>
      </c>
      <c r="AA191" s="8" t="str">
        <f aca="false">IF(OR($Y191="REORDENAR",$Y191="AGOTADO"),ROW(),"")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39"/>
      <c r="G192" s="40"/>
      <c r="H192" s="41"/>
      <c r="I192" s="41"/>
      <c r="J192" s="6"/>
      <c r="K192" s="42"/>
      <c r="L192" s="42"/>
      <c r="M192" s="43" t="str">
        <f aca="false">IF($A192="","",IFERROR($G192/$F192,0))</f>
        <v/>
      </c>
      <c r="N192" s="43" t="str">
        <f aca="false">IF($A192="","",IFERROR(SUMIFS(COMPRAS!$N$6:$N$1005,COMPRAS!$D$6:$D$1005,$A192,COMPRAS!$R$6:$R$1005,1)/COUNTIFS(COMPRAS!$D$6:$D$1005,$A192,COMPRAS!$R$6:$R$1005,1),0))</f>
        <v/>
      </c>
      <c r="O192" s="43" t="str">
        <f aca="false">IF($A192="","",IF($N192&gt;0,$N192,$M192))</f>
        <v/>
      </c>
      <c r="P192" s="43" t="str">
        <f aca="false">IF($A192="","",IF(N($I192)&gt;0,$O192/$I192,$O192))</f>
        <v/>
      </c>
      <c r="Q192" s="34" t="str">
        <f aca="false">IF($A192="","",SUMIFS(COMPRAS!$I$6:$I$1005,COMPRAS!$D$6:$D$1005,$A192))</f>
        <v/>
      </c>
      <c r="R192" s="34" t="str">
        <f aca="false">IF($A192="","",SUMIFS(RECETAS!$L$6:$L$605,RECETAS!$C$6:$C$605,$A192))</f>
        <v/>
      </c>
      <c r="S192" s="34" t="str">
        <f aca="false">IF($A192="","",SUMIFS(MERMAS!$J$6:$J$505,MERMAS!$B$6:$B$505,$A192))</f>
        <v/>
      </c>
      <c r="T192" s="34" t="str">
        <f aca="false">IF($A192="","",N($L192)+$Q192-$R192+$S192)</f>
        <v/>
      </c>
      <c r="U192" s="35" t="str">
        <f aca="false">IF($A192="","",$T192*$O192)</f>
        <v/>
      </c>
      <c r="V192" s="42"/>
      <c r="W192" s="34" t="str">
        <f aca="false">IF(OR($A192="",$V192=""),"",$V192-$T192)</f>
        <v/>
      </c>
      <c r="X192" s="35" t="str">
        <f aca="false">IF($W192="","",$W192*$O192)</f>
        <v/>
      </c>
      <c r="Y192" s="8" t="str">
        <f aca="false">IF($A192="","",IF($T192&lt;=0,"AGOTADO",IF($T192&lt;=N($K192),"REORDENAR","OK")))</f>
        <v/>
      </c>
      <c r="Z192" s="34" t="str">
        <f aca="false">IF($A192="","",IF($T192&lt;=N($K192),ROUNDUP((2*N($K192)-$T192)/$F192,0),0))</f>
        <v/>
      </c>
      <c r="AA192" s="8" t="str">
        <f aca="false">IF(OR($Y192="REORDENAR",$Y192="AGOTADO"),ROW(),"")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39"/>
      <c r="G193" s="40"/>
      <c r="H193" s="41"/>
      <c r="I193" s="41"/>
      <c r="J193" s="6"/>
      <c r="K193" s="42"/>
      <c r="L193" s="42"/>
      <c r="M193" s="43" t="str">
        <f aca="false">IF($A193="","",IFERROR($G193/$F193,0))</f>
        <v/>
      </c>
      <c r="N193" s="43" t="str">
        <f aca="false">IF($A193="","",IFERROR(SUMIFS(COMPRAS!$N$6:$N$1005,COMPRAS!$D$6:$D$1005,$A193,COMPRAS!$R$6:$R$1005,1)/COUNTIFS(COMPRAS!$D$6:$D$1005,$A193,COMPRAS!$R$6:$R$1005,1),0))</f>
        <v/>
      </c>
      <c r="O193" s="43" t="str">
        <f aca="false">IF($A193="","",IF($N193&gt;0,$N193,$M193))</f>
        <v/>
      </c>
      <c r="P193" s="43" t="str">
        <f aca="false">IF($A193="","",IF(N($I193)&gt;0,$O193/$I193,$O193))</f>
        <v/>
      </c>
      <c r="Q193" s="34" t="str">
        <f aca="false">IF($A193="","",SUMIFS(COMPRAS!$I$6:$I$1005,COMPRAS!$D$6:$D$1005,$A193))</f>
        <v/>
      </c>
      <c r="R193" s="34" t="str">
        <f aca="false">IF($A193="","",SUMIFS(RECETAS!$L$6:$L$605,RECETAS!$C$6:$C$605,$A193))</f>
        <v/>
      </c>
      <c r="S193" s="34" t="str">
        <f aca="false">IF($A193="","",SUMIFS(MERMAS!$J$6:$J$505,MERMAS!$B$6:$B$505,$A193))</f>
        <v/>
      </c>
      <c r="T193" s="34" t="str">
        <f aca="false">IF($A193="","",N($L193)+$Q193-$R193+$S193)</f>
        <v/>
      </c>
      <c r="U193" s="35" t="str">
        <f aca="false">IF($A193="","",$T193*$O193)</f>
        <v/>
      </c>
      <c r="V193" s="42"/>
      <c r="W193" s="34" t="str">
        <f aca="false">IF(OR($A193="",$V193=""),"",$V193-$T193)</f>
        <v/>
      </c>
      <c r="X193" s="35" t="str">
        <f aca="false">IF($W193="","",$W193*$O193)</f>
        <v/>
      </c>
      <c r="Y193" s="8" t="str">
        <f aca="false">IF($A193="","",IF($T193&lt;=0,"AGOTADO",IF($T193&lt;=N($K193),"REORDENAR","OK")))</f>
        <v/>
      </c>
      <c r="Z193" s="34" t="str">
        <f aca="false">IF($A193="","",IF($T193&lt;=N($K193),ROUNDUP((2*N($K193)-$T193)/$F193,0),0))</f>
        <v/>
      </c>
      <c r="AA193" s="8" t="str">
        <f aca="false">IF(OR($Y193="REORDENAR",$Y193="AGOTADO"),ROW(),"")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39"/>
      <c r="G194" s="40"/>
      <c r="H194" s="41"/>
      <c r="I194" s="41"/>
      <c r="J194" s="6"/>
      <c r="K194" s="42"/>
      <c r="L194" s="42"/>
      <c r="M194" s="43" t="str">
        <f aca="false">IF($A194="","",IFERROR($G194/$F194,0))</f>
        <v/>
      </c>
      <c r="N194" s="43" t="str">
        <f aca="false">IF($A194="","",IFERROR(SUMIFS(COMPRAS!$N$6:$N$1005,COMPRAS!$D$6:$D$1005,$A194,COMPRAS!$R$6:$R$1005,1)/COUNTIFS(COMPRAS!$D$6:$D$1005,$A194,COMPRAS!$R$6:$R$1005,1),0))</f>
        <v/>
      </c>
      <c r="O194" s="43" t="str">
        <f aca="false">IF($A194="","",IF($N194&gt;0,$N194,$M194))</f>
        <v/>
      </c>
      <c r="P194" s="43" t="str">
        <f aca="false">IF($A194="","",IF(N($I194)&gt;0,$O194/$I194,$O194))</f>
        <v/>
      </c>
      <c r="Q194" s="34" t="str">
        <f aca="false">IF($A194="","",SUMIFS(COMPRAS!$I$6:$I$1005,COMPRAS!$D$6:$D$1005,$A194))</f>
        <v/>
      </c>
      <c r="R194" s="34" t="str">
        <f aca="false">IF($A194="","",SUMIFS(RECETAS!$L$6:$L$605,RECETAS!$C$6:$C$605,$A194))</f>
        <v/>
      </c>
      <c r="S194" s="34" t="str">
        <f aca="false">IF($A194="","",SUMIFS(MERMAS!$J$6:$J$505,MERMAS!$B$6:$B$505,$A194))</f>
        <v/>
      </c>
      <c r="T194" s="34" t="str">
        <f aca="false">IF($A194="","",N($L194)+$Q194-$R194+$S194)</f>
        <v/>
      </c>
      <c r="U194" s="35" t="str">
        <f aca="false">IF($A194="","",$T194*$O194)</f>
        <v/>
      </c>
      <c r="V194" s="42"/>
      <c r="W194" s="34" t="str">
        <f aca="false">IF(OR($A194="",$V194=""),"",$V194-$T194)</f>
        <v/>
      </c>
      <c r="X194" s="35" t="str">
        <f aca="false">IF($W194="","",$W194*$O194)</f>
        <v/>
      </c>
      <c r="Y194" s="8" t="str">
        <f aca="false">IF($A194="","",IF($T194&lt;=0,"AGOTADO",IF($T194&lt;=N($K194),"REORDENAR","OK")))</f>
        <v/>
      </c>
      <c r="Z194" s="34" t="str">
        <f aca="false">IF($A194="","",IF($T194&lt;=N($K194),ROUNDUP((2*N($K194)-$T194)/$F194,0),0))</f>
        <v/>
      </c>
      <c r="AA194" s="8" t="str">
        <f aca="false">IF(OR($Y194="REORDENAR",$Y194="AGOTADO"),ROW(),"")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39"/>
      <c r="G195" s="40"/>
      <c r="H195" s="41"/>
      <c r="I195" s="41"/>
      <c r="J195" s="6"/>
      <c r="K195" s="42"/>
      <c r="L195" s="42"/>
      <c r="M195" s="43" t="str">
        <f aca="false">IF($A195="","",IFERROR($G195/$F195,0))</f>
        <v/>
      </c>
      <c r="N195" s="43" t="str">
        <f aca="false">IF($A195="","",IFERROR(SUMIFS(COMPRAS!$N$6:$N$1005,COMPRAS!$D$6:$D$1005,$A195,COMPRAS!$R$6:$R$1005,1)/COUNTIFS(COMPRAS!$D$6:$D$1005,$A195,COMPRAS!$R$6:$R$1005,1),0))</f>
        <v/>
      </c>
      <c r="O195" s="43" t="str">
        <f aca="false">IF($A195="","",IF($N195&gt;0,$N195,$M195))</f>
        <v/>
      </c>
      <c r="P195" s="43" t="str">
        <f aca="false">IF($A195="","",IF(N($I195)&gt;0,$O195/$I195,$O195))</f>
        <v/>
      </c>
      <c r="Q195" s="34" t="str">
        <f aca="false">IF($A195="","",SUMIFS(COMPRAS!$I$6:$I$1005,COMPRAS!$D$6:$D$1005,$A195))</f>
        <v/>
      </c>
      <c r="R195" s="34" t="str">
        <f aca="false">IF($A195="","",SUMIFS(RECETAS!$L$6:$L$605,RECETAS!$C$6:$C$605,$A195))</f>
        <v/>
      </c>
      <c r="S195" s="34" t="str">
        <f aca="false">IF($A195="","",SUMIFS(MERMAS!$J$6:$J$505,MERMAS!$B$6:$B$505,$A195))</f>
        <v/>
      </c>
      <c r="T195" s="34" t="str">
        <f aca="false">IF($A195="","",N($L195)+$Q195-$R195+$S195)</f>
        <v/>
      </c>
      <c r="U195" s="35" t="str">
        <f aca="false">IF($A195="","",$T195*$O195)</f>
        <v/>
      </c>
      <c r="V195" s="42"/>
      <c r="W195" s="34" t="str">
        <f aca="false">IF(OR($A195="",$V195=""),"",$V195-$T195)</f>
        <v/>
      </c>
      <c r="X195" s="35" t="str">
        <f aca="false">IF($W195="","",$W195*$O195)</f>
        <v/>
      </c>
      <c r="Y195" s="8" t="str">
        <f aca="false">IF($A195="","",IF($T195&lt;=0,"AGOTADO",IF($T195&lt;=N($K195),"REORDENAR","OK")))</f>
        <v/>
      </c>
      <c r="Z195" s="34" t="str">
        <f aca="false">IF($A195="","",IF($T195&lt;=N($K195),ROUNDUP((2*N($K195)-$T195)/$F195,0),0))</f>
        <v/>
      </c>
      <c r="AA195" s="8" t="str">
        <f aca="false">IF(OR($Y195="REORDENAR",$Y195="AGOTADO"),ROW(),"")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39"/>
      <c r="G196" s="40"/>
      <c r="H196" s="41"/>
      <c r="I196" s="41"/>
      <c r="J196" s="6"/>
      <c r="K196" s="42"/>
      <c r="L196" s="42"/>
      <c r="M196" s="43" t="str">
        <f aca="false">IF($A196="","",IFERROR($G196/$F196,0))</f>
        <v/>
      </c>
      <c r="N196" s="43" t="str">
        <f aca="false">IF($A196="","",IFERROR(SUMIFS(COMPRAS!$N$6:$N$1005,COMPRAS!$D$6:$D$1005,$A196,COMPRAS!$R$6:$R$1005,1)/COUNTIFS(COMPRAS!$D$6:$D$1005,$A196,COMPRAS!$R$6:$R$1005,1),0))</f>
        <v/>
      </c>
      <c r="O196" s="43" t="str">
        <f aca="false">IF($A196="","",IF($N196&gt;0,$N196,$M196))</f>
        <v/>
      </c>
      <c r="P196" s="43" t="str">
        <f aca="false">IF($A196="","",IF(N($I196)&gt;0,$O196/$I196,$O196))</f>
        <v/>
      </c>
      <c r="Q196" s="34" t="str">
        <f aca="false">IF($A196="","",SUMIFS(COMPRAS!$I$6:$I$1005,COMPRAS!$D$6:$D$1005,$A196))</f>
        <v/>
      </c>
      <c r="R196" s="34" t="str">
        <f aca="false">IF($A196="","",SUMIFS(RECETAS!$L$6:$L$605,RECETAS!$C$6:$C$605,$A196))</f>
        <v/>
      </c>
      <c r="S196" s="34" t="str">
        <f aca="false">IF($A196="","",SUMIFS(MERMAS!$J$6:$J$505,MERMAS!$B$6:$B$505,$A196))</f>
        <v/>
      </c>
      <c r="T196" s="34" t="str">
        <f aca="false">IF($A196="","",N($L196)+$Q196-$R196+$S196)</f>
        <v/>
      </c>
      <c r="U196" s="35" t="str">
        <f aca="false">IF($A196="","",$T196*$O196)</f>
        <v/>
      </c>
      <c r="V196" s="42"/>
      <c r="W196" s="34" t="str">
        <f aca="false">IF(OR($A196="",$V196=""),"",$V196-$T196)</f>
        <v/>
      </c>
      <c r="X196" s="35" t="str">
        <f aca="false">IF($W196="","",$W196*$O196)</f>
        <v/>
      </c>
      <c r="Y196" s="8" t="str">
        <f aca="false">IF($A196="","",IF($T196&lt;=0,"AGOTADO",IF($T196&lt;=N($K196),"REORDENAR","OK")))</f>
        <v/>
      </c>
      <c r="Z196" s="34" t="str">
        <f aca="false">IF($A196="","",IF($T196&lt;=N($K196),ROUNDUP((2*N($K196)-$T196)/$F196,0),0))</f>
        <v/>
      </c>
      <c r="AA196" s="8" t="str">
        <f aca="false">IF(OR($Y196="REORDENAR",$Y196="AGOTADO"),ROW(),"")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39"/>
      <c r="G197" s="40"/>
      <c r="H197" s="41"/>
      <c r="I197" s="41"/>
      <c r="J197" s="6"/>
      <c r="K197" s="42"/>
      <c r="L197" s="42"/>
      <c r="M197" s="43" t="str">
        <f aca="false">IF($A197="","",IFERROR($G197/$F197,0))</f>
        <v/>
      </c>
      <c r="N197" s="43" t="str">
        <f aca="false">IF($A197="","",IFERROR(SUMIFS(COMPRAS!$N$6:$N$1005,COMPRAS!$D$6:$D$1005,$A197,COMPRAS!$R$6:$R$1005,1)/COUNTIFS(COMPRAS!$D$6:$D$1005,$A197,COMPRAS!$R$6:$R$1005,1),0))</f>
        <v/>
      </c>
      <c r="O197" s="43" t="str">
        <f aca="false">IF($A197="","",IF($N197&gt;0,$N197,$M197))</f>
        <v/>
      </c>
      <c r="P197" s="43" t="str">
        <f aca="false">IF($A197="","",IF(N($I197)&gt;0,$O197/$I197,$O197))</f>
        <v/>
      </c>
      <c r="Q197" s="34" t="str">
        <f aca="false">IF($A197="","",SUMIFS(COMPRAS!$I$6:$I$1005,COMPRAS!$D$6:$D$1005,$A197))</f>
        <v/>
      </c>
      <c r="R197" s="34" t="str">
        <f aca="false">IF($A197="","",SUMIFS(RECETAS!$L$6:$L$605,RECETAS!$C$6:$C$605,$A197))</f>
        <v/>
      </c>
      <c r="S197" s="34" t="str">
        <f aca="false">IF($A197="","",SUMIFS(MERMAS!$J$6:$J$505,MERMAS!$B$6:$B$505,$A197))</f>
        <v/>
      </c>
      <c r="T197" s="34" t="str">
        <f aca="false">IF($A197="","",N($L197)+$Q197-$R197+$S197)</f>
        <v/>
      </c>
      <c r="U197" s="35" t="str">
        <f aca="false">IF($A197="","",$T197*$O197)</f>
        <v/>
      </c>
      <c r="V197" s="42"/>
      <c r="W197" s="34" t="str">
        <f aca="false">IF(OR($A197="",$V197=""),"",$V197-$T197)</f>
        <v/>
      </c>
      <c r="X197" s="35" t="str">
        <f aca="false">IF($W197="","",$W197*$O197)</f>
        <v/>
      </c>
      <c r="Y197" s="8" t="str">
        <f aca="false">IF($A197="","",IF($T197&lt;=0,"AGOTADO",IF($T197&lt;=N($K197),"REORDENAR","OK")))</f>
        <v/>
      </c>
      <c r="Z197" s="34" t="str">
        <f aca="false">IF($A197="","",IF($T197&lt;=N($K197),ROUNDUP((2*N($K197)-$T197)/$F197,0),0))</f>
        <v/>
      </c>
      <c r="AA197" s="8" t="str">
        <f aca="false">IF(OR($Y197="REORDENAR",$Y197="AGOTADO"),ROW(),"")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39"/>
      <c r="G198" s="40"/>
      <c r="H198" s="41"/>
      <c r="I198" s="41"/>
      <c r="J198" s="6"/>
      <c r="K198" s="42"/>
      <c r="L198" s="42"/>
      <c r="M198" s="43" t="str">
        <f aca="false">IF($A198="","",IFERROR($G198/$F198,0))</f>
        <v/>
      </c>
      <c r="N198" s="43" t="str">
        <f aca="false">IF($A198="","",IFERROR(SUMIFS(COMPRAS!$N$6:$N$1005,COMPRAS!$D$6:$D$1005,$A198,COMPRAS!$R$6:$R$1005,1)/COUNTIFS(COMPRAS!$D$6:$D$1005,$A198,COMPRAS!$R$6:$R$1005,1),0))</f>
        <v/>
      </c>
      <c r="O198" s="43" t="str">
        <f aca="false">IF($A198="","",IF($N198&gt;0,$N198,$M198))</f>
        <v/>
      </c>
      <c r="P198" s="43" t="str">
        <f aca="false">IF($A198="","",IF(N($I198)&gt;0,$O198/$I198,$O198))</f>
        <v/>
      </c>
      <c r="Q198" s="34" t="str">
        <f aca="false">IF($A198="","",SUMIFS(COMPRAS!$I$6:$I$1005,COMPRAS!$D$6:$D$1005,$A198))</f>
        <v/>
      </c>
      <c r="R198" s="34" t="str">
        <f aca="false">IF($A198="","",SUMIFS(RECETAS!$L$6:$L$605,RECETAS!$C$6:$C$605,$A198))</f>
        <v/>
      </c>
      <c r="S198" s="34" t="str">
        <f aca="false">IF($A198="","",SUMIFS(MERMAS!$J$6:$J$505,MERMAS!$B$6:$B$505,$A198))</f>
        <v/>
      </c>
      <c r="T198" s="34" t="str">
        <f aca="false">IF($A198="","",N($L198)+$Q198-$R198+$S198)</f>
        <v/>
      </c>
      <c r="U198" s="35" t="str">
        <f aca="false">IF($A198="","",$T198*$O198)</f>
        <v/>
      </c>
      <c r="V198" s="42"/>
      <c r="W198" s="34" t="str">
        <f aca="false">IF(OR($A198="",$V198=""),"",$V198-$T198)</f>
        <v/>
      </c>
      <c r="X198" s="35" t="str">
        <f aca="false">IF($W198="","",$W198*$O198)</f>
        <v/>
      </c>
      <c r="Y198" s="8" t="str">
        <f aca="false">IF($A198="","",IF($T198&lt;=0,"AGOTADO",IF($T198&lt;=N($K198),"REORDENAR","OK")))</f>
        <v/>
      </c>
      <c r="Z198" s="34" t="str">
        <f aca="false">IF($A198="","",IF($T198&lt;=N($K198),ROUNDUP((2*N($K198)-$T198)/$F198,0),0))</f>
        <v/>
      </c>
      <c r="AA198" s="8" t="str">
        <f aca="false">IF(OR($Y198="REORDENAR",$Y198="AGOTADO"),ROW(),"")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39"/>
      <c r="G199" s="40"/>
      <c r="H199" s="41"/>
      <c r="I199" s="41"/>
      <c r="J199" s="6"/>
      <c r="K199" s="42"/>
      <c r="L199" s="42"/>
      <c r="M199" s="43" t="str">
        <f aca="false">IF($A199="","",IFERROR($G199/$F199,0))</f>
        <v/>
      </c>
      <c r="N199" s="43" t="str">
        <f aca="false">IF($A199="","",IFERROR(SUMIFS(COMPRAS!$N$6:$N$1005,COMPRAS!$D$6:$D$1005,$A199,COMPRAS!$R$6:$R$1005,1)/COUNTIFS(COMPRAS!$D$6:$D$1005,$A199,COMPRAS!$R$6:$R$1005,1),0))</f>
        <v/>
      </c>
      <c r="O199" s="43" t="str">
        <f aca="false">IF($A199="","",IF($N199&gt;0,$N199,$M199))</f>
        <v/>
      </c>
      <c r="P199" s="43" t="str">
        <f aca="false">IF($A199="","",IF(N($I199)&gt;0,$O199/$I199,$O199))</f>
        <v/>
      </c>
      <c r="Q199" s="34" t="str">
        <f aca="false">IF($A199="","",SUMIFS(COMPRAS!$I$6:$I$1005,COMPRAS!$D$6:$D$1005,$A199))</f>
        <v/>
      </c>
      <c r="R199" s="34" t="str">
        <f aca="false">IF($A199="","",SUMIFS(RECETAS!$L$6:$L$605,RECETAS!$C$6:$C$605,$A199))</f>
        <v/>
      </c>
      <c r="S199" s="34" t="str">
        <f aca="false">IF($A199="","",SUMIFS(MERMAS!$J$6:$J$505,MERMAS!$B$6:$B$505,$A199))</f>
        <v/>
      </c>
      <c r="T199" s="34" t="str">
        <f aca="false">IF($A199="","",N($L199)+$Q199-$R199+$S199)</f>
        <v/>
      </c>
      <c r="U199" s="35" t="str">
        <f aca="false">IF($A199="","",$T199*$O199)</f>
        <v/>
      </c>
      <c r="V199" s="42"/>
      <c r="W199" s="34" t="str">
        <f aca="false">IF(OR($A199="",$V199=""),"",$V199-$T199)</f>
        <v/>
      </c>
      <c r="X199" s="35" t="str">
        <f aca="false">IF($W199="","",$W199*$O199)</f>
        <v/>
      </c>
      <c r="Y199" s="8" t="str">
        <f aca="false">IF($A199="","",IF($T199&lt;=0,"AGOTADO",IF($T199&lt;=N($K199),"REORDENAR","OK")))</f>
        <v/>
      </c>
      <c r="Z199" s="34" t="str">
        <f aca="false">IF($A199="","",IF($T199&lt;=N($K199),ROUNDUP((2*N($K199)-$T199)/$F199,0),0))</f>
        <v/>
      </c>
      <c r="AA199" s="8" t="str">
        <f aca="false">IF(OR($Y199="REORDENAR",$Y199="AGOTADO"),ROW(),"")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39"/>
      <c r="G200" s="40"/>
      <c r="H200" s="41"/>
      <c r="I200" s="41"/>
      <c r="J200" s="6"/>
      <c r="K200" s="42"/>
      <c r="L200" s="42"/>
      <c r="M200" s="43" t="str">
        <f aca="false">IF($A200="","",IFERROR($G200/$F200,0))</f>
        <v/>
      </c>
      <c r="N200" s="43" t="str">
        <f aca="false">IF($A200="","",IFERROR(SUMIFS(COMPRAS!$N$6:$N$1005,COMPRAS!$D$6:$D$1005,$A200,COMPRAS!$R$6:$R$1005,1)/COUNTIFS(COMPRAS!$D$6:$D$1005,$A200,COMPRAS!$R$6:$R$1005,1),0))</f>
        <v/>
      </c>
      <c r="O200" s="43" t="str">
        <f aca="false">IF($A200="","",IF($N200&gt;0,$N200,$M200))</f>
        <v/>
      </c>
      <c r="P200" s="43" t="str">
        <f aca="false">IF($A200="","",IF(N($I200)&gt;0,$O200/$I200,$O200))</f>
        <v/>
      </c>
      <c r="Q200" s="34" t="str">
        <f aca="false">IF($A200="","",SUMIFS(COMPRAS!$I$6:$I$1005,COMPRAS!$D$6:$D$1005,$A200))</f>
        <v/>
      </c>
      <c r="R200" s="34" t="str">
        <f aca="false">IF($A200="","",SUMIFS(RECETAS!$L$6:$L$605,RECETAS!$C$6:$C$605,$A200))</f>
        <v/>
      </c>
      <c r="S200" s="34" t="str">
        <f aca="false">IF($A200="","",SUMIFS(MERMAS!$J$6:$J$505,MERMAS!$B$6:$B$505,$A200))</f>
        <v/>
      </c>
      <c r="T200" s="34" t="str">
        <f aca="false">IF($A200="","",N($L200)+$Q200-$R200+$S200)</f>
        <v/>
      </c>
      <c r="U200" s="35" t="str">
        <f aca="false">IF($A200="","",$T200*$O200)</f>
        <v/>
      </c>
      <c r="V200" s="42"/>
      <c r="W200" s="34" t="str">
        <f aca="false">IF(OR($A200="",$V200=""),"",$V200-$T200)</f>
        <v/>
      </c>
      <c r="X200" s="35" t="str">
        <f aca="false">IF($W200="","",$W200*$O200)</f>
        <v/>
      </c>
      <c r="Y200" s="8" t="str">
        <f aca="false">IF($A200="","",IF($T200&lt;=0,"AGOTADO",IF($T200&lt;=N($K200),"REORDENAR","OK")))</f>
        <v/>
      </c>
      <c r="Z200" s="34" t="str">
        <f aca="false">IF($A200="","",IF($T200&lt;=N($K200),ROUNDUP((2*N($K200)-$T200)/$F200,0),0))</f>
        <v/>
      </c>
      <c r="AA200" s="8" t="str">
        <f aca="false">IF(OR($Y200="REORDENAR",$Y200="AGOTADO"),ROW(),"")</f>
        <v/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39"/>
      <c r="G201" s="40"/>
      <c r="H201" s="41"/>
      <c r="I201" s="41"/>
      <c r="J201" s="6"/>
      <c r="K201" s="42"/>
      <c r="L201" s="42"/>
      <c r="M201" s="43" t="str">
        <f aca="false">IF($A201="","",IFERROR($G201/$F201,0))</f>
        <v/>
      </c>
      <c r="N201" s="43" t="str">
        <f aca="false">IF($A201="","",IFERROR(SUMIFS(COMPRAS!$N$6:$N$1005,COMPRAS!$D$6:$D$1005,$A201,COMPRAS!$R$6:$R$1005,1)/COUNTIFS(COMPRAS!$D$6:$D$1005,$A201,COMPRAS!$R$6:$R$1005,1),0))</f>
        <v/>
      </c>
      <c r="O201" s="43" t="str">
        <f aca="false">IF($A201="","",IF($N201&gt;0,$N201,$M201))</f>
        <v/>
      </c>
      <c r="P201" s="43" t="str">
        <f aca="false">IF($A201="","",IF(N($I201)&gt;0,$O201/$I201,$O201))</f>
        <v/>
      </c>
      <c r="Q201" s="34" t="str">
        <f aca="false">IF($A201="","",SUMIFS(COMPRAS!$I$6:$I$1005,COMPRAS!$D$6:$D$1005,$A201))</f>
        <v/>
      </c>
      <c r="R201" s="34" t="str">
        <f aca="false">IF($A201="","",SUMIFS(RECETAS!$L$6:$L$605,RECETAS!$C$6:$C$605,$A201))</f>
        <v/>
      </c>
      <c r="S201" s="34" t="str">
        <f aca="false">IF($A201="","",SUMIFS(MERMAS!$J$6:$J$505,MERMAS!$B$6:$B$505,$A201))</f>
        <v/>
      </c>
      <c r="T201" s="34" t="str">
        <f aca="false">IF($A201="","",N($L201)+$Q201-$R201+$S201)</f>
        <v/>
      </c>
      <c r="U201" s="35" t="str">
        <f aca="false">IF($A201="","",$T201*$O201)</f>
        <v/>
      </c>
      <c r="V201" s="42"/>
      <c r="W201" s="34" t="str">
        <f aca="false">IF(OR($A201="",$V201=""),"",$V201-$T201)</f>
        <v/>
      </c>
      <c r="X201" s="35" t="str">
        <f aca="false">IF($W201="","",$W201*$O201)</f>
        <v/>
      </c>
      <c r="Y201" s="8" t="str">
        <f aca="false">IF($A201="","",IF($T201&lt;=0,"AGOTADO",IF($T201&lt;=N($K201),"REORDENAR","OK")))</f>
        <v/>
      </c>
      <c r="Z201" s="34" t="str">
        <f aca="false">IF($A201="","",IF($T201&lt;=N($K201),ROUNDUP((2*N($K201)-$T201)/$F201,0),0))</f>
        <v/>
      </c>
      <c r="AA201" s="8" t="str">
        <f aca="false">IF(OR($Y201="REORDENAR",$Y201="AGOTADO"),ROW(),"")</f>
        <v/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39"/>
      <c r="G202" s="40"/>
      <c r="H202" s="41"/>
      <c r="I202" s="41"/>
      <c r="J202" s="6"/>
      <c r="K202" s="42"/>
      <c r="L202" s="42"/>
      <c r="M202" s="43" t="str">
        <f aca="false">IF($A202="","",IFERROR($G202/$F202,0))</f>
        <v/>
      </c>
      <c r="N202" s="43" t="str">
        <f aca="false">IF($A202="","",IFERROR(SUMIFS(COMPRAS!$N$6:$N$1005,COMPRAS!$D$6:$D$1005,$A202,COMPRAS!$R$6:$R$1005,1)/COUNTIFS(COMPRAS!$D$6:$D$1005,$A202,COMPRAS!$R$6:$R$1005,1),0))</f>
        <v/>
      </c>
      <c r="O202" s="43" t="str">
        <f aca="false">IF($A202="","",IF($N202&gt;0,$N202,$M202))</f>
        <v/>
      </c>
      <c r="P202" s="43" t="str">
        <f aca="false">IF($A202="","",IF(N($I202)&gt;0,$O202/$I202,$O202))</f>
        <v/>
      </c>
      <c r="Q202" s="34" t="str">
        <f aca="false">IF($A202="","",SUMIFS(COMPRAS!$I$6:$I$1005,COMPRAS!$D$6:$D$1005,$A202))</f>
        <v/>
      </c>
      <c r="R202" s="34" t="str">
        <f aca="false">IF($A202="","",SUMIFS(RECETAS!$L$6:$L$605,RECETAS!$C$6:$C$605,$A202))</f>
        <v/>
      </c>
      <c r="S202" s="34" t="str">
        <f aca="false">IF($A202="","",SUMIFS(MERMAS!$J$6:$J$505,MERMAS!$B$6:$B$505,$A202))</f>
        <v/>
      </c>
      <c r="T202" s="34" t="str">
        <f aca="false">IF($A202="","",N($L202)+$Q202-$R202+$S202)</f>
        <v/>
      </c>
      <c r="U202" s="35" t="str">
        <f aca="false">IF($A202="","",$T202*$O202)</f>
        <v/>
      </c>
      <c r="V202" s="42"/>
      <c r="W202" s="34" t="str">
        <f aca="false">IF(OR($A202="",$V202=""),"",$V202-$T202)</f>
        <v/>
      </c>
      <c r="X202" s="35" t="str">
        <f aca="false">IF($W202="","",$W202*$O202)</f>
        <v/>
      </c>
      <c r="Y202" s="8" t="str">
        <f aca="false">IF($A202="","",IF($T202&lt;=0,"AGOTADO",IF($T202&lt;=N($K202),"REORDENAR","OK")))</f>
        <v/>
      </c>
      <c r="Z202" s="34" t="str">
        <f aca="false">IF($A202="","",IF($T202&lt;=N($K202),ROUNDUP((2*N($K202)-$T202)/$F202,0),0))</f>
        <v/>
      </c>
      <c r="AA202" s="8" t="str">
        <f aca="false">IF(OR($Y202="REORDENAR",$Y202="AGOTADO"),ROW(),"")</f>
        <v/>
      </c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39"/>
      <c r="G203" s="40"/>
      <c r="H203" s="41"/>
      <c r="I203" s="41"/>
      <c r="J203" s="6"/>
      <c r="K203" s="42"/>
      <c r="L203" s="42"/>
      <c r="M203" s="43" t="str">
        <f aca="false">IF($A203="","",IFERROR($G203/$F203,0))</f>
        <v/>
      </c>
      <c r="N203" s="43" t="str">
        <f aca="false">IF($A203="","",IFERROR(SUMIFS(COMPRAS!$N$6:$N$1005,COMPRAS!$D$6:$D$1005,$A203,COMPRAS!$R$6:$R$1005,1)/COUNTIFS(COMPRAS!$D$6:$D$1005,$A203,COMPRAS!$R$6:$R$1005,1),0))</f>
        <v/>
      </c>
      <c r="O203" s="43" t="str">
        <f aca="false">IF($A203="","",IF($N203&gt;0,$N203,$M203))</f>
        <v/>
      </c>
      <c r="P203" s="43" t="str">
        <f aca="false">IF($A203="","",IF(N($I203)&gt;0,$O203/$I203,$O203))</f>
        <v/>
      </c>
      <c r="Q203" s="34" t="str">
        <f aca="false">IF($A203="","",SUMIFS(COMPRAS!$I$6:$I$1005,COMPRAS!$D$6:$D$1005,$A203))</f>
        <v/>
      </c>
      <c r="R203" s="34" t="str">
        <f aca="false">IF($A203="","",SUMIFS(RECETAS!$L$6:$L$605,RECETAS!$C$6:$C$605,$A203))</f>
        <v/>
      </c>
      <c r="S203" s="34" t="str">
        <f aca="false">IF($A203="","",SUMIFS(MERMAS!$J$6:$J$505,MERMAS!$B$6:$B$505,$A203))</f>
        <v/>
      </c>
      <c r="T203" s="34" t="str">
        <f aca="false">IF($A203="","",N($L203)+$Q203-$R203+$S203)</f>
        <v/>
      </c>
      <c r="U203" s="35" t="str">
        <f aca="false">IF($A203="","",$T203*$O203)</f>
        <v/>
      </c>
      <c r="V203" s="42"/>
      <c r="W203" s="34" t="str">
        <f aca="false">IF(OR($A203="",$V203=""),"",$V203-$T203)</f>
        <v/>
      </c>
      <c r="X203" s="35" t="str">
        <f aca="false">IF($W203="","",$W203*$O203)</f>
        <v/>
      </c>
      <c r="Y203" s="8" t="str">
        <f aca="false">IF($A203="","",IF($T203&lt;=0,"AGOTADO",IF($T203&lt;=N($K203),"REORDENAR","OK")))</f>
        <v/>
      </c>
      <c r="Z203" s="34" t="str">
        <f aca="false">IF($A203="","",IF($T203&lt;=N($K203),ROUNDUP((2*N($K203)-$T203)/$F203,0),0))</f>
        <v/>
      </c>
      <c r="AA203" s="8" t="str">
        <f aca="false">IF(OR($Y203="REORDENAR",$Y203="AGOTADO"),ROW(),"")</f>
        <v/>
      </c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39"/>
      <c r="G204" s="40"/>
      <c r="H204" s="41"/>
      <c r="I204" s="41"/>
      <c r="J204" s="6"/>
      <c r="K204" s="42"/>
      <c r="L204" s="42"/>
      <c r="M204" s="43" t="str">
        <f aca="false">IF($A204="","",IFERROR($G204/$F204,0))</f>
        <v/>
      </c>
      <c r="N204" s="43" t="str">
        <f aca="false">IF($A204="","",IFERROR(SUMIFS(COMPRAS!$N$6:$N$1005,COMPRAS!$D$6:$D$1005,$A204,COMPRAS!$R$6:$R$1005,1)/COUNTIFS(COMPRAS!$D$6:$D$1005,$A204,COMPRAS!$R$6:$R$1005,1),0))</f>
        <v/>
      </c>
      <c r="O204" s="43" t="str">
        <f aca="false">IF($A204="","",IF($N204&gt;0,$N204,$M204))</f>
        <v/>
      </c>
      <c r="P204" s="43" t="str">
        <f aca="false">IF($A204="","",IF(N($I204)&gt;0,$O204/$I204,$O204))</f>
        <v/>
      </c>
      <c r="Q204" s="34" t="str">
        <f aca="false">IF($A204="","",SUMIFS(COMPRAS!$I$6:$I$1005,COMPRAS!$D$6:$D$1005,$A204))</f>
        <v/>
      </c>
      <c r="R204" s="34" t="str">
        <f aca="false">IF($A204="","",SUMIFS(RECETAS!$L$6:$L$605,RECETAS!$C$6:$C$605,$A204))</f>
        <v/>
      </c>
      <c r="S204" s="34" t="str">
        <f aca="false">IF($A204="","",SUMIFS(MERMAS!$J$6:$J$505,MERMAS!$B$6:$B$505,$A204))</f>
        <v/>
      </c>
      <c r="T204" s="34" t="str">
        <f aca="false">IF($A204="","",N($L204)+$Q204-$R204+$S204)</f>
        <v/>
      </c>
      <c r="U204" s="35" t="str">
        <f aca="false">IF($A204="","",$T204*$O204)</f>
        <v/>
      </c>
      <c r="V204" s="42"/>
      <c r="W204" s="34" t="str">
        <f aca="false">IF(OR($A204="",$V204=""),"",$V204-$T204)</f>
        <v/>
      </c>
      <c r="X204" s="35" t="str">
        <f aca="false">IF($W204="","",$W204*$O204)</f>
        <v/>
      </c>
      <c r="Y204" s="8" t="str">
        <f aca="false">IF($A204="","",IF($T204&lt;=0,"AGOTADO",IF($T204&lt;=N($K204),"REORDENAR","OK")))</f>
        <v/>
      </c>
      <c r="Z204" s="34" t="str">
        <f aca="false">IF($A204="","",IF($T204&lt;=N($K204),ROUNDUP((2*N($K204)-$T204)/$F204,0),0))</f>
        <v/>
      </c>
      <c r="AA204" s="8" t="str">
        <f aca="false">IF(OR($Y204="REORDENAR",$Y204="AGOTADO"),ROW(),"")</f>
        <v/>
      </c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39"/>
      <c r="G205" s="40"/>
      <c r="H205" s="41"/>
      <c r="I205" s="41"/>
      <c r="J205" s="6"/>
      <c r="K205" s="42"/>
      <c r="L205" s="42"/>
      <c r="M205" s="43" t="str">
        <f aca="false">IF($A205="","",IFERROR($G205/$F205,0))</f>
        <v/>
      </c>
      <c r="N205" s="43" t="str">
        <f aca="false">IF($A205="","",IFERROR(SUMIFS(COMPRAS!$N$6:$N$1005,COMPRAS!$D$6:$D$1005,$A205,COMPRAS!$R$6:$R$1005,1)/COUNTIFS(COMPRAS!$D$6:$D$1005,$A205,COMPRAS!$R$6:$R$1005,1),0))</f>
        <v/>
      </c>
      <c r="O205" s="43" t="str">
        <f aca="false">IF($A205="","",IF($N205&gt;0,$N205,$M205))</f>
        <v/>
      </c>
      <c r="P205" s="43" t="str">
        <f aca="false">IF($A205="","",IF(N($I205)&gt;0,$O205/$I205,$O205))</f>
        <v/>
      </c>
      <c r="Q205" s="34" t="str">
        <f aca="false">IF($A205="","",SUMIFS(COMPRAS!$I$6:$I$1005,COMPRAS!$D$6:$D$1005,$A205))</f>
        <v/>
      </c>
      <c r="R205" s="34" t="str">
        <f aca="false">IF($A205="","",SUMIFS(RECETAS!$L$6:$L$605,RECETAS!$C$6:$C$605,$A205))</f>
        <v/>
      </c>
      <c r="S205" s="34" t="str">
        <f aca="false">IF($A205="","",SUMIFS(MERMAS!$J$6:$J$505,MERMAS!$B$6:$B$505,$A205))</f>
        <v/>
      </c>
      <c r="T205" s="34" t="str">
        <f aca="false">IF($A205="","",N($L205)+$Q205-$R205+$S205)</f>
        <v/>
      </c>
      <c r="U205" s="35" t="str">
        <f aca="false">IF($A205="","",$T205*$O205)</f>
        <v/>
      </c>
      <c r="V205" s="42"/>
      <c r="W205" s="34" t="str">
        <f aca="false">IF(OR($A205="",$V205=""),"",$V205-$T205)</f>
        <v/>
      </c>
      <c r="X205" s="35" t="str">
        <f aca="false">IF($W205="","",$W205*$O205)</f>
        <v/>
      </c>
      <c r="Y205" s="8" t="str">
        <f aca="false">IF($A205="","",IF($T205&lt;=0,"AGOTADO",IF($T205&lt;=N($K205),"REORDENAR","OK")))</f>
        <v/>
      </c>
      <c r="Z205" s="34" t="str">
        <f aca="false">IF($A205="","",IF($T205&lt;=N($K205),ROUNDUP((2*N($K205)-$T205)/$F205,0),0))</f>
        <v/>
      </c>
      <c r="AA205" s="8" t="str">
        <f aca="false">IF(OR($Y205="REORDENAR",$Y205="AGOTADO"),ROW(),"")</f>
        <v/>
      </c>
    </row>
  </sheetData>
  <autoFilter ref="A5:AA205"/>
  <conditionalFormatting sqref="Y6:Y205">
    <cfRule type="expression" priority="2" aboveAverage="0" equalAverage="0" bottom="0" percent="0" rank="0" text="" dxfId="1">
      <formula>$Y6="AGOTADO"</formula>
    </cfRule>
    <cfRule type="expression" priority="3" aboveAverage="0" equalAverage="0" bottom="0" percent="0" rank="0" text="" dxfId="2">
      <formula>$Y6="REORDENAR"</formula>
    </cfRule>
    <cfRule type="expression" priority="4" aboveAverage="0" equalAverage="0" bottom="0" percent="0" rank="0" text="" dxfId="3">
      <formula>$Y6="OK"</formula>
    </cfRule>
  </conditionalFormatting>
  <conditionalFormatting sqref="W6:X205">
    <cfRule type="expression" priority="5" aboveAverage="0" equalAverage="0" bottom="0" percent="0" rank="0" text="" dxfId="14">
      <formula>AND(ISNUMBER($W6),$W6&lt;0)</formula>
    </cfRule>
  </conditionalFormatting>
  <dataValidations count="2">
    <dataValidation allowBlank="true" error="Elija un valor de la lista" errorStyle="stop" operator="between" showDropDown="false" showErrorMessage="false" showInputMessage="false" sqref="C6:C205" type="list">
      <formula1>CONFIG!$F$6:$F$20</formula1>
      <formula2>0</formula2>
    </dataValidation>
    <dataValidation allowBlank="true" error="Elija un valor de la lista" errorStyle="stop" operator="between" showDropDown="false" showErrorMessage="false" showInputMessage="false" sqref="D6:D205" type="list">
      <formula1>CONFIG!$G$6:$G$20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8B"/>
    <pageSetUpPr fitToPage="false"/>
  </sheetPr>
  <dimension ref="A1:R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7" min="14" style="0" width="10"/>
    <col collapsed="false" customWidth="true" hidden="false" outlineLevel="0" max="18" min="18" style="0" width="9"/>
  </cols>
  <sheetData>
    <row r="1" customFormat="false" ht="19.7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4" customFormat="false" ht="15" hidden="false" customHeight="false" outlineLevel="0" collapsed="false">
      <c r="L4" s="3" t="s">
        <v>317</v>
      </c>
      <c r="M4" s="38" t="n">
        <f aca="false">SUMIFS(M6:M1005,P6:P1005,"Pendiente")</f>
        <v>51246</v>
      </c>
    </row>
    <row r="5" customFormat="false" ht="42" hidden="false" customHeight="true" outlineLevel="0" collapsed="false">
      <c r="A5" s="16" t="s">
        <v>318</v>
      </c>
      <c r="B5" s="16" t="s">
        <v>319</v>
      </c>
      <c r="C5" s="16" t="s">
        <v>193</v>
      </c>
      <c r="D5" s="16" t="s">
        <v>320</v>
      </c>
      <c r="E5" s="15" t="s">
        <v>191</v>
      </c>
      <c r="F5" s="15" t="s">
        <v>321</v>
      </c>
      <c r="G5" s="16" t="s">
        <v>322</v>
      </c>
      <c r="H5" s="15" t="s">
        <v>323</v>
      </c>
      <c r="I5" s="15" t="s">
        <v>324</v>
      </c>
      <c r="J5" s="16" t="s">
        <v>325</v>
      </c>
      <c r="K5" s="15" t="s">
        <v>326</v>
      </c>
      <c r="L5" s="15" t="s">
        <v>327</v>
      </c>
      <c r="M5" s="15" t="s">
        <v>328</v>
      </c>
      <c r="N5" s="15" t="s">
        <v>329</v>
      </c>
      <c r="O5" s="16" t="s">
        <v>330</v>
      </c>
      <c r="P5" s="16" t="s">
        <v>64</v>
      </c>
      <c r="Q5" s="15" t="s">
        <v>331</v>
      </c>
      <c r="R5" s="15" t="s">
        <v>332</v>
      </c>
    </row>
    <row r="6" customFormat="false" ht="15" hidden="false" customHeight="false" outlineLevel="0" collapsed="false">
      <c r="A6" s="44" t="n">
        <v>46296</v>
      </c>
      <c r="B6" s="6" t="s">
        <v>333</v>
      </c>
      <c r="C6" s="6" t="s">
        <v>229</v>
      </c>
      <c r="D6" s="6" t="s">
        <v>226</v>
      </c>
      <c r="E6" s="8" t="str">
        <f aca="false">IF($D6="","",IFERROR(INDEX(INSUMOS!$B$6:$B$205,MATCH($D6,INSUMOS!$A$6:$A$205,0)),"¿Código?"))</f>
        <v>Fresas frescas</v>
      </c>
      <c r="F6" s="8" t="str">
        <f aca="false">IF($D6="","",IFERROR(INDEX(INSUMOS!$E$6:$E$205,MATCH($D6,INSUMOS!$A$6:$A$205,0)),""))</f>
        <v>Caja 5 kg</v>
      </c>
      <c r="G6" s="39" t="n">
        <v>3</v>
      </c>
      <c r="H6" s="45" t="n">
        <f aca="false">IF($D6="","",IFERROR(INDEX(INSUMOS!$F$6:$F$205,MATCH($D6,INSUMOS!$A$6:$A$205,0)),0))</f>
        <v>5000</v>
      </c>
      <c r="I6" s="34" t="n">
        <f aca="false">IF($D6="","",N($G6)*$H6)</f>
        <v>15000</v>
      </c>
      <c r="J6" s="40" t="n">
        <v>42000</v>
      </c>
      <c r="K6" s="36" t="n">
        <f aca="false">IF($D6="","",IFERROR(INDEX(INSUMOS!$H$6:$H$205,MATCH($D6,INSUMOS!$A$6:$A$205,0)),IVA_VENTAS))</f>
        <v>0.01</v>
      </c>
      <c r="L6" s="35" t="n">
        <f aca="false">IF($D6="","",N($J6)*$K6)</f>
        <v>420</v>
      </c>
      <c r="M6" s="35" t="n">
        <f aca="false">IF($D6="","",N($J6)+$L6)</f>
        <v>42420</v>
      </c>
      <c r="N6" s="43" t="n">
        <f aca="false">IF($D6="","",IFERROR(N($J6)/$I6,0))</f>
        <v>2.8</v>
      </c>
      <c r="O6" s="6" t="s">
        <v>76</v>
      </c>
      <c r="P6" s="6" t="s">
        <v>77</v>
      </c>
      <c r="Q6" s="46" t="n">
        <f aca="false">IF($A6="","",DATE(YEAR($A6),MONTH($A6),1))</f>
        <v>46296</v>
      </c>
      <c r="R6" s="8" t="n">
        <f aca="false">IF(OR($A6="",$D6=""),"",IF(COUNTIFS($D$6:$D$1005,$D6,$A$6:$A$1005,"&gt;"&amp;$A6)=0,1,0))</f>
        <v>1</v>
      </c>
    </row>
    <row r="7" customFormat="false" ht="15" hidden="false" customHeight="false" outlineLevel="0" collapsed="false">
      <c r="A7" s="44" t="n">
        <v>46296</v>
      </c>
      <c r="B7" s="6" t="s">
        <v>333</v>
      </c>
      <c r="C7" s="6" t="s">
        <v>229</v>
      </c>
      <c r="D7" s="6" t="s">
        <v>230</v>
      </c>
      <c r="E7" s="8" t="str">
        <f aca="false">IF($D7="","",IFERROR(INDEX(INSUMOS!$B$6:$B$205,MATCH($D7,INSUMOS!$A$6:$A$205,0)),"¿Código?"))</f>
        <v>Mango maduro</v>
      </c>
      <c r="F7" s="8" t="str">
        <f aca="false">IF($D7="","",IFERROR(INDEX(INSUMOS!$E$6:$E$205,MATCH($D7,INSUMOS!$A$6:$A$205,0)),""))</f>
        <v>Kilo</v>
      </c>
      <c r="G7" s="39" t="n">
        <v>5</v>
      </c>
      <c r="H7" s="45" t="n">
        <f aca="false">IF($D7="","",IFERROR(INDEX(INSUMOS!$F$6:$F$205,MATCH($D7,INSUMOS!$A$6:$A$205,0)),0))</f>
        <v>1000</v>
      </c>
      <c r="I7" s="34" t="n">
        <f aca="false">IF($D7="","",N($G7)*$H7)</f>
        <v>5000</v>
      </c>
      <c r="J7" s="40" t="n">
        <v>6500</v>
      </c>
      <c r="K7" s="36" t="n">
        <f aca="false">IF($D7="","",IFERROR(INDEX(INSUMOS!$H$6:$H$205,MATCH($D7,INSUMOS!$A$6:$A$205,0)),IVA_VENTAS))</f>
        <v>0.01</v>
      </c>
      <c r="L7" s="35" t="n">
        <f aca="false">IF($D7="","",N($J7)*$K7)</f>
        <v>65</v>
      </c>
      <c r="M7" s="35" t="n">
        <f aca="false">IF($D7="","",N($J7)+$L7)</f>
        <v>6565</v>
      </c>
      <c r="N7" s="43" t="n">
        <f aca="false">IF($D7="","",IFERROR(N($J7)/$I7,0))</f>
        <v>1.3</v>
      </c>
      <c r="O7" s="6" t="s">
        <v>76</v>
      </c>
      <c r="P7" s="6" t="s">
        <v>77</v>
      </c>
      <c r="Q7" s="46" t="n">
        <f aca="false">IF($A7="","",DATE(YEAR($A7),MONTH($A7),1))</f>
        <v>46296</v>
      </c>
      <c r="R7" s="8" t="n">
        <f aca="false">IF(OR($A7="",$D7=""),"",IF(COUNTIFS($D$6:$D$1005,$D7,$A$6:$A$1005,"&gt;"&amp;$A7)=0,1,0))</f>
        <v>1</v>
      </c>
    </row>
    <row r="8" customFormat="false" ht="15" hidden="false" customHeight="false" outlineLevel="0" collapsed="false">
      <c r="A8" s="44" t="n">
        <v>46297</v>
      </c>
      <c r="B8" s="6" t="s">
        <v>334</v>
      </c>
      <c r="C8" s="6" t="s">
        <v>240</v>
      </c>
      <c r="D8" s="6" t="s">
        <v>237</v>
      </c>
      <c r="E8" s="8" t="str">
        <f aca="false">IF($D8="","",IFERROR(INDEX(INSUMOS!$B$6:$B$205,MATCH($D8,INSUMOS!$A$6:$A$205,0)),"¿Código?"))</f>
        <v>Crema dulce</v>
      </c>
      <c r="F8" s="8" t="str">
        <f aca="false">IF($D8="","",IFERROR(INDEX(INSUMOS!$E$6:$E$205,MATCH($D8,INSUMOS!$A$6:$A$205,0)),""))</f>
        <v>Caja 1 L</v>
      </c>
      <c r="G8" s="39" t="n">
        <v>12</v>
      </c>
      <c r="H8" s="45" t="n">
        <f aca="false">IF($D8="","",IFERROR(INDEX(INSUMOS!$F$6:$F$205,MATCH($D8,INSUMOS!$A$6:$A$205,0)),0))</f>
        <v>1000</v>
      </c>
      <c r="I8" s="34" t="n">
        <f aca="false">IF($D8="","",N($G8)*$H8)</f>
        <v>12000</v>
      </c>
      <c r="J8" s="40" t="n">
        <v>30600</v>
      </c>
      <c r="K8" s="36" t="n">
        <f aca="false">IF($D8="","",IFERROR(INDEX(INSUMOS!$H$6:$H$205,MATCH($D8,INSUMOS!$A$6:$A$205,0)),IVA_VENTAS))</f>
        <v>0.01</v>
      </c>
      <c r="L8" s="35" t="n">
        <f aca="false">IF($D8="","",N($J8)*$K8)</f>
        <v>306</v>
      </c>
      <c r="M8" s="35" t="n">
        <f aca="false">IF($D8="","",N($J8)+$L8)</f>
        <v>30906</v>
      </c>
      <c r="N8" s="43" t="n">
        <f aca="false">IF($D8="","",IFERROR(N($J8)/$I8,0))</f>
        <v>2.55</v>
      </c>
      <c r="O8" s="6" t="s">
        <v>88</v>
      </c>
      <c r="P8" s="6" t="s">
        <v>89</v>
      </c>
      <c r="Q8" s="46" t="n">
        <f aca="false">IF($A8="","",DATE(YEAR($A8),MONTH($A8),1))</f>
        <v>46296</v>
      </c>
      <c r="R8" s="8" t="n">
        <f aca="false">IF(OR($A8="",$D8=""),"",IF(COUNTIFS($D$6:$D$1005,$D8,$A$6:$A$1005,"&gt;"&amp;$A8)=0,1,0))</f>
        <v>1</v>
      </c>
    </row>
    <row r="9" customFormat="false" ht="15" hidden="false" customHeight="false" outlineLevel="0" collapsed="false">
      <c r="A9" s="44" t="n">
        <v>46297</v>
      </c>
      <c r="B9" s="6" t="s">
        <v>335</v>
      </c>
      <c r="C9" s="6" t="s">
        <v>244</v>
      </c>
      <c r="D9" s="6" t="s">
        <v>241</v>
      </c>
      <c r="E9" s="8" t="str">
        <f aca="false">IF($D9="","",IFERROR(INDEX(INSUMOS!$B$6:$B$205,MATCH($D9,INSUMOS!$A$6:$A$205,0)),"¿Código?"))</f>
        <v>Leche condensada</v>
      </c>
      <c r="F9" s="8" t="str">
        <f aca="false">IF($D9="","",IFERROR(INDEX(INSUMOS!$E$6:$E$205,MATCH($D9,INSUMOS!$A$6:$A$205,0)),""))</f>
        <v>Lata 397 g</v>
      </c>
      <c r="G9" s="39" t="n">
        <v>24</v>
      </c>
      <c r="H9" s="45" t="n">
        <f aca="false">IF($D9="","",IFERROR(INDEX(INSUMOS!$F$6:$F$205,MATCH($D9,INSUMOS!$A$6:$A$205,0)),0))</f>
        <v>397</v>
      </c>
      <c r="I9" s="34" t="n">
        <f aca="false">IF($D9="","",N($G9)*$H9)</f>
        <v>9528</v>
      </c>
      <c r="J9" s="40" t="n">
        <v>30000</v>
      </c>
      <c r="K9" s="36" t="n">
        <f aca="false">IF($D9="","",IFERROR(INDEX(INSUMOS!$H$6:$H$205,MATCH($D9,INSUMOS!$A$6:$A$205,0)),IVA_VENTAS))</f>
        <v>0.13</v>
      </c>
      <c r="L9" s="35" t="n">
        <f aca="false">IF($D9="","",N($J9)*$K9)</f>
        <v>3900</v>
      </c>
      <c r="M9" s="35" t="n">
        <f aca="false">IF($D9="","",N($J9)+$L9)</f>
        <v>33900</v>
      </c>
      <c r="N9" s="43" t="n">
        <f aca="false">IF($D9="","",IFERROR(N($J9)/$I9,0))</f>
        <v>3.14861460957179</v>
      </c>
      <c r="O9" s="6" t="s">
        <v>76</v>
      </c>
      <c r="P9" s="6" t="s">
        <v>77</v>
      </c>
      <c r="Q9" s="46" t="n">
        <f aca="false">IF($A9="","",DATE(YEAR($A9),MONTH($A9),1))</f>
        <v>46296</v>
      </c>
      <c r="R9" s="8" t="n">
        <f aca="false">IF(OR($A9="",$D9=""),"",IF(COUNTIFS($D$6:$D$1005,$D9,$A$6:$A$1005,"&gt;"&amp;$A9)=0,1,0))</f>
        <v>1</v>
      </c>
    </row>
    <row r="10" customFormat="false" ht="15" hidden="false" customHeight="false" outlineLevel="0" collapsed="false">
      <c r="A10" s="44" t="n">
        <v>46297</v>
      </c>
      <c r="B10" s="6" t="s">
        <v>335</v>
      </c>
      <c r="C10" s="6" t="s">
        <v>244</v>
      </c>
      <c r="D10" s="6" t="s">
        <v>251</v>
      </c>
      <c r="E10" s="8" t="str">
        <f aca="false">IF($D10="","",IFERROR(INDEX(INSUMOS!$B$6:$B$205,MATCH($D10,INSUMOS!$A$6:$A$205,0)),"¿Código?"))</f>
        <v>Galleta Oreo triturada</v>
      </c>
      <c r="F10" s="8" t="str">
        <f aca="false">IF($D10="","",IFERROR(INDEX(INSUMOS!$E$6:$E$205,MATCH($D10,INSUMOS!$A$6:$A$205,0)),""))</f>
        <v>Paquete 432 g</v>
      </c>
      <c r="G10" s="39" t="n">
        <v>4</v>
      </c>
      <c r="H10" s="45" t="n">
        <f aca="false">IF($D10="","",IFERROR(INDEX(INSUMOS!$F$6:$F$205,MATCH($D10,INSUMOS!$A$6:$A$205,0)),0))</f>
        <v>432</v>
      </c>
      <c r="I10" s="34" t="n">
        <f aca="false">IF($D10="","",N($G10)*$H10)</f>
        <v>1728</v>
      </c>
      <c r="J10" s="40" t="n">
        <v>10400</v>
      </c>
      <c r="K10" s="36" t="n">
        <f aca="false">IF($D10="","",IFERROR(INDEX(INSUMOS!$H$6:$H$205,MATCH($D10,INSUMOS!$A$6:$A$205,0)),IVA_VENTAS))</f>
        <v>0.13</v>
      </c>
      <c r="L10" s="35" t="n">
        <f aca="false">IF($D10="","",N($J10)*$K10)</f>
        <v>1352</v>
      </c>
      <c r="M10" s="35" t="n">
        <f aca="false">IF($D10="","",N($J10)+$L10)</f>
        <v>11752</v>
      </c>
      <c r="N10" s="43" t="n">
        <f aca="false">IF($D10="","",IFERROR(N($J10)/$I10,0))</f>
        <v>6.01851851851852</v>
      </c>
      <c r="O10" s="6" t="s">
        <v>76</v>
      </c>
      <c r="P10" s="6" t="s">
        <v>77</v>
      </c>
      <c r="Q10" s="46" t="n">
        <f aca="false">IF($A10="","",DATE(YEAR($A10),MONTH($A10),1))</f>
        <v>46296</v>
      </c>
      <c r="R10" s="8" t="n">
        <f aca="false">IF(OR($A10="",$D10=""),"",IF(COUNTIFS($D$6:$D$1005,$D10,$A$6:$A$1005,"&gt;"&amp;$A10)=0,1,0))</f>
        <v>1</v>
      </c>
    </row>
    <row r="11" customFormat="false" ht="15" hidden="false" customHeight="false" outlineLevel="0" collapsed="false">
      <c r="A11" s="44" t="n">
        <v>46298</v>
      </c>
      <c r="B11" s="6" t="s">
        <v>336</v>
      </c>
      <c r="C11" s="6" t="s">
        <v>285</v>
      </c>
      <c r="D11" s="6" t="s">
        <v>286</v>
      </c>
      <c r="E11" s="8" t="str">
        <f aca="false">IF($D11="","",IFERROR(INDEX(INSUMOS!$B$6:$B$205,MATCH($D11,INSUMOS!$A$6:$A$205,0)),"¿Código?"))</f>
        <v>Vaso 12 oz con tapa</v>
      </c>
      <c r="F11" s="8" t="str">
        <f aca="false">IF($D11="","",IFERROR(INDEX(INSUMOS!$E$6:$E$205,MATCH($D11,INSUMOS!$A$6:$A$205,0)),""))</f>
        <v>Paquete 50 u</v>
      </c>
      <c r="G11" s="39" t="n">
        <v>4</v>
      </c>
      <c r="H11" s="45" t="n">
        <f aca="false">IF($D11="","",IFERROR(INDEX(INSUMOS!$F$6:$F$205,MATCH($D11,INSUMOS!$A$6:$A$205,0)),0))</f>
        <v>50</v>
      </c>
      <c r="I11" s="34" t="n">
        <f aca="false">IF($D11="","",N($G11)*$H11)</f>
        <v>200</v>
      </c>
      <c r="J11" s="40" t="n">
        <v>18000</v>
      </c>
      <c r="K11" s="36" t="n">
        <f aca="false">IF($D11="","",IFERROR(INDEX(INSUMOS!$H$6:$H$205,MATCH($D11,INSUMOS!$A$6:$A$205,0)),IVA_VENTAS))</f>
        <v>0.13</v>
      </c>
      <c r="L11" s="35" t="n">
        <f aca="false">IF($D11="","",N($J11)*$K11)</f>
        <v>2340</v>
      </c>
      <c r="M11" s="35" t="n">
        <f aca="false">IF($D11="","",N($J11)+$L11)</f>
        <v>20340</v>
      </c>
      <c r="N11" s="43" t="n">
        <f aca="false">IF($D11="","",IFERROR(N($J11)/$I11,0))</f>
        <v>90</v>
      </c>
      <c r="O11" s="6" t="s">
        <v>88</v>
      </c>
      <c r="P11" s="6" t="s">
        <v>89</v>
      </c>
      <c r="Q11" s="46" t="n">
        <f aca="false">IF($A11="","",DATE(YEAR($A11),MONTH($A11),1))</f>
        <v>46296</v>
      </c>
      <c r="R11" s="8" t="n">
        <f aca="false">IF(OR($A11="",$D11=""),"",IF(COUNTIFS($D$6:$D$1005,$D11,$A$6:$A$1005,"&gt;"&amp;$A11)=0,1,0))</f>
        <v>1</v>
      </c>
    </row>
    <row r="12" customFormat="false" ht="15" hidden="false" customHeight="false" outlineLevel="0" collapsed="false">
      <c r="A12" s="44"/>
      <c r="B12" s="6"/>
      <c r="C12" s="6"/>
      <c r="D12" s="6"/>
      <c r="E12" s="8" t="str">
        <f aca="false">IF($D12="","",IFERROR(INDEX(INSUMOS!$B$6:$B$205,MATCH($D12,INSUMOS!$A$6:$A$205,0)),"¿Código?"))</f>
        <v/>
      </c>
      <c r="F12" s="8" t="str">
        <f aca="false">IF($D12="","",IFERROR(INDEX(INSUMOS!$E$6:$E$205,MATCH($D12,INSUMOS!$A$6:$A$205,0)),""))</f>
        <v/>
      </c>
      <c r="G12" s="39"/>
      <c r="H12" s="45" t="str">
        <f aca="false">IF($D12="","",IFERROR(INDEX(INSUMOS!$F$6:$F$205,MATCH($D12,INSUMOS!$A$6:$A$205,0)),0))</f>
        <v/>
      </c>
      <c r="I12" s="34" t="str">
        <f aca="false">IF($D12="","",N($G12)*$H12)</f>
        <v/>
      </c>
      <c r="J12" s="40"/>
      <c r="K12" s="36" t="str">
        <f aca="false">IF($D12="","",IFERROR(INDEX(INSUMOS!$H$6:$H$205,MATCH($D12,INSUMOS!$A$6:$A$205,0)),IVA_VENTAS))</f>
        <v/>
      </c>
      <c r="L12" s="35" t="str">
        <f aca="false">IF($D12="","",N($J12)*$K12)</f>
        <v/>
      </c>
      <c r="M12" s="35" t="str">
        <f aca="false">IF($D12="","",N($J12)+$L12)</f>
        <v/>
      </c>
      <c r="N12" s="43" t="str">
        <f aca="false">IF($D12="","",IFERROR(N($J12)/$I12,0))</f>
        <v/>
      </c>
      <c r="O12" s="6"/>
      <c r="P12" s="6"/>
      <c r="Q12" s="46" t="str">
        <f aca="false">IF($A12="","",DATE(YEAR($A12),MONTH($A12),1))</f>
        <v/>
      </c>
      <c r="R12" s="8" t="str">
        <f aca="false">IF(OR($A12="",$D12=""),"",IF(COUNTIFS($D$6:$D$1005,$D12,$A$6:$A$1005,"&gt;"&amp;$A12)=0,1,0))</f>
        <v/>
      </c>
    </row>
    <row r="13" customFormat="false" ht="15" hidden="false" customHeight="false" outlineLevel="0" collapsed="false">
      <c r="A13" s="44"/>
      <c r="B13" s="6"/>
      <c r="C13" s="6"/>
      <c r="D13" s="6"/>
      <c r="E13" s="8" t="str">
        <f aca="false">IF($D13="","",IFERROR(INDEX(INSUMOS!$B$6:$B$205,MATCH($D13,INSUMOS!$A$6:$A$205,0)),"¿Código?"))</f>
        <v/>
      </c>
      <c r="F13" s="8" t="str">
        <f aca="false">IF($D13="","",IFERROR(INDEX(INSUMOS!$E$6:$E$205,MATCH($D13,INSUMOS!$A$6:$A$205,0)),""))</f>
        <v/>
      </c>
      <c r="G13" s="39"/>
      <c r="H13" s="45" t="str">
        <f aca="false">IF($D13="","",IFERROR(INDEX(INSUMOS!$F$6:$F$205,MATCH($D13,INSUMOS!$A$6:$A$205,0)),0))</f>
        <v/>
      </c>
      <c r="I13" s="34" t="str">
        <f aca="false">IF($D13="","",N($G13)*$H13)</f>
        <v/>
      </c>
      <c r="J13" s="40"/>
      <c r="K13" s="36" t="str">
        <f aca="false">IF($D13="","",IFERROR(INDEX(INSUMOS!$H$6:$H$205,MATCH($D13,INSUMOS!$A$6:$A$205,0)),IVA_VENTAS))</f>
        <v/>
      </c>
      <c r="L13" s="35" t="str">
        <f aca="false">IF($D13="","",N($J13)*$K13)</f>
        <v/>
      </c>
      <c r="M13" s="35" t="str">
        <f aca="false">IF($D13="","",N($J13)+$L13)</f>
        <v/>
      </c>
      <c r="N13" s="43" t="str">
        <f aca="false">IF($D13="","",IFERROR(N($J13)/$I13,0))</f>
        <v/>
      </c>
      <c r="O13" s="6"/>
      <c r="P13" s="6"/>
      <c r="Q13" s="46" t="str">
        <f aca="false">IF($A13="","",DATE(YEAR($A13),MONTH($A13),1))</f>
        <v/>
      </c>
      <c r="R13" s="8" t="str">
        <f aca="false">IF(OR($A13="",$D13=""),"",IF(COUNTIFS($D$6:$D$1005,$D13,$A$6:$A$1005,"&gt;"&amp;$A13)=0,1,0))</f>
        <v/>
      </c>
    </row>
    <row r="14" customFormat="false" ht="15" hidden="false" customHeight="false" outlineLevel="0" collapsed="false">
      <c r="A14" s="44"/>
      <c r="B14" s="6"/>
      <c r="C14" s="6"/>
      <c r="D14" s="6"/>
      <c r="E14" s="8" t="str">
        <f aca="false">IF($D14="","",IFERROR(INDEX(INSUMOS!$B$6:$B$205,MATCH($D14,INSUMOS!$A$6:$A$205,0)),"¿Código?"))</f>
        <v/>
      </c>
      <c r="F14" s="8" t="str">
        <f aca="false">IF($D14="","",IFERROR(INDEX(INSUMOS!$E$6:$E$205,MATCH($D14,INSUMOS!$A$6:$A$205,0)),""))</f>
        <v/>
      </c>
      <c r="G14" s="39"/>
      <c r="H14" s="45" t="str">
        <f aca="false">IF($D14="","",IFERROR(INDEX(INSUMOS!$F$6:$F$205,MATCH($D14,INSUMOS!$A$6:$A$205,0)),0))</f>
        <v/>
      </c>
      <c r="I14" s="34" t="str">
        <f aca="false">IF($D14="","",N($G14)*$H14)</f>
        <v/>
      </c>
      <c r="J14" s="40"/>
      <c r="K14" s="36" t="str">
        <f aca="false">IF($D14="","",IFERROR(INDEX(INSUMOS!$H$6:$H$205,MATCH($D14,INSUMOS!$A$6:$A$205,0)),IVA_VENTAS))</f>
        <v/>
      </c>
      <c r="L14" s="35" t="str">
        <f aca="false">IF($D14="","",N($J14)*$K14)</f>
        <v/>
      </c>
      <c r="M14" s="35" t="str">
        <f aca="false">IF($D14="","",N($J14)+$L14)</f>
        <v/>
      </c>
      <c r="N14" s="43" t="str">
        <f aca="false">IF($D14="","",IFERROR(N($J14)/$I14,0))</f>
        <v/>
      </c>
      <c r="O14" s="6"/>
      <c r="P14" s="6"/>
      <c r="Q14" s="46" t="str">
        <f aca="false">IF($A14="","",DATE(YEAR($A14),MONTH($A14),1))</f>
        <v/>
      </c>
      <c r="R14" s="8" t="str">
        <f aca="false">IF(OR($A14="",$D14=""),"",IF(COUNTIFS($D$6:$D$1005,$D14,$A$6:$A$1005,"&gt;"&amp;$A14)=0,1,0))</f>
        <v/>
      </c>
    </row>
    <row r="15" customFormat="false" ht="15" hidden="false" customHeight="false" outlineLevel="0" collapsed="false">
      <c r="A15" s="44"/>
      <c r="B15" s="6"/>
      <c r="C15" s="6"/>
      <c r="D15" s="6"/>
      <c r="E15" s="8" t="str">
        <f aca="false">IF($D15="","",IFERROR(INDEX(INSUMOS!$B$6:$B$205,MATCH($D15,INSUMOS!$A$6:$A$205,0)),"¿Código?"))</f>
        <v/>
      </c>
      <c r="F15" s="8" t="str">
        <f aca="false">IF($D15="","",IFERROR(INDEX(INSUMOS!$E$6:$E$205,MATCH($D15,INSUMOS!$A$6:$A$205,0)),""))</f>
        <v/>
      </c>
      <c r="G15" s="39"/>
      <c r="H15" s="45" t="str">
        <f aca="false">IF($D15="","",IFERROR(INDEX(INSUMOS!$F$6:$F$205,MATCH($D15,INSUMOS!$A$6:$A$205,0)),0))</f>
        <v/>
      </c>
      <c r="I15" s="34" t="str">
        <f aca="false">IF($D15="","",N($G15)*$H15)</f>
        <v/>
      </c>
      <c r="J15" s="40"/>
      <c r="K15" s="36" t="str">
        <f aca="false">IF($D15="","",IFERROR(INDEX(INSUMOS!$H$6:$H$205,MATCH($D15,INSUMOS!$A$6:$A$205,0)),IVA_VENTAS))</f>
        <v/>
      </c>
      <c r="L15" s="35" t="str">
        <f aca="false">IF($D15="","",N($J15)*$K15)</f>
        <v/>
      </c>
      <c r="M15" s="35" t="str">
        <f aca="false">IF($D15="","",N($J15)+$L15)</f>
        <v/>
      </c>
      <c r="N15" s="43" t="str">
        <f aca="false">IF($D15="","",IFERROR(N($J15)/$I15,0))</f>
        <v/>
      </c>
      <c r="O15" s="6"/>
      <c r="P15" s="6"/>
      <c r="Q15" s="46" t="str">
        <f aca="false">IF($A15="","",DATE(YEAR($A15),MONTH($A15),1))</f>
        <v/>
      </c>
      <c r="R15" s="8" t="str">
        <f aca="false">IF(OR($A15="",$D15=""),"",IF(COUNTIFS($D$6:$D$1005,$D15,$A$6:$A$1005,"&gt;"&amp;$A15)=0,1,0))</f>
        <v/>
      </c>
    </row>
    <row r="16" customFormat="false" ht="15" hidden="false" customHeight="false" outlineLevel="0" collapsed="false">
      <c r="A16" s="44"/>
      <c r="B16" s="6"/>
      <c r="C16" s="6"/>
      <c r="D16" s="6"/>
      <c r="E16" s="8" t="str">
        <f aca="false">IF($D16="","",IFERROR(INDEX(INSUMOS!$B$6:$B$205,MATCH($D16,INSUMOS!$A$6:$A$205,0)),"¿Código?"))</f>
        <v/>
      </c>
      <c r="F16" s="8" t="str">
        <f aca="false">IF($D16="","",IFERROR(INDEX(INSUMOS!$E$6:$E$205,MATCH($D16,INSUMOS!$A$6:$A$205,0)),""))</f>
        <v/>
      </c>
      <c r="G16" s="39"/>
      <c r="H16" s="45" t="str">
        <f aca="false">IF($D16="","",IFERROR(INDEX(INSUMOS!$F$6:$F$205,MATCH($D16,INSUMOS!$A$6:$A$205,0)),0))</f>
        <v/>
      </c>
      <c r="I16" s="34" t="str">
        <f aca="false">IF($D16="","",N($G16)*$H16)</f>
        <v/>
      </c>
      <c r="J16" s="40"/>
      <c r="K16" s="36" t="str">
        <f aca="false">IF($D16="","",IFERROR(INDEX(INSUMOS!$H$6:$H$205,MATCH($D16,INSUMOS!$A$6:$A$205,0)),IVA_VENTAS))</f>
        <v/>
      </c>
      <c r="L16" s="35" t="str">
        <f aca="false">IF($D16="","",N($J16)*$K16)</f>
        <v/>
      </c>
      <c r="M16" s="35" t="str">
        <f aca="false">IF($D16="","",N($J16)+$L16)</f>
        <v/>
      </c>
      <c r="N16" s="43" t="str">
        <f aca="false">IF($D16="","",IFERROR(N($J16)/$I16,0))</f>
        <v/>
      </c>
      <c r="O16" s="6"/>
      <c r="P16" s="6"/>
      <c r="Q16" s="46" t="str">
        <f aca="false">IF($A16="","",DATE(YEAR($A16),MONTH($A16),1))</f>
        <v/>
      </c>
      <c r="R16" s="8" t="str">
        <f aca="false">IF(OR($A16="",$D16=""),"",IF(COUNTIFS($D$6:$D$1005,$D16,$A$6:$A$1005,"&gt;"&amp;$A16)=0,1,0))</f>
        <v/>
      </c>
    </row>
    <row r="17" customFormat="false" ht="15" hidden="false" customHeight="false" outlineLevel="0" collapsed="false">
      <c r="A17" s="44"/>
      <c r="B17" s="6"/>
      <c r="C17" s="6"/>
      <c r="D17" s="6"/>
      <c r="E17" s="8" t="str">
        <f aca="false">IF($D17="","",IFERROR(INDEX(INSUMOS!$B$6:$B$205,MATCH($D17,INSUMOS!$A$6:$A$205,0)),"¿Código?"))</f>
        <v/>
      </c>
      <c r="F17" s="8" t="str">
        <f aca="false">IF($D17="","",IFERROR(INDEX(INSUMOS!$E$6:$E$205,MATCH($D17,INSUMOS!$A$6:$A$205,0)),""))</f>
        <v/>
      </c>
      <c r="G17" s="39"/>
      <c r="H17" s="45" t="str">
        <f aca="false">IF($D17="","",IFERROR(INDEX(INSUMOS!$F$6:$F$205,MATCH($D17,INSUMOS!$A$6:$A$205,0)),0))</f>
        <v/>
      </c>
      <c r="I17" s="34" t="str">
        <f aca="false">IF($D17="","",N($G17)*$H17)</f>
        <v/>
      </c>
      <c r="J17" s="40"/>
      <c r="K17" s="36" t="str">
        <f aca="false">IF($D17="","",IFERROR(INDEX(INSUMOS!$H$6:$H$205,MATCH($D17,INSUMOS!$A$6:$A$205,0)),IVA_VENTAS))</f>
        <v/>
      </c>
      <c r="L17" s="35" t="str">
        <f aca="false">IF($D17="","",N($J17)*$K17)</f>
        <v/>
      </c>
      <c r="M17" s="35" t="str">
        <f aca="false">IF($D17="","",N($J17)+$L17)</f>
        <v/>
      </c>
      <c r="N17" s="43" t="str">
        <f aca="false">IF($D17="","",IFERROR(N($J17)/$I17,0))</f>
        <v/>
      </c>
      <c r="O17" s="6"/>
      <c r="P17" s="6"/>
      <c r="Q17" s="46" t="str">
        <f aca="false">IF($A17="","",DATE(YEAR($A17),MONTH($A17),1))</f>
        <v/>
      </c>
      <c r="R17" s="8" t="str">
        <f aca="false">IF(OR($A17="",$D17=""),"",IF(COUNTIFS($D$6:$D$1005,$D17,$A$6:$A$1005,"&gt;"&amp;$A17)=0,1,0))</f>
        <v/>
      </c>
    </row>
    <row r="18" customFormat="false" ht="15" hidden="false" customHeight="false" outlineLevel="0" collapsed="false">
      <c r="A18" s="44"/>
      <c r="B18" s="6"/>
      <c r="C18" s="6"/>
      <c r="D18" s="6"/>
      <c r="E18" s="8" t="str">
        <f aca="false">IF($D18="","",IFERROR(INDEX(INSUMOS!$B$6:$B$205,MATCH($D18,INSUMOS!$A$6:$A$205,0)),"¿Código?"))</f>
        <v/>
      </c>
      <c r="F18" s="8" t="str">
        <f aca="false">IF($D18="","",IFERROR(INDEX(INSUMOS!$E$6:$E$205,MATCH($D18,INSUMOS!$A$6:$A$205,0)),""))</f>
        <v/>
      </c>
      <c r="G18" s="39"/>
      <c r="H18" s="45" t="str">
        <f aca="false">IF($D18="","",IFERROR(INDEX(INSUMOS!$F$6:$F$205,MATCH($D18,INSUMOS!$A$6:$A$205,0)),0))</f>
        <v/>
      </c>
      <c r="I18" s="34" t="str">
        <f aca="false">IF($D18="","",N($G18)*$H18)</f>
        <v/>
      </c>
      <c r="J18" s="40"/>
      <c r="K18" s="36" t="str">
        <f aca="false">IF($D18="","",IFERROR(INDEX(INSUMOS!$H$6:$H$205,MATCH($D18,INSUMOS!$A$6:$A$205,0)),IVA_VENTAS))</f>
        <v/>
      </c>
      <c r="L18" s="35" t="str">
        <f aca="false">IF($D18="","",N($J18)*$K18)</f>
        <v/>
      </c>
      <c r="M18" s="35" t="str">
        <f aca="false">IF($D18="","",N($J18)+$L18)</f>
        <v/>
      </c>
      <c r="N18" s="43" t="str">
        <f aca="false">IF($D18="","",IFERROR(N($J18)/$I18,0))</f>
        <v/>
      </c>
      <c r="O18" s="6"/>
      <c r="P18" s="6"/>
      <c r="Q18" s="46" t="str">
        <f aca="false">IF($A18="","",DATE(YEAR($A18),MONTH($A18),1))</f>
        <v/>
      </c>
      <c r="R18" s="8" t="str">
        <f aca="false">IF(OR($A18="",$D18=""),"",IF(COUNTIFS($D$6:$D$1005,$D18,$A$6:$A$1005,"&gt;"&amp;$A18)=0,1,0))</f>
        <v/>
      </c>
    </row>
    <row r="19" customFormat="false" ht="15" hidden="false" customHeight="false" outlineLevel="0" collapsed="false">
      <c r="A19" s="44"/>
      <c r="B19" s="6"/>
      <c r="C19" s="6"/>
      <c r="D19" s="6"/>
      <c r="E19" s="8" t="str">
        <f aca="false">IF($D19="","",IFERROR(INDEX(INSUMOS!$B$6:$B$205,MATCH($D19,INSUMOS!$A$6:$A$205,0)),"¿Código?"))</f>
        <v/>
      </c>
      <c r="F19" s="8" t="str">
        <f aca="false">IF($D19="","",IFERROR(INDEX(INSUMOS!$E$6:$E$205,MATCH($D19,INSUMOS!$A$6:$A$205,0)),""))</f>
        <v/>
      </c>
      <c r="G19" s="39"/>
      <c r="H19" s="45" t="str">
        <f aca="false">IF($D19="","",IFERROR(INDEX(INSUMOS!$F$6:$F$205,MATCH($D19,INSUMOS!$A$6:$A$205,0)),0))</f>
        <v/>
      </c>
      <c r="I19" s="34" t="str">
        <f aca="false">IF($D19="","",N($G19)*$H19)</f>
        <v/>
      </c>
      <c r="J19" s="40"/>
      <c r="K19" s="36" t="str">
        <f aca="false">IF($D19="","",IFERROR(INDEX(INSUMOS!$H$6:$H$205,MATCH($D19,INSUMOS!$A$6:$A$205,0)),IVA_VENTAS))</f>
        <v/>
      </c>
      <c r="L19" s="35" t="str">
        <f aca="false">IF($D19="","",N($J19)*$K19)</f>
        <v/>
      </c>
      <c r="M19" s="35" t="str">
        <f aca="false">IF($D19="","",N($J19)+$L19)</f>
        <v/>
      </c>
      <c r="N19" s="43" t="str">
        <f aca="false">IF($D19="","",IFERROR(N($J19)/$I19,0))</f>
        <v/>
      </c>
      <c r="O19" s="6"/>
      <c r="P19" s="6"/>
      <c r="Q19" s="46" t="str">
        <f aca="false">IF($A19="","",DATE(YEAR($A19),MONTH($A19),1))</f>
        <v/>
      </c>
      <c r="R19" s="8" t="str">
        <f aca="false">IF(OR($A19="",$D19=""),"",IF(COUNTIFS($D$6:$D$1005,$D19,$A$6:$A$1005,"&gt;"&amp;$A19)=0,1,0))</f>
        <v/>
      </c>
    </row>
    <row r="20" customFormat="false" ht="15" hidden="false" customHeight="false" outlineLevel="0" collapsed="false">
      <c r="A20" s="44"/>
      <c r="B20" s="6"/>
      <c r="C20" s="6"/>
      <c r="D20" s="6"/>
      <c r="E20" s="8" t="str">
        <f aca="false">IF($D20="","",IFERROR(INDEX(INSUMOS!$B$6:$B$205,MATCH($D20,INSUMOS!$A$6:$A$205,0)),"¿Código?"))</f>
        <v/>
      </c>
      <c r="F20" s="8" t="str">
        <f aca="false">IF($D20="","",IFERROR(INDEX(INSUMOS!$E$6:$E$205,MATCH($D20,INSUMOS!$A$6:$A$205,0)),""))</f>
        <v/>
      </c>
      <c r="G20" s="39"/>
      <c r="H20" s="45" t="str">
        <f aca="false">IF($D20="","",IFERROR(INDEX(INSUMOS!$F$6:$F$205,MATCH($D20,INSUMOS!$A$6:$A$205,0)),0))</f>
        <v/>
      </c>
      <c r="I20" s="34" t="str">
        <f aca="false">IF($D20="","",N($G20)*$H20)</f>
        <v/>
      </c>
      <c r="J20" s="40"/>
      <c r="K20" s="36" t="str">
        <f aca="false">IF($D20="","",IFERROR(INDEX(INSUMOS!$H$6:$H$205,MATCH($D20,INSUMOS!$A$6:$A$205,0)),IVA_VENTAS))</f>
        <v/>
      </c>
      <c r="L20" s="35" t="str">
        <f aca="false">IF($D20="","",N($J20)*$K20)</f>
        <v/>
      </c>
      <c r="M20" s="35" t="str">
        <f aca="false">IF($D20="","",N($J20)+$L20)</f>
        <v/>
      </c>
      <c r="N20" s="43" t="str">
        <f aca="false">IF($D20="","",IFERROR(N($J20)/$I20,0))</f>
        <v/>
      </c>
      <c r="O20" s="6"/>
      <c r="P20" s="6"/>
      <c r="Q20" s="46" t="str">
        <f aca="false">IF($A20="","",DATE(YEAR($A20),MONTH($A20),1))</f>
        <v/>
      </c>
      <c r="R20" s="8" t="str">
        <f aca="false">IF(OR($A20="",$D20=""),"",IF(COUNTIFS($D$6:$D$1005,$D20,$A$6:$A$1005,"&gt;"&amp;$A20)=0,1,0))</f>
        <v/>
      </c>
    </row>
    <row r="21" customFormat="false" ht="15" hidden="false" customHeight="false" outlineLevel="0" collapsed="false">
      <c r="A21" s="44"/>
      <c r="B21" s="6"/>
      <c r="C21" s="6"/>
      <c r="D21" s="6"/>
      <c r="E21" s="8" t="str">
        <f aca="false">IF($D21="","",IFERROR(INDEX(INSUMOS!$B$6:$B$205,MATCH($D21,INSUMOS!$A$6:$A$205,0)),"¿Código?"))</f>
        <v/>
      </c>
      <c r="F21" s="8" t="str">
        <f aca="false">IF($D21="","",IFERROR(INDEX(INSUMOS!$E$6:$E$205,MATCH($D21,INSUMOS!$A$6:$A$205,0)),""))</f>
        <v/>
      </c>
      <c r="G21" s="39"/>
      <c r="H21" s="45" t="str">
        <f aca="false">IF($D21="","",IFERROR(INDEX(INSUMOS!$F$6:$F$205,MATCH($D21,INSUMOS!$A$6:$A$205,0)),0))</f>
        <v/>
      </c>
      <c r="I21" s="34" t="str">
        <f aca="false">IF($D21="","",N($G21)*$H21)</f>
        <v/>
      </c>
      <c r="J21" s="40"/>
      <c r="K21" s="36" t="str">
        <f aca="false">IF($D21="","",IFERROR(INDEX(INSUMOS!$H$6:$H$205,MATCH($D21,INSUMOS!$A$6:$A$205,0)),IVA_VENTAS))</f>
        <v/>
      </c>
      <c r="L21" s="35" t="str">
        <f aca="false">IF($D21="","",N($J21)*$K21)</f>
        <v/>
      </c>
      <c r="M21" s="35" t="str">
        <f aca="false">IF($D21="","",N($J21)+$L21)</f>
        <v/>
      </c>
      <c r="N21" s="43" t="str">
        <f aca="false">IF($D21="","",IFERROR(N($J21)/$I21,0))</f>
        <v/>
      </c>
      <c r="O21" s="6"/>
      <c r="P21" s="6"/>
      <c r="Q21" s="46" t="str">
        <f aca="false">IF($A21="","",DATE(YEAR($A21),MONTH($A21),1))</f>
        <v/>
      </c>
      <c r="R21" s="8" t="str">
        <f aca="false">IF(OR($A21="",$D21=""),"",IF(COUNTIFS($D$6:$D$1005,$D21,$A$6:$A$1005,"&gt;"&amp;$A21)=0,1,0))</f>
        <v/>
      </c>
    </row>
    <row r="22" customFormat="false" ht="15" hidden="false" customHeight="false" outlineLevel="0" collapsed="false">
      <c r="A22" s="44"/>
      <c r="B22" s="6"/>
      <c r="C22" s="6"/>
      <c r="D22" s="6"/>
      <c r="E22" s="8" t="str">
        <f aca="false">IF($D22="","",IFERROR(INDEX(INSUMOS!$B$6:$B$205,MATCH($D22,INSUMOS!$A$6:$A$205,0)),"¿Código?"))</f>
        <v/>
      </c>
      <c r="F22" s="8" t="str">
        <f aca="false">IF($D22="","",IFERROR(INDEX(INSUMOS!$E$6:$E$205,MATCH($D22,INSUMOS!$A$6:$A$205,0)),""))</f>
        <v/>
      </c>
      <c r="G22" s="39"/>
      <c r="H22" s="45" t="str">
        <f aca="false">IF($D22="","",IFERROR(INDEX(INSUMOS!$F$6:$F$205,MATCH($D22,INSUMOS!$A$6:$A$205,0)),0))</f>
        <v/>
      </c>
      <c r="I22" s="34" t="str">
        <f aca="false">IF($D22="","",N($G22)*$H22)</f>
        <v/>
      </c>
      <c r="J22" s="40"/>
      <c r="K22" s="36" t="str">
        <f aca="false">IF($D22="","",IFERROR(INDEX(INSUMOS!$H$6:$H$205,MATCH($D22,INSUMOS!$A$6:$A$205,0)),IVA_VENTAS))</f>
        <v/>
      </c>
      <c r="L22" s="35" t="str">
        <f aca="false">IF($D22="","",N($J22)*$K22)</f>
        <v/>
      </c>
      <c r="M22" s="35" t="str">
        <f aca="false">IF($D22="","",N($J22)+$L22)</f>
        <v/>
      </c>
      <c r="N22" s="43" t="str">
        <f aca="false">IF($D22="","",IFERROR(N($J22)/$I22,0))</f>
        <v/>
      </c>
      <c r="O22" s="6"/>
      <c r="P22" s="6"/>
      <c r="Q22" s="46" t="str">
        <f aca="false">IF($A22="","",DATE(YEAR($A22),MONTH($A22),1))</f>
        <v/>
      </c>
      <c r="R22" s="8" t="str">
        <f aca="false">IF(OR($A22="",$D22=""),"",IF(COUNTIFS($D$6:$D$1005,$D22,$A$6:$A$1005,"&gt;"&amp;$A22)=0,1,0))</f>
        <v/>
      </c>
    </row>
    <row r="23" customFormat="false" ht="15" hidden="false" customHeight="false" outlineLevel="0" collapsed="false">
      <c r="A23" s="44"/>
      <c r="B23" s="6"/>
      <c r="C23" s="6"/>
      <c r="D23" s="6"/>
      <c r="E23" s="8" t="str">
        <f aca="false">IF($D23="","",IFERROR(INDEX(INSUMOS!$B$6:$B$205,MATCH($D23,INSUMOS!$A$6:$A$205,0)),"¿Código?"))</f>
        <v/>
      </c>
      <c r="F23" s="8" t="str">
        <f aca="false">IF($D23="","",IFERROR(INDEX(INSUMOS!$E$6:$E$205,MATCH($D23,INSUMOS!$A$6:$A$205,0)),""))</f>
        <v/>
      </c>
      <c r="G23" s="39"/>
      <c r="H23" s="45" t="str">
        <f aca="false">IF($D23="","",IFERROR(INDEX(INSUMOS!$F$6:$F$205,MATCH($D23,INSUMOS!$A$6:$A$205,0)),0))</f>
        <v/>
      </c>
      <c r="I23" s="34" t="str">
        <f aca="false">IF($D23="","",N($G23)*$H23)</f>
        <v/>
      </c>
      <c r="J23" s="40"/>
      <c r="K23" s="36" t="str">
        <f aca="false">IF($D23="","",IFERROR(INDEX(INSUMOS!$H$6:$H$205,MATCH($D23,INSUMOS!$A$6:$A$205,0)),IVA_VENTAS))</f>
        <v/>
      </c>
      <c r="L23" s="35" t="str">
        <f aca="false">IF($D23="","",N($J23)*$K23)</f>
        <v/>
      </c>
      <c r="M23" s="35" t="str">
        <f aca="false">IF($D23="","",N($J23)+$L23)</f>
        <v/>
      </c>
      <c r="N23" s="43" t="str">
        <f aca="false">IF($D23="","",IFERROR(N($J23)/$I23,0))</f>
        <v/>
      </c>
      <c r="O23" s="6"/>
      <c r="P23" s="6"/>
      <c r="Q23" s="46" t="str">
        <f aca="false">IF($A23="","",DATE(YEAR($A23),MONTH($A23),1))</f>
        <v/>
      </c>
      <c r="R23" s="8" t="str">
        <f aca="false">IF(OR($A23="",$D23=""),"",IF(COUNTIFS($D$6:$D$1005,$D23,$A$6:$A$1005,"&gt;"&amp;$A23)=0,1,0))</f>
        <v/>
      </c>
    </row>
    <row r="24" customFormat="false" ht="15" hidden="false" customHeight="false" outlineLevel="0" collapsed="false">
      <c r="A24" s="44"/>
      <c r="B24" s="6"/>
      <c r="C24" s="6"/>
      <c r="D24" s="6"/>
      <c r="E24" s="8" t="str">
        <f aca="false">IF($D24="","",IFERROR(INDEX(INSUMOS!$B$6:$B$205,MATCH($D24,INSUMOS!$A$6:$A$205,0)),"¿Código?"))</f>
        <v/>
      </c>
      <c r="F24" s="8" t="str">
        <f aca="false">IF($D24="","",IFERROR(INDEX(INSUMOS!$E$6:$E$205,MATCH($D24,INSUMOS!$A$6:$A$205,0)),""))</f>
        <v/>
      </c>
      <c r="G24" s="39"/>
      <c r="H24" s="45" t="str">
        <f aca="false">IF($D24="","",IFERROR(INDEX(INSUMOS!$F$6:$F$205,MATCH($D24,INSUMOS!$A$6:$A$205,0)),0))</f>
        <v/>
      </c>
      <c r="I24" s="34" t="str">
        <f aca="false">IF($D24="","",N($G24)*$H24)</f>
        <v/>
      </c>
      <c r="J24" s="40"/>
      <c r="K24" s="36" t="str">
        <f aca="false">IF($D24="","",IFERROR(INDEX(INSUMOS!$H$6:$H$205,MATCH($D24,INSUMOS!$A$6:$A$205,0)),IVA_VENTAS))</f>
        <v/>
      </c>
      <c r="L24" s="35" t="str">
        <f aca="false">IF($D24="","",N($J24)*$K24)</f>
        <v/>
      </c>
      <c r="M24" s="35" t="str">
        <f aca="false">IF($D24="","",N($J24)+$L24)</f>
        <v/>
      </c>
      <c r="N24" s="43" t="str">
        <f aca="false">IF($D24="","",IFERROR(N($J24)/$I24,0))</f>
        <v/>
      </c>
      <c r="O24" s="6"/>
      <c r="P24" s="6"/>
      <c r="Q24" s="46" t="str">
        <f aca="false">IF($A24="","",DATE(YEAR($A24),MONTH($A24),1))</f>
        <v/>
      </c>
      <c r="R24" s="8" t="str">
        <f aca="false">IF(OR($A24="",$D24=""),"",IF(COUNTIFS($D$6:$D$1005,$D24,$A$6:$A$1005,"&gt;"&amp;$A24)=0,1,0))</f>
        <v/>
      </c>
    </row>
    <row r="25" customFormat="false" ht="15" hidden="false" customHeight="false" outlineLevel="0" collapsed="false">
      <c r="A25" s="44"/>
      <c r="B25" s="6"/>
      <c r="C25" s="6"/>
      <c r="D25" s="6"/>
      <c r="E25" s="8" t="str">
        <f aca="false">IF($D25="","",IFERROR(INDEX(INSUMOS!$B$6:$B$205,MATCH($D25,INSUMOS!$A$6:$A$205,0)),"¿Código?"))</f>
        <v/>
      </c>
      <c r="F25" s="8" t="str">
        <f aca="false">IF($D25="","",IFERROR(INDEX(INSUMOS!$E$6:$E$205,MATCH($D25,INSUMOS!$A$6:$A$205,0)),""))</f>
        <v/>
      </c>
      <c r="G25" s="39"/>
      <c r="H25" s="45" t="str">
        <f aca="false">IF($D25="","",IFERROR(INDEX(INSUMOS!$F$6:$F$205,MATCH($D25,INSUMOS!$A$6:$A$205,0)),0))</f>
        <v/>
      </c>
      <c r="I25" s="34" t="str">
        <f aca="false">IF($D25="","",N($G25)*$H25)</f>
        <v/>
      </c>
      <c r="J25" s="40"/>
      <c r="K25" s="36" t="str">
        <f aca="false">IF($D25="","",IFERROR(INDEX(INSUMOS!$H$6:$H$205,MATCH($D25,INSUMOS!$A$6:$A$205,0)),IVA_VENTAS))</f>
        <v/>
      </c>
      <c r="L25" s="35" t="str">
        <f aca="false">IF($D25="","",N($J25)*$K25)</f>
        <v/>
      </c>
      <c r="M25" s="35" t="str">
        <f aca="false">IF($D25="","",N($J25)+$L25)</f>
        <v/>
      </c>
      <c r="N25" s="43" t="str">
        <f aca="false">IF($D25="","",IFERROR(N($J25)/$I25,0))</f>
        <v/>
      </c>
      <c r="O25" s="6"/>
      <c r="P25" s="6"/>
      <c r="Q25" s="46" t="str">
        <f aca="false">IF($A25="","",DATE(YEAR($A25),MONTH($A25),1))</f>
        <v/>
      </c>
      <c r="R25" s="8" t="str">
        <f aca="false">IF(OR($A25="",$D25=""),"",IF(COUNTIFS($D$6:$D$1005,$D25,$A$6:$A$1005,"&gt;"&amp;$A25)=0,1,0))</f>
        <v/>
      </c>
    </row>
    <row r="26" customFormat="false" ht="15" hidden="false" customHeight="false" outlineLevel="0" collapsed="false">
      <c r="A26" s="44"/>
      <c r="B26" s="6"/>
      <c r="C26" s="6"/>
      <c r="D26" s="6"/>
      <c r="E26" s="8" t="str">
        <f aca="false">IF($D26="","",IFERROR(INDEX(INSUMOS!$B$6:$B$205,MATCH($D26,INSUMOS!$A$6:$A$205,0)),"¿Código?"))</f>
        <v/>
      </c>
      <c r="F26" s="8" t="str">
        <f aca="false">IF($D26="","",IFERROR(INDEX(INSUMOS!$E$6:$E$205,MATCH($D26,INSUMOS!$A$6:$A$205,0)),""))</f>
        <v/>
      </c>
      <c r="G26" s="39"/>
      <c r="H26" s="45" t="str">
        <f aca="false">IF($D26="","",IFERROR(INDEX(INSUMOS!$F$6:$F$205,MATCH($D26,INSUMOS!$A$6:$A$205,0)),0))</f>
        <v/>
      </c>
      <c r="I26" s="34" t="str">
        <f aca="false">IF($D26="","",N($G26)*$H26)</f>
        <v/>
      </c>
      <c r="J26" s="40"/>
      <c r="K26" s="36" t="str">
        <f aca="false">IF($D26="","",IFERROR(INDEX(INSUMOS!$H$6:$H$205,MATCH($D26,INSUMOS!$A$6:$A$205,0)),IVA_VENTAS))</f>
        <v/>
      </c>
      <c r="L26" s="35" t="str">
        <f aca="false">IF($D26="","",N($J26)*$K26)</f>
        <v/>
      </c>
      <c r="M26" s="35" t="str">
        <f aca="false">IF($D26="","",N($J26)+$L26)</f>
        <v/>
      </c>
      <c r="N26" s="43" t="str">
        <f aca="false">IF($D26="","",IFERROR(N($J26)/$I26,0))</f>
        <v/>
      </c>
      <c r="O26" s="6"/>
      <c r="P26" s="6"/>
      <c r="Q26" s="46" t="str">
        <f aca="false">IF($A26="","",DATE(YEAR($A26),MONTH($A26),1))</f>
        <v/>
      </c>
      <c r="R26" s="8" t="str">
        <f aca="false">IF(OR($A26="",$D26=""),"",IF(COUNTIFS($D$6:$D$1005,$D26,$A$6:$A$1005,"&gt;"&amp;$A26)=0,1,0))</f>
        <v/>
      </c>
    </row>
    <row r="27" customFormat="false" ht="15" hidden="false" customHeight="false" outlineLevel="0" collapsed="false">
      <c r="A27" s="44"/>
      <c r="B27" s="6"/>
      <c r="C27" s="6"/>
      <c r="D27" s="6"/>
      <c r="E27" s="8" t="str">
        <f aca="false">IF($D27="","",IFERROR(INDEX(INSUMOS!$B$6:$B$205,MATCH($D27,INSUMOS!$A$6:$A$205,0)),"¿Código?"))</f>
        <v/>
      </c>
      <c r="F27" s="8" t="str">
        <f aca="false">IF($D27="","",IFERROR(INDEX(INSUMOS!$E$6:$E$205,MATCH($D27,INSUMOS!$A$6:$A$205,0)),""))</f>
        <v/>
      </c>
      <c r="G27" s="39"/>
      <c r="H27" s="45" t="str">
        <f aca="false">IF($D27="","",IFERROR(INDEX(INSUMOS!$F$6:$F$205,MATCH($D27,INSUMOS!$A$6:$A$205,0)),0))</f>
        <v/>
      </c>
      <c r="I27" s="34" t="str">
        <f aca="false">IF($D27="","",N($G27)*$H27)</f>
        <v/>
      </c>
      <c r="J27" s="40"/>
      <c r="K27" s="36" t="str">
        <f aca="false">IF($D27="","",IFERROR(INDEX(INSUMOS!$H$6:$H$205,MATCH($D27,INSUMOS!$A$6:$A$205,0)),IVA_VENTAS))</f>
        <v/>
      </c>
      <c r="L27" s="35" t="str">
        <f aca="false">IF($D27="","",N($J27)*$K27)</f>
        <v/>
      </c>
      <c r="M27" s="35" t="str">
        <f aca="false">IF($D27="","",N($J27)+$L27)</f>
        <v/>
      </c>
      <c r="N27" s="43" t="str">
        <f aca="false">IF($D27="","",IFERROR(N($J27)/$I27,0))</f>
        <v/>
      </c>
      <c r="O27" s="6"/>
      <c r="P27" s="6"/>
      <c r="Q27" s="46" t="str">
        <f aca="false">IF($A27="","",DATE(YEAR($A27),MONTH($A27),1))</f>
        <v/>
      </c>
      <c r="R27" s="8" t="str">
        <f aca="false">IF(OR($A27="",$D27=""),"",IF(COUNTIFS($D$6:$D$1005,$D27,$A$6:$A$1005,"&gt;"&amp;$A27)=0,1,0))</f>
        <v/>
      </c>
    </row>
    <row r="28" customFormat="false" ht="15" hidden="false" customHeight="false" outlineLevel="0" collapsed="false">
      <c r="A28" s="44"/>
      <c r="B28" s="6"/>
      <c r="C28" s="6"/>
      <c r="D28" s="6"/>
      <c r="E28" s="8" t="str">
        <f aca="false">IF($D28="","",IFERROR(INDEX(INSUMOS!$B$6:$B$205,MATCH($D28,INSUMOS!$A$6:$A$205,0)),"¿Código?"))</f>
        <v/>
      </c>
      <c r="F28" s="8" t="str">
        <f aca="false">IF($D28="","",IFERROR(INDEX(INSUMOS!$E$6:$E$205,MATCH($D28,INSUMOS!$A$6:$A$205,0)),""))</f>
        <v/>
      </c>
      <c r="G28" s="39"/>
      <c r="H28" s="45" t="str">
        <f aca="false">IF($D28="","",IFERROR(INDEX(INSUMOS!$F$6:$F$205,MATCH($D28,INSUMOS!$A$6:$A$205,0)),0))</f>
        <v/>
      </c>
      <c r="I28" s="34" t="str">
        <f aca="false">IF($D28="","",N($G28)*$H28)</f>
        <v/>
      </c>
      <c r="J28" s="40"/>
      <c r="K28" s="36" t="str">
        <f aca="false">IF($D28="","",IFERROR(INDEX(INSUMOS!$H$6:$H$205,MATCH($D28,INSUMOS!$A$6:$A$205,0)),IVA_VENTAS))</f>
        <v/>
      </c>
      <c r="L28" s="35" t="str">
        <f aca="false">IF($D28="","",N($J28)*$K28)</f>
        <v/>
      </c>
      <c r="M28" s="35" t="str">
        <f aca="false">IF($D28="","",N($J28)+$L28)</f>
        <v/>
      </c>
      <c r="N28" s="43" t="str">
        <f aca="false">IF($D28="","",IFERROR(N($J28)/$I28,0))</f>
        <v/>
      </c>
      <c r="O28" s="6"/>
      <c r="P28" s="6"/>
      <c r="Q28" s="46" t="str">
        <f aca="false">IF($A28="","",DATE(YEAR($A28),MONTH($A28),1))</f>
        <v/>
      </c>
      <c r="R28" s="8" t="str">
        <f aca="false">IF(OR($A28="",$D28=""),"",IF(COUNTIFS($D$6:$D$1005,$D28,$A$6:$A$1005,"&gt;"&amp;$A28)=0,1,0))</f>
        <v/>
      </c>
    </row>
    <row r="29" customFormat="false" ht="15" hidden="false" customHeight="false" outlineLevel="0" collapsed="false">
      <c r="A29" s="44"/>
      <c r="B29" s="6"/>
      <c r="C29" s="6"/>
      <c r="D29" s="6"/>
      <c r="E29" s="8" t="str">
        <f aca="false">IF($D29="","",IFERROR(INDEX(INSUMOS!$B$6:$B$205,MATCH($D29,INSUMOS!$A$6:$A$205,0)),"¿Código?"))</f>
        <v/>
      </c>
      <c r="F29" s="8" t="str">
        <f aca="false">IF($D29="","",IFERROR(INDEX(INSUMOS!$E$6:$E$205,MATCH($D29,INSUMOS!$A$6:$A$205,0)),""))</f>
        <v/>
      </c>
      <c r="G29" s="39"/>
      <c r="H29" s="45" t="str">
        <f aca="false">IF($D29="","",IFERROR(INDEX(INSUMOS!$F$6:$F$205,MATCH($D29,INSUMOS!$A$6:$A$205,0)),0))</f>
        <v/>
      </c>
      <c r="I29" s="34" t="str">
        <f aca="false">IF($D29="","",N($G29)*$H29)</f>
        <v/>
      </c>
      <c r="J29" s="40"/>
      <c r="K29" s="36" t="str">
        <f aca="false">IF($D29="","",IFERROR(INDEX(INSUMOS!$H$6:$H$205,MATCH($D29,INSUMOS!$A$6:$A$205,0)),IVA_VENTAS))</f>
        <v/>
      </c>
      <c r="L29" s="35" t="str">
        <f aca="false">IF($D29="","",N($J29)*$K29)</f>
        <v/>
      </c>
      <c r="M29" s="35" t="str">
        <f aca="false">IF($D29="","",N($J29)+$L29)</f>
        <v/>
      </c>
      <c r="N29" s="43" t="str">
        <f aca="false">IF($D29="","",IFERROR(N($J29)/$I29,0))</f>
        <v/>
      </c>
      <c r="O29" s="6"/>
      <c r="P29" s="6"/>
      <c r="Q29" s="46" t="str">
        <f aca="false">IF($A29="","",DATE(YEAR($A29),MONTH($A29),1))</f>
        <v/>
      </c>
      <c r="R29" s="8" t="str">
        <f aca="false">IF(OR($A29="",$D29=""),"",IF(COUNTIFS($D$6:$D$1005,$D29,$A$6:$A$1005,"&gt;"&amp;$A29)=0,1,0))</f>
        <v/>
      </c>
    </row>
    <row r="30" customFormat="false" ht="15" hidden="false" customHeight="false" outlineLevel="0" collapsed="false">
      <c r="A30" s="44"/>
      <c r="B30" s="6"/>
      <c r="C30" s="6"/>
      <c r="D30" s="6"/>
      <c r="E30" s="8" t="str">
        <f aca="false">IF($D30="","",IFERROR(INDEX(INSUMOS!$B$6:$B$205,MATCH($D30,INSUMOS!$A$6:$A$205,0)),"¿Código?"))</f>
        <v/>
      </c>
      <c r="F30" s="8" t="str">
        <f aca="false">IF($D30="","",IFERROR(INDEX(INSUMOS!$E$6:$E$205,MATCH($D30,INSUMOS!$A$6:$A$205,0)),""))</f>
        <v/>
      </c>
      <c r="G30" s="39"/>
      <c r="H30" s="45" t="str">
        <f aca="false">IF($D30="","",IFERROR(INDEX(INSUMOS!$F$6:$F$205,MATCH($D30,INSUMOS!$A$6:$A$205,0)),0))</f>
        <v/>
      </c>
      <c r="I30" s="34" t="str">
        <f aca="false">IF($D30="","",N($G30)*$H30)</f>
        <v/>
      </c>
      <c r="J30" s="40"/>
      <c r="K30" s="36" t="str">
        <f aca="false">IF($D30="","",IFERROR(INDEX(INSUMOS!$H$6:$H$205,MATCH($D30,INSUMOS!$A$6:$A$205,0)),IVA_VENTAS))</f>
        <v/>
      </c>
      <c r="L30" s="35" t="str">
        <f aca="false">IF($D30="","",N($J30)*$K30)</f>
        <v/>
      </c>
      <c r="M30" s="35" t="str">
        <f aca="false">IF($D30="","",N($J30)+$L30)</f>
        <v/>
      </c>
      <c r="N30" s="43" t="str">
        <f aca="false">IF($D30="","",IFERROR(N($J30)/$I30,0))</f>
        <v/>
      </c>
      <c r="O30" s="6"/>
      <c r="P30" s="6"/>
      <c r="Q30" s="46" t="str">
        <f aca="false">IF($A30="","",DATE(YEAR($A30),MONTH($A30),1))</f>
        <v/>
      </c>
      <c r="R30" s="8" t="str">
        <f aca="false">IF(OR($A30="",$D30=""),"",IF(COUNTIFS($D$6:$D$1005,$D30,$A$6:$A$1005,"&gt;"&amp;$A30)=0,1,0))</f>
        <v/>
      </c>
    </row>
    <row r="31" customFormat="false" ht="15" hidden="false" customHeight="false" outlineLevel="0" collapsed="false">
      <c r="A31" s="44"/>
      <c r="B31" s="6"/>
      <c r="C31" s="6"/>
      <c r="D31" s="6"/>
      <c r="E31" s="8" t="str">
        <f aca="false">IF($D31="","",IFERROR(INDEX(INSUMOS!$B$6:$B$205,MATCH($D31,INSUMOS!$A$6:$A$205,0)),"¿Código?"))</f>
        <v/>
      </c>
      <c r="F31" s="8" t="str">
        <f aca="false">IF($D31="","",IFERROR(INDEX(INSUMOS!$E$6:$E$205,MATCH($D31,INSUMOS!$A$6:$A$205,0)),""))</f>
        <v/>
      </c>
      <c r="G31" s="39"/>
      <c r="H31" s="45" t="str">
        <f aca="false">IF($D31="","",IFERROR(INDEX(INSUMOS!$F$6:$F$205,MATCH($D31,INSUMOS!$A$6:$A$205,0)),0))</f>
        <v/>
      </c>
      <c r="I31" s="34" t="str">
        <f aca="false">IF($D31="","",N($G31)*$H31)</f>
        <v/>
      </c>
      <c r="J31" s="40"/>
      <c r="K31" s="36" t="str">
        <f aca="false">IF($D31="","",IFERROR(INDEX(INSUMOS!$H$6:$H$205,MATCH($D31,INSUMOS!$A$6:$A$205,0)),IVA_VENTAS))</f>
        <v/>
      </c>
      <c r="L31" s="35" t="str">
        <f aca="false">IF($D31="","",N($J31)*$K31)</f>
        <v/>
      </c>
      <c r="M31" s="35" t="str">
        <f aca="false">IF($D31="","",N($J31)+$L31)</f>
        <v/>
      </c>
      <c r="N31" s="43" t="str">
        <f aca="false">IF($D31="","",IFERROR(N($J31)/$I31,0))</f>
        <v/>
      </c>
      <c r="O31" s="6"/>
      <c r="P31" s="6"/>
      <c r="Q31" s="46" t="str">
        <f aca="false">IF($A31="","",DATE(YEAR($A31),MONTH($A31),1))</f>
        <v/>
      </c>
      <c r="R31" s="8" t="str">
        <f aca="false">IF(OR($A31="",$D31=""),"",IF(COUNTIFS($D$6:$D$1005,$D31,$A$6:$A$1005,"&gt;"&amp;$A31)=0,1,0))</f>
        <v/>
      </c>
    </row>
    <row r="32" customFormat="false" ht="15" hidden="false" customHeight="false" outlineLevel="0" collapsed="false">
      <c r="A32" s="44"/>
      <c r="B32" s="6"/>
      <c r="C32" s="6"/>
      <c r="D32" s="6"/>
      <c r="E32" s="8" t="str">
        <f aca="false">IF($D32="","",IFERROR(INDEX(INSUMOS!$B$6:$B$205,MATCH($D32,INSUMOS!$A$6:$A$205,0)),"¿Código?"))</f>
        <v/>
      </c>
      <c r="F32" s="8" t="str">
        <f aca="false">IF($D32="","",IFERROR(INDEX(INSUMOS!$E$6:$E$205,MATCH($D32,INSUMOS!$A$6:$A$205,0)),""))</f>
        <v/>
      </c>
      <c r="G32" s="39"/>
      <c r="H32" s="45" t="str">
        <f aca="false">IF($D32="","",IFERROR(INDEX(INSUMOS!$F$6:$F$205,MATCH($D32,INSUMOS!$A$6:$A$205,0)),0))</f>
        <v/>
      </c>
      <c r="I32" s="34" t="str">
        <f aca="false">IF($D32="","",N($G32)*$H32)</f>
        <v/>
      </c>
      <c r="J32" s="40"/>
      <c r="K32" s="36" t="str">
        <f aca="false">IF($D32="","",IFERROR(INDEX(INSUMOS!$H$6:$H$205,MATCH($D32,INSUMOS!$A$6:$A$205,0)),IVA_VENTAS))</f>
        <v/>
      </c>
      <c r="L32" s="35" t="str">
        <f aca="false">IF($D32="","",N($J32)*$K32)</f>
        <v/>
      </c>
      <c r="M32" s="35" t="str">
        <f aca="false">IF($D32="","",N($J32)+$L32)</f>
        <v/>
      </c>
      <c r="N32" s="43" t="str">
        <f aca="false">IF($D32="","",IFERROR(N($J32)/$I32,0))</f>
        <v/>
      </c>
      <c r="O32" s="6"/>
      <c r="P32" s="6"/>
      <c r="Q32" s="46" t="str">
        <f aca="false">IF($A32="","",DATE(YEAR($A32),MONTH($A32),1))</f>
        <v/>
      </c>
      <c r="R32" s="8" t="str">
        <f aca="false">IF(OR($A32="",$D32=""),"",IF(COUNTIFS($D$6:$D$1005,$D32,$A$6:$A$1005,"&gt;"&amp;$A32)=0,1,0))</f>
        <v/>
      </c>
    </row>
    <row r="33" customFormat="false" ht="15" hidden="false" customHeight="false" outlineLevel="0" collapsed="false">
      <c r="A33" s="44"/>
      <c r="B33" s="6"/>
      <c r="C33" s="6"/>
      <c r="D33" s="6"/>
      <c r="E33" s="8" t="str">
        <f aca="false">IF($D33="","",IFERROR(INDEX(INSUMOS!$B$6:$B$205,MATCH($D33,INSUMOS!$A$6:$A$205,0)),"¿Código?"))</f>
        <v/>
      </c>
      <c r="F33" s="8" t="str">
        <f aca="false">IF($D33="","",IFERROR(INDEX(INSUMOS!$E$6:$E$205,MATCH($D33,INSUMOS!$A$6:$A$205,0)),""))</f>
        <v/>
      </c>
      <c r="G33" s="39"/>
      <c r="H33" s="45" t="str">
        <f aca="false">IF($D33="","",IFERROR(INDEX(INSUMOS!$F$6:$F$205,MATCH($D33,INSUMOS!$A$6:$A$205,0)),0))</f>
        <v/>
      </c>
      <c r="I33" s="34" t="str">
        <f aca="false">IF($D33="","",N($G33)*$H33)</f>
        <v/>
      </c>
      <c r="J33" s="40"/>
      <c r="K33" s="36" t="str">
        <f aca="false">IF($D33="","",IFERROR(INDEX(INSUMOS!$H$6:$H$205,MATCH($D33,INSUMOS!$A$6:$A$205,0)),IVA_VENTAS))</f>
        <v/>
      </c>
      <c r="L33" s="35" t="str">
        <f aca="false">IF($D33="","",N($J33)*$K33)</f>
        <v/>
      </c>
      <c r="M33" s="35" t="str">
        <f aca="false">IF($D33="","",N($J33)+$L33)</f>
        <v/>
      </c>
      <c r="N33" s="43" t="str">
        <f aca="false">IF($D33="","",IFERROR(N($J33)/$I33,0))</f>
        <v/>
      </c>
      <c r="O33" s="6"/>
      <c r="P33" s="6"/>
      <c r="Q33" s="46" t="str">
        <f aca="false">IF($A33="","",DATE(YEAR($A33),MONTH($A33),1))</f>
        <v/>
      </c>
      <c r="R33" s="8" t="str">
        <f aca="false">IF(OR($A33="",$D33=""),"",IF(COUNTIFS($D$6:$D$1005,$D33,$A$6:$A$1005,"&gt;"&amp;$A33)=0,1,0))</f>
        <v/>
      </c>
    </row>
    <row r="34" customFormat="false" ht="15" hidden="false" customHeight="false" outlineLevel="0" collapsed="false">
      <c r="A34" s="44"/>
      <c r="B34" s="6"/>
      <c r="C34" s="6"/>
      <c r="D34" s="6"/>
      <c r="E34" s="8" t="str">
        <f aca="false">IF($D34="","",IFERROR(INDEX(INSUMOS!$B$6:$B$205,MATCH($D34,INSUMOS!$A$6:$A$205,0)),"¿Código?"))</f>
        <v/>
      </c>
      <c r="F34" s="8" t="str">
        <f aca="false">IF($D34="","",IFERROR(INDEX(INSUMOS!$E$6:$E$205,MATCH($D34,INSUMOS!$A$6:$A$205,0)),""))</f>
        <v/>
      </c>
      <c r="G34" s="39"/>
      <c r="H34" s="45" t="str">
        <f aca="false">IF($D34="","",IFERROR(INDEX(INSUMOS!$F$6:$F$205,MATCH($D34,INSUMOS!$A$6:$A$205,0)),0))</f>
        <v/>
      </c>
      <c r="I34" s="34" t="str">
        <f aca="false">IF($D34="","",N($G34)*$H34)</f>
        <v/>
      </c>
      <c r="J34" s="40"/>
      <c r="K34" s="36" t="str">
        <f aca="false">IF($D34="","",IFERROR(INDEX(INSUMOS!$H$6:$H$205,MATCH($D34,INSUMOS!$A$6:$A$205,0)),IVA_VENTAS))</f>
        <v/>
      </c>
      <c r="L34" s="35" t="str">
        <f aca="false">IF($D34="","",N($J34)*$K34)</f>
        <v/>
      </c>
      <c r="M34" s="35" t="str">
        <f aca="false">IF($D34="","",N($J34)+$L34)</f>
        <v/>
      </c>
      <c r="N34" s="43" t="str">
        <f aca="false">IF($D34="","",IFERROR(N($J34)/$I34,0))</f>
        <v/>
      </c>
      <c r="O34" s="6"/>
      <c r="P34" s="6"/>
      <c r="Q34" s="46" t="str">
        <f aca="false">IF($A34="","",DATE(YEAR($A34),MONTH($A34),1))</f>
        <v/>
      </c>
      <c r="R34" s="8" t="str">
        <f aca="false">IF(OR($A34="",$D34=""),"",IF(COUNTIFS($D$6:$D$1005,$D34,$A$6:$A$1005,"&gt;"&amp;$A34)=0,1,0))</f>
        <v/>
      </c>
    </row>
    <row r="35" customFormat="false" ht="15" hidden="false" customHeight="false" outlineLevel="0" collapsed="false">
      <c r="A35" s="44"/>
      <c r="B35" s="6"/>
      <c r="C35" s="6"/>
      <c r="D35" s="6"/>
      <c r="E35" s="8" t="str">
        <f aca="false">IF($D35="","",IFERROR(INDEX(INSUMOS!$B$6:$B$205,MATCH($D35,INSUMOS!$A$6:$A$205,0)),"¿Código?"))</f>
        <v/>
      </c>
      <c r="F35" s="8" t="str">
        <f aca="false">IF($D35="","",IFERROR(INDEX(INSUMOS!$E$6:$E$205,MATCH($D35,INSUMOS!$A$6:$A$205,0)),""))</f>
        <v/>
      </c>
      <c r="G35" s="39"/>
      <c r="H35" s="45" t="str">
        <f aca="false">IF($D35="","",IFERROR(INDEX(INSUMOS!$F$6:$F$205,MATCH($D35,INSUMOS!$A$6:$A$205,0)),0))</f>
        <v/>
      </c>
      <c r="I35" s="34" t="str">
        <f aca="false">IF($D35="","",N($G35)*$H35)</f>
        <v/>
      </c>
      <c r="J35" s="40"/>
      <c r="K35" s="36" t="str">
        <f aca="false">IF($D35="","",IFERROR(INDEX(INSUMOS!$H$6:$H$205,MATCH($D35,INSUMOS!$A$6:$A$205,0)),IVA_VENTAS))</f>
        <v/>
      </c>
      <c r="L35" s="35" t="str">
        <f aca="false">IF($D35="","",N($J35)*$K35)</f>
        <v/>
      </c>
      <c r="M35" s="35" t="str">
        <f aca="false">IF($D35="","",N($J35)+$L35)</f>
        <v/>
      </c>
      <c r="N35" s="43" t="str">
        <f aca="false">IF($D35="","",IFERROR(N($J35)/$I35,0))</f>
        <v/>
      </c>
      <c r="O35" s="6"/>
      <c r="P35" s="6"/>
      <c r="Q35" s="46" t="str">
        <f aca="false">IF($A35="","",DATE(YEAR($A35),MONTH($A35),1))</f>
        <v/>
      </c>
      <c r="R35" s="8" t="str">
        <f aca="false">IF(OR($A35="",$D35=""),"",IF(COUNTIFS($D$6:$D$1005,$D35,$A$6:$A$1005,"&gt;"&amp;$A35)=0,1,0))</f>
        <v/>
      </c>
    </row>
    <row r="36" customFormat="false" ht="15" hidden="false" customHeight="false" outlineLevel="0" collapsed="false">
      <c r="A36" s="44"/>
      <c r="B36" s="6"/>
      <c r="C36" s="6"/>
      <c r="D36" s="6"/>
      <c r="E36" s="8" t="str">
        <f aca="false">IF($D36="","",IFERROR(INDEX(INSUMOS!$B$6:$B$205,MATCH($D36,INSUMOS!$A$6:$A$205,0)),"¿Código?"))</f>
        <v/>
      </c>
      <c r="F36" s="8" t="str">
        <f aca="false">IF($D36="","",IFERROR(INDEX(INSUMOS!$E$6:$E$205,MATCH($D36,INSUMOS!$A$6:$A$205,0)),""))</f>
        <v/>
      </c>
      <c r="G36" s="39"/>
      <c r="H36" s="45" t="str">
        <f aca="false">IF($D36="","",IFERROR(INDEX(INSUMOS!$F$6:$F$205,MATCH($D36,INSUMOS!$A$6:$A$205,0)),0))</f>
        <v/>
      </c>
      <c r="I36" s="34" t="str">
        <f aca="false">IF($D36="","",N($G36)*$H36)</f>
        <v/>
      </c>
      <c r="J36" s="40"/>
      <c r="K36" s="36" t="str">
        <f aca="false">IF($D36="","",IFERROR(INDEX(INSUMOS!$H$6:$H$205,MATCH($D36,INSUMOS!$A$6:$A$205,0)),IVA_VENTAS))</f>
        <v/>
      </c>
      <c r="L36" s="35" t="str">
        <f aca="false">IF($D36="","",N($J36)*$K36)</f>
        <v/>
      </c>
      <c r="M36" s="35" t="str">
        <f aca="false">IF($D36="","",N($J36)+$L36)</f>
        <v/>
      </c>
      <c r="N36" s="43" t="str">
        <f aca="false">IF($D36="","",IFERROR(N($J36)/$I36,0))</f>
        <v/>
      </c>
      <c r="O36" s="6"/>
      <c r="P36" s="6"/>
      <c r="Q36" s="46" t="str">
        <f aca="false">IF($A36="","",DATE(YEAR($A36),MONTH($A36),1))</f>
        <v/>
      </c>
      <c r="R36" s="8" t="str">
        <f aca="false">IF(OR($A36="",$D36=""),"",IF(COUNTIFS($D$6:$D$1005,$D36,$A$6:$A$1005,"&gt;"&amp;$A36)=0,1,0))</f>
        <v/>
      </c>
    </row>
    <row r="37" customFormat="false" ht="15" hidden="false" customHeight="false" outlineLevel="0" collapsed="false">
      <c r="A37" s="44"/>
      <c r="B37" s="6"/>
      <c r="C37" s="6"/>
      <c r="D37" s="6"/>
      <c r="E37" s="8" t="str">
        <f aca="false">IF($D37="","",IFERROR(INDEX(INSUMOS!$B$6:$B$205,MATCH($D37,INSUMOS!$A$6:$A$205,0)),"¿Código?"))</f>
        <v/>
      </c>
      <c r="F37" s="8" t="str">
        <f aca="false">IF($D37="","",IFERROR(INDEX(INSUMOS!$E$6:$E$205,MATCH($D37,INSUMOS!$A$6:$A$205,0)),""))</f>
        <v/>
      </c>
      <c r="G37" s="39"/>
      <c r="H37" s="45" t="str">
        <f aca="false">IF($D37="","",IFERROR(INDEX(INSUMOS!$F$6:$F$205,MATCH($D37,INSUMOS!$A$6:$A$205,0)),0))</f>
        <v/>
      </c>
      <c r="I37" s="34" t="str">
        <f aca="false">IF($D37="","",N($G37)*$H37)</f>
        <v/>
      </c>
      <c r="J37" s="40"/>
      <c r="K37" s="36" t="str">
        <f aca="false">IF($D37="","",IFERROR(INDEX(INSUMOS!$H$6:$H$205,MATCH($D37,INSUMOS!$A$6:$A$205,0)),IVA_VENTAS))</f>
        <v/>
      </c>
      <c r="L37" s="35" t="str">
        <f aca="false">IF($D37="","",N($J37)*$K37)</f>
        <v/>
      </c>
      <c r="M37" s="35" t="str">
        <f aca="false">IF($D37="","",N($J37)+$L37)</f>
        <v/>
      </c>
      <c r="N37" s="43" t="str">
        <f aca="false">IF($D37="","",IFERROR(N($J37)/$I37,0))</f>
        <v/>
      </c>
      <c r="O37" s="6"/>
      <c r="P37" s="6"/>
      <c r="Q37" s="46" t="str">
        <f aca="false">IF($A37="","",DATE(YEAR($A37),MONTH($A37),1))</f>
        <v/>
      </c>
      <c r="R37" s="8" t="str">
        <f aca="false">IF(OR($A37="",$D37=""),"",IF(COUNTIFS($D$6:$D$1005,$D37,$A$6:$A$1005,"&gt;"&amp;$A37)=0,1,0))</f>
        <v/>
      </c>
    </row>
    <row r="38" customFormat="false" ht="15" hidden="false" customHeight="false" outlineLevel="0" collapsed="false">
      <c r="A38" s="44"/>
      <c r="B38" s="6"/>
      <c r="C38" s="6"/>
      <c r="D38" s="6"/>
      <c r="E38" s="8" t="str">
        <f aca="false">IF($D38="","",IFERROR(INDEX(INSUMOS!$B$6:$B$205,MATCH($D38,INSUMOS!$A$6:$A$205,0)),"¿Código?"))</f>
        <v/>
      </c>
      <c r="F38" s="8" t="str">
        <f aca="false">IF($D38="","",IFERROR(INDEX(INSUMOS!$E$6:$E$205,MATCH($D38,INSUMOS!$A$6:$A$205,0)),""))</f>
        <v/>
      </c>
      <c r="G38" s="39"/>
      <c r="H38" s="45" t="str">
        <f aca="false">IF($D38="","",IFERROR(INDEX(INSUMOS!$F$6:$F$205,MATCH($D38,INSUMOS!$A$6:$A$205,0)),0))</f>
        <v/>
      </c>
      <c r="I38" s="34" t="str">
        <f aca="false">IF($D38="","",N($G38)*$H38)</f>
        <v/>
      </c>
      <c r="J38" s="40"/>
      <c r="K38" s="36" t="str">
        <f aca="false">IF($D38="","",IFERROR(INDEX(INSUMOS!$H$6:$H$205,MATCH($D38,INSUMOS!$A$6:$A$205,0)),IVA_VENTAS))</f>
        <v/>
      </c>
      <c r="L38" s="35" t="str">
        <f aca="false">IF($D38="","",N($J38)*$K38)</f>
        <v/>
      </c>
      <c r="M38" s="35" t="str">
        <f aca="false">IF($D38="","",N($J38)+$L38)</f>
        <v/>
      </c>
      <c r="N38" s="43" t="str">
        <f aca="false">IF($D38="","",IFERROR(N($J38)/$I38,0))</f>
        <v/>
      </c>
      <c r="O38" s="6"/>
      <c r="P38" s="6"/>
      <c r="Q38" s="46" t="str">
        <f aca="false">IF($A38="","",DATE(YEAR($A38),MONTH($A38),1))</f>
        <v/>
      </c>
      <c r="R38" s="8" t="str">
        <f aca="false">IF(OR($A38="",$D38=""),"",IF(COUNTIFS($D$6:$D$1005,$D38,$A$6:$A$1005,"&gt;"&amp;$A38)=0,1,0))</f>
        <v/>
      </c>
    </row>
    <row r="39" customFormat="false" ht="15" hidden="false" customHeight="false" outlineLevel="0" collapsed="false">
      <c r="A39" s="44"/>
      <c r="B39" s="6"/>
      <c r="C39" s="6"/>
      <c r="D39" s="6"/>
      <c r="E39" s="8" t="str">
        <f aca="false">IF($D39="","",IFERROR(INDEX(INSUMOS!$B$6:$B$205,MATCH($D39,INSUMOS!$A$6:$A$205,0)),"¿Código?"))</f>
        <v/>
      </c>
      <c r="F39" s="8" t="str">
        <f aca="false">IF($D39="","",IFERROR(INDEX(INSUMOS!$E$6:$E$205,MATCH($D39,INSUMOS!$A$6:$A$205,0)),""))</f>
        <v/>
      </c>
      <c r="G39" s="39"/>
      <c r="H39" s="45" t="str">
        <f aca="false">IF($D39="","",IFERROR(INDEX(INSUMOS!$F$6:$F$205,MATCH($D39,INSUMOS!$A$6:$A$205,0)),0))</f>
        <v/>
      </c>
      <c r="I39" s="34" t="str">
        <f aca="false">IF($D39="","",N($G39)*$H39)</f>
        <v/>
      </c>
      <c r="J39" s="40"/>
      <c r="K39" s="36" t="str">
        <f aca="false">IF($D39="","",IFERROR(INDEX(INSUMOS!$H$6:$H$205,MATCH($D39,INSUMOS!$A$6:$A$205,0)),IVA_VENTAS))</f>
        <v/>
      </c>
      <c r="L39" s="35" t="str">
        <f aca="false">IF($D39="","",N($J39)*$K39)</f>
        <v/>
      </c>
      <c r="M39" s="35" t="str">
        <f aca="false">IF($D39="","",N($J39)+$L39)</f>
        <v/>
      </c>
      <c r="N39" s="43" t="str">
        <f aca="false">IF($D39="","",IFERROR(N($J39)/$I39,0))</f>
        <v/>
      </c>
      <c r="O39" s="6"/>
      <c r="P39" s="6"/>
      <c r="Q39" s="46" t="str">
        <f aca="false">IF($A39="","",DATE(YEAR($A39),MONTH($A39),1))</f>
        <v/>
      </c>
      <c r="R39" s="8" t="str">
        <f aca="false">IF(OR($A39="",$D39=""),"",IF(COUNTIFS($D$6:$D$1005,$D39,$A$6:$A$1005,"&gt;"&amp;$A39)=0,1,0))</f>
        <v/>
      </c>
    </row>
    <row r="40" customFormat="false" ht="15" hidden="false" customHeight="false" outlineLevel="0" collapsed="false">
      <c r="A40" s="44"/>
      <c r="B40" s="6"/>
      <c r="C40" s="6"/>
      <c r="D40" s="6"/>
      <c r="E40" s="8" t="str">
        <f aca="false">IF($D40="","",IFERROR(INDEX(INSUMOS!$B$6:$B$205,MATCH($D40,INSUMOS!$A$6:$A$205,0)),"¿Código?"))</f>
        <v/>
      </c>
      <c r="F40" s="8" t="str">
        <f aca="false">IF($D40="","",IFERROR(INDEX(INSUMOS!$E$6:$E$205,MATCH($D40,INSUMOS!$A$6:$A$205,0)),""))</f>
        <v/>
      </c>
      <c r="G40" s="39"/>
      <c r="H40" s="45" t="str">
        <f aca="false">IF($D40="","",IFERROR(INDEX(INSUMOS!$F$6:$F$205,MATCH($D40,INSUMOS!$A$6:$A$205,0)),0))</f>
        <v/>
      </c>
      <c r="I40" s="34" t="str">
        <f aca="false">IF($D40="","",N($G40)*$H40)</f>
        <v/>
      </c>
      <c r="J40" s="40"/>
      <c r="K40" s="36" t="str">
        <f aca="false">IF($D40="","",IFERROR(INDEX(INSUMOS!$H$6:$H$205,MATCH($D40,INSUMOS!$A$6:$A$205,0)),IVA_VENTAS))</f>
        <v/>
      </c>
      <c r="L40" s="35" t="str">
        <f aca="false">IF($D40="","",N($J40)*$K40)</f>
        <v/>
      </c>
      <c r="M40" s="35" t="str">
        <f aca="false">IF($D40="","",N($J40)+$L40)</f>
        <v/>
      </c>
      <c r="N40" s="43" t="str">
        <f aca="false">IF($D40="","",IFERROR(N($J40)/$I40,0))</f>
        <v/>
      </c>
      <c r="O40" s="6"/>
      <c r="P40" s="6"/>
      <c r="Q40" s="46" t="str">
        <f aca="false">IF($A40="","",DATE(YEAR($A40),MONTH($A40),1))</f>
        <v/>
      </c>
      <c r="R40" s="8" t="str">
        <f aca="false">IF(OR($A40="",$D40=""),"",IF(COUNTIFS($D$6:$D$1005,$D40,$A$6:$A$1005,"&gt;"&amp;$A40)=0,1,0))</f>
        <v/>
      </c>
    </row>
    <row r="41" customFormat="false" ht="15" hidden="false" customHeight="false" outlineLevel="0" collapsed="false">
      <c r="A41" s="44"/>
      <c r="B41" s="6"/>
      <c r="C41" s="6"/>
      <c r="D41" s="6"/>
      <c r="E41" s="8" t="str">
        <f aca="false">IF($D41="","",IFERROR(INDEX(INSUMOS!$B$6:$B$205,MATCH($D41,INSUMOS!$A$6:$A$205,0)),"¿Código?"))</f>
        <v/>
      </c>
      <c r="F41" s="8" t="str">
        <f aca="false">IF($D41="","",IFERROR(INDEX(INSUMOS!$E$6:$E$205,MATCH($D41,INSUMOS!$A$6:$A$205,0)),""))</f>
        <v/>
      </c>
      <c r="G41" s="39"/>
      <c r="H41" s="45" t="str">
        <f aca="false">IF($D41="","",IFERROR(INDEX(INSUMOS!$F$6:$F$205,MATCH($D41,INSUMOS!$A$6:$A$205,0)),0))</f>
        <v/>
      </c>
      <c r="I41" s="34" t="str">
        <f aca="false">IF($D41="","",N($G41)*$H41)</f>
        <v/>
      </c>
      <c r="J41" s="40"/>
      <c r="K41" s="36" t="str">
        <f aca="false">IF($D41="","",IFERROR(INDEX(INSUMOS!$H$6:$H$205,MATCH($D41,INSUMOS!$A$6:$A$205,0)),IVA_VENTAS))</f>
        <v/>
      </c>
      <c r="L41" s="35" t="str">
        <f aca="false">IF($D41="","",N($J41)*$K41)</f>
        <v/>
      </c>
      <c r="M41" s="35" t="str">
        <f aca="false">IF($D41="","",N($J41)+$L41)</f>
        <v/>
      </c>
      <c r="N41" s="43" t="str">
        <f aca="false">IF($D41="","",IFERROR(N($J41)/$I41,0))</f>
        <v/>
      </c>
      <c r="O41" s="6"/>
      <c r="P41" s="6"/>
      <c r="Q41" s="46" t="str">
        <f aca="false">IF($A41="","",DATE(YEAR($A41),MONTH($A41),1))</f>
        <v/>
      </c>
      <c r="R41" s="8" t="str">
        <f aca="false">IF(OR($A41="",$D41=""),"",IF(COUNTIFS($D$6:$D$1005,$D41,$A$6:$A$1005,"&gt;"&amp;$A41)=0,1,0))</f>
        <v/>
      </c>
    </row>
    <row r="42" customFormat="false" ht="15" hidden="false" customHeight="false" outlineLevel="0" collapsed="false">
      <c r="A42" s="44"/>
      <c r="B42" s="6"/>
      <c r="C42" s="6"/>
      <c r="D42" s="6"/>
      <c r="E42" s="8" t="str">
        <f aca="false">IF($D42="","",IFERROR(INDEX(INSUMOS!$B$6:$B$205,MATCH($D42,INSUMOS!$A$6:$A$205,0)),"¿Código?"))</f>
        <v/>
      </c>
      <c r="F42" s="8" t="str">
        <f aca="false">IF($D42="","",IFERROR(INDEX(INSUMOS!$E$6:$E$205,MATCH($D42,INSUMOS!$A$6:$A$205,0)),""))</f>
        <v/>
      </c>
      <c r="G42" s="39"/>
      <c r="H42" s="45" t="str">
        <f aca="false">IF($D42="","",IFERROR(INDEX(INSUMOS!$F$6:$F$205,MATCH($D42,INSUMOS!$A$6:$A$205,0)),0))</f>
        <v/>
      </c>
      <c r="I42" s="34" t="str">
        <f aca="false">IF($D42="","",N($G42)*$H42)</f>
        <v/>
      </c>
      <c r="J42" s="40"/>
      <c r="K42" s="36" t="str">
        <f aca="false">IF($D42="","",IFERROR(INDEX(INSUMOS!$H$6:$H$205,MATCH($D42,INSUMOS!$A$6:$A$205,0)),IVA_VENTAS))</f>
        <v/>
      </c>
      <c r="L42" s="35" t="str">
        <f aca="false">IF($D42="","",N($J42)*$K42)</f>
        <v/>
      </c>
      <c r="M42" s="35" t="str">
        <f aca="false">IF($D42="","",N($J42)+$L42)</f>
        <v/>
      </c>
      <c r="N42" s="43" t="str">
        <f aca="false">IF($D42="","",IFERROR(N($J42)/$I42,0))</f>
        <v/>
      </c>
      <c r="O42" s="6"/>
      <c r="P42" s="6"/>
      <c r="Q42" s="46" t="str">
        <f aca="false">IF($A42="","",DATE(YEAR($A42),MONTH($A42),1))</f>
        <v/>
      </c>
      <c r="R42" s="8" t="str">
        <f aca="false">IF(OR($A42="",$D42=""),"",IF(COUNTIFS($D$6:$D$1005,$D42,$A$6:$A$1005,"&gt;"&amp;$A42)=0,1,0))</f>
        <v/>
      </c>
    </row>
    <row r="43" customFormat="false" ht="15" hidden="false" customHeight="false" outlineLevel="0" collapsed="false">
      <c r="A43" s="44"/>
      <c r="B43" s="6"/>
      <c r="C43" s="6"/>
      <c r="D43" s="6"/>
      <c r="E43" s="8" t="str">
        <f aca="false">IF($D43="","",IFERROR(INDEX(INSUMOS!$B$6:$B$205,MATCH($D43,INSUMOS!$A$6:$A$205,0)),"¿Código?"))</f>
        <v/>
      </c>
      <c r="F43" s="8" t="str">
        <f aca="false">IF($D43="","",IFERROR(INDEX(INSUMOS!$E$6:$E$205,MATCH($D43,INSUMOS!$A$6:$A$205,0)),""))</f>
        <v/>
      </c>
      <c r="G43" s="39"/>
      <c r="H43" s="45" t="str">
        <f aca="false">IF($D43="","",IFERROR(INDEX(INSUMOS!$F$6:$F$205,MATCH($D43,INSUMOS!$A$6:$A$205,0)),0))</f>
        <v/>
      </c>
      <c r="I43" s="34" t="str">
        <f aca="false">IF($D43="","",N($G43)*$H43)</f>
        <v/>
      </c>
      <c r="J43" s="40"/>
      <c r="K43" s="36" t="str">
        <f aca="false">IF($D43="","",IFERROR(INDEX(INSUMOS!$H$6:$H$205,MATCH($D43,INSUMOS!$A$6:$A$205,0)),IVA_VENTAS))</f>
        <v/>
      </c>
      <c r="L43" s="35" t="str">
        <f aca="false">IF($D43="","",N($J43)*$K43)</f>
        <v/>
      </c>
      <c r="M43" s="35" t="str">
        <f aca="false">IF($D43="","",N($J43)+$L43)</f>
        <v/>
      </c>
      <c r="N43" s="43" t="str">
        <f aca="false">IF($D43="","",IFERROR(N($J43)/$I43,0))</f>
        <v/>
      </c>
      <c r="O43" s="6"/>
      <c r="P43" s="6"/>
      <c r="Q43" s="46" t="str">
        <f aca="false">IF($A43="","",DATE(YEAR($A43),MONTH($A43),1))</f>
        <v/>
      </c>
      <c r="R43" s="8" t="str">
        <f aca="false">IF(OR($A43="",$D43=""),"",IF(COUNTIFS($D$6:$D$1005,$D43,$A$6:$A$1005,"&gt;"&amp;$A43)=0,1,0))</f>
        <v/>
      </c>
    </row>
    <row r="44" customFormat="false" ht="15" hidden="false" customHeight="false" outlineLevel="0" collapsed="false">
      <c r="A44" s="44"/>
      <c r="B44" s="6"/>
      <c r="C44" s="6"/>
      <c r="D44" s="6"/>
      <c r="E44" s="8" t="str">
        <f aca="false">IF($D44="","",IFERROR(INDEX(INSUMOS!$B$6:$B$205,MATCH($D44,INSUMOS!$A$6:$A$205,0)),"¿Código?"))</f>
        <v/>
      </c>
      <c r="F44" s="8" t="str">
        <f aca="false">IF($D44="","",IFERROR(INDEX(INSUMOS!$E$6:$E$205,MATCH($D44,INSUMOS!$A$6:$A$205,0)),""))</f>
        <v/>
      </c>
      <c r="G44" s="39"/>
      <c r="H44" s="45" t="str">
        <f aca="false">IF($D44="","",IFERROR(INDEX(INSUMOS!$F$6:$F$205,MATCH($D44,INSUMOS!$A$6:$A$205,0)),0))</f>
        <v/>
      </c>
      <c r="I44" s="34" t="str">
        <f aca="false">IF($D44="","",N($G44)*$H44)</f>
        <v/>
      </c>
      <c r="J44" s="40"/>
      <c r="K44" s="36" t="str">
        <f aca="false">IF($D44="","",IFERROR(INDEX(INSUMOS!$H$6:$H$205,MATCH($D44,INSUMOS!$A$6:$A$205,0)),IVA_VENTAS))</f>
        <v/>
      </c>
      <c r="L44" s="35" t="str">
        <f aca="false">IF($D44="","",N($J44)*$K44)</f>
        <v/>
      </c>
      <c r="M44" s="35" t="str">
        <f aca="false">IF($D44="","",N($J44)+$L44)</f>
        <v/>
      </c>
      <c r="N44" s="43" t="str">
        <f aca="false">IF($D44="","",IFERROR(N($J44)/$I44,0))</f>
        <v/>
      </c>
      <c r="O44" s="6"/>
      <c r="P44" s="6"/>
      <c r="Q44" s="46" t="str">
        <f aca="false">IF($A44="","",DATE(YEAR($A44),MONTH($A44),1))</f>
        <v/>
      </c>
      <c r="R44" s="8" t="str">
        <f aca="false">IF(OR($A44="",$D44=""),"",IF(COUNTIFS($D$6:$D$1005,$D44,$A$6:$A$1005,"&gt;"&amp;$A44)=0,1,0))</f>
        <v/>
      </c>
    </row>
    <row r="45" customFormat="false" ht="15" hidden="false" customHeight="false" outlineLevel="0" collapsed="false">
      <c r="A45" s="44"/>
      <c r="B45" s="6"/>
      <c r="C45" s="6"/>
      <c r="D45" s="6"/>
      <c r="E45" s="8" t="str">
        <f aca="false">IF($D45="","",IFERROR(INDEX(INSUMOS!$B$6:$B$205,MATCH($D45,INSUMOS!$A$6:$A$205,0)),"¿Código?"))</f>
        <v/>
      </c>
      <c r="F45" s="8" t="str">
        <f aca="false">IF($D45="","",IFERROR(INDEX(INSUMOS!$E$6:$E$205,MATCH($D45,INSUMOS!$A$6:$A$205,0)),""))</f>
        <v/>
      </c>
      <c r="G45" s="39"/>
      <c r="H45" s="45" t="str">
        <f aca="false">IF($D45="","",IFERROR(INDEX(INSUMOS!$F$6:$F$205,MATCH($D45,INSUMOS!$A$6:$A$205,0)),0))</f>
        <v/>
      </c>
      <c r="I45" s="34" t="str">
        <f aca="false">IF($D45="","",N($G45)*$H45)</f>
        <v/>
      </c>
      <c r="J45" s="40"/>
      <c r="K45" s="36" t="str">
        <f aca="false">IF($D45="","",IFERROR(INDEX(INSUMOS!$H$6:$H$205,MATCH($D45,INSUMOS!$A$6:$A$205,0)),IVA_VENTAS))</f>
        <v/>
      </c>
      <c r="L45" s="35" t="str">
        <f aca="false">IF($D45="","",N($J45)*$K45)</f>
        <v/>
      </c>
      <c r="M45" s="35" t="str">
        <f aca="false">IF($D45="","",N($J45)+$L45)</f>
        <v/>
      </c>
      <c r="N45" s="43" t="str">
        <f aca="false">IF($D45="","",IFERROR(N($J45)/$I45,0))</f>
        <v/>
      </c>
      <c r="O45" s="6"/>
      <c r="P45" s="6"/>
      <c r="Q45" s="46" t="str">
        <f aca="false">IF($A45="","",DATE(YEAR($A45),MONTH($A45),1))</f>
        <v/>
      </c>
      <c r="R45" s="8" t="str">
        <f aca="false">IF(OR($A45="",$D45=""),"",IF(COUNTIFS($D$6:$D$1005,$D45,$A$6:$A$1005,"&gt;"&amp;$A45)=0,1,0))</f>
        <v/>
      </c>
    </row>
    <row r="46" customFormat="false" ht="15" hidden="false" customHeight="false" outlineLevel="0" collapsed="false">
      <c r="A46" s="44"/>
      <c r="B46" s="6"/>
      <c r="C46" s="6"/>
      <c r="D46" s="6"/>
      <c r="E46" s="8" t="str">
        <f aca="false">IF($D46="","",IFERROR(INDEX(INSUMOS!$B$6:$B$205,MATCH($D46,INSUMOS!$A$6:$A$205,0)),"¿Código?"))</f>
        <v/>
      </c>
      <c r="F46" s="8" t="str">
        <f aca="false">IF($D46="","",IFERROR(INDEX(INSUMOS!$E$6:$E$205,MATCH($D46,INSUMOS!$A$6:$A$205,0)),""))</f>
        <v/>
      </c>
      <c r="G46" s="39"/>
      <c r="H46" s="45" t="str">
        <f aca="false">IF($D46="","",IFERROR(INDEX(INSUMOS!$F$6:$F$205,MATCH($D46,INSUMOS!$A$6:$A$205,0)),0))</f>
        <v/>
      </c>
      <c r="I46" s="34" t="str">
        <f aca="false">IF($D46="","",N($G46)*$H46)</f>
        <v/>
      </c>
      <c r="J46" s="40"/>
      <c r="K46" s="36" t="str">
        <f aca="false">IF($D46="","",IFERROR(INDEX(INSUMOS!$H$6:$H$205,MATCH($D46,INSUMOS!$A$6:$A$205,0)),IVA_VENTAS))</f>
        <v/>
      </c>
      <c r="L46" s="35" t="str">
        <f aca="false">IF($D46="","",N($J46)*$K46)</f>
        <v/>
      </c>
      <c r="M46" s="35" t="str">
        <f aca="false">IF($D46="","",N($J46)+$L46)</f>
        <v/>
      </c>
      <c r="N46" s="43" t="str">
        <f aca="false">IF($D46="","",IFERROR(N($J46)/$I46,0))</f>
        <v/>
      </c>
      <c r="O46" s="6"/>
      <c r="P46" s="6"/>
      <c r="Q46" s="46" t="str">
        <f aca="false">IF($A46="","",DATE(YEAR($A46),MONTH($A46),1))</f>
        <v/>
      </c>
      <c r="R46" s="8" t="str">
        <f aca="false">IF(OR($A46="",$D46=""),"",IF(COUNTIFS($D$6:$D$1005,$D46,$A$6:$A$1005,"&gt;"&amp;$A46)=0,1,0))</f>
        <v/>
      </c>
    </row>
    <row r="47" customFormat="false" ht="15" hidden="false" customHeight="false" outlineLevel="0" collapsed="false">
      <c r="A47" s="44"/>
      <c r="B47" s="6"/>
      <c r="C47" s="6"/>
      <c r="D47" s="6"/>
      <c r="E47" s="8" t="str">
        <f aca="false">IF($D47="","",IFERROR(INDEX(INSUMOS!$B$6:$B$205,MATCH($D47,INSUMOS!$A$6:$A$205,0)),"¿Código?"))</f>
        <v/>
      </c>
      <c r="F47" s="8" t="str">
        <f aca="false">IF($D47="","",IFERROR(INDEX(INSUMOS!$E$6:$E$205,MATCH($D47,INSUMOS!$A$6:$A$205,0)),""))</f>
        <v/>
      </c>
      <c r="G47" s="39"/>
      <c r="H47" s="45" t="str">
        <f aca="false">IF($D47="","",IFERROR(INDEX(INSUMOS!$F$6:$F$205,MATCH($D47,INSUMOS!$A$6:$A$205,0)),0))</f>
        <v/>
      </c>
      <c r="I47" s="34" t="str">
        <f aca="false">IF($D47="","",N($G47)*$H47)</f>
        <v/>
      </c>
      <c r="J47" s="40"/>
      <c r="K47" s="36" t="str">
        <f aca="false">IF($D47="","",IFERROR(INDEX(INSUMOS!$H$6:$H$205,MATCH($D47,INSUMOS!$A$6:$A$205,0)),IVA_VENTAS))</f>
        <v/>
      </c>
      <c r="L47" s="35" t="str">
        <f aca="false">IF($D47="","",N($J47)*$K47)</f>
        <v/>
      </c>
      <c r="M47" s="35" t="str">
        <f aca="false">IF($D47="","",N($J47)+$L47)</f>
        <v/>
      </c>
      <c r="N47" s="43" t="str">
        <f aca="false">IF($D47="","",IFERROR(N($J47)/$I47,0))</f>
        <v/>
      </c>
      <c r="O47" s="6"/>
      <c r="P47" s="6"/>
      <c r="Q47" s="46" t="str">
        <f aca="false">IF($A47="","",DATE(YEAR($A47),MONTH($A47),1))</f>
        <v/>
      </c>
      <c r="R47" s="8" t="str">
        <f aca="false">IF(OR($A47="",$D47=""),"",IF(COUNTIFS($D$6:$D$1005,$D47,$A$6:$A$1005,"&gt;"&amp;$A47)=0,1,0))</f>
        <v/>
      </c>
    </row>
    <row r="48" customFormat="false" ht="15" hidden="false" customHeight="false" outlineLevel="0" collapsed="false">
      <c r="A48" s="44"/>
      <c r="B48" s="6"/>
      <c r="C48" s="6"/>
      <c r="D48" s="6"/>
      <c r="E48" s="8" t="str">
        <f aca="false">IF($D48="","",IFERROR(INDEX(INSUMOS!$B$6:$B$205,MATCH($D48,INSUMOS!$A$6:$A$205,0)),"¿Código?"))</f>
        <v/>
      </c>
      <c r="F48" s="8" t="str">
        <f aca="false">IF($D48="","",IFERROR(INDEX(INSUMOS!$E$6:$E$205,MATCH($D48,INSUMOS!$A$6:$A$205,0)),""))</f>
        <v/>
      </c>
      <c r="G48" s="39"/>
      <c r="H48" s="45" t="str">
        <f aca="false">IF($D48="","",IFERROR(INDEX(INSUMOS!$F$6:$F$205,MATCH($D48,INSUMOS!$A$6:$A$205,0)),0))</f>
        <v/>
      </c>
      <c r="I48" s="34" t="str">
        <f aca="false">IF($D48="","",N($G48)*$H48)</f>
        <v/>
      </c>
      <c r="J48" s="40"/>
      <c r="K48" s="36" t="str">
        <f aca="false">IF($D48="","",IFERROR(INDEX(INSUMOS!$H$6:$H$205,MATCH($D48,INSUMOS!$A$6:$A$205,0)),IVA_VENTAS))</f>
        <v/>
      </c>
      <c r="L48" s="35" t="str">
        <f aca="false">IF($D48="","",N($J48)*$K48)</f>
        <v/>
      </c>
      <c r="M48" s="35" t="str">
        <f aca="false">IF($D48="","",N($J48)+$L48)</f>
        <v/>
      </c>
      <c r="N48" s="43" t="str">
        <f aca="false">IF($D48="","",IFERROR(N($J48)/$I48,0))</f>
        <v/>
      </c>
      <c r="O48" s="6"/>
      <c r="P48" s="6"/>
      <c r="Q48" s="46" t="str">
        <f aca="false">IF($A48="","",DATE(YEAR($A48),MONTH($A48),1))</f>
        <v/>
      </c>
      <c r="R48" s="8" t="str">
        <f aca="false">IF(OR($A48="",$D48=""),"",IF(COUNTIFS($D$6:$D$1005,$D48,$A$6:$A$1005,"&gt;"&amp;$A48)=0,1,0))</f>
        <v/>
      </c>
    </row>
    <row r="49" customFormat="false" ht="15" hidden="false" customHeight="false" outlineLevel="0" collapsed="false">
      <c r="A49" s="44"/>
      <c r="B49" s="6"/>
      <c r="C49" s="6"/>
      <c r="D49" s="6"/>
      <c r="E49" s="8" t="str">
        <f aca="false">IF($D49="","",IFERROR(INDEX(INSUMOS!$B$6:$B$205,MATCH($D49,INSUMOS!$A$6:$A$205,0)),"¿Código?"))</f>
        <v/>
      </c>
      <c r="F49" s="8" t="str">
        <f aca="false">IF($D49="","",IFERROR(INDEX(INSUMOS!$E$6:$E$205,MATCH($D49,INSUMOS!$A$6:$A$205,0)),""))</f>
        <v/>
      </c>
      <c r="G49" s="39"/>
      <c r="H49" s="45" t="str">
        <f aca="false">IF($D49="","",IFERROR(INDEX(INSUMOS!$F$6:$F$205,MATCH($D49,INSUMOS!$A$6:$A$205,0)),0))</f>
        <v/>
      </c>
      <c r="I49" s="34" t="str">
        <f aca="false">IF($D49="","",N($G49)*$H49)</f>
        <v/>
      </c>
      <c r="J49" s="40"/>
      <c r="K49" s="36" t="str">
        <f aca="false">IF($D49="","",IFERROR(INDEX(INSUMOS!$H$6:$H$205,MATCH($D49,INSUMOS!$A$6:$A$205,0)),IVA_VENTAS))</f>
        <v/>
      </c>
      <c r="L49" s="35" t="str">
        <f aca="false">IF($D49="","",N($J49)*$K49)</f>
        <v/>
      </c>
      <c r="M49" s="35" t="str">
        <f aca="false">IF($D49="","",N($J49)+$L49)</f>
        <v/>
      </c>
      <c r="N49" s="43" t="str">
        <f aca="false">IF($D49="","",IFERROR(N($J49)/$I49,0))</f>
        <v/>
      </c>
      <c r="O49" s="6"/>
      <c r="P49" s="6"/>
      <c r="Q49" s="46" t="str">
        <f aca="false">IF($A49="","",DATE(YEAR($A49),MONTH($A49),1))</f>
        <v/>
      </c>
      <c r="R49" s="8" t="str">
        <f aca="false">IF(OR($A49="",$D49=""),"",IF(COUNTIFS($D$6:$D$1005,$D49,$A$6:$A$1005,"&gt;"&amp;$A49)=0,1,0))</f>
        <v/>
      </c>
    </row>
    <row r="50" customFormat="false" ht="15" hidden="false" customHeight="false" outlineLevel="0" collapsed="false">
      <c r="A50" s="44"/>
      <c r="B50" s="6"/>
      <c r="C50" s="6"/>
      <c r="D50" s="6"/>
      <c r="E50" s="8" t="str">
        <f aca="false">IF($D50="","",IFERROR(INDEX(INSUMOS!$B$6:$B$205,MATCH($D50,INSUMOS!$A$6:$A$205,0)),"¿Código?"))</f>
        <v/>
      </c>
      <c r="F50" s="8" t="str">
        <f aca="false">IF($D50="","",IFERROR(INDEX(INSUMOS!$E$6:$E$205,MATCH($D50,INSUMOS!$A$6:$A$205,0)),""))</f>
        <v/>
      </c>
      <c r="G50" s="39"/>
      <c r="H50" s="45" t="str">
        <f aca="false">IF($D50="","",IFERROR(INDEX(INSUMOS!$F$6:$F$205,MATCH($D50,INSUMOS!$A$6:$A$205,0)),0))</f>
        <v/>
      </c>
      <c r="I50" s="34" t="str">
        <f aca="false">IF($D50="","",N($G50)*$H50)</f>
        <v/>
      </c>
      <c r="J50" s="40"/>
      <c r="K50" s="36" t="str">
        <f aca="false">IF($D50="","",IFERROR(INDEX(INSUMOS!$H$6:$H$205,MATCH($D50,INSUMOS!$A$6:$A$205,0)),IVA_VENTAS))</f>
        <v/>
      </c>
      <c r="L50" s="35" t="str">
        <f aca="false">IF($D50="","",N($J50)*$K50)</f>
        <v/>
      </c>
      <c r="M50" s="35" t="str">
        <f aca="false">IF($D50="","",N($J50)+$L50)</f>
        <v/>
      </c>
      <c r="N50" s="43" t="str">
        <f aca="false">IF($D50="","",IFERROR(N($J50)/$I50,0))</f>
        <v/>
      </c>
      <c r="O50" s="6"/>
      <c r="P50" s="6"/>
      <c r="Q50" s="46" t="str">
        <f aca="false">IF($A50="","",DATE(YEAR($A50),MONTH($A50),1))</f>
        <v/>
      </c>
      <c r="R50" s="8" t="str">
        <f aca="false">IF(OR($A50="",$D50=""),"",IF(COUNTIFS($D$6:$D$1005,$D50,$A$6:$A$1005,"&gt;"&amp;$A50)=0,1,0))</f>
        <v/>
      </c>
    </row>
    <row r="51" customFormat="false" ht="15" hidden="false" customHeight="false" outlineLevel="0" collapsed="false">
      <c r="A51" s="44"/>
      <c r="B51" s="6"/>
      <c r="C51" s="6"/>
      <c r="D51" s="6"/>
      <c r="E51" s="8" t="str">
        <f aca="false">IF($D51="","",IFERROR(INDEX(INSUMOS!$B$6:$B$205,MATCH($D51,INSUMOS!$A$6:$A$205,0)),"¿Código?"))</f>
        <v/>
      </c>
      <c r="F51" s="8" t="str">
        <f aca="false">IF($D51="","",IFERROR(INDEX(INSUMOS!$E$6:$E$205,MATCH($D51,INSUMOS!$A$6:$A$205,0)),""))</f>
        <v/>
      </c>
      <c r="G51" s="39"/>
      <c r="H51" s="45" t="str">
        <f aca="false">IF($D51="","",IFERROR(INDEX(INSUMOS!$F$6:$F$205,MATCH($D51,INSUMOS!$A$6:$A$205,0)),0))</f>
        <v/>
      </c>
      <c r="I51" s="34" t="str">
        <f aca="false">IF($D51="","",N($G51)*$H51)</f>
        <v/>
      </c>
      <c r="J51" s="40"/>
      <c r="K51" s="36" t="str">
        <f aca="false">IF($D51="","",IFERROR(INDEX(INSUMOS!$H$6:$H$205,MATCH($D51,INSUMOS!$A$6:$A$205,0)),IVA_VENTAS))</f>
        <v/>
      </c>
      <c r="L51" s="35" t="str">
        <f aca="false">IF($D51="","",N($J51)*$K51)</f>
        <v/>
      </c>
      <c r="M51" s="35" t="str">
        <f aca="false">IF($D51="","",N($J51)+$L51)</f>
        <v/>
      </c>
      <c r="N51" s="43" t="str">
        <f aca="false">IF($D51="","",IFERROR(N($J51)/$I51,0))</f>
        <v/>
      </c>
      <c r="O51" s="6"/>
      <c r="P51" s="6"/>
      <c r="Q51" s="46" t="str">
        <f aca="false">IF($A51="","",DATE(YEAR($A51),MONTH($A51),1))</f>
        <v/>
      </c>
      <c r="R51" s="8" t="str">
        <f aca="false">IF(OR($A51="",$D51=""),"",IF(COUNTIFS($D$6:$D$1005,$D51,$A$6:$A$1005,"&gt;"&amp;$A51)=0,1,0))</f>
        <v/>
      </c>
    </row>
    <row r="52" customFormat="false" ht="15" hidden="false" customHeight="false" outlineLevel="0" collapsed="false">
      <c r="A52" s="44"/>
      <c r="B52" s="6"/>
      <c r="C52" s="6"/>
      <c r="D52" s="6"/>
      <c r="E52" s="8" t="str">
        <f aca="false">IF($D52="","",IFERROR(INDEX(INSUMOS!$B$6:$B$205,MATCH($D52,INSUMOS!$A$6:$A$205,0)),"¿Código?"))</f>
        <v/>
      </c>
      <c r="F52" s="8" t="str">
        <f aca="false">IF($D52="","",IFERROR(INDEX(INSUMOS!$E$6:$E$205,MATCH($D52,INSUMOS!$A$6:$A$205,0)),""))</f>
        <v/>
      </c>
      <c r="G52" s="39"/>
      <c r="H52" s="45" t="str">
        <f aca="false">IF($D52="","",IFERROR(INDEX(INSUMOS!$F$6:$F$205,MATCH($D52,INSUMOS!$A$6:$A$205,0)),0))</f>
        <v/>
      </c>
      <c r="I52" s="34" t="str">
        <f aca="false">IF($D52="","",N($G52)*$H52)</f>
        <v/>
      </c>
      <c r="J52" s="40"/>
      <c r="K52" s="36" t="str">
        <f aca="false">IF($D52="","",IFERROR(INDEX(INSUMOS!$H$6:$H$205,MATCH($D52,INSUMOS!$A$6:$A$205,0)),IVA_VENTAS))</f>
        <v/>
      </c>
      <c r="L52" s="35" t="str">
        <f aca="false">IF($D52="","",N($J52)*$K52)</f>
        <v/>
      </c>
      <c r="M52" s="35" t="str">
        <f aca="false">IF($D52="","",N($J52)+$L52)</f>
        <v/>
      </c>
      <c r="N52" s="43" t="str">
        <f aca="false">IF($D52="","",IFERROR(N($J52)/$I52,0))</f>
        <v/>
      </c>
      <c r="O52" s="6"/>
      <c r="P52" s="6"/>
      <c r="Q52" s="46" t="str">
        <f aca="false">IF($A52="","",DATE(YEAR($A52),MONTH($A52),1))</f>
        <v/>
      </c>
      <c r="R52" s="8" t="str">
        <f aca="false">IF(OR($A52="",$D52=""),"",IF(COUNTIFS($D$6:$D$1005,$D52,$A$6:$A$1005,"&gt;"&amp;$A52)=0,1,0))</f>
        <v/>
      </c>
    </row>
    <row r="53" customFormat="false" ht="15" hidden="false" customHeight="false" outlineLevel="0" collapsed="false">
      <c r="A53" s="44"/>
      <c r="B53" s="6"/>
      <c r="C53" s="6"/>
      <c r="D53" s="6"/>
      <c r="E53" s="8" t="str">
        <f aca="false">IF($D53="","",IFERROR(INDEX(INSUMOS!$B$6:$B$205,MATCH($D53,INSUMOS!$A$6:$A$205,0)),"¿Código?"))</f>
        <v/>
      </c>
      <c r="F53" s="8" t="str">
        <f aca="false">IF($D53="","",IFERROR(INDEX(INSUMOS!$E$6:$E$205,MATCH($D53,INSUMOS!$A$6:$A$205,0)),""))</f>
        <v/>
      </c>
      <c r="G53" s="39"/>
      <c r="H53" s="45" t="str">
        <f aca="false">IF($D53="","",IFERROR(INDEX(INSUMOS!$F$6:$F$205,MATCH($D53,INSUMOS!$A$6:$A$205,0)),0))</f>
        <v/>
      </c>
      <c r="I53" s="34" t="str">
        <f aca="false">IF($D53="","",N($G53)*$H53)</f>
        <v/>
      </c>
      <c r="J53" s="40"/>
      <c r="K53" s="36" t="str">
        <f aca="false">IF($D53="","",IFERROR(INDEX(INSUMOS!$H$6:$H$205,MATCH($D53,INSUMOS!$A$6:$A$205,0)),IVA_VENTAS))</f>
        <v/>
      </c>
      <c r="L53" s="35" t="str">
        <f aca="false">IF($D53="","",N($J53)*$K53)</f>
        <v/>
      </c>
      <c r="M53" s="35" t="str">
        <f aca="false">IF($D53="","",N($J53)+$L53)</f>
        <v/>
      </c>
      <c r="N53" s="43" t="str">
        <f aca="false">IF($D53="","",IFERROR(N($J53)/$I53,0))</f>
        <v/>
      </c>
      <c r="O53" s="6"/>
      <c r="P53" s="6"/>
      <c r="Q53" s="46" t="str">
        <f aca="false">IF($A53="","",DATE(YEAR($A53),MONTH($A53),1))</f>
        <v/>
      </c>
      <c r="R53" s="8" t="str">
        <f aca="false">IF(OR($A53="",$D53=""),"",IF(COUNTIFS($D$6:$D$1005,$D53,$A$6:$A$1005,"&gt;"&amp;$A53)=0,1,0))</f>
        <v/>
      </c>
    </row>
    <row r="54" customFormat="false" ht="15" hidden="false" customHeight="false" outlineLevel="0" collapsed="false">
      <c r="A54" s="44"/>
      <c r="B54" s="6"/>
      <c r="C54" s="6"/>
      <c r="D54" s="6"/>
      <c r="E54" s="8" t="str">
        <f aca="false">IF($D54="","",IFERROR(INDEX(INSUMOS!$B$6:$B$205,MATCH($D54,INSUMOS!$A$6:$A$205,0)),"¿Código?"))</f>
        <v/>
      </c>
      <c r="F54" s="8" t="str">
        <f aca="false">IF($D54="","",IFERROR(INDEX(INSUMOS!$E$6:$E$205,MATCH($D54,INSUMOS!$A$6:$A$205,0)),""))</f>
        <v/>
      </c>
      <c r="G54" s="39"/>
      <c r="H54" s="45" t="str">
        <f aca="false">IF($D54="","",IFERROR(INDEX(INSUMOS!$F$6:$F$205,MATCH($D54,INSUMOS!$A$6:$A$205,0)),0))</f>
        <v/>
      </c>
      <c r="I54" s="34" t="str">
        <f aca="false">IF($D54="","",N($G54)*$H54)</f>
        <v/>
      </c>
      <c r="J54" s="40"/>
      <c r="K54" s="36" t="str">
        <f aca="false">IF($D54="","",IFERROR(INDEX(INSUMOS!$H$6:$H$205,MATCH($D54,INSUMOS!$A$6:$A$205,0)),IVA_VENTAS))</f>
        <v/>
      </c>
      <c r="L54" s="35" t="str">
        <f aca="false">IF($D54="","",N($J54)*$K54)</f>
        <v/>
      </c>
      <c r="M54" s="35" t="str">
        <f aca="false">IF($D54="","",N($J54)+$L54)</f>
        <v/>
      </c>
      <c r="N54" s="43" t="str">
        <f aca="false">IF($D54="","",IFERROR(N($J54)/$I54,0))</f>
        <v/>
      </c>
      <c r="O54" s="6"/>
      <c r="P54" s="6"/>
      <c r="Q54" s="46" t="str">
        <f aca="false">IF($A54="","",DATE(YEAR($A54),MONTH($A54),1))</f>
        <v/>
      </c>
      <c r="R54" s="8" t="str">
        <f aca="false">IF(OR($A54="",$D54=""),"",IF(COUNTIFS($D$6:$D$1005,$D54,$A$6:$A$1005,"&gt;"&amp;$A54)=0,1,0))</f>
        <v/>
      </c>
    </row>
    <row r="55" customFormat="false" ht="15" hidden="false" customHeight="false" outlineLevel="0" collapsed="false">
      <c r="A55" s="44"/>
      <c r="B55" s="6"/>
      <c r="C55" s="6"/>
      <c r="D55" s="6"/>
      <c r="E55" s="8" t="str">
        <f aca="false">IF($D55="","",IFERROR(INDEX(INSUMOS!$B$6:$B$205,MATCH($D55,INSUMOS!$A$6:$A$205,0)),"¿Código?"))</f>
        <v/>
      </c>
      <c r="F55" s="8" t="str">
        <f aca="false">IF($D55="","",IFERROR(INDEX(INSUMOS!$E$6:$E$205,MATCH($D55,INSUMOS!$A$6:$A$205,0)),""))</f>
        <v/>
      </c>
      <c r="G55" s="39"/>
      <c r="H55" s="45" t="str">
        <f aca="false">IF($D55="","",IFERROR(INDEX(INSUMOS!$F$6:$F$205,MATCH($D55,INSUMOS!$A$6:$A$205,0)),0))</f>
        <v/>
      </c>
      <c r="I55" s="34" t="str">
        <f aca="false">IF($D55="","",N($G55)*$H55)</f>
        <v/>
      </c>
      <c r="J55" s="40"/>
      <c r="K55" s="36" t="str">
        <f aca="false">IF($D55="","",IFERROR(INDEX(INSUMOS!$H$6:$H$205,MATCH($D55,INSUMOS!$A$6:$A$205,0)),IVA_VENTAS))</f>
        <v/>
      </c>
      <c r="L55" s="35" t="str">
        <f aca="false">IF($D55="","",N($J55)*$K55)</f>
        <v/>
      </c>
      <c r="M55" s="35" t="str">
        <f aca="false">IF($D55="","",N($J55)+$L55)</f>
        <v/>
      </c>
      <c r="N55" s="43" t="str">
        <f aca="false">IF($D55="","",IFERROR(N($J55)/$I55,0))</f>
        <v/>
      </c>
      <c r="O55" s="6"/>
      <c r="P55" s="6"/>
      <c r="Q55" s="46" t="str">
        <f aca="false">IF($A55="","",DATE(YEAR($A55),MONTH($A55),1))</f>
        <v/>
      </c>
      <c r="R55" s="8" t="str">
        <f aca="false">IF(OR($A55="",$D55=""),"",IF(COUNTIFS($D$6:$D$1005,$D55,$A$6:$A$1005,"&gt;"&amp;$A55)=0,1,0))</f>
        <v/>
      </c>
    </row>
    <row r="56" customFormat="false" ht="15" hidden="false" customHeight="false" outlineLevel="0" collapsed="false">
      <c r="A56" s="44"/>
      <c r="B56" s="6"/>
      <c r="C56" s="6"/>
      <c r="D56" s="6"/>
      <c r="E56" s="8" t="str">
        <f aca="false">IF($D56="","",IFERROR(INDEX(INSUMOS!$B$6:$B$205,MATCH($D56,INSUMOS!$A$6:$A$205,0)),"¿Código?"))</f>
        <v/>
      </c>
      <c r="F56" s="8" t="str">
        <f aca="false">IF($D56="","",IFERROR(INDEX(INSUMOS!$E$6:$E$205,MATCH($D56,INSUMOS!$A$6:$A$205,0)),""))</f>
        <v/>
      </c>
      <c r="G56" s="39"/>
      <c r="H56" s="45" t="str">
        <f aca="false">IF($D56="","",IFERROR(INDEX(INSUMOS!$F$6:$F$205,MATCH($D56,INSUMOS!$A$6:$A$205,0)),0))</f>
        <v/>
      </c>
      <c r="I56" s="34" t="str">
        <f aca="false">IF($D56="","",N($G56)*$H56)</f>
        <v/>
      </c>
      <c r="J56" s="40"/>
      <c r="K56" s="36" t="str">
        <f aca="false">IF($D56="","",IFERROR(INDEX(INSUMOS!$H$6:$H$205,MATCH($D56,INSUMOS!$A$6:$A$205,0)),IVA_VENTAS))</f>
        <v/>
      </c>
      <c r="L56" s="35" t="str">
        <f aca="false">IF($D56="","",N($J56)*$K56)</f>
        <v/>
      </c>
      <c r="M56" s="35" t="str">
        <f aca="false">IF($D56="","",N($J56)+$L56)</f>
        <v/>
      </c>
      <c r="N56" s="43" t="str">
        <f aca="false">IF($D56="","",IFERROR(N($J56)/$I56,0))</f>
        <v/>
      </c>
      <c r="O56" s="6"/>
      <c r="P56" s="6"/>
      <c r="Q56" s="46" t="str">
        <f aca="false">IF($A56="","",DATE(YEAR($A56),MONTH($A56),1))</f>
        <v/>
      </c>
      <c r="R56" s="8" t="str">
        <f aca="false">IF(OR($A56="",$D56=""),"",IF(COUNTIFS($D$6:$D$1005,$D56,$A$6:$A$1005,"&gt;"&amp;$A56)=0,1,0))</f>
        <v/>
      </c>
    </row>
    <row r="57" customFormat="false" ht="15" hidden="false" customHeight="false" outlineLevel="0" collapsed="false">
      <c r="A57" s="44"/>
      <c r="B57" s="6"/>
      <c r="C57" s="6"/>
      <c r="D57" s="6"/>
      <c r="E57" s="8" t="str">
        <f aca="false">IF($D57="","",IFERROR(INDEX(INSUMOS!$B$6:$B$205,MATCH($D57,INSUMOS!$A$6:$A$205,0)),"¿Código?"))</f>
        <v/>
      </c>
      <c r="F57" s="8" t="str">
        <f aca="false">IF($D57="","",IFERROR(INDEX(INSUMOS!$E$6:$E$205,MATCH($D57,INSUMOS!$A$6:$A$205,0)),""))</f>
        <v/>
      </c>
      <c r="G57" s="39"/>
      <c r="H57" s="45" t="str">
        <f aca="false">IF($D57="","",IFERROR(INDEX(INSUMOS!$F$6:$F$205,MATCH($D57,INSUMOS!$A$6:$A$205,0)),0))</f>
        <v/>
      </c>
      <c r="I57" s="34" t="str">
        <f aca="false">IF($D57="","",N($G57)*$H57)</f>
        <v/>
      </c>
      <c r="J57" s="40"/>
      <c r="K57" s="36" t="str">
        <f aca="false">IF($D57="","",IFERROR(INDEX(INSUMOS!$H$6:$H$205,MATCH($D57,INSUMOS!$A$6:$A$205,0)),IVA_VENTAS))</f>
        <v/>
      </c>
      <c r="L57" s="35" t="str">
        <f aca="false">IF($D57="","",N($J57)*$K57)</f>
        <v/>
      </c>
      <c r="M57" s="35" t="str">
        <f aca="false">IF($D57="","",N($J57)+$L57)</f>
        <v/>
      </c>
      <c r="N57" s="43" t="str">
        <f aca="false">IF($D57="","",IFERROR(N($J57)/$I57,0))</f>
        <v/>
      </c>
      <c r="O57" s="6"/>
      <c r="P57" s="6"/>
      <c r="Q57" s="46" t="str">
        <f aca="false">IF($A57="","",DATE(YEAR($A57),MONTH($A57),1))</f>
        <v/>
      </c>
      <c r="R57" s="8" t="str">
        <f aca="false">IF(OR($A57="",$D57=""),"",IF(COUNTIFS($D$6:$D$1005,$D57,$A$6:$A$1005,"&gt;"&amp;$A57)=0,1,0))</f>
        <v/>
      </c>
    </row>
    <row r="58" customFormat="false" ht="15" hidden="false" customHeight="false" outlineLevel="0" collapsed="false">
      <c r="A58" s="44"/>
      <c r="B58" s="6"/>
      <c r="C58" s="6"/>
      <c r="D58" s="6"/>
      <c r="E58" s="8" t="str">
        <f aca="false">IF($D58="","",IFERROR(INDEX(INSUMOS!$B$6:$B$205,MATCH($D58,INSUMOS!$A$6:$A$205,0)),"¿Código?"))</f>
        <v/>
      </c>
      <c r="F58" s="8" t="str">
        <f aca="false">IF($D58="","",IFERROR(INDEX(INSUMOS!$E$6:$E$205,MATCH($D58,INSUMOS!$A$6:$A$205,0)),""))</f>
        <v/>
      </c>
      <c r="G58" s="39"/>
      <c r="H58" s="45" t="str">
        <f aca="false">IF($D58="","",IFERROR(INDEX(INSUMOS!$F$6:$F$205,MATCH($D58,INSUMOS!$A$6:$A$205,0)),0))</f>
        <v/>
      </c>
      <c r="I58" s="34" t="str">
        <f aca="false">IF($D58="","",N($G58)*$H58)</f>
        <v/>
      </c>
      <c r="J58" s="40"/>
      <c r="K58" s="36" t="str">
        <f aca="false">IF($D58="","",IFERROR(INDEX(INSUMOS!$H$6:$H$205,MATCH($D58,INSUMOS!$A$6:$A$205,0)),IVA_VENTAS))</f>
        <v/>
      </c>
      <c r="L58" s="35" t="str">
        <f aca="false">IF($D58="","",N($J58)*$K58)</f>
        <v/>
      </c>
      <c r="M58" s="35" t="str">
        <f aca="false">IF($D58="","",N($J58)+$L58)</f>
        <v/>
      </c>
      <c r="N58" s="43" t="str">
        <f aca="false">IF($D58="","",IFERROR(N($J58)/$I58,0))</f>
        <v/>
      </c>
      <c r="O58" s="6"/>
      <c r="P58" s="6"/>
      <c r="Q58" s="46" t="str">
        <f aca="false">IF($A58="","",DATE(YEAR($A58),MONTH($A58),1))</f>
        <v/>
      </c>
      <c r="R58" s="8" t="str">
        <f aca="false">IF(OR($A58="",$D58=""),"",IF(COUNTIFS($D$6:$D$1005,$D58,$A$6:$A$1005,"&gt;"&amp;$A58)=0,1,0))</f>
        <v/>
      </c>
    </row>
    <row r="59" customFormat="false" ht="15" hidden="false" customHeight="false" outlineLevel="0" collapsed="false">
      <c r="A59" s="44"/>
      <c r="B59" s="6"/>
      <c r="C59" s="6"/>
      <c r="D59" s="6"/>
      <c r="E59" s="8" t="str">
        <f aca="false">IF($D59="","",IFERROR(INDEX(INSUMOS!$B$6:$B$205,MATCH($D59,INSUMOS!$A$6:$A$205,0)),"¿Código?"))</f>
        <v/>
      </c>
      <c r="F59" s="8" t="str">
        <f aca="false">IF($D59="","",IFERROR(INDEX(INSUMOS!$E$6:$E$205,MATCH($D59,INSUMOS!$A$6:$A$205,0)),""))</f>
        <v/>
      </c>
      <c r="G59" s="39"/>
      <c r="H59" s="45" t="str">
        <f aca="false">IF($D59="","",IFERROR(INDEX(INSUMOS!$F$6:$F$205,MATCH($D59,INSUMOS!$A$6:$A$205,0)),0))</f>
        <v/>
      </c>
      <c r="I59" s="34" t="str">
        <f aca="false">IF($D59="","",N($G59)*$H59)</f>
        <v/>
      </c>
      <c r="J59" s="40"/>
      <c r="K59" s="36" t="str">
        <f aca="false">IF($D59="","",IFERROR(INDEX(INSUMOS!$H$6:$H$205,MATCH($D59,INSUMOS!$A$6:$A$205,0)),IVA_VENTAS))</f>
        <v/>
      </c>
      <c r="L59" s="35" t="str">
        <f aca="false">IF($D59="","",N($J59)*$K59)</f>
        <v/>
      </c>
      <c r="M59" s="35" t="str">
        <f aca="false">IF($D59="","",N($J59)+$L59)</f>
        <v/>
      </c>
      <c r="N59" s="43" t="str">
        <f aca="false">IF($D59="","",IFERROR(N($J59)/$I59,0))</f>
        <v/>
      </c>
      <c r="O59" s="6"/>
      <c r="P59" s="6"/>
      <c r="Q59" s="46" t="str">
        <f aca="false">IF($A59="","",DATE(YEAR($A59),MONTH($A59),1))</f>
        <v/>
      </c>
      <c r="R59" s="8" t="str">
        <f aca="false">IF(OR($A59="",$D59=""),"",IF(COUNTIFS($D$6:$D$1005,$D59,$A$6:$A$1005,"&gt;"&amp;$A59)=0,1,0))</f>
        <v/>
      </c>
    </row>
    <row r="60" customFormat="false" ht="15" hidden="false" customHeight="false" outlineLevel="0" collapsed="false">
      <c r="A60" s="44"/>
      <c r="B60" s="6"/>
      <c r="C60" s="6"/>
      <c r="D60" s="6"/>
      <c r="E60" s="8" t="str">
        <f aca="false">IF($D60="","",IFERROR(INDEX(INSUMOS!$B$6:$B$205,MATCH($D60,INSUMOS!$A$6:$A$205,0)),"¿Código?"))</f>
        <v/>
      </c>
      <c r="F60" s="8" t="str">
        <f aca="false">IF($D60="","",IFERROR(INDEX(INSUMOS!$E$6:$E$205,MATCH($D60,INSUMOS!$A$6:$A$205,0)),""))</f>
        <v/>
      </c>
      <c r="G60" s="39"/>
      <c r="H60" s="45" t="str">
        <f aca="false">IF($D60="","",IFERROR(INDEX(INSUMOS!$F$6:$F$205,MATCH($D60,INSUMOS!$A$6:$A$205,0)),0))</f>
        <v/>
      </c>
      <c r="I60" s="34" t="str">
        <f aca="false">IF($D60="","",N($G60)*$H60)</f>
        <v/>
      </c>
      <c r="J60" s="40"/>
      <c r="K60" s="36" t="str">
        <f aca="false">IF($D60="","",IFERROR(INDEX(INSUMOS!$H$6:$H$205,MATCH($D60,INSUMOS!$A$6:$A$205,0)),IVA_VENTAS))</f>
        <v/>
      </c>
      <c r="L60" s="35" t="str">
        <f aca="false">IF($D60="","",N($J60)*$K60)</f>
        <v/>
      </c>
      <c r="M60" s="35" t="str">
        <f aca="false">IF($D60="","",N($J60)+$L60)</f>
        <v/>
      </c>
      <c r="N60" s="43" t="str">
        <f aca="false">IF($D60="","",IFERROR(N($J60)/$I60,0))</f>
        <v/>
      </c>
      <c r="O60" s="6"/>
      <c r="P60" s="6"/>
      <c r="Q60" s="46" t="str">
        <f aca="false">IF($A60="","",DATE(YEAR($A60),MONTH($A60),1))</f>
        <v/>
      </c>
      <c r="R60" s="8" t="str">
        <f aca="false">IF(OR($A60="",$D60=""),"",IF(COUNTIFS($D$6:$D$1005,$D60,$A$6:$A$1005,"&gt;"&amp;$A60)=0,1,0))</f>
        <v/>
      </c>
    </row>
    <row r="61" customFormat="false" ht="15" hidden="false" customHeight="false" outlineLevel="0" collapsed="false">
      <c r="A61" s="44"/>
      <c r="B61" s="6"/>
      <c r="C61" s="6"/>
      <c r="D61" s="6"/>
      <c r="E61" s="8" t="str">
        <f aca="false">IF($D61="","",IFERROR(INDEX(INSUMOS!$B$6:$B$205,MATCH($D61,INSUMOS!$A$6:$A$205,0)),"¿Código?"))</f>
        <v/>
      </c>
      <c r="F61" s="8" t="str">
        <f aca="false">IF($D61="","",IFERROR(INDEX(INSUMOS!$E$6:$E$205,MATCH($D61,INSUMOS!$A$6:$A$205,0)),""))</f>
        <v/>
      </c>
      <c r="G61" s="39"/>
      <c r="H61" s="45" t="str">
        <f aca="false">IF($D61="","",IFERROR(INDEX(INSUMOS!$F$6:$F$205,MATCH($D61,INSUMOS!$A$6:$A$205,0)),0))</f>
        <v/>
      </c>
      <c r="I61" s="34" t="str">
        <f aca="false">IF($D61="","",N($G61)*$H61)</f>
        <v/>
      </c>
      <c r="J61" s="40"/>
      <c r="K61" s="36" t="str">
        <f aca="false">IF($D61="","",IFERROR(INDEX(INSUMOS!$H$6:$H$205,MATCH($D61,INSUMOS!$A$6:$A$205,0)),IVA_VENTAS))</f>
        <v/>
      </c>
      <c r="L61" s="35" t="str">
        <f aca="false">IF($D61="","",N($J61)*$K61)</f>
        <v/>
      </c>
      <c r="M61" s="35" t="str">
        <f aca="false">IF($D61="","",N($J61)+$L61)</f>
        <v/>
      </c>
      <c r="N61" s="43" t="str">
        <f aca="false">IF($D61="","",IFERROR(N($J61)/$I61,0))</f>
        <v/>
      </c>
      <c r="O61" s="6"/>
      <c r="P61" s="6"/>
      <c r="Q61" s="46" t="str">
        <f aca="false">IF($A61="","",DATE(YEAR($A61),MONTH($A61),1))</f>
        <v/>
      </c>
      <c r="R61" s="8" t="str">
        <f aca="false">IF(OR($A61="",$D61=""),"",IF(COUNTIFS($D$6:$D$1005,$D61,$A$6:$A$1005,"&gt;"&amp;$A61)=0,1,0))</f>
        <v/>
      </c>
    </row>
    <row r="62" customFormat="false" ht="15" hidden="false" customHeight="false" outlineLevel="0" collapsed="false">
      <c r="A62" s="44"/>
      <c r="B62" s="6"/>
      <c r="C62" s="6"/>
      <c r="D62" s="6"/>
      <c r="E62" s="8" t="str">
        <f aca="false">IF($D62="","",IFERROR(INDEX(INSUMOS!$B$6:$B$205,MATCH($D62,INSUMOS!$A$6:$A$205,0)),"¿Código?"))</f>
        <v/>
      </c>
      <c r="F62" s="8" t="str">
        <f aca="false">IF($D62="","",IFERROR(INDEX(INSUMOS!$E$6:$E$205,MATCH($D62,INSUMOS!$A$6:$A$205,0)),""))</f>
        <v/>
      </c>
      <c r="G62" s="39"/>
      <c r="H62" s="45" t="str">
        <f aca="false">IF($D62="","",IFERROR(INDEX(INSUMOS!$F$6:$F$205,MATCH($D62,INSUMOS!$A$6:$A$205,0)),0))</f>
        <v/>
      </c>
      <c r="I62" s="34" t="str">
        <f aca="false">IF($D62="","",N($G62)*$H62)</f>
        <v/>
      </c>
      <c r="J62" s="40"/>
      <c r="K62" s="36" t="str">
        <f aca="false">IF($D62="","",IFERROR(INDEX(INSUMOS!$H$6:$H$205,MATCH($D62,INSUMOS!$A$6:$A$205,0)),IVA_VENTAS))</f>
        <v/>
      </c>
      <c r="L62" s="35" t="str">
        <f aca="false">IF($D62="","",N($J62)*$K62)</f>
        <v/>
      </c>
      <c r="M62" s="35" t="str">
        <f aca="false">IF($D62="","",N($J62)+$L62)</f>
        <v/>
      </c>
      <c r="N62" s="43" t="str">
        <f aca="false">IF($D62="","",IFERROR(N($J62)/$I62,0))</f>
        <v/>
      </c>
      <c r="O62" s="6"/>
      <c r="P62" s="6"/>
      <c r="Q62" s="46" t="str">
        <f aca="false">IF($A62="","",DATE(YEAR($A62),MONTH($A62),1))</f>
        <v/>
      </c>
      <c r="R62" s="8" t="str">
        <f aca="false">IF(OR($A62="",$D62=""),"",IF(COUNTIFS($D$6:$D$1005,$D62,$A$6:$A$1005,"&gt;"&amp;$A62)=0,1,0))</f>
        <v/>
      </c>
    </row>
    <row r="63" customFormat="false" ht="15" hidden="false" customHeight="false" outlineLevel="0" collapsed="false">
      <c r="A63" s="44"/>
      <c r="B63" s="6"/>
      <c r="C63" s="6"/>
      <c r="D63" s="6"/>
      <c r="E63" s="8" t="str">
        <f aca="false">IF($D63="","",IFERROR(INDEX(INSUMOS!$B$6:$B$205,MATCH($D63,INSUMOS!$A$6:$A$205,0)),"¿Código?"))</f>
        <v/>
      </c>
      <c r="F63" s="8" t="str">
        <f aca="false">IF($D63="","",IFERROR(INDEX(INSUMOS!$E$6:$E$205,MATCH($D63,INSUMOS!$A$6:$A$205,0)),""))</f>
        <v/>
      </c>
      <c r="G63" s="39"/>
      <c r="H63" s="45" t="str">
        <f aca="false">IF($D63="","",IFERROR(INDEX(INSUMOS!$F$6:$F$205,MATCH($D63,INSUMOS!$A$6:$A$205,0)),0))</f>
        <v/>
      </c>
      <c r="I63" s="34" t="str">
        <f aca="false">IF($D63="","",N($G63)*$H63)</f>
        <v/>
      </c>
      <c r="J63" s="40"/>
      <c r="K63" s="36" t="str">
        <f aca="false">IF($D63="","",IFERROR(INDEX(INSUMOS!$H$6:$H$205,MATCH($D63,INSUMOS!$A$6:$A$205,0)),IVA_VENTAS))</f>
        <v/>
      </c>
      <c r="L63" s="35" t="str">
        <f aca="false">IF($D63="","",N($J63)*$K63)</f>
        <v/>
      </c>
      <c r="M63" s="35" t="str">
        <f aca="false">IF($D63="","",N($J63)+$L63)</f>
        <v/>
      </c>
      <c r="N63" s="43" t="str">
        <f aca="false">IF($D63="","",IFERROR(N($J63)/$I63,0))</f>
        <v/>
      </c>
      <c r="O63" s="6"/>
      <c r="P63" s="6"/>
      <c r="Q63" s="46" t="str">
        <f aca="false">IF($A63="","",DATE(YEAR($A63),MONTH($A63),1))</f>
        <v/>
      </c>
      <c r="R63" s="8" t="str">
        <f aca="false">IF(OR($A63="",$D63=""),"",IF(COUNTIFS($D$6:$D$1005,$D63,$A$6:$A$1005,"&gt;"&amp;$A63)=0,1,0))</f>
        <v/>
      </c>
    </row>
    <row r="64" customFormat="false" ht="15" hidden="false" customHeight="false" outlineLevel="0" collapsed="false">
      <c r="A64" s="44"/>
      <c r="B64" s="6"/>
      <c r="C64" s="6"/>
      <c r="D64" s="6"/>
      <c r="E64" s="8" t="str">
        <f aca="false">IF($D64="","",IFERROR(INDEX(INSUMOS!$B$6:$B$205,MATCH($D64,INSUMOS!$A$6:$A$205,0)),"¿Código?"))</f>
        <v/>
      </c>
      <c r="F64" s="8" t="str">
        <f aca="false">IF($D64="","",IFERROR(INDEX(INSUMOS!$E$6:$E$205,MATCH($D64,INSUMOS!$A$6:$A$205,0)),""))</f>
        <v/>
      </c>
      <c r="G64" s="39"/>
      <c r="H64" s="45" t="str">
        <f aca="false">IF($D64="","",IFERROR(INDEX(INSUMOS!$F$6:$F$205,MATCH($D64,INSUMOS!$A$6:$A$205,0)),0))</f>
        <v/>
      </c>
      <c r="I64" s="34" t="str">
        <f aca="false">IF($D64="","",N($G64)*$H64)</f>
        <v/>
      </c>
      <c r="J64" s="40"/>
      <c r="K64" s="36" t="str">
        <f aca="false">IF($D64="","",IFERROR(INDEX(INSUMOS!$H$6:$H$205,MATCH($D64,INSUMOS!$A$6:$A$205,0)),IVA_VENTAS))</f>
        <v/>
      </c>
      <c r="L64" s="35" t="str">
        <f aca="false">IF($D64="","",N($J64)*$K64)</f>
        <v/>
      </c>
      <c r="M64" s="35" t="str">
        <f aca="false">IF($D64="","",N($J64)+$L64)</f>
        <v/>
      </c>
      <c r="N64" s="43" t="str">
        <f aca="false">IF($D64="","",IFERROR(N($J64)/$I64,0))</f>
        <v/>
      </c>
      <c r="O64" s="6"/>
      <c r="P64" s="6"/>
      <c r="Q64" s="46" t="str">
        <f aca="false">IF($A64="","",DATE(YEAR($A64),MONTH($A64),1))</f>
        <v/>
      </c>
      <c r="R64" s="8" t="str">
        <f aca="false">IF(OR($A64="",$D64=""),"",IF(COUNTIFS($D$6:$D$1005,$D64,$A$6:$A$1005,"&gt;"&amp;$A64)=0,1,0))</f>
        <v/>
      </c>
    </row>
    <row r="65" customFormat="false" ht="15" hidden="false" customHeight="false" outlineLevel="0" collapsed="false">
      <c r="A65" s="44"/>
      <c r="B65" s="6"/>
      <c r="C65" s="6"/>
      <c r="D65" s="6"/>
      <c r="E65" s="8" t="str">
        <f aca="false">IF($D65="","",IFERROR(INDEX(INSUMOS!$B$6:$B$205,MATCH($D65,INSUMOS!$A$6:$A$205,0)),"¿Código?"))</f>
        <v/>
      </c>
      <c r="F65" s="8" t="str">
        <f aca="false">IF($D65="","",IFERROR(INDEX(INSUMOS!$E$6:$E$205,MATCH($D65,INSUMOS!$A$6:$A$205,0)),""))</f>
        <v/>
      </c>
      <c r="G65" s="39"/>
      <c r="H65" s="45" t="str">
        <f aca="false">IF($D65="","",IFERROR(INDEX(INSUMOS!$F$6:$F$205,MATCH($D65,INSUMOS!$A$6:$A$205,0)),0))</f>
        <v/>
      </c>
      <c r="I65" s="34" t="str">
        <f aca="false">IF($D65="","",N($G65)*$H65)</f>
        <v/>
      </c>
      <c r="J65" s="40"/>
      <c r="K65" s="36" t="str">
        <f aca="false">IF($D65="","",IFERROR(INDEX(INSUMOS!$H$6:$H$205,MATCH($D65,INSUMOS!$A$6:$A$205,0)),IVA_VENTAS))</f>
        <v/>
      </c>
      <c r="L65" s="35" t="str">
        <f aca="false">IF($D65="","",N($J65)*$K65)</f>
        <v/>
      </c>
      <c r="M65" s="35" t="str">
        <f aca="false">IF($D65="","",N($J65)+$L65)</f>
        <v/>
      </c>
      <c r="N65" s="43" t="str">
        <f aca="false">IF($D65="","",IFERROR(N($J65)/$I65,0))</f>
        <v/>
      </c>
      <c r="O65" s="6"/>
      <c r="P65" s="6"/>
      <c r="Q65" s="46" t="str">
        <f aca="false">IF($A65="","",DATE(YEAR($A65),MONTH($A65),1))</f>
        <v/>
      </c>
      <c r="R65" s="8" t="str">
        <f aca="false">IF(OR($A65="",$D65=""),"",IF(COUNTIFS($D$6:$D$1005,$D65,$A$6:$A$1005,"&gt;"&amp;$A65)=0,1,0))</f>
        <v/>
      </c>
    </row>
    <row r="66" customFormat="false" ht="15" hidden="false" customHeight="false" outlineLevel="0" collapsed="false">
      <c r="A66" s="44"/>
      <c r="B66" s="6"/>
      <c r="C66" s="6"/>
      <c r="D66" s="6"/>
      <c r="E66" s="8" t="str">
        <f aca="false">IF($D66="","",IFERROR(INDEX(INSUMOS!$B$6:$B$205,MATCH($D66,INSUMOS!$A$6:$A$205,0)),"¿Código?"))</f>
        <v/>
      </c>
      <c r="F66" s="8" t="str">
        <f aca="false">IF($D66="","",IFERROR(INDEX(INSUMOS!$E$6:$E$205,MATCH($D66,INSUMOS!$A$6:$A$205,0)),""))</f>
        <v/>
      </c>
      <c r="G66" s="39"/>
      <c r="H66" s="45" t="str">
        <f aca="false">IF($D66="","",IFERROR(INDEX(INSUMOS!$F$6:$F$205,MATCH($D66,INSUMOS!$A$6:$A$205,0)),0))</f>
        <v/>
      </c>
      <c r="I66" s="34" t="str">
        <f aca="false">IF($D66="","",N($G66)*$H66)</f>
        <v/>
      </c>
      <c r="J66" s="40"/>
      <c r="K66" s="36" t="str">
        <f aca="false">IF($D66="","",IFERROR(INDEX(INSUMOS!$H$6:$H$205,MATCH($D66,INSUMOS!$A$6:$A$205,0)),IVA_VENTAS))</f>
        <v/>
      </c>
      <c r="L66" s="35" t="str">
        <f aca="false">IF($D66="","",N($J66)*$K66)</f>
        <v/>
      </c>
      <c r="M66" s="35" t="str">
        <f aca="false">IF($D66="","",N($J66)+$L66)</f>
        <v/>
      </c>
      <c r="N66" s="43" t="str">
        <f aca="false">IF($D66="","",IFERROR(N($J66)/$I66,0))</f>
        <v/>
      </c>
      <c r="O66" s="6"/>
      <c r="P66" s="6"/>
      <c r="Q66" s="46" t="str">
        <f aca="false">IF($A66="","",DATE(YEAR($A66),MONTH($A66),1))</f>
        <v/>
      </c>
      <c r="R66" s="8" t="str">
        <f aca="false">IF(OR($A66="",$D66=""),"",IF(COUNTIFS($D$6:$D$1005,$D66,$A$6:$A$1005,"&gt;"&amp;$A66)=0,1,0))</f>
        <v/>
      </c>
    </row>
    <row r="67" customFormat="false" ht="15" hidden="false" customHeight="false" outlineLevel="0" collapsed="false">
      <c r="A67" s="44"/>
      <c r="B67" s="6"/>
      <c r="C67" s="6"/>
      <c r="D67" s="6"/>
      <c r="E67" s="8" t="str">
        <f aca="false">IF($D67="","",IFERROR(INDEX(INSUMOS!$B$6:$B$205,MATCH($D67,INSUMOS!$A$6:$A$205,0)),"¿Código?"))</f>
        <v/>
      </c>
      <c r="F67" s="8" t="str">
        <f aca="false">IF($D67="","",IFERROR(INDEX(INSUMOS!$E$6:$E$205,MATCH($D67,INSUMOS!$A$6:$A$205,0)),""))</f>
        <v/>
      </c>
      <c r="G67" s="39"/>
      <c r="H67" s="45" t="str">
        <f aca="false">IF($D67="","",IFERROR(INDEX(INSUMOS!$F$6:$F$205,MATCH($D67,INSUMOS!$A$6:$A$205,0)),0))</f>
        <v/>
      </c>
      <c r="I67" s="34" t="str">
        <f aca="false">IF($D67="","",N($G67)*$H67)</f>
        <v/>
      </c>
      <c r="J67" s="40"/>
      <c r="K67" s="36" t="str">
        <f aca="false">IF($D67="","",IFERROR(INDEX(INSUMOS!$H$6:$H$205,MATCH($D67,INSUMOS!$A$6:$A$205,0)),IVA_VENTAS))</f>
        <v/>
      </c>
      <c r="L67" s="35" t="str">
        <f aca="false">IF($D67="","",N($J67)*$K67)</f>
        <v/>
      </c>
      <c r="M67" s="35" t="str">
        <f aca="false">IF($D67="","",N($J67)+$L67)</f>
        <v/>
      </c>
      <c r="N67" s="43" t="str">
        <f aca="false">IF($D67="","",IFERROR(N($J67)/$I67,0))</f>
        <v/>
      </c>
      <c r="O67" s="6"/>
      <c r="P67" s="6"/>
      <c r="Q67" s="46" t="str">
        <f aca="false">IF($A67="","",DATE(YEAR($A67),MONTH($A67),1))</f>
        <v/>
      </c>
      <c r="R67" s="8" t="str">
        <f aca="false">IF(OR($A67="",$D67=""),"",IF(COUNTIFS($D$6:$D$1005,$D67,$A$6:$A$1005,"&gt;"&amp;$A67)=0,1,0))</f>
        <v/>
      </c>
    </row>
    <row r="68" customFormat="false" ht="15" hidden="false" customHeight="false" outlineLevel="0" collapsed="false">
      <c r="A68" s="44"/>
      <c r="B68" s="6"/>
      <c r="C68" s="6"/>
      <c r="D68" s="6"/>
      <c r="E68" s="8" t="str">
        <f aca="false">IF($D68="","",IFERROR(INDEX(INSUMOS!$B$6:$B$205,MATCH($D68,INSUMOS!$A$6:$A$205,0)),"¿Código?"))</f>
        <v/>
      </c>
      <c r="F68" s="8" t="str">
        <f aca="false">IF($D68="","",IFERROR(INDEX(INSUMOS!$E$6:$E$205,MATCH($D68,INSUMOS!$A$6:$A$205,0)),""))</f>
        <v/>
      </c>
      <c r="G68" s="39"/>
      <c r="H68" s="45" t="str">
        <f aca="false">IF($D68="","",IFERROR(INDEX(INSUMOS!$F$6:$F$205,MATCH($D68,INSUMOS!$A$6:$A$205,0)),0))</f>
        <v/>
      </c>
      <c r="I68" s="34" t="str">
        <f aca="false">IF($D68="","",N($G68)*$H68)</f>
        <v/>
      </c>
      <c r="J68" s="40"/>
      <c r="K68" s="36" t="str">
        <f aca="false">IF($D68="","",IFERROR(INDEX(INSUMOS!$H$6:$H$205,MATCH($D68,INSUMOS!$A$6:$A$205,0)),IVA_VENTAS))</f>
        <v/>
      </c>
      <c r="L68" s="35" t="str">
        <f aca="false">IF($D68="","",N($J68)*$K68)</f>
        <v/>
      </c>
      <c r="M68" s="35" t="str">
        <f aca="false">IF($D68="","",N($J68)+$L68)</f>
        <v/>
      </c>
      <c r="N68" s="43" t="str">
        <f aca="false">IF($D68="","",IFERROR(N($J68)/$I68,0))</f>
        <v/>
      </c>
      <c r="O68" s="6"/>
      <c r="P68" s="6"/>
      <c r="Q68" s="46" t="str">
        <f aca="false">IF($A68="","",DATE(YEAR($A68),MONTH($A68),1))</f>
        <v/>
      </c>
      <c r="R68" s="8" t="str">
        <f aca="false">IF(OR($A68="",$D68=""),"",IF(COUNTIFS($D$6:$D$1005,$D68,$A$6:$A$1005,"&gt;"&amp;$A68)=0,1,0))</f>
        <v/>
      </c>
    </row>
    <row r="69" customFormat="false" ht="15" hidden="false" customHeight="false" outlineLevel="0" collapsed="false">
      <c r="A69" s="44"/>
      <c r="B69" s="6"/>
      <c r="C69" s="6"/>
      <c r="D69" s="6"/>
      <c r="E69" s="8" t="str">
        <f aca="false">IF($D69="","",IFERROR(INDEX(INSUMOS!$B$6:$B$205,MATCH($D69,INSUMOS!$A$6:$A$205,0)),"¿Código?"))</f>
        <v/>
      </c>
      <c r="F69" s="8" t="str">
        <f aca="false">IF($D69="","",IFERROR(INDEX(INSUMOS!$E$6:$E$205,MATCH($D69,INSUMOS!$A$6:$A$205,0)),""))</f>
        <v/>
      </c>
      <c r="G69" s="39"/>
      <c r="H69" s="45" t="str">
        <f aca="false">IF($D69="","",IFERROR(INDEX(INSUMOS!$F$6:$F$205,MATCH($D69,INSUMOS!$A$6:$A$205,0)),0))</f>
        <v/>
      </c>
      <c r="I69" s="34" t="str">
        <f aca="false">IF($D69="","",N($G69)*$H69)</f>
        <v/>
      </c>
      <c r="J69" s="40"/>
      <c r="K69" s="36" t="str">
        <f aca="false">IF($D69="","",IFERROR(INDEX(INSUMOS!$H$6:$H$205,MATCH($D69,INSUMOS!$A$6:$A$205,0)),IVA_VENTAS))</f>
        <v/>
      </c>
      <c r="L69" s="35" t="str">
        <f aca="false">IF($D69="","",N($J69)*$K69)</f>
        <v/>
      </c>
      <c r="M69" s="35" t="str">
        <f aca="false">IF($D69="","",N($J69)+$L69)</f>
        <v/>
      </c>
      <c r="N69" s="43" t="str">
        <f aca="false">IF($D69="","",IFERROR(N($J69)/$I69,0))</f>
        <v/>
      </c>
      <c r="O69" s="6"/>
      <c r="P69" s="6"/>
      <c r="Q69" s="46" t="str">
        <f aca="false">IF($A69="","",DATE(YEAR($A69),MONTH($A69),1))</f>
        <v/>
      </c>
      <c r="R69" s="8" t="str">
        <f aca="false">IF(OR($A69="",$D69=""),"",IF(COUNTIFS($D$6:$D$1005,$D69,$A$6:$A$1005,"&gt;"&amp;$A69)=0,1,0))</f>
        <v/>
      </c>
    </row>
    <row r="70" customFormat="false" ht="15" hidden="false" customHeight="false" outlineLevel="0" collapsed="false">
      <c r="A70" s="44"/>
      <c r="B70" s="6"/>
      <c r="C70" s="6"/>
      <c r="D70" s="6"/>
      <c r="E70" s="8" t="str">
        <f aca="false">IF($D70="","",IFERROR(INDEX(INSUMOS!$B$6:$B$205,MATCH($D70,INSUMOS!$A$6:$A$205,0)),"¿Código?"))</f>
        <v/>
      </c>
      <c r="F70" s="8" t="str">
        <f aca="false">IF($D70="","",IFERROR(INDEX(INSUMOS!$E$6:$E$205,MATCH($D70,INSUMOS!$A$6:$A$205,0)),""))</f>
        <v/>
      </c>
      <c r="G70" s="39"/>
      <c r="H70" s="45" t="str">
        <f aca="false">IF($D70="","",IFERROR(INDEX(INSUMOS!$F$6:$F$205,MATCH($D70,INSUMOS!$A$6:$A$205,0)),0))</f>
        <v/>
      </c>
      <c r="I70" s="34" t="str">
        <f aca="false">IF($D70="","",N($G70)*$H70)</f>
        <v/>
      </c>
      <c r="J70" s="40"/>
      <c r="K70" s="36" t="str">
        <f aca="false">IF($D70="","",IFERROR(INDEX(INSUMOS!$H$6:$H$205,MATCH($D70,INSUMOS!$A$6:$A$205,0)),IVA_VENTAS))</f>
        <v/>
      </c>
      <c r="L70" s="35" t="str">
        <f aca="false">IF($D70="","",N($J70)*$K70)</f>
        <v/>
      </c>
      <c r="M70" s="35" t="str">
        <f aca="false">IF($D70="","",N($J70)+$L70)</f>
        <v/>
      </c>
      <c r="N70" s="43" t="str">
        <f aca="false">IF($D70="","",IFERROR(N($J70)/$I70,0))</f>
        <v/>
      </c>
      <c r="O70" s="6"/>
      <c r="P70" s="6"/>
      <c r="Q70" s="46" t="str">
        <f aca="false">IF($A70="","",DATE(YEAR($A70),MONTH($A70),1))</f>
        <v/>
      </c>
      <c r="R70" s="8" t="str">
        <f aca="false">IF(OR($A70="",$D70=""),"",IF(COUNTIFS($D$6:$D$1005,$D70,$A$6:$A$1005,"&gt;"&amp;$A70)=0,1,0))</f>
        <v/>
      </c>
    </row>
    <row r="71" customFormat="false" ht="15" hidden="false" customHeight="false" outlineLevel="0" collapsed="false">
      <c r="A71" s="44"/>
      <c r="B71" s="6"/>
      <c r="C71" s="6"/>
      <c r="D71" s="6"/>
      <c r="E71" s="8" t="str">
        <f aca="false">IF($D71="","",IFERROR(INDEX(INSUMOS!$B$6:$B$205,MATCH($D71,INSUMOS!$A$6:$A$205,0)),"¿Código?"))</f>
        <v/>
      </c>
      <c r="F71" s="8" t="str">
        <f aca="false">IF($D71="","",IFERROR(INDEX(INSUMOS!$E$6:$E$205,MATCH($D71,INSUMOS!$A$6:$A$205,0)),""))</f>
        <v/>
      </c>
      <c r="G71" s="39"/>
      <c r="H71" s="45" t="str">
        <f aca="false">IF($D71="","",IFERROR(INDEX(INSUMOS!$F$6:$F$205,MATCH($D71,INSUMOS!$A$6:$A$205,0)),0))</f>
        <v/>
      </c>
      <c r="I71" s="34" t="str">
        <f aca="false">IF($D71="","",N($G71)*$H71)</f>
        <v/>
      </c>
      <c r="J71" s="40"/>
      <c r="K71" s="36" t="str">
        <f aca="false">IF($D71="","",IFERROR(INDEX(INSUMOS!$H$6:$H$205,MATCH($D71,INSUMOS!$A$6:$A$205,0)),IVA_VENTAS))</f>
        <v/>
      </c>
      <c r="L71" s="35" t="str">
        <f aca="false">IF($D71="","",N($J71)*$K71)</f>
        <v/>
      </c>
      <c r="M71" s="35" t="str">
        <f aca="false">IF($D71="","",N($J71)+$L71)</f>
        <v/>
      </c>
      <c r="N71" s="43" t="str">
        <f aca="false">IF($D71="","",IFERROR(N($J71)/$I71,0))</f>
        <v/>
      </c>
      <c r="O71" s="6"/>
      <c r="P71" s="6"/>
      <c r="Q71" s="46" t="str">
        <f aca="false">IF($A71="","",DATE(YEAR($A71),MONTH($A71),1))</f>
        <v/>
      </c>
      <c r="R71" s="8" t="str">
        <f aca="false">IF(OR($A71="",$D71=""),"",IF(COUNTIFS($D$6:$D$1005,$D71,$A$6:$A$1005,"&gt;"&amp;$A71)=0,1,0))</f>
        <v/>
      </c>
    </row>
    <row r="72" customFormat="false" ht="15" hidden="false" customHeight="false" outlineLevel="0" collapsed="false">
      <c r="A72" s="44"/>
      <c r="B72" s="6"/>
      <c r="C72" s="6"/>
      <c r="D72" s="6"/>
      <c r="E72" s="8" t="str">
        <f aca="false">IF($D72="","",IFERROR(INDEX(INSUMOS!$B$6:$B$205,MATCH($D72,INSUMOS!$A$6:$A$205,0)),"¿Código?"))</f>
        <v/>
      </c>
      <c r="F72" s="8" t="str">
        <f aca="false">IF($D72="","",IFERROR(INDEX(INSUMOS!$E$6:$E$205,MATCH($D72,INSUMOS!$A$6:$A$205,0)),""))</f>
        <v/>
      </c>
      <c r="G72" s="39"/>
      <c r="H72" s="45" t="str">
        <f aca="false">IF($D72="","",IFERROR(INDEX(INSUMOS!$F$6:$F$205,MATCH($D72,INSUMOS!$A$6:$A$205,0)),0))</f>
        <v/>
      </c>
      <c r="I72" s="34" t="str">
        <f aca="false">IF($D72="","",N($G72)*$H72)</f>
        <v/>
      </c>
      <c r="J72" s="40"/>
      <c r="K72" s="36" t="str">
        <f aca="false">IF($D72="","",IFERROR(INDEX(INSUMOS!$H$6:$H$205,MATCH($D72,INSUMOS!$A$6:$A$205,0)),IVA_VENTAS))</f>
        <v/>
      </c>
      <c r="L72" s="35" t="str">
        <f aca="false">IF($D72="","",N($J72)*$K72)</f>
        <v/>
      </c>
      <c r="M72" s="35" t="str">
        <f aca="false">IF($D72="","",N($J72)+$L72)</f>
        <v/>
      </c>
      <c r="N72" s="43" t="str">
        <f aca="false">IF($D72="","",IFERROR(N($J72)/$I72,0))</f>
        <v/>
      </c>
      <c r="O72" s="6"/>
      <c r="P72" s="6"/>
      <c r="Q72" s="46" t="str">
        <f aca="false">IF($A72="","",DATE(YEAR($A72),MONTH($A72),1))</f>
        <v/>
      </c>
      <c r="R72" s="8" t="str">
        <f aca="false">IF(OR($A72="",$D72=""),"",IF(COUNTIFS($D$6:$D$1005,$D72,$A$6:$A$1005,"&gt;"&amp;$A72)=0,1,0))</f>
        <v/>
      </c>
    </row>
    <row r="73" customFormat="false" ht="15" hidden="false" customHeight="false" outlineLevel="0" collapsed="false">
      <c r="A73" s="44"/>
      <c r="B73" s="6"/>
      <c r="C73" s="6"/>
      <c r="D73" s="6"/>
      <c r="E73" s="8" t="str">
        <f aca="false">IF($D73="","",IFERROR(INDEX(INSUMOS!$B$6:$B$205,MATCH($D73,INSUMOS!$A$6:$A$205,0)),"¿Código?"))</f>
        <v/>
      </c>
      <c r="F73" s="8" t="str">
        <f aca="false">IF($D73="","",IFERROR(INDEX(INSUMOS!$E$6:$E$205,MATCH($D73,INSUMOS!$A$6:$A$205,0)),""))</f>
        <v/>
      </c>
      <c r="G73" s="39"/>
      <c r="H73" s="45" t="str">
        <f aca="false">IF($D73="","",IFERROR(INDEX(INSUMOS!$F$6:$F$205,MATCH($D73,INSUMOS!$A$6:$A$205,0)),0))</f>
        <v/>
      </c>
      <c r="I73" s="34" t="str">
        <f aca="false">IF($D73="","",N($G73)*$H73)</f>
        <v/>
      </c>
      <c r="J73" s="40"/>
      <c r="K73" s="36" t="str">
        <f aca="false">IF($D73="","",IFERROR(INDEX(INSUMOS!$H$6:$H$205,MATCH($D73,INSUMOS!$A$6:$A$205,0)),IVA_VENTAS))</f>
        <v/>
      </c>
      <c r="L73" s="35" t="str">
        <f aca="false">IF($D73="","",N($J73)*$K73)</f>
        <v/>
      </c>
      <c r="M73" s="35" t="str">
        <f aca="false">IF($D73="","",N($J73)+$L73)</f>
        <v/>
      </c>
      <c r="N73" s="43" t="str">
        <f aca="false">IF($D73="","",IFERROR(N($J73)/$I73,0))</f>
        <v/>
      </c>
      <c r="O73" s="6"/>
      <c r="P73" s="6"/>
      <c r="Q73" s="46" t="str">
        <f aca="false">IF($A73="","",DATE(YEAR($A73),MONTH($A73),1))</f>
        <v/>
      </c>
      <c r="R73" s="8" t="str">
        <f aca="false">IF(OR($A73="",$D73=""),"",IF(COUNTIFS($D$6:$D$1005,$D73,$A$6:$A$1005,"&gt;"&amp;$A73)=0,1,0))</f>
        <v/>
      </c>
    </row>
    <row r="74" customFormat="false" ht="15" hidden="false" customHeight="false" outlineLevel="0" collapsed="false">
      <c r="A74" s="44"/>
      <c r="B74" s="6"/>
      <c r="C74" s="6"/>
      <c r="D74" s="6"/>
      <c r="E74" s="8" t="str">
        <f aca="false">IF($D74="","",IFERROR(INDEX(INSUMOS!$B$6:$B$205,MATCH($D74,INSUMOS!$A$6:$A$205,0)),"¿Código?"))</f>
        <v/>
      </c>
      <c r="F74" s="8" t="str">
        <f aca="false">IF($D74="","",IFERROR(INDEX(INSUMOS!$E$6:$E$205,MATCH($D74,INSUMOS!$A$6:$A$205,0)),""))</f>
        <v/>
      </c>
      <c r="G74" s="39"/>
      <c r="H74" s="45" t="str">
        <f aca="false">IF($D74="","",IFERROR(INDEX(INSUMOS!$F$6:$F$205,MATCH($D74,INSUMOS!$A$6:$A$205,0)),0))</f>
        <v/>
      </c>
      <c r="I74" s="34" t="str">
        <f aca="false">IF($D74="","",N($G74)*$H74)</f>
        <v/>
      </c>
      <c r="J74" s="40"/>
      <c r="K74" s="36" t="str">
        <f aca="false">IF($D74="","",IFERROR(INDEX(INSUMOS!$H$6:$H$205,MATCH($D74,INSUMOS!$A$6:$A$205,0)),IVA_VENTAS))</f>
        <v/>
      </c>
      <c r="L74" s="35" t="str">
        <f aca="false">IF($D74="","",N($J74)*$K74)</f>
        <v/>
      </c>
      <c r="M74" s="35" t="str">
        <f aca="false">IF($D74="","",N($J74)+$L74)</f>
        <v/>
      </c>
      <c r="N74" s="43" t="str">
        <f aca="false">IF($D74="","",IFERROR(N($J74)/$I74,0))</f>
        <v/>
      </c>
      <c r="O74" s="6"/>
      <c r="P74" s="6"/>
      <c r="Q74" s="46" t="str">
        <f aca="false">IF($A74="","",DATE(YEAR($A74),MONTH($A74),1))</f>
        <v/>
      </c>
      <c r="R74" s="8" t="str">
        <f aca="false">IF(OR($A74="",$D74=""),"",IF(COUNTIFS($D$6:$D$1005,$D74,$A$6:$A$1005,"&gt;"&amp;$A74)=0,1,0))</f>
        <v/>
      </c>
    </row>
    <row r="75" customFormat="false" ht="15" hidden="false" customHeight="false" outlineLevel="0" collapsed="false">
      <c r="A75" s="44"/>
      <c r="B75" s="6"/>
      <c r="C75" s="6"/>
      <c r="D75" s="6"/>
      <c r="E75" s="8" t="str">
        <f aca="false">IF($D75="","",IFERROR(INDEX(INSUMOS!$B$6:$B$205,MATCH($D75,INSUMOS!$A$6:$A$205,0)),"¿Código?"))</f>
        <v/>
      </c>
      <c r="F75" s="8" t="str">
        <f aca="false">IF($D75="","",IFERROR(INDEX(INSUMOS!$E$6:$E$205,MATCH($D75,INSUMOS!$A$6:$A$205,0)),""))</f>
        <v/>
      </c>
      <c r="G75" s="39"/>
      <c r="H75" s="45" t="str">
        <f aca="false">IF($D75="","",IFERROR(INDEX(INSUMOS!$F$6:$F$205,MATCH($D75,INSUMOS!$A$6:$A$205,0)),0))</f>
        <v/>
      </c>
      <c r="I75" s="34" t="str">
        <f aca="false">IF($D75="","",N($G75)*$H75)</f>
        <v/>
      </c>
      <c r="J75" s="40"/>
      <c r="K75" s="36" t="str">
        <f aca="false">IF($D75="","",IFERROR(INDEX(INSUMOS!$H$6:$H$205,MATCH($D75,INSUMOS!$A$6:$A$205,0)),IVA_VENTAS))</f>
        <v/>
      </c>
      <c r="L75" s="35" t="str">
        <f aca="false">IF($D75="","",N($J75)*$K75)</f>
        <v/>
      </c>
      <c r="M75" s="35" t="str">
        <f aca="false">IF($D75="","",N($J75)+$L75)</f>
        <v/>
      </c>
      <c r="N75" s="43" t="str">
        <f aca="false">IF($D75="","",IFERROR(N($J75)/$I75,0))</f>
        <v/>
      </c>
      <c r="O75" s="6"/>
      <c r="P75" s="6"/>
      <c r="Q75" s="46" t="str">
        <f aca="false">IF($A75="","",DATE(YEAR($A75),MONTH($A75),1))</f>
        <v/>
      </c>
      <c r="R75" s="8" t="str">
        <f aca="false">IF(OR($A75="",$D75=""),"",IF(COUNTIFS($D$6:$D$1005,$D75,$A$6:$A$1005,"&gt;"&amp;$A75)=0,1,0))</f>
        <v/>
      </c>
    </row>
    <row r="76" customFormat="false" ht="15" hidden="false" customHeight="false" outlineLevel="0" collapsed="false">
      <c r="A76" s="44"/>
      <c r="B76" s="6"/>
      <c r="C76" s="6"/>
      <c r="D76" s="6"/>
      <c r="E76" s="8" t="str">
        <f aca="false">IF($D76="","",IFERROR(INDEX(INSUMOS!$B$6:$B$205,MATCH($D76,INSUMOS!$A$6:$A$205,0)),"¿Código?"))</f>
        <v/>
      </c>
      <c r="F76" s="8" t="str">
        <f aca="false">IF($D76="","",IFERROR(INDEX(INSUMOS!$E$6:$E$205,MATCH($D76,INSUMOS!$A$6:$A$205,0)),""))</f>
        <v/>
      </c>
      <c r="G76" s="39"/>
      <c r="H76" s="45" t="str">
        <f aca="false">IF($D76="","",IFERROR(INDEX(INSUMOS!$F$6:$F$205,MATCH($D76,INSUMOS!$A$6:$A$205,0)),0))</f>
        <v/>
      </c>
      <c r="I76" s="34" t="str">
        <f aca="false">IF($D76="","",N($G76)*$H76)</f>
        <v/>
      </c>
      <c r="J76" s="40"/>
      <c r="K76" s="36" t="str">
        <f aca="false">IF($D76="","",IFERROR(INDEX(INSUMOS!$H$6:$H$205,MATCH($D76,INSUMOS!$A$6:$A$205,0)),IVA_VENTAS))</f>
        <v/>
      </c>
      <c r="L76" s="35" t="str">
        <f aca="false">IF($D76="","",N($J76)*$K76)</f>
        <v/>
      </c>
      <c r="M76" s="35" t="str">
        <f aca="false">IF($D76="","",N($J76)+$L76)</f>
        <v/>
      </c>
      <c r="N76" s="43" t="str">
        <f aca="false">IF($D76="","",IFERROR(N($J76)/$I76,0))</f>
        <v/>
      </c>
      <c r="O76" s="6"/>
      <c r="P76" s="6"/>
      <c r="Q76" s="46" t="str">
        <f aca="false">IF($A76="","",DATE(YEAR($A76),MONTH($A76),1))</f>
        <v/>
      </c>
      <c r="R76" s="8" t="str">
        <f aca="false">IF(OR($A76="",$D76=""),"",IF(COUNTIFS($D$6:$D$1005,$D76,$A$6:$A$1005,"&gt;"&amp;$A76)=0,1,0))</f>
        <v/>
      </c>
    </row>
    <row r="77" customFormat="false" ht="15" hidden="false" customHeight="false" outlineLevel="0" collapsed="false">
      <c r="A77" s="44"/>
      <c r="B77" s="6"/>
      <c r="C77" s="6"/>
      <c r="D77" s="6"/>
      <c r="E77" s="8" t="str">
        <f aca="false">IF($D77="","",IFERROR(INDEX(INSUMOS!$B$6:$B$205,MATCH($D77,INSUMOS!$A$6:$A$205,0)),"¿Código?"))</f>
        <v/>
      </c>
      <c r="F77" s="8" t="str">
        <f aca="false">IF($D77="","",IFERROR(INDEX(INSUMOS!$E$6:$E$205,MATCH($D77,INSUMOS!$A$6:$A$205,0)),""))</f>
        <v/>
      </c>
      <c r="G77" s="39"/>
      <c r="H77" s="45" t="str">
        <f aca="false">IF($D77="","",IFERROR(INDEX(INSUMOS!$F$6:$F$205,MATCH($D77,INSUMOS!$A$6:$A$205,0)),0))</f>
        <v/>
      </c>
      <c r="I77" s="34" t="str">
        <f aca="false">IF($D77="","",N($G77)*$H77)</f>
        <v/>
      </c>
      <c r="J77" s="40"/>
      <c r="K77" s="36" t="str">
        <f aca="false">IF($D77="","",IFERROR(INDEX(INSUMOS!$H$6:$H$205,MATCH($D77,INSUMOS!$A$6:$A$205,0)),IVA_VENTAS))</f>
        <v/>
      </c>
      <c r="L77" s="35" t="str">
        <f aca="false">IF($D77="","",N($J77)*$K77)</f>
        <v/>
      </c>
      <c r="M77" s="35" t="str">
        <f aca="false">IF($D77="","",N($J77)+$L77)</f>
        <v/>
      </c>
      <c r="N77" s="43" t="str">
        <f aca="false">IF($D77="","",IFERROR(N($J77)/$I77,0))</f>
        <v/>
      </c>
      <c r="O77" s="6"/>
      <c r="P77" s="6"/>
      <c r="Q77" s="46" t="str">
        <f aca="false">IF($A77="","",DATE(YEAR($A77),MONTH($A77),1))</f>
        <v/>
      </c>
      <c r="R77" s="8" t="str">
        <f aca="false">IF(OR($A77="",$D77=""),"",IF(COUNTIFS($D$6:$D$1005,$D77,$A$6:$A$1005,"&gt;"&amp;$A77)=0,1,0))</f>
        <v/>
      </c>
    </row>
    <row r="78" customFormat="false" ht="15" hidden="false" customHeight="false" outlineLevel="0" collapsed="false">
      <c r="A78" s="44"/>
      <c r="B78" s="6"/>
      <c r="C78" s="6"/>
      <c r="D78" s="6"/>
      <c r="E78" s="8" t="str">
        <f aca="false">IF($D78="","",IFERROR(INDEX(INSUMOS!$B$6:$B$205,MATCH($D78,INSUMOS!$A$6:$A$205,0)),"¿Código?"))</f>
        <v/>
      </c>
      <c r="F78" s="8" t="str">
        <f aca="false">IF($D78="","",IFERROR(INDEX(INSUMOS!$E$6:$E$205,MATCH($D78,INSUMOS!$A$6:$A$205,0)),""))</f>
        <v/>
      </c>
      <c r="G78" s="39"/>
      <c r="H78" s="45" t="str">
        <f aca="false">IF($D78="","",IFERROR(INDEX(INSUMOS!$F$6:$F$205,MATCH($D78,INSUMOS!$A$6:$A$205,0)),0))</f>
        <v/>
      </c>
      <c r="I78" s="34" t="str">
        <f aca="false">IF($D78="","",N($G78)*$H78)</f>
        <v/>
      </c>
      <c r="J78" s="40"/>
      <c r="K78" s="36" t="str">
        <f aca="false">IF($D78="","",IFERROR(INDEX(INSUMOS!$H$6:$H$205,MATCH($D78,INSUMOS!$A$6:$A$205,0)),IVA_VENTAS))</f>
        <v/>
      </c>
      <c r="L78" s="35" t="str">
        <f aca="false">IF($D78="","",N($J78)*$K78)</f>
        <v/>
      </c>
      <c r="M78" s="35" t="str">
        <f aca="false">IF($D78="","",N($J78)+$L78)</f>
        <v/>
      </c>
      <c r="N78" s="43" t="str">
        <f aca="false">IF($D78="","",IFERROR(N($J78)/$I78,0))</f>
        <v/>
      </c>
      <c r="O78" s="6"/>
      <c r="P78" s="6"/>
      <c r="Q78" s="46" t="str">
        <f aca="false">IF($A78="","",DATE(YEAR($A78),MONTH($A78),1))</f>
        <v/>
      </c>
      <c r="R78" s="8" t="str">
        <f aca="false">IF(OR($A78="",$D78=""),"",IF(COUNTIFS($D$6:$D$1005,$D78,$A$6:$A$1005,"&gt;"&amp;$A78)=0,1,0))</f>
        <v/>
      </c>
    </row>
    <row r="79" customFormat="false" ht="15" hidden="false" customHeight="false" outlineLevel="0" collapsed="false">
      <c r="A79" s="44"/>
      <c r="B79" s="6"/>
      <c r="C79" s="6"/>
      <c r="D79" s="6"/>
      <c r="E79" s="8" t="str">
        <f aca="false">IF($D79="","",IFERROR(INDEX(INSUMOS!$B$6:$B$205,MATCH($D79,INSUMOS!$A$6:$A$205,0)),"¿Código?"))</f>
        <v/>
      </c>
      <c r="F79" s="8" t="str">
        <f aca="false">IF($D79="","",IFERROR(INDEX(INSUMOS!$E$6:$E$205,MATCH($D79,INSUMOS!$A$6:$A$205,0)),""))</f>
        <v/>
      </c>
      <c r="G79" s="39"/>
      <c r="H79" s="45" t="str">
        <f aca="false">IF($D79="","",IFERROR(INDEX(INSUMOS!$F$6:$F$205,MATCH($D79,INSUMOS!$A$6:$A$205,0)),0))</f>
        <v/>
      </c>
      <c r="I79" s="34" t="str">
        <f aca="false">IF($D79="","",N($G79)*$H79)</f>
        <v/>
      </c>
      <c r="J79" s="40"/>
      <c r="K79" s="36" t="str">
        <f aca="false">IF($D79="","",IFERROR(INDEX(INSUMOS!$H$6:$H$205,MATCH($D79,INSUMOS!$A$6:$A$205,0)),IVA_VENTAS))</f>
        <v/>
      </c>
      <c r="L79" s="35" t="str">
        <f aca="false">IF($D79="","",N($J79)*$K79)</f>
        <v/>
      </c>
      <c r="M79" s="35" t="str">
        <f aca="false">IF($D79="","",N($J79)+$L79)</f>
        <v/>
      </c>
      <c r="N79" s="43" t="str">
        <f aca="false">IF($D79="","",IFERROR(N($J79)/$I79,0))</f>
        <v/>
      </c>
      <c r="O79" s="6"/>
      <c r="P79" s="6"/>
      <c r="Q79" s="46" t="str">
        <f aca="false">IF($A79="","",DATE(YEAR($A79),MONTH($A79),1))</f>
        <v/>
      </c>
      <c r="R79" s="8" t="str">
        <f aca="false">IF(OR($A79="",$D79=""),"",IF(COUNTIFS($D$6:$D$1005,$D79,$A$6:$A$1005,"&gt;"&amp;$A79)=0,1,0))</f>
        <v/>
      </c>
    </row>
    <row r="80" customFormat="false" ht="15" hidden="false" customHeight="false" outlineLevel="0" collapsed="false">
      <c r="A80" s="44"/>
      <c r="B80" s="6"/>
      <c r="C80" s="6"/>
      <c r="D80" s="6"/>
      <c r="E80" s="8" t="str">
        <f aca="false">IF($D80="","",IFERROR(INDEX(INSUMOS!$B$6:$B$205,MATCH($D80,INSUMOS!$A$6:$A$205,0)),"¿Código?"))</f>
        <v/>
      </c>
      <c r="F80" s="8" t="str">
        <f aca="false">IF($D80="","",IFERROR(INDEX(INSUMOS!$E$6:$E$205,MATCH($D80,INSUMOS!$A$6:$A$205,0)),""))</f>
        <v/>
      </c>
      <c r="G80" s="39"/>
      <c r="H80" s="45" t="str">
        <f aca="false">IF($D80="","",IFERROR(INDEX(INSUMOS!$F$6:$F$205,MATCH($D80,INSUMOS!$A$6:$A$205,0)),0))</f>
        <v/>
      </c>
      <c r="I80" s="34" t="str">
        <f aca="false">IF($D80="","",N($G80)*$H80)</f>
        <v/>
      </c>
      <c r="J80" s="40"/>
      <c r="K80" s="36" t="str">
        <f aca="false">IF($D80="","",IFERROR(INDEX(INSUMOS!$H$6:$H$205,MATCH($D80,INSUMOS!$A$6:$A$205,0)),IVA_VENTAS))</f>
        <v/>
      </c>
      <c r="L80" s="35" t="str">
        <f aca="false">IF($D80="","",N($J80)*$K80)</f>
        <v/>
      </c>
      <c r="M80" s="35" t="str">
        <f aca="false">IF($D80="","",N($J80)+$L80)</f>
        <v/>
      </c>
      <c r="N80" s="43" t="str">
        <f aca="false">IF($D80="","",IFERROR(N($J80)/$I80,0))</f>
        <v/>
      </c>
      <c r="O80" s="6"/>
      <c r="P80" s="6"/>
      <c r="Q80" s="46" t="str">
        <f aca="false">IF($A80="","",DATE(YEAR($A80),MONTH($A80),1))</f>
        <v/>
      </c>
      <c r="R80" s="8" t="str">
        <f aca="false">IF(OR($A80="",$D80=""),"",IF(COUNTIFS($D$6:$D$1005,$D80,$A$6:$A$1005,"&gt;"&amp;$A80)=0,1,0))</f>
        <v/>
      </c>
    </row>
    <row r="81" customFormat="false" ht="15" hidden="false" customHeight="false" outlineLevel="0" collapsed="false">
      <c r="A81" s="44"/>
      <c r="B81" s="6"/>
      <c r="C81" s="6"/>
      <c r="D81" s="6"/>
      <c r="E81" s="8" t="str">
        <f aca="false">IF($D81="","",IFERROR(INDEX(INSUMOS!$B$6:$B$205,MATCH($D81,INSUMOS!$A$6:$A$205,0)),"¿Código?"))</f>
        <v/>
      </c>
      <c r="F81" s="8" t="str">
        <f aca="false">IF($D81="","",IFERROR(INDEX(INSUMOS!$E$6:$E$205,MATCH($D81,INSUMOS!$A$6:$A$205,0)),""))</f>
        <v/>
      </c>
      <c r="G81" s="39"/>
      <c r="H81" s="45" t="str">
        <f aca="false">IF($D81="","",IFERROR(INDEX(INSUMOS!$F$6:$F$205,MATCH($D81,INSUMOS!$A$6:$A$205,0)),0))</f>
        <v/>
      </c>
      <c r="I81" s="34" t="str">
        <f aca="false">IF($D81="","",N($G81)*$H81)</f>
        <v/>
      </c>
      <c r="J81" s="40"/>
      <c r="K81" s="36" t="str">
        <f aca="false">IF($D81="","",IFERROR(INDEX(INSUMOS!$H$6:$H$205,MATCH($D81,INSUMOS!$A$6:$A$205,0)),IVA_VENTAS))</f>
        <v/>
      </c>
      <c r="L81" s="35" t="str">
        <f aca="false">IF($D81="","",N($J81)*$K81)</f>
        <v/>
      </c>
      <c r="M81" s="35" t="str">
        <f aca="false">IF($D81="","",N($J81)+$L81)</f>
        <v/>
      </c>
      <c r="N81" s="43" t="str">
        <f aca="false">IF($D81="","",IFERROR(N($J81)/$I81,0))</f>
        <v/>
      </c>
      <c r="O81" s="6"/>
      <c r="P81" s="6"/>
      <c r="Q81" s="46" t="str">
        <f aca="false">IF($A81="","",DATE(YEAR($A81),MONTH($A81),1))</f>
        <v/>
      </c>
      <c r="R81" s="8" t="str">
        <f aca="false">IF(OR($A81="",$D81=""),"",IF(COUNTIFS($D$6:$D$1005,$D81,$A$6:$A$1005,"&gt;"&amp;$A81)=0,1,0))</f>
        <v/>
      </c>
    </row>
    <row r="82" customFormat="false" ht="15" hidden="false" customHeight="false" outlineLevel="0" collapsed="false">
      <c r="A82" s="44"/>
      <c r="B82" s="6"/>
      <c r="C82" s="6"/>
      <c r="D82" s="6"/>
      <c r="E82" s="8" t="str">
        <f aca="false">IF($D82="","",IFERROR(INDEX(INSUMOS!$B$6:$B$205,MATCH($D82,INSUMOS!$A$6:$A$205,0)),"¿Código?"))</f>
        <v/>
      </c>
      <c r="F82" s="8" t="str">
        <f aca="false">IF($D82="","",IFERROR(INDEX(INSUMOS!$E$6:$E$205,MATCH($D82,INSUMOS!$A$6:$A$205,0)),""))</f>
        <v/>
      </c>
      <c r="G82" s="39"/>
      <c r="H82" s="45" t="str">
        <f aca="false">IF($D82="","",IFERROR(INDEX(INSUMOS!$F$6:$F$205,MATCH($D82,INSUMOS!$A$6:$A$205,0)),0))</f>
        <v/>
      </c>
      <c r="I82" s="34" t="str">
        <f aca="false">IF($D82="","",N($G82)*$H82)</f>
        <v/>
      </c>
      <c r="J82" s="40"/>
      <c r="K82" s="36" t="str">
        <f aca="false">IF($D82="","",IFERROR(INDEX(INSUMOS!$H$6:$H$205,MATCH($D82,INSUMOS!$A$6:$A$205,0)),IVA_VENTAS))</f>
        <v/>
      </c>
      <c r="L82" s="35" t="str">
        <f aca="false">IF($D82="","",N($J82)*$K82)</f>
        <v/>
      </c>
      <c r="M82" s="35" t="str">
        <f aca="false">IF($D82="","",N($J82)+$L82)</f>
        <v/>
      </c>
      <c r="N82" s="43" t="str">
        <f aca="false">IF($D82="","",IFERROR(N($J82)/$I82,0))</f>
        <v/>
      </c>
      <c r="O82" s="6"/>
      <c r="P82" s="6"/>
      <c r="Q82" s="46" t="str">
        <f aca="false">IF($A82="","",DATE(YEAR($A82),MONTH($A82),1))</f>
        <v/>
      </c>
      <c r="R82" s="8" t="str">
        <f aca="false">IF(OR($A82="",$D82=""),"",IF(COUNTIFS($D$6:$D$1005,$D82,$A$6:$A$1005,"&gt;"&amp;$A82)=0,1,0))</f>
        <v/>
      </c>
    </row>
    <row r="83" customFormat="false" ht="15" hidden="false" customHeight="false" outlineLevel="0" collapsed="false">
      <c r="A83" s="44"/>
      <c r="B83" s="6"/>
      <c r="C83" s="6"/>
      <c r="D83" s="6"/>
      <c r="E83" s="8" t="str">
        <f aca="false">IF($D83="","",IFERROR(INDEX(INSUMOS!$B$6:$B$205,MATCH($D83,INSUMOS!$A$6:$A$205,0)),"¿Código?"))</f>
        <v/>
      </c>
      <c r="F83" s="8" t="str">
        <f aca="false">IF($D83="","",IFERROR(INDEX(INSUMOS!$E$6:$E$205,MATCH($D83,INSUMOS!$A$6:$A$205,0)),""))</f>
        <v/>
      </c>
      <c r="G83" s="39"/>
      <c r="H83" s="45" t="str">
        <f aca="false">IF($D83="","",IFERROR(INDEX(INSUMOS!$F$6:$F$205,MATCH($D83,INSUMOS!$A$6:$A$205,0)),0))</f>
        <v/>
      </c>
      <c r="I83" s="34" t="str">
        <f aca="false">IF($D83="","",N($G83)*$H83)</f>
        <v/>
      </c>
      <c r="J83" s="40"/>
      <c r="K83" s="36" t="str">
        <f aca="false">IF($D83="","",IFERROR(INDEX(INSUMOS!$H$6:$H$205,MATCH($D83,INSUMOS!$A$6:$A$205,0)),IVA_VENTAS))</f>
        <v/>
      </c>
      <c r="L83" s="35" t="str">
        <f aca="false">IF($D83="","",N($J83)*$K83)</f>
        <v/>
      </c>
      <c r="M83" s="35" t="str">
        <f aca="false">IF($D83="","",N($J83)+$L83)</f>
        <v/>
      </c>
      <c r="N83" s="43" t="str">
        <f aca="false">IF($D83="","",IFERROR(N($J83)/$I83,0))</f>
        <v/>
      </c>
      <c r="O83" s="6"/>
      <c r="P83" s="6"/>
      <c r="Q83" s="46" t="str">
        <f aca="false">IF($A83="","",DATE(YEAR($A83),MONTH($A83),1))</f>
        <v/>
      </c>
      <c r="R83" s="8" t="str">
        <f aca="false">IF(OR($A83="",$D83=""),"",IF(COUNTIFS($D$6:$D$1005,$D83,$A$6:$A$1005,"&gt;"&amp;$A83)=0,1,0))</f>
        <v/>
      </c>
    </row>
    <row r="84" customFormat="false" ht="15" hidden="false" customHeight="false" outlineLevel="0" collapsed="false">
      <c r="A84" s="44"/>
      <c r="B84" s="6"/>
      <c r="C84" s="6"/>
      <c r="D84" s="6"/>
      <c r="E84" s="8" t="str">
        <f aca="false">IF($D84="","",IFERROR(INDEX(INSUMOS!$B$6:$B$205,MATCH($D84,INSUMOS!$A$6:$A$205,0)),"¿Código?"))</f>
        <v/>
      </c>
      <c r="F84" s="8" t="str">
        <f aca="false">IF($D84="","",IFERROR(INDEX(INSUMOS!$E$6:$E$205,MATCH($D84,INSUMOS!$A$6:$A$205,0)),""))</f>
        <v/>
      </c>
      <c r="G84" s="39"/>
      <c r="H84" s="45" t="str">
        <f aca="false">IF($D84="","",IFERROR(INDEX(INSUMOS!$F$6:$F$205,MATCH($D84,INSUMOS!$A$6:$A$205,0)),0))</f>
        <v/>
      </c>
      <c r="I84" s="34" t="str">
        <f aca="false">IF($D84="","",N($G84)*$H84)</f>
        <v/>
      </c>
      <c r="J84" s="40"/>
      <c r="K84" s="36" t="str">
        <f aca="false">IF($D84="","",IFERROR(INDEX(INSUMOS!$H$6:$H$205,MATCH($D84,INSUMOS!$A$6:$A$205,0)),IVA_VENTAS))</f>
        <v/>
      </c>
      <c r="L84" s="35" t="str">
        <f aca="false">IF($D84="","",N($J84)*$K84)</f>
        <v/>
      </c>
      <c r="M84" s="35" t="str">
        <f aca="false">IF($D84="","",N($J84)+$L84)</f>
        <v/>
      </c>
      <c r="N84" s="43" t="str">
        <f aca="false">IF($D84="","",IFERROR(N($J84)/$I84,0))</f>
        <v/>
      </c>
      <c r="O84" s="6"/>
      <c r="P84" s="6"/>
      <c r="Q84" s="46" t="str">
        <f aca="false">IF($A84="","",DATE(YEAR($A84),MONTH($A84),1))</f>
        <v/>
      </c>
      <c r="R84" s="8" t="str">
        <f aca="false">IF(OR($A84="",$D84=""),"",IF(COUNTIFS($D$6:$D$1005,$D84,$A$6:$A$1005,"&gt;"&amp;$A84)=0,1,0))</f>
        <v/>
      </c>
    </row>
    <row r="85" customFormat="false" ht="15" hidden="false" customHeight="false" outlineLevel="0" collapsed="false">
      <c r="A85" s="44"/>
      <c r="B85" s="6"/>
      <c r="C85" s="6"/>
      <c r="D85" s="6"/>
      <c r="E85" s="8" t="str">
        <f aca="false">IF($D85="","",IFERROR(INDEX(INSUMOS!$B$6:$B$205,MATCH($D85,INSUMOS!$A$6:$A$205,0)),"¿Código?"))</f>
        <v/>
      </c>
      <c r="F85" s="8" t="str">
        <f aca="false">IF($D85="","",IFERROR(INDEX(INSUMOS!$E$6:$E$205,MATCH($D85,INSUMOS!$A$6:$A$205,0)),""))</f>
        <v/>
      </c>
      <c r="G85" s="39"/>
      <c r="H85" s="45" t="str">
        <f aca="false">IF($D85="","",IFERROR(INDEX(INSUMOS!$F$6:$F$205,MATCH($D85,INSUMOS!$A$6:$A$205,0)),0))</f>
        <v/>
      </c>
      <c r="I85" s="34" t="str">
        <f aca="false">IF($D85="","",N($G85)*$H85)</f>
        <v/>
      </c>
      <c r="J85" s="40"/>
      <c r="K85" s="36" t="str">
        <f aca="false">IF($D85="","",IFERROR(INDEX(INSUMOS!$H$6:$H$205,MATCH($D85,INSUMOS!$A$6:$A$205,0)),IVA_VENTAS))</f>
        <v/>
      </c>
      <c r="L85" s="35" t="str">
        <f aca="false">IF($D85="","",N($J85)*$K85)</f>
        <v/>
      </c>
      <c r="M85" s="35" t="str">
        <f aca="false">IF($D85="","",N($J85)+$L85)</f>
        <v/>
      </c>
      <c r="N85" s="43" t="str">
        <f aca="false">IF($D85="","",IFERROR(N($J85)/$I85,0))</f>
        <v/>
      </c>
      <c r="O85" s="6"/>
      <c r="P85" s="6"/>
      <c r="Q85" s="46" t="str">
        <f aca="false">IF($A85="","",DATE(YEAR($A85),MONTH($A85),1))</f>
        <v/>
      </c>
      <c r="R85" s="8" t="str">
        <f aca="false">IF(OR($A85="",$D85=""),"",IF(COUNTIFS($D$6:$D$1005,$D85,$A$6:$A$1005,"&gt;"&amp;$A85)=0,1,0))</f>
        <v/>
      </c>
    </row>
    <row r="86" customFormat="false" ht="15" hidden="false" customHeight="false" outlineLevel="0" collapsed="false">
      <c r="A86" s="44"/>
      <c r="B86" s="6"/>
      <c r="C86" s="6"/>
      <c r="D86" s="6"/>
      <c r="E86" s="8" t="str">
        <f aca="false">IF($D86="","",IFERROR(INDEX(INSUMOS!$B$6:$B$205,MATCH($D86,INSUMOS!$A$6:$A$205,0)),"¿Código?"))</f>
        <v/>
      </c>
      <c r="F86" s="8" t="str">
        <f aca="false">IF($D86="","",IFERROR(INDEX(INSUMOS!$E$6:$E$205,MATCH($D86,INSUMOS!$A$6:$A$205,0)),""))</f>
        <v/>
      </c>
      <c r="G86" s="39"/>
      <c r="H86" s="45" t="str">
        <f aca="false">IF($D86="","",IFERROR(INDEX(INSUMOS!$F$6:$F$205,MATCH($D86,INSUMOS!$A$6:$A$205,0)),0))</f>
        <v/>
      </c>
      <c r="I86" s="34" t="str">
        <f aca="false">IF($D86="","",N($G86)*$H86)</f>
        <v/>
      </c>
      <c r="J86" s="40"/>
      <c r="K86" s="36" t="str">
        <f aca="false">IF($D86="","",IFERROR(INDEX(INSUMOS!$H$6:$H$205,MATCH($D86,INSUMOS!$A$6:$A$205,0)),IVA_VENTAS))</f>
        <v/>
      </c>
      <c r="L86" s="35" t="str">
        <f aca="false">IF($D86="","",N($J86)*$K86)</f>
        <v/>
      </c>
      <c r="M86" s="35" t="str">
        <f aca="false">IF($D86="","",N($J86)+$L86)</f>
        <v/>
      </c>
      <c r="N86" s="43" t="str">
        <f aca="false">IF($D86="","",IFERROR(N($J86)/$I86,0))</f>
        <v/>
      </c>
      <c r="O86" s="6"/>
      <c r="P86" s="6"/>
      <c r="Q86" s="46" t="str">
        <f aca="false">IF($A86="","",DATE(YEAR($A86),MONTH($A86),1))</f>
        <v/>
      </c>
      <c r="R86" s="8" t="str">
        <f aca="false">IF(OR($A86="",$D86=""),"",IF(COUNTIFS($D$6:$D$1005,$D86,$A$6:$A$1005,"&gt;"&amp;$A86)=0,1,0))</f>
        <v/>
      </c>
    </row>
    <row r="87" customFormat="false" ht="15" hidden="false" customHeight="false" outlineLevel="0" collapsed="false">
      <c r="A87" s="44"/>
      <c r="B87" s="6"/>
      <c r="C87" s="6"/>
      <c r="D87" s="6"/>
      <c r="E87" s="8" t="str">
        <f aca="false">IF($D87="","",IFERROR(INDEX(INSUMOS!$B$6:$B$205,MATCH($D87,INSUMOS!$A$6:$A$205,0)),"¿Código?"))</f>
        <v/>
      </c>
      <c r="F87" s="8" t="str">
        <f aca="false">IF($D87="","",IFERROR(INDEX(INSUMOS!$E$6:$E$205,MATCH($D87,INSUMOS!$A$6:$A$205,0)),""))</f>
        <v/>
      </c>
      <c r="G87" s="39"/>
      <c r="H87" s="45" t="str">
        <f aca="false">IF($D87="","",IFERROR(INDEX(INSUMOS!$F$6:$F$205,MATCH($D87,INSUMOS!$A$6:$A$205,0)),0))</f>
        <v/>
      </c>
      <c r="I87" s="34" t="str">
        <f aca="false">IF($D87="","",N($G87)*$H87)</f>
        <v/>
      </c>
      <c r="J87" s="40"/>
      <c r="K87" s="36" t="str">
        <f aca="false">IF($D87="","",IFERROR(INDEX(INSUMOS!$H$6:$H$205,MATCH($D87,INSUMOS!$A$6:$A$205,0)),IVA_VENTAS))</f>
        <v/>
      </c>
      <c r="L87" s="35" t="str">
        <f aca="false">IF($D87="","",N($J87)*$K87)</f>
        <v/>
      </c>
      <c r="M87" s="35" t="str">
        <f aca="false">IF($D87="","",N($J87)+$L87)</f>
        <v/>
      </c>
      <c r="N87" s="43" t="str">
        <f aca="false">IF($D87="","",IFERROR(N($J87)/$I87,0))</f>
        <v/>
      </c>
      <c r="O87" s="6"/>
      <c r="P87" s="6"/>
      <c r="Q87" s="46" t="str">
        <f aca="false">IF($A87="","",DATE(YEAR($A87),MONTH($A87),1))</f>
        <v/>
      </c>
      <c r="R87" s="8" t="str">
        <f aca="false">IF(OR($A87="",$D87=""),"",IF(COUNTIFS($D$6:$D$1005,$D87,$A$6:$A$1005,"&gt;"&amp;$A87)=0,1,0))</f>
        <v/>
      </c>
    </row>
    <row r="88" customFormat="false" ht="15" hidden="false" customHeight="false" outlineLevel="0" collapsed="false">
      <c r="A88" s="44"/>
      <c r="B88" s="6"/>
      <c r="C88" s="6"/>
      <c r="D88" s="6"/>
      <c r="E88" s="8" t="str">
        <f aca="false">IF($D88="","",IFERROR(INDEX(INSUMOS!$B$6:$B$205,MATCH($D88,INSUMOS!$A$6:$A$205,0)),"¿Código?"))</f>
        <v/>
      </c>
      <c r="F88" s="8" t="str">
        <f aca="false">IF($D88="","",IFERROR(INDEX(INSUMOS!$E$6:$E$205,MATCH($D88,INSUMOS!$A$6:$A$205,0)),""))</f>
        <v/>
      </c>
      <c r="G88" s="39"/>
      <c r="H88" s="45" t="str">
        <f aca="false">IF($D88="","",IFERROR(INDEX(INSUMOS!$F$6:$F$205,MATCH($D88,INSUMOS!$A$6:$A$205,0)),0))</f>
        <v/>
      </c>
      <c r="I88" s="34" t="str">
        <f aca="false">IF($D88="","",N($G88)*$H88)</f>
        <v/>
      </c>
      <c r="J88" s="40"/>
      <c r="K88" s="36" t="str">
        <f aca="false">IF($D88="","",IFERROR(INDEX(INSUMOS!$H$6:$H$205,MATCH($D88,INSUMOS!$A$6:$A$205,0)),IVA_VENTAS))</f>
        <v/>
      </c>
      <c r="L88" s="35" t="str">
        <f aca="false">IF($D88="","",N($J88)*$K88)</f>
        <v/>
      </c>
      <c r="M88" s="35" t="str">
        <f aca="false">IF($D88="","",N($J88)+$L88)</f>
        <v/>
      </c>
      <c r="N88" s="43" t="str">
        <f aca="false">IF($D88="","",IFERROR(N($J88)/$I88,0))</f>
        <v/>
      </c>
      <c r="O88" s="6"/>
      <c r="P88" s="6"/>
      <c r="Q88" s="46" t="str">
        <f aca="false">IF($A88="","",DATE(YEAR($A88),MONTH($A88),1))</f>
        <v/>
      </c>
      <c r="R88" s="8" t="str">
        <f aca="false">IF(OR($A88="",$D88=""),"",IF(COUNTIFS($D$6:$D$1005,$D88,$A$6:$A$1005,"&gt;"&amp;$A88)=0,1,0))</f>
        <v/>
      </c>
    </row>
    <row r="89" customFormat="false" ht="15" hidden="false" customHeight="false" outlineLevel="0" collapsed="false">
      <c r="A89" s="44"/>
      <c r="B89" s="6"/>
      <c r="C89" s="6"/>
      <c r="D89" s="6"/>
      <c r="E89" s="8" t="str">
        <f aca="false">IF($D89="","",IFERROR(INDEX(INSUMOS!$B$6:$B$205,MATCH($D89,INSUMOS!$A$6:$A$205,0)),"¿Código?"))</f>
        <v/>
      </c>
      <c r="F89" s="8" t="str">
        <f aca="false">IF($D89="","",IFERROR(INDEX(INSUMOS!$E$6:$E$205,MATCH($D89,INSUMOS!$A$6:$A$205,0)),""))</f>
        <v/>
      </c>
      <c r="G89" s="39"/>
      <c r="H89" s="45" t="str">
        <f aca="false">IF($D89="","",IFERROR(INDEX(INSUMOS!$F$6:$F$205,MATCH($D89,INSUMOS!$A$6:$A$205,0)),0))</f>
        <v/>
      </c>
      <c r="I89" s="34" t="str">
        <f aca="false">IF($D89="","",N($G89)*$H89)</f>
        <v/>
      </c>
      <c r="J89" s="40"/>
      <c r="K89" s="36" t="str">
        <f aca="false">IF($D89="","",IFERROR(INDEX(INSUMOS!$H$6:$H$205,MATCH($D89,INSUMOS!$A$6:$A$205,0)),IVA_VENTAS))</f>
        <v/>
      </c>
      <c r="L89" s="35" t="str">
        <f aca="false">IF($D89="","",N($J89)*$K89)</f>
        <v/>
      </c>
      <c r="M89" s="35" t="str">
        <f aca="false">IF($D89="","",N($J89)+$L89)</f>
        <v/>
      </c>
      <c r="N89" s="43" t="str">
        <f aca="false">IF($D89="","",IFERROR(N($J89)/$I89,0))</f>
        <v/>
      </c>
      <c r="O89" s="6"/>
      <c r="P89" s="6"/>
      <c r="Q89" s="46" t="str">
        <f aca="false">IF($A89="","",DATE(YEAR($A89),MONTH($A89),1))</f>
        <v/>
      </c>
      <c r="R89" s="8" t="str">
        <f aca="false">IF(OR($A89="",$D89=""),"",IF(COUNTIFS($D$6:$D$1005,$D89,$A$6:$A$1005,"&gt;"&amp;$A89)=0,1,0))</f>
        <v/>
      </c>
    </row>
    <row r="90" customFormat="false" ht="15" hidden="false" customHeight="false" outlineLevel="0" collapsed="false">
      <c r="A90" s="44"/>
      <c r="B90" s="6"/>
      <c r="C90" s="6"/>
      <c r="D90" s="6"/>
      <c r="E90" s="8" t="str">
        <f aca="false">IF($D90="","",IFERROR(INDEX(INSUMOS!$B$6:$B$205,MATCH($D90,INSUMOS!$A$6:$A$205,0)),"¿Código?"))</f>
        <v/>
      </c>
      <c r="F90" s="8" t="str">
        <f aca="false">IF($D90="","",IFERROR(INDEX(INSUMOS!$E$6:$E$205,MATCH($D90,INSUMOS!$A$6:$A$205,0)),""))</f>
        <v/>
      </c>
      <c r="G90" s="39"/>
      <c r="H90" s="45" t="str">
        <f aca="false">IF($D90="","",IFERROR(INDEX(INSUMOS!$F$6:$F$205,MATCH($D90,INSUMOS!$A$6:$A$205,0)),0))</f>
        <v/>
      </c>
      <c r="I90" s="34" t="str">
        <f aca="false">IF($D90="","",N($G90)*$H90)</f>
        <v/>
      </c>
      <c r="J90" s="40"/>
      <c r="K90" s="36" t="str">
        <f aca="false">IF($D90="","",IFERROR(INDEX(INSUMOS!$H$6:$H$205,MATCH($D90,INSUMOS!$A$6:$A$205,0)),IVA_VENTAS))</f>
        <v/>
      </c>
      <c r="L90" s="35" t="str">
        <f aca="false">IF($D90="","",N($J90)*$K90)</f>
        <v/>
      </c>
      <c r="M90" s="35" t="str">
        <f aca="false">IF($D90="","",N($J90)+$L90)</f>
        <v/>
      </c>
      <c r="N90" s="43" t="str">
        <f aca="false">IF($D90="","",IFERROR(N($J90)/$I90,0))</f>
        <v/>
      </c>
      <c r="O90" s="6"/>
      <c r="P90" s="6"/>
      <c r="Q90" s="46" t="str">
        <f aca="false">IF($A90="","",DATE(YEAR($A90),MONTH($A90),1))</f>
        <v/>
      </c>
      <c r="R90" s="8" t="str">
        <f aca="false">IF(OR($A90="",$D90=""),"",IF(COUNTIFS($D$6:$D$1005,$D90,$A$6:$A$1005,"&gt;"&amp;$A90)=0,1,0))</f>
        <v/>
      </c>
    </row>
    <row r="91" customFormat="false" ht="15" hidden="false" customHeight="false" outlineLevel="0" collapsed="false">
      <c r="A91" s="44"/>
      <c r="B91" s="6"/>
      <c r="C91" s="6"/>
      <c r="D91" s="6"/>
      <c r="E91" s="8" t="str">
        <f aca="false">IF($D91="","",IFERROR(INDEX(INSUMOS!$B$6:$B$205,MATCH($D91,INSUMOS!$A$6:$A$205,0)),"¿Código?"))</f>
        <v/>
      </c>
      <c r="F91" s="8" t="str">
        <f aca="false">IF($D91="","",IFERROR(INDEX(INSUMOS!$E$6:$E$205,MATCH($D91,INSUMOS!$A$6:$A$205,0)),""))</f>
        <v/>
      </c>
      <c r="G91" s="39"/>
      <c r="H91" s="45" t="str">
        <f aca="false">IF($D91="","",IFERROR(INDEX(INSUMOS!$F$6:$F$205,MATCH($D91,INSUMOS!$A$6:$A$205,0)),0))</f>
        <v/>
      </c>
      <c r="I91" s="34" t="str">
        <f aca="false">IF($D91="","",N($G91)*$H91)</f>
        <v/>
      </c>
      <c r="J91" s="40"/>
      <c r="K91" s="36" t="str">
        <f aca="false">IF($D91="","",IFERROR(INDEX(INSUMOS!$H$6:$H$205,MATCH($D91,INSUMOS!$A$6:$A$205,0)),IVA_VENTAS))</f>
        <v/>
      </c>
      <c r="L91" s="35" t="str">
        <f aca="false">IF($D91="","",N($J91)*$K91)</f>
        <v/>
      </c>
      <c r="M91" s="35" t="str">
        <f aca="false">IF($D91="","",N($J91)+$L91)</f>
        <v/>
      </c>
      <c r="N91" s="43" t="str">
        <f aca="false">IF($D91="","",IFERROR(N($J91)/$I91,0))</f>
        <v/>
      </c>
      <c r="O91" s="6"/>
      <c r="P91" s="6"/>
      <c r="Q91" s="46" t="str">
        <f aca="false">IF($A91="","",DATE(YEAR($A91),MONTH($A91),1))</f>
        <v/>
      </c>
      <c r="R91" s="8" t="str">
        <f aca="false">IF(OR($A91="",$D91=""),"",IF(COUNTIFS($D$6:$D$1005,$D91,$A$6:$A$1005,"&gt;"&amp;$A91)=0,1,0))</f>
        <v/>
      </c>
    </row>
    <row r="92" customFormat="false" ht="15" hidden="false" customHeight="false" outlineLevel="0" collapsed="false">
      <c r="A92" s="44"/>
      <c r="B92" s="6"/>
      <c r="C92" s="6"/>
      <c r="D92" s="6"/>
      <c r="E92" s="8" t="str">
        <f aca="false">IF($D92="","",IFERROR(INDEX(INSUMOS!$B$6:$B$205,MATCH($D92,INSUMOS!$A$6:$A$205,0)),"¿Código?"))</f>
        <v/>
      </c>
      <c r="F92" s="8" t="str">
        <f aca="false">IF($D92="","",IFERROR(INDEX(INSUMOS!$E$6:$E$205,MATCH($D92,INSUMOS!$A$6:$A$205,0)),""))</f>
        <v/>
      </c>
      <c r="G92" s="39"/>
      <c r="H92" s="45" t="str">
        <f aca="false">IF($D92="","",IFERROR(INDEX(INSUMOS!$F$6:$F$205,MATCH($D92,INSUMOS!$A$6:$A$205,0)),0))</f>
        <v/>
      </c>
      <c r="I92" s="34" t="str">
        <f aca="false">IF($D92="","",N($G92)*$H92)</f>
        <v/>
      </c>
      <c r="J92" s="40"/>
      <c r="K92" s="36" t="str">
        <f aca="false">IF($D92="","",IFERROR(INDEX(INSUMOS!$H$6:$H$205,MATCH($D92,INSUMOS!$A$6:$A$205,0)),IVA_VENTAS))</f>
        <v/>
      </c>
      <c r="L92" s="35" t="str">
        <f aca="false">IF($D92="","",N($J92)*$K92)</f>
        <v/>
      </c>
      <c r="M92" s="35" t="str">
        <f aca="false">IF($D92="","",N($J92)+$L92)</f>
        <v/>
      </c>
      <c r="N92" s="43" t="str">
        <f aca="false">IF($D92="","",IFERROR(N($J92)/$I92,0))</f>
        <v/>
      </c>
      <c r="O92" s="6"/>
      <c r="P92" s="6"/>
      <c r="Q92" s="46" t="str">
        <f aca="false">IF($A92="","",DATE(YEAR($A92),MONTH($A92),1))</f>
        <v/>
      </c>
      <c r="R92" s="8" t="str">
        <f aca="false">IF(OR($A92="",$D92=""),"",IF(COUNTIFS($D$6:$D$1005,$D92,$A$6:$A$1005,"&gt;"&amp;$A92)=0,1,0))</f>
        <v/>
      </c>
    </row>
    <row r="93" customFormat="false" ht="15" hidden="false" customHeight="false" outlineLevel="0" collapsed="false">
      <c r="A93" s="44"/>
      <c r="B93" s="6"/>
      <c r="C93" s="6"/>
      <c r="D93" s="6"/>
      <c r="E93" s="8" t="str">
        <f aca="false">IF($D93="","",IFERROR(INDEX(INSUMOS!$B$6:$B$205,MATCH($D93,INSUMOS!$A$6:$A$205,0)),"¿Código?"))</f>
        <v/>
      </c>
      <c r="F93" s="8" t="str">
        <f aca="false">IF($D93="","",IFERROR(INDEX(INSUMOS!$E$6:$E$205,MATCH($D93,INSUMOS!$A$6:$A$205,0)),""))</f>
        <v/>
      </c>
      <c r="G93" s="39"/>
      <c r="H93" s="45" t="str">
        <f aca="false">IF($D93="","",IFERROR(INDEX(INSUMOS!$F$6:$F$205,MATCH($D93,INSUMOS!$A$6:$A$205,0)),0))</f>
        <v/>
      </c>
      <c r="I93" s="34" t="str">
        <f aca="false">IF($D93="","",N($G93)*$H93)</f>
        <v/>
      </c>
      <c r="J93" s="40"/>
      <c r="K93" s="36" t="str">
        <f aca="false">IF($D93="","",IFERROR(INDEX(INSUMOS!$H$6:$H$205,MATCH($D93,INSUMOS!$A$6:$A$205,0)),IVA_VENTAS))</f>
        <v/>
      </c>
      <c r="L93" s="35" t="str">
        <f aca="false">IF($D93="","",N($J93)*$K93)</f>
        <v/>
      </c>
      <c r="M93" s="35" t="str">
        <f aca="false">IF($D93="","",N($J93)+$L93)</f>
        <v/>
      </c>
      <c r="N93" s="43" t="str">
        <f aca="false">IF($D93="","",IFERROR(N($J93)/$I93,0))</f>
        <v/>
      </c>
      <c r="O93" s="6"/>
      <c r="P93" s="6"/>
      <c r="Q93" s="46" t="str">
        <f aca="false">IF($A93="","",DATE(YEAR($A93),MONTH($A93),1))</f>
        <v/>
      </c>
      <c r="R93" s="8" t="str">
        <f aca="false">IF(OR($A93="",$D93=""),"",IF(COUNTIFS($D$6:$D$1005,$D93,$A$6:$A$1005,"&gt;"&amp;$A93)=0,1,0))</f>
        <v/>
      </c>
    </row>
    <row r="94" customFormat="false" ht="15" hidden="false" customHeight="false" outlineLevel="0" collapsed="false">
      <c r="A94" s="44"/>
      <c r="B94" s="6"/>
      <c r="C94" s="6"/>
      <c r="D94" s="6"/>
      <c r="E94" s="8" t="str">
        <f aca="false">IF($D94="","",IFERROR(INDEX(INSUMOS!$B$6:$B$205,MATCH($D94,INSUMOS!$A$6:$A$205,0)),"¿Código?"))</f>
        <v/>
      </c>
      <c r="F94" s="8" t="str">
        <f aca="false">IF($D94="","",IFERROR(INDEX(INSUMOS!$E$6:$E$205,MATCH($D94,INSUMOS!$A$6:$A$205,0)),""))</f>
        <v/>
      </c>
      <c r="G94" s="39"/>
      <c r="H94" s="45" t="str">
        <f aca="false">IF($D94="","",IFERROR(INDEX(INSUMOS!$F$6:$F$205,MATCH($D94,INSUMOS!$A$6:$A$205,0)),0))</f>
        <v/>
      </c>
      <c r="I94" s="34" t="str">
        <f aca="false">IF($D94="","",N($G94)*$H94)</f>
        <v/>
      </c>
      <c r="J94" s="40"/>
      <c r="K94" s="36" t="str">
        <f aca="false">IF($D94="","",IFERROR(INDEX(INSUMOS!$H$6:$H$205,MATCH($D94,INSUMOS!$A$6:$A$205,0)),IVA_VENTAS))</f>
        <v/>
      </c>
      <c r="L94" s="35" t="str">
        <f aca="false">IF($D94="","",N($J94)*$K94)</f>
        <v/>
      </c>
      <c r="M94" s="35" t="str">
        <f aca="false">IF($D94="","",N($J94)+$L94)</f>
        <v/>
      </c>
      <c r="N94" s="43" t="str">
        <f aca="false">IF($D94="","",IFERROR(N($J94)/$I94,0))</f>
        <v/>
      </c>
      <c r="O94" s="6"/>
      <c r="P94" s="6"/>
      <c r="Q94" s="46" t="str">
        <f aca="false">IF($A94="","",DATE(YEAR($A94),MONTH($A94),1))</f>
        <v/>
      </c>
      <c r="R94" s="8" t="str">
        <f aca="false">IF(OR($A94="",$D94=""),"",IF(COUNTIFS($D$6:$D$1005,$D94,$A$6:$A$1005,"&gt;"&amp;$A94)=0,1,0))</f>
        <v/>
      </c>
    </row>
    <row r="95" customFormat="false" ht="15" hidden="false" customHeight="false" outlineLevel="0" collapsed="false">
      <c r="A95" s="44"/>
      <c r="B95" s="6"/>
      <c r="C95" s="6"/>
      <c r="D95" s="6"/>
      <c r="E95" s="8" t="str">
        <f aca="false">IF($D95="","",IFERROR(INDEX(INSUMOS!$B$6:$B$205,MATCH($D95,INSUMOS!$A$6:$A$205,0)),"¿Código?"))</f>
        <v/>
      </c>
      <c r="F95" s="8" t="str">
        <f aca="false">IF($D95="","",IFERROR(INDEX(INSUMOS!$E$6:$E$205,MATCH($D95,INSUMOS!$A$6:$A$205,0)),""))</f>
        <v/>
      </c>
      <c r="G95" s="39"/>
      <c r="H95" s="45" t="str">
        <f aca="false">IF($D95="","",IFERROR(INDEX(INSUMOS!$F$6:$F$205,MATCH($D95,INSUMOS!$A$6:$A$205,0)),0))</f>
        <v/>
      </c>
      <c r="I95" s="34" t="str">
        <f aca="false">IF($D95="","",N($G95)*$H95)</f>
        <v/>
      </c>
      <c r="J95" s="40"/>
      <c r="K95" s="36" t="str">
        <f aca="false">IF($D95="","",IFERROR(INDEX(INSUMOS!$H$6:$H$205,MATCH($D95,INSUMOS!$A$6:$A$205,0)),IVA_VENTAS))</f>
        <v/>
      </c>
      <c r="L95" s="35" t="str">
        <f aca="false">IF($D95="","",N($J95)*$K95)</f>
        <v/>
      </c>
      <c r="M95" s="35" t="str">
        <f aca="false">IF($D95="","",N($J95)+$L95)</f>
        <v/>
      </c>
      <c r="N95" s="43" t="str">
        <f aca="false">IF($D95="","",IFERROR(N($J95)/$I95,0))</f>
        <v/>
      </c>
      <c r="O95" s="6"/>
      <c r="P95" s="6"/>
      <c r="Q95" s="46" t="str">
        <f aca="false">IF($A95="","",DATE(YEAR($A95),MONTH($A95),1))</f>
        <v/>
      </c>
      <c r="R95" s="8" t="str">
        <f aca="false">IF(OR($A95="",$D95=""),"",IF(COUNTIFS($D$6:$D$1005,$D95,$A$6:$A$1005,"&gt;"&amp;$A95)=0,1,0))</f>
        <v/>
      </c>
    </row>
    <row r="96" customFormat="false" ht="15" hidden="false" customHeight="false" outlineLevel="0" collapsed="false">
      <c r="A96" s="44"/>
      <c r="B96" s="6"/>
      <c r="C96" s="6"/>
      <c r="D96" s="6"/>
      <c r="E96" s="8" t="str">
        <f aca="false">IF($D96="","",IFERROR(INDEX(INSUMOS!$B$6:$B$205,MATCH($D96,INSUMOS!$A$6:$A$205,0)),"¿Código?"))</f>
        <v/>
      </c>
      <c r="F96" s="8" t="str">
        <f aca="false">IF($D96="","",IFERROR(INDEX(INSUMOS!$E$6:$E$205,MATCH($D96,INSUMOS!$A$6:$A$205,0)),""))</f>
        <v/>
      </c>
      <c r="G96" s="39"/>
      <c r="H96" s="45" t="str">
        <f aca="false">IF($D96="","",IFERROR(INDEX(INSUMOS!$F$6:$F$205,MATCH($D96,INSUMOS!$A$6:$A$205,0)),0))</f>
        <v/>
      </c>
      <c r="I96" s="34" t="str">
        <f aca="false">IF($D96="","",N($G96)*$H96)</f>
        <v/>
      </c>
      <c r="J96" s="40"/>
      <c r="K96" s="36" t="str">
        <f aca="false">IF($D96="","",IFERROR(INDEX(INSUMOS!$H$6:$H$205,MATCH($D96,INSUMOS!$A$6:$A$205,0)),IVA_VENTAS))</f>
        <v/>
      </c>
      <c r="L96" s="35" t="str">
        <f aca="false">IF($D96="","",N($J96)*$K96)</f>
        <v/>
      </c>
      <c r="M96" s="35" t="str">
        <f aca="false">IF($D96="","",N($J96)+$L96)</f>
        <v/>
      </c>
      <c r="N96" s="43" t="str">
        <f aca="false">IF($D96="","",IFERROR(N($J96)/$I96,0))</f>
        <v/>
      </c>
      <c r="O96" s="6"/>
      <c r="P96" s="6"/>
      <c r="Q96" s="46" t="str">
        <f aca="false">IF($A96="","",DATE(YEAR($A96),MONTH($A96),1))</f>
        <v/>
      </c>
      <c r="R96" s="8" t="str">
        <f aca="false">IF(OR($A96="",$D96=""),"",IF(COUNTIFS($D$6:$D$1005,$D96,$A$6:$A$1005,"&gt;"&amp;$A96)=0,1,0))</f>
        <v/>
      </c>
    </row>
    <row r="97" customFormat="false" ht="15" hidden="false" customHeight="false" outlineLevel="0" collapsed="false">
      <c r="A97" s="44"/>
      <c r="B97" s="6"/>
      <c r="C97" s="6"/>
      <c r="D97" s="6"/>
      <c r="E97" s="8" t="str">
        <f aca="false">IF($D97="","",IFERROR(INDEX(INSUMOS!$B$6:$B$205,MATCH($D97,INSUMOS!$A$6:$A$205,0)),"¿Código?"))</f>
        <v/>
      </c>
      <c r="F97" s="8" t="str">
        <f aca="false">IF($D97="","",IFERROR(INDEX(INSUMOS!$E$6:$E$205,MATCH($D97,INSUMOS!$A$6:$A$205,0)),""))</f>
        <v/>
      </c>
      <c r="G97" s="39"/>
      <c r="H97" s="45" t="str">
        <f aca="false">IF($D97="","",IFERROR(INDEX(INSUMOS!$F$6:$F$205,MATCH($D97,INSUMOS!$A$6:$A$205,0)),0))</f>
        <v/>
      </c>
      <c r="I97" s="34" t="str">
        <f aca="false">IF($D97="","",N($G97)*$H97)</f>
        <v/>
      </c>
      <c r="J97" s="40"/>
      <c r="K97" s="36" t="str">
        <f aca="false">IF($D97="","",IFERROR(INDEX(INSUMOS!$H$6:$H$205,MATCH($D97,INSUMOS!$A$6:$A$205,0)),IVA_VENTAS))</f>
        <v/>
      </c>
      <c r="L97" s="35" t="str">
        <f aca="false">IF($D97="","",N($J97)*$K97)</f>
        <v/>
      </c>
      <c r="M97" s="35" t="str">
        <f aca="false">IF($D97="","",N($J97)+$L97)</f>
        <v/>
      </c>
      <c r="N97" s="43" t="str">
        <f aca="false">IF($D97="","",IFERROR(N($J97)/$I97,0))</f>
        <v/>
      </c>
      <c r="O97" s="6"/>
      <c r="P97" s="6"/>
      <c r="Q97" s="46" t="str">
        <f aca="false">IF($A97="","",DATE(YEAR($A97),MONTH($A97),1))</f>
        <v/>
      </c>
      <c r="R97" s="8" t="str">
        <f aca="false">IF(OR($A97="",$D97=""),"",IF(COUNTIFS($D$6:$D$1005,$D97,$A$6:$A$1005,"&gt;"&amp;$A97)=0,1,0))</f>
        <v/>
      </c>
    </row>
    <row r="98" customFormat="false" ht="15" hidden="false" customHeight="false" outlineLevel="0" collapsed="false">
      <c r="A98" s="44"/>
      <c r="B98" s="6"/>
      <c r="C98" s="6"/>
      <c r="D98" s="6"/>
      <c r="E98" s="8" t="str">
        <f aca="false">IF($D98="","",IFERROR(INDEX(INSUMOS!$B$6:$B$205,MATCH($D98,INSUMOS!$A$6:$A$205,0)),"¿Código?"))</f>
        <v/>
      </c>
      <c r="F98" s="8" t="str">
        <f aca="false">IF($D98="","",IFERROR(INDEX(INSUMOS!$E$6:$E$205,MATCH($D98,INSUMOS!$A$6:$A$205,0)),""))</f>
        <v/>
      </c>
      <c r="G98" s="39"/>
      <c r="H98" s="45" t="str">
        <f aca="false">IF($D98="","",IFERROR(INDEX(INSUMOS!$F$6:$F$205,MATCH($D98,INSUMOS!$A$6:$A$205,0)),0))</f>
        <v/>
      </c>
      <c r="I98" s="34" t="str">
        <f aca="false">IF($D98="","",N($G98)*$H98)</f>
        <v/>
      </c>
      <c r="J98" s="40"/>
      <c r="K98" s="36" t="str">
        <f aca="false">IF($D98="","",IFERROR(INDEX(INSUMOS!$H$6:$H$205,MATCH($D98,INSUMOS!$A$6:$A$205,0)),IVA_VENTAS))</f>
        <v/>
      </c>
      <c r="L98" s="35" t="str">
        <f aca="false">IF($D98="","",N($J98)*$K98)</f>
        <v/>
      </c>
      <c r="M98" s="35" t="str">
        <f aca="false">IF($D98="","",N($J98)+$L98)</f>
        <v/>
      </c>
      <c r="N98" s="43" t="str">
        <f aca="false">IF($D98="","",IFERROR(N($J98)/$I98,0))</f>
        <v/>
      </c>
      <c r="O98" s="6"/>
      <c r="P98" s="6"/>
      <c r="Q98" s="46" t="str">
        <f aca="false">IF($A98="","",DATE(YEAR($A98),MONTH($A98),1))</f>
        <v/>
      </c>
      <c r="R98" s="8" t="str">
        <f aca="false">IF(OR($A98="",$D98=""),"",IF(COUNTIFS($D$6:$D$1005,$D98,$A$6:$A$1005,"&gt;"&amp;$A98)=0,1,0))</f>
        <v/>
      </c>
    </row>
    <row r="99" customFormat="false" ht="15" hidden="false" customHeight="false" outlineLevel="0" collapsed="false">
      <c r="A99" s="44"/>
      <c r="B99" s="6"/>
      <c r="C99" s="6"/>
      <c r="D99" s="6"/>
      <c r="E99" s="8" t="str">
        <f aca="false">IF($D99="","",IFERROR(INDEX(INSUMOS!$B$6:$B$205,MATCH($D99,INSUMOS!$A$6:$A$205,0)),"¿Código?"))</f>
        <v/>
      </c>
      <c r="F99" s="8" t="str">
        <f aca="false">IF($D99="","",IFERROR(INDEX(INSUMOS!$E$6:$E$205,MATCH($D99,INSUMOS!$A$6:$A$205,0)),""))</f>
        <v/>
      </c>
      <c r="G99" s="39"/>
      <c r="H99" s="45" t="str">
        <f aca="false">IF($D99="","",IFERROR(INDEX(INSUMOS!$F$6:$F$205,MATCH($D99,INSUMOS!$A$6:$A$205,0)),0))</f>
        <v/>
      </c>
      <c r="I99" s="34" t="str">
        <f aca="false">IF($D99="","",N($G99)*$H99)</f>
        <v/>
      </c>
      <c r="J99" s="40"/>
      <c r="K99" s="36" t="str">
        <f aca="false">IF($D99="","",IFERROR(INDEX(INSUMOS!$H$6:$H$205,MATCH($D99,INSUMOS!$A$6:$A$205,0)),IVA_VENTAS))</f>
        <v/>
      </c>
      <c r="L99" s="35" t="str">
        <f aca="false">IF($D99="","",N($J99)*$K99)</f>
        <v/>
      </c>
      <c r="M99" s="35" t="str">
        <f aca="false">IF($D99="","",N($J99)+$L99)</f>
        <v/>
      </c>
      <c r="N99" s="43" t="str">
        <f aca="false">IF($D99="","",IFERROR(N($J99)/$I99,0))</f>
        <v/>
      </c>
      <c r="O99" s="6"/>
      <c r="P99" s="6"/>
      <c r="Q99" s="46" t="str">
        <f aca="false">IF($A99="","",DATE(YEAR($A99),MONTH($A99),1))</f>
        <v/>
      </c>
      <c r="R99" s="8" t="str">
        <f aca="false">IF(OR($A99="",$D99=""),"",IF(COUNTIFS($D$6:$D$1005,$D99,$A$6:$A$1005,"&gt;"&amp;$A99)=0,1,0))</f>
        <v/>
      </c>
    </row>
    <row r="100" customFormat="false" ht="15" hidden="false" customHeight="false" outlineLevel="0" collapsed="false">
      <c r="A100" s="44"/>
      <c r="B100" s="6"/>
      <c r="C100" s="6"/>
      <c r="D100" s="6"/>
      <c r="E100" s="8" t="str">
        <f aca="false">IF($D100="","",IFERROR(INDEX(INSUMOS!$B$6:$B$205,MATCH($D100,INSUMOS!$A$6:$A$205,0)),"¿Código?"))</f>
        <v/>
      </c>
      <c r="F100" s="8" t="str">
        <f aca="false">IF($D100="","",IFERROR(INDEX(INSUMOS!$E$6:$E$205,MATCH($D100,INSUMOS!$A$6:$A$205,0)),""))</f>
        <v/>
      </c>
      <c r="G100" s="39"/>
      <c r="H100" s="45" t="str">
        <f aca="false">IF($D100="","",IFERROR(INDEX(INSUMOS!$F$6:$F$205,MATCH($D100,INSUMOS!$A$6:$A$205,0)),0))</f>
        <v/>
      </c>
      <c r="I100" s="34" t="str">
        <f aca="false">IF($D100="","",N($G100)*$H100)</f>
        <v/>
      </c>
      <c r="J100" s="40"/>
      <c r="K100" s="36" t="str">
        <f aca="false">IF($D100="","",IFERROR(INDEX(INSUMOS!$H$6:$H$205,MATCH($D100,INSUMOS!$A$6:$A$205,0)),IVA_VENTAS))</f>
        <v/>
      </c>
      <c r="L100" s="35" t="str">
        <f aca="false">IF($D100="","",N($J100)*$K100)</f>
        <v/>
      </c>
      <c r="M100" s="35" t="str">
        <f aca="false">IF($D100="","",N($J100)+$L100)</f>
        <v/>
      </c>
      <c r="N100" s="43" t="str">
        <f aca="false">IF($D100="","",IFERROR(N($J100)/$I100,0))</f>
        <v/>
      </c>
      <c r="O100" s="6"/>
      <c r="P100" s="6"/>
      <c r="Q100" s="46" t="str">
        <f aca="false">IF($A100="","",DATE(YEAR($A100),MONTH($A100),1))</f>
        <v/>
      </c>
      <c r="R100" s="8" t="str">
        <f aca="false">IF(OR($A100="",$D100=""),"",IF(COUNTIFS($D$6:$D$1005,$D100,$A$6:$A$1005,"&gt;"&amp;$A100)=0,1,0))</f>
        <v/>
      </c>
    </row>
    <row r="101" customFormat="false" ht="15" hidden="false" customHeight="false" outlineLevel="0" collapsed="false">
      <c r="A101" s="44"/>
      <c r="B101" s="6"/>
      <c r="C101" s="6"/>
      <c r="D101" s="6"/>
      <c r="E101" s="8" t="str">
        <f aca="false">IF($D101="","",IFERROR(INDEX(INSUMOS!$B$6:$B$205,MATCH($D101,INSUMOS!$A$6:$A$205,0)),"¿Código?"))</f>
        <v/>
      </c>
      <c r="F101" s="8" t="str">
        <f aca="false">IF($D101="","",IFERROR(INDEX(INSUMOS!$E$6:$E$205,MATCH($D101,INSUMOS!$A$6:$A$205,0)),""))</f>
        <v/>
      </c>
      <c r="G101" s="39"/>
      <c r="H101" s="45" t="str">
        <f aca="false">IF($D101="","",IFERROR(INDEX(INSUMOS!$F$6:$F$205,MATCH($D101,INSUMOS!$A$6:$A$205,0)),0))</f>
        <v/>
      </c>
      <c r="I101" s="34" t="str">
        <f aca="false">IF($D101="","",N($G101)*$H101)</f>
        <v/>
      </c>
      <c r="J101" s="40"/>
      <c r="K101" s="36" t="str">
        <f aca="false">IF($D101="","",IFERROR(INDEX(INSUMOS!$H$6:$H$205,MATCH($D101,INSUMOS!$A$6:$A$205,0)),IVA_VENTAS))</f>
        <v/>
      </c>
      <c r="L101" s="35" t="str">
        <f aca="false">IF($D101="","",N($J101)*$K101)</f>
        <v/>
      </c>
      <c r="M101" s="35" t="str">
        <f aca="false">IF($D101="","",N($J101)+$L101)</f>
        <v/>
      </c>
      <c r="N101" s="43" t="str">
        <f aca="false">IF($D101="","",IFERROR(N($J101)/$I101,0))</f>
        <v/>
      </c>
      <c r="O101" s="6"/>
      <c r="P101" s="6"/>
      <c r="Q101" s="46" t="str">
        <f aca="false">IF($A101="","",DATE(YEAR($A101),MONTH($A101),1))</f>
        <v/>
      </c>
      <c r="R101" s="8" t="str">
        <f aca="false">IF(OR($A101="",$D101=""),"",IF(COUNTIFS($D$6:$D$1005,$D101,$A$6:$A$1005,"&gt;"&amp;$A101)=0,1,0))</f>
        <v/>
      </c>
    </row>
    <row r="102" customFormat="false" ht="15" hidden="false" customHeight="false" outlineLevel="0" collapsed="false">
      <c r="A102" s="44"/>
      <c r="B102" s="6"/>
      <c r="C102" s="6"/>
      <c r="D102" s="6"/>
      <c r="E102" s="8" t="str">
        <f aca="false">IF($D102="","",IFERROR(INDEX(INSUMOS!$B$6:$B$205,MATCH($D102,INSUMOS!$A$6:$A$205,0)),"¿Código?"))</f>
        <v/>
      </c>
      <c r="F102" s="8" t="str">
        <f aca="false">IF($D102="","",IFERROR(INDEX(INSUMOS!$E$6:$E$205,MATCH($D102,INSUMOS!$A$6:$A$205,0)),""))</f>
        <v/>
      </c>
      <c r="G102" s="39"/>
      <c r="H102" s="45" t="str">
        <f aca="false">IF($D102="","",IFERROR(INDEX(INSUMOS!$F$6:$F$205,MATCH($D102,INSUMOS!$A$6:$A$205,0)),0))</f>
        <v/>
      </c>
      <c r="I102" s="34" t="str">
        <f aca="false">IF($D102="","",N($G102)*$H102)</f>
        <v/>
      </c>
      <c r="J102" s="40"/>
      <c r="K102" s="36" t="str">
        <f aca="false">IF($D102="","",IFERROR(INDEX(INSUMOS!$H$6:$H$205,MATCH($D102,INSUMOS!$A$6:$A$205,0)),IVA_VENTAS))</f>
        <v/>
      </c>
      <c r="L102" s="35" t="str">
        <f aca="false">IF($D102="","",N($J102)*$K102)</f>
        <v/>
      </c>
      <c r="M102" s="35" t="str">
        <f aca="false">IF($D102="","",N($J102)+$L102)</f>
        <v/>
      </c>
      <c r="N102" s="43" t="str">
        <f aca="false">IF($D102="","",IFERROR(N($J102)/$I102,0))</f>
        <v/>
      </c>
      <c r="O102" s="6"/>
      <c r="P102" s="6"/>
      <c r="Q102" s="46" t="str">
        <f aca="false">IF($A102="","",DATE(YEAR($A102),MONTH($A102),1))</f>
        <v/>
      </c>
      <c r="R102" s="8" t="str">
        <f aca="false">IF(OR($A102="",$D102=""),"",IF(COUNTIFS($D$6:$D$1005,$D102,$A$6:$A$1005,"&gt;"&amp;$A102)=0,1,0))</f>
        <v/>
      </c>
    </row>
    <row r="103" customFormat="false" ht="15" hidden="false" customHeight="false" outlineLevel="0" collapsed="false">
      <c r="A103" s="44"/>
      <c r="B103" s="6"/>
      <c r="C103" s="6"/>
      <c r="D103" s="6"/>
      <c r="E103" s="8" t="str">
        <f aca="false">IF($D103="","",IFERROR(INDEX(INSUMOS!$B$6:$B$205,MATCH($D103,INSUMOS!$A$6:$A$205,0)),"¿Código?"))</f>
        <v/>
      </c>
      <c r="F103" s="8" t="str">
        <f aca="false">IF($D103="","",IFERROR(INDEX(INSUMOS!$E$6:$E$205,MATCH($D103,INSUMOS!$A$6:$A$205,0)),""))</f>
        <v/>
      </c>
      <c r="G103" s="39"/>
      <c r="H103" s="45" t="str">
        <f aca="false">IF($D103="","",IFERROR(INDEX(INSUMOS!$F$6:$F$205,MATCH($D103,INSUMOS!$A$6:$A$205,0)),0))</f>
        <v/>
      </c>
      <c r="I103" s="34" t="str">
        <f aca="false">IF($D103="","",N($G103)*$H103)</f>
        <v/>
      </c>
      <c r="J103" s="40"/>
      <c r="K103" s="36" t="str">
        <f aca="false">IF($D103="","",IFERROR(INDEX(INSUMOS!$H$6:$H$205,MATCH($D103,INSUMOS!$A$6:$A$205,0)),IVA_VENTAS))</f>
        <v/>
      </c>
      <c r="L103" s="35" t="str">
        <f aca="false">IF($D103="","",N($J103)*$K103)</f>
        <v/>
      </c>
      <c r="M103" s="35" t="str">
        <f aca="false">IF($D103="","",N($J103)+$L103)</f>
        <v/>
      </c>
      <c r="N103" s="43" t="str">
        <f aca="false">IF($D103="","",IFERROR(N($J103)/$I103,0))</f>
        <v/>
      </c>
      <c r="O103" s="6"/>
      <c r="P103" s="6"/>
      <c r="Q103" s="46" t="str">
        <f aca="false">IF($A103="","",DATE(YEAR($A103),MONTH($A103),1))</f>
        <v/>
      </c>
      <c r="R103" s="8" t="str">
        <f aca="false">IF(OR($A103="",$D103=""),"",IF(COUNTIFS($D$6:$D$1005,$D103,$A$6:$A$1005,"&gt;"&amp;$A103)=0,1,0))</f>
        <v/>
      </c>
    </row>
    <row r="104" customFormat="false" ht="15" hidden="false" customHeight="false" outlineLevel="0" collapsed="false">
      <c r="A104" s="44"/>
      <c r="B104" s="6"/>
      <c r="C104" s="6"/>
      <c r="D104" s="6"/>
      <c r="E104" s="8" t="str">
        <f aca="false">IF($D104="","",IFERROR(INDEX(INSUMOS!$B$6:$B$205,MATCH($D104,INSUMOS!$A$6:$A$205,0)),"¿Código?"))</f>
        <v/>
      </c>
      <c r="F104" s="8" t="str">
        <f aca="false">IF($D104="","",IFERROR(INDEX(INSUMOS!$E$6:$E$205,MATCH($D104,INSUMOS!$A$6:$A$205,0)),""))</f>
        <v/>
      </c>
      <c r="G104" s="39"/>
      <c r="H104" s="45" t="str">
        <f aca="false">IF($D104="","",IFERROR(INDEX(INSUMOS!$F$6:$F$205,MATCH($D104,INSUMOS!$A$6:$A$205,0)),0))</f>
        <v/>
      </c>
      <c r="I104" s="34" t="str">
        <f aca="false">IF($D104="","",N($G104)*$H104)</f>
        <v/>
      </c>
      <c r="J104" s="40"/>
      <c r="K104" s="36" t="str">
        <f aca="false">IF($D104="","",IFERROR(INDEX(INSUMOS!$H$6:$H$205,MATCH($D104,INSUMOS!$A$6:$A$205,0)),IVA_VENTAS))</f>
        <v/>
      </c>
      <c r="L104" s="35" t="str">
        <f aca="false">IF($D104="","",N($J104)*$K104)</f>
        <v/>
      </c>
      <c r="M104" s="35" t="str">
        <f aca="false">IF($D104="","",N($J104)+$L104)</f>
        <v/>
      </c>
      <c r="N104" s="43" t="str">
        <f aca="false">IF($D104="","",IFERROR(N($J104)/$I104,0))</f>
        <v/>
      </c>
      <c r="O104" s="6"/>
      <c r="P104" s="6"/>
      <c r="Q104" s="46" t="str">
        <f aca="false">IF($A104="","",DATE(YEAR($A104),MONTH($A104),1))</f>
        <v/>
      </c>
      <c r="R104" s="8" t="str">
        <f aca="false">IF(OR($A104="",$D104=""),"",IF(COUNTIFS($D$6:$D$1005,$D104,$A$6:$A$1005,"&gt;"&amp;$A104)=0,1,0))</f>
        <v/>
      </c>
    </row>
    <row r="105" customFormat="false" ht="15" hidden="false" customHeight="false" outlineLevel="0" collapsed="false">
      <c r="A105" s="44"/>
      <c r="B105" s="6"/>
      <c r="C105" s="6"/>
      <c r="D105" s="6"/>
      <c r="E105" s="8" t="str">
        <f aca="false">IF($D105="","",IFERROR(INDEX(INSUMOS!$B$6:$B$205,MATCH($D105,INSUMOS!$A$6:$A$205,0)),"¿Código?"))</f>
        <v/>
      </c>
      <c r="F105" s="8" t="str">
        <f aca="false">IF($D105="","",IFERROR(INDEX(INSUMOS!$E$6:$E$205,MATCH($D105,INSUMOS!$A$6:$A$205,0)),""))</f>
        <v/>
      </c>
      <c r="G105" s="39"/>
      <c r="H105" s="45" t="str">
        <f aca="false">IF($D105="","",IFERROR(INDEX(INSUMOS!$F$6:$F$205,MATCH($D105,INSUMOS!$A$6:$A$205,0)),0))</f>
        <v/>
      </c>
      <c r="I105" s="34" t="str">
        <f aca="false">IF($D105="","",N($G105)*$H105)</f>
        <v/>
      </c>
      <c r="J105" s="40"/>
      <c r="K105" s="36" t="str">
        <f aca="false">IF($D105="","",IFERROR(INDEX(INSUMOS!$H$6:$H$205,MATCH($D105,INSUMOS!$A$6:$A$205,0)),IVA_VENTAS))</f>
        <v/>
      </c>
      <c r="L105" s="35" t="str">
        <f aca="false">IF($D105="","",N($J105)*$K105)</f>
        <v/>
      </c>
      <c r="M105" s="35" t="str">
        <f aca="false">IF($D105="","",N($J105)+$L105)</f>
        <v/>
      </c>
      <c r="N105" s="43" t="str">
        <f aca="false">IF($D105="","",IFERROR(N($J105)/$I105,0))</f>
        <v/>
      </c>
      <c r="O105" s="6"/>
      <c r="P105" s="6"/>
      <c r="Q105" s="46" t="str">
        <f aca="false">IF($A105="","",DATE(YEAR($A105),MONTH($A105),1))</f>
        <v/>
      </c>
      <c r="R105" s="8" t="str">
        <f aca="false">IF(OR($A105="",$D105=""),"",IF(COUNTIFS($D$6:$D$1005,$D105,$A$6:$A$1005,"&gt;"&amp;$A105)=0,1,0))</f>
        <v/>
      </c>
    </row>
    <row r="106" customFormat="false" ht="15" hidden="false" customHeight="false" outlineLevel="0" collapsed="false">
      <c r="A106" s="44"/>
      <c r="B106" s="6"/>
      <c r="C106" s="6"/>
      <c r="D106" s="6"/>
      <c r="E106" s="8" t="str">
        <f aca="false">IF($D106="","",IFERROR(INDEX(INSUMOS!$B$6:$B$205,MATCH($D106,INSUMOS!$A$6:$A$205,0)),"¿Código?"))</f>
        <v/>
      </c>
      <c r="F106" s="8" t="str">
        <f aca="false">IF($D106="","",IFERROR(INDEX(INSUMOS!$E$6:$E$205,MATCH($D106,INSUMOS!$A$6:$A$205,0)),""))</f>
        <v/>
      </c>
      <c r="G106" s="39"/>
      <c r="H106" s="45" t="str">
        <f aca="false">IF($D106="","",IFERROR(INDEX(INSUMOS!$F$6:$F$205,MATCH($D106,INSUMOS!$A$6:$A$205,0)),0))</f>
        <v/>
      </c>
      <c r="I106" s="34" t="str">
        <f aca="false">IF($D106="","",N($G106)*$H106)</f>
        <v/>
      </c>
      <c r="J106" s="40"/>
      <c r="K106" s="36" t="str">
        <f aca="false">IF($D106="","",IFERROR(INDEX(INSUMOS!$H$6:$H$205,MATCH($D106,INSUMOS!$A$6:$A$205,0)),IVA_VENTAS))</f>
        <v/>
      </c>
      <c r="L106" s="35" t="str">
        <f aca="false">IF($D106="","",N($J106)*$K106)</f>
        <v/>
      </c>
      <c r="M106" s="35" t="str">
        <f aca="false">IF($D106="","",N($J106)+$L106)</f>
        <v/>
      </c>
      <c r="N106" s="43" t="str">
        <f aca="false">IF($D106="","",IFERROR(N($J106)/$I106,0))</f>
        <v/>
      </c>
      <c r="O106" s="6"/>
      <c r="P106" s="6"/>
      <c r="Q106" s="46" t="str">
        <f aca="false">IF($A106="","",DATE(YEAR($A106),MONTH($A106),1))</f>
        <v/>
      </c>
      <c r="R106" s="8" t="str">
        <f aca="false">IF(OR($A106="",$D106=""),"",IF(COUNTIFS($D$6:$D$1005,$D106,$A$6:$A$1005,"&gt;"&amp;$A106)=0,1,0))</f>
        <v/>
      </c>
    </row>
    <row r="107" customFormat="false" ht="15" hidden="false" customHeight="false" outlineLevel="0" collapsed="false">
      <c r="A107" s="44"/>
      <c r="B107" s="6"/>
      <c r="C107" s="6"/>
      <c r="D107" s="6"/>
      <c r="E107" s="8" t="str">
        <f aca="false">IF($D107="","",IFERROR(INDEX(INSUMOS!$B$6:$B$205,MATCH($D107,INSUMOS!$A$6:$A$205,0)),"¿Código?"))</f>
        <v/>
      </c>
      <c r="F107" s="8" t="str">
        <f aca="false">IF($D107="","",IFERROR(INDEX(INSUMOS!$E$6:$E$205,MATCH($D107,INSUMOS!$A$6:$A$205,0)),""))</f>
        <v/>
      </c>
      <c r="G107" s="39"/>
      <c r="H107" s="45" t="str">
        <f aca="false">IF($D107="","",IFERROR(INDEX(INSUMOS!$F$6:$F$205,MATCH($D107,INSUMOS!$A$6:$A$205,0)),0))</f>
        <v/>
      </c>
      <c r="I107" s="34" t="str">
        <f aca="false">IF($D107="","",N($G107)*$H107)</f>
        <v/>
      </c>
      <c r="J107" s="40"/>
      <c r="K107" s="36" t="str">
        <f aca="false">IF($D107="","",IFERROR(INDEX(INSUMOS!$H$6:$H$205,MATCH($D107,INSUMOS!$A$6:$A$205,0)),IVA_VENTAS))</f>
        <v/>
      </c>
      <c r="L107" s="35" t="str">
        <f aca="false">IF($D107="","",N($J107)*$K107)</f>
        <v/>
      </c>
      <c r="M107" s="35" t="str">
        <f aca="false">IF($D107="","",N($J107)+$L107)</f>
        <v/>
      </c>
      <c r="N107" s="43" t="str">
        <f aca="false">IF($D107="","",IFERROR(N($J107)/$I107,0))</f>
        <v/>
      </c>
      <c r="O107" s="6"/>
      <c r="P107" s="6"/>
      <c r="Q107" s="46" t="str">
        <f aca="false">IF($A107="","",DATE(YEAR($A107),MONTH($A107),1))</f>
        <v/>
      </c>
      <c r="R107" s="8" t="str">
        <f aca="false">IF(OR($A107="",$D107=""),"",IF(COUNTIFS($D$6:$D$1005,$D107,$A$6:$A$1005,"&gt;"&amp;$A107)=0,1,0))</f>
        <v/>
      </c>
    </row>
    <row r="108" customFormat="false" ht="15" hidden="false" customHeight="false" outlineLevel="0" collapsed="false">
      <c r="A108" s="44"/>
      <c r="B108" s="6"/>
      <c r="C108" s="6"/>
      <c r="D108" s="6"/>
      <c r="E108" s="8" t="str">
        <f aca="false">IF($D108="","",IFERROR(INDEX(INSUMOS!$B$6:$B$205,MATCH($D108,INSUMOS!$A$6:$A$205,0)),"¿Código?"))</f>
        <v/>
      </c>
      <c r="F108" s="8" t="str">
        <f aca="false">IF($D108="","",IFERROR(INDEX(INSUMOS!$E$6:$E$205,MATCH($D108,INSUMOS!$A$6:$A$205,0)),""))</f>
        <v/>
      </c>
      <c r="G108" s="39"/>
      <c r="H108" s="45" t="str">
        <f aca="false">IF($D108="","",IFERROR(INDEX(INSUMOS!$F$6:$F$205,MATCH($D108,INSUMOS!$A$6:$A$205,0)),0))</f>
        <v/>
      </c>
      <c r="I108" s="34" t="str">
        <f aca="false">IF($D108="","",N($G108)*$H108)</f>
        <v/>
      </c>
      <c r="J108" s="40"/>
      <c r="K108" s="36" t="str">
        <f aca="false">IF($D108="","",IFERROR(INDEX(INSUMOS!$H$6:$H$205,MATCH($D108,INSUMOS!$A$6:$A$205,0)),IVA_VENTAS))</f>
        <v/>
      </c>
      <c r="L108" s="35" t="str">
        <f aca="false">IF($D108="","",N($J108)*$K108)</f>
        <v/>
      </c>
      <c r="M108" s="35" t="str">
        <f aca="false">IF($D108="","",N($J108)+$L108)</f>
        <v/>
      </c>
      <c r="N108" s="43" t="str">
        <f aca="false">IF($D108="","",IFERROR(N($J108)/$I108,0))</f>
        <v/>
      </c>
      <c r="O108" s="6"/>
      <c r="P108" s="6"/>
      <c r="Q108" s="46" t="str">
        <f aca="false">IF($A108="","",DATE(YEAR($A108),MONTH($A108),1))</f>
        <v/>
      </c>
      <c r="R108" s="8" t="str">
        <f aca="false">IF(OR($A108="",$D108=""),"",IF(COUNTIFS($D$6:$D$1005,$D108,$A$6:$A$1005,"&gt;"&amp;$A108)=0,1,0))</f>
        <v/>
      </c>
    </row>
    <row r="109" customFormat="false" ht="15" hidden="false" customHeight="false" outlineLevel="0" collapsed="false">
      <c r="A109" s="44"/>
      <c r="B109" s="6"/>
      <c r="C109" s="6"/>
      <c r="D109" s="6"/>
      <c r="E109" s="8" t="str">
        <f aca="false">IF($D109="","",IFERROR(INDEX(INSUMOS!$B$6:$B$205,MATCH($D109,INSUMOS!$A$6:$A$205,0)),"¿Código?"))</f>
        <v/>
      </c>
      <c r="F109" s="8" t="str">
        <f aca="false">IF($D109="","",IFERROR(INDEX(INSUMOS!$E$6:$E$205,MATCH($D109,INSUMOS!$A$6:$A$205,0)),""))</f>
        <v/>
      </c>
      <c r="G109" s="39"/>
      <c r="H109" s="45" t="str">
        <f aca="false">IF($D109="","",IFERROR(INDEX(INSUMOS!$F$6:$F$205,MATCH($D109,INSUMOS!$A$6:$A$205,0)),0))</f>
        <v/>
      </c>
      <c r="I109" s="34" t="str">
        <f aca="false">IF($D109="","",N($G109)*$H109)</f>
        <v/>
      </c>
      <c r="J109" s="40"/>
      <c r="K109" s="36" t="str">
        <f aca="false">IF($D109="","",IFERROR(INDEX(INSUMOS!$H$6:$H$205,MATCH($D109,INSUMOS!$A$6:$A$205,0)),IVA_VENTAS))</f>
        <v/>
      </c>
      <c r="L109" s="35" t="str">
        <f aca="false">IF($D109="","",N($J109)*$K109)</f>
        <v/>
      </c>
      <c r="M109" s="35" t="str">
        <f aca="false">IF($D109="","",N($J109)+$L109)</f>
        <v/>
      </c>
      <c r="N109" s="43" t="str">
        <f aca="false">IF($D109="","",IFERROR(N($J109)/$I109,0))</f>
        <v/>
      </c>
      <c r="O109" s="6"/>
      <c r="P109" s="6"/>
      <c r="Q109" s="46" t="str">
        <f aca="false">IF($A109="","",DATE(YEAR($A109),MONTH($A109),1))</f>
        <v/>
      </c>
      <c r="R109" s="8" t="str">
        <f aca="false">IF(OR($A109="",$D109=""),"",IF(COUNTIFS($D$6:$D$1005,$D109,$A$6:$A$1005,"&gt;"&amp;$A109)=0,1,0))</f>
        <v/>
      </c>
    </row>
    <row r="110" customFormat="false" ht="15" hidden="false" customHeight="false" outlineLevel="0" collapsed="false">
      <c r="A110" s="44"/>
      <c r="B110" s="6"/>
      <c r="C110" s="6"/>
      <c r="D110" s="6"/>
      <c r="E110" s="8" t="str">
        <f aca="false">IF($D110="","",IFERROR(INDEX(INSUMOS!$B$6:$B$205,MATCH($D110,INSUMOS!$A$6:$A$205,0)),"¿Código?"))</f>
        <v/>
      </c>
      <c r="F110" s="8" t="str">
        <f aca="false">IF($D110="","",IFERROR(INDEX(INSUMOS!$E$6:$E$205,MATCH($D110,INSUMOS!$A$6:$A$205,0)),""))</f>
        <v/>
      </c>
      <c r="G110" s="39"/>
      <c r="H110" s="45" t="str">
        <f aca="false">IF($D110="","",IFERROR(INDEX(INSUMOS!$F$6:$F$205,MATCH($D110,INSUMOS!$A$6:$A$205,0)),0))</f>
        <v/>
      </c>
      <c r="I110" s="34" t="str">
        <f aca="false">IF($D110="","",N($G110)*$H110)</f>
        <v/>
      </c>
      <c r="J110" s="40"/>
      <c r="K110" s="36" t="str">
        <f aca="false">IF($D110="","",IFERROR(INDEX(INSUMOS!$H$6:$H$205,MATCH($D110,INSUMOS!$A$6:$A$205,0)),IVA_VENTAS))</f>
        <v/>
      </c>
      <c r="L110" s="35" t="str">
        <f aca="false">IF($D110="","",N($J110)*$K110)</f>
        <v/>
      </c>
      <c r="M110" s="35" t="str">
        <f aca="false">IF($D110="","",N($J110)+$L110)</f>
        <v/>
      </c>
      <c r="N110" s="43" t="str">
        <f aca="false">IF($D110="","",IFERROR(N($J110)/$I110,0))</f>
        <v/>
      </c>
      <c r="O110" s="6"/>
      <c r="P110" s="6"/>
      <c r="Q110" s="46" t="str">
        <f aca="false">IF($A110="","",DATE(YEAR($A110),MONTH($A110),1))</f>
        <v/>
      </c>
      <c r="R110" s="8" t="str">
        <f aca="false">IF(OR($A110="",$D110=""),"",IF(COUNTIFS($D$6:$D$1005,$D110,$A$6:$A$1005,"&gt;"&amp;$A110)=0,1,0))</f>
        <v/>
      </c>
    </row>
    <row r="111" customFormat="false" ht="15" hidden="false" customHeight="false" outlineLevel="0" collapsed="false">
      <c r="A111" s="44"/>
      <c r="B111" s="6"/>
      <c r="C111" s="6"/>
      <c r="D111" s="6"/>
      <c r="E111" s="8" t="str">
        <f aca="false">IF($D111="","",IFERROR(INDEX(INSUMOS!$B$6:$B$205,MATCH($D111,INSUMOS!$A$6:$A$205,0)),"¿Código?"))</f>
        <v/>
      </c>
      <c r="F111" s="8" t="str">
        <f aca="false">IF($D111="","",IFERROR(INDEX(INSUMOS!$E$6:$E$205,MATCH($D111,INSUMOS!$A$6:$A$205,0)),""))</f>
        <v/>
      </c>
      <c r="G111" s="39"/>
      <c r="H111" s="45" t="str">
        <f aca="false">IF($D111="","",IFERROR(INDEX(INSUMOS!$F$6:$F$205,MATCH($D111,INSUMOS!$A$6:$A$205,0)),0))</f>
        <v/>
      </c>
      <c r="I111" s="34" t="str">
        <f aca="false">IF($D111="","",N($G111)*$H111)</f>
        <v/>
      </c>
      <c r="J111" s="40"/>
      <c r="K111" s="36" t="str">
        <f aca="false">IF($D111="","",IFERROR(INDEX(INSUMOS!$H$6:$H$205,MATCH($D111,INSUMOS!$A$6:$A$205,0)),IVA_VENTAS))</f>
        <v/>
      </c>
      <c r="L111" s="35" t="str">
        <f aca="false">IF($D111="","",N($J111)*$K111)</f>
        <v/>
      </c>
      <c r="M111" s="35" t="str">
        <f aca="false">IF($D111="","",N($J111)+$L111)</f>
        <v/>
      </c>
      <c r="N111" s="43" t="str">
        <f aca="false">IF($D111="","",IFERROR(N($J111)/$I111,0))</f>
        <v/>
      </c>
      <c r="O111" s="6"/>
      <c r="P111" s="6"/>
      <c r="Q111" s="46" t="str">
        <f aca="false">IF($A111="","",DATE(YEAR($A111),MONTH($A111),1))</f>
        <v/>
      </c>
      <c r="R111" s="8" t="str">
        <f aca="false">IF(OR($A111="",$D111=""),"",IF(COUNTIFS($D$6:$D$1005,$D111,$A$6:$A$1005,"&gt;"&amp;$A111)=0,1,0))</f>
        <v/>
      </c>
    </row>
    <row r="112" customFormat="false" ht="15" hidden="false" customHeight="false" outlineLevel="0" collapsed="false">
      <c r="A112" s="44"/>
      <c r="B112" s="6"/>
      <c r="C112" s="6"/>
      <c r="D112" s="6"/>
      <c r="E112" s="8" t="str">
        <f aca="false">IF($D112="","",IFERROR(INDEX(INSUMOS!$B$6:$B$205,MATCH($D112,INSUMOS!$A$6:$A$205,0)),"¿Código?"))</f>
        <v/>
      </c>
      <c r="F112" s="8" t="str">
        <f aca="false">IF($D112="","",IFERROR(INDEX(INSUMOS!$E$6:$E$205,MATCH($D112,INSUMOS!$A$6:$A$205,0)),""))</f>
        <v/>
      </c>
      <c r="G112" s="39"/>
      <c r="H112" s="45" t="str">
        <f aca="false">IF($D112="","",IFERROR(INDEX(INSUMOS!$F$6:$F$205,MATCH($D112,INSUMOS!$A$6:$A$205,0)),0))</f>
        <v/>
      </c>
      <c r="I112" s="34" t="str">
        <f aca="false">IF($D112="","",N($G112)*$H112)</f>
        <v/>
      </c>
      <c r="J112" s="40"/>
      <c r="K112" s="36" t="str">
        <f aca="false">IF($D112="","",IFERROR(INDEX(INSUMOS!$H$6:$H$205,MATCH($D112,INSUMOS!$A$6:$A$205,0)),IVA_VENTAS))</f>
        <v/>
      </c>
      <c r="L112" s="35" t="str">
        <f aca="false">IF($D112="","",N($J112)*$K112)</f>
        <v/>
      </c>
      <c r="M112" s="35" t="str">
        <f aca="false">IF($D112="","",N($J112)+$L112)</f>
        <v/>
      </c>
      <c r="N112" s="43" t="str">
        <f aca="false">IF($D112="","",IFERROR(N($J112)/$I112,0))</f>
        <v/>
      </c>
      <c r="O112" s="6"/>
      <c r="P112" s="6"/>
      <c r="Q112" s="46" t="str">
        <f aca="false">IF($A112="","",DATE(YEAR($A112),MONTH($A112),1))</f>
        <v/>
      </c>
      <c r="R112" s="8" t="str">
        <f aca="false">IF(OR($A112="",$D112=""),"",IF(COUNTIFS($D$6:$D$1005,$D112,$A$6:$A$1005,"&gt;"&amp;$A112)=0,1,0))</f>
        <v/>
      </c>
    </row>
    <row r="113" customFormat="false" ht="15" hidden="false" customHeight="false" outlineLevel="0" collapsed="false">
      <c r="A113" s="44"/>
      <c r="B113" s="6"/>
      <c r="C113" s="6"/>
      <c r="D113" s="6"/>
      <c r="E113" s="8" t="str">
        <f aca="false">IF($D113="","",IFERROR(INDEX(INSUMOS!$B$6:$B$205,MATCH($D113,INSUMOS!$A$6:$A$205,0)),"¿Código?"))</f>
        <v/>
      </c>
      <c r="F113" s="8" t="str">
        <f aca="false">IF($D113="","",IFERROR(INDEX(INSUMOS!$E$6:$E$205,MATCH($D113,INSUMOS!$A$6:$A$205,0)),""))</f>
        <v/>
      </c>
      <c r="G113" s="39"/>
      <c r="H113" s="45" t="str">
        <f aca="false">IF($D113="","",IFERROR(INDEX(INSUMOS!$F$6:$F$205,MATCH($D113,INSUMOS!$A$6:$A$205,0)),0))</f>
        <v/>
      </c>
      <c r="I113" s="34" t="str">
        <f aca="false">IF($D113="","",N($G113)*$H113)</f>
        <v/>
      </c>
      <c r="J113" s="40"/>
      <c r="K113" s="36" t="str">
        <f aca="false">IF($D113="","",IFERROR(INDEX(INSUMOS!$H$6:$H$205,MATCH($D113,INSUMOS!$A$6:$A$205,0)),IVA_VENTAS))</f>
        <v/>
      </c>
      <c r="L113" s="35" t="str">
        <f aca="false">IF($D113="","",N($J113)*$K113)</f>
        <v/>
      </c>
      <c r="M113" s="35" t="str">
        <f aca="false">IF($D113="","",N($J113)+$L113)</f>
        <v/>
      </c>
      <c r="N113" s="43" t="str">
        <f aca="false">IF($D113="","",IFERROR(N($J113)/$I113,0))</f>
        <v/>
      </c>
      <c r="O113" s="6"/>
      <c r="P113" s="6"/>
      <c r="Q113" s="46" t="str">
        <f aca="false">IF($A113="","",DATE(YEAR($A113),MONTH($A113),1))</f>
        <v/>
      </c>
      <c r="R113" s="8" t="str">
        <f aca="false">IF(OR($A113="",$D113=""),"",IF(COUNTIFS($D$6:$D$1005,$D113,$A$6:$A$1005,"&gt;"&amp;$A113)=0,1,0))</f>
        <v/>
      </c>
    </row>
    <row r="114" customFormat="false" ht="15" hidden="false" customHeight="false" outlineLevel="0" collapsed="false">
      <c r="A114" s="44"/>
      <c r="B114" s="6"/>
      <c r="C114" s="6"/>
      <c r="D114" s="6"/>
      <c r="E114" s="8" t="str">
        <f aca="false">IF($D114="","",IFERROR(INDEX(INSUMOS!$B$6:$B$205,MATCH($D114,INSUMOS!$A$6:$A$205,0)),"¿Código?"))</f>
        <v/>
      </c>
      <c r="F114" s="8" t="str">
        <f aca="false">IF($D114="","",IFERROR(INDEX(INSUMOS!$E$6:$E$205,MATCH($D114,INSUMOS!$A$6:$A$205,0)),""))</f>
        <v/>
      </c>
      <c r="G114" s="39"/>
      <c r="H114" s="45" t="str">
        <f aca="false">IF($D114="","",IFERROR(INDEX(INSUMOS!$F$6:$F$205,MATCH($D114,INSUMOS!$A$6:$A$205,0)),0))</f>
        <v/>
      </c>
      <c r="I114" s="34" t="str">
        <f aca="false">IF($D114="","",N($G114)*$H114)</f>
        <v/>
      </c>
      <c r="J114" s="40"/>
      <c r="K114" s="36" t="str">
        <f aca="false">IF($D114="","",IFERROR(INDEX(INSUMOS!$H$6:$H$205,MATCH($D114,INSUMOS!$A$6:$A$205,0)),IVA_VENTAS))</f>
        <v/>
      </c>
      <c r="L114" s="35" t="str">
        <f aca="false">IF($D114="","",N($J114)*$K114)</f>
        <v/>
      </c>
      <c r="M114" s="35" t="str">
        <f aca="false">IF($D114="","",N($J114)+$L114)</f>
        <v/>
      </c>
      <c r="N114" s="43" t="str">
        <f aca="false">IF($D114="","",IFERROR(N($J114)/$I114,0))</f>
        <v/>
      </c>
      <c r="O114" s="6"/>
      <c r="P114" s="6"/>
      <c r="Q114" s="46" t="str">
        <f aca="false">IF($A114="","",DATE(YEAR($A114),MONTH($A114),1))</f>
        <v/>
      </c>
      <c r="R114" s="8" t="str">
        <f aca="false">IF(OR($A114="",$D114=""),"",IF(COUNTIFS($D$6:$D$1005,$D114,$A$6:$A$1005,"&gt;"&amp;$A114)=0,1,0))</f>
        <v/>
      </c>
    </row>
    <row r="115" customFormat="false" ht="15" hidden="false" customHeight="false" outlineLevel="0" collapsed="false">
      <c r="A115" s="44"/>
      <c r="B115" s="6"/>
      <c r="C115" s="6"/>
      <c r="D115" s="6"/>
      <c r="E115" s="8" t="str">
        <f aca="false">IF($D115="","",IFERROR(INDEX(INSUMOS!$B$6:$B$205,MATCH($D115,INSUMOS!$A$6:$A$205,0)),"¿Código?"))</f>
        <v/>
      </c>
      <c r="F115" s="8" t="str">
        <f aca="false">IF($D115="","",IFERROR(INDEX(INSUMOS!$E$6:$E$205,MATCH($D115,INSUMOS!$A$6:$A$205,0)),""))</f>
        <v/>
      </c>
      <c r="G115" s="39"/>
      <c r="H115" s="45" t="str">
        <f aca="false">IF($D115="","",IFERROR(INDEX(INSUMOS!$F$6:$F$205,MATCH($D115,INSUMOS!$A$6:$A$205,0)),0))</f>
        <v/>
      </c>
      <c r="I115" s="34" t="str">
        <f aca="false">IF($D115="","",N($G115)*$H115)</f>
        <v/>
      </c>
      <c r="J115" s="40"/>
      <c r="K115" s="36" t="str">
        <f aca="false">IF($D115="","",IFERROR(INDEX(INSUMOS!$H$6:$H$205,MATCH($D115,INSUMOS!$A$6:$A$205,0)),IVA_VENTAS))</f>
        <v/>
      </c>
      <c r="L115" s="35" t="str">
        <f aca="false">IF($D115="","",N($J115)*$K115)</f>
        <v/>
      </c>
      <c r="M115" s="35" t="str">
        <f aca="false">IF($D115="","",N($J115)+$L115)</f>
        <v/>
      </c>
      <c r="N115" s="43" t="str">
        <f aca="false">IF($D115="","",IFERROR(N($J115)/$I115,0))</f>
        <v/>
      </c>
      <c r="O115" s="6"/>
      <c r="P115" s="6"/>
      <c r="Q115" s="46" t="str">
        <f aca="false">IF($A115="","",DATE(YEAR($A115),MONTH($A115),1))</f>
        <v/>
      </c>
      <c r="R115" s="8" t="str">
        <f aca="false">IF(OR($A115="",$D115=""),"",IF(COUNTIFS($D$6:$D$1005,$D115,$A$6:$A$1005,"&gt;"&amp;$A115)=0,1,0))</f>
        <v/>
      </c>
    </row>
    <row r="116" customFormat="false" ht="15" hidden="false" customHeight="false" outlineLevel="0" collapsed="false">
      <c r="A116" s="44"/>
      <c r="B116" s="6"/>
      <c r="C116" s="6"/>
      <c r="D116" s="6"/>
      <c r="E116" s="8" t="str">
        <f aca="false">IF($D116="","",IFERROR(INDEX(INSUMOS!$B$6:$B$205,MATCH($D116,INSUMOS!$A$6:$A$205,0)),"¿Código?"))</f>
        <v/>
      </c>
      <c r="F116" s="8" t="str">
        <f aca="false">IF($D116="","",IFERROR(INDEX(INSUMOS!$E$6:$E$205,MATCH($D116,INSUMOS!$A$6:$A$205,0)),""))</f>
        <v/>
      </c>
      <c r="G116" s="39"/>
      <c r="H116" s="45" t="str">
        <f aca="false">IF($D116="","",IFERROR(INDEX(INSUMOS!$F$6:$F$205,MATCH($D116,INSUMOS!$A$6:$A$205,0)),0))</f>
        <v/>
      </c>
      <c r="I116" s="34" t="str">
        <f aca="false">IF($D116="","",N($G116)*$H116)</f>
        <v/>
      </c>
      <c r="J116" s="40"/>
      <c r="K116" s="36" t="str">
        <f aca="false">IF($D116="","",IFERROR(INDEX(INSUMOS!$H$6:$H$205,MATCH($D116,INSUMOS!$A$6:$A$205,0)),IVA_VENTAS))</f>
        <v/>
      </c>
      <c r="L116" s="35" t="str">
        <f aca="false">IF($D116="","",N($J116)*$K116)</f>
        <v/>
      </c>
      <c r="M116" s="35" t="str">
        <f aca="false">IF($D116="","",N($J116)+$L116)</f>
        <v/>
      </c>
      <c r="N116" s="43" t="str">
        <f aca="false">IF($D116="","",IFERROR(N($J116)/$I116,0))</f>
        <v/>
      </c>
      <c r="O116" s="6"/>
      <c r="P116" s="6"/>
      <c r="Q116" s="46" t="str">
        <f aca="false">IF($A116="","",DATE(YEAR($A116),MONTH($A116),1))</f>
        <v/>
      </c>
      <c r="R116" s="8" t="str">
        <f aca="false">IF(OR($A116="",$D116=""),"",IF(COUNTIFS($D$6:$D$1005,$D116,$A$6:$A$1005,"&gt;"&amp;$A116)=0,1,0))</f>
        <v/>
      </c>
    </row>
    <row r="117" customFormat="false" ht="15" hidden="false" customHeight="false" outlineLevel="0" collapsed="false">
      <c r="A117" s="44"/>
      <c r="B117" s="6"/>
      <c r="C117" s="6"/>
      <c r="D117" s="6"/>
      <c r="E117" s="8" t="str">
        <f aca="false">IF($D117="","",IFERROR(INDEX(INSUMOS!$B$6:$B$205,MATCH($D117,INSUMOS!$A$6:$A$205,0)),"¿Código?"))</f>
        <v/>
      </c>
      <c r="F117" s="8" t="str">
        <f aca="false">IF($D117="","",IFERROR(INDEX(INSUMOS!$E$6:$E$205,MATCH($D117,INSUMOS!$A$6:$A$205,0)),""))</f>
        <v/>
      </c>
      <c r="G117" s="39"/>
      <c r="H117" s="45" t="str">
        <f aca="false">IF($D117="","",IFERROR(INDEX(INSUMOS!$F$6:$F$205,MATCH($D117,INSUMOS!$A$6:$A$205,0)),0))</f>
        <v/>
      </c>
      <c r="I117" s="34" t="str">
        <f aca="false">IF($D117="","",N($G117)*$H117)</f>
        <v/>
      </c>
      <c r="J117" s="40"/>
      <c r="K117" s="36" t="str">
        <f aca="false">IF($D117="","",IFERROR(INDEX(INSUMOS!$H$6:$H$205,MATCH($D117,INSUMOS!$A$6:$A$205,0)),IVA_VENTAS))</f>
        <v/>
      </c>
      <c r="L117" s="35" t="str">
        <f aca="false">IF($D117="","",N($J117)*$K117)</f>
        <v/>
      </c>
      <c r="M117" s="35" t="str">
        <f aca="false">IF($D117="","",N($J117)+$L117)</f>
        <v/>
      </c>
      <c r="N117" s="43" t="str">
        <f aca="false">IF($D117="","",IFERROR(N($J117)/$I117,0))</f>
        <v/>
      </c>
      <c r="O117" s="6"/>
      <c r="P117" s="6"/>
      <c r="Q117" s="46" t="str">
        <f aca="false">IF($A117="","",DATE(YEAR($A117),MONTH($A117),1))</f>
        <v/>
      </c>
      <c r="R117" s="8" t="str">
        <f aca="false">IF(OR($A117="",$D117=""),"",IF(COUNTIFS($D$6:$D$1005,$D117,$A$6:$A$1005,"&gt;"&amp;$A117)=0,1,0))</f>
        <v/>
      </c>
    </row>
    <row r="118" customFormat="false" ht="15" hidden="false" customHeight="false" outlineLevel="0" collapsed="false">
      <c r="A118" s="44"/>
      <c r="B118" s="6"/>
      <c r="C118" s="6"/>
      <c r="D118" s="6"/>
      <c r="E118" s="8" t="str">
        <f aca="false">IF($D118="","",IFERROR(INDEX(INSUMOS!$B$6:$B$205,MATCH($D118,INSUMOS!$A$6:$A$205,0)),"¿Código?"))</f>
        <v/>
      </c>
      <c r="F118" s="8" t="str">
        <f aca="false">IF($D118="","",IFERROR(INDEX(INSUMOS!$E$6:$E$205,MATCH($D118,INSUMOS!$A$6:$A$205,0)),""))</f>
        <v/>
      </c>
      <c r="G118" s="39"/>
      <c r="H118" s="45" t="str">
        <f aca="false">IF($D118="","",IFERROR(INDEX(INSUMOS!$F$6:$F$205,MATCH($D118,INSUMOS!$A$6:$A$205,0)),0))</f>
        <v/>
      </c>
      <c r="I118" s="34" t="str">
        <f aca="false">IF($D118="","",N($G118)*$H118)</f>
        <v/>
      </c>
      <c r="J118" s="40"/>
      <c r="K118" s="36" t="str">
        <f aca="false">IF($D118="","",IFERROR(INDEX(INSUMOS!$H$6:$H$205,MATCH($D118,INSUMOS!$A$6:$A$205,0)),IVA_VENTAS))</f>
        <v/>
      </c>
      <c r="L118" s="35" t="str">
        <f aca="false">IF($D118="","",N($J118)*$K118)</f>
        <v/>
      </c>
      <c r="M118" s="35" t="str">
        <f aca="false">IF($D118="","",N($J118)+$L118)</f>
        <v/>
      </c>
      <c r="N118" s="43" t="str">
        <f aca="false">IF($D118="","",IFERROR(N($J118)/$I118,0))</f>
        <v/>
      </c>
      <c r="O118" s="6"/>
      <c r="P118" s="6"/>
      <c r="Q118" s="46" t="str">
        <f aca="false">IF($A118="","",DATE(YEAR($A118),MONTH($A118),1))</f>
        <v/>
      </c>
      <c r="R118" s="8" t="str">
        <f aca="false">IF(OR($A118="",$D118=""),"",IF(COUNTIFS($D$6:$D$1005,$D118,$A$6:$A$1005,"&gt;"&amp;$A118)=0,1,0))</f>
        <v/>
      </c>
    </row>
    <row r="119" customFormat="false" ht="15" hidden="false" customHeight="false" outlineLevel="0" collapsed="false">
      <c r="A119" s="44"/>
      <c r="B119" s="6"/>
      <c r="C119" s="6"/>
      <c r="D119" s="6"/>
      <c r="E119" s="8" t="str">
        <f aca="false">IF($D119="","",IFERROR(INDEX(INSUMOS!$B$6:$B$205,MATCH($D119,INSUMOS!$A$6:$A$205,0)),"¿Código?"))</f>
        <v/>
      </c>
      <c r="F119" s="8" t="str">
        <f aca="false">IF($D119="","",IFERROR(INDEX(INSUMOS!$E$6:$E$205,MATCH($D119,INSUMOS!$A$6:$A$205,0)),""))</f>
        <v/>
      </c>
      <c r="G119" s="39"/>
      <c r="H119" s="45" t="str">
        <f aca="false">IF($D119="","",IFERROR(INDEX(INSUMOS!$F$6:$F$205,MATCH($D119,INSUMOS!$A$6:$A$205,0)),0))</f>
        <v/>
      </c>
      <c r="I119" s="34" t="str">
        <f aca="false">IF($D119="","",N($G119)*$H119)</f>
        <v/>
      </c>
      <c r="J119" s="40"/>
      <c r="K119" s="36" t="str">
        <f aca="false">IF($D119="","",IFERROR(INDEX(INSUMOS!$H$6:$H$205,MATCH($D119,INSUMOS!$A$6:$A$205,0)),IVA_VENTAS))</f>
        <v/>
      </c>
      <c r="L119" s="35" t="str">
        <f aca="false">IF($D119="","",N($J119)*$K119)</f>
        <v/>
      </c>
      <c r="M119" s="35" t="str">
        <f aca="false">IF($D119="","",N($J119)+$L119)</f>
        <v/>
      </c>
      <c r="N119" s="43" t="str">
        <f aca="false">IF($D119="","",IFERROR(N($J119)/$I119,0))</f>
        <v/>
      </c>
      <c r="O119" s="6"/>
      <c r="P119" s="6"/>
      <c r="Q119" s="46" t="str">
        <f aca="false">IF($A119="","",DATE(YEAR($A119),MONTH($A119),1))</f>
        <v/>
      </c>
      <c r="R119" s="8" t="str">
        <f aca="false">IF(OR($A119="",$D119=""),"",IF(COUNTIFS($D$6:$D$1005,$D119,$A$6:$A$1005,"&gt;"&amp;$A119)=0,1,0))</f>
        <v/>
      </c>
    </row>
    <row r="120" customFormat="false" ht="15" hidden="false" customHeight="false" outlineLevel="0" collapsed="false">
      <c r="A120" s="44"/>
      <c r="B120" s="6"/>
      <c r="C120" s="6"/>
      <c r="D120" s="6"/>
      <c r="E120" s="8" t="str">
        <f aca="false">IF($D120="","",IFERROR(INDEX(INSUMOS!$B$6:$B$205,MATCH($D120,INSUMOS!$A$6:$A$205,0)),"¿Código?"))</f>
        <v/>
      </c>
      <c r="F120" s="8" t="str">
        <f aca="false">IF($D120="","",IFERROR(INDEX(INSUMOS!$E$6:$E$205,MATCH($D120,INSUMOS!$A$6:$A$205,0)),""))</f>
        <v/>
      </c>
      <c r="G120" s="39"/>
      <c r="H120" s="45" t="str">
        <f aca="false">IF($D120="","",IFERROR(INDEX(INSUMOS!$F$6:$F$205,MATCH($D120,INSUMOS!$A$6:$A$205,0)),0))</f>
        <v/>
      </c>
      <c r="I120" s="34" t="str">
        <f aca="false">IF($D120="","",N($G120)*$H120)</f>
        <v/>
      </c>
      <c r="J120" s="40"/>
      <c r="K120" s="36" t="str">
        <f aca="false">IF($D120="","",IFERROR(INDEX(INSUMOS!$H$6:$H$205,MATCH($D120,INSUMOS!$A$6:$A$205,0)),IVA_VENTAS))</f>
        <v/>
      </c>
      <c r="L120" s="35" t="str">
        <f aca="false">IF($D120="","",N($J120)*$K120)</f>
        <v/>
      </c>
      <c r="M120" s="35" t="str">
        <f aca="false">IF($D120="","",N($J120)+$L120)</f>
        <v/>
      </c>
      <c r="N120" s="43" t="str">
        <f aca="false">IF($D120="","",IFERROR(N($J120)/$I120,0))</f>
        <v/>
      </c>
      <c r="O120" s="6"/>
      <c r="P120" s="6"/>
      <c r="Q120" s="46" t="str">
        <f aca="false">IF($A120="","",DATE(YEAR($A120),MONTH($A120),1))</f>
        <v/>
      </c>
      <c r="R120" s="8" t="str">
        <f aca="false">IF(OR($A120="",$D120=""),"",IF(COUNTIFS($D$6:$D$1005,$D120,$A$6:$A$1005,"&gt;"&amp;$A120)=0,1,0))</f>
        <v/>
      </c>
    </row>
    <row r="121" customFormat="false" ht="15" hidden="false" customHeight="false" outlineLevel="0" collapsed="false">
      <c r="A121" s="44"/>
      <c r="B121" s="6"/>
      <c r="C121" s="6"/>
      <c r="D121" s="6"/>
      <c r="E121" s="8" t="str">
        <f aca="false">IF($D121="","",IFERROR(INDEX(INSUMOS!$B$6:$B$205,MATCH($D121,INSUMOS!$A$6:$A$205,0)),"¿Código?"))</f>
        <v/>
      </c>
      <c r="F121" s="8" t="str">
        <f aca="false">IF($D121="","",IFERROR(INDEX(INSUMOS!$E$6:$E$205,MATCH($D121,INSUMOS!$A$6:$A$205,0)),""))</f>
        <v/>
      </c>
      <c r="G121" s="39"/>
      <c r="H121" s="45" t="str">
        <f aca="false">IF($D121="","",IFERROR(INDEX(INSUMOS!$F$6:$F$205,MATCH($D121,INSUMOS!$A$6:$A$205,0)),0))</f>
        <v/>
      </c>
      <c r="I121" s="34" t="str">
        <f aca="false">IF($D121="","",N($G121)*$H121)</f>
        <v/>
      </c>
      <c r="J121" s="40"/>
      <c r="K121" s="36" t="str">
        <f aca="false">IF($D121="","",IFERROR(INDEX(INSUMOS!$H$6:$H$205,MATCH($D121,INSUMOS!$A$6:$A$205,0)),IVA_VENTAS))</f>
        <v/>
      </c>
      <c r="L121" s="35" t="str">
        <f aca="false">IF($D121="","",N($J121)*$K121)</f>
        <v/>
      </c>
      <c r="M121" s="35" t="str">
        <f aca="false">IF($D121="","",N($J121)+$L121)</f>
        <v/>
      </c>
      <c r="N121" s="43" t="str">
        <f aca="false">IF($D121="","",IFERROR(N($J121)/$I121,0))</f>
        <v/>
      </c>
      <c r="O121" s="6"/>
      <c r="P121" s="6"/>
      <c r="Q121" s="46" t="str">
        <f aca="false">IF($A121="","",DATE(YEAR($A121),MONTH($A121),1))</f>
        <v/>
      </c>
      <c r="R121" s="8" t="str">
        <f aca="false">IF(OR($A121="",$D121=""),"",IF(COUNTIFS($D$6:$D$1005,$D121,$A$6:$A$1005,"&gt;"&amp;$A121)=0,1,0))</f>
        <v/>
      </c>
    </row>
    <row r="122" customFormat="false" ht="15" hidden="false" customHeight="false" outlineLevel="0" collapsed="false">
      <c r="A122" s="44"/>
      <c r="B122" s="6"/>
      <c r="C122" s="6"/>
      <c r="D122" s="6"/>
      <c r="E122" s="8" t="str">
        <f aca="false">IF($D122="","",IFERROR(INDEX(INSUMOS!$B$6:$B$205,MATCH($D122,INSUMOS!$A$6:$A$205,0)),"¿Código?"))</f>
        <v/>
      </c>
      <c r="F122" s="8" t="str">
        <f aca="false">IF($D122="","",IFERROR(INDEX(INSUMOS!$E$6:$E$205,MATCH($D122,INSUMOS!$A$6:$A$205,0)),""))</f>
        <v/>
      </c>
      <c r="G122" s="39"/>
      <c r="H122" s="45" t="str">
        <f aca="false">IF($D122="","",IFERROR(INDEX(INSUMOS!$F$6:$F$205,MATCH($D122,INSUMOS!$A$6:$A$205,0)),0))</f>
        <v/>
      </c>
      <c r="I122" s="34" t="str">
        <f aca="false">IF($D122="","",N($G122)*$H122)</f>
        <v/>
      </c>
      <c r="J122" s="40"/>
      <c r="K122" s="36" t="str">
        <f aca="false">IF($D122="","",IFERROR(INDEX(INSUMOS!$H$6:$H$205,MATCH($D122,INSUMOS!$A$6:$A$205,0)),IVA_VENTAS))</f>
        <v/>
      </c>
      <c r="L122" s="35" t="str">
        <f aca="false">IF($D122="","",N($J122)*$K122)</f>
        <v/>
      </c>
      <c r="M122" s="35" t="str">
        <f aca="false">IF($D122="","",N($J122)+$L122)</f>
        <v/>
      </c>
      <c r="N122" s="43" t="str">
        <f aca="false">IF($D122="","",IFERROR(N($J122)/$I122,0))</f>
        <v/>
      </c>
      <c r="O122" s="6"/>
      <c r="P122" s="6"/>
      <c r="Q122" s="46" t="str">
        <f aca="false">IF($A122="","",DATE(YEAR($A122),MONTH($A122),1))</f>
        <v/>
      </c>
      <c r="R122" s="8" t="str">
        <f aca="false">IF(OR($A122="",$D122=""),"",IF(COUNTIFS($D$6:$D$1005,$D122,$A$6:$A$1005,"&gt;"&amp;$A122)=0,1,0))</f>
        <v/>
      </c>
    </row>
    <row r="123" customFormat="false" ht="15" hidden="false" customHeight="false" outlineLevel="0" collapsed="false">
      <c r="A123" s="44"/>
      <c r="B123" s="6"/>
      <c r="C123" s="6"/>
      <c r="D123" s="6"/>
      <c r="E123" s="8" t="str">
        <f aca="false">IF($D123="","",IFERROR(INDEX(INSUMOS!$B$6:$B$205,MATCH($D123,INSUMOS!$A$6:$A$205,0)),"¿Código?"))</f>
        <v/>
      </c>
      <c r="F123" s="8" t="str">
        <f aca="false">IF($D123="","",IFERROR(INDEX(INSUMOS!$E$6:$E$205,MATCH($D123,INSUMOS!$A$6:$A$205,0)),""))</f>
        <v/>
      </c>
      <c r="G123" s="39"/>
      <c r="H123" s="45" t="str">
        <f aca="false">IF($D123="","",IFERROR(INDEX(INSUMOS!$F$6:$F$205,MATCH($D123,INSUMOS!$A$6:$A$205,0)),0))</f>
        <v/>
      </c>
      <c r="I123" s="34" t="str">
        <f aca="false">IF($D123="","",N($G123)*$H123)</f>
        <v/>
      </c>
      <c r="J123" s="40"/>
      <c r="K123" s="36" t="str">
        <f aca="false">IF($D123="","",IFERROR(INDEX(INSUMOS!$H$6:$H$205,MATCH($D123,INSUMOS!$A$6:$A$205,0)),IVA_VENTAS))</f>
        <v/>
      </c>
      <c r="L123" s="35" t="str">
        <f aca="false">IF($D123="","",N($J123)*$K123)</f>
        <v/>
      </c>
      <c r="M123" s="35" t="str">
        <f aca="false">IF($D123="","",N($J123)+$L123)</f>
        <v/>
      </c>
      <c r="N123" s="43" t="str">
        <f aca="false">IF($D123="","",IFERROR(N($J123)/$I123,0))</f>
        <v/>
      </c>
      <c r="O123" s="6"/>
      <c r="P123" s="6"/>
      <c r="Q123" s="46" t="str">
        <f aca="false">IF($A123="","",DATE(YEAR($A123),MONTH($A123),1))</f>
        <v/>
      </c>
      <c r="R123" s="8" t="str">
        <f aca="false">IF(OR($A123="",$D123=""),"",IF(COUNTIFS($D$6:$D$1005,$D123,$A$6:$A$1005,"&gt;"&amp;$A123)=0,1,0))</f>
        <v/>
      </c>
    </row>
    <row r="124" customFormat="false" ht="15" hidden="false" customHeight="false" outlineLevel="0" collapsed="false">
      <c r="A124" s="44"/>
      <c r="B124" s="6"/>
      <c r="C124" s="6"/>
      <c r="D124" s="6"/>
      <c r="E124" s="8" t="str">
        <f aca="false">IF($D124="","",IFERROR(INDEX(INSUMOS!$B$6:$B$205,MATCH($D124,INSUMOS!$A$6:$A$205,0)),"¿Código?"))</f>
        <v/>
      </c>
      <c r="F124" s="8" t="str">
        <f aca="false">IF($D124="","",IFERROR(INDEX(INSUMOS!$E$6:$E$205,MATCH($D124,INSUMOS!$A$6:$A$205,0)),""))</f>
        <v/>
      </c>
      <c r="G124" s="39"/>
      <c r="H124" s="45" t="str">
        <f aca="false">IF($D124="","",IFERROR(INDEX(INSUMOS!$F$6:$F$205,MATCH($D124,INSUMOS!$A$6:$A$205,0)),0))</f>
        <v/>
      </c>
      <c r="I124" s="34" t="str">
        <f aca="false">IF($D124="","",N($G124)*$H124)</f>
        <v/>
      </c>
      <c r="J124" s="40"/>
      <c r="K124" s="36" t="str">
        <f aca="false">IF($D124="","",IFERROR(INDEX(INSUMOS!$H$6:$H$205,MATCH($D124,INSUMOS!$A$6:$A$205,0)),IVA_VENTAS))</f>
        <v/>
      </c>
      <c r="L124" s="35" t="str">
        <f aca="false">IF($D124="","",N($J124)*$K124)</f>
        <v/>
      </c>
      <c r="M124" s="35" t="str">
        <f aca="false">IF($D124="","",N($J124)+$L124)</f>
        <v/>
      </c>
      <c r="N124" s="43" t="str">
        <f aca="false">IF($D124="","",IFERROR(N($J124)/$I124,0))</f>
        <v/>
      </c>
      <c r="O124" s="6"/>
      <c r="P124" s="6"/>
      <c r="Q124" s="46" t="str">
        <f aca="false">IF($A124="","",DATE(YEAR($A124),MONTH($A124),1))</f>
        <v/>
      </c>
      <c r="R124" s="8" t="str">
        <f aca="false">IF(OR($A124="",$D124=""),"",IF(COUNTIFS($D$6:$D$1005,$D124,$A$6:$A$1005,"&gt;"&amp;$A124)=0,1,0))</f>
        <v/>
      </c>
    </row>
    <row r="125" customFormat="false" ht="15" hidden="false" customHeight="false" outlineLevel="0" collapsed="false">
      <c r="A125" s="44"/>
      <c r="B125" s="6"/>
      <c r="C125" s="6"/>
      <c r="D125" s="6"/>
      <c r="E125" s="8" t="str">
        <f aca="false">IF($D125="","",IFERROR(INDEX(INSUMOS!$B$6:$B$205,MATCH($D125,INSUMOS!$A$6:$A$205,0)),"¿Código?"))</f>
        <v/>
      </c>
      <c r="F125" s="8" t="str">
        <f aca="false">IF($D125="","",IFERROR(INDEX(INSUMOS!$E$6:$E$205,MATCH($D125,INSUMOS!$A$6:$A$205,0)),""))</f>
        <v/>
      </c>
      <c r="G125" s="39"/>
      <c r="H125" s="45" t="str">
        <f aca="false">IF($D125="","",IFERROR(INDEX(INSUMOS!$F$6:$F$205,MATCH($D125,INSUMOS!$A$6:$A$205,0)),0))</f>
        <v/>
      </c>
      <c r="I125" s="34" t="str">
        <f aca="false">IF($D125="","",N($G125)*$H125)</f>
        <v/>
      </c>
      <c r="J125" s="40"/>
      <c r="K125" s="36" t="str">
        <f aca="false">IF($D125="","",IFERROR(INDEX(INSUMOS!$H$6:$H$205,MATCH($D125,INSUMOS!$A$6:$A$205,0)),IVA_VENTAS))</f>
        <v/>
      </c>
      <c r="L125" s="35" t="str">
        <f aca="false">IF($D125="","",N($J125)*$K125)</f>
        <v/>
      </c>
      <c r="M125" s="35" t="str">
        <f aca="false">IF($D125="","",N($J125)+$L125)</f>
        <v/>
      </c>
      <c r="N125" s="43" t="str">
        <f aca="false">IF($D125="","",IFERROR(N($J125)/$I125,0))</f>
        <v/>
      </c>
      <c r="O125" s="6"/>
      <c r="P125" s="6"/>
      <c r="Q125" s="46" t="str">
        <f aca="false">IF($A125="","",DATE(YEAR($A125),MONTH($A125),1))</f>
        <v/>
      </c>
      <c r="R125" s="8" t="str">
        <f aca="false">IF(OR($A125="",$D125=""),"",IF(COUNTIFS($D$6:$D$1005,$D125,$A$6:$A$1005,"&gt;"&amp;$A125)=0,1,0))</f>
        <v/>
      </c>
    </row>
    <row r="126" customFormat="false" ht="15" hidden="false" customHeight="false" outlineLevel="0" collapsed="false">
      <c r="A126" s="44"/>
      <c r="B126" s="6"/>
      <c r="C126" s="6"/>
      <c r="D126" s="6"/>
      <c r="E126" s="8" t="str">
        <f aca="false">IF($D126="","",IFERROR(INDEX(INSUMOS!$B$6:$B$205,MATCH($D126,INSUMOS!$A$6:$A$205,0)),"¿Código?"))</f>
        <v/>
      </c>
      <c r="F126" s="8" t="str">
        <f aca="false">IF($D126="","",IFERROR(INDEX(INSUMOS!$E$6:$E$205,MATCH($D126,INSUMOS!$A$6:$A$205,0)),""))</f>
        <v/>
      </c>
      <c r="G126" s="39"/>
      <c r="H126" s="45" t="str">
        <f aca="false">IF($D126="","",IFERROR(INDEX(INSUMOS!$F$6:$F$205,MATCH($D126,INSUMOS!$A$6:$A$205,0)),0))</f>
        <v/>
      </c>
      <c r="I126" s="34" t="str">
        <f aca="false">IF($D126="","",N($G126)*$H126)</f>
        <v/>
      </c>
      <c r="J126" s="40"/>
      <c r="K126" s="36" t="str">
        <f aca="false">IF($D126="","",IFERROR(INDEX(INSUMOS!$H$6:$H$205,MATCH($D126,INSUMOS!$A$6:$A$205,0)),IVA_VENTAS))</f>
        <v/>
      </c>
      <c r="L126" s="35" t="str">
        <f aca="false">IF($D126="","",N($J126)*$K126)</f>
        <v/>
      </c>
      <c r="M126" s="35" t="str">
        <f aca="false">IF($D126="","",N($J126)+$L126)</f>
        <v/>
      </c>
      <c r="N126" s="43" t="str">
        <f aca="false">IF($D126="","",IFERROR(N($J126)/$I126,0))</f>
        <v/>
      </c>
      <c r="O126" s="6"/>
      <c r="P126" s="6"/>
      <c r="Q126" s="46" t="str">
        <f aca="false">IF($A126="","",DATE(YEAR($A126),MONTH($A126),1))</f>
        <v/>
      </c>
      <c r="R126" s="8" t="str">
        <f aca="false">IF(OR($A126="",$D126=""),"",IF(COUNTIFS($D$6:$D$1005,$D126,$A$6:$A$1005,"&gt;"&amp;$A126)=0,1,0))</f>
        <v/>
      </c>
    </row>
    <row r="127" customFormat="false" ht="15" hidden="false" customHeight="false" outlineLevel="0" collapsed="false">
      <c r="A127" s="44"/>
      <c r="B127" s="6"/>
      <c r="C127" s="6"/>
      <c r="D127" s="6"/>
      <c r="E127" s="8" t="str">
        <f aca="false">IF($D127="","",IFERROR(INDEX(INSUMOS!$B$6:$B$205,MATCH($D127,INSUMOS!$A$6:$A$205,0)),"¿Código?"))</f>
        <v/>
      </c>
      <c r="F127" s="8" t="str">
        <f aca="false">IF($D127="","",IFERROR(INDEX(INSUMOS!$E$6:$E$205,MATCH($D127,INSUMOS!$A$6:$A$205,0)),""))</f>
        <v/>
      </c>
      <c r="G127" s="39"/>
      <c r="H127" s="45" t="str">
        <f aca="false">IF($D127="","",IFERROR(INDEX(INSUMOS!$F$6:$F$205,MATCH($D127,INSUMOS!$A$6:$A$205,0)),0))</f>
        <v/>
      </c>
      <c r="I127" s="34" t="str">
        <f aca="false">IF($D127="","",N($G127)*$H127)</f>
        <v/>
      </c>
      <c r="J127" s="40"/>
      <c r="K127" s="36" t="str">
        <f aca="false">IF($D127="","",IFERROR(INDEX(INSUMOS!$H$6:$H$205,MATCH($D127,INSUMOS!$A$6:$A$205,0)),IVA_VENTAS))</f>
        <v/>
      </c>
      <c r="L127" s="35" t="str">
        <f aca="false">IF($D127="","",N($J127)*$K127)</f>
        <v/>
      </c>
      <c r="M127" s="35" t="str">
        <f aca="false">IF($D127="","",N($J127)+$L127)</f>
        <v/>
      </c>
      <c r="N127" s="43" t="str">
        <f aca="false">IF($D127="","",IFERROR(N($J127)/$I127,0))</f>
        <v/>
      </c>
      <c r="O127" s="6"/>
      <c r="P127" s="6"/>
      <c r="Q127" s="46" t="str">
        <f aca="false">IF($A127="","",DATE(YEAR($A127),MONTH($A127),1))</f>
        <v/>
      </c>
      <c r="R127" s="8" t="str">
        <f aca="false">IF(OR($A127="",$D127=""),"",IF(COUNTIFS($D$6:$D$1005,$D127,$A$6:$A$1005,"&gt;"&amp;$A127)=0,1,0))</f>
        <v/>
      </c>
    </row>
    <row r="128" customFormat="false" ht="15" hidden="false" customHeight="false" outlineLevel="0" collapsed="false">
      <c r="A128" s="44"/>
      <c r="B128" s="6"/>
      <c r="C128" s="6"/>
      <c r="D128" s="6"/>
      <c r="E128" s="8" t="str">
        <f aca="false">IF($D128="","",IFERROR(INDEX(INSUMOS!$B$6:$B$205,MATCH($D128,INSUMOS!$A$6:$A$205,0)),"¿Código?"))</f>
        <v/>
      </c>
      <c r="F128" s="8" t="str">
        <f aca="false">IF($D128="","",IFERROR(INDEX(INSUMOS!$E$6:$E$205,MATCH($D128,INSUMOS!$A$6:$A$205,0)),""))</f>
        <v/>
      </c>
      <c r="G128" s="39"/>
      <c r="H128" s="45" t="str">
        <f aca="false">IF($D128="","",IFERROR(INDEX(INSUMOS!$F$6:$F$205,MATCH($D128,INSUMOS!$A$6:$A$205,0)),0))</f>
        <v/>
      </c>
      <c r="I128" s="34" t="str">
        <f aca="false">IF($D128="","",N($G128)*$H128)</f>
        <v/>
      </c>
      <c r="J128" s="40"/>
      <c r="K128" s="36" t="str">
        <f aca="false">IF($D128="","",IFERROR(INDEX(INSUMOS!$H$6:$H$205,MATCH($D128,INSUMOS!$A$6:$A$205,0)),IVA_VENTAS))</f>
        <v/>
      </c>
      <c r="L128" s="35" t="str">
        <f aca="false">IF($D128="","",N($J128)*$K128)</f>
        <v/>
      </c>
      <c r="M128" s="35" t="str">
        <f aca="false">IF($D128="","",N($J128)+$L128)</f>
        <v/>
      </c>
      <c r="N128" s="43" t="str">
        <f aca="false">IF($D128="","",IFERROR(N($J128)/$I128,0))</f>
        <v/>
      </c>
      <c r="O128" s="6"/>
      <c r="P128" s="6"/>
      <c r="Q128" s="46" t="str">
        <f aca="false">IF($A128="","",DATE(YEAR($A128),MONTH($A128),1))</f>
        <v/>
      </c>
      <c r="R128" s="8" t="str">
        <f aca="false">IF(OR($A128="",$D128=""),"",IF(COUNTIFS($D$6:$D$1005,$D128,$A$6:$A$1005,"&gt;"&amp;$A128)=0,1,0))</f>
        <v/>
      </c>
    </row>
    <row r="129" customFormat="false" ht="15" hidden="false" customHeight="false" outlineLevel="0" collapsed="false">
      <c r="A129" s="44"/>
      <c r="B129" s="6"/>
      <c r="C129" s="6"/>
      <c r="D129" s="6"/>
      <c r="E129" s="8" t="str">
        <f aca="false">IF($D129="","",IFERROR(INDEX(INSUMOS!$B$6:$B$205,MATCH($D129,INSUMOS!$A$6:$A$205,0)),"¿Código?"))</f>
        <v/>
      </c>
      <c r="F129" s="8" t="str">
        <f aca="false">IF($D129="","",IFERROR(INDEX(INSUMOS!$E$6:$E$205,MATCH($D129,INSUMOS!$A$6:$A$205,0)),""))</f>
        <v/>
      </c>
      <c r="G129" s="39"/>
      <c r="H129" s="45" t="str">
        <f aca="false">IF($D129="","",IFERROR(INDEX(INSUMOS!$F$6:$F$205,MATCH($D129,INSUMOS!$A$6:$A$205,0)),0))</f>
        <v/>
      </c>
      <c r="I129" s="34" t="str">
        <f aca="false">IF($D129="","",N($G129)*$H129)</f>
        <v/>
      </c>
      <c r="J129" s="40"/>
      <c r="K129" s="36" t="str">
        <f aca="false">IF($D129="","",IFERROR(INDEX(INSUMOS!$H$6:$H$205,MATCH($D129,INSUMOS!$A$6:$A$205,0)),IVA_VENTAS))</f>
        <v/>
      </c>
      <c r="L129" s="35" t="str">
        <f aca="false">IF($D129="","",N($J129)*$K129)</f>
        <v/>
      </c>
      <c r="M129" s="35" t="str">
        <f aca="false">IF($D129="","",N($J129)+$L129)</f>
        <v/>
      </c>
      <c r="N129" s="43" t="str">
        <f aca="false">IF($D129="","",IFERROR(N($J129)/$I129,0))</f>
        <v/>
      </c>
      <c r="O129" s="6"/>
      <c r="P129" s="6"/>
      <c r="Q129" s="46" t="str">
        <f aca="false">IF($A129="","",DATE(YEAR($A129),MONTH($A129),1))</f>
        <v/>
      </c>
      <c r="R129" s="8" t="str">
        <f aca="false">IF(OR($A129="",$D129=""),"",IF(COUNTIFS($D$6:$D$1005,$D129,$A$6:$A$1005,"&gt;"&amp;$A129)=0,1,0))</f>
        <v/>
      </c>
    </row>
    <row r="130" customFormat="false" ht="15" hidden="false" customHeight="false" outlineLevel="0" collapsed="false">
      <c r="A130" s="44"/>
      <c r="B130" s="6"/>
      <c r="C130" s="6"/>
      <c r="D130" s="6"/>
      <c r="E130" s="8" t="str">
        <f aca="false">IF($D130="","",IFERROR(INDEX(INSUMOS!$B$6:$B$205,MATCH($D130,INSUMOS!$A$6:$A$205,0)),"¿Código?"))</f>
        <v/>
      </c>
      <c r="F130" s="8" t="str">
        <f aca="false">IF($D130="","",IFERROR(INDEX(INSUMOS!$E$6:$E$205,MATCH($D130,INSUMOS!$A$6:$A$205,0)),""))</f>
        <v/>
      </c>
      <c r="G130" s="39"/>
      <c r="H130" s="45" t="str">
        <f aca="false">IF($D130="","",IFERROR(INDEX(INSUMOS!$F$6:$F$205,MATCH($D130,INSUMOS!$A$6:$A$205,0)),0))</f>
        <v/>
      </c>
      <c r="I130" s="34" t="str">
        <f aca="false">IF($D130="","",N($G130)*$H130)</f>
        <v/>
      </c>
      <c r="J130" s="40"/>
      <c r="K130" s="36" t="str">
        <f aca="false">IF($D130="","",IFERROR(INDEX(INSUMOS!$H$6:$H$205,MATCH($D130,INSUMOS!$A$6:$A$205,0)),IVA_VENTAS))</f>
        <v/>
      </c>
      <c r="L130" s="35" t="str">
        <f aca="false">IF($D130="","",N($J130)*$K130)</f>
        <v/>
      </c>
      <c r="M130" s="35" t="str">
        <f aca="false">IF($D130="","",N($J130)+$L130)</f>
        <v/>
      </c>
      <c r="N130" s="43" t="str">
        <f aca="false">IF($D130="","",IFERROR(N($J130)/$I130,0))</f>
        <v/>
      </c>
      <c r="O130" s="6"/>
      <c r="P130" s="6"/>
      <c r="Q130" s="46" t="str">
        <f aca="false">IF($A130="","",DATE(YEAR($A130),MONTH($A130),1))</f>
        <v/>
      </c>
      <c r="R130" s="8" t="str">
        <f aca="false">IF(OR($A130="",$D130=""),"",IF(COUNTIFS($D$6:$D$1005,$D130,$A$6:$A$1005,"&gt;"&amp;$A130)=0,1,0))</f>
        <v/>
      </c>
    </row>
    <row r="131" customFormat="false" ht="15" hidden="false" customHeight="false" outlineLevel="0" collapsed="false">
      <c r="A131" s="44"/>
      <c r="B131" s="6"/>
      <c r="C131" s="6"/>
      <c r="D131" s="6"/>
      <c r="E131" s="8" t="str">
        <f aca="false">IF($D131="","",IFERROR(INDEX(INSUMOS!$B$6:$B$205,MATCH($D131,INSUMOS!$A$6:$A$205,0)),"¿Código?"))</f>
        <v/>
      </c>
      <c r="F131" s="8" t="str">
        <f aca="false">IF($D131="","",IFERROR(INDEX(INSUMOS!$E$6:$E$205,MATCH($D131,INSUMOS!$A$6:$A$205,0)),""))</f>
        <v/>
      </c>
      <c r="G131" s="39"/>
      <c r="H131" s="45" t="str">
        <f aca="false">IF($D131="","",IFERROR(INDEX(INSUMOS!$F$6:$F$205,MATCH($D131,INSUMOS!$A$6:$A$205,0)),0))</f>
        <v/>
      </c>
      <c r="I131" s="34" t="str">
        <f aca="false">IF($D131="","",N($G131)*$H131)</f>
        <v/>
      </c>
      <c r="J131" s="40"/>
      <c r="K131" s="36" t="str">
        <f aca="false">IF($D131="","",IFERROR(INDEX(INSUMOS!$H$6:$H$205,MATCH($D131,INSUMOS!$A$6:$A$205,0)),IVA_VENTAS))</f>
        <v/>
      </c>
      <c r="L131" s="35" t="str">
        <f aca="false">IF($D131="","",N($J131)*$K131)</f>
        <v/>
      </c>
      <c r="M131" s="35" t="str">
        <f aca="false">IF($D131="","",N($J131)+$L131)</f>
        <v/>
      </c>
      <c r="N131" s="43" t="str">
        <f aca="false">IF($D131="","",IFERROR(N($J131)/$I131,0))</f>
        <v/>
      </c>
      <c r="O131" s="6"/>
      <c r="P131" s="6"/>
      <c r="Q131" s="46" t="str">
        <f aca="false">IF($A131="","",DATE(YEAR($A131),MONTH($A131),1))</f>
        <v/>
      </c>
      <c r="R131" s="8" t="str">
        <f aca="false">IF(OR($A131="",$D131=""),"",IF(COUNTIFS($D$6:$D$1005,$D131,$A$6:$A$1005,"&gt;"&amp;$A131)=0,1,0))</f>
        <v/>
      </c>
    </row>
    <row r="132" customFormat="false" ht="15" hidden="false" customHeight="false" outlineLevel="0" collapsed="false">
      <c r="A132" s="44"/>
      <c r="B132" s="6"/>
      <c r="C132" s="6"/>
      <c r="D132" s="6"/>
      <c r="E132" s="8" t="str">
        <f aca="false">IF($D132="","",IFERROR(INDEX(INSUMOS!$B$6:$B$205,MATCH($D132,INSUMOS!$A$6:$A$205,0)),"¿Código?"))</f>
        <v/>
      </c>
      <c r="F132" s="8" t="str">
        <f aca="false">IF($D132="","",IFERROR(INDEX(INSUMOS!$E$6:$E$205,MATCH($D132,INSUMOS!$A$6:$A$205,0)),""))</f>
        <v/>
      </c>
      <c r="G132" s="39"/>
      <c r="H132" s="45" t="str">
        <f aca="false">IF($D132="","",IFERROR(INDEX(INSUMOS!$F$6:$F$205,MATCH($D132,INSUMOS!$A$6:$A$205,0)),0))</f>
        <v/>
      </c>
      <c r="I132" s="34" t="str">
        <f aca="false">IF($D132="","",N($G132)*$H132)</f>
        <v/>
      </c>
      <c r="J132" s="40"/>
      <c r="K132" s="36" t="str">
        <f aca="false">IF($D132="","",IFERROR(INDEX(INSUMOS!$H$6:$H$205,MATCH($D132,INSUMOS!$A$6:$A$205,0)),IVA_VENTAS))</f>
        <v/>
      </c>
      <c r="L132" s="35" t="str">
        <f aca="false">IF($D132="","",N($J132)*$K132)</f>
        <v/>
      </c>
      <c r="M132" s="35" t="str">
        <f aca="false">IF($D132="","",N($J132)+$L132)</f>
        <v/>
      </c>
      <c r="N132" s="43" t="str">
        <f aca="false">IF($D132="","",IFERROR(N($J132)/$I132,0))</f>
        <v/>
      </c>
      <c r="O132" s="6"/>
      <c r="P132" s="6"/>
      <c r="Q132" s="46" t="str">
        <f aca="false">IF($A132="","",DATE(YEAR($A132),MONTH($A132),1))</f>
        <v/>
      </c>
      <c r="R132" s="8" t="str">
        <f aca="false">IF(OR($A132="",$D132=""),"",IF(COUNTIFS($D$6:$D$1005,$D132,$A$6:$A$1005,"&gt;"&amp;$A132)=0,1,0))</f>
        <v/>
      </c>
    </row>
    <row r="133" customFormat="false" ht="15" hidden="false" customHeight="false" outlineLevel="0" collapsed="false">
      <c r="A133" s="44"/>
      <c r="B133" s="6"/>
      <c r="C133" s="6"/>
      <c r="D133" s="6"/>
      <c r="E133" s="8" t="str">
        <f aca="false">IF($D133="","",IFERROR(INDEX(INSUMOS!$B$6:$B$205,MATCH($D133,INSUMOS!$A$6:$A$205,0)),"¿Código?"))</f>
        <v/>
      </c>
      <c r="F133" s="8" t="str">
        <f aca="false">IF($D133="","",IFERROR(INDEX(INSUMOS!$E$6:$E$205,MATCH($D133,INSUMOS!$A$6:$A$205,0)),""))</f>
        <v/>
      </c>
      <c r="G133" s="39"/>
      <c r="H133" s="45" t="str">
        <f aca="false">IF($D133="","",IFERROR(INDEX(INSUMOS!$F$6:$F$205,MATCH($D133,INSUMOS!$A$6:$A$205,0)),0))</f>
        <v/>
      </c>
      <c r="I133" s="34" t="str">
        <f aca="false">IF($D133="","",N($G133)*$H133)</f>
        <v/>
      </c>
      <c r="J133" s="40"/>
      <c r="K133" s="36" t="str">
        <f aca="false">IF($D133="","",IFERROR(INDEX(INSUMOS!$H$6:$H$205,MATCH($D133,INSUMOS!$A$6:$A$205,0)),IVA_VENTAS))</f>
        <v/>
      </c>
      <c r="L133" s="35" t="str">
        <f aca="false">IF($D133="","",N($J133)*$K133)</f>
        <v/>
      </c>
      <c r="M133" s="35" t="str">
        <f aca="false">IF($D133="","",N($J133)+$L133)</f>
        <v/>
      </c>
      <c r="N133" s="43" t="str">
        <f aca="false">IF($D133="","",IFERROR(N($J133)/$I133,0))</f>
        <v/>
      </c>
      <c r="O133" s="6"/>
      <c r="P133" s="6"/>
      <c r="Q133" s="46" t="str">
        <f aca="false">IF($A133="","",DATE(YEAR($A133),MONTH($A133),1))</f>
        <v/>
      </c>
      <c r="R133" s="8" t="str">
        <f aca="false">IF(OR($A133="",$D133=""),"",IF(COUNTIFS($D$6:$D$1005,$D133,$A$6:$A$1005,"&gt;"&amp;$A133)=0,1,0))</f>
        <v/>
      </c>
    </row>
    <row r="134" customFormat="false" ht="15" hidden="false" customHeight="false" outlineLevel="0" collapsed="false">
      <c r="A134" s="44"/>
      <c r="B134" s="6"/>
      <c r="C134" s="6"/>
      <c r="D134" s="6"/>
      <c r="E134" s="8" t="str">
        <f aca="false">IF($D134="","",IFERROR(INDEX(INSUMOS!$B$6:$B$205,MATCH($D134,INSUMOS!$A$6:$A$205,0)),"¿Código?"))</f>
        <v/>
      </c>
      <c r="F134" s="8" t="str">
        <f aca="false">IF($D134="","",IFERROR(INDEX(INSUMOS!$E$6:$E$205,MATCH($D134,INSUMOS!$A$6:$A$205,0)),""))</f>
        <v/>
      </c>
      <c r="G134" s="39"/>
      <c r="H134" s="45" t="str">
        <f aca="false">IF($D134="","",IFERROR(INDEX(INSUMOS!$F$6:$F$205,MATCH($D134,INSUMOS!$A$6:$A$205,0)),0))</f>
        <v/>
      </c>
      <c r="I134" s="34" t="str">
        <f aca="false">IF($D134="","",N($G134)*$H134)</f>
        <v/>
      </c>
      <c r="J134" s="40"/>
      <c r="K134" s="36" t="str">
        <f aca="false">IF($D134="","",IFERROR(INDEX(INSUMOS!$H$6:$H$205,MATCH($D134,INSUMOS!$A$6:$A$205,0)),IVA_VENTAS))</f>
        <v/>
      </c>
      <c r="L134" s="35" t="str">
        <f aca="false">IF($D134="","",N($J134)*$K134)</f>
        <v/>
      </c>
      <c r="M134" s="35" t="str">
        <f aca="false">IF($D134="","",N($J134)+$L134)</f>
        <v/>
      </c>
      <c r="N134" s="43" t="str">
        <f aca="false">IF($D134="","",IFERROR(N($J134)/$I134,0))</f>
        <v/>
      </c>
      <c r="O134" s="6"/>
      <c r="P134" s="6"/>
      <c r="Q134" s="46" t="str">
        <f aca="false">IF($A134="","",DATE(YEAR($A134),MONTH($A134),1))</f>
        <v/>
      </c>
      <c r="R134" s="8" t="str">
        <f aca="false">IF(OR($A134="",$D134=""),"",IF(COUNTIFS($D$6:$D$1005,$D134,$A$6:$A$1005,"&gt;"&amp;$A134)=0,1,0))</f>
        <v/>
      </c>
    </row>
    <row r="135" customFormat="false" ht="15" hidden="false" customHeight="false" outlineLevel="0" collapsed="false">
      <c r="A135" s="44"/>
      <c r="B135" s="6"/>
      <c r="C135" s="6"/>
      <c r="D135" s="6"/>
      <c r="E135" s="8" t="str">
        <f aca="false">IF($D135="","",IFERROR(INDEX(INSUMOS!$B$6:$B$205,MATCH($D135,INSUMOS!$A$6:$A$205,0)),"¿Código?"))</f>
        <v/>
      </c>
      <c r="F135" s="8" t="str">
        <f aca="false">IF($D135="","",IFERROR(INDEX(INSUMOS!$E$6:$E$205,MATCH($D135,INSUMOS!$A$6:$A$205,0)),""))</f>
        <v/>
      </c>
      <c r="G135" s="39"/>
      <c r="H135" s="45" t="str">
        <f aca="false">IF($D135="","",IFERROR(INDEX(INSUMOS!$F$6:$F$205,MATCH($D135,INSUMOS!$A$6:$A$205,0)),0))</f>
        <v/>
      </c>
      <c r="I135" s="34" t="str">
        <f aca="false">IF($D135="","",N($G135)*$H135)</f>
        <v/>
      </c>
      <c r="J135" s="40"/>
      <c r="K135" s="36" t="str">
        <f aca="false">IF($D135="","",IFERROR(INDEX(INSUMOS!$H$6:$H$205,MATCH($D135,INSUMOS!$A$6:$A$205,0)),IVA_VENTAS))</f>
        <v/>
      </c>
      <c r="L135" s="35" t="str">
        <f aca="false">IF($D135="","",N($J135)*$K135)</f>
        <v/>
      </c>
      <c r="M135" s="35" t="str">
        <f aca="false">IF($D135="","",N($J135)+$L135)</f>
        <v/>
      </c>
      <c r="N135" s="43" t="str">
        <f aca="false">IF($D135="","",IFERROR(N($J135)/$I135,0))</f>
        <v/>
      </c>
      <c r="O135" s="6"/>
      <c r="P135" s="6"/>
      <c r="Q135" s="46" t="str">
        <f aca="false">IF($A135="","",DATE(YEAR($A135),MONTH($A135),1))</f>
        <v/>
      </c>
      <c r="R135" s="8" t="str">
        <f aca="false">IF(OR($A135="",$D135=""),"",IF(COUNTIFS($D$6:$D$1005,$D135,$A$6:$A$1005,"&gt;"&amp;$A135)=0,1,0))</f>
        <v/>
      </c>
    </row>
    <row r="136" customFormat="false" ht="15" hidden="false" customHeight="false" outlineLevel="0" collapsed="false">
      <c r="A136" s="44"/>
      <c r="B136" s="6"/>
      <c r="C136" s="6"/>
      <c r="D136" s="6"/>
      <c r="E136" s="8" t="str">
        <f aca="false">IF($D136="","",IFERROR(INDEX(INSUMOS!$B$6:$B$205,MATCH($D136,INSUMOS!$A$6:$A$205,0)),"¿Código?"))</f>
        <v/>
      </c>
      <c r="F136" s="8" t="str">
        <f aca="false">IF($D136="","",IFERROR(INDEX(INSUMOS!$E$6:$E$205,MATCH($D136,INSUMOS!$A$6:$A$205,0)),""))</f>
        <v/>
      </c>
      <c r="G136" s="39"/>
      <c r="H136" s="45" t="str">
        <f aca="false">IF($D136="","",IFERROR(INDEX(INSUMOS!$F$6:$F$205,MATCH($D136,INSUMOS!$A$6:$A$205,0)),0))</f>
        <v/>
      </c>
      <c r="I136" s="34" t="str">
        <f aca="false">IF($D136="","",N($G136)*$H136)</f>
        <v/>
      </c>
      <c r="J136" s="40"/>
      <c r="K136" s="36" t="str">
        <f aca="false">IF($D136="","",IFERROR(INDEX(INSUMOS!$H$6:$H$205,MATCH($D136,INSUMOS!$A$6:$A$205,0)),IVA_VENTAS))</f>
        <v/>
      </c>
      <c r="L136" s="35" t="str">
        <f aca="false">IF($D136="","",N($J136)*$K136)</f>
        <v/>
      </c>
      <c r="M136" s="35" t="str">
        <f aca="false">IF($D136="","",N($J136)+$L136)</f>
        <v/>
      </c>
      <c r="N136" s="43" t="str">
        <f aca="false">IF($D136="","",IFERROR(N($J136)/$I136,0))</f>
        <v/>
      </c>
      <c r="O136" s="6"/>
      <c r="P136" s="6"/>
      <c r="Q136" s="46" t="str">
        <f aca="false">IF($A136="","",DATE(YEAR($A136),MONTH($A136),1))</f>
        <v/>
      </c>
      <c r="R136" s="8" t="str">
        <f aca="false">IF(OR($A136="",$D136=""),"",IF(COUNTIFS($D$6:$D$1005,$D136,$A$6:$A$1005,"&gt;"&amp;$A136)=0,1,0))</f>
        <v/>
      </c>
    </row>
    <row r="137" customFormat="false" ht="15" hidden="false" customHeight="false" outlineLevel="0" collapsed="false">
      <c r="A137" s="44"/>
      <c r="B137" s="6"/>
      <c r="C137" s="6"/>
      <c r="D137" s="6"/>
      <c r="E137" s="8" t="str">
        <f aca="false">IF($D137="","",IFERROR(INDEX(INSUMOS!$B$6:$B$205,MATCH($D137,INSUMOS!$A$6:$A$205,0)),"¿Código?"))</f>
        <v/>
      </c>
      <c r="F137" s="8" t="str">
        <f aca="false">IF($D137="","",IFERROR(INDEX(INSUMOS!$E$6:$E$205,MATCH($D137,INSUMOS!$A$6:$A$205,0)),""))</f>
        <v/>
      </c>
      <c r="G137" s="39"/>
      <c r="H137" s="45" t="str">
        <f aca="false">IF($D137="","",IFERROR(INDEX(INSUMOS!$F$6:$F$205,MATCH($D137,INSUMOS!$A$6:$A$205,0)),0))</f>
        <v/>
      </c>
      <c r="I137" s="34" t="str">
        <f aca="false">IF($D137="","",N($G137)*$H137)</f>
        <v/>
      </c>
      <c r="J137" s="40"/>
      <c r="K137" s="36" t="str">
        <f aca="false">IF($D137="","",IFERROR(INDEX(INSUMOS!$H$6:$H$205,MATCH($D137,INSUMOS!$A$6:$A$205,0)),IVA_VENTAS))</f>
        <v/>
      </c>
      <c r="L137" s="35" t="str">
        <f aca="false">IF($D137="","",N($J137)*$K137)</f>
        <v/>
      </c>
      <c r="M137" s="35" t="str">
        <f aca="false">IF($D137="","",N($J137)+$L137)</f>
        <v/>
      </c>
      <c r="N137" s="43" t="str">
        <f aca="false">IF($D137="","",IFERROR(N($J137)/$I137,0))</f>
        <v/>
      </c>
      <c r="O137" s="6"/>
      <c r="P137" s="6"/>
      <c r="Q137" s="46" t="str">
        <f aca="false">IF($A137="","",DATE(YEAR($A137),MONTH($A137),1))</f>
        <v/>
      </c>
      <c r="R137" s="8" t="str">
        <f aca="false">IF(OR($A137="",$D137=""),"",IF(COUNTIFS($D$6:$D$1005,$D137,$A$6:$A$1005,"&gt;"&amp;$A137)=0,1,0))</f>
        <v/>
      </c>
    </row>
    <row r="138" customFormat="false" ht="15" hidden="false" customHeight="false" outlineLevel="0" collapsed="false">
      <c r="A138" s="44"/>
      <c r="B138" s="6"/>
      <c r="C138" s="6"/>
      <c r="D138" s="6"/>
      <c r="E138" s="8" t="str">
        <f aca="false">IF($D138="","",IFERROR(INDEX(INSUMOS!$B$6:$B$205,MATCH($D138,INSUMOS!$A$6:$A$205,0)),"¿Código?"))</f>
        <v/>
      </c>
      <c r="F138" s="8" t="str">
        <f aca="false">IF($D138="","",IFERROR(INDEX(INSUMOS!$E$6:$E$205,MATCH($D138,INSUMOS!$A$6:$A$205,0)),""))</f>
        <v/>
      </c>
      <c r="G138" s="39"/>
      <c r="H138" s="45" t="str">
        <f aca="false">IF($D138="","",IFERROR(INDEX(INSUMOS!$F$6:$F$205,MATCH($D138,INSUMOS!$A$6:$A$205,0)),0))</f>
        <v/>
      </c>
      <c r="I138" s="34" t="str">
        <f aca="false">IF($D138="","",N($G138)*$H138)</f>
        <v/>
      </c>
      <c r="J138" s="40"/>
      <c r="K138" s="36" t="str">
        <f aca="false">IF($D138="","",IFERROR(INDEX(INSUMOS!$H$6:$H$205,MATCH($D138,INSUMOS!$A$6:$A$205,0)),IVA_VENTAS))</f>
        <v/>
      </c>
      <c r="L138" s="35" t="str">
        <f aca="false">IF($D138="","",N($J138)*$K138)</f>
        <v/>
      </c>
      <c r="M138" s="35" t="str">
        <f aca="false">IF($D138="","",N($J138)+$L138)</f>
        <v/>
      </c>
      <c r="N138" s="43" t="str">
        <f aca="false">IF($D138="","",IFERROR(N($J138)/$I138,0))</f>
        <v/>
      </c>
      <c r="O138" s="6"/>
      <c r="P138" s="6"/>
      <c r="Q138" s="46" t="str">
        <f aca="false">IF($A138="","",DATE(YEAR($A138),MONTH($A138),1))</f>
        <v/>
      </c>
      <c r="R138" s="8" t="str">
        <f aca="false">IF(OR($A138="",$D138=""),"",IF(COUNTIFS($D$6:$D$1005,$D138,$A$6:$A$1005,"&gt;"&amp;$A138)=0,1,0))</f>
        <v/>
      </c>
    </row>
    <row r="139" customFormat="false" ht="15" hidden="false" customHeight="false" outlineLevel="0" collapsed="false">
      <c r="A139" s="44"/>
      <c r="B139" s="6"/>
      <c r="C139" s="6"/>
      <c r="D139" s="6"/>
      <c r="E139" s="8" t="str">
        <f aca="false">IF($D139="","",IFERROR(INDEX(INSUMOS!$B$6:$B$205,MATCH($D139,INSUMOS!$A$6:$A$205,0)),"¿Código?"))</f>
        <v/>
      </c>
      <c r="F139" s="8" t="str">
        <f aca="false">IF($D139="","",IFERROR(INDEX(INSUMOS!$E$6:$E$205,MATCH($D139,INSUMOS!$A$6:$A$205,0)),""))</f>
        <v/>
      </c>
      <c r="G139" s="39"/>
      <c r="H139" s="45" t="str">
        <f aca="false">IF($D139="","",IFERROR(INDEX(INSUMOS!$F$6:$F$205,MATCH($D139,INSUMOS!$A$6:$A$205,0)),0))</f>
        <v/>
      </c>
      <c r="I139" s="34" t="str">
        <f aca="false">IF($D139="","",N($G139)*$H139)</f>
        <v/>
      </c>
      <c r="J139" s="40"/>
      <c r="K139" s="36" t="str">
        <f aca="false">IF($D139="","",IFERROR(INDEX(INSUMOS!$H$6:$H$205,MATCH($D139,INSUMOS!$A$6:$A$205,0)),IVA_VENTAS))</f>
        <v/>
      </c>
      <c r="L139" s="35" t="str">
        <f aca="false">IF($D139="","",N($J139)*$K139)</f>
        <v/>
      </c>
      <c r="M139" s="35" t="str">
        <f aca="false">IF($D139="","",N($J139)+$L139)</f>
        <v/>
      </c>
      <c r="N139" s="43" t="str">
        <f aca="false">IF($D139="","",IFERROR(N($J139)/$I139,0))</f>
        <v/>
      </c>
      <c r="O139" s="6"/>
      <c r="P139" s="6"/>
      <c r="Q139" s="46" t="str">
        <f aca="false">IF($A139="","",DATE(YEAR($A139),MONTH($A139),1))</f>
        <v/>
      </c>
      <c r="R139" s="8" t="str">
        <f aca="false">IF(OR($A139="",$D139=""),"",IF(COUNTIFS($D$6:$D$1005,$D139,$A$6:$A$1005,"&gt;"&amp;$A139)=0,1,0))</f>
        <v/>
      </c>
    </row>
    <row r="140" customFormat="false" ht="15" hidden="false" customHeight="false" outlineLevel="0" collapsed="false">
      <c r="A140" s="44"/>
      <c r="B140" s="6"/>
      <c r="C140" s="6"/>
      <c r="D140" s="6"/>
      <c r="E140" s="8" t="str">
        <f aca="false">IF($D140="","",IFERROR(INDEX(INSUMOS!$B$6:$B$205,MATCH($D140,INSUMOS!$A$6:$A$205,0)),"¿Código?"))</f>
        <v/>
      </c>
      <c r="F140" s="8" t="str">
        <f aca="false">IF($D140="","",IFERROR(INDEX(INSUMOS!$E$6:$E$205,MATCH($D140,INSUMOS!$A$6:$A$205,0)),""))</f>
        <v/>
      </c>
      <c r="G140" s="39"/>
      <c r="H140" s="45" t="str">
        <f aca="false">IF($D140="","",IFERROR(INDEX(INSUMOS!$F$6:$F$205,MATCH($D140,INSUMOS!$A$6:$A$205,0)),0))</f>
        <v/>
      </c>
      <c r="I140" s="34" t="str">
        <f aca="false">IF($D140="","",N($G140)*$H140)</f>
        <v/>
      </c>
      <c r="J140" s="40"/>
      <c r="K140" s="36" t="str">
        <f aca="false">IF($D140="","",IFERROR(INDEX(INSUMOS!$H$6:$H$205,MATCH($D140,INSUMOS!$A$6:$A$205,0)),IVA_VENTAS))</f>
        <v/>
      </c>
      <c r="L140" s="35" t="str">
        <f aca="false">IF($D140="","",N($J140)*$K140)</f>
        <v/>
      </c>
      <c r="M140" s="35" t="str">
        <f aca="false">IF($D140="","",N($J140)+$L140)</f>
        <v/>
      </c>
      <c r="N140" s="43" t="str">
        <f aca="false">IF($D140="","",IFERROR(N($J140)/$I140,0))</f>
        <v/>
      </c>
      <c r="O140" s="6"/>
      <c r="P140" s="6"/>
      <c r="Q140" s="46" t="str">
        <f aca="false">IF($A140="","",DATE(YEAR($A140),MONTH($A140),1))</f>
        <v/>
      </c>
      <c r="R140" s="8" t="str">
        <f aca="false">IF(OR($A140="",$D140=""),"",IF(COUNTIFS($D$6:$D$1005,$D140,$A$6:$A$1005,"&gt;"&amp;$A140)=0,1,0))</f>
        <v/>
      </c>
    </row>
    <row r="141" customFormat="false" ht="15" hidden="false" customHeight="false" outlineLevel="0" collapsed="false">
      <c r="A141" s="44"/>
      <c r="B141" s="6"/>
      <c r="C141" s="6"/>
      <c r="D141" s="6"/>
      <c r="E141" s="8" t="str">
        <f aca="false">IF($D141="","",IFERROR(INDEX(INSUMOS!$B$6:$B$205,MATCH($D141,INSUMOS!$A$6:$A$205,0)),"¿Código?"))</f>
        <v/>
      </c>
      <c r="F141" s="8" t="str">
        <f aca="false">IF($D141="","",IFERROR(INDEX(INSUMOS!$E$6:$E$205,MATCH($D141,INSUMOS!$A$6:$A$205,0)),""))</f>
        <v/>
      </c>
      <c r="G141" s="39"/>
      <c r="H141" s="45" t="str">
        <f aca="false">IF($D141="","",IFERROR(INDEX(INSUMOS!$F$6:$F$205,MATCH($D141,INSUMOS!$A$6:$A$205,0)),0))</f>
        <v/>
      </c>
      <c r="I141" s="34" t="str">
        <f aca="false">IF($D141="","",N($G141)*$H141)</f>
        <v/>
      </c>
      <c r="J141" s="40"/>
      <c r="K141" s="36" t="str">
        <f aca="false">IF($D141="","",IFERROR(INDEX(INSUMOS!$H$6:$H$205,MATCH($D141,INSUMOS!$A$6:$A$205,0)),IVA_VENTAS))</f>
        <v/>
      </c>
      <c r="L141" s="35" t="str">
        <f aca="false">IF($D141="","",N($J141)*$K141)</f>
        <v/>
      </c>
      <c r="M141" s="35" t="str">
        <f aca="false">IF($D141="","",N($J141)+$L141)</f>
        <v/>
      </c>
      <c r="N141" s="43" t="str">
        <f aca="false">IF($D141="","",IFERROR(N($J141)/$I141,0))</f>
        <v/>
      </c>
      <c r="O141" s="6"/>
      <c r="P141" s="6"/>
      <c r="Q141" s="46" t="str">
        <f aca="false">IF($A141="","",DATE(YEAR($A141),MONTH($A141),1))</f>
        <v/>
      </c>
      <c r="R141" s="8" t="str">
        <f aca="false">IF(OR($A141="",$D141=""),"",IF(COUNTIFS($D$6:$D$1005,$D141,$A$6:$A$1005,"&gt;"&amp;$A141)=0,1,0))</f>
        <v/>
      </c>
    </row>
    <row r="142" customFormat="false" ht="15" hidden="false" customHeight="false" outlineLevel="0" collapsed="false">
      <c r="A142" s="44"/>
      <c r="B142" s="6"/>
      <c r="C142" s="6"/>
      <c r="D142" s="6"/>
      <c r="E142" s="8" t="str">
        <f aca="false">IF($D142="","",IFERROR(INDEX(INSUMOS!$B$6:$B$205,MATCH($D142,INSUMOS!$A$6:$A$205,0)),"¿Código?"))</f>
        <v/>
      </c>
      <c r="F142" s="8" t="str">
        <f aca="false">IF($D142="","",IFERROR(INDEX(INSUMOS!$E$6:$E$205,MATCH($D142,INSUMOS!$A$6:$A$205,0)),""))</f>
        <v/>
      </c>
      <c r="G142" s="39"/>
      <c r="H142" s="45" t="str">
        <f aca="false">IF($D142="","",IFERROR(INDEX(INSUMOS!$F$6:$F$205,MATCH($D142,INSUMOS!$A$6:$A$205,0)),0))</f>
        <v/>
      </c>
      <c r="I142" s="34" t="str">
        <f aca="false">IF($D142="","",N($G142)*$H142)</f>
        <v/>
      </c>
      <c r="J142" s="40"/>
      <c r="K142" s="36" t="str">
        <f aca="false">IF($D142="","",IFERROR(INDEX(INSUMOS!$H$6:$H$205,MATCH($D142,INSUMOS!$A$6:$A$205,0)),IVA_VENTAS))</f>
        <v/>
      </c>
      <c r="L142" s="35" t="str">
        <f aca="false">IF($D142="","",N($J142)*$K142)</f>
        <v/>
      </c>
      <c r="M142" s="35" t="str">
        <f aca="false">IF($D142="","",N($J142)+$L142)</f>
        <v/>
      </c>
      <c r="N142" s="43" t="str">
        <f aca="false">IF($D142="","",IFERROR(N($J142)/$I142,0))</f>
        <v/>
      </c>
      <c r="O142" s="6"/>
      <c r="P142" s="6"/>
      <c r="Q142" s="46" t="str">
        <f aca="false">IF($A142="","",DATE(YEAR($A142),MONTH($A142),1))</f>
        <v/>
      </c>
      <c r="R142" s="8" t="str">
        <f aca="false">IF(OR($A142="",$D142=""),"",IF(COUNTIFS($D$6:$D$1005,$D142,$A$6:$A$1005,"&gt;"&amp;$A142)=0,1,0))</f>
        <v/>
      </c>
    </row>
    <row r="143" customFormat="false" ht="15" hidden="false" customHeight="false" outlineLevel="0" collapsed="false">
      <c r="A143" s="44"/>
      <c r="B143" s="6"/>
      <c r="C143" s="6"/>
      <c r="D143" s="6"/>
      <c r="E143" s="8" t="str">
        <f aca="false">IF($D143="","",IFERROR(INDEX(INSUMOS!$B$6:$B$205,MATCH($D143,INSUMOS!$A$6:$A$205,0)),"¿Código?"))</f>
        <v/>
      </c>
      <c r="F143" s="8" t="str">
        <f aca="false">IF($D143="","",IFERROR(INDEX(INSUMOS!$E$6:$E$205,MATCH($D143,INSUMOS!$A$6:$A$205,0)),""))</f>
        <v/>
      </c>
      <c r="G143" s="39"/>
      <c r="H143" s="45" t="str">
        <f aca="false">IF($D143="","",IFERROR(INDEX(INSUMOS!$F$6:$F$205,MATCH($D143,INSUMOS!$A$6:$A$205,0)),0))</f>
        <v/>
      </c>
      <c r="I143" s="34" t="str">
        <f aca="false">IF($D143="","",N($G143)*$H143)</f>
        <v/>
      </c>
      <c r="J143" s="40"/>
      <c r="K143" s="36" t="str">
        <f aca="false">IF($D143="","",IFERROR(INDEX(INSUMOS!$H$6:$H$205,MATCH($D143,INSUMOS!$A$6:$A$205,0)),IVA_VENTAS))</f>
        <v/>
      </c>
      <c r="L143" s="35" t="str">
        <f aca="false">IF($D143="","",N($J143)*$K143)</f>
        <v/>
      </c>
      <c r="M143" s="35" t="str">
        <f aca="false">IF($D143="","",N($J143)+$L143)</f>
        <v/>
      </c>
      <c r="N143" s="43" t="str">
        <f aca="false">IF($D143="","",IFERROR(N($J143)/$I143,0))</f>
        <v/>
      </c>
      <c r="O143" s="6"/>
      <c r="P143" s="6"/>
      <c r="Q143" s="46" t="str">
        <f aca="false">IF($A143="","",DATE(YEAR($A143),MONTH($A143),1))</f>
        <v/>
      </c>
      <c r="R143" s="8" t="str">
        <f aca="false">IF(OR($A143="",$D143=""),"",IF(COUNTIFS($D$6:$D$1005,$D143,$A$6:$A$1005,"&gt;"&amp;$A143)=0,1,0))</f>
        <v/>
      </c>
    </row>
    <row r="144" customFormat="false" ht="15" hidden="false" customHeight="false" outlineLevel="0" collapsed="false">
      <c r="A144" s="44"/>
      <c r="B144" s="6"/>
      <c r="C144" s="6"/>
      <c r="D144" s="6"/>
      <c r="E144" s="8" t="str">
        <f aca="false">IF($D144="","",IFERROR(INDEX(INSUMOS!$B$6:$B$205,MATCH($D144,INSUMOS!$A$6:$A$205,0)),"¿Código?"))</f>
        <v/>
      </c>
      <c r="F144" s="8" t="str">
        <f aca="false">IF($D144="","",IFERROR(INDEX(INSUMOS!$E$6:$E$205,MATCH($D144,INSUMOS!$A$6:$A$205,0)),""))</f>
        <v/>
      </c>
      <c r="G144" s="39"/>
      <c r="H144" s="45" t="str">
        <f aca="false">IF($D144="","",IFERROR(INDEX(INSUMOS!$F$6:$F$205,MATCH($D144,INSUMOS!$A$6:$A$205,0)),0))</f>
        <v/>
      </c>
      <c r="I144" s="34" t="str">
        <f aca="false">IF($D144="","",N($G144)*$H144)</f>
        <v/>
      </c>
      <c r="J144" s="40"/>
      <c r="K144" s="36" t="str">
        <f aca="false">IF($D144="","",IFERROR(INDEX(INSUMOS!$H$6:$H$205,MATCH($D144,INSUMOS!$A$6:$A$205,0)),IVA_VENTAS))</f>
        <v/>
      </c>
      <c r="L144" s="35" t="str">
        <f aca="false">IF($D144="","",N($J144)*$K144)</f>
        <v/>
      </c>
      <c r="M144" s="35" t="str">
        <f aca="false">IF($D144="","",N($J144)+$L144)</f>
        <v/>
      </c>
      <c r="N144" s="43" t="str">
        <f aca="false">IF($D144="","",IFERROR(N($J144)/$I144,0))</f>
        <v/>
      </c>
      <c r="O144" s="6"/>
      <c r="P144" s="6"/>
      <c r="Q144" s="46" t="str">
        <f aca="false">IF($A144="","",DATE(YEAR($A144),MONTH($A144),1))</f>
        <v/>
      </c>
      <c r="R144" s="8" t="str">
        <f aca="false">IF(OR($A144="",$D144=""),"",IF(COUNTIFS($D$6:$D$1005,$D144,$A$6:$A$1005,"&gt;"&amp;$A144)=0,1,0))</f>
        <v/>
      </c>
    </row>
    <row r="145" customFormat="false" ht="15" hidden="false" customHeight="false" outlineLevel="0" collapsed="false">
      <c r="A145" s="44"/>
      <c r="B145" s="6"/>
      <c r="C145" s="6"/>
      <c r="D145" s="6"/>
      <c r="E145" s="8" t="str">
        <f aca="false">IF($D145="","",IFERROR(INDEX(INSUMOS!$B$6:$B$205,MATCH($D145,INSUMOS!$A$6:$A$205,0)),"¿Código?"))</f>
        <v/>
      </c>
      <c r="F145" s="8" t="str">
        <f aca="false">IF($D145="","",IFERROR(INDEX(INSUMOS!$E$6:$E$205,MATCH($D145,INSUMOS!$A$6:$A$205,0)),""))</f>
        <v/>
      </c>
      <c r="G145" s="39"/>
      <c r="H145" s="45" t="str">
        <f aca="false">IF($D145="","",IFERROR(INDEX(INSUMOS!$F$6:$F$205,MATCH($D145,INSUMOS!$A$6:$A$205,0)),0))</f>
        <v/>
      </c>
      <c r="I145" s="34" t="str">
        <f aca="false">IF($D145="","",N($G145)*$H145)</f>
        <v/>
      </c>
      <c r="J145" s="40"/>
      <c r="K145" s="36" t="str">
        <f aca="false">IF($D145="","",IFERROR(INDEX(INSUMOS!$H$6:$H$205,MATCH($D145,INSUMOS!$A$6:$A$205,0)),IVA_VENTAS))</f>
        <v/>
      </c>
      <c r="L145" s="35" t="str">
        <f aca="false">IF($D145="","",N($J145)*$K145)</f>
        <v/>
      </c>
      <c r="M145" s="35" t="str">
        <f aca="false">IF($D145="","",N($J145)+$L145)</f>
        <v/>
      </c>
      <c r="N145" s="43" t="str">
        <f aca="false">IF($D145="","",IFERROR(N($J145)/$I145,0))</f>
        <v/>
      </c>
      <c r="O145" s="6"/>
      <c r="P145" s="6"/>
      <c r="Q145" s="46" t="str">
        <f aca="false">IF($A145="","",DATE(YEAR($A145),MONTH($A145),1))</f>
        <v/>
      </c>
      <c r="R145" s="8" t="str">
        <f aca="false">IF(OR($A145="",$D145=""),"",IF(COUNTIFS($D$6:$D$1005,$D145,$A$6:$A$1005,"&gt;"&amp;$A145)=0,1,0))</f>
        <v/>
      </c>
    </row>
    <row r="146" customFormat="false" ht="15" hidden="false" customHeight="false" outlineLevel="0" collapsed="false">
      <c r="A146" s="44"/>
      <c r="B146" s="6"/>
      <c r="C146" s="6"/>
      <c r="D146" s="6"/>
      <c r="E146" s="8" t="str">
        <f aca="false">IF($D146="","",IFERROR(INDEX(INSUMOS!$B$6:$B$205,MATCH($D146,INSUMOS!$A$6:$A$205,0)),"¿Código?"))</f>
        <v/>
      </c>
      <c r="F146" s="8" t="str">
        <f aca="false">IF($D146="","",IFERROR(INDEX(INSUMOS!$E$6:$E$205,MATCH($D146,INSUMOS!$A$6:$A$205,0)),""))</f>
        <v/>
      </c>
      <c r="G146" s="39"/>
      <c r="H146" s="45" t="str">
        <f aca="false">IF($D146="","",IFERROR(INDEX(INSUMOS!$F$6:$F$205,MATCH($D146,INSUMOS!$A$6:$A$205,0)),0))</f>
        <v/>
      </c>
      <c r="I146" s="34" t="str">
        <f aca="false">IF($D146="","",N($G146)*$H146)</f>
        <v/>
      </c>
      <c r="J146" s="40"/>
      <c r="K146" s="36" t="str">
        <f aca="false">IF($D146="","",IFERROR(INDEX(INSUMOS!$H$6:$H$205,MATCH($D146,INSUMOS!$A$6:$A$205,0)),IVA_VENTAS))</f>
        <v/>
      </c>
      <c r="L146" s="35" t="str">
        <f aca="false">IF($D146="","",N($J146)*$K146)</f>
        <v/>
      </c>
      <c r="M146" s="35" t="str">
        <f aca="false">IF($D146="","",N($J146)+$L146)</f>
        <v/>
      </c>
      <c r="N146" s="43" t="str">
        <f aca="false">IF($D146="","",IFERROR(N($J146)/$I146,0))</f>
        <v/>
      </c>
      <c r="O146" s="6"/>
      <c r="P146" s="6"/>
      <c r="Q146" s="46" t="str">
        <f aca="false">IF($A146="","",DATE(YEAR($A146),MONTH($A146),1))</f>
        <v/>
      </c>
      <c r="R146" s="8" t="str">
        <f aca="false">IF(OR($A146="",$D146=""),"",IF(COUNTIFS($D$6:$D$1005,$D146,$A$6:$A$1005,"&gt;"&amp;$A146)=0,1,0))</f>
        <v/>
      </c>
    </row>
    <row r="147" customFormat="false" ht="15" hidden="false" customHeight="false" outlineLevel="0" collapsed="false">
      <c r="A147" s="44"/>
      <c r="B147" s="6"/>
      <c r="C147" s="6"/>
      <c r="D147" s="6"/>
      <c r="E147" s="8" t="str">
        <f aca="false">IF($D147="","",IFERROR(INDEX(INSUMOS!$B$6:$B$205,MATCH($D147,INSUMOS!$A$6:$A$205,0)),"¿Código?"))</f>
        <v/>
      </c>
      <c r="F147" s="8" t="str">
        <f aca="false">IF($D147="","",IFERROR(INDEX(INSUMOS!$E$6:$E$205,MATCH($D147,INSUMOS!$A$6:$A$205,0)),""))</f>
        <v/>
      </c>
      <c r="G147" s="39"/>
      <c r="H147" s="45" t="str">
        <f aca="false">IF($D147="","",IFERROR(INDEX(INSUMOS!$F$6:$F$205,MATCH($D147,INSUMOS!$A$6:$A$205,0)),0))</f>
        <v/>
      </c>
      <c r="I147" s="34" t="str">
        <f aca="false">IF($D147="","",N($G147)*$H147)</f>
        <v/>
      </c>
      <c r="J147" s="40"/>
      <c r="K147" s="36" t="str">
        <f aca="false">IF($D147="","",IFERROR(INDEX(INSUMOS!$H$6:$H$205,MATCH($D147,INSUMOS!$A$6:$A$205,0)),IVA_VENTAS))</f>
        <v/>
      </c>
      <c r="L147" s="35" t="str">
        <f aca="false">IF($D147="","",N($J147)*$K147)</f>
        <v/>
      </c>
      <c r="M147" s="35" t="str">
        <f aca="false">IF($D147="","",N($J147)+$L147)</f>
        <v/>
      </c>
      <c r="N147" s="43" t="str">
        <f aca="false">IF($D147="","",IFERROR(N($J147)/$I147,0))</f>
        <v/>
      </c>
      <c r="O147" s="6"/>
      <c r="P147" s="6"/>
      <c r="Q147" s="46" t="str">
        <f aca="false">IF($A147="","",DATE(YEAR($A147),MONTH($A147),1))</f>
        <v/>
      </c>
      <c r="R147" s="8" t="str">
        <f aca="false">IF(OR($A147="",$D147=""),"",IF(COUNTIFS($D$6:$D$1005,$D147,$A$6:$A$1005,"&gt;"&amp;$A147)=0,1,0))</f>
        <v/>
      </c>
    </row>
    <row r="148" customFormat="false" ht="15" hidden="false" customHeight="false" outlineLevel="0" collapsed="false">
      <c r="A148" s="44"/>
      <c r="B148" s="6"/>
      <c r="C148" s="6"/>
      <c r="D148" s="6"/>
      <c r="E148" s="8" t="str">
        <f aca="false">IF($D148="","",IFERROR(INDEX(INSUMOS!$B$6:$B$205,MATCH($D148,INSUMOS!$A$6:$A$205,0)),"¿Código?"))</f>
        <v/>
      </c>
      <c r="F148" s="8" t="str">
        <f aca="false">IF($D148="","",IFERROR(INDEX(INSUMOS!$E$6:$E$205,MATCH($D148,INSUMOS!$A$6:$A$205,0)),""))</f>
        <v/>
      </c>
      <c r="G148" s="39"/>
      <c r="H148" s="45" t="str">
        <f aca="false">IF($D148="","",IFERROR(INDEX(INSUMOS!$F$6:$F$205,MATCH($D148,INSUMOS!$A$6:$A$205,0)),0))</f>
        <v/>
      </c>
      <c r="I148" s="34" t="str">
        <f aca="false">IF($D148="","",N($G148)*$H148)</f>
        <v/>
      </c>
      <c r="J148" s="40"/>
      <c r="K148" s="36" t="str">
        <f aca="false">IF($D148="","",IFERROR(INDEX(INSUMOS!$H$6:$H$205,MATCH($D148,INSUMOS!$A$6:$A$205,0)),IVA_VENTAS))</f>
        <v/>
      </c>
      <c r="L148" s="35" t="str">
        <f aca="false">IF($D148="","",N($J148)*$K148)</f>
        <v/>
      </c>
      <c r="M148" s="35" t="str">
        <f aca="false">IF($D148="","",N($J148)+$L148)</f>
        <v/>
      </c>
      <c r="N148" s="43" t="str">
        <f aca="false">IF($D148="","",IFERROR(N($J148)/$I148,0))</f>
        <v/>
      </c>
      <c r="O148" s="6"/>
      <c r="P148" s="6"/>
      <c r="Q148" s="46" t="str">
        <f aca="false">IF($A148="","",DATE(YEAR($A148),MONTH($A148),1))</f>
        <v/>
      </c>
      <c r="R148" s="8" t="str">
        <f aca="false">IF(OR($A148="",$D148=""),"",IF(COUNTIFS($D$6:$D$1005,$D148,$A$6:$A$1005,"&gt;"&amp;$A148)=0,1,0))</f>
        <v/>
      </c>
    </row>
    <row r="149" customFormat="false" ht="15" hidden="false" customHeight="false" outlineLevel="0" collapsed="false">
      <c r="A149" s="44"/>
      <c r="B149" s="6"/>
      <c r="C149" s="6"/>
      <c r="D149" s="6"/>
      <c r="E149" s="8" t="str">
        <f aca="false">IF($D149="","",IFERROR(INDEX(INSUMOS!$B$6:$B$205,MATCH($D149,INSUMOS!$A$6:$A$205,0)),"¿Código?"))</f>
        <v/>
      </c>
      <c r="F149" s="8" t="str">
        <f aca="false">IF($D149="","",IFERROR(INDEX(INSUMOS!$E$6:$E$205,MATCH($D149,INSUMOS!$A$6:$A$205,0)),""))</f>
        <v/>
      </c>
      <c r="G149" s="39"/>
      <c r="H149" s="45" t="str">
        <f aca="false">IF($D149="","",IFERROR(INDEX(INSUMOS!$F$6:$F$205,MATCH($D149,INSUMOS!$A$6:$A$205,0)),0))</f>
        <v/>
      </c>
      <c r="I149" s="34" t="str">
        <f aca="false">IF($D149="","",N($G149)*$H149)</f>
        <v/>
      </c>
      <c r="J149" s="40"/>
      <c r="K149" s="36" t="str">
        <f aca="false">IF($D149="","",IFERROR(INDEX(INSUMOS!$H$6:$H$205,MATCH($D149,INSUMOS!$A$6:$A$205,0)),IVA_VENTAS))</f>
        <v/>
      </c>
      <c r="L149" s="35" t="str">
        <f aca="false">IF($D149="","",N($J149)*$K149)</f>
        <v/>
      </c>
      <c r="M149" s="35" t="str">
        <f aca="false">IF($D149="","",N($J149)+$L149)</f>
        <v/>
      </c>
      <c r="N149" s="43" t="str">
        <f aca="false">IF($D149="","",IFERROR(N($J149)/$I149,0))</f>
        <v/>
      </c>
      <c r="O149" s="6"/>
      <c r="P149" s="6"/>
      <c r="Q149" s="46" t="str">
        <f aca="false">IF($A149="","",DATE(YEAR($A149),MONTH($A149),1))</f>
        <v/>
      </c>
      <c r="R149" s="8" t="str">
        <f aca="false">IF(OR($A149="",$D149=""),"",IF(COUNTIFS($D$6:$D$1005,$D149,$A$6:$A$1005,"&gt;"&amp;$A149)=0,1,0))</f>
        <v/>
      </c>
    </row>
    <row r="150" customFormat="false" ht="15" hidden="false" customHeight="false" outlineLevel="0" collapsed="false">
      <c r="A150" s="44"/>
      <c r="B150" s="6"/>
      <c r="C150" s="6"/>
      <c r="D150" s="6"/>
      <c r="E150" s="8" t="str">
        <f aca="false">IF($D150="","",IFERROR(INDEX(INSUMOS!$B$6:$B$205,MATCH($D150,INSUMOS!$A$6:$A$205,0)),"¿Código?"))</f>
        <v/>
      </c>
      <c r="F150" s="8" t="str">
        <f aca="false">IF($D150="","",IFERROR(INDEX(INSUMOS!$E$6:$E$205,MATCH($D150,INSUMOS!$A$6:$A$205,0)),""))</f>
        <v/>
      </c>
      <c r="G150" s="39"/>
      <c r="H150" s="45" t="str">
        <f aca="false">IF($D150="","",IFERROR(INDEX(INSUMOS!$F$6:$F$205,MATCH($D150,INSUMOS!$A$6:$A$205,0)),0))</f>
        <v/>
      </c>
      <c r="I150" s="34" t="str">
        <f aca="false">IF($D150="","",N($G150)*$H150)</f>
        <v/>
      </c>
      <c r="J150" s="40"/>
      <c r="K150" s="36" t="str">
        <f aca="false">IF($D150="","",IFERROR(INDEX(INSUMOS!$H$6:$H$205,MATCH($D150,INSUMOS!$A$6:$A$205,0)),IVA_VENTAS))</f>
        <v/>
      </c>
      <c r="L150" s="35" t="str">
        <f aca="false">IF($D150="","",N($J150)*$K150)</f>
        <v/>
      </c>
      <c r="M150" s="35" t="str">
        <f aca="false">IF($D150="","",N($J150)+$L150)</f>
        <v/>
      </c>
      <c r="N150" s="43" t="str">
        <f aca="false">IF($D150="","",IFERROR(N($J150)/$I150,0))</f>
        <v/>
      </c>
      <c r="O150" s="6"/>
      <c r="P150" s="6"/>
      <c r="Q150" s="46" t="str">
        <f aca="false">IF($A150="","",DATE(YEAR($A150),MONTH($A150),1))</f>
        <v/>
      </c>
      <c r="R150" s="8" t="str">
        <f aca="false">IF(OR($A150="",$D150=""),"",IF(COUNTIFS($D$6:$D$1005,$D150,$A$6:$A$1005,"&gt;"&amp;$A150)=0,1,0))</f>
        <v/>
      </c>
    </row>
    <row r="151" customFormat="false" ht="15" hidden="false" customHeight="false" outlineLevel="0" collapsed="false">
      <c r="A151" s="44"/>
      <c r="B151" s="6"/>
      <c r="C151" s="6"/>
      <c r="D151" s="6"/>
      <c r="E151" s="8" t="str">
        <f aca="false">IF($D151="","",IFERROR(INDEX(INSUMOS!$B$6:$B$205,MATCH($D151,INSUMOS!$A$6:$A$205,0)),"¿Código?"))</f>
        <v/>
      </c>
      <c r="F151" s="8" t="str">
        <f aca="false">IF($D151="","",IFERROR(INDEX(INSUMOS!$E$6:$E$205,MATCH($D151,INSUMOS!$A$6:$A$205,0)),""))</f>
        <v/>
      </c>
      <c r="G151" s="39"/>
      <c r="H151" s="45" t="str">
        <f aca="false">IF($D151="","",IFERROR(INDEX(INSUMOS!$F$6:$F$205,MATCH($D151,INSUMOS!$A$6:$A$205,0)),0))</f>
        <v/>
      </c>
      <c r="I151" s="34" t="str">
        <f aca="false">IF($D151="","",N($G151)*$H151)</f>
        <v/>
      </c>
      <c r="J151" s="40"/>
      <c r="K151" s="36" t="str">
        <f aca="false">IF($D151="","",IFERROR(INDEX(INSUMOS!$H$6:$H$205,MATCH($D151,INSUMOS!$A$6:$A$205,0)),IVA_VENTAS))</f>
        <v/>
      </c>
      <c r="L151" s="35" t="str">
        <f aca="false">IF($D151="","",N($J151)*$K151)</f>
        <v/>
      </c>
      <c r="M151" s="35" t="str">
        <f aca="false">IF($D151="","",N($J151)+$L151)</f>
        <v/>
      </c>
      <c r="N151" s="43" t="str">
        <f aca="false">IF($D151="","",IFERROR(N($J151)/$I151,0))</f>
        <v/>
      </c>
      <c r="O151" s="6"/>
      <c r="P151" s="6"/>
      <c r="Q151" s="46" t="str">
        <f aca="false">IF($A151="","",DATE(YEAR($A151),MONTH($A151),1))</f>
        <v/>
      </c>
      <c r="R151" s="8" t="str">
        <f aca="false">IF(OR($A151="",$D151=""),"",IF(COUNTIFS($D$6:$D$1005,$D151,$A$6:$A$1005,"&gt;"&amp;$A151)=0,1,0))</f>
        <v/>
      </c>
    </row>
    <row r="152" customFormat="false" ht="15" hidden="false" customHeight="false" outlineLevel="0" collapsed="false">
      <c r="A152" s="44"/>
      <c r="B152" s="6"/>
      <c r="C152" s="6"/>
      <c r="D152" s="6"/>
      <c r="E152" s="8" t="str">
        <f aca="false">IF($D152="","",IFERROR(INDEX(INSUMOS!$B$6:$B$205,MATCH($D152,INSUMOS!$A$6:$A$205,0)),"¿Código?"))</f>
        <v/>
      </c>
      <c r="F152" s="8" t="str">
        <f aca="false">IF($D152="","",IFERROR(INDEX(INSUMOS!$E$6:$E$205,MATCH($D152,INSUMOS!$A$6:$A$205,0)),""))</f>
        <v/>
      </c>
      <c r="G152" s="39"/>
      <c r="H152" s="45" t="str">
        <f aca="false">IF($D152="","",IFERROR(INDEX(INSUMOS!$F$6:$F$205,MATCH($D152,INSUMOS!$A$6:$A$205,0)),0))</f>
        <v/>
      </c>
      <c r="I152" s="34" t="str">
        <f aca="false">IF($D152="","",N($G152)*$H152)</f>
        <v/>
      </c>
      <c r="J152" s="40"/>
      <c r="K152" s="36" t="str">
        <f aca="false">IF($D152="","",IFERROR(INDEX(INSUMOS!$H$6:$H$205,MATCH($D152,INSUMOS!$A$6:$A$205,0)),IVA_VENTAS))</f>
        <v/>
      </c>
      <c r="L152" s="35" t="str">
        <f aca="false">IF($D152="","",N($J152)*$K152)</f>
        <v/>
      </c>
      <c r="M152" s="35" t="str">
        <f aca="false">IF($D152="","",N($J152)+$L152)</f>
        <v/>
      </c>
      <c r="N152" s="43" t="str">
        <f aca="false">IF($D152="","",IFERROR(N($J152)/$I152,0))</f>
        <v/>
      </c>
      <c r="O152" s="6"/>
      <c r="P152" s="6"/>
      <c r="Q152" s="46" t="str">
        <f aca="false">IF($A152="","",DATE(YEAR($A152),MONTH($A152),1))</f>
        <v/>
      </c>
      <c r="R152" s="8" t="str">
        <f aca="false">IF(OR($A152="",$D152=""),"",IF(COUNTIFS($D$6:$D$1005,$D152,$A$6:$A$1005,"&gt;"&amp;$A152)=0,1,0))</f>
        <v/>
      </c>
    </row>
    <row r="153" customFormat="false" ht="15" hidden="false" customHeight="false" outlineLevel="0" collapsed="false">
      <c r="A153" s="44"/>
      <c r="B153" s="6"/>
      <c r="C153" s="6"/>
      <c r="D153" s="6"/>
      <c r="E153" s="8" t="str">
        <f aca="false">IF($D153="","",IFERROR(INDEX(INSUMOS!$B$6:$B$205,MATCH($D153,INSUMOS!$A$6:$A$205,0)),"¿Código?"))</f>
        <v/>
      </c>
      <c r="F153" s="8" t="str">
        <f aca="false">IF($D153="","",IFERROR(INDEX(INSUMOS!$E$6:$E$205,MATCH($D153,INSUMOS!$A$6:$A$205,0)),""))</f>
        <v/>
      </c>
      <c r="G153" s="39"/>
      <c r="H153" s="45" t="str">
        <f aca="false">IF($D153="","",IFERROR(INDEX(INSUMOS!$F$6:$F$205,MATCH($D153,INSUMOS!$A$6:$A$205,0)),0))</f>
        <v/>
      </c>
      <c r="I153" s="34" t="str">
        <f aca="false">IF($D153="","",N($G153)*$H153)</f>
        <v/>
      </c>
      <c r="J153" s="40"/>
      <c r="K153" s="36" t="str">
        <f aca="false">IF($D153="","",IFERROR(INDEX(INSUMOS!$H$6:$H$205,MATCH($D153,INSUMOS!$A$6:$A$205,0)),IVA_VENTAS))</f>
        <v/>
      </c>
      <c r="L153" s="35" t="str">
        <f aca="false">IF($D153="","",N($J153)*$K153)</f>
        <v/>
      </c>
      <c r="M153" s="35" t="str">
        <f aca="false">IF($D153="","",N($J153)+$L153)</f>
        <v/>
      </c>
      <c r="N153" s="43" t="str">
        <f aca="false">IF($D153="","",IFERROR(N($J153)/$I153,0))</f>
        <v/>
      </c>
      <c r="O153" s="6"/>
      <c r="P153" s="6"/>
      <c r="Q153" s="46" t="str">
        <f aca="false">IF($A153="","",DATE(YEAR($A153),MONTH($A153),1))</f>
        <v/>
      </c>
      <c r="R153" s="8" t="str">
        <f aca="false">IF(OR($A153="",$D153=""),"",IF(COUNTIFS($D$6:$D$1005,$D153,$A$6:$A$1005,"&gt;"&amp;$A153)=0,1,0))</f>
        <v/>
      </c>
    </row>
    <row r="154" customFormat="false" ht="15" hidden="false" customHeight="false" outlineLevel="0" collapsed="false">
      <c r="A154" s="44"/>
      <c r="B154" s="6"/>
      <c r="C154" s="6"/>
      <c r="D154" s="6"/>
      <c r="E154" s="8" t="str">
        <f aca="false">IF($D154="","",IFERROR(INDEX(INSUMOS!$B$6:$B$205,MATCH($D154,INSUMOS!$A$6:$A$205,0)),"¿Código?"))</f>
        <v/>
      </c>
      <c r="F154" s="8" t="str">
        <f aca="false">IF($D154="","",IFERROR(INDEX(INSUMOS!$E$6:$E$205,MATCH($D154,INSUMOS!$A$6:$A$205,0)),""))</f>
        <v/>
      </c>
      <c r="G154" s="39"/>
      <c r="H154" s="45" t="str">
        <f aca="false">IF($D154="","",IFERROR(INDEX(INSUMOS!$F$6:$F$205,MATCH($D154,INSUMOS!$A$6:$A$205,0)),0))</f>
        <v/>
      </c>
      <c r="I154" s="34" t="str">
        <f aca="false">IF($D154="","",N($G154)*$H154)</f>
        <v/>
      </c>
      <c r="J154" s="40"/>
      <c r="K154" s="36" t="str">
        <f aca="false">IF($D154="","",IFERROR(INDEX(INSUMOS!$H$6:$H$205,MATCH($D154,INSUMOS!$A$6:$A$205,0)),IVA_VENTAS))</f>
        <v/>
      </c>
      <c r="L154" s="35" t="str">
        <f aca="false">IF($D154="","",N($J154)*$K154)</f>
        <v/>
      </c>
      <c r="M154" s="35" t="str">
        <f aca="false">IF($D154="","",N($J154)+$L154)</f>
        <v/>
      </c>
      <c r="N154" s="43" t="str">
        <f aca="false">IF($D154="","",IFERROR(N($J154)/$I154,0))</f>
        <v/>
      </c>
      <c r="O154" s="6"/>
      <c r="P154" s="6"/>
      <c r="Q154" s="46" t="str">
        <f aca="false">IF($A154="","",DATE(YEAR($A154),MONTH($A154),1))</f>
        <v/>
      </c>
      <c r="R154" s="8" t="str">
        <f aca="false">IF(OR($A154="",$D154=""),"",IF(COUNTIFS($D$6:$D$1005,$D154,$A$6:$A$1005,"&gt;"&amp;$A154)=0,1,0))</f>
        <v/>
      </c>
    </row>
    <row r="155" customFormat="false" ht="15" hidden="false" customHeight="false" outlineLevel="0" collapsed="false">
      <c r="A155" s="44"/>
      <c r="B155" s="6"/>
      <c r="C155" s="6"/>
      <c r="D155" s="6"/>
      <c r="E155" s="8" t="str">
        <f aca="false">IF($D155="","",IFERROR(INDEX(INSUMOS!$B$6:$B$205,MATCH($D155,INSUMOS!$A$6:$A$205,0)),"¿Código?"))</f>
        <v/>
      </c>
      <c r="F155" s="8" t="str">
        <f aca="false">IF($D155="","",IFERROR(INDEX(INSUMOS!$E$6:$E$205,MATCH($D155,INSUMOS!$A$6:$A$205,0)),""))</f>
        <v/>
      </c>
      <c r="G155" s="39"/>
      <c r="H155" s="45" t="str">
        <f aca="false">IF($D155="","",IFERROR(INDEX(INSUMOS!$F$6:$F$205,MATCH($D155,INSUMOS!$A$6:$A$205,0)),0))</f>
        <v/>
      </c>
      <c r="I155" s="34" t="str">
        <f aca="false">IF($D155="","",N($G155)*$H155)</f>
        <v/>
      </c>
      <c r="J155" s="40"/>
      <c r="K155" s="36" t="str">
        <f aca="false">IF($D155="","",IFERROR(INDEX(INSUMOS!$H$6:$H$205,MATCH($D155,INSUMOS!$A$6:$A$205,0)),IVA_VENTAS))</f>
        <v/>
      </c>
      <c r="L155" s="35" t="str">
        <f aca="false">IF($D155="","",N($J155)*$K155)</f>
        <v/>
      </c>
      <c r="M155" s="35" t="str">
        <f aca="false">IF($D155="","",N($J155)+$L155)</f>
        <v/>
      </c>
      <c r="N155" s="43" t="str">
        <f aca="false">IF($D155="","",IFERROR(N($J155)/$I155,0))</f>
        <v/>
      </c>
      <c r="O155" s="6"/>
      <c r="P155" s="6"/>
      <c r="Q155" s="46" t="str">
        <f aca="false">IF($A155="","",DATE(YEAR($A155),MONTH($A155),1))</f>
        <v/>
      </c>
      <c r="R155" s="8" t="str">
        <f aca="false">IF(OR($A155="",$D155=""),"",IF(COUNTIFS($D$6:$D$1005,$D155,$A$6:$A$1005,"&gt;"&amp;$A155)=0,1,0))</f>
        <v/>
      </c>
    </row>
    <row r="156" customFormat="false" ht="15" hidden="false" customHeight="false" outlineLevel="0" collapsed="false">
      <c r="A156" s="44"/>
      <c r="B156" s="6"/>
      <c r="C156" s="6"/>
      <c r="D156" s="6"/>
      <c r="E156" s="8" t="str">
        <f aca="false">IF($D156="","",IFERROR(INDEX(INSUMOS!$B$6:$B$205,MATCH($D156,INSUMOS!$A$6:$A$205,0)),"¿Código?"))</f>
        <v/>
      </c>
      <c r="F156" s="8" t="str">
        <f aca="false">IF($D156="","",IFERROR(INDEX(INSUMOS!$E$6:$E$205,MATCH($D156,INSUMOS!$A$6:$A$205,0)),""))</f>
        <v/>
      </c>
      <c r="G156" s="39"/>
      <c r="H156" s="45" t="str">
        <f aca="false">IF($D156="","",IFERROR(INDEX(INSUMOS!$F$6:$F$205,MATCH($D156,INSUMOS!$A$6:$A$205,0)),0))</f>
        <v/>
      </c>
      <c r="I156" s="34" t="str">
        <f aca="false">IF($D156="","",N($G156)*$H156)</f>
        <v/>
      </c>
      <c r="J156" s="40"/>
      <c r="K156" s="36" t="str">
        <f aca="false">IF($D156="","",IFERROR(INDEX(INSUMOS!$H$6:$H$205,MATCH($D156,INSUMOS!$A$6:$A$205,0)),IVA_VENTAS))</f>
        <v/>
      </c>
      <c r="L156" s="35" t="str">
        <f aca="false">IF($D156="","",N($J156)*$K156)</f>
        <v/>
      </c>
      <c r="M156" s="35" t="str">
        <f aca="false">IF($D156="","",N($J156)+$L156)</f>
        <v/>
      </c>
      <c r="N156" s="43" t="str">
        <f aca="false">IF($D156="","",IFERROR(N($J156)/$I156,0))</f>
        <v/>
      </c>
      <c r="O156" s="6"/>
      <c r="P156" s="6"/>
      <c r="Q156" s="46" t="str">
        <f aca="false">IF($A156="","",DATE(YEAR($A156),MONTH($A156),1))</f>
        <v/>
      </c>
      <c r="R156" s="8" t="str">
        <f aca="false">IF(OR($A156="",$D156=""),"",IF(COUNTIFS($D$6:$D$1005,$D156,$A$6:$A$1005,"&gt;"&amp;$A156)=0,1,0))</f>
        <v/>
      </c>
    </row>
    <row r="157" customFormat="false" ht="15" hidden="false" customHeight="false" outlineLevel="0" collapsed="false">
      <c r="A157" s="44"/>
      <c r="B157" s="6"/>
      <c r="C157" s="6"/>
      <c r="D157" s="6"/>
      <c r="E157" s="8" t="str">
        <f aca="false">IF($D157="","",IFERROR(INDEX(INSUMOS!$B$6:$B$205,MATCH($D157,INSUMOS!$A$6:$A$205,0)),"¿Código?"))</f>
        <v/>
      </c>
      <c r="F157" s="8" t="str">
        <f aca="false">IF($D157="","",IFERROR(INDEX(INSUMOS!$E$6:$E$205,MATCH($D157,INSUMOS!$A$6:$A$205,0)),""))</f>
        <v/>
      </c>
      <c r="G157" s="39"/>
      <c r="H157" s="45" t="str">
        <f aca="false">IF($D157="","",IFERROR(INDEX(INSUMOS!$F$6:$F$205,MATCH($D157,INSUMOS!$A$6:$A$205,0)),0))</f>
        <v/>
      </c>
      <c r="I157" s="34" t="str">
        <f aca="false">IF($D157="","",N($G157)*$H157)</f>
        <v/>
      </c>
      <c r="J157" s="40"/>
      <c r="K157" s="36" t="str">
        <f aca="false">IF($D157="","",IFERROR(INDEX(INSUMOS!$H$6:$H$205,MATCH($D157,INSUMOS!$A$6:$A$205,0)),IVA_VENTAS))</f>
        <v/>
      </c>
      <c r="L157" s="35" t="str">
        <f aca="false">IF($D157="","",N($J157)*$K157)</f>
        <v/>
      </c>
      <c r="M157" s="35" t="str">
        <f aca="false">IF($D157="","",N($J157)+$L157)</f>
        <v/>
      </c>
      <c r="N157" s="43" t="str">
        <f aca="false">IF($D157="","",IFERROR(N($J157)/$I157,0))</f>
        <v/>
      </c>
      <c r="O157" s="6"/>
      <c r="P157" s="6"/>
      <c r="Q157" s="46" t="str">
        <f aca="false">IF($A157="","",DATE(YEAR($A157),MONTH($A157),1))</f>
        <v/>
      </c>
      <c r="R157" s="8" t="str">
        <f aca="false">IF(OR($A157="",$D157=""),"",IF(COUNTIFS($D$6:$D$1005,$D157,$A$6:$A$1005,"&gt;"&amp;$A157)=0,1,0))</f>
        <v/>
      </c>
    </row>
    <row r="158" customFormat="false" ht="15" hidden="false" customHeight="false" outlineLevel="0" collapsed="false">
      <c r="A158" s="44"/>
      <c r="B158" s="6"/>
      <c r="C158" s="6"/>
      <c r="D158" s="6"/>
      <c r="E158" s="8" t="str">
        <f aca="false">IF($D158="","",IFERROR(INDEX(INSUMOS!$B$6:$B$205,MATCH($D158,INSUMOS!$A$6:$A$205,0)),"¿Código?"))</f>
        <v/>
      </c>
      <c r="F158" s="8" t="str">
        <f aca="false">IF($D158="","",IFERROR(INDEX(INSUMOS!$E$6:$E$205,MATCH($D158,INSUMOS!$A$6:$A$205,0)),""))</f>
        <v/>
      </c>
      <c r="G158" s="39"/>
      <c r="H158" s="45" t="str">
        <f aca="false">IF($D158="","",IFERROR(INDEX(INSUMOS!$F$6:$F$205,MATCH($D158,INSUMOS!$A$6:$A$205,0)),0))</f>
        <v/>
      </c>
      <c r="I158" s="34" t="str">
        <f aca="false">IF($D158="","",N($G158)*$H158)</f>
        <v/>
      </c>
      <c r="J158" s="40"/>
      <c r="K158" s="36" t="str">
        <f aca="false">IF($D158="","",IFERROR(INDEX(INSUMOS!$H$6:$H$205,MATCH($D158,INSUMOS!$A$6:$A$205,0)),IVA_VENTAS))</f>
        <v/>
      </c>
      <c r="L158" s="35" t="str">
        <f aca="false">IF($D158="","",N($J158)*$K158)</f>
        <v/>
      </c>
      <c r="M158" s="35" t="str">
        <f aca="false">IF($D158="","",N($J158)+$L158)</f>
        <v/>
      </c>
      <c r="N158" s="43" t="str">
        <f aca="false">IF($D158="","",IFERROR(N($J158)/$I158,0))</f>
        <v/>
      </c>
      <c r="O158" s="6"/>
      <c r="P158" s="6"/>
      <c r="Q158" s="46" t="str">
        <f aca="false">IF($A158="","",DATE(YEAR($A158),MONTH($A158),1))</f>
        <v/>
      </c>
      <c r="R158" s="8" t="str">
        <f aca="false">IF(OR($A158="",$D158=""),"",IF(COUNTIFS($D$6:$D$1005,$D158,$A$6:$A$1005,"&gt;"&amp;$A158)=0,1,0))</f>
        <v/>
      </c>
    </row>
    <row r="159" customFormat="false" ht="15" hidden="false" customHeight="false" outlineLevel="0" collapsed="false">
      <c r="A159" s="44"/>
      <c r="B159" s="6"/>
      <c r="C159" s="6"/>
      <c r="D159" s="6"/>
      <c r="E159" s="8" t="str">
        <f aca="false">IF($D159="","",IFERROR(INDEX(INSUMOS!$B$6:$B$205,MATCH($D159,INSUMOS!$A$6:$A$205,0)),"¿Código?"))</f>
        <v/>
      </c>
      <c r="F159" s="8" t="str">
        <f aca="false">IF($D159="","",IFERROR(INDEX(INSUMOS!$E$6:$E$205,MATCH($D159,INSUMOS!$A$6:$A$205,0)),""))</f>
        <v/>
      </c>
      <c r="G159" s="39"/>
      <c r="H159" s="45" t="str">
        <f aca="false">IF($D159="","",IFERROR(INDEX(INSUMOS!$F$6:$F$205,MATCH($D159,INSUMOS!$A$6:$A$205,0)),0))</f>
        <v/>
      </c>
      <c r="I159" s="34" t="str">
        <f aca="false">IF($D159="","",N($G159)*$H159)</f>
        <v/>
      </c>
      <c r="J159" s="40"/>
      <c r="K159" s="36" t="str">
        <f aca="false">IF($D159="","",IFERROR(INDEX(INSUMOS!$H$6:$H$205,MATCH($D159,INSUMOS!$A$6:$A$205,0)),IVA_VENTAS))</f>
        <v/>
      </c>
      <c r="L159" s="35" t="str">
        <f aca="false">IF($D159="","",N($J159)*$K159)</f>
        <v/>
      </c>
      <c r="M159" s="35" t="str">
        <f aca="false">IF($D159="","",N($J159)+$L159)</f>
        <v/>
      </c>
      <c r="N159" s="43" t="str">
        <f aca="false">IF($D159="","",IFERROR(N($J159)/$I159,0))</f>
        <v/>
      </c>
      <c r="O159" s="6"/>
      <c r="P159" s="6"/>
      <c r="Q159" s="46" t="str">
        <f aca="false">IF($A159="","",DATE(YEAR($A159),MONTH($A159),1))</f>
        <v/>
      </c>
      <c r="R159" s="8" t="str">
        <f aca="false">IF(OR($A159="",$D159=""),"",IF(COUNTIFS($D$6:$D$1005,$D159,$A$6:$A$1005,"&gt;"&amp;$A159)=0,1,0))</f>
        <v/>
      </c>
    </row>
    <row r="160" customFormat="false" ht="15" hidden="false" customHeight="false" outlineLevel="0" collapsed="false">
      <c r="A160" s="44"/>
      <c r="B160" s="6"/>
      <c r="C160" s="6"/>
      <c r="D160" s="6"/>
      <c r="E160" s="8" t="str">
        <f aca="false">IF($D160="","",IFERROR(INDEX(INSUMOS!$B$6:$B$205,MATCH($D160,INSUMOS!$A$6:$A$205,0)),"¿Código?"))</f>
        <v/>
      </c>
      <c r="F160" s="8" t="str">
        <f aca="false">IF($D160="","",IFERROR(INDEX(INSUMOS!$E$6:$E$205,MATCH($D160,INSUMOS!$A$6:$A$205,0)),""))</f>
        <v/>
      </c>
      <c r="G160" s="39"/>
      <c r="H160" s="45" t="str">
        <f aca="false">IF($D160="","",IFERROR(INDEX(INSUMOS!$F$6:$F$205,MATCH($D160,INSUMOS!$A$6:$A$205,0)),0))</f>
        <v/>
      </c>
      <c r="I160" s="34" t="str">
        <f aca="false">IF($D160="","",N($G160)*$H160)</f>
        <v/>
      </c>
      <c r="J160" s="40"/>
      <c r="K160" s="36" t="str">
        <f aca="false">IF($D160="","",IFERROR(INDEX(INSUMOS!$H$6:$H$205,MATCH($D160,INSUMOS!$A$6:$A$205,0)),IVA_VENTAS))</f>
        <v/>
      </c>
      <c r="L160" s="35" t="str">
        <f aca="false">IF($D160="","",N($J160)*$K160)</f>
        <v/>
      </c>
      <c r="M160" s="35" t="str">
        <f aca="false">IF($D160="","",N($J160)+$L160)</f>
        <v/>
      </c>
      <c r="N160" s="43" t="str">
        <f aca="false">IF($D160="","",IFERROR(N($J160)/$I160,0))</f>
        <v/>
      </c>
      <c r="O160" s="6"/>
      <c r="P160" s="6"/>
      <c r="Q160" s="46" t="str">
        <f aca="false">IF($A160="","",DATE(YEAR($A160),MONTH($A160),1))</f>
        <v/>
      </c>
      <c r="R160" s="8" t="str">
        <f aca="false">IF(OR($A160="",$D160=""),"",IF(COUNTIFS($D$6:$D$1005,$D160,$A$6:$A$1005,"&gt;"&amp;$A160)=0,1,0))</f>
        <v/>
      </c>
    </row>
    <row r="161" customFormat="false" ht="15" hidden="false" customHeight="false" outlineLevel="0" collapsed="false">
      <c r="A161" s="44"/>
      <c r="B161" s="6"/>
      <c r="C161" s="6"/>
      <c r="D161" s="6"/>
      <c r="E161" s="8" t="str">
        <f aca="false">IF($D161="","",IFERROR(INDEX(INSUMOS!$B$6:$B$205,MATCH($D161,INSUMOS!$A$6:$A$205,0)),"¿Código?"))</f>
        <v/>
      </c>
      <c r="F161" s="8" t="str">
        <f aca="false">IF($D161="","",IFERROR(INDEX(INSUMOS!$E$6:$E$205,MATCH($D161,INSUMOS!$A$6:$A$205,0)),""))</f>
        <v/>
      </c>
      <c r="G161" s="39"/>
      <c r="H161" s="45" t="str">
        <f aca="false">IF($D161="","",IFERROR(INDEX(INSUMOS!$F$6:$F$205,MATCH($D161,INSUMOS!$A$6:$A$205,0)),0))</f>
        <v/>
      </c>
      <c r="I161" s="34" t="str">
        <f aca="false">IF($D161="","",N($G161)*$H161)</f>
        <v/>
      </c>
      <c r="J161" s="40"/>
      <c r="K161" s="36" t="str">
        <f aca="false">IF($D161="","",IFERROR(INDEX(INSUMOS!$H$6:$H$205,MATCH($D161,INSUMOS!$A$6:$A$205,0)),IVA_VENTAS))</f>
        <v/>
      </c>
      <c r="L161" s="35" t="str">
        <f aca="false">IF($D161="","",N($J161)*$K161)</f>
        <v/>
      </c>
      <c r="M161" s="35" t="str">
        <f aca="false">IF($D161="","",N($J161)+$L161)</f>
        <v/>
      </c>
      <c r="N161" s="43" t="str">
        <f aca="false">IF($D161="","",IFERROR(N($J161)/$I161,0))</f>
        <v/>
      </c>
      <c r="O161" s="6"/>
      <c r="P161" s="6"/>
      <c r="Q161" s="46" t="str">
        <f aca="false">IF($A161="","",DATE(YEAR($A161),MONTH($A161),1))</f>
        <v/>
      </c>
      <c r="R161" s="8" t="str">
        <f aca="false">IF(OR($A161="",$D161=""),"",IF(COUNTIFS($D$6:$D$1005,$D161,$A$6:$A$1005,"&gt;"&amp;$A161)=0,1,0))</f>
        <v/>
      </c>
    </row>
    <row r="162" customFormat="false" ht="15" hidden="false" customHeight="false" outlineLevel="0" collapsed="false">
      <c r="A162" s="44"/>
      <c r="B162" s="6"/>
      <c r="C162" s="6"/>
      <c r="D162" s="6"/>
      <c r="E162" s="8" t="str">
        <f aca="false">IF($D162="","",IFERROR(INDEX(INSUMOS!$B$6:$B$205,MATCH($D162,INSUMOS!$A$6:$A$205,0)),"¿Código?"))</f>
        <v/>
      </c>
      <c r="F162" s="8" t="str">
        <f aca="false">IF($D162="","",IFERROR(INDEX(INSUMOS!$E$6:$E$205,MATCH($D162,INSUMOS!$A$6:$A$205,0)),""))</f>
        <v/>
      </c>
      <c r="G162" s="39"/>
      <c r="H162" s="45" t="str">
        <f aca="false">IF($D162="","",IFERROR(INDEX(INSUMOS!$F$6:$F$205,MATCH($D162,INSUMOS!$A$6:$A$205,0)),0))</f>
        <v/>
      </c>
      <c r="I162" s="34" t="str">
        <f aca="false">IF($D162="","",N($G162)*$H162)</f>
        <v/>
      </c>
      <c r="J162" s="40"/>
      <c r="K162" s="36" t="str">
        <f aca="false">IF($D162="","",IFERROR(INDEX(INSUMOS!$H$6:$H$205,MATCH($D162,INSUMOS!$A$6:$A$205,0)),IVA_VENTAS))</f>
        <v/>
      </c>
      <c r="L162" s="35" t="str">
        <f aca="false">IF($D162="","",N($J162)*$K162)</f>
        <v/>
      </c>
      <c r="M162" s="35" t="str">
        <f aca="false">IF($D162="","",N($J162)+$L162)</f>
        <v/>
      </c>
      <c r="N162" s="43" t="str">
        <f aca="false">IF($D162="","",IFERROR(N($J162)/$I162,0))</f>
        <v/>
      </c>
      <c r="O162" s="6"/>
      <c r="P162" s="6"/>
      <c r="Q162" s="46" t="str">
        <f aca="false">IF($A162="","",DATE(YEAR($A162),MONTH($A162),1))</f>
        <v/>
      </c>
      <c r="R162" s="8" t="str">
        <f aca="false">IF(OR($A162="",$D162=""),"",IF(COUNTIFS($D$6:$D$1005,$D162,$A$6:$A$1005,"&gt;"&amp;$A162)=0,1,0))</f>
        <v/>
      </c>
    </row>
    <row r="163" customFormat="false" ht="15" hidden="false" customHeight="false" outlineLevel="0" collapsed="false">
      <c r="A163" s="44"/>
      <c r="B163" s="6"/>
      <c r="C163" s="6"/>
      <c r="D163" s="6"/>
      <c r="E163" s="8" t="str">
        <f aca="false">IF($D163="","",IFERROR(INDEX(INSUMOS!$B$6:$B$205,MATCH($D163,INSUMOS!$A$6:$A$205,0)),"¿Código?"))</f>
        <v/>
      </c>
      <c r="F163" s="8" t="str">
        <f aca="false">IF($D163="","",IFERROR(INDEX(INSUMOS!$E$6:$E$205,MATCH($D163,INSUMOS!$A$6:$A$205,0)),""))</f>
        <v/>
      </c>
      <c r="G163" s="39"/>
      <c r="H163" s="45" t="str">
        <f aca="false">IF($D163="","",IFERROR(INDEX(INSUMOS!$F$6:$F$205,MATCH($D163,INSUMOS!$A$6:$A$205,0)),0))</f>
        <v/>
      </c>
      <c r="I163" s="34" t="str">
        <f aca="false">IF($D163="","",N($G163)*$H163)</f>
        <v/>
      </c>
      <c r="J163" s="40"/>
      <c r="K163" s="36" t="str">
        <f aca="false">IF($D163="","",IFERROR(INDEX(INSUMOS!$H$6:$H$205,MATCH($D163,INSUMOS!$A$6:$A$205,0)),IVA_VENTAS))</f>
        <v/>
      </c>
      <c r="L163" s="35" t="str">
        <f aca="false">IF($D163="","",N($J163)*$K163)</f>
        <v/>
      </c>
      <c r="M163" s="35" t="str">
        <f aca="false">IF($D163="","",N($J163)+$L163)</f>
        <v/>
      </c>
      <c r="N163" s="43" t="str">
        <f aca="false">IF($D163="","",IFERROR(N($J163)/$I163,0))</f>
        <v/>
      </c>
      <c r="O163" s="6"/>
      <c r="P163" s="6"/>
      <c r="Q163" s="46" t="str">
        <f aca="false">IF($A163="","",DATE(YEAR($A163),MONTH($A163),1))</f>
        <v/>
      </c>
      <c r="R163" s="8" t="str">
        <f aca="false">IF(OR($A163="",$D163=""),"",IF(COUNTIFS($D$6:$D$1005,$D163,$A$6:$A$1005,"&gt;"&amp;$A163)=0,1,0))</f>
        <v/>
      </c>
    </row>
    <row r="164" customFormat="false" ht="15" hidden="false" customHeight="false" outlineLevel="0" collapsed="false">
      <c r="A164" s="44"/>
      <c r="B164" s="6"/>
      <c r="C164" s="6"/>
      <c r="D164" s="6"/>
      <c r="E164" s="8" t="str">
        <f aca="false">IF($D164="","",IFERROR(INDEX(INSUMOS!$B$6:$B$205,MATCH($D164,INSUMOS!$A$6:$A$205,0)),"¿Código?"))</f>
        <v/>
      </c>
      <c r="F164" s="8" t="str">
        <f aca="false">IF($D164="","",IFERROR(INDEX(INSUMOS!$E$6:$E$205,MATCH($D164,INSUMOS!$A$6:$A$205,0)),""))</f>
        <v/>
      </c>
      <c r="G164" s="39"/>
      <c r="H164" s="45" t="str">
        <f aca="false">IF($D164="","",IFERROR(INDEX(INSUMOS!$F$6:$F$205,MATCH($D164,INSUMOS!$A$6:$A$205,0)),0))</f>
        <v/>
      </c>
      <c r="I164" s="34" t="str">
        <f aca="false">IF($D164="","",N($G164)*$H164)</f>
        <v/>
      </c>
      <c r="J164" s="40"/>
      <c r="K164" s="36" t="str">
        <f aca="false">IF($D164="","",IFERROR(INDEX(INSUMOS!$H$6:$H$205,MATCH($D164,INSUMOS!$A$6:$A$205,0)),IVA_VENTAS))</f>
        <v/>
      </c>
      <c r="L164" s="35" t="str">
        <f aca="false">IF($D164="","",N($J164)*$K164)</f>
        <v/>
      </c>
      <c r="M164" s="35" t="str">
        <f aca="false">IF($D164="","",N($J164)+$L164)</f>
        <v/>
      </c>
      <c r="N164" s="43" t="str">
        <f aca="false">IF($D164="","",IFERROR(N($J164)/$I164,0))</f>
        <v/>
      </c>
      <c r="O164" s="6"/>
      <c r="P164" s="6"/>
      <c r="Q164" s="46" t="str">
        <f aca="false">IF($A164="","",DATE(YEAR($A164),MONTH($A164),1))</f>
        <v/>
      </c>
      <c r="R164" s="8" t="str">
        <f aca="false">IF(OR($A164="",$D164=""),"",IF(COUNTIFS($D$6:$D$1005,$D164,$A$6:$A$1005,"&gt;"&amp;$A164)=0,1,0))</f>
        <v/>
      </c>
    </row>
    <row r="165" customFormat="false" ht="15" hidden="false" customHeight="false" outlineLevel="0" collapsed="false">
      <c r="A165" s="44"/>
      <c r="B165" s="6"/>
      <c r="C165" s="6"/>
      <c r="D165" s="6"/>
      <c r="E165" s="8" t="str">
        <f aca="false">IF($D165="","",IFERROR(INDEX(INSUMOS!$B$6:$B$205,MATCH($D165,INSUMOS!$A$6:$A$205,0)),"¿Código?"))</f>
        <v/>
      </c>
      <c r="F165" s="8" t="str">
        <f aca="false">IF($D165="","",IFERROR(INDEX(INSUMOS!$E$6:$E$205,MATCH($D165,INSUMOS!$A$6:$A$205,0)),""))</f>
        <v/>
      </c>
      <c r="G165" s="39"/>
      <c r="H165" s="45" t="str">
        <f aca="false">IF($D165="","",IFERROR(INDEX(INSUMOS!$F$6:$F$205,MATCH($D165,INSUMOS!$A$6:$A$205,0)),0))</f>
        <v/>
      </c>
      <c r="I165" s="34" t="str">
        <f aca="false">IF($D165="","",N($G165)*$H165)</f>
        <v/>
      </c>
      <c r="J165" s="40"/>
      <c r="K165" s="36" t="str">
        <f aca="false">IF($D165="","",IFERROR(INDEX(INSUMOS!$H$6:$H$205,MATCH($D165,INSUMOS!$A$6:$A$205,0)),IVA_VENTAS))</f>
        <v/>
      </c>
      <c r="L165" s="35" t="str">
        <f aca="false">IF($D165="","",N($J165)*$K165)</f>
        <v/>
      </c>
      <c r="M165" s="35" t="str">
        <f aca="false">IF($D165="","",N($J165)+$L165)</f>
        <v/>
      </c>
      <c r="N165" s="43" t="str">
        <f aca="false">IF($D165="","",IFERROR(N($J165)/$I165,0))</f>
        <v/>
      </c>
      <c r="O165" s="6"/>
      <c r="P165" s="6"/>
      <c r="Q165" s="46" t="str">
        <f aca="false">IF($A165="","",DATE(YEAR($A165),MONTH($A165),1))</f>
        <v/>
      </c>
      <c r="R165" s="8" t="str">
        <f aca="false">IF(OR($A165="",$D165=""),"",IF(COUNTIFS($D$6:$D$1005,$D165,$A$6:$A$1005,"&gt;"&amp;$A165)=0,1,0))</f>
        <v/>
      </c>
    </row>
    <row r="166" customFormat="false" ht="15" hidden="false" customHeight="false" outlineLevel="0" collapsed="false">
      <c r="A166" s="44"/>
      <c r="B166" s="6"/>
      <c r="C166" s="6"/>
      <c r="D166" s="6"/>
      <c r="E166" s="8" t="str">
        <f aca="false">IF($D166="","",IFERROR(INDEX(INSUMOS!$B$6:$B$205,MATCH($D166,INSUMOS!$A$6:$A$205,0)),"¿Código?"))</f>
        <v/>
      </c>
      <c r="F166" s="8" t="str">
        <f aca="false">IF($D166="","",IFERROR(INDEX(INSUMOS!$E$6:$E$205,MATCH($D166,INSUMOS!$A$6:$A$205,0)),""))</f>
        <v/>
      </c>
      <c r="G166" s="39"/>
      <c r="H166" s="45" t="str">
        <f aca="false">IF($D166="","",IFERROR(INDEX(INSUMOS!$F$6:$F$205,MATCH($D166,INSUMOS!$A$6:$A$205,0)),0))</f>
        <v/>
      </c>
      <c r="I166" s="34" t="str">
        <f aca="false">IF($D166="","",N($G166)*$H166)</f>
        <v/>
      </c>
      <c r="J166" s="40"/>
      <c r="K166" s="36" t="str">
        <f aca="false">IF($D166="","",IFERROR(INDEX(INSUMOS!$H$6:$H$205,MATCH($D166,INSUMOS!$A$6:$A$205,0)),IVA_VENTAS))</f>
        <v/>
      </c>
      <c r="L166" s="35" t="str">
        <f aca="false">IF($D166="","",N($J166)*$K166)</f>
        <v/>
      </c>
      <c r="M166" s="35" t="str">
        <f aca="false">IF($D166="","",N($J166)+$L166)</f>
        <v/>
      </c>
      <c r="N166" s="43" t="str">
        <f aca="false">IF($D166="","",IFERROR(N($J166)/$I166,0))</f>
        <v/>
      </c>
      <c r="O166" s="6"/>
      <c r="P166" s="6"/>
      <c r="Q166" s="46" t="str">
        <f aca="false">IF($A166="","",DATE(YEAR($A166),MONTH($A166),1))</f>
        <v/>
      </c>
      <c r="R166" s="8" t="str">
        <f aca="false">IF(OR($A166="",$D166=""),"",IF(COUNTIFS($D$6:$D$1005,$D166,$A$6:$A$1005,"&gt;"&amp;$A166)=0,1,0))</f>
        <v/>
      </c>
    </row>
    <row r="167" customFormat="false" ht="15" hidden="false" customHeight="false" outlineLevel="0" collapsed="false">
      <c r="A167" s="44"/>
      <c r="B167" s="6"/>
      <c r="C167" s="6"/>
      <c r="D167" s="6"/>
      <c r="E167" s="8" t="str">
        <f aca="false">IF($D167="","",IFERROR(INDEX(INSUMOS!$B$6:$B$205,MATCH($D167,INSUMOS!$A$6:$A$205,0)),"¿Código?"))</f>
        <v/>
      </c>
      <c r="F167" s="8" t="str">
        <f aca="false">IF($D167="","",IFERROR(INDEX(INSUMOS!$E$6:$E$205,MATCH($D167,INSUMOS!$A$6:$A$205,0)),""))</f>
        <v/>
      </c>
      <c r="G167" s="39"/>
      <c r="H167" s="45" t="str">
        <f aca="false">IF($D167="","",IFERROR(INDEX(INSUMOS!$F$6:$F$205,MATCH($D167,INSUMOS!$A$6:$A$205,0)),0))</f>
        <v/>
      </c>
      <c r="I167" s="34" t="str">
        <f aca="false">IF($D167="","",N($G167)*$H167)</f>
        <v/>
      </c>
      <c r="J167" s="40"/>
      <c r="K167" s="36" t="str">
        <f aca="false">IF($D167="","",IFERROR(INDEX(INSUMOS!$H$6:$H$205,MATCH($D167,INSUMOS!$A$6:$A$205,0)),IVA_VENTAS))</f>
        <v/>
      </c>
      <c r="L167" s="35" t="str">
        <f aca="false">IF($D167="","",N($J167)*$K167)</f>
        <v/>
      </c>
      <c r="M167" s="35" t="str">
        <f aca="false">IF($D167="","",N($J167)+$L167)</f>
        <v/>
      </c>
      <c r="N167" s="43" t="str">
        <f aca="false">IF($D167="","",IFERROR(N($J167)/$I167,0))</f>
        <v/>
      </c>
      <c r="O167" s="6"/>
      <c r="P167" s="6"/>
      <c r="Q167" s="46" t="str">
        <f aca="false">IF($A167="","",DATE(YEAR($A167),MONTH($A167),1))</f>
        <v/>
      </c>
      <c r="R167" s="8" t="str">
        <f aca="false">IF(OR($A167="",$D167=""),"",IF(COUNTIFS($D$6:$D$1005,$D167,$A$6:$A$1005,"&gt;"&amp;$A167)=0,1,0))</f>
        <v/>
      </c>
    </row>
    <row r="168" customFormat="false" ht="15" hidden="false" customHeight="false" outlineLevel="0" collapsed="false">
      <c r="A168" s="44"/>
      <c r="B168" s="6"/>
      <c r="C168" s="6"/>
      <c r="D168" s="6"/>
      <c r="E168" s="8" t="str">
        <f aca="false">IF($D168="","",IFERROR(INDEX(INSUMOS!$B$6:$B$205,MATCH($D168,INSUMOS!$A$6:$A$205,0)),"¿Código?"))</f>
        <v/>
      </c>
      <c r="F168" s="8" t="str">
        <f aca="false">IF($D168="","",IFERROR(INDEX(INSUMOS!$E$6:$E$205,MATCH($D168,INSUMOS!$A$6:$A$205,0)),""))</f>
        <v/>
      </c>
      <c r="G168" s="39"/>
      <c r="H168" s="45" t="str">
        <f aca="false">IF($D168="","",IFERROR(INDEX(INSUMOS!$F$6:$F$205,MATCH($D168,INSUMOS!$A$6:$A$205,0)),0))</f>
        <v/>
      </c>
      <c r="I168" s="34" t="str">
        <f aca="false">IF($D168="","",N($G168)*$H168)</f>
        <v/>
      </c>
      <c r="J168" s="40"/>
      <c r="K168" s="36" t="str">
        <f aca="false">IF($D168="","",IFERROR(INDEX(INSUMOS!$H$6:$H$205,MATCH($D168,INSUMOS!$A$6:$A$205,0)),IVA_VENTAS))</f>
        <v/>
      </c>
      <c r="L168" s="35" t="str">
        <f aca="false">IF($D168="","",N($J168)*$K168)</f>
        <v/>
      </c>
      <c r="M168" s="35" t="str">
        <f aca="false">IF($D168="","",N($J168)+$L168)</f>
        <v/>
      </c>
      <c r="N168" s="43" t="str">
        <f aca="false">IF($D168="","",IFERROR(N($J168)/$I168,0))</f>
        <v/>
      </c>
      <c r="O168" s="6"/>
      <c r="P168" s="6"/>
      <c r="Q168" s="46" t="str">
        <f aca="false">IF($A168="","",DATE(YEAR($A168),MONTH($A168),1))</f>
        <v/>
      </c>
      <c r="R168" s="8" t="str">
        <f aca="false">IF(OR($A168="",$D168=""),"",IF(COUNTIFS($D$6:$D$1005,$D168,$A$6:$A$1005,"&gt;"&amp;$A168)=0,1,0))</f>
        <v/>
      </c>
    </row>
    <row r="169" customFormat="false" ht="15" hidden="false" customHeight="false" outlineLevel="0" collapsed="false">
      <c r="A169" s="44"/>
      <c r="B169" s="6"/>
      <c r="C169" s="6"/>
      <c r="D169" s="6"/>
      <c r="E169" s="8" t="str">
        <f aca="false">IF($D169="","",IFERROR(INDEX(INSUMOS!$B$6:$B$205,MATCH($D169,INSUMOS!$A$6:$A$205,0)),"¿Código?"))</f>
        <v/>
      </c>
      <c r="F169" s="8" t="str">
        <f aca="false">IF($D169="","",IFERROR(INDEX(INSUMOS!$E$6:$E$205,MATCH($D169,INSUMOS!$A$6:$A$205,0)),""))</f>
        <v/>
      </c>
      <c r="G169" s="39"/>
      <c r="H169" s="45" t="str">
        <f aca="false">IF($D169="","",IFERROR(INDEX(INSUMOS!$F$6:$F$205,MATCH($D169,INSUMOS!$A$6:$A$205,0)),0))</f>
        <v/>
      </c>
      <c r="I169" s="34" t="str">
        <f aca="false">IF($D169="","",N($G169)*$H169)</f>
        <v/>
      </c>
      <c r="J169" s="40"/>
      <c r="K169" s="36" t="str">
        <f aca="false">IF($D169="","",IFERROR(INDEX(INSUMOS!$H$6:$H$205,MATCH($D169,INSUMOS!$A$6:$A$205,0)),IVA_VENTAS))</f>
        <v/>
      </c>
      <c r="L169" s="35" t="str">
        <f aca="false">IF($D169="","",N($J169)*$K169)</f>
        <v/>
      </c>
      <c r="M169" s="35" t="str">
        <f aca="false">IF($D169="","",N($J169)+$L169)</f>
        <v/>
      </c>
      <c r="N169" s="43" t="str">
        <f aca="false">IF($D169="","",IFERROR(N($J169)/$I169,0))</f>
        <v/>
      </c>
      <c r="O169" s="6"/>
      <c r="P169" s="6"/>
      <c r="Q169" s="46" t="str">
        <f aca="false">IF($A169="","",DATE(YEAR($A169),MONTH($A169),1))</f>
        <v/>
      </c>
      <c r="R169" s="8" t="str">
        <f aca="false">IF(OR($A169="",$D169=""),"",IF(COUNTIFS($D$6:$D$1005,$D169,$A$6:$A$1005,"&gt;"&amp;$A169)=0,1,0))</f>
        <v/>
      </c>
    </row>
    <row r="170" customFormat="false" ht="15" hidden="false" customHeight="false" outlineLevel="0" collapsed="false">
      <c r="A170" s="44"/>
      <c r="B170" s="6"/>
      <c r="C170" s="6"/>
      <c r="D170" s="6"/>
      <c r="E170" s="8" t="str">
        <f aca="false">IF($D170="","",IFERROR(INDEX(INSUMOS!$B$6:$B$205,MATCH($D170,INSUMOS!$A$6:$A$205,0)),"¿Código?"))</f>
        <v/>
      </c>
      <c r="F170" s="8" t="str">
        <f aca="false">IF($D170="","",IFERROR(INDEX(INSUMOS!$E$6:$E$205,MATCH($D170,INSUMOS!$A$6:$A$205,0)),""))</f>
        <v/>
      </c>
      <c r="G170" s="39"/>
      <c r="H170" s="45" t="str">
        <f aca="false">IF($D170="","",IFERROR(INDEX(INSUMOS!$F$6:$F$205,MATCH($D170,INSUMOS!$A$6:$A$205,0)),0))</f>
        <v/>
      </c>
      <c r="I170" s="34" t="str">
        <f aca="false">IF($D170="","",N($G170)*$H170)</f>
        <v/>
      </c>
      <c r="J170" s="40"/>
      <c r="K170" s="36" t="str">
        <f aca="false">IF($D170="","",IFERROR(INDEX(INSUMOS!$H$6:$H$205,MATCH($D170,INSUMOS!$A$6:$A$205,0)),IVA_VENTAS))</f>
        <v/>
      </c>
      <c r="L170" s="35" t="str">
        <f aca="false">IF($D170="","",N($J170)*$K170)</f>
        <v/>
      </c>
      <c r="M170" s="35" t="str">
        <f aca="false">IF($D170="","",N($J170)+$L170)</f>
        <v/>
      </c>
      <c r="N170" s="43" t="str">
        <f aca="false">IF($D170="","",IFERROR(N($J170)/$I170,0))</f>
        <v/>
      </c>
      <c r="O170" s="6"/>
      <c r="P170" s="6"/>
      <c r="Q170" s="46" t="str">
        <f aca="false">IF($A170="","",DATE(YEAR($A170),MONTH($A170),1))</f>
        <v/>
      </c>
      <c r="R170" s="8" t="str">
        <f aca="false">IF(OR($A170="",$D170=""),"",IF(COUNTIFS($D$6:$D$1005,$D170,$A$6:$A$1005,"&gt;"&amp;$A170)=0,1,0))</f>
        <v/>
      </c>
    </row>
    <row r="171" customFormat="false" ht="15" hidden="false" customHeight="false" outlineLevel="0" collapsed="false">
      <c r="A171" s="44"/>
      <c r="B171" s="6"/>
      <c r="C171" s="6"/>
      <c r="D171" s="6"/>
      <c r="E171" s="8" t="str">
        <f aca="false">IF($D171="","",IFERROR(INDEX(INSUMOS!$B$6:$B$205,MATCH($D171,INSUMOS!$A$6:$A$205,0)),"¿Código?"))</f>
        <v/>
      </c>
      <c r="F171" s="8" t="str">
        <f aca="false">IF($D171="","",IFERROR(INDEX(INSUMOS!$E$6:$E$205,MATCH($D171,INSUMOS!$A$6:$A$205,0)),""))</f>
        <v/>
      </c>
      <c r="G171" s="39"/>
      <c r="H171" s="45" t="str">
        <f aca="false">IF($D171="","",IFERROR(INDEX(INSUMOS!$F$6:$F$205,MATCH($D171,INSUMOS!$A$6:$A$205,0)),0))</f>
        <v/>
      </c>
      <c r="I171" s="34" t="str">
        <f aca="false">IF($D171="","",N($G171)*$H171)</f>
        <v/>
      </c>
      <c r="J171" s="40"/>
      <c r="K171" s="36" t="str">
        <f aca="false">IF($D171="","",IFERROR(INDEX(INSUMOS!$H$6:$H$205,MATCH($D171,INSUMOS!$A$6:$A$205,0)),IVA_VENTAS))</f>
        <v/>
      </c>
      <c r="L171" s="35" t="str">
        <f aca="false">IF($D171="","",N($J171)*$K171)</f>
        <v/>
      </c>
      <c r="M171" s="35" t="str">
        <f aca="false">IF($D171="","",N($J171)+$L171)</f>
        <v/>
      </c>
      <c r="N171" s="43" t="str">
        <f aca="false">IF($D171="","",IFERROR(N($J171)/$I171,0))</f>
        <v/>
      </c>
      <c r="O171" s="6"/>
      <c r="P171" s="6"/>
      <c r="Q171" s="46" t="str">
        <f aca="false">IF($A171="","",DATE(YEAR($A171),MONTH($A171),1))</f>
        <v/>
      </c>
      <c r="R171" s="8" t="str">
        <f aca="false">IF(OR($A171="",$D171=""),"",IF(COUNTIFS($D$6:$D$1005,$D171,$A$6:$A$1005,"&gt;"&amp;$A171)=0,1,0))</f>
        <v/>
      </c>
    </row>
    <row r="172" customFormat="false" ht="15" hidden="false" customHeight="false" outlineLevel="0" collapsed="false">
      <c r="A172" s="44"/>
      <c r="B172" s="6"/>
      <c r="C172" s="6"/>
      <c r="D172" s="6"/>
      <c r="E172" s="8" t="str">
        <f aca="false">IF($D172="","",IFERROR(INDEX(INSUMOS!$B$6:$B$205,MATCH($D172,INSUMOS!$A$6:$A$205,0)),"¿Código?"))</f>
        <v/>
      </c>
      <c r="F172" s="8" t="str">
        <f aca="false">IF($D172="","",IFERROR(INDEX(INSUMOS!$E$6:$E$205,MATCH($D172,INSUMOS!$A$6:$A$205,0)),""))</f>
        <v/>
      </c>
      <c r="G172" s="39"/>
      <c r="H172" s="45" t="str">
        <f aca="false">IF($D172="","",IFERROR(INDEX(INSUMOS!$F$6:$F$205,MATCH($D172,INSUMOS!$A$6:$A$205,0)),0))</f>
        <v/>
      </c>
      <c r="I172" s="34" t="str">
        <f aca="false">IF($D172="","",N($G172)*$H172)</f>
        <v/>
      </c>
      <c r="J172" s="40"/>
      <c r="K172" s="36" t="str">
        <f aca="false">IF($D172="","",IFERROR(INDEX(INSUMOS!$H$6:$H$205,MATCH($D172,INSUMOS!$A$6:$A$205,0)),IVA_VENTAS))</f>
        <v/>
      </c>
      <c r="L172" s="35" t="str">
        <f aca="false">IF($D172="","",N($J172)*$K172)</f>
        <v/>
      </c>
      <c r="M172" s="35" t="str">
        <f aca="false">IF($D172="","",N($J172)+$L172)</f>
        <v/>
      </c>
      <c r="N172" s="43" t="str">
        <f aca="false">IF($D172="","",IFERROR(N($J172)/$I172,0))</f>
        <v/>
      </c>
      <c r="O172" s="6"/>
      <c r="P172" s="6"/>
      <c r="Q172" s="46" t="str">
        <f aca="false">IF($A172="","",DATE(YEAR($A172),MONTH($A172),1))</f>
        <v/>
      </c>
      <c r="R172" s="8" t="str">
        <f aca="false">IF(OR($A172="",$D172=""),"",IF(COUNTIFS($D$6:$D$1005,$D172,$A$6:$A$1005,"&gt;"&amp;$A172)=0,1,0))</f>
        <v/>
      </c>
    </row>
    <row r="173" customFormat="false" ht="15" hidden="false" customHeight="false" outlineLevel="0" collapsed="false">
      <c r="A173" s="44"/>
      <c r="B173" s="6"/>
      <c r="C173" s="6"/>
      <c r="D173" s="6"/>
      <c r="E173" s="8" t="str">
        <f aca="false">IF($D173="","",IFERROR(INDEX(INSUMOS!$B$6:$B$205,MATCH($D173,INSUMOS!$A$6:$A$205,0)),"¿Código?"))</f>
        <v/>
      </c>
      <c r="F173" s="8" t="str">
        <f aca="false">IF($D173="","",IFERROR(INDEX(INSUMOS!$E$6:$E$205,MATCH($D173,INSUMOS!$A$6:$A$205,0)),""))</f>
        <v/>
      </c>
      <c r="G173" s="39"/>
      <c r="H173" s="45" t="str">
        <f aca="false">IF($D173="","",IFERROR(INDEX(INSUMOS!$F$6:$F$205,MATCH($D173,INSUMOS!$A$6:$A$205,0)),0))</f>
        <v/>
      </c>
      <c r="I173" s="34" t="str">
        <f aca="false">IF($D173="","",N($G173)*$H173)</f>
        <v/>
      </c>
      <c r="J173" s="40"/>
      <c r="K173" s="36" t="str">
        <f aca="false">IF($D173="","",IFERROR(INDEX(INSUMOS!$H$6:$H$205,MATCH($D173,INSUMOS!$A$6:$A$205,0)),IVA_VENTAS))</f>
        <v/>
      </c>
      <c r="L173" s="35" t="str">
        <f aca="false">IF($D173="","",N($J173)*$K173)</f>
        <v/>
      </c>
      <c r="M173" s="35" t="str">
        <f aca="false">IF($D173="","",N($J173)+$L173)</f>
        <v/>
      </c>
      <c r="N173" s="43" t="str">
        <f aca="false">IF($D173="","",IFERROR(N($J173)/$I173,0))</f>
        <v/>
      </c>
      <c r="O173" s="6"/>
      <c r="P173" s="6"/>
      <c r="Q173" s="46" t="str">
        <f aca="false">IF($A173="","",DATE(YEAR($A173),MONTH($A173),1))</f>
        <v/>
      </c>
      <c r="R173" s="8" t="str">
        <f aca="false">IF(OR($A173="",$D173=""),"",IF(COUNTIFS($D$6:$D$1005,$D173,$A$6:$A$1005,"&gt;"&amp;$A173)=0,1,0))</f>
        <v/>
      </c>
    </row>
    <row r="174" customFormat="false" ht="15" hidden="false" customHeight="false" outlineLevel="0" collapsed="false">
      <c r="A174" s="44"/>
      <c r="B174" s="6"/>
      <c r="C174" s="6"/>
      <c r="D174" s="6"/>
      <c r="E174" s="8" t="str">
        <f aca="false">IF($D174="","",IFERROR(INDEX(INSUMOS!$B$6:$B$205,MATCH($D174,INSUMOS!$A$6:$A$205,0)),"¿Código?"))</f>
        <v/>
      </c>
      <c r="F174" s="8" t="str">
        <f aca="false">IF($D174="","",IFERROR(INDEX(INSUMOS!$E$6:$E$205,MATCH($D174,INSUMOS!$A$6:$A$205,0)),""))</f>
        <v/>
      </c>
      <c r="G174" s="39"/>
      <c r="H174" s="45" t="str">
        <f aca="false">IF($D174="","",IFERROR(INDEX(INSUMOS!$F$6:$F$205,MATCH($D174,INSUMOS!$A$6:$A$205,0)),0))</f>
        <v/>
      </c>
      <c r="I174" s="34" t="str">
        <f aca="false">IF($D174="","",N($G174)*$H174)</f>
        <v/>
      </c>
      <c r="J174" s="40"/>
      <c r="K174" s="36" t="str">
        <f aca="false">IF($D174="","",IFERROR(INDEX(INSUMOS!$H$6:$H$205,MATCH($D174,INSUMOS!$A$6:$A$205,0)),IVA_VENTAS))</f>
        <v/>
      </c>
      <c r="L174" s="35" t="str">
        <f aca="false">IF($D174="","",N($J174)*$K174)</f>
        <v/>
      </c>
      <c r="M174" s="35" t="str">
        <f aca="false">IF($D174="","",N($J174)+$L174)</f>
        <v/>
      </c>
      <c r="N174" s="43" t="str">
        <f aca="false">IF($D174="","",IFERROR(N($J174)/$I174,0))</f>
        <v/>
      </c>
      <c r="O174" s="6"/>
      <c r="P174" s="6"/>
      <c r="Q174" s="46" t="str">
        <f aca="false">IF($A174="","",DATE(YEAR($A174),MONTH($A174),1))</f>
        <v/>
      </c>
      <c r="R174" s="8" t="str">
        <f aca="false">IF(OR($A174="",$D174=""),"",IF(COUNTIFS($D$6:$D$1005,$D174,$A$6:$A$1005,"&gt;"&amp;$A174)=0,1,0))</f>
        <v/>
      </c>
    </row>
    <row r="175" customFormat="false" ht="15" hidden="false" customHeight="false" outlineLevel="0" collapsed="false">
      <c r="A175" s="44"/>
      <c r="B175" s="6"/>
      <c r="C175" s="6"/>
      <c r="D175" s="6"/>
      <c r="E175" s="8" t="str">
        <f aca="false">IF($D175="","",IFERROR(INDEX(INSUMOS!$B$6:$B$205,MATCH($D175,INSUMOS!$A$6:$A$205,0)),"¿Código?"))</f>
        <v/>
      </c>
      <c r="F175" s="8" t="str">
        <f aca="false">IF($D175="","",IFERROR(INDEX(INSUMOS!$E$6:$E$205,MATCH($D175,INSUMOS!$A$6:$A$205,0)),""))</f>
        <v/>
      </c>
      <c r="G175" s="39"/>
      <c r="H175" s="45" t="str">
        <f aca="false">IF($D175="","",IFERROR(INDEX(INSUMOS!$F$6:$F$205,MATCH($D175,INSUMOS!$A$6:$A$205,0)),0))</f>
        <v/>
      </c>
      <c r="I175" s="34" t="str">
        <f aca="false">IF($D175="","",N($G175)*$H175)</f>
        <v/>
      </c>
      <c r="J175" s="40"/>
      <c r="K175" s="36" t="str">
        <f aca="false">IF($D175="","",IFERROR(INDEX(INSUMOS!$H$6:$H$205,MATCH($D175,INSUMOS!$A$6:$A$205,0)),IVA_VENTAS))</f>
        <v/>
      </c>
      <c r="L175" s="35" t="str">
        <f aca="false">IF($D175="","",N($J175)*$K175)</f>
        <v/>
      </c>
      <c r="M175" s="35" t="str">
        <f aca="false">IF($D175="","",N($J175)+$L175)</f>
        <v/>
      </c>
      <c r="N175" s="43" t="str">
        <f aca="false">IF($D175="","",IFERROR(N($J175)/$I175,0))</f>
        <v/>
      </c>
      <c r="O175" s="6"/>
      <c r="P175" s="6"/>
      <c r="Q175" s="46" t="str">
        <f aca="false">IF($A175="","",DATE(YEAR($A175),MONTH($A175),1))</f>
        <v/>
      </c>
      <c r="R175" s="8" t="str">
        <f aca="false">IF(OR($A175="",$D175=""),"",IF(COUNTIFS($D$6:$D$1005,$D175,$A$6:$A$1005,"&gt;"&amp;$A175)=0,1,0))</f>
        <v/>
      </c>
    </row>
    <row r="176" customFormat="false" ht="15" hidden="false" customHeight="false" outlineLevel="0" collapsed="false">
      <c r="A176" s="44"/>
      <c r="B176" s="6"/>
      <c r="C176" s="6"/>
      <c r="D176" s="6"/>
      <c r="E176" s="8" t="str">
        <f aca="false">IF($D176="","",IFERROR(INDEX(INSUMOS!$B$6:$B$205,MATCH($D176,INSUMOS!$A$6:$A$205,0)),"¿Código?"))</f>
        <v/>
      </c>
      <c r="F176" s="8" t="str">
        <f aca="false">IF($D176="","",IFERROR(INDEX(INSUMOS!$E$6:$E$205,MATCH($D176,INSUMOS!$A$6:$A$205,0)),""))</f>
        <v/>
      </c>
      <c r="G176" s="39"/>
      <c r="H176" s="45" t="str">
        <f aca="false">IF($D176="","",IFERROR(INDEX(INSUMOS!$F$6:$F$205,MATCH($D176,INSUMOS!$A$6:$A$205,0)),0))</f>
        <v/>
      </c>
      <c r="I176" s="34" t="str">
        <f aca="false">IF($D176="","",N($G176)*$H176)</f>
        <v/>
      </c>
      <c r="J176" s="40"/>
      <c r="K176" s="36" t="str">
        <f aca="false">IF($D176="","",IFERROR(INDEX(INSUMOS!$H$6:$H$205,MATCH($D176,INSUMOS!$A$6:$A$205,0)),IVA_VENTAS))</f>
        <v/>
      </c>
      <c r="L176" s="35" t="str">
        <f aca="false">IF($D176="","",N($J176)*$K176)</f>
        <v/>
      </c>
      <c r="M176" s="35" t="str">
        <f aca="false">IF($D176="","",N($J176)+$L176)</f>
        <v/>
      </c>
      <c r="N176" s="43" t="str">
        <f aca="false">IF($D176="","",IFERROR(N($J176)/$I176,0))</f>
        <v/>
      </c>
      <c r="O176" s="6"/>
      <c r="P176" s="6"/>
      <c r="Q176" s="46" t="str">
        <f aca="false">IF($A176="","",DATE(YEAR($A176),MONTH($A176),1))</f>
        <v/>
      </c>
      <c r="R176" s="8" t="str">
        <f aca="false">IF(OR($A176="",$D176=""),"",IF(COUNTIFS($D$6:$D$1005,$D176,$A$6:$A$1005,"&gt;"&amp;$A176)=0,1,0))</f>
        <v/>
      </c>
    </row>
    <row r="177" customFormat="false" ht="15" hidden="false" customHeight="false" outlineLevel="0" collapsed="false">
      <c r="A177" s="44"/>
      <c r="B177" s="6"/>
      <c r="C177" s="6"/>
      <c r="D177" s="6"/>
      <c r="E177" s="8" t="str">
        <f aca="false">IF($D177="","",IFERROR(INDEX(INSUMOS!$B$6:$B$205,MATCH($D177,INSUMOS!$A$6:$A$205,0)),"¿Código?"))</f>
        <v/>
      </c>
      <c r="F177" s="8" t="str">
        <f aca="false">IF($D177="","",IFERROR(INDEX(INSUMOS!$E$6:$E$205,MATCH($D177,INSUMOS!$A$6:$A$205,0)),""))</f>
        <v/>
      </c>
      <c r="G177" s="39"/>
      <c r="H177" s="45" t="str">
        <f aca="false">IF($D177="","",IFERROR(INDEX(INSUMOS!$F$6:$F$205,MATCH($D177,INSUMOS!$A$6:$A$205,0)),0))</f>
        <v/>
      </c>
      <c r="I177" s="34" t="str">
        <f aca="false">IF($D177="","",N($G177)*$H177)</f>
        <v/>
      </c>
      <c r="J177" s="40"/>
      <c r="K177" s="36" t="str">
        <f aca="false">IF($D177="","",IFERROR(INDEX(INSUMOS!$H$6:$H$205,MATCH($D177,INSUMOS!$A$6:$A$205,0)),IVA_VENTAS))</f>
        <v/>
      </c>
      <c r="L177" s="35" t="str">
        <f aca="false">IF($D177="","",N($J177)*$K177)</f>
        <v/>
      </c>
      <c r="M177" s="35" t="str">
        <f aca="false">IF($D177="","",N($J177)+$L177)</f>
        <v/>
      </c>
      <c r="N177" s="43" t="str">
        <f aca="false">IF($D177="","",IFERROR(N($J177)/$I177,0))</f>
        <v/>
      </c>
      <c r="O177" s="6"/>
      <c r="P177" s="6"/>
      <c r="Q177" s="46" t="str">
        <f aca="false">IF($A177="","",DATE(YEAR($A177),MONTH($A177),1))</f>
        <v/>
      </c>
      <c r="R177" s="8" t="str">
        <f aca="false">IF(OR($A177="",$D177=""),"",IF(COUNTIFS($D$6:$D$1005,$D177,$A$6:$A$1005,"&gt;"&amp;$A177)=0,1,0))</f>
        <v/>
      </c>
    </row>
    <row r="178" customFormat="false" ht="15" hidden="false" customHeight="false" outlineLevel="0" collapsed="false">
      <c r="A178" s="44"/>
      <c r="B178" s="6"/>
      <c r="C178" s="6"/>
      <c r="D178" s="6"/>
      <c r="E178" s="8" t="str">
        <f aca="false">IF($D178="","",IFERROR(INDEX(INSUMOS!$B$6:$B$205,MATCH($D178,INSUMOS!$A$6:$A$205,0)),"¿Código?"))</f>
        <v/>
      </c>
      <c r="F178" s="8" t="str">
        <f aca="false">IF($D178="","",IFERROR(INDEX(INSUMOS!$E$6:$E$205,MATCH($D178,INSUMOS!$A$6:$A$205,0)),""))</f>
        <v/>
      </c>
      <c r="G178" s="39"/>
      <c r="H178" s="45" t="str">
        <f aca="false">IF($D178="","",IFERROR(INDEX(INSUMOS!$F$6:$F$205,MATCH($D178,INSUMOS!$A$6:$A$205,0)),0))</f>
        <v/>
      </c>
      <c r="I178" s="34" t="str">
        <f aca="false">IF($D178="","",N($G178)*$H178)</f>
        <v/>
      </c>
      <c r="J178" s="40"/>
      <c r="K178" s="36" t="str">
        <f aca="false">IF($D178="","",IFERROR(INDEX(INSUMOS!$H$6:$H$205,MATCH($D178,INSUMOS!$A$6:$A$205,0)),IVA_VENTAS))</f>
        <v/>
      </c>
      <c r="L178" s="35" t="str">
        <f aca="false">IF($D178="","",N($J178)*$K178)</f>
        <v/>
      </c>
      <c r="M178" s="35" t="str">
        <f aca="false">IF($D178="","",N($J178)+$L178)</f>
        <v/>
      </c>
      <c r="N178" s="43" t="str">
        <f aca="false">IF($D178="","",IFERROR(N($J178)/$I178,0))</f>
        <v/>
      </c>
      <c r="O178" s="6"/>
      <c r="P178" s="6"/>
      <c r="Q178" s="46" t="str">
        <f aca="false">IF($A178="","",DATE(YEAR($A178),MONTH($A178),1))</f>
        <v/>
      </c>
      <c r="R178" s="8" t="str">
        <f aca="false">IF(OR($A178="",$D178=""),"",IF(COUNTIFS($D$6:$D$1005,$D178,$A$6:$A$1005,"&gt;"&amp;$A178)=0,1,0))</f>
        <v/>
      </c>
    </row>
    <row r="179" customFormat="false" ht="15" hidden="false" customHeight="false" outlineLevel="0" collapsed="false">
      <c r="A179" s="44"/>
      <c r="B179" s="6"/>
      <c r="C179" s="6"/>
      <c r="D179" s="6"/>
      <c r="E179" s="8" t="str">
        <f aca="false">IF($D179="","",IFERROR(INDEX(INSUMOS!$B$6:$B$205,MATCH($D179,INSUMOS!$A$6:$A$205,0)),"¿Código?"))</f>
        <v/>
      </c>
      <c r="F179" s="8" t="str">
        <f aca="false">IF($D179="","",IFERROR(INDEX(INSUMOS!$E$6:$E$205,MATCH($D179,INSUMOS!$A$6:$A$205,0)),""))</f>
        <v/>
      </c>
      <c r="G179" s="39"/>
      <c r="H179" s="45" t="str">
        <f aca="false">IF($D179="","",IFERROR(INDEX(INSUMOS!$F$6:$F$205,MATCH($D179,INSUMOS!$A$6:$A$205,0)),0))</f>
        <v/>
      </c>
      <c r="I179" s="34" t="str">
        <f aca="false">IF($D179="","",N($G179)*$H179)</f>
        <v/>
      </c>
      <c r="J179" s="40"/>
      <c r="K179" s="36" t="str">
        <f aca="false">IF($D179="","",IFERROR(INDEX(INSUMOS!$H$6:$H$205,MATCH($D179,INSUMOS!$A$6:$A$205,0)),IVA_VENTAS))</f>
        <v/>
      </c>
      <c r="L179" s="35" t="str">
        <f aca="false">IF($D179="","",N($J179)*$K179)</f>
        <v/>
      </c>
      <c r="M179" s="35" t="str">
        <f aca="false">IF($D179="","",N($J179)+$L179)</f>
        <v/>
      </c>
      <c r="N179" s="43" t="str">
        <f aca="false">IF($D179="","",IFERROR(N($J179)/$I179,0))</f>
        <v/>
      </c>
      <c r="O179" s="6"/>
      <c r="P179" s="6"/>
      <c r="Q179" s="46" t="str">
        <f aca="false">IF($A179="","",DATE(YEAR($A179),MONTH($A179),1))</f>
        <v/>
      </c>
      <c r="R179" s="8" t="str">
        <f aca="false">IF(OR($A179="",$D179=""),"",IF(COUNTIFS($D$6:$D$1005,$D179,$A$6:$A$1005,"&gt;"&amp;$A179)=0,1,0))</f>
        <v/>
      </c>
    </row>
    <row r="180" customFormat="false" ht="15" hidden="false" customHeight="false" outlineLevel="0" collapsed="false">
      <c r="A180" s="44"/>
      <c r="B180" s="6"/>
      <c r="C180" s="6"/>
      <c r="D180" s="6"/>
      <c r="E180" s="8" t="str">
        <f aca="false">IF($D180="","",IFERROR(INDEX(INSUMOS!$B$6:$B$205,MATCH($D180,INSUMOS!$A$6:$A$205,0)),"¿Código?"))</f>
        <v/>
      </c>
      <c r="F180" s="8" t="str">
        <f aca="false">IF($D180="","",IFERROR(INDEX(INSUMOS!$E$6:$E$205,MATCH($D180,INSUMOS!$A$6:$A$205,0)),""))</f>
        <v/>
      </c>
      <c r="G180" s="39"/>
      <c r="H180" s="45" t="str">
        <f aca="false">IF($D180="","",IFERROR(INDEX(INSUMOS!$F$6:$F$205,MATCH($D180,INSUMOS!$A$6:$A$205,0)),0))</f>
        <v/>
      </c>
      <c r="I180" s="34" t="str">
        <f aca="false">IF($D180="","",N($G180)*$H180)</f>
        <v/>
      </c>
      <c r="J180" s="40"/>
      <c r="K180" s="36" t="str">
        <f aca="false">IF($D180="","",IFERROR(INDEX(INSUMOS!$H$6:$H$205,MATCH($D180,INSUMOS!$A$6:$A$205,0)),IVA_VENTAS))</f>
        <v/>
      </c>
      <c r="L180" s="35" t="str">
        <f aca="false">IF($D180="","",N($J180)*$K180)</f>
        <v/>
      </c>
      <c r="M180" s="35" t="str">
        <f aca="false">IF($D180="","",N($J180)+$L180)</f>
        <v/>
      </c>
      <c r="N180" s="43" t="str">
        <f aca="false">IF($D180="","",IFERROR(N($J180)/$I180,0))</f>
        <v/>
      </c>
      <c r="O180" s="6"/>
      <c r="P180" s="6"/>
      <c r="Q180" s="46" t="str">
        <f aca="false">IF($A180="","",DATE(YEAR($A180),MONTH($A180),1))</f>
        <v/>
      </c>
      <c r="R180" s="8" t="str">
        <f aca="false">IF(OR($A180="",$D180=""),"",IF(COUNTIFS($D$6:$D$1005,$D180,$A$6:$A$1005,"&gt;"&amp;$A180)=0,1,0))</f>
        <v/>
      </c>
    </row>
    <row r="181" customFormat="false" ht="15" hidden="false" customHeight="false" outlineLevel="0" collapsed="false">
      <c r="A181" s="44"/>
      <c r="B181" s="6"/>
      <c r="C181" s="6"/>
      <c r="D181" s="6"/>
      <c r="E181" s="8" t="str">
        <f aca="false">IF($D181="","",IFERROR(INDEX(INSUMOS!$B$6:$B$205,MATCH($D181,INSUMOS!$A$6:$A$205,0)),"¿Código?"))</f>
        <v/>
      </c>
      <c r="F181" s="8" t="str">
        <f aca="false">IF($D181="","",IFERROR(INDEX(INSUMOS!$E$6:$E$205,MATCH($D181,INSUMOS!$A$6:$A$205,0)),""))</f>
        <v/>
      </c>
      <c r="G181" s="39"/>
      <c r="H181" s="45" t="str">
        <f aca="false">IF($D181="","",IFERROR(INDEX(INSUMOS!$F$6:$F$205,MATCH($D181,INSUMOS!$A$6:$A$205,0)),0))</f>
        <v/>
      </c>
      <c r="I181" s="34" t="str">
        <f aca="false">IF($D181="","",N($G181)*$H181)</f>
        <v/>
      </c>
      <c r="J181" s="40"/>
      <c r="K181" s="36" t="str">
        <f aca="false">IF($D181="","",IFERROR(INDEX(INSUMOS!$H$6:$H$205,MATCH($D181,INSUMOS!$A$6:$A$205,0)),IVA_VENTAS))</f>
        <v/>
      </c>
      <c r="L181" s="35" t="str">
        <f aca="false">IF($D181="","",N($J181)*$K181)</f>
        <v/>
      </c>
      <c r="M181" s="35" t="str">
        <f aca="false">IF($D181="","",N($J181)+$L181)</f>
        <v/>
      </c>
      <c r="N181" s="43" t="str">
        <f aca="false">IF($D181="","",IFERROR(N($J181)/$I181,0))</f>
        <v/>
      </c>
      <c r="O181" s="6"/>
      <c r="P181" s="6"/>
      <c r="Q181" s="46" t="str">
        <f aca="false">IF($A181="","",DATE(YEAR($A181),MONTH($A181),1))</f>
        <v/>
      </c>
      <c r="R181" s="8" t="str">
        <f aca="false">IF(OR($A181="",$D181=""),"",IF(COUNTIFS($D$6:$D$1005,$D181,$A$6:$A$1005,"&gt;"&amp;$A181)=0,1,0))</f>
        <v/>
      </c>
    </row>
    <row r="182" customFormat="false" ht="15" hidden="false" customHeight="false" outlineLevel="0" collapsed="false">
      <c r="A182" s="44"/>
      <c r="B182" s="6"/>
      <c r="C182" s="6"/>
      <c r="D182" s="6"/>
      <c r="E182" s="8" t="str">
        <f aca="false">IF($D182="","",IFERROR(INDEX(INSUMOS!$B$6:$B$205,MATCH($D182,INSUMOS!$A$6:$A$205,0)),"¿Código?"))</f>
        <v/>
      </c>
      <c r="F182" s="8" t="str">
        <f aca="false">IF($D182="","",IFERROR(INDEX(INSUMOS!$E$6:$E$205,MATCH($D182,INSUMOS!$A$6:$A$205,0)),""))</f>
        <v/>
      </c>
      <c r="G182" s="39"/>
      <c r="H182" s="45" t="str">
        <f aca="false">IF($D182="","",IFERROR(INDEX(INSUMOS!$F$6:$F$205,MATCH($D182,INSUMOS!$A$6:$A$205,0)),0))</f>
        <v/>
      </c>
      <c r="I182" s="34" t="str">
        <f aca="false">IF($D182="","",N($G182)*$H182)</f>
        <v/>
      </c>
      <c r="J182" s="40"/>
      <c r="K182" s="36" t="str">
        <f aca="false">IF($D182="","",IFERROR(INDEX(INSUMOS!$H$6:$H$205,MATCH($D182,INSUMOS!$A$6:$A$205,0)),IVA_VENTAS))</f>
        <v/>
      </c>
      <c r="L182" s="35" t="str">
        <f aca="false">IF($D182="","",N($J182)*$K182)</f>
        <v/>
      </c>
      <c r="M182" s="35" t="str">
        <f aca="false">IF($D182="","",N($J182)+$L182)</f>
        <v/>
      </c>
      <c r="N182" s="43" t="str">
        <f aca="false">IF($D182="","",IFERROR(N($J182)/$I182,0))</f>
        <v/>
      </c>
      <c r="O182" s="6"/>
      <c r="P182" s="6"/>
      <c r="Q182" s="46" t="str">
        <f aca="false">IF($A182="","",DATE(YEAR($A182),MONTH($A182),1))</f>
        <v/>
      </c>
      <c r="R182" s="8" t="str">
        <f aca="false">IF(OR($A182="",$D182=""),"",IF(COUNTIFS($D$6:$D$1005,$D182,$A$6:$A$1005,"&gt;"&amp;$A182)=0,1,0))</f>
        <v/>
      </c>
    </row>
    <row r="183" customFormat="false" ht="15" hidden="false" customHeight="false" outlineLevel="0" collapsed="false">
      <c r="A183" s="44"/>
      <c r="B183" s="6"/>
      <c r="C183" s="6"/>
      <c r="D183" s="6"/>
      <c r="E183" s="8" t="str">
        <f aca="false">IF($D183="","",IFERROR(INDEX(INSUMOS!$B$6:$B$205,MATCH($D183,INSUMOS!$A$6:$A$205,0)),"¿Código?"))</f>
        <v/>
      </c>
      <c r="F183" s="8" t="str">
        <f aca="false">IF($D183="","",IFERROR(INDEX(INSUMOS!$E$6:$E$205,MATCH($D183,INSUMOS!$A$6:$A$205,0)),""))</f>
        <v/>
      </c>
      <c r="G183" s="39"/>
      <c r="H183" s="45" t="str">
        <f aca="false">IF($D183="","",IFERROR(INDEX(INSUMOS!$F$6:$F$205,MATCH($D183,INSUMOS!$A$6:$A$205,0)),0))</f>
        <v/>
      </c>
      <c r="I183" s="34" t="str">
        <f aca="false">IF($D183="","",N($G183)*$H183)</f>
        <v/>
      </c>
      <c r="J183" s="40"/>
      <c r="K183" s="36" t="str">
        <f aca="false">IF($D183="","",IFERROR(INDEX(INSUMOS!$H$6:$H$205,MATCH($D183,INSUMOS!$A$6:$A$205,0)),IVA_VENTAS))</f>
        <v/>
      </c>
      <c r="L183" s="35" t="str">
        <f aca="false">IF($D183="","",N($J183)*$K183)</f>
        <v/>
      </c>
      <c r="M183" s="35" t="str">
        <f aca="false">IF($D183="","",N($J183)+$L183)</f>
        <v/>
      </c>
      <c r="N183" s="43" t="str">
        <f aca="false">IF($D183="","",IFERROR(N($J183)/$I183,0))</f>
        <v/>
      </c>
      <c r="O183" s="6"/>
      <c r="P183" s="6"/>
      <c r="Q183" s="46" t="str">
        <f aca="false">IF($A183="","",DATE(YEAR($A183),MONTH($A183),1))</f>
        <v/>
      </c>
      <c r="R183" s="8" t="str">
        <f aca="false">IF(OR($A183="",$D183=""),"",IF(COUNTIFS($D$6:$D$1005,$D183,$A$6:$A$1005,"&gt;"&amp;$A183)=0,1,0))</f>
        <v/>
      </c>
    </row>
    <row r="184" customFormat="false" ht="15" hidden="false" customHeight="false" outlineLevel="0" collapsed="false">
      <c r="A184" s="44"/>
      <c r="B184" s="6"/>
      <c r="C184" s="6"/>
      <c r="D184" s="6"/>
      <c r="E184" s="8" t="str">
        <f aca="false">IF($D184="","",IFERROR(INDEX(INSUMOS!$B$6:$B$205,MATCH($D184,INSUMOS!$A$6:$A$205,0)),"¿Código?"))</f>
        <v/>
      </c>
      <c r="F184" s="8" t="str">
        <f aca="false">IF($D184="","",IFERROR(INDEX(INSUMOS!$E$6:$E$205,MATCH($D184,INSUMOS!$A$6:$A$205,0)),""))</f>
        <v/>
      </c>
      <c r="G184" s="39"/>
      <c r="H184" s="45" t="str">
        <f aca="false">IF($D184="","",IFERROR(INDEX(INSUMOS!$F$6:$F$205,MATCH($D184,INSUMOS!$A$6:$A$205,0)),0))</f>
        <v/>
      </c>
      <c r="I184" s="34" t="str">
        <f aca="false">IF($D184="","",N($G184)*$H184)</f>
        <v/>
      </c>
      <c r="J184" s="40"/>
      <c r="K184" s="36" t="str">
        <f aca="false">IF($D184="","",IFERROR(INDEX(INSUMOS!$H$6:$H$205,MATCH($D184,INSUMOS!$A$6:$A$205,0)),IVA_VENTAS))</f>
        <v/>
      </c>
      <c r="L184" s="35" t="str">
        <f aca="false">IF($D184="","",N($J184)*$K184)</f>
        <v/>
      </c>
      <c r="M184" s="35" t="str">
        <f aca="false">IF($D184="","",N($J184)+$L184)</f>
        <v/>
      </c>
      <c r="N184" s="43" t="str">
        <f aca="false">IF($D184="","",IFERROR(N($J184)/$I184,0))</f>
        <v/>
      </c>
      <c r="O184" s="6"/>
      <c r="P184" s="6"/>
      <c r="Q184" s="46" t="str">
        <f aca="false">IF($A184="","",DATE(YEAR($A184),MONTH($A184),1))</f>
        <v/>
      </c>
      <c r="R184" s="8" t="str">
        <f aca="false">IF(OR($A184="",$D184=""),"",IF(COUNTIFS($D$6:$D$1005,$D184,$A$6:$A$1005,"&gt;"&amp;$A184)=0,1,0))</f>
        <v/>
      </c>
    </row>
    <row r="185" customFormat="false" ht="15" hidden="false" customHeight="false" outlineLevel="0" collapsed="false">
      <c r="A185" s="44"/>
      <c r="B185" s="6"/>
      <c r="C185" s="6"/>
      <c r="D185" s="6"/>
      <c r="E185" s="8" t="str">
        <f aca="false">IF($D185="","",IFERROR(INDEX(INSUMOS!$B$6:$B$205,MATCH($D185,INSUMOS!$A$6:$A$205,0)),"¿Código?"))</f>
        <v/>
      </c>
      <c r="F185" s="8" t="str">
        <f aca="false">IF($D185="","",IFERROR(INDEX(INSUMOS!$E$6:$E$205,MATCH($D185,INSUMOS!$A$6:$A$205,0)),""))</f>
        <v/>
      </c>
      <c r="G185" s="39"/>
      <c r="H185" s="45" t="str">
        <f aca="false">IF($D185="","",IFERROR(INDEX(INSUMOS!$F$6:$F$205,MATCH($D185,INSUMOS!$A$6:$A$205,0)),0))</f>
        <v/>
      </c>
      <c r="I185" s="34" t="str">
        <f aca="false">IF($D185="","",N($G185)*$H185)</f>
        <v/>
      </c>
      <c r="J185" s="40"/>
      <c r="K185" s="36" t="str">
        <f aca="false">IF($D185="","",IFERROR(INDEX(INSUMOS!$H$6:$H$205,MATCH($D185,INSUMOS!$A$6:$A$205,0)),IVA_VENTAS))</f>
        <v/>
      </c>
      <c r="L185" s="35" t="str">
        <f aca="false">IF($D185="","",N($J185)*$K185)</f>
        <v/>
      </c>
      <c r="M185" s="35" t="str">
        <f aca="false">IF($D185="","",N($J185)+$L185)</f>
        <v/>
      </c>
      <c r="N185" s="43" t="str">
        <f aca="false">IF($D185="","",IFERROR(N($J185)/$I185,0))</f>
        <v/>
      </c>
      <c r="O185" s="6"/>
      <c r="P185" s="6"/>
      <c r="Q185" s="46" t="str">
        <f aca="false">IF($A185="","",DATE(YEAR($A185),MONTH($A185),1))</f>
        <v/>
      </c>
      <c r="R185" s="8" t="str">
        <f aca="false">IF(OR($A185="",$D185=""),"",IF(COUNTIFS($D$6:$D$1005,$D185,$A$6:$A$1005,"&gt;"&amp;$A185)=0,1,0))</f>
        <v/>
      </c>
    </row>
    <row r="186" customFormat="false" ht="15" hidden="false" customHeight="false" outlineLevel="0" collapsed="false">
      <c r="A186" s="44"/>
      <c r="B186" s="6"/>
      <c r="C186" s="6"/>
      <c r="D186" s="6"/>
      <c r="E186" s="8" t="str">
        <f aca="false">IF($D186="","",IFERROR(INDEX(INSUMOS!$B$6:$B$205,MATCH($D186,INSUMOS!$A$6:$A$205,0)),"¿Código?"))</f>
        <v/>
      </c>
      <c r="F186" s="8" t="str">
        <f aca="false">IF($D186="","",IFERROR(INDEX(INSUMOS!$E$6:$E$205,MATCH($D186,INSUMOS!$A$6:$A$205,0)),""))</f>
        <v/>
      </c>
      <c r="G186" s="39"/>
      <c r="H186" s="45" t="str">
        <f aca="false">IF($D186="","",IFERROR(INDEX(INSUMOS!$F$6:$F$205,MATCH($D186,INSUMOS!$A$6:$A$205,0)),0))</f>
        <v/>
      </c>
      <c r="I186" s="34" t="str">
        <f aca="false">IF($D186="","",N($G186)*$H186)</f>
        <v/>
      </c>
      <c r="J186" s="40"/>
      <c r="K186" s="36" t="str">
        <f aca="false">IF($D186="","",IFERROR(INDEX(INSUMOS!$H$6:$H$205,MATCH($D186,INSUMOS!$A$6:$A$205,0)),IVA_VENTAS))</f>
        <v/>
      </c>
      <c r="L186" s="35" t="str">
        <f aca="false">IF($D186="","",N($J186)*$K186)</f>
        <v/>
      </c>
      <c r="M186" s="35" t="str">
        <f aca="false">IF($D186="","",N($J186)+$L186)</f>
        <v/>
      </c>
      <c r="N186" s="43" t="str">
        <f aca="false">IF($D186="","",IFERROR(N($J186)/$I186,0))</f>
        <v/>
      </c>
      <c r="O186" s="6"/>
      <c r="P186" s="6"/>
      <c r="Q186" s="46" t="str">
        <f aca="false">IF($A186="","",DATE(YEAR($A186),MONTH($A186),1))</f>
        <v/>
      </c>
      <c r="R186" s="8" t="str">
        <f aca="false">IF(OR($A186="",$D186=""),"",IF(COUNTIFS($D$6:$D$1005,$D186,$A$6:$A$1005,"&gt;"&amp;$A186)=0,1,0))</f>
        <v/>
      </c>
    </row>
    <row r="187" customFormat="false" ht="15" hidden="false" customHeight="false" outlineLevel="0" collapsed="false">
      <c r="A187" s="44"/>
      <c r="B187" s="6"/>
      <c r="C187" s="6"/>
      <c r="D187" s="6"/>
      <c r="E187" s="8" t="str">
        <f aca="false">IF($D187="","",IFERROR(INDEX(INSUMOS!$B$6:$B$205,MATCH($D187,INSUMOS!$A$6:$A$205,0)),"¿Código?"))</f>
        <v/>
      </c>
      <c r="F187" s="8" t="str">
        <f aca="false">IF($D187="","",IFERROR(INDEX(INSUMOS!$E$6:$E$205,MATCH($D187,INSUMOS!$A$6:$A$205,0)),""))</f>
        <v/>
      </c>
      <c r="G187" s="39"/>
      <c r="H187" s="45" t="str">
        <f aca="false">IF($D187="","",IFERROR(INDEX(INSUMOS!$F$6:$F$205,MATCH($D187,INSUMOS!$A$6:$A$205,0)),0))</f>
        <v/>
      </c>
      <c r="I187" s="34" t="str">
        <f aca="false">IF($D187="","",N($G187)*$H187)</f>
        <v/>
      </c>
      <c r="J187" s="40"/>
      <c r="K187" s="36" t="str">
        <f aca="false">IF($D187="","",IFERROR(INDEX(INSUMOS!$H$6:$H$205,MATCH($D187,INSUMOS!$A$6:$A$205,0)),IVA_VENTAS))</f>
        <v/>
      </c>
      <c r="L187" s="35" t="str">
        <f aca="false">IF($D187="","",N($J187)*$K187)</f>
        <v/>
      </c>
      <c r="M187" s="35" t="str">
        <f aca="false">IF($D187="","",N($J187)+$L187)</f>
        <v/>
      </c>
      <c r="N187" s="43" t="str">
        <f aca="false">IF($D187="","",IFERROR(N($J187)/$I187,0))</f>
        <v/>
      </c>
      <c r="O187" s="6"/>
      <c r="P187" s="6"/>
      <c r="Q187" s="46" t="str">
        <f aca="false">IF($A187="","",DATE(YEAR($A187),MONTH($A187),1))</f>
        <v/>
      </c>
      <c r="R187" s="8" t="str">
        <f aca="false">IF(OR($A187="",$D187=""),"",IF(COUNTIFS($D$6:$D$1005,$D187,$A$6:$A$1005,"&gt;"&amp;$A187)=0,1,0))</f>
        <v/>
      </c>
    </row>
    <row r="188" customFormat="false" ht="15" hidden="false" customHeight="false" outlineLevel="0" collapsed="false">
      <c r="A188" s="44"/>
      <c r="B188" s="6"/>
      <c r="C188" s="6"/>
      <c r="D188" s="6"/>
      <c r="E188" s="8" t="str">
        <f aca="false">IF($D188="","",IFERROR(INDEX(INSUMOS!$B$6:$B$205,MATCH($D188,INSUMOS!$A$6:$A$205,0)),"¿Código?"))</f>
        <v/>
      </c>
      <c r="F188" s="8" t="str">
        <f aca="false">IF($D188="","",IFERROR(INDEX(INSUMOS!$E$6:$E$205,MATCH($D188,INSUMOS!$A$6:$A$205,0)),""))</f>
        <v/>
      </c>
      <c r="G188" s="39"/>
      <c r="H188" s="45" t="str">
        <f aca="false">IF($D188="","",IFERROR(INDEX(INSUMOS!$F$6:$F$205,MATCH($D188,INSUMOS!$A$6:$A$205,0)),0))</f>
        <v/>
      </c>
      <c r="I188" s="34" t="str">
        <f aca="false">IF($D188="","",N($G188)*$H188)</f>
        <v/>
      </c>
      <c r="J188" s="40"/>
      <c r="K188" s="36" t="str">
        <f aca="false">IF($D188="","",IFERROR(INDEX(INSUMOS!$H$6:$H$205,MATCH($D188,INSUMOS!$A$6:$A$205,0)),IVA_VENTAS))</f>
        <v/>
      </c>
      <c r="L188" s="35" t="str">
        <f aca="false">IF($D188="","",N($J188)*$K188)</f>
        <v/>
      </c>
      <c r="M188" s="35" t="str">
        <f aca="false">IF($D188="","",N($J188)+$L188)</f>
        <v/>
      </c>
      <c r="N188" s="43" t="str">
        <f aca="false">IF($D188="","",IFERROR(N($J188)/$I188,0))</f>
        <v/>
      </c>
      <c r="O188" s="6"/>
      <c r="P188" s="6"/>
      <c r="Q188" s="46" t="str">
        <f aca="false">IF($A188="","",DATE(YEAR($A188),MONTH($A188),1))</f>
        <v/>
      </c>
      <c r="R188" s="8" t="str">
        <f aca="false">IF(OR($A188="",$D188=""),"",IF(COUNTIFS($D$6:$D$1005,$D188,$A$6:$A$1005,"&gt;"&amp;$A188)=0,1,0))</f>
        <v/>
      </c>
    </row>
    <row r="189" customFormat="false" ht="15" hidden="false" customHeight="false" outlineLevel="0" collapsed="false">
      <c r="A189" s="44"/>
      <c r="B189" s="6"/>
      <c r="C189" s="6"/>
      <c r="D189" s="6"/>
      <c r="E189" s="8" t="str">
        <f aca="false">IF($D189="","",IFERROR(INDEX(INSUMOS!$B$6:$B$205,MATCH($D189,INSUMOS!$A$6:$A$205,0)),"¿Código?"))</f>
        <v/>
      </c>
      <c r="F189" s="8" t="str">
        <f aca="false">IF($D189="","",IFERROR(INDEX(INSUMOS!$E$6:$E$205,MATCH($D189,INSUMOS!$A$6:$A$205,0)),""))</f>
        <v/>
      </c>
      <c r="G189" s="39"/>
      <c r="H189" s="45" t="str">
        <f aca="false">IF($D189="","",IFERROR(INDEX(INSUMOS!$F$6:$F$205,MATCH($D189,INSUMOS!$A$6:$A$205,0)),0))</f>
        <v/>
      </c>
      <c r="I189" s="34" t="str">
        <f aca="false">IF($D189="","",N($G189)*$H189)</f>
        <v/>
      </c>
      <c r="J189" s="40"/>
      <c r="K189" s="36" t="str">
        <f aca="false">IF($D189="","",IFERROR(INDEX(INSUMOS!$H$6:$H$205,MATCH($D189,INSUMOS!$A$6:$A$205,0)),IVA_VENTAS))</f>
        <v/>
      </c>
      <c r="L189" s="35" t="str">
        <f aca="false">IF($D189="","",N($J189)*$K189)</f>
        <v/>
      </c>
      <c r="M189" s="35" t="str">
        <f aca="false">IF($D189="","",N($J189)+$L189)</f>
        <v/>
      </c>
      <c r="N189" s="43" t="str">
        <f aca="false">IF($D189="","",IFERROR(N($J189)/$I189,0))</f>
        <v/>
      </c>
      <c r="O189" s="6"/>
      <c r="P189" s="6"/>
      <c r="Q189" s="46" t="str">
        <f aca="false">IF($A189="","",DATE(YEAR($A189),MONTH($A189),1))</f>
        <v/>
      </c>
      <c r="R189" s="8" t="str">
        <f aca="false">IF(OR($A189="",$D189=""),"",IF(COUNTIFS($D$6:$D$1005,$D189,$A$6:$A$1005,"&gt;"&amp;$A189)=0,1,0))</f>
        <v/>
      </c>
    </row>
    <row r="190" customFormat="false" ht="15" hidden="false" customHeight="false" outlineLevel="0" collapsed="false">
      <c r="A190" s="44"/>
      <c r="B190" s="6"/>
      <c r="C190" s="6"/>
      <c r="D190" s="6"/>
      <c r="E190" s="8" t="str">
        <f aca="false">IF($D190="","",IFERROR(INDEX(INSUMOS!$B$6:$B$205,MATCH($D190,INSUMOS!$A$6:$A$205,0)),"¿Código?"))</f>
        <v/>
      </c>
      <c r="F190" s="8" t="str">
        <f aca="false">IF($D190="","",IFERROR(INDEX(INSUMOS!$E$6:$E$205,MATCH($D190,INSUMOS!$A$6:$A$205,0)),""))</f>
        <v/>
      </c>
      <c r="G190" s="39"/>
      <c r="H190" s="45" t="str">
        <f aca="false">IF($D190="","",IFERROR(INDEX(INSUMOS!$F$6:$F$205,MATCH($D190,INSUMOS!$A$6:$A$205,0)),0))</f>
        <v/>
      </c>
      <c r="I190" s="34" t="str">
        <f aca="false">IF($D190="","",N($G190)*$H190)</f>
        <v/>
      </c>
      <c r="J190" s="40"/>
      <c r="K190" s="36" t="str">
        <f aca="false">IF($D190="","",IFERROR(INDEX(INSUMOS!$H$6:$H$205,MATCH($D190,INSUMOS!$A$6:$A$205,0)),IVA_VENTAS))</f>
        <v/>
      </c>
      <c r="L190" s="35" t="str">
        <f aca="false">IF($D190="","",N($J190)*$K190)</f>
        <v/>
      </c>
      <c r="M190" s="35" t="str">
        <f aca="false">IF($D190="","",N($J190)+$L190)</f>
        <v/>
      </c>
      <c r="N190" s="43" t="str">
        <f aca="false">IF($D190="","",IFERROR(N($J190)/$I190,0))</f>
        <v/>
      </c>
      <c r="O190" s="6"/>
      <c r="P190" s="6"/>
      <c r="Q190" s="46" t="str">
        <f aca="false">IF($A190="","",DATE(YEAR($A190),MONTH($A190),1))</f>
        <v/>
      </c>
      <c r="R190" s="8" t="str">
        <f aca="false">IF(OR($A190="",$D190=""),"",IF(COUNTIFS($D$6:$D$1005,$D190,$A$6:$A$1005,"&gt;"&amp;$A190)=0,1,0))</f>
        <v/>
      </c>
    </row>
    <row r="191" customFormat="false" ht="15" hidden="false" customHeight="false" outlineLevel="0" collapsed="false">
      <c r="A191" s="44"/>
      <c r="B191" s="6"/>
      <c r="C191" s="6"/>
      <c r="D191" s="6"/>
      <c r="E191" s="8" t="str">
        <f aca="false">IF($D191="","",IFERROR(INDEX(INSUMOS!$B$6:$B$205,MATCH($D191,INSUMOS!$A$6:$A$205,0)),"¿Código?"))</f>
        <v/>
      </c>
      <c r="F191" s="8" t="str">
        <f aca="false">IF($D191="","",IFERROR(INDEX(INSUMOS!$E$6:$E$205,MATCH($D191,INSUMOS!$A$6:$A$205,0)),""))</f>
        <v/>
      </c>
      <c r="G191" s="39"/>
      <c r="H191" s="45" t="str">
        <f aca="false">IF($D191="","",IFERROR(INDEX(INSUMOS!$F$6:$F$205,MATCH($D191,INSUMOS!$A$6:$A$205,0)),0))</f>
        <v/>
      </c>
      <c r="I191" s="34" t="str">
        <f aca="false">IF($D191="","",N($G191)*$H191)</f>
        <v/>
      </c>
      <c r="J191" s="40"/>
      <c r="K191" s="36" t="str">
        <f aca="false">IF($D191="","",IFERROR(INDEX(INSUMOS!$H$6:$H$205,MATCH($D191,INSUMOS!$A$6:$A$205,0)),IVA_VENTAS))</f>
        <v/>
      </c>
      <c r="L191" s="35" t="str">
        <f aca="false">IF($D191="","",N($J191)*$K191)</f>
        <v/>
      </c>
      <c r="M191" s="35" t="str">
        <f aca="false">IF($D191="","",N($J191)+$L191)</f>
        <v/>
      </c>
      <c r="N191" s="43" t="str">
        <f aca="false">IF($D191="","",IFERROR(N($J191)/$I191,0))</f>
        <v/>
      </c>
      <c r="O191" s="6"/>
      <c r="P191" s="6"/>
      <c r="Q191" s="46" t="str">
        <f aca="false">IF($A191="","",DATE(YEAR($A191),MONTH($A191),1))</f>
        <v/>
      </c>
      <c r="R191" s="8" t="str">
        <f aca="false">IF(OR($A191="",$D191=""),"",IF(COUNTIFS($D$6:$D$1005,$D191,$A$6:$A$1005,"&gt;"&amp;$A191)=0,1,0))</f>
        <v/>
      </c>
    </row>
    <row r="192" customFormat="false" ht="15" hidden="false" customHeight="false" outlineLevel="0" collapsed="false">
      <c r="A192" s="44"/>
      <c r="B192" s="6"/>
      <c r="C192" s="6"/>
      <c r="D192" s="6"/>
      <c r="E192" s="8" t="str">
        <f aca="false">IF($D192="","",IFERROR(INDEX(INSUMOS!$B$6:$B$205,MATCH($D192,INSUMOS!$A$6:$A$205,0)),"¿Código?"))</f>
        <v/>
      </c>
      <c r="F192" s="8" t="str">
        <f aca="false">IF($D192="","",IFERROR(INDEX(INSUMOS!$E$6:$E$205,MATCH($D192,INSUMOS!$A$6:$A$205,0)),""))</f>
        <v/>
      </c>
      <c r="G192" s="39"/>
      <c r="H192" s="45" t="str">
        <f aca="false">IF($D192="","",IFERROR(INDEX(INSUMOS!$F$6:$F$205,MATCH($D192,INSUMOS!$A$6:$A$205,0)),0))</f>
        <v/>
      </c>
      <c r="I192" s="34" t="str">
        <f aca="false">IF($D192="","",N($G192)*$H192)</f>
        <v/>
      </c>
      <c r="J192" s="40"/>
      <c r="K192" s="36" t="str">
        <f aca="false">IF($D192="","",IFERROR(INDEX(INSUMOS!$H$6:$H$205,MATCH($D192,INSUMOS!$A$6:$A$205,0)),IVA_VENTAS))</f>
        <v/>
      </c>
      <c r="L192" s="35" t="str">
        <f aca="false">IF($D192="","",N($J192)*$K192)</f>
        <v/>
      </c>
      <c r="M192" s="35" t="str">
        <f aca="false">IF($D192="","",N($J192)+$L192)</f>
        <v/>
      </c>
      <c r="N192" s="43" t="str">
        <f aca="false">IF($D192="","",IFERROR(N($J192)/$I192,0))</f>
        <v/>
      </c>
      <c r="O192" s="6"/>
      <c r="P192" s="6"/>
      <c r="Q192" s="46" t="str">
        <f aca="false">IF($A192="","",DATE(YEAR($A192),MONTH($A192),1))</f>
        <v/>
      </c>
      <c r="R192" s="8" t="str">
        <f aca="false">IF(OR($A192="",$D192=""),"",IF(COUNTIFS($D$6:$D$1005,$D192,$A$6:$A$1005,"&gt;"&amp;$A192)=0,1,0))</f>
        <v/>
      </c>
    </row>
    <row r="193" customFormat="false" ht="15" hidden="false" customHeight="false" outlineLevel="0" collapsed="false">
      <c r="A193" s="44"/>
      <c r="B193" s="6"/>
      <c r="C193" s="6"/>
      <c r="D193" s="6"/>
      <c r="E193" s="8" t="str">
        <f aca="false">IF($D193="","",IFERROR(INDEX(INSUMOS!$B$6:$B$205,MATCH($D193,INSUMOS!$A$6:$A$205,0)),"¿Código?"))</f>
        <v/>
      </c>
      <c r="F193" s="8" t="str">
        <f aca="false">IF($D193="","",IFERROR(INDEX(INSUMOS!$E$6:$E$205,MATCH($D193,INSUMOS!$A$6:$A$205,0)),""))</f>
        <v/>
      </c>
      <c r="G193" s="39"/>
      <c r="H193" s="45" t="str">
        <f aca="false">IF($D193="","",IFERROR(INDEX(INSUMOS!$F$6:$F$205,MATCH($D193,INSUMOS!$A$6:$A$205,0)),0))</f>
        <v/>
      </c>
      <c r="I193" s="34" t="str">
        <f aca="false">IF($D193="","",N($G193)*$H193)</f>
        <v/>
      </c>
      <c r="J193" s="40"/>
      <c r="K193" s="36" t="str">
        <f aca="false">IF($D193="","",IFERROR(INDEX(INSUMOS!$H$6:$H$205,MATCH($D193,INSUMOS!$A$6:$A$205,0)),IVA_VENTAS))</f>
        <v/>
      </c>
      <c r="L193" s="35" t="str">
        <f aca="false">IF($D193="","",N($J193)*$K193)</f>
        <v/>
      </c>
      <c r="M193" s="35" t="str">
        <f aca="false">IF($D193="","",N($J193)+$L193)</f>
        <v/>
      </c>
      <c r="N193" s="43" t="str">
        <f aca="false">IF($D193="","",IFERROR(N($J193)/$I193,0))</f>
        <v/>
      </c>
      <c r="O193" s="6"/>
      <c r="P193" s="6"/>
      <c r="Q193" s="46" t="str">
        <f aca="false">IF($A193="","",DATE(YEAR($A193),MONTH($A193),1))</f>
        <v/>
      </c>
      <c r="R193" s="8" t="str">
        <f aca="false">IF(OR($A193="",$D193=""),"",IF(COUNTIFS($D$6:$D$1005,$D193,$A$6:$A$1005,"&gt;"&amp;$A193)=0,1,0))</f>
        <v/>
      </c>
    </row>
    <row r="194" customFormat="false" ht="15" hidden="false" customHeight="false" outlineLevel="0" collapsed="false">
      <c r="A194" s="44"/>
      <c r="B194" s="6"/>
      <c r="C194" s="6"/>
      <c r="D194" s="6"/>
      <c r="E194" s="8" t="str">
        <f aca="false">IF($D194="","",IFERROR(INDEX(INSUMOS!$B$6:$B$205,MATCH($D194,INSUMOS!$A$6:$A$205,0)),"¿Código?"))</f>
        <v/>
      </c>
      <c r="F194" s="8" t="str">
        <f aca="false">IF($D194="","",IFERROR(INDEX(INSUMOS!$E$6:$E$205,MATCH($D194,INSUMOS!$A$6:$A$205,0)),""))</f>
        <v/>
      </c>
      <c r="G194" s="39"/>
      <c r="H194" s="45" t="str">
        <f aca="false">IF($D194="","",IFERROR(INDEX(INSUMOS!$F$6:$F$205,MATCH($D194,INSUMOS!$A$6:$A$205,0)),0))</f>
        <v/>
      </c>
      <c r="I194" s="34" t="str">
        <f aca="false">IF($D194="","",N($G194)*$H194)</f>
        <v/>
      </c>
      <c r="J194" s="40"/>
      <c r="K194" s="36" t="str">
        <f aca="false">IF($D194="","",IFERROR(INDEX(INSUMOS!$H$6:$H$205,MATCH($D194,INSUMOS!$A$6:$A$205,0)),IVA_VENTAS))</f>
        <v/>
      </c>
      <c r="L194" s="35" t="str">
        <f aca="false">IF($D194="","",N($J194)*$K194)</f>
        <v/>
      </c>
      <c r="M194" s="35" t="str">
        <f aca="false">IF($D194="","",N($J194)+$L194)</f>
        <v/>
      </c>
      <c r="N194" s="43" t="str">
        <f aca="false">IF($D194="","",IFERROR(N($J194)/$I194,0))</f>
        <v/>
      </c>
      <c r="O194" s="6"/>
      <c r="P194" s="6"/>
      <c r="Q194" s="46" t="str">
        <f aca="false">IF($A194="","",DATE(YEAR($A194),MONTH($A194),1))</f>
        <v/>
      </c>
      <c r="R194" s="8" t="str">
        <f aca="false">IF(OR($A194="",$D194=""),"",IF(COUNTIFS($D$6:$D$1005,$D194,$A$6:$A$1005,"&gt;"&amp;$A194)=0,1,0))</f>
        <v/>
      </c>
    </row>
    <row r="195" customFormat="false" ht="15" hidden="false" customHeight="false" outlineLevel="0" collapsed="false">
      <c r="A195" s="44"/>
      <c r="B195" s="6"/>
      <c r="C195" s="6"/>
      <c r="D195" s="6"/>
      <c r="E195" s="8" t="str">
        <f aca="false">IF($D195="","",IFERROR(INDEX(INSUMOS!$B$6:$B$205,MATCH($D195,INSUMOS!$A$6:$A$205,0)),"¿Código?"))</f>
        <v/>
      </c>
      <c r="F195" s="8" t="str">
        <f aca="false">IF($D195="","",IFERROR(INDEX(INSUMOS!$E$6:$E$205,MATCH($D195,INSUMOS!$A$6:$A$205,0)),""))</f>
        <v/>
      </c>
      <c r="G195" s="39"/>
      <c r="H195" s="45" t="str">
        <f aca="false">IF($D195="","",IFERROR(INDEX(INSUMOS!$F$6:$F$205,MATCH($D195,INSUMOS!$A$6:$A$205,0)),0))</f>
        <v/>
      </c>
      <c r="I195" s="34" t="str">
        <f aca="false">IF($D195="","",N($G195)*$H195)</f>
        <v/>
      </c>
      <c r="J195" s="40"/>
      <c r="K195" s="36" t="str">
        <f aca="false">IF($D195="","",IFERROR(INDEX(INSUMOS!$H$6:$H$205,MATCH($D195,INSUMOS!$A$6:$A$205,0)),IVA_VENTAS))</f>
        <v/>
      </c>
      <c r="L195" s="35" t="str">
        <f aca="false">IF($D195="","",N($J195)*$K195)</f>
        <v/>
      </c>
      <c r="M195" s="35" t="str">
        <f aca="false">IF($D195="","",N($J195)+$L195)</f>
        <v/>
      </c>
      <c r="N195" s="43" t="str">
        <f aca="false">IF($D195="","",IFERROR(N($J195)/$I195,0))</f>
        <v/>
      </c>
      <c r="O195" s="6"/>
      <c r="P195" s="6"/>
      <c r="Q195" s="46" t="str">
        <f aca="false">IF($A195="","",DATE(YEAR($A195),MONTH($A195),1))</f>
        <v/>
      </c>
      <c r="R195" s="8" t="str">
        <f aca="false">IF(OR($A195="",$D195=""),"",IF(COUNTIFS($D$6:$D$1005,$D195,$A$6:$A$1005,"&gt;"&amp;$A195)=0,1,0))</f>
        <v/>
      </c>
    </row>
    <row r="196" customFormat="false" ht="15" hidden="false" customHeight="false" outlineLevel="0" collapsed="false">
      <c r="A196" s="44"/>
      <c r="B196" s="6"/>
      <c r="C196" s="6"/>
      <c r="D196" s="6"/>
      <c r="E196" s="8" t="str">
        <f aca="false">IF($D196="","",IFERROR(INDEX(INSUMOS!$B$6:$B$205,MATCH($D196,INSUMOS!$A$6:$A$205,0)),"¿Código?"))</f>
        <v/>
      </c>
      <c r="F196" s="8" t="str">
        <f aca="false">IF($D196="","",IFERROR(INDEX(INSUMOS!$E$6:$E$205,MATCH($D196,INSUMOS!$A$6:$A$205,0)),""))</f>
        <v/>
      </c>
      <c r="G196" s="39"/>
      <c r="H196" s="45" t="str">
        <f aca="false">IF($D196="","",IFERROR(INDEX(INSUMOS!$F$6:$F$205,MATCH($D196,INSUMOS!$A$6:$A$205,0)),0))</f>
        <v/>
      </c>
      <c r="I196" s="34" t="str">
        <f aca="false">IF($D196="","",N($G196)*$H196)</f>
        <v/>
      </c>
      <c r="J196" s="40"/>
      <c r="K196" s="36" t="str">
        <f aca="false">IF($D196="","",IFERROR(INDEX(INSUMOS!$H$6:$H$205,MATCH($D196,INSUMOS!$A$6:$A$205,0)),IVA_VENTAS))</f>
        <v/>
      </c>
      <c r="L196" s="35" t="str">
        <f aca="false">IF($D196="","",N($J196)*$K196)</f>
        <v/>
      </c>
      <c r="M196" s="35" t="str">
        <f aca="false">IF($D196="","",N($J196)+$L196)</f>
        <v/>
      </c>
      <c r="N196" s="43" t="str">
        <f aca="false">IF($D196="","",IFERROR(N($J196)/$I196,0))</f>
        <v/>
      </c>
      <c r="O196" s="6"/>
      <c r="P196" s="6"/>
      <c r="Q196" s="46" t="str">
        <f aca="false">IF($A196="","",DATE(YEAR($A196),MONTH($A196),1))</f>
        <v/>
      </c>
      <c r="R196" s="8" t="str">
        <f aca="false">IF(OR($A196="",$D196=""),"",IF(COUNTIFS($D$6:$D$1005,$D196,$A$6:$A$1005,"&gt;"&amp;$A196)=0,1,0))</f>
        <v/>
      </c>
    </row>
    <row r="197" customFormat="false" ht="15" hidden="false" customHeight="false" outlineLevel="0" collapsed="false">
      <c r="A197" s="44"/>
      <c r="B197" s="6"/>
      <c r="C197" s="6"/>
      <c r="D197" s="6"/>
      <c r="E197" s="8" t="str">
        <f aca="false">IF($D197="","",IFERROR(INDEX(INSUMOS!$B$6:$B$205,MATCH($D197,INSUMOS!$A$6:$A$205,0)),"¿Código?"))</f>
        <v/>
      </c>
      <c r="F197" s="8" t="str">
        <f aca="false">IF($D197="","",IFERROR(INDEX(INSUMOS!$E$6:$E$205,MATCH($D197,INSUMOS!$A$6:$A$205,0)),""))</f>
        <v/>
      </c>
      <c r="G197" s="39"/>
      <c r="H197" s="45" t="str">
        <f aca="false">IF($D197="","",IFERROR(INDEX(INSUMOS!$F$6:$F$205,MATCH($D197,INSUMOS!$A$6:$A$205,0)),0))</f>
        <v/>
      </c>
      <c r="I197" s="34" t="str">
        <f aca="false">IF($D197="","",N($G197)*$H197)</f>
        <v/>
      </c>
      <c r="J197" s="40"/>
      <c r="K197" s="36" t="str">
        <f aca="false">IF($D197="","",IFERROR(INDEX(INSUMOS!$H$6:$H$205,MATCH($D197,INSUMOS!$A$6:$A$205,0)),IVA_VENTAS))</f>
        <v/>
      </c>
      <c r="L197" s="35" t="str">
        <f aca="false">IF($D197="","",N($J197)*$K197)</f>
        <v/>
      </c>
      <c r="M197" s="35" t="str">
        <f aca="false">IF($D197="","",N($J197)+$L197)</f>
        <v/>
      </c>
      <c r="N197" s="43" t="str">
        <f aca="false">IF($D197="","",IFERROR(N($J197)/$I197,0))</f>
        <v/>
      </c>
      <c r="O197" s="6"/>
      <c r="P197" s="6"/>
      <c r="Q197" s="46" t="str">
        <f aca="false">IF($A197="","",DATE(YEAR($A197),MONTH($A197),1))</f>
        <v/>
      </c>
      <c r="R197" s="8" t="str">
        <f aca="false">IF(OR($A197="",$D197=""),"",IF(COUNTIFS($D$6:$D$1005,$D197,$A$6:$A$1005,"&gt;"&amp;$A197)=0,1,0))</f>
        <v/>
      </c>
    </row>
    <row r="198" customFormat="false" ht="15" hidden="false" customHeight="false" outlineLevel="0" collapsed="false">
      <c r="A198" s="44"/>
      <c r="B198" s="6"/>
      <c r="C198" s="6"/>
      <c r="D198" s="6"/>
      <c r="E198" s="8" t="str">
        <f aca="false">IF($D198="","",IFERROR(INDEX(INSUMOS!$B$6:$B$205,MATCH($D198,INSUMOS!$A$6:$A$205,0)),"¿Código?"))</f>
        <v/>
      </c>
      <c r="F198" s="8" t="str">
        <f aca="false">IF($D198="","",IFERROR(INDEX(INSUMOS!$E$6:$E$205,MATCH($D198,INSUMOS!$A$6:$A$205,0)),""))</f>
        <v/>
      </c>
      <c r="G198" s="39"/>
      <c r="H198" s="45" t="str">
        <f aca="false">IF($D198="","",IFERROR(INDEX(INSUMOS!$F$6:$F$205,MATCH($D198,INSUMOS!$A$6:$A$205,0)),0))</f>
        <v/>
      </c>
      <c r="I198" s="34" t="str">
        <f aca="false">IF($D198="","",N($G198)*$H198)</f>
        <v/>
      </c>
      <c r="J198" s="40"/>
      <c r="K198" s="36" t="str">
        <f aca="false">IF($D198="","",IFERROR(INDEX(INSUMOS!$H$6:$H$205,MATCH($D198,INSUMOS!$A$6:$A$205,0)),IVA_VENTAS))</f>
        <v/>
      </c>
      <c r="L198" s="35" t="str">
        <f aca="false">IF($D198="","",N($J198)*$K198)</f>
        <v/>
      </c>
      <c r="M198" s="35" t="str">
        <f aca="false">IF($D198="","",N($J198)+$L198)</f>
        <v/>
      </c>
      <c r="N198" s="43" t="str">
        <f aca="false">IF($D198="","",IFERROR(N($J198)/$I198,0))</f>
        <v/>
      </c>
      <c r="O198" s="6"/>
      <c r="P198" s="6"/>
      <c r="Q198" s="46" t="str">
        <f aca="false">IF($A198="","",DATE(YEAR($A198),MONTH($A198),1))</f>
        <v/>
      </c>
      <c r="R198" s="8" t="str">
        <f aca="false">IF(OR($A198="",$D198=""),"",IF(COUNTIFS($D$6:$D$1005,$D198,$A$6:$A$1005,"&gt;"&amp;$A198)=0,1,0))</f>
        <v/>
      </c>
    </row>
    <row r="199" customFormat="false" ht="15" hidden="false" customHeight="false" outlineLevel="0" collapsed="false">
      <c r="A199" s="44"/>
      <c r="B199" s="6"/>
      <c r="C199" s="6"/>
      <c r="D199" s="6"/>
      <c r="E199" s="8" t="str">
        <f aca="false">IF($D199="","",IFERROR(INDEX(INSUMOS!$B$6:$B$205,MATCH($D199,INSUMOS!$A$6:$A$205,0)),"¿Código?"))</f>
        <v/>
      </c>
      <c r="F199" s="8" t="str">
        <f aca="false">IF($D199="","",IFERROR(INDEX(INSUMOS!$E$6:$E$205,MATCH($D199,INSUMOS!$A$6:$A$205,0)),""))</f>
        <v/>
      </c>
      <c r="G199" s="39"/>
      <c r="H199" s="45" t="str">
        <f aca="false">IF($D199="","",IFERROR(INDEX(INSUMOS!$F$6:$F$205,MATCH($D199,INSUMOS!$A$6:$A$205,0)),0))</f>
        <v/>
      </c>
      <c r="I199" s="34" t="str">
        <f aca="false">IF($D199="","",N($G199)*$H199)</f>
        <v/>
      </c>
      <c r="J199" s="40"/>
      <c r="K199" s="36" t="str">
        <f aca="false">IF($D199="","",IFERROR(INDEX(INSUMOS!$H$6:$H$205,MATCH($D199,INSUMOS!$A$6:$A$205,0)),IVA_VENTAS))</f>
        <v/>
      </c>
      <c r="L199" s="35" t="str">
        <f aca="false">IF($D199="","",N($J199)*$K199)</f>
        <v/>
      </c>
      <c r="M199" s="35" t="str">
        <f aca="false">IF($D199="","",N($J199)+$L199)</f>
        <v/>
      </c>
      <c r="N199" s="43" t="str">
        <f aca="false">IF($D199="","",IFERROR(N($J199)/$I199,0))</f>
        <v/>
      </c>
      <c r="O199" s="6"/>
      <c r="P199" s="6"/>
      <c r="Q199" s="46" t="str">
        <f aca="false">IF($A199="","",DATE(YEAR($A199),MONTH($A199),1))</f>
        <v/>
      </c>
      <c r="R199" s="8" t="str">
        <f aca="false">IF(OR($A199="",$D199=""),"",IF(COUNTIFS($D$6:$D$1005,$D199,$A$6:$A$1005,"&gt;"&amp;$A199)=0,1,0))</f>
        <v/>
      </c>
    </row>
    <row r="200" customFormat="false" ht="15" hidden="false" customHeight="false" outlineLevel="0" collapsed="false">
      <c r="A200" s="44"/>
      <c r="B200" s="6"/>
      <c r="C200" s="6"/>
      <c r="D200" s="6"/>
      <c r="E200" s="8" t="str">
        <f aca="false">IF($D200="","",IFERROR(INDEX(INSUMOS!$B$6:$B$205,MATCH($D200,INSUMOS!$A$6:$A$205,0)),"¿Código?"))</f>
        <v/>
      </c>
      <c r="F200" s="8" t="str">
        <f aca="false">IF($D200="","",IFERROR(INDEX(INSUMOS!$E$6:$E$205,MATCH($D200,INSUMOS!$A$6:$A$205,0)),""))</f>
        <v/>
      </c>
      <c r="G200" s="39"/>
      <c r="H200" s="45" t="str">
        <f aca="false">IF($D200="","",IFERROR(INDEX(INSUMOS!$F$6:$F$205,MATCH($D200,INSUMOS!$A$6:$A$205,0)),0))</f>
        <v/>
      </c>
      <c r="I200" s="34" t="str">
        <f aca="false">IF($D200="","",N($G200)*$H200)</f>
        <v/>
      </c>
      <c r="J200" s="40"/>
      <c r="K200" s="36" t="str">
        <f aca="false">IF($D200="","",IFERROR(INDEX(INSUMOS!$H$6:$H$205,MATCH($D200,INSUMOS!$A$6:$A$205,0)),IVA_VENTAS))</f>
        <v/>
      </c>
      <c r="L200" s="35" t="str">
        <f aca="false">IF($D200="","",N($J200)*$K200)</f>
        <v/>
      </c>
      <c r="M200" s="35" t="str">
        <f aca="false">IF($D200="","",N($J200)+$L200)</f>
        <v/>
      </c>
      <c r="N200" s="43" t="str">
        <f aca="false">IF($D200="","",IFERROR(N($J200)/$I200,0))</f>
        <v/>
      </c>
      <c r="O200" s="6"/>
      <c r="P200" s="6"/>
      <c r="Q200" s="46" t="str">
        <f aca="false">IF($A200="","",DATE(YEAR($A200),MONTH($A200),1))</f>
        <v/>
      </c>
      <c r="R200" s="8" t="str">
        <f aca="false">IF(OR($A200="",$D200=""),"",IF(COUNTIFS($D$6:$D$1005,$D200,$A$6:$A$1005,"&gt;"&amp;$A200)=0,1,0))</f>
        <v/>
      </c>
    </row>
    <row r="201" customFormat="false" ht="15" hidden="false" customHeight="false" outlineLevel="0" collapsed="false">
      <c r="A201" s="44"/>
      <c r="B201" s="6"/>
      <c r="C201" s="6"/>
      <c r="D201" s="6"/>
      <c r="E201" s="8" t="str">
        <f aca="false">IF($D201="","",IFERROR(INDEX(INSUMOS!$B$6:$B$205,MATCH($D201,INSUMOS!$A$6:$A$205,0)),"¿Código?"))</f>
        <v/>
      </c>
      <c r="F201" s="8" t="str">
        <f aca="false">IF($D201="","",IFERROR(INDEX(INSUMOS!$E$6:$E$205,MATCH($D201,INSUMOS!$A$6:$A$205,0)),""))</f>
        <v/>
      </c>
      <c r="G201" s="39"/>
      <c r="H201" s="45" t="str">
        <f aca="false">IF($D201="","",IFERROR(INDEX(INSUMOS!$F$6:$F$205,MATCH($D201,INSUMOS!$A$6:$A$205,0)),0))</f>
        <v/>
      </c>
      <c r="I201" s="34" t="str">
        <f aca="false">IF($D201="","",N($G201)*$H201)</f>
        <v/>
      </c>
      <c r="J201" s="40"/>
      <c r="K201" s="36" t="str">
        <f aca="false">IF($D201="","",IFERROR(INDEX(INSUMOS!$H$6:$H$205,MATCH($D201,INSUMOS!$A$6:$A$205,0)),IVA_VENTAS))</f>
        <v/>
      </c>
      <c r="L201" s="35" t="str">
        <f aca="false">IF($D201="","",N($J201)*$K201)</f>
        <v/>
      </c>
      <c r="M201" s="35" t="str">
        <f aca="false">IF($D201="","",N($J201)+$L201)</f>
        <v/>
      </c>
      <c r="N201" s="43" t="str">
        <f aca="false">IF($D201="","",IFERROR(N($J201)/$I201,0))</f>
        <v/>
      </c>
      <c r="O201" s="6"/>
      <c r="P201" s="6"/>
      <c r="Q201" s="46" t="str">
        <f aca="false">IF($A201="","",DATE(YEAR($A201),MONTH($A201),1))</f>
        <v/>
      </c>
      <c r="R201" s="8" t="str">
        <f aca="false">IF(OR($A201="",$D201=""),"",IF(COUNTIFS($D$6:$D$1005,$D201,$A$6:$A$1005,"&gt;"&amp;$A201)=0,1,0))</f>
        <v/>
      </c>
    </row>
    <row r="202" customFormat="false" ht="15" hidden="false" customHeight="false" outlineLevel="0" collapsed="false">
      <c r="A202" s="44"/>
      <c r="B202" s="6"/>
      <c r="C202" s="6"/>
      <c r="D202" s="6"/>
      <c r="E202" s="8" t="str">
        <f aca="false">IF($D202="","",IFERROR(INDEX(INSUMOS!$B$6:$B$205,MATCH($D202,INSUMOS!$A$6:$A$205,0)),"¿Código?"))</f>
        <v/>
      </c>
      <c r="F202" s="8" t="str">
        <f aca="false">IF($D202="","",IFERROR(INDEX(INSUMOS!$E$6:$E$205,MATCH($D202,INSUMOS!$A$6:$A$205,0)),""))</f>
        <v/>
      </c>
      <c r="G202" s="39"/>
      <c r="H202" s="45" t="str">
        <f aca="false">IF($D202="","",IFERROR(INDEX(INSUMOS!$F$6:$F$205,MATCH($D202,INSUMOS!$A$6:$A$205,0)),0))</f>
        <v/>
      </c>
      <c r="I202" s="34" t="str">
        <f aca="false">IF($D202="","",N($G202)*$H202)</f>
        <v/>
      </c>
      <c r="J202" s="40"/>
      <c r="K202" s="36" t="str">
        <f aca="false">IF($D202="","",IFERROR(INDEX(INSUMOS!$H$6:$H$205,MATCH($D202,INSUMOS!$A$6:$A$205,0)),IVA_VENTAS))</f>
        <v/>
      </c>
      <c r="L202" s="35" t="str">
        <f aca="false">IF($D202="","",N($J202)*$K202)</f>
        <v/>
      </c>
      <c r="M202" s="35" t="str">
        <f aca="false">IF($D202="","",N($J202)+$L202)</f>
        <v/>
      </c>
      <c r="N202" s="43" t="str">
        <f aca="false">IF($D202="","",IFERROR(N($J202)/$I202,0))</f>
        <v/>
      </c>
      <c r="O202" s="6"/>
      <c r="P202" s="6"/>
      <c r="Q202" s="46" t="str">
        <f aca="false">IF($A202="","",DATE(YEAR($A202),MONTH($A202),1))</f>
        <v/>
      </c>
      <c r="R202" s="8" t="str">
        <f aca="false">IF(OR($A202="",$D202=""),"",IF(COUNTIFS($D$6:$D$1005,$D202,$A$6:$A$1005,"&gt;"&amp;$A202)=0,1,0))</f>
        <v/>
      </c>
    </row>
    <row r="203" customFormat="false" ht="15" hidden="false" customHeight="false" outlineLevel="0" collapsed="false">
      <c r="A203" s="44"/>
      <c r="B203" s="6"/>
      <c r="C203" s="6"/>
      <c r="D203" s="6"/>
      <c r="E203" s="8" t="str">
        <f aca="false">IF($D203="","",IFERROR(INDEX(INSUMOS!$B$6:$B$205,MATCH($D203,INSUMOS!$A$6:$A$205,0)),"¿Código?"))</f>
        <v/>
      </c>
      <c r="F203" s="8" t="str">
        <f aca="false">IF($D203="","",IFERROR(INDEX(INSUMOS!$E$6:$E$205,MATCH($D203,INSUMOS!$A$6:$A$205,0)),""))</f>
        <v/>
      </c>
      <c r="G203" s="39"/>
      <c r="H203" s="45" t="str">
        <f aca="false">IF($D203="","",IFERROR(INDEX(INSUMOS!$F$6:$F$205,MATCH($D203,INSUMOS!$A$6:$A$205,0)),0))</f>
        <v/>
      </c>
      <c r="I203" s="34" t="str">
        <f aca="false">IF($D203="","",N($G203)*$H203)</f>
        <v/>
      </c>
      <c r="J203" s="40"/>
      <c r="K203" s="36" t="str">
        <f aca="false">IF($D203="","",IFERROR(INDEX(INSUMOS!$H$6:$H$205,MATCH($D203,INSUMOS!$A$6:$A$205,0)),IVA_VENTAS))</f>
        <v/>
      </c>
      <c r="L203" s="35" t="str">
        <f aca="false">IF($D203="","",N($J203)*$K203)</f>
        <v/>
      </c>
      <c r="M203" s="35" t="str">
        <f aca="false">IF($D203="","",N($J203)+$L203)</f>
        <v/>
      </c>
      <c r="N203" s="43" t="str">
        <f aca="false">IF($D203="","",IFERROR(N($J203)/$I203,0))</f>
        <v/>
      </c>
      <c r="O203" s="6"/>
      <c r="P203" s="6"/>
      <c r="Q203" s="46" t="str">
        <f aca="false">IF($A203="","",DATE(YEAR($A203),MONTH($A203),1))</f>
        <v/>
      </c>
      <c r="R203" s="8" t="str">
        <f aca="false">IF(OR($A203="",$D203=""),"",IF(COUNTIFS($D$6:$D$1005,$D203,$A$6:$A$1005,"&gt;"&amp;$A203)=0,1,0))</f>
        <v/>
      </c>
    </row>
    <row r="204" customFormat="false" ht="15" hidden="false" customHeight="false" outlineLevel="0" collapsed="false">
      <c r="A204" s="44"/>
      <c r="B204" s="6"/>
      <c r="C204" s="6"/>
      <c r="D204" s="6"/>
      <c r="E204" s="8" t="str">
        <f aca="false">IF($D204="","",IFERROR(INDEX(INSUMOS!$B$6:$B$205,MATCH($D204,INSUMOS!$A$6:$A$205,0)),"¿Código?"))</f>
        <v/>
      </c>
      <c r="F204" s="8" t="str">
        <f aca="false">IF($D204="","",IFERROR(INDEX(INSUMOS!$E$6:$E$205,MATCH($D204,INSUMOS!$A$6:$A$205,0)),""))</f>
        <v/>
      </c>
      <c r="G204" s="39"/>
      <c r="H204" s="45" t="str">
        <f aca="false">IF($D204="","",IFERROR(INDEX(INSUMOS!$F$6:$F$205,MATCH($D204,INSUMOS!$A$6:$A$205,0)),0))</f>
        <v/>
      </c>
      <c r="I204" s="34" t="str">
        <f aca="false">IF($D204="","",N($G204)*$H204)</f>
        <v/>
      </c>
      <c r="J204" s="40"/>
      <c r="K204" s="36" t="str">
        <f aca="false">IF($D204="","",IFERROR(INDEX(INSUMOS!$H$6:$H$205,MATCH($D204,INSUMOS!$A$6:$A$205,0)),IVA_VENTAS))</f>
        <v/>
      </c>
      <c r="L204" s="35" t="str">
        <f aca="false">IF($D204="","",N($J204)*$K204)</f>
        <v/>
      </c>
      <c r="M204" s="35" t="str">
        <f aca="false">IF($D204="","",N($J204)+$L204)</f>
        <v/>
      </c>
      <c r="N204" s="43" t="str">
        <f aca="false">IF($D204="","",IFERROR(N($J204)/$I204,0))</f>
        <v/>
      </c>
      <c r="O204" s="6"/>
      <c r="P204" s="6"/>
      <c r="Q204" s="46" t="str">
        <f aca="false">IF($A204="","",DATE(YEAR($A204),MONTH($A204),1))</f>
        <v/>
      </c>
      <c r="R204" s="8" t="str">
        <f aca="false">IF(OR($A204="",$D204=""),"",IF(COUNTIFS($D$6:$D$1005,$D204,$A$6:$A$1005,"&gt;"&amp;$A204)=0,1,0))</f>
        <v/>
      </c>
    </row>
    <row r="205" customFormat="false" ht="15" hidden="false" customHeight="false" outlineLevel="0" collapsed="false">
      <c r="A205" s="44"/>
      <c r="B205" s="6"/>
      <c r="C205" s="6"/>
      <c r="D205" s="6"/>
      <c r="E205" s="8" t="str">
        <f aca="false">IF($D205="","",IFERROR(INDEX(INSUMOS!$B$6:$B$205,MATCH($D205,INSUMOS!$A$6:$A$205,0)),"¿Código?"))</f>
        <v/>
      </c>
      <c r="F205" s="8" t="str">
        <f aca="false">IF($D205="","",IFERROR(INDEX(INSUMOS!$E$6:$E$205,MATCH($D205,INSUMOS!$A$6:$A$205,0)),""))</f>
        <v/>
      </c>
      <c r="G205" s="39"/>
      <c r="H205" s="45" t="str">
        <f aca="false">IF($D205="","",IFERROR(INDEX(INSUMOS!$F$6:$F$205,MATCH($D205,INSUMOS!$A$6:$A$205,0)),0))</f>
        <v/>
      </c>
      <c r="I205" s="34" t="str">
        <f aca="false">IF($D205="","",N($G205)*$H205)</f>
        <v/>
      </c>
      <c r="J205" s="40"/>
      <c r="K205" s="36" t="str">
        <f aca="false">IF($D205="","",IFERROR(INDEX(INSUMOS!$H$6:$H$205,MATCH($D205,INSUMOS!$A$6:$A$205,0)),IVA_VENTAS))</f>
        <v/>
      </c>
      <c r="L205" s="35" t="str">
        <f aca="false">IF($D205="","",N($J205)*$K205)</f>
        <v/>
      </c>
      <c r="M205" s="35" t="str">
        <f aca="false">IF($D205="","",N($J205)+$L205)</f>
        <v/>
      </c>
      <c r="N205" s="43" t="str">
        <f aca="false">IF($D205="","",IFERROR(N($J205)/$I205,0))</f>
        <v/>
      </c>
      <c r="O205" s="6"/>
      <c r="P205" s="6"/>
      <c r="Q205" s="46" t="str">
        <f aca="false">IF($A205="","",DATE(YEAR($A205),MONTH($A205),1))</f>
        <v/>
      </c>
      <c r="R205" s="8" t="str">
        <f aca="false">IF(OR($A205="",$D205=""),"",IF(COUNTIFS($D$6:$D$1005,$D205,$A$6:$A$1005,"&gt;"&amp;$A205)=0,1,0))</f>
        <v/>
      </c>
    </row>
    <row r="206" customFormat="false" ht="15" hidden="false" customHeight="false" outlineLevel="0" collapsed="false">
      <c r="A206" s="44"/>
      <c r="B206" s="6"/>
      <c r="C206" s="6"/>
      <c r="D206" s="6"/>
      <c r="E206" s="8" t="str">
        <f aca="false">IF($D206="","",IFERROR(INDEX(INSUMOS!$B$6:$B$205,MATCH($D206,INSUMOS!$A$6:$A$205,0)),"¿Código?"))</f>
        <v/>
      </c>
      <c r="F206" s="8" t="str">
        <f aca="false">IF($D206="","",IFERROR(INDEX(INSUMOS!$E$6:$E$205,MATCH($D206,INSUMOS!$A$6:$A$205,0)),""))</f>
        <v/>
      </c>
      <c r="G206" s="39"/>
      <c r="H206" s="45" t="str">
        <f aca="false">IF($D206="","",IFERROR(INDEX(INSUMOS!$F$6:$F$205,MATCH($D206,INSUMOS!$A$6:$A$205,0)),0))</f>
        <v/>
      </c>
      <c r="I206" s="34" t="str">
        <f aca="false">IF($D206="","",N($G206)*$H206)</f>
        <v/>
      </c>
      <c r="J206" s="40"/>
      <c r="K206" s="36" t="str">
        <f aca="false">IF($D206="","",IFERROR(INDEX(INSUMOS!$H$6:$H$205,MATCH($D206,INSUMOS!$A$6:$A$205,0)),IVA_VENTAS))</f>
        <v/>
      </c>
      <c r="L206" s="35" t="str">
        <f aca="false">IF($D206="","",N($J206)*$K206)</f>
        <v/>
      </c>
      <c r="M206" s="35" t="str">
        <f aca="false">IF($D206="","",N($J206)+$L206)</f>
        <v/>
      </c>
      <c r="N206" s="43" t="str">
        <f aca="false">IF($D206="","",IFERROR(N($J206)/$I206,0))</f>
        <v/>
      </c>
      <c r="O206" s="6"/>
      <c r="P206" s="6"/>
      <c r="Q206" s="46" t="str">
        <f aca="false">IF($A206="","",DATE(YEAR($A206),MONTH($A206),1))</f>
        <v/>
      </c>
      <c r="R206" s="8" t="str">
        <f aca="false">IF(OR($A206="",$D206=""),"",IF(COUNTIFS($D$6:$D$1005,$D206,$A$6:$A$1005,"&gt;"&amp;$A206)=0,1,0))</f>
        <v/>
      </c>
    </row>
    <row r="207" customFormat="false" ht="15" hidden="false" customHeight="false" outlineLevel="0" collapsed="false">
      <c r="A207" s="44"/>
      <c r="B207" s="6"/>
      <c r="C207" s="6"/>
      <c r="D207" s="6"/>
      <c r="E207" s="8" t="str">
        <f aca="false">IF($D207="","",IFERROR(INDEX(INSUMOS!$B$6:$B$205,MATCH($D207,INSUMOS!$A$6:$A$205,0)),"¿Código?"))</f>
        <v/>
      </c>
      <c r="F207" s="8" t="str">
        <f aca="false">IF($D207="","",IFERROR(INDEX(INSUMOS!$E$6:$E$205,MATCH($D207,INSUMOS!$A$6:$A$205,0)),""))</f>
        <v/>
      </c>
      <c r="G207" s="39"/>
      <c r="H207" s="45" t="str">
        <f aca="false">IF($D207="","",IFERROR(INDEX(INSUMOS!$F$6:$F$205,MATCH($D207,INSUMOS!$A$6:$A$205,0)),0))</f>
        <v/>
      </c>
      <c r="I207" s="34" t="str">
        <f aca="false">IF($D207="","",N($G207)*$H207)</f>
        <v/>
      </c>
      <c r="J207" s="40"/>
      <c r="K207" s="36" t="str">
        <f aca="false">IF($D207="","",IFERROR(INDEX(INSUMOS!$H$6:$H$205,MATCH($D207,INSUMOS!$A$6:$A$205,0)),IVA_VENTAS))</f>
        <v/>
      </c>
      <c r="L207" s="35" t="str">
        <f aca="false">IF($D207="","",N($J207)*$K207)</f>
        <v/>
      </c>
      <c r="M207" s="35" t="str">
        <f aca="false">IF($D207="","",N($J207)+$L207)</f>
        <v/>
      </c>
      <c r="N207" s="43" t="str">
        <f aca="false">IF($D207="","",IFERROR(N($J207)/$I207,0))</f>
        <v/>
      </c>
      <c r="O207" s="6"/>
      <c r="P207" s="6"/>
      <c r="Q207" s="46" t="str">
        <f aca="false">IF($A207="","",DATE(YEAR($A207),MONTH($A207),1))</f>
        <v/>
      </c>
      <c r="R207" s="8" t="str">
        <f aca="false">IF(OR($A207="",$D207=""),"",IF(COUNTIFS($D$6:$D$1005,$D207,$A$6:$A$1005,"&gt;"&amp;$A207)=0,1,0))</f>
        <v/>
      </c>
    </row>
    <row r="208" customFormat="false" ht="15" hidden="false" customHeight="false" outlineLevel="0" collapsed="false">
      <c r="A208" s="44"/>
      <c r="B208" s="6"/>
      <c r="C208" s="6"/>
      <c r="D208" s="6"/>
      <c r="E208" s="8" t="str">
        <f aca="false">IF($D208="","",IFERROR(INDEX(INSUMOS!$B$6:$B$205,MATCH($D208,INSUMOS!$A$6:$A$205,0)),"¿Código?"))</f>
        <v/>
      </c>
      <c r="F208" s="8" t="str">
        <f aca="false">IF($D208="","",IFERROR(INDEX(INSUMOS!$E$6:$E$205,MATCH($D208,INSUMOS!$A$6:$A$205,0)),""))</f>
        <v/>
      </c>
      <c r="G208" s="39"/>
      <c r="H208" s="45" t="str">
        <f aca="false">IF($D208="","",IFERROR(INDEX(INSUMOS!$F$6:$F$205,MATCH($D208,INSUMOS!$A$6:$A$205,0)),0))</f>
        <v/>
      </c>
      <c r="I208" s="34" t="str">
        <f aca="false">IF($D208="","",N($G208)*$H208)</f>
        <v/>
      </c>
      <c r="J208" s="40"/>
      <c r="K208" s="36" t="str">
        <f aca="false">IF($D208="","",IFERROR(INDEX(INSUMOS!$H$6:$H$205,MATCH($D208,INSUMOS!$A$6:$A$205,0)),IVA_VENTAS))</f>
        <v/>
      </c>
      <c r="L208" s="35" t="str">
        <f aca="false">IF($D208="","",N($J208)*$K208)</f>
        <v/>
      </c>
      <c r="M208" s="35" t="str">
        <f aca="false">IF($D208="","",N($J208)+$L208)</f>
        <v/>
      </c>
      <c r="N208" s="43" t="str">
        <f aca="false">IF($D208="","",IFERROR(N($J208)/$I208,0))</f>
        <v/>
      </c>
      <c r="O208" s="6"/>
      <c r="P208" s="6"/>
      <c r="Q208" s="46" t="str">
        <f aca="false">IF($A208="","",DATE(YEAR($A208),MONTH($A208),1))</f>
        <v/>
      </c>
      <c r="R208" s="8" t="str">
        <f aca="false">IF(OR($A208="",$D208=""),"",IF(COUNTIFS($D$6:$D$1005,$D208,$A$6:$A$1005,"&gt;"&amp;$A208)=0,1,0))</f>
        <v/>
      </c>
    </row>
    <row r="209" customFormat="false" ht="15" hidden="false" customHeight="false" outlineLevel="0" collapsed="false">
      <c r="A209" s="44"/>
      <c r="B209" s="6"/>
      <c r="C209" s="6"/>
      <c r="D209" s="6"/>
      <c r="E209" s="8" t="str">
        <f aca="false">IF($D209="","",IFERROR(INDEX(INSUMOS!$B$6:$B$205,MATCH($D209,INSUMOS!$A$6:$A$205,0)),"¿Código?"))</f>
        <v/>
      </c>
      <c r="F209" s="8" t="str">
        <f aca="false">IF($D209="","",IFERROR(INDEX(INSUMOS!$E$6:$E$205,MATCH($D209,INSUMOS!$A$6:$A$205,0)),""))</f>
        <v/>
      </c>
      <c r="G209" s="39"/>
      <c r="H209" s="45" t="str">
        <f aca="false">IF($D209="","",IFERROR(INDEX(INSUMOS!$F$6:$F$205,MATCH($D209,INSUMOS!$A$6:$A$205,0)),0))</f>
        <v/>
      </c>
      <c r="I209" s="34" t="str">
        <f aca="false">IF($D209="","",N($G209)*$H209)</f>
        <v/>
      </c>
      <c r="J209" s="40"/>
      <c r="K209" s="36" t="str">
        <f aca="false">IF($D209="","",IFERROR(INDEX(INSUMOS!$H$6:$H$205,MATCH($D209,INSUMOS!$A$6:$A$205,0)),IVA_VENTAS))</f>
        <v/>
      </c>
      <c r="L209" s="35" t="str">
        <f aca="false">IF($D209="","",N($J209)*$K209)</f>
        <v/>
      </c>
      <c r="M209" s="35" t="str">
        <f aca="false">IF($D209="","",N($J209)+$L209)</f>
        <v/>
      </c>
      <c r="N209" s="43" t="str">
        <f aca="false">IF($D209="","",IFERROR(N($J209)/$I209,0))</f>
        <v/>
      </c>
      <c r="O209" s="6"/>
      <c r="P209" s="6"/>
      <c r="Q209" s="46" t="str">
        <f aca="false">IF($A209="","",DATE(YEAR($A209),MONTH($A209),1))</f>
        <v/>
      </c>
      <c r="R209" s="8" t="str">
        <f aca="false">IF(OR($A209="",$D209=""),"",IF(COUNTIFS($D$6:$D$1005,$D209,$A$6:$A$1005,"&gt;"&amp;$A209)=0,1,0))</f>
        <v/>
      </c>
    </row>
    <row r="210" customFormat="false" ht="15" hidden="false" customHeight="false" outlineLevel="0" collapsed="false">
      <c r="A210" s="44"/>
      <c r="B210" s="6"/>
      <c r="C210" s="6"/>
      <c r="D210" s="6"/>
      <c r="E210" s="8" t="str">
        <f aca="false">IF($D210="","",IFERROR(INDEX(INSUMOS!$B$6:$B$205,MATCH($D210,INSUMOS!$A$6:$A$205,0)),"¿Código?"))</f>
        <v/>
      </c>
      <c r="F210" s="8" t="str">
        <f aca="false">IF($D210="","",IFERROR(INDEX(INSUMOS!$E$6:$E$205,MATCH($D210,INSUMOS!$A$6:$A$205,0)),""))</f>
        <v/>
      </c>
      <c r="G210" s="39"/>
      <c r="H210" s="45" t="str">
        <f aca="false">IF($D210="","",IFERROR(INDEX(INSUMOS!$F$6:$F$205,MATCH($D210,INSUMOS!$A$6:$A$205,0)),0))</f>
        <v/>
      </c>
      <c r="I210" s="34" t="str">
        <f aca="false">IF($D210="","",N($G210)*$H210)</f>
        <v/>
      </c>
      <c r="J210" s="40"/>
      <c r="K210" s="36" t="str">
        <f aca="false">IF($D210="","",IFERROR(INDEX(INSUMOS!$H$6:$H$205,MATCH($D210,INSUMOS!$A$6:$A$205,0)),IVA_VENTAS))</f>
        <v/>
      </c>
      <c r="L210" s="35" t="str">
        <f aca="false">IF($D210="","",N($J210)*$K210)</f>
        <v/>
      </c>
      <c r="M210" s="35" t="str">
        <f aca="false">IF($D210="","",N($J210)+$L210)</f>
        <v/>
      </c>
      <c r="N210" s="43" t="str">
        <f aca="false">IF($D210="","",IFERROR(N($J210)/$I210,0))</f>
        <v/>
      </c>
      <c r="O210" s="6"/>
      <c r="P210" s="6"/>
      <c r="Q210" s="46" t="str">
        <f aca="false">IF($A210="","",DATE(YEAR($A210),MONTH($A210),1))</f>
        <v/>
      </c>
      <c r="R210" s="8" t="str">
        <f aca="false">IF(OR($A210="",$D210=""),"",IF(COUNTIFS($D$6:$D$1005,$D210,$A$6:$A$1005,"&gt;"&amp;$A210)=0,1,0))</f>
        <v/>
      </c>
    </row>
    <row r="211" customFormat="false" ht="15" hidden="false" customHeight="false" outlineLevel="0" collapsed="false">
      <c r="A211" s="44"/>
      <c r="B211" s="6"/>
      <c r="C211" s="6"/>
      <c r="D211" s="6"/>
      <c r="E211" s="8" t="str">
        <f aca="false">IF($D211="","",IFERROR(INDEX(INSUMOS!$B$6:$B$205,MATCH($D211,INSUMOS!$A$6:$A$205,0)),"¿Código?"))</f>
        <v/>
      </c>
      <c r="F211" s="8" t="str">
        <f aca="false">IF($D211="","",IFERROR(INDEX(INSUMOS!$E$6:$E$205,MATCH($D211,INSUMOS!$A$6:$A$205,0)),""))</f>
        <v/>
      </c>
      <c r="G211" s="39"/>
      <c r="H211" s="45" t="str">
        <f aca="false">IF($D211="","",IFERROR(INDEX(INSUMOS!$F$6:$F$205,MATCH($D211,INSUMOS!$A$6:$A$205,0)),0))</f>
        <v/>
      </c>
      <c r="I211" s="34" t="str">
        <f aca="false">IF($D211="","",N($G211)*$H211)</f>
        <v/>
      </c>
      <c r="J211" s="40"/>
      <c r="K211" s="36" t="str">
        <f aca="false">IF($D211="","",IFERROR(INDEX(INSUMOS!$H$6:$H$205,MATCH($D211,INSUMOS!$A$6:$A$205,0)),IVA_VENTAS))</f>
        <v/>
      </c>
      <c r="L211" s="35" t="str">
        <f aca="false">IF($D211="","",N($J211)*$K211)</f>
        <v/>
      </c>
      <c r="M211" s="35" t="str">
        <f aca="false">IF($D211="","",N($J211)+$L211)</f>
        <v/>
      </c>
      <c r="N211" s="43" t="str">
        <f aca="false">IF($D211="","",IFERROR(N($J211)/$I211,0))</f>
        <v/>
      </c>
      <c r="O211" s="6"/>
      <c r="P211" s="6"/>
      <c r="Q211" s="46" t="str">
        <f aca="false">IF($A211="","",DATE(YEAR($A211),MONTH($A211),1))</f>
        <v/>
      </c>
      <c r="R211" s="8" t="str">
        <f aca="false">IF(OR($A211="",$D211=""),"",IF(COUNTIFS($D$6:$D$1005,$D211,$A$6:$A$1005,"&gt;"&amp;$A211)=0,1,0))</f>
        <v/>
      </c>
    </row>
    <row r="212" customFormat="false" ht="15" hidden="false" customHeight="false" outlineLevel="0" collapsed="false">
      <c r="A212" s="44"/>
      <c r="B212" s="6"/>
      <c r="C212" s="6"/>
      <c r="D212" s="6"/>
      <c r="E212" s="8" t="str">
        <f aca="false">IF($D212="","",IFERROR(INDEX(INSUMOS!$B$6:$B$205,MATCH($D212,INSUMOS!$A$6:$A$205,0)),"¿Código?"))</f>
        <v/>
      </c>
      <c r="F212" s="8" t="str">
        <f aca="false">IF($D212="","",IFERROR(INDEX(INSUMOS!$E$6:$E$205,MATCH($D212,INSUMOS!$A$6:$A$205,0)),""))</f>
        <v/>
      </c>
      <c r="G212" s="39"/>
      <c r="H212" s="45" t="str">
        <f aca="false">IF($D212="","",IFERROR(INDEX(INSUMOS!$F$6:$F$205,MATCH($D212,INSUMOS!$A$6:$A$205,0)),0))</f>
        <v/>
      </c>
      <c r="I212" s="34" t="str">
        <f aca="false">IF($D212="","",N($G212)*$H212)</f>
        <v/>
      </c>
      <c r="J212" s="40"/>
      <c r="K212" s="36" t="str">
        <f aca="false">IF($D212="","",IFERROR(INDEX(INSUMOS!$H$6:$H$205,MATCH($D212,INSUMOS!$A$6:$A$205,0)),IVA_VENTAS))</f>
        <v/>
      </c>
      <c r="L212" s="35" t="str">
        <f aca="false">IF($D212="","",N($J212)*$K212)</f>
        <v/>
      </c>
      <c r="M212" s="35" t="str">
        <f aca="false">IF($D212="","",N($J212)+$L212)</f>
        <v/>
      </c>
      <c r="N212" s="43" t="str">
        <f aca="false">IF($D212="","",IFERROR(N($J212)/$I212,0))</f>
        <v/>
      </c>
      <c r="O212" s="6"/>
      <c r="P212" s="6"/>
      <c r="Q212" s="46" t="str">
        <f aca="false">IF($A212="","",DATE(YEAR($A212),MONTH($A212),1))</f>
        <v/>
      </c>
      <c r="R212" s="8" t="str">
        <f aca="false">IF(OR($A212="",$D212=""),"",IF(COUNTIFS($D$6:$D$1005,$D212,$A$6:$A$1005,"&gt;"&amp;$A212)=0,1,0))</f>
        <v/>
      </c>
    </row>
    <row r="213" customFormat="false" ht="15" hidden="false" customHeight="false" outlineLevel="0" collapsed="false">
      <c r="A213" s="44"/>
      <c r="B213" s="6"/>
      <c r="C213" s="6"/>
      <c r="D213" s="6"/>
      <c r="E213" s="8" t="str">
        <f aca="false">IF($D213="","",IFERROR(INDEX(INSUMOS!$B$6:$B$205,MATCH($D213,INSUMOS!$A$6:$A$205,0)),"¿Código?"))</f>
        <v/>
      </c>
      <c r="F213" s="8" t="str">
        <f aca="false">IF($D213="","",IFERROR(INDEX(INSUMOS!$E$6:$E$205,MATCH($D213,INSUMOS!$A$6:$A$205,0)),""))</f>
        <v/>
      </c>
      <c r="G213" s="39"/>
      <c r="H213" s="45" t="str">
        <f aca="false">IF($D213="","",IFERROR(INDEX(INSUMOS!$F$6:$F$205,MATCH($D213,INSUMOS!$A$6:$A$205,0)),0))</f>
        <v/>
      </c>
      <c r="I213" s="34" t="str">
        <f aca="false">IF($D213="","",N($G213)*$H213)</f>
        <v/>
      </c>
      <c r="J213" s="40"/>
      <c r="K213" s="36" t="str">
        <f aca="false">IF($D213="","",IFERROR(INDEX(INSUMOS!$H$6:$H$205,MATCH($D213,INSUMOS!$A$6:$A$205,0)),IVA_VENTAS))</f>
        <v/>
      </c>
      <c r="L213" s="35" t="str">
        <f aca="false">IF($D213="","",N($J213)*$K213)</f>
        <v/>
      </c>
      <c r="M213" s="35" t="str">
        <f aca="false">IF($D213="","",N($J213)+$L213)</f>
        <v/>
      </c>
      <c r="N213" s="43" t="str">
        <f aca="false">IF($D213="","",IFERROR(N($J213)/$I213,0))</f>
        <v/>
      </c>
      <c r="O213" s="6"/>
      <c r="P213" s="6"/>
      <c r="Q213" s="46" t="str">
        <f aca="false">IF($A213="","",DATE(YEAR($A213),MONTH($A213),1))</f>
        <v/>
      </c>
      <c r="R213" s="8" t="str">
        <f aca="false">IF(OR($A213="",$D213=""),"",IF(COUNTIFS($D$6:$D$1005,$D213,$A$6:$A$1005,"&gt;"&amp;$A213)=0,1,0))</f>
        <v/>
      </c>
    </row>
    <row r="214" customFormat="false" ht="15" hidden="false" customHeight="false" outlineLevel="0" collapsed="false">
      <c r="A214" s="44"/>
      <c r="B214" s="6"/>
      <c r="C214" s="6"/>
      <c r="D214" s="6"/>
      <c r="E214" s="8" t="str">
        <f aca="false">IF($D214="","",IFERROR(INDEX(INSUMOS!$B$6:$B$205,MATCH($D214,INSUMOS!$A$6:$A$205,0)),"¿Código?"))</f>
        <v/>
      </c>
      <c r="F214" s="8" t="str">
        <f aca="false">IF($D214="","",IFERROR(INDEX(INSUMOS!$E$6:$E$205,MATCH($D214,INSUMOS!$A$6:$A$205,0)),""))</f>
        <v/>
      </c>
      <c r="G214" s="39"/>
      <c r="H214" s="45" t="str">
        <f aca="false">IF($D214="","",IFERROR(INDEX(INSUMOS!$F$6:$F$205,MATCH($D214,INSUMOS!$A$6:$A$205,0)),0))</f>
        <v/>
      </c>
      <c r="I214" s="34" t="str">
        <f aca="false">IF($D214="","",N($G214)*$H214)</f>
        <v/>
      </c>
      <c r="J214" s="40"/>
      <c r="K214" s="36" t="str">
        <f aca="false">IF($D214="","",IFERROR(INDEX(INSUMOS!$H$6:$H$205,MATCH($D214,INSUMOS!$A$6:$A$205,0)),IVA_VENTAS))</f>
        <v/>
      </c>
      <c r="L214" s="35" t="str">
        <f aca="false">IF($D214="","",N($J214)*$K214)</f>
        <v/>
      </c>
      <c r="M214" s="35" t="str">
        <f aca="false">IF($D214="","",N($J214)+$L214)</f>
        <v/>
      </c>
      <c r="N214" s="43" t="str">
        <f aca="false">IF($D214="","",IFERROR(N($J214)/$I214,0))</f>
        <v/>
      </c>
      <c r="O214" s="6"/>
      <c r="P214" s="6"/>
      <c r="Q214" s="46" t="str">
        <f aca="false">IF($A214="","",DATE(YEAR($A214),MONTH($A214),1))</f>
        <v/>
      </c>
      <c r="R214" s="8" t="str">
        <f aca="false">IF(OR($A214="",$D214=""),"",IF(COUNTIFS($D$6:$D$1005,$D214,$A$6:$A$1005,"&gt;"&amp;$A214)=0,1,0))</f>
        <v/>
      </c>
    </row>
    <row r="215" customFormat="false" ht="15" hidden="false" customHeight="false" outlineLevel="0" collapsed="false">
      <c r="A215" s="44"/>
      <c r="B215" s="6"/>
      <c r="C215" s="6"/>
      <c r="D215" s="6"/>
      <c r="E215" s="8" t="str">
        <f aca="false">IF($D215="","",IFERROR(INDEX(INSUMOS!$B$6:$B$205,MATCH($D215,INSUMOS!$A$6:$A$205,0)),"¿Código?"))</f>
        <v/>
      </c>
      <c r="F215" s="8" t="str">
        <f aca="false">IF($D215="","",IFERROR(INDEX(INSUMOS!$E$6:$E$205,MATCH($D215,INSUMOS!$A$6:$A$205,0)),""))</f>
        <v/>
      </c>
      <c r="G215" s="39"/>
      <c r="H215" s="45" t="str">
        <f aca="false">IF($D215="","",IFERROR(INDEX(INSUMOS!$F$6:$F$205,MATCH($D215,INSUMOS!$A$6:$A$205,0)),0))</f>
        <v/>
      </c>
      <c r="I215" s="34" t="str">
        <f aca="false">IF($D215="","",N($G215)*$H215)</f>
        <v/>
      </c>
      <c r="J215" s="40"/>
      <c r="K215" s="36" t="str">
        <f aca="false">IF($D215="","",IFERROR(INDEX(INSUMOS!$H$6:$H$205,MATCH($D215,INSUMOS!$A$6:$A$205,0)),IVA_VENTAS))</f>
        <v/>
      </c>
      <c r="L215" s="35" t="str">
        <f aca="false">IF($D215="","",N($J215)*$K215)</f>
        <v/>
      </c>
      <c r="M215" s="35" t="str">
        <f aca="false">IF($D215="","",N($J215)+$L215)</f>
        <v/>
      </c>
      <c r="N215" s="43" t="str">
        <f aca="false">IF($D215="","",IFERROR(N($J215)/$I215,0))</f>
        <v/>
      </c>
      <c r="O215" s="6"/>
      <c r="P215" s="6"/>
      <c r="Q215" s="46" t="str">
        <f aca="false">IF($A215="","",DATE(YEAR($A215),MONTH($A215),1))</f>
        <v/>
      </c>
      <c r="R215" s="8" t="str">
        <f aca="false">IF(OR($A215="",$D215=""),"",IF(COUNTIFS($D$6:$D$1005,$D215,$A$6:$A$1005,"&gt;"&amp;$A215)=0,1,0))</f>
        <v/>
      </c>
    </row>
    <row r="216" customFormat="false" ht="15" hidden="false" customHeight="false" outlineLevel="0" collapsed="false">
      <c r="A216" s="44"/>
      <c r="B216" s="6"/>
      <c r="C216" s="6"/>
      <c r="D216" s="6"/>
      <c r="E216" s="8" t="str">
        <f aca="false">IF($D216="","",IFERROR(INDEX(INSUMOS!$B$6:$B$205,MATCH($D216,INSUMOS!$A$6:$A$205,0)),"¿Código?"))</f>
        <v/>
      </c>
      <c r="F216" s="8" t="str">
        <f aca="false">IF($D216="","",IFERROR(INDEX(INSUMOS!$E$6:$E$205,MATCH($D216,INSUMOS!$A$6:$A$205,0)),""))</f>
        <v/>
      </c>
      <c r="G216" s="39"/>
      <c r="H216" s="45" t="str">
        <f aca="false">IF($D216="","",IFERROR(INDEX(INSUMOS!$F$6:$F$205,MATCH($D216,INSUMOS!$A$6:$A$205,0)),0))</f>
        <v/>
      </c>
      <c r="I216" s="34" t="str">
        <f aca="false">IF($D216="","",N($G216)*$H216)</f>
        <v/>
      </c>
      <c r="J216" s="40"/>
      <c r="K216" s="36" t="str">
        <f aca="false">IF($D216="","",IFERROR(INDEX(INSUMOS!$H$6:$H$205,MATCH($D216,INSUMOS!$A$6:$A$205,0)),IVA_VENTAS))</f>
        <v/>
      </c>
      <c r="L216" s="35" t="str">
        <f aca="false">IF($D216="","",N($J216)*$K216)</f>
        <v/>
      </c>
      <c r="M216" s="35" t="str">
        <f aca="false">IF($D216="","",N($J216)+$L216)</f>
        <v/>
      </c>
      <c r="N216" s="43" t="str">
        <f aca="false">IF($D216="","",IFERROR(N($J216)/$I216,0))</f>
        <v/>
      </c>
      <c r="O216" s="6"/>
      <c r="P216" s="6"/>
      <c r="Q216" s="46" t="str">
        <f aca="false">IF($A216="","",DATE(YEAR($A216),MONTH($A216),1))</f>
        <v/>
      </c>
      <c r="R216" s="8" t="str">
        <f aca="false">IF(OR($A216="",$D216=""),"",IF(COUNTIFS($D$6:$D$1005,$D216,$A$6:$A$1005,"&gt;"&amp;$A216)=0,1,0))</f>
        <v/>
      </c>
    </row>
    <row r="217" customFormat="false" ht="15" hidden="false" customHeight="false" outlineLevel="0" collapsed="false">
      <c r="A217" s="44"/>
      <c r="B217" s="6"/>
      <c r="C217" s="6"/>
      <c r="D217" s="6"/>
      <c r="E217" s="8" t="str">
        <f aca="false">IF($D217="","",IFERROR(INDEX(INSUMOS!$B$6:$B$205,MATCH($D217,INSUMOS!$A$6:$A$205,0)),"¿Código?"))</f>
        <v/>
      </c>
      <c r="F217" s="8" t="str">
        <f aca="false">IF($D217="","",IFERROR(INDEX(INSUMOS!$E$6:$E$205,MATCH($D217,INSUMOS!$A$6:$A$205,0)),""))</f>
        <v/>
      </c>
      <c r="G217" s="39"/>
      <c r="H217" s="45" t="str">
        <f aca="false">IF($D217="","",IFERROR(INDEX(INSUMOS!$F$6:$F$205,MATCH($D217,INSUMOS!$A$6:$A$205,0)),0))</f>
        <v/>
      </c>
      <c r="I217" s="34" t="str">
        <f aca="false">IF($D217="","",N($G217)*$H217)</f>
        <v/>
      </c>
      <c r="J217" s="40"/>
      <c r="K217" s="36" t="str">
        <f aca="false">IF($D217="","",IFERROR(INDEX(INSUMOS!$H$6:$H$205,MATCH($D217,INSUMOS!$A$6:$A$205,0)),IVA_VENTAS))</f>
        <v/>
      </c>
      <c r="L217" s="35" t="str">
        <f aca="false">IF($D217="","",N($J217)*$K217)</f>
        <v/>
      </c>
      <c r="M217" s="35" t="str">
        <f aca="false">IF($D217="","",N($J217)+$L217)</f>
        <v/>
      </c>
      <c r="N217" s="43" t="str">
        <f aca="false">IF($D217="","",IFERROR(N($J217)/$I217,0))</f>
        <v/>
      </c>
      <c r="O217" s="6"/>
      <c r="P217" s="6"/>
      <c r="Q217" s="46" t="str">
        <f aca="false">IF($A217="","",DATE(YEAR($A217),MONTH($A217),1))</f>
        <v/>
      </c>
      <c r="R217" s="8" t="str">
        <f aca="false">IF(OR($A217="",$D217=""),"",IF(COUNTIFS($D$6:$D$1005,$D217,$A$6:$A$1005,"&gt;"&amp;$A217)=0,1,0))</f>
        <v/>
      </c>
    </row>
    <row r="218" customFormat="false" ht="15" hidden="false" customHeight="false" outlineLevel="0" collapsed="false">
      <c r="A218" s="44"/>
      <c r="B218" s="6"/>
      <c r="C218" s="6"/>
      <c r="D218" s="6"/>
      <c r="E218" s="8" t="str">
        <f aca="false">IF($D218="","",IFERROR(INDEX(INSUMOS!$B$6:$B$205,MATCH($D218,INSUMOS!$A$6:$A$205,0)),"¿Código?"))</f>
        <v/>
      </c>
      <c r="F218" s="8" t="str">
        <f aca="false">IF($D218="","",IFERROR(INDEX(INSUMOS!$E$6:$E$205,MATCH($D218,INSUMOS!$A$6:$A$205,0)),""))</f>
        <v/>
      </c>
      <c r="G218" s="39"/>
      <c r="H218" s="45" t="str">
        <f aca="false">IF($D218="","",IFERROR(INDEX(INSUMOS!$F$6:$F$205,MATCH($D218,INSUMOS!$A$6:$A$205,0)),0))</f>
        <v/>
      </c>
      <c r="I218" s="34" t="str">
        <f aca="false">IF($D218="","",N($G218)*$H218)</f>
        <v/>
      </c>
      <c r="J218" s="40"/>
      <c r="K218" s="36" t="str">
        <f aca="false">IF($D218="","",IFERROR(INDEX(INSUMOS!$H$6:$H$205,MATCH($D218,INSUMOS!$A$6:$A$205,0)),IVA_VENTAS))</f>
        <v/>
      </c>
      <c r="L218" s="35" t="str">
        <f aca="false">IF($D218="","",N($J218)*$K218)</f>
        <v/>
      </c>
      <c r="M218" s="35" t="str">
        <f aca="false">IF($D218="","",N($J218)+$L218)</f>
        <v/>
      </c>
      <c r="N218" s="43" t="str">
        <f aca="false">IF($D218="","",IFERROR(N($J218)/$I218,0))</f>
        <v/>
      </c>
      <c r="O218" s="6"/>
      <c r="P218" s="6"/>
      <c r="Q218" s="46" t="str">
        <f aca="false">IF($A218="","",DATE(YEAR($A218),MONTH($A218),1))</f>
        <v/>
      </c>
      <c r="R218" s="8" t="str">
        <f aca="false">IF(OR($A218="",$D218=""),"",IF(COUNTIFS($D$6:$D$1005,$D218,$A$6:$A$1005,"&gt;"&amp;$A218)=0,1,0))</f>
        <v/>
      </c>
    </row>
    <row r="219" customFormat="false" ht="15" hidden="false" customHeight="false" outlineLevel="0" collapsed="false">
      <c r="A219" s="44"/>
      <c r="B219" s="6"/>
      <c r="C219" s="6"/>
      <c r="D219" s="6"/>
      <c r="E219" s="8" t="str">
        <f aca="false">IF($D219="","",IFERROR(INDEX(INSUMOS!$B$6:$B$205,MATCH($D219,INSUMOS!$A$6:$A$205,0)),"¿Código?"))</f>
        <v/>
      </c>
      <c r="F219" s="8" t="str">
        <f aca="false">IF($D219="","",IFERROR(INDEX(INSUMOS!$E$6:$E$205,MATCH($D219,INSUMOS!$A$6:$A$205,0)),""))</f>
        <v/>
      </c>
      <c r="G219" s="39"/>
      <c r="H219" s="45" t="str">
        <f aca="false">IF($D219="","",IFERROR(INDEX(INSUMOS!$F$6:$F$205,MATCH($D219,INSUMOS!$A$6:$A$205,0)),0))</f>
        <v/>
      </c>
      <c r="I219" s="34" t="str">
        <f aca="false">IF($D219="","",N($G219)*$H219)</f>
        <v/>
      </c>
      <c r="J219" s="40"/>
      <c r="K219" s="36" t="str">
        <f aca="false">IF($D219="","",IFERROR(INDEX(INSUMOS!$H$6:$H$205,MATCH($D219,INSUMOS!$A$6:$A$205,0)),IVA_VENTAS))</f>
        <v/>
      </c>
      <c r="L219" s="35" t="str">
        <f aca="false">IF($D219="","",N($J219)*$K219)</f>
        <v/>
      </c>
      <c r="M219" s="35" t="str">
        <f aca="false">IF($D219="","",N($J219)+$L219)</f>
        <v/>
      </c>
      <c r="N219" s="43" t="str">
        <f aca="false">IF($D219="","",IFERROR(N($J219)/$I219,0))</f>
        <v/>
      </c>
      <c r="O219" s="6"/>
      <c r="P219" s="6"/>
      <c r="Q219" s="46" t="str">
        <f aca="false">IF($A219="","",DATE(YEAR($A219),MONTH($A219),1))</f>
        <v/>
      </c>
      <c r="R219" s="8" t="str">
        <f aca="false">IF(OR($A219="",$D219=""),"",IF(COUNTIFS($D$6:$D$1005,$D219,$A$6:$A$1005,"&gt;"&amp;$A219)=0,1,0))</f>
        <v/>
      </c>
    </row>
    <row r="220" customFormat="false" ht="15" hidden="false" customHeight="false" outlineLevel="0" collapsed="false">
      <c r="A220" s="44"/>
      <c r="B220" s="6"/>
      <c r="C220" s="6"/>
      <c r="D220" s="6"/>
      <c r="E220" s="8" t="str">
        <f aca="false">IF($D220="","",IFERROR(INDEX(INSUMOS!$B$6:$B$205,MATCH($D220,INSUMOS!$A$6:$A$205,0)),"¿Código?"))</f>
        <v/>
      </c>
      <c r="F220" s="8" t="str">
        <f aca="false">IF($D220="","",IFERROR(INDEX(INSUMOS!$E$6:$E$205,MATCH($D220,INSUMOS!$A$6:$A$205,0)),""))</f>
        <v/>
      </c>
      <c r="G220" s="39"/>
      <c r="H220" s="45" t="str">
        <f aca="false">IF($D220="","",IFERROR(INDEX(INSUMOS!$F$6:$F$205,MATCH($D220,INSUMOS!$A$6:$A$205,0)),0))</f>
        <v/>
      </c>
      <c r="I220" s="34" t="str">
        <f aca="false">IF($D220="","",N($G220)*$H220)</f>
        <v/>
      </c>
      <c r="J220" s="40"/>
      <c r="K220" s="36" t="str">
        <f aca="false">IF($D220="","",IFERROR(INDEX(INSUMOS!$H$6:$H$205,MATCH($D220,INSUMOS!$A$6:$A$205,0)),IVA_VENTAS))</f>
        <v/>
      </c>
      <c r="L220" s="35" t="str">
        <f aca="false">IF($D220="","",N($J220)*$K220)</f>
        <v/>
      </c>
      <c r="M220" s="35" t="str">
        <f aca="false">IF($D220="","",N($J220)+$L220)</f>
        <v/>
      </c>
      <c r="N220" s="43" t="str">
        <f aca="false">IF($D220="","",IFERROR(N($J220)/$I220,0))</f>
        <v/>
      </c>
      <c r="O220" s="6"/>
      <c r="P220" s="6"/>
      <c r="Q220" s="46" t="str">
        <f aca="false">IF($A220="","",DATE(YEAR($A220),MONTH($A220),1))</f>
        <v/>
      </c>
      <c r="R220" s="8" t="str">
        <f aca="false">IF(OR($A220="",$D220=""),"",IF(COUNTIFS($D$6:$D$1005,$D220,$A$6:$A$1005,"&gt;"&amp;$A220)=0,1,0))</f>
        <v/>
      </c>
    </row>
    <row r="221" customFormat="false" ht="15" hidden="false" customHeight="false" outlineLevel="0" collapsed="false">
      <c r="A221" s="44"/>
      <c r="B221" s="6"/>
      <c r="C221" s="6"/>
      <c r="D221" s="6"/>
      <c r="E221" s="8" t="str">
        <f aca="false">IF($D221="","",IFERROR(INDEX(INSUMOS!$B$6:$B$205,MATCH($D221,INSUMOS!$A$6:$A$205,0)),"¿Código?"))</f>
        <v/>
      </c>
      <c r="F221" s="8" t="str">
        <f aca="false">IF($D221="","",IFERROR(INDEX(INSUMOS!$E$6:$E$205,MATCH($D221,INSUMOS!$A$6:$A$205,0)),""))</f>
        <v/>
      </c>
      <c r="G221" s="39"/>
      <c r="H221" s="45" t="str">
        <f aca="false">IF($D221="","",IFERROR(INDEX(INSUMOS!$F$6:$F$205,MATCH($D221,INSUMOS!$A$6:$A$205,0)),0))</f>
        <v/>
      </c>
      <c r="I221" s="34" t="str">
        <f aca="false">IF($D221="","",N($G221)*$H221)</f>
        <v/>
      </c>
      <c r="J221" s="40"/>
      <c r="K221" s="36" t="str">
        <f aca="false">IF($D221="","",IFERROR(INDEX(INSUMOS!$H$6:$H$205,MATCH($D221,INSUMOS!$A$6:$A$205,0)),IVA_VENTAS))</f>
        <v/>
      </c>
      <c r="L221" s="35" t="str">
        <f aca="false">IF($D221="","",N($J221)*$K221)</f>
        <v/>
      </c>
      <c r="M221" s="35" t="str">
        <f aca="false">IF($D221="","",N($J221)+$L221)</f>
        <v/>
      </c>
      <c r="N221" s="43" t="str">
        <f aca="false">IF($D221="","",IFERROR(N($J221)/$I221,0))</f>
        <v/>
      </c>
      <c r="O221" s="6"/>
      <c r="P221" s="6"/>
      <c r="Q221" s="46" t="str">
        <f aca="false">IF($A221="","",DATE(YEAR($A221),MONTH($A221),1))</f>
        <v/>
      </c>
      <c r="R221" s="8" t="str">
        <f aca="false">IF(OR($A221="",$D221=""),"",IF(COUNTIFS($D$6:$D$1005,$D221,$A$6:$A$1005,"&gt;"&amp;$A221)=0,1,0))</f>
        <v/>
      </c>
    </row>
    <row r="222" customFormat="false" ht="15" hidden="false" customHeight="false" outlineLevel="0" collapsed="false">
      <c r="A222" s="44"/>
      <c r="B222" s="6"/>
      <c r="C222" s="6"/>
      <c r="D222" s="6"/>
      <c r="E222" s="8" t="str">
        <f aca="false">IF($D222="","",IFERROR(INDEX(INSUMOS!$B$6:$B$205,MATCH($D222,INSUMOS!$A$6:$A$205,0)),"¿Código?"))</f>
        <v/>
      </c>
      <c r="F222" s="8" t="str">
        <f aca="false">IF($D222="","",IFERROR(INDEX(INSUMOS!$E$6:$E$205,MATCH($D222,INSUMOS!$A$6:$A$205,0)),""))</f>
        <v/>
      </c>
      <c r="G222" s="39"/>
      <c r="H222" s="45" t="str">
        <f aca="false">IF($D222="","",IFERROR(INDEX(INSUMOS!$F$6:$F$205,MATCH($D222,INSUMOS!$A$6:$A$205,0)),0))</f>
        <v/>
      </c>
      <c r="I222" s="34" t="str">
        <f aca="false">IF($D222="","",N($G222)*$H222)</f>
        <v/>
      </c>
      <c r="J222" s="40"/>
      <c r="K222" s="36" t="str">
        <f aca="false">IF($D222="","",IFERROR(INDEX(INSUMOS!$H$6:$H$205,MATCH($D222,INSUMOS!$A$6:$A$205,0)),IVA_VENTAS))</f>
        <v/>
      </c>
      <c r="L222" s="35" t="str">
        <f aca="false">IF($D222="","",N($J222)*$K222)</f>
        <v/>
      </c>
      <c r="M222" s="35" t="str">
        <f aca="false">IF($D222="","",N($J222)+$L222)</f>
        <v/>
      </c>
      <c r="N222" s="43" t="str">
        <f aca="false">IF($D222="","",IFERROR(N($J222)/$I222,0))</f>
        <v/>
      </c>
      <c r="O222" s="6"/>
      <c r="P222" s="6"/>
      <c r="Q222" s="46" t="str">
        <f aca="false">IF($A222="","",DATE(YEAR($A222),MONTH($A222),1))</f>
        <v/>
      </c>
      <c r="R222" s="8" t="str">
        <f aca="false">IF(OR($A222="",$D222=""),"",IF(COUNTIFS($D$6:$D$1005,$D222,$A$6:$A$1005,"&gt;"&amp;$A222)=0,1,0))</f>
        <v/>
      </c>
    </row>
    <row r="223" customFormat="false" ht="15" hidden="false" customHeight="false" outlineLevel="0" collapsed="false">
      <c r="A223" s="44"/>
      <c r="B223" s="6"/>
      <c r="C223" s="6"/>
      <c r="D223" s="6"/>
      <c r="E223" s="8" t="str">
        <f aca="false">IF($D223="","",IFERROR(INDEX(INSUMOS!$B$6:$B$205,MATCH($D223,INSUMOS!$A$6:$A$205,0)),"¿Código?"))</f>
        <v/>
      </c>
      <c r="F223" s="8" t="str">
        <f aca="false">IF($D223="","",IFERROR(INDEX(INSUMOS!$E$6:$E$205,MATCH($D223,INSUMOS!$A$6:$A$205,0)),""))</f>
        <v/>
      </c>
      <c r="G223" s="39"/>
      <c r="H223" s="45" t="str">
        <f aca="false">IF($D223="","",IFERROR(INDEX(INSUMOS!$F$6:$F$205,MATCH($D223,INSUMOS!$A$6:$A$205,0)),0))</f>
        <v/>
      </c>
      <c r="I223" s="34" t="str">
        <f aca="false">IF($D223="","",N($G223)*$H223)</f>
        <v/>
      </c>
      <c r="J223" s="40"/>
      <c r="K223" s="36" t="str">
        <f aca="false">IF($D223="","",IFERROR(INDEX(INSUMOS!$H$6:$H$205,MATCH($D223,INSUMOS!$A$6:$A$205,0)),IVA_VENTAS))</f>
        <v/>
      </c>
      <c r="L223" s="35" t="str">
        <f aca="false">IF($D223="","",N($J223)*$K223)</f>
        <v/>
      </c>
      <c r="M223" s="35" t="str">
        <f aca="false">IF($D223="","",N($J223)+$L223)</f>
        <v/>
      </c>
      <c r="N223" s="43" t="str">
        <f aca="false">IF($D223="","",IFERROR(N($J223)/$I223,0))</f>
        <v/>
      </c>
      <c r="O223" s="6"/>
      <c r="P223" s="6"/>
      <c r="Q223" s="46" t="str">
        <f aca="false">IF($A223="","",DATE(YEAR($A223),MONTH($A223),1))</f>
        <v/>
      </c>
      <c r="R223" s="8" t="str">
        <f aca="false">IF(OR($A223="",$D223=""),"",IF(COUNTIFS($D$6:$D$1005,$D223,$A$6:$A$1005,"&gt;"&amp;$A223)=0,1,0))</f>
        <v/>
      </c>
    </row>
    <row r="224" customFormat="false" ht="15" hidden="false" customHeight="false" outlineLevel="0" collapsed="false">
      <c r="A224" s="44"/>
      <c r="B224" s="6"/>
      <c r="C224" s="6"/>
      <c r="D224" s="6"/>
      <c r="E224" s="8" t="str">
        <f aca="false">IF($D224="","",IFERROR(INDEX(INSUMOS!$B$6:$B$205,MATCH($D224,INSUMOS!$A$6:$A$205,0)),"¿Código?"))</f>
        <v/>
      </c>
      <c r="F224" s="8" t="str">
        <f aca="false">IF($D224="","",IFERROR(INDEX(INSUMOS!$E$6:$E$205,MATCH($D224,INSUMOS!$A$6:$A$205,0)),""))</f>
        <v/>
      </c>
      <c r="G224" s="39"/>
      <c r="H224" s="45" t="str">
        <f aca="false">IF($D224="","",IFERROR(INDEX(INSUMOS!$F$6:$F$205,MATCH($D224,INSUMOS!$A$6:$A$205,0)),0))</f>
        <v/>
      </c>
      <c r="I224" s="34" t="str">
        <f aca="false">IF($D224="","",N($G224)*$H224)</f>
        <v/>
      </c>
      <c r="J224" s="40"/>
      <c r="K224" s="36" t="str">
        <f aca="false">IF($D224="","",IFERROR(INDEX(INSUMOS!$H$6:$H$205,MATCH($D224,INSUMOS!$A$6:$A$205,0)),IVA_VENTAS))</f>
        <v/>
      </c>
      <c r="L224" s="35" t="str">
        <f aca="false">IF($D224="","",N($J224)*$K224)</f>
        <v/>
      </c>
      <c r="M224" s="35" t="str">
        <f aca="false">IF($D224="","",N($J224)+$L224)</f>
        <v/>
      </c>
      <c r="N224" s="43" t="str">
        <f aca="false">IF($D224="","",IFERROR(N($J224)/$I224,0))</f>
        <v/>
      </c>
      <c r="O224" s="6"/>
      <c r="P224" s="6"/>
      <c r="Q224" s="46" t="str">
        <f aca="false">IF($A224="","",DATE(YEAR($A224),MONTH($A224),1))</f>
        <v/>
      </c>
      <c r="R224" s="8" t="str">
        <f aca="false">IF(OR($A224="",$D224=""),"",IF(COUNTIFS($D$6:$D$1005,$D224,$A$6:$A$1005,"&gt;"&amp;$A224)=0,1,0))</f>
        <v/>
      </c>
    </row>
    <row r="225" customFormat="false" ht="15" hidden="false" customHeight="false" outlineLevel="0" collapsed="false">
      <c r="A225" s="44"/>
      <c r="B225" s="6"/>
      <c r="C225" s="6"/>
      <c r="D225" s="6"/>
      <c r="E225" s="8" t="str">
        <f aca="false">IF($D225="","",IFERROR(INDEX(INSUMOS!$B$6:$B$205,MATCH($D225,INSUMOS!$A$6:$A$205,0)),"¿Código?"))</f>
        <v/>
      </c>
      <c r="F225" s="8" t="str">
        <f aca="false">IF($D225="","",IFERROR(INDEX(INSUMOS!$E$6:$E$205,MATCH($D225,INSUMOS!$A$6:$A$205,0)),""))</f>
        <v/>
      </c>
      <c r="G225" s="39"/>
      <c r="H225" s="45" t="str">
        <f aca="false">IF($D225="","",IFERROR(INDEX(INSUMOS!$F$6:$F$205,MATCH($D225,INSUMOS!$A$6:$A$205,0)),0))</f>
        <v/>
      </c>
      <c r="I225" s="34" t="str">
        <f aca="false">IF($D225="","",N($G225)*$H225)</f>
        <v/>
      </c>
      <c r="J225" s="40"/>
      <c r="K225" s="36" t="str">
        <f aca="false">IF($D225="","",IFERROR(INDEX(INSUMOS!$H$6:$H$205,MATCH($D225,INSUMOS!$A$6:$A$205,0)),IVA_VENTAS))</f>
        <v/>
      </c>
      <c r="L225" s="35" t="str">
        <f aca="false">IF($D225="","",N($J225)*$K225)</f>
        <v/>
      </c>
      <c r="M225" s="35" t="str">
        <f aca="false">IF($D225="","",N($J225)+$L225)</f>
        <v/>
      </c>
      <c r="N225" s="43" t="str">
        <f aca="false">IF($D225="","",IFERROR(N($J225)/$I225,0))</f>
        <v/>
      </c>
      <c r="O225" s="6"/>
      <c r="P225" s="6"/>
      <c r="Q225" s="46" t="str">
        <f aca="false">IF($A225="","",DATE(YEAR($A225),MONTH($A225),1))</f>
        <v/>
      </c>
      <c r="R225" s="8" t="str">
        <f aca="false">IF(OR($A225="",$D225=""),"",IF(COUNTIFS($D$6:$D$1005,$D225,$A$6:$A$1005,"&gt;"&amp;$A225)=0,1,0))</f>
        <v/>
      </c>
    </row>
    <row r="226" customFormat="false" ht="15" hidden="false" customHeight="false" outlineLevel="0" collapsed="false">
      <c r="A226" s="44"/>
      <c r="B226" s="6"/>
      <c r="C226" s="6"/>
      <c r="D226" s="6"/>
      <c r="E226" s="8" t="str">
        <f aca="false">IF($D226="","",IFERROR(INDEX(INSUMOS!$B$6:$B$205,MATCH($D226,INSUMOS!$A$6:$A$205,0)),"¿Código?"))</f>
        <v/>
      </c>
      <c r="F226" s="8" t="str">
        <f aca="false">IF($D226="","",IFERROR(INDEX(INSUMOS!$E$6:$E$205,MATCH($D226,INSUMOS!$A$6:$A$205,0)),""))</f>
        <v/>
      </c>
      <c r="G226" s="39"/>
      <c r="H226" s="45" t="str">
        <f aca="false">IF($D226="","",IFERROR(INDEX(INSUMOS!$F$6:$F$205,MATCH($D226,INSUMOS!$A$6:$A$205,0)),0))</f>
        <v/>
      </c>
      <c r="I226" s="34" t="str">
        <f aca="false">IF($D226="","",N($G226)*$H226)</f>
        <v/>
      </c>
      <c r="J226" s="40"/>
      <c r="K226" s="36" t="str">
        <f aca="false">IF($D226="","",IFERROR(INDEX(INSUMOS!$H$6:$H$205,MATCH($D226,INSUMOS!$A$6:$A$205,0)),IVA_VENTAS))</f>
        <v/>
      </c>
      <c r="L226" s="35" t="str">
        <f aca="false">IF($D226="","",N($J226)*$K226)</f>
        <v/>
      </c>
      <c r="M226" s="35" t="str">
        <f aca="false">IF($D226="","",N($J226)+$L226)</f>
        <v/>
      </c>
      <c r="N226" s="43" t="str">
        <f aca="false">IF($D226="","",IFERROR(N($J226)/$I226,0))</f>
        <v/>
      </c>
      <c r="O226" s="6"/>
      <c r="P226" s="6"/>
      <c r="Q226" s="46" t="str">
        <f aca="false">IF($A226="","",DATE(YEAR($A226),MONTH($A226),1))</f>
        <v/>
      </c>
      <c r="R226" s="8" t="str">
        <f aca="false">IF(OR($A226="",$D226=""),"",IF(COUNTIFS($D$6:$D$1005,$D226,$A$6:$A$1005,"&gt;"&amp;$A226)=0,1,0))</f>
        <v/>
      </c>
    </row>
    <row r="227" customFormat="false" ht="15" hidden="false" customHeight="false" outlineLevel="0" collapsed="false">
      <c r="A227" s="44"/>
      <c r="B227" s="6"/>
      <c r="C227" s="6"/>
      <c r="D227" s="6"/>
      <c r="E227" s="8" t="str">
        <f aca="false">IF($D227="","",IFERROR(INDEX(INSUMOS!$B$6:$B$205,MATCH($D227,INSUMOS!$A$6:$A$205,0)),"¿Código?"))</f>
        <v/>
      </c>
      <c r="F227" s="8" t="str">
        <f aca="false">IF($D227="","",IFERROR(INDEX(INSUMOS!$E$6:$E$205,MATCH($D227,INSUMOS!$A$6:$A$205,0)),""))</f>
        <v/>
      </c>
      <c r="G227" s="39"/>
      <c r="H227" s="45" t="str">
        <f aca="false">IF($D227="","",IFERROR(INDEX(INSUMOS!$F$6:$F$205,MATCH($D227,INSUMOS!$A$6:$A$205,0)),0))</f>
        <v/>
      </c>
      <c r="I227" s="34" t="str">
        <f aca="false">IF($D227="","",N($G227)*$H227)</f>
        <v/>
      </c>
      <c r="J227" s="40"/>
      <c r="K227" s="36" t="str">
        <f aca="false">IF($D227="","",IFERROR(INDEX(INSUMOS!$H$6:$H$205,MATCH($D227,INSUMOS!$A$6:$A$205,0)),IVA_VENTAS))</f>
        <v/>
      </c>
      <c r="L227" s="35" t="str">
        <f aca="false">IF($D227="","",N($J227)*$K227)</f>
        <v/>
      </c>
      <c r="M227" s="35" t="str">
        <f aca="false">IF($D227="","",N($J227)+$L227)</f>
        <v/>
      </c>
      <c r="N227" s="43" t="str">
        <f aca="false">IF($D227="","",IFERROR(N($J227)/$I227,0))</f>
        <v/>
      </c>
      <c r="O227" s="6"/>
      <c r="P227" s="6"/>
      <c r="Q227" s="46" t="str">
        <f aca="false">IF($A227="","",DATE(YEAR($A227),MONTH($A227),1))</f>
        <v/>
      </c>
      <c r="R227" s="8" t="str">
        <f aca="false">IF(OR($A227="",$D227=""),"",IF(COUNTIFS($D$6:$D$1005,$D227,$A$6:$A$1005,"&gt;"&amp;$A227)=0,1,0))</f>
        <v/>
      </c>
    </row>
    <row r="228" customFormat="false" ht="15" hidden="false" customHeight="false" outlineLevel="0" collapsed="false">
      <c r="A228" s="44"/>
      <c r="B228" s="6"/>
      <c r="C228" s="6"/>
      <c r="D228" s="6"/>
      <c r="E228" s="8" t="str">
        <f aca="false">IF($D228="","",IFERROR(INDEX(INSUMOS!$B$6:$B$205,MATCH($D228,INSUMOS!$A$6:$A$205,0)),"¿Código?"))</f>
        <v/>
      </c>
      <c r="F228" s="8" t="str">
        <f aca="false">IF($D228="","",IFERROR(INDEX(INSUMOS!$E$6:$E$205,MATCH($D228,INSUMOS!$A$6:$A$205,0)),""))</f>
        <v/>
      </c>
      <c r="G228" s="39"/>
      <c r="H228" s="45" t="str">
        <f aca="false">IF($D228="","",IFERROR(INDEX(INSUMOS!$F$6:$F$205,MATCH($D228,INSUMOS!$A$6:$A$205,0)),0))</f>
        <v/>
      </c>
      <c r="I228" s="34" t="str">
        <f aca="false">IF($D228="","",N($G228)*$H228)</f>
        <v/>
      </c>
      <c r="J228" s="40"/>
      <c r="K228" s="36" t="str">
        <f aca="false">IF($D228="","",IFERROR(INDEX(INSUMOS!$H$6:$H$205,MATCH($D228,INSUMOS!$A$6:$A$205,0)),IVA_VENTAS))</f>
        <v/>
      </c>
      <c r="L228" s="35" t="str">
        <f aca="false">IF($D228="","",N($J228)*$K228)</f>
        <v/>
      </c>
      <c r="M228" s="35" t="str">
        <f aca="false">IF($D228="","",N($J228)+$L228)</f>
        <v/>
      </c>
      <c r="N228" s="43" t="str">
        <f aca="false">IF($D228="","",IFERROR(N($J228)/$I228,0))</f>
        <v/>
      </c>
      <c r="O228" s="6"/>
      <c r="P228" s="6"/>
      <c r="Q228" s="46" t="str">
        <f aca="false">IF($A228="","",DATE(YEAR($A228),MONTH($A228),1))</f>
        <v/>
      </c>
      <c r="R228" s="8" t="str">
        <f aca="false">IF(OR($A228="",$D228=""),"",IF(COUNTIFS($D$6:$D$1005,$D228,$A$6:$A$1005,"&gt;"&amp;$A228)=0,1,0))</f>
        <v/>
      </c>
    </row>
    <row r="229" customFormat="false" ht="15" hidden="false" customHeight="false" outlineLevel="0" collapsed="false">
      <c r="A229" s="44"/>
      <c r="B229" s="6"/>
      <c r="C229" s="6"/>
      <c r="D229" s="6"/>
      <c r="E229" s="8" t="str">
        <f aca="false">IF($D229="","",IFERROR(INDEX(INSUMOS!$B$6:$B$205,MATCH($D229,INSUMOS!$A$6:$A$205,0)),"¿Código?"))</f>
        <v/>
      </c>
      <c r="F229" s="8" t="str">
        <f aca="false">IF($D229="","",IFERROR(INDEX(INSUMOS!$E$6:$E$205,MATCH($D229,INSUMOS!$A$6:$A$205,0)),""))</f>
        <v/>
      </c>
      <c r="G229" s="39"/>
      <c r="H229" s="45" t="str">
        <f aca="false">IF($D229="","",IFERROR(INDEX(INSUMOS!$F$6:$F$205,MATCH($D229,INSUMOS!$A$6:$A$205,0)),0))</f>
        <v/>
      </c>
      <c r="I229" s="34" t="str">
        <f aca="false">IF($D229="","",N($G229)*$H229)</f>
        <v/>
      </c>
      <c r="J229" s="40"/>
      <c r="K229" s="36" t="str">
        <f aca="false">IF($D229="","",IFERROR(INDEX(INSUMOS!$H$6:$H$205,MATCH($D229,INSUMOS!$A$6:$A$205,0)),IVA_VENTAS))</f>
        <v/>
      </c>
      <c r="L229" s="35" t="str">
        <f aca="false">IF($D229="","",N($J229)*$K229)</f>
        <v/>
      </c>
      <c r="M229" s="35" t="str">
        <f aca="false">IF($D229="","",N($J229)+$L229)</f>
        <v/>
      </c>
      <c r="N229" s="43" t="str">
        <f aca="false">IF($D229="","",IFERROR(N($J229)/$I229,0))</f>
        <v/>
      </c>
      <c r="O229" s="6"/>
      <c r="P229" s="6"/>
      <c r="Q229" s="46" t="str">
        <f aca="false">IF($A229="","",DATE(YEAR($A229),MONTH($A229),1))</f>
        <v/>
      </c>
      <c r="R229" s="8" t="str">
        <f aca="false">IF(OR($A229="",$D229=""),"",IF(COUNTIFS($D$6:$D$1005,$D229,$A$6:$A$1005,"&gt;"&amp;$A229)=0,1,0))</f>
        <v/>
      </c>
    </row>
    <row r="230" customFormat="false" ht="15" hidden="false" customHeight="false" outlineLevel="0" collapsed="false">
      <c r="A230" s="44"/>
      <c r="B230" s="6"/>
      <c r="C230" s="6"/>
      <c r="D230" s="6"/>
      <c r="E230" s="8" t="str">
        <f aca="false">IF($D230="","",IFERROR(INDEX(INSUMOS!$B$6:$B$205,MATCH($D230,INSUMOS!$A$6:$A$205,0)),"¿Código?"))</f>
        <v/>
      </c>
      <c r="F230" s="8" t="str">
        <f aca="false">IF($D230="","",IFERROR(INDEX(INSUMOS!$E$6:$E$205,MATCH($D230,INSUMOS!$A$6:$A$205,0)),""))</f>
        <v/>
      </c>
      <c r="G230" s="39"/>
      <c r="H230" s="45" t="str">
        <f aca="false">IF($D230="","",IFERROR(INDEX(INSUMOS!$F$6:$F$205,MATCH($D230,INSUMOS!$A$6:$A$205,0)),0))</f>
        <v/>
      </c>
      <c r="I230" s="34" t="str">
        <f aca="false">IF($D230="","",N($G230)*$H230)</f>
        <v/>
      </c>
      <c r="J230" s="40"/>
      <c r="K230" s="36" t="str">
        <f aca="false">IF($D230="","",IFERROR(INDEX(INSUMOS!$H$6:$H$205,MATCH($D230,INSUMOS!$A$6:$A$205,0)),IVA_VENTAS))</f>
        <v/>
      </c>
      <c r="L230" s="35" t="str">
        <f aca="false">IF($D230="","",N($J230)*$K230)</f>
        <v/>
      </c>
      <c r="M230" s="35" t="str">
        <f aca="false">IF($D230="","",N($J230)+$L230)</f>
        <v/>
      </c>
      <c r="N230" s="43" t="str">
        <f aca="false">IF($D230="","",IFERROR(N($J230)/$I230,0))</f>
        <v/>
      </c>
      <c r="O230" s="6"/>
      <c r="P230" s="6"/>
      <c r="Q230" s="46" t="str">
        <f aca="false">IF($A230="","",DATE(YEAR($A230),MONTH($A230),1))</f>
        <v/>
      </c>
      <c r="R230" s="8" t="str">
        <f aca="false">IF(OR($A230="",$D230=""),"",IF(COUNTIFS($D$6:$D$1005,$D230,$A$6:$A$1005,"&gt;"&amp;$A230)=0,1,0))</f>
        <v/>
      </c>
    </row>
    <row r="231" customFormat="false" ht="15" hidden="false" customHeight="false" outlineLevel="0" collapsed="false">
      <c r="A231" s="44"/>
      <c r="B231" s="6"/>
      <c r="C231" s="6"/>
      <c r="D231" s="6"/>
      <c r="E231" s="8" t="str">
        <f aca="false">IF($D231="","",IFERROR(INDEX(INSUMOS!$B$6:$B$205,MATCH($D231,INSUMOS!$A$6:$A$205,0)),"¿Código?"))</f>
        <v/>
      </c>
      <c r="F231" s="8" t="str">
        <f aca="false">IF($D231="","",IFERROR(INDEX(INSUMOS!$E$6:$E$205,MATCH($D231,INSUMOS!$A$6:$A$205,0)),""))</f>
        <v/>
      </c>
      <c r="G231" s="39"/>
      <c r="H231" s="45" t="str">
        <f aca="false">IF($D231="","",IFERROR(INDEX(INSUMOS!$F$6:$F$205,MATCH($D231,INSUMOS!$A$6:$A$205,0)),0))</f>
        <v/>
      </c>
      <c r="I231" s="34" t="str">
        <f aca="false">IF($D231="","",N($G231)*$H231)</f>
        <v/>
      </c>
      <c r="J231" s="40"/>
      <c r="K231" s="36" t="str">
        <f aca="false">IF($D231="","",IFERROR(INDEX(INSUMOS!$H$6:$H$205,MATCH($D231,INSUMOS!$A$6:$A$205,0)),IVA_VENTAS))</f>
        <v/>
      </c>
      <c r="L231" s="35" t="str">
        <f aca="false">IF($D231="","",N($J231)*$K231)</f>
        <v/>
      </c>
      <c r="M231" s="35" t="str">
        <f aca="false">IF($D231="","",N($J231)+$L231)</f>
        <v/>
      </c>
      <c r="N231" s="43" t="str">
        <f aca="false">IF($D231="","",IFERROR(N($J231)/$I231,0))</f>
        <v/>
      </c>
      <c r="O231" s="6"/>
      <c r="P231" s="6"/>
      <c r="Q231" s="46" t="str">
        <f aca="false">IF($A231="","",DATE(YEAR($A231),MONTH($A231),1))</f>
        <v/>
      </c>
      <c r="R231" s="8" t="str">
        <f aca="false">IF(OR($A231="",$D231=""),"",IF(COUNTIFS($D$6:$D$1005,$D231,$A$6:$A$1005,"&gt;"&amp;$A231)=0,1,0))</f>
        <v/>
      </c>
    </row>
    <row r="232" customFormat="false" ht="15" hidden="false" customHeight="false" outlineLevel="0" collapsed="false">
      <c r="A232" s="44"/>
      <c r="B232" s="6"/>
      <c r="C232" s="6"/>
      <c r="D232" s="6"/>
      <c r="E232" s="8" t="str">
        <f aca="false">IF($D232="","",IFERROR(INDEX(INSUMOS!$B$6:$B$205,MATCH($D232,INSUMOS!$A$6:$A$205,0)),"¿Código?"))</f>
        <v/>
      </c>
      <c r="F232" s="8" t="str">
        <f aca="false">IF($D232="","",IFERROR(INDEX(INSUMOS!$E$6:$E$205,MATCH($D232,INSUMOS!$A$6:$A$205,0)),""))</f>
        <v/>
      </c>
      <c r="G232" s="39"/>
      <c r="H232" s="45" t="str">
        <f aca="false">IF($D232="","",IFERROR(INDEX(INSUMOS!$F$6:$F$205,MATCH($D232,INSUMOS!$A$6:$A$205,0)),0))</f>
        <v/>
      </c>
      <c r="I232" s="34" t="str">
        <f aca="false">IF($D232="","",N($G232)*$H232)</f>
        <v/>
      </c>
      <c r="J232" s="40"/>
      <c r="K232" s="36" t="str">
        <f aca="false">IF($D232="","",IFERROR(INDEX(INSUMOS!$H$6:$H$205,MATCH($D232,INSUMOS!$A$6:$A$205,0)),IVA_VENTAS))</f>
        <v/>
      </c>
      <c r="L232" s="35" t="str">
        <f aca="false">IF($D232="","",N($J232)*$K232)</f>
        <v/>
      </c>
      <c r="M232" s="35" t="str">
        <f aca="false">IF($D232="","",N($J232)+$L232)</f>
        <v/>
      </c>
      <c r="N232" s="43" t="str">
        <f aca="false">IF($D232="","",IFERROR(N($J232)/$I232,0))</f>
        <v/>
      </c>
      <c r="O232" s="6"/>
      <c r="P232" s="6"/>
      <c r="Q232" s="46" t="str">
        <f aca="false">IF($A232="","",DATE(YEAR($A232),MONTH($A232),1))</f>
        <v/>
      </c>
      <c r="R232" s="8" t="str">
        <f aca="false">IF(OR($A232="",$D232=""),"",IF(COUNTIFS($D$6:$D$1005,$D232,$A$6:$A$1005,"&gt;"&amp;$A232)=0,1,0))</f>
        <v/>
      </c>
    </row>
    <row r="233" customFormat="false" ht="15" hidden="false" customHeight="false" outlineLevel="0" collapsed="false">
      <c r="A233" s="44"/>
      <c r="B233" s="6"/>
      <c r="C233" s="6"/>
      <c r="D233" s="6"/>
      <c r="E233" s="8" t="str">
        <f aca="false">IF($D233="","",IFERROR(INDEX(INSUMOS!$B$6:$B$205,MATCH($D233,INSUMOS!$A$6:$A$205,0)),"¿Código?"))</f>
        <v/>
      </c>
      <c r="F233" s="8" t="str">
        <f aca="false">IF($D233="","",IFERROR(INDEX(INSUMOS!$E$6:$E$205,MATCH($D233,INSUMOS!$A$6:$A$205,0)),""))</f>
        <v/>
      </c>
      <c r="G233" s="39"/>
      <c r="H233" s="45" t="str">
        <f aca="false">IF($D233="","",IFERROR(INDEX(INSUMOS!$F$6:$F$205,MATCH($D233,INSUMOS!$A$6:$A$205,0)),0))</f>
        <v/>
      </c>
      <c r="I233" s="34" t="str">
        <f aca="false">IF($D233="","",N($G233)*$H233)</f>
        <v/>
      </c>
      <c r="J233" s="40"/>
      <c r="K233" s="36" t="str">
        <f aca="false">IF($D233="","",IFERROR(INDEX(INSUMOS!$H$6:$H$205,MATCH($D233,INSUMOS!$A$6:$A$205,0)),IVA_VENTAS))</f>
        <v/>
      </c>
      <c r="L233" s="35" t="str">
        <f aca="false">IF($D233="","",N($J233)*$K233)</f>
        <v/>
      </c>
      <c r="M233" s="35" t="str">
        <f aca="false">IF($D233="","",N($J233)+$L233)</f>
        <v/>
      </c>
      <c r="N233" s="43" t="str">
        <f aca="false">IF($D233="","",IFERROR(N($J233)/$I233,0))</f>
        <v/>
      </c>
      <c r="O233" s="6"/>
      <c r="P233" s="6"/>
      <c r="Q233" s="46" t="str">
        <f aca="false">IF($A233="","",DATE(YEAR($A233),MONTH($A233),1))</f>
        <v/>
      </c>
      <c r="R233" s="8" t="str">
        <f aca="false">IF(OR($A233="",$D233=""),"",IF(COUNTIFS($D$6:$D$1005,$D233,$A$6:$A$1005,"&gt;"&amp;$A233)=0,1,0))</f>
        <v/>
      </c>
    </row>
    <row r="234" customFormat="false" ht="15" hidden="false" customHeight="false" outlineLevel="0" collapsed="false">
      <c r="A234" s="44"/>
      <c r="B234" s="6"/>
      <c r="C234" s="6"/>
      <c r="D234" s="6"/>
      <c r="E234" s="8" t="str">
        <f aca="false">IF($D234="","",IFERROR(INDEX(INSUMOS!$B$6:$B$205,MATCH($D234,INSUMOS!$A$6:$A$205,0)),"¿Código?"))</f>
        <v/>
      </c>
      <c r="F234" s="8" t="str">
        <f aca="false">IF($D234="","",IFERROR(INDEX(INSUMOS!$E$6:$E$205,MATCH($D234,INSUMOS!$A$6:$A$205,0)),""))</f>
        <v/>
      </c>
      <c r="G234" s="39"/>
      <c r="H234" s="45" t="str">
        <f aca="false">IF($D234="","",IFERROR(INDEX(INSUMOS!$F$6:$F$205,MATCH($D234,INSUMOS!$A$6:$A$205,0)),0))</f>
        <v/>
      </c>
      <c r="I234" s="34" t="str">
        <f aca="false">IF($D234="","",N($G234)*$H234)</f>
        <v/>
      </c>
      <c r="J234" s="40"/>
      <c r="K234" s="36" t="str">
        <f aca="false">IF($D234="","",IFERROR(INDEX(INSUMOS!$H$6:$H$205,MATCH($D234,INSUMOS!$A$6:$A$205,0)),IVA_VENTAS))</f>
        <v/>
      </c>
      <c r="L234" s="35" t="str">
        <f aca="false">IF($D234="","",N($J234)*$K234)</f>
        <v/>
      </c>
      <c r="M234" s="35" t="str">
        <f aca="false">IF($D234="","",N($J234)+$L234)</f>
        <v/>
      </c>
      <c r="N234" s="43" t="str">
        <f aca="false">IF($D234="","",IFERROR(N($J234)/$I234,0))</f>
        <v/>
      </c>
      <c r="O234" s="6"/>
      <c r="P234" s="6"/>
      <c r="Q234" s="46" t="str">
        <f aca="false">IF($A234="","",DATE(YEAR($A234),MONTH($A234),1))</f>
        <v/>
      </c>
      <c r="R234" s="8" t="str">
        <f aca="false">IF(OR($A234="",$D234=""),"",IF(COUNTIFS($D$6:$D$1005,$D234,$A$6:$A$1005,"&gt;"&amp;$A234)=0,1,0))</f>
        <v/>
      </c>
    </row>
    <row r="235" customFormat="false" ht="15" hidden="false" customHeight="false" outlineLevel="0" collapsed="false">
      <c r="A235" s="44"/>
      <c r="B235" s="6"/>
      <c r="C235" s="6"/>
      <c r="D235" s="6"/>
      <c r="E235" s="8" t="str">
        <f aca="false">IF($D235="","",IFERROR(INDEX(INSUMOS!$B$6:$B$205,MATCH($D235,INSUMOS!$A$6:$A$205,0)),"¿Código?"))</f>
        <v/>
      </c>
      <c r="F235" s="8" t="str">
        <f aca="false">IF($D235="","",IFERROR(INDEX(INSUMOS!$E$6:$E$205,MATCH($D235,INSUMOS!$A$6:$A$205,0)),""))</f>
        <v/>
      </c>
      <c r="G235" s="39"/>
      <c r="H235" s="45" t="str">
        <f aca="false">IF($D235="","",IFERROR(INDEX(INSUMOS!$F$6:$F$205,MATCH($D235,INSUMOS!$A$6:$A$205,0)),0))</f>
        <v/>
      </c>
      <c r="I235" s="34" t="str">
        <f aca="false">IF($D235="","",N($G235)*$H235)</f>
        <v/>
      </c>
      <c r="J235" s="40"/>
      <c r="K235" s="36" t="str">
        <f aca="false">IF($D235="","",IFERROR(INDEX(INSUMOS!$H$6:$H$205,MATCH($D235,INSUMOS!$A$6:$A$205,0)),IVA_VENTAS))</f>
        <v/>
      </c>
      <c r="L235" s="35" t="str">
        <f aca="false">IF($D235="","",N($J235)*$K235)</f>
        <v/>
      </c>
      <c r="M235" s="35" t="str">
        <f aca="false">IF($D235="","",N($J235)+$L235)</f>
        <v/>
      </c>
      <c r="N235" s="43" t="str">
        <f aca="false">IF($D235="","",IFERROR(N($J235)/$I235,0))</f>
        <v/>
      </c>
      <c r="O235" s="6"/>
      <c r="P235" s="6"/>
      <c r="Q235" s="46" t="str">
        <f aca="false">IF($A235="","",DATE(YEAR($A235),MONTH($A235),1))</f>
        <v/>
      </c>
      <c r="R235" s="8" t="str">
        <f aca="false">IF(OR($A235="",$D235=""),"",IF(COUNTIFS($D$6:$D$1005,$D235,$A$6:$A$1005,"&gt;"&amp;$A235)=0,1,0))</f>
        <v/>
      </c>
    </row>
    <row r="236" customFormat="false" ht="15" hidden="false" customHeight="false" outlineLevel="0" collapsed="false">
      <c r="A236" s="44"/>
      <c r="B236" s="6"/>
      <c r="C236" s="6"/>
      <c r="D236" s="6"/>
      <c r="E236" s="8" t="str">
        <f aca="false">IF($D236="","",IFERROR(INDEX(INSUMOS!$B$6:$B$205,MATCH($D236,INSUMOS!$A$6:$A$205,0)),"¿Código?"))</f>
        <v/>
      </c>
      <c r="F236" s="8" t="str">
        <f aca="false">IF($D236="","",IFERROR(INDEX(INSUMOS!$E$6:$E$205,MATCH($D236,INSUMOS!$A$6:$A$205,0)),""))</f>
        <v/>
      </c>
      <c r="G236" s="39"/>
      <c r="H236" s="45" t="str">
        <f aca="false">IF($D236="","",IFERROR(INDEX(INSUMOS!$F$6:$F$205,MATCH($D236,INSUMOS!$A$6:$A$205,0)),0))</f>
        <v/>
      </c>
      <c r="I236" s="34" t="str">
        <f aca="false">IF($D236="","",N($G236)*$H236)</f>
        <v/>
      </c>
      <c r="J236" s="40"/>
      <c r="K236" s="36" t="str">
        <f aca="false">IF($D236="","",IFERROR(INDEX(INSUMOS!$H$6:$H$205,MATCH($D236,INSUMOS!$A$6:$A$205,0)),IVA_VENTAS))</f>
        <v/>
      </c>
      <c r="L236" s="35" t="str">
        <f aca="false">IF($D236="","",N($J236)*$K236)</f>
        <v/>
      </c>
      <c r="M236" s="35" t="str">
        <f aca="false">IF($D236="","",N($J236)+$L236)</f>
        <v/>
      </c>
      <c r="N236" s="43" t="str">
        <f aca="false">IF($D236="","",IFERROR(N($J236)/$I236,0))</f>
        <v/>
      </c>
      <c r="O236" s="6"/>
      <c r="P236" s="6"/>
      <c r="Q236" s="46" t="str">
        <f aca="false">IF($A236="","",DATE(YEAR($A236),MONTH($A236),1))</f>
        <v/>
      </c>
      <c r="R236" s="8" t="str">
        <f aca="false">IF(OR($A236="",$D236=""),"",IF(COUNTIFS($D$6:$D$1005,$D236,$A$6:$A$1005,"&gt;"&amp;$A236)=0,1,0))</f>
        <v/>
      </c>
    </row>
    <row r="237" customFormat="false" ht="15" hidden="false" customHeight="false" outlineLevel="0" collapsed="false">
      <c r="A237" s="44"/>
      <c r="B237" s="6"/>
      <c r="C237" s="6"/>
      <c r="D237" s="6"/>
      <c r="E237" s="8" t="str">
        <f aca="false">IF($D237="","",IFERROR(INDEX(INSUMOS!$B$6:$B$205,MATCH($D237,INSUMOS!$A$6:$A$205,0)),"¿Código?"))</f>
        <v/>
      </c>
      <c r="F237" s="8" t="str">
        <f aca="false">IF($D237="","",IFERROR(INDEX(INSUMOS!$E$6:$E$205,MATCH($D237,INSUMOS!$A$6:$A$205,0)),""))</f>
        <v/>
      </c>
      <c r="G237" s="39"/>
      <c r="H237" s="45" t="str">
        <f aca="false">IF($D237="","",IFERROR(INDEX(INSUMOS!$F$6:$F$205,MATCH($D237,INSUMOS!$A$6:$A$205,0)),0))</f>
        <v/>
      </c>
      <c r="I237" s="34" t="str">
        <f aca="false">IF($D237="","",N($G237)*$H237)</f>
        <v/>
      </c>
      <c r="J237" s="40"/>
      <c r="K237" s="36" t="str">
        <f aca="false">IF($D237="","",IFERROR(INDEX(INSUMOS!$H$6:$H$205,MATCH($D237,INSUMOS!$A$6:$A$205,0)),IVA_VENTAS))</f>
        <v/>
      </c>
      <c r="L237" s="35" t="str">
        <f aca="false">IF($D237="","",N($J237)*$K237)</f>
        <v/>
      </c>
      <c r="M237" s="35" t="str">
        <f aca="false">IF($D237="","",N($J237)+$L237)</f>
        <v/>
      </c>
      <c r="N237" s="43" t="str">
        <f aca="false">IF($D237="","",IFERROR(N($J237)/$I237,0))</f>
        <v/>
      </c>
      <c r="O237" s="6"/>
      <c r="P237" s="6"/>
      <c r="Q237" s="46" t="str">
        <f aca="false">IF($A237="","",DATE(YEAR($A237),MONTH($A237),1))</f>
        <v/>
      </c>
      <c r="R237" s="8" t="str">
        <f aca="false">IF(OR($A237="",$D237=""),"",IF(COUNTIFS($D$6:$D$1005,$D237,$A$6:$A$1005,"&gt;"&amp;$A237)=0,1,0))</f>
        <v/>
      </c>
    </row>
    <row r="238" customFormat="false" ht="15" hidden="false" customHeight="false" outlineLevel="0" collapsed="false">
      <c r="A238" s="44"/>
      <c r="B238" s="6"/>
      <c r="C238" s="6"/>
      <c r="D238" s="6"/>
      <c r="E238" s="8" t="str">
        <f aca="false">IF($D238="","",IFERROR(INDEX(INSUMOS!$B$6:$B$205,MATCH($D238,INSUMOS!$A$6:$A$205,0)),"¿Código?"))</f>
        <v/>
      </c>
      <c r="F238" s="8" t="str">
        <f aca="false">IF($D238="","",IFERROR(INDEX(INSUMOS!$E$6:$E$205,MATCH($D238,INSUMOS!$A$6:$A$205,0)),""))</f>
        <v/>
      </c>
      <c r="G238" s="39"/>
      <c r="H238" s="45" t="str">
        <f aca="false">IF($D238="","",IFERROR(INDEX(INSUMOS!$F$6:$F$205,MATCH($D238,INSUMOS!$A$6:$A$205,0)),0))</f>
        <v/>
      </c>
      <c r="I238" s="34" t="str">
        <f aca="false">IF($D238="","",N($G238)*$H238)</f>
        <v/>
      </c>
      <c r="J238" s="40"/>
      <c r="K238" s="36" t="str">
        <f aca="false">IF($D238="","",IFERROR(INDEX(INSUMOS!$H$6:$H$205,MATCH($D238,INSUMOS!$A$6:$A$205,0)),IVA_VENTAS))</f>
        <v/>
      </c>
      <c r="L238" s="35" t="str">
        <f aca="false">IF($D238="","",N($J238)*$K238)</f>
        <v/>
      </c>
      <c r="M238" s="35" t="str">
        <f aca="false">IF($D238="","",N($J238)+$L238)</f>
        <v/>
      </c>
      <c r="N238" s="43" t="str">
        <f aca="false">IF($D238="","",IFERROR(N($J238)/$I238,0))</f>
        <v/>
      </c>
      <c r="O238" s="6"/>
      <c r="P238" s="6"/>
      <c r="Q238" s="46" t="str">
        <f aca="false">IF($A238="","",DATE(YEAR($A238),MONTH($A238),1))</f>
        <v/>
      </c>
      <c r="R238" s="8" t="str">
        <f aca="false">IF(OR($A238="",$D238=""),"",IF(COUNTIFS($D$6:$D$1005,$D238,$A$6:$A$1005,"&gt;"&amp;$A238)=0,1,0))</f>
        <v/>
      </c>
    </row>
    <row r="239" customFormat="false" ht="15" hidden="false" customHeight="false" outlineLevel="0" collapsed="false">
      <c r="A239" s="44"/>
      <c r="B239" s="6"/>
      <c r="C239" s="6"/>
      <c r="D239" s="6"/>
      <c r="E239" s="8" t="str">
        <f aca="false">IF($D239="","",IFERROR(INDEX(INSUMOS!$B$6:$B$205,MATCH($D239,INSUMOS!$A$6:$A$205,0)),"¿Código?"))</f>
        <v/>
      </c>
      <c r="F239" s="8" t="str">
        <f aca="false">IF($D239="","",IFERROR(INDEX(INSUMOS!$E$6:$E$205,MATCH($D239,INSUMOS!$A$6:$A$205,0)),""))</f>
        <v/>
      </c>
      <c r="G239" s="39"/>
      <c r="H239" s="45" t="str">
        <f aca="false">IF($D239="","",IFERROR(INDEX(INSUMOS!$F$6:$F$205,MATCH($D239,INSUMOS!$A$6:$A$205,0)),0))</f>
        <v/>
      </c>
      <c r="I239" s="34" t="str">
        <f aca="false">IF($D239="","",N($G239)*$H239)</f>
        <v/>
      </c>
      <c r="J239" s="40"/>
      <c r="K239" s="36" t="str">
        <f aca="false">IF($D239="","",IFERROR(INDEX(INSUMOS!$H$6:$H$205,MATCH($D239,INSUMOS!$A$6:$A$205,0)),IVA_VENTAS))</f>
        <v/>
      </c>
      <c r="L239" s="35" t="str">
        <f aca="false">IF($D239="","",N($J239)*$K239)</f>
        <v/>
      </c>
      <c r="M239" s="35" t="str">
        <f aca="false">IF($D239="","",N($J239)+$L239)</f>
        <v/>
      </c>
      <c r="N239" s="43" t="str">
        <f aca="false">IF($D239="","",IFERROR(N($J239)/$I239,0))</f>
        <v/>
      </c>
      <c r="O239" s="6"/>
      <c r="P239" s="6"/>
      <c r="Q239" s="46" t="str">
        <f aca="false">IF($A239="","",DATE(YEAR($A239),MONTH($A239),1))</f>
        <v/>
      </c>
      <c r="R239" s="8" t="str">
        <f aca="false">IF(OR($A239="",$D239=""),"",IF(COUNTIFS($D$6:$D$1005,$D239,$A$6:$A$1005,"&gt;"&amp;$A239)=0,1,0))</f>
        <v/>
      </c>
    </row>
    <row r="240" customFormat="false" ht="15" hidden="false" customHeight="false" outlineLevel="0" collapsed="false">
      <c r="A240" s="44"/>
      <c r="B240" s="6"/>
      <c r="C240" s="6"/>
      <c r="D240" s="6"/>
      <c r="E240" s="8" t="str">
        <f aca="false">IF($D240="","",IFERROR(INDEX(INSUMOS!$B$6:$B$205,MATCH($D240,INSUMOS!$A$6:$A$205,0)),"¿Código?"))</f>
        <v/>
      </c>
      <c r="F240" s="8" t="str">
        <f aca="false">IF($D240="","",IFERROR(INDEX(INSUMOS!$E$6:$E$205,MATCH($D240,INSUMOS!$A$6:$A$205,0)),""))</f>
        <v/>
      </c>
      <c r="G240" s="39"/>
      <c r="H240" s="45" t="str">
        <f aca="false">IF($D240="","",IFERROR(INDEX(INSUMOS!$F$6:$F$205,MATCH($D240,INSUMOS!$A$6:$A$205,0)),0))</f>
        <v/>
      </c>
      <c r="I240" s="34" t="str">
        <f aca="false">IF($D240="","",N($G240)*$H240)</f>
        <v/>
      </c>
      <c r="J240" s="40"/>
      <c r="K240" s="36" t="str">
        <f aca="false">IF($D240="","",IFERROR(INDEX(INSUMOS!$H$6:$H$205,MATCH($D240,INSUMOS!$A$6:$A$205,0)),IVA_VENTAS))</f>
        <v/>
      </c>
      <c r="L240" s="35" t="str">
        <f aca="false">IF($D240="","",N($J240)*$K240)</f>
        <v/>
      </c>
      <c r="M240" s="35" t="str">
        <f aca="false">IF($D240="","",N($J240)+$L240)</f>
        <v/>
      </c>
      <c r="N240" s="43" t="str">
        <f aca="false">IF($D240="","",IFERROR(N($J240)/$I240,0))</f>
        <v/>
      </c>
      <c r="O240" s="6"/>
      <c r="P240" s="6"/>
      <c r="Q240" s="46" t="str">
        <f aca="false">IF($A240="","",DATE(YEAR($A240),MONTH($A240),1))</f>
        <v/>
      </c>
      <c r="R240" s="8" t="str">
        <f aca="false">IF(OR($A240="",$D240=""),"",IF(COUNTIFS($D$6:$D$1005,$D240,$A$6:$A$1005,"&gt;"&amp;$A240)=0,1,0))</f>
        <v/>
      </c>
    </row>
    <row r="241" customFormat="false" ht="15" hidden="false" customHeight="false" outlineLevel="0" collapsed="false">
      <c r="A241" s="44"/>
      <c r="B241" s="6"/>
      <c r="C241" s="6"/>
      <c r="D241" s="6"/>
      <c r="E241" s="8" t="str">
        <f aca="false">IF($D241="","",IFERROR(INDEX(INSUMOS!$B$6:$B$205,MATCH($D241,INSUMOS!$A$6:$A$205,0)),"¿Código?"))</f>
        <v/>
      </c>
      <c r="F241" s="8" t="str">
        <f aca="false">IF($D241="","",IFERROR(INDEX(INSUMOS!$E$6:$E$205,MATCH($D241,INSUMOS!$A$6:$A$205,0)),""))</f>
        <v/>
      </c>
      <c r="G241" s="39"/>
      <c r="H241" s="45" t="str">
        <f aca="false">IF($D241="","",IFERROR(INDEX(INSUMOS!$F$6:$F$205,MATCH($D241,INSUMOS!$A$6:$A$205,0)),0))</f>
        <v/>
      </c>
      <c r="I241" s="34" t="str">
        <f aca="false">IF($D241="","",N($G241)*$H241)</f>
        <v/>
      </c>
      <c r="J241" s="40"/>
      <c r="K241" s="36" t="str">
        <f aca="false">IF($D241="","",IFERROR(INDEX(INSUMOS!$H$6:$H$205,MATCH($D241,INSUMOS!$A$6:$A$205,0)),IVA_VENTAS))</f>
        <v/>
      </c>
      <c r="L241" s="35" t="str">
        <f aca="false">IF($D241="","",N($J241)*$K241)</f>
        <v/>
      </c>
      <c r="M241" s="35" t="str">
        <f aca="false">IF($D241="","",N($J241)+$L241)</f>
        <v/>
      </c>
      <c r="N241" s="43" t="str">
        <f aca="false">IF($D241="","",IFERROR(N($J241)/$I241,0))</f>
        <v/>
      </c>
      <c r="O241" s="6"/>
      <c r="P241" s="6"/>
      <c r="Q241" s="46" t="str">
        <f aca="false">IF($A241="","",DATE(YEAR($A241),MONTH($A241),1))</f>
        <v/>
      </c>
      <c r="R241" s="8" t="str">
        <f aca="false">IF(OR($A241="",$D241=""),"",IF(COUNTIFS($D$6:$D$1005,$D241,$A$6:$A$1005,"&gt;"&amp;$A241)=0,1,0))</f>
        <v/>
      </c>
    </row>
    <row r="242" customFormat="false" ht="15" hidden="false" customHeight="false" outlineLevel="0" collapsed="false">
      <c r="A242" s="44"/>
      <c r="B242" s="6"/>
      <c r="C242" s="6"/>
      <c r="D242" s="6"/>
      <c r="E242" s="8" t="str">
        <f aca="false">IF($D242="","",IFERROR(INDEX(INSUMOS!$B$6:$B$205,MATCH($D242,INSUMOS!$A$6:$A$205,0)),"¿Código?"))</f>
        <v/>
      </c>
      <c r="F242" s="8" t="str">
        <f aca="false">IF($D242="","",IFERROR(INDEX(INSUMOS!$E$6:$E$205,MATCH($D242,INSUMOS!$A$6:$A$205,0)),""))</f>
        <v/>
      </c>
      <c r="G242" s="39"/>
      <c r="H242" s="45" t="str">
        <f aca="false">IF($D242="","",IFERROR(INDEX(INSUMOS!$F$6:$F$205,MATCH($D242,INSUMOS!$A$6:$A$205,0)),0))</f>
        <v/>
      </c>
      <c r="I242" s="34" t="str">
        <f aca="false">IF($D242="","",N($G242)*$H242)</f>
        <v/>
      </c>
      <c r="J242" s="40"/>
      <c r="K242" s="36" t="str">
        <f aca="false">IF($D242="","",IFERROR(INDEX(INSUMOS!$H$6:$H$205,MATCH($D242,INSUMOS!$A$6:$A$205,0)),IVA_VENTAS))</f>
        <v/>
      </c>
      <c r="L242" s="35" t="str">
        <f aca="false">IF($D242="","",N($J242)*$K242)</f>
        <v/>
      </c>
      <c r="M242" s="35" t="str">
        <f aca="false">IF($D242="","",N($J242)+$L242)</f>
        <v/>
      </c>
      <c r="N242" s="43" t="str">
        <f aca="false">IF($D242="","",IFERROR(N($J242)/$I242,0))</f>
        <v/>
      </c>
      <c r="O242" s="6"/>
      <c r="P242" s="6"/>
      <c r="Q242" s="46" t="str">
        <f aca="false">IF($A242="","",DATE(YEAR($A242),MONTH($A242),1))</f>
        <v/>
      </c>
      <c r="R242" s="8" t="str">
        <f aca="false">IF(OR($A242="",$D242=""),"",IF(COUNTIFS($D$6:$D$1005,$D242,$A$6:$A$1005,"&gt;"&amp;$A242)=0,1,0))</f>
        <v/>
      </c>
    </row>
    <row r="243" customFormat="false" ht="15" hidden="false" customHeight="false" outlineLevel="0" collapsed="false">
      <c r="A243" s="44"/>
      <c r="B243" s="6"/>
      <c r="C243" s="6"/>
      <c r="D243" s="6"/>
      <c r="E243" s="8" t="str">
        <f aca="false">IF($D243="","",IFERROR(INDEX(INSUMOS!$B$6:$B$205,MATCH($D243,INSUMOS!$A$6:$A$205,0)),"¿Código?"))</f>
        <v/>
      </c>
      <c r="F243" s="8" t="str">
        <f aca="false">IF($D243="","",IFERROR(INDEX(INSUMOS!$E$6:$E$205,MATCH($D243,INSUMOS!$A$6:$A$205,0)),""))</f>
        <v/>
      </c>
      <c r="G243" s="39"/>
      <c r="H243" s="45" t="str">
        <f aca="false">IF($D243="","",IFERROR(INDEX(INSUMOS!$F$6:$F$205,MATCH($D243,INSUMOS!$A$6:$A$205,0)),0))</f>
        <v/>
      </c>
      <c r="I243" s="34" t="str">
        <f aca="false">IF($D243="","",N($G243)*$H243)</f>
        <v/>
      </c>
      <c r="J243" s="40"/>
      <c r="K243" s="36" t="str">
        <f aca="false">IF($D243="","",IFERROR(INDEX(INSUMOS!$H$6:$H$205,MATCH($D243,INSUMOS!$A$6:$A$205,0)),IVA_VENTAS))</f>
        <v/>
      </c>
      <c r="L243" s="35" t="str">
        <f aca="false">IF($D243="","",N($J243)*$K243)</f>
        <v/>
      </c>
      <c r="M243" s="35" t="str">
        <f aca="false">IF($D243="","",N($J243)+$L243)</f>
        <v/>
      </c>
      <c r="N243" s="43" t="str">
        <f aca="false">IF($D243="","",IFERROR(N($J243)/$I243,0))</f>
        <v/>
      </c>
      <c r="O243" s="6"/>
      <c r="P243" s="6"/>
      <c r="Q243" s="46" t="str">
        <f aca="false">IF($A243="","",DATE(YEAR($A243),MONTH($A243),1))</f>
        <v/>
      </c>
      <c r="R243" s="8" t="str">
        <f aca="false">IF(OR($A243="",$D243=""),"",IF(COUNTIFS($D$6:$D$1005,$D243,$A$6:$A$1005,"&gt;"&amp;$A243)=0,1,0))</f>
        <v/>
      </c>
    </row>
    <row r="244" customFormat="false" ht="15" hidden="false" customHeight="false" outlineLevel="0" collapsed="false">
      <c r="A244" s="44"/>
      <c r="B244" s="6"/>
      <c r="C244" s="6"/>
      <c r="D244" s="6"/>
      <c r="E244" s="8" t="str">
        <f aca="false">IF($D244="","",IFERROR(INDEX(INSUMOS!$B$6:$B$205,MATCH($D244,INSUMOS!$A$6:$A$205,0)),"¿Código?"))</f>
        <v/>
      </c>
      <c r="F244" s="8" t="str">
        <f aca="false">IF($D244="","",IFERROR(INDEX(INSUMOS!$E$6:$E$205,MATCH($D244,INSUMOS!$A$6:$A$205,0)),""))</f>
        <v/>
      </c>
      <c r="G244" s="39"/>
      <c r="H244" s="45" t="str">
        <f aca="false">IF($D244="","",IFERROR(INDEX(INSUMOS!$F$6:$F$205,MATCH($D244,INSUMOS!$A$6:$A$205,0)),0))</f>
        <v/>
      </c>
      <c r="I244" s="34" t="str">
        <f aca="false">IF($D244="","",N($G244)*$H244)</f>
        <v/>
      </c>
      <c r="J244" s="40"/>
      <c r="K244" s="36" t="str">
        <f aca="false">IF($D244="","",IFERROR(INDEX(INSUMOS!$H$6:$H$205,MATCH($D244,INSUMOS!$A$6:$A$205,0)),IVA_VENTAS))</f>
        <v/>
      </c>
      <c r="L244" s="35" t="str">
        <f aca="false">IF($D244="","",N($J244)*$K244)</f>
        <v/>
      </c>
      <c r="M244" s="35" t="str">
        <f aca="false">IF($D244="","",N($J244)+$L244)</f>
        <v/>
      </c>
      <c r="N244" s="43" t="str">
        <f aca="false">IF($D244="","",IFERROR(N($J244)/$I244,0))</f>
        <v/>
      </c>
      <c r="O244" s="6"/>
      <c r="P244" s="6"/>
      <c r="Q244" s="46" t="str">
        <f aca="false">IF($A244="","",DATE(YEAR($A244),MONTH($A244),1))</f>
        <v/>
      </c>
      <c r="R244" s="8" t="str">
        <f aca="false">IF(OR($A244="",$D244=""),"",IF(COUNTIFS($D$6:$D$1005,$D244,$A$6:$A$1005,"&gt;"&amp;$A244)=0,1,0))</f>
        <v/>
      </c>
    </row>
    <row r="245" customFormat="false" ht="15" hidden="false" customHeight="false" outlineLevel="0" collapsed="false">
      <c r="A245" s="44"/>
      <c r="B245" s="6"/>
      <c r="C245" s="6"/>
      <c r="D245" s="6"/>
      <c r="E245" s="8" t="str">
        <f aca="false">IF($D245="","",IFERROR(INDEX(INSUMOS!$B$6:$B$205,MATCH($D245,INSUMOS!$A$6:$A$205,0)),"¿Código?"))</f>
        <v/>
      </c>
      <c r="F245" s="8" t="str">
        <f aca="false">IF($D245="","",IFERROR(INDEX(INSUMOS!$E$6:$E$205,MATCH($D245,INSUMOS!$A$6:$A$205,0)),""))</f>
        <v/>
      </c>
      <c r="G245" s="39"/>
      <c r="H245" s="45" t="str">
        <f aca="false">IF($D245="","",IFERROR(INDEX(INSUMOS!$F$6:$F$205,MATCH($D245,INSUMOS!$A$6:$A$205,0)),0))</f>
        <v/>
      </c>
      <c r="I245" s="34" t="str">
        <f aca="false">IF($D245="","",N($G245)*$H245)</f>
        <v/>
      </c>
      <c r="J245" s="40"/>
      <c r="K245" s="36" t="str">
        <f aca="false">IF($D245="","",IFERROR(INDEX(INSUMOS!$H$6:$H$205,MATCH($D245,INSUMOS!$A$6:$A$205,0)),IVA_VENTAS))</f>
        <v/>
      </c>
      <c r="L245" s="35" t="str">
        <f aca="false">IF($D245="","",N($J245)*$K245)</f>
        <v/>
      </c>
      <c r="M245" s="35" t="str">
        <f aca="false">IF($D245="","",N($J245)+$L245)</f>
        <v/>
      </c>
      <c r="N245" s="43" t="str">
        <f aca="false">IF($D245="","",IFERROR(N($J245)/$I245,0))</f>
        <v/>
      </c>
      <c r="O245" s="6"/>
      <c r="P245" s="6"/>
      <c r="Q245" s="46" t="str">
        <f aca="false">IF($A245="","",DATE(YEAR($A245),MONTH($A245),1))</f>
        <v/>
      </c>
      <c r="R245" s="8" t="str">
        <f aca="false">IF(OR($A245="",$D245=""),"",IF(COUNTIFS($D$6:$D$1005,$D245,$A$6:$A$1005,"&gt;"&amp;$A245)=0,1,0))</f>
        <v/>
      </c>
    </row>
    <row r="246" customFormat="false" ht="15" hidden="false" customHeight="false" outlineLevel="0" collapsed="false">
      <c r="A246" s="44"/>
      <c r="B246" s="6"/>
      <c r="C246" s="6"/>
      <c r="D246" s="6"/>
      <c r="E246" s="8" t="str">
        <f aca="false">IF($D246="","",IFERROR(INDEX(INSUMOS!$B$6:$B$205,MATCH($D246,INSUMOS!$A$6:$A$205,0)),"¿Código?"))</f>
        <v/>
      </c>
      <c r="F246" s="8" t="str">
        <f aca="false">IF($D246="","",IFERROR(INDEX(INSUMOS!$E$6:$E$205,MATCH($D246,INSUMOS!$A$6:$A$205,0)),""))</f>
        <v/>
      </c>
      <c r="G246" s="39"/>
      <c r="H246" s="45" t="str">
        <f aca="false">IF($D246="","",IFERROR(INDEX(INSUMOS!$F$6:$F$205,MATCH($D246,INSUMOS!$A$6:$A$205,0)),0))</f>
        <v/>
      </c>
      <c r="I246" s="34" t="str">
        <f aca="false">IF($D246="","",N($G246)*$H246)</f>
        <v/>
      </c>
      <c r="J246" s="40"/>
      <c r="K246" s="36" t="str">
        <f aca="false">IF($D246="","",IFERROR(INDEX(INSUMOS!$H$6:$H$205,MATCH($D246,INSUMOS!$A$6:$A$205,0)),IVA_VENTAS))</f>
        <v/>
      </c>
      <c r="L246" s="35" t="str">
        <f aca="false">IF($D246="","",N($J246)*$K246)</f>
        <v/>
      </c>
      <c r="M246" s="35" t="str">
        <f aca="false">IF($D246="","",N($J246)+$L246)</f>
        <v/>
      </c>
      <c r="N246" s="43" t="str">
        <f aca="false">IF($D246="","",IFERROR(N($J246)/$I246,0))</f>
        <v/>
      </c>
      <c r="O246" s="6"/>
      <c r="P246" s="6"/>
      <c r="Q246" s="46" t="str">
        <f aca="false">IF($A246="","",DATE(YEAR($A246),MONTH($A246),1))</f>
        <v/>
      </c>
      <c r="R246" s="8" t="str">
        <f aca="false">IF(OR($A246="",$D246=""),"",IF(COUNTIFS($D$6:$D$1005,$D246,$A$6:$A$1005,"&gt;"&amp;$A246)=0,1,0))</f>
        <v/>
      </c>
    </row>
    <row r="247" customFormat="false" ht="15" hidden="false" customHeight="false" outlineLevel="0" collapsed="false">
      <c r="A247" s="44"/>
      <c r="B247" s="6"/>
      <c r="C247" s="6"/>
      <c r="D247" s="6"/>
      <c r="E247" s="8" t="str">
        <f aca="false">IF($D247="","",IFERROR(INDEX(INSUMOS!$B$6:$B$205,MATCH($D247,INSUMOS!$A$6:$A$205,0)),"¿Código?"))</f>
        <v/>
      </c>
      <c r="F247" s="8" t="str">
        <f aca="false">IF($D247="","",IFERROR(INDEX(INSUMOS!$E$6:$E$205,MATCH($D247,INSUMOS!$A$6:$A$205,0)),""))</f>
        <v/>
      </c>
      <c r="G247" s="39"/>
      <c r="H247" s="45" t="str">
        <f aca="false">IF($D247="","",IFERROR(INDEX(INSUMOS!$F$6:$F$205,MATCH($D247,INSUMOS!$A$6:$A$205,0)),0))</f>
        <v/>
      </c>
      <c r="I247" s="34" t="str">
        <f aca="false">IF($D247="","",N($G247)*$H247)</f>
        <v/>
      </c>
      <c r="J247" s="40"/>
      <c r="K247" s="36" t="str">
        <f aca="false">IF($D247="","",IFERROR(INDEX(INSUMOS!$H$6:$H$205,MATCH($D247,INSUMOS!$A$6:$A$205,0)),IVA_VENTAS))</f>
        <v/>
      </c>
      <c r="L247" s="35" t="str">
        <f aca="false">IF($D247="","",N($J247)*$K247)</f>
        <v/>
      </c>
      <c r="M247" s="35" t="str">
        <f aca="false">IF($D247="","",N($J247)+$L247)</f>
        <v/>
      </c>
      <c r="N247" s="43" t="str">
        <f aca="false">IF($D247="","",IFERROR(N($J247)/$I247,0))</f>
        <v/>
      </c>
      <c r="O247" s="6"/>
      <c r="P247" s="6"/>
      <c r="Q247" s="46" t="str">
        <f aca="false">IF($A247="","",DATE(YEAR($A247),MONTH($A247),1))</f>
        <v/>
      </c>
      <c r="R247" s="8" t="str">
        <f aca="false">IF(OR($A247="",$D247=""),"",IF(COUNTIFS($D$6:$D$1005,$D247,$A$6:$A$1005,"&gt;"&amp;$A247)=0,1,0))</f>
        <v/>
      </c>
    </row>
    <row r="248" customFormat="false" ht="15" hidden="false" customHeight="false" outlineLevel="0" collapsed="false">
      <c r="A248" s="44"/>
      <c r="B248" s="6"/>
      <c r="C248" s="6"/>
      <c r="D248" s="6"/>
      <c r="E248" s="8" t="str">
        <f aca="false">IF($D248="","",IFERROR(INDEX(INSUMOS!$B$6:$B$205,MATCH($D248,INSUMOS!$A$6:$A$205,0)),"¿Código?"))</f>
        <v/>
      </c>
      <c r="F248" s="8" t="str">
        <f aca="false">IF($D248="","",IFERROR(INDEX(INSUMOS!$E$6:$E$205,MATCH($D248,INSUMOS!$A$6:$A$205,0)),""))</f>
        <v/>
      </c>
      <c r="G248" s="39"/>
      <c r="H248" s="45" t="str">
        <f aca="false">IF($D248="","",IFERROR(INDEX(INSUMOS!$F$6:$F$205,MATCH($D248,INSUMOS!$A$6:$A$205,0)),0))</f>
        <v/>
      </c>
      <c r="I248" s="34" t="str">
        <f aca="false">IF($D248="","",N($G248)*$H248)</f>
        <v/>
      </c>
      <c r="J248" s="40"/>
      <c r="K248" s="36" t="str">
        <f aca="false">IF($D248="","",IFERROR(INDEX(INSUMOS!$H$6:$H$205,MATCH($D248,INSUMOS!$A$6:$A$205,0)),IVA_VENTAS))</f>
        <v/>
      </c>
      <c r="L248" s="35" t="str">
        <f aca="false">IF($D248="","",N($J248)*$K248)</f>
        <v/>
      </c>
      <c r="M248" s="35" t="str">
        <f aca="false">IF($D248="","",N($J248)+$L248)</f>
        <v/>
      </c>
      <c r="N248" s="43" t="str">
        <f aca="false">IF($D248="","",IFERROR(N($J248)/$I248,0))</f>
        <v/>
      </c>
      <c r="O248" s="6"/>
      <c r="P248" s="6"/>
      <c r="Q248" s="46" t="str">
        <f aca="false">IF($A248="","",DATE(YEAR($A248),MONTH($A248),1))</f>
        <v/>
      </c>
      <c r="R248" s="8" t="str">
        <f aca="false">IF(OR($A248="",$D248=""),"",IF(COUNTIFS($D$6:$D$1005,$D248,$A$6:$A$1005,"&gt;"&amp;$A248)=0,1,0))</f>
        <v/>
      </c>
    </row>
    <row r="249" customFormat="false" ht="15" hidden="false" customHeight="false" outlineLevel="0" collapsed="false">
      <c r="A249" s="44"/>
      <c r="B249" s="6"/>
      <c r="C249" s="6"/>
      <c r="D249" s="6"/>
      <c r="E249" s="8" t="str">
        <f aca="false">IF($D249="","",IFERROR(INDEX(INSUMOS!$B$6:$B$205,MATCH($D249,INSUMOS!$A$6:$A$205,0)),"¿Código?"))</f>
        <v/>
      </c>
      <c r="F249" s="8" t="str">
        <f aca="false">IF($D249="","",IFERROR(INDEX(INSUMOS!$E$6:$E$205,MATCH($D249,INSUMOS!$A$6:$A$205,0)),""))</f>
        <v/>
      </c>
      <c r="G249" s="39"/>
      <c r="H249" s="45" t="str">
        <f aca="false">IF($D249="","",IFERROR(INDEX(INSUMOS!$F$6:$F$205,MATCH($D249,INSUMOS!$A$6:$A$205,0)),0))</f>
        <v/>
      </c>
      <c r="I249" s="34" t="str">
        <f aca="false">IF($D249="","",N($G249)*$H249)</f>
        <v/>
      </c>
      <c r="J249" s="40"/>
      <c r="K249" s="36" t="str">
        <f aca="false">IF($D249="","",IFERROR(INDEX(INSUMOS!$H$6:$H$205,MATCH($D249,INSUMOS!$A$6:$A$205,0)),IVA_VENTAS))</f>
        <v/>
      </c>
      <c r="L249" s="35" t="str">
        <f aca="false">IF($D249="","",N($J249)*$K249)</f>
        <v/>
      </c>
      <c r="M249" s="35" t="str">
        <f aca="false">IF($D249="","",N($J249)+$L249)</f>
        <v/>
      </c>
      <c r="N249" s="43" t="str">
        <f aca="false">IF($D249="","",IFERROR(N($J249)/$I249,0))</f>
        <v/>
      </c>
      <c r="O249" s="6"/>
      <c r="P249" s="6"/>
      <c r="Q249" s="46" t="str">
        <f aca="false">IF($A249="","",DATE(YEAR($A249),MONTH($A249),1))</f>
        <v/>
      </c>
      <c r="R249" s="8" t="str">
        <f aca="false">IF(OR($A249="",$D249=""),"",IF(COUNTIFS($D$6:$D$1005,$D249,$A$6:$A$1005,"&gt;"&amp;$A249)=0,1,0))</f>
        <v/>
      </c>
    </row>
    <row r="250" customFormat="false" ht="15" hidden="false" customHeight="false" outlineLevel="0" collapsed="false">
      <c r="A250" s="44"/>
      <c r="B250" s="6"/>
      <c r="C250" s="6"/>
      <c r="D250" s="6"/>
      <c r="E250" s="8" t="str">
        <f aca="false">IF($D250="","",IFERROR(INDEX(INSUMOS!$B$6:$B$205,MATCH($D250,INSUMOS!$A$6:$A$205,0)),"¿Código?"))</f>
        <v/>
      </c>
      <c r="F250" s="8" t="str">
        <f aca="false">IF($D250="","",IFERROR(INDEX(INSUMOS!$E$6:$E$205,MATCH($D250,INSUMOS!$A$6:$A$205,0)),""))</f>
        <v/>
      </c>
      <c r="G250" s="39"/>
      <c r="H250" s="45" t="str">
        <f aca="false">IF($D250="","",IFERROR(INDEX(INSUMOS!$F$6:$F$205,MATCH($D250,INSUMOS!$A$6:$A$205,0)),0))</f>
        <v/>
      </c>
      <c r="I250" s="34" t="str">
        <f aca="false">IF($D250="","",N($G250)*$H250)</f>
        <v/>
      </c>
      <c r="J250" s="40"/>
      <c r="K250" s="36" t="str">
        <f aca="false">IF($D250="","",IFERROR(INDEX(INSUMOS!$H$6:$H$205,MATCH($D250,INSUMOS!$A$6:$A$205,0)),IVA_VENTAS))</f>
        <v/>
      </c>
      <c r="L250" s="35" t="str">
        <f aca="false">IF($D250="","",N($J250)*$K250)</f>
        <v/>
      </c>
      <c r="M250" s="35" t="str">
        <f aca="false">IF($D250="","",N($J250)+$L250)</f>
        <v/>
      </c>
      <c r="N250" s="43" t="str">
        <f aca="false">IF($D250="","",IFERROR(N($J250)/$I250,0))</f>
        <v/>
      </c>
      <c r="O250" s="6"/>
      <c r="P250" s="6"/>
      <c r="Q250" s="46" t="str">
        <f aca="false">IF($A250="","",DATE(YEAR($A250),MONTH($A250),1))</f>
        <v/>
      </c>
      <c r="R250" s="8" t="str">
        <f aca="false">IF(OR($A250="",$D250=""),"",IF(COUNTIFS($D$6:$D$1005,$D250,$A$6:$A$1005,"&gt;"&amp;$A250)=0,1,0))</f>
        <v/>
      </c>
    </row>
    <row r="251" customFormat="false" ht="15" hidden="false" customHeight="false" outlineLevel="0" collapsed="false">
      <c r="A251" s="44"/>
      <c r="B251" s="6"/>
      <c r="C251" s="6"/>
      <c r="D251" s="6"/>
      <c r="E251" s="8" t="str">
        <f aca="false">IF($D251="","",IFERROR(INDEX(INSUMOS!$B$6:$B$205,MATCH($D251,INSUMOS!$A$6:$A$205,0)),"¿Código?"))</f>
        <v/>
      </c>
      <c r="F251" s="8" t="str">
        <f aca="false">IF($D251="","",IFERROR(INDEX(INSUMOS!$E$6:$E$205,MATCH($D251,INSUMOS!$A$6:$A$205,0)),""))</f>
        <v/>
      </c>
      <c r="G251" s="39"/>
      <c r="H251" s="45" t="str">
        <f aca="false">IF($D251="","",IFERROR(INDEX(INSUMOS!$F$6:$F$205,MATCH($D251,INSUMOS!$A$6:$A$205,0)),0))</f>
        <v/>
      </c>
      <c r="I251" s="34" t="str">
        <f aca="false">IF($D251="","",N($G251)*$H251)</f>
        <v/>
      </c>
      <c r="J251" s="40"/>
      <c r="K251" s="36" t="str">
        <f aca="false">IF($D251="","",IFERROR(INDEX(INSUMOS!$H$6:$H$205,MATCH($D251,INSUMOS!$A$6:$A$205,0)),IVA_VENTAS))</f>
        <v/>
      </c>
      <c r="L251" s="35" t="str">
        <f aca="false">IF($D251="","",N($J251)*$K251)</f>
        <v/>
      </c>
      <c r="M251" s="35" t="str">
        <f aca="false">IF($D251="","",N($J251)+$L251)</f>
        <v/>
      </c>
      <c r="N251" s="43" t="str">
        <f aca="false">IF($D251="","",IFERROR(N($J251)/$I251,0))</f>
        <v/>
      </c>
      <c r="O251" s="6"/>
      <c r="P251" s="6"/>
      <c r="Q251" s="46" t="str">
        <f aca="false">IF($A251="","",DATE(YEAR($A251),MONTH($A251),1))</f>
        <v/>
      </c>
      <c r="R251" s="8" t="str">
        <f aca="false">IF(OR($A251="",$D251=""),"",IF(COUNTIFS($D$6:$D$1005,$D251,$A$6:$A$1005,"&gt;"&amp;$A251)=0,1,0))</f>
        <v/>
      </c>
    </row>
    <row r="252" customFormat="false" ht="15" hidden="false" customHeight="false" outlineLevel="0" collapsed="false">
      <c r="A252" s="44"/>
      <c r="B252" s="6"/>
      <c r="C252" s="6"/>
      <c r="D252" s="6"/>
      <c r="E252" s="8" t="str">
        <f aca="false">IF($D252="","",IFERROR(INDEX(INSUMOS!$B$6:$B$205,MATCH($D252,INSUMOS!$A$6:$A$205,0)),"¿Código?"))</f>
        <v/>
      </c>
      <c r="F252" s="8" t="str">
        <f aca="false">IF($D252="","",IFERROR(INDEX(INSUMOS!$E$6:$E$205,MATCH($D252,INSUMOS!$A$6:$A$205,0)),""))</f>
        <v/>
      </c>
      <c r="G252" s="39"/>
      <c r="H252" s="45" t="str">
        <f aca="false">IF($D252="","",IFERROR(INDEX(INSUMOS!$F$6:$F$205,MATCH($D252,INSUMOS!$A$6:$A$205,0)),0))</f>
        <v/>
      </c>
      <c r="I252" s="34" t="str">
        <f aca="false">IF($D252="","",N($G252)*$H252)</f>
        <v/>
      </c>
      <c r="J252" s="40"/>
      <c r="K252" s="36" t="str">
        <f aca="false">IF($D252="","",IFERROR(INDEX(INSUMOS!$H$6:$H$205,MATCH($D252,INSUMOS!$A$6:$A$205,0)),IVA_VENTAS))</f>
        <v/>
      </c>
      <c r="L252" s="35" t="str">
        <f aca="false">IF($D252="","",N($J252)*$K252)</f>
        <v/>
      </c>
      <c r="M252" s="35" t="str">
        <f aca="false">IF($D252="","",N($J252)+$L252)</f>
        <v/>
      </c>
      <c r="N252" s="43" t="str">
        <f aca="false">IF($D252="","",IFERROR(N($J252)/$I252,0))</f>
        <v/>
      </c>
      <c r="O252" s="6"/>
      <c r="P252" s="6"/>
      <c r="Q252" s="46" t="str">
        <f aca="false">IF($A252="","",DATE(YEAR($A252),MONTH($A252),1))</f>
        <v/>
      </c>
      <c r="R252" s="8" t="str">
        <f aca="false">IF(OR($A252="",$D252=""),"",IF(COUNTIFS($D$6:$D$1005,$D252,$A$6:$A$1005,"&gt;"&amp;$A252)=0,1,0))</f>
        <v/>
      </c>
    </row>
    <row r="253" customFormat="false" ht="15" hidden="false" customHeight="false" outlineLevel="0" collapsed="false">
      <c r="A253" s="44"/>
      <c r="B253" s="6"/>
      <c r="C253" s="6"/>
      <c r="D253" s="6"/>
      <c r="E253" s="8" t="str">
        <f aca="false">IF($D253="","",IFERROR(INDEX(INSUMOS!$B$6:$B$205,MATCH($D253,INSUMOS!$A$6:$A$205,0)),"¿Código?"))</f>
        <v/>
      </c>
      <c r="F253" s="8" t="str">
        <f aca="false">IF($D253="","",IFERROR(INDEX(INSUMOS!$E$6:$E$205,MATCH($D253,INSUMOS!$A$6:$A$205,0)),""))</f>
        <v/>
      </c>
      <c r="G253" s="39"/>
      <c r="H253" s="45" t="str">
        <f aca="false">IF($D253="","",IFERROR(INDEX(INSUMOS!$F$6:$F$205,MATCH($D253,INSUMOS!$A$6:$A$205,0)),0))</f>
        <v/>
      </c>
      <c r="I253" s="34" t="str">
        <f aca="false">IF($D253="","",N($G253)*$H253)</f>
        <v/>
      </c>
      <c r="J253" s="40"/>
      <c r="K253" s="36" t="str">
        <f aca="false">IF($D253="","",IFERROR(INDEX(INSUMOS!$H$6:$H$205,MATCH($D253,INSUMOS!$A$6:$A$205,0)),IVA_VENTAS))</f>
        <v/>
      </c>
      <c r="L253" s="35" t="str">
        <f aca="false">IF($D253="","",N($J253)*$K253)</f>
        <v/>
      </c>
      <c r="M253" s="35" t="str">
        <f aca="false">IF($D253="","",N($J253)+$L253)</f>
        <v/>
      </c>
      <c r="N253" s="43" t="str">
        <f aca="false">IF($D253="","",IFERROR(N($J253)/$I253,0))</f>
        <v/>
      </c>
      <c r="O253" s="6"/>
      <c r="P253" s="6"/>
      <c r="Q253" s="46" t="str">
        <f aca="false">IF($A253="","",DATE(YEAR($A253),MONTH($A253),1))</f>
        <v/>
      </c>
      <c r="R253" s="8" t="str">
        <f aca="false">IF(OR($A253="",$D253=""),"",IF(COUNTIFS($D$6:$D$1005,$D253,$A$6:$A$1005,"&gt;"&amp;$A253)=0,1,0))</f>
        <v/>
      </c>
    </row>
    <row r="254" customFormat="false" ht="15" hidden="false" customHeight="false" outlineLevel="0" collapsed="false">
      <c r="A254" s="44"/>
      <c r="B254" s="6"/>
      <c r="C254" s="6"/>
      <c r="D254" s="6"/>
      <c r="E254" s="8" t="str">
        <f aca="false">IF($D254="","",IFERROR(INDEX(INSUMOS!$B$6:$B$205,MATCH($D254,INSUMOS!$A$6:$A$205,0)),"¿Código?"))</f>
        <v/>
      </c>
      <c r="F254" s="8" t="str">
        <f aca="false">IF($D254="","",IFERROR(INDEX(INSUMOS!$E$6:$E$205,MATCH($D254,INSUMOS!$A$6:$A$205,0)),""))</f>
        <v/>
      </c>
      <c r="G254" s="39"/>
      <c r="H254" s="45" t="str">
        <f aca="false">IF($D254="","",IFERROR(INDEX(INSUMOS!$F$6:$F$205,MATCH($D254,INSUMOS!$A$6:$A$205,0)),0))</f>
        <v/>
      </c>
      <c r="I254" s="34" t="str">
        <f aca="false">IF($D254="","",N($G254)*$H254)</f>
        <v/>
      </c>
      <c r="J254" s="40"/>
      <c r="K254" s="36" t="str">
        <f aca="false">IF($D254="","",IFERROR(INDEX(INSUMOS!$H$6:$H$205,MATCH($D254,INSUMOS!$A$6:$A$205,0)),IVA_VENTAS))</f>
        <v/>
      </c>
      <c r="L254" s="35" t="str">
        <f aca="false">IF($D254="","",N($J254)*$K254)</f>
        <v/>
      </c>
      <c r="M254" s="35" t="str">
        <f aca="false">IF($D254="","",N($J254)+$L254)</f>
        <v/>
      </c>
      <c r="N254" s="43" t="str">
        <f aca="false">IF($D254="","",IFERROR(N($J254)/$I254,0))</f>
        <v/>
      </c>
      <c r="O254" s="6"/>
      <c r="P254" s="6"/>
      <c r="Q254" s="46" t="str">
        <f aca="false">IF($A254="","",DATE(YEAR($A254),MONTH($A254),1))</f>
        <v/>
      </c>
      <c r="R254" s="8" t="str">
        <f aca="false">IF(OR($A254="",$D254=""),"",IF(COUNTIFS($D$6:$D$1005,$D254,$A$6:$A$1005,"&gt;"&amp;$A254)=0,1,0))</f>
        <v/>
      </c>
    </row>
    <row r="255" customFormat="false" ht="15" hidden="false" customHeight="false" outlineLevel="0" collapsed="false">
      <c r="A255" s="44"/>
      <c r="B255" s="6"/>
      <c r="C255" s="6"/>
      <c r="D255" s="6"/>
      <c r="E255" s="8" t="str">
        <f aca="false">IF($D255="","",IFERROR(INDEX(INSUMOS!$B$6:$B$205,MATCH($D255,INSUMOS!$A$6:$A$205,0)),"¿Código?"))</f>
        <v/>
      </c>
      <c r="F255" s="8" t="str">
        <f aca="false">IF($D255="","",IFERROR(INDEX(INSUMOS!$E$6:$E$205,MATCH($D255,INSUMOS!$A$6:$A$205,0)),""))</f>
        <v/>
      </c>
      <c r="G255" s="39"/>
      <c r="H255" s="45" t="str">
        <f aca="false">IF($D255="","",IFERROR(INDEX(INSUMOS!$F$6:$F$205,MATCH($D255,INSUMOS!$A$6:$A$205,0)),0))</f>
        <v/>
      </c>
      <c r="I255" s="34" t="str">
        <f aca="false">IF($D255="","",N($G255)*$H255)</f>
        <v/>
      </c>
      <c r="J255" s="40"/>
      <c r="K255" s="36" t="str">
        <f aca="false">IF($D255="","",IFERROR(INDEX(INSUMOS!$H$6:$H$205,MATCH($D255,INSUMOS!$A$6:$A$205,0)),IVA_VENTAS))</f>
        <v/>
      </c>
      <c r="L255" s="35" t="str">
        <f aca="false">IF($D255="","",N($J255)*$K255)</f>
        <v/>
      </c>
      <c r="M255" s="35" t="str">
        <f aca="false">IF($D255="","",N($J255)+$L255)</f>
        <v/>
      </c>
      <c r="N255" s="43" t="str">
        <f aca="false">IF($D255="","",IFERROR(N($J255)/$I255,0))</f>
        <v/>
      </c>
      <c r="O255" s="6"/>
      <c r="P255" s="6"/>
      <c r="Q255" s="46" t="str">
        <f aca="false">IF($A255="","",DATE(YEAR($A255),MONTH($A255),1))</f>
        <v/>
      </c>
      <c r="R255" s="8" t="str">
        <f aca="false">IF(OR($A255="",$D255=""),"",IF(COUNTIFS($D$6:$D$1005,$D255,$A$6:$A$1005,"&gt;"&amp;$A255)=0,1,0))</f>
        <v/>
      </c>
    </row>
    <row r="256" customFormat="false" ht="15" hidden="false" customHeight="false" outlineLevel="0" collapsed="false">
      <c r="A256" s="44"/>
      <c r="B256" s="6"/>
      <c r="C256" s="6"/>
      <c r="D256" s="6"/>
      <c r="E256" s="8" t="str">
        <f aca="false">IF($D256="","",IFERROR(INDEX(INSUMOS!$B$6:$B$205,MATCH($D256,INSUMOS!$A$6:$A$205,0)),"¿Código?"))</f>
        <v/>
      </c>
      <c r="F256" s="8" t="str">
        <f aca="false">IF($D256="","",IFERROR(INDEX(INSUMOS!$E$6:$E$205,MATCH($D256,INSUMOS!$A$6:$A$205,0)),""))</f>
        <v/>
      </c>
      <c r="G256" s="39"/>
      <c r="H256" s="45" t="str">
        <f aca="false">IF($D256="","",IFERROR(INDEX(INSUMOS!$F$6:$F$205,MATCH($D256,INSUMOS!$A$6:$A$205,0)),0))</f>
        <v/>
      </c>
      <c r="I256" s="34" t="str">
        <f aca="false">IF($D256="","",N($G256)*$H256)</f>
        <v/>
      </c>
      <c r="J256" s="40"/>
      <c r="K256" s="36" t="str">
        <f aca="false">IF($D256="","",IFERROR(INDEX(INSUMOS!$H$6:$H$205,MATCH($D256,INSUMOS!$A$6:$A$205,0)),IVA_VENTAS))</f>
        <v/>
      </c>
      <c r="L256" s="35" t="str">
        <f aca="false">IF($D256="","",N($J256)*$K256)</f>
        <v/>
      </c>
      <c r="M256" s="35" t="str">
        <f aca="false">IF($D256="","",N($J256)+$L256)</f>
        <v/>
      </c>
      <c r="N256" s="43" t="str">
        <f aca="false">IF($D256="","",IFERROR(N($J256)/$I256,0))</f>
        <v/>
      </c>
      <c r="O256" s="6"/>
      <c r="P256" s="6"/>
      <c r="Q256" s="46" t="str">
        <f aca="false">IF($A256="","",DATE(YEAR($A256),MONTH($A256),1))</f>
        <v/>
      </c>
      <c r="R256" s="8" t="str">
        <f aca="false">IF(OR($A256="",$D256=""),"",IF(COUNTIFS($D$6:$D$1005,$D256,$A$6:$A$1005,"&gt;"&amp;$A256)=0,1,0))</f>
        <v/>
      </c>
    </row>
    <row r="257" customFormat="false" ht="15" hidden="false" customHeight="false" outlineLevel="0" collapsed="false">
      <c r="A257" s="44"/>
      <c r="B257" s="6"/>
      <c r="C257" s="6"/>
      <c r="D257" s="6"/>
      <c r="E257" s="8" t="str">
        <f aca="false">IF($D257="","",IFERROR(INDEX(INSUMOS!$B$6:$B$205,MATCH($D257,INSUMOS!$A$6:$A$205,0)),"¿Código?"))</f>
        <v/>
      </c>
      <c r="F257" s="8" t="str">
        <f aca="false">IF($D257="","",IFERROR(INDEX(INSUMOS!$E$6:$E$205,MATCH($D257,INSUMOS!$A$6:$A$205,0)),""))</f>
        <v/>
      </c>
      <c r="G257" s="39"/>
      <c r="H257" s="45" t="str">
        <f aca="false">IF($D257="","",IFERROR(INDEX(INSUMOS!$F$6:$F$205,MATCH($D257,INSUMOS!$A$6:$A$205,0)),0))</f>
        <v/>
      </c>
      <c r="I257" s="34" t="str">
        <f aca="false">IF($D257="","",N($G257)*$H257)</f>
        <v/>
      </c>
      <c r="J257" s="40"/>
      <c r="K257" s="36" t="str">
        <f aca="false">IF($D257="","",IFERROR(INDEX(INSUMOS!$H$6:$H$205,MATCH($D257,INSUMOS!$A$6:$A$205,0)),IVA_VENTAS))</f>
        <v/>
      </c>
      <c r="L257" s="35" t="str">
        <f aca="false">IF($D257="","",N($J257)*$K257)</f>
        <v/>
      </c>
      <c r="M257" s="35" t="str">
        <f aca="false">IF($D257="","",N($J257)+$L257)</f>
        <v/>
      </c>
      <c r="N257" s="43" t="str">
        <f aca="false">IF($D257="","",IFERROR(N($J257)/$I257,0))</f>
        <v/>
      </c>
      <c r="O257" s="6"/>
      <c r="P257" s="6"/>
      <c r="Q257" s="46" t="str">
        <f aca="false">IF($A257="","",DATE(YEAR($A257),MONTH($A257),1))</f>
        <v/>
      </c>
      <c r="R257" s="8" t="str">
        <f aca="false">IF(OR($A257="",$D257=""),"",IF(COUNTIFS($D$6:$D$1005,$D257,$A$6:$A$1005,"&gt;"&amp;$A257)=0,1,0))</f>
        <v/>
      </c>
    </row>
    <row r="258" customFormat="false" ht="15" hidden="false" customHeight="false" outlineLevel="0" collapsed="false">
      <c r="A258" s="44"/>
      <c r="B258" s="6"/>
      <c r="C258" s="6"/>
      <c r="D258" s="6"/>
      <c r="E258" s="8" t="str">
        <f aca="false">IF($D258="","",IFERROR(INDEX(INSUMOS!$B$6:$B$205,MATCH($D258,INSUMOS!$A$6:$A$205,0)),"¿Código?"))</f>
        <v/>
      </c>
      <c r="F258" s="8" t="str">
        <f aca="false">IF($D258="","",IFERROR(INDEX(INSUMOS!$E$6:$E$205,MATCH($D258,INSUMOS!$A$6:$A$205,0)),""))</f>
        <v/>
      </c>
      <c r="G258" s="39"/>
      <c r="H258" s="45" t="str">
        <f aca="false">IF($D258="","",IFERROR(INDEX(INSUMOS!$F$6:$F$205,MATCH($D258,INSUMOS!$A$6:$A$205,0)),0))</f>
        <v/>
      </c>
      <c r="I258" s="34" t="str">
        <f aca="false">IF($D258="","",N($G258)*$H258)</f>
        <v/>
      </c>
      <c r="J258" s="40"/>
      <c r="K258" s="36" t="str">
        <f aca="false">IF($D258="","",IFERROR(INDEX(INSUMOS!$H$6:$H$205,MATCH($D258,INSUMOS!$A$6:$A$205,0)),IVA_VENTAS))</f>
        <v/>
      </c>
      <c r="L258" s="35" t="str">
        <f aca="false">IF($D258="","",N($J258)*$K258)</f>
        <v/>
      </c>
      <c r="M258" s="35" t="str">
        <f aca="false">IF($D258="","",N($J258)+$L258)</f>
        <v/>
      </c>
      <c r="N258" s="43" t="str">
        <f aca="false">IF($D258="","",IFERROR(N($J258)/$I258,0))</f>
        <v/>
      </c>
      <c r="O258" s="6"/>
      <c r="P258" s="6"/>
      <c r="Q258" s="46" t="str">
        <f aca="false">IF($A258="","",DATE(YEAR($A258),MONTH($A258),1))</f>
        <v/>
      </c>
      <c r="R258" s="8" t="str">
        <f aca="false">IF(OR($A258="",$D258=""),"",IF(COUNTIFS($D$6:$D$1005,$D258,$A$6:$A$1005,"&gt;"&amp;$A258)=0,1,0))</f>
        <v/>
      </c>
    </row>
    <row r="259" customFormat="false" ht="15" hidden="false" customHeight="false" outlineLevel="0" collapsed="false">
      <c r="A259" s="44"/>
      <c r="B259" s="6"/>
      <c r="C259" s="6"/>
      <c r="D259" s="6"/>
      <c r="E259" s="8" t="str">
        <f aca="false">IF($D259="","",IFERROR(INDEX(INSUMOS!$B$6:$B$205,MATCH($D259,INSUMOS!$A$6:$A$205,0)),"¿Código?"))</f>
        <v/>
      </c>
      <c r="F259" s="8" t="str">
        <f aca="false">IF($D259="","",IFERROR(INDEX(INSUMOS!$E$6:$E$205,MATCH($D259,INSUMOS!$A$6:$A$205,0)),""))</f>
        <v/>
      </c>
      <c r="G259" s="39"/>
      <c r="H259" s="45" t="str">
        <f aca="false">IF($D259="","",IFERROR(INDEX(INSUMOS!$F$6:$F$205,MATCH($D259,INSUMOS!$A$6:$A$205,0)),0))</f>
        <v/>
      </c>
      <c r="I259" s="34" t="str">
        <f aca="false">IF($D259="","",N($G259)*$H259)</f>
        <v/>
      </c>
      <c r="J259" s="40"/>
      <c r="K259" s="36" t="str">
        <f aca="false">IF($D259="","",IFERROR(INDEX(INSUMOS!$H$6:$H$205,MATCH($D259,INSUMOS!$A$6:$A$205,0)),IVA_VENTAS))</f>
        <v/>
      </c>
      <c r="L259" s="35" t="str">
        <f aca="false">IF($D259="","",N($J259)*$K259)</f>
        <v/>
      </c>
      <c r="M259" s="35" t="str">
        <f aca="false">IF($D259="","",N($J259)+$L259)</f>
        <v/>
      </c>
      <c r="N259" s="43" t="str">
        <f aca="false">IF($D259="","",IFERROR(N($J259)/$I259,0))</f>
        <v/>
      </c>
      <c r="O259" s="6"/>
      <c r="P259" s="6"/>
      <c r="Q259" s="46" t="str">
        <f aca="false">IF($A259="","",DATE(YEAR($A259),MONTH($A259),1))</f>
        <v/>
      </c>
      <c r="R259" s="8" t="str">
        <f aca="false">IF(OR($A259="",$D259=""),"",IF(COUNTIFS($D$6:$D$1005,$D259,$A$6:$A$1005,"&gt;"&amp;$A259)=0,1,0))</f>
        <v/>
      </c>
    </row>
    <row r="260" customFormat="false" ht="15" hidden="false" customHeight="false" outlineLevel="0" collapsed="false">
      <c r="A260" s="44"/>
      <c r="B260" s="6"/>
      <c r="C260" s="6"/>
      <c r="D260" s="6"/>
      <c r="E260" s="8" t="str">
        <f aca="false">IF($D260="","",IFERROR(INDEX(INSUMOS!$B$6:$B$205,MATCH($D260,INSUMOS!$A$6:$A$205,0)),"¿Código?"))</f>
        <v/>
      </c>
      <c r="F260" s="8" t="str">
        <f aca="false">IF($D260="","",IFERROR(INDEX(INSUMOS!$E$6:$E$205,MATCH($D260,INSUMOS!$A$6:$A$205,0)),""))</f>
        <v/>
      </c>
      <c r="G260" s="39"/>
      <c r="H260" s="45" t="str">
        <f aca="false">IF($D260="","",IFERROR(INDEX(INSUMOS!$F$6:$F$205,MATCH($D260,INSUMOS!$A$6:$A$205,0)),0))</f>
        <v/>
      </c>
      <c r="I260" s="34" t="str">
        <f aca="false">IF($D260="","",N($G260)*$H260)</f>
        <v/>
      </c>
      <c r="J260" s="40"/>
      <c r="K260" s="36" t="str">
        <f aca="false">IF($D260="","",IFERROR(INDEX(INSUMOS!$H$6:$H$205,MATCH($D260,INSUMOS!$A$6:$A$205,0)),IVA_VENTAS))</f>
        <v/>
      </c>
      <c r="L260" s="35" t="str">
        <f aca="false">IF($D260="","",N($J260)*$K260)</f>
        <v/>
      </c>
      <c r="M260" s="35" t="str">
        <f aca="false">IF($D260="","",N($J260)+$L260)</f>
        <v/>
      </c>
      <c r="N260" s="43" t="str">
        <f aca="false">IF($D260="","",IFERROR(N($J260)/$I260,0))</f>
        <v/>
      </c>
      <c r="O260" s="6"/>
      <c r="P260" s="6"/>
      <c r="Q260" s="46" t="str">
        <f aca="false">IF($A260="","",DATE(YEAR($A260),MONTH($A260),1))</f>
        <v/>
      </c>
      <c r="R260" s="8" t="str">
        <f aca="false">IF(OR($A260="",$D260=""),"",IF(COUNTIFS($D$6:$D$1005,$D260,$A$6:$A$1005,"&gt;"&amp;$A260)=0,1,0))</f>
        <v/>
      </c>
    </row>
    <row r="261" customFormat="false" ht="15" hidden="false" customHeight="false" outlineLevel="0" collapsed="false">
      <c r="A261" s="44"/>
      <c r="B261" s="6"/>
      <c r="C261" s="6"/>
      <c r="D261" s="6"/>
      <c r="E261" s="8" t="str">
        <f aca="false">IF($D261="","",IFERROR(INDEX(INSUMOS!$B$6:$B$205,MATCH($D261,INSUMOS!$A$6:$A$205,0)),"¿Código?"))</f>
        <v/>
      </c>
      <c r="F261" s="8" t="str">
        <f aca="false">IF($D261="","",IFERROR(INDEX(INSUMOS!$E$6:$E$205,MATCH($D261,INSUMOS!$A$6:$A$205,0)),""))</f>
        <v/>
      </c>
      <c r="G261" s="39"/>
      <c r="H261" s="45" t="str">
        <f aca="false">IF($D261="","",IFERROR(INDEX(INSUMOS!$F$6:$F$205,MATCH($D261,INSUMOS!$A$6:$A$205,0)),0))</f>
        <v/>
      </c>
      <c r="I261" s="34" t="str">
        <f aca="false">IF($D261="","",N($G261)*$H261)</f>
        <v/>
      </c>
      <c r="J261" s="40"/>
      <c r="K261" s="36" t="str">
        <f aca="false">IF($D261="","",IFERROR(INDEX(INSUMOS!$H$6:$H$205,MATCH($D261,INSUMOS!$A$6:$A$205,0)),IVA_VENTAS))</f>
        <v/>
      </c>
      <c r="L261" s="35" t="str">
        <f aca="false">IF($D261="","",N($J261)*$K261)</f>
        <v/>
      </c>
      <c r="M261" s="35" t="str">
        <f aca="false">IF($D261="","",N($J261)+$L261)</f>
        <v/>
      </c>
      <c r="N261" s="43" t="str">
        <f aca="false">IF($D261="","",IFERROR(N($J261)/$I261,0))</f>
        <v/>
      </c>
      <c r="O261" s="6"/>
      <c r="P261" s="6"/>
      <c r="Q261" s="46" t="str">
        <f aca="false">IF($A261="","",DATE(YEAR($A261),MONTH($A261),1))</f>
        <v/>
      </c>
      <c r="R261" s="8" t="str">
        <f aca="false">IF(OR($A261="",$D261=""),"",IF(COUNTIFS($D$6:$D$1005,$D261,$A$6:$A$1005,"&gt;"&amp;$A261)=0,1,0))</f>
        <v/>
      </c>
    </row>
    <row r="262" customFormat="false" ht="15" hidden="false" customHeight="false" outlineLevel="0" collapsed="false">
      <c r="A262" s="44"/>
      <c r="B262" s="6"/>
      <c r="C262" s="6"/>
      <c r="D262" s="6"/>
      <c r="E262" s="8" t="str">
        <f aca="false">IF($D262="","",IFERROR(INDEX(INSUMOS!$B$6:$B$205,MATCH($D262,INSUMOS!$A$6:$A$205,0)),"¿Código?"))</f>
        <v/>
      </c>
      <c r="F262" s="8" t="str">
        <f aca="false">IF($D262="","",IFERROR(INDEX(INSUMOS!$E$6:$E$205,MATCH($D262,INSUMOS!$A$6:$A$205,0)),""))</f>
        <v/>
      </c>
      <c r="G262" s="39"/>
      <c r="H262" s="45" t="str">
        <f aca="false">IF($D262="","",IFERROR(INDEX(INSUMOS!$F$6:$F$205,MATCH($D262,INSUMOS!$A$6:$A$205,0)),0))</f>
        <v/>
      </c>
      <c r="I262" s="34" t="str">
        <f aca="false">IF($D262="","",N($G262)*$H262)</f>
        <v/>
      </c>
      <c r="J262" s="40"/>
      <c r="K262" s="36" t="str">
        <f aca="false">IF($D262="","",IFERROR(INDEX(INSUMOS!$H$6:$H$205,MATCH($D262,INSUMOS!$A$6:$A$205,0)),IVA_VENTAS))</f>
        <v/>
      </c>
      <c r="L262" s="35" t="str">
        <f aca="false">IF($D262="","",N($J262)*$K262)</f>
        <v/>
      </c>
      <c r="M262" s="35" t="str">
        <f aca="false">IF($D262="","",N($J262)+$L262)</f>
        <v/>
      </c>
      <c r="N262" s="43" t="str">
        <f aca="false">IF($D262="","",IFERROR(N($J262)/$I262,0))</f>
        <v/>
      </c>
      <c r="O262" s="6"/>
      <c r="P262" s="6"/>
      <c r="Q262" s="46" t="str">
        <f aca="false">IF($A262="","",DATE(YEAR($A262),MONTH($A262),1))</f>
        <v/>
      </c>
      <c r="R262" s="8" t="str">
        <f aca="false">IF(OR($A262="",$D262=""),"",IF(COUNTIFS($D$6:$D$1005,$D262,$A$6:$A$1005,"&gt;"&amp;$A262)=0,1,0))</f>
        <v/>
      </c>
    </row>
    <row r="263" customFormat="false" ht="15" hidden="false" customHeight="false" outlineLevel="0" collapsed="false">
      <c r="A263" s="44"/>
      <c r="B263" s="6"/>
      <c r="C263" s="6"/>
      <c r="D263" s="6"/>
      <c r="E263" s="8" t="str">
        <f aca="false">IF($D263="","",IFERROR(INDEX(INSUMOS!$B$6:$B$205,MATCH($D263,INSUMOS!$A$6:$A$205,0)),"¿Código?"))</f>
        <v/>
      </c>
      <c r="F263" s="8" t="str">
        <f aca="false">IF($D263="","",IFERROR(INDEX(INSUMOS!$E$6:$E$205,MATCH($D263,INSUMOS!$A$6:$A$205,0)),""))</f>
        <v/>
      </c>
      <c r="G263" s="39"/>
      <c r="H263" s="45" t="str">
        <f aca="false">IF($D263="","",IFERROR(INDEX(INSUMOS!$F$6:$F$205,MATCH($D263,INSUMOS!$A$6:$A$205,0)),0))</f>
        <v/>
      </c>
      <c r="I263" s="34" t="str">
        <f aca="false">IF($D263="","",N($G263)*$H263)</f>
        <v/>
      </c>
      <c r="J263" s="40"/>
      <c r="K263" s="36" t="str">
        <f aca="false">IF($D263="","",IFERROR(INDEX(INSUMOS!$H$6:$H$205,MATCH($D263,INSUMOS!$A$6:$A$205,0)),IVA_VENTAS))</f>
        <v/>
      </c>
      <c r="L263" s="35" t="str">
        <f aca="false">IF($D263="","",N($J263)*$K263)</f>
        <v/>
      </c>
      <c r="M263" s="35" t="str">
        <f aca="false">IF($D263="","",N($J263)+$L263)</f>
        <v/>
      </c>
      <c r="N263" s="43" t="str">
        <f aca="false">IF($D263="","",IFERROR(N($J263)/$I263,0))</f>
        <v/>
      </c>
      <c r="O263" s="6"/>
      <c r="P263" s="6"/>
      <c r="Q263" s="46" t="str">
        <f aca="false">IF($A263="","",DATE(YEAR($A263),MONTH($A263),1))</f>
        <v/>
      </c>
      <c r="R263" s="8" t="str">
        <f aca="false">IF(OR($A263="",$D263=""),"",IF(COUNTIFS($D$6:$D$1005,$D263,$A$6:$A$1005,"&gt;"&amp;$A263)=0,1,0))</f>
        <v/>
      </c>
    </row>
    <row r="264" customFormat="false" ht="15" hidden="false" customHeight="false" outlineLevel="0" collapsed="false">
      <c r="A264" s="44"/>
      <c r="B264" s="6"/>
      <c r="C264" s="6"/>
      <c r="D264" s="6"/>
      <c r="E264" s="8" t="str">
        <f aca="false">IF($D264="","",IFERROR(INDEX(INSUMOS!$B$6:$B$205,MATCH($D264,INSUMOS!$A$6:$A$205,0)),"¿Código?"))</f>
        <v/>
      </c>
      <c r="F264" s="8" t="str">
        <f aca="false">IF($D264="","",IFERROR(INDEX(INSUMOS!$E$6:$E$205,MATCH($D264,INSUMOS!$A$6:$A$205,0)),""))</f>
        <v/>
      </c>
      <c r="G264" s="39"/>
      <c r="H264" s="45" t="str">
        <f aca="false">IF($D264="","",IFERROR(INDEX(INSUMOS!$F$6:$F$205,MATCH($D264,INSUMOS!$A$6:$A$205,0)),0))</f>
        <v/>
      </c>
      <c r="I264" s="34" t="str">
        <f aca="false">IF($D264="","",N($G264)*$H264)</f>
        <v/>
      </c>
      <c r="J264" s="40"/>
      <c r="K264" s="36" t="str">
        <f aca="false">IF($D264="","",IFERROR(INDEX(INSUMOS!$H$6:$H$205,MATCH($D264,INSUMOS!$A$6:$A$205,0)),IVA_VENTAS))</f>
        <v/>
      </c>
      <c r="L264" s="35" t="str">
        <f aca="false">IF($D264="","",N($J264)*$K264)</f>
        <v/>
      </c>
      <c r="M264" s="35" t="str">
        <f aca="false">IF($D264="","",N($J264)+$L264)</f>
        <v/>
      </c>
      <c r="N264" s="43" t="str">
        <f aca="false">IF($D264="","",IFERROR(N($J264)/$I264,0))</f>
        <v/>
      </c>
      <c r="O264" s="6"/>
      <c r="P264" s="6"/>
      <c r="Q264" s="46" t="str">
        <f aca="false">IF($A264="","",DATE(YEAR($A264),MONTH($A264),1))</f>
        <v/>
      </c>
      <c r="R264" s="8" t="str">
        <f aca="false">IF(OR($A264="",$D264=""),"",IF(COUNTIFS($D$6:$D$1005,$D264,$A$6:$A$1005,"&gt;"&amp;$A264)=0,1,0))</f>
        <v/>
      </c>
    </row>
    <row r="265" customFormat="false" ht="15" hidden="false" customHeight="false" outlineLevel="0" collapsed="false">
      <c r="A265" s="44"/>
      <c r="B265" s="6"/>
      <c r="C265" s="6"/>
      <c r="D265" s="6"/>
      <c r="E265" s="8" t="str">
        <f aca="false">IF($D265="","",IFERROR(INDEX(INSUMOS!$B$6:$B$205,MATCH($D265,INSUMOS!$A$6:$A$205,0)),"¿Código?"))</f>
        <v/>
      </c>
      <c r="F265" s="8" t="str">
        <f aca="false">IF($D265="","",IFERROR(INDEX(INSUMOS!$E$6:$E$205,MATCH($D265,INSUMOS!$A$6:$A$205,0)),""))</f>
        <v/>
      </c>
      <c r="G265" s="39"/>
      <c r="H265" s="45" t="str">
        <f aca="false">IF($D265="","",IFERROR(INDEX(INSUMOS!$F$6:$F$205,MATCH($D265,INSUMOS!$A$6:$A$205,0)),0))</f>
        <v/>
      </c>
      <c r="I265" s="34" t="str">
        <f aca="false">IF($D265="","",N($G265)*$H265)</f>
        <v/>
      </c>
      <c r="J265" s="40"/>
      <c r="K265" s="36" t="str">
        <f aca="false">IF($D265="","",IFERROR(INDEX(INSUMOS!$H$6:$H$205,MATCH($D265,INSUMOS!$A$6:$A$205,0)),IVA_VENTAS))</f>
        <v/>
      </c>
      <c r="L265" s="35" t="str">
        <f aca="false">IF($D265="","",N($J265)*$K265)</f>
        <v/>
      </c>
      <c r="M265" s="35" t="str">
        <f aca="false">IF($D265="","",N($J265)+$L265)</f>
        <v/>
      </c>
      <c r="N265" s="43" t="str">
        <f aca="false">IF($D265="","",IFERROR(N($J265)/$I265,0))</f>
        <v/>
      </c>
      <c r="O265" s="6"/>
      <c r="P265" s="6"/>
      <c r="Q265" s="46" t="str">
        <f aca="false">IF($A265="","",DATE(YEAR($A265),MONTH($A265),1))</f>
        <v/>
      </c>
      <c r="R265" s="8" t="str">
        <f aca="false">IF(OR($A265="",$D265=""),"",IF(COUNTIFS($D$6:$D$1005,$D265,$A$6:$A$1005,"&gt;"&amp;$A265)=0,1,0))</f>
        <v/>
      </c>
    </row>
    <row r="266" customFormat="false" ht="15" hidden="false" customHeight="false" outlineLevel="0" collapsed="false">
      <c r="A266" s="44"/>
      <c r="B266" s="6"/>
      <c r="C266" s="6"/>
      <c r="D266" s="6"/>
      <c r="E266" s="8" t="str">
        <f aca="false">IF($D266="","",IFERROR(INDEX(INSUMOS!$B$6:$B$205,MATCH($D266,INSUMOS!$A$6:$A$205,0)),"¿Código?"))</f>
        <v/>
      </c>
      <c r="F266" s="8" t="str">
        <f aca="false">IF($D266="","",IFERROR(INDEX(INSUMOS!$E$6:$E$205,MATCH($D266,INSUMOS!$A$6:$A$205,0)),""))</f>
        <v/>
      </c>
      <c r="G266" s="39"/>
      <c r="H266" s="45" t="str">
        <f aca="false">IF($D266="","",IFERROR(INDEX(INSUMOS!$F$6:$F$205,MATCH($D266,INSUMOS!$A$6:$A$205,0)),0))</f>
        <v/>
      </c>
      <c r="I266" s="34" t="str">
        <f aca="false">IF($D266="","",N($G266)*$H266)</f>
        <v/>
      </c>
      <c r="J266" s="40"/>
      <c r="K266" s="36" t="str">
        <f aca="false">IF($D266="","",IFERROR(INDEX(INSUMOS!$H$6:$H$205,MATCH($D266,INSUMOS!$A$6:$A$205,0)),IVA_VENTAS))</f>
        <v/>
      </c>
      <c r="L266" s="35" t="str">
        <f aca="false">IF($D266="","",N($J266)*$K266)</f>
        <v/>
      </c>
      <c r="M266" s="35" t="str">
        <f aca="false">IF($D266="","",N($J266)+$L266)</f>
        <v/>
      </c>
      <c r="N266" s="43" t="str">
        <f aca="false">IF($D266="","",IFERROR(N($J266)/$I266,0))</f>
        <v/>
      </c>
      <c r="O266" s="6"/>
      <c r="P266" s="6"/>
      <c r="Q266" s="46" t="str">
        <f aca="false">IF($A266="","",DATE(YEAR($A266),MONTH($A266),1))</f>
        <v/>
      </c>
      <c r="R266" s="8" t="str">
        <f aca="false">IF(OR($A266="",$D266=""),"",IF(COUNTIFS($D$6:$D$1005,$D266,$A$6:$A$1005,"&gt;"&amp;$A266)=0,1,0))</f>
        <v/>
      </c>
    </row>
    <row r="267" customFormat="false" ht="15" hidden="false" customHeight="false" outlineLevel="0" collapsed="false">
      <c r="A267" s="44"/>
      <c r="B267" s="6"/>
      <c r="C267" s="6"/>
      <c r="D267" s="6"/>
      <c r="E267" s="8" t="str">
        <f aca="false">IF($D267="","",IFERROR(INDEX(INSUMOS!$B$6:$B$205,MATCH($D267,INSUMOS!$A$6:$A$205,0)),"¿Código?"))</f>
        <v/>
      </c>
      <c r="F267" s="8" t="str">
        <f aca="false">IF($D267="","",IFERROR(INDEX(INSUMOS!$E$6:$E$205,MATCH($D267,INSUMOS!$A$6:$A$205,0)),""))</f>
        <v/>
      </c>
      <c r="G267" s="39"/>
      <c r="H267" s="45" t="str">
        <f aca="false">IF($D267="","",IFERROR(INDEX(INSUMOS!$F$6:$F$205,MATCH($D267,INSUMOS!$A$6:$A$205,0)),0))</f>
        <v/>
      </c>
      <c r="I267" s="34" t="str">
        <f aca="false">IF($D267="","",N($G267)*$H267)</f>
        <v/>
      </c>
      <c r="J267" s="40"/>
      <c r="K267" s="36" t="str">
        <f aca="false">IF($D267="","",IFERROR(INDEX(INSUMOS!$H$6:$H$205,MATCH($D267,INSUMOS!$A$6:$A$205,0)),IVA_VENTAS))</f>
        <v/>
      </c>
      <c r="L267" s="35" t="str">
        <f aca="false">IF($D267="","",N($J267)*$K267)</f>
        <v/>
      </c>
      <c r="M267" s="35" t="str">
        <f aca="false">IF($D267="","",N($J267)+$L267)</f>
        <v/>
      </c>
      <c r="N267" s="43" t="str">
        <f aca="false">IF($D267="","",IFERROR(N($J267)/$I267,0))</f>
        <v/>
      </c>
      <c r="O267" s="6"/>
      <c r="P267" s="6"/>
      <c r="Q267" s="46" t="str">
        <f aca="false">IF($A267="","",DATE(YEAR($A267),MONTH($A267),1))</f>
        <v/>
      </c>
      <c r="R267" s="8" t="str">
        <f aca="false">IF(OR($A267="",$D267=""),"",IF(COUNTIFS($D$6:$D$1005,$D267,$A$6:$A$1005,"&gt;"&amp;$A267)=0,1,0))</f>
        <v/>
      </c>
    </row>
    <row r="268" customFormat="false" ht="15" hidden="false" customHeight="false" outlineLevel="0" collapsed="false">
      <c r="A268" s="44"/>
      <c r="B268" s="6"/>
      <c r="C268" s="6"/>
      <c r="D268" s="6"/>
      <c r="E268" s="8" t="str">
        <f aca="false">IF($D268="","",IFERROR(INDEX(INSUMOS!$B$6:$B$205,MATCH($D268,INSUMOS!$A$6:$A$205,0)),"¿Código?"))</f>
        <v/>
      </c>
      <c r="F268" s="8" t="str">
        <f aca="false">IF($D268="","",IFERROR(INDEX(INSUMOS!$E$6:$E$205,MATCH($D268,INSUMOS!$A$6:$A$205,0)),""))</f>
        <v/>
      </c>
      <c r="G268" s="39"/>
      <c r="H268" s="45" t="str">
        <f aca="false">IF($D268="","",IFERROR(INDEX(INSUMOS!$F$6:$F$205,MATCH($D268,INSUMOS!$A$6:$A$205,0)),0))</f>
        <v/>
      </c>
      <c r="I268" s="34" t="str">
        <f aca="false">IF($D268="","",N($G268)*$H268)</f>
        <v/>
      </c>
      <c r="J268" s="40"/>
      <c r="K268" s="36" t="str">
        <f aca="false">IF($D268="","",IFERROR(INDEX(INSUMOS!$H$6:$H$205,MATCH($D268,INSUMOS!$A$6:$A$205,0)),IVA_VENTAS))</f>
        <v/>
      </c>
      <c r="L268" s="35" t="str">
        <f aca="false">IF($D268="","",N($J268)*$K268)</f>
        <v/>
      </c>
      <c r="M268" s="35" t="str">
        <f aca="false">IF($D268="","",N($J268)+$L268)</f>
        <v/>
      </c>
      <c r="N268" s="43" t="str">
        <f aca="false">IF($D268="","",IFERROR(N($J268)/$I268,0))</f>
        <v/>
      </c>
      <c r="O268" s="6"/>
      <c r="P268" s="6"/>
      <c r="Q268" s="46" t="str">
        <f aca="false">IF($A268="","",DATE(YEAR($A268),MONTH($A268),1))</f>
        <v/>
      </c>
      <c r="R268" s="8" t="str">
        <f aca="false">IF(OR($A268="",$D268=""),"",IF(COUNTIFS($D$6:$D$1005,$D268,$A$6:$A$1005,"&gt;"&amp;$A268)=0,1,0))</f>
        <v/>
      </c>
    </row>
    <row r="269" customFormat="false" ht="15" hidden="false" customHeight="false" outlineLevel="0" collapsed="false">
      <c r="A269" s="44"/>
      <c r="B269" s="6"/>
      <c r="C269" s="6"/>
      <c r="D269" s="6"/>
      <c r="E269" s="8" t="str">
        <f aca="false">IF($D269="","",IFERROR(INDEX(INSUMOS!$B$6:$B$205,MATCH($D269,INSUMOS!$A$6:$A$205,0)),"¿Código?"))</f>
        <v/>
      </c>
      <c r="F269" s="8" t="str">
        <f aca="false">IF($D269="","",IFERROR(INDEX(INSUMOS!$E$6:$E$205,MATCH($D269,INSUMOS!$A$6:$A$205,0)),""))</f>
        <v/>
      </c>
      <c r="G269" s="39"/>
      <c r="H269" s="45" t="str">
        <f aca="false">IF($D269="","",IFERROR(INDEX(INSUMOS!$F$6:$F$205,MATCH($D269,INSUMOS!$A$6:$A$205,0)),0))</f>
        <v/>
      </c>
      <c r="I269" s="34" t="str">
        <f aca="false">IF($D269="","",N($G269)*$H269)</f>
        <v/>
      </c>
      <c r="J269" s="40"/>
      <c r="K269" s="36" t="str">
        <f aca="false">IF($D269="","",IFERROR(INDEX(INSUMOS!$H$6:$H$205,MATCH($D269,INSUMOS!$A$6:$A$205,0)),IVA_VENTAS))</f>
        <v/>
      </c>
      <c r="L269" s="35" t="str">
        <f aca="false">IF($D269="","",N($J269)*$K269)</f>
        <v/>
      </c>
      <c r="M269" s="35" t="str">
        <f aca="false">IF($D269="","",N($J269)+$L269)</f>
        <v/>
      </c>
      <c r="N269" s="43" t="str">
        <f aca="false">IF($D269="","",IFERROR(N($J269)/$I269,0))</f>
        <v/>
      </c>
      <c r="O269" s="6"/>
      <c r="P269" s="6"/>
      <c r="Q269" s="46" t="str">
        <f aca="false">IF($A269="","",DATE(YEAR($A269),MONTH($A269),1))</f>
        <v/>
      </c>
      <c r="R269" s="8" t="str">
        <f aca="false">IF(OR($A269="",$D269=""),"",IF(COUNTIFS($D$6:$D$1005,$D269,$A$6:$A$1005,"&gt;"&amp;$A269)=0,1,0))</f>
        <v/>
      </c>
    </row>
    <row r="270" customFormat="false" ht="15" hidden="false" customHeight="false" outlineLevel="0" collapsed="false">
      <c r="A270" s="44"/>
      <c r="B270" s="6"/>
      <c r="C270" s="6"/>
      <c r="D270" s="6"/>
      <c r="E270" s="8" t="str">
        <f aca="false">IF($D270="","",IFERROR(INDEX(INSUMOS!$B$6:$B$205,MATCH($D270,INSUMOS!$A$6:$A$205,0)),"¿Código?"))</f>
        <v/>
      </c>
      <c r="F270" s="8" t="str">
        <f aca="false">IF($D270="","",IFERROR(INDEX(INSUMOS!$E$6:$E$205,MATCH($D270,INSUMOS!$A$6:$A$205,0)),""))</f>
        <v/>
      </c>
      <c r="G270" s="39"/>
      <c r="H270" s="45" t="str">
        <f aca="false">IF($D270="","",IFERROR(INDEX(INSUMOS!$F$6:$F$205,MATCH($D270,INSUMOS!$A$6:$A$205,0)),0))</f>
        <v/>
      </c>
      <c r="I270" s="34" t="str">
        <f aca="false">IF($D270="","",N($G270)*$H270)</f>
        <v/>
      </c>
      <c r="J270" s="40"/>
      <c r="K270" s="36" t="str">
        <f aca="false">IF($D270="","",IFERROR(INDEX(INSUMOS!$H$6:$H$205,MATCH($D270,INSUMOS!$A$6:$A$205,0)),IVA_VENTAS))</f>
        <v/>
      </c>
      <c r="L270" s="35" t="str">
        <f aca="false">IF($D270="","",N($J270)*$K270)</f>
        <v/>
      </c>
      <c r="M270" s="35" t="str">
        <f aca="false">IF($D270="","",N($J270)+$L270)</f>
        <v/>
      </c>
      <c r="N270" s="43" t="str">
        <f aca="false">IF($D270="","",IFERROR(N($J270)/$I270,0))</f>
        <v/>
      </c>
      <c r="O270" s="6"/>
      <c r="P270" s="6"/>
      <c r="Q270" s="46" t="str">
        <f aca="false">IF($A270="","",DATE(YEAR($A270),MONTH($A270),1))</f>
        <v/>
      </c>
      <c r="R270" s="8" t="str">
        <f aca="false">IF(OR($A270="",$D270=""),"",IF(COUNTIFS($D$6:$D$1005,$D270,$A$6:$A$1005,"&gt;"&amp;$A270)=0,1,0))</f>
        <v/>
      </c>
    </row>
    <row r="271" customFormat="false" ht="15" hidden="false" customHeight="false" outlineLevel="0" collapsed="false">
      <c r="A271" s="44"/>
      <c r="B271" s="6"/>
      <c r="C271" s="6"/>
      <c r="D271" s="6"/>
      <c r="E271" s="8" t="str">
        <f aca="false">IF($D271="","",IFERROR(INDEX(INSUMOS!$B$6:$B$205,MATCH($D271,INSUMOS!$A$6:$A$205,0)),"¿Código?"))</f>
        <v/>
      </c>
      <c r="F271" s="8" t="str">
        <f aca="false">IF($D271="","",IFERROR(INDEX(INSUMOS!$E$6:$E$205,MATCH($D271,INSUMOS!$A$6:$A$205,0)),""))</f>
        <v/>
      </c>
      <c r="G271" s="39"/>
      <c r="H271" s="45" t="str">
        <f aca="false">IF($D271="","",IFERROR(INDEX(INSUMOS!$F$6:$F$205,MATCH($D271,INSUMOS!$A$6:$A$205,0)),0))</f>
        <v/>
      </c>
      <c r="I271" s="34" t="str">
        <f aca="false">IF($D271="","",N($G271)*$H271)</f>
        <v/>
      </c>
      <c r="J271" s="40"/>
      <c r="K271" s="36" t="str">
        <f aca="false">IF($D271="","",IFERROR(INDEX(INSUMOS!$H$6:$H$205,MATCH($D271,INSUMOS!$A$6:$A$205,0)),IVA_VENTAS))</f>
        <v/>
      </c>
      <c r="L271" s="35" t="str">
        <f aca="false">IF($D271="","",N($J271)*$K271)</f>
        <v/>
      </c>
      <c r="M271" s="35" t="str">
        <f aca="false">IF($D271="","",N($J271)+$L271)</f>
        <v/>
      </c>
      <c r="N271" s="43" t="str">
        <f aca="false">IF($D271="","",IFERROR(N($J271)/$I271,0))</f>
        <v/>
      </c>
      <c r="O271" s="6"/>
      <c r="P271" s="6"/>
      <c r="Q271" s="46" t="str">
        <f aca="false">IF($A271="","",DATE(YEAR($A271),MONTH($A271),1))</f>
        <v/>
      </c>
      <c r="R271" s="8" t="str">
        <f aca="false">IF(OR($A271="",$D271=""),"",IF(COUNTIFS($D$6:$D$1005,$D271,$A$6:$A$1005,"&gt;"&amp;$A271)=0,1,0))</f>
        <v/>
      </c>
    </row>
    <row r="272" customFormat="false" ht="15" hidden="false" customHeight="false" outlineLevel="0" collapsed="false">
      <c r="A272" s="44"/>
      <c r="B272" s="6"/>
      <c r="C272" s="6"/>
      <c r="D272" s="6"/>
      <c r="E272" s="8" t="str">
        <f aca="false">IF($D272="","",IFERROR(INDEX(INSUMOS!$B$6:$B$205,MATCH($D272,INSUMOS!$A$6:$A$205,0)),"¿Código?"))</f>
        <v/>
      </c>
      <c r="F272" s="8" t="str">
        <f aca="false">IF($D272="","",IFERROR(INDEX(INSUMOS!$E$6:$E$205,MATCH($D272,INSUMOS!$A$6:$A$205,0)),""))</f>
        <v/>
      </c>
      <c r="G272" s="39"/>
      <c r="H272" s="45" t="str">
        <f aca="false">IF($D272="","",IFERROR(INDEX(INSUMOS!$F$6:$F$205,MATCH($D272,INSUMOS!$A$6:$A$205,0)),0))</f>
        <v/>
      </c>
      <c r="I272" s="34" t="str">
        <f aca="false">IF($D272="","",N($G272)*$H272)</f>
        <v/>
      </c>
      <c r="J272" s="40"/>
      <c r="K272" s="36" t="str">
        <f aca="false">IF($D272="","",IFERROR(INDEX(INSUMOS!$H$6:$H$205,MATCH($D272,INSUMOS!$A$6:$A$205,0)),IVA_VENTAS))</f>
        <v/>
      </c>
      <c r="L272" s="35" t="str">
        <f aca="false">IF($D272="","",N($J272)*$K272)</f>
        <v/>
      </c>
      <c r="M272" s="35" t="str">
        <f aca="false">IF($D272="","",N($J272)+$L272)</f>
        <v/>
      </c>
      <c r="N272" s="43" t="str">
        <f aca="false">IF($D272="","",IFERROR(N($J272)/$I272,0))</f>
        <v/>
      </c>
      <c r="O272" s="6"/>
      <c r="P272" s="6"/>
      <c r="Q272" s="46" t="str">
        <f aca="false">IF($A272="","",DATE(YEAR($A272),MONTH($A272),1))</f>
        <v/>
      </c>
      <c r="R272" s="8" t="str">
        <f aca="false">IF(OR($A272="",$D272=""),"",IF(COUNTIFS($D$6:$D$1005,$D272,$A$6:$A$1005,"&gt;"&amp;$A272)=0,1,0))</f>
        <v/>
      </c>
    </row>
    <row r="273" customFormat="false" ht="15" hidden="false" customHeight="false" outlineLevel="0" collapsed="false">
      <c r="A273" s="44"/>
      <c r="B273" s="6"/>
      <c r="C273" s="6"/>
      <c r="D273" s="6"/>
      <c r="E273" s="8" t="str">
        <f aca="false">IF($D273="","",IFERROR(INDEX(INSUMOS!$B$6:$B$205,MATCH($D273,INSUMOS!$A$6:$A$205,0)),"¿Código?"))</f>
        <v/>
      </c>
      <c r="F273" s="8" t="str">
        <f aca="false">IF($D273="","",IFERROR(INDEX(INSUMOS!$E$6:$E$205,MATCH($D273,INSUMOS!$A$6:$A$205,0)),""))</f>
        <v/>
      </c>
      <c r="G273" s="39"/>
      <c r="H273" s="45" t="str">
        <f aca="false">IF($D273="","",IFERROR(INDEX(INSUMOS!$F$6:$F$205,MATCH($D273,INSUMOS!$A$6:$A$205,0)),0))</f>
        <v/>
      </c>
      <c r="I273" s="34" t="str">
        <f aca="false">IF($D273="","",N($G273)*$H273)</f>
        <v/>
      </c>
      <c r="J273" s="40"/>
      <c r="K273" s="36" t="str">
        <f aca="false">IF($D273="","",IFERROR(INDEX(INSUMOS!$H$6:$H$205,MATCH($D273,INSUMOS!$A$6:$A$205,0)),IVA_VENTAS))</f>
        <v/>
      </c>
      <c r="L273" s="35" t="str">
        <f aca="false">IF($D273="","",N($J273)*$K273)</f>
        <v/>
      </c>
      <c r="M273" s="35" t="str">
        <f aca="false">IF($D273="","",N($J273)+$L273)</f>
        <v/>
      </c>
      <c r="N273" s="43" t="str">
        <f aca="false">IF($D273="","",IFERROR(N($J273)/$I273,0))</f>
        <v/>
      </c>
      <c r="O273" s="6"/>
      <c r="P273" s="6"/>
      <c r="Q273" s="46" t="str">
        <f aca="false">IF($A273="","",DATE(YEAR($A273),MONTH($A273),1))</f>
        <v/>
      </c>
      <c r="R273" s="8" t="str">
        <f aca="false">IF(OR($A273="",$D273=""),"",IF(COUNTIFS($D$6:$D$1005,$D273,$A$6:$A$1005,"&gt;"&amp;$A273)=0,1,0))</f>
        <v/>
      </c>
    </row>
    <row r="274" customFormat="false" ht="15" hidden="false" customHeight="false" outlineLevel="0" collapsed="false">
      <c r="A274" s="44"/>
      <c r="B274" s="6"/>
      <c r="C274" s="6"/>
      <c r="D274" s="6"/>
      <c r="E274" s="8" t="str">
        <f aca="false">IF($D274="","",IFERROR(INDEX(INSUMOS!$B$6:$B$205,MATCH($D274,INSUMOS!$A$6:$A$205,0)),"¿Código?"))</f>
        <v/>
      </c>
      <c r="F274" s="8" t="str">
        <f aca="false">IF($D274="","",IFERROR(INDEX(INSUMOS!$E$6:$E$205,MATCH($D274,INSUMOS!$A$6:$A$205,0)),""))</f>
        <v/>
      </c>
      <c r="G274" s="39"/>
      <c r="H274" s="45" t="str">
        <f aca="false">IF($D274="","",IFERROR(INDEX(INSUMOS!$F$6:$F$205,MATCH($D274,INSUMOS!$A$6:$A$205,0)),0))</f>
        <v/>
      </c>
      <c r="I274" s="34" t="str">
        <f aca="false">IF($D274="","",N($G274)*$H274)</f>
        <v/>
      </c>
      <c r="J274" s="40"/>
      <c r="K274" s="36" t="str">
        <f aca="false">IF($D274="","",IFERROR(INDEX(INSUMOS!$H$6:$H$205,MATCH($D274,INSUMOS!$A$6:$A$205,0)),IVA_VENTAS))</f>
        <v/>
      </c>
      <c r="L274" s="35" t="str">
        <f aca="false">IF($D274="","",N($J274)*$K274)</f>
        <v/>
      </c>
      <c r="M274" s="35" t="str">
        <f aca="false">IF($D274="","",N($J274)+$L274)</f>
        <v/>
      </c>
      <c r="N274" s="43" t="str">
        <f aca="false">IF($D274="","",IFERROR(N($J274)/$I274,0))</f>
        <v/>
      </c>
      <c r="O274" s="6"/>
      <c r="P274" s="6"/>
      <c r="Q274" s="46" t="str">
        <f aca="false">IF($A274="","",DATE(YEAR($A274),MONTH($A274),1))</f>
        <v/>
      </c>
      <c r="R274" s="8" t="str">
        <f aca="false">IF(OR($A274="",$D274=""),"",IF(COUNTIFS($D$6:$D$1005,$D274,$A$6:$A$1005,"&gt;"&amp;$A274)=0,1,0))</f>
        <v/>
      </c>
    </row>
    <row r="275" customFormat="false" ht="15" hidden="false" customHeight="false" outlineLevel="0" collapsed="false">
      <c r="A275" s="44"/>
      <c r="B275" s="6"/>
      <c r="C275" s="6"/>
      <c r="D275" s="6"/>
      <c r="E275" s="8" t="str">
        <f aca="false">IF($D275="","",IFERROR(INDEX(INSUMOS!$B$6:$B$205,MATCH($D275,INSUMOS!$A$6:$A$205,0)),"¿Código?"))</f>
        <v/>
      </c>
      <c r="F275" s="8" t="str">
        <f aca="false">IF($D275="","",IFERROR(INDEX(INSUMOS!$E$6:$E$205,MATCH($D275,INSUMOS!$A$6:$A$205,0)),""))</f>
        <v/>
      </c>
      <c r="G275" s="39"/>
      <c r="H275" s="45" t="str">
        <f aca="false">IF($D275="","",IFERROR(INDEX(INSUMOS!$F$6:$F$205,MATCH($D275,INSUMOS!$A$6:$A$205,0)),0))</f>
        <v/>
      </c>
      <c r="I275" s="34" t="str">
        <f aca="false">IF($D275="","",N($G275)*$H275)</f>
        <v/>
      </c>
      <c r="J275" s="40"/>
      <c r="K275" s="36" t="str">
        <f aca="false">IF($D275="","",IFERROR(INDEX(INSUMOS!$H$6:$H$205,MATCH($D275,INSUMOS!$A$6:$A$205,0)),IVA_VENTAS))</f>
        <v/>
      </c>
      <c r="L275" s="35" t="str">
        <f aca="false">IF($D275="","",N($J275)*$K275)</f>
        <v/>
      </c>
      <c r="M275" s="35" t="str">
        <f aca="false">IF($D275="","",N($J275)+$L275)</f>
        <v/>
      </c>
      <c r="N275" s="43" t="str">
        <f aca="false">IF($D275="","",IFERROR(N($J275)/$I275,0))</f>
        <v/>
      </c>
      <c r="O275" s="6"/>
      <c r="P275" s="6"/>
      <c r="Q275" s="46" t="str">
        <f aca="false">IF($A275="","",DATE(YEAR($A275),MONTH($A275),1))</f>
        <v/>
      </c>
      <c r="R275" s="8" t="str">
        <f aca="false">IF(OR($A275="",$D275=""),"",IF(COUNTIFS($D$6:$D$1005,$D275,$A$6:$A$1005,"&gt;"&amp;$A275)=0,1,0))</f>
        <v/>
      </c>
    </row>
    <row r="276" customFormat="false" ht="15" hidden="false" customHeight="false" outlineLevel="0" collapsed="false">
      <c r="A276" s="44"/>
      <c r="B276" s="6"/>
      <c r="C276" s="6"/>
      <c r="D276" s="6"/>
      <c r="E276" s="8" t="str">
        <f aca="false">IF($D276="","",IFERROR(INDEX(INSUMOS!$B$6:$B$205,MATCH($D276,INSUMOS!$A$6:$A$205,0)),"¿Código?"))</f>
        <v/>
      </c>
      <c r="F276" s="8" t="str">
        <f aca="false">IF($D276="","",IFERROR(INDEX(INSUMOS!$E$6:$E$205,MATCH($D276,INSUMOS!$A$6:$A$205,0)),""))</f>
        <v/>
      </c>
      <c r="G276" s="39"/>
      <c r="H276" s="45" t="str">
        <f aca="false">IF($D276="","",IFERROR(INDEX(INSUMOS!$F$6:$F$205,MATCH($D276,INSUMOS!$A$6:$A$205,0)),0))</f>
        <v/>
      </c>
      <c r="I276" s="34" t="str">
        <f aca="false">IF($D276="","",N($G276)*$H276)</f>
        <v/>
      </c>
      <c r="J276" s="40"/>
      <c r="K276" s="36" t="str">
        <f aca="false">IF($D276="","",IFERROR(INDEX(INSUMOS!$H$6:$H$205,MATCH($D276,INSUMOS!$A$6:$A$205,0)),IVA_VENTAS))</f>
        <v/>
      </c>
      <c r="L276" s="35" t="str">
        <f aca="false">IF($D276="","",N($J276)*$K276)</f>
        <v/>
      </c>
      <c r="M276" s="35" t="str">
        <f aca="false">IF($D276="","",N($J276)+$L276)</f>
        <v/>
      </c>
      <c r="N276" s="43" t="str">
        <f aca="false">IF($D276="","",IFERROR(N($J276)/$I276,0))</f>
        <v/>
      </c>
      <c r="O276" s="6"/>
      <c r="P276" s="6"/>
      <c r="Q276" s="46" t="str">
        <f aca="false">IF($A276="","",DATE(YEAR($A276),MONTH($A276),1))</f>
        <v/>
      </c>
      <c r="R276" s="8" t="str">
        <f aca="false">IF(OR($A276="",$D276=""),"",IF(COUNTIFS($D$6:$D$1005,$D276,$A$6:$A$1005,"&gt;"&amp;$A276)=0,1,0))</f>
        <v/>
      </c>
    </row>
    <row r="277" customFormat="false" ht="15" hidden="false" customHeight="false" outlineLevel="0" collapsed="false">
      <c r="A277" s="44"/>
      <c r="B277" s="6"/>
      <c r="C277" s="6"/>
      <c r="D277" s="6"/>
      <c r="E277" s="8" t="str">
        <f aca="false">IF($D277="","",IFERROR(INDEX(INSUMOS!$B$6:$B$205,MATCH($D277,INSUMOS!$A$6:$A$205,0)),"¿Código?"))</f>
        <v/>
      </c>
      <c r="F277" s="8" t="str">
        <f aca="false">IF($D277="","",IFERROR(INDEX(INSUMOS!$E$6:$E$205,MATCH($D277,INSUMOS!$A$6:$A$205,0)),""))</f>
        <v/>
      </c>
      <c r="G277" s="39"/>
      <c r="H277" s="45" t="str">
        <f aca="false">IF($D277="","",IFERROR(INDEX(INSUMOS!$F$6:$F$205,MATCH($D277,INSUMOS!$A$6:$A$205,0)),0))</f>
        <v/>
      </c>
      <c r="I277" s="34" t="str">
        <f aca="false">IF($D277="","",N($G277)*$H277)</f>
        <v/>
      </c>
      <c r="J277" s="40"/>
      <c r="K277" s="36" t="str">
        <f aca="false">IF($D277="","",IFERROR(INDEX(INSUMOS!$H$6:$H$205,MATCH($D277,INSUMOS!$A$6:$A$205,0)),IVA_VENTAS))</f>
        <v/>
      </c>
      <c r="L277" s="35" t="str">
        <f aca="false">IF($D277="","",N($J277)*$K277)</f>
        <v/>
      </c>
      <c r="M277" s="35" t="str">
        <f aca="false">IF($D277="","",N($J277)+$L277)</f>
        <v/>
      </c>
      <c r="N277" s="43" t="str">
        <f aca="false">IF($D277="","",IFERROR(N($J277)/$I277,0))</f>
        <v/>
      </c>
      <c r="O277" s="6"/>
      <c r="P277" s="6"/>
      <c r="Q277" s="46" t="str">
        <f aca="false">IF($A277="","",DATE(YEAR($A277),MONTH($A277),1))</f>
        <v/>
      </c>
      <c r="R277" s="8" t="str">
        <f aca="false">IF(OR($A277="",$D277=""),"",IF(COUNTIFS($D$6:$D$1005,$D277,$A$6:$A$1005,"&gt;"&amp;$A277)=0,1,0))</f>
        <v/>
      </c>
    </row>
    <row r="278" customFormat="false" ht="15" hidden="false" customHeight="false" outlineLevel="0" collapsed="false">
      <c r="A278" s="44"/>
      <c r="B278" s="6"/>
      <c r="C278" s="6"/>
      <c r="D278" s="6"/>
      <c r="E278" s="8" t="str">
        <f aca="false">IF($D278="","",IFERROR(INDEX(INSUMOS!$B$6:$B$205,MATCH($D278,INSUMOS!$A$6:$A$205,0)),"¿Código?"))</f>
        <v/>
      </c>
      <c r="F278" s="8" t="str">
        <f aca="false">IF($D278="","",IFERROR(INDEX(INSUMOS!$E$6:$E$205,MATCH($D278,INSUMOS!$A$6:$A$205,0)),""))</f>
        <v/>
      </c>
      <c r="G278" s="39"/>
      <c r="H278" s="45" t="str">
        <f aca="false">IF($D278="","",IFERROR(INDEX(INSUMOS!$F$6:$F$205,MATCH($D278,INSUMOS!$A$6:$A$205,0)),0))</f>
        <v/>
      </c>
      <c r="I278" s="34" t="str">
        <f aca="false">IF($D278="","",N($G278)*$H278)</f>
        <v/>
      </c>
      <c r="J278" s="40"/>
      <c r="K278" s="36" t="str">
        <f aca="false">IF($D278="","",IFERROR(INDEX(INSUMOS!$H$6:$H$205,MATCH($D278,INSUMOS!$A$6:$A$205,0)),IVA_VENTAS))</f>
        <v/>
      </c>
      <c r="L278" s="35" t="str">
        <f aca="false">IF($D278="","",N($J278)*$K278)</f>
        <v/>
      </c>
      <c r="M278" s="35" t="str">
        <f aca="false">IF($D278="","",N($J278)+$L278)</f>
        <v/>
      </c>
      <c r="N278" s="43" t="str">
        <f aca="false">IF($D278="","",IFERROR(N($J278)/$I278,0))</f>
        <v/>
      </c>
      <c r="O278" s="6"/>
      <c r="P278" s="6"/>
      <c r="Q278" s="46" t="str">
        <f aca="false">IF($A278="","",DATE(YEAR($A278),MONTH($A278),1))</f>
        <v/>
      </c>
      <c r="R278" s="8" t="str">
        <f aca="false">IF(OR($A278="",$D278=""),"",IF(COUNTIFS($D$6:$D$1005,$D278,$A$6:$A$1005,"&gt;"&amp;$A278)=0,1,0))</f>
        <v/>
      </c>
    </row>
    <row r="279" customFormat="false" ht="15" hidden="false" customHeight="false" outlineLevel="0" collapsed="false">
      <c r="A279" s="44"/>
      <c r="B279" s="6"/>
      <c r="C279" s="6"/>
      <c r="D279" s="6"/>
      <c r="E279" s="8" t="str">
        <f aca="false">IF($D279="","",IFERROR(INDEX(INSUMOS!$B$6:$B$205,MATCH($D279,INSUMOS!$A$6:$A$205,0)),"¿Código?"))</f>
        <v/>
      </c>
      <c r="F279" s="8" t="str">
        <f aca="false">IF($D279="","",IFERROR(INDEX(INSUMOS!$E$6:$E$205,MATCH($D279,INSUMOS!$A$6:$A$205,0)),""))</f>
        <v/>
      </c>
      <c r="G279" s="39"/>
      <c r="H279" s="45" t="str">
        <f aca="false">IF($D279="","",IFERROR(INDEX(INSUMOS!$F$6:$F$205,MATCH($D279,INSUMOS!$A$6:$A$205,0)),0))</f>
        <v/>
      </c>
      <c r="I279" s="34" t="str">
        <f aca="false">IF($D279="","",N($G279)*$H279)</f>
        <v/>
      </c>
      <c r="J279" s="40"/>
      <c r="K279" s="36" t="str">
        <f aca="false">IF($D279="","",IFERROR(INDEX(INSUMOS!$H$6:$H$205,MATCH($D279,INSUMOS!$A$6:$A$205,0)),IVA_VENTAS))</f>
        <v/>
      </c>
      <c r="L279" s="35" t="str">
        <f aca="false">IF($D279="","",N($J279)*$K279)</f>
        <v/>
      </c>
      <c r="M279" s="35" t="str">
        <f aca="false">IF($D279="","",N($J279)+$L279)</f>
        <v/>
      </c>
      <c r="N279" s="43" t="str">
        <f aca="false">IF($D279="","",IFERROR(N($J279)/$I279,0))</f>
        <v/>
      </c>
      <c r="O279" s="6"/>
      <c r="P279" s="6"/>
      <c r="Q279" s="46" t="str">
        <f aca="false">IF($A279="","",DATE(YEAR($A279),MONTH($A279),1))</f>
        <v/>
      </c>
      <c r="R279" s="8" t="str">
        <f aca="false">IF(OR($A279="",$D279=""),"",IF(COUNTIFS($D$6:$D$1005,$D279,$A$6:$A$1005,"&gt;"&amp;$A279)=0,1,0))</f>
        <v/>
      </c>
    </row>
    <row r="280" customFormat="false" ht="15" hidden="false" customHeight="false" outlineLevel="0" collapsed="false">
      <c r="A280" s="44"/>
      <c r="B280" s="6"/>
      <c r="C280" s="6"/>
      <c r="D280" s="6"/>
      <c r="E280" s="8" t="str">
        <f aca="false">IF($D280="","",IFERROR(INDEX(INSUMOS!$B$6:$B$205,MATCH($D280,INSUMOS!$A$6:$A$205,0)),"¿Código?"))</f>
        <v/>
      </c>
      <c r="F280" s="8" t="str">
        <f aca="false">IF($D280="","",IFERROR(INDEX(INSUMOS!$E$6:$E$205,MATCH($D280,INSUMOS!$A$6:$A$205,0)),""))</f>
        <v/>
      </c>
      <c r="G280" s="39"/>
      <c r="H280" s="45" t="str">
        <f aca="false">IF($D280="","",IFERROR(INDEX(INSUMOS!$F$6:$F$205,MATCH($D280,INSUMOS!$A$6:$A$205,0)),0))</f>
        <v/>
      </c>
      <c r="I280" s="34" t="str">
        <f aca="false">IF($D280="","",N($G280)*$H280)</f>
        <v/>
      </c>
      <c r="J280" s="40"/>
      <c r="K280" s="36" t="str">
        <f aca="false">IF($D280="","",IFERROR(INDEX(INSUMOS!$H$6:$H$205,MATCH($D280,INSUMOS!$A$6:$A$205,0)),IVA_VENTAS))</f>
        <v/>
      </c>
      <c r="L280" s="35" t="str">
        <f aca="false">IF($D280="","",N($J280)*$K280)</f>
        <v/>
      </c>
      <c r="M280" s="35" t="str">
        <f aca="false">IF($D280="","",N($J280)+$L280)</f>
        <v/>
      </c>
      <c r="N280" s="43" t="str">
        <f aca="false">IF($D280="","",IFERROR(N($J280)/$I280,0))</f>
        <v/>
      </c>
      <c r="O280" s="6"/>
      <c r="P280" s="6"/>
      <c r="Q280" s="46" t="str">
        <f aca="false">IF($A280="","",DATE(YEAR($A280),MONTH($A280),1))</f>
        <v/>
      </c>
      <c r="R280" s="8" t="str">
        <f aca="false">IF(OR($A280="",$D280=""),"",IF(COUNTIFS($D$6:$D$1005,$D280,$A$6:$A$1005,"&gt;"&amp;$A280)=0,1,0))</f>
        <v/>
      </c>
    </row>
    <row r="281" customFormat="false" ht="15" hidden="false" customHeight="false" outlineLevel="0" collapsed="false">
      <c r="A281" s="44"/>
      <c r="B281" s="6"/>
      <c r="C281" s="6"/>
      <c r="D281" s="6"/>
      <c r="E281" s="8" t="str">
        <f aca="false">IF($D281="","",IFERROR(INDEX(INSUMOS!$B$6:$B$205,MATCH($D281,INSUMOS!$A$6:$A$205,0)),"¿Código?"))</f>
        <v/>
      </c>
      <c r="F281" s="8" t="str">
        <f aca="false">IF($D281="","",IFERROR(INDEX(INSUMOS!$E$6:$E$205,MATCH($D281,INSUMOS!$A$6:$A$205,0)),""))</f>
        <v/>
      </c>
      <c r="G281" s="39"/>
      <c r="H281" s="45" t="str">
        <f aca="false">IF($D281="","",IFERROR(INDEX(INSUMOS!$F$6:$F$205,MATCH($D281,INSUMOS!$A$6:$A$205,0)),0))</f>
        <v/>
      </c>
      <c r="I281" s="34" t="str">
        <f aca="false">IF($D281="","",N($G281)*$H281)</f>
        <v/>
      </c>
      <c r="J281" s="40"/>
      <c r="K281" s="36" t="str">
        <f aca="false">IF($D281="","",IFERROR(INDEX(INSUMOS!$H$6:$H$205,MATCH($D281,INSUMOS!$A$6:$A$205,0)),IVA_VENTAS))</f>
        <v/>
      </c>
      <c r="L281" s="35" t="str">
        <f aca="false">IF($D281="","",N($J281)*$K281)</f>
        <v/>
      </c>
      <c r="M281" s="35" t="str">
        <f aca="false">IF($D281="","",N($J281)+$L281)</f>
        <v/>
      </c>
      <c r="N281" s="43" t="str">
        <f aca="false">IF($D281="","",IFERROR(N($J281)/$I281,0))</f>
        <v/>
      </c>
      <c r="O281" s="6"/>
      <c r="P281" s="6"/>
      <c r="Q281" s="46" t="str">
        <f aca="false">IF($A281="","",DATE(YEAR($A281),MONTH($A281),1))</f>
        <v/>
      </c>
      <c r="R281" s="8" t="str">
        <f aca="false">IF(OR($A281="",$D281=""),"",IF(COUNTIFS($D$6:$D$1005,$D281,$A$6:$A$1005,"&gt;"&amp;$A281)=0,1,0))</f>
        <v/>
      </c>
    </row>
    <row r="282" customFormat="false" ht="15" hidden="false" customHeight="false" outlineLevel="0" collapsed="false">
      <c r="A282" s="44"/>
      <c r="B282" s="6"/>
      <c r="C282" s="6"/>
      <c r="D282" s="6"/>
      <c r="E282" s="8" t="str">
        <f aca="false">IF($D282="","",IFERROR(INDEX(INSUMOS!$B$6:$B$205,MATCH($D282,INSUMOS!$A$6:$A$205,0)),"¿Código?"))</f>
        <v/>
      </c>
      <c r="F282" s="8" t="str">
        <f aca="false">IF($D282="","",IFERROR(INDEX(INSUMOS!$E$6:$E$205,MATCH($D282,INSUMOS!$A$6:$A$205,0)),""))</f>
        <v/>
      </c>
      <c r="G282" s="39"/>
      <c r="H282" s="45" t="str">
        <f aca="false">IF($D282="","",IFERROR(INDEX(INSUMOS!$F$6:$F$205,MATCH($D282,INSUMOS!$A$6:$A$205,0)),0))</f>
        <v/>
      </c>
      <c r="I282" s="34" t="str">
        <f aca="false">IF($D282="","",N($G282)*$H282)</f>
        <v/>
      </c>
      <c r="J282" s="40"/>
      <c r="K282" s="36" t="str">
        <f aca="false">IF($D282="","",IFERROR(INDEX(INSUMOS!$H$6:$H$205,MATCH($D282,INSUMOS!$A$6:$A$205,0)),IVA_VENTAS))</f>
        <v/>
      </c>
      <c r="L282" s="35" t="str">
        <f aca="false">IF($D282="","",N($J282)*$K282)</f>
        <v/>
      </c>
      <c r="M282" s="35" t="str">
        <f aca="false">IF($D282="","",N($J282)+$L282)</f>
        <v/>
      </c>
      <c r="N282" s="43" t="str">
        <f aca="false">IF($D282="","",IFERROR(N($J282)/$I282,0))</f>
        <v/>
      </c>
      <c r="O282" s="6"/>
      <c r="P282" s="6"/>
      <c r="Q282" s="46" t="str">
        <f aca="false">IF($A282="","",DATE(YEAR($A282),MONTH($A282),1))</f>
        <v/>
      </c>
      <c r="R282" s="8" t="str">
        <f aca="false">IF(OR($A282="",$D282=""),"",IF(COUNTIFS($D$6:$D$1005,$D282,$A$6:$A$1005,"&gt;"&amp;$A282)=0,1,0))</f>
        <v/>
      </c>
    </row>
    <row r="283" customFormat="false" ht="15" hidden="false" customHeight="false" outlineLevel="0" collapsed="false">
      <c r="A283" s="44"/>
      <c r="B283" s="6"/>
      <c r="C283" s="6"/>
      <c r="D283" s="6"/>
      <c r="E283" s="8" t="str">
        <f aca="false">IF($D283="","",IFERROR(INDEX(INSUMOS!$B$6:$B$205,MATCH($D283,INSUMOS!$A$6:$A$205,0)),"¿Código?"))</f>
        <v/>
      </c>
      <c r="F283" s="8" t="str">
        <f aca="false">IF($D283="","",IFERROR(INDEX(INSUMOS!$E$6:$E$205,MATCH($D283,INSUMOS!$A$6:$A$205,0)),""))</f>
        <v/>
      </c>
      <c r="G283" s="39"/>
      <c r="H283" s="45" t="str">
        <f aca="false">IF($D283="","",IFERROR(INDEX(INSUMOS!$F$6:$F$205,MATCH($D283,INSUMOS!$A$6:$A$205,0)),0))</f>
        <v/>
      </c>
      <c r="I283" s="34" t="str">
        <f aca="false">IF($D283="","",N($G283)*$H283)</f>
        <v/>
      </c>
      <c r="J283" s="40"/>
      <c r="K283" s="36" t="str">
        <f aca="false">IF($D283="","",IFERROR(INDEX(INSUMOS!$H$6:$H$205,MATCH($D283,INSUMOS!$A$6:$A$205,0)),IVA_VENTAS))</f>
        <v/>
      </c>
      <c r="L283" s="35" t="str">
        <f aca="false">IF($D283="","",N($J283)*$K283)</f>
        <v/>
      </c>
      <c r="M283" s="35" t="str">
        <f aca="false">IF($D283="","",N($J283)+$L283)</f>
        <v/>
      </c>
      <c r="N283" s="43" t="str">
        <f aca="false">IF($D283="","",IFERROR(N($J283)/$I283,0))</f>
        <v/>
      </c>
      <c r="O283" s="6"/>
      <c r="P283" s="6"/>
      <c r="Q283" s="46" t="str">
        <f aca="false">IF($A283="","",DATE(YEAR($A283),MONTH($A283),1))</f>
        <v/>
      </c>
      <c r="R283" s="8" t="str">
        <f aca="false">IF(OR($A283="",$D283=""),"",IF(COUNTIFS($D$6:$D$1005,$D283,$A$6:$A$1005,"&gt;"&amp;$A283)=0,1,0))</f>
        <v/>
      </c>
    </row>
    <row r="284" customFormat="false" ht="15" hidden="false" customHeight="false" outlineLevel="0" collapsed="false">
      <c r="A284" s="44"/>
      <c r="B284" s="6"/>
      <c r="C284" s="6"/>
      <c r="D284" s="6"/>
      <c r="E284" s="8" t="str">
        <f aca="false">IF($D284="","",IFERROR(INDEX(INSUMOS!$B$6:$B$205,MATCH($D284,INSUMOS!$A$6:$A$205,0)),"¿Código?"))</f>
        <v/>
      </c>
      <c r="F284" s="8" t="str">
        <f aca="false">IF($D284="","",IFERROR(INDEX(INSUMOS!$E$6:$E$205,MATCH($D284,INSUMOS!$A$6:$A$205,0)),""))</f>
        <v/>
      </c>
      <c r="G284" s="39"/>
      <c r="H284" s="45" t="str">
        <f aca="false">IF($D284="","",IFERROR(INDEX(INSUMOS!$F$6:$F$205,MATCH($D284,INSUMOS!$A$6:$A$205,0)),0))</f>
        <v/>
      </c>
      <c r="I284" s="34" t="str">
        <f aca="false">IF($D284="","",N($G284)*$H284)</f>
        <v/>
      </c>
      <c r="J284" s="40"/>
      <c r="K284" s="36" t="str">
        <f aca="false">IF($D284="","",IFERROR(INDEX(INSUMOS!$H$6:$H$205,MATCH($D284,INSUMOS!$A$6:$A$205,0)),IVA_VENTAS))</f>
        <v/>
      </c>
      <c r="L284" s="35" t="str">
        <f aca="false">IF($D284="","",N($J284)*$K284)</f>
        <v/>
      </c>
      <c r="M284" s="35" t="str">
        <f aca="false">IF($D284="","",N($J284)+$L284)</f>
        <v/>
      </c>
      <c r="N284" s="43" t="str">
        <f aca="false">IF($D284="","",IFERROR(N($J284)/$I284,0))</f>
        <v/>
      </c>
      <c r="O284" s="6"/>
      <c r="P284" s="6"/>
      <c r="Q284" s="46" t="str">
        <f aca="false">IF($A284="","",DATE(YEAR($A284),MONTH($A284),1))</f>
        <v/>
      </c>
      <c r="R284" s="8" t="str">
        <f aca="false">IF(OR($A284="",$D284=""),"",IF(COUNTIFS($D$6:$D$1005,$D284,$A$6:$A$1005,"&gt;"&amp;$A284)=0,1,0))</f>
        <v/>
      </c>
    </row>
    <row r="285" customFormat="false" ht="15" hidden="false" customHeight="false" outlineLevel="0" collapsed="false">
      <c r="A285" s="44"/>
      <c r="B285" s="6"/>
      <c r="C285" s="6"/>
      <c r="D285" s="6"/>
      <c r="E285" s="8" t="str">
        <f aca="false">IF($D285="","",IFERROR(INDEX(INSUMOS!$B$6:$B$205,MATCH($D285,INSUMOS!$A$6:$A$205,0)),"¿Código?"))</f>
        <v/>
      </c>
      <c r="F285" s="8" t="str">
        <f aca="false">IF($D285="","",IFERROR(INDEX(INSUMOS!$E$6:$E$205,MATCH($D285,INSUMOS!$A$6:$A$205,0)),""))</f>
        <v/>
      </c>
      <c r="G285" s="39"/>
      <c r="H285" s="45" t="str">
        <f aca="false">IF($D285="","",IFERROR(INDEX(INSUMOS!$F$6:$F$205,MATCH($D285,INSUMOS!$A$6:$A$205,0)),0))</f>
        <v/>
      </c>
      <c r="I285" s="34" t="str">
        <f aca="false">IF($D285="","",N($G285)*$H285)</f>
        <v/>
      </c>
      <c r="J285" s="40"/>
      <c r="K285" s="36" t="str">
        <f aca="false">IF($D285="","",IFERROR(INDEX(INSUMOS!$H$6:$H$205,MATCH($D285,INSUMOS!$A$6:$A$205,0)),IVA_VENTAS))</f>
        <v/>
      </c>
      <c r="L285" s="35" t="str">
        <f aca="false">IF($D285="","",N($J285)*$K285)</f>
        <v/>
      </c>
      <c r="M285" s="35" t="str">
        <f aca="false">IF($D285="","",N($J285)+$L285)</f>
        <v/>
      </c>
      <c r="N285" s="43" t="str">
        <f aca="false">IF($D285="","",IFERROR(N($J285)/$I285,0))</f>
        <v/>
      </c>
      <c r="O285" s="6"/>
      <c r="P285" s="6"/>
      <c r="Q285" s="46" t="str">
        <f aca="false">IF($A285="","",DATE(YEAR($A285),MONTH($A285),1))</f>
        <v/>
      </c>
      <c r="R285" s="8" t="str">
        <f aca="false">IF(OR($A285="",$D285=""),"",IF(COUNTIFS($D$6:$D$1005,$D285,$A$6:$A$1005,"&gt;"&amp;$A285)=0,1,0))</f>
        <v/>
      </c>
    </row>
    <row r="286" customFormat="false" ht="15" hidden="false" customHeight="false" outlineLevel="0" collapsed="false">
      <c r="A286" s="44"/>
      <c r="B286" s="6"/>
      <c r="C286" s="6"/>
      <c r="D286" s="6"/>
      <c r="E286" s="8" t="str">
        <f aca="false">IF($D286="","",IFERROR(INDEX(INSUMOS!$B$6:$B$205,MATCH($D286,INSUMOS!$A$6:$A$205,0)),"¿Código?"))</f>
        <v/>
      </c>
      <c r="F286" s="8" t="str">
        <f aca="false">IF($D286="","",IFERROR(INDEX(INSUMOS!$E$6:$E$205,MATCH($D286,INSUMOS!$A$6:$A$205,0)),""))</f>
        <v/>
      </c>
      <c r="G286" s="39"/>
      <c r="H286" s="45" t="str">
        <f aca="false">IF($D286="","",IFERROR(INDEX(INSUMOS!$F$6:$F$205,MATCH($D286,INSUMOS!$A$6:$A$205,0)),0))</f>
        <v/>
      </c>
      <c r="I286" s="34" t="str">
        <f aca="false">IF($D286="","",N($G286)*$H286)</f>
        <v/>
      </c>
      <c r="J286" s="40"/>
      <c r="K286" s="36" t="str">
        <f aca="false">IF($D286="","",IFERROR(INDEX(INSUMOS!$H$6:$H$205,MATCH($D286,INSUMOS!$A$6:$A$205,0)),IVA_VENTAS))</f>
        <v/>
      </c>
      <c r="L286" s="35" t="str">
        <f aca="false">IF($D286="","",N($J286)*$K286)</f>
        <v/>
      </c>
      <c r="M286" s="35" t="str">
        <f aca="false">IF($D286="","",N($J286)+$L286)</f>
        <v/>
      </c>
      <c r="N286" s="43" t="str">
        <f aca="false">IF($D286="","",IFERROR(N($J286)/$I286,0))</f>
        <v/>
      </c>
      <c r="O286" s="6"/>
      <c r="P286" s="6"/>
      <c r="Q286" s="46" t="str">
        <f aca="false">IF($A286="","",DATE(YEAR($A286),MONTH($A286),1))</f>
        <v/>
      </c>
      <c r="R286" s="8" t="str">
        <f aca="false">IF(OR($A286="",$D286=""),"",IF(COUNTIFS($D$6:$D$1005,$D286,$A$6:$A$1005,"&gt;"&amp;$A286)=0,1,0))</f>
        <v/>
      </c>
    </row>
    <row r="287" customFormat="false" ht="15" hidden="false" customHeight="false" outlineLevel="0" collapsed="false">
      <c r="A287" s="44"/>
      <c r="B287" s="6"/>
      <c r="C287" s="6"/>
      <c r="D287" s="6"/>
      <c r="E287" s="8" t="str">
        <f aca="false">IF($D287="","",IFERROR(INDEX(INSUMOS!$B$6:$B$205,MATCH($D287,INSUMOS!$A$6:$A$205,0)),"¿Código?"))</f>
        <v/>
      </c>
      <c r="F287" s="8" t="str">
        <f aca="false">IF($D287="","",IFERROR(INDEX(INSUMOS!$E$6:$E$205,MATCH($D287,INSUMOS!$A$6:$A$205,0)),""))</f>
        <v/>
      </c>
      <c r="G287" s="39"/>
      <c r="H287" s="45" t="str">
        <f aca="false">IF($D287="","",IFERROR(INDEX(INSUMOS!$F$6:$F$205,MATCH($D287,INSUMOS!$A$6:$A$205,0)),0))</f>
        <v/>
      </c>
      <c r="I287" s="34" t="str">
        <f aca="false">IF($D287="","",N($G287)*$H287)</f>
        <v/>
      </c>
      <c r="J287" s="40"/>
      <c r="K287" s="36" t="str">
        <f aca="false">IF($D287="","",IFERROR(INDEX(INSUMOS!$H$6:$H$205,MATCH($D287,INSUMOS!$A$6:$A$205,0)),IVA_VENTAS))</f>
        <v/>
      </c>
      <c r="L287" s="35" t="str">
        <f aca="false">IF($D287="","",N($J287)*$K287)</f>
        <v/>
      </c>
      <c r="M287" s="35" t="str">
        <f aca="false">IF($D287="","",N($J287)+$L287)</f>
        <v/>
      </c>
      <c r="N287" s="43" t="str">
        <f aca="false">IF($D287="","",IFERROR(N($J287)/$I287,0))</f>
        <v/>
      </c>
      <c r="O287" s="6"/>
      <c r="P287" s="6"/>
      <c r="Q287" s="46" t="str">
        <f aca="false">IF($A287="","",DATE(YEAR($A287),MONTH($A287),1))</f>
        <v/>
      </c>
      <c r="R287" s="8" t="str">
        <f aca="false">IF(OR($A287="",$D287=""),"",IF(COUNTIFS($D$6:$D$1005,$D287,$A$6:$A$1005,"&gt;"&amp;$A287)=0,1,0))</f>
        <v/>
      </c>
    </row>
    <row r="288" customFormat="false" ht="15" hidden="false" customHeight="false" outlineLevel="0" collapsed="false">
      <c r="A288" s="44"/>
      <c r="B288" s="6"/>
      <c r="C288" s="6"/>
      <c r="D288" s="6"/>
      <c r="E288" s="8" t="str">
        <f aca="false">IF($D288="","",IFERROR(INDEX(INSUMOS!$B$6:$B$205,MATCH($D288,INSUMOS!$A$6:$A$205,0)),"¿Código?"))</f>
        <v/>
      </c>
      <c r="F288" s="8" t="str">
        <f aca="false">IF($D288="","",IFERROR(INDEX(INSUMOS!$E$6:$E$205,MATCH($D288,INSUMOS!$A$6:$A$205,0)),""))</f>
        <v/>
      </c>
      <c r="G288" s="39"/>
      <c r="H288" s="45" t="str">
        <f aca="false">IF($D288="","",IFERROR(INDEX(INSUMOS!$F$6:$F$205,MATCH($D288,INSUMOS!$A$6:$A$205,0)),0))</f>
        <v/>
      </c>
      <c r="I288" s="34" t="str">
        <f aca="false">IF($D288="","",N($G288)*$H288)</f>
        <v/>
      </c>
      <c r="J288" s="40"/>
      <c r="K288" s="36" t="str">
        <f aca="false">IF($D288="","",IFERROR(INDEX(INSUMOS!$H$6:$H$205,MATCH($D288,INSUMOS!$A$6:$A$205,0)),IVA_VENTAS))</f>
        <v/>
      </c>
      <c r="L288" s="35" t="str">
        <f aca="false">IF($D288="","",N($J288)*$K288)</f>
        <v/>
      </c>
      <c r="M288" s="35" t="str">
        <f aca="false">IF($D288="","",N($J288)+$L288)</f>
        <v/>
      </c>
      <c r="N288" s="43" t="str">
        <f aca="false">IF($D288="","",IFERROR(N($J288)/$I288,0))</f>
        <v/>
      </c>
      <c r="O288" s="6"/>
      <c r="P288" s="6"/>
      <c r="Q288" s="46" t="str">
        <f aca="false">IF($A288="","",DATE(YEAR($A288),MONTH($A288),1))</f>
        <v/>
      </c>
      <c r="R288" s="8" t="str">
        <f aca="false">IF(OR($A288="",$D288=""),"",IF(COUNTIFS($D$6:$D$1005,$D288,$A$6:$A$1005,"&gt;"&amp;$A288)=0,1,0))</f>
        <v/>
      </c>
    </row>
    <row r="289" customFormat="false" ht="15" hidden="false" customHeight="false" outlineLevel="0" collapsed="false">
      <c r="A289" s="44"/>
      <c r="B289" s="6"/>
      <c r="C289" s="6"/>
      <c r="D289" s="6"/>
      <c r="E289" s="8" t="str">
        <f aca="false">IF($D289="","",IFERROR(INDEX(INSUMOS!$B$6:$B$205,MATCH($D289,INSUMOS!$A$6:$A$205,0)),"¿Código?"))</f>
        <v/>
      </c>
      <c r="F289" s="8" t="str">
        <f aca="false">IF($D289="","",IFERROR(INDEX(INSUMOS!$E$6:$E$205,MATCH($D289,INSUMOS!$A$6:$A$205,0)),""))</f>
        <v/>
      </c>
      <c r="G289" s="39"/>
      <c r="H289" s="45" t="str">
        <f aca="false">IF($D289="","",IFERROR(INDEX(INSUMOS!$F$6:$F$205,MATCH($D289,INSUMOS!$A$6:$A$205,0)),0))</f>
        <v/>
      </c>
      <c r="I289" s="34" t="str">
        <f aca="false">IF($D289="","",N($G289)*$H289)</f>
        <v/>
      </c>
      <c r="J289" s="40"/>
      <c r="K289" s="36" t="str">
        <f aca="false">IF($D289="","",IFERROR(INDEX(INSUMOS!$H$6:$H$205,MATCH($D289,INSUMOS!$A$6:$A$205,0)),IVA_VENTAS))</f>
        <v/>
      </c>
      <c r="L289" s="35" t="str">
        <f aca="false">IF($D289="","",N($J289)*$K289)</f>
        <v/>
      </c>
      <c r="M289" s="35" t="str">
        <f aca="false">IF($D289="","",N($J289)+$L289)</f>
        <v/>
      </c>
      <c r="N289" s="43" t="str">
        <f aca="false">IF($D289="","",IFERROR(N($J289)/$I289,0))</f>
        <v/>
      </c>
      <c r="O289" s="6"/>
      <c r="P289" s="6"/>
      <c r="Q289" s="46" t="str">
        <f aca="false">IF($A289="","",DATE(YEAR($A289),MONTH($A289),1))</f>
        <v/>
      </c>
      <c r="R289" s="8" t="str">
        <f aca="false">IF(OR($A289="",$D289=""),"",IF(COUNTIFS($D$6:$D$1005,$D289,$A$6:$A$1005,"&gt;"&amp;$A289)=0,1,0))</f>
        <v/>
      </c>
    </row>
    <row r="290" customFormat="false" ht="15" hidden="false" customHeight="false" outlineLevel="0" collapsed="false">
      <c r="A290" s="44"/>
      <c r="B290" s="6"/>
      <c r="C290" s="6"/>
      <c r="D290" s="6"/>
      <c r="E290" s="8" t="str">
        <f aca="false">IF($D290="","",IFERROR(INDEX(INSUMOS!$B$6:$B$205,MATCH($D290,INSUMOS!$A$6:$A$205,0)),"¿Código?"))</f>
        <v/>
      </c>
      <c r="F290" s="8" t="str">
        <f aca="false">IF($D290="","",IFERROR(INDEX(INSUMOS!$E$6:$E$205,MATCH($D290,INSUMOS!$A$6:$A$205,0)),""))</f>
        <v/>
      </c>
      <c r="G290" s="39"/>
      <c r="H290" s="45" t="str">
        <f aca="false">IF($D290="","",IFERROR(INDEX(INSUMOS!$F$6:$F$205,MATCH($D290,INSUMOS!$A$6:$A$205,0)),0))</f>
        <v/>
      </c>
      <c r="I290" s="34" t="str">
        <f aca="false">IF($D290="","",N($G290)*$H290)</f>
        <v/>
      </c>
      <c r="J290" s="40"/>
      <c r="K290" s="36" t="str">
        <f aca="false">IF($D290="","",IFERROR(INDEX(INSUMOS!$H$6:$H$205,MATCH($D290,INSUMOS!$A$6:$A$205,0)),IVA_VENTAS))</f>
        <v/>
      </c>
      <c r="L290" s="35" t="str">
        <f aca="false">IF($D290="","",N($J290)*$K290)</f>
        <v/>
      </c>
      <c r="M290" s="35" t="str">
        <f aca="false">IF($D290="","",N($J290)+$L290)</f>
        <v/>
      </c>
      <c r="N290" s="43" t="str">
        <f aca="false">IF($D290="","",IFERROR(N($J290)/$I290,0))</f>
        <v/>
      </c>
      <c r="O290" s="6"/>
      <c r="P290" s="6"/>
      <c r="Q290" s="46" t="str">
        <f aca="false">IF($A290="","",DATE(YEAR($A290),MONTH($A290),1))</f>
        <v/>
      </c>
      <c r="R290" s="8" t="str">
        <f aca="false">IF(OR($A290="",$D290=""),"",IF(COUNTIFS($D$6:$D$1005,$D290,$A$6:$A$1005,"&gt;"&amp;$A290)=0,1,0))</f>
        <v/>
      </c>
    </row>
    <row r="291" customFormat="false" ht="15" hidden="false" customHeight="false" outlineLevel="0" collapsed="false">
      <c r="A291" s="44"/>
      <c r="B291" s="6"/>
      <c r="C291" s="6"/>
      <c r="D291" s="6"/>
      <c r="E291" s="8" t="str">
        <f aca="false">IF($D291="","",IFERROR(INDEX(INSUMOS!$B$6:$B$205,MATCH($D291,INSUMOS!$A$6:$A$205,0)),"¿Código?"))</f>
        <v/>
      </c>
      <c r="F291" s="8" t="str">
        <f aca="false">IF($D291="","",IFERROR(INDEX(INSUMOS!$E$6:$E$205,MATCH($D291,INSUMOS!$A$6:$A$205,0)),""))</f>
        <v/>
      </c>
      <c r="G291" s="39"/>
      <c r="H291" s="45" t="str">
        <f aca="false">IF($D291="","",IFERROR(INDEX(INSUMOS!$F$6:$F$205,MATCH($D291,INSUMOS!$A$6:$A$205,0)),0))</f>
        <v/>
      </c>
      <c r="I291" s="34" t="str">
        <f aca="false">IF($D291="","",N($G291)*$H291)</f>
        <v/>
      </c>
      <c r="J291" s="40"/>
      <c r="K291" s="36" t="str">
        <f aca="false">IF($D291="","",IFERROR(INDEX(INSUMOS!$H$6:$H$205,MATCH($D291,INSUMOS!$A$6:$A$205,0)),IVA_VENTAS))</f>
        <v/>
      </c>
      <c r="L291" s="35" t="str">
        <f aca="false">IF($D291="","",N($J291)*$K291)</f>
        <v/>
      </c>
      <c r="M291" s="35" t="str">
        <f aca="false">IF($D291="","",N($J291)+$L291)</f>
        <v/>
      </c>
      <c r="N291" s="43" t="str">
        <f aca="false">IF($D291="","",IFERROR(N($J291)/$I291,0))</f>
        <v/>
      </c>
      <c r="O291" s="6"/>
      <c r="P291" s="6"/>
      <c r="Q291" s="46" t="str">
        <f aca="false">IF($A291="","",DATE(YEAR($A291),MONTH($A291),1))</f>
        <v/>
      </c>
      <c r="R291" s="8" t="str">
        <f aca="false">IF(OR($A291="",$D291=""),"",IF(COUNTIFS($D$6:$D$1005,$D291,$A$6:$A$1005,"&gt;"&amp;$A291)=0,1,0))</f>
        <v/>
      </c>
    </row>
    <row r="292" customFormat="false" ht="15" hidden="false" customHeight="false" outlineLevel="0" collapsed="false">
      <c r="A292" s="44"/>
      <c r="B292" s="6"/>
      <c r="C292" s="6"/>
      <c r="D292" s="6"/>
      <c r="E292" s="8" t="str">
        <f aca="false">IF($D292="","",IFERROR(INDEX(INSUMOS!$B$6:$B$205,MATCH($D292,INSUMOS!$A$6:$A$205,0)),"¿Código?"))</f>
        <v/>
      </c>
      <c r="F292" s="8" t="str">
        <f aca="false">IF($D292="","",IFERROR(INDEX(INSUMOS!$E$6:$E$205,MATCH($D292,INSUMOS!$A$6:$A$205,0)),""))</f>
        <v/>
      </c>
      <c r="G292" s="39"/>
      <c r="H292" s="45" t="str">
        <f aca="false">IF($D292="","",IFERROR(INDEX(INSUMOS!$F$6:$F$205,MATCH($D292,INSUMOS!$A$6:$A$205,0)),0))</f>
        <v/>
      </c>
      <c r="I292" s="34" t="str">
        <f aca="false">IF($D292="","",N($G292)*$H292)</f>
        <v/>
      </c>
      <c r="J292" s="40"/>
      <c r="K292" s="36" t="str">
        <f aca="false">IF($D292="","",IFERROR(INDEX(INSUMOS!$H$6:$H$205,MATCH($D292,INSUMOS!$A$6:$A$205,0)),IVA_VENTAS))</f>
        <v/>
      </c>
      <c r="L292" s="35" t="str">
        <f aca="false">IF($D292="","",N($J292)*$K292)</f>
        <v/>
      </c>
      <c r="M292" s="35" t="str">
        <f aca="false">IF($D292="","",N($J292)+$L292)</f>
        <v/>
      </c>
      <c r="N292" s="43" t="str">
        <f aca="false">IF($D292="","",IFERROR(N($J292)/$I292,0))</f>
        <v/>
      </c>
      <c r="O292" s="6"/>
      <c r="P292" s="6"/>
      <c r="Q292" s="46" t="str">
        <f aca="false">IF($A292="","",DATE(YEAR($A292),MONTH($A292),1))</f>
        <v/>
      </c>
      <c r="R292" s="8" t="str">
        <f aca="false">IF(OR($A292="",$D292=""),"",IF(COUNTIFS($D$6:$D$1005,$D292,$A$6:$A$1005,"&gt;"&amp;$A292)=0,1,0))</f>
        <v/>
      </c>
    </row>
    <row r="293" customFormat="false" ht="15" hidden="false" customHeight="false" outlineLevel="0" collapsed="false">
      <c r="A293" s="44"/>
      <c r="B293" s="6"/>
      <c r="C293" s="6"/>
      <c r="D293" s="6"/>
      <c r="E293" s="8" t="str">
        <f aca="false">IF($D293="","",IFERROR(INDEX(INSUMOS!$B$6:$B$205,MATCH($D293,INSUMOS!$A$6:$A$205,0)),"¿Código?"))</f>
        <v/>
      </c>
      <c r="F293" s="8" t="str">
        <f aca="false">IF($D293="","",IFERROR(INDEX(INSUMOS!$E$6:$E$205,MATCH($D293,INSUMOS!$A$6:$A$205,0)),""))</f>
        <v/>
      </c>
      <c r="G293" s="39"/>
      <c r="H293" s="45" t="str">
        <f aca="false">IF($D293="","",IFERROR(INDEX(INSUMOS!$F$6:$F$205,MATCH($D293,INSUMOS!$A$6:$A$205,0)),0))</f>
        <v/>
      </c>
      <c r="I293" s="34" t="str">
        <f aca="false">IF($D293="","",N($G293)*$H293)</f>
        <v/>
      </c>
      <c r="J293" s="40"/>
      <c r="K293" s="36" t="str">
        <f aca="false">IF($D293="","",IFERROR(INDEX(INSUMOS!$H$6:$H$205,MATCH($D293,INSUMOS!$A$6:$A$205,0)),IVA_VENTAS))</f>
        <v/>
      </c>
      <c r="L293" s="35" t="str">
        <f aca="false">IF($D293="","",N($J293)*$K293)</f>
        <v/>
      </c>
      <c r="M293" s="35" t="str">
        <f aca="false">IF($D293="","",N($J293)+$L293)</f>
        <v/>
      </c>
      <c r="N293" s="43" t="str">
        <f aca="false">IF($D293="","",IFERROR(N($J293)/$I293,0))</f>
        <v/>
      </c>
      <c r="O293" s="6"/>
      <c r="P293" s="6"/>
      <c r="Q293" s="46" t="str">
        <f aca="false">IF($A293="","",DATE(YEAR($A293),MONTH($A293),1))</f>
        <v/>
      </c>
      <c r="R293" s="8" t="str">
        <f aca="false">IF(OR($A293="",$D293=""),"",IF(COUNTIFS($D$6:$D$1005,$D293,$A$6:$A$1005,"&gt;"&amp;$A293)=0,1,0))</f>
        <v/>
      </c>
    </row>
    <row r="294" customFormat="false" ht="15" hidden="false" customHeight="false" outlineLevel="0" collapsed="false">
      <c r="A294" s="44"/>
      <c r="B294" s="6"/>
      <c r="C294" s="6"/>
      <c r="D294" s="6"/>
      <c r="E294" s="8" t="str">
        <f aca="false">IF($D294="","",IFERROR(INDEX(INSUMOS!$B$6:$B$205,MATCH($D294,INSUMOS!$A$6:$A$205,0)),"¿Código?"))</f>
        <v/>
      </c>
      <c r="F294" s="8" t="str">
        <f aca="false">IF($D294="","",IFERROR(INDEX(INSUMOS!$E$6:$E$205,MATCH($D294,INSUMOS!$A$6:$A$205,0)),""))</f>
        <v/>
      </c>
      <c r="G294" s="39"/>
      <c r="H294" s="45" t="str">
        <f aca="false">IF($D294="","",IFERROR(INDEX(INSUMOS!$F$6:$F$205,MATCH($D294,INSUMOS!$A$6:$A$205,0)),0))</f>
        <v/>
      </c>
      <c r="I294" s="34" t="str">
        <f aca="false">IF($D294="","",N($G294)*$H294)</f>
        <v/>
      </c>
      <c r="J294" s="40"/>
      <c r="K294" s="36" t="str">
        <f aca="false">IF($D294="","",IFERROR(INDEX(INSUMOS!$H$6:$H$205,MATCH($D294,INSUMOS!$A$6:$A$205,0)),IVA_VENTAS))</f>
        <v/>
      </c>
      <c r="L294" s="35" t="str">
        <f aca="false">IF($D294="","",N($J294)*$K294)</f>
        <v/>
      </c>
      <c r="M294" s="35" t="str">
        <f aca="false">IF($D294="","",N($J294)+$L294)</f>
        <v/>
      </c>
      <c r="N294" s="43" t="str">
        <f aca="false">IF($D294="","",IFERROR(N($J294)/$I294,0))</f>
        <v/>
      </c>
      <c r="O294" s="6"/>
      <c r="P294" s="6"/>
      <c r="Q294" s="46" t="str">
        <f aca="false">IF($A294="","",DATE(YEAR($A294),MONTH($A294),1))</f>
        <v/>
      </c>
      <c r="R294" s="8" t="str">
        <f aca="false">IF(OR($A294="",$D294=""),"",IF(COUNTIFS($D$6:$D$1005,$D294,$A$6:$A$1005,"&gt;"&amp;$A294)=0,1,0))</f>
        <v/>
      </c>
    </row>
    <row r="295" customFormat="false" ht="15" hidden="false" customHeight="false" outlineLevel="0" collapsed="false">
      <c r="A295" s="44"/>
      <c r="B295" s="6"/>
      <c r="C295" s="6"/>
      <c r="D295" s="6"/>
      <c r="E295" s="8" t="str">
        <f aca="false">IF($D295="","",IFERROR(INDEX(INSUMOS!$B$6:$B$205,MATCH($D295,INSUMOS!$A$6:$A$205,0)),"¿Código?"))</f>
        <v/>
      </c>
      <c r="F295" s="8" t="str">
        <f aca="false">IF($D295="","",IFERROR(INDEX(INSUMOS!$E$6:$E$205,MATCH($D295,INSUMOS!$A$6:$A$205,0)),""))</f>
        <v/>
      </c>
      <c r="G295" s="39"/>
      <c r="H295" s="45" t="str">
        <f aca="false">IF($D295="","",IFERROR(INDEX(INSUMOS!$F$6:$F$205,MATCH($D295,INSUMOS!$A$6:$A$205,0)),0))</f>
        <v/>
      </c>
      <c r="I295" s="34" t="str">
        <f aca="false">IF($D295="","",N($G295)*$H295)</f>
        <v/>
      </c>
      <c r="J295" s="40"/>
      <c r="K295" s="36" t="str">
        <f aca="false">IF($D295="","",IFERROR(INDEX(INSUMOS!$H$6:$H$205,MATCH($D295,INSUMOS!$A$6:$A$205,0)),IVA_VENTAS))</f>
        <v/>
      </c>
      <c r="L295" s="35" t="str">
        <f aca="false">IF($D295="","",N($J295)*$K295)</f>
        <v/>
      </c>
      <c r="M295" s="35" t="str">
        <f aca="false">IF($D295="","",N($J295)+$L295)</f>
        <v/>
      </c>
      <c r="N295" s="43" t="str">
        <f aca="false">IF($D295="","",IFERROR(N($J295)/$I295,0))</f>
        <v/>
      </c>
      <c r="O295" s="6"/>
      <c r="P295" s="6"/>
      <c r="Q295" s="46" t="str">
        <f aca="false">IF($A295="","",DATE(YEAR($A295),MONTH($A295),1))</f>
        <v/>
      </c>
      <c r="R295" s="8" t="str">
        <f aca="false">IF(OR($A295="",$D295=""),"",IF(COUNTIFS($D$6:$D$1005,$D295,$A$6:$A$1005,"&gt;"&amp;$A295)=0,1,0))</f>
        <v/>
      </c>
    </row>
    <row r="296" customFormat="false" ht="15" hidden="false" customHeight="false" outlineLevel="0" collapsed="false">
      <c r="A296" s="44"/>
      <c r="B296" s="6"/>
      <c r="C296" s="6"/>
      <c r="D296" s="6"/>
      <c r="E296" s="8" t="str">
        <f aca="false">IF($D296="","",IFERROR(INDEX(INSUMOS!$B$6:$B$205,MATCH($D296,INSUMOS!$A$6:$A$205,0)),"¿Código?"))</f>
        <v/>
      </c>
      <c r="F296" s="8" t="str">
        <f aca="false">IF($D296="","",IFERROR(INDEX(INSUMOS!$E$6:$E$205,MATCH($D296,INSUMOS!$A$6:$A$205,0)),""))</f>
        <v/>
      </c>
      <c r="G296" s="39"/>
      <c r="H296" s="45" t="str">
        <f aca="false">IF($D296="","",IFERROR(INDEX(INSUMOS!$F$6:$F$205,MATCH($D296,INSUMOS!$A$6:$A$205,0)),0))</f>
        <v/>
      </c>
      <c r="I296" s="34" t="str">
        <f aca="false">IF($D296="","",N($G296)*$H296)</f>
        <v/>
      </c>
      <c r="J296" s="40"/>
      <c r="K296" s="36" t="str">
        <f aca="false">IF($D296="","",IFERROR(INDEX(INSUMOS!$H$6:$H$205,MATCH($D296,INSUMOS!$A$6:$A$205,0)),IVA_VENTAS))</f>
        <v/>
      </c>
      <c r="L296" s="35" t="str">
        <f aca="false">IF($D296="","",N($J296)*$K296)</f>
        <v/>
      </c>
      <c r="M296" s="35" t="str">
        <f aca="false">IF($D296="","",N($J296)+$L296)</f>
        <v/>
      </c>
      <c r="N296" s="43" t="str">
        <f aca="false">IF($D296="","",IFERROR(N($J296)/$I296,0))</f>
        <v/>
      </c>
      <c r="O296" s="6"/>
      <c r="P296" s="6"/>
      <c r="Q296" s="46" t="str">
        <f aca="false">IF($A296="","",DATE(YEAR($A296),MONTH($A296),1))</f>
        <v/>
      </c>
      <c r="R296" s="8" t="str">
        <f aca="false">IF(OR($A296="",$D296=""),"",IF(COUNTIFS($D$6:$D$1005,$D296,$A$6:$A$1005,"&gt;"&amp;$A296)=0,1,0))</f>
        <v/>
      </c>
    </row>
    <row r="297" customFormat="false" ht="15" hidden="false" customHeight="false" outlineLevel="0" collapsed="false">
      <c r="A297" s="44"/>
      <c r="B297" s="6"/>
      <c r="C297" s="6"/>
      <c r="D297" s="6"/>
      <c r="E297" s="8" t="str">
        <f aca="false">IF($D297="","",IFERROR(INDEX(INSUMOS!$B$6:$B$205,MATCH($D297,INSUMOS!$A$6:$A$205,0)),"¿Código?"))</f>
        <v/>
      </c>
      <c r="F297" s="8" t="str">
        <f aca="false">IF($D297="","",IFERROR(INDEX(INSUMOS!$E$6:$E$205,MATCH($D297,INSUMOS!$A$6:$A$205,0)),""))</f>
        <v/>
      </c>
      <c r="G297" s="39"/>
      <c r="H297" s="45" t="str">
        <f aca="false">IF($D297="","",IFERROR(INDEX(INSUMOS!$F$6:$F$205,MATCH($D297,INSUMOS!$A$6:$A$205,0)),0))</f>
        <v/>
      </c>
      <c r="I297" s="34" t="str">
        <f aca="false">IF($D297="","",N($G297)*$H297)</f>
        <v/>
      </c>
      <c r="J297" s="40"/>
      <c r="K297" s="36" t="str">
        <f aca="false">IF($D297="","",IFERROR(INDEX(INSUMOS!$H$6:$H$205,MATCH($D297,INSUMOS!$A$6:$A$205,0)),IVA_VENTAS))</f>
        <v/>
      </c>
      <c r="L297" s="35" t="str">
        <f aca="false">IF($D297="","",N($J297)*$K297)</f>
        <v/>
      </c>
      <c r="M297" s="35" t="str">
        <f aca="false">IF($D297="","",N($J297)+$L297)</f>
        <v/>
      </c>
      <c r="N297" s="43" t="str">
        <f aca="false">IF($D297="","",IFERROR(N($J297)/$I297,0))</f>
        <v/>
      </c>
      <c r="O297" s="6"/>
      <c r="P297" s="6"/>
      <c r="Q297" s="46" t="str">
        <f aca="false">IF($A297="","",DATE(YEAR($A297),MONTH($A297),1))</f>
        <v/>
      </c>
      <c r="R297" s="8" t="str">
        <f aca="false">IF(OR($A297="",$D297=""),"",IF(COUNTIFS($D$6:$D$1005,$D297,$A$6:$A$1005,"&gt;"&amp;$A297)=0,1,0))</f>
        <v/>
      </c>
    </row>
    <row r="298" customFormat="false" ht="15" hidden="false" customHeight="false" outlineLevel="0" collapsed="false">
      <c r="A298" s="44"/>
      <c r="B298" s="6"/>
      <c r="C298" s="6"/>
      <c r="D298" s="6"/>
      <c r="E298" s="8" t="str">
        <f aca="false">IF($D298="","",IFERROR(INDEX(INSUMOS!$B$6:$B$205,MATCH($D298,INSUMOS!$A$6:$A$205,0)),"¿Código?"))</f>
        <v/>
      </c>
      <c r="F298" s="8" t="str">
        <f aca="false">IF($D298="","",IFERROR(INDEX(INSUMOS!$E$6:$E$205,MATCH($D298,INSUMOS!$A$6:$A$205,0)),""))</f>
        <v/>
      </c>
      <c r="G298" s="39"/>
      <c r="H298" s="45" t="str">
        <f aca="false">IF($D298="","",IFERROR(INDEX(INSUMOS!$F$6:$F$205,MATCH($D298,INSUMOS!$A$6:$A$205,0)),0))</f>
        <v/>
      </c>
      <c r="I298" s="34" t="str">
        <f aca="false">IF($D298="","",N($G298)*$H298)</f>
        <v/>
      </c>
      <c r="J298" s="40"/>
      <c r="K298" s="36" t="str">
        <f aca="false">IF($D298="","",IFERROR(INDEX(INSUMOS!$H$6:$H$205,MATCH($D298,INSUMOS!$A$6:$A$205,0)),IVA_VENTAS))</f>
        <v/>
      </c>
      <c r="L298" s="35" t="str">
        <f aca="false">IF($D298="","",N($J298)*$K298)</f>
        <v/>
      </c>
      <c r="M298" s="35" t="str">
        <f aca="false">IF($D298="","",N($J298)+$L298)</f>
        <v/>
      </c>
      <c r="N298" s="43" t="str">
        <f aca="false">IF($D298="","",IFERROR(N($J298)/$I298,0))</f>
        <v/>
      </c>
      <c r="O298" s="6"/>
      <c r="P298" s="6"/>
      <c r="Q298" s="46" t="str">
        <f aca="false">IF($A298="","",DATE(YEAR($A298),MONTH($A298),1))</f>
        <v/>
      </c>
      <c r="R298" s="8" t="str">
        <f aca="false">IF(OR($A298="",$D298=""),"",IF(COUNTIFS($D$6:$D$1005,$D298,$A$6:$A$1005,"&gt;"&amp;$A298)=0,1,0))</f>
        <v/>
      </c>
    </row>
    <row r="299" customFormat="false" ht="15" hidden="false" customHeight="false" outlineLevel="0" collapsed="false">
      <c r="A299" s="44"/>
      <c r="B299" s="6"/>
      <c r="C299" s="6"/>
      <c r="D299" s="6"/>
      <c r="E299" s="8" t="str">
        <f aca="false">IF($D299="","",IFERROR(INDEX(INSUMOS!$B$6:$B$205,MATCH($D299,INSUMOS!$A$6:$A$205,0)),"¿Código?"))</f>
        <v/>
      </c>
      <c r="F299" s="8" t="str">
        <f aca="false">IF($D299="","",IFERROR(INDEX(INSUMOS!$E$6:$E$205,MATCH($D299,INSUMOS!$A$6:$A$205,0)),""))</f>
        <v/>
      </c>
      <c r="G299" s="39"/>
      <c r="H299" s="45" t="str">
        <f aca="false">IF($D299="","",IFERROR(INDEX(INSUMOS!$F$6:$F$205,MATCH($D299,INSUMOS!$A$6:$A$205,0)),0))</f>
        <v/>
      </c>
      <c r="I299" s="34" t="str">
        <f aca="false">IF($D299="","",N($G299)*$H299)</f>
        <v/>
      </c>
      <c r="J299" s="40"/>
      <c r="K299" s="36" t="str">
        <f aca="false">IF($D299="","",IFERROR(INDEX(INSUMOS!$H$6:$H$205,MATCH($D299,INSUMOS!$A$6:$A$205,0)),IVA_VENTAS))</f>
        <v/>
      </c>
      <c r="L299" s="35" t="str">
        <f aca="false">IF($D299="","",N($J299)*$K299)</f>
        <v/>
      </c>
      <c r="M299" s="35" t="str">
        <f aca="false">IF($D299="","",N($J299)+$L299)</f>
        <v/>
      </c>
      <c r="N299" s="43" t="str">
        <f aca="false">IF($D299="","",IFERROR(N($J299)/$I299,0))</f>
        <v/>
      </c>
      <c r="O299" s="6"/>
      <c r="P299" s="6"/>
      <c r="Q299" s="46" t="str">
        <f aca="false">IF($A299="","",DATE(YEAR($A299),MONTH($A299),1))</f>
        <v/>
      </c>
      <c r="R299" s="8" t="str">
        <f aca="false">IF(OR($A299="",$D299=""),"",IF(COUNTIFS($D$6:$D$1005,$D299,$A$6:$A$1005,"&gt;"&amp;$A299)=0,1,0))</f>
        <v/>
      </c>
    </row>
    <row r="300" customFormat="false" ht="15" hidden="false" customHeight="false" outlineLevel="0" collapsed="false">
      <c r="A300" s="44"/>
      <c r="B300" s="6"/>
      <c r="C300" s="6"/>
      <c r="D300" s="6"/>
      <c r="E300" s="8" t="str">
        <f aca="false">IF($D300="","",IFERROR(INDEX(INSUMOS!$B$6:$B$205,MATCH($D300,INSUMOS!$A$6:$A$205,0)),"¿Código?"))</f>
        <v/>
      </c>
      <c r="F300" s="8" t="str">
        <f aca="false">IF($D300="","",IFERROR(INDEX(INSUMOS!$E$6:$E$205,MATCH($D300,INSUMOS!$A$6:$A$205,0)),""))</f>
        <v/>
      </c>
      <c r="G300" s="39"/>
      <c r="H300" s="45" t="str">
        <f aca="false">IF($D300="","",IFERROR(INDEX(INSUMOS!$F$6:$F$205,MATCH($D300,INSUMOS!$A$6:$A$205,0)),0))</f>
        <v/>
      </c>
      <c r="I300" s="34" t="str">
        <f aca="false">IF($D300="","",N($G300)*$H300)</f>
        <v/>
      </c>
      <c r="J300" s="40"/>
      <c r="K300" s="36" t="str">
        <f aca="false">IF($D300="","",IFERROR(INDEX(INSUMOS!$H$6:$H$205,MATCH($D300,INSUMOS!$A$6:$A$205,0)),IVA_VENTAS))</f>
        <v/>
      </c>
      <c r="L300" s="35" t="str">
        <f aca="false">IF($D300="","",N($J300)*$K300)</f>
        <v/>
      </c>
      <c r="M300" s="35" t="str">
        <f aca="false">IF($D300="","",N($J300)+$L300)</f>
        <v/>
      </c>
      <c r="N300" s="43" t="str">
        <f aca="false">IF($D300="","",IFERROR(N($J300)/$I300,0))</f>
        <v/>
      </c>
      <c r="O300" s="6"/>
      <c r="P300" s="6"/>
      <c r="Q300" s="46" t="str">
        <f aca="false">IF($A300="","",DATE(YEAR($A300),MONTH($A300),1))</f>
        <v/>
      </c>
      <c r="R300" s="8" t="str">
        <f aca="false">IF(OR($A300="",$D300=""),"",IF(COUNTIFS($D$6:$D$1005,$D300,$A$6:$A$1005,"&gt;"&amp;$A300)=0,1,0))</f>
        <v/>
      </c>
    </row>
    <row r="301" customFormat="false" ht="15" hidden="false" customHeight="false" outlineLevel="0" collapsed="false">
      <c r="A301" s="44"/>
      <c r="B301" s="6"/>
      <c r="C301" s="6"/>
      <c r="D301" s="6"/>
      <c r="E301" s="8" t="str">
        <f aca="false">IF($D301="","",IFERROR(INDEX(INSUMOS!$B$6:$B$205,MATCH($D301,INSUMOS!$A$6:$A$205,0)),"¿Código?"))</f>
        <v/>
      </c>
      <c r="F301" s="8" t="str">
        <f aca="false">IF($D301="","",IFERROR(INDEX(INSUMOS!$E$6:$E$205,MATCH($D301,INSUMOS!$A$6:$A$205,0)),""))</f>
        <v/>
      </c>
      <c r="G301" s="39"/>
      <c r="H301" s="45" t="str">
        <f aca="false">IF($D301="","",IFERROR(INDEX(INSUMOS!$F$6:$F$205,MATCH($D301,INSUMOS!$A$6:$A$205,0)),0))</f>
        <v/>
      </c>
      <c r="I301" s="34" t="str">
        <f aca="false">IF($D301="","",N($G301)*$H301)</f>
        <v/>
      </c>
      <c r="J301" s="40"/>
      <c r="K301" s="36" t="str">
        <f aca="false">IF($D301="","",IFERROR(INDEX(INSUMOS!$H$6:$H$205,MATCH($D301,INSUMOS!$A$6:$A$205,0)),IVA_VENTAS))</f>
        <v/>
      </c>
      <c r="L301" s="35" t="str">
        <f aca="false">IF($D301="","",N($J301)*$K301)</f>
        <v/>
      </c>
      <c r="M301" s="35" t="str">
        <f aca="false">IF($D301="","",N($J301)+$L301)</f>
        <v/>
      </c>
      <c r="N301" s="43" t="str">
        <f aca="false">IF($D301="","",IFERROR(N($J301)/$I301,0))</f>
        <v/>
      </c>
      <c r="O301" s="6"/>
      <c r="P301" s="6"/>
      <c r="Q301" s="46" t="str">
        <f aca="false">IF($A301="","",DATE(YEAR($A301),MONTH($A301),1))</f>
        <v/>
      </c>
      <c r="R301" s="8" t="str">
        <f aca="false">IF(OR($A301="",$D301=""),"",IF(COUNTIFS($D$6:$D$1005,$D301,$A$6:$A$1005,"&gt;"&amp;$A301)=0,1,0))</f>
        <v/>
      </c>
    </row>
    <row r="302" customFormat="false" ht="15" hidden="false" customHeight="false" outlineLevel="0" collapsed="false">
      <c r="A302" s="44"/>
      <c r="B302" s="6"/>
      <c r="C302" s="6"/>
      <c r="D302" s="6"/>
      <c r="E302" s="8" t="str">
        <f aca="false">IF($D302="","",IFERROR(INDEX(INSUMOS!$B$6:$B$205,MATCH($D302,INSUMOS!$A$6:$A$205,0)),"¿Código?"))</f>
        <v/>
      </c>
      <c r="F302" s="8" t="str">
        <f aca="false">IF($D302="","",IFERROR(INDEX(INSUMOS!$E$6:$E$205,MATCH($D302,INSUMOS!$A$6:$A$205,0)),""))</f>
        <v/>
      </c>
      <c r="G302" s="39"/>
      <c r="H302" s="45" t="str">
        <f aca="false">IF($D302="","",IFERROR(INDEX(INSUMOS!$F$6:$F$205,MATCH($D302,INSUMOS!$A$6:$A$205,0)),0))</f>
        <v/>
      </c>
      <c r="I302" s="34" t="str">
        <f aca="false">IF($D302="","",N($G302)*$H302)</f>
        <v/>
      </c>
      <c r="J302" s="40"/>
      <c r="K302" s="36" t="str">
        <f aca="false">IF($D302="","",IFERROR(INDEX(INSUMOS!$H$6:$H$205,MATCH($D302,INSUMOS!$A$6:$A$205,0)),IVA_VENTAS))</f>
        <v/>
      </c>
      <c r="L302" s="35" t="str">
        <f aca="false">IF($D302="","",N($J302)*$K302)</f>
        <v/>
      </c>
      <c r="M302" s="35" t="str">
        <f aca="false">IF($D302="","",N($J302)+$L302)</f>
        <v/>
      </c>
      <c r="N302" s="43" t="str">
        <f aca="false">IF($D302="","",IFERROR(N($J302)/$I302,0))</f>
        <v/>
      </c>
      <c r="O302" s="6"/>
      <c r="P302" s="6"/>
      <c r="Q302" s="46" t="str">
        <f aca="false">IF($A302="","",DATE(YEAR($A302),MONTH($A302),1))</f>
        <v/>
      </c>
      <c r="R302" s="8" t="str">
        <f aca="false">IF(OR($A302="",$D302=""),"",IF(COUNTIFS($D$6:$D$1005,$D302,$A$6:$A$1005,"&gt;"&amp;$A302)=0,1,0))</f>
        <v/>
      </c>
    </row>
    <row r="303" customFormat="false" ht="15" hidden="false" customHeight="false" outlineLevel="0" collapsed="false">
      <c r="A303" s="44"/>
      <c r="B303" s="6"/>
      <c r="C303" s="6"/>
      <c r="D303" s="6"/>
      <c r="E303" s="8" t="str">
        <f aca="false">IF($D303="","",IFERROR(INDEX(INSUMOS!$B$6:$B$205,MATCH($D303,INSUMOS!$A$6:$A$205,0)),"¿Código?"))</f>
        <v/>
      </c>
      <c r="F303" s="8" t="str">
        <f aca="false">IF($D303="","",IFERROR(INDEX(INSUMOS!$E$6:$E$205,MATCH($D303,INSUMOS!$A$6:$A$205,0)),""))</f>
        <v/>
      </c>
      <c r="G303" s="39"/>
      <c r="H303" s="45" t="str">
        <f aca="false">IF($D303="","",IFERROR(INDEX(INSUMOS!$F$6:$F$205,MATCH($D303,INSUMOS!$A$6:$A$205,0)),0))</f>
        <v/>
      </c>
      <c r="I303" s="34" t="str">
        <f aca="false">IF($D303="","",N($G303)*$H303)</f>
        <v/>
      </c>
      <c r="J303" s="40"/>
      <c r="K303" s="36" t="str">
        <f aca="false">IF($D303="","",IFERROR(INDEX(INSUMOS!$H$6:$H$205,MATCH($D303,INSUMOS!$A$6:$A$205,0)),IVA_VENTAS))</f>
        <v/>
      </c>
      <c r="L303" s="35" t="str">
        <f aca="false">IF($D303="","",N($J303)*$K303)</f>
        <v/>
      </c>
      <c r="M303" s="35" t="str">
        <f aca="false">IF($D303="","",N($J303)+$L303)</f>
        <v/>
      </c>
      <c r="N303" s="43" t="str">
        <f aca="false">IF($D303="","",IFERROR(N($J303)/$I303,0))</f>
        <v/>
      </c>
      <c r="O303" s="6"/>
      <c r="P303" s="6"/>
      <c r="Q303" s="46" t="str">
        <f aca="false">IF($A303="","",DATE(YEAR($A303),MONTH($A303),1))</f>
        <v/>
      </c>
      <c r="R303" s="8" t="str">
        <f aca="false">IF(OR($A303="",$D303=""),"",IF(COUNTIFS($D$6:$D$1005,$D303,$A$6:$A$1005,"&gt;"&amp;$A303)=0,1,0))</f>
        <v/>
      </c>
    </row>
    <row r="304" customFormat="false" ht="15" hidden="false" customHeight="false" outlineLevel="0" collapsed="false">
      <c r="A304" s="44"/>
      <c r="B304" s="6"/>
      <c r="C304" s="6"/>
      <c r="D304" s="6"/>
      <c r="E304" s="8" t="str">
        <f aca="false">IF($D304="","",IFERROR(INDEX(INSUMOS!$B$6:$B$205,MATCH($D304,INSUMOS!$A$6:$A$205,0)),"¿Código?"))</f>
        <v/>
      </c>
      <c r="F304" s="8" t="str">
        <f aca="false">IF($D304="","",IFERROR(INDEX(INSUMOS!$E$6:$E$205,MATCH($D304,INSUMOS!$A$6:$A$205,0)),""))</f>
        <v/>
      </c>
      <c r="G304" s="39"/>
      <c r="H304" s="45" t="str">
        <f aca="false">IF($D304="","",IFERROR(INDEX(INSUMOS!$F$6:$F$205,MATCH($D304,INSUMOS!$A$6:$A$205,0)),0))</f>
        <v/>
      </c>
      <c r="I304" s="34" t="str">
        <f aca="false">IF($D304="","",N($G304)*$H304)</f>
        <v/>
      </c>
      <c r="J304" s="40"/>
      <c r="K304" s="36" t="str">
        <f aca="false">IF($D304="","",IFERROR(INDEX(INSUMOS!$H$6:$H$205,MATCH($D304,INSUMOS!$A$6:$A$205,0)),IVA_VENTAS))</f>
        <v/>
      </c>
      <c r="L304" s="35" t="str">
        <f aca="false">IF($D304="","",N($J304)*$K304)</f>
        <v/>
      </c>
      <c r="M304" s="35" t="str">
        <f aca="false">IF($D304="","",N($J304)+$L304)</f>
        <v/>
      </c>
      <c r="N304" s="43" t="str">
        <f aca="false">IF($D304="","",IFERROR(N($J304)/$I304,0))</f>
        <v/>
      </c>
      <c r="O304" s="6"/>
      <c r="P304" s="6"/>
      <c r="Q304" s="46" t="str">
        <f aca="false">IF($A304="","",DATE(YEAR($A304),MONTH($A304),1))</f>
        <v/>
      </c>
      <c r="R304" s="8" t="str">
        <f aca="false">IF(OR($A304="",$D304=""),"",IF(COUNTIFS($D$6:$D$1005,$D304,$A$6:$A$1005,"&gt;"&amp;$A304)=0,1,0))</f>
        <v/>
      </c>
    </row>
    <row r="305" customFormat="false" ht="15" hidden="false" customHeight="false" outlineLevel="0" collapsed="false">
      <c r="A305" s="44"/>
      <c r="B305" s="6"/>
      <c r="C305" s="6"/>
      <c r="D305" s="6"/>
      <c r="E305" s="8" t="str">
        <f aca="false">IF($D305="","",IFERROR(INDEX(INSUMOS!$B$6:$B$205,MATCH($D305,INSUMOS!$A$6:$A$205,0)),"¿Código?"))</f>
        <v/>
      </c>
      <c r="F305" s="8" t="str">
        <f aca="false">IF($D305="","",IFERROR(INDEX(INSUMOS!$E$6:$E$205,MATCH($D305,INSUMOS!$A$6:$A$205,0)),""))</f>
        <v/>
      </c>
      <c r="G305" s="39"/>
      <c r="H305" s="45" t="str">
        <f aca="false">IF($D305="","",IFERROR(INDEX(INSUMOS!$F$6:$F$205,MATCH($D305,INSUMOS!$A$6:$A$205,0)),0))</f>
        <v/>
      </c>
      <c r="I305" s="34" t="str">
        <f aca="false">IF($D305="","",N($G305)*$H305)</f>
        <v/>
      </c>
      <c r="J305" s="40"/>
      <c r="K305" s="36" t="str">
        <f aca="false">IF($D305="","",IFERROR(INDEX(INSUMOS!$H$6:$H$205,MATCH($D305,INSUMOS!$A$6:$A$205,0)),IVA_VENTAS))</f>
        <v/>
      </c>
      <c r="L305" s="35" t="str">
        <f aca="false">IF($D305="","",N($J305)*$K305)</f>
        <v/>
      </c>
      <c r="M305" s="35" t="str">
        <f aca="false">IF($D305="","",N($J305)+$L305)</f>
        <v/>
      </c>
      <c r="N305" s="43" t="str">
        <f aca="false">IF($D305="","",IFERROR(N($J305)/$I305,0))</f>
        <v/>
      </c>
      <c r="O305" s="6"/>
      <c r="P305" s="6"/>
      <c r="Q305" s="46" t="str">
        <f aca="false">IF($A305="","",DATE(YEAR($A305),MONTH($A305),1))</f>
        <v/>
      </c>
      <c r="R305" s="8" t="str">
        <f aca="false">IF(OR($A305="",$D305=""),"",IF(COUNTIFS($D$6:$D$1005,$D305,$A$6:$A$1005,"&gt;"&amp;$A305)=0,1,0))</f>
        <v/>
      </c>
    </row>
    <row r="306" customFormat="false" ht="15" hidden="false" customHeight="false" outlineLevel="0" collapsed="false">
      <c r="A306" s="44"/>
      <c r="B306" s="6"/>
      <c r="C306" s="6"/>
      <c r="D306" s="6"/>
      <c r="E306" s="8" t="str">
        <f aca="false">IF($D306="","",IFERROR(INDEX(INSUMOS!$B$6:$B$205,MATCH($D306,INSUMOS!$A$6:$A$205,0)),"¿Código?"))</f>
        <v/>
      </c>
      <c r="F306" s="8" t="str">
        <f aca="false">IF($D306="","",IFERROR(INDEX(INSUMOS!$E$6:$E$205,MATCH($D306,INSUMOS!$A$6:$A$205,0)),""))</f>
        <v/>
      </c>
      <c r="G306" s="39"/>
      <c r="H306" s="45" t="str">
        <f aca="false">IF($D306="","",IFERROR(INDEX(INSUMOS!$F$6:$F$205,MATCH($D306,INSUMOS!$A$6:$A$205,0)),0))</f>
        <v/>
      </c>
      <c r="I306" s="34" t="str">
        <f aca="false">IF($D306="","",N($G306)*$H306)</f>
        <v/>
      </c>
      <c r="J306" s="40"/>
      <c r="K306" s="36" t="str">
        <f aca="false">IF($D306="","",IFERROR(INDEX(INSUMOS!$H$6:$H$205,MATCH($D306,INSUMOS!$A$6:$A$205,0)),IVA_VENTAS))</f>
        <v/>
      </c>
      <c r="L306" s="35" t="str">
        <f aca="false">IF($D306="","",N($J306)*$K306)</f>
        <v/>
      </c>
      <c r="M306" s="35" t="str">
        <f aca="false">IF($D306="","",N($J306)+$L306)</f>
        <v/>
      </c>
      <c r="N306" s="43" t="str">
        <f aca="false">IF($D306="","",IFERROR(N($J306)/$I306,0))</f>
        <v/>
      </c>
      <c r="O306" s="6"/>
      <c r="P306" s="6"/>
      <c r="Q306" s="46" t="str">
        <f aca="false">IF($A306="","",DATE(YEAR($A306),MONTH($A306),1))</f>
        <v/>
      </c>
      <c r="R306" s="8" t="str">
        <f aca="false">IF(OR($A306="",$D306=""),"",IF(COUNTIFS($D$6:$D$1005,$D306,$A$6:$A$1005,"&gt;"&amp;$A306)=0,1,0))</f>
        <v/>
      </c>
    </row>
    <row r="307" customFormat="false" ht="15" hidden="false" customHeight="false" outlineLevel="0" collapsed="false">
      <c r="A307" s="44"/>
      <c r="B307" s="6"/>
      <c r="C307" s="6"/>
      <c r="D307" s="6"/>
      <c r="E307" s="8" t="str">
        <f aca="false">IF($D307="","",IFERROR(INDEX(INSUMOS!$B$6:$B$205,MATCH($D307,INSUMOS!$A$6:$A$205,0)),"¿Código?"))</f>
        <v/>
      </c>
      <c r="F307" s="8" t="str">
        <f aca="false">IF($D307="","",IFERROR(INDEX(INSUMOS!$E$6:$E$205,MATCH($D307,INSUMOS!$A$6:$A$205,0)),""))</f>
        <v/>
      </c>
      <c r="G307" s="39"/>
      <c r="H307" s="45" t="str">
        <f aca="false">IF($D307="","",IFERROR(INDEX(INSUMOS!$F$6:$F$205,MATCH($D307,INSUMOS!$A$6:$A$205,0)),0))</f>
        <v/>
      </c>
      <c r="I307" s="34" t="str">
        <f aca="false">IF($D307="","",N($G307)*$H307)</f>
        <v/>
      </c>
      <c r="J307" s="40"/>
      <c r="K307" s="36" t="str">
        <f aca="false">IF($D307="","",IFERROR(INDEX(INSUMOS!$H$6:$H$205,MATCH($D307,INSUMOS!$A$6:$A$205,0)),IVA_VENTAS))</f>
        <v/>
      </c>
      <c r="L307" s="35" t="str">
        <f aca="false">IF($D307="","",N($J307)*$K307)</f>
        <v/>
      </c>
      <c r="M307" s="35" t="str">
        <f aca="false">IF($D307="","",N($J307)+$L307)</f>
        <v/>
      </c>
      <c r="N307" s="43" t="str">
        <f aca="false">IF($D307="","",IFERROR(N($J307)/$I307,0))</f>
        <v/>
      </c>
      <c r="O307" s="6"/>
      <c r="P307" s="6"/>
      <c r="Q307" s="46" t="str">
        <f aca="false">IF($A307="","",DATE(YEAR($A307),MONTH($A307),1))</f>
        <v/>
      </c>
      <c r="R307" s="8" t="str">
        <f aca="false">IF(OR($A307="",$D307=""),"",IF(COUNTIFS($D$6:$D$1005,$D307,$A$6:$A$1005,"&gt;"&amp;$A307)=0,1,0))</f>
        <v/>
      </c>
    </row>
    <row r="308" customFormat="false" ht="15" hidden="false" customHeight="false" outlineLevel="0" collapsed="false">
      <c r="A308" s="44"/>
      <c r="B308" s="6"/>
      <c r="C308" s="6"/>
      <c r="D308" s="6"/>
      <c r="E308" s="8" t="str">
        <f aca="false">IF($D308="","",IFERROR(INDEX(INSUMOS!$B$6:$B$205,MATCH($D308,INSUMOS!$A$6:$A$205,0)),"¿Código?"))</f>
        <v/>
      </c>
      <c r="F308" s="8" t="str">
        <f aca="false">IF($D308="","",IFERROR(INDEX(INSUMOS!$E$6:$E$205,MATCH($D308,INSUMOS!$A$6:$A$205,0)),""))</f>
        <v/>
      </c>
      <c r="G308" s="39"/>
      <c r="H308" s="45" t="str">
        <f aca="false">IF($D308="","",IFERROR(INDEX(INSUMOS!$F$6:$F$205,MATCH($D308,INSUMOS!$A$6:$A$205,0)),0))</f>
        <v/>
      </c>
      <c r="I308" s="34" t="str">
        <f aca="false">IF($D308="","",N($G308)*$H308)</f>
        <v/>
      </c>
      <c r="J308" s="40"/>
      <c r="K308" s="36" t="str">
        <f aca="false">IF($D308="","",IFERROR(INDEX(INSUMOS!$H$6:$H$205,MATCH($D308,INSUMOS!$A$6:$A$205,0)),IVA_VENTAS))</f>
        <v/>
      </c>
      <c r="L308" s="35" t="str">
        <f aca="false">IF($D308="","",N($J308)*$K308)</f>
        <v/>
      </c>
      <c r="M308" s="35" t="str">
        <f aca="false">IF($D308="","",N($J308)+$L308)</f>
        <v/>
      </c>
      <c r="N308" s="43" t="str">
        <f aca="false">IF($D308="","",IFERROR(N($J308)/$I308,0))</f>
        <v/>
      </c>
      <c r="O308" s="6"/>
      <c r="P308" s="6"/>
      <c r="Q308" s="46" t="str">
        <f aca="false">IF($A308="","",DATE(YEAR($A308),MONTH($A308),1))</f>
        <v/>
      </c>
      <c r="R308" s="8" t="str">
        <f aca="false">IF(OR($A308="",$D308=""),"",IF(COUNTIFS($D$6:$D$1005,$D308,$A$6:$A$1005,"&gt;"&amp;$A308)=0,1,0))</f>
        <v/>
      </c>
    </row>
    <row r="309" customFormat="false" ht="15" hidden="false" customHeight="false" outlineLevel="0" collapsed="false">
      <c r="A309" s="44"/>
      <c r="B309" s="6"/>
      <c r="C309" s="6"/>
      <c r="D309" s="6"/>
      <c r="E309" s="8" t="str">
        <f aca="false">IF($D309="","",IFERROR(INDEX(INSUMOS!$B$6:$B$205,MATCH($D309,INSUMOS!$A$6:$A$205,0)),"¿Código?"))</f>
        <v/>
      </c>
      <c r="F309" s="8" t="str">
        <f aca="false">IF($D309="","",IFERROR(INDEX(INSUMOS!$E$6:$E$205,MATCH($D309,INSUMOS!$A$6:$A$205,0)),""))</f>
        <v/>
      </c>
      <c r="G309" s="39"/>
      <c r="H309" s="45" t="str">
        <f aca="false">IF($D309="","",IFERROR(INDEX(INSUMOS!$F$6:$F$205,MATCH($D309,INSUMOS!$A$6:$A$205,0)),0))</f>
        <v/>
      </c>
      <c r="I309" s="34" t="str">
        <f aca="false">IF($D309="","",N($G309)*$H309)</f>
        <v/>
      </c>
      <c r="J309" s="40"/>
      <c r="K309" s="36" t="str">
        <f aca="false">IF($D309="","",IFERROR(INDEX(INSUMOS!$H$6:$H$205,MATCH($D309,INSUMOS!$A$6:$A$205,0)),IVA_VENTAS))</f>
        <v/>
      </c>
      <c r="L309" s="35" t="str">
        <f aca="false">IF($D309="","",N($J309)*$K309)</f>
        <v/>
      </c>
      <c r="M309" s="35" t="str">
        <f aca="false">IF($D309="","",N($J309)+$L309)</f>
        <v/>
      </c>
      <c r="N309" s="43" t="str">
        <f aca="false">IF($D309="","",IFERROR(N($J309)/$I309,0))</f>
        <v/>
      </c>
      <c r="O309" s="6"/>
      <c r="P309" s="6"/>
      <c r="Q309" s="46" t="str">
        <f aca="false">IF($A309="","",DATE(YEAR($A309),MONTH($A309),1))</f>
        <v/>
      </c>
      <c r="R309" s="8" t="str">
        <f aca="false">IF(OR($A309="",$D309=""),"",IF(COUNTIFS($D$6:$D$1005,$D309,$A$6:$A$1005,"&gt;"&amp;$A309)=0,1,0))</f>
        <v/>
      </c>
    </row>
    <row r="310" customFormat="false" ht="15" hidden="false" customHeight="false" outlineLevel="0" collapsed="false">
      <c r="A310" s="44"/>
      <c r="B310" s="6"/>
      <c r="C310" s="6"/>
      <c r="D310" s="6"/>
      <c r="E310" s="8" t="str">
        <f aca="false">IF($D310="","",IFERROR(INDEX(INSUMOS!$B$6:$B$205,MATCH($D310,INSUMOS!$A$6:$A$205,0)),"¿Código?"))</f>
        <v/>
      </c>
      <c r="F310" s="8" t="str">
        <f aca="false">IF($D310="","",IFERROR(INDEX(INSUMOS!$E$6:$E$205,MATCH($D310,INSUMOS!$A$6:$A$205,0)),""))</f>
        <v/>
      </c>
      <c r="G310" s="39"/>
      <c r="H310" s="45" t="str">
        <f aca="false">IF($D310="","",IFERROR(INDEX(INSUMOS!$F$6:$F$205,MATCH($D310,INSUMOS!$A$6:$A$205,0)),0))</f>
        <v/>
      </c>
      <c r="I310" s="34" t="str">
        <f aca="false">IF($D310="","",N($G310)*$H310)</f>
        <v/>
      </c>
      <c r="J310" s="40"/>
      <c r="K310" s="36" t="str">
        <f aca="false">IF($D310="","",IFERROR(INDEX(INSUMOS!$H$6:$H$205,MATCH($D310,INSUMOS!$A$6:$A$205,0)),IVA_VENTAS))</f>
        <v/>
      </c>
      <c r="L310" s="35" t="str">
        <f aca="false">IF($D310="","",N($J310)*$K310)</f>
        <v/>
      </c>
      <c r="M310" s="35" t="str">
        <f aca="false">IF($D310="","",N($J310)+$L310)</f>
        <v/>
      </c>
      <c r="N310" s="43" t="str">
        <f aca="false">IF($D310="","",IFERROR(N($J310)/$I310,0))</f>
        <v/>
      </c>
      <c r="O310" s="6"/>
      <c r="P310" s="6"/>
      <c r="Q310" s="46" t="str">
        <f aca="false">IF($A310="","",DATE(YEAR($A310),MONTH($A310),1))</f>
        <v/>
      </c>
      <c r="R310" s="8" t="str">
        <f aca="false">IF(OR($A310="",$D310=""),"",IF(COUNTIFS($D$6:$D$1005,$D310,$A$6:$A$1005,"&gt;"&amp;$A310)=0,1,0))</f>
        <v/>
      </c>
    </row>
    <row r="311" customFormat="false" ht="15" hidden="false" customHeight="false" outlineLevel="0" collapsed="false">
      <c r="A311" s="44"/>
      <c r="B311" s="6"/>
      <c r="C311" s="6"/>
      <c r="D311" s="6"/>
      <c r="E311" s="8" t="str">
        <f aca="false">IF($D311="","",IFERROR(INDEX(INSUMOS!$B$6:$B$205,MATCH($D311,INSUMOS!$A$6:$A$205,0)),"¿Código?"))</f>
        <v/>
      </c>
      <c r="F311" s="8" t="str">
        <f aca="false">IF($D311="","",IFERROR(INDEX(INSUMOS!$E$6:$E$205,MATCH($D311,INSUMOS!$A$6:$A$205,0)),""))</f>
        <v/>
      </c>
      <c r="G311" s="39"/>
      <c r="H311" s="45" t="str">
        <f aca="false">IF($D311="","",IFERROR(INDEX(INSUMOS!$F$6:$F$205,MATCH($D311,INSUMOS!$A$6:$A$205,0)),0))</f>
        <v/>
      </c>
      <c r="I311" s="34" t="str">
        <f aca="false">IF($D311="","",N($G311)*$H311)</f>
        <v/>
      </c>
      <c r="J311" s="40"/>
      <c r="K311" s="36" t="str">
        <f aca="false">IF($D311="","",IFERROR(INDEX(INSUMOS!$H$6:$H$205,MATCH($D311,INSUMOS!$A$6:$A$205,0)),IVA_VENTAS))</f>
        <v/>
      </c>
      <c r="L311" s="35" t="str">
        <f aca="false">IF($D311="","",N($J311)*$K311)</f>
        <v/>
      </c>
      <c r="M311" s="35" t="str">
        <f aca="false">IF($D311="","",N($J311)+$L311)</f>
        <v/>
      </c>
      <c r="N311" s="43" t="str">
        <f aca="false">IF($D311="","",IFERROR(N($J311)/$I311,0))</f>
        <v/>
      </c>
      <c r="O311" s="6"/>
      <c r="P311" s="6"/>
      <c r="Q311" s="46" t="str">
        <f aca="false">IF($A311="","",DATE(YEAR($A311),MONTH($A311),1))</f>
        <v/>
      </c>
      <c r="R311" s="8" t="str">
        <f aca="false">IF(OR($A311="",$D311=""),"",IF(COUNTIFS($D$6:$D$1005,$D311,$A$6:$A$1005,"&gt;"&amp;$A311)=0,1,0))</f>
        <v/>
      </c>
    </row>
    <row r="312" customFormat="false" ht="15" hidden="false" customHeight="false" outlineLevel="0" collapsed="false">
      <c r="A312" s="44"/>
      <c r="B312" s="6"/>
      <c r="C312" s="6"/>
      <c r="D312" s="6"/>
      <c r="E312" s="8" t="str">
        <f aca="false">IF($D312="","",IFERROR(INDEX(INSUMOS!$B$6:$B$205,MATCH($D312,INSUMOS!$A$6:$A$205,0)),"¿Código?"))</f>
        <v/>
      </c>
      <c r="F312" s="8" t="str">
        <f aca="false">IF($D312="","",IFERROR(INDEX(INSUMOS!$E$6:$E$205,MATCH($D312,INSUMOS!$A$6:$A$205,0)),""))</f>
        <v/>
      </c>
      <c r="G312" s="39"/>
      <c r="H312" s="45" t="str">
        <f aca="false">IF($D312="","",IFERROR(INDEX(INSUMOS!$F$6:$F$205,MATCH($D312,INSUMOS!$A$6:$A$205,0)),0))</f>
        <v/>
      </c>
      <c r="I312" s="34" t="str">
        <f aca="false">IF($D312="","",N($G312)*$H312)</f>
        <v/>
      </c>
      <c r="J312" s="40"/>
      <c r="K312" s="36" t="str">
        <f aca="false">IF($D312="","",IFERROR(INDEX(INSUMOS!$H$6:$H$205,MATCH($D312,INSUMOS!$A$6:$A$205,0)),IVA_VENTAS))</f>
        <v/>
      </c>
      <c r="L312" s="35" t="str">
        <f aca="false">IF($D312="","",N($J312)*$K312)</f>
        <v/>
      </c>
      <c r="M312" s="35" t="str">
        <f aca="false">IF($D312="","",N($J312)+$L312)</f>
        <v/>
      </c>
      <c r="N312" s="43" t="str">
        <f aca="false">IF($D312="","",IFERROR(N($J312)/$I312,0))</f>
        <v/>
      </c>
      <c r="O312" s="6"/>
      <c r="P312" s="6"/>
      <c r="Q312" s="46" t="str">
        <f aca="false">IF($A312="","",DATE(YEAR($A312),MONTH($A312),1))</f>
        <v/>
      </c>
      <c r="R312" s="8" t="str">
        <f aca="false">IF(OR($A312="",$D312=""),"",IF(COUNTIFS($D$6:$D$1005,$D312,$A$6:$A$1005,"&gt;"&amp;$A312)=0,1,0))</f>
        <v/>
      </c>
    </row>
    <row r="313" customFormat="false" ht="15" hidden="false" customHeight="false" outlineLevel="0" collapsed="false">
      <c r="A313" s="44"/>
      <c r="B313" s="6"/>
      <c r="C313" s="6"/>
      <c r="D313" s="6"/>
      <c r="E313" s="8" t="str">
        <f aca="false">IF($D313="","",IFERROR(INDEX(INSUMOS!$B$6:$B$205,MATCH($D313,INSUMOS!$A$6:$A$205,0)),"¿Código?"))</f>
        <v/>
      </c>
      <c r="F313" s="8" t="str">
        <f aca="false">IF($D313="","",IFERROR(INDEX(INSUMOS!$E$6:$E$205,MATCH($D313,INSUMOS!$A$6:$A$205,0)),""))</f>
        <v/>
      </c>
      <c r="G313" s="39"/>
      <c r="H313" s="45" t="str">
        <f aca="false">IF($D313="","",IFERROR(INDEX(INSUMOS!$F$6:$F$205,MATCH($D313,INSUMOS!$A$6:$A$205,0)),0))</f>
        <v/>
      </c>
      <c r="I313" s="34" t="str">
        <f aca="false">IF($D313="","",N($G313)*$H313)</f>
        <v/>
      </c>
      <c r="J313" s="40"/>
      <c r="K313" s="36" t="str">
        <f aca="false">IF($D313="","",IFERROR(INDEX(INSUMOS!$H$6:$H$205,MATCH($D313,INSUMOS!$A$6:$A$205,0)),IVA_VENTAS))</f>
        <v/>
      </c>
      <c r="L313" s="35" t="str">
        <f aca="false">IF($D313="","",N($J313)*$K313)</f>
        <v/>
      </c>
      <c r="M313" s="35" t="str">
        <f aca="false">IF($D313="","",N($J313)+$L313)</f>
        <v/>
      </c>
      <c r="N313" s="43" t="str">
        <f aca="false">IF($D313="","",IFERROR(N($J313)/$I313,0))</f>
        <v/>
      </c>
      <c r="O313" s="6"/>
      <c r="P313" s="6"/>
      <c r="Q313" s="46" t="str">
        <f aca="false">IF($A313="","",DATE(YEAR($A313),MONTH($A313),1))</f>
        <v/>
      </c>
      <c r="R313" s="8" t="str">
        <f aca="false">IF(OR($A313="",$D313=""),"",IF(COUNTIFS($D$6:$D$1005,$D313,$A$6:$A$1005,"&gt;"&amp;$A313)=0,1,0))</f>
        <v/>
      </c>
    </row>
    <row r="314" customFormat="false" ht="15" hidden="false" customHeight="false" outlineLevel="0" collapsed="false">
      <c r="A314" s="44"/>
      <c r="B314" s="6"/>
      <c r="C314" s="6"/>
      <c r="D314" s="6"/>
      <c r="E314" s="8" t="str">
        <f aca="false">IF($D314="","",IFERROR(INDEX(INSUMOS!$B$6:$B$205,MATCH($D314,INSUMOS!$A$6:$A$205,0)),"¿Código?"))</f>
        <v/>
      </c>
      <c r="F314" s="8" t="str">
        <f aca="false">IF($D314="","",IFERROR(INDEX(INSUMOS!$E$6:$E$205,MATCH($D314,INSUMOS!$A$6:$A$205,0)),""))</f>
        <v/>
      </c>
      <c r="G314" s="39"/>
      <c r="H314" s="45" t="str">
        <f aca="false">IF($D314="","",IFERROR(INDEX(INSUMOS!$F$6:$F$205,MATCH($D314,INSUMOS!$A$6:$A$205,0)),0))</f>
        <v/>
      </c>
      <c r="I314" s="34" t="str">
        <f aca="false">IF($D314="","",N($G314)*$H314)</f>
        <v/>
      </c>
      <c r="J314" s="40"/>
      <c r="K314" s="36" t="str">
        <f aca="false">IF($D314="","",IFERROR(INDEX(INSUMOS!$H$6:$H$205,MATCH($D314,INSUMOS!$A$6:$A$205,0)),IVA_VENTAS))</f>
        <v/>
      </c>
      <c r="L314" s="35" t="str">
        <f aca="false">IF($D314="","",N($J314)*$K314)</f>
        <v/>
      </c>
      <c r="M314" s="35" t="str">
        <f aca="false">IF($D314="","",N($J314)+$L314)</f>
        <v/>
      </c>
      <c r="N314" s="43" t="str">
        <f aca="false">IF($D314="","",IFERROR(N($J314)/$I314,0))</f>
        <v/>
      </c>
      <c r="O314" s="6"/>
      <c r="P314" s="6"/>
      <c r="Q314" s="46" t="str">
        <f aca="false">IF($A314="","",DATE(YEAR($A314),MONTH($A314),1))</f>
        <v/>
      </c>
      <c r="R314" s="8" t="str">
        <f aca="false">IF(OR($A314="",$D314=""),"",IF(COUNTIFS($D$6:$D$1005,$D314,$A$6:$A$1005,"&gt;"&amp;$A314)=0,1,0))</f>
        <v/>
      </c>
    </row>
    <row r="315" customFormat="false" ht="15" hidden="false" customHeight="false" outlineLevel="0" collapsed="false">
      <c r="A315" s="44"/>
      <c r="B315" s="6"/>
      <c r="C315" s="6"/>
      <c r="D315" s="6"/>
      <c r="E315" s="8" t="str">
        <f aca="false">IF($D315="","",IFERROR(INDEX(INSUMOS!$B$6:$B$205,MATCH($D315,INSUMOS!$A$6:$A$205,0)),"¿Código?"))</f>
        <v/>
      </c>
      <c r="F315" s="8" t="str">
        <f aca="false">IF($D315="","",IFERROR(INDEX(INSUMOS!$E$6:$E$205,MATCH($D315,INSUMOS!$A$6:$A$205,0)),""))</f>
        <v/>
      </c>
      <c r="G315" s="39"/>
      <c r="H315" s="45" t="str">
        <f aca="false">IF($D315="","",IFERROR(INDEX(INSUMOS!$F$6:$F$205,MATCH($D315,INSUMOS!$A$6:$A$205,0)),0))</f>
        <v/>
      </c>
      <c r="I315" s="34" t="str">
        <f aca="false">IF($D315="","",N($G315)*$H315)</f>
        <v/>
      </c>
      <c r="J315" s="40"/>
      <c r="K315" s="36" t="str">
        <f aca="false">IF($D315="","",IFERROR(INDEX(INSUMOS!$H$6:$H$205,MATCH($D315,INSUMOS!$A$6:$A$205,0)),IVA_VENTAS))</f>
        <v/>
      </c>
      <c r="L315" s="35" t="str">
        <f aca="false">IF($D315="","",N($J315)*$K315)</f>
        <v/>
      </c>
      <c r="M315" s="35" t="str">
        <f aca="false">IF($D315="","",N($J315)+$L315)</f>
        <v/>
      </c>
      <c r="N315" s="43" t="str">
        <f aca="false">IF($D315="","",IFERROR(N($J315)/$I315,0))</f>
        <v/>
      </c>
      <c r="O315" s="6"/>
      <c r="P315" s="6"/>
      <c r="Q315" s="46" t="str">
        <f aca="false">IF($A315="","",DATE(YEAR($A315),MONTH($A315),1))</f>
        <v/>
      </c>
      <c r="R315" s="8" t="str">
        <f aca="false">IF(OR($A315="",$D315=""),"",IF(COUNTIFS($D$6:$D$1005,$D315,$A$6:$A$1005,"&gt;"&amp;$A315)=0,1,0))</f>
        <v/>
      </c>
    </row>
    <row r="316" customFormat="false" ht="15" hidden="false" customHeight="false" outlineLevel="0" collapsed="false">
      <c r="A316" s="44"/>
      <c r="B316" s="6"/>
      <c r="C316" s="6"/>
      <c r="D316" s="6"/>
      <c r="E316" s="8" t="str">
        <f aca="false">IF($D316="","",IFERROR(INDEX(INSUMOS!$B$6:$B$205,MATCH($D316,INSUMOS!$A$6:$A$205,0)),"¿Código?"))</f>
        <v/>
      </c>
      <c r="F316" s="8" t="str">
        <f aca="false">IF($D316="","",IFERROR(INDEX(INSUMOS!$E$6:$E$205,MATCH($D316,INSUMOS!$A$6:$A$205,0)),""))</f>
        <v/>
      </c>
      <c r="G316" s="39"/>
      <c r="H316" s="45" t="str">
        <f aca="false">IF($D316="","",IFERROR(INDEX(INSUMOS!$F$6:$F$205,MATCH($D316,INSUMOS!$A$6:$A$205,0)),0))</f>
        <v/>
      </c>
      <c r="I316" s="34" t="str">
        <f aca="false">IF($D316="","",N($G316)*$H316)</f>
        <v/>
      </c>
      <c r="J316" s="40"/>
      <c r="K316" s="36" t="str">
        <f aca="false">IF($D316="","",IFERROR(INDEX(INSUMOS!$H$6:$H$205,MATCH($D316,INSUMOS!$A$6:$A$205,0)),IVA_VENTAS))</f>
        <v/>
      </c>
      <c r="L316" s="35" t="str">
        <f aca="false">IF($D316="","",N($J316)*$K316)</f>
        <v/>
      </c>
      <c r="M316" s="35" t="str">
        <f aca="false">IF($D316="","",N($J316)+$L316)</f>
        <v/>
      </c>
      <c r="N316" s="43" t="str">
        <f aca="false">IF($D316="","",IFERROR(N($J316)/$I316,0))</f>
        <v/>
      </c>
      <c r="O316" s="6"/>
      <c r="P316" s="6"/>
      <c r="Q316" s="46" t="str">
        <f aca="false">IF($A316="","",DATE(YEAR($A316),MONTH($A316),1))</f>
        <v/>
      </c>
      <c r="R316" s="8" t="str">
        <f aca="false">IF(OR($A316="",$D316=""),"",IF(COUNTIFS($D$6:$D$1005,$D316,$A$6:$A$1005,"&gt;"&amp;$A316)=0,1,0))</f>
        <v/>
      </c>
    </row>
    <row r="317" customFormat="false" ht="15" hidden="false" customHeight="false" outlineLevel="0" collapsed="false">
      <c r="A317" s="44"/>
      <c r="B317" s="6"/>
      <c r="C317" s="6"/>
      <c r="D317" s="6"/>
      <c r="E317" s="8" t="str">
        <f aca="false">IF($D317="","",IFERROR(INDEX(INSUMOS!$B$6:$B$205,MATCH($D317,INSUMOS!$A$6:$A$205,0)),"¿Código?"))</f>
        <v/>
      </c>
      <c r="F317" s="8" t="str">
        <f aca="false">IF($D317="","",IFERROR(INDEX(INSUMOS!$E$6:$E$205,MATCH($D317,INSUMOS!$A$6:$A$205,0)),""))</f>
        <v/>
      </c>
      <c r="G317" s="39"/>
      <c r="H317" s="45" t="str">
        <f aca="false">IF($D317="","",IFERROR(INDEX(INSUMOS!$F$6:$F$205,MATCH($D317,INSUMOS!$A$6:$A$205,0)),0))</f>
        <v/>
      </c>
      <c r="I317" s="34" t="str">
        <f aca="false">IF($D317="","",N($G317)*$H317)</f>
        <v/>
      </c>
      <c r="J317" s="40"/>
      <c r="K317" s="36" t="str">
        <f aca="false">IF($D317="","",IFERROR(INDEX(INSUMOS!$H$6:$H$205,MATCH($D317,INSUMOS!$A$6:$A$205,0)),IVA_VENTAS))</f>
        <v/>
      </c>
      <c r="L317" s="35" t="str">
        <f aca="false">IF($D317="","",N($J317)*$K317)</f>
        <v/>
      </c>
      <c r="M317" s="35" t="str">
        <f aca="false">IF($D317="","",N($J317)+$L317)</f>
        <v/>
      </c>
      <c r="N317" s="43" t="str">
        <f aca="false">IF($D317="","",IFERROR(N($J317)/$I317,0))</f>
        <v/>
      </c>
      <c r="O317" s="6"/>
      <c r="P317" s="6"/>
      <c r="Q317" s="46" t="str">
        <f aca="false">IF($A317="","",DATE(YEAR($A317),MONTH($A317),1))</f>
        <v/>
      </c>
      <c r="R317" s="8" t="str">
        <f aca="false">IF(OR($A317="",$D317=""),"",IF(COUNTIFS($D$6:$D$1005,$D317,$A$6:$A$1005,"&gt;"&amp;$A317)=0,1,0))</f>
        <v/>
      </c>
    </row>
    <row r="318" customFormat="false" ht="15" hidden="false" customHeight="false" outlineLevel="0" collapsed="false">
      <c r="A318" s="44"/>
      <c r="B318" s="6"/>
      <c r="C318" s="6"/>
      <c r="D318" s="6"/>
      <c r="E318" s="8" t="str">
        <f aca="false">IF($D318="","",IFERROR(INDEX(INSUMOS!$B$6:$B$205,MATCH($D318,INSUMOS!$A$6:$A$205,0)),"¿Código?"))</f>
        <v/>
      </c>
      <c r="F318" s="8" t="str">
        <f aca="false">IF($D318="","",IFERROR(INDEX(INSUMOS!$E$6:$E$205,MATCH($D318,INSUMOS!$A$6:$A$205,0)),""))</f>
        <v/>
      </c>
      <c r="G318" s="39"/>
      <c r="H318" s="45" t="str">
        <f aca="false">IF($D318="","",IFERROR(INDEX(INSUMOS!$F$6:$F$205,MATCH($D318,INSUMOS!$A$6:$A$205,0)),0))</f>
        <v/>
      </c>
      <c r="I318" s="34" t="str">
        <f aca="false">IF($D318="","",N($G318)*$H318)</f>
        <v/>
      </c>
      <c r="J318" s="40"/>
      <c r="K318" s="36" t="str">
        <f aca="false">IF($D318="","",IFERROR(INDEX(INSUMOS!$H$6:$H$205,MATCH($D318,INSUMOS!$A$6:$A$205,0)),IVA_VENTAS))</f>
        <v/>
      </c>
      <c r="L318" s="35" t="str">
        <f aca="false">IF($D318="","",N($J318)*$K318)</f>
        <v/>
      </c>
      <c r="M318" s="35" t="str">
        <f aca="false">IF($D318="","",N($J318)+$L318)</f>
        <v/>
      </c>
      <c r="N318" s="43" t="str">
        <f aca="false">IF($D318="","",IFERROR(N($J318)/$I318,0))</f>
        <v/>
      </c>
      <c r="O318" s="6"/>
      <c r="P318" s="6"/>
      <c r="Q318" s="46" t="str">
        <f aca="false">IF($A318="","",DATE(YEAR($A318),MONTH($A318),1))</f>
        <v/>
      </c>
      <c r="R318" s="8" t="str">
        <f aca="false">IF(OR($A318="",$D318=""),"",IF(COUNTIFS($D$6:$D$1005,$D318,$A$6:$A$1005,"&gt;"&amp;$A318)=0,1,0))</f>
        <v/>
      </c>
    </row>
    <row r="319" customFormat="false" ht="15" hidden="false" customHeight="false" outlineLevel="0" collapsed="false">
      <c r="A319" s="44"/>
      <c r="B319" s="6"/>
      <c r="C319" s="6"/>
      <c r="D319" s="6"/>
      <c r="E319" s="8" t="str">
        <f aca="false">IF($D319="","",IFERROR(INDEX(INSUMOS!$B$6:$B$205,MATCH($D319,INSUMOS!$A$6:$A$205,0)),"¿Código?"))</f>
        <v/>
      </c>
      <c r="F319" s="8" t="str">
        <f aca="false">IF($D319="","",IFERROR(INDEX(INSUMOS!$E$6:$E$205,MATCH($D319,INSUMOS!$A$6:$A$205,0)),""))</f>
        <v/>
      </c>
      <c r="G319" s="39"/>
      <c r="H319" s="45" t="str">
        <f aca="false">IF($D319="","",IFERROR(INDEX(INSUMOS!$F$6:$F$205,MATCH($D319,INSUMOS!$A$6:$A$205,0)),0))</f>
        <v/>
      </c>
      <c r="I319" s="34" t="str">
        <f aca="false">IF($D319="","",N($G319)*$H319)</f>
        <v/>
      </c>
      <c r="J319" s="40"/>
      <c r="K319" s="36" t="str">
        <f aca="false">IF($D319="","",IFERROR(INDEX(INSUMOS!$H$6:$H$205,MATCH($D319,INSUMOS!$A$6:$A$205,0)),IVA_VENTAS))</f>
        <v/>
      </c>
      <c r="L319" s="35" t="str">
        <f aca="false">IF($D319="","",N($J319)*$K319)</f>
        <v/>
      </c>
      <c r="M319" s="35" t="str">
        <f aca="false">IF($D319="","",N($J319)+$L319)</f>
        <v/>
      </c>
      <c r="N319" s="43" t="str">
        <f aca="false">IF($D319="","",IFERROR(N($J319)/$I319,0))</f>
        <v/>
      </c>
      <c r="O319" s="6"/>
      <c r="P319" s="6"/>
      <c r="Q319" s="46" t="str">
        <f aca="false">IF($A319="","",DATE(YEAR($A319),MONTH($A319),1))</f>
        <v/>
      </c>
      <c r="R319" s="8" t="str">
        <f aca="false">IF(OR($A319="",$D319=""),"",IF(COUNTIFS($D$6:$D$1005,$D319,$A$6:$A$1005,"&gt;"&amp;$A319)=0,1,0))</f>
        <v/>
      </c>
    </row>
    <row r="320" customFormat="false" ht="15" hidden="false" customHeight="false" outlineLevel="0" collapsed="false">
      <c r="A320" s="44"/>
      <c r="B320" s="6"/>
      <c r="C320" s="6"/>
      <c r="D320" s="6"/>
      <c r="E320" s="8" t="str">
        <f aca="false">IF($D320="","",IFERROR(INDEX(INSUMOS!$B$6:$B$205,MATCH($D320,INSUMOS!$A$6:$A$205,0)),"¿Código?"))</f>
        <v/>
      </c>
      <c r="F320" s="8" t="str">
        <f aca="false">IF($D320="","",IFERROR(INDEX(INSUMOS!$E$6:$E$205,MATCH($D320,INSUMOS!$A$6:$A$205,0)),""))</f>
        <v/>
      </c>
      <c r="G320" s="39"/>
      <c r="H320" s="45" t="str">
        <f aca="false">IF($D320="","",IFERROR(INDEX(INSUMOS!$F$6:$F$205,MATCH($D320,INSUMOS!$A$6:$A$205,0)),0))</f>
        <v/>
      </c>
      <c r="I320" s="34" t="str">
        <f aca="false">IF($D320="","",N($G320)*$H320)</f>
        <v/>
      </c>
      <c r="J320" s="40"/>
      <c r="K320" s="36" t="str">
        <f aca="false">IF($D320="","",IFERROR(INDEX(INSUMOS!$H$6:$H$205,MATCH($D320,INSUMOS!$A$6:$A$205,0)),IVA_VENTAS))</f>
        <v/>
      </c>
      <c r="L320" s="35" t="str">
        <f aca="false">IF($D320="","",N($J320)*$K320)</f>
        <v/>
      </c>
      <c r="M320" s="35" t="str">
        <f aca="false">IF($D320="","",N($J320)+$L320)</f>
        <v/>
      </c>
      <c r="N320" s="43" t="str">
        <f aca="false">IF($D320="","",IFERROR(N($J320)/$I320,0))</f>
        <v/>
      </c>
      <c r="O320" s="6"/>
      <c r="P320" s="6"/>
      <c r="Q320" s="46" t="str">
        <f aca="false">IF($A320="","",DATE(YEAR($A320),MONTH($A320),1))</f>
        <v/>
      </c>
      <c r="R320" s="8" t="str">
        <f aca="false">IF(OR($A320="",$D320=""),"",IF(COUNTIFS($D$6:$D$1005,$D320,$A$6:$A$1005,"&gt;"&amp;$A320)=0,1,0))</f>
        <v/>
      </c>
    </row>
    <row r="321" customFormat="false" ht="15" hidden="false" customHeight="false" outlineLevel="0" collapsed="false">
      <c r="A321" s="44"/>
      <c r="B321" s="6"/>
      <c r="C321" s="6"/>
      <c r="D321" s="6"/>
      <c r="E321" s="8" t="str">
        <f aca="false">IF($D321="","",IFERROR(INDEX(INSUMOS!$B$6:$B$205,MATCH($D321,INSUMOS!$A$6:$A$205,0)),"¿Código?"))</f>
        <v/>
      </c>
      <c r="F321" s="8" t="str">
        <f aca="false">IF($D321="","",IFERROR(INDEX(INSUMOS!$E$6:$E$205,MATCH($D321,INSUMOS!$A$6:$A$205,0)),""))</f>
        <v/>
      </c>
      <c r="G321" s="39"/>
      <c r="H321" s="45" t="str">
        <f aca="false">IF($D321="","",IFERROR(INDEX(INSUMOS!$F$6:$F$205,MATCH($D321,INSUMOS!$A$6:$A$205,0)),0))</f>
        <v/>
      </c>
      <c r="I321" s="34" t="str">
        <f aca="false">IF($D321="","",N($G321)*$H321)</f>
        <v/>
      </c>
      <c r="J321" s="40"/>
      <c r="K321" s="36" t="str">
        <f aca="false">IF($D321="","",IFERROR(INDEX(INSUMOS!$H$6:$H$205,MATCH($D321,INSUMOS!$A$6:$A$205,0)),IVA_VENTAS))</f>
        <v/>
      </c>
      <c r="L321" s="35" t="str">
        <f aca="false">IF($D321="","",N($J321)*$K321)</f>
        <v/>
      </c>
      <c r="M321" s="35" t="str">
        <f aca="false">IF($D321="","",N($J321)+$L321)</f>
        <v/>
      </c>
      <c r="N321" s="43" t="str">
        <f aca="false">IF($D321="","",IFERROR(N($J321)/$I321,0))</f>
        <v/>
      </c>
      <c r="O321" s="6"/>
      <c r="P321" s="6"/>
      <c r="Q321" s="46" t="str">
        <f aca="false">IF($A321="","",DATE(YEAR($A321),MONTH($A321),1))</f>
        <v/>
      </c>
      <c r="R321" s="8" t="str">
        <f aca="false">IF(OR($A321="",$D321=""),"",IF(COUNTIFS($D$6:$D$1005,$D321,$A$6:$A$1005,"&gt;"&amp;$A321)=0,1,0))</f>
        <v/>
      </c>
    </row>
    <row r="322" customFormat="false" ht="15" hidden="false" customHeight="false" outlineLevel="0" collapsed="false">
      <c r="A322" s="44"/>
      <c r="B322" s="6"/>
      <c r="C322" s="6"/>
      <c r="D322" s="6"/>
      <c r="E322" s="8" t="str">
        <f aca="false">IF($D322="","",IFERROR(INDEX(INSUMOS!$B$6:$B$205,MATCH($D322,INSUMOS!$A$6:$A$205,0)),"¿Código?"))</f>
        <v/>
      </c>
      <c r="F322" s="8" t="str">
        <f aca="false">IF($D322="","",IFERROR(INDEX(INSUMOS!$E$6:$E$205,MATCH($D322,INSUMOS!$A$6:$A$205,0)),""))</f>
        <v/>
      </c>
      <c r="G322" s="39"/>
      <c r="H322" s="45" t="str">
        <f aca="false">IF($D322="","",IFERROR(INDEX(INSUMOS!$F$6:$F$205,MATCH($D322,INSUMOS!$A$6:$A$205,0)),0))</f>
        <v/>
      </c>
      <c r="I322" s="34" t="str">
        <f aca="false">IF($D322="","",N($G322)*$H322)</f>
        <v/>
      </c>
      <c r="J322" s="40"/>
      <c r="K322" s="36" t="str">
        <f aca="false">IF($D322="","",IFERROR(INDEX(INSUMOS!$H$6:$H$205,MATCH($D322,INSUMOS!$A$6:$A$205,0)),IVA_VENTAS))</f>
        <v/>
      </c>
      <c r="L322" s="35" t="str">
        <f aca="false">IF($D322="","",N($J322)*$K322)</f>
        <v/>
      </c>
      <c r="M322" s="35" t="str">
        <f aca="false">IF($D322="","",N($J322)+$L322)</f>
        <v/>
      </c>
      <c r="N322" s="43" t="str">
        <f aca="false">IF($D322="","",IFERROR(N($J322)/$I322,0))</f>
        <v/>
      </c>
      <c r="O322" s="6"/>
      <c r="P322" s="6"/>
      <c r="Q322" s="46" t="str">
        <f aca="false">IF($A322="","",DATE(YEAR($A322),MONTH($A322),1))</f>
        <v/>
      </c>
      <c r="R322" s="8" t="str">
        <f aca="false">IF(OR($A322="",$D322=""),"",IF(COUNTIFS($D$6:$D$1005,$D322,$A$6:$A$1005,"&gt;"&amp;$A322)=0,1,0))</f>
        <v/>
      </c>
    </row>
    <row r="323" customFormat="false" ht="15" hidden="false" customHeight="false" outlineLevel="0" collapsed="false">
      <c r="A323" s="44"/>
      <c r="B323" s="6"/>
      <c r="C323" s="6"/>
      <c r="D323" s="6"/>
      <c r="E323" s="8" t="str">
        <f aca="false">IF($D323="","",IFERROR(INDEX(INSUMOS!$B$6:$B$205,MATCH($D323,INSUMOS!$A$6:$A$205,0)),"¿Código?"))</f>
        <v/>
      </c>
      <c r="F323" s="8" t="str">
        <f aca="false">IF($D323="","",IFERROR(INDEX(INSUMOS!$E$6:$E$205,MATCH($D323,INSUMOS!$A$6:$A$205,0)),""))</f>
        <v/>
      </c>
      <c r="G323" s="39"/>
      <c r="H323" s="45" t="str">
        <f aca="false">IF($D323="","",IFERROR(INDEX(INSUMOS!$F$6:$F$205,MATCH($D323,INSUMOS!$A$6:$A$205,0)),0))</f>
        <v/>
      </c>
      <c r="I323" s="34" t="str">
        <f aca="false">IF($D323="","",N($G323)*$H323)</f>
        <v/>
      </c>
      <c r="J323" s="40"/>
      <c r="K323" s="36" t="str">
        <f aca="false">IF($D323="","",IFERROR(INDEX(INSUMOS!$H$6:$H$205,MATCH($D323,INSUMOS!$A$6:$A$205,0)),IVA_VENTAS))</f>
        <v/>
      </c>
      <c r="L323" s="35" t="str">
        <f aca="false">IF($D323="","",N($J323)*$K323)</f>
        <v/>
      </c>
      <c r="M323" s="35" t="str">
        <f aca="false">IF($D323="","",N($J323)+$L323)</f>
        <v/>
      </c>
      <c r="N323" s="43" t="str">
        <f aca="false">IF($D323="","",IFERROR(N($J323)/$I323,0))</f>
        <v/>
      </c>
      <c r="O323" s="6"/>
      <c r="P323" s="6"/>
      <c r="Q323" s="46" t="str">
        <f aca="false">IF($A323="","",DATE(YEAR($A323),MONTH($A323),1))</f>
        <v/>
      </c>
      <c r="R323" s="8" t="str">
        <f aca="false">IF(OR($A323="",$D323=""),"",IF(COUNTIFS($D$6:$D$1005,$D323,$A$6:$A$1005,"&gt;"&amp;$A323)=0,1,0))</f>
        <v/>
      </c>
    </row>
    <row r="324" customFormat="false" ht="15" hidden="false" customHeight="false" outlineLevel="0" collapsed="false">
      <c r="A324" s="44"/>
      <c r="B324" s="6"/>
      <c r="C324" s="6"/>
      <c r="D324" s="6"/>
      <c r="E324" s="8" t="str">
        <f aca="false">IF($D324="","",IFERROR(INDEX(INSUMOS!$B$6:$B$205,MATCH($D324,INSUMOS!$A$6:$A$205,0)),"¿Código?"))</f>
        <v/>
      </c>
      <c r="F324" s="8" t="str">
        <f aca="false">IF($D324="","",IFERROR(INDEX(INSUMOS!$E$6:$E$205,MATCH($D324,INSUMOS!$A$6:$A$205,0)),""))</f>
        <v/>
      </c>
      <c r="G324" s="39"/>
      <c r="H324" s="45" t="str">
        <f aca="false">IF($D324="","",IFERROR(INDEX(INSUMOS!$F$6:$F$205,MATCH($D324,INSUMOS!$A$6:$A$205,0)),0))</f>
        <v/>
      </c>
      <c r="I324" s="34" t="str">
        <f aca="false">IF($D324="","",N($G324)*$H324)</f>
        <v/>
      </c>
      <c r="J324" s="40"/>
      <c r="K324" s="36" t="str">
        <f aca="false">IF($D324="","",IFERROR(INDEX(INSUMOS!$H$6:$H$205,MATCH($D324,INSUMOS!$A$6:$A$205,0)),IVA_VENTAS))</f>
        <v/>
      </c>
      <c r="L324" s="35" t="str">
        <f aca="false">IF($D324="","",N($J324)*$K324)</f>
        <v/>
      </c>
      <c r="M324" s="35" t="str">
        <f aca="false">IF($D324="","",N($J324)+$L324)</f>
        <v/>
      </c>
      <c r="N324" s="43" t="str">
        <f aca="false">IF($D324="","",IFERROR(N($J324)/$I324,0))</f>
        <v/>
      </c>
      <c r="O324" s="6"/>
      <c r="P324" s="6"/>
      <c r="Q324" s="46" t="str">
        <f aca="false">IF($A324="","",DATE(YEAR($A324),MONTH($A324),1))</f>
        <v/>
      </c>
      <c r="R324" s="8" t="str">
        <f aca="false">IF(OR($A324="",$D324=""),"",IF(COUNTIFS($D$6:$D$1005,$D324,$A$6:$A$1005,"&gt;"&amp;$A324)=0,1,0))</f>
        <v/>
      </c>
    </row>
    <row r="325" customFormat="false" ht="15" hidden="false" customHeight="false" outlineLevel="0" collapsed="false">
      <c r="A325" s="44"/>
      <c r="B325" s="6"/>
      <c r="C325" s="6"/>
      <c r="D325" s="6"/>
      <c r="E325" s="8" t="str">
        <f aca="false">IF($D325="","",IFERROR(INDEX(INSUMOS!$B$6:$B$205,MATCH($D325,INSUMOS!$A$6:$A$205,0)),"¿Código?"))</f>
        <v/>
      </c>
      <c r="F325" s="8" t="str">
        <f aca="false">IF($D325="","",IFERROR(INDEX(INSUMOS!$E$6:$E$205,MATCH($D325,INSUMOS!$A$6:$A$205,0)),""))</f>
        <v/>
      </c>
      <c r="G325" s="39"/>
      <c r="H325" s="45" t="str">
        <f aca="false">IF($D325="","",IFERROR(INDEX(INSUMOS!$F$6:$F$205,MATCH($D325,INSUMOS!$A$6:$A$205,0)),0))</f>
        <v/>
      </c>
      <c r="I325" s="34" t="str">
        <f aca="false">IF($D325="","",N($G325)*$H325)</f>
        <v/>
      </c>
      <c r="J325" s="40"/>
      <c r="K325" s="36" t="str">
        <f aca="false">IF($D325="","",IFERROR(INDEX(INSUMOS!$H$6:$H$205,MATCH($D325,INSUMOS!$A$6:$A$205,0)),IVA_VENTAS))</f>
        <v/>
      </c>
      <c r="L325" s="35" t="str">
        <f aca="false">IF($D325="","",N($J325)*$K325)</f>
        <v/>
      </c>
      <c r="M325" s="35" t="str">
        <f aca="false">IF($D325="","",N($J325)+$L325)</f>
        <v/>
      </c>
      <c r="N325" s="43" t="str">
        <f aca="false">IF($D325="","",IFERROR(N($J325)/$I325,0))</f>
        <v/>
      </c>
      <c r="O325" s="6"/>
      <c r="P325" s="6"/>
      <c r="Q325" s="46" t="str">
        <f aca="false">IF($A325="","",DATE(YEAR($A325),MONTH($A325),1))</f>
        <v/>
      </c>
      <c r="R325" s="8" t="str">
        <f aca="false">IF(OR($A325="",$D325=""),"",IF(COUNTIFS($D$6:$D$1005,$D325,$A$6:$A$1005,"&gt;"&amp;$A325)=0,1,0))</f>
        <v/>
      </c>
    </row>
    <row r="326" customFormat="false" ht="15" hidden="false" customHeight="false" outlineLevel="0" collapsed="false">
      <c r="A326" s="44"/>
      <c r="B326" s="6"/>
      <c r="C326" s="6"/>
      <c r="D326" s="6"/>
      <c r="E326" s="8" t="str">
        <f aca="false">IF($D326="","",IFERROR(INDEX(INSUMOS!$B$6:$B$205,MATCH($D326,INSUMOS!$A$6:$A$205,0)),"¿Código?"))</f>
        <v/>
      </c>
      <c r="F326" s="8" t="str">
        <f aca="false">IF($D326="","",IFERROR(INDEX(INSUMOS!$E$6:$E$205,MATCH($D326,INSUMOS!$A$6:$A$205,0)),""))</f>
        <v/>
      </c>
      <c r="G326" s="39"/>
      <c r="H326" s="45" t="str">
        <f aca="false">IF($D326="","",IFERROR(INDEX(INSUMOS!$F$6:$F$205,MATCH($D326,INSUMOS!$A$6:$A$205,0)),0))</f>
        <v/>
      </c>
      <c r="I326" s="34" t="str">
        <f aca="false">IF($D326="","",N($G326)*$H326)</f>
        <v/>
      </c>
      <c r="J326" s="40"/>
      <c r="K326" s="36" t="str">
        <f aca="false">IF($D326="","",IFERROR(INDEX(INSUMOS!$H$6:$H$205,MATCH($D326,INSUMOS!$A$6:$A$205,0)),IVA_VENTAS))</f>
        <v/>
      </c>
      <c r="L326" s="35" t="str">
        <f aca="false">IF($D326="","",N($J326)*$K326)</f>
        <v/>
      </c>
      <c r="M326" s="35" t="str">
        <f aca="false">IF($D326="","",N($J326)+$L326)</f>
        <v/>
      </c>
      <c r="N326" s="43" t="str">
        <f aca="false">IF($D326="","",IFERROR(N($J326)/$I326,0))</f>
        <v/>
      </c>
      <c r="O326" s="6"/>
      <c r="P326" s="6"/>
      <c r="Q326" s="46" t="str">
        <f aca="false">IF($A326="","",DATE(YEAR($A326),MONTH($A326),1))</f>
        <v/>
      </c>
      <c r="R326" s="8" t="str">
        <f aca="false">IF(OR($A326="",$D326=""),"",IF(COUNTIFS($D$6:$D$1005,$D326,$A$6:$A$1005,"&gt;"&amp;$A326)=0,1,0))</f>
        <v/>
      </c>
    </row>
    <row r="327" customFormat="false" ht="15" hidden="false" customHeight="false" outlineLevel="0" collapsed="false">
      <c r="A327" s="44"/>
      <c r="B327" s="6"/>
      <c r="C327" s="6"/>
      <c r="D327" s="6"/>
      <c r="E327" s="8" t="str">
        <f aca="false">IF($D327="","",IFERROR(INDEX(INSUMOS!$B$6:$B$205,MATCH($D327,INSUMOS!$A$6:$A$205,0)),"¿Código?"))</f>
        <v/>
      </c>
      <c r="F327" s="8" t="str">
        <f aca="false">IF($D327="","",IFERROR(INDEX(INSUMOS!$E$6:$E$205,MATCH($D327,INSUMOS!$A$6:$A$205,0)),""))</f>
        <v/>
      </c>
      <c r="G327" s="39"/>
      <c r="H327" s="45" t="str">
        <f aca="false">IF($D327="","",IFERROR(INDEX(INSUMOS!$F$6:$F$205,MATCH($D327,INSUMOS!$A$6:$A$205,0)),0))</f>
        <v/>
      </c>
      <c r="I327" s="34" t="str">
        <f aca="false">IF($D327="","",N($G327)*$H327)</f>
        <v/>
      </c>
      <c r="J327" s="40"/>
      <c r="K327" s="36" t="str">
        <f aca="false">IF($D327="","",IFERROR(INDEX(INSUMOS!$H$6:$H$205,MATCH($D327,INSUMOS!$A$6:$A$205,0)),IVA_VENTAS))</f>
        <v/>
      </c>
      <c r="L327" s="35" t="str">
        <f aca="false">IF($D327="","",N($J327)*$K327)</f>
        <v/>
      </c>
      <c r="M327" s="35" t="str">
        <f aca="false">IF($D327="","",N($J327)+$L327)</f>
        <v/>
      </c>
      <c r="N327" s="43" t="str">
        <f aca="false">IF($D327="","",IFERROR(N($J327)/$I327,0))</f>
        <v/>
      </c>
      <c r="O327" s="6"/>
      <c r="P327" s="6"/>
      <c r="Q327" s="46" t="str">
        <f aca="false">IF($A327="","",DATE(YEAR($A327),MONTH($A327),1))</f>
        <v/>
      </c>
      <c r="R327" s="8" t="str">
        <f aca="false">IF(OR($A327="",$D327=""),"",IF(COUNTIFS($D$6:$D$1005,$D327,$A$6:$A$1005,"&gt;"&amp;$A327)=0,1,0))</f>
        <v/>
      </c>
    </row>
    <row r="328" customFormat="false" ht="15" hidden="false" customHeight="false" outlineLevel="0" collapsed="false">
      <c r="A328" s="44"/>
      <c r="B328" s="6"/>
      <c r="C328" s="6"/>
      <c r="D328" s="6"/>
      <c r="E328" s="8" t="str">
        <f aca="false">IF($D328="","",IFERROR(INDEX(INSUMOS!$B$6:$B$205,MATCH($D328,INSUMOS!$A$6:$A$205,0)),"¿Código?"))</f>
        <v/>
      </c>
      <c r="F328" s="8" t="str">
        <f aca="false">IF($D328="","",IFERROR(INDEX(INSUMOS!$E$6:$E$205,MATCH($D328,INSUMOS!$A$6:$A$205,0)),""))</f>
        <v/>
      </c>
      <c r="G328" s="39"/>
      <c r="H328" s="45" t="str">
        <f aca="false">IF($D328="","",IFERROR(INDEX(INSUMOS!$F$6:$F$205,MATCH($D328,INSUMOS!$A$6:$A$205,0)),0))</f>
        <v/>
      </c>
      <c r="I328" s="34" t="str">
        <f aca="false">IF($D328="","",N($G328)*$H328)</f>
        <v/>
      </c>
      <c r="J328" s="40"/>
      <c r="K328" s="36" t="str">
        <f aca="false">IF($D328="","",IFERROR(INDEX(INSUMOS!$H$6:$H$205,MATCH($D328,INSUMOS!$A$6:$A$205,0)),IVA_VENTAS))</f>
        <v/>
      </c>
      <c r="L328" s="35" t="str">
        <f aca="false">IF($D328="","",N($J328)*$K328)</f>
        <v/>
      </c>
      <c r="M328" s="35" t="str">
        <f aca="false">IF($D328="","",N($J328)+$L328)</f>
        <v/>
      </c>
      <c r="N328" s="43" t="str">
        <f aca="false">IF($D328="","",IFERROR(N($J328)/$I328,0))</f>
        <v/>
      </c>
      <c r="O328" s="6"/>
      <c r="P328" s="6"/>
      <c r="Q328" s="46" t="str">
        <f aca="false">IF($A328="","",DATE(YEAR($A328),MONTH($A328),1))</f>
        <v/>
      </c>
      <c r="R328" s="8" t="str">
        <f aca="false">IF(OR($A328="",$D328=""),"",IF(COUNTIFS($D$6:$D$1005,$D328,$A$6:$A$1005,"&gt;"&amp;$A328)=0,1,0))</f>
        <v/>
      </c>
    </row>
    <row r="329" customFormat="false" ht="15" hidden="false" customHeight="false" outlineLevel="0" collapsed="false">
      <c r="A329" s="44"/>
      <c r="B329" s="6"/>
      <c r="C329" s="6"/>
      <c r="D329" s="6"/>
      <c r="E329" s="8" t="str">
        <f aca="false">IF($D329="","",IFERROR(INDEX(INSUMOS!$B$6:$B$205,MATCH($D329,INSUMOS!$A$6:$A$205,0)),"¿Código?"))</f>
        <v/>
      </c>
      <c r="F329" s="8" t="str">
        <f aca="false">IF($D329="","",IFERROR(INDEX(INSUMOS!$E$6:$E$205,MATCH($D329,INSUMOS!$A$6:$A$205,0)),""))</f>
        <v/>
      </c>
      <c r="G329" s="39"/>
      <c r="H329" s="45" t="str">
        <f aca="false">IF($D329="","",IFERROR(INDEX(INSUMOS!$F$6:$F$205,MATCH($D329,INSUMOS!$A$6:$A$205,0)),0))</f>
        <v/>
      </c>
      <c r="I329" s="34" t="str">
        <f aca="false">IF($D329="","",N($G329)*$H329)</f>
        <v/>
      </c>
      <c r="J329" s="40"/>
      <c r="K329" s="36" t="str">
        <f aca="false">IF($D329="","",IFERROR(INDEX(INSUMOS!$H$6:$H$205,MATCH($D329,INSUMOS!$A$6:$A$205,0)),IVA_VENTAS))</f>
        <v/>
      </c>
      <c r="L329" s="35" t="str">
        <f aca="false">IF($D329="","",N($J329)*$K329)</f>
        <v/>
      </c>
      <c r="M329" s="35" t="str">
        <f aca="false">IF($D329="","",N($J329)+$L329)</f>
        <v/>
      </c>
      <c r="N329" s="43" t="str">
        <f aca="false">IF($D329="","",IFERROR(N($J329)/$I329,0))</f>
        <v/>
      </c>
      <c r="O329" s="6"/>
      <c r="P329" s="6"/>
      <c r="Q329" s="46" t="str">
        <f aca="false">IF($A329="","",DATE(YEAR($A329),MONTH($A329),1))</f>
        <v/>
      </c>
      <c r="R329" s="8" t="str">
        <f aca="false">IF(OR($A329="",$D329=""),"",IF(COUNTIFS($D$6:$D$1005,$D329,$A$6:$A$1005,"&gt;"&amp;$A329)=0,1,0))</f>
        <v/>
      </c>
    </row>
    <row r="330" customFormat="false" ht="15" hidden="false" customHeight="false" outlineLevel="0" collapsed="false">
      <c r="A330" s="44"/>
      <c r="B330" s="6"/>
      <c r="C330" s="6"/>
      <c r="D330" s="6"/>
      <c r="E330" s="8" t="str">
        <f aca="false">IF($D330="","",IFERROR(INDEX(INSUMOS!$B$6:$B$205,MATCH($D330,INSUMOS!$A$6:$A$205,0)),"¿Código?"))</f>
        <v/>
      </c>
      <c r="F330" s="8" t="str">
        <f aca="false">IF($D330="","",IFERROR(INDEX(INSUMOS!$E$6:$E$205,MATCH($D330,INSUMOS!$A$6:$A$205,0)),""))</f>
        <v/>
      </c>
      <c r="G330" s="39"/>
      <c r="H330" s="45" t="str">
        <f aca="false">IF($D330="","",IFERROR(INDEX(INSUMOS!$F$6:$F$205,MATCH($D330,INSUMOS!$A$6:$A$205,0)),0))</f>
        <v/>
      </c>
      <c r="I330" s="34" t="str">
        <f aca="false">IF($D330="","",N($G330)*$H330)</f>
        <v/>
      </c>
      <c r="J330" s="40"/>
      <c r="K330" s="36" t="str">
        <f aca="false">IF($D330="","",IFERROR(INDEX(INSUMOS!$H$6:$H$205,MATCH($D330,INSUMOS!$A$6:$A$205,0)),IVA_VENTAS))</f>
        <v/>
      </c>
      <c r="L330" s="35" t="str">
        <f aca="false">IF($D330="","",N($J330)*$K330)</f>
        <v/>
      </c>
      <c r="M330" s="35" t="str">
        <f aca="false">IF($D330="","",N($J330)+$L330)</f>
        <v/>
      </c>
      <c r="N330" s="43" t="str">
        <f aca="false">IF($D330="","",IFERROR(N($J330)/$I330,0))</f>
        <v/>
      </c>
      <c r="O330" s="6"/>
      <c r="P330" s="6"/>
      <c r="Q330" s="46" t="str">
        <f aca="false">IF($A330="","",DATE(YEAR($A330),MONTH($A330),1))</f>
        <v/>
      </c>
      <c r="R330" s="8" t="str">
        <f aca="false">IF(OR($A330="",$D330=""),"",IF(COUNTIFS($D$6:$D$1005,$D330,$A$6:$A$1005,"&gt;"&amp;$A330)=0,1,0))</f>
        <v/>
      </c>
    </row>
    <row r="331" customFormat="false" ht="15" hidden="false" customHeight="false" outlineLevel="0" collapsed="false">
      <c r="A331" s="44"/>
      <c r="B331" s="6"/>
      <c r="C331" s="6"/>
      <c r="D331" s="6"/>
      <c r="E331" s="8" t="str">
        <f aca="false">IF($D331="","",IFERROR(INDEX(INSUMOS!$B$6:$B$205,MATCH($D331,INSUMOS!$A$6:$A$205,0)),"¿Código?"))</f>
        <v/>
      </c>
      <c r="F331" s="8" t="str">
        <f aca="false">IF($D331="","",IFERROR(INDEX(INSUMOS!$E$6:$E$205,MATCH($D331,INSUMOS!$A$6:$A$205,0)),""))</f>
        <v/>
      </c>
      <c r="G331" s="39"/>
      <c r="H331" s="45" t="str">
        <f aca="false">IF($D331="","",IFERROR(INDEX(INSUMOS!$F$6:$F$205,MATCH($D331,INSUMOS!$A$6:$A$205,0)),0))</f>
        <v/>
      </c>
      <c r="I331" s="34" t="str">
        <f aca="false">IF($D331="","",N($G331)*$H331)</f>
        <v/>
      </c>
      <c r="J331" s="40"/>
      <c r="K331" s="36" t="str">
        <f aca="false">IF($D331="","",IFERROR(INDEX(INSUMOS!$H$6:$H$205,MATCH($D331,INSUMOS!$A$6:$A$205,0)),IVA_VENTAS))</f>
        <v/>
      </c>
      <c r="L331" s="35" t="str">
        <f aca="false">IF($D331="","",N($J331)*$K331)</f>
        <v/>
      </c>
      <c r="M331" s="35" t="str">
        <f aca="false">IF($D331="","",N($J331)+$L331)</f>
        <v/>
      </c>
      <c r="N331" s="43" t="str">
        <f aca="false">IF($D331="","",IFERROR(N($J331)/$I331,0))</f>
        <v/>
      </c>
      <c r="O331" s="6"/>
      <c r="P331" s="6"/>
      <c r="Q331" s="46" t="str">
        <f aca="false">IF($A331="","",DATE(YEAR($A331),MONTH($A331),1))</f>
        <v/>
      </c>
      <c r="R331" s="8" t="str">
        <f aca="false">IF(OR($A331="",$D331=""),"",IF(COUNTIFS($D$6:$D$1005,$D331,$A$6:$A$1005,"&gt;"&amp;$A331)=0,1,0))</f>
        <v/>
      </c>
    </row>
    <row r="332" customFormat="false" ht="15" hidden="false" customHeight="false" outlineLevel="0" collapsed="false">
      <c r="A332" s="44"/>
      <c r="B332" s="6"/>
      <c r="C332" s="6"/>
      <c r="D332" s="6"/>
      <c r="E332" s="8" t="str">
        <f aca="false">IF($D332="","",IFERROR(INDEX(INSUMOS!$B$6:$B$205,MATCH($D332,INSUMOS!$A$6:$A$205,0)),"¿Código?"))</f>
        <v/>
      </c>
      <c r="F332" s="8" t="str">
        <f aca="false">IF($D332="","",IFERROR(INDEX(INSUMOS!$E$6:$E$205,MATCH($D332,INSUMOS!$A$6:$A$205,0)),""))</f>
        <v/>
      </c>
      <c r="G332" s="39"/>
      <c r="H332" s="45" t="str">
        <f aca="false">IF($D332="","",IFERROR(INDEX(INSUMOS!$F$6:$F$205,MATCH($D332,INSUMOS!$A$6:$A$205,0)),0))</f>
        <v/>
      </c>
      <c r="I332" s="34" t="str">
        <f aca="false">IF($D332="","",N($G332)*$H332)</f>
        <v/>
      </c>
      <c r="J332" s="40"/>
      <c r="K332" s="36" t="str">
        <f aca="false">IF($D332="","",IFERROR(INDEX(INSUMOS!$H$6:$H$205,MATCH($D332,INSUMOS!$A$6:$A$205,0)),IVA_VENTAS))</f>
        <v/>
      </c>
      <c r="L332" s="35" t="str">
        <f aca="false">IF($D332="","",N($J332)*$K332)</f>
        <v/>
      </c>
      <c r="M332" s="35" t="str">
        <f aca="false">IF($D332="","",N($J332)+$L332)</f>
        <v/>
      </c>
      <c r="N332" s="43" t="str">
        <f aca="false">IF($D332="","",IFERROR(N($J332)/$I332,0))</f>
        <v/>
      </c>
      <c r="O332" s="6"/>
      <c r="P332" s="6"/>
      <c r="Q332" s="46" t="str">
        <f aca="false">IF($A332="","",DATE(YEAR($A332),MONTH($A332),1))</f>
        <v/>
      </c>
      <c r="R332" s="8" t="str">
        <f aca="false">IF(OR($A332="",$D332=""),"",IF(COUNTIFS($D$6:$D$1005,$D332,$A$6:$A$1005,"&gt;"&amp;$A332)=0,1,0))</f>
        <v/>
      </c>
    </row>
    <row r="333" customFormat="false" ht="15" hidden="false" customHeight="false" outlineLevel="0" collapsed="false">
      <c r="A333" s="44"/>
      <c r="B333" s="6"/>
      <c r="C333" s="6"/>
      <c r="D333" s="6"/>
      <c r="E333" s="8" t="str">
        <f aca="false">IF($D333="","",IFERROR(INDEX(INSUMOS!$B$6:$B$205,MATCH($D333,INSUMOS!$A$6:$A$205,0)),"¿Código?"))</f>
        <v/>
      </c>
      <c r="F333" s="8" t="str">
        <f aca="false">IF($D333="","",IFERROR(INDEX(INSUMOS!$E$6:$E$205,MATCH($D333,INSUMOS!$A$6:$A$205,0)),""))</f>
        <v/>
      </c>
      <c r="G333" s="39"/>
      <c r="H333" s="45" t="str">
        <f aca="false">IF($D333="","",IFERROR(INDEX(INSUMOS!$F$6:$F$205,MATCH($D333,INSUMOS!$A$6:$A$205,0)),0))</f>
        <v/>
      </c>
      <c r="I333" s="34" t="str">
        <f aca="false">IF($D333="","",N($G333)*$H333)</f>
        <v/>
      </c>
      <c r="J333" s="40"/>
      <c r="K333" s="36" t="str">
        <f aca="false">IF($D333="","",IFERROR(INDEX(INSUMOS!$H$6:$H$205,MATCH($D333,INSUMOS!$A$6:$A$205,0)),IVA_VENTAS))</f>
        <v/>
      </c>
      <c r="L333" s="35" t="str">
        <f aca="false">IF($D333="","",N($J333)*$K333)</f>
        <v/>
      </c>
      <c r="M333" s="35" t="str">
        <f aca="false">IF($D333="","",N($J333)+$L333)</f>
        <v/>
      </c>
      <c r="N333" s="43" t="str">
        <f aca="false">IF($D333="","",IFERROR(N($J333)/$I333,0))</f>
        <v/>
      </c>
      <c r="O333" s="6"/>
      <c r="P333" s="6"/>
      <c r="Q333" s="46" t="str">
        <f aca="false">IF($A333="","",DATE(YEAR($A333),MONTH($A333),1))</f>
        <v/>
      </c>
      <c r="R333" s="8" t="str">
        <f aca="false">IF(OR($A333="",$D333=""),"",IF(COUNTIFS($D$6:$D$1005,$D333,$A$6:$A$1005,"&gt;"&amp;$A333)=0,1,0))</f>
        <v/>
      </c>
    </row>
    <row r="334" customFormat="false" ht="15" hidden="false" customHeight="false" outlineLevel="0" collapsed="false">
      <c r="A334" s="44"/>
      <c r="B334" s="6"/>
      <c r="C334" s="6"/>
      <c r="D334" s="6"/>
      <c r="E334" s="8" t="str">
        <f aca="false">IF($D334="","",IFERROR(INDEX(INSUMOS!$B$6:$B$205,MATCH($D334,INSUMOS!$A$6:$A$205,0)),"¿Código?"))</f>
        <v/>
      </c>
      <c r="F334" s="8" t="str">
        <f aca="false">IF($D334="","",IFERROR(INDEX(INSUMOS!$E$6:$E$205,MATCH($D334,INSUMOS!$A$6:$A$205,0)),""))</f>
        <v/>
      </c>
      <c r="G334" s="39"/>
      <c r="H334" s="45" t="str">
        <f aca="false">IF($D334="","",IFERROR(INDEX(INSUMOS!$F$6:$F$205,MATCH($D334,INSUMOS!$A$6:$A$205,0)),0))</f>
        <v/>
      </c>
      <c r="I334" s="34" t="str">
        <f aca="false">IF($D334="","",N($G334)*$H334)</f>
        <v/>
      </c>
      <c r="J334" s="40"/>
      <c r="K334" s="36" t="str">
        <f aca="false">IF($D334="","",IFERROR(INDEX(INSUMOS!$H$6:$H$205,MATCH($D334,INSUMOS!$A$6:$A$205,0)),IVA_VENTAS))</f>
        <v/>
      </c>
      <c r="L334" s="35" t="str">
        <f aca="false">IF($D334="","",N($J334)*$K334)</f>
        <v/>
      </c>
      <c r="M334" s="35" t="str">
        <f aca="false">IF($D334="","",N($J334)+$L334)</f>
        <v/>
      </c>
      <c r="N334" s="43" t="str">
        <f aca="false">IF($D334="","",IFERROR(N($J334)/$I334,0))</f>
        <v/>
      </c>
      <c r="O334" s="6"/>
      <c r="P334" s="6"/>
      <c r="Q334" s="46" t="str">
        <f aca="false">IF($A334="","",DATE(YEAR($A334),MONTH($A334),1))</f>
        <v/>
      </c>
      <c r="R334" s="8" t="str">
        <f aca="false">IF(OR($A334="",$D334=""),"",IF(COUNTIFS($D$6:$D$1005,$D334,$A$6:$A$1005,"&gt;"&amp;$A334)=0,1,0))</f>
        <v/>
      </c>
    </row>
    <row r="335" customFormat="false" ht="15" hidden="false" customHeight="false" outlineLevel="0" collapsed="false">
      <c r="A335" s="44"/>
      <c r="B335" s="6"/>
      <c r="C335" s="6"/>
      <c r="D335" s="6"/>
      <c r="E335" s="8" t="str">
        <f aca="false">IF($D335="","",IFERROR(INDEX(INSUMOS!$B$6:$B$205,MATCH($D335,INSUMOS!$A$6:$A$205,0)),"¿Código?"))</f>
        <v/>
      </c>
      <c r="F335" s="8" t="str">
        <f aca="false">IF($D335="","",IFERROR(INDEX(INSUMOS!$E$6:$E$205,MATCH($D335,INSUMOS!$A$6:$A$205,0)),""))</f>
        <v/>
      </c>
      <c r="G335" s="39"/>
      <c r="H335" s="45" t="str">
        <f aca="false">IF($D335="","",IFERROR(INDEX(INSUMOS!$F$6:$F$205,MATCH($D335,INSUMOS!$A$6:$A$205,0)),0))</f>
        <v/>
      </c>
      <c r="I335" s="34" t="str">
        <f aca="false">IF($D335="","",N($G335)*$H335)</f>
        <v/>
      </c>
      <c r="J335" s="40"/>
      <c r="K335" s="36" t="str">
        <f aca="false">IF($D335="","",IFERROR(INDEX(INSUMOS!$H$6:$H$205,MATCH($D335,INSUMOS!$A$6:$A$205,0)),IVA_VENTAS))</f>
        <v/>
      </c>
      <c r="L335" s="35" t="str">
        <f aca="false">IF($D335="","",N($J335)*$K335)</f>
        <v/>
      </c>
      <c r="M335" s="35" t="str">
        <f aca="false">IF($D335="","",N($J335)+$L335)</f>
        <v/>
      </c>
      <c r="N335" s="43" t="str">
        <f aca="false">IF($D335="","",IFERROR(N($J335)/$I335,0))</f>
        <v/>
      </c>
      <c r="O335" s="6"/>
      <c r="P335" s="6"/>
      <c r="Q335" s="46" t="str">
        <f aca="false">IF($A335="","",DATE(YEAR($A335),MONTH($A335),1))</f>
        <v/>
      </c>
      <c r="R335" s="8" t="str">
        <f aca="false">IF(OR($A335="",$D335=""),"",IF(COUNTIFS($D$6:$D$1005,$D335,$A$6:$A$1005,"&gt;"&amp;$A335)=0,1,0))</f>
        <v/>
      </c>
    </row>
    <row r="336" customFormat="false" ht="15" hidden="false" customHeight="false" outlineLevel="0" collapsed="false">
      <c r="A336" s="44"/>
      <c r="B336" s="6"/>
      <c r="C336" s="6"/>
      <c r="D336" s="6"/>
      <c r="E336" s="8" t="str">
        <f aca="false">IF($D336="","",IFERROR(INDEX(INSUMOS!$B$6:$B$205,MATCH($D336,INSUMOS!$A$6:$A$205,0)),"¿Código?"))</f>
        <v/>
      </c>
      <c r="F336" s="8" t="str">
        <f aca="false">IF($D336="","",IFERROR(INDEX(INSUMOS!$E$6:$E$205,MATCH($D336,INSUMOS!$A$6:$A$205,0)),""))</f>
        <v/>
      </c>
      <c r="G336" s="39"/>
      <c r="H336" s="45" t="str">
        <f aca="false">IF($D336="","",IFERROR(INDEX(INSUMOS!$F$6:$F$205,MATCH($D336,INSUMOS!$A$6:$A$205,0)),0))</f>
        <v/>
      </c>
      <c r="I336" s="34" t="str">
        <f aca="false">IF($D336="","",N($G336)*$H336)</f>
        <v/>
      </c>
      <c r="J336" s="40"/>
      <c r="K336" s="36" t="str">
        <f aca="false">IF($D336="","",IFERROR(INDEX(INSUMOS!$H$6:$H$205,MATCH($D336,INSUMOS!$A$6:$A$205,0)),IVA_VENTAS))</f>
        <v/>
      </c>
      <c r="L336" s="35" t="str">
        <f aca="false">IF($D336="","",N($J336)*$K336)</f>
        <v/>
      </c>
      <c r="M336" s="35" t="str">
        <f aca="false">IF($D336="","",N($J336)+$L336)</f>
        <v/>
      </c>
      <c r="N336" s="43" t="str">
        <f aca="false">IF($D336="","",IFERROR(N($J336)/$I336,0))</f>
        <v/>
      </c>
      <c r="O336" s="6"/>
      <c r="P336" s="6"/>
      <c r="Q336" s="46" t="str">
        <f aca="false">IF($A336="","",DATE(YEAR($A336),MONTH($A336),1))</f>
        <v/>
      </c>
      <c r="R336" s="8" t="str">
        <f aca="false">IF(OR($A336="",$D336=""),"",IF(COUNTIFS($D$6:$D$1005,$D336,$A$6:$A$1005,"&gt;"&amp;$A336)=0,1,0))</f>
        <v/>
      </c>
    </row>
    <row r="337" customFormat="false" ht="15" hidden="false" customHeight="false" outlineLevel="0" collapsed="false">
      <c r="A337" s="44"/>
      <c r="B337" s="6"/>
      <c r="C337" s="6"/>
      <c r="D337" s="6"/>
      <c r="E337" s="8" t="str">
        <f aca="false">IF($D337="","",IFERROR(INDEX(INSUMOS!$B$6:$B$205,MATCH($D337,INSUMOS!$A$6:$A$205,0)),"¿Código?"))</f>
        <v/>
      </c>
      <c r="F337" s="8" t="str">
        <f aca="false">IF($D337="","",IFERROR(INDEX(INSUMOS!$E$6:$E$205,MATCH($D337,INSUMOS!$A$6:$A$205,0)),""))</f>
        <v/>
      </c>
      <c r="G337" s="39"/>
      <c r="H337" s="45" t="str">
        <f aca="false">IF($D337="","",IFERROR(INDEX(INSUMOS!$F$6:$F$205,MATCH($D337,INSUMOS!$A$6:$A$205,0)),0))</f>
        <v/>
      </c>
      <c r="I337" s="34" t="str">
        <f aca="false">IF($D337="","",N($G337)*$H337)</f>
        <v/>
      </c>
      <c r="J337" s="40"/>
      <c r="K337" s="36" t="str">
        <f aca="false">IF($D337="","",IFERROR(INDEX(INSUMOS!$H$6:$H$205,MATCH($D337,INSUMOS!$A$6:$A$205,0)),IVA_VENTAS))</f>
        <v/>
      </c>
      <c r="L337" s="35" t="str">
        <f aca="false">IF($D337="","",N($J337)*$K337)</f>
        <v/>
      </c>
      <c r="M337" s="35" t="str">
        <f aca="false">IF($D337="","",N($J337)+$L337)</f>
        <v/>
      </c>
      <c r="N337" s="43" t="str">
        <f aca="false">IF($D337="","",IFERROR(N($J337)/$I337,0))</f>
        <v/>
      </c>
      <c r="O337" s="6"/>
      <c r="P337" s="6"/>
      <c r="Q337" s="46" t="str">
        <f aca="false">IF($A337="","",DATE(YEAR($A337),MONTH($A337),1))</f>
        <v/>
      </c>
      <c r="R337" s="8" t="str">
        <f aca="false">IF(OR($A337="",$D337=""),"",IF(COUNTIFS($D$6:$D$1005,$D337,$A$6:$A$1005,"&gt;"&amp;$A337)=0,1,0))</f>
        <v/>
      </c>
    </row>
    <row r="338" customFormat="false" ht="15" hidden="false" customHeight="false" outlineLevel="0" collapsed="false">
      <c r="A338" s="44"/>
      <c r="B338" s="6"/>
      <c r="C338" s="6"/>
      <c r="D338" s="6"/>
      <c r="E338" s="8" t="str">
        <f aca="false">IF($D338="","",IFERROR(INDEX(INSUMOS!$B$6:$B$205,MATCH($D338,INSUMOS!$A$6:$A$205,0)),"¿Código?"))</f>
        <v/>
      </c>
      <c r="F338" s="8" t="str">
        <f aca="false">IF($D338="","",IFERROR(INDEX(INSUMOS!$E$6:$E$205,MATCH($D338,INSUMOS!$A$6:$A$205,0)),""))</f>
        <v/>
      </c>
      <c r="G338" s="39"/>
      <c r="H338" s="45" t="str">
        <f aca="false">IF($D338="","",IFERROR(INDEX(INSUMOS!$F$6:$F$205,MATCH($D338,INSUMOS!$A$6:$A$205,0)),0))</f>
        <v/>
      </c>
      <c r="I338" s="34" t="str">
        <f aca="false">IF($D338="","",N($G338)*$H338)</f>
        <v/>
      </c>
      <c r="J338" s="40"/>
      <c r="K338" s="36" t="str">
        <f aca="false">IF($D338="","",IFERROR(INDEX(INSUMOS!$H$6:$H$205,MATCH($D338,INSUMOS!$A$6:$A$205,0)),IVA_VENTAS))</f>
        <v/>
      </c>
      <c r="L338" s="35" t="str">
        <f aca="false">IF($D338="","",N($J338)*$K338)</f>
        <v/>
      </c>
      <c r="M338" s="35" t="str">
        <f aca="false">IF($D338="","",N($J338)+$L338)</f>
        <v/>
      </c>
      <c r="N338" s="43" t="str">
        <f aca="false">IF($D338="","",IFERROR(N($J338)/$I338,0))</f>
        <v/>
      </c>
      <c r="O338" s="6"/>
      <c r="P338" s="6"/>
      <c r="Q338" s="46" t="str">
        <f aca="false">IF($A338="","",DATE(YEAR($A338),MONTH($A338),1))</f>
        <v/>
      </c>
      <c r="R338" s="8" t="str">
        <f aca="false">IF(OR($A338="",$D338=""),"",IF(COUNTIFS($D$6:$D$1005,$D338,$A$6:$A$1005,"&gt;"&amp;$A338)=0,1,0))</f>
        <v/>
      </c>
    </row>
    <row r="339" customFormat="false" ht="15" hidden="false" customHeight="false" outlineLevel="0" collapsed="false">
      <c r="A339" s="44"/>
      <c r="B339" s="6"/>
      <c r="C339" s="6"/>
      <c r="D339" s="6"/>
      <c r="E339" s="8" t="str">
        <f aca="false">IF($D339="","",IFERROR(INDEX(INSUMOS!$B$6:$B$205,MATCH($D339,INSUMOS!$A$6:$A$205,0)),"¿Código?"))</f>
        <v/>
      </c>
      <c r="F339" s="8" t="str">
        <f aca="false">IF($D339="","",IFERROR(INDEX(INSUMOS!$E$6:$E$205,MATCH($D339,INSUMOS!$A$6:$A$205,0)),""))</f>
        <v/>
      </c>
      <c r="G339" s="39"/>
      <c r="H339" s="45" t="str">
        <f aca="false">IF($D339="","",IFERROR(INDEX(INSUMOS!$F$6:$F$205,MATCH($D339,INSUMOS!$A$6:$A$205,0)),0))</f>
        <v/>
      </c>
      <c r="I339" s="34" t="str">
        <f aca="false">IF($D339="","",N($G339)*$H339)</f>
        <v/>
      </c>
      <c r="J339" s="40"/>
      <c r="K339" s="36" t="str">
        <f aca="false">IF($D339="","",IFERROR(INDEX(INSUMOS!$H$6:$H$205,MATCH($D339,INSUMOS!$A$6:$A$205,0)),IVA_VENTAS))</f>
        <v/>
      </c>
      <c r="L339" s="35" t="str">
        <f aca="false">IF($D339="","",N($J339)*$K339)</f>
        <v/>
      </c>
      <c r="M339" s="35" t="str">
        <f aca="false">IF($D339="","",N($J339)+$L339)</f>
        <v/>
      </c>
      <c r="N339" s="43" t="str">
        <f aca="false">IF($D339="","",IFERROR(N($J339)/$I339,0))</f>
        <v/>
      </c>
      <c r="O339" s="6"/>
      <c r="P339" s="6"/>
      <c r="Q339" s="46" t="str">
        <f aca="false">IF($A339="","",DATE(YEAR($A339),MONTH($A339),1))</f>
        <v/>
      </c>
      <c r="R339" s="8" t="str">
        <f aca="false">IF(OR($A339="",$D339=""),"",IF(COUNTIFS($D$6:$D$1005,$D339,$A$6:$A$1005,"&gt;"&amp;$A339)=0,1,0))</f>
        <v/>
      </c>
    </row>
    <row r="340" customFormat="false" ht="15" hidden="false" customHeight="false" outlineLevel="0" collapsed="false">
      <c r="A340" s="44"/>
      <c r="B340" s="6"/>
      <c r="C340" s="6"/>
      <c r="D340" s="6"/>
      <c r="E340" s="8" t="str">
        <f aca="false">IF($D340="","",IFERROR(INDEX(INSUMOS!$B$6:$B$205,MATCH($D340,INSUMOS!$A$6:$A$205,0)),"¿Código?"))</f>
        <v/>
      </c>
      <c r="F340" s="8" t="str">
        <f aca="false">IF($D340="","",IFERROR(INDEX(INSUMOS!$E$6:$E$205,MATCH($D340,INSUMOS!$A$6:$A$205,0)),""))</f>
        <v/>
      </c>
      <c r="G340" s="39"/>
      <c r="H340" s="45" t="str">
        <f aca="false">IF($D340="","",IFERROR(INDEX(INSUMOS!$F$6:$F$205,MATCH($D340,INSUMOS!$A$6:$A$205,0)),0))</f>
        <v/>
      </c>
      <c r="I340" s="34" t="str">
        <f aca="false">IF($D340="","",N($G340)*$H340)</f>
        <v/>
      </c>
      <c r="J340" s="40"/>
      <c r="K340" s="36" t="str">
        <f aca="false">IF($D340="","",IFERROR(INDEX(INSUMOS!$H$6:$H$205,MATCH($D340,INSUMOS!$A$6:$A$205,0)),IVA_VENTAS))</f>
        <v/>
      </c>
      <c r="L340" s="35" t="str">
        <f aca="false">IF($D340="","",N($J340)*$K340)</f>
        <v/>
      </c>
      <c r="M340" s="35" t="str">
        <f aca="false">IF($D340="","",N($J340)+$L340)</f>
        <v/>
      </c>
      <c r="N340" s="43" t="str">
        <f aca="false">IF($D340="","",IFERROR(N($J340)/$I340,0))</f>
        <v/>
      </c>
      <c r="O340" s="6"/>
      <c r="P340" s="6"/>
      <c r="Q340" s="46" t="str">
        <f aca="false">IF($A340="","",DATE(YEAR($A340),MONTH($A340),1))</f>
        <v/>
      </c>
      <c r="R340" s="8" t="str">
        <f aca="false">IF(OR($A340="",$D340=""),"",IF(COUNTIFS($D$6:$D$1005,$D340,$A$6:$A$1005,"&gt;"&amp;$A340)=0,1,0))</f>
        <v/>
      </c>
    </row>
    <row r="341" customFormat="false" ht="15" hidden="false" customHeight="false" outlineLevel="0" collapsed="false">
      <c r="A341" s="44"/>
      <c r="B341" s="6"/>
      <c r="C341" s="6"/>
      <c r="D341" s="6"/>
      <c r="E341" s="8" t="str">
        <f aca="false">IF($D341="","",IFERROR(INDEX(INSUMOS!$B$6:$B$205,MATCH($D341,INSUMOS!$A$6:$A$205,0)),"¿Código?"))</f>
        <v/>
      </c>
      <c r="F341" s="8" t="str">
        <f aca="false">IF($D341="","",IFERROR(INDEX(INSUMOS!$E$6:$E$205,MATCH($D341,INSUMOS!$A$6:$A$205,0)),""))</f>
        <v/>
      </c>
      <c r="G341" s="39"/>
      <c r="H341" s="45" t="str">
        <f aca="false">IF($D341="","",IFERROR(INDEX(INSUMOS!$F$6:$F$205,MATCH($D341,INSUMOS!$A$6:$A$205,0)),0))</f>
        <v/>
      </c>
      <c r="I341" s="34" t="str">
        <f aca="false">IF($D341="","",N($G341)*$H341)</f>
        <v/>
      </c>
      <c r="J341" s="40"/>
      <c r="K341" s="36" t="str">
        <f aca="false">IF($D341="","",IFERROR(INDEX(INSUMOS!$H$6:$H$205,MATCH($D341,INSUMOS!$A$6:$A$205,0)),IVA_VENTAS))</f>
        <v/>
      </c>
      <c r="L341" s="35" t="str">
        <f aca="false">IF($D341="","",N($J341)*$K341)</f>
        <v/>
      </c>
      <c r="M341" s="35" t="str">
        <f aca="false">IF($D341="","",N($J341)+$L341)</f>
        <v/>
      </c>
      <c r="N341" s="43" t="str">
        <f aca="false">IF($D341="","",IFERROR(N($J341)/$I341,0))</f>
        <v/>
      </c>
      <c r="O341" s="6"/>
      <c r="P341" s="6"/>
      <c r="Q341" s="46" t="str">
        <f aca="false">IF($A341="","",DATE(YEAR($A341),MONTH($A341),1))</f>
        <v/>
      </c>
      <c r="R341" s="8" t="str">
        <f aca="false">IF(OR($A341="",$D341=""),"",IF(COUNTIFS($D$6:$D$1005,$D341,$A$6:$A$1005,"&gt;"&amp;$A341)=0,1,0))</f>
        <v/>
      </c>
    </row>
    <row r="342" customFormat="false" ht="15" hidden="false" customHeight="false" outlineLevel="0" collapsed="false">
      <c r="A342" s="44"/>
      <c r="B342" s="6"/>
      <c r="C342" s="6"/>
      <c r="D342" s="6"/>
      <c r="E342" s="8" t="str">
        <f aca="false">IF($D342="","",IFERROR(INDEX(INSUMOS!$B$6:$B$205,MATCH($D342,INSUMOS!$A$6:$A$205,0)),"¿Código?"))</f>
        <v/>
      </c>
      <c r="F342" s="8" t="str">
        <f aca="false">IF($D342="","",IFERROR(INDEX(INSUMOS!$E$6:$E$205,MATCH($D342,INSUMOS!$A$6:$A$205,0)),""))</f>
        <v/>
      </c>
      <c r="G342" s="39"/>
      <c r="H342" s="45" t="str">
        <f aca="false">IF($D342="","",IFERROR(INDEX(INSUMOS!$F$6:$F$205,MATCH($D342,INSUMOS!$A$6:$A$205,0)),0))</f>
        <v/>
      </c>
      <c r="I342" s="34" t="str">
        <f aca="false">IF($D342="","",N($G342)*$H342)</f>
        <v/>
      </c>
      <c r="J342" s="40"/>
      <c r="K342" s="36" t="str">
        <f aca="false">IF($D342="","",IFERROR(INDEX(INSUMOS!$H$6:$H$205,MATCH($D342,INSUMOS!$A$6:$A$205,0)),IVA_VENTAS))</f>
        <v/>
      </c>
      <c r="L342" s="35" t="str">
        <f aca="false">IF($D342="","",N($J342)*$K342)</f>
        <v/>
      </c>
      <c r="M342" s="35" t="str">
        <f aca="false">IF($D342="","",N($J342)+$L342)</f>
        <v/>
      </c>
      <c r="N342" s="43" t="str">
        <f aca="false">IF($D342="","",IFERROR(N($J342)/$I342,0))</f>
        <v/>
      </c>
      <c r="O342" s="6"/>
      <c r="P342" s="6"/>
      <c r="Q342" s="46" t="str">
        <f aca="false">IF($A342="","",DATE(YEAR($A342),MONTH($A342),1))</f>
        <v/>
      </c>
      <c r="R342" s="8" t="str">
        <f aca="false">IF(OR($A342="",$D342=""),"",IF(COUNTIFS($D$6:$D$1005,$D342,$A$6:$A$1005,"&gt;"&amp;$A342)=0,1,0))</f>
        <v/>
      </c>
    </row>
    <row r="343" customFormat="false" ht="15" hidden="false" customHeight="false" outlineLevel="0" collapsed="false">
      <c r="A343" s="44"/>
      <c r="B343" s="6"/>
      <c r="C343" s="6"/>
      <c r="D343" s="6"/>
      <c r="E343" s="8" t="str">
        <f aca="false">IF($D343="","",IFERROR(INDEX(INSUMOS!$B$6:$B$205,MATCH($D343,INSUMOS!$A$6:$A$205,0)),"¿Código?"))</f>
        <v/>
      </c>
      <c r="F343" s="8" t="str">
        <f aca="false">IF($D343="","",IFERROR(INDEX(INSUMOS!$E$6:$E$205,MATCH($D343,INSUMOS!$A$6:$A$205,0)),""))</f>
        <v/>
      </c>
      <c r="G343" s="39"/>
      <c r="H343" s="45" t="str">
        <f aca="false">IF($D343="","",IFERROR(INDEX(INSUMOS!$F$6:$F$205,MATCH($D343,INSUMOS!$A$6:$A$205,0)),0))</f>
        <v/>
      </c>
      <c r="I343" s="34" t="str">
        <f aca="false">IF($D343="","",N($G343)*$H343)</f>
        <v/>
      </c>
      <c r="J343" s="40"/>
      <c r="K343" s="36" t="str">
        <f aca="false">IF($D343="","",IFERROR(INDEX(INSUMOS!$H$6:$H$205,MATCH($D343,INSUMOS!$A$6:$A$205,0)),IVA_VENTAS))</f>
        <v/>
      </c>
      <c r="L343" s="35" t="str">
        <f aca="false">IF($D343="","",N($J343)*$K343)</f>
        <v/>
      </c>
      <c r="M343" s="35" t="str">
        <f aca="false">IF($D343="","",N($J343)+$L343)</f>
        <v/>
      </c>
      <c r="N343" s="43" t="str">
        <f aca="false">IF($D343="","",IFERROR(N($J343)/$I343,0))</f>
        <v/>
      </c>
      <c r="O343" s="6"/>
      <c r="P343" s="6"/>
      <c r="Q343" s="46" t="str">
        <f aca="false">IF($A343="","",DATE(YEAR($A343),MONTH($A343),1))</f>
        <v/>
      </c>
      <c r="R343" s="8" t="str">
        <f aca="false">IF(OR($A343="",$D343=""),"",IF(COUNTIFS($D$6:$D$1005,$D343,$A$6:$A$1005,"&gt;"&amp;$A343)=0,1,0))</f>
        <v/>
      </c>
    </row>
    <row r="344" customFormat="false" ht="15" hidden="false" customHeight="false" outlineLevel="0" collapsed="false">
      <c r="A344" s="44"/>
      <c r="B344" s="6"/>
      <c r="C344" s="6"/>
      <c r="D344" s="6"/>
      <c r="E344" s="8" t="str">
        <f aca="false">IF($D344="","",IFERROR(INDEX(INSUMOS!$B$6:$B$205,MATCH($D344,INSUMOS!$A$6:$A$205,0)),"¿Código?"))</f>
        <v/>
      </c>
      <c r="F344" s="8" t="str">
        <f aca="false">IF($D344="","",IFERROR(INDEX(INSUMOS!$E$6:$E$205,MATCH($D344,INSUMOS!$A$6:$A$205,0)),""))</f>
        <v/>
      </c>
      <c r="G344" s="39"/>
      <c r="H344" s="45" t="str">
        <f aca="false">IF($D344="","",IFERROR(INDEX(INSUMOS!$F$6:$F$205,MATCH($D344,INSUMOS!$A$6:$A$205,0)),0))</f>
        <v/>
      </c>
      <c r="I344" s="34" t="str">
        <f aca="false">IF($D344="","",N($G344)*$H344)</f>
        <v/>
      </c>
      <c r="J344" s="40"/>
      <c r="K344" s="36" t="str">
        <f aca="false">IF($D344="","",IFERROR(INDEX(INSUMOS!$H$6:$H$205,MATCH($D344,INSUMOS!$A$6:$A$205,0)),IVA_VENTAS))</f>
        <v/>
      </c>
      <c r="L344" s="35" t="str">
        <f aca="false">IF($D344="","",N($J344)*$K344)</f>
        <v/>
      </c>
      <c r="M344" s="35" t="str">
        <f aca="false">IF($D344="","",N($J344)+$L344)</f>
        <v/>
      </c>
      <c r="N344" s="43" t="str">
        <f aca="false">IF($D344="","",IFERROR(N($J344)/$I344,0))</f>
        <v/>
      </c>
      <c r="O344" s="6"/>
      <c r="P344" s="6"/>
      <c r="Q344" s="46" t="str">
        <f aca="false">IF($A344="","",DATE(YEAR($A344),MONTH($A344),1))</f>
        <v/>
      </c>
      <c r="R344" s="8" t="str">
        <f aca="false">IF(OR($A344="",$D344=""),"",IF(COUNTIFS($D$6:$D$1005,$D344,$A$6:$A$1005,"&gt;"&amp;$A344)=0,1,0))</f>
        <v/>
      </c>
    </row>
    <row r="345" customFormat="false" ht="15" hidden="false" customHeight="false" outlineLevel="0" collapsed="false">
      <c r="A345" s="44"/>
      <c r="B345" s="6"/>
      <c r="C345" s="6"/>
      <c r="D345" s="6"/>
      <c r="E345" s="8" t="str">
        <f aca="false">IF($D345="","",IFERROR(INDEX(INSUMOS!$B$6:$B$205,MATCH($D345,INSUMOS!$A$6:$A$205,0)),"¿Código?"))</f>
        <v/>
      </c>
      <c r="F345" s="8" t="str">
        <f aca="false">IF($D345="","",IFERROR(INDEX(INSUMOS!$E$6:$E$205,MATCH($D345,INSUMOS!$A$6:$A$205,0)),""))</f>
        <v/>
      </c>
      <c r="G345" s="39"/>
      <c r="H345" s="45" t="str">
        <f aca="false">IF($D345="","",IFERROR(INDEX(INSUMOS!$F$6:$F$205,MATCH($D345,INSUMOS!$A$6:$A$205,0)),0))</f>
        <v/>
      </c>
      <c r="I345" s="34" t="str">
        <f aca="false">IF($D345="","",N($G345)*$H345)</f>
        <v/>
      </c>
      <c r="J345" s="40"/>
      <c r="K345" s="36" t="str">
        <f aca="false">IF($D345="","",IFERROR(INDEX(INSUMOS!$H$6:$H$205,MATCH($D345,INSUMOS!$A$6:$A$205,0)),IVA_VENTAS))</f>
        <v/>
      </c>
      <c r="L345" s="35" t="str">
        <f aca="false">IF($D345="","",N($J345)*$K345)</f>
        <v/>
      </c>
      <c r="M345" s="35" t="str">
        <f aca="false">IF($D345="","",N($J345)+$L345)</f>
        <v/>
      </c>
      <c r="N345" s="43" t="str">
        <f aca="false">IF($D345="","",IFERROR(N($J345)/$I345,0))</f>
        <v/>
      </c>
      <c r="O345" s="6"/>
      <c r="P345" s="6"/>
      <c r="Q345" s="46" t="str">
        <f aca="false">IF($A345="","",DATE(YEAR($A345),MONTH($A345),1))</f>
        <v/>
      </c>
      <c r="R345" s="8" t="str">
        <f aca="false">IF(OR($A345="",$D345=""),"",IF(COUNTIFS($D$6:$D$1005,$D345,$A$6:$A$1005,"&gt;"&amp;$A345)=0,1,0))</f>
        <v/>
      </c>
    </row>
    <row r="346" customFormat="false" ht="15" hidden="false" customHeight="false" outlineLevel="0" collapsed="false">
      <c r="A346" s="44"/>
      <c r="B346" s="6"/>
      <c r="C346" s="6"/>
      <c r="D346" s="6"/>
      <c r="E346" s="8" t="str">
        <f aca="false">IF($D346="","",IFERROR(INDEX(INSUMOS!$B$6:$B$205,MATCH($D346,INSUMOS!$A$6:$A$205,0)),"¿Código?"))</f>
        <v/>
      </c>
      <c r="F346" s="8" t="str">
        <f aca="false">IF($D346="","",IFERROR(INDEX(INSUMOS!$E$6:$E$205,MATCH($D346,INSUMOS!$A$6:$A$205,0)),""))</f>
        <v/>
      </c>
      <c r="G346" s="39"/>
      <c r="H346" s="45" t="str">
        <f aca="false">IF($D346="","",IFERROR(INDEX(INSUMOS!$F$6:$F$205,MATCH($D346,INSUMOS!$A$6:$A$205,0)),0))</f>
        <v/>
      </c>
      <c r="I346" s="34" t="str">
        <f aca="false">IF($D346="","",N($G346)*$H346)</f>
        <v/>
      </c>
      <c r="J346" s="40"/>
      <c r="K346" s="36" t="str">
        <f aca="false">IF($D346="","",IFERROR(INDEX(INSUMOS!$H$6:$H$205,MATCH($D346,INSUMOS!$A$6:$A$205,0)),IVA_VENTAS))</f>
        <v/>
      </c>
      <c r="L346" s="35" t="str">
        <f aca="false">IF($D346="","",N($J346)*$K346)</f>
        <v/>
      </c>
      <c r="M346" s="35" t="str">
        <f aca="false">IF($D346="","",N($J346)+$L346)</f>
        <v/>
      </c>
      <c r="N346" s="43" t="str">
        <f aca="false">IF($D346="","",IFERROR(N($J346)/$I346,0))</f>
        <v/>
      </c>
      <c r="O346" s="6"/>
      <c r="P346" s="6"/>
      <c r="Q346" s="46" t="str">
        <f aca="false">IF($A346="","",DATE(YEAR($A346),MONTH($A346),1))</f>
        <v/>
      </c>
      <c r="R346" s="8" t="str">
        <f aca="false">IF(OR($A346="",$D346=""),"",IF(COUNTIFS($D$6:$D$1005,$D346,$A$6:$A$1005,"&gt;"&amp;$A346)=0,1,0))</f>
        <v/>
      </c>
    </row>
    <row r="347" customFormat="false" ht="15" hidden="false" customHeight="false" outlineLevel="0" collapsed="false">
      <c r="A347" s="44"/>
      <c r="B347" s="6"/>
      <c r="C347" s="6"/>
      <c r="D347" s="6"/>
      <c r="E347" s="8" t="str">
        <f aca="false">IF($D347="","",IFERROR(INDEX(INSUMOS!$B$6:$B$205,MATCH($D347,INSUMOS!$A$6:$A$205,0)),"¿Código?"))</f>
        <v/>
      </c>
      <c r="F347" s="8" t="str">
        <f aca="false">IF($D347="","",IFERROR(INDEX(INSUMOS!$E$6:$E$205,MATCH($D347,INSUMOS!$A$6:$A$205,0)),""))</f>
        <v/>
      </c>
      <c r="G347" s="39"/>
      <c r="H347" s="45" t="str">
        <f aca="false">IF($D347="","",IFERROR(INDEX(INSUMOS!$F$6:$F$205,MATCH($D347,INSUMOS!$A$6:$A$205,0)),0))</f>
        <v/>
      </c>
      <c r="I347" s="34" t="str">
        <f aca="false">IF($D347="","",N($G347)*$H347)</f>
        <v/>
      </c>
      <c r="J347" s="40"/>
      <c r="K347" s="36" t="str">
        <f aca="false">IF($D347="","",IFERROR(INDEX(INSUMOS!$H$6:$H$205,MATCH($D347,INSUMOS!$A$6:$A$205,0)),IVA_VENTAS))</f>
        <v/>
      </c>
      <c r="L347" s="35" t="str">
        <f aca="false">IF($D347="","",N($J347)*$K347)</f>
        <v/>
      </c>
      <c r="M347" s="35" t="str">
        <f aca="false">IF($D347="","",N($J347)+$L347)</f>
        <v/>
      </c>
      <c r="N347" s="43" t="str">
        <f aca="false">IF($D347="","",IFERROR(N($J347)/$I347,0))</f>
        <v/>
      </c>
      <c r="O347" s="6"/>
      <c r="P347" s="6"/>
      <c r="Q347" s="46" t="str">
        <f aca="false">IF($A347="","",DATE(YEAR($A347),MONTH($A347),1))</f>
        <v/>
      </c>
      <c r="R347" s="8" t="str">
        <f aca="false">IF(OR($A347="",$D347=""),"",IF(COUNTIFS($D$6:$D$1005,$D347,$A$6:$A$1005,"&gt;"&amp;$A347)=0,1,0))</f>
        <v/>
      </c>
    </row>
    <row r="348" customFormat="false" ht="15" hidden="false" customHeight="false" outlineLevel="0" collapsed="false">
      <c r="A348" s="44"/>
      <c r="B348" s="6"/>
      <c r="C348" s="6"/>
      <c r="D348" s="6"/>
      <c r="E348" s="8" t="str">
        <f aca="false">IF($D348="","",IFERROR(INDEX(INSUMOS!$B$6:$B$205,MATCH($D348,INSUMOS!$A$6:$A$205,0)),"¿Código?"))</f>
        <v/>
      </c>
      <c r="F348" s="8" t="str">
        <f aca="false">IF($D348="","",IFERROR(INDEX(INSUMOS!$E$6:$E$205,MATCH($D348,INSUMOS!$A$6:$A$205,0)),""))</f>
        <v/>
      </c>
      <c r="G348" s="39"/>
      <c r="H348" s="45" t="str">
        <f aca="false">IF($D348="","",IFERROR(INDEX(INSUMOS!$F$6:$F$205,MATCH($D348,INSUMOS!$A$6:$A$205,0)),0))</f>
        <v/>
      </c>
      <c r="I348" s="34" t="str">
        <f aca="false">IF($D348="","",N($G348)*$H348)</f>
        <v/>
      </c>
      <c r="J348" s="40"/>
      <c r="K348" s="36" t="str">
        <f aca="false">IF($D348="","",IFERROR(INDEX(INSUMOS!$H$6:$H$205,MATCH($D348,INSUMOS!$A$6:$A$205,0)),IVA_VENTAS))</f>
        <v/>
      </c>
      <c r="L348" s="35" t="str">
        <f aca="false">IF($D348="","",N($J348)*$K348)</f>
        <v/>
      </c>
      <c r="M348" s="35" t="str">
        <f aca="false">IF($D348="","",N($J348)+$L348)</f>
        <v/>
      </c>
      <c r="N348" s="43" t="str">
        <f aca="false">IF($D348="","",IFERROR(N($J348)/$I348,0))</f>
        <v/>
      </c>
      <c r="O348" s="6"/>
      <c r="P348" s="6"/>
      <c r="Q348" s="46" t="str">
        <f aca="false">IF($A348="","",DATE(YEAR($A348),MONTH($A348),1))</f>
        <v/>
      </c>
      <c r="R348" s="8" t="str">
        <f aca="false">IF(OR($A348="",$D348=""),"",IF(COUNTIFS($D$6:$D$1005,$D348,$A$6:$A$1005,"&gt;"&amp;$A348)=0,1,0))</f>
        <v/>
      </c>
    </row>
    <row r="349" customFormat="false" ht="15" hidden="false" customHeight="false" outlineLevel="0" collapsed="false">
      <c r="A349" s="44"/>
      <c r="B349" s="6"/>
      <c r="C349" s="6"/>
      <c r="D349" s="6"/>
      <c r="E349" s="8" t="str">
        <f aca="false">IF($D349="","",IFERROR(INDEX(INSUMOS!$B$6:$B$205,MATCH($D349,INSUMOS!$A$6:$A$205,0)),"¿Código?"))</f>
        <v/>
      </c>
      <c r="F349" s="8" t="str">
        <f aca="false">IF($D349="","",IFERROR(INDEX(INSUMOS!$E$6:$E$205,MATCH($D349,INSUMOS!$A$6:$A$205,0)),""))</f>
        <v/>
      </c>
      <c r="G349" s="39"/>
      <c r="H349" s="45" t="str">
        <f aca="false">IF($D349="","",IFERROR(INDEX(INSUMOS!$F$6:$F$205,MATCH($D349,INSUMOS!$A$6:$A$205,0)),0))</f>
        <v/>
      </c>
      <c r="I349" s="34" t="str">
        <f aca="false">IF($D349="","",N($G349)*$H349)</f>
        <v/>
      </c>
      <c r="J349" s="40"/>
      <c r="K349" s="36" t="str">
        <f aca="false">IF($D349="","",IFERROR(INDEX(INSUMOS!$H$6:$H$205,MATCH($D349,INSUMOS!$A$6:$A$205,0)),IVA_VENTAS))</f>
        <v/>
      </c>
      <c r="L349" s="35" t="str">
        <f aca="false">IF($D349="","",N($J349)*$K349)</f>
        <v/>
      </c>
      <c r="M349" s="35" t="str">
        <f aca="false">IF($D349="","",N($J349)+$L349)</f>
        <v/>
      </c>
      <c r="N349" s="43" t="str">
        <f aca="false">IF($D349="","",IFERROR(N($J349)/$I349,0))</f>
        <v/>
      </c>
      <c r="O349" s="6"/>
      <c r="P349" s="6"/>
      <c r="Q349" s="46" t="str">
        <f aca="false">IF($A349="","",DATE(YEAR($A349),MONTH($A349),1))</f>
        <v/>
      </c>
      <c r="R349" s="8" t="str">
        <f aca="false">IF(OR($A349="",$D349=""),"",IF(COUNTIFS($D$6:$D$1005,$D349,$A$6:$A$1005,"&gt;"&amp;$A349)=0,1,0))</f>
        <v/>
      </c>
    </row>
    <row r="350" customFormat="false" ht="15" hidden="false" customHeight="false" outlineLevel="0" collapsed="false">
      <c r="A350" s="44"/>
      <c r="B350" s="6"/>
      <c r="C350" s="6"/>
      <c r="D350" s="6"/>
      <c r="E350" s="8" t="str">
        <f aca="false">IF($D350="","",IFERROR(INDEX(INSUMOS!$B$6:$B$205,MATCH($D350,INSUMOS!$A$6:$A$205,0)),"¿Código?"))</f>
        <v/>
      </c>
      <c r="F350" s="8" t="str">
        <f aca="false">IF($D350="","",IFERROR(INDEX(INSUMOS!$E$6:$E$205,MATCH($D350,INSUMOS!$A$6:$A$205,0)),""))</f>
        <v/>
      </c>
      <c r="G350" s="39"/>
      <c r="H350" s="45" t="str">
        <f aca="false">IF($D350="","",IFERROR(INDEX(INSUMOS!$F$6:$F$205,MATCH($D350,INSUMOS!$A$6:$A$205,0)),0))</f>
        <v/>
      </c>
      <c r="I350" s="34" t="str">
        <f aca="false">IF($D350="","",N($G350)*$H350)</f>
        <v/>
      </c>
      <c r="J350" s="40"/>
      <c r="K350" s="36" t="str">
        <f aca="false">IF($D350="","",IFERROR(INDEX(INSUMOS!$H$6:$H$205,MATCH($D350,INSUMOS!$A$6:$A$205,0)),IVA_VENTAS))</f>
        <v/>
      </c>
      <c r="L350" s="35" t="str">
        <f aca="false">IF($D350="","",N($J350)*$K350)</f>
        <v/>
      </c>
      <c r="M350" s="35" t="str">
        <f aca="false">IF($D350="","",N($J350)+$L350)</f>
        <v/>
      </c>
      <c r="N350" s="43" t="str">
        <f aca="false">IF($D350="","",IFERROR(N($J350)/$I350,0))</f>
        <v/>
      </c>
      <c r="O350" s="6"/>
      <c r="P350" s="6"/>
      <c r="Q350" s="46" t="str">
        <f aca="false">IF($A350="","",DATE(YEAR($A350),MONTH($A350),1))</f>
        <v/>
      </c>
      <c r="R350" s="8" t="str">
        <f aca="false">IF(OR($A350="",$D350=""),"",IF(COUNTIFS($D$6:$D$1005,$D350,$A$6:$A$1005,"&gt;"&amp;$A350)=0,1,0))</f>
        <v/>
      </c>
    </row>
    <row r="351" customFormat="false" ht="15" hidden="false" customHeight="false" outlineLevel="0" collapsed="false">
      <c r="A351" s="44"/>
      <c r="B351" s="6"/>
      <c r="C351" s="6"/>
      <c r="D351" s="6"/>
      <c r="E351" s="8" t="str">
        <f aca="false">IF($D351="","",IFERROR(INDEX(INSUMOS!$B$6:$B$205,MATCH($D351,INSUMOS!$A$6:$A$205,0)),"¿Código?"))</f>
        <v/>
      </c>
      <c r="F351" s="8" t="str">
        <f aca="false">IF($D351="","",IFERROR(INDEX(INSUMOS!$E$6:$E$205,MATCH($D351,INSUMOS!$A$6:$A$205,0)),""))</f>
        <v/>
      </c>
      <c r="G351" s="39"/>
      <c r="H351" s="45" t="str">
        <f aca="false">IF($D351="","",IFERROR(INDEX(INSUMOS!$F$6:$F$205,MATCH($D351,INSUMOS!$A$6:$A$205,0)),0))</f>
        <v/>
      </c>
      <c r="I351" s="34" t="str">
        <f aca="false">IF($D351="","",N($G351)*$H351)</f>
        <v/>
      </c>
      <c r="J351" s="40"/>
      <c r="K351" s="36" t="str">
        <f aca="false">IF($D351="","",IFERROR(INDEX(INSUMOS!$H$6:$H$205,MATCH($D351,INSUMOS!$A$6:$A$205,0)),IVA_VENTAS))</f>
        <v/>
      </c>
      <c r="L351" s="35" t="str">
        <f aca="false">IF($D351="","",N($J351)*$K351)</f>
        <v/>
      </c>
      <c r="M351" s="35" t="str">
        <f aca="false">IF($D351="","",N($J351)+$L351)</f>
        <v/>
      </c>
      <c r="N351" s="43" t="str">
        <f aca="false">IF($D351="","",IFERROR(N($J351)/$I351,0))</f>
        <v/>
      </c>
      <c r="O351" s="6"/>
      <c r="P351" s="6"/>
      <c r="Q351" s="46" t="str">
        <f aca="false">IF($A351="","",DATE(YEAR($A351),MONTH($A351),1))</f>
        <v/>
      </c>
      <c r="R351" s="8" t="str">
        <f aca="false">IF(OR($A351="",$D351=""),"",IF(COUNTIFS($D$6:$D$1005,$D351,$A$6:$A$1005,"&gt;"&amp;$A351)=0,1,0))</f>
        <v/>
      </c>
    </row>
    <row r="352" customFormat="false" ht="15" hidden="false" customHeight="false" outlineLevel="0" collapsed="false">
      <c r="A352" s="44"/>
      <c r="B352" s="6"/>
      <c r="C352" s="6"/>
      <c r="D352" s="6"/>
      <c r="E352" s="8" t="str">
        <f aca="false">IF($D352="","",IFERROR(INDEX(INSUMOS!$B$6:$B$205,MATCH($D352,INSUMOS!$A$6:$A$205,0)),"¿Código?"))</f>
        <v/>
      </c>
      <c r="F352" s="8" t="str">
        <f aca="false">IF($D352="","",IFERROR(INDEX(INSUMOS!$E$6:$E$205,MATCH($D352,INSUMOS!$A$6:$A$205,0)),""))</f>
        <v/>
      </c>
      <c r="G352" s="39"/>
      <c r="H352" s="45" t="str">
        <f aca="false">IF($D352="","",IFERROR(INDEX(INSUMOS!$F$6:$F$205,MATCH($D352,INSUMOS!$A$6:$A$205,0)),0))</f>
        <v/>
      </c>
      <c r="I352" s="34" t="str">
        <f aca="false">IF($D352="","",N($G352)*$H352)</f>
        <v/>
      </c>
      <c r="J352" s="40"/>
      <c r="K352" s="36" t="str">
        <f aca="false">IF($D352="","",IFERROR(INDEX(INSUMOS!$H$6:$H$205,MATCH($D352,INSUMOS!$A$6:$A$205,0)),IVA_VENTAS))</f>
        <v/>
      </c>
      <c r="L352" s="35" t="str">
        <f aca="false">IF($D352="","",N($J352)*$K352)</f>
        <v/>
      </c>
      <c r="M352" s="35" t="str">
        <f aca="false">IF($D352="","",N($J352)+$L352)</f>
        <v/>
      </c>
      <c r="N352" s="43" t="str">
        <f aca="false">IF($D352="","",IFERROR(N($J352)/$I352,0))</f>
        <v/>
      </c>
      <c r="O352" s="6"/>
      <c r="P352" s="6"/>
      <c r="Q352" s="46" t="str">
        <f aca="false">IF($A352="","",DATE(YEAR($A352),MONTH($A352),1))</f>
        <v/>
      </c>
      <c r="R352" s="8" t="str">
        <f aca="false">IF(OR($A352="",$D352=""),"",IF(COUNTIFS($D$6:$D$1005,$D352,$A$6:$A$1005,"&gt;"&amp;$A352)=0,1,0))</f>
        <v/>
      </c>
    </row>
    <row r="353" customFormat="false" ht="15" hidden="false" customHeight="false" outlineLevel="0" collapsed="false">
      <c r="A353" s="44"/>
      <c r="B353" s="6"/>
      <c r="C353" s="6"/>
      <c r="D353" s="6"/>
      <c r="E353" s="8" t="str">
        <f aca="false">IF($D353="","",IFERROR(INDEX(INSUMOS!$B$6:$B$205,MATCH($D353,INSUMOS!$A$6:$A$205,0)),"¿Código?"))</f>
        <v/>
      </c>
      <c r="F353" s="8" t="str">
        <f aca="false">IF($D353="","",IFERROR(INDEX(INSUMOS!$E$6:$E$205,MATCH($D353,INSUMOS!$A$6:$A$205,0)),""))</f>
        <v/>
      </c>
      <c r="G353" s="39"/>
      <c r="H353" s="45" t="str">
        <f aca="false">IF($D353="","",IFERROR(INDEX(INSUMOS!$F$6:$F$205,MATCH($D353,INSUMOS!$A$6:$A$205,0)),0))</f>
        <v/>
      </c>
      <c r="I353" s="34" t="str">
        <f aca="false">IF($D353="","",N($G353)*$H353)</f>
        <v/>
      </c>
      <c r="J353" s="40"/>
      <c r="K353" s="36" t="str">
        <f aca="false">IF($D353="","",IFERROR(INDEX(INSUMOS!$H$6:$H$205,MATCH($D353,INSUMOS!$A$6:$A$205,0)),IVA_VENTAS))</f>
        <v/>
      </c>
      <c r="L353" s="35" t="str">
        <f aca="false">IF($D353="","",N($J353)*$K353)</f>
        <v/>
      </c>
      <c r="M353" s="35" t="str">
        <f aca="false">IF($D353="","",N($J353)+$L353)</f>
        <v/>
      </c>
      <c r="N353" s="43" t="str">
        <f aca="false">IF($D353="","",IFERROR(N($J353)/$I353,0))</f>
        <v/>
      </c>
      <c r="O353" s="6"/>
      <c r="P353" s="6"/>
      <c r="Q353" s="46" t="str">
        <f aca="false">IF($A353="","",DATE(YEAR($A353),MONTH($A353),1))</f>
        <v/>
      </c>
      <c r="R353" s="8" t="str">
        <f aca="false">IF(OR($A353="",$D353=""),"",IF(COUNTIFS($D$6:$D$1005,$D353,$A$6:$A$1005,"&gt;"&amp;$A353)=0,1,0))</f>
        <v/>
      </c>
    </row>
    <row r="354" customFormat="false" ht="15" hidden="false" customHeight="false" outlineLevel="0" collapsed="false">
      <c r="A354" s="44"/>
      <c r="B354" s="6"/>
      <c r="C354" s="6"/>
      <c r="D354" s="6"/>
      <c r="E354" s="8" t="str">
        <f aca="false">IF($D354="","",IFERROR(INDEX(INSUMOS!$B$6:$B$205,MATCH($D354,INSUMOS!$A$6:$A$205,0)),"¿Código?"))</f>
        <v/>
      </c>
      <c r="F354" s="8" t="str">
        <f aca="false">IF($D354="","",IFERROR(INDEX(INSUMOS!$E$6:$E$205,MATCH($D354,INSUMOS!$A$6:$A$205,0)),""))</f>
        <v/>
      </c>
      <c r="G354" s="39"/>
      <c r="H354" s="45" t="str">
        <f aca="false">IF($D354="","",IFERROR(INDEX(INSUMOS!$F$6:$F$205,MATCH($D354,INSUMOS!$A$6:$A$205,0)),0))</f>
        <v/>
      </c>
      <c r="I354" s="34" t="str">
        <f aca="false">IF($D354="","",N($G354)*$H354)</f>
        <v/>
      </c>
      <c r="J354" s="40"/>
      <c r="K354" s="36" t="str">
        <f aca="false">IF($D354="","",IFERROR(INDEX(INSUMOS!$H$6:$H$205,MATCH($D354,INSUMOS!$A$6:$A$205,0)),IVA_VENTAS))</f>
        <v/>
      </c>
      <c r="L354" s="35" t="str">
        <f aca="false">IF($D354="","",N($J354)*$K354)</f>
        <v/>
      </c>
      <c r="M354" s="35" t="str">
        <f aca="false">IF($D354="","",N($J354)+$L354)</f>
        <v/>
      </c>
      <c r="N354" s="43" t="str">
        <f aca="false">IF($D354="","",IFERROR(N($J354)/$I354,0))</f>
        <v/>
      </c>
      <c r="O354" s="6"/>
      <c r="P354" s="6"/>
      <c r="Q354" s="46" t="str">
        <f aca="false">IF($A354="","",DATE(YEAR($A354),MONTH($A354),1))</f>
        <v/>
      </c>
      <c r="R354" s="8" t="str">
        <f aca="false">IF(OR($A354="",$D354=""),"",IF(COUNTIFS($D$6:$D$1005,$D354,$A$6:$A$1005,"&gt;"&amp;$A354)=0,1,0))</f>
        <v/>
      </c>
    </row>
    <row r="355" customFormat="false" ht="15" hidden="false" customHeight="false" outlineLevel="0" collapsed="false">
      <c r="A355" s="44"/>
      <c r="B355" s="6"/>
      <c r="C355" s="6"/>
      <c r="D355" s="6"/>
      <c r="E355" s="8" t="str">
        <f aca="false">IF($D355="","",IFERROR(INDEX(INSUMOS!$B$6:$B$205,MATCH($D355,INSUMOS!$A$6:$A$205,0)),"¿Código?"))</f>
        <v/>
      </c>
      <c r="F355" s="8" t="str">
        <f aca="false">IF($D355="","",IFERROR(INDEX(INSUMOS!$E$6:$E$205,MATCH($D355,INSUMOS!$A$6:$A$205,0)),""))</f>
        <v/>
      </c>
      <c r="G355" s="39"/>
      <c r="H355" s="45" t="str">
        <f aca="false">IF($D355="","",IFERROR(INDEX(INSUMOS!$F$6:$F$205,MATCH($D355,INSUMOS!$A$6:$A$205,0)),0))</f>
        <v/>
      </c>
      <c r="I355" s="34" t="str">
        <f aca="false">IF($D355="","",N($G355)*$H355)</f>
        <v/>
      </c>
      <c r="J355" s="40"/>
      <c r="K355" s="36" t="str">
        <f aca="false">IF($D355="","",IFERROR(INDEX(INSUMOS!$H$6:$H$205,MATCH($D355,INSUMOS!$A$6:$A$205,0)),IVA_VENTAS))</f>
        <v/>
      </c>
      <c r="L355" s="35" t="str">
        <f aca="false">IF($D355="","",N($J355)*$K355)</f>
        <v/>
      </c>
      <c r="M355" s="35" t="str">
        <f aca="false">IF($D355="","",N($J355)+$L355)</f>
        <v/>
      </c>
      <c r="N355" s="43" t="str">
        <f aca="false">IF($D355="","",IFERROR(N($J355)/$I355,0))</f>
        <v/>
      </c>
      <c r="O355" s="6"/>
      <c r="P355" s="6"/>
      <c r="Q355" s="46" t="str">
        <f aca="false">IF($A355="","",DATE(YEAR($A355),MONTH($A355),1))</f>
        <v/>
      </c>
      <c r="R355" s="8" t="str">
        <f aca="false">IF(OR($A355="",$D355=""),"",IF(COUNTIFS($D$6:$D$1005,$D355,$A$6:$A$1005,"&gt;"&amp;$A355)=0,1,0))</f>
        <v/>
      </c>
    </row>
    <row r="356" customFormat="false" ht="15" hidden="false" customHeight="false" outlineLevel="0" collapsed="false">
      <c r="A356" s="44"/>
      <c r="B356" s="6"/>
      <c r="C356" s="6"/>
      <c r="D356" s="6"/>
      <c r="E356" s="8" t="str">
        <f aca="false">IF($D356="","",IFERROR(INDEX(INSUMOS!$B$6:$B$205,MATCH($D356,INSUMOS!$A$6:$A$205,0)),"¿Código?"))</f>
        <v/>
      </c>
      <c r="F356" s="8" t="str">
        <f aca="false">IF($D356="","",IFERROR(INDEX(INSUMOS!$E$6:$E$205,MATCH($D356,INSUMOS!$A$6:$A$205,0)),""))</f>
        <v/>
      </c>
      <c r="G356" s="39"/>
      <c r="H356" s="45" t="str">
        <f aca="false">IF($D356="","",IFERROR(INDEX(INSUMOS!$F$6:$F$205,MATCH($D356,INSUMOS!$A$6:$A$205,0)),0))</f>
        <v/>
      </c>
      <c r="I356" s="34" t="str">
        <f aca="false">IF($D356="","",N($G356)*$H356)</f>
        <v/>
      </c>
      <c r="J356" s="40"/>
      <c r="K356" s="36" t="str">
        <f aca="false">IF($D356="","",IFERROR(INDEX(INSUMOS!$H$6:$H$205,MATCH($D356,INSUMOS!$A$6:$A$205,0)),IVA_VENTAS))</f>
        <v/>
      </c>
      <c r="L356" s="35" t="str">
        <f aca="false">IF($D356="","",N($J356)*$K356)</f>
        <v/>
      </c>
      <c r="M356" s="35" t="str">
        <f aca="false">IF($D356="","",N($J356)+$L356)</f>
        <v/>
      </c>
      <c r="N356" s="43" t="str">
        <f aca="false">IF($D356="","",IFERROR(N($J356)/$I356,0))</f>
        <v/>
      </c>
      <c r="O356" s="6"/>
      <c r="P356" s="6"/>
      <c r="Q356" s="46" t="str">
        <f aca="false">IF($A356="","",DATE(YEAR($A356),MONTH($A356),1))</f>
        <v/>
      </c>
      <c r="R356" s="8" t="str">
        <f aca="false">IF(OR($A356="",$D356=""),"",IF(COUNTIFS($D$6:$D$1005,$D356,$A$6:$A$1005,"&gt;"&amp;$A356)=0,1,0))</f>
        <v/>
      </c>
    </row>
    <row r="357" customFormat="false" ht="15" hidden="false" customHeight="false" outlineLevel="0" collapsed="false">
      <c r="A357" s="44"/>
      <c r="B357" s="6"/>
      <c r="C357" s="6"/>
      <c r="D357" s="6"/>
      <c r="E357" s="8" t="str">
        <f aca="false">IF($D357="","",IFERROR(INDEX(INSUMOS!$B$6:$B$205,MATCH($D357,INSUMOS!$A$6:$A$205,0)),"¿Código?"))</f>
        <v/>
      </c>
      <c r="F357" s="8" t="str">
        <f aca="false">IF($D357="","",IFERROR(INDEX(INSUMOS!$E$6:$E$205,MATCH($D357,INSUMOS!$A$6:$A$205,0)),""))</f>
        <v/>
      </c>
      <c r="G357" s="39"/>
      <c r="H357" s="45" t="str">
        <f aca="false">IF($D357="","",IFERROR(INDEX(INSUMOS!$F$6:$F$205,MATCH($D357,INSUMOS!$A$6:$A$205,0)),0))</f>
        <v/>
      </c>
      <c r="I357" s="34" t="str">
        <f aca="false">IF($D357="","",N($G357)*$H357)</f>
        <v/>
      </c>
      <c r="J357" s="40"/>
      <c r="K357" s="36" t="str">
        <f aca="false">IF($D357="","",IFERROR(INDEX(INSUMOS!$H$6:$H$205,MATCH($D357,INSUMOS!$A$6:$A$205,0)),IVA_VENTAS))</f>
        <v/>
      </c>
      <c r="L357" s="35" t="str">
        <f aca="false">IF($D357="","",N($J357)*$K357)</f>
        <v/>
      </c>
      <c r="M357" s="35" t="str">
        <f aca="false">IF($D357="","",N($J357)+$L357)</f>
        <v/>
      </c>
      <c r="N357" s="43" t="str">
        <f aca="false">IF($D357="","",IFERROR(N($J357)/$I357,0))</f>
        <v/>
      </c>
      <c r="O357" s="6"/>
      <c r="P357" s="6"/>
      <c r="Q357" s="46" t="str">
        <f aca="false">IF($A357="","",DATE(YEAR($A357),MONTH($A357),1))</f>
        <v/>
      </c>
      <c r="R357" s="8" t="str">
        <f aca="false">IF(OR($A357="",$D357=""),"",IF(COUNTIFS($D$6:$D$1005,$D357,$A$6:$A$1005,"&gt;"&amp;$A357)=0,1,0))</f>
        <v/>
      </c>
    </row>
    <row r="358" customFormat="false" ht="15" hidden="false" customHeight="false" outlineLevel="0" collapsed="false">
      <c r="A358" s="44"/>
      <c r="B358" s="6"/>
      <c r="C358" s="6"/>
      <c r="D358" s="6"/>
      <c r="E358" s="8" t="str">
        <f aca="false">IF($D358="","",IFERROR(INDEX(INSUMOS!$B$6:$B$205,MATCH($D358,INSUMOS!$A$6:$A$205,0)),"¿Código?"))</f>
        <v/>
      </c>
      <c r="F358" s="8" t="str">
        <f aca="false">IF($D358="","",IFERROR(INDEX(INSUMOS!$E$6:$E$205,MATCH($D358,INSUMOS!$A$6:$A$205,0)),""))</f>
        <v/>
      </c>
      <c r="G358" s="39"/>
      <c r="H358" s="45" t="str">
        <f aca="false">IF($D358="","",IFERROR(INDEX(INSUMOS!$F$6:$F$205,MATCH($D358,INSUMOS!$A$6:$A$205,0)),0))</f>
        <v/>
      </c>
      <c r="I358" s="34" t="str">
        <f aca="false">IF($D358="","",N($G358)*$H358)</f>
        <v/>
      </c>
      <c r="J358" s="40"/>
      <c r="K358" s="36" t="str">
        <f aca="false">IF($D358="","",IFERROR(INDEX(INSUMOS!$H$6:$H$205,MATCH($D358,INSUMOS!$A$6:$A$205,0)),IVA_VENTAS))</f>
        <v/>
      </c>
      <c r="L358" s="35" t="str">
        <f aca="false">IF($D358="","",N($J358)*$K358)</f>
        <v/>
      </c>
      <c r="M358" s="35" t="str">
        <f aca="false">IF($D358="","",N($J358)+$L358)</f>
        <v/>
      </c>
      <c r="N358" s="43" t="str">
        <f aca="false">IF($D358="","",IFERROR(N($J358)/$I358,0))</f>
        <v/>
      </c>
      <c r="O358" s="6"/>
      <c r="P358" s="6"/>
      <c r="Q358" s="46" t="str">
        <f aca="false">IF($A358="","",DATE(YEAR($A358),MONTH($A358),1))</f>
        <v/>
      </c>
      <c r="R358" s="8" t="str">
        <f aca="false">IF(OR($A358="",$D358=""),"",IF(COUNTIFS($D$6:$D$1005,$D358,$A$6:$A$1005,"&gt;"&amp;$A358)=0,1,0))</f>
        <v/>
      </c>
    </row>
    <row r="359" customFormat="false" ht="15" hidden="false" customHeight="false" outlineLevel="0" collapsed="false">
      <c r="A359" s="44"/>
      <c r="B359" s="6"/>
      <c r="C359" s="6"/>
      <c r="D359" s="6"/>
      <c r="E359" s="8" t="str">
        <f aca="false">IF($D359="","",IFERROR(INDEX(INSUMOS!$B$6:$B$205,MATCH($D359,INSUMOS!$A$6:$A$205,0)),"¿Código?"))</f>
        <v/>
      </c>
      <c r="F359" s="8" t="str">
        <f aca="false">IF($D359="","",IFERROR(INDEX(INSUMOS!$E$6:$E$205,MATCH($D359,INSUMOS!$A$6:$A$205,0)),""))</f>
        <v/>
      </c>
      <c r="G359" s="39"/>
      <c r="H359" s="45" t="str">
        <f aca="false">IF($D359="","",IFERROR(INDEX(INSUMOS!$F$6:$F$205,MATCH($D359,INSUMOS!$A$6:$A$205,0)),0))</f>
        <v/>
      </c>
      <c r="I359" s="34" t="str">
        <f aca="false">IF($D359="","",N($G359)*$H359)</f>
        <v/>
      </c>
      <c r="J359" s="40"/>
      <c r="K359" s="36" t="str">
        <f aca="false">IF($D359="","",IFERROR(INDEX(INSUMOS!$H$6:$H$205,MATCH($D359,INSUMOS!$A$6:$A$205,0)),IVA_VENTAS))</f>
        <v/>
      </c>
      <c r="L359" s="35" t="str">
        <f aca="false">IF($D359="","",N($J359)*$K359)</f>
        <v/>
      </c>
      <c r="M359" s="35" t="str">
        <f aca="false">IF($D359="","",N($J359)+$L359)</f>
        <v/>
      </c>
      <c r="N359" s="43" t="str">
        <f aca="false">IF($D359="","",IFERROR(N($J359)/$I359,0))</f>
        <v/>
      </c>
      <c r="O359" s="6"/>
      <c r="P359" s="6"/>
      <c r="Q359" s="46" t="str">
        <f aca="false">IF($A359="","",DATE(YEAR($A359),MONTH($A359),1))</f>
        <v/>
      </c>
      <c r="R359" s="8" t="str">
        <f aca="false">IF(OR($A359="",$D359=""),"",IF(COUNTIFS($D$6:$D$1005,$D359,$A$6:$A$1005,"&gt;"&amp;$A359)=0,1,0))</f>
        <v/>
      </c>
    </row>
    <row r="360" customFormat="false" ht="15" hidden="false" customHeight="false" outlineLevel="0" collapsed="false">
      <c r="A360" s="44"/>
      <c r="B360" s="6"/>
      <c r="C360" s="6"/>
      <c r="D360" s="6"/>
      <c r="E360" s="8" t="str">
        <f aca="false">IF($D360="","",IFERROR(INDEX(INSUMOS!$B$6:$B$205,MATCH($D360,INSUMOS!$A$6:$A$205,0)),"¿Código?"))</f>
        <v/>
      </c>
      <c r="F360" s="8" t="str">
        <f aca="false">IF($D360="","",IFERROR(INDEX(INSUMOS!$E$6:$E$205,MATCH($D360,INSUMOS!$A$6:$A$205,0)),""))</f>
        <v/>
      </c>
      <c r="G360" s="39"/>
      <c r="H360" s="45" t="str">
        <f aca="false">IF($D360="","",IFERROR(INDEX(INSUMOS!$F$6:$F$205,MATCH($D360,INSUMOS!$A$6:$A$205,0)),0))</f>
        <v/>
      </c>
      <c r="I360" s="34" t="str">
        <f aca="false">IF($D360="","",N($G360)*$H360)</f>
        <v/>
      </c>
      <c r="J360" s="40"/>
      <c r="K360" s="36" t="str">
        <f aca="false">IF($D360="","",IFERROR(INDEX(INSUMOS!$H$6:$H$205,MATCH($D360,INSUMOS!$A$6:$A$205,0)),IVA_VENTAS))</f>
        <v/>
      </c>
      <c r="L360" s="35" t="str">
        <f aca="false">IF($D360="","",N($J360)*$K360)</f>
        <v/>
      </c>
      <c r="M360" s="35" t="str">
        <f aca="false">IF($D360="","",N($J360)+$L360)</f>
        <v/>
      </c>
      <c r="N360" s="43" t="str">
        <f aca="false">IF($D360="","",IFERROR(N($J360)/$I360,0))</f>
        <v/>
      </c>
      <c r="O360" s="6"/>
      <c r="P360" s="6"/>
      <c r="Q360" s="46" t="str">
        <f aca="false">IF($A360="","",DATE(YEAR($A360),MONTH($A360),1))</f>
        <v/>
      </c>
      <c r="R360" s="8" t="str">
        <f aca="false">IF(OR($A360="",$D360=""),"",IF(COUNTIFS($D$6:$D$1005,$D360,$A$6:$A$1005,"&gt;"&amp;$A360)=0,1,0))</f>
        <v/>
      </c>
    </row>
    <row r="361" customFormat="false" ht="15" hidden="false" customHeight="false" outlineLevel="0" collapsed="false">
      <c r="A361" s="44"/>
      <c r="B361" s="6"/>
      <c r="C361" s="6"/>
      <c r="D361" s="6"/>
      <c r="E361" s="8" t="str">
        <f aca="false">IF($D361="","",IFERROR(INDEX(INSUMOS!$B$6:$B$205,MATCH($D361,INSUMOS!$A$6:$A$205,0)),"¿Código?"))</f>
        <v/>
      </c>
      <c r="F361" s="8" t="str">
        <f aca="false">IF($D361="","",IFERROR(INDEX(INSUMOS!$E$6:$E$205,MATCH($D361,INSUMOS!$A$6:$A$205,0)),""))</f>
        <v/>
      </c>
      <c r="G361" s="39"/>
      <c r="H361" s="45" t="str">
        <f aca="false">IF($D361="","",IFERROR(INDEX(INSUMOS!$F$6:$F$205,MATCH($D361,INSUMOS!$A$6:$A$205,0)),0))</f>
        <v/>
      </c>
      <c r="I361" s="34" t="str">
        <f aca="false">IF($D361="","",N($G361)*$H361)</f>
        <v/>
      </c>
      <c r="J361" s="40"/>
      <c r="K361" s="36" t="str">
        <f aca="false">IF($D361="","",IFERROR(INDEX(INSUMOS!$H$6:$H$205,MATCH($D361,INSUMOS!$A$6:$A$205,0)),IVA_VENTAS))</f>
        <v/>
      </c>
      <c r="L361" s="35" t="str">
        <f aca="false">IF($D361="","",N($J361)*$K361)</f>
        <v/>
      </c>
      <c r="M361" s="35" t="str">
        <f aca="false">IF($D361="","",N($J361)+$L361)</f>
        <v/>
      </c>
      <c r="N361" s="43" t="str">
        <f aca="false">IF($D361="","",IFERROR(N($J361)/$I361,0))</f>
        <v/>
      </c>
      <c r="O361" s="6"/>
      <c r="P361" s="6"/>
      <c r="Q361" s="46" t="str">
        <f aca="false">IF($A361="","",DATE(YEAR($A361),MONTH($A361),1))</f>
        <v/>
      </c>
      <c r="R361" s="8" t="str">
        <f aca="false">IF(OR($A361="",$D361=""),"",IF(COUNTIFS($D$6:$D$1005,$D361,$A$6:$A$1005,"&gt;"&amp;$A361)=0,1,0))</f>
        <v/>
      </c>
    </row>
    <row r="362" customFormat="false" ht="15" hidden="false" customHeight="false" outlineLevel="0" collapsed="false">
      <c r="A362" s="44"/>
      <c r="B362" s="6"/>
      <c r="C362" s="6"/>
      <c r="D362" s="6"/>
      <c r="E362" s="8" t="str">
        <f aca="false">IF($D362="","",IFERROR(INDEX(INSUMOS!$B$6:$B$205,MATCH($D362,INSUMOS!$A$6:$A$205,0)),"¿Código?"))</f>
        <v/>
      </c>
      <c r="F362" s="8" t="str">
        <f aca="false">IF($D362="","",IFERROR(INDEX(INSUMOS!$E$6:$E$205,MATCH($D362,INSUMOS!$A$6:$A$205,0)),""))</f>
        <v/>
      </c>
      <c r="G362" s="39"/>
      <c r="H362" s="45" t="str">
        <f aca="false">IF($D362="","",IFERROR(INDEX(INSUMOS!$F$6:$F$205,MATCH($D362,INSUMOS!$A$6:$A$205,0)),0))</f>
        <v/>
      </c>
      <c r="I362" s="34" t="str">
        <f aca="false">IF($D362="","",N($G362)*$H362)</f>
        <v/>
      </c>
      <c r="J362" s="40"/>
      <c r="K362" s="36" t="str">
        <f aca="false">IF($D362="","",IFERROR(INDEX(INSUMOS!$H$6:$H$205,MATCH($D362,INSUMOS!$A$6:$A$205,0)),IVA_VENTAS))</f>
        <v/>
      </c>
      <c r="L362" s="35" t="str">
        <f aca="false">IF($D362="","",N($J362)*$K362)</f>
        <v/>
      </c>
      <c r="M362" s="35" t="str">
        <f aca="false">IF($D362="","",N($J362)+$L362)</f>
        <v/>
      </c>
      <c r="N362" s="43" t="str">
        <f aca="false">IF($D362="","",IFERROR(N($J362)/$I362,0))</f>
        <v/>
      </c>
      <c r="O362" s="6"/>
      <c r="P362" s="6"/>
      <c r="Q362" s="46" t="str">
        <f aca="false">IF($A362="","",DATE(YEAR($A362),MONTH($A362),1))</f>
        <v/>
      </c>
      <c r="R362" s="8" t="str">
        <f aca="false">IF(OR($A362="",$D362=""),"",IF(COUNTIFS($D$6:$D$1005,$D362,$A$6:$A$1005,"&gt;"&amp;$A362)=0,1,0))</f>
        <v/>
      </c>
    </row>
    <row r="363" customFormat="false" ht="15" hidden="false" customHeight="false" outlineLevel="0" collapsed="false">
      <c r="A363" s="44"/>
      <c r="B363" s="6"/>
      <c r="C363" s="6"/>
      <c r="D363" s="6"/>
      <c r="E363" s="8" t="str">
        <f aca="false">IF($D363="","",IFERROR(INDEX(INSUMOS!$B$6:$B$205,MATCH($D363,INSUMOS!$A$6:$A$205,0)),"¿Código?"))</f>
        <v/>
      </c>
      <c r="F363" s="8" t="str">
        <f aca="false">IF($D363="","",IFERROR(INDEX(INSUMOS!$E$6:$E$205,MATCH($D363,INSUMOS!$A$6:$A$205,0)),""))</f>
        <v/>
      </c>
      <c r="G363" s="39"/>
      <c r="H363" s="45" t="str">
        <f aca="false">IF($D363="","",IFERROR(INDEX(INSUMOS!$F$6:$F$205,MATCH($D363,INSUMOS!$A$6:$A$205,0)),0))</f>
        <v/>
      </c>
      <c r="I363" s="34" t="str">
        <f aca="false">IF($D363="","",N($G363)*$H363)</f>
        <v/>
      </c>
      <c r="J363" s="40"/>
      <c r="K363" s="36" t="str">
        <f aca="false">IF($D363="","",IFERROR(INDEX(INSUMOS!$H$6:$H$205,MATCH($D363,INSUMOS!$A$6:$A$205,0)),IVA_VENTAS))</f>
        <v/>
      </c>
      <c r="L363" s="35" t="str">
        <f aca="false">IF($D363="","",N($J363)*$K363)</f>
        <v/>
      </c>
      <c r="M363" s="35" t="str">
        <f aca="false">IF($D363="","",N($J363)+$L363)</f>
        <v/>
      </c>
      <c r="N363" s="43" t="str">
        <f aca="false">IF($D363="","",IFERROR(N($J363)/$I363,0))</f>
        <v/>
      </c>
      <c r="O363" s="6"/>
      <c r="P363" s="6"/>
      <c r="Q363" s="46" t="str">
        <f aca="false">IF($A363="","",DATE(YEAR($A363),MONTH($A363),1))</f>
        <v/>
      </c>
      <c r="R363" s="8" t="str">
        <f aca="false">IF(OR($A363="",$D363=""),"",IF(COUNTIFS($D$6:$D$1005,$D363,$A$6:$A$1005,"&gt;"&amp;$A363)=0,1,0))</f>
        <v/>
      </c>
    </row>
    <row r="364" customFormat="false" ht="15" hidden="false" customHeight="false" outlineLevel="0" collapsed="false">
      <c r="A364" s="44"/>
      <c r="B364" s="6"/>
      <c r="C364" s="6"/>
      <c r="D364" s="6"/>
      <c r="E364" s="8" t="str">
        <f aca="false">IF($D364="","",IFERROR(INDEX(INSUMOS!$B$6:$B$205,MATCH($D364,INSUMOS!$A$6:$A$205,0)),"¿Código?"))</f>
        <v/>
      </c>
      <c r="F364" s="8" t="str">
        <f aca="false">IF($D364="","",IFERROR(INDEX(INSUMOS!$E$6:$E$205,MATCH($D364,INSUMOS!$A$6:$A$205,0)),""))</f>
        <v/>
      </c>
      <c r="G364" s="39"/>
      <c r="H364" s="45" t="str">
        <f aca="false">IF($D364="","",IFERROR(INDEX(INSUMOS!$F$6:$F$205,MATCH($D364,INSUMOS!$A$6:$A$205,0)),0))</f>
        <v/>
      </c>
      <c r="I364" s="34" t="str">
        <f aca="false">IF($D364="","",N($G364)*$H364)</f>
        <v/>
      </c>
      <c r="J364" s="40"/>
      <c r="K364" s="36" t="str">
        <f aca="false">IF($D364="","",IFERROR(INDEX(INSUMOS!$H$6:$H$205,MATCH($D364,INSUMOS!$A$6:$A$205,0)),IVA_VENTAS))</f>
        <v/>
      </c>
      <c r="L364" s="35" t="str">
        <f aca="false">IF($D364="","",N($J364)*$K364)</f>
        <v/>
      </c>
      <c r="M364" s="35" t="str">
        <f aca="false">IF($D364="","",N($J364)+$L364)</f>
        <v/>
      </c>
      <c r="N364" s="43" t="str">
        <f aca="false">IF($D364="","",IFERROR(N($J364)/$I364,0))</f>
        <v/>
      </c>
      <c r="O364" s="6"/>
      <c r="P364" s="6"/>
      <c r="Q364" s="46" t="str">
        <f aca="false">IF($A364="","",DATE(YEAR($A364),MONTH($A364),1))</f>
        <v/>
      </c>
      <c r="R364" s="8" t="str">
        <f aca="false">IF(OR($A364="",$D364=""),"",IF(COUNTIFS($D$6:$D$1005,$D364,$A$6:$A$1005,"&gt;"&amp;$A364)=0,1,0))</f>
        <v/>
      </c>
    </row>
    <row r="365" customFormat="false" ht="15" hidden="false" customHeight="false" outlineLevel="0" collapsed="false">
      <c r="A365" s="44"/>
      <c r="B365" s="6"/>
      <c r="C365" s="6"/>
      <c r="D365" s="6"/>
      <c r="E365" s="8" t="str">
        <f aca="false">IF($D365="","",IFERROR(INDEX(INSUMOS!$B$6:$B$205,MATCH($D365,INSUMOS!$A$6:$A$205,0)),"¿Código?"))</f>
        <v/>
      </c>
      <c r="F365" s="8" t="str">
        <f aca="false">IF($D365="","",IFERROR(INDEX(INSUMOS!$E$6:$E$205,MATCH($D365,INSUMOS!$A$6:$A$205,0)),""))</f>
        <v/>
      </c>
      <c r="G365" s="39"/>
      <c r="H365" s="45" t="str">
        <f aca="false">IF($D365="","",IFERROR(INDEX(INSUMOS!$F$6:$F$205,MATCH($D365,INSUMOS!$A$6:$A$205,0)),0))</f>
        <v/>
      </c>
      <c r="I365" s="34" t="str">
        <f aca="false">IF($D365="","",N($G365)*$H365)</f>
        <v/>
      </c>
      <c r="J365" s="40"/>
      <c r="K365" s="36" t="str">
        <f aca="false">IF($D365="","",IFERROR(INDEX(INSUMOS!$H$6:$H$205,MATCH($D365,INSUMOS!$A$6:$A$205,0)),IVA_VENTAS))</f>
        <v/>
      </c>
      <c r="L365" s="35" t="str">
        <f aca="false">IF($D365="","",N($J365)*$K365)</f>
        <v/>
      </c>
      <c r="M365" s="35" t="str">
        <f aca="false">IF($D365="","",N($J365)+$L365)</f>
        <v/>
      </c>
      <c r="N365" s="43" t="str">
        <f aca="false">IF($D365="","",IFERROR(N($J365)/$I365,0))</f>
        <v/>
      </c>
      <c r="O365" s="6"/>
      <c r="P365" s="6"/>
      <c r="Q365" s="46" t="str">
        <f aca="false">IF($A365="","",DATE(YEAR($A365),MONTH($A365),1))</f>
        <v/>
      </c>
      <c r="R365" s="8" t="str">
        <f aca="false">IF(OR($A365="",$D365=""),"",IF(COUNTIFS($D$6:$D$1005,$D365,$A$6:$A$1005,"&gt;"&amp;$A365)=0,1,0))</f>
        <v/>
      </c>
    </row>
    <row r="366" customFormat="false" ht="15" hidden="false" customHeight="false" outlineLevel="0" collapsed="false">
      <c r="A366" s="44"/>
      <c r="B366" s="6"/>
      <c r="C366" s="6"/>
      <c r="D366" s="6"/>
      <c r="E366" s="8" t="str">
        <f aca="false">IF($D366="","",IFERROR(INDEX(INSUMOS!$B$6:$B$205,MATCH($D366,INSUMOS!$A$6:$A$205,0)),"¿Código?"))</f>
        <v/>
      </c>
      <c r="F366" s="8" t="str">
        <f aca="false">IF($D366="","",IFERROR(INDEX(INSUMOS!$E$6:$E$205,MATCH($D366,INSUMOS!$A$6:$A$205,0)),""))</f>
        <v/>
      </c>
      <c r="G366" s="39"/>
      <c r="H366" s="45" t="str">
        <f aca="false">IF($D366="","",IFERROR(INDEX(INSUMOS!$F$6:$F$205,MATCH($D366,INSUMOS!$A$6:$A$205,0)),0))</f>
        <v/>
      </c>
      <c r="I366" s="34" t="str">
        <f aca="false">IF($D366="","",N($G366)*$H366)</f>
        <v/>
      </c>
      <c r="J366" s="40"/>
      <c r="K366" s="36" t="str">
        <f aca="false">IF($D366="","",IFERROR(INDEX(INSUMOS!$H$6:$H$205,MATCH($D366,INSUMOS!$A$6:$A$205,0)),IVA_VENTAS))</f>
        <v/>
      </c>
      <c r="L366" s="35" t="str">
        <f aca="false">IF($D366="","",N($J366)*$K366)</f>
        <v/>
      </c>
      <c r="M366" s="35" t="str">
        <f aca="false">IF($D366="","",N($J366)+$L366)</f>
        <v/>
      </c>
      <c r="N366" s="43" t="str">
        <f aca="false">IF($D366="","",IFERROR(N($J366)/$I366,0))</f>
        <v/>
      </c>
      <c r="O366" s="6"/>
      <c r="P366" s="6"/>
      <c r="Q366" s="46" t="str">
        <f aca="false">IF($A366="","",DATE(YEAR($A366),MONTH($A366),1))</f>
        <v/>
      </c>
      <c r="R366" s="8" t="str">
        <f aca="false">IF(OR($A366="",$D366=""),"",IF(COUNTIFS($D$6:$D$1005,$D366,$A$6:$A$1005,"&gt;"&amp;$A366)=0,1,0))</f>
        <v/>
      </c>
    </row>
    <row r="367" customFormat="false" ht="15" hidden="false" customHeight="false" outlineLevel="0" collapsed="false">
      <c r="A367" s="44"/>
      <c r="B367" s="6"/>
      <c r="C367" s="6"/>
      <c r="D367" s="6"/>
      <c r="E367" s="8" t="str">
        <f aca="false">IF($D367="","",IFERROR(INDEX(INSUMOS!$B$6:$B$205,MATCH($D367,INSUMOS!$A$6:$A$205,0)),"¿Código?"))</f>
        <v/>
      </c>
      <c r="F367" s="8" t="str">
        <f aca="false">IF($D367="","",IFERROR(INDEX(INSUMOS!$E$6:$E$205,MATCH($D367,INSUMOS!$A$6:$A$205,0)),""))</f>
        <v/>
      </c>
      <c r="G367" s="39"/>
      <c r="H367" s="45" t="str">
        <f aca="false">IF($D367="","",IFERROR(INDEX(INSUMOS!$F$6:$F$205,MATCH($D367,INSUMOS!$A$6:$A$205,0)),0))</f>
        <v/>
      </c>
      <c r="I367" s="34" t="str">
        <f aca="false">IF($D367="","",N($G367)*$H367)</f>
        <v/>
      </c>
      <c r="J367" s="40"/>
      <c r="K367" s="36" t="str">
        <f aca="false">IF($D367="","",IFERROR(INDEX(INSUMOS!$H$6:$H$205,MATCH($D367,INSUMOS!$A$6:$A$205,0)),IVA_VENTAS))</f>
        <v/>
      </c>
      <c r="L367" s="35" t="str">
        <f aca="false">IF($D367="","",N($J367)*$K367)</f>
        <v/>
      </c>
      <c r="M367" s="35" t="str">
        <f aca="false">IF($D367="","",N($J367)+$L367)</f>
        <v/>
      </c>
      <c r="N367" s="43" t="str">
        <f aca="false">IF($D367="","",IFERROR(N($J367)/$I367,0))</f>
        <v/>
      </c>
      <c r="O367" s="6"/>
      <c r="P367" s="6"/>
      <c r="Q367" s="46" t="str">
        <f aca="false">IF($A367="","",DATE(YEAR($A367),MONTH($A367),1))</f>
        <v/>
      </c>
      <c r="R367" s="8" t="str">
        <f aca="false">IF(OR($A367="",$D367=""),"",IF(COUNTIFS($D$6:$D$1005,$D367,$A$6:$A$1005,"&gt;"&amp;$A367)=0,1,0))</f>
        <v/>
      </c>
    </row>
    <row r="368" customFormat="false" ht="15" hidden="false" customHeight="false" outlineLevel="0" collapsed="false">
      <c r="A368" s="44"/>
      <c r="B368" s="6"/>
      <c r="C368" s="6"/>
      <c r="D368" s="6"/>
      <c r="E368" s="8" t="str">
        <f aca="false">IF($D368="","",IFERROR(INDEX(INSUMOS!$B$6:$B$205,MATCH($D368,INSUMOS!$A$6:$A$205,0)),"¿Código?"))</f>
        <v/>
      </c>
      <c r="F368" s="8" t="str">
        <f aca="false">IF($D368="","",IFERROR(INDEX(INSUMOS!$E$6:$E$205,MATCH($D368,INSUMOS!$A$6:$A$205,0)),""))</f>
        <v/>
      </c>
      <c r="G368" s="39"/>
      <c r="H368" s="45" t="str">
        <f aca="false">IF($D368="","",IFERROR(INDEX(INSUMOS!$F$6:$F$205,MATCH($D368,INSUMOS!$A$6:$A$205,0)),0))</f>
        <v/>
      </c>
      <c r="I368" s="34" t="str">
        <f aca="false">IF($D368="","",N($G368)*$H368)</f>
        <v/>
      </c>
      <c r="J368" s="40"/>
      <c r="K368" s="36" t="str">
        <f aca="false">IF($D368="","",IFERROR(INDEX(INSUMOS!$H$6:$H$205,MATCH($D368,INSUMOS!$A$6:$A$205,0)),IVA_VENTAS))</f>
        <v/>
      </c>
      <c r="L368" s="35" t="str">
        <f aca="false">IF($D368="","",N($J368)*$K368)</f>
        <v/>
      </c>
      <c r="M368" s="35" t="str">
        <f aca="false">IF($D368="","",N($J368)+$L368)</f>
        <v/>
      </c>
      <c r="N368" s="43" t="str">
        <f aca="false">IF($D368="","",IFERROR(N($J368)/$I368,0))</f>
        <v/>
      </c>
      <c r="O368" s="6"/>
      <c r="P368" s="6"/>
      <c r="Q368" s="46" t="str">
        <f aca="false">IF($A368="","",DATE(YEAR($A368),MONTH($A368),1))</f>
        <v/>
      </c>
      <c r="R368" s="8" t="str">
        <f aca="false">IF(OR($A368="",$D368=""),"",IF(COUNTIFS($D$6:$D$1005,$D368,$A$6:$A$1005,"&gt;"&amp;$A368)=0,1,0))</f>
        <v/>
      </c>
    </row>
    <row r="369" customFormat="false" ht="15" hidden="false" customHeight="false" outlineLevel="0" collapsed="false">
      <c r="A369" s="44"/>
      <c r="B369" s="6"/>
      <c r="C369" s="6"/>
      <c r="D369" s="6"/>
      <c r="E369" s="8" t="str">
        <f aca="false">IF($D369="","",IFERROR(INDEX(INSUMOS!$B$6:$B$205,MATCH($D369,INSUMOS!$A$6:$A$205,0)),"¿Código?"))</f>
        <v/>
      </c>
      <c r="F369" s="8" t="str">
        <f aca="false">IF($D369="","",IFERROR(INDEX(INSUMOS!$E$6:$E$205,MATCH($D369,INSUMOS!$A$6:$A$205,0)),""))</f>
        <v/>
      </c>
      <c r="G369" s="39"/>
      <c r="H369" s="45" t="str">
        <f aca="false">IF($D369="","",IFERROR(INDEX(INSUMOS!$F$6:$F$205,MATCH($D369,INSUMOS!$A$6:$A$205,0)),0))</f>
        <v/>
      </c>
      <c r="I369" s="34" t="str">
        <f aca="false">IF($D369="","",N($G369)*$H369)</f>
        <v/>
      </c>
      <c r="J369" s="40"/>
      <c r="K369" s="36" t="str">
        <f aca="false">IF($D369="","",IFERROR(INDEX(INSUMOS!$H$6:$H$205,MATCH($D369,INSUMOS!$A$6:$A$205,0)),IVA_VENTAS))</f>
        <v/>
      </c>
      <c r="L369" s="35" t="str">
        <f aca="false">IF($D369="","",N($J369)*$K369)</f>
        <v/>
      </c>
      <c r="M369" s="35" t="str">
        <f aca="false">IF($D369="","",N($J369)+$L369)</f>
        <v/>
      </c>
      <c r="N369" s="43" t="str">
        <f aca="false">IF($D369="","",IFERROR(N($J369)/$I369,0))</f>
        <v/>
      </c>
      <c r="O369" s="6"/>
      <c r="P369" s="6"/>
      <c r="Q369" s="46" t="str">
        <f aca="false">IF($A369="","",DATE(YEAR($A369),MONTH($A369),1))</f>
        <v/>
      </c>
      <c r="R369" s="8" t="str">
        <f aca="false">IF(OR($A369="",$D369=""),"",IF(COUNTIFS($D$6:$D$1005,$D369,$A$6:$A$1005,"&gt;"&amp;$A369)=0,1,0))</f>
        <v/>
      </c>
    </row>
    <row r="370" customFormat="false" ht="15" hidden="false" customHeight="false" outlineLevel="0" collapsed="false">
      <c r="A370" s="44"/>
      <c r="B370" s="6"/>
      <c r="C370" s="6"/>
      <c r="D370" s="6"/>
      <c r="E370" s="8" t="str">
        <f aca="false">IF($D370="","",IFERROR(INDEX(INSUMOS!$B$6:$B$205,MATCH($D370,INSUMOS!$A$6:$A$205,0)),"¿Código?"))</f>
        <v/>
      </c>
      <c r="F370" s="8" t="str">
        <f aca="false">IF($D370="","",IFERROR(INDEX(INSUMOS!$E$6:$E$205,MATCH($D370,INSUMOS!$A$6:$A$205,0)),""))</f>
        <v/>
      </c>
      <c r="G370" s="39"/>
      <c r="H370" s="45" t="str">
        <f aca="false">IF($D370="","",IFERROR(INDEX(INSUMOS!$F$6:$F$205,MATCH($D370,INSUMOS!$A$6:$A$205,0)),0))</f>
        <v/>
      </c>
      <c r="I370" s="34" t="str">
        <f aca="false">IF($D370="","",N($G370)*$H370)</f>
        <v/>
      </c>
      <c r="J370" s="40"/>
      <c r="K370" s="36" t="str">
        <f aca="false">IF($D370="","",IFERROR(INDEX(INSUMOS!$H$6:$H$205,MATCH($D370,INSUMOS!$A$6:$A$205,0)),IVA_VENTAS))</f>
        <v/>
      </c>
      <c r="L370" s="35" t="str">
        <f aca="false">IF($D370="","",N($J370)*$K370)</f>
        <v/>
      </c>
      <c r="M370" s="35" t="str">
        <f aca="false">IF($D370="","",N($J370)+$L370)</f>
        <v/>
      </c>
      <c r="N370" s="43" t="str">
        <f aca="false">IF($D370="","",IFERROR(N($J370)/$I370,0))</f>
        <v/>
      </c>
      <c r="O370" s="6"/>
      <c r="P370" s="6"/>
      <c r="Q370" s="46" t="str">
        <f aca="false">IF($A370="","",DATE(YEAR($A370),MONTH($A370),1))</f>
        <v/>
      </c>
      <c r="R370" s="8" t="str">
        <f aca="false">IF(OR($A370="",$D370=""),"",IF(COUNTIFS($D$6:$D$1005,$D370,$A$6:$A$1005,"&gt;"&amp;$A370)=0,1,0))</f>
        <v/>
      </c>
    </row>
    <row r="371" customFormat="false" ht="15" hidden="false" customHeight="false" outlineLevel="0" collapsed="false">
      <c r="A371" s="44"/>
      <c r="B371" s="6"/>
      <c r="C371" s="6"/>
      <c r="D371" s="6"/>
      <c r="E371" s="8" t="str">
        <f aca="false">IF($D371="","",IFERROR(INDEX(INSUMOS!$B$6:$B$205,MATCH($D371,INSUMOS!$A$6:$A$205,0)),"¿Código?"))</f>
        <v/>
      </c>
      <c r="F371" s="8" t="str">
        <f aca="false">IF($D371="","",IFERROR(INDEX(INSUMOS!$E$6:$E$205,MATCH($D371,INSUMOS!$A$6:$A$205,0)),""))</f>
        <v/>
      </c>
      <c r="G371" s="39"/>
      <c r="H371" s="45" t="str">
        <f aca="false">IF($D371="","",IFERROR(INDEX(INSUMOS!$F$6:$F$205,MATCH($D371,INSUMOS!$A$6:$A$205,0)),0))</f>
        <v/>
      </c>
      <c r="I371" s="34" t="str">
        <f aca="false">IF($D371="","",N($G371)*$H371)</f>
        <v/>
      </c>
      <c r="J371" s="40"/>
      <c r="K371" s="36" t="str">
        <f aca="false">IF($D371="","",IFERROR(INDEX(INSUMOS!$H$6:$H$205,MATCH($D371,INSUMOS!$A$6:$A$205,0)),IVA_VENTAS))</f>
        <v/>
      </c>
      <c r="L371" s="35" t="str">
        <f aca="false">IF($D371="","",N($J371)*$K371)</f>
        <v/>
      </c>
      <c r="M371" s="35" t="str">
        <f aca="false">IF($D371="","",N($J371)+$L371)</f>
        <v/>
      </c>
      <c r="N371" s="43" t="str">
        <f aca="false">IF($D371="","",IFERROR(N($J371)/$I371,0))</f>
        <v/>
      </c>
      <c r="O371" s="6"/>
      <c r="P371" s="6"/>
      <c r="Q371" s="46" t="str">
        <f aca="false">IF($A371="","",DATE(YEAR($A371),MONTH($A371),1))</f>
        <v/>
      </c>
      <c r="R371" s="8" t="str">
        <f aca="false">IF(OR($A371="",$D371=""),"",IF(COUNTIFS($D$6:$D$1005,$D371,$A$6:$A$1005,"&gt;"&amp;$A371)=0,1,0))</f>
        <v/>
      </c>
    </row>
    <row r="372" customFormat="false" ht="15" hidden="false" customHeight="false" outlineLevel="0" collapsed="false">
      <c r="A372" s="44"/>
      <c r="B372" s="6"/>
      <c r="C372" s="6"/>
      <c r="D372" s="6"/>
      <c r="E372" s="8" t="str">
        <f aca="false">IF($D372="","",IFERROR(INDEX(INSUMOS!$B$6:$B$205,MATCH($D372,INSUMOS!$A$6:$A$205,0)),"¿Código?"))</f>
        <v/>
      </c>
      <c r="F372" s="8" t="str">
        <f aca="false">IF($D372="","",IFERROR(INDEX(INSUMOS!$E$6:$E$205,MATCH($D372,INSUMOS!$A$6:$A$205,0)),""))</f>
        <v/>
      </c>
      <c r="G372" s="39"/>
      <c r="H372" s="45" t="str">
        <f aca="false">IF($D372="","",IFERROR(INDEX(INSUMOS!$F$6:$F$205,MATCH($D372,INSUMOS!$A$6:$A$205,0)),0))</f>
        <v/>
      </c>
      <c r="I372" s="34" t="str">
        <f aca="false">IF($D372="","",N($G372)*$H372)</f>
        <v/>
      </c>
      <c r="J372" s="40"/>
      <c r="K372" s="36" t="str">
        <f aca="false">IF($D372="","",IFERROR(INDEX(INSUMOS!$H$6:$H$205,MATCH($D372,INSUMOS!$A$6:$A$205,0)),IVA_VENTAS))</f>
        <v/>
      </c>
      <c r="L372" s="35" t="str">
        <f aca="false">IF($D372="","",N($J372)*$K372)</f>
        <v/>
      </c>
      <c r="M372" s="35" t="str">
        <f aca="false">IF($D372="","",N($J372)+$L372)</f>
        <v/>
      </c>
      <c r="N372" s="43" t="str">
        <f aca="false">IF($D372="","",IFERROR(N($J372)/$I372,0))</f>
        <v/>
      </c>
      <c r="O372" s="6"/>
      <c r="P372" s="6"/>
      <c r="Q372" s="46" t="str">
        <f aca="false">IF($A372="","",DATE(YEAR($A372),MONTH($A372),1))</f>
        <v/>
      </c>
      <c r="R372" s="8" t="str">
        <f aca="false">IF(OR($A372="",$D372=""),"",IF(COUNTIFS($D$6:$D$1005,$D372,$A$6:$A$1005,"&gt;"&amp;$A372)=0,1,0))</f>
        <v/>
      </c>
    </row>
    <row r="373" customFormat="false" ht="15" hidden="false" customHeight="false" outlineLevel="0" collapsed="false">
      <c r="A373" s="44"/>
      <c r="B373" s="6"/>
      <c r="C373" s="6"/>
      <c r="D373" s="6"/>
      <c r="E373" s="8" t="str">
        <f aca="false">IF($D373="","",IFERROR(INDEX(INSUMOS!$B$6:$B$205,MATCH($D373,INSUMOS!$A$6:$A$205,0)),"¿Código?"))</f>
        <v/>
      </c>
      <c r="F373" s="8" t="str">
        <f aca="false">IF($D373="","",IFERROR(INDEX(INSUMOS!$E$6:$E$205,MATCH($D373,INSUMOS!$A$6:$A$205,0)),""))</f>
        <v/>
      </c>
      <c r="G373" s="39"/>
      <c r="H373" s="45" t="str">
        <f aca="false">IF($D373="","",IFERROR(INDEX(INSUMOS!$F$6:$F$205,MATCH($D373,INSUMOS!$A$6:$A$205,0)),0))</f>
        <v/>
      </c>
      <c r="I373" s="34" t="str">
        <f aca="false">IF($D373="","",N($G373)*$H373)</f>
        <v/>
      </c>
      <c r="J373" s="40"/>
      <c r="K373" s="36" t="str">
        <f aca="false">IF($D373="","",IFERROR(INDEX(INSUMOS!$H$6:$H$205,MATCH($D373,INSUMOS!$A$6:$A$205,0)),IVA_VENTAS))</f>
        <v/>
      </c>
      <c r="L373" s="35" t="str">
        <f aca="false">IF($D373="","",N($J373)*$K373)</f>
        <v/>
      </c>
      <c r="M373" s="35" t="str">
        <f aca="false">IF($D373="","",N($J373)+$L373)</f>
        <v/>
      </c>
      <c r="N373" s="43" t="str">
        <f aca="false">IF($D373="","",IFERROR(N($J373)/$I373,0))</f>
        <v/>
      </c>
      <c r="O373" s="6"/>
      <c r="P373" s="6"/>
      <c r="Q373" s="46" t="str">
        <f aca="false">IF($A373="","",DATE(YEAR($A373),MONTH($A373),1))</f>
        <v/>
      </c>
      <c r="R373" s="8" t="str">
        <f aca="false">IF(OR($A373="",$D373=""),"",IF(COUNTIFS($D$6:$D$1005,$D373,$A$6:$A$1005,"&gt;"&amp;$A373)=0,1,0))</f>
        <v/>
      </c>
    </row>
    <row r="374" customFormat="false" ht="15" hidden="false" customHeight="false" outlineLevel="0" collapsed="false">
      <c r="A374" s="44"/>
      <c r="B374" s="6"/>
      <c r="C374" s="6"/>
      <c r="D374" s="6"/>
      <c r="E374" s="8" t="str">
        <f aca="false">IF($D374="","",IFERROR(INDEX(INSUMOS!$B$6:$B$205,MATCH($D374,INSUMOS!$A$6:$A$205,0)),"¿Código?"))</f>
        <v/>
      </c>
      <c r="F374" s="8" t="str">
        <f aca="false">IF($D374="","",IFERROR(INDEX(INSUMOS!$E$6:$E$205,MATCH($D374,INSUMOS!$A$6:$A$205,0)),""))</f>
        <v/>
      </c>
      <c r="G374" s="39"/>
      <c r="H374" s="45" t="str">
        <f aca="false">IF($D374="","",IFERROR(INDEX(INSUMOS!$F$6:$F$205,MATCH($D374,INSUMOS!$A$6:$A$205,0)),0))</f>
        <v/>
      </c>
      <c r="I374" s="34" t="str">
        <f aca="false">IF($D374="","",N($G374)*$H374)</f>
        <v/>
      </c>
      <c r="J374" s="40"/>
      <c r="K374" s="36" t="str">
        <f aca="false">IF($D374="","",IFERROR(INDEX(INSUMOS!$H$6:$H$205,MATCH($D374,INSUMOS!$A$6:$A$205,0)),IVA_VENTAS))</f>
        <v/>
      </c>
      <c r="L374" s="35" t="str">
        <f aca="false">IF($D374="","",N($J374)*$K374)</f>
        <v/>
      </c>
      <c r="M374" s="35" t="str">
        <f aca="false">IF($D374="","",N($J374)+$L374)</f>
        <v/>
      </c>
      <c r="N374" s="43" t="str">
        <f aca="false">IF($D374="","",IFERROR(N($J374)/$I374,0))</f>
        <v/>
      </c>
      <c r="O374" s="6"/>
      <c r="P374" s="6"/>
      <c r="Q374" s="46" t="str">
        <f aca="false">IF($A374="","",DATE(YEAR($A374),MONTH($A374),1))</f>
        <v/>
      </c>
      <c r="R374" s="8" t="str">
        <f aca="false">IF(OR($A374="",$D374=""),"",IF(COUNTIFS($D$6:$D$1005,$D374,$A$6:$A$1005,"&gt;"&amp;$A374)=0,1,0))</f>
        <v/>
      </c>
    </row>
    <row r="375" customFormat="false" ht="15" hidden="false" customHeight="false" outlineLevel="0" collapsed="false">
      <c r="A375" s="44"/>
      <c r="B375" s="6"/>
      <c r="C375" s="6"/>
      <c r="D375" s="6"/>
      <c r="E375" s="8" t="str">
        <f aca="false">IF($D375="","",IFERROR(INDEX(INSUMOS!$B$6:$B$205,MATCH($D375,INSUMOS!$A$6:$A$205,0)),"¿Código?"))</f>
        <v/>
      </c>
      <c r="F375" s="8" t="str">
        <f aca="false">IF($D375="","",IFERROR(INDEX(INSUMOS!$E$6:$E$205,MATCH($D375,INSUMOS!$A$6:$A$205,0)),""))</f>
        <v/>
      </c>
      <c r="G375" s="39"/>
      <c r="H375" s="45" t="str">
        <f aca="false">IF($D375="","",IFERROR(INDEX(INSUMOS!$F$6:$F$205,MATCH($D375,INSUMOS!$A$6:$A$205,0)),0))</f>
        <v/>
      </c>
      <c r="I375" s="34" t="str">
        <f aca="false">IF($D375="","",N($G375)*$H375)</f>
        <v/>
      </c>
      <c r="J375" s="40"/>
      <c r="K375" s="36" t="str">
        <f aca="false">IF($D375="","",IFERROR(INDEX(INSUMOS!$H$6:$H$205,MATCH($D375,INSUMOS!$A$6:$A$205,0)),IVA_VENTAS))</f>
        <v/>
      </c>
      <c r="L375" s="35" t="str">
        <f aca="false">IF($D375="","",N($J375)*$K375)</f>
        <v/>
      </c>
      <c r="M375" s="35" t="str">
        <f aca="false">IF($D375="","",N($J375)+$L375)</f>
        <v/>
      </c>
      <c r="N375" s="43" t="str">
        <f aca="false">IF($D375="","",IFERROR(N($J375)/$I375,0))</f>
        <v/>
      </c>
      <c r="O375" s="6"/>
      <c r="P375" s="6"/>
      <c r="Q375" s="46" t="str">
        <f aca="false">IF($A375="","",DATE(YEAR($A375),MONTH($A375),1))</f>
        <v/>
      </c>
      <c r="R375" s="8" t="str">
        <f aca="false">IF(OR($A375="",$D375=""),"",IF(COUNTIFS($D$6:$D$1005,$D375,$A$6:$A$1005,"&gt;"&amp;$A375)=0,1,0))</f>
        <v/>
      </c>
    </row>
    <row r="376" customFormat="false" ht="15" hidden="false" customHeight="false" outlineLevel="0" collapsed="false">
      <c r="A376" s="44"/>
      <c r="B376" s="6"/>
      <c r="C376" s="6"/>
      <c r="D376" s="6"/>
      <c r="E376" s="8" t="str">
        <f aca="false">IF($D376="","",IFERROR(INDEX(INSUMOS!$B$6:$B$205,MATCH($D376,INSUMOS!$A$6:$A$205,0)),"¿Código?"))</f>
        <v/>
      </c>
      <c r="F376" s="8" t="str">
        <f aca="false">IF($D376="","",IFERROR(INDEX(INSUMOS!$E$6:$E$205,MATCH($D376,INSUMOS!$A$6:$A$205,0)),""))</f>
        <v/>
      </c>
      <c r="G376" s="39"/>
      <c r="H376" s="45" t="str">
        <f aca="false">IF($D376="","",IFERROR(INDEX(INSUMOS!$F$6:$F$205,MATCH($D376,INSUMOS!$A$6:$A$205,0)),0))</f>
        <v/>
      </c>
      <c r="I376" s="34" t="str">
        <f aca="false">IF($D376="","",N($G376)*$H376)</f>
        <v/>
      </c>
      <c r="J376" s="40"/>
      <c r="K376" s="36" t="str">
        <f aca="false">IF($D376="","",IFERROR(INDEX(INSUMOS!$H$6:$H$205,MATCH($D376,INSUMOS!$A$6:$A$205,0)),IVA_VENTAS))</f>
        <v/>
      </c>
      <c r="L376" s="35" t="str">
        <f aca="false">IF($D376="","",N($J376)*$K376)</f>
        <v/>
      </c>
      <c r="M376" s="35" t="str">
        <f aca="false">IF($D376="","",N($J376)+$L376)</f>
        <v/>
      </c>
      <c r="N376" s="43" t="str">
        <f aca="false">IF($D376="","",IFERROR(N($J376)/$I376,0))</f>
        <v/>
      </c>
      <c r="O376" s="6"/>
      <c r="P376" s="6"/>
      <c r="Q376" s="46" t="str">
        <f aca="false">IF($A376="","",DATE(YEAR($A376),MONTH($A376),1))</f>
        <v/>
      </c>
      <c r="R376" s="8" t="str">
        <f aca="false">IF(OR($A376="",$D376=""),"",IF(COUNTIFS($D$6:$D$1005,$D376,$A$6:$A$1005,"&gt;"&amp;$A376)=0,1,0))</f>
        <v/>
      </c>
    </row>
    <row r="377" customFormat="false" ht="15" hidden="false" customHeight="false" outlineLevel="0" collapsed="false">
      <c r="A377" s="44"/>
      <c r="B377" s="6"/>
      <c r="C377" s="6"/>
      <c r="D377" s="6"/>
      <c r="E377" s="8" t="str">
        <f aca="false">IF($D377="","",IFERROR(INDEX(INSUMOS!$B$6:$B$205,MATCH($D377,INSUMOS!$A$6:$A$205,0)),"¿Código?"))</f>
        <v/>
      </c>
      <c r="F377" s="8" t="str">
        <f aca="false">IF($D377="","",IFERROR(INDEX(INSUMOS!$E$6:$E$205,MATCH($D377,INSUMOS!$A$6:$A$205,0)),""))</f>
        <v/>
      </c>
      <c r="G377" s="39"/>
      <c r="H377" s="45" t="str">
        <f aca="false">IF($D377="","",IFERROR(INDEX(INSUMOS!$F$6:$F$205,MATCH($D377,INSUMOS!$A$6:$A$205,0)),0))</f>
        <v/>
      </c>
      <c r="I377" s="34" t="str">
        <f aca="false">IF($D377="","",N($G377)*$H377)</f>
        <v/>
      </c>
      <c r="J377" s="40"/>
      <c r="K377" s="36" t="str">
        <f aca="false">IF($D377="","",IFERROR(INDEX(INSUMOS!$H$6:$H$205,MATCH($D377,INSUMOS!$A$6:$A$205,0)),IVA_VENTAS))</f>
        <v/>
      </c>
      <c r="L377" s="35" t="str">
        <f aca="false">IF($D377="","",N($J377)*$K377)</f>
        <v/>
      </c>
      <c r="M377" s="35" t="str">
        <f aca="false">IF($D377="","",N($J377)+$L377)</f>
        <v/>
      </c>
      <c r="N377" s="43" t="str">
        <f aca="false">IF($D377="","",IFERROR(N($J377)/$I377,0))</f>
        <v/>
      </c>
      <c r="O377" s="6"/>
      <c r="P377" s="6"/>
      <c r="Q377" s="46" t="str">
        <f aca="false">IF($A377="","",DATE(YEAR($A377),MONTH($A377),1))</f>
        <v/>
      </c>
      <c r="R377" s="8" t="str">
        <f aca="false">IF(OR($A377="",$D377=""),"",IF(COUNTIFS($D$6:$D$1005,$D377,$A$6:$A$1005,"&gt;"&amp;$A377)=0,1,0))</f>
        <v/>
      </c>
    </row>
    <row r="378" customFormat="false" ht="15" hidden="false" customHeight="false" outlineLevel="0" collapsed="false">
      <c r="A378" s="44"/>
      <c r="B378" s="6"/>
      <c r="C378" s="6"/>
      <c r="D378" s="6"/>
      <c r="E378" s="8" t="str">
        <f aca="false">IF($D378="","",IFERROR(INDEX(INSUMOS!$B$6:$B$205,MATCH($D378,INSUMOS!$A$6:$A$205,0)),"¿Código?"))</f>
        <v/>
      </c>
      <c r="F378" s="8" t="str">
        <f aca="false">IF($D378="","",IFERROR(INDEX(INSUMOS!$E$6:$E$205,MATCH($D378,INSUMOS!$A$6:$A$205,0)),""))</f>
        <v/>
      </c>
      <c r="G378" s="39"/>
      <c r="H378" s="45" t="str">
        <f aca="false">IF($D378="","",IFERROR(INDEX(INSUMOS!$F$6:$F$205,MATCH($D378,INSUMOS!$A$6:$A$205,0)),0))</f>
        <v/>
      </c>
      <c r="I378" s="34" t="str">
        <f aca="false">IF($D378="","",N($G378)*$H378)</f>
        <v/>
      </c>
      <c r="J378" s="40"/>
      <c r="K378" s="36" t="str">
        <f aca="false">IF($D378="","",IFERROR(INDEX(INSUMOS!$H$6:$H$205,MATCH($D378,INSUMOS!$A$6:$A$205,0)),IVA_VENTAS))</f>
        <v/>
      </c>
      <c r="L378" s="35" t="str">
        <f aca="false">IF($D378="","",N($J378)*$K378)</f>
        <v/>
      </c>
      <c r="M378" s="35" t="str">
        <f aca="false">IF($D378="","",N($J378)+$L378)</f>
        <v/>
      </c>
      <c r="N378" s="43" t="str">
        <f aca="false">IF($D378="","",IFERROR(N($J378)/$I378,0))</f>
        <v/>
      </c>
      <c r="O378" s="6"/>
      <c r="P378" s="6"/>
      <c r="Q378" s="46" t="str">
        <f aca="false">IF($A378="","",DATE(YEAR($A378),MONTH($A378),1))</f>
        <v/>
      </c>
      <c r="R378" s="8" t="str">
        <f aca="false">IF(OR($A378="",$D378=""),"",IF(COUNTIFS($D$6:$D$1005,$D378,$A$6:$A$1005,"&gt;"&amp;$A378)=0,1,0))</f>
        <v/>
      </c>
    </row>
    <row r="379" customFormat="false" ht="15" hidden="false" customHeight="false" outlineLevel="0" collapsed="false">
      <c r="A379" s="44"/>
      <c r="B379" s="6"/>
      <c r="C379" s="6"/>
      <c r="D379" s="6"/>
      <c r="E379" s="8" t="str">
        <f aca="false">IF($D379="","",IFERROR(INDEX(INSUMOS!$B$6:$B$205,MATCH($D379,INSUMOS!$A$6:$A$205,0)),"¿Código?"))</f>
        <v/>
      </c>
      <c r="F379" s="8" t="str">
        <f aca="false">IF($D379="","",IFERROR(INDEX(INSUMOS!$E$6:$E$205,MATCH($D379,INSUMOS!$A$6:$A$205,0)),""))</f>
        <v/>
      </c>
      <c r="G379" s="39"/>
      <c r="H379" s="45" t="str">
        <f aca="false">IF($D379="","",IFERROR(INDEX(INSUMOS!$F$6:$F$205,MATCH($D379,INSUMOS!$A$6:$A$205,0)),0))</f>
        <v/>
      </c>
      <c r="I379" s="34" t="str">
        <f aca="false">IF($D379="","",N($G379)*$H379)</f>
        <v/>
      </c>
      <c r="J379" s="40"/>
      <c r="K379" s="36" t="str">
        <f aca="false">IF($D379="","",IFERROR(INDEX(INSUMOS!$H$6:$H$205,MATCH($D379,INSUMOS!$A$6:$A$205,0)),IVA_VENTAS))</f>
        <v/>
      </c>
      <c r="L379" s="35" t="str">
        <f aca="false">IF($D379="","",N($J379)*$K379)</f>
        <v/>
      </c>
      <c r="M379" s="35" t="str">
        <f aca="false">IF($D379="","",N($J379)+$L379)</f>
        <v/>
      </c>
      <c r="N379" s="43" t="str">
        <f aca="false">IF($D379="","",IFERROR(N($J379)/$I379,0))</f>
        <v/>
      </c>
      <c r="O379" s="6"/>
      <c r="P379" s="6"/>
      <c r="Q379" s="46" t="str">
        <f aca="false">IF($A379="","",DATE(YEAR($A379),MONTH($A379),1))</f>
        <v/>
      </c>
      <c r="R379" s="8" t="str">
        <f aca="false">IF(OR($A379="",$D379=""),"",IF(COUNTIFS($D$6:$D$1005,$D379,$A$6:$A$1005,"&gt;"&amp;$A379)=0,1,0))</f>
        <v/>
      </c>
    </row>
    <row r="380" customFormat="false" ht="15" hidden="false" customHeight="false" outlineLevel="0" collapsed="false">
      <c r="A380" s="44"/>
      <c r="B380" s="6"/>
      <c r="C380" s="6"/>
      <c r="D380" s="6"/>
      <c r="E380" s="8" t="str">
        <f aca="false">IF($D380="","",IFERROR(INDEX(INSUMOS!$B$6:$B$205,MATCH($D380,INSUMOS!$A$6:$A$205,0)),"¿Código?"))</f>
        <v/>
      </c>
      <c r="F380" s="8" t="str">
        <f aca="false">IF($D380="","",IFERROR(INDEX(INSUMOS!$E$6:$E$205,MATCH($D380,INSUMOS!$A$6:$A$205,0)),""))</f>
        <v/>
      </c>
      <c r="G380" s="39"/>
      <c r="H380" s="45" t="str">
        <f aca="false">IF($D380="","",IFERROR(INDEX(INSUMOS!$F$6:$F$205,MATCH($D380,INSUMOS!$A$6:$A$205,0)),0))</f>
        <v/>
      </c>
      <c r="I380" s="34" t="str">
        <f aca="false">IF($D380="","",N($G380)*$H380)</f>
        <v/>
      </c>
      <c r="J380" s="40"/>
      <c r="K380" s="36" t="str">
        <f aca="false">IF($D380="","",IFERROR(INDEX(INSUMOS!$H$6:$H$205,MATCH($D380,INSUMOS!$A$6:$A$205,0)),IVA_VENTAS))</f>
        <v/>
      </c>
      <c r="L380" s="35" t="str">
        <f aca="false">IF($D380="","",N($J380)*$K380)</f>
        <v/>
      </c>
      <c r="M380" s="35" t="str">
        <f aca="false">IF($D380="","",N($J380)+$L380)</f>
        <v/>
      </c>
      <c r="N380" s="43" t="str">
        <f aca="false">IF($D380="","",IFERROR(N($J380)/$I380,0))</f>
        <v/>
      </c>
      <c r="O380" s="6"/>
      <c r="P380" s="6"/>
      <c r="Q380" s="46" t="str">
        <f aca="false">IF($A380="","",DATE(YEAR($A380),MONTH($A380),1))</f>
        <v/>
      </c>
      <c r="R380" s="8" t="str">
        <f aca="false">IF(OR($A380="",$D380=""),"",IF(COUNTIFS($D$6:$D$1005,$D380,$A$6:$A$1005,"&gt;"&amp;$A380)=0,1,0))</f>
        <v/>
      </c>
    </row>
    <row r="381" customFormat="false" ht="15" hidden="false" customHeight="false" outlineLevel="0" collapsed="false">
      <c r="A381" s="44"/>
      <c r="B381" s="6"/>
      <c r="C381" s="6"/>
      <c r="D381" s="6"/>
      <c r="E381" s="8" t="str">
        <f aca="false">IF($D381="","",IFERROR(INDEX(INSUMOS!$B$6:$B$205,MATCH($D381,INSUMOS!$A$6:$A$205,0)),"¿Código?"))</f>
        <v/>
      </c>
      <c r="F381" s="8" t="str">
        <f aca="false">IF($D381="","",IFERROR(INDEX(INSUMOS!$E$6:$E$205,MATCH($D381,INSUMOS!$A$6:$A$205,0)),""))</f>
        <v/>
      </c>
      <c r="G381" s="39"/>
      <c r="H381" s="45" t="str">
        <f aca="false">IF($D381="","",IFERROR(INDEX(INSUMOS!$F$6:$F$205,MATCH($D381,INSUMOS!$A$6:$A$205,0)),0))</f>
        <v/>
      </c>
      <c r="I381" s="34" t="str">
        <f aca="false">IF($D381="","",N($G381)*$H381)</f>
        <v/>
      </c>
      <c r="J381" s="40"/>
      <c r="K381" s="36" t="str">
        <f aca="false">IF($D381="","",IFERROR(INDEX(INSUMOS!$H$6:$H$205,MATCH($D381,INSUMOS!$A$6:$A$205,0)),IVA_VENTAS))</f>
        <v/>
      </c>
      <c r="L381" s="35" t="str">
        <f aca="false">IF($D381="","",N($J381)*$K381)</f>
        <v/>
      </c>
      <c r="M381" s="35" t="str">
        <f aca="false">IF($D381="","",N($J381)+$L381)</f>
        <v/>
      </c>
      <c r="N381" s="43" t="str">
        <f aca="false">IF($D381="","",IFERROR(N($J381)/$I381,0))</f>
        <v/>
      </c>
      <c r="O381" s="6"/>
      <c r="P381" s="6"/>
      <c r="Q381" s="46" t="str">
        <f aca="false">IF($A381="","",DATE(YEAR($A381),MONTH($A381),1))</f>
        <v/>
      </c>
      <c r="R381" s="8" t="str">
        <f aca="false">IF(OR($A381="",$D381=""),"",IF(COUNTIFS($D$6:$D$1005,$D381,$A$6:$A$1005,"&gt;"&amp;$A381)=0,1,0))</f>
        <v/>
      </c>
    </row>
    <row r="382" customFormat="false" ht="15" hidden="false" customHeight="false" outlineLevel="0" collapsed="false">
      <c r="A382" s="44"/>
      <c r="B382" s="6"/>
      <c r="C382" s="6"/>
      <c r="D382" s="6"/>
      <c r="E382" s="8" t="str">
        <f aca="false">IF($D382="","",IFERROR(INDEX(INSUMOS!$B$6:$B$205,MATCH($D382,INSUMOS!$A$6:$A$205,0)),"¿Código?"))</f>
        <v/>
      </c>
      <c r="F382" s="8" t="str">
        <f aca="false">IF($D382="","",IFERROR(INDEX(INSUMOS!$E$6:$E$205,MATCH($D382,INSUMOS!$A$6:$A$205,0)),""))</f>
        <v/>
      </c>
      <c r="G382" s="39"/>
      <c r="H382" s="45" t="str">
        <f aca="false">IF($D382="","",IFERROR(INDEX(INSUMOS!$F$6:$F$205,MATCH($D382,INSUMOS!$A$6:$A$205,0)),0))</f>
        <v/>
      </c>
      <c r="I382" s="34" t="str">
        <f aca="false">IF($D382="","",N($G382)*$H382)</f>
        <v/>
      </c>
      <c r="J382" s="40"/>
      <c r="K382" s="36" t="str">
        <f aca="false">IF($D382="","",IFERROR(INDEX(INSUMOS!$H$6:$H$205,MATCH($D382,INSUMOS!$A$6:$A$205,0)),IVA_VENTAS))</f>
        <v/>
      </c>
      <c r="L382" s="35" t="str">
        <f aca="false">IF($D382="","",N($J382)*$K382)</f>
        <v/>
      </c>
      <c r="M382" s="35" t="str">
        <f aca="false">IF($D382="","",N($J382)+$L382)</f>
        <v/>
      </c>
      <c r="N382" s="43" t="str">
        <f aca="false">IF($D382="","",IFERROR(N($J382)/$I382,0))</f>
        <v/>
      </c>
      <c r="O382" s="6"/>
      <c r="P382" s="6"/>
      <c r="Q382" s="46" t="str">
        <f aca="false">IF($A382="","",DATE(YEAR($A382),MONTH($A382),1))</f>
        <v/>
      </c>
      <c r="R382" s="8" t="str">
        <f aca="false">IF(OR($A382="",$D382=""),"",IF(COUNTIFS($D$6:$D$1005,$D382,$A$6:$A$1005,"&gt;"&amp;$A382)=0,1,0))</f>
        <v/>
      </c>
    </row>
    <row r="383" customFormat="false" ht="15" hidden="false" customHeight="false" outlineLevel="0" collapsed="false">
      <c r="A383" s="44"/>
      <c r="B383" s="6"/>
      <c r="C383" s="6"/>
      <c r="D383" s="6"/>
      <c r="E383" s="8" t="str">
        <f aca="false">IF($D383="","",IFERROR(INDEX(INSUMOS!$B$6:$B$205,MATCH($D383,INSUMOS!$A$6:$A$205,0)),"¿Código?"))</f>
        <v/>
      </c>
      <c r="F383" s="8" t="str">
        <f aca="false">IF($D383="","",IFERROR(INDEX(INSUMOS!$E$6:$E$205,MATCH($D383,INSUMOS!$A$6:$A$205,0)),""))</f>
        <v/>
      </c>
      <c r="G383" s="39"/>
      <c r="H383" s="45" t="str">
        <f aca="false">IF($D383="","",IFERROR(INDEX(INSUMOS!$F$6:$F$205,MATCH($D383,INSUMOS!$A$6:$A$205,0)),0))</f>
        <v/>
      </c>
      <c r="I383" s="34" t="str">
        <f aca="false">IF($D383="","",N($G383)*$H383)</f>
        <v/>
      </c>
      <c r="J383" s="40"/>
      <c r="K383" s="36" t="str">
        <f aca="false">IF($D383="","",IFERROR(INDEX(INSUMOS!$H$6:$H$205,MATCH($D383,INSUMOS!$A$6:$A$205,0)),IVA_VENTAS))</f>
        <v/>
      </c>
      <c r="L383" s="35" t="str">
        <f aca="false">IF($D383="","",N($J383)*$K383)</f>
        <v/>
      </c>
      <c r="M383" s="35" t="str">
        <f aca="false">IF($D383="","",N($J383)+$L383)</f>
        <v/>
      </c>
      <c r="N383" s="43" t="str">
        <f aca="false">IF($D383="","",IFERROR(N($J383)/$I383,0))</f>
        <v/>
      </c>
      <c r="O383" s="6"/>
      <c r="P383" s="6"/>
      <c r="Q383" s="46" t="str">
        <f aca="false">IF($A383="","",DATE(YEAR($A383),MONTH($A383),1))</f>
        <v/>
      </c>
      <c r="R383" s="8" t="str">
        <f aca="false">IF(OR($A383="",$D383=""),"",IF(COUNTIFS($D$6:$D$1005,$D383,$A$6:$A$1005,"&gt;"&amp;$A383)=0,1,0))</f>
        <v/>
      </c>
    </row>
    <row r="384" customFormat="false" ht="15" hidden="false" customHeight="false" outlineLevel="0" collapsed="false">
      <c r="A384" s="44"/>
      <c r="B384" s="6"/>
      <c r="C384" s="6"/>
      <c r="D384" s="6"/>
      <c r="E384" s="8" t="str">
        <f aca="false">IF($D384="","",IFERROR(INDEX(INSUMOS!$B$6:$B$205,MATCH($D384,INSUMOS!$A$6:$A$205,0)),"¿Código?"))</f>
        <v/>
      </c>
      <c r="F384" s="8" t="str">
        <f aca="false">IF($D384="","",IFERROR(INDEX(INSUMOS!$E$6:$E$205,MATCH($D384,INSUMOS!$A$6:$A$205,0)),""))</f>
        <v/>
      </c>
      <c r="G384" s="39"/>
      <c r="H384" s="45" t="str">
        <f aca="false">IF($D384="","",IFERROR(INDEX(INSUMOS!$F$6:$F$205,MATCH($D384,INSUMOS!$A$6:$A$205,0)),0))</f>
        <v/>
      </c>
      <c r="I384" s="34" t="str">
        <f aca="false">IF($D384="","",N($G384)*$H384)</f>
        <v/>
      </c>
      <c r="J384" s="40"/>
      <c r="K384" s="36" t="str">
        <f aca="false">IF($D384="","",IFERROR(INDEX(INSUMOS!$H$6:$H$205,MATCH($D384,INSUMOS!$A$6:$A$205,0)),IVA_VENTAS))</f>
        <v/>
      </c>
      <c r="L384" s="35" t="str">
        <f aca="false">IF($D384="","",N($J384)*$K384)</f>
        <v/>
      </c>
      <c r="M384" s="35" t="str">
        <f aca="false">IF($D384="","",N($J384)+$L384)</f>
        <v/>
      </c>
      <c r="N384" s="43" t="str">
        <f aca="false">IF($D384="","",IFERROR(N($J384)/$I384,0))</f>
        <v/>
      </c>
      <c r="O384" s="6"/>
      <c r="P384" s="6"/>
      <c r="Q384" s="46" t="str">
        <f aca="false">IF($A384="","",DATE(YEAR($A384),MONTH($A384),1))</f>
        <v/>
      </c>
      <c r="R384" s="8" t="str">
        <f aca="false">IF(OR($A384="",$D384=""),"",IF(COUNTIFS($D$6:$D$1005,$D384,$A$6:$A$1005,"&gt;"&amp;$A384)=0,1,0))</f>
        <v/>
      </c>
    </row>
    <row r="385" customFormat="false" ht="15" hidden="false" customHeight="false" outlineLevel="0" collapsed="false">
      <c r="A385" s="44"/>
      <c r="B385" s="6"/>
      <c r="C385" s="6"/>
      <c r="D385" s="6"/>
      <c r="E385" s="8" t="str">
        <f aca="false">IF($D385="","",IFERROR(INDEX(INSUMOS!$B$6:$B$205,MATCH($D385,INSUMOS!$A$6:$A$205,0)),"¿Código?"))</f>
        <v/>
      </c>
      <c r="F385" s="8" t="str">
        <f aca="false">IF($D385="","",IFERROR(INDEX(INSUMOS!$E$6:$E$205,MATCH($D385,INSUMOS!$A$6:$A$205,0)),""))</f>
        <v/>
      </c>
      <c r="G385" s="39"/>
      <c r="H385" s="45" t="str">
        <f aca="false">IF($D385="","",IFERROR(INDEX(INSUMOS!$F$6:$F$205,MATCH($D385,INSUMOS!$A$6:$A$205,0)),0))</f>
        <v/>
      </c>
      <c r="I385" s="34" t="str">
        <f aca="false">IF($D385="","",N($G385)*$H385)</f>
        <v/>
      </c>
      <c r="J385" s="40"/>
      <c r="K385" s="36" t="str">
        <f aca="false">IF($D385="","",IFERROR(INDEX(INSUMOS!$H$6:$H$205,MATCH($D385,INSUMOS!$A$6:$A$205,0)),IVA_VENTAS))</f>
        <v/>
      </c>
      <c r="L385" s="35" t="str">
        <f aca="false">IF($D385="","",N($J385)*$K385)</f>
        <v/>
      </c>
      <c r="M385" s="35" t="str">
        <f aca="false">IF($D385="","",N($J385)+$L385)</f>
        <v/>
      </c>
      <c r="N385" s="43" t="str">
        <f aca="false">IF($D385="","",IFERROR(N($J385)/$I385,0))</f>
        <v/>
      </c>
      <c r="O385" s="6"/>
      <c r="P385" s="6"/>
      <c r="Q385" s="46" t="str">
        <f aca="false">IF($A385="","",DATE(YEAR($A385),MONTH($A385),1))</f>
        <v/>
      </c>
      <c r="R385" s="8" t="str">
        <f aca="false">IF(OR($A385="",$D385=""),"",IF(COUNTIFS($D$6:$D$1005,$D385,$A$6:$A$1005,"&gt;"&amp;$A385)=0,1,0))</f>
        <v/>
      </c>
    </row>
    <row r="386" customFormat="false" ht="15" hidden="false" customHeight="false" outlineLevel="0" collapsed="false">
      <c r="A386" s="44"/>
      <c r="B386" s="6"/>
      <c r="C386" s="6"/>
      <c r="D386" s="6"/>
      <c r="E386" s="8" t="str">
        <f aca="false">IF($D386="","",IFERROR(INDEX(INSUMOS!$B$6:$B$205,MATCH($D386,INSUMOS!$A$6:$A$205,0)),"¿Código?"))</f>
        <v/>
      </c>
      <c r="F386" s="8" t="str">
        <f aca="false">IF($D386="","",IFERROR(INDEX(INSUMOS!$E$6:$E$205,MATCH($D386,INSUMOS!$A$6:$A$205,0)),""))</f>
        <v/>
      </c>
      <c r="G386" s="39"/>
      <c r="H386" s="45" t="str">
        <f aca="false">IF($D386="","",IFERROR(INDEX(INSUMOS!$F$6:$F$205,MATCH($D386,INSUMOS!$A$6:$A$205,0)),0))</f>
        <v/>
      </c>
      <c r="I386" s="34" t="str">
        <f aca="false">IF($D386="","",N($G386)*$H386)</f>
        <v/>
      </c>
      <c r="J386" s="40"/>
      <c r="K386" s="36" t="str">
        <f aca="false">IF($D386="","",IFERROR(INDEX(INSUMOS!$H$6:$H$205,MATCH($D386,INSUMOS!$A$6:$A$205,0)),IVA_VENTAS))</f>
        <v/>
      </c>
      <c r="L386" s="35" t="str">
        <f aca="false">IF($D386="","",N($J386)*$K386)</f>
        <v/>
      </c>
      <c r="M386" s="35" t="str">
        <f aca="false">IF($D386="","",N($J386)+$L386)</f>
        <v/>
      </c>
      <c r="N386" s="43" t="str">
        <f aca="false">IF($D386="","",IFERROR(N($J386)/$I386,0))</f>
        <v/>
      </c>
      <c r="O386" s="6"/>
      <c r="P386" s="6"/>
      <c r="Q386" s="46" t="str">
        <f aca="false">IF($A386="","",DATE(YEAR($A386),MONTH($A386),1))</f>
        <v/>
      </c>
      <c r="R386" s="8" t="str">
        <f aca="false">IF(OR($A386="",$D386=""),"",IF(COUNTIFS($D$6:$D$1005,$D386,$A$6:$A$1005,"&gt;"&amp;$A386)=0,1,0))</f>
        <v/>
      </c>
    </row>
    <row r="387" customFormat="false" ht="15" hidden="false" customHeight="false" outlineLevel="0" collapsed="false">
      <c r="A387" s="44"/>
      <c r="B387" s="6"/>
      <c r="C387" s="6"/>
      <c r="D387" s="6"/>
      <c r="E387" s="8" t="str">
        <f aca="false">IF($D387="","",IFERROR(INDEX(INSUMOS!$B$6:$B$205,MATCH($D387,INSUMOS!$A$6:$A$205,0)),"¿Código?"))</f>
        <v/>
      </c>
      <c r="F387" s="8" t="str">
        <f aca="false">IF($D387="","",IFERROR(INDEX(INSUMOS!$E$6:$E$205,MATCH($D387,INSUMOS!$A$6:$A$205,0)),""))</f>
        <v/>
      </c>
      <c r="G387" s="39"/>
      <c r="H387" s="45" t="str">
        <f aca="false">IF($D387="","",IFERROR(INDEX(INSUMOS!$F$6:$F$205,MATCH($D387,INSUMOS!$A$6:$A$205,0)),0))</f>
        <v/>
      </c>
      <c r="I387" s="34" t="str">
        <f aca="false">IF($D387="","",N($G387)*$H387)</f>
        <v/>
      </c>
      <c r="J387" s="40"/>
      <c r="K387" s="36" t="str">
        <f aca="false">IF($D387="","",IFERROR(INDEX(INSUMOS!$H$6:$H$205,MATCH($D387,INSUMOS!$A$6:$A$205,0)),IVA_VENTAS))</f>
        <v/>
      </c>
      <c r="L387" s="35" t="str">
        <f aca="false">IF($D387="","",N($J387)*$K387)</f>
        <v/>
      </c>
      <c r="M387" s="35" t="str">
        <f aca="false">IF($D387="","",N($J387)+$L387)</f>
        <v/>
      </c>
      <c r="N387" s="43" t="str">
        <f aca="false">IF($D387="","",IFERROR(N($J387)/$I387,0))</f>
        <v/>
      </c>
      <c r="O387" s="6"/>
      <c r="P387" s="6"/>
      <c r="Q387" s="46" t="str">
        <f aca="false">IF($A387="","",DATE(YEAR($A387),MONTH($A387),1))</f>
        <v/>
      </c>
      <c r="R387" s="8" t="str">
        <f aca="false">IF(OR($A387="",$D387=""),"",IF(COUNTIFS($D$6:$D$1005,$D387,$A$6:$A$1005,"&gt;"&amp;$A387)=0,1,0))</f>
        <v/>
      </c>
    </row>
    <row r="388" customFormat="false" ht="15" hidden="false" customHeight="false" outlineLevel="0" collapsed="false">
      <c r="A388" s="44"/>
      <c r="B388" s="6"/>
      <c r="C388" s="6"/>
      <c r="D388" s="6"/>
      <c r="E388" s="8" t="str">
        <f aca="false">IF($D388="","",IFERROR(INDEX(INSUMOS!$B$6:$B$205,MATCH($D388,INSUMOS!$A$6:$A$205,0)),"¿Código?"))</f>
        <v/>
      </c>
      <c r="F388" s="8" t="str">
        <f aca="false">IF($D388="","",IFERROR(INDEX(INSUMOS!$E$6:$E$205,MATCH($D388,INSUMOS!$A$6:$A$205,0)),""))</f>
        <v/>
      </c>
      <c r="G388" s="39"/>
      <c r="H388" s="45" t="str">
        <f aca="false">IF($D388="","",IFERROR(INDEX(INSUMOS!$F$6:$F$205,MATCH($D388,INSUMOS!$A$6:$A$205,0)),0))</f>
        <v/>
      </c>
      <c r="I388" s="34" t="str">
        <f aca="false">IF($D388="","",N($G388)*$H388)</f>
        <v/>
      </c>
      <c r="J388" s="40"/>
      <c r="K388" s="36" t="str">
        <f aca="false">IF($D388="","",IFERROR(INDEX(INSUMOS!$H$6:$H$205,MATCH($D388,INSUMOS!$A$6:$A$205,0)),IVA_VENTAS))</f>
        <v/>
      </c>
      <c r="L388" s="35" t="str">
        <f aca="false">IF($D388="","",N($J388)*$K388)</f>
        <v/>
      </c>
      <c r="M388" s="35" t="str">
        <f aca="false">IF($D388="","",N($J388)+$L388)</f>
        <v/>
      </c>
      <c r="N388" s="43" t="str">
        <f aca="false">IF($D388="","",IFERROR(N($J388)/$I388,0))</f>
        <v/>
      </c>
      <c r="O388" s="6"/>
      <c r="P388" s="6"/>
      <c r="Q388" s="46" t="str">
        <f aca="false">IF($A388="","",DATE(YEAR($A388),MONTH($A388),1))</f>
        <v/>
      </c>
      <c r="R388" s="8" t="str">
        <f aca="false">IF(OR($A388="",$D388=""),"",IF(COUNTIFS($D$6:$D$1005,$D388,$A$6:$A$1005,"&gt;"&amp;$A388)=0,1,0))</f>
        <v/>
      </c>
    </row>
    <row r="389" customFormat="false" ht="15" hidden="false" customHeight="false" outlineLevel="0" collapsed="false">
      <c r="A389" s="44"/>
      <c r="B389" s="6"/>
      <c r="C389" s="6"/>
      <c r="D389" s="6"/>
      <c r="E389" s="8" t="str">
        <f aca="false">IF($D389="","",IFERROR(INDEX(INSUMOS!$B$6:$B$205,MATCH($D389,INSUMOS!$A$6:$A$205,0)),"¿Código?"))</f>
        <v/>
      </c>
      <c r="F389" s="8" t="str">
        <f aca="false">IF($D389="","",IFERROR(INDEX(INSUMOS!$E$6:$E$205,MATCH($D389,INSUMOS!$A$6:$A$205,0)),""))</f>
        <v/>
      </c>
      <c r="G389" s="39"/>
      <c r="H389" s="45" t="str">
        <f aca="false">IF($D389="","",IFERROR(INDEX(INSUMOS!$F$6:$F$205,MATCH($D389,INSUMOS!$A$6:$A$205,0)),0))</f>
        <v/>
      </c>
      <c r="I389" s="34" t="str">
        <f aca="false">IF($D389="","",N($G389)*$H389)</f>
        <v/>
      </c>
      <c r="J389" s="40"/>
      <c r="K389" s="36" t="str">
        <f aca="false">IF($D389="","",IFERROR(INDEX(INSUMOS!$H$6:$H$205,MATCH($D389,INSUMOS!$A$6:$A$205,0)),IVA_VENTAS))</f>
        <v/>
      </c>
      <c r="L389" s="35" t="str">
        <f aca="false">IF($D389="","",N($J389)*$K389)</f>
        <v/>
      </c>
      <c r="M389" s="35" t="str">
        <f aca="false">IF($D389="","",N($J389)+$L389)</f>
        <v/>
      </c>
      <c r="N389" s="43" t="str">
        <f aca="false">IF($D389="","",IFERROR(N($J389)/$I389,0))</f>
        <v/>
      </c>
      <c r="O389" s="6"/>
      <c r="P389" s="6"/>
      <c r="Q389" s="46" t="str">
        <f aca="false">IF($A389="","",DATE(YEAR($A389),MONTH($A389),1))</f>
        <v/>
      </c>
      <c r="R389" s="8" t="str">
        <f aca="false">IF(OR($A389="",$D389=""),"",IF(COUNTIFS($D$6:$D$1005,$D389,$A$6:$A$1005,"&gt;"&amp;$A389)=0,1,0))</f>
        <v/>
      </c>
    </row>
    <row r="390" customFormat="false" ht="15" hidden="false" customHeight="false" outlineLevel="0" collapsed="false">
      <c r="A390" s="44"/>
      <c r="B390" s="6"/>
      <c r="C390" s="6"/>
      <c r="D390" s="6"/>
      <c r="E390" s="8" t="str">
        <f aca="false">IF($D390="","",IFERROR(INDEX(INSUMOS!$B$6:$B$205,MATCH($D390,INSUMOS!$A$6:$A$205,0)),"¿Código?"))</f>
        <v/>
      </c>
      <c r="F390" s="8" t="str">
        <f aca="false">IF($D390="","",IFERROR(INDEX(INSUMOS!$E$6:$E$205,MATCH($D390,INSUMOS!$A$6:$A$205,0)),""))</f>
        <v/>
      </c>
      <c r="G390" s="39"/>
      <c r="H390" s="45" t="str">
        <f aca="false">IF($D390="","",IFERROR(INDEX(INSUMOS!$F$6:$F$205,MATCH($D390,INSUMOS!$A$6:$A$205,0)),0))</f>
        <v/>
      </c>
      <c r="I390" s="34" t="str">
        <f aca="false">IF($D390="","",N($G390)*$H390)</f>
        <v/>
      </c>
      <c r="J390" s="40"/>
      <c r="K390" s="36" t="str">
        <f aca="false">IF($D390="","",IFERROR(INDEX(INSUMOS!$H$6:$H$205,MATCH($D390,INSUMOS!$A$6:$A$205,0)),IVA_VENTAS))</f>
        <v/>
      </c>
      <c r="L390" s="35" t="str">
        <f aca="false">IF($D390="","",N($J390)*$K390)</f>
        <v/>
      </c>
      <c r="M390" s="35" t="str">
        <f aca="false">IF($D390="","",N($J390)+$L390)</f>
        <v/>
      </c>
      <c r="N390" s="43" t="str">
        <f aca="false">IF($D390="","",IFERROR(N($J390)/$I390,0))</f>
        <v/>
      </c>
      <c r="O390" s="6"/>
      <c r="P390" s="6"/>
      <c r="Q390" s="46" t="str">
        <f aca="false">IF($A390="","",DATE(YEAR($A390),MONTH($A390),1))</f>
        <v/>
      </c>
      <c r="R390" s="8" t="str">
        <f aca="false">IF(OR($A390="",$D390=""),"",IF(COUNTIFS($D$6:$D$1005,$D390,$A$6:$A$1005,"&gt;"&amp;$A390)=0,1,0))</f>
        <v/>
      </c>
    </row>
    <row r="391" customFormat="false" ht="15" hidden="false" customHeight="false" outlineLevel="0" collapsed="false">
      <c r="A391" s="44"/>
      <c r="B391" s="6"/>
      <c r="C391" s="6"/>
      <c r="D391" s="6"/>
      <c r="E391" s="8" t="str">
        <f aca="false">IF($D391="","",IFERROR(INDEX(INSUMOS!$B$6:$B$205,MATCH($D391,INSUMOS!$A$6:$A$205,0)),"¿Código?"))</f>
        <v/>
      </c>
      <c r="F391" s="8" t="str">
        <f aca="false">IF($D391="","",IFERROR(INDEX(INSUMOS!$E$6:$E$205,MATCH($D391,INSUMOS!$A$6:$A$205,0)),""))</f>
        <v/>
      </c>
      <c r="G391" s="39"/>
      <c r="H391" s="45" t="str">
        <f aca="false">IF($D391="","",IFERROR(INDEX(INSUMOS!$F$6:$F$205,MATCH($D391,INSUMOS!$A$6:$A$205,0)),0))</f>
        <v/>
      </c>
      <c r="I391" s="34" t="str">
        <f aca="false">IF($D391="","",N($G391)*$H391)</f>
        <v/>
      </c>
      <c r="J391" s="40"/>
      <c r="K391" s="36" t="str">
        <f aca="false">IF($D391="","",IFERROR(INDEX(INSUMOS!$H$6:$H$205,MATCH($D391,INSUMOS!$A$6:$A$205,0)),IVA_VENTAS))</f>
        <v/>
      </c>
      <c r="L391" s="35" t="str">
        <f aca="false">IF($D391="","",N($J391)*$K391)</f>
        <v/>
      </c>
      <c r="M391" s="35" t="str">
        <f aca="false">IF($D391="","",N($J391)+$L391)</f>
        <v/>
      </c>
      <c r="N391" s="43" t="str">
        <f aca="false">IF($D391="","",IFERROR(N($J391)/$I391,0))</f>
        <v/>
      </c>
      <c r="O391" s="6"/>
      <c r="P391" s="6"/>
      <c r="Q391" s="46" t="str">
        <f aca="false">IF($A391="","",DATE(YEAR($A391),MONTH($A391),1))</f>
        <v/>
      </c>
      <c r="R391" s="8" t="str">
        <f aca="false">IF(OR($A391="",$D391=""),"",IF(COUNTIFS($D$6:$D$1005,$D391,$A$6:$A$1005,"&gt;"&amp;$A391)=0,1,0))</f>
        <v/>
      </c>
    </row>
    <row r="392" customFormat="false" ht="15" hidden="false" customHeight="false" outlineLevel="0" collapsed="false">
      <c r="A392" s="44"/>
      <c r="B392" s="6"/>
      <c r="C392" s="6"/>
      <c r="D392" s="6"/>
      <c r="E392" s="8" t="str">
        <f aca="false">IF($D392="","",IFERROR(INDEX(INSUMOS!$B$6:$B$205,MATCH($D392,INSUMOS!$A$6:$A$205,0)),"¿Código?"))</f>
        <v/>
      </c>
      <c r="F392" s="8" t="str">
        <f aca="false">IF($D392="","",IFERROR(INDEX(INSUMOS!$E$6:$E$205,MATCH($D392,INSUMOS!$A$6:$A$205,0)),""))</f>
        <v/>
      </c>
      <c r="G392" s="39"/>
      <c r="H392" s="45" t="str">
        <f aca="false">IF($D392="","",IFERROR(INDEX(INSUMOS!$F$6:$F$205,MATCH($D392,INSUMOS!$A$6:$A$205,0)),0))</f>
        <v/>
      </c>
      <c r="I392" s="34" t="str">
        <f aca="false">IF($D392="","",N($G392)*$H392)</f>
        <v/>
      </c>
      <c r="J392" s="40"/>
      <c r="K392" s="36" t="str">
        <f aca="false">IF($D392="","",IFERROR(INDEX(INSUMOS!$H$6:$H$205,MATCH($D392,INSUMOS!$A$6:$A$205,0)),IVA_VENTAS))</f>
        <v/>
      </c>
      <c r="L392" s="35" t="str">
        <f aca="false">IF($D392="","",N($J392)*$K392)</f>
        <v/>
      </c>
      <c r="M392" s="35" t="str">
        <f aca="false">IF($D392="","",N($J392)+$L392)</f>
        <v/>
      </c>
      <c r="N392" s="43" t="str">
        <f aca="false">IF($D392="","",IFERROR(N($J392)/$I392,0))</f>
        <v/>
      </c>
      <c r="O392" s="6"/>
      <c r="P392" s="6"/>
      <c r="Q392" s="46" t="str">
        <f aca="false">IF($A392="","",DATE(YEAR($A392),MONTH($A392),1))</f>
        <v/>
      </c>
      <c r="R392" s="8" t="str">
        <f aca="false">IF(OR($A392="",$D392=""),"",IF(COUNTIFS($D$6:$D$1005,$D392,$A$6:$A$1005,"&gt;"&amp;$A392)=0,1,0))</f>
        <v/>
      </c>
    </row>
    <row r="393" customFormat="false" ht="15" hidden="false" customHeight="false" outlineLevel="0" collapsed="false">
      <c r="A393" s="44"/>
      <c r="B393" s="6"/>
      <c r="C393" s="6"/>
      <c r="D393" s="6"/>
      <c r="E393" s="8" t="str">
        <f aca="false">IF($D393="","",IFERROR(INDEX(INSUMOS!$B$6:$B$205,MATCH($D393,INSUMOS!$A$6:$A$205,0)),"¿Código?"))</f>
        <v/>
      </c>
      <c r="F393" s="8" t="str">
        <f aca="false">IF($D393="","",IFERROR(INDEX(INSUMOS!$E$6:$E$205,MATCH($D393,INSUMOS!$A$6:$A$205,0)),""))</f>
        <v/>
      </c>
      <c r="G393" s="39"/>
      <c r="H393" s="45" t="str">
        <f aca="false">IF($D393="","",IFERROR(INDEX(INSUMOS!$F$6:$F$205,MATCH($D393,INSUMOS!$A$6:$A$205,0)),0))</f>
        <v/>
      </c>
      <c r="I393" s="34" t="str">
        <f aca="false">IF($D393="","",N($G393)*$H393)</f>
        <v/>
      </c>
      <c r="J393" s="40"/>
      <c r="K393" s="36" t="str">
        <f aca="false">IF($D393="","",IFERROR(INDEX(INSUMOS!$H$6:$H$205,MATCH($D393,INSUMOS!$A$6:$A$205,0)),IVA_VENTAS))</f>
        <v/>
      </c>
      <c r="L393" s="35" t="str">
        <f aca="false">IF($D393="","",N($J393)*$K393)</f>
        <v/>
      </c>
      <c r="M393" s="35" t="str">
        <f aca="false">IF($D393="","",N($J393)+$L393)</f>
        <v/>
      </c>
      <c r="N393" s="43" t="str">
        <f aca="false">IF($D393="","",IFERROR(N($J393)/$I393,0))</f>
        <v/>
      </c>
      <c r="O393" s="6"/>
      <c r="P393" s="6"/>
      <c r="Q393" s="46" t="str">
        <f aca="false">IF($A393="","",DATE(YEAR($A393),MONTH($A393),1))</f>
        <v/>
      </c>
      <c r="R393" s="8" t="str">
        <f aca="false">IF(OR($A393="",$D393=""),"",IF(COUNTIFS($D$6:$D$1005,$D393,$A$6:$A$1005,"&gt;"&amp;$A393)=0,1,0))</f>
        <v/>
      </c>
    </row>
    <row r="394" customFormat="false" ht="15" hidden="false" customHeight="false" outlineLevel="0" collapsed="false">
      <c r="A394" s="44"/>
      <c r="B394" s="6"/>
      <c r="C394" s="6"/>
      <c r="D394" s="6"/>
      <c r="E394" s="8" t="str">
        <f aca="false">IF($D394="","",IFERROR(INDEX(INSUMOS!$B$6:$B$205,MATCH($D394,INSUMOS!$A$6:$A$205,0)),"¿Código?"))</f>
        <v/>
      </c>
      <c r="F394" s="8" t="str">
        <f aca="false">IF($D394="","",IFERROR(INDEX(INSUMOS!$E$6:$E$205,MATCH($D394,INSUMOS!$A$6:$A$205,0)),""))</f>
        <v/>
      </c>
      <c r="G394" s="39"/>
      <c r="H394" s="45" t="str">
        <f aca="false">IF($D394="","",IFERROR(INDEX(INSUMOS!$F$6:$F$205,MATCH($D394,INSUMOS!$A$6:$A$205,0)),0))</f>
        <v/>
      </c>
      <c r="I394" s="34" t="str">
        <f aca="false">IF($D394="","",N($G394)*$H394)</f>
        <v/>
      </c>
      <c r="J394" s="40"/>
      <c r="K394" s="36" t="str">
        <f aca="false">IF($D394="","",IFERROR(INDEX(INSUMOS!$H$6:$H$205,MATCH($D394,INSUMOS!$A$6:$A$205,0)),IVA_VENTAS))</f>
        <v/>
      </c>
      <c r="L394" s="35" t="str">
        <f aca="false">IF($D394="","",N($J394)*$K394)</f>
        <v/>
      </c>
      <c r="M394" s="35" t="str">
        <f aca="false">IF($D394="","",N($J394)+$L394)</f>
        <v/>
      </c>
      <c r="N394" s="43" t="str">
        <f aca="false">IF($D394="","",IFERROR(N($J394)/$I394,0))</f>
        <v/>
      </c>
      <c r="O394" s="6"/>
      <c r="P394" s="6"/>
      <c r="Q394" s="46" t="str">
        <f aca="false">IF($A394="","",DATE(YEAR($A394),MONTH($A394),1))</f>
        <v/>
      </c>
      <c r="R394" s="8" t="str">
        <f aca="false">IF(OR($A394="",$D394=""),"",IF(COUNTIFS($D$6:$D$1005,$D394,$A$6:$A$1005,"&gt;"&amp;$A394)=0,1,0))</f>
        <v/>
      </c>
    </row>
    <row r="395" customFormat="false" ht="15" hidden="false" customHeight="false" outlineLevel="0" collapsed="false">
      <c r="A395" s="44"/>
      <c r="B395" s="6"/>
      <c r="C395" s="6"/>
      <c r="D395" s="6"/>
      <c r="E395" s="8" t="str">
        <f aca="false">IF($D395="","",IFERROR(INDEX(INSUMOS!$B$6:$B$205,MATCH($D395,INSUMOS!$A$6:$A$205,0)),"¿Código?"))</f>
        <v/>
      </c>
      <c r="F395" s="8" t="str">
        <f aca="false">IF($D395="","",IFERROR(INDEX(INSUMOS!$E$6:$E$205,MATCH($D395,INSUMOS!$A$6:$A$205,0)),""))</f>
        <v/>
      </c>
      <c r="G395" s="39"/>
      <c r="H395" s="45" t="str">
        <f aca="false">IF($D395="","",IFERROR(INDEX(INSUMOS!$F$6:$F$205,MATCH($D395,INSUMOS!$A$6:$A$205,0)),0))</f>
        <v/>
      </c>
      <c r="I395" s="34" t="str">
        <f aca="false">IF($D395="","",N($G395)*$H395)</f>
        <v/>
      </c>
      <c r="J395" s="40"/>
      <c r="K395" s="36" t="str">
        <f aca="false">IF($D395="","",IFERROR(INDEX(INSUMOS!$H$6:$H$205,MATCH($D395,INSUMOS!$A$6:$A$205,0)),IVA_VENTAS))</f>
        <v/>
      </c>
      <c r="L395" s="35" t="str">
        <f aca="false">IF($D395="","",N($J395)*$K395)</f>
        <v/>
      </c>
      <c r="M395" s="35" t="str">
        <f aca="false">IF($D395="","",N($J395)+$L395)</f>
        <v/>
      </c>
      <c r="N395" s="43" t="str">
        <f aca="false">IF($D395="","",IFERROR(N($J395)/$I395,0))</f>
        <v/>
      </c>
      <c r="O395" s="6"/>
      <c r="P395" s="6"/>
      <c r="Q395" s="46" t="str">
        <f aca="false">IF($A395="","",DATE(YEAR($A395),MONTH($A395),1))</f>
        <v/>
      </c>
      <c r="R395" s="8" t="str">
        <f aca="false">IF(OR($A395="",$D395=""),"",IF(COUNTIFS($D$6:$D$1005,$D395,$A$6:$A$1005,"&gt;"&amp;$A395)=0,1,0))</f>
        <v/>
      </c>
    </row>
    <row r="396" customFormat="false" ht="15" hidden="false" customHeight="false" outlineLevel="0" collapsed="false">
      <c r="A396" s="44"/>
      <c r="B396" s="6"/>
      <c r="C396" s="6"/>
      <c r="D396" s="6"/>
      <c r="E396" s="8" t="str">
        <f aca="false">IF($D396="","",IFERROR(INDEX(INSUMOS!$B$6:$B$205,MATCH($D396,INSUMOS!$A$6:$A$205,0)),"¿Código?"))</f>
        <v/>
      </c>
      <c r="F396" s="8" t="str">
        <f aca="false">IF($D396="","",IFERROR(INDEX(INSUMOS!$E$6:$E$205,MATCH($D396,INSUMOS!$A$6:$A$205,0)),""))</f>
        <v/>
      </c>
      <c r="G396" s="39"/>
      <c r="H396" s="45" t="str">
        <f aca="false">IF($D396="","",IFERROR(INDEX(INSUMOS!$F$6:$F$205,MATCH($D396,INSUMOS!$A$6:$A$205,0)),0))</f>
        <v/>
      </c>
      <c r="I396" s="34" t="str">
        <f aca="false">IF($D396="","",N($G396)*$H396)</f>
        <v/>
      </c>
      <c r="J396" s="40"/>
      <c r="K396" s="36" t="str">
        <f aca="false">IF($D396="","",IFERROR(INDEX(INSUMOS!$H$6:$H$205,MATCH($D396,INSUMOS!$A$6:$A$205,0)),IVA_VENTAS))</f>
        <v/>
      </c>
      <c r="L396" s="35" t="str">
        <f aca="false">IF($D396="","",N($J396)*$K396)</f>
        <v/>
      </c>
      <c r="M396" s="35" t="str">
        <f aca="false">IF($D396="","",N($J396)+$L396)</f>
        <v/>
      </c>
      <c r="N396" s="43" t="str">
        <f aca="false">IF($D396="","",IFERROR(N($J396)/$I396,0))</f>
        <v/>
      </c>
      <c r="O396" s="6"/>
      <c r="P396" s="6"/>
      <c r="Q396" s="46" t="str">
        <f aca="false">IF($A396="","",DATE(YEAR($A396),MONTH($A396),1))</f>
        <v/>
      </c>
      <c r="R396" s="8" t="str">
        <f aca="false">IF(OR($A396="",$D396=""),"",IF(COUNTIFS($D$6:$D$1005,$D396,$A$6:$A$1005,"&gt;"&amp;$A396)=0,1,0))</f>
        <v/>
      </c>
    </row>
    <row r="397" customFormat="false" ht="15" hidden="false" customHeight="false" outlineLevel="0" collapsed="false">
      <c r="A397" s="44"/>
      <c r="B397" s="6"/>
      <c r="C397" s="6"/>
      <c r="D397" s="6"/>
      <c r="E397" s="8" t="str">
        <f aca="false">IF($D397="","",IFERROR(INDEX(INSUMOS!$B$6:$B$205,MATCH($D397,INSUMOS!$A$6:$A$205,0)),"¿Código?"))</f>
        <v/>
      </c>
      <c r="F397" s="8" t="str">
        <f aca="false">IF($D397="","",IFERROR(INDEX(INSUMOS!$E$6:$E$205,MATCH($D397,INSUMOS!$A$6:$A$205,0)),""))</f>
        <v/>
      </c>
      <c r="G397" s="39"/>
      <c r="H397" s="45" t="str">
        <f aca="false">IF($D397="","",IFERROR(INDEX(INSUMOS!$F$6:$F$205,MATCH($D397,INSUMOS!$A$6:$A$205,0)),0))</f>
        <v/>
      </c>
      <c r="I397" s="34" t="str">
        <f aca="false">IF($D397="","",N($G397)*$H397)</f>
        <v/>
      </c>
      <c r="J397" s="40"/>
      <c r="K397" s="36" t="str">
        <f aca="false">IF($D397="","",IFERROR(INDEX(INSUMOS!$H$6:$H$205,MATCH($D397,INSUMOS!$A$6:$A$205,0)),IVA_VENTAS))</f>
        <v/>
      </c>
      <c r="L397" s="35" t="str">
        <f aca="false">IF($D397="","",N($J397)*$K397)</f>
        <v/>
      </c>
      <c r="M397" s="35" t="str">
        <f aca="false">IF($D397="","",N($J397)+$L397)</f>
        <v/>
      </c>
      <c r="N397" s="43" t="str">
        <f aca="false">IF($D397="","",IFERROR(N($J397)/$I397,0))</f>
        <v/>
      </c>
      <c r="O397" s="6"/>
      <c r="P397" s="6"/>
      <c r="Q397" s="46" t="str">
        <f aca="false">IF($A397="","",DATE(YEAR($A397),MONTH($A397),1))</f>
        <v/>
      </c>
      <c r="R397" s="8" t="str">
        <f aca="false">IF(OR($A397="",$D397=""),"",IF(COUNTIFS($D$6:$D$1005,$D397,$A$6:$A$1005,"&gt;"&amp;$A397)=0,1,0))</f>
        <v/>
      </c>
    </row>
    <row r="398" customFormat="false" ht="15" hidden="false" customHeight="false" outlineLevel="0" collapsed="false">
      <c r="A398" s="44"/>
      <c r="B398" s="6"/>
      <c r="C398" s="6"/>
      <c r="D398" s="6"/>
      <c r="E398" s="8" t="str">
        <f aca="false">IF($D398="","",IFERROR(INDEX(INSUMOS!$B$6:$B$205,MATCH($D398,INSUMOS!$A$6:$A$205,0)),"¿Código?"))</f>
        <v/>
      </c>
      <c r="F398" s="8" t="str">
        <f aca="false">IF($D398="","",IFERROR(INDEX(INSUMOS!$E$6:$E$205,MATCH($D398,INSUMOS!$A$6:$A$205,0)),""))</f>
        <v/>
      </c>
      <c r="G398" s="39"/>
      <c r="H398" s="45" t="str">
        <f aca="false">IF($D398="","",IFERROR(INDEX(INSUMOS!$F$6:$F$205,MATCH($D398,INSUMOS!$A$6:$A$205,0)),0))</f>
        <v/>
      </c>
      <c r="I398" s="34" t="str">
        <f aca="false">IF($D398="","",N($G398)*$H398)</f>
        <v/>
      </c>
      <c r="J398" s="40"/>
      <c r="K398" s="36" t="str">
        <f aca="false">IF($D398="","",IFERROR(INDEX(INSUMOS!$H$6:$H$205,MATCH($D398,INSUMOS!$A$6:$A$205,0)),IVA_VENTAS))</f>
        <v/>
      </c>
      <c r="L398" s="35" t="str">
        <f aca="false">IF($D398="","",N($J398)*$K398)</f>
        <v/>
      </c>
      <c r="M398" s="35" t="str">
        <f aca="false">IF($D398="","",N($J398)+$L398)</f>
        <v/>
      </c>
      <c r="N398" s="43" t="str">
        <f aca="false">IF($D398="","",IFERROR(N($J398)/$I398,0))</f>
        <v/>
      </c>
      <c r="O398" s="6"/>
      <c r="P398" s="6"/>
      <c r="Q398" s="46" t="str">
        <f aca="false">IF($A398="","",DATE(YEAR($A398),MONTH($A398),1))</f>
        <v/>
      </c>
      <c r="R398" s="8" t="str">
        <f aca="false">IF(OR($A398="",$D398=""),"",IF(COUNTIFS($D$6:$D$1005,$D398,$A$6:$A$1005,"&gt;"&amp;$A398)=0,1,0))</f>
        <v/>
      </c>
    </row>
    <row r="399" customFormat="false" ht="15" hidden="false" customHeight="false" outlineLevel="0" collapsed="false">
      <c r="A399" s="44"/>
      <c r="B399" s="6"/>
      <c r="C399" s="6"/>
      <c r="D399" s="6"/>
      <c r="E399" s="8" t="str">
        <f aca="false">IF($D399="","",IFERROR(INDEX(INSUMOS!$B$6:$B$205,MATCH($D399,INSUMOS!$A$6:$A$205,0)),"¿Código?"))</f>
        <v/>
      </c>
      <c r="F399" s="8" t="str">
        <f aca="false">IF($D399="","",IFERROR(INDEX(INSUMOS!$E$6:$E$205,MATCH($D399,INSUMOS!$A$6:$A$205,0)),""))</f>
        <v/>
      </c>
      <c r="G399" s="39"/>
      <c r="H399" s="45" t="str">
        <f aca="false">IF($D399="","",IFERROR(INDEX(INSUMOS!$F$6:$F$205,MATCH($D399,INSUMOS!$A$6:$A$205,0)),0))</f>
        <v/>
      </c>
      <c r="I399" s="34" t="str">
        <f aca="false">IF($D399="","",N($G399)*$H399)</f>
        <v/>
      </c>
      <c r="J399" s="40"/>
      <c r="K399" s="36" t="str">
        <f aca="false">IF($D399="","",IFERROR(INDEX(INSUMOS!$H$6:$H$205,MATCH($D399,INSUMOS!$A$6:$A$205,0)),IVA_VENTAS))</f>
        <v/>
      </c>
      <c r="L399" s="35" t="str">
        <f aca="false">IF($D399="","",N($J399)*$K399)</f>
        <v/>
      </c>
      <c r="M399" s="35" t="str">
        <f aca="false">IF($D399="","",N($J399)+$L399)</f>
        <v/>
      </c>
      <c r="N399" s="43" t="str">
        <f aca="false">IF($D399="","",IFERROR(N($J399)/$I399,0))</f>
        <v/>
      </c>
      <c r="O399" s="6"/>
      <c r="P399" s="6"/>
      <c r="Q399" s="46" t="str">
        <f aca="false">IF($A399="","",DATE(YEAR($A399),MONTH($A399),1))</f>
        <v/>
      </c>
      <c r="R399" s="8" t="str">
        <f aca="false">IF(OR($A399="",$D399=""),"",IF(COUNTIFS($D$6:$D$1005,$D399,$A$6:$A$1005,"&gt;"&amp;$A399)=0,1,0))</f>
        <v/>
      </c>
    </row>
    <row r="400" customFormat="false" ht="15" hidden="false" customHeight="false" outlineLevel="0" collapsed="false">
      <c r="A400" s="44"/>
      <c r="B400" s="6"/>
      <c r="C400" s="6"/>
      <c r="D400" s="6"/>
      <c r="E400" s="8" t="str">
        <f aca="false">IF($D400="","",IFERROR(INDEX(INSUMOS!$B$6:$B$205,MATCH($D400,INSUMOS!$A$6:$A$205,0)),"¿Código?"))</f>
        <v/>
      </c>
      <c r="F400" s="8" t="str">
        <f aca="false">IF($D400="","",IFERROR(INDEX(INSUMOS!$E$6:$E$205,MATCH($D400,INSUMOS!$A$6:$A$205,0)),""))</f>
        <v/>
      </c>
      <c r="G400" s="39"/>
      <c r="H400" s="45" t="str">
        <f aca="false">IF($D400="","",IFERROR(INDEX(INSUMOS!$F$6:$F$205,MATCH($D400,INSUMOS!$A$6:$A$205,0)),0))</f>
        <v/>
      </c>
      <c r="I400" s="34" t="str">
        <f aca="false">IF($D400="","",N($G400)*$H400)</f>
        <v/>
      </c>
      <c r="J400" s="40"/>
      <c r="K400" s="36" t="str">
        <f aca="false">IF($D400="","",IFERROR(INDEX(INSUMOS!$H$6:$H$205,MATCH($D400,INSUMOS!$A$6:$A$205,0)),IVA_VENTAS))</f>
        <v/>
      </c>
      <c r="L400" s="35" t="str">
        <f aca="false">IF($D400="","",N($J400)*$K400)</f>
        <v/>
      </c>
      <c r="M400" s="35" t="str">
        <f aca="false">IF($D400="","",N($J400)+$L400)</f>
        <v/>
      </c>
      <c r="N400" s="43" t="str">
        <f aca="false">IF($D400="","",IFERROR(N($J400)/$I400,0))</f>
        <v/>
      </c>
      <c r="O400" s="6"/>
      <c r="P400" s="6"/>
      <c r="Q400" s="46" t="str">
        <f aca="false">IF($A400="","",DATE(YEAR($A400),MONTH($A400),1))</f>
        <v/>
      </c>
      <c r="R400" s="8" t="str">
        <f aca="false">IF(OR($A400="",$D400=""),"",IF(COUNTIFS($D$6:$D$1005,$D400,$A$6:$A$1005,"&gt;"&amp;$A400)=0,1,0))</f>
        <v/>
      </c>
    </row>
    <row r="401" customFormat="false" ht="15" hidden="false" customHeight="false" outlineLevel="0" collapsed="false">
      <c r="A401" s="44"/>
      <c r="B401" s="6"/>
      <c r="C401" s="6"/>
      <c r="D401" s="6"/>
      <c r="E401" s="8" t="str">
        <f aca="false">IF($D401="","",IFERROR(INDEX(INSUMOS!$B$6:$B$205,MATCH($D401,INSUMOS!$A$6:$A$205,0)),"¿Código?"))</f>
        <v/>
      </c>
      <c r="F401" s="8" t="str">
        <f aca="false">IF($D401="","",IFERROR(INDEX(INSUMOS!$E$6:$E$205,MATCH($D401,INSUMOS!$A$6:$A$205,0)),""))</f>
        <v/>
      </c>
      <c r="G401" s="39"/>
      <c r="H401" s="45" t="str">
        <f aca="false">IF($D401="","",IFERROR(INDEX(INSUMOS!$F$6:$F$205,MATCH($D401,INSUMOS!$A$6:$A$205,0)),0))</f>
        <v/>
      </c>
      <c r="I401" s="34" t="str">
        <f aca="false">IF($D401="","",N($G401)*$H401)</f>
        <v/>
      </c>
      <c r="J401" s="40"/>
      <c r="K401" s="36" t="str">
        <f aca="false">IF($D401="","",IFERROR(INDEX(INSUMOS!$H$6:$H$205,MATCH($D401,INSUMOS!$A$6:$A$205,0)),IVA_VENTAS))</f>
        <v/>
      </c>
      <c r="L401" s="35" t="str">
        <f aca="false">IF($D401="","",N($J401)*$K401)</f>
        <v/>
      </c>
      <c r="M401" s="35" t="str">
        <f aca="false">IF($D401="","",N($J401)+$L401)</f>
        <v/>
      </c>
      <c r="N401" s="43" t="str">
        <f aca="false">IF($D401="","",IFERROR(N($J401)/$I401,0))</f>
        <v/>
      </c>
      <c r="O401" s="6"/>
      <c r="P401" s="6"/>
      <c r="Q401" s="46" t="str">
        <f aca="false">IF($A401="","",DATE(YEAR($A401),MONTH($A401),1))</f>
        <v/>
      </c>
      <c r="R401" s="8" t="str">
        <f aca="false">IF(OR($A401="",$D401=""),"",IF(COUNTIFS($D$6:$D$1005,$D401,$A$6:$A$1005,"&gt;"&amp;$A401)=0,1,0))</f>
        <v/>
      </c>
    </row>
    <row r="402" customFormat="false" ht="15" hidden="false" customHeight="false" outlineLevel="0" collapsed="false">
      <c r="A402" s="44"/>
      <c r="B402" s="6"/>
      <c r="C402" s="6"/>
      <c r="D402" s="6"/>
      <c r="E402" s="8" t="str">
        <f aca="false">IF($D402="","",IFERROR(INDEX(INSUMOS!$B$6:$B$205,MATCH($D402,INSUMOS!$A$6:$A$205,0)),"¿Código?"))</f>
        <v/>
      </c>
      <c r="F402" s="8" t="str">
        <f aca="false">IF($D402="","",IFERROR(INDEX(INSUMOS!$E$6:$E$205,MATCH($D402,INSUMOS!$A$6:$A$205,0)),""))</f>
        <v/>
      </c>
      <c r="G402" s="39"/>
      <c r="H402" s="45" t="str">
        <f aca="false">IF($D402="","",IFERROR(INDEX(INSUMOS!$F$6:$F$205,MATCH($D402,INSUMOS!$A$6:$A$205,0)),0))</f>
        <v/>
      </c>
      <c r="I402" s="34" t="str">
        <f aca="false">IF($D402="","",N($G402)*$H402)</f>
        <v/>
      </c>
      <c r="J402" s="40"/>
      <c r="K402" s="36" t="str">
        <f aca="false">IF($D402="","",IFERROR(INDEX(INSUMOS!$H$6:$H$205,MATCH($D402,INSUMOS!$A$6:$A$205,0)),IVA_VENTAS))</f>
        <v/>
      </c>
      <c r="L402" s="35" t="str">
        <f aca="false">IF($D402="","",N($J402)*$K402)</f>
        <v/>
      </c>
      <c r="M402" s="35" t="str">
        <f aca="false">IF($D402="","",N($J402)+$L402)</f>
        <v/>
      </c>
      <c r="N402" s="43" t="str">
        <f aca="false">IF($D402="","",IFERROR(N($J402)/$I402,0))</f>
        <v/>
      </c>
      <c r="O402" s="6"/>
      <c r="P402" s="6"/>
      <c r="Q402" s="46" t="str">
        <f aca="false">IF($A402="","",DATE(YEAR($A402),MONTH($A402),1))</f>
        <v/>
      </c>
      <c r="R402" s="8" t="str">
        <f aca="false">IF(OR($A402="",$D402=""),"",IF(COUNTIFS($D$6:$D$1005,$D402,$A$6:$A$1005,"&gt;"&amp;$A402)=0,1,0))</f>
        <v/>
      </c>
    </row>
    <row r="403" customFormat="false" ht="15" hidden="false" customHeight="false" outlineLevel="0" collapsed="false">
      <c r="A403" s="44"/>
      <c r="B403" s="6"/>
      <c r="C403" s="6"/>
      <c r="D403" s="6"/>
      <c r="E403" s="8" t="str">
        <f aca="false">IF($D403="","",IFERROR(INDEX(INSUMOS!$B$6:$B$205,MATCH($D403,INSUMOS!$A$6:$A$205,0)),"¿Código?"))</f>
        <v/>
      </c>
      <c r="F403" s="8" t="str">
        <f aca="false">IF($D403="","",IFERROR(INDEX(INSUMOS!$E$6:$E$205,MATCH($D403,INSUMOS!$A$6:$A$205,0)),""))</f>
        <v/>
      </c>
      <c r="G403" s="39"/>
      <c r="H403" s="45" t="str">
        <f aca="false">IF($D403="","",IFERROR(INDEX(INSUMOS!$F$6:$F$205,MATCH($D403,INSUMOS!$A$6:$A$205,0)),0))</f>
        <v/>
      </c>
      <c r="I403" s="34" t="str">
        <f aca="false">IF($D403="","",N($G403)*$H403)</f>
        <v/>
      </c>
      <c r="J403" s="40"/>
      <c r="K403" s="36" t="str">
        <f aca="false">IF($D403="","",IFERROR(INDEX(INSUMOS!$H$6:$H$205,MATCH($D403,INSUMOS!$A$6:$A$205,0)),IVA_VENTAS))</f>
        <v/>
      </c>
      <c r="L403" s="35" t="str">
        <f aca="false">IF($D403="","",N($J403)*$K403)</f>
        <v/>
      </c>
      <c r="M403" s="35" t="str">
        <f aca="false">IF($D403="","",N($J403)+$L403)</f>
        <v/>
      </c>
      <c r="N403" s="43" t="str">
        <f aca="false">IF($D403="","",IFERROR(N($J403)/$I403,0))</f>
        <v/>
      </c>
      <c r="O403" s="6"/>
      <c r="P403" s="6"/>
      <c r="Q403" s="46" t="str">
        <f aca="false">IF($A403="","",DATE(YEAR($A403),MONTH($A403),1))</f>
        <v/>
      </c>
      <c r="R403" s="8" t="str">
        <f aca="false">IF(OR($A403="",$D403=""),"",IF(COUNTIFS($D$6:$D$1005,$D403,$A$6:$A$1005,"&gt;"&amp;$A403)=0,1,0))</f>
        <v/>
      </c>
    </row>
    <row r="404" customFormat="false" ht="15" hidden="false" customHeight="false" outlineLevel="0" collapsed="false">
      <c r="A404" s="44"/>
      <c r="B404" s="6"/>
      <c r="C404" s="6"/>
      <c r="D404" s="6"/>
      <c r="E404" s="8" t="str">
        <f aca="false">IF($D404="","",IFERROR(INDEX(INSUMOS!$B$6:$B$205,MATCH($D404,INSUMOS!$A$6:$A$205,0)),"¿Código?"))</f>
        <v/>
      </c>
      <c r="F404" s="8" t="str">
        <f aca="false">IF($D404="","",IFERROR(INDEX(INSUMOS!$E$6:$E$205,MATCH($D404,INSUMOS!$A$6:$A$205,0)),""))</f>
        <v/>
      </c>
      <c r="G404" s="39"/>
      <c r="H404" s="45" t="str">
        <f aca="false">IF($D404="","",IFERROR(INDEX(INSUMOS!$F$6:$F$205,MATCH($D404,INSUMOS!$A$6:$A$205,0)),0))</f>
        <v/>
      </c>
      <c r="I404" s="34" t="str">
        <f aca="false">IF($D404="","",N($G404)*$H404)</f>
        <v/>
      </c>
      <c r="J404" s="40"/>
      <c r="K404" s="36" t="str">
        <f aca="false">IF($D404="","",IFERROR(INDEX(INSUMOS!$H$6:$H$205,MATCH($D404,INSUMOS!$A$6:$A$205,0)),IVA_VENTAS))</f>
        <v/>
      </c>
      <c r="L404" s="35" t="str">
        <f aca="false">IF($D404="","",N($J404)*$K404)</f>
        <v/>
      </c>
      <c r="M404" s="35" t="str">
        <f aca="false">IF($D404="","",N($J404)+$L404)</f>
        <v/>
      </c>
      <c r="N404" s="43" t="str">
        <f aca="false">IF($D404="","",IFERROR(N($J404)/$I404,0))</f>
        <v/>
      </c>
      <c r="O404" s="6"/>
      <c r="P404" s="6"/>
      <c r="Q404" s="46" t="str">
        <f aca="false">IF($A404="","",DATE(YEAR($A404),MONTH($A404),1))</f>
        <v/>
      </c>
      <c r="R404" s="8" t="str">
        <f aca="false">IF(OR($A404="",$D404=""),"",IF(COUNTIFS($D$6:$D$1005,$D404,$A$6:$A$1005,"&gt;"&amp;$A404)=0,1,0))</f>
        <v/>
      </c>
    </row>
    <row r="405" customFormat="false" ht="15" hidden="false" customHeight="false" outlineLevel="0" collapsed="false">
      <c r="A405" s="44"/>
      <c r="B405" s="6"/>
      <c r="C405" s="6"/>
      <c r="D405" s="6"/>
      <c r="E405" s="8" t="str">
        <f aca="false">IF($D405="","",IFERROR(INDEX(INSUMOS!$B$6:$B$205,MATCH($D405,INSUMOS!$A$6:$A$205,0)),"¿Código?"))</f>
        <v/>
      </c>
      <c r="F405" s="8" t="str">
        <f aca="false">IF($D405="","",IFERROR(INDEX(INSUMOS!$E$6:$E$205,MATCH($D405,INSUMOS!$A$6:$A$205,0)),""))</f>
        <v/>
      </c>
      <c r="G405" s="39"/>
      <c r="H405" s="45" t="str">
        <f aca="false">IF($D405="","",IFERROR(INDEX(INSUMOS!$F$6:$F$205,MATCH($D405,INSUMOS!$A$6:$A$205,0)),0))</f>
        <v/>
      </c>
      <c r="I405" s="34" t="str">
        <f aca="false">IF($D405="","",N($G405)*$H405)</f>
        <v/>
      </c>
      <c r="J405" s="40"/>
      <c r="K405" s="36" t="str">
        <f aca="false">IF($D405="","",IFERROR(INDEX(INSUMOS!$H$6:$H$205,MATCH($D405,INSUMOS!$A$6:$A$205,0)),IVA_VENTAS))</f>
        <v/>
      </c>
      <c r="L405" s="35" t="str">
        <f aca="false">IF($D405="","",N($J405)*$K405)</f>
        <v/>
      </c>
      <c r="M405" s="35" t="str">
        <f aca="false">IF($D405="","",N($J405)+$L405)</f>
        <v/>
      </c>
      <c r="N405" s="43" t="str">
        <f aca="false">IF($D405="","",IFERROR(N($J405)/$I405,0))</f>
        <v/>
      </c>
      <c r="O405" s="6"/>
      <c r="P405" s="6"/>
      <c r="Q405" s="46" t="str">
        <f aca="false">IF($A405="","",DATE(YEAR($A405),MONTH($A405),1))</f>
        <v/>
      </c>
      <c r="R405" s="8" t="str">
        <f aca="false">IF(OR($A405="",$D405=""),"",IF(COUNTIFS($D$6:$D$1005,$D405,$A$6:$A$1005,"&gt;"&amp;$A405)=0,1,0))</f>
        <v/>
      </c>
    </row>
    <row r="406" customFormat="false" ht="15" hidden="false" customHeight="false" outlineLevel="0" collapsed="false">
      <c r="A406" s="44"/>
      <c r="B406" s="6"/>
      <c r="C406" s="6"/>
      <c r="D406" s="6"/>
      <c r="E406" s="8" t="str">
        <f aca="false">IF($D406="","",IFERROR(INDEX(INSUMOS!$B$6:$B$205,MATCH($D406,INSUMOS!$A$6:$A$205,0)),"¿Código?"))</f>
        <v/>
      </c>
      <c r="F406" s="8" t="str">
        <f aca="false">IF($D406="","",IFERROR(INDEX(INSUMOS!$E$6:$E$205,MATCH($D406,INSUMOS!$A$6:$A$205,0)),""))</f>
        <v/>
      </c>
      <c r="G406" s="39"/>
      <c r="H406" s="45" t="str">
        <f aca="false">IF($D406="","",IFERROR(INDEX(INSUMOS!$F$6:$F$205,MATCH($D406,INSUMOS!$A$6:$A$205,0)),0))</f>
        <v/>
      </c>
      <c r="I406" s="34" t="str">
        <f aca="false">IF($D406="","",N($G406)*$H406)</f>
        <v/>
      </c>
      <c r="J406" s="40"/>
      <c r="K406" s="36" t="str">
        <f aca="false">IF($D406="","",IFERROR(INDEX(INSUMOS!$H$6:$H$205,MATCH($D406,INSUMOS!$A$6:$A$205,0)),IVA_VENTAS))</f>
        <v/>
      </c>
      <c r="L406" s="35" t="str">
        <f aca="false">IF($D406="","",N($J406)*$K406)</f>
        <v/>
      </c>
      <c r="M406" s="35" t="str">
        <f aca="false">IF($D406="","",N($J406)+$L406)</f>
        <v/>
      </c>
      <c r="N406" s="43" t="str">
        <f aca="false">IF($D406="","",IFERROR(N($J406)/$I406,0))</f>
        <v/>
      </c>
      <c r="O406" s="6"/>
      <c r="P406" s="6"/>
      <c r="Q406" s="46" t="str">
        <f aca="false">IF($A406="","",DATE(YEAR($A406),MONTH($A406),1))</f>
        <v/>
      </c>
      <c r="R406" s="8" t="str">
        <f aca="false">IF(OR($A406="",$D406=""),"",IF(COUNTIFS($D$6:$D$1005,$D406,$A$6:$A$1005,"&gt;"&amp;$A406)=0,1,0))</f>
        <v/>
      </c>
    </row>
    <row r="407" customFormat="false" ht="15" hidden="false" customHeight="false" outlineLevel="0" collapsed="false">
      <c r="A407" s="44"/>
      <c r="B407" s="6"/>
      <c r="C407" s="6"/>
      <c r="D407" s="6"/>
      <c r="E407" s="8" t="str">
        <f aca="false">IF($D407="","",IFERROR(INDEX(INSUMOS!$B$6:$B$205,MATCH($D407,INSUMOS!$A$6:$A$205,0)),"¿Código?"))</f>
        <v/>
      </c>
      <c r="F407" s="8" t="str">
        <f aca="false">IF($D407="","",IFERROR(INDEX(INSUMOS!$E$6:$E$205,MATCH($D407,INSUMOS!$A$6:$A$205,0)),""))</f>
        <v/>
      </c>
      <c r="G407" s="39"/>
      <c r="H407" s="45" t="str">
        <f aca="false">IF($D407="","",IFERROR(INDEX(INSUMOS!$F$6:$F$205,MATCH($D407,INSUMOS!$A$6:$A$205,0)),0))</f>
        <v/>
      </c>
      <c r="I407" s="34" t="str">
        <f aca="false">IF($D407="","",N($G407)*$H407)</f>
        <v/>
      </c>
      <c r="J407" s="40"/>
      <c r="K407" s="36" t="str">
        <f aca="false">IF($D407="","",IFERROR(INDEX(INSUMOS!$H$6:$H$205,MATCH($D407,INSUMOS!$A$6:$A$205,0)),IVA_VENTAS))</f>
        <v/>
      </c>
      <c r="L407" s="35" t="str">
        <f aca="false">IF($D407="","",N($J407)*$K407)</f>
        <v/>
      </c>
      <c r="M407" s="35" t="str">
        <f aca="false">IF($D407="","",N($J407)+$L407)</f>
        <v/>
      </c>
      <c r="N407" s="43" t="str">
        <f aca="false">IF($D407="","",IFERROR(N($J407)/$I407,0))</f>
        <v/>
      </c>
      <c r="O407" s="6"/>
      <c r="P407" s="6"/>
      <c r="Q407" s="46" t="str">
        <f aca="false">IF($A407="","",DATE(YEAR($A407),MONTH($A407),1))</f>
        <v/>
      </c>
      <c r="R407" s="8" t="str">
        <f aca="false">IF(OR($A407="",$D407=""),"",IF(COUNTIFS($D$6:$D$1005,$D407,$A$6:$A$1005,"&gt;"&amp;$A407)=0,1,0))</f>
        <v/>
      </c>
    </row>
    <row r="408" customFormat="false" ht="15" hidden="false" customHeight="false" outlineLevel="0" collapsed="false">
      <c r="A408" s="44"/>
      <c r="B408" s="6"/>
      <c r="C408" s="6"/>
      <c r="D408" s="6"/>
      <c r="E408" s="8" t="str">
        <f aca="false">IF($D408="","",IFERROR(INDEX(INSUMOS!$B$6:$B$205,MATCH($D408,INSUMOS!$A$6:$A$205,0)),"¿Código?"))</f>
        <v/>
      </c>
      <c r="F408" s="8" t="str">
        <f aca="false">IF($D408="","",IFERROR(INDEX(INSUMOS!$E$6:$E$205,MATCH($D408,INSUMOS!$A$6:$A$205,0)),""))</f>
        <v/>
      </c>
      <c r="G408" s="39"/>
      <c r="H408" s="45" t="str">
        <f aca="false">IF($D408="","",IFERROR(INDEX(INSUMOS!$F$6:$F$205,MATCH($D408,INSUMOS!$A$6:$A$205,0)),0))</f>
        <v/>
      </c>
      <c r="I408" s="34" t="str">
        <f aca="false">IF($D408="","",N($G408)*$H408)</f>
        <v/>
      </c>
      <c r="J408" s="40"/>
      <c r="K408" s="36" t="str">
        <f aca="false">IF($D408="","",IFERROR(INDEX(INSUMOS!$H$6:$H$205,MATCH($D408,INSUMOS!$A$6:$A$205,0)),IVA_VENTAS))</f>
        <v/>
      </c>
      <c r="L408" s="35" t="str">
        <f aca="false">IF($D408="","",N($J408)*$K408)</f>
        <v/>
      </c>
      <c r="M408" s="35" t="str">
        <f aca="false">IF($D408="","",N($J408)+$L408)</f>
        <v/>
      </c>
      <c r="N408" s="43" t="str">
        <f aca="false">IF($D408="","",IFERROR(N($J408)/$I408,0))</f>
        <v/>
      </c>
      <c r="O408" s="6"/>
      <c r="P408" s="6"/>
      <c r="Q408" s="46" t="str">
        <f aca="false">IF($A408="","",DATE(YEAR($A408),MONTH($A408),1))</f>
        <v/>
      </c>
      <c r="R408" s="8" t="str">
        <f aca="false">IF(OR($A408="",$D408=""),"",IF(COUNTIFS($D$6:$D$1005,$D408,$A$6:$A$1005,"&gt;"&amp;$A408)=0,1,0))</f>
        <v/>
      </c>
    </row>
    <row r="409" customFormat="false" ht="15" hidden="false" customHeight="false" outlineLevel="0" collapsed="false">
      <c r="A409" s="44"/>
      <c r="B409" s="6"/>
      <c r="C409" s="6"/>
      <c r="D409" s="6"/>
      <c r="E409" s="8" t="str">
        <f aca="false">IF($D409="","",IFERROR(INDEX(INSUMOS!$B$6:$B$205,MATCH($D409,INSUMOS!$A$6:$A$205,0)),"¿Código?"))</f>
        <v/>
      </c>
      <c r="F409" s="8" t="str">
        <f aca="false">IF($D409="","",IFERROR(INDEX(INSUMOS!$E$6:$E$205,MATCH($D409,INSUMOS!$A$6:$A$205,0)),""))</f>
        <v/>
      </c>
      <c r="G409" s="39"/>
      <c r="H409" s="45" t="str">
        <f aca="false">IF($D409="","",IFERROR(INDEX(INSUMOS!$F$6:$F$205,MATCH($D409,INSUMOS!$A$6:$A$205,0)),0))</f>
        <v/>
      </c>
      <c r="I409" s="34" t="str">
        <f aca="false">IF($D409="","",N($G409)*$H409)</f>
        <v/>
      </c>
      <c r="J409" s="40"/>
      <c r="K409" s="36" t="str">
        <f aca="false">IF($D409="","",IFERROR(INDEX(INSUMOS!$H$6:$H$205,MATCH($D409,INSUMOS!$A$6:$A$205,0)),IVA_VENTAS))</f>
        <v/>
      </c>
      <c r="L409" s="35" t="str">
        <f aca="false">IF($D409="","",N($J409)*$K409)</f>
        <v/>
      </c>
      <c r="M409" s="35" t="str">
        <f aca="false">IF($D409="","",N($J409)+$L409)</f>
        <v/>
      </c>
      <c r="N409" s="43" t="str">
        <f aca="false">IF($D409="","",IFERROR(N($J409)/$I409,0))</f>
        <v/>
      </c>
      <c r="O409" s="6"/>
      <c r="P409" s="6"/>
      <c r="Q409" s="46" t="str">
        <f aca="false">IF($A409="","",DATE(YEAR($A409),MONTH($A409),1))</f>
        <v/>
      </c>
      <c r="R409" s="8" t="str">
        <f aca="false">IF(OR($A409="",$D409=""),"",IF(COUNTIFS($D$6:$D$1005,$D409,$A$6:$A$1005,"&gt;"&amp;$A409)=0,1,0))</f>
        <v/>
      </c>
    </row>
    <row r="410" customFormat="false" ht="15" hidden="false" customHeight="false" outlineLevel="0" collapsed="false">
      <c r="A410" s="44"/>
      <c r="B410" s="6"/>
      <c r="C410" s="6"/>
      <c r="D410" s="6"/>
      <c r="E410" s="8" t="str">
        <f aca="false">IF($D410="","",IFERROR(INDEX(INSUMOS!$B$6:$B$205,MATCH($D410,INSUMOS!$A$6:$A$205,0)),"¿Código?"))</f>
        <v/>
      </c>
      <c r="F410" s="8" t="str">
        <f aca="false">IF($D410="","",IFERROR(INDEX(INSUMOS!$E$6:$E$205,MATCH($D410,INSUMOS!$A$6:$A$205,0)),""))</f>
        <v/>
      </c>
      <c r="G410" s="39"/>
      <c r="H410" s="45" t="str">
        <f aca="false">IF($D410="","",IFERROR(INDEX(INSUMOS!$F$6:$F$205,MATCH($D410,INSUMOS!$A$6:$A$205,0)),0))</f>
        <v/>
      </c>
      <c r="I410" s="34" t="str">
        <f aca="false">IF($D410="","",N($G410)*$H410)</f>
        <v/>
      </c>
      <c r="J410" s="40"/>
      <c r="K410" s="36" t="str">
        <f aca="false">IF($D410="","",IFERROR(INDEX(INSUMOS!$H$6:$H$205,MATCH($D410,INSUMOS!$A$6:$A$205,0)),IVA_VENTAS))</f>
        <v/>
      </c>
      <c r="L410" s="35" t="str">
        <f aca="false">IF($D410="","",N($J410)*$K410)</f>
        <v/>
      </c>
      <c r="M410" s="35" t="str">
        <f aca="false">IF($D410="","",N($J410)+$L410)</f>
        <v/>
      </c>
      <c r="N410" s="43" t="str">
        <f aca="false">IF($D410="","",IFERROR(N($J410)/$I410,0))</f>
        <v/>
      </c>
      <c r="O410" s="6"/>
      <c r="P410" s="6"/>
      <c r="Q410" s="46" t="str">
        <f aca="false">IF($A410="","",DATE(YEAR($A410),MONTH($A410),1))</f>
        <v/>
      </c>
      <c r="R410" s="8" t="str">
        <f aca="false">IF(OR($A410="",$D410=""),"",IF(COUNTIFS($D$6:$D$1005,$D410,$A$6:$A$1005,"&gt;"&amp;$A410)=0,1,0))</f>
        <v/>
      </c>
    </row>
    <row r="411" customFormat="false" ht="15" hidden="false" customHeight="false" outlineLevel="0" collapsed="false">
      <c r="A411" s="44"/>
      <c r="B411" s="6"/>
      <c r="C411" s="6"/>
      <c r="D411" s="6"/>
      <c r="E411" s="8" t="str">
        <f aca="false">IF($D411="","",IFERROR(INDEX(INSUMOS!$B$6:$B$205,MATCH($D411,INSUMOS!$A$6:$A$205,0)),"¿Código?"))</f>
        <v/>
      </c>
      <c r="F411" s="8" t="str">
        <f aca="false">IF($D411="","",IFERROR(INDEX(INSUMOS!$E$6:$E$205,MATCH($D411,INSUMOS!$A$6:$A$205,0)),""))</f>
        <v/>
      </c>
      <c r="G411" s="39"/>
      <c r="H411" s="45" t="str">
        <f aca="false">IF($D411="","",IFERROR(INDEX(INSUMOS!$F$6:$F$205,MATCH($D411,INSUMOS!$A$6:$A$205,0)),0))</f>
        <v/>
      </c>
      <c r="I411" s="34" t="str">
        <f aca="false">IF($D411="","",N($G411)*$H411)</f>
        <v/>
      </c>
      <c r="J411" s="40"/>
      <c r="K411" s="36" t="str">
        <f aca="false">IF($D411="","",IFERROR(INDEX(INSUMOS!$H$6:$H$205,MATCH($D411,INSUMOS!$A$6:$A$205,0)),IVA_VENTAS))</f>
        <v/>
      </c>
      <c r="L411" s="35" t="str">
        <f aca="false">IF($D411="","",N($J411)*$K411)</f>
        <v/>
      </c>
      <c r="M411" s="35" t="str">
        <f aca="false">IF($D411="","",N($J411)+$L411)</f>
        <v/>
      </c>
      <c r="N411" s="43" t="str">
        <f aca="false">IF($D411="","",IFERROR(N($J411)/$I411,0))</f>
        <v/>
      </c>
      <c r="O411" s="6"/>
      <c r="P411" s="6"/>
      <c r="Q411" s="46" t="str">
        <f aca="false">IF($A411="","",DATE(YEAR($A411),MONTH($A411),1))</f>
        <v/>
      </c>
      <c r="R411" s="8" t="str">
        <f aca="false">IF(OR($A411="",$D411=""),"",IF(COUNTIFS($D$6:$D$1005,$D411,$A$6:$A$1005,"&gt;"&amp;$A411)=0,1,0))</f>
        <v/>
      </c>
    </row>
    <row r="412" customFormat="false" ht="15" hidden="false" customHeight="false" outlineLevel="0" collapsed="false">
      <c r="A412" s="44"/>
      <c r="B412" s="6"/>
      <c r="C412" s="6"/>
      <c r="D412" s="6"/>
      <c r="E412" s="8" t="str">
        <f aca="false">IF($D412="","",IFERROR(INDEX(INSUMOS!$B$6:$B$205,MATCH($D412,INSUMOS!$A$6:$A$205,0)),"¿Código?"))</f>
        <v/>
      </c>
      <c r="F412" s="8" t="str">
        <f aca="false">IF($D412="","",IFERROR(INDEX(INSUMOS!$E$6:$E$205,MATCH($D412,INSUMOS!$A$6:$A$205,0)),""))</f>
        <v/>
      </c>
      <c r="G412" s="39"/>
      <c r="H412" s="45" t="str">
        <f aca="false">IF($D412="","",IFERROR(INDEX(INSUMOS!$F$6:$F$205,MATCH($D412,INSUMOS!$A$6:$A$205,0)),0))</f>
        <v/>
      </c>
      <c r="I412" s="34" t="str">
        <f aca="false">IF($D412="","",N($G412)*$H412)</f>
        <v/>
      </c>
      <c r="J412" s="40"/>
      <c r="K412" s="36" t="str">
        <f aca="false">IF($D412="","",IFERROR(INDEX(INSUMOS!$H$6:$H$205,MATCH($D412,INSUMOS!$A$6:$A$205,0)),IVA_VENTAS))</f>
        <v/>
      </c>
      <c r="L412" s="35" t="str">
        <f aca="false">IF($D412="","",N($J412)*$K412)</f>
        <v/>
      </c>
      <c r="M412" s="35" t="str">
        <f aca="false">IF($D412="","",N($J412)+$L412)</f>
        <v/>
      </c>
      <c r="N412" s="43" t="str">
        <f aca="false">IF($D412="","",IFERROR(N($J412)/$I412,0))</f>
        <v/>
      </c>
      <c r="O412" s="6"/>
      <c r="P412" s="6"/>
      <c r="Q412" s="46" t="str">
        <f aca="false">IF($A412="","",DATE(YEAR($A412),MONTH($A412),1))</f>
        <v/>
      </c>
      <c r="R412" s="8" t="str">
        <f aca="false">IF(OR($A412="",$D412=""),"",IF(COUNTIFS($D$6:$D$1005,$D412,$A$6:$A$1005,"&gt;"&amp;$A412)=0,1,0))</f>
        <v/>
      </c>
    </row>
    <row r="413" customFormat="false" ht="15" hidden="false" customHeight="false" outlineLevel="0" collapsed="false">
      <c r="A413" s="44"/>
      <c r="B413" s="6"/>
      <c r="C413" s="6"/>
      <c r="D413" s="6"/>
      <c r="E413" s="8" t="str">
        <f aca="false">IF($D413="","",IFERROR(INDEX(INSUMOS!$B$6:$B$205,MATCH($D413,INSUMOS!$A$6:$A$205,0)),"¿Código?"))</f>
        <v/>
      </c>
      <c r="F413" s="8" t="str">
        <f aca="false">IF($D413="","",IFERROR(INDEX(INSUMOS!$E$6:$E$205,MATCH($D413,INSUMOS!$A$6:$A$205,0)),""))</f>
        <v/>
      </c>
      <c r="G413" s="39"/>
      <c r="H413" s="45" t="str">
        <f aca="false">IF($D413="","",IFERROR(INDEX(INSUMOS!$F$6:$F$205,MATCH($D413,INSUMOS!$A$6:$A$205,0)),0))</f>
        <v/>
      </c>
      <c r="I413" s="34" t="str">
        <f aca="false">IF($D413="","",N($G413)*$H413)</f>
        <v/>
      </c>
      <c r="J413" s="40"/>
      <c r="K413" s="36" t="str">
        <f aca="false">IF($D413="","",IFERROR(INDEX(INSUMOS!$H$6:$H$205,MATCH($D413,INSUMOS!$A$6:$A$205,0)),IVA_VENTAS))</f>
        <v/>
      </c>
      <c r="L413" s="35" t="str">
        <f aca="false">IF($D413="","",N($J413)*$K413)</f>
        <v/>
      </c>
      <c r="M413" s="35" t="str">
        <f aca="false">IF($D413="","",N($J413)+$L413)</f>
        <v/>
      </c>
      <c r="N413" s="43" t="str">
        <f aca="false">IF($D413="","",IFERROR(N($J413)/$I413,0))</f>
        <v/>
      </c>
      <c r="O413" s="6"/>
      <c r="P413" s="6"/>
      <c r="Q413" s="46" t="str">
        <f aca="false">IF($A413="","",DATE(YEAR($A413),MONTH($A413),1))</f>
        <v/>
      </c>
      <c r="R413" s="8" t="str">
        <f aca="false">IF(OR($A413="",$D413=""),"",IF(COUNTIFS($D$6:$D$1005,$D413,$A$6:$A$1005,"&gt;"&amp;$A413)=0,1,0))</f>
        <v/>
      </c>
    </row>
    <row r="414" customFormat="false" ht="15" hidden="false" customHeight="false" outlineLevel="0" collapsed="false">
      <c r="A414" s="44"/>
      <c r="B414" s="6"/>
      <c r="C414" s="6"/>
      <c r="D414" s="6"/>
      <c r="E414" s="8" t="str">
        <f aca="false">IF($D414="","",IFERROR(INDEX(INSUMOS!$B$6:$B$205,MATCH($D414,INSUMOS!$A$6:$A$205,0)),"¿Código?"))</f>
        <v/>
      </c>
      <c r="F414" s="8" t="str">
        <f aca="false">IF($D414="","",IFERROR(INDEX(INSUMOS!$E$6:$E$205,MATCH($D414,INSUMOS!$A$6:$A$205,0)),""))</f>
        <v/>
      </c>
      <c r="G414" s="39"/>
      <c r="H414" s="45" t="str">
        <f aca="false">IF($D414="","",IFERROR(INDEX(INSUMOS!$F$6:$F$205,MATCH($D414,INSUMOS!$A$6:$A$205,0)),0))</f>
        <v/>
      </c>
      <c r="I414" s="34" t="str">
        <f aca="false">IF($D414="","",N($G414)*$H414)</f>
        <v/>
      </c>
      <c r="J414" s="40"/>
      <c r="K414" s="36" t="str">
        <f aca="false">IF($D414="","",IFERROR(INDEX(INSUMOS!$H$6:$H$205,MATCH($D414,INSUMOS!$A$6:$A$205,0)),IVA_VENTAS))</f>
        <v/>
      </c>
      <c r="L414" s="35" t="str">
        <f aca="false">IF($D414="","",N($J414)*$K414)</f>
        <v/>
      </c>
      <c r="M414" s="35" t="str">
        <f aca="false">IF($D414="","",N($J414)+$L414)</f>
        <v/>
      </c>
      <c r="N414" s="43" t="str">
        <f aca="false">IF($D414="","",IFERROR(N($J414)/$I414,0))</f>
        <v/>
      </c>
      <c r="O414" s="6"/>
      <c r="P414" s="6"/>
      <c r="Q414" s="46" t="str">
        <f aca="false">IF($A414="","",DATE(YEAR($A414),MONTH($A414),1))</f>
        <v/>
      </c>
      <c r="R414" s="8" t="str">
        <f aca="false">IF(OR($A414="",$D414=""),"",IF(COUNTIFS($D$6:$D$1005,$D414,$A$6:$A$1005,"&gt;"&amp;$A414)=0,1,0))</f>
        <v/>
      </c>
    </row>
    <row r="415" customFormat="false" ht="15" hidden="false" customHeight="false" outlineLevel="0" collapsed="false">
      <c r="A415" s="44"/>
      <c r="B415" s="6"/>
      <c r="C415" s="6"/>
      <c r="D415" s="6"/>
      <c r="E415" s="8" t="str">
        <f aca="false">IF($D415="","",IFERROR(INDEX(INSUMOS!$B$6:$B$205,MATCH($D415,INSUMOS!$A$6:$A$205,0)),"¿Código?"))</f>
        <v/>
      </c>
      <c r="F415" s="8" t="str">
        <f aca="false">IF($D415="","",IFERROR(INDEX(INSUMOS!$E$6:$E$205,MATCH($D415,INSUMOS!$A$6:$A$205,0)),""))</f>
        <v/>
      </c>
      <c r="G415" s="39"/>
      <c r="H415" s="45" t="str">
        <f aca="false">IF($D415="","",IFERROR(INDEX(INSUMOS!$F$6:$F$205,MATCH($D415,INSUMOS!$A$6:$A$205,0)),0))</f>
        <v/>
      </c>
      <c r="I415" s="34" t="str">
        <f aca="false">IF($D415="","",N($G415)*$H415)</f>
        <v/>
      </c>
      <c r="J415" s="40"/>
      <c r="K415" s="36" t="str">
        <f aca="false">IF($D415="","",IFERROR(INDEX(INSUMOS!$H$6:$H$205,MATCH($D415,INSUMOS!$A$6:$A$205,0)),IVA_VENTAS))</f>
        <v/>
      </c>
      <c r="L415" s="35" t="str">
        <f aca="false">IF($D415="","",N($J415)*$K415)</f>
        <v/>
      </c>
      <c r="M415" s="35" t="str">
        <f aca="false">IF($D415="","",N($J415)+$L415)</f>
        <v/>
      </c>
      <c r="N415" s="43" t="str">
        <f aca="false">IF($D415="","",IFERROR(N($J415)/$I415,0))</f>
        <v/>
      </c>
      <c r="O415" s="6"/>
      <c r="P415" s="6"/>
      <c r="Q415" s="46" t="str">
        <f aca="false">IF($A415="","",DATE(YEAR($A415),MONTH($A415),1))</f>
        <v/>
      </c>
      <c r="R415" s="8" t="str">
        <f aca="false">IF(OR($A415="",$D415=""),"",IF(COUNTIFS($D$6:$D$1005,$D415,$A$6:$A$1005,"&gt;"&amp;$A415)=0,1,0))</f>
        <v/>
      </c>
    </row>
    <row r="416" customFormat="false" ht="15" hidden="false" customHeight="false" outlineLevel="0" collapsed="false">
      <c r="A416" s="44"/>
      <c r="B416" s="6"/>
      <c r="C416" s="6"/>
      <c r="D416" s="6"/>
      <c r="E416" s="8" t="str">
        <f aca="false">IF($D416="","",IFERROR(INDEX(INSUMOS!$B$6:$B$205,MATCH($D416,INSUMOS!$A$6:$A$205,0)),"¿Código?"))</f>
        <v/>
      </c>
      <c r="F416" s="8" t="str">
        <f aca="false">IF($D416="","",IFERROR(INDEX(INSUMOS!$E$6:$E$205,MATCH($D416,INSUMOS!$A$6:$A$205,0)),""))</f>
        <v/>
      </c>
      <c r="G416" s="39"/>
      <c r="H416" s="45" t="str">
        <f aca="false">IF($D416="","",IFERROR(INDEX(INSUMOS!$F$6:$F$205,MATCH($D416,INSUMOS!$A$6:$A$205,0)),0))</f>
        <v/>
      </c>
      <c r="I416" s="34" t="str">
        <f aca="false">IF($D416="","",N($G416)*$H416)</f>
        <v/>
      </c>
      <c r="J416" s="40"/>
      <c r="K416" s="36" t="str">
        <f aca="false">IF($D416="","",IFERROR(INDEX(INSUMOS!$H$6:$H$205,MATCH($D416,INSUMOS!$A$6:$A$205,0)),IVA_VENTAS))</f>
        <v/>
      </c>
      <c r="L416" s="35" t="str">
        <f aca="false">IF($D416="","",N($J416)*$K416)</f>
        <v/>
      </c>
      <c r="M416" s="35" t="str">
        <f aca="false">IF($D416="","",N($J416)+$L416)</f>
        <v/>
      </c>
      <c r="N416" s="43" t="str">
        <f aca="false">IF($D416="","",IFERROR(N($J416)/$I416,0))</f>
        <v/>
      </c>
      <c r="O416" s="6"/>
      <c r="P416" s="6"/>
      <c r="Q416" s="46" t="str">
        <f aca="false">IF($A416="","",DATE(YEAR($A416),MONTH($A416),1))</f>
        <v/>
      </c>
      <c r="R416" s="8" t="str">
        <f aca="false">IF(OR($A416="",$D416=""),"",IF(COUNTIFS($D$6:$D$1005,$D416,$A$6:$A$1005,"&gt;"&amp;$A416)=0,1,0))</f>
        <v/>
      </c>
    </row>
    <row r="417" customFormat="false" ht="15" hidden="false" customHeight="false" outlineLevel="0" collapsed="false">
      <c r="A417" s="44"/>
      <c r="B417" s="6"/>
      <c r="C417" s="6"/>
      <c r="D417" s="6"/>
      <c r="E417" s="8" t="str">
        <f aca="false">IF($D417="","",IFERROR(INDEX(INSUMOS!$B$6:$B$205,MATCH($D417,INSUMOS!$A$6:$A$205,0)),"¿Código?"))</f>
        <v/>
      </c>
      <c r="F417" s="8" t="str">
        <f aca="false">IF($D417="","",IFERROR(INDEX(INSUMOS!$E$6:$E$205,MATCH($D417,INSUMOS!$A$6:$A$205,0)),""))</f>
        <v/>
      </c>
      <c r="G417" s="39"/>
      <c r="H417" s="45" t="str">
        <f aca="false">IF($D417="","",IFERROR(INDEX(INSUMOS!$F$6:$F$205,MATCH($D417,INSUMOS!$A$6:$A$205,0)),0))</f>
        <v/>
      </c>
      <c r="I417" s="34" t="str">
        <f aca="false">IF($D417="","",N($G417)*$H417)</f>
        <v/>
      </c>
      <c r="J417" s="40"/>
      <c r="K417" s="36" t="str">
        <f aca="false">IF($D417="","",IFERROR(INDEX(INSUMOS!$H$6:$H$205,MATCH($D417,INSUMOS!$A$6:$A$205,0)),IVA_VENTAS))</f>
        <v/>
      </c>
      <c r="L417" s="35" t="str">
        <f aca="false">IF($D417="","",N($J417)*$K417)</f>
        <v/>
      </c>
      <c r="M417" s="35" t="str">
        <f aca="false">IF($D417="","",N($J417)+$L417)</f>
        <v/>
      </c>
      <c r="N417" s="43" t="str">
        <f aca="false">IF($D417="","",IFERROR(N($J417)/$I417,0))</f>
        <v/>
      </c>
      <c r="O417" s="6"/>
      <c r="P417" s="6"/>
      <c r="Q417" s="46" t="str">
        <f aca="false">IF($A417="","",DATE(YEAR($A417),MONTH($A417),1))</f>
        <v/>
      </c>
      <c r="R417" s="8" t="str">
        <f aca="false">IF(OR($A417="",$D417=""),"",IF(COUNTIFS($D$6:$D$1005,$D417,$A$6:$A$1005,"&gt;"&amp;$A417)=0,1,0))</f>
        <v/>
      </c>
    </row>
    <row r="418" customFormat="false" ht="15" hidden="false" customHeight="false" outlineLevel="0" collapsed="false">
      <c r="A418" s="44"/>
      <c r="B418" s="6"/>
      <c r="C418" s="6"/>
      <c r="D418" s="6"/>
      <c r="E418" s="8" t="str">
        <f aca="false">IF($D418="","",IFERROR(INDEX(INSUMOS!$B$6:$B$205,MATCH($D418,INSUMOS!$A$6:$A$205,0)),"¿Código?"))</f>
        <v/>
      </c>
      <c r="F418" s="8" t="str">
        <f aca="false">IF($D418="","",IFERROR(INDEX(INSUMOS!$E$6:$E$205,MATCH($D418,INSUMOS!$A$6:$A$205,0)),""))</f>
        <v/>
      </c>
      <c r="G418" s="39"/>
      <c r="H418" s="45" t="str">
        <f aca="false">IF($D418="","",IFERROR(INDEX(INSUMOS!$F$6:$F$205,MATCH($D418,INSUMOS!$A$6:$A$205,0)),0))</f>
        <v/>
      </c>
      <c r="I418" s="34" t="str">
        <f aca="false">IF($D418="","",N($G418)*$H418)</f>
        <v/>
      </c>
      <c r="J418" s="40"/>
      <c r="K418" s="36" t="str">
        <f aca="false">IF($D418="","",IFERROR(INDEX(INSUMOS!$H$6:$H$205,MATCH($D418,INSUMOS!$A$6:$A$205,0)),IVA_VENTAS))</f>
        <v/>
      </c>
      <c r="L418" s="35" t="str">
        <f aca="false">IF($D418="","",N($J418)*$K418)</f>
        <v/>
      </c>
      <c r="M418" s="35" t="str">
        <f aca="false">IF($D418="","",N($J418)+$L418)</f>
        <v/>
      </c>
      <c r="N418" s="43" t="str">
        <f aca="false">IF($D418="","",IFERROR(N($J418)/$I418,0))</f>
        <v/>
      </c>
      <c r="O418" s="6"/>
      <c r="P418" s="6"/>
      <c r="Q418" s="46" t="str">
        <f aca="false">IF($A418="","",DATE(YEAR($A418),MONTH($A418),1))</f>
        <v/>
      </c>
      <c r="R418" s="8" t="str">
        <f aca="false">IF(OR($A418="",$D418=""),"",IF(COUNTIFS($D$6:$D$1005,$D418,$A$6:$A$1005,"&gt;"&amp;$A418)=0,1,0))</f>
        <v/>
      </c>
    </row>
    <row r="419" customFormat="false" ht="15" hidden="false" customHeight="false" outlineLevel="0" collapsed="false">
      <c r="A419" s="44"/>
      <c r="B419" s="6"/>
      <c r="C419" s="6"/>
      <c r="D419" s="6"/>
      <c r="E419" s="8" t="str">
        <f aca="false">IF($D419="","",IFERROR(INDEX(INSUMOS!$B$6:$B$205,MATCH($D419,INSUMOS!$A$6:$A$205,0)),"¿Código?"))</f>
        <v/>
      </c>
      <c r="F419" s="8" t="str">
        <f aca="false">IF($D419="","",IFERROR(INDEX(INSUMOS!$E$6:$E$205,MATCH($D419,INSUMOS!$A$6:$A$205,0)),""))</f>
        <v/>
      </c>
      <c r="G419" s="39"/>
      <c r="H419" s="45" t="str">
        <f aca="false">IF($D419="","",IFERROR(INDEX(INSUMOS!$F$6:$F$205,MATCH($D419,INSUMOS!$A$6:$A$205,0)),0))</f>
        <v/>
      </c>
      <c r="I419" s="34" t="str">
        <f aca="false">IF($D419="","",N($G419)*$H419)</f>
        <v/>
      </c>
      <c r="J419" s="40"/>
      <c r="K419" s="36" t="str">
        <f aca="false">IF($D419="","",IFERROR(INDEX(INSUMOS!$H$6:$H$205,MATCH($D419,INSUMOS!$A$6:$A$205,0)),IVA_VENTAS))</f>
        <v/>
      </c>
      <c r="L419" s="35" t="str">
        <f aca="false">IF($D419="","",N($J419)*$K419)</f>
        <v/>
      </c>
      <c r="M419" s="35" t="str">
        <f aca="false">IF($D419="","",N($J419)+$L419)</f>
        <v/>
      </c>
      <c r="N419" s="43" t="str">
        <f aca="false">IF($D419="","",IFERROR(N($J419)/$I419,0))</f>
        <v/>
      </c>
      <c r="O419" s="6"/>
      <c r="P419" s="6"/>
      <c r="Q419" s="46" t="str">
        <f aca="false">IF($A419="","",DATE(YEAR($A419),MONTH($A419),1))</f>
        <v/>
      </c>
      <c r="R419" s="8" t="str">
        <f aca="false">IF(OR($A419="",$D419=""),"",IF(COUNTIFS($D$6:$D$1005,$D419,$A$6:$A$1005,"&gt;"&amp;$A419)=0,1,0))</f>
        <v/>
      </c>
    </row>
    <row r="420" customFormat="false" ht="15" hidden="false" customHeight="false" outlineLevel="0" collapsed="false">
      <c r="A420" s="44"/>
      <c r="B420" s="6"/>
      <c r="C420" s="6"/>
      <c r="D420" s="6"/>
      <c r="E420" s="8" t="str">
        <f aca="false">IF($D420="","",IFERROR(INDEX(INSUMOS!$B$6:$B$205,MATCH($D420,INSUMOS!$A$6:$A$205,0)),"¿Código?"))</f>
        <v/>
      </c>
      <c r="F420" s="8" t="str">
        <f aca="false">IF($D420="","",IFERROR(INDEX(INSUMOS!$E$6:$E$205,MATCH($D420,INSUMOS!$A$6:$A$205,0)),""))</f>
        <v/>
      </c>
      <c r="G420" s="39"/>
      <c r="H420" s="45" t="str">
        <f aca="false">IF($D420="","",IFERROR(INDEX(INSUMOS!$F$6:$F$205,MATCH($D420,INSUMOS!$A$6:$A$205,0)),0))</f>
        <v/>
      </c>
      <c r="I420" s="34" t="str">
        <f aca="false">IF($D420="","",N($G420)*$H420)</f>
        <v/>
      </c>
      <c r="J420" s="40"/>
      <c r="K420" s="36" t="str">
        <f aca="false">IF($D420="","",IFERROR(INDEX(INSUMOS!$H$6:$H$205,MATCH($D420,INSUMOS!$A$6:$A$205,0)),IVA_VENTAS))</f>
        <v/>
      </c>
      <c r="L420" s="35" t="str">
        <f aca="false">IF($D420="","",N($J420)*$K420)</f>
        <v/>
      </c>
      <c r="M420" s="35" t="str">
        <f aca="false">IF($D420="","",N($J420)+$L420)</f>
        <v/>
      </c>
      <c r="N420" s="43" t="str">
        <f aca="false">IF($D420="","",IFERROR(N($J420)/$I420,0))</f>
        <v/>
      </c>
      <c r="O420" s="6"/>
      <c r="P420" s="6"/>
      <c r="Q420" s="46" t="str">
        <f aca="false">IF($A420="","",DATE(YEAR($A420),MONTH($A420),1))</f>
        <v/>
      </c>
      <c r="R420" s="8" t="str">
        <f aca="false">IF(OR($A420="",$D420=""),"",IF(COUNTIFS($D$6:$D$1005,$D420,$A$6:$A$1005,"&gt;"&amp;$A420)=0,1,0))</f>
        <v/>
      </c>
    </row>
    <row r="421" customFormat="false" ht="15" hidden="false" customHeight="false" outlineLevel="0" collapsed="false">
      <c r="A421" s="44"/>
      <c r="B421" s="6"/>
      <c r="C421" s="6"/>
      <c r="D421" s="6"/>
      <c r="E421" s="8" t="str">
        <f aca="false">IF($D421="","",IFERROR(INDEX(INSUMOS!$B$6:$B$205,MATCH($D421,INSUMOS!$A$6:$A$205,0)),"¿Código?"))</f>
        <v/>
      </c>
      <c r="F421" s="8" t="str">
        <f aca="false">IF($D421="","",IFERROR(INDEX(INSUMOS!$E$6:$E$205,MATCH($D421,INSUMOS!$A$6:$A$205,0)),""))</f>
        <v/>
      </c>
      <c r="G421" s="39"/>
      <c r="H421" s="45" t="str">
        <f aca="false">IF($D421="","",IFERROR(INDEX(INSUMOS!$F$6:$F$205,MATCH($D421,INSUMOS!$A$6:$A$205,0)),0))</f>
        <v/>
      </c>
      <c r="I421" s="34" t="str">
        <f aca="false">IF($D421="","",N($G421)*$H421)</f>
        <v/>
      </c>
      <c r="J421" s="40"/>
      <c r="K421" s="36" t="str">
        <f aca="false">IF($D421="","",IFERROR(INDEX(INSUMOS!$H$6:$H$205,MATCH($D421,INSUMOS!$A$6:$A$205,0)),IVA_VENTAS))</f>
        <v/>
      </c>
      <c r="L421" s="35" t="str">
        <f aca="false">IF($D421="","",N($J421)*$K421)</f>
        <v/>
      </c>
      <c r="M421" s="35" t="str">
        <f aca="false">IF($D421="","",N($J421)+$L421)</f>
        <v/>
      </c>
      <c r="N421" s="43" t="str">
        <f aca="false">IF($D421="","",IFERROR(N($J421)/$I421,0))</f>
        <v/>
      </c>
      <c r="O421" s="6"/>
      <c r="P421" s="6"/>
      <c r="Q421" s="46" t="str">
        <f aca="false">IF($A421="","",DATE(YEAR($A421),MONTH($A421),1))</f>
        <v/>
      </c>
      <c r="R421" s="8" t="str">
        <f aca="false">IF(OR($A421="",$D421=""),"",IF(COUNTIFS($D$6:$D$1005,$D421,$A$6:$A$1005,"&gt;"&amp;$A421)=0,1,0))</f>
        <v/>
      </c>
    </row>
    <row r="422" customFormat="false" ht="15" hidden="false" customHeight="false" outlineLevel="0" collapsed="false">
      <c r="A422" s="44"/>
      <c r="B422" s="6"/>
      <c r="C422" s="6"/>
      <c r="D422" s="6"/>
      <c r="E422" s="8" t="str">
        <f aca="false">IF($D422="","",IFERROR(INDEX(INSUMOS!$B$6:$B$205,MATCH($D422,INSUMOS!$A$6:$A$205,0)),"¿Código?"))</f>
        <v/>
      </c>
      <c r="F422" s="8" t="str">
        <f aca="false">IF($D422="","",IFERROR(INDEX(INSUMOS!$E$6:$E$205,MATCH($D422,INSUMOS!$A$6:$A$205,0)),""))</f>
        <v/>
      </c>
      <c r="G422" s="39"/>
      <c r="H422" s="45" t="str">
        <f aca="false">IF($D422="","",IFERROR(INDEX(INSUMOS!$F$6:$F$205,MATCH($D422,INSUMOS!$A$6:$A$205,0)),0))</f>
        <v/>
      </c>
      <c r="I422" s="34" t="str">
        <f aca="false">IF($D422="","",N($G422)*$H422)</f>
        <v/>
      </c>
      <c r="J422" s="40"/>
      <c r="K422" s="36" t="str">
        <f aca="false">IF($D422="","",IFERROR(INDEX(INSUMOS!$H$6:$H$205,MATCH($D422,INSUMOS!$A$6:$A$205,0)),IVA_VENTAS))</f>
        <v/>
      </c>
      <c r="L422" s="35" t="str">
        <f aca="false">IF($D422="","",N($J422)*$K422)</f>
        <v/>
      </c>
      <c r="M422" s="35" t="str">
        <f aca="false">IF($D422="","",N($J422)+$L422)</f>
        <v/>
      </c>
      <c r="N422" s="43" t="str">
        <f aca="false">IF($D422="","",IFERROR(N($J422)/$I422,0))</f>
        <v/>
      </c>
      <c r="O422" s="6"/>
      <c r="P422" s="6"/>
      <c r="Q422" s="46" t="str">
        <f aca="false">IF($A422="","",DATE(YEAR($A422),MONTH($A422),1))</f>
        <v/>
      </c>
      <c r="R422" s="8" t="str">
        <f aca="false">IF(OR($A422="",$D422=""),"",IF(COUNTIFS($D$6:$D$1005,$D422,$A$6:$A$1005,"&gt;"&amp;$A422)=0,1,0))</f>
        <v/>
      </c>
    </row>
    <row r="423" customFormat="false" ht="15" hidden="false" customHeight="false" outlineLevel="0" collapsed="false">
      <c r="A423" s="44"/>
      <c r="B423" s="6"/>
      <c r="C423" s="6"/>
      <c r="D423" s="6"/>
      <c r="E423" s="8" t="str">
        <f aca="false">IF($D423="","",IFERROR(INDEX(INSUMOS!$B$6:$B$205,MATCH($D423,INSUMOS!$A$6:$A$205,0)),"¿Código?"))</f>
        <v/>
      </c>
      <c r="F423" s="8" t="str">
        <f aca="false">IF($D423="","",IFERROR(INDEX(INSUMOS!$E$6:$E$205,MATCH($D423,INSUMOS!$A$6:$A$205,0)),""))</f>
        <v/>
      </c>
      <c r="G423" s="39"/>
      <c r="H423" s="45" t="str">
        <f aca="false">IF($D423="","",IFERROR(INDEX(INSUMOS!$F$6:$F$205,MATCH($D423,INSUMOS!$A$6:$A$205,0)),0))</f>
        <v/>
      </c>
      <c r="I423" s="34" t="str">
        <f aca="false">IF($D423="","",N($G423)*$H423)</f>
        <v/>
      </c>
      <c r="J423" s="40"/>
      <c r="K423" s="36" t="str">
        <f aca="false">IF($D423="","",IFERROR(INDEX(INSUMOS!$H$6:$H$205,MATCH($D423,INSUMOS!$A$6:$A$205,0)),IVA_VENTAS))</f>
        <v/>
      </c>
      <c r="L423" s="35" t="str">
        <f aca="false">IF($D423="","",N($J423)*$K423)</f>
        <v/>
      </c>
      <c r="M423" s="35" t="str">
        <f aca="false">IF($D423="","",N($J423)+$L423)</f>
        <v/>
      </c>
      <c r="N423" s="43" t="str">
        <f aca="false">IF($D423="","",IFERROR(N($J423)/$I423,0))</f>
        <v/>
      </c>
      <c r="O423" s="6"/>
      <c r="P423" s="6"/>
      <c r="Q423" s="46" t="str">
        <f aca="false">IF($A423="","",DATE(YEAR($A423),MONTH($A423),1))</f>
        <v/>
      </c>
      <c r="R423" s="8" t="str">
        <f aca="false">IF(OR($A423="",$D423=""),"",IF(COUNTIFS($D$6:$D$1005,$D423,$A$6:$A$1005,"&gt;"&amp;$A423)=0,1,0))</f>
        <v/>
      </c>
    </row>
    <row r="424" customFormat="false" ht="15" hidden="false" customHeight="false" outlineLevel="0" collapsed="false">
      <c r="A424" s="44"/>
      <c r="B424" s="6"/>
      <c r="C424" s="6"/>
      <c r="D424" s="6"/>
      <c r="E424" s="8" t="str">
        <f aca="false">IF($D424="","",IFERROR(INDEX(INSUMOS!$B$6:$B$205,MATCH($D424,INSUMOS!$A$6:$A$205,0)),"¿Código?"))</f>
        <v/>
      </c>
      <c r="F424" s="8" t="str">
        <f aca="false">IF($D424="","",IFERROR(INDEX(INSUMOS!$E$6:$E$205,MATCH($D424,INSUMOS!$A$6:$A$205,0)),""))</f>
        <v/>
      </c>
      <c r="G424" s="39"/>
      <c r="H424" s="45" t="str">
        <f aca="false">IF($D424="","",IFERROR(INDEX(INSUMOS!$F$6:$F$205,MATCH($D424,INSUMOS!$A$6:$A$205,0)),0))</f>
        <v/>
      </c>
      <c r="I424" s="34" t="str">
        <f aca="false">IF($D424="","",N($G424)*$H424)</f>
        <v/>
      </c>
      <c r="J424" s="40"/>
      <c r="K424" s="36" t="str">
        <f aca="false">IF($D424="","",IFERROR(INDEX(INSUMOS!$H$6:$H$205,MATCH($D424,INSUMOS!$A$6:$A$205,0)),IVA_VENTAS))</f>
        <v/>
      </c>
      <c r="L424" s="35" t="str">
        <f aca="false">IF($D424="","",N($J424)*$K424)</f>
        <v/>
      </c>
      <c r="M424" s="35" t="str">
        <f aca="false">IF($D424="","",N($J424)+$L424)</f>
        <v/>
      </c>
      <c r="N424" s="43" t="str">
        <f aca="false">IF($D424="","",IFERROR(N($J424)/$I424,0))</f>
        <v/>
      </c>
      <c r="O424" s="6"/>
      <c r="P424" s="6"/>
      <c r="Q424" s="46" t="str">
        <f aca="false">IF($A424="","",DATE(YEAR($A424),MONTH($A424),1))</f>
        <v/>
      </c>
      <c r="R424" s="8" t="str">
        <f aca="false">IF(OR($A424="",$D424=""),"",IF(COUNTIFS($D$6:$D$1005,$D424,$A$6:$A$1005,"&gt;"&amp;$A424)=0,1,0))</f>
        <v/>
      </c>
    </row>
    <row r="425" customFormat="false" ht="15" hidden="false" customHeight="false" outlineLevel="0" collapsed="false">
      <c r="A425" s="44"/>
      <c r="B425" s="6"/>
      <c r="C425" s="6"/>
      <c r="D425" s="6"/>
      <c r="E425" s="8" t="str">
        <f aca="false">IF($D425="","",IFERROR(INDEX(INSUMOS!$B$6:$B$205,MATCH($D425,INSUMOS!$A$6:$A$205,0)),"¿Código?"))</f>
        <v/>
      </c>
      <c r="F425" s="8" t="str">
        <f aca="false">IF($D425="","",IFERROR(INDEX(INSUMOS!$E$6:$E$205,MATCH($D425,INSUMOS!$A$6:$A$205,0)),""))</f>
        <v/>
      </c>
      <c r="G425" s="39"/>
      <c r="H425" s="45" t="str">
        <f aca="false">IF($D425="","",IFERROR(INDEX(INSUMOS!$F$6:$F$205,MATCH($D425,INSUMOS!$A$6:$A$205,0)),0))</f>
        <v/>
      </c>
      <c r="I425" s="34" t="str">
        <f aca="false">IF($D425="","",N($G425)*$H425)</f>
        <v/>
      </c>
      <c r="J425" s="40"/>
      <c r="K425" s="36" t="str">
        <f aca="false">IF($D425="","",IFERROR(INDEX(INSUMOS!$H$6:$H$205,MATCH($D425,INSUMOS!$A$6:$A$205,0)),IVA_VENTAS))</f>
        <v/>
      </c>
      <c r="L425" s="35" t="str">
        <f aca="false">IF($D425="","",N($J425)*$K425)</f>
        <v/>
      </c>
      <c r="M425" s="35" t="str">
        <f aca="false">IF($D425="","",N($J425)+$L425)</f>
        <v/>
      </c>
      <c r="N425" s="43" t="str">
        <f aca="false">IF($D425="","",IFERROR(N($J425)/$I425,0))</f>
        <v/>
      </c>
      <c r="O425" s="6"/>
      <c r="P425" s="6"/>
      <c r="Q425" s="46" t="str">
        <f aca="false">IF($A425="","",DATE(YEAR($A425),MONTH($A425),1))</f>
        <v/>
      </c>
      <c r="R425" s="8" t="str">
        <f aca="false">IF(OR($A425="",$D425=""),"",IF(COUNTIFS($D$6:$D$1005,$D425,$A$6:$A$1005,"&gt;"&amp;$A425)=0,1,0))</f>
        <v/>
      </c>
    </row>
    <row r="426" customFormat="false" ht="15" hidden="false" customHeight="false" outlineLevel="0" collapsed="false">
      <c r="A426" s="44"/>
      <c r="B426" s="6"/>
      <c r="C426" s="6"/>
      <c r="D426" s="6"/>
      <c r="E426" s="8" t="str">
        <f aca="false">IF($D426="","",IFERROR(INDEX(INSUMOS!$B$6:$B$205,MATCH($D426,INSUMOS!$A$6:$A$205,0)),"¿Código?"))</f>
        <v/>
      </c>
      <c r="F426" s="8" t="str">
        <f aca="false">IF($D426="","",IFERROR(INDEX(INSUMOS!$E$6:$E$205,MATCH($D426,INSUMOS!$A$6:$A$205,0)),""))</f>
        <v/>
      </c>
      <c r="G426" s="39"/>
      <c r="H426" s="45" t="str">
        <f aca="false">IF($D426="","",IFERROR(INDEX(INSUMOS!$F$6:$F$205,MATCH($D426,INSUMOS!$A$6:$A$205,0)),0))</f>
        <v/>
      </c>
      <c r="I426" s="34" t="str">
        <f aca="false">IF($D426="","",N($G426)*$H426)</f>
        <v/>
      </c>
      <c r="J426" s="40"/>
      <c r="K426" s="36" t="str">
        <f aca="false">IF($D426="","",IFERROR(INDEX(INSUMOS!$H$6:$H$205,MATCH($D426,INSUMOS!$A$6:$A$205,0)),IVA_VENTAS))</f>
        <v/>
      </c>
      <c r="L426" s="35" t="str">
        <f aca="false">IF($D426="","",N($J426)*$K426)</f>
        <v/>
      </c>
      <c r="M426" s="35" t="str">
        <f aca="false">IF($D426="","",N($J426)+$L426)</f>
        <v/>
      </c>
      <c r="N426" s="43" t="str">
        <f aca="false">IF($D426="","",IFERROR(N($J426)/$I426,0))</f>
        <v/>
      </c>
      <c r="O426" s="6"/>
      <c r="P426" s="6"/>
      <c r="Q426" s="46" t="str">
        <f aca="false">IF($A426="","",DATE(YEAR($A426),MONTH($A426),1))</f>
        <v/>
      </c>
      <c r="R426" s="8" t="str">
        <f aca="false">IF(OR($A426="",$D426=""),"",IF(COUNTIFS($D$6:$D$1005,$D426,$A$6:$A$1005,"&gt;"&amp;$A426)=0,1,0))</f>
        <v/>
      </c>
    </row>
    <row r="427" customFormat="false" ht="15" hidden="false" customHeight="false" outlineLevel="0" collapsed="false">
      <c r="A427" s="44"/>
      <c r="B427" s="6"/>
      <c r="C427" s="6"/>
      <c r="D427" s="6"/>
      <c r="E427" s="8" t="str">
        <f aca="false">IF($D427="","",IFERROR(INDEX(INSUMOS!$B$6:$B$205,MATCH($D427,INSUMOS!$A$6:$A$205,0)),"¿Código?"))</f>
        <v/>
      </c>
      <c r="F427" s="8" t="str">
        <f aca="false">IF($D427="","",IFERROR(INDEX(INSUMOS!$E$6:$E$205,MATCH($D427,INSUMOS!$A$6:$A$205,0)),""))</f>
        <v/>
      </c>
      <c r="G427" s="39"/>
      <c r="H427" s="45" t="str">
        <f aca="false">IF($D427="","",IFERROR(INDEX(INSUMOS!$F$6:$F$205,MATCH($D427,INSUMOS!$A$6:$A$205,0)),0))</f>
        <v/>
      </c>
      <c r="I427" s="34" t="str">
        <f aca="false">IF($D427="","",N($G427)*$H427)</f>
        <v/>
      </c>
      <c r="J427" s="40"/>
      <c r="K427" s="36" t="str">
        <f aca="false">IF($D427="","",IFERROR(INDEX(INSUMOS!$H$6:$H$205,MATCH($D427,INSUMOS!$A$6:$A$205,0)),IVA_VENTAS))</f>
        <v/>
      </c>
      <c r="L427" s="35" t="str">
        <f aca="false">IF($D427="","",N($J427)*$K427)</f>
        <v/>
      </c>
      <c r="M427" s="35" t="str">
        <f aca="false">IF($D427="","",N($J427)+$L427)</f>
        <v/>
      </c>
      <c r="N427" s="43" t="str">
        <f aca="false">IF($D427="","",IFERROR(N($J427)/$I427,0))</f>
        <v/>
      </c>
      <c r="O427" s="6"/>
      <c r="P427" s="6"/>
      <c r="Q427" s="46" t="str">
        <f aca="false">IF($A427="","",DATE(YEAR($A427),MONTH($A427),1))</f>
        <v/>
      </c>
      <c r="R427" s="8" t="str">
        <f aca="false">IF(OR($A427="",$D427=""),"",IF(COUNTIFS($D$6:$D$1005,$D427,$A$6:$A$1005,"&gt;"&amp;$A427)=0,1,0))</f>
        <v/>
      </c>
    </row>
    <row r="428" customFormat="false" ht="15" hidden="false" customHeight="false" outlineLevel="0" collapsed="false">
      <c r="A428" s="44"/>
      <c r="B428" s="6"/>
      <c r="C428" s="6"/>
      <c r="D428" s="6"/>
      <c r="E428" s="8" t="str">
        <f aca="false">IF($D428="","",IFERROR(INDEX(INSUMOS!$B$6:$B$205,MATCH($D428,INSUMOS!$A$6:$A$205,0)),"¿Código?"))</f>
        <v/>
      </c>
      <c r="F428" s="8" t="str">
        <f aca="false">IF($D428="","",IFERROR(INDEX(INSUMOS!$E$6:$E$205,MATCH($D428,INSUMOS!$A$6:$A$205,0)),""))</f>
        <v/>
      </c>
      <c r="G428" s="39"/>
      <c r="H428" s="45" t="str">
        <f aca="false">IF($D428="","",IFERROR(INDEX(INSUMOS!$F$6:$F$205,MATCH($D428,INSUMOS!$A$6:$A$205,0)),0))</f>
        <v/>
      </c>
      <c r="I428" s="34" t="str">
        <f aca="false">IF($D428="","",N($G428)*$H428)</f>
        <v/>
      </c>
      <c r="J428" s="40"/>
      <c r="K428" s="36" t="str">
        <f aca="false">IF($D428="","",IFERROR(INDEX(INSUMOS!$H$6:$H$205,MATCH($D428,INSUMOS!$A$6:$A$205,0)),IVA_VENTAS))</f>
        <v/>
      </c>
      <c r="L428" s="35" t="str">
        <f aca="false">IF($D428="","",N($J428)*$K428)</f>
        <v/>
      </c>
      <c r="M428" s="35" t="str">
        <f aca="false">IF($D428="","",N($J428)+$L428)</f>
        <v/>
      </c>
      <c r="N428" s="43" t="str">
        <f aca="false">IF($D428="","",IFERROR(N($J428)/$I428,0))</f>
        <v/>
      </c>
      <c r="O428" s="6"/>
      <c r="P428" s="6"/>
      <c r="Q428" s="46" t="str">
        <f aca="false">IF($A428="","",DATE(YEAR($A428),MONTH($A428),1))</f>
        <v/>
      </c>
      <c r="R428" s="8" t="str">
        <f aca="false">IF(OR($A428="",$D428=""),"",IF(COUNTIFS($D$6:$D$1005,$D428,$A$6:$A$1005,"&gt;"&amp;$A428)=0,1,0))</f>
        <v/>
      </c>
    </row>
    <row r="429" customFormat="false" ht="15" hidden="false" customHeight="false" outlineLevel="0" collapsed="false">
      <c r="A429" s="44"/>
      <c r="B429" s="6"/>
      <c r="C429" s="6"/>
      <c r="D429" s="6"/>
      <c r="E429" s="8" t="str">
        <f aca="false">IF($D429="","",IFERROR(INDEX(INSUMOS!$B$6:$B$205,MATCH($D429,INSUMOS!$A$6:$A$205,0)),"¿Código?"))</f>
        <v/>
      </c>
      <c r="F429" s="8" t="str">
        <f aca="false">IF($D429="","",IFERROR(INDEX(INSUMOS!$E$6:$E$205,MATCH($D429,INSUMOS!$A$6:$A$205,0)),""))</f>
        <v/>
      </c>
      <c r="G429" s="39"/>
      <c r="H429" s="45" t="str">
        <f aca="false">IF($D429="","",IFERROR(INDEX(INSUMOS!$F$6:$F$205,MATCH($D429,INSUMOS!$A$6:$A$205,0)),0))</f>
        <v/>
      </c>
      <c r="I429" s="34" t="str">
        <f aca="false">IF($D429="","",N($G429)*$H429)</f>
        <v/>
      </c>
      <c r="J429" s="40"/>
      <c r="K429" s="36" t="str">
        <f aca="false">IF($D429="","",IFERROR(INDEX(INSUMOS!$H$6:$H$205,MATCH($D429,INSUMOS!$A$6:$A$205,0)),IVA_VENTAS))</f>
        <v/>
      </c>
      <c r="L429" s="35" t="str">
        <f aca="false">IF($D429="","",N($J429)*$K429)</f>
        <v/>
      </c>
      <c r="M429" s="35" t="str">
        <f aca="false">IF($D429="","",N($J429)+$L429)</f>
        <v/>
      </c>
      <c r="N429" s="43" t="str">
        <f aca="false">IF($D429="","",IFERROR(N($J429)/$I429,0))</f>
        <v/>
      </c>
      <c r="O429" s="6"/>
      <c r="P429" s="6"/>
      <c r="Q429" s="46" t="str">
        <f aca="false">IF($A429="","",DATE(YEAR($A429),MONTH($A429),1))</f>
        <v/>
      </c>
      <c r="R429" s="8" t="str">
        <f aca="false">IF(OR($A429="",$D429=""),"",IF(COUNTIFS($D$6:$D$1005,$D429,$A$6:$A$1005,"&gt;"&amp;$A429)=0,1,0))</f>
        <v/>
      </c>
    </row>
    <row r="430" customFormat="false" ht="15" hidden="false" customHeight="false" outlineLevel="0" collapsed="false">
      <c r="A430" s="44"/>
      <c r="B430" s="6"/>
      <c r="C430" s="6"/>
      <c r="D430" s="6"/>
      <c r="E430" s="8" t="str">
        <f aca="false">IF($D430="","",IFERROR(INDEX(INSUMOS!$B$6:$B$205,MATCH($D430,INSUMOS!$A$6:$A$205,0)),"¿Código?"))</f>
        <v/>
      </c>
      <c r="F430" s="8" t="str">
        <f aca="false">IF($D430="","",IFERROR(INDEX(INSUMOS!$E$6:$E$205,MATCH($D430,INSUMOS!$A$6:$A$205,0)),""))</f>
        <v/>
      </c>
      <c r="G430" s="39"/>
      <c r="H430" s="45" t="str">
        <f aca="false">IF($D430="","",IFERROR(INDEX(INSUMOS!$F$6:$F$205,MATCH($D430,INSUMOS!$A$6:$A$205,0)),0))</f>
        <v/>
      </c>
      <c r="I430" s="34" t="str">
        <f aca="false">IF($D430="","",N($G430)*$H430)</f>
        <v/>
      </c>
      <c r="J430" s="40"/>
      <c r="K430" s="36" t="str">
        <f aca="false">IF($D430="","",IFERROR(INDEX(INSUMOS!$H$6:$H$205,MATCH($D430,INSUMOS!$A$6:$A$205,0)),IVA_VENTAS))</f>
        <v/>
      </c>
      <c r="L430" s="35" t="str">
        <f aca="false">IF($D430="","",N($J430)*$K430)</f>
        <v/>
      </c>
      <c r="M430" s="35" t="str">
        <f aca="false">IF($D430="","",N($J430)+$L430)</f>
        <v/>
      </c>
      <c r="N430" s="43" t="str">
        <f aca="false">IF($D430="","",IFERROR(N($J430)/$I430,0))</f>
        <v/>
      </c>
      <c r="O430" s="6"/>
      <c r="P430" s="6"/>
      <c r="Q430" s="46" t="str">
        <f aca="false">IF($A430="","",DATE(YEAR($A430),MONTH($A430),1))</f>
        <v/>
      </c>
      <c r="R430" s="8" t="str">
        <f aca="false">IF(OR($A430="",$D430=""),"",IF(COUNTIFS($D$6:$D$1005,$D430,$A$6:$A$1005,"&gt;"&amp;$A430)=0,1,0))</f>
        <v/>
      </c>
    </row>
    <row r="431" customFormat="false" ht="15" hidden="false" customHeight="false" outlineLevel="0" collapsed="false">
      <c r="A431" s="44"/>
      <c r="B431" s="6"/>
      <c r="C431" s="6"/>
      <c r="D431" s="6"/>
      <c r="E431" s="8" t="str">
        <f aca="false">IF($D431="","",IFERROR(INDEX(INSUMOS!$B$6:$B$205,MATCH($D431,INSUMOS!$A$6:$A$205,0)),"¿Código?"))</f>
        <v/>
      </c>
      <c r="F431" s="8" t="str">
        <f aca="false">IF($D431="","",IFERROR(INDEX(INSUMOS!$E$6:$E$205,MATCH($D431,INSUMOS!$A$6:$A$205,0)),""))</f>
        <v/>
      </c>
      <c r="G431" s="39"/>
      <c r="H431" s="45" t="str">
        <f aca="false">IF($D431="","",IFERROR(INDEX(INSUMOS!$F$6:$F$205,MATCH($D431,INSUMOS!$A$6:$A$205,0)),0))</f>
        <v/>
      </c>
      <c r="I431" s="34" t="str">
        <f aca="false">IF($D431="","",N($G431)*$H431)</f>
        <v/>
      </c>
      <c r="J431" s="40"/>
      <c r="K431" s="36" t="str">
        <f aca="false">IF($D431="","",IFERROR(INDEX(INSUMOS!$H$6:$H$205,MATCH($D431,INSUMOS!$A$6:$A$205,0)),IVA_VENTAS))</f>
        <v/>
      </c>
      <c r="L431" s="35" t="str">
        <f aca="false">IF($D431="","",N($J431)*$K431)</f>
        <v/>
      </c>
      <c r="M431" s="35" t="str">
        <f aca="false">IF($D431="","",N($J431)+$L431)</f>
        <v/>
      </c>
      <c r="N431" s="43" t="str">
        <f aca="false">IF($D431="","",IFERROR(N($J431)/$I431,0))</f>
        <v/>
      </c>
      <c r="O431" s="6"/>
      <c r="P431" s="6"/>
      <c r="Q431" s="46" t="str">
        <f aca="false">IF($A431="","",DATE(YEAR($A431),MONTH($A431),1))</f>
        <v/>
      </c>
      <c r="R431" s="8" t="str">
        <f aca="false">IF(OR($A431="",$D431=""),"",IF(COUNTIFS($D$6:$D$1005,$D431,$A$6:$A$1005,"&gt;"&amp;$A431)=0,1,0))</f>
        <v/>
      </c>
    </row>
    <row r="432" customFormat="false" ht="15" hidden="false" customHeight="false" outlineLevel="0" collapsed="false">
      <c r="A432" s="44"/>
      <c r="B432" s="6"/>
      <c r="C432" s="6"/>
      <c r="D432" s="6"/>
      <c r="E432" s="8" t="str">
        <f aca="false">IF($D432="","",IFERROR(INDEX(INSUMOS!$B$6:$B$205,MATCH($D432,INSUMOS!$A$6:$A$205,0)),"¿Código?"))</f>
        <v/>
      </c>
      <c r="F432" s="8" t="str">
        <f aca="false">IF($D432="","",IFERROR(INDEX(INSUMOS!$E$6:$E$205,MATCH($D432,INSUMOS!$A$6:$A$205,0)),""))</f>
        <v/>
      </c>
      <c r="G432" s="39"/>
      <c r="H432" s="45" t="str">
        <f aca="false">IF($D432="","",IFERROR(INDEX(INSUMOS!$F$6:$F$205,MATCH($D432,INSUMOS!$A$6:$A$205,0)),0))</f>
        <v/>
      </c>
      <c r="I432" s="34" t="str">
        <f aca="false">IF($D432="","",N($G432)*$H432)</f>
        <v/>
      </c>
      <c r="J432" s="40"/>
      <c r="K432" s="36" t="str">
        <f aca="false">IF($D432="","",IFERROR(INDEX(INSUMOS!$H$6:$H$205,MATCH($D432,INSUMOS!$A$6:$A$205,0)),IVA_VENTAS))</f>
        <v/>
      </c>
      <c r="L432" s="35" t="str">
        <f aca="false">IF($D432="","",N($J432)*$K432)</f>
        <v/>
      </c>
      <c r="M432" s="35" t="str">
        <f aca="false">IF($D432="","",N($J432)+$L432)</f>
        <v/>
      </c>
      <c r="N432" s="43" t="str">
        <f aca="false">IF($D432="","",IFERROR(N($J432)/$I432,0))</f>
        <v/>
      </c>
      <c r="O432" s="6"/>
      <c r="P432" s="6"/>
      <c r="Q432" s="46" t="str">
        <f aca="false">IF($A432="","",DATE(YEAR($A432),MONTH($A432),1))</f>
        <v/>
      </c>
      <c r="R432" s="8" t="str">
        <f aca="false">IF(OR($A432="",$D432=""),"",IF(COUNTIFS($D$6:$D$1005,$D432,$A$6:$A$1005,"&gt;"&amp;$A432)=0,1,0))</f>
        <v/>
      </c>
    </row>
    <row r="433" customFormat="false" ht="15" hidden="false" customHeight="false" outlineLevel="0" collapsed="false">
      <c r="A433" s="44"/>
      <c r="B433" s="6"/>
      <c r="C433" s="6"/>
      <c r="D433" s="6"/>
      <c r="E433" s="8" t="str">
        <f aca="false">IF($D433="","",IFERROR(INDEX(INSUMOS!$B$6:$B$205,MATCH($D433,INSUMOS!$A$6:$A$205,0)),"¿Código?"))</f>
        <v/>
      </c>
      <c r="F433" s="8" t="str">
        <f aca="false">IF($D433="","",IFERROR(INDEX(INSUMOS!$E$6:$E$205,MATCH($D433,INSUMOS!$A$6:$A$205,0)),""))</f>
        <v/>
      </c>
      <c r="G433" s="39"/>
      <c r="H433" s="45" t="str">
        <f aca="false">IF($D433="","",IFERROR(INDEX(INSUMOS!$F$6:$F$205,MATCH($D433,INSUMOS!$A$6:$A$205,0)),0))</f>
        <v/>
      </c>
      <c r="I433" s="34" t="str">
        <f aca="false">IF($D433="","",N($G433)*$H433)</f>
        <v/>
      </c>
      <c r="J433" s="40"/>
      <c r="K433" s="36" t="str">
        <f aca="false">IF($D433="","",IFERROR(INDEX(INSUMOS!$H$6:$H$205,MATCH($D433,INSUMOS!$A$6:$A$205,0)),IVA_VENTAS))</f>
        <v/>
      </c>
      <c r="L433" s="35" t="str">
        <f aca="false">IF($D433="","",N($J433)*$K433)</f>
        <v/>
      </c>
      <c r="M433" s="35" t="str">
        <f aca="false">IF($D433="","",N($J433)+$L433)</f>
        <v/>
      </c>
      <c r="N433" s="43" t="str">
        <f aca="false">IF($D433="","",IFERROR(N($J433)/$I433,0))</f>
        <v/>
      </c>
      <c r="O433" s="6"/>
      <c r="P433" s="6"/>
      <c r="Q433" s="46" t="str">
        <f aca="false">IF($A433="","",DATE(YEAR($A433),MONTH($A433),1))</f>
        <v/>
      </c>
      <c r="R433" s="8" t="str">
        <f aca="false">IF(OR($A433="",$D433=""),"",IF(COUNTIFS($D$6:$D$1005,$D433,$A$6:$A$1005,"&gt;"&amp;$A433)=0,1,0))</f>
        <v/>
      </c>
    </row>
    <row r="434" customFormat="false" ht="15" hidden="false" customHeight="false" outlineLevel="0" collapsed="false">
      <c r="A434" s="44"/>
      <c r="B434" s="6"/>
      <c r="C434" s="6"/>
      <c r="D434" s="6"/>
      <c r="E434" s="8" t="str">
        <f aca="false">IF($D434="","",IFERROR(INDEX(INSUMOS!$B$6:$B$205,MATCH($D434,INSUMOS!$A$6:$A$205,0)),"¿Código?"))</f>
        <v/>
      </c>
      <c r="F434" s="8" t="str">
        <f aca="false">IF($D434="","",IFERROR(INDEX(INSUMOS!$E$6:$E$205,MATCH($D434,INSUMOS!$A$6:$A$205,0)),""))</f>
        <v/>
      </c>
      <c r="G434" s="39"/>
      <c r="H434" s="45" t="str">
        <f aca="false">IF($D434="","",IFERROR(INDEX(INSUMOS!$F$6:$F$205,MATCH($D434,INSUMOS!$A$6:$A$205,0)),0))</f>
        <v/>
      </c>
      <c r="I434" s="34" t="str">
        <f aca="false">IF($D434="","",N($G434)*$H434)</f>
        <v/>
      </c>
      <c r="J434" s="40"/>
      <c r="K434" s="36" t="str">
        <f aca="false">IF($D434="","",IFERROR(INDEX(INSUMOS!$H$6:$H$205,MATCH($D434,INSUMOS!$A$6:$A$205,0)),IVA_VENTAS))</f>
        <v/>
      </c>
      <c r="L434" s="35" t="str">
        <f aca="false">IF($D434="","",N($J434)*$K434)</f>
        <v/>
      </c>
      <c r="M434" s="35" t="str">
        <f aca="false">IF($D434="","",N($J434)+$L434)</f>
        <v/>
      </c>
      <c r="N434" s="43" t="str">
        <f aca="false">IF($D434="","",IFERROR(N($J434)/$I434,0))</f>
        <v/>
      </c>
      <c r="O434" s="6"/>
      <c r="P434" s="6"/>
      <c r="Q434" s="46" t="str">
        <f aca="false">IF($A434="","",DATE(YEAR($A434),MONTH($A434),1))</f>
        <v/>
      </c>
      <c r="R434" s="8" t="str">
        <f aca="false">IF(OR($A434="",$D434=""),"",IF(COUNTIFS($D$6:$D$1005,$D434,$A$6:$A$1005,"&gt;"&amp;$A434)=0,1,0))</f>
        <v/>
      </c>
    </row>
    <row r="435" customFormat="false" ht="15" hidden="false" customHeight="false" outlineLevel="0" collapsed="false">
      <c r="A435" s="44"/>
      <c r="B435" s="6"/>
      <c r="C435" s="6"/>
      <c r="D435" s="6"/>
      <c r="E435" s="8" t="str">
        <f aca="false">IF($D435="","",IFERROR(INDEX(INSUMOS!$B$6:$B$205,MATCH($D435,INSUMOS!$A$6:$A$205,0)),"¿Código?"))</f>
        <v/>
      </c>
      <c r="F435" s="8" t="str">
        <f aca="false">IF($D435="","",IFERROR(INDEX(INSUMOS!$E$6:$E$205,MATCH($D435,INSUMOS!$A$6:$A$205,0)),""))</f>
        <v/>
      </c>
      <c r="G435" s="39"/>
      <c r="H435" s="45" t="str">
        <f aca="false">IF($D435="","",IFERROR(INDEX(INSUMOS!$F$6:$F$205,MATCH($D435,INSUMOS!$A$6:$A$205,0)),0))</f>
        <v/>
      </c>
      <c r="I435" s="34" t="str">
        <f aca="false">IF($D435="","",N($G435)*$H435)</f>
        <v/>
      </c>
      <c r="J435" s="40"/>
      <c r="K435" s="36" t="str">
        <f aca="false">IF($D435="","",IFERROR(INDEX(INSUMOS!$H$6:$H$205,MATCH($D435,INSUMOS!$A$6:$A$205,0)),IVA_VENTAS))</f>
        <v/>
      </c>
      <c r="L435" s="35" t="str">
        <f aca="false">IF($D435="","",N($J435)*$K435)</f>
        <v/>
      </c>
      <c r="M435" s="35" t="str">
        <f aca="false">IF($D435="","",N($J435)+$L435)</f>
        <v/>
      </c>
      <c r="N435" s="43" t="str">
        <f aca="false">IF($D435="","",IFERROR(N($J435)/$I435,0))</f>
        <v/>
      </c>
      <c r="O435" s="6"/>
      <c r="P435" s="6"/>
      <c r="Q435" s="46" t="str">
        <f aca="false">IF($A435="","",DATE(YEAR($A435),MONTH($A435),1))</f>
        <v/>
      </c>
      <c r="R435" s="8" t="str">
        <f aca="false">IF(OR($A435="",$D435=""),"",IF(COUNTIFS($D$6:$D$1005,$D435,$A$6:$A$1005,"&gt;"&amp;$A435)=0,1,0))</f>
        <v/>
      </c>
    </row>
    <row r="436" customFormat="false" ht="15" hidden="false" customHeight="false" outlineLevel="0" collapsed="false">
      <c r="A436" s="44"/>
      <c r="B436" s="6"/>
      <c r="C436" s="6"/>
      <c r="D436" s="6"/>
      <c r="E436" s="8" t="str">
        <f aca="false">IF($D436="","",IFERROR(INDEX(INSUMOS!$B$6:$B$205,MATCH($D436,INSUMOS!$A$6:$A$205,0)),"¿Código?"))</f>
        <v/>
      </c>
      <c r="F436" s="8" t="str">
        <f aca="false">IF($D436="","",IFERROR(INDEX(INSUMOS!$E$6:$E$205,MATCH($D436,INSUMOS!$A$6:$A$205,0)),""))</f>
        <v/>
      </c>
      <c r="G436" s="39"/>
      <c r="H436" s="45" t="str">
        <f aca="false">IF($D436="","",IFERROR(INDEX(INSUMOS!$F$6:$F$205,MATCH($D436,INSUMOS!$A$6:$A$205,0)),0))</f>
        <v/>
      </c>
      <c r="I436" s="34" t="str">
        <f aca="false">IF($D436="","",N($G436)*$H436)</f>
        <v/>
      </c>
      <c r="J436" s="40"/>
      <c r="K436" s="36" t="str">
        <f aca="false">IF($D436="","",IFERROR(INDEX(INSUMOS!$H$6:$H$205,MATCH($D436,INSUMOS!$A$6:$A$205,0)),IVA_VENTAS))</f>
        <v/>
      </c>
      <c r="L436" s="35" t="str">
        <f aca="false">IF($D436="","",N($J436)*$K436)</f>
        <v/>
      </c>
      <c r="M436" s="35" t="str">
        <f aca="false">IF($D436="","",N($J436)+$L436)</f>
        <v/>
      </c>
      <c r="N436" s="43" t="str">
        <f aca="false">IF($D436="","",IFERROR(N($J436)/$I436,0))</f>
        <v/>
      </c>
      <c r="O436" s="6"/>
      <c r="P436" s="6"/>
      <c r="Q436" s="46" t="str">
        <f aca="false">IF($A436="","",DATE(YEAR($A436),MONTH($A436),1))</f>
        <v/>
      </c>
      <c r="R436" s="8" t="str">
        <f aca="false">IF(OR($A436="",$D436=""),"",IF(COUNTIFS($D$6:$D$1005,$D436,$A$6:$A$1005,"&gt;"&amp;$A436)=0,1,0))</f>
        <v/>
      </c>
    </row>
    <row r="437" customFormat="false" ht="15" hidden="false" customHeight="false" outlineLevel="0" collapsed="false">
      <c r="A437" s="44"/>
      <c r="B437" s="6"/>
      <c r="C437" s="6"/>
      <c r="D437" s="6"/>
      <c r="E437" s="8" t="str">
        <f aca="false">IF($D437="","",IFERROR(INDEX(INSUMOS!$B$6:$B$205,MATCH($D437,INSUMOS!$A$6:$A$205,0)),"¿Código?"))</f>
        <v/>
      </c>
      <c r="F437" s="8" t="str">
        <f aca="false">IF($D437="","",IFERROR(INDEX(INSUMOS!$E$6:$E$205,MATCH($D437,INSUMOS!$A$6:$A$205,0)),""))</f>
        <v/>
      </c>
      <c r="G437" s="39"/>
      <c r="H437" s="45" t="str">
        <f aca="false">IF($D437="","",IFERROR(INDEX(INSUMOS!$F$6:$F$205,MATCH($D437,INSUMOS!$A$6:$A$205,0)),0))</f>
        <v/>
      </c>
      <c r="I437" s="34" t="str">
        <f aca="false">IF($D437="","",N($G437)*$H437)</f>
        <v/>
      </c>
      <c r="J437" s="40"/>
      <c r="K437" s="36" t="str">
        <f aca="false">IF($D437="","",IFERROR(INDEX(INSUMOS!$H$6:$H$205,MATCH($D437,INSUMOS!$A$6:$A$205,0)),IVA_VENTAS))</f>
        <v/>
      </c>
      <c r="L437" s="35" t="str">
        <f aca="false">IF($D437="","",N($J437)*$K437)</f>
        <v/>
      </c>
      <c r="M437" s="35" t="str">
        <f aca="false">IF($D437="","",N($J437)+$L437)</f>
        <v/>
      </c>
      <c r="N437" s="43" t="str">
        <f aca="false">IF($D437="","",IFERROR(N($J437)/$I437,0))</f>
        <v/>
      </c>
      <c r="O437" s="6"/>
      <c r="P437" s="6"/>
      <c r="Q437" s="46" t="str">
        <f aca="false">IF($A437="","",DATE(YEAR($A437),MONTH($A437),1))</f>
        <v/>
      </c>
      <c r="R437" s="8" t="str">
        <f aca="false">IF(OR($A437="",$D437=""),"",IF(COUNTIFS($D$6:$D$1005,$D437,$A$6:$A$1005,"&gt;"&amp;$A437)=0,1,0))</f>
        <v/>
      </c>
    </row>
    <row r="438" customFormat="false" ht="15" hidden="false" customHeight="false" outlineLevel="0" collapsed="false">
      <c r="A438" s="44"/>
      <c r="B438" s="6"/>
      <c r="C438" s="6"/>
      <c r="D438" s="6"/>
      <c r="E438" s="8" t="str">
        <f aca="false">IF($D438="","",IFERROR(INDEX(INSUMOS!$B$6:$B$205,MATCH($D438,INSUMOS!$A$6:$A$205,0)),"¿Código?"))</f>
        <v/>
      </c>
      <c r="F438" s="8" t="str">
        <f aca="false">IF($D438="","",IFERROR(INDEX(INSUMOS!$E$6:$E$205,MATCH($D438,INSUMOS!$A$6:$A$205,0)),""))</f>
        <v/>
      </c>
      <c r="G438" s="39"/>
      <c r="H438" s="45" t="str">
        <f aca="false">IF($D438="","",IFERROR(INDEX(INSUMOS!$F$6:$F$205,MATCH($D438,INSUMOS!$A$6:$A$205,0)),0))</f>
        <v/>
      </c>
      <c r="I438" s="34" t="str">
        <f aca="false">IF($D438="","",N($G438)*$H438)</f>
        <v/>
      </c>
      <c r="J438" s="40"/>
      <c r="K438" s="36" t="str">
        <f aca="false">IF($D438="","",IFERROR(INDEX(INSUMOS!$H$6:$H$205,MATCH($D438,INSUMOS!$A$6:$A$205,0)),IVA_VENTAS))</f>
        <v/>
      </c>
      <c r="L438" s="35" t="str">
        <f aca="false">IF($D438="","",N($J438)*$K438)</f>
        <v/>
      </c>
      <c r="M438" s="35" t="str">
        <f aca="false">IF($D438="","",N($J438)+$L438)</f>
        <v/>
      </c>
      <c r="N438" s="43" t="str">
        <f aca="false">IF($D438="","",IFERROR(N($J438)/$I438,0))</f>
        <v/>
      </c>
      <c r="O438" s="6"/>
      <c r="P438" s="6"/>
      <c r="Q438" s="46" t="str">
        <f aca="false">IF($A438="","",DATE(YEAR($A438),MONTH($A438),1))</f>
        <v/>
      </c>
      <c r="R438" s="8" t="str">
        <f aca="false">IF(OR($A438="",$D438=""),"",IF(COUNTIFS($D$6:$D$1005,$D438,$A$6:$A$1005,"&gt;"&amp;$A438)=0,1,0))</f>
        <v/>
      </c>
    </row>
    <row r="439" customFormat="false" ht="15" hidden="false" customHeight="false" outlineLevel="0" collapsed="false">
      <c r="A439" s="44"/>
      <c r="B439" s="6"/>
      <c r="C439" s="6"/>
      <c r="D439" s="6"/>
      <c r="E439" s="8" t="str">
        <f aca="false">IF($D439="","",IFERROR(INDEX(INSUMOS!$B$6:$B$205,MATCH($D439,INSUMOS!$A$6:$A$205,0)),"¿Código?"))</f>
        <v/>
      </c>
      <c r="F439" s="8" t="str">
        <f aca="false">IF($D439="","",IFERROR(INDEX(INSUMOS!$E$6:$E$205,MATCH($D439,INSUMOS!$A$6:$A$205,0)),""))</f>
        <v/>
      </c>
      <c r="G439" s="39"/>
      <c r="H439" s="45" t="str">
        <f aca="false">IF($D439="","",IFERROR(INDEX(INSUMOS!$F$6:$F$205,MATCH($D439,INSUMOS!$A$6:$A$205,0)),0))</f>
        <v/>
      </c>
      <c r="I439" s="34" t="str">
        <f aca="false">IF($D439="","",N($G439)*$H439)</f>
        <v/>
      </c>
      <c r="J439" s="40"/>
      <c r="K439" s="36" t="str">
        <f aca="false">IF($D439="","",IFERROR(INDEX(INSUMOS!$H$6:$H$205,MATCH($D439,INSUMOS!$A$6:$A$205,0)),IVA_VENTAS))</f>
        <v/>
      </c>
      <c r="L439" s="35" t="str">
        <f aca="false">IF($D439="","",N($J439)*$K439)</f>
        <v/>
      </c>
      <c r="M439" s="35" t="str">
        <f aca="false">IF($D439="","",N($J439)+$L439)</f>
        <v/>
      </c>
      <c r="N439" s="43" t="str">
        <f aca="false">IF($D439="","",IFERROR(N($J439)/$I439,0))</f>
        <v/>
      </c>
      <c r="O439" s="6"/>
      <c r="P439" s="6"/>
      <c r="Q439" s="46" t="str">
        <f aca="false">IF($A439="","",DATE(YEAR($A439),MONTH($A439),1))</f>
        <v/>
      </c>
      <c r="R439" s="8" t="str">
        <f aca="false">IF(OR($A439="",$D439=""),"",IF(COUNTIFS($D$6:$D$1005,$D439,$A$6:$A$1005,"&gt;"&amp;$A439)=0,1,0))</f>
        <v/>
      </c>
    </row>
    <row r="440" customFormat="false" ht="15" hidden="false" customHeight="false" outlineLevel="0" collapsed="false">
      <c r="A440" s="44"/>
      <c r="B440" s="6"/>
      <c r="C440" s="6"/>
      <c r="D440" s="6"/>
      <c r="E440" s="8" t="str">
        <f aca="false">IF($D440="","",IFERROR(INDEX(INSUMOS!$B$6:$B$205,MATCH($D440,INSUMOS!$A$6:$A$205,0)),"¿Código?"))</f>
        <v/>
      </c>
      <c r="F440" s="8" t="str">
        <f aca="false">IF($D440="","",IFERROR(INDEX(INSUMOS!$E$6:$E$205,MATCH($D440,INSUMOS!$A$6:$A$205,0)),""))</f>
        <v/>
      </c>
      <c r="G440" s="39"/>
      <c r="H440" s="45" t="str">
        <f aca="false">IF($D440="","",IFERROR(INDEX(INSUMOS!$F$6:$F$205,MATCH($D440,INSUMOS!$A$6:$A$205,0)),0))</f>
        <v/>
      </c>
      <c r="I440" s="34" t="str">
        <f aca="false">IF($D440="","",N($G440)*$H440)</f>
        <v/>
      </c>
      <c r="J440" s="40"/>
      <c r="K440" s="36" t="str">
        <f aca="false">IF($D440="","",IFERROR(INDEX(INSUMOS!$H$6:$H$205,MATCH($D440,INSUMOS!$A$6:$A$205,0)),IVA_VENTAS))</f>
        <v/>
      </c>
      <c r="L440" s="35" t="str">
        <f aca="false">IF($D440="","",N($J440)*$K440)</f>
        <v/>
      </c>
      <c r="M440" s="35" t="str">
        <f aca="false">IF($D440="","",N($J440)+$L440)</f>
        <v/>
      </c>
      <c r="N440" s="43" t="str">
        <f aca="false">IF($D440="","",IFERROR(N($J440)/$I440,0))</f>
        <v/>
      </c>
      <c r="O440" s="6"/>
      <c r="P440" s="6"/>
      <c r="Q440" s="46" t="str">
        <f aca="false">IF($A440="","",DATE(YEAR($A440),MONTH($A440),1))</f>
        <v/>
      </c>
      <c r="R440" s="8" t="str">
        <f aca="false">IF(OR($A440="",$D440=""),"",IF(COUNTIFS($D$6:$D$1005,$D440,$A$6:$A$1005,"&gt;"&amp;$A440)=0,1,0))</f>
        <v/>
      </c>
    </row>
    <row r="441" customFormat="false" ht="15" hidden="false" customHeight="false" outlineLevel="0" collapsed="false">
      <c r="A441" s="44"/>
      <c r="B441" s="6"/>
      <c r="C441" s="6"/>
      <c r="D441" s="6"/>
      <c r="E441" s="8" t="str">
        <f aca="false">IF($D441="","",IFERROR(INDEX(INSUMOS!$B$6:$B$205,MATCH($D441,INSUMOS!$A$6:$A$205,0)),"¿Código?"))</f>
        <v/>
      </c>
      <c r="F441" s="8" t="str">
        <f aca="false">IF($D441="","",IFERROR(INDEX(INSUMOS!$E$6:$E$205,MATCH($D441,INSUMOS!$A$6:$A$205,0)),""))</f>
        <v/>
      </c>
      <c r="G441" s="39"/>
      <c r="H441" s="45" t="str">
        <f aca="false">IF($D441="","",IFERROR(INDEX(INSUMOS!$F$6:$F$205,MATCH($D441,INSUMOS!$A$6:$A$205,0)),0))</f>
        <v/>
      </c>
      <c r="I441" s="34" t="str">
        <f aca="false">IF($D441="","",N($G441)*$H441)</f>
        <v/>
      </c>
      <c r="J441" s="40"/>
      <c r="K441" s="36" t="str">
        <f aca="false">IF($D441="","",IFERROR(INDEX(INSUMOS!$H$6:$H$205,MATCH($D441,INSUMOS!$A$6:$A$205,0)),IVA_VENTAS))</f>
        <v/>
      </c>
      <c r="L441" s="35" t="str">
        <f aca="false">IF($D441="","",N($J441)*$K441)</f>
        <v/>
      </c>
      <c r="M441" s="35" t="str">
        <f aca="false">IF($D441="","",N($J441)+$L441)</f>
        <v/>
      </c>
      <c r="N441" s="43" t="str">
        <f aca="false">IF($D441="","",IFERROR(N($J441)/$I441,0))</f>
        <v/>
      </c>
      <c r="O441" s="6"/>
      <c r="P441" s="6"/>
      <c r="Q441" s="46" t="str">
        <f aca="false">IF($A441="","",DATE(YEAR($A441),MONTH($A441),1))</f>
        <v/>
      </c>
      <c r="R441" s="8" t="str">
        <f aca="false">IF(OR($A441="",$D441=""),"",IF(COUNTIFS($D$6:$D$1005,$D441,$A$6:$A$1005,"&gt;"&amp;$A441)=0,1,0))</f>
        <v/>
      </c>
    </row>
    <row r="442" customFormat="false" ht="15" hidden="false" customHeight="false" outlineLevel="0" collapsed="false">
      <c r="A442" s="44"/>
      <c r="B442" s="6"/>
      <c r="C442" s="6"/>
      <c r="D442" s="6"/>
      <c r="E442" s="8" t="str">
        <f aca="false">IF($D442="","",IFERROR(INDEX(INSUMOS!$B$6:$B$205,MATCH($D442,INSUMOS!$A$6:$A$205,0)),"¿Código?"))</f>
        <v/>
      </c>
      <c r="F442" s="8" t="str">
        <f aca="false">IF($D442="","",IFERROR(INDEX(INSUMOS!$E$6:$E$205,MATCH($D442,INSUMOS!$A$6:$A$205,0)),""))</f>
        <v/>
      </c>
      <c r="G442" s="39"/>
      <c r="H442" s="45" t="str">
        <f aca="false">IF($D442="","",IFERROR(INDEX(INSUMOS!$F$6:$F$205,MATCH($D442,INSUMOS!$A$6:$A$205,0)),0))</f>
        <v/>
      </c>
      <c r="I442" s="34" t="str">
        <f aca="false">IF($D442="","",N($G442)*$H442)</f>
        <v/>
      </c>
      <c r="J442" s="40"/>
      <c r="K442" s="36" t="str">
        <f aca="false">IF($D442="","",IFERROR(INDEX(INSUMOS!$H$6:$H$205,MATCH($D442,INSUMOS!$A$6:$A$205,0)),IVA_VENTAS))</f>
        <v/>
      </c>
      <c r="L442" s="35" t="str">
        <f aca="false">IF($D442="","",N($J442)*$K442)</f>
        <v/>
      </c>
      <c r="M442" s="35" t="str">
        <f aca="false">IF($D442="","",N($J442)+$L442)</f>
        <v/>
      </c>
      <c r="N442" s="43" t="str">
        <f aca="false">IF($D442="","",IFERROR(N($J442)/$I442,0))</f>
        <v/>
      </c>
      <c r="O442" s="6"/>
      <c r="P442" s="6"/>
      <c r="Q442" s="46" t="str">
        <f aca="false">IF($A442="","",DATE(YEAR($A442),MONTH($A442),1))</f>
        <v/>
      </c>
      <c r="R442" s="8" t="str">
        <f aca="false">IF(OR($A442="",$D442=""),"",IF(COUNTIFS($D$6:$D$1005,$D442,$A$6:$A$1005,"&gt;"&amp;$A442)=0,1,0))</f>
        <v/>
      </c>
    </row>
    <row r="443" customFormat="false" ht="15" hidden="false" customHeight="false" outlineLevel="0" collapsed="false">
      <c r="A443" s="44"/>
      <c r="B443" s="6"/>
      <c r="C443" s="6"/>
      <c r="D443" s="6"/>
      <c r="E443" s="8" t="str">
        <f aca="false">IF($D443="","",IFERROR(INDEX(INSUMOS!$B$6:$B$205,MATCH($D443,INSUMOS!$A$6:$A$205,0)),"¿Código?"))</f>
        <v/>
      </c>
      <c r="F443" s="8" t="str">
        <f aca="false">IF($D443="","",IFERROR(INDEX(INSUMOS!$E$6:$E$205,MATCH($D443,INSUMOS!$A$6:$A$205,0)),""))</f>
        <v/>
      </c>
      <c r="G443" s="39"/>
      <c r="H443" s="45" t="str">
        <f aca="false">IF($D443="","",IFERROR(INDEX(INSUMOS!$F$6:$F$205,MATCH($D443,INSUMOS!$A$6:$A$205,0)),0))</f>
        <v/>
      </c>
      <c r="I443" s="34" t="str">
        <f aca="false">IF($D443="","",N($G443)*$H443)</f>
        <v/>
      </c>
      <c r="J443" s="40"/>
      <c r="K443" s="36" t="str">
        <f aca="false">IF($D443="","",IFERROR(INDEX(INSUMOS!$H$6:$H$205,MATCH($D443,INSUMOS!$A$6:$A$205,0)),IVA_VENTAS))</f>
        <v/>
      </c>
      <c r="L443" s="35" t="str">
        <f aca="false">IF($D443="","",N($J443)*$K443)</f>
        <v/>
      </c>
      <c r="M443" s="35" t="str">
        <f aca="false">IF($D443="","",N($J443)+$L443)</f>
        <v/>
      </c>
      <c r="N443" s="43" t="str">
        <f aca="false">IF($D443="","",IFERROR(N($J443)/$I443,0))</f>
        <v/>
      </c>
      <c r="O443" s="6"/>
      <c r="P443" s="6"/>
      <c r="Q443" s="46" t="str">
        <f aca="false">IF($A443="","",DATE(YEAR($A443),MONTH($A443),1))</f>
        <v/>
      </c>
      <c r="R443" s="8" t="str">
        <f aca="false">IF(OR($A443="",$D443=""),"",IF(COUNTIFS($D$6:$D$1005,$D443,$A$6:$A$1005,"&gt;"&amp;$A443)=0,1,0))</f>
        <v/>
      </c>
    </row>
    <row r="444" customFormat="false" ht="15" hidden="false" customHeight="false" outlineLevel="0" collapsed="false">
      <c r="A444" s="44"/>
      <c r="B444" s="6"/>
      <c r="C444" s="6"/>
      <c r="D444" s="6"/>
      <c r="E444" s="8" t="str">
        <f aca="false">IF($D444="","",IFERROR(INDEX(INSUMOS!$B$6:$B$205,MATCH($D444,INSUMOS!$A$6:$A$205,0)),"¿Código?"))</f>
        <v/>
      </c>
      <c r="F444" s="8" t="str">
        <f aca="false">IF($D444="","",IFERROR(INDEX(INSUMOS!$E$6:$E$205,MATCH($D444,INSUMOS!$A$6:$A$205,0)),""))</f>
        <v/>
      </c>
      <c r="G444" s="39"/>
      <c r="H444" s="45" t="str">
        <f aca="false">IF($D444="","",IFERROR(INDEX(INSUMOS!$F$6:$F$205,MATCH($D444,INSUMOS!$A$6:$A$205,0)),0))</f>
        <v/>
      </c>
      <c r="I444" s="34" t="str">
        <f aca="false">IF($D444="","",N($G444)*$H444)</f>
        <v/>
      </c>
      <c r="J444" s="40"/>
      <c r="K444" s="36" t="str">
        <f aca="false">IF($D444="","",IFERROR(INDEX(INSUMOS!$H$6:$H$205,MATCH($D444,INSUMOS!$A$6:$A$205,0)),IVA_VENTAS))</f>
        <v/>
      </c>
      <c r="L444" s="35" t="str">
        <f aca="false">IF($D444="","",N($J444)*$K444)</f>
        <v/>
      </c>
      <c r="M444" s="35" t="str">
        <f aca="false">IF($D444="","",N($J444)+$L444)</f>
        <v/>
      </c>
      <c r="N444" s="43" t="str">
        <f aca="false">IF($D444="","",IFERROR(N($J444)/$I444,0))</f>
        <v/>
      </c>
      <c r="O444" s="6"/>
      <c r="P444" s="6"/>
      <c r="Q444" s="46" t="str">
        <f aca="false">IF($A444="","",DATE(YEAR($A444),MONTH($A444),1))</f>
        <v/>
      </c>
      <c r="R444" s="8" t="str">
        <f aca="false">IF(OR($A444="",$D444=""),"",IF(COUNTIFS($D$6:$D$1005,$D444,$A$6:$A$1005,"&gt;"&amp;$A444)=0,1,0))</f>
        <v/>
      </c>
    </row>
    <row r="445" customFormat="false" ht="15" hidden="false" customHeight="false" outlineLevel="0" collapsed="false">
      <c r="A445" s="44"/>
      <c r="B445" s="6"/>
      <c r="C445" s="6"/>
      <c r="D445" s="6"/>
      <c r="E445" s="8" t="str">
        <f aca="false">IF($D445="","",IFERROR(INDEX(INSUMOS!$B$6:$B$205,MATCH($D445,INSUMOS!$A$6:$A$205,0)),"¿Código?"))</f>
        <v/>
      </c>
      <c r="F445" s="8" t="str">
        <f aca="false">IF($D445="","",IFERROR(INDEX(INSUMOS!$E$6:$E$205,MATCH($D445,INSUMOS!$A$6:$A$205,0)),""))</f>
        <v/>
      </c>
      <c r="G445" s="39"/>
      <c r="H445" s="45" t="str">
        <f aca="false">IF($D445="","",IFERROR(INDEX(INSUMOS!$F$6:$F$205,MATCH($D445,INSUMOS!$A$6:$A$205,0)),0))</f>
        <v/>
      </c>
      <c r="I445" s="34" t="str">
        <f aca="false">IF($D445="","",N($G445)*$H445)</f>
        <v/>
      </c>
      <c r="J445" s="40"/>
      <c r="K445" s="36" t="str">
        <f aca="false">IF($D445="","",IFERROR(INDEX(INSUMOS!$H$6:$H$205,MATCH($D445,INSUMOS!$A$6:$A$205,0)),IVA_VENTAS))</f>
        <v/>
      </c>
      <c r="L445" s="35" t="str">
        <f aca="false">IF($D445="","",N($J445)*$K445)</f>
        <v/>
      </c>
      <c r="M445" s="35" t="str">
        <f aca="false">IF($D445="","",N($J445)+$L445)</f>
        <v/>
      </c>
      <c r="N445" s="43" t="str">
        <f aca="false">IF($D445="","",IFERROR(N($J445)/$I445,0))</f>
        <v/>
      </c>
      <c r="O445" s="6"/>
      <c r="P445" s="6"/>
      <c r="Q445" s="46" t="str">
        <f aca="false">IF($A445="","",DATE(YEAR($A445),MONTH($A445),1))</f>
        <v/>
      </c>
      <c r="R445" s="8" t="str">
        <f aca="false">IF(OR($A445="",$D445=""),"",IF(COUNTIFS($D$6:$D$1005,$D445,$A$6:$A$1005,"&gt;"&amp;$A445)=0,1,0))</f>
        <v/>
      </c>
    </row>
    <row r="446" customFormat="false" ht="15" hidden="false" customHeight="false" outlineLevel="0" collapsed="false">
      <c r="A446" s="44"/>
      <c r="B446" s="6"/>
      <c r="C446" s="6"/>
      <c r="D446" s="6"/>
      <c r="E446" s="8" t="str">
        <f aca="false">IF($D446="","",IFERROR(INDEX(INSUMOS!$B$6:$B$205,MATCH($D446,INSUMOS!$A$6:$A$205,0)),"¿Código?"))</f>
        <v/>
      </c>
      <c r="F446" s="8" t="str">
        <f aca="false">IF($D446="","",IFERROR(INDEX(INSUMOS!$E$6:$E$205,MATCH($D446,INSUMOS!$A$6:$A$205,0)),""))</f>
        <v/>
      </c>
      <c r="G446" s="39"/>
      <c r="H446" s="45" t="str">
        <f aca="false">IF($D446="","",IFERROR(INDEX(INSUMOS!$F$6:$F$205,MATCH($D446,INSUMOS!$A$6:$A$205,0)),0))</f>
        <v/>
      </c>
      <c r="I446" s="34" t="str">
        <f aca="false">IF($D446="","",N($G446)*$H446)</f>
        <v/>
      </c>
      <c r="J446" s="40"/>
      <c r="K446" s="36" t="str">
        <f aca="false">IF($D446="","",IFERROR(INDEX(INSUMOS!$H$6:$H$205,MATCH($D446,INSUMOS!$A$6:$A$205,0)),IVA_VENTAS))</f>
        <v/>
      </c>
      <c r="L446" s="35" t="str">
        <f aca="false">IF($D446="","",N($J446)*$K446)</f>
        <v/>
      </c>
      <c r="M446" s="35" t="str">
        <f aca="false">IF($D446="","",N($J446)+$L446)</f>
        <v/>
      </c>
      <c r="N446" s="43" t="str">
        <f aca="false">IF($D446="","",IFERROR(N($J446)/$I446,0))</f>
        <v/>
      </c>
      <c r="O446" s="6"/>
      <c r="P446" s="6"/>
      <c r="Q446" s="46" t="str">
        <f aca="false">IF($A446="","",DATE(YEAR($A446),MONTH($A446),1))</f>
        <v/>
      </c>
      <c r="R446" s="8" t="str">
        <f aca="false">IF(OR($A446="",$D446=""),"",IF(COUNTIFS($D$6:$D$1005,$D446,$A$6:$A$1005,"&gt;"&amp;$A446)=0,1,0))</f>
        <v/>
      </c>
    </row>
    <row r="447" customFormat="false" ht="15" hidden="false" customHeight="false" outlineLevel="0" collapsed="false">
      <c r="A447" s="44"/>
      <c r="B447" s="6"/>
      <c r="C447" s="6"/>
      <c r="D447" s="6"/>
      <c r="E447" s="8" t="str">
        <f aca="false">IF($D447="","",IFERROR(INDEX(INSUMOS!$B$6:$B$205,MATCH($D447,INSUMOS!$A$6:$A$205,0)),"¿Código?"))</f>
        <v/>
      </c>
      <c r="F447" s="8" t="str">
        <f aca="false">IF($D447="","",IFERROR(INDEX(INSUMOS!$E$6:$E$205,MATCH($D447,INSUMOS!$A$6:$A$205,0)),""))</f>
        <v/>
      </c>
      <c r="G447" s="39"/>
      <c r="H447" s="45" t="str">
        <f aca="false">IF($D447="","",IFERROR(INDEX(INSUMOS!$F$6:$F$205,MATCH($D447,INSUMOS!$A$6:$A$205,0)),0))</f>
        <v/>
      </c>
      <c r="I447" s="34" t="str">
        <f aca="false">IF($D447="","",N($G447)*$H447)</f>
        <v/>
      </c>
      <c r="J447" s="40"/>
      <c r="K447" s="36" t="str">
        <f aca="false">IF($D447="","",IFERROR(INDEX(INSUMOS!$H$6:$H$205,MATCH($D447,INSUMOS!$A$6:$A$205,0)),IVA_VENTAS))</f>
        <v/>
      </c>
      <c r="L447" s="35" t="str">
        <f aca="false">IF($D447="","",N($J447)*$K447)</f>
        <v/>
      </c>
      <c r="M447" s="35" t="str">
        <f aca="false">IF($D447="","",N($J447)+$L447)</f>
        <v/>
      </c>
      <c r="N447" s="43" t="str">
        <f aca="false">IF($D447="","",IFERROR(N($J447)/$I447,0))</f>
        <v/>
      </c>
      <c r="O447" s="6"/>
      <c r="P447" s="6"/>
      <c r="Q447" s="46" t="str">
        <f aca="false">IF($A447="","",DATE(YEAR($A447),MONTH($A447),1))</f>
        <v/>
      </c>
      <c r="R447" s="8" t="str">
        <f aca="false">IF(OR($A447="",$D447=""),"",IF(COUNTIFS($D$6:$D$1005,$D447,$A$6:$A$1005,"&gt;"&amp;$A447)=0,1,0))</f>
        <v/>
      </c>
    </row>
    <row r="448" customFormat="false" ht="15" hidden="false" customHeight="false" outlineLevel="0" collapsed="false">
      <c r="A448" s="44"/>
      <c r="B448" s="6"/>
      <c r="C448" s="6"/>
      <c r="D448" s="6"/>
      <c r="E448" s="8" t="str">
        <f aca="false">IF($D448="","",IFERROR(INDEX(INSUMOS!$B$6:$B$205,MATCH($D448,INSUMOS!$A$6:$A$205,0)),"¿Código?"))</f>
        <v/>
      </c>
      <c r="F448" s="8" t="str">
        <f aca="false">IF($D448="","",IFERROR(INDEX(INSUMOS!$E$6:$E$205,MATCH($D448,INSUMOS!$A$6:$A$205,0)),""))</f>
        <v/>
      </c>
      <c r="G448" s="39"/>
      <c r="H448" s="45" t="str">
        <f aca="false">IF($D448="","",IFERROR(INDEX(INSUMOS!$F$6:$F$205,MATCH($D448,INSUMOS!$A$6:$A$205,0)),0))</f>
        <v/>
      </c>
      <c r="I448" s="34" t="str">
        <f aca="false">IF($D448="","",N($G448)*$H448)</f>
        <v/>
      </c>
      <c r="J448" s="40"/>
      <c r="K448" s="36" t="str">
        <f aca="false">IF($D448="","",IFERROR(INDEX(INSUMOS!$H$6:$H$205,MATCH($D448,INSUMOS!$A$6:$A$205,0)),IVA_VENTAS))</f>
        <v/>
      </c>
      <c r="L448" s="35" t="str">
        <f aca="false">IF($D448="","",N($J448)*$K448)</f>
        <v/>
      </c>
      <c r="M448" s="35" t="str">
        <f aca="false">IF($D448="","",N($J448)+$L448)</f>
        <v/>
      </c>
      <c r="N448" s="43" t="str">
        <f aca="false">IF($D448="","",IFERROR(N($J448)/$I448,0))</f>
        <v/>
      </c>
      <c r="O448" s="6"/>
      <c r="P448" s="6"/>
      <c r="Q448" s="46" t="str">
        <f aca="false">IF($A448="","",DATE(YEAR($A448),MONTH($A448),1))</f>
        <v/>
      </c>
      <c r="R448" s="8" t="str">
        <f aca="false">IF(OR($A448="",$D448=""),"",IF(COUNTIFS($D$6:$D$1005,$D448,$A$6:$A$1005,"&gt;"&amp;$A448)=0,1,0))</f>
        <v/>
      </c>
    </row>
    <row r="449" customFormat="false" ht="15" hidden="false" customHeight="false" outlineLevel="0" collapsed="false">
      <c r="A449" s="44"/>
      <c r="B449" s="6"/>
      <c r="C449" s="6"/>
      <c r="D449" s="6"/>
      <c r="E449" s="8" t="str">
        <f aca="false">IF($D449="","",IFERROR(INDEX(INSUMOS!$B$6:$B$205,MATCH($D449,INSUMOS!$A$6:$A$205,0)),"¿Código?"))</f>
        <v/>
      </c>
      <c r="F449" s="8" t="str">
        <f aca="false">IF($D449="","",IFERROR(INDEX(INSUMOS!$E$6:$E$205,MATCH($D449,INSUMOS!$A$6:$A$205,0)),""))</f>
        <v/>
      </c>
      <c r="G449" s="39"/>
      <c r="H449" s="45" t="str">
        <f aca="false">IF($D449="","",IFERROR(INDEX(INSUMOS!$F$6:$F$205,MATCH($D449,INSUMOS!$A$6:$A$205,0)),0))</f>
        <v/>
      </c>
      <c r="I449" s="34" t="str">
        <f aca="false">IF($D449="","",N($G449)*$H449)</f>
        <v/>
      </c>
      <c r="J449" s="40"/>
      <c r="K449" s="36" t="str">
        <f aca="false">IF($D449="","",IFERROR(INDEX(INSUMOS!$H$6:$H$205,MATCH($D449,INSUMOS!$A$6:$A$205,0)),IVA_VENTAS))</f>
        <v/>
      </c>
      <c r="L449" s="35" t="str">
        <f aca="false">IF($D449="","",N($J449)*$K449)</f>
        <v/>
      </c>
      <c r="M449" s="35" t="str">
        <f aca="false">IF($D449="","",N($J449)+$L449)</f>
        <v/>
      </c>
      <c r="N449" s="43" t="str">
        <f aca="false">IF($D449="","",IFERROR(N($J449)/$I449,0))</f>
        <v/>
      </c>
      <c r="O449" s="6"/>
      <c r="P449" s="6"/>
      <c r="Q449" s="46" t="str">
        <f aca="false">IF($A449="","",DATE(YEAR($A449),MONTH($A449),1))</f>
        <v/>
      </c>
      <c r="R449" s="8" t="str">
        <f aca="false">IF(OR($A449="",$D449=""),"",IF(COUNTIFS($D$6:$D$1005,$D449,$A$6:$A$1005,"&gt;"&amp;$A449)=0,1,0))</f>
        <v/>
      </c>
    </row>
    <row r="450" customFormat="false" ht="15" hidden="false" customHeight="false" outlineLevel="0" collapsed="false">
      <c r="A450" s="44"/>
      <c r="B450" s="6"/>
      <c r="C450" s="6"/>
      <c r="D450" s="6"/>
      <c r="E450" s="8" t="str">
        <f aca="false">IF($D450="","",IFERROR(INDEX(INSUMOS!$B$6:$B$205,MATCH($D450,INSUMOS!$A$6:$A$205,0)),"¿Código?"))</f>
        <v/>
      </c>
      <c r="F450" s="8" t="str">
        <f aca="false">IF($D450="","",IFERROR(INDEX(INSUMOS!$E$6:$E$205,MATCH($D450,INSUMOS!$A$6:$A$205,0)),""))</f>
        <v/>
      </c>
      <c r="G450" s="39"/>
      <c r="H450" s="45" t="str">
        <f aca="false">IF($D450="","",IFERROR(INDEX(INSUMOS!$F$6:$F$205,MATCH($D450,INSUMOS!$A$6:$A$205,0)),0))</f>
        <v/>
      </c>
      <c r="I450" s="34" t="str">
        <f aca="false">IF($D450="","",N($G450)*$H450)</f>
        <v/>
      </c>
      <c r="J450" s="40"/>
      <c r="K450" s="36" t="str">
        <f aca="false">IF($D450="","",IFERROR(INDEX(INSUMOS!$H$6:$H$205,MATCH($D450,INSUMOS!$A$6:$A$205,0)),IVA_VENTAS))</f>
        <v/>
      </c>
      <c r="L450" s="35" t="str">
        <f aca="false">IF($D450="","",N($J450)*$K450)</f>
        <v/>
      </c>
      <c r="M450" s="35" t="str">
        <f aca="false">IF($D450="","",N($J450)+$L450)</f>
        <v/>
      </c>
      <c r="N450" s="43" t="str">
        <f aca="false">IF($D450="","",IFERROR(N($J450)/$I450,0))</f>
        <v/>
      </c>
      <c r="O450" s="6"/>
      <c r="P450" s="6"/>
      <c r="Q450" s="46" t="str">
        <f aca="false">IF($A450="","",DATE(YEAR($A450),MONTH($A450),1))</f>
        <v/>
      </c>
      <c r="R450" s="8" t="str">
        <f aca="false">IF(OR($A450="",$D450=""),"",IF(COUNTIFS($D$6:$D$1005,$D450,$A$6:$A$1005,"&gt;"&amp;$A450)=0,1,0))</f>
        <v/>
      </c>
    </row>
    <row r="451" customFormat="false" ht="15" hidden="false" customHeight="false" outlineLevel="0" collapsed="false">
      <c r="A451" s="44"/>
      <c r="B451" s="6"/>
      <c r="C451" s="6"/>
      <c r="D451" s="6"/>
      <c r="E451" s="8" t="str">
        <f aca="false">IF($D451="","",IFERROR(INDEX(INSUMOS!$B$6:$B$205,MATCH($D451,INSUMOS!$A$6:$A$205,0)),"¿Código?"))</f>
        <v/>
      </c>
      <c r="F451" s="8" t="str">
        <f aca="false">IF($D451="","",IFERROR(INDEX(INSUMOS!$E$6:$E$205,MATCH($D451,INSUMOS!$A$6:$A$205,0)),""))</f>
        <v/>
      </c>
      <c r="G451" s="39"/>
      <c r="H451" s="45" t="str">
        <f aca="false">IF($D451="","",IFERROR(INDEX(INSUMOS!$F$6:$F$205,MATCH($D451,INSUMOS!$A$6:$A$205,0)),0))</f>
        <v/>
      </c>
      <c r="I451" s="34" t="str">
        <f aca="false">IF($D451="","",N($G451)*$H451)</f>
        <v/>
      </c>
      <c r="J451" s="40"/>
      <c r="K451" s="36" t="str">
        <f aca="false">IF($D451="","",IFERROR(INDEX(INSUMOS!$H$6:$H$205,MATCH($D451,INSUMOS!$A$6:$A$205,0)),IVA_VENTAS))</f>
        <v/>
      </c>
      <c r="L451" s="35" t="str">
        <f aca="false">IF($D451="","",N($J451)*$K451)</f>
        <v/>
      </c>
      <c r="M451" s="35" t="str">
        <f aca="false">IF($D451="","",N($J451)+$L451)</f>
        <v/>
      </c>
      <c r="N451" s="43" t="str">
        <f aca="false">IF($D451="","",IFERROR(N($J451)/$I451,0))</f>
        <v/>
      </c>
      <c r="O451" s="6"/>
      <c r="P451" s="6"/>
      <c r="Q451" s="46" t="str">
        <f aca="false">IF($A451="","",DATE(YEAR($A451),MONTH($A451),1))</f>
        <v/>
      </c>
      <c r="R451" s="8" t="str">
        <f aca="false">IF(OR($A451="",$D451=""),"",IF(COUNTIFS($D$6:$D$1005,$D451,$A$6:$A$1005,"&gt;"&amp;$A451)=0,1,0))</f>
        <v/>
      </c>
    </row>
    <row r="452" customFormat="false" ht="15" hidden="false" customHeight="false" outlineLevel="0" collapsed="false">
      <c r="A452" s="44"/>
      <c r="B452" s="6"/>
      <c r="C452" s="6"/>
      <c r="D452" s="6"/>
      <c r="E452" s="8" t="str">
        <f aca="false">IF($D452="","",IFERROR(INDEX(INSUMOS!$B$6:$B$205,MATCH($D452,INSUMOS!$A$6:$A$205,0)),"¿Código?"))</f>
        <v/>
      </c>
      <c r="F452" s="8" t="str">
        <f aca="false">IF($D452="","",IFERROR(INDEX(INSUMOS!$E$6:$E$205,MATCH($D452,INSUMOS!$A$6:$A$205,0)),""))</f>
        <v/>
      </c>
      <c r="G452" s="39"/>
      <c r="H452" s="45" t="str">
        <f aca="false">IF($D452="","",IFERROR(INDEX(INSUMOS!$F$6:$F$205,MATCH($D452,INSUMOS!$A$6:$A$205,0)),0))</f>
        <v/>
      </c>
      <c r="I452" s="34" t="str">
        <f aca="false">IF($D452="","",N($G452)*$H452)</f>
        <v/>
      </c>
      <c r="J452" s="40"/>
      <c r="K452" s="36" t="str">
        <f aca="false">IF($D452="","",IFERROR(INDEX(INSUMOS!$H$6:$H$205,MATCH($D452,INSUMOS!$A$6:$A$205,0)),IVA_VENTAS))</f>
        <v/>
      </c>
      <c r="L452" s="35" t="str">
        <f aca="false">IF($D452="","",N($J452)*$K452)</f>
        <v/>
      </c>
      <c r="M452" s="35" t="str">
        <f aca="false">IF($D452="","",N($J452)+$L452)</f>
        <v/>
      </c>
      <c r="N452" s="43" t="str">
        <f aca="false">IF($D452="","",IFERROR(N($J452)/$I452,0))</f>
        <v/>
      </c>
      <c r="O452" s="6"/>
      <c r="P452" s="6"/>
      <c r="Q452" s="46" t="str">
        <f aca="false">IF($A452="","",DATE(YEAR($A452),MONTH($A452),1))</f>
        <v/>
      </c>
      <c r="R452" s="8" t="str">
        <f aca="false">IF(OR($A452="",$D452=""),"",IF(COUNTIFS($D$6:$D$1005,$D452,$A$6:$A$1005,"&gt;"&amp;$A452)=0,1,0))</f>
        <v/>
      </c>
    </row>
    <row r="453" customFormat="false" ht="15" hidden="false" customHeight="false" outlineLevel="0" collapsed="false">
      <c r="A453" s="44"/>
      <c r="B453" s="6"/>
      <c r="C453" s="6"/>
      <c r="D453" s="6"/>
      <c r="E453" s="8" t="str">
        <f aca="false">IF($D453="","",IFERROR(INDEX(INSUMOS!$B$6:$B$205,MATCH($D453,INSUMOS!$A$6:$A$205,0)),"¿Código?"))</f>
        <v/>
      </c>
      <c r="F453" s="8" t="str">
        <f aca="false">IF($D453="","",IFERROR(INDEX(INSUMOS!$E$6:$E$205,MATCH($D453,INSUMOS!$A$6:$A$205,0)),""))</f>
        <v/>
      </c>
      <c r="G453" s="39"/>
      <c r="H453" s="45" t="str">
        <f aca="false">IF($D453="","",IFERROR(INDEX(INSUMOS!$F$6:$F$205,MATCH($D453,INSUMOS!$A$6:$A$205,0)),0))</f>
        <v/>
      </c>
      <c r="I453" s="34" t="str">
        <f aca="false">IF($D453="","",N($G453)*$H453)</f>
        <v/>
      </c>
      <c r="J453" s="40"/>
      <c r="K453" s="36" t="str">
        <f aca="false">IF($D453="","",IFERROR(INDEX(INSUMOS!$H$6:$H$205,MATCH($D453,INSUMOS!$A$6:$A$205,0)),IVA_VENTAS))</f>
        <v/>
      </c>
      <c r="L453" s="35" t="str">
        <f aca="false">IF($D453="","",N($J453)*$K453)</f>
        <v/>
      </c>
      <c r="M453" s="35" t="str">
        <f aca="false">IF($D453="","",N($J453)+$L453)</f>
        <v/>
      </c>
      <c r="N453" s="43" t="str">
        <f aca="false">IF($D453="","",IFERROR(N($J453)/$I453,0))</f>
        <v/>
      </c>
      <c r="O453" s="6"/>
      <c r="P453" s="6"/>
      <c r="Q453" s="46" t="str">
        <f aca="false">IF($A453="","",DATE(YEAR($A453),MONTH($A453),1))</f>
        <v/>
      </c>
      <c r="R453" s="8" t="str">
        <f aca="false">IF(OR($A453="",$D453=""),"",IF(COUNTIFS($D$6:$D$1005,$D453,$A$6:$A$1005,"&gt;"&amp;$A453)=0,1,0))</f>
        <v/>
      </c>
    </row>
    <row r="454" customFormat="false" ht="15" hidden="false" customHeight="false" outlineLevel="0" collapsed="false">
      <c r="A454" s="44"/>
      <c r="B454" s="6"/>
      <c r="C454" s="6"/>
      <c r="D454" s="6"/>
      <c r="E454" s="8" t="str">
        <f aca="false">IF($D454="","",IFERROR(INDEX(INSUMOS!$B$6:$B$205,MATCH($D454,INSUMOS!$A$6:$A$205,0)),"¿Código?"))</f>
        <v/>
      </c>
      <c r="F454" s="8" t="str">
        <f aca="false">IF($D454="","",IFERROR(INDEX(INSUMOS!$E$6:$E$205,MATCH($D454,INSUMOS!$A$6:$A$205,0)),""))</f>
        <v/>
      </c>
      <c r="G454" s="39"/>
      <c r="H454" s="45" t="str">
        <f aca="false">IF($D454="","",IFERROR(INDEX(INSUMOS!$F$6:$F$205,MATCH($D454,INSUMOS!$A$6:$A$205,0)),0))</f>
        <v/>
      </c>
      <c r="I454" s="34" t="str">
        <f aca="false">IF($D454="","",N($G454)*$H454)</f>
        <v/>
      </c>
      <c r="J454" s="40"/>
      <c r="K454" s="36" t="str">
        <f aca="false">IF($D454="","",IFERROR(INDEX(INSUMOS!$H$6:$H$205,MATCH($D454,INSUMOS!$A$6:$A$205,0)),IVA_VENTAS))</f>
        <v/>
      </c>
      <c r="L454" s="35" t="str">
        <f aca="false">IF($D454="","",N($J454)*$K454)</f>
        <v/>
      </c>
      <c r="M454" s="35" t="str">
        <f aca="false">IF($D454="","",N($J454)+$L454)</f>
        <v/>
      </c>
      <c r="N454" s="43" t="str">
        <f aca="false">IF($D454="","",IFERROR(N($J454)/$I454,0))</f>
        <v/>
      </c>
      <c r="O454" s="6"/>
      <c r="P454" s="6"/>
      <c r="Q454" s="46" t="str">
        <f aca="false">IF($A454="","",DATE(YEAR($A454),MONTH($A454),1))</f>
        <v/>
      </c>
      <c r="R454" s="8" t="str">
        <f aca="false">IF(OR($A454="",$D454=""),"",IF(COUNTIFS($D$6:$D$1005,$D454,$A$6:$A$1005,"&gt;"&amp;$A454)=0,1,0))</f>
        <v/>
      </c>
    </row>
    <row r="455" customFormat="false" ht="15" hidden="false" customHeight="false" outlineLevel="0" collapsed="false">
      <c r="A455" s="44"/>
      <c r="B455" s="6"/>
      <c r="C455" s="6"/>
      <c r="D455" s="6"/>
      <c r="E455" s="8" t="str">
        <f aca="false">IF($D455="","",IFERROR(INDEX(INSUMOS!$B$6:$B$205,MATCH($D455,INSUMOS!$A$6:$A$205,0)),"¿Código?"))</f>
        <v/>
      </c>
      <c r="F455" s="8" t="str">
        <f aca="false">IF($D455="","",IFERROR(INDEX(INSUMOS!$E$6:$E$205,MATCH($D455,INSUMOS!$A$6:$A$205,0)),""))</f>
        <v/>
      </c>
      <c r="G455" s="39"/>
      <c r="H455" s="45" t="str">
        <f aca="false">IF($D455="","",IFERROR(INDEX(INSUMOS!$F$6:$F$205,MATCH($D455,INSUMOS!$A$6:$A$205,0)),0))</f>
        <v/>
      </c>
      <c r="I455" s="34" t="str">
        <f aca="false">IF($D455="","",N($G455)*$H455)</f>
        <v/>
      </c>
      <c r="J455" s="40"/>
      <c r="K455" s="36" t="str">
        <f aca="false">IF($D455="","",IFERROR(INDEX(INSUMOS!$H$6:$H$205,MATCH($D455,INSUMOS!$A$6:$A$205,0)),IVA_VENTAS))</f>
        <v/>
      </c>
      <c r="L455" s="35" t="str">
        <f aca="false">IF($D455="","",N($J455)*$K455)</f>
        <v/>
      </c>
      <c r="M455" s="35" t="str">
        <f aca="false">IF($D455="","",N($J455)+$L455)</f>
        <v/>
      </c>
      <c r="N455" s="43" t="str">
        <f aca="false">IF($D455="","",IFERROR(N($J455)/$I455,0))</f>
        <v/>
      </c>
      <c r="O455" s="6"/>
      <c r="P455" s="6"/>
      <c r="Q455" s="46" t="str">
        <f aca="false">IF($A455="","",DATE(YEAR($A455),MONTH($A455),1))</f>
        <v/>
      </c>
      <c r="R455" s="8" t="str">
        <f aca="false">IF(OR($A455="",$D455=""),"",IF(COUNTIFS($D$6:$D$1005,$D455,$A$6:$A$1005,"&gt;"&amp;$A455)=0,1,0))</f>
        <v/>
      </c>
    </row>
    <row r="456" customFormat="false" ht="15" hidden="false" customHeight="false" outlineLevel="0" collapsed="false">
      <c r="A456" s="44"/>
      <c r="B456" s="6"/>
      <c r="C456" s="6"/>
      <c r="D456" s="6"/>
      <c r="E456" s="8" t="str">
        <f aca="false">IF($D456="","",IFERROR(INDEX(INSUMOS!$B$6:$B$205,MATCH($D456,INSUMOS!$A$6:$A$205,0)),"¿Código?"))</f>
        <v/>
      </c>
      <c r="F456" s="8" t="str">
        <f aca="false">IF($D456="","",IFERROR(INDEX(INSUMOS!$E$6:$E$205,MATCH($D456,INSUMOS!$A$6:$A$205,0)),""))</f>
        <v/>
      </c>
      <c r="G456" s="39"/>
      <c r="H456" s="45" t="str">
        <f aca="false">IF($D456="","",IFERROR(INDEX(INSUMOS!$F$6:$F$205,MATCH($D456,INSUMOS!$A$6:$A$205,0)),0))</f>
        <v/>
      </c>
      <c r="I456" s="34" t="str">
        <f aca="false">IF($D456="","",N($G456)*$H456)</f>
        <v/>
      </c>
      <c r="J456" s="40"/>
      <c r="K456" s="36" t="str">
        <f aca="false">IF($D456="","",IFERROR(INDEX(INSUMOS!$H$6:$H$205,MATCH($D456,INSUMOS!$A$6:$A$205,0)),IVA_VENTAS))</f>
        <v/>
      </c>
      <c r="L456" s="35" t="str">
        <f aca="false">IF($D456="","",N($J456)*$K456)</f>
        <v/>
      </c>
      <c r="M456" s="35" t="str">
        <f aca="false">IF($D456="","",N($J456)+$L456)</f>
        <v/>
      </c>
      <c r="N456" s="43" t="str">
        <f aca="false">IF($D456="","",IFERROR(N($J456)/$I456,0))</f>
        <v/>
      </c>
      <c r="O456" s="6"/>
      <c r="P456" s="6"/>
      <c r="Q456" s="46" t="str">
        <f aca="false">IF($A456="","",DATE(YEAR($A456),MONTH($A456),1))</f>
        <v/>
      </c>
      <c r="R456" s="8" t="str">
        <f aca="false">IF(OR($A456="",$D456=""),"",IF(COUNTIFS($D$6:$D$1005,$D456,$A$6:$A$1005,"&gt;"&amp;$A456)=0,1,0))</f>
        <v/>
      </c>
    </row>
    <row r="457" customFormat="false" ht="15" hidden="false" customHeight="false" outlineLevel="0" collapsed="false">
      <c r="A457" s="44"/>
      <c r="B457" s="6"/>
      <c r="C457" s="6"/>
      <c r="D457" s="6"/>
      <c r="E457" s="8" t="str">
        <f aca="false">IF($D457="","",IFERROR(INDEX(INSUMOS!$B$6:$B$205,MATCH($D457,INSUMOS!$A$6:$A$205,0)),"¿Código?"))</f>
        <v/>
      </c>
      <c r="F457" s="8" t="str">
        <f aca="false">IF($D457="","",IFERROR(INDEX(INSUMOS!$E$6:$E$205,MATCH($D457,INSUMOS!$A$6:$A$205,0)),""))</f>
        <v/>
      </c>
      <c r="G457" s="39"/>
      <c r="H457" s="45" t="str">
        <f aca="false">IF($D457="","",IFERROR(INDEX(INSUMOS!$F$6:$F$205,MATCH($D457,INSUMOS!$A$6:$A$205,0)),0))</f>
        <v/>
      </c>
      <c r="I457" s="34" t="str">
        <f aca="false">IF($D457="","",N($G457)*$H457)</f>
        <v/>
      </c>
      <c r="J457" s="40"/>
      <c r="K457" s="36" t="str">
        <f aca="false">IF($D457="","",IFERROR(INDEX(INSUMOS!$H$6:$H$205,MATCH($D457,INSUMOS!$A$6:$A$205,0)),IVA_VENTAS))</f>
        <v/>
      </c>
      <c r="L457" s="35" t="str">
        <f aca="false">IF($D457="","",N($J457)*$K457)</f>
        <v/>
      </c>
      <c r="M457" s="35" t="str">
        <f aca="false">IF($D457="","",N($J457)+$L457)</f>
        <v/>
      </c>
      <c r="N457" s="43" t="str">
        <f aca="false">IF($D457="","",IFERROR(N($J457)/$I457,0))</f>
        <v/>
      </c>
      <c r="O457" s="6"/>
      <c r="P457" s="6"/>
      <c r="Q457" s="46" t="str">
        <f aca="false">IF($A457="","",DATE(YEAR($A457),MONTH($A457),1))</f>
        <v/>
      </c>
      <c r="R457" s="8" t="str">
        <f aca="false">IF(OR($A457="",$D457=""),"",IF(COUNTIFS($D$6:$D$1005,$D457,$A$6:$A$1005,"&gt;"&amp;$A457)=0,1,0))</f>
        <v/>
      </c>
    </row>
    <row r="458" customFormat="false" ht="15" hidden="false" customHeight="false" outlineLevel="0" collapsed="false">
      <c r="A458" s="44"/>
      <c r="B458" s="6"/>
      <c r="C458" s="6"/>
      <c r="D458" s="6"/>
      <c r="E458" s="8" t="str">
        <f aca="false">IF($D458="","",IFERROR(INDEX(INSUMOS!$B$6:$B$205,MATCH($D458,INSUMOS!$A$6:$A$205,0)),"¿Código?"))</f>
        <v/>
      </c>
      <c r="F458" s="8" t="str">
        <f aca="false">IF($D458="","",IFERROR(INDEX(INSUMOS!$E$6:$E$205,MATCH($D458,INSUMOS!$A$6:$A$205,0)),""))</f>
        <v/>
      </c>
      <c r="G458" s="39"/>
      <c r="H458" s="45" t="str">
        <f aca="false">IF($D458="","",IFERROR(INDEX(INSUMOS!$F$6:$F$205,MATCH($D458,INSUMOS!$A$6:$A$205,0)),0))</f>
        <v/>
      </c>
      <c r="I458" s="34" t="str">
        <f aca="false">IF($D458="","",N($G458)*$H458)</f>
        <v/>
      </c>
      <c r="J458" s="40"/>
      <c r="K458" s="36" t="str">
        <f aca="false">IF($D458="","",IFERROR(INDEX(INSUMOS!$H$6:$H$205,MATCH($D458,INSUMOS!$A$6:$A$205,0)),IVA_VENTAS))</f>
        <v/>
      </c>
      <c r="L458" s="35" t="str">
        <f aca="false">IF($D458="","",N($J458)*$K458)</f>
        <v/>
      </c>
      <c r="M458" s="35" t="str">
        <f aca="false">IF($D458="","",N($J458)+$L458)</f>
        <v/>
      </c>
      <c r="N458" s="43" t="str">
        <f aca="false">IF($D458="","",IFERROR(N($J458)/$I458,0))</f>
        <v/>
      </c>
      <c r="O458" s="6"/>
      <c r="P458" s="6"/>
      <c r="Q458" s="46" t="str">
        <f aca="false">IF($A458="","",DATE(YEAR($A458),MONTH($A458),1))</f>
        <v/>
      </c>
      <c r="R458" s="8" t="str">
        <f aca="false">IF(OR($A458="",$D458=""),"",IF(COUNTIFS($D$6:$D$1005,$D458,$A$6:$A$1005,"&gt;"&amp;$A458)=0,1,0))</f>
        <v/>
      </c>
    </row>
    <row r="459" customFormat="false" ht="15" hidden="false" customHeight="false" outlineLevel="0" collapsed="false">
      <c r="A459" s="44"/>
      <c r="B459" s="6"/>
      <c r="C459" s="6"/>
      <c r="D459" s="6"/>
      <c r="E459" s="8" t="str">
        <f aca="false">IF($D459="","",IFERROR(INDEX(INSUMOS!$B$6:$B$205,MATCH($D459,INSUMOS!$A$6:$A$205,0)),"¿Código?"))</f>
        <v/>
      </c>
      <c r="F459" s="8" t="str">
        <f aca="false">IF($D459="","",IFERROR(INDEX(INSUMOS!$E$6:$E$205,MATCH($D459,INSUMOS!$A$6:$A$205,0)),""))</f>
        <v/>
      </c>
      <c r="G459" s="39"/>
      <c r="H459" s="45" t="str">
        <f aca="false">IF($D459="","",IFERROR(INDEX(INSUMOS!$F$6:$F$205,MATCH($D459,INSUMOS!$A$6:$A$205,0)),0))</f>
        <v/>
      </c>
      <c r="I459" s="34" t="str">
        <f aca="false">IF($D459="","",N($G459)*$H459)</f>
        <v/>
      </c>
      <c r="J459" s="40"/>
      <c r="K459" s="36" t="str">
        <f aca="false">IF($D459="","",IFERROR(INDEX(INSUMOS!$H$6:$H$205,MATCH($D459,INSUMOS!$A$6:$A$205,0)),IVA_VENTAS))</f>
        <v/>
      </c>
      <c r="L459" s="35" t="str">
        <f aca="false">IF($D459="","",N($J459)*$K459)</f>
        <v/>
      </c>
      <c r="M459" s="35" t="str">
        <f aca="false">IF($D459="","",N($J459)+$L459)</f>
        <v/>
      </c>
      <c r="N459" s="43" t="str">
        <f aca="false">IF($D459="","",IFERROR(N($J459)/$I459,0))</f>
        <v/>
      </c>
      <c r="O459" s="6"/>
      <c r="P459" s="6"/>
      <c r="Q459" s="46" t="str">
        <f aca="false">IF($A459="","",DATE(YEAR($A459),MONTH($A459),1))</f>
        <v/>
      </c>
      <c r="R459" s="8" t="str">
        <f aca="false">IF(OR($A459="",$D459=""),"",IF(COUNTIFS($D$6:$D$1005,$D459,$A$6:$A$1005,"&gt;"&amp;$A459)=0,1,0))</f>
        <v/>
      </c>
    </row>
    <row r="460" customFormat="false" ht="15" hidden="false" customHeight="false" outlineLevel="0" collapsed="false">
      <c r="A460" s="44"/>
      <c r="B460" s="6"/>
      <c r="C460" s="6"/>
      <c r="D460" s="6"/>
      <c r="E460" s="8" t="str">
        <f aca="false">IF($D460="","",IFERROR(INDEX(INSUMOS!$B$6:$B$205,MATCH($D460,INSUMOS!$A$6:$A$205,0)),"¿Código?"))</f>
        <v/>
      </c>
      <c r="F460" s="8" t="str">
        <f aca="false">IF($D460="","",IFERROR(INDEX(INSUMOS!$E$6:$E$205,MATCH($D460,INSUMOS!$A$6:$A$205,0)),""))</f>
        <v/>
      </c>
      <c r="G460" s="39"/>
      <c r="H460" s="45" t="str">
        <f aca="false">IF($D460="","",IFERROR(INDEX(INSUMOS!$F$6:$F$205,MATCH($D460,INSUMOS!$A$6:$A$205,0)),0))</f>
        <v/>
      </c>
      <c r="I460" s="34" t="str">
        <f aca="false">IF($D460="","",N($G460)*$H460)</f>
        <v/>
      </c>
      <c r="J460" s="40"/>
      <c r="K460" s="36" t="str">
        <f aca="false">IF($D460="","",IFERROR(INDEX(INSUMOS!$H$6:$H$205,MATCH($D460,INSUMOS!$A$6:$A$205,0)),IVA_VENTAS))</f>
        <v/>
      </c>
      <c r="L460" s="35" t="str">
        <f aca="false">IF($D460="","",N($J460)*$K460)</f>
        <v/>
      </c>
      <c r="M460" s="35" t="str">
        <f aca="false">IF($D460="","",N($J460)+$L460)</f>
        <v/>
      </c>
      <c r="N460" s="43" t="str">
        <f aca="false">IF($D460="","",IFERROR(N($J460)/$I460,0))</f>
        <v/>
      </c>
      <c r="O460" s="6"/>
      <c r="P460" s="6"/>
      <c r="Q460" s="46" t="str">
        <f aca="false">IF($A460="","",DATE(YEAR($A460),MONTH($A460),1))</f>
        <v/>
      </c>
      <c r="R460" s="8" t="str">
        <f aca="false">IF(OR($A460="",$D460=""),"",IF(COUNTIFS($D$6:$D$1005,$D460,$A$6:$A$1005,"&gt;"&amp;$A460)=0,1,0))</f>
        <v/>
      </c>
    </row>
    <row r="461" customFormat="false" ht="15" hidden="false" customHeight="false" outlineLevel="0" collapsed="false">
      <c r="A461" s="44"/>
      <c r="B461" s="6"/>
      <c r="C461" s="6"/>
      <c r="D461" s="6"/>
      <c r="E461" s="8" t="str">
        <f aca="false">IF($D461="","",IFERROR(INDEX(INSUMOS!$B$6:$B$205,MATCH($D461,INSUMOS!$A$6:$A$205,0)),"¿Código?"))</f>
        <v/>
      </c>
      <c r="F461" s="8" t="str">
        <f aca="false">IF($D461="","",IFERROR(INDEX(INSUMOS!$E$6:$E$205,MATCH($D461,INSUMOS!$A$6:$A$205,0)),""))</f>
        <v/>
      </c>
      <c r="G461" s="39"/>
      <c r="H461" s="45" t="str">
        <f aca="false">IF($D461="","",IFERROR(INDEX(INSUMOS!$F$6:$F$205,MATCH($D461,INSUMOS!$A$6:$A$205,0)),0))</f>
        <v/>
      </c>
      <c r="I461" s="34" t="str">
        <f aca="false">IF($D461="","",N($G461)*$H461)</f>
        <v/>
      </c>
      <c r="J461" s="40"/>
      <c r="K461" s="36" t="str">
        <f aca="false">IF($D461="","",IFERROR(INDEX(INSUMOS!$H$6:$H$205,MATCH($D461,INSUMOS!$A$6:$A$205,0)),IVA_VENTAS))</f>
        <v/>
      </c>
      <c r="L461" s="35" t="str">
        <f aca="false">IF($D461="","",N($J461)*$K461)</f>
        <v/>
      </c>
      <c r="M461" s="35" t="str">
        <f aca="false">IF($D461="","",N($J461)+$L461)</f>
        <v/>
      </c>
      <c r="N461" s="43" t="str">
        <f aca="false">IF($D461="","",IFERROR(N($J461)/$I461,0))</f>
        <v/>
      </c>
      <c r="O461" s="6"/>
      <c r="P461" s="6"/>
      <c r="Q461" s="46" t="str">
        <f aca="false">IF($A461="","",DATE(YEAR($A461),MONTH($A461),1))</f>
        <v/>
      </c>
      <c r="R461" s="8" t="str">
        <f aca="false">IF(OR($A461="",$D461=""),"",IF(COUNTIFS($D$6:$D$1005,$D461,$A$6:$A$1005,"&gt;"&amp;$A461)=0,1,0))</f>
        <v/>
      </c>
    </row>
    <row r="462" customFormat="false" ht="15" hidden="false" customHeight="false" outlineLevel="0" collapsed="false">
      <c r="A462" s="44"/>
      <c r="B462" s="6"/>
      <c r="C462" s="6"/>
      <c r="D462" s="6"/>
      <c r="E462" s="8" t="str">
        <f aca="false">IF($D462="","",IFERROR(INDEX(INSUMOS!$B$6:$B$205,MATCH($D462,INSUMOS!$A$6:$A$205,0)),"¿Código?"))</f>
        <v/>
      </c>
      <c r="F462" s="8" t="str">
        <f aca="false">IF($D462="","",IFERROR(INDEX(INSUMOS!$E$6:$E$205,MATCH($D462,INSUMOS!$A$6:$A$205,0)),""))</f>
        <v/>
      </c>
      <c r="G462" s="39"/>
      <c r="H462" s="45" t="str">
        <f aca="false">IF($D462="","",IFERROR(INDEX(INSUMOS!$F$6:$F$205,MATCH($D462,INSUMOS!$A$6:$A$205,0)),0))</f>
        <v/>
      </c>
      <c r="I462" s="34" t="str">
        <f aca="false">IF($D462="","",N($G462)*$H462)</f>
        <v/>
      </c>
      <c r="J462" s="40"/>
      <c r="K462" s="36" t="str">
        <f aca="false">IF($D462="","",IFERROR(INDEX(INSUMOS!$H$6:$H$205,MATCH($D462,INSUMOS!$A$6:$A$205,0)),IVA_VENTAS))</f>
        <v/>
      </c>
      <c r="L462" s="35" t="str">
        <f aca="false">IF($D462="","",N($J462)*$K462)</f>
        <v/>
      </c>
      <c r="M462" s="35" t="str">
        <f aca="false">IF($D462="","",N($J462)+$L462)</f>
        <v/>
      </c>
      <c r="N462" s="43" t="str">
        <f aca="false">IF($D462="","",IFERROR(N($J462)/$I462,0))</f>
        <v/>
      </c>
      <c r="O462" s="6"/>
      <c r="P462" s="6"/>
      <c r="Q462" s="46" t="str">
        <f aca="false">IF($A462="","",DATE(YEAR($A462),MONTH($A462),1))</f>
        <v/>
      </c>
      <c r="R462" s="8" t="str">
        <f aca="false">IF(OR($A462="",$D462=""),"",IF(COUNTIFS($D$6:$D$1005,$D462,$A$6:$A$1005,"&gt;"&amp;$A462)=0,1,0))</f>
        <v/>
      </c>
    </row>
    <row r="463" customFormat="false" ht="15" hidden="false" customHeight="false" outlineLevel="0" collapsed="false">
      <c r="A463" s="44"/>
      <c r="B463" s="6"/>
      <c r="C463" s="6"/>
      <c r="D463" s="6"/>
      <c r="E463" s="8" t="str">
        <f aca="false">IF($D463="","",IFERROR(INDEX(INSUMOS!$B$6:$B$205,MATCH($D463,INSUMOS!$A$6:$A$205,0)),"¿Código?"))</f>
        <v/>
      </c>
      <c r="F463" s="8" t="str">
        <f aca="false">IF($D463="","",IFERROR(INDEX(INSUMOS!$E$6:$E$205,MATCH($D463,INSUMOS!$A$6:$A$205,0)),""))</f>
        <v/>
      </c>
      <c r="G463" s="39"/>
      <c r="H463" s="45" t="str">
        <f aca="false">IF($D463="","",IFERROR(INDEX(INSUMOS!$F$6:$F$205,MATCH($D463,INSUMOS!$A$6:$A$205,0)),0))</f>
        <v/>
      </c>
      <c r="I463" s="34" t="str">
        <f aca="false">IF($D463="","",N($G463)*$H463)</f>
        <v/>
      </c>
      <c r="J463" s="40"/>
      <c r="K463" s="36" t="str">
        <f aca="false">IF($D463="","",IFERROR(INDEX(INSUMOS!$H$6:$H$205,MATCH($D463,INSUMOS!$A$6:$A$205,0)),IVA_VENTAS))</f>
        <v/>
      </c>
      <c r="L463" s="35" t="str">
        <f aca="false">IF($D463="","",N($J463)*$K463)</f>
        <v/>
      </c>
      <c r="M463" s="35" t="str">
        <f aca="false">IF($D463="","",N($J463)+$L463)</f>
        <v/>
      </c>
      <c r="N463" s="43" t="str">
        <f aca="false">IF($D463="","",IFERROR(N($J463)/$I463,0))</f>
        <v/>
      </c>
      <c r="O463" s="6"/>
      <c r="P463" s="6"/>
      <c r="Q463" s="46" t="str">
        <f aca="false">IF($A463="","",DATE(YEAR($A463),MONTH($A463),1))</f>
        <v/>
      </c>
      <c r="R463" s="8" t="str">
        <f aca="false">IF(OR($A463="",$D463=""),"",IF(COUNTIFS($D$6:$D$1005,$D463,$A$6:$A$1005,"&gt;"&amp;$A463)=0,1,0))</f>
        <v/>
      </c>
    </row>
    <row r="464" customFormat="false" ht="15" hidden="false" customHeight="false" outlineLevel="0" collapsed="false">
      <c r="A464" s="44"/>
      <c r="B464" s="6"/>
      <c r="C464" s="6"/>
      <c r="D464" s="6"/>
      <c r="E464" s="8" t="str">
        <f aca="false">IF($D464="","",IFERROR(INDEX(INSUMOS!$B$6:$B$205,MATCH($D464,INSUMOS!$A$6:$A$205,0)),"¿Código?"))</f>
        <v/>
      </c>
      <c r="F464" s="8" t="str">
        <f aca="false">IF($D464="","",IFERROR(INDEX(INSUMOS!$E$6:$E$205,MATCH($D464,INSUMOS!$A$6:$A$205,0)),""))</f>
        <v/>
      </c>
      <c r="G464" s="39"/>
      <c r="H464" s="45" t="str">
        <f aca="false">IF($D464="","",IFERROR(INDEX(INSUMOS!$F$6:$F$205,MATCH($D464,INSUMOS!$A$6:$A$205,0)),0))</f>
        <v/>
      </c>
      <c r="I464" s="34" t="str">
        <f aca="false">IF($D464="","",N($G464)*$H464)</f>
        <v/>
      </c>
      <c r="J464" s="40"/>
      <c r="K464" s="36" t="str">
        <f aca="false">IF($D464="","",IFERROR(INDEX(INSUMOS!$H$6:$H$205,MATCH($D464,INSUMOS!$A$6:$A$205,0)),IVA_VENTAS))</f>
        <v/>
      </c>
      <c r="L464" s="35" t="str">
        <f aca="false">IF($D464="","",N($J464)*$K464)</f>
        <v/>
      </c>
      <c r="M464" s="35" t="str">
        <f aca="false">IF($D464="","",N($J464)+$L464)</f>
        <v/>
      </c>
      <c r="N464" s="43" t="str">
        <f aca="false">IF($D464="","",IFERROR(N($J464)/$I464,0))</f>
        <v/>
      </c>
      <c r="O464" s="6"/>
      <c r="P464" s="6"/>
      <c r="Q464" s="46" t="str">
        <f aca="false">IF($A464="","",DATE(YEAR($A464),MONTH($A464),1))</f>
        <v/>
      </c>
      <c r="R464" s="8" t="str">
        <f aca="false">IF(OR($A464="",$D464=""),"",IF(COUNTIFS($D$6:$D$1005,$D464,$A$6:$A$1005,"&gt;"&amp;$A464)=0,1,0))</f>
        <v/>
      </c>
    </row>
    <row r="465" customFormat="false" ht="15" hidden="false" customHeight="false" outlineLevel="0" collapsed="false">
      <c r="A465" s="44"/>
      <c r="B465" s="6"/>
      <c r="C465" s="6"/>
      <c r="D465" s="6"/>
      <c r="E465" s="8" t="str">
        <f aca="false">IF($D465="","",IFERROR(INDEX(INSUMOS!$B$6:$B$205,MATCH($D465,INSUMOS!$A$6:$A$205,0)),"¿Código?"))</f>
        <v/>
      </c>
      <c r="F465" s="8" t="str">
        <f aca="false">IF($D465="","",IFERROR(INDEX(INSUMOS!$E$6:$E$205,MATCH($D465,INSUMOS!$A$6:$A$205,0)),""))</f>
        <v/>
      </c>
      <c r="G465" s="39"/>
      <c r="H465" s="45" t="str">
        <f aca="false">IF($D465="","",IFERROR(INDEX(INSUMOS!$F$6:$F$205,MATCH($D465,INSUMOS!$A$6:$A$205,0)),0))</f>
        <v/>
      </c>
      <c r="I465" s="34" t="str">
        <f aca="false">IF($D465="","",N($G465)*$H465)</f>
        <v/>
      </c>
      <c r="J465" s="40"/>
      <c r="K465" s="36" t="str">
        <f aca="false">IF($D465="","",IFERROR(INDEX(INSUMOS!$H$6:$H$205,MATCH($D465,INSUMOS!$A$6:$A$205,0)),IVA_VENTAS))</f>
        <v/>
      </c>
      <c r="L465" s="35" t="str">
        <f aca="false">IF($D465="","",N($J465)*$K465)</f>
        <v/>
      </c>
      <c r="M465" s="35" t="str">
        <f aca="false">IF($D465="","",N($J465)+$L465)</f>
        <v/>
      </c>
      <c r="N465" s="43" t="str">
        <f aca="false">IF($D465="","",IFERROR(N($J465)/$I465,0))</f>
        <v/>
      </c>
      <c r="O465" s="6"/>
      <c r="P465" s="6"/>
      <c r="Q465" s="46" t="str">
        <f aca="false">IF($A465="","",DATE(YEAR($A465),MONTH($A465),1))</f>
        <v/>
      </c>
      <c r="R465" s="8" t="str">
        <f aca="false">IF(OR($A465="",$D465=""),"",IF(COUNTIFS($D$6:$D$1005,$D465,$A$6:$A$1005,"&gt;"&amp;$A465)=0,1,0))</f>
        <v/>
      </c>
    </row>
    <row r="466" customFormat="false" ht="15" hidden="false" customHeight="false" outlineLevel="0" collapsed="false">
      <c r="A466" s="44"/>
      <c r="B466" s="6"/>
      <c r="C466" s="6"/>
      <c r="D466" s="6"/>
      <c r="E466" s="8" t="str">
        <f aca="false">IF($D466="","",IFERROR(INDEX(INSUMOS!$B$6:$B$205,MATCH($D466,INSUMOS!$A$6:$A$205,0)),"¿Código?"))</f>
        <v/>
      </c>
      <c r="F466" s="8" t="str">
        <f aca="false">IF($D466="","",IFERROR(INDEX(INSUMOS!$E$6:$E$205,MATCH($D466,INSUMOS!$A$6:$A$205,0)),""))</f>
        <v/>
      </c>
      <c r="G466" s="39"/>
      <c r="H466" s="45" t="str">
        <f aca="false">IF($D466="","",IFERROR(INDEX(INSUMOS!$F$6:$F$205,MATCH($D466,INSUMOS!$A$6:$A$205,0)),0))</f>
        <v/>
      </c>
      <c r="I466" s="34" t="str">
        <f aca="false">IF($D466="","",N($G466)*$H466)</f>
        <v/>
      </c>
      <c r="J466" s="40"/>
      <c r="K466" s="36" t="str">
        <f aca="false">IF($D466="","",IFERROR(INDEX(INSUMOS!$H$6:$H$205,MATCH($D466,INSUMOS!$A$6:$A$205,0)),IVA_VENTAS))</f>
        <v/>
      </c>
      <c r="L466" s="35" t="str">
        <f aca="false">IF($D466="","",N($J466)*$K466)</f>
        <v/>
      </c>
      <c r="M466" s="35" t="str">
        <f aca="false">IF($D466="","",N($J466)+$L466)</f>
        <v/>
      </c>
      <c r="N466" s="43" t="str">
        <f aca="false">IF($D466="","",IFERROR(N($J466)/$I466,0))</f>
        <v/>
      </c>
      <c r="O466" s="6"/>
      <c r="P466" s="6"/>
      <c r="Q466" s="46" t="str">
        <f aca="false">IF($A466="","",DATE(YEAR($A466),MONTH($A466),1))</f>
        <v/>
      </c>
      <c r="R466" s="8" t="str">
        <f aca="false">IF(OR($A466="",$D466=""),"",IF(COUNTIFS($D$6:$D$1005,$D466,$A$6:$A$1005,"&gt;"&amp;$A466)=0,1,0))</f>
        <v/>
      </c>
    </row>
    <row r="467" customFormat="false" ht="15" hidden="false" customHeight="false" outlineLevel="0" collapsed="false">
      <c r="A467" s="44"/>
      <c r="B467" s="6"/>
      <c r="C467" s="6"/>
      <c r="D467" s="6"/>
      <c r="E467" s="8" t="str">
        <f aca="false">IF($D467="","",IFERROR(INDEX(INSUMOS!$B$6:$B$205,MATCH($D467,INSUMOS!$A$6:$A$205,0)),"¿Código?"))</f>
        <v/>
      </c>
      <c r="F467" s="8" t="str">
        <f aca="false">IF($D467="","",IFERROR(INDEX(INSUMOS!$E$6:$E$205,MATCH($D467,INSUMOS!$A$6:$A$205,0)),""))</f>
        <v/>
      </c>
      <c r="G467" s="39"/>
      <c r="H467" s="45" t="str">
        <f aca="false">IF($D467="","",IFERROR(INDEX(INSUMOS!$F$6:$F$205,MATCH($D467,INSUMOS!$A$6:$A$205,0)),0))</f>
        <v/>
      </c>
      <c r="I467" s="34" t="str">
        <f aca="false">IF($D467="","",N($G467)*$H467)</f>
        <v/>
      </c>
      <c r="J467" s="40"/>
      <c r="K467" s="36" t="str">
        <f aca="false">IF($D467="","",IFERROR(INDEX(INSUMOS!$H$6:$H$205,MATCH($D467,INSUMOS!$A$6:$A$205,0)),IVA_VENTAS))</f>
        <v/>
      </c>
      <c r="L467" s="35" t="str">
        <f aca="false">IF($D467="","",N($J467)*$K467)</f>
        <v/>
      </c>
      <c r="M467" s="35" t="str">
        <f aca="false">IF($D467="","",N($J467)+$L467)</f>
        <v/>
      </c>
      <c r="N467" s="43" t="str">
        <f aca="false">IF($D467="","",IFERROR(N($J467)/$I467,0))</f>
        <v/>
      </c>
      <c r="O467" s="6"/>
      <c r="P467" s="6"/>
      <c r="Q467" s="46" t="str">
        <f aca="false">IF($A467="","",DATE(YEAR($A467),MONTH($A467),1))</f>
        <v/>
      </c>
      <c r="R467" s="8" t="str">
        <f aca="false">IF(OR($A467="",$D467=""),"",IF(COUNTIFS($D$6:$D$1005,$D467,$A$6:$A$1005,"&gt;"&amp;$A467)=0,1,0))</f>
        <v/>
      </c>
    </row>
    <row r="468" customFormat="false" ht="15" hidden="false" customHeight="false" outlineLevel="0" collapsed="false">
      <c r="A468" s="44"/>
      <c r="B468" s="6"/>
      <c r="C468" s="6"/>
      <c r="D468" s="6"/>
      <c r="E468" s="8" t="str">
        <f aca="false">IF($D468="","",IFERROR(INDEX(INSUMOS!$B$6:$B$205,MATCH($D468,INSUMOS!$A$6:$A$205,0)),"¿Código?"))</f>
        <v/>
      </c>
      <c r="F468" s="8" t="str">
        <f aca="false">IF($D468="","",IFERROR(INDEX(INSUMOS!$E$6:$E$205,MATCH($D468,INSUMOS!$A$6:$A$205,0)),""))</f>
        <v/>
      </c>
      <c r="G468" s="39"/>
      <c r="H468" s="45" t="str">
        <f aca="false">IF($D468="","",IFERROR(INDEX(INSUMOS!$F$6:$F$205,MATCH($D468,INSUMOS!$A$6:$A$205,0)),0))</f>
        <v/>
      </c>
      <c r="I468" s="34" t="str">
        <f aca="false">IF($D468="","",N($G468)*$H468)</f>
        <v/>
      </c>
      <c r="J468" s="40"/>
      <c r="K468" s="36" t="str">
        <f aca="false">IF($D468="","",IFERROR(INDEX(INSUMOS!$H$6:$H$205,MATCH($D468,INSUMOS!$A$6:$A$205,0)),IVA_VENTAS))</f>
        <v/>
      </c>
      <c r="L468" s="35" t="str">
        <f aca="false">IF($D468="","",N($J468)*$K468)</f>
        <v/>
      </c>
      <c r="M468" s="35" t="str">
        <f aca="false">IF($D468="","",N($J468)+$L468)</f>
        <v/>
      </c>
      <c r="N468" s="43" t="str">
        <f aca="false">IF($D468="","",IFERROR(N($J468)/$I468,0))</f>
        <v/>
      </c>
      <c r="O468" s="6"/>
      <c r="P468" s="6"/>
      <c r="Q468" s="46" t="str">
        <f aca="false">IF($A468="","",DATE(YEAR($A468),MONTH($A468),1))</f>
        <v/>
      </c>
      <c r="R468" s="8" t="str">
        <f aca="false">IF(OR($A468="",$D468=""),"",IF(COUNTIFS($D$6:$D$1005,$D468,$A$6:$A$1005,"&gt;"&amp;$A468)=0,1,0))</f>
        <v/>
      </c>
    </row>
    <row r="469" customFormat="false" ht="15" hidden="false" customHeight="false" outlineLevel="0" collapsed="false">
      <c r="A469" s="44"/>
      <c r="B469" s="6"/>
      <c r="C469" s="6"/>
      <c r="D469" s="6"/>
      <c r="E469" s="8" t="str">
        <f aca="false">IF($D469="","",IFERROR(INDEX(INSUMOS!$B$6:$B$205,MATCH($D469,INSUMOS!$A$6:$A$205,0)),"¿Código?"))</f>
        <v/>
      </c>
      <c r="F469" s="8" t="str">
        <f aca="false">IF($D469="","",IFERROR(INDEX(INSUMOS!$E$6:$E$205,MATCH($D469,INSUMOS!$A$6:$A$205,0)),""))</f>
        <v/>
      </c>
      <c r="G469" s="39"/>
      <c r="H469" s="45" t="str">
        <f aca="false">IF($D469="","",IFERROR(INDEX(INSUMOS!$F$6:$F$205,MATCH($D469,INSUMOS!$A$6:$A$205,0)),0))</f>
        <v/>
      </c>
      <c r="I469" s="34" t="str">
        <f aca="false">IF($D469="","",N($G469)*$H469)</f>
        <v/>
      </c>
      <c r="J469" s="40"/>
      <c r="K469" s="36" t="str">
        <f aca="false">IF($D469="","",IFERROR(INDEX(INSUMOS!$H$6:$H$205,MATCH($D469,INSUMOS!$A$6:$A$205,0)),IVA_VENTAS))</f>
        <v/>
      </c>
      <c r="L469" s="35" t="str">
        <f aca="false">IF($D469="","",N($J469)*$K469)</f>
        <v/>
      </c>
      <c r="M469" s="35" t="str">
        <f aca="false">IF($D469="","",N($J469)+$L469)</f>
        <v/>
      </c>
      <c r="N469" s="43" t="str">
        <f aca="false">IF($D469="","",IFERROR(N($J469)/$I469,0))</f>
        <v/>
      </c>
      <c r="O469" s="6"/>
      <c r="P469" s="6"/>
      <c r="Q469" s="46" t="str">
        <f aca="false">IF($A469="","",DATE(YEAR($A469),MONTH($A469),1))</f>
        <v/>
      </c>
      <c r="R469" s="8" t="str">
        <f aca="false">IF(OR($A469="",$D469=""),"",IF(COUNTIFS($D$6:$D$1005,$D469,$A$6:$A$1005,"&gt;"&amp;$A469)=0,1,0))</f>
        <v/>
      </c>
    </row>
    <row r="470" customFormat="false" ht="15" hidden="false" customHeight="false" outlineLevel="0" collapsed="false">
      <c r="A470" s="44"/>
      <c r="B470" s="6"/>
      <c r="C470" s="6"/>
      <c r="D470" s="6"/>
      <c r="E470" s="8" t="str">
        <f aca="false">IF($D470="","",IFERROR(INDEX(INSUMOS!$B$6:$B$205,MATCH($D470,INSUMOS!$A$6:$A$205,0)),"¿Código?"))</f>
        <v/>
      </c>
      <c r="F470" s="8" t="str">
        <f aca="false">IF($D470="","",IFERROR(INDEX(INSUMOS!$E$6:$E$205,MATCH($D470,INSUMOS!$A$6:$A$205,0)),""))</f>
        <v/>
      </c>
      <c r="G470" s="39"/>
      <c r="H470" s="45" t="str">
        <f aca="false">IF($D470="","",IFERROR(INDEX(INSUMOS!$F$6:$F$205,MATCH($D470,INSUMOS!$A$6:$A$205,0)),0))</f>
        <v/>
      </c>
      <c r="I470" s="34" t="str">
        <f aca="false">IF($D470="","",N($G470)*$H470)</f>
        <v/>
      </c>
      <c r="J470" s="40"/>
      <c r="K470" s="36" t="str">
        <f aca="false">IF($D470="","",IFERROR(INDEX(INSUMOS!$H$6:$H$205,MATCH($D470,INSUMOS!$A$6:$A$205,0)),IVA_VENTAS))</f>
        <v/>
      </c>
      <c r="L470" s="35" t="str">
        <f aca="false">IF($D470="","",N($J470)*$K470)</f>
        <v/>
      </c>
      <c r="M470" s="35" t="str">
        <f aca="false">IF($D470="","",N($J470)+$L470)</f>
        <v/>
      </c>
      <c r="N470" s="43" t="str">
        <f aca="false">IF($D470="","",IFERROR(N($J470)/$I470,0))</f>
        <v/>
      </c>
      <c r="O470" s="6"/>
      <c r="P470" s="6"/>
      <c r="Q470" s="46" t="str">
        <f aca="false">IF($A470="","",DATE(YEAR($A470),MONTH($A470),1))</f>
        <v/>
      </c>
      <c r="R470" s="8" t="str">
        <f aca="false">IF(OR($A470="",$D470=""),"",IF(COUNTIFS($D$6:$D$1005,$D470,$A$6:$A$1005,"&gt;"&amp;$A470)=0,1,0))</f>
        <v/>
      </c>
    </row>
    <row r="471" customFormat="false" ht="15" hidden="false" customHeight="false" outlineLevel="0" collapsed="false">
      <c r="A471" s="44"/>
      <c r="B471" s="6"/>
      <c r="C471" s="6"/>
      <c r="D471" s="6"/>
      <c r="E471" s="8" t="str">
        <f aca="false">IF($D471="","",IFERROR(INDEX(INSUMOS!$B$6:$B$205,MATCH($D471,INSUMOS!$A$6:$A$205,0)),"¿Código?"))</f>
        <v/>
      </c>
      <c r="F471" s="8" t="str">
        <f aca="false">IF($D471="","",IFERROR(INDEX(INSUMOS!$E$6:$E$205,MATCH($D471,INSUMOS!$A$6:$A$205,0)),""))</f>
        <v/>
      </c>
      <c r="G471" s="39"/>
      <c r="H471" s="45" t="str">
        <f aca="false">IF($D471="","",IFERROR(INDEX(INSUMOS!$F$6:$F$205,MATCH($D471,INSUMOS!$A$6:$A$205,0)),0))</f>
        <v/>
      </c>
      <c r="I471" s="34" t="str">
        <f aca="false">IF($D471="","",N($G471)*$H471)</f>
        <v/>
      </c>
      <c r="J471" s="40"/>
      <c r="K471" s="36" t="str">
        <f aca="false">IF($D471="","",IFERROR(INDEX(INSUMOS!$H$6:$H$205,MATCH($D471,INSUMOS!$A$6:$A$205,0)),IVA_VENTAS))</f>
        <v/>
      </c>
      <c r="L471" s="35" t="str">
        <f aca="false">IF($D471="","",N($J471)*$K471)</f>
        <v/>
      </c>
      <c r="M471" s="35" t="str">
        <f aca="false">IF($D471="","",N($J471)+$L471)</f>
        <v/>
      </c>
      <c r="N471" s="43" t="str">
        <f aca="false">IF($D471="","",IFERROR(N($J471)/$I471,0))</f>
        <v/>
      </c>
      <c r="O471" s="6"/>
      <c r="P471" s="6"/>
      <c r="Q471" s="46" t="str">
        <f aca="false">IF($A471="","",DATE(YEAR($A471),MONTH($A471),1))</f>
        <v/>
      </c>
      <c r="R471" s="8" t="str">
        <f aca="false">IF(OR($A471="",$D471=""),"",IF(COUNTIFS($D$6:$D$1005,$D471,$A$6:$A$1005,"&gt;"&amp;$A471)=0,1,0))</f>
        <v/>
      </c>
    </row>
    <row r="472" customFormat="false" ht="15" hidden="false" customHeight="false" outlineLevel="0" collapsed="false">
      <c r="A472" s="44"/>
      <c r="B472" s="6"/>
      <c r="C472" s="6"/>
      <c r="D472" s="6"/>
      <c r="E472" s="8" t="str">
        <f aca="false">IF($D472="","",IFERROR(INDEX(INSUMOS!$B$6:$B$205,MATCH($D472,INSUMOS!$A$6:$A$205,0)),"¿Código?"))</f>
        <v/>
      </c>
      <c r="F472" s="8" t="str">
        <f aca="false">IF($D472="","",IFERROR(INDEX(INSUMOS!$E$6:$E$205,MATCH($D472,INSUMOS!$A$6:$A$205,0)),""))</f>
        <v/>
      </c>
      <c r="G472" s="39"/>
      <c r="H472" s="45" t="str">
        <f aca="false">IF($D472="","",IFERROR(INDEX(INSUMOS!$F$6:$F$205,MATCH($D472,INSUMOS!$A$6:$A$205,0)),0))</f>
        <v/>
      </c>
      <c r="I472" s="34" t="str">
        <f aca="false">IF($D472="","",N($G472)*$H472)</f>
        <v/>
      </c>
      <c r="J472" s="40"/>
      <c r="K472" s="36" t="str">
        <f aca="false">IF($D472="","",IFERROR(INDEX(INSUMOS!$H$6:$H$205,MATCH($D472,INSUMOS!$A$6:$A$205,0)),IVA_VENTAS))</f>
        <v/>
      </c>
      <c r="L472" s="35" t="str">
        <f aca="false">IF($D472="","",N($J472)*$K472)</f>
        <v/>
      </c>
      <c r="M472" s="35" t="str">
        <f aca="false">IF($D472="","",N($J472)+$L472)</f>
        <v/>
      </c>
      <c r="N472" s="43" t="str">
        <f aca="false">IF($D472="","",IFERROR(N($J472)/$I472,0))</f>
        <v/>
      </c>
      <c r="O472" s="6"/>
      <c r="P472" s="6"/>
      <c r="Q472" s="46" t="str">
        <f aca="false">IF($A472="","",DATE(YEAR($A472),MONTH($A472),1))</f>
        <v/>
      </c>
      <c r="R472" s="8" t="str">
        <f aca="false">IF(OR($A472="",$D472=""),"",IF(COUNTIFS($D$6:$D$1005,$D472,$A$6:$A$1005,"&gt;"&amp;$A472)=0,1,0))</f>
        <v/>
      </c>
    </row>
    <row r="473" customFormat="false" ht="15" hidden="false" customHeight="false" outlineLevel="0" collapsed="false">
      <c r="A473" s="44"/>
      <c r="B473" s="6"/>
      <c r="C473" s="6"/>
      <c r="D473" s="6"/>
      <c r="E473" s="8" t="str">
        <f aca="false">IF($D473="","",IFERROR(INDEX(INSUMOS!$B$6:$B$205,MATCH($D473,INSUMOS!$A$6:$A$205,0)),"¿Código?"))</f>
        <v/>
      </c>
      <c r="F473" s="8" t="str">
        <f aca="false">IF($D473="","",IFERROR(INDEX(INSUMOS!$E$6:$E$205,MATCH($D473,INSUMOS!$A$6:$A$205,0)),""))</f>
        <v/>
      </c>
      <c r="G473" s="39"/>
      <c r="H473" s="45" t="str">
        <f aca="false">IF($D473="","",IFERROR(INDEX(INSUMOS!$F$6:$F$205,MATCH($D473,INSUMOS!$A$6:$A$205,0)),0))</f>
        <v/>
      </c>
      <c r="I473" s="34" t="str">
        <f aca="false">IF($D473="","",N($G473)*$H473)</f>
        <v/>
      </c>
      <c r="J473" s="40"/>
      <c r="K473" s="36" t="str">
        <f aca="false">IF($D473="","",IFERROR(INDEX(INSUMOS!$H$6:$H$205,MATCH($D473,INSUMOS!$A$6:$A$205,0)),IVA_VENTAS))</f>
        <v/>
      </c>
      <c r="L473" s="35" t="str">
        <f aca="false">IF($D473="","",N($J473)*$K473)</f>
        <v/>
      </c>
      <c r="M473" s="35" t="str">
        <f aca="false">IF($D473="","",N($J473)+$L473)</f>
        <v/>
      </c>
      <c r="N473" s="43" t="str">
        <f aca="false">IF($D473="","",IFERROR(N($J473)/$I473,0))</f>
        <v/>
      </c>
      <c r="O473" s="6"/>
      <c r="P473" s="6"/>
      <c r="Q473" s="46" t="str">
        <f aca="false">IF($A473="","",DATE(YEAR($A473),MONTH($A473),1))</f>
        <v/>
      </c>
      <c r="R473" s="8" t="str">
        <f aca="false">IF(OR($A473="",$D473=""),"",IF(COUNTIFS($D$6:$D$1005,$D473,$A$6:$A$1005,"&gt;"&amp;$A473)=0,1,0))</f>
        <v/>
      </c>
    </row>
    <row r="474" customFormat="false" ht="15" hidden="false" customHeight="false" outlineLevel="0" collapsed="false">
      <c r="A474" s="44"/>
      <c r="B474" s="6"/>
      <c r="C474" s="6"/>
      <c r="D474" s="6"/>
      <c r="E474" s="8" t="str">
        <f aca="false">IF($D474="","",IFERROR(INDEX(INSUMOS!$B$6:$B$205,MATCH($D474,INSUMOS!$A$6:$A$205,0)),"¿Código?"))</f>
        <v/>
      </c>
      <c r="F474" s="8" t="str">
        <f aca="false">IF($D474="","",IFERROR(INDEX(INSUMOS!$E$6:$E$205,MATCH($D474,INSUMOS!$A$6:$A$205,0)),""))</f>
        <v/>
      </c>
      <c r="G474" s="39"/>
      <c r="H474" s="45" t="str">
        <f aca="false">IF($D474="","",IFERROR(INDEX(INSUMOS!$F$6:$F$205,MATCH($D474,INSUMOS!$A$6:$A$205,0)),0))</f>
        <v/>
      </c>
      <c r="I474" s="34" t="str">
        <f aca="false">IF($D474="","",N($G474)*$H474)</f>
        <v/>
      </c>
      <c r="J474" s="40"/>
      <c r="K474" s="36" t="str">
        <f aca="false">IF($D474="","",IFERROR(INDEX(INSUMOS!$H$6:$H$205,MATCH($D474,INSUMOS!$A$6:$A$205,0)),IVA_VENTAS))</f>
        <v/>
      </c>
      <c r="L474" s="35" t="str">
        <f aca="false">IF($D474="","",N($J474)*$K474)</f>
        <v/>
      </c>
      <c r="M474" s="35" t="str">
        <f aca="false">IF($D474="","",N($J474)+$L474)</f>
        <v/>
      </c>
      <c r="N474" s="43" t="str">
        <f aca="false">IF($D474="","",IFERROR(N($J474)/$I474,0))</f>
        <v/>
      </c>
      <c r="O474" s="6"/>
      <c r="P474" s="6"/>
      <c r="Q474" s="46" t="str">
        <f aca="false">IF($A474="","",DATE(YEAR($A474),MONTH($A474),1))</f>
        <v/>
      </c>
      <c r="R474" s="8" t="str">
        <f aca="false">IF(OR($A474="",$D474=""),"",IF(COUNTIFS($D$6:$D$1005,$D474,$A$6:$A$1005,"&gt;"&amp;$A474)=0,1,0))</f>
        <v/>
      </c>
    </row>
    <row r="475" customFormat="false" ht="15" hidden="false" customHeight="false" outlineLevel="0" collapsed="false">
      <c r="A475" s="44"/>
      <c r="B475" s="6"/>
      <c r="C475" s="6"/>
      <c r="D475" s="6"/>
      <c r="E475" s="8" t="str">
        <f aca="false">IF($D475="","",IFERROR(INDEX(INSUMOS!$B$6:$B$205,MATCH($D475,INSUMOS!$A$6:$A$205,0)),"¿Código?"))</f>
        <v/>
      </c>
      <c r="F475" s="8" t="str">
        <f aca="false">IF($D475="","",IFERROR(INDEX(INSUMOS!$E$6:$E$205,MATCH($D475,INSUMOS!$A$6:$A$205,0)),""))</f>
        <v/>
      </c>
      <c r="G475" s="39"/>
      <c r="H475" s="45" t="str">
        <f aca="false">IF($D475="","",IFERROR(INDEX(INSUMOS!$F$6:$F$205,MATCH($D475,INSUMOS!$A$6:$A$205,0)),0))</f>
        <v/>
      </c>
      <c r="I475" s="34" t="str">
        <f aca="false">IF($D475="","",N($G475)*$H475)</f>
        <v/>
      </c>
      <c r="J475" s="40"/>
      <c r="K475" s="36" t="str">
        <f aca="false">IF($D475="","",IFERROR(INDEX(INSUMOS!$H$6:$H$205,MATCH($D475,INSUMOS!$A$6:$A$205,0)),IVA_VENTAS))</f>
        <v/>
      </c>
      <c r="L475" s="35" t="str">
        <f aca="false">IF($D475="","",N($J475)*$K475)</f>
        <v/>
      </c>
      <c r="M475" s="35" t="str">
        <f aca="false">IF($D475="","",N($J475)+$L475)</f>
        <v/>
      </c>
      <c r="N475" s="43" t="str">
        <f aca="false">IF($D475="","",IFERROR(N($J475)/$I475,0))</f>
        <v/>
      </c>
      <c r="O475" s="6"/>
      <c r="P475" s="6"/>
      <c r="Q475" s="46" t="str">
        <f aca="false">IF($A475="","",DATE(YEAR($A475),MONTH($A475),1))</f>
        <v/>
      </c>
      <c r="R475" s="8" t="str">
        <f aca="false">IF(OR($A475="",$D475=""),"",IF(COUNTIFS($D$6:$D$1005,$D475,$A$6:$A$1005,"&gt;"&amp;$A475)=0,1,0))</f>
        <v/>
      </c>
    </row>
    <row r="476" customFormat="false" ht="15" hidden="false" customHeight="false" outlineLevel="0" collapsed="false">
      <c r="A476" s="44"/>
      <c r="B476" s="6"/>
      <c r="C476" s="6"/>
      <c r="D476" s="6"/>
      <c r="E476" s="8" t="str">
        <f aca="false">IF($D476="","",IFERROR(INDEX(INSUMOS!$B$6:$B$205,MATCH($D476,INSUMOS!$A$6:$A$205,0)),"¿Código?"))</f>
        <v/>
      </c>
      <c r="F476" s="8" t="str">
        <f aca="false">IF($D476="","",IFERROR(INDEX(INSUMOS!$E$6:$E$205,MATCH($D476,INSUMOS!$A$6:$A$205,0)),""))</f>
        <v/>
      </c>
      <c r="G476" s="39"/>
      <c r="H476" s="45" t="str">
        <f aca="false">IF($D476="","",IFERROR(INDEX(INSUMOS!$F$6:$F$205,MATCH($D476,INSUMOS!$A$6:$A$205,0)),0))</f>
        <v/>
      </c>
      <c r="I476" s="34" t="str">
        <f aca="false">IF($D476="","",N($G476)*$H476)</f>
        <v/>
      </c>
      <c r="J476" s="40"/>
      <c r="K476" s="36" t="str">
        <f aca="false">IF($D476="","",IFERROR(INDEX(INSUMOS!$H$6:$H$205,MATCH($D476,INSUMOS!$A$6:$A$205,0)),IVA_VENTAS))</f>
        <v/>
      </c>
      <c r="L476" s="35" t="str">
        <f aca="false">IF($D476="","",N($J476)*$K476)</f>
        <v/>
      </c>
      <c r="M476" s="35" t="str">
        <f aca="false">IF($D476="","",N($J476)+$L476)</f>
        <v/>
      </c>
      <c r="N476" s="43" t="str">
        <f aca="false">IF($D476="","",IFERROR(N($J476)/$I476,0))</f>
        <v/>
      </c>
      <c r="O476" s="6"/>
      <c r="P476" s="6"/>
      <c r="Q476" s="46" t="str">
        <f aca="false">IF($A476="","",DATE(YEAR($A476),MONTH($A476),1))</f>
        <v/>
      </c>
      <c r="R476" s="8" t="str">
        <f aca="false">IF(OR($A476="",$D476=""),"",IF(COUNTIFS($D$6:$D$1005,$D476,$A$6:$A$1005,"&gt;"&amp;$A476)=0,1,0))</f>
        <v/>
      </c>
    </row>
    <row r="477" customFormat="false" ht="15" hidden="false" customHeight="false" outlineLevel="0" collapsed="false">
      <c r="A477" s="44"/>
      <c r="B477" s="6"/>
      <c r="C477" s="6"/>
      <c r="D477" s="6"/>
      <c r="E477" s="8" t="str">
        <f aca="false">IF($D477="","",IFERROR(INDEX(INSUMOS!$B$6:$B$205,MATCH($D477,INSUMOS!$A$6:$A$205,0)),"¿Código?"))</f>
        <v/>
      </c>
      <c r="F477" s="8" t="str">
        <f aca="false">IF($D477="","",IFERROR(INDEX(INSUMOS!$E$6:$E$205,MATCH($D477,INSUMOS!$A$6:$A$205,0)),""))</f>
        <v/>
      </c>
      <c r="G477" s="39"/>
      <c r="H477" s="45" t="str">
        <f aca="false">IF($D477="","",IFERROR(INDEX(INSUMOS!$F$6:$F$205,MATCH($D477,INSUMOS!$A$6:$A$205,0)),0))</f>
        <v/>
      </c>
      <c r="I477" s="34" t="str">
        <f aca="false">IF($D477="","",N($G477)*$H477)</f>
        <v/>
      </c>
      <c r="J477" s="40"/>
      <c r="K477" s="36" t="str">
        <f aca="false">IF($D477="","",IFERROR(INDEX(INSUMOS!$H$6:$H$205,MATCH($D477,INSUMOS!$A$6:$A$205,0)),IVA_VENTAS))</f>
        <v/>
      </c>
      <c r="L477" s="35" t="str">
        <f aca="false">IF($D477="","",N($J477)*$K477)</f>
        <v/>
      </c>
      <c r="M477" s="35" t="str">
        <f aca="false">IF($D477="","",N($J477)+$L477)</f>
        <v/>
      </c>
      <c r="N477" s="43" t="str">
        <f aca="false">IF($D477="","",IFERROR(N($J477)/$I477,0))</f>
        <v/>
      </c>
      <c r="O477" s="6"/>
      <c r="P477" s="6"/>
      <c r="Q477" s="46" t="str">
        <f aca="false">IF($A477="","",DATE(YEAR($A477),MONTH($A477),1))</f>
        <v/>
      </c>
      <c r="R477" s="8" t="str">
        <f aca="false">IF(OR($A477="",$D477=""),"",IF(COUNTIFS($D$6:$D$1005,$D477,$A$6:$A$1005,"&gt;"&amp;$A477)=0,1,0))</f>
        <v/>
      </c>
    </row>
    <row r="478" customFormat="false" ht="15" hidden="false" customHeight="false" outlineLevel="0" collapsed="false">
      <c r="A478" s="44"/>
      <c r="B478" s="6"/>
      <c r="C478" s="6"/>
      <c r="D478" s="6"/>
      <c r="E478" s="8" t="str">
        <f aca="false">IF($D478="","",IFERROR(INDEX(INSUMOS!$B$6:$B$205,MATCH($D478,INSUMOS!$A$6:$A$205,0)),"¿Código?"))</f>
        <v/>
      </c>
      <c r="F478" s="8" t="str">
        <f aca="false">IF($D478="","",IFERROR(INDEX(INSUMOS!$E$6:$E$205,MATCH($D478,INSUMOS!$A$6:$A$205,0)),""))</f>
        <v/>
      </c>
      <c r="G478" s="39"/>
      <c r="H478" s="45" t="str">
        <f aca="false">IF($D478="","",IFERROR(INDEX(INSUMOS!$F$6:$F$205,MATCH($D478,INSUMOS!$A$6:$A$205,0)),0))</f>
        <v/>
      </c>
      <c r="I478" s="34" t="str">
        <f aca="false">IF($D478="","",N($G478)*$H478)</f>
        <v/>
      </c>
      <c r="J478" s="40"/>
      <c r="K478" s="36" t="str">
        <f aca="false">IF($D478="","",IFERROR(INDEX(INSUMOS!$H$6:$H$205,MATCH($D478,INSUMOS!$A$6:$A$205,0)),IVA_VENTAS))</f>
        <v/>
      </c>
      <c r="L478" s="35" t="str">
        <f aca="false">IF($D478="","",N($J478)*$K478)</f>
        <v/>
      </c>
      <c r="M478" s="35" t="str">
        <f aca="false">IF($D478="","",N($J478)+$L478)</f>
        <v/>
      </c>
      <c r="N478" s="43" t="str">
        <f aca="false">IF($D478="","",IFERROR(N($J478)/$I478,0))</f>
        <v/>
      </c>
      <c r="O478" s="6"/>
      <c r="P478" s="6"/>
      <c r="Q478" s="46" t="str">
        <f aca="false">IF($A478="","",DATE(YEAR($A478),MONTH($A478),1))</f>
        <v/>
      </c>
      <c r="R478" s="8" t="str">
        <f aca="false">IF(OR($A478="",$D478=""),"",IF(COUNTIFS($D$6:$D$1005,$D478,$A$6:$A$1005,"&gt;"&amp;$A478)=0,1,0))</f>
        <v/>
      </c>
    </row>
    <row r="479" customFormat="false" ht="15" hidden="false" customHeight="false" outlineLevel="0" collapsed="false">
      <c r="A479" s="44"/>
      <c r="B479" s="6"/>
      <c r="C479" s="6"/>
      <c r="D479" s="6"/>
      <c r="E479" s="8" t="str">
        <f aca="false">IF($D479="","",IFERROR(INDEX(INSUMOS!$B$6:$B$205,MATCH($D479,INSUMOS!$A$6:$A$205,0)),"¿Código?"))</f>
        <v/>
      </c>
      <c r="F479" s="8" t="str">
        <f aca="false">IF($D479="","",IFERROR(INDEX(INSUMOS!$E$6:$E$205,MATCH($D479,INSUMOS!$A$6:$A$205,0)),""))</f>
        <v/>
      </c>
      <c r="G479" s="39"/>
      <c r="H479" s="45" t="str">
        <f aca="false">IF($D479="","",IFERROR(INDEX(INSUMOS!$F$6:$F$205,MATCH($D479,INSUMOS!$A$6:$A$205,0)),0))</f>
        <v/>
      </c>
      <c r="I479" s="34" t="str">
        <f aca="false">IF($D479="","",N($G479)*$H479)</f>
        <v/>
      </c>
      <c r="J479" s="40"/>
      <c r="K479" s="36" t="str">
        <f aca="false">IF($D479="","",IFERROR(INDEX(INSUMOS!$H$6:$H$205,MATCH($D479,INSUMOS!$A$6:$A$205,0)),IVA_VENTAS))</f>
        <v/>
      </c>
      <c r="L479" s="35" t="str">
        <f aca="false">IF($D479="","",N($J479)*$K479)</f>
        <v/>
      </c>
      <c r="M479" s="35" t="str">
        <f aca="false">IF($D479="","",N($J479)+$L479)</f>
        <v/>
      </c>
      <c r="N479" s="43" t="str">
        <f aca="false">IF($D479="","",IFERROR(N($J479)/$I479,0))</f>
        <v/>
      </c>
      <c r="O479" s="6"/>
      <c r="P479" s="6"/>
      <c r="Q479" s="46" t="str">
        <f aca="false">IF($A479="","",DATE(YEAR($A479),MONTH($A479),1))</f>
        <v/>
      </c>
      <c r="R479" s="8" t="str">
        <f aca="false">IF(OR($A479="",$D479=""),"",IF(COUNTIFS($D$6:$D$1005,$D479,$A$6:$A$1005,"&gt;"&amp;$A479)=0,1,0))</f>
        <v/>
      </c>
    </row>
    <row r="480" customFormat="false" ht="15" hidden="false" customHeight="false" outlineLevel="0" collapsed="false">
      <c r="A480" s="44"/>
      <c r="B480" s="6"/>
      <c r="C480" s="6"/>
      <c r="D480" s="6"/>
      <c r="E480" s="8" t="str">
        <f aca="false">IF($D480="","",IFERROR(INDEX(INSUMOS!$B$6:$B$205,MATCH($D480,INSUMOS!$A$6:$A$205,0)),"¿Código?"))</f>
        <v/>
      </c>
      <c r="F480" s="8" t="str">
        <f aca="false">IF($D480="","",IFERROR(INDEX(INSUMOS!$E$6:$E$205,MATCH($D480,INSUMOS!$A$6:$A$205,0)),""))</f>
        <v/>
      </c>
      <c r="G480" s="39"/>
      <c r="H480" s="45" t="str">
        <f aca="false">IF($D480="","",IFERROR(INDEX(INSUMOS!$F$6:$F$205,MATCH($D480,INSUMOS!$A$6:$A$205,0)),0))</f>
        <v/>
      </c>
      <c r="I480" s="34" t="str">
        <f aca="false">IF($D480="","",N($G480)*$H480)</f>
        <v/>
      </c>
      <c r="J480" s="40"/>
      <c r="K480" s="36" t="str">
        <f aca="false">IF($D480="","",IFERROR(INDEX(INSUMOS!$H$6:$H$205,MATCH($D480,INSUMOS!$A$6:$A$205,0)),IVA_VENTAS))</f>
        <v/>
      </c>
      <c r="L480" s="35" t="str">
        <f aca="false">IF($D480="","",N($J480)*$K480)</f>
        <v/>
      </c>
      <c r="M480" s="35" t="str">
        <f aca="false">IF($D480="","",N($J480)+$L480)</f>
        <v/>
      </c>
      <c r="N480" s="43" t="str">
        <f aca="false">IF($D480="","",IFERROR(N($J480)/$I480,0))</f>
        <v/>
      </c>
      <c r="O480" s="6"/>
      <c r="P480" s="6"/>
      <c r="Q480" s="46" t="str">
        <f aca="false">IF($A480="","",DATE(YEAR($A480),MONTH($A480),1))</f>
        <v/>
      </c>
      <c r="R480" s="8" t="str">
        <f aca="false">IF(OR($A480="",$D480=""),"",IF(COUNTIFS($D$6:$D$1005,$D480,$A$6:$A$1005,"&gt;"&amp;$A480)=0,1,0))</f>
        <v/>
      </c>
    </row>
    <row r="481" customFormat="false" ht="15" hidden="false" customHeight="false" outlineLevel="0" collapsed="false">
      <c r="A481" s="44"/>
      <c r="B481" s="6"/>
      <c r="C481" s="6"/>
      <c r="D481" s="6"/>
      <c r="E481" s="8" t="str">
        <f aca="false">IF($D481="","",IFERROR(INDEX(INSUMOS!$B$6:$B$205,MATCH($D481,INSUMOS!$A$6:$A$205,0)),"¿Código?"))</f>
        <v/>
      </c>
      <c r="F481" s="8" t="str">
        <f aca="false">IF($D481="","",IFERROR(INDEX(INSUMOS!$E$6:$E$205,MATCH($D481,INSUMOS!$A$6:$A$205,0)),""))</f>
        <v/>
      </c>
      <c r="G481" s="39"/>
      <c r="H481" s="45" t="str">
        <f aca="false">IF($D481="","",IFERROR(INDEX(INSUMOS!$F$6:$F$205,MATCH($D481,INSUMOS!$A$6:$A$205,0)),0))</f>
        <v/>
      </c>
      <c r="I481" s="34" t="str">
        <f aca="false">IF($D481="","",N($G481)*$H481)</f>
        <v/>
      </c>
      <c r="J481" s="40"/>
      <c r="K481" s="36" t="str">
        <f aca="false">IF($D481="","",IFERROR(INDEX(INSUMOS!$H$6:$H$205,MATCH($D481,INSUMOS!$A$6:$A$205,0)),IVA_VENTAS))</f>
        <v/>
      </c>
      <c r="L481" s="35" t="str">
        <f aca="false">IF($D481="","",N($J481)*$K481)</f>
        <v/>
      </c>
      <c r="M481" s="35" t="str">
        <f aca="false">IF($D481="","",N($J481)+$L481)</f>
        <v/>
      </c>
      <c r="N481" s="43" t="str">
        <f aca="false">IF($D481="","",IFERROR(N($J481)/$I481,0))</f>
        <v/>
      </c>
      <c r="O481" s="6"/>
      <c r="P481" s="6"/>
      <c r="Q481" s="46" t="str">
        <f aca="false">IF($A481="","",DATE(YEAR($A481),MONTH($A481),1))</f>
        <v/>
      </c>
      <c r="R481" s="8" t="str">
        <f aca="false">IF(OR($A481="",$D481=""),"",IF(COUNTIFS($D$6:$D$1005,$D481,$A$6:$A$1005,"&gt;"&amp;$A481)=0,1,0))</f>
        <v/>
      </c>
    </row>
    <row r="482" customFormat="false" ht="15" hidden="false" customHeight="false" outlineLevel="0" collapsed="false">
      <c r="A482" s="44"/>
      <c r="B482" s="6"/>
      <c r="C482" s="6"/>
      <c r="D482" s="6"/>
      <c r="E482" s="8" t="str">
        <f aca="false">IF($D482="","",IFERROR(INDEX(INSUMOS!$B$6:$B$205,MATCH($D482,INSUMOS!$A$6:$A$205,0)),"¿Código?"))</f>
        <v/>
      </c>
      <c r="F482" s="8" t="str">
        <f aca="false">IF($D482="","",IFERROR(INDEX(INSUMOS!$E$6:$E$205,MATCH($D482,INSUMOS!$A$6:$A$205,0)),""))</f>
        <v/>
      </c>
      <c r="G482" s="39"/>
      <c r="H482" s="45" t="str">
        <f aca="false">IF($D482="","",IFERROR(INDEX(INSUMOS!$F$6:$F$205,MATCH($D482,INSUMOS!$A$6:$A$205,0)),0))</f>
        <v/>
      </c>
      <c r="I482" s="34" t="str">
        <f aca="false">IF($D482="","",N($G482)*$H482)</f>
        <v/>
      </c>
      <c r="J482" s="40"/>
      <c r="K482" s="36" t="str">
        <f aca="false">IF($D482="","",IFERROR(INDEX(INSUMOS!$H$6:$H$205,MATCH($D482,INSUMOS!$A$6:$A$205,0)),IVA_VENTAS))</f>
        <v/>
      </c>
      <c r="L482" s="35" t="str">
        <f aca="false">IF($D482="","",N($J482)*$K482)</f>
        <v/>
      </c>
      <c r="M482" s="35" t="str">
        <f aca="false">IF($D482="","",N($J482)+$L482)</f>
        <v/>
      </c>
      <c r="N482" s="43" t="str">
        <f aca="false">IF($D482="","",IFERROR(N($J482)/$I482,0))</f>
        <v/>
      </c>
      <c r="O482" s="6"/>
      <c r="P482" s="6"/>
      <c r="Q482" s="46" t="str">
        <f aca="false">IF($A482="","",DATE(YEAR($A482),MONTH($A482),1))</f>
        <v/>
      </c>
      <c r="R482" s="8" t="str">
        <f aca="false">IF(OR($A482="",$D482=""),"",IF(COUNTIFS($D$6:$D$1005,$D482,$A$6:$A$1005,"&gt;"&amp;$A482)=0,1,0))</f>
        <v/>
      </c>
    </row>
    <row r="483" customFormat="false" ht="15" hidden="false" customHeight="false" outlineLevel="0" collapsed="false">
      <c r="A483" s="44"/>
      <c r="B483" s="6"/>
      <c r="C483" s="6"/>
      <c r="D483" s="6"/>
      <c r="E483" s="8" t="str">
        <f aca="false">IF($D483="","",IFERROR(INDEX(INSUMOS!$B$6:$B$205,MATCH($D483,INSUMOS!$A$6:$A$205,0)),"¿Código?"))</f>
        <v/>
      </c>
      <c r="F483" s="8" t="str">
        <f aca="false">IF($D483="","",IFERROR(INDEX(INSUMOS!$E$6:$E$205,MATCH($D483,INSUMOS!$A$6:$A$205,0)),""))</f>
        <v/>
      </c>
      <c r="G483" s="39"/>
      <c r="H483" s="45" t="str">
        <f aca="false">IF($D483="","",IFERROR(INDEX(INSUMOS!$F$6:$F$205,MATCH($D483,INSUMOS!$A$6:$A$205,0)),0))</f>
        <v/>
      </c>
      <c r="I483" s="34" t="str">
        <f aca="false">IF($D483="","",N($G483)*$H483)</f>
        <v/>
      </c>
      <c r="J483" s="40"/>
      <c r="K483" s="36" t="str">
        <f aca="false">IF($D483="","",IFERROR(INDEX(INSUMOS!$H$6:$H$205,MATCH($D483,INSUMOS!$A$6:$A$205,0)),IVA_VENTAS))</f>
        <v/>
      </c>
      <c r="L483" s="35" t="str">
        <f aca="false">IF($D483="","",N($J483)*$K483)</f>
        <v/>
      </c>
      <c r="M483" s="35" t="str">
        <f aca="false">IF($D483="","",N($J483)+$L483)</f>
        <v/>
      </c>
      <c r="N483" s="43" t="str">
        <f aca="false">IF($D483="","",IFERROR(N($J483)/$I483,0))</f>
        <v/>
      </c>
      <c r="O483" s="6"/>
      <c r="P483" s="6"/>
      <c r="Q483" s="46" t="str">
        <f aca="false">IF($A483="","",DATE(YEAR($A483),MONTH($A483),1))</f>
        <v/>
      </c>
      <c r="R483" s="8" t="str">
        <f aca="false">IF(OR($A483="",$D483=""),"",IF(COUNTIFS($D$6:$D$1005,$D483,$A$6:$A$1005,"&gt;"&amp;$A483)=0,1,0))</f>
        <v/>
      </c>
    </row>
    <row r="484" customFormat="false" ht="15" hidden="false" customHeight="false" outlineLevel="0" collapsed="false">
      <c r="A484" s="44"/>
      <c r="B484" s="6"/>
      <c r="C484" s="6"/>
      <c r="D484" s="6"/>
      <c r="E484" s="8" t="str">
        <f aca="false">IF($D484="","",IFERROR(INDEX(INSUMOS!$B$6:$B$205,MATCH($D484,INSUMOS!$A$6:$A$205,0)),"¿Código?"))</f>
        <v/>
      </c>
      <c r="F484" s="8" t="str">
        <f aca="false">IF($D484="","",IFERROR(INDEX(INSUMOS!$E$6:$E$205,MATCH($D484,INSUMOS!$A$6:$A$205,0)),""))</f>
        <v/>
      </c>
      <c r="G484" s="39"/>
      <c r="H484" s="45" t="str">
        <f aca="false">IF($D484="","",IFERROR(INDEX(INSUMOS!$F$6:$F$205,MATCH($D484,INSUMOS!$A$6:$A$205,0)),0))</f>
        <v/>
      </c>
      <c r="I484" s="34" t="str">
        <f aca="false">IF($D484="","",N($G484)*$H484)</f>
        <v/>
      </c>
      <c r="J484" s="40"/>
      <c r="K484" s="36" t="str">
        <f aca="false">IF($D484="","",IFERROR(INDEX(INSUMOS!$H$6:$H$205,MATCH($D484,INSUMOS!$A$6:$A$205,0)),IVA_VENTAS))</f>
        <v/>
      </c>
      <c r="L484" s="35" t="str">
        <f aca="false">IF($D484="","",N($J484)*$K484)</f>
        <v/>
      </c>
      <c r="M484" s="35" t="str">
        <f aca="false">IF($D484="","",N($J484)+$L484)</f>
        <v/>
      </c>
      <c r="N484" s="43" t="str">
        <f aca="false">IF($D484="","",IFERROR(N($J484)/$I484,0))</f>
        <v/>
      </c>
      <c r="O484" s="6"/>
      <c r="P484" s="6"/>
      <c r="Q484" s="46" t="str">
        <f aca="false">IF($A484="","",DATE(YEAR($A484),MONTH($A484),1))</f>
        <v/>
      </c>
      <c r="R484" s="8" t="str">
        <f aca="false">IF(OR($A484="",$D484=""),"",IF(COUNTIFS($D$6:$D$1005,$D484,$A$6:$A$1005,"&gt;"&amp;$A484)=0,1,0))</f>
        <v/>
      </c>
    </row>
    <row r="485" customFormat="false" ht="15" hidden="false" customHeight="false" outlineLevel="0" collapsed="false">
      <c r="A485" s="44"/>
      <c r="B485" s="6"/>
      <c r="C485" s="6"/>
      <c r="D485" s="6"/>
      <c r="E485" s="8" t="str">
        <f aca="false">IF($D485="","",IFERROR(INDEX(INSUMOS!$B$6:$B$205,MATCH($D485,INSUMOS!$A$6:$A$205,0)),"¿Código?"))</f>
        <v/>
      </c>
      <c r="F485" s="8" t="str">
        <f aca="false">IF($D485="","",IFERROR(INDEX(INSUMOS!$E$6:$E$205,MATCH($D485,INSUMOS!$A$6:$A$205,0)),""))</f>
        <v/>
      </c>
      <c r="G485" s="39"/>
      <c r="H485" s="45" t="str">
        <f aca="false">IF($D485="","",IFERROR(INDEX(INSUMOS!$F$6:$F$205,MATCH($D485,INSUMOS!$A$6:$A$205,0)),0))</f>
        <v/>
      </c>
      <c r="I485" s="34" t="str">
        <f aca="false">IF($D485="","",N($G485)*$H485)</f>
        <v/>
      </c>
      <c r="J485" s="40"/>
      <c r="K485" s="36" t="str">
        <f aca="false">IF($D485="","",IFERROR(INDEX(INSUMOS!$H$6:$H$205,MATCH($D485,INSUMOS!$A$6:$A$205,0)),IVA_VENTAS))</f>
        <v/>
      </c>
      <c r="L485" s="35" t="str">
        <f aca="false">IF($D485="","",N($J485)*$K485)</f>
        <v/>
      </c>
      <c r="M485" s="35" t="str">
        <f aca="false">IF($D485="","",N($J485)+$L485)</f>
        <v/>
      </c>
      <c r="N485" s="43" t="str">
        <f aca="false">IF($D485="","",IFERROR(N($J485)/$I485,0))</f>
        <v/>
      </c>
      <c r="O485" s="6"/>
      <c r="P485" s="6"/>
      <c r="Q485" s="46" t="str">
        <f aca="false">IF($A485="","",DATE(YEAR($A485),MONTH($A485),1))</f>
        <v/>
      </c>
      <c r="R485" s="8" t="str">
        <f aca="false">IF(OR($A485="",$D485=""),"",IF(COUNTIFS($D$6:$D$1005,$D485,$A$6:$A$1005,"&gt;"&amp;$A485)=0,1,0))</f>
        <v/>
      </c>
    </row>
    <row r="486" customFormat="false" ht="15" hidden="false" customHeight="false" outlineLevel="0" collapsed="false">
      <c r="A486" s="44"/>
      <c r="B486" s="6"/>
      <c r="C486" s="6"/>
      <c r="D486" s="6"/>
      <c r="E486" s="8" t="str">
        <f aca="false">IF($D486="","",IFERROR(INDEX(INSUMOS!$B$6:$B$205,MATCH($D486,INSUMOS!$A$6:$A$205,0)),"¿Código?"))</f>
        <v/>
      </c>
      <c r="F486" s="8" t="str">
        <f aca="false">IF($D486="","",IFERROR(INDEX(INSUMOS!$E$6:$E$205,MATCH($D486,INSUMOS!$A$6:$A$205,0)),""))</f>
        <v/>
      </c>
      <c r="G486" s="39"/>
      <c r="H486" s="45" t="str">
        <f aca="false">IF($D486="","",IFERROR(INDEX(INSUMOS!$F$6:$F$205,MATCH($D486,INSUMOS!$A$6:$A$205,0)),0))</f>
        <v/>
      </c>
      <c r="I486" s="34" t="str">
        <f aca="false">IF($D486="","",N($G486)*$H486)</f>
        <v/>
      </c>
      <c r="J486" s="40"/>
      <c r="K486" s="36" t="str">
        <f aca="false">IF($D486="","",IFERROR(INDEX(INSUMOS!$H$6:$H$205,MATCH($D486,INSUMOS!$A$6:$A$205,0)),IVA_VENTAS))</f>
        <v/>
      </c>
      <c r="L486" s="35" t="str">
        <f aca="false">IF($D486="","",N($J486)*$K486)</f>
        <v/>
      </c>
      <c r="M486" s="35" t="str">
        <f aca="false">IF($D486="","",N($J486)+$L486)</f>
        <v/>
      </c>
      <c r="N486" s="43" t="str">
        <f aca="false">IF($D486="","",IFERROR(N($J486)/$I486,0))</f>
        <v/>
      </c>
      <c r="O486" s="6"/>
      <c r="P486" s="6"/>
      <c r="Q486" s="46" t="str">
        <f aca="false">IF($A486="","",DATE(YEAR($A486),MONTH($A486),1))</f>
        <v/>
      </c>
      <c r="R486" s="8" t="str">
        <f aca="false">IF(OR($A486="",$D486=""),"",IF(COUNTIFS($D$6:$D$1005,$D486,$A$6:$A$1005,"&gt;"&amp;$A486)=0,1,0))</f>
        <v/>
      </c>
    </row>
    <row r="487" customFormat="false" ht="15" hidden="false" customHeight="false" outlineLevel="0" collapsed="false">
      <c r="A487" s="44"/>
      <c r="B487" s="6"/>
      <c r="C487" s="6"/>
      <c r="D487" s="6"/>
      <c r="E487" s="8" t="str">
        <f aca="false">IF($D487="","",IFERROR(INDEX(INSUMOS!$B$6:$B$205,MATCH($D487,INSUMOS!$A$6:$A$205,0)),"¿Código?"))</f>
        <v/>
      </c>
      <c r="F487" s="8" t="str">
        <f aca="false">IF($D487="","",IFERROR(INDEX(INSUMOS!$E$6:$E$205,MATCH($D487,INSUMOS!$A$6:$A$205,0)),""))</f>
        <v/>
      </c>
      <c r="G487" s="39"/>
      <c r="H487" s="45" t="str">
        <f aca="false">IF($D487="","",IFERROR(INDEX(INSUMOS!$F$6:$F$205,MATCH($D487,INSUMOS!$A$6:$A$205,0)),0))</f>
        <v/>
      </c>
      <c r="I487" s="34" t="str">
        <f aca="false">IF($D487="","",N($G487)*$H487)</f>
        <v/>
      </c>
      <c r="J487" s="40"/>
      <c r="K487" s="36" t="str">
        <f aca="false">IF($D487="","",IFERROR(INDEX(INSUMOS!$H$6:$H$205,MATCH($D487,INSUMOS!$A$6:$A$205,0)),IVA_VENTAS))</f>
        <v/>
      </c>
      <c r="L487" s="35" t="str">
        <f aca="false">IF($D487="","",N($J487)*$K487)</f>
        <v/>
      </c>
      <c r="M487" s="35" t="str">
        <f aca="false">IF($D487="","",N($J487)+$L487)</f>
        <v/>
      </c>
      <c r="N487" s="43" t="str">
        <f aca="false">IF($D487="","",IFERROR(N($J487)/$I487,0))</f>
        <v/>
      </c>
      <c r="O487" s="6"/>
      <c r="P487" s="6"/>
      <c r="Q487" s="46" t="str">
        <f aca="false">IF($A487="","",DATE(YEAR($A487),MONTH($A487),1))</f>
        <v/>
      </c>
      <c r="R487" s="8" t="str">
        <f aca="false">IF(OR($A487="",$D487=""),"",IF(COUNTIFS($D$6:$D$1005,$D487,$A$6:$A$1005,"&gt;"&amp;$A487)=0,1,0))</f>
        <v/>
      </c>
    </row>
    <row r="488" customFormat="false" ht="15" hidden="false" customHeight="false" outlineLevel="0" collapsed="false">
      <c r="A488" s="44"/>
      <c r="B488" s="6"/>
      <c r="C488" s="6"/>
      <c r="D488" s="6"/>
      <c r="E488" s="8" t="str">
        <f aca="false">IF($D488="","",IFERROR(INDEX(INSUMOS!$B$6:$B$205,MATCH($D488,INSUMOS!$A$6:$A$205,0)),"¿Código?"))</f>
        <v/>
      </c>
      <c r="F488" s="8" t="str">
        <f aca="false">IF($D488="","",IFERROR(INDEX(INSUMOS!$E$6:$E$205,MATCH($D488,INSUMOS!$A$6:$A$205,0)),""))</f>
        <v/>
      </c>
      <c r="G488" s="39"/>
      <c r="H488" s="45" t="str">
        <f aca="false">IF($D488="","",IFERROR(INDEX(INSUMOS!$F$6:$F$205,MATCH($D488,INSUMOS!$A$6:$A$205,0)),0))</f>
        <v/>
      </c>
      <c r="I488" s="34" t="str">
        <f aca="false">IF($D488="","",N($G488)*$H488)</f>
        <v/>
      </c>
      <c r="J488" s="40"/>
      <c r="K488" s="36" t="str">
        <f aca="false">IF($D488="","",IFERROR(INDEX(INSUMOS!$H$6:$H$205,MATCH($D488,INSUMOS!$A$6:$A$205,0)),IVA_VENTAS))</f>
        <v/>
      </c>
      <c r="L488" s="35" t="str">
        <f aca="false">IF($D488="","",N($J488)*$K488)</f>
        <v/>
      </c>
      <c r="M488" s="35" t="str">
        <f aca="false">IF($D488="","",N($J488)+$L488)</f>
        <v/>
      </c>
      <c r="N488" s="43" t="str">
        <f aca="false">IF($D488="","",IFERROR(N($J488)/$I488,0))</f>
        <v/>
      </c>
      <c r="O488" s="6"/>
      <c r="P488" s="6"/>
      <c r="Q488" s="46" t="str">
        <f aca="false">IF($A488="","",DATE(YEAR($A488),MONTH($A488),1))</f>
        <v/>
      </c>
      <c r="R488" s="8" t="str">
        <f aca="false">IF(OR($A488="",$D488=""),"",IF(COUNTIFS($D$6:$D$1005,$D488,$A$6:$A$1005,"&gt;"&amp;$A488)=0,1,0))</f>
        <v/>
      </c>
    </row>
    <row r="489" customFormat="false" ht="15" hidden="false" customHeight="false" outlineLevel="0" collapsed="false">
      <c r="A489" s="44"/>
      <c r="B489" s="6"/>
      <c r="C489" s="6"/>
      <c r="D489" s="6"/>
      <c r="E489" s="8" t="str">
        <f aca="false">IF($D489="","",IFERROR(INDEX(INSUMOS!$B$6:$B$205,MATCH($D489,INSUMOS!$A$6:$A$205,0)),"¿Código?"))</f>
        <v/>
      </c>
      <c r="F489" s="8" t="str">
        <f aca="false">IF($D489="","",IFERROR(INDEX(INSUMOS!$E$6:$E$205,MATCH($D489,INSUMOS!$A$6:$A$205,0)),""))</f>
        <v/>
      </c>
      <c r="G489" s="39"/>
      <c r="H489" s="45" t="str">
        <f aca="false">IF($D489="","",IFERROR(INDEX(INSUMOS!$F$6:$F$205,MATCH($D489,INSUMOS!$A$6:$A$205,0)),0))</f>
        <v/>
      </c>
      <c r="I489" s="34" t="str">
        <f aca="false">IF($D489="","",N($G489)*$H489)</f>
        <v/>
      </c>
      <c r="J489" s="40"/>
      <c r="K489" s="36" t="str">
        <f aca="false">IF($D489="","",IFERROR(INDEX(INSUMOS!$H$6:$H$205,MATCH($D489,INSUMOS!$A$6:$A$205,0)),IVA_VENTAS))</f>
        <v/>
      </c>
      <c r="L489" s="35" t="str">
        <f aca="false">IF($D489="","",N($J489)*$K489)</f>
        <v/>
      </c>
      <c r="M489" s="35" t="str">
        <f aca="false">IF($D489="","",N($J489)+$L489)</f>
        <v/>
      </c>
      <c r="N489" s="43" t="str">
        <f aca="false">IF($D489="","",IFERROR(N($J489)/$I489,0))</f>
        <v/>
      </c>
      <c r="O489" s="6"/>
      <c r="P489" s="6"/>
      <c r="Q489" s="46" t="str">
        <f aca="false">IF($A489="","",DATE(YEAR($A489),MONTH($A489),1))</f>
        <v/>
      </c>
      <c r="R489" s="8" t="str">
        <f aca="false">IF(OR($A489="",$D489=""),"",IF(COUNTIFS($D$6:$D$1005,$D489,$A$6:$A$1005,"&gt;"&amp;$A489)=0,1,0))</f>
        <v/>
      </c>
    </row>
    <row r="490" customFormat="false" ht="15" hidden="false" customHeight="false" outlineLevel="0" collapsed="false">
      <c r="A490" s="44"/>
      <c r="B490" s="6"/>
      <c r="C490" s="6"/>
      <c r="D490" s="6"/>
      <c r="E490" s="8" t="str">
        <f aca="false">IF($D490="","",IFERROR(INDEX(INSUMOS!$B$6:$B$205,MATCH($D490,INSUMOS!$A$6:$A$205,0)),"¿Código?"))</f>
        <v/>
      </c>
      <c r="F490" s="8" t="str">
        <f aca="false">IF($D490="","",IFERROR(INDEX(INSUMOS!$E$6:$E$205,MATCH($D490,INSUMOS!$A$6:$A$205,0)),""))</f>
        <v/>
      </c>
      <c r="G490" s="39"/>
      <c r="H490" s="45" t="str">
        <f aca="false">IF($D490="","",IFERROR(INDEX(INSUMOS!$F$6:$F$205,MATCH($D490,INSUMOS!$A$6:$A$205,0)),0))</f>
        <v/>
      </c>
      <c r="I490" s="34" t="str">
        <f aca="false">IF($D490="","",N($G490)*$H490)</f>
        <v/>
      </c>
      <c r="J490" s="40"/>
      <c r="K490" s="36" t="str">
        <f aca="false">IF($D490="","",IFERROR(INDEX(INSUMOS!$H$6:$H$205,MATCH($D490,INSUMOS!$A$6:$A$205,0)),IVA_VENTAS))</f>
        <v/>
      </c>
      <c r="L490" s="35" t="str">
        <f aca="false">IF($D490="","",N($J490)*$K490)</f>
        <v/>
      </c>
      <c r="M490" s="35" t="str">
        <f aca="false">IF($D490="","",N($J490)+$L490)</f>
        <v/>
      </c>
      <c r="N490" s="43" t="str">
        <f aca="false">IF($D490="","",IFERROR(N($J490)/$I490,0))</f>
        <v/>
      </c>
      <c r="O490" s="6"/>
      <c r="P490" s="6"/>
      <c r="Q490" s="46" t="str">
        <f aca="false">IF($A490="","",DATE(YEAR($A490),MONTH($A490),1))</f>
        <v/>
      </c>
      <c r="R490" s="8" t="str">
        <f aca="false">IF(OR($A490="",$D490=""),"",IF(COUNTIFS($D$6:$D$1005,$D490,$A$6:$A$1005,"&gt;"&amp;$A490)=0,1,0))</f>
        <v/>
      </c>
    </row>
    <row r="491" customFormat="false" ht="15" hidden="false" customHeight="false" outlineLevel="0" collapsed="false">
      <c r="A491" s="44"/>
      <c r="B491" s="6"/>
      <c r="C491" s="6"/>
      <c r="D491" s="6"/>
      <c r="E491" s="8" t="str">
        <f aca="false">IF($D491="","",IFERROR(INDEX(INSUMOS!$B$6:$B$205,MATCH($D491,INSUMOS!$A$6:$A$205,0)),"¿Código?"))</f>
        <v/>
      </c>
      <c r="F491" s="8" t="str">
        <f aca="false">IF($D491="","",IFERROR(INDEX(INSUMOS!$E$6:$E$205,MATCH($D491,INSUMOS!$A$6:$A$205,0)),""))</f>
        <v/>
      </c>
      <c r="G491" s="39"/>
      <c r="H491" s="45" t="str">
        <f aca="false">IF($D491="","",IFERROR(INDEX(INSUMOS!$F$6:$F$205,MATCH($D491,INSUMOS!$A$6:$A$205,0)),0))</f>
        <v/>
      </c>
      <c r="I491" s="34" t="str">
        <f aca="false">IF($D491="","",N($G491)*$H491)</f>
        <v/>
      </c>
      <c r="J491" s="40"/>
      <c r="K491" s="36" t="str">
        <f aca="false">IF($D491="","",IFERROR(INDEX(INSUMOS!$H$6:$H$205,MATCH($D491,INSUMOS!$A$6:$A$205,0)),IVA_VENTAS))</f>
        <v/>
      </c>
      <c r="L491" s="35" t="str">
        <f aca="false">IF($D491="","",N($J491)*$K491)</f>
        <v/>
      </c>
      <c r="M491" s="35" t="str">
        <f aca="false">IF($D491="","",N($J491)+$L491)</f>
        <v/>
      </c>
      <c r="N491" s="43" t="str">
        <f aca="false">IF($D491="","",IFERROR(N($J491)/$I491,0))</f>
        <v/>
      </c>
      <c r="O491" s="6"/>
      <c r="P491" s="6"/>
      <c r="Q491" s="46" t="str">
        <f aca="false">IF($A491="","",DATE(YEAR($A491),MONTH($A491),1))</f>
        <v/>
      </c>
      <c r="R491" s="8" t="str">
        <f aca="false">IF(OR($A491="",$D491=""),"",IF(COUNTIFS($D$6:$D$1005,$D491,$A$6:$A$1005,"&gt;"&amp;$A491)=0,1,0))</f>
        <v/>
      </c>
    </row>
    <row r="492" customFormat="false" ht="15" hidden="false" customHeight="false" outlineLevel="0" collapsed="false">
      <c r="A492" s="44"/>
      <c r="B492" s="6"/>
      <c r="C492" s="6"/>
      <c r="D492" s="6"/>
      <c r="E492" s="8" t="str">
        <f aca="false">IF($D492="","",IFERROR(INDEX(INSUMOS!$B$6:$B$205,MATCH($D492,INSUMOS!$A$6:$A$205,0)),"¿Código?"))</f>
        <v/>
      </c>
      <c r="F492" s="8" t="str">
        <f aca="false">IF($D492="","",IFERROR(INDEX(INSUMOS!$E$6:$E$205,MATCH($D492,INSUMOS!$A$6:$A$205,0)),""))</f>
        <v/>
      </c>
      <c r="G492" s="39"/>
      <c r="H492" s="45" t="str">
        <f aca="false">IF($D492="","",IFERROR(INDEX(INSUMOS!$F$6:$F$205,MATCH($D492,INSUMOS!$A$6:$A$205,0)),0))</f>
        <v/>
      </c>
      <c r="I492" s="34" t="str">
        <f aca="false">IF($D492="","",N($G492)*$H492)</f>
        <v/>
      </c>
      <c r="J492" s="40"/>
      <c r="K492" s="36" t="str">
        <f aca="false">IF($D492="","",IFERROR(INDEX(INSUMOS!$H$6:$H$205,MATCH($D492,INSUMOS!$A$6:$A$205,0)),IVA_VENTAS))</f>
        <v/>
      </c>
      <c r="L492" s="35" t="str">
        <f aca="false">IF($D492="","",N($J492)*$K492)</f>
        <v/>
      </c>
      <c r="M492" s="35" t="str">
        <f aca="false">IF($D492="","",N($J492)+$L492)</f>
        <v/>
      </c>
      <c r="N492" s="43" t="str">
        <f aca="false">IF($D492="","",IFERROR(N($J492)/$I492,0))</f>
        <v/>
      </c>
      <c r="O492" s="6"/>
      <c r="P492" s="6"/>
      <c r="Q492" s="46" t="str">
        <f aca="false">IF($A492="","",DATE(YEAR($A492),MONTH($A492),1))</f>
        <v/>
      </c>
      <c r="R492" s="8" t="str">
        <f aca="false">IF(OR($A492="",$D492=""),"",IF(COUNTIFS($D$6:$D$1005,$D492,$A$6:$A$1005,"&gt;"&amp;$A492)=0,1,0))</f>
        <v/>
      </c>
    </row>
    <row r="493" customFormat="false" ht="15" hidden="false" customHeight="false" outlineLevel="0" collapsed="false">
      <c r="A493" s="44"/>
      <c r="B493" s="6"/>
      <c r="C493" s="6"/>
      <c r="D493" s="6"/>
      <c r="E493" s="8" t="str">
        <f aca="false">IF($D493="","",IFERROR(INDEX(INSUMOS!$B$6:$B$205,MATCH($D493,INSUMOS!$A$6:$A$205,0)),"¿Código?"))</f>
        <v/>
      </c>
      <c r="F493" s="8" t="str">
        <f aca="false">IF($D493="","",IFERROR(INDEX(INSUMOS!$E$6:$E$205,MATCH($D493,INSUMOS!$A$6:$A$205,0)),""))</f>
        <v/>
      </c>
      <c r="G493" s="39"/>
      <c r="H493" s="45" t="str">
        <f aca="false">IF($D493="","",IFERROR(INDEX(INSUMOS!$F$6:$F$205,MATCH($D493,INSUMOS!$A$6:$A$205,0)),0))</f>
        <v/>
      </c>
      <c r="I493" s="34" t="str">
        <f aca="false">IF($D493="","",N($G493)*$H493)</f>
        <v/>
      </c>
      <c r="J493" s="40"/>
      <c r="K493" s="36" t="str">
        <f aca="false">IF($D493="","",IFERROR(INDEX(INSUMOS!$H$6:$H$205,MATCH($D493,INSUMOS!$A$6:$A$205,0)),IVA_VENTAS))</f>
        <v/>
      </c>
      <c r="L493" s="35" t="str">
        <f aca="false">IF($D493="","",N($J493)*$K493)</f>
        <v/>
      </c>
      <c r="M493" s="35" t="str">
        <f aca="false">IF($D493="","",N($J493)+$L493)</f>
        <v/>
      </c>
      <c r="N493" s="43" t="str">
        <f aca="false">IF($D493="","",IFERROR(N($J493)/$I493,0))</f>
        <v/>
      </c>
      <c r="O493" s="6"/>
      <c r="P493" s="6"/>
      <c r="Q493" s="46" t="str">
        <f aca="false">IF($A493="","",DATE(YEAR($A493),MONTH($A493),1))</f>
        <v/>
      </c>
      <c r="R493" s="8" t="str">
        <f aca="false">IF(OR($A493="",$D493=""),"",IF(COUNTIFS($D$6:$D$1005,$D493,$A$6:$A$1005,"&gt;"&amp;$A493)=0,1,0))</f>
        <v/>
      </c>
    </row>
    <row r="494" customFormat="false" ht="15" hidden="false" customHeight="false" outlineLevel="0" collapsed="false">
      <c r="A494" s="44"/>
      <c r="B494" s="6"/>
      <c r="C494" s="6"/>
      <c r="D494" s="6"/>
      <c r="E494" s="8" t="str">
        <f aca="false">IF($D494="","",IFERROR(INDEX(INSUMOS!$B$6:$B$205,MATCH($D494,INSUMOS!$A$6:$A$205,0)),"¿Código?"))</f>
        <v/>
      </c>
      <c r="F494" s="8" t="str">
        <f aca="false">IF($D494="","",IFERROR(INDEX(INSUMOS!$E$6:$E$205,MATCH($D494,INSUMOS!$A$6:$A$205,0)),""))</f>
        <v/>
      </c>
      <c r="G494" s="39"/>
      <c r="H494" s="45" t="str">
        <f aca="false">IF($D494="","",IFERROR(INDEX(INSUMOS!$F$6:$F$205,MATCH($D494,INSUMOS!$A$6:$A$205,0)),0))</f>
        <v/>
      </c>
      <c r="I494" s="34" t="str">
        <f aca="false">IF($D494="","",N($G494)*$H494)</f>
        <v/>
      </c>
      <c r="J494" s="40"/>
      <c r="K494" s="36" t="str">
        <f aca="false">IF($D494="","",IFERROR(INDEX(INSUMOS!$H$6:$H$205,MATCH($D494,INSUMOS!$A$6:$A$205,0)),IVA_VENTAS))</f>
        <v/>
      </c>
      <c r="L494" s="35" t="str">
        <f aca="false">IF($D494="","",N($J494)*$K494)</f>
        <v/>
      </c>
      <c r="M494" s="35" t="str">
        <f aca="false">IF($D494="","",N($J494)+$L494)</f>
        <v/>
      </c>
      <c r="N494" s="43" t="str">
        <f aca="false">IF($D494="","",IFERROR(N($J494)/$I494,0))</f>
        <v/>
      </c>
      <c r="O494" s="6"/>
      <c r="P494" s="6"/>
      <c r="Q494" s="46" t="str">
        <f aca="false">IF($A494="","",DATE(YEAR($A494),MONTH($A494),1))</f>
        <v/>
      </c>
      <c r="R494" s="8" t="str">
        <f aca="false">IF(OR($A494="",$D494=""),"",IF(COUNTIFS($D$6:$D$1005,$D494,$A$6:$A$1005,"&gt;"&amp;$A494)=0,1,0))</f>
        <v/>
      </c>
    </row>
    <row r="495" customFormat="false" ht="15" hidden="false" customHeight="false" outlineLevel="0" collapsed="false">
      <c r="A495" s="44"/>
      <c r="B495" s="6"/>
      <c r="C495" s="6"/>
      <c r="D495" s="6"/>
      <c r="E495" s="8" t="str">
        <f aca="false">IF($D495="","",IFERROR(INDEX(INSUMOS!$B$6:$B$205,MATCH($D495,INSUMOS!$A$6:$A$205,0)),"¿Código?"))</f>
        <v/>
      </c>
      <c r="F495" s="8" t="str">
        <f aca="false">IF($D495="","",IFERROR(INDEX(INSUMOS!$E$6:$E$205,MATCH($D495,INSUMOS!$A$6:$A$205,0)),""))</f>
        <v/>
      </c>
      <c r="G495" s="39"/>
      <c r="H495" s="45" t="str">
        <f aca="false">IF($D495="","",IFERROR(INDEX(INSUMOS!$F$6:$F$205,MATCH($D495,INSUMOS!$A$6:$A$205,0)),0))</f>
        <v/>
      </c>
      <c r="I495" s="34" t="str">
        <f aca="false">IF($D495="","",N($G495)*$H495)</f>
        <v/>
      </c>
      <c r="J495" s="40"/>
      <c r="K495" s="36" t="str">
        <f aca="false">IF($D495="","",IFERROR(INDEX(INSUMOS!$H$6:$H$205,MATCH($D495,INSUMOS!$A$6:$A$205,0)),IVA_VENTAS))</f>
        <v/>
      </c>
      <c r="L495" s="35" t="str">
        <f aca="false">IF($D495="","",N($J495)*$K495)</f>
        <v/>
      </c>
      <c r="M495" s="35" t="str">
        <f aca="false">IF($D495="","",N($J495)+$L495)</f>
        <v/>
      </c>
      <c r="N495" s="43" t="str">
        <f aca="false">IF($D495="","",IFERROR(N($J495)/$I495,0))</f>
        <v/>
      </c>
      <c r="O495" s="6"/>
      <c r="P495" s="6"/>
      <c r="Q495" s="46" t="str">
        <f aca="false">IF($A495="","",DATE(YEAR($A495),MONTH($A495),1))</f>
        <v/>
      </c>
      <c r="R495" s="8" t="str">
        <f aca="false">IF(OR($A495="",$D495=""),"",IF(COUNTIFS($D$6:$D$1005,$D495,$A$6:$A$1005,"&gt;"&amp;$A495)=0,1,0))</f>
        <v/>
      </c>
    </row>
    <row r="496" customFormat="false" ht="15" hidden="false" customHeight="false" outlineLevel="0" collapsed="false">
      <c r="A496" s="44"/>
      <c r="B496" s="6"/>
      <c r="C496" s="6"/>
      <c r="D496" s="6"/>
      <c r="E496" s="8" t="str">
        <f aca="false">IF($D496="","",IFERROR(INDEX(INSUMOS!$B$6:$B$205,MATCH($D496,INSUMOS!$A$6:$A$205,0)),"¿Código?"))</f>
        <v/>
      </c>
      <c r="F496" s="8" t="str">
        <f aca="false">IF($D496="","",IFERROR(INDEX(INSUMOS!$E$6:$E$205,MATCH($D496,INSUMOS!$A$6:$A$205,0)),""))</f>
        <v/>
      </c>
      <c r="G496" s="39"/>
      <c r="H496" s="45" t="str">
        <f aca="false">IF($D496="","",IFERROR(INDEX(INSUMOS!$F$6:$F$205,MATCH($D496,INSUMOS!$A$6:$A$205,0)),0))</f>
        <v/>
      </c>
      <c r="I496" s="34" t="str">
        <f aca="false">IF($D496="","",N($G496)*$H496)</f>
        <v/>
      </c>
      <c r="J496" s="40"/>
      <c r="K496" s="36" t="str">
        <f aca="false">IF($D496="","",IFERROR(INDEX(INSUMOS!$H$6:$H$205,MATCH($D496,INSUMOS!$A$6:$A$205,0)),IVA_VENTAS))</f>
        <v/>
      </c>
      <c r="L496" s="35" t="str">
        <f aca="false">IF($D496="","",N($J496)*$K496)</f>
        <v/>
      </c>
      <c r="M496" s="35" t="str">
        <f aca="false">IF($D496="","",N($J496)+$L496)</f>
        <v/>
      </c>
      <c r="N496" s="43" t="str">
        <f aca="false">IF($D496="","",IFERROR(N($J496)/$I496,0))</f>
        <v/>
      </c>
      <c r="O496" s="6"/>
      <c r="P496" s="6"/>
      <c r="Q496" s="46" t="str">
        <f aca="false">IF($A496="","",DATE(YEAR($A496),MONTH($A496),1))</f>
        <v/>
      </c>
      <c r="R496" s="8" t="str">
        <f aca="false">IF(OR($A496="",$D496=""),"",IF(COUNTIFS($D$6:$D$1005,$D496,$A$6:$A$1005,"&gt;"&amp;$A496)=0,1,0))</f>
        <v/>
      </c>
    </row>
    <row r="497" customFormat="false" ht="15" hidden="false" customHeight="false" outlineLevel="0" collapsed="false">
      <c r="A497" s="44"/>
      <c r="B497" s="6"/>
      <c r="C497" s="6"/>
      <c r="D497" s="6"/>
      <c r="E497" s="8" t="str">
        <f aca="false">IF($D497="","",IFERROR(INDEX(INSUMOS!$B$6:$B$205,MATCH($D497,INSUMOS!$A$6:$A$205,0)),"¿Código?"))</f>
        <v/>
      </c>
      <c r="F497" s="8" t="str">
        <f aca="false">IF($D497="","",IFERROR(INDEX(INSUMOS!$E$6:$E$205,MATCH($D497,INSUMOS!$A$6:$A$205,0)),""))</f>
        <v/>
      </c>
      <c r="G497" s="39"/>
      <c r="H497" s="45" t="str">
        <f aca="false">IF($D497="","",IFERROR(INDEX(INSUMOS!$F$6:$F$205,MATCH($D497,INSUMOS!$A$6:$A$205,0)),0))</f>
        <v/>
      </c>
      <c r="I497" s="34" t="str">
        <f aca="false">IF($D497="","",N($G497)*$H497)</f>
        <v/>
      </c>
      <c r="J497" s="40"/>
      <c r="K497" s="36" t="str">
        <f aca="false">IF($D497="","",IFERROR(INDEX(INSUMOS!$H$6:$H$205,MATCH($D497,INSUMOS!$A$6:$A$205,0)),IVA_VENTAS))</f>
        <v/>
      </c>
      <c r="L497" s="35" t="str">
        <f aca="false">IF($D497="","",N($J497)*$K497)</f>
        <v/>
      </c>
      <c r="M497" s="35" t="str">
        <f aca="false">IF($D497="","",N($J497)+$L497)</f>
        <v/>
      </c>
      <c r="N497" s="43" t="str">
        <f aca="false">IF($D497="","",IFERROR(N($J497)/$I497,0))</f>
        <v/>
      </c>
      <c r="O497" s="6"/>
      <c r="P497" s="6"/>
      <c r="Q497" s="46" t="str">
        <f aca="false">IF($A497="","",DATE(YEAR($A497),MONTH($A497),1))</f>
        <v/>
      </c>
      <c r="R497" s="8" t="str">
        <f aca="false">IF(OR($A497="",$D497=""),"",IF(COUNTIFS($D$6:$D$1005,$D497,$A$6:$A$1005,"&gt;"&amp;$A497)=0,1,0))</f>
        <v/>
      </c>
    </row>
    <row r="498" customFormat="false" ht="15" hidden="false" customHeight="false" outlineLevel="0" collapsed="false">
      <c r="A498" s="44"/>
      <c r="B498" s="6"/>
      <c r="C498" s="6"/>
      <c r="D498" s="6"/>
      <c r="E498" s="8" t="str">
        <f aca="false">IF($D498="","",IFERROR(INDEX(INSUMOS!$B$6:$B$205,MATCH($D498,INSUMOS!$A$6:$A$205,0)),"¿Código?"))</f>
        <v/>
      </c>
      <c r="F498" s="8" t="str">
        <f aca="false">IF($D498="","",IFERROR(INDEX(INSUMOS!$E$6:$E$205,MATCH($D498,INSUMOS!$A$6:$A$205,0)),""))</f>
        <v/>
      </c>
      <c r="G498" s="39"/>
      <c r="H498" s="45" t="str">
        <f aca="false">IF($D498="","",IFERROR(INDEX(INSUMOS!$F$6:$F$205,MATCH($D498,INSUMOS!$A$6:$A$205,0)),0))</f>
        <v/>
      </c>
      <c r="I498" s="34" t="str">
        <f aca="false">IF($D498="","",N($G498)*$H498)</f>
        <v/>
      </c>
      <c r="J498" s="40"/>
      <c r="K498" s="36" t="str">
        <f aca="false">IF($D498="","",IFERROR(INDEX(INSUMOS!$H$6:$H$205,MATCH($D498,INSUMOS!$A$6:$A$205,0)),IVA_VENTAS))</f>
        <v/>
      </c>
      <c r="L498" s="35" t="str">
        <f aca="false">IF($D498="","",N($J498)*$K498)</f>
        <v/>
      </c>
      <c r="M498" s="35" t="str">
        <f aca="false">IF($D498="","",N($J498)+$L498)</f>
        <v/>
      </c>
      <c r="N498" s="43" t="str">
        <f aca="false">IF($D498="","",IFERROR(N($J498)/$I498,0))</f>
        <v/>
      </c>
      <c r="O498" s="6"/>
      <c r="P498" s="6"/>
      <c r="Q498" s="46" t="str">
        <f aca="false">IF($A498="","",DATE(YEAR($A498),MONTH($A498),1))</f>
        <v/>
      </c>
      <c r="R498" s="8" t="str">
        <f aca="false">IF(OR($A498="",$D498=""),"",IF(COUNTIFS($D$6:$D$1005,$D498,$A$6:$A$1005,"&gt;"&amp;$A498)=0,1,0))</f>
        <v/>
      </c>
    </row>
    <row r="499" customFormat="false" ht="15" hidden="false" customHeight="false" outlineLevel="0" collapsed="false">
      <c r="A499" s="44"/>
      <c r="B499" s="6"/>
      <c r="C499" s="6"/>
      <c r="D499" s="6"/>
      <c r="E499" s="8" t="str">
        <f aca="false">IF($D499="","",IFERROR(INDEX(INSUMOS!$B$6:$B$205,MATCH($D499,INSUMOS!$A$6:$A$205,0)),"¿Código?"))</f>
        <v/>
      </c>
      <c r="F499" s="8" t="str">
        <f aca="false">IF($D499="","",IFERROR(INDEX(INSUMOS!$E$6:$E$205,MATCH($D499,INSUMOS!$A$6:$A$205,0)),""))</f>
        <v/>
      </c>
      <c r="G499" s="39"/>
      <c r="H499" s="45" t="str">
        <f aca="false">IF($D499="","",IFERROR(INDEX(INSUMOS!$F$6:$F$205,MATCH($D499,INSUMOS!$A$6:$A$205,0)),0))</f>
        <v/>
      </c>
      <c r="I499" s="34" t="str">
        <f aca="false">IF($D499="","",N($G499)*$H499)</f>
        <v/>
      </c>
      <c r="J499" s="40"/>
      <c r="K499" s="36" t="str">
        <f aca="false">IF($D499="","",IFERROR(INDEX(INSUMOS!$H$6:$H$205,MATCH($D499,INSUMOS!$A$6:$A$205,0)),IVA_VENTAS))</f>
        <v/>
      </c>
      <c r="L499" s="35" t="str">
        <f aca="false">IF($D499="","",N($J499)*$K499)</f>
        <v/>
      </c>
      <c r="M499" s="35" t="str">
        <f aca="false">IF($D499="","",N($J499)+$L499)</f>
        <v/>
      </c>
      <c r="N499" s="43" t="str">
        <f aca="false">IF($D499="","",IFERROR(N($J499)/$I499,0))</f>
        <v/>
      </c>
      <c r="O499" s="6"/>
      <c r="P499" s="6"/>
      <c r="Q499" s="46" t="str">
        <f aca="false">IF($A499="","",DATE(YEAR($A499),MONTH($A499),1))</f>
        <v/>
      </c>
      <c r="R499" s="8" t="str">
        <f aca="false">IF(OR($A499="",$D499=""),"",IF(COUNTIFS($D$6:$D$1005,$D499,$A$6:$A$1005,"&gt;"&amp;$A499)=0,1,0))</f>
        <v/>
      </c>
    </row>
    <row r="500" customFormat="false" ht="15" hidden="false" customHeight="false" outlineLevel="0" collapsed="false">
      <c r="A500" s="44"/>
      <c r="B500" s="6"/>
      <c r="C500" s="6"/>
      <c r="D500" s="6"/>
      <c r="E500" s="8" t="str">
        <f aca="false">IF($D500="","",IFERROR(INDEX(INSUMOS!$B$6:$B$205,MATCH($D500,INSUMOS!$A$6:$A$205,0)),"¿Código?"))</f>
        <v/>
      </c>
      <c r="F500" s="8" t="str">
        <f aca="false">IF($D500="","",IFERROR(INDEX(INSUMOS!$E$6:$E$205,MATCH($D500,INSUMOS!$A$6:$A$205,0)),""))</f>
        <v/>
      </c>
      <c r="G500" s="39"/>
      <c r="H500" s="45" t="str">
        <f aca="false">IF($D500="","",IFERROR(INDEX(INSUMOS!$F$6:$F$205,MATCH($D500,INSUMOS!$A$6:$A$205,0)),0))</f>
        <v/>
      </c>
      <c r="I500" s="34" t="str">
        <f aca="false">IF($D500="","",N($G500)*$H500)</f>
        <v/>
      </c>
      <c r="J500" s="40"/>
      <c r="K500" s="36" t="str">
        <f aca="false">IF($D500="","",IFERROR(INDEX(INSUMOS!$H$6:$H$205,MATCH($D500,INSUMOS!$A$6:$A$205,0)),IVA_VENTAS))</f>
        <v/>
      </c>
      <c r="L500" s="35" t="str">
        <f aca="false">IF($D500="","",N($J500)*$K500)</f>
        <v/>
      </c>
      <c r="M500" s="35" t="str">
        <f aca="false">IF($D500="","",N($J500)+$L500)</f>
        <v/>
      </c>
      <c r="N500" s="43" t="str">
        <f aca="false">IF($D500="","",IFERROR(N($J500)/$I500,0))</f>
        <v/>
      </c>
      <c r="O500" s="6"/>
      <c r="P500" s="6"/>
      <c r="Q500" s="46" t="str">
        <f aca="false">IF($A500="","",DATE(YEAR($A500),MONTH($A500),1))</f>
        <v/>
      </c>
      <c r="R500" s="8" t="str">
        <f aca="false">IF(OR($A500="",$D500=""),"",IF(COUNTIFS($D$6:$D$1005,$D500,$A$6:$A$1005,"&gt;"&amp;$A500)=0,1,0))</f>
        <v/>
      </c>
    </row>
    <row r="501" customFormat="false" ht="15" hidden="false" customHeight="false" outlineLevel="0" collapsed="false">
      <c r="A501" s="44"/>
      <c r="B501" s="6"/>
      <c r="C501" s="6"/>
      <c r="D501" s="6"/>
      <c r="E501" s="8" t="str">
        <f aca="false">IF($D501="","",IFERROR(INDEX(INSUMOS!$B$6:$B$205,MATCH($D501,INSUMOS!$A$6:$A$205,0)),"¿Código?"))</f>
        <v/>
      </c>
      <c r="F501" s="8" t="str">
        <f aca="false">IF($D501="","",IFERROR(INDEX(INSUMOS!$E$6:$E$205,MATCH($D501,INSUMOS!$A$6:$A$205,0)),""))</f>
        <v/>
      </c>
      <c r="G501" s="39"/>
      <c r="H501" s="45" t="str">
        <f aca="false">IF($D501="","",IFERROR(INDEX(INSUMOS!$F$6:$F$205,MATCH($D501,INSUMOS!$A$6:$A$205,0)),0))</f>
        <v/>
      </c>
      <c r="I501" s="34" t="str">
        <f aca="false">IF($D501="","",N($G501)*$H501)</f>
        <v/>
      </c>
      <c r="J501" s="40"/>
      <c r="K501" s="36" t="str">
        <f aca="false">IF($D501="","",IFERROR(INDEX(INSUMOS!$H$6:$H$205,MATCH($D501,INSUMOS!$A$6:$A$205,0)),IVA_VENTAS))</f>
        <v/>
      </c>
      <c r="L501" s="35" t="str">
        <f aca="false">IF($D501="","",N($J501)*$K501)</f>
        <v/>
      </c>
      <c r="M501" s="35" t="str">
        <f aca="false">IF($D501="","",N($J501)+$L501)</f>
        <v/>
      </c>
      <c r="N501" s="43" t="str">
        <f aca="false">IF($D501="","",IFERROR(N($J501)/$I501,0))</f>
        <v/>
      </c>
      <c r="O501" s="6"/>
      <c r="P501" s="6"/>
      <c r="Q501" s="46" t="str">
        <f aca="false">IF($A501="","",DATE(YEAR($A501),MONTH($A501),1))</f>
        <v/>
      </c>
      <c r="R501" s="8" t="str">
        <f aca="false">IF(OR($A501="",$D501=""),"",IF(COUNTIFS($D$6:$D$1005,$D501,$A$6:$A$1005,"&gt;"&amp;$A501)=0,1,0))</f>
        <v/>
      </c>
    </row>
    <row r="502" customFormat="false" ht="15" hidden="false" customHeight="false" outlineLevel="0" collapsed="false">
      <c r="A502" s="44"/>
      <c r="B502" s="6"/>
      <c r="C502" s="6"/>
      <c r="D502" s="6"/>
      <c r="E502" s="8" t="str">
        <f aca="false">IF($D502="","",IFERROR(INDEX(INSUMOS!$B$6:$B$205,MATCH($D502,INSUMOS!$A$6:$A$205,0)),"¿Código?"))</f>
        <v/>
      </c>
      <c r="F502" s="8" t="str">
        <f aca="false">IF($D502="","",IFERROR(INDEX(INSUMOS!$E$6:$E$205,MATCH($D502,INSUMOS!$A$6:$A$205,0)),""))</f>
        <v/>
      </c>
      <c r="G502" s="39"/>
      <c r="H502" s="45" t="str">
        <f aca="false">IF($D502="","",IFERROR(INDEX(INSUMOS!$F$6:$F$205,MATCH($D502,INSUMOS!$A$6:$A$205,0)),0))</f>
        <v/>
      </c>
      <c r="I502" s="34" t="str">
        <f aca="false">IF($D502="","",N($G502)*$H502)</f>
        <v/>
      </c>
      <c r="J502" s="40"/>
      <c r="K502" s="36" t="str">
        <f aca="false">IF($D502="","",IFERROR(INDEX(INSUMOS!$H$6:$H$205,MATCH($D502,INSUMOS!$A$6:$A$205,0)),IVA_VENTAS))</f>
        <v/>
      </c>
      <c r="L502" s="35" t="str">
        <f aca="false">IF($D502="","",N($J502)*$K502)</f>
        <v/>
      </c>
      <c r="M502" s="35" t="str">
        <f aca="false">IF($D502="","",N($J502)+$L502)</f>
        <v/>
      </c>
      <c r="N502" s="43" t="str">
        <f aca="false">IF($D502="","",IFERROR(N($J502)/$I502,0))</f>
        <v/>
      </c>
      <c r="O502" s="6"/>
      <c r="P502" s="6"/>
      <c r="Q502" s="46" t="str">
        <f aca="false">IF($A502="","",DATE(YEAR($A502),MONTH($A502),1))</f>
        <v/>
      </c>
      <c r="R502" s="8" t="str">
        <f aca="false">IF(OR($A502="",$D502=""),"",IF(COUNTIFS($D$6:$D$1005,$D502,$A$6:$A$1005,"&gt;"&amp;$A502)=0,1,0))</f>
        <v/>
      </c>
    </row>
    <row r="503" customFormat="false" ht="15" hidden="false" customHeight="false" outlineLevel="0" collapsed="false">
      <c r="A503" s="44"/>
      <c r="B503" s="6"/>
      <c r="C503" s="6"/>
      <c r="D503" s="6"/>
      <c r="E503" s="8" t="str">
        <f aca="false">IF($D503="","",IFERROR(INDEX(INSUMOS!$B$6:$B$205,MATCH($D503,INSUMOS!$A$6:$A$205,0)),"¿Código?"))</f>
        <v/>
      </c>
      <c r="F503" s="8" t="str">
        <f aca="false">IF($D503="","",IFERROR(INDEX(INSUMOS!$E$6:$E$205,MATCH($D503,INSUMOS!$A$6:$A$205,0)),""))</f>
        <v/>
      </c>
      <c r="G503" s="39"/>
      <c r="H503" s="45" t="str">
        <f aca="false">IF($D503="","",IFERROR(INDEX(INSUMOS!$F$6:$F$205,MATCH($D503,INSUMOS!$A$6:$A$205,0)),0))</f>
        <v/>
      </c>
      <c r="I503" s="34" t="str">
        <f aca="false">IF($D503="","",N($G503)*$H503)</f>
        <v/>
      </c>
      <c r="J503" s="40"/>
      <c r="K503" s="36" t="str">
        <f aca="false">IF($D503="","",IFERROR(INDEX(INSUMOS!$H$6:$H$205,MATCH($D503,INSUMOS!$A$6:$A$205,0)),IVA_VENTAS))</f>
        <v/>
      </c>
      <c r="L503" s="35" t="str">
        <f aca="false">IF($D503="","",N($J503)*$K503)</f>
        <v/>
      </c>
      <c r="M503" s="35" t="str">
        <f aca="false">IF($D503="","",N($J503)+$L503)</f>
        <v/>
      </c>
      <c r="N503" s="43" t="str">
        <f aca="false">IF($D503="","",IFERROR(N($J503)/$I503,0))</f>
        <v/>
      </c>
      <c r="O503" s="6"/>
      <c r="P503" s="6"/>
      <c r="Q503" s="46" t="str">
        <f aca="false">IF($A503="","",DATE(YEAR($A503),MONTH($A503),1))</f>
        <v/>
      </c>
      <c r="R503" s="8" t="str">
        <f aca="false">IF(OR($A503="",$D503=""),"",IF(COUNTIFS($D$6:$D$1005,$D503,$A$6:$A$1005,"&gt;"&amp;$A503)=0,1,0))</f>
        <v/>
      </c>
    </row>
    <row r="504" customFormat="false" ht="15" hidden="false" customHeight="false" outlineLevel="0" collapsed="false">
      <c r="A504" s="44"/>
      <c r="B504" s="6"/>
      <c r="C504" s="6"/>
      <c r="D504" s="6"/>
      <c r="E504" s="8" t="str">
        <f aca="false">IF($D504="","",IFERROR(INDEX(INSUMOS!$B$6:$B$205,MATCH($D504,INSUMOS!$A$6:$A$205,0)),"¿Código?"))</f>
        <v/>
      </c>
      <c r="F504" s="8" t="str">
        <f aca="false">IF($D504="","",IFERROR(INDEX(INSUMOS!$E$6:$E$205,MATCH($D504,INSUMOS!$A$6:$A$205,0)),""))</f>
        <v/>
      </c>
      <c r="G504" s="39"/>
      <c r="H504" s="45" t="str">
        <f aca="false">IF($D504="","",IFERROR(INDEX(INSUMOS!$F$6:$F$205,MATCH($D504,INSUMOS!$A$6:$A$205,0)),0))</f>
        <v/>
      </c>
      <c r="I504" s="34" t="str">
        <f aca="false">IF($D504="","",N($G504)*$H504)</f>
        <v/>
      </c>
      <c r="J504" s="40"/>
      <c r="K504" s="36" t="str">
        <f aca="false">IF($D504="","",IFERROR(INDEX(INSUMOS!$H$6:$H$205,MATCH($D504,INSUMOS!$A$6:$A$205,0)),IVA_VENTAS))</f>
        <v/>
      </c>
      <c r="L504" s="35" t="str">
        <f aca="false">IF($D504="","",N($J504)*$K504)</f>
        <v/>
      </c>
      <c r="M504" s="35" t="str">
        <f aca="false">IF($D504="","",N($J504)+$L504)</f>
        <v/>
      </c>
      <c r="N504" s="43" t="str">
        <f aca="false">IF($D504="","",IFERROR(N($J504)/$I504,0))</f>
        <v/>
      </c>
      <c r="O504" s="6"/>
      <c r="P504" s="6"/>
      <c r="Q504" s="46" t="str">
        <f aca="false">IF($A504="","",DATE(YEAR($A504),MONTH($A504),1))</f>
        <v/>
      </c>
      <c r="R504" s="8" t="str">
        <f aca="false">IF(OR($A504="",$D504=""),"",IF(COUNTIFS($D$6:$D$1005,$D504,$A$6:$A$1005,"&gt;"&amp;$A504)=0,1,0))</f>
        <v/>
      </c>
    </row>
    <row r="505" customFormat="false" ht="15" hidden="false" customHeight="false" outlineLevel="0" collapsed="false">
      <c r="A505" s="44"/>
      <c r="B505" s="6"/>
      <c r="C505" s="6"/>
      <c r="D505" s="6"/>
      <c r="E505" s="8" t="str">
        <f aca="false">IF($D505="","",IFERROR(INDEX(INSUMOS!$B$6:$B$205,MATCH($D505,INSUMOS!$A$6:$A$205,0)),"¿Código?"))</f>
        <v/>
      </c>
      <c r="F505" s="8" t="str">
        <f aca="false">IF($D505="","",IFERROR(INDEX(INSUMOS!$E$6:$E$205,MATCH($D505,INSUMOS!$A$6:$A$205,0)),""))</f>
        <v/>
      </c>
      <c r="G505" s="39"/>
      <c r="H505" s="45" t="str">
        <f aca="false">IF($D505="","",IFERROR(INDEX(INSUMOS!$F$6:$F$205,MATCH($D505,INSUMOS!$A$6:$A$205,0)),0))</f>
        <v/>
      </c>
      <c r="I505" s="34" t="str">
        <f aca="false">IF($D505="","",N($G505)*$H505)</f>
        <v/>
      </c>
      <c r="J505" s="40"/>
      <c r="K505" s="36" t="str">
        <f aca="false">IF($D505="","",IFERROR(INDEX(INSUMOS!$H$6:$H$205,MATCH($D505,INSUMOS!$A$6:$A$205,0)),IVA_VENTAS))</f>
        <v/>
      </c>
      <c r="L505" s="35" t="str">
        <f aca="false">IF($D505="","",N($J505)*$K505)</f>
        <v/>
      </c>
      <c r="M505" s="35" t="str">
        <f aca="false">IF($D505="","",N($J505)+$L505)</f>
        <v/>
      </c>
      <c r="N505" s="43" t="str">
        <f aca="false">IF($D505="","",IFERROR(N($J505)/$I505,0))</f>
        <v/>
      </c>
      <c r="O505" s="6"/>
      <c r="P505" s="6"/>
      <c r="Q505" s="46" t="str">
        <f aca="false">IF($A505="","",DATE(YEAR($A505),MONTH($A505),1))</f>
        <v/>
      </c>
      <c r="R505" s="8" t="str">
        <f aca="false">IF(OR($A505="",$D505=""),"",IF(COUNTIFS($D$6:$D$1005,$D505,$A$6:$A$1005,"&gt;"&amp;$A505)=0,1,0))</f>
        <v/>
      </c>
    </row>
    <row r="506" customFormat="false" ht="15" hidden="false" customHeight="false" outlineLevel="0" collapsed="false">
      <c r="A506" s="44"/>
      <c r="B506" s="6"/>
      <c r="C506" s="6"/>
      <c r="D506" s="6"/>
      <c r="E506" s="8" t="str">
        <f aca="false">IF($D506="","",IFERROR(INDEX(INSUMOS!$B$6:$B$205,MATCH($D506,INSUMOS!$A$6:$A$205,0)),"¿Código?"))</f>
        <v/>
      </c>
      <c r="F506" s="8" t="str">
        <f aca="false">IF($D506="","",IFERROR(INDEX(INSUMOS!$E$6:$E$205,MATCH($D506,INSUMOS!$A$6:$A$205,0)),""))</f>
        <v/>
      </c>
      <c r="G506" s="39"/>
      <c r="H506" s="45" t="str">
        <f aca="false">IF($D506="","",IFERROR(INDEX(INSUMOS!$F$6:$F$205,MATCH($D506,INSUMOS!$A$6:$A$205,0)),0))</f>
        <v/>
      </c>
      <c r="I506" s="34" t="str">
        <f aca="false">IF($D506="","",N($G506)*$H506)</f>
        <v/>
      </c>
      <c r="J506" s="40"/>
      <c r="K506" s="36" t="str">
        <f aca="false">IF($D506="","",IFERROR(INDEX(INSUMOS!$H$6:$H$205,MATCH($D506,INSUMOS!$A$6:$A$205,0)),IVA_VENTAS))</f>
        <v/>
      </c>
      <c r="L506" s="35" t="str">
        <f aca="false">IF($D506="","",N($J506)*$K506)</f>
        <v/>
      </c>
      <c r="M506" s="35" t="str">
        <f aca="false">IF($D506="","",N($J506)+$L506)</f>
        <v/>
      </c>
      <c r="N506" s="43" t="str">
        <f aca="false">IF($D506="","",IFERROR(N($J506)/$I506,0))</f>
        <v/>
      </c>
      <c r="O506" s="6"/>
      <c r="P506" s="6"/>
      <c r="Q506" s="46" t="str">
        <f aca="false">IF($A506="","",DATE(YEAR($A506),MONTH($A506),1))</f>
        <v/>
      </c>
      <c r="R506" s="8" t="str">
        <f aca="false">IF(OR($A506="",$D506=""),"",IF(COUNTIFS($D$6:$D$1005,$D506,$A$6:$A$1005,"&gt;"&amp;$A506)=0,1,0))</f>
        <v/>
      </c>
    </row>
    <row r="507" customFormat="false" ht="15" hidden="false" customHeight="false" outlineLevel="0" collapsed="false">
      <c r="A507" s="44"/>
      <c r="B507" s="6"/>
      <c r="C507" s="6"/>
      <c r="D507" s="6"/>
      <c r="E507" s="8" t="str">
        <f aca="false">IF($D507="","",IFERROR(INDEX(INSUMOS!$B$6:$B$205,MATCH($D507,INSUMOS!$A$6:$A$205,0)),"¿Código?"))</f>
        <v/>
      </c>
      <c r="F507" s="8" t="str">
        <f aca="false">IF($D507="","",IFERROR(INDEX(INSUMOS!$E$6:$E$205,MATCH($D507,INSUMOS!$A$6:$A$205,0)),""))</f>
        <v/>
      </c>
      <c r="G507" s="39"/>
      <c r="H507" s="45" t="str">
        <f aca="false">IF($D507="","",IFERROR(INDEX(INSUMOS!$F$6:$F$205,MATCH($D507,INSUMOS!$A$6:$A$205,0)),0))</f>
        <v/>
      </c>
      <c r="I507" s="34" t="str">
        <f aca="false">IF($D507="","",N($G507)*$H507)</f>
        <v/>
      </c>
      <c r="J507" s="40"/>
      <c r="K507" s="36" t="str">
        <f aca="false">IF($D507="","",IFERROR(INDEX(INSUMOS!$H$6:$H$205,MATCH($D507,INSUMOS!$A$6:$A$205,0)),IVA_VENTAS))</f>
        <v/>
      </c>
      <c r="L507" s="35" t="str">
        <f aca="false">IF($D507="","",N($J507)*$K507)</f>
        <v/>
      </c>
      <c r="M507" s="35" t="str">
        <f aca="false">IF($D507="","",N($J507)+$L507)</f>
        <v/>
      </c>
      <c r="N507" s="43" t="str">
        <f aca="false">IF($D507="","",IFERROR(N($J507)/$I507,0))</f>
        <v/>
      </c>
      <c r="O507" s="6"/>
      <c r="P507" s="6"/>
      <c r="Q507" s="46" t="str">
        <f aca="false">IF($A507="","",DATE(YEAR($A507),MONTH($A507),1))</f>
        <v/>
      </c>
      <c r="R507" s="8" t="str">
        <f aca="false">IF(OR($A507="",$D507=""),"",IF(COUNTIFS($D$6:$D$1005,$D507,$A$6:$A$1005,"&gt;"&amp;$A507)=0,1,0))</f>
        <v/>
      </c>
    </row>
    <row r="508" customFormat="false" ht="15" hidden="false" customHeight="false" outlineLevel="0" collapsed="false">
      <c r="A508" s="44"/>
      <c r="B508" s="6"/>
      <c r="C508" s="6"/>
      <c r="D508" s="6"/>
      <c r="E508" s="8" t="str">
        <f aca="false">IF($D508="","",IFERROR(INDEX(INSUMOS!$B$6:$B$205,MATCH($D508,INSUMOS!$A$6:$A$205,0)),"¿Código?"))</f>
        <v/>
      </c>
      <c r="F508" s="8" t="str">
        <f aca="false">IF($D508="","",IFERROR(INDEX(INSUMOS!$E$6:$E$205,MATCH($D508,INSUMOS!$A$6:$A$205,0)),""))</f>
        <v/>
      </c>
      <c r="G508" s="39"/>
      <c r="H508" s="45" t="str">
        <f aca="false">IF($D508="","",IFERROR(INDEX(INSUMOS!$F$6:$F$205,MATCH($D508,INSUMOS!$A$6:$A$205,0)),0))</f>
        <v/>
      </c>
      <c r="I508" s="34" t="str">
        <f aca="false">IF($D508="","",N($G508)*$H508)</f>
        <v/>
      </c>
      <c r="J508" s="40"/>
      <c r="K508" s="36" t="str">
        <f aca="false">IF($D508="","",IFERROR(INDEX(INSUMOS!$H$6:$H$205,MATCH($D508,INSUMOS!$A$6:$A$205,0)),IVA_VENTAS))</f>
        <v/>
      </c>
      <c r="L508" s="35" t="str">
        <f aca="false">IF($D508="","",N($J508)*$K508)</f>
        <v/>
      </c>
      <c r="M508" s="35" t="str">
        <f aca="false">IF($D508="","",N($J508)+$L508)</f>
        <v/>
      </c>
      <c r="N508" s="43" t="str">
        <f aca="false">IF($D508="","",IFERROR(N($J508)/$I508,0))</f>
        <v/>
      </c>
      <c r="O508" s="6"/>
      <c r="P508" s="6"/>
      <c r="Q508" s="46" t="str">
        <f aca="false">IF($A508="","",DATE(YEAR($A508),MONTH($A508),1))</f>
        <v/>
      </c>
      <c r="R508" s="8" t="str">
        <f aca="false">IF(OR($A508="",$D508=""),"",IF(COUNTIFS($D$6:$D$1005,$D508,$A$6:$A$1005,"&gt;"&amp;$A508)=0,1,0))</f>
        <v/>
      </c>
    </row>
    <row r="509" customFormat="false" ht="15" hidden="false" customHeight="false" outlineLevel="0" collapsed="false">
      <c r="A509" s="44"/>
      <c r="B509" s="6"/>
      <c r="C509" s="6"/>
      <c r="D509" s="6"/>
      <c r="E509" s="8" t="str">
        <f aca="false">IF($D509="","",IFERROR(INDEX(INSUMOS!$B$6:$B$205,MATCH($D509,INSUMOS!$A$6:$A$205,0)),"¿Código?"))</f>
        <v/>
      </c>
      <c r="F509" s="8" t="str">
        <f aca="false">IF($D509="","",IFERROR(INDEX(INSUMOS!$E$6:$E$205,MATCH($D509,INSUMOS!$A$6:$A$205,0)),""))</f>
        <v/>
      </c>
      <c r="G509" s="39"/>
      <c r="H509" s="45" t="str">
        <f aca="false">IF($D509="","",IFERROR(INDEX(INSUMOS!$F$6:$F$205,MATCH($D509,INSUMOS!$A$6:$A$205,0)),0))</f>
        <v/>
      </c>
      <c r="I509" s="34" t="str">
        <f aca="false">IF($D509="","",N($G509)*$H509)</f>
        <v/>
      </c>
      <c r="J509" s="40"/>
      <c r="K509" s="36" t="str">
        <f aca="false">IF($D509="","",IFERROR(INDEX(INSUMOS!$H$6:$H$205,MATCH($D509,INSUMOS!$A$6:$A$205,0)),IVA_VENTAS))</f>
        <v/>
      </c>
      <c r="L509" s="35" t="str">
        <f aca="false">IF($D509="","",N($J509)*$K509)</f>
        <v/>
      </c>
      <c r="M509" s="35" t="str">
        <f aca="false">IF($D509="","",N($J509)+$L509)</f>
        <v/>
      </c>
      <c r="N509" s="43" t="str">
        <f aca="false">IF($D509="","",IFERROR(N($J509)/$I509,0))</f>
        <v/>
      </c>
      <c r="O509" s="6"/>
      <c r="P509" s="6"/>
      <c r="Q509" s="46" t="str">
        <f aca="false">IF($A509="","",DATE(YEAR($A509),MONTH($A509),1))</f>
        <v/>
      </c>
      <c r="R509" s="8" t="str">
        <f aca="false">IF(OR($A509="",$D509=""),"",IF(COUNTIFS($D$6:$D$1005,$D509,$A$6:$A$1005,"&gt;"&amp;$A509)=0,1,0))</f>
        <v/>
      </c>
    </row>
    <row r="510" customFormat="false" ht="15" hidden="false" customHeight="false" outlineLevel="0" collapsed="false">
      <c r="A510" s="44"/>
      <c r="B510" s="6"/>
      <c r="C510" s="6"/>
      <c r="D510" s="6"/>
      <c r="E510" s="8" t="str">
        <f aca="false">IF($D510="","",IFERROR(INDEX(INSUMOS!$B$6:$B$205,MATCH($D510,INSUMOS!$A$6:$A$205,0)),"¿Código?"))</f>
        <v/>
      </c>
      <c r="F510" s="8" t="str">
        <f aca="false">IF($D510="","",IFERROR(INDEX(INSUMOS!$E$6:$E$205,MATCH($D510,INSUMOS!$A$6:$A$205,0)),""))</f>
        <v/>
      </c>
      <c r="G510" s="39"/>
      <c r="H510" s="45" t="str">
        <f aca="false">IF($D510="","",IFERROR(INDEX(INSUMOS!$F$6:$F$205,MATCH($D510,INSUMOS!$A$6:$A$205,0)),0))</f>
        <v/>
      </c>
      <c r="I510" s="34" t="str">
        <f aca="false">IF($D510="","",N($G510)*$H510)</f>
        <v/>
      </c>
      <c r="J510" s="40"/>
      <c r="K510" s="36" t="str">
        <f aca="false">IF($D510="","",IFERROR(INDEX(INSUMOS!$H$6:$H$205,MATCH($D510,INSUMOS!$A$6:$A$205,0)),IVA_VENTAS))</f>
        <v/>
      </c>
      <c r="L510" s="35" t="str">
        <f aca="false">IF($D510="","",N($J510)*$K510)</f>
        <v/>
      </c>
      <c r="M510" s="35" t="str">
        <f aca="false">IF($D510="","",N($J510)+$L510)</f>
        <v/>
      </c>
      <c r="N510" s="43" t="str">
        <f aca="false">IF($D510="","",IFERROR(N($J510)/$I510,0))</f>
        <v/>
      </c>
      <c r="O510" s="6"/>
      <c r="P510" s="6"/>
      <c r="Q510" s="46" t="str">
        <f aca="false">IF($A510="","",DATE(YEAR($A510),MONTH($A510),1))</f>
        <v/>
      </c>
      <c r="R510" s="8" t="str">
        <f aca="false">IF(OR($A510="",$D510=""),"",IF(COUNTIFS($D$6:$D$1005,$D510,$A$6:$A$1005,"&gt;"&amp;$A510)=0,1,0))</f>
        <v/>
      </c>
    </row>
    <row r="511" customFormat="false" ht="15" hidden="false" customHeight="false" outlineLevel="0" collapsed="false">
      <c r="A511" s="44"/>
      <c r="B511" s="6"/>
      <c r="C511" s="6"/>
      <c r="D511" s="6"/>
      <c r="E511" s="8" t="str">
        <f aca="false">IF($D511="","",IFERROR(INDEX(INSUMOS!$B$6:$B$205,MATCH($D511,INSUMOS!$A$6:$A$205,0)),"¿Código?"))</f>
        <v/>
      </c>
      <c r="F511" s="8" t="str">
        <f aca="false">IF($D511="","",IFERROR(INDEX(INSUMOS!$E$6:$E$205,MATCH($D511,INSUMOS!$A$6:$A$205,0)),""))</f>
        <v/>
      </c>
      <c r="G511" s="39"/>
      <c r="H511" s="45" t="str">
        <f aca="false">IF($D511="","",IFERROR(INDEX(INSUMOS!$F$6:$F$205,MATCH($D511,INSUMOS!$A$6:$A$205,0)),0))</f>
        <v/>
      </c>
      <c r="I511" s="34" t="str">
        <f aca="false">IF($D511="","",N($G511)*$H511)</f>
        <v/>
      </c>
      <c r="J511" s="40"/>
      <c r="K511" s="36" t="str">
        <f aca="false">IF($D511="","",IFERROR(INDEX(INSUMOS!$H$6:$H$205,MATCH($D511,INSUMOS!$A$6:$A$205,0)),IVA_VENTAS))</f>
        <v/>
      </c>
      <c r="L511" s="35" t="str">
        <f aca="false">IF($D511="","",N($J511)*$K511)</f>
        <v/>
      </c>
      <c r="M511" s="35" t="str">
        <f aca="false">IF($D511="","",N($J511)+$L511)</f>
        <v/>
      </c>
      <c r="N511" s="43" t="str">
        <f aca="false">IF($D511="","",IFERROR(N($J511)/$I511,0))</f>
        <v/>
      </c>
      <c r="O511" s="6"/>
      <c r="P511" s="6"/>
      <c r="Q511" s="46" t="str">
        <f aca="false">IF($A511="","",DATE(YEAR($A511),MONTH($A511),1))</f>
        <v/>
      </c>
      <c r="R511" s="8" t="str">
        <f aca="false">IF(OR($A511="",$D511=""),"",IF(COUNTIFS($D$6:$D$1005,$D511,$A$6:$A$1005,"&gt;"&amp;$A511)=0,1,0))</f>
        <v/>
      </c>
    </row>
    <row r="512" customFormat="false" ht="15" hidden="false" customHeight="false" outlineLevel="0" collapsed="false">
      <c r="A512" s="44"/>
      <c r="B512" s="6"/>
      <c r="C512" s="6"/>
      <c r="D512" s="6"/>
      <c r="E512" s="8" t="str">
        <f aca="false">IF($D512="","",IFERROR(INDEX(INSUMOS!$B$6:$B$205,MATCH($D512,INSUMOS!$A$6:$A$205,0)),"¿Código?"))</f>
        <v/>
      </c>
      <c r="F512" s="8" t="str">
        <f aca="false">IF($D512="","",IFERROR(INDEX(INSUMOS!$E$6:$E$205,MATCH($D512,INSUMOS!$A$6:$A$205,0)),""))</f>
        <v/>
      </c>
      <c r="G512" s="39"/>
      <c r="H512" s="45" t="str">
        <f aca="false">IF($D512="","",IFERROR(INDEX(INSUMOS!$F$6:$F$205,MATCH($D512,INSUMOS!$A$6:$A$205,0)),0))</f>
        <v/>
      </c>
      <c r="I512" s="34" t="str">
        <f aca="false">IF($D512="","",N($G512)*$H512)</f>
        <v/>
      </c>
      <c r="J512" s="40"/>
      <c r="K512" s="36" t="str">
        <f aca="false">IF($D512="","",IFERROR(INDEX(INSUMOS!$H$6:$H$205,MATCH($D512,INSUMOS!$A$6:$A$205,0)),IVA_VENTAS))</f>
        <v/>
      </c>
      <c r="L512" s="35" t="str">
        <f aca="false">IF($D512="","",N($J512)*$K512)</f>
        <v/>
      </c>
      <c r="M512" s="35" t="str">
        <f aca="false">IF($D512="","",N($J512)+$L512)</f>
        <v/>
      </c>
      <c r="N512" s="43" t="str">
        <f aca="false">IF($D512="","",IFERROR(N($J512)/$I512,0))</f>
        <v/>
      </c>
      <c r="O512" s="6"/>
      <c r="P512" s="6"/>
      <c r="Q512" s="46" t="str">
        <f aca="false">IF($A512="","",DATE(YEAR($A512),MONTH($A512),1))</f>
        <v/>
      </c>
      <c r="R512" s="8" t="str">
        <f aca="false">IF(OR($A512="",$D512=""),"",IF(COUNTIFS($D$6:$D$1005,$D512,$A$6:$A$1005,"&gt;"&amp;$A512)=0,1,0))</f>
        <v/>
      </c>
    </row>
    <row r="513" customFormat="false" ht="15" hidden="false" customHeight="false" outlineLevel="0" collapsed="false">
      <c r="A513" s="44"/>
      <c r="B513" s="6"/>
      <c r="C513" s="6"/>
      <c r="D513" s="6"/>
      <c r="E513" s="8" t="str">
        <f aca="false">IF($D513="","",IFERROR(INDEX(INSUMOS!$B$6:$B$205,MATCH($D513,INSUMOS!$A$6:$A$205,0)),"¿Código?"))</f>
        <v/>
      </c>
      <c r="F513" s="8" t="str">
        <f aca="false">IF($D513="","",IFERROR(INDEX(INSUMOS!$E$6:$E$205,MATCH($D513,INSUMOS!$A$6:$A$205,0)),""))</f>
        <v/>
      </c>
      <c r="G513" s="39"/>
      <c r="H513" s="45" t="str">
        <f aca="false">IF($D513="","",IFERROR(INDEX(INSUMOS!$F$6:$F$205,MATCH($D513,INSUMOS!$A$6:$A$205,0)),0))</f>
        <v/>
      </c>
      <c r="I513" s="34" t="str">
        <f aca="false">IF($D513="","",N($G513)*$H513)</f>
        <v/>
      </c>
      <c r="J513" s="40"/>
      <c r="K513" s="36" t="str">
        <f aca="false">IF($D513="","",IFERROR(INDEX(INSUMOS!$H$6:$H$205,MATCH($D513,INSUMOS!$A$6:$A$205,0)),IVA_VENTAS))</f>
        <v/>
      </c>
      <c r="L513" s="35" t="str">
        <f aca="false">IF($D513="","",N($J513)*$K513)</f>
        <v/>
      </c>
      <c r="M513" s="35" t="str">
        <f aca="false">IF($D513="","",N($J513)+$L513)</f>
        <v/>
      </c>
      <c r="N513" s="43" t="str">
        <f aca="false">IF($D513="","",IFERROR(N($J513)/$I513,0))</f>
        <v/>
      </c>
      <c r="O513" s="6"/>
      <c r="P513" s="6"/>
      <c r="Q513" s="46" t="str">
        <f aca="false">IF($A513="","",DATE(YEAR($A513),MONTH($A513),1))</f>
        <v/>
      </c>
      <c r="R513" s="8" t="str">
        <f aca="false">IF(OR($A513="",$D513=""),"",IF(COUNTIFS($D$6:$D$1005,$D513,$A$6:$A$1005,"&gt;"&amp;$A513)=0,1,0))</f>
        <v/>
      </c>
    </row>
    <row r="514" customFormat="false" ht="15" hidden="false" customHeight="false" outlineLevel="0" collapsed="false">
      <c r="A514" s="44"/>
      <c r="B514" s="6"/>
      <c r="C514" s="6"/>
      <c r="D514" s="6"/>
      <c r="E514" s="8" t="str">
        <f aca="false">IF($D514="","",IFERROR(INDEX(INSUMOS!$B$6:$B$205,MATCH($D514,INSUMOS!$A$6:$A$205,0)),"¿Código?"))</f>
        <v/>
      </c>
      <c r="F514" s="8" t="str">
        <f aca="false">IF($D514="","",IFERROR(INDEX(INSUMOS!$E$6:$E$205,MATCH($D514,INSUMOS!$A$6:$A$205,0)),""))</f>
        <v/>
      </c>
      <c r="G514" s="39"/>
      <c r="H514" s="45" t="str">
        <f aca="false">IF($D514="","",IFERROR(INDEX(INSUMOS!$F$6:$F$205,MATCH($D514,INSUMOS!$A$6:$A$205,0)),0))</f>
        <v/>
      </c>
      <c r="I514" s="34" t="str">
        <f aca="false">IF($D514="","",N($G514)*$H514)</f>
        <v/>
      </c>
      <c r="J514" s="40"/>
      <c r="K514" s="36" t="str">
        <f aca="false">IF($D514="","",IFERROR(INDEX(INSUMOS!$H$6:$H$205,MATCH($D514,INSUMOS!$A$6:$A$205,0)),IVA_VENTAS))</f>
        <v/>
      </c>
      <c r="L514" s="35" t="str">
        <f aca="false">IF($D514="","",N($J514)*$K514)</f>
        <v/>
      </c>
      <c r="M514" s="35" t="str">
        <f aca="false">IF($D514="","",N($J514)+$L514)</f>
        <v/>
      </c>
      <c r="N514" s="43" t="str">
        <f aca="false">IF($D514="","",IFERROR(N($J514)/$I514,0))</f>
        <v/>
      </c>
      <c r="O514" s="6"/>
      <c r="P514" s="6"/>
      <c r="Q514" s="46" t="str">
        <f aca="false">IF($A514="","",DATE(YEAR($A514),MONTH($A514),1))</f>
        <v/>
      </c>
      <c r="R514" s="8" t="str">
        <f aca="false">IF(OR($A514="",$D514=""),"",IF(COUNTIFS($D$6:$D$1005,$D514,$A$6:$A$1005,"&gt;"&amp;$A514)=0,1,0))</f>
        <v/>
      </c>
    </row>
    <row r="515" customFormat="false" ht="15" hidden="false" customHeight="false" outlineLevel="0" collapsed="false">
      <c r="A515" s="44"/>
      <c r="B515" s="6"/>
      <c r="C515" s="6"/>
      <c r="D515" s="6"/>
      <c r="E515" s="8" t="str">
        <f aca="false">IF($D515="","",IFERROR(INDEX(INSUMOS!$B$6:$B$205,MATCH($D515,INSUMOS!$A$6:$A$205,0)),"¿Código?"))</f>
        <v/>
      </c>
      <c r="F515" s="8" t="str">
        <f aca="false">IF($D515="","",IFERROR(INDEX(INSUMOS!$E$6:$E$205,MATCH($D515,INSUMOS!$A$6:$A$205,0)),""))</f>
        <v/>
      </c>
      <c r="G515" s="39"/>
      <c r="H515" s="45" t="str">
        <f aca="false">IF($D515="","",IFERROR(INDEX(INSUMOS!$F$6:$F$205,MATCH($D515,INSUMOS!$A$6:$A$205,0)),0))</f>
        <v/>
      </c>
      <c r="I515" s="34" t="str">
        <f aca="false">IF($D515="","",N($G515)*$H515)</f>
        <v/>
      </c>
      <c r="J515" s="40"/>
      <c r="K515" s="36" t="str">
        <f aca="false">IF($D515="","",IFERROR(INDEX(INSUMOS!$H$6:$H$205,MATCH($D515,INSUMOS!$A$6:$A$205,0)),IVA_VENTAS))</f>
        <v/>
      </c>
      <c r="L515" s="35" t="str">
        <f aca="false">IF($D515="","",N($J515)*$K515)</f>
        <v/>
      </c>
      <c r="M515" s="35" t="str">
        <f aca="false">IF($D515="","",N($J515)+$L515)</f>
        <v/>
      </c>
      <c r="N515" s="43" t="str">
        <f aca="false">IF($D515="","",IFERROR(N($J515)/$I515,0))</f>
        <v/>
      </c>
      <c r="O515" s="6"/>
      <c r="P515" s="6"/>
      <c r="Q515" s="46" t="str">
        <f aca="false">IF($A515="","",DATE(YEAR($A515),MONTH($A515),1))</f>
        <v/>
      </c>
      <c r="R515" s="8" t="str">
        <f aca="false">IF(OR($A515="",$D515=""),"",IF(COUNTIFS($D$6:$D$1005,$D515,$A$6:$A$1005,"&gt;"&amp;$A515)=0,1,0))</f>
        <v/>
      </c>
    </row>
    <row r="516" customFormat="false" ht="15" hidden="false" customHeight="false" outlineLevel="0" collapsed="false">
      <c r="A516" s="44"/>
      <c r="B516" s="6"/>
      <c r="C516" s="6"/>
      <c r="D516" s="6"/>
      <c r="E516" s="8" t="str">
        <f aca="false">IF($D516="","",IFERROR(INDEX(INSUMOS!$B$6:$B$205,MATCH($D516,INSUMOS!$A$6:$A$205,0)),"¿Código?"))</f>
        <v/>
      </c>
      <c r="F516" s="8" t="str">
        <f aca="false">IF($D516="","",IFERROR(INDEX(INSUMOS!$E$6:$E$205,MATCH($D516,INSUMOS!$A$6:$A$205,0)),""))</f>
        <v/>
      </c>
      <c r="G516" s="39"/>
      <c r="H516" s="45" t="str">
        <f aca="false">IF($D516="","",IFERROR(INDEX(INSUMOS!$F$6:$F$205,MATCH($D516,INSUMOS!$A$6:$A$205,0)),0))</f>
        <v/>
      </c>
      <c r="I516" s="34" t="str">
        <f aca="false">IF($D516="","",N($G516)*$H516)</f>
        <v/>
      </c>
      <c r="J516" s="40"/>
      <c r="K516" s="36" t="str">
        <f aca="false">IF($D516="","",IFERROR(INDEX(INSUMOS!$H$6:$H$205,MATCH($D516,INSUMOS!$A$6:$A$205,0)),IVA_VENTAS))</f>
        <v/>
      </c>
      <c r="L516" s="35" t="str">
        <f aca="false">IF($D516="","",N($J516)*$K516)</f>
        <v/>
      </c>
      <c r="M516" s="35" t="str">
        <f aca="false">IF($D516="","",N($J516)+$L516)</f>
        <v/>
      </c>
      <c r="N516" s="43" t="str">
        <f aca="false">IF($D516="","",IFERROR(N($J516)/$I516,0))</f>
        <v/>
      </c>
      <c r="O516" s="6"/>
      <c r="P516" s="6"/>
      <c r="Q516" s="46" t="str">
        <f aca="false">IF($A516="","",DATE(YEAR($A516),MONTH($A516),1))</f>
        <v/>
      </c>
      <c r="R516" s="8" t="str">
        <f aca="false">IF(OR($A516="",$D516=""),"",IF(COUNTIFS($D$6:$D$1005,$D516,$A$6:$A$1005,"&gt;"&amp;$A516)=0,1,0))</f>
        <v/>
      </c>
    </row>
    <row r="517" customFormat="false" ht="15" hidden="false" customHeight="false" outlineLevel="0" collapsed="false">
      <c r="A517" s="44"/>
      <c r="B517" s="6"/>
      <c r="C517" s="6"/>
      <c r="D517" s="6"/>
      <c r="E517" s="8" t="str">
        <f aca="false">IF($D517="","",IFERROR(INDEX(INSUMOS!$B$6:$B$205,MATCH($D517,INSUMOS!$A$6:$A$205,0)),"¿Código?"))</f>
        <v/>
      </c>
      <c r="F517" s="8" t="str">
        <f aca="false">IF($D517="","",IFERROR(INDEX(INSUMOS!$E$6:$E$205,MATCH($D517,INSUMOS!$A$6:$A$205,0)),""))</f>
        <v/>
      </c>
      <c r="G517" s="39"/>
      <c r="H517" s="45" t="str">
        <f aca="false">IF($D517="","",IFERROR(INDEX(INSUMOS!$F$6:$F$205,MATCH($D517,INSUMOS!$A$6:$A$205,0)),0))</f>
        <v/>
      </c>
      <c r="I517" s="34" t="str">
        <f aca="false">IF($D517="","",N($G517)*$H517)</f>
        <v/>
      </c>
      <c r="J517" s="40"/>
      <c r="K517" s="36" t="str">
        <f aca="false">IF($D517="","",IFERROR(INDEX(INSUMOS!$H$6:$H$205,MATCH($D517,INSUMOS!$A$6:$A$205,0)),IVA_VENTAS))</f>
        <v/>
      </c>
      <c r="L517" s="35" t="str">
        <f aca="false">IF($D517="","",N($J517)*$K517)</f>
        <v/>
      </c>
      <c r="M517" s="35" t="str">
        <f aca="false">IF($D517="","",N($J517)+$L517)</f>
        <v/>
      </c>
      <c r="N517" s="43" t="str">
        <f aca="false">IF($D517="","",IFERROR(N($J517)/$I517,0))</f>
        <v/>
      </c>
      <c r="O517" s="6"/>
      <c r="P517" s="6"/>
      <c r="Q517" s="46" t="str">
        <f aca="false">IF($A517="","",DATE(YEAR($A517),MONTH($A517),1))</f>
        <v/>
      </c>
      <c r="R517" s="8" t="str">
        <f aca="false">IF(OR($A517="",$D517=""),"",IF(COUNTIFS($D$6:$D$1005,$D517,$A$6:$A$1005,"&gt;"&amp;$A517)=0,1,0))</f>
        <v/>
      </c>
    </row>
    <row r="518" customFormat="false" ht="15" hidden="false" customHeight="false" outlineLevel="0" collapsed="false">
      <c r="A518" s="44"/>
      <c r="B518" s="6"/>
      <c r="C518" s="6"/>
      <c r="D518" s="6"/>
      <c r="E518" s="8" t="str">
        <f aca="false">IF($D518="","",IFERROR(INDEX(INSUMOS!$B$6:$B$205,MATCH($D518,INSUMOS!$A$6:$A$205,0)),"¿Código?"))</f>
        <v/>
      </c>
      <c r="F518" s="8" t="str">
        <f aca="false">IF($D518="","",IFERROR(INDEX(INSUMOS!$E$6:$E$205,MATCH($D518,INSUMOS!$A$6:$A$205,0)),""))</f>
        <v/>
      </c>
      <c r="G518" s="39"/>
      <c r="H518" s="45" t="str">
        <f aca="false">IF($D518="","",IFERROR(INDEX(INSUMOS!$F$6:$F$205,MATCH($D518,INSUMOS!$A$6:$A$205,0)),0))</f>
        <v/>
      </c>
      <c r="I518" s="34" t="str">
        <f aca="false">IF($D518="","",N($G518)*$H518)</f>
        <v/>
      </c>
      <c r="J518" s="40"/>
      <c r="K518" s="36" t="str">
        <f aca="false">IF($D518="","",IFERROR(INDEX(INSUMOS!$H$6:$H$205,MATCH($D518,INSUMOS!$A$6:$A$205,0)),IVA_VENTAS))</f>
        <v/>
      </c>
      <c r="L518" s="35" t="str">
        <f aca="false">IF($D518="","",N($J518)*$K518)</f>
        <v/>
      </c>
      <c r="M518" s="35" t="str">
        <f aca="false">IF($D518="","",N($J518)+$L518)</f>
        <v/>
      </c>
      <c r="N518" s="43" t="str">
        <f aca="false">IF($D518="","",IFERROR(N($J518)/$I518,0))</f>
        <v/>
      </c>
      <c r="O518" s="6"/>
      <c r="P518" s="6"/>
      <c r="Q518" s="46" t="str">
        <f aca="false">IF($A518="","",DATE(YEAR($A518),MONTH($A518),1))</f>
        <v/>
      </c>
      <c r="R518" s="8" t="str">
        <f aca="false">IF(OR($A518="",$D518=""),"",IF(COUNTIFS($D$6:$D$1005,$D518,$A$6:$A$1005,"&gt;"&amp;$A518)=0,1,0))</f>
        <v/>
      </c>
    </row>
    <row r="519" customFormat="false" ht="15" hidden="false" customHeight="false" outlineLevel="0" collapsed="false">
      <c r="A519" s="44"/>
      <c r="B519" s="6"/>
      <c r="C519" s="6"/>
      <c r="D519" s="6"/>
      <c r="E519" s="8" t="str">
        <f aca="false">IF($D519="","",IFERROR(INDEX(INSUMOS!$B$6:$B$205,MATCH($D519,INSUMOS!$A$6:$A$205,0)),"¿Código?"))</f>
        <v/>
      </c>
      <c r="F519" s="8" t="str">
        <f aca="false">IF($D519="","",IFERROR(INDEX(INSUMOS!$E$6:$E$205,MATCH($D519,INSUMOS!$A$6:$A$205,0)),""))</f>
        <v/>
      </c>
      <c r="G519" s="39"/>
      <c r="H519" s="45" t="str">
        <f aca="false">IF($D519="","",IFERROR(INDEX(INSUMOS!$F$6:$F$205,MATCH($D519,INSUMOS!$A$6:$A$205,0)),0))</f>
        <v/>
      </c>
      <c r="I519" s="34" t="str">
        <f aca="false">IF($D519="","",N($G519)*$H519)</f>
        <v/>
      </c>
      <c r="J519" s="40"/>
      <c r="K519" s="36" t="str">
        <f aca="false">IF($D519="","",IFERROR(INDEX(INSUMOS!$H$6:$H$205,MATCH($D519,INSUMOS!$A$6:$A$205,0)),IVA_VENTAS))</f>
        <v/>
      </c>
      <c r="L519" s="35" t="str">
        <f aca="false">IF($D519="","",N($J519)*$K519)</f>
        <v/>
      </c>
      <c r="M519" s="35" t="str">
        <f aca="false">IF($D519="","",N($J519)+$L519)</f>
        <v/>
      </c>
      <c r="N519" s="43" t="str">
        <f aca="false">IF($D519="","",IFERROR(N($J519)/$I519,0))</f>
        <v/>
      </c>
      <c r="O519" s="6"/>
      <c r="P519" s="6"/>
      <c r="Q519" s="46" t="str">
        <f aca="false">IF($A519="","",DATE(YEAR($A519),MONTH($A519),1))</f>
        <v/>
      </c>
      <c r="R519" s="8" t="str">
        <f aca="false">IF(OR($A519="",$D519=""),"",IF(COUNTIFS($D$6:$D$1005,$D519,$A$6:$A$1005,"&gt;"&amp;$A519)=0,1,0))</f>
        <v/>
      </c>
    </row>
    <row r="520" customFormat="false" ht="15" hidden="false" customHeight="false" outlineLevel="0" collapsed="false">
      <c r="A520" s="44"/>
      <c r="B520" s="6"/>
      <c r="C520" s="6"/>
      <c r="D520" s="6"/>
      <c r="E520" s="8" t="str">
        <f aca="false">IF($D520="","",IFERROR(INDEX(INSUMOS!$B$6:$B$205,MATCH($D520,INSUMOS!$A$6:$A$205,0)),"¿Código?"))</f>
        <v/>
      </c>
      <c r="F520" s="8" t="str">
        <f aca="false">IF($D520="","",IFERROR(INDEX(INSUMOS!$E$6:$E$205,MATCH($D520,INSUMOS!$A$6:$A$205,0)),""))</f>
        <v/>
      </c>
      <c r="G520" s="39"/>
      <c r="H520" s="45" t="str">
        <f aca="false">IF($D520="","",IFERROR(INDEX(INSUMOS!$F$6:$F$205,MATCH($D520,INSUMOS!$A$6:$A$205,0)),0))</f>
        <v/>
      </c>
      <c r="I520" s="34" t="str">
        <f aca="false">IF($D520="","",N($G520)*$H520)</f>
        <v/>
      </c>
      <c r="J520" s="40"/>
      <c r="K520" s="36" t="str">
        <f aca="false">IF($D520="","",IFERROR(INDEX(INSUMOS!$H$6:$H$205,MATCH($D520,INSUMOS!$A$6:$A$205,0)),IVA_VENTAS))</f>
        <v/>
      </c>
      <c r="L520" s="35" t="str">
        <f aca="false">IF($D520="","",N($J520)*$K520)</f>
        <v/>
      </c>
      <c r="M520" s="35" t="str">
        <f aca="false">IF($D520="","",N($J520)+$L520)</f>
        <v/>
      </c>
      <c r="N520" s="43" t="str">
        <f aca="false">IF($D520="","",IFERROR(N($J520)/$I520,0))</f>
        <v/>
      </c>
      <c r="O520" s="6"/>
      <c r="P520" s="6"/>
      <c r="Q520" s="46" t="str">
        <f aca="false">IF($A520="","",DATE(YEAR($A520),MONTH($A520),1))</f>
        <v/>
      </c>
      <c r="R520" s="8" t="str">
        <f aca="false">IF(OR($A520="",$D520=""),"",IF(COUNTIFS($D$6:$D$1005,$D520,$A$6:$A$1005,"&gt;"&amp;$A520)=0,1,0))</f>
        <v/>
      </c>
    </row>
    <row r="521" customFormat="false" ht="15" hidden="false" customHeight="false" outlineLevel="0" collapsed="false">
      <c r="A521" s="44"/>
      <c r="B521" s="6"/>
      <c r="C521" s="6"/>
      <c r="D521" s="6"/>
      <c r="E521" s="8" t="str">
        <f aca="false">IF($D521="","",IFERROR(INDEX(INSUMOS!$B$6:$B$205,MATCH($D521,INSUMOS!$A$6:$A$205,0)),"¿Código?"))</f>
        <v/>
      </c>
      <c r="F521" s="8" t="str">
        <f aca="false">IF($D521="","",IFERROR(INDEX(INSUMOS!$E$6:$E$205,MATCH($D521,INSUMOS!$A$6:$A$205,0)),""))</f>
        <v/>
      </c>
      <c r="G521" s="39"/>
      <c r="H521" s="45" t="str">
        <f aca="false">IF($D521="","",IFERROR(INDEX(INSUMOS!$F$6:$F$205,MATCH($D521,INSUMOS!$A$6:$A$205,0)),0))</f>
        <v/>
      </c>
      <c r="I521" s="34" t="str">
        <f aca="false">IF($D521="","",N($G521)*$H521)</f>
        <v/>
      </c>
      <c r="J521" s="40"/>
      <c r="K521" s="36" t="str">
        <f aca="false">IF($D521="","",IFERROR(INDEX(INSUMOS!$H$6:$H$205,MATCH($D521,INSUMOS!$A$6:$A$205,0)),IVA_VENTAS))</f>
        <v/>
      </c>
      <c r="L521" s="35" t="str">
        <f aca="false">IF($D521="","",N($J521)*$K521)</f>
        <v/>
      </c>
      <c r="M521" s="35" t="str">
        <f aca="false">IF($D521="","",N($J521)+$L521)</f>
        <v/>
      </c>
      <c r="N521" s="43" t="str">
        <f aca="false">IF($D521="","",IFERROR(N($J521)/$I521,0))</f>
        <v/>
      </c>
      <c r="O521" s="6"/>
      <c r="P521" s="6"/>
      <c r="Q521" s="46" t="str">
        <f aca="false">IF($A521="","",DATE(YEAR($A521),MONTH($A521),1))</f>
        <v/>
      </c>
      <c r="R521" s="8" t="str">
        <f aca="false">IF(OR($A521="",$D521=""),"",IF(COUNTIFS($D$6:$D$1005,$D521,$A$6:$A$1005,"&gt;"&amp;$A521)=0,1,0))</f>
        <v/>
      </c>
    </row>
    <row r="522" customFormat="false" ht="15" hidden="false" customHeight="false" outlineLevel="0" collapsed="false">
      <c r="A522" s="44"/>
      <c r="B522" s="6"/>
      <c r="C522" s="6"/>
      <c r="D522" s="6"/>
      <c r="E522" s="8" t="str">
        <f aca="false">IF($D522="","",IFERROR(INDEX(INSUMOS!$B$6:$B$205,MATCH($D522,INSUMOS!$A$6:$A$205,0)),"¿Código?"))</f>
        <v/>
      </c>
      <c r="F522" s="8" t="str">
        <f aca="false">IF($D522="","",IFERROR(INDEX(INSUMOS!$E$6:$E$205,MATCH($D522,INSUMOS!$A$6:$A$205,0)),""))</f>
        <v/>
      </c>
      <c r="G522" s="39"/>
      <c r="H522" s="45" t="str">
        <f aca="false">IF($D522="","",IFERROR(INDEX(INSUMOS!$F$6:$F$205,MATCH($D522,INSUMOS!$A$6:$A$205,0)),0))</f>
        <v/>
      </c>
      <c r="I522" s="34" t="str">
        <f aca="false">IF($D522="","",N($G522)*$H522)</f>
        <v/>
      </c>
      <c r="J522" s="40"/>
      <c r="K522" s="36" t="str">
        <f aca="false">IF($D522="","",IFERROR(INDEX(INSUMOS!$H$6:$H$205,MATCH($D522,INSUMOS!$A$6:$A$205,0)),IVA_VENTAS))</f>
        <v/>
      </c>
      <c r="L522" s="35" t="str">
        <f aca="false">IF($D522="","",N($J522)*$K522)</f>
        <v/>
      </c>
      <c r="M522" s="35" t="str">
        <f aca="false">IF($D522="","",N($J522)+$L522)</f>
        <v/>
      </c>
      <c r="N522" s="43" t="str">
        <f aca="false">IF($D522="","",IFERROR(N($J522)/$I522,0))</f>
        <v/>
      </c>
      <c r="O522" s="6"/>
      <c r="P522" s="6"/>
      <c r="Q522" s="46" t="str">
        <f aca="false">IF($A522="","",DATE(YEAR($A522),MONTH($A522),1))</f>
        <v/>
      </c>
      <c r="R522" s="8" t="str">
        <f aca="false">IF(OR($A522="",$D522=""),"",IF(COUNTIFS($D$6:$D$1005,$D522,$A$6:$A$1005,"&gt;"&amp;$A522)=0,1,0))</f>
        <v/>
      </c>
    </row>
    <row r="523" customFormat="false" ht="15" hidden="false" customHeight="false" outlineLevel="0" collapsed="false">
      <c r="A523" s="44"/>
      <c r="B523" s="6"/>
      <c r="C523" s="6"/>
      <c r="D523" s="6"/>
      <c r="E523" s="8" t="str">
        <f aca="false">IF($D523="","",IFERROR(INDEX(INSUMOS!$B$6:$B$205,MATCH($D523,INSUMOS!$A$6:$A$205,0)),"¿Código?"))</f>
        <v/>
      </c>
      <c r="F523" s="8" t="str">
        <f aca="false">IF($D523="","",IFERROR(INDEX(INSUMOS!$E$6:$E$205,MATCH($D523,INSUMOS!$A$6:$A$205,0)),""))</f>
        <v/>
      </c>
      <c r="G523" s="39"/>
      <c r="H523" s="45" t="str">
        <f aca="false">IF($D523="","",IFERROR(INDEX(INSUMOS!$F$6:$F$205,MATCH($D523,INSUMOS!$A$6:$A$205,0)),0))</f>
        <v/>
      </c>
      <c r="I523" s="34" t="str">
        <f aca="false">IF($D523="","",N($G523)*$H523)</f>
        <v/>
      </c>
      <c r="J523" s="40"/>
      <c r="K523" s="36" t="str">
        <f aca="false">IF($D523="","",IFERROR(INDEX(INSUMOS!$H$6:$H$205,MATCH($D523,INSUMOS!$A$6:$A$205,0)),IVA_VENTAS))</f>
        <v/>
      </c>
      <c r="L523" s="35" t="str">
        <f aca="false">IF($D523="","",N($J523)*$K523)</f>
        <v/>
      </c>
      <c r="M523" s="35" t="str">
        <f aca="false">IF($D523="","",N($J523)+$L523)</f>
        <v/>
      </c>
      <c r="N523" s="43" t="str">
        <f aca="false">IF($D523="","",IFERROR(N($J523)/$I523,0))</f>
        <v/>
      </c>
      <c r="O523" s="6"/>
      <c r="P523" s="6"/>
      <c r="Q523" s="46" t="str">
        <f aca="false">IF($A523="","",DATE(YEAR($A523),MONTH($A523),1))</f>
        <v/>
      </c>
      <c r="R523" s="8" t="str">
        <f aca="false">IF(OR($A523="",$D523=""),"",IF(COUNTIFS($D$6:$D$1005,$D523,$A$6:$A$1005,"&gt;"&amp;$A523)=0,1,0))</f>
        <v/>
      </c>
    </row>
    <row r="524" customFormat="false" ht="15" hidden="false" customHeight="false" outlineLevel="0" collapsed="false">
      <c r="A524" s="44"/>
      <c r="B524" s="6"/>
      <c r="C524" s="6"/>
      <c r="D524" s="6"/>
      <c r="E524" s="8" t="str">
        <f aca="false">IF($D524="","",IFERROR(INDEX(INSUMOS!$B$6:$B$205,MATCH($D524,INSUMOS!$A$6:$A$205,0)),"¿Código?"))</f>
        <v/>
      </c>
      <c r="F524" s="8" t="str">
        <f aca="false">IF($D524="","",IFERROR(INDEX(INSUMOS!$E$6:$E$205,MATCH($D524,INSUMOS!$A$6:$A$205,0)),""))</f>
        <v/>
      </c>
      <c r="G524" s="39"/>
      <c r="H524" s="45" t="str">
        <f aca="false">IF($D524="","",IFERROR(INDEX(INSUMOS!$F$6:$F$205,MATCH($D524,INSUMOS!$A$6:$A$205,0)),0))</f>
        <v/>
      </c>
      <c r="I524" s="34" t="str">
        <f aca="false">IF($D524="","",N($G524)*$H524)</f>
        <v/>
      </c>
      <c r="J524" s="40"/>
      <c r="K524" s="36" t="str">
        <f aca="false">IF($D524="","",IFERROR(INDEX(INSUMOS!$H$6:$H$205,MATCH($D524,INSUMOS!$A$6:$A$205,0)),IVA_VENTAS))</f>
        <v/>
      </c>
      <c r="L524" s="35" t="str">
        <f aca="false">IF($D524="","",N($J524)*$K524)</f>
        <v/>
      </c>
      <c r="M524" s="35" t="str">
        <f aca="false">IF($D524="","",N($J524)+$L524)</f>
        <v/>
      </c>
      <c r="N524" s="43" t="str">
        <f aca="false">IF($D524="","",IFERROR(N($J524)/$I524,0))</f>
        <v/>
      </c>
      <c r="O524" s="6"/>
      <c r="P524" s="6"/>
      <c r="Q524" s="46" t="str">
        <f aca="false">IF($A524="","",DATE(YEAR($A524),MONTH($A524),1))</f>
        <v/>
      </c>
      <c r="R524" s="8" t="str">
        <f aca="false">IF(OR($A524="",$D524=""),"",IF(COUNTIFS($D$6:$D$1005,$D524,$A$6:$A$1005,"&gt;"&amp;$A524)=0,1,0))</f>
        <v/>
      </c>
    </row>
    <row r="525" customFormat="false" ht="15" hidden="false" customHeight="false" outlineLevel="0" collapsed="false">
      <c r="A525" s="44"/>
      <c r="B525" s="6"/>
      <c r="C525" s="6"/>
      <c r="D525" s="6"/>
      <c r="E525" s="8" t="str">
        <f aca="false">IF($D525="","",IFERROR(INDEX(INSUMOS!$B$6:$B$205,MATCH($D525,INSUMOS!$A$6:$A$205,0)),"¿Código?"))</f>
        <v/>
      </c>
      <c r="F525" s="8" t="str">
        <f aca="false">IF($D525="","",IFERROR(INDEX(INSUMOS!$E$6:$E$205,MATCH($D525,INSUMOS!$A$6:$A$205,0)),""))</f>
        <v/>
      </c>
      <c r="G525" s="39"/>
      <c r="H525" s="45" t="str">
        <f aca="false">IF($D525="","",IFERROR(INDEX(INSUMOS!$F$6:$F$205,MATCH($D525,INSUMOS!$A$6:$A$205,0)),0))</f>
        <v/>
      </c>
      <c r="I525" s="34" t="str">
        <f aca="false">IF($D525="","",N($G525)*$H525)</f>
        <v/>
      </c>
      <c r="J525" s="40"/>
      <c r="K525" s="36" t="str">
        <f aca="false">IF($D525="","",IFERROR(INDEX(INSUMOS!$H$6:$H$205,MATCH($D525,INSUMOS!$A$6:$A$205,0)),IVA_VENTAS))</f>
        <v/>
      </c>
      <c r="L525" s="35" t="str">
        <f aca="false">IF($D525="","",N($J525)*$K525)</f>
        <v/>
      </c>
      <c r="M525" s="35" t="str">
        <f aca="false">IF($D525="","",N($J525)+$L525)</f>
        <v/>
      </c>
      <c r="N525" s="43" t="str">
        <f aca="false">IF($D525="","",IFERROR(N($J525)/$I525,0))</f>
        <v/>
      </c>
      <c r="O525" s="6"/>
      <c r="P525" s="6"/>
      <c r="Q525" s="46" t="str">
        <f aca="false">IF($A525="","",DATE(YEAR($A525),MONTH($A525),1))</f>
        <v/>
      </c>
      <c r="R525" s="8" t="str">
        <f aca="false">IF(OR($A525="",$D525=""),"",IF(COUNTIFS($D$6:$D$1005,$D525,$A$6:$A$1005,"&gt;"&amp;$A525)=0,1,0))</f>
        <v/>
      </c>
    </row>
    <row r="526" customFormat="false" ht="15" hidden="false" customHeight="false" outlineLevel="0" collapsed="false">
      <c r="A526" s="44"/>
      <c r="B526" s="6"/>
      <c r="C526" s="6"/>
      <c r="D526" s="6"/>
      <c r="E526" s="8" t="str">
        <f aca="false">IF($D526="","",IFERROR(INDEX(INSUMOS!$B$6:$B$205,MATCH($D526,INSUMOS!$A$6:$A$205,0)),"¿Código?"))</f>
        <v/>
      </c>
      <c r="F526" s="8" t="str">
        <f aca="false">IF($D526="","",IFERROR(INDEX(INSUMOS!$E$6:$E$205,MATCH($D526,INSUMOS!$A$6:$A$205,0)),""))</f>
        <v/>
      </c>
      <c r="G526" s="39"/>
      <c r="H526" s="45" t="str">
        <f aca="false">IF($D526="","",IFERROR(INDEX(INSUMOS!$F$6:$F$205,MATCH($D526,INSUMOS!$A$6:$A$205,0)),0))</f>
        <v/>
      </c>
      <c r="I526" s="34" t="str">
        <f aca="false">IF($D526="","",N($G526)*$H526)</f>
        <v/>
      </c>
      <c r="J526" s="40"/>
      <c r="K526" s="36" t="str">
        <f aca="false">IF($D526="","",IFERROR(INDEX(INSUMOS!$H$6:$H$205,MATCH($D526,INSUMOS!$A$6:$A$205,0)),IVA_VENTAS))</f>
        <v/>
      </c>
      <c r="L526" s="35" t="str">
        <f aca="false">IF($D526="","",N($J526)*$K526)</f>
        <v/>
      </c>
      <c r="M526" s="35" t="str">
        <f aca="false">IF($D526="","",N($J526)+$L526)</f>
        <v/>
      </c>
      <c r="N526" s="43" t="str">
        <f aca="false">IF($D526="","",IFERROR(N($J526)/$I526,0))</f>
        <v/>
      </c>
      <c r="O526" s="6"/>
      <c r="P526" s="6"/>
      <c r="Q526" s="46" t="str">
        <f aca="false">IF($A526="","",DATE(YEAR($A526),MONTH($A526),1))</f>
        <v/>
      </c>
      <c r="R526" s="8" t="str">
        <f aca="false">IF(OR($A526="",$D526=""),"",IF(COUNTIFS($D$6:$D$1005,$D526,$A$6:$A$1005,"&gt;"&amp;$A526)=0,1,0))</f>
        <v/>
      </c>
    </row>
    <row r="527" customFormat="false" ht="15" hidden="false" customHeight="false" outlineLevel="0" collapsed="false">
      <c r="A527" s="44"/>
      <c r="B527" s="6"/>
      <c r="C527" s="6"/>
      <c r="D527" s="6"/>
      <c r="E527" s="8" t="str">
        <f aca="false">IF($D527="","",IFERROR(INDEX(INSUMOS!$B$6:$B$205,MATCH($D527,INSUMOS!$A$6:$A$205,0)),"¿Código?"))</f>
        <v/>
      </c>
      <c r="F527" s="8" t="str">
        <f aca="false">IF($D527="","",IFERROR(INDEX(INSUMOS!$E$6:$E$205,MATCH($D527,INSUMOS!$A$6:$A$205,0)),""))</f>
        <v/>
      </c>
      <c r="G527" s="39"/>
      <c r="H527" s="45" t="str">
        <f aca="false">IF($D527="","",IFERROR(INDEX(INSUMOS!$F$6:$F$205,MATCH($D527,INSUMOS!$A$6:$A$205,0)),0))</f>
        <v/>
      </c>
      <c r="I527" s="34" t="str">
        <f aca="false">IF($D527="","",N($G527)*$H527)</f>
        <v/>
      </c>
      <c r="J527" s="40"/>
      <c r="K527" s="36" t="str">
        <f aca="false">IF($D527="","",IFERROR(INDEX(INSUMOS!$H$6:$H$205,MATCH($D527,INSUMOS!$A$6:$A$205,0)),IVA_VENTAS))</f>
        <v/>
      </c>
      <c r="L527" s="35" t="str">
        <f aca="false">IF($D527="","",N($J527)*$K527)</f>
        <v/>
      </c>
      <c r="M527" s="35" t="str">
        <f aca="false">IF($D527="","",N($J527)+$L527)</f>
        <v/>
      </c>
      <c r="N527" s="43" t="str">
        <f aca="false">IF($D527="","",IFERROR(N($J527)/$I527,0))</f>
        <v/>
      </c>
      <c r="O527" s="6"/>
      <c r="P527" s="6"/>
      <c r="Q527" s="46" t="str">
        <f aca="false">IF($A527="","",DATE(YEAR($A527),MONTH($A527),1))</f>
        <v/>
      </c>
      <c r="R527" s="8" t="str">
        <f aca="false">IF(OR($A527="",$D527=""),"",IF(COUNTIFS($D$6:$D$1005,$D527,$A$6:$A$1005,"&gt;"&amp;$A527)=0,1,0))</f>
        <v/>
      </c>
    </row>
    <row r="528" customFormat="false" ht="15" hidden="false" customHeight="false" outlineLevel="0" collapsed="false">
      <c r="A528" s="44"/>
      <c r="B528" s="6"/>
      <c r="C528" s="6"/>
      <c r="D528" s="6"/>
      <c r="E528" s="8" t="str">
        <f aca="false">IF($D528="","",IFERROR(INDEX(INSUMOS!$B$6:$B$205,MATCH($D528,INSUMOS!$A$6:$A$205,0)),"¿Código?"))</f>
        <v/>
      </c>
      <c r="F528" s="8" t="str">
        <f aca="false">IF($D528="","",IFERROR(INDEX(INSUMOS!$E$6:$E$205,MATCH($D528,INSUMOS!$A$6:$A$205,0)),""))</f>
        <v/>
      </c>
      <c r="G528" s="39"/>
      <c r="H528" s="45" t="str">
        <f aca="false">IF($D528="","",IFERROR(INDEX(INSUMOS!$F$6:$F$205,MATCH($D528,INSUMOS!$A$6:$A$205,0)),0))</f>
        <v/>
      </c>
      <c r="I528" s="34" t="str">
        <f aca="false">IF($D528="","",N($G528)*$H528)</f>
        <v/>
      </c>
      <c r="J528" s="40"/>
      <c r="K528" s="36" t="str">
        <f aca="false">IF($D528="","",IFERROR(INDEX(INSUMOS!$H$6:$H$205,MATCH($D528,INSUMOS!$A$6:$A$205,0)),IVA_VENTAS))</f>
        <v/>
      </c>
      <c r="L528" s="35" t="str">
        <f aca="false">IF($D528="","",N($J528)*$K528)</f>
        <v/>
      </c>
      <c r="M528" s="35" t="str">
        <f aca="false">IF($D528="","",N($J528)+$L528)</f>
        <v/>
      </c>
      <c r="N528" s="43" t="str">
        <f aca="false">IF($D528="","",IFERROR(N($J528)/$I528,0))</f>
        <v/>
      </c>
      <c r="O528" s="6"/>
      <c r="P528" s="6"/>
      <c r="Q528" s="46" t="str">
        <f aca="false">IF($A528="","",DATE(YEAR($A528),MONTH($A528),1))</f>
        <v/>
      </c>
      <c r="R528" s="8" t="str">
        <f aca="false">IF(OR($A528="",$D528=""),"",IF(COUNTIFS($D$6:$D$1005,$D528,$A$6:$A$1005,"&gt;"&amp;$A528)=0,1,0))</f>
        <v/>
      </c>
    </row>
    <row r="529" customFormat="false" ht="15" hidden="false" customHeight="false" outlineLevel="0" collapsed="false">
      <c r="A529" s="44"/>
      <c r="B529" s="6"/>
      <c r="C529" s="6"/>
      <c r="D529" s="6"/>
      <c r="E529" s="8" t="str">
        <f aca="false">IF($D529="","",IFERROR(INDEX(INSUMOS!$B$6:$B$205,MATCH($D529,INSUMOS!$A$6:$A$205,0)),"¿Código?"))</f>
        <v/>
      </c>
      <c r="F529" s="8" t="str">
        <f aca="false">IF($D529="","",IFERROR(INDEX(INSUMOS!$E$6:$E$205,MATCH($D529,INSUMOS!$A$6:$A$205,0)),""))</f>
        <v/>
      </c>
      <c r="G529" s="39"/>
      <c r="H529" s="45" t="str">
        <f aca="false">IF($D529="","",IFERROR(INDEX(INSUMOS!$F$6:$F$205,MATCH($D529,INSUMOS!$A$6:$A$205,0)),0))</f>
        <v/>
      </c>
      <c r="I529" s="34" t="str">
        <f aca="false">IF($D529="","",N($G529)*$H529)</f>
        <v/>
      </c>
      <c r="J529" s="40"/>
      <c r="K529" s="36" t="str">
        <f aca="false">IF($D529="","",IFERROR(INDEX(INSUMOS!$H$6:$H$205,MATCH($D529,INSUMOS!$A$6:$A$205,0)),IVA_VENTAS))</f>
        <v/>
      </c>
      <c r="L529" s="35" t="str">
        <f aca="false">IF($D529="","",N($J529)*$K529)</f>
        <v/>
      </c>
      <c r="M529" s="35" t="str">
        <f aca="false">IF($D529="","",N($J529)+$L529)</f>
        <v/>
      </c>
      <c r="N529" s="43" t="str">
        <f aca="false">IF($D529="","",IFERROR(N($J529)/$I529,0))</f>
        <v/>
      </c>
      <c r="O529" s="6"/>
      <c r="P529" s="6"/>
      <c r="Q529" s="46" t="str">
        <f aca="false">IF($A529="","",DATE(YEAR($A529),MONTH($A529),1))</f>
        <v/>
      </c>
      <c r="R529" s="8" t="str">
        <f aca="false">IF(OR($A529="",$D529=""),"",IF(COUNTIFS($D$6:$D$1005,$D529,$A$6:$A$1005,"&gt;"&amp;$A529)=0,1,0))</f>
        <v/>
      </c>
    </row>
    <row r="530" customFormat="false" ht="15" hidden="false" customHeight="false" outlineLevel="0" collapsed="false">
      <c r="A530" s="44"/>
      <c r="B530" s="6"/>
      <c r="C530" s="6"/>
      <c r="D530" s="6"/>
      <c r="E530" s="8" t="str">
        <f aca="false">IF($D530="","",IFERROR(INDEX(INSUMOS!$B$6:$B$205,MATCH($D530,INSUMOS!$A$6:$A$205,0)),"¿Código?"))</f>
        <v/>
      </c>
      <c r="F530" s="8" t="str">
        <f aca="false">IF($D530="","",IFERROR(INDEX(INSUMOS!$E$6:$E$205,MATCH($D530,INSUMOS!$A$6:$A$205,0)),""))</f>
        <v/>
      </c>
      <c r="G530" s="39"/>
      <c r="H530" s="45" t="str">
        <f aca="false">IF($D530="","",IFERROR(INDEX(INSUMOS!$F$6:$F$205,MATCH($D530,INSUMOS!$A$6:$A$205,0)),0))</f>
        <v/>
      </c>
      <c r="I530" s="34" t="str">
        <f aca="false">IF($D530="","",N($G530)*$H530)</f>
        <v/>
      </c>
      <c r="J530" s="40"/>
      <c r="K530" s="36" t="str">
        <f aca="false">IF($D530="","",IFERROR(INDEX(INSUMOS!$H$6:$H$205,MATCH($D530,INSUMOS!$A$6:$A$205,0)),IVA_VENTAS))</f>
        <v/>
      </c>
      <c r="L530" s="35" t="str">
        <f aca="false">IF($D530="","",N($J530)*$K530)</f>
        <v/>
      </c>
      <c r="M530" s="35" t="str">
        <f aca="false">IF($D530="","",N($J530)+$L530)</f>
        <v/>
      </c>
      <c r="N530" s="43" t="str">
        <f aca="false">IF($D530="","",IFERROR(N($J530)/$I530,0))</f>
        <v/>
      </c>
      <c r="O530" s="6"/>
      <c r="P530" s="6"/>
      <c r="Q530" s="46" t="str">
        <f aca="false">IF($A530="","",DATE(YEAR($A530),MONTH($A530),1))</f>
        <v/>
      </c>
      <c r="R530" s="8" t="str">
        <f aca="false">IF(OR($A530="",$D530=""),"",IF(COUNTIFS($D$6:$D$1005,$D530,$A$6:$A$1005,"&gt;"&amp;$A530)=0,1,0))</f>
        <v/>
      </c>
    </row>
    <row r="531" customFormat="false" ht="15" hidden="false" customHeight="false" outlineLevel="0" collapsed="false">
      <c r="A531" s="44"/>
      <c r="B531" s="6"/>
      <c r="C531" s="6"/>
      <c r="D531" s="6"/>
      <c r="E531" s="8" t="str">
        <f aca="false">IF($D531="","",IFERROR(INDEX(INSUMOS!$B$6:$B$205,MATCH($D531,INSUMOS!$A$6:$A$205,0)),"¿Código?"))</f>
        <v/>
      </c>
      <c r="F531" s="8" t="str">
        <f aca="false">IF($D531="","",IFERROR(INDEX(INSUMOS!$E$6:$E$205,MATCH($D531,INSUMOS!$A$6:$A$205,0)),""))</f>
        <v/>
      </c>
      <c r="G531" s="39"/>
      <c r="H531" s="45" t="str">
        <f aca="false">IF($D531="","",IFERROR(INDEX(INSUMOS!$F$6:$F$205,MATCH($D531,INSUMOS!$A$6:$A$205,0)),0))</f>
        <v/>
      </c>
      <c r="I531" s="34" t="str">
        <f aca="false">IF($D531="","",N($G531)*$H531)</f>
        <v/>
      </c>
      <c r="J531" s="40"/>
      <c r="K531" s="36" t="str">
        <f aca="false">IF($D531="","",IFERROR(INDEX(INSUMOS!$H$6:$H$205,MATCH($D531,INSUMOS!$A$6:$A$205,0)),IVA_VENTAS))</f>
        <v/>
      </c>
      <c r="L531" s="35" t="str">
        <f aca="false">IF($D531="","",N($J531)*$K531)</f>
        <v/>
      </c>
      <c r="M531" s="35" t="str">
        <f aca="false">IF($D531="","",N($J531)+$L531)</f>
        <v/>
      </c>
      <c r="N531" s="43" t="str">
        <f aca="false">IF($D531="","",IFERROR(N($J531)/$I531,0))</f>
        <v/>
      </c>
      <c r="O531" s="6"/>
      <c r="P531" s="6"/>
      <c r="Q531" s="46" t="str">
        <f aca="false">IF($A531="","",DATE(YEAR($A531),MONTH($A531),1))</f>
        <v/>
      </c>
      <c r="R531" s="8" t="str">
        <f aca="false">IF(OR($A531="",$D531=""),"",IF(COUNTIFS($D$6:$D$1005,$D531,$A$6:$A$1005,"&gt;"&amp;$A531)=0,1,0))</f>
        <v/>
      </c>
    </row>
    <row r="532" customFormat="false" ht="15" hidden="false" customHeight="false" outlineLevel="0" collapsed="false">
      <c r="A532" s="44"/>
      <c r="B532" s="6"/>
      <c r="C532" s="6"/>
      <c r="D532" s="6"/>
      <c r="E532" s="8" t="str">
        <f aca="false">IF($D532="","",IFERROR(INDEX(INSUMOS!$B$6:$B$205,MATCH($D532,INSUMOS!$A$6:$A$205,0)),"¿Código?"))</f>
        <v/>
      </c>
      <c r="F532" s="8" t="str">
        <f aca="false">IF($D532="","",IFERROR(INDEX(INSUMOS!$E$6:$E$205,MATCH($D532,INSUMOS!$A$6:$A$205,0)),""))</f>
        <v/>
      </c>
      <c r="G532" s="39"/>
      <c r="H532" s="45" t="str">
        <f aca="false">IF($D532="","",IFERROR(INDEX(INSUMOS!$F$6:$F$205,MATCH($D532,INSUMOS!$A$6:$A$205,0)),0))</f>
        <v/>
      </c>
      <c r="I532" s="34" t="str">
        <f aca="false">IF($D532="","",N($G532)*$H532)</f>
        <v/>
      </c>
      <c r="J532" s="40"/>
      <c r="K532" s="36" t="str">
        <f aca="false">IF($D532="","",IFERROR(INDEX(INSUMOS!$H$6:$H$205,MATCH($D532,INSUMOS!$A$6:$A$205,0)),IVA_VENTAS))</f>
        <v/>
      </c>
      <c r="L532" s="35" t="str">
        <f aca="false">IF($D532="","",N($J532)*$K532)</f>
        <v/>
      </c>
      <c r="M532" s="35" t="str">
        <f aca="false">IF($D532="","",N($J532)+$L532)</f>
        <v/>
      </c>
      <c r="N532" s="43" t="str">
        <f aca="false">IF($D532="","",IFERROR(N($J532)/$I532,0))</f>
        <v/>
      </c>
      <c r="O532" s="6"/>
      <c r="P532" s="6"/>
      <c r="Q532" s="46" t="str">
        <f aca="false">IF($A532="","",DATE(YEAR($A532),MONTH($A532),1))</f>
        <v/>
      </c>
      <c r="R532" s="8" t="str">
        <f aca="false">IF(OR($A532="",$D532=""),"",IF(COUNTIFS($D$6:$D$1005,$D532,$A$6:$A$1005,"&gt;"&amp;$A532)=0,1,0))</f>
        <v/>
      </c>
    </row>
    <row r="533" customFormat="false" ht="15" hidden="false" customHeight="false" outlineLevel="0" collapsed="false">
      <c r="A533" s="44"/>
      <c r="B533" s="6"/>
      <c r="C533" s="6"/>
      <c r="D533" s="6"/>
      <c r="E533" s="8" t="str">
        <f aca="false">IF($D533="","",IFERROR(INDEX(INSUMOS!$B$6:$B$205,MATCH($D533,INSUMOS!$A$6:$A$205,0)),"¿Código?"))</f>
        <v/>
      </c>
      <c r="F533" s="8" t="str">
        <f aca="false">IF($D533="","",IFERROR(INDEX(INSUMOS!$E$6:$E$205,MATCH($D533,INSUMOS!$A$6:$A$205,0)),""))</f>
        <v/>
      </c>
      <c r="G533" s="39"/>
      <c r="H533" s="45" t="str">
        <f aca="false">IF($D533="","",IFERROR(INDEX(INSUMOS!$F$6:$F$205,MATCH($D533,INSUMOS!$A$6:$A$205,0)),0))</f>
        <v/>
      </c>
      <c r="I533" s="34" t="str">
        <f aca="false">IF($D533="","",N($G533)*$H533)</f>
        <v/>
      </c>
      <c r="J533" s="40"/>
      <c r="K533" s="36" t="str">
        <f aca="false">IF($D533="","",IFERROR(INDEX(INSUMOS!$H$6:$H$205,MATCH($D533,INSUMOS!$A$6:$A$205,0)),IVA_VENTAS))</f>
        <v/>
      </c>
      <c r="L533" s="35" t="str">
        <f aca="false">IF($D533="","",N($J533)*$K533)</f>
        <v/>
      </c>
      <c r="M533" s="35" t="str">
        <f aca="false">IF($D533="","",N($J533)+$L533)</f>
        <v/>
      </c>
      <c r="N533" s="43" t="str">
        <f aca="false">IF($D533="","",IFERROR(N($J533)/$I533,0))</f>
        <v/>
      </c>
      <c r="O533" s="6"/>
      <c r="P533" s="6"/>
      <c r="Q533" s="46" t="str">
        <f aca="false">IF($A533="","",DATE(YEAR($A533),MONTH($A533),1))</f>
        <v/>
      </c>
      <c r="R533" s="8" t="str">
        <f aca="false">IF(OR($A533="",$D533=""),"",IF(COUNTIFS($D$6:$D$1005,$D533,$A$6:$A$1005,"&gt;"&amp;$A533)=0,1,0))</f>
        <v/>
      </c>
    </row>
    <row r="534" customFormat="false" ht="15" hidden="false" customHeight="false" outlineLevel="0" collapsed="false">
      <c r="A534" s="44"/>
      <c r="B534" s="6"/>
      <c r="C534" s="6"/>
      <c r="D534" s="6"/>
      <c r="E534" s="8" t="str">
        <f aca="false">IF($D534="","",IFERROR(INDEX(INSUMOS!$B$6:$B$205,MATCH($D534,INSUMOS!$A$6:$A$205,0)),"¿Código?"))</f>
        <v/>
      </c>
      <c r="F534" s="8" t="str">
        <f aca="false">IF($D534="","",IFERROR(INDEX(INSUMOS!$E$6:$E$205,MATCH($D534,INSUMOS!$A$6:$A$205,0)),""))</f>
        <v/>
      </c>
      <c r="G534" s="39"/>
      <c r="H534" s="45" t="str">
        <f aca="false">IF($D534="","",IFERROR(INDEX(INSUMOS!$F$6:$F$205,MATCH($D534,INSUMOS!$A$6:$A$205,0)),0))</f>
        <v/>
      </c>
      <c r="I534" s="34" t="str">
        <f aca="false">IF($D534="","",N($G534)*$H534)</f>
        <v/>
      </c>
      <c r="J534" s="40"/>
      <c r="K534" s="36" t="str">
        <f aca="false">IF($D534="","",IFERROR(INDEX(INSUMOS!$H$6:$H$205,MATCH($D534,INSUMOS!$A$6:$A$205,0)),IVA_VENTAS))</f>
        <v/>
      </c>
      <c r="L534" s="35" t="str">
        <f aca="false">IF($D534="","",N($J534)*$K534)</f>
        <v/>
      </c>
      <c r="M534" s="35" t="str">
        <f aca="false">IF($D534="","",N($J534)+$L534)</f>
        <v/>
      </c>
      <c r="N534" s="43" t="str">
        <f aca="false">IF($D534="","",IFERROR(N($J534)/$I534,0))</f>
        <v/>
      </c>
      <c r="O534" s="6"/>
      <c r="P534" s="6"/>
      <c r="Q534" s="46" t="str">
        <f aca="false">IF($A534="","",DATE(YEAR($A534),MONTH($A534),1))</f>
        <v/>
      </c>
      <c r="R534" s="8" t="str">
        <f aca="false">IF(OR($A534="",$D534=""),"",IF(COUNTIFS($D$6:$D$1005,$D534,$A$6:$A$1005,"&gt;"&amp;$A534)=0,1,0))</f>
        <v/>
      </c>
    </row>
    <row r="535" customFormat="false" ht="15" hidden="false" customHeight="false" outlineLevel="0" collapsed="false">
      <c r="A535" s="44"/>
      <c r="B535" s="6"/>
      <c r="C535" s="6"/>
      <c r="D535" s="6"/>
      <c r="E535" s="8" t="str">
        <f aca="false">IF($D535="","",IFERROR(INDEX(INSUMOS!$B$6:$B$205,MATCH($D535,INSUMOS!$A$6:$A$205,0)),"¿Código?"))</f>
        <v/>
      </c>
      <c r="F535" s="8" t="str">
        <f aca="false">IF($D535="","",IFERROR(INDEX(INSUMOS!$E$6:$E$205,MATCH($D535,INSUMOS!$A$6:$A$205,0)),""))</f>
        <v/>
      </c>
      <c r="G535" s="39"/>
      <c r="H535" s="45" t="str">
        <f aca="false">IF($D535="","",IFERROR(INDEX(INSUMOS!$F$6:$F$205,MATCH($D535,INSUMOS!$A$6:$A$205,0)),0))</f>
        <v/>
      </c>
      <c r="I535" s="34" t="str">
        <f aca="false">IF($D535="","",N($G535)*$H535)</f>
        <v/>
      </c>
      <c r="J535" s="40"/>
      <c r="K535" s="36" t="str">
        <f aca="false">IF($D535="","",IFERROR(INDEX(INSUMOS!$H$6:$H$205,MATCH($D535,INSUMOS!$A$6:$A$205,0)),IVA_VENTAS))</f>
        <v/>
      </c>
      <c r="L535" s="35" t="str">
        <f aca="false">IF($D535="","",N($J535)*$K535)</f>
        <v/>
      </c>
      <c r="M535" s="35" t="str">
        <f aca="false">IF($D535="","",N($J535)+$L535)</f>
        <v/>
      </c>
      <c r="N535" s="43" t="str">
        <f aca="false">IF($D535="","",IFERROR(N($J535)/$I535,0))</f>
        <v/>
      </c>
      <c r="O535" s="6"/>
      <c r="P535" s="6"/>
      <c r="Q535" s="46" t="str">
        <f aca="false">IF($A535="","",DATE(YEAR($A535),MONTH($A535),1))</f>
        <v/>
      </c>
      <c r="R535" s="8" t="str">
        <f aca="false">IF(OR($A535="",$D535=""),"",IF(COUNTIFS($D$6:$D$1005,$D535,$A$6:$A$1005,"&gt;"&amp;$A535)=0,1,0))</f>
        <v/>
      </c>
    </row>
    <row r="536" customFormat="false" ht="15" hidden="false" customHeight="false" outlineLevel="0" collapsed="false">
      <c r="A536" s="44"/>
      <c r="B536" s="6"/>
      <c r="C536" s="6"/>
      <c r="D536" s="6"/>
      <c r="E536" s="8" t="str">
        <f aca="false">IF($D536="","",IFERROR(INDEX(INSUMOS!$B$6:$B$205,MATCH($D536,INSUMOS!$A$6:$A$205,0)),"¿Código?"))</f>
        <v/>
      </c>
      <c r="F536" s="8" t="str">
        <f aca="false">IF($D536="","",IFERROR(INDEX(INSUMOS!$E$6:$E$205,MATCH($D536,INSUMOS!$A$6:$A$205,0)),""))</f>
        <v/>
      </c>
      <c r="G536" s="39"/>
      <c r="H536" s="45" t="str">
        <f aca="false">IF($D536="","",IFERROR(INDEX(INSUMOS!$F$6:$F$205,MATCH($D536,INSUMOS!$A$6:$A$205,0)),0))</f>
        <v/>
      </c>
      <c r="I536" s="34" t="str">
        <f aca="false">IF($D536="","",N($G536)*$H536)</f>
        <v/>
      </c>
      <c r="J536" s="40"/>
      <c r="K536" s="36" t="str">
        <f aca="false">IF($D536="","",IFERROR(INDEX(INSUMOS!$H$6:$H$205,MATCH($D536,INSUMOS!$A$6:$A$205,0)),IVA_VENTAS))</f>
        <v/>
      </c>
      <c r="L536" s="35" t="str">
        <f aca="false">IF($D536="","",N($J536)*$K536)</f>
        <v/>
      </c>
      <c r="M536" s="35" t="str">
        <f aca="false">IF($D536="","",N($J536)+$L536)</f>
        <v/>
      </c>
      <c r="N536" s="43" t="str">
        <f aca="false">IF($D536="","",IFERROR(N($J536)/$I536,0))</f>
        <v/>
      </c>
      <c r="O536" s="6"/>
      <c r="P536" s="6"/>
      <c r="Q536" s="46" t="str">
        <f aca="false">IF($A536="","",DATE(YEAR($A536),MONTH($A536),1))</f>
        <v/>
      </c>
      <c r="R536" s="8" t="str">
        <f aca="false">IF(OR($A536="",$D536=""),"",IF(COUNTIFS($D$6:$D$1005,$D536,$A$6:$A$1005,"&gt;"&amp;$A536)=0,1,0))</f>
        <v/>
      </c>
    </row>
    <row r="537" customFormat="false" ht="15" hidden="false" customHeight="false" outlineLevel="0" collapsed="false">
      <c r="A537" s="44"/>
      <c r="B537" s="6"/>
      <c r="C537" s="6"/>
      <c r="D537" s="6"/>
      <c r="E537" s="8" t="str">
        <f aca="false">IF($D537="","",IFERROR(INDEX(INSUMOS!$B$6:$B$205,MATCH($D537,INSUMOS!$A$6:$A$205,0)),"¿Código?"))</f>
        <v/>
      </c>
      <c r="F537" s="8" t="str">
        <f aca="false">IF($D537="","",IFERROR(INDEX(INSUMOS!$E$6:$E$205,MATCH($D537,INSUMOS!$A$6:$A$205,0)),""))</f>
        <v/>
      </c>
      <c r="G537" s="39"/>
      <c r="H537" s="45" t="str">
        <f aca="false">IF($D537="","",IFERROR(INDEX(INSUMOS!$F$6:$F$205,MATCH($D537,INSUMOS!$A$6:$A$205,0)),0))</f>
        <v/>
      </c>
      <c r="I537" s="34" t="str">
        <f aca="false">IF($D537="","",N($G537)*$H537)</f>
        <v/>
      </c>
      <c r="J537" s="40"/>
      <c r="K537" s="36" t="str">
        <f aca="false">IF($D537="","",IFERROR(INDEX(INSUMOS!$H$6:$H$205,MATCH($D537,INSUMOS!$A$6:$A$205,0)),IVA_VENTAS))</f>
        <v/>
      </c>
      <c r="L537" s="35" t="str">
        <f aca="false">IF($D537="","",N($J537)*$K537)</f>
        <v/>
      </c>
      <c r="M537" s="35" t="str">
        <f aca="false">IF($D537="","",N($J537)+$L537)</f>
        <v/>
      </c>
      <c r="N537" s="43" t="str">
        <f aca="false">IF($D537="","",IFERROR(N($J537)/$I537,0))</f>
        <v/>
      </c>
      <c r="O537" s="6"/>
      <c r="P537" s="6"/>
      <c r="Q537" s="46" t="str">
        <f aca="false">IF($A537="","",DATE(YEAR($A537),MONTH($A537),1))</f>
        <v/>
      </c>
      <c r="R537" s="8" t="str">
        <f aca="false">IF(OR($A537="",$D537=""),"",IF(COUNTIFS($D$6:$D$1005,$D537,$A$6:$A$1005,"&gt;"&amp;$A537)=0,1,0))</f>
        <v/>
      </c>
    </row>
    <row r="538" customFormat="false" ht="15" hidden="false" customHeight="false" outlineLevel="0" collapsed="false">
      <c r="A538" s="44"/>
      <c r="B538" s="6"/>
      <c r="C538" s="6"/>
      <c r="D538" s="6"/>
      <c r="E538" s="8" t="str">
        <f aca="false">IF($D538="","",IFERROR(INDEX(INSUMOS!$B$6:$B$205,MATCH($D538,INSUMOS!$A$6:$A$205,0)),"¿Código?"))</f>
        <v/>
      </c>
      <c r="F538" s="8" t="str">
        <f aca="false">IF($D538="","",IFERROR(INDEX(INSUMOS!$E$6:$E$205,MATCH($D538,INSUMOS!$A$6:$A$205,0)),""))</f>
        <v/>
      </c>
      <c r="G538" s="39"/>
      <c r="H538" s="45" t="str">
        <f aca="false">IF($D538="","",IFERROR(INDEX(INSUMOS!$F$6:$F$205,MATCH($D538,INSUMOS!$A$6:$A$205,0)),0))</f>
        <v/>
      </c>
      <c r="I538" s="34" t="str">
        <f aca="false">IF($D538="","",N($G538)*$H538)</f>
        <v/>
      </c>
      <c r="J538" s="40"/>
      <c r="K538" s="36" t="str">
        <f aca="false">IF($D538="","",IFERROR(INDEX(INSUMOS!$H$6:$H$205,MATCH($D538,INSUMOS!$A$6:$A$205,0)),IVA_VENTAS))</f>
        <v/>
      </c>
      <c r="L538" s="35" t="str">
        <f aca="false">IF($D538="","",N($J538)*$K538)</f>
        <v/>
      </c>
      <c r="M538" s="35" t="str">
        <f aca="false">IF($D538="","",N($J538)+$L538)</f>
        <v/>
      </c>
      <c r="N538" s="43" t="str">
        <f aca="false">IF($D538="","",IFERROR(N($J538)/$I538,0))</f>
        <v/>
      </c>
      <c r="O538" s="6"/>
      <c r="P538" s="6"/>
      <c r="Q538" s="46" t="str">
        <f aca="false">IF($A538="","",DATE(YEAR($A538),MONTH($A538),1))</f>
        <v/>
      </c>
      <c r="R538" s="8" t="str">
        <f aca="false">IF(OR($A538="",$D538=""),"",IF(COUNTIFS($D$6:$D$1005,$D538,$A$6:$A$1005,"&gt;"&amp;$A538)=0,1,0))</f>
        <v/>
      </c>
    </row>
    <row r="539" customFormat="false" ht="15" hidden="false" customHeight="false" outlineLevel="0" collapsed="false">
      <c r="A539" s="44"/>
      <c r="B539" s="6"/>
      <c r="C539" s="6"/>
      <c r="D539" s="6"/>
      <c r="E539" s="8" t="str">
        <f aca="false">IF($D539="","",IFERROR(INDEX(INSUMOS!$B$6:$B$205,MATCH($D539,INSUMOS!$A$6:$A$205,0)),"¿Código?"))</f>
        <v/>
      </c>
      <c r="F539" s="8" t="str">
        <f aca="false">IF($D539="","",IFERROR(INDEX(INSUMOS!$E$6:$E$205,MATCH($D539,INSUMOS!$A$6:$A$205,0)),""))</f>
        <v/>
      </c>
      <c r="G539" s="39"/>
      <c r="H539" s="45" t="str">
        <f aca="false">IF($D539="","",IFERROR(INDEX(INSUMOS!$F$6:$F$205,MATCH($D539,INSUMOS!$A$6:$A$205,0)),0))</f>
        <v/>
      </c>
      <c r="I539" s="34" t="str">
        <f aca="false">IF($D539="","",N($G539)*$H539)</f>
        <v/>
      </c>
      <c r="J539" s="40"/>
      <c r="K539" s="36" t="str">
        <f aca="false">IF($D539="","",IFERROR(INDEX(INSUMOS!$H$6:$H$205,MATCH($D539,INSUMOS!$A$6:$A$205,0)),IVA_VENTAS))</f>
        <v/>
      </c>
      <c r="L539" s="35" t="str">
        <f aca="false">IF($D539="","",N($J539)*$K539)</f>
        <v/>
      </c>
      <c r="M539" s="35" t="str">
        <f aca="false">IF($D539="","",N($J539)+$L539)</f>
        <v/>
      </c>
      <c r="N539" s="43" t="str">
        <f aca="false">IF($D539="","",IFERROR(N($J539)/$I539,0))</f>
        <v/>
      </c>
      <c r="O539" s="6"/>
      <c r="P539" s="6"/>
      <c r="Q539" s="46" t="str">
        <f aca="false">IF($A539="","",DATE(YEAR($A539),MONTH($A539),1))</f>
        <v/>
      </c>
      <c r="R539" s="8" t="str">
        <f aca="false">IF(OR($A539="",$D539=""),"",IF(COUNTIFS($D$6:$D$1005,$D539,$A$6:$A$1005,"&gt;"&amp;$A539)=0,1,0))</f>
        <v/>
      </c>
    </row>
    <row r="540" customFormat="false" ht="15" hidden="false" customHeight="false" outlineLevel="0" collapsed="false">
      <c r="A540" s="44"/>
      <c r="B540" s="6"/>
      <c r="C540" s="6"/>
      <c r="D540" s="6"/>
      <c r="E540" s="8" t="str">
        <f aca="false">IF($D540="","",IFERROR(INDEX(INSUMOS!$B$6:$B$205,MATCH($D540,INSUMOS!$A$6:$A$205,0)),"¿Código?"))</f>
        <v/>
      </c>
      <c r="F540" s="8" t="str">
        <f aca="false">IF($D540="","",IFERROR(INDEX(INSUMOS!$E$6:$E$205,MATCH($D540,INSUMOS!$A$6:$A$205,0)),""))</f>
        <v/>
      </c>
      <c r="G540" s="39"/>
      <c r="H540" s="45" t="str">
        <f aca="false">IF($D540="","",IFERROR(INDEX(INSUMOS!$F$6:$F$205,MATCH($D540,INSUMOS!$A$6:$A$205,0)),0))</f>
        <v/>
      </c>
      <c r="I540" s="34" t="str">
        <f aca="false">IF($D540="","",N($G540)*$H540)</f>
        <v/>
      </c>
      <c r="J540" s="40"/>
      <c r="K540" s="36" t="str">
        <f aca="false">IF($D540="","",IFERROR(INDEX(INSUMOS!$H$6:$H$205,MATCH($D540,INSUMOS!$A$6:$A$205,0)),IVA_VENTAS))</f>
        <v/>
      </c>
      <c r="L540" s="35" t="str">
        <f aca="false">IF($D540="","",N($J540)*$K540)</f>
        <v/>
      </c>
      <c r="M540" s="35" t="str">
        <f aca="false">IF($D540="","",N($J540)+$L540)</f>
        <v/>
      </c>
      <c r="N540" s="43" t="str">
        <f aca="false">IF($D540="","",IFERROR(N($J540)/$I540,0))</f>
        <v/>
      </c>
      <c r="O540" s="6"/>
      <c r="P540" s="6"/>
      <c r="Q540" s="46" t="str">
        <f aca="false">IF($A540="","",DATE(YEAR($A540),MONTH($A540),1))</f>
        <v/>
      </c>
      <c r="R540" s="8" t="str">
        <f aca="false">IF(OR($A540="",$D540=""),"",IF(COUNTIFS($D$6:$D$1005,$D540,$A$6:$A$1005,"&gt;"&amp;$A540)=0,1,0))</f>
        <v/>
      </c>
    </row>
    <row r="541" customFormat="false" ht="15" hidden="false" customHeight="false" outlineLevel="0" collapsed="false">
      <c r="A541" s="44"/>
      <c r="B541" s="6"/>
      <c r="C541" s="6"/>
      <c r="D541" s="6"/>
      <c r="E541" s="8" t="str">
        <f aca="false">IF($D541="","",IFERROR(INDEX(INSUMOS!$B$6:$B$205,MATCH($D541,INSUMOS!$A$6:$A$205,0)),"¿Código?"))</f>
        <v/>
      </c>
      <c r="F541" s="8" t="str">
        <f aca="false">IF($D541="","",IFERROR(INDEX(INSUMOS!$E$6:$E$205,MATCH($D541,INSUMOS!$A$6:$A$205,0)),""))</f>
        <v/>
      </c>
      <c r="G541" s="39"/>
      <c r="H541" s="45" t="str">
        <f aca="false">IF($D541="","",IFERROR(INDEX(INSUMOS!$F$6:$F$205,MATCH($D541,INSUMOS!$A$6:$A$205,0)),0))</f>
        <v/>
      </c>
      <c r="I541" s="34" t="str">
        <f aca="false">IF($D541="","",N($G541)*$H541)</f>
        <v/>
      </c>
      <c r="J541" s="40"/>
      <c r="K541" s="36" t="str">
        <f aca="false">IF($D541="","",IFERROR(INDEX(INSUMOS!$H$6:$H$205,MATCH($D541,INSUMOS!$A$6:$A$205,0)),IVA_VENTAS))</f>
        <v/>
      </c>
      <c r="L541" s="35" t="str">
        <f aca="false">IF($D541="","",N($J541)*$K541)</f>
        <v/>
      </c>
      <c r="M541" s="35" t="str">
        <f aca="false">IF($D541="","",N($J541)+$L541)</f>
        <v/>
      </c>
      <c r="N541" s="43" t="str">
        <f aca="false">IF($D541="","",IFERROR(N($J541)/$I541,0))</f>
        <v/>
      </c>
      <c r="O541" s="6"/>
      <c r="P541" s="6"/>
      <c r="Q541" s="46" t="str">
        <f aca="false">IF($A541="","",DATE(YEAR($A541),MONTH($A541),1))</f>
        <v/>
      </c>
      <c r="R541" s="8" t="str">
        <f aca="false">IF(OR($A541="",$D541=""),"",IF(COUNTIFS($D$6:$D$1005,$D541,$A$6:$A$1005,"&gt;"&amp;$A541)=0,1,0))</f>
        <v/>
      </c>
    </row>
    <row r="542" customFormat="false" ht="15" hidden="false" customHeight="false" outlineLevel="0" collapsed="false">
      <c r="A542" s="44"/>
      <c r="B542" s="6"/>
      <c r="C542" s="6"/>
      <c r="D542" s="6"/>
      <c r="E542" s="8" t="str">
        <f aca="false">IF($D542="","",IFERROR(INDEX(INSUMOS!$B$6:$B$205,MATCH($D542,INSUMOS!$A$6:$A$205,0)),"¿Código?"))</f>
        <v/>
      </c>
      <c r="F542" s="8" t="str">
        <f aca="false">IF($D542="","",IFERROR(INDEX(INSUMOS!$E$6:$E$205,MATCH($D542,INSUMOS!$A$6:$A$205,0)),""))</f>
        <v/>
      </c>
      <c r="G542" s="39"/>
      <c r="H542" s="45" t="str">
        <f aca="false">IF($D542="","",IFERROR(INDEX(INSUMOS!$F$6:$F$205,MATCH($D542,INSUMOS!$A$6:$A$205,0)),0))</f>
        <v/>
      </c>
      <c r="I542" s="34" t="str">
        <f aca="false">IF($D542="","",N($G542)*$H542)</f>
        <v/>
      </c>
      <c r="J542" s="40"/>
      <c r="K542" s="36" t="str">
        <f aca="false">IF($D542="","",IFERROR(INDEX(INSUMOS!$H$6:$H$205,MATCH($D542,INSUMOS!$A$6:$A$205,0)),IVA_VENTAS))</f>
        <v/>
      </c>
      <c r="L542" s="35" t="str">
        <f aca="false">IF($D542="","",N($J542)*$K542)</f>
        <v/>
      </c>
      <c r="M542" s="35" t="str">
        <f aca="false">IF($D542="","",N($J542)+$L542)</f>
        <v/>
      </c>
      <c r="N542" s="43" t="str">
        <f aca="false">IF($D542="","",IFERROR(N($J542)/$I542,0))</f>
        <v/>
      </c>
      <c r="O542" s="6"/>
      <c r="P542" s="6"/>
      <c r="Q542" s="46" t="str">
        <f aca="false">IF($A542="","",DATE(YEAR($A542),MONTH($A542),1))</f>
        <v/>
      </c>
      <c r="R542" s="8" t="str">
        <f aca="false">IF(OR($A542="",$D542=""),"",IF(COUNTIFS($D$6:$D$1005,$D542,$A$6:$A$1005,"&gt;"&amp;$A542)=0,1,0))</f>
        <v/>
      </c>
    </row>
    <row r="543" customFormat="false" ht="15" hidden="false" customHeight="false" outlineLevel="0" collapsed="false">
      <c r="A543" s="44"/>
      <c r="B543" s="6"/>
      <c r="C543" s="6"/>
      <c r="D543" s="6"/>
      <c r="E543" s="8" t="str">
        <f aca="false">IF($D543="","",IFERROR(INDEX(INSUMOS!$B$6:$B$205,MATCH($D543,INSUMOS!$A$6:$A$205,0)),"¿Código?"))</f>
        <v/>
      </c>
      <c r="F543" s="8" t="str">
        <f aca="false">IF($D543="","",IFERROR(INDEX(INSUMOS!$E$6:$E$205,MATCH($D543,INSUMOS!$A$6:$A$205,0)),""))</f>
        <v/>
      </c>
      <c r="G543" s="39"/>
      <c r="H543" s="45" t="str">
        <f aca="false">IF($D543="","",IFERROR(INDEX(INSUMOS!$F$6:$F$205,MATCH($D543,INSUMOS!$A$6:$A$205,0)),0))</f>
        <v/>
      </c>
      <c r="I543" s="34" t="str">
        <f aca="false">IF($D543="","",N($G543)*$H543)</f>
        <v/>
      </c>
      <c r="J543" s="40"/>
      <c r="K543" s="36" t="str">
        <f aca="false">IF($D543="","",IFERROR(INDEX(INSUMOS!$H$6:$H$205,MATCH($D543,INSUMOS!$A$6:$A$205,0)),IVA_VENTAS))</f>
        <v/>
      </c>
      <c r="L543" s="35" t="str">
        <f aca="false">IF($D543="","",N($J543)*$K543)</f>
        <v/>
      </c>
      <c r="M543" s="35" t="str">
        <f aca="false">IF($D543="","",N($J543)+$L543)</f>
        <v/>
      </c>
      <c r="N543" s="43" t="str">
        <f aca="false">IF($D543="","",IFERROR(N($J543)/$I543,0))</f>
        <v/>
      </c>
      <c r="O543" s="6"/>
      <c r="P543" s="6"/>
      <c r="Q543" s="46" t="str">
        <f aca="false">IF($A543="","",DATE(YEAR($A543),MONTH($A543),1))</f>
        <v/>
      </c>
      <c r="R543" s="8" t="str">
        <f aca="false">IF(OR($A543="",$D543=""),"",IF(COUNTIFS($D$6:$D$1005,$D543,$A$6:$A$1005,"&gt;"&amp;$A543)=0,1,0))</f>
        <v/>
      </c>
    </row>
    <row r="544" customFormat="false" ht="15" hidden="false" customHeight="false" outlineLevel="0" collapsed="false">
      <c r="A544" s="44"/>
      <c r="B544" s="6"/>
      <c r="C544" s="6"/>
      <c r="D544" s="6"/>
      <c r="E544" s="8" t="str">
        <f aca="false">IF($D544="","",IFERROR(INDEX(INSUMOS!$B$6:$B$205,MATCH($D544,INSUMOS!$A$6:$A$205,0)),"¿Código?"))</f>
        <v/>
      </c>
      <c r="F544" s="8" t="str">
        <f aca="false">IF($D544="","",IFERROR(INDEX(INSUMOS!$E$6:$E$205,MATCH($D544,INSUMOS!$A$6:$A$205,0)),""))</f>
        <v/>
      </c>
      <c r="G544" s="39"/>
      <c r="H544" s="45" t="str">
        <f aca="false">IF($D544="","",IFERROR(INDEX(INSUMOS!$F$6:$F$205,MATCH($D544,INSUMOS!$A$6:$A$205,0)),0))</f>
        <v/>
      </c>
      <c r="I544" s="34" t="str">
        <f aca="false">IF($D544="","",N($G544)*$H544)</f>
        <v/>
      </c>
      <c r="J544" s="40"/>
      <c r="K544" s="36" t="str">
        <f aca="false">IF($D544="","",IFERROR(INDEX(INSUMOS!$H$6:$H$205,MATCH($D544,INSUMOS!$A$6:$A$205,0)),IVA_VENTAS))</f>
        <v/>
      </c>
      <c r="L544" s="35" t="str">
        <f aca="false">IF($D544="","",N($J544)*$K544)</f>
        <v/>
      </c>
      <c r="M544" s="35" t="str">
        <f aca="false">IF($D544="","",N($J544)+$L544)</f>
        <v/>
      </c>
      <c r="N544" s="43" t="str">
        <f aca="false">IF($D544="","",IFERROR(N($J544)/$I544,0))</f>
        <v/>
      </c>
      <c r="O544" s="6"/>
      <c r="P544" s="6"/>
      <c r="Q544" s="46" t="str">
        <f aca="false">IF($A544="","",DATE(YEAR($A544),MONTH($A544),1))</f>
        <v/>
      </c>
      <c r="R544" s="8" t="str">
        <f aca="false">IF(OR($A544="",$D544=""),"",IF(COUNTIFS($D$6:$D$1005,$D544,$A$6:$A$1005,"&gt;"&amp;$A544)=0,1,0))</f>
        <v/>
      </c>
    </row>
    <row r="545" customFormat="false" ht="15" hidden="false" customHeight="false" outlineLevel="0" collapsed="false">
      <c r="A545" s="44"/>
      <c r="B545" s="6"/>
      <c r="C545" s="6"/>
      <c r="D545" s="6"/>
      <c r="E545" s="8" t="str">
        <f aca="false">IF($D545="","",IFERROR(INDEX(INSUMOS!$B$6:$B$205,MATCH($D545,INSUMOS!$A$6:$A$205,0)),"¿Código?"))</f>
        <v/>
      </c>
      <c r="F545" s="8" t="str">
        <f aca="false">IF($D545="","",IFERROR(INDEX(INSUMOS!$E$6:$E$205,MATCH($D545,INSUMOS!$A$6:$A$205,0)),""))</f>
        <v/>
      </c>
      <c r="G545" s="39"/>
      <c r="H545" s="45" t="str">
        <f aca="false">IF($D545="","",IFERROR(INDEX(INSUMOS!$F$6:$F$205,MATCH($D545,INSUMOS!$A$6:$A$205,0)),0))</f>
        <v/>
      </c>
      <c r="I545" s="34" t="str">
        <f aca="false">IF($D545="","",N($G545)*$H545)</f>
        <v/>
      </c>
      <c r="J545" s="40"/>
      <c r="K545" s="36" t="str">
        <f aca="false">IF($D545="","",IFERROR(INDEX(INSUMOS!$H$6:$H$205,MATCH($D545,INSUMOS!$A$6:$A$205,0)),IVA_VENTAS))</f>
        <v/>
      </c>
      <c r="L545" s="35" t="str">
        <f aca="false">IF($D545="","",N($J545)*$K545)</f>
        <v/>
      </c>
      <c r="M545" s="35" t="str">
        <f aca="false">IF($D545="","",N($J545)+$L545)</f>
        <v/>
      </c>
      <c r="N545" s="43" t="str">
        <f aca="false">IF($D545="","",IFERROR(N($J545)/$I545,0))</f>
        <v/>
      </c>
      <c r="O545" s="6"/>
      <c r="P545" s="6"/>
      <c r="Q545" s="46" t="str">
        <f aca="false">IF($A545="","",DATE(YEAR($A545),MONTH($A545),1))</f>
        <v/>
      </c>
      <c r="R545" s="8" t="str">
        <f aca="false">IF(OR($A545="",$D545=""),"",IF(COUNTIFS($D$6:$D$1005,$D545,$A$6:$A$1005,"&gt;"&amp;$A545)=0,1,0))</f>
        <v/>
      </c>
    </row>
    <row r="546" customFormat="false" ht="15" hidden="false" customHeight="false" outlineLevel="0" collapsed="false">
      <c r="A546" s="44"/>
      <c r="B546" s="6"/>
      <c r="C546" s="6"/>
      <c r="D546" s="6"/>
      <c r="E546" s="8" t="str">
        <f aca="false">IF($D546="","",IFERROR(INDEX(INSUMOS!$B$6:$B$205,MATCH($D546,INSUMOS!$A$6:$A$205,0)),"¿Código?"))</f>
        <v/>
      </c>
      <c r="F546" s="8" t="str">
        <f aca="false">IF($D546="","",IFERROR(INDEX(INSUMOS!$E$6:$E$205,MATCH($D546,INSUMOS!$A$6:$A$205,0)),""))</f>
        <v/>
      </c>
      <c r="G546" s="39"/>
      <c r="H546" s="45" t="str">
        <f aca="false">IF($D546="","",IFERROR(INDEX(INSUMOS!$F$6:$F$205,MATCH($D546,INSUMOS!$A$6:$A$205,0)),0))</f>
        <v/>
      </c>
      <c r="I546" s="34" t="str">
        <f aca="false">IF($D546="","",N($G546)*$H546)</f>
        <v/>
      </c>
      <c r="J546" s="40"/>
      <c r="K546" s="36" t="str">
        <f aca="false">IF($D546="","",IFERROR(INDEX(INSUMOS!$H$6:$H$205,MATCH($D546,INSUMOS!$A$6:$A$205,0)),IVA_VENTAS))</f>
        <v/>
      </c>
      <c r="L546" s="35" t="str">
        <f aca="false">IF($D546="","",N($J546)*$K546)</f>
        <v/>
      </c>
      <c r="M546" s="35" t="str">
        <f aca="false">IF($D546="","",N($J546)+$L546)</f>
        <v/>
      </c>
      <c r="N546" s="43" t="str">
        <f aca="false">IF($D546="","",IFERROR(N($J546)/$I546,0))</f>
        <v/>
      </c>
      <c r="O546" s="6"/>
      <c r="P546" s="6"/>
      <c r="Q546" s="46" t="str">
        <f aca="false">IF($A546="","",DATE(YEAR($A546),MONTH($A546),1))</f>
        <v/>
      </c>
      <c r="R546" s="8" t="str">
        <f aca="false">IF(OR($A546="",$D546=""),"",IF(COUNTIFS($D$6:$D$1005,$D546,$A$6:$A$1005,"&gt;"&amp;$A546)=0,1,0))</f>
        <v/>
      </c>
    </row>
    <row r="547" customFormat="false" ht="15" hidden="false" customHeight="false" outlineLevel="0" collapsed="false">
      <c r="A547" s="44"/>
      <c r="B547" s="6"/>
      <c r="C547" s="6"/>
      <c r="D547" s="6"/>
      <c r="E547" s="8" t="str">
        <f aca="false">IF($D547="","",IFERROR(INDEX(INSUMOS!$B$6:$B$205,MATCH($D547,INSUMOS!$A$6:$A$205,0)),"¿Código?"))</f>
        <v/>
      </c>
      <c r="F547" s="8" t="str">
        <f aca="false">IF($D547="","",IFERROR(INDEX(INSUMOS!$E$6:$E$205,MATCH($D547,INSUMOS!$A$6:$A$205,0)),""))</f>
        <v/>
      </c>
      <c r="G547" s="39"/>
      <c r="H547" s="45" t="str">
        <f aca="false">IF($D547="","",IFERROR(INDEX(INSUMOS!$F$6:$F$205,MATCH($D547,INSUMOS!$A$6:$A$205,0)),0))</f>
        <v/>
      </c>
      <c r="I547" s="34" t="str">
        <f aca="false">IF($D547="","",N($G547)*$H547)</f>
        <v/>
      </c>
      <c r="J547" s="40"/>
      <c r="K547" s="36" t="str">
        <f aca="false">IF($D547="","",IFERROR(INDEX(INSUMOS!$H$6:$H$205,MATCH($D547,INSUMOS!$A$6:$A$205,0)),IVA_VENTAS))</f>
        <v/>
      </c>
      <c r="L547" s="35" t="str">
        <f aca="false">IF($D547="","",N($J547)*$K547)</f>
        <v/>
      </c>
      <c r="M547" s="35" t="str">
        <f aca="false">IF($D547="","",N($J547)+$L547)</f>
        <v/>
      </c>
      <c r="N547" s="43" t="str">
        <f aca="false">IF($D547="","",IFERROR(N($J547)/$I547,0))</f>
        <v/>
      </c>
      <c r="O547" s="6"/>
      <c r="P547" s="6"/>
      <c r="Q547" s="46" t="str">
        <f aca="false">IF($A547="","",DATE(YEAR($A547),MONTH($A547),1))</f>
        <v/>
      </c>
      <c r="R547" s="8" t="str">
        <f aca="false">IF(OR($A547="",$D547=""),"",IF(COUNTIFS($D$6:$D$1005,$D547,$A$6:$A$1005,"&gt;"&amp;$A547)=0,1,0))</f>
        <v/>
      </c>
    </row>
    <row r="548" customFormat="false" ht="15" hidden="false" customHeight="false" outlineLevel="0" collapsed="false">
      <c r="A548" s="44"/>
      <c r="B548" s="6"/>
      <c r="C548" s="6"/>
      <c r="D548" s="6"/>
      <c r="E548" s="8" t="str">
        <f aca="false">IF($D548="","",IFERROR(INDEX(INSUMOS!$B$6:$B$205,MATCH($D548,INSUMOS!$A$6:$A$205,0)),"¿Código?"))</f>
        <v/>
      </c>
      <c r="F548" s="8" t="str">
        <f aca="false">IF($D548="","",IFERROR(INDEX(INSUMOS!$E$6:$E$205,MATCH($D548,INSUMOS!$A$6:$A$205,0)),""))</f>
        <v/>
      </c>
      <c r="G548" s="39"/>
      <c r="H548" s="45" t="str">
        <f aca="false">IF($D548="","",IFERROR(INDEX(INSUMOS!$F$6:$F$205,MATCH($D548,INSUMOS!$A$6:$A$205,0)),0))</f>
        <v/>
      </c>
      <c r="I548" s="34" t="str">
        <f aca="false">IF($D548="","",N($G548)*$H548)</f>
        <v/>
      </c>
      <c r="J548" s="40"/>
      <c r="K548" s="36" t="str">
        <f aca="false">IF($D548="","",IFERROR(INDEX(INSUMOS!$H$6:$H$205,MATCH($D548,INSUMOS!$A$6:$A$205,0)),IVA_VENTAS))</f>
        <v/>
      </c>
      <c r="L548" s="35" t="str">
        <f aca="false">IF($D548="","",N($J548)*$K548)</f>
        <v/>
      </c>
      <c r="M548" s="35" t="str">
        <f aca="false">IF($D548="","",N($J548)+$L548)</f>
        <v/>
      </c>
      <c r="N548" s="43" t="str">
        <f aca="false">IF($D548="","",IFERROR(N($J548)/$I548,0))</f>
        <v/>
      </c>
      <c r="O548" s="6"/>
      <c r="P548" s="6"/>
      <c r="Q548" s="46" t="str">
        <f aca="false">IF($A548="","",DATE(YEAR($A548),MONTH($A548),1))</f>
        <v/>
      </c>
      <c r="R548" s="8" t="str">
        <f aca="false">IF(OR($A548="",$D548=""),"",IF(COUNTIFS($D$6:$D$1005,$D548,$A$6:$A$1005,"&gt;"&amp;$A548)=0,1,0))</f>
        <v/>
      </c>
    </row>
    <row r="549" customFormat="false" ht="15" hidden="false" customHeight="false" outlineLevel="0" collapsed="false">
      <c r="A549" s="44"/>
      <c r="B549" s="6"/>
      <c r="C549" s="6"/>
      <c r="D549" s="6"/>
      <c r="E549" s="8" t="str">
        <f aca="false">IF($D549="","",IFERROR(INDEX(INSUMOS!$B$6:$B$205,MATCH($D549,INSUMOS!$A$6:$A$205,0)),"¿Código?"))</f>
        <v/>
      </c>
      <c r="F549" s="8" t="str">
        <f aca="false">IF($D549="","",IFERROR(INDEX(INSUMOS!$E$6:$E$205,MATCH($D549,INSUMOS!$A$6:$A$205,0)),""))</f>
        <v/>
      </c>
      <c r="G549" s="39"/>
      <c r="H549" s="45" t="str">
        <f aca="false">IF($D549="","",IFERROR(INDEX(INSUMOS!$F$6:$F$205,MATCH($D549,INSUMOS!$A$6:$A$205,0)),0))</f>
        <v/>
      </c>
      <c r="I549" s="34" t="str">
        <f aca="false">IF($D549="","",N($G549)*$H549)</f>
        <v/>
      </c>
      <c r="J549" s="40"/>
      <c r="K549" s="36" t="str">
        <f aca="false">IF($D549="","",IFERROR(INDEX(INSUMOS!$H$6:$H$205,MATCH($D549,INSUMOS!$A$6:$A$205,0)),IVA_VENTAS))</f>
        <v/>
      </c>
      <c r="L549" s="35" t="str">
        <f aca="false">IF($D549="","",N($J549)*$K549)</f>
        <v/>
      </c>
      <c r="M549" s="35" t="str">
        <f aca="false">IF($D549="","",N($J549)+$L549)</f>
        <v/>
      </c>
      <c r="N549" s="43" t="str">
        <f aca="false">IF($D549="","",IFERROR(N($J549)/$I549,0))</f>
        <v/>
      </c>
      <c r="O549" s="6"/>
      <c r="P549" s="6"/>
      <c r="Q549" s="46" t="str">
        <f aca="false">IF($A549="","",DATE(YEAR($A549),MONTH($A549),1))</f>
        <v/>
      </c>
      <c r="R549" s="8" t="str">
        <f aca="false">IF(OR($A549="",$D549=""),"",IF(COUNTIFS($D$6:$D$1005,$D549,$A$6:$A$1005,"&gt;"&amp;$A549)=0,1,0))</f>
        <v/>
      </c>
    </row>
    <row r="550" customFormat="false" ht="15" hidden="false" customHeight="false" outlineLevel="0" collapsed="false">
      <c r="A550" s="44"/>
      <c r="B550" s="6"/>
      <c r="C550" s="6"/>
      <c r="D550" s="6"/>
      <c r="E550" s="8" t="str">
        <f aca="false">IF($D550="","",IFERROR(INDEX(INSUMOS!$B$6:$B$205,MATCH($D550,INSUMOS!$A$6:$A$205,0)),"¿Código?"))</f>
        <v/>
      </c>
      <c r="F550" s="8" t="str">
        <f aca="false">IF($D550="","",IFERROR(INDEX(INSUMOS!$E$6:$E$205,MATCH($D550,INSUMOS!$A$6:$A$205,0)),""))</f>
        <v/>
      </c>
      <c r="G550" s="39"/>
      <c r="H550" s="45" t="str">
        <f aca="false">IF($D550="","",IFERROR(INDEX(INSUMOS!$F$6:$F$205,MATCH($D550,INSUMOS!$A$6:$A$205,0)),0))</f>
        <v/>
      </c>
      <c r="I550" s="34" t="str">
        <f aca="false">IF($D550="","",N($G550)*$H550)</f>
        <v/>
      </c>
      <c r="J550" s="40"/>
      <c r="K550" s="36" t="str">
        <f aca="false">IF($D550="","",IFERROR(INDEX(INSUMOS!$H$6:$H$205,MATCH($D550,INSUMOS!$A$6:$A$205,0)),IVA_VENTAS))</f>
        <v/>
      </c>
      <c r="L550" s="35" t="str">
        <f aca="false">IF($D550="","",N($J550)*$K550)</f>
        <v/>
      </c>
      <c r="M550" s="35" t="str">
        <f aca="false">IF($D550="","",N($J550)+$L550)</f>
        <v/>
      </c>
      <c r="N550" s="43" t="str">
        <f aca="false">IF($D550="","",IFERROR(N($J550)/$I550,0))</f>
        <v/>
      </c>
      <c r="O550" s="6"/>
      <c r="P550" s="6"/>
      <c r="Q550" s="46" t="str">
        <f aca="false">IF($A550="","",DATE(YEAR($A550),MONTH($A550),1))</f>
        <v/>
      </c>
      <c r="R550" s="8" t="str">
        <f aca="false">IF(OR($A550="",$D550=""),"",IF(COUNTIFS($D$6:$D$1005,$D550,$A$6:$A$1005,"&gt;"&amp;$A550)=0,1,0))</f>
        <v/>
      </c>
    </row>
    <row r="551" customFormat="false" ht="15" hidden="false" customHeight="false" outlineLevel="0" collapsed="false">
      <c r="A551" s="44"/>
      <c r="B551" s="6"/>
      <c r="C551" s="6"/>
      <c r="D551" s="6"/>
      <c r="E551" s="8" t="str">
        <f aca="false">IF($D551="","",IFERROR(INDEX(INSUMOS!$B$6:$B$205,MATCH($D551,INSUMOS!$A$6:$A$205,0)),"¿Código?"))</f>
        <v/>
      </c>
      <c r="F551" s="8" t="str">
        <f aca="false">IF($D551="","",IFERROR(INDEX(INSUMOS!$E$6:$E$205,MATCH($D551,INSUMOS!$A$6:$A$205,0)),""))</f>
        <v/>
      </c>
      <c r="G551" s="39"/>
      <c r="H551" s="45" t="str">
        <f aca="false">IF($D551="","",IFERROR(INDEX(INSUMOS!$F$6:$F$205,MATCH($D551,INSUMOS!$A$6:$A$205,0)),0))</f>
        <v/>
      </c>
      <c r="I551" s="34" t="str">
        <f aca="false">IF($D551="","",N($G551)*$H551)</f>
        <v/>
      </c>
      <c r="J551" s="40"/>
      <c r="K551" s="36" t="str">
        <f aca="false">IF($D551="","",IFERROR(INDEX(INSUMOS!$H$6:$H$205,MATCH($D551,INSUMOS!$A$6:$A$205,0)),IVA_VENTAS))</f>
        <v/>
      </c>
      <c r="L551" s="35" t="str">
        <f aca="false">IF($D551="","",N($J551)*$K551)</f>
        <v/>
      </c>
      <c r="M551" s="35" t="str">
        <f aca="false">IF($D551="","",N($J551)+$L551)</f>
        <v/>
      </c>
      <c r="N551" s="43" t="str">
        <f aca="false">IF($D551="","",IFERROR(N($J551)/$I551,0))</f>
        <v/>
      </c>
      <c r="O551" s="6"/>
      <c r="P551" s="6"/>
      <c r="Q551" s="46" t="str">
        <f aca="false">IF($A551="","",DATE(YEAR($A551),MONTH($A551),1))</f>
        <v/>
      </c>
      <c r="R551" s="8" t="str">
        <f aca="false">IF(OR($A551="",$D551=""),"",IF(COUNTIFS($D$6:$D$1005,$D551,$A$6:$A$1005,"&gt;"&amp;$A551)=0,1,0))</f>
        <v/>
      </c>
    </row>
    <row r="552" customFormat="false" ht="15" hidden="false" customHeight="false" outlineLevel="0" collapsed="false">
      <c r="A552" s="44"/>
      <c r="B552" s="6"/>
      <c r="C552" s="6"/>
      <c r="D552" s="6"/>
      <c r="E552" s="8" t="str">
        <f aca="false">IF($D552="","",IFERROR(INDEX(INSUMOS!$B$6:$B$205,MATCH($D552,INSUMOS!$A$6:$A$205,0)),"¿Código?"))</f>
        <v/>
      </c>
      <c r="F552" s="8" t="str">
        <f aca="false">IF($D552="","",IFERROR(INDEX(INSUMOS!$E$6:$E$205,MATCH($D552,INSUMOS!$A$6:$A$205,0)),""))</f>
        <v/>
      </c>
      <c r="G552" s="39"/>
      <c r="H552" s="45" t="str">
        <f aca="false">IF($D552="","",IFERROR(INDEX(INSUMOS!$F$6:$F$205,MATCH($D552,INSUMOS!$A$6:$A$205,0)),0))</f>
        <v/>
      </c>
      <c r="I552" s="34" t="str">
        <f aca="false">IF($D552="","",N($G552)*$H552)</f>
        <v/>
      </c>
      <c r="J552" s="40"/>
      <c r="K552" s="36" t="str">
        <f aca="false">IF($D552="","",IFERROR(INDEX(INSUMOS!$H$6:$H$205,MATCH($D552,INSUMOS!$A$6:$A$205,0)),IVA_VENTAS))</f>
        <v/>
      </c>
      <c r="L552" s="35" t="str">
        <f aca="false">IF($D552="","",N($J552)*$K552)</f>
        <v/>
      </c>
      <c r="M552" s="35" t="str">
        <f aca="false">IF($D552="","",N($J552)+$L552)</f>
        <v/>
      </c>
      <c r="N552" s="43" t="str">
        <f aca="false">IF($D552="","",IFERROR(N($J552)/$I552,0))</f>
        <v/>
      </c>
      <c r="O552" s="6"/>
      <c r="P552" s="6"/>
      <c r="Q552" s="46" t="str">
        <f aca="false">IF($A552="","",DATE(YEAR($A552),MONTH($A552),1))</f>
        <v/>
      </c>
      <c r="R552" s="8" t="str">
        <f aca="false">IF(OR($A552="",$D552=""),"",IF(COUNTIFS($D$6:$D$1005,$D552,$A$6:$A$1005,"&gt;"&amp;$A552)=0,1,0))</f>
        <v/>
      </c>
    </row>
    <row r="553" customFormat="false" ht="15" hidden="false" customHeight="false" outlineLevel="0" collapsed="false">
      <c r="A553" s="44"/>
      <c r="B553" s="6"/>
      <c r="C553" s="6"/>
      <c r="D553" s="6"/>
      <c r="E553" s="8" t="str">
        <f aca="false">IF($D553="","",IFERROR(INDEX(INSUMOS!$B$6:$B$205,MATCH($D553,INSUMOS!$A$6:$A$205,0)),"¿Código?"))</f>
        <v/>
      </c>
      <c r="F553" s="8" t="str">
        <f aca="false">IF($D553="","",IFERROR(INDEX(INSUMOS!$E$6:$E$205,MATCH($D553,INSUMOS!$A$6:$A$205,0)),""))</f>
        <v/>
      </c>
      <c r="G553" s="39"/>
      <c r="H553" s="45" t="str">
        <f aca="false">IF($D553="","",IFERROR(INDEX(INSUMOS!$F$6:$F$205,MATCH($D553,INSUMOS!$A$6:$A$205,0)),0))</f>
        <v/>
      </c>
      <c r="I553" s="34" t="str">
        <f aca="false">IF($D553="","",N($G553)*$H553)</f>
        <v/>
      </c>
      <c r="J553" s="40"/>
      <c r="K553" s="36" t="str">
        <f aca="false">IF($D553="","",IFERROR(INDEX(INSUMOS!$H$6:$H$205,MATCH($D553,INSUMOS!$A$6:$A$205,0)),IVA_VENTAS))</f>
        <v/>
      </c>
      <c r="L553" s="35" t="str">
        <f aca="false">IF($D553="","",N($J553)*$K553)</f>
        <v/>
      </c>
      <c r="M553" s="35" t="str">
        <f aca="false">IF($D553="","",N($J553)+$L553)</f>
        <v/>
      </c>
      <c r="N553" s="43" t="str">
        <f aca="false">IF($D553="","",IFERROR(N($J553)/$I553,0))</f>
        <v/>
      </c>
      <c r="O553" s="6"/>
      <c r="P553" s="6"/>
      <c r="Q553" s="46" t="str">
        <f aca="false">IF($A553="","",DATE(YEAR($A553),MONTH($A553),1))</f>
        <v/>
      </c>
      <c r="R553" s="8" t="str">
        <f aca="false">IF(OR($A553="",$D553=""),"",IF(COUNTIFS($D$6:$D$1005,$D553,$A$6:$A$1005,"&gt;"&amp;$A553)=0,1,0))</f>
        <v/>
      </c>
    </row>
    <row r="554" customFormat="false" ht="15" hidden="false" customHeight="false" outlineLevel="0" collapsed="false">
      <c r="A554" s="44"/>
      <c r="B554" s="6"/>
      <c r="C554" s="6"/>
      <c r="D554" s="6"/>
      <c r="E554" s="8" t="str">
        <f aca="false">IF($D554="","",IFERROR(INDEX(INSUMOS!$B$6:$B$205,MATCH($D554,INSUMOS!$A$6:$A$205,0)),"¿Código?"))</f>
        <v/>
      </c>
      <c r="F554" s="8" t="str">
        <f aca="false">IF($D554="","",IFERROR(INDEX(INSUMOS!$E$6:$E$205,MATCH($D554,INSUMOS!$A$6:$A$205,0)),""))</f>
        <v/>
      </c>
      <c r="G554" s="39"/>
      <c r="H554" s="45" t="str">
        <f aca="false">IF($D554="","",IFERROR(INDEX(INSUMOS!$F$6:$F$205,MATCH($D554,INSUMOS!$A$6:$A$205,0)),0))</f>
        <v/>
      </c>
      <c r="I554" s="34" t="str">
        <f aca="false">IF($D554="","",N($G554)*$H554)</f>
        <v/>
      </c>
      <c r="J554" s="40"/>
      <c r="K554" s="36" t="str">
        <f aca="false">IF($D554="","",IFERROR(INDEX(INSUMOS!$H$6:$H$205,MATCH($D554,INSUMOS!$A$6:$A$205,0)),IVA_VENTAS))</f>
        <v/>
      </c>
      <c r="L554" s="35" t="str">
        <f aca="false">IF($D554="","",N($J554)*$K554)</f>
        <v/>
      </c>
      <c r="M554" s="35" t="str">
        <f aca="false">IF($D554="","",N($J554)+$L554)</f>
        <v/>
      </c>
      <c r="N554" s="43" t="str">
        <f aca="false">IF($D554="","",IFERROR(N($J554)/$I554,0))</f>
        <v/>
      </c>
      <c r="O554" s="6"/>
      <c r="P554" s="6"/>
      <c r="Q554" s="46" t="str">
        <f aca="false">IF($A554="","",DATE(YEAR($A554),MONTH($A554),1))</f>
        <v/>
      </c>
      <c r="R554" s="8" t="str">
        <f aca="false">IF(OR($A554="",$D554=""),"",IF(COUNTIFS($D$6:$D$1005,$D554,$A$6:$A$1005,"&gt;"&amp;$A554)=0,1,0))</f>
        <v/>
      </c>
    </row>
    <row r="555" customFormat="false" ht="15" hidden="false" customHeight="false" outlineLevel="0" collapsed="false">
      <c r="A555" s="44"/>
      <c r="B555" s="6"/>
      <c r="C555" s="6"/>
      <c r="D555" s="6"/>
      <c r="E555" s="8" t="str">
        <f aca="false">IF($D555="","",IFERROR(INDEX(INSUMOS!$B$6:$B$205,MATCH($D555,INSUMOS!$A$6:$A$205,0)),"¿Código?"))</f>
        <v/>
      </c>
      <c r="F555" s="8" t="str">
        <f aca="false">IF($D555="","",IFERROR(INDEX(INSUMOS!$E$6:$E$205,MATCH($D555,INSUMOS!$A$6:$A$205,0)),""))</f>
        <v/>
      </c>
      <c r="G555" s="39"/>
      <c r="H555" s="45" t="str">
        <f aca="false">IF($D555="","",IFERROR(INDEX(INSUMOS!$F$6:$F$205,MATCH($D555,INSUMOS!$A$6:$A$205,0)),0))</f>
        <v/>
      </c>
      <c r="I555" s="34" t="str">
        <f aca="false">IF($D555="","",N($G555)*$H555)</f>
        <v/>
      </c>
      <c r="J555" s="40"/>
      <c r="K555" s="36" t="str">
        <f aca="false">IF($D555="","",IFERROR(INDEX(INSUMOS!$H$6:$H$205,MATCH($D555,INSUMOS!$A$6:$A$205,0)),IVA_VENTAS))</f>
        <v/>
      </c>
      <c r="L555" s="35" t="str">
        <f aca="false">IF($D555="","",N($J555)*$K555)</f>
        <v/>
      </c>
      <c r="M555" s="35" t="str">
        <f aca="false">IF($D555="","",N($J555)+$L555)</f>
        <v/>
      </c>
      <c r="N555" s="43" t="str">
        <f aca="false">IF($D555="","",IFERROR(N($J555)/$I555,0))</f>
        <v/>
      </c>
      <c r="O555" s="6"/>
      <c r="P555" s="6"/>
      <c r="Q555" s="46" t="str">
        <f aca="false">IF($A555="","",DATE(YEAR($A555),MONTH($A555),1))</f>
        <v/>
      </c>
      <c r="R555" s="8" t="str">
        <f aca="false">IF(OR($A555="",$D555=""),"",IF(COUNTIFS($D$6:$D$1005,$D555,$A$6:$A$1005,"&gt;"&amp;$A555)=0,1,0))</f>
        <v/>
      </c>
    </row>
    <row r="556" customFormat="false" ht="15" hidden="false" customHeight="false" outlineLevel="0" collapsed="false">
      <c r="A556" s="44"/>
      <c r="B556" s="6"/>
      <c r="C556" s="6"/>
      <c r="D556" s="6"/>
      <c r="E556" s="8" t="str">
        <f aca="false">IF($D556="","",IFERROR(INDEX(INSUMOS!$B$6:$B$205,MATCH($D556,INSUMOS!$A$6:$A$205,0)),"¿Código?"))</f>
        <v/>
      </c>
      <c r="F556" s="8" t="str">
        <f aca="false">IF($D556="","",IFERROR(INDEX(INSUMOS!$E$6:$E$205,MATCH($D556,INSUMOS!$A$6:$A$205,0)),""))</f>
        <v/>
      </c>
      <c r="G556" s="39"/>
      <c r="H556" s="45" t="str">
        <f aca="false">IF($D556="","",IFERROR(INDEX(INSUMOS!$F$6:$F$205,MATCH($D556,INSUMOS!$A$6:$A$205,0)),0))</f>
        <v/>
      </c>
      <c r="I556" s="34" t="str">
        <f aca="false">IF($D556="","",N($G556)*$H556)</f>
        <v/>
      </c>
      <c r="J556" s="40"/>
      <c r="K556" s="36" t="str">
        <f aca="false">IF($D556="","",IFERROR(INDEX(INSUMOS!$H$6:$H$205,MATCH($D556,INSUMOS!$A$6:$A$205,0)),IVA_VENTAS))</f>
        <v/>
      </c>
      <c r="L556" s="35" t="str">
        <f aca="false">IF($D556="","",N($J556)*$K556)</f>
        <v/>
      </c>
      <c r="M556" s="35" t="str">
        <f aca="false">IF($D556="","",N($J556)+$L556)</f>
        <v/>
      </c>
      <c r="N556" s="43" t="str">
        <f aca="false">IF($D556="","",IFERROR(N($J556)/$I556,0))</f>
        <v/>
      </c>
      <c r="O556" s="6"/>
      <c r="P556" s="6"/>
      <c r="Q556" s="46" t="str">
        <f aca="false">IF($A556="","",DATE(YEAR($A556),MONTH($A556),1))</f>
        <v/>
      </c>
      <c r="R556" s="8" t="str">
        <f aca="false">IF(OR($A556="",$D556=""),"",IF(COUNTIFS($D$6:$D$1005,$D556,$A$6:$A$1005,"&gt;"&amp;$A556)=0,1,0))</f>
        <v/>
      </c>
    </row>
    <row r="557" customFormat="false" ht="15" hidden="false" customHeight="false" outlineLevel="0" collapsed="false">
      <c r="A557" s="44"/>
      <c r="B557" s="6"/>
      <c r="C557" s="6"/>
      <c r="D557" s="6"/>
      <c r="E557" s="8" t="str">
        <f aca="false">IF($D557="","",IFERROR(INDEX(INSUMOS!$B$6:$B$205,MATCH($D557,INSUMOS!$A$6:$A$205,0)),"¿Código?"))</f>
        <v/>
      </c>
      <c r="F557" s="8" t="str">
        <f aca="false">IF($D557="","",IFERROR(INDEX(INSUMOS!$E$6:$E$205,MATCH($D557,INSUMOS!$A$6:$A$205,0)),""))</f>
        <v/>
      </c>
      <c r="G557" s="39"/>
      <c r="H557" s="45" t="str">
        <f aca="false">IF($D557="","",IFERROR(INDEX(INSUMOS!$F$6:$F$205,MATCH($D557,INSUMOS!$A$6:$A$205,0)),0))</f>
        <v/>
      </c>
      <c r="I557" s="34" t="str">
        <f aca="false">IF($D557="","",N($G557)*$H557)</f>
        <v/>
      </c>
      <c r="J557" s="40"/>
      <c r="K557" s="36" t="str">
        <f aca="false">IF($D557="","",IFERROR(INDEX(INSUMOS!$H$6:$H$205,MATCH($D557,INSUMOS!$A$6:$A$205,0)),IVA_VENTAS))</f>
        <v/>
      </c>
      <c r="L557" s="35" t="str">
        <f aca="false">IF($D557="","",N($J557)*$K557)</f>
        <v/>
      </c>
      <c r="M557" s="35" t="str">
        <f aca="false">IF($D557="","",N($J557)+$L557)</f>
        <v/>
      </c>
      <c r="N557" s="43" t="str">
        <f aca="false">IF($D557="","",IFERROR(N($J557)/$I557,0))</f>
        <v/>
      </c>
      <c r="O557" s="6"/>
      <c r="P557" s="6"/>
      <c r="Q557" s="46" t="str">
        <f aca="false">IF($A557="","",DATE(YEAR($A557),MONTH($A557),1))</f>
        <v/>
      </c>
      <c r="R557" s="8" t="str">
        <f aca="false">IF(OR($A557="",$D557=""),"",IF(COUNTIFS($D$6:$D$1005,$D557,$A$6:$A$1005,"&gt;"&amp;$A557)=0,1,0))</f>
        <v/>
      </c>
    </row>
    <row r="558" customFormat="false" ht="15" hidden="false" customHeight="false" outlineLevel="0" collapsed="false">
      <c r="A558" s="44"/>
      <c r="B558" s="6"/>
      <c r="C558" s="6"/>
      <c r="D558" s="6"/>
      <c r="E558" s="8" t="str">
        <f aca="false">IF($D558="","",IFERROR(INDEX(INSUMOS!$B$6:$B$205,MATCH($D558,INSUMOS!$A$6:$A$205,0)),"¿Código?"))</f>
        <v/>
      </c>
      <c r="F558" s="8" t="str">
        <f aca="false">IF($D558="","",IFERROR(INDEX(INSUMOS!$E$6:$E$205,MATCH($D558,INSUMOS!$A$6:$A$205,0)),""))</f>
        <v/>
      </c>
      <c r="G558" s="39"/>
      <c r="H558" s="45" t="str">
        <f aca="false">IF($D558="","",IFERROR(INDEX(INSUMOS!$F$6:$F$205,MATCH($D558,INSUMOS!$A$6:$A$205,0)),0))</f>
        <v/>
      </c>
      <c r="I558" s="34" t="str">
        <f aca="false">IF($D558="","",N($G558)*$H558)</f>
        <v/>
      </c>
      <c r="J558" s="40"/>
      <c r="K558" s="36" t="str">
        <f aca="false">IF($D558="","",IFERROR(INDEX(INSUMOS!$H$6:$H$205,MATCH($D558,INSUMOS!$A$6:$A$205,0)),IVA_VENTAS))</f>
        <v/>
      </c>
      <c r="L558" s="35" t="str">
        <f aca="false">IF($D558="","",N($J558)*$K558)</f>
        <v/>
      </c>
      <c r="M558" s="35" t="str">
        <f aca="false">IF($D558="","",N($J558)+$L558)</f>
        <v/>
      </c>
      <c r="N558" s="43" t="str">
        <f aca="false">IF($D558="","",IFERROR(N($J558)/$I558,0))</f>
        <v/>
      </c>
      <c r="O558" s="6"/>
      <c r="P558" s="6"/>
      <c r="Q558" s="46" t="str">
        <f aca="false">IF($A558="","",DATE(YEAR($A558),MONTH($A558),1))</f>
        <v/>
      </c>
      <c r="R558" s="8" t="str">
        <f aca="false">IF(OR($A558="",$D558=""),"",IF(COUNTIFS($D$6:$D$1005,$D558,$A$6:$A$1005,"&gt;"&amp;$A558)=0,1,0))</f>
        <v/>
      </c>
    </row>
    <row r="559" customFormat="false" ht="15" hidden="false" customHeight="false" outlineLevel="0" collapsed="false">
      <c r="A559" s="44"/>
      <c r="B559" s="6"/>
      <c r="C559" s="6"/>
      <c r="D559" s="6"/>
      <c r="E559" s="8" t="str">
        <f aca="false">IF($D559="","",IFERROR(INDEX(INSUMOS!$B$6:$B$205,MATCH($D559,INSUMOS!$A$6:$A$205,0)),"¿Código?"))</f>
        <v/>
      </c>
      <c r="F559" s="8" t="str">
        <f aca="false">IF($D559="","",IFERROR(INDEX(INSUMOS!$E$6:$E$205,MATCH($D559,INSUMOS!$A$6:$A$205,0)),""))</f>
        <v/>
      </c>
      <c r="G559" s="39"/>
      <c r="H559" s="45" t="str">
        <f aca="false">IF($D559="","",IFERROR(INDEX(INSUMOS!$F$6:$F$205,MATCH($D559,INSUMOS!$A$6:$A$205,0)),0))</f>
        <v/>
      </c>
      <c r="I559" s="34" t="str">
        <f aca="false">IF($D559="","",N($G559)*$H559)</f>
        <v/>
      </c>
      <c r="J559" s="40"/>
      <c r="K559" s="36" t="str">
        <f aca="false">IF($D559="","",IFERROR(INDEX(INSUMOS!$H$6:$H$205,MATCH($D559,INSUMOS!$A$6:$A$205,0)),IVA_VENTAS))</f>
        <v/>
      </c>
      <c r="L559" s="35" t="str">
        <f aca="false">IF($D559="","",N($J559)*$K559)</f>
        <v/>
      </c>
      <c r="M559" s="35" t="str">
        <f aca="false">IF($D559="","",N($J559)+$L559)</f>
        <v/>
      </c>
      <c r="N559" s="43" t="str">
        <f aca="false">IF($D559="","",IFERROR(N($J559)/$I559,0))</f>
        <v/>
      </c>
      <c r="O559" s="6"/>
      <c r="P559" s="6"/>
      <c r="Q559" s="46" t="str">
        <f aca="false">IF($A559="","",DATE(YEAR($A559),MONTH($A559),1))</f>
        <v/>
      </c>
      <c r="R559" s="8" t="str">
        <f aca="false">IF(OR($A559="",$D559=""),"",IF(COUNTIFS($D$6:$D$1005,$D559,$A$6:$A$1005,"&gt;"&amp;$A559)=0,1,0))</f>
        <v/>
      </c>
    </row>
    <row r="560" customFormat="false" ht="15" hidden="false" customHeight="false" outlineLevel="0" collapsed="false">
      <c r="A560" s="44"/>
      <c r="B560" s="6"/>
      <c r="C560" s="6"/>
      <c r="D560" s="6"/>
      <c r="E560" s="8" t="str">
        <f aca="false">IF($D560="","",IFERROR(INDEX(INSUMOS!$B$6:$B$205,MATCH($D560,INSUMOS!$A$6:$A$205,0)),"¿Código?"))</f>
        <v/>
      </c>
      <c r="F560" s="8" t="str">
        <f aca="false">IF($D560="","",IFERROR(INDEX(INSUMOS!$E$6:$E$205,MATCH($D560,INSUMOS!$A$6:$A$205,0)),""))</f>
        <v/>
      </c>
      <c r="G560" s="39"/>
      <c r="H560" s="45" t="str">
        <f aca="false">IF($D560="","",IFERROR(INDEX(INSUMOS!$F$6:$F$205,MATCH($D560,INSUMOS!$A$6:$A$205,0)),0))</f>
        <v/>
      </c>
      <c r="I560" s="34" t="str">
        <f aca="false">IF($D560="","",N($G560)*$H560)</f>
        <v/>
      </c>
      <c r="J560" s="40"/>
      <c r="K560" s="36" t="str">
        <f aca="false">IF($D560="","",IFERROR(INDEX(INSUMOS!$H$6:$H$205,MATCH($D560,INSUMOS!$A$6:$A$205,0)),IVA_VENTAS))</f>
        <v/>
      </c>
      <c r="L560" s="35" t="str">
        <f aca="false">IF($D560="","",N($J560)*$K560)</f>
        <v/>
      </c>
      <c r="M560" s="35" t="str">
        <f aca="false">IF($D560="","",N($J560)+$L560)</f>
        <v/>
      </c>
      <c r="N560" s="43" t="str">
        <f aca="false">IF($D560="","",IFERROR(N($J560)/$I560,0))</f>
        <v/>
      </c>
      <c r="O560" s="6"/>
      <c r="P560" s="6"/>
      <c r="Q560" s="46" t="str">
        <f aca="false">IF($A560="","",DATE(YEAR($A560),MONTH($A560),1))</f>
        <v/>
      </c>
      <c r="R560" s="8" t="str">
        <f aca="false">IF(OR($A560="",$D560=""),"",IF(COUNTIFS($D$6:$D$1005,$D560,$A$6:$A$1005,"&gt;"&amp;$A560)=0,1,0))</f>
        <v/>
      </c>
    </row>
    <row r="561" customFormat="false" ht="15" hidden="false" customHeight="false" outlineLevel="0" collapsed="false">
      <c r="A561" s="44"/>
      <c r="B561" s="6"/>
      <c r="C561" s="6"/>
      <c r="D561" s="6"/>
      <c r="E561" s="8" t="str">
        <f aca="false">IF($D561="","",IFERROR(INDEX(INSUMOS!$B$6:$B$205,MATCH($D561,INSUMOS!$A$6:$A$205,0)),"¿Código?"))</f>
        <v/>
      </c>
      <c r="F561" s="8" t="str">
        <f aca="false">IF($D561="","",IFERROR(INDEX(INSUMOS!$E$6:$E$205,MATCH($D561,INSUMOS!$A$6:$A$205,0)),""))</f>
        <v/>
      </c>
      <c r="G561" s="39"/>
      <c r="H561" s="45" t="str">
        <f aca="false">IF($D561="","",IFERROR(INDEX(INSUMOS!$F$6:$F$205,MATCH($D561,INSUMOS!$A$6:$A$205,0)),0))</f>
        <v/>
      </c>
      <c r="I561" s="34" t="str">
        <f aca="false">IF($D561="","",N($G561)*$H561)</f>
        <v/>
      </c>
      <c r="J561" s="40"/>
      <c r="K561" s="36" t="str">
        <f aca="false">IF($D561="","",IFERROR(INDEX(INSUMOS!$H$6:$H$205,MATCH($D561,INSUMOS!$A$6:$A$205,0)),IVA_VENTAS))</f>
        <v/>
      </c>
      <c r="L561" s="35" t="str">
        <f aca="false">IF($D561="","",N($J561)*$K561)</f>
        <v/>
      </c>
      <c r="M561" s="35" t="str">
        <f aca="false">IF($D561="","",N($J561)+$L561)</f>
        <v/>
      </c>
      <c r="N561" s="43" t="str">
        <f aca="false">IF($D561="","",IFERROR(N($J561)/$I561,0))</f>
        <v/>
      </c>
      <c r="O561" s="6"/>
      <c r="P561" s="6"/>
      <c r="Q561" s="46" t="str">
        <f aca="false">IF($A561="","",DATE(YEAR($A561),MONTH($A561),1))</f>
        <v/>
      </c>
      <c r="R561" s="8" t="str">
        <f aca="false">IF(OR($A561="",$D561=""),"",IF(COUNTIFS($D$6:$D$1005,$D561,$A$6:$A$1005,"&gt;"&amp;$A561)=0,1,0))</f>
        <v/>
      </c>
    </row>
    <row r="562" customFormat="false" ht="15" hidden="false" customHeight="false" outlineLevel="0" collapsed="false">
      <c r="A562" s="44"/>
      <c r="B562" s="6"/>
      <c r="C562" s="6"/>
      <c r="D562" s="6"/>
      <c r="E562" s="8" t="str">
        <f aca="false">IF($D562="","",IFERROR(INDEX(INSUMOS!$B$6:$B$205,MATCH($D562,INSUMOS!$A$6:$A$205,0)),"¿Código?"))</f>
        <v/>
      </c>
      <c r="F562" s="8" t="str">
        <f aca="false">IF($D562="","",IFERROR(INDEX(INSUMOS!$E$6:$E$205,MATCH($D562,INSUMOS!$A$6:$A$205,0)),""))</f>
        <v/>
      </c>
      <c r="G562" s="39"/>
      <c r="H562" s="45" t="str">
        <f aca="false">IF($D562="","",IFERROR(INDEX(INSUMOS!$F$6:$F$205,MATCH($D562,INSUMOS!$A$6:$A$205,0)),0))</f>
        <v/>
      </c>
      <c r="I562" s="34" t="str">
        <f aca="false">IF($D562="","",N($G562)*$H562)</f>
        <v/>
      </c>
      <c r="J562" s="40"/>
      <c r="K562" s="36" t="str">
        <f aca="false">IF($D562="","",IFERROR(INDEX(INSUMOS!$H$6:$H$205,MATCH($D562,INSUMOS!$A$6:$A$205,0)),IVA_VENTAS))</f>
        <v/>
      </c>
      <c r="L562" s="35" t="str">
        <f aca="false">IF($D562="","",N($J562)*$K562)</f>
        <v/>
      </c>
      <c r="M562" s="35" t="str">
        <f aca="false">IF($D562="","",N($J562)+$L562)</f>
        <v/>
      </c>
      <c r="N562" s="43" t="str">
        <f aca="false">IF($D562="","",IFERROR(N($J562)/$I562,0))</f>
        <v/>
      </c>
      <c r="O562" s="6"/>
      <c r="P562" s="6"/>
      <c r="Q562" s="46" t="str">
        <f aca="false">IF($A562="","",DATE(YEAR($A562),MONTH($A562),1))</f>
        <v/>
      </c>
      <c r="R562" s="8" t="str">
        <f aca="false">IF(OR($A562="",$D562=""),"",IF(COUNTIFS($D$6:$D$1005,$D562,$A$6:$A$1005,"&gt;"&amp;$A562)=0,1,0))</f>
        <v/>
      </c>
    </row>
    <row r="563" customFormat="false" ht="15" hidden="false" customHeight="false" outlineLevel="0" collapsed="false">
      <c r="A563" s="44"/>
      <c r="B563" s="6"/>
      <c r="C563" s="6"/>
      <c r="D563" s="6"/>
      <c r="E563" s="8" t="str">
        <f aca="false">IF($D563="","",IFERROR(INDEX(INSUMOS!$B$6:$B$205,MATCH($D563,INSUMOS!$A$6:$A$205,0)),"¿Código?"))</f>
        <v/>
      </c>
      <c r="F563" s="8" t="str">
        <f aca="false">IF($D563="","",IFERROR(INDEX(INSUMOS!$E$6:$E$205,MATCH($D563,INSUMOS!$A$6:$A$205,0)),""))</f>
        <v/>
      </c>
      <c r="G563" s="39"/>
      <c r="H563" s="45" t="str">
        <f aca="false">IF($D563="","",IFERROR(INDEX(INSUMOS!$F$6:$F$205,MATCH($D563,INSUMOS!$A$6:$A$205,0)),0))</f>
        <v/>
      </c>
      <c r="I563" s="34" t="str">
        <f aca="false">IF($D563="","",N($G563)*$H563)</f>
        <v/>
      </c>
      <c r="J563" s="40"/>
      <c r="K563" s="36" t="str">
        <f aca="false">IF($D563="","",IFERROR(INDEX(INSUMOS!$H$6:$H$205,MATCH($D563,INSUMOS!$A$6:$A$205,0)),IVA_VENTAS))</f>
        <v/>
      </c>
      <c r="L563" s="35" t="str">
        <f aca="false">IF($D563="","",N($J563)*$K563)</f>
        <v/>
      </c>
      <c r="M563" s="35" t="str">
        <f aca="false">IF($D563="","",N($J563)+$L563)</f>
        <v/>
      </c>
      <c r="N563" s="43" t="str">
        <f aca="false">IF($D563="","",IFERROR(N($J563)/$I563,0))</f>
        <v/>
      </c>
      <c r="O563" s="6"/>
      <c r="P563" s="6"/>
      <c r="Q563" s="46" t="str">
        <f aca="false">IF($A563="","",DATE(YEAR($A563),MONTH($A563),1))</f>
        <v/>
      </c>
      <c r="R563" s="8" t="str">
        <f aca="false">IF(OR($A563="",$D563=""),"",IF(COUNTIFS($D$6:$D$1005,$D563,$A$6:$A$1005,"&gt;"&amp;$A563)=0,1,0))</f>
        <v/>
      </c>
    </row>
    <row r="564" customFormat="false" ht="15" hidden="false" customHeight="false" outlineLevel="0" collapsed="false">
      <c r="A564" s="44"/>
      <c r="B564" s="6"/>
      <c r="C564" s="6"/>
      <c r="D564" s="6"/>
      <c r="E564" s="8" t="str">
        <f aca="false">IF($D564="","",IFERROR(INDEX(INSUMOS!$B$6:$B$205,MATCH($D564,INSUMOS!$A$6:$A$205,0)),"¿Código?"))</f>
        <v/>
      </c>
      <c r="F564" s="8" t="str">
        <f aca="false">IF($D564="","",IFERROR(INDEX(INSUMOS!$E$6:$E$205,MATCH($D564,INSUMOS!$A$6:$A$205,0)),""))</f>
        <v/>
      </c>
      <c r="G564" s="39"/>
      <c r="H564" s="45" t="str">
        <f aca="false">IF($D564="","",IFERROR(INDEX(INSUMOS!$F$6:$F$205,MATCH($D564,INSUMOS!$A$6:$A$205,0)),0))</f>
        <v/>
      </c>
      <c r="I564" s="34" t="str">
        <f aca="false">IF($D564="","",N($G564)*$H564)</f>
        <v/>
      </c>
      <c r="J564" s="40"/>
      <c r="K564" s="36" t="str">
        <f aca="false">IF($D564="","",IFERROR(INDEX(INSUMOS!$H$6:$H$205,MATCH($D564,INSUMOS!$A$6:$A$205,0)),IVA_VENTAS))</f>
        <v/>
      </c>
      <c r="L564" s="35" t="str">
        <f aca="false">IF($D564="","",N($J564)*$K564)</f>
        <v/>
      </c>
      <c r="M564" s="35" t="str">
        <f aca="false">IF($D564="","",N($J564)+$L564)</f>
        <v/>
      </c>
      <c r="N564" s="43" t="str">
        <f aca="false">IF($D564="","",IFERROR(N($J564)/$I564,0))</f>
        <v/>
      </c>
      <c r="O564" s="6"/>
      <c r="P564" s="6"/>
      <c r="Q564" s="46" t="str">
        <f aca="false">IF($A564="","",DATE(YEAR($A564),MONTH($A564),1))</f>
        <v/>
      </c>
      <c r="R564" s="8" t="str">
        <f aca="false">IF(OR($A564="",$D564=""),"",IF(COUNTIFS($D$6:$D$1005,$D564,$A$6:$A$1005,"&gt;"&amp;$A564)=0,1,0))</f>
        <v/>
      </c>
    </row>
    <row r="565" customFormat="false" ht="15" hidden="false" customHeight="false" outlineLevel="0" collapsed="false">
      <c r="A565" s="44"/>
      <c r="B565" s="6"/>
      <c r="C565" s="6"/>
      <c r="D565" s="6"/>
      <c r="E565" s="8" t="str">
        <f aca="false">IF($D565="","",IFERROR(INDEX(INSUMOS!$B$6:$B$205,MATCH($D565,INSUMOS!$A$6:$A$205,0)),"¿Código?"))</f>
        <v/>
      </c>
      <c r="F565" s="8" t="str">
        <f aca="false">IF($D565="","",IFERROR(INDEX(INSUMOS!$E$6:$E$205,MATCH($D565,INSUMOS!$A$6:$A$205,0)),""))</f>
        <v/>
      </c>
      <c r="G565" s="39"/>
      <c r="H565" s="45" t="str">
        <f aca="false">IF($D565="","",IFERROR(INDEX(INSUMOS!$F$6:$F$205,MATCH($D565,INSUMOS!$A$6:$A$205,0)),0))</f>
        <v/>
      </c>
      <c r="I565" s="34" t="str">
        <f aca="false">IF($D565="","",N($G565)*$H565)</f>
        <v/>
      </c>
      <c r="J565" s="40"/>
      <c r="K565" s="36" t="str">
        <f aca="false">IF($D565="","",IFERROR(INDEX(INSUMOS!$H$6:$H$205,MATCH($D565,INSUMOS!$A$6:$A$205,0)),IVA_VENTAS))</f>
        <v/>
      </c>
      <c r="L565" s="35" t="str">
        <f aca="false">IF($D565="","",N($J565)*$K565)</f>
        <v/>
      </c>
      <c r="M565" s="35" t="str">
        <f aca="false">IF($D565="","",N($J565)+$L565)</f>
        <v/>
      </c>
      <c r="N565" s="43" t="str">
        <f aca="false">IF($D565="","",IFERROR(N($J565)/$I565,0))</f>
        <v/>
      </c>
      <c r="O565" s="6"/>
      <c r="P565" s="6"/>
      <c r="Q565" s="46" t="str">
        <f aca="false">IF($A565="","",DATE(YEAR($A565),MONTH($A565),1))</f>
        <v/>
      </c>
      <c r="R565" s="8" t="str">
        <f aca="false">IF(OR($A565="",$D565=""),"",IF(COUNTIFS($D$6:$D$1005,$D565,$A$6:$A$1005,"&gt;"&amp;$A565)=0,1,0))</f>
        <v/>
      </c>
    </row>
    <row r="566" customFormat="false" ht="15" hidden="false" customHeight="false" outlineLevel="0" collapsed="false">
      <c r="A566" s="44"/>
      <c r="B566" s="6"/>
      <c r="C566" s="6"/>
      <c r="D566" s="6"/>
      <c r="E566" s="8" t="str">
        <f aca="false">IF($D566="","",IFERROR(INDEX(INSUMOS!$B$6:$B$205,MATCH($D566,INSUMOS!$A$6:$A$205,0)),"¿Código?"))</f>
        <v/>
      </c>
      <c r="F566" s="8" t="str">
        <f aca="false">IF($D566="","",IFERROR(INDEX(INSUMOS!$E$6:$E$205,MATCH($D566,INSUMOS!$A$6:$A$205,0)),""))</f>
        <v/>
      </c>
      <c r="G566" s="39"/>
      <c r="H566" s="45" t="str">
        <f aca="false">IF($D566="","",IFERROR(INDEX(INSUMOS!$F$6:$F$205,MATCH($D566,INSUMOS!$A$6:$A$205,0)),0))</f>
        <v/>
      </c>
      <c r="I566" s="34" t="str">
        <f aca="false">IF($D566="","",N($G566)*$H566)</f>
        <v/>
      </c>
      <c r="J566" s="40"/>
      <c r="K566" s="36" t="str">
        <f aca="false">IF($D566="","",IFERROR(INDEX(INSUMOS!$H$6:$H$205,MATCH($D566,INSUMOS!$A$6:$A$205,0)),IVA_VENTAS))</f>
        <v/>
      </c>
      <c r="L566" s="35" t="str">
        <f aca="false">IF($D566="","",N($J566)*$K566)</f>
        <v/>
      </c>
      <c r="M566" s="35" t="str">
        <f aca="false">IF($D566="","",N($J566)+$L566)</f>
        <v/>
      </c>
      <c r="N566" s="43" t="str">
        <f aca="false">IF($D566="","",IFERROR(N($J566)/$I566,0))</f>
        <v/>
      </c>
      <c r="O566" s="6"/>
      <c r="P566" s="6"/>
      <c r="Q566" s="46" t="str">
        <f aca="false">IF($A566="","",DATE(YEAR($A566),MONTH($A566),1))</f>
        <v/>
      </c>
      <c r="R566" s="8" t="str">
        <f aca="false">IF(OR($A566="",$D566=""),"",IF(COUNTIFS($D$6:$D$1005,$D566,$A$6:$A$1005,"&gt;"&amp;$A566)=0,1,0))</f>
        <v/>
      </c>
    </row>
    <row r="567" customFormat="false" ht="15" hidden="false" customHeight="false" outlineLevel="0" collapsed="false">
      <c r="A567" s="44"/>
      <c r="B567" s="6"/>
      <c r="C567" s="6"/>
      <c r="D567" s="6"/>
      <c r="E567" s="8" t="str">
        <f aca="false">IF($D567="","",IFERROR(INDEX(INSUMOS!$B$6:$B$205,MATCH($D567,INSUMOS!$A$6:$A$205,0)),"¿Código?"))</f>
        <v/>
      </c>
      <c r="F567" s="8" t="str">
        <f aca="false">IF($D567="","",IFERROR(INDEX(INSUMOS!$E$6:$E$205,MATCH($D567,INSUMOS!$A$6:$A$205,0)),""))</f>
        <v/>
      </c>
      <c r="G567" s="39"/>
      <c r="H567" s="45" t="str">
        <f aca="false">IF($D567="","",IFERROR(INDEX(INSUMOS!$F$6:$F$205,MATCH($D567,INSUMOS!$A$6:$A$205,0)),0))</f>
        <v/>
      </c>
      <c r="I567" s="34" t="str">
        <f aca="false">IF($D567="","",N($G567)*$H567)</f>
        <v/>
      </c>
      <c r="J567" s="40"/>
      <c r="K567" s="36" t="str">
        <f aca="false">IF($D567="","",IFERROR(INDEX(INSUMOS!$H$6:$H$205,MATCH($D567,INSUMOS!$A$6:$A$205,0)),IVA_VENTAS))</f>
        <v/>
      </c>
      <c r="L567" s="35" t="str">
        <f aca="false">IF($D567="","",N($J567)*$K567)</f>
        <v/>
      </c>
      <c r="M567" s="35" t="str">
        <f aca="false">IF($D567="","",N($J567)+$L567)</f>
        <v/>
      </c>
      <c r="N567" s="43" t="str">
        <f aca="false">IF($D567="","",IFERROR(N($J567)/$I567,0))</f>
        <v/>
      </c>
      <c r="O567" s="6"/>
      <c r="P567" s="6"/>
      <c r="Q567" s="46" t="str">
        <f aca="false">IF($A567="","",DATE(YEAR($A567),MONTH($A567),1))</f>
        <v/>
      </c>
      <c r="R567" s="8" t="str">
        <f aca="false">IF(OR($A567="",$D567=""),"",IF(COUNTIFS($D$6:$D$1005,$D567,$A$6:$A$1005,"&gt;"&amp;$A567)=0,1,0))</f>
        <v/>
      </c>
    </row>
    <row r="568" customFormat="false" ht="15" hidden="false" customHeight="false" outlineLevel="0" collapsed="false">
      <c r="A568" s="44"/>
      <c r="B568" s="6"/>
      <c r="C568" s="6"/>
      <c r="D568" s="6"/>
      <c r="E568" s="8" t="str">
        <f aca="false">IF($D568="","",IFERROR(INDEX(INSUMOS!$B$6:$B$205,MATCH($D568,INSUMOS!$A$6:$A$205,0)),"¿Código?"))</f>
        <v/>
      </c>
      <c r="F568" s="8" t="str">
        <f aca="false">IF($D568="","",IFERROR(INDEX(INSUMOS!$E$6:$E$205,MATCH($D568,INSUMOS!$A$6:$A$205,0)),""))</f>
        <v/>
      </c>
      <c r="G568" s="39"/>
      <c r="H568" s="45" t="str">
        <f aca="false">IF($D568="","",IFERROR(INDEX(INSUMOS!$F$6:$F$205,MATCH($D568,INSUMOS!$A$6:$A$205,0)),0))</f>
        <v/>
      </c>
      <c r="I568" s="34" t="str">
        <f aca="false">IF($D568="","",N($G568)*$H568)</f>
        <v/>
      </c>
      <c r="J568" s="40"/>
      <c r="K568" s="36" t="str">
        <f aca="false">IF($D568="","",IFERROR(INDEX(INSUMOS!$H$6:$H$205,MATCH($D568,INSUMOS!$A$6:$A$205,0)),IVA_VENTAS))</f>
        <v/>
      </c>
      <c r="L568" s="35" t="str">
        <f aca="false">IF($D568="","",N($J568)*$K568)</f>
        <v/>
      </c>
      <c r="M568" s="35" t="str">
        <f aca="false">IF($D568="","",N($J568)+$L568)</f>
        <v/>
      </c>
      <c r="N568" s="43" t="str">
        <f aca="false">IF($D568="","",IFERROR(N($J568)/$I568,0))</f>
        <v/>
      </c>
      <c r="O568" s="6"/>
      <c r="P568" s="6"/>
      <c r="Q568" s="46" t="str">
        <f aca="false">IF($A568="","",DATE(YEAR($A568),MONTH($A568),1))</f>
        <v/>
      </c>
      <c r="R568" s="8" t="str">
        <f aca="false">IF(OR($A568="",$D568=""),"",IF(COUNTIFS($D$6:$D$1005,$D568,$A$6:$A$1005,"&gt;"&amp;$A568)=0,1,0))</f>
        <v/>
      </c>
    </row>
    <row r="569" customFormat="false" ht="15" hidden="false" customHeight="false" outlineLevel="0" collapsed="false">
      <c r="A569" s="44"/>
      <c r="B569" s="6"/>
      <c r="C569" s="6"/>
      <c r="D569" s="6"/>
      <c r="E569" s="8" t="str">
        <f aca="false">IF($D569="","",IFERROR(INDEX(INSUMOS!$B$6:$B$205,MATCH($D569,INSUMOS!$A$6:$A$205,0)),"¿Código?"))</f>
        <v/>
      </c>
      <c r="F569" s="8" t="str">
        <f aca="false">IF($D569="","",IFERROR(INDEX(INSUMOS!$E$6:$E$205,MATCH($D569,INSUMOS!$A$6:$A$205,0)),""))</f>
        <v/>
      </c>
      <c r="G569" s="39"/>
      <c r="H569" s="45" t="str">
        <f aca="false">IF($D569="","",IFERROR(INDEX(INSUMOS!$F$6:$F$205,MATCH($D569,INSUMOS!$A$6:$A$205,0)),0))</f>
        <v/>
      </c>
      <c r="I569" s="34" t="str">
        <f aca="false">IF($D569="","",N($G569)*$H569)</f>
        <v/>
      </c>
      <c r="J569" s="40"/>
      <c r="K569" s="36" t="str">
        <f aca="false">IF($D569="","",IFERROR(INDEX(INSUMOS!$H$6:$H$205,MATCH($D569,INSUMOS!$A$6:$A$205,0)),IVA_VENTAS))</f>
        <v/>
      </c>
      <c r="L569" s="35" t="str">
        <f aca="false">IF($D569="","",N($J569)*$K569)</f>
        <v/>
      </c>
      <c r="M569" s="35" t="str">
        <f aca="false">IF($D569="","",N($J569)+$L569)</f>
        <v/>
      </c>
      <c r="N569" s="43" t="str">
        <f aca="false">IF($D569="","",IFERROR(N($J569)/$I569,0))</f>
        <v/>
      </c>
      <c r="O569" s="6"/>
      <c r="P569" s="6"/>
      <c r="Q569" s="46" t="str">
        <f aca="false">IF($A569="","",DATE(YEAR($A569),MONTH($A569),1))</f>
        <v/>
      </c>
      <c r="R569" s="8" t="str">
        <f aca="false">IF(OR($A569="",$D569=""),"",IF(COUNTIFS($D$6:$D$1005,$D569,$A$6:$A$1005,"&gt;"&amp;$A569)=0,1,0))</f>
        <v/>
      </c>
    </row>
    <row r="570" customFormat="false" ht="15" hidden="false" customHeight="false" outlineLevel="0" collapsed="false">
      <c r="A570" s="44"/>
      <c r="B570" s="6"/>
      <c r="C570" s="6"/>
      <c r="D570" s="6"/>
      <c r="E570" s="8" t="str">
        <f aca="false">IF($D570="","",IFERROR(INDEX(INSUMOS!$B$6:$B$205,MATCH($D570,INSUMOS!$A$6:$A$205,0)),"¿Código?"))</f>
        <v/>
      </c>
      <c r="F570" s="8" t="str">
        <f aca="false">IF($D570="","",IFERROR(INDEX(INSUMOS!$E$6:$E$205,MATCH($D570,INSUMOS!$A$6:$A$205,0)),""))</f>
        <v/>
      </c>
      <c r="G570" s="39"/>
      <c r="H570" s="45" t="str">
        <f aca="false">IF($D570="","",IFERROR(INDEX(INSUMOS!$F$6:$F$205,MATCH($D570,INSUMOS!$A$6:$A$205,0)),0))</f>
        <v/>
      </c>
      <c r="I570" s="34" t="str">
        <f aca="false">IF($D570="","",N($G570)*$H570)</f>
        <v/>
      </c>
      <c r="J570" s="40"/>
      <c r="K570" s="36" t="str">
        <f aca="false">IF($D570="","",IFERROR(INDEX(INSUMOS!$H$6:$H$205,MATCH($D570,INSUMOS!$A$6:$A$205,0)),IVA_VENTAS))</f>
        <v/>
      </c>
      <c r="L570" s="35" t="str">
        <f aca="false">IF($D570="","",N($J570)*$K570)</f>
        <v/>
      </c>
      <c r="M570" s="35" t="str">
        <f aca="false">IF($D570="","",N($J570)+$L570)</f>
        <v/>
      </c>
      <c r="N570" s="43" t="str">
        <f aca="false">IF($D570="","",IFERROR(N($J570)/$I570,0))</f>
        <v/>
      </c>
      <c r="O570" s="6"/>
      <c r="P570" s="6"/>
      <c r="Q570" s="46" t="str">
        <f aca="false">IF($A570="","",DATE(YEAR($A570),MONTH($A570),1))</f>
        <v/>
      </c>
      <c r="R570" s="8" t="str">
        <f aca="false">IF(OR($A570="",$D570=""),"",IF(COUNTIFS($D$6:$D$1005,$D570,$A$6:$A$1005,"&gt;"&amp;$A570)=0,1,0))</f>
        <v/>
      </c>
    </row>
    <row r="571" customFormat="false" ht="15" hidden="false" customHeight="false" outlineLevel="0" collapsed="false">
      <c r="A571" s="44"/>
      <c r="B571" s="6"/>
      <c r="C571" s="6"/>
      <c r="D571" s="6"/>
      <c r="E571" s="8" t="str">
        <f aca="false">IF($D571="","",IFERROR(INDEX(INSUMOS!$B$6:$B$205,MATCH($D571,INSUMOS!$A$6:$A$205,0)),"¿Código?"))</f>
        <v/>
      </c>
      <c r="F571" s="8" t="str">
        <f aca="false">IF($D571="","",IFERROR(INDEX(INSUMOS!$E$6:$E$205,MATCH($D571,INSUMOS!$A$6:$A$205,0)),""))</f>
        <v/>
      </c>
      <c r="G571" s="39"/>
      <c r="H571" s="45" t="str">
        <f aca="false">IF($D571="","",IFERROR(INDEX(INSUMOS!$F$6:$F$205,MATCH($D571,INSUMOS!$A$6:$A$205,0)),0))</f>
        <v/>
      </c>
      <c r="I571" s="34" t="str">
        <f aca="false">IF($D571="","",N($G571)*$H571)</f>
        <v/>
      </c>
      <c r="J571" s="40"/>
      <c r="K571" s="36" t="str">
        <f aca="false">IF($D571="","",IFERROR(INDEX(INSUMOS!$H$6:$H$205,MATCH($D571,INSUMOS!$A$6:$A$205,0)),IVA_VENTAS))</f>
        <v/>
      </c>
      <c r="L571" s="35" t="str">
        <f aca="false">IF($D571="","",N($J571)*$K571)</f>
        <v/>
      </c>
      <c r="M571" s="35" t="str">
        <f aca="false">IF($D571="","",N($J571)+$L571)</f>
        <v/>
      </c>
      <c r="N571" s="43" t="str">
        <f aca="false">IF($D571="","",IFERROR(N($J571)/$I571,0))</f>
        <v/>
      </c>
      <c r="O571" s="6"/>
      <c r="P571" s="6"/>
      <c r="Q571" s="46" t="str">
        <f aca="false">IF($A571="","",DATE(YEAR($A571),MONTH($A571),1))</f>
        <v/>
      </c>
      <c r="R571" s="8" t="str">
        <f aca="false">IF(OR($A571="",$D571=""),"",IF(COUNTIFS($D$6:$D$1005,$D571,$A$6:$A$1005,"&gt;"&amp;$A571)=0,1,0))</f>
        <v/>
      </c>
    </row>
    <row r="572" customFormat="false" ht="15" hidden="false" customHeight="false" outlineLevel="0" collapsed="false">
      <c r="A572" s="44"/>
      <c r="B572" s="6"/>
      <c r="C572" s="6"/>
      <c r="D572" s="6"/>
      <c r="E572" s="8" t="str">
        <f aca="false">IF($D572="","",IFERROR(INDEX(INSUMOS!$B$6:$B$205,MATCH($D572,INSUMOS!$A$6:$A$205,0)),"¿Código?"))</f>
        <v/>
      </c>
      <c r="F572" s="8" t="str">
        <f aca="false">IF($D572="","",IFERROR(INDEX(INSUMOS!$E$6:$E$205,MATCH($D572,INSUMOS!$A$6:$A$205,0)),""))</f>
        <v/>
      </c>
      <c r="G572" s="39"/>
      <c r="H572" s="45" t="str">
        <f aca="false">IF($D572="","",IFERROR(INDEX(INSUMOS!$F$6:$F$205,MATCH($D572,INSUMOS!$A$6:$A$205,0)),0))</f>
        <v/>
      </c>
      <c r="I572" s="34" t="str">
        <f aca="false">IF($D572="","",N($G572)*$H572)</f>
        <v/>
      </c>
      <c r="J572" s="40"/>
      <c r="K572" s="36" t="str">
        <f aca="false">IF($D572="","",IFERROR(INDEX(INSUMOS!$H$6:$H$205,MATCH($D572,INSUMOS!$A$6:$A$205,0)),IVA_VENTAS))</f>
        <v/>
      </c>
      <c r="L572" s="35" t="str">
        <f aca="false">IF($D572="","",N($J572)*$K572)</f>
        <v/>
      </c>
      <c r="M572" s="35" t="str">
        <f aca="false">IF($D572="","",N($J572)+$L572)</f>
        <v/>
      </c>
      <c r="N572" s="43" t="str">
        <f aca="false">IF($D572="","",IFERROR(N($J572)/$I572,0))</f>
        <v/>
      </c>
      <c r="O572" s="6"/>
      <c r="P572" s="6"/>
      <c r="Q572" s="46" t="str">
        <f aca="false">IF($A572="","",DATE(YEAR($A572),MONTH($A572),1))</f>
        <v/>
      </c>
      <c r="R572" s="8" t="str">
        <f aca="false">IF(OR($A572="",$D572=""),"",IF(COUNTIFS($D$6:$D$1005,$D572,$A$6:$A$1005,"&gt;"&amp;$A572)=0,1,0))</f>
        <v/>
      </c>
    </row>
    <row r="573" customFormat="false" ht="15" hidden="false" customHeight="false" outlineLevel="0" collapsed="false">
      <c r="A573" s="44"/>
      <c r="B573" s="6"/>
      <c r="C573" s="6"/>
      <c r="D573" s="6"/>
      <c r="E573" s="8" t="str">
        <f aca="false">IF($D573="","",IFERROR(INDEX(INSUMOS!$B$6:$B$205,MATCH($D573,INSUMOS!$A$6:$A$205,0)),"¿Código?"))</f>
        <v/>
      </c>
      <c r="F573" s="8" t="str">
        <f aca="false">IF($D573="","",IFERROR(INDEX(INSUMOS!$E$6:$E$205,MATCH($D573,INSUMOS!$A$6:$A$205,0)),""))</f>
        <v/>
      </c>
      <c r="G573" s="39"/>
      <c r="H573" s="45" t="str">
        <f aca="false">IF($D573="","",IFERROR(INDEX(INSUMOS!$F$6:$F$205,MATCH($D573,INSUMOS!$A$6:$A$205,0)),0))</f>
        <v/>
      </c>
      <c r="I573" s="34" t="str">
        <f aca="false">IF($D573="","",N($G573)*$H573)</f>
        <v/>
      </c>
      <c r="J573" s="40"/>
      <c r="K573" s="36" t="str">
        <f aca="false">IF($D573="","",IFERROR(INDEX(INSUMOS!$H$6:$H$205,MATCH($D573,INSUMOS!$A$6:$A$205,0)),IVA_VENTAS))</f>
        <v/>
      </c>
      <c r="L573" s="35" t="str">
        <f aca="false">IF($D573="","",N($J573)*$K573)</f>
        <v/>
      </c>
      <c r="M573" s="35" t="str">
        <f aca="false">IF($D573="","",N($J573)+$L573)</f>
        <v/>
      </c>
      <c r="N573" s="43" t="str">
        <f aca="false">IF($D573="","",IFERROR(N($J573)/$I573,0))</f>
        <v/>
      </c>
      <c r="O573" s="6"/>
      <c r="P573" s="6"/>
      <c r="Q573" s="46" t="str">
        <f aca="false">IF($A573="","",DATE(YEAR($A573),MONTH($A573),1))</f>
        <v/>
      </c>
      <c r="R573" s="8" t="str">
        <f aca="false">IF(OR($A573="",$D573=""),"",IF(COUNTIFS($D$6:$D$1005,$D573,$A$6:$A$1005,"&gt;"&amp;$A573)=0,1,0))</f>
        <v/>
      </c>
    </row>
    <row r="574" customFormat="false" ht="15" hidden="false" customHeight="false" outlineLevel="0" collapsed="false">
      <c r="A574" s="44"/>
      <c r="B574" s="6"/>
      <c r="C574" s="6"/>
      <c r="D574" s="6"/>
      <c r="E574" s="8" t="str">
        <f aca="false">IF($D574="","",IFERROR(INDEX(INSUMOS!$B$6:$B$205,MATCH($D574,INSUMOS!$A$6:$A$205,0)),"¿Código?"))</f>
        <v/>
      </c>
      <c r="F574" s="8" t="str">
        <f aca="false">IF($D574="","",IFERROR(INDEX(INSUMOS!$E$6:$E$205,MATCH($D574,INSUMOS!$A$6:$A$205,0)),""))</f>
        <v/>
      </c>
      <c r="G574" s="39"/>
      <c r="H574" s="45" t="str">
        <f aca="false">IF($D574="","",IFERROR(INDEX(INSUMOS!$F$6:$F$205,MATCH($D574,INSUMOS!$A$6:$A$205,0)),0))</f>
        <v/>
      </c>
      <c r="I574" s="34" t="str">
        <f aca="false">IF($D574="","",N($G574)*$H574)</f>
        <v/>
      </c>
      <c r="J574" s="40"/>
      <c r="K574" s="36" t="str">
        <f aca="false">IF($D574="","",IFERROR(INDEX(INSUMOS!$H$6:$H$205,MATCH($D574,INSUMOS!$A$6:$A$205,0)),IVA_VENTAS))</f>
        <v/>
      </c>
      <c r="L574" s="35" t="str">
        <f aca="false">IF($D574="","",N($J574)*$K574)</f>
        <v/>
      </c>
      <c r="M574" s="35" t="str">
        <f aca="false">IF($D574="","",N($J574)+$L574)</f>
        <v/>
      </c>
      <c r="N574" s="43" t="str">
        <f aca="false">IF($D574="","",IFERROR(N($J574)/$I574,0))</f>
        <v/>
      </c>
      <c r="O574" s="6"/>
      <c r="P574" s="6"/>
      <c r="Q574" s="46" t="str">
        <f aca="false">IF($A574="","",DATE(YEAR($A574),MONTH($A574),1))</f>
        <v/>
      </c>
      <c r="R574" s="8" t="str">
        <f aca="false">IF(OR($A574="",$D574=""),"",IF(COUNTIFS($D$6:$D$1005,$D574,$A$6:$A$1005,"&gt;"&amp;$A574)=0,1,0))</f>
        <v/>
      </c>
    </row>
    <row r="575" customFormat="false" ht="15" hidden="false" customHeight="false" outlineLevel="0" collapsed="false">
      <c r="A575" s="44"/>
      <c r="B575" s="6"/>
      <c r="C575" s="6"/>
      <c r="D575" s="6"/>
      <c r="E575" s="8" t="str">
        <f aca="false">IF($D575="","",IFERROR(INDEX(INSUMOS!$B$6:$B$205,MATCH($D575,INSUMOS!$A$6:$A$205,0)),"¿Código?"))</f>
        <v/>
      </c>
      <c r="F575" s="8" t="str">
        <f aca="false">IF($D575="","",IFERROR(INDEX(INSUMOS!$E$6:$E$205,MATCH($D575,INSUMOS!$A$6:$A$205,0)),""))</f>
        <v/>
      </c>
      <c r="G575" s="39"/>
      <c r="H575" s="45" t="str">
        <f aca="false">IF($D575="","",IFERROR(INDEX(INSUMOS!$F$6:$F$205,MATCH($D575,INSUMOS!$A$6:$A$205,0)),0))</f>
        <v/>
      </c>
      <c r="I575" s="34" t="str">
        <f aca="false">IF($D575="","",N($G575)*$H575)</f>
        <v/>
      </c>
      <c r="J575" s="40"/>
      <c r="K575" s="36" t="str">
        <f aca="false">IF($D575="","",IFERROR(INDEX(INSUMOS!$H$6:$H$205,MATCH($D575,INSUMOS!$A$6:$A$205,0)),IVA_VENTAS))</f>
        <v/>
      </c>
      <c r="L575" s="35" t="str">
        <f aca="false">IF($D575="","",N($J575)*$K575)</f>
        <v/>
      </c>
      <c r="M575" s="35" t="str">
        <f aca="false">IF($D575="","",N($J575)+$L575)</f>
        <v/>
      </c>
      <c r="N575" s="43" t="str">
        <f aca="false">IF($D575="","",IFERROR(N($J575)/$I575,0))</f>
        <v/>
      </c>
      <c r="O575" s="6"/>
      <c r="P575" s="6"/>
      <c r="Q575" s="46" t="str">
        <f aca="false">IF($A575="","",DATE(YEAR($A575),MONTH($A575),1))</f>
        <v/>
      </c>
      <c r="R575" s="8" t="str">
        <f aca="false">IF(OR($A575="",$D575=""),"",IF(COUNTIFS($D$6:$D$1005,$D575,$A$6:$A$1005,"&gt;"&amp;$A575)=0,1,0))</f>
        <v/>
      </c>
    </row>
    <row r="576" customFormat="false" ht="15" hidden="false" customHeight="false" outlineLevel="0" collapsed="false">
      <c r="A576" s="44"/>
      <c r="B576" s="6"/>
      <c r="C576" s="6"/>
      <c r="D576" s="6"/>
      <c r="E576" s="8" t="str">
        <f aca="false">IF($D576="","",IFERROR(INDEX(INSUMOS!$B$6:$B$205,MATCH($D576,INSUMOS!$A$6:$A$205,0)),"¿Código?"))</f>
        <v/>
      </c>
      <c r="F576" s="8" t="str">
        <f aca="false">IF($D576="","",IFERROR(INDEX(INSUMOS!$E$6:$E$205,MATCH($D576,INSUMOS!$A$6:$A$205,0)),""))</f>
        <v/>
      </c>
      <c r="G576" s="39"/>
      <c r="H576" s="45" t="str">
        <f aca="false">IF($D576="","",IFERROR(INDEX(INSUMOS!$F$6:$F$205,MATCH($D576,INSUMOS!$A$6:$A$205,0)),0))</f>
        <v/>
      </c>
      <c r="I576" s="34" t="str">
        <f aca="false">IF($D576="","",N($G576)*$H576)</f>
        <v/>
      </c>
      <c r="J576" s="40"/>
      <c r="K576" s="36" t="str">
        <f aca="false">IF($D576="","",IFERROR(INDEX(INSUMOS!$H$6:$H$205,MATCH($D576,INSUMOS!$A$6:$A$205,0)),IVA_VENTAS))</f>
        <v/>
      </c>
      <c r="L576" s="35" t="str">
        <f aca="false">IF($D576="","",N($J576)*$K576)</f>
        <v/>
      </c>
      <c r="M576" s="35" t="str">
        <f aca="false">IF($D576="","",N($J576)+$L576)</f>
        <v/>
      </c>
      <c r="N576" s="43" t="str">
        <f aca="false">IF($D576="","",IFERROR(N($J576)/$I576,0))</f>
        <v/>
      </c>
      <c r="O576" s="6"/>
      <c r="P576" s="6"/>
      <c r="Q576" s="46" t="str">
        <f aca="false">IF($A576="","",DATE(YEAR($A576),MONTH($A576),1))</f>
        <v/>
      </c>
      <c r="R576" s="8" t="str">
        <f aca="false">IF(OR($A576="",$D576=""),"",IF(COUNTIFS($D$6:$D$1005,$D576,$A$6:$A$1005,"&gt;"&amp;$A576)=0,1,0))</f>
        <v/>
      </c>
    </row>
    <row r="577" customFormat="false" ht="15" hidden="false" customHeight="false" outlineLevel="0" collapsed="false">
      <c r="A577" s="44"/>
      <c r="B577" s="6"/>
      <c r="C577" s="6"/>
      <c r="D577" s="6"/>
      <c r="E577" s="8" t="str">
        <f aca="false">IF($D577="","",IFERROR(INDEX(INSUMOS!$B$6:$B$205,MATCH($D577,INSUMOS!$A$6:$A$205,0)),"¿Código?"))</f>
        <v/>
      </c>
      <c r="F577" s="8" t="str">
        <f aca="false">IF($D577="","",IFERROR(INDEX(INSUMOS!$E$6:$E$205,MATCH($D577,INSUMOS!$A$6:$A$205,0)),""))</f>
        <v/>
      </c>
      <c r="G577" s="39"/>
      <c r="H577" s="45" t="str">
        <f aca="false">IF($D577="","",IFERROR(INDEX(INSUMOS!$F$6:$F$205,MATCH($D577,INSUMOS!$A$6:$A$205,0)),0))</f>
        <v/>
      </c>
      <c r="I577" s="34" t="str">
        <f aca="false">IF($D577="","",N($G577)*$H577)</f>
        <v/>
      </c>
      <c r="J577" s="40"/>
      <c r="K577" s="36" t="str">
        <f aca="false">IF($D577="","",IFERROR(INDEX(INSUMOS!$H$6:$H$205,MATCH($D577,INSUMOS!$A$6:$A$205,0)),IVA_VENTAS))</f>
        <v/>
      </c>
      <c r="L577" s="35" t="str">
        <f aca="false">IF($D577="","",N($J577)*$K577)</f>
        <v/>
      </c>
      <c r="M577" s="35" t="str">
        <f aca="false">IF($D577="","",N($J577)+$L577)</f>
        <v/>
      </c>
      <c r="N577" s="43" t="str">
        <f aca="false">IF($D577="","",IFERROR(N($J577)/$I577,0))</f>
        <v/>
      </c>
      <c r="O577" s="6"/>
      <c r="P577" s="6"/>
      <c r="Q577" s="46" t="str">
        <f aca="false">IF($A577="","",DATE(YEAR($A577),MONTH($A577),1))</f>
        <v/>
      </c>
      <c r="R577" s="8" t="str">
        <f aca="false">IF(OR($A577="",$D577=""),"",IF(COUNTIFS($D$6:$D$1005,$D577,$A$6:$A$1005,"&gt;"&amp;$A577)=0,1,0))</f>
        <v/>
      </c>
    </row>
    <row r="578" customFormat="false" ht="15" hidden="false" customHeight="false" outlineLevel="0" collapsed="false">
      <c r="A578" s="44"/>
      <c r="B578" s="6"/>
      <c r="C578" s="6"/>
      <c r="D578" s="6"/>
      <c r="E578" s="8" t="str">
        <f aca="false">IF($D578="","",IFERROR(INDEX(INSUMOS!$B$6:$B$205,MATCH($D578,INSUMOS!$A$6:$A$205,0)),"¿Código?"))</f>
        <v/>
      </c>
      <c r="F578" s="8" t="str">
        <f aca="false">IF($D578="","",IFERROR(INDEX(INSUMOS!$E$6:$E$205,MATCH($D578,INSUMOS!$A$6:$A$205,0)),""))</f>
        <v/>
      </c>
      <c r="G578" s="39"/>
      <c r="H578" s="45" t="str">
        <f aca="false">IF($D578="","",IFERROR(INDEX(INSUMOS!$F$6:$F$205,MATCH($D578,INSUMOS!$A$6:$A$205,0)),0))</f>
        <v/>
      </c>
      <c r="I578" s="34" t="str">
        <f aca="false">IF($D578="","",N($G578)*$H578)</f>
        <v/>
      </c>
      <c r="J578" s="40"/>
      <c r="K578" s="36" t="str">
        <f aca="false">IF($D578="","",IFERROR(INDEX(INSUMOS!$H$6:$H$205,MATCH($D578,INSUMOS!$A$6:$A$205,0)),IVA_VENTAS))</f>
        <v/>
      </c>
      <c r="L578" s="35" t="str">
        <f aca="false">IF($D578="","",N($J578)*$K578)</f>
        <v/>
      </c>
      <c r="M578" s="35" t="str">
        <f aca="false">IF($D578="","",N($J578)+$L578)</f>
        <v/>
      </c>
      <c r="N578" s="43" t="str">
        <f aca="false">IF($D578="","",IFERROR(N($J578)/$I578,0))</f>
        <v/>
      </c>
      <c r="O578" s="6"/>
      <c r="P578" s="6"/>
      <c r="Q578" s="46" t="str">
        <f aca="false">IF($A578="","",DATE(YEAR($A578),MONTH($A578),1))</f>
        <v/>
      </c>
      <c r="R578" s="8" t="str">
        <f aca="false">IF(OR($A578="",$D578=""),"",IF(COUNTIFS($D$6:$D$1005,$D578,$A$6:$A$1005,"&gt;"&amp;$A578)=0,1,0))</f>
        <v/>
      </c>
    </row>
    <row r="579" customFormat="false" ht="15" hidden="false" customHeight="false" outlineLevel="0" collapsed="false">
      <c r="A579" s="44"/>
      <c r="B579" s="6"/>
      <c r="C579" s="6"/>
      <c r="D579" s="6"/>
      <c r="E579" s="8" t="str">
        <f aca="false">IF($D579="","",IFERROR(INDEX(INSUMOS!$B$6:$B$205,MATCH($D579,INSUMOS!$A$6:$A$205,0)),"¿Código?"))</f>
        <v/>
      </c>
      <c r="F579" s="8" t="str">
        <f aca="false">IF($D579="","",IFERROR(INDEX(INSUMOS!$E$6:$E$205,MATCH($D579,INSUMOS!$A$6:$A$205,0)),""))</f>
        <v/>
      </c>
      <c r="G579" s="39"/>
      <c r="H579" s="45" t="str">
        <f aca="false">IF($D579="","",IFERROR(INDEX(INSUMOS!$F$6:$F$205,MATCH($D579,INSUMOS!$A$6:$A$205,0)),0))</f>
        <v/>
      </c>
      <c r="I579" s="34" t="str">
        <f aca="false">IF($D579="","",N($G579)*$H579)</f>
        <v/>
      </c>
      <c r="J579" s="40"/>
      <c r="K579" s="36" t="str">
        <f aca="false">IF($D579="","",IFERROR(INDEX(INSUMOS!$H$6:$H$205,MATCH($D579,INSUMOS!$A$6:$A$205,0)),IVA_VENTAS))</f>
        <v/>
      </c>
      <c r="L579" s="35" t="str">
        <f aca="false">IF($D579="","",N($J579)*$K579)</f>
        <v/>
      </c>
      <c r="M579" s="35" t="str">
        <f aca="false">IF($D579="","",N($J579)+$L579)</f>
        <v/>
      </c>
      <c r="N579" s="43" t="str">
        <f aca="false">IF($D579="","",IFERROR(N($J579)/$I579,0))</f>
        <v/>
      </c>
      <c r="O579" s="6"/>
      <c r="P579" s="6"/>
      <c r="Q579" s="46" t="str">
        <f aca="false">IF($A579="","",DATE(YEAR($A579),MONTH($A579),1))</f>
        <v/>
      </c>
      <c r="R579" s="8" t="str">
        <f aca="false">IF(OR($A579="",$D579=""),"",IF(COUNTIFS($D$6:$D$1005,$D579,$A$6:$A$1005,"&gt;"&amp;$A579)=0,1,0))</f>
        <v/>
      </c>
    </row>
    <row r="580" customFormat="false" ht="15" hidden="false" customHeight="false" outlineLevel="0" collapsed="false">
      <c r="A580" s="44"/>
      <c r="B580" s="6"/>
      <c r="C580" s="6"/>
      <c r="D580" s="6"/>
      <c r="E580" s="8" t="str">
        <f aca="false">IF($D580="","",IFERROR(INDEX(INSUMOS!$B$6:$B$205,MATCH($D580,INSUMOS!$A$6:$A$205,0)),"¿Código?"))</f>
        <v/>
      </c>
      <c r="F580" s="8" t="str">
        <f aca="false">IF($D580="","",IFERROR(INDEX(INSUMOS!$E$6:$E$205,MATCH($D580,INSUMOS!$A$6:$A$205,0)),""))</f>
        <v/>
      </c>
      <c r="G580" s="39"/>
      <c r="H580" s="45" t="str">
        <f aca="false">IF($D580="","",IFERROR(INDEX(INSUMOS!$F$6:$F$205,MATCH($D580,INSUMOS!$A$6:$A$205,0)),0))</f>
        <v/>
      </c>
      <c r="I580" s="34" t="str">
        <f aca="false">IF($D580="","",N($G580)*$H580)</f>
        <v/>
      </c>
      <c r="J580" s="40"/>
      <c r="K580" s="36" t="str">
        <f aca="false">IF($D580="","",IFERROR(INDEX(INSUMOS!$H$6:$H$205,MATCH($D580,INSUMOS!$A$6:$A$205,0)),IVA_VENTAS))</f>
        <v/>
      </c>
      <c r="L580" s="35" t="str">
        <f aca="false">IF($D580="","",N($J580)*$K580)</f>
        <v/>
      </c>
      <c r="M580" s="35" t="str">
        <f aca="false">IF($D580="","",N($J580)+$L580)</f>
        <v/>
      </c>
      <c r="N580" s="43" t="str">
        <f aca="false">IF($D580="","",IFERROR(N($J580)/$I580,0))</f>
        <v/>
      </c>
      <c r="O580" s="6"/>
      <c r="P580" s="6"/>
      <c r="Q580" s="46" t="str">
        <f aca="false">IF($A580="","",DATE(YEAR($A580),MONTH($A580),1))</f>
        <v/>
      </c>
      <c r="R580" s="8" t="str">
        <f aca="false">IF(OR($A580="",$D580=""),"",IF(COUNTIFS($D$6:$D$1005,$D580,$A$6:$A$1005,"&gt;"&amp;$A580)=0,1,0))</f>
        <v/>
      </c>
    </row>
    <row r="581" customFormat="false" ht="15" hidden="false" customHeight="false" outlineLevel="0" collapsed="false">
      <c r="A581" s="44"/>
      <c r="B581" s="6"/>
      <c r="C581" s="6"/>
      <c r="D581" s="6"/>
      <c r="E581" s="8" t="str">
        <f aca="false">IF($D581="","",IFERROR(INDEX(INSUMOS!$B$6:$B$205,MATCH($D581,INSUMOS!$A$6:$A$205,0)),"¿Código?"))</f>
        <v/>
      </c>
      <c r="F581" s="8" t="str">
        <f aca="false">IF($D581="","",IFERROR(INDEX(INSUMOS!$E$6:$E$205,MATCH($D581,INSUMOS!$A$6:$A$205,0)),""))</f>
        <v/>
      </c>
      <c r="G581" s="39"/>
      <c r="H581" s="45" t="str">
        <f aca="false">IF($D581="","",IFERROR(INDEX(INSUMOS!$F$6:$F$205,MATCH($D581,INSUMOS!$A$6:$A$205,0)),0))</f>
        <v/>
      </c>
      <c r="I581" s="34" t="str">
        <f aca="false">IF($D581="","",N($G581)*$H581)</f>
        <v/>
      </c>
      <c r="J581" s="40"/>
      <c r="K581" s="36" t="str">
        <f aca="false">IF($D581="","",IFERROR(INDEX(INSUMOS!$H$6:$H$205,MATCH($D581,INSUMOS!$A$6:$A$205,0)),IVA_VENTAS))</f>
        <v/>
      </c>
      <c r="L581" s="35" t="str">
        <f aca="false">IF($D581="","",N($J581)*$K581)</f>
        <v/>
      </c>
      <c r="M581" s="35" t="str">
        <f aca="false">IF($D581="","",N($J581)+$L581)</f>
        <v/>
      </c>
      <c r="N581" s="43" t="str">
        <f aca="false">IF($D581="","",IFERROR(N($J581)/$I581,0))</f>
        <v/>
      </c>
      <c r="O581" s="6"/>
      <c r="P581" s="6"/>
      <c r="Q581" s="46" t="str">
        <f aca="false">IF($A581="","",DATE(YEAR($A581),MONTH($A581),1))</f>
        <v/>
      </c>
      <c r="R581" s="8" t="str">
        <f aca="false">IF(OR($A581="",$D581=""),"",IF(COUNTIFS($D$6:$D$1005,$D581,$A$6:$A$1005,"&gt;"&amp;$A581)=0,1,0))</f>
        <v/>
      </c>
    </row>
    <row r="582" customFormat="false" ht="15" hidden="false" customHeight="false" outlineLevel="0" collapsed="false">
      <c r="A582" s="44"/>
      <c r="B582" s="6"/>
      <c r="C582" s="6"/>
      <c r="D582" s="6"/>
      <c r="E582" s="8" t="str">
        <f aca="false">IF($D582="","",IFERROR(INDEX(INSUMOS!$B$6:$B$205,MATCH($D582,INSUMOS!$A$6:$A$205,0)),"¿Código?"))</f>
        <v/>
      </c>
      <c r="F582" s="8" t="str">
        <f aca="false">IF($D582="","",IFERROR(INDEX(INSUMOS!$E$6:$E$205,MATCH($D582,INSUMOS!$A$6:$A$205,0)),""))</f>
        <v/>
      </c>
      <c r="G582" s="39"/>
      <c r="H582" s="45" t="str">
        <f aca="false">IF($D582="","",IFERROR(INDEX(INSUMOS!$F$6:$F$205,MATCH($D582,INSUMOS!$A$6:$A$205,0)),0))</f>
        <v/>
      </c>
      <c r="I582" s="34" t="str">
        <f aca="false">IF($D582="","",N($G582)*$H582)</f>
        <v/>
      </c>
      <c r="J582" s="40"/>
      <c r="K582" s="36" t="str">
        <f aca="false">IF($D582="","",IFERROR(INDEX(INSUMOS!$H$6:$H$205,MATCH($D582,INSUMOS!$A$6:$A$205,0)),IVA_VENTAS))</f>
        <v/>
      </c>
      <c r="L582" s="35" t="str">
        <f aca="false">IF($D582="","",N($J582)*$K582)</f>
        <v/>
      </c>
      <c r="M582" s="35" t="str">
        <f aca="false">IF($D582="","",N($J582)+$L582)</f>
        <v/>
      </c>
      <c r="N582" s="43" t="str">
        <f aca="false">IF($D582="","",IFERROR(N($J582)/$I582,0))</f>
        <v/>
      </c>
      <c r="O582" s="6"/>
      <c r="P582" s="6"/>
      <c r="Q582" s="46" t="str">
        <f aca="false">IF($A582="","",DATE(YEAR($A582),MONTH($A582),1))</f>
        <v/>
      </c>
      <c r="R582" s="8" t="str">
        <f aca="false">IF(OR($A582="",$D582=""),"",IF(COUNTIFS($D$6:$D$1005,$D582,$A$6:$A$1005,"&gt;"&amp;$A582)=0,1,0))</f>
        <v/>
      </c>
    </row>
    <row r="583" customFormat="false" ht="15" hidden="false" customHeight="false" outlineLevel="0" collapsed="false">
      <c r="A583" s="44"/>
      <c r="B583" s="6"/>
      <c r="C583" s="6"/>
      <c r="D583" s="6"/>
      <c r="E583" s="8" t="str">
        <f aca="false">IF($D583="","",IFERROR(INDEX(INSUMOS!$B$6:$B$205,MATCH($D583,INSUMOS!$A$6:$A$205,0)),"¿Código?"))</f>
        <v/>
      </c>
      <c r="F583" s="8" t="str">
        <f aca="false">IF($D583="","",IFERROR(INDEX(INSUMOS!$E$6:$E$205,MATCH($D583,INSUMOS!$A$6:$A$205,0)),""))</f>
        <v/>
      </c>
      <c r="G583" s="39"/>
      <c r="H583" s="45" t="str">
        <f aca="false">IF($D583="","",IFERROR(INDEX(INSUMOS!$F$6:$F$205,MATCH($D583,INSUMOS!$A$6:$A$205,0)),0))</f>
        <v/>
      </c>
      <c r="I583" s="34" t="str">
        <f aca="false">IF($D583="","",N($G583)*$H583)</f>
        <v/>
      </c>
      <c r="J583" s="40"/>
      <c r="K583" s="36" t="str">
        <f aca="false">IF($D583="","",IFERROR(INDEX(INSUMOS!$H$6:$H$205,MATCH($D583,INSUMOS!$A$6:$A$205,0)),IVA_VENTAS))</f>
        <v/>
      </c>
      <c r="L583" s="35" t="str">
        <f aca="false">IF($D583="","",N($J583)*$K583)</f>
        <v/>
      </c>
      <c r="M583" s="35" t="str">
        <f aca="false">IF($D583="","",N($J583)+$L583)</f>
        <v/>
      </c>
      <c r="N583" s="43" t="str">
        <f aca="false">IF($D583="","",IFERROR(N($J583)/$I583,0))</f>
        <v/>
      </c>
      <c r="O583" s="6"/>
      <c r="P583" s="6"/>
      <c r="Q583" s="46" t="str">
        <f aca="false">IF($A583="","",DATE(YEAR($A583),MONTH($A583),1))</f>
        <v/>
      </c>
      <c r="R583" s="8" t="str">
        <f aca="false">IF(OR($A583="",$D583=""),"",IF(COUNTIFS($D$6:$D$1005,$D583,$A$6:$A$1005,"&gt;"&amp;$A583)=0,1,0))</f>
        <v/>
      </c>
    </row>
    <row r="584" customFormat="false" ht="15" hidden="false" customHeight="false" outlineLevel="0" collapsed="false">
      <c r="A584" s="44"/>
      <c r="B584" s="6"/>
      <c r="C584" s="6"/>
      <c r="D584" s="6"/>
      <c r="E584" s="8" t="str">
        <f aca="false">IF($D584="","",IFERROR(INDEX(INSUMOS!$B$6:$B$205,MATCH($D584,INSUMOS!$A$6:$A$205,0)),"¿Código?"))</f>
        <v/>
      </c>
      <c r="F584" s="8" t="str">
        <f aca="false">IF($D584="","",IFERROR(INDEX(INSUMOS!$E$6:$E$205,MATCH($D584,INSUMOS!$A$6:$A$205,0)),""))</f>
        <v/>
      </c>
      <c r="G584" s="39"/>
      <c r="H584" s="45" t="str">
        <f aca="false">IF($D584="","",IFERROR(INDEX(INSUMOS!$F$6:$F$205,MATCH($D584,INSUMOS!$A$6:$A$205,0)),0))</f>
        <v/>
      </c>
      <c r="I584" s="34" t="str">
        <f aca="false">IF($D584="","",N($G584)*$H584)</f>
        <v/>
      </c>
      <c r="J584" s="40"/>
      <c r="K584" s="36" t="str">
        <f aca="false">IF($D584="","",IFERROR(INDEX(INSUMOS!$H$6:$H$205,MATCH($D584,INSUMOS!$A$6:$A$205,0)),IVA_VENTAS))</f>
        <v/>
      </c>
      <c r="L584" s="35" t="str">
        <f aca="false">IF($D584="","",N($J584)*$K584)</f>
        <v/>
      </c>
      <c r="M584" s="35" t="str">
        <f aca="false">IF($D584="","",N($J584)+$L584)</f>
        <v/>
      </c>
      <c r="N584" s="43" t="str">
        <f aca="false">IF($D584="","",IFERROR(N($J584)/$I584,0))</f>
        <v/>
      </c>
      <c r="O584" s="6"/>
      <c r="P584" s="6"/>
      <c r="Q584" s="46" t="str">
        <f aca="false">IF($A584="","",DATE(YEAR($A584),MONTH($A584),1))</f>
        <v/>
      </c>
      <c r="R584" s="8" t="str">
        <f aca="false">IF(OR($A584="",$D584=""),"",IF(COUNTIFS($D$6:$D$1005,$D584,$A$6:$A$1005,"&gt;"&amp;$A584)=0,1,0))</f>
        <v/>
      </c>
    </row>
    <row r="585" customFormat="false" ht="15" hidden="false" customHeight="false" outlineLevel="0" collapsed="false">
      <c r="A585" s="44"/>
      <c r="B585" s="6"/>
      <c r="C585" s="6"/>
      <c r="D585" s="6"/>
      <c r="E585" s="8" t="str">
        <f aca="false">IF($D585="","",IFERROR(INDEX(INSUMOS!$B$6:$B$205,MATCH($D585,INSUMOS!$A$6:$A$205,0)),"¿Código?"))</f>
        <v/>
      </c>
      <c r="F585" s="8" t="str">
        <f aca="false">IF($D585="","",IFERROR(INDEX(INSUMOS!$E$6:$E$205,MATCH($D585,INSUMOS!$A$6:$A$205,0)),""))</f>
        <v/>
      </c>
      <c r="G585" s="39"/>
      <c r="H585" s="45" t="str">
        <f aca="false">IF($D585="","",IFERROR(INDEX(INSUMOS!$F$6:$F$205,MATCH($D585,INSUMOS!$A$6:$A$205,0)),0))</f>
        <v/>
      </c>
      <c r="I585" s="34" t="str">
        <f aca="false">IF($D585="","",N($G585)*$H585)</f>
        <v/>
      </c>
      <c r="J585" s="40"/>
      <c r="K585" s="36" t="str">
        <f aca="false">IF($D585="","",IFERROR(INDEX(INSUMOS!$H$6:$H$205,MATCH($D585,INSUMOS!$A$6:$A$205,0)),IVA_VENTAS))</f>
        <v/>
      </c>
      <c r="L585" s="35" t="str">
        <f aca="false">IF($D585="","",N($J585)*$K585)</f>
        <v/>
      </c>
      <c r="M585" s="35" t="str">
        <f aca="false">IF($D585="","",N($J585)+$L585)</f>
        <v/>
      </c>
      <c r="N585" s="43" t="str">
        <f aca="false">IF($D585="","",IFERROR(N($J585)/$I585,0))</f>
        <v/>
      </c>
      <c r="O585" s="6"/>
      <c r="P585" s="6"/>
      <c r="Q585" s="46" t="str">
        <f aca="false">IF($A585="","",DATE(YEAR($A585),MONTH($A585),1))</f>
        <v/>
      </c>
      <c r="R585" s="8" t="str">
        <f aca="false">IF(OR($A585="",$D585=""),"",IF(COUNTIFS($D$6:$D$1005,$D585,$A$6:$A$1005,"&gt;"&amp;$A585)=0,1,0))</f>
        <v/>
      </c>
    </row>
    <row r="586" customFormat="false" ht="15" hidden="false" customHeight="false" outlineLevel="0" collapsed="false">
      <c r="A586" s="44"/>
      <c r="B586" s="6"/>
      <c r="C586" s="6"/>
      <c r="D586" s="6"/>
      <c r="E586" s="8" t="str">
        <f aca="false">IF($D586="","",IFERROR(INDEX(INSUMOS!$B$6:$B$205,MATCH($D586,INSUMOS!$A$6:$A$205,0)),"¿Código?"))</f>
        <v/>
      </c>
      <c r="F586" s="8" t="str">
        <f aca="false">IF($D586="","",IFERROR(INDEX(INSUMOS!$E$6:$E$205,MATCH($D586,INSUMOS!$A$6:$A$205,0)),""))</f>
        <v/>
      </c>
      <c r="G586" s="39"/>
      <c r="H586" s="45" t="str">
        <f aca="false">IF($D586="","",IFERROR(INDEX(INSUMOS!$F$6:$F$205,MATCH($D586,INSUMOS!$A$6:$A$205,0)),0))</f>
        <v/>
      </c>
      <c r="I586" s="34" t="str">
        <f aca="false">IF($D586="","",N($G586)*$H586)</f>
        <v/>
      </c>
      <c r="J586" s="40"/>
      <c r="K586" s="36" t="str">
        <f aca="false">IF($D586="","",IFERROR(INDEX(INSUMOS!$H$6:$H$205,MATCH($D586,INSUMOS!$A$6:$A$205,0)),IVA_VENTAS))</f>
        <v/>
      </c>
      <c r="L586" s="35" t="str">
        <f aca="false">IF($D586="","",N($J586)*$K586)</f>
        <v/>
      </c>
      <c r="M586" s="35" t="str">
        <f aca="false">IF($D586="","",N($J586)+$L586)</f>
        <v/>
      </c>
      <c r="N586" s="43" t="str">
        <f aca="false">IF($D586="","",IFERROR(N($J586)/$I586,0))</f>
        <v/>
      </c>
      <c r="O586" s="6"/>
      <c r="P586" s="6"/>
      <c r="Q586" s="46" t="str">
        <f aca="false">IF($A586="","",DATE(YEAR($A586),MONTH($A586),1))</f>
        <v/>
      </c>
      <c r="R586" s="8" t="str">
        <f aca="false">IF(OR($A586="",$D586=""),"",IF(COUNTIFS($D$6:$D$1005,$D586,$A$6:$A$1005,"&gt;"&amp;$A586)=0,1,0))</f>
        <v/>
      </c>
    </row>
    <row r="587" customFormat="false" ht="15" hidden="false" customHeight="false" outlineLevel="0" collapsed="false">
      <c r="A587" s="44"/>
      <c r="B587" s="6"/>
      <c r="C587" s="6"/>
      <c r="D587" s="6"/>
      <c r="E587" s="8" t="str">
        <f aca="false">IF($D587="","",IFERROR(INDEX(INSUMOS!$B$6:$B$205,MATCH($D587,INSUMOS!$A$6:$A$205,0)),"¿Código?"))</f>
        <v/>
      </c>
      <c r="F587" s="8" t="str">
        <f aca="false">IF($D587="","",IFERROR(INDEX(INSUMOS!$E$6:$E$205,MATCH($D587,INSUMOS!$A$6:$A$205,0)),""))</f>
        <v/>
      </c>
      <c r="G587" s="39"/>
      <c r="H587" s="45" t="str">
        <f aca="false">IF($D587="","",IFERROR(INDEX(INSUMOS!$F$6:$F$205,MATCH($D587,INSUMOS!$A$6:$A$205,0)),0))</f>
        <v/>
      </c>
      <c r="I587" s="34" t="str">
        <f aca="false">IF($D587="","",N($G587)*$H587)</f>
        <v/>
      </c>
      <c r="J587" s="40"/>
      <c r="K587" s="36" t="str">
        <f aca="false">IF($D587="","",IFERROR(INDEX(INSUMOS!$H$6:$H$205,MATCH($D587,INSUMOS!$A$6:$A$205,0)),IVA_VENTAS))</f>
        <v/>
      </c>
      <c r="L587" s="35" t="str">
        <f aca="false">IF($D587="","",N($J587)*$K587)</f>
        <v/>
      </c>
      <c r="M587" s="35" t="str">
        <f aca="false">IF($D587="","",N($J587)+$L587)</f>
        <v/>
      </c>
      <c r="N587" s="43" t="str">
        <f aca="false">IF($D587="","",IFERROR(N($J587)/$I587,0))</f>
        <v/>
      </c>
      <c r="O587" s="6"/>
      <c r="P587" s="6"/>
      <c r="Q587" s="46" t="str">
        <f aca="false">IF($A587="","",DATE(YEAR($A587),MONTH($A587),1))</f>
        <v/>
      </c>
      <c r="R587" s="8" t="str">
        <f aca="false">IF(OR($A587="",$D587=""),"",IF(COUNTIFS($D$6:$D$1005,$D587,$A$6:$A$1005,"&gt;"&amp;$A587)=0,1,0))</f>
        <v/>
      </c>
    </row>
    <row r="588" customFormat="false" ht="15" hidden="false" customHeight="false" outlineLevel="0" collapsed="false">
      <c r="A588" s="44"/>
      <c r="B588" s="6"/>
      <c r="C588" s="6"/>
      <c r="D588" s="6"/>
      <c r="E588" s="8" t="str">
        <f aca="false">IF($D588="","",IFERROR(INDEX(INSUMOS!$B$6:$B$205,MATCH($D588,INSUMOS!$A$6:$A$205,0)),"¿Código?"))</f>
        <v/>
      </c>
      <c r="F588" s="8" t="str">
        <f aca="false">IF($D588="","",IFERROR(INDEX(INSUMOS!$E$6:$E$205,MATCH($D588,INSUMOS!$A$6:$A$205,0)),""))</f>
        <v/>
      </c>
      <c r="G588" s="39"/>
      <c r="H588" s="45" t="str">
        <f aca="false">IF($D588="","",IFERROR(INDEX(INSUMOS!$F$6:$F$205,MATCH($D588,INSUMOS!$A$6:$A$205,0)),0))</f>
        <v/>
      </c>
      <c r="I588" s="34" t="str">
        <f aca="false">IF($D588="","",N($G588)*$H588)</f>
        <v/>
      </c>
      <c r="J588" s="40"/>
      <c r="K588" s="36" t="str">
        <f aca="false">IF($D588="","",IFERROR(INDEX(INSUMOS!$H$6:$H$205,MATCH($D588,INSUMOS!$A$6:$A$205,0)),IVA_VENTAS))</f>
        <v/>
      </c>
      <c r="L588" s="35" t="str">
        <f aca="false">IF($D588="","",N($J588)*$K588)</f>
        <v/>
      </c>
      <c r="M588" s="35" t="str">
        <f aca="false">IF($D588="","",N($J588)+$L588)</f>
        <v/>
      </c>
      <c r="N588" s="43" t="str">
        <f aca="false">IF($D588="","",IFERROR(N($J588)/$I588,0))</f>
        <v/>
      </c>
      <c r="O588" s="6"/>
      <c r="P588" s="6"/>
      <c r="Q588" s="46" t="str">
        <f aca="false">IF($A588="","",DATE(YEAR($A588),MONTH($A588),1))</f>
        <v/>
      </c>
      <c r="R588" s="8" t="str">
        <f aca="false">IF(OR($A588="",$D588=""),"",IF(COUNTIFS($D$6:$D$1005,$D588,$A$6:$A$1005,"&gt;"&amp;$A588)=0,1,0))</f>
        <v/>
      </c>
    </row>
    <row r="589" customFormat="false" ht="15" hidden="false" customHeight="false" outlineLevel="0" collapsed="false">
      <c r="A589" s="44"/>
      <c r="B589" s="6"/>
      <c r="C589" s="6"/>
      <c r="D589" s="6"/>
      <c r="E589" s="8" t="str">
        <f aca="false">IF($D589="","",IFERROR(INDEX(INSUMOS!$B$6:$B$205,MATCH($D589,INSUMOS!$A$6:$A$205,0)),"¿Código?"))</f>
        <v/>
      </c>
      <c r="F589" s="8" t="str">
        <f aca="false">IF($D589="","",IFERROR(INDEX(INSUMOS!$E$6:$E$205,MATCH($D589,INSUMOS!$A$6:$A$205,0)),""))</f>
        <v/>
      </c>
      <c r="G589" s="39"/>
      <c r="H589" s="45" t="str">
        <f aca="false">IF($D589="","",IFERROR(INDEX(INSUMOS!$F$6:$F$205,MATCH($D589,INSUMOS!$A$6:$A$205,0)),0))</f>
        <v/>
      </c>
      <c r="I589" s="34" t="str">
        <f aca="false">IF($D589="","",N($G589)*$H589)</f>
        <v/>
      </c>
      <c r="J589" s="40"/>
      <c r="K589" s="36" t="str">
        <f aca="false">IF($D589="","",IFERROR(INDEX(INSUMOS!$H$6:$H$205,MATCH($D589,INSUMOS!$A$6:$A$205,0)),IVA_VENTAS))</f>
        <v/>
      </c>
      <c r="L589" s="35" t="str">
        <f aca="false">IF($D589="","",N($J589)*$K589)</f>
        <v/>
      </c>
      <c r="M589" s="35" t="str">
        <f aca="false">IF($D589="","",N($J589)+$L589)</f>
        <v/>
      </c>
      <c r="N589" s="43" t="str">
        <f aca="false">IF($D589="","",IFERROR(N($J589)/$I589,0))</f>
        <v/>
      </c>
      <c r="O589" s="6"/>
      <c r="P589" s="6"/>
      <c r="Q589" s="46" t="str">
        <f aca="false">IF($A589="","",DATE(YEAR($A589),MONTH($A589),1))</f>
        <v/>
      </c>
      <c r="R589" s="8" t="str">
        <f aca="false">IF(OR($A589="",$D589=""),"",IF(COUNTIFS($D$6:$D$1005,$D589,$A$6:$A$1005,"&gt;"&amp;$A589)=0,1,0))</f>
        <v/>
      </c>
    </row>
    <row r="590" customFormat="false" ht="15" hidden="false" customHeight="false" outlineLevel="0" collapsed="false">
      <c r="A590" s="44"/>
      <c r="B590" s="6"/>
      <c r="C590" s="6"/>
      <c r="D590" s="6"/>
      <c r="E590" s="8" t="str">
        <f aca="false">IF($D590="","",IFERROR(INDEX(INSUMOS!$B$6:$B$205,MATCH($D590,INSUMOS!$A$6:$A$205,0)),"¿Código?"))</f>
        <v/>
      </c>
      <c r="F590" s="8" t="str">
        <f aca="false">IF($D590="","",IFERROR(INDEX(INSUMOS!$E$6:$E$205,MATCH($D590,INSUMOS!$A$6:$A$205,0)),""))</f>
        <v/>
      </c>
      <c r="G590" s="39"/>
      <c r="H590" s="45" t="str">
        <f aca="false">IF($D590="","",IFERROR(INDEX(INSUMOS!$F$6:$F$205,MATCH($D590,INSUMOS!$A$6:$A$205,0)),0))</f>
        <v/>
      </c>
      <c r="I590" s="34" t="str">
        <f aca="false">IF($D590="","",N($G590)*$H590)</f>
        <v/>
      </c>
      <c r="J590" s="40"/>
      <c r="K590" s="36" t="str">
        <f aca="false">IF($D590="","",IFERROR(INDEX(INSUMOS!$H$6:$H$205,MATCH($D590,INSUMOS!$A$6:$A$205,0)),IVA_VENTAS))</f>
        <v/>
      </c>
      <c r="L590" s="35" t="str">
        <f aca="false">IF($D590="","",N($J590)*$K590)</f>
        <v/>
      </c>
      <c r="M590" s="35" t="str">
        <f aca="false">IF($D590="","",N($J590)+$L590)</f>
        <v/>
      </c>
      <c r="N590" s="43" t="str">
        <f aca="false">IF($D590="","",IFERROR(N($J590)/$I590,0))</f>
        <v/>
      </c>
      <c r="O590" s="6"/>
      <c r="P590" s="6"/>
      <c r="Q590" s="46" t="str">
        <f aca="false">IF($A590="","",DATE(YEAR($A590),MONTH($A590),1))</f>
        <v/>
      </c>
      <c r="R590" s="8" t="str">
        <f aca="false">IF(OR($A590="",$D590=""),"",IF(COUNTIFS($D$6:$D$1005,$D590,$A$6:$A$1005,"&gt;"&amp;$A590)=0,1,0))</f>
        <v/>
      </c>
    </row>
    <row r="591" customFormat="false" ht="15" hidden="false" customHeight="false" outlineLevel="0" collapsed="false">
      <c r="A591" s="44"/>
      <c r="B591" s="6"/>
      <c r="C591" s="6"/>
      <c r="D591" s="6"/>
      <c r="E591" s="8" t="str">
        <f aca="false">IF($D591="","",IFERROR(INDEX(INSUMOS!$B$6:$B$205,MATCH($D591,INSUMOS!$A$6:$A$205,0)),"¿Código?"))</f>
        <v/>
      </c>
      <c r="F591" s="8" t="str">
        <f aca="false">IF($D591="","",IFERROR(INDEX(INSUMOS!$E$6:$E$205,MATCH($D591,INSUMOS!$A$6:$A$205,0)),""))</f>
        <v/>
      </c>
      <c r="G591" s="39"/>
      <c r="H591" s="45" t="str">
        <f aca="false">IF($D591="","",IFERROR(INDEX(INSUMOS!$F$6:$F$205,MATCH($D591,INSUMOS!$A$6:$A$205,0)),0))</f>
        <v/>
      </c>
      <c r="I591" s="34" t="str">
        <f aca="false">IF($D591="","",N($G591)*$H591)</f>
        <v/>
      </c>
      <c r="J591" s="40"/>
      <c r="K591" s="36" t="str">
        <f aca="false">IF($D591="","",IFERROR(INDEX(INSUMOS!$H$6:$H$205,MATCH($D591,INSUMOS!$A$6:$A$205,0)),IVA_VENTAS))</f>
        <v/>
      </c>
      <c r="L591" s="35" t="str">
        <f aca="false">IF($D591="","",N($J591)*$K591)</f>
        <v/>
      </c>
      <c r="M591" s="35" t="str">
        <f aca="false">IF($D591="","",N($J591)+$L591)</f>
        <v/>
      </c>
      <c r="N591" s="43" t="str">
        <f aca="false">IF($D591="","",IFERROR(N($J591)/$I591,0))</f>
        <v/>
      </c>
      <c r="O591" s="6"/>
      <c r="P591" s="6"/>
      <c r="Q591" s="46" t="str">
        <f aca="false">IF($A591="","",DATE(YEAR($A591),MONTH($A591),1))</f>
        <v/>
      </c>
      <c r="R591" s="8" t="str">
        <f aca="false">IF(OR($A591="",$D591=""),"",IF(COUNTIFS($D$6:$D$1005,$D591,$A$6:$A$1005,"&gt;"&amp;$A591)=0,1,0))</f>
        <v/>
      </c>
    </row>
    <row r="592" customFormat="false" ht="15" hidden="false" customHeight="false" outlineLevel="0" collapsed="false">
      <c r="A592" s="44"/>
      <c r="B592" s="6"/>
      <c r="C592" s="6"/>
      <c r="D592" s="6"/>
      <c r="E592" s="8" t="str">
        <f aca="false">IF($D592="","",IFERROR(INDEX(INSUMOS!$B$6:$B$205,MATCH($D592,INSUMOS!$A$6:$A$205,0)),"¿Código?"))</f>
        <v/>
      </c>
      <c r="F592" s="8" t="str">
        <f aca="false">IF($D592="","",IFERROR(INDEX(INSUMOS!$E$6:$E$205,MATCH($D592,INSUMOS!$A$6:$A$205,0)),""))</f>
        <v/>
      </c>
      <c r="G592" s="39"/>
      <c r="H592" s="45" t="str">
        <f aca="false">IF($D592="","",IFERROR(INDEX(INSUMOS!$F$6:$F$205,MATCH($D592,INSUMOS!$A$6:$A$205,0)),0))</f>
        <v/>
      </c>
      <c r="I592" s="34" t="str">
        <f aca="false">IF($D592="","",N($G592)*$H592)</f>
        <v/>
      </c>
      <c r="J592" s="40"/>
      <c r="K592" s="36" t="str">
        <f aca="false">IF($D592="","",IFERROR(INDEX(INSUMOS!$H$6:$H$205,MATCH($D592,INSUMOS!$A$6:$A$205,0)),IVA_VENTAS))</f>
        <v/>
      </c>
      <c r="L592" s="35" t="str">
        <f aca="false">IF($D592="","",N($J592)*$K592)</f>
        <v/>
      </c>
      <c r="M592" s="35" t="str">
        <f aca="false">IF($D592="","",N($J592)+$L592)</f>
        <v/>
      </c>
      <c r="N592" s="43" t="str">
        <f aca="false">IF($D592="","",IFERROR(N($J592)/$I592,0))</f>
        <v/>
      </c>
      <c r="O592" s="6"/>
      <c r="P592" s="6"/>
      <c r="Q592" s="46" t="str">
        <f aca="false">IF($A592="","",DATE(YEAR($A592),MONTH($A592),1))</f>
        <v/>
      </c>
      <c r="R592" s="8" t="str">
        <f aca="false">IF(OR($A592="",$D592=""),"",IF(COUNTIFS($D$6:$D$1005,$D592,$A$6:$A$1005,"&gt;"&amp;$A592)=0,1,0))</f>
        <v/>
      </c>
    </row>
    <row r="593" customFormat="false" ht="15" hidden="false" customHeight="false" outlineLevel="0" collapsed="false">
      <c r="A593" s="44"/>
      <c r="B593" s="6"/>
      <c r="C593" s="6"/>
      <c r="D593" s="6"/>
      <c r="E593" s="8" t="str">
        <f aca="false">IF($D593="","",IFERROR(INDEX(INSUMOS!$B$6:$B$205,MATCH($D593,INSUMOS!$A$6:$A$205,0)),"¿Código?"))</f>
        <v/>
      </c>
      <c r="F593" s="8" t="str">
        <f aca="false">IF($D593="","",IFERROR(INDEX(INSUMOS!$E$6:$E$205,MATCH($D593,INSUMOS!$A$6:$A$205,0)),""))</f>
        <v/>
      </c>
      <c r="G593" s="39"/>
      <c r="H593" s="45" t="str">
        <f aca="false">IF($D593="","",IFERROR(INDEX(INSUMOS!$F$6:$F$205,MATCH($D593,INSUMOS!$A$6:$A$205,0)),0))</f>
        <v/>
      </c>
      <c r="I593" s="34" t="str">
        <f aca="false">IF($D593="","",N($G593)*$H593)</f>
        <v/>
      </c>
      <c r="J593" s="40"/>
      <c r="K593" s="36" t="str">
        <f aca="false">IF($D593="","",IFERROR(INDEX(INSUMOS!$H$6:$H$205,MATCH($D593,INSUMOS!$A$6:$A$205,0)),IVA_VENTAS))</f>
        <v/>
      </c>
      <c r="L593" s="35" t="str">
        <f aca="false">IF($D593="","",N($J593)*$K593)</f>
        <v/>
      </c>
      <c r="M593" s="35" t="str">
        <f aca="false">IF($D593="","",N($J593)+$L593)</f>
        <v/>
      </c>
      <c r="N593" s="43" t="str">
        <f aca="false">IF($D593="","",IFERROR(N($J593)/$I593,0))</f>
        <v/>
      </c>
      <c r="O593" s="6"/>
      <c r="P593" s="6"/>
      <c r="Q593" s="46" t="str">
        <f aca="false">IF($A593="","",DATE(YEAR($A593),MONTH($A593),1))</f>
        <v/>
      </c>
      <c r="R593" s="8" t="str">
        <f aca="false">IF(OR($A593="",$D593=""),"",IF(COUNTIFS($D$6:$D$1005,$D593,$A$6:$A$1005,"&gt;"&amp;$A593)=0,1,0))</f>
        <v/>
      </c>
    </row>
    <row r="594" customFormat="false" ht="15" hidden="false" customHeight="false" outlineLevel="0" collapsed="false">
      <c r="A594" s="44"/>
      <c r="B594" s="6"/>
      <c r="C594" s="6"/>
      <c r="D594" s="6"/>
      <c r="E594" s="8" t="str">
        <f aca="false">IF($D594="","",IFERROR(INDEX(INSUMOS!$B$6:$B$205,MATCH($D594,INSUMOS!$A$6:$A$205,0)),"¿Código?"))</f>
        <v/>
      </c>
      <c r="F594" s="8" t="str">
        <f aca="false">IF($D594="","",IFERROR(INDEX(INSUMOS!$E$6:$E$205,MATCH($D594,INSUMOS!$A$6:$A$205,0)),""))</f>
        <v/>
      </c>
      <c r="G594" s="39"/>
      <c r="H594" s="45" t="str">
        <f aca="false">IF($D594="","",IFERROR(INDEX(INSUMOS!$F$6:$F$205,MATCH($D594,INSUMOS!$A$6:$A$205,0)),0))</f>
        <v/>
      </c>
      <c r="I594" s="34" t="str">
        <f aca="false">IF($D594="","",N($G594)*$H594)</f>
        <v/>
      </c>
      <c r="J594" s="40"/>
      <c r="K594" s="36" t="str">
        <f aca="false">IF($D594="","",IFERROR(INDEX(INSUMOS!$H$6:$H$205,MATCH($D594,INSUMOS!$A$6:$A$205,0)),IVA_VENTAS))</f>
        <v/>
      </c>
      <c r="L594" s="35" t="str">
        <f aca="false">IF($D594="","",N($J594)*$K594)</f>
        <v/>
      </c>
      <c r="M594" s="35" t="str">
        <f aca="false">IF($D594="","",N($J594)+$L594)</f>
        <v/>
      </c>
      <c r="N594" s="43" t="str">
        <f aca="false">IF($D594="","",IFERROR(N($J594)/$I594,0))</f>
        <v/>
      </c>
      <c r="O594" s="6"/>
      <c r="P594" s="6"/>
      <c r="Q594" s="46" t="str">
        <f aca="false">IF($A594="","",DATE(YEAR($A594),MONTH($A594),1))</f>
        <v/>
      </c>
      <c r="R594" s="8" t="str">
        <f aca="false">IF(OR($A594="",$D594=""),"",IF(COUNTIFS($D$6:$D$1005,$D594,$A$6:$A$1005,"&gt;"&amp;$A594)=0,1,0))</f>
        <v/>
      </c>
    </row>
    <row r="595" customFormat="false" ht="15" hidden="false" customHeight="false" outlineLevel="0" collapsed="false">
      <c r="A595" s="44"/>
      <c r="B595" s="6"/>
      <c r="C595" s="6"/>
      <c r="D595" s="6"/>
      <c r="E595" s="8" t="str">
        <f aca="false">IF($D595="","",IFERROR(INDEX(INSUMOS!$B$6:$B$205,MATCH($D595,INSUMOS!$A$6:$A$205,0)),"¿Código?"))</f>
        <v/>
      </c>
      <c r="F595" s="8" t="str">
        <f aca="false">IF($D595="","",IFERROR(INDEX(INSUMOS!$E$6:$E$205,MATCH($D595,INSUMOS!$A$6:$A$205,0)),""))</f>
        <v/>
      </c>
      <c r="G595" s="39"/>
      <c r="H595" s="45" t="str">
        <f aca="false">IF($D595="","",IFERROR(INDEX(INSUMOS!$F$6:$F$205,MATCH($D595,INSUMOS!$A$6:$A$205,0)),0))</f>
        <v/>
      </c>
      <c r="I595" s="34" t="str">
        <f aca="false">IF($D595="","",N($G595)*$H595)</f>
        <v/>
      </c>
      <c r="J595" s="40"/>
      <c r="K595" s="36" t="str">
        <f aca="false">IF($D595="","",IFERROR(INDEX(INSUMOS!$H$6:$H$205,MATCH($D595,INSUMOS!$A$6:$A$205,0)),IVA_VENTAS))</f>
        <v/>
      </c>
      <c r="L595" s="35" t="str">
        <f aca="false">IF($D595="","",N($J595)*$K595)</f>
        <v/>
      </c>
      <c r="M595" s="35" t="str">
        <f aca="false">IF($D595="","",N($J595)+$L595)</f>
        <v/>
      </c>
      <c r="N595" s="43" t="str">
        <f aca="false">IF($D595="","",IFERROR(N($J595)/$I595,0))</f>
        <v/>
      </c>
      <c r="O595" s="6"/>
      <c r="P595" s="6"/>
      <c r="Q595" s="46" t="str">
        <f aca="false">IF($A595="","",DATE(YEAR($A595),MONTH($A595),1))</f>
        <v/>
      </c>
      <c r="R595" s="8" t="str">
        <f aca="false">IF(OR($A595="",$D595=""),"",IF(COUNTIFS($D$6:$D$1005,$D595,$A$6:$A$1005,"&gt;"&amp;$A595)=0,1,0))</f>
        <v/>
      </c>
    </row>
    <row r="596" customFormat="false" ht="15" hidden="false" customHeight="false" outlineLevel="0" collapsed="false">
      <c r="A596" s="44"/>
      <c r="B596" s="6"/>
      <c r="C596" s="6"/>
      <c r="D596" s="6"/>
      <c r="E596" s="8" t="str">
        <f aca="false">IF($D596="","",IFERROR(INDEX(INSUMOS!$B$6:$B$205,MATCH($D596,INSUMOS!$A$6:$A$205,0)),"¿Código?"))</f>
        <v/>
      </c>
      <c r="F596" s="8" t="str">
        <f aca="false">IF($D596="","",IFERROR(INDEX(INSUMOS!$E$6:$E$205,MATCH($D596,INSUMOS!$A$6:$A$205,0)),""))</f>
        <v/>
      </c>
      <c r="G596" s="39"/>
      <c r="H596" s="45" t="str">
        <f aca="false">IF($D596="","",IFERROR(INDEX(INSUMOS!$F$6:$F$205,MATCH($D596,INSUMOS!$A$6:$A$205,0)),0))</f>
        <v/>
      </c>
      <c r="I596" s="34" t="str">
        <f aca="false">IF($D596="","",N($G596)*$H596)</f>
        <v/>
      </c>
      <c r="J596" s="40"/>
      <c r="K596" s="36" t="str">
        <f aca="false">IF($D596="","",IFERROR(INDEX(INSUMOS!$H$6:$H$205,MATCH($D596,INSUMOS!$A$6:$A$205,0)),IVA_VENTAS))</f>
        <v/>
      </c>
      <c r="L596" s="35" t="str">
        <f aca="false">IF($D596="","",N($J596)*$K596)</f>
        <v/>
      </c>
      <c r="M596" s="35" t="str">
        <f aca="false">IF($D596="","",N($J596)+$L596)</f>
        <v/>
      </c>
      <c r="N596" s="43" t="str">
        <f aca="false">IF($D596="","",IFERROR(N($J596)/$I596,0))</f>
        <v/>
      </c>
      <c r="O596" s="6"/>
      <c r="P596" s="6"/>
      <c r="Q596" s="46" t="str">
        <f aca="false">IF($A596="","",DATE(YEAR($A596),MONTH($A596),1))</f>
        <v/>
      </c>
      <c r="R596" s="8" t="str">
        <f aca="false">IF(OR($A596="",$D596=""),"",IF(COUNTIFS($D$6:$D$1005,$D596,$A$6:$A$1005,"&gt;"&amp;$A596)=0,1,0))</f>
        <v/>
      </c>
    </row>
    <row r="597" customFormat="false" ht="15" hidden="false" customHeight="false" outlineLevel="0" collapsed="false">
      <c r="A597" s="44"/>
      <c r="B597" s="6"/>
      <c r="C597" s="6"/>
      <c r="D597" s="6"/>
      <c r="E597" s="8" t="str">
        <f aca="false">IF($D597="","",IFERROR(INDEX(INSUMOS!$B$6:$B$205,MATCH($D597,INSUMOS!$A$6:$A$205,0)),"¿Código?"))</f>
        <v/>
      </c>
      <c r="F597" s="8" t="str">
        <f aca="false">IF($D597="","",IFERROR(INDEX(INSUMOS!$E$6:$E$205,MATCH($D597,INSUMOS!$A$6:$A$205,0)),""))</f>
        <v/>
      </c>
      <c r="G597" s="39"/>
      <c r="H597" s="45" t="str">
        <f aca="false">IF($D597="","",IFERROR(INDEX(INSUMOS!$F$6:$F$205,MATCH($D597,INSUMOS!$A$6:$A$205,0)),0))</f>
        <v/>
      </c>
      <c r="I597" s="34" t="str">
        <f aca="false">IF($D597="","",N($G597)*$H597)</f>
        <v/>
      </c>
      <c r="J597" s="40"/>
      <c r="K597" s="36" t="str">
        <f aca="false">IF($D597="","",IFERROR(INDEX(INSUMOS!$H$6:$H$205,MATCH($D597,INSUMOS!$A$6:$A$205,0)),IVA_VENTAS))</f>
        <v/>
      </c>
      <c r="L597" s="35" t="str">
        <f aca="false">IF($D597="","",N($J597)*$K597)</f>
        <v/>
      </c>
      <c r="M597" s="35" t="str">
        <f aca="false">IF($D597="","",N($J597)+$L597)</f>
        <v/>
      </c>
      <c r="N597" s="43" t="str">
        <f aca="false">IF($D597="","",IFERROR(N($J597)/$I597,0))</f>
        <v/>
      </c>
      <c r="O597" s="6"/>
      <c r="P597" s="6"/>
      <c r="Q597" s="46" t="str">
        <f aca="false">IF($A597="","",DATE(YEAR($A597),MONTH($A597),1))</f>
        <v/>
      </c>
      <c r="R597" s="8" t="str">
        <f aca="false">IF(OR($A597="",$D597=""),"",IF(COUNTIFS($D$6:$D$1005,$D597,$A$6:$A$1005,"&gt;"&amp;$A597)=0,1,0))</f>
        <v/>
      </c>
    </row>
    <row r="598" customFormat="false" ht="15" hidden="false" customHeight="false" outlineLevel="0" collapsed="false">
      <c r="A598" s="44"/>
      <c r="B598" s="6"/>
      <c r="C598" s="6"/>
      <c r="D598" s="6"/>
      <c r="E598" s="8" t="str">
        <f aca="false">IF($D598="","",IFERROR(INDEX(INSUMOS!$B$6:$B$205,MATCH($D598,INSUMOS!$A$6:$A$205,0)),"¿Código?"))</f>
        <v/>
      </c>
      <c r="F598" s="8" t="str">
        <f aca="false">IF($D598="","",IFERROR(INDEX(INSUMOS!$E$6:$E$205,MATCH($D598,INSUMOS!$A$6:$A$205,0)),""))</f>
        <v/>
      </c>
      <c r="G598" s="39"/>
      <c r="H598" s="45" t="str">
        <f aca="false">IF($D598="","",IFERROR(INDEX(INSUMOS!$F$6:$F$205,MATCH($D598,INSUMOS!$A$6:$A$205,0)),0))</f>
        <v/>
      </c>
      <c r="I598" s="34" t="str">
        <f aca="false">IF($D598="","",N($G598)*$H598)</f>
        <v/>
      </c>
      <c r="J598" s="40"/>
      <c r="K598" s="36" t="str">
        <f aca="false">IF($D598="","",IFERROR(INDEX(INSUMOS!$H$6:$H$205,MATCH($D598,INSUMOS!$A$6:$A$205,0)),IVA_VENTAS))</f>
        <v/>
      </c>
      <c r="L598" s="35" t="str">
        <f aca="false">IF($D598="","",N($J598)*$K598)</f>
        <v/>
      </c>
      <c r="M598" s="35" t="str">
        <f aca="false">IF($D598="","",N($J598)+$L598)</f>
        <v/>
      </c>
      <c r="N598" s="43" t="str">
        <f aca="false">IF($D598="","",IFERROR(N($J598)/$I598,0))</f>
        <v/>
      </c>
      <c r="O598" s="6"/>
      <c r="P598" s="6"/>
      <c r="Q598" s="46" t="str">
        <f aca="false">IF($A598="","",DATE(YEAR($A598),MONTH($A598),1))</f>
        <v/>
      </c>
      <c r="R598" s="8" t="str">
        <f aca="false">IF(OR($A598="",$D598=""),"",IF(COUNTIFS($D$6:$D$1005,$D598,$A$6:$A$1005,"&gt;"&amp;$A598)=0,1,0))</f>
        <v/>
      </c>
    </row>
    <row r="599" customFormat="false" ht="15" hidden="false" customHeight="false" outlineLevel="0" collapsed="false">
      <c r="A599" s="44"/>
      <c r="B599" s="6"/>
      <c r="C599" s="6"/>
      <c r="D599" s="6"/>
      <c r="E599" s="8" t="str">
        <f aca="false">IF($D599="","",IFERROR(INDEX(INSUMOS!$B$6:$B$205,MATCH($D599,INSUMOS!$A$6:$A$205,0)),"¿Código?"))</f>
        <v/>
      </c>
      <c r="F599" s="8" t="str">
        <f aca="false">IF($D599="","",IFERROR(INDEX(INSUMOS!$E$6:$E$205,MATCH($D599,INSUMOS!$A$6:$A$205,0)),""))</f>
        <v/>
      </c>
      <c r="G599" s="39"/>
      <c r="H599" s="45" t="str">
        <f aca="false">IF($D599="","",IFERROR(INDEX(INSUMOS!$F$6:$F$205,MATCH($D599,INSUMOS!$A$6:$A$205,0)),0))</f>
        <v/>
      </c>
      <c r="I599" s="34" t="str">
        <f aca="false">IF($D599="","",N($G599)*$H599)</f>
        <v/>
      </c>
      <c r="J599" s="40"/>
      <c r="K599" s="36" t="str">
        <f aca="false">IF($D599="","",IFERROR(INDEX(INSUMOS!$H$6:$H$205,MATCH($D599,INSUMOS!$A$6:$A$205,0)),IVA_VENTAS))</f>
        <v/>
      </c>
      <c r="L599" s="35" t="str">
        <f aca="false">IF($D599="","",N($J599)*$K599)</f>
        <v/>
      </c>
      <c r="M599" s="35" t="str">
        <f aca="false">IF($D599="","",N($J599)+$L599)</f>
        <v/>
      </c>
      <c r="N599" s="43" t="str">
        <f aca="false">IF($D599="","",IFERROR(N($J599)/$I599,0))</f>
        <v/>
      </c>
      <c r="O599" s="6"/>
      <c r="P599" s="6"/>
      <c r="Q599" s="46" t="str">
        <f aca="false">IF($A599="","",DATE(YEAR($A599),MONTH($A599),1))</f>
        <v/>
      </c>
      <c r="R599" s="8" t="str">
        <f aca="false">IF(OR($A599="",$D599=""),"",IF(COUNTIFS($D$6:$D$1005,$D599,$A$6:$A$1005,"&gt;"&amp;$A599)=0,1,0))</f>
        <v/>
      </c>
    </row>
    <row r="600" customFormat="false" ht="15" hidden="false" customHeight="false" outlineLevel="0" collapsed="false">
      <c r="A600" s="44"/>
      <c r="B600" s="6"/>
      <c r="C600" s="6"/>
      <c r="D600" s="6"/>
      <c r="E600" s="8" t="str">
        <f aca="false">IF($D600="","",IFERROR(INDEX(INSUMOS!$B$6:$B$205,MATCH($D600,INSUMOS!$A$6:$A$205,0)),"¿Código?"))</f>
        <v/>
      </c>
      <c r="F600" s="8" t="str">
        <f aca="false">IF($D600="","",IFERROR(INDEX(INSUMOS!$E$6:$E$205,MATCH($D600,INSUMOS!$A$6:$A$205,0)),""))</f>
        <v/>
      </c>
      <c r="G600" s="39"/>
      <c r="H600" s="45" t="str">
        <f aca="false">IF($D600="","",IFERROR(INDEX(INSUMOS!$F$6:$F$205,MATCH($D600,INSUMOS!$A$6:$A$205,0)),0))</f>
        <v/>
      </c>
      <c r="I600" s="34" t="str">
        <f aca="false">IF($D600="","",N($G600)*$H600)</f>
        <v/>
      </c>
      <c r="J600" s="40"/>
      <c r="K600" s="36" t="str">
        <f aca="false">IF($D600="","",IFERROR(INDEX(INSUMOS!$H$6:$H$205,MATCH($D600,INSUMOS!$A$6:$A$205,0)),IVA_VENTAS))</f>
        <v/>
      </c>
      <c r="L600" s="35" t="str">
        <f aca="false">IF($D600="","",N($J600)*$K600)</f>
        <v/>
      </c>
      <c r="M600" s="35" t="str">
        <f aca="false">IF($D600="","",N($J600)+$L600)</f>
        <v/>
      </c>
      <c r="N600" s="43" t="str">
        <f aca="false">IF($D600="","",IFERROR(N($J600)/$I600,0))</f>
        <v/>
      </c>
      <c r="O600" s="6"/>
      <c r="P600" s="6"/>
      <c r="Q600" s="46" t="str">
        <f aca="false">IF($A600="","",DATE(YEAR($A600),MONTH($A600),1))</f>
        <v/>
      </c>
      <c r="R600" s="8" t="str">
        <f aca="false">IF(OR($A600="",$D600=""),"",IF(COUNTIFS($D$6:$D$1005,$D600,$A$6:$A$1005,"&gt;"&amp;$A600)=0,1,0))</f>
        <v/>
      </c>
    </row>
    <row r="601" customFormat="false" ht="15" hidden="false" customHeight="false" outlineLevel="0" collapsed="false">
      <c r="A601" s="44"/>
      <c r="B601" s="6"/>
      <c r="C601" s="6"/>
      <c r="D601" s="6"/>
      <c r="E601" s="8" t="str">
        <f aca="false">IF($D601="","",IFERROR(INDEX(INSUMOS!$B$6:$B$205,MATCH($D601,INSUMOS!$A$6:$A$205,0)),"¿Código?"))</f>
        <v/>
      </c>
      <c r="F601" s="8" t="str">
        <f aca="false">IF($D601="","",IFERROR(INDEX(INSUMOS!$E$6:$E$205,MATCH($D601,INSUMOS!$A$6:$A$205,0)),""))</f>
        <v/>
      </c>
      <c r="G601" s="39"/>
      <c r="H601" s="45" t="str">
        <f aca="false">IF($D601="","",IFERROR(INDEX(INSUMOS!$F$6:$F$205,MATCH($D601,INSUMOS!$A$6:$A$205,0)),0))</f>
        <v/>
      </c>
      <c r="I601" s="34" t="str">
        <f aca="false">IF($D601="","",N($G601)*$H601)</f>
        <v/>
      </c>
      <c r="J601" s="40"/>
      <c r="K601" s="36" t="str">
        <f aca="false">IF($D601="","",IFERROR(INDEX(INSUMOS!$H$6:$H$205,MATCH($D601,INSUMOS!$A$6:$A$205,0)),IVA_VENTAS))</f>
        <v/>
      </c>
      <c r="L601" s="35" t="str">
        <f aca="false">IF($D601="","",N($J601)*$K601)</f>
        <v/>
      </c>
      <c r="M601" s="35" t="str">
        <f aca="false">IF($D601="","",N($J601)+$L601)</f>
        <v/>
      </c>
      <c r="N601" s="43" t="str">
        <f aca="false">IF($D601="","",IFERROR(N($J601)/$I601,0))</f>
        <v/>
      </c>
      <c r="O601" s="6"/>
      <c r="P601" s="6"/>
      <c r="Q601" s="46" t="str">
        <f aca="false">IF($A601="","",DATE(YEAR($A601),MONTH($A601),1))</f>
        <v/>
      </c>
      <c r="R601" s="8" t="str">
        <f aca="false">IF(OR($A601="",$D601=""),"",IF(COUNTIFS($D$6:$D$1005,$D601,$A$6:$A$1005,"&gt;"&amp;$A601)=0,1,0))</f>
        <v/>
      </c>
    </row>
    <row r="602" customFormat="false" ht="15" hidden="false" customHeight="false" outlineLevel="0" collapsed="false">
      <c r="A602" s="44"/>
      <c r="B602" s="6"/>
      <c r="C602" s="6"/>
      <c r="D602" s="6"/>
      <c r="E602" s="8" t="str">
        <f aca="false">IF($D602="","",IFERROR(INDEX(INSUMOS!$B$6:$B$205,MATCH($D602,INSUMOS!$A$6:$A$205,0)),"¿Código?"))</f>
        <v/>
      </c>
      <c r="F602" s="8" t="str">
        <f aca="false">IF($D602="","",IFERROR(INDEX(INSUMOS!$E$6:$E$205,MATCH($D602,INSUMOS!$A$6:$A$205,0)),""))</f>
        <v/>
      </c>
      <c r="G602" s="39"/>
      <c r="H602" s="45" t="str">
        <f aca="false">IF($D602="","",IFERROR(INDEX(INSUMOS!$F$6:$F$205,MATCH($D602,INSUMOS!$A$6:$A$205,0)),0))</f>
        <v/>
      </c>
      <c r="I602" s="34" t="str">
        <f aca="false">IF($D602="","",N($G602)*$H602)</f>
        <v/>
      </c>
      <c r="J602" s="40"/>
      <c r="K602" s="36" t="str">
        <f aca="false">IF($D602="","",IFERROR(INDEX(INSUMOS!$H$6:$H$205,MATCH($D602,INSUMOS!$A$6:$A$205,0)),IVA_VENTAS))</f>
        <v/>
      </c>
      <c r="L602" s="35" t="str">
        <f aca="false">IF($D602="","",N($J602)*$K602)</f>
        <v/>
      </c>
      <c r="M602" s="35" t="str">
        <f aca="false">IF($D602="","",N($J602)+$L602)</f>
        <v/>
      </c>
      <c r="N602" s="43" t="str">
        <f aca="false">IF($D602="","",IFERROR(N($J602)/$I602,0))</f>
        <v/>
      </c>
      <c r="O602" s="6"/>
      <c r="P602" s="6"/>
      <c r="Q602" s="46" t="str">
        <f aca="false">IF($A602="","",DATE(YEAR($A602),MONTH($A602),1))</f>
        <v/>
      </c>
      <c r="R602" s="8" t="str">
        <f aca="false">IF(OR($A602="",$D602=""),"",IF(COUNTIFS($D$6:$D$1005,$D602,$A$6:$A$1005,"&gt;"&amp;$A602)=0,1,0))</f>
        <v/>
      </c>
    </row>
    <row r="603" customFormat="false" ht="15" hidden="false" customHeight="false" outlineLevel="0" collapsed="false">
      <c r="A603" s="44"/>
      <c r="B603" s="6"/>
      <c r="C603" s="6"/>
      <c r="D603" s="6"/>
      <c r="E603" s="8" t="str">
        <f aca="false">IF($D603="","",IFERROR(INDEX(INSUMOS!$B$6:$B$205,MATCH($D603,INSUMOS!$A$6:$A$205,0)),"¿Código?"))</f>
        <v/>
      </c>
      <c r="F603" s="8" t="str">
        <f aca="false">IF($D603="","",IFERROR(INDEX(INSUMOS!$E$6:$E$205,MATCH($D603,INSUMOS!$A$6:$A$205,0)),""))</f>
        <v/>
      </c>
      <c r="G603" s="39"/>
      <c r="H603" s="45" t="str">
        <f aca="false">IF($D603="","",IFERROR(INDEX(INSUMOS!$F$6:$F$205,MATCH($D603,INSUMOS!$A$6:$A$205,0)),0))</f>
        <v/>
      </c>
      <c r="I603" s="34" t="str">
        <f aca="false">IF($D603="","",N($G603)*$H603)</f>
        <v/>
      </c>
      <c r="J603" s="40"/>
      <c r="K603" s="36" t="str">
        <f aca="false">IF($D603="","",IFERROR(INDEX(INSUMOS!$H$6:$H$205,MATCH($D603,INSUMOS!$A$6:$A$205,0)),IVA_VENTAS))</f>
        <v/>
      </c>
      <c r="L603" s="35" t="str">
        <f aca="false">IF($D603="","",N($J603)*$K603)</f>
        <v/>
      </c>
      <c r="M603" s="35" t="str">
        <f aca="false">IF($D603="","",N($J603)+$L603)</f>
        <v/>
      </c>
      <c r="N603" s="43" t="str">
        <f aca="false">IF($D603="","",IFERROR(N($J603)/$I603,0))</f>
        <v/>
      </c>
      <c r="O603" s="6"/>
      <c r="P603" s="6"/>
      <c r="Q603" s="46" t="str">
        <f aca="false">IF($A603="","",DATE(YEAR($A603),MONTH($A603),1))</f>
        <v/>
      </c>
      <c r="R603" s="8" t="str">
        <f aca="false">IF(OR($A603="",$D603=""),"",IF(COUNTIFS($D$6:$D$1005,$D603,$A$6:$A$1005,"&gt;"&amp;$A603)=0,1,0))</f>
        <v/>
      </c>
    </row>
    <row r="604" customFormat="false" ht="15" hidden="false" customHeight="false" outlineLevel="0" collapsed="false">
      <c r="A604" s="44"/>
      <c r="B604" s="6"/>
      <c r="C604" s="6"/>
      <c r="D604" s="6"/>
      <c r="E604" s="8" t="str">
        <f aca="false">IF($D604="","",IFERROR(INDEX(INSUMOS!$B$6:$B$205,MATCH($D604,INSUMOS!$A$6:$A$205,0)),"¿Código?"))</f>
        <v/>
      </c>
      <c r="F604" s="8" t="str">
        <f aca="false">IF($D604="","",IFERROR(INDEX(INSUMOS!$E$6:$E$205,MATCH($D604,INSUMOS!$A$6:$A$205,0)),""))</f>
        <v/>
      </c>
      <c r="G604" s="39"/>
      <c r="H604" s="45" t="str">
        <f aca="false">IF($D604="","",IFERROR(INDEX(INSUMOS!$F$6:$F$205,MATCH($D604,INSUMOS!$A$6:$A$205,0)),0))</f>
        <v/>
      </c>
      <c r="I604" s="34" t="str">
        <f aca="false">IF($D604="","",N($G604)*$H604)</f>
        <v/>
      </c>
      <c r="J604" s="40"/>
      <c r="K604" s="36" t="str">
        <f aca="false">IF($D604="","",IFERROR(INDEX(INSUMOS!$H$6:$H$205,MATCH($D604,INSUMOS!$A$6:$A$205,0)),IVA_VENTAS))</f>
        <v/>
      </c>
      <c r="L604" s="35" t="str">
        <f aca="false">IF($D604="","",N($J604)*$K604)</f>
        <v/>
      </c>
      <c r="M604" s="35" t="str">
        <f aca="false">IF($D604="","",N($J604)+$L604)</f>
        <v/>
      </c>
      <c r="N604" s="43" t="str">
        <f aca="false">IF($D604="","",IFERROR(N($J604)/$I604,0))</f>
        <v/>
      </c>
      <c r="O604" s="6"/>
      <c r="P604" s="6"/>
      <c r="Q604" s="46" t="str">
        <f aca="false">IF($A604="","",DATE(YEAR($A604),MONTH($A604),1))</f>
        <v/>
      </c>
      <c r="R604" s="8" t="str">
        <f aca="false">IF(OR($A604="",$D604=""),"",IF(COUNTIFS($D$6:$D$1005,$D604,$A$6:$A$1005,"&gt;"&amp;$A604)=0,1,0))</f>
        <v/>
      </c>
    </row>
    <row r="605" customFormat="false" ht="15" hidden="false" customHeight="false" outlineLevel="0" collapsed="false">
      <c r="A605" s="44"/>
      <c r="B605" s="6"/>
      <c r="C605" s="6"/>
      <c r="D605" s="6"/>
      <c r="E605" s="8" t="str">
        <f aca="false">IF($D605="","",IFERROR(INDEX(INSUMOS!$B$6:$B$205,MATCH($D605,INSUMOS!$A$6:$A$205,0)),"¿Código?"))</f>
        <v/>
      </c>
      <c r="F605" s="8" t="str">
        <f aca="false">IF($D605="","",IFERROR(INDEX(INSUMOS!$E$6:$E$205,MATCH($D605,INSUMOS!$A$6:$A$205,0)),""))</f>
        <v/>
      </c>
      <c r="G605" s="39"/>
      <c r="H605" s="45" t="str">
        <f aca="false">IF($D605="","",IFERROR(INDEX(INSUMOS!$F$6:$F$205,MATCH($D605,INSUMOS!$A$6:$A$205,0)),0))</f>
        <v/>
      </c>
      <c r="I605" s="34" t="str">
        <f aca="false">IF($D605="","",N($G605)*$H605)</f>
        <v/>
      </c>
      <c r="J605" s="40"/>
      <c r="K605" s="36" t="str">
        <f aca="false">IF($D605="","",IFERROR(INDEX(INSUMOS!$H$6:$H$205,MATCH($D605,INSUMOS!$A$6:$A$205,0)),IVA_VENTAS))</f>
        <v/>
      </c>
      <c r="L605" s="35" t="str">
        <f aca="false">IF($D605="","",N($J605)*$K605)</f>
        <v/>
      </c>
      <c r="M605" s="35" t="str">
        <f aca="false">IF($D605="","",N($J605)+$L605)</f>
        <v/>
      </c>
      <c r="N605" s="43" t="str">
        <f aca="false">IF($D605="","",IFERROR(N($J605)/$I605,0))</f>
        <v/>
      </c>
      <c r="O605" s="6"/>
      <c r="P605" s="6"/>
      <c r="Q605" s="46" t="str">
        <f aca="false">IF($A605="","",DATE(YEAR($A605),MONTH($A605),1))</f>
        <v/>
      </c>
      <c r="R605" s="8" t="str">
        <f aca="false">IF(OR($A605="",$D605=""),"",IF(COUNTIFS($D$6:$D$1005,$D605,$A$6:$A$1005,"&gt;"&amp;$A605)=0,1,0))</f>
        <v/>
      </c>
    </row>
    <row r="606" customFormat="false" ht="15" hidden="false" customHeight="false" outlineLevel="0" collapsed="false">
      <c r="A606" s="44"/>
      <c r="B606" s="6"/>
      <c r="C606" s="6"/>
      <c r="D606" s="6"/>
      <c r="E606" s="8" t="str">
        <f aca="false">IF($D606="","",IFERROR(INDEX(INSUMOS!$B$6:$B$205,MATCH($D606,INSUMOS!$A$6:$A$205,0)),"¿Código?"))</f>
        <v/>
      </c>
      <c r="F606" s="8" t="str">
        <f aca="false">IF($D606="","",IFERROR(INDEX(INSUMOS!$E$6:$E$205,MATCH($D606,INSUMOS!$A$6:$A$205,0)),""))</f>
        <v/>
      </c>
      <c r="G606" s="39"/>
      <c r="H606" s="45" t="str">
        <f aca="false">IF($D606="","",IFERROR(INDEX(INSUMOS!$F$6:$F$205,MATCH($D606,INSUMOS!$A$6:$A$205,0)),0))</f>
        <v/>
      </c>
      <c r="I606" s="34" t="str">
        <f aca="false">IF($D606="","",N($G606)*$H606)</f>
        <v/>
      </c>
      <c r="J606" s="40"/>
      <c r="K606" s="36" t="str">
        <f aca="false">IF($D606="","",IFERROR(INDEX(INSUMOS!$H$6:$H$205,MATCH($D606,INSUMOS!$A$6:$A$205,0)),IVA_VENTAS))</f>
        <v/>
      </c>
      <c r="L606" s="35" t="str">
        <f aca="false">IF($D606="","",N($J606)*$K606)</f>
        <v/>
      </c>
      <c r="M606" s="35" t="str">
        <f aca="false">IF($D606="","",N($J606)+$L606)</f>
        <v/>
      </c>
      <c r="N606" s="43" t="str">
        <f aca="false">IF($D606="","",IFERROR(N($J606)/$I606,0))</f>
        <v/>
      </c>
      <c r="O606" s="6"/>
      <c r="P606" s="6"/>
      <c r="Q606" s="46" t="str">
        <f aca="false">IF($A606="","",DATE(YEAR($A606),MONTH($A606),1))</f>
        <v/>
      </c>
      <c r="R606" s="8" t="str">
        <f aca="false">IF(OR($A606="",$D606=""),"",IF(COUNTIFS($D$6:$D$1005,$D606,$A$6:$A$1005,"&gt;"&amp;$A606)=0,1,0))</f>
        <v/>
      </c>
    </row>
    <row r="607" customFormat="false" ht="15" hidden="false" customHeight="false" outlineLevel="0" collapsed="false">
      <c r="A607" s="44"/>
      <c r="B607" s="6"/>
      <c r="C607" s="6"/>
      <c r="D607" s="6"/>
      <c r="E607" s="8" t="str">
        <f aca="false">IF($D607="","",IFERROR(INDEX(INSUMOS!$B$6:$B$205,MATCH($D607,INSUMOS!$A$6:$A$205,0)),"¿Código?"))</f>
        <v/>
      </c>
      <c r="F607" s="8" t="str">
        <f aca="false">IF($D607="","",IFERROR(INDEX(INSUMOS!$E$6:$E$205,MATCH($D607,INSUMOS!$A$6:$A$205,0)),""))</f>
        <v/>
      </c>
      <c r="G607" s="39"/>
      <c r="H607" s="45" t="str">
        <f aca="false">IF($D607="","",IFERROR(INDEX(INSUMOS!$F$6:$F$205,MATCH($D607,INSUMOS!$A$6:$A$205,0)),0))</f>
        <v/>
      </c>
      <c r="I607" s="34" t="str">
        <f aca="false">IF($D607="","",N($G607)*$H607)</f>
        <v/>
      </c>
      <c r="J607" s="40"/>
      <c r="K607" s="36" t="str">
        <f aca="false">IF($D607="","",IFERROR(INDEX(INSUMOS!$H$6:$H$205,MATCH($D607,INSUMOS!$A$6:$A$205,0)),IVA_VENTAS))</f>
        <v/>
      </c>
      <c r="L607" s="35" t="str">
        <f aca="false">IF($D607="","",N($J607)*$K607)</f>
        <v/>
      </c>
      <c r="M607" s="35" t="str">
        <f aca="false">IF($D607="","",N($J607)+$L607)</f>
        <v/>
      </c>
      <c r="N607" s="43" t="str">
        <f aca="false">IF($D607="","",IFERROR(N($J607)/$I607,0))</f>
        <v/>
      </c>
      <c r="O607" s="6"/>
      <c r="P607" s="6"/>
      <c r="Q607" s="46" t="str">
        <f aca="false">IF($A607="","",DATE(YEAR($A607),MONTH($A607),1))</f>
        <v/>
      </c>
      <c r="R607" s="8" t="str">
        <f aca="false">IF(OR($A607="",$D607=""),"",IF(COUNTIFS($D$6:$D$1005,$D607,$A$6:$A$1005,"&gt;"&amp;$A607)=0,1,0))</f>
        <v/>
      </c>
    </row>
    <row r="608" customFormat="false" ht="15" hidden="false" customHeight="false" outlineLevel="0" collapsed="false">
      <c r="A608" s="44"/>
      <c r="B608" s="6"/>
      <c r="C608" s="6"/>
      <c r="D608" s="6"/>
      <c r="E608" s="8" t="str">
        <f aca="false">IF($D608="","",IFERROR(INDEX(INSUMOS!$B$6:$B$205,MATCH($D608,INSUMOS!$A$6:$A$205,0)),"¿Código?"))</f>
        <v/>
      </c>
      <c r="F608" s="8" t="str">
        <f aca="false">IF($D608="","",IFERROR(INDEX(INSUMOS!$E$6:$E$205,MATCH($D608,INSUMOS!$A$6:$A$205,0)),""))</f>
        <v/>
      </c>
      <c r="G608" s="39"/>
      <c r="H608" s="45" t="str">
        <f aca="false">IF($D608="","",IFERROR(INDEX(INSUMOS!$F$6:$F$205,MATCH($D608,INSUMOS!$A$6:$A$205,0)),0))</f>
        <v/>
      </c>
      <c r="I608" s="34" t="str">
        <f aca="false">IF($D608="","",N($G608)*$H608)</f>
        <v/>
      </c>
      <c r="J608" s="40"/>
      <c r="K608" s="36" t="str">
        <f aca="false">IF($D608="","",IFERROR(INDEX(INSUMOS!$H$6:$H$205,MATCH($D608,INSUMOS!$A$6:$A$205,0)),IVA_VENTAS))</f>
        <v/>
      </c>
      <c r="L608" s="35" t="str">
        <f aca="false">IF($D608="","",N($J608)*$K608)</f>
        <v/>
      </c>
      <c r="M608" s="35" t="str">
        <f aca="false">IF($D608="","",N($J608)+$L608)</f>
        <v/>
      </c>
      <c r="N608" s="43" t="str">
        <f aca="false">IF($D608="","",IFERROR(N($J608)/$I608,0))</f>
        <v/>
      </c>
      <c r="O608" s="6"/>
      <c r="P608" s="6"/>
      <c r="Q608" s="46" t="str">
        <f aca="false">IF($A608="","",DATE(YEAR($A608),MONTH($A608),1))</f>
        <v/>
      </c>
      <c r="R608" s="8" t="str">
        <f aca="false">IF(OR($A608="",$D608=""),"",IF(COUNTIFS($D$6:$D$1005,$D608,$A$6:$A$1005,"&gt;"&amp;$A608)=0,1,0))</f>
        <v/>
      </c>
    </row>
    <row r="609" customFormat="false" ht="15" hidden="false" customHeight="false" outlineLevel="0" collapsed="false">
      <c r="A609" s="44"/>
      <c r="B609" s="6"/>
      <c r="C609" s="6"/>
      <c r="D609" s="6"/>
      <c r="E609" s="8" t="str">
        <f aca="false">IF($D609="","",IFERROR(INDEX(INSUMOS!$B$6:$B$205,MATCH($D609,INSUMOS!$A$6:$A$205,0)),"¿Código?"))</f>
        <v/>
      </c>
      <c r="F609" s="8" t="str">
        <f aca="false">IF($D609="","",IFERROR(INDEX(INSUMOS!$E$6:$E$205,MATCH($D609,INSUMOS!$A$6:$A$205,0)),""))</f>
        <v/>
      </c>
      <c r="G609" s="39"/>
      <c r="H609" s="45" t="str">
        <f aca="false">IF($D609="","",IFERROR(INDEX(INSUMOS!$F$6:$F$205,MATCH($D609,INSUMOS!$A$6:$A$205,0)),0))</f>
        <v/>
      </c>
      <c r="I609" s="34" t="str">
        <f aca="false">IF($D609="","",N($G609)*$H609)</f>
        <v/>
      </c>
      <c r="J609" s="40"/>
      <c r="K609" s="36" t="str">
        <f aca="false">IF($D609="","",IFERROR(INDEX(INSUMOS!$H$6:$H$205,MATCH($D609,INSUMOS!$A$6:$A$205,0)),IVA_VENTAS))</f>
        <v/>
      </c>
      <c r="L609" s="35" t="str">
        <f aca="false">IF($D609="","",N($J609)*$K609)</f>
        <v/>
      </c>
      <c r="M609" s="35" t="str">
        <f aca="false">IF($D609="","",N($J609)+$L609)</f>
        <v/>
      </c>
      <c r="N609" s="43" t="str">
        <f aca="false">IF($D609="","",IFERROR(N($J609)/$I609,0))</f>
        <v/>
      </c>
      <c r="O609" s="6"/>
      <c r="P609" s="6"/>
      <c r="Q609" s="46" t="str">
        <f aca="false">IF($A609="","",DATE(YEAR($A609),MONTH($A609),1))</f>
        <v/>
      </c>
      <c r="R609" s="8" t="str">
        <f aca="false">IF(OR($A609="",$D609=""),"",IF(COUNTIFS($D$6:$D$1005,$D609,$A$6:$A$1005,"&gt;"&amp;$A609)=0,1,0))</f>
        <v/>
      </c>
    </row>
    <row r="610" customFormat="false" ht="15" hidden="false" customHeight="false" outlineLevel="0" collapsed="false">
      <c r="A610" s="44"/>
      <c r="B610" s="6"/>
      <c r="C610" s="6"/>
      <c r="D610" s="6"/>
      <c r="E610" s="8" t="str">
        <f aca="false">IF($D610="","",IFERROR(INDEX(INSUMOS!$B$6:$B$205,MATCH($D610,INSUMOS!$A$6:$A$205,0)),"¿Código?"))</f>
        <v/>
      </c>
      <c r="F610" s="8" t="str">
        <f aca="false">IF($D610="","",IFERROR(INDEX(INSUMOS!$E$6:$E$205,MATCH($D610,INSUMOS!$A$6:$A$205,0)),""))</f>
        <v/>
      </c>
      <c r="G610" s="39"/>
      <c r="H610" s="45" t="str">
        <f aca="false">IF($D610="","",IFERROR(INDEX(INSUMOS!$F$6:$F$205,MATCH($D610,INSUMOS!$A$6:$A$205,0)),0))</f>
        <v/>
      </c>
      <c r="I610" s="34" t="str">
        <f aca="false">IF($D610="","",N($G610)*$H610)</f>
        <v/>
      </c>
      <c r="J610" s="40"/>
      <c r="K610" s="36" t="str">
        <f aca="false">IF($D610="","",IFERROR(INDEX(INSUMOS!$H$6:$H$205,MATCH($D610,INSUMOS!$A$6:$A$205,0)),IVA_VENTAS))</f>
        <v/>
      </c>
      <c r="L610" s="35" t="str">
        <f aca="false">IF($D610="","",N($J610)*$K610)</f>
        <v/>
      </c>
      <c r="M610" s="35" t="str">
        <f aca="false">IF($D610="","",N($J610)+$L610)</f>
        <v/>
      </c>
      <c r="N610" s="43" t="str">
        <f aca="false">IF($D610="","",IFERROR(N($J610)/$I610,0))</f>
        <v/>
      </c>
      <c r="O610" s="6"/>
      <c r="P610" s="6"/>
      <c r="Q610" s="46" t="str">
        <f aca="false">IF($A610="","",DATE(YEAR($A610),MONTH($A610),1))</f>
        <v/>
      </c>
      <c r="R610" s="8" t="str">
        <f aca="false">IF(OR($A610="",$D610=""),"",IF(COUNTIFS($D$6:$D$1005,$D610,$A$6:$A$1005,"&gt;"&amp;$A610)=0,1,0))</f>
        <v/>
      </c>
    </row>
    <row r="611" customFormat="false" ht="15" hidden="false" customHeight="false" outlineLevel="0" collapsed="false">
      <c r="A611" s="44"/>
      <c r="B611" s="6"/>
      <c r="C611" s="6"/>
      <c r="D611" s="6"/>
      <c r="E611" s="8" t="str">
        <f aca="false">IF($D611="","",IFERROR(INDEX(INSUMOS!$B$6:$B$205,MATCH($D611,INSUMOS!$A$6:$A$205,0)),"¿Código?"))</f>
        <v/>
      </c>
      <c r="F611" s="8" t="str">
        <f aca="false">IF($D611="","",IFERROR(INDEX(INSUMOS!$E$6:$E$205,MATCH($D611,INSUMOS!$A$6:$A$205,0)),""))</f>
        <v/>
      </c>
      <c r="G611" s="39"/>
      <c r="H611" s="45" t="str">
        <f aca="false">IF($D611="","",IFERROR(INDEX(INSUMOS!$F$6:$F$205,MATCH($D611,INSUMOS!$A$6:$A$205,0)),0))</f>
        <v/>
      </c>
      <c r="I611" s="34" t="str">
        <f aca="false">IF($D611="","",N($G611)*$H611)</f>
        <v/>
      </c>
      <c r="J611" s="40"/>
      <c r="K611" s="36" t="str">
        <f aca="false">IF($D611="","",IFERROR(INDEX(INSUMOS!$H$6:$H$205,MATCH($D611,INSUMOS!$A$6:$A$205,0)),IVA_VENTAS))</f>
        <v/>
      </c>
      <c r="L611" s="35" t="str">
        <f aca="false">IF($D611="","",N($J611)*$K611)</f>
        <v/>
      </c>
      <c r="M611" s="35" t="str">
        <f aca="false">IF($D611="","",N($J611)+$L611)</f>
        <v/>
      </c>
      <c r="N611" s="43" t="str">
        <f aca="false">IF($D611="","",IFERROR(N($J611)/$I611,0))</f>
        <v/>
      </c>
      <c r="O611" s="6"/>
      <c r="P611" s="6"/>
      <c r="Q611" s="46" t="str">
        <f aca="false">IF($A611="","",DATE(YEAR($A611),MONTH($A611),1))</f>
        <v/>
      </c>
      <c r="R611" s="8" t="str">
        <f aca="false">IF(OR($A611="",$D611=""),"",IF(COUNTIFS($D$6:$D$1005,$D611,$A$6:$A$1005,"&gt;"&amp;$A611)=0,1,0))</f>
        <v/>
      </c>
    </row>
    <row r="612" customFormat="false" ht="15" hidden="false" customHeight="false" outlineLevel="0" collapsed="false">
      <c r="A612" s="44"/>
      <c r="B612" s="6"/>
      <c r="C612" s="6"/>
      <c r="D612" s="6"/>
      <c r="E612" s="8" t="str">
        <f aca="false">IF($D612="","",IFERROR(INDEX(INSUMOS!$B$6:$B$205,MATCH($D612,INSUMOS!$A$6:$A$205,0)),"¿Código?"))</f>
        <v/>
      </c>
      <c r="F612" s="8" t="str">
        <f aca="false">IF($D612="","",IFERROR(INDEX(INSUMOS!$E$6:$E$205,MATCH($D612,INSUMOS!$A$6:$A$205,0)),""))</f>
        <v/>
      </c>
      <c r="G612" s="39"/>
      <c r="H612" s="45" t="str">
        <f aca="false">IF($D612="","",IFERROR(INDEX(INSUMOS!$F$6:$F$205,MATCH($D612,INSUMOS!$A$6:$A$205,0)),0))</f>
        <v/>
      </c>
      <c r="I612" s="34" t="str">
        <f aca="false">IF($D612="","",N($G612)*$H612)</f>
        <v/>
      </c>
      <c r="J612" s="40"/>
      <c r="K612" s="36" t="str">
        <f aca="false">IF($D612="","",IFERROR(INDEX(INSUMOS!$H$6:$H$205,MATCH($D612,INSUMOS!$A$6:$A$205,0)),IVA_VENTAS))</f>
        <v/>
      </c>
      <c r="L612" s="35" t="str">
        <f aca="false">IF($D612="","",N($J612)*$K612)</f>
        <v/>
      </c>
      <c r="M612" s="35" t="str">
        <f aca="false">IF($D612="","",N($J612)+$L612)</f>
        <v/>
      </c>
      <c r="N612" s="43" t="str">
        <f aca="false">IF($D612="","",IFERROR(N($J612)/$I612,0))</f>
        <v/>
      </c>
      <c r="O612" s="6"/>
      <c r="P612" s="6"/>
      <c r="Q612" s="46" t="str">
        <f aca="false">IF($A612="","",DATE(YEAR($A612),MONTH($A612),1))</f>
        <v/>
      </c>
      <c r="R612" s="8" t="str">
        <f aca="false">IF(OR($A612="",$D612=""),"",IF(COUNTIFS($D$6:$D$1005,$D612,$A$6:$A$1005,"&gt;"&amp;$A612)=0,1,0))</f>
        <v/>
      </c>
    </row>
    <row r="613" customFormat="false" ht="15" hidden="false" customHeight="false" outlineLevel="0" collapsed="false">
      <c r="A613" s="44"/>
      <c r="B613" s="6"/>
      <c r="C613" s="6"/>
      <c r="D613" s="6"/>
      <c r="E613" s="8" t="str">
        <f aca="false">IF($D613="","",IFERROR(INDEX(INSUMOS!$B$6:$B$205,MATCH($D613,INSUMOS!$A$6:$A$205,0)),"¿Código?"))</f>
        <v/>
      </c>
      <c r="F613" s="8" t="str">
        <f aca="false">IF($D613="","",IFERROR(INDEX(INSUMOS!$E$6:$E$205,MATCH($D613,INSUMOS!$A$6:$A$205,0)),""))</f>
        <v/>
      </c>
      <c r="G613" s="39"/>
      <c r="H613" s="45" t="str">
        <f aca="false">IF($D613="","",IFERROR(INDEX(INSUMOS!$F$6:$F$205,MATCH($D613,INSUMOS!$A$6:$A$205,0)),0))</f>
        <v/>
      </c>
      <c r="I613" s="34" t="str">
        <f aca="false">IF($D613="","",N($G613)*$H613)</f>
        <v/>
      </c>
      <c r="J613" s="40"/>
      <c r="K613" s="36" t="str">
        <f aca="false">IF($D613="","",IFERROR(INDEX(INSUMOS!$H$6:$H$205,MATCH($D613,INSUMOS!$A$6:$A$205,0)),IVA_VENTAS))</f>
        <v/>
      </c>
      <c r="L613" s="35" t="str">
        <f aca="false">IF($D613="","",N($J613)*$K613)</f>
        <v/>
      </c>
      <c r="M613" s="35" t="str">
        <f aca="false">IF($D613="","",N($J613)+$L613)</f>
        <v/>
      </c>
      <c r="N613" s="43" t="str">
        <f aca="false">IF($D613="","",IFERROR(N($J613)/$I613,0))</f>
        <v/>
      </c>
      <c r="O613" s="6"/>
      <c r="P613" s="6"/>
      <c r="Q613" s="46" t="str">
        <f aca="false">IF($A613="","",DATE(YEAR($A613),MONTH($A613),1))</f>
        <v/>
      </c>
      <c r="R613" s="8" t="str">
        <f aca="false">IF(OR($A613="",$D613=""),"",IF(COUNTIFS($D$6:$D$1005,$D613,$A$6:$A$1005,"&gt;"&amp;$A613)=0,1,0))</f>
        <v/>
      </c>
    </row>
    <row r="614" customFormat="false" ht="15" hidden="false" customHeight="false" outlineLevel="0" collapsed="false">
      <c r="A614" s="44"/>
      <c r="B614" s="6"/>
      <c r="C614" s="6"/>
      <c r="D614" s="6"/>
      <c r="E614" s="8" t="str">
        <f aca="false">IF($D614="","",IFERROR(INDEX(INSUMOS!$B$6:$B$205,MATCH($D614,INSUMOS!$A$6:$A$205,0)),"¿Código?"))</f>
        <v/>
      </c>
      <c r="F614" s="8" t="str">
        <f aca="false">IF($D614="","",IFERROR(INDEX(INSUMOS!$E$6:$E$205,MATCH($D614,INSUMOS!$A$6:$A$205,0)),""))</f>
        <v/>
      </c>
      <c r="G614" s="39"/>
      <c r="H614" s="45" t="str">
        <f aca="false">IF($D614="","",IFERROR(INDEX(INSUMOS!$F$6:$F$205,MATCH($D614,INSUMOS!$A$6:$A$205,0)),0))</f>
        <v/>
      </c>
      <c r="I614" s="34" t="str">
        <f aca="false">IF($D614="","",N($G614)*$H614)</f>
        <v/>
      </c>
      <c r="J614" s="40"/>
      <c r="K614" s="36" t="str">
        <f aca="false">IF($D614="","",IFERROR(INDEX(INSUMOS!$H$6:$H$205,MATCH($D614,INSUMOS!$A$6:$A$205,0)),IVA_VENTAS))</f>
        <v/>
      </c>
      <c r="L614" s="35" t="str">
        <f aca="false">IF($D614="","",N($J614)*$K614)</f>
        <v/>
      </c>
      <c r="M614" s="35" t="str">
        <f aca="false">IF($D614="","",N($J614)+$L614)</f>
        <v/>
      </c>
      <c r="N614" s="43" t="str">
        <f aca="false">IF($D614="","",IFERROR(N($J614)/$I614,0))</f>
        <v/>
      </c>
      <c r="O614" s="6"/>
      <c r="P614" s="6"/>
      <c r="Q614" s="46" t="str">
        <f aca="false">IF($A614="","",DATE(YEAR($A614),MONTH($A614),1))</f>
        <v/>
      </c>
      <c r="R614" s="8" t="str">
        <f aca="false">IF(OR($A614="",$D614=""),"",IF(COUNTIFS($D$6:$D$1005,$D614,$A$6:$A$1005,"&gt;"&amp;$A614)=0,1,0))</f>
        <v/>
      </c>
    </row>
    <row r="615" customFormat="false" ht="15" hidden="false" customHeight="false" outlineLevel="0" collapsed="false">
      <c r="A615" s="44"/>
      <c r="B615" s="6"/>
      <c r="C615" s="6"/>
      <c r="D615" s="6"/>
      <c r="E615" s="8" t="str">
        <f aca="false">IF($D615="","",IFERROR(INDEX(INSUMOS!$B$6:$B$205,MATCH($D615,INSUMOS!$A$6:$A$205,0)),"¿Código?"))</f>
        <v/>
      </c>
      <c r="F615" s="8" t="str">
        <f aca="false">IF($D615="","",IFERROR(INDEX(INSUMOS!$E$6:$E$205,MATCH($D615,INSUMOS!$A$6:$A$205,0)),""))</f>
        <v/>
      </c>
      <c r="G615" s="39"/>
      <c r="H615" s="45" t="str">
        <f aca="false">IF($D615="","",IFERROR(INDEX(INSUMOS!$F$6:$F$205,MATCH($D615,INSUMOS!$A$6:$A$205,0)),0))</f>
        <v/>
      </c>
      <c r="I615" s="34" t="str">
        <f aca="false">IF($D615="","",N($G615)*$H615)</f>
        <v/>
      </c>
      <c r="J615" s="40"/>
      <c r="K615" s="36" t="str">
        <f aca="false">IF($D615="","",IFERROR(INDEX(INSUMOS!$H$6:$H$205,MATCH($D615,INSUMOS!$A$6:$A$205,0)),IVA_VENTAS))</f>
        <v/>
      </c>
      <c r="L615" s="35" t="str">
        <f aca="false">IF($D615="","",N($J615)*$K615)</f>
        <v/>
      </c>
      <c r="M615" s="35" t="str">
        <f aca="false">IF($D615="","",N($J615)+$L615)</f>
        <v/>
      </c>
      <c r="N615" s="43" t="str">
        <f aca="false">IF($D615="","",IFERROR(N($J615)/$I615,0))</f>
        <v/>
      </c>
      <c r="O615" s="6"/>
      <c r="P615" s="6"/>
      <c r="Q615" s="46" t="str">
        <f aca="false">IF($A615="","",DATE(YEAR($A615),MONTH($A615),1))</f>
        <v/>
      </c>
      <c r="R615" s="8" t="str">
        <f aca="false">IF(OR($A615="",$D615=""),"",IF(COUNTIFS($D$6:$D$1005,$D615,$A$6:$A$1005,"&gt;"&amp;$A615)=0,1,0))</f>
        <v/>
      </c>
    </row>
    <row r="616" customFormat="false" ht="15" hidden="false" customHeight="false" outlineLevel="0" collapsed="false">
      <c r="A616" s="44"/>
      <c r="B616" s="6"/>
      <c r="C616" s="6"/>
      <c r="D616" s="6"/>
      <c r="E616" s="8" t="str">
        <f aca="false">IF($D616="","",IFERROR(INDEX(INSUMOS!$B$6:$B$205,MATCH($D616,INSUMOS!$A$6:$A$205,0)),"¿Código?"))</f>
        <v/>
      </c>
      <c r="F616" s="8" t="str">
        <f aca="false">IF($D616="","",IFERROR(INDEX(INSUMOS!$E$6:$E$205,MATCH($D616,INSUMOS!$A$6:$A$205,0)),""))</f>
        <v/>
      </c>
      <c r="G616" s="39"/>
      <c r="H616" s="45" t="str">
        <f aca="false">IF($D616="","",IFERROR(INDEX(INSUMOS!$F$6:$F$205,MATCH($D616,INSUMOS!$A$6:$A$205,0)),0))</f>
        <v/>
      </c>
      <c r="I616" s="34" t="str">
        <f aca="false">IF($D616="","",N($G616)*$H616)</f>
        <v/>
      </c>
      <c r="J616" s="40"/>
      <c r="K616" s="36" t="str">
        <f aca="false">IF($D616="","",IFERROR(INDEX(INSUMOS!$H$6:$H$205,MATCH($D616,INSUMOS!$A$6:$A$205,0)),IVA_VENTAS))</f>
        <v/>
      </c>
      <c r="L616" s="35" t="str">
        <f aca="false">IF($D616="","",N($J616)*$K616)</f>
        <v/>
      </c>
      <c r="M616" s="35" t="str">
        <f aca="false">IF($D616="","",N($J616)+$L616)</f>
        <v/>
      </c>
      <c r="N616" s="43" t="str">
        <f aca="false">IF($D616="","",IFERROR(N($J616)/$I616,0))</f>
        <v/>
      </c>
      <c r="O616" s="6"/>
      <c r="P616" s="6"/>
      <c r="Q616" s="46" t="str">
        <f aca="false">IF($A616="","",DATE(YEAR($A616),MONTH($A616),1))</f>
        <v/>
      </c>
      <c r="R616" s="8" t="str">
        <f aca="false">IF(OR($A616="",$D616=""),"",IF(COUNTIFS($D$6:$D$1005,$D616,$A$6:$A$1005,"&gt;"&amp;$A616)=0,1,0))</f>
        <v/>
      </c>
    </row>
    <row r="617" customFormat="false" ht="15" hidden="false" customHeight="false" outlineLevel="0" collapsed="false">
      <c r="A617" s="44"/>
      <c r="B617" s="6"/>
      <c r="C617" s="6"/>
      <c r="D617" s="6"/>
      <c r="E617" s="8" t="str">
        <f aca="false">IF($D617="","",IFERROR(INDEX(INSUMOS!$B$6:$B$205,MATCH($D617,INSUMOS!$A$6:$A$205,0)),"¿Código?"))</f>
        <v/>
      </c>
      <c r="F617" s="8" t="str">
        <f aca="false">IF($D617="","",IFERROR(INDEX(INSUMOS!$E$6:$E$205,MATCH($D617,INSUMOS!$A$6:$A$205,0)),""))</f>
        <v/>
      </c>
      <c r="G617" s="39"/>
      <c r="H617" s="45" t="str">
        <f aca="false">IF($D617="","",IFERROR(INDEX(INSUMOS!$F$6:$F$205,MATCH($D617,INSUMOS!$A$6:$A$205,0)),0))</f>
        <v/>
      </c>
      <c r="I617" s="34" t="str">
        <f aca="false">IF($D617="","",N($G617)*$H617)</f>
        <v/>
      </c>
      <c r="J617" s="40"/>
      <c r="K617" s="36" t="str">
        <f aca="false">IF($D617="","",IFERROR(INDEX(INSUMOS!$H$6:$H$205,MATCH($D617,INSUMOS!$A$6:$A$205,0)),IVA_VENTAS))</f>
        <v/>
      </c>
      <c r="L617" s="35" t="str">
        <f aca="false">IF($D617="","",N($J617)*$K617)</f>
        <v/>
      </c>
      <c r="M617" s="35" t="str">
        <f aca="false">IF($D617="","",N($J617)+$L617)</f>
        <v/>
      </c>
      <c r="N617" s="43" t="str">
        <f aca="false">IF($D617="","",IFERROR(N($J617)/$I617,0))</f>
        <v/>
      </c>
      <c r="O617" s="6"/>
      <c r="P617" s="6"/>
      <c r="Q617" s="46" t="str">
        <f aca="false">IF($A617="","",DATE(YEAR($A617),MONTH($A617),1))</f>
        <v/>
      </c>
      <c r="R617" s="8" t="str">
        <f aca="false">IF(OR($A617="",$D617=""),"",IF(COUNTIFS($D$6:$D$1005,$D617,$A$6:$A$1005,"&gt;"&amp;$A617)=0,1,0))</f>
        <v/>
      </c>
    </row>
    <row r="618" customFormat="false" ht="15" hidden="false" customHeight="false" outlineLevel="0" collapsed="false">
      <c r="A618" s="44"/>
      <c r="B618" s="6"/>
      <c r="C618" s="6"/>
      <c r="D618" s="6"/>
      <c r="E618" s="8" t="str">
        <f aca="false">IF($D618="","",IFERROR(INDEX(INSUMOS!$B$6:$B$205,MATCH($D618,INSUMOS!$A$6:$A$205,0)),"¿Código?"))</f>
        <v/>
      </c>
      <c r="F618" s="8" t="str">
        <f aca="false">IF($D618="","",IFERROR(INDEX(INSUMOS!$E$6:$E$205,MATCH($D618,INSUMOS!$A$6:$A$205,0)),""))</f>
        <v/>
      </c>
      <c r="G618" s="39"/>
      <c r="H618" s="45" t="str">
        <f aca="false">IF($D618="","",IFERROR(INDEX(INSUMOS!$F$6:$F$205,MATCH($D618,INSUMOS!$A$6:$A$205,0)),0))</f>
        <v/>
      </c>
      <c r="I618" s="34" t="str">
        <f aca="false">IF($D618="","",N($G618)*$H618)</f>
        <v/>
      </c>
      <c r="J618" s="40"/>
      <c r="K618" s="36" t="str">
        <f aca="false">IF($D618="","",IFERROR(INDEX(INSUMOS!$H$6:$H$205,MATCH($D618,INSUMOS!$A$6:$A$205,0)),IVA_VENTAS))</f>
        <v/>
      </c>
      <c r="L618" s="35" t="str">
        <f aca="false">IF($D618="","",N($J618)*$K618)</f>
        <v/>
      </c>
      <c r="M618" s="35" t="str">
        <f aca="false">IF($D618="","",N($J618)+$L618)</f>
        <v/>
      </c>
      <c r="N618" s="43" t="str">
        <f aca="false">IF($D618="","",IFERROR(N($J618)/$I618,0))</f>
        <v/>
      </c>
      <c r="O618" s="6"/>
      <c r="P618" s="6"/>
      <c r="Q618" s="46" t="str">
        <f aca="false">IF($A618="","",DATE(YEAR($A618),MONTH($A618),1))</f>
        <v/>
      </c>
      <c r="R618" s="8" t="str">
        <f aca="false">IF(OR($A618="",$D618=""),"",IF(COUNTIFS($D$6:$D$1005,$D618,$A$6:$A$1005,"&gt;"&amp;$A618)=0,1,0))</f>
        <v/>
      </c>
    </row>
    <row r="619" customFormat="false" ht="15" hidden="false" customHeight="false" outlineLevel="0" collapsed="false">
      <c r="A619" s="44"/>
      <c r="B619" s="6"/>
      <c r="C619" s="6"/>
      <c r="D619" s="6"/>
      <c r="E619" s="8" t="str">
        <f aca="false">IF($D619="","",IFERROR(INDEX(INSUMOS!$B$6:$B$205,MATCH($D619,INSUMOS!$A$6:$A$205,0)),"¿Código?"))</f>
        <v/>
      </c>
      <c r="F619" s="8" t="str">
        <f aca="false">IF($D619="","",IFERROR(INDEX(INSUMOS!$E$6:$E$205,MATCH($D619,INSUMOS!$A$6:$A$205,0)),""))</f>
        <v/>
      </c>
      <c r="G619" s="39"/>
      <c r="H619" s="45" t="str">
        <f aca="false">IF($D619="","",IFERROR(INDEX(INSUMOS!$F$6:$F$205,MATCH($D619,INSUMOS!$A$6:$A$205,0)),0))</f>
        <v/>
      </c>
      <c r="I619" s="34" t="str">
        <f aca="false">IF($D619="","",N($G619)*$H619)</f>
        <v/>
      </c>
      <c r="J619" s="40"/>
      <c r="K619" s="36" t="str">
        <f aca="false">IF($D619="","",IFERROR(INDEX(INSUMOS!$H$6:$H$205,MATCH($D619,INSUMOS!$A$6:$A$205,0)),IVA_VENTAS))</f>
        <v/>
      </c>
      <c r="L619" s="35" t="str">
        <f aca="false">IF($D619="","",N($J619)*$K619)</f>
        <v/>
      </c>
      <c r="M619" s="35" t="str">
        <f aca="false">IF($D619="","",N($J619)+$L619)</f>
        <v/>
      </c>
      <c r="N619" s="43" t="str">
        <f aca="false">IF($D619="","",IFERROR(N($J619)/$I619,0))</f>
        <v/>
      </c>
      <c r="O619" s="6"/>
      <c r="P619" s="6"/>
      <c r="Q619" s="46" t="str">
        <f aca="false">IF($A619="","",DATE(YEAR($A619),MONTH($A619),1))</f>
        <v/>
      </c>
      <c r="R619" s="8" t="str">
        <f aca="false">IF(OR($A619="",$D619=""),"",IF(COUNTIFS($D$6:$D$1005,$D619,$A$6:$A$1005,"&gt;"&amp;$A619)=0,1,0))</f>
        <v/>
      </c>
    </row>
    <row r="620" customFormat="false" ht="15" hidden="false" customHeight="false" outlineLevel="0" collapsed="false">
      <c r="A620" s="44"/>
      <c r="B620" s="6"/>
      <c r="C620" s="6"/>
      <c r="D620" s="6"/>
      <c r="E620" s="8" t="str">
        <f aca="false">IF($D620="","",IFERROR(INDEX(INSUMOS!$B$6:$B$205,MATCH($D620,INSUMOS!$A$6:$A$205,0)),"¿Código?"))</f>
        <v/>
      </c>
      <c r="F620" s="8" t="str">
        <f aca="false">IF($D620="","",IFERROR(INDEX(INSUMOS!$E$6:$E$205,MATCH($D620,INSUMOS!$A$6:$A$205,0)),""))</f>
        <v/>
      </c>
      <c r="G620" s="39"/>
      <c r="H620" s="45" t="str">
        <f aca="false">IF($D620="","",IFERROR(INDEX(INSUMOS!$F$6:$F$205,MATCH($D620,INSUMOS!$A$6:$A$205,0)),0))</f>
        <v/>
      </c>
      <c r="I620" s="34" t="str">
        <f aca="false">IF($D620="","",N($G620)*$H620)</f>
        <v/>
      </c>
      <c r="J620" s="40"/>
      <c r="K620" s="36" t="str">
        <f aca="false">IF($D620="","",IFERROR(INDEX(INSUMOS!$H$6:$H$205,MATCH($D620,INSUMOS!$A$6:$A$205,0)),IVA_VENTAS))</f>
        <v/>
      </c>
      <c r="L620" s="35" t="str">
        <f aca="false">IF($D620="","",N($J620)*$K620)</f>
        <v/>
      </c>
      <c r="M620" s="35" t="str">
        <f aca="false">IF($D620="","",N($J620)+$L620)</f>
        <v/>
      </c>
      <c r="N620" s="43" t="str">
        <f aca="false">IF($D620="","",IFERROR(N($J620)/$I620,0))</f>
        <v/>
      </c>
      <c r="O620" s="6"/>
      <c r="P620" s="6"/>
      <c r="Q620" s="46" t="str">
        <f aca="false">IF($A620="","",DATE(YEAR($A620),MONTH($A620),1))</f>
        <v/>
      </c>
      <c r="R620" s="8" t="str">
        <f aca="false">IF(OR($A620="",$D620=""),"",IF(COUNTIFS($D$6:$D$1005,$D620,$A$6:$A$1005,"&gt;"&amp;$A620)=0,1,0))</f>
        <v/>
      </c>
    </row>
    <row r="621" customFormat="false" ht="15" hidden="false" customHeight="false" outlineLevel="0" collapsed="false">
      <c r="A621" s="44"/>
      <c r="B621" s="6"/>
      <c r="C621" s="6"/>
      <c r="D621" s="6"/>
      <c r="E621" s="8" t="str">
        <f aca="false">IF($D621="","",IFERROR(INDEX(INSUMOS!$B$6:$B$205,MATCH($D621,INSUMOS!$A$6:$A$205,0)),"¿Código?"))</f>
        <v/>
      </c>
      <c r="F621" s="8" t="str">
        <f aca="false">IF($D621="","",IFERROR(INDEX(INSUMOS!$E$6:$E$205,MATCH($D621,INSUMOS!$A$6:$A$205,0)),""))</f>
        <v/>
      </c>
      <c r="G621" s="39"/>
      <c r="H621" s="45" t="str">
        <f aca="false">IF($D621="","",IFERROR(INDEX(INSUMOS!$F$6:$F$205,MATCH($D621,INSUMOS!$A$6:$A$205,0)),0))</f>
        <v/>
      </c>
      <c r="I621" s="34" t="str">
        <f aca="false">IF($D621="","",N($G621)*$H621)</f>
        <v/>
      </c>
      <c r="J621" s="40"/>
      <c r="K621" s="36" t="str">
        <f aca="false">IF($D621="","",IFERROR(INDEX(INSUMOS!$H$6:$H$205,MATCH($D621,INSUMOS!$A$6:$A$205,0)),IVA_VENTAS))</f>
        <v/>
      </c>
      <c r="L621" s="35" t="str">
        <f aca="false">IF($D621="","",N($J621)*$K621)</f>
        <v/>
      </c>
      <c r="M621" s="35" t="str">
        <f aca="false">IF($D621="","",N($J621)+$L621)</f>
        <v/>
      </c>
      <c r="N621" s="43" t="str">
        <f aca="false">IF($D621="","",IFERROR(N($J621)/$I621,0))</f>
        <v/>
      </c>
      <c r="O621" s="6"/>
      <c r="P621" s="6"/>
      <c r="Q621" s="46" t="str">
        <f aca="false">IF($A621="","",DATE(YEAR($A621),MONTH($A621),1))</f>
        <v/>
      </c>
      <c r="R621" s="8" t="str">
        <f aca="false">IF(OR($A621="",$D621=""),"",IF(COUNTIFS($D$6:$D$1005,$D621,$A$6:$A$1005,"&gt;"&amp;$A621)=0,1,0))</f>
        <v/>
      </c>
    </row>
    <row r="622" customFormat="false" ht="15" hidden="false" customHeight="false" outlineLevel="0" collapsed="false">
      <c r="A622" s="44"/>
      <c r="B622" s="6"/>
      <c r="C622" s="6"/>
      <c r="D622" s="6"/>
      <c r="E622" s="8" t="str">
        <f aca="false">IF($D622="","",IFERROR(INDEX(INSUMOS!$B$6:$B$205,MATCH($D622,INSUMOS!$A$6:$A$205,0)),"¿Código?"))</f>
        <v/>
      </c>
      <c r="F622" s="8" t="str">
        <f aca="false">IF($D622="","",IFERROR(INDEX(INSUMOS!$E$6:$E$205,MATCH($D622,INSUMOS!$A$6:$A$205,0)),""))</f>
        <v/>
      </c>
      <c r="G622" s="39"/>
      <c r="H622" s="45" t="str">
        <f aca="false">IF($D622="","",IFERROR(INDEX(INSUMOS!$F$6:$F$205,MATCH($D622,INSUMOS!$A$6:$A$205,0)),0))</f>
        <v/>
      </c>
      <c r="I622" s="34" t="str">
        <f aca="false">IF($D622="","",N($G622)*$H622)</f>
        <v/>
      </c>
      <c r="J622" s="40"/>
      <c r="K622" s="36" t="str">
        <f aca="false">IF($D622="","",IFERROR(INDEX(INSUMOS!$H$6:$H$205,MATCH($D622,INSUMOS!$A$6:$A$205,0)),IVA_VENTAS))</f>
        <v/>
      </c>
      <c r="L622" s="35" t="str">
        <f aca="false">IF($D622="","",N($J622)*$K622)</f>
        <v/>
      </c>
      <c r="M622" s="35" t="str">
        <f aca="false">IF($D622="","",N($J622)+$L622)</f>
        <v/>
      </c>
      <c r="N622" s="43" t="str">
        <f aca="false">IF($D622="","",IFERROR(N($J622)/$I622,0))</f>
        <v/>
      </c>
      <c r="O622" s="6"/>
      <c r="P622" s="6"/>
      <c r="Q622" s="46" t="str">
        <f aca="false">IF($A622="","",DATE(YEAR($A622),MONTH($A622),1))</f>
        <v/>
      </c>
      <c r="R622" s="8" t="str">
        <f aca="false">IF(OR($A622="",$D622=""),"",IF(COUNTIFS($D$6:$D$1005,$D622,$A$6:$A$1005,"&gt;"&amp;$A622)=0,1,0))</f>
        <v/>
      </c>
    </row>
    <row r="623" customFormat="false" ht="15" hidden="false" customHeight="false" outlineLevel="0" collapsed="false">
      <c r="A623" s="44"/>
      <c r="B623" s="6"/>
      <c r="C623" s="6"/>
      <c r="D623" s="6"/>
      <c r="E623" s="8" t="str">
        <f aca="false">IF($D623="","",IFERROR(INDEX(INSUMOS!$B$6:$B$205,MATCH($D623,INSUMOS!$A$6:$A$205,0)),"¿Código?"))</f>
        <v/>
      </c>
      <c r="F623" s="8" t="str">
        <f aca="false">IF($D623="","",IFERROR(INDEX(INSUMOS!$E$6:$E$205,MATCH($D623,INSUMOS!$A$6:$A$205,0)),""))</f>
        <v/>
      </c>
      <c r="G623" s="39"/>
      <c r="H623" s="45" t="str">
        <f aca="false">IF($D623="","",IFERROR(INDEX(INSUMOS!$F$6:$F$205,MATCH($D623,INSUMOS!$A$6:$A$205,0)),0))</f>
        <v/>
      </c>
      <c r="I623" s="34" t="str">
        <f aca="false">IF($D623="","",N($G623)*$H623)</f>
        <v/>
      </c>
      <c r="J623" s="40"/>
      <c r="K623" s="36" t="str">
        <f aca="false">IF($D623="","",IFERROR(INDEX(INSUMOS!$H$6:$H$205,MATCH($D623,INSUMOS!$A$6:$A$205,0)),IVA_VENTAS))</f>
        <v/>
      </c>
      <c r="L623" s="35" t="str">
        <f aca="false">IF($D623="","",N($J623)*$K623)</f>
        <v/>
      </c>
      <c r="M623" s="35" t="str">
        <f aca="false">IF($D623="","",N($J623)+$L623)</f>
        <v/>
      </c>
      <c r="N623" s="43" t="str">
        <f aca="false">IF($D623="","",IFERROR(N($J623)/$I623,0))</f>
        <v/>
      </c>
      <c r="O623" s="6"/>
      <c r="P623" s="6"/>
      <c r="Q623" s="46" t="str">
        <f aca="false">IF($A623="","",DATE(YEAR($A623),MONTH($A623),1))</f>
        <v/>
      </c>
      <c r="R623" s="8" t="str">
        <f aca="false">IF(OR($A623="",$D623=""),"",IF(COUNTIFS($D$6:$D$1005,$D623,$A$6:$A$1005,"&gt;"&amp;$A623)=0,1,0))</f>
        <v/>
      </c>
    </row>
    <row r="624" customFormat="false" ht="15" hidden="false" customHeight="false" outlineLevel="0" collapsed="false">
      <c r="A624" s="44"/>
      <c r="B624" s="6"/>
      <c r="C624" s="6"/>
      <c r="D624" s="6"/>
      <c r="E624" s="8" t="str">
        <f aca="false">IF($D624="","",IFERROR(INDEX(INSUMOS!$B$6:$B$205,MATCH($D624,INSUMOS!$A$6:$A$205,0)),"¿Código?"))</f>
        <v/>
      </c>
      <c r="F624" s="8" t="str">
        <f aca="false">IF($D624="","",IFERROR(INDEX(INSUMOS!$E$6:$E$205,MATCH($D624,INSUMOS!$A$6:$A$205,0)),""))</f>
        <v/>
      </c>
      <c r="G624" s="39"/>
      <c r="H624" s="45" t="str">
        <f aca="false">IF($D624="","",IFERROR(INDEX(INSUMOS!$F$6:$F$205,MATCH($D624,INSUMOS!$A$6:$A$205,0)),0))</f>
        <v/>
      </c>
      <c r="I624" s="34" t="str">
        <f aca="false">IF($D624="","",N($G624)*$H624)</f>
        <v/>
      </c>
      <c r="J624" s="40"/>
      <c r="K624" s="36" t="str">
        <f aca="false">IF($D624="","",IFERROR(INDEX(INSUMOS!$H$6:$H$205,MATCH($D624,INSUMOS!$A$6:$A$205,0)),IVA_VENTAS))</f>
        <v/>
      </c>
      <c r="L624" s="35" t="str">
        <f aca="false">IF($D624="","",N($J624)*$K624)</f>
        <v/>
      </c>
      <c r="M624" s="35" t="str">
        <f aca="false">IF($D624="","",N($J624)+$L624)</f>
        <v/>
      </c>
      <c r="N624" s="43" t="str">
        <f aca="false">IF($D624="","",IFERROR(N($J624)/$I624,0))</f>
        <v/>
      </c>
      <c r="O624" s="6"/>
      <c r="P624" s="6"/>
      <c r="Q624" s="46" t="str">
        <f aca="false">IF($A624="","",DATE(YEAR($A624),MONTH($A624),1))</f>
        <v/>
      </c>
      <c r="R624" s="8" t="str">
        <f aca="false">IF(OR($A624="",$D624=""),"",IF(COUNTIFS($D$6:$D$1005,$D624,$A$6:$A$1005,"&gt;"&amp;$A624)=0,1,0))</f>
        <v/>
      </c>
    </row>
    <row r="625" customFormat="false" ht="15" hidden="false" customHeight="false" outlineLevel="0" collapsed="false">
      <c r="A625" s="44"/>
      <c r="B625" s="6"/>
      <c r="C625" s="6"/>
      <c r="D625" s="6"/>
      <c r="E625" s="8" t="str">
        <f aca="false">IF($D625="","",IFERROR(INDEX(INSUMOS!$B$6:$B$205,MATCH($D625,INSUMOS!$A$6:$A$205,0)),"¿Código?"))</f>
        <v/>
      </c>
      <c r="F625" s="8" t="str">
        <f aca="false">IF($D625="","",IFERROR(INDEX(INSUMOS!$E$6:$E$205,MATCH($D625,INSUMOS!$A$6:$A$205,0)),""))</f>
        <v/>
      </c>
      <c r="G625" s="39"/>
      <c r="H625" s="45" t="str">
        <f aca="false">IF($D625="","",IFERROR(INDEX(INSUMOS!$F$6:$F$205,MATCH($D625,INSUMOS!$A$6:$A$205,0)),0))</f>
        <v/>
      </c>
      <c r="I625" s="34" t="str">
        <f aca="false">IF($D625="","",N($G625)*$H625)</f>
        <v/>
      </c>
      <c r="J625" s="40"/>
      <c r="K625" s="36" t="str">
        <f aca="false">IF($D625="","",IFERROR(INDEX(INSUMOS!$H$6:$H$205,MATCH($D625,INSUMOS!$A$6:$A$205,0)),IVA_VENTAS))</f>
        <v/>
      </c>
      <c r="L625" s="35" t="str">
        <f aca="false">IF($D625="","",N($J625)*$K625)</f>
        <v/>
      </c>
      <c r="M625" s="35" t="str">
        <f aca="false">IF($D625="","",N($J625)+$L625)</f>
        <v/>
      </c>
      <c r="N625" s="43" t="str">
        <f aca="false">IF($D625="","",IFERROR(N($J625)/$I625,0))</f>
        <v/>
      </c>
      <c r="O625" s="6"/>
      <c r="P625" s="6"/>
      <c r="Q625" s="46" t="str">
        <f aca="false">IF($A625="","",DATE(YEAR($A625),MONTH($A625),1))</f>
        <v/>
      </c>
      <c r="R625" s="8" t="str">
        <f aca="false">IF(OR($A625="",$D625=""),"",IF(COUNTIFS($D$6:$D$1005,$D625,$A$6:$A$1005,"&gt;"&amp;$A625)=0,1,0))</f>
        <v/>
      </c>
    </row>
    <row r="626" customFormat="false" ht="15" hidden="false" customHeight="false" outlineLevel="0" collapsed="false">
      <c r="A626" s="44"/>
      <c r="B626" s="6"/>
      <c r="C626" s="6"/>
      <c r="D626" s="6"/>
      <c r="E626" s="8" t="str">
        <f aca="false">IF($D626="","",IFERROR(INDEX(INSUMOS!$B$6:$B$205,MATCH($D626,INSUMOS!$A$6:$A$205,0)),"¿Código?"))</f>
        <v/>
      </c>
      <c r="F626" s="8" t="str">
        <f aca="false">IF($D626="","",IFERROR(INDEX(INSUMOS!$E$6:$E$205,MATCH($D626,INSUMOS!$A$6:$A$205,0)),""))</f>
        <v/>
      </c>
      <c r="G626" s="39"/>
      <c r="H626" s="45" t="str">
        <f aca="false">IF($D626="","",IFERROR(INDEX(INSUMOS!$F$6:$F$205,MATCH($D626,INSUMOS!$A$6:$A$205,0)),0))</f>
        <v/>
      </c>
      <c r="I626" s="34" t="str">
        <f aca="false">IF($D626="","",N($G626)*$H626)</f>
        <v/>
      </c>
      <c r="J626" s="40"/>
      <c r="K626" s="36" t="str">
        <f aca="false">IF($D626="","",IFERROR(INDEX(INSUMOS!$H$6:$H$205,MATCH($D626,INSUMOS!$A$6:$A$205,0)),IVA_VENTAS))</f>
        <v/>
      </c>
      <c r="L626" s="35" t="str">
        <f aca="false">IF($D626="","",N($J626)*$K626)</f>
        <v/>
      </c>
      <c r="M626" s="35" t="str">
        <f aca="false">IF($D626="","",N($J626)+$L626)</f>
        <v/>
      </c>
      <c r="N626" s="43" t="str">
        <f aca="false">IF($D626="","",IFERROR(N($J626)/$I626,0))</f>
        <v/>
      </c>
      <c r="O626" s="6"/>
      <c r="P626" s="6"/>
      <c r="Q626" s="46" t="str">
        <f aca="false">IF($A626="","",DATE(YEAR($A626),MONTH($A626),1))</f>
        <v/>
      </c>
      <c r="R626" s="8" t="str">
        <f aca="false">IF(OR($A626="",$D626=""),"",IF(COUNTIFS($D$6:$D$1005,$D626,$A$6:$A$1005,"&gt;"&amp;$A626)=0,1,0))</f>
        <v/>
      </c>
    </row>
    <row r="627" customFormat="false" ht="15" hidden="false" customHeight="false" outlineLevel="0" collapsed="false">
      <c r="A627" s="44"/>
      <c r="B627" s="6"/>
      <c r="C627" s="6"/>
      <c r="D627" s="6"/>
      <c r="E627" s="8" t="str">
        <f aca="false">IF($D627="","",IFERROR(INDEX(INSUMOS!$B$6:$B$205,MATCH($D627,INSUMOS!$A$6:$A$205,0)),"¿Código?"))</f>
        <v/>
      </c>
      <c r="F627" s="8" t="str">
        <f aca="false">IF($D627="","",IFERROR(INDEX(INSUMOS!$E$6:$E$205,MATCH($D627,INSUMOS!$A$6:$A$205,0)),""))</f>
        <v/>
      </c>
      <c r="G627" s="39"/>
      <c r="H627" s="45" t="str">
        <f aca="false">IF($D627="","",IFERROR(INDEX(INSUMOS!$F$6:$F$205,MATCH($D627,INSUMOS!$A$6:$A$205,0)),0))</f>
        <v/>
      </c>
      <c r="I627" s="34" t="str">
        <f aca="false">IF($D627="","",N($G627)*$H627)</f>
        <v/>
      </c>
      <c r="J627" s="40"/>
      <c r="K627" s="36" t="str">
        <f aca="false">IF($D627="","",IFERROR(INDEX(INSUMOS!$H$6:$H$205,MATCH($D627,INSUMOS!$A$6:$A$205,0)),IVA_VENTAS))</f>
        <v/>
      </c>
      <c r="L627" s="35" t="str">
        <f aca="false">IF($D627="","",N($J627)*$K627)</f>
        <v/>
      </c>
      <c r="M627" s="35" t="str">
        <f aca="false">IF($D627="","",N($J627)+$L627)</f>
        <v/>
      </c>
      <c r="N627" s="43" t="str">
        <f aca="false">IF($D627="","",IFERROR(N($J627)/$I627,0))</f>
        <v/>
      </c>
      <c r="O627" s="6"/>
      <c r="P627" s="6"/>
      <c r="Q627" s="46" t="str">
        <f aca="false">IF($A627="","",DATE(YEAR($A627),MONTH($A627),1))</f>
        <v/>
      </c>
      <c r="R627" s="8" t="str">
        <f aca="false">IF(OR($A627="",$D627=""),"",IF(COUNTIFS($D$6:$D$1005,$D627,$A$6:$A$1005,"&gt;"&amp;$A627)=0,1,0))</f>
        <v/>
      </c>
    </row>
    <row r="628" customFormat="false" ht="15" hidden="false" customHeight="false" outlineLevel="0" collapsed="false">
      <c r="A628" s="44"/>
      <c r="B628" s="6"/>
      <c r="C628" s="6"/>
      <c r="D628" s="6"/>
      <c r="E628" s="8" t="str">
        <f aca="false">IF($D628="","",IFERROR(INDEX(INSUMOS!$B$6:$B$205,MATCH($D628,INSUMOS!$A$6:$A$205,0)),"¿Código?"))</f>
        <v/>
      </c>
      <c r="F628" s="8" t="str">
        <f aca="false">IF($D628="","",IFERROR(INDEX(INSUMOS!$E$6:$E$205,MATCH($D628,INSUMOS!$A$6:$A$205,0)),""))</f>
        <v/>
      </c>
      <c r="G628" s="39"/>
      <c r="H628" s="45" t="str">
        <f aca="false">IF($D628="","",IFERROR(INDEX(INSUMOS!$F$6:$F$205,MATCH($D628,INSUMOS!$A$6:$A$205,0)),0))</f>
        <v/>
      </c>
      <c r="I628" s="34" t="str">
        <f aca="false">IF($D628="","",N($G628)*$H628)</f>
        <v/>
      </c>
      <c r="J628" s="40"/>
      <c r="K628" s="36" t="str">
        <f aca="false">IF($D628="","",IFERROR(INDEX(INSUMOS!$H$6:$H$205,MATCH($D628,INSUMOS!$A$6:$A$205,0)),IVA_VENTAS))</f>
        <v/>
      </c>
      <c r="L628" s="35" t="str">
        <f aca="false">IF($D628="","",N($J628)*$K628)</f>
        <v/>
      </c>
      <c r="M628" s="35" t="str">
        <f aca="false">IF($D628="","",N($J628)+$L628)</f>
        <v/>
      </c>
      <c r="N628" s="43" t="str">
        <f aca="false">IF($D628="","",IFERROR(N($J628)/$I628,0))</f>
        <v/>
      </c>
      <c r="O628" s="6"/>
      <c r="P628" s="6"/>
      <c r="Q628" s="46" t="str">
        <f aca="false">IF($A628="","",DATE(YEAR($A628),MONTH($A628),1))</f>
        <v/>
      </c>
      <c r="R628" s="8" t="str">
        <f aca="false">IF(OR($A628="",$D628=""),"",IF(COUNTIFS($D$6:$D$1005,$D628,$A$6:$A$1005,"&gt;"&amp;$A628)=0,1,0))</f>
        <v/>
      </c>
    </row>
    <row r="629" customFormat="false" ht="15" hidden="false" customHeight="false" outlineLevel="0" collapsed="false">
      <c r="A629" s="44"/>
      <c r="B629" s="6"/>
      <c r="C629" s="6"/>
      <c r="D629" s="6"/>
      <c r="E629" s="8" t="str">
        <f aca="false">IF($D629="","",IFERROR(INDEX(INSUMOS!$B$6:$B$205,MATCH($D629,INSUMOS!$A$6:$A$205,0)),"¿Código?"))</f>
        <v/>
      </c>
      <c r="F629" s="8" t="str">
        <f aca="false">IF($D629="","",IFERROR(INDEX(INSUMOS!$E$6:$E$205,MATCH($D629,INSUMOS!$A$6:$A$205,0)),""))</f>
        <v/>
      </c>
      <c r="G629" s="39"/>
      <c r="H629" s="45" t="str">
        <f aca="false">IF($D629="","",IFERROR(INDEX(INSUMOS!$F$6:$F$205,MATCH($D629,INSUMOS!$A$6:$A$205,0)),0))</f>
        <v/>
      </c>
      <c r="I629" s="34" t="str">
        <f aca="false">IF($D629="","",N($G629)*$H629)</f>
        <v/>
      </c>
      <c r="J629" s="40"/>
      <c r="K629" s="36" t="str">
        <f aca="false">IF($D629="","",IFERROR(INDEX(INSUMOS!$H$6:$H$205,MATCH($D629,INSUMOS!$A$6:$A$205,0)),IVA_VENTAS))</f>
        <v/>
      </c>
      <c r="L629" s="35" t="str">
        <f aca="false">IF($D629="","",N($J629)*$K629)</f>
        <v/>
      </c>
      <c r="M629" s="35" t="str">
        <f aca="false">IF($D629="","",N($J629)+$L629)</f>
        <v/>
      </c>
      <c r="N629" s="43" t="str">
        <f aca="false">IF($D629="","",IFERROR(N($J629)/$I629,0))</f>
        <v/>
      </c>
      <c r="O629" s="6"/>
      <c r="P629" s="6"/>
      <c r="Q629" s="46" t="str">
        <f aca="false">IF($A629="","",DATE(YEAR($A629),MONTH($A629),1))</f>
        <v/>
      </c>
      <c r="R629" s="8" t="str">
        <f aca="false">IF(OR($A629="",$D629=""),"",IF(COUNTIFS($D$6:$D$1005,$D629,$A$6:$A$1005,"&gt;"&amp;$A629)=0,1,0))</f>
        <v/>
      </c>
    </row>
    <row r="630" customFormat="false" ht="15" hidden="false" customHeight="false" outlineLevel="0" collapsed="false">
      <c r="A630" s="44"/>
      <c r="B630" s="6"/>
      <c r="C630" s="6"/>
      <c r="D630" s="6"/>
      <c r="E630" s="8" t="str">
        <f aca="false">IF($D630="","",IFERROR(INDEX(INSUMOS!$B$6:$B$205,MATCH($D630,INSUMOS!$A$6:$A$205,0)),"¿Código?"))</f>
        <v/>
      </c>
      <c r="F630" s="8" t="str">
        <f aca="false">IF($D630="","",IFERROR(INDEX(INSUMOS!$E$6:$E$205,MATCH($D630,INSUMOS!$A$6:$A$205,0)),""))</f>
        <v/>
      </c>
      <c r="G630" s="39"/>
      <c r="H630" s="45" t="str">
        <f aca="false">IF($D630="","",IFERROR(INDEX(INSUMOS!$F$6:$F$205,MATCH($D630,INSUMOS!$A$6:$A$205,0)),0))</f>
        <v/>
      </c>
      <c r="I630" s="34" t="str">
        <f aca="false">IF($D630="","",N($G630)*$H630)</f>
        <v/>
      </c>
      <c r="J630" s="40"/>
      <c r="K630" s="36" t="str">
        <f aca="false">IF($D630="","",IFERROR(INDEX(INSUMOS!$H$6:$H$205,MATCH($D630,INSUMOS!$A$6:$A$205,0)),IVA_VENTAS))</f>
        <v/>
      </c>
      <c r="L630" s="35" t="str">
        <f aca="false">IF($D630="","",N($J630)*$K630)</f>
        <v/>
      </c>
      <c r="M630" s="35" t="str">
        <f aca="false">IF($D630="","",N($J630)+$L630)</f>
        <v/>
      </c>
      <c r="N630" s="43" t="str">
        <f aca="false">IF($D630="","",IFERROR(N($J630)/$I630,0))</f>
        <v/>
      </c>
      <c r="O630" s="6"/>
      <c r="P630" s="6"/>
      <c r="Q630" s="46" t="str">
        <f aca="false">IF($A630="","",DATE(YEAR($A630),MONTH($A630),1))</f>
        <v/>
      </c>
      <c r="R630" s="8" t="str">
        <f aca="false">IF(OR($A630="",$D630=""),"",IF(COUNTIFS($D$6:$D$1005,$D630,$A$6:$A$1005,"&gt;"&amp;$A630)=0,1,0))</f>
        <v/>
      </c>
    </row>
    <row r="631" customFormat="false" ht="15" hidden="false" customHeight="false" outlineLevel="0" collapsed="false">
      <c r="A631" s="44"/>
      <c r="B631" s="6"/>
      <c r="C631" s="6"/>
      <c r="D631" s="6"/>
      <c r="E631" s="8" t="str">
        <f aca="false">IF($D631="","",IFERROR(INDEX(INSUMOS!$B$6:$B$205,MATCH($D631,INSUMOS!$A$6:$A$205,0)),"¿Código?"))</f>
        <v/>
      </c>
      <c r="F631" s="8" t="str">
        <f aca="false">IF($D631="","",IFERROR(INDEX(INSUMOS!$E$6:$E$205,MATCH($D631,INSUMOS!$A$6:$A$205,0)),""))</f>
        <v/>
      </c>
      <c r="G631" s="39"/>
      <c r="H631" s="45" t="str">
        <f aca="false">IF($D631="","",IFERROR(INDEX(INSUMOS!$F$6:$F$205,MATCH($D631,INSUMOS!$A$6:$A$205,0)),0))</f>
        <v/>
      </c>
      <c r="I631" s="34" t="str">
        <f aca="false">IF($D631="","",N($G631)*$H631)</f>
        <v/>
      </c>
      <c r="J631" s="40"/>
      <c r="K631" s="36" t="str">
        <f aca="false">IF($D631="","",IFERROR(INDEX(INSUMOS!$H$6:$H$205,MATCH($D631,INSUMOS!$A$6:$A$205,0)),IVA_VENTAS))</f>
        <v/>
      </c>
      <c r="L631" s="35" t="str">
        <f aca="false">IF($D631="","",N($J631)*$K631)</f>
        <v/>
      </c>
      <c r="M631" s="35" t="str">
        <f aca="false">IF($D631="","",N($J631)+$L631)</f>
        <v/>
      </c>
      <c r="N631" s="43" t="str">
        <f aca="false">IF($D631="","",IFERROR(N($J631)/$I631,0))</f>
        <v/>
      </c>
      <c r="O631" s="6"/>
      <c r="P631" s="6"/>
      <c r="Q631" s="46" t="str">
        <f aca="false">IF($A631="","",DATE(YEAR($A631),MONTH($A631),1))</f>
        <v/>
      </c>
      <c r="R631" s="8" t="str">
        <f aca="false">IF(OR($A631="",$D631=""),"",IF(COUNTIFS($D$6:$D$1005,$D631,$A$6:$A$1005,"&gt;"&amp;$A631)=0,1,0))</f>
        <v/>
      </c>
    </row>
    <row r="632" customFormat="false" ht="15" hidden="false" customHeight="false" outlineLevel="0" collapsed="false">
      <c r="A632" s="44"/>
      <c r="B632" s="6"/>
      <c r="C632" s="6"/>
      <c r="D632" s="6"/>
      <c r="E632" s="8" t="str">
        <f aca="false">IF($D632="","",IFERROR(INDEX(INSUMOS!$B$6:$B$205,MATCH($D632,INSUMOS!$A$6:$A$205,0)),"¿Código?"))</f>
        <v/>
      </c>
      <c r="F632" s="8" t="str">
        <f aca="false">IF($D632="","",IFERROR(INDEX(INSUMOS!$E$6:$E$205,MATCH($D632,INSUMOS!$A$6:$A$205,0)),""))</f>
        <v/>
      </c>
      <c r="G632" s="39"/>
      <c r="H632" s="45" t="str">
        <f aca="false">IF($D632="","",IFERROR(INDEX(INSUMOS!$F$6:$F$205,MATCH($D632,INSUMOS!$A$6:$A$205,0)),0))</f>
        <v/>
      </c>
      <c r="I632" s="34" t="str">
        <f aca="false">IF($D632="","",N($G632)*$H632)</f>
        <v/>
      </c>
      <c r="J632" s="40"/>
      <c r="K632" s="36" t="str">
        <f aca="false">IF($D632="","",IFERROR(INDEX(INSUMOS!$H$6:$H$205,MATCH($D632,INSUMOS!$A$6:$A$205,0)),IVA_VENTAS))</f>
        <v/>
      </c>
      <c r="L632" s="35" t="str">
        <f aca="false">IF($D632="","",N($J632)*$K632)</f>
        <v/>
      </c>
      <c r="M632" s="35" t="str">
        <f aca="false">IF($D632="","",N($J632)+$L632)</f>
        <v/>
      </c>
      <c r="N632" s="43" t="str">
        <f aca="false">IF($D632="","",IFERROR(N($J632)/$I632,0))</f>
        <v/>
      </c>
      <c r="O632" s="6"/>
      <c r="P632" s="6"/>
      <c r="Q632" s="46" t="str">
        <f aca="false">IF($A632="","",DATE(YEAR($A632),MONTH($A632),1))</f>
        <v/>
      </c>
      <c r="R632" s="8" t="str">
        <f aca="false">IF(OR($A632="",$D632=""),"",IF(COUNTIFS($D$6:$D$1005,$D632,$A$6:$A$1005,"&gt;"&amp;$A632)=0,1,0))</f>
        <v/>
      </c>
    </row>
    <row r="633" customFormat="false" ht="15" hidden="false" customHeight="false" outlineLevel="0" collapsed="false">
      <c r="A633" s="44"/>
      <c r="B633" s="6"/>
      <c r="C633" s="6"/>
      <c r="D633" s="6"/>
      <c r="E633" s="8" t="str">
        <f aca="false">IF($D633="","",IFERROR(INDEX(INSUMOS!$B$6:$B$205,MATCH($D633,INSUMOS!$A$6:$A$205,0)),"¿Código?"))</f>
        <v/>
      </c>
      <c r="F633" s="8" t="str">
        <f aca="false">IF($D633="","",IFERROR(INDEX(INSUMOS!$E$6:$E$205,MATCH($D633,INSUMOS!$A$6:$A$205,0)),""))</f>
        <v/>
      </c>
      <c r="G633" s="39"/>
      <c r="H633" s="45" t="str">
        <f aca="false">IF($D633="","",IFERROR(INDEX(INSUMOS!$F$6:$F$205,MATCH($D633,INSUMOS!$A$6:$A$205,0)),0))</f>
        <v/>
      </c>
      <c r="I633" s="34" t="str">
        <f aca="false">IF($D633="","",N($G633)*$H633)</f>
        <v/>
      </c>
      <c r="J633" s="40"/>
      <c r="K633" s="36" t="str">
        <f aca="false">IF($D633="","",IFERROR(INDEX(INSUMOS!$H$6:$H$205,MATCH($D633,INSUMOS!$A$6:$A$205,0)),IVA_VENTAS))</f>
        <v/>
      </c>
      <c r="L633" s="35" t="str">
        <f aca="false">IF($D633="","",N($J633)*$K633)</f>
        <v/>
      </c>
      <c r="M633" s="35" t="str">
        <f aca="false">IF($D633="","",N($J633)+$L633)</f>
        <v/>
      </c>
      <c r="N633" s="43" t="str">
        <f aca="false">IF($D633="","",IFERROR(N($J633)/$I633,0))</f>
        <v/>
      </c>
      <c r="O633" s="6"/>
      <c r="P633" s="6"/>
      <c r="Q633" s="46" t="str">
        <f aca="false">IF($A633="","",DATE(YEAR($A633),MONTH($A633),1))</f>
        <v/>
      </c>
      <c r="R633" s="8" t="str">
        <f aca="false">IF(OR($A633="",$D633=""),"",IF(COUNTIFS($D$6:$D$1005,$D633,$A$6:$A$1005,"&gt;"&amp;$A633)=0,1,0))</f>
        <v/>
      </c>
    </row>
    <row r="634" customFormat="false" ht="15" hidden="false" customHeight="false" outlineLevel="0" collapsed="false">
      <c r="A634" s="44"/>
      <c r="B634" s="6"/>
      <c r="C634" s="6"/>
      <c r="D634" s="6"/>
      <c r="E634" s="8" t="str">
        <f aca="false">IF($D634="","",IFERROR(INDEX(INSUMOS!$B$6:$B$205,MATCH($D634,INSUMOS!$A$6:$A$205,0)),"¿Código?"))</f>
        <v/>
      </c>
      <c r="F634" s="8" t="str">
        <f aca="false">IF($D634="","",IFERROR(INDEX(INSUMOS!$E$6:$E$205,MATCH($D634,INSUMOS!$A$6:$A$205,0)),""))</f>
        <v/>
      </c>
      <c r="G634" s="39"/>
      <c r="H634" s="45" t="str">
        <f aca="false">IF($D634="","",IFERROR(INDEX(INSUMOS!$F$6:$F$205,MATCH($D634,INSUMOS!$A$6:$A$205,0)),0))</f>
        <v/>
      </c>
      <c r="I634" s="34" t="str">
        <f aca="false">IF($D634="","",N($G634)*$H634)</f>
        <v/>
      </c>
      <c r="J634" s="40"/>
      <c r="K634" s="36" t="str">
        <f aca="false">IF($D634="","",IFERROR(INDEX(INSUMOS!$H$6:$H$205,MATCH($D634,INSUMOS!$A$6:$A$205,0)),IVA_VENTAS))</f>
        <v/>
      </c>
      <c r="L634" s="35" t="str">
        <f aca="false">IF($D634="","",N($J634)*$K634)</f>
        <v/>
      </c>
      <c r="M634" s="35" t="str">
        <f aca="false">IF($D634="","",N($J634)+$L634)</f>
        <v/>
      </c>
      <c r="N634" s="43" t="str">
        <f aca="false">IF($D634="","",IFERROR(N($J634)/$I634,0))</f>
        <v/>
      </c>
      <c r="O634" s="6"/>
      <c r="P634" s="6"/>
      <c r="Q634" s="46" t="str">
        <f aca="false">IF($A634="","",DATE(YEAR($A634),MONTH($A634),1))</f>
        <v/>
      </c>
      <c r="R634" s="8" t="str">
        <f aca="false">IF(OR($A634="",$D634=""),"",IF(COUNTIFS($D$6:$D$1005,$D634,$A$6:$A$1005,"&gt;"&amp;$A634)=0,1,0))</f>
        <v/>
      </c>
    </row>
    <row r="635" customFormat="false" ht="15" hidden="false" customHeight="false" outlineLevel="0" collapsed="false">
      <c r="A635" s="44"/>
      <c r="B635" s="6"/>
      <c r="C635" s="6"/>
      <c r="D635" s="6"/>
      <c r="E635" s="8" t="str">
        <f aca="false">IF($D635="","",IFERROR(INDEX(INSUMOS!$B$6:$B$205,MATCH($D635,INSUMOS!$A$6:$A$205,0)),"¿Código?"))</f>
        <v/>
      </c>
      <c r="F635" s="8" t="str">
        <f aca="false">IF($D635="","",IFERROR(INDEX(INSUMOS!$E$6:$E$205,MATCH($D635,INSUMOS!$A$6:$A$205,0)),""))</f>
        <v/>
      </c>
      <c r="G635" s="39"/>
      <c r="H635" s="45" t="str">
        <f aca="false">IF($D635="","",IFERROR(INDEX(INSUMOS!$F$6:$F$205,MATCH($D635,INSUMOS!$A$6:$A$205,0)),0))</f>
        <v/>
      </c>
      <c r="I635" s="34" t="str">
        <f aca="false">IF($D635="","",N($G635)*$H635)</f>
        <v/>
      </c>
      <c r="J635" s="40"/>
      <c r="K635" s="36" t="str">
        <f aca="false">IF($D635="","",IFERROR(INDEX(INSUMOS!$H$6:$H$205,MATCH($D635,INSUMOS!$A$6:$A$205,0)),IVA_VENTAS))</f>
        <v/>
      </c>
      <c r="L635" s="35" t="str">
        <f aca="false">IF($D635="","",N($J635)*$K635)</f>
        <v/>
      </c>
      <c r="M635" s="35" t="str">
        <f aca="false">IF($D635="","",N($J635)+$L635)</f>
        <v/>
      </c>
      <c r="N635" s="43" t="str">
        <f aca="false">IF($D635="","",IFERROR(N($J635)/$I635,0))</f>
        <v/>
      </c>
      <c r="O635" s="6"/>
      <c r="P635" s="6"/>
      <c r="Q635" s="46" t="str">
        <f aca="false">IF($A635="","",DATE(YEAR($A635),MONTH($A635),1))</f>
        <v/>
      </c>
      <c r="R635" s="8" t="str">
        <f aca="false">IF(OR($A635="",$D635=""),"",IF(COUNTIFS($D$6:$D$1005,$D635,$A$6:$A$1005,"&gt;"&amp;$A635)=0,1,0))</f>
        <v/>
      </c>
    </row>
    <row r="636" customFormat="false" ht="15" hidden="false" customHeight="false" outlineLevel="0" collapsed="false">
      <c r="A636" s="44"/>
      <c r="B636" s="6"/>
      <c r="C636" s="6"/>
      <c r="D636" s="6"/>
      <c r="E636" s="8" t="str">
        <f aca="false">IF($D636="","",IFERROR(INDEX(INSUMOS!$B$6:$B$205,MATCH($D636,INSUMOS!$A$6:$A$205,0)),"¿Código?"))</f>
        <v/>
      </c>
      <c r="F636" s="8" t="str">
        <f aca="false">IF($D636="","",IFERROR(INDEX(INSUMOS!$E$6:$E$205,MATCH($D636,INSUMOS!$A$6:$A$205,0)),""))</f>
        <v/>
      </c>
      <c r="G636" s="39"/>
      <c r="H636" s="45" t="str">
        <f aca="false">IF($D636="","",IFERROR(INDEX(INSUMOS!$F$6:$F$205,MATCH($D636,INSUMOS!$A$6:$A$205,0)),0))</f>
        <v/>
      </c>
      <c r="I636" s="34" t="str">
        <f aca="false">IF($D636="","",N($G636)*$H636)</f>
        <v/>
      </c>
      <c r="J636" s="40"/>
      <c r="K636" s="36" t="str">
        <f aca="false">IF($D636="","",IFERROR(INDEX(INSUMOS!$H$6:$H$205,MATCH($D636,INSUMOS!$A$6:$A$205,0)),IVA_VENTAS))</f>
        <v/>
      </c>
      <c r="L636" s="35" t="str">
        <f aca="false">IF($D636="","",N($J636)*$K636)</f>
        <v/>
      </c>
      <c r="M636" s="35" t="str">
        <f aca="false">IF($D636="","",N($J636)+$L636)</f>
        <v/>
      </c>
      <c r="N636" s="43" t="str">
        <f aca="false">IF($D636="","",IFERROR(N($J636)/$I636,0))</f>
        <v/>
      </c>
      <c r="O636" s="6"/>
      <c r="P636" s="6"/>
      <c r="Q636" s="46" t="str">
        <f aca="false">IF($A636="","",DATE(YEAR($A636),MONTH($A636),1))</f>
        <v/>
      </c>
      <c r="R636" s="8" t="str">
        <f aca="false">IF(OR($A636="",$D636=""),"",IF(COUNTIFS($D$6:$D$1005,$D636,$A$6:$A$1005,"&gt;"&amp;$A636)=0,1,0))</f>
        <v/>
      </c>
    </row>
    <row r="637" customFormat="false" ht="15" hidden="false" customHeight="false" outlineLevel="0" collapsed="false">
      <c r="A637" s="44"/>
      <c r="B637" s="6"/>
      <c r="C637" s="6"/>
      <c r="D637" s="6"/>
      <c r="E637" s="8" t="str">
        <f aca="false">IF($D637="","",IFERROR(INDEX(INSUMOS!$B$6:$B$205,MATCH($D637,INSUMOS!$A$6:$A$205,0)),"¿Código?"))</f>
        <v/>
      </c>
      <c r="F637" s="8" t="str">
        <f aca="false">IF($D637="","",IFERROR(INDEX(INSUMOS!$E$6:$E$205,MATCH($D637,INSUMOS!$A$6:$A$205,0)),""))</f>
        <v/>
      </c>
      <c r="G637" s="39"/>
      <c r="H637" s="45" t="str">
        <f aca="false">IF($D637="","",IFERROR(INDEX(INSUMOS!$F$6:$F$205,MATCH($D637,INSUMOS!$A$6:$A$205,0)),0))</f>
        <v/>
      </c>
      <c r="I637" s="34" t="str">
        <f aca="false">IF($D637="","",N($G637)*$H637)</f>
        <v/>
      </c>
      <c r="J637" s="40"/>
      <c r="K637" s="36" t="str">
        <f aca="false">IF($D637="","",IFERROR(INDEX(INSUMOS!$H$6:$H$205,MATCH($D637,INSUMOS!$A$6:$A$205,0)),IVA_VENTAS))</f>
        <v/>
      </c>
      <c r="L637" s="35" t="str">
        <f aca="false">IF($D637="","",N($J637)*$K637)</f>
        <v/>
      </c>
      <c r="M637" s="35" t="str">
        <f aca="false">IF($D637="","",N($J637)+$L637)</f>
        <v/>
      </c>
      <c r="N637" s="43" t="str">
        <f aca="false">IF($D637="","",IFERROR(N($J637)/$I637,0))</f>
        <v/>
      </c>
      <c r="O637" s="6"/>
      <c r="P637" s="6"/>
      <c r="Q637" s="46" t="str">
        <f aca="false">IF($A637="","",DATE(YEAR($A637),MONTH($A637),1))</f>
        <v/>
      </c>
      <c r="R637" s="8" t="str">
        <f aca="false">IF(OR($A637="",$D637=""),"",IF(COUNTIFS($D$6:$D$1005,$D637,$A$6:$A$1005,"&gt;"&amp;$A637)=0,1,0))</f>
        <v/>
      </c>
    </row>
    <row r="638" customFormat="false" ht="15" hidden="false" customHeight="false" outlineLevel="0" collapsed="false">
      <c r="A638" s="44"/>
      <c r="B638" s="6"/>
      <c r="C638" s="6"/>
      <c r="D638" s="6"/>
      <c r="E638" s="8" t="str">
        <f aca="false">IF($D638="","",IFERROR(INDEX(INSUMOS!$B$6:$B$205,MATCH($D638,INSUMOS!$A$6:$A$205,0)),"¿Código?"))</f>
        <v/>
      </c>
      <c r="F638" s="8" t="str">
        <f aca="false">IF($D638="","",IFERROR(INDEX(INSUMOS!$E$6:$E$205,MATCH($D638,INSUMOS!$A$6:$A$205,0)),""))</f>
        <v/>
      </c>
      <c r="G638" s="39"/>
      <c r="H638" s="45" t="str">
        <f aca="false">IF($D638="","",IFERROR(INDEX(INSUMOS!$F$6:$F$205,MATCH($D638,INSUMOS!$A$6:$A$205,0)),0))</f>
        <v/>
      </c>
      <c r="I638" s="34" t="str">
        <f aca="false">IF($D638="","",N($G638)*$H638)</f>
        <v/>
      </c>
      <c r="J638" s="40"/>
      <c r="K638" s="36" t="str">
        <f aca="false">IF($D638="","",IFERROR(INDEX(INSUMOS!$H$6:$H$205,MATCH($D638,INSUMOS!$A$6:$A$205,0)),IVA_VENTAS))</f>
        <v/>
      </c>
      <c r="L638" s="35" t="str">
        <f aca="false">IF($D638="","",N($J638)*$K638)</f>
        <v/>
      </c>
      <c r="M638" s="35" t="str">
        <f aca="false">IF($D638="","",N($J638)+$L638)</f>
        <v/>
      </c>
      <c r="N638" s="43" t="str">
        <f aca="false">IF($D638="","",IFERROR(N($J638)/$I638,0))</f>
        <v/>
      </c>
      <c r="O638" s="6"/>
      <c r="P638" s="6"/>
      <c r="Q638" s="46" t="str">
        <f aca="false">IF($A638="","",DATE(YEAR($A638),MONTH($A638),1))</f>
        <v/>
      </c>
      <c r="R638" s="8" t="str">
        <f aca="false">IF(OR($A638="",$D638=""),"",IF(COUNTIFS($D$6:$D$1005,$D638,$A$6:$A$1005,"&gt;"&amp;$A638)=0,1,0))</f>
        <v/>
      </c>
    </row>
    <row r="639" customFormat="false" ht="15" hidden="false" customHeight="false" outlineLevel="0" collapsed="false">
      <c r="A639" s="44"/>
      <c r="B639" s="6"/>
      <c r="C639" s="6"/>
      <c r="D639" s="6"/>
      <c r="E639" s="8" t="str">
        <f aca="false">IF($D639="","",IFERROR(INDEX(INSUMOS!$B$6:$B$205,MATCH($D639,INSUMOS!$A$6:$A$205,0)),"¿Código?"))</f>
        <v/>
      </c>
      <c r="F639" s="8" t="str">
        <f aca="false">IF($D639="","",IFERROR(INDEX(INSUMOS!$E$6:$E$205,MATCH($D639,INSUMOS!$A$6:$A$205,0)),""))</f>
        <v/>
      </c>
      <c r="G639" s="39"/>
      <c r="H639" s="45" t="str">
        <f aca="false">IF($D639="","",IFERROR(INDEX(INSUMOS!$F$6:$F$205,MATCH($D639,INSUMOS!$A$6:$A$205,0)),0))</f>
        <v/>
      </c>
      <c r="I639" s="34" t="str">
        <f aca="false">IF($D639="","",N($G639)*$H639)</f>
        <v/>
      </c>
      <c r="J639" s="40"/>
      <c r="K639" s="36" t="str">
        <f aca="false">IF($D639="","",IFERROR(INDEX(INSUMOS!$H$6:$H$205,MATCH($D639,INSUMOS!$A$6:$A$205,0)),IVA_VENTAS))</f>
        <v/>
      </c>
      <c r="L639" s="35" t="str">
        <f aca="false">IF($D639="","",N($J639)*$K639)</f>
        <v/>
      </c>
      <c r="M639" s="35" t="str">
        <f aca="false">IF($D639="","",N($J639)+$L639)</f>
        <v/>
      </c>
      <c r="N639" s="43" t="str">
        <f aca="false">IF($D639="","",IFERROR(N($J639)/$I639,0))</f>
        <v/>
      </c>
      <c r="O639" s="6"/>
      <c r="P639" s="6"/>
      <c r="Q639" s="46" t="str">
        <f aca="false">IF($A639="","",DATE(YEAR($A639),MONTH($A639),1))</f>
        <v/>
      </c>
      <c r="R639" s="8" t="str">
        <f aca="false">IF(OR($A639="",$D639=""),"",IF(COUNTIFS($D$6:$D$1005,$D639,$A$6:$A$1005,"&gt;"&amp;$A639)=0,1,0))</f>
        <v/>
      </c>
    </row>
    <row r="640" customFormat="false" ht="15" hidden="false" customHeight="false" outlineLevel="0" collapsed="false">
      <c r="A640" s="44"/>
      <c r="B640" s="6"/>
      <c r="C640" s="6"/>
      <c r="D640" s="6"/>
      <c r="E640" s="8" t="str">
        <f aca="false">IF($D640="","",IFERROR(INDEX(INSUMOS!$B$6:$B$205,MATCH($D640,INSUMOS!$A$6:$A$205,0)),"¿Código?"))</f>
        <v/>
      </c>
      <c r="F640" s="8" t="str">
        <f aca="false">IF($D640="","",IFERROR(INDEX(INSUMOS!$E$6:$E$205,MATCH($D640,INSUMOS!$A$6:$A$205,0)),""))</f>
        <v/>
      </c>
      <c r="G640" s="39"/>
      <c r="H640" s="45" t="str">
        <f aca="false">IF($D640="","",IFERROR(INDEX(INSUMOS!$F$6:$F$205,MATCH($D640,INSUMOS!$A$6:$A$205,0)),0))</f>
        <v/>
      </c>
      <c r="I640" s="34" t="str">
        <f aca="false">IF($D640="","",N($G640)*$H640)</f>
        <v/>
      </c>
      <c r="J640" s="40"/>
      <c r="K640" s="36" t="str">
        <f aca="false">IF($D640="","",IFERROR(INDEX(INSUMOS!$H$6:$H$205,MATCH($D640,INSUMOS!$A$6:$A$205,0)),IVA_VENTAS))</f>
        <v/>
      </c>
      <c r="L640" s="35" t="str">
        <f aca="false">IF($D640="","",N($J640)*$K640)</f>
        <v/>
      </c>
      <c r="M640" s="35" t="str">
        <f aca="false">IF($D640="","",N($J640)+$L640)</f>
        <v/>
      </c>
      <c r="N640" s="43" t="str">
        <f aca="false">IF($D640="","",IFERROR(N($J640)/$I640,0))</f>
        <v/>
      </c>
      <c r="O640" s="6"/>
      <c r="P640" s="6"/>
      <c r="Q640" s="46" t="str">
        <f aca="false">IF($A640="","",DATE(YEAR($A640),MONTH($A640),1))</f>
        <v/>
      </c>
      <c r="R640" s="8" t="str">
        <f aca="false">IF(OR($A640="",$D640=""),"",IF(COUNTIFS($D$6:$D$1005,$D640,$A$6:$A$1005,"&gt;"&amp;$A640)=0,1,0))</f>
        <v/>
      </c>
    </row>
    <row r="641" customFormat="false" ht="15" hidden="false" customHeight="false" outlineLevel="0" collapsed="false">
      <c r="A641" s="44"/>
      <c r="B641" s="6"/>
      <c r="C641" s="6"/>
      <c r="D641" s="6"/>
      <c r="E641" s="8" t="str">
        <f aca="false">IF($D641="","",IFERROR(INDEX(INSUMOS!$B$6:$B$205,MATCH($D641,INSUMOS!$A$6:$A$205,0)),"¿Código?"))</f>
        <v/>
      </c>
      <c r="F641" s="8" t="str">
        <f aca="false">IF($D641="","",IFERROR(INDEX(INSUMOS!$E$6:$E$205,MATCH($D641,INSUMOS!$A$6:$A$205,0)),""))</f>
        <v/>
      </c>
      <c r="G641" s="39"/>
      <c r="H641" s="45" t="str">
        <f aca="false">IF($D641="","",IFERROR(INDEX(INSUMOS!$F$6:$F$205,MATCH($D641,INSUMOS!$A$6:$A$205,0)),0))</f>
        <v/>
      </c>
      <c r="I641" s="34" t="str">
        <f aca="false">IF($D641="","",N($G641)*$H641)</f>
        <v/>
      </c>
      <c r="J641" s="40"/>
      <c r="K641" s="36" t="str">
        <f aca="false">IF($D641="","",IFERROR(INDEX(INSUMOS!$H$6:$H$205,MATCH($D641,INSUMOS!$A$6:$A$205,0)),IVA_VENTAS))</f>
        <v/>
      </c>
      <c r="L641" s="35" t="str">
        <f aca="false">IF($D641="","",N($J641)*$K641)</f>
        <v/>
      </c>
      <c r="M641" s="35" t="str">
        <f aca="false">IF($D641="","",N($J641)+$L641)</f>
        <v/>
      </c>
      <c r="N641" s="43" t="str">
        <f aca="false">IF($D641="","",IFERROR(N($J641)/$I641,0))</f>
        <v/>
      </c>
      <c r="O641" s="6"/>
      <c r="P641" s="6"/>
      <c r="Q641" s="46" t="str">
        <f aca="false">IF($A641="","",DATE(YEAR($A641),MONTH($A641),1))</f>
        <v/>
      </c>
      <c r="R641" s="8" t="str">
        <f aca="false">IF(OR($A641="",$D641=""),"",IF(COUNTIFS($D$6:$D$1005,$D641,$A$6:$A$1005,"&gt;"&amp;$A641)=0,1,0))</f>
        <v/>
      </c>
    </row>
    <row r="642" customFormat="false" ht="15" hidden="false" customHeight="false" outlineLevel="0" collapsed="false">
      <c r="A642" s="44"/>
      <c r="B642" s="6"/>
      <c r="C642" s="6"/>
      <c r="D642" s="6"/>
      <c r="E642" s="8" t="str">
        <f aca="false">IF($D642="","",IFERROR(INDEX(INSUMOS!$B$6:$B$205,MATCH($D642,INSUMOS!$A$6:$A$205,0)),"¿Código?"))</f>
        <v/>
      </c>
      <c r="F642" s="8" t="str">
        <f aca="false">IF($D642="","",IFERROR(INDEX(INSUMOS!$E$6:$E$205,MATCH($D642,INSUMOS!$A$6:$A$205,0)),""))</f>
        <v/>
      </c>
      <c r="G642" s="39"/>
      <c r="H642" s="45" t="str">
        <f aca="false">IF($D642="","",IFERROR(INDEX(INSUMOS!$F$6:$F$205,MATCH($D642,INSUMOS!$A$6:$A$205,0)),0))</f>
        <v/>
      </c>
      <c r="I642" s="34" t="str">
        <f aca="false">IF($D642="","",N($G642)*$H642)</f>
        <v/>
      </c>
      <c r="J642" s="40"/>
      <c r="K642" s="36" t="str">
        <f aca="false">IF($D642="","",IFERROR(INDEX(INSUMOS!$H$6:$H$205,MATCH($D642,INSUMOS!$A$6:$A$205,0)),IVA_VENTAS))</f>
        <v/>
      </c>
      <c r="L642" s="35" t="str">
        <f aca="false">IF($D642="","",N($J642)*$K642)</f>
        <v/>
      </c>
      <c r="M642" s="35" t="str">
        <f aca="false">IF($D642="","",N($J642)+$L642)</f>
        <v/>
      </c>
      <c r="N642" s="43" t="str">
        <f aca="false">IF($D642="","",IFERROR(N($J642)/$I642,0))</f>
        <v/>
      </c>
      <c r="O642" s="6"/>
      <c r="P642" s="6"/>
      <c r="Q642" s="46" t="str">
        <f aca="false">IF($A642="","",DATE(YEAR($A642),MONTH($A642),1))</f>
        <v/>
      </c>
      <c r="R642" s="8" t="str">
        <f aca="false">IF(OR($A642="",$D642=""),"",IF(COUNTIFS($D$6:$D$1005,$D642,$A$6:$A$1005,"&gt;"&amp;$A642)=0,1,0))</f>
        <v/>
      </c>
    </row>
    <row r="643" customFormat="false" ht="15" hidden="false" customHeight="false" outlineLevel="0" collapsed="false">
      <c r="A643" s="44"/>
      <c r="B643" s="6"/>
      <c r="C643" s="6"/>
      <c r="D643" s="6"/>
      <c r="E643" s="8" t="str">
        <f aca="false">IF($D643="","",IFERROR(INDEX(INSUMOS!$B$6:$B$205,MATCH($D643,INSUMOS!$A$6:$A$205,0)),"¿Código?"))</f>
        <v/>
      </c>
      <c r="F643" s="8" t="str">
        <f aca="false">IF($D643="","",IFERROR(INDEX(INSUMOS!$E$6:$E$205,MATCH($D643,INSUMOS!$A$6:$A$205,0)),""))</f>
        <v/>
      </c>
      <c r="G643" s="39"/>
      <c r="H643" s="45" t="str">
        <f aca="false">IF($D643="","",IFERROR(INDEX(INSUMOS!$F$6:$F$205,MATCH($D643,INSUMOS!$A$6:$A$205,0)),0))</f>
        <v/>
      </c>
      <c r="I643" s="34" t="str">
        <f aca="false">IF($D643="","",N($G643)*$H643)</f>
        <v/>
      </c>
      <c r="J643" s="40"/>
      <c r="K643" s="36" t="str">
        <f aca="false">IF($D643="","",IFERROR(INDEX(INSUMOS!$H$6:$H$205,MATCH($D643,INSUMOS!$A$6:$A$205,0)),IVA_VENTAS))</f>
        <v/>
      </c>
      <c r="L643" s="35" t="str">
        <f aca="false">IF($D643="","",N($J643)*$K643)</f>
        <v/>
      </c>
      <c r="M643" s="35" t="str">
        <f aca="false">IF($D643="","",N($J643)+$L643)</f>
        <v/>
      </c>
      <c r="N643" s="43" t="str">
        <f aca="false">IF($D643="","",IFERROR(N($J643)/$I643,0))</f>
        <v/>
      </c>
      <c r="O643" s="6"/>
      <c r="P643" s="6"/>
      <c r="Q643" s="46" t="str">
        <f aca="false">IF($A643="","",DATE(YEAR($A643),MONTH($A643),1))</f>
        <v/>
      </c>
      <c r="R643" s="8" t="str">
        <f aca="false">IF(OR($A643="",$D643=""),"",IF(COUNTIFS($D$6:$D$1005,$D643,$A$6:$A$1005,"&gt;"&amp;$A643)=0,1,0))</f>
        <v/>
      </c>
    </row>
    <row r="644" customFormat="false" ht="15" hidden="false" customHeight="false" outlineLevel="0" collapsed="false">
      <c r="A644" s="44"/>
      <c r="B644" s="6"/>
      <c r="C644" s="6"/>
      <c r="D644" s="6"/>
      <c r="E644" s="8" t="str">
        <f aca="false">IF($D644="","",IFERROR(INDEX(INSUMOS!$B$6:$B$205,MATCH($D644,INSUMOS!$A$6:$A$205,0)),"¿Código?"))</f>
        <v/>
      </c>
      <c r="F644" s="8" t="str">
        <f aca="false">IF($D644="","",IFERROR(INDEX(INSUMOS!$E$6:$E$205,MATCH($D644,INSUMOS!$A$6:$A$205,0)),""))</f>
        <v/>
      </c>
      <c r="G644" s="39"/>
      <c r="H644" s="45" t="str">
        <f aca="false">IF($D644="","",IFERROR(INDEX(INSUMOS!$F$6:$F$205,MATCH($D644,INSUMOS!$A$6:$A$205,0)),0))</f>
        <v/>
      </c>
      <c r="I644" s="34" t="str">
        <f aca="false">IF($D644="","",N($G644)*$H644)</f>
        <v/>
      </c>
      <c r="J644" s="40"/>
      <c r="K644" s="36" t="str">
        <f aca="false">IF($D644="","",IFERROR(INDEX(INSUMOS!$H$6:$H$205,MATCH($D644,INSUMOS!$A$6:$A$205,0)),IVA_VENTAS))</f>
        <v/>
      </c>
      <c r="L644" s="35" t="str">
        <f aca="false">IF($D644="","",N($J644)*$K644)</f>
        <v/>
      </c>
      <c r="M644" s="35" t="str">
        <f aca="false">IF($D644="","",N($J644)+$L644)</f>
        <v/>
      </c>
      <c r="N644" s="43" t="str">
        <f aca="false">IF($D644="","",IFERROR(N($J644)/$I644,0))</f>
        <v/>
      </c>
      <c r="O644" s="6"/>
      <c r="P644" s="6"/>
      <c r="Q644" s="46" t="str">
        <f aca="false">IF($A644="","",DATE(YEAR($A644),MONTH($A644),1))</f>
        <v/>
      </c>
      <c r="R644" s="8" t="str">
        <f aca="false">IF(OR($A644="",$D644=""),"",IF(COUNTIFS($D$6:$D$1005,$D644,$A$6:$A$1005,"&gt;"&amp;$A644)=0,1,0))</f>
        <v/>
      </c>
    </row>
    <row r="645" customFormat="false" ht="15" hidden="false" customHeight="false" outlineLevel="0" collapsed="false">
      <c r="A645" s="44"/>
      <c r="B645" s="6"/>
      <c r="C645" s="6"/>
      <c r="D645" s="6"/>
      <c r="E645" s="8" t="str">
        <f aca="false">IF($D645="","",IFERROR(INDEX(INSUMOS!$B$6:$B$205,MATCH($D645,INSUMOS!$A$6:$A$205,0)),"¿Código?"))</f>
        <v/>
      </c>
      <c r="F645" s="8" t="str">
        <f aca="false">IF($D645="","",IFERROR(INDEX(INSUMOS!$E$6:$E$205,MATCH($D645,INSUMOS!$A$6:$A$205,0)),""))</f>
        <v/>
      </c>
      <c r="G645" s="39"/>
      <c r="H645" s="45" t="str">
        <f aca="false">IF($D645="","",IFERROR(INDEX(INSUMOS!$F$6:$F$205,MATCH($D645,INSUMOS!$A$6:$A$205,0)),0))</f>
        <v/>
      </c>
      <c r="I645" s="34" t="str">
        <f aca="false">IF($D645="","",N($G645)*$H645)</f>
        <v/>
      </c>
      <c r="J645" s="40"/>
      <c r="K645" s="36" t="str">
        <f aca="false">IF($D645="","",IFERROR(INDEX(INSUMOS!$H$6:$H$205,MATCH($D645,INSUMOS!$A$6:$A$205,0)),IVA_VENTAS))</f>
        <v/>
      </c>
      <c r="L645" s="35" t="str">
        <f aca="false">IF($D645="","",N($J645)*$K645)</f>
        <v/>
      </c>
      <c r="M645" s="35" t="str">
        <f aca="false">IF($D645="","",N($J645)+$L645)</f>
        <v/>
      </c>
      <c r="N645" s="43" t="str">
        <f aca="false">IF($D645="","",IFERROR(N($J645)/$I645,0))</f>
        <v/>
      </c>
      <c r="O645" s="6"/>
      <c r="P645" s="6"/>
      <c r="Q645" s="46" t="str">
        <f aca="false">IF($A645="","",DATE(YEAR($A645),MONTH($A645),1))</f>
        <v/>
      </c>
      <c r="R645" s="8" t="str">
        <f aca="false">IF(OR($A645="",$D645=""),"",IF(COUNTIFS($D$6:$D$1005,$D645,$A$6:$A$1005,"&gt;"&amp;$A645)=0,1,0))</f>
        <v/>
      </c>
    </row>
    <row r="646" customFormat="false" ht="15" hidden="false" customHeight="false" outlineLevel="0" collapsed="false">
      <c r="A646" s="44"/>
      <c r="B646" s="6"/>
      <c r="C646" s="6"/>
      <c r="D646" s="6"/>
      <c r="E646" s="8" t="str">
        <f aca="false">IF($D646="","",IFERROR(INDEX(INSUMOS!$B$6:$B$205,MATCH($D646,INSUMOS!$A$6:$A$205,0)),"¿Código?"))</f>
        <v/>
      </c>
      <c r="F646" s="8" t="str">
        <f aca="false">IF($D646="","",IFERROR(INDEX(INSUMOS!$E$6:$E$205,MATCH($D646,INSUMOS!$A$6:$A$205,0)),""))</f>
        <v/>
      </c>
      <c r="G646" s="39"/>
      <c r="H646" s="45" t="str">
        <f aca="false">IF($D646="","",IFERROR(INDEX(INSUMOS!$F$6:$F$205,MATCH($D646,INSUMOS!$A$6:$A$205,0)),0))</f>
        <v/>
      </c>
      <c r="I646" s="34" t="str">
        <f aca="false">IF($D646="","",N($G646)*$H646)</f>
        <v/>
      </c>
      <c r="J646" s="40"/>
      <c r="K646" s="36" t="str">
        <f aca="false">IF($D646="","",IFERROR(INDEX(INSUMOS!$H$6:$H$205,MATCH($D646,INSUMOS!$A$6:$A$205,0)),IVA_VENTAS))</f>
        <v/>
      </c>
      <c r="L646" s="35" t="str">
        <f aca="false">IF($D646="","",N($J646)*$K646)</f>
        <v/>
      </c>
      <c r="M646" s="35" t="str">
        <f aca="false">IF($D646="","",N($J646)+$L646)</f>
        <v/>
      </c>
      <c r="N646" s="43" t="str">
        <f aca="false">IF($D646="","",IFERROR(N($J646)/$I646,0))</f>
        <v/>
      </c>
      <c r="O646" s="6"/>
      <c r="P646" s="6"/>
      <c r="Q646" s="46" t="str">
        <f aca="false">IF($A646="","",DATE(YEAR($A646),MONTH($A646),1))</f>
        <v/>
      </c>
      <c r="R646" s="8" t="str">
        <f aca="false">IF(OR($A646="",$D646=""),"",IF(COUNTIFS($D$6:$D$1005,$D646,$A$6:$A$1005,"&gt;"&amp;$A646)=0,1,0))</f>
        <v/>
      </c>
    </row>
    <row r="647" customFormat="false" ht="15" hidden="false" customHeight="false" outlineLevel="0" collapsed="false">
      <c r="A647" s="44"/>
      <c r="B647" s="6"/>
      <c r="C647" s="6"/>
      <c r="D647" s="6"/>
      <c r="E647" s="8" t="str">
        <f aca="false">IF($D647="","",IFERROR(INDEX(INSUMOS!$B$6:$B$205,MATCH($D647,INSUMOS!$A$6:$A$205,0)),"¿Código?"))</f>
        <v/>
      </c>
      <c r="F647" s="8" t="str">
        <f aca="false">IF($D647="","",IFERROR(INDEX(INSUMOS!$E$6:$E$205,MATCH($D647,INSUMOS!$A$6:$A$205,0)),""))</f>
        <v/>
      </c>
      <c r="G647" s="39"/>
      <c r="H647" s="45" t="str">
        <f aca="false">IF($D647="","",IFERROR(INDEX(INSUMOS!$F$6:$F$205,MATCH($D647,INSUMOS!$A$6:$A$205,0)),0))</f>
        <v/>
      </c>
      <c r="I647" s="34" t="str">
        <f aca="false">IF($D647="","",N($G647)*$H647)</f>
        <v/>
      </c>
      <c r="J647" s="40"/>
      <c r="K647" s="36" t="str">
        <f aca="false">IF($D647="","",IFERROR(INDEX(INSUMOS!$H$6:$H$205,MATCH($D647,INSUMOS!$A$6:$A$205,0)),IVA_VENTAS))</f>
        <v/>
      </c>
      <c r="L647" s="35" t="str">
        <f aca="false">IF($D647="","",N($J647)*$K647)</f>
        <v/>
      </c>
      <c r="M647" s="35" t="str">
        <f aca="false">IF($D647="","",N($J647)+$L647)</f>
        <v/>
      </c>
      <c r="N647" s="43" t="str">
        <f aca="false">IF($D647="","",IFERROR(N($J647)/$I647,0))</f>
        <v/>
      </c>
      <c r="O647" s="6"/>
      <c r="P647" s="6"/>
      <c r="Q647" s="46" t="str">
        <f aca="false">IF($A647="","",DATE(YEAR($A647),MONTH($A647),1))</f>
        <v/>
      </c>
      <c r="R647" s="8" t="str">
        <f aca="false">IF(OR($A647="",$D647=""),"",IF(COUNTIFS($D$6:$D$1005,$D647,$A$6:$A$1005,"&gt;"&amp;$A647)=0,1,0))</f>
        <v/>
      </c>
    </row>
    <row r="648" customFormat="false" ht="15" hidden="false" customHeight="false" outlineLevel="0" collapsed="false">
      <c r="A648" s="44"/>
      <c r="B648" s="6"/>
      <c r="C648" s="6"/>
      <c r="D648" s="6"/>
      <c r="E648" s="8" t="str">
        <f aca="false">IF($D648="","",IFERROR(INDEX(INSUMOS!$B$6:$B$205,MATCH($D648,INSUMOS!$A$6:$A$205,0)),"¿Código?"))</f>
        <v/>
      </c>
      <c r="F648" s="8" t="str">
        <f aca="false">IF($D648="","",IFERROR(INDEX(INSUMOS!$E$6:$E$205,MATCH($D648,INSUMOS!$A$6:$A$205,0)),""))</f>
        <v/>
      </c>
      <c r="G648" s="39"/>
      <c r="H648" s="45" t="str">
        <f aca="false">IF($D648="","",IFERROR(INDEX(INSUMOS!$F$6:$F$205,MATCH($D648,INSUMOS!$A$6:$A$205,0)),0))</f>
        <v/>
      </c>
      <c r="I648" s="34" t="str">
        <f aca="false">IF($D648="","",N($G648)*$H648)</f>
        <v/>
      </c>
      <c r="J648" s="40"/>
      <c r="K648" s="36" t="str">
        <f aca="false">IF($D648="","",IFERROR(INDEX(INSUMOS!$H$6:$H$205,MATCH($D648,INSUMOS!$A$6:$A$205,0)),IVA_VENTAS))</f>
        <v/>
      </c>
      <c r="L648" s="35" t="str">
        <f aca="false">IF($D648="","",N($J648)*$K648)</f>
        <v/>
      </c>
      <c r="M648" s="35" t="str">
        <f aca="false">IF($D648="","",N($J648)+$L648)</f>
        <v/>
      </c>
      <c r="N648" s="43" t="str">
        <f aca="false">IF($D648="","",IFERROR(N($J648)/$I648,0))</f>
        <v/>
      </c>
      <c r="O648" s="6"/>
      <c r="P648" s="6"/>
      <c r="Q648" s="46" t="str">
        <f aca="false">IF($A648="","",DATE(YEAR($A648),MONTH($A648),1))</f>
        <v/>
      </c>
      <c r="R648" s="8" t="str">
        <f aca="false">IF(OR($A648="",$D648=""),"",IF(COUNTIFS($D$6:$D$1005,$D648,$A$6:$A$1005,"&gt;"&amp;$A648)=0,1,0))</f>
        <v/>
      </c>
    </row>
    <row r="649" customFormat="false" ht="15" hidden="false" customHeight="false" outlineLevel="0" collapsed="false">
      <c r="A649" s="44"/>
      <c r="B649" s="6"/>
      <c r="C649" s="6"/>
      <c r="D649" s="6"/>
      <c r="E649" s="8" t="str">
        <f aca="false">IF($D649="","",IFERROR(INDEX(INSUMOS!$B$6:$B$205,MATCH($D649,INSUMOS!$A$6:$A$205,0)),"¿Código?"))</f>
        <v/>
      </c>
      <c r="F649" s="8" t="str">
        <f aca="false">IF($D649="","",IFERROR(INDEX(INSUMOS!$E$6:$E$205,MATCH($D649,INSUMOS!$A$6:$A$205,0)),""))</f>
        <v/>
      </c>
      <c r="G649" s="39"/>
      <c r="H649" s="45" t="str">
        <f aca="false">IF($D649="","",IFERROR(INDEX(INSUMOS!$F$6:$F$205,MATCH($D649,INSUMOS!$A$6:$A$205,0)),0))</f>
        <v/>
      </c>
      <c r="I649" s="34" t="str">
        <f aca="false">IF($D649="","",N($G649)*$H649)</f>
        <v/>
      </c>
      <c r="J649" s="40"/>
      <c r="K649" s="36" t="str">
        <f aca="false">IF($D649="","",IFERROR(INDEX(INSUMOS!$H$6:$H$205,MATCH($D649,INSUMOS!$A$6:$A$205,0)),IVA_VENTAS))</f>
        <v/>
      </c>
      <c r="L649" s="35" t="str">
        <f aca="false">IF($D649="","",N($J649)*$K649)</f>
        <v/>
      </c>
      <c r="M649" s="35" t="str">
        <f aca="false">IF($D649="","",N($J649)+$L649)</f>
        <v/>
      </c>
      <c r="N649" s="43" t="str">
        <f aca="false">IF($D649="","",IFERROR(N($J649)/$I649,0))</f>
        <v/>
      </c>
      <c r="O649" s="6"/>
      <c r="P649" s="6"/>
      <c r="Q649" s="46" t="str">
        <f aca="false">IF($A649="","",DATE(YEAR($A649),MONTH($A649),1))</f>
        <v/>
      </c>
      <c r="R649" s="8" t="str">
        <f aca="false">IF(OR($A649="",$D649=""),"",IF(COUNTIFS($D$6:$D$1005,$D649,$A$6:$A$1005,"&gt;"&amp;$A649)=0,1,0))</f>
        <v/>
      </c>
    </row>
    <row r="650" customFormat="false" ht="15" hidden="false" customHeight="false" outlineLevel="0" collapsed="false">
      <c r="A650" s="44"/>
      <c r="B650" s="6"/>
      <c r="C650" s="6"/>
      <c r="D650" s="6"/>
      <c r="E650" s="8" t="str">
        <f aca="false">IF($D650="","",IFERROR(INDEX(INSUMOS!$B$6:$B$205,MATCH($D650,INSUMOS!$A$6:$A$205,0)),"¿Código?"))</f>
        <v/>
      </c>
      <c r="F650" s="8" t="str">
        <f aca="false">IF($D650="","",IFERROR(INDEX(INSUMOS!$E$6:$E$205,MATCH($D650,INSUMOS!$A$6:$A$205,0)),""))</f>
        <v/>
      </c>
      <c r="G650" s="39"/>
      <c r="H650" s="45" t="str">
        <f aca="false">IF($D650="","",IFERROR(INDEX(INSUMOS!$F$6:$F$205,MATCH($D650,INSUMOS!$A$6:$A$205,0)),0))</f>
        <v/>
      </c>
      <c r="I650" s="34" t="str">
        <f aca="false">IF($D650="","",N($G650)*$H650)</f>
        <v/>
      </c>
      <c r="J650" s="40"/>
      <c r="K650" s="36" t="str">
        <f aca="false">IF($D650="","",IFERROR(INDEX(INSUMOS!$H$6:$H$205,MATCH($D650,INSUMOS!$A$6:$A$205,0)),IVA_VENTAS))</f>
        <v/>
      </c>
      <c r="L650" s="35" t="str">
        <f aca="false">IF($D650="","",N($J650)*$K650)</f>
        <v/>
      </c>
      <c r="M650" s="35" t="str">
        <f aca="false">IF($D650="","",N($J650)+$L650)</f>
        <v/>
      </c>
      <c r="N650" s="43" t="str">
        <f aca="false">IF($D650="","",IFERROR(N($J650)/$I650,0))</f>
        <v/>
      </c>
      <c r="O650" s="6"/>
      <c r="P650" s="6"/>
      <c r="Q650" s="46" t="str">
        <f aca="false">IF($A650="","",DATE(YEAR($A650),MONTH($A650),1))</f>
        <v/>
      </c>
      <c r="R650" s="8" t="str">
        <f aca="false">IF(OR($A650="",$D650=""),"",IF(COUNTIFS($D$6:$D$1005,$D650,$A$6:$A$1005,"&gt;"&amp;$A650)=0,1,0))</f>
        <v/>
      </c>
    </row>
    <row r="651" customFormat="false" ht="15" hidden="false" customHeight="false" outlineLevel="0" collapsed="false">
      <c r="A651" s="44"/>
      <c r="B651" s="6"/>
      <c r="C651" s="6"/>
      <c r="D651" s="6"/>
      <c r="E651" s="8" t="str">
        <f aca="false">IF($D651="","",IFERROR(INDEX(INSUMOS!$B$6:$B$205,MATCH($D651,INSUMOS!$A$6:$A$205,0)),"¿Código?"))</f>
        <v/>
      </c>
      <c r="F651" s="8" t="str">
        <f aca="false">IF($D651="","",IFERROR(INDEX(INSUMOS!$E$6:$E$205,MATCH($D651,INSUMOS!$A$6:$A$205,0)),""))</f>
        <v/>
      </c>
      <c r="G651" s="39"/>
      <c r="H651" s="45" t="str">
        <f aca="false">IF($D651="","",IFERROR(INDEX(INSUMOS!$F$6:$F$205,MATCH($D651,INSUMOS!$A$6:$A$205,0)),0))</f>
        <v/>
      </c>
      <c r="I651" s="34" t="str">
        <f aca="false">IF($D651="","",N($G651)*$H651)</f>
        <v/>
      </c>
      <c r="J651" s="40"/>
      <c r="K651" s="36" t="str">
        <f aca="false">IF($D651="","",IFERROR(INDEX(INSUMOS!$H$6:$H$205,MATCH($D651,INSUMOS!$A$6:$A$205,0)),IVA_VENTAS))</f>
        <v/>
      </c>
      <c r="L651" s="35" t="str">
        <f aca="false">IF($D651="","",N($J651)*$K651)</f>
        <v/>
      </c>
      <c r="M651" s="35" t="str">
        <f aca="false">IF($D651="","",N($J651)+$L651)</f>
        <v/>
      </c>
      <c r="N651" s="43" t="str">
        <f aca="false">IF($D651="","",IFERROR(N($J651)/$I651,0))</f>
        <v/>
      </c>
      <c r="O651" s="6"/>
      <c r="P651" s="6"/>
      <c r="Q651" s="46" t="str">
        <f aca="false">IF($A651="","",DATE(YEAR($A651),MONTH($A651),1))</f>
        <v/>
      </c>
      <c r="R651" s="8" t="str">
        <f aca="false">IF(OR($A651="",$D651=""),"",IF(COUNTIFS($D$6:$D$1005,$D651,$A$6:$A$1005,"&gt;"&amp;$A651)=0,1,0))</f>
        <v/>
      </c>
    </row>
    <row r="652" customFormat="false" ht="15" hidden="false" customHeight="false" outlineLevel="0" collapsed="false">
      <c r="A652" s="44"/>
      <c r="B652" s="6"/>
      <c r="C652" s="6"/>
      <c r="D652" s="6"/>
      <c r="E652" s="8" t="str">
        <f aca="false">IF($D652="","",IFERROR(INDEX(INSUMOS!$B$6:$B$205,MATCH($D652,INSUMOS!$A$6:$A$205,0)),"¿Código?"))</f>
        <v/>
      </c>
      <c r="F652" s="8" t="str">
        <f aca="false">IF($D652="","",IFERROR(INDEX(INSUMOS!$E$6:$E$205,MATCH($D652,INSUMOS!$A$6:$A$205,0)),""))</f>
        <v/>
      </c>
      <c r="G652" s="39"/>
      <c r="H652" s="45" t="str">
        <f aca="false">IF($D652="","",IFERROR(INDEX(INSUMOS!$F$6:$F$205,MATCH($D652,INSUMOS!$A$6:$A$205,0)),0))</f>
        <v/>
      </c>
      <c r="I652" s="34" t="str">
        <f aca="false">IF($D652="","",N($G652)*$H652)</f>
        <v/>
      </c>
      <c r="J652" s="40"/>
      <c r="K652" s="36" t="str">
        <f aca="false">IF($D652="","",IFERROR(INDEX(INSUMOS!$H$6:$H$205,MATCH($D652,INSUMOS!$A$6:$A$205,0)),IVA_VENTAS))</f>
        <v/>
      </c>
      <c r="L652" s="35" t="str">
        <f aca="false">IF($D652="","",N($J652)*$K652)</f>
        <v/>
      </c>
      <c r="M652" s="35" t="str">
        <f aca="false">IF($D652="","",N($J652)+$L652)</f>
        <v/>
      </c>
      <c r="N652" s="43" t="str">
        <f aca="false">IF($D652="","",IFERROR(N($J652)/$I652,0))</f>
        <v/>
      </c>
      <c r="O652" s="6"/>
      <c r="P652" s="6"/>
      <c r="Q652" s="46" t="str">
        <f aca="false">IF($A652="","",DATE(YEAR($A652),MONTH($A652),1))</f>
        <v/>
      </c>
      <c r="R652" s="8" t="str">
        <f aca="false">IF(OR($A652="",$D652=""),"",IF(COUNTIFS($D$6:$D$1005,$D652,$A$6:$A$1005,"&gt;"&amp;$A652)=0,1,0))</f>
        <v/>
      </c>
    </row>
    <row r="653" customFormat="false" ht="15" hidden="false" customHeight="false" outlineLevel="0" collapsed="false">
      <c r="A653" s="44"/>
      <c r="B653" s="6"/>
      <c r="C653" s="6"/>
      <c r="D653" s="6"/>
      <c r="E653" s="8" t="str">
        <f aca="false">IF($D653="","",IFERROR(INDEX(INSUMOS!$B$6:$B$205,MATCH($D653,INSUMOS!$A$6:$A$205,0)),"¿Código?"))</f>
        <v/>
      </c>
      <c r="F653" s="8" t="str">
        <f aca="false">IF($D653="","",IFERROR(INDEX(INSUMOS!$E$6:$E$205,MATCH($D653,INSUMOS!$A$6:$A$205,0)),""))</f>
        <v/>
      </c>
      <c r="G653" s="39"/>
      <c r="H653" s="45" t="str">
        <f aca="false">IF($D653="","",IFERROR(INDEX(INSUMOS!$F$6:$F$205,MATCH($D653,INSUMOS!$A$6:$A$205,0)),0))</f>
        <v/>
      </c>
      <c r="I653" s="34" t="str">
        <f aca="false">IF($D653="","",N($G653)*$H653)</f>
        <v/>
      </c>
      <c r="J653" s="40"/>
      <c r="K653" s="36" t="str">
        <f aca="false">IF($D653="","",IFERROR(INDEX(INSUMOS!$H$6:$H$205,MATCH($D653,INSUMOS!$A$6:$A$205,0)),IVA_VENTAS))</f>
        <v/>
      </c>
      <c r="L653" s="35" t="str">
        <f aca="false">IF($D653="","",N($J653)*$K653)</f>
        <v/>
      </c>
      <c r="M653" s="35" t="str">
        <f aca="false">IF($D653="","",N($J653)+$L653)</f>
        <v/>
      </c>
      <c r="N653" s="43" t="str">
        <f aca="false">IF($D653="","",IFERROR(N($J653)/$I653,0))</f>
        <v/>
      </c>
      <c r="O653" s="6"/>
      <c r="P653" s="6"/>
      <c r="Q653" s="46" t="str">
        <f aca="false">IF($A653="","",DATE(YEAR($A653),MONTH($A653),1))</f>
        <v/>
      </c>
      <c r="R653" s="8" t="str">
        <f aca="false">IF(OR($A653="",$D653=""),"",IF(COUNTIFS($D$6:$D$1005,$D653,$A$6:$A$1005,"&gt;"&amp;$A653)=0,1,0))</f>
        <v/>
      </c>
    </row>
    <row r="654" customFormat="false" ht="15" hidden="false" customHeight="false" outlineLevel="0" collapsed="false">
      <c r="A654" s="44"/>
      <c r="B654" s="6"/>
      <c r="C654" s="6"/>
      <c r="D654" s="6"/>
      <c r="E654" s="8" t="str">
        <f aca="false">IF($D654="","",IFERROR(INDEX(INSUMOS!$B$6:$B$205,MATCH($D654,INSUMOS!$A$6:$A$205,0)),"¿Código?"))</f>
        <v/>
      </c>
      <c r="F654" s="8" t="str">
        <f aca="false">IF($D654="","",IFERROR(INDEX(INSUMOS!$E$6:$E$205,MATCH($D654,INSUMOS!$A$6:$A$205,0)),""))</f>
        <v/>
      </c>
      <c r="G654" s="39"/>
      <c r="H654" s="45" t="str">
        <f aca="false">IF($D654="","",IFERROR(INDEX(INSUMOS!$F$6:$F$205,MATCH($D654,INSUMOS!$A$6:$A$205,0)),0))</f>
        <v/>
      </c>
      <c r="I654" s="34" t="str">
        <f aca="false">IF($D654="","",N($G654)*$H654)</f>
        <v/>
      </c>
      <c r="J654" s="40"/>
      <c r="K654" s="36" t="str">
        <f aca="false">IF($D654="","",IFERROR(INDEX(INSUMOS!$H$6:$H$205,MATCH($D654,INSUMOS!$A$6:$A$205,0)),IVA_VENTAS))</f>
        <v/>
      </c>
      <c r="L654" s="35" t="str">
        <f aca="false">IF($D654="","",N($J654)*$K654)</f>
        <v/>
      </c>
      <c r="M654" s="35" t="str">
        <f aca="false">IF($D654="","",N($J654)+$L654)</f>
        <v/>
      </c>
      <c r="N654" s="43" t="str">
        <f aca="false">IF($D654="","",IFERROR(N($J654)/$I654,0))</f>
        <v/>
      </c>
      <c r="O654" s="6"/>
      <c r="P654" s="6"/>
      <c r="Q654" s="46" t="str">
        <f aca="false">IF($A654="","",DATE(YEAR($A654),MONTH($A654),1))</f>
        <v/>
      </c>
      <c r="R654" s="8" t="str">
        <f aca="false">IF(OR($A654="",$D654=""),"",IF(COUNTIFS($D$6:$D$1005,$D654,$A$6:$A$1005,"&gt;"&amp;$A654)=0,1,0))</f>
        <v/>
      </c>
    </row>
    <row r="655" customFormat="false" ht="15" hidden="false" customHeight="false" outlineLevel="0" collapsed="false">
      <c r="A655" s="44"/>
      <c r="B655" s="6"/>
      <c r="C655" s="6"/>
      <c r="D655" s="6"/>
      <c r="E655" s="8" t="str">
        <f aca="false">IF($D655="","",IFERROR(INDEX(INSUMOS!$B$6:$B$205,MATCH($D655,INSUMOS!$A$6:$A$205,0)),"¿Código?"))</f>
        <v/>
      </c>
      <c r="F655" s="8" t="str">
        <f aca="false">IF($D655="","",IFERROR(INDEX(INSUMOS!$E$6:$E$205,MATCH($D655,INSUMOS!$A$6:$A$205,0)),""))</f>
        <v/>
      </c>
      <c r="G655" s="39"/>
      <c r="H655" s="45" t="str">
        <f aca="false">IF($D655="","",IFERROR(INDEX(INSUMOS!$F$6:$F$205,MATCH($D655,INSUMOS!$A$6:$A$205,0)),0))</f>
        <v/>
      </c>
      <c r="I655" s="34" t="str">
        <f aca="false">IF($D655="","",N($G655)*$H655)</f>
        <v/>
      </c>
      <c r="J655" s="40"/>
      <c r="K655" s="36" t="str">
        <f aca="false">IF($D655="","",IFERROR(INDEX(INSUMOS!$H$6:$H$205,MATCH($D655,INSUMOS!$A$6:$A$205,0)),IVA_VENTAS))</f>
        <v/>
      </c>
      <c r="L655" s="35" t="str">
        <f aca="false">IF($D655="","",N($J655)*$K655)</f>
        <v/>
      </c>
      <c r="M655" s="35" t="str">
        <f aca="false">IF($D655="","",N($J655)+$L655)</f>
        <v/>
      </c>
      <c r="N655" s="43" t="str">
        <f aca="false">IF($D655="","",IFERROR(N($J655)/$I655,0))</f>
        <v/>
      </c>
      <c r="O655" s="6"/>
      <c r="P655" s="6"/>
      <c r="Q655" s="46" t="str">
        <f aca="false">IF($A655="","",DATE(YEAR($A655),MONTH($A655),1))</f>
        <v/>
      </c>
      <c r="R655" s="8" t="str">
        <f aca="false">IF(OR($A655="",$D655=""),"",IF(COUNTIFS($D$6:$D$1005,$D655,$A$6:$A$1005,"&gt;"&amp;$A655)=0,1,0))</f>
        <v/>
      </c>
    </row>
    <row r="656" customFormat="false" ht="15" hidden="false" customHeight="false" outlineLevel="0" collapsed="false">
      <c r="A656" s="44"/>
      <c r="B656" s="6"/>
      <c r="C656" s="6"/>
      <c r="D656" s="6"/>
      <c r="E656" s="8" t="str">
        <f aca="false">IF($D656="","",IFERROR(INDEX(INSUMOS!$B$6:$B$205,MATCH($D656,INSUMOS!$A$6:$A$205,0)),"¿Código?"))</f>
        <v/>
      </c>
      <c r="F656" s="8" t="str">
        <f aca="false">IF($D656="","",IFERROR(INDEX(INSUMOS!$E$6:$E$205,MATCH($D656,INSUMOS!$A$6:$A$205,0)),""))</f>
        <v/>
      </c>
      <c r="G656" s="39"/>
      <c r="H656" s="45" t="str">
        <f aca="false">IF($D656="","",IFERROR(INDEX(INSUMOS!$F$6:$F$205,MATCH($D656,INSUMOS!$A$6:$A$205,0)),0))</f>
        <v/>
      </c>
      <c r="I656" s="34" t="str">
        <f aca="false">IF($D656="","",N($G656)*$H656)</f>
        <v/>
      </c>
      <c r="J656" s="40"/>
      <c r="K656" s="36" t="str">
        <f aca="false">IF($D656="","",IFERROR(INDEX(INSUMOS!$H$6:$H$205,MATCH($D656,INSUMOS!$A$6:$A$205,0)),IVA_VENTAS))</f>
        <v/>
      </c>
      <c r="L656" s="35" t="str">
        <f aca="false">IF($D656="","",N($J656)*$K656)</f>
        <v/>
      </c>
      <c r="M656" s="35" t="str">
        <f aca="false">IF($D656="","",N($J656)+$L656)</f>
        <v/>
      </c>
      <c r="N656" s="43" t="str">
        <f aca="false">IF($D656="","",IFERROR(N($J656)/$I656,0))</f>
        <v/>
      </c>
      <c r="O656" s="6"/>
      <c r="P656" s="6"/>
      <c r="Q656" s="46" t="str">
        <f aca="false">IF($A656="","",DATE(YEAR($A656),MONTH($A656),1))</f>
        <v/>
      </c>
      <c r="R656" s="8" t="str">
        <f aca="false">IF(OR($A656="",$D656=""),"",IF(COUNTIFS($D$6:$D$1005,$D656,$A$6:$A$1005,"&gt;"&amp;$A656)=0,1,0))</f>
        <v/>
      </c>
    </row>
    <row r="657" customFormat="false" ht="15" hidden="false" customHeight="false" outlineLevel="0" collapsed="false">
      <c r="A657" s="44"/>
      <c r="B657" s="6"/>
      <c r="C657" s="6"/>
      <c r="D657" s="6"/>
      <c r="E657" s="8" t="str">
        <f aca="false">IF($D657="","",IFERROR(INDEX(INSUMOS!$B$6:$B$205,MATCH($D657,INSUMOS!$A$6:$A$205,0)),"¿Código?"))</f>
        <v/>
      </c>
      <c r="F657" s="8" t="str">
        <f aca="false">IF($D657="","",IFERROR(INDEX(INSUMOS!$E$6:$E$205,MATCH($D657,INSUMOS!$A$6:$A$205,0)),""))</f>
        <v/>
      </c>
      <c r="G657" s="39"/>
      <c r="H657" s="45" t="str">
        <f aca="false">IF($D657="","",IFERROR(INDEX(INSUMOS!$F$6:$F$205,MATCH($D657,INSUMOS!$A$6:$A$205,0)),0))</f>
        <v/>
      </c>
      <c r="I657" s="34" t="str">
        <f aca="false">IF($D657="","",N($G657)*$H657)</f>
        <v/>
      </c>
      <c r="J657" s="40"/>
      <c r="K657" s="36" t="str">
        <f aca="false">IF($D657="","",IFERROR(INDEX(INSUMOS!$H$6:$H$205,MATCH($D657,INSUMOS!$A$6:$A$205,0)),IVA_VENTAS))</f>
        <v/>
      </c>
      <c r="L657" s="35" t="str">
        <f aca="false">IF($D657="","",N($J657)*$K657)</f>
        <v/>
      </c>
      <c r="M657" s="35" t="str">
        <f aca="false">IF($D657="","",N($J657)+$L657)</f>
        <v/>
      </c>
      <c r="N657" s="43" t="str">
        <f aca="false">IF($D657="","",IFERROR(N($J657)/$I657,0))</f>
        <v/>
      </c>
      <c r="O657" s="6"/>
      <c r="P657" s="6"/>
      <c r="Q657" s="46" t="str">
        <f aca="false">IF($A657="","",DATE(YEAR($A657),MONTH($A657),1))</f>
        <v/>
      </c>
      <c r="R657" s="8" t="str">
        <f aca="false">IF(OR($A657="",$D657=""),"",IF(COUNTIFS($D$6:$D$1005,$D657,$A$6:$A$1005,"&gt;"&amp;$A657)=0,1,0))</f>
        <v/>
      </c>
    </row>
    <row r="658" customFormat="false" ht="15" hidden="false" customHeight="false" outlineLevel="0" collapsed="false">
      <c r="A658" s="44"/>
      <c r="B658" s="6"/>
      <c r="C658" s="6"/>
      <c r="D658" s="6"/>
      <c r="E658" s="8" t="str">
        <f aca="false">IF($D658="","",IFERROR(INDEX(INSUMOS!$B$6:$B$205,MATCH($D658,INSUMOS!$A$6:$A$205,0)),"¿Código?"))</f>
        <v/>
      </c>
      <c r="F658" s="8" t="str">
        <f aca="false">IF($D658="","",IFERROR(INDEX(INSUMOS!$E$6:$E$205,MATCH($D658,INSUMOS!$A$6:$A$205,0)),""))</f>
        <v/>
      </c>
      <c r="G658" s="39"/>
      <c r="H658" s="45" t="str">
        <f aca="false">IF($D658="","",IFERROR(INDEX(INSUMOS!$F$6:$F$205,MATCH($D658,INSUMOS!$A$6:$A$205,0)),0))</f>
        <v/>
      </c>
      <c r="I658" s="34" t="str">
        <f aca="false">IF($D658="","",N($G658)*$H658)</f>
        <v/>
      </c>
      <c r="J658" s="40"/>
      <c r="K658" s="36" t="str">
        <f aca="false">IF($D658="","",IFERROR(INDEX(INSUMOS!$H$6:$H$205,MATCH($D658,INSUMOS!$A$6:$A$205,0)),IVA_VENTAS))</f>
        <v/>
      </c>
      <c r="L658" s="35" t="str">
        <f aca="false">IF($D658="","",N($J658)*$K658)</f>
        <v/>
      </c>
      <c r="M658" s="35" t="str">
        <f aca="false">IF($D658="","",N($J658)+$L658)</f>
        <v/>
      </c>
      <c r="N658" s="43" t="str">
        <f aca="false">IF($D658="","",IFERROR(N($J658)/$I658,0))</f>
        <v/>
      </c>
      <c r="O658" s="6"/>
      <c r="P658" s="6"/>
      <c r="Q658" s="46" t="str">
        <f aca="false">IF($A658="","",DATE(YEAR($A658),MONTH($A658),1))</f>
        <v/>
      </c>
      <c r="R658" s="8" t="str">
        <f aca="false">IF(OR($A658="",$D658=""),"",IF(COUNTIFS($D$6:$D$1005,$D658,$A$6:$A$1005,"&gt;"&amp;$A658)=0,1,0))</f>
        <v/>
      </c>
    </row>
    <row r="659" customFormat="false" ht="15" hidden="false" customHeight="false" outlineLevel="0" collapsed="false">
      <c r="A659" s="44"/>
      <c r="B659" s="6"/>
      <c r="C659" s="6"/>
      <c r="D659" s="6"/>
      <c r="E659" s="8" t="str">
        <f aca="false">IF($D659="","",IFERROR(INDEX(INSUMOS!$B$6:$B$205,MATCH($D659,INSUMOS!$A$6:$A$205,0)),"¿Código?"))</f>
        <v/>
      </c>
      <c r="F659" s="8" t="str">
        <f aca="false">IF($D659="","",IFERROR(INDEX(INSUMOS!$E$6:$E$205,MATCH($D659,INSUMOS!$A$6:$A$205,0)),""))</f>
        <v/>
      </c>
      <c r="G659" s="39"/>
      <c r="H659" s="45" t="str">
        <f aca="false">IF($D659="","",IFERROR(INDEX(INSUMOS!$F$6:$F$205,MATCH($D659,INSUMOS!$A$6:$A$205,0)),0))</f>
        <v/>
      </c>
      <c r="I659" s="34" t="str">
        <f aca="false">IF($D659="","",N($G659)*$H659)</f>
        <v/>
      </c>
      <c r="J659" s="40"/>
      <c r="K659" s="36" t="str">
        <f aca="false">IF($D659="","",IFERROR(INDEX(INSUMOS!$H$6:$H$205,MATCH($D659,INSUMOS!$A$6:$A$205,0)),IVA_VENTAS))</f>
        <v/>
      </c>
      <c r="L659" s="35" t="str">
        <f aca="false">IF($D659="","",N($J659)*$K659)</f>
        <v/>
      </c>
      <c r="M659" s="35" t="str">
        <f aca="false">IF($D659="","",N($J659)+$L659)</f>
        <v/>
      </c>
      <c r="N659" s="43" t="str">
        <f aca="false">IF($D659="","",IFERROR(N($J659)/$I659,0))</f>
        <v/>
      </c>
      <c r="O659" s="6"/>
      <c r="P659" s="6"/>
      <c r="Q659" s="46" t="str">
        <f aca="false">IF($A659="","",DATE(YEAR($A659),MONTH($A659),1))</f>
        <v/>
      </c>
      <c r="R659" s="8" t="str">
        <f aca="false">IF(OR($A659="",$D659=""),"",IF(COUNTIFS($D$6:$D$1005,$D659,$A$6:$A$1005,"&gt;"&amp;$A659)=0,1,0))</f>
        <v/>
      </c>
    </row>
    <row r="660" customFormat="false" ht="15" hidden="false" customHeight="false" outlineLevel="0" collapsed="false">
      <c r="A660" s="44"/>
      <c r="B660" s="6"/>
      <c r="C660" s="6"/>
      <c r="D660" s="6"/>
      <c r="E660" s="8" t="str">
        <f aca="false">IF($D660="","",IFERROR(INDEX(INSUMOS!$B$6:$B$205,MATCH($D660,INSUMOS!$A$6:$A$205,0)),"¿Código?"))</f>
        <v/>
      </c>
      <c r="F660" s="8" t="str">
        <f aca="false">IF($D660="","",IFERROR(INDEX(INSUMOS!$E$6:$E$205,MATCH($D660,INSUMOS!$A$6:$A$205,0)),""))</f>
        <v/>
      </c>
      <c r="G660" s="39"/>
      <c r="H660" s="45" t="str">
        <f aca="false">IF($D660="","",IFERROR(INDEX(INSUMOS!$F$6:$F$205,MATCH($D660,INSUMOS!$A$6:$A$205,0)),0))</f>
        <v/>
      </c>
      <c r="I660" s="34" t="str">
        <f aca="false">IF($D660="","",N($G660)*$H660)</f>
        <v/>
      </c>
      <c r="J660" s="40"/>
      <c r="K660" s="36" t="str">
        <f aca="false">IF($D660="","",IFERROR(INDEX(INSUMOS!$H$6:$H$205,MATCH($D660,INSUMOS!$A$6:$A$205,0)),IVA_VENTAS))</f>
        <v/>
      </c>
      <c r="L660" s="35" t="str">
        <f aca="false">IF($D660="","",N($J660)*$K660)</f>
        <v/>
      </c>
      <c r="M660" s="35" t="str">
        <f aca="false">IF($D660="","",N($J660)+$L660)</f>
        <v/>
      </c>
      <c r="N660" s="43" t="str">
        <f aca="false">IF($D660="","",IFERROR(N($J660)/$I660,0))</f>
        <v/>
      </c>
      <c r="O660" s="6"/>
      <c r="P660" s="6"/>
      <c r="Q660" s="46" t="str">
        <f aca="false">IF($A660="","",DATE(YEAR($A660),MONTH($A660),1))</f>
        <v/>
      </c>
      <c r="R660" s="8" t="str">
        <f aca="false">IF(OR($A660="",$D660=""),"",IF(COUNTIFS($D$6:$D$1005,$D660,$A$6:$A$1005,"&gt;"&amp;$A660)=0,1,0))</f>
        <v/>
      </c>
    </row>
    <row r="661" customFormat="false" ht="15" hidden="false" customHeight="false" outlineLevel="0" collapsed="false">
      <c r="A661" s="44"/>
      <c r="B661" s="6"/>
      <c r="C661" s="6"/>
      <c r="D661" s="6"/>
      <c r="E661" s="8" t="str">
        <f aca="false">IF($D661="","",IFERROR(INDEX(INSUMOS!$B$6:$B$205,MATCH($D661,INSUMOS!$A$6:$A$205,0)),"¿Código?"))</f>
        <v/>
      </c>
      <c r="F661" s="8" t="str">
        <f aca="false">IF($D661="","",IFERROR(INDEX(INSUMOS!$E$6:$E$205,MATCH($D661,INSUMOS!$A$6:$A$205,0)),""))</f>
        <v/>
      </c>
      <c r="G661" s="39"/>
      <c r="H661" s="45" t="str">
        <f aca="false">IF($D661="","",IFERROR(INDEX(INSUMOS!$F$6:$F$205,MATCH($D661,INSUMOS!$A$6:$A$205,0)),0))</f>
        <v/>
      </c>
      <c r="I661" s="34" t="str">
        <f aca="false">IF($D661="","",N($G661)*$H661)</f>
        <v/>
      </c>
      <c r="J661" s="40"/>
      <c r="K661" s="36" t="str">
        <f aca="false">IF($D661="","",IFERROR(INDEX(INSUMOS!$H$6:$H$205,MATCH($D661,INSUMOS!$A$6:$A$205,0)),IVA_VENTAS))</f>
        <v/>
      </c>
      <c r="L661" s="35" t="str">
        <f aca="false">IF($D661="","",N($J661)*$K661)</f>
        <v/>
      </c>
      <c r="M661" s="35" t="str">
        <f aca="false">IF($D661="","",N($J661)+$L661)</f>
        <v/>
      </c>
      <c r="N661" s="43" t="str">
        <f aca="false">IF($D661="","",IFERROR(N($J661)/$I661,0))</f>
        <v/>
      </c>
      <c r="O661" s="6"/>
      <c r="P661" s="6"/>
      <c r="Q661" s="46" t="str">
        <f aca="false">IF($A661="","",DATE(YEAR($A661),MONTH($A661),1))</f>
        <v/>
      </c>
      <c r="R661" s="8" t="str">
        <f aca="false">IF(OR($A661="",$D661=""),"",IF(COUNTIFS($D$6:$D$1005,$D661,$A$6:$A$1005,"&gt;"&amp;$A661)=0,1,0))</f>
        <v/>
      </c>
    </row>
    <row r="662" customFormat="false" ht="15" hidden="false" customHeight="false" outlineLevel="0" collapsed="false">
      <c r="A662" s="44"/>
      <c r="B662" s="6"/>
      <c r="C662" s="6"/>
      <c r="D662" s="6"/>
      <c r="E662" s="8" t="str">
        <f aca="false">IF($D662="","",IFERROR(INDEX(INSUMOS!$B$6:$B$205,MATCH($D662,INSUMOS!$A$6:$A$205,0)),"¿Código?"))</f>
        <v/>
      </c>
      <c r="F662" s="8" t="str">
        <f aca="false">IF($D662="","",IFERROR(INDEX(INSUMOS!$E$6:$E$205,MATCH($D662,INSUMOS!$A$6:$A$205,0)),""))</f>
        <v/>
      </c>
      <c r="G662" s="39"/>
      <c r="H662" s="45" t="str">
        <f aca="false">IF($D662="","",IFERROR(INDEX(INSUMOS!$F$6:$F$205,MATCH($D662,INSUMOS!$A$6:$A$205,0)),0))</f>
        <v/>
      </c>
      <c r="I662" s="34" t="str">
        <f aca="false">IF($D662="","",N($G662)*$H662)</f>
        <v/>
      </c>
      <c r="J662" s="40"/>
      <c r="K662" s="36" t="str">
        <f aca="false">IF($D662="","",IFERROR(INDEX(INSUMOS!$H$6:$H$205,MATCH($D662,INSUMOS!$A$6:$A$205,0)),IVA_VENTAS))</f>
        <v/>
      </c>
      <c r="L662" s="35" t="str">
        <f aca="false">IF($D662="","",N($J662)*$K662)</f>
        <v/>
      </c>
      <c r="M662" s="35" t="str">
        <f aca="false">IF($D662="","",N($J662)+$L662)</f>
        <v/>
      </c>
      <c r="N662" s="43" t="str">
        <f aca="false">IF($D662="","",IFERROR(N($J662)/$I662,0))</f>
        <v/>
      </c>
      <c r="O662" s="6"/>
      <c r="P662" s="6"/>
      <c r="Q662" s="46" t="str">
        <f aca="false">IF($A662="","",DATE(YEAR($A662),MONTH($A662),1))</f>
        <v/>
      </c>
      <c r="R662" s="8" t="str">
        <f aca="false">IF(OR($A662="",$D662=""),"",IF(COUNTIFS($D$6:$D$1005,$D662,$A$6:$A$1005,"&gt;"&amp;$A662)=0,1,0))</f>
        <v/>
      </c>
    </row>
    <row r="663" customFormat="false" ht="15" hidden="false" customHeight="false" outlineLevel="0" collapsed="false">
      <c r="A663" s="44"/>
      <c r="B663" s="6"/>
      <c r="C663" s="6"/>
      <c r="D663" s="6"/>
      <c r="E663" s="8" t="str">
        <f aca="false">IF($D663="","",IFERROR(INDEX(INSUMOS!$B$6:$B$205,MATCH($D663,INSUMOS!$A$6:$A$205,0)),"¿Código?"))</f>
        <v/>
      </c>
      <c r="F663" s="8" t="str">
        <f aca="false">IF($D663="","",IFERROR(INDEX(INSUMOS!$E$6:$E$205,MATCH($D663,INSUMOS!$A$6:$A$205,0)),""))</f>
        <v/>
      </c>
      <c r="G663" s="39"/>
      <c r="H663" s="45" t="str">
        <f aca="false">IF($D663="","",IFERROR(INDEX(INSUMOS!$F$6:$F$205,MATCH($D663,INSUMOS!$A$6:$A$205,0)),0))</f>
        <v/>
      </c>
      <c r="I663" s="34" t="str">
        <f aca="false">IF($D663="","",N($G663)*$H663)</f>
        <v/>
      </c>
      <c r="J663" s="40"/>
      <c r="K663" s="36" t="str">
        <f aca="false">IF($D663="","",IFERROR(INDEX(INSUMOS!$H$6:$H$205,MATCH($D663,INSUMOS!$A$6:$A$205,0)),IVA_VENTAS))</f>
        <v/>
      </c>
      <c r="L663" s="35" t="str">
        <f aca="false">IF($D663="","",N($J663)*$K663)</f>
        <v/>
      </c>
      <c r="M663" s="35" t="str">
        <f aca="false">IF($D663="","",N($J663)+$L663)</f>
        <v/>
      </c>
      <c r="N663" s="43" t="str">
        <f aca="false">IF($D663="","",IFERROR(N($J663)/$I663,0))</f>
        <v/>
      </c>
      <c r="O663" s="6"/>
      <c r="P663" s="6"/>
      <c r="Q663" s="46" t="str">
        <f aca="false">IF($A663="","",DATE(YEAR($A663),MONTH($A663),1))</f>
        <v/>
      </c>
      <c r="R663" s="8" t="str">
        <f aca="false">IF(OR($A663="",$D663=""),"",IF(COUNTIFS($D$6:$D$1005,$D663,$A$6:$A$1005,"&gt;"&amp;$A663)=0,1,0))</f>
        <v/>
      </c>
    </row>
    <row r="664" customFormat="false" ht="15" hidden="false" customHeight="false" outlineLevel="0" collapsed="false">
      <c r="A664" s="44"/>
      <c r="B664" s="6"/>
      <c r="C664" s="6"/>
      <c r="D664" s="6"/>
      <c r="E664" s="8" t="str">
        <f aca="false">IF($D664="","",IFERROR(INDEX(INSUMOS!$B$6:$B$205,MATCH($D664,INSUMOS!$A$6:$A$205,0)),"¿Código?"))</f>
        <v/>
      </c>
      <c r="F664" s="8" t="str">
        <f aca="false">IF($D664="","",IFERROR(INDEX(INSUMOS!$E$6:$E$205,MATCH($D664,INSUMOS!$A$6:$A$205,0)),""))</f>
        <v/>
      </c>
      <c r="G664" s="39"/>
      <c r="H664" s="45" t="str">
        <f aca="false">IF($D664="","",IFERROR(INDEX(INSUMOS!$F$6:$F$205,MATCH($D664,INSUMOS!$A$6:$A$205,0)),0))</f>
        <v/>
      </c>
      <c r="I664" s="34" t="str">
        <f aca="false">IF($D664="","",N($G664)*$H664)</f>
        <v/>
      </c>
      <c r="J664" s="40"/>
      <c r="K664" s="36" t="str">
        <f aca="false">IF($D664="","",IFERROR(INDEX(INSUMOS!$H$6:$H$205,MATCH($D664,INSUMOS!$A$6:$A$205,0)),IVA_VENTAS))</f>
        <v/>
      </c>
      <c r="L664" s="35" t="str">
        <f aca="false">IF($D664="","",N($J664)*$K664)</f>
        <v/>
      </c>
      <c r="M664" s="35" t="str">
        <f aca="false">IF($D664="","",N($J664)+$L664)</f>
        <v/>
      </c>
      <c r="N664" s="43" t="str">
        <f aca="false">IF($D664="","",IFERROR(N($J664)/$I664,0))</f>
        <v/>
      </c>
      <c r="O664" s="6"/>
      <c r="P664" s="6"/>
      <c r="Q664" s="46" t="str">
        <f aca="false">IF($A664="","",DATE(YEAR($A664),MONTH($A664),1))</f>
        <v/>
      </c>
      <c r="R664" s="8" t="str">
        <f aca="false">IF(OR($A664="",$D664=""),"",IF(COUNTIFS($D$6:$D$1005,$D664,$A$6:$A$1005,"&gt;"&amp;$A664)=0,1,0))</f>
        <v/>
      </c>
    </row>
    <row r="665" customFormat="false" ht="15" hidden="false" customHeight="false" outlineLevel="0" collapsed="false">
      <c r="A665" s="44"/>
      <c r="B665" s="6"/>
      <c r="C665" s="6"/>
      <c r="D665" s="6"/>
      <c r="E665" s="8" t="str">
        <f aca="false">IF($D665="","",IFERROR(INDEX(INSUMOS!$B$6:$B$205,MATCH($D665,INSUMOS!$A$6:$A$205,0)),"¿Código?"))</f>
        <v/>
      </c>
      <c r="F665" s="8" t="str">
        <f aca="false">IF($D665="","",IFERROR(INDEX(INSUMOS!$E$6:$E$205,MATCH($D665,INSUMOS!$A$6:$A$205,0)),""))</f>
        <v/>
      </c>
      <c r="G665" s="39"/>
      <c r="H665" s="45" t="str">
        <f aca="false">IF($D665="","",IFERROR(INDEX(INSUMOS!$F$6:$F$205,MATCH($D665,INSUMOS!$A$6:$A$205,0)),0))</f>
        <v/>
      </c>
      <c r="I665" s="34" t="str">
        <f aca="false">IF($D665="","",N($G665)*$H665)</f>
        <v/>
      </c>
      <c r="J665" s="40"/>
      <c r="K665" s="36" t="str">
        <f aca="false">IF($D665="","",IFERROR(INDEX(INSUMOS!$H$6:$H$205,MATCH($D665,INSUMOS!$A$6:$A$205,0)),IVA_VENTAS))</f>
        <v/>
      </c>
      <c r="L665" s="35" t="str">
        <f aca="false">IF($D665="","",N($J665)*$K665)</f>
        <v/>
      </c>
      <c r="M665" s="35" t="str">
        <f aca="false">IF($D665="","",N($J665)+$L665)</f>
        <v/>
      </c>
      <c r="N665" s="43" t="str">
        <f aca="false">IF($D665="","",IFERROR(N($J665)/$I665,0))</f>
        <v/>
      </c>
      <c r="O665" s="6"/>
      <c r="P665" s="6"/>
      <c r="Q665" s="46" t="str">
        <f aca="false">IF($A665="","",DATE(YEAR($A665),MONTH($A665),1))</f>
        <v/>
      </c>
      <c r="R665" s="8" t="str">
        <f aca="false">IF(OR($A665="",$D665=""),"",IF(COUNTIFS($D$6:$D$1005,$D665,$A$6:$A$1005,"&gt;"&amp;$A665)=0,1,0))</f>
        <v/>
      </c>
    </row>
    <row r="666" customFormat="false" ht="15" hidden="false" customHeight="false" outlineLevel="0" collapsed="false">
      <c r="A666" s="44"/>
      <c r="B666" s="6"/>
      <c r="C666" s="6"/>
      <c r="D666" s="6"/>
      <c r="E666" s="8" t="str">
        <f aca="false">IF($D666="","",IFERROR(INDEX(INSUMOS!$B$6:$B$205,MATCH($D666,INSUMOS!$A$6:$A$205,0)),"¿Código?"))</f>
        <v/>
      </c>
      <c r="F666" s="8" t="str">
        <f aca="false">IF($D666="","",IFERROR(INDEX(INSUMOS!$E$6:$E$205,MATCH($D666,INSUMOS!$A$6:$A$205,0)),""))</f>
        <v/>
      </c>
      <c r="G666" s="39"/>
      <c r="H666" s="45" t="str">
        <f aca="false">IF($D666="","",IFERROR(INDEX(INSUMOS!$F$6:$F$205,MATCH($D666,INSUMOS!$A$6:$A$205,0)),0))</f>
        <v/>
      </c>
      <c r="I666" s="34" t="str">
        <f aca="false">IF($D666="","",N($G666)*$H666)</f>
        <v/>
      </c>
      <c r="J666" s="40"/>
      <c r="K666" s="36" t="str">
        <f aca="false">IF($D666="","",IFERROR(INDEX(INSUMOS!$H$6:$H$205,MATCH($D666,INSUMOS!$A$6:$A$205,0)),IVA_VENTAS))</f>
        <v/>
      </c>
      <c r="L666" s="35" t="str">
        <f aca="false">IF($D666="","",N($J666)*$K666)</f>
        <v/>
      </c>
      <c r="M666" s="35" t="str">
        <f aca="false">IF($D666="","",N($J666)+$L666)</f>
        <v/>
      </c>
      <c r="N666" s="43" t="str">
        <f aca="false">IF($D666="","",IFERROR(N($J666)/$I666,0))</f>
        <v/>
      </c>
      <c r="O666" s="6"/>
      <c r="P666" s="6"/>
      <c r="Q666" s="46" t="str">
        <f aca="false">IF($A666="","",DATE(YEAR($A666),MONTH($A666),1))</f>
        <v/>
      </c>
      <c r="R666" s="8" t="str">
        <f aca="false">IF(OR($A666="",$D666=""),"",IF(COUNTIFS($D$6:$D$1005,$D666,$A$6:$A$1005,"&gt;"&amp;$A666)=0,1,0))</f>
        <v/>
      </c>
    </row>
    <row r="667" customFormat="false" ht="15" hidden="false" customHeight="false" outlineLevel="0" collapsed="false">
      <c r="A667" s="44"/>
      <c r="B667" s="6"/>
      <c r="C667" s="6"/>
      <c r="D667" s="6"/>
      <c r="E667" s="8" t="str">
        <f aca="false">IF($D667="","",IFERROR(INDEX(INSUMOS!$B$6:$B$205,MATCH($D667,INSUMOS!$A$6:$A$205,0)),"¿Código?"))</f>
        <v/>
      </c>
      <c r="F667" s="8" t="str">
        <f aca="false">IF($D667="","",IFERROR(INDEX(INSUMOS!$E$6:$E$205,MATCH($D667,INSUMOS!$A$6:$A$205,0)),""))</f>
        <v/>
      </c>
      <c r="G667" s="39"/>
      <c r="H667" s="45" t="str">
        <f aca="false">IF($D667="","",IFERROR(INDEX(INSUMOS!$F$6:$F$205,MATCH($D667,INSUMOS!$A$6:$A$205,0)),0))</f>
        <v/>
      </c>
      <c r="I667" s="34" t="str">
        <f aca="false">IF($D667="","",N($G667)*$H667)</f>
        <v/>
      </c>
      <c r="J667" s="40"/>
      <c r="K667" s="36" t="str">
        <f aca="false">IF($D667="","",IFERROR(INDEX(INSUMOS!$H$6:$H$205,MATCH($D667,INSUMOS!$A$6:$A$205,0)),IVA_VENTAS))</f>
        <v/>
      </c>
      <c r="L667" s="35" t="str">
        <f aca="false">IF($D667="","",N($J667)*$K667)</f>
        <v/>
      </c>
      <c r="M667" s="35" t="str">
        <f aca="false">IF($D667="","",N($J667)+$L667)</f>
        <v/>
      </c>
      <c r="N667" s="43" t="str">
        <f aca="false">IF($D667="","",IFERROR(N($J667)/$I667,0))</f>
        <v/>
      </c>
      <c r="O667" s="6"/>
      <c r="P667" s="6"/>
      <c r="Q667" s="46" t="str">
        <f aca="false">IF($A667="","",DATE(YEAR($A667),MONTH($A667),1))</f>
        <v/>
      </c>
      <c r="R667" s="8" t="str">
        <f aca="false">IF(OR($A667="",$D667=""),"",IF(COUNTIFS($D$6:$D$1005,$D667,$A$6:$A$1005,"&gt;"&amp;$A667)=0,1,0))</f>
        <v/>
      </c>
    </row>
    <row r="668" customFormat="false" ht="15" hidden="false" customHeight="false" outlineLevel="0" collapsed="false">
      <c r="A668" s="44"/>
      <c r="B668" s="6"/>
      <c r="C668" s="6"/>
      <c r="D668" s="6"/>
      <c r="E668" s="8" t="str">
        <f aca="false">IF($D668="","",IFERROR(INDEX(INSUMOS!$B$6:$B$205,MATCH($D668,INSUMOS!$A$6:$A$205,0)),"¿Código?"))</f>
        <v/>
      </c>
      <c r="F668" s="8" t="str">
        <f aca="false">IF($D668="","",IFERROR(INDEX(INSUMOS!$E$6:$E$205,MATCH($D668,INSUMOS!$A$6:$A$205,0)),""))</f>
        <v/>
      </c>
      <c r="G668" s="39"/>
      <c r="H668" s="45" t="str">
        <f aca="false">IF($D668="","",IFERROR(INDEX(INSUMOS!$F$6:$F$205,MATCH($D668,INSUMOS!$A$6:$A$205,0)),0))</f>
        <v/>
      </c>
      <c r="I668" s="34" t="str">
        <f aca="false">IF($D668="","",N($G668)*$H668)</f>
        <v/>
      </c>
      <c r="J668" s="40"/>
      <c r="K668" s="36" t="str">
        <f aca="false">IF($D668="","",IFERROR(INDEX(INSUMOS!$H$6:$H$205,MATCH($D668,INSUMOS!$A$6:$A$205,0)),IVA_VENTAS))</f>
        <v/>
      </c>
      <c r="L668" s="35" t="str">
        <f aca="false">IF($D668="","",N($J668)*$K668)</f>
        <v/>
      </c>
      <c r="M668" s="35" t="str">
        <f aca="false">IF($D668="","",N($J668)+$L668)</f>
        <v/>
      </c>
      <c r="N668" s="43" t="str">
        <f aca="false">IF($D668="","",IFERROR(N($J668)/$I668,0))</f>
        <v/>
      </c>
      <c r="O668" s="6"/>
      <c r="P668" s="6"/>
      <c r="Q668" s="46" t="str">
        <f aca="false">IF($A668="","",DATE(YEAR($A668),MONTH($A668),1))</f>
        <v/>
      </c>
      <c r="R668" s="8" t="str">
        <f aca="false">IF(OR($A668="",$D668=""),"",IF(COUNTIFS($D$6:$D$1005,$D668,$A$6:$A$1005,"&gt;"&amp;$A668)=0,1,0))</f>
        <v/>
      </c>
    </row>
    <row r="669" customFormat="false" ht="15" hidden="false" customHeight="false" outlineLevel="0" collapsed="false">
      <c r="A669" s="44"/>
      <c r="B669" s="6"/>
      <c r="C669" s="6"/>
      <c r="D669" s="6"/>
      <c r="E669" s="8" t="str">
        <f aca="false">IF($D669="","",IFERROR(INDEX(INSUMOS!$B$6:$B$205,MATCH($D669,INSUMOS!$A$6:$A$205,0)),"¿Código?"))</f>
        <v/>
      </c>
      <c r="F669" s="8" t="str">
        <f aca="false">IF($D669="","",IFERROR(INDEX(INSUMOS!$E$6:$E$205,MATCH($D669,INSUMOS!$A$6:$A$205,0)),""))</f>
        <v/>
      </c>
      <c r="G669" s="39"/>
      <c r="H669" s="45" t="str">
        <f aca="false">IF($D669="","",IFERROR(INDEX(INSUMOS!$F$6:$F$205,MATCH($D669,INSUMOS!$A$6:$A$205,0)),0))</f>
        <v/>
      </c>
      <c r="I669" s="34" t="str">
        <f aca="false">IF($D669="","",N($G669)*$H669)</f>
        <v/>
      </c>
      <c r="J669" s="40"/>
      <c r="K669" s="36" t="str">
        <f aca="false">IF($D669="","",IFERROR(INDEX(INSUMOS!$H$6:$H$205,MATCH($D669,INSUMOS!$A$6:$A$205,0)),IVA_VENTAS))</f>
        <v/>
      </c>
      <c r="L669" s="35" t="str">
        <f aca="false">IF($D669="","",N($J669)*$K669)</f>
        <v/>
      </c>
      <c r="M669" s="35" t="str">
        <f aca="false">IF($D669="","",N($J669)+$L669)</f>
        <v/>
      </c>
      <c r="N669" s="43" t="str">
        <f aca="false">IF($D669="","",IFERROR(N($J669)/$I669,0))</f>
        <v/>
      </c>
      <c r="O669" s="6"/>
      <c r="P669" s="6"/>
      <c r="Q669" s="46" t="str">
        <f aca="false">IF($A669="","",DATE(YEAR($A669),MONTH($A669),1))</f>
        <v/>
      </c>
      <c r="R669" s="8" t="str">
        <f aca="false">IF(OR($A669="",$D669=""),"",IF(COUNTIFS($D$6:$D$1005,$D669,$A$6:$A$1005,"&gt;"&amp;$A669)=0,1,0))</f>
        <v/>
      </c>
    </row>
    <row r="670" customFormat="false" ht="15" hidden="false" customHeight="false" outlineLevel="0" collapsed="false">
      <c r="A670" s="44"/>
      <c r="B670" s="6"/>
      <c r="C670" s="6"/>
      <c r="D670" s="6"/>
      <c r="E670" s="8" t="str">
        <f aca="false">IF($D670="","",IFERROR(INDEX(INSUMOS!$B$6:$B$205,MATCH($D670,INSUMOS!$A$6:$A$205,0)),"¿Código?"))</f>
        <v/>
      </c>
      <c r="F670" s="8" t="str">
        <f aca="false">IF($D670="","",IFERROR(INDEX(INSUMOS!$E$6:$E$205,MATCH($D670,INSUMOS!$A$6:$A$205,0)),""))</f>
        <v/>
      </c>
      <c r="G670" s="39"/>
      <c r="H670" s="45" t="str">
        <f aca="false">IF($D670="","",IFERROR(INDEX(INSUMOS!$F$6:$F$205,MATCH($D670,INSUMOS!$A$6:$A$205,0)),0))</f>
        <v/>
      </c>
      <c r="I670" s="34" t="str">
        <f aca="false">IF($D670="","",N($G670)*$H670)</f>
        <v/>
      </c>
      <c r="J670" s="40"/>
      <c r="K670" s="36" t="str">
        <f aca="false">IF($D670="","",IFERROR(INDEX(INSUMOS!$H$6:$H$205,MATCH($D670,INSUMOS!$A$6:$A$205,0)),IVA_VENTAS))</f>
        <v/>
      </c>
      <c r="L670" s="35" t="str">
        <f aca="false">IF($D670="","",N($J670)*$K670)</f>
        <v/>
      </c>
      <c r="M670" s="35" t="str">
        <f aca="false">IF($D670="","",N($J670)+$L670)</f>
        <v/>
      </c>
      <c r="N670" s="43" t="str">
        <f aca="false">IF($D670="","",IFERROR(N($J670)/$I670,0))</f>
        <v/>
      </c>
      <c r="O670" s="6"/>
      <c r="P670" s="6"/>
      <c r="Q670" s="46" t="str">
        <f aca="false">IF($A670="","",DATE(YEAR($A670),MONTH($A670),1))</f>
        <v/>
      </c>
      <c r="R670" s="8" t="str">
        <f aca="false">IF(OR($A670="",$D670=""),"",IF(COUNTIFS($D$6:$D$1005,$D670,$A$6:$A$1005,"&gt;"&amp;$A670)=0,1,0))</f>
        <v/>
      </c>
    </row>
    <row r="671" customFormat="false" ht="15" hidden="false" customHeight="false" outlineLevel="0" collapsed="false">
      <c r="A671" s="44"/>
      <c r="B671" s="6"/>
      <c r="C671" s="6"/>
      <c r="D671" s="6"/>
      <c r="E671" s="8" t="str">
        <f aca="false">IF($D671="","",IFERROR(INDEX(INSUMOS!$B$6:$B$205,MATCH($D671,INSUMOS!$A$6:$A$205,0)),"¿Código?"))</f>
        <v/>
      </c>
      <c r="F671" s="8" t="str">
        <f aca="false">IF($D671="","",IFERROR(INDEX(INSUMOS!$E$6:$E$205,MATCH($D671,INSUMOS!$A$6:$A$205,0)),""))</f>
        <v/>
      </c>
      <c r="G671" s="39"/>
      <c r="H671" s="45" t="str">
        <f aca="false">IF($D671="","",IFERROR(INDEX(INSUMOS!$F$6:$F$205,MATCH($D671,INSUMOS!$A$6:$A$205,0)),0))</f>
        <v/>
      </c>
      <c r="I671" s="34" t="str">
        <f aca="false">IF($D671="","",N($G671)*$H671)</f>
        <v/>
      </c>
      <c r="J671" s="40"/>
      <c r="K671" s="36" t="str">
        <f aca="false">IF($D671="","",IFERROR(INDEX(INSUMOS!$H$6:$H$205,MATCH($D671,INSUMOS!$A$6:$A$205,0)),IVA_VENTAS))</f>
        <v/>
      </c>
      <c r="L671" s="35" t="str">
        <f aca="false">IF($D671="","",N($J671)*$K671)</f>
        <v/>
      </c>
      <c r="M671" s="35" t="str">
        <f aca="false">IF($D671="","",N($J671)+$L671)</f>
        <v/>
      </c>
      <c r="N671" s="43" t="str">
        <f aca="false">IF($D671="","",IFERROR(N($J671)/$I671,0))</f>
        <v/>
      </c>
      <c r="O671" s="6"/>
      <c r="P671" s="6"/>
      <c r="Q671" s="46" t="str">
        <f aca="false">IF($A671="","",DATE(YEAR($A671),MONTH($A671),1))</f>
        <v/>
      </c>
      <c r="R671" s="8" t="str">
        <f aca="false">IF(OR($A671="",$D671=""),"",IF(COUNTIFS($D$6:$D$1005,$D671,$A$6:$A$1005,"&gt;"&amp;$A671)=0,1,0))</f>
        <v/>
      </c>
    </row>
    <row r="672" customFormat="false" ht="15" hidden="false" customHeight="false" outlineLevel="0" collapsed="false">
      <c r="A672" s="44"/>
      <c r="B672" s="6"/>
      <c r="C672" s="6"/>
      <c r="D672" s="6"/>
      <c r="E672" s="8" t="str">
        <f aca="false">IF($D672="","",IFERROR(INDEX(INSUMOS!$B$6:$B$205,MATCH($D672,INSUMOS!$A$6:$A$205,0)),"¿Código?"))</f>
        <v/>
      </c>
      <c r="F672" s="8" t="str">
        <f aca="false">IF($D672="","",IFERROR(INDEX(INSUMOS!$E$6:$E$205,MATCH($D672,INSUMOS!$A$6:$A$205,0)),""))</f>
        <v/>
      </c>
      <c r="G672" s="39"/>
      <c r="H672" s="45" t="str">
        <f aca="false">IF($D672="","",IFERROR(INDEX(INSUMOS!$F$6:$F$205,MATCH($D672,INSUMOS!$A$6:$A$205,0)),0))</f>
        <v/>
      </c>
      <c r="I672" s="34" t="str">
        <f aca="false">IF($D672="","",N($G672)*$H672)</f>
        <v/>
      </c>
      <c r="J672" s="40"/>
      <c r="K672" s="36" t="str">
        <f aca="false">IF($D672="","",IFERROR(INDEX(INSUMOS!$H$6:$H$205,MATCH($D672,INSUMOS!$A$6:$A$205,0)),IVA_VENTAS))</f>
        <v/>
      </c>
      <c r="L672" s="35" t="str">
        <f aca="false">IF($D672="","",N($J672)*$K672)</f>
        <v/>
      </c>
      <c r="M672" s="35" t="str">
        <f aca="false">IF($D672="","",N($J672)+$L672)</f>
        <v/>
      </c>
      <c r="N672" s="43" t="str">
        <f aca="false">IF($D672="","",IFERROR(N($J672)/$I672,0))</f>
        <v/>
      </c>
      <c r="O672" s="6"/>
      <c r="P672" s="6"/>
      <c r="Q672" s="46" t="str">
        <f aca="false">IF($A672="","",DATE(YEAR($A672),MONTH($A672),1))</f>
        <v/>
      </c>
      <c r="R672" s="8" t="str">
        <f aca="false">IF(OR($A672="",$D672=""),"",IF(COUNTIFS($D$6:$D$1005,$D672,$A$6:$A$1005,"&gt;"&amp;$A672)=0,1,0))</f>
        <v/>
      </c>
    </row>
    <row r="673" customFormat="false" ht="15" hidden="false" customHeight="false" outlineLevel="0" collapsed="false">
      <c r="A673" s="44"/>
      <c r="B673" s="6"/>
      <c r="C673" s="6"/>
      <c r="D673" s="6"/>
      <c r="E673" s="8" t="str">
        <f aca="false">IF($D673="","",IFERROR(INDEX(INSUMOS!$B$6:$B$205,MATCH($D673,INSUMOS!$A$6:$A$205,0)),"¿Código?"))</f>
        <v/>
      </c>
      <c r="F673" s="8" t="str">
        <f aca="false">IF($D673="","",IFERROR(INDEX(INSUMOS!$E$6:$E$205,MATCH($D673,INSUMOS!$A$6:$A$205,0)),""))</f>
        <v/>
      </c>
      <c r="G673" s="39"/>
      <c r="H673" s="45" t="str">
        <f aca="false">IF($D673="","",IFERROR(INDEX(INSUMOS!$F$6:$F$205,MATCH($D673,INSUMOS!$A$6:$A$205,0)),0))</f>
        <v/>
      </c>
      <c r="I673" s="34" t="str">
        <f aca="false">IF($D673="","",N($G673)*$H673)</f>
        <v/>
      </c>
      <c r="J673" s="40"/>
      <c r="K673" s="36" t="str">
        <f aca="false">IF($D673="","",IFERROR(INDEX(INSUMOS!$H$6:$H$205,MATCH($D673,INSUMOS!$A$6:$A$205,0)),IVA_VENTAS))</f>
        <v/>
      </c>
      <c r="L673" s="35" t="str">
        <f aca="false">IF($D673="","",N($J673)*$K673)</f>
        <v/>
      </c>
      <c r="M673" s="35" t="str">
        <f aca="false">IF($D673="","",N($J673)+$L673)</f>
        <v/>
      </c>
      <c r="N673" s="43" t="str">
        <f aca="false">IF($D673="","",IFERROR(N($J673)/$I673,0))</f>
        <v/>
      </c>
      <c r="O673" s="6"/>
      <c r="P673" s="6"/>
      <c r="Q673" s="46" t="str">
        <f aca="false">IF($A673="","",DATE(YEAR($A673),MONTH($A673),1))</f>
        <v/>
      </c>
      <c r="R673" s="8" t="str">
        <f aca="false">IF(OR($A673="",$D673=""),"",IF(COUNTIFS($D$6:$D$1005,$D673,$A$6:$A$1005,"&gt;"&amp;$A673)=0,1,0))</f>
        <v/>
      </c>
    </row>
    <row r="674" customFormat="false" ht="15" hidden="false" customHeight="false" outlineLevel="0" collapsed="false">
      <c r="A674" s="44"/>
      <c r="B674" s="6"/>
      <c r="C674" s="6"/>
      <c r="D674" s="6"/>
      <c r="E674" s="8" t="str">
        <f aca="false">IF($D674="","",IFERROR(INDEX(INSUMOS!$B$6:$B$205,MATCH($D674,INSUMOS!$A$6:$A$205,0)),"¿Código?"))</f>
        <v/>
      </c>
      <c r="F674" s="8" t="str">
        <f aca="false">IF($D674="","",IFERROR(INDEX(INSUMOS!$E$6:$E$205,MATCH($D674,INSUMOS!$A$6:$A$205,0)),""))</f>
        <v/>
      </c>
      <c r="G674" s="39"/>
      <c r="H674" s="45" t="str">
        <f aca="false">IF($D674="","",IFERROR(INDEX(INSUMOS!$F$6:$F$205,MATCH($D674,INSUMOS!$A$6:$A$205,0)),0))</f>
        <v/>
      </c>
      <c r="I674" s="34" t="str">
        <f aca="false">IF($D674="","",N($G674)*$H674)</f>
        <v/>
      </c>
      <c r="J674" s="40"/>
      <c r="K674" s="36" t="str">
        <f aca="false">IF($D674="","",IFERROR(INDEX(INSUMOS!$H$6:$H$205,MATCH($D674,INSUMOS!$A$6:$A$205,0)),IVA_VENTAS))</f>
        <v/>
      </c>
      <c r="L674" s="35" t="str">
        <f aca="false">IF($D674="","",N($J674)*$K674)</f>
        <v/>
      </c>
      <c r="M674" s="35" t="str">
        <f aca="false">IF($D674="","",N($J674)+$L674)</f>
        <v/>
      </c>
      <c r="N674" s="43" t="str">
        <f aca="false">IF($D674="","",IFERROR(N($J674)/$I674,0))</f>
        <v/>
      </c>
      <c r="O674" s="6"/>
      <c r="P674" s="6"/>
      <c r="Q674" s="46" t="str">
        <f aca="false">IF($A674="","",DATE(YEAR($A674),MONTH($A674),1))</f>
        <v/>
      </c>
      <c r="R674" s="8" t="str">
        <f aca="false">IF(OR($A674="",$D674=""),"",IF(COUNTIFS($D$6:$D$1005,$D674,$A$6:$A$1005,"&gt;"&amp;$A674)=0,1,0))</f>
        <v/>
      </c>
    </row>
    <row r="675" customFormat="false" ht="15" hidden="false" customHeight="false" outlineLevel="0" collapsed="false">
      <c r="A675" s="44"/>
      <c r="B675" s="6"/>
      <c r="C675" s="6"/>
      <c r="D675" s="6"/>
      <c r="E675" s="8" t="str">
        <f aca="false">IF($D675="","",IFERROR(INDEX(INSUMOS!$B$6:$B$205,MATCH($D675,INSUMOS!$A$6:$A$205,0)),"¿Código?"))</f>
        <v/>
      </c>
      <c r="F675" s="8" t="str">
        <f aca="false">IF($D675="","",IFERROR(INDEX(INSUMOS!$E$6:$E$205,MATCH($D675,INSUMOS!$A$6:$A$205,0)),""))</f>
        <v/>
      </c>
      <c r="G675" s="39"/>
      <c r="H675" s="45" t="str">
        <f aca="false">IF($D675="","",IFERROR(INDEX(INSUMOS!$F$6:$F$205,MATCH($D675,INSUMOS!$A$6:$A$205,0)),0))</f>
        <v/>
      </c>
      <c r="I675" s="34" t="str">
        <f aca="false">IF($D675="","",N($G675)*$H675)</f>
        <v/>
      </c>
      <c r="J675" s="40"/>
      <c r="K675" s="36" t="str">
        <f aca="false">IF($D675="","",IFERROR(INDEX(INSUMOS!$H$6:$H$205,MATCH($D675,INSUMOS!$A$6:$A$205,0)),IVA_VENTAS))</f>
        <v/>
      </c>
      <c r="L675" s="35" t="str">
        <f aca="false">IF($D675="","",N($J675)*$K675)</f>
        <v/>
      </c>
      <c r="M675" s="35" t="str">
        <f aca="false">IF($D675="","",N($J675)+$L675)</f>
        <v/>
      </c>
      <c r="N675" s="43" t="str">
        <f aca="false">IF($D675="","",IFERROR(N($J675)/$I675,0))</f>
        <v/>
      </c>
      <c r="O675" s="6"/>
      <c r="P675" s="6"/>
      <c r="Q675" s="46" t="str">
        <f aca="false">IF($A675="","",DATE(YEAR($A675),MONTH($A675),1))</f>
        <v/>
      </c>
      <c r="R675" s="8" t="str">
        <f aca="false">IF(OR($A675="",$D675=""),"",IF(COUNTIFS($D$6:$D$1005,$D675,$A$6:$A$1005,"&gt;"&amp;$A675)=0,1,0))</f>
        <v/>
      </c>
    </row>
    <row r="676" customFormat="false" ht="15" hidden="false" customHeight="false" outlineLevel="0" collapsed="false">
      <c r="A676" s="44"/>
      <c r="B676" s="6"/>
      <c r="C676" s="6"/>
      <c r="D676" s="6"/>
      <c r="E676" s="8" t="str">
        <f aca="false">IF($D676="","",IFERROR(INDEX(INSUMOS!$B$6:$B$205,MATCH($D676,INSUMOS!$A$6:$A$205,0)),"¿Código?"))</f>
        <v/>
      </c>
      <c r="F676" s="8" t="str">
        <f aca="false">IF($D676="","",IFERROR(INDEX(INSUMOS!$E$6:$E$205,MATCH($D676,INSUMOS!$A$6:$A$205,0)),""))</f>
        <v/>
      </c>
      <c r="G676" s="39"/>
      <c r="H676" s="45" t="str">
        <f aca="false">IF($D676="","",IFERROR(INDEX(INSUMOS!$F$6:$F$205,MATCH($D676,INSUMOS!$A$6:$A$205,0)),0))</f>
        <v/>
      </c>
      <c r="I676" s="34" t="str">
        <f aca="false">IF($D676="","",N($G676)*$H676)</f>
        <v/>
      </c>
      <c r="J676" s="40"/>
      <c r="K676" s="36" t="str">
        <f aca="false">IF($D676="","",IFERROR(INDEX(INSUMOS!$H$6:$H$205,MATCH($D676,INSUMOS!$A$6:$A$205,0)),IVA_VENTAS))</f>
        <v/>
      </c>
      <c r="L676" s="35" t="str">
        <f aca="false">IF($D676="","",N($J676)*$K676)</f>
        <v/>
      </c>
      <c r="M676" s="35" t="str">
        <f aca="false">IF($D676="","",N($J676)+$L676)</f>
        <v/>
      </c>
      <c r="N676" s="43" t="str">
        <f aca="false">IF($D676="","",IFERROR(N($J676)/$I676,0))</f>
        <v/>
      </c>
      <c r="O676" s="6"/>
      <c r="P676" s="6"/>
      <c r="Q676" s="46" t="str">
        <f aca="false">IF($A676="","",DATE(YEAR($A676),MONTH($A676),1))</f>
        <v/>
      </c>
      <c r="R676" s="8" t="str">
        <f aca="false">IF(OR($A676="",$D676=""),"",IF(COUNTIFS($D$6:$D$1005,$D676,$A$6:$A$1005,"&gt;"&amp;$A676)=0,1,0))</f>
        <v/>
      </c>
    </row>
    <row r="677" customFormat="false" ht="15" hidden="false" customHeight="false" outlineLevel="0" collapsed="false">
      <c r="A677" s="44"/>
      <c r="B677" s="6"/>
      <c r="C677" s="6"/>
      <c r="D677" s="6"/>
      <c r="E677" s="8" t="str">
        <f aca="false">IF($D677="","",IFERROR(INDEX(INSUMOS!$B$6:$B$205,MATCH($D677,INSUMOS!$A$6:$A$205,0)),"¿Código?"))</f>
        <v/>
      </c>
      <c r="F677" s="8" t="str">
        <f aca="false">IF($D677="","",IFERROR(INDEX(INSUMOS!$E$6:$E$205,MATCH($D677,INSUMOS!$A$6:$A$205,0)),""))</f>
        <v/>
      </c>
      <c r="G677" s="39"/>
      <c r="H677" s="45" t="str">
        <f aca="false">IF($D677="","",IFERROR(INDEX(INSUMOS!$F$6:$F$205,MATCH($D677,INSUMOS!$A$6:$A$205,0)),0))</f>
        <v/>
      </c>
      <c r="I677" s="34" t="str">
        <f aca="false">IF($D677="","",N($G677)*$H677)</f>
        <v/>
      </c>
      <c r="J677" s="40"/>
      <c r="K677" s="36" t="str">
        <f aca="false">IF($D677="","",IFERROR(INDEX(INSUMOS!$H$6:$H$205,MATCH($D677,INSUMOS!$A$6:$A$205,0)),IVA_VENTAS))</f>
        <v/>
      </c>
      <c r="L677" s="35" t="str">
        <f aca="false">IF($D677="","",N($J677)*$K677)</f>
        <v/>
      </c>
      <c r="M677" s="35" t="str">
        <f aca="false">IF($D677="","",N($J677)+$L677)</f>
        <v/>
      </c>
      <c r="N677" s="43" t="str">
        <f aca="false">IF($D677="","",IFERROR(N($J677)/$I677,0))</f>
        <v/>
      </c>
      <c r="O677" s="6"/>
      <c r="P677" s="6"/>
      <c r="Q677" s="46" t="str">
        <f aca="false">IF($A677="","",DATE(YEAR($A677),MONTH($A677),1))</f>
        <v/>
      </c>
      <c r="R677" s="8" t="str">
        <f aca="false">IF(OR($A677="",$D677=""),"",IF(COUNTIFS($D$6:$D$1005,$D677,$A$6:$A$1005,"&gt;"&amp;$A677)=0,1,0))</f>
        <v/>
      </c>
    </row>
    <row r="678" customFormat="false" ht="15" hidden="false" customHeight="false" outlineLevel="0" collapsed="false">
      <c r="A678" s="44"/>
      <c r="B678" s="6"/>
      <c r="C678" s="6"/>
      <c r="D678" s="6"/>
      <c r="E678" s="8" t="str">
        <f aca="false">IF($D678="","",IFERROR(INDEX(INSUMOS!$B$6:$B$205,MATCH($D678,INSUMOS!$A$6:$A$205,0)),"¿Código?"))</f>
        <v/>
      </c>
      <c r="F678" s="8" t="str">
        <f aca="false">IF($D678="","",IFERROR(INDEX(INSUMOS!$E$6:$E$205,MATCH($D678,INSUMOS!$A$6:$A$205,0)),""))</f>
        <v/>
      </c>
      <c r="G678" s="39"/>
      <c r="H678" s="45" t="str">
        <f aca="false">IF($D678="","",IFERROR(INDEX(INSUMOS!$F$6:$F$205,MATCH($D678,INSUMOS!$A$6:$A$205,0)),0))</f>
        <v/>
      </c>
      <c r="I678" s="34" t="str">
        <f aca="false">IF($D678="","",N($G678)*$H678)</f>
        <v/>
      </c>
      <c r="J678" s="40"/>
      <c r="K678" s="36" t="str">
        <f aca="false">IF($D678="","",IFERROR(INDEX(INSUMOS!$H$6:$H$205,MATCH($D678,INSUMOS!$A$6:$A$205,0)),IVA_VENTAS))</f>
        <v/>
      </c>
      <c r="L678" s="35" t="str">
        <f aca="false">IF($D678="","",N($J678)*$K678)</f>
        <v/>
      </c>
      <c r="M678" s="35" t="str">
        <f aca="false">IF($D678="","",N($J678)+$L678)</f>
        <v/>
      </c>
      <c r="N678" s="43" t="str">
        <f aca="false">IF($D678="","",IFERROR(N($J678)/$I678,0))</f>
        <v/>
      </c>
      <c r="O678" s="6"/>
      <c r="P678" s="6"/>
      <c r="Q678" s="46" t="str">
        <f aca="false">IF($A678="","",DATE(YEAR($A678),MONTH($A678),1))</f>
        <v/>
      </c>
      <c r="R678" s="8" t="str">
        <f aca="false">IF(OR($A678="",$D678=""),"",IF(COUNTIFS($D$6:$D$1005,$D678,$A$6:$A$1005,"&gt;"&amp;$A678)=0,1,0))</f>
        <v/>
      </c>
    </row>
    <row r="679" customFormat="false" ht="15" hidden="false" customHeight="false" outlineLevel="0" collapsed="false">
      <c r="A679" s="44"/>
      <c r="B679" s="6"/>
      <c r="C679" s="6"/>
      <c r="D679" s="6"/>
      <c r="E679" s="8" t="str">
        <f aca="false">IF($D679="","",IFERROR(INDEX(INSUMOS!$B$6:$B$205,MATCH($D679,INSUMOS!$A$6:$A$205,0)),"¿Código?"))</f>
        <v/>
      </c>
      <c r="F679" s="8" t="str">
        <f aca="false">IF($D679="","",IFERROR(INDEX(INSUMOS!$E$6:$E$205,MATCH($D679,INSUMOS!$A$6:$A$205,0)),""))</f>
        <v/>
      </c>
      <c r="G679" s="39"/>
      <c r="H679" s="45" t="str">
        <f aca="false">IF($D679="","",IFERROR(INDEX(INSUMOS!$F$6:$F$205,MATCH($D679,INSUMOS!$A$6:$A$205,0)),0))</f>
        <v/>
      </c>
      <c r="I679" s="34" t="str">
        <f aca="false">IF($D679="","",N($G679)*$H679)</f>
        <v/>
      </c>
      <c r="J679" s="40"/>
      <c r="K679" s="36" t="str">
        <f aca="false">IF($D679="","",IFERROR(INDEX(INSUMOS!$H$6:$H$205,MATCH($D679,INSUMOS!$A$6:$A$205,0)),IVA_VENTAS))</f>
        <v/>
      </c>
      <c r="L679" s="35" t="str">
        <f aca="false">IF($D679="","",N($J679)*$K679)</f>
        <v/>
      </c>
      <c r="M679" s="35" t="str">
        <f aca="false">IF($D679="","",N($J679)+$L679)</f>
        <v/>
      </c>
      <c r="N679" s="43" t="str">
        <f aca="false">IF($D679="","",IFERROR(N($J679)/$I679,0))</f>
        <v/>
      </c>
      <c r="O679" s="6"/>
      <c r="P679" s="6"/>
      <c r="Q679" s="46" t="str">
        <f aca="false">IF($A679="","",DATE(YEAR($A679),MONTH($A679),1))</f>
        <v/>
      </c>
      <c r="R679" s="8" t="str">
        <f aca="false">IF(OR($A679="",$D679=""),"",IF(COUNTIFS($D$6:$D$1005,$D679,$A$6:$A$1005,"&gt;"&amp;$A679)=0,1,0))</f>
        <v/>
      </c>
    </row>
    <row r="680" customFormat="false" ht="15" hidden="false" customHeight="false" outlineLevel="0" collapsed="false">
      <c r="A680" s="44"/>
      <c r="B680" s="6"/>
      <c r="C680" s="6"/>
      <c r="D680" s="6"/>
      <c r="E680" s="8" t="str">
        <f aca="false">IF($D680="","",IFERROR(INDEX(INSUMOS!$B$6:$B$205,MATCH($D680,INSUMOS!$A$6:$A$205,0)),"¿Código?"))</f>
        <v/>
      </c>
      <c r="F680" s="8" t="str">
        <f aca="false">IF($D680="","",IFERROR(INDEX(INSUMOS!$E$6:$E$205,MATCH($D680,INSUMOS!$A$6:$A$205,0)),""))</f>
        <v/>
      </c>
      <c r="G680" s="39"/>
      <c r="H680" s="45" t="str">
        <f aca="false">IF($D680="","",IFERROR(INDEX(INSUMOS!$F$6:$F$205,MATCH($D680,INSUMOS!$A$6:$A$205,0)),0))</f>
        <v/>
      </c>
      <c r="I680" s="34" t="str">
        <f aca="false">IF($D680="","",N($G680)*$H680)</f>
        <v/>
      </c>
      <c r="J680" s="40"/>
      <c r="K680" s="36" t="str">
        <f aca="false">IF($D680="","",IFERROR(INDEX(INSUMOS!$H$6:$H$205,MATCH($D680,INSUMOS!$A$6:$A$205,0)),IVA_VENTAS))</f>
        <v/>
      </c>
      <c r="L680" s="35" t="str">
        <f aca="false">IF($D680="","",N($J680)*$K680)</f>
        <v/>
      </c>
      <c r="M680" s="35" t="str">
        <f aca="false">IF($D680="","",N($J680)+$L680)</f>
        <v/>
      </c>
      <c r="N680" s="43" t="str">
        <f aca="false">IF($D680="","",IFERROR(N($J680)/$I680,0))</f>
        <v/>
      </c>
      <c r="O680" s="6"/>
      <c r="P680" s="6"/>
      <c r="Q680" s="46" t="str">
        <f aca="false">IF($A680="","",DATE(YEAR($A680),MONTH($A680),1))</f>
        <v/>
      </c>
      <c r="R680" s="8" t="str">
        <f aca="false">IF(OR($A680="",$D680=""),"",IF(COUNTIFS($D$6:$D$1005,$D680,$A$6:$A$1005,"&gt;"&amp;$A680)=0,1,0))</f>
        <v/>
      </c>
    </row>
    <row r="681" customFormat="false" ht="15" hidden="false" customHeight="false" outlineLevel="0" collapsed="false">
      <c r="A681" s="44"/>
      <c r="B681" s="6"/>
      <c r="C681" s="6"/>
      <c r="D681" s="6"/>
      <c r="E681" s="8" t="str">
        <f aca="false">IF($D681="","",IFERROR(INDEX(INSUMOS!$B$6:$B$205,MATCH($D681,INSUMOS!$A$6:$A$205,0)),"¿Código?"))</f>
        <v/>
      </c>
      <c r="F681" s="8" t="str">
        <f aca="false">IF($D681="","",IFERROR(INDEX(INSUMOS!$E$6:$E$205,MATCH($D681,INSUMOS!$A$6:$A$205,0)),""))</f>
        <v/>
      </c>
      <c r="G681" s="39"/>
      <c r="H681" s="45" t="str">
        <f aca="false">IF($D681="","",IFERROR(INDEX(INSUMOS!$F$6:$F$205,MATCH($D681,INSUMOS!$A$6:$A$205,0)),0))</f>
        <v/>
      </c>
      <c r="I681" s="34" t="str">
        <f aca="false">IF($D681="","",N($G681)*$H681)</f>
        <v/>
      </c>
      <c r="J681" s="40"/>
      <c r="K681" s="36" t="str">
        <f aca="false">IF($D681="","",IFERROR(INDEX(INSUMOS!$H$6:$H$205,MATCH($D681,INSUMOS!$A$6:$A$205,0)),IVA_VENTAS))</f>
        <v/>
      </c>
      <c r="L681" s="35" t="str">
        <f aca="false">IF($D681="","",N($J681)*$K681)</f>
        <v/>
      </c>
      <c r="M681" s="35" t="str">
        <f aca="false">IF($D681="","",N($J681)+$L681)</f>
        <v/>
      </c>
      <c r="N681" s="43" t="str">
        <f aca="false">IF($D681="","",IFERROR(N($J681)/$I681,0))</f>
        <v/>
      </c>
      <c r="O681" s="6"/>
      <c r="P681" s="6"/>
      <c r="Q681" s="46" t="str">
        <f aca="false">IF($A681="","",DATE(YEAR($A681),MONTH($A681),1))</f>
        <v/>
      </c>
      <c r="R681" s="8" t="str">
        <f aca="false">IF(OR($A681="",$D681=""),"",IF(COUNTIFS($D$6:$D$1005,$D681,$A$6:$A$1005,"&gt;"&amp;$A681)=0,1,0))</f>
        <v/>
      </c>
    </row>
    <row r="682" customFormat="false" ht="15" hidden="false" customHeight="false" outlineLevel="0" collapsed="false">
      <c r="A682" s="44"/>
      <c r="B682" s="6"/>
      <c r="C682" s="6"/>
      <c r="D682" s="6"/>
      <c r="E682" s="8" t="str">
        <f aca="false">IF($D682="","",IFERROR(INDEX(INSUMOS!$B$6:$B$205,MATCH($D682,INSUMOS!$A$6:$A$205,0)),"¿Código?"))</f>
        <v/>
      </c>
      <c r="F682" s="8" t="str">
        <f aca="false">IF($D682="","",IFERROR(INDEX(INSUMOS!$E$6:$E$205,MATCH($D682,INSUMOS!$A$6:$A$205,0)),""))</f>
        <v/>
      </c>
      <c r="G682" s="39"/>
      <c r="H682" s="45" t="str">
        <f aca="false">IF($D682="","",IFERROR(INDEX(INSUMOS!$F$6:$F$205,MATCH($D682,INSUMOS!$A$6:$A$205,0)),0))</f>
        <v/>
      </c>
      <c r="I682" s="34" t="str">
        <f aca="false">IF($D682="","",N($G682)*$H682)</f>
        <v/>
      </c>
      <c r="J682" s="40"/>
      <c r="K682" s="36" t="str">
        <f aca="false">IF($D682="","",IFERROR(INDEX(INSUMOS!$H$6:$H$205,MATCH($D682,INSUMOS!$A$6:$A$205,0)),IVA_VENTAS))</f>
        <v/>
      </c>
      <c r="L682" s="35" t="str">
        <f aca="false">IF($D682="","",N($J682)*$K682)</f>
        <v/>
      </c>
      <c r="M682" s="35" t="str">
        <f aca="false">IF($D682="","",N($J682)+$L682)</f>
        <v/>
      </c>
      <c r="N682" s="43" t="str">
        <f aca="false">IF($D682="","",IFERROR(N($J682)/$I682,0))</f>
        <v/>
      </c>
      <c r="O682" s="6"/>
      <c r="P682" s="6"/>
      <c r="Q682" s="46" t="str">
        <f aca="false">IF($A682="","",DATE(YEAR($A682),MONTH($A682),1))</f>
        <v/>
      </c>
      <c r="R682" s="8" t="str">
        <f aca="false">IF(OR($A682="",$D682=""),"",IF(COUNTIFS($D$6:$D$1005,$D682,$A$6:$A$1005,"&gt;"&amp;$A682)=0,1,0))</f>
        <v/>
      </c>
    </row>
    <row r="683" customFormat="false" ht="15" hidden="false" customHeight="false" outlineLevel="0" collapsed="false">
      <c r="A683" s="44"/>
      <c r="B683" s="6"/>
      <c r="C683" s="6"/>
      <c r="D683" s="6"/>
      <c r="E683" s="8" t="str">
        <f aca="false">IF($D683="","",IFERROR(INDEX(INSUMOS!$B$6:$B$205,MATCH($D683,INSUMOS!$A$6:$A$205,0)),"¿Código?"))</f>
        <v/>
      </c>
      <c r="F683" s="8" t="str">
        <f aca="false">IF($D683="","",IFERROR(INDEX(INSUMOS!$E$6:$E$205,MATCH($D683,INSUMOS!$A$6:$A$205,0)),""))</f>
        <v/>
      </c>
      <c r="G683" s="39"/>
      <c r="H683" s="45" t="str">
        <f aca="false">IF($D683="","",IFERROR(INDEX(INSUMOS!$F$6:$F$205,MATCH($D683,INSUMOS!$A$6:$A$205,0)),0))</f>
        <v/>
      </c>
      <c r="I683" s="34" t="str">
        <f aca="false">IF($D683="","",N($G683)*$H683)</f>
        <v/>
      </c>
      <c r="J683" s="40"/>
      <c r="K683" s="36" t="str">
        <f aca="false">IF($D683="","",IFERROR(INDEX(INSUMOS!$H$6:$H$205,MATCH($D683,INSUMOS!$A$6:$A$205,0)),IVA_VENTAS))</f>
        <v/>
      </c>
      <c r="L683" s="35" t="str">
        <f aca="false">IF($D683="","",N($J683)*$K683)</f>
        <v/>
      </c>
      <c r="M683" s="35" t="str">
        <f aca="false">IF($D683="","",N($J683)+$L683)</f>
        <v/>
      </c>
      <c r="N683" s="43" t="str">
        <f aca="false">IF($D683="","",IFERROR(N($J683)/$I683,0))</f>
        <v/>
      </c>
      <c r="O683" s="6"/>
      <c r="P683" s="6"/>
      <c r="Q683" s="46" t="str">
        <f aca="false">IF($A683="","",DATE(YEAR($A683),MONTH($A683),1))</f>
        <v/>
      </c>
      <c r="R683" s="8" t="str">
        <f aca="false">IF(OR($A683="",$D683=""),"",IF(COUNTIFS($D$6:$D$1005,$D683,$A$6:$A$1005,"&gt;"&amp;$A683)=0,1,0))</f>
        <v/>
      </c>
    </row>
    <row r="684" customFormat="false" ht="15" hidden="false" customHeight="false" outlineLevel="0" collapsed="false">
      <c r="A684" s="44"/>
      <c r="B684" s="6"/>
      <c r="C684" s="6"/>
      <c r="D684" s="6"/>
      <c r="E684" s="8" t="str">
        <f aca="false">IF($D684="","",IFERROR(INDEX(INSUMOS!$B$6:$B$205,MATCH($D684,INSUMOS!$A$6:$A$205,0)),"¿Código?"))</f>
        <v/>
      </c>
      <c r="F684" s="8" t="str">
        <f aca="false">IF($D684="","",IFERROR(INDEX(INSUMOS!$E$6:$E$205,MATCH($D684,INSUMOS!$A$6:$A$205,0)),""))</f>
        <v/>
      </c>
      <c r="G684" s="39"/>
      <c r="H684" s="45" t="str">
        <f aca="false">IF($D684="","",IFERROR(INDEX(INSUMOS!$F$6:$F$205,MATCH($D684,INSUMOS!$A$6:$A$205,0)),0))</f>
        <v/>
      </c>
      <c r="I684" s="34" t="str">
        <f aca="false">IF($D684="","",N($G684)*$H684)</f>
        <v/>
      </c>
      <c r="J684" s="40"/>
      <c r="K684" s="36" t="str">
        <f aca="false">IF($D684="","",IFERROR(INDEX(INSUMOS!$H$6:$H$205,MATCH($D684,INSUMOS!$A$6:$A$205,0)),IVA_VENTAS))</f>
        <v/>
      </c>
      <c r="L684" s="35" t="str">
        <f aca="false">IF($D684="","",N($J684)*$K684)</f>
        <v/>
      </c>
      <c r="M684" s="35" t="str">
        <f aca="false">IF($D684="","",N($J684)+$L684)</f>
        <v/>
      </c>
      <c r="N684" s="43" t="str">
        <f aca="false">IF($D684="","",IFERROR(N($J684)/$I684,0))</f>
        <v/>
      </c>
      <c r="O684" s="6"/>
      <c r="P684" s="6"/>
      <c r="Q684" s="46" t="str">
        <f aca="false">IF($A684="","",DATE(YEAR($A684),MONTH($A684),1))</f>
        <v/>
      </c>
      <c r="R684" s="8" t="str">
        <f aca="false">IF(OR($A684="",$D684=""),"",IF(COUNTIFS($D$6:$D$1005,$D684,$A$6:$A$1005,"&gt;"&amp;$A684)=0,1,0))</f>
        <v/>
      </c>
    </row>
    <row r="685" customFormat="false" ht="15" hidden="false" customHeight="false" outlineLevel="0" collapsed="false">
      <c r="A685" s="44"/>
      <c r="B685" s="6"/>
      <c r="C685" s="6"/>
      <c r="D685" s="6"/>
      <c r="E685" s="8" t="str">
        <f aca="false">IF($D685="","",IFERROR(INDEX(INSUMOS!$B$6:$B$205,MATCH($D685,INSUMOS!$A$6:$A$205,0)),"¿Código?"))</f>
        <v/>
      </c>
      <c r="F685" s="8" t="str">
        <f aca="false">IF($D685="","",IFERROR(INDEX(INSUMOS!$E$6:$E$205,MATCH($D685,INSUMOS!$A$6:$A$205,0)),""))</f>
        <v/>
      </c>
      <c r="G685" s="39"/>
      <c r="H685" s="45" t="str">
        <f aca="false">IF($D685="","",IFERROR(INDEX(INSUMOS!$F$6:$F$205,MATCH($D685,INSUMOS!$A$6:$A$205,0)),0))</f>
        <v/>
      </c>
      <c r="I685" s="34" t="str">
        <f aca="false">IF($D685="","",N($G685)*$H685)</f>
        <v/>
      </c>
      <c r="J685" s="40"/>
      <c r="K685" s="36" t="str">
        <f aca="false">IF($D685="","",IFERROR(INDEX(INSUMOS!$H$6:$H$205,MATCH($D685,INSUMOS!$A$6:$A$205,0)),IVA_VENTAS))</f>
        <v/>
      </c>
      <c r="L685" s="35" t="str">
        <f aca="false">IF($D685="","",N($J685)*$K685)</f>
        <v/>
      </c>
      <c r="M685" s="35" t="str">
        <f aca="false">IF($D685="","",N($J685)+$L685)</f>
        <v/>
      </c>
      <c r="N685" s="43" t="str">
        <f aca="false">IF($D685="","",IFERROR(N($J685)/$I685,0))</f>
        <v/>
      </c>
      <c r="O685" s="6"/>
      <c r="P685" s="6"/>
      <c r="Q685" s="46" t="str">
        <f aca="false">IF($A685="","",DATE(YEAR($A685),MONTH($A685),1))</f>
        <v/>
      </c>
      <c r="R685" s="8" t="str">
        <f aca="false">IF(OR($A685="",$D685=""),"",IF(COUNTIFS($D$6:$D$1005,$D685,$A$6:$A$1005,"&gt;"&amp;$A685)=0,1,0))</f>
        <v/>
      </c>
    </row>
    <row r="686" customFormat="false" ht="15" hidden="false" customHeight="false" outlineLevel="0" collapsed="false">
      <c r="A686" s="44"/>
      <c r="B686" s="6"/>
      <c r="C686" s="6"/>
      <c r="D686" s="6"/>
      <c r="E686" s="8" t="str">
        <f aca="false">IF($D686="","",IFERROR(INDEX(INSUMOS!$B$6:$B$205,MATCH($D686,INSUMOS!$A$6:$A$205,0)),"¿Código?"))</f>
        <v/>
      </c>
      <c r="F686" s="8" t="str">
        <f aca="false">IF($D686="","",IFERROR(INDEX(INSUMOS!$E$6:$E$205,MATCH($D686,INSUMOS!$A$6:$A$205,0)),""))</f>
        <v/>
      </c>
      <c r="G686" s="39"/>
      <c r="H686" s="45" t="str">
        <f aca="false">IF($D686="","",IFERROR(INDEX(INSUMOS!$F$6:$F$205,MATCH($D686,INSUMOS!$A$6:$A$205,0)),0))</f>
        <v/>
      </c>
      <c r="I686" s="34" t="str">
        <f aca="false">IF($D686="","",N($G686)*$H686)</f>
        <v/>
      </c>
      <c r="J686" s="40"/>
      <c r="K686" s="36" t="str">
        <f aca="false">IF($D686="","",IFERROR(INDEX(INSUMOS!$H$6:$H$205,MATCH($D686,INSUMOS!$A$6:$A$205,0)),IVA_VENTAS))</f>
        <v/>
      </c>
      <c r="L686" s="35" t="str">
        <f aca="false">IF($D686="","",N($J686)*$K686)</f>
        <v/>
      </c>
      <c r="M686" s="35" t="str">
        <f aca="false">IF($D686="","",N($J686)+$L686)</f>
        <v/>
      </c>
      <c r="N686" s="43" t="str">
        <f aca="false">IF($D686="","",IFERROR(N($J686)/$I686,0))</f>
        <v/>
      </c>
      <c r="O686" s="6"/>
      <c r="P686" s="6"/>
      <c r="Q686" s="46" t="str">
        <f aca="false">IF($A686="","",DATE(YEAR($A686),MONTH($A686),1))</f>
        <v/>
      </c>
      <c r="R686" s="8" t="str">
        <f aca="false">IF(OR($A686="",$D686=""),"",IF(COUNTIFS($D$6:$D$1005,$D686,$A$6:$A$1005,"&gt;"&amp;$A686)=0,1,0))</f>
        <v/>
      </c>
    </row>
    <row r="687" customFormat="false" ht="15" hidden="false" customHeight="false" outlineLevel="0" collapsed="false">
      <c r="A687" s="44"/>
      <c r="B687" s="6"/>
      <c r="C687" s="6"/>
      <c r="D687" s="6"/>
      <c r="E687" s="8" t="str">
        <f aca="false">IF($D687="","",IFERROR(INDEX(INSUMOS!$B$6:$B$205,MATCH($D687,INSUMOS!$A$6:$A$205,0)),"¿Código?"))</f>
        <v/>
      </c>
      <c r="F687" s="8" t="str">
        <f aca="false">IF($D687="","",IFERROR(INDEX(INSUMOS!$E$6:$E$205,MATCH($D687,INSUMOS!$A$6:$A$205,0)),""))</f>
        <v/>
      </c>
      <c r="G687" s="39"/>
      <c r="H687" s="45" t="str">
        <f aca="false">IF($D687="","",IFERROR(INDEX(INSUMOS!$F$6:$F$205,MATCH($D687,INSUMOS!$A$6:$A$205,0)),0))</f>
        <v/>
      </c>
      <c r="I687" s="34" t="str">
        <f aca="false">IF($D687="","",N($G687)*$H687)</f>
        <v/>
      </c>
      <c r="J687" s="40"/>
      <c r="K687" s="36" t="str">
        <f aca="false">IF($D687="","",IFERROR(INDEX(INSUMOS!$H$6:$H$205,MATCH($D687,INSUMOS!$A$6:$A$205,0)),IVA_VENTAS))</f>
        <v/>
      </c>
      <c r="L687" s="35" t="str">
        <f aca="false">IF($D687="","",N($J687)*$K687)</f>
        <v/>
      </c>
      <c r="M687" s="35" t="str">
        <f aca="false">IF($D687="","",N($J687)+$L687)</f>
        <v/>
      </c>
      <c r="N687" s="43" t="str">
        <f aca="false">IF($D687="","",IFERROR(N($J687)/$I687,0))</f>
        <v/>
      </c>
      <c r="O687" s="6"/>
      <c r="P687" s="6"/>
      <c r="Q687" s="46" t="str">
        <f aca="false">IF($A687="","",DATE(YEAR($A687),MONTH($A687),1))</f>
        <v/>
      </c>
      <c r="R687" s="8" t="str">
        <f aca="false">IF(OR($A687="",$D687=""),"",IF(COUNTIFS($D$6:$D$1005,$D687,$A$6:$A$1005,"&gt;"&amp;$A687)=0,1,0))</f>
        <v/>
      </c>
    </row>
    <row r="688" customFormat="false" ht="15" hidden="false" customHeight="false" outlineLevel="0" collapsed="false">
      <c r="A688" s="44"/>
      <c r="B688" s="6"/>
      <c r="C688" s="6"/>
      <c r="D688" s="6"/>
      <c r="E688" s="8" t="str">
        <f aca="false">IF($D688="","",IFERROR(INDEX(INSUMOS!$B$6:$B$205,MATCH($D688,INSUMOS!$A$6:$A$205,0)),"¿Código?"))</f>
        <v/>
      </c>
      <c r="F688" s="8" t="str">
        <f aca="false">IF($D688="","",IFERROR(INDEX(INSUMOS!$E$6:$E$205,MATCH($D688,INSUMOS!$A$6:$A$205,0)),""))</f>
        <v/>
      </c>
      <c r="G688" s="39"/>
      <c r="H688" s="45" t="str">
        <f aca="false">IF($D688="","",IFERROR(INDEX(INSUMOS!$F$6:$F$205,MATCH($D688,INSUMOS!$A$6:$A$205,0)),0))</f>
        <v/>
      </c>
      <c r="I688" s="34" t="str">
        <f aca="false">IF($D688="","",N($G688)*$H688)</f>
        <v/>
      </c>
      <c r="J688" s="40"/>
      <c r="K688" s="36" t="str">
        <f aca="false">IF($D688="","",IFERROR(INDEX(INSUMOS!$H$6:$H$205,MATCH($D688,INSUMOS!$A$6:$A$205,0)),IVA_VENTAS))</f>
        <v/>
      </c>
      <c r="L688" s="35" t="str">
        <f aca="false">IF($D688="","",N($J688)*$K688)</f>
        <v/>
      </c>
      <c r="M688" s="35" t="str">
        <f aca="false">IF($D688="","",N($J688)+$L688)</f>
        <v/>
      </c>
      <c r="N688" s="43" t="str">
        <f aca="false">IF($D688="","",IFERROR(N($J688)/$I688,0))</f>
        <v/>
      </c>
      <c r="O688" s="6"/>
      <c r="P688" s="6"/>
      <c r="Q688" s="46" t="str">
        <f aca="false">IF($A688="","",DATE(YEAR($A688),MONTH($A688),1))</f>
        <v/>
      </c>
      <c r="R688" s="8" t="str">
        <f aca="false">IF(OR($A688="",$D688=""),"",IF(COUNTIFS($D$6:$D$1005,$D688,$A$6:$A$1005,"&gt;"&amp;$A688)=0,1,0))</f>
        <v/>
      </c>
    </row>
    <row r="689" customFormat="false" ht="15" hidden="false" customHeight="false" outlineLevel="0" collapsed="false">
      <c r="A689" s="44"/>
      <c r="B689" s="6"/>
      <c r="C689" s="6"/>
      <c r="D689" s="6"/>
      <c r="E689" s="8" t="str">
        <f aca="false">IF($D689="","",IFERROR(INDEX(INSUMOS!$B$6:$B$205,MATCH($D689,INSUMOS!$A$6:$A$205,0)),"¿Código?"))</f>
        <v/>
      </c>
      <c r="F689" s="8" t="str">
        <f aca="false">IF($D689="","",IFERROR(INDEX(INSUMOS!$E$6:$E$205,MATCH($D689,INSUMOS!$A$6:$A$205,0)),""))</f>
        <v/>
      </c>
      <c r="G689" s="39"/>
      <c r="H689" s="45" t="str">
        <f aca="false">IF($D689="","",IFERROR(INDEX(INSUMOS!$F$6:$F$205,MATCH($D689,INSUMOS!$A$6:$A$205,0)),0))</f>
        <v/>
      </c>
      <c r="I689" s="34" t="str">
        <f aca="false">IF($D689="","",N($G689)*$H689)</f>
        <v/>
      </c>
      <c r="J689" s="40"/>
      <c r="K689" s="36" t="str">
        <f aca="false">IF($D689="","",IFERROR(INDEX(INSUMOS!$H$6:$H$205,MATCH($D689,INSUMOS!$A$6:$A$205,0)),IVA_VENTAS))</f>
        <v/>
      </c>
      <c r="L689" s="35" t="str">
        <f aca="false">IF($D689="","",N($J689)*$K689)</f>
        <v/>
      </c>
      <c r="M689" s="35" t="str">
        <f aca="false">IF($D689="","",N($J689)+$L689)</f>
        <v/>
      </c>
      <c r="N689" s="43" t="str">
        <f aca="false">IF($D689="","",IFERROR(N($J689)/$I689,0))</f>
        <v/>
      </c>
      <c r="O689" s="6"/>
      <c r="P689" s="6"/>
      <c r="Q689" s="46" t="str">
        <f aca="false">IF($A689="","",DATE(YEAR($A689),MONTH($A689),1))</f>
        <v/>
      </c>
      <c r="R689" s="8" t="str">
        <f aca="false">IF(OR($A689="",$D689=""),"",IF(COUNTIFS($D$6:$D$1005,$D689,$A$6:$A$1005,"&gt;"&amp;$A689)=0,1,0))</f>
        <v/>
      </c>
    </row>
    <row r="690" customFormat="false" ht="15" hidden="false" customHeight="false" outlineLevel="0" collapsed="false">
      <c r="A690" s="44"/>
      <c r="B690" s="6"/>
      <c r="C690" s="6"/>
      <c r="D690" s="6"/>
      <c r="E690" s="8" t="str">
        <f aca="false">IF($D690="","",IFERROR(INDEX(INSUMOS!$B$6:$B$205,MATCH($D690,INSUMOS!$A$6:$A$205,0)),"¿Código?"))</f>
        <v/>
      </c>
      <c r="F690" s="8" t="str">
        <f aca="false">IF($D690="","",IFERROR(INDEX(INSUMOS!$E$6:$E$205,MATCH($D690,INSUMOS!$A$6:$A$205,0)),""))</f>
        <v/>
      </c>
      <c r="G690" s="39"/>
      <c r="H690" s="45" t="str">
        <f aca="false">IF($D690="","",IFERROR(INDEX(INSUMOS!$F$6:$F$205,MATCH($D690,INSUMOS!$A$6:$A$205,0)),0))</f>
        <v/>
      </c>
      <c r="I690" s="34" t="str">
        <f aca="false">IF($D690="","",N($G690)*$H690)</f>
        <v/>
      </c>
      <c r="J690" s="40"/>
      <c r="K690" s="36" t="str">
        <f aca="false">IF($D690="","",IFERROR(INDEX(INSUMOS!$H$6:$H$205,MATCH($D690,INSUMOS!$A$6:$A$205,0)),IVA_VENTAS))</f>
        <v/>
      </c>
      <c r="L690" s="35" t="str">
        <f aca="false">IF($D690="","",N($J690)*$K690)</f>
        <v/>
      </c>
      <c r="M690" s="35" t="str">
        <f aca="false">IF($D690="","",N($J690)+$L690)</f>
        <v/>
      </c>
      <c r="N690" s="43" t="str">
        <f aca="false">IF($D690="","",IFERROR(N($J690)/$I690,0))</f>
        <v/>
      </c>
      <c r="O690" s="6"/>
      <c r="P690" s="6"/>
      <c r="Q690" s="46" t="str">
        <f aca="false">IF($A690="","",DATE(YEAR($A690),MONTH($A690),1))</f>
        <v/>
      </c>
      <c r="R690" s="8" t="str">
        <f aca="false">IF(OR($A690="",$D690=""),"",IF(COUNTIFS($D$6:$D$1005,$D690,$A$6:$A$1005,"&gt;"&amp;$A690)=0,1,0))</f>
        <v/>
      </c>
    </row>
    <row r="691" customFormat="false" ht="15" hidden="false" customHeight="false" outlineLevel="0" collapsed="false">
      <c r="A691" s="44"/>
      <c r="B691" s="6"/>
      <c r="C691" s="6"/>
      <c r="D691" s="6"/>
      <c r="E691" s="8" t="str">
        <f aca="false">IF($D691="","",IFERROR(INDEX(INSUMOS!$B$6:$B$205,MATCH($D691,INSUMOS!$A$6:$A$205,0)),"¿Código?"))</f>
        <v/>
      </c>
      <c r="F691" s="8" t="str">
        <f aca="false">IF($D691="","",IFERROR(INDEX(INSUMOS!$E$6:$E$205,MATCH($D691,INSUMOS!$A$6:$A$205,0)),""))</f>
        <v/>
      </c>
      <c r="G691" s="39"/>
      <c r="H691" s="45" t="str">
        <f aca="false">IF($D691="","",IFERROR(INDEX(INSUMOS!$F$6:$F$205,MATCH($D691,INSUMOS!$A$6:$A$205,0)),0))</f>
        <v/>
      </c>
      <c r="I691" s="34" t="str">
        <f aca="false">IF($D691="","",N($G691)*$H691)</f>
        <v/>
      </c>
      <c r="J691" s="40"/>
      <c r="K691" s="36" t="str">
        <f aca="false">IF($D691="","",IFERROR(INDEX(INSUMOS!$H$6:$H$205,MATCH($D691,INSUMOS!$A$6:$A$205,0)),IVA_VENTAS))</f>
        <v/>
      </c>
      <c r="L691" s="35" t="str">
        <f aca="false">IF($D691="","",N($J691)*$K691)</f>
        <v/>
      </c>
      <c r="M691" s="35" t="str">
        <f aca="false">IF($D691="","",N($J691)+$L691)</f>
        <v/>
      </c>
      <c r="N691" s="43" t="str">
        <f aca="false">IF($D691="","",IFERROR(N($J691)/$I691,0))</f>
        <v/>
      </c>
      <c r="O691" s="6"/>
      <c r="P691" s="6"/>
      <c r="Q691" s="46" t="str">
        <f aca="false">IF($A691="","",DATE(YEAR($A691),MONTH($A691),1))</f>
        <v/>
      </c>
      <c r="R691" s="8" t="str">
        <f aca="false">IF(OR($A691="",$D691=""),"",IF(COUNTIFS($D$6:$D$1005,$D691,$A$6:$A$1005,"&gt;"&amp;$A691)=0,1,0))</f>
        <v/>
      </c>
    </row>
    <row r="692" customFormat="false" ht="15" hidden="false" customHeight="false" outlineLevel="0" collapsed="false">
      <c r="A692" s="44"/>
      <c r="B692" s="6"/>
      <c r="C692" s="6"/>
      <c r="D692" s="6"/>
      <c r="E692" s="8" t="str">
        <f aca="false">IF($D692="","",IFERROR(INDEX(INSUMOS!$B$6:$B$205,MATCH($D692,INSUMOS!$A$6:$A$205,0)),"¿Código?"))</f>
        <v/>
      </c>
      <c r="F692" s="8" t="str">
        <f aca="false">IF($D692="","",IFERROR(INDEX(INSUMOS!$E$6:$E$205,MATCH($D692,INSUMOS!$A$6:$A$205,0)),""))</f>
        <v/>
      </c>
      <c r="G692" s="39"/>
      <c r="H692" s="45" t="str">
        <f aca="false">IF($D692="","",IFERROR(INDEX(INSUMOS!$F$6:$F$205,MATCH($D692,INSUMOS!$A$6:$A$205,0)),0))</f>
        <v/>
      </c>
      <c r="I692" s="34" t="str">
        <f aca="false">IF($D692="","",N($G692)*$H692)</f>
        <v/>
      </c>
      <c r="J692" s="40"/>
      <c r="K692" s="36" t="str">
        <f aca="false">IF($D692="","",IFERROR(INDEX(INSUMOS!$H$6:$H$205,MATCH($D692,INSUMOS!$A$6:$A$205,0)),IVA_VENTAS))</f>
        <v/>
      </c>
      <c r="L692" s="35" t="str">
        <f aca="false">IF($D692="","",N($J692)*$K692)</f>
        <v/>
      </c>
      <c r="M692" s="35" t="str">
        <f aca="false">IF($D692="","",N($J692)+$L692)</f>
        <v/>
      </c>
      <c r="N692" s="43" t="str">
        <f aca="false">IF($D692="","",IFERROR(N($J692)/$I692,0))</f>
        <v/>
      </c>
      <c r="O692" s="6"/>
      <c r="P692" s="6"/>
      <c r="Q692" s="46" t="str">
        <f aca="false">IF($A692="","",DATE(YEAR($A692),MONTH($A692),1))</f>
        <v/>
      </c>
      <c r="R692" s="8" t="str">
        <f aca="false">IF(OR($A692="",$D692=""),"",IF(COUNTIFS($D$6:$D$1005,$D692,$A$6:$A$1005,"&gt;"&amp;$A692)=0,1,0))</f>
        <v/>
      </c>
    </row>
    <row r="693" customFormat="false" ht="15" hidden="false" customHeight="false" outlineLevel="0" collapsed="false">
      <c r="A693" s="44"/>
      <c r="B693" s="6"/>
      <c r="C693" s="6"/>
      <c r="D693" s="6"/>
      <c r="E693" s="8" t="str">
        <f aca="false">IF($D693="","",IFERROR(INDEX(INSUMOS!$B$6:$B$205,MATCH($D693,INSUMOS!$A$6:$A$205,0)),"¿Código?"))</f>
        <v/>
      </c>
      <c r="F693" s="8" t="str">
        <f aca="false">IF($D693="","",IFERROR(INDEX(INSUMOS!$E$6:$E$205,MATCH($D693,INSUMOS!$A$6:$A$205,0)),""))</f>
        <v/>
      </c>
      <c r="G693" s="39"/>
      <c r="H693" s="45" t="str">
        <f aca="false">IF($D693="","",IFERROR(INDEX(INSUMOS!$F$6:$F$205,MATCH($D693,INSUMOS!$A$6:$A$205,0)),0))</f>
        <v/>
      </c>
      <c r="I693" s="34" t="str">
        <f aca="false">IF($D693="","",N($G693)*$H693)</f>
        <v/>
      </c>
      <c r="J693" s="40"/>
      <c r="K693" s="36" t="str">
        <f aca="false">IF($D693="","",IFERROR(INDEX(INSUMOS!$H$6:$H$205,MATCH($D693,INSUMOS!$A$6:$A$205,0)),IVA_VENTAS))</f>
        <v/>
      </c>
      <c r="L693" s="35" t="str">
        <f aca="false">IF($D693="","",N($J693)*$K693)</f>
        <v/>
      </c>
      <c r="M693" s="35" t="str">
        <f aca="false">IF($D693="","",N($J693)+$L693)</f>
        <v/>
      </c>
      <c r="N693" s="43" t="str">
        <f aca="false">IF($D693="","",IFERROR(N($J693)/$I693,0))</f>
        <v/>
      </c>
      <c r="O693" s="6"/>
      <c r="P693" s="6"/>
      <c r="Q693" s="46" t="str">
        <f aca="false">IF($A693="","",DATE(YEAR($A693),MONTH($A693),1))</f>
        <v/>
      </c>
      <c r="R693" s="8" t="str">
        <f aca="false">IF(OR($A693="",$D693=""),"",IF(COUNTIFS($D$6:$D$1005,$D693,$A$6:$A$1005,"&gt;"&amp;$A693)=0,1,0))</f>
        <v/>
      </c>
    </row>
    <row r="694" customFormat="false" ht="15" hidden="false" customHeight="false" outlineLevel="0" collapsed="false">
      <c r="A694" s="44"/>
      <c r="B694" s="6"/>
      <c r="C694" s="6"/>
      <c r="D694" s="6"/>
      <c r="E694" s="8" t="str">
        <f aca="false">IF($D694="","",IFERROR(INDEX(INSUMOS!$B$6:$B$205,MATCH($D694,INSUMOS!$A$6:$A$205,0)),"¿Código?"))</f>
        <v/>
      </c>
      <c r="F694" s="8" t="str">
        <f aca="false">IF($D694="","",IFERROR(INDEX(INSUMOS!$E$6:$E$205,MATCH($D694,INSUMOS!$A$6:$A$205,0)),""))</f>
        <v/>
      </c>
      <c r="G694" s="39"/>
      <c r="H694" s="45" t="str">
        <f aca="false">IF($D694="","",IFERROR(INDEX(INSUMOS!$F$6:$F$205,MATCH($D694,INSUMOS!$A$6:$A$205,0)),0))</f>
        <v/>
      </c>
      <c r="I694" s="34" t="str">
        <f aca="false">IF($D694="","",N($G694)*$H694)</f>
        <v/>
      </c>
      <c r="J694" s="40"/>
      <c r="K694" s="36" t="str">
        <f aca="false">IF($D694="","",IFERROR(INDEX(INSUMOS!$H$6:$H$205,MATCH($D694,INSUMOS!$A$6:$A$205,0)),IVA_VENTAS))</f>
        <v/>
      </c>
      <c r="L694" s="35" t="str">
        <f aca="false">IF($D694="","",N($J694)*$K694)</f>
        <v/>
      </c>
      <c r="M694" s="35" t="str">
        <f aca="false">IF($D694="","",N($J694)+$L694)</f>
        <v/>
      </c>
      <c r="N694" s="43" t="str">
        <f aca="false">IF($D694="","",IFERROR(N($J694)/$I694,0))</f>
        <v/>
      </c>
      <c r="O694" s="6"/>
      <c r="P694" s="6"/>
      <c r="Q694" s="46" t="str">
        <f aca="false">IF($A694="","",DATE(YEAR($A694),MONTH($A694),1))</f>
        <v/>
      </c>
      <c r="R694" s="8" t="str">
        <f aca="false">IF(OR($A694="",$D694=""),"",IF(COUNTIFS($D$6:$D$1005,$D694,$A$6:$A$1005,"&gt;"&amp;$A694)=0,1,0))</f>
        <v/>
      </c>
    </row>
    <row r="695" customFormat="false" ht="15" hidden="false" customHeight="false" outlineLevel="0" collapsed="false">
      <c r="A695" s="44"/>
      <c r="B695" s="6"/>
      <c r="C695" s="6"/>
      <c r="D695" s="6"/>
      <c r="E695" s="8" t="str">
        <f aca="false">IF($D695="","",IFERROR(INDEX(INSUMOS!$B$6:$B$205,MATCH($D695,INSUMOS!$A$6:$A$205,0)),"¿Código?"))</f>
        <v/>
      </c>
      <c r="F695" s="8" t="str">
        <f aca="false">IF($D695="","",IFERROR(INDEX(INSUMOS!$E$6:$E$205,MATCH($D695,INSUMOS!$A$6:$A$205,0)),""))</f>
        <v/>
      </c>
      <c r="G695" s="39"/>
      <c r="H695" s="45" t="str">
        <f aca="false">IF($D695="","",IFERROR(INDEX(INSUMOS!$F$6:$F$205,MATCH($D695,INSUMOS!$A$6:$A$205,0)),0))</f>
        <v/>
      </c>
      <c r="I695" s="34" t="str">
        <f aca="false">IF($D695="","",N($G695)*$H695)</f>
        <v/>
      </c>
      <c r="J695" s="40"/>
      <c r="K695" s="36" t="str">
        <f aca="false">IF($D695="","",IFERROR(INDEX(INSUMOS!$H$6:$H$205,MATCH($D695,INSUMOS!$A$6:$A$205,0)),IVA_VENTAS))</f>
        <v/>
      </c>
      <c r="L695" s="35" t="str">
        <f aca="false">IF($D695="","",N($J695)*$K695)</f>
        <v/>
      </c>
      <c r="M695" s="35" t="str">
        <f aca="false">IF($D695="","",N($J695)+$L695)</f>
        <v/>
      </c>
      <c r="N695" s="43" t="str">
        <f aca="false">IF($D695="","",IFERROR(N($J695)/$I695,0))</f>
        <v/>
      </c>
      <c r="O695" s="6"/>
      <c r="P695" s="6"/>
      <c r="Q695" s="46" t="str">
        <f aca="false">IF($A695="","",DATE(YEAR($A695),MONTH($A695),1))</f>
        <v/>
      </c>
      <c r="R695" s="8" t="str">
        <f aca="false">IF(OR($A695="",$D695=""),"",IF(COUNTIFS($D$6:$D$1005,$D695,$A$6:$A$1005,"&gt;"&amp;$A695)=0,1,0))</f>
        <v/>
      </c>
    </row>
    <row r="696" customFormat="false" ht="15" hidden="false" customHeight="false" outlineLevel="0" collapsed="false">
      <c r="A696" s="44"/>
      <c r="B696" s="6"/>
      <c r="C696" s="6"/>
      <c r="D696" s="6"/>
      <c r="E696" s="8" t="str">
        <f aca="false">IF($D696="","",IFERROR(INDEX(INSUMOS!$B$6:$B$205,MATCH($D696,INSUMOS!$A$6:$A$205,0)),"¿Código?"))</f>
        <v/>
      </c>
      <c r="F696" s="8" t="str">
        <f aca="false">IF($D696="","",IFERROR(INDEX(INSUMOS!$E$6:$E$205,MATCH($D696,INSUMOS!$A$6:$A$205,0)),""))</f>
        <v/>
      </c>
      <c r="G696" s="39"/>
      <c r="H696" s="45" t="str">
        <f aca="false">IF($D696="","",IFERROR(INDEX(INSUMOS!$F$6:$F$205,MATCH($D696,INSUMOS!$A$6:$A$205,0)),0))</f>
        <v/>
      </c>
      <c r="I696" s="34" t="str">
        <f aca="false">IF($D696="","",N($G696)*$H696)</f>
        <v/>
      </c>
      <c r="J696" s="40"/>
      <c r="K696" s="36" t="str">
        <f aca="false">IF($D696="","",IFERROR(INDEX(INSUMOS!$H$6:$H$205,MATCH($D696,INSUMOS!$A$6:$A$205,0)),IVA_VENTAS))</f>
        <v/>
      </c>
      <c r="L696" s="35" t="str">
        <f aca="false">IF($D696="","",N($J696)*$K696)</f>
        <v/>
      </c>
      <c r="M696" s="35" t="str">
        <f aca="false">IF($D696="","",N($J696)+$L696)</f>
        <v/>
      </c>
      <c r="N696" s="43" t="str">
        <f aca="false">IF($D696="","",IFERROR(N($J696)/$I696,0))</f>
        <v/>
      </c>
      <c r="O696" s="6"/>
      <c r="P696" s="6"/>
      <c r="Q696" s="46" t="str">
        <f aca="false">IF($A696="","",DATE(YEAR($A696),MONTH($A696),1))</f>
        <v/>
      </c>
      <c r="R696" s="8" t="str">
        <f aca="false">IF(OR($A696="",$D696=""),"",IF(COUNTIFS($D$6:$D$1005,$D696,$A$6:$A$1005,"&gt;"&amp;$A696)=0,1,0))</f>
        <v/>
      </c>
    </row>
    <row r="697" customFormat="false" ht="15" hidden="false" customHeight="false" outlineLevel="0" collapsed="false">
      <c r="A697" s="44"/>
      <c r="B697" s="6"/>
      <c r="C697" s="6"/>
      <c r="D697" s="6"/>
      <c r="E697" s="8" t="str">
        <f aca="false">IF($D697="","",IFERROR(INDEX(INSUMOS!$B$6:$B$205,MATCH($D697,INSUMOS!$A$6:$A$205,0)),"¿Código?"))</f>
        <v/>
      </c>
      <c r="F697" s="8" t="str">
        <f aca="false">IF($D697="","",IFERROR(INDEX(INSUMOS!$E$6:$E$205,MATCH($D697,INSUMOS!$A$6:$A$205,0)),""))</f>
        <v/>
      </c>
      <c r="G697" s="39"/>
      <c r="H697" s="45" t="str">
        <f aca="false">IF($D697="","",IFERROR(INDEX(INSUMOS!$F$6:$F$205,MATCH($D697,INSUMOS!$A$6:$A$205,0)),0))</f>
        <v/>
      </c>
      <c r="I697" s="34" t="str">
        <f aca="false">IF($D697="","",N($G697)*$H697)</f>
        <v/>
      </c>
      <c r="J697" s="40"/>
      <c r="K697" s="36" t="str">
        <f aca="false">IF($D697="","",IFERROR(INDEX(INSUMOS!$H$6:$H$205,MATCH($D697,INSUMOS!$A$6:$A$205,0)),IVA_VENTAS))</f>
        <v/>
      </c>
      <c r="L697" s="35" t="str">
        <f aca="false">IF($D697="","",N($J697)*$K697)</f>
        <v/>
      </c>
      <c r="M697" s="35" t="str">
        <f aca="false">IF($D697="","",N($J697)+$L697)</f>
        <v/>
      </c>
      <c r="N697" s="43" t="str">
        <f aca="false">IF($D697="","",IFERROR(N($J697)/$I697,0))</f>
        <v/>
      </c>
      <c r="O697" s="6"/>
      <c r="P697" s="6"/>
      <c r="Q697" s="46" t="str">
        <f aca="false">IF($A697="","",DATE(YEAR($A697),MONTH($A697),1))</f>
        <v/>
      </c>
      <c r="R697" s="8" t="str">
        <f aca="false">IF(OR($A697="",$D697=""),"",IF(COUNTIFS($D$6:$D$1005,$D697,$A$6:$A$1005,"&gt;"&amp;$A697)=0,1,0))</f>
        <v/>
      </c>
    </row>
    <row r="698" customFormat="false" ht="15" hidden="false" customHeight="false" outlineLevel="0" collapsed="false">
      <c r="A698" s="44"/>
      <c r="B698" s="6"/>
      <c r="C698" s="6"/>
      <c r="D698" s="6"/>
      <c r="E698" s="8" t="str">
        <f aca="false">IF($D698="","",IFERROR(INDEX(INSUMOS!$B$6:$B$205,MATCH($D698,INSUMOS!$A$6:$A$205,0)),"¿Código?"))</f>
        <v/>
      </c>
      <c r="F698" s="8" t="str">
        <f aca="false">IF($D698="","",IFERROR(INDEX(INSUMOS!$E$6:$E$205,MATCH($D698,INSUMOS!$A$6:$A$205,0)),""))</f>
        <v/>
      </c>
      <c r="G698" s="39"/>
      <c r="H698" s="45" t="str">
        <f aca="false">IF($D698="","",IFERROR(INDEX(INSUMOS!$F$6:$F$205,MATCH($D698,INSUMOS!$A$6:$A$205,0)),0))</f>
        <v/>
      </c>
      <c r="I698" s="34" t="str">
        <f aca="false">IF($D698="","",N($G698)*$H698)</f>
        <v/>
      </c>
      <c r="J698" s="40"/>
      <c r="K698" s="36" t="str">
        <f aca="false">IF($D698="","",IFERROR(INDEX(INSUMOS!$H$6:$H$205,MATCH($D698,INSUMOS!$A$6:$A$205,0)),IVA_VENTAS))</f>
        <v/>
      </c>
      <c r="L698" s="35" t="str">
        <f aca="false">IF($D698="","",N($J698)*$K698)</f>
        <v/>
      </c>
      <c r="M698" s="35" t="str">
        <f aca="false">IF($D698="","",N($J698)+$L698)</f>
        <v/>
      </c>
      <c r="N698" s="43" t="str">
        <f aca="false">IF($D698="","",IFERROR(N($J698)/$I698,0))</f>
        <v/>
      </c>
      <c r="O698" s="6"/>
      <c r="P698" s="6"/>
      <c r="Q698" s="46" t="str">
        <f aca="false">IF($A698="","",DATE(YEAR($A698),MONTH($A698),1))</f>
        <v/>
      </c>
      <c r="R698" s="8" t="str">
        <f aca="false">IF(OR($A698="",$D698=""),"",IF(COUNTIFS($D$6:$D$1005,$D698,$A$6:$A$1005,"&gt;"&amp;$A698)=0,1,0))</f>
        <v/>
      </c>
    </row>
    <row r="699" customFormat="false" ht="15" hidden="false" customHeight="false" outlineLevel="0" collapsed="false">
      <c r="A699" s="44"/>
      <c r="B699" s="6"/>
      <c r="C699" s="6"/>
      <c r="D699" s="6"/>
      <c r="E699" s="8" t="str">
        <f aca="false">IF($D699="","",IFERROR(INDEX(INSUMOS!$B$6:$B$205,MATCH($D699,INSUMOS!$A$6:$A$205,0)),"¿Código?"))</f>
        <v/>
      </c>
      <c r="F699" s="8" t="str">
        <f aca="false">IF($D699="","",IFERROR(INDEX(INSUMOS!$E$6:$E$205,MATCH($D699,INSUMOS!$A$6:$A$205,0)),""))</f>
        <v/>
      </c>
      <c r="G699" s="39"/>
      <c r="H699" s="45" t="str">
        <f aca="false">IF($D699="","",IFERROR(INDEX(INSUMOS!$F$6:$F$205,MATCH($D699,INSUMOS!$A$6:$A$205,0)),0))</f>
        <v/>
      </c>
      <c r="I699" s="34" t="str">
        <f aca="false">IF($D699="","",N($G699)*$H699)</f>
        <v/>
      </c>
      <c r="J699" s="40"/>
      <c r="K699" s="36" t="str">
        <f aca="false">IF($D699="","",IFERROR(INDEX(INSUMOS!$H$6:$H$205,MATCH($D699,INSUMOS!$A$6:$A$205,0)),IVA_VENTAS))</f>
        <v/>
      </c>
      <c r="L699" s="35" t="str">
        <f aca="false">IF($D699="","",N($J699)*$K699)</f>
        <v/>
      </c>
      <c r="M699" s="35" t="str">
        <f aca="false">IF($D699="","",N($J699)+$L699)</f>
        <v/>
      </c>
      <c r="N699" s="43" t="str">
        <f aca="false">IF($D699="","",IFERROR(N($J699)/$I699,0))</f>
        <v/>
      </c>
      <c r="O699" s="6"/>
      <c r="P699" s="6"/>
      <c r="Q699" s="46" t="str">
        <f aca="false">IF($A699="","",DATE(YEAR($A699),MONTH($A699),1))</f>
        <v/>
      </c>
      <c r="R699" s="8" t="str">
        <f aca="false">IF(OR($A699="",$D699=""),"",IF(COUNTIFS($D$6:$D$1005,$D699,$A$6:$A$1005,"&gt;"&amp;$A699)=0,1,0))</f>
        <v/>
      </c>
    </row>
    <row r="700" customFormat="false" ht="15" hidden="false" customHeight="false" outlineLevel="0" collapsed="false">
      <c r="A700" s="44"/>
      <c r="B700" s="6"/>
      <c r="C700" s="6"/>
      <c r="D700" s="6"/>
      <c r="E700" s="8" t="str">
        <f aca="false">IF($D700="","",IFERROR(INDEX(INSUMOS!$B$6:$B$205,MATCH($D700,INSUMOS!$A$6:$A$205,0)),"¿Código?"))</f>
        <v/>
      </c>
      <c r="F700" s="8" t="str">
        <f aca="false">IF($D700="","",IFERROR(INDEX(INSUMOS!$E$6:$E$205,MATCH($D700,INSUMOS!$A$6:$A$205,0)),""))</f>
        <v/>
      </c>
      <c r="G700" s="39"/>
      <c r="H700" s="45" t="str">
        <f aca="false">IF($D700="","",IFERROR(INDEX(INSUMOS!$F$6:$F$205,MATCH($D700,INSUMOS!$A$6:$A$205,0)),0))</f>
        <v/>
      </c>
      <c r="I700" s="34" t="str">
        <f aca="false">IF($D700="","",N($G700)*$H700)</f>
        <v/>
      </c>
      <c r="J700" s="40"/>
      <c r="K700" s="36" t="str">
        <f aca="false">IF($D700="","",IFERROR(INDEX(INSUMOS!$H$6:$H$205,MATCH($D700,INSUMOS!$A$6:$A$205,0)),IVA_VENTAS))</f>
        <v/>
      </c>
      <c r="L700" s="35" t="str">
        <f aca="false">IF($D700="","",N($J700)*$K700)</f>
        <v/>
      </c>
      <c r="M700" s="35" t="str">
        <f aca="false">IF($D700="","",N($J700)+$L700)</f>
        <v/>
      </c>
      <c r="N700" s="43" t="str">
        <f aca="false">IF($D700="","",IFERROR(N($J700)/$I700,0))</f>
        <v/>
      </c>
      <c r="O700" s="6"/>
      <c r="P700" s="6"/>
      <c r="Q700" s="46" t="str">
        <f aca="false">IF($A700="","",DATE(YEAR($A700),MONTH($A700),1))</f>
        <v/>
      </c>
      <c r="R700" s="8" t="str">
        <f aca="false">IF(OR($A700="",$D700=""),"",IF(COUNTIFS($D$6:$D$1005,$D700,$A$6:$A$1005,"&gt;"&amp;$A700)=0,1,0))</f>
        <v/>
      </c>
    </row>
    <row r="701" customFormat="false" ht="15" hidden="false" customHeight="false" outlineLevel="0" collapsed="false">
      <c r="A701" s="44"/>
      <c r="B701" s="6"/>
      <c r="C701" s="6"/>
      <c r="D701" s="6"/>
      <c r="E701" s="8" t="str">
        <f aca="false">IF($D701="","",IFERROR(INDEX(INSUMOS!$B$6:$B$205,MATCH($D701,INSUMOS!$A$6:$A$205,0)),"¿Código?"))</f>
        <v/>
      </c>
      <c r="F701" s="8" t="str">
        <f aca="false">IF($D701="","",IFERROR(INDEX(INSUMOS!$E$6:$E$205,MATCH($D701,INSUMOS!$A$6:$A$205,0)),""))</f>
        <v/>
      </c>
      <c r="G701" s="39"/>
      <c r="H701" s="45" t="str">
        <f aca="false">IF($D701="","",IFERROR(INDEX(INSUMOS!$F$6:$F$205,MATCH($D701,INSUMOS!$A$6:$A$205,0)),0))</f>
        <v/>
      </c>
      <c r="I701" s="34" t="str">
        <f aca="false">IF($D701="","",N($G701)*$H701)</f>
        <v/>
      </c>
      <c r="J701" s="40"/>
      <c r="K701" s="36" t="str">
        <f aca="false">IF($D701="","",IFERROR(INDEX(INSUMOS!$H$6:$H$205,MATCH($D701,INSUMOS!$A$6:$A$205,0)),IVA_VENTAS))</f>
        <v/>
      </c>
      <c r="L701" s="35" t="str">
        <f aca="false">IF($D701="","",N($J701)*$K701)</f>
        <v/>
      </c>
      <c r="M701" s="35" t="str">
        <f aca="false">IF($D701="","",N($J701)+$L701)</f>
        <v/>
      </c>
      <c r="N701" s="43" t="str">
        <f aca="false">IF($D701="","",IFERROR(N($J701)/$I701,0))</f>
        <v/>
      </c>
      <c r="O701" s="6"/>
      <c r="P701" s="6"/>
      <c r="Q701" s="46" t="str">
        <f aca="false">IF($A701="","",DATE(YEAR($A701),MONTH($A701),1))</f>
        <v/>
      </c>
      <c r="R701" s="8" t="str">
        <f aca="false">IF(OR($A701="",$D701=""),"",IF(COUNTIFS($D$6:$D$1005,$D701,$A$6:$A$1005,"&gt;"&amp;$A701)=0,1,0))</f>
        <v/>
      </c>
    </row>
    <row r="702" customFormat="false" ht="15" hidden="false" customHeight="false" outlineLevel="0" collapsed="false">
      <c r="A702" s="44"/>
      <c r="B702" s="6"/>
      <c r="C702" s="6"/>
      <c r="D702" s="6"/>
      <c r="E702" s="8" t="str">
        <f aca="false">IF($D702="","",IFERROR(INDEX(INSUMOS!$B$6:$B$205,MATCH($D702,INSUMOS!$A$6:$A$205,0)),"¿Código?"))</f>
        <v/>
      </c>
      <c r="F702" s="8" t="str">
        <f aca="false">IF($D702="","",IFERROR(INDEX(INSUMOS!$E$6:$E$205,MATCH($D702,INSUMOS!$A$6:$A$205,0)),""))</f>
        <v/>
      </c>
      <c r="G702" s="39"/>
      <c r="H702" s="45" t="str">
        <f aca="false">IF($D702="","",IFERROR(INDEX(INSUMOS!$F$6:$F$205,MATCH($D702,INSUMOS!$A$6:$A$205,0)),0))</f>
        <v/>
      </c>
      <c r="I702" s="34" t="str">
        <f aca="false">IF($D702="","",N($G702)*$H702)</f>
        <v/>
      </c>
      <c r="J702" s="40"/>
      <c r="K702" s="36" t="str">
        <f aca="false">IF($D702="","",IFERROR(INDEX(INSUMOS!$H$6:$H$205,MATCH($D702,INSUMOS!$A$6:$A$205,0)),IVA_VENTAS))</f>
        <v/>
      </c>
      <c r="L702" s="35" t="str">
        <f aca="false">IF($D702="","",N($J702)*$K702)</f>
        <v/>
      </c>
      <c r="M702" s="35" t="str">
        <f aca="false">IF($D702="","",N($J702)+$L702)</f>
        <v/>
      </c>
      <c r="N702" s="43" t="str">
        <f aca="false">IF($D702="","",IFERROR(N($J702)/$I702,0))</f>
        <v/>
      </c>
      <c r="O702" s="6"/>
      <c r="P702" s="6"/>
      <c r="Q702" s="46" t="str">
        <f aca="false">IF($A702="","",DATE(YEAR($A702),MONTH($A702),1))</f>
        <v/>
      </c>
      <c r="R702" s="8" t="str">
        <f aca="false">IF(OR($A702="",$D702=""),"",IF(COUNTIFS($D$6:$D$1005,$D702,$A$6:$A$1005,"&gt;"&amp;$A702)=0,1,0))</f>
        <v/>
      </c>
    </row>
    <row r="703" customFormat="false" ht="15" hidden="false" customHeight="false" outlineLevel="0" collapsed="false">
      <c r="A703" s="44"/>
      <c r="B703" s="6"/>
      <c r="C703" s="6"/>
      <c r="D703" s="6"/>
      <c r="E703" s="8" t="str">
        <f aca="false">IF($D703="","",IFERROR(INDEX(INSUMOS!$B$6:$B$205,MATCH($D703,INSUMOS!$A$6:$A$205,0)),"¿Código?"))</f>
        <v/>
      </c>
      <c r="F703" s="8" t="str">
        <f aca="false">IF($D703="","",IFERROR(INDEX(INSUMOS!$E$6:$E$205,MATCH($D703,INSUMOS!$A$6:$A$205,0)),""))</f>
        <v/>
      </c>
      <c r="G703" s="39"/>
      <c r="H703" s="45" t="str">
        <f aca="false">IF($D703="","",IFERROR(INDEX(INSUMOS!$F$6:$F$205,MATCH($D703,INSUMOS!$A$6:$A$205,0)),0))</f>
        <v/>
      </c>
      <c r="I703" s="34" t="str">
        <f aca="false">IF($D703="","",N($G703)*$H703)</f>
        <v/>
      </c>
      <c r="J703" s="40"/>
      <c r="K703" s="36" t="str">
        <f aca="false">IF($D703="","",IFERROR(INDEX(INSUMOS!$H$6:$H$205,MATCH($D703,INSUMOS!$A$6:$A$205,0)),IVA_VENTAS))</f>
        <v/>
      </c>
      <c r="L703" s="35" t="str">
        <f aca="false">IF($D703="","",N($J703)*$K703)</f>
        <v/>
      </c>
      <c r="M703" s="35" t="str">
        <f aca="false">IF($D703="","",N($J703)+$L703)</f>
        <v/>
      </c>
      <c r="N703" s="43" t="str">
        <f aca="false">IF($D703="","",IFERROR(N($J703)/$I703,0))</f>
        <v/>
      </c>
      <c r="O703" s="6"/>
      <c r="P703" s="6"/>
      <c r="Q703" s="46" t="str">
        <f aca="false">IF($A703="","",DATE(YEAR($A703),MONTH($A703),1))</f>
        <v/>
      </c>
      <c r="R703" s="8" t="str">
        <f aca="false">IF(OR($A703="",$D703=""),"",IF(COUNTIFS($D$6:$D$1005,$D703,$A$6:$A$1005,"&gt;"&amp;$A703)=0,1,0))</f>
        <v/>
      </c>
    </row>
    <row r="704" customFormat="false" ht="15" hidden="false" customHeight="false" outlineLevel="0" collapsed="false">
      <c r="A704" s="44"/>
      <c r="B704" s="6"/>
      <c r="C704" s="6"/>
      <c r="D704" s="6"/>
      <c r="E704" s="8" t="str">
        <f aca="false">IF($D704="","",IFERROR(INDEX(INSUMOS!$B$6:$B$205,MATCH($D704,INSUMOS!$A$6:$A$205,0)),"¿Código?"))</f>
        <v/>
      </c>
      <c r="F704" s="8" t="str">
        <f aca="false">IF($D704="","",IFERROR(INDEX(INSUMOS!$E$6:$E$205,MATCH($D704,INSUMOS!$A$6:$A$205,0)),""))</f>
        <v/>
      </c>
      <c r="G704" s="39"/>
      <c r="H704" s="45" t="str">
        <f aca="false">IF($D704="","",IFERROR(INDEX(INSUMOS!$F$6:$F$205,MATCH($D704,INSUMOS!$A$6:$A$205,0)),0))</f>
        <v/>
      </c>
      <c r="I704" s="34" t="str">
        <f aca="false">IF($D704="","",N($G704)*$H704)</f>
        <v/>
      </c>
      <c r="J704" s="40"/>
      <c r="K704" s="36" t="str">
        <f aca="false">IF($D704="","",IFERROR(INDEX(INSUMOS!$H$6:$H$205,MATCH($D704,INSUMOS!$A$6:$A$205,0)),IVA_VENTAS))</f>
        <v/>
      </c>
      <c r="L704" s="35" t="str">
        <f aca="false">IF($D704="","",N($J704)*$K704)</f>
        <v/>
      </c>
      <c r="M704" s="35" t="str">
        <f aca="false">IF($D704="","",N($J704)+$L704)</f>
        <v/>
      </c>
      <c r="N704" s="43" t="str">
        <f aca="false">IF($D704="","",IFERROR(N($J704)/$I704,0))</f>
        <v/>
      </c>
      <c r="O704" s="6"/>
      <c r="P704" s="6"/>
      <c r="Q704" s="46" t="str">
        <f aca="false">IF($A704="","",DATE(YEAR($A704),MONTH($A704),1))</f>
        <v/>
      </c>
      <c r="R704" s="8" t="str">
        <f aca="false">IF(OR($A704="",$D704=""),"",IF(COUNTIFS($D$6:$D$1005,$D704,$A$6:$A$1005,"&gt;"&amp;$A704)=0,1,0))</f>
        <v/>
      </c>
    </row>
    <row r="705" customFormat="false" ht="15" hidden="false" customHeight="false" outlineLevel="0" collapsed="false">
      <c r="A705" s="44"/>
      <c r="B705" s="6"/>
      <c r="C705" s="6"/>
      <c r="D705" s="6"/>
      <c r="E705" s="8" t="str">
        <f aca="false">IF($D705="","",IFERROR(INDEX(INSUMOS!$B$6:$B$205,MATCH($D705,INSUMOS!$A$6:$A$205,0)),"¿Código?"))</f>
        <v/>
      </c>
      <c r="F705" s="8" t="str">
        <f aca="false">IF($D705="","",IFERROR(INDEX(INSUMOS!$E$6:$E$205,MATCH($D705,INSUMOS!$A$6:$A$205,0)),""))</f>
        <v/>
      </c>
      <c r="G705" s="39"/>
      <c r="H705" s="45" t="str">
        <f aca="false">IF($D705="","",IFERROR(INDEX(INSUMOS!$F$6:$F$205,MATCH($D705,INSUMOS!$A$6:$A$205,0)),0))</f>
        <v/>
      </c>
      <c r="I705" s="34" t="str">
        <f aca="false">IF($D705="","",N($G705)*$H705)</f>
        <v/>
      </c>
      <c r="J705" s="40"/>
      <c r="K705" s="36" t="str">
        <f aca="false">IF($D705="","",IFERROR(INDEX(INSUMOS!$H$6:$H$205,MATCH($D705,INSUMOS!$A$6:$A$205,0)),IVA_VENTAS))</f>
        <v/>
      </c>
      <c r="L705" s="35" t="str">
        <f aca="false">IF($D705="","",N($J705)*$K705)</f>
        <v/>
      </c>
      <c r="M705" s="35" t="str">
        <f aca="false">IF($D705="","",N($J705)+$L705)</f>
        <v/>
      </c>
      <c r="N705" s="43" t="str">
        <f aca="false">IF($D705="","",IFERROR(N($J705)/$I705,0))</f>
        <v/>
      </c>
      <c r="O705" s="6"/>
      <c r="P705" s="6"/>
      <c r="Q705" s="46" t="str">
        <f aca="false">IF($A705="","",DATE(YEAR($A705),MONTH($A705),1))</f>
        <v/>
      </c>
      <c r="R705" s="8" t="str">
        <f aca="false">IF(OR($A705="",$D705=""),"",IF(COUNTIFS($D$6:$D$1005,$D705,$A$6:$A$1005,"&gt;"&amp;$A705)=0,1,0))</f>
        <v/>
      </c>
    </row>
    <row r="706" customFormat="false" ht="15" hidden="false" customHeight="false" outlineLevel="0" collapsed="false">
      <c r="A706" s="44"/>
      <c r="B706" s="6"/>
      <c r="C706" s="6"/>
      <c r="D706" s="6"/>
      <c r="E706" s="8" t="str">
        <f aca="false">IF($D706="","",IFERROR(INDEX(INSUMOS!$B$6:$B$205,MATCH($D706,INSUMOS!$A$6:$A$205,0)),"¿Código?"))</f>
        <v/>
      </c>
      <c r="F706" s="8" t="str">
        <f aca="false">IF($D706="","",IFERROR(INDEX(INSUMOS!$E$6:$E$205,MATCH($D706,INSUMOS!$A$6:$A$205,0)),""))</f>
        <v/>
      </c>
      <c r="G706" s="39"/>
      <c r="H706" s="45" t="str">
        <f aca="false">IF($D706="","",IFERROR(INDEX(INSUMOS!$F$6:$F$205,MATCH($D706,INSUMOS!$A$6:$A$205,0)),0))</f>
        <v/>
      </c>
      <c r="I706" s="34" t="str">
        <f aca="false">IF($D706="","",N($G706)*$H706)</f>
        <v/>
      </c>
      <c r="J706" s="40"/>
      <c r="K706" s="36" t="str">
        <f aca="false">IF($D706="","",IFERROR(INDEX(INSUMOS!$H$6:$H$205,MATCH($D706,INSUMOS!$A$6:$A$205,0)),IVA_VENTAS))</f>
        <v/>
      </c>
      <c r="L706" s="35" t="str">
        <f aca="false">IF($D706="","",N($J706)*$K706)</f>
        <v/>
      </c>
      <c r="M706" s="35" t="str">
        <f aca="false">IF($D706="","",N($J706)+$L706)</f>
        <v/>
      </c>
      <c r="N706" s="43" t="str">
        <f aca="false">IF($D706="","",IFERROR(N($J706)/$I706,0))</f>
        <v/>
      </c>
      <c r="O706" s="6"/>
      <c r="P706" s="6"/>
      <c r="Q706" s="46" t="str">
        <f aca="false">IF($A706="","",DATE(YEAR($A706),MONTH($A706),1))</f>
        <v/>
      </c>
      <c r="R706" s="8" t="str">
        <f aca="false">IF(OR($A706="",$D706=""),"",IF(COUNTIFS($D$6:$D$1005,$D706,$A$6:$A$1005,"&gt;"&amp;$A706)=0,1,0))</f>
        <v/>
      </c>
    </row>
    <row r="707" customFormat="false" ht="15" hidden="false" customHeight="false" outlineLevel="0" collapsed="false">
      <c r="A707" s="44"/>
      <c r="B707" s="6"/>
      <c r="C707" s="6"/>
      <c r="D707" s="6"/>
      <c r="E707" s="8" t="str">
        <f aca="false">IF($D707="","",IFERROR(INDEX(INSUMOS!$B$6:$B$205,MATCH($D707,INSUMOS!$A$6:$A$205,0)),"¿Código?"))</f>
        <v/>
      </c>
      <c r="F707" s="8" t="str">
        <f aca="false">IF($D707="","",IFERROR(INDEX(INSUMOS!$E$6:$E$205,MATCH($D707,INSUMOS!$A$6:$A$205,0)),""))</f>
        <v/>
      </c>
      <c r="G707" s="39"/>
      <c r="H707" s="45" t="str">
        <f aca="false">IF($D707="","",IFERROR(INDEX(INSUMOS!$F$6:$F$205,MATCH($D707,INSUMOS!$A$6:$A$205,0)),0))</f>
        <v/>
      </c>
      <c r="I707" s="34" t="str">
        <f aca="false">IF($D707="","",N($G707)*$H707)</f>
        <v/>
      </c>
      <c r="J707" s="40"/>
      <c r="K707" s="36" t="str">
        <f aca="false">IF($D707="","",IFERROR(INDEX(INSUMOS!$H$6:$H$205,MATCH($D707,INSUMOS!$A$6:$A$205,0)),IVA_VENTAS))</f>
        <v/>
      </c>
      <c r="L707" s="35" t="str">
        <f aca="false">IF($D707="","",N($J707)*$K707)</f>
        <v/>
      </c>
      <c r="M707" s="35" t="str">
        <f aca="false">IF($D707="","",N($J707)+$L707)</f>
        <v/>
      </c>
      <c r="N707" s="43" t="str">
        <f aca="false">IF($D707="","",IFERROR(N($J707)/$I707,0))</f>
        <v/>
      </c>
      <c r="O707" s="6"/>
      <c r="P707" s="6"/>
      <c r="Q707" s="46" t="str">
        <f aca="false">IF($A707="","",DATE(YEAR($A707),MONTH($A707),1))</f>
        <v/>
      </c>
      <c r="R707" s="8" t="str">
        <f aca="false">IF(OR($A707="",$D707=""),"",IF(COUNTIFS($D$6:$D$1005,$D707,$A$6:$A$1005,"&gt;"&amp;$A707)=0,1,0))</f>
        <v/>
      </c>
    </row>
    <row r="708" customFormat="false" ht="15" hidden="false" customHeight="false" outlineLevel="0" collapsed="false">
      <c r="A708" s="44"/>
      <c r="B708" s="6"/>
      <c r="C708" s="6"/>
      <c r="D708" s="6"/>
      <c r="E708" s="8" t="str">
        <f aca="false">IF($D708="","",IFERROR(INDEX(INSUMOS!$B$6:$B$205,MATCH($D708,INSUMOS!$A$6:$A$205,0)),"¿Código?"))</f>
        <v/>
      </c>
      <c r="F708" s="8" t="str">
        <f aca="false">IF($D708="","",IFERROR(INDEX(INSUMOS!$E$6:$E$205,MATCH($D708,INSUMOS!$A$6:$A$205,0)),""))</f>
        <v/>
      </c>
      <c r="G708" s="39"/>
      <c r="H708" s="45" t="str">
        <f aca="false">IF($D708="","",IFERROR(INDEX(INSUMOS!$F$6:$F$205,MATCH($D708,INSUMOS!$A$6:$A$205,0)),0))</f>
        <v/>
      </c>
      <c r="I708" s="34" t="str">
        <f aca="false">IF($D708="","",N($G708)*$H708)</f>
        <v/>
      </c>
      <c r="J708" s="40"/>
      <c r="K708" s="36" t="str">
        <f aca="false">IF($D708="","",IFERROR(INDEX(INSUMOS!$H$6:$H$205,MATCH($D708,INSUMOS!$A$6:$A$205,0)),IVA_VENTAS))</f>
        <v/>
      </c>
      <c r="L708" s="35" t="str">
        <f aca="false">IF($D708="","",N($J708)*$K708)</f>
        <v/>
      </c>
      <c r="M708" s="35" t="str">
        <f aca="false">IF($D708="","",N($J708)+$L708)</f>
        <v/>
      </c>
      <c r="N708" s="43" t="str">
        <f aca="false">IF($D708="","",IFERROR(N($J708)/$I708,0))</f>
        <v/>
      </c>
      <c r="O708" s="6"/>
      <c r="P708" s="6"/>
      <c r="Q708" s="46" t="str">
        <f aca="false">IF($A708="","",DATE(YEAR($A708),MONTH($A708),1))</f>
        <v/>
      </c>
      <c r="R708" s="8" t="str">
        <f aca="false">IF(OR($A708="",$D708=""),"",IF(COUNTIFS($D$6:$D$1005,$D708,$A$6:$A$1005,"&gt;"&amp;$A708)=0,1,0))</f>
        <v/>
      </c>
    </row>
    <row r="709" customFormat="false" ht="15" hidden="false" customHeight="false" outlineLevel="0" collapsed="false">
      <c r="A709" s="44"/>
      <c r="B709" s="6"/>
      <c r="C709" s="6"/>
      <c r="D709" s="6"/>
      <c r="E709" s="8" t="str">
        <f aca="false">IF($D709="","",IFERROR(INDEX(INSUMOS!$B$6:$B$205,MATCH($D709,INSUMOS!$A$6:$A$205,0)),"¿Código?"))</f>
        <v/>
      </c>
      <c r="F709" s="8" t="str">
        <f aca="false">IF($D709="","",IFERROR(INDEX(INSUMOS!$E$6:$E$205,MATCH($D709,INSUMOS!$A$6:$A$205,0)),""))</f>
        <v/>
      </c>
      <c r="G709" s="39"/>
      <c r="H709" s="45" t="str">
        <f aca="false">IF($D709="","",IFERROR(INDEX(INSUMOS!$F$6:$F$205,MATCH($D709,INSUMOS!$A$6:$A$205,0)),0))</f>
        <v/>
      </c>
      <c r="I709" s="34" t="str">
        <f aca="false">IF($D709="","",N($G709)*$H709)</f>
        <v/>
      </c>
      <c r="J709" s="40"/>
      <c r="K709" s="36" t="str">
        <f aca="false">IF($D709="","",IFERROR(INDEX(INSUMOS!$H$6:$H$205,MATCH($D709,INSUMOS!$A$6:$A$205,0)),IVA_VENTAS))</f>
        <v/>
      </c>
      <c r="L709" s="35" t="str">
        <f aca="false">IF($D709="","",N($J709)*$K709)</f>
        <v/>
      </c>
      <c r="M709" s="35" t="str">
        <f aca="false">IF($D709="","",N($J709)+$L709)</f>
        <v/>
      </c>
      <c r="N709" s="43" t="str">
        <f aca="false">IF($D709="","",IFERROR(N($J709)/$I709,0))</f>
        <v/>
      </c>
      <c r="O709" s="6"/>
      <c r="P709" s="6"/>
      <c r="Q709" s="46" t="str">
        <f aca="false">IF($A709="","",DATE(YEAR($A709),MONTH($A709),1))</f>
        <v/>
      </c>
      <c r="R709" s="8" t="str">
        <f aca="false">IF(OR($A709="",$D709=""),"",IF(COUNTIFS($D$6:$D$1005,$D709,$A$6:$A$1005,"&gt;"&amp;$A709)=0,1,0))</f>
        <v/>
      </c>
    </row>
    <row r="710" customFormat="false" ht="15" hidden="false" customHeight="false" outlineLevel="0" collapsed="false">
      <c r="A710" s="44"/>
      <c r="B710" s="6"/>
      <c r="C710" s="6"/>
      <c r="D710" s="6"/>
      <c r="E710" s="8" t="str">
        <f aca="false">IF($D710="","",IFERROR(INDEX(INSUMOS!$B$6:$B$205,MATCH($D710,INSUMOS!$A$6:$A$205,0)),"¿Código?"))</f>
        <v/>
      </c>
      <c r="F710" s="8" t="str">
        <f aca="false">IF($D710="","",IFERROR(INDEX(INSUMOS!$E$6:$E$205,MATCH($D710,INSUMOS!$A$6:$A$205,0)),""))</f>
        <v/>
      </c>
      <c r="G710" s="39"/>
      <c r="H710" s="45" t="str">
        <f aca="false">IF($D710="","",IFERROR(INDEX(INSUMOS!$F$6:$F$205,MATCH($D710,INSUMOS!$A$6:$A$205,0)),0))</f>
        <v/>
      </c>
      <c r="I710" s="34" t="str">
        <f aca="false">IF($D710="","",N($G710)*$H710)</f>
        <v/>
      </c>
      <c r="J710" s="40"/>
      <c r="K710" s="36" t="str">
        <f aca="false">IF($D710="","",IFERROR(INDEX(INSUMOS!$H$6:$H$205,MATCH($D710,INSUMOS!$A$6:$A$205,0)),IVA_VENTAS))</f>
        <v/>
      </c>
      <c r="L710" s="35" t="str">
        <f aca="false">IF($D710="","",N($J710)*$K710)</f>
        <v/>
      </c>
      <c r="M710" s="35" t="str">
        <f aca="false">IF($D710="","",N($J710)+$L710)</f>
        <v/>
      </c>
      <c r="N710" s="43" t="str">
        <f aca="false">IF($D710="","",IFERROR(N($J710)/$I710,0))</f>
        <v/>
      </c>
      <c r="O710" s="6"/>
      <c r="P710" s="6"/>
      <c r="Q710" s="46" t="str">
        <f aca="false">IF($A710="","",DATE(YEAR($A710),MONTH($A710),1))</f>
        <v/>
      </c>
      <c r="R710" s="8" t="str">
        <f aca="false">IF(OR($A710="",$D710=""),"",IF(COUNTIFS($D$6:$D$1005,$D710,$A$6:$A$1005,"&gt;"&amp;$A710)=0,1,0))</f>
        <v/>
      </c>
    </row>
    <row r="711" customFormat="false" ht="15" hidden="false" customHeight="false" outlineLevel="0" collapsed="false">
      <c r="A711" s="44"/>
      <c r="B711" s="6"/>
      <c r="C711" s="6"/>
      <c r="D711" s="6"/>
      <c r="E711" s="8" t="str">
        <f aca="false">IF($D711="","",IFERROR(INDEX(INSUMOS!$B$6:$B$205,MATCH($D711,INSUMOS!$A$6:$A$205,0)),"¿Código?"))</f>
        <v/>
      </c>
      <c r="F711" s="8" t="str">
        <f aca="false">IF($D711="","",IFERROR(INDEX(INSUMOS!$E$6:$E$205,MATCH($D711,INSUMOS!$A$6:$A$205,0)),""))</f>
        <v/>
      </c>
      <c r="G711" s="39"/>
      <c r="H711" s="45" t="str">
        <f aca="false">IF($D711="","",IFERROR(INDEX(INSUMOS!$F$6:$F$205,MATCH($D711,INSUMOS!$A$6:$A$205,0)),0))</f>
        <v/>
      </c>
      <c r="I711" s="34" t="str">
        <f aca="false">IF($D711="","",N($G711)*$H711)</f>
        <v/>
      </c>
      <c r="J711" s="40"/>
      <c r="K711" s="36" t="str">
        <f aca="false">IF($D711="","",IFERROR(INDEX(INSUMOS!$H$6:$H$205,MATCH($D711,INSUMOS!$A$6:$A$205,0)),IVA_VENTAS))</f>
        <v/>
      </c>
      <c r="L711" s="35" t="str">
        <f aca="false">IF($D711="","",N($J711)*$K711)</f>
        <v/>
      </c>
      <c r="M711" s="35" t="str">
        <f aca="false">IF($D711="","",N($J711)+$L711)</f>
        <v/>
      </c>
      <c r="N711" s="43" t="str">
        <f aca="false">IF($D711="","",IFERROR(N($J711)/$I711,0))</f>
        <v/>
      </c>
      <c r="O711" s="6"/>
      <c r="P711" s="6"/>
      <c r="Q711" s="46" t="str">
        <f aca="false">IF($A711="","",DATE(YEAR($A711),MONTH($A711),1))</f>
        <v/>
      </c>
      <c r="R711" s="8" t="str">
        <f aca="false">IF(OR($A711="",$D711=""),"",IF(COUNTIFS($D$6:$D$1005,$D711,$A$6:$A$1005,"&gt;"&amp;$A711)=0,1,0))</f>
        <v/>
      </c>
    </row>
    <row r="712" customFormat="false" ht="15" hidden="false" customHeight="false" outlineLevel="0" collapsed="false">
      <c r="A712" s="44"/>
      <c r="B712" s="6"/>
      <c r="C712" s="6"/>
      <c r="D712" s="6"/>
      <c r="E712" s="8" t="str">
        <f aca="false">IF($D712="","",IFERROR(INDEX(INSUMOS!$B$6:$B$205,MATCH($D712,INSUMOS!$A$6:$A$205,0)),"¿Código?"))</f>
        <v/>
      </c>
      <c r="F712" s="8" t="str">
        <f aca="false">IF($D712="","",IFERROR(INDEX(INSUMOS!$E$6:$E$205,MATCH($D712,INSUMOS!$A$6:$A$205,0)),""))</f>
        <v/>
      </c>
      <c r="G712" s="39"/>
      <c r="H712" s="45" t="str">
        <f aca="false">IF($D712="","",IFERROR(INDEX(INSUMOS!$F$6:$F$205,MATCH($D712,INSUMOS!$A$6:$A$205,0)),0))</f>
        <v/>
      </c>
      <c r="I712" s="34" t="str">
        <f aca="false">IF($D712="","",N($G712)*$H712)</f>
        <v/>
      </c>
      <c r="J712" s="40"/>
      <c r="K712" s="36" t="str">
        <f aca="false">IF($D712="","",IFERROR(INDEX(INSUMOS!$H$6:$H$205,MATCH($D712,INSUMOS!$A$6:$A$205,0)),IVA_VENTAS))</f>
        <v/>
      </c>
      <c r="L712" s="35" t="str">
        <f aca="false">IF($D712="","",N($J712)*$K712)</f>
        <v/>
      </c>
      <c r="M712" s="35" t="str">
        <f aca="false">IF($D712="","",N($J712)+$L712)</f>
        <v/>
      </c>
      <c r="N712" s="43" t="str">
        <f aca="false">IF($D712="","",IFERROR(N($J712)/$I712,0))</f>
        <v/>
      </c>
      <c r="O712" s="6"/>
      <c r="P712" s="6"/>
      <c r="Q712" s="46" t="str">
        <f aca="false">IF($A712="","",DATE(YEAR($A712),MONTH($A712),1))</f>
        <v/>
      </c>
      <c r="R712" s="8" t="str">
        <f aca="false">IF(OR($A712="",$D712=""),"",IF(COUNTIFS($D$6:$D$1005,$D712,$A$6:$A$1005,"&gt;"&amp;$A712)=0,1,0))</f>
        <v/>
      </c>
    </row>
    <row r="713" customFormat="false" ht="15" hidden="false" customHeight="false" outlineLevel="0" collapsed="false">
      <c r="A713" s="44"/>
      <c r="B713" s="6"/>
      <c r="C713" s="6"/>
      <c r="D713" s="6"/>
      <c r="E713" s="8" t="str">
        <f aca="false">IF($D713="","",IFERROR(INDEX(INSUMOS!$B$6:$B$205,MATCH($D713,INSUMOS!$A$6:$A$205,0)),"¿Código?"))</f>
        <v/>
      </c>
      <c r="F713" s="8" t="str">
        <f aca="false">IF($D713="","",IFERROR(INDEX(INSUMOS!$E$6:$E$205,MATCH($D713,INSUMOS!$A$6:$A$205,0)),""))</f>
        <v/>
      </c>
      <c r="G713" s="39"/>
      <c r="H713" s="45" t="str">
        <f aca="false">IF($D713="","",IFERROR(INDEX(INSUMOS!$F$6:$F$205,MATCH($D713,INSUMOS!$A$6:$A$205,0)),0))</f>
        <v/>
      </c>
      <c r="I713" s="34" t="str">
        <f aca="false">IF($D713="","",N($G713)*$H713)</f>
        <v/>
      </c>
      <c r="J713" s="40"/>
      <c r="K713" s="36" t="str">
        <f aca="false">IF($D713="","",IFERROR(INDEX(INSUMOS!$H$6:$H$205,MATCH($D713,INSUMOS!$A$6:$A$205,0)),IVA_VENTAS))</f>
        <v/>
      </c>
      <c r="L713" s="35" t="str">
        <f aca="false">IF($D713="","",N($J713)*$K713)</f>
        <v/>
      </c>
      <c r="M713" s="35" t="str">
        <f aca="false">IF($D713="","",N($J713)+$L713)</f>
        <v/>
      </c>
      <c r="N713" s="43" t="str">
        <f aca="false">IF($D713="","",IFERROR(N($J713)/$I713,0))</f>
        <v/>
      </c>
      <c r="O713" s="6"/>
      <c r="P713" s="6"/>
      <c r="Q713" s="46" t="str">
        <f aca="false">IF($A713="","",DATE(YEAR($A713),MONTH($A713),1))</f>
        <v/>
      </c>
      <c r="R713" s="8" t="str">
        <f aca="false">IF(OR($A713="",$D713=""),"",IF(COUNTIFS($D$6:$D$1005,$D713,$A$6:$A$1005,"&gt;"&amp;$A713)=0,1,0))</f>
        <v/>
      </c>
    </row>
    <row r="714" customFormat="false" ht="15" hidden="false" customHeight="false" outlineLevel="0" collapsed="false">
      <c r="A714" s="44"/>
      <c r="B714" s="6"/>
      <c r="C714" s="6"/>
      <c r="D714" s="6"/>
      <c r="E714" s="8" t="str">
        <f aca="false">IF($D714="","",IFERROR(INDEX(INSUMOS!$B$6:$B$205,MATCH($D714,INSUMOS!$A$6:$A$205,0)),"¿Código?"))</f>
        <v/>
      </c>
      <c r="F714" s="8" t="str">
        <f aca="false">IF($D714="","",IFERROR(INDEX(INSUMOS!$E$6:$E$205,MATCH($D714,INSUMOS!$A$6:$A$205,0)),""))</f>
        <v/>
      </c>
      <c r="G714" s="39"/>
      <c r="H714" s="45" t="str">
        <f aca="false">IF($D714="","",IFERROR(INDEX(INSUMOS!$F$6:$F$205,MATCH($D714,INSUMOS!$A$6:$A$205,0)),0))</f>
        <v/>
      </c>
      <c r="I714" s="34" t="str">
        <f aca="false">IF($D714="","",N($G714)*$H714)</f>
        <v/>
      </c>
      <c r="J714" s="40"/>
      <c r="K714" s="36" t="str">
        <f aca="false">IF($D714="","",IFERROR(INDEX(INSUMOS!$H$6:$H$205,MATCH($D714,INSUMOS!$A$6:$A$205,0)),IVA_VENTAS))</f>
        <v/>
      </c>
      <c r="L714" s="35" t="str">
        <f aca="false">IF($D714="","",N($J714)*$K714)</f>
        <v/>
      </c>
      <c r="M714" s="35" t="str">
        <f aca="false">IF($D714="","",N($J714)+$L714)</f>
        <v/>
      </c>
      <c r="N714" s="43" t="str">
        <f aca="false">IF($D714="","",IFERROR(N($J714)/$I714,0))</f>
        <v/>
      </c>
      <c r="O714" s="6"/>
      <c r="P714" s="6"/>
      <c r="Q714" s="46" t="str">
        <f aca="false">IF($A714="","",DATE(YEAR($A714),MONTH($A714),1))</f>
        <v/>
      </c>
      <c r="R714" s="8" t="str">
        <f aca="false">IF(OR($A714="",$D714=""),"",IF(COUNTIFS($D$6:$D$1005,$D714,$A$6:$A$1005,"&gt;"&amp;$A714)=0,1,0))</f>
        <v/>
      </c>
    </row>
    <row r="715" customFormat="false" ht="15" hidden="false" customHeight="false" outlineLevel="0" collapsed="false">
      <c r="A715" s="44"/>
      <c r="B715" s="6"/>
      <c r="C715" s="6"/>
      <c r="D715" s="6"/>
      <c r="E715" s="8" t="str">
        <f aca="false">IF($D715="","",IFERROR(INDEX(INSUMOS!$B$6:$B$205,MATCH($D715,INSUMOS!$A$6:$A$205,0)),"¿Código?"))</f>
        <v/>
      </c>
      <c r="F715" s="8" t="str">
        <f aca="false">IF($D715="","",IFERROR(INDEX(INSUMOS!$E$6:$E$205,MATCH($D715,INSUMOS!$A$6:$A$205,0)),""))</f>
        <v/>
      </c>
      <c r="G715" s="39"/>
      <c r="H715" s="45" t="str">
        <f aca="false">IF($D715="","",IFERROR(INDEX(INSUMOS!$F$6:$F$205,MATCH($D715,INSUMOS!$A$6:$A$205,0)),0))</f>
        <v/>
      </c>
      <c r="I715" s="34" t="str">
        <f aca="false">IF($D715="","",N($G715)*$H715)</f>
        <v/>
      </c>
      <c r="J715" s="40"/>
      <c r="K715" s="36" t="str">
        <f aca="false">IF($D715="","",IFERROR(INDEX(INSUMOS!$H$6:$H$205,MATCH($D715,INSUMOS!$A$6:$A$205,0)),IVA_VENTAS))</f>
        <v/>
      </c>
      <c r="L715" s="35" t="str">
        <f aca="false">IF($D715="","",N($J715)*$K715)</f>
        <v/>
      </c>
      <c r="M715" s="35" t="str">
        <f aca="false">IF($D715="","",N($J715)+$L715)</f>
        <v/>
      </c>
      <c r="N715" s="43" t="str">
        <f aca="false">IF($D715="","",IFERROR(N($J715)/$I715,0))</f>
        <v/>
      </c>
      <c r="O715" s="6"/>
      <c r="P715" s="6"/>
      <c r="Q715" s="46" t="str">
        <f aca="false">IF($A715="","",DATE(YEAR($A715),MONTH($A715),1))</f>
        <v/>
      </c>
      <c r="R715" s="8" t="str">
        <f aca="false">IF(OR($A715="",$D715=""),"",IF(COUNTIFS($D$6:$D$1005,$D715,$A$6:$A$1005,"&gt;"&amp;$A715)=0,1,0))</f>
        <v/>
      </c>
    </row>
    <row r="716" customFormat="false" ht="15" hidden="false" customHeight="false" outlineLevel="0" collapsed="false">
      <c r="A716" s="44"/>
      <c r="B716" s="6"/>
      <c r="C716" s="6"/>
      <c r="D716" s="6"/>
      <c r="E716" s="8" t="str">
        <f aca="false">IF($D716="","",IFERROR(INDEX(INSUMOS!$B$6:$B$205,MATCH($D716,INSUMOS!$A$6:$A$205,0)),"¿Código?"))</f>
        <v/>
      </c>
      <c r="F716" s="8" t="str">
        <f aca="false">IF($D716="","",IFERROR(INDEX(INSUMOS!$E$6:$E$205,MATCH($D716,INSUMOS!$A$6:$A$205,0)),""))</f>
        <v/>
      </c>
      <c r="G716" s="39"/>
      <c r="H716" s="45" t="str">
        <f aca="false">IF($D716="","",IFERROR(INDEX(INSUMOS!$F$6:$F$205,MATCH($D716,INSUMOS!$A$6:$A$205,0)),0))</f>
        <v/>
      </c>
      <c r="I716" s="34" t="str">
        <f aca="false">IF($D716="","",N($G716)*$H716)</f>
        <v/>
      </c>
      <c r="J716" s="40"/>
      <c r="K716" s="36" t="str">
        <f aca="false">IF($D716="","",IFERROR(INDEX(INSUMOS!$H$6:$H$205,MATCH($D716,INSUMOS!$A$6:$A$205,0)),IVA_VENTAS))</f>
        <v/>
      </c>
      <c r="L716" s="35" t="str">
        <f aca="false">IF($D716="","",N($J716)*$K716)</f>
        <v/>
      </c>
      <c r="M716" s="35" t="str">
        <f aca="false">IF($D716="","",N($J716)+$L716)</f>
        <v/>
      </c>
      <c r="N716" s="43" t="str">
        <f aca="false">IF($D716="","",IFERROR(N($J716)/$I716,0))</f>
        <v/>
      </c>
      <c r="O716" s="6"/>
      <c r="P716" s="6"/>
      <c r="Q716" s="46" t="str">
        <f aca="false">IF($A716="","",DATE(YEAR($A716),MONTH($A716),1))</f>
        <v/>
      </c>
      <c r="R716" s="8" t="str">
        <f aca="false">IF(OR($A716="",$D716=""),"",IF(COUNTIFS($D$6:$D$1005,$D716,$A$6:$A$1005,"&gt;"&amp;$A716)=0,1,0))</f>
        <v/>
      </c>
    </row>
    <row r="717" customFormat="false" ht="15" hidden="false" customHeight="false" outlineLevel="0" collapsed="false">
      <c r="A717" s="44"/>
      <c r="B717" s="6"/>
      <c r="C717" s="6"/>
      <c r="D717" s="6"/>
      <c r="E717" s="8" t="str">
        <f aca="false">IF($D717="","",IFERROR(INDEX(INSUMOS!$B$6:$B$205,MATCH($D717,INSUMOS!$A$6:$A$205,0)),"¿Código?"))</f>
        <v/>
      </c>
      <c r="F717" s="8" t="str">
        <f aca="false">IF($D717="","",IFERROR(INDEX(INSUMOS!$E$6:$E$205,MATCH($D717,INSUMOS!$A$6:$A$205,0)),""))</f>
        <v/>
      </c>
      <c r="G717" s="39"/>
      <c r="H717" s="45" t="str">
        <f aca="false">IF($D717="","",IFERROR(INDEX(INSUMOS!$F$6:$F$205,MATCH($D717,INSUMOS!$A$6:$A$205,0)),0))</f>
        <v/>
      </c>
      <c r="I717" s="34" t="str">
        <f aca="false">IF($D717="","",N($G717)*$H717)</f>
        <v/>
      </c>
      <c r="J717" s="40"/>
      <c r="K717" s="36" t="str">
        <f aca="false">IF($D717="","",IFERROR(INDEX(INSUMOS!$H$6:$H$205,MATCH($D717,INSUMOS!$A$6:$A$205,0)),IVA_VENTAS))</f>
        <v/>
      </c>
      <c r="L717" s="35" t="str">
        <f aca="false">IF($D717="","",N($J717)*$K717)</f>
        <v/>
      </c>
      <c r="M717" s="35" t="str">
        <f aca="false">IF($D717="","",N($J717)+$L717)</f>
        <v/>
      </c>
      <c r="N717" s="43" t="str">
        <f aca="false">IF($D717="","",IFERROR(N($J717)/$I717,0))</f>
        <v/>
      </c>
      <c r="O717" s="6"/>
      <c r="P717" s="6"/>
      <c r="Q717" s="46" t="str">
        <f aca="false">IF($A717="","",DATE(YEAR($A717),MONTH($A717),1))</f>
        <v/>
      </c>
      <c r="R717" s="8" t="str">
        <f aca="false">IF(OR($A717="",$D717=""),"",IF(COUNTIFS($D$6:$D$1005,$D717,$A$6:$A$1005,"&gt;"&amp;$A717)=0,1,0))</f>
        <v/>
      </c>
    </row>
    <row r="718" customFormat="false" ht="15" hidden="false" customHeight="false" outlineLevel="0" collapsed="false">
      <c r="A718" s="44"/>
      <c r="B718" s="6"/>
      <c r="C718" s="6"/>
      <c r="D718" s="6"/>
      <c r="E718" s="8" t="str">
        <f aca="false">IF($D718="","",IFERROR(INDEX(INSUMOS!$B$6:$B$205,MATCH($D718,INSUMOS!$A$6:$A$205,0)),"¿Código?"))</f>
        <v/>
      </c>
      <c r="F718" s="8" t="str">
        <f aca="false">IF($D718="","",IFERROR(INDEX(INSUMOS!$E$6:$E$205,MATCH($D718,INSUMOS!$A$6:$A$205,0)),""))</f>
        <v/>
      </c>
      <c r="G718" s="39"/>
      <c r="H718" s="45" t="str">
        <f aca="false">IF($D718="","",IFERROR(INDEX(INSUMOS!$F$6:$F$205,MATCH($D718,INSUMOS!$A$6:$A$205,0)),0))</f>
        <v/>
      </c>
      <c r="I718" s="34" t="str">
        <f aca="false">IF($D718="","",N($G718)*$H718)</f>
        <v/>
      </c>
      <c r="J718" s="40"/>
      <c r="K718" s="36" t="str">
        <f aca="false">IF($D718="","",IFERROR(INDEX(INSUMOS!$H$6:$H$205,MATCH($D718,INSUMOS!$A$6:$A$205,0)),IVA_VENTAS))</f>
        <v/>
      </c>
      <c r="L718" s="35" t="str">
        <f aca="false">IF($D718="","",N($J718)*$K718)</f>
        <v/>
      </c>
      <c r="M718" s="35" t="str">
        <f aca="false">IF($D718="","",N($J718)+$L718)</f>
        <v/>
      </c>
      <c r="N718" s="43" t="str">
        <f aca="false">IF($D718="","",IFERROR(N($J718)/$I718,0))</f>
        <v/>
      </c>
      <c r="O718" s="6"/>
      <c r="P718" s="6"/>
      <c r="Q718" s="46" t="str">
        <f aca="false">IF($A718="","",DATE(YEAR($A718),MONTH($A718),1))</f>
        <v/>
      </c>
      <c r="R718" s="8" t="str">
        <f aca="false">IF(OR($A718="",$D718=""),"",IF(COUNTIFS($D$6:$D$1005,$D718,$A$6:$A$1005,"&gt;"&amp;$A718)=0,1,0))</f>
        <v/>
      </c>
    </row>
    <row r="719" customFormat="false" ht="15" hidden="false" customHeight="false" outlineLevel="0" collapsed="false">
      <c r="A719" s="44"/>
      <c r="B719" s="6"/>
      <c r="C719" s="6"/>
      <c r="D719" s="6"/>
      <c r="E719" s="8" t="str">
        <f aca="false">IF($D719="","",IFERROR(INDEX(INSUMOS!$B$6:$B$205,MATCH($D719,INSUMOS!$A$6:$A$205,0)),"¿Código?"))</f>
        <v/>
      </c>
      <c r="F719" s="8" t="str">
        <f aca="false">IF($D719="","",IFERROR(INDEX(INSUMOS!$E$6:$E$205,MATCH($D719,INSUMOS!$A$6:$A$205,0)),""))</f>
        <v/>
      </c>
      <c r="G719" s="39"/>
      <c r="H719" s="45" t="str">
        <f aca="false">IF($D719="","",IFERROR(INDEX(INSUMOS!$F$6:$F$205,MATCH($D719,INSUMOS!$A$6:$A$205,0)),0))</f>
        <v/>
      </c>
      <c r="I719" s="34" t="str">
        <f aca="false">IF($D719="","",N($G719)*$H719)</f>
        <v/>
      </c>
      <c r="J719" s="40"/>
      <c r="K719" s="36" t="str">
        <f aca="false">IF($D719="","",IFERROR(INDEX(INSUMOS!$H$6:$H$205,MATCH($D719,INSUMOS!$A$6:$A$205,0)),IVA_VENTAS))</f>
        <v/>
      </c>
      <c r="L719" s="35" t="str">
        <f aca="false">IF($D719="","",N($J719)*$K719)</f>
        <v/>
      </c>
      <c r="M719" s="35" t="str">
        <f aca="false">IF($D719="","",N($J719)+$L719)</f>
        <v/>
      </c>
      <c r="N719" s="43" t="str">
        <f aca="false">IF($D719="","",IFERROR(N($J719)/$I719,0))</f>
        <v/>
      </c>
      <c r="O719" s="6"/>
      <c r="P719" s="6"/>
      <c r="Q719" s="46" t="str">
        <f aca="false">IF($A719="","",DATE(YEAR($A719),MONTH($A719),1))</f>
        <v/>
      </c>
      <c r="R719" s="8" t="str">
        <f aca="false">IF(OR($A719="",$D719=""),"",IF(COUNTIFS($D$6:$D$1005,$D719,$A$6:$A$1005,"&gt;"&amp;$A719)=0,1,0))</f>
        <v/>
      </c>
    </row>
    <row r="720" customFormat="false" ht="15" hidden="false" customHeight="false" outlineLevel="0" collapsed="false">
      <c r="A720" s="44"/>
      <c r="B720" s="6"/>
      <c r="C720" s="6"/>
      <c r="D720" s="6"/>
      <c r="E720" s="8" t="str">
        <f aca="false">IF($D720="","",IFERROR(INDEX(INSUMOS!$B$6:$B$205,MATCH($D720,INSUMOS!$A$6:$A$205,0)),"¿Código?"))</f>
        <v/>
      </c>
      <c r="F720" s="8" t="str">
        <f aca="false">IF($D720="","",IFERROR(INDEX(INSUMOS!$E$6:$E$205,MATCH($D720,INSUMOS!$A$6:$A$205,0)),""))</f>
        <v/>
      </c>
      <c r="G720" s="39"/>
      <c r="H720" s="45" t="str">
        <f aca="false">IF($D720="","",IFERROR(INDEX(INSUMOS!$F$6:$F$205,MATCH($D720,INSUMOS!$A$6:$A$205,0)),0))</f>
        <v/>
      </c>
      <c r="I720" s="34" t="str">
        <f aca="false">IF($D720="","",N($G720)*$H720)</f>
        <v/>
      </c>
      <c r="J720" s="40"/>
      <c r="K720" s="36" t="str">
        <f aca="false">IF($D720="","",IFERROR(INDEX(INSUMOS!$H$6:$H$205,MATCH($D720,INSUMOS!$A$6:$A$205,0)),IVA_VENTAS))</f>
        <v/>
      </c>
      <c r="L720" s="35" t="str">
        <f aca="false">IF($D720="","",N($J720)*$K720)</f>
        <v/>
      </c>
      <c r="M720" s="35" t="str">
        <f aca="false">IF($D720="","",N($J720)+$L720)</f>
        <v/>
      </c>
      <c r="N720" s="43" t="str">
        <f aca="false">IF($D720="","",IFERROR(N($J720)/$I720,0))</f>
        <v/>
      </c>
      <c r="O720" s="6"/>
      <c r="P720" s="6"/>
      <c r="Q720" s="46" t="str">
        <f aca="false">IF($A720="","",DATE(YEAR($A720),MONTH($A720),1))</f>
        <v/>
      </c>
      <c r="R720" s="8" t="str">
        <f aca="false">IF(OR($A720="",$D720=""),"",IF(COUNTIFS($D$6:$D$1005,$D720,$A$6:$A$1005,"&gt;"&amp;$A720)=0,1,0))</f>
        <v/>
      </c>
    </row>
    <row r="721" customFormat="false" ht="15" hidden="false" customHeight="false" outlineLevel="0" collapsed="false">
      <c r="A721" s="44"/>
      <c r="B721" s="6"/>
      <c r="C721" s="6"/>
      <c r="D721" s="6"/>
      <c r="E721" s="8" t="str">
        <f aca="false">IF($D721="","",IFERROR(INDEX(INSUMOS!$B$6:$B$205,MATCH($D721,INSUMOS!$A$6:$A$205,0)),"¿Código?"))</f>
        <v/>
      </c>
      <c r="F721" s="8" t="str">
        <f aca="false">IF($D721="","",IFERROR(INDEX(INSUMOS!$E$6:$E$205,MATCH($D721,INSUMOS!$A$6:$A$205,0)),""))</f>
        <v/>
      </c>
      <c r="G721" s="39"/>
      <c r="H721" s="45" t="str">
        <f aca="false">IF($D721="","",IFERROR(INDEX(INSUMOS!$F$6:$F$205,MATCH($D721,INSUMOS!$A$6:$A$205,0)),0))</f>
        <v/>
      </c>
      <c r="I721" s="34" t="str">
        <f aca="false">IF($D721="","",N($G721)*$H721)</f>
        <v/>
      </c>
      <c r="J721" s="40"/>
      <c r="K721" s="36" t="str">
        <f aca="false">IF($D721="","",IFERROR(INDEX(INSUMOS!$H$6:$H$205,MATCH($D721,INSUMOS!$A$6:$A$205,0)),IVA_VENTAS))</f>
        <v/>
      </c>
      <c r="L721" s="35" t="str">
        <f aca="false">IF($D721="","",N($J721)*$K721)</f>
        <v/>
      </c>
      <c r="M721" s="35" t="str">
        <f aca="false">IF($D721="","",N($J721)+$L721)</f>
        <v/>
      </c>
      <c r="N721" s="43" t="str">
        <f aca="false">IF($D721="","",IFERROR(N($J721)/$I721,0))</f>
        <v/>
      </c>
      <c r="O721" s="6"/>
      <c r="P721" s="6"/>
      <c r="Q721" s="46" t="str">
        <f aca="false">IF($A721="","",DATE(YEAR($A721),MONTH($A721),1))</f>
        <v/>
      </c>
      <c r="R721" s="8" t="str">
        <f aca="false">IF(OR($A721="",$D721=""),"",IF(COUNTIFS($D$6:$D$1005,$D721,$A$6:$A$1005,"&gt;"&amp;$A721)=0,1,0))</f>
        <v/>
      </c>
    </row>
    <row r="722" customFormat="false" ht="15" hidden="false" customHeight="false" outlineLevel="0" collapsed="false">
      <c r="A722" s="44"/>
      <c r="B722" s="6"/>
      <c r="C722" s="6"/>
      <c r="D722" s="6"/>
      <c r="E722" s="8" t="str">
        <f aca="false">IF($D722="","",IFERROR(INDEX(INSUMOS!$B$6:$B$205,MATCH($D722,INSUMOS!$A$6:$A$205,0)),"¿Código?"))</f>
        <v/>
      </c>
      <c r="F722" s="8" t="str">
        <f aca="false">IF($D722="","",IFERROR(INDEX(INSUMOS!$E$6:$E$205,MATCH($D722,INSUMOS!$A$6:$A$205,0)),""))</f>
        <v/>
      </c>
      <c r="G722" s="39"/>
      <c r="H722" s="45" t="str">
        <f aca="false">IF($D722="","",IFERROR(INDEX(INSUMOS!$F$6:$F$205,MATCH($D722,INSUMOS!$A$6:$A$205,0)),0))</f>
        <v/>
      </c>
      <c r="I722" s="34" t="str">
        <f aca="false">IF($D722="","",N($G722)*$H722)</f>
        <v/>
      </c>
      <c r="J722" s="40"/>
      <c r="K722" s="36" t="str">
        <f aca="false">IF($D722="","",IFERROR(INDEX(INSUMOS!$H$6:$H$205,MATCH($D722,INSUMOS!$A$6:$A$205,0)),IVA_VENTAS))</f>
        <v/>
      </c>
      <c r="L722" s="35" t="str">
        <f aca="false">IF($D722="","",N($J722)*$K722)</f>
        <v/>
      </c>
      <c r="M722" s="35" t="str">
        <f aca="false">IF($D722="","",N($J722)+$L722)</f>
        <v/>
      </c>
      <c r="N722" s="43" t="str">
        <f aca="false">IF($D722="","",IFERROR(N($J722)/$I722,0))</f>
        <v/>
      </c>
      <c r="O722" s="6"/>
      <c r="P722" s="6"/>
      <c r="Q722" s="46" t="str">
        <f aca="false">IF($A722="","",DATE(YEAR($A722),MONTH($A722),1))</f>
        <v/>
      </c>
      <c r="R722" s="8" t="str">
        <f aca="false">IF(OR($A722="",$D722=""),"",IF(COUNTIFS($D$6:$D$1005,$D722,$A$6:$A$1005,"&gt;"&amp;$A722)=0,1,0))</f>
        <v/>
      </c>
    </row>
    <row r="723" customFormat="false" ht="15" hidden="false" customHeight="false" outlineLevel="0" collapsed="false">
      <c r="A723" s="44"/>
      <c r="B723" s="6"/>
      <c r="C723" s="6"/>
      <c r="D723" s="6"/>
      <c r="E723" s="8" t="str">
        <f aca="false">IF($D723="","",IFERROR(INDEX(INSUMOS!$B$6:$B$205,MATCH($D723,INSUMOS!$A$6:$A$205,0)),"¿Código?"))</f>
        <v/>
      </c>
      <c r="F723" s="8" t="str">
        <f aca="false">IF($D723="","",IFERROR(INDEX(INSUMOS!$E$6:$E$205,MATCH($D723,INSUMOS!$A$6:$A$205,0)),""))</f>
        <v/>
      </c>
      <c r="G723" s="39"/>
      <c r="H723" s="45" t="str">
        <f aca="false">IF($D723="","",IFERROR(INDEX(INSUMOS!$F$6:$F$205,MATCH($D723,INSUMOS!$A$6:$A$205,0)),0))</f>
        <v/>
      </c>
      <c r="I723" s="34" t="str">
        <f aca="false">IF($D723="","",N($G723)*$H723)</f>
        <v/>
      </c>
      <c r="J723" s="40"/>
      <c r="K723" s="36" t="str">
        <f aca="false">IF($D723="","",IFERROR(INDEX(INSUMOS!$H$6:$H$205,MATCH($D723,INSUMOS!$A$6:$A$205,0)),IVA_VENTAS))</f>
        <v/>
      </c>
      <c r="L723" s="35" t="str">
        <f aca="false">IF($D723="","",N($J723)*$K723)</f>
        <v/>
      </c>
      <c r="M723" s="35" t="str">
        <f aca="false">IF($D723="","",N($J723)+$L723)</f>
        <v/>
      </c>
      <c r="N723" s="43" t="str">
        <f aca="false">IF($D723="","",IFERROR(N($J723)/$I723,0))</f>
        <v/>
      </c>
      <c r="O723" s="6"/>
      <c r="P723" s="6"/>
      <c r="Q723" s="46" t="str">
        <f aca="false">IF($A723="","",DATE(YEAR($A723),MONTH($A723),1))</f>
        <v/>
      </c>
      <c r="R723" s="8" t="str">
        <f aca="false">IF(OR($A723="",$D723=""),"",IF(COUNTIFS($D$6:$D$1005,$D723,$A$6:$A$1005,"&gt;"&amp;$A723)=0,1,0))</f>
        <v/>
      </c>
    </row>
    <row r="724" customFormat="false" ht="15" hidden="false" customHeight="false" outlineLevel="0" collapsed="false">
      <c r="A724" s="44"/>
      <c r="B724" s="6"/>
      <c r="C724" s="6"/>
      <c r="D724" s="6"/>
      <c r="E724" s="8" t="str">
        <f aca="false">IF($D724="","",IFERROR(INDEX(INSUMOS!$B$6:$B$205,MATCH($D724,INSUMOS!$A$6:$A$205,0)),"¿Código?"))</f>
        <v/>
      </c>
      <c r="F724" s="8" t="str">
        <f aca="false">IF($D724="","",IFERROR(INDEX(INSUMOS!$E$6:$E$205,MATCH($D724,INSUMOS!$A$6:$A$205,0)),""))</f>
        <v/>
      </c>
      <c r="G724" s="39"/>
      <c r="H724" s="45" t="str">
        <f aca="false">IF($D724="","",IFERROR(INDEX(INSUMOS!$F$6:$F$205,MATCH($D724,INSUMOS!$A$6:$A$205,0)),0))</f>
        <v/>
      </c>
      <c r="I724" s="34" t="str">
        <f aca="false">IF($D724="","",N($G724)*$H724)</f>
        <v/>
      </c>
      <c r="J724" s="40"/>
      <c r="K724" s="36" t="str">
        <f aca="false">IF($D724="","",IFERROR(INDEX(INSUMOS!$H$6:$H$205,MATCH($D724,INSUMOS!$A$6:$A$205,0)),IVA_VENTAS))</f>
        <v/>
      </c>
      <c r="L724" s="35" t="str">
        <f aca="false">IF($D724="","",N($J724)*$K724)</f>
        <v/>
      </c>
      <c r="M724" s="35" t="str">
        <f aca="false">IF($D724="","",N($J724)+$L724)</f>
        <v/>
      </c>
      <c r="N724" s="43" t="str">
        <f aca="false">IF($D724="","",IFERROR(N($J724)/$I724,0))</f>
        <v/>
      </c>
      <c r="O724" s="6"/>
      <c r="P724" s="6"/>
      <c r="Q724" s="46" t="str">
        <f aca="false">IF($A724="","",DATE(YEAR($A724),MONTH($A724),1))</f>
        <v/>
      </c>
      <c r="R724" s="8" t="str">
        <f aca="false">IF(OR($A724="",$D724=""),"",IF(COUNTIFS($D$6:$D$1005,$D724,$A$6:$A$1005,"&gt;"&amp;$A724)=0,1,0))</f>
        <v/>
      </c>
    </row>
    <row r="725" customFormat="false" ht="15" hidden="false" customHeight="false" outlineLevel="0" collapsed="false">
      <c r="A725" s="44"/>
      <c r="B725" s="6"/>
      <c r="C725" s="6"/>
      <c r="D725" s="6"/>
      <c r="E725" s="8" t="str">
        <f aca="false">IF($D725="","",IFERROR(INDEX(INSUMOS!$B$6:$B$205,MATCH($D725,INSUMOS!$A$6:$A$205,0)),"¿Código?"))</f>
        <v/>
      </c>
      <c r="F725" s="8" t="str">
        <f aca="false">IF($D725="","",IFERROR(INDEX(INSUMOS!$E$6:$E$205,MATCH($D725,INSUMOS!$A$6:$A$205,0)),""))</f>
        <v/>
      </c>
      <c r="G725" s="39"/>
      <c r="H725" s="45" t="str">
        <f aca="false">IF($D725="","",IFERROR(INDEX(INSUMOS!$F$6:$F$205,MATCH($D725,INSUMOS!$A$6:$A$205,0)),0))</f>
        <v/>
      </c>
      <c r="I725" s="34" t="str">
        <f aca="false">IF($D725="","",N($G725)*$H725)</f>
        <v/>
      </c>
      <c r="J725" s="40"/>
      <c r="K725" s="36" t="str">
        <f aca="false">IF($D725="","",IFERROR(INDEX(INSUMOS!$H$6:$H$205,MATCH($D725,INSUMOS!$A$6:$A$205,0)),IVA_VENTAS))</f>
        <v/>
      </c>
      <c r="L725" s="35" t="str">
        <f aca="false">IF($D725="","",N($J725)*$K725)</f>
        <v/>
      </c>
      <c r="M725" s="35" t="str">
        <f aca="false">IF($D725="","",N($J725)+$L725)</f>
        <v/>
      </c>
      <c r="N725" s="43" t="str">
        <f aca="false">IF($D725="","",IFERROR(N($J725)/$I725,0))</f>
        <v/>
      </c>
      <c r="O725" s="6"/>
      <c r="P725" s="6"/>
      <c r="Q725" s="46" t="str">
        <f aca="false">IF($A725="","",DATE(YEAR($A725),MONTH($A725),1))</f>
        <v/>
      </c>
      <c r="R725" s="8" t="str">
        <f aca="false">IF(OR($A725="",$D725=""),"",IF(COUNTIFS($D$6:$D$1005,$D725,$A$6:$A$1005,"&gt;"&amp;$A725)=0,1,0))</f>
        <v/>
      </c>
    </row>
    <row r="726" customFormat="false" ht="15" hidden="false" customHeight="false" outlineLevel="0" collapsed="false">
      <c r="A726" s="44"/>
      <c r="B726" s="6"/>
      <c r="C726" s="6"/>
      <c r="D726" s="6"/>
      <c r="E726" s="8" t="str">
        <f aca="false">IF($D726="","",IFERROR(INDEX(INSUMOS!$B$6:$B$205,MATCH($D726,INSUMOS!$A$6:$A$205,0)),"¿Código?"))</f>
        <v/>
      </c>
      <c r="F726" s="8" t="str">
        <f aca="false">IF($D726="","",IFERROR(INDEX(INSUMOS!$E$6:$E$205,MATCH($D726,INSUMOS!$A$6:$A$205,0)),""))</f>
        <v/>
      </c>
      <c r="G726" s="39"/>
      <c r="H726" s="45" t="str">
        <f aca="false">IF($D726="","",IFERROR(INDEX(INSUMOS!$F$6:$F$205,MATCH($D726,INSUMOS!$A$6:$A$205,0)),0))</f>
        <v/>
      </c>
      <c r="I726" s="34" t="str">
        <f aca="false">IF($D726="","",N($G726)*$H726)</f>
        <v/>
      </c>
      <c r="J726" s="40"/>
      <c r="K726" s="36" t="str">
        <f aca="false">IF($D726="","",IFERROR(INDEX(INSUMOS!$H$6:$H$205,MATCH($D726,INSUMOS!$A$6:$A$205,0)),IVA_VENTAS))</f>
        <v/>
      </c>
      <c r="L726" s="35" t="str">
        <f aca="false">IF($D726="","",N($J726)*$K726)</f>
        <v/>
      </c>
      <c r="M726" s="35" t="str">
        <f aca="false">IF($D726="","",N($J726)+$L726)</f>
        <v/>
      </c>
      <c r="N726" s="43" t="str">
        <f aca="false">IF($D726="","",IFERROR(N($J726)/$I726,0))</f>
        <v/>
      </c>
      <c r="O726" s="6"/>
      <c r="P726" s="6"/>
      <c r="Q726" s="46" t="str">
        <f aca="false">IF($A726="","",DATE(YEAR($A726),MONTH($A726),1))</f>
        <v/>
      </c>
      <c r="R726" s="8" t="str">
        <f aca="false">IF(OR($A726="",$D726=""),"",IF(COUNTIFS($D$6:$D$1005,$D726,$A$6:$A$1005,"&gt;"&amp;$A726)=0,1,0))</f>
        <v/>
      </c>
    </row>
    <row r="727" customFormat="false" ht="15" hidden="false" customHeight="false" outlineLevel="0" collapsed="false">
      <c r="A727" s="44"/>
      <c r="B727" s="6"/>
      <c r="C727" s="6"/>
      <c r="D727" s="6"/>
      <c r="E727" s="8" t="str">
        <f aca="false">IF($D727="","",IFERROR(INDEX(INSUMOS!$B$6:$B$205,MATCH($D727,INSUMOS!$A$6:$A$205,0)),"¿Código?"))</f>
        <v/>
      </c>
      <c r="F727" s="8" t="str">
        <f aca="false">IF($D727="","",IFERROR(INDEX(INSUMOS!$E$6:$E$205,MATCH($D727,INSUMOS!$A$6:$A$205,0)),""))</f>
        <v/>
      </c>
      <c r="G727" s="39"/>
      <c r="H727" s="45" t="str">
        <f aca="false">IF($D727="","",IFERROR(INDEX(INSUMOS!$F$6:$F$205,MATCH($D727,INSUMOS!$A$6:$A$205,0)),0))</f>
        <v/>
      </c>
      <c r="I727" s="34" t="str">
        <f aca="false">IF($D727="","",N($G727)*$H727)</f>
        <v/>
      </c>
      <c r="J727" s="40"/>
      <c r="K727" s="36" t="str">
        <f aca="false">IF($D727="","",IFERROR(INDEX(INSUMOS!$H$6:$H$205,MATCH($D727,INSUMOS!$A$6:$A$205,0)),IVA_VENTAS))</f>
        <v/>
      </c>
      <c r="L727" s="35" t="str">
        <f aca="false">IF($D727="","",N($J727)*$K727)</f>
        <v/>
      </c>
      <c r="M727" s="35" t="str">
        <f aca="false">IF($D727="","",N($J727)+$L727)</f>
        <v/>
      </c>
      <c r="N727" s="43" t="str">
        <f aca="false">IF($D727="","",IFERROR(N($J727)/$I727,0))</f>
        <v/>
      </c>
      <c r="O727" s="6"/>
      <c r="P727" s="6"/>
      <c r="Q727" s="46" t="str">
        <f aca="false">IF($A727="","",DATE(YEAR($A727),MONTH($A727),1))</f>
        <v/>
      </c>
      <c r="R727" s="8" t="str">
        <f aca="false">IF(OR($A727="",$D727=""),"",IF(COUNTIFS($D$6:$D$1005,$D727,$A$6:$A$1005,"&gt;"&amp;$A727)=0,1,0))</f>
        <v/>
      </c>
    </row>
    <row r="728" customFormat="false" ht="15" hidden="false" customHeight="false" outlineLevel="0" collapsed="false">
      <c r="A728" s="44"/>
      <c r="B728" s="6"/>
      <c r="C728" s="6"/>
      <c r="D728" s="6"/>
      <c r="E728" s="8" t="str">
        <f aca="false">IF($D728="","",IFERROR(INDEX(INSUMOS!$B$6:$B$205,MATCH($D728,INSUMOS!$A$6:$A$205,0)),"¿Código?"))</f>
        <v/>
      </c>
      <c r="F728" s="8" t="str">
        <f aca="false">IF($D728="","",IFERROR(INDEX(INSUMOS!$E$6:$E$205,MATCH($D728,INSUMOS!$A$6:$A$205,0)),""))</f>
        <v/>
      </c>
      <c r="G728" s="39"/>
      <c r="H728" s="45" t="str">
        <f aca="false">IF($D728="","",IFERROR(INDEX(INSUMOS!$F$6:$F$205,MATCH($D728,INSUMOS!$A$6:$A$205,0)),0))</f>
        <v/>
      </c>
      <c r="I728" s="34" t="str">
        <f aca="false">IF($D728="","",N($G728)*$H728)</f>
        <v/>
      </c>
      <c r="J728" s="40"/>
      <c r="K728" s="36" t="str">
        <f aca="false">IF($D728="","",IFERROR(INDEX(INSUMOS!$H$6:$H$205,MATCH($D728,INSUMOS!$A$6:$A$205,0)),IVA_VENTAS))</f>
        <v/>
      </c>
      <c r="L728" s="35" t="str">
        <f aca="false">IF($D728="","",N($J728)*$K728)</f>
        <v/>
      </c>
      <c r="M728" s="35" t="str">
        <f aca="false">IF($D728="","",N($J728)+$L728)</f>
        <v/>
      </c>
      <c r="N728" s="43" t="str">
        <f aca="false">IF($D728="","",IFERROR(N($J728)/$I728,0))</f>
        <v/>
      </c>
      <c r="O728" s="6"/>
      <c r="P728" s="6"/>
      <c r="Q728" s="46" t="str">
        <f aca="false">IF($A728="","",DATE(YEAR($A728),MONTH($A728),1))</f>
        <v/>
      </c>
      <c r="R728" s="8" t="str">
        <f aca="false">IF(OR($A728="",$D728=""),"",IF(COUNTIFS($D$6:$D$1005,$D728,$A$6:$A$1005,"&gt;"&amp;$A728)=0,1,0))</f>
        <v/>
      </c>
    </row>
    <row r="729" customFormat="false" ht="15" hidden="false" customHeight="false" outlineLevel="0" collapsed="false">
      <c r="A729" s="44"/>
      <c r="B729" s="6"/>
      <c r="C729" s="6"/>
      <c r="D729" s="6"/>
      <c r="E729" s="8" t="str">
        <f aca="false">IF($D729="","",IFERROR(INDEX(INSUMOS!$B$6:$B$205,MATCH($D729,INSUMOS!$A$6:$A$205,0)),"¿Código?"))</f>
        <v/>
      </c>
      <c r="F729" s="8" t="str">
        <f aca="false">IF($D729="","",IFERROR(INDEX(INSUMOS!$E$6:$E$205,MATCH($D729,INSUMOS!$A$6:$A$205,0)),""))</f>
        <v/>
      </c>
      <c r="G729" s="39"/>
      <c r="H729" s="45" t="str">
        <f aca="false">IF($D729="","",IFERROR(INDEX(INSUMOS!$F$6:$F$205,MATCH($D729,INSUMOS!$A$6:$A$205,0)),0))</f>
        <v/>
      </c>
      <c r="I729" s="34" t="str">
        <f aca="false">IF($D729="","",N($G729)*$H729)</f>
        <v/>
      </c>
      <c r="J729" s="40"/>
      <c r="K729" s="36" t="str">
        <f aca="false">IF($D729="","",IFERROR(INDEX(INSUMOS!$H$6:$H$205,MATCH($D729,INSUMOS!$A$6:$A$205,0)),IVA_VENTAS))</f>
        <v/>
      </c>
      <c r="L729" s="35" t="str">
        <f aca="false">IF($D729="","",N($J729)*$K729)</f>
        <v/>
      </c>
      <c r="M729" s="35" t="str">
        <f aca="false">IF($D729="","",N($J729)+$L729)</f>
        <v/>
      </c>
      <c r="N729" s="43" t="str">
        <f aca="false">IF($D729="","",IFERROR(N($J729)/$I729,0))</f>
        <v/>
      </c>
      <c r="O729" s="6"/>
      <c r="P729" s="6"/>
      <c r="Q729" s="46" t="str">
        <f aca="false">IF($A729="","",DATE(YEAR($A729),MONTH($A729),1))</f>
        <v/>
      </c>
      <c r="R729" s="8" t="str">
        <f aca="false">IF(OR($A729="",$D729=""),"",IF(COUNTIFS($D$6:$D$1005,$D729,$A$6:$A$1005,"&gt;"&amp;$A729)=0,1,0))</f>
        <v/>
      </c>
    </row>
    <row r="730" customFormat="false" ht="15" hidden="false" customHeight="false" outlineLevel="0" collapsed="false">
      <c r="A730" s="44"/>
      <c r="B730" s="6"/>
      <c r="C730" s="6"/>
      <c r="D730" s="6"/>
      <c r="E730" s="8" t="str">
        <f aca="false">IF($D730="","",IFERROR(INDEX(INSUMOS!$B$6:$B$205,MATCH($D730,INSUMOS!$A$6:$A$205,0)),"¿Código?"))</f>
        <v/>
      </c>
      <c r="F730" s="8" t="str">
        <f aca="false">IF($D730="","",IFERROR(INDEX(INSUMOS!$E$6:$E$205,MATCH($D730,INSUMOS!$A$6:$A$205,0)),""))</f>
        <v/>
      </c>
      <c r="G730" s="39"/>
      <c r="H730" s="45" t="str">
        <f aca="false">IF($D730="","",IFERROR(INDEX(INSUMOS!$F$6:$F$205,MATCH($D730,INSUMOS!$A$6:$A$205,0)),0))</f>
        <v/>
      </c>
      <c r="I730" s="34" t="str">
        <f aca="false">IF($D730="","",N($G730)*$H730)</f>
        <v/>
      </c>
      <c r="J730" s="40"/>
      <c r="K730" s="36" t="str">
        <f aca="false">IF($D730="","",IFERROR(INDEX(INSUMOS!$H$6:$H$205,MATCH($D730,INSUMOS!$A$6:$A$205,0)),IVA_VENTAS))</f>
        <v/>
      </c>
      <c r="L730" s="35" t="str">
        <f aca="false">IF($D730="","",N($J730)*$K730)</f>
        <v/>
      </c>
      <c r="M730" s="35" t="str">
        <f aca="false">IF($D730="","",N($J730)+$L730)</f>
        <v/>
      </c>
      <c r="N730" s="43" t="str">
        <f aca="false">IF($D730="","",IFERROR(N($J730)/$I730,0))</f>
        <v/>
      </c>
      <c r="O730" s="6"/>
      <c r="P730" s="6"/>
      <c r="Q730" s="46" t="str">
        <f aca="false">IF($A730="","",DATE(YEAR($A730),MONTH($A730),1))</f>
        <v/>
      </c>
      <c r="R730" s="8" t="str">
        <f aca="false">IF(OR($A730="",$D730=""),"",IF(COUNTIFS($D$6:$D$1005,$D730,$A$6:$A$1005,"&gt;"&amp;$A730)=0,1,0))</f>
        <v/>
      </c>
    </row>
    <row r="731" customFormat="false" ht="15" hidden="false" customHeight="false" outlineLevel="0" collapsed="false">
      <c r="A731" s="44"/>
      <c r="B731" s="6"/>
      <c r="C731" s="6"/>
      <c r="D731" s="6"/>
      <c r="E731" s="8" t="str">
        <f aca="false">IF($D731="","",IFERROR(INDEX(INSUMOS!$B$6:$B$205,MATCH($D731,INSUMOS!$A$6:$A$205,0)),"¿Código?"))</f>
        <v/>
      </c>
      <c r="F731" s="8" t="str">
        <f aca="false">IF($D731="","",IFERROR(INDEX(INSUMOS!$E$6:$E$205,MATCH($D731,INSUMOS!$A$6:$A$205,0)),""))</f>
        <v/>
      </c>
      <c r="G731" s="39"/>
      <c r="H731" s="45" t="str">
        <f aca="false">IF($D731="","",IFERROR(INDEX(INSUMOS!$F$6:$F$205,MATCH($D731,INSUMOS!$A$6:$A$205,0)),0))</f>
        <v/>
      </c>
      <c r="I731" s="34" t="str">
        <f aca="false">IF($D731="","",N($G731)*$H731)</f>
        <v/>
      </c>
      <c r="J731" s="40"/>
      <c r="K731" s="36" t="str">
        <f aca="false">IF($D731="","",IFERROR(INDEX(INSUMOS!$H$6:$H$205,MATCH($D731,INSUMOS!$A$6:$A$205,0)),IVA_VENTAS))</f>
        <v/>
      </c>
      <c r="L731" s="35" t="str">
        <f aca="false">IF($D731="","",N($J731)*$K731)</f>
        <v/>
      </c>
      <c r="M731" s="35" t="str">
        <f aca="false">IF($D731="","",N($J731)+$L731)</f>
        <v/>
      </c>
      <c r="N731" s="43" t="str">
        <f aca="false">IF($D731="","",IFERROR(N($J731)/$I731,0))</f>
        <v/>
      </c>
      <c r="O731" s="6"/>
      <c r="P731" s="6"/>
      <c r="Q731" s="46" t="str">
        <f aca="false">IF($A731="","",DATE(YEAR($A731),MONTH($A731),1))</f>
        <v/>
      </c>
      <c r="R731" s="8" t="str">
        <f aca="false">IF(OR($A731="",$D731=""),"",IF(COUNTIFS($D$6:$D$1005,$D731,$A$6:$A$1005,"&gt;"&amp;$A731)=0,1,0))</f>
        <v/>
      </c>
    </row>
    <row r="732" customFormat="false" ht="15" hidden="false" customHeight="false" outlineLevel="0" collapsed="false">
      <c r="A732" s="44"/>
      <c r="B732" s="6"/>
      <c r="C732" s="6"/>
      <c r="D732" s="6"/>
      <c r="E732" s="8" t="str">
        <f aca="false">IF($D732="","",IFERROR(INDEX(INSUMOS!$B$6:$B$205,MATCH($D732,INSUMOS!$A$6:$A$205,0)),"¿Código?"))</f>
        <v/>
      </c>
      <c r="F732" s="8" t="str">
        <f aca="false">IF($D732="","",IFERROR(INDEX(INSUMOS!$E$6:$E$205,MATCH($D732,INSUMOS!$A$6:$A$205,0)),""))</f>
        <v/>
      </c>
      <c r="G732" s="39"/>
      <c r="H732" s="45" t="str">
        <f aca="false">IF($D732="","",IFERROR(INDEX(INSUMOS!$F$6:$F$205,MATCH($D732,INSUMOS!$A$6:$A$205,0)),0))</f>
        <v/>
      </c>
      <c r="I732" s="34" t="str">
        <f aca="false">IF($D732="","",N($G732)*$H732)</f>
        <v/>
      </c>
      <c r="J732" s="40"/>
      <c r="K732" s="36" t="str">
        <f aca="false">IF($D732="","",IFERROR(INDEX(INSUMOS!$H$6:$H$205,MATCH($D732,INSUMOS!$A$6:$A$205,0)),IVA_VENTAS))</f>
        <v/>
      </c>
      <c r="L732" s="35" t="str">
        <f aca="false">IF($D732="","",N($J732)*$K732)</f>
        <v/>
      </c>
      <c r="M732" s="35" t="str">
        <f aca="false">IF($D732="","",N($J732)+$L732)</f>
        <v/>
      </c>
      <c r="N732" s="43" t="str">
        <f aca="false">IF($D732="","",IFERROR(N($J732)/$I732,0))</f>
        <v/>
      </c>
      <c r="O732" s="6"/>
      <c r="P732" s="6"/>
      <c r="Q732" s="46" t="str">
        <f aca="false">IF($A732="","",DATE(YEAR($A732),MONTH($A732),1))</f>
        <v/>
      </c>
      <c r="R732" s="8" t="str">
        <f aca="false">IF(OR($A732="",$D732=""),"",IF(COUNTIFS($D$6:$D$1005,$D732,$A$6:$A$1005,"&gt;"&amp;$A732)=0,1,0))</f>
        <v/>
      </c>
    </row>
    <row r="733" customFormat="false" ht="15" hidden="false" customHeight="false" outlineLevel="0" collapsed="false">
      <c r="A733" s="44"/>
      <c r="B733" s="6"/>
      <c r="C733" s="6"/>
      <c r="D733" s="6"/>
      <c r="E733" s="8" t="str">
        <f aca="false">IF($D733="","",IFERROR(INDEX(INSUMOS!$B$6:$B$205,MATCH($D733,INSUMOS!$A$6:$A$205,0)),"¿Código?"))</f>
        <v/>
      </c>
      <c r="F733" s="8" t="str">
        <f aca="false">IF($D733="","",IFERROR(INDEX(INSUMOS!$E$6:$E$205,MATCH($D733,INSUMOS!$A$6:$A$205,0)),""))</f>
        <v/>
      </c>
      <c r="G733" s="39"/>
      <c r="H733" s="45" t="str">
        <f aca="false">IF($D733="","",IFERROR(INDEX(INSUMOS!$F$6:$F$205,MATCH($D733,INSUMOS!$A$6:$A$205,0)),0))</f>
        <v/>
      </c>
      <c r="I733" s="34" t="str">
        <f aca="false">IF($D733="","",N($G733)*$H733)</f>
        <v/>
      </c>
      <c r="J733" s="40"/>
      <c r="K733" s="36" t="str">
        <f aca="false">IF($D733="","",IFERROR(INDEX(INSUMOS!$H$6:$H$205,MATCH($D733,INSUMOS!$A$6:$A$205,0)),IVA_VENTAS))</f>
        <v/>
      </c>
      <c r="L733" s="35" t="str">
        <f aca="false">IF($D733="","",N($J733)*$K733)</f>
        <v/>
      </c>
      <c r="M733" s="35" t="str">
        <f aca="false">IF($D733="","",N($J733)+$L733)</f>
        <v/>
      </c>
      <c r="N733" s="43" t="str">
        <f aca="false">IF($D733="","",IFERROR(N($J733)/$I733,0))</f>
        <v/>
      </c>
      <c r="O733" s="6"/>
      <c r="P733" s="6"/>
      <c r="Q733" s="46" t="str">
        <f aca="false">IF($A733="","",DATE(YEAR($A733),MONTH($A733),1))</f>
        <v/>
      </c>
      <c r="R733" s="8" t="str">
        <f aca="false">IF(OR($A733="",$D733=""),"",IF(COUNTIFS($D$6:$D$1005,$D733,$A$6:$A$1005,"&gt;"&amp;$A733)=0,1,0))</f>
        <v/>
      </c>
    </row>
    <row r="734" customFormat="false" ht="15" hidden="false" customHeight="false" outlineLevel="0" collapsed="false">
      <c r="A734" s="44"/>
      <c r="B734" s="6"/>
      <c r="C734" s="6"/>
      <c r="D734" s="6"/>
      <c r="E734" s="8" t="str">
        <f aca="false">IF($D734="","",IFERROR(INDEX(INSUMOS!$B$6:$B$205,MATCH($D734,INSUMOS!$A$6:$A$205,0)),"¿Código?"))</f>
        <v/>
      </c>
      <c r="F734" s="8" t="str">
        <f aca="false">IF($D734="","",IFERROR(INDEX(INSUMOS!$E$6:$E$205,MATCH($D734,INSUMOS!$A$6:$A$205,0)),""))</f>
        <v/>
      </c>
      <c r="G734" s="39"/>
      <c r="H734" s="45" t="str">
        <f aca="false">IF($D734="","",IFERROR(INDEX(INSUMOS!$F$6:$F$205,MATCH($D734,INSUMOS!$A$6:$A$205,0)),0))</f>
        <v/>
      </c>
      <c r="I734" s="34" t="str">
        <f aca="false">IF($D734="","",N($G734)*$H734)</f>
        <v/>
      </c>
      <c r="J734" s="40"/>
      <c r="K734" s="36" t="str">
        <f aca="false">IF($D734="","",IFERROR(INDEX(INSUMOS!$H$6:$H$205,MATCH($D734,INSUMOS!$A$6:$A$205,0)),IVA_VENTAS))</f>
        <v/>
      </c>
      <c r="L734" s="35" t="str">
        <f aca="false">IF($D734="","",N($J734)*$K734)</f>
        <v/>
      </c>
      <c r="M734" s="35" t="str">
        <f aca="false">IF($D734="","",N($J734)+$L734)</f>
        <v/>
      </c>
      <c r="N734" s="43" t="str">
        <f aca="false">IF($D734="","",IFERROR(N($J734)/$I734,0))</f>
        <v/>
      </c>
      <c r="O734" s="6"/>
      <c r="P734" s="6"/>
      <c r="Q734" s="46" t="str">
        <f aca="false">IF($A734="","",DATE(YEAR($A734),MONTH($A734),1))</f>
        <v/>
      </c>
      <c r="R734" s="8" t="str">
        <f aca="false">IF(OR($A734="",$D734=""),"",IF(COUNTIFS($D$6:$D$1005,$D734,$A$6:$A$1005,"&gt;"&amp;$A734)=0,1,0))</f>
        <v/>
      </c>
    </row>
    <row r="735" customFormat="false" ht="15" hidden="false" customHeight="false" outlineLevel="0" collapsed="false">
      <c r="A735" s="44"/>
      <c r="B735" s="6"/>
      <c r="C735" s="6"/>
      <c r="D735" s="6"/>
      <c r="E735" s="8" t="str">
        <f aca="false">IF($D735="","",IFERROR(INDEX(INSUMOS!$B$6:$B$205,MATCH($D735,INSUMOS!$A$6:$A$205,0)),"¿Código?"))</f>
        <v/>
      </c>
      <c r="F735" s="8" t="str">
        <f aca="false">IF($D735="","",IFERROR(INDEX(INSUMOS!$E$6:$E$205,MATCH($D735,INSUMOS!$A$6:$A$205,0)),""))</f>
        <v/>
      </c>
      <c r="G735" s="39"/>
      <c r="H735" s="45" t="str">
        <f aca="false">IF($D735="","",IFERROR(INDEX(INSUMOS!$F$6:$F$205,MATCH($D735,INSUMOS!$A$6:$A$205,0)),0))</f>
        <v/>
      </c>
      <c r="I735" s="34" t="str">
        <f aca="false">IF($D735="","",N($G735)*$H735)</f>
        <v/>
      </c>
      <c r="J735" s="40"/>
      <c r="K735" s="36" t="str">
        <f aca="false">IF($D735="","",IFERROR(INDEX(INSUMOS!$H$6:$H$205,MATCH($D735,INSUMOS!$A$6:$A$205,0)),IVA_VENTAS))</f>
        <v/>
      </c>
      <c r="L735" s="35" t="str">
        <f aca="false">IF($D735="","",N($J735)*$K735)</f>
        <v/>
      </c>
      <c r="M735" s="35" t="str">
        <f aca="false">IF($D735="","",N($J735)+$L735)</f>
        <v/>
      </c>
      <c r="N735" s="43" t="str">
        <f aca="false">IF($D735="","",IFERROR(N($J735)/$I735,0))</f>
        <v/>
      </c>
      <c r="O735" s="6"/>
      <c r="P735" s="6"/>
      <c r="Q735" s="46" t="str">
        <f aca="false">IF($A735="","",DATE(YEAR($A735),MONTH($A735),1))</f>
        <v/>
      </c>
      <c r="R735" s="8" t="str">
        <f aca="false">IF(OR($A735="",$D735=""),"",IF(COUNTIFS($D$6:$D$1005,$D735,$A$6:$A$1005,"&gt;"&amp;$A735)=0,1,0))</f>
        <v/>
      </c>
    </row>
    <row r="736" customFormat="false" ht="15" hidden="false" customHeight="false" outlineLevel="0" collapsed="false">
      <c r="A736" s="44"/>
      <c r="B736" s="6"/>
      <c r="C736" s="6"/>
      <c r="D736" s="6"/>
      <c r="E736" s="8" t="str">
        <f aca="false">IF($D736="","",IFERROR(INDEX(INSUMOS!$B$6:$B$205,MATCH($D736,INSUMOS!$A$6:$A$205,0)),"¿Código?"))</f>
        <v/>
      </c>
      <c r="F736" s="8" t="str">
        <f aca="false">IF($D736="","",IFERROR(INDEX(INSUMOS!$E$6:$E$205,MATCH($D736,INSUMOS!$A$6:$A$205,0)),""))</f>
        <v/>
      </c>
      <c r="G736" s="39"/>
      <c r="H736" s="45" t="str">
        <f aca="false">IF($D736="","",IFERROR(INDEX(INSUMOS!$F$6:$F$205,MATCH($D736,INSUMOS!$A$6:$A$205,0)),0))</f>
        <v/>
      </c>
      <c r="I736" s="34" t="str">
        <f aca="false">IF($D736="","",N($G736)*$H736)</f>
        <v/>
      </c>
      <c r="J736" s="40"/>
      <c r="K736" s="36" t="str">
        <f aca="false">IF($D736="","",IFERROR(INDEX(INSUMOS!$H$6:$H$205,MATCH($D736,INSUMOS!$A$6:$A$205,0)),IVA_VENTAS))</f>
        <v/>
      </c>
      <c r="L736" s="35" t="str">
        <f aca="false">IF($D736="","",N($J736)*$K736)</f>
        <v/>
      </c>
      <c r="M736" s="35" t="str">
        <f aca="false">IF($D736="","",N($J736)+$L736)</f>
        <v/>
      </c>
      <c r="N736" s="43" t="str">
        <f aca="false">IF($D736="","",IFERROR(N($J736)/$I736,0))</f>
        <v/>
      </c>
      <c r="O736" s="6"/>
      <c r="P736" s="6"/>
      <c r="Q736" s="46" t="str">
        <f aca="false">IF($A736="","",DATE(YEAR($A736),MONTH($A736),1))</f>
        <v/>
      </c>
      <c r="R736" s="8" t="str">
        <f aca="false">IF(OR($A736="",$D736=""),"",IF(COUNTIFS($D$6:$D$1005,$D736,$A$6:$A$1005,"&gt;"&amp;$A736)=0,1,0))</f>
        <v/>
      </c>
    </row>
    <row r="737" customFormat="false" ht="15" hidden="false" customHeight="false" outlineLevel="0" collapsed="false">
      <c r="A737" s="44"/>
      <c r="B737" s="6"/>
      <c r="C737" s="6"/>
      <c r="D737" s="6"/>
      <c r="E737" s="8" t="str">
        <f aca="false">IF($D737="","",IFERROR(INDEX(INSUMOS!$B$6:$B$205,MATCH($D737,INSUMOS!$A$6:$A$205,0)),"¿Código?"))</f>
        <v/>
      </c>
      <c r="F737" s="8" t="str">
        <f aca="false">IF($D737="","",IFERROR(INDEX(INSUMOS!$E$6:$E$205,MATCH($D737,INSUMOS!$A$6:$A$205,0)),""))</f>
        <v/>
      </c>
      <c r="G737" s="39"/>
      <c r="H737" s="45" t="str">
        <f aca="false">IF($D737="","",IFERROR(INDEX(INSUMOS!$F$6:$F$205,MATCH($D737,INSUMOS!$A$6:$A$205,0)),0))</f>
        <v/>
      </c>
      <c r="I737" s="34" t="str">
        <f aca="false">IF($D737="","",N($G737)*$H737)</f>
        <v/>
      </c>
      <c r="J737" s="40"/>
      <c r="K737" s="36" t="str">
        <f aca="false">IF($D737="","",IFERROR(INDEX(INSUMOS!$H$6:$H$205,MATCH($D737,INSUMOS!$A$6:$A$205,0)),IVA_VENTAS))</f>
        <v/>
      </c>
      <c r="L737" s="35" t="str">
        <f aca="false">IF($D737="","",N($J737)*$K737)</f>
        <v/>
      </c>
      <c r="M737" s="35" t="str">
        <f aca="false">IF($D737="","",N($J737)+$L737)</f>
        <v/>
      </c>
      <c r="N737" s="43" t="str">
        <f aca="false">IF($D737="","",IFERROR(N($J737)/$I737,0))</f>
        <v/>
      </c>
      <c r="O737" s="6"/>
      <c r="P737" s="6"/>
      <c r="Q737" s="46" t="str">
        <f aca="false">IF($A737="","",DATE(YEAR($A737),MONTH($A737),1))</f>
        <v/>
      </c>
      <c r="R737" s="8" t="str">
        <f aca="false">IF(OR($A737="",$D737=""),"",IF(COUNTIFS($D$6:$D$1005,$D737,$A$6:$A$1005,"&gt;"&amp;$A737)=0,1,0))</f>
        <v/>
      </c>
    </row>
    <row r="738" customFormat="false" ht="15" hidden="false" customHeight="false" outlineLevel="0" collapsed="false">
      <c r="A738" s="44"/>
      <c r="B738" s="6"/>
      <c r="C738" s="6"/>
      <c r="D738" s="6"/>
      <c r="E738" s="8" t="str">
        <f aca="false">IF($D738="","",IFERROR(INDEX(INSUMOS!$B$6:$B$205,MATCH($D738,INSUMOS!$A$6:$A$205,0)),"¿Código?"))</f>
        <v/>
      </c>
      <c r="F738" s="8" t="str">
        <f aca="false">IF($D738="","",IFERROR(INDEX(INSUMOS!$E$6:$E$205,MATCH($D738,INSUMOS!$A$6:$A$205,0)),""))</f>
        <v/>
      </c>
      <c r="G738" s="39"/>
      <c r="H738" s="45" t="str">
        <f aca="false">IF($D738="","",IFERROR(INDEX(INSUMOS!$F$6:$F$205,MATCH($D738,INSUMOS!$A$6:$A$205,0)),0))</f>
        <v/>
      </c>
      <c r="I738" s="34" t="str">
        <f aca="false">IF($D738="","",N($G738)*$H738)</f>
        <v/>
      </c>
      <c r="J738" s="40"/>
      <c r="K738" s="36" t="str">
        <f aca="false">IF($D738="","",IFERROR(INDEX(INSUMOS!$H$6:$H$205,MATCH($D738,INSUMOS!$A$6:$A$205,0)),IVA_VENTAS))</f>
        <v/>
      </c>
      <c r="L738" s="35" t="str">
        <f aca="false">IF($D738="","",N($J738)*$K738)</f>
        <v/>
      </c>
      <c r="M738" s="35" t="str">
        <f aca="false">IF($D738="","",N($J738)+$L738)</f>
        <v/>
      </c>
      <c r="N738" s="43" t="str">
        <f aca="false">IF($D738="","",IFERROR(N($J738)/$I738,0))</f>
        <v/>
      </c>
      <c r="O738" s="6"/>
      <c r="P738" s="6"/>
      <c r="Q738" s="46" t="str">
        <f aca="false">IF($A738="","",DATE(YEAR($A738),MONTH($A738),1))</f>
        <v/>
      </c>
      <c r="R738" s="8" t="str">
        <f aca="false">IF(OR($A738="",$D738=""),"",IF(COUNTIFS($D$6:$D$1005,$D738,$A$6:$A$1005,"&gt;"&amp;$A738)=0,1,0))</f>
        <v/>
      </c>
    </row>
    <row r="739" customFormat="false" ht="15" hidden="false" customHeight="false" outlineLevel="0" collapsed="false">
      <c r="A739" s="44"/>
      <c r="B739" s="6"/>
      <c r="C739" s="6"/>
      <c r="D739" s="6"/>
      <c r="E739" s="8" t="str">
        <f aca="false">IF($D739="","",IFERROR(INDEX(INSUMOS!$B$6:$B$205,MATCH($D739,INSUMOS!$A$6:$A$205,0)),"¿Código?"))</f>
        <v/>
      </c>
      <c r="F739" s="8" t="str">
        <f aca="false">IF($D739="","",IFERROR(INDEX(INSUMOS!$E$6:$E$205,MATCH($D739,INSUMOS!$A$6:$A$205,0)),""))</f>
        <v/>
      </c>
      <c r="G739" s="39"/>
      <c r="H739" s="45" t="str">
        <f aca="false">IF($D739="","",IFERROR(INDEX(INSUMOS!$F$6:$F$205,MATCH($D739,INSUMOS!$A$6:$A$205,0)),0))</f>
        <v/>
      </c>
      <c r="I739" s="34" t="str">
        <f aca="false">IF($D739="","",N($G739)*$H739)</f>
        <v/>
      </c>
      <c r="J739" s="40"/>
      <c r="K739" s="36" t="str">
        <f aca="false">IF($D739="","",IFERROR(INDEX(INSUMOS!$H$6:$H$205,MATCH($D739,INSUMOS!$A$6:$A$205,0)),IVA_VENTAS))</f>
        <v/>
      </c>
      <c r="L739" s="35" t="str">
        <f aca="false">IF($D739="","",N($J739)*$K739)</f>
        <v/>
      </c>
      <c r="M739" s="35" t="str">
        <f aca="false">IF($D739="","",N($J739)+$L739)</f>
        <v/>
      </c>
      <c r="N739" s="43" t="str">
        <f aca="false">IF($D739="","",IFERROR(N($J739)/$I739,0))</f>
        <v/>
      </c>
      <c r="O739" s="6"/>
      <c r="P739" s="6"/>
      <c r="Q739" s="46" t="str">
        <f aca="false">IF($A739="","",DATE(YEAR($A739),MONTH($A739),1))</f>
        <v/>
      </c>
      <c r="R739" s="8" t="str">
        <f aca="false">IF(OR($A739="",$D739=""),"",IF(COUNTIFS($D$6:$D$1005,$D739,$A$6:$A$1005,"&gt;"&amp;$A739)=0,1,0))</f>
        <v/>
      </c>
    </row>
    <row r="740" customFormat="false" ht="15" hidden="false" customHeight="false" outlineLevel="0" collapsed="false">
      <c r="A740" s="44"/>
      <c r="B740" s="6"/>
      <c r="C740" s="6"/>
      <c r="D740" s="6"/>
      <c r="E740" s="8" t="str">
        <f aca="false">IF($D740="","",IFERROR(INDEX(INSUMOS!$B$6:$B$205,MATCH($D740,INSUMOS!$A$6:$A$205,0)),"¿Código?"))</f>
        <v/>
      </c>
      <c r="F740" s="8" t="str">
        <f aca="false">IF($D740="","",IFERROR(INDEX(INSUMOS!$E$6:$E$205,MATCH($D740,INSUMOS!$A$6:$A$205,0)),""))</f>
        <v/>
      </c>
      <c r="G740" s="39"/>
      <c r="H740" s="45" t="str">
        <f aca="false">IF($D740="","",IFERROR(INDEX(INSUMOS!$F$6:$F$205,MATCH($D740,INSUMOS!$A$6:$A$205,0)),0))</f>
        <v/>
      </c>
      <c r="I740" s="34" t="str">
        <f aca="false">IF($D740="","",N($G740)*$H740)</f>
        <v/>
      </c>
      <c r="J740" s="40"/>
      <c r="K740" s="36" t="str">
        <f aca="false">IF($D740="","",IFERROR(INDEX(INSUMOS!$H$6:$H$205,MATCH($D740,INSUMOS!$A$6:$A$205,0)),IVA_VENTAS))</f>
        <v/>
      </c>
      <c r="L740" s="35" t="str">
        <f aca="false">IF($D740="","",N($J740)*$K740)</f>
        <v/>
      </c>
      <c r="M740" s="35" t="str">
        <f aca="false">IF($D740="","",N($J740)+$L740)</f>
        <v/>
      </c>
      <c r="N740" s="43" t="str">
        <f aca="false">IF($D740="","",IFERROR(N($J740)/$I740,0))</f>
        <v/>
      </c>
      <c r="O740" s="6"/>
      <c r="P740" s="6"/>
      <c r="Q740" s="46" t="str">
        <f aca="false">IF($A740="","",DATE(YEAR($A740),MONTH($A740),1))</f>
        <v/>
      </c>
      <c r="R740" s="8" t="str">
        <f aca="false">IF(OR($A740="",$D740=""),"",IF(COUNTIFS($D$6:$D$1005,$D740,$A$6:$A$1005,"&gt;"&amp;$A740)=0,1,0))</f>
        <v/>
      </c>
    </row>
    <row r="741" customFormat="false" ht="15" hidden="false" customHeight="false" outlineLevel="0" collapsed="false">
      <c r="A741" s="44"/>
      <c r="B741" s="6"/>
      <c r="C741" s="6"/>
      <c r="D741" s="6"/>
      <c r="E741" s="8" t="str">
        <f aca="false">IF($D741="","",IFERROR(INDEX(INSUMOS!$B$6:$B$205,MATCH($D741,INSUMOS!$A$6:$A$205,0)),"¿Código?"))</f>
        <v/>
      </c>
      <c r="F741" s="8" t="str">
        <f aca="false">IF($D741="","",IFERROR(INDEX(INSUMOS!$E$6:$E$205,MATCH($D741,INSUMOS!$A$6:$A$205,0)),""))</f>
        <v/>
      </c>
      <c r="G741" s="39"/>
      <c r="H741" s="45" t="str">
        <f aca="false">IF($D741="","",IFERROR(INDEX(INSUMOS!$F$6:$F$205,MATCH($D741,INSUMOS!$A$6:$A$205,0)),0))</f>
        <v/>
      </c>
      <c r="I741" s="34" t="str">
        <f aca="false">IF($D741="","",N($G741)*$H741)</f>
        <v/>
      </c>
      <c r="J741" s="40"/>
      <c r="K741" s="36" t="str">
        <f aca="false">IF($D741="","",IFERROR(INDEX(INSUMOS!$H$6:$H$205,MATCH($D741,INSUMOS!$A$6:$A$205,0)),IVA_VENTAS))</f>
        <v/>
      </c>
      <c r="L741" s="35" t="str">
        <f aca="false">IF($D741="","",N($J741)*$K741)</f>
        <v/>
      </c>
      <c r="M741" s="35" t="str">
        <f aca="false">IF($D741="","",N($J741)+$L741)</f>
        <v/>
      </c>
      <c r="N741" s="43" t="str">
        <f aca="false">IF($D741="","",IFERROR(N($J741)/$I741,0))</f>
        <v/>
      </c>
      <c r="O741" s="6"/>
      <c r="P741" s="6"/>
      <c r="Q741" s="46" t="str">
        <f aca="false">IF($A741="","",DATE(YEAR($A741),MONTH($A741),1))</f>
        <v/>
      </c>
      <c r="R741" s="8" t="str">
        <f aca="false">IF(OR($A741="",$D741=""),"",IF(COUNTIFS($D$6:$D$1005,$D741,$A$6:$A$1005,"&gt;"&amp;$A741)=0,1,0))</f>
        <v/>
      </c>
    </row>
    <row r="742" customFormat="false" ht="15" hidden="false" customHeight="false" outlineLevel="0" collapsed="false">
      <c r="A742" s="44"/>
      <c r="B742" s="6"/>
      <c r="C742" s="6"/>
      <c r="D742" s="6"/>
      <c r="E742" s="8" t="str">
        <f aca="false">IF($D742="","",IFERROR(INDEX(INSUMOS!$B$6:$B$205,MATCH($D742,INSUMOS!$A$6:$A$205,0)),"¿Código?"))</f>
        <v/>
      </c>
      <c r="F742" s="8" t="str">
        <f aca="false">IF($D742="","",IFERROR(INDEX(INSUMOS!$E$6:$E$205,MATCH($D742,INSUMOS!$A$6:$A$205,0)),""))</f>
        <v/>
      </c>
      <c r="G742" s="39"/>
      <c r="H742" s="45" t="str">
        <f aca="false">IF($D742="","",IFERROR(INDEX(INSUMOS!$F$6:$F$205,MATCH($D742,INSUMOS!$A$6:$A$205,0)),0))</f>
        <v/>
      </c>
      <c r="I742" s="34" t="str">
        <f aca="false">IF($D742="","",N($G742)*$H742)</f>
        <v/>
      </c>
      <c r="J742" s="40"/>
      <c r="K742" s="36" t="str">
        <f aca="false">IF($D742="","",IFERROR(INDEX(INSUMOS!$H$6:$H$205,MATCH($D742,INSUMOS!$A$6:$A$205,0)),IVA_VENTAS))</f>
        <v/>
      </c>
      <c r="L742" s="35" t="str">
        <f aca="false">IF($D742="","",N($J742)*$K742)</f>
        <v/>
      </c>
      <c r="M742" s="35" t="str">
        <f aca="false">IF($D742="","",N($J742)+$L742)</f>
        <v/>
      </c>
      <c r="N742" s="43" t="str">
        <f aca="false">IF($D742="","",IFERROR(N($J742)/$I742,0))</f>
        <v/>
      </c>
      <c r="O742" s="6"/>
      <c r="P742" s="6"/>
      <c r="Q742" s="46" t="str">
        <f aca="false">IF($A742="","",DATE(YEAR($A742),MONTH($A742),1))</f>
        <v/>
      </c>
      <c r="R742" s="8" t="str">
        <f aca="false">IF(OR($A742="",$D742=""),"",IF(COUNTIFS($D$6:$D$1005,$D742,$A$6:$A$1005,"&gt;"&amp;$A742)=0,1,0))</f>
        <v/>
      </c>
    </row>
    <row r="743" customFormat="false" ht="15" hidden="false" customHeight="false" outlineLevel="0" collapsed="false">
      <c r="A743" s="44"/>
      <c r="B743" s="6"/>
      <c r="C743" s="6"/>
      <c r="D743" s="6"/>
      <c r="E743" s="8" t="str">
        <f aca="false">IF($D743="","",IFERROR(INDEX(INSUMOS!$B$6:$B$205,MATCH($D743,INSUMOS!$A$6:$A$205,0)),"¿Código?"))</f>
        <v/>
      </c>
      <c r="F743" s="8" t="str">
        <f aca="false">IF($D743="","",IFERROR(INDEX(INSUMOS!$E$6:$E$205,MATCH($D743,INSUMOS!$A$6:$A$205,0)),""))</f>
        <v/>
      </c>
      <c r="G743" s="39"/>
      <c r="H743" s="45" t="str">
        <f aca="false">IF($D743="","",IFERROR(INDEX(INSUMOS!$F$6:$F$205,MATCH($D743,INSUMOS!$A$6:$A$205,0)),0))</f>
        <v/>
      </c>
      <c r="I743" s="34" t="str">
        <f aca="false">IF($D743="","",N($G743)*$H743)</f>
        <v/>
      </c>
      <c r="J743" s="40"/>
      <c r="K743" s="36" t="str">
        <f aca="false">IF($D743="","",IFERROR(INDEX(INSUMOS!$H$6:$H$205,MATCH($D743,INSUMOS!$A$6:$A$205,0)),IVA_VENTAS))</f>
        <v/>
      </c>
      <c r="L743" s="35" t="str">
        <f aca="false">IF($D743="","",N($J743)*$K743)</f>
        <v/>
      </c>
      <c r="M743" s="35" t="str">
        <f aca="false">IF($D743="","",N($J743)+$L743)</f>
        <v/>
      </c>
      <c r="N743" s="43" t="str">
        <f aca="false">IF($D743="","",IFERROR(N($J743)/$I743,0))</f>
        <v/>
      </c>
      <c r="O743" s="6"/>
      <c r="P743" s="6"/>
      <c r="Q743" s="46" t="str">
        <f aca="false">IF($A743="","",DATE(YEAR($A743),MONTH($A743),1))</f>
        <v/>
      </c>
      <c r="R743" s="8" t="str">
        <f aca="false">IF(OR($A743="",$D743=""),"",IF(COUNTIFS($D$6:$D$1005,$D743,$A$6:$A$1005,"&gt;"&amp;$A743)=0,1,0))</f>
        <v/>
      </c>
    </row>
    <row r="744" customFormat="false" ht="15" hidden="false" customHeight="false" outlineLevel="0" collapsed="false">
      <c r="A744" s="44"/>
      <c r="B744" s="6"/>
      <c r="C744" s="6"/>
      <c r="D744" s="6"/>
      <c r="E744" s="8" t="str">
        <f aca="false">IF($D744="","",IFERROR(INDEX(INSUMOS!$B$6:$B$205,MATCH($D744,INSUMOS!$A$6:$A$205,0)),"¿Código?"))</f>
        <v/>
      </c>
      <c r="F744" s="8" t="str">
        <f aca="false">IF($D744="","",IFERROR(INDEX(INSUMOS!$E$6:$E$205,MATCH($D744,INSUMOS!$A$6:$A$205,0)),""))</f>
        <v/>
      </c>
      <c r="G744" s="39"/>
      <c r="H744" s="45" t="str">
        <f aca="false">IF($D744="","",IFERROR(INDEX(INSUMOS!$F$6:$F$205,MATCH($D744,INSUMOS!$A$6:$A$205,0)),0))</f>
        <v/>
      </c>
      <c r="I744" s="34" t="str">
        <f aca="false">IF($D744="","",N($G744)*$H744)</f>
        <v/>
      </c>
      <c r="J744" s="40"/>
      <c r="K744" s="36" t="str">
        <f aca="false">IF($D744="","",IFERROR(INDEX(INSUMOS!$H$6:$H$205,MATCH($D744,INSUMOS!$A$6:$A$205,0)),IVA_VENTAS))</f>
        <v/>
      </c>
      <c r="L744" s="35" t="str">
        <f aca="false">IF($D744="","",N($J744)*$K744)</f>
        <v/>
      </c>
      <c r="M744" s="35" t="str">
        <f aca="false">IF($D744="","",N($J744)+$L744)</f>
        <v/>
      </c>
      <c r="N744" s="43" t="str">
        <f aca="false">IF($D744="","",IFERROR(N($J744)/$I744,0))</f>
        <v/>
      </c>
      <c r="O744" s="6"/>
      <c r="P744" s="6"/>
      <c r="Q744" s="46" t="str">
        <f aca="false">IF($A744="","",DATE(YEAR($A744),MONTH($A744),1))</f>
        <v/>
      </c>
      <c r="R744" s="8" t="str">
        <f aca="false">IF(OR($A744="",$D744=""),"",IF(COUNTIFS($D$6:$D$1005,$D744,$A$6:$A$1005,"&gt;"&amp;$A744)=0,1,0))</f>
        <v/>
      </c>
    </row>
    <row r="745" customFormat="false" ht="15" hidden="false" customHeight="false" outlineLevel="0" collapsed="false">
      <c r="A745" s="44"/>
      <c r="B745" s="6"/>
      <c r="C745" s="6"/>
      <c r="D745" s="6"/>
      <c r="E745" s="8" t="str">
        <f aca="false">IF($D745="","",IFERROR(INDEX(INSUMOS!$B$6:$B$205,MATCH($D745,INSUMOS!$A$6:$A$205,0)),"¿Código?"))</f>
        <v/>
      </c>
      <c r="F745" s="8" t="str">
        <f aca="false">IF($D745="","",IFERROR(INDEX(INSUMOS!$E$6:$E$205,MATCH($D745,INSUMOS!$A$6:$A$205,0)),""))</f>
        <v/>
      </c>
      <c r="G745" s="39"/>
      <c r="H745" s="45" t="str">
        <f aca="false">IF($D745="","",IFERROR(INDEX(INSUMOS!$F$6:$F$205,MATCH($D745,INSUMOS!$A$6:$A$205,0)),0))</f>
        <v/>
      </c>
      <c r="I745" s="34" t="str">
        <f aca="false">IF($D745="","",N($G745)*$H745)</f>
        <v/>
      </c>
      <c r="J745" s="40"/>
      <c r="K745" s="36" t="str">
        <f aca="false">IF($D745="","",IFERROR(INDEX(INSUMOS!$H$6:$H$205,MATCH($D745,INSUMOS!$A$6:$A$205,0)),IVA_VENTAS))</f>
        <v/>
      </c>
      <c r="L745" s="35" t="str">
        <f aca="false">IF($D745="","",N($J745)*$K745)</f>
        <v/>
      </c>
      <c r="M745" s="35" t="str">
        <f aca="false">IF($D745="","",N($J745)+$L745)</f>
        <v/>
      </c>
      <c r="N745" s="43" t="str">
        <f aca="false">IF($D745="","",IFERROR(N($J745)/$I745,0))</f>
        <v/>
      </c>
      <c r="O745" s="6"/>
      <c r="P745" s="6"/>
      <c r="Q745" s="46" t="str">
        <f aca="false">IF($A745="","",DATE(YEAR($A745),MONTH($A745),1))</f>
        <v/>
      </c>
      <c r="R745" s="8" t="str">
        <f aca="false">IF(OR($A745="",$D745=""),"",IF(COUNTIFS($D$6:$D$1005,$D745,$A$6:$A$1005,"&gt;"&amp;$A745)=0,1,0))</f>
        <v/>
      </c>
    </row>
    <row r="746" customFormat="false" ht="15" hidden="false" customHeight="false" outlineLevel="0" collapsed="false">
      <c r="A746" s="44"/>
      <c r="B746" s="6"/>
      <c r="C746" s="6"/>
      <c r="D746" s="6"/>
      <c r="E746" s="8" t="str">
        <f aca="false">IF($D746="","",IFERROR(INDEX(INSUMOS!$B$6:$B$205,MATCH($D746,INSUMOS!$A$6:$A$205,0)),"¿Código?"))</f>
        <v/>
      </c>
      <c r="F746" s="8" t="str">
        <f aca="false">IF($D746="","",IFERROR(INDEX(INSUMOS!$E$6:$E$205,MATCH($D746,INSUMOS!$A$6:$A$205,0)),""))</f>
        <v/>
      </c>
      <c r="G746" s="39"/>
      <c r="H746" s="45" t="str">
        <f aca="false">IF($D746="","",IFERROR(INDEX(INSUMOS!$F$6:$F$205,MATCH($D746,INSUMOS!$A$6:$A$205,0)),0))</f>
        <v/>
      </c>
      <c r="I746" s="34" t="str">
        <f aca="false">IF($D746="","",N($G746)*$H746)</f>
        <v/>
      </c>
      <c r="J746" s="40"/>
      <c r="K746" s="36" t="str">
        <f aca="false">IF($D746="","",IFERROR(INDEX(INSUMOS!$H$6:$H$205,MATCH($D746,INSUMOS!$A$6:$A$205,0)),IVA_VENTAS))</f>
        <v/>
      </c>
      <c r="L746" s="35" t="str">
        <f aca="false">IF($D746="","",N($J746)*$K746)</f>
        <v/>
      </c>
      <c r="M746" s="35" t="str">
        <f aca="false">IF($D746="","",N($J746)+$L746)</f>
        <v/>
      </c>
      <c r="N746" s="43" t="str">
        <f aca="false">IF($D746="","",IFERROR(N($J746)/$I746,0))</f>
        <v/>
      </c>
      <c r="O746" s="6"/>
      <c r="P746" s="6"/>
      <c r="Q746" s="46" t="str">
        <f aca="false">IF($A746="","",DATE(YEAR($A746),MONTH($A746),1))</f>
        <v/>
      </c>
      <c r="R746" s="8" t="str">
        <f aca="false">IF(OR($A746="",$D746=""),"",IF(COUNTIFS($D$6:$D$1005,$D746,$A$6:$A$1005,"&gt;"&amp;$A746)=0,1,0))</f>
        <v/>
      </c>
    </row>
    <row r="747" customFormat="false" ht="15" hidden="false" customHeight="false" outlineLevel="0" collapsed="false">
      <c r="A747" s="44"/>
      <c r="B747" s="6"/>
      <c r="C747" s="6"/>
      <c r="D747" s="6"/>
      <c r="E747" s="8" t="str">
        <f aca="false">IF($D747="","",IFERROR(INDEX(INSUMOS!$B$6:$B$205,MATCH($D747,INSUMOS!$A$6:$A$205,0)),"¿Código?"))</f>
        <v/>
      </c>
      <c r="F747" s="8" t="str">
        <f aca="false">IF($D747="","",IFERROR(INDEX(INSUMOS!$E$6:$E$205,MATCH($D747,INSUMOS!$A$6:$A$205,0)),""))</f>
        <v/>
      </c>
      <c r="G747" s="39"/>
      <c r="H747" s="45" t="str">
        <f aca="false">IF($D747="","",IFERROR(INDEX(INSUMOS!$F$6:$F$205,MATCH($D747,INSUMOS!$A$6:$A$205,0)),0))</f>
        <v/>
      </c>
      <c r="I747" s="34" t="str">
        <f aca="false">IF($D747="","",N($G747)*$H747)</f>
        <v/>
      </c>
      <c r="J747" s="40"/>
      <c r="K747" s="36" t="str">
        <f aca="false">IF($D747="","",IFERROR(INDEX(INSUMOS!$H$6:$H$205,MATCH($D747,INSUMOS!$A$6:$A$205,0)),IVA_VENTAS))</f>
        <v/>
      </c>
      <c r="L747" s="35" t="str">
        <f aca="false">IF($D747="","",N($J747)*$K747)</f>
        <v/>
      </c>
      <c r="M747" s="35" t="str">
        <f aca="false">IF($D747="","",N($J747)+$L747)</f>
        <v/>
      </c>
      <c r="N747" s="43" t="str">
        <f aca="false">IF($D747="","",IFERROR(N($J747)/$I747,0))</f>
        <v/>
      </c>
      <c r="O747" s="6"/>
      <c r="P747" s="6"/>
      <c r="Q747" s="46" t="str">
        <f aca="false">IF($A747="","",DATE(YEAR($A747),MONTH($A747),1))</f>
        <v/>
      </c>
      <c r="R747" s="8" t="str">
        <f aca="false">IF(OR($A747="",$D747=""),"",IF(COUNTIFS($D$6:$D$1005,$D747,$A$6:$A$1005,"&gt;"&amp;$A747)=0,1,0))</f>
        <v/>
      </c>
    </row>
    <row r="748" customFormat="false" ht="15" hidden="false" customHeight="false" outlineLevel="0" collapsed="false">
      <c r="A748" s="44"/>
      <c r="B748" s="6"/>
      <c r="C748" s="6"/>
      <c r="D748" s="6"/>
      <c r="E748" s="8" t="str">
        <f aca="false">IF($D748="","",IFERROR(INDEX(INSUMOS!$B$6:$B$205,MATCH($D748,INSUMOS!$A$6:$A$205,0)),"¿Código?"))</f>
        <v/>
      </c>
      <c r="F748" s="8" t="str">
        <f aca="false">IF($D748="","",IFERROR(INDEX(INSUMOS!$E$6:$E$205,MATCH($D748,INSUMOS!$A$6:$A$205,0)),""))</f>
        <v/>
      </c>
      <c r="G748" s="39"/>
      <c r="H748" s="45" t="str">
        <f aca="false">IF($D748="","",IFERROR(INDEX(INSUMOS!$F$6:$F$205,MATCH($D748,INSUMOS!$A$6:$A$205,0)),0))</f>
        <v/>
      </c>
      <c r="I748" s="34" t="str">
        <f aca="false">IF($D748="","",N($G748)*$H748)</f>
        <v/>
      </c>
      <c r="J748" s="40"/>
      <c r="K748" s="36" t="str">
        <f aca="false">IF($D748="","",IFERROR(INDEX(INSUMOS!$H$6:$H$205,MATCH($D748,INSUMOS!$A$6:$A$205,0)),IVA_VENTAS))</f>
        <v/>
      </c>
      <c r="L748" s="35" t="str">
        <f aca="false">IF($D748="","",N($J748)*$K748)</f>
        <v/>
      </c>
      <c r="M748" s="35" t="str">
        <f aca="false">IF($D748="","",N($J748)+$L748)</f>
        <v/>
      </c>
      <c r="N748" s="43" t="str">
        <f aca="false">IF($D748="","",IFERROR(N($J748)/$I748,0))</f>
        <v/>
      </c>
      <c r="O748" s="6"/>
      <c r="P748" s="6"/>
      <c r="Q748" s="46" t="str">
        <f aca="false">IF($A748="","",DATE(YEAR($A748),MONTH($A748),1))</f>
        <v/>
      </c>
      <c r="R748" s="8" t="str">
        <f aca="false">IF(OR($A748="",$D748=""),"",IF(COUNTIFS($D$6:$D$1005,$D748,$A$6:$A$1005,"&gt;"&amp;$A748)=0,1,0))</f>
        <v/>
      </c>
    </row>
    <row r="749" customFormat="false" ht="15" hidden="false" customHeight="false" outlineLevel="0" collapsed="false">
      <c r="A749" s="44"/>
      <c r="B749" s="6"/>
      <c r="C749" s="6"/>
      <c r="D749" s="6"/>
      <c r="E749" s="8" t="str">
        <f aca="false">IF($D749="","",IFERROR(INDEX(INSUMOS!$B$6:$B$205,MATCH($D749,INSUMOS!$A$6:$A$205,0)),"¿Código?"))</f>
        <v/>
      </c>
      <c r="F749" s="8" t="str">
        <f aca="false">IF($D749="","",IFERROR(INDEX(INSUMOS!$E$6:$E$205,MATCH($D749,INSUMOS!$A$6:$A$205,0)),""))</f>
        <v/>
      </c>
      <c r="G749" s="39"/>
      <c r="H749" s="45" t="str">
        <f aca="false">IF($D749="","",IFERROR(INDEX(INSUMOS!$F$6:$F$205,MATCH($D749,INSUMOS!$A$6:$A$205,0)),0))</f>
        <v/>
      </c>
      <c r="I749" s="34" t="str">
        <f aca="false">IF($D749="","",N($G749)*$H749)</f>
        <v/>
      </c>
      <c r="J749" s="40"/>
      <c r="K749" s="36" t="str">
        <f aca="false">IF($D749="","",IFERROR(INDEX(INSUMOS!$H$6:$H$205,MATCH($D749,INSUMOS!$A$6:$A$205,0)),IVA_VENTAS))</f>
        <v/>
      </c>
      <c r="L749" s="35" t="str">
        <f aca="false">IF($D749="","",N($J749)*$K749)</f>
        <v/>
      </c>
      <c r="M749" s="35" t="str">
        <f aca="false">IF($D749="","",N($J749)+$L749)</f>
        <v/>
      </c>
      <c r="N749" s="43" t="str">
        <f aca="false">IF($D749="","",IFERROR(N($J749)/$I749,0))</f>
        <v/>
      </c>
      <c r="O749" s="6"/>
      <c r="P749" s="6"/>
      <c r="Q749" s="46" t="str">
        <f aca="false">IF($A749="","",DATE(YEAR($A749),MONTH($A749),1))</f>
        <v/>
      </c>
      <c r="R749" s="8" t="str">
        <f aca="false">IF(OR($A749="",$D749=""),"",IF(COUNTIFS($D$6:$D$1005,$D749,$A$6:$A$1005,"&gt;"&amp;$A749)=0,1,0))</f>
        <v/>
      </c>
    </row>
    <row r="750" customFormat="false" ht="15" hidden="false" customHeight="false" outlineLevel="0" collapsed="false">
      <c r="A750" s="44"/>
      <c r="B750" s="6"/>
      <c r="C750" s="6"/>
      <c r="D750" s="6"/>
      <c r="E750" s="8" t="str">
        <f aca="false">IF($D750="","",IFERROR(INDEX(INSUMOS!$B$6:$B$205,MATCH($D750,INSUMOS!$A$6:$A$205,0)),"¿Código?"))</f>
        <v/>
      </c>
      <c r="F750" s="8" t="str">
        <f aca="false">IF($D750="","",IFERROR(INDEX(INSUMOS!$E$6:$E$205,MATCH($D750,INSUMOS!$A$6:$A$205,0)),""))</f>
        <v/>
      </c>
      <c r="G750" s="39"/>
      <c r="H750" s="45" t="str">
        <f aca="false">IF($D750="","",IFERROR(INDEX(INSUMOS!$F$6:$F$205,MATCH($D750,INSUMOS!$A$6:$A$205,0)),0))</f>
        <v/>
      </c>
      <c r="I750" s="34" t="str">
        <f aca="false">IF($D750="","",N($G750)*$H750)</f>
        <v/>
      </c>
      <c r="J750" s="40"/>
      <c r="K750" s="36" t="str">
        <f aca="false">IF($D750="","",IFERROR(INDEX(INSUMOS!$H$6:$H$205,MATCH($D750,INSUMOS!$A$6:$A$205,0)),IVA_VENTAS))</f>
        <v/>
      </c>
      <c r="L750" s="35" t="str">
        <f aca="false">IF($D750="","",N($J750)*$K750)</f>
        <v/>
      </c>
      <c r="M750" s="35" t="str">
        <f aca="false">IF($D750="","",N($J750)+$L750)</f>
        <v/>
      </c>
      <c r="N750" s="43" t="str">
        <f aca="false">IF($D750="","",IFERROR(N($J750)/$I750,0))</f>
        <v/>
      </c>
      <c r="O750" s="6"/>
      <c r="P750" s="6"/>
      <c r="Q750" s="46" t="str">
        <f aca="false">IF($A750="","",DATE(YEAR($A750),MONTH($A750),1))</f>
        <v/>
      </c>
      <c r="R750" s="8" t="str">
        <f aca="false">IF(OR($A750="",$D750=""),"",IF(COUNTIFS($D$6:$D$1005,$D750,$A$6:$A$1005,"&gt;"&amp;$A750)=0,1,0))</f>
        <v/>
      </c>
    </row>
    <row r="751" customFormat="false" ht="15" hidden="false" customHeight="false" outlineLevel="0" collapsed="false">
      <c r="A751" s="44"/>
      <c r="B751" s="6"/>
      <c r="C751" s="6"/>
      <c r="D751" s="6"/>
      <c r="E751" s="8" t="str">
        <f aca="false">IF($D751="","",IFERROR(INDEX(INSUMOS!$B$6:$B$205,MATCH($D751,INSUMOS!$A$6:$A$205,0)),"¿Código?"))</f>
        <v/>
      </c>
      <c r="F751" s="8" t="str">
        <f aca="false">IF($D751="","",IFERROR(INDEX(INSUMOS!$E$6:$E$205,MATCH($D751,INSUMOS!$A$6:$A$205,0)),""))</f>
        <v/>
      </c>
      <c r="G751" s="39"/>
      <c r="H751" s="45" t="str">
        <f aca="false">IF($D751="","",IFERROR(INDEX(INSUMOS!$F$6:$F$205,MATCH($D751,INSUMOS!$A$6:$A$205,0)),0))</f>
        <v/>
      </c>
      <c r="I751" s="34" t="str">
        <f aca="false">IF($D751="","",N($G751)*$H751)</f>
        <v/>
      </c>
      <c r="J751" s="40"/>
      <c r="K751" s="36" t="str">
        <f aca="false">IF($D751="","",IFERROR(INDEX(INSUMOS!$H$6:$H$205,MATCH($D751,INSUMOS!$A$6:$A$205,0)),IVA_VENTAS))</f>
        <v/>
      </c>
      <c r="L751" s="35" t="str">
        <f aca="false">IF($D751="","",N($J751)*$K751)</f>
        <v/>
      </c>
      <c r="M751" s="35" t="str">
        <f aca="false">IF($D751="","",N($J751)+$L751)</f>
        <v/>
      </c>
      <c r="N751" s="43" t="str">
        <f aca="false">IF($D751="","",IFERROR(N($J751)/$I751,0))</f>
        <v/>
      </c>
      <c r="O751" s="6"/>
      <c r="P751" s="6"/>
      <c r="Q751" s="46" t="str">
        <f aca="false">IF($A751="","",DATE(YEAR($A751),MONTH($A751),1))</f>
        <v/>
      </c>
      <c r="R751" s="8" t="str">
        <f aca="false">IF(OR($A751="",$D751=""),"",IF(COUNTIFS($D$6:$D$1005,$D751,$A$6:$A$1005,"&gt;"&amp;$A751)=0,1,0))</f>
        <v/>
      </c>
    </row>
    <row r="752" customFormat="false" ht="15" hidden="false" customHeight="false" outlineLevel="0" collapsed="false">
      <c r="A752" s="44"/>
      <c r="B752" s="6"/>
      <c r="C752" s="6"/>
      <c r="D752" s="6"/>
      <c r="E752" s="8" t="str">
        <f aca="false">IF($D752="","",IFERROR(INDEX(INSUMOS!$B$6:$B$205,MATCH($D752,INSUMOS!$A$6:$A$205,0)),"¿Código?"))</f>
        <v/>
      </c>
      <c r="F752" s="8" t="str">
        <f aca="false">IF($D752="","",IFERROR(INDEX(INSUMOS!$E$6:$E$205,MATCH($D752,INSUMOS!$A$6:$A$205,0)),""))</f>
        <v/>
      </c>
      <c r="G752" s="39"/>
      <c r="H752" s="45" t="str">
        <f aca="false">IF($D752="","",IFERROR(INDEX(INSUMOS!$F$6:$F$205,MATCH($D752,INSUMOS!$A$6:$A$205,0)),0))</f>
        <v/>
      </c>
      <c r="I752" s="34" t="str">
        <f aca="false">IF($D752="","",N($G752)*$H752)</f>
        <v/>
      </c>
      <c r="J752" s="40"/>
      <c r="K752" s="36" t="str">
        <f aca="false">IF($D752="","",IFERROR(INDEX(INSUMOS!$H$6:$H$205,MATCH($D752,INSUMOS!$A$6:$A$205,0)),IVA_VENTAS))</f>
        <v/>
      </c>
      <c r="L752" s="35" t="str">
        <f aca="false">IF($D752="","",N($J752)*$K752)</f>
        <v/>
      </c>
      <c r="M752" s="35" t="str">
        <f aca="false">IF($D752="","",N($J752)+$L752)</f>
        <v/>
      </c>
      <c r="N752" s="43" t="str">
        <f aca="false">IF($D752="","",IFERROR(N($J752)/$I752,0))</f>
        <v/>
      </c>
      <c r="O752" s="6"/>
      <c r="P752" s="6"/>
      <c r="Q752" s="46" t="str">
        <f aca="false">IF($A752="","",DATE(YEAR($A752),MONTH($A752),1))</f>
        <v/>
      </c>
      <c r="R752" s="8" t="str">
        <f aca="false">IF(OR($A752="",$D752=""),"",IF(COUNTIFS($D$6:$D$1005,$D752,$A$6:$A$1005,"&gt;"&amp;$A752)=0,1,0))</f>
        <v/>
      </c>
    </row>
    <row r="753" customFormat="false" ht="15" hidden="false" customHeight="false" outlineLevel="0" collapsed="false">
      <c r="A753" s="44"/>
      <c r="B753" s="6"/>
      <c r="C753" s="6"/>
      <c r="D753" s="6"/>
      <c r="E753" s="8" t="str">
        <f aca="false">IF($D753="","",IFERROR(INDEX(INSUMOS!$B$6:$B$205,MATCH($D753,INSUMOS!$A$6:$A$205,0)),"¿Código?"))</f>
        <v/>
      </c>
      <c r="F753" s="8" t="str">
        <f aca="false">IF($D753="","",IFERROR(INDEX(INSUMOS!$E$6:$E$205,MATCH($D753,INSUMOS!$A$6:$A$205,0)),""))</f>
        <v/>
      </c>
      <c r="G753" s="39"/>
      <c r="H753" s="45" t="str">
        <f aca="false">IF($D753="","",IFERROR(INDEX(INSUMOS!$F$6:$F$205,MATCH($D753,INSUMOS!$A$6:$A$205,0)),0))</f>
        <v/>
      </c>
      <c r="I753" s="34" t="str">
        <f aca="false">IF($D753="","",N($G753)*$H753)</f>
        <v/>
      </c>
      <c r="J753" s="40"/>
      <c r="K753" s="36" t="str">
        <f aca="false">IF($D753="","",IFERROR(INDEX(INSUMOS!$H$6:$H$205,MATCH($D753,INSUMOS!$A$6:$A$205,0)),IVA_VENTAS))</f>
        <v/>
      </c>
      <c r="L753" s="35" t="str">
        <f aca="false">IF($D753="","",N($J753)*$K753)</f>
        <v/>
      </c>
      <c r="M753" s="35" t="str">
        <f aca="false">IF($D753="","",N($J753)+$L753)</f>
        <v/>
      </c>
      <c r="N753" s="43" t="str">
        <f aca="false">IF($D753="","",IFERROR(N($J753)/$I753,0))</f>
        <v/>
      </c>
      <c r="O753" s="6"/>
      <c r="P753" s="6"/>
      <c r="Q753" s="46" t="str">
        <f aca="false">IF($A753="","",DATE(YEAR($A753),MONTH($A753),1))</f>
        <v/>
      </c>
      <c r="R753" s="8" t="str">
        <f aca="false">IF(OR($A753="",$D753=""),"",IF(COUNTIFS($D$6:$D$1005,$D753,$A$6:$A$1005,"&gt;"&amp;$A753)=0,1,0))</f>
        <v/>
      </c>
    </row>
    <row r="754" customFormat="false" ht="15" hidden="false" customHeight="false" outlineLevel="0" collapsed="false">
      <c r="A754" s="44"/>
      <c r="B754" s="6"/>
      <c r="C754" s="6"/>
      <c r="D754" s="6"/>
      <c r="E754" s="8" t="str">
        <f aca="false">IF($D754="","",IFERROR(INDEX(INSUMOS!$B$6:$B$205,MATCH($D754,INSUMOS!$A$6:$A$205,0)),"¿Código?"))</f>
        <v/>
      </c>
      <c r="F754" s="8" t="str">
        <f aca="false">IF($D754="","",IFERROR(INDEX(INSUMOS!$E$6:$E$205,MATCH($D754,INSUMOS!$A$6:$A$205,0)),""))</f>
        <v/>
      </c>
      <c r="G754" s="39"/>
      <c r="H754" s="45" t="str">
        <f aca="false">IF($D754="","",IFERROR(INDEX(INSUMOS!$F$6:$F$205,MATCH($D754,INSUMOS!$A$6:$A$205,0)),0))</f>
        <v/>
      </c>
      <c r="I754" s="34" t="str">
        <f aca="false">IF($D754="","",N($G754)*$H754)</f>
        <v/>
      </c>
      <c r="J754" s="40"/>
      <c r="K754" s="36" t="str">
        <f aca="false">IF($D754="","",IFERROR(INDEX(INSUMOS!$H$6:$H$205,MATCH($D754,INSUMOS!$A$6:$A$205,0)),IVA_VENTAS))</f>
        <v/>
      </c>
      <c r="L754" s="35" t="str">
        <f aca="false">IF($D754="","",N($J754)*$K754)</f>
        <v/>
      </c>
      <c r="M754" s="35" t="str">
        <f aca="false">IF($D754="","",N($J754)+$L754)</f>
        <v/>
      </c>
      <c r="N754" s="43" t="str">
        <f aca="false">IF($D754="","",IFERROR(N($J754)/$I754,0))</f>
        <v/>
      </c>
      <c r="O754" s="6"/>
      <c r="P754" s="6"/>
      <c r="Q754" s="46" t="str">
        <f aca="false">IF($A754="","",DATE(YEAR($A754),MONTH($A754),1))</f>
        <v/>
      </c>
      <c r="R754" s="8" t="str">
        <f aca="false">IF(OR($A754="",$D754=""),"",IF(COUNTIFS($D$6:$D$1005,$D754,$A$6:$A$1005,"&gt;"&amp;$A754)=0,1,0))</f>
        <v/>
      </c>
    </row>
    <row r="755" customFormat="false" ht="15" hidden="false" customHeight="false" outlineLevel="0" collapsed="false">
      <c r="A755" s="44"/>
      <c r="B755" s="6"/>
      <c r="C755" s="6"/>
      <c r="D755" s="6"/>
      <c r="E755" s="8" t="str">
        <f aca="false">IF($D755="","",IFERROR(INDEX(INSUMOS!$B$6:$B$205,MATCH($D755,INSUMOS!$A$6:$A$205,0)),"¿Código?"))</f>
        <v/>
      </c>
      <c r="F755" s="8" t="str">
        <f aca="false">IF($D755="","",IFERROR(INDEX(INSUMOS!$E$6:$E$205,MATCH($D755,INSUMOS!$A$6:$A$205,0)),""))</f>
        <v/>
      </c>
      <c r="G755" s="39"/>
      <c r="H755" s="45" t="str">
        <f aca="false">IF($D755="","",IFERROR(INDEX(INSUMOS!$F$6:$F$205,MATCH($D755,INSUMOS!$A$6:$A$205,0)),0))</f>
        <v/>
      </c>
      <c r="I755" s="34" t="str">
        <f aca="false">IF($D755="","",N($G755)*$H755)</f>
        <v/>
      </c>
      <c r="J755" s="40"/>
      <c r="K755" s="36" t="str">
        <f aca="false">IF($D755="","",IFERROR(INDEX(INSUMOS!$H$6:$H$205,MATCH($D755,INSUMOS!$A$6:$A$205,0)),IVA_VENTAS))</f>
        <v/>
      </c>
      <c r="L755" s="35" t="str">
        <f aca="false">IF($D755="","",N($J755)*$K755)</f>
        <v/>
      </c>
      <c r="M755" s="35" t="str">
        <f aca="false">IF($D755="","",N($J755)+$L755)</f>
        <v/>
      </c>
      <c r="N755" s="43" t="str">
        <f aca="false">IF($D755="","",IFERROR(N($J755)/$I755,0))</f>
        <v/>
      </c>
      <c r="O755" s="6"/>
      <c r="P755" s="6"/>
      <c r="Q755" s="46" t="str">
        <f aca="false">IF($A755="","",DATE(YEAR($A755),MONTH($A755),1))</f>
        <v/>
      </c>
      <c r="R755" s="8" t="str">
        <f aca="false">IF(OR($A755="",$D755=""),"",IF(COUNTIFS($D$6:$D$1005,$D755,$A$6:$A$1005,"&gt;"&amp;$A755)=0,1,0))</f>
        <v/>
      </c>
    </row>
    <row r="756" customFormat="false" ht="15" hidden="false" customHeight="false" outlineLevel="0" collapsed="false">
      <c r="A756" s="44"/>
      <c r="B756" s="6"/>
      <c r="C756" s="6"/>
      <c r="D756" s="6"/>
      <c r="E756" s="8" t="str">
        <f aca="false">IF($D756="","",IFERROR(INDEX(INSUMOS!$B$6:$B$205,MATCH($D756,INSUMOS!$A$6:$A$205,0)),"¿Código?"))</f>
        <v/>
      </c>
      <c r="F756" s="8" t="str">
        <f aca="false">IF($D756="","",IFERROR(INDEX(INSUMOS!$E$6:$E$205,MATCH($D756,INSUMOS!$A$6:$A$205,0)),""))</f>
        <v/>
      </c>
      <c r="G756" s="39"/>
      <c r="H756" s="45" t="str">
        <f aca="false">IF($D756="","",IFERROR(INDEX(INSUMOS!$F$6:$F$205,MATCH($D756,INSUMOS!$A$6:$A$205,0)),0))</f>
        <v/>
      </c>
      <c r="I756" s="34" t="str">
        <f aca="false">IF($D756="","",N($G756)*$H756)</f>
        <v/>
      </c>
      <c r="J756" s="40"/>
      <c r="K756" s="36" t="str">
        <f aca="false">IF($D756="","",IFERROR(INDEX(INSUMOS!$H$6:$H$205,MATCH($D756,INSUMOS!$A$6:$A$205,0)),IVA_VENTAS))</f>
        <v/>
      </c>
      <c r="L756" s="35" t="str">
        <f aca="false">IF($D756="","",N($J756)*$K756)</f>
        <v/>
      </c>
      <c r="M756" s="35" t="str">
        <f aca="false">IF($D756="","",N($J756)+$L756)</f>
        <v/>
      </c>
      <c r="N756" s="43" t="str">
        <f aca="false">IF($D756="","",IFERROR(N($J756)/$I756,0))</f>
        <v/>
      </c>
      <c r="O756" s="6"/>
      <c r="P756" s="6"/>
      <c r="Q756" s="46" t="str">
        <f aca="false">IF($A756="","",DATE(YEAR($A756),MONTH($A756),1))</f>
        <v/>
      </c>
      <c r="R756" s="8" t="str">
        <f aca="false">IF(OR($A756="",$D756=""),"",IF(COUNTIFS($D$6:$D$1005,$D756,$A$6:$A$1005,"&gt;"&amp;$A756)=0,1,0))</f>
        <v/>
      </c>
    </row>
    <row r="757" customFormat="false" ht="15" hidden="false" customHeight="false" outlineLevel="0" collapsed="false">
      <c r="A757" s="44"/>
      <c r="B757" s="6"/>
      <c r="C757" s="6"/>
      <c r="D757" s="6"/>
      <c r="E757" s="8" t="str">
        <f aca="false">IF($D757="","",IFERROR(INDEX(INSUMOS!$B$6:$B$205,MATCH($D757,INSUMOS!$A$6:$A$205,0)),"¿Código?"))</f>
        <v/>
      </c>
      <c r="F757" s="8" t="str">
        <f aca="false">IF($D757="","",IFERROR(INDEX(INSUMOS!$E$6:$E$205,MATCH($D757,INSUMOS!$A$6:$A$205,0)),""))</f>
        <v/>
      </c>
      <c r="G757" s="39"/>
      <c r="H757" s="45" t="str">
        <f aca="false">IF($D757="","",IFERROR(INDEX(INSUMOS!$F$6:$F$205,MATCH($D757,INSUMOS!$A$6:$A$205,0)),0))</f>
        <v/>
      </c>
      <c r="I757" s="34" t="str">
        <f aca="false">IF($D757="","",N($G757)*$H757)</f>
        <v/>
      </c>
      <c r="J757" s="40"/>
      <c r="K757" s="36" t="str">
        <f aca="false">IF($D757="","",IFERROR(INDEX(INSUMOS!$H$6:$H$205,MATCH($D757,INSUMOS!$A$6:$A$205,0)),IVA_VENTAS))</f>
        <v/>
      </c>
      <c r="L757" s="35" t="str">
        <f aca="false">IF($D757="","",N($J757)*$K757)</f>
        <v/>
      </c>
      <c r="M757" s="35" t="str">
        <f aca="false">IF($D757="","",N($J757)+$L757)</f>
        <v/>
      </c>
      <c r="N757" s="43" t="str">
        <f aca="false">IF($D757="","",IFERROR(N($J757)/$I757,0))</f>
        <v/>
      </c>
      <c r="O757" s="6"/>
      <c r="P757" s="6"/>
      <c r="Q757" s="46" t="str">
        <f aca="false">IF($A757="","",DATE(YEAR($A757),MONTH($A757),1))</f>
        <v/>
      </c>
      <c r="R757" s="8" t="str">
        <f aca="false">IF(OR($A757="",$D757=""),"",IF(COUNTIFS($D$6:$D$1005,$D757,$A$6:$A$1005,"&gt;"&amp;$A757)=0,1,0))</f>
        <v/>
      </c>
    </row>
    <row r="758" customFormat="false" ht="15" hidden="false" customHeight="false" outlineLevel="0" collapsed="false">
      <c r="A758" s="44"/>
      <c r="B758" s="6"/>
      <c r="C758" s="6"/>
      <c r="D758" s="6"/>
      <c r="E758" s="8" t="str">
        <f aca="false">IF($D758="","",IFERROR(INDEX(INSUMOS!$B$6:$B$205,MATCH($D758,INSUMOS!$A$6:$A$205,0)),"¿Código?"))</f>
        <v/>
      </c>
      <c r="F758" s="8" t="str">
        <f aca="false">IF($D758="","",IFERROR(INDEX(INSUMOS!$E$6:$E$205,MATCH($D758,INSUMOS!$A$6:$A$205,0)),""))</f>
        <v/>
      </c>
      <c r="G758" s="39"/>
      <c r="H758" s="45" t="str">
        <f aca="false">IF($D758="","",IFERROR(INDEX(INSUMOS!$F$6:$F$205,MATCH($D758,INSUMOS!$A$6:$A$205,0)),0))</f>
        <v/>
      </c>
      <c r="I758" s="34" t="str">
        <f aca="false">IF($D758="","",N($G758)*$H758)</f>
        <v/>
      </c>
      <c r="J758" s="40"/>
      <c r="K758" s="36" t="str">
        <f aca="false">IF($D758="","",IFERROR(INDEX(INSUMOS!$H$6:$H$205,MATCH($D758,INSUMOS!$A$6:$A$205,0)),IVA_VENTAS))</f>
        <v/>
      </c>
      <c r="L758" s="35" t="str">
        <f aca="false">IF($D758="","",N($J758)*$K758)</f>
        <v/>
      </c>
      <c r="M758" s="35" t="str">
        <f aca="false">IF($D758="","",N($J758)+$L758)</f>
        <v/>
      </c>
      <c r="N758" s="43" t="str">
        <f aca="false">IF($D758="","",IFERROR(N($J758)/$I758,0))</f>
        <v/>
      </c>
      <c r="O758" s="6"/>
      <c r="P758" s="6"/>
      <c r="Q758" s="46" t="str">
        <f aca="false">IF($A758="","",DATE(YEAR($A758),MONTH($A758),1))</f>
        <v/>
      </c>
      <c r="R758" s="8" t="str">
        <f aca="false">IF(OR($A758="",$D758=""),"",IF(COUNTIFS($D$6:$D$1005,$D758,$A$6:$A$1005,"&gt;"&amp;$A758)=0,1,0))</f>
        <v/>
      </c>
    </row>
    <row r="759" customFormat="false" ht="15" hidden="false" customHeight="false" outlineLevel="0" collapsed="false">
      <c r="A759" s="44"/>
      <c r="B759" s="6"/>
      <c r="C759" s="6"/>
      <c r="D759" s="6"/>
      <c r="E759" s="8" t="str">
        <f aca="false">IF($D759="","",IFERROR(INDEX(INSUMOS!$B$6:$B$205,MATCH($D759,INSUMOS!$A$6:$A$205,0)),"¿Código?"))</f>
        <v/>
      </c>
      <c r="F759" s="8" t="str">
        <f aca="false">IF($D759="","",IFERROR(INDEX(INSUMOS!$E$6:$E$205,MATCH($D759,INSUMOS!$A$6:$A$205,0)),""))</f>
        <v/>
      </c>
      <c r="G759" s="39"/>
      <c r="H759" s="45" t="str">
        <f aca="false">IF($D759="","",IFERROR(INDEX(INSUMOS!$F$6:$F$205,MATCH($D759,INSUMOS!$A$6:$A$205,0)),0))</f>
        <v/>
      </c>
      <c r="I759" s="34" t="str">
        <f aca="false">IF($D759="","",N($G759)*$H759)</f>
        <v/>
      </c>
      <c r="J759" s="40"/>
      <c r="K759" s="36" t="str">
        <f aca="false">IF($D759="","",IFERROR(INDEX(INSUMOS!$H$6:$H$205,MATCH($D759,INSUMOS!$A$6:$A$205,0)),IVA_VENTAS))</f>
        <v/>
      </c>
      <c r="L759" s="35" t="str">
        <f aca="false">IF($D759="","",N($J759)*$K759)</f>
        <v/>
      </c>
      <c r="M759" s="35" t="str">
        <f aca="false">IF($D759="","",N($J759)+$L759)</f>
        <v/>
      </c>
      <c r="N759" s="43" t="str">
        <f aca="false">IF($D759="","",IFERROR(N($J759)/$I759,0))</f>
        <v/>
      </c>
      <c r="O759" s="6"/>
      <c r="P759" s="6"/>
      <c r="Q759" s="46" t="str">
        <f aca="false">IF($A759="","",DATE(YEAR($A759),MONTH($A759),1))</f>
        <v/>
      </c>
      <c r="R759" s="8" t="str">
        <f aca="false">IF(OR($A759="",$D759=""),"",IF(COUNTIFS($D$6:$D$1005,$D759,$A$6:$A$1005,"&gt;"&amp;$A759)=0,1,0))</f>
        <v/>
      </c>
    </row>
    <row r="760" customFormat="false" ht="15" hidden="false" customHeight="false" outlineLevel="0" collapsed="false">
      <c r="A760" s="44"/>
      <c r="B760" s="6"/>
      <c r="C760" s="6"/>
      <c r="D760" s="6"/>
      <c r="E760" s="8" t="str">
        <f aca="false">IF($D760="","",IFERROR(INDEX(INSUMOS!$B$6:$B$205,MATCH($D760,INSUMOS!$A$6:$A$205,0)),"¿Código?"))</f>
        <v/>
      </c>
      <c r="F760" s="8" t="str">
        <f aca="false">IF($D760="","",IFERROR(INDEX(INSUMOS!$E$6:$E$205,MATCH($D760,INSUMOS!$A$6:$A$205,0)),""))</f>
        <v/>
      </c>
      <c r="G760" s="39"/>
      <c r="H760" s="45" t="str">
        <f aca="false">IF($D760="","",IFERROR(INDEX(INSUMOS!$F$6:$F$205,MATCH($D760,INSUMOS!$A$6:$A$205,0)),0))</f>
        <v/>
      </c>
      <c r="I760" s="34" t="str">
        <f aca="false">IF($D760="","",N($G760)*$H760)</f>
        <v/>
      </c>
      <c r="J760" s="40"/>
      <c r="K760" s="36" t="str">
        <f aca="false">IF($D760="","",IFERROR(INDEX(INSUMOS!$H$6:$H$205,MATCH($D760,INSUMOS!$A$6:$A$205,0)),IVA_VENTAS))</f>
        <v/>
      </c>
      <c r="L760" s="35" t="str">
        <f aca="false">IF($D760="","",N($J760)*$K760)</f>
        <v/>
      </c>
      <c r="M760" s="35" t="str">
        <f aca="false">IF($D760="","",N($J760)+$L760)</f>
        <v/>
      </c>
      <c r="N760" s="43" t="str">
        <f aca="false">IF($D760="","",IFERROR(N($J760)/$I760,0))</f>
        <v/>
      </c>
      <c r="O760" s="6"/>
      <c r="P760" s="6"/>
      <c r="Q760" s="46" t="str">
        <f aca="false">IF($A760="","",DATE(YEAR($A760),MONTH($A760),1))</f>
        <v/>
      </c>
      <c r="R760" s="8" t="str">
        <f aca="false">IF(OR($A760="",$D760=""),"",IF(COUNTIFS($D$6:$D$1005,$D760,$A$6:$A$1005,"&gt;"&amp;$A760)=0,1,0))</f>
        <v/>
      </c>
    </row>
    <row r="761" customFormat="false" ht="15" hidden="false" customHeight="false" outlineLevel="0" collapsed="false">
      <c r="A761" s="44"/>
      <c r="B761" s="6"/>
      <c r="C761" s="6"/>
      <c r="D761" s="6"/>
      <c r="E761" s="8" t="str">
        <f aca="false">IF($D761="","",IFERROR(INDEX(INSUMOS!$B$6:$B$205,MATCH($D761,INSUMOS!$A$6:$A$205,0)),"¿Código?"))</f>
        <v/>
      </c>
      <c r="F761" s="8" t="str">
        <f aca="false">IF($D761="","",IFERROR(INDEX(INSUMOS!$E$6:$E$205,MATCH($D761,INSUMOS!$A$6:$A$205,0)),""))</f>
        <v/>
      </c>
      <c r="G761" s="39"/>
      <c r="H761" s="45" t="str">
        <f aca="false">IF($D761="","",IFERROR(INDEX(INSUMOS!$F$6:$F$205,MATCH($D761,INSUMOS!$A$6:$A$205,0)),0))</f>
        <v/>
      </c>
      <c r="I761" s="34" t="str">
        <f aca="false">IF($D761="","",N($G761)*$H761)</f>
        <v/>
      </c>
      <c r="J761" s="40"/>
      <c r="K761" s="36" t="str">
        <f aca="false">IF($D761="","",IFERROR(INDEX(INSUMOS!$H$6:$H$205,MATCH($D761,INSUMOS!$A$6:$A$205,0)),IVA_VENTAS))</f>
        <v/>
      </c>
      <c r="L761" s="35" t="str">
        <f aca="false">IF($D761="","",N($J761)*$K761)</f>
        <v/>
      </c>
      <c r="M761" s="35" t="str">
        <f aca="false">IF($D761="","",N($J761)+$L761)</f>
        <v/>
      </c>
      <c r="N761" s="43" t="str">
        <f aca="false">IF($D761="","",IFERROR(N($J761)/$I761,0))</f>
        <v/>
      </c>
      <c r="O761" s="6"/>
      <c r="P761" s="6"/>
      <c r="Q761" s="46" t="str">
        <f aca="false">IF($A761="","",DATE(YEAR($A761),MONTH($A761),1))</f>
        <v/>
      </c>
      <c r="R761" s="8" t="str">
        <f aca="false">IF(OR($A761="",$D761=""),"",IF(COUNTIFS($D$6:$D$1005,$D761,$A$6:$A$1005,"&gt;"&amp;$A761)=0,1,0))</f>
        <v/>
      </c>
    </row>
    <row r="762" customFormat="false" ht="15" hidden="false" customHeight="false" outlineLevel="0" collapsed="false">
      <c r="A762" s="44"/>
      <c r="B762" s="6"/>
      <c r="C762" s="6"/>
      <c r="D762" s="6"/>
      <c r="E762" s="8" t="str">
        <f aca="false">IF($D762="","",IFERROR(INDEX(INSUMOS!$B$6:$B$205,MATCH($D762,INSUMOS!$A$6:$A$205,0)),"¿Código?"))</f>
        <v/>
      </c>
      <c r="F762" s="8" t="str">
        <f aca="false">IF($D762="","",IFERROR(INDEX(INSUMOS!$E$6:$E$205,MATCH($D762,INSUMOS!$A$6:$A$205,0)),""))</f>
        <v/>
      </c>
      <c r="G762" s="39"/>
      <c r="H762" s="45" t="str">
        <f aca="false">IF($D762="","",IFERROR(INDEX(INSUMOS!$F$6:$F$205,MATCH($D762,INSUMOS!$A$6:$A$205,0)),0))</f>
        <v/>
      </c>
      <c r="I762" s="34" t="str">
        <f aca="false">IF($D762="","",N($G762)*$H762)</f>
        <v/>
      </c>
      <c r="J762" s="40"/>
      <c r="K762" s="36" t="str">
        <f aca="false">IF($D762="","",IFERROR(INDEX(INSUMOS!$H$6:$H$205,MATCH($D762,INSUMOS!$A$6:$A$205,0)),IVA_VENTAS))</f>
        <v/>
      </c>
      <c r="L762" s="35" t="str">
        <f aca="false">IF($D762="","",N($J762)*$K762)</f>
        <v/>
      </c>
      <c r="M762" s="35" t="str">
        <f aca="false">IF($D762="","",N($J762)+$L762)</f>
        <v/>
      </c>
      <c r="N762" s="43" t="str">
        <f aca="false">IF($D762="","",IFERROR(N($J762)/$I762,0))</f>
        <v/>
      </c>
      <c r="O762" s="6"/>
      <c r="P762" s="6"/>
      <c r="Q762" s="46" t="str">
        <f aca="false">IF($A762="","",DATE(YEAR($A762),MONTH($A762),1))</f>
        <v/>
      </c>
      <c r="R762" s="8" t="str">
        <f aca="false">IF(OR($A762="",$D762=""),"",IF(COUNTIFS($D$6:$D$1005,$D762,$A$6:$A$1005,"&gt;"&amp;$A762)=0,1,0))</f>
        <v/>
      </c>
    </row>
    <row r="763" customFormat="false" ht="15" hidden="false" customHeight="false" outlineLevel="0" collapsed="false">
      <c r="A763" s="44"/>
      <c r="B763" s="6"/>
      <c r="C763" s="6"/>
      <c r="D763" s="6"/>
      <c r="E763" s="8" t="str">
        <f aca="false">IF($D763="","",IFERROR(INDEX(INSUMOS!$B$6:$B$205,MATCH($D763,INSUMOS!$A$6:$A$205,0)),"¿Código?"))</f>
        <v/>
      </c>
      <c r="F763" s="8" t="str">
        <f aca="false">IF($D763="","",IFERROR(INDEX(INSUMOS!$E$6:$E$205,MATCH($D763,INSUMOS!$A$6:$A$205,0)),""))</f>
        <v/>
      </c>
      <c r="G763" s="39"/>
      <c r="H763" s="45" t="str">
        <f aca="false">IF($D763="","",IFERROR(INDEX(INSUMOS!$F$6:$F$205,MATCH($D763,INSUMOS!$A$6:$A$205,0)),0))</f>
        <v/>
      </c>
      <c r="I763" s="34" t="str">
        <f aca="false">IF($D763="","",N($G763)*$H763)</f>
        <v/>
      </c>
      <c r="J763" s="40"/>
      <c r="K763" s="36" t="str">
        <f aca="false">IF($D763="","",IFERROR(INDEX(INSUMOS!$H$6:$H$205,MATCH($D763,INSUMOS!$A$6:$A$205,0)),IVA_VENTAS))</f>
        <v/>
      </c>
      <c r="L763" s="35" t="str">
        <f aca="false">IF($D763="","",N($J763)*$K763)</f>
        <v/>
      </c>
      <c r="M763" s="35" t="str">
        <f aca="false">IF($D763="","",N($J763)+$L763)</f>
        <v/>
      </c>
      <c r="N763" s="43" t="str">
        <f aca="false">IF($D763="","",IFERROR(N($J763)/$I763,0))</f>
        <v/>
      </c>
      <c r="O763" s="6"/>
      <c r="P763" s="6"/>
      <c r="Q763" s="46" t="str">
        <f aca="false">IF($A763="","",DATE(YEAR($A763),MONTH($A763),1))</f>
        <v/>
      </c>
      <c r="R763" s="8" t="str">
        <f aca="false">IF(OR($A763="",$D763=""),"",IF(COUNTIFS($D$6:$D$1005,$D763,$A$6:$A$1005,"&gt;"&amp;$A763)=0,1,0))</f>
        <v/>
      </c>
    </row>
    <row r="764" customFormat="false" ht="15" hidden="false" customHeight="false" outlineLevel="0" collapsed="false">
      <c r="A764" s="44"/>
      <c r="B764" s="6"/>
      <c r="C764" s="6"/>
      <c r="D764" s="6"/>
      <c r="E764" s="8" t="str">
        <f aca="false">IF($D764="","",IFERROR(INDEX(INSUMOS!$B$6:$B$205,MATCH($D764,INSUMOS!$A$6:$A$205,0)),"¿Código?"))</f>
        <v/>
      </c>
      <c r="F764" s="8" t="str">
        <f aca="false">IF($D764="","",IFERROR(INDEX(INSUMOS!$E$6:$E$205,MATCH($D764,INSUMOS!$A$6:$A$205,0)),""))</f>
        <v/>
      </c>
      <c r="G764" s="39"/>
      <c r="H764" s="45" t="str">
        <f aca="false">IF($D764="","",IFERROR(INDEX(INSUMOS!$F$6:$F$205,MATCH($D764,INSUMOS!$A$6:$A$205,0)),0))</f>
        <v/>
      </c>
      <c r="I764" s="34" t="str">
        <f aca="false">IF($D764="","",N($G764)*$H764)</f>
        <v/>
      </c>
      <c r="J764" s="40"/>
      <c r="K764" s="36" t="str">
        <f aca="false">IF($D764="","",IFERROR(INDEX(INSUMOS!$H$6:$H$205,MATCH($D764,INSUMOS!$A$6:$A$205,0)),IVA_VENTAS))</f>
        <v/>
      </c>
      <c r="L764" s="35" t="str">
        <f aca="false">IF($D764="","",N($J764)*$K764)</f>
        <v/>
      </c>
      <c r="M764" s="35" t="str">
        <f aca="false">IF($D764="","",N($J764)+$L764)</f>
        <v/>
      </c>
      <c r="N764" s="43" t="str">
        <f aca="false">IF($D764="","",IFERROR(N($J764)/$I764,0))</f>
        <v/>
      </c>
      <c r="O764" s="6"/>
      <c r="P764" s="6"/>
      <c r="Q764" s="46" t="str">
        <f aca="false">IF($A764="","",DATE(YEAR($A764),MONTH($A764),1))</f>
        <v/>
      </c>
      <c r="R764" s="8" t="str">
        <f aca="false">IF(OR($A764="",$D764=""),"",IF(COUNTIFS($D$6:$D$1005,$D764,$A$6:$A$1005,"&gt;"&amp;$A764)=0,1,0))</f>
        <v/>
      </c>
    </row>
    <row r="765" customFormat="false" ht="15" hidden="false" customHeight="false" outlineLevel="0" collapsed="false">
      <c r="A765" s="44"/>
      <c r="B765" s="6"/>
      <c r="C765" s="6"/>
      <c r="D765" s="6"/>
      <c r="E765" s="8" t="str">
        <f aca="false">IF($D765="","",IFERROR(INDEX(INSUMOS!$B$6:$B$205,MATCH($D765,INSUMOS!$A$6:$A$205,0)),"¿Código?"))</f>
        <v/>
      </c>
      <c r="F765" s="8" t="str">
        <f aca="false">IF($D765="","",IFERROR(INDEX(INSUMOS!$E$6:$E$205,MATCH($D765,INSUMOS!$A$6:$A$205,0)),""))</f>
        <v/>
      </c>
      <c r="G765" s="39"/>
      <c r="H765" s="45" t="str">
        <f aca="false">IF($D765="","",IFERROR(INDEX(INSUMOS!$F$6:$F$205,MATCH($D765,INSUMOS!$A$6:$A$205,0)),0))</f>
        <v/>
      </c>
      <c r="I765" s="34" t="str">
        <f aca="false">IF($D765="","",N($G765)*$H765)</f>
        <v/>
      </c>
      <c r="J765" s="40"/>
      <c r="K765" s="36" t="str">
        <f aca="false">IF($D765="","",IFERROR(INDEX(INSUMOS!$H$6:$H$205,MATCH($D765,INSUMOS!$A$6:$A$205,0)),IVA_VENTAS))</f>
        <v/>
      </c>
      <c r="L765" s="35" t="str">
        <f aca="false">IF($D765="","",N($J765)*$K765)</f>
        <v/>
      </c>
      <c r="M765" s="35" t="str">
        <f aca="false">IF($D765="","",N($J765)+$L765)</f>
        <v/>
      </c>
      <c r="N765" s="43" t="str">
        <f aca="false">IF($D765="","",IFERROR(N($J765)/$I765,0))</f>
        <v/>
      </c>
      <c r="O765" s="6"/>
      <c r="P765" s="6"/>
      <c r="Q765" s="46" t="str">
        <f aca="false">IF($A765="","",DATE(YEAR($A765),MONTH($A765),1))</f>
        <v/>
      </c>
      <c r="R765" s="8" t="str">
        <f aca="false">IF(OR($A765="",$D765=""),"",IF(COUNTIFS($D$6:$D$1005,$D765,$A$6:$A$1005,"&gt;"&amp;$A765)=0,1,0))</f>
        <v/>
      </c>
    </row>
    <row r="766" customFormat="false" ht="15" hidden="false" customHeight="false" outlineLevel="0" collapsed="false">
      <c r="A766" s="44"/>
      <c r="B766" s="6"/>
      <c r="C766" s="6"/>
      <c r="D766" s="6"/>
      <c r="E766" s="8" t="str">
        <f aca="false">IF($D766="","",IFERROR(INDEX(INSUMOS!$B$6:$B$205,MATCH($D766,INSUMOS!$A$6:$A$205,0)),"¿Código?"))</f>
        <v/>
      </c>
      <c r="F766" s="8" t="str">
        <f aca="false">IF($D766="","",IFERROR(INDEX(INSUMOS!$E$6:$E$205,MATCH($D766,INSUMOS!$A$6:$A$205,0)),""))</f>
        <v/>
      </c>
      <c r="G766" s="39"/>
      <c r="H766" s="45" t="str">
        <f aca="false">IF($D766="","",IFERROR(INDEX(INSUMOS!$F$6:$F$205,MATCH($D766,INSUMOS!$A$6:$A$205,0)),0))</f>
        <v/>
      </c>
      <c r="I766" s="34" t="str">
        <f aca="false">IF($D766="","",N($G766)*$H766)</f>
        <v/>
      </c>
      <c r="J766" s="40"/>
      <c r="K766" s="36" t="str">
        <f aca="false">IF($D766="","",IFERROR(INDEX(INSUMOS!$H$6:$H$205,MATCH($D766,INSUMOS!$A$6:$A$205,0)),IVA_VENTAS))</f>
        <v/>
      </c>
      <c r="L766" s="35" t="str">
        <f aca="false">IF($D766="","",N($J766)*$K766)</f>
        <v/>
      </c>
      <c r="M766" s="35" t="str">
        <f aca="false">IF($D766="","",N($J766)+$L766)</f>
        <v/>
      </c>
      <c r="N766" s="43" t="str">
        <f aca="false">IF($D766="","",IFERROR(N($J766)/$I766,0))</f>
        <v/>
      </c>
      <c r="O766" s="6"/>
      <c r="P766" s="6"/>
      <c r="Q766" s="46" t="str">
        <f aca="false">IF($A766="","",DATE(YEAR($A766),MONTH($A766),1))</f>
        <v/>
      </c>
      <c r="R766" s="8" t="str">
        <f aca="false">IF(OR($A766="",$D766=""),"",IF(COUNTIFS($D$6:$D$1005,$D766,$A$6:$A$1005,"&gt;"&amp;$A766)=0,1,0))</f>
        <v/>
      </c>
    </row>
    <row r="767" customFormat="false" ht="15" hidden="false" customHeight="false" outlineLevel="0" collapsed="false">
      <c r="A767" s="44"/>
      <c r="B767" s="6"/>
      <c r="C767" s="6"/>
      <c r="D767" s="6"/>
      <c r="E767" s="8" t="str">
        <f aca="false">IF($D767="","",IFERROR(INDEX(INSUMOS!$B$6:$B$205,MATCH($D767,INSUMOS!$A$6:$A$205,0)),"¿Código?"))</f>
        <v/>
      </c>
      <c r="F767" s="8" t="str">
        <f aca="false">IF($D767="","",IFERROR(INDEX(INSUMOS!$E$6:$E$205,MATCH($D767,INSUMOS!$A$6:$A$205,0)),""))</f>
        <v/>
      </c>
      <c r="G767" s="39"/>
      <c r="H767" s="45" t="str">
        <f aca="false">IF($D767="","",IFERROR(INDEX(INSUMOS!$F$6:$F$205,MATCH($D767,INSUMOS!$A$6:$A$205,0)),0))</f>
        <v/>
      </c>
      <c r="I767" s="34" t="str">
        <f aca="false">IF($D767="","",N($G767)*$H767)</f>
        <v/>
      </c>
      <c r="J767" s="40"/>
      <c r="K767" s="36" t="str">
        <f aca="false">IF($D767="","",IFERROR(INDEX(INSUMOS!$H$6:$H$205,MATCH($D767,INSUMOS!$A$6:$A$205,0)),IVA_VENTAS))</f>
        <v/>
      </c>
      <c r="L767" s="35" t="str">
        <f aca="false">IF($D767="","",N($J767)*$K767)</f>
        <v/>
      </c>
      <c r="M767" s="35" t="str">
        <f aca="false">IF($D767="","",N($J767)+$L767)</f>
        <v/>
      </c>
      <c r="N767" s="43" t="str">
        <f aca="false">IF($D767="","",IFERROR(N($J767)/$I767,0))</f>
        <v/>
      </c>
      <c r="O767" s="6"/>
      <c r="P767" s="6"/>
      <c r="Q767" s="46" t="str">
        <f aca="false">IF($A767="","",DATE(YEAR($A767),MONTH($A767),1))</f>
        <v/>
      </c>
      <c r="R767" s="8" t="str">
        <f aca="false">IF(OR($A767="",$D767=""),"",IF(COUNTIFS($D$6:$D$1005,$D767,$A$6:$A$1005,"&gt;"&amp;$A767)=0,1,0))</f>
        <v/>
      </c>
    </row>
    <row r="768" customFormat="false" ht="15" hidden="false" customHeight="false" outlineLevel="0" collapsed="false">
      <c r="A768" s="44"/>
      <c r="B768" s="6"/>
      <c r="C768" s="6"/>
      <c r="D768" s="6"/>
      <c r="E768" s="8" t="str">
        <f aca="false">IF($D768="","",IFERROR(INDEX(INSUMOS!$B$6:$B$205,MATCH($D768,INSUMOS!$A$6:$A$205,0)),"¿Código?"))</f>
        <v/>
      </c>
      <c r="F768" s="8" t="str">
        <f aca="false">IF($D768="","",IFERROR(INDEX(INSUMOS!$E$6:$E$205,MATCH($D768,INSUMOS!$A$6:$A$205,0)),""))</f>
        <v/>
      </c>
      <c r="G768" s="39"/>
      <c r="H768" s="45" t="str">
        <f aca="false">IF($D768="","",IFERROR(INDEX(INSUMOS!$F$6:$F$205,MATCH($D768,INSUMOS!$A$6:$A$205,0)),0))</f>
        <v/>
      </c>
      <c r="I768" s="34" t="str">
        <f aca="false">IF($D768="","",N($G768)*$H768)</f>
        <v/>
      </c>
      <c r="J768" s="40"/>
      <c r="K768" s="36" t="str">
        <f aca="false">IF($D768="","",IFERROR(INDEX(INSUMOS!$H$6:$H$205,MATCH($D768,INSUMOS!$A$6:$A$205,0)),IVA_VENTAS))</f>
        <v/>
      </c>
      <c r="L768" s="35" t="str">
        <f aca="false">IF($D768="","",N($J768)*$K768)</f>
        <v/>
      </c>
      <c r="M768" s="35" t="str">
        <f aca="false">IF($D768="","",N($J768)+$L768)</f>
        <v/>
      </c>
      <c r="N768" s="43" t="str">
        <f aca="false">IF($D768="","",IFERROR(N($J768)/$I768,0))</f>
        <v/>
      </c>
      <c r="O768" s="6"/>
      <c r="P768" s="6"/>
      <c r="Q768" s="46" t="str">
        <f aca="false">IF($A768="","",DATE(YEAR($A768),MONTH($A768),1))</f>
        <v/>
      </c>
      <c r="R768" s="8" t="str">
        <f aca="false">IF(OR($A768="",$D768=""),"",IF(COUNTIFS($D$6:$D$1005,$D768,$A$6:$A$1005,"&gt;"&amp;$A768)=0,1,0))</f>
        <v/>
      </c>
    </row>
    <row r="769" customFormat="false" ht="15" hidden="false" customHeight="false" outlineLevel="0" collapsed="false">
      <c r="A769" s="44"/>
      <c r="B769" s="6"/>
      <c r="C769" s="6"/>
      <c r="D769" s="6"/>
      <c r="E769" s="8" t="str">
        <f aca="false">IF($D769="","",IFERROR(INDEX(INSUMOS!$B$6:$B$205,MATCH($D769,INSUMOS!$A$6:$A$205,0)),"¿Código?"))</f>
        <v/>
      </c>
      <c r="F769" s="8" t="str">
        <f aca="false">IF($D769="","",IFERROR(INDEX(INSUMOS!$E$6:$E$205,MATCH($D769,INSUMOS!$A$6:$A$205,0)),""))</f>
        <v/>
      </c>
      <c r="G769" s="39"/>
      <c r="H769" s="45" t="str">
        <f aca="false">IF($D769="","",IFERROR(INDEX(INSUMOS!$F$6:$F$205,MATCH($D769,INSUMOS!$A$6:$A$205,0)),0))</f>
        <v/>
      </c>
      <c r="I769" s="34" t="str">
        <f aca="false">IF($D769="","",N($G769)*$H769)</f>
        <v/>
      </c>
      <c r="J769" s="40"/>
      <c r="K769" s="36" t="str">
        <f aca="false">IF($D769="","",IFERROR(INDEX(INSUMOS!$H$6:$H$205,MATCH($D769,INSUMOS!$A$6:$A$205,0)),IVA_VENTAS))</f>
        <v/>
      </c>
      <c r="L769" s="35" t="str">
        <f aca="false">IF($D769="","",N($J769)*$K769)</f>
        <v/>
      </c>
      <c r="M769" s="35" t="str">
        <f aca="false">IF($D769="","",N($J769)+$L769)</f>
        <v/>
      </c>
      <c r="N769" s="43" t="str">
        <f aca="false">IF($D769="","",IFERROR(N($J769)/$I769,0))</f>
        <v/>
      </c>
      <c r="O769" s="6"/>
      <c r="P769" s="6"/>
      <c r="Q769" s="46" t="str">
        <f aca="false">IF($A769="","",DATE(YEAR($A769),MONTH($A769),1))</f>
        <v/>
      </c>
      <c r="R769" s="8" t="str">
        <f aca="false">IF(OR($A769="",$D769=""),"",IF(COUNTIFS($D$6:$D$1005,$D769,$A$6:$A$1005,"&gt;"&amp;$A769)=0,1,0))</f>
        <v/>
      </c>
    </row>
    <row r="770" customFormat="false" ht="15" hidden="false" customHeight="false" outlineLevel="0" collapsed="false">
      <c r="A770" s="44"/>
      <c r="B770" s="6"/>
      <c r="C770" s="6"/>
      <c r="D770" s="6"/>
      <c r="E770" s="8" t="str">
        <f aca="false">IF($D770="","",IFERROR(INDEX(INSUMOS!$B$6:$B$205,MATCH($D770,INSUMOS!$A$6:$A$205,0)),"¿Código?"))</f>
        <v/>
      </c>
      <c r="F770" s="8" t="str">
        <f aca="false">IF($D770="","",IFERROR(INDEX(INSUMOS!$E$6:$E$205,MATCH($D770,INSUMOS!$A$6:$A$205,0)),""))</f>
        <v/>
      </c>
      <c r="G770" s="39"/>
      <c r="H770" s="45" t="str">
        <f aca="false">IF($D770="","",IFERROR(INDEX(INSUMOS!$F$6:$F$205,MATCH($D770,INSUMOS!$A$6:$A$205,0)),0))</f>
        <v/>
      </c>
      <c r="I770" s="34" t="str">
        <f aca="false">IF($D770="","",N($G770)*$H770)</f>
        <v/>
      </c>
      <c r="J770" s="40"/>
      <c r="K770" s="36" t="str">
        <f aca="false">IF($D770="","",IFERROR(INDEX(INSUMOS!$H$6:$H$205,MATCH($D770,INSUMOS!$A$6:$A$205,0)),IVA_VENTAS))</f>
        <v/>
      </c>
      <c r="L770" s="35" t="str">
        <f aca="false">IF($D770="","",N($J770)*$K770)</f>
        <v/>
      </c>
      <c r="M770" s="35" t="str">
        <f aca="false">IF($D770="","",N($J770)+$L770)</f>
        <v/>
      </c>
      <c r="N770" s="43" t="str">
        <f aca="false">IF($D770="","",IFERROR(N($J770)/$I770,0))</f>
        <v/>
      </c>
      <c r="O770" s="6"/>
      <c r="P770" s="6"/>
      <c r="Q770" s="46" t="str">
        <f aca="false">IF($A770="","",DATE(YEAR($A770),MONTH($A770),1))</f>
        <v/>
      </c>
      <c r="R770" s="8" t="str">
        <f aca="false">IF(OR($A770="",$D770=""),"",IF(COUNTIFS($D$6:$D$1005,$D770,$A$6:$A$1005,"&gt;"&amp;$A770)=0,1,0))</f>
        <v/>
      </c>
    </row>
    <row r="771" customFormat="false" ht="15" hidden="false" customHeight="false" outlineLevel="0" collapsed="false">
      <c r="A771" s="44"/>
      <c r="B771" s="6"/>
      <c r="C771" s="6"/>
      <c r="D771" s="6"/>
      <c r="E771" s="8" t="str">
        <f aca="false">IF($D771="","",IFERROR(INDEX(INSUMOS!$B$6:$B$205,MATCH($D771,INSUMOS!$A$6:$A$205,0)),"¿Código?"))</f>
        <v/>
      </c>
      <c r="F771" s="8" t="str">
        <f aca="false">IF($D771="","",IFERROR(INDEX(INSUMOS!$E$6:$E$205,MATCH($D771,INSUMOS!$A$6:$A$205,0)),""))</f>
        <v/>
      </c>
      <c r="G771" s="39"/>
      <c r="H771" s="45" t="str">
        <f aca="false">IF($D771="","",IFERROR(INDEX(INSUMOS!$F$6:$F$205,MATCH($D771,INSUMOS!$A$6:$A$205,0)),0))</f>
        <v/>
      </c>
      <c r="I771" s="34" t="str">
        <f aca="false">IF($D771="","",N($G771)*$H771)</f>
        <v/>
      </c>
      <c r="J771" s="40"/>
      <c r="K771" s="36" t="str">
        <f aca="false">IF($D771="","",IFERROR(INDEX(INSUMOS!$H$6:$H$205,MATCH($D771,INSUMOS!$A$6:$A$205,0)),IVA_VENTAS))</f>
        <v/>
      </c>
      <c r="L771" s="35" t="str">
        <f aca="false">IF($D771="","",N($J771)*$K771)</f>
        <v/>
      </c>
      <c r="M771" s="35" t="str">
        <f aca="false">IF($D771="","",N($J771)+$L771)</f>
        <v/>
      </c>
      <c r="N771" s="43" t="str">
        <f aca="false">IF($D771="","",IFERROR(N($J771)/$I771,0))</f>
        <v/>
      </c>
      <c r="O771" s="6"/>
      <c r="P771" s="6"/>
      <c r="Q771" s="46" t="str">
        <f aca="false">IF($A771="","",DATE(YEAR($A771),MONTH($A771),1))</f>
        <v/>
      </c>
      <c r="R771" s="8" t="str">
        <f aca="false">IF(OR($A771="",$D771=""),"",IF(COUNTIFS($D$6:$D$1005,$D771,$A$6:$A$1005,"&gt;"&amp;$A771)=0,1,0))</f>
        <v/>
      </c>
    </row>
    <row r="772" customFormat="false" ht="15" hidden="false" customHeight="false" outlineLevel="0" collapsed="false">
      <c r="A772" s="44"/>
      <c r="B772" s="6"/>
      <c r="C772" s="6"/>
      <c r="D772" s="6"/>
      <c r="E772" s="8" t="str">
        <f aca="false">IF($D772="","",IFERROR(INDEX(INSUMOS!$B$6:$B$205,MATCH($D772,INSUMOS!$A$6:$A$205,0)),"¿Código?"))</f>
        <v/>
      </c>
      <c r="F772" s="8" t="str">
        <f aca="false">IF($D772="","",IFERROR(INDEX(INSUMOS!$E$6:$E$205,MATCH($D772,INSUMOS!$A$6:$A$205,0)),""))</f>
        <v/>
      </c>
      <c r="G772" s="39"/>
      <c r="H772" s="45" t="str">
        <f aca="false">IF($D772="","",IFERROR(INDEX(INSUMOS!$F$6:$F$205,MATCH($D772,INSUMOS!$A$6:$A$205,0)),0))</f>
        <v/>
      </c>
      <c r="I772" s="34" t="str">
        <f aca="false">IF($D772="","",N($G772)*$H772)</f>
        <v/>
      </c>
      <c r="J772" s="40"/>
      <c r="K772" s="36" t="str">
        <f aca="false">IF($D772="","",IFERROR(INDEX(INSUMOS!$H$6:$H$205,MATCH($D772,INSUMOS!$A$6:$A$205,0)),IVA_VENTAS))</f>
        <v/>
      </c>
      <c r="L772" s="35" t="str">
        <f aca="false">IF($D772="","",N($J772)*$K772)</f>
        <v/>
      </c>
      <c r="M772" s="35" t="str">
        <f aca="false">IF($D772="","",N($J772)+$L772)</f>
        <v/>
      </c>
      <c r="N772" s="43" t="str">
        <f aca="false">IF($D772="","",IFERROR(N($J772)/$I772,0))</f>
        <v/>
      </c>
      <c r="O772" s="6"/>
      <c r="P772" s="6"/>
      <c r="Q772" s="46" t="str">
        <f aca="false">IF($A772="","",DATE(YEAR($A772),MONTH($A772),1))</f>
        <v/>
      </c>
      <c r="R772" s="8" t="str">
        <f aca="false">IF(OR($A772="",$D772=""),"",IF(COUNTIFS($D$6:$D$1005,$D772,$A$6:$A$1005,"&gt;"&amp;$A772)=0,1,0))</f>
        <v/>
      </c>
    </row>
    <row r="773" customFormat="false" ht="15" hidden="false" customHeight="false" outlineLevel="0" collapsed="false">
      <c r="A773" s="44"/>
      <c r="B773" s="6"/>
      <c r="C773" s="6"/>
      <c r="D773" s="6"/>
      <c r="E773" s="8" t="str">
        <f aca="false">IF($D773="","",IFERROR(INDEX(INSUMOS!$B$6:$B$205,MATCH($D773,INSUMOS!$A$6:$A$205,0)),"¿Código?"))</f>
        <v/>
      </c>
      <c r="F773" s="8" t="str">
        <f aca="false">IF($D773="","",IFERROR(INDEX(INSUMOS!$E$6:$E$205,MATCH($D773,INSUMOS!$A$6:$A$205,0)),""))</f>
        <v/>
      </c>
      <c r="G773" s="39"/>
      <c r="H773" s="45" t="str">
        <f aca="false">IF($D773="","",IFERROR(INDEX(INSUMOS!$F$6:$F$205,MATCH($D773,INSUMOS!$A$6:$A$205,0)),0))</f>
        <v/>
      </c>
      <c r="I773" s="34" t="str">
        <f aca="false">IF($D773="","",N($G773)*$H773)</f>
        <v/>
      </c>
      <c r="J773" s="40"/>
      <c r="K773" s="36" t="str">
        <f aca="false">IF($D773="","",IFERROR(INDEX(INSUMOS!$H$6:$H$205,MATCH($D773,INSUMOS!$A$6:$A$205,0)),IVA_VENTAS))</f>
        <v/>
      </c>
      <c r="L773" s="35" t="str">
        <f aca="false">IF($D773="","",N($J773)*$K773)</f>
        <v/>
      </c>
      <c r="M773" s="35" t="str">
        <f aca="false">IF($D773="","",N($J773)+$L773)</f>
        <v/>
      </c>
      <c r="N773" s="43" t="str">
        <f aca="false">IF($D773="","",IFERROR(N($J773)/$I773,0))</f>
        <v/>
      </c>
      <c r="O773" s="6"/>
      <c r="P773" s="6"/>
      <c r="Q773" s="46" t="str">
        <f aca="false">IF($A773="","",DATE(YEAR($A773),MONTH($A773),1))</f>
        <v/>
      </c>
      <c r="R773" s="8" t="str">
        <f aca="false">IF(OR($A773="",$D773=""),"",IF(COUNTIFS($D$6:$D$1005,$D773,$A$6:$A$1005,"&gt;"&amp;$A773)=0,1,0))</f>
        <v/>
      </c>
    </row>
    <row r="774" customFormat="false" ht="15" hidden="false" customHeight="false" outlineLevel="0" collapsed="false">
      <c r="A774" s="44"/>
      <c r="B774" s="6"/>
      <c r="C774" s="6"/>
      <c r="D774" s="6"/>
      <c r="E774" s="8" t="str">
        <f aca="false">IF($D774="","",IFERROR(INDEX(INSUMOS!$B$6:$B$205,MATCH($D774,INSUMOS!$A$6:$A$205,0)),"¿Código?"))</f>
        <v/>
      </c>
      <c r="F774" s="8" t="str">
        <f aca="false">IF($D774="","",IFERROR(INDEX(INSUMOS!$E$6:$E$205,MATCH($D774,INSUMOS!$A$6:$A$205,0)),""))</f>
        <v/>
      </c>
      <c r="G774" s="39"/>
      <c r="H774" s="45" t="str">
        <f aca="false">IF($D774="","",IFERROR(INDEX(INSUMOS!$F$6:$F$205,MATCH($D774,INSUMOS!$A$6:$A$205,0)),0))</f>
        <v/>
      </c>
      <c r="I774" s="34" t="str">
        <f aca="false">IF($D774="","",N($G774)*$H774)</f>
        <v/>
      </c>
      <c r="J774" s="40"/>
      <c r="K774" s="36" t="str">
        <f aca="false">IF($D774="","",IFERROR(INDEX(INSUMOS!$H$6:$H$205,MATCH($D774,INSUMOS!$A$6:$A$205,0)),IVA_VENTAS))</f>
        <v/>
      </c>
      <c r="L774" s="35" t="str">
        <f aca="false">IF($D774="","",N($J774)*$K774)</f>
        <v/>
      </c>
      <c r="M774" s="35" t="str">
        <f aca="false">IF($D774="","",N($J774)+$L774)</f>
        <v/>
      </c>
      <c r="N774" s="43" t="str">
        <f aca="false">IF($D774="","",IFERROR(N($J774)/$I774,0))</f>
        <v/>
      </c>
      <c r="O774" s="6"/>
      <c r="P774" s="6"/>
      <c r="Q774" s="46" t="str">
        <f aca="false">IF($A774="","",DATE(YEAR($A774),MONTH($A774),1))</f>
        <v/>
      </c>
      <c r="R774" s="8" t="str">
        <f aca="false">IF(OR($A774="",$D774=""),"",IF(COUNTIFS($D$6:$D$1005,$D774,$A$6:$A$1005,"&gt;"&amp;$A774)=0,1,0))</f>
        <v/>
      </c>
    </row>
    <row r="775" customFormat="false" ht="15" hidden="false" customHeight="false" outlineLevel="0" collapsed="false">
      <c r="A775" s="44"/>
      <c r="B775" s="6"/>
      <c r="C775" s="6"/>
      <c r="D775" s="6"/>
      <c r="E775" s="8" t="str">
        <f aca="false">IF($D775="","",IFERROR(INDEX(INSUMOS!$B$6:$B$205,MATCH($D775,INSUMOS!$A$6:$A$205,0)),"¿Código?"))</f>
        <v/>
      </c>
      <c r="F775" s="8" t="str">
        <f aca="false">IF($D775="","",IFERROR(INDEX(INSUMOS!$E$6:$E$205,MATCH($D775,INSUMOS!$A$6:$A$205,0)),""))</f>
        <v/>
      </c>
      <c r="G775" s="39"/>
      <c r="H775" s="45" t="str">
        <f aca="false">IF($D775="","",IFERROR(INDEX(INSUMOS!$F$6:$F$205,MATCH($D775,INSUMOS!$A$6:$A$205,0)),0))</f>
        <v/>
      </c>
      <c r="I775" s="34" t="str">
        <f aca="false">IF($D775="","",N($G775)*$H775)</f>
        <v/>
      </c>
      <c r="J775" s="40"/>
      <c r="K775" s="36" t="str">
        <f aca="false">IF($D775="","",IFERROR(INDEX(INSUMOS!$H$6:$H$205,MATCH($D775,INSUMOS!$A$6:$A$205,0)),IVA_VENTAS))</f>
        <v/>
      </c>
      <c r="L775" s="35" t="str">
        <f aca="false">IF($D775="","",N($J775)*$K775)</f>
        <v/>
      </c>
      <c r="M775" s="35" t="str">
        <f aca="false">IF($D775="","",N($J775)+$L775)</f>
        <v/>
      </c>
      <c r="N775" s="43" t="str">
        <f aca="false">IF($D775="","",IFERROR(N($J775)/$I775,0))</f>
        <v/>
      </c>
      <c r="O775" s="6"/>
      <c r="P775" s="6"/>
      <c r="Q775" s="46" t="str">
        <f aca="false">IF($A775="","",DATE(YEAR($A775),MONTH($A775),1))</f>
        <v/>
      </c>
      <c r="R775" s="8" t="str">
        <f aca="false">IF(OR($A775="",$D775=""),"",IF(COUNTIFS($D$6:$D$1005,$D775,$A$6:$A$1005,"&gt;"&amp;$A775)=0,1,0))</f>
        <v/>
      </c>
    </row>
    <row r="776" customFormat="false" ht="15" hidden="false" customHeight="false" outlineLevel="0" collapsed="false">
      <c r="A776" s="44"/>
      <c r="B776" s="6"/>
      <c r="C776" s="6"/>
      <c r="D776" s="6"/>
      <c r="E776" s="8" t="str">
        <f aca="false">IF($D776="","",IFERROR(INDEX(INSUMOS!$B$6:$B$205,MATCH($D776,INSUMOS!$A$6:$A$205,0)),"¿Código?"))</f>
        <v/>
      </c>
      <c r="F776" s="8" t="str">
        <f aca="false">IF($D776="","",IFERROR(INDEX(INSUMOS!$E$6:$E$205,MATCH($D776,INSUMOS!$A$6:$A$205,0)),""))</f>
        <v/>
      </c>
      <c r="G776" s="39"/>
      <c r="H776" s="45" t="str">
        <f aca="false">IF($D776="","",IFERROR(INDEX(INSUMOS!$F$6:$F$205,MATCH($D776,INSUMOS!$A$6:$A$205,0)),0))</f>
        <v/>
      </c>
      <c r="I776" s="34" t="str">
        <f aca="false">IF($D776="","",N($G776)*$H776)</f>
        <v/>
      </c>
      <c r="J776" s="40"/>
      <c r="K776" s="36" t="str">
        <f aca="false">IF($D776="","",IFERROR(INDEX(INSUMOS!$H$6:$H$205,MATCH($D776,INSUMOS!$A$6:$A$205,0)),IVA_VENTAS))</f>
        <v/>
      </c>
      <c r="L776" s="35" t="str">
        <f aca="false">IF($D776="","",N($J776)*$K776)</f>
        <v/>
      </c>
      <c r="M776" s="35" t="str">
        <f aca="false">IF($D776="","",N($J776)+$L776)</f>
        <v/>
      </c>
      <c r="N776" s="43" t="str">
        <f aca="false">IF($D776="","",IFERROR(N($J776)/$I776,0))</f>
        <v/>
      </c>
      <c r="O776" s="6"/>
      <c r="P776" s="6"/>
      <c r="Q776" s="46" t="str">
        <f aca="false">IF($A776="","",DATE(YEAR($A776),MONTH($A776),1))</f>
        <v/>
      </c>
      <c r="R776" s="8" t="str">
        <f aca="false">IF(OR($A776="",$D776=""),"",IF(COUNTIFS($D$6:$D$1005,$D776,$A$6:$A$1005,"&gt;"&amp;$A776)=0,1,0))</f>
        <v/>
      </c>
    </row>
    <row r="777" customFormat="false" ht="15" hidden="false" customHeight="false" outlineLevel="0" collapsed="false">
      <c r="A777" s="44"/>
      <c r="B777" s="6"/>
      <c r="C777" s="6"/>
      <c r="D777" s="6"/>
      <c r="E777" s="8" t="str">
        <f aca="false">IF($D777="","",IFERROR(INDEX(INSUMOS!$B$6:$B$205,MATCH($D777,INSUMOS!$A$6:$A$205,0)),"¿Código?"))</f>
        <v/>
      </c>
      <c r="F777" s="8" t="str">
        <f aca="false">IF($D777="","",IFERROR(INDEX(INSUMOS!$E$6:$E$205,MATCH($D777,INSUMOS!$A$6:$A$205,0)),""))</f>
        <v/>
      </c>
      <c r="G777" s="39"/>
      <c r="H777" s="45" t="str">
        <f aca="false">IF($D777="","",IFERROR(INDEX(INSUMOS!$F$6:$F$205,MATCH($D777,INSUMOS!$A$6:$A$205,0)),0))</f>
        <v/>
      </c>
      <c r="I777" s="34" t="str">
        <f aca="false">IF($D777="","",N($G777)*$H777)</f>
        <v/>
      </c>
      <c r="J777" s="40"/>
      <c r="K777" s="36" t="str">
        <f aca="false">IF($D777="","",IFERROR(INDEX(INSUMOS!$H$6:$H$205,MATCH($D777,INSUMOS!$A$6:$A$205,0)),IVA_VENTAS))</f>
        <v/>
      </c>
      <c r="L777" s="35" t="str">
        <f aca="false">IF($D777="","",N($J777)*$K777)</f>
        <v/>
      </c>
      <c r="M777" s="35" t="str">
        <f aca="false">IF($D777="","",N($J777)+$L777)</f>
        <v/>
      </c>
      <c r="N777" s="43" t="str">
        <f aca="false">IF($D777="","",IFERROR(N($J777)/$I777,0))</f>
        <v/>
      </c>
      <c r="O777" s="6"/>
      <c r="P777" s="6"/>
      <c r="Q777" s="46" t="str">
        <f aca="false">IF($A777="","",DATE(YEAR($A777),MONTH($A777),1))</f>
        <v/>
      </c>
      <c r="R777" s="8" t="str">
        <f aca="false">IF(OR($A777="",$D777=""),"",IF(COUNTIFS($D$6:$D$1005,$D777,$A$6:$A$1005,"&gt;"&amp;$A777)=0,1,0))</f>
        <v/>
      </c>
    </row>
    <row r="778" customFormat="false" ht="15" hidden="false" customHeight="false" outlineLevel="0" collapsed="false">
      <c r="A778" s="44"/>
      <c r="B778" s="6"/>
      <c r="C778" s="6"/>
      <c r="D778" s="6"/>
      <c r="E778" s="8" t="str">
        <f aca="false">IF($D778="","",IFERROR(INDEX(INSUMOS!$B$6:$B$205,MATCH($D778,INSUMOS!$A$6:$A$205,0)),"¿Código?"))</f>
        <v/>
      </c>
      <c r="F778" s="8" t="str">
        <f aca="false">IF($D778="","",IFERROR(INDEX(INSUMOS!$E$6:$E$205,MATCH($D778,INSUMOS!$A$6:$A$205,0)),""))</f>
        <v/>
      </c>
      <c r="G778" s="39"/>
      <c r="H778" s="45" t="str">
        <f aca="false">IF($D778="","",IFERROR(INDEX(INSUMOS!$F$6:$F$205,MATCH($D778,INSUMOS!$A$6:$A$205,0)),0))</f>
        <v/>
      </c>
      <c r="I778" s="34" t="str">
        <f aca="false">IF($D778="","",N($G778)*$H778)</f>
        <v/>
      </c>
      <c r="J778" s="40"/>
      <c r="K778" s="36" t="str">
        <f aca="false">IF($D778="","",IFERROR(INDEX(INSUMOS!$H$6:$H$205,MATCH($D778,INSUMOS!$A$6:$A$205,0)),IVA_VENTAS))</f>
        <v/>
      </c>
      <c r="L778" s="35" t="str">
        <f aca="false">IF($D778="","",N($J778)*$K778)</f>
        <v/>
      </c>
      <c r="M778" s="35" t="str">
        <f aca="false">IF($D778="","",N($J778)+$L778)</f>
        <v/>
      </c>
      <c r="N778" s="43" t="str">
        <f aca="false">IF($D778="","",IFERROR(N($J778)/$I778,0))</f>
        <v/>
      </c>
      <c r="O778" s="6"/>
      <c r="P778" s="6"/>
      <c r="Q778" s="46" t="str">
        <f aca="false">IF($A778="","",DATE(YEAR($A778),MONTH($A778),1))</f>
        <v/>
      </c>
      <c r="R778" s="8" t="str">
        <f aca="false">IF(OR($A778="",$D778=""),"",IF(COUNTIFS($D$6:$D$1005,$D778,$A$6:$A$1005,"&gt;"&amp;$A778)=0,1,0))</f>
        <v/>
      </c>
    </row>
    <row r="779" customFormat="false" ht="15" hidden="false" customHeight="false" outlineLevel="0" collapsed="false">
      <c r="A779" s="44"/>
      <c r="B779" s="6"/>
      <c r="C779" s="6"/>
      <c r="D779" s="6"/>
      <c r="E779" s="8" t="str">
        <f aca="false">IF($D779="","",IFERROR(INDEX(INSUMOS!$B$6:$B$205,MATCH($D779,INSUMOS!$A$6:$A$205,0)),"¿Código?"))</f>
        <v/>
      </c>
      <c r="F779" s="8" t="str">
        <f aca="false">IF($D779="","",IFERROR(INDEX(INSUMOS!$E$6:$E$205,MATCH($D779,INSUMOS!$A$6:$A$205,0)),""))</f>
        <v/>
      </c>
      <c r="G779" s="39"/>
      <c r="H779" s="45" t="str">
        <f aca="false">IF($D779="","",IFERROR(INDEX(INSUMOS!$F$6:$F$205,MATCH($D779,INSUMOS!$A$6:$A$205,0)),0))</f>
        <v/>
      </c>
      <c r="I779" s="34" t="str">
        <f aca="false">IF($D779="","",N($G779)*$H779)</f>
        <v/>
      </c>
      <c r="J779" s="40"/>
      <c r="K779" s="36" t="str">
        <f aca="false">IF($D779="","",IFERROR(INDEX(INSUMOS!$H$6:$H$205,MATCH($D779,INSUMOS!$A$6:$A$205,0)),IVA_VENTAS))</f>
        <v/>
      </c>
      <c r="L779" s="35" t="str">
        <f aca="false">IF($D779="","",N($J779)*$K779)</f>
        <v/>
      </c>
      <c r="M779" s="35" t="str">
        <f aca="false">IF($D779="","",N($J779)+$L779)</f>
        <v/>
      </c>
      <c r="N779" s="43" t="str">
        <f aca="false">IF($D779="","",IFERROR(N($J779)/$I779,0))</f>
        <v/>
      </c>
      <c r="O779" s="6"/>
      <c r="P779" s="6"/>
      <c r="Q779" s="46" t="str">
        <f aca="false">IF($A779="","",DATE(YEAR($A779),MONTH($A779),1))</f>
        <v/>
      </c>
      <c r="R779" s="8" t="str">
        <f aca="false">IF(OR($A779="",$D779=""),"",IF(COUNTIFS($D$6:$D$1005,$D779,$A$6:$A$1005,"&gt;"&amp;$A779)=0,1,0))</f>
        <v/>
      </c>
    </row>
    <row r="780" customFormat="false" ht="15" hidden="false" customHeight="false" outlineLevel="0" collapsed="false">
      <c r="A780" s="44"/>
      <c r="B780" s="6"/>
      <c r="C780" s="6"/>
      <c r="D780" s="6"/>
      <c r="E780" s="8" t="str">
        <f aca="false">IF($D780="","",IFERROR(INDEX(INSUMOS!$B$6:$B$205,MATCH($D780,INSUMOS!$A$6:$A$205,0)),"¿Código?"))</f>
        <v/>
      </c>
      <c r="F780" s="8" t="str">
        <f aca="false">IF($D780="","",IFERROR(INDEX(INSUMOS!$E$6:$E$205,MATCH($D780,INSUMOS!$A$6:$A$205,0)),""))</f>
        <v/>
      </c>
      <c r="G780" s="39"/>
      <c r="H780" s="45" t="str">
        <f aca="false">IF($D780="","",IFERROR(INDEX(INSUMOS!$F$6:$F$205,MATCH($D780,INSUMOS!$A$6:$A$205,0)),0))</f>
        <v/>
      </c>
      <c r="I780" s="34" t="str">
        <f aca="false">IF($D780="","",N($G780)*$H780)</f>
        <v/>
      </c>
      <c r="J780" s="40"/>
      <c r="K780" s="36" t="str">
        <f aca="false">IF($D780="","",IFERROR(INDEX(INSUMOS!$H$6:$H$205,MATCH($D780,INSUMOS!$A$6:$A$205,0)),IVA_VENTAS))</f>
        <v/>
      </c>
      <c r="L780" s="35" t="str">
        <f aca="false">IF($D780="","",N($J780)*$K780)</f>
        <v/>
      </c>
      <c r="M780" s="35" t="str">
        <f aca="false">IF($D780="","",N($J780)+$L780)</f>
        <v/>
      </c>
      <c r="N780" s="43" t="str">
        <f aca="false">IF($D780="","",IFERROR(N($J780)/$I780,0))</f>
        <v/>
      </c>
      <c r="O780" s="6"/>
      <c r="P780" s="6"/>
      <c r="Q780" s="46" t="str">
        <f aca="false">IF($A780="","",DATE(YEAR($A780),MONTH($A780),1))</f>
        <v/>
      </c>
      <c r="R780" s="8" t="str">
        <f aca="false">IF(OR($A780="",$D780=""),"",IF(COUNTIFS($D$6:$D$1005,$D780,$A$6:$A$1005,"&gt;"&amp;$A780)=0,1,0))</f>
        <v/>
      </c>
    </row>
    <row r="781" customFormat="false" ht="15" hidden="false" customHeight="false" outlineLevel="0" collapsed="false">
      <c r="A781" s="44"/>
      <c r="B781" s="6"/>
      <c r="C781" s="6"/>
      <c r="D781" s="6"/>
      <c r="E781" s="8" t="str">
        <f aca="false">IF($D781="","",IFERROR(INDEX(INSUMOS!$B$6:$B$205,MATCH($D781,INSUMOS!$A$6:$A$205,0)),"¿Código?"))</f>
        <v/>
      </c>
      <c r="F781" s="8" t="str">
        <f aca="false">IF($D781="","",IFERROR(INDEX(INSUMOS!$E$6:$E$205,MATCH($D781,INSUMOS!$A$6:$A$205,0)),""))</f>
        <v/>
      </c>
      <c r="G781" s="39"/>
      <c r="H781" s="45" t="str">
        <f aca="false">IF($D781="","",IFERROR(INDEX(INSUMOS!$F$6:$F$205,MATCH($D781,INSUMOS!$A$6:$A$205,0)),0))</f>
        <v/>
      </c>
      <c r="I781" s="34" t="str">
        <f aca="false">IF($D781="","",N($G781)*$H781)</f>
        <v/>
      </c>
      <c r="J781" s="40"/>
      <c r="K781" s="36" t="str">
        <f aca="false">IF($D781="","",IFERROR(INDEX(INSUMOS!$H$6:$H$205,MATCH($D781,INSUMOS!$A$6:$A$205,0)),IVA_VENTAS))</f>
        <v/>
      </c>
      <c r="L781" s="35" t="str">
        <f aca="false">IF($D781="","",N($J781)*$K781)</f>
        <v/>
      </c>
      <c r="M781" s="35" t="str">
        <f aca="false">IF($D781="","",N($J781)+$L781)</f>
        <v/>
      </c>
      <c r="N781" s="43" t="str">
        <f aca="false">IF($D781="","",IFERROR(N($J781)/$I781,0))</f>
        <v/>
      </c>
      <c r="O781" s="6"/>
      <c r="P781" s="6"/>
      <c r="Q781" s="46" t="str">
        <f aca="false">IF($A781="","",DATE(YEAR($A781),MONTH($A781),1))</f>
        <v/>
      </c>
      <c r="R781" s="8" t="str">
        <f aca="false">IF(OR($A781="",$D781=""),"",IF(COUNTIFS($D$6:$D$1005,$D781,$A$6:$A$1005,"&gt;"&amp;$A781)=0,1,0))</f>
        <v/>
      </c>
    </row>
    <row r="782" customFormat="false" ht="15" hidden="false" customHeight="false" outlineLevel="0" collapsed="false">
      <c r="A782" s="44"/>
      <c r="B782" s="6"/>
      <c r="C782" s="6"/>
      <c r="D782" s="6"/>
      <c r="E782" s="8" t="str">
        <f aca="false">IF($D782="","",IFERROR(INDEX(INSUMOS!$B$6:$B$205,MATCH($D782,INSUMOS!$A$6:$A$205,0)),"¿Código?"))</f>
        <v/>
      </c>
      <c r="F782" s="8" t="str">
        <f aca="false">IF($D782="","",IFERROR(INDEX(INSUMOS!$E$6:$E$205,MATCH($D782,INSUMOS!$A$6:$A$205,0)),""))</f>
        <v/>
      </c>
      <c r="G782" s="39"/>
      <c r="H782" s="45" t="str">
        <f aca="false">IF($D782="","",IFERROR(INDEX(INSUMOS!$F$6:$F$205,MATCH($D782,INSUMOS!$A$6:$A$205,0)),0))</f>
        <v/>
      </c>
      <c r="I782" s="34" t="str">
        <f aca="false">IF($D782="","",N($G782)*$H782)</f>
        <v/>
      </c>
      <c r="J782" s="40"/>
      <c r="K782" s="36" t="str">
        <f aca="false">IF($D782="","",IFERROR(INDEX(INSUMOS!$H$6:$H$205,MATCH($D782,INSUMOS!$A$6:$A$205,0)),IVA_VENTAS))</f>
        <v/>
      </c>
      <c r="L782" s="35" t="str">
        <f aca="false">IF($D782="","",N($J782)*$K782)</f>
        <v/>
      </c>
      <c r="M782" s="35" t="str">
        <f aca="false">IF($D782="","",N($J782)+$L782)</f>
        <v/>
      </c>
      <c r="N782" s="43" t="str">
        <f aca="false">IF($D782="","",IFERROR(N($J782)/$I782,0))</f>
        <v/>
      </c>
      <c r="O782" s="6"/>
      <c r="P782" s="6"/>
      <c r="Q782" s="46" t="str">
        <f aca="false">IF($A782="","",DATE(YEAR($A782),MONTH($A782),1))</f>
        <v/>
      </c>
      <c r="R782" s="8" t="str">
        <f aca="false">IF(OR($A782="",$D782=""),"",IF(COUNTIFS($D$6:$D$1005,$D782,$A$6:$A$1005,"&gt;"&amp;$A782)=0,1,0))</f>
        <v/>
      </c>
    </row>
    <row r="783" customFormat="false" ht="15" hidden="false" customHeight="false" outlineLevel="0" collapsed="false">
      <c r="A783" s="44"/>
      <c r="B783" s="6"/>
      <c r="C783" s="6"/>
      <c r="D783" s="6"/>
      <c r="E783" s="8" t="str">
        <f aca="false">IF($D783="","",IFERROR(INDEX(INSUMOS!$B$6:$B$205,MATCH($D783,INSUMOS!$A$6:$A$205,0)),"¿Código?"))</f>
        <v/>
      </c>
      <c r="F783" s="8" t="str">
        <f aca="false">IF($D783="","",IFERROR(INDEX(INSUMOS!$E$6:$E$205,MATCH($D783,INSUMOS!$A$6:$A$205,0)),""))</f>
        <v/>
      </c>
      <c r="G783" s="39"/>
      <c r="H783" s="45" t="str">
        <f aca="false">IF($D783="","",IFERROR(INDEX(INSUMOS!$F$6:$F$205,MATCH($D783,INSUMOS!$A$6:$A$205,0)),0))</f>
        <v/>
      </c>
      <c r="I783" s="34" t="str">
        <f aca="false">IF($D783="","",N($G783)*$H783)</f>
        <v/>
      </c>
      <c r="J783" s="40"/>
      <c r="K783" s="36" t="str">
        <f aca="false">IF($D783="","",IFERROR(INDEX(INSUMOS!$H$6:$H$205,MATCH($D783,INSUMOS!$A$6:$A$205,0)),IVA_VENTAS))</f>
        <v/>
      </c>
      <c r="L783" s="35" t="str">
        <f aca="false">IF($D783="","",N($J783)*$K783)</f>
        <v/>
      </c>
      <c r="M783" s="35" t="str">
        <f aca="false">IF($D783="","",N($J783)+$L783)</f>
        <v/>
      </c>
      <c r="N783" s="43" t="str">
        <f aca="false">IF($D783="","",IFERROR(N($J783)/$I783,0))</f>
        <v/>
      </c>
      <c r="O783" s="6"/>
      <c r="P783" s="6"/>
      <c r="Q783" s="46" t="str">
        <f aca="false">IF($A783="","",DATE(YEAR($A783),MONTH($A783),1))</f>
        <v/>
      </c>
      <c r="R783" s="8" t="str">
        <f aca="false">IF(OR($A783="",$D783=""),"",IF(COUNTIFS($D$6:$D$1005,$D783,$A$6:$A$1005,"&gt;"&amp;$A783)=0,1,0))</f>
        <v/>
      </c>
    </row>
    <row r="784" customFormat="false" ht="15" hidden="false" customHeight="false" outlineLevel="0" collapsed="false">
      <c r="A784" s="44"/>
      <c r="B784" s="6"/>
      <c r="C784" s="6"/>
      <c r="D784" s="6"/>
      <c r="E784" s="8" t="str">
        <f aca="false">IF($D784="","",IFERROR(INDEX(INSUMOS!$B$6:$B$205,MATCH($D784,INSUMOS!$A$6:$A$205,0)),"¿Código?"))</f>
        <v/>
      </c>
      <c r="F784" s="8" t="str">
        <f aca="false">IF($D784="","",IFERROR(INDEX(INSUMOS!$E$6:$E$205,MATCH($D784,INSUMOS!$A$6:$A$205,0)),""))</f>
        <v/>
      </c>
      <c r="G784" s="39"/>
      <c r="H784" s="45" t="str">
        <f aca="false">IF($D784="","",IFERROR(INDEX(INSUMOS!$F$6:$F$205,MATCH($D784,INSUMOS!$A$6:$A$205,0)),0))</f>
        <v/>
      </c>
      <c r="I784" s="34" t="str">
        <f aca="false">IF($D784="","",N($G784)*$H784)</f>
        <v/>
      </c>
      <c r="J784" s="40"/>
      <c r="K784" s="36" t="str">
        <f aca="false">IF($D784="","",IFERROR(INDEX(INSUMOS!$H$6:$H$205,MATCH($D784,INSUMOS!$A$6:$A$205,0)),IVA_VENTAS))</f>
        <v/>
      </c>
      <c r="L784" s="35" t="str">
        <f aca="false">IF($D784="","",N($J784)*$K784)</f>
        <v/>
      </c>
      <c r="M784" s="35" t="str">
        <f aca="false">IF($D784="","",N($J784)+$L784)</f>
        <v/>
      </c>
      <c r="N784" s="43" t="str">
        <f aca="false">IF($D784="","",IFERROR(N($J784)/$I784,0))</f>
        <v/>
      </c>
      <c r="O784" s="6"/>
      <c r="P784" s="6"/>
      <c r="Q784" s="46" t="str">
        <f aca="false">IF($A784="","",DATE(YEAR($A784),MONTH($A784),1))</f>
        <v/>
      </c>
      <c r="R784" s="8" t="str">
        <f aca="false">IF(OR($A784="",$D784=""),"",IF(COUNTIFS($D$6:$D$1005,$D784,$A$6:$A$1005,"&gt;"&amp;$A784)=0,1,0))</f>
        <v/>
      </c>
    </row>
    <row r="785" customFormat="false" ht="15" hidden="false" customHeight="false" outlineLevel="0" collapsed="false">
      <c r="A785" s="44"/>
      <c r="B785" s="6"/>
      <c r="C785" s="6"/>
      <c r="D785" s="6"/>
      <c r="E785" s="8" t="str">
        <f aca="false">IF($D785="","",IFERROR(INDEX(INSUMOS!$B$6:$B$205,MATCH($D785,INSUMOS!$A$6:$A$205,0)),"¿Código?"))</f>
        <v/>
      </c>
      <c r="F785" s="8" t="str">
        <f aca="false">IF($D785="","",IFERROR(INDEX(INSUMOS!$E$6:$E$205,MATCH($D785,INSUMOS!$A$6:$A$205,0)),""))</f>
        <v/>
      </c>
      <c r="G785" s="39"/>
      <c r="H785" s="45" t="str">
        <f aca="false">IF($D785="","",IFERROR(INDEX(INSUMOS!$F$6:$F$205,MATCH($D785,INSUMOS!$A$6:$A$205,0)),0))</f>
        <v/>
      </c>
      <c r="I785" s="34" t="str">
        <f aca="false">IF($D785="","",N($G785)*$H785)</f>
        <v/>
      </c>
      <c r="J785" s="40"/>
      <c r="K785" s="36" t="str">
        <f aca="false">IF($D785="","",IFERROR(INDEX(INSUMOS!$H$6:$H$205,MATCH($D785,INSUMOS!$A$6:$A$205,0)),IVA_VENTAS))</f>
        <v/>
      </c>
      <c r="L785" s="35" t="str">
        <f aca="false">IF($D785="","",N($J785)*$K785)</f>
        <v/>
      </c>
      <c r="M785" s="35" t="str">
        <f aca="false">IF($D785="","",N($J785)+$L785)</f>
        <v/>
      </c>
      <c r="N785" s="43" t="str">
        <f aca="false">IF($D785="","",IFERROR(N($J785)/$I785,0))</f>
        <v/>
      </c>
      <c r="O785" s="6"/>
      <c r="P785" s="6"/>
      <c r="Q785" s="46" t="str">
        <f aca="false">IF($A785="","",DATE(YEAR($A785),MONTH($A785),1))</f>
        <v/>
      </c>
      <c r="R785" s="8" t="str">
        <f aca="false">IF(OR($A785="",$D785=""),"",IF(COUNTIFS($D$6:$D$1005,$D785,$A$6:$A$1005,"&gt;"&amp;$A785)=0,1,0))</f>
        <v/>
      </c>
    </row>
    <row r="786" customFormat="false" ht="15" hidden="false" customHeight="false" outlineLevel="0" collapsed="false">
      <c r="A786" s="44"/>
      <c r="B786" s="6"/>
      <c r="C786" s="6"/>
      <c r="D786" s="6"/>
      <c r="E786" s="8" t="str">
        <f aca="false">IF($D786="","",IFERROR(INDEX(INSUMOS!$B$6:$B$205,MATCH($D786,INSUMOS!$A$6:$A$205,0)),"¿Código?"))</f>
        <v/>
      </c>
      <c r="F786" s="8" t="str">
        <f aca="false">IF($D786="","",IFERROR(INDEX(INSUMOS!$E$6:$E$205,MATCH($D786,INSUMOS!$A$6:$A$205,0)),""))</f>
        <v/>
      </c>
      <c r="G786" s="39"/>
      <c r="H786" s="45" t="str">
        <f aca="false">IF($D786="","",IFERROR(INDEX(INSUMOS!$F$6:$F$205,MATCH($D786,INSUMOS!$A$6:$A$205,0)),0))</f>
        <v/>
      </c>
      <c r="I786" s="34" t="str">
        <f aca="false">IF($D786="","",N($G786)*$H786)</f>
        <v/>
      </c>
      <c r="J786" s="40"/>
      <c r="K786" s="36" t="str">
        <f aca="false">IF($D786="","",IFERROR(INDEX(INSUMOS!$H$6:$H$205,MATCH($D786,INSUMOS!$A$6:$A$205,0)),IVA_VENTAS))</f>
        <v/>
      </c>
      <c r="L786" s="35" t="str">
        <f aca="false">IF($D786="","",N($J786)*$K786)</f>
        <v/>
      </c>
      <c r="M786" s="35" t="str">
        <f aca="false">IF($D786="","",N($J786)+$L786)</f>
        <v/>
      </c>
      <c r="N786" s="43" t="str">
        <f aca="false">IF($D786="","",IFERROR(N($J786)/$I786,0))</f>
        <v/>
      </c>
      <c r="O786" s="6"/>
      <c r="P786" s="6"/>
      <c r="Q786" s="46" t="str">
        <f aca="false">IF($A786="","",DATE(YEAR($A786),MONTH($A786),1))</f>
        <v/>
      </c>
      <c r="R786" s="8" t="str">
        <f aca="false">IF(OR($A786="",$D786=""),"",IF(COUNTIFS($D$6:$D$1005,$D786,$A$6:$A$1005,"&gt;"&amp;$A786)=0,1,0))</f>
        <v/>
      </c>
    </row>
    <row r="787" customFormat="false" ht="15" hidden="false" customHeight="false" outlineLevel="0" collapsed="false">
      <c r="A787" s="44"/>
      <c r="B787" s="6"/>
      <c r="C787" s="6"/>
      <c r="D787" s="6"/>
      <c r="E787" s="8" t="str">
        <f aca="false">IF($D787="","",IFERROR(INDEX(INSUMOS!$B$6:$B$205,MATCH($D787,INSUMOS!$A$6:$A$205,0)),"¿Código?"))</f>
        <v/>
      </c>
      <c r="F787" s="8" t="str">
        <f aca="false">IF($D787="","",IFERROR(INDEX(INSUMOS!$E$6:$E$205,MATCH($D787,INSUMOS!$A$6:$A$205,0)),""))</f>
        <v/>
      </c>
      <c r="G787" s="39"/>
      <c r="H787" s="45" t="str">
        <f aca="false">IF($D787="","",IFERROR(INDEX(INSUMOS!$F$6:$F$205,MATCH($D787,INSUMOS!$A$6:$A$205,0)),0))</f>
        <v/>
      </c>
      <c r="I787" s="34" t="str">
        <f aca="false">IF($D787="","",N($G787)*$H787)</f>
        <v/>
      </c>
      <c r="J787" s="40"/>
      <c r="K787" s="36" t="str">
        <f aca="false">IF($D787="","",IFERROR(INDEX(INSUMOS!$H$6:$H$205,MATCH($D787,INSUMOS!$A$6:$A$205,0)),IVA_VENTAS))</f>
        <v/>
      </c>
      <c r="L787" s="35" t="str">
        <f aca="false">IF($D787="","",N($J787)*$K787)</f>
        <v/>
      </c>
      <c r="M787" s="35" t="str">
        <f aca="false">IF($D787="","",N($J787)+$L787)</f>
        <v/>
      </c>
      <c r="N787" s="43" t="str">
        <f aca="false">IF($D787="","",IFERROR(N($J787)/$I787,0))</f>
        <v/>
      </c>
      <c r="O787" s="6"/>
      <c r="P787" s="6"/>
      <c r="Q787" s="46" t="str">
        <f aca="false">IF($A787="","",DATE(YEAR($A787),MONTH($A787),1))</f>
        <v/>
      </c>
      <c r="R787" s="8" t="str">
        <f aca="false">IF(OR($A787="",$D787=""),"",IF(COUNTIFS($D$6:$D$1005,$D787,$A$6:$A$1005,"&gt;"&amp;$A787)=0,1,0))</f>
        <v/>
      </c>
    </row>
    <row r="788" customFormat="false" ht="15" hidden="false" customHeight="false" outlineLevel="0" collapsed="false">
      <c r="A788" s="44"/>
      <c r="B788" s="6"/>
      <c r="C788" s="6"/>
      <c r="D788" s="6"/>
      <c r="E788" s="8" t="str">
        <f aca="false">IF($D788="","",IFERROR(INDEX(INSUMOS!$B$6:$B$205,MATCH($D788,INSUMOS!$A$6:$A$205,0)),"¿Código?"))</f>
        <v/>
      </c>
      <c r="F788" s="8" t="str">
        <f aca="false">IF($D788="","",IFERROR(INDEX(INSUMOS!$E$6:$E$205,MATCH($D788,INSUMOS!$A$6:$A$205,0)),""))</f>
        <v/>
      </c>
      <c r="G788" s="39"/>
      <c r="H788" s="45" t="str">
        <f aca="false">IF($D788="","",IFERROR(INDEX(INSUMOS!$F$6:$F$205,MATCH($D788,INSUMOS!$A$6:$A$205,0)),0))</f>
        <v/>
      </c>
      <c r="I788" s="34" t="str">
        <f aca="false">IF($D788="","",N($G788)*$H788)</f>
        <v/>
      </c>
      <c r="J788" s="40"/>
      <c r="K788" s="36" t="str">
        <f aca="false">IF($D788="","",IFERROR(INDEX(INSUMOS!$H$6:$H$205,MATCH($D788,INSUMOS!$A$6:$A$205,0)),IVA_VENTAS))</f>
        <v/>
      </c>
      <c r="L788" s="35" t="str">
        <f aca="false">IF($D788="","",N($J788)*$K788)</f>
        <v/>
      </c>
      <c r="M788" s="35" t="str">
        <f aca="false">IF($D788="","",N($J788)+$L788)</f>
        <v/>
      </c>
      <c r="N788" s="43" t="str">
        <f aca="false">IF($D788="","",IFERROR(N($J788)/$I788,0))</f>
        <v/>
      </c>
      <c r="O788" s="6"/>
      <c r="P788" s="6"/>
      <c r="Q788" s="46" t="str">
        <f aca="false">IF($A788="","",DATE(YEAR($A788),MONTH($A788),1))</f>
        <v/>
      </c>
      <c r="R788" s="8" t="str">
        <f aca="false">IF(OR($A788="",$D788=""),"",IF(COUNTIFS($D$6:$D$1005,$D788,$A$6:$A$1005,"&gt;"&amp;$A788)=0,1,0))</f>
        <v/>
      </c>
    </row>
    <row r="789" customFormat="false" ht="15" hidden="false" customHeight="false" outlineLevel="0" collapsed="false">
      <c r="A789" s="44"/>
      <c r="B789" s="6"/>
      <c r="C789" s="6"/>
      <c r="D789" s="6"/>
      <c r="E789" s="8" t="str">
        <f aca="false">IF($D789="","",IFERROR(INDEX(INSUMOS!$B$6:$B$205,MATCH($D789,INSUMOS!$A$6:$A$205,0)),"¿Código?"))</f>
        <v/>
      </c>
      <c r="F789" s="8" t="str">
        <f aca="false">IF($D789="","",IFERROR(INDEX(INSUMOS!$E$6:$E$205,MATCH($D789,INSUMOS!$A$6:$A$205,0)),""))</f>
        <v/>
      </c>
      <c r="G789" s="39"/>
      <c r="H789" s="45" t="str">
        <f aca="false">IF($D789="","",IFERROR(INDEX(INSUMOS!$F$6:$F$205,MATCH($D789,INSUMOS!$A$6:$A$205,0)),0))</f>
        <v/>
      </c>
      <c r="I789" s="34" t="str">
        <f aca="false">IF($D789="","",N($G789)*$H789)</f>
        <v/>
      </c>
      <c r="J789" s="40"/>
      <c r="K789" s="36" t="str">
        <f aca="false">IF($D789="","",IFERROR(INDEX(INSUMOS!$H$6:$H$205,MATCH($D789,INSUMOS!$A$6:$A$205,0)),IVA_VENTAS))</f>
        <v/>
      </c>
      <c r="L789" s="35" t="str">
        <f aca="false">IF($D789="","",N($J789)*$K789)</f>
        <v/>
      </c>
      <c r="M789" s="35" t="str">
        <f aca="false">IF($D789="","",N($J789)+$L789)</f>
        <v/>
      </c>
      <c r="N789" s="43" t="str">
        <f aca="false">IF($D789="","",IFERROR(N($J789)/$I789,0))</f>
        <v/>
      </c>
      <c r="O789" s="6"/>
      <c r="P789" s="6"/>
      <c r="Q789" s="46" t="str">
        <f aca="false">IF($A789="","",DATE(YEAR($A789),MONTH($A789),1))</f>
        <v/>
      </c>
      <c r="R789" s="8" t="str">
        <f aca="false">IF(OR($A789="",$D789=""),"",IF(COUNTIFS($D$6:$D$1005,$D789,$A$6:$A$1005,"&gt;"&amp;$A789)=0,1,0))</f>
        <v/>
      </c>
    </row>
    <row r="790" customFormat="false" ht="15" hidden="false" customHeight="false" outlineLevel="0" collapsed="false">
      <c r="A790" s="44"/>
      <c r="B790" s="6"/>
      <c r="C790" s="6"/>
      <c r="D790" s="6"/>
      <c r="E790" s="8" t="str">
        <f aca="false">IF($D790="","",IFERROR(INDEX(INSUMOS!$B$6:$B$205,MATCH($D790,INSUMOS!$A$6:$A$205,0)),"¿Código?"))</f>
        <v/>
      </c>
      <c r="F790" s="8" t="str">
        <f aca="false">IF($D790="","",IFERROR(INDEX(INSUMOS!$E$6:$E$205,MATCH($D790,INSUMOS!$A$6:$A$205,0)),""))</f>
        <v/>
      </c>
      <c r="G790" s="39"/>
      <c r="H790" s="45" t="str">
        <f aca="false">IF($D790="","",IFERROR(INDEX(INSUMOS!$F$6:$F$205,MATCH($D790,INSUMOS!$A$6:$A$205,0)),0))</f>
        <v/>
      </c>
      <c r="I790" s="34" t="str">
        <f aca="false">IF($D790="","",N($G790)*$H790)</f>
        <v/>
      </c>
      <c r="J790" s="40"/>
      <c r="K790" s="36" t="str">
        <f aca="false">IF($D790="","",IFERROR(INDEX(INSUMOS!$H$6:$H$205,MATCH($D790,INSUMOS!$A$6:$A$205,0)),IVA_VENTAS))</f>
        <v/>
      </c>
      <c r="L790" s="35" t="str">
        <f aca="false">IF($D790="","",N($J790)*$K790)</f>
        <v/>
      </c>
      <c r="M790" s="35" t="str">
        <f aca="false">IF($D790="","",N($J790)+$L790)</f>
        <v/>
      </c>
      <c r="N790" s="43" t="str">
        <f aca="false">IF($D790="","",IFERROR(N($J790)/$I790,0))</f>
        <v/>
      </c>
      <c r="O790" s="6"/>
      <c r="P790" s="6"/>
      <c r="Q790" s="46" t="str">
        <f aca="false">IF($A790="","",DATE(YEAR($A790),MONTH($A790),1))</f>
        <v/>
      </c>
      <c r="R790" s="8" t="str">
        <f aca="false">IF(OR($A790="",$D790=""),"",IF(COUNTIFS($D$6:$D$1005,$D790,$A$6:$A$1005,"&gt;"&amp;$A790)=0,1,0))</f>
        <v/>
      </c>
    </row>
    <row r="791" customFormat="false" ht="15" hidden="false" customHeight="false" outlineLevel="0" collapsed="false">
      <c r="A791" s="44"/>
      <c r="B791" s="6"/>
      <c r="C791" s="6"/>
      <c r="D791" s="6"/>
      <c r="E791" s="8" t="str">
        <f aca="false">IF($D791="","",IFERROR(INDEX(INSUMOS!$B$6:$B$205,MATCH($D791,INSUMOS!$A$6:$A$205,0)),"¿Código?"))</f>
        <v/>
      </c>
      <c r="F791" s="8" t="str">
        <f aca="false">IF($D791="","",IFERROR(INDEX(INSUMOS!$E$6:$E$205,MATCH($D791,INSUMOS!$A$6:$A$205,0)),""))</f>
        <v/>
      </c>
      <c r="G791" s="39"/>
      <c r="H791" s="45" t="str">
        <f aca="false">IF($D791="","",IFERROR(INDEX(INSUMOS!$F$6:$F$205,MATCH($D791,INSUMOS!$A$6:$A$205,0)),0))</f>
        <v/>
      </c>
      <c r="I791" s="34" t="str">
        <f aca="false">IF($D791="","",N($G791)*$H791)</f>
        <v/>
      </c>
      <c r="J791" s="40"/>
      <c r="K791" s="36" t="str">
        <f aca="false">IF($D791="","",IFERROR(INDEX(INSUMOS!$H$6:$H$205,MATCH($D791,INSUMOS!$A$6:$A$205,0)),IVA_VENTAS))</f>
        <v/>
      </c>
      <c r="L791" s="35" t="str">
        <f aca="false">IF($D791="","",N($J791)*$K791)</f>
        <v/>
      </c>
      <c r="M791" s="35" t="str">
        <f aca="false">IF($D791="","",N($J791)+$L791)</f>
        <v/>
      </c>
      <c r="N791" s="43" t="str">
        <f aca="false">IF($D791="","",IFERROR(N($J791)/$I791,0))</f>
        <v/>
      </c>
      <c r="O791" s="6"/>
      <c r="P791" s="6"/>
      <c r="Q791" s="46" t="str">
        <f aca="false">IF($A791="","",DATE(YEAR($A791),MONTH($A791),1))</f>
        <v/>
      </c>
      <c r="R791" s="8" t="str">
        <f aca="false">IF(OR($A791="",$D791=""),"",IF(COUNTIFS($D$6:$D$1005,$D791,$A$6:$A$1005,"&gt;"&amp;$A791)=0,1,0))</f>
        <v/>
      </c>
    </row>
    <row r="792" customFormat="false" ht="15" hidden="false" customHeight="false" outlineLevel="0" collapsed="false">
      <c r="A792" s="44"/>
      <c r="B792" s="6"/>
      <c r="C792" s="6"/>
      <c r="D792" s="6"/>
      <c r="E792" s="8" t="str">
        <f aca="false">IF($D792="","",IFERROR(INDEX(INSUMOS!$B$6:$B$205,MATCH($D792,INSUMOS!$A$6:$A$205,0)),"¿Código?"))</f>
        <v/>
      </c>
      <c r="F792" s="8" t="str">
        <f aca="false">IF($D792="","",IFERROR(INDEX(INSUMOS!$E$6:$E$205,MATCH($D792,INSUMOS!$A$6:$A$205,0)),""))</f>
        <v/>
      </c>
      <c r="G792" s="39"/>
      <c r="H792" s="45" t="str">
        <f aca="false">IF($D792="","",IFERROR(INDEX(INSUMOS!$F$6:$F$205,MATCH($D792,INSUMOS!$A$6:$A$205,0)),0))</f>
        <v/>
      </c>
      <c r="I792" s="34" t="str">
        <f aca="false">IF($D792="","",N($G792)*$H792)</f>
        <v/>
      </c>
      <c r="J792" s="40"/>
      <c r="K792" s="36" t="str">
        <f aca="false">IF($D792="","",IFERROR(INDEX(INSUMOS!$H$6:$H$205,MATCH($D792,INSUMOS!$A$6:$A$205,0)),IVA_VENTAS))</f>
        <v/>
      </c>
      <c r="L792" s="35" t="str">
        <f aca="false">IF($D792="","",N($J792)*$K792)</f>
        <v/>
      </c>
      <c r="M792" s="35" t="str">
        <f aca="false">IF($D792="","",N($J792)+$L792)</f>
        <v/>
      </c>
      <c r="N792" s="43" t="str">
        <f aca="false">IF($D792="","",IFERROR(N($J792)/$I792,0))</f>
        <v/>
      </c>
      <c r="O792" s="6"/>
      <c r="P792" s="6"/>
      <c r="Q792" s="46" t="str">
        <f aca="false">IF($A792="","",DATE(YEAR($A792),MONTH($A792),1))</f>
        <v/>
      </c>
      <c r="R792" s="8" t="str">
        <f aca="false">IF(OR($A792="",$D792=""),"",IF(COUNTIFS($D$6:$D$1005,$D792,$A$6:$A$1005,"&gt;"&amp;$A792)=0,1,0))</f>
        <v/>
      </c>
    </row>
    <row r="793" customFormat="false" ht="15" hidden="false" customHeight="false" outlineLevel="0" collapsed="false">
      <c r="A793" s="44"/>
      <c r="B793" s="6"/>
      <c r="C793" s="6"/>
      <c r="D793" s="6"/>
      <c r="E793" s="8" t="str">
        <f aca="false">IF($D793="","",IFERROR(INDEX(INSUMOS!$B$6:$B$205,MATCH($D793,INSUMOS!$A$6:$A$205,0)),"¿Código?"))</f>
        <v/>
      </c>
      <c r="F793" s="8" t="str">
        <f aca="false">IF($D793="","",IFERROR(INDEX(INSUMOS!$E$6:$E$205,MATCH($D793,INSUMOS!$A$6:$A$205,0)),""))</f>
        <v/>
      </c>
      <c r="G793" s="39"/>
      <c r="H793" s="45" t="str">
        <f aca="false">IF($D793="","",IFERROR(INDEX(INSUMOS!$F$6:$F$205,MATCH($D793,INSUMOS!$A$6:$A$205,0)),0))</f>
        <v/>
      </c>
      <c r="I793" s="34" t="str">
        <f aca="false">IF($D793="","",N($G793)*$H793)</f>
        <v/>
      </c>
      <c r="J793" s="40"/>
      <c r="K793" s="36" t="str">
        <f aca="false">IF($D793="","",IFERROR(INDEX(INSUMOS!$H$6:$H$205,MATCH($D793,INSUMOS!$A$6:$A$205,0)),IVA_VENTAS))</f>
        <v/>
      </c>
      <c r="L793" s="35" t="str">
        <f aca="false">IF($D793="","",N($J793)*$K793)</f>
        <v/>
      </c>
      <c r="M793" s="35" t="str">
        <f aca="false">IF($D793="","",N($J793)+$L793)</f>
        <v/>
      </c>
      <c r="N793" s="43" t="str">
        <f aca="false">IF($D793="","",IFERROR(N($J793)/$I793,0))</f>
        <v/>
      </c>
      <c r="O793" s="6"/>
      <c r="P793" s="6"/>
      <c r="Q793" s="46" t="str">
        <f aca="false">IF($A793="","",DATE(YEAR($A793),MONTH($A793),1))</f>
        <v/>
      </c>
      <c r="R793" s="8" t="str">
        <f aca="false">IF(OR($A793="",$D793=""),"",IF(COUNTIFS($D$6:$D$1005,$D793,$A$6:$A$1005,"&gt;"&amp;$A793)=0,1,0))</f>
        <v/>
      </c>
    </row>
    <row r="794" customFormat="false" ht="15" hidden="false" customHeight="false" outlineLevel="0" collapsed="false">
      <c r="A794" s="44"/>
      <c r="B794" s="6"/>
      <c r="C794" s="6"/>
      <c r="D794" s="6"/>
      <c r="E794" s="8" t="str">
        <f aca="false">IF($D794="","",IFERROR(INDEX(INSUMOS!$B$6:$B$205,MATCH($D794,INSUMOS!$A$6:$A$205,0)),"¿Código?"))</f>
        <v/>
      </c>
      <c r="F794" s="8" t="str">
        <f aca="false">IF($D794="","",IFERROR(INDEX(INSUMOS!$E$6:$E$205,MATCH($D794,INSUMOS!$A$6:$A$205,0)),""))</f>
        <v/>
      </c>
      <c r="G794" s="39"/>
      <c r="H794" s="45" t="str">
        <f aca="false">IF($D794="","",IFERROR(INDEX(INSUMOS!$F$6:$F$205,MATCH($D794,INSUMOS!$A$6:$A$205,0)),0))</f>
        <v/>
      </c>
      <c r="I794" s="34" t="str">
        <f aca="false">IF($D794="","",N($G794)*$H794)</f>
        <v/>
      </c>
      <c r="J794" s="40"/>
      <c r="K794" s="36" t="str">
        <f aca="false">IF($D794="","",IFERROR(INDEX(INSUMOS!$H$6:$H$205,MATCH($D794,INSUMOS!$A$6:$A$205,0)),IVA_VENTAS))</f>
        <v/>
      </c>
      <c r="L794" s="35" t="str">
        <f aca="false">IF($D794="","",N($J794)*$K794)</f>
        <v/>
      </c>
      <c r="M794" s="35" t="str">
        <f aca="false">IF($D794="","",N($J794)+$L794)</f>
        <v/>
      </c>
      <c r="N794" s="43" t="str">
        <f aca="false">IF($D794="","",IFERROR(N($J794)/$I794,0))</f>
        <v/>
      </c>
      <c r="O794" s="6"/>
      <c r="P794" s="6"/>
      <c r="Q794" s="46" t="str">
        <f aca="false">IF($A794="","",DATE(YEAR($A794),MONTH($A794),1))</f>
        <v/>
      </c>
      <c r="R794" s="8" t="str">
        <f aca="false">IF(OR($A794="",$D794=""),"",IF(COUNTIFS($D$6:$D$1005,$D794,$A$6:$A$1005,"&gt;"&amp;$A794)=0,1,0))</f>
        <v/>
      </c>
    </row>
    <row r="795" customFormat="false" ht="15" hidden="false" customHeight="false" outlineLevel="0" collapsed="false">
      <c r="A795" s="44"/>
      <c r="B795" s="6"/>
      <c r="C795" s="6"/>
      <c r="D795" s="6"/>
      <c r="E795" s="8" t="str">
        <f aca="false">IF($D795="","",IFERROR(INDEX(INSUMOS!$B$6:$B$205,MATCH($D795,INSUMOS!$A$6:$A$205,0)),"¿Código?"))</f>
        <v/>
      </c>
      <c r="F795" s="8" t="str">
        <f aca="false">IF($D795="","",IFERROR(INDEX(INSUMOS!$E$6:$E$205,MATCH($D795,INSUMOS!$A$6:$A$205,0)),""))</f>
        <v/>
      </c>
      <c r="G795" s="39"/>
      <c r="H795" s="45" t="str">
        <f aca="false">IF($D795="","",IFERROR(INDEX(INSUMOS!$F$6:$F$205,MATCH($D795,INSUMOS!$A$6:$A$205,0)),0))</f>
        <v/>
      </c>
      <c r="I795" s="34" t="str">
        <f aca="false">IF($D795="","",N($G795)*$H795)</f>
        <v/>
      </c>
      <c r="J795" s="40"/>
      <c r="K795" s="36" t="str">
        <f aca="false">IF($D795="","",IFERROR(INDEX(INSUMOS!$H$6:$H$205,MATCH($D795,INSUMOS!$A$6:$A$205,0)),IVA_VENTAS))</f>
        <v/>
      </c>
      <c r="L795" s="35" t="str">
        <f aca="false">IF($D795="","",N($J795)*$K795)</f>
        <v/>
      </c>
      <c r="M795" s="35" t="str">
        <f aca="false">IF($D795="","",N($J795)+$L795)</f>
        <v/>
      </c>
      <c r="N795" s="43" t="str">
        <f aca="false">IF($D795="","",IFERROR(N($J795)/$I795,0))</f>
        <v/>
      </c>
      <c r="O795" s="6"/>
      <c r="P795" s="6"/>
      <c r="Q795" s="46" t="str">
        <f aca="false">IF($A795="","",DATE(YEAR($A795),MONTH($A795),1))</f>
        <v/>
      </c>
      <c r="R795" s="8" t="str">
        <f aca="false">IF(OR($A795="",$D795=""),"",IF(COUNTIFS($D$6:$D$1005,$D795,$A$6:$A$1005,"&gt;"&amp;$A795)=0,1,0))</f>
        <v/>
      </c>
    </row>
    <row r="796" customFormat="false" ht="15" hidden="false" customHeight="false" outlineLevel="0" collapsed="false">
      <c r="A796" s="44"/>
      <c r="B796" s="6"/>
      <c r="C796" s="6"/>
      <c r="D796" s="6"/>
      <c r="E796" s="8" t="str">
        <f aca="false">IF($D796="","",IFERROR(INDEX(INSUMOS!$B$6:$B$205,MATCH($D796,INSUMOS!$A$6:$A$205,0)),"¿Código?"))</f>
        <v/>
      </c>
      <c r="F796" s="8" t="str">
        <f aca="false">IF($D796="","",IFERROR(INDEX(INSUMOS!$E$6:$E$205,MATCH($D796,INSUMOS!$A$6:$A$205,0)),""))</f>
        <v/>
      </c>
      <c r="G796" s="39"/>
      <c r="H796" s="45" t="str">
        <f aca="false">IF($D796="","",IFERROR(INDEX(INSUMOS!$F$6:$F$205,MATCH($D796,INSUMOS!$A$6:$A$205,0)),0))</f>
        <v/>
      </c>
      <c r="I796" s="34" t="str">
        <f aca="false">IF($D796="","",N($G796)*$H796)</f>
        <v/>
      </c>
      <c r="J796" s="40"/>
      <c r="K796" s="36" t="str">
        <f aca="false">IF($D796="","",IFERROR(INDEX(INSUMOS!$H$6:$H$205,MATCH($D796,INSUMOS!$A$6:$A$205,0)),IVA_VENTAS))</f>
        <v/>
      </c>
      <c r="L796" s="35" t="str">
        <f aca="false">IF($D796="","",N($J796)*$K796)</f>
        <v/>
      </c>
      <c r="M796" s="35" t="str">
        <f aca="false">IF($D796="","",N($J796)+$L796)</f>
        <v/>
      </c>
      <c r="N796" s="43" t="str">
        <f aca="false">IF($D796="","",IFERROR(N($J796)/$I796,0))</f>
        <v/>
      </c>
      <c r="O796" s="6"/>
      <c r="P796" s="6"/>
      <c r="Q796" s="46" t="str">
        <f aca="false">IF($A796="","",DATE(YEAR($A796),MONTH($A796),1))</f>
        <v/>
      </c>
      <c r="R796" s="8" t="str">
        <f aca="false">IF(OR($A796="",$D796=""),"",IF(COUNTIFS($D$6:$D$1005,$D796,$A$6:$A$1005,"&gt;"&amp;$A796)=0,1,0))</f>
        <v/>
      </c>
    </row>
    <row r="797" customFormat="false" ht="15" hidden="false" customHeight="false" outlineLevel="0" collapsed="false">
      <c r="A797" s="44"/>
      <c r="B797" s="6"/>
      <c r="C797" s="6"/>
      <c r="D797" s="6"/>
      <c r="E797" s="8" t="str">
        <f aca="false">IF($D797="","",IFERROR(INDEX(INSUMOS!$B$6:$B$205,MATCH($D797,INSUMOS!$A$6:$A$205,0)),"¿Código?"))</f>
        <v/>
      </c>
      <c r="F797" s="8" t="str">
        <f aca="false">IF($D797="","",IFERROR(INDEX(INSUMOS!$E$6:$E$205,MATCH($D797,INSUMOS!$A$6:$A$205,0)),""))</f>
        <v/>
      </c>
      <c r="G797" s="39"/>
      <c r="H797" s="45" t="str">
        <f aca="false">IF($D797="","",IFERROR(INDEX(INSUMOS!$F$6:$F$205,MATCH($D797,INSUMOS!$A$6:$A$205,0)),0))</f>
        <v/>
      </c>
      <c r="I797" s="34" t="str">
        <f aca="false">IF($D797="","",N($G797)*$H797)</f>
        <v/>
      </c>
      <c r="J797" s="40"/>
      <c r="K797" s="36" t="str">
        <f aca="false">IF($D797="","",IFERROR(INDEX(INSUMOS!$H$6:$H$205,MATCH($D797,INSUMOS!$A$6:$A$205,0)),IVA_VENTAS))</f>
        <v/>
      </c>
      <c r="L797" s="35" t="str">
        <f aca="false">IF($D797="","",N($J797)*$K797)</f>
        <v/>
      </c>
      <c r="M797" s="35" t="str">
        <f aca="false">IF($D797="","",N($J797)+$L797)</f>
        <v/>
      </c>
      <c r="N797" s="43" t="str">
        <f aca="false">IF($D797="","",IFERROR(N($J797)/$I797,0))</f>
        <v/>
      </c>
      <c r="O797" s="6"/>
      <c r="P797" s="6"/>
      <c r="Q797" s="46" t="str">
        <f aca="false">IF($A797="","",DATE(YEAR($A797),MONTH($A797),1))</f>
        <v/>
      </c>
      <c r="R797" s="8" t="str">
        <f aca="false">IF(OR($A797="",$D797=""),"",IF(COUNTIFS($D$6:$D$1005,$D797,$A$6:$A$1005,"&gt;"&amp;$A797)=0,1,0))</f>
        <v/>
      </c>
    </row>
    <row r="798" customFormat="false" ht="15" hidden="false" customHeight="false" outlineLevel="0" collapsed="false">
      <c r="A798" s="44"/>
      <c r="B798" s="6"/>
      <c r="C798" s="6"/>
      <c r="D798" s="6"/>
      <c r="E798" s="8" t="str">
        <f aca="false">IF($D798="","",IFERROR(INDEX(INSUMOS!$B$6:$B$205,MATCH($D798,INSUMOS!$A$6:$A$205,0)),"¿Código?"))</f>
        <v/>
      </c>
      <c r="F798" s="8" t="str">
        <f aca="false">IF($D798="","",IFERROR(INDEX(INSUMOS!$E$6:$E$205,MATCH($D798,INSUMOS!$A$6:$A$205,0)),""))</f>
        <v/>
      </c>
      <c r="G798" s="39"/>
      <c r="H798" s="45" t="str">
        <f aca="false">IF($D798="","",IFERROR(INDEX(INSUMOS!$F$6:$F$205,MATCH($D798,INSUMOS!$A$6:$A$205,0)),0))</f>
        <v/>
      </c>
      <c r="I798" s="34" t="str">
        <f aca="false">IF($D798="","",N($G798)*$H798)</f>
        <v/>
      </c>
      <c r="J798" s="40"/>
      <c r="K798" s="36" t="str">
        <f aca="false">IF($D798="","",IFERROR(INDEX(INSUMOS!$H$6:$H$205,MATCH($D798,INSUMOS!$A$6:$A$205,0)),IVA_VENTAS))</f>
        <v/>
      </c>
      <c r="L798" s="35" t="str">
        <f aca="false">IF($D798="","",N($J798)*$K798)</f>
        <v/>
      </c>
      <c r="M798" s="35" t="str">
        <f aca="false">IF($D798="","",N($J798)+$L798)</f>
        <v/>
      </c>
      <c r="N798" s="43" t="str">
        <f aca="false">IF($D798="","",IFERROR(N($J798)/$I798,0))</f>
        <v/>
      </c>
      <c r="O798" s="6"/>
      <c r="P798" s="6"/>
      <c r="Q798" s="46" t="str">
        <f aca="false">IF($A798="","",DATE(YEAR($A798),MONTH($A798),1))</f>
        <v/>
      </c>
      <c r="R798" s="8" t="str">
        <f aca="false">IF(OR($A798="",$D798=""),"",IF(COUNTIFS($D$6:$D$1005,$D798,$A$6:$A$1005,"&gt;"&amp;$A798)=0,1,0))</f>
        <v/>
      </c>
    </row>
    <row r="799" customFormat="false" ht="15" hidden="false" customHeight="false" outlineLevel="0" collapsed="false">
      <c r="A799" s="44"/>
      <c r="B799" s="6"/>
      <c r="C799" s="6"/>
      <c r="D799" s="6"/>
      <c r="E799" s="8" t="str">
        <f aca="false">IF($D799="","",IFERROR(INDEX(INSUMOS!$B$6:$B$205,MATCH($D799,INSUMOS!$A$6:$A$205,0)),"¿Código?"))</f>
        <v/>
      </c>
      <c r="F799" s="8" t="str">
        <f aca="false">IF($D799="","",IFERROR(INDEX(INSUMOS!$E$6:$E$205,MATCH($D799,INSUMOS!$A$6:$A$205,0)),""))</f>
        <v/>
      </c>
      <c r="G799" s="39"/>
      <c r="H799" s="45" t="str">
        <f aca="false">IF($D799="","",IFERROR(INDEX(INSUMOS!$F$6:$F$205,MATCH($D799,INSUMOS!$A$6:$A$205,0)),0))</f>
        <v/>
      </c>
      <c r="I799" s="34" t="str">
        <f aca="false">IF($D799="","",N($G799)*$H799)</f>
        <v/>
      </c>
      <c r="J799" s="40"/>
      <c r="K799" s="36" t="str">
        <f aca="false">IF($D799="","",IFERROR(INDEX(INSUMOS!$H$6:$H$205,MATCH($D799,INSUMOS!$A$6:$A$205,0)),IVA_VENTAS))</f>
        <v/>
      </c>
      <c r="L799" s="35" t="str">
        <f aca="false">IF($D799="","",N($J799)*$K799)</f>
        <v/>
      </c>
      <c r="M799" s="35" t="str">
        <f aca="false">IF($D799="","",N($J799)+$L799)</f>
        <v/>
      </c>
      <c r="N799" s="43" t="str">
        <f aca="false">IF($D799="","",IFERROR(N($J799)/$I799,0))</f>
        <v/>
      </c>
      <c r="O799" s="6"/>
      <c r="P799" s="6"/>
      <c r="Q799" s="46" t="str">
        <f aca="false">IF($A799="","",DATE(YEAR($A799),MONTH($A799),1))</f>
        <v/>
      </c>
      <c r="R799" s="8" t="str">
        <f aca="false">IF(OR($A799="",$D799=""),"",IF(COUNTIFS($D$6:$D$1005,$D799,$A$6:$A$1005,"&gt;"&amp;$A799)=0,1,0))</f>
        <v/>
      </c>
    </row>
    <row r="800" customFormat="false" ht="15" hidden="false" customHeight="false" outlineLevel="0" collapsed="false">
      <c r="A800" s="44"/>
      <c r="B800" s="6"/>
      <c r="C800" s="6"/>
      <c r="D800" s="6"/>
      <c r="E800" s="8" t="str">
        <f aca="false">IF($D800="","",IFERROR(INDEX(INSUMOS!$B$6:$B$205,MATCH($D800,INSUMOS!$A$6:$A$205,0)),"¿Código?"))</f>
        <v/>
      </c>
      <c r="F800" s="8" t="str">
        <f aca="false">IF($D800="","",IFERROR(INDEX(INSUMOS!$E$6:$E$205,MATCH($D800,INSUMOS!$A$6:$A$205,0)),""))</f>
        <v/>
      </c>
      <c r="G800" s="39"/>
      <c r="H800" s="45" t="str">
        <f aca="false">IF($D800="","",IFERROR(INDEX(INSUMOS!$F$6:$F$205,MATCH($D800,INSUMOS!$A$6:$A$205,0)),0))</f>
        <v/>
      </c>
      <c r="I800" s="34" t="str">
        <f aca="false">IF($D800="","",N($G800)*$H800)</f>
        <v/>
      </c>
      <c r="J800" s="40"/>
      <c r="K800" s="36" t="str">
        <f aca="false">IF($D800="","",IFERROR(INDEX(INSUMOS!$H$6:$H$205,MATCH($D800,INSUMOS!$A$6:$A$205,0)),IVA_VENTAS))</f>
        <v/>
      </c>
      <c r="L800" s="35" t="str">
        <f aca="false">IF($D800="","",N($J800)*$K800)</f>
        <v/>
      </c>
      <c r="M800" s="35" t="str">
        <f aca="false">IF($D800="","",N($J800)+$L800)</f>
        <v/>
      </c>
      <c r="N800" s="43" t="str">
        <f aca="false">IF($D800="","",IFERROR(N($J800)/$I800,0))</f>
        <v/>
      </c>
      <c r="O800" s="6"/>
      <c r="P800" s="6"/>
      <c r="Q800" s="46" t="str">
        <f aca="false">IF($A800="","",DATE(YEAR($A800),MONTH($A800),1))</f>
        <v/>
      </c>
      <c r="R800" s="8" t="str">
        <f aca="false">IF(OR($A800="",$D800=""),"",IF(COUNTIFS($D$6:$D$1005,$D800,$A$6:$A$1005,"&gt;"&amp;$A800)=0,1,0))</f>
        <v/>
      </c>
    </row>
    <row r="801" customFormat="false" ht="15" hidden="false" customHeight="false" outlineLevel="0" collapsed="false">
      <c r="A801" s="44"/>
      <c r="B801" s="6"/>
      <c r="C801" s="6"/>
      <c r="D801" s="6"/>
      <c r="E801" s="8" t="str">
        <f aca="false">IF($D801="","",IFERROR(INDEX(INSUMOS!$B$6:$B$205,MATCH($D801,INSUMOS!$A$6:$A$205,0)),"¿Código?"))</f>
        <v/>
      </c>
      <c r="F801" s="8" t="str">
        <f aca="false">IF($D801="","",IFERROR(INDEX(INSUMOS!$E$6:$E$205,MATCH($D801,INSUMOS!$A$6:$A$205,0)),""))</f>
        <v/>
      </c>
      <c r="G801" s="39"/>
      <c r="H801" s="45" t="str">
        <f aca="false">IF($D801="","",IFERROR(INDEX(INSUMOS!$F$6:$F$205,MATCH($D801,INSUMOS!$A$6:$A$205,0)),0))</f>
        <v/>
      </c>
      <c r="I801" s="34" t="str">
        <f aca="false">IF($D801="","",N($G801)*$H801)</f>
        <v/>
      </c>
      <c r="J801" s="40"/>
      <c r="K801" s="36" t="str">
        <f aca="false">IF($D801="","",IFERROR(INDEX(INSUMOS!$H$6:$H$205,MATCH($D801,INSUMOS!$A$6:$A$205,0)),IVA_VENTAS))</f>
        <v/>
      </c>
      <c r="L801" s="35" t="str">
        <f aca="false">IF($D801="","",N($J801)*$K801)</f>
        <v/>
      </c>
      <c r="M801" s="35" t="str">
        <f aca="false">IF($D801="","",N($J801)+$L801)</f>
        <v/>
      </c>
      <c r="N801" s="43" t="str">
        <f aca="false">IF($D801="","",IFERROR(N($J801)/$I801,0))</f>
        <v/>
      </c>
      <c r="O801" s="6"/>
      <c r="P801" s="6"/>
      <c r="Q801" s="46" t="str">
        <f aca="false">IF($A801="","",DATE(YEAR($A801),MONTH($A801),1))</f>
        <v/>
      </c>
      <c r="R801" s="8" t="str">
        <f aca="false">IF(OR($A801="",$D801=""),"",IF(COUNTIFS($D$6:$D$1005,$D801,$A$6:$A$1005,"&gt;"&amp;$A801)=0,1,0))</f>
        <v/>
      </c>
    </row>
    <row r="802" customFormat="false" ht="15" hidden="false" customHeight="false" outlineLevel="0" collapsed="false">
      <c r="A802" s="44"/>
      <c r="B802" s="6"/>
      <c r="C802" s="6"/>
      <c r="D802" s="6"/>
      <c r="E802" s="8" t="str">
        <f aca="false">IF($D802="","",IFERROR(INDEX(INSUMOS!$B$6:$B$205,MATCH($D802,INSUMOS!$A$6:$A$205,0)),"¿Código?"))</f>
        <v/>
      </c>
      <c r="F802" s="8" t="str">
        <f aca="false">IF($D802="","",IFERROR(INDEX(INSUMOS!$E$6:$E$205,MATCH($D802,INSUMOS!$A$6:$A$205,0)),""))</f>
        <v/>
      </c>
      <c r="G802" s="39"/>
      <c r="H802" s="45" t="str">
        <f aca="false">IF($D802="","",IFERROR(INDEX(INSUMOS!$F$6:$F$205,MATCH($D802,INSUMOS!$A$6:$A$205,0)),0))</f>
        <v/>
      </c>
      <c r="I802" s="34" t="str">
        <f aca="false">IF($D802="","",N($G802)*$H802)</f>
        <v/>
      </c>
      <c r="J802" s="40"/>
      <c r="K802" s="36" t="str">
        <f aca="false">IF($D802="","",IFERROR(INDEX(INSUMOS!$H$6:$H$205,MATCH($D802,INSUMOS!$A$6:$A$205,0)),IVA_VENTAS))</f>
        <v/>
      </c>
      <c r="L802" s="35" t="str">
        <f aca="false">IF($D802="","",N($J802)*$K802)</f>
        <v/>
      </c>
      <c r="M802" s="35" t="str">
        <f aca="false">IF($D802="","",N($J802)+$L802)</f>
        <v/>
      </c>
      <c r="N802" s="43" t="str">
        <f aca="false">IF($D802="","",IFERROR(N($J802)/$I802,0))</f>
        <v/>
      </c>
      <c r="O802" s="6"/>
      <c r="P802" s="6"/>
      <c r="Q802" s="46" t="str">
        <f aca="false">IF($A802="","",DATE(YEAR($A802),MONTH($A802),1))</f>
        <v/>
      </c>
      <c r="R802" s="8" t="str">
        <f aca="false">IF(OR($A802="",$D802=""),"",IF(COUNTIFS($D$6:$D$1005,$D802,$A$6:$A$1005,"&gt;"&amp;$A802)=0,1,0))</f>
        <v/>
      </c>
    </row>
    <row r="803" customFormat="false" ht="15" hidden="false" customHeight="false" outlineLevel="0" collapsed="false">
      <c r="A803" s="44"/>
      <c r="B803" s="6"/>
      <c r="C803" s="6"/>
      <c r="D803" s="6"/>
      <c r="E803" s="8" t="str">
        <f aca="false">IF($D803="","",IFERROR(INDEX(INSUMOS!$B$6:$B$205,MATCH($D803,INSUMOS!$A$6:$A$205,0)),"¿Código?"))</f>
        <v/>
      </c>
      <c r="F803" s="8" t="str">
        <f aca="false">IF($D803="","",IFERROR(INDEX(INSUMOS!$E$6:$E$205,MATCH($D803,INSUMOS!$A$6:$A$205,0)),""))</f>
        <v/>
      </c>
      <c r="G803" s="39"/>
      <c r="H803" s="45" t="str">
        <f aca="false">IF($D803="","",IFERROR(INDEX(INSUMOS!$F$6:$F$205,MATCH($D803,INSUMOS!$A$6:$A$205,0)),0))</f>
        <v/>
      </c>
      <c r="I803" s="34" t="str">
        <f aca="false">IF($D803="","",N($G803)*$H803)</f>
        <v/>
      </c>
      <c r="J803" s="40"/>
      <c r="K803" s="36" t="str">
        <f aca="false">IF($D803="","",IFERROR(INDEX(INSUMOS!$H$6:$H$205,MATCH($D803,INSUMOS!$A$6:$A$205,0)),IVA_VENTAS))</f>
        <v/>
      </c>
      <c r="L803" s="35" t="str">
        <f aca="false">IF($D803="","",N($J803)*$K803)</f>
        <v/>
      </c>
      <c r="M803" s="35" t="str">
        <f aca="false">IF($D803="","",N($J803)+$L803)</f>
        <v/>
      </c>
      <c r="N803" s="43" t="str">
        <f aca="false">IF($D803="","",IFERROR(N($J803)/$I803,0))</f>
        <v/>
      </c>
      <c r="O803" s="6"/>
      <c r="P803" s="6"/>
      <c r="Q803" s="46" t="str">
        <f aca="false">IF($A803="","",DATE(YEAR($A803),MONTH($A803),1))</f>
        <v/>
      </c>
      <c r="R803" s="8" t="str">
        <f aca="false">IF(OR($A803="",$D803=""),"",IF(COUNTIFS($D$6:$D$1005,$D803,$A$6:$A$1005,"&gt;"&amp;$A803)=0,1,0))</f>
        <v/>
      </c>
    </row>
    <row r="804" customFormat="false" ht="15" hidden="false" customHeight="false" outlineLevel="0" collapsed="false">
      <c r="A804" s="44"/>
      <c r="B804" s="6"/>
      <c r="C804" s="6"/>
      <c r="D804" s="6"/>
      <c r="E804" s="8" t="str">
        <f aca="false">IF($D804="","",IFERROR(INDEX(INSUMOS!$B$6:$B$205,MATCH($D804,INSUMOS!$A$6:$A$205,0)),"¿Código?"))</f>
        <v/>
      </c>
      <c r="F804" s="8" t="str">
        <f aca="false">IF($D804="","",IFERROR(INDEX(INSUMOS!$E$6:$E$205,MATCH($D804,INSUMOS!$A$6:$A$205,0)),""))</f>
        <v/>
      </c>
      <c r="G804" s="39"/>
      <c r="H804" s="45" t="str">
        <f aca="false">IF($D804="","",IFERROR(INDEX(INSUMOS!$F$6:$F$205,MATCH($D804,INSUMOS!$A$6:$A$205,0)),0))</f>
        <v/>
      </c>
      <c r="I804" s="34" t="str">
        <f aca="false">IF($D804="","",N($G804)*$H804)</f>
        <v/>
      </c>
      <c r="J804" s="40"/>
      <c r="K804" s="36" t="str">
        <f aca="false">IF($D804="","",IFERROR(INDEX(INSUMOS!$H$6:$H$205,MATCH($D804,INSUMOS!$A$6:$A$205,0)),IVA_VENTAS))</f>
        <v/>
      </c>
      <c r="L804" s="35" t="str">
        <f aca="false">IF($D804="","",N($J804)*$K804)</f>
        <v/>
      </c>
      <c r="M804" s="35" t="str">
        <f aca="false">IF($D804="","",N($J804)+$L804)</f>
        <v/>
      </c>
      <c r="N804" s="43" t="str">
        <f aca="false">IF($D804="","",IFERROR(N($J804)/$I804,0))</f>
        <v/>
      </c>
      <c r="O804" s="6"/>
      <c r="P804" s="6"/>
      <c r="Q804" s="46" t="str">
        <f aca="false">IF($A804="","",DATE(YEAR($A804),MONTH($A804),1))</f>
        <v/>
      </c>
      <c r="R804" s="8" t="str">
        <f aca="false">IF(OR($A804="",$D804=""),"",IF(COUNTIFS($D$6:$D$1005,$D804,$A$6:$A$1005,"&gt;"&amp;$A804)=0,1,0))</f>
        <v/>
      </c>
    </row>
    <row r="805" customFormat="false" ht="15" hidden="false" customHeight="false" outlineLevel="0" collapsed="false">
      <c r="A805" s="44"/>
      <c r="B805" s="6"/>
      <c r="C805" s="6"/>
      <c r="D805" s="6"/>
      <c r="E805" s="8" t="str">
        <f aca="false">IF($D805="","",IFERROR(INDEX(INSUMOS!$B$6:$B$205,MATCH($D805,INSUMOS!$A$6:$A$205,0)),"¿Código?"))</f>
        <v/>
      </c>
      <c r="F805" s="8" t="str">
        <f aca="false">IF($D805="","",IFERROR(INDEX(INSUMOS!$E$6:$E$205,MATCH($D805,INSUMOS!$A$6:$A$205,0)),""))</f>
        <v/>
      </c>
      <c r="G805" s="39"/>
      <c r="H805" s="45" t="str">
        <f aca="false">IF($D805="","",IFERROR(INDEX(INSUMOS!$F$6:$F$205,MATCH($D805,INSUMOS!$A$6:$A$205,0)),0))</f>
        <v/>
      </c>
      <c r="I805" s="34" t="str">
        <f aca="false">IF($D805="","",N($G805)*$H805)</f>
        <v/>
      </c>
      <c r="J805" s="40"/>
      <c r="K805" s="36" t="str">
        <f aca="false">IF($D805="","",IFERROR(INDEX(INSUMOS!$H$6:$H$205,MATCH($D805,INSUMOS!$A$6:$A$205,0)),IVA_VENTAS))</f>
        <v/>
      </c>
      <c r="L805" s="35" t="str">
        <f aca="false">IF($D805="","",N($J805)*$K805)</f>
        <v/>
      </c>
      <c r="M805" s="35" t="str">
        <f aca="false">IF($D805="","",N($J805)+$L805)</f>
        <v/>
      </c>
      <c r="N805" s="43" t="str">
        <f aca="false">IF($D805="","",IFERROR(N($J805)/$I805,0))</f>
        <v/>
      </c>
      <c r="O805" s="6"/>
      <c r="P805" s="6"/>
      <c r="Q805" s="46" t="str">
        <f aca="false">IF($A805="","",DATE(YEAR($A805),MONTH($A805),1))</f>
        <v/>
      </c>
      <c r="R805" s="8" t="str">
        <f aca="false">IF(OR($A805="",$D805=""),"",IF(COUNTIFS($D$6:$D$1005,$D805,$A$6:$A$1005,"&gt;"&amp;$A805)=0,1,0))</f>
        <v/>
      </c>
    </row>
    <row r="806" customFormat="false" ht="15" hidden="false" customHeight="false" outlineLevel="0" collapsed="false">
      <c r="A806" s="44"/>
      <c r="B806" s="6"/>
      <c r="C806" s="6"/>
      <c r="D806" s="6"/>
      <c r="E806" s="8" t="str">
        <f aca="false">IF($D806="","",IFERROR(INDEX(INSUMOS!$B$6:$B$205,MATCH($D806,INSUMOS!$A$6:$A$205,0)),"¿Código?"))</f>
        <v/>
      </c>
      <c r="F806" s="8" t="str">
        <f aca="false">IF($D806="","",IFERROR(INDEX(INSUMOS!$E$6:$E$205,MATCH($D806,INSUMOS!$A$6:$A$205,0)),""))</f>
        <v/>
      </c>
      <c r="G806" s="39"/>
      <c r="H806" s="45" t="str">
        <f aca="false">IF($D806="","",IFERROR(INDEX(INSUMOS!$F$6:$F$205,MATCH($D806,INSUMOS!$A$6:$A$205,0)),0))</f>
        <v/>
      </c>
      <c r="I806" s="34" t="str">
        <f aca="false">IF($D806="","",N($G806)*$H806)</f>
        <v/>
      </c>
      <c r="J806" s="40"/>
      <c r="K806" s="36" t="str">
        <f aca="false">IF($D806="","",IFERROR(INDEX(INSUMOS!$H$6:$H$205,MATCH($D806,INSUMOS!$A$6:$A$205,0)),IVA_VENTAS))</f>
        <v/>
      </c>
      <c r="L806" s="35" t="str">
        <f aca="false">IF($D806="","",N($J806)*$K806)</f>
        <v/>
      </c>
      <c r="M806" s="35" t="str">
        <f aca="false">IF($D806="","",N($J806)+$L806)</f>
        <v/>
      </c>
      <c r="N806" s="43" t="str">
        <f aca="false">IF($D806="","",IFERROR(N($J806)/$I806,0))</f>
        <v/>
      </c>
      <c r="O806" s="6"/>
      <c r="P806" s="6"/>
      <c r="Q806" s="46" t="str">
        <f aca="false">IF($A806="","",DATE(YEAR($A806),MONTH($A806),1))</f>
        <v/>
      </c>
      <c r="R806" s="8" t="str">
        <f aca="false">IF(OR($A806="",$D806=""),"",IF(COUNTIFS($D$6:$D$1005,$D806,$A$6:$A$1005,"&gt;"&amp;$A806)=0,1,0))</f>
        <v/>
      </c>
    </row>
    <row r="807" customFormat="false" ht="15" hidden="false" customHeight="false" outlineLevel="0" collapsed="false">
      <c r="A807" s="44"/>
      <c r="B807" s="6"/>
      <c r="C807" s="6"/>
      <c r="D807" s="6"/>
      <c r="E807" s="8" t="str">
        <f aca="false">IF($D807="","",IFERROR(INDEX(INSUMOS!$B$6:$B$205,MATCH($D807,INSUMOS!$A$6:$A$205,0)),"¿Código?"))</f>
        <v/>
      </c>
      <c r="F807" s="8" t="str">
        <f aca="false">IF($D807="","",IFERROR(INDEX(INSUMOS!$E$6:$E$205,MATCH($D807,INSUMOS!$A$6:$A$205,0)),""))</f>
        <v/>
      </c>
      <c r="G807" s="39"/>
      <c r="H807" s="45" t="str">
        <f aca="false">IF($D807="","",IFERROR(INDEX(INSUMOS!$F$6:$F$205,MATCH($D807,INSUMOS!$A$6:$A$205,0)),0))</f>
        <v/>
      </c>
      <c r="I807" s="34" t="str">
        <f aca="false">IF($D807="","",N($G807)*$H807)</f>
        <v/>
      </c>
      <c r="J807" s="40"/>
      <c r="K807" s="36" t="str">
        <f aca="false">IF($D807="","",IFERROR(INDEX(INSUMOS!$H$6:$H$205,MATCH($D807,INSUMOS!$A$6:$A$205,0)),IVA_VENTAS))</f>
        <v/>
      </c>
      <c r="L807" s="35" t="str">
        <f aca="false">IF($D807="","",N($J807)*$K807)</f>
        <v/>
      </c>
      <c r="M807" s="35" t="str">
        <f aca="false">IF($D807="","",N($J807)+$L807)</f>
        <v/>
      </c>
      <c r="N807" s="43" t="str">
        <f aca="false">IF($D807="","",IFERROR(N($J807)/$I807,0))</f>
        <v/>
      </c>
      <c r="O807" s="6"/>
      <c r="P807" s="6"/>
      <c r="Q807" s="46" t="str">
        <f aca="false">IF($A807="","",DATE(YEAR($A807),MONTH($A807),1))</f>
        <v/>
      </c>
      <c r="R807" s="8" t="str">
        <f aca="false">IF(OR($A807="",$D807=""),"",IF(COUNTIFS($D$6:$D$1005,$D807,$A$6:$A$1005,"&gt;"&amp;$A807)=0,1,0))</f>
        <v/>
      </c>
    </row>
    <row r="808" customFormat="false" ht="15" hidden="false" customHeight="false" outlineLevel="0" collapsed="false">
      <c r="A808" s="44"/>
      <c r="B808" s="6"/>
      <c r="C808" s="6"/>
      <c r="D808" s="6"/>
      <c r="E808" s="8" t="str">
        <f aca="false">IF($D808="","",IFERROR(INDEX(INSUMOS!$B$6:$B$205,MATCH($D808,INSUMOS!$A$6:$A$205,0)),"¿Código?"))</f>
        <v/>
      </c>
      <c r="F808" s="8" t="str">
        <f aca="false">IF($D808="","",IFERROR(INDEX(INSUMOS!$E$6:$E$205,MATCH($D808,INSUMOS!$A$6:$A$205,0)),""))</f>
        <v/>
      </c>
      <c r="G808" s="39"/>
      <c r="H808" s="45" t="str">
        <f aca="false">IF($D808="","",IFERROR(INDEX(INSUMOS!$F$6:$F$205,MATCH($D808,INSUMOS!$A$6:$A$205,0)),0))</f>
        <v/>
      </c>
      <c r="I808" s="34" t="str">
        <f aca="false">IF($D808="","",N($G808)*$H808)</f>
        <v/>
      </c>
      <c r="J808" s="40"/>
      <c r="K808" s="36" t="str">
        <f aca="false">IF($D808="","",IFERROR(INDEX(INSUMOS!$H$6:$H$205,MATCH($D808,INSUMOS!$A$6:$A$205,0)),IVA_VENTAS))</f>
        <v/>
      </c>
      <c r="L808" s="35" t="str">
        <f aca="false">IF($D808="","",N($J808)*$K808)</f>
        <v/>
      </c>
      <c r="M808" s="35" t="str">
        <f aca="false">IF($D808="","",N($J808)+$L808)</f>
        <v/>
      </c>
      <c r="N808" s="43" t="str">
        <f aca="false">IF($D808="","",IFERROR(N($J808)/$I808,0))</f>
        <v/>
      </c>
      <c r="O808" s="6"/>
      <c r="P808" s="6"/>
      <c r="Q808" s="46" t="str">
        <f aca="false">IF($A808="","",DATE(YEAR($A808),MONTH($A808),1))</f>
        <v/>
      </c>
      <c r="R808" s="8" t="str">
        <f aca="false">IF(OR($A808="",$D808=""),"",IF(COUNTIFS($D$6:$D$1005,$D808,$A$6:$A$1005,"&gt;"&amp;$A808)=0,1,0))</f>
        <v/>
      </c>
    </row>
    <row r="809" customFormat="false" ht="15" hidden="false" customHeight="false" outlineLevel="0" collapsed="false">
      <c r="A809" s="44"/>
      <c r="B809" s="6"/>
      <c r="C809" s="6"/>
      <c r="D809" s="6"/>
      <c r="E809" s="8" t="str">
        <f aca="false">IF($D809="","",IFERROR(INDEX(INSUMOS!$B$6:$B$205,MATCH($D809,INSUMOS!$A$6:$A$205,0)),"¿Código?"))</f>
        <v/>
      </c>
      <c r="F809" s="8" t="str">
        <f aca="false">IF($D809="","",IFERROR(INDEX(INSUMOS!$E$6:$E$205,MATCH($D809,INSUMOS!$A$6:$A$205,0)),""))</f>
        <v/>
      </c>
      <c r="G809" s="39"/>
      <c r="H809" s="45" t="str">
        <f aca="false">IF($D809="","",IFERROR(INDEX(INSUMOS!$F$6:$F$205,MATCH($D809,INSUMOS!$A$6:$A$205,0)),0))</f>
        <v/>
      </c>
      <c r="I809" s="34" t="str">
        <f aca="false">IF($D809="","",N($G809)*$H809)</f>
        <v/>
      </c>
      <c r="J809" s="40"/>
      <c r="K809" s="36" t="str">
        <f aca="false">IF($D809="","",IFERROR(INDEX(INSUMOS!$H$6:$H$205,MATCH($D809,INSUMOS!$A$6:$A$205,0)),IVA_VENTAS))</f>
        <v/>
      </c>
      <c r="L809" s="35" t="str">
        <f aca="false">IF($D809="","",N($J809)*$K809)</f>
        <v/>
      </c>
      <c r="M809" s="35" t="str">
        <f aca="false">IF($D809="","",N($J809)+$L809)</f>
        <v/>
      </c>
      <c r="N809" s="43" t="str">
        <f aca="false">IF($D809="","",IFERROR(N($J809)/$I809,0))</f>
        <v/>
      </c>
      <c r="O809" s="6"/>
      <c r="P809" s="6"/>
      <c r="Q809" s="46" t="str">
        <f aca="false">IF($A809="","",DATE(YEAR($A809),MONTH($A809),1))</f>
        <v/>
      </c>
      <c r="R809" s="8" t="str">
        <f aca="false">IF(OR($A809="",$D809=""),"",IF(COUNTIFS($D$6:$D$1005,$D809,$A$6:$A$1005,"&gt;"&amp;$A809)=0,1,0))</f>
        <v/>
      </c>
    </row>
    <row r="810" customFormat="false" ht="15" hidden="false" customHeight="false" outlineLevel="0" collapsed="false">
      <c r="A810" s="44"/>
      <c r="B810" s="6"/>
      <c r="C810" s="6"/>
      <c r="D810" s="6"/>
      <c r="E810" s="8" t="str">
        <f aca="false">IF($D810="","",IFERROR(INDEX(INSUMOS!$B$6:$B$205,MATCH($D810,INSUMOS!$A$6:$A$205,0)),"¿Código?"))</f>
        <v/>
      </c>
      <c r="F810" s="8" t="str">
        <f aca="false">IF($D810="","",IFERROR(INDEX(INSUMOS!$E$6:$E$205,MATCH($D810,INSUMOS!$A$6:$A$205,0)),""))</f>
        <v/>
      </c>
      <c r="G810" s="39"/>
      <c r="H810" s="45" t="str">
        <f aca="false">IF($D810="","",IFERROR(INDEX(INSUMOS!$F$6:$F$205,MATCH($D810,INSUMOS!$A$6:$A$205,0)),0))</f>
        <v/>
      </c>
      <c r="I810" s="34" t="str">
        <f aca="false">IF($D810="","",N($G810)*$H810)</f>
        <v/>
      </c>
      <c r="J810" s="40"/>
      <c r="K810" s="36" t="str">
        <f aca="false">IF($D810="","",IFERROR(INDEX(INSUMOS!$H$6:$H$205,MATCH($D810,INSUMOS!$A$6:$A$205,0)),IVA_VENTAS))</f>
        <v/>
      </c>
      <c r="L810" s="35" t="str">
        <f aca="false">IF($D810="","",N($J810)*$K810)</f>
        <v/>
      </c>
      <c r="M810" s="35" t="str">
        <f aca="false">IF($D810="","",N($J810)+$L810)</f>
        <v/>
      </c>
      <c r="N810" s="43" t="str">
        <f aca="false">IF($D810="","",IFERROR(N($J810)/$I810,0))</f>
        <v/>
      </c>
      <c r="O810" s="6"/>
      <c r="P810" s="6"/>
      <c r="Q810" s="46" t="str">
        <f aca="false">IF($A810="","",DATE(YEAR($A810),MONTH($A810),1))</f>
        <v/>
      </c>
      <c r="R810" s="8" t="str">
        <f aca="false">IF(OR($A810="",$D810=""),"",IF(COUNTIFS($D$6:$D$1005,$D810,$A$6:$A$1005,"&gt;"&amp;$A810)=0,1,0))</f>
        <v/>
      </c>
    </row>
    <row r="811" customFormat="false" ht="15" hidden="false" customHeight="false" outlineLevel="0" collapsed="false">
      <c r="A811" s="44"/>
      <c r="B811" s="6"/>
      <c r="C811" s="6"/>
      <c r="D811" s="6"/>
      <c r="E811" s="8" t="str">
        <f aca="false">IF($D811="","",IFERROR(INDEX(INSUMOS!$B$6:$B$205,MATCH($D811,INSUMOS!$A$6:$A$205,0)),"¿Código?"))</f>
        <v/>
      </c>
      <c r="F811" s="8" t="str">
        <f aca="false">IF($D811="","",IFERROR(INDEX(INSUMOS!$E$6:$E$205,MATCH($D811,INSUMOS!$A$6:$A$205,0)),""))</f>
        <v/>
      </c>
      <c r="G811" s="39"/>
      <c r="H811" s="45" t="str">
        <f aca="false">IF($D811="","",IFERROR(INDEX(INSUMOS!$F$6:$F$205,MATCH($D811,INSUMOS!$A$6:$A$205,0)),0))</f>
        <v/>
      </c>
      <c r="I811" s="34" t="str">
        <f aca="false">IF($D811="","",N($G811)*$H811)</f>
        <v/>
      </c>
      <c r="J811" s="40"/>
      <c r="K811" s="36" t="str">
        <f aca="false">IF($D811="","",IFERROR(INDEX(INSUMOS!$H$6:$H$205,MATCH($D811,INSUMOS!$A$6:$A$205,0)),IVA_VENTAS))</f>
        <v/>
      </c>
      <c r="L811" s="35" t="str">
        <f aca="false">IF($D811="","",N($J811)*$K811)</f>
        <v/>
      </c>
      <c r="M811" s="35" t="str">
        <f aca="false">IF($D811="","",N($J811)+$L811)</f>
        <v/>
      </c>
      <c r="N811" s="43" t="str">
        <f aca="false">IF($D811="","",IFERROR(N($J811)/$I811,0))</f>
        <v/>
      </c>
      <c r="O811" s="6"/>
      <c r="P811" s="6"/>
      <c r="Q811" s="46" t="str">
        <f aca="false">IF($A811="","",DATE(YEAR($A811),MONTH($A811),1))</f>
        <v/>
      </c>
      <c r="R811" s="8" t="str">
        <f aca="false">IF(OR($A811="",$D811=""),"",IF(COUNTIFS($D$6:$D$1005,$D811,$A$6:$A$1005,"&gt;"&amp;$A811)=0,1,0))</f>
        <v/>
      </c>
    </row>
    <row r="812" customFormat="false" ht="15" hidden="false" customHeight="false" outlineLevel="0" collapsed="false">
      <c r="A812" s="44"/>
      <c r="B812" s="6"/>
      <c r="C812" s="6"/>
      <c r="D812" s="6"/>
      <c r="E812" s="8" t="str">
        <f aca="false">IF($D812="","",IFERROR(INDEX(INSUMOS!$B$6:$B$205,MATCH($D812,INSUMOS!$A$6:$A$205,0)),"¿Código?"))</f>
        <v/>
      </c>
      <c r="F812" s="8" t="str">
        <f aca="false">IF($D812="","",IFERROR(INDEX(INSUMOS!$E$6:$E$205,MATCH($D812,INSUMOS!$A$6:$A$205,0)),""))</f>
        <v/>
      </c>
      <c r="G812" s="39"/>
      <c r="H812" s="45" t="str">
        <f aca="false">IF($D812="","",IFERROR(INDEX(INSUMOS!$F$6:$F$205,MATCH($D812,INSUMOS!$A$6:$A$205,0)),0))</f>
        <v/>
      </c>
      <c r="I812" s="34" t="str">
        <f aca="false">IF($D812="","",N($G812)*$H812)</f>
        <v/>
      </c>
      <c r="J812" s="40"/>
      <c r="K812" s="36" t="str">
        <f aca="false">IF($D812="","",IFERROR(INDEX(INSUMOS!$H$6:$H$205,MATCH($D812,INSUMOS!$A$6:$A$205,0)),IVA_VENTAS))</f>
        <v/>
      </c>
      <c r="L812" s="35" t="str">
        <f aca="false">IF($D812="","",N($J812)*$K812)</f>
        <v/>
      </c>
      <c r="M812" s="35" t="str">
        <f aca="false">IF($D812="","",N($J812)+$L812)</f>
        <v/>
      </c>
      <c r="N812" s="43" t="str">
        <f aca="false">IF($D812="","",IFERROR(N($J812)/$I812,0))</f>
        <v/>
      </c>
      <c r="O812" s="6"/>
      <c r="P812" s="6"/>
      <c r="Q812" s="46" t="str">
        <f aca="false">IF($A812="","",DATE(YEAR($A812),MONTH($A812),1))</f>
        <v/>
      </c>
      <c r="R812" s="8" t="str">
        <f aca="false">IF(OR($A812="",$D812=""),"",IF(COUNTIFS($D$6:$D$1005,$D812,$A$6:$A$1005,"&gt;"&amp;$A812)=0,1,0))</f>
        <v/>
      </c>
    </row>
    <row r="813" customFormat="false" ht="15" hidden="false" customHeight="false" outlineLevel="0" collapsed="false">
      <c r="A813" s="44"/>
      <c r="B813" s="6"/>
      <c r="C813" s="6"/>
      <c r="D813" s="6"/>
      <c r="E813" s="8" t="str">
        <f aca="false">IF($D813="","",IFERROR(INDEX(INSUMOS!$B$6:$B$205,MATCH($D813,INSUMOS!$A$6:$A$205,0)),"¿Código?"))</f>
        <v/>
      </c>
      <c r="F813" s="8" t="str">
        <f aca="false">IF($D813="","",IFERROR(INDEX(INSUMOS!$E$6:$E$205,MATCH($D813,INSUMOS!$A$6:$A$205,0)),""))</f>
        <v/>
      </c>
      <c r="G813" s="39"/>
      <c r="H813" s="45" t="str">
        <f aca="false">IF($D813="","",IFERROR(INDEX(INSUMOS!$F$6:$F$205,MATCH($D813,INSUMOS!$A$6:$A$205,0)),0))</f>
        <v/>
      </c>
      <c r="I813" s="34" t="str">
        <f aca="false">IF($D813="","",N($G813)*$H813)</f>
        <v/>
      </c>
      <c r="J813" s="40"/>
      <c r="K813" s="36" t="str">
        <f aca="false">IF($D813="","",IFERROR(INDEX(INSUMOS!$H$6:$H$205,MATCH($D813,INSUMOS!$A$6:$A$205,0)),IVA_VENTAS))</f>
        <v/>
      </c>
      <c r="L813" s="35" t="str">
        <f aca="false">IF($D813="","",N($J813)*$K813)</f>
        <v/>
      </c>
      <c r="M813" s="35" t="str">
        <f aca="false">IF($D813="","",N($J813)+$L813)</f>
        <v/>
      </c>
      <c r="N813" s="43" t="str">
        <f aca="false">IF($D813="","",IFERROR(N($J813)/$I813,0))</f>
        <v/>
      </c>
      <c r="O813" s="6"/>
      <c r="P813" s="6"/>
      <c r="Q813" s="46" t="str">
        <f aca="false">IF($A813="","",DATE(YEAR($A813),MONTH($A813),1))</f>
        <v/>
      </c>
      <c r="R813" s="8" t="str">
        <f aca="false">IF(OR($A813="",$D813=""),"",IF(COUNTIFS($D$6:$D$1005,$D813,$A$6:$A$1005,"&gt;"&amp;$A813)=0,1,0))</f>
        <v/>
      </c>
    </row>
    <row r="814" customFormat="false" ht="15" hidden="false" customHeight="false" outlineLevel="0" collapsed="false">
      <c r="A814" s="44"/>
      <c r="B814" s="6"/>
      <c r="C814" s="6"/>
      <c r="D814" s="6"/>
      <c r="E814" s="8" t="str">
        <f aca="false">IF($D814="","",IFERROR(INDEX(INSUMOS!$B$6:$B$205,MATCH($D814,INSUMOS!$A$6:$A$205,0)),"¿Código?"))</f>
        <v/>
      </c>
      <c r="F814" s="8" t="str">
        <f aca="false">IF($D814="","",IFERROR(INDEX(INSUMOS!$E$6:$E$205,MATCH($D814,INSUMOS!$A$6:$A$205,0)),""))</f>
        <v/>
      </c>
      <c r="G814" s="39"/>
      <c r="H814" s="45" t="str">
        <f aca="false">IF($D814="","",IFERROR(INDEX(INSUMOS!$F$6:$F$205,MATCH($D814,INSUMOS!$A$6:$A$205,0)),0))</f>
        <v/>
      </c>
      <c r="I814" s="34" t="str">
        <f aca="false">IF($D814="","",N($G814)*$H814)</f>
        <v/>
      </c>
      <c r="J814" s="40"/>
      <c r="K814" s="36" t="str">
        <f aca="false">IF($D814="","",IFERROR(INDEX(INSUMOS!$H$6:$H$205,MATCH($D814,INSUMOS!$A$6:$A$205,0)),IVA_VENTAS))</f>
        <v/>
      </c>
      <c r="L814" s="35" t="str">
        <f aca="false">IF($D814="","",N($J814)*$K814)</f>
        <v/>
      </c>
      <c r="M814" s="35" t="str">
        <f aca="false">IF($D814="","",N($J814)+$L814)</f>
        <v/>
      </c>
      <c r="N814" s="43" t="str">
        <f aca="false">IF($D814="","",IFERROR(N($J814)/$I814,0))</f>
        <v/>
      </c>
      <c r="O814" s="6"/>
      <c r="P814" s="6"/>
      <c r="Q814" s="46" t="str">
        <f aca="false">IF($A814="","",DATE(YEAR($A814),MONTH($A814),1))</f>
        <v/>
      </c>
      <c r="R814" s="8" t="str">
        <f aca="false">IF(OR($A814="",$D814=""),"",IF(COUNTIFS($D$6:$D$1005,$D814,$A$6:$A$1005,"&gt;"&amp;$A814)=0,1,0))</f>
        <v/>
      </c>
    </row>
    <row r="815" customFormat="false" ht="15" hidden="false" customHeight="false" outlineLevel="0" collapsed="false">
      <c r="A815" s="44"/>
      <c r="B815" s="6"/>
      <c r="C815" s="6"/>
      <c r="D815" s="6"/>
      <c r="E815" s="8" t="str">
        <f aca="false">IF($D815="","",IFERROR(INDEX(INSUMOS!$B$6:$B$205,MATCH($D815,INSUMOS!$A$6:$A$205,0)),"¿Código?"))</f>
        <v/>
      </c>
      <c r="F815" s="8" t="str">
        <f aca="false">IF($D815="","",IFERROR(INDEX(INSUMOS!$E$6:$E$205,MATCH($D815,INSUMOS!$A$6:$A$205,0)),""))</f>
        <v/>
      </c>
      <c r="G815" s="39"/>
      <c r="H815" s="45" t="str">
        <f aca="false">IF($D815="","",IFERROR(INDEX(INSUMOS!$F$6:$F$205,MATCH($D815,INSUMOS!$A$6:$A$205,0)),0))</f>
        <v/>
      </c>
      <c r="I815" s="34" t="str">
        <f aca="false">IF($D815="","",N($G815)*$H815)</f>
        <v/>
      </c>
      <c r="J815" s="40"/>
      <c r="K815" s="36" t="str">
        <f aca="false">IF($D815="","",IFERROR(INDEX(INSUMOS!$H$6:$H$205,MATCH($D815,INSUMOS!$A$6:$A$205,0)),IVA_VENTAS))</f>
        <v/>
      </c>
      <c r="L815" s="35" t="str">
        <f aca="false">IF($D815="","",N($J815)*$K815)</f>
        <v/>
      </c>
      <c r="M815" s="35" t="str">
        <f aca="false">IF($D815="","",N($J815)+$L815)</f>
        <v/>
      </c>
      <c r="N815" s="43" t="str">
        <f aca="false">IF($D815="","",IFERROR(N($J815)/$I815,0))</f>
        <v/>
      </c>
      <c r="O815" s="6"/>
      <c r="P815" s="6"/>
      <c r="Q815" s="46" t="str">
        <f aca="false">IF($A815="","",DATE(YEAR($A815),MONTH($A815),1))</f>
        <v/>
      </c>
      <c r="R815" s="8" t="str">
        <f aca="false">IF(OR($A815="",$D815=""),"",IF(COUNTIFS($D$6:$D$1005,$D815,$A$6:$A$1005,"&gt;"&amp;$A815)=0,1,0))</f>
        <v/>
      </c>
    </row>
    <row r="816" customFormat="false" ht="15" hidden="false" customHeight="false" outlineLevel="0" collapsed="false">
      <c r="A816" s="44"/>
      <c r="B816" s="6"/>
      <c r="C816" s="6"/>
      <c r="D816" s="6"/>
      <c r="E816" s="8" t="str">
        <f aca="false">IF($D816="","",IFERROR(INDEX(INSUMOS!$B$6:$B$205,MATCH($D816,INSUMOS!$A$6:$A$205,0)),"¿Código?"))</f>
        <v/>
      </c>
      <c r="F816" s="8" t="str">
        <f aca="false">IF($D816="","",IFERROR(INDEX(INSUMOS!$E$6:$E$205,MATCH($D816,INSUMOS!$A$6:$A$205,0)),""))</f>
        <v/>
      </c>
      <c r="G816" s="39"/>
      <c r="H816" s="45" t="str">
        <f aca="false">IF($D816="","",IFERROR(INDEX(INSUMOS!$F$6:$F$205,MATCH($D816,INSUMOS!$A$6:$A$205,0)),0))</f>
        <v/>
      </c>
      <c r="I816" s="34" t="str">
        <f aca="false">IF($D816="","",N($G816)*$H816)</f>
        <v/>
      </c>
      <c r="J816" s="40"/>
      <c r="K816" s="36" t="str">
        <f aca="false">IF($D816="","",IFERROR(INDEX(INSUMOS!$H$6:$H$205,MATCH($D816,INSUMOS!$A$6:$A$205,0)),IVA_VENTAS))</f>
        <v/>
      </c>
      <c r="L816" s="35" t="str">
        <f aca="false">IF($D816="","",N($J816)*$K816)</f>
        <v/>
      </c>
      <c r="M816" s="35" t="str">
        <f aca="false">IF($D816="","",N($J816)+$L816)</f>
        <v/>
      </c>
      <c r="N816" s="43" t="str">
        <f aca="false">IF($D816="","",IFERROR(N($J816)/$I816,0))</f>
        <v/>
      </c>
      <c r="O816" s="6"/>
      <c r="P816" s="6"/>
      <c r="Q816" s="46" t="str">
        <f aca="false">IF($A816="","",DATE(YEAR($A816),MONTH($A816),1))</f>
        <v/>
      </c>
      <c r="R816" s="8" t="str">
        <f aca="false">IF(OR($A816="",$D816=""),"",IF(COUNTIFS($D$6:$D$1005,$D816,$A$6:$A$1005,"&gt;"&amp;$A816)=0,1,0))</f>
        <v/>
      </c>
    </row>
    <row r="817" customFormat="false" ht="15" hidden="false" customHeight="false" outlineLevel="0" collapsed="false">
      <c r="A817" s="44"/>
      <c r="B817" s="6"/>
      <c r="C817" s="6"/>
      <c r="D817" s="6"/>
      <c r="E817" s="8" t="str">
        <f aca="false">IF($D817="","",IFERROR(INDEX(INSUMOS!$B$6:$B$205,MATCH($D817,INSUMOS!$A$6:$A$205,0)),"¿Código?"))</f>
        <v/>
      </c>
      <c r="F817" s="8" t="str">
        <f aca="false">IF($D817="","",IFERROR(INDEX(INSUMOS!$E$6:$E$205,MATCH($D817,INSUMOS!$A$6:$A$205,0)),""))</f>
        <v/>
      </c>
      <c r="G817" s="39"/>
      <c r="H817" s="45" t="str">
        <f aca="false">IF($D817="","",IFERROR(INDEX(INSUMOS!$F$6:$F$205,MATCH($D817,INSUMOS!$A$6:$A$205,0)),0))</f>
        <v/>
      </c>
      <c r="I817" s="34" t="str">
        <f aca="false">IF($D817="","",N($G817)*$H817)</f>
        <v/>
      </c>
      <c r="J817" s="40"/>
      <c r="K817" s="36" t="str">
        <f aca="false">IF($D817="","",IFERROR(INDEX(INSUMOS!$H$6:$H$205,MATCH($D817,INSUMOS!$A$6:$A$205,0)),IVA_VENTAS))</f>
        <v/>
      </c>
      <c r="L817" s="35" t="str">
        <f aca="false">IF($D817="","",N($J817)*$K817)</f>
        <v/>
      </c>
      <c r="M817" s="35" t="str">
        <f aca="false">IF($D817="","",N($J817)+$L817)</f>
        <v/>
      </c>
      <c r="N817" s="43" t="str">
        <f aca="false">IF($D817="","",IFERROR(N($J817)/$I817,0))</f>
        <v/>
      </c>
      <c r="O817" s="6"/>
      <c r="P817" s="6"/>
      <c r="Q817" s="46" t="str">
        <f aca="false">IF($A817="","",DATE(YEAR($A817),MONTH($A817),1))</f>
        <v/>
      </c>
      <c r="R817" s="8" t="str">
        <f aca="false">IF(OR($A817="",$D817=""),"",IF(COUNTIFS($D$6:$D$1005,$D817,$A$6:$A$1005,"&gt;"&amp;$A817)=0,1,0))</f>
        <v/>
      </c>
    </row>
    <row r="818" customFormat="false" ht="15" hidden="false" customHeight="false" outlineLevel="0" collapsed="false">
      <c r="A818" s="44"/>
      <c r="B818" s="6"/>
      <c r="C818" s="6"/>
      <c r="D818" s="6"/>
      <c r="E818" s="8" t="str">
        <f aca="false">IF($D818="","",IFERROR(INDEX(INSUMOS!$B$6:$B$205,MATCH($D818,INSUMOS!$A$6:$A$205,0)),"¿Código?"))</f>
        <v/>
      </c>
      <c r="F818" s="8" t="str">
        <f aca="false">IF($D818="","",IFERROR(INDEX(INSUMOS!$E$6:$E$205,MATCH($D818,INSUMOS!$A$6:$A$205,0)),""))</f>
        <v/>
      </c>
      <c r="G818" s="39"/>
      <c r="H818" s="45" t="str">
        <f aca="false">IF($D818="","",IFERROR(INDEX(INSUMOS!$F$6:$F$205,MATCH($D818,INSUMOS!$A$6:$A$205,0)),0))</f>
        <v/>
      </c>
      <c r="I818" s="34" t="str">
        <f aca="false">IF($D818="","",N($G818)*$H818)</f>
        <v/>
      </c>
      <c r="J818" s="40"/>
      <c r="K818" s="36" t="str">
        <f aca="false">IF($D818="","",IFERROR(INDEX(INSUMOS!$H$6:$H$205,MATCH($D818,INSUMOS!$A$6:$A$205,0)),IVA_VENTAS))</f>
        <v/>
      </c>
      <c r="L818" s="35" t="str">
        <f aca="false">IF($D818="","",N($J818)*$K818)</f>
        <v/>
      </c>
      <c r="M818" s="35" t="str">
        <f aca="false">IF($D818="","",N($J818)+$L818)</f>
        <v/>
      </c>
      <c r="N818" s="43" t="str">
        <f aca="false">IF($D818="","",IFERROR(N($J818)/$I818,0))</f>
        <v/>
      </c>
      <c r="O818" s="6"/>
      <c r="P818" s="6"/>
      <c r="Q818" s="46" t="str">
        <f aca="false">IF($A818="","",DATE(YEAR($A818),MONTH($A818),1))</f>
        <v/>
      </c>
      <c r="R818" s="8" t="str">
        <f aca="false">IF(OR($A818="",$D818=""),"",IF(COUNTIFS($D$6:$D$1005,$D818,$A$6:$A$1005,"&gt;"&amp;$A818)=0,1,0))</f>
        <v/>
      </c>
    </row>
    <row r="819" customFormat="false" ht="15" hidden="false" customHeight="false" outlineLevel="0" collapsed="false">
      <c r="A819" s="44"/>
      <c r="B819" s="6"/>
      <c r="C819" s="6"/>
      <c r="D819" s="6"/>
      <c r="E819" s="8" t="str">
        <f aca="false">IF($D819="","",IFERROR(INDEX(INSUMOS!$B$6:$B$205,MATCH($D819,INSUMOS!$A$6:$A$205,0)),"¿Código?"))</f>
        <v/>
      </c>
      <c r="F819" s="8" t="str">
        <f aca="false">IF($D819="","",IFERROR(INDEX(INSUMOS!$E$6:$E$205,MATCH($D819,INSUMOS!$A$6:$A$205,0)),""))</f>
        <v/>
      </c>
      <c r="G819" s="39"/>
      <c r="H819" s="45" t="str">
        <f aca="false">IF($D819="","",IFERROR(INDEX(INSUMOS!$F$6:$F$205,MATCH($D819,INSUMOS!$A$6:$A$205,0)),0))</f>
        <v/>
      </c>
      <c r="I819" s="34" t="str">
        <f aca="false">IF($D819="","",N($G819)*$H819)</f>
        <v/>
      </c>
      <c r="J819" s="40"/>
      <c r="K819" s="36" t="str">
        <f aca="false">IF($D819="","",IFERROR(INDEX(INSUMOS!$H$6:$H$205,MATCH($D819,INSUMOS!$A$6:$A$205,0)),IVA_VENTAS))</f>
        <v/>
      </c>
      <c r="L819" s="35" t="str">
        <f aca="false">IF($D819="","",N($J819)*$K819)</f>
        <v/>
      </c>
      <c r="M819" s="35" t="str">
        <f aca="false">IF($D819="","",N($J819)+$L819)</f>
        <v/>
      </c>
      <c r="N819" s="43" t="str">
        <f aca="false">IF($D819="","",IFERROR(N($J819)/$I819,0))</f>
        <v/>
      </c>
      <c r="O819" s="6"/>
      <c r="P819" s="6"/>
      <c r="Q819" s="46" t="str">
        <f aca="false">IF($A819="","",DATE(YEAR($A819),MONTH($A819),1))</f>
        <v/>
      </c>
      <c r="R819" s="8" t="str">
        <f aca="false">IF(OR($A819="",$D819=""),"",IF(COUNTIFS($D$6:$D$1005,$D819,$A$6:$A$1005,"&gt;"&amp;$A819)=0,1,0))</f>
        <v/>
      </c>
    </row>
    <row r="820" customFormat="false" ht="15" hidden="false" customHeight="false" outlineLevel="0" collapsed="false">
      <c r="A820" s="44"/>
      <c r="B820" s="6"/>
      <c r="C820" s="6"/>
      <c r="D820" s="6"/>
      <c r="E820" s="8" t="str">
        <f aca="false">IF($D820="","",IFERROR(INDEX(INSUMOS!$B$6:$B$205,MATCH($D820,INSUMOS!$A$6:$A$205,0)),"¿Código?"))</f>
        <v/>
      </c>
      <c r="F820" s="8" t="str">
        <f aca="false">IF($D820="","",IFERROR(INDEX(INSUMOS!$E$6:$E$205,MATCH($D820,INSUMOS!$A$6:$A$205,0)),""))</f>
        <v/>
      </c>
      <c r="G820" s="39"/>
      <c r="H820" s="45" t="str">
        <f aca="false">IF($D820="","",IFERROR(INDEX(INSUMOS!$F$6:$F$205,MATCH($D820,INSUMOS!$A$6:$A$205,0)),0))</f>
        <v/>
      </c>
      <c r="I820" s="34" t="str">
        <f aca="false">IF($D820="","",N($G820)*$H820)</f>
        <v/>
      </c>
      <c r="J820" s="40"/>
      <c r="K820" s="36" t="str">
        <f aca="false">IF($D820="","",IFERROR(INDEX(INSUMOS!$H$6:$H$205,MATCH($D820,INSUMOS!$A$6:$A$205,0)),IVA_VENTAS))</f>
        <v/>
      </c>
      <c r="L820" s="35" t="str">
        <f aca="false">IF($D820="","",N($J820)*$K820)</f>
        <v/>
      </c>
      <c r="M820" s="35" t="str">
        <f aca="false">IF($D820="","",N($J820)+$L820)</f>
        <v/>
      </c>
      <c r="N820" s="43" t="str">
        <f aca="false">IF($D820="","",IFERROR(N($J820)/$I820,0))</f>
        <v/>
      </c>
      <c r="O820" s="6"/>
      <c r="P820" s="6"/>
      <c r="Q820" s="46" t="str">
        <f aca="false">IF($A820="","",DATE(YEAR($A820),MONTH($A820),1))</f>
        <v/>
      </c>
      <c r="R820" s="8" t="str">
        <f aca="false">IF(OR($A820="",$D820=""),"",IF(COUNTIFS($D$6:$D$1005,$D820,$A$6:$A$1005,"&gt;"&amp;$A820)=0,1,0))</f>
        <v/>
      </c>
    </row>
    <row r="821" customFormat="false" ht="15" hidden="false" customHeight="false" outlineLevel="0" collapsed="false">
      <c r="A821" s="44"/>
      <c r="B821" s="6"/>
      <c r="C821" s="6"/>
      <c r="D821" s="6"/>
      <c r="E821" s="8" t="str">
        <f aca="false">IF($D821="","",IFERROR(INDEX(INSUMOS!$B$6:$B$205,MATCH($D821,INSUMOS!$A$6:$A$205,0)),"¿Código?"))</f>
        <v/>
      </c>
      <c r="F821" s="8" t="str">
        <f aca="false">IF($D821="","",IFERROR(INDEX(INSUMOS!$E$6:$E$205,MATCH($D821,INSUMOS!$A$6:$A$205,0)),""))</f>
        <v/>
      </c>
      <c r="G821" s="39"/>
      <c r="H821" s="45" t="str">
        <f aca="false">IF($D821="","",IFERROR(INDEX(INSUMOS!$F$6:$F$205,MATCH($D821,INSUMOS!$A$6:$A$205,0)),0))</f>
        <v/>
      </c>
      <c r="I821" s="34" t="str">
        <f aca="false">IF($D821="","",N($G821)*$H821)</f>
        <v/>
      </c>
      <c r="J821" s="40"/>
      <c r="K821" s="36" t="str">
        <f aca="false">IF($D821="","",IFERROR(INDEX(INSUMOS!$H$6:$H$205,MATCH($D821,INSUMOS!$A$6:$A$205,0)),IVA_VENTAS))</f>
        <v/>
      </c>
      <c r="L821" s="35" t="str">
        <f aca="false">IF($D821="","",N($J821)*$K821)</f>
        <v/>
      </c>
      <c r="M821" s="35" t="str">
        <f aca="false">IF($D821="","",N($J821)+$L821)</f>
        <v/>
      </c>
      <c r="N821" s="43" t="str">
        <f aca="false">IF($D821="","",IFERROR(N($J821)/$I821,0))</f>
        <v/>
      </c>
      <c r="O821" s="6"/>
      <c r="P821" s="6"/>
      <c r="Q821" s="46" t="str">
        <f aca="false">IF($A821="","",DATE(YEAR($A821),MONTH($A821),1))</f>
        <v/>
      </c>
      <c r="R821" s="8" t="str">
        <f aca="false">IF(OR($A821="",$D821=""),"",IF(COUNTIFS($D$6:$D$1005,$D821,$A$6:$A$1005,"&gt;"&amp;$A821)=0,1,0))</f>
        <v/>
      </c>
    </row>
    <row r="822" customFormat="false" ht="15" hidden="false" customHeight="false" outlineLevel="0" collapsed="false">
      <c r="A822" s="44"/>
      <c r="B822" s="6"/>
      <c r="C822" s="6"/>
      <c r="D822" s="6"/>
      <c r="E822" s="8" t="str">
        <f aca="false">IF($D822="","",IFERROR(INDEX(INSUMOS!$B$6:$B$205,MATCH($D822,INSUMOS!$A$6:$A$205,0)),"¿Código?"))</f>
        <v/>
      </c>
      <c r="F822" s="8" t="str">
        <f aca="false">IF($D822="","",IFERROR(INDEX(INSUMOS!$E$6:$E$205,MATCH($D822,INSUMOS!$A$6:$A$205,0)),""))</f>
        <v/>
      </c>
      <c r="G822" s="39"/>
      <c r="H822" s="45" t="str">
        <f aca="false">IF($D822="","",IFERROR(INDEX(INSUMOS!$F$6:$F$205,MATCH($D822,INSUMOS!$A$6:$A$205,0)),0))</f>
        <v/>
      </c>
      <c r="I822" s="34" t="str">
        <f aca="false">IF($D822="","",N($G822)*$H822)</f>
        <v/>
      </c>
      <c r="J822" s="40"/>
      <c r="K822" s="36" t="str">
        <f aca="false">IF($D822="","",IFERROR(INDEX(INSUMOS!$H$6:$H$205,MATCH($D822,INSUMOS!$A$6:$A$205,0)),IVA_VENTAS))</f>
        <v/>
      </c>
      <c r="L822" s="35" t="str">
        <f aca="false">IF($D822="","",N($J822)*$K822)</f>
        <v/>
      </c>
      <c r="M822" s="35" t="str">
        <f aca="false">IF($D822="","",N($J822)+$L822)</f>
        <v/>
      </c>
      <c r="N822" s="43" t="str">
        <f aca="false">IF($D822="","",IFERROR(N($J822)/$I822,0))</f>
        <v/>
      </c>
      <c r="O822" s="6"/>
      <c r="P822" s="6"/>
      <c r="Q822" s="46" t="str">
        <f aca="false">IF($A822="","",DATE(YEAR($A822),MONTH($A822),1))</f>
        <v/>
      </c>
      <c r="R822" s="8" t="str">
        <f aca="false">IF(OR($A822="",$D822=""),"",IF(COUNTIFS($D$6:$D$1005,$D822,$A$6:$A$1005,"&gt;"&amp;$A822)=0,1,0))</f>
        <v/>
      </c>
    </row>
    <row r="823" customFormat="false" ht="15" hidden="false" customHeight="false" outlineLevel="0" collapsed="false">
      <c r="A823" s="44"/>
      <c r="B823" s="6"/>
      <c r="C823" s="6"/>
      <c r="D823" s="6"/>
      <c r="E823" s="8" t="str">
        <f aca="false">IF($D823="","",IFERROR(INDEX(INSUMOS!$B$6:$B$205,MATCH($D823,INSUMOS!$A$6:$A$205,0)),"¿Código?"))</f>
        <v/>
      </c>
      <c r="F823" s="8" t="str">
        <f aca="false">IF($D823="","",IFERROR(INDEX(INSUMOS!$E$6:$E$205,MATCH($D823,INSUMOS!$A$6:$A$205,0)),""))</f>
        <v/>
      </c>
      <c r="G823" s="39"/>
      <c r="H823" s="45" t="str">
        <f aca="false">IF($D823="","",IFERROR(INDEX(INSUMOS!$F$6:$F$205,MATCH($D823,INSUMOS!$A$6:$A$205,0)),0))</f>
        <v/>
      </c>
      <c r="I823" s="34" t="str">
        <f aca="false">IF($D823="","",N($G823)*$H823)</f>
        <v/>
      </c>
      <c r="J823" s="40"/>
      <c r="K823" s="36" t="str">
        <f aca="false">IF($D823="","",IFERROR(INDEX(INSUMOS!$H$6:$H$205,MATCH($D823,INSUMOS!$A$6:$A$205,0)),IVA_VENTAS))</f>
        <v/>
      </c>
      <c r="L823" s="35" t="str">
        <f aca="false">IF($D823="","",N($J823)*$K823)</f>
        <v/>
      </c>
      <c r="M823" s="35" t="str">
        <f aca="false">IF($D823="","",N($J823)+$L823)</f>
        <v/>
      </c>
      <c r="N823" s="43" t="str">
        <f aca="false">IF($D823="","",IFERROR(N($J823)/$I823,0))</f>
        <v/>
      </c>
      <c r="O823" s="6"/>
      <c r="P823" s="6"/>
      <c r="Q823" s="46" t="str">
        <f aca="false">IF($A823="","",DATE(YEAR($A823),MONTH($A823),1))</f>
        <v/>
      </c>
      <c r="R823" s="8" t="str">
        <f aca="false">IF(OR($A823="",$D823=""),"",IF(COUNTIFS($D$6:$D$1005,$D823,$A$6:$A$1005,"&gt;"&amp;$A823)=0,1,0))</f>
        <v/>
      </c>
    </row>
    <row r="824" customFormat="false" ht="15" hidden="false" customHeight="false" outlineLevel="0" collapsed="false">
      <c r="A824" s="44"/>
      <c r="B824" s="6"/>
      <c r="C824" s="6"/>
      <c r="D824" s="6"/>
      <c r="E824" s="8" t="str">
        <f aca="false">IF($D824="","",IFERROR(INDEX(INSUMOS!$B$6:$B$205,MATCH($D824,INSUMOS!$A$6:$A$205,0)),"¿Código?"))</f>
        <v/>
      </c>
      <c r="F824" s="8" t="str">
        <f aca="false">IF($D824="","",IFERROR(INDEX(INSUMOS!$E$6:$E$205,MATCH($D824,INSUMOS!$A$6:$A$205,0)),""))</f>
        <v/>
      </c>
      <c r="G824" s="39"/>
      <c r="H824" s="45" t="str">
        <f aca="false">IF($D824="","",IFERROR(INDEX(INSUMOS!$F$6:$F$205,MATCH($D824,INSUMOS!$A$6:$A$205,0)),0))</f>
        <v/>
      </c>
      <c r="I824" s="34" t="str">
        <f aca="false">IF($D824="","",N($G824)*$H824)</f>
        <v/>
      </c>
      <c r="J824" s="40"/>
      <c r="K824" s="36" t="str">
        <f aca="false">IF($D824="","",IFERROR(INDEX(INSUMOS!$H$6:$H$205,MATCH($D824,INSUMOS!$A$6:$A$205,0)),IVA_VENTAS))</f>
        <v/>
      </c>
      <c r="L824" s="35" t="str">
        <f aca="false">IF($D824="","",N($J824)*$K824)</f>
        <v/>
      </c>
      <c r="M824" s="35" t="str">
        <f aca="false">IF($D824="","",N($J824)+$L824)</f>
        <v/>
      </c>
      <c r="N824" s="43" t="str">
        <f aca="false">IF($D824="","",IFERROR(N($J824)/$I824,0))</f>
        <v/>
      </c>
      <c r="O824" s="6"/>
      <c r="P824" s="6"/>
      <c r="Q824" s="46" t="str">
        <f aca="false">IF($A824="","",DATE(YEAR($A824),MONTH($A824),1))</f>
        <v/>
      </c>
      <c r="R824" s="8" t="str">
        <f aca="false">IF(OR($A824="",$D824=""),"",IF(COUNTIFS($D$6:$D$1005,$D824,$A$6:$A$1005,"&gt;"&amp;$A824)=0,1,0))</f>
        <v/>
      </c>
    </row>
    <row r="825" customFormat="false" ht="15" hidden="false" customHeight="false" outlineLevel="0" collapsed="false">
      <c r="A825" s="44"/>
      <c r="B825" s="6"/>
      <c r="C825" s="6"/>
      <c r="D825" s="6"/>
      <c r="E825" s="8" t="str">
        <f aca="false">IF($D825="","",IFERROR(INDEX(INSUMOS!$B$6:$B$205,MATCH($D825,INSUMOS!$A$6:$A$205,0)),"¿Código?"))</f>
        <v/>
      </c>
      <c r="F825" s="8" t="str">
        <f aca="false">IF($D825="","",IFERROR(INDEX(INSUMOS!$E$6:$E$205,MATCH($D825,INSUMOS!$A$6:$A$205,0)),""))</f>
        <v/>
      </c>
      <c r="G825" s="39"/>
      <c r="H825" s="45" t="str">
        <f aca="false">IF($D825="","",IFERROR(INDEX(INSUMOS!$F$6:$F$205,MATCH($D825,INSUMOS!$A$6:$A$205,0)),0))</f>
        <v/>
      </c>
      <c r="I825" s="34" t="str">
        <f aca="false">IF($D825="","",N($G825)*$H825)</f>
        <v/>
      </c>
      <c r="J825" s="40"/>
      <c r="K825" s="36" t="str">
        <f aca="false">IF($D825="","",IFERROR(INDEX(INSUMOS!$H$6:$H$205,MATCH($D825,INSUMOS!$A$6:$A$205,0)),IVA_VENTAS))</f>
        <v/>
      </c>
      <c r="L825" s="35" t="str">
        <f aca="false">IF($D825="","",N($J825)*$K825)</f>
        <v/>
      </c>
      <c r="M825" s="35" t="str">
        <f aca="false">IF($D825="","",N($J825)+$L825)</f>
        <v/>
      </c>
      <c r="N825" s="43" t="str">
        <f aca="false">IF($D825="","",IFERROR(N($J825)/$I825,0))</f>
        <v/>
      </c>
      <c r="O825" s="6"/>
      <c r="P825" s="6"/>
      <c r="Q825" s="46" t="str">
        <f aca="false">IF($A825="","",DATE(YEAR($A825),MONTH($A825),1))</f>
        <v/>
      </c>
      <c r="R825" s="8" t="str">
        <f aca="false">IF(OR($A825="",$D825=""),"",IF(COUNTIFS($D$6:$D$1005,$D825,$A$6:$A$1005,"&gt;"&amp;$A825)=0,1,0))</f>
        <v/>
      </c>
    </row>
    <row r="826" customFormat="false" ht="15" hidden="false" customHeight="false" outlineLevel="0" collapsed="false">
      <c r="A826" s="44"/>
      <c r="B826" s="6"/>
      <c r="C826" s="6"/>
      <c r="D826" s="6"/>
      <c r="E826" s="8" t="str">
        <f aca="false">IF($D826="","",IFERROR(INDEX(INSUMOS!$B$6:$B$205,MATCH($D826,INSUMOS!$A$6:$A$205,0)),"¿Código?"))</f>
        <v/>
      </c>
      <c r="F826" s="8" t="str">
        <f aca="false">IF($D826="","",IFERROR(INDEX(INSUMOS!$E$6:$E$205,MATCH($D826,INSUMOS!$A$6:$A$205,0)),""))</f>
        <v/>
      </c>
      <c r="G826" s="39"/>
      <c r="H826" s="45" t="str">
        <f aca="false">IF($D826="","",IFERROR(INDEX(INSUMOS!$F$6:$F$205,MATCH($D826,INSUMOS!$A$6:$A$205,0)),0))</f>
        <v/>
      </c>
      <c r="I826" s="34" t="str">
        <f aca="false">IF($D826="","",N($G826)*$H826)</f>
        <v/>
      </c>
      <c r="J826" s="40"/>
      <c r="K826" s="36" t="str">
        <f aca="false">IF($D826="","",IFERROR(INDEX(INSUMOS!$H$6:$H$205,MATCH($D826,INSUMOS!$A$6:$A$205,0)),IVA_VENTAS))</f>
        <v/>
      </c>
      <c r="L826" s="35" t="str">
        <f aca="false">IF($D826="","",N($J826)*$K826)</f>
        <v/>
      </c>
      <c r="M826" s="35" t="str">
        <f aca="false">IF($D826="","",N($J826)+$L826)</f>
        <v/>
      </c>
      <c r="N826" s="43" t="str">
        <f aca="false">IF($D826="","",IFERROR(N($J826)/$I826,0))</f>
        <v/>
      </c>
      <c r="O826" s="6"/>
      <c r="P826" s="6"/>
      <c r="Q826" s="46" t="str">
        <f aca="false">IF($A826="","",DATE(YEAR($A826),MONTH($A826),1))</f>
        <v/>
      </c>
      <c r="R826" s="8" t="str">
        <f aca="false">IF(OR($A826="",$D826=""),"",IF(COUNTIFS($D$6:$D$1005,$D826,$A$6:$A$1005,"&gt;"&amp;$A826)=0,1,0))</f>
        <v/>
      </c>
    </row>
    <row r="827" customFormat="false" ht="15" hidden="false" customHeight="false" outlineLevel="0" collapsed="false">
      <c r="A827" s="44"/>
      <c r="B827" s="6"/>
      <c r="C827" s="6"/>
      <c r="D827" s="6"/>
      <c r="E827" s="8" t="str">
        <f aca="false">IF($D827="","",IFERROR(INDEX(INSUMOS!$B$6:$B$205,MATCH($D827,INSUMOS!$A$6:$A$205,0)),"¿Código?"))</f>
        <v/>
      </c>
      <c r="F827" s="8" t="str">
        <f aca="false">IF($D827="","",IFERROR(INDEX(INSUMOS!$E$6:$E$205,MATCH($D827,INSUMOS!$A$6:$A$205,0)),""))</f>
        <v/>
      </c>
      <c r="G827" s="39"/>
      <c r="H827" s="45" t="str">
        <f aca="false">IF($D827="","",IFERROR(INDEX(INSUMOS!$F$6:$F$205,MATCH($D827,INSUMOS!$A$6:$A$205,0)),0))</f>
        <v/>
      </c>
      <c r="I827" s="34" t="str">
        <f aca="false">IF($D827="","",N($G827)*$H827)</f>
        <v/>
      </c>
      <c r="J827" s="40"/>
      <c r="K827" s="36" t="str">
        <f aca="false">IF($D827="","",IFERROR(INDEX(INSUMOS!$H$6:$H$205,MATCH($D827,INSUMOS!$A$6:$A$205,0)),IVA_VENTAS))</f>
        <v/>
      </c>
      <c r="L827" s="35" t="str">
        <f aca="false">IF($D827="","",N($J827)*$K827)</f>
        <v/>
      </c>
      <c r="M827" s="35" t="str">
        <f aca="false">IF($D827="","",N($J827)+$L827)</f>
        <v/>
      </c>
      <c r="N827" s="43" t="str">
        <f aca="false">IF($D827="","",IFERROR(N($J827)/$I827,0))</f>
        <v/>
      </c>
      <c r="O827" s="6"/>
      <c r="P827" s="6"/>
      <c r="Q827" s="46" t="str">
        <f aca="false">IF($A827="","",DATE(YEAR($A827),MONTH($A827),1))</f>
        <v/>
      </c>
      <c r="R827" s="8" t="str">
        <f aca="false">IF(OR($A827="",$D827=""),"",IF(COUNTIFS($D$6:$D$1005,$D827,$A$6:$A$1005,"&gt;"&amp;$A827)=0,1,0))</f>
        <v/>
      </c>
    </row>
    <row r="828" customFormat="false" ht="15" hidden="false" customHeight="false" outlineLevel="0" collapsed="false">
      <c r="A828" s="44"/>
      <c r="B828" s="6"/>
      <c r="C828" s="6"/>
      <c r="D828" s="6"/>
      <c r="E828" s="8" t="str">
        <f aca="false">IF($D828="","",IFERROR(INDEX(INSUMOS!$B$6:$B$205,MATCH($D828,INSUMOS!$A$6:$A$205,0)),"¿Código?"))</f>
        <v/>
      </c>
      <c r="F828" s="8" t="str">
        <f aca="false">IF($D828="","",IFERROR(INDEX(INSUMOS!$E$6:$E$205,MATCH($D828,INSUMOS!$A$6:$A$205,0)),""))</f>
        <v/>
      </c>
      <c r="G828" s="39"/>
      <c r="H828" s="45" t="str">
        <f aca="false">IF($D828="","",IFERROR(INDEX(INSUMOS!$F$6:$F$205,MATCH($D828,INSUMOS!$A$6:$A$205,0)),0))</f>
        <v/>
      </c>
      <c r="I828" s="34" t="str">
        <f aca="false">IF($D828="","",N($G828)*$H828)</f>
        <v/>
      </c>
      <c r="J828" s="40"/>
      <c r="K828" s="36" t="str">
        <f aca="false">IF($D828="","",IFERROR(INDEX(INSUMOS!$H$6:$H$205,MATCH($D828,INSUMOS!$A$6:$A$205,0)),IVA_VENTAS))</f>
        <v/>
      </c>
      <c r="L828" s="35" t="str">
        <f aca="false">IF($D828="","",N($J828)*$K828)</f>
        <v/>
      </c>
      <c r="M828" s="35" t="str">
        <f aca="false">IF($D828="","",N($J828)+$L828)</f>
        <v/>
      </c>
      <c r="N828" s="43" t="str">
        <f aca="false">IF($D828="","",IFERROR(N($J828)/$I828,0))</f>
        <v/>
      </c>
      <c r="O828" s="6"/>
      <c r="P828" s="6"/>
      <c r="Q828" s="46" t="str">
        <f aca="false">IF($A828="","",DATE(YEAR($A828),MONTH($A828),1))</f>
        <v/>
      </c>
      <c r="R828" s="8" t="str">
        <f aca="false">IF(OR($A828="",$D828=""),"",IF(COUNTIFS($D$6:$D$1005,$D828,$A$6:$A$1005,"&gt;"&amp;$A828)=0,1,0))</f>
        <v/>
      </c>
    </row>
    <row r="829" customFormat="false" ht="15" hidden="false" customHeight="false" outlineLevel="0" collapsed="false">
      <c r="A829" s="44"/>
      <c r="B829" s="6"/>
      <c r="C829" s="6"/>
      <c r="D829" s="6"/>
      <c r="E829" s="8" t="str">
        <f aca="false">IF($D829="","",IFERROR(INDEX(INSUMOS!$B$6:$B$205,MATCH($D829,INSUMOS!$A$6:$A$205,0)),"¿Código?"))</f>
        <v/>
      </c>
      <c r="F829" s="8" t="str">
        <f aca="false">IF($D829="","",IFERROR(INDEX(INSUMOS!$E$6:$E$205,MATCH($D829,INSUMOS!$A$6:$A$205,0)),""))</f>
        <v/>
      </c>
      <c r="G829" s="39"/>
      <c r="H829" s="45" t="str">
        <f aca="false">IF($D829="","",IFERROR(INDEX(INSUMOS!$F$6:$F$205,MATCH($D829,INSUMOS!$A$6:$A$205,0)),0))</f>
        <v/>
      </c>
      <c r="I829" s="34" t="str">
        <f aca="false">IF($D829="","",N($G829)*$H829)</f>
        <v/>
      </c>
      <c r="J829" s="40"/>
      <c r="K829" s="36" t="str">
        <f aca="false">IF($D829="","",IFERROR(INDEX(INSUMOS!$H$6:$H$205,MATCH($D829,INSUMOS!$A$6:$A$205,0)),IVA_VENTAS))</f>
        <v/>
      </c>
      <c r="L829" s="35" t="str">
        <f aca="false">IF($D829="","",N($J829)*$K829)</f>
        <v/>
      </c>
      <c r="M829" s="35" t="str">
        <f aca="false">IF($D829="","",N($J829)+$L829)</f>
        <v/>
      </c>
      <c r="N829" s="43" t="str">
        <f aca="false">IF($D829="","",IFERROR(N($J829)/$I829,0))</f>
        <v/>
      </c>
      <c r="O829" s="6"/>
      <c r="P829" s="6"/>
      <c r="Q829" s="46" t="str">
        <f aca="false">IF($A829="","",DATE(YEAR($A829),MONTH($A829),1))</f>
        <v/>
      </c>
      <c r="R829" s="8" t="str">
        <f aca="false">IF(OR($A829="",$D829=""),"",IF(COUNTIFS($D$6:$D$1005,$D829,$A$6:$A$1005,"&gt;"&amp;$A829)=0,1,0))</f>
        <v/>
      </c>
    </row>
    <row r="830" customFormat="false" ht="15" hidden="false" customHeight="false" outlineLevel="0" collapsed="false">
      <c r="A830" s="44"/>
      <c r="B830" s="6"/>
      <c r="C830" s="6"/>
      <c r="D830" s="6"/>
      <c r="E830" s="8" t="str">
        <f aca="false">IF($D830="","",IFERROR(INDEX(INSUMOS!$B$6:$B$205,MATCH($D830,INSUMOS!$A$6:$A$205,0)),"¿Código?"))</f>
        <v/>
      </c>
      <c r="F830" s="8" t="str">
        <f aca="false">IF($D830="","",IFERROR(INDEX(INSUMOS!$E$6:$E$205,MATCH($D830,INSUMOS!$A$6:$A$205,0)),""))</f>
        <v/>
      </c>
      <c r="G830" s="39"/>
      <c r="H830" s="45" t="str">
        <f aca="false">IF($D830="","",IFERROR(INDEX(INSUMOS!$F$6:$F$205,MATCH($D830,INSUMOS!$A$6:$A$205,0)),0))</f>
        <v/>
      </c>
      <c r="I830" s="34" t="str">
        <f aca="false">IF($D830="","",N($G830)*$H830)</f>
        <v/>
      </c>
      <c r="J830" s="40"/>
      <c r="K830" s="36" t="str">
        <f aca="false">IF($D830="","",IFERROR(INDEX(INSUMOS!$H$6:$H$205,MATCH($D830,INSUMOS!$A$6:$A$205,0)),IVA_VENTAS))</f>
        <v/>
      </c>
      <c r="L830" s="35" t="str">
        <f aca="false">IF($D830="","",N($J830)*$K830)</f>
        <v/>
      </c>
      <c r="M830" s="35" t="str">
        <f aca="false">IF($D830="","",N($J830)+$L830)</f>
        <v/>
      </c>
      <c r="N830" s="43" t="str">
        <f aca="false">IF($D830="","",IFERROR(N($J830)/$I830,0))</f>
        <v/>
      </c>
      <c r="O830" s="6"/>
      <c r="P830" s="6"/>
      <c r="Q830" s="46" t="str">
        <f aca="false">IF($A830="","",DATE(YEAR($A830),MONTH($A830),1))</f>
        <v/>
      </c>
      <c r="R830" s="8" t="str">
        <f aca="false">IF(OR($A830="",$D830=""),"",IF(COUNTIFS($D$6:$D$1005,$D830,$A$6:$A$1005,"&gt;"&amp;$A830)=0,1,0))</f>
        <v/>
      </c>
    </row>
    <row r="831" customFormat="false" ht="15" hidden="false" customHeight="false" outlineLevel="0" collapsed="false">
      <c r="A831" s="44"/>
      <c r="B831" s="6"/>
      <c r="C831" s="6"/>
      <c r="D831" s="6"/>
      <c r="E831" s="8" t="str">
        <f aca="false">IF($D831="","",IFERROR(INDEX(INSUMOS!$B$6:$B$205,MATCH($D831,INSUMOS!$A$6:$A$205,0)),"¿Código?"))</f>
        <v/>
      </c>
      <c r="F831" s="8" t="str">
        <f aca="false">IF($D831="","",IFERROR(INDEX(INSUMOS!$E$6:$E$205,MATCH($D831,INSUMOS!$A$6:$A$205,0)),""))</f>
        <v/>
      </c>
      <c r="G831" s="39"/>
      <c r="H831" s="45" t="str">
        <f aca="false">IF($D831="","",IFERROR(INDEX(INSUMOS!$F$6:$F$205,MATCH($D831,INSUMOS!$A$6:$A$205,0)),0))</f>
        <v/>
      </c>
      <c r="I831" s="34" t="str">
        <f aca="false">IF($D831="","",N($G831)*$H831)</f>
        <v/>
      </c>
      <c r="J831" s="40"/>
      <c r="K831" s="36" t="str">
        <f aca="false">IF($D831="","",IFERROR(INDEX(INSUMOS!$H$6:$H$205,MATCH($D831,INSUMOS!$A$6:$A$205,0)),IVA_VENTAS))</f>
        <v/>
      </c>
      <c r="L831" s="35" t="str">
        <f aca="false">IF($D831="","",N($J831)*$K831)</f>
        <v/>
      </c>
      <c r="M831" s="35" t="str">
        <f aca="false">IF($D831="","",N($J831)+$L831)</f>
        <v/>
      </c>
      <c r="N831" s="43" t="str">
        <f aca="false">IF($D831="","",IFERROR(N($J831)/$I831,0))</f>
        <v/>
      </c>
      <c r="O831" s="6"/>
      <c r="P831" s="6"/>
      <c r="Q831" s="46" t="str">
        <f aca="false">IF($A831="","",DATE(YEAR($A831),MONTH($A831),1))</f>
        <v/>
      </c>
      <c r="R831" s="8" t="str">
        <f aca="false">IF(OR($A831="",$D831=""),"",IF(COUNTIFS($D$6:$D$1005,$D831,$A$6:$A$1005,"&gt;"&amp;$A831)=0,1,0))</f>
        <v/>
      </c>
    </row>
    <row r="832" customFormat="false" ht="15" hidden="false" customHeight="false" outlineLevel="0" collapsed="false">
      <c r="A832" s="44"/>
      <c r="B832" s="6"/>
      <c r="C832" s="6"/>
      <c r="D832" s="6"/>
      <c r="E832" s="8" t="str">
        <f aca="false">IF($D832="","",IFERROR(INDEX(INSUMOS!$B$6:$B$205,MATCH($D832,INSUMOS!$A$6:$A$205,0)),"¿Código?"))</f>
        <v/>
      </c>
      <c r="F832" s="8" t="str">
        <f aca="false">IF($D832="","",IFERROR(INDEX(INSUMOS!$E$6:$E$205,MATCH($D832,INSUMOS!$A$6:$A$205,0)),""))</f>
        <v/>
      </c>
      <c r="G832" s="39"/>
      <c r="H832" s="45" t="str">
        <f aca="false">IF($D832="","",IFERROR(INDEX(INSUMOS!$F$6:$F$205,MATCH($D832,INSUMOS!$A$6:$A$205,0)),0))</f>
        <v/>
      </c>
      <c r="I832" s="34" t="str">
        <f aca="false">IF($D832="","",N($G832)*$H832)</f>
        <v/>
      </c>
      <c r="J832" s="40"/>
      <c r="K832" s="36" t="str">
        <f aca="false">IF($D832="","",IFERROR(INDEX(INSUMOS!$H$6:$H$205,MATCH($D832,INSUMOS!$A$6:$A$205,0)),IVA_VENTAS))</f>
        <v/>
      </c>
      <c r="L832" s="35" t="str">
        <f aca="false">IF($D832="","",N($J832)*$K832)</f>
        <v/>
      </c>
      <c r="M832" s="35" t="str">
        <f aca="false">IF($D832="","",N($J832)+$L832)</f>
        <v/>
      </c>
      <c r="N832" s="43" t="str">
        <f aca="false">IF($D832="","",IFERROR(N($J832)/$I832,0))</f>
        <v/>
      </c>
      <c r="O832" s="6"/>
      <c r="P832" s="6"/>
      <c r="Q832" s="46" t="str">
        <f aca="false">IF($A832="","",DATE(YEAR($A832),MONTH($A832),1))</f>
        <v/>
      </c>
      <c r="R832" s="8" t="str">
        <f aca="false">IF(OR($A832="",$D832=""),"",IF(COUNTIFS($D$6:$D$1005,$D832,$A$6:$A$1005,"&gt;"&amp;$A832)=0,1,0))</f>
        <v/>
      </c>
    </row>
    <row r="833" customFormat="false" ht="15" hidden="false" customHeight="false" outlineLevel="0" collapsed="false">
      <c r="A833" s="44"/>
      <c r="B833" s="6"/>
      <c r="C833" s="6"/>
      <c r="D833" s="6"/>
      <c r="E833" s="8" t="str">
        <f aca="false">IF($D833="","",IFERROR(INDEX(INSUMOS!$B$6:$B$205,MATCH($D833,INSUMOS!$A$6:$A$205,0)),"¿Código?"))</f>
        <v/>
      </c>
      <c r="F833" s="8" t="str">
        <f aca="false">IF($D833="","",IFERROR(INDEX(INSUMOS!$E$6:$E$205,MATCH($D833,INSUMOS!$A$6:$A$205,0)),""))</f>
        <v/>
      </c>
      <c r="G833" s="39"/>
      <c r="H833" s="45" t="str">
        <f aca="false">IF($D833="","",IFERROR(INDEX(INSUMOS!$F$6:$F$205,MATCH($D833,INSUMOS!$A$6:$A$205,0)),0))</f>
        <v/>
      </c>
      <c r="I833" s="34" t="str">
        <f aca="false">IF($D833="","",N($G833)*$H833)</f>
        <v/>
      </c>
      <c r="J833" s="40"/>
      <c r="K833" s="36" t="str">
        <f aca="false">IF($D833="","",IFERROR(INDEX(INSUMOS!$H$6:$H$205,MATCH($D833,INSUMOS!$A$6:$A$205,0)),IVA_VENTAS))</f>
        <v/>
      </c>
      <c r="L833" s="35" t="str">
        <f aca="false">IF($D833="","",N($J833)*$K833)</f>
        <v/>
      </c>
      <c r="M833" s="35" t="str">
        <f aca="false">IF($D833="","",N($J833)+$L833)</f>
        <v/>
      </c>
      <c r="N833" s="43" t="str">
        <f aca="false">IF($D833="","",IFERROR(N($J833)/$I833,0))</f>
        <v/>
      </c>
      <c r="O833" s="6"/>
      <c r="P833" s="6"/>
      <c r="Q833" s="46" t="str">
        <f aca="false">IF($A833="","",DATE(YEAR($A833),MONTH($A833),1))</f>
        <v/>
      </c>
      <c r="R833" s="8" t="str">
        <f aca="false">IF(OR($A833="",$D833=""),"",IF(COUNTIFS($D$6:$D$1005,$D833,$A$6:$A$1005,"&gt;"&amp;$A833)=0,1,0))</f>
        <v/>
      </c>
    </row>
    <row r="834" customFormat="false" ht="15" hidden="false" customHeight="false" outlineLevel="0" collapsed="false">
      <c r="A834" s="44"/>
      <c r="B834" s="6"/>
      <c r="C834" s="6"/>
      <c r="D834" s="6"/>
      <c r="E834" s="8" t="str">
        <f aca="false">IF($D834="","",IFERROR(INDEX(INSUMOS!$B$6:$B$205,MATCH($D834,INSUMOS!$A$6:$A$205,0)),"¿Código?"))</f>
        <v/>
      </c>
      <c r="F834" s="8" t="str">
        <f aca="false">IF($D834="","",IFERROR(INDEX(INSUMOS!$E$6:$E$205,MATCH($D834,INSUMOS!$A$6:$A$205,0)),""))</f>
        <v/>
      </c>
      <c r="G834" s="39"/>
      <c r="H834" s="45" t="str">
        <f aca="false">IF($D834="","",IFERROR(INDEX(INSUMOS!$F$6:$F$205,MATCH($D834,INSUMOS!$A$6:$A$205,0)),0))</f>
        <v/>
      </c>
      <c r="I834" s="34" t="str">
        <f aca="false">IF($D834="","",N($G834)*$H834)</f>
        <v/>
      </c>
      <c r="J834" s="40"/>
      <c r="K834" s="36" t="str">
        <f aca="false">IF($D834="","",IFERROR(INDEX(INSUMOS!$H$6:$H$205,MATCH($D834,INSUMOS!$A$6:$A$205,0)),IVA_VENTAS))</f>
        <v/>
      </c>
      <c r="L834" s="35" t="str">
        <f aca="false">IF($D834="","",N($J834)*$K834)</f>
        <v/>
      </c>
      <c r="M834" s="35" t="str">
        <f aca="false">IF($D834="","",N($J834)+$L834)</f>
        <v/>
      </c>
      <c r="N834" s="43" t="str">
        <f aca="false">IF($D834="","",IFERROR(N($J834)/$I834,0))</f>
        <v/>
      </c>
      <c r="O834" s="6"/>
      <c r="P834" s="6"/>
      <c r="Q834" s="46" t="str">
        <f aca="false">IF($A834="","",DATE(YEAR($A834),MONTH($A834),1))</f>
        <v/>
      </c>
      <c r="R834" s="8" t="str">
        <f aca="false">IF(OR($A834="",$D834=""),"",IF(COUNTIFS($D$6:$D$1005,$D834,$A$6:$A$1005,"&gt;"&amp;$A834)=0,1,0))</f>
        <v/>
      </c>
    </row>
    <row r="835" customFormat="false" ht="15" hidden="false" customHeight="false" outlineLevel="0" collapsed="false">
      <c r="A835" s="44"/>
      <c r="B835" s="6"/>
      <c r="C835" s="6"/>
      <c r="D835" s="6"/>
      <c r="E835" s="8" t="str">
        <f aca="false">IF($D835="","",IFERROR(INDEX(INSUMOS!$B$6:$B$205,MATCH($D835,INSUMOS!$A$6:$A$205,0)),"¿Código?"))</f>
        <v/>
      </c>
      <c r="F835" s="8" t="str">
        <f aca="false">IF($D835="","",IFERROR(INDEX(INSUMOS!$E$6:$E$205,MATCH($D835,INSUMOS!$A$6:$A$205,0)),""))</f>
        <v/>
      </c>
      <c r="G835" s="39"/>
      <c r="H835" s="45" t="str">
        <f aca="false">IF($D835="","",IFERROR(INDEX(INSUMOS!$F$6:$F$205,MATCH($D835,INSUMOS!$A$6:$A$205,0)),0))</f>
        <v/>
      </c>
      <c r="I835" s="34" t="str">
        <f aca="false">IF($D835="","",N($G835)*$H835)</f>
        <v/>
      </c>
      <c r="J835" s="40"/>
      <c r="K835" s="36" t="str">
        <f aca="false">IF($D835="","",IFERROR(INDEX(INSUMOS!$H$6:$H$205,MATCH($D835,INSUMOS!$A$6:$A$205,0)),IVA_VENTAS))</f>
        <v/>
      </c>
      <c r="L835" s="35" t="str">
        <f aca="false">IF($D835="","",N($J835)*$K835)</f>
        <v/>
      </c>
      <c r="M835" s="35" t="str">
        <f aca="false">IF($D835="","",N($J835)+$L835)</f>
        <v/>
      </c>
      <c r="N835" s="43" t="str">
        <f aca="false">IF($D835="","",IFERROR(N($J835)/$I835,0))</f>
        <v/>
      </c>
      <c r="O835" s="6"/>
      <c r="P835" s="6"/>
      <c r="Q835" s="46" t="str">
        <f aca="false">IF($A835="","",DATE(YEAR($A835),MONTH($A835),1))</f>
        <v/>
      </c>
      <c r="R835" s="8" t="str">
        <f aca="false">IF(OR($A835="",$D835=""),"",IF(COUNTIFS($D$6:$D$1005,$D835,$A$6:$A$1005,"&gt;"&amp;$A835)=0,1,0))</f>
        <v/>
      </c>
    </row>
    <row r="836" customFormat="false" ht="15" hidden="false" customHeight="false" outlineLevel="0" collapsed="false">
      <c r="A836" s="44"/>
      <c r="B836" s="6"/>
      <c r="C836" s="6"/>
      <c r="D836" s="6"/>
      <c r="E836" s="8" t="str">
        <f aca="false">IF($D836="","",IFERROR(INDEX(INSUMOS!$B$6:$B$205,MATCH($D836,INSUMOS!$A$6:$A$205,0)),"¿Código?"))</f>
        <v/>
      </c>
      <c r="F836" s="8" t="str">
        <f aca="false">IF($D836="","",IFERROR(INDEX(INSUMOS!$E$6:$E$205,MATCH($D836,INSUMOS!$A$6:$A$205,0)),""))</f>
        <v/>
      </c>
      <c r="G836" s="39"/>
      <c r="H836" s="45" t="str">
        <f aca="false">IF($D836="","",IFERROR(INDEX(INSUMOS!$F$6:$F$205,MATCH($D836,INSUMOS!$A$6:$A$205,0)),0))</f>
        <v/>
      </c>
      <c r="I836" s="34" t="str">
        <f aca="false">IF($D836="","",N($G836)*$H836)</f>
        <v/>
      </c>
      <c r="J836" s="40"/>
      <c r="K836" s="36" t="str">
        <f aca="false">IF($D836="","",IFERROR(INDEX(INSUMOS!$H$6:$H$205,MATCH($D836,INSUMOS!$A$6:$A$205,0)),IVA_VENTAS))</f>
        <v/>
      </c>
      <c r="L836" s="35" t="str">
        <f aca="false">IF($D836="","",N($J836)*$K836)</f>
        <v/>
      </c>
      <c r="M836" s="35" t="str">
        <f aca="false">IF($D836="","",N($J836)+$L836)</f>
        <v/>
      </c>
      <c r="N836" s="43" t="str">
        <f aca="false">IF($D836="","",IFERROR(N($J836)/$I836,0))</f>
        <v/>
      </c>
      <c r="O836" s="6"/>
      <c r="P836" s="6"/>
      <c r="Q836" s="46" t="str">
        <f aca="false">IF($A836="","",DATE(YEAR($A836),MONTH($A836),1))</f>
        <v/>
      </c>
      <c r="R836" s="8" t="str">
        <f aca="false">IF(OR($A836="",$D836=""),"",IF(COUNTIFS($D$6:$D$1005,$D836,$A$6:$A$1005,"&gt;"&amp;$A836)=0,1,0))</f>
        <v/>
      </c>
    </row>
    <row r="837" customFormat="false" ht="15" hidden="false" customHeight="false" outlineLevel="0" collapsed="false">
      <c r="A837" s="44"/>
      <c r="B837" s="6"/>
      <c r="C837" s="6"/>
      <c r="D837" s="6"/>
      <c r="E837" s="8" t="str">
        <f aca="false">IF($D837="","",IFERROR(INDEX(INSUMOS!$B$6:$B$205,MATCH($D837,INSUMOS!$A$6:$A$205,0)),"¿Código?"))</f>
        <v/>
      </c>
      <c r="F837" s="8" t="str">
        <f aca="false">IF($D837="","",IFERROR(INDEX(INSUMOS!$E$6:$E$205,MATCH($D837,INSUMOS!$A$6:$A$205,0)),""))</f>
        <v/>
      </c>
      <c r="G837" s="39"/>
      <c r="H837" s="45" t="str">
        <f aca="false">IF($D837="","",IFERROR(INDEX(INSUMOS!$F$6:$F$205,MATCH($D837,INSUMOS!$A$6:$A$205,0)),0))</f>
        <v/>
      </c>
      <c r="I837" s="34" t="str">
        <f aca="false">IF($D837="","",N($G837)*$H837)</f>
        <v/>
      </c>
      <c r="J837" s="40"/>
      <c r="K837" s="36" t="str">
        <f aca="false">IF($D837="","",IFERROR(INDEX(INSUMOS!$H$6:$H$205,MATCH($D837,INSUMOS!$A$6:$A$205,0)),IVA_VENTAS))</f>
        <v/>
      </c>
      <c r="L837" s="35" t="str">
        <f aca="false">IF($D837="","",N($J837)*$K837)</f>
        <v/>
      </c>
      <c r="M837" s="35" t="str">
        <f aca="false">IF($D837="","",N($J837)+$L837)</f>
        <v/>
      </c>
      <c r="N837" s="43" t="str">
        <f aca="false">IF($D837="","",IFERROR(N($J837)/$I837,0))</f>
        <v/>
      </c>
      <c r="O837" s="6"/>
      <c r="P837" s="6"/>
      <c r="Q837" s="46" t="str">
        <f aca="false">IF($A837="","",DATE(YEAR($A837),MONTH($A837),1))</f>
        <v/>
      </c>
      <c r="R837" s="8" t="str">
        <f aca="false">IF(OR($A837="",$D837=""),"",IF(COUNTIFS($D$6:$D$1005,$D837,$A$6:$A$1005,"&gt;"&amp;$A837)=0,1,0))</f>
        <v/>
      </c>
    </row>
    <row r="838" customFormat="false" ht="15" hidden="false" customHeight="false" outlineLevel="0" collapsed="false">
      <c r="A838" s="44"/>
      <c r="B838" s="6"/>
      <c r="C838" s="6"/>
      <c r="D838" s="6"/>
      <c r="E838" s="8" t="str">
        <f aca="false">IF($D838="","",IFERROR(INDEX(INSUMOS!$B$6:$B$205,MATCH($D838,INSUMOS!$A$6:$A$205,0)),"¿Código?"))</f>
        <v/>
      </c>
      <c r="F838" s="8" t="str">
        <f aca="false">IF($D838="","",IFERROR(INDEX(INSUMOS!$E$6:$E$205,MATCH($D838,INSUMOS!$A$6:$A$205,0)),""))</f>
        <v/>
      </c>
      <c r="G838" s="39"/>
      <c r="H838" s="45" t="str">
        <f aca="false">IF($D838="","",IFERROR(INDEX(INSUMOS!$F$6:$F$205,MATCH($D838,INSUMOS!$A$6:$A$205,0)),0))</f>
        <v/>
      </c>
      <c r="I838" s="34" t="str">
        <f aca="false">IF($D838="","",N($G838)*$H838)</f>
        <v/>
      </c>
      <c r="J838" s="40"/>
      <c r="K838" s="36" t="str">
        <f aca="false">IF($D838="","",IFERROR(INDEX(INSUMOS!$H$6:$H$205,MATCH($D838,INSUMOS!$A$6:$A$205,0)),IVA_VENTAS))</f>
        <v/>
      </c>
      <c r="L838" s="35" t="str">
        <f aca="false">IF($D838="","",N($J838)*$K838)</f>
        <v/>
      </c>
      <c r="M838" s="35" t="str">
        <f aca="false">IF($D838="","",N($J838)+$L838)</f>
        <v/>
      </c>
      <c r="N838" s="43" t="str">
        <f aca="false">IF($D838="","",IFERROR(N($J838)/$I838,0))</f>
        <v/>
      </c>
      <c r="O838" s="6"/>
      <c r="P838" s="6"/>
      <c r="Q838" s="46" t="str">
        <f aca="false">IF($A838="","",DATE(YEAR($A838),MONTH($A838),1))</f>
        <v/>
      </c>
      <c r="R838" s="8" t="str">
        <f aca="false">IF(OR($A838="",$D838=""),"",IF(COUNTIFS($D$6:$D$1005,$D838,$A$6:$A$1005,"&gt;"&amp;$A838)=0,1,0))</f>
        <v/>
      </c>
    </row>
    <row r="839" customFormat="false" ht="15" hidden="false" customHeight="false" outlineLevel="0" collapsed="false">
      <c r="A839" s="44"/>
      <c r="B839" s="6"/>
      <c r="C839" s="6"/>
      <c r="D839" s="6"/>
      <c r="E839" s="8" t="str">
        <f aca="false">IF($D839="","",IFERROR(INDEX(INSUMOS!$B$6:$B$205,MATCH($D839,INSUMOS!$A$6:$A$205,0)),"¿Código?"))</f>
        <v/>
      </c>
      <c r="F839" s="8" t="str">
        <f aca="false">IF($D839="","",IFERROR(INDEX(INSUMOS!$E$6:$E$205,MATCH($D839,INSUMOS!$A$6:$A$205,0)),""))</f>
        <v/>
      </c>
      <c r="G839" s="39"/>
      <c r="H839" s="45" t="str">
        <f aca="false">IF($D839="","",IFERROR(INDEX(INSUMOS!$F$6:$F$205,MATCH($D839,INSUMOS!$A$6:$A$205,0)),0))</f>
        <v/>
      </c>
      <c r="I839" s="34" t="str">
        <f aca="false">IF($D839="","",N($G839)*$H839)</f>
        <v/>
      </c>
      <c r="J839" s="40"/>
      <c r="K839" s="36" t="str">
        <f aca="false">IF($D839="","",IFERROR(INDEX(INSUMOS!$H$6:$H$205,MATCH($D839,INSUMOS!$A$6:$A$205,0)),IVA_VENTAS))</f>
        <v/>
      </c>
      <c r="L839" s="35" t="str">
        <f aca="false">IF($D839="","",N($J839)*$K839)</f>
        <v/>
      </c>
      <c r="M839" s="35" t="str">
        <f aca="false">IF($D839="","",N($J839)+$L839)</f>
        <v/>
      </c>
      <c r="N839" s="43" t="str">
        <f aca="false">IF($D839="","",IFERROR(N($J839)/$I839,0))</f>
        <v/>
      </c>
      <c r="O839" s="6"/>
      <c r="P839" s="6"/>
      <c r="Q839" s="46" t="str">
        <f aca="false">IF($A839="","",DATE(YEAR($A839),MONTH($A839),1))</f>
        <v/>
      </c>
      <c r="R839" s="8" t="str">
        <f aca="false">IF(OR($A839="",$D839=""),"",IF(COUNTIFS($D$6:$D$1005,$D839,$A$6:$A$1005,"&gt;"&amp;$A839)=0,1,0))</f>
        <v/>
      </c>
    </row>
    <row r="840" customFormat="false" ht="15" hidden="false" customHeight="false" outlineLevel="0" collapsed="false">
      <c r="A840" s="44"/>
      <c r="B840" s="6"/>
      <c r="C840" s="6"/>
      <c r="D840" s="6"/>
      <c r="E840" s="8" t="str">
        <f aca="false">IF($D840="","",IFERROR(INDEX(INSUMOS!$B$6:$B$205,MATCH($D840,INSUMOS!$A$6:$A$205,0)),"¿Código?"))</f>
        <v/>
      </c>
      <c r="F840" s="8" t="str">
        <f aca="false">IF($D840="","",IFERROR(INDEX(INSUMOS!$E$6:$E$205,MATCH($D840,INSUMOS!$A$6:$A$205,0)),""))</f>
        <v/>
      </c>
      <c r="G840" s="39"/>
      <c r="H840" s="45" t="str">
        <f aca="false">IF($D840="","",IFERROR(INDEX(INSUMOS!$F$6:$F$205,MATCH($D840,INSUMOS!$A$6:$A$205,0)),0))</f>
        <v/>
      </c>
      <c r="I840" s="34" t="str">
        <f aca="false">IF($D840="","",N($G840)*$H840)</f>
        <v/>
      </c>
      <c r="J840" s="40"/>
      <c r="K840" s="36" t="str">
        <f aca="false">IF($D840="","",IFERROR(INDEX(INSUMOS!$H$6:$H$205,MATCH($D840,INSUMOS!$A$6:$A$205,0)),IVA_VENTAS))</f>
        <v/>
      </c>
      <c r="L840" s="35" t="str">
        <f aca="false">IF($D840="","",N($J840)*$K840)</f>
        <v/>
      </c>
      <c r="M840" s="35" t="str">
        <f aca="false">IF($D840="","",N($J840)+$L840)</f>
        <v/>
      </c>
      <c r="N840" s="43" t="str">
        <f aca="false">IF($D840="","",IFERROR(N($J840)/$I840,0))</f>
        <v/>
      </c>
      <c r="O840" s="6"/>
      <c r="P840" s="6"/>
      <c r="Q840" s="46" t="str">
        <f aca="false">IF($A840="","",DATE(YEAR($A840),MONTH($A840),1))</f>
        <v/>
      </c>
      <c r="R840" s="8" t="str">
        <f aca="false">IF(OR($A840="",$D840=""),"",IF(COUNTIFS($D$6:$D$1005,$D840,$A$6:$A$1005,"&gt;"&amp;$A840)=0,1,0))</f>
        <v/>
      </c>
    </row>
    <row r="841" customFormat="false" ht="15" hidden="false" customHeight="false" outlineLevel="0" collapsed="false">
      <c r="A841" s="44"/>
      <c r="B841" s="6"/>
      <c r="C841" s="6"/>
      <c r="D841" s="6"/>
      <c r="E841" s="8" t="str">
        <f aca="false">IF($D841="","",IFERROR(INDEX(INSUMOS!$B$6:$B$205,MATCH($D841,INSUMOS!$A$6:$A$205,0)),"¿Código?"))</f>
        <v/>
      </c>
      <c r="F841" s="8" t="str">
        <f aca="false">IF($D841="","",IFERROR(INDEX(INSUMOS!$E$6:$E$205,MATCH($D841,INSUMOS!$A$6:$A$205,0)),""))</f>
        <v/>
      </c>
      <c r="G841" s="39"/>
      <c r="H841" s="45" t="str">
        <f aca="false">IF($D841="","",IFERROR(INDEX(INSUMOS!$F$6:$F$205,MATCH($D841,INSUMOS!$A$6:$A$205,0)),0))</f>
        <v/>
      </c>
      <c r="I841" s="34" t="str">
        <f aca="false">IF($D841="","",N($G841)*$H841)</f>
        <v/>
      </c>
      <c r="J841" s="40"/>
      <c r="K841" s="36" t="str">
        <f aca="false">IF($D841="","",IFERROR(INDEX(INSUMOS!$H$6:$H$205,MATCH($D841,INSUMOS!$A$6:$A$205,0)),IVA_VENTAS))</f>
        <v/>
      </c>
      <c r="L841" s="35" t="str">
        <f aca="false">IF($D841="","",N($J841)*$K841)</f>
        <v/>
      </c>
      <c r="M841" s="35" t="str">
        <f aca="false">IF($D841="","",N($J841)+$L841)</f>
        <v/>
      </c>
      <c r="N841" s="43" t="str">
        <f aca="false">IF($D841="","",IFERROR(N($J841)/$I841,0))</f>
        <v/>
      </c>
      <c r="O841" s="6"/>
      <c r="P841" s="6"/>
      <c r="Q841" s="46" t="str">
        <f aca="false">IF($A841="","",DATE(YEAR($A841),MONTH($A841),1))</f>
        <v/>
      </c>
      <c r="R841" s="8" t="str">
        <f aca="false">IF(OR($A841="",$D841=""),"",IF(COUNTIFS($D$6:$D$1005,$D841,$A$6:$A$1005,"&gt;"&amp;$A841)=0,1,0))</f>
        <v/>
      </c>
    </row>
    <row r="842" customFormat="false" ht="15" hidden="false" customHeight="false" outlineLevel="0" collapsed="false">
      <c r="A842" s="44"/>
      <c r="B842" s="6"/>
      <c r="C842" s="6"/>
      <c r="D842" s="6"/>
      <c r="E842" s="8" t="str">
        <f aca="false">IF($D842="","",IFERROR(INDEX(INSUMOS!$B$6:$B$205,MATCH($D842,INSUMOS!$A$6:$A$205,0)),"¿Código?"))</f>
        <v/>
      </c>
      <c r="F842" s="8" t="str">
        <f aca="false">IF($D842="","",IFERROR(INDEX(INSUMOS!$E$6:$E$205,MATCH($D842,INSUMOS!$A$6:$A$205,0)),""))</f>
        <v/>
      </c>
      <c r="G842" s="39"/>
      <c r="H842" s="45" t="str">
        <f aca="false">IF($D842="","",IFERROR(INDEX(INSUMOS!$F$6:$F$205,MATCH($D842,INSUMOS!$A$6:$A$205,0)),0))</f>
        <v/>
      </c>
      <c r="I842" s="34" t="str">
        <f aca="false">IF($D842="","",N($G842)*$H842)</f>
        <v/>
      </c>
      <c r="J842" s="40"/>
      <c r="K842" s="36" t="str">
        <f aca="false">IF($D842="","",IFERROR(INDEX(INSUMOS!$H$6:$H$205,MATCH($D842,INSUMOS!$A$6:$A$205,0)),IVA_VENTAS))</f>
        <v/>
      </c>
      <c r="L842" s="35" t="str">
        <f aca="false">IF($D842="","",N($J842)*$K842)</f>
        <v/>
      </c>
      <c r="M842" s="35" t="str">
        <f aca="false">IF($D842="","",N($J842)+$L842)</f>
        <v/>
      </c>
      <c r="N842" s="43" t="str">
        <f aca="false">IF($D842="","",IFERROR(N($J842)/$I842,0))</f>
        <v/>
      </c>
      <c r="O842" s="6"/>
      <c r="P842" s="6"/>
      <c r="Q842" s="46" t="str">
        <f aca="false">IF($A842="","",DATE(YEAR($A842),MONTH($A842),1))</f>
        <v/>
      </c>
      <c r="R842" s="8" t="str">
        <f aca="false">IF(OR($A842="",$D842=""),"",IF(COUNTIFS($D$6:$D$1005,$D842,$A$6:$A$1005,"&gt;"&amp;$A842)=0,1,0))</f>
        <v/>
      </c>
    </row>
    <row r="843" customFormat="false" ht="15" hidden="false" customHeight="false" outlineLevel="0" collapsed="false">
      <c r="A843" s="44"/>
      <c r="B843" s="6"/>
      <c r="C843" s="6"/>
      <c r="D843" s="6"/>
      <c r="E843" s="8" t="str">
        <f aca="false">IF($D843="","",IFERROR(INDEX(INSUMOS!$B$6:$B$205,MATCH($D843,INSUMOS!$A$6:$A$205,0)),"¿Código?"))</f>
        <v/>
      </c>
      <c r="F843" s="8" t="str">
        <f aca="false">IF($D843="","",IFERROR(INDEX(INSUMOS!$E$6:$E$205,MATCH($D843,INSUMOS!$A$6:$A$205,0)),""))</f>
        <v/>
      </c>
      <c r="G843" s="39"/>
      <c r="H843" s="45" t="str">
        <f aca="false">IF($D843="","",IFERROR(INDEX(INSUMOS!$F$6:$F$205,MATCH($D843,INSUMOS!$A$6:$A$205,0)),0))</f>
        <v/>
      </c>
      <c r="I843" s="34" t="str">
        <f aca="false">IF($D843="","",N($G843)*$H843)</f>
        <v/>
      </c>
      <c r="J843" s="40"/>
      <c r="K843" s="36" t="str">
        <f aca="false">IF($D843="","",IFERROR(INDEX(INSUMOS!$H$6:$H$205,MATCH($D843,INSUMOS!$A$6:$A$205,0)),IVA_VENTAS))</f>
        <v/>
      </c>
      <c r="L843" s="35" t="str">
        <f aca="false">IF($D843="","",N($J843)*$K843)</f>
        <v/>
      </c>
      <c r="M843" s="35" t="str">
        <f aca="false">IF($D843="","",N($J843)+$L843)</f>
        <v/>
      </c>
      <c r="N843" s="43" t="str">
        <f aca="false">IF($D843="","",IFERROR(N($J843)/$I843,0))</f>
        <v/>
      </c>
      <c r="O843" s="6"/>
      <c r="P843" s="6"/>
      <c r="Q843" s="46" t="str">
        <f aca="false">IF($A843="","",DATE(YEAR($A843),MONTH($A843),1))</f>
        <v/>
      </c>
      <c r="R843" s="8" t="str">
        <f aca="false">IF(OR($A843="",$D843=""),"",IF(COUNTIFS($D$6:$D$1005,$D843,$A$6:$A$1005,"&gt;"&amp;$A843)=0,1,0))</f>
        <v/>
      </c>
    </row>
    <row r="844" customFormat="false" ht="15" hidden="false" customHeight="false" outlineLevel="0" collapsed="false">
      <c r="A844" s="44"/>
      <c r="B844" s="6"/>
      <c r="C844" s="6"/>
      <c r="D844" s="6"/>
      <c r="E844" s="8" t="str">
        <f aca="false">IF($D844="","",IFERROR(INDEX(INSUMOS!$B$6:$B$205,MATCH($D844,INSUMOS!$A$6:$A$205,0)),"¿Código?"))</f>
        <v/>
      </c>
      <c r="F844" s="8" t="str">
        <f aca="false">IF($D844="","",IFERROR(INDEX(INSUMOS!$E$6:$E$205,MATCH($D844,INSUMOS!$A$6:$A$205,0)),""))</f>
        <v/>
      </c>
      <c r="G844" s="39"/>
      <c r="H844" s="45" t="str">
        <f aca="false">IF($D844="","",IFERROR(INDEX(INSUMOS!$F$6:$F$205,MATCH($D844,INSUMOS!$A$6:$A$205,0)),0))</f>
        <v/>
      </c>
      <c r="I844" s="34" t="str">
        <f aca="false">IF($D844="","",N($G844)*$H844)</f>
        <v/>
      </c>
      <c r="J844" s="40"/>
      <c r="K844" s="36" t="str">
        <f aca="false">IF($D844="","",IFERROR(INDEX(INSUMOS!$H$6:$H$205,MATCH($D844,INSUMOS!$A$6:$A$205,0)),IVA_VENTAS))</f>
        <v/>
      </c>
      <c r="L844" s="35" t="str">
        <f aca="false">IF($D844="","",N($J844)*$K844)</f>
        <v/>
      </c>
      <c r="M844" s="35" t="str">
        <f aca="false">IF($D844="","",N($J844)+$L844)</f>
        <v/>
      </c>
      <c r="N844" s="43" t="str">
        <f aca="false">IF($D844="","",IFERROR(N($J844)/$I844,0))</f>
        <v/>
      </c>
      <c r="O844" s="6"/>
      <c r="P844" s="6"/>
      <c r="Q844" s="46" t="str">
        <f aca="false">IF($A844="","",DATE(YEAR($A844),MONTH($A844),1))</f>
        <v/>
      </c>
      <c r="R844" s="8" t="str">
        <f aca="false">IF(OR($A844="",$D844=""),"",IF(COUNTIFS($D$6:$D$1005,$D844,$A$6:$A$1005,"&gt;"&amp;$A844)=0,1,0))</f>
        <v/>
      </c>
    </row>
    <row r="845" customFormat="false" ht="15" hidden="false" customHeight="false" outlineLevel="0" collapsed="false">
      <c r="A845" s="44"/>
      <c r="B845" s="6"/>
      <c r="C845" s="6"/>
      <c r="D845" s="6"/>
      <c r="E845" s="8" t="str">
        <f aca="false">IF($D845="","",IFERROR(INDEX(INSUMOS!$B$6:$B$205,MATCH($D845,INSUMOS!$A$6:$A$205,0)),"¿Código?"))</f>
        <v/>
      </c>
      <c r="F845" s="8" t="str">
        <f aca="false">IF($D845="","",IFERROR(INDEX(INSUMOS!$E$6:$E$205,MATCH($D845,INSUMOS!$A$6:$A$205,0)),""))</f>
        <v/>
      </c>
      <c r="G845" s="39"/>
      <c r="H845" s="45" t="str">
        <f aca="false">IF($D845="","",IFERROR(INDEX(INSUMOS!$F$6:$F$205,MATCH($D845,INSUMOS!$A$6:$A$205,0)),0))</f>
        <v/>
      </c>
      <c r="I845" s="34" t="str">
        <f aca="false">IF($D845="","",N($G845)*$H845)</f>
        <v/>
      </c>
      <c r="J845" s="40"/>
      <c r="K845" s="36" t="str">
        <f aca="false">IF($D845="","",IFERROR(INDEX(INSUMOS!$H$6:$H$205,MATCH($D845,INSUMOS!$A$6:$A$205,0)),IVA_VENTAS))</f>
        <v/>
      </c>
      <c r="L845" s="35" t="str">
        <f aca="false">IF($D845="","",N($J845)*$K845)</f>
        <v/>
      </c>
      <c r="M845" s="35" t="str">
        <f aca="false">IF($D845="","",N($J845)+$L845)</f>
        <v/>
      </c>
      <c r="N845" s="43" t="str">
        <f aca="false">IF($D845="","",IFERROR(N($J845)/$I845,0))</f>
        <v/>
      </c>
      <c r="O845" s="6"/>
      <c r="P845" s="6"/>
      <c r="Q845" s="46" t="str">
        <f aca="false">IF($A845="","",DATE(YEAR($A845),MONTH($A845),1))</f>
        <v/>
      </c>
      <c r="R845" s="8" t="str">
        <f aca="false">IF(OR($A845="",$D845=""),"",IF(COUNTIFS($D$6:$D$1005,$D845,$A$6:$A$1005,"&gt;"&amp;$A845)=0,1,0))</f>
        <v/>
      </c>
    </row>
    <row r="846" customFormat="false" ht="15" hidden="false" customHeight="false" outlineLevel="0" collapsed="false">
      <c r="A846" s="44"/>
      <c r="B846" s="6"/>
      <c r="C846" s="6"/>
      <c r="D846" s="6"/>
      <c r="E846" s="8" t="str">
        <f aca="false">IF($D846="","",IFERROR(INDEX(INSUMOS!$B$6:$B$205,MATCH($D846,INSUMOS!$A$6:$A$205,0)),"¿Código?"))</f>
        <v/>
      </c>
      <c r="F846" s="8" t="str">
        <f aca="false">IF($D846="","",IFERROR(INDEX(INSUMOS!$E$6:$E$205,MATCH($D846,INSUMOS!$A$6:$A$205,0)),""))</f>
        <v/>
      </c>
      <c r="G846" s="39"/>
      <c r="H846" s="45" t="str">
        <f aca="false">IF($D846="","",IFERROR(INDEX(INSUMOS!$F$6:$F$205,MATCH($D846,INSUMOS!$A$6:$A$205,0)),0))</f>
        <v/>
      </c>
      <c r="I846" s="34" t="str">
        <f aca="false">IF($D846="","",N($G846)*$H846)</f>
        <v/>
      </c>
      <c r="J846" s="40"/>
      <c r="K846" s="36" t="str">
        <f aca="false">IF($D846="","",IFERROR(INDEX(INSUMOS!$H$6:$H$205,MATCH($D846,INSUMOS!$A$6:$A$205,0)),IVA_VENTAS))</f>
        <v/>
      </c>
      <c r="L846" s="35" t="str">
        <f aca="false">IF($D846="","",N($J846)*$K846)</f>
        <v/>
      </c>
      <c r="M846" s="35" t="str">
        <f aca="false">IF($D846="","",N($J846)+$L846)</f>
        <v/>
      </c>
      <c r="N846" s="43" t="str">
        <f aca="false">IF($D846="","",IFERROR(N($J846)/$I846,0))</f>
        <v/>
      </c>
      <c r="O846" s="6"/>
      <c r="P846" s="6"/>
      <c r="Q846" s="46" t="str">
        <f aca="false">IF($A846="","",DATE(YEAR($A846),MONTH($A846),1))</f>
        <v/>
      </c>
      <c r="R846" s="8" t="str">
        <f aca="false">IF(OR($A846="",$D846=""),"",IF(COUNTIFS($D$6:$D$1005,$D846,$A$6:$A$1005,"&gt;"&amp;$A846)=0,1,0))</f>
        <v/>
      </c>
    </row>
    <row r="847" customFormat="false" ht="15" hidden="false" customHeight="false" outlineLevel="0" collapsed="false">
      <c r="A847" s="44"/>
      <c r="B847" s="6"/>
      <c r="C847" s="6"/>
      <c r="D847" s="6"/>
      <c r="E847" s="8" t="str">
        <f aca="false">IF($D847="","",IFERROR(INDEX(INSUMOS!$B$6:$B$205,MATCH($D847,INSUMOS!$A$6:$A$205,0)),"¿Código?"))</f>
        <v/>
      </c>
      <c r="F847" s="8" t="str">
        <f aca="false">IF($D847="","",IFERROR(INDEX(INSUMOS!$E$6:$E$205,MATCH($D847,INSUMOS!$A$6:$A$205,0)),""))</f>
        <v/>
      </c>
      <c r="G847" s="39"/>
      <c r="H847" s="45" t="str">
        <f aca="false">IF($D847="","",IFERROR(INDEX(INSUMOS!$F$6:$F$205,MATCH($D847,INSUMOS!$A$6:$A$205,0)),0))</f>
        <v/>
      </c>
      <c r="I847" s="34" t="str">
        <f aca="false">IF($D847="","",N($G847)*$H847)</f>
        <v/>
      </c>
      <c r="J847" s="40"/>
      <c r="K847" s="36" t="str">
        <f aca="false">IF($D847="","",IFERROR(INDEX(INSUMOS!$H$6:$H$205,MATCH($D847,INSUMOS!$A$6:$A$205,0)),IVA_VENTAS))</f>
        <v/>
      </c>
      <c r="L847" s="35" t="str">
        <f aca="false">IF($D847="","",N($J847)*$K847)</f>
        <v/>
      </c>
      <c r="M847" s="35" t="str">
        <f aca="false">IF($D847="","",N($J847)+$L847)</f>
        <v/>
      </c>
      <c r="N847" s="43" t="str">
        <f aca="false">IF($D847="","",IFERROR(N($J847)/$I847,0))</f>
        <v/>
      </c>
      <c r="O847" s="6"/>
      <c r="P847" s="6"/>
      <c r="Q847" s="46" t="str">
        <f aca="false">IF($A847="","",DATE(YEAR($A847),MONTH($A847),1))</f>
        <v/>
      </c>
      <c r="R847" s="8" t="str">
        <f aca="false">IF(OR($A847="",$D847=""),"",IF(COUNTIFS($D$6:$D$1005,$D847,$A$6:$A$1005,"&gt;"&amp;$A847)=0,1,0))</f>
        <v/>
      </c>
    </row>
    <row r="848" customFormat="false" ht="15" hidden="false" customHeight="false" outlineLevel="0" collapsed="false">
      <c r="A848" s="44"/>
      <c r="B848" s="6"/>
      <c r="C848" s="6"/>
      <c r="D848" s="6"/>
      <c r="E848" s="8" t="str">
        <f aca="false">IF($D848="","",IFERROR(INDEX(INSUMOS!$B$6:$B$205,MATCH($D848,INSUMOS!$A$6:$A$205,0)),"¿Código?"))</f>
        <v/>
      </c>
      <c r="F848" s="8" t="str">
        <f aca="false">IF($D848="","",IFERROR(INDEX(INSUMOS!$E$6:$E$205,MATCH($D848,INSUMOS!$A$6:$A$205,0)),""))</f>
        <v/>
      </c>
      <c r="G848" s="39"/>
      <c r="H848" s="45" t="str">
        <f aca="false">IF($D848="","",IFERROR(INDEX(INSUMOS!$F$6:$F$205,MATCH($D848,INSUMOS!$A$6:$A$205,0)),0))</f>
        <v/>
      </c>
      <c r="I848" s="34" t="str">
        <f aca="false">IF($D848="","",N($G848)*$H848)</f>
        <v/>
      </c>
      <c r="J848" s="40"/>
      <c r="K848" s="36" t="str">
        <f aca="false">IF($D848="","",IFERROR(INDEX(INSUMOS!$H$6:$H$205,MATCH($D848,INSUMOS!$A$6:$A$205,0)),IVA_VENTAS))</f>
        <v/>
      </c>
      <c r="L848" s="35" t="str">
        <f aca="false">IF($D848="","",N($J848)*$K848)</f>
        <v/>
      </c>
      <c r="M848" s="35" t="str">
        <f aca="false">IF($D848="","",N($J848)+$L848)</f>
        <v/>
      </c>
      <c r="N848" s="43" t="str">
        <f aca="false">IF($D848="","",IFERROR(N($J848)/$I848,0))</f>
        <v/>
      </c>
      <c r="O848" s="6"/>
      <c r="P848" s="6"/>
      <c r="Q848" s="46" t="str">
        <f aca="false">IF($A848="","",DATE(YEAR($A848),MONTH($A848),1))</f>
        <v/>
      </c>
      <c r="R848" s="8" t="str">
        <f aca="false">IF(OR($A848="",$D848=""),"",IF(COUNTIFS($D$6:$D$1005,$D848,$A$6:$A$1005,"&gt;"&amp;$A848)=0,1,0))</f>
        <v/>
      </c>
    </row>
    <row r="849" customFormat="false" ht="15" hidden="false" customHeight="false" outlineLevel="0" collapsed="false">
      <c r="A849" s="44"/>
      <c r="B849" s="6"/>
      <c r="C849" s="6"/>
      <c r="D849" s="6"/>
      <c r="E849" s="8" t="str">
        <f aca="false">IF($D849="","",IFERROR(INDEX(INSUMOS!$B$6:$B$205,MATCH($D849,INSUMOS!$A$6:$A$205,0)),"¿Código?"))</f>
        <v/>
      </c>
      <c r="F849" s="8" t="str">
        <f aca="false">IF($D849="","",IFERROR(INDEX(INSUMOS!$E$6:$E$205,MATCH($D849,INSUMOS!$A$6:$A$205,0)),""))</f>
        <v/>
      </c>
      <c r="G849" s="39"/>
      <c r="H849" s="45" t="str">
        <f aca="false">IF($D849="","",IFERROR(INDEX(INSUMOS!$F$6:$F$205,MATCH($D849,INSUMOS!$A$6:$A$205,0)),0))</f>
        <v/>
      </c>
      <c r="I849" s="34" t="str">
        <f aca="false">IF($D849="","",N($G849)*$H849)</f>
        <v/>
      </c>
      <c r="J849" s="40"/>
      <c r="K849" s="36" t="str">
        <f aca="false">IF($D849="","",IFERROR(INDEX(INSUMOS!$H$6:$H$205,MATCH($D849,INSUMOS!$A$6:$A$205,0)),IVA_VENTAS))</f>
        <v/>
      </c>
      <c r="L849" s="35" t="str">
        <f aca="false">IF($D849="","",N($J849)*$K849)</f>
        <v/>
      </c>
      <c r="M849" s="35" t="str">
        <f aca="false">IF($D849="","",N($J849)+$L849)</f>
        <v/>
      </c>
      <c r="N849" s="43" t="str">
        <f aca="false">IF($D849="","",IFERROR(N($J849)/$I849,0))</f>
        <v/>
      </c>
      <c r="O849" s="6"/>
      <c r="P849" s="6"/>
      <c r="Q849" s="46" t="str">
        <f aca="false">IF($A849="","",DATE(YEAR($A849),MONTH($A849),1))</f>
        <v/>
      </c>
      <c r="R849" s="8" t="str">
        <f aca="false">IF(OR($A849="",$D849=""),"",IF(COUNTIFS($D$6:$D$1005,$D849,$A$6:$A$1005,"&gt;"&amp;$A849)=0,1,0))</f>
        <v/>
      </c>
    </row>
    <row r="850" customFormat="false" ht="15" hidden="false" customHeight="false" outlineLevel="0" collapsed="false">
      <c r="A850" s="44"/>
      <c r="B850" s="6"/>
      <c r="C850" s="6"/>
      <c r="D850" s="6"/>
      <c r="E850" s="8" t="str">
        <f aca="false">IF($D850="","",IFERROR(INDEX(INSUMOS!$B$6:$B$205,MATCH($D850,INSUMOS!$A$6:$A$205,0)),"¿Código?"))</f>
        <v/>
      </c>
      <c r="F850" s="8" t="str">
        <f aca="false">IF($D850="","",IFERROR(INDEX(INSUMOS!$E$6:$E$205,MATCH($D850,INSUMOS!$A$6:$A$205,0)),""))</f>
        <v/>
      </c>
      <c r="G850" s="39"/>
      <c r="H850" s="45" t="str">
        <f aca="false">IF($D850="","",IFERROR(INDEX(INSUMOS!$F$6:$F$205,MATCH($D850,INSUMOS!$A$6:$A$205,0)),0))</f>
        <v/>
      </c>
      <c r="I850" s="34" t="str">
        <f aca="false">IF($D850="","",N($G850)*$H850)</f>
        <v/>
      </c>
      <c r="J850" s="40"/>
      <c r="K850" s="36" t="str">
        <f aca="false">IF($D850="","",IFERROR(INDEX(INSUMOS!$H$6:$H$205,MATCH($D850,INSUMOS!$A$6:$A$205,0)),IVA_VENTAS))</f>
        <v/>
      </c>
      <c r="L850" s="35" t="str">
        <f aca="false">IF($D850="","",N($J850)*$K850)</f>
        <v/>
      </c>
      <c r="M850" s="35" t="str">
        <f aca="false">IF($D850="","",N($J850)+$L850)</f>
        <v/>
      </c>
      <c r="N850" s="43" t="str">
        <f aca="false">IF($D850="","",IFERROR(N($J850)/$I850,0))</f>
        <v/>
      </c>
      <c r="O850" s="6"/>
      <c r="P850" s="6"/>
      <c r="Q850" s="46" t="str">
        <f aca="false">IF($A850="","",DATE(YEAR($A850),MONTH($A850),1))</f>
        <v/>
      </c>
      <c r="R850" s="8" t="str">
        <f aca="false">IF(OR($A850="",$D850=""),"",IF(COUNTIFS($D$6:$D$1005,$D850,$A$6:$A$1005,"&gt;"&amp;$A850)=0,1,0))</f>
        <v/>
      </c>
    </row>
    <row r="851" customFormat="false" ht="15" hidden="false" customHeight="false" outlineLevel="0" collapsed="false">
      <c r="A851" s="44"/>
      <c r="B851" s="6"/>
      <c r="C851" s="6"/>
      <c r="D851" s="6"/>
      <c r="E851" s="8" t="str">
        <f aca="false">IF($D851="","",IFERROR(INDEX(INSUMOS!$B$6:$B$205,MATCH($D851,INSUMOS!$A$6:$A$205,0)),"¿Código?"))</f>
        <v/>
      </c>
      <c r="F851" s="8" t="str">
        <f aca="false">IF($D851="","",IFERROR(INDEX(INSUMOS!$E$6:$E$205,MATCH($D851,INSUMOS!$A$6:$A$205,0)),""))</f>
        <v/>
      </c>
      <c r="G851" s="39"/>
      <c r="H851" s="45" t="str">
        <f aca="false">IF($D851="","",IFERROR(INDEX(INSUMOS!$F$6:$F$205,MATCH($D851,INSUMOS!$A$6:$A$205,0)),0))</f>
        <v/>
      </c>
      <c r="I851" s="34" t="str">
        <f aca="false">IF($D851="","",N($G851)*$H851)</f>
        <v/>
      </c>
      <c r="J851" s="40"/>
      <c r="K851" s="36" t="str">
        <f aca="false">IF($D851="","",IFERROR(INDEX(INSUMOS!$H$6:$H$205,MATCH($D851,INSUMOS!$A$6:$A$205,0)),IVA_VENTAS))</f>
        <v/>
      </c>
      <c r="L851" s="35" t="str">
        <f aca="false">IF($D851="","",N($J851)*$K851)</f>
        <v/>
      </c>
      <c r="M851" s="35" t="str">
        <f aca="false">IF($D851="","",N($J851)+$L851)</f>
        <v/>
      </c>
      <c r="N851" s="43" t="str">
        <f aca="false">IF($D851="","",IFERROR(N($J851)/$I851,0))</f>
        <v/>
      </c>
      <c r="O851" s="6"/>
      <c r="P851" s="6"/>
      <c r="Q851" s="46" t="str">
        <f aca="false">IF($A851="","",DATE(YEAR($A851),MONTH($A851),1))</f>
        <v/>
      </c>
      <c r="R851" s="8" t="str">
        <f aca="false">IF(OR($A851="",$D851=""),"",IF(COUNTIFS($D$6:$D$1005,$D851,$A$6:$A$1005,"&gt;"&amp;$A851)=0,1,0))</f>
        <v/>
      </c>
    </row>
    <row r="852" customFormat="false" ht="15" hidden="false" customHeight="false" outlineLevel="0" collapsed="false">
      <c r="A852" s="44"/>
      <c r="B852" s="6"/>
      <c r="C852" s="6"/>
      <c r="D852" s="6"/>
      <c r="E852" s="8" t="str">
        <f aca="false">IF($D852="","",IFERROR(INDEX(INSUMOS!$B$6:$B$205,MATCH($D852,INSUMOS!$A$6:$A$205,0)),"¿Código?"))</f>
        <v/>
      </c>
      <c r="F852" s="8" t="str">
        <f aca="false">IF($D852="","",IFERROR(INDEX(INSUMOS!$E$6:$E$205,MATCH($D852,INSUMOS!$A$6:$A$205,0)),""))</f>
        <v/>
      </c>
      <c r="G852" s="39"/>
      <c r="H852" s="45" t="str">
        <f aca="false">IF($D852="","",IFERROR(INDEX(INSUMOS!$F$6:$F$205,MATCH($D852,INSUMOS!$A$6:$A$205,0)),0))</f>
        <v/>
      </c>
      <c r="I852" s="34" t="str">
        <f aca="false">IF($D852="","",N($G852)*$H852)</f>
        <v/>
      </c>
      <c r="J852" s="40"/>
      <c r="K852" s="36" t="str">
        <f aca="false">IF($D852="","",IFERROR(INDEX(INSUMOS!$H$6:$H$205,MATCH($D852,INSUMOS!$A$6:$A$205,0)),IVA_VENTAS))</f>
        <v/>
      </c>
      <c r="L852" s="35" t="str">
        <f aca="false">IF($D852="","",N($J852)*$K852)</f>
        <v/>
      </c>
      <c r="M852" s="35" t="str">
        <f aca="false">IF($D852="","",N($J852)+$L852)</f>
        <v/>
      </c>
      <c r="N852" s="43" t="str">
        <f aca="false">IF($D852="","",IFERROR(N($J852)/$I852,0))</f>
        <v/>
      </c>
      <c r="O852" s="6"/>
      <c r="P852" s="6"/>
      <c r="Q852" s="46" t="str">
        <f aca="false">IF($A852="","",DATE(YEAR($A852),MONTH($A852),1))</f>
        <v/>
      </c>
      <c r="R852" s="8" t="str">
        <f aca="false">IF(OR($A852="",$D852=""),"",IF(COUNTIFS($D$6:$D$1005,$D852,$A$6:$A$1005,"&gt;"&amp;$A852)=0,1,0))</f>
        <v/>
      </c>
    </row>
    <row r="853" customFormat="false" ht="15" hidden="false" customHeight="false" outlineLevel="0" collapsed="false">
      <c r="A853" s="44"/>
      <c r="B853" s="6"/>
      <c r="C853" s="6"/>
      <c r="D853" s="6"/>
      <c r="E853" s="8" t="str">
        <f aca="false">IF($D853="","",IFERROR(INDEX(INSUMOS!$B$6:$B$205,MATCH($D853,INSUMOS!$A$6:$A$205,0)),"¿Código?"))</f>
        <v/>
      </c>
      <c r="F853" s="8" t="str">
        <f aca="false">IF($D853="","",IFERROR(INDEX(INSUMOS!$E$6:$E$205,MATCH($D853,INSUMOS!$A$6:$A$205,0)),""))</f>
        <v/>
      </c>
      <c r="G853" s="39"/>
      <c r="H853" s="45" t="str">
        <f aca="false">IF($D853="","",IFERROR(INDEX(INSUMOS!$F$6:$F$205,MATCH($D853,INSUMOS!$A$6:$A$205,0)),0))</f>
        <v/>
      </c>
      <c r="I853" s="34" t="str">
        <f aca="false">IF($D853="","",N($G853)*$H853)</f>
        <v/>
      </c>
      <c r="J853" s="40"/>
      <c r="K853" s="36" t="str">
        <f aca="false">IF($D853="","",IFERROR(INDEX(INSUMOS!$H$6:$H$205,MATCH($D853,INSUMOS!$A$6:$A$205,0)),IVA_VENTAS))</f>
        <v/>
      </c>
      <c r="L853" s="35" t="str">
        <f aca="false">IF($D853="","",N($J853)*$K853)</f>
        <v/>
      </c>
      <c r="M853" s="35" t="str">
        <f aca="false">IF($D853="","",N($J853)+$L853)</f>
        <v/>
      </c>
      <c r="N853" s="43" t="str">
        <f aca="false">IF($D853="","",IFERROR(N($J853)/$I853,0))</f>
        <v/>
      </c>
      <c r="O853" s="6"/>
      <c r="P853" s="6"/>
      <c r="Q853" s="46" t="str">
        <f aca="false">IF($A853="","",DATE(YEAR($A853),MONTH($A853),1))</f>
        <v/>
      </c>
      <c r="R853" s="8" t="str">
        <f aca="false">IF(OR($A853="",$D853=""),"",IF(COUNTIFS($D$6:$D$1005,$D853,$A$6:$A$1005,"&gt;"&amp;$A853)=0,1,0))</f>
        <v/>
      </c>
    </row>
    <row r="854" customFormat="false" ht="15" hidden="false" customHeight="false" outlineLevel="0" collapsed="false">
      <c r="A854" s="44"/>
      <c r="B854" s="6"/>
      <c r="C854" s="6"/>
      <c r="D854" s="6"/>
      <c r="E854" s="8" t="str">
        <f aca="false">IF($D854="","",IFERROR(INDEX(INSUMOS!$B$6:$B$205,MATCH($D854,INSUMOS!$A$6:$A$205,0)),"¿Código?"))</f>
        <v/>
      </c>
      <c r="F854" s="8" t="str">
        <f aca="false">IF($D854="","",IFERROR(INDEX(INSUMOS!$E$6:$E$205,MATCH($D854,INSUMOS!$A$6:$A$205,0)),""))</f>
        <v/>
      </c>
      <c r="G854" s="39"/>
      <c r="H854" s="45" t="str">
        <f aca="false">IF($D854="","",IFERROR(INDEX(INSUMOS!$F$6:$F$205,MATCH($D854,INSUMOS!$A$6:$A$205,0)),0))</f>
        <v/>
      </c>
      <c r="I854" s="34" t="str">
        <f aca="false">IF($D854="","",N($G854)*$H854)</f>
        <v/>
      </c>
      <c r="J854" s="40"/>
      <c r="K854" s="36" t="str">
        <f aca="false">IF($D854="","",IFERROR(INDEX(INSUMOS!$H$6:$H$205,MATCH($D854,INSUMOS!$A$6:$A$205,0)),IVA_VENTAS))</f>
        <v/>
      </c>
      <c r="L854" s="35" t="str">
        <f aca="false">IF($D854="","",N($J854)*$K854)</f>
        <v/>
      </c>
      <c r="M854" s="35" t="str">
        <f aca="false">IF($D854="","",N($J854)+$L854)</f>
        <v/>
      </c>
      <c r="N854" s="43" t="str">
        <f aca="false">IF($D854="","",IFERROR(N($J854)/$I854,0))</f>
        <v/>
      </c>
      <c r="O854" s="6"/>
      <c r="P854" s="6"/>
      <c r="Q854" s="46" t="str">
        <f aca="false">IF($A854="","",DATE(YEAR($A854),MONTH($A854),1))</f>
        <v/>
      </c>
      <c r="R854" s="8" t="str">
        <f aca="false">IF(OR($A854="",$D854=""),"",IF(COUNTIFS($D$6:$D$1005,$D854,$A$6:$A$1005,"&gt;"&amp;$A854)=0,1,0))</f>
        <v/>
      </c>
    </row>
    <row r="855" customFormat="false" ht="15" hidden="false" customHeight="false" outlineLevel="0" collapsed="false">
      <c r="A855" s="44"/>
      <c r="B855" s="6"/>
      <c r="C855" s="6"/>
      <c r="D855" s="6"/>
      <c r="E855" s="8" t="str">
        <f aca="false">IF($D855="","",IFERROR(INDEX(INSUMOS!$B$6:$B$205,MATCH($D855,INSUMOS!$A$6:$A$205,0)),"¿Código?"))</f>
        <v/>
      </c>
      <c r="F855" s="8" t="str">
        <f aca="false">IF($D855="","",IFERROR(INDEX(INSUMOS!$E$6:$E$205,MATCH($D855,INSUMOS!$A$6:$A$205,0)),""))</f>
        <v/>
      </c>
      <c r="G855" s="39"/>
      <c r="H855" s="45" t="str">
        <f aca="false">IF($D855="","",IFERROR(INDEX(INSUMOS!$F$6:$F$205,MATCH($D855,INSUMOS!$A$6:$A$205,0)),0))</f>
        <v/>
      </c>
      <c r="I855" s="34" t="str">
        <f aca="false">IF($D855="","",N($G855)*$H855)</f>
        <v/>
      </c>
      <c r="J855" s="40"/>
      <c r="K855" s="36" t="str">
        <f aca="false">IF($D855="","",IFERROR(INDEX(INSUMOS!$H$6:$H$205,MATCH($D855,INSUMOS!$A$6:$A$205,0)),IVA_VENTAS))</f>
        <v/>
      </c>
      <c r="L855" s="35" t="str">
        <f aca="false">IF($D855="","",N($J855)*$K855)</f>
        <v/>
      </c>
      <c r="M855" s="35" t="str">
        <f aca="false">IF($D855="","",N($J855)+$L855)</f>
        <v/>
      </c>
      <c r="N855" s="43" t="str">
        <f aca="false">IF($D855="","",IFERROR(N($J855)/$I855,0))</f>
        <v/>
      </c>
      <c r="O855" s="6"/>
      <c r="P855" s="6"/>
      <c r="Q855" s="46" t="str">
        <f aca="false">IF($A855="","",DATE(YEAR($A855),MONTH($A855),1))</f>
        <v/>
      </c>
      <c r="R855" s="8" t="str">
        <f aca="false">IF(OR($A855="",$D855=""),"",IF(COUNTIFS($D$6:$D$1005,$D855,$A$6:$A$1005,"&gt;"&amp;$A855)=0,1,0))</f>
        <v/>
      </c>
    </row>
    <row r="856" customFormat="false" ht="15" hidden="false" customHeight="false" outlineLevel="0" collapsed="false">
      <c r="A856" s="44"/>
      <c r="B856" s="6"/>
      <c r="C856" s="6"/>
      <c r="D856" s="6"/>
      <c r="E856" s="8" t="str">
        <f aca="false">IF($D856="","",IFERROR(INDEX(INSUMOS!$B$6:$B$205,MATCH($D856,INSUMOS!$A$6:$A$205,0)),"¿Código?"))</f>
        <v/>
      </c>
      <c r="F856" s="8" t="str">
        <f aca="false">IF($D856="","",IFERROR(INDEX(INSUMOS!$E$6:$E$205,MATCH($D856,INSUMOS!$A$6:$A$205,0)),""))</f>
        <v/>
      </c>
      <c r="G856" s="39"/>
      <c r="H856" s="45" t="str">
        <f aca="false">IF($D856="","",IFERROR(INDEX(INSUMOS!$F$6:$F$205,MATCH($D856,INSUMOS!$A$6:$A$205,0)),0))</f>
        <v/>
      </c>
      <c r="I856" s="34" t="str">
        <f aca="false">IF($D856="","",N($G856)*$H856)</f>
        <v/>
      </c>
      <c r="J856" s="40"/>
      <c r="K856" s="36" t="str">
        <f aca="false">IF($D856="","",IFERROR(INDEX(INSUMOS!$H$6:$H$205,MATCH($D856,INSUMOS!$A$6:$A$205,0)),IVA_VENTAS))</f>
        <v/>
      </c>
      <c r="L856" s="35" t="str">
        <f aca="false">IF($D856="","",N($J856)*$K856)</f>
        <v/>
      </c>
      <c r="M856" s="35" t="str">
        <f aca="false">IF($D856="","",N($J856)+$L856)</f>
        <v/>
      </c>
      <c r="N856" s="43" t="str">
        <f aca="false">IF($D856="","",IFERROR(N($J856)/$I856,0))</f>
        <v/>
      </c>
      <c r="O856" s="6"/>
      <c r="P856" s="6"/>
      <c r="Q856" s="46" t="str">
        <f aca="false">IF($A856="","",DATE(YEAR($A856),MONTH($A856),1))</f>
        <v/>
      </c>
      <c r="R856" s="8" t="str">
        <f aca="false">IF(OR($A856="",$D856=""),"",IF(COUNTIFS($D$6:$D$1005,$D856,$A$6:$A$1005,"&gt;"&amp;$A856)=0,1,0))</f>
        <v/>
      </c>
    </row>
    <row r="857" customFormat="false" ht="15" hidden="false" customHeight="false" outlineLevel="0" collapsed="false">
      <c r="A857" s="44"/>
      <c r="B857" s="6"/>
      <c r="C857" s="6"/>
      <c r="D857" s="6"/>
      <c r="E857" s="8" t="str">
        <f aca="false">IF($D857="","",IFERROR(INDEX(INSUMOS!$B$6:$B$205,MATCH($D857,INSUMOS!$A$6:$A$205,0)),"¿Código?"))</f>
        <v/>
      </c>
      <c r="F857" s="8" t="str">
        <f aca="false">IF($D857="","",IFERROR(INDEX(INSUMOS!$E$6:$E$205,MATCH($D857,INSUMOS!$A$6:$A$205,0)),""))</f>
        <v/>
      </c>
      <c r="G857" s="39"/>
      <c r="H857" s="45" t="str">
        <f aca="false">IF($D857="","",IFERROR(INDEX(INSUMOS!$F$6:$F$205,MATCH($D857,INSUMOS!$A$6:$A$205,0)),0))</f>
        <v/>
      </c>
      <c r="I857" s="34" t="str">
        <f aca="false">IF($D857="","",N($G857)*$H857)</f>
        <v/>
      </c>
      <c r="J857" s="40"/>
      <c r="K857" s="36" t="str">
        <f aca="false">IF($D857="","",IFERROR(INDEX(INSUMOS!$H$6:$H$205,MATCH($D857,INSUMOS!$A$6:$A$205,0)),IVA_VENTAS))</f>
        <v/>
      </c>
      <c r="L857" s="35" t="str">
        <f aca="false">IF($D857="","",N($J857)*$K857)</f>
        <v/>
      </c>
      <c r="M857" s="35" t="str">
        <f aca="false">IF($D857="","",N($J857)+$L857)</f>
        <v/>
      </c>
      <c r="N857" s="43" t="str">
        <f aca="false">IF($D857="","",IFERROR(N($J857)/$I857,0))</f>
        <v/>
      </c>
      <c r="O857" s="6"/>
      <c r="P857" s="6"/>
      <c r="Q857" s="46" t="str">
        <f aca="false">IF($A857="","",DATE(YEAR($A857),MONTH($A857),1))</f>
        <v/>
      </c>
      <c r="R857" s="8" t="str">
        <f aca="false">IF(OR($A857="",$D857=""),"",IF(COUNTIFS($D$6:$D$1005,$D857,$A$6:$A$1005,"&gt;"&amp;$A857)=0,1,0))</f>
        <v/>
      </c>
    </row>
    <row r="858" customFormat="false" ht="15" hidden="false" customHeight="false" outlineLevel="0" collapsed="false">
      <c r="A858" s="44"/>
      <c r="B858" s="6"/>
      <c r="C858" s="6"/>
      <c r="D858" s="6"/>
      <c r="E858" s="8" t="str">
        <f aca="false">IF($D858="","",IFERROR(INDEX(INSUMOS!$B$6:$B$205,MATCH($D858,INSUMOS!$A$6:$A$205,0)),"¿Código?"))</f>
        <v/>
      </c>
      <c r="F858" s="8" t="str">
        <f aca="false">IF($D858="","",IFERROR(INDEX(INSUMOS!$E$6:$E$205,MATCH($D858,INSUMOS!$A$6:$A$205,0)),""))</f>
        <v/>
      </c>
      <c r="G858" s="39"/>
      <c r="H858" s="45" t="str">
        <f aca="false">IF($D858="","",IFERROR(INDEX(INSUMOS!$F$6:$F$205,MATCH($D858,INSUMOS!$A$6:$A$205,0)),0))</f>
        <v/>
      </c>
      <c r="I858" s="34" t="str">
        <f aca="false">IF($D858="","",N($G858)*$H858)</f>
        <v/>
      </c>
      <c r="J858" s="40"/>
      <c r="K858" s="36" t="str">
        <f aca="false">IF($D858="","",IFERROR(INDEX(INSUMOS!$H$6:$H$205,MATCH($D858,INSUMOS!$A$6:$A$205,0)),IVA_VENTAS))</f>
        <v/>
      </c>
      <c r="L858" s="35" t="str">
        <f aca="false">IF($D858="","",N($J858)*$K858)</f>
        <v/>
      </c>
      <c r="M858" s="35" t="str">
        <f aca="false">IF($D858="","",N($J858)+$L858)</f>
        <v/>
      </c>
      <c r="N858" s="43" t="str">
        <f aca="false">IF($D858="","",IFERROR(N($J858)/$I858,0))</f>
        <v/>
      </c>
      <c r="O858" s="6"/>
      <c r="P858" s="6"/>
      <c r="Q858" s="46" t="str">
        <f aca="false">IF($A858="","",DATE(YEAR($A858),MONTH($A858),1))</f>
        <v/>
      </c>
      <c r="R858" s="8" t="str">
        <f aca="false">IF(OR($A858="",$D858=""),"",IF(COUNTIFS($D$6:$D$1005,$D858,$A$6:$A$1005,"&gt;"&amp;$A858)=0,1,0))</f>
        <v/>
      </c>
    </row>
    <row r="859" customFormat="false" ht="15" hidden="false" customHeight="false" outlineLevel="0" collapsed="false">
      <c r="A859" s="44"/>
      <c r="B859" s="6"/>
      <c r="C859" s="6"/>
      <c r="D859" s="6"/>
      <c r="E859" s="8" t="str">
        <f aca="false">IF($D859="","",IFERROR(INDEX(INSUMOS!$B$6:$B$205,MATCH($D859,INSUMOS!$A$6:$A$205,0)),"¿Código?"))</f>
        <v/>
      </c>
      <c r="F859" s="8" t="str">
        <f aca="false">IF($D859="","",IFERROR(INDEX(INSUMOS!$E$6:$E$205,MATCH($D859,INSUMOS!$A$6:$A$205,0)),""))</f>
        <v/>
      </c>
      <c r="G859" s="39"/>
      <c r="H859" s="45" t="str">
        <f aca="false">IF($D859="","",IFERROR(INDEX(INSUMOS!$F$6:$F$205,MATCH($D859,INSUMOS!$A$6:$A$205,0)),0))</f>
        <v/>
      </c>
      <c r="I859" s="34" t="str">
        <f aca="false">IF($D859="","",N($G859)*$H859)</f>
        <v/>
      </c>
      <c r="J859" s="40"/>
      <c r="K859" s="36" t="str">
        <f aca="false">IF($D859="","",IFERROR(INDEX(INSUMOS!$H$6:$H$205,MATCH($D859,INSUMOS!$A$6:$A$205,0)),IVA_VENTAS))</f>
        <v/>
      </c>
      <c r="L859" s="35" t="str">
        <f aca="false">IF($D859="","",N($J859)*$K859)</f>
        <v/>
      </c>
      <c r="M859" s="35" t="str">
        <f aca="false">IF($D859="","",N($J859)+$L859)</f>
        <v/>
      </c>
      <c r="N859" s="43" t="str">
        <f aca="false">IF($D859="","",IFERROR(N($J859)/$I859,0))</f>
        <v/>
      </c>
      <c r="O859" s="6"/>
      <c r="P859" s="6"/>
      <c r="Q859" s="46" t="str">
        <f aca="false">IF($A859="","",DATE(YEAR($A859),MONTH($A859),1))</f>
        <v/>
      </c>
      <c r="R859" s="8" t="str">
        <f aca="false">IF(OR($A859="",$D859=""),"",IF(COUNTIFS($D$6:$D$1005,$D859,$A$6:$A$1005,"&gt;"&amp;$A859)=0,1,0))</f>
        <v/>
      </c>
    </row>
    <row r="860" customFormat="false" ht="15" hidden="false" customHeight="false" outlineLevel="0" collapsed="false">
      <c r="A860" s="44"/>
      <c r="B860" s="6"/>
      <c r="C860" s="6"/>
      <c r="D860" s="6"/>
      <c r="E860" s="8" t="str">
        <f aca="false">IF($D860="","",IFERROR(INDEX(INSUMOS!$B$6:$B$205,MATCH($D860,INSUMOS!$A$6:$A$205,0)),"¿Código?"))</f>
        <v/>
      </c>
      <c r="F860" s="8" t="str">
        <f aca="false">IF($D860="","",IFERROR(INDEX(INSUMOS!$E$6:$E$205,MATCH($D860,INSUMOS!$A$6:$A$205,0)),""))</f>
        <v/>
      </c>
      <c r="G860" s="39"/>
      <c r="H860" s="45" t="str">
        <f aca="false">IF($D860="","",IFERROR(INDEX(INSUMOS!$F$6:$F$205,MATCH($D860,INSUMOS!$A$6:$A$205,0)),0))</f>
        <v/>
      </c>
      <c r="I860" s="34" t="str">
        <f aca="false">IF($D860="","",N($G860)*$H860)</f>
        <v/>
      </c>
      <c r="J860" s="40"/>
      <c r="K860" s="36" t="str">
        <f aca="false">IF($D860="","",IFERROR(INDEX(INSUMOS!$H$6:$H$205,MATCH($D860,INSUMOS!$A$6:$A$205,0)),IVA_VENTAS))</f>
        <v/>
      </c>
      <c r="L860" s="35" t="str">
        <f aca="false">IF($D860="","",N($J860)*$K860)</f>
        <v/>
      </c>
      <c r="M860" s="35" t="str">
        <f aca="false">IF($D860="","",N($J860)+$L860)</f>
        <v/>
      </c>
      <c r="N860" s="43" t="str">
        <f aca="false">IF($D860="","",IFERROR(N($J860)/$I860,0))</f>
        <v/>
      </c>
      <c r="O860" s="6"/>
      <c r="P860" s="6"/>
      <c r="Q860" s="46" t="str">
        <f aca="false">IF($A860="","",DATE(YEAR($A860),MONTH($A860),1))</f>
        <v/>
      </c>
      <c r="R860" s="8" t="str">
        <f aca="false">IF(OR($A860="",$D860=""),"",IF(COUNTIFS($D$6:$D$1005,$D860,$A$6:$A$1005,"&gt;"&amp;$A860)=0,1,0))</f>
        <v/>
      </c>
    </row>
    <row r="861" customFormat="false" ht="15" hidden="false" customHeight="false" outlineLevel="0" collapsed="false">
      <c r="A861" s="44"/>
      <c r="B861" s="6"/>
      <c r="C861" s="6"/>
      <c r="D861" s="6"/>
      <c r="E861" s="8" t="str">
        <f aca="false">IF($D861="","",IFERROR(INDEX(INSUMOS!$B$6:$B$205,MATCH($D861,INSUMOS!$A$6:$A$205,0)),"¿Código?"))</f>
        <v/>
      </c>
      <c r="F861" s="8" t="str">
        <f aca="false">IF($D861="","",IFERROR(INDEX(INSUMOS!$E$6:$E$205,MATCH($D861,INSUMOS!$A$6:$A$205,0)),""))</f>
        <v/>
      </c>
      <c r="G861" s="39"/>
      <c r="H861" s="45" t="str">
        <f aca="false">IF($D861="","",IFERROR(INDEX(INSUMOS!$F$6:$F$205,MATCH($D861,INSUMOS!$A$6:$A$205,0)),0))</f>
        <v/>
      </c>
      <c r="I861" s="34" t="str">
        <f aca="false">IF($D861="","",N($G861)*$H861)</f>
        <v/>
      </c>
      <c r="J861" s="40"/>
      <c r="K861" s="36" t="str">
        <f aca="false">IF($D861="","",IFERROR(INDEX(INSUMOS!$H$6:$H$205,MATCH($D861,INSUMOS!$A$6:$A$205,0)),IVA_VENTAS))</f>
        <v/>
      </c>
      <c r="L861" s="35" t="str">
        <f aca="false">IF($D861="","",N($J861)*$K861)</f>
        <v/>
      </c>
      <c r="M861" s="35" t="str">
        <f aca="false">IF($D861="","",N($J861)+$L861)</f>
        <v/>
      </c>
      <c r="N861" s="43" t="str">
        <f aca="false">IF($D861="","",IFERROR(N($J861)/$I861,0))</f>
        <v/>
      </c>
      <c r="O861" s="6"/>
      <c r="P861" s="6"/>
      <c r="Q861" s="46" t="str">
        <f aca="false">IF($A861="","",DATE(YEAR($A861),MONTH($A861),1))</f>
        <v/>
      </c>
      <c r="R861" s="8" t="str">
        <f aca="false">IF(OR($A861="",$D861=""),"",IF(COUNTIFS($D$6:$D$1005,$D861,$A$6:$A$1005,"&gt;"&amp;$A861)=0,1,0))</f>
        <v/>
      </c>
    </row>
    <row r="862" customFormat="false" ht="15" hidden="false" customHeight="false" outlineLevel="0" collapsed="false">
      <c r="A862" s="44"/>
      <c r="B862" s="6"/>
      <c r="C862" s="6"/>
      <c r="D862" s="6"/>
      <c r="E862" s="8" t="str">
        <f aca="false">IF($D862="","",IFERROR(INDEX(INSUMOS!$B$6:$B$205,MATCH($D862,INSUMOS!$A$6:$A$205,0)),"¿Código?"))</f>
        <v/>
      </c>
      <c r="F862" s="8" t="str">
        <f aca="false">IF($D862="","",IFERROR(INDEX(INSUMOS!$E$6:$E$205,MATCH($D862,INSUMOS!$A$6:$A$205,0)),""))</f>
        <v/>
      </c>
      <c r="G862" s="39"/>
      <c r="H862" s="45" t="str">
        <f aca="false">IF($D862="","",IFERROR(INDEX(INSUMOS!$F$6:$F$205,MATCH($D862,INSUMOS!$A$6:$A$205,0)),0))</f>
        <v/>
      </c>
      <c r="I862" s="34" t="str">
        <f aca="false">IF($D862="","",N($G862)*$H862)</f>
        <v/>
      </c>
      <c r="J862" s="40"/>
      <c r="K862" s="36" t="str">
        <f aca="false">IF($D862="","",IFERROR(INDEX(INSUMOS!$H$6:$H$205,MATCH($D862,INSUMOS!$A$6:$A$205,0)),IVA_VENTAS))</f>
        <v/>
      </c>
      <c r="L862" s="35" t="str">
        <f aca="false">IF($D862="","",N($J862)*$K862)</f>
        <v/>
      </c>
      <c r="M862" s="35" t="str">
        <f aca="false">IF($D862="","",N($J862)+$L862)</f>
        <v/>
      </c>
      <c r="N862" s="43" t="str">
        <f aca="false">IF($D862="","",IFERROR(N($J862)/$I862,0))</f>
        <v/>
      </c>
      <c r="O862" s="6"/>
      <c r="P862" s="6"/>
      <c r="Q862" s="46" t="str">
        <f aca="false">IF($A862="","",DATE(YEAR($A862),MONTH($A862),1))</f>
        <v/>
      </c>
      <c r="R862" s="8" t="str">
        <f aca="false">IF(OR($A862="",$D862=""),"",IF(COUNTIFS($D$6:$D$1005,$D862,$A$6:$A$1005,"&gt;"&amp;$A862)=0,1,0))</f>
        <v/>
      </c>
    </row>
    <row r="863" customFormat="false" ht="15" hidden="false" customHeight="false" outlineLevel="0" collapsed="false">
      <c r="A863" s="44"/>
      <c r="B863" s="6"/>
      <c r="C863" s="6"/>
      <c r="D863" s="6"/>
      <c r="E863" s="8" t="str">
        <f aca="false">IF($D863="","",IFERROR(INDEX(INSUMOS!$B$6:$B$205,MATCH($D863,INSUMOS!$A$6:$A$205,0)),"¿Código?"))</f>
        <v/>
      </c>
      <c r="F863" s="8" t="str">
        <f aca="false">IF($D863="","",IFERROR(INDEX(INSUMOS!$E$6:$E$205,MATCH($D863,INSUMOS!$A$6:$A$205,0)),""))</f>
        <v/>
      </c>
      <c r="G863" s="39"/>
      <c r="H863" s="45" t="str">
        <f aca="false">IF($D863="","",IFERROR(INDEX(INSUMOS!$F$6:$F$205,MATCH($D863,INSUMOS!$A$6:$A$205,0)),0))</f>
        <v/>
      </c>
      <c r="I863" s="34" t="str">
        <f aca="false">IF($D863="","",N($G863)*$H863)</f>
        <v/>
      </c>
      <c r="J863" s="40"/>
      <c r="K863" s="36" t="str">
        <f aca="false">IF($D863="","",IFERROR(INDEX(INSUMOS!$H$6:$H$205,MATCH($D863,INSUMOS!$A$6:$A$205,0)),IVA_VENTAS))</f>
        <v/>
      </c>
      <c r="L863" s="35" t="str">
        <f aca="false">IF($D863="","",N($J863)*$K863)</f>
        <v/>
      </c>
      <c r="M863" s="35" t="str">
        <f aca="false">IF($D863="","",N($J863)+$L863)</f>
        <v/>
      </c>
      <c r="N863" s="43" t="str">
        <f aca="false">IF($D863="","",IFERROR(N($J863)/$I863,0))</f>
        <v/>
      </c>
      <c r="O863" s="6"/>
      <c r="P863" s="6"/>
      <c r="Q863" s="46" t="str">
        <f aca="false">IF($A863="","",DATE(YEAR($A863),MONTH($A863),1))</f>
        <v/>
      </c>
      <c r="R863" s="8" t="str">
        <f aca="false">IF(OR($A863="",$D863=""),"",IF(COUNTIFS($D$6:$D$1005,$D863,$A$6:$A$1005,"&gt;"&amp;$A863)=0,1,0))</f>
        <v/>
      </c>
    </row>
    <row r="864" customFormat="false" ht="15" hidden="false" customHeight="false" outlineLevel="0" collapsed="false">
      <c r="A864" s="44"/>
      <c r="B864" s="6"/>
      <c r="C864" s="6"/>
      <c r="D864" s="6"/>
      <c r="E864" s="8" t="str">
        <f aca="false">IF($D864="","",IFERROR(INDEX(INSUMOS!$B$6:$B$205,MATCH($D864,INSUMOS!$A$6:$A$205,0)),"¿Código?"))</f>
        <v/>
      </c>
      <c r="F864" s="8" t="str">
        <f aca="false">IF($D864="","",IFERROR(INDEX(INSUMOS!$E$6:$E$205,MATCH($D864,INSUMOS!$A$6:$A$205,0)),""))</f>
        <v/>
      </c>
      <c r="G864" s="39"/>
      <c r="H864" s="45" t="str">
        <f aca="false">IF($D864="","",IFERROR(INDEX(INSUMOS!$F$6:$F$205,MATCH($D864,INSUMOS!$A$6:$A$205,0)),0))</f>
        <v/>
      </c>
      <c r="I864" s="34" t="str">
        <f aca="false">IF($D864="","",N($G864)*$H864)</f>
        <v/>
      </c>
      <c r="J864" s="40"/>
      <c r="K864" s="36" t="str">
        <f aca="false">IF($D864="","",IFERROR(INDEX(INSUMOS!$H$6:$H$205,MATCH($D864,INSUMOS!$A$6:$A$205,0)),IVA_VENTAS))</f>
        <v/>
      </c>
      <c r="L864" s="35" t="str">
        <f aca="false">IF($D864="","",N($J864)*$K864)</f>
        <v/>
      </c>
      <c r="M864" s="35" t="str">
        <f aca="false">IF($D864="","",N($J864)+$L864)</f>
        <v/>
      </c>
      <c r="N864" s="43" t="str">
        <f aca="false">IF($D864="","",IFERROR(N($J864)/$I864,0))</f>
        <v/>
      </c>
      <c r="O864" s="6"/>
      <c r="P864" s="6"/>
      <c r="Q864" s="46" t="str">
        <f aca="false">IF($A864="","",DATE(YEAR($A864),MONTH($A864),1))</f>
        <v/>
      </c>
      <c r="R864" s="8" t="str">
        <f aca="false">IF(OR($A864="",$D864=""),"",IF(COUNTIFS($D$6:$D$1005,$D864,$A$6:$A$1005,"&gt;"&amp;$A864)=0,1,0))</f>
        <v/>
      </c>
    </row>
    <row r="865" customFormat="false" ht="15" hidden="false" customHeight="false" outlineLevel="0" collapsed="false">
      <c r="A865" s="44"/>
      <c r="B865" s="6"/>
      <c r="C865" s="6"/>
      <c r="D865" s="6"/>
      <c r="E865" s="8" t="str">
        <f aca="false">IF($D865="","",IFERROR(INDEX(INSUMOS!$B$6:$B$205,MATCH($D865,INSUMOS!$A$6:$A$205,0)),"¿Código?"))</f>
        <v/>
      </c>
      <c r="F865" s="8" t="str">
        <f aca="false">IF($D865="","",IFERROR(INDEX(INSUMOS!$E$6:$E$205,MATCH($D865,INSUMOS!$A$6:$A$205,0)),""))</f>
        <v/>
      </c>
      <c r="G865" s="39"/>
      <c r="H865" s="45" t="str">
        <f aca="false">IF($D865="","",IFERROR(INDEX(INSUMOS!$F$6:$F$205,MATCH($D865,INSUMOS!$A$6:$A$205,0)),0))</f>
        <v/>
      </c>
      <c r="I865" s="34" t="str">
        <f aca="false">IF($D865="","",N($G865)*$H865)</f>
        <v/>
      </c>
      <c r="J865" s="40"/>
      <c r="K865" s="36" t="str">
        <f aca="false">IF($D865="","",IFERROR(INDEX(INSUMOS!$H$6:$H$205,MATCH($D865,INSUMOS!$A$6:$A$205,0)),IVA_VENTAS))</f>
        <v/>
      </c>
      <c r="L865" s="35" t="str">
        <f aca="false">IF($D865="","",N($J865)*$K865)</f>
        <v/>
      </c>
      <c r="M865" s="35" t="str">
        <f aca="false">IF($D865="","",N($J865)+$L865)</f>
        <v/>
      </c>
      <c r="N865" s="43" t="str">
        <f aca="false">IF($D865="","",IFERROR(N($J865)/$I865,0))</f>
        <v/>
      </c>
      <c r="O865" s="6"/>
      <c r="P865" s="6"/>
      <c r="Q865" s="46" t="str">
        <f aca="false">IF($A865="","",DATE(YEAR($A865),MONTH($A865),1))</f>
        <v/>
      </c>
      <c r="R865" s="8" t="str">
        <f aca="false">IF(OR($A865="",$D865=""),"",IF(COUNTIFS($D$6:$D$1005,$D865,$A$6:$A$1005,"&gt;"&amp;$A865)=0,1,0))</f>
        <v/>
      </c>
    </row>
    <row r="866" customFormat="false" ht="15" hidden="false" customHeight="false" outlineLevel="0" collapsed="false">
      <c r="A866" s="44"/>
      <c r="B866" s="6"/>
      <c r="C866" s="6"/>
      <c r="D866" s="6"/>
      <c r="E866" s="8" t="str">
        <f aca="false">IF($D866="","",IFERROR(INDEX(INSUMOS!$B$6:$B$205,MATCH($D866,INSUMOS!$A$6:$A$205,0)),"¿Código?"))</f>
        <v/>
      </c>
      <c r="F866" s="8" t="str">
        <f aca="false">IF($D866="","",IFERROR(INDEX(INSUMOS!$E$6:$E$205,MATCH($D866,INSUMOS!$A$6:$A$205,0)),""))</f>
        <v/>
      </c>
      <c r="G866" s="39"/>
      <c r="H866" s="45" t="str">
        <f aca="false">IF($D866="","",IFERROR(INDEX(INSUMOS!$F$6:$F$205,MATCH($D866,INSUMOS!$A$6:$A$205,0)),0))</f>
        <v/>
      </c>
      <c r="I866" s="34" t="str">
        <f aca="false">IF($D866="","",N($G866)*$H866)</f>
        <v/>
      </c>
      <c r="J866" s="40"/>
      <c r="K866" s="36" t="str">
        <f aca="false">IF($D866="","",IFERROR(INDEX(INSUMOS!$H$6:$H$205,MATCH($D866,INSUMOS!$A$6:$A$205,0)),IVA_VENTAS))</f>
        <v/>
      </c>
      <c r="L866" s="35" t="str">
        <f aca="false">IF($D866="","",N($J866)*$K866)</f>
        <v/>
      </c>
      <c r="M866" s="35" t="str">
        <f aca="false">IF($D866="","",N($J866)+$L866)</f>
        <v/>
      </c>
      <c r="N866" s="43" t="str">
        <f aca="false">IF($D866="","",IFERROR(N($J866)/$I866,0))</f>
        <v/>
      </c>
      <c r="O866" s="6"/>
      <c r="P866" s="6"/>
      <c r="Q866" s="46" t="str">
        <f aca="false">IF($A866="","",DATE(YEAR($A866),MONTH($A866),1))</f>
        <v/>
      </c>
      <c r="R866" s="8" t="str">
        <f aca="false">IF(OR($A866="",$D866=""),"",IF(COUNTIFS($D$6:$D$1005,$D866,$A$6:$A$1005,"&gt;"&amp;$A866)=0,1,0))</f>
        <v/>
      </c>
    </row>
    <row r="867" customFormat="false" ht="15" hidden="false" customHeight="false" outlineLevel="0" collapsed="false">
      <c r="A867" s="44"/>
      <c r="B867" s="6"/>
      <c r="C867" s="6"/>
      <c r="D867" s="6"/>
      <c r="E867" s="8" t="str">
        <f aca="false">IF($D867="","",IFERROR(INDEX(INSUMOS!$B$6:$B$205,MATCH($D867,INSUMOS!$A$6:$A$205,0)),"¿Código?"))</f>
        <v/>
      </c>
      <c r="F867" s="8" t="str">
        <f aca="false">IF($D867="","",IFERROR(INDEX(INSUMOS!$E$6:$E$205,MATCH($D867,INSUMOS!$A$6:$A$205,0)),""))</f>
        <v/>
      </c>
      <c r="G867" s="39"/>
      <c r="H867" s="45" t="str">
        <f aca="false">IF($D867="","",IFERROR(INDEX(INSUMOS!$F$6:$F$205,MATCH($D867,INSUMOS!$A$6:$A$205,0)),0))</f>
        <v/>
      </c>
      <c r="I867" s="34" t="str">
        <f aca="false">IF($D867="","",N($G867)*$H867)</f>
        <v/>
      </c>
      <c r="J867" s="40"/>
      <c r="K867" s="36" t="str">
        <f aca="false">IF($D867="","",IFERROR(INDEX(INSUMOS!$H$6:$H$205,MATCH($D867,INSUMOS!$A$6:$A$205,0)),IVA_VENTAS))</f>
        <v/>
      </c>
      <c r="L867" s="35" t="str">
        <f aca="false">IF($D867="","",N($J867)*$K867)</f>
        <v/>
      </c>
      <c r="M867" s="35" t="str">
        <f aca="false">IF($D867="","",N($J867)+$L867)</f>
        <v/>
      </c>
      <c r="N867" s="43" t="str">
        <f aca="false">IF($D867="","",IFERROR(N($J867)/$I867,0))</f>
        <v/>
      </c>
      <c r="O867" s="6"/>
      <c r="P867" s="6"/>
      <c r="Q867" s="46" t="str">
        <f aca="false">IF($A867="","",DATE(YEAR($A867),MONTH($A867),1))</f>
        <v/>
      </c>
      <c r="R867" s="8" t="str">
        <f aca="false">IF(OR($A867="",$D867=""),"",IF(COUNTIFS($D$6:$D$1005,$D867,$A$6:$A$1005,"&gt;"&amp;$A867)=0,1,0))</f>
        <v/>
      </c>
    </row>
    <row r="868" customFormat="false" ht="15" hidden="false" customHeight="false" outlineLevel="0" collapsed="false">
      <c r="A868" s="44"/>
      <c r="B868" s="6"/>
      <c r="C868" s="6"/>
      <c r="D868" s="6"/>
      <c r="E868" s="8" t="str">
        <f aca="false">IF($D868="","",IFERROR(INDEX(INSUMOS!$B$6:$B$205,MATCH($D868,INSUMOS!$A$6:$A$205,0)),"¿Código?"))</f>
        <v/>
      </c>
      <c r="F868" s="8" t="str">
        <f aca="false">IF($D868="","",IFERROR(INDEX(INSUMOS!$E$6:$E$205,MATCH($D868,INSUMOS!$A$6:$A$205,0)),""))</f>
        <v/>
      </c>
      <c r="G868" s="39"/>
      <c r="H868" s="45" t="str">
        <f aca="false">IF($D868="","",IFERROR(INDEX(INSUMOS!$F$6:$F$205,MATCH($D868,INSUMOS!$A$6:$A$205,0)),0))</f>
        <v/>
      </c>
      <c r="I868" s="34" t="str">
        <f aca="false">IF($D868="","",N($G868)*$H868)</f>
        <v/>
      </c>
      <c r="J868" s="40"/>
      <c r="K868" s="36" t="str">
        <f aca="false">IF($D868="","",IFERROR(INDEX(INSUMOS!$H$6:$H$205,MATCH($D868,INSUMOS!$A$6:$A$205,0)),IVA_VENTAS))</f>
        <v/>
      </c>
      <c r="L868" s="35" t="str">
        <f aca="false">IF($D868="","",N($J868)*$K868)</f>
        <v/>
      </c>
      <c r="M868" s="35" t="str">
        <f aca="false">IF($D868="","",N($J868)+$L868)</f>
        <v/>
      </c>
      <c r="N868" s="43" t="str">
        <f aca="false">IF($D868="","",IFERROR(N($J868)/$I868,0))</f>
        <v/>
      </c>
      <c r="O868" s="6"/>
      <c r="P868" s="6"/>
      <c r="Q868" s="46" t="str">
        <f aca="false">IF($A868="","",DATE(YEAR($A868),MONTH($A868),1))</f>
        <v/>
      </c>
      <c r="R868" s="8" t="str">
        <f aca="false">IF(OR($A868="",$D868=""),"",IF(COUNTIFS($D$6:$D$1005,$D868,$A$6:$A$1005,"&gt;"&amp;$A868)=0,1,0))</f>
        <v/>
      </c>
    </row>
    <row r="869" customFormat="false" ht="15" hidden="false" customHeight="false" outlineLevel="0" collapsed="false">
      <c r="A869" s="44"/>
      <c r="B869" s="6"/>
      <c r="C869" s="6"/>
      <c r="D869" s="6"/>
      <c r="E869" s="8" t="str">
        <f aca="false">IF($D869="","",IFERROR(INDEX(INSUMOS!$B$6:$B$205,MATCH($D869,INSUMOS!$A$6:$A$205,0)),"¿Código?"))</f>
        <v/>
      </c>
      <c r="F869" s="8" t="str">
        <f aca="false">IF($D869="","",IFERROR(INDEX(INSUMOS!$E$6:$E$205,MATCH($D869,INSUMOS!$A$6:$A$205,0)),""))</f>
        <v/>
      </c>
      <c r="G869" s="39"/>
      <c r="H869" s="45" t="str">
        <f aca="false">IF($D869="","",IFERROR(INDEX(INSUMOS!$F$6:$F$205,MATCH($D869,INSUMOS!$A$6:$A$205,0)),0))</f>
        <v/>
      </c>
      <c r="I869" s="34" t="str">
        <f aca="false">IF($D869="","",N($G869)*$H869)</f>
        <v/>
      </c>
      <c r="J869" s="40"/>
      <c r="K869" s="36" t="str">
        <f aca="false">IF($D869="","",IFERROR(INDEX(INSUMOS!$H$6:$H$205,MATCH($D869,INSUMOS!$A$6:$A$205,0)),IVA_VENTAS))</f>
        <v/>
      </c>
      <c r="L869" s="35" t="str">
        <f aca="false">IF($D869="","",N($J869)*$K869)</f>
        <v/>
      </c>
      <c r="M869" s="35" t="str">
        <f aca="false">IF($D869="","",N($J869)+$L869)</f>
        <v/>
      </c>
      <c r="N869" s="43" t="str">
        <f aca="false">IF($D869="","",IFERROR(N($J869)/$I869,0))</f>
        <v/>
      </c>
      <c r="O869" s="6"/>
      <c r="P869" s="6"/>
      <c r="Q869" s="46" t="str">
        <f aca="false">IF($A869="","",DATE(YEAR($A869),MONTH($A869),1))</f>
        <v/>
      </c>
      <c r="R869" s="8" t="str">
        <f aca="false">IF(OR($A869="",$D869=""),"",IF(COUNTIFS($D$6:$D$1005,$D869,$A$6:$A$1005,"&gt;"&amp;$A869)=0,1,0))</f>
        <v/>
      </c>
    </row>
    <row r="870" customFormat="false" ht="15" hidden="false" customHeight="false" outlineLevel="0" collapsed="false">
      <c r="A870" s="44"/>
      <c r="B870" s="6"/>
      <c r="C870" s="6"/>
      <c r="D870" s="6"/>
      <c r="E870" s="8" t="str">
        <f aca="false">IF($D870="","",IFERROR(INDEX(INSUMOS!$B$6:$B$205,MATCH($D870,INSUMOS!$A$6:$A$205,0)),"¿Código?"))</f>
        <v/>
      </c>
      <c r="F870" s="8" t="str">
        <f aca="false">IF($D870="","",IFERROR(INDEX(INSUMOS!$E$6:$E$205,MATCH($D870,INSUMOS!$A$6:$A$205,0)),""))</f>
        <v/>
      </c>
      <c r="G870" s="39"/>
      <c r="H870" s="45" t="str">
        <f aca="false">IF($D870="","",IFERROR(INDEX(INSUMOS!$F$6:$F$205,MATCH($D870,INSUMOS!$A$6:$A$205,0)),0))</f>
        <v/>
      </c>
      <c r="I870" s="34" t="str">
        <f aca="false">IF($D870="","",N($G870)*$H870)</f>
        <v/>
      </c>
      <c r="J870" s="40"/>
      <c r="K870" s="36" t="str">
        <f aca="false">IF($D870="","",IFERROR(INDEX(INSUMOS!$H$6:$H$205,MATCH($D870,INSUMOS!$A$6:$A$205,0)),IVA_VENTAS))</f>
        <v/>
      </c>
      <c r="L870" s="35" t="str">
        <f aca="false">IF($D870="","",N($J870)*$K870)</f>
        <v/>
      </c>
      <c r="M870" s="35" t="str">
        <f aca="false">IF($D870="","",N($J870)+$L870)</f>
        <v/>
      </c>
      <c r="N870" s="43" t="str">
        <f aca="false">IF($D870="","",IFERROR(N($J870)/$I870,0))</f>
        <v/>
      </c>
      <c r="O870" s="6"/>
      <c r="P870" s="6"/>
      <c r="Q870" s="46" t="str">
        <f aca="false">IF($A870="","",DATE(YEAR($A870),MONTH($A870),1))</f>
        <v/>
      </c>
      <c r="R870" s="8" t="str">
        <f aca="false">IF(OR($A870="",$D870=""),"",IF(COUNTIFS($D$6:$D$1005,$D870,$A$6:$A$1005,"&gt;"&amp;$A870)=0,1,0))</f>
        <v/>
      </c>
    </row>
    <row r="871" customFormat="false" ht="15" hidden="false" customHeight="false" outlineLevel="0" collapsed="false">
      <c r="A871" s="44"/>
      <c r="B871" s="6"/>
      <c r="C871" s="6"/>
      <c r="D871" s="6"/>
      <c r="E871" s="8" t="str">
        <f aca="false">IF($D871="","",IFERROR(INDEX(INSUMOS!$B$6:$B$205,MATCH($D871,INSUMOS!$A$6:$A$205,0)),"¿Código?"))</f>
        <v/>
      </c>
      <c r="F871" s="8" t="str">
        <f aca="false">IF($D871="","",IFERROR(INDEX(INSUMOS!$E$6:$E$205,MATCH($D871,INSUMOS!$A$6:$A$205,0)),""))</f>
        <v/>
      </c>
      <c r="G871" s="39"/>
      <c r="H871" s="45" t="str">
        <f aca="false">IF($D871="","",IFERROR(INDEX(INSUMOS!$F$6:$F$205,MATCH($D871,INSUMOS!$A$6:$A$205,0)),0))</f>
        <v/>
      </c>
      <c r="I871" s="34" t="str">
        <f aca="false">IF($D871="","",N($G871)*$H871)</f>
        <v/>
      </c>
      <c r="J871" s="40"/>
      <c r="K871" s="36" t="str">
        <f aca="false">IF($D871="","",IFERROR(INDEX(INSUMOS!$H$6:$H$205,MATCH($D871,INSUMOS!$A$6:$A$205,0)),IVA_VENTAS))</f>
        <v/>
      </c>
      <c r="L871" s="35" t="str">
        <f aca="false">IF($D871="","",N($J871)*$K871)</f>
        <v/>
      </c>
      <c r="M871" s="35" t="str">
        <f aca="false">IF($D871="","",N($J871)+$L871)</f>
        <v/>
      </c>
      <c r="N871" s="43" t="str">
        <f aca="false">IF($D871="","",IFERROR(N($J871)/$I871,0))</f>
        <v/>
      </c>
      <c r="O871" s="6"/>
      <c r="P871" s="6"/>
      <c r="Q871" s="46" t="str">
        <f aca="false">IF($A871="","",DATE(YEAR($A871),MONTH($A871),1))</f>
        <v/>
      </c>
      <c r="R871" s="8" t="str">
        <f aca="false">IF(OR($A871="",$D871=""),"",IF(COUNTIFS($D$6:$D$1005,$D871,$A$6:$A$1005,"&gt;"&amp;$A871)=0,1,0))</f>
        <v/>
      </c>
    </row>
    <row r="872" customFormat="false" ht="15" hidden="false" customHeight="false" outlineLevel="0" collapsed="false">
      <c r="A872" s="44"/>
      <c r="B872" s="6"/>
      <c r="C872" s="6"/>
      <c r="D872" s="6"/>
      <c r="E872" s="8" t="str">
        <f aca="false">IF($D872="","",IFERROR(INDEX(INSUMOS!$B$6:$B$205,MATCH($D872,INSUMOS!$A$6:$A$205,0)),"¿Código?"))</f>
        <v/>
      </c>
      <c r="F872" s="8" t="str">
        <f aca="false">IF($D872="","",IFERROR(INDEX(INSUMOS!$E$6:$E$205,MATCH($D872,INSUMOS!$A$6:$A$205,0)),""))</f>
        <v/>
      </c>
      <c r="G872" s="39"/>
      <c r="H872" s="45" t="str">
        <f aca="false">IF($D872="","",IFERROR(INDEX(INSUMOS!$F$6:$F$205,MATCH($D872,INSUMOS!$A$6:$A$205,0)),0))</f>
        <v/>
      </c>
      <c r="I872" s="34" t="str">
        <f aca="false">IF($D872="","",N($G872)*$H872)</f>
        <v/>
      </c>
      <c r="J872" s="40"/>
      <c r="K872" s="36" t="str">
        <f aca="false">IF($D872="","",IFERROR(INDEX(INSUMOS!$H$6:$H$205,MATCH($D872,INSUMOS!$A$6:$A$205,0)),IVA_VENTAS))</f>
        <v/>
      </c>
      <c r="L872" s="35" t="str">
        <f aca="false">IF($D872="","",N($J872)*$K872)</f>
        <v/>
      </c>
      <c r="M872" s="35" t="str">
        <f aca="false">IF($D872="","",N($J872)+$L872)</f>
        <v/>
      </c>
      <c r="N872" s="43" t="str">
        <f aca="false">IF($D872="","",IFERROR(N($J872)/$I872,0))</f>
        <v/>
      </c>
      <c r="O872" s="6"/>
      <c r="P872" s="6"/>
      <c r="Q872" s="46" t="str">
        <f aca="false">IF($A872="","",DATE(YEAR($A872),MONTH($A872),1))</f>
        <v/>
      </c>
      <c r="R872" s="8" t="str">
        <f aca="false">IF(OR($A872="",$D872=""),"",IF(COUNTIFS($D$6:$D$1005,$D872,$A$6:$A$1005,"&gt;"&amp;$A872)=0,1,0))</f>
        <v/>
      </c>
    </row>
    <row r="873" customFormat="false" ht="15" hidden="false" customHeight="false" outlineLevel="0" collapsed="false">
      <c r="A873" s="44"/>
      <c r="B873" s="6"/>
      <c r="C873" s="6"/>
      <c r="D873" s="6"/>
      <c r="E873" s="8" t="str">
        <f aca="false">IF($D873="","",IFERROR(INDEX(INSUMOS!$B$6:$B$205,MATCH($D873,INSUMOS!$A$6:$A$205,0)),"¿Código?"))</f>
        <v/>
      </c>
      <c r="F873" s="8" t="str">
        <f aca="false">IF($D873="","",IFERROR(INDEX(INSUMOS!$E$6:$E$205,MATCH($D873,INSUMOS!$A$6:$A$205,0)),""))</f>
        <v/>
      </c>
      <c r="G873" s="39"/>
      <c r="H873" s="45" t="str">
        <f aca="false">IF($D873="","",IFERROR(INDEX(INSUMOS!$F$6:$F$205,MATCH($D873,INSUMOS!$A$6:$A$205,0)),0))</f>
        <v/>
      </c>
      <c r="I873" s="34" t="str">
        <f aca="false">IF($D873="","",N($G873)*$H873)</f>
        <v/>
      </c>
      <c r="J873" s="40"/>
      <c r="K873" s="36" t="str">
        <f aca="false">IF($D873="","",IFERROR(INDEX(INSUMOS!$H$6:$H$205,MATCH($D873,INSUMOS!$A$6:$A$205,0)),IVA_VENTAS))</f>
        <v/>
      </c>
      <c r="L873" s="35" t="str">
        <f aca="false">IF($D873="","",N($J873)*$K873)</f>
        <v/>
      </c>
      <c r="M873" s="35" t="str">
        <f aca="false">IF($D873="","",N($J873)+$L873)</f>
        <v/>
      </c>
      <c r="N873" s="43" t="str">
        <f aca="false">IF($D873="","",IFERROR(N($J873)/$I873,0))</f>
        <v/>
      </c>
      <c r="O873" s="6"/>
      <c r="P873" s="6"/>
      <c r="Q873" s="46" t="str">
        <f aca="false">IF($A873="","",DATE(YEAR($A873),MONTH($A873),1))</f>
        <v/>
      </c>
      <c r="R873" s="8" t="str">
        <f aca="false">IF(OR($A873="",$D873=""),"",IF(COUNTIFS($D$6:$D$1005,$D873,$A$6:$A$1005,"&gt;"&amp;$A873)=0,1,0))</f>
        <v/>
      </c>
    </row>
    <row r="874" customFormat="false" ht="15" hidden="false" customHeight="false" outlineLevel="0" collapsed="false">
      <c r="A874" s="44"/>
      <c r="B874" s="6"/>
      <c r="C874" s="6"/>
      <c r="D874" s="6"/>
      <c r="E874" s="8" t="str">
        <f aca="false">IF($D874="","",IFERROR(INDEX(INSUMOS!$B$6:$B$205,MATCH($D874,INSUMOS!$A$6:$A$205,0)),"¿Código?"))</f>
        <v/>
      </c>
      <c r="F874" s="8" t="str">
        <f aca="false">IF($D874="","",IFERROR(INDEX(INSUMOS!$E$6:$E$205,MATCH($D874,INSUMOS!$A$6:$A$205,0)),""))</f>
        <v/>
      </c>
      <c r="G874" s="39"/>
      <c r="H874" s="45" t="str">
        <f aca="false">IF($D874="","",IFERROR(INDEX(INSUMOS!$F$6:$F$205,MATCH($D874,INSUMOS!$A$6:$A$205,0)),0))</f>
        <v/>
      </c>
      <c r="I874" s="34" t="str">
        <f aca="false">IF($D874="","",N($G874)*$H874)</f>
        <v/>
      </c>
      <c r="J874" s="40"/>
      <c r="K874" s="36" t="str">
        <f aca="false">IF($D874="","",IFERROR(INDEX(INSUMOS!$H$6:$H$205,MATCH($D874,INSUMOS!$A$6:$A$205,0)),IVA_VENTAS))</f>
        <v/>
      </c>
      <c r="L874" s="35" t="str">
        <f aca="false">IF($D874="","",N($J874)*$K874)</f>
        <v/>
      </c>
      <c r="M874" s="35" t="str">
        <f aca="false">IF($D874="","",N($J874)+$L874)</f>
        <v/>
      </c>
      <c r="N874" s="43" t="str">
        <f aca="false">IF($D874="","",IFERROR(N($J874)/$I874,0))</f>
        <v/>
      </c>
      <c r="O874" s="6"/>
      <c r="P874" s="6"/>
      <c r="Q874" s="46" t="str">
        <f aca="false">IF($A874="","",DATE(YEAR($A874),MONTH($A874),1))</f>
        <v/>
      </c>
      <c r="R874" s="8" t="str">
        <f aca="false">IF(OR($A874="",$D874=""),"",IF(COUNTIFS($D$6:$D$1005,$D874,$A$6:$A$1005,"&gt;"&amp;$A874)=0,1,0))</f>
        <v/>
      </c>
    </row>
    <row r="875" customFormat="false" ht="15" hidden="false" customHeight="false" outlineLevel="0" collapsed="false">
      <c r="A875" s="44"/>
      <c r="B875" s="6"/>
      <c r="C875" s="6"/>
      <c r="D875" s="6"/>
      <c r="E875" s="8" t="str">
        <f aca="false">IF($D875="","",IFERROR(INDEX(INSUMOS!$B$6:$B$205,MATCH($D875,INSUMOS!$A$6:$A$205,0)),"¿Código?"))</f>
        <v/>
      </c>
      <c r="F875" s="8" t="str">
        <f aca="false">IF($D875="","",IFERROR(INDEX(INSUMOS!$E$6:$E$205,MATCH($D875,INSUMOS!$A$6:$A$205,0)),""))</f>
        <v/>
      </c>
      <c r="G875" s="39"/>
      <c r="H875" s="45" t="str">
        <f aca="false">IF($D875="","",IFERROR(INDEX(INSUMOS!$F$6:$F$205,MATCH($D875,INSUMOS!$A$6:$A$205,0)),0))</f>
        <v/>
      </c>
      <c r="I875" s="34" t="str">
        <f aca="false">IF($D875="","",N($G875)*$H875)</f>
        <v/>
      </c>
      <c r="J875" s="40"/>
      <c r="K875" s="36" t="str">
        <f aca="false">IF($D875="","",IFERROR(INDEX(INSUMOS!$H$6:$H$205,MATCH($D875,INSUMOS!$A$6:$A$205,0)),IVA_VENTAS))</f>
        <v/>
      </c>
      <c r="L875" s="35" t="str">
        <f aca="false">IF($D875="","",N($J875)*$K875)</f>
        <v/>
      </c>
      <c r="M875" s="35" t="str">
        <f aca="false">IF($D875="","",N($J875)+$L875)</f>
        <v/>
      </c>
      <c r="N875" s="43" t="str">
        <f aca="false">IF($D875="","",IFERROR(N($J875)/$I875,0))</f>
        <v/>
      </c>
      <c r="O875" s="6"/>
      <c r="P875" s="6"/>
      <c r="Q875" s="46" t="str">
        <f aca="false">IF($A875="","",DATE(YEAR($A875),MONTH($A875),1))</f>
        <v/>
      </c>
      <c r="R875" s="8" t="str">
        <f aca="false">IF(OR($A875="",$D875=""),"",IF(COUNTIFS($D$6:$D$1005,$D875,$A$6:$A$1005,"&gt;"&amp;$A875)=0,1,0))</f>
        <v/>
      </c>
    </row>
    <row r="876" customFormat="false" ht="15" hidden="false" customHeight="false" outlineLevel="0" collapsed="false">
      <c r="A876" s="44"/>
      <c r="B876" s="6"/>
      <c r="C876" s="6"/>
      <c r="D876" s="6"/>
      <c r="E876" s="8" t="str">
        <f aca="false">IF($D876="","",IFERROR(INDEX(INSUMOS!$B$6:$B$205,MATCH($D876,INSUMOS!$A$6:$A$205,0)),"¿Código?"))</f>
        <v/>
      </c>
      <c r="F876" s="8" t="str">
        <f aca="false">IF($D876="","",IFERROR(INDEX(INSUMOS!$E$6:$E$205,MATCH($D876,INSUMOS!$A$6:$A$205,0)),""))</f>
        <v/>
      </c>
      <c r="G876" s="39"/>
      <c r="H876" s="45" t="str">
        <f aca="false">IF($D876="","",IFERROR(INDEX(INSUMOS!$F$6:$F$205,MATCH($D876,INSUMOS!$A$6:$A$205,0)),0))</f>
        <v/>
      </c>
      <c r="I876" s="34" t="str">
        <f aca="false">IF($D876="","",N($G876)*$H876)</f>
        <v/>
      </c>
      <c r="J876" s="40"/>
      <c r="K876" s="36" t="str">
        <f aca="false">IF($D876="","",IFERROR(INDEX(INSUMOS!$H$6:$H$205,MATCH($D876,INSUMOS!$A$6:$A$205,0)),IVA_VENTAS))</f>
        <v/>
      </c>
      <c r="L876" s="35" t="str">
        <f aca="false">IF($D876="","",N($J876)*$K876)</f>
        <v/>
      </c>
      <c r="M876" s="35" t="str">
        <f aca="false">IF($D876="","",N($J876)+$L876)</f>
        <v/>
      </c>
      <c r="N876" s="43" t="str">
        <f aca="false">IF($D876="","",IFERROR(N($J876)/$I876,0))</f>
        <v/>
      </c>
      <c r="O876" s="6"/>
      <c r="P876" s="6"/>
      <c r="Q876" s="46" t="str">
        <f aca="false">IF($A876="","",DATE(YEAR($A876),MONTH($A876),1))</f>
        <v/>
      </c>
      <c r="R876" s="8" t="str">
        <f aca="false">IF(OR($A876="",$D876=""),"",IF(COUNTIFS($D$6:$D$1005,$D876,$A$6:$A$1005,"&gt;"&amp;$A876)=0,1,0))</f>
        <v/>
      </c>
    </row>
    <row r="877" customFormat="false" ht="15" hidden="false" customHeight="false" outlineLevel="0" collapsed="false">
      <c r="A877" s="44"/>
      <c r="B877" s="6"/>
      <c r="C877" s="6"/>
      <c r="D877" s="6"/>
      <c r="E877" s="8" t="str">
        <f aca="false">IF($D877="","",IFERROR(INDEX(INSUMOS!$B$6:$B$205,MATCH($D877,INSUMOS!$A$6:$A$205,0)),"¿Código?"))</f>
        <v/>
      </c>
      <c r="F877" s="8" t="str">
        <f aca="false">IF($D877="","",IFERROR(INDEX(INSUMOS!$E$6:$E$205,MATCH($D877,INSUMOS!$A$6:$A$205,0)),""))</f>
        <v/>
      </c>
      <c r="G877" s="39"/>
      <c r="H877" s="45" t="str">
        <f aca="false">IF($D877="","",IFERROR(INDEX(INSUMOS!$F$6:$F$205,MATCH($D877,INSUMOS!$A$6:$A$205,0)),0))</f>
        <v/>
      </c>
      <c r="I877" s="34" t="str">
        <f aca="false">IF($D877="","",N($G877)*$H877)</f>
        <v/>
      </c>
      <c r="J877" s="40"/>
      <c r="K877" s="36" t="str">
        <f aca="false">IF($D877="","",IFERROR(INDEX(INSUMOS!$H$6:$H$205,MATCH($D877,INSUMOS!$A$6:$A$205,0)),IVA_VENTAS))</f>
        <v/>
      </c>
      <c r="L877" s="35" t="str">
        <f aca="false">IF($D877="","",N($J877)*$K877)</f>
        <v/>
      </c>
      <c r="M877" s="35" t="str">
        <f aca="false">IF($D877="","",N($J877)+$L877)</f>
        <v/>
      </c>
      <c r="N877" s="43" t="str">
        <f aca="false">IF($D877="","",IFERROR(N($J877)/$I877,0))</f>
        <v/>
      </c>
      <c r="O877" s="6"/>
      <c r="P877" s="6"/>
      <c r="Q877" s="46" t="str">
        <f aca="false">IF($A877="","",DATE(YEAR($A877),MONTH($A877),1))</f>
        <v/>
      </c>
      <c r="R877" s="8" t="str">
        <f aca="false">IF(OR($A877="",$D877=""),"",IF(COUNTIFS($D$6:$D$1005,$D877,$A$6:$A$1005,"&gt;"&amp;$A877)=0,1,0))</f>
        <v/>
      </c>
    </row>
    <row r="878" customFormat="false" ht="15" hidden="false" customHeight="false" outlineLevel="0" collapsed="false">
      <c r="A878" s="44"/>
      <c r="B878" s="6"/>
      <c r="C878" s="6"/>
      <c r="D878" s="6"/>
      <c r="E878" s="8" t="str">
        <f aca="false">IF($D878="","",IFERROR(INDEX(INSUMOS!$B$6:$B$205,MATCH($D878,INSUMOS!$A$6:$A$205,0)),"¿Código?"))</f>
        <v/>
      </c>
      <c r="F878" s="8" t="str">
        <f aca="false">IF($D878="","",IFERROR(INDEX(INSUMOS!$E$6:$E$205,MATCH($D878,INSUMOS!$A$6:$A$205,0)),""))</f>
        <v/>
      </c>
      <c r="G878" s="39"/>
      <c r="H878" s="45" t="str">
        <f aca="false">IF($D878="","",IFERROR(INDEX(INSUMOS!$F$6:$F$205,MATCH($D878,INSUMOS!$A$6:$A$205,0)),0))</f>
        <v/>
      </c>
      <c r="I878" s="34" t="str">
        <f aca="false">IF($D878="","",N($G878)*$H878)</f>
        <v/>
      </c>
      <c r="J878" s="40"/>
      <c r="K878" s="36" t="str">
        <f aca="false">IF($D878="","",IFERROR(INDEX(INSUMOS!$H$6:$H$205,MATCH($D878,INSUMOS!$A$6:$A$205,0)),IVA_VENTAS))</f>
        <v/>
      </c>
      <c r="L878" s="35" t="str">
        <f aca="false">IF($D878="","",N($J878)*$K878)</f>
        <v/>
      </c>
      <c r="M878" s="35" t="str">
        <f aca="false">IF($D878="","",N($J878)+$L878)</f>
        <v/>
      </c>
      <c r="N878" s="43" t="str">
        <f aca="false">IF($D878="","",IFERROR(N($J878)/$I878,0))</f>
        <v/>
      </c>
      <c r="O878" s="6"/>
      <c r="P878" s="6"/>
      <c r="Q878" s="46" t="str">
        <f aca="false">IF($A878="","",DATE(YEAR($A878),MONTH($A878),1))</f>
        <v/>
      </c>
      <c r="R878" s="8" t="str">
        <f aca="false">IF(OR($A878="",$D878=""),"",IF(COUNTIFS($D$6:$D$1005,$D878,$A$6:$A$1005,"&gt;"&amp;$A878)=0,1,0))</f>
        <v/>
      </c>
    </row>
    <row r="879" customFormat="false" ht="15" hidden="false" customHeight="false" outlineLevel="0" collapsed="false">
      <c r="A879" s="44"/>
      <c r="B879" s="6"/>
      <c r="C879" s="6"/>
      <c r="D879" s="6"/>
      <c r="E879" s="8" t="str">
        <f aca="false">IF($D879="","",IFERROR(INDEX(INSUMOS!$B$6:$B$205,MATCH($D879,INSUMOS!$A$6:$A$205,0)),"¿Código?"))</f>
        <v/>
      </c>
      <c r="F879" s="8" t="str">
        <f aca="false">IF($D879="","",IFERROR(INDEX(INSUMOS!$E$6:$E$205,MATCH($D879,INSUMOS!$A$6:$A$205,0)),""))</f>
        <v/>
      </c>
      <c r="G879" s="39"/>
      <c r="H879" s="45" t="str">
        <f aca="false">IF($D879="","",IFERROR(INDEX(INSUMOS!$F$6:$F$205,MATCH($D879,INSUMOS!$A$6:$A$205,0)),0))</f>
        <v/>
      </c>
      <c r="I879" s="34" t="str">
        <f aca="false">IF($D879="","",N($G879)*$H879)</f>
        <v/>
      </c>
      <c r="J879" s="40"/>
      <c r="K879" s="36" t="str">
        <f aca="false">IF($D879="","",IFERROR(INDEX(INSUMOS!$H$6:$H$205,MATCH($D879,INSUMOS!$A$6:$A$205,0)),IVA_VENTAS))</f>
        <v/>
      </c>
      <c r="L879" s="35" t="str">
        <f aca="false">IF($D879="","",N($J879)*$K879)</f>
        <v/>
      </c>
      <c r="M879" s="35" t="str">
        <f aca="false">IF($D879="","",N($J879)+$L879)</f>
        <v/>
      </c>
      <c r="N879" s="43" t="str">
        <f aca="false">IF($D879="","",IFERROR(N($J879)/$I879,0))</f>
        <v/>
      </c>
      <c r="O879" s="6"/>
      <c r="P879" s="6"/>
      <c r="Q879" s="46" t="str">
        <f aca="false">IF($A879="","",DATE(YEAR($A879),MONTH($A879),1))</f>
        <v/>
      </c>
      <c r="R879" s="8" t="str">
        <f aca="false">IF(OR($A879="",$D879=""),"",IF(COUNTIFS($D$6:$D$1005,$D879,$A$6:$A$1005,"&gt;"&amp;$A879)=0,1,0))</f>
        <v/>
      </c>
    </row>
    <row r="880" customFormat="false" ht="15" hidden="false" customHeight="false" outlineLevel="0" collapsed="false">
      <c r="A880" s="44"/>
      <c r="B880" s="6"/>
      <c r="C880" s="6"/>
      <c r="D880" s="6"/>
      <c r="E880" s="8" t="str">
        <f aca="false">IF($D880="","",IFERROR(INDEX(INSUMOS!$B$6:$B$205,MATCH($D880,INSUMOS!$A$6:$A$205,0)),"¿Código?"))</f>
        <v/>
      </c>
      <c r="F880" s="8" t="str">
        <f aca="false">IF($D880="","",IFERROR(INDEX(INSUMOS!$E$6:$E$205,MATCH($D880,INSUMOS!$A$6:$A$205,0)),""))</f>
        <v/>
      </c>
      <c r="G880" s="39"/>
      <c r="H880" s="45" t="str">
        <f aca="false">IF($D880="","",IFERROR(INDEX(INSUMOS!$F$6:$F$205,MATCH($D880,INSUMOS!$A$6:$A$205,0)),0))</f>
        <v/>
      </c>
      <c r="I880" s="34" t="str">
        <f aca="false">IF($D880="","",N($G880)*$H880)</f>
        <v/>
      </c>
      <c r="J880" s="40"/>
      <c r="K880" s="36" t="str">
        <f aca="false">IF($D880="","",IFERROR(INDEX(INSUMOS!$H$6:$H$205,MATCH($D880,INSUMOS!$A$6:$A$205,0)),IVA_VENTAS))</f>
        <v/>
      </c>
      <c r="L880" s="35" t="str">
        <f aca="false">IF($D880="","",N($J880)*$K880)</f>
        <v/>
      </c>
      <c r="M880" s="35" t="str">
        <f aca="false">IF($D880="","",N($J880)+$L880)</f>
        <v/>
      </c>
      <c r="N880" s="43" t="str">
        <f aca="false">IF($D880="","",IFERROR(N($J880)/$I880,0))</f>
        <v/>
      </c>
      <c r="O880" s="6"/>
      <c r="P880" s="6"/>
      <c r="Q880" s="46" t="str">
        <f aca="false">IF($A880="","",DATE(YEAR($A880),MONTH($A880),1))</f>
        <v/>
      </c>
      <c r="R880" s="8" t="str">
        <f aca="false">IF(OR($A880="",$D880=""),"",IF(COUNTIFS($D$6:$D$1005,$D880,$A$6:$A$1005,"&gt;"&amp;$A880)=0,1,0))</f>
        <v/>
      </c>
    </row>
    <row r="881" customFormat="false" ht="15" hidden="false" customHeight="false" outlineLevel="0" collapsed="false">
      <c r="A881" s="44"/>
      <c r="B881" s="6"/>
      <c r="C881" s="6"/>
      <c r="D881" s="6"/>
      <c r="E881" s="8" t="str">
        <f aca="false">IF($D881="","",IFERROR(INDEX(INSUMOS!$B$6:$B$205,MATCH($D881,INSUMOS!$A$6:$A$205,0)),"¿Código?"))</f>
        <v/>
      </c>
      <c r="F881" s="8" t="str">
        <f aca="false">IF($D881="","",IFERROR(INDEX(INSUMOS!$E$6:$E$205,MATCH($D881,INSUMOS!$A$6:$A$205,0)),""))</f>
        <v/>
      </c>
      <c r="G881" s="39"/>
      <c r="H881" s="45" t="str">
        <f aca="false">IF($D881="","",IFERROR(INDEX(INSUMOS!$F$6:$F$205,MATCH($D881,INSUMOS!$A$6:$A$205,0)),0))</f>
        <v/>
      </c>
      <c r="I881" s="34" t="str">
        <f aca="false">IF($D881="","",N($G881)*$H881)</f>
        <v/>
      </c>
      <c r="J881" s="40"/>
      <c r="K881" s="36" t="str">
        <f aca="false">IF($D881="","",IFERROR(INDEX(INSUMOS!$H$6:$H$205,MATCH($D881,INSUMOS!$A$6:$A$205,0)),IVA_VENTAS))</f>
        <v/>
      </c>
      <c r="L881" s="35" t="str">
        <f aca="false">IF($D881="","",N($J881)*$K881)</f>
        <v/>
      </c>
      <c r="M881" s="35" t="str">
        <f aca="false">IF($D881="","",N($J881)+$L881)</f>
        <v/>
      </c>
      <c r="N881" s="43" t="str">
        <f aca="false">IF($D881="","",IFERROR(N($J881)/$I881,0))</f>
        <v/>
      </c>
      <c r="O881" s="6"/>
      <c r="P881" s="6"/>
      <c r="Q881" s="46" t="str">
        <f aca="false">IF($A881="","",DATE(YEAR($A881),MONTH($A881),1))</f>
        <v/>
      </c>
      <c r="R881" s="8" t="str">
        <f aca="false">IF(OR($A881="",$D881=""),"",IF(COUNTIFS($D$6:$D$1005,$D881,$A$6:$A$1005,"&gt;"&amp;$A881)=0,1,0))</f>
        <v/>
      </c>
    </row>
    <row r="882" customFormat="false" ht="15" hidden="false" customHeight="false" outlineLevel="0" collapsed="false">
      <c r="A882" s="44"/>
      <c r="B882" s="6"/>
      <c r="C882" s="6"/>
      <c r="D882" s="6"/>
      <c r="E882" s="8" t="str">
        <f aca="false">IF($D882="","",IFERROR(INDEX(INSUMOS!$B$6:$B$205,MATCH($D882,INSUMOS!$A$6:$A$205,0)),"¿Código?"))</f>
        <v/>
      </c>
      <c r="F882" s="8" t="str">
        <f aca="false">IF($D882="","",IFERROR(INDEX(INSUMOS!$E$6:$E$205,MATCH($D882,INSUMOS!$A$6:$A$205,0)),""))</f>
        <v/>
      </c>
      <c r="G882" s="39"/>
      <c r="H882" s="45" t="str">
        <f aca="false">IF($D882="","",IFERROR(INDEX(INSUMOS!$F$6:$F$205,MATCH($D882,INSUMOS!$A$6:$A$205,0)),0))</f>
        <v/>
      </c>
      <c r="I882" s="34" t="str">
        <f aca="false">IF($D882="","",N($G882)*$H882)</f>
        <v/>
      </c>
      <c r="J882" s="40"/>
      <c r="K882" s="36" t="str">
        <f aca="false">IF($D882="","",IFERROR(INDEX(INSUMOS!$H$6:$H$205,MATCH($D882,INSUMOS!$A$6:$A$205,0)),IVA_VENTAS))</f>
        <v/>
      </c>
      <c r="L882" s="35" t="str">
        <f aca="false">IF($D882="","",N($J882)*$K882)</f>
        <v/>
      </c>
      <c r="M882" s="35" t="str">
        <f aca="false">IF($D882="","",N($J882)+$L882)</f>
        <v/>
      </c>
      <c r="N882" s="43" t="str">
        <f aca="false">IF($D882="","",IFERROR(N($J882)/$I882,0))</f>
        <v/>
      </c>
      <c r="O882" s="6"/>
      <c r="P882" s="6"/>
      <c r="Q882" s="46" t="str">
        <f aca="false">IF($A882="","",DATE(YEAR($A882),MONTH($A882),1))</f>
        <v/>
      </c>
      <c r="R882" s="8" t="str">
        <f aca="false">IF(OR($A882="",$D882=""),"",IF(COUNTIFS($D$6:$D$1005,$D882,$A$6:$A$1005,"&gt;"&amp;$A882)=0,1,0))</f>
        <v/>
      </c>
    </row>
    <row r="883" customFormat="false" ht="15" hidden="false" customHeight="false" outlineLevel="0" collapsed="false">
      <c r="A883" s="44"/>
      <c r="B883" s="6"/>
      <c r="C883" s="6"/>
      <c r="D883" s="6"/>
      <c r="E883" s="8" t="str">
        <f aca="false">IF($D883="","",IFERROR(INDEX(INSUMOS!$B$6:$B$205,MATCH($D883,INSUMOS!$A$6:$A$205,0)),"¿Código?"))</f>
        <v/>
      </c>
      <c r="F883" s="8" t="str">
        <f aca="false">IF($D883="","",IFERROR(INDEX(INSUMOS!$E$6:$E$205,MATCH($D883,INSUMOS!$A$6:$A$205,0)),""))</f>
        <v/>
      </c>
      <c r="G883" s="39"/>
      <c r="H883" s="45" t="str">
        <f aca="false">IF($D883="","",IFERROR(INDEX(INSUMOS!$F$6:$F$205,MATCH($D883,INSUMOS!$A$6:$A$205,0)),0))</f>
        <v/>
      </c>
      <c r="I883" s="34" t="str">
        <f aca="false">IF($D883="","",N($G883)*$H883)</f>
        <v/>
      </c>
      <c r="J883" s="40"/>
      <c r="K883" s="36" t="str">
        <f aca="false">IF($D883="","",IFERROR(INDEX(INSUMOS!$H$6:$H$205,MATCH($D883,INSUMOS!$A$6:$A$205,0)),IVA_VENTAS))</f>
        <v/>
      </c>
      <c r="L883" s="35" t="str">
        <f aca="false">IF($D883="","",N($J883)*$K883)</f>
        <v/>
      </c>
      <c r="M883" s="35" t="str">
        <f aca="false">IF($D883="","",N($J883)+$L883)</f>
        <v/>
      </c>
      <c r="N883" s="43" t="str">
        <f aca="false">IF($D883="","",IFERROR(N($J883)/$I883,0))</f>
        <v/>
      </c>
      <c r="O883" s="6"/>
      <c r="P883" s="6"/>
      <c r="Q883" s="46" t="str">
        <f aca="false">IF($A883="","",DATE(YEAR($A883),MONTH($A883),1))</f>
        <v/>
      </c>
      <c r="R883" s="8" t="str">
        <f aca="false">IF(OR($A883="",$D883=""),"",IF(COUNTIFS($D$6:$D$1005,$D883,$A$6:$A$1005,"&gt;"&amp;$A883)=0,1,0))</f>
        <v/>
      </c>
    </row>
    <row r="884" customFormat="false" ht="15" hidden="false" customHeight="false" outlineLevel="0" collapsed="false">
      <c r="A884" s="44"/>
      <c r="B884" s="6"/>
      <c r="C884" s="6"/>
      <c r="D884" s="6"/>
      <c r="E884" s="8" t="str">
        <f aca="false">IF($D884="","",IFERROR(INDEX(INSUMOS!$B$6:$B$205,MATCH($D884,INSUMOS!$A$6:$A$205,0)),"¿Código?"))</f>
        <v/>
      </c>
      <c r="F884" s="8" t="str">
        <f aca="false">IF($D884="","",IFERROR(INDEX(INSUMOS!$E$6:$E$205,MATCH($D884,INSUMOS!$A$6:$A$205,0)),""))</f>
        <v/>
      </c>
      <c r="G884" s="39"/>
      <c r="H884" s="45" t="str">
        <f aca="false">IF($D884="","",IFERROR(INDEX(INSUMOS!$F$6:$F$205,MATCH($D884,INSUMOS!$A$6:$A$205,0)),0))</f>
        <v/>
      </c>
      <c r="I884" s="34" t="str">
        <f aca="false">IF($D884="","",N($G884)*$H884)</f>
        <v/>
      </c>
      <c r="J884" s="40"/>
      <c r="K884" s="36" t="str">
        <f aca="false">IF($D884="","",IFERROR(INDEX(INSUMOS!$H$6:$H$205,MATCH($D884,INSUMOS!$A$6:$A$205,0)),IVA_VENTAS))</f>
        <v/>
      </c>
      <c r="L884" s="35" t="str">
        <f aca="false">IF($D884="","",N($J884)*$K884)</f>
        <v/>
      </c>
      <c r="M884" s="35" t="str">
        <f aca="false">IF($D884="","",N($J884)+$L884)</f>
        <v/>
      </c>
      <c r="N884" s="43" t="str">
        <f aca="false">IF($D884="","",IFERROR(N($J884)/$I884,0))</f>
        <v/>
      </c>
      <c r="O884" s="6"/>
      <c r="P884" s="6"/>
      <c r="Q884" s="46" t="str">
        <f aca="false">IF($A884="","",DATE(YEAR($A884),MONTH($A884),1))</f>
        <v/>
      </c>
      <c r="R884" s="8" t="str">
        <f aca="false">IF(OR($A884="",$D884=""),"",IF(COUNTIFS($D$6:$D$1005,$D884,$A$6:$A$1005,"&gt;"&amp;$A884)=0,1,0))</f>
        <v/>
      </c>
    </row>
    <row r="885" customFormat="false" ht="15" hidden="false" customHeight="false" outlineLevel="0" collapsed="false">
      <c r="A885" s="44"/>
      <c r="B885" s="6"/>
      <c r="C885" s="6"/>
      <c r="D885" s="6"/>
      <c r="E885" s="8" t="str">
        <f aca="false">IF($D885="","",IFERROR(INDEX(INSUMOS!$B$6:$B$205,MATCH($D885,INSUMOS!$A$6:$A$205,0)),"¿Código?"))</f>
        <v/>
      </c>
      <c r="F885" s="8" t="str">
        <f aca="false">IF($D885="","",IFERROR(INDEX(INSUMOS!$E$6:$E$205,MATCH($D885,INSUMOS!$A$6:$A$205,0)),""))</f>
        <v/>
      </c>
      <c r="G885" s="39"/>
      <c r="H885" s="45" t="str">
        <f aca="false">IF($D885="","",IFERROR(INDEX(INSUMOS!$F$6:$F$205,MATCH($D885,INSUMOS!$A$6:$A$205,0)),0))</f>
        <v/>
      </c>
      <c r="I885" s="34" t="str">
        <f aca="false">IF($D885="","",N($G885)*$H885)</f>
        <v/>
      </c>
      <c r="J885" s="40"/>
      <c r="K885" s="36" t="str">
        <f aca="false">IF($D885="","",IFERROR(INDEX(INSUMOS!$H$6:$H$205,MATCH($D885,INSUMOS!$A$6:$A$205,0)),IVA_VENTAS))</f>
        <v/>
      </c>
      <c r="L885" s="35" t="str">
        <f aca="false">IF($D885="","",N($J885)*$K885)</f>
        <v/>
      </c>
      <c r="M885" s="35" t="str">
        <f aca="false">IF($D885="","",N($J885)+$L885)</f>
        <v/>
      </c>
      <c r="N885" s="43" t="str">
        <f aca="false">IF($D885="","",IFERROR(N($J885)/$I885,0))</f>
        <v/>
      </c>
      <c r="O885" s="6"/>
      <c r="P885" s="6"/>
      <c r="Q885" s="46" t="str">
        <f aca="false">IF($A885="","",DATE(YEAR($A885),MONTH($A885),1))</f>
        <v/>
      </c>
      <c r="R885" s="8" t="str">
        <f aca="false">IF(OR($A885="",$D885=""),"",IF(COUNTIFS($D$6:$D$1005,$D885,$A$6:$A$1005,"&gt;"&amp;$A885)=0,1,0))</f>
        <v/>
      </c>
    </row>
    <row r="886" customFormat="false" ht="15" hidden="false" customHeight="false" outlineLevel="0" collapsed="false">
      <c r="A886" s="44"/>
      <c r="B886" s="6"/>
      <c r="C886" s="6"/>
      <c r="D886" s="6"/>
      <c r="E886" s="8" t="str">
        <f aca="false">IF($D886="","",IFERROR(INDEX(INSUMOS!$B$6:$B$205,MATCH($D886,INSUMOS!$A$6:$A$205,0)),"¿Código?"))</f>
        <v/>
      </c>
      <c r="F886" s="8" t="str">
        <f aca="false">IF($D886="","",IFERROR(INDEX(INSUMOS!$E$6:$E$205,MATCH($D886,INSUMOS!$A$6:$A$205,0)),""))</f>
        <v/>
      </c>
      <c r="G886" s="39"/>
      <c r="H886" s="45" t="str">
        <f aca="false">IF($D886="","",IFERROR(INDEX(INSUMOS!$F$6:$F$205,MATCH($D886,INSUMOS!$A$6:$A$205,0)),0))</f>
        <v/>
      </c>
      <c r="I886" s="34" t="str">
        <f aca="false">IF($D886="","",N($G886)*$H886)</f>
        <v/>
      </c>
      <c r="J886" s="40"/>
      <c r="K886" s="36" t="str">
        <f aca="false">IF($D886="","",IFERROR(INDEX(INSUMOS!$H$6:$H$205,MATCH($D886,INSUMOS!$A$6:$A$205,0)),IVA_VENTAS))</f>
        <v/>
      </c>
      <c r="L886" s="35" t="str">
        <f aca="false">IF($D886="","",N($J886)*$K886)</f>
        <v/>
      </c>
      <c r="M886" s="35" t="str">
        <f aca="false">IF($D886="","",N($J886)+$L886)</f>
        <v/>
      </c>
      <c r="N886" s="43" t="str">
        <f aca="false">IF($D886="","",IFERROR(N($J886)/$I886,0))</f>
        <v/>
      </c>
      <c r="O886" s="6"/>
      <c r="P886" s="6"/>
      <c r="Q886" s="46" t="str">
        <f aca="false">IF($A886="","",DATE(YEAR($A886),MONTH($A886),1))</f>
        <v/>
      </c>
      <c r="R886" s="8" t="str">
        <f aca="false">IF(OR($A886="",$D886=""),"",IF(COUNTIFS($D$6:$D$1005,$D886,$A$6:$A$1005,"&gt;"&amp;$A886)=0,1,0))</f>
        <v/>
      </c>
    </row>
    <row r="887" customFormat="false" ht="15" hidden="false" customHeight="false" outlineLevel="0" collapsed="false">
      <c r="A887" s="44"/>
      <c r="B887" s="6"/>
      <c r="C887" s="6"/>
      <c r="D887" s="6"/>
      <c r="E887" s="8" t="str">
        <f aca="false">IF($D887="","",IFERROR(INDEX(INSUMOS!$B$6:$B$205,MATCH($D887,INSUMOS!$A$6:$A$205,0)),"¿Código?"))</f>
        <v/>
      </c>
      <c r="F887" s="8" t="str">
        <f aca="false">IF($D887="","",IFERROR(INDEX(INSUMOS!$E$6:$E$205,MATCH($D887,INSUMOS!$A$6:$A$205,0)),""))</f>
        <v/>
      </c>
      <c r="G887" s="39"/>
      <c r="H887" s="45" t="str">
        <f aca="false">IF($D887="","",IFERROR(INDEX(INSUMOS!$F$6:$F$205,MATCH($D887,INSUMOS!$A$6:$A$205,0)),0))</f>
        <v/>
      </c>
      <c r="I887" s="34" t="str">
        <f aca="false">IF($D887="","",N($G887)*$H887)</f>
        <v/>
      </c>
      <c r="J887" s="40"/>
      <c r="K887" s="36" t="str">
        <f aca="false">IF($D887="","",IFERROR(INDEX(INSUMOS!$H$6:$H$205,MATCH($D887,INSUMOS!$A$6:$A$205,0)),IVA_VENTAS))</f>
        <v/>
      </c>
      <c r="L887" s="35" t="str">
        <f aca="false">IF($D887="","",N($J887)*$K887)</f>
        <v/>
      </c>
      <c r="M887" s="35" t="str">
        <f aca="false">IF($D887="","",N($J887)+$L887)</f>
        <v/>
      </c>
      <c r="N887" s="43" t="str">
        <f aca="false">IF($D887="","",IFERROR(N($J887)/$I887,0))</f>
        <v/>
      </c>
      <c r="O887" s="6"/>
      <c r="P887" s="6"/>
      <c r="Q887" s="46" t="str">
        <f aca="false">IF($A887="","",DATE(YEAR($A887),MONTH($A887),1))</f>
        <v/>
      </c>
      <c r="R887" s="8" t="str">
        <f aca="false">IF(OR($A887="",$D887=""),"",IF(COUNTIFS($D$6:$D$1005,$D887,$A$6:$A$1005,"&gt;"&amp;$A887)=0,1,0))</f>
        <v/>
      </c>
    </row>
    <row r="888" customFormat="false" ht="15" hidden="false" customHeight="false" outlineLevel="0" collapsed="false">
      <c r="A888" s="44"/>
      <c r="B888" s="6"/>
      <c r="C888" s="6"/>
      <c r="D888" s="6"/>
      <c r="E888" s="8" t="str">
        <f aca="false">IF($D888="","",IFERROR(INDEX(INSUMOS!$B$6:$B$205,MATCH($D888,INSUMOS!$A$6:$A$205,0)),"¿Código?"))</f>
        <v/>
      </c>
      <c r="F888" s="8" t="str">
        <f aca="false">IF($D888="","",IFERROR(INDEX(INSUMOS!$E$6:$E$205,MATCH($D888,INSUMOS!$A$6:$A$205,0)),""))</f>
        <v/>
      </c>
      <c r="G888" s="39"/>
      <c r="H888" s="45" t="str">
        <f aca="false">IF($D888="","",IFERROR(INDEX(INSUMOS!$F$6:$F$205,MATCH($D888,INSUMOS!$A$6:$A$205,0)),0))</f>
        <v/>
      </c>
      <c r="I888" s="34" t="str">
        <f aca="false">IF($D888="","",N($G888)*$H888)</f>
        <v/>
      </c>
      <c r="J888" s="40"/>
      <c r="K888" s="36" t="str">
        <f aca="false">IF($D888="","",IFERROR(INDEX(INSUMOS!$H$6:$H$205,MATCH($D888,INSUMOS!$A$6:$A$205,0)),IVA_VENTAS))</f>
        <v/>
      </c>
      <c r="L888" s="35" t="str">
        <f aca="false">IF($D888="","",N($J888)*$K888)</f>
        <v/>
      </c>
      <c r="M888" s="35" t="str">
        <f aca="false">IF($D888="","",N($J888)+$L888)</f>
        <v/>
      </c>
      <c r="N888" s="43" t="str">
        <f aca="false">IF($D888="","",IFERROR(N($J888)/$I888,0))</f>
        <v/>
      </c>
      <c r="O888" s="6"/>
      <c r="P888" s="6"/>
      <c r="Q888" s="46" t="str">
        <f aca="false">IF($A888="","",DATE(YEAR($A888),MONTH($A888),1))</f>
        <v/>
      </c>
      <c r="R888" s="8" t="str">
        <f aca="false">IF(OR($A888="",$D888=""),"",IF(COUNTIFS($D$6:$D$1005,$D888,$A$6:$A$1005,"&gt;"&amp;$A888)=0,1,0))</f>
        <v/>
      </c>
    </row>
    <row r="889" customFormat="false" ht="15" hidden="false" customHeight="false" outlineLevel="0" collapsed="false">
      <c r="A889" s="44"/>
      <c r="B889" s="6"/>
      <c r="C889" s="6"/>
      <c r="D889" s="6"/>
      <c r="E889" s="8" t="str">
        <f aca="false">IF($D889="","",IFERROR(INDEX(INSUMOS!$B$6:$B$205,MATCH($D889,INSUMOS!$A$6:$A$205,0)),"¿Código?"))</f>
        <v/>
      </c>
      <c r="F889" s="8" t="str">
        <f aca="false">IF($D889="","",IFERROR(INDEX(INSUMOS!$E$6:$E$205,MATCH($D889,INSUMOS!$A$6:$A$205,0)),""))</f>
        <v/>
      </c>
      <c r="G889" s="39"/>
      <c r="H889" s="45" t="str">
        <f aca="false">IF($D889="","",IFERROR(INDEX(INSUMOS!$F$6:$F$205,MATCH($D889,INSUMOS!$A$6:$A$205,0)),0))</f>
        <v/>
      </c>
      <c r="I889" s="34" t="str">
        <f aca="false">IF($D889="","",N($G889)*$H889)</f>
        <v/>
      </c>
      <c r="J889" s="40"/>
      <c r="K889" s="36" t="str">
        <f aca="false">IF($D889="","",IFERROR(INDEX(INSUMOS!$H$6:$H$205,MATCH($D889,INSUMOS!$A$6:$A$205,0)),IVA_VENTAS))</f>
        <v/>
      </c>
      <c r="L889" s="35" t="str">
        <f aca="false">IF($D889="","",N($J889)*$K889)</f>
        <v/>
      </c>
      <c r="M889" s="35" t="str">
        <f aca="false">IF($D889="","",N($J889)+$L889)</f>
        <v/>
      </c>
      <c r="N889" s="43" t="str">
        <f aca="false">IF($D889="","",IFERROR(N($J889)/$I889,0))</f>
        <v/>
      </c>
      <c r="O889" s="6"/>
      <c r="P889" s="6"/>
      <c r="Q889" s="46" t="str">
        <f aca="false">IF($A889="","",DATE(YEAR($A889),MONTH($A889),1))</f>
        <v/>
      </c>
      <c r="R889" s="8" t="str">
        <f aca="false">IF(OR($A889="",$D889=""),"",IF(COUNTIFS($D$6:$D$1005,$D889,$A$6:$A$1005,"&gt;"&amp;$A889)=0,1,0))</f>
        <v/>
      </c>
    </row>
    <row r="890" customFormat="false" ht="15" hidden="false" customHeight="false" outlineLevel="0" collapsed="false">
      <c r="A890" s="44"/>
      <c r="B890" s="6"/>
      <c r="C890" s="6"/>
      <c r="D890" s="6"/>
      <c r="E890" s="8" t="str">
        <f aca="false">IF($D890="","",IFERROR(INDEX(INSUMOS!$B$6:$B$205,MATCH($D890,INSUMOS!$A$6:$A$205,0)),"¿Código?"))</f>
        <v/>
      </c>
      <c r="F890" s="8" t="str">
        <f aca="false">IF($D890="","",IFERROR(INDEX(INSUMOS!$E$6:$E$205,MATCH($D890,INSUMOS!$A$6:$A$205,0)),""))</f>
        <v/>
      </c>
      <c r="G890" s="39"/>
      <c r="H890" s="45" t="str">
        <f aca="false">IF($D890="","",IFERROR(INDEX(INSUMOS!$F$6:$F$205,MATCH($D890,INSUMOS!$A$6:$A$205,0)),0))</f>
        <v/>
      </c>
      <c r="I890" s="34" t="str">
        <f aca="false">IF($D890="","",N($G890)*$H890)</f>
        <v/>
      </c>
      <c r="J890" s="40"/>
      <c r="K890" s="36" t="str">
        <f aca="false">IF($D890="","",IFERROR(INDEX(INSUMOS!$H$6:$H$205,MATCH($D890,INSUMOS!$A$6:$A$205,0)),IVA_VENTAS))</f>
        <v/>
      </c>
      <c r="L890" s="35" t="str">
        <f aca="false">IF($D890="","",N($J890)*$K890)</f>
        <v/>
      </c>
      <c r="M890" s="35" t="str">
        <f aca="false">IF($D890="","",N($J890)+$L890)</f>
        <v/>
      </c>
      <c r="N890" s="43" t="str">
        <f aca="false">IF($D890="","",IFERROR(N($J890)/$I890,0))</f>
        <v/>
      </c>
      <c r="O890" s="6"/>
      <c r="P890" s="6"/>
      <c r="Q890" s="46" t="str">
        <f aca="false">IF($A890="","",DATE(YEAR($A890),MONTH($A890),1))</f>
        <v/>
      </c>
      <c r="R890" s="8" t="str">
        <f aca="false">IF(OR($A890="",$D890=""),"",IF(COUNTIFS($D$6:$D$1005,$D890,$A$6:$A$1005,"&gt;"&amp;$A890)=0,1,0))</f>
        <v/>
      </c>
    </row>
    <row r="891" customFormat="false" ht="15" hidden="false" customHeight="false" outlineLevel="0" collapsed="false">
      <c r="A891" s="44"/>
      <c r="B891" s="6"/>
      <c r="C891" s="6"/>
      <c r="D891" s="6"/>
      <c r="E891" s="8" t="str">
        <f aca="false">IF($D891="","",IFERROR(INDEX(INSUMOS!$B$6:$B$205,MATCH($D891,INSUMOS!$A$6:$A$205,0)),"¿Código?"))</f>
        <v/>
      </c>
      <c r="F891" s="8" t="str">
        <f aca="false">IF($D891="","",IFERROR(INDEX(INSUMOS!$E$6:$E$205,MATCH($D891,INSUMOS!$A$6:$A$205,0)),""))</f>
        <v/>
      </c>
      <c r="G891" s="39"/>
      <c r="H891" s="45" t="str">
        <f aca="false">IF($D891="","",IFERROR(INDEX(INSUMOS!$F$6:$F$205,MATCH($D891,INSUMOS!$A$6:$A$205,0)),0))</f>
        <v/>
      </c>
      <c r="I891" s="34" t="str">
        <f aca="false">IF($D891="","",N($G891)*$H891)</f>
        <v/>
      </c>
      <c r="J891" s="40"/>
      <c r="K891" s="36" t="str">
        <f aca="false">IF($D891="","",IFERROR(INDEX(INSUMOS!$H$6:$H$205,MATCH($D891,INSUMOS!$A$6:$A$205,0)),IVA_VENTAS))</f>
        <v/>
      </c>
      <c r="L891" s="35" t="str">
        <f aca="false">IF($D891="","",N($J891)*$K891)</f>
        <v/>
      </c>
      <c r="M891" s="35" t="str">
        <f aca="false">IF($D891="","",N($J891)+$L891)</f>
        <v/>
      </c>
      <c r="N891" s="43" t="str">
        <f aca="false">IF($D891="","",IFERROR(N($J891)/$I891,0))</f>
        <v/>
      </c>
      <c r="O891" s="6"/>
      <c r="P891" s="6"/>
      <c r="Q891" s="46" t="str">
        <f aca="false">IF($A891="","",DATE(YEAR($A891),MONTH($A891),1))</f>
        <v/>
      </c>
      <c r="R891" s="8" t="str">
        <f aca="false">IF(OR($A891="",$D891=""),"",IF(COUNTIFS($D$6:$D$1005,$D891,$A$6:$A$1005,"&gt;"&amp;$A891)=0,1,0))</f>
        <v/>
      </c>
    </row>
    <row r="892" customFormat="false" ht="15" hidden="false" customHeight="false" outlineLevel="0" collapsed="false">
      <c r="A892" s="44"/>
      <c r="B892" s="6"/>
      <c r="C892" s="6"/>
      <c r="D892" s="6"/>
      <c r="E892" s="8" t="str">
        <f aca="false">IF($D892="","",IFERROR(INDEX(INSUMOS!$B$6:$B$205,MATCH($D892,INSUMOS!$A$6:$A$205,0)),"¿Código?"))</f>
        <v/>
      </c>
      <c r="F892" s="8" t="str">
        <f aca="false">IF($D892="","",IFERROR(INDEX(INSUMOS!$E$6:$E$205,MATCH($D892,INSUMOS!$A$6:$A$205,0)),""))</f>
        <v/>
      </c>
      <c r="G892" s="39"/>
      <c r="H892" s="45" t="str">
        <f aca="false">IF($D892="","",IFERROR(INDEX(INSUMOS!$F$6:$F$205,MATCH($D892,INSUMOS!$A$6:$A$205,0)),0))</f>
        <v/>
      </c>
      <c r="I892" s="34" t="str">
        <f aca="false">IF($D892="","",N($G892)*$H892)</f>
        <v/>
      </c>
      <c r="J892" s="40"/>
      <c r="K892" s="36" t="str">
        <f aca="false">IF($D892="","",IFERROR(INDEX(INSUMOS!$H$6:$H$205,MATCH($D892,INSUMOS!$A$6:$A$205,0)),IVA_VENTAS))</f>
        <v/>
      </c>
      <c r="L892" s="35" t="str">
        <f aca="false">IF($D892="","",N($J892)*$K892)</f>
        <v/>
      </c>
      <c r="M892" s="35" t="str">
        <f aca="false">IF($D892="","",N($J892)+$L892)</f>
        <v/>
      </c>
      <c r="N892" s="43" t="str">
        <f aca="false">IF($D892="","",IFERROR(N($J892)/$I892,0))</f>
        <v/>
      </c>
      <c r="O892" s="6"/>
      <c r="P892" s="6"/>
      <c r="Q892" s="46" t="str">
        <f aca="false">IF($A892="","",DATE(YEAR($A892),MONTH($A892),1))</f>
        <v/>
      </c>
      <c r="R892" s="8" t="str">
        <f aca="false">IF(OR($A892="",$D892=""),"",IF(COUNTIFS($D$6:$D$1005,$D892,$A$6:$A$1005,"&gt;"&amp;$A892)=0,1,0))</f>
        <v/>
      </c>
    </row>
    <row r="893" customFormat="false" ht="15" hidden="false" customHeight="false" outlineLevel="0" collapsed="false">
      <c r="A893" s="44"/>
      <c r="B893" s="6"/>
      <c r="C893" s="6"/>
      <c r="D893" s="6"/>
      <c r="E893" s="8" t="str">
        <f aca="false">IF($D893="","",IFERROR(INDEX(INSUMOS!$B$6:$B$205,MATCH($D893,INSUMOS!$A$6:$A$205,0)),"¿Código?"))</f>
        <v/>
      </c>
      <c r="F893" s="8" t="str">
        <f aca="false">IF($D893="","",IFERROR(INDEX(INSUMOS!$E$6:$E$205,MATCH($D893,INSUMOS!$A$6:$A$205,0)),""))</f>
        <v/>
      </c>
      <c r="G893" s="39"/>
      <c r="H893" s="45" t="str">
        <f aca="false">IF($D893="","",IFERROR(INDEX(INSUMOS!$F$6:$F$205,MATCH($D893,INSUMOS!$A$6:$A$205,0)),0))</f>
        <v/>
      </c>
      <c r="I893" s="34" t="str">
        <f aca="false">IF($D893="","",N($G893)*$H893)</f>
        <v/>
      </c>
      <c r="J893" s="40"/>
      <c r="K893" s="36" t="str">
        <f aca="false">IF($D893="","",IFERROR(INDEX(INSUMOS!$H$6:$H$205,MATCH($D893,INSUMOS!$A$6:$A$205,0)),IVA_VENTAS))</f>
        <v/>
      </c>
      <c r="L893" s="35" t="str">
        <f aca="false">IF($D893="","",N($J893)*$K893)</f>
        <v/>
      </c>
      <c r="M893" s="35" t="str">
        <f aca="false">IF($D893="","",N($J893)+$L893)</f>
        <v/>
      </c>
      <c r="N893" s="43" t="str">
        <f aca="false">IF($D893="","",IFERROR(N($J893)/$I893,0))</f>
        <v/>
      </c>
      <c r="O893" s="6"/>
      <c r="P893" s="6"/>
      <c r="Q893" s="46" t="str">
        <f aca="false">IF($A893="","",DATE(YEAR($A893),MONTH($A893),1))</f>
        <v/>
      </c>
      <c r="R893" s="8" t="str">
        <f aca="false">IF(OR($A893="",$D893=""),"",IF(COUNTIFS($D$6:$D$1005,$D893,$A$6:$A$1005,"&gt;"&amp;$A893)=0,1,0))</f>
        <v/>
      </c>
    </row>
    <row r="894" customFormat="false" ht="15" hidden="false" customHeight="false" outlineLevel="0" collapsed="false">
      <c r="A894" s="44"/>
      <c r="B894" s="6"/>
      <c r="C894" s="6"/>
      <c r="D894" s="6"/>
      <c r="E894" s="8" t="str">
        <f aca="false">IF($D894="","",IFERROR(INDEX(INSUMOS!$B$6:$B$205,MATCH($D894,INSUMOS!$A$6:$A$205,0)),"¿Código?"))</f>
        <v/>
      </c>
      <c r="F894" s="8" t="str">
        <f aca="false">IF($D894="","",IFERROR(INDEX(INSUMOS!$E$6:$E$205,MATCH($D894,INSUMOS!$A$6:$A$205,0)),""))</f>
        <v/>
      </c>
      <c r="G894" s="39"/>
      <c r="H894" s="45" t="str">
        <f aca="false">IF($D894="","",IFERROR(INDEX(INSUMOS!$F$6:$F$205,MATCH($D894,INSUMOS!$A$6:$A$205,0)),0))</f>
        <v/>
      </c>
      <c r="I894" s="34" t="str">
        <f aca="false">IF($D894="","",N($G894)*$H894)</f>
        <v/>
      </c>
      <c r="J894" s="40"/>
      <c r="K894" s="36" t="str">
        <f aca="false">IF($D894="","",IFERROR(INDEX(INSUMOS!$H$6:$H$205,MATCH($D894,INSUMOS!$A$6:$A$205,0)),IVA_VENTAS))</f>
        <v/>
      </c>
      <c r="L894" s="35" t="str">
        <f aca="false">IF($D894="","",N($J894)*$K894)</f>
        <v/>
      </c>
      <c r="M894" s="35" t="str">
        <f aca="false">IF($D894="","",N($J894)+$L894)</f>
        <v/>
      </c>
      <c r="N894" s="43" t="str">
        <f aca="false">IF($D894="","",IFERROR(N($J894)/$I894,0))</f>
        <v/>
      </c>
      <c r="O894" s="6"/>
      <c r="P894" s="6"/>
      <c r="Q894" s="46" t="str">
        <f aca="false">IF($A894="","",DATE(YEAR($A894),MONTH($A894),1))</f>
        <v/>
      </c>
      <c r="R894" s="8" t="str">
        <f aca="false">IF(OR($A894="",$D894=""),"",IF(COUNTIFS($D$6:$D$1005,$D894,$A$6:$A$1005,"&gt;"&amp;$A894)=0,1,0))</f>
        <v/>
      </c>
    </row>
    <row r="895" customFormat="false" ht="15" hidden="false" customHeight="false" outlineLevel="0" collapsed="false">
      <c r="A895" s="44"/>
      <c r="B895" s="6"/>
      <c r="C895" s="6"/>
      <c r="D895" s="6"/>
      <c r="E895" s="8" t="str">
        <f aca="false">IF($D895="","",IFERROR(INDEX(INSUMOS!$B$6:$B$205,MATCH($D895,INSUMOS!$A$6:$A$205,0)),"¿Código?"))</f>
        <v/>
      </c>
      <c r="F895" s="8" t="str">
        <f aca="false">IF($D895="","",IFERROR(INDEX(INSUMOS!$E$6:$E$205,MATCH($D895,INSUMOS!$A$6:$A$205,0)),""))</f>
        <v/>
      </c>
      <c r="G895" s="39"/>
      <c r="H895" s="45" t="str">
        <f aca="false">IF($D895="","",IFERROR(INDEX(INSUMOS!$F$6:$F$205,MATCH($D895,INSUMOS!$A$6:$A$205,0)),0))</f>
        <v/>
      </c>
      <c r="I895" s="34" t="str">
        <f aca="false">IF($D895="","",N($G895)*$H895)</f>
        <v/>
      </c>
      <c r="J895" s="40"/>
      <c r="K895" s="36" t="str">
        <f aca="false">IF($D895="","",IFERROR(INDEX(INSUMOS!$H$6:$H$205,MATCH($D895,INSUMOS!$A$6:$A$205,0)),IVA_VENTAS))</f>
        <v/>
      </c>
      <c r="L895" s="35" t="str">
        <f aca="false">IF($D895="","",N($J895)*$K895)</f>
        <v/>
      </c>
      <c r="M895" s="35" t="str">
        <f aca="false">IF($D895="","",N($J895)+$L895)</f>
        <v/>
      </c>
      <c r="N895" s="43" t="str">
        <f aca="false">IF($D895="","",IFERROR(N($J895)/$I895,0))</f>
        <v/>
      </c>
      <c r="O895" s="6"/>
      <c r="P895" s="6"/>
      <c r="Q895" s="46" t="str">
        <f aca="false">IF($A895="","",DATE(YEAR($A895),MONTH($A895),1))</f>
        <v/>
      </c>
      <c r="R895" s="8" t="str">
        <f aca="false">IF(OR($A895="",$D895=""),"",IF(COUNTIFS($D$6:$D$1005,$D895,$A$6:$A$1005,"&gt;"&amp;$A895)=0,1,0))</f>
        <v/>
      </c>
    </row>
    <row r="896" customFormat="false" ht="15" hidden="false" customHeight="false" outlineLevel="0" collapsed="false">
      <c r="A896" s="44"/>
      <c r="B896" s="6"/>
      <c r="C896" s="6"/>
      <c r="D896" s="6"/>
      <c r="E896" s="8" t="str">
        <f aca="false">IF($D896="","",IFERROR(INDEX(INSUMOS!$B$6:$B$205,MATCH($D896,INSUMOS!$A$6:$A$205,0)),"¿Código?"))</f>
        <v/>
      </c>
      <c r="F896" s="8" t="str">
        <f aca="false">IF($D896="","",IFERROR(INDEX(INSUMOS!$E$6:$E$205,MATCH($D896,INSUMOS!$A$6:$A$205,0)),""))</f>
        <v/>
      </c>
      <c r="G896" s="39"/>
      <c r="H896" s="45" t="str">
        <f aca="false">IF($D896="","",IFERROR(INDEX(INSUMOS!$F$6:$F$205,MATCH($D896,INSUMOS!$A$6:$A$205,0)),0))</f>
        <v/>
      </c>
      <c r="I896" s="34" t="str">
        <f aca="false">IF($D896="","",N($G896)*$H896)</f>
        <v/>
      </c>
      <c r="J896" s="40"/>
      <c r="K896" s="36" t="str">
        <f aca="false">IF($D896="","",IFERROR(INDEX(INSUMOS!$H$6:$H$205,MATCH($D896,INSUMOS!$A$6:$A$205,0)),IVA_VENTAS))</f>
        <v/>
      </c>
      <c r="L896" s="35" t="str">
        <f aca="false">IF($D896="","",N($J896)*$K896)</f>
        <v/>
      </c>
      <c r="M896" s="35" t="str">
        <f aca="false">IF($D896="","",N($J896)+$L896)</f>
        <v/>
      </c>
      <c r="N896" s="43" t="str">
        <f aca="false">IF($D896="","",IFERROR(N($J896)/$I896,0))</f>
        <v/>
      </c>
      <c r="O896" s="6"/>
      <c r="P896" s="6"/>
      <c r="Q896" s="46" t="str">
        <f aca="false">IF($A896="","",DATE(YEAR($A896),MONTH($A896),1))</f>
        <v/>
      </c>
      <c r="R896" s="8" t="str">
        <f aca="false">IF(OR($A896="",$D896=""),"",IF(COUNTIFS($D$6:$D$1005,$D896,$A$6:$A$1005,"&gt;"&amp;$A896)=0,1,0))</f>
        <v/>
      </c>
    </row>
    <row r="897" customFormat="false" ht="15" hidden="false" customHeight="false" outlineLevel="0" collapsed="false">
      <c r="A897" s="44"/>
      <c r="B897" s="6"/>
      <c r="C897" s="6"/>
      <c r="D897" s="6"/>
      <c r="E897" s="8" t="str">
        <f aca="false">IF($D897="","",IFERROR(INDEX(INSUMOS!$B$6:$B$205,MATCH($D897,INSUMOS!$A$6:$A$205,0)),"¿Código?"))</f>
        <v/>
      </c>
      <c r="F897" s="8" t="str">
        <f aca="false">IF($D897="","",IFERROR(INDEX(INSUMOS!$E$6:$E$205,MATCH($D897,INSUMOS!$A$6:$A$205,0)),""))</f>
        <v/>
      </c>
      <c r="G897" s="39"/>
      <c r="H897" s="45" t="str">
        <f aca="false">IF($D897="","",IFERROR(INDEX(INSUMOS!$F$6:$F$205,MATCH($D897,INSUMOS!$A$6:$A$205,0)),0))</f>
        <v/>
      </c>
      <c r="I897" s="34" t="str">
        <f aca="false">IF($D897="","",N($G897)*$H897)</f>
        <v/>
      </c>
      <c r="J897" s="40"/>
      <c r="K897" s="36" t="str">
        <f aca="false">IF($D897="","",IFERROR(INDEX(INSUMOS!$H$6:$H$205,MATCH($D897,INSUMOS!$A$6:$A$205,0)),IVA_VENTAS))</f>
        <v/>
      </c>
      <c r="L897" s="35" t="str">
        <f aca="false">IF($D897="","",N($J897)*$K897)</f>
        <v/>
      </c>
      <c r="M897" s="35" t="str">
        <f aca="false">IF($D897="","",N($J897)+$L897)</f>
        <v/>
      </c>
      <c r="N897" s="43" t="str">
        <f aca="false">IF($D897="","",IFERROR(N($J897)/$I897,0))</f>
        <v/>
      </c>
      <c r="O897" s="6"/>
      <c r="P897" s="6"/>
      <c r="Q897" s="46" t="str">
        <f aca="false">IF($A897="","",DATE(YEAR($A897),MONTH($A897),1))</f>
        <v/>
      </c>
      <c r="R897" s="8" t="str">
        <f aca="false">IF(OR($A897="",$D897=""),"",IF(COUNTIFS($D$6:$D$1005,$D897,$A$6:$A$1005,"&gt;"&amp;$A897)=0,1,0))</f>
        <v/>
      </c>
    </row>
    <row r="898" customFormat="false" ht="15" hidden="false" customHeight="false" outlineLevel="0" collapsed="false">
      <c r="A898" s="44"/>
      <c r="B898" s="6"/>
      <c r="C898" s="6"/>
      <c r="D898" s="6"/>
      <c r="E898" s="8" t="str">
        <f aca="false">IF($D898="","",IFERROR(INDEX(INSUMOS!$B$6:$B$205,MATCH($D898,INSUMOS!$A$6:$A$205,0)),"¿Código?"))</f>
        <v/>
      </c>
      <c r="F898" s="8" t="str">
        <f aca="false">IF($D898="","",IFERROR(INDEX(INSUMOS!$E$6:$E$205,MATCH($D898,INSUMOS!$A$6:$A$205,0)),""))</f>
        <v/>
      </c>
      <c r="G898" s="39"/>
      <c r="H898" s="45" t="str">
        <f aca="false">IF($D898="","",IFERROR(INDEX(INSUMOS!$F$6:$F$205,MATCH($D898,INSUMOS!$A$6:$A$205,0)),0))</f>
        <v/>
      </c>
      <c r="I898" s="34" t="str">
        <f aca="false">IF($D898="","",N($G898)*$H898)</f>
        <v/>
      </c>
      <c r="J898" s="40"/>
      <c r="K898" s="36" t="str">
        <f aca="false">IF($D898="","",IFERROR(INDEX(INSUMOS!$H$6:$H$205,MATCH($D898,INSUMOS!$A$6:$A$205,0)),IVA_VENTAS))</f>
        <v/>
      </c>
      <c r="L898" s="35" t="str">
        <f aca="false">IF($D898="","",N($J898)*$K898)</f>
        <v/>
      </c>
      <c r="M898" s="35" t="str">
        <f aca="false">IF($D898="","",N($J898)+$L898)</f>
        <v/>
      </c>
      <c r="N898" s="43" t="str">
        <f aca="false">IF($D898="","",IFERROR(N($J898)/$I898,0))</f>
        <v/>
      </c>
      <c r="O898" s="6"/>
      <c r="P898" s="6"/>
      <c r="Q898" s="46" t="str">
        <f aca="false">IF($A898="","",DATE(YEAR($A898),MONTH($A898),1))</f>
        <v/>
      </c>
      <c r="R898" s="8" t="str">
        <f aca="false">IF(OR($A898="",$D898=""),"",IF(COUNTIFS($D$6:$D$1005,$D898,$A$6:$A$1005,"&gt;"&amp;$A898)=0,1,0))</f>
        <v/>
      </c>
    </row>
    <row r="899" customFormat="false" ht="15" hidden="false" customHeight="false" outlineLevel="0" collapsed="false">
      <c r="A899" s="44"/>
      <c r="B899" s="6"/>
      <c r="C899" s="6"/>
      <c r="D899" s="6"/>
      <c r="E899" s="8" t="str">
        <f aca="false">IF($D899="","",IFERROR(INDEX(INSUMOS!$B$6:$B$205,MATCH($D899,INSUMOS!$A$6:$A$205,0)),"¿Código?"))</f>
        <v/>
      </c>
      <c r="F899" s="8" t="str">
        <f aca="false">IF($D899="","",IFERROR(INDEX(INSUMOS!$E$6:$E$205,MATCH($D899,INSUMOS!$A$6:$A$205,0)),""))</f>
        <v/>
      </c>
      <c r="G899" s="39"/>
      <c r="H899" s="45" t="str">
        <f aca="false">IF($D899="","",IFERROR(INDEX(INSUMOS!$F$6:$F$205,MATCH($D899,INSUMOS!$A$6:$A$205,0)),0))</f>
        <v/>
      </c>
      <c r="I899" s="34" t="str">
        <f aca="false">IF($D899="","",N($G899)*$H899)</f>
        <v/>
      </c>
      <c r="J899" s="40"/>
      <c r="K899" s="36" t="str">
        <f aca="false">IF($D899="","",IFERROR(INDEX(INSUMOS!$H$6:$H$205,MATCH($D899,INSUMOS!$A$6:$A$205,0)),IVA_VENTAS))</f>
        <v/>
      </c>
      <c r="L899" s="35" t="str">
        <f aca="false">IF($D899="","",N($J899)*$K899)</f>
        <v/>
      </c>
      <c r="M899" s="35" t="str">
        <f aca="false">IF($D899="","",N($J899)+$L899)</f>
        <v/>
      </c>
      <c r="N899" s="43" t="str">
        <f aca="false">IF($D899="","",IFERROR(N($J899)/$I899,0))</f>
        <v/>
      </c>
      <c r="O899" s="6"/>
      <c r="P899" s="6"/>
      <c r="Q899" s="46" t="str">
        <f aca="false">IF($A899="","",DATE(YEAR($A899),MONTH($A899),1))</f>
        <v/>
      </c>
      <c r="R899" s="8" t="str">
        <f aca="false">IF(OR($A899="",$D899=""),"",IF(COUNTIFS($D$6:$D$1005,$D899,$A$6:$A$1005,"&gt;"&amp;$A899)=0,1,0))</f>
        <v/>
      </c>
    </row>
    <row r="900" customFormat="false" ht="15" hidden="false" customHeight="false" outlineLevel="0" collapsed="false">
      <c r="A900" s="44"/>
      <c r="B900" s="6"/>
      <c r="C900" s="6"/>
      <c r="D900" s="6"/>
      <c r="E900" s="8" t="str">
        <f aca="false">IF($D900="","",IFERROR(INDEX(INSUMOS!$B$6:$B$205,MATCH($D900,INSUMOS!$A$6:$A$205,0)),"¿Código?"))</f>
        <v/>
      </c>
      <c r="F900" s="8" t="str">
        <f aca="false">IF($D900="","",IFERROR(INDEX(INSUMOS!$E$6:$E$205,MATCH($D900,INSUMOS!$A$6:$A$205,0)),""))</f>
        <v/>
      </c>
      <c r="G900" s="39"/>
      <c r="H900" s="45" t="str">
        <f aca="false">IF($D900="","",IFERROR(INDEX(INSUMOS!$F$6:$F$205,MATCH($D900,INSUMOS!$A$6:$A$205,0)),0))</f>
        <v/>
      </c>
      <c r="I900" s="34" t="str">
        <f aca="false">IF($D900="","",N($G900)*$H900)</f>
        <v/>
      </c>
      <c r="J900" s="40"/>
      <c r="K900" s="36" t="str">
        <f aca="false">IF($D900="","",IFERROR(INDEX(INSUMOS!$H$6:$H$205,MATCH($D900,INSUMOS!$A$6:$A$205,0)),IVA_VENTAS))</f>
        <v/>
      </c>
      <c r="L900" s="35" t="str">
        <f aca="false">IF($D900="","",N($J900)*$K900)</f>
        <v/>
      </c>
      <c r="M900" s="35" t="str">
        <f aca="false">IF($D900="","",N($J900)+$L900)</f>
        <v/>
      </c>
      <c r="N900" s="43" t="str">
        <f aca="false">IF($D900="","",IFERROR(N($J900)/$I900,0))</f>
        <v/>
      </c>
      <c r="O900" s="6"/>
      <c r="P900" s="6"/>
      <c r="Q900" s="46" t="str">
        <f aca="false">IF($A900="","",DATE(YEAR($A900),MONTH($A900),1))</f>
        <v/>
      </c>
      <c r="R900" s="8" t="str">
        <f aca="false">IF(OR($A900="",$D900=""),"",IF(COUNTIFS($D$6:$D$1005,$D900,$A$6:$A$1005,"&gt;"&amp;$A900)=0,1,0))</f>
        <v/>
      </c>
    </row>
    <row r="901" customFormat="false" ht="15" hidden="false" customHeight="false" outlineLevel="0" collapsed="false">
      <c r="A901" s="44"/>
      <c r="B901" s="6"/>
      <c r="C901" s="6"/>
      <c r="D901" s="6"/>
      <c r="E901" s="8" t="str">
        <f aca="false">IF($D901="","",IFERROR(INDEX(INSUMOS!$B$6:$B$205,MATCH($D901,INSUMOS!$A$6:$A$205,0)),"¿Código?"))</f>
        <v/>
      </c>
      <c r="F901" s="8" t="str">
        <f aca="false">IF($D901="","",IFERROR(INDEX(INSUMOS!$E$6:$E$205,MATCH($D901,INSUMOS!$A$6:$A$205,0)),""))</f>
        <v/>
      </c>
      <c r="G901" s="39"/>
      <c r="H901" s="45" t="str">
        <f aca="false">IF($D901="","",IFERROR(INDEX(INSUMOS!$F$6:$F$205,MATCH($D901,INSUMOS!$A$6:$A$205,0)),0))</f>
        <v/>
      </c>
      <c r="I901" s="34" t="str">
        <f aca="false">IF($D901="","",N($G901)*$H901)</f>
        <v/>
      </c>
      <c r="J901" s="40"/>
      <c r="K901" s="36" t="str">
        <f aca="false">IF($D901="","",IFERROR(INDEX(INSUMOS!$H$6:$H$205,MATCH($D901,INSUMOS!$A$6:$A$205,0)),IVA_VENTAS))</f>
        <v/>
      </c>
      <c r="L901" s="35" t="str">
        <f aca="false">IF($D901="","",N($J901)*$K901)</f>
        <v/>
      </c>
      <c r="M901" s="35" t="str">
        <f aca="false">IF($D901="","",N($J901)+$L901)</f>
        <v/>
      </c>
      <c r="N901" s="43" t="str">
        <f aca="false">IF($D901="","",IFERROR(N($J901)/$I901,0))</f>
        <v/>
      </c>
      <c r="O901" s="6"/>
      <c r="P901" s="6"/>
      <c r="Q901" s="46" t="str">
        <f aca="false">IF($A901="","",DATE(YEAR($A901),MONTH($A901),1))</f>
        <v/>
      </c>
      <c r="R901" s="8" t="str">
        <f aca="false">IF(OR($A901="",$D901=""),"",IF(COUNTIFS($D$6:$D$1005,$D901,$A$6:$A$1005,"&gt;"&amp;$A901)=0,1,0))</f>
        <v/>
      </c>
    </row>
    <row r="902" customFormat="false" ht="15" hidden="false" customHeight="false" outlineLevel="0" collapsed="false">
      <c r="A902" s="44"/>
      <c r="B902" s="6"/>
      <c r="C902" s="6"/>
      <c r="D902" s="6"/>
      <c r="E902" s="8" t="str">
        <f aca="false">IF($D902="","",IFERROR(INDEX(INSUMOS!$B$6:$B$205,MATCH($D902,INSUMOS!$A$6:$A$205,0)),"¿Código?"))</f>
        <v/>
      </c>
      <c r="F902" s="8" t="str">
        <f aca="false">IF($D902="","",IFERROR(INDEX(INSUMOS!$E$6:$E$205,MATCH($D902,INSUMOS!$A$6:$A$205,0)),""))</f>
        <v/>
      </c>
      <c r="G902" s="39"/>
      <c r="H902" s="45" t="str">
        <f aca="false">IF($D902="","",IFERROR(INDEX(INSUMOS!$F$6:$F$205,MATCH($D902,INSUMOS!$A$6:$A$205,0)),0))</f>
        <v/>
      </c>
      <c r="I902" s="34" t="str">
        <f aca="false">IF($D902="","",N($G902)*$H902)</f>
        <v/>
      </c>
      <c r="J902" s="40"/>
      <c r="K902" s="36" t="str">
        <f aca="false">IF($D902="","",IFERROR(INDEX(INSUMOS!$H$6:$H$205,MATCH($D902,INSUMOS!$A$6:$A$205,0)),IVA_VENTAS))</f>
        <v/>
      </c>
      <c r="L902" s="35" t="str">
        <f aca="false">IF($D902="","",N($J902)*$K902)</f>
        <v/>
      </c>
      <c r="M902" s="35" t="str">
        <f aca="false">IF($D902="","",N($J902)+$L902)</f>
        <v/>
      </c>
      <c r="N902" s="43" t="str">
        <f aca="false">IF($D902="","",IFERROR(N($J902)/$I902,0))</f>
        <v/>
      </c>
      <c r="O902" s="6"/>
      <c r="P902" s="6"/>
      <c r="Q902" s="46" t="str">
        <f aca="false">IF($A902="","",DATE(YEAR($A902),MONTH($A902),1))</f>
        <v/>
      </c>
      <c r="R902" s="8" t="str">
        <f aca="false">IF(OR($A902="",$D902=""),"",IF(COUNTIFS($D$6:$D$1005,$D902,$A$6:$A$1005,"&gt;"&amp;$A902)=0,1,0))</f>
        <v/>
      </c>
    </row>
    <row r="903" customFormat="false" ht="15" hidden="false" customHeight="false" outlineLevel="0" collapsed="false">
      <c r="A903" s="44"/>
      <c r="B903" s="6"/>
      <c r="C903" s="6"/>
      <c r="D903" s="6"/>
      <c r="E903" s="8" t="str">
        <f aca="false">IF($D903="","",IFERROR(INDEX(INSUMOS!$B$6:$B$205,MATCH($D903,INSUMOS!$A$6:$A$205,0)),"¿Código?"))</f>
        <v/>
      </c>
      <c r="F903" s="8" t="str">
        <f aca="false">IF($D903="","",IFERROR(INDEX(INSUMOS!$E$6:$E$205,MATCH($D903,INSUMOS!$A$6:$A$205,0)),""))</f>
        <v/>
      </c>
      <c r="G903" s="39"/>
      <c r="H903" s="45" t="str">
        <f aca="false">IF($D903="","",IFERROR(INDEX(INSUMOS!$F$6:$F$205,MATCH($D903,INSUMOS!$A$6:$A$205,0)),0))</f>
        <v/>
      </c>
      <c r="I903" s="34" t="str">
        <f aca="false">IF($D903="","",N($G903)*$H903)</f>
        <v/>
      </c>
      <c r="J903" s="40"/>
      <c r="K903" s="36" t="str">
        <f aca="false">IF($D903="","",IFERROR(INDEX(INSUMOS!$H$6:$H$205,MATCH($D903,INSUMOS!$A$6:$A$205,0)),IVA_VENTAS))</f>
        <v/>
      </c>
      <c r="L903" s="35" t="str">
        <f aca="false">IF($D903="","",N($J903)*$K903)</f>
        <v/>
      </c>
      <c r="M903" s="35" t="str">
        <f aca="false">IF($D903="","",N($J903)+$L903)</f>
        <v/>
      </c>
      <c r="N903" s="43" t="str">
        <f aca="false">IF($D903="","",IFERROR(N($J903)/$I903,0))</f>
        <v/>
      </c>
      <c r="O903" s="6"/>
      <c r="P903" s="6"/>
      <c r="Q903" s="46" t="str">
        <f aca="false">IF($A903="","",DATE(YEAR($A903),MONTH($A903),1))</f>
        <v/>
      </c>
      <c r="R903" s="8" t="str">
        <f aca="false">IF(OR($A903="",$D903=""),"",IF(COUNTIFS($D$6:$D$1005,$D903,$A$6:$A$1005,"&gt;"&amp;$A903)=0,1,0))</f>
        <v/>
      </c>
    </row>
    <row r="904" customFormat="false" ht="15" hidden="false" customHeight="false" outlineLevel="0" collapsed="false">
      <c r="A904" s="44"/>
      <c r="B904" s="6"/>
      <c r="C904" s="6"/>
      <c r="D904" s="6"/>
      <c r="E904" s="8" t="str">
        <f aca="false">IF($D904="","",IFERROR(INDEX(INSUMOS!$B$6:$B$205,MATCH($D904,INSUMOS!$A$6:$A$205,0)),"¿Código?"))</f>
        <v/>
      </c>
      <c r="F904" s="8" t="str">
        <f aca="false">IF($D904="","",IFERROR(INDEX(INSUMOS!$E$6:$E$205,MATCH($D904,INSUMOS!$A$6:$A$205,0)),""))</f>
        <v/>
      </c>
      <c r="G904" s="39"/>
      <c r="H904" s="45" t="str">
        <f aca="false">IF($D904="","",IFERROR(INDEX(INSUMOS!$F$6:$F$205,MATCH($D904,INSUMOS!$A$6:$A$205,0)),0))</f>
        <v/>
      </c>
      <c r="I904" s="34" t="str">
        <f aca="false">IF($D904="","",N($G904)*$H904)</f>
        <v/>
      </c>
      <c r="J904" s="40"/>
      <c r="K904" s="36" t="str">
        <f aca="false">IF($D904="","",IFERROR(INDEX(INSUMOS!$H$6:$H$205,MATCH($D904,INSUMOS!$A$6:$A$205,0)),IVA_VENTAS))</f>
        <v/>
      </c>
      <c r="L904" s="35" t="str">
        <f aca="false">IF($D904="","",N($J904)*$K904)</f>
        <v/>
      </c>
      <c r="M904" s="35" t="str">
        <f aca="false">IF($D904="","",N($J904)+$L904)</f>
        <v/>
      </c>
      <c r="N904" s="43" t="str">
        <f aca="false">IF($D904="","",IFERROR(N($J904)/$I904,0))</f>
        <v/>
      </c>
      <c r="O904" s="6"/>
      <c r="P904" s="6"/>
      <c r="Q904" s="46" t="str">
        <f aca="false">IF($A904="","",DATE(YEAR($A904),MONTH($A904),1))</f>
        <v/>
      </c>
      <c r="R904" s="8" t="str">
        <f aca="false">IF(OR($A904="",$D904=""),"",IF(COUNTIFS($D$6:$D$1005,$D904,$A$6:$A$1005,"&gt;"&amp;$A904)=0,1,0))</f>
        <v/>
      </c>
    </row>
    <row r="905" customFormat="false" ht="15" hidden="false" customHeight="false" outlineLevel="0" collapsed="false">
      <c r="A905" s="44"/>
      <c r="B905" s="6"/>
      <c r="C905" s="6"/>
      <c r="D905" s="6"/>
      <c r="E905" s="8" t="str">
        <f aca="false">IF($D905="","",IFERROR(INDEX(INSUMOS!$B$6:$B$205,MATCH($D905,INSUMOS!$A$6:$A$205,0)),"¿Código?"))</f>
        <v/>
      </c>
      <c r="F905" s="8" t="str">
        <f aca="false">IF($D905="","",IFERROR(INDEX(INSUMOS!$E$6:$E$205,MATCH($D905,INSUMOS!$A$6:$A$205,0)),""))</f>
        <v/>
      </c>
      <c r="G905" s="39"/>
      <c r="H905" s="45" t="str">
        <f aca="false">IF($D905="","",IFERROR(INDEX(INSUMOS!$F$6:$F$205,MATCH($D905,INSUMOS!$A$6:$A$205,0)),0))</f>
        <v/>
      </c>
      <c r="I905" s="34" t="str">
        <f aca="false">IF($D905="","",N($G905)*$H905)</f>
        <v/>
      </c>
      <c r="J905" s="40"/>
      <c r="K905" s="36" t="str">
        <f aca="false">IF($D905="","",IFERROR(INDEX(INSUMOS!$H$6:$H$205,MATCH($D905,INSUMOS!$A$6:$A$205,0)),IVA_VENTAS))</f>
        <v/>
      </c>
      <c r="L905" s="35" t="str">
        <f aca="false">IF($D905="","",N($J905)*$K905)</f>
        <v/>
      </c>
      <c r="M905" s="35" t="str">
        <f aca="false">IF($D905="","",N($J905)+$L905)</f>
        <v/>
      </c>
      <c r="N905" s="43" t="str">
        <f aca="false">IF($D905="","",IFERROR(N($J905)/$I905,0))</f>
        <v/>
      </c>
      <c r="O905" s="6"/>
      <c r="P905" s="6"/>
      <c r="Q905" s="46" t="str">
        <f aca="false">IF($A905="","",DATE(YEAR($A905),MONTH($A905),1))</f>
        <v/>
      </c>
      <c r="R905" s="8" t="str">
        <f aca="false">IF(OR($A905="",$D905=""),"",IF(COUNTIFS($D$6:$D$1005,$D905,$A$6:$A$1005,"&gt;"&amp;$A905)=0,1,0))</f>
        <v/>
      </c>
    </row>
    <row r="906" customFormat="false" ht="15" hidden="false" customHeight="false" outlineLevel="0" collapsed="false">
      <c r="A906" s="44"/>
      <c r="B906" s="6"/>
      <c r="C906" s="6"/>
      <c r="D906" s="6"/>
      <c r="E906" s="8" t="str">
        <f aca="false">IF($D906="","",IFERROR(INDEX(INSUMOS!$B$6:$B$205,MATCH($D906,INSUMOS!$A$6:$A$205,0)),"¿Código?"))</f>
        <v/>
      </c>
      <c r="F906" s="8" t="str">
        <f aca="false">IF($D906="","",IFERROR(INDEX(INSUMOS!$E$6:$E$205,MATCH($D906,INSUMOS!$A$6:$A$205,0)),""))</f>
        <v/>
      </c>
      <c r="G906" s="39"/>
      <c r="H906" s="45" t="str">
        <f aca="false">IF($D906="","",IFERROR(INDEX(INSUMOS!$F$6:$F$205,MATCH($D906,INSUMOS!$A$6:$A$205,0)),0))</f>
        <v/>
      </c>
      <c r="I906" s="34" t="str">
        <f aca="false">IF($D906="","",N($G906)*$H906)</f>
        <v/>
      </c>
      <c r="J906" s="40"/>
      <c r="K906" s="36" t="str">
        <f aca="false">IF($D906="","",IFERROR(INDEX(INSUMOS!$H$6:$H$205,MATCH($D906,INSUMOS!$A$6:$A$205,0)),IVA_VENTAS))</f>
        <v/>
      </c>
      <c r="L906" s="35" t="str">
        <f aca="false">IF($D906="","",N($J906)*$K906)</f>
        <v/>
      </c>
      <c r="M906" s="35" t="str">
        <f aca="false">IF($D906="","",N($J906)+$L906)</f>
        <v/>
      </c>
      <c r="N906" s="43" t="str">
        <f aca="false">IF($D906="","",IFERROR(N($J906)/$I906,0))</f>
        <v/>
      </c>
      <c r="O906" s="6"/>
      <c r="P906" s="6"/>
      <c r="Q906" s="46" t="str">
        <f aca="false">IF($A906="","",DATE(YEAR($A906),MONTH($A906),1))</f>
        <v/>
      </c>
      <c r="R906" s="8" t="str">
        <f aca="false">IF(OR($A906="",$D906=""),"",IF(COUNTIFS($D$6:$D$1005,$D906,$A$6:$A$1005,"&gt;"&amp;$A906)=0,1,0))</f>
        <v/>
      </c>
    </row>
    <row r="907" customFormat="false" ht="15" hidden="false" customHeight="false" outlineLevel="0" collapsed="false">
      <c r="A907" s="44"/>
      <c r="B907" s="6"/>
      <c r="C907" s="6"/>
      <c r="D907" s="6"/>
      <c r="E907" s="8" t="str">
        <f aca="false">IF($D907="","",IFERROR(INDEX(INSUMOS!$B$6:$B$205,MATCH($D907,INSUMOS!$A$6:$A$205,0)),"¿Código?"))</f>
        <v/>
      </c>
      <c r="F907" s="8" t="str">
        <f aca="false">IF($D907="","",IFERROR(INDEX(INSUMOS!$E$6:$E$205,MATCH($D907,INSUMOS!$A$6:$A$205,0)),""))</f>
        <v/>
      </c>
      <c r="G907" s="39"/>
      <c r="H907" s="45" t="str">
        <f aca="false">IF($D907="","",IFERROR(INDEX(INSUMOS!$F$6:$F$205,MATCH($D907,INSUMOS!$A$6:$A$205,0)),0))</f>
        <v/>
      </c>
      <c r="I907" s="34" t="str">
        <f aca="false">IF($D907="","",N($G907)*$H907)</f>
        <v/>
      </c>
      <c r="J907" s="40"/>
      <c r="K907" s="36" t="str">
        <f aca="false">IF($D907="","",IFERROR(INDEX(INSUMOS!$H$6:$H$205,MATCH($D907,INSUMOS!$A$6:$A$205,0)),IVA_VENTAS))</f>
        <v/>
      </c>
      <c r="L907" s="35" t="str">
        <f aca="false">IF($D907="","",N($J907)*$K907)</f>
        <v/>
      </c>
      <c r="M907" s="35" t="str">
        <f aca="false">IF($D907="","",N($J907)+$L907)</f>
        <v/>
      </c>
      <c r="N907" s="43" t="str">
        <f aca="false">IF($D907="","",IFERROR(N($J907)/$I907,0))</f>
        <v/>
      </c>
      <c r="O907" s="6"/>
      <c r="P907" s="6"/>
      <c r="Q907" s="46" t="str">
        <f aca="false">IF($A907="","",DATE(YEAR($A907),MONTH($A907),1))</f>
        <v/>
      </c>
      <c r="R907" s="8" t="str">
        <f aca="false">IF(OR($A907="",$D907=""),"",IF(COUNTIFS($D$6:$D$1005,$D907,$A$6:$A$1005,"&gt;"&amp;$A907)=0,1,0))</f>
        <v/>
      </c>
    </row>
    <row r="908" customFormat="false" ht="15" hidden="false" customHeight="false" outlineLevel="0" collapsed="false">
      <c r="A908" s="44"/>
      <c r="B908" s="6"/>
      <c r="C908" s="6"/>
      <c r="D908" s="6"/>
      <c r="E908" s="8" t="str">
        <f aca="false">IF($D908="","",IFERROR(INDEX(INSUMOS!$B$6:$B$205,MATCH($D908,INSUMOS!$A$6:$A$205,0)),"¿Código?"))</f>
        <v/>
      </c>
      <c r="F908" s="8" t="str">
        <f aca="false">IF($D908="","",IFERROR(INDEX(INSUMOS!$E$6:$E$205,MATCH($D908,INSUMOS!$A$6:$A$205,0)),""))</f>
        <v/>
      </c>
      <c r="G908" s="39"/>
      <c r="H908" s="45" t="str">
        <f aca="false">IF($D908="","",IFERROR(INDEX(INSUMOS!$F$6:$F$205,MATCH($D908,INSUMOS!$A$6:$A$205,0)),0))</f>
        <v/>
      </c>
      <c r="I908" s="34" t="str">
        <f aca="false">IF($D908="","",N($G908)*$H908)</f>
        <v/>
      </c>
      <c r="J908" s="40"/>
      <c r="K908" s="36" t="str">
        <f aca="false">IF($D908="","",IFERROR(INDEX(INSUMOS!$H$6:$H$205,MATCH($D908,INSUMOS!$A$6:$A$205,0)),IVA_VENTAS))</f>
        <v/>
      </c>
      <c r="L908" s="35" t="str">
        <f aca="false">IF($D908="","",N($J908)*$K908)</f>
        <v/>
      </c>
      <c r="M908" s="35" t="str">
        <f aca="false">IF($D908="","",N($J908)+$L908)</f>
        <v/>
      </c>
      <c r="N908" s="43" t="str">
        <f aca="false">IF($D908="","",IFERROR(N($J908)/$I908,0))</f>
        <v/>
      </c>
      <c r="O908" s="6"/>
      <c r="P908" s="6"/>
      <c r="Q908" s="46" t="str">
        <f aca="false">IF($A908="","",DATE(YEAR($A908),MONTH($A908),1))</f>
        <v/>
      </c>
      <c r="R908" s="8" t="str">
        <f aca="false">IF(OR($A908="",$D908=""),"",IF(COUNTIFS($D$6:$D$1005,$D908,$A$6:$A$1005,"&gt;"&amp;$A908)=0,1,0))</f>
        <v/>
      </c>
    </row>
    <row r="909" customFormat="false" ht="15" hidden="false" customHeight="false" outlineLevel="0" collapsed="false">
      <c r="A909" s="44"/>
      <c r="B909" s="6"/>
      <c r="C909" s="6"/>
      <c r="D909" s="6"/>
      <c r="E909" s="8" t="str">
        <f aca="false">IF($D909="","",IFERROR(INDEX(INSUMOS!$B$6:$B$205,MATCH($D909,INSUMOS!$A$6:$A$205,0)),"¿Código?"))</f>
        <v/>
      </c>
      <c r="F909" s="8" t="str">
        <f aca="false">IF($D909="","",IFERROR(INDEX(INSUMOS!$E$6:$E$205,MATCH($D909,INSUMOS!$A$6:$A$205,0)),""))</f>
        <v/>
      </c>
      <c r="G909" s="39"/>
      <c r="H909" s="45" t="str">
        <f aca="false">IF($D909="","",IFERROR(INDEX(INSUMOS!$F$6:$F$205,MATCH($D909,INSUMOS!$A$6:$A$205,0)),0))</f>
        <v/>
      </c>
      <c r="I909" s="34" t="str">
        <f aca="false">IF($D909="","",N($G909)*$H909)</f>
        <v/>
      </c>
      <c r="J909" s="40"/>
      <c r="K909" s="36" t="str">
        <f aca="false">IF($D909="","",IFERROR(INDEX(INSUMOS!$H$6:$H$205,MATCH($D909,INSUMOS!$A$6:$A$205,0)),IVA_VENTAS))</f>
        <v/>
      </c>
      <c r="L909" s="35" t="str">
        <f aca="false">IF($D909="","",N($J909)*$K909)</f>
        <v/>
      </c>
      <c r="M909" s="35" t="str">
        <f aca="false">IF($D909="","",N($J909)+$L909)</f>
        <v/>
      </c>
      <c r="N909" s="43" t="str">
        <f aca="false">IF($D909="","",IFERROR(N($J909)/$I909,0))</f>
        <v/>
      </c>
      <c r="O909" s="6"/>
      <c r="P909" s="6"/>
      <c r="Q909" s="46" t="str">
        <f aca="false">IF($A909="","",DATE(YEAR($A909),MONTH($A909),1))</f>
        <v/>
      </c>
      <c r="R909" s="8" t="str">
        <f aca="false">IF(OR($A909="",$D909=""),"",IF(COUNTIFS($D$6:$D$1005,$D909,$A$6:$A$1005,"&gt;"&amp;$A909)=0,1,0))</f>
        <v/>
      </c>
    </row>
    <row r="910" customFormat="false" ht="15" hidden="false" customHeight="false" outlineLevel="0" collapsed="false">
      <c r="A910" s="44"/>
      <c r="B910" s="6"/>
      <c r="C910" s="6"/>
      <c r="D910" s="6"/>
      <c r="E910" s="8" t="str">
        <f aca="false">IF($D910="","",IFERROR(INDEX(INSUMOS!$B$6:$B$205,MATCH($D910,INSUMOS!$A$6:$A$205,0)),"¿Código?"))</f>
        <v/>
      </c>
      <c r="F910" s="8" t="str">
        <f aca="false">IF($D910="","",IFERROR(INDEX(INSUMOS!$E$6:$E$205,MATCH($D910,INSUMOS!$A$6:$A$205,0)),""))</f>
        <v/>
      </c>
      <c r="G910" s="39"/>
      <c r="H910" s="45" t="str">
        <f aca="false">IF($D910="","",IFERROR(INDEX(INSUMOS!$F$6:$F$205,MATCH($D910,INSUMOS!$A$6:$A$205,0)),0))</f>
        <v/>
      </c>
      <c r="I910" s="34" t="str">
        <f aca="false">IF($D910="","",N($G910)*$H910)</f>
        <v/>
      </c>
      <c r="J910" s="40"/>
      <c r="K910" s="36" t="str">
        <f aca="false">IF($D910="","",IFERROR(INDEX(INSUMOS!$H$6:$H$205,MATCH($D910,INSUMOS!$A$6:$A$205,0)),IVA_VENTAS))</f>
        <v/>
      </c>
      <c r="L910" s="35" t="str">
        <f aca="false">IF($D910="","",N($J910)*$K910)</f>
        <v/>
      </c>
      <c r="M910" s="35" t="str">
        <f aca="false">IF($D910="","",N($J910)+$L910)</f>
        <v/>
      </c>
      <c r="N910" s="43" t="str">
        <f aca="false">IF($D910="","",IFERROR(N($J910)/$I910,0))</f>
        <v/>
      </c>
      <c r="O910" s="6"/>
      <c r="P910" s="6"/>
      <c r="Q910" s="46" t="str">
        <f aca="false">IF($A910="","",DATE(YEAR($A910),MONTH($A910),1))</f>
        <v/>
      </c>
      <c r="R910" s="8" t="str">
        <f aca="false">IF(OR($A910="",$D910=""),"",IF(COUNTIFS($D$6:$D$1005,$D910,$A$6:$A$1005,"&gt;"&amp;$A910)=0,1,0))</f>
        <v/>
      </c>
    </row>
    <row r="911" customFormat="false" ht="15" hidden="false" customHeight="false" outlineLevel="0" collapsed="false">
      <c r="A911" s="44"/>
      <c r="B911" s="6"/>
      <c r="C911" s="6"/>
      <c r="D911" s="6"/>
      <c r="E911" s="8" t="str">
        <f aca="false">IF($D911="","",IFERROR(INDEX(INSUMOS!$B$6:$B$205,MATCH($D911,INSUMOS!$A$6:$A$205,0)),"¿Código?"))</f>
        <v/>
      </c>
      <c r="F911" s="8" t="str">
        <f aca="false">IF($D911="","",IFERROR(INDEX(INSUMOS!$E$6:$E$205,MATCH($D911,INSUMOS!$A$6:$A$205,0)),""))</f>
        <v/>
      </c>
      <c r="G911" s="39"/>
      <c r="H911" s="45" t="str">
        <f aca="false">IF($D911="","",IFERROR(INDEX(INSUMOS!$F$6:$F$205,MATCH($D911,INSUMOS!$A$6:$A$205,0)),0))</f>
        <v/>
      </c>
      <c r="I911" s="34" t="str">
        <f aca="false">IF($D911="","",N($G911)*$H911)</f>
        <v/>
      </c>
      <c r="J911" s="40"/>
      <c r="K911" s="36" t="str">
        <f aca="false">IF($D911="","",IFERROR(INDEX(INSUMOS!$H$6:$H$205,MATCH($D911,INSUMOS!$A$6:$A$205,0)),IVA_VENTAS))</f>
        <v/>
      </c>
      <c r="L911" s="35" t="str">
        <f aca="false">IF($D911="","",N($J911)*$K911)</f>
        <v/>
      </c>
      <c r="M911" s="35" t="str">
        <f aca="false">IF($D911="","",N($J911)+$L911)</f>
        <v/>
      </c>
      <c r="N911" s="43" t="str">
        <f aca="false">IF($D911="","",IFERROR(N($J911)/$I911,0))</f>
        <v/>
      </c>
      <c r="O911" s="6"/>
      <c r="P911" s="6"/>
      <c r="Q911" s="46" t="str">
        <f aca="false">IF($A911="","",DATE(YEAR($A911),MONTH($A911),1))</f>
        <v/>
      </c>
      <c r="R911" s="8" t="str">
        <f aca="false">IF(OR($A911="",$D911=""),"",IF(COUNTIFS($D$6:$D$1005,$D911,$A$6:$A$1005,"&gt;"&amp;$A911)=0,1,0))</f>
        <v/>
      </c>
    </row>
    <row r="912" customFormat="false" ht="15" hidden="false" customHeight="false" outlineLevel="0" collapsed="false">
      <c r="A912" s="44"/>
      <c r="B912" s="6"/>
      <c r="C912" s="6"/>
      <c r="D912" s="6"/>
      <c r="E912" s="8" t="str">
        <f aca="false">IF($D912="","",IFERROR(INDEX(INSUMOS!$B$6:$B$205,MATCH($D912,INSUMOS!$A$6:$A$205,0)),"¿Código?"))</f>
        <v/>
      </c>
      <c r="F912" s="8" t="str">
        <f aca="false">IF($D912="","",IFERROR(INDEX(INSUMOS!$E$6:$E$205,MATCH($D912,INSUMOS!$A$6:$A$205,0)),""))</f>
        <v/>
      </c>
      <c r="G912" s="39"/>
      <c r="H912" s="45" t="str">
        <f aca="false">IF($D912="","",IFERROR(INDEX(INSUMOS!$F$6:$F$205,MATCH($D912,INSUMOS!$A$6:$A$205,0)),0))</f>
        <v/>
      </c>
      <c r="I912" s="34" t="str">
        <f aca="false">IF($D912="","",N($G912)*$H912)</f>
        <v/>
      </c>
      <c r="J912" s="40"/>
      <c r="K912" s="36" t="str">
        <f aca="false">IF($D912="","",IFERROR(INDEX(INSUMOS!$H$6:$H$205,MATCH($D912,INSUMOS!$A$6:$A$205,0)),IVA_VENTAS))</f>
        <v/>
      </c>
      <c r="L912" s="35" t="str">
        <f aca="false">IF($D912="","",N($J912)*$K912)</f>
        <v/>
      </c>
      <c r="M912" s="35" t="str">
        <f aca="false">IF($D912="","",N($J912)+$L912)</f>
        <v/>
      </c>
      <c r="N912" s="43" t="str">
        <f aca="false">IF($D912="","",IFERROR(N($J912)/$I912,0))</f>
        <v/>
      </c>
      <c r="O912" s="6"/>
      <c r="P912" s="6"/>
      <c r="Q912" s="46" t="str">
        <f aca="false">IF($A912="","",DATE(YEAR($A912),MONTH($A912),1))</f>
        <v/>
      </c>
      <c r="R912" s="8" t="str">
        <f aca="false">IF(OR($A912="",$D912=""),"",IF(COUNTIFS($D$6:$D$1005,$D912,$A$6:$A$1005,"&gt;"&amp;$A912)=0,1,0))</f>
        <v/>
      </c>
    </row>
    <row r="913" customFormat="false" ht="15" hidden="false" customHeight="false" outlineLevel="0" collapsed="false">
      <c r="A913" s="44"/>
      <c r="B913" s="6"/>
      <c r="C913" s="6"/>
      <c r="D913" s="6"/>
      <c r="E913" s="8" t="str">
        <f aca="false">IF($D913="","",IFERROR(INDEX(INSUMOS!$B$6:$B$205,MATCH($D913,INSUMOS!$A$6:$A$205,0)),"¿Código?"))</f>
        <v/>
      </c>
      <c r="F913" s="8" t="str">
        <f aca="false">IF($D913="","",IFERROR(INDEX(INSUMOS!$E$6:$E$205,MATCH($D913,INSUMOS!$A$6:$A$205,0)),""))</f>
        <v/>
      </c>
      <c r="G913" s="39"/>
      <c r="H913" s="45" t="str">
        <f aca="false">IF($D913="","",IFERROR(INDEX(INSUMOS!$F$6:$F$205,MATCH($D913,INSUMOS!$A$6:$A$205,0)),0))</f>
        <v/>
      </c>
      <c r="I913" s="34" t="str">
        <f aca="false">IF($D913="","",N($G913)*$H913)</f>
        <v/>
      </c>
      <c r="J913" s="40"/>
      <c r="K913" s="36" t="str">
        <f aca="false">IF($D913="","",IFERROR(INDEX(INSUMOS!$H$6:$H$205,MATCH($D913,INSUMOS!$A$6:$A$205,0)),IVA_VENTAS))</f>
        <v/>
      </c>
      <c r="L913" s="35" t="str">
        <f aca="false">IF($D913="","",N($J913)*$K913)</f>
        <v/>
      </c>
      <c r="M913" s="35" t="str">
        <f aca="false">IF($D913="","",N($J913)+$L913)</f>
        <v/>
      </c>
      <c r="N913" s="43" t="str">
        <f aca="false">IF($D913="","",IFERROR(N($J913)/$I913,0))</f>
        <v/>
      </c>
      <c r="O913" s="6"/>
      <c r="P913" s="6"/>
      <c r="Q913" s="46" t="str">
        <f aca="false">IF($A913="","",DATE(YEAR($A913),MONTH($A913),1))</f>
        <v/>
      </c>
      <c r="R913" s="8" t="str">
        <f aca="false">IF(OR($A913="",$D913=""),"",IF(COUNTIFS($D$6:$D$1005,$D913,$A$6:$A$1005,"&gt;"&amp;$A913)=0,1,0))</f>
        <v/>
      </c>
    </row>
    <row r="914" customFormat="false" ht="15" hidden="false" customHeight="false" outlineLevel="0" collapsed="false">
      <c r="A914" s="44"/>
      <c r="B914" s="6"/>
      <c r="C914" s="6"/>
      <c r="D914" s="6"/>
      <c r="E914" s="8" t="str">
        <f aca="false">IF($D914="","",IFERROR(INDEX(INSUMOS!$B$6:$B$205,MATCH($D914,INSUMOS!$A$6:$A$205,0)),"¿Código?"))</f>
        <v/>
      </c>
      <c r="F914" s="8" t="str">
        <f aca="false">IF($D914="","",IFERROR(INDEX(INSUMOS!$E$6:$E$205,MATCH($D914,INSUMOS!$A$6:$A$205,0)),""))</f>
        <v/>
      </c>
      <c r="G914" s="39"/>
      <c r="H914" s="45" t="str">
        <f aca="false">IF($D914="","",IFERROR(INDEX(INSUMOS!$F$6:$F$205,MATCH($D914,INSUMOS!$A$6:$A$205,0)),0))</f>
        <v/>
      </c>
      <c r="I914" s="34" t="str">
        <f aca="false">IF($D914="","",N($G914)*$H914)</f>
        <v/>
      </c>
      <c r="J914" s="40"/>
      <c r="K914" s="36" t="str">
        <f aca="false">IF($D914="","",IFERROR(INDEX(INSUMOS!$H$6:$H$205,MATCH($D914,INSUMOS!$A$6:$A$205,0)),IVA_VENTAS))</f>
        <v/>
      </c>
      <c r="L914" s="35" t="str">
        <f aca="false">IF($D914="","",N($J914)*$K914)</f>
        <v/>
      </c>
      <c r="M914" s="35" t="str">
        <f aca="false">IF($D914="","",N($J914)+$L914)</f>
        <v/>
      </c>
      <c r="N914" s="43" t="str">
        <f aca="false">IF($D914="","",IFERROR(N($J914)/$I914,0))</f>
        <v/>
      </c>
      <c r="O914" s="6"/>
      <c r="P914" s="6"/>
      <c r="Q914" s="46" t="str">
        <f aca="false">IF($A914="","",DATE(YEAR($A914),MONTH($A914),1))</f>
        <v/>
      </c>
      <c r="R914" s="8" t="str">
        <f aca="false">IF(OR($A914="",$D914=""),"",IF(COUNTIFS($D$6:$D$1005,$D914,$A$6:$A$1005,"&gt;"&amp;$A914)=0,1,0))</f>
        <v/>
      </c>
    </row>
    <row r="915" customFormat="false" ht="15" hidden="false" customHeight="false" outlineLevel="0" collapsed="false">
      <c r="A915" s="44"/>
      <c r="B915" s="6"/>
      <c r="C915" s="6"/>
      <c r="D915" s="6"/>
      <c r="E915" s="8" t="str">
        <f aca="false">IF($D915="","",IFERROR(INDEX(INSUMOS!$B$6:$B$205,MATCH($D915,INSUMOS!$A$6:$A$205,0)),"¿Código?"))</f>
        <v/>
      </c>
      <c r="F915" s="8" t="str">
        <f aca="false">IF($D915="","",IFERROR(INDEX(INSUMOS!$E$6:$E$205,MATCH($D915,INSUMOS!$A$6:$A$205,0)),""))</f>
        <v/>
      </c>
      <c r="G915" s="39"/>
      <c r="H915" s="45" t="str">
        <f aca="false">IF($D915="","",IFERROR(INDEX(INSUMOS!$F$6:$F$205,MATCH($D915,INSUMOS!$A$6:$A$205,0)),0))</f>
        <v/>
      </c>
      <c r="I915" s="34" t="str">
        <f aca="false">IF($D915="","",N($G915)*$H915)</f>
        <v/>
      </c>
      <c r="J915" s="40"/>
      <c r="K915" s="36" t="str">
        <f aca="false">IF($D915="","",IFERROR(INDEX(INSUMOS!$H$6:$H$205,MATCH($D915,INSUMOS!$A$6:$A$205,0)),IVA_VENTAS))</f>
        <v/>
      </c>
      <c r="L915" s="35" t="str">
        <f aca="false">IF($D915="","",N($J915)*$K915)</f>
        <v/>
      </c>
      <c r="M915" s="35" t="str">
        <f aca="false">IF($D915="","",N($J915)+$L915)</f>
        <v/>
      </c>
      <c r="N915" s="43" t="str">
        <f aca="false">IF($D915="","",IFERROR(N($J915)/$I915,0))</f>
        <v/>
      </c>
      <c r="O915" s="6"/>
      <c r="P915" s="6"/>
      <c r="Q915" s="46" t="str">
        <f aca="false">IF($A915="","",DATE(YEAR($A915),MONTH($A915),1))</f>
        <v/>
      </c>
      <c r="R915" s="8" t="str">
        <f aca="false">IF(OR($A915="",$D915=""),"",IF(COUNTIFS($D$6:$D$1005,$D915,$A$6:$A$1005,"&gt;"&amp;$A915)=0,1,0))</f>
        <v/>
      </c>
    </row>
    <row r="916" customFormat="false" ht="15" hidden="false" customHeight="false" outlineLevel="0" collapsed="false">
      <c r="A916" s="44"/>
      <c r="B916" s="6"/>
      <c r="C916" s="6"/>
      <c r="D916" s="6"/>
      <c r="E916" s="8" t="str">
        <f aca="false">IF($D916="","",IFERROR(INDEX(INSUMOS!$B$6:$B$205,MATCH($D916,INSUMOS!$A$6:$A$205,0)),"¿Código?"))</f>
        <v/>
      </c>
      <c r="F916" s="8" t="str">
        <f aca="false">IF($D916="","",IFERROR(INDEX(INSUMOS!$E$6:$E$205,MATCH($D916,INSUMOS!$A$6:$A$205,0)),""))</f>
        <v/>
      </c>
      <c r="G916" s="39"/>
      <c r="H916" s="45" t="str">
        <f aca="false">IF($D916="","",IFERROR(INDEX(INSUMOS!$F$6:$F$205,MATCH($D916,INSUMOS!$A$6:$A$205,0)),0))</f>
        <v/>
      </c>
      <c r="I916" s="34" t="str">
        <f aca="false">IF($D916="","",N($G916)*$H916)</f>
        <v/>
      </c>
      <c r="J916" s="40"/>
      <c r="K916" s="36" t="str">
        <f aca="false">IF($D916="","",IFERROR(INDEX(INSUMOS!$H$6:$H$205,MATCH($D916,INSUMOS!$A$6:$A$205,0)),IVA_VENTAS))</f>
        <v/>
      </c>
      <c r="L916" s="35" t="str">
        <f aca="false">IF($D916="","",N($J916)*$K916)</f>
        <v/>
      </c>
      <c r="M916" s="35" t="str">
        <f aca="false">IF($D916="","",N($J916)+$L916)</f>
        <v/>
      </c>
      <c r="N916" s="43" t="str">
        <f aca="false">IF($D916="","",IFERROR(N($J916)/$I916,0))</f>
        <v/>
      </c>
      <c r="O916" s="6"/>
      <c r="P916" s="6"/>
      <c r="Q916" s="46" t="str">
        <f aca="false">IF($A916="","",DATE(YEAR($A916),MONTH($A916),1))</f>
        <v/>
      </c>
      <c r="R916" s="8" t="str">
        <f aca="false">IF(OR($A916="",$D916=""),"",IF(COUNTIFS($D$6:$D$1005,$D916,$A$6:$A$1005,"&gt;"&amp;$A916)=0,1,0))</f>
        <v/>
      </c>
    </row>
    <row r="917" customFormat="false" ht="15" hidden="false" customHeight="false" outlineLevel="0" collapsed="false">
      <c r="A917" s="44"/>
      <c r="B917" s="6"/>
      <c r="C917" s="6"/>
      <c r="D917" s="6"/>
      <c r="E917" s="8" t="str">
        <f aca="false">IF($D917="","",IFERROR(INDEX(INSUMOS!$B$6:$B$205,MATCH($D917,INSUMOS!$A$6:$A$205,0)),"¿Código?"))</f>
        <v/>
      </c>
      <c r="F917" s="8" t="str">
        <f aca="false">IF($D917="","",IFERROR(INDEX(INSUMOS!$E$6:$E$205,MATCH($D917,INSUMOS!$A$6:$A$205,0)),""))</f>
        <v/>
      </c>
      <c r="G917" s="39"/>
      <c r="H917" s="45" t="str">
        <f aca="false">IF($D917="","",IFERROR(INDEX(INSUMOS!$F$6:$F$205,MATCH($D917,INSUMOS!$A$6:$A$205,0)),0))</f>
        <v/>
      </c>
      <c r="I917" s="34" t="str">
        <f aca="false">IF($D917="","",N($G917)*$H917)</f>
        <v/>
      </c>
      <c r="J917" s="40"/>
      <c r="K917" s="36" t="str">
        <f aca="false">IF($D917="","",IFERROR(INDEX(INSUMOS!$H$6:$H$205,MATCH($D917,INSUMOS!$A$6:$A$205,0)),IVA_VENTAS))</f>
        <v/>
      </c>
      <c r="L917" s="35" t="str">
        <f aca="false">IF($D917="","",N($J917)*$K917)</f>
        <v/>
      </c>
      <c r="M917" s="35" t="str">
        <f aca="false">IF($D917="","",N($J917)+$L917)</f>
        <v/>
      </c>
      <c r="N917" s="43" t="str">
        <f aca="false">IF($D917="","",IFERROR(N($J917)/$I917,0))</f>
        <v/>
      </c>
      <c r="O917" s="6"/>
      <c r="P917" s="6"/>
      <c r="Q917" s="46" t="str">
        <f aca="false">IF($A917="","",DATE(YEAR($A917),MONTH($A917),1))</f>
        <v/>
      </c>
      <c r="R917" s="8" t="str">
        <f aca="false">IF(OR($A917="",$D917=""),"",IF(COUNTIFS($D$6:$D$1005,$D917,$A$6:$A$1005,"&gt;"&amp;$A917)=0,1,0))</f>
        <v/>
      </c>
    </row>
    <row r="918" customFormat="false" ht="15" hidden="false" customHeight="false" outlineLevel="0" collapsed="false">
      <c r="A918" s="44"/>
      <c r="B918" s="6"/>
      <c r="C918" s="6"/>
      <c r="D918" s="6"/>
      <c r="E918" s="8" t="str">
        <f aca="false">IF($D918="","",IFERROR(INDEX(INSUMOS!$B$6:$B$205,MATCH($D918,INSUMOS!$A$6:$A$205,0)),"¿Código?"))</f>
        <v/>
      </c>
      <c r="F918" s="8" t="str">
        <f aca="false">IF($D918="","",IFERROR(INDEX(INSUMOS!$E$6:$E$205,MATCH($D918,INSUMOS!$A$6:$A$205,0)),""))</f>
        <v/>
      </c>
      <c r="G918" s="39"/>
      <c r="H918" s="45" t="str">
        <f aca="false">IF($D918="","",IFERROR(INDEX(INSUMOS!$F$6:$F$205,MATCH($D918,INSUMOS!$A$6:$A$205,0)),0))</f>
        <v/>
      </c>
      <c r="I918" s="34" t="str">
        <f aca="false">IF($D918="","",N($G918)*$H918)</f>
        <v/>
      </c>
      <c r="J918" s="40"/>
      <c r="K918" s="36" t="str">
        <f aca="false">IF($D918="","",IFERROR(INDEX(INSUMOS!$H$6:$H$205,MATCH($D918,INSUMOS!$A$6:$A$205,0)),IVA_VENTAS))</f>
        <v/>
      </c>
      <c r="L918" s="35" t="str">
        <f aca="false">IF($D918="","",N($J918)*$K918)</f>
        <v/>
      </c>
      <c r="M918" s="35" t="str">
        <f aca="false">IF($D918="","",N($J918)+$L918)</f>
        <v/>
      </c>
      <c r="N918" s="43" t="str">
        <f aca="false">IF($D918="","",IFERROR(N($J918)/$I918,0))</f>
        <v/>
      </c>
      <c r="O918" s="6"/>
      <c r="P918" s="6"/>
      <c r="Q918" s="46" t="str">
        <f aca="false">IF($A918="","",DATE(YEAR($A918),MONTH($A918),1))</f>
        <v/>
      </c>
      <c r="R918" s="8" t="str">
        <f aca="false">IF(OR($A918="",$D918=""),"",IF(COUNTIFS($D$6:$D$1005,$D918,$A$6:$A$1005,"&gt;"&amp;$A918)=0,1,0))</f>
        <v/>
      </c>
    </row>
    <row r="919" customFormat="false" ht="15" hidden="false" customHeight="false" outlineLevel="0" collapsed="false">
      <c r="A919" s="44"/>
      <c r="B919" s="6"/>
      <c r="C919" s="6"/>
      <c r="D919" s="6"/>
      <c r="E919" s="8" t="str">
        <f aca="false">IF($D919="","",IFERROR(INDEX(INSUMOS!$B$6:$B$205,MATCH($D919,INSUMOS!$A$6:$A$205,0)),"¿Código?"))</f>
        <v/>
      </c>
      <c r="F919" s="8" t="str">
        <f aca="false">IF($D919="","",IFERROR(INDEX(INSUMOS!$E$6:$E$205,MATCH($D919,INSUMOS!$A$6:$A$205,0)),""))</f>
        <v/>
      </c>
      <c r="G919" s="39"/>
      <c r="H919" s="45" t="str">
        <f aca="false">IF($D919="","",IFERROR(INDEX(INSUMOS!$F$6:$F$205,MATCH($D919,INSUMOS!$A$6:$A$205,0)),0))</f>
        <v/>
      </c>
      <c r="I919" s="34" t="str">
        <f aca="false">IF($D919="","",N($G919)*$H919)</f>
        <v/>
      </c>
      <c r="J919" s="40"/>
      <c r="K919" s="36" t="str">
        <f aca="false">IF($D919="","",IFERROR(INDEX(INSUMOS!$H$6:$H$205,MATCH($D919,INSUMOS!$A$6:$A$205,0)),IVA_VENTAS))</f>
        <v/>
      </c>
      <c r="L919" s="35" t="str">
        <f aca="false">IF($D919="","",N($J919)*$K919)</f>
        <v/>
      </c>
      <c r="M919" s="35" t="str">
        <f aca="false">IF($D919="","",N($J919)+$L919)</f>
        <v/>
      </c>
      <c r="N919" s="43" t="str">
        <f aca="false">IF($D919="","",IFERROR(N($J919)/$I919,0))</f>
        <v/>
      </c>
      <c r="O919" s="6"/>
      <c r="P919" s="6"/>
      <c r="Q919" s="46" t="str">
        <f aca="false">IF($A919="","",DATE(YEAR($A919),MONTH($A919),1))</f>
        <v/>
      </c>
      <c r="R919" s="8" t="str">
        <f aca="false">IF(OR($A919="",$D919=""),"",IF(COUNTIFS($D$6:$D$1005,$D919,$A$6:$A$1005,"&gt;"&amp;$A919)=0,1,0))</f>
        <v/>
      </c>
    </row>
    <row r="920" customFormat="false" ht="15" hidden="false" customHeight="false" outlineLevel="0" collapsed="false">
      <c r="A920" s="44"/>
      <c r="B920" s="6"/>
      <c r="C920" s="6"/>
      <c r="D920" s="6"/>
      <c r="E920" s="8" t="str">
        <f aca="false">IF($D920="","",IFERROR(INDEX(INSUMOS!$B$6:$B$205,MATCH($D920,INSUMOS!$A$6:$A$205,0)),"¿Código?"))</f>
        <v/>
      </c>
      <c r="F920" s="8" t="str">
        <f aca="false">IF($D920="","",IFERROR(INDEX(INSUMOS!$E$6:$E$205,MATCH($D920,INSUMOS!$A$6:$A$205,0)),""))</f>
        <v/>
      </c>
      <c r="G920" s="39"/>
      <c r="H920" s="45" t="str">
        <f aca="false">IF($D920="","",IFERROR(INDEX(INSUMOS!$F$6:$F$205,MATCH($D920,INSUMOS!$A$6:$A$205,0)),0))</f>
        <v/>
      </c>
      <c r="I920" s="34" t="str">
        <f aca="false">IF($D920="","",N($G920)*$H920)</f>
        <v/>
      </c>
      <c r="J920" s="40"/>
      <c r="K920" s="36" t="str">
        <f aca="false">IF($D920="","",IFERROR(INDEX(INSUMOS!$H$6:$H$205,MATCH($D920,INSUMOS!$A$6:$A$205,0)),IVA_VENTAS))</f>
        <v/>
      </c>
      <c r="L920" s="35" t="str">
        <f aca="false">IF($D920="","",N($J920)*$K920)</f>
        <v/>
      </c>
      <c r="M920" s="35" t="str">
        <f aca="false">IF($D920="","",N($J920)+$L920)</f>
        <v/>
      </c>
      <c r="N920" s="43" t="str">
        <f aca="false">IF($D920="","",IFERROR(N($J920)/$I920,0))</f>
        <v/>
      </c>
      <c r="O920" s="6"/>
      <c r="P920" s="6"/>
      <c r="Q920" s="46" t="str">
        <f aca="false">IF($A920="","",DATE(YEAR($A920),MONTH($A920),1))</f>
        <v/>
      </c>
      <c r="R920" s="8" t="str">
        <f aca="false">IF(OR($A920="",$D920=""),"",IF(COUNTIFS($D$6:$D$1005,$D920,$A$6:$A$1005,"&gt;"&amp;$A920)=0,1,0))</f>
        <v/>
      </c>
    </row>
    <row r="921" customFormat="false" ht="15" hidden="false" customHeight="false" outlineLevel="0" collapsed="false">
      <c r="A921" s="44"/>
      <c r="B921" s="6"/>
      <c r="C921" s="6"/>
      <c r="D921" s="6"/>
      <c r="E921" s="8" t="str">
        <f aca="false">IF($D921="","",IFERROR(INDEX(INSUMOS!$B$6:$B$205,MATCH($D921,INSUMOS!$A$6:$A$205,0)),"¿Código?"))</f>
        <v/>
      </c>
      <c r="F921" s="8" t="str">
        <f aca="false">IF($D921="","",IFERROR(INDEX(INSUMOS!$E$6:$E$205,MATCH($D921,INSUMOS!$A$6:$A$205,0)),""))</f>
        <v/>
      </c>
      <c r="G921" s="39"/>
      <c r="H921" s="45" t="str">
        <f aca="false">IF($D921="","",IFERROR(INDEX(INSUMOS!$F$6:$F$205,MATCH($D921,INSUMOS!$A$6:$A$205,0)),0))</f>
        <v/>
      </c>
      <c r="I921" s="34" t="str">
        <f aca="false">IF($D921="","",N($G921)*$H921)</f>
        <v/>
      </c>
      <c r="J921" s="40"/>
      <c r="K921" s="36" t="str">
        <f aca="false">IF($D921="","",IFERROR(INDEX(INSUMOS!$H$6:$H$205,MATCH($D921,INSUMOS!$A$6:$A$205,0)),IVA_VENTAS))</f>
        <v/>
      </c>
      <c r="L921" s="35" t="str">
        <f aca="false">IF($D921="","",N($J921)*$K921)</f>
        <v/>
      </c>
      <c r="M921" s="35" t="str">
        <f aca="false">IF($D921="","",N($J921)+$L921)</f>
        <v/>
      </c>
      <c r="N921" s="43" t="str">
        <f aca="false">IF($D921="","",IFERROR(N($J921)/$I921,0))</f>
        <v/>
      </c>
      <c r="O921" s="6"/>
      <c r="P921" s="6"/>
      <c r="Q921" s="46" t="str">
        <f aca="false">IF($A921="","",DATE(YEAR($A921),MONTH($A921),1))</f>
        <v/>
      </c>
      <c r="R921" s="8" t="str">
        <f aca="false">IF(OR($A921="",$D921=""),"",IF(COUNTIFS($D$6:$D$1005,$D921,$A$6:$A$1005,"&gt;"&amp;$A921)=0,1,0))</f>
        <v/>
      </c>
    </row>
    <row r="922" customFormat="false" ht="15" hidden="false" customHeight="false" outlineLevel="0" collapsed="false">
      <c r="A922" s="44"/>
      <c r="B922" s="6"/>
      <c r="C922" s="6"/>
      <c r="D922" s="6"/>
      <c r="E922" s="8" t="str">
        <f aca="false">IF($D922="","",IFERROR(INDEX(INSUMOS!$B$6:$B$205,MATCH($D922,INSUMOS!$A$6:$A$205,0)),"¿Código?"))</f>
        <v/>
      </c>
      <c r="F922" s="8" t="str">
        <f aca="false">IF($D922="","",IFERROR(INDEX(INSUMOS!$E$6:$E$205,MATCH($D922,INSUMOS!$A$6:$A$205,0)),""))</f>
        <v/>
      </c>
      <c r="G922" s="39"/>
      <c r="H922" s="45" t="str">
        <f aca="false">IF($D922="","",IFERROR(INDEX(INSUMOS!$F$6:$F$205,MATCH($D922,INSUMOS!$A$6:$A$205,0)),0))</f>
        <v/>
      </c>
      <c r="I922" s="34" t="str">
        <f aca="false">IF($D922="","",N($G922)*$H922)</f>
        <v/>
      </c>
      <c r="J922" s="40"/>
      <c r="K922" s="36" t="str">
        <f aca="false">IF($D922="","",IFERROR(INDEX(INSUMOS!$H$6:$H$205,MATCH($D922,INSUMOS!$A$6:$A$205,0)),IVA_VENTAS))</f>
        <v/>
      </c>
      <c r="L922" s="35" t="str">
        <f aca="false">IF($D922="","",N($J922)*$K922)</f>
        <v/>
      </c>
      <c r="M922" s="35" t="str">
        <f aca="false">IF($D922="","",N($J922)+$L922)</f>
        <v/>
      </c>
      <c r="N922" s="43" t="str">
        <f aca="false">IF($D922="","",IFERROR(N($J922)/$I922,0))</f>
        <v/>
      </c>
      <c r="O922" s="6"/>
      <c r="P922" s="6"/>
      <c r="Q922" s="46" t="str">
        <f aca="false">IF($A922="","",DATE(YEAR($A922),MONTH($A922),1))</f>
        <v/>
      </c>
      <c r="R922" s="8" t="str">
        <f aca="false">IF(OR($A922="",$D922=""),"",IF(COUNTIFS($D$6:$D$1005,$D922,$A$6:$A$1005,"&gt;"&amp;$A922)=0,1,0))</f>
        <v/>
      </c>
    </row>
    <row r="923" customFormat="false" ht="15" hidden="false" customHeight="false" outlineLevel="0" collapsed="false">
      <c r="A923" s="44"/>
      <c r="B923" s="6"/>
      <c r="C923" s="6"/>
      <c r="D923" s="6"/>
      <c r="E923" s="8" t="str">
        <f aca="false">IF($D923="","",IFERROR(INDEX(INSUMOS!$B$6:$B$205,MATCH($D923,INSUMOS!$A$6:$A$205,0)),"¿Código?"))</f>
        <v/>
      </c>
      <c r="F923" s="8" t="str">
        <f aca="false">IF($D923="","",IFERROR(INDEX(INSUMOS!$E$6:$E$205,MATCH($D923,INSUMOS!$A$6:$A$205,0)),""))</f>
        <v/>
      </c>
      <c r="G923" s="39"/>
      <c r="H923" s="45" t="str">
        <f aca="false">IF($D923="","",IFERROR(INDEX(INSUMOS!$F$6:$F$205,MATCH($D923,INSUMOS!$A$6:$A$205,0)),0))</f>
        <v/>
      </c>
      <c r="I923" s="34" t="str">
        <f aca="false">IF($D923="","",N($G923)*$H923)</f>
        <v/>
      </c>
      <c r="J923" s="40"/>
      <c r="K923" s="36" t="str">
        <f aca="false">IF($D923="","",IFERROR(INDEX(INSUMOS!$H$6:$H$205,MATCH($D923,INSUMOS!$A$6:$A$205,0)),IVA_VENTAS))</f>
        <v/>
      </c>
      <c r="L923" s="35" t="str">
        <f aca="false">IF($D923="","",N($J923)*$K923)</f>
        <v/>
      </c>
      <c r="M923" s="35" t="str">
        <f aca="false">IF($D923="","",N($J923)+$L923)</f>
        <v/>
      </c>
      <c r="N923" s="43" t="str">
        <f aca="false">IF($D923="","",IFERROR(N($J923)/$I923,0))</f>
        <v/>
      </c>
      <c r="O923" s="6"/>
      <c r="P923" s="6"/>
      <c r="Q923" s="46" t="str">
        <f aca="false">IF($A923="","",DATE(YEAR($A923),MONTH($A923),1))</f>
        <v/>
      </c>
      <c r="R923" s="8" t="str">
        <f aca="false">IF(OR($A923="",$D923=""),"",IF(COUNTIFS($D$6:$D$1005,$D923,$A$6:$A$1005,"&gt;"&amp;$A923)=0,1,0))</f>
        <v/>
      </c>
    </row>
    <row r="924" customFormat="false" ht="15" hidden="false" customHeight="false" outlineLevel="0" collapsed="false">
      <c r="A924" s="44"/>
      <c r="B924" s="6"/>
      <c r="C924" s="6"/>
      <c r="D924" s="6"/>
      <c r="E924" s="8" t="str">
        <f aca="false">IF($D924="","",IFERROR(INDEX(INSUMOS!$B$6:$B$205,MATCH($D924,INSUMOS!$A$6:$A$205,0)),"¿Código?"))</f>
        <v/>
      </c>
      <c r="F924" s="8" t="str">
        <f aca="false">IF($D924="","",IFERROR(INDEX(INSUMOS!$E$6:$E$205,MATCH($D924,INSUMOS!$A$6:$A$205,0)),""))</f>
        <v/>
      </c>
      <c r="G924" s="39"/>
      <c r="H924" s="45" t="str">
        <f aca="false">IF($D924="","",IFERROR(INDEX(INSUMOS!$F$6:$F$205,MATCH($D924,INSUMOS!$A$6:$A$205,0)),0))</f>
        <v/>
      </c>
      <c r="I924" s="34" t="str">
        <f aca="false">IF($D924="","",N($G924)*$H924)</f>
        <v/>
      </c>
      <c r="J924" s="40"/>
      <c r="K924" s="36" t="str">
        <f aca="false">IF($D924="","",IFERROR(INDEX(INSUMOS!$H$6:$H$205,MATCH($D924,INSUMOS!$A$6:$A$205,0)),IVA_VENTAS))</f>
        <v/>
      </c>
      <c r="L924" s="35" t="str">
        <f aca="false">IF($D924="","",N($J924)*$K924)</f>
        <v/>
      </c>
      <c r="M924" s="35" t="str">
        <f aca="false">IF($D924="","",N($J924)+$L924)</f>
        <v/>
      </c>
      <c r="N924" s="43" t="str">
        <f aca="false">IF($D924="","",IFERROR(N($J924)/$I924,0))</f>
        <v/>
      </c>
      <c r="O924" s="6"/>
      <c r="P924" s="6"/>
      <c r="Q924" s="46" t="str">
        <f aca="false">IF($A924="","",DATE(YEAR($A924),MONTH($A924),1))</f>
        <v/>
      </c>
      <c r="R924" s="8" t="str">
        <f aca="false">IF(OR($A924="",$D924=""),"",IF(COUNTIFS($D$6:$D$1005,$D924,$A$6:$A$1005,"&gt;"&amp;$A924)=0,1,0))</f>
        <v/>
      </c>
    </row>
    <row r="925" customFormat="false" ht="15" hidden="false" customHeight="false" outlineLevel="0" collapsed="false">
      <c r="A925" s="44"/>
      <c r="B925" s="6"/>
      <c r="C925" s="6"/>
      <c r="D925" s="6"/>
      <c r="E925" s="8" t="str">
        <f aca="false">IF($D925="","",IFERROR(INDEX(INSUMOS!$B$6:$B$205,MATCH($D925,INSUMOS!$A$6:$A$205,0)),"¿Código?"))</f>
        <v/>
      </c>
      <c r="F925" s="8" t="str">
        <f aca="false">IF($D925="","",IFERROR(INDEX(INSUMOS!$E$6:$E$205,MATCH($D925,INSUMOS!$A$6:$A$205,0)),""))</f>
        <v/>
      </c>
      <c r="G925" s="39"/>
      <c r="H925" s="45" t="str">
        <f aca="false">IF($D925="","",IFERROR(INDEX(INSUMOS!$F$6:$F$205,MATCH($D925,INSUMOS!$A$6:$A$205,0)),0))</f>
        <v/>
      </c>
      <c r="I925" s="34" t="str">
        <f aca="false">IF($D925="","",N($G925)*$H925)</f>
        <v/>
      </c>
      <c r="J925" s="40"/>
      <c r="K925" s="36" t="str">
        <f aca="false">IF($D925="","",IFERROR(INDEX(INSUMOS!$H$6:$H$205,MATCH($D925,INSUMOS!$A$6:$A$205,0)),IVA_VENTAS))</f>
        <v/>
      </c>
      <c r="L925" s="35" t="str">
        <f aca="false">IF($D925="","",N($J925)*$K925)</f>
        <v/>
      </c>
      <c r="M925" s="35" t="str">
        <f aca="false">IF($D925="","",N($J925)+$L925)</f>
        <v/>
      </c>
      <c r="N925" s="43" t="str">
        <f aca="false">IF($D925="","",IFERROR(N($J925)/$I925,0))</f>
        <v/>
      </c>
      <c r="O925" s="6"/>
      <c r="P925" s="6"/>
      <c r="Q925" s="46" t="str">
        <f aca="false">IF($A925="","",DATE(YEAR($A925),MONTH($A925),1))</f>
        <v/>
      </c>
      <c r="R925" s="8" t="str">
        <f aca="false">IF(OR($A925="",$D925=""),"",IF(COUNTIFS($D$6:$D$1005,$D925,$A$6:$A$1005,"&gt;"&amp;$A925)=0,1,0))</f>
        <v/>
      </c>
    </row>
    <row r="926" customFormat="false" ht="15" hidden="false" customHeight="false" outlineLevel="0" collapsed="false">
      <c r="A926" s="44"/>
      <c r="B926" s="6"/>
      <c r="C926" s="6"/>
      <c r="D926" s="6"/>
      <c r="E926" s="8" t="str">
        <f aca="false">IF($D926="","",IFERROR(INDEX(INSUMOS!$B$6:$B$205,MATCH($D926,INSUMOS!$A$6:$A$205,0)),"¿Código?"))</f>
        <v/>
      </c>
      <c r="F926" s="8" t="str">
        <f aca="false">IF($D926="","",IFERROR(INDEX(INSUMOS!$E$6:$E$205,MATCH($D926,INSUMOS!$A$6:$A$205,0)),""))</f>
        <v/>
      </c>
      <c r="G926" s="39"/>
      <c r="H926" s="45" t="str">
        <f aca="false">IF($D926="","",IFERROR(INDEX(INSUMOS!$F$6:$F$205,MATCH($D926,INSUMOS!$A$6:$A$205,0)),0))</f>
        <v/>
      </c>
      <c r="I926" s="34" t="str">
        <f aca="false">IF($D926="","",N($G926)*$H926)</f>
        <v/>
      </c>
      <c r="J926" s="40"/>
      <c r="K926" s="36" t="str">
        <f aca="false">IF($D926="","",IFERROR(INDEX(INSUMOS!$H$6:$H$205,MATCH($D926,INSUMOS!$A$6:$A$205,0)),IVA_VENTAS))</f>
        <v/>
      </c>
      <c r="L926" s="35" t="str">
        <f aca="false">IF($D926="","",N($J926)*$K926)</f>
        <v/>
      </c>
      <c r="M926" s="35" t="str">
        <f aca="false">IF($D926="","",N($J926)+$L926)</f>
        <v/>
      </c>
      <c r="N926" s="43" t="str">
        <f aca="false">IF($D926="","",IFERROR(N($J926)/$I926,0))</f>
        <v/>
      </c>
      <c r="O926" s="6"/>
      <c r="P926" s="6"/>
      <c r="Q926" s="46" t="str">
        <f aca="false">IF($A926="","",DATE(YEAR($A926),MONTH($A926),1))</f>
        <v/>
      </c>
      <c r="R926" s="8" t="str">
        <f aca="false">IF(OR($A926="",$D926=""),"",IF(COUNTIFS($D$6:$D$1005,$D926,$A$6:$A$1005,"&gt;"&amp;$A926)=0,1,0))</f>
        <v/>
      </c>
    </row>
    <row r="927" customFormat="false" ht="15" hidden="false" customHeight="false" outlineLevel="0" collapsed="false">
      <c r="A927" s="44"/>
      <c r="B927" s="6"/>
      <c r="C927" s="6"/>
      <c r="D927" s="6"/>
      <c r="E927" s="8" t="str">
        <f aca="false">IF($D927="","",IFERROR(INDEX(INSUMOS!$B$6:$B$205,MATCH($D927,INSUMOS!$A$6:$A$205,0)),"¿Código?"))</f>
        <v/>
      </c>
      <c r="F927" s="8" t="str">
        <f aca="false">IF($D927="","",IFERROR(INDEX(INSUMOS!$E$6:$E$205,MATCH($D927,INSUMOS!$A$6:$A$205,0)),""))</f>
        <v/>
      </c>
      <c r="G927" s="39"/>
      <c r="H927" s="45" t="str">
        <f aca="false">IF($D927="","",IFERROR(INDEX(INSUMOS!$F$6:$F$205,MATCH($D927,INSUMOS!$A$6:$A$205,0)),0))</f>
        <v/>
      </c>
      <c r="I927" s="34" t="str">
        <f aca="false">IF($D927="","",N($G927)*$H927)</f>
        <v/>
      </c>
      <c r="J927" s="40"/>
      <c r="K927" s="36" t="str">
        <f aca="false">IF($D927="","",IFERROR(INDEX(INSUMOS!$H$6:$H$205,MATCH($D927,INSUMOS!$A$6:$A$205,0)),IVA_VENTAS))</f>
        <v/>
      </c>
      <c r="L927" s="35" t="str">
        <f aca="false">IF($D927="","",N($J927)*$K927)</f>
        <v/>
      </c>
      <c r="M927" s="35" t="str">
        <f aca="false">IF($D927="","",N($J927)+$L927)</f>
        <v/>
      </c>
      <c r="N927" s="43" t="str">
        <f aca="false">IF($D927="","",IFERROR(N($J927)/$I927,0))</f>
        <v/>
      </c>
      <c r="O927" s="6"/>
      <c r="P927" s="6"/>
      <c r="Q927" s="46" t="str">
        <f aca="false">IF($A927="","",DATE(YEAR($A927),MONTH($A927),1))</f>
        <v/>
      </c>
      <c r="R927" s="8" t="str">
        <f aca="false">IF(OR($A927="",$D927=""),"",IF(COUNTIFS($D$6:$D$1005,$D927,$A$6:$A$1005,"&gt;"&amp;$A927)=0,1,0))</f>
        <v/>
      </c>
    </row>
    <row r="928" customFormat="false" ht="15" hidden="false" customHeight="false" outlineLevel="0" collapsed="false">
      <c r="A928" s="44"/>
      <c r="B928" s="6"/>
      <c r="C928" s="6"/>
      <c r="D928" s="6"/>
      <c r="E928" s="8" t="str">
        <f aca="false">IF($D928="","",IFERROR(INDEX(INSUMOS!$B$6:$B$205,MATCH($D928,INSUMOS!$A$6:$A$205,0)),"¿Código?"))</f>
        <v/>
      </c>
      <c r="F928" s="8" t="str">
        <f aca="false">IF($D928="","",IFERROR(INDEX(INSUMOS!$E$6:$E$205,MATCH($D928,INSUMOS!$A$6:$A$205,0)),""))</f>
        <v/>
      </c>
      <c r="G928" s="39"/>
      <c r="H928" s="45" t="str">
        <f aca="false">IF($D928="","",IFERROR(INDEX(INSUMOS!$F$6:$F$205,MATCH($D928,INSUMOS!$A$6:$A$205,0)),0))</f>
        <v/>
      </c>
      <c r="I928" s="34" t="str">
        <f aca="false">IF($D928="","",N($G928)*$H928)</f>
        <v/>
      </c>
      <c r="J928" s="40"/>
      <c r="K928" s="36" t="str">
        <f aca="false">IF($D928="","",IFERROR(INDEX(INSUMOS!$H$6:$H$205,MATCH($D928,INSUMOS!$A$6:$A$205,0)),IVA_VENTAS))</f>
        <v/>
      </c>
      <c r="L928" s="35" t="str">
        <f aca="false">IF($D928="","",N($J928)*$K928)</f>
        <v/>
      </c>
      <c r="M928" s="35" t="str">
        <f aca="false">IF($D928="","",N($J928)+$L928)</f>
        <v/>
      </c>
      <c r="N928" s="43" t="str">
        <f aca="false">IF($D928="","",IFERROR(N($J928)/$I928,0))</f>
        <v/>
      </c>
      <c r="O928" s="6"/>
      <c r="P928" s="6"/>
      <c r="Q928" s="46" t="str">
        <f aca="false">IF($A928="","",DATE(YEAR($A928),MONTH($A928),1))</f>
        <v/>
      </c>
      <c r="R928" s="8" t="str">
        <f aca="false">IF(OR($A928="",$D928=""),"",IF(COUNTIFS($D$6:$D$1005,$D928,$A$6:$A$1005,"&gt;"&amp;$A928)=0,1,0))</f>
        <v/>
      </c>
    </row>
    <row r="929" customFormat="false" ht="15" hidden="false" customHeight="false" outlineLevel="0" collapsed="false">
      <c r="A929" s="44"/>
      <c r="B929" s="6"/>
      <c r="C929" s="6"/>
      <c r="D929" s="6"/>
      <c r="E929" s="8" t="str">
        <f aca="false">IF($D929="","",IFERROR(INDEX(INSUMOS!$B$6:$B$205,MATCH($D929,INSUMOS!$A$6:$A$205,0)),"¿Código?"))</f>
        <v/>
      </c>
      <c r="F929" s="8" t="str">
        <f aca="false">IF($D929="","",IFERROR(INDEX(INSUMOS!$E$6:$E$205,MATCH($D929,INSUMOS!$A$6:$A$205,0)),""))</f>
        <v/>
      </c>
      <c r="G929" s="39"/>
      <c r="H929" s="45" t="str">
        <f aca="false">IF($D929="","",IFERROR(INDEX(INSUMOS!$F$6:$F$205,MATCH($D929,INSUMOS!$A$6:$A$205,0)),0))</f>
        <v/>
      </c>
      <c r="I929" s="34" t="str">
        <f aca="false">IF($D929="","",N($G929)*$H929)</f>
        <v/>
      </c>
      <c r="J929" s="40"/>
      <c r="K929" s="36" t="str">
        <f aca="false">IF($D929="","",IFERROR(INDEX(INSUMOS!$H$6:$H$205,MATCH($D929,INSUMOS!$A$6:$A$205,0)),IVA_VENTAS))</f>
        <v/>
      </c>
      <c r="L929" s="35" t="str">
        <f aca="false">IF($D929="","",N($J929)*$K929)</f>
        <v/>
      </c>
      <c r="M929" s="35" t="str">
        <f aca="false">IF($D929="","",N($J929)+$L929)</f>
        <v/>
      </c>
      <c r="N929" s="43" t="str">
        <f aca="false">IF($D929="","",IFERROR(N($J929)/$I929,0))</f>
        <v/>
      </c>
      <c r="O929" s="6"/>
      <c r="P929" s="6"/>
      <c r="Q929" s="46" t="str">
        <f aca="false">IF($A929="","",DATE(YEAR($A929),MONTH($A929),1))</f>
        <v/>
      </c>
      <c r="R929" s="8" t="str">
        <f aca="false">IF(OR($A929="",$D929=""),"",IF(COUNTIFS($D$6:$D$1005,$D929,$A$6:$A$1005,"&gt;"&amp;$A929)=0,1,0))</f>
        <v/>
      </c>
    </row>
    <row r="930" customFormat="false" ht="15" hidden="false" customHeight="false" outlineLevel="0" collapsed="false">
      <c r="A930" s="44"/>
      <c r="B930" s="6"/>
      <c r="C930" s="6"/>
      <c r="D930" s="6"/>
      <c r="E930" s="8" t="str">
        <f aca="false">IF($D930="","",IFERROR(INDEX(INSUMOS!$B$6:$B$205,MATCH($D930,INSUMOS!$A$6:$A$205,0)),"¿Código?"))</f>
        <v/>
      </c>
      <c r="F930" s="8" t="str">
        <f aca="false">IF($D930="","",IFERROR(INDEX(INSUMOS!$E$6:$E$205,MATCH($D930,INSUMOS!$A$6:$A$205,0)),""))</f>
        <v/>
      </c>
      <c r="G930" s="39"/>
      <c r="H930" s="45" t="str">
        <f aca="false">IF($D930="","",IFERROR(INDEX(INSUMOS!$F$6:$F$205,MATCH($D930,INSUMOS!$A$6:$A$205,0)),0))</f>
        <v/>
      </c>
      <c r="I930" s="34" t="str">
        <f aca="false">IF($D930="","",N($G930)*$H930)</f>
        <v/>
      </c>
      <c r="J930" s="40"/>
      <c r="K930" s="36" t="str">
        <f aca="false">IF($D930="","",IFERROR(INDEX(INSUMOS!$H$6:$H$205,MATCH($D930,INSUMOS!$A$6:$A$205,0)),IVA_VENTAS))</f>
        <v/>
      </c>
      <c r="L930" s="35" t="str">
        <f aca="false">IF($D930="","",N($J930)*$K930)</f>
        <v/>
      </c>
      <c r="M930" s="35" t="str">
        <f aca="false">IF($D930="","",N($J930)+$L930)</f>
        <v/>
      </c>
      <c r="N930" s="43" t="str">
        <f aca="false">IF($D930="","",IFERROR(N($J930)/$I930,0))</f>
        <v/>
      </c>
      <c r="O930" s="6"/>
      <c r="P930" s="6"/>
      <c r="Q930" s="46" t="str">
        <f aca="false">IF($A930="","",DATE(YEAR($A930),MONTH($A930),1))</f>
        <v/>
      </c>
      <c r="R930" s="8" t="str">
        <f aca="false">IF(OR($A930="",$D930=""),"",IF(COUNTIFS($D$6:$D$1005,$D930,$A$6:$A$1005,"&gt;"&amp;$A930)=0,1,0))</f>
        <v/>
      </c>
    </row>
    <row r="931" customFormat="false" ht="15" hidden="false" customHeight="false" outlineLevel="0" collapsed="false">
      <c r="A931" s="44"/>
      <c r="B931" s="6"/>
      <c r="C931" s="6"/>
      <c r="D931" s="6"/>
      <c r="E931" s="8" t="str">
        <f aca="false">IF($D931="","",IFERROR(INDEX(INSUMOS!$B$6:$B$205,MATCH($D931,INSUMOS!$A$6:$A$205,0)),"¿Código?"))</f>
        <v/>
      </c>
      <c r="F931" s="8" t="str">
        <f aca="false">IF($D931="","",IFERROR(INDEX(INSUMOS!$E$6:$E$205,MATCH($D931,INSUMOS!$A$6:$A$205,0)),""))</f>
        <v/>
      </c>
      <c r="G931" s="39"/>
      <c r="H931" s="45" t="str">
        <f aca="false">IF($D931="","",IFERROR(INDEX(INSUMOS!$F$6:$F$205,MATCH($D931,INSUMOS!$A$6:$A$205,0)),0))</f>
        <v/>
      </c>
      <c r="I931" s="34" t="str">
        <f aca="false">IF($D931="","",N($G931)*$H931)</f>
        <v/>
      </c>
      <c r="J931" s="40"/>
      <c r="K931" s="36" t="str">
        <f aca="false">IF($D931="","",IFERROR(INDEX(INSUMOS!$H$6:$H$205,MATCH($D931,INSUMOS!$A$6:$A$205,0)),IVA_VENTAS))</f>
        <v/>
      </c>
      <c r="L931" s="35" t="str">
        <f aca="false">IF($D931="","",N($J931)*$K931)</f>
        <v/>
      </c>
      <c r="M931" s="35" t="str">
        <f aca="false">IF($D931="","",N($J931)+$L931)</f>
        <v/>
      </c>
      <c r="N931" s="43" t="str">
        <f aca="false">IF($D931="","",IFERROR(N($J931)/$I931,0))</f>
        <v/>
      </c>
      <c r="O931" s="6"/>
      <c r="P931" s="6"/>
      <c r="Q931" s="46" t="str">
        <f aca="false">IF($A931="","",DATE(YEAR($A931),MONTH($A931),1))</f>
        <v/>
      </c>
      <c r="R931" s="8" t="str">
        <f aca="false">IF(OR($A931="",$D931=""),"",IF(COUNTIFS($D$6:$D$1005,$D931,$A$6:$A$1005,"&gt;"&amp;$A931)=0,1,0))</f>
        <v/>
      </c>
    </row>
    <row r="932" customFormat="false" ht="15" hidden="false" customHeight="false" outlineLevel="0" collapsed="false">
      <c r="A932" s="44"/>
      <c r="B932" s="6"/>
      <c r="C932" s="6"/>
      <c r="D932" s="6"/>
      <c r="E932" s="8" t="str">
        <f aca="false">IF($D932="","",IFERROR(INDEX(INSUMOS!$B$6:$B$205,MATCH($D932,INSUMOS!$A$6:$A$205,0)),"¿Código?"))</f>
        <v/>
      </c>
      <c r="F932" s="8" t="str">
        <f aca="false">IF($D932="","",IFERROR(INDEX(INSUMOS!$E$6:$E$205,MATCH($D932,INSUMOS!$A$6:$A$205,0)),""))</f>
        <v/>
      </c>
      <c r="G932" s="39"/>
      <c r="H932" s="45" t="str">
        <f aca="false">IF($D932="","",IFERROR(INDEX(INSUMOS!$F$6:$F$205,MATCH($D932,INSUMOS!$A$6:$A$205,0)),0))</f>
        <v/>
      </c>
      <c r="I932" s="34" t="str">
        <f aca="false">IF($D932="","",N($G932)*$H932)</f>
        <v/>
      </c>
      <c r="J932" s="40"/>
      <c r="K932" s="36" t="str">
        <f aca="false">IF($D932="","",IFERROR(INDEX(INSUMOS!$H$6:$H$205,MATCH($D932,INSUMOS!$A$6:$A$205,0)),IVA_VENTAS))</f>
        <v/>
      </c>
      <c r="L932" s="35" t="str">
        <f aca="false">IF($D932="","",N($J932)*$K932)</f>
        <v/>
      </c>
      <c r="M932" s="35" t="str">
        <f aca="false">IF($D932="","",N($J932)+$L932)</f>
        <v/>
      </c>
      <c r="N932" s="43" t="str">
        <f aca="false">IF($D932="","",IFERROR(N($J932)/$I932,0))</f>
        <v/>
      </c>
      <c r="O932" s="6"/>
      <c r="P932" s="6"/>
      <c r="Q932" s="46" t="str">
        <f aca="false">IF($A932="","",DATE(YEAR($A932),MONTH($A932),1))</f>
        <v/>
      </c>
      <c r="R932" s="8" t="str">
        <f aca="false">IF(OR($A932="",$D932=""),"",IF(COUNTIFS($D$6:$D$1005,$D932,$A$6:$A$1005,"&gt;"&amp;$A932)=0,1,0))</f>
        <v/>
      </c>
    </row>
    <row r="933" customFormat="false" ht="15" hidden="false" customHeight="false" outlineLevel="0" collapsed="false">
      <c r="A933" s="44"/>
      <c r="B933" s="6"/>
      <c r="C933" s="6"/>
      <c r="D933" s="6"/>
      <c r="E933" s="8" t="str">
        <f aca="false">IF($D933="","",IFERROR(INDEX(INSUMOS!$B$6:$B$205,MATCH($D933,INSUMOS!$A$6:$A$205,0)),"¿Código?"))</f>
        <v/>
      </c>
      <c r="F933" s="8" t="str">
        <f aca="false">IF($D933="","",IFERROR(INDEX(INSUMOS!$E$6:$E$205,MATCH($D933,INSUMOS!$A$6:$A$205,0)),""))</f>
        <v/>
      </c>
      <c r="G933" s="39"/>
      <c r="H933" s="45" t="str">
        <f aca="false">IF($D933="","",IFERROR(INDEX(INSUMOS!$F$6:$F$205,MATCH($D933,INSUMOS!$A$6:$A$205,0)),0))</f>
        <v/>
      </c>
      <c r="I933" s="34" t="str">
        <f aca="false">IF($D933="","",N($G933)*$H933)</f>
        <v/>
      </c>
      <c r="J933" s="40"/>
      <c r="K933" s="36" t="str">
        <f aca="false">IF($D933="","",IFERROR(INDEX(INSUMOS!$H$6:$H$205,MATCH($D933,INSUMOS!$A$6:$A$205,0)),IVA_VENTAS))</f>
        <v/>
      </c>
      <c r="L933" s="35" t="str">
        <f aca="false">IF($D933="","",N($J933)*$K933)</f>
        <v/>
      </c>
      <c r="M933" s="35" t="str">
        <f aca="false">IF($D933="","",N($J933)+$L933)</f>
        <v/>
      </c>
      <c r="N933" s="43" t="str">
        <f aca="false">IF($D933="","",IFERROR(N($J933)/$I933,0))</f>
        <v/>
      </c>
      <c r="O933" s="6"/>
      <c r="P933" s="6"/>
      <c r="Q933" s="46" t="str">
        <f aca="false">IF($A933="","",DATE(YEAR($A933),MONTH($A933),1))</f>
        <v/>
      </c>
      <c r="R933" s="8" t="str">
        <f aca="false">IF(OR($A933="",$D933=""),"",IF(COUNTIFS($D$6:$D$1005,$D933,$A$6:$A$1005,"&gt;"&amp;$A933)=0,1,0))</f>
        <v/>
      </c>
    </row>
    <row r="934" customFormat="false" ht="15" hidden="false" customHeight="false" outlineLevel="0" collapsed="false">
      <c r="A934" s="44"/>
      <c r="B934" s="6"/>
      <c r="C934" s="6"/>
      <c r="D934" s="6"/>
      <c r="E934" s="8" t="str">
        <f aca="false">IF($D934="","",IFERROR(INDEX(INSUMOS!$B$6:$B$205,MATCH($D934,INSUMOS!$A$6:$A$205,0)),"¿Código?"))</f>
        <v/>
      </c>
      <c r="F934" s="8" t="str">
        <f aca="false">IF($D934="","",IFERROR(INDEX(INSUMOS!$E$6:$E$205,MATCH($D934,INSUMOS!$A$6:$A$205,0)),""))</f>
        <v/>
      </c>
      <c r="G934" s="39"/>
      <c r="H934" s="45" t="str">
        <f aca="false">IF($D934="","",IFERROR(INDEX(INSUMOS!$F$6:$F$205,MATCH($D934,INSUMOS!$A$6:$A$205,0)),0))</f>
        <v/>
      </c>
      <c r="I934" s="34" t="str">
        <f aca="false">IF($D934="","",N($G934)*$H934)</f>
        <v/>
      </c>
      <c r="J934" s="40"/>
      <c r="K934" s="36" t="str">
        <f aca="false">IF($D934="","",IFERROR(INDEX(INSUMOS!$H$6:$H$205,MATCH($D934,INSUMOS!$A$6:$A$205,0)),IVA_VENTAS))</f>
        <v/>
      </c>
      <c r="L934" s="35" t="str">
        <f aca="false">IF($D934="","",N($J934)*$K934)</f>
        <v/>
      </c>
      <c r="M934" s="35" t="str">
        <f aca="false">IF($D934="","",N($J934)+$L934)</f>
        <v/>
      </c>
      <c r="N934" s="43" t="str">
        <f aca="false">IF($D934="","",IFERROR(N($J934)/$I934,0))</f>
        <v/>
      </c>
      <c r="O934" s="6"/>
      <c r="P934" s="6"/>
      <c r="Q934" s="46" t="str">
        <f aca="false">IF($A934="","",DATE(YEAR($A934),MONTH($A934),1))</f>
        <v/>
      </c>
      <c r="R934" s="8" t="str">
        <f aca="false">IF(OR($A934="",$D934=""),"",IF(COUNTIFS($D$6:$D$1005,$D934,$A$6:$A$1005,"&gt;"&amp;$A934)=0,1,0))</f>
        <v/>
      </c>
    </row>
    <row r="935" customFormat="false" ht="15" hidden="false" customHeight="false" outlineLevel="0" collapsed="false">
      <c r="A935" s="44"/>
      <c r="B935" s="6"/>
      <c r="C935" s="6"/>
      <c r="D935" s="6"/>
      <c r="E935" s="8" t="str">
        <f aca="false">IF($D935="","",IFERROR(INDEX(INSUMOS!$B$6:$B$205,MATCH($D935,INSUMOS!$A$6:$A$205,0)),"¿Código?"))</f>
        <v/>
      </c>
      <c r="F935" s="8" t="str">
        <f aca="false">IF($D935="","",IFERROR(INDEX(INSUMOS!$E$6:$E$205,MATCH($D935,INSUMOS!$A$6:$A$205,0)),""))</f>
        <v/>
      </c>
      <c r="G935" s="39"/>
      <c r="H935" s="45" t="str">
        <f aca="false">IF($D935="","",IFERROR(INDEX(INSUMOS!$F$6:$F$205,MATCH($D935,INSUMOS!$A$6:$A$205,0)),0))</f>
        <v/>
      </c>
      <c r="I935" s="34" t="str">
        <f aca="false">IF($D935="","",N($G935)*$H935)</f>
        <v/>
      </c>
      <c r="J935" s="40"/>
      <c r="K935" s="36" t="str">
        <f aca="false">IF($D935="","",IFERROR(INDEX(INSUMOS!$H$6:$H$205,MATCH($D935,INSUMOS!$A$6:$A$205,0)),IVA_VENTAS))</f>
        <v/>
      </c>
      <c r="L935" s="35" t="str">
        <f aca="false">IF($D935="","",N($J935)*$K935)</f>
        <v/>
      </c>
      <c r="M935" s="35" t="str">
        <f aca="false">IF($D935="","",N($J935)+$L935)</f>
        <v/>
      </c>
      <c r="N935" s="43" t="str">
        <f aca="false">IF($D935="","",IFERROR(N($J935)/$I935,0))</f>
        <v/>
      </c>
      <c r="O935" s="6"/>
      <c r="P935" s="6"/>
      <c r="Q935" s="46" t="str">
        <f aca="false">IF($A935="","",DATE(YEAR($A935),MONTH($A935),1))</f>
        <v/>
      </c>
      <c r="R935" s="8" t="str">
        <f aca="false">IF(OR($A935="",$D935=""),"",IF(COUNTIFS($D$6:$D$1005,$D935,$A$6:$A$1005,"&gt;"&amp;$A935)=0,1,0))</f>
        <v/>
      </c>
    </row>
    <row r="936" customFormat="false" ht="15" hidden="false" customHeight="false" outlineLevel="0" collapsed="false">
      <c r="A936" s="44"/>
      <c r="B936" s="6"/>
      <c r="C936" s="6"/>
      <c r="D936" s="6"/>
      <c r="E936" s="8" t="str">
        <f aca="false">IF($D936="","",IFERROR(INDEX(INSUMOS!$B$6:$B$205,MATCH($D936,INSUMOS!$A$6:$A$205,0)),"¿Código?"))</f>
        <v/>
      </c>
      <c r="F936" s="8" t="str">
        <f aca="false">IF($D936="","",IFERROR(INDEX(INSUMOS!$E$6:$E$205,MATCH($D936,INSUMOS!$A$6:$A$205,0)),""))</f>
        <v/>
      </c>
      <c r="G936" s="39"/>
      <c r="H936" s="45" t="str">
        <f aca="false">IF($D936="","",IFERROR(INDEX(INSUMOS!$F$6:$F$205,MATCH($D936,INSUMOS!$A$6:$A$205,0)),0))</f>
        <v/>
      </c>
      <c r="I936" s="34" t="str">
        <f aca="false">IF($D936="","",N($G936)*$H936)</f>
        <v/>
      </c>
      <c r="J936" s="40"/>
      <c r="K936" s="36" t="str">
        <f aca="false">IF($D936="","",IFERROR(INDEX(INSUMOS!$H$6:$H$205,MATCH($D936,INSUMOS!$A$6:$A$205,0)),IVA_VENTAS))</f>
        <v/>
      </c>
      <c r="L936" s="35" t="str">
        <f aca="false">IF($D936="","",N($J936)*$K936)</f>
        <v/>
      </c>
      <c r="M936" s="35" t="str">
        <f aca="false">IF($D936="","",N($J936)+$L936)</f>
        <v/>
      </c>
      <c r="N936" s="43" t="str">
        <f aca="false">IF($D936="","",IFERROR(N($J936)/$I936,0))</f>
        <v/>
      </c>
      <c r="O936" s="6"/>
      <c r="P936" s="6"/>
      <c r="Q936" s="46" t="str">
        <f aca="false">IF($A936="","",DATE(YEAR($A936),MONTH($A936),1))</f>
        <v/>
      </c>
      <c r="R936" s="8" t="str">
        <f aca="false">IF(OR($A936="",$D936=""),"",IF(COUNTIFS($D$6:$D$1005,$D936,$A$6:$A$1005,"&gt;"&amp;$A936)=0,1,0))</f>
        <v/>
      </c>
    </row>
    <row r="937" customFormat="false" ht="15" hidden="false" customHeight="false" outlineLevel="0" collapsed="false">
      <c r="A937" s="44"/>
      <c r="B937" s="6"/>
      <c r="C937" s="6"/>
      <c r="D937" s="6"/>
      <c r="E937" s="8" t="str">
        <f aca="false">IF($D937="","",IFERROR(INDEX(INSUMOS!$B$6:$B$205,MATCH($D937,INSUMOS!$A$6:$A$205,0)),"¿Código?"))</f>
        <v/>
      </c>
      <c r="F937" s="8" t="str">
        <f aca="false">IF($D937="","",IFERROR(INDEX(INSUMOS!$E$6:$E$205,MATCH($D937,INSUMOS!$A$6:$A$205,0)),""))</f>
        <v/>
      </c>
      <c r="G937" s="39"/>
      <c r="H937" s="45" t="str">
        <f aca="false">IF($D937="","",IFERROR(INDEX(INSUMOS!$F$6:$F$205,MATCH($D937,INSUMOS!$A$6:$A$205,0)),0))</f>
        <v/>
      </c>
      <c r="I937" s="34" t="str">
        <f aca="false">IF($D937="","",N($G937)*$H937)</f>
        <v/>
      </c>
      <c r="J937" s="40"/>
      <c r="K937" s="36" t="str">
        <f aca="false">IF($D937="","",IFERROR(INDEX(INSUMOS!$H$6:$H$205,MATCH($D937,INSUMOS!$A$6:$A$205,0)),IVA_VENTAS))</f>
        <v/>
      </c>
      <c r="L937" s="35" t="str">
        <f aca="false">IF($D937="","",N($J937)*$K937)</f>
        <v/>
      </c>
      <c r="M937" s="35" t="str">
        <f aca="false">IF($D937="","",N($J937)+$L937)</f>
        <v/>
      </c>
      <c r="N937" s="43" t="str">
        <f aca="false">IF($D937="","",IFERROR(N($J937)/$I937,0))</f>
        <v/>
      </c>
      <c r="O937" s="6"/>
      <c r="P937" s="6"/>
      <c r="Q937" s="46" t="str">
        <f aca="false">IF($A937="","",DATE(YEAR($A937),MONTH($A937),1))</f>
        <v/>
      </c>
      <c r="R937" s="8" t="str">
        <f aca="false">IF(OR($A937="",$D937=""),"",IF(COUNTIFS($D$6:$D$1005,$D937,$A$6:$A$1005,"&gt;"&amp;$A937)=0,1,0))</f>
        <v/>
      </c>
    </row>
    <row r="938" customFormat="false" ht="15" hidden="false" customHeight="false" outlineLevel="0" collapsed="false">
      <c r="A938" s="44"/>
      <c r="B938" s="6"/>
      <c r="C938" s="6"/>
      <c r="D938" s="6"/>
      <c r="E938" s="8" t="str">
        <f aca="false">IF($D938="","",IFERROR(INDEX(INSUMOS!$B$6:$B$205,MATCH($D938,INSUMOS!$A$6:$A$205,0)),"¿Código?"))</f>
        <v/>
      </c>
      <c r="F938" s="8" t="str">
        <f aca="false">IF($D938="","",IFERROR(INDEX(INSUMOS!$E$6:$E$205,MATCH($D938,INSUMOS!$A$6:$A$205,0)),""))</f>
        <v/>
      </c>
      <c r="G938" s="39"/>
      <c r="H938" s="45" t="str">
        <f aca="false">IF($D938="","",IFERROR(INDEX(INSUMOS!$F$6:$F$205,MATCH($D938,INSUMOS!$A$6:$A$205,0)),0))</f>
        <v/>
      </c>
      <c r="I938" s="34" t="str">
        <f aca="false">IF($D938="","",N($G938)*$H938)</f>
        <v/>
      </c>
      <c r="J938" s="40"/>
      <c r="K938" s="36" t="str">
        <f aca="false">IF($D938="","",IFERROR(INDEX(INSUMOS!$H$6:$H$205,MATCH($D938,INSUMOS!$A$6:$A$205,0)),IVA_VENTAS))</f>
        <v/>
      </c>
      <c r="L938" s="35" t="str">
        <f aca="false">IF($D938="","",N($J938)*$K938)</f>
        <v/>
      </c>
      <c r="M938" s="35" t="str">
        <f aca="false">IF($D938="","",N($J938)+$L938)</f>
        <v/>
      </c>
      <c r="N938" s="43" t="str">
        <f aca="false">IF($D938="","",IFERROR(N($J938)/$I938,0))</f>
        <v/>
      </c>
      <c r="O938" s="6"/>
      <c r="P938" s="6"/>
      <c r="Q938" s="46" t="str">
        <f aca="false">IF($A938="","",DATE(YEAR($A938),MONTH($A938),1))</f>
        <v/>
      </c>
      <c r="R938" s="8" t="str">
        <f aca="false">IF(OR($A938="",$D938=""),"",IF(COUNTIFS($D$6:$D$1005,$D938,$A$6:$A$1005,"&gt;"&amp;$A938)=0,1,0))</f>
        <v/>
      </c>
    </row>
    <row r="939" customFormat="false" ht="15" hidden="false" customHeight="false" outlineLevel="0" collapsed="false">
      <c r="A939" s="44"/>
      <c r="B939" s="6"/>
      <c r="C939" s="6"/>
      <c r="D939" s="6"/>
      <c r="E939" s="8" t="str">
        <f aca="false">IF($D939="","",IFERROR(INDEX(INSUMOS!$B$6:$B$205,MATCH($D939,INSUMOS!$A$6:$A$205,0)),"¿Código?"))</f>
        <v/>
      </c>
      <c r="F939" s="8" t="str">
        <f aca="false">IF($D939="","",IFERROR(INDEX(INSUMOS!$E$6:$E$205,MATCH($D939,INSUMOS!$A$6:$A$205,0)),""))</f>
        <v/>
      </c>
      <c r="G939" s="39"/>
      <c r="H939" s="45" t="str">
        <f aca="false">IF($D939="","",IFERROR(INDEX(INSUMOS!$F$6:$F$205,MATCH($D939,INSUMOS!$A$6:$A$205,0)),0))</f>
        <v/>
      </c>
      <c r="I939" s="34" t="str">
        <f aca="false">IF($D939="","",N($G939)*$H939)</f>
        <v/>
      </c>
      <c r="J939" s="40"/>
      <c r="K939" s="36" t="str">
        <f aca="false">IF($D939="","",IFERROR(INDEX(INSUMOS!$H$6:$H$205,MATCH($D939,INSUMOS!$A$6:$A$205,0)),IVA_VENTAS))</f>
        <v/>
      </c>
      <c r="L939" s="35" t="str">
        <f aca="false">IF($D939="","",N($J939)*$K939)</f>
        <v/>
      </c>
      <c r="M939" s="35" t="str">
        <f aca="false">IF($D939="","",N($J939)+$L939)</f>
        <v/>
      </c>
      <c r="N939" s="43" t="str">
        <f aca="false">IF($D939="","",IFERROR(N($J939)/$I939,0))</f>
        <v/>
      </c>
      <c r="O939" s="6"/>
      <c r="P939" s="6"/>
      <c r="Q939" s="46" t="str">
        <f aca="false">IF($A939="","",DATE(YEAR($A939),MONTH($A939),1))</f>
        <v/>
      </c>
      <c r="R939" s="8" t="str">
        <f aca="false">IF(OR($A939="",$D939=""),"",IF(COUNTIFS($D$6:$D$1005,$D939,$A$6:$A$1005,"&gt;"&amp;$A939)=0,1,0))</f>
        <v/>
      </c>
    </row>
    <row r="940" customFormat="false" ht="15" hidden="false" customHeight="false" outlineLevel="0" collapsed="false">
      <c r="A940" s="44"/>
      <c r="B940" s="6"/>
      <c r="C940" s="6"/>
      <c r="D940" s="6"/>
      <c r="E940" s="8" t="str">
        <f aca="false">IF($D940="","",IFERROR(INDEX(INSUMOS!$B$6:$B$205,MATCH($D940,INSUMOS!$A$6:$A$205,0)),"¿Código?"))</f>
        <v/>
      </c>
      <c r="F940" s="8" t="str">
        <f aca="false">IF($D940="","",IFERROR(INDEX(INSUMOS!$E$6:$E$205,MATCH($D940,INSUMOS!$A$6:$A$205,0)),""))</f>
        <v/>
      </c>
      <c r="G940" s="39"/>
      <c r="H940" s="45" t="str">
        <f aca="false">IF($D940="","",IFERROR(INDEX(INSUMOS!$F$6:$F$205,MATCH($D940,INSUMOS!$A$6:$A$205,0)),0))</f>
        <v/>
      </c>
      <c r="I940" s="34" t="str">
        <f aca="false">IF($D940="","",N($G940)*$H940)</f>
        <v/>
      </c>
      <c r="J940" s="40"/>
      <c r="K940" s="36" t="str">
        <f aca="false">IF($D940="","",IFERROR(INDEX(INSUMOS!$H$6:$H$205,MATCH($D940,INSUMOS!$A$6:$A$205,0)),IVA_VENTAS))</f>
        <v/>
      </c>
      <c r="L940" s="35" t="str">
        <f aca="false">IF($D940="","",N($J940)*$K940)</f>
        <v/>
      </c>
      <c r="M940" s="35" t="str">
        <f aca="false">IF($D940="","",N($J940)+$L940)</f>
        <v/>
      </c>
      <c r="N940" s="43" t="str">
        <f aca="false">IF($D940="","",IFERROR(N($J940)/$I940,0))</f>
        <v/>
      </c>
      <c r="O940" s="6"/>
      <c r="P940" s="6"/>
      <c r="Q940" s="46" t="str">
        <f aca="false">IF($A940="","",DATE(YEAR($A940),MONTH($A940),1))</f>
        <v/>
      </c>
      <c r="R940" s="8" t="str">
        <f aca="false">IF(OR($A940="",$D940=""),"",IF(COUNTIFS($D$6:$D$1005,$D940,$A$6:$A$1005,"&gt;"&amp;$A940)=0,1,0))</f>
        <v/>
      </c>
    </row>
    <row r="941" customFormat="false" ht="15" hidden="false" customHeight="false" outlineLevel="0" collapsed="false">
      <c r="A941" s="44"/>
      <c r="B941" s="6"/>
      <c r="C941" s="6"/>
      <c r="D941" s="6"/>
      <c r="E941" s="8" t="str">
        <f aca="false">IF($D941="","",IFERROR(INDEX(INSUMOS!$B$6:$B$205,MATCH($D941,INSUMOS!$A$6:$A$205,0)),"¿Código?"))</f>
        <v/>
      </c>
      <c r="F941" s="8" t="str">
        <f aca="false">IF($D941="","",IFERROR(INDEX(INSUMOS!$E$6:$E$205,MATCH($D941,INSUMOS!$A$6:$A$205,0)),""))</f>
        <v/>
      </c>
      <c r="G941" s="39"/>
      <c r="H941" s="45" t="str">
        <f aca="false">IF($D941="","",IFERROR(INDEX(INSUMOS!$F$6:$F$205,MATCH($D941,INSUMOS!$A$6:$A$205,0)),0))</f>
        <v/>
      </c>
      <c r="I941" s="34" t="str">
        <f aca="false">IF($D941="","",N($G941)*$H941)</f>
        <v/>
      </c>
      <c r="J941" s="40"/>
      <c r="K941" s="36" t="str">
        <f aca="false">IF($D941="","",IFERROR(INDEX(INSUMOS!$H$6:$H$205,MATCH($D941,INSUMOS!$A$6:$A$205,0)),IVA_VENTAS))</f>
        <v/>
      </c>
      <c r="L941" s="35" t="str">
        <f aca="false">IF($D941="","",N($J941)*$K941)</f>
        <v/>
      </c>
      <c r="M941" s="35" t="str">
        <f aca="false">IF($D941="","",N($J941)+$L941)</f>
        <v/>
      </c>
      <c r="N941" s="43" t="str">
        <f aca="false">IF($D941="","",IFERROR(N($J941)/$I941,0))</f>
        <v/>
      </c>
      <c r="O941" s="6"/>
      <c r="P941" s="6"/>
      <c r="Q941" s="46" t="str">
        <f aca="false">IF($A941="","",DATE(YEAR($A941),MONTH($A941),1))</f>
        <v/>
      </c>
      <c r="R941" s="8" t="str">
        <f aca="false">IF(OR($A941="",$D941=""),"",IF(COUNTIFS($D$6:$D$1005,$D941,$A$6:$A$1005,"&gt;"&amp;$A941)=0,1,0))</f>
        <v/>
      </c>
    </row>
    <row r="942" customFormat="false" ht="15" hidden="false" customHeight="false" outlineLevel="0" collapsed="false">
      <c r="A942" s="44"/>
      <c r="B942" s="6"/>
      <c r="C942" s="6"/>
      <c r="D942" s="6"/>
      <c r="E942" s="8" t="str">
        <f aca="false">IF($D942="","",IFERROR(INDEX(INSUMOS!$B$6:$B$205,MATCH($D942,INSUMOS!$A$6:$A$205,0)),"¿Código?"))</f>
        <v/>
      </c>
      <c r="F942" s="8" t="str">
        <f aca="false">IF($D942="","",IFERROR(INDEX(INSUMOS!$E$6:$E$205,MATCH($D942,INSUMOS!$A$6:$A$205,0)),""))</f>
        <v/>
      </c>
      <c r="G942" s="39"/>
      <c r="H942" s="45" t="str">
        <f aca="false">IF($D942="","",IFERROR(INDEX(INSUMOS!$F$6:$F$205,MATCH($D942,INSUMOS!$A$6:$A$205,0)),0))</f>
        <v/>
      </c>
      <c r="I942" s="34" t="str">
        <f aca="false">IF($D942="","",N($G942)*$H942)</f>
        <v/>
      </c>
      <c r="J942" s="40"/>
      <c r="K942" s="36" t="str">
        <f aca="false">IF($D942="","",IFERROR(INDEX(INSUMOS!$H$6:$H$205,MATCH($D942,INSUMOS!$A$6:$A$205,0)),IVA_VENTAS))</f>
        <v/>
      </c>
      <c r="L942" s="35" t="str">
        <f aca="false">IF($D942="","",N($J942)*$K942)</f>
        <v/>
      </c>
      <c r="M942" s="35" t="str">
        <f aca="false">IF($D942="","",N($J942)+$L942)</f>
        <v/>
      </c>
      <c r="N942" s="43" t="str">
        <f aca="false">IF($D942="","",IFERROR(N($J942)/$I942,0))</f>
        <v/>
      </c>
      <c r="O942" s="6"/>
      <c r="P942" s="6"/>
      <c r="Q942" s="46" t="str">
        <f aca="false">IF($A942="","",DATE(YEAR($A942),MONTH($A942),1))</f>
        <v/>
      </c>
      <c r="R942" s="8" t="str">
        <f aca="false">IF(OR($A942="",$D942=""),"",IF(COUNTIFS($D$6:$D$1005,$D942,$A$6:$A$1005,"&gt;"&amp;$A942)=0,1,0))</f>
        <v/>
      </c>
    </row>
    <row r="943" customFormat="false" ht="15" hidden="false" customHeight="false" outlineLevel="0" collapsed="false">
      <c r="A943" s="44"/>
      <c r="B943" s="6"/>
      <c r="C943" s="6"/>
      <c r="D943" s="6"/>
      <c r="E943" s="8" t="str">
        <f aca="false">IF($D943="","",IFERROR(INDEX(INSUMOS!$B$6:$B$205,MATCH($D943,INSUMOS!$A$6:$A$205,0)),"¿Código?"))</f>
        <v/>
      </c>
      <c r="F943" s="8" t="str">
        <f aca="false">IF($D943="","",IFERROR(INDEX(INSUMOS!$E$6:$E$205,MATCH($D943,INSUMOS!$A$6:$A$205,0)),""))</f>
        <v/>
      </c>
      <c r="G943" s="39"/>
      <c r="H943" s="45" t="str">
        <f aca="false">IF($D943="","",IFERROR(INDEX(INSUMOS!$F$6:$F$205,MATCH($D943,INSUMOS!$A$6:$A$205,0)),0))</f>
        <v/>
      </c>
      <c r="I943" s="34" t="str">
        <f aca="false">IF($D943="","",N($G943)*$H943)</f>
        <v/>
      </c>
      <c r="J943" s="40"/>
      <c r="K943" s="36" t="str">
        <f aca="false">IF($D943="","",IFERROR(INDEX(INSUMOS!$H$6:$H$205,MATCH($D943,INSUMOS!$A$6:$A$205,0)),IVA_VENTAS))</f>
        <v/>
      </c>
      <c r="L943" s="35" t="str">
        <f aca="false">IF($D943="","",N($J943)*$K943)</f>
        <v/>
      </c>
      <c r="M943" s="35" t="str">
        <f aca="false">IF($D943="","",N($J943)+$L943)</f>
        <v/>
      </c>
      <c r="N943" s="43" t="str">
        <f aca="false">IF($D943="","",IFERROR(N($J943)/$I943,0))</f>
        <v/>
      </c>
      <c r="O943" s="6"/>
      <c r="P943" s="6"/>
      <c r="Q943" s="46" t="str">
        <f aca="false">IF($A943="","",DATE(YEAR($A943),MONTH($A943),1))</f>
        <v/>
      </c>
      <c r="R943" s="8" t="str">
        <f aca="false">IF(OR($A943="",$D943=""),"",IF(COUNTIFS($D$6:$D$1005,$D943,$A$6:$A$1005,"&gt;"&amp;$A943)=0,1,0))</f>
        <v/>
      </c>
    </row>
    <row r="944" customFormat="false" ht="15" hidden="false" customHeight="false" outlineLevel="0" collapsed="false">
      <c r="A944" s="44"/>
      <c r="B944" s="6"/>
      <c r="C944" s="6"/>
      <c r="D944" s="6"/>
      <c r="E944" s="8" t="str">
        <f aca="false">IF($D944="","",IFERROR(INDEX(INSUMOS!$B$6:$B$205,MATCH($D944,INSUMOS!$A$6:$A$205,0)),"¿Código?"))</f>
        <v/>
      </c>
      <c r="F944" s="8" t="str">
        <f aca="false">IF($D944="","",IFERROR(INDEX(INSUMOS!$E$6:$E$205,MATCH($D944,INSUMOS!$A$6:$A$205,0)),""))</f>
        <v/>
      </c>
      <c r="G944" s="39"/>
      <c r="H944" s="45" t="str">
        <f aca="false">IF($D944="","",IFERROR(INDEX(INSUMOS!$F$6:$F$205,MATCH($D944,INSUMOS!$A$6:$A$205,0)),0))</f>
        <v/>
      </c>
      <c r="I944" s="34" t="str">
        <f aca="false">IF($D944="","",N($G944)*$H944)</f>
        <v/>
      </c>
      <c r="J944" s="40"/>
      <c r="K944" s="36" t="str">
        <f aca="false">IF($D944="","",IFERROR(INDEX(INSUMOS!$H$6:$H$205,MATCH($D944,INSUMOS!$A$6:$A$205,0)),IVA_VENTAS))</f>
        <v/>
      </c>
      <c r="L944" s="35" t="str">
        <f aca="false">IF($D944="","",N($J944)*$K944)</f>
        <v/>
      </c>
      <c r="M944" s="35" t="str">
        <f aca="false">IF($D944="","",N($J944)+$L944)</f>
        <v/>
      </c>
      <c r="N944" s="43" t="str">
        <f aca="false">IF($D944="","",IFERROR(N($J944)/$I944,0))</f>
        <v/>
      </c>
      <c r="O944" s="6"/>
      <c r="P944" s="6"/>
      <c r="Q944" s="46" t="str">
        <f aca="false">IF($A944="","",DATE(YEAR($A944),MONTH($A944),1))</f>
        <v/>
      </c>
      <c r="R944" s="8" t="str">
        <f aca="false">IF(OR($A944="",$D944=""),"",IF(COUNTIFS($D$6:$D$1005,$D944,$A$6:$A$1005,"&gt;"&amp;$A944)=0,1,0))</f>
        <v/>
      </c>
    </row>
    <row r="945" customFormat="false" ht="15" hidden="false" customHeight="false" outlineLevel="0" collapsed="false">
      <c r="A945" s="44"/>
      <c r="B945" s="6"/>
      <c r="C945" s="6"/>
      <c r="D945" s="6"/>
      <c r="E945" s="8" t="str">
        <f aca="false">IF($D945="","",IFERROR(INDEX(INSUMOS!$B$6:$B$205,MATCH($D945,INSUMOS!$A$6:$A$205,0)),"¿Código?"))</f>
        <v/>
      </c>
      <c r="F945" s="8" t="str">
        <f aca="false">IF($D945="","",IFERROR(INDEX(INSUMOS!$E$6:$E$205,MATCH($D945,INSUMOS!$A$6:$A$205,0)),""))</f>
        <v/>
      </c>
      <c r="G945" s="39"/>
      <c r="H945" s="45" t="str">
        <f aca="false">IF($D945="","",IFERROR(INDEX(INSUMOS!$F$6:$F$205,MATCH($D945,INSUMOS!$A$6:$A$205,0)),0))</f>
        <v/>
      </c>
      <c r="I945" s="34" t="str">
        <f aca="false">IF($D945="","",N($G945)*$H945)</f>
        <v/>
      </c>
      <c r="J945" s="40"/>
      <c r="K945" s="36" t="str">
        <f aca="false">IF($D945="","",IFERROR(INDEX(INSUMOS!$H$6:$H$205,MATCH($D945,INSUMOS!$A$6:$A$205,0)),IVA_VENTAS))</f>
        <v/>
      </c>
      <c r="L945" s="35" t="str">
        <f aca="false">IF($D945="","",N($J945)*$K945)</f>
        <v/>
      </c>
      <c r="M945" s="35" t="str">
        <f aca="false">IF($D945="","",N($J945)+$L945)</f>
        <v/>
      </c>
      <c r="N945" s="43" t="str">
        <f aca="false">IF($D945="","",IFERROR(N($J945)/$I945,0))</f>
        <v/>
      </c>
      <c r="O945" s="6"/>
      <c r="P945" s="6"/>
      <c r="Q945" s="46" t="str">
        <f aca="false">IF($A945="","",DATE(YEAR($A945),MONTH($A945),1))</f>
        <v/>
      </c>
      <c r="R945" s="8" t="str">
        <f aca="false">IF(OR($A945="",$D945=""),"",IF(COUNTIFS($D$6:$D$1005,$D945,$A$6:$A$1005,"&gt;"&amp;$A945)=0,1,0))</f>
        <v/>
      </c>
    </row>
    <row r="946" customFormat="false" ht="15" hidden="false" customHeight="false" outlineLevel="0" collapsed="false">
      <c r="A946" s="44"/>
      <c r="B946" s="6"/>
      <c r="C946" s="6"/>
      <c r="D946" s="6"/>
      <c r="E946" s="8" t="str">
        <f aca="false">IF($D946="","",IFERROR(INDEX(INSUMOS!$B$6:$B$205,MATCH($D946,INSUMOS!$A$6:$A$205,0)),"¿Código?"))</f>
        <v/>
      </c>
      <c r="F946" s="8" t="str">
        <f aca="false">IF($D946="","",IFERROR(INDEX(INSUMOS!$E$6:$E$205,MATCH($D946,INSUMOS!$A$6:$A$205,0)),""))</f>
        <v/>
      </c>
      <c r="G946" s="39"/>
      <c r="H946" s="45" t="str">
        <f aca="false">IF($D946="","",IFERROR(INDEX(INSUMOS!$F$6:$F$205,MATCH($D946,INSUMOS!$A$6:$A$205,0)),0))</f>
        <v/>
      </c>
      <c r="I946" s="34" t="str">
        <f aca="false">IF($D946="","",N($G946)*$H946)</f>
        <v/>
      </c>
      <c r="J946" s="40"/>
      <c r="K946" s="36" t="str">
        <f aca="false">IF($D946="","",IFERROR(INDEX(INSUMOS!$H$6:$H$205,MATCH($D946,INSUMOS!$A$6:$A$205,0)),IVA_VENTAS))</f>
        <v/>
      </c>
      <c r="L946" s="35" t="str">
        <f aca="false">IF($D946="","",N($J946)*$K946)</f>
        <v/>
      </c>
      <c r="M946" s="35" t="str">
        <f aca="false">IF($D946="","",N($J946)+$L946)</f>
        <v/>
      </c>
      <c r="N946" s="43" t="str">
        <f aca="false">IF($D946="","",IFERROR(N($J946)/$I946,0))</f>
        <v/>
      </c>
      <c r="O946" s="6"/>
      <c r="P946" s="6"/>
      <c r="Q946" s="46" t="str">
        <f aca="false">IF($A946="","",DATE(YEAR($A946),MONTH($A946),1))</f>
        <v/>
      </c>
      <c r="R946" s="8" t="str">
        <f aca="false">IF(OR($A946="",$D946=""),"",IF(COUNTIFS($D$6:$D$1005,$D946,$A$6:$A$1005,"&gt;"&amp;$A946)=0,1,0))</f>
        <v/>
      </c>
    </row>
    <row r="947" customFormat="false" ht="15" hidden="false" customHeight="false" outlineLevel="0" collapsed="false">
      <c r="A947" s="44"/>
      <c r="B947" s="6"/>
      <c r="C947" s="6"/>
      <c r="D947" s="6"/>
      <c r="E947" s="8" t="str">
        <f aca="false">IF($D947="","",IFERROR(INDEX(INSUMOS!$B$6:$B$205,MATCH($D947,INSUMOS!$A$6:$A$205,0)),"¿Código?"))</f>
        <v/>
      </c>
      <c r="F947" s="8" t="str">
        <f aca="false">IF($D947="","",IFERROR(INDEX(INSUMOS!$E$6:$E$205,MATCH($D947,INSUMOS!$A$6:$A$205,0)),""))</f>
        <v/>
      </c>
      <c r="G947" s="39"/>
      <c r="H947" s="45" t="str">
        <f aca="false">IF($D947="","",IFERROR(INDEX(INSUMOS!$F$6:$F$205,MATCH($D947,INSUMOS!$A$6:$A$205,0)),0))</f>
        <v/>
      </c>
      <c r="I947" s="34" t="str">
        <f aca="false">IF($D947="","",N($G947)*$H947)</f>
        <v/>
      </c>
      <c r="J947" s="40"/>
      <c r="K947" s="36" t="str">
        <f aca="false">IF($D947="","",IFERROR(INDEX(INSUMOS!$H$6:$H$205,MATCH($D947,INSUMOS!$A$6:$A$205,0)),IVA_VENTAS))</f>
        <v/>
      </c>
      <c r="L947" s="35" t="str">
        <f aca="false">IF($D947="","",N($J947)*$K947)</f>
        <v/>
      </c>
      <c r="M947" s="35" t="str">
        <f aca="false">IF($D947="","",N($J947)+$L947)</f>
        <v/>
      </c>
      <c r="N947" s="43" t="str">
        <f aca="false">IF($D947="","",IFERROR(N($J947)/$I947,0))</f>
        <v/>
      </c>
      <c r="O947" s="6"/>
      <c r="P947" s="6"/>
      <c r="Q947" s="46" t="str">
        <f aca="false">IF($A947="","",DATE(YEAR($A947),MONTH($A947),1))</f>
        <v/>
      </c>
      <c r="R947" s="8" t="str">
        <f aca="false">IF(OR($A947="",$D947=""),"",IF(COUNTIFS($D$6:$D$1005,$D947,$A$6:$A$1005,"&gt;"&amp;$A947)=0,1,0))</f>
        <v/>
      </c>
    </row>
    <row r="948" customFormat="false" ht="15" hidden="false" customHeight="false" outlineLevel="0" collapsed="false">
      <c r="A948" s="44"/>
      <c r="B948" s="6"/>
      <c r="C948" s="6"/>
      <c r="D948" s="6"/>
      <c r="E948" s="8" t="str">
        <f aca="false">IF($D948="","",IFERROR(INDEX(INSUMOS!$B$6:$B$205,MATCH($D948,INSUMOS!$A$6:$A$205,0)),"¿Código?"))</f>
        <v/>
      </c>
      <c r="F948" s="8" t="str">
        <f aca="false">IF($D948="","",IFERROR(INDEX(INSUMOS!$E$6:$E$205,MATCH($D948,INSUMOS!$A$6:$A$205,0)),""))</f>
        <v/>
      </c>
      <c r="G948" s="39"/>
      <c r="H948" s="45" t="str">
        <f aca="false">IF($D948="","",IFERROR(INDEX(INSUMOS!$F$6:$F$205,MATCH($D948,INSUMOS!$A$6:$A$205,0)),0))</f>
        <v/>
      </c>
      <c r="I948" s="34" t="str">
        <f aca="false">IF($D948="","",N($G948)*$H948)</f>
        <v/>
      </c>
      <c r="J948" s="40"/>
      <c r="K948" s="36" t="str">
        <f aca="false">IF($D948="","",IFERROR(INDEX(INSUMOS!$H$6:$H$205,MATCH($D948,INSUMOS!$A$6:$A$205,0)),IVA_VENTAS))</f>
        <v/>
      </c>
      <c r="L948" s="35" t="str">
        <f aca="false">IF($D948="","",N($J948)*$K948)</f>
        <v/>
      </c>
      <c r="M948" s="35" t="str">
        <f aca="false">IF($D948="","",N($J948)+$L948)</f>
        <v/>
      </c>
      <c r="N948" s="43" t="str">
        <f aca="false">IF($D948="","",IFERROR(N($J948)/$I948,0))</f>
        <v/>
      </c>
      <c r="O948" s="6"/>
      <c r="P948" s="6"/>
      <c r="Q948" s="46" t="str">
        <f aca="false">IF($A948="","",DATE(YEAR($A948),MONTH($A948),1))</f>
        <v/>
      </c>
      <c r="R948" s="8" t="str">
        <f aca="false">IF(OR($A948="",$D948=""),"",IF(COUNTIFS($D$6:$D$1005,$D948,$A$6:$A$1005,"&gt;"&amp;$A948)=0,1,0))</f>
        <v/>
      </c>
    </row>
    <row r="949" customFormat="false" ht="15" hidden="false" customHeight="false" outlineLevel="0" collapsed="false">
      <c r="A949" s="44"/>
      <c r="B949" s="6"/>
      <c r="C949" s="6"/>
      <c r="D949" s="6"/>
      <c r="E949" s="8" t="str">
        <f aca="false">IF($D949="","",IFERROR(INDEX(INSUMOS!$B$6:$B$205,MATCH($D949,INSUMOS!$A$6:$A$205,0)),"¿Código?"))</f>
        <v/>
      </c>
      <c r="F949" s="8" t="str">
        <f aca="false">IF($D949="","",IFERROR(INDEX(INSUMOS!$E$6:$E$205,MATCH($D949,INSUMOS!$A$6:$A$205,0)),""))</f>
        <v/>
      </c>
      <c r="G949" s="39"/>
      <c r="H949" s="45" t="str">
        <f aca="false">IF($D949="","",IFERROR(INDEX(INSUMOS!$F$6:$F$205,MATCH($D949,INSUMOS!$A$6:$A$205,0)),0))</f>
        <v/>
      </c>
      <c r="I949" s="34" t="str">
        <f aca="false">IF($D949="","",N($G949)*$H949)</f>
        <v/>
      </c>
      <c r="J949" s="40"/>
      <c r="K949" s="36" t="str">
        <f aca="false">IF($D949="","",IFERROR(INDEX(INSUMOS!$H$6:$H$205,MATCH($D949,INSUMOS!$A$6:$A$205,0)),IVA_VENTAS))</f>
        <v/>
      </c>
      <c r="L949" s="35" t="str">
        <f aca="false">IF($D949="","",N($J949)*$K949)</f>
        <v/>
      </c>
      <c r="M949" s="35" t="str">
        <f aca="false">IF($D949="","",N($J949)+$L949)</f>
        <v/>
      </c>
      <c r="N949" s="43" t="str">
        <f aca="false">IF($D949="","",IFERROR(N($J949)/$I949,0))</f>
        <v/>
      </c>
      <c r="O949" s="6"/>
      <c r="P949" s="6"/>
      <c r="Q949" s="46" t="str">
        <f aca="false">IF($A949="","",DATE(YEAR($A949),MONTH($A949),1))</f>
        <v/>
      </c>
      <c r="R949" s="8" t="str">
        <f aca="false">IF(OR($A949="",$D949=""),"",IF(COUNTIFS($D$6:$D$1005,$D949,$A$6:$A$1005,"&gt;"&amp;$A949)=0,1,0))</f>
        <v/>
      </c>
    </row>
    <row r="950" customFormat="false" ht="15" hidden="false" customHeight="false" outlineLevel="0" collapsed="false">
      <c r="A950" s="44"/>
      <c r="B950" s="6"/>
      <c r="C950" s="6"/>
      <c r="D950" s="6"/>
      <c r="E950" s="8" t="str">
        <f aca="false">IF($D950="","",IFERROR(INDEX(INSUMOS!$B$6:$B$205,MATCH($D950,INSUMOS!$A$6:$A$205,0)),"¿Código?"))</f>
        <v/>
      </c>
      <c r="F950" s="8" t="str">
        <f aca="false">IF($D950="","",IFERROR(INDEX(INSUMOS!$E$6:$E$205,MATCH($D950,INSUMOS!$A$6:$A$205,0)),""))</f>
        <v/>
      </c>
      <c r="G950" s="39"/>
      <c r="H950" s="45" t="str">
        <f aca="false">IF($D950="","",IFERROR(INDEX(INSUMOS!$F$6:$F$205,MATCH($D950,INSUMOS!$A$6:$A$205,0)),0))</f>
        <v/>
      </c>
      <c r="I950" s="34" t="str">
        <f aca="false">IF($D950="","",N($G950)*$H950)</f>
        <v/>
      </c>
      <c r="J950" s="40"/>
      <c r="K950" s="36" t="str">
        <f aca="false">IF($D950="","",IFERROR(INDEX(INSUMOS!$H$6:$H$205,MATCH($D950,INSUMOS!$A$6:$A$205,0)),IVA_VENTAS))</f>
        <v/>
      </c>
      <c r="L950" s="35" t="str">
        <f aca="false">IF($D950="","",N($J950)*$K950)</f>
        <v/>
      </c>
      <c r="M950" s="35" t="str">
        <f aca="false">IF($D950="","",N($J950)+$L950)</f>
        <v/>
      </c>
      <c r="N950" s="43" t="str">
        <f aca="false">IF($D950="","",IFERROR(N($J950)/$I950,0))</f>
        <v/>
      </c>
      <c r="O950" s="6"/>
      <c r="P950" s="6"/>
      <c r="Q950" s="46" t="str">
        <f aca="false">IF($A950="","",DATE(YEAR($A950),MONTH($A950),1))</f>
        <v/>
      </c>
      <c r="R950" s="8" t="str">
        <f aca="false">IF(OR($A950="",$D950=""),"",IF(COUNTIFS($D$6:$D$1005,$D950,$A$6:$A$1005,"&gt;"&amp;$A950)=0,1,0))</f>
        <v/>
      </c>
    </row>
    <row r="951" customFormat="false" ht="15" hidden="false" customHeight="false" outlineLevel="0" collapsed="false">
      <c r="A951" s="44"/>
      <c r="B951" s="6"/>
      <c r="C951" s="6"/>
      <c r="D951" s="6"/>
      <c r="E951" s="8" t="str">
        <f aca="false">IF($D951="","",IFERROR(INDEX(INSUMOS!$B$6:$B$205,MATCH($D951,INSUMOS!$A$6:$A$205,0)),"¿Código?"))</f>
        <v/>
      </c>
      <c r="F951" s="8" t="str">
        <f aca="false">IF($D951="","",IFERROR(INDEX(INSUMOS!$E$6:$E$205,MATCH($D951,INSUMOS!$A$6:$A$205,0)),""))</f>
        <v/>
      </c>
      <c r="G951" s="39"/>
      <c r="H951" s="45" t="str">
        <f aca="false">IF($D951="","",IFERROR(INDEX(INSUMOS!$F$6:$F$205,MATCH($D951,INSUMOS!$A$6:$A$205,0)),0))</f>
        <v/>
      </c>
      <c r="I951" s="34" t="str">
        <f aca="false">IF($D951="","",N($G951)*$H951)</f>
        <v/>
      </c>
      <c r="J951" s="40"/>
      <c r="K951" s="36" t="str">
        <f aca="false">IF($D951="","",IFERROR(INDEX(INSUMOS!$H$6:$H$205,MATCH($D951,INSUMOS!$A$6:$A$205,0)),IVA_VENTAS))</f>
        <v/>
      </c>
      <c r="L951" s="35" t="str">
        <f aca="false">IF($D951="","",N($J951)*$K951)</f>
        <v/>
      </c>
      <c r="M951" s="35" t="str">
        <f aca="false">IF($D951="","",N($J951)+$L951)</f>
        <v/>
      </c>
      <c r="N951" s="43" t="str">
        <f aca="false">IF($D951="","",IFERROR(N($J951)/$I951,0))</f>
        <v/>
      </c>
      <c r="O951" s="6"/>
      <c r="P951" s="6"/>
      <c r="Q951" s="46" t="str">
        <f aca="false">IF($A951="","",DATE(YEAR($A951),MONTH($A951),1))</f>
        <v/>
      </c>
      <c r="R951" s="8" t="str">
        <f aca="false">IF(OR($A951="",$D951=""),"",IF(COUNTIFS($D$6:$D$1005,$D951,$A$6:$A$1005,"&gt;"&amp;$A951)=0,1,0))</f>
        <v/>
      </c>
    </row>
    <row r="952" customFormat="false" ht="15" hidden="false" customHeight="false" outlineLevel="0" collapsed="false">
      <c r="A952" s="44"/>
      <c r="B952" s="6"/>
      <c r="C952" s="6"/>
      <c r="D952" s="6"/>
      <c r="E952" s="8" t="str">
        <f aca="false">IF($D952="","",IFERROR(INDEX(INSUMOS!$B$6:$B$205,MATCH($D952,INSUMOS!$A$6:$A$205,0)),"¿Código?"))</f>
        <v/>
      </c>
      <c r="F952" s="8" t="str">
        <f aca="false">IF($D952="","",IFERROR(INDEX(INSUMOS!$E$6:$E$205,MATCH($D952,INSUMOS!$A$6:$A$205,0)),""))</f>
        <v/>
      </c>
      <c r="G952" s="39"/>
      <c r="H952" s="45" t="str">
        <f aca="false">IF($D952="","",IFERROR(INDEX(INSUMOS!$F$6:$F$205,MATCH($D952,INSUMOS!$A$6:$A$205,0)),0))</f>
        <v/>
      </c>
      <c r="I952" s="34" t="str">
        <f aca="false">IF($D952="","",N($G952)*$H952)</f>
        <v/>
      </c>
      <c r="J952" s="40"/>
      <c r="K952" s="36" t="str">
        <f aca="false">IF($D952="","",IFERROR(INDEX(INSUMOS!$H$6:$H$205,MATCH($D952,INSUMOS!$A$6:$A$205,0)),IVA_VENTAS))</f>
        <v/>
      </c>
      <c r="L952" s="35" t="str">
        <f aca="false">IF($D952="","",N($J952)*$K952)</f>
        <v/>
      </c>
      <c r="M952" s="35" t="str">
        <f aca="false">IF($D952="","",N($J952)+$L952)</f>
        <v/>
      </c>
      <c r="N952" s="43" t="str">
        <f aca="false">IF($D952="","",IFERROR(N($J952)/$I952,0))</f>
        <v/>
      </c>
      <c r="O952" s="6"/>
      <c r="P952" s="6"/>
      <c r="Q952" s="46" t="str">
        <f aca="false">IF($A952="","",DATE(YEAR($A952),MONTH($A952),1))</f>
        <v/>
      </c>
      <c r="R952" s="8" t="str">
        <f aca="false">IF(OR($A952="",$D952=""),"",IF(COUNTIFS($D$6:$D$1005,$D952,$A$6:$A$1005,"&gt;"&amp;$A952)=0,1,0))</f>
        <v/>
      </c>
    </row>
    <row r="953" customFormat="false" ht="15" hidden="false" customHeight="false" outlineLevel="0" collapsed="false">
      <c r="A953" s="44"/>
      <c r="B953" s="6"/>
      <c r="C953" s="6"/>
      <c r="D953" s="6"/>
      <c r="E953" s="8" t="str">
        <f aca="false">IF($D953="","",IFERROR(INDEX(INSUMOS!$B$6:$B$205,MATCH($D953,INSUMOS!$A$6:$A$205,0)),"¿Código?"))</f>
        <v/>
      </c>
      <c r="F953" s="8" t="str">
        <f aca="false">IF($D953="","",IFERROR(INDEX(INSUMOS!$E$6:$E$205,MATCH($D953,INSUMOS!$A$6:$A$205,0)),""))</f>
        <v/>
      </c>
      <c r="G953" s="39"/>
      <c r="H953" s="45" t="str">
        <f aca="false">IF($D953="","",IFERROR(INDEX(INSUMOS!$F$6:$F$205,MATCH($D953,INSUMOS!$A$6:$A$205,0)),0))</f>
        <v/>
      </c>
      <c r="I953" s="34" t="str">
        <f aca="false">IF($D953="","",N($G953)*$H953)</f>
        <v/>
      </c>
      <c r="J953" s="40"/>
      <c r="K953" s="36" t="str">
        <f aca="false">IF($D953="","",IFERROR(INDEX(INSUMOS!$H$6:$H$205,MATCH($D953,INSUMOS!$A$6:$A$205,0)),IVA_VENTAS))</f>
        <v/>
      </c>
      <c r="L953" s="35" t="str">
        <f aca="false">IF($D953="","",N($J953)*$K953)</f>
        <v/>
      </c>
      <c r="M953" s="35" t="str">
        <f aca="false">IF($D953="","",N($J953)+$L953)</f>
        <v/>
      </c>
      <c r="N953" s="43" t="str">
        <f aca="false">IF($D953="","",IFERROR(N($J953)/$I953,0))</f>
        <v/>
      </c>
      <c r="O953" s="6"/>
      <c r="P953" s="6"/>
      <c r="Q953" s="46" t="str">
        <f aca="false">IF($A953="","",DATE(YEAR($A953),MONTH($A953),1))</f>
        <v/>
      </c>
      <c r="R953" s="8" t="str">
        <f aca="false">IF(OR($A953="",$D953=""),"",IF(COUNTIFS($D$6:$D$1005,$D953,$A$6:$A$1005,"&gt;"&amp;$A953)=0,1,0))</f>
        <v/>
      </c>
    </row>
    <row r="954" customFormat="false" ht="15" hidden="false" customHeight="false" outlineLevel="0" collapsed="false">
      <c r="A954" s="44"/>
      <c r="B954" s="6"/>
      <c r="C954" s="6"/>
      <c r="D954" s="6"/>
      <c r="E954" s="8" t="str">
        <f aca="false">IF($D954="","",IFERROR(INDEX(INSUMOS!$B$6:$B$205,MATCH($D954,INSUMOS!$A$6:$A$205,0)),"¿Código?"))</f>
        <v/>
      </c>
      <c r="F954" s="8" t="str">
        <f aca="false">IF($D954="","",IFERROR(INDEX(INSUMOS!$E$6:$E$205,MATCH($D954,INSUMOS!$A$6:$A$205,0)),""))</f>
        <v/>
      </c>
      <c r="G954" s="39"/>
      <c r="H954" s="45" t="str">
        <f aca="false">IF($D954="","",IFERROR(INDEX(INSUMOS!$F$6:$F$205,MATCH($D954,INSUMOS!$A$6:$A$205,0)),0))</f>
        <v/>
      </c>
      <c r="I954" s="34" t="str">
        <f aca="false">IF($D954="","",N($G954)*$H954)</f>
        <v/>
      </c>
      <c r="J954" s="40"/>
      <c r="K954" s="36" t="str">
        <f aca="false">IF($D954="","",IFERROR(INDEX(INSUMOS!$H$6:$H$205,MATCH($D954,INSUMOS!$A$6:$A$205,0)),IVA_VENTAS))</f>
        <v/>
      </c>
      <c r="L954" s="35" t="str">
        <f aca="false">IF($D954="","",N($J954)*$K954)</f>
        <v/>
      </c>
      <c r="M954" s="35" t="str">
        <f aca="false">IF($D954="","",N($J954)+$L954)</f>
        <v/>
      </c>
      <c r="N954" s="43" t="str">
        <f aca="false">IF($D954="","",IFERROR(N($J954)/$I954,0))</f>
        <v/>
      </c>
      <c r="O954" s="6"/>
      <c r="P954" s="6"/>
      <c r="Q954" s="46" t="str">
        <f aca="false">IF($A954="","",DATE(YEAR($A954),MONTH($A954),1))</f>
        <v/>
      </c>
      <c r="R954" s="8" t="str">
        <f aca="false">IF(OR($A954="",$D954=""),"",IF(COUNTIFS($D$6:$D$1005,$D954,$A$6:$A$1005,"&gt;"&amp;$A954)=0,1,0))</f>
        <v/>
      </c>
    </row>
    <row r="955" customFormat="false" ht="15" hidden="false" customHeight="false" outlineLevel="0" collapsed="false">
      <c r="A955" s="44"/>
      <c r="B955" s="6"/>
      <c r="C955" s="6"/>
      <c r="D955" s="6"/>
      <c r="E955" s="8" t="str">
        <f aca="false">IF($D955="","",IFERROR(INDEX(INSUMOS!$B$6:$B$205,MATCH($D955,INSUMOS!$A$6:$A$205,0)),"¿Código?"))</f>
        <v/>
      </c>
      <c r="F955" s="8" t="str">
        <f aca="false">IF($D955="","",IFERROR(INDEX(INSUMOS!$E$6:$E$205,MATCH($D955,INSUMOS!$A$6:$A$205,0)),""))</f>
        <v/>
      </c>
      <c r="G955" s="39"/>
      <c r="H955" s="45" t="str">
        <f aca="false">IF($D955="","",IFERROR(INDEX(INSUMOS!$F$6:$F$205,MATCH($D955,INSUMOS!$A$6:$A$205,0)),0))</f>
        <v/>
      </c>
      <c r="I955" s="34" t="str">
        <f aca="false">IF($D955="","",N($G955)*$H955)</f>
        <v/>
      </c>
      <c r="J955" s="40"/>
      <c r="K955" s="36" t="str">
        <f aca="false">IF($D955="","",IFERROR(INDEX(INSUMOS!$H$6:$H$205,MATCH($D955,INSUMOS!$A$6:$A$205,0)),IVA_VENTAS))</f>
        <v/>
      </c>
      <c r="L955" s="35" t="str">
        <f aca="false">IF($D955="","",N($J955)*$K955)</f>
        <v/>
      </c>
      <c r="M955" s="35" t="str">
        <f aca="false">IF($D955="","",N($J955)+$L955)</f>
        <v/>
      </c>
      <c r="N955" s="43" t="str">
        <f aca="false">IF($D955="","",IFERROR(N($J955)/$I955,0))</f>
        <v/>
      </c>
      <c r="O955" s="6"/>
      <c r="P955" s="6"/>
      <c r="Q955" s="46" t="str">
        <f aca="false">IF($A955="","",DATE(YEAR($A955),MONTH($A955),1))</f>
        <v/>
      </c>
      <c r="R955" s="8" t="str">
        <f aca="false">IF(OR($A955="",$D955=""),"",IF(COUNTIFS($D$6:$D$1005,$D955,$A$6:$A$1005,"&gt;"&amp;$A955)=0,1,0))</f>
        <v/>
      </c>
    </row>
    <row r="956" customFormat="false" ht="15" hidden="false" customHeight="false" outlineLevel="0" collapsed="false">
      <c r="A956" s="44"/>
      <c r="B956" s="6"/>
      <c r="C956" s="6"/>
      <c r="D956" s="6"/>
      <c r="E956" s="8" t="str">
        <f aca="false">IF($D956="","",IFERROR(INDEX(INSUMOS!$B$6:$B$205,MATCH($D956,INSUMOS!$A$6:$A$205,0)),"¿Código?"))</f>
        <v/>
      </c>
      <c r="F956" s="8" t="str">
        <f aca="false">IF($D956="","",IFERROR(INDEX(INSUMOS!$E$6:$E$205,MATCH($D956,INSUMOS!$A$6:$A$205,0)),""))</f>
        <v/>
      </c>
      <c r="G956" s="39"/>
      <c r="H956" s="45" t="str">
        <f aca="false">IF($D956="","",IFERROR(INDEX(INSUMOS!$F$6:$F$205,MATCH($D956,INSUMOS!$A$6:$A$205,0)),0))</f>
        <v/>
      </c>
      <c r="I956" s="34" t="str">
        <f aca="false">IF($D956="","",N($G956)*$H956)</f>
        <v/>
      </c>
      <c r="J956" s="40"/>
      <c r="K956" s="36" t="str">
        <f aca="false">IF($D956="","",IFERROR(INDEX(INSUMOS!$H$6:$H$205,MATCH($D956,INSUMOS!$A$6:$A$205,0)),IVA_VENTAS))</f>
        <v/>
      </c>
      <c r="L956" s="35" t="str">
        <f aca="false">IF($D956="","",N($J956)*$K956)</f>
        <v/>
      </c>
      <c r="M956" s="35" t="str">
        <f aca="false">IF($D956="","",N($J956)+$L956)</f>
        <v/>
      </c>
      <c r="N956" s="43" t="str">
        <f aca="false">IF($D956="","",IFERROR(N($J956)/$I956,0))</f>
        <v/>
      </c>
      <c r="O956" s="6"/>
      <c r="P956" s="6"/>
      <c r="Q956" s="46" t="str">
        <f aca="false">IF($A956="","",DATE(YEAR($A956),MONTH($A956),1))</f>
        <v/>
      </c>
      <c r="R956" s="8" t="str">
        <f aca="false">IF(OR($A956="",$D956=""),"",IF(COUNTIFS($D$6:$D$1005,$D956,$A$6:$A$1005,"&gt;"&amp;$A956)=0,1,0))</f>
        <v/>
      </c>
    </row>
    <row r="957" customFormat="false" ht="15" hidden="false" customHeight="false" outlineLevel="0" collapsed="false">
      <c r="A957" s="44"/>
      <c r="B957" s="6"/>
      <c r="C957" s="6"/>
      <c r="D957" s="6"/>
      <c r="E957" s="8" t="str">
        <f aca="false">IF($D957="","",IFERROR(INDEX(INSUMOS!$B$6:$B$205,MATCH($D957,INSUMOS!$A$6:$A$205,0)),"¿Código?"))</f>
        <v/>
      </c>
      <c r="F957" s="8" t="str">
        <f aca="false">IF($D957="","",IFERROR(INDEX(INSUMOS!$E$6:$E$205,MATCH($D957,INSUMOS!$A$6:$A$205,0)),""))</f>
        <v/>
      </c>
      <c r="G957" s="39"/>
      <c r="H957" s="45" t="str">
        <f aca="false">IF($D957="","",IFERROR(INDEX(INSUMOS!$F$6:$F$205,MATCH($D957,INSUMOS!$A$6:$A$205,0)),0))</f>
        <v/>
      </c>
      <c r="I957" s="34" t="str">
        <f aca="false">IF($D957="","",N($G957)*$H957)</f>
        <v/>
      </c>
      <c r="J957" s="40"/>
      <c r="K957" s="36" t="str">
        <f aca="false">IF($D957="","",IFERROR(INDEX(INSUMOS!$H$6:$H$205,MATCH($D957,INSUMOS!$A$6:$A$205,0)),IVA_VENTAS))</f>
        <v/>
      </c>
      <c r="L957" s="35" t="str">
        <f aca="false">IF($D957="","",N($J957)*$K957)</f>
        <v/>
      </c>
      <c r="M957" s="35" t="str">
        <f aca="false">IF($D957="","",N($J957)+$L957)</f>
        <v/>
      </c>
      <c r="N957" s="43" t="str">
        <f aca="false">IF($D957="","",IFERROR(N($J957)/$I957,0))</f>
        <v/>
      </c>
      <c r="O957" s="6"/>
      <c r="P957" s="6"/>
      <c r="Q957" s="46" t="str">
        <f aca="false">IF($A957="","",DATE(YEAR($A957),MONTH($A957),1))</f>
        <v/>
      </c>
      <c r="R957" s="8" t="str">
        <f aca="false">IF(OR($A957="",$D957=""),"",IF(COUNTIFS($D$6:$D$1005,$D957,$A$6:$A$1005,"&gt;"&amp;$A957)=0,1,0))</f>
        <v/>
      </c>
    </row>
    <row r="958" customFormat="false" ht="15" hidden="false" customHeight="false" outlineLevel="0" collapsed="false">
      <c r="A958" s="44"/>
      <c r="B958" s="6"/>
      <c r="C958" s="6"/>
      <c r="D958" s="6"/>
      <c r="E958" s="8" t="str">
        <f aca="false">IF($D958="","",IFERROR(INDEX(INSUMOS!$B$6:$B$205,MATCH($D958,INSUMOS!$A$6:$A$205,0)),"¿Código?"))</f>
        <v/>
      </c>
      <c r="F958" s="8" t="str">
        <f aca="false">IF($D958="","",IFERROR(INDEX(INSUMOS!$E$6:$E$205,MATCH($D958,INSUMOS!$A$6:$A$205,0)),""))</f>
        <v/>
      </c>
      <c r="G958" s="39"/>
      <c r="H958" s="45" t="str">
        <f aca="false">IF($D958="","",IFERROR(INDEX(INSUMOS!$F$6:$F$205,MATCH($D958,INSUMOS!$A$6:$A$205,0)),0))</f>
        <v/>
      </c>
      <c r="I958" s="34" t="str">
        <f aca="false">IF($D958="","",N($G958)*$H958)</f>
        <v/>
      </c>
      <c r="J958" s="40"/>
      <c r="K958" s="36" t="str">
        <f aca="false">IF($D958="","",IFERROR(INDEX(INSUMOS!$H$6:$H$205,MATCH($D958,INSUMOS!$A$6:$A$205,0)),IVA_VENTAS))</f>
        <v/>
      </c>
      <c r="L958" s="35" t="str">
        <f aca="false">IF($D958="","",N($J958)*$K958)</f>
        <v/>
      </c>
      <c r="M958" s="35" t="str">
        <f aca="false">IF($D958="","",N($J958)+$L958)</f>
        <v/>
      </c>
      <c r="N958" s="43" t="str">
        <f aca="false">IF($D958="","",IFERROR(N($J958)/$I958,0))</f>
        <v/>
      </c>
      <c r="O958" s="6"/>
      <c r="P958" s="6"/>
      <c r="Q958" s="46" t="str">
        <f aca="false">IF($A958="","",DATE(YEAR($A958),MONTH($A958),1))</f>
        <v/>
      </c>
      <c r="R958" s="8" t="str">
        <f aca="false">IF(OR($A958="",$D958=""),"",IF(COUNTIFS($D$6:$D$1005,$D958,$A$6:$A$1005,"&gt;"&amp;$A958)=0,1,0))</f>
        <v/>
      </c>
    </row>
    <row r="959" customFormat="false" ht="15" hidden="false" customHeight="false" outlineLevel="0" collapsed="false">
      <c r="A959" s="44"/>
      <c r="B959" s="6"/>
      <c r="C959" s="6"/>
      <c r="D959" s="6"/>
      <c r="E959" s="8" t="str">
        <f aca="false">IF($D959="","",IFERROR(INDEX(INSUMOS!$B$6:$B$205,MATCH($D959,INSUMOS!$A$6:$A$205,0)),"¿Código?"))</f>
        <v/>
      </c>
      <c r="F959" s="8" t="str">
        <f aca="false">IF($D959="","",IFERROR(INDEX(INSUMOS!$E$6:$E$205,MATCH($D959,INSUMOS!$A$6:$A$205,0)),""))</f>
        <v/>
      </c>
      <c r="G959" s="39"/>
      <c r="H959" s="45" t="str">
        <f aca="false">IF($D959="","",IFERROR(INDEX(INSUMOS!$F$6:$F$205,MATCH($D959,INSUMOS!$A$6:$A$205,0)),0))</f>
        <v/>
      </c>
      <c r="I959" s="34" t="str">
        <f aca="false">IF($D959="","",N($G959)*$H959)</f>
        <v/>
      </c>
      <c r="J959" s="40"/>
      <c r="K959" s="36" t="str">
        <f aca="false">IF($D959="","",IFERROR(INDEX(INSUMOS!$H$6:$H$205,MATCH($D959,INSUMOS!$A$6:$A$205,0)),IVA_VENTAS))</f>
        <v/>
      </c>
      <c r="L959" s="35" t="str">
        <f aca="false">IF($D959="","",N($J959)*$K959)</f>
        <v/>
      </c>
      <c r="M959" s="35" t="str">
        <f aca="false">IF($D959="","",N($J959)+$L959)</f>
        <v/>
      </c>
      <c r="N959" s="43" t="str">
        <f aca="false">IF($D959="","",IFERROR(N($J959)/$I959,0))</f>
        <v/>
      </c>
      <c r="O959" s="6"/>
      <c r="P959" s="6"/>
      <c r="Q959" s="46" t="str">
        <f aca="false">IF($A959="","",DATE(YEAR($A959),MONTH($A959),1))</f>
        <v/>
      </c>
      <c r="R959" s="8" t="str">
        <f aca="false">IF(OR($A959="",$D959=""),"",IF(COUNTIFS($D$6:$D$1005,$D959,$A$6:$A$1005,"&gt;"&amp;$A959)=0,1,0))</f>
        <v/>
      </c>
    </row>
    <row r="960" customFormat="false" ht="15" hidden="false" customHeight="false" outlineLevel="0" collapsed="false">
      <c r="A960" s="44"/>
      <c r="B960" s="6"/>
      <c r="C960" s="6"/>
      <c r="D960" s="6"/>
      <c r="E960" s="8" t="str">
        <f aca="false">IF($D960="","",IFERROR(INDEX(INSUMOS!$B$6:$B$205,MATCH($D960,INSUMOS!$A$6:$A$205,0)),"¿Código?"))</f>
        <v/>
      </c>
      <c r="F960" s="8" t="str">
        <f aca="false">IF($D960="","",IFERROR(INDEX(INSUMOS!$E$6:$E$205,MATCH($D960,INSUMOS!$A$6:$A$205,0)),""))</f>
        <v/>
      </c>
      <c r="G960" s="39"/>
      <c r="H960" s="45" t="str">
        <f aca="false">IF($D960="","",IFERROR(INDEX(INSUMOS!$F$6:$F$205,MATCH($D960,INSUMOS!$A$6:$A$205,0)),0))</f>
        <v/>
      </c>
      <c r="I960" s="34" t="str">
        <f aca="false">IF($D960="","",N($G960)*$H960)</f>
        <v/>
      </c>
      <c r="J960" s="40"/>
      <c r="K960" s="36" t="str">
        <f aca="false">IF($D960="","",IFERROR(INDEX(INSUMOS!$H$6:$H$205,MATCH($D960,INSUMOS!$A$6:$A$205,0)),IVA_VENTAS))</f>
        <v/>
      </c>
      <c r="L960" s="35" t="str">
        <f aca="false">IF($D960="","",N($J960)*$K960)</f>
        <v/>
      </c>
      <c r="M960" s="35" t="str">
        <f aca="false">IF($D960="","",N($J960)+$L960)</f>
        <v/>
      </c>
      <c r="N960" s="43" t="str">
        <f aca="false">IF($D960="","",IFERROR(N($J960)/$I960,0))</f>
        <v/>
      </c>
      <c r="O960" s="6"/>
      <c r="P960" s="6"/>
      <c r="Q960" s="46" t="str">
        <f aca="false">IF($A960="","",DATE(YEAR($A960),MONTH($A960),1))</f>
        <v/>
      </c>
      <c r="R960" s="8" t="str">
        <f aca="false">IF(OR($A960="",$D960=""),"",IF(COUNTIFS($D$6:$D$1005,$D960,$A$6:$A$1005,"&gt;"&amp;$A960)=0,1,0))</f>
        <v/>
      </c>
    </row>
    <row r="961" customFormat="false" ht="15" hidden="false" customHeight="false" outlineLevel="0" collapsed="false">
      <c r="A961" s="44"/>
      <c r="B961" s="6"/>
      <c r="C961" s="6"/>
      <c r="D961" s="6"/>
      <c r="E961" s="8" t="str">
        <f aca="false">IF($D961="","",IFERROR(INDEX(INSUMOS!$B$6:$B$205,MATCH($D961,INSUMOS!$A$6:$A$205,0)),"¿Código?"))</f>
        <v/>
      </c>
      <c r="F961" s="8" t="str">
        <f aca="false">IF($D961="","",IFERROR(INDEX(INSUMOS!$E$6:$E$205,MATCH($D961,INSUMOS!$A$6:$A$205,0)),""))</f>
        <v/>
      </c>
      <c r="G961" s="39"/>
      <c r="H961" s="45" t="str">
        <f aca="false">IF($D961="","",IFERROR(INDEX(INSUMOS!$F$6:$F$205,MATCH($D961,INSUMOS!$A$6:$A$205,0)),0))</f>
        <v/>
      </c>
      <c r="I961" s="34" t="str">
        <f aca="false">IF($D961="","",N($G961)*$H961)</f>
        <v/>
      </c>
      <c r="J961" s="40"/>
      <c r="K961" s="36" t="str">
        <f aca="false">IF($D961="","",IFERROR(INDEX(INSUMOS!$H$6:$H$205,MATCH($D961,INSUMOS!$A$6:$A$205,0)),IVA_VENTAS))</f>
        <v/>
      </c>
      <c r="L961" s="35" t="str">
        <f aca="false">IF($D961="","",N($J961)*$K961)</f>
        <v/>
      </c>
      <c r="M961" s="35" t="str">
        <f aca="false">IF($D961="","",N($J961)+$L961)</f>
        <v/>
      </c>
      <c r="N961" s="43" t="str">
        <f aca="false">IF($D961="","",IFERROR(N($J961)/$I961,0))</f>
        <v/>
      </c>
      <c r="O961" s="6"/>
      <c r="P961" s="6"/>
      <c r="Q961" s="46" t="str">
        <f aca="false">IF($A961="","",DATE(YEAR($A961),MONTH($A961),1))</f>
        <v/>
      </c>
      <c r="R961" s="8" t="str">
        <f aca="false">IF(OR($A961="",$D961=""),"",IF(COUNTIFS($D$6:$D$1005,$D961,$A$6:$A$1005,"&gt;"&amp;$A961)=0,1,0))</f>
        <v/>
      </c>
    </row>
    <row r="962" customFormat="false" ht="15" hidden="false" customHeight="false" outlineLevel="0" collapsed="false">
      <c r="A962" s="44"/>
      <c r="B962" s="6"/>
      <c r="C962" s="6"/>
      <c r="D962" s="6"/>
      <c r="E962" s="8" t="str">
        <f aca="false">IF($D962="","",IFERROR(INDEX(INSUMOS!$B$6:$B$205,MATCH($D962,INSUMOS!$A$6:$A$205,0)),"¿Código?"))</f>
        <v/>
      </c>
      <c r="F962" s="8" t="str">
        <f aca="false">IF($D962="","",IFERROR(INDEX(INSUMOS!$E$6:$E$205,MATCH($D962,INSUMOS!$A$6:$A$205,0)),""))</f>
        <v/>
      </c>
      <c r="G962" s="39"/>
      <c r="H962" s="45" t="str">
        <f aca="false">IF($D962="","",IFERROR(INDEX(INSUMOS!$F$6:$F$205,MATCH($D962,INSUMOS!$A$6:$A$205,0)),0))</f>
        <v/>
      </c>
      <c r="I962" s="34" t="str">
        <f aca="false">IF($D962="","",N($G962)*$H962)</f>
        <v/>
      </c>
      <c r="J962" s="40"/>
      <c r="K962" s="36" t="str">
        <f aca="false">IF($D962="","",IFERROR(INDEX(INSUMOS!$H$6:$H$205,MATCH($D962,INSUMOS!$A$6:$A$205,0)),IVA_VENTAS))</f>
        <v/>
      </c>
      <c r="L962" s="35" t="str">
        <f aca="false">IF($D962="","",N($J962)*$K962)</f>
        <v/>
      </c>
      <c r="M962" s="35" t="str">
        <f aca="false">IF($D962="","",N($J962)+$L962)</f>
        <v/>
      </c>
      <c r="N962" s="43" t="str">
        <f aca="false">IF($D962="","",IFERROR(N($J962)/$I962,0))</f>
        <v/>
      </c>
      <c r="O962" s="6"/>
      <c r="P962" s="6"/>
      <c r="Q962" s="46" t="str">
        <f aca="false">IF($A962="","",DATE(YEAR($A962),MONTH($A962),1))</f>
        <v/>
      </c>
      <c r="R962" s="8" t="str">
        <f aca="false">IF(OR($A962="",$D962=""),"",IF(COUNTIFS($D$6:$D$1005,$D962,$A$6:$A$1005,"&gt;"&amp;$A962)=0,1,0))</f>
        <v/>
      </c>
    </row>
    <row r="963" customFormat="false" ht="15" hidden="false" customHeight="false" outlineLevel="0" collapsed="false">
      <c r="A963" s="44"/>
      <c r="B963" s="6"/>
      <c r="C963" s="6"/>
      <c r="D963" s="6"/>
      <c r="E963" s="8" t="str">
        <f aca="false">IF($D963="","",IFERROR(INDEX(INSUMOS!$B$6:$B$205,MATCH($D963,INSUMOS!$A$6:$A$205,0)),"¿Código?"))</f>
        <v/>
      </c>
      <c r="F963" s="8" t="str">
        <f aca="false">IF($D963="","",IFERROR(INDEX(INSUMOS!$E$6:$E$205,MATCH($D963,INSUMOS!$A$6:$A$205,0)),""))</f>
        <v/>
      </c>
      <c r="G963" s="39"/>
      <c r="H963" s="45" t="str">
        <f aca="false">IF($D963="","",IFERROR(INDEX(INSUMOS!$F$6:$F$205,MATCH($D963,INSUMOS!$A$6:$A$205,0)),0))</f>
        <v/>
      </c>
      <c r="I963" s="34" t="str">
        <f aca="false">IF($D963="","",N($G963)*$H963)</f>
        <v/>
      </c>
      <c r="J963" s="40"/>
      <c r="K963" s="36" t="str">
        <f aca="false">IF($D963="","",IFERROR(INDEX(INSUMOS!$H$6:$H$205,MATCH($D963,INSUMOS!$A$6:$A$205,0)),IVA_VENTAS))</f>
        <v/>
      </c>
      <c r="L963" s="35" t="str">
        <f aca="false">IF($D963="","",N($J963)*$K963)</f>
        <v/>
      </c>
      <c r="M963" s="35" t="str">
        <f aca="false">IF($D963="","",N($J963)+$L963)</f>
        <v/>
      </c>
      <c r="N963" s="43" t="str">
        <f aca="false">IF($D963="","",IFERROR(N($J963)/$I963,0))</f>
        <v/>
      </c>
      <c r="O963" s="6"/>
      <c r="P963" s="6"/>
      <c r="Q963" s="46" t="str">
        <f aca="false">IF($A963="","",DATE(YEAR($A963),MONTH($A963),1))</f>
        <v/>
      </c>
      <c r="R963" s="8" t="str">
        <f aca="false">IF(OR($A963="",$D963=""),"",IF(COUNTIFS($D$6:$D$1005,$D963,$A$6:$A$1005,"&gt;"&amp;$A963)=0,1,0))</f>
        <v/>
      </c>
    </row>
    <row r="964" customFormat="false" ht="15" hidden="false" customHeight="false" outlineLevel="0" collapsed="false">
      <c r="A964" s="44"/>
      <c r="B964" s="6"/>
      <c r="C964" s="6"/>
      <c r="D964" s="6"/>
      <c r="E964" s="8" t="str">
        <f aca="false">IF($D964="","",IFERROR(INDEX(INSUMOS!$B$6:$B$205,MATCH($D964,INSUMOS!$A$6:$A$205,0)),"¿Código?"))</f>
        <v/>
      </c>
      <c r="F964" s="8" t="str">
        <f aca="false">IF($D964="","",IFERROR(INDEX(INSUMOS!$E$6:$E$205,MATCH($D964,INSUMOS!$A$6:$A$205,0)),""))</f>
        <v/>
      </c>
      <c r="G964" s="39"/>
      <c r="H964" s="45" t="str">
        <f aca="false">IF($D964="","",IFERROR(INDEX(INSUMOS!$F$6:$F$205,MATCH($D964,INSUMOS!$A$6:$A$205,0)),0))</f>
        <v/>
      </c>
      <c r="I964" s="34" t="str">
        <f aca="false">IF($D964="","",N($G964)*$H964)</f>
        <v/>
      </c>
      <c r="J964" s="40"/>
      <c r="K964" s="36" t="str">
        <f aca="false">IF($D964="","",IFERROR(INDEX(INSUMOS!$H$6:$H$205,MATCH($D964,INSUMOS!$A$6:$A$205,0)),IVA_VENTAS))</f>
        <v/>
      </c>
      <c r="L964" s="35" t="str">
        <f aca="false">IF($D964="","",N($J964)*$K964)</f>
        <v/>
      </c>
      <c r="M964" s="35" t="str">
        <f aca="false">IF($D964="","",N($J964)+$L964)</f>
        <v/>
      </c>
      <c r="N964" s="43" t="str">
        <f aca="false">IF($D964="","",IFERROR(N($J964)/$I964,0))</f>
        <v/>
      </c>
      <c r="O964" s="6"/>
      <c r="P964" s="6"/>
      <c r="Q964" s="46" t="str">
        <f aca="false">IF($A964="","",DATE(YEAR($A964),MONTH($A964),1))</f>
        <v/>
      </c>
      <c r="R964" s="8" t="str">
        <f aca="false">IF(OR($A964="",$D964=""),"",IF(COUNTIFS($D$6:$D$1005,$D964,$A$6:$A$1005,"&gt;"&amp;$A964)=0,1,0))</f>
        <v/>
      </c>
    </row>
    <row r="965" customFormat="false" ht="15" hidden="false" customHeight="false" outlineLevel="0" collapsed="false">
      <c r="A965" s="44"/>
      <c r="B965" s="6"/>
      <c r="C965" s="6"/>
      <c r="D965" s="6"/>
      <c r="E965" s="8" t="str">
        <f aca="false">IF($D965="","",IFERROR(INDEX(INSUMOS!$B$6:$B$205,MATCH($D965,INSUMOS!$A$6:$A$205,0)),"¿Código?"))</f>
        <v/>
      </c>
      <c r="F965" s="8" t="str">
        <f aca="false">IF($D965="","",IFERROR(INDEX(INSUMOS!$E$6:$E$205,MATCH($D965,INSUMOS!$A$6:$A$205,0)),""))</f>
        <v/>
      </c>
      <c r="G965" s="39"/>
      <c r="H965" s="45" t="str">
        <f aca="false">IF($D965="","",IFERROR(INDEX(INSUMOS!$F$6:$F$205,MATCH($D965,INSUMOS!$A$6:$A$205,0)),0))</f>
        <v/>
      </c>
      <c r="I965" s="34" t="str">
        <f aca="false">IF($D965="","",N($G965)*$H965)</f>
        <v/>
      </c>
      <c r="J965" s="40"/>
      <c r="K965" s="36" t="str">
        <f aca="false">IF($D965="","",IFERROR(INDEX(INSUMOS!$H$6:$H$205,MATCH($D965,INSUMOS!$A$6:$A$205,0)),IVA_VENTAS))</f>
        <v/>
      </c>
      <c r="L965" s="35" t="str">
        <f aca="false">IF($D965="","",N($J965)*$K965)</f>
        <v/>
      </c>
      <c r="M965" s="35" t="str">
        <f aca="false">IF($D965="","",N($J965)+$L965)</f>
        <v/>
      </c>
      <c r="N965" s="43" t="str">
        <f aca="false">IF($D965="","",IFERROR(N($J965)/$I965,0))</f>
        <v/>
      </c>
      <c r="O965" s="6"/>
      <c r="P965" s="6"/>
      <c r="Q965" s="46" t="str">
        <f aca="false">IF($A965="","",DATE(YEAR($A965),MONTH($A965),1))</f>
        <v/>
      </c>
      <c r="R965" s="8" t="str">
        <f aca="false">IF(OR($A965="",$D965=""),"",IF(COUNTIFS($D$6:$D$1005,$D965,$A$6:$A$1005,"&gt;"&amp;$A965)=0,1,0))</f>
        <v/>
      </c>
    </row>
    <row r="966" customFormat="false" ht="15" hidden="false" customHeight="false" outlineLevel="0" collapsed="false">
      <c r="A966" s="44"/>
      <c r="B966" s="6"/>
      <c r="C966" s="6"/>
      <c r="D966" s="6"/>
      <c r="E966" s="8" t="str">
        <f aca="false">IF($D966="","",IFERROR(INDEX(INSUMOS!$B$6:$B$205,MATCH($D966,INSUMOS!$A$6:$A$205,0)),"¿Código?"))</f>
        <v/>
      </c>
      <c r="F966" s="8" t="str">
        <f aca="false">IF($D966="","",IFERROR(INDEX(INSUMOS!$E$6:$E$205,MATCH($D966,INSUMOS!$A$6:$A$205,0)),""))</f>
        <v/>
      </c>
      <c r="G966" s="39"/>
      <c r="H966" s="45" t="str">
        <f aca="false">IF($D966="","",IFERROR(INDEX(INSUMOS!$F$6:$F$205,MATCH($D966,INSUMOS!$A$6:$A$205,0)),0))</f>
        <v/>
      </c>
      <c r="I966" s="34" t="str">
        <f aca="false">IF($D966="","",N($G966)*$H966)</f>
        <v/>
      </c>
      <c r="J966" s="40"/>
      <c r="K966" s="36" t="str">
        <f aca="false">IF($D966="","",IFERROR(INDEX(INSUMOS!$H$6:$H$205,MATCH($D966,INSUMOS!$A$6:$A$205,0)),IVA_VENTAS))</f>
        <v/>
      </c>
      <c r="L966" s="35" t="str">
        <f aca="false">IF($D966="","",N($J966)*$K966)</f>
        <v/>
      </c>
      <c r="M966" s="35" t="str">
        <f aca="false">IF($D966="","",N($J966)+$L966)</f>
        <v/>
      </c>
      <c r="N966" s="43" t="str">
        <f aca="false">IF($D966="","",IFERROR(N($J966)/$I966,0))</f>
        <v/>
      </c>
      <c r="O966" s="6"/>
      <c r="P966" s="6"/>
      <c r="Q966" s="46" t="str">
        <f aca="false">IF($A966="","",DATE(YEAR($A966),MONTH($A966),1))</f>
        <v/>
      </c>
      <c r="R966" s="8" t="str">
        <f aca="false">IF(OR($A966="",$D966=""),"",IF(COUNTIFS($D$6:$D$1005,$D966,$A$6:$A$1005,"&gt;"&amp;$A966)=0,1,0))</f>
        <v/>
      </c>
    </row>
    <row r="967" customFormat="false" ht="15" hidden="false" customHeight="false" outlineLevel="0" collapsed="false">
      <c r="A967" s="44"/>
      <c r="B967" s="6"/>
      <c r="C967" s="6"/>
      <c r="D967" s="6"/>
      <c r="E967" s="8" t="str">
        <f aca="false">IF($D967="","",IFERROR(INDEX(INSUMOS!$B$6:$B$205,MATCH($D967,INSUMOS!$A$6:$A$205,0)),"¿Código?"))</f>
        <v/>
      </c>
      <c r="F967" s="8" t="str">
        <f aca="false">IF($D967="","",IFERROR(INDEX(INSUMOS!$E$6:$E$205,MATCH($D967,INSUMOS!$A$6:$A$205,0)),""))</f>
        <v/>
      </c>
      <c r="G967" s="39"/>
      <c r="H967" s="45" t="str">
        <f aca="false">IF($D967="","",IFERROR(INDEX(INSUMOS!$F$6:$F$205,MATCH($D967,INSUMOS!$A$6:$A$205,0)),0))</f>
        <v/>
      </c>
      <c r="I967" s="34" t="str">
        <f aca="false">IF($D967="","",N($G967)*$H967)</f>
        <v/>
      </c>
      <c r="J967" s="40"/>
      <c r="K967" s="36" t="str">
        <f aca="false">IF($D967="","",IFERROR(INDEX(INSUMOS!$H$6:$H$205,MATCH($D967,INSUMOS!$A$6:$A$205,0)),IVA_VENTAS))</f>
        <v/>
      </c>
      <c r="L967" s="35" t="str">
        <f aca="false">IF($D967="","",N($J967)*$K967)</f>
        <v/>
      </c>
      <c r="M967" s="35" t="str">
        <f aca="false">IF($D967="","",N($J967)+$L967)</f>
        <v/>
      </c>
      <c r="N967" s="43" t="str">
        <f aca="false">IF($D967="","",IFERROR(N($J967)/$I967,0))</f>
        <v/>
      </c>
      <c r="O967" s="6"/>
      <c r="P967" s="6"/>
      <c r="Q967" s="46" t="str">
        <f aca="false">IF($A967="","",DATE(YEAR($A967),MONTH($A967),1))</f>
        <v/>
      </c>
      <c r="R967" s="8" t="str">
        <f aca="false">IF(OR($A967="",$D967=""),"",IF(COUNTIFS($D$6:$D$1005,$D967,$A$6:$A$1005,"&gt;"&amp;$A967)=0,1,0))</f>
        <v/>
      </c>
    </row>
    <row r="968" customFormat="false" ht="15" hidden="false" customHeight="false" outlineLevel="0" collapsed="false">
      <c r="A968" s="44"/>
      <c r="B968" s="6"/>
      <c r="C968" s="6"/>
      <c r="D968" s="6"/>
      <c r="E968" s="8" t="str">
        <f aca="false">IF($D968="","",IFERROR(INDEX(INSUMOS!$B$6:$B$205,MATCH($D968,INSUMOS!$A$6:$A$205,0)),"¿Código?"))</f>
        <v/>
      </c>
      <c r="F968" s="8" t="str">
        <f aca="false">IF($D968="","",IFERROR(INDEX(INSUMOS!$E$6:$E$205,MATCH($D968,INSUMOS!$A$6:$A$205,0)),""))</f>
        <v/>
      </c>
      <c r="G968" s="39"/>
      <c r="H968" s="45" t="str">
        <f aca="false">IF($D968="","",IFERROR(INDEX(INSUMOS!$F$6:$F$205,MATCH($D968,INSUMOS!$A$6:$A$205,0)),0))</f>
        <v/>
      </c>
      <c r="I968" s="34" t="str">
        <f aca="false">IF($D968="","",N($G968)*$H968)</f>
        <v/>
      </c>
      <c r="J968" s="40"/>
      <c r="K968" s="36" t="str">
        <f aca="false">IF($D968="","",IFERROR(INDEX(INSUMOS!$H$6:$H$205,MATCH($D968,INSUMOS!$A$6:$A$205,0)),IVA_VENTAS))</f>
        <v/>
      </c>
      <c r="L968" s="35" t="str">
        <f aca="false">IF($D968="","",N($J968)*$K968)</f>
        <v/>
      </c>
      <c r="M968" s="35" t="str">
        <f aca="false">IF($D968="","",N($J968)+$L968)</f>
        <v/>
      </c>
      <c r="N968" s="43" t="str">
        <f aca="false">IF($D968="","",IFERROR(N($J968)/$I968,0))</f>
        <v/>
      </c>
      <c r="O968" s="6"/>
      <c r="P968" s="6"/>
      <c r="Q968" s="46" t="str">
        <f aca="false">IF($A968="","",DATE(YEAR($A968),MONTH($A968),1))</f>
        <v/>
      </c>
      <c r="R968" s="8" t="str">
        <f aca="false">IF(OR($A968="",$D968=""),"",IF(COUNTIFS($D$6:$D$1005,$D968,$A$6:$A$1005,"&gt;"&amp;$A968)=0,1,0))</f>
        <v/>
      </c>
    </row>
    <row r="969" customFormat="false" ht="15" hidden="false" customHeight="false" outlineLevel="0" collapsed="false">
      <c r="A969" s="44"/>
      <c r="B969" s="6"/>
      <c r="C969" s="6"/>
      <c r="D969" s="6"/>
      <c r="E969" s="8" t="str">
        <f aca="false">IF($D969="","",IFERROR(INDEX(INSUMOS!$B$6:$B$205,MATCH($D969,INSUMOS!$A$6:$A$205,0)),"¿Código?"))</f>
        <v/>
      </c>
      <c r="F969" s="8" t="str">
        <f aca="false">IF($D969="","",IFERROR(INDEX(INSUMOS!$E$6:$E$205,MATCH($D969,INSUMOS!$A$6:$A$205,0)),""))</f>
        <v/>
      </c>
      <c r="G969" s="39"/>
      <c r="H969" s="45" t="str">
        <f aca="false">IF($D969="","",IFERROR(INDEX(INSUMOS!$F$6:$F$205,MATCH($D969,INSUMOS!$A$6:$A$205,0)),0))</f>
        <v/>
      </c>
      <c r="I969" s="34" t="str">
        <f aca="false">IF($D969="","",N($G969)*$H969)</f>
        <v/>
      </c>
      <c r="J969" s="40"/>
      <c r="K969" s="36" t="str">
        <f aca="false">IF($D969="","",IFERROR(INDEX(INSUMOS!$H$6:$H$205,MATCH($D969,INSUMOS!$A$6:$A$205,0)),IVA_VENTAS))</f>
        <v/>
      </c>
      <c r="L969" s="35" t="str">
        <f aca="false">IF($D969="","",N($J969)*$K969)</f>
        <v/>
      </c>
      <c r="M969" s="35" t="str">
        <f aca="false">IF($D969="","",N($J969)+$L969)</f>
        <v/>
      </c>
      <c r="N969" s="43" t="str">
        <f aca="false">IF($D969="","",IFERROR(N($J969)/$I969,0))</f>
        <v/>
      </c>
      <c r="O969" s="6"/>
      <c r="P969" s="6"/>
      <c r="Q969" s="46" t="str">
        <f aca="false">IF($A969="","",DATE(YEAR($A969),MONTH($A969),1))</f>
        <v/>
      </c>
      <c r="R969" s="8" t="str">
        <f aca="false">IF(OR($A969="",$D969=""),"",IF(COUNTIFS($D$6:$D$1005,$D969,$A$6:$A$1005,"&gt;"&amp;$A969)=0,1,0))</f>
        <v/>
      </c>
    </row>
    <row r="970" customFormat="false" ht="15" hidden="false" customHeight="false" outlineLevel="0" collapsed="false">
      <c r="A970" s="44"/>
      <c r="B970" s="6"/>
      <c r="C970" s="6"/>
      <c r="D970" s="6"/>
      <c r="E970" s="8" t="str">
        <f aca="false">IF($D970="","",IFERROR(INDEX(INSUMOS!$B$6:$B$205,MATCH($D970,INSUMOS!$A$6:$A$205,0)),"¿Código?"))</f>
        <v/>
      </c>
      <c r="F970" s="8" t="str">
        <f aca="false">IF($D970="","",IFERROR(INDEX(INSUMOS!$E$6:$E$205,MATCH($D970,INSUMOS!$A$6:$A$205,0)),""))</f>
        <v/>
      </c>
      <c r="G970" s="39"/>
      <c r="H970" s="45" t="str">
        <f aca="false">IF($D970="","",IFERROR(INDEX(INSUMOS!$F$6:$F$205,MATCH($D970,INSUMOS!$A$6:$A$205,0)),0))</f>
        <v/>
      </c>
      <c r="I970" s="34" t="str">
        <f aca="false">IF($D970="","",N($G970)*$H970)</f>
        <v/>
      </c>
      <c r="J970" s="40"/>
      <c r="K970" s="36" t="str">
        <f aca="false">IF($D970="","",IFERROR(INDEX(INSUMOS!$H$6:$H$205,MATCH($D970,INSUMOS!$A$6:$A$205,0)),IVA_VENTAS))</f>
        <v/>
      </c>
      <c r="L970" s="35" t="str">
        <f aca="false">IF($D970="","",N($J970)*$K970)</f>
        <v/>
      </c>
      <c r="M970" s="35" t="str">
        <f aca="false">IF($D970="","",N($J970)+$L970)</f>
        <v/>
      </c>
      <c r="N970" s="43" t="str">
        <f aca="false">IF($D970="","",IFERROR(N($J970)/$I970,0))</f>
        <v/>
      </c>
      <c r="O970" s="6"/>
      <c r="P970" s="6"/>
      <c r="Q970" s="46" t="str">
        <f aca="false">IF($A970="","",DATE(YEAR($A970),MONTH($A970),1))</f>
        <v/>
      </c>
      <c r="R970" s="8" t="str">
        <f aca="false">IF(OR($A970="",$D970=""),"",IF(COUNTIFS($D$6:$D$1005,$D970,$A$6:$A$1005,"&gt;"&amp;$A970)=0,1,0))</f>
        <v/>
      </c>
    </row>
    <row r="971" customFormat="false" ht="15" hidden="false" customHeight="false" outlineLevel="0" collapsed="false">
      <c r="A971" s="44"/>
      <c r="B971" s="6"/>
      <c r="C971" s="6"/>
      <c r="D971" s="6"/>
      <c r="E971" s="8" t="str">
        <f aca="false">IF($D971="","",IFERROR(INDEX(INSUMOS!$B$6:$B$205,MATCH($D971,INSUMOS!$A$6:$A$205,0)),"¿Código?"))</f>
        <v/>
      </c>
      <c r="F971" s="8" t="str">
        <f aca="false">IF($D971="","",IFERROR(INDEX(INSUMOS!$E$6:$E$205,MATCH($D971,INSUMOS!$A$6:$A$205,0)),""))</f>
        <v/>
      </c>
      <c r="G971" s="39"/>
      <c r="H971" s="45" t="str">
        <f aca="false">IF($D971="","",IFERROR(INDEX(INSUMOS!$F$6:$F$205,MATCH($D971,INSUMOS!$A$6:$A$205,0)),0))</f>
        <v/>
      </c>
      <c r="I971" s="34" t="str">
        <f aca="false">IF($D971="","",N($G971)*$H971)</f>
        <v/>
      </c>
      <c r="J971" s="40"/>
      <c r="K971" s="36" t="str">
        <f aca="false">IF($D971="","",IFERROR(INDEX(INSUMOS!$H$6:$H$205,MATCH($D971,INSUMOS!$A$6:$A$205,0)),IVA_VENTAS))</f>
        <v/>
      </c>
      <c r="L971" s="35" t="str">
        <f aca="false">IF($D971="","",N($J971)*$K971)</f>
        <v/>
      </c>
      <c r="M971" s="35" t="str">
        <f aca="false">IF($D971="","",N($J971)+$L971)</f>
        <v/>
      </c>
      <c r="N971" s="43" t="str">
        <f aca="false">IF($D971="","",IFERROR(N($J971)/$I971,0))</f>
        <v/>
      </c>
      <c r="O971" s="6"/>
      <c r="P971" s="6"/>
      <c r="Q971" s="46" t="str">
        <f aca="false">IF($A971="","",DATE(YEAR($A971),MONTH($A971),1))</f>
        <v/>
      </c>
      <c r="R971" s="8" t="str">
        <f aca="false">IF(OR($A971="",$D971=""),"",IF(COUNTIFS($D$6:$D$1005,$D971,$A$6:$A$1005,"&gt;"&amp;$A971)=0,1,0))</f>
        <v/>
      </c>
    </row>
    <row r="972" customFormat="false" ht="15" hidden="false" customHeight="false" outlineLevel="0" collapsed="false">
      <c r="A972" s="44"/>
      <c r="B972" s="6"/>
      <c r="C972" s="6"/>
      <c r="D972" s="6"/>
      <c r="E972" s="8" t="str">
        <f aca="false">IF($D972="","",IFERROR(INDEX(INSUMOS!$B$6:$B$205,MATCH($D972,INSUMOS!$A$6:$A$205,0)),"¿Código?"))</f>
        <v/>
      </c>
      <c r="F972" s="8" t="str">
        <f aca="false">IF($D972="","",IFERROR(INDEX(INSUMOS!$E$6:$E$205,MATCH($D972,INSUMOS!$A$6:$A$205,0)),""))</f>
        <v/>
      </c>
      <c r="G972" s="39"/>
      <c r="H972" s="45" t="str">
        <f aca="false">IF($D972="","",IFERROR(INDEX(INSUMOS!$F$6:$F$205,MATCH($D972,INSUMOS!$A$6:$A$205,0)),0))</f>
        <v/>
      </c>
      <c r="I972" s="34" t="str">
        <f aca="false">IF($D972="","",N($G972)*$H972)</f>
        <v/>
      </c>
      <c r="J972" s="40"/>
      <c r="K972" s="36" t="str">
        <f aca="false">IF($D972="","",IFERROR(INDEX(INSUMOS!$H$6:$H$205,MATCH($D972,INSUMOS!$A$6:$A$205,0)),IVA_VENTAS))</f>
        <v/>
      </c>
      <c r="L972" s="35" t="str">
        <f aca="false">IF($D972="","",N($J972)*$K972)</f>
        <v/>
      </c>
      <c r="M972" s="35" t="str">
        <f aca="false">IF($D972="","",N($J972)+$L972)</f>
        <v/>
      </c>
      <c r="N972" s="43" t="str">
        <f aca="false">IF($D972="","",IFERROR(N($J972)/$I972,0))</f>
        <v/>
      </c>
      <c r="O972" s="6"/>
      <c r="P972" s="6"/>
      <c r="Q972" s="46" t="str">
        <f aca="false">IF($A972="","",DATE(YEAR($A972),MONTH($A972),1))</f>
        <v/>
      </c>
      <c r="R972" s="8" t="str">
        <f aca="false">IF(OR($A972="",$D972=""),"",IF(COUNTIFS($D$6:$D$1005,$D972,$A$6:$A$1005,"&gt;"&amp;$A972)=0,1,0))</f>
        <v/>
      </c>
    </row>
    <row r="973" customFormat="false" ht="15" hidden="false" customHeight="false" outlineLevel="0" collapsed="false">
      <c r="A973" s="44"/>
      <c r="B973" s="6"/>
      <c r="C973" s="6"/>
      <c r="D973" s="6"/>
      <c r="E973" s="8" t="str">
        <f aca="false">IF($D973="","",IFERROR(INDEX(INSUMOS!$B$6:$B$205,MATCH($D973,INSUMOS!$A$6:$A$205,0)),"¿Código?"))</f>
        <v/>
      </c>
      <c r="F973" s="8" t="str">
        <f aca="false">IF($D973="","",IFERROR(INDEX(INSUMOS!$E$6:$E$205,MATCH($D973,INSUMOS!$A$6:$A$205,0)),""))</f>
        <v/>
      </c>
      <c r="G973" s="39"/>
      <c r="H973" s="45" t="str">
        <f aca="false">IF($D973="","",IFERROR(INDEX(INSUMOS!$F$6:$F$205,MATCH($D973,INSUMOS!$A$6:$A$205,0)),0))</f>
        <v/>
      </c>
      <c r="I973" s="34" t="str">
        <f aca="false">IF($D973="","",N($G973)*$H973)</f>
        <v/>
      </c>
      <c r="J973" s="40"/>
      <c r="K973" s="36" t="str">
        <f aca="false">IF($D973="","",IFERROR(INDEX(INSUMOS!$H$6:$H$205,MATCH($D973,INSUMOS!$A$6:$A$205,0)),IVA_VENTAS))</f>
        <v/>
      </c>
      <c r="L973" s="35" t="str">
        <f aca="false">IF($D973="","",N($J973)*$K973)</f>
        <v/>
      </c>
      <c r="M973" s="35" t="str">
        <f aca="false">IF($D973="","",N($J973)+$L973)</f>
        <v/>
      </c>
      <c r="N973" s="43" t="str">
        <f aca="false">IF($D973="","",IFERROR(N($J973)/$I973,0))</f>
        <v/>
      </c>
      <c r="O973" s="6"/>
      <c r="P973" s="6"/>
      <c r="Q973" s="46" t="str">
        <f aca="false">IF($A973="","",DATE(YEAR($A973),MONTH($A973),1))</f>
        <v/>
      </c>
      <c r="R973" s="8" t="str">
        <f aca="false">IF(OR($A973="",$D973=""),"",IF(COUNTIFS($D$6:$D$1005,$D973,$A$6:$A$1005,"&gt;"&amp;$A973)=0,1,0))</f>
        <v/>
      </c>
    </row>
    <row r="974" customFormat="false" ht="15" hidden="false" customHeight="false" outlineLevel="0" collapsed="false">
      <c r="A974" s="44"/>
      <c r="B974" s="6"/>
      <c r="C974" s="6"/>
      <c r="D974" s="6"/>
      <c r="E974" s="8" t="str">
        <f aca="false">IF($D974="","",IFERROR(INDEX(INSUMOS!$B$6:$B$205,MATCH($D974,INSUMOS!$A$6:$A$205,0)),"¿Código?"))</f>
        <v/>
      </c>
      <c r="F974" s="8" t="str">
        <f aca="false">IF($D974="","",IFERROR(INDEX(INSUMOS!$E$6:$E$205,MATCH($D974,INSUMOS!$A$6:$A$205,0)),""))</f>
        <v/>
      </c>
      <c r="G974" s="39"/>
      <c r="H974" s="45" t="str">
        <f aca="false">IF($D974="","",IFERROR(INDEX(INSUMOS!$F$6:$F$205,MATCH($D974,INSUMOS!$A$6:$A$205,0)),0))</f>
        <v/>
      </c>
      <c r="I974" s="34" t="str">
        <f aca="false">IF($D974="","",N($G974)*$H974)</f>
        <v/>
      </c>
      <c r="J974" s="40"/>
      <c r="K974" s="36" t="str">
        <f aca="false">IF($D974="","",IFERROR(INDEX(INSUMOS!$H$6:$H$205,MATCH($D974,INSUMOS!$A$6:$A$205,0)),IVA_VENTAS))</f>
        <v/>
      </c>
      <c r="L974" s="35" t="str">
        <f aca="false">IF($D974="","",N($J974)*$K974)</f>
        <v/>
      </c>
      <c r="M974" s="35" t="str">
        <f aca="false">IF($D974="","",N($J974)+$L974)</f>
        <v/>
      </c>
      <c r="N974" s="43" t="str">
        <f aca="false">IF($D974="","",IFERROR(N($J974)/$I974,0))</f>
        <v/>
      </c>
      <c r="O974" s="6"/>
      <c r="P974" s="6"/>
      <c r="Q974" s="46" t="str">
        <f aca="false">IF($A974="","",DATE(YEAR($A974),MONTH($A974),1))</f>
        <v/>
      </c>
      <c r="R974" s="8" t="str">
        <f aca="false">IF(OR($A974="",$D974=""),"",IF(COUNTIFS($D$6:$D$1005,$D974,$A$6:$A$1005,"&gt;"&amp;$A974)=0,1,0))</f>
        <v/>
      </c>
    </row>
    <row r="975" customFormat="false" ht="15" hidden="false" customHeight="false" outlineLevel="0" collapsed="false">
      <c r="A975" s="44"/>
      <c r="B975" s="6"/>
      <c r="C975" s="6"/>
      <c r="D975" s="6"/>
      <c r="E975" s="8" t="str">
        <f aca="false">IF($D975="","",IFERROR(INDEX(INSUMOS!$B$6:$B$205,MATCH($D975,INSUMOS!$A$6:$A$205,0)),"¿Código?"))</f>
        <v/>
      </c>
      <c r="F975" s="8" t="str">
        <f aca="false">IF($D975="","",IFERROR(INDEX(INSUMOS!$E$6:$E$205,MATCH($D975,INSUMOS!$A$6:$A$205,0)),""))</f>
        <v/>
      </c>
      <c r="G975" s="39"/>
      <c r="H975" s="45" t="str">
        <f aca="false">IF($D975="","",IFERROR(INDEX(INSUMOS!$F$6:$F$205,MATCH($D975,INSUMOS!$A$6:$A$205,0)),0))</f>
        <v/>
      </c>
      <c r="I975" s="34" t="str">
        <f aca="false">IF($D975="","",N($G975)*$H975)</f>
        <v/>
      </c>
      <c r="J975" s="40"/>
      <c r="K975" s="36" t="str">
        <f aca="false">IF($D975="","",IFERROR(INDEX(INSUMOS!$H$6:$H$205,MATCH($D975,INSUMOS!$A$6:$A$205,0)),IVA_VENTAS))</f>
        <v/>
      </c>
      <c r="L975" s="35" t="str">
        <f aca="false">IF($D975="","",N($J975)*$K975)</f>
        <v/>
      </c>
      <c r="M975" s="35" t="str">
        <f aca="false">IF($D975="","",N($J975)+$L975)</f>
        <v/>
      </c>
      <c r="N975" s="43" t="str">
        <f aca="false">IF($D975="","",IFERROR(N($J975)/$I975,0))</f>
        <v/>
      </c>
      <c r="O975" s="6"/>
      <c r="P975" s="6"/>
      <c r="Q975" s="46" t="str">
        <f aca="false">IF($A975="","",DATE(YEAR($A975),MONTH($A975),1))</f>
        <v/>
      </c>
      <c r="R975" s="8" t="str">
        <f aca="false">IF(OR($A975="",$D975=""),"",IF(COUNTIFS($D$6:$D$1005,$D975,$A$6:$A$1005,"&gt;"&amp;$A975)=0,1,0))</f>
        <v/>
      </c>
    </row>
    <row r="976" customFormat="false" ht="15" hidden="false" customHeight="false" outlineLevel="0" collapsed="false">
      <c r="A976" s="44"/>
      <c r="B976" s="6"/>
      <c r="C976" s="6"/>
      <c r="D976" s="6"/>
      <c r="E976" s="8" t="str">
        <f aca="false">IF($D976="","",IFERROR(INDEX(INSUMOS!$B$6:$B$205,MATCH($D976,INSUMOS!$A$6:$A$205,0)),"¿Código?"))</f>
        <v/>
      </c>
      <c r="F976" s="8" t="str">
        <f aca="false">IF($D976="","",IFERROR(INDEX(INSUMOS!$E$6:$E$205,MATCH($D976,INSUMOS!$A$6:$A$205,0)),""))</f>
        <v/>
      </c>
      <c r="G976" s="39"/>
      <c r="H976" s="45" t="str">
        <f aca="false">IF($D976="","",IFERROR(INDEX(INSUMOS!$F$6:$F$205,MATCH($D976,INSUMOS!$A$6:$A$205,0)),0))</f>
        <v/>
      </c>
      <c r="I976" s="34" t="str">
        <f aca="false">IF($D976="","",N($G976)*$H976)</f>
        <v/>
      </c>
      <c r="J976" s="40"/>
      <c r="K976" s="36" t="str">
        <f aca="false">IF($D976="","",IFERROR(INDEX(INSUMOS!$H$6:$H$205,MATCH($D976,INSUMOS!$A$6:$A$205,0)),IVA_VENTAS))</f>
        <v/>
      </c>
      <c r="L976" s="35" t="str">
        <f aca="false">IF($D976="","",N($J976)*$K976)</f>
        <v/>
      </c>
      <c r="M976" s="35" t="str">
        <f aca="false">IF($D976="","",N($J976)+$L976)</f>
        <v/>
      </c>
      <c r="N976" s="43" t="str">
        <f aca="false">IF($D976="","",IFERROR(N($J976)/$I976,0))</f>
        <v/>
      </c>
      <c r="O976" s="6"/>
      <c r="P976" s="6"/>
      <c r="Q976" s="46" t="str">
        <f aca="false">IF($A976="","",DATE(YEAR($A976),MONTH($A976),1))</f>
        <v/>
      </c>
      <c r="R976" s="8" t="str">
        <f aca="false">IF(OR($A976="",$D976=""),"",IF(COUNTIFS($D$6:$D$1005,$D976,$A$6:$A$1005,"&gt;"&amp;$A976)=0,1,0))</f>
        <v/>
      </c>
    </row>
    <row r="977" customFormat="false" ht="15" hidden="false" customHeight="false" outlineLevel="0" collapsed="false">
      <c r="A977" s="44"/>
      <c r="B977" s="6"/>
      <c r="C977" s="6"/>
      <c r="D977" s="6"/>
      <c r="E977" s="8" t="str">
        <f aca="false">IF($D977="","",IFERROR(INDEX(INSUMOS!$B$6:$B$205,MATCH($D977,INSUMOS!$A$6:$A$205,0)),"¿Código?"))</f>
        <v/>
      </c>
      <c r="F977" s="8" t="str">
        <f aca="false">IF($D977="","",IFERROR(INDEX(INSUMOS!$E$6:$E$205,MATCH($D977,INSUMOS!$A$6:$A$205,0)),""))</f>
        <v/>
      </c>
      <c r="G977" s="39"/>
      <c r="H977" s="45" t="str">
        <f aca="false">IF($D977="","",IFERROR(INDEX(INSUMOS!$F$6:$F$205,MATCH($D977,INSUMOS!$A$6:$A$205,0)),0))</f>
        <v/>
      </c>
      <c r="I977" s="34" t="str">
        <f aca="false">IF($D977="","",N($G977)*$H977)</f>
        <v/>
      </c>
      <c r="J977" s="40"/>
      <c r="K977" s="36" t="str">
        <f aca="false">IF($D977="","",IFERROR(INDEX(INSUMOS!$H$6:$H$205,MATCH($D977,INSUMOS!$A$6:$A$205,0)),IVA_VENTAS))</f>
        <v/>
      </c>
      <c r="L977" s="35" t="str">
        <f aca="false">IF($D977="","",N($J977)*$K977)</f>
        <v/>
      </c>
      <c r="M977" s="35" t="str">
        <f aca="false">IF($D977="","",N($J977)+$L977)</f>
        <v/>
      </c>
      <c r="N977" s="43" t="str">
        <f aca="false">IF($D977="","",IFERROR(N($J977)/$I977,0))</f>
        <v/>
      </c>
      <c r="O977" s="6"/>
      <c r="P977" s="6"/>
      <c r="Q977" s="46" t="str">
        <f aca="false">IF($A977="","",DATE(YEAR($A977),MONTH($A977),1))</f>
        <v/>
      </c>
      <c r="R977" s="8" t="str">
        <f aca="false">IF(OR($A977="",$D977=""),"",IF(COUNTIFS($D$6:$D$1005,$D977,$A$6:$A$1005,"&gt;"&amp;$A977)=0,1,0))</f>
        <v/>
      </c>
    </row>
    <row r="978" customFormat="false" ht="15" hidden="false" customHeight="false" outlineLevel="0" collapsed="false">
      <c r="A978" s="44"/>
      <c r="B978" s="6"/>
      <c r="C978" s="6"/>
      <c r="D978" s="6"/>
      <c r="E978" s="8" t="str">
        <f aca="false">IF($D978="","",IFERROR(INDEX(INSUMOS!$B$6:$B$205,MATCH($D978,INSUMOS!$A$6:$A$205,0)),"¿Código?"))</f>
        <v/>
      </c>
      <c r="F978" s="8" t="str">
        <f aca="false">IF($D978="","",IFERROR(INDEX(INSUMOS!$E$6:$E$205,MATCH($D978,INSUMOS!$A$6:$A$205,0)),""))</f>
        <v/>
      </c>
      <c r="G978" s="39"/>
      <c r="H978" s="45" t="str">
        <f aca="false">IF($D978="","",IFERROR(INDEX(INSUMOS!$F$6:$F$205,MATCH($D978,INSUMOS!$A$6:$A$205,0)),0))</f>
        <v/>
      </c>
      <c r="I978" s="34" t="str">
        <f aca="false">IF($D978="","",N($G978)*$H978)</f>
        <v/>
      </c>
      <c r="J978" s="40"/>
      <c r="K978" s="36" t="str">
        <f aca="false">IF($D978="","",IFERROR(INDEX(INSUMOS!$H$6:$H$205,MATCH($D978,INSUMOS!$A$6:$A$205,0)),IVA_VENTAS))</f>
        <v/>
      </c>
      <c r="L978" s="35" t="str">
        <f aca="false">IF($D978="","",N($J978)*$K978)</f>
        <v/>
      </c>
      <c r="M978" s="35" t="str">
        <f aca="false">IF($D978="","",N($J978)+$L978)</f>
        <v/>
      </c>
      <c r="N978" s="43" t="str">
        <f aca="false">IF($D978="","",IFERROR(N($J978)/$I978,0))</f>
        <v/>
      </c>
      <c r="O978" s="6"/>
      <c r="P978" s="6"/>
      <c r="Q978" s="46" t="str">
        <f aca="false">IF($A978="","",DATE(YEAR($A978),MONTH($A978),1))</f>
        <v/>
      </c>
      <c r="R978" s="8" t="str">
        <f aca="false">IF(OR($A978="",$D978=""),"",IF(COUNTIFS($D$6:$D$1005,$D978,$A$6:$A$1005,"&gt;"&amp;$A978)=0,1,0))</f>
        <v/>
      </c>
    </row>
    <row r="979" customFormat="false" ht="15" hidden="false" customHeight="false" outlineLevel="0" collapsed="false">
      <c r="A979" s="44"/>
      <c r="B979" s="6"/>
      <c r="C979" s="6"/>
      <c r="D979" s="6"/>
      <c r="E979" s="8" t="str">
        <f aca="false">IF($D979="","",IFERROR(INDEX(INSUMOS!$B$6:$B$205,MATCH($D979,INSUMOS!$A$6:$A$205,0)),"¿Código?"))</f>
        <v/>
      </c>
      <c r="F979" s="8" t="str">
        <f aca="false">IF($D979="","",IFERROR(INDEX(INSUMOS!$E$6:$E$205,MATCH($D979,INSUMOS!$A$6:$A$205,0)),""))</f>
        <v/>
      </c>
      <c r="G979" s="39"/>
      <c r="H979" s="45" t="str">
        <f aca="false">IF($D979="","",IFERROR(INDEX(INSUMOS!$F$6:$F$205,MATCH($D979,INSUMOS!$A$6:$A$205,0)),0))</f>
        <v/>
      </c>
      <c r="I979" s="34" t="str">
        <f aca="false">IF($D979="","",N($G979)*$H979)</f>
        <v/>
      </c>
      <c r="J979" s="40"/>
      <c r="K979" s="36" t="str">
        <f aca="false">IF($D979="","",IFERROR(INDEX(INSUMOS!$H$6:$H$205,MATCH($D979,INSUMOS!$A$6:$A$205,0)),IVA_VENTAS))</f>
        <v/>
      </c>
      <c r="L979" s="35" t="str">
        <f aca="false">IF($D979="","",N($J979)*$K979)</f>
        <v/>
      </c>
      <c r="M979" s="35" t="str">
        <f aca="false">IF($D979="","",N($J979)+$L979)</f>
        <v/>
      </c>
      <c r="N979" s="43" t="str">
        <f aca="false">IF($D979="","",IFERROR(N($J979)/$I979,0))</f>
        <v/>
      </c>
      <c r="O979" s="6"/>
      <c r="P979" s="6"/>
      <c r="Q979" s="46" t="str">
        <f aca="false">IF($A979="","",DATE(YEAR($A979),MONTH($A979),1))</f>
        <v/>
      </c>
      <c r="R979" s="8" t="str">
        <f aca="false">IF(OR($A979="",$D979=""),"",IF(COUNTIFS($D$6:$D$1005,$D979,$A$6:$A$1005,"&gt;"&amp;$A979)=0,1,0))</f>
        <v/>
      </c>
    </row>
    <row r="980" customFormat="false" ht="15" hidden="false" customHeight="false" outlineLevel="0" collapsed="false">
      <c r="A980" s="44"/>
      <c r="B980" s="6"/>
      <c r="C980" s="6"/>
      <c r="D980" s="6"/>
      <c r="E980" s="8" t="str">
        <f aca="false">IF($D980="","",IFERROR(INDEX(INSUMOS!$B$6:$B$205,MATCH($D980,INSUMOS!$A$6:$A$205,0)),"¿Código?"))</f>
        <v/>
      </c>
      <c r="F980" s="8" t="str">
        <f aca="false">IF($D980="","",IFERROR(INDEX(INSUMOS!$E$6:$E$205,MATCH($D980,INSUMOS!$A$6:$A$205,0)),""))</f>
        <v/>
      </c>
      <c r="G980" s="39"/>
      <c r="H980" s="45" t="str">
        <f aca="false">IF($D980="","",IFERROR(INDEX(INSUMOS!$F$6:$F$205,MATCH($D980,INSUMOS!$A$6:$A$205,0)),0))</f>
        <v/>
      </c>
      <c r="I980" s="34" t="str">
        <f aca="false">IF($D980="","",N($G980)*$H980)</f>
        <v/>
      </c>
      <c r="J980" s="40"/>
      <c r="K980" s="36" t="str">
        <f aca="false">IF($D980="","",IFERROR(INDEX(INSUMOS!$H$6:$H$205,MATCH($D980,INSUMOS!$A$6:$A$205,0)),IVA_VENTAS))</f>
        <v/>
      </c>
      <c r="L980" s="35" t="str">
        <f aca="false">IF($D980="","",N($J980)*$K980)</f>
        <v/>
      </c>
      <c r="M980" s="35" t="str">
        <f aca="false">IF($D980="","",N($J980)+$L980)</f>
        <v/>
      </c>
      <c r="N980" s="43" t="str">
        <f aca="false">IF($D980="","",IFERROR(N($J980)/$I980,0))</f>
        <v/>
      </c>
      <c r="O980" s="6"/>
      <c r="P980" s="6"/>
      <c r="Q980" s="46" t="str">
        <f aca="false">IF($A980="","",DATE(YEAR($A980),MONTH($A980),1))</f>
        <v/>
      </c>
      <c r="R980" s="8" t="str">
        <f aca="false">IF(OR($A980="",$D980=""),"",IF(COUNTIFS($D$6:$D$1005,$D980,$A$6:$A$1005,"&gt;"&amp;$A980)=0,1,0))</f>
        <v/>
      </c>
    </row>
    <row r="981" customFormat="false" ht="15" hidden="false" customHeight="false" outlineLevel="0" collapsed="false">
      <c r="A981" s="44"/>
      <c r="B981" s="6"/>
      <c r="C981" s="6"/>
      <c r="D981" s="6"/>
      <c r="E981" s="8" t="str">
        <f aca="false">IF($D981="","",IFERROR(INDEX(INSUMOS!$B$6:$B$205,MATCH($D981,INSUMOS!$A$6:$A$205,0)),"¿Código?"))</f>
        <v/>
      </c>
      <c r="F981" s="8" t="str">
        <f aca="false">IF($D981="","",IFERROR(INDEX(INSUMOS!$E$6:$E$205,MATCH($D981,INSUMOS!$A$6:$A$205,0)),""))</f>
        <v/>
      </c>
      <c r="G981" s="39"/>
      <c r="H981" s="45" t="str">
        <f aca="false">IF($D981="","",IFERROR(INDEX(INSUMOS!$F$6:$F$205,MATCH($D981,INSUMOS!$A$6:$A$205,0)),0))</f>
        <v/>
      </c>
      <c r="I981" s="34" t="str">
        <f aca="false">IF($D981="","",N($G981)*$H981)</f>
        <v/>
      </c>
      <c r="J981" s="40"/>
      <c r="K981" s="36" t="str">
        <f aca="false">IF($D981="","",IFERROR(INDEX(INSUMOS!$H$6:$H$205,MATCH($D981,INSUMOS!$A$6:$A$205,0)),IVA_VENTAS))</f>
        <v/>
      </c>
      <c r="L981" s="35" t="str">
        <f aca="false">IF($D981="","",N($J981)*$K981)</f>
        <v/>
      </c>
      <c r="M981" s="35" t="str">
        <f aca="false">IF($D981="","",N($J981)+$L981)</f>
        <v/>
      </c>
      <c r="N981" s="43" t="str">
        <f aca="false">IF($D981="","",IFERROR(N($J981)/$I981,0))</f>
        <v/>
      </c>
      <c r="O981" s="6"/>
      <c r="P981" s="6"/>
      <c r="Q981" s="46" t="str">
        <f aca="false">IF($A981="","",DATE(YEAR($A981),MONTH($A981),1))</f>
        <v/>
      </c>
      <c r="R981" s="8" t="str">
        <f aca="false">IF(OR($A981="",$D981=""),"",IF(COUNTIFS($D$6:$D$1005,$D981,$A$6:$A$1005,"&gt;"&amp;$A981)=0,1,0))</f>
        <v/>
      </c>
    </row>
    <row r="982" customFormat="false" ht="15" hidden="false" customHeight="false" outlineLevel="0" collapsed="false">
      <c r="A982" s="44"/>
      <c r="B982" s="6"/>
      <c r="C982" s="6"/>
      <c r="D982" s="6"/>
      <c r="E982" s="8" t="str">
        <f aca="false">IF($D982="","",IFERROR(INDEX(INSUMOS!$B$6:$B$205,MATCH($D982,INSUMOS!$A$6:$A$205,0)),"¿Código?"))</f>
        <v/>
      </c>
      <c r="F982" s="8" t="str">
        <f aca="false">IF($D982="","",IFERROR(INDEX(INSUMOS!$E$6:$E$205,MATCH($D982,INSUMOS!$A$6:$A$205,0)),""))</f>
        <v/>
      </c>
      <c r="G982" s="39"/>
      <c r="H982" s="45" t="str">
        <f aca="false">IF($D982="","",IFERROR(INDEX(INSUMOS!$F$6:$F$205,MATCH($D982,INSUMOS!$A$6:$A$205,0)),0))</f>
        <v/>
      </c>
      <c r="I982" s="34" t="str">
        <f aca="false">IF($D982="","",N($G982)*$H982)</f>
        <v/>
      </c>
      <c r="J982" s="40"/>
      <c r="K982" s="36" t="str">
        <f aca="false">IF($D982="","",IFERROR(INDEX(INSUMOS!$H$6:$H$205,MATCH($D982,INSUMOS!$A$6:$A$205,0)),IVA_VENTAS))</f>
        <v/>
      </c>
      <c r="L982" s="35" t="str">
        <f aca="false">IF($D982="","",N($J982)*$K982)</f>
        <v/>
      </c>
      <c r="M982" s="35" t="str">
        <f aca="false">IF($D982="","",N($J982)+$L982)</f>
        <v/>
      </c>
      <c r="N982" s="43" t="str">
        <f aca="false">IF($D982="","",IFERROR(N($J982)/$I982,0))</f>
        <v/>
      </c>
      <c r="O982" s="6"/>
      <c r="P982" s="6"/>
      <c r="Q982" s="46" t="str">
        <f aca="false">IF($A982="","",DATE(YEAR($A982),MONTH($A982),1))</f>
        <v/>
      </c>
      <c r="R982" s="8" t="str">
        <f aca="false">IF(OR($A982="",$D982=""),"",IF(COUNTIFS($D$6:$D$1005,$D982,$A$6:$A$1005,"&gt;"&amp;$A982)=0,1,0))</f>
        <v/>
      </c>
    </row>
    <row r="983" customFormat="false" ht="15" hidden="false" customHeight="false" outlineLevel="0" collapsed="false">
      <c r="A983" s="44"/>
      <c r="B983" s="6"/>
      <c r="C983" s="6"/>
      <c r="D983" s="6"/>
      <c r="E983" s="8" t="str">
        <f aca="false">IF($D983="","",IFERROR(INDEX(INSUMOS!$B$6:$B$205,MATCH($D983,INSUMOS!$A$6:$A$205,0)),"¿Código?"))</f>
        <v/>
      </c>
      <c r="F983" s="8" t="str">
        <f aca="false">IF($D983="","",IFERROR(INDEX(INSUMOS!$E$6:$E$205,MATCH($D983,INSUMOS!$A$6:$A$205,0)),""))</f>
        <v/>
      </c>
      <c r="G983" s="39"/>
      <c r="H983" s="45" t="str">
        <f aca="false">IF($D983="","",IFERROR(INDEX(INSUMOS!$F$6:$F$205,MATCH($D983,INSUMOS!$A$6:$A$205,0)),0))</f>
        <v/>
      </c>
      <c r="I983" s="34" t="str">
        <f aca="false">IF($D983="","",N($G983)*$H983)</f>
        <v/>
      </c>
      <c r="J983" s="40"/>
      <c r="K983" s="36" t="str">
        <f aca="false">IF($D983="","",IFERROR(INDEX(INSUMOS!$H$6:$H$205,MATCH($D983,INSUMOS!$A$6:$A$205,0)),IVA_VENTAS))</f>
        <v/>
      </c>
      <c r="L983" s="35" t="str">
        <f aca="false">IF($D983="","",N($J983)*$K983)</f>
        <v/>
      </c>
      <c r="M983" s="35" t="str">
        <f aca="false">IF($D983="","",N($J983)+$L983)</f>
        <v/>
      </c>
      <c r="N983" s="43" t="str">
        <f aca="false">IF($D983="","",IFERROR(N($J983)/$I983,0))</f>
        <v/>
      </c>
      <c r="O983" s="6"/>
      <c r="P983" s="6"/>
      <c r="Q983" s="46" t="str">
        <f aca="false">IF($A983="","",DATE(YEAR($A983),MONTH($A983),1))</f>
        <v/>
      </c>
      <c r="R983" s="8" t="str">
        <f aca="false">IF(OR($A983="",$D983=""),"",IF(COUNTIFS($D$6:$D$1005,$D983,$A$6:$A$1005,"&gt;"&amp;$A983)=0,1,0))</f>
        <v/>
      </c>
    </row>
    <row r="984" customFormat="false" ht="15" hidden="false" customHeight="false" outlineLevel="0" collapsed="false">
      <c r="A984" s="44"/>
      <c r="B984" s="6"/>
      <c r="C984" s="6"/>
      <c r="D984" s="6"/>
      <c r="E984" s="8" t="str">
        <f aca="false">IF($D984="","",IFERROR(INDEX(INSUMOS!$B$6:$B$205,MATCH($D984,INSUMOS!$A$6:$A$205,0)),"¿Código?"))</f>
        <v/>
      </c>
      <c r="F984" s="8" t="str">
        <f aca="false">IF($D984="","",IFERROR(INDEX(INSUMOS!$E$6:$E$205,MATCH($D984,INSUMOS!$A$6:$A$205,0)),""))</f>
        <v/>
      </c>
      <c r="G984" s="39"/>
      <c r="H984" s="45" t="str">
        <f aca="false">IF($D984="","",IFERROR(INDEX(INSUMOS!$F$6:$F$205,MATCH($D984,INSUMOS!$A$6:$A$205,0)),0))</f>
        <v/>
      </c>
      <c r="I984" s="34" t="str">
        <f aca="false">IF($D984="","",N($G984)*$H984)</f>
        <v/>
      </c>
      <c r="J984" s="40"/>
      <c r="K984" s="36" t="str">
        <f aca="false">IF($D984="","",IFERROR(INDEX(INSUMOS!$H$6:$H$205,MATCH($D984,INSUMOS!$A$6:$A$205,0)),IVA_VENTAS))</f>
        <v/>
      </c>
      <c r="L984" s="35" t="str">
        <f aca="false">IF($D984="","",N($J984)*$K984)</f>
        <v/>
      </c>
      <c r="M984" s="35" t="str">
        <f aca="false">IF($D984="","",N($J984)+$L984)</f>
        <v/>
      </c>
      <c r="N984" s="43" t="str">
        <f aca="false">IF($D984="","",IFERROR(N($J984)/$I984,0))</f>
        <v/>
      </c>
      <c r="O984" s="6"/>
      <c r="P984" s="6"/>
      <c r="Q984" s="46" t="str">
        <f aca="false">IF($A984="","",DATE(YEAR($A984),MONTH($A984),1))</f>
        <v/>
      </c>
      <c r="R984" s="8" t="str">
        <f aca="false">IF(OR($A984="",$D984=""),"",IF(COUNTIFS($D$6:$D$1005,$D984,$A$6:$A$1005,"&gt;"&amp;$A984)=0,1,0))</f>
        <v/>
      </c>
    </row>
    <row r="985" customFormat="false" ht="15" hidden="false" customHeight="false" outlineLevel="0" collapsed="false">
      <c r="A985" s="44"/>
      <c r="B985" s="6"/>
      <c r="C985" s="6"/>
      <c r="D985" s="6"/>
      <c r="E985" s="8" t="str">
        <f aca="false">IF($D985="","",IFERROR(INDEX(INSUMOS!$B$6:$B$205,MATCH($D985,INSUMOS!$A$6:$A$205,0)),"¿Código?"))</f>
        <v/>
      </c>
      <c r="F985" s="8" t="str">
        <f aca="false">IF($D985="","",IFERROR(INDEX(INSUMOS!$E$6:$E$205,MATCH($D985,INSUMOS!$A$6:$A$205,0)),""))</f>
        <v/>
      </c>
      <c r="G985" s="39"/>
      <c r="H985" s="45" t="str">
        <f aca="false">IF($D985="","",IFERROR(INDEX(INSUMOS!$F$6:$F$205,MATCH($D985,INSUMOS!$A$6:$A$205,0)),0))</f>
        <v/>
      </c>
      <c r="I985" s="34" t="str">
        <f aca="false">IF($D985="","",N($G985)*$H985)</f>
        <v/>
      </c>
      <c r="J985" s="40"/>
      <c r="K985" s="36" t="str">
        <f aca="false">IF($D985="","",IFERROR(INDEX(INSUMOS!$H$6:$H$205,MATCH($D985,INSUMOS!$A$6:$A$205,0)),IVA_VENTAS))</f>
        <v/>
      </c>
      <c r="L985" s="35" t="str">
        <f aca="false">IF($D985="","",N($J985)*$K985)</f>
        <v/>
      </c>
      <c r="M985" s="35" t="str">
        <f aca="false">IF($D985="","",N($J985)+$L985)</f>
        <v/>
      </c>
      <c r="N985" s="43" t="str">
        <f aca="false">IF($D985="","",IFERROR(N($J985)/$I985,0))</f>
        <v/>
      </c>
      <c r="O985" s="6"/>
      <c r="P985" s="6"/>
      <c r="Q985" s="46" t="str">
        <f aca="false">IF($A985="","",DATE(YEAR($A985),MONTH($A985),1))</f>
        <v/>
      </c>
      <c r="R985" s="8" t="str">
        <f aca="false">IF(OR($A985="",$D985=""),"",IF(COUNTIFS($D$6:$D$1005,$D985,$A$6:$A$1005,"&gt;"&amp;$A985)=0,1,0))</f>
        <v/>
      </c>
    </row>
    <row r="986" customFormat="false" ht="15" hidden="false" customHeight="false" outlineLevel="0" collapsed="false">
      <c r="A986" s="44"/>
      <c r="B986" s="6"/>
      <c r="C986" s="6"/>
      <c r="D986" s="6"/>
      <c r="E986" s="8" t="str">
        <f aca="false">IF($D986="","",IFERROR(INDEX(INSUMOS!$B$6:$B$205,MATCH($D986,INSUMOS!$A$6:$A$205,0)),"¿Código?"))</f>
        <v/>
      </c>
      <c r="F986" s="8" t="str">
        <f aca="false">IF($D986="","",IFERROR(INDEX(INSUMOS!$E$6:$E$205,MATCH($D986,INSUMOS!$A$6:$A$205,0)),""))</f>
        <v/>
      </c>
      <c r="G986" s="39"/>
      <c r="H986" s="45" t="str">
        <f aca="false">IF($D986="","",IFERROR(INDEX(INSUMOS!$F$6:$F$205,MATCH($D986,INSUMOS!$A$6:$A$205,0)),0))</f>
        <v/>
      </c>
      <c r="I986" s="34" t="str">
        <f aca="false">IF($D986="","",N($G986)*$H986)</f>
        <v/>
      </c>
      <c r="J986" s="40"/>
      <c r="K986" s="36" t="str">
        <f aca="false">IF($D986="","",IFERROR(INDEX(INSUMOS!$H$6:$H$205,MATCH($D986,INSUMOS!$A$6:$A$205,0)),IVA_VENTAS))</f>
        <v/>
      </c>
      <c r="L986" s="35" t="str">
        <f aca="false">IF($D986="","",N($J986)*$K986)</f>
        <v/>
      </c>
      <c r="M986" s="35" t="str">
        <f aca="false">IF($D986="","",N($J986)+$L986)</f>
        <v/>
      </c>
      <c r="N986" s="43" t="str">
        <f aca="false">IF($D986="","",IFERROR(N($J986)/$I986,0))</f>
        <v/>
      </c>
      <c r="O986" s="6"/>
      <c r="P986" s="6"/>
      <c r="Q986" s="46" t="str">
        <f aca="false">IF($A986="","",DATE(YEAR($A986),MONTH($A986),1))</f>
        <v/>
      </c>
      <c r="R986" s="8" t="str">
        <f aca="false">IF(OR($A986="",$D986=""),"",IF(COUNTIFS($D$6:$D$1005,$D986,$A$6:$A$1005,"&gt;"&amp;$A986)=0,1,0))</f>
        <v/>
      </c>
    </row>
    <row r="987" customFormat="false" ht="15" hidden="false" customHeight="false" outlineLevel="0" collapsed="false">
      <c r="A987" s="44"/>
      <c r="B987" s="6"/>
      <c r="C987" s="6"/>
      <c r="D987" s="6"/>
      <c r="E987" s="8" t="str">
        <f aca="false">IF($D987="","",IFERROR(INDEX(INSUMOS!$B$6:$B$205,MATCH($D987,INSUMOS!$A$6:$A$205,0)),"¿Código?"))</f>
        <v/>
      </c>
      <c r="F987" s="8" t="str">
        <f aca="false">IF($D987="","",IFERROR(INDEX(INSUMOS!$E$6:$E$205,MATCH($D987,INSUMOS!$A$6:$A$205,0)),""))</f>
        <v/>
      </c>
      <c r="G987" s="39"/>
      <c r="H987" s="45" t="str">
        <f aca="false">IF($D987="","",IFERROR(INDEX(INSUMOS!$F$6:$F$205,MATCH($D987,INSUMOS!$A$6:$A$205,0)),0))</f>
        <v/>
      </c>
      <c r="I987" s="34" t="str">
        <f aca="false">IF($D987="","",N($G987)*$H987)</f>
        <v/>
      </c>
      <c r="J987" s="40"/>
      <c r="K987" s="36" t="str">
        <f aca="false">IF($D987="","",IFERROR(INDEX(INSUMOS!$H$6:$H$205,MATCH($D987,INSUMOS!$A$6:$A$205,0)),IVA_VENTAS))</f>
        <v/>
      </c>
      <c r="L987" s="35" t="str">
        <f aca="false">IF($D987="","",N($J987)*$K987)</f>
        <v/>
      </c>
      <c r="M987" s="35" t="str">
        <f aca="false">IF($D987="","",N($J987)+$L987)</f>
        <v/>
      </c>
      <c r="N987" s="43" t="str">
        <f aca="false">IF($D987="","",IFERROR(N($J987)/$I987,0))</f>
        <v/>
      </c>
      <c r="O987" s="6"/>
      <c r="P987" s="6"/>
      <c r="Q987" s="46" t="str">
        <f aca="false">IF($A987="","",DATE(YEAR($A987),MONTH($A987),1))</f>
        <v/>
      </c>
      <c r="R987" s="8" t="str">
        <f aca="false">IF(OR($A987="",$D987=""),"",IF(COUNTIFS($D$6:$D$1005,$D987,$A$6:$A$1005,"&gt;"&amp;$A987)=0,1,0))</f>
        <v/>
      </c>
    </row>
    <row r="988" customFormat="false" ht="15" hidden="false" customHeight="false" outlineLevel="0" collapsed="false">
      <c r="A988" s="44"/>
      <c r="B988" s="6"/>
      <c r="C988" s="6"/>
      <c r="D988" s="6"/>
      <c r="E988" s="8" t="str">
        <f aca="false">IF($D988="","",IFERROR(INDEX(INSUMOS!$B$6:$B$205,MATCH($D988,INSUMOS!$A$6:$A$205,0)),"¿Código?"))</f>
        <v/>
      </c>
      <c r="F988" s="8" t="str">
        <f aca="false">IF($D988="","",IFERROR(INDEX(INSUMOS!$E$6:$E$205,MATCH($D988,INSUMOS!$A$6:$A$205,0)),""))</f>
        <v/>
      </c>
      <c r="G988" s="39"/>
      <c r="H988" s="45" t="str">
        <f aca="false">IF($D988="","",IFERROR(INDEX(INSUMOS!$F$6:$F$205,MATCH($D988,INSUMOS!$A$6:$A$205,0)),0))</f>
        <v/>
      </c>
      <c r="I988" s="34" t="str">
        <f aca="false">IF($D988="","",N($G988)*$H988)</f>
        <v/>
      </c>
      <c r="J988" s="40"/>
      <c r="K988" s="36" t="str">
        <f aca="false">IF($D988="","",IFERROR(INDEX(INSUMOS!$H$6:$H$205,MATCH($D988,INSUMOS!$A$6:$A$205,0)),IVA_VENTAS))</f>
        <v/>
      </c>
      <c r="L988" s="35" t="str">
        <f aca="false">IF($D988="","",N($J988)*$K988)</f>
        <v/>
      </c>
      <c r="M988" s="35" t="str">
        <f aca="false">IF($D988="","",N($J988)+$L988)</f>
        <v/>
      </c>
      <c r="N988" s="43" t="str">
        <f aca="false">IF($D988="","",IFERROR(N($J988)/$I988,0))</f>
        <v/>
      </c>
      <c r="O988" s="6"/>
      <c r="P988" s="6"/>
      <c r="Q988" s="46" t="str">
        <f aca="false">IF($A988="","",DATE(YEAR($A988),MONTH($A988),1))</f>
        <v/>
      </c>
      <c r="R988" s="8" t="str">
        <f aca="false">IF(OR($A988="",$D988=""),"",IF(COUNTIFS($D$6:$D$1005,$D988,$A$6:$A$1005,"&gt;"&amp;$A988)=0,1,0))</f>
        <v/>
      </c>
    </row>
    <row r="989" customFormat="false" ht="15" hidden="false" customHeight="false" outlineLevel="0" collapsed="false">
      <c r="A989" s="44"/>
      <c r="B989" s="6"/>
      <c r="C989" s="6"/>
      <c r="D989" s="6"/>
      <c r="E989" s="8" t="str">
        <f aca="false">IF($D989="","",IFERROR(INDEX(INSUMOS!$B$6:$B$205,MATCH($D989,INSUMOS!$A$6:$A$205,0)),"¿Código?"))</f>
        <v/>
      </c>
      <c r="F989" s="8" t="str">
        <f aca="false">IF($D989="","",IFERROR(INDEX(INSUMOS!$E$6:$E$205,MATCH($D989,INSUMOS!$A$6:$A$205,0)),""))</f>
        <v/>
      </c>
      <c r="G989" s="39"/>
      <c r="H989" s="45" t="str">
        <f aca="false">IF($D989="","",IFERROR(INDEX(INSUMOS!$F$6:$F$205,MATCH($D989,INSUMOS!$A$6:$A$205,0)),0))</f>
        <v/>
      </c>
      <c r="I989" s="34" t="str">
        <f aca="false">IF($D989="","",N($G989)*$H989)</f>
        <v/>
      </c>
      <c r="J989" s="40"/>
      <c r="K989" s="36" t="str">
        <f aca="false">IF($D989="","",IFERROR(INDEX(INSUMOS!$H$6:$H$205,MATCH($D989,INSUMOS!$A$6:$A$205,0)),IVA_VENTAS))</f>
        <v/>
      </c>
      <c r="L989" s="35" t="str">
        <f aca="false">IF($D989="","",N($J989)*$K989)</f>
        <v/>
      </c>
      <c r="M989" s="35" t="str">
        <f aca="false">IF($D989="","",N($J989)+$L989)</f>
        <v/>
      </c>
      <c r="N989" s="43" t="str">
        <f aca="false">IF($D989="","",IFERROR(N($J989)/$I989,0))</f>
        <v/>
      </c>
      <c r="O989" s="6"/>
      <c r="P989" s="6"/>
      <c r="Q989" s="46" t="str">
        <f aca="false">IF($A989="","",DATE(YEAR($A989),MONTH($A989),1))</f>
        <v/>
      </c>
      <c r="R989" s="8" t="str">
        <f aca="false">IF(OR($A989="",$D989=""),"",IF(COUNTIFS($D$6:$D$1005,$D989,$A$6:$A$1005,"&gt;"&amp;$A989)=0,1,0))</f>
        <v/>
      </c>
    </row>
    <row r="990" customFormat="false" ht="15" hidden="false" customHeight="false" outlineLevel="0" collapsed="false">
      <c r="A990" s="44"/>
      <c r="B990" s="6"/>
      <c r="C990" s="6"/>
      <c r="D990" s="6"/>
      <c r="E990" s="8" t="str">
        <f aca="false">IF($D990="","",IFERROR(INDEX(INSUMOS!$B$6:$B$205,MATCH($D990,INSUMOS!$A$6:$A$205,0)),"¿Código?"))</f>
        <v/>
      </c>
      <c r="F990" s="8" t="str">
        <f aca="false">IF($D990="","",IFERROR(INDEX(INSUMOS!$E$6:$E$205,MATCH($D990,INSUMOS!$A$6:$A$205,0)),""))</f>
        <v/>
      </c>
      <c r="G990" s="39"/>
      <c r="H990" s="45" t="str">
        <f aca="false">IF($D990="","",IFERROR(INDEX(INSUMOS!$F$6:$F$205,MATCH($D990,INSUMOS!$A$6:$A$205,0)),0))</f>
        <v/>
      </c>
      <c r="I990" s="34" t="str">
        <f aca="false">IF($D990="","",N($G990)*$H990)</f>
        <v/>
      </c>
      <c r="J990" s="40"/>
      <c r="K990" s="36" t="str">
        <f aca="false">IF($D990="","",IFERROR(INDEX(INSUMOS!$H$6:$H$205,MATCH($D990,INSUMOS!$A$6:$A$205,0)),IVA_VENTAS))</f>
        <v/>
      </c>
      <c r="L990" s="35" t="str">
        <f aca="false">IF($D990="","",N($J990)*$K990)</f>
        <v/>
      </c>
      <c r="M990" s="35" t="str">
        <f aca="false">IF($D990="","",N($J990)+$L990)</f>
        <v/>
      </c>
      <c r="N990" s="43" t="str">
        <f aca="false">IF($D990="","",IFERROR(N($J990)/$I990,0))</f>
        <v/>
      </c>
      <c r="O990" s="6"/>
      <c r="P990" s="6"/>
      <c r="Q990" s="46" t="str">
        <f aca="false">IF($A990="","",DATE(YEAR($A990),MONTH($A990),1))</f>
        <v/>
      </c>
      <c r="R990" s="8" t="str">
        <f aca="false">IF(OR($A990="",$D990=""),"",IF(COUNTIFS($D$6:$D$1005,$D990,$A$6:$A$1005,"&gt;"&amp;$A990)=0,1,0))</f>
        <v/>
      </c>
    </row>
    <row r="991" customFormat="false" ht="15" hidden="false" customHeight="false" outlineLevel="0" collapsed="false">
      <c r="A991" s="44"/>
      <c r="B991" s="6"/>
      <c r="C991" s="6"/>
      <c r="D991" s="6"/>
      <c r="E991" s="8" t="str">
        <f aca="false">IF($D991="","",IFERROR(INDEX(INSUMOS!$B$6:$B$205,MATCH($D991,INSUMOS!$A$6:$A$205,0)),"¿Código?"))</f>
        <v/>
      </c>
      <c r="F991" s="8" t="str">
        <f aca="false">IF($D991="","",IFERROR(INDEX(INSUMOS!$E$6:$E$205,MATCH($D991,INSUMOS!$A$6:$A$205,0)),""))</f>
        <v/>
      </c>
      <c r="G991" s="39"/>
      <c r="H991" s="45" t="str">
        <f aca="false">IF($D991="","",IFERROR(INDEX(INSUMOS!$F$6:$F$205,MATCH($D991,INSUMOS!$A$6:$A$205,0)),0))</f>
        <v/>
      </c>
      <c r="I991" s="34" t="str">
        <f aca="false">IF($D991="","",N($G991)*$H991)</f>
        <v/>
      </c>
      <c r="J991" s="40"/>
      <c r="K991" s="36" t="str">
        <f aca="false">IF($D991="","",IFERROR(INDEX(INSUMOS!$H$6:$H$205,MATCH($D991,INSUMOS!$A$6:$A$205,0)),IVA_VENTAS))</f>
        <v/>
      </c>
      <c r="L991" s="35" t="str">
        <f aca="false">IF($D991="","",N($J991)*$K991)</f>
        <v/>
      </c>
      <c r="M991" s="35" t="str">
        <f aca="false">IF($D991="","",N($J991)+$L991)</f>
        <v/>
      </c>
      <c r="N991" s="43" t="str">
        <f aca="false">IF($D991="","",IFERROR(N($J991)/$I991,0))</f>
        <v/>
      </c>
      <c r="O991" s="6"/>
      <c r="P991" s="6"/>
      <c r="Q991" s="46" t="str">
        <f aca="false">IF($A991="","",DATE(YEAR($A991),MONTH($A991),1))</f>
        <v/>
      </c>
      <c r="R991" s="8" t="str">
        <f aca="false">IF(OR($A991="",$D991=""),"",IF(COUNTIFS($D$6:$D$1005,$D991,$A$6:$A$1005,"&gt;"&amp;$A991)=0,1,0))</f>
        <v/>
      </c>
    </row>
    <row r="992" customFormat="false" ht="15" hidden="false" customHeight="false" outlineLevel="0" collapsed="false">
      <c r="A992" s="44"/>
      <c r="B992" s="6"/>
      <c r="C992" s="6"/>
      <c r="D992" s="6"/>
      <c r="E992" s="8" t="str">
        <f aca="false">IF($D992="","",IFERROR(INDEX(INSUMOS!$B$6:$B$205,MATCH($D992,INSUMOS!$A$6:$A$205,0)),"¿Código?"))</f>
        <v/>
      </c>
      <c r="F992" s="8" t="str">
        <f aca="false">IF($D992="","",IFERROR(INDEX(INSUMOS!$E$6:$E$205,MATCH($D992,INSUMOS!$A$6:$A$205,0)),""))</f>
        <v/>
      </c>
      <c r="G992" s="39"/>
      <c r="H992" s="45" t="str">
        <f aca="false">IF($D992="","",IFERROR(INDEX(INSUMOS!$F$6:$F$205,MATCH($D992,INSUMOS!$A$6:$A$205,0)),0))</f>
        <v/>
      </c>
      <c r="I992" s="34" t="str">
        <f aca="false">IF($D992="","",N($G992)*$H992)</f>
        <v/>
      </c>
      <c r="J992" s="40"/>
      <c r="K992" s="36" t="str">
        <f aca="false">IF($D992="","",IFERROR(INDEX(INSUMOS!$H$6:$H$205,MATCH($D992,INSUMOS!$A$6:$A$205,0)),IVA_VENTAS))</f>
        <v/>
      </c>
      <c r="L992" s="35" t="str">
        <f aca="false">IF($D992="","",N($J992)*$K992)</f>
        <v/>
      </c>
      <c r="M992" s="35" t="str">
        <f aca="false">IF($D992="","",N($J992)+$L992)</f>
        <v/>
      </c>
      <c r="N992" s="43" t="str">
        <f aca="false">IF($D992="","",IFERROR(N($J992)/$I992,0))</f>
        <v/>
      </c>
      <c r="O992" s="6"/>
      <c r="P992" s="6"/>
      <c r="Q992" s="46" t="str">
        <f aca="false">IF($A992="","",DATE(YEAR($A992),MONTH($A992),1))</f>
        <v/>
      </c>
      <c r="R992" s="8" t="str">
        <f aca="false">IF(OR($A992="",$D992=""),"",IF(COUNTIFS($D$6:$D$1005,$D992,$A$6:$A$1005,"&gt;"&amp;$A992)=0,1,0))</f>
        <v/>
      </c>
    </row>
    <row r="993" customFormat="false" ht="15" hidden="false" customHeight="false" outlineLevel="0" collapsed="false">
      <c r="A993" s="44"/>
      <c r="B993" s="6"/>
      <c r="C993" s="6"/>
      <c r="D993" s="6"/>
      <c r="E993" s="8" t="str">
        <f aca="false">IF($D993="","",IFERROR(INDEX(INSUMOS!$B$6:$B$205,MATCH($D993,INSUMOS!$A$6:$A$205,0)),"¿Código?"))</f>
        <v/>
      </c>
      <c r="F993" s="8" t="str">
        <f aca="false">IF($D993="","",IFERROR(INDEX(INSUMOS!$E$6:$E$205,MATCH($D993,INSUMOS!$A$6:$A$205,0)),""))</f>
        <v/>
      </c>
      <c r="G993" s="39"/>
      <c r="H993" s="45" t="str">
        <f aca="false">IF($D993="","",IFERROR(INDEX(INSUMOS!$F$6:$F$205,MATCH($D993,INSUMOS!$A$6:$A$205,0)),0))</f>
        <v/>
      </c>
      <c r="I993" s="34" t="str">
        <f aca="false">IF($D993="","",N($G993)*$H993)</f>
        <v/>
      </c>
      <c r="J993" s="40"/>
      <c r="K993" s="36" t="str">
        <f aca="false">IF($D993="","",IFERROR(INDEX(INSUMOS!$H$6:$H$205,MATCH($D993,INSUMOS!$A$6:$A$205,0)),IVA_VENTAS))</f>
        <v/>
      </c>
      <c r="L993" s="35" t="str">
        <f aca="false">IF($D993="","",N($J993)*$K993)</f>
        <v/>
      </c>
      <c r="M993" s="35" t="str">
        <f aca="false">IF($D993="","",N($J993)+$L993)</f>
        <v/>
      </c>
      <c r="N993" s="43" t="str">
        <f aca="false">IF($D993="","",IFERROR(N($J993)/$I993,0))</f>
        <v/>
      </c>
      <c r="O993" s="6"/>
      <c r="P993" s="6"/>
      <c r="Q993" s="46" t="str">
        <f aca="false">IF($A993="","",DATE(YEAR($A993),MONTH($A993),1))</f>
        <v/>
      </c>
      <c r="R993" s="8" t="str">
        <f aca="false">IF(OR($A993="",$D993=""),"",IF(COUNTIFS($D$6:$D$1005,$D993,$A$6:$A$1005,"&gt;"&amp;$A993)=0,1,0))</f>
        <v/>
      </c>
    </row>
    <row r="994" customFormat="false" ht="15" hidden="false" customHeight="false" outlineLevel="0" collapsed="false">
      <c r="A994" s="44"/>
      <c r="B994" s="6"/>
      <c r="C994" s="6"/>
      <c r="D994" s="6"/>
      <c r="E994" s="8" t="str">
        <f aca="false">IF($D994="","",IFERROR(INDEX(INSUMOS!$B$6:$B$205,MATCH($D994,INSUMOS!$A$6:$A$205,0)),"¿Código?"))</f>
        <v/>
      </c>
      <c r="F994" s="8" t="str">
        <f aca="false">IF($D994="","",IFERROR(INDEX(INSUMOS!$E$6:$E$205,MATCH($D994,INSUMOS!$A$6:$A$205,0)),""))</f>
        <v/>
      </c>
      <c r="G994" s="39"/>
      <c r="H994" s="45" t="str">
        <f aca="false">IF($D994="","",IFERROR(INDEX(INSUMOS!$F$6:$F$205,MATCH($D994,INSUMOS!$A$6:$A$205,0)),0))</f>
        <v/>
      </c>
      <c r="I994" s="34" t="str">
        <f aca="false">IF($D994="","",N($G994)*$H994)</f>
        <v/>
      </c>
      <c r="J994" s="40"/>
      <c r="K994" s="36" t="str">
        <f aca="false">IF($D994="","",IFERROR(INDEX(INSUMOS!$H$6:$H$205,MATCH($D994,INSUMOS!$A$6:$A$205,0)),IVA_VENTAS))</f>
        <v/>
      </c>
      <c r="L994" s="35" t="str">
        <f aca="false">IF($D994="","",N($J994)*$K994)</f>
        <v/>
      </c>
      <c r="M994" s="35" t="str">
        <f aca="false">IF($D994="","",N($J994)+$L994)</f>
        <v/>
      </c>
      <c r="N994" s="43" t="str">
        <f aca="false">IF($D994="","",IFERROR(N($J994)/$I994,0))</f>
        <v/>
      </c>
      <c r="O994" s="6"/>
      <c r="P994" s="6"/>
      <c r="Q994" s="46" t="str">
        <f aca="false">IF($A994="","",DATE(YEAR($A994),MONTH($A994),1))</f>
        <v/>
      </c>
      <c r="R994" s="8" t="str">
        <f aca="false">IF(OR($A994="",$D994=""),"",IF(COUNTIFS($D$6:$D$1005,$D994,$A$6:$A$1005,"&gt;"&amp;$A994)=0,1,0))</f>
        <v/>
      </c>
    </row>
    <row r="995" customFormat="false" ht="15" hidden="false" customHeight="false" outlineLevel="0" collapsed="false">
      <c r="A995" s="44"/>
      <c r="B995" s="6"/>
      <c r="C995" s="6"/>
      <c r="D995" s="6"/>
      <c r="E995" s="8" t="str">
        <f aca="false">IF($D995="","",IFERROR(INDEX(INSUMOS!$B$6:$B$205,MATCH($D995,INSUMOS!$A$6:$A$205,0)),"¿Código?"))</f>
        <v/>
      </c>
      <c r="F995" s="8" t="str">
        <f aca="false">IF($D995="","",IFERROR(INDEX(INSUMOS!$E$6:$E$205,MATCH($D995,INSUMOS!$A$6:$A$205,0)),""))</f>
        <v/>
      </c>
      <c r="G995" s="39"/>
      <c r="H995" s="45" t="str">
        <f aca="false">IF($D995="","",IFERROR(INDEX(INSUMOS!$F$6:$F$205,MATCH($D995,INSUMOS!$A$6:$A$205,0)),0))</f>
        <v/>
      </c>
      <c r="I995" s="34" t="str">
        <f aca="false">IF($D995="","",N($G995)*$H995)</f>
        <v/>
      </c>
      <c r="J995" s="40"/>
      <c r="K995" s="36" t="str">
        <f aca="false">IF($D995="","",IFERROR(INDEX(INSUMOS!$H$6:$H$205,MATCH($D995,INSUMOS!$A$6:$A$205,0)),IVA_VENTAS))</f>
        <v/>
      </c>
      <c r="L995" s="35" t="str">
        <f aca="false">IF($D995="","",N($J995)*$K995)</f>
        <v/>
      </c>
      <c r="M995" s="35" t="str">
        <f aca="false">IF($D995="","",N($J995)+$L995)</f>
        <v/>
      </c>
      <c r="N995" s="43" t="str">
        <f aca="false">IF($D995="","",IFERROR(N($J995)/$I995,0))</f>
        <v/>
      </c>
      <c r="O995" s="6"/>
      <c r="P995" s="6"/>
      <c r="Q995" s="46" t="str">
        <f aca="false">IF($A995="","",DATE(YEAR($A995),MONTH($A995),1))</f>
        <v/>
      </c>
      <c r="R995" s="8" t="str">
        <f aca="false">IF(OR($A995="",$D995=""),"",IF(COUNTIFS($D$6:$D$1005,$D995,$A$6:$A$1005,"&gt;"&amp;$A995)=0,1,0))</f>
        <v/>
      </c>
    </row>
    <row r="996" customFormat="false" ht="15" hidden="false" customHeight="false" outlineLevel="0" collapsed="false">
      <c r="A996" s="44"/>
      <c r="B996" s="6"/>
      <c r="C996" s="6"/>
      <c r="D996" s="6"/>
      <c r="E996" s="8" t="str">
        <f aca="false">IF($D996="","",IFERROR(INDEX(INSUMOS!$B$6:$B$205,MATCH($D996,INSUMOS!$A$6:$A$205,0)),"¿Código?"))</f>
        <v/>
      </c>
      <c r="F996" s="8" t="str">
        <f aca="false">IF($D996="","",IFERROR(INDEX(INSUMOS!$E$6:$E$205,MATCH($D996,INSUMOS!$A$6:$A$205,0)),""))</f>
        <v/>
      </c>
      <c r="G996" s="39"/>
      <c r="H996" s="45" t="str">
        <f aca="false">IF($D996="","",IFERROR(INDEX(INSUMOS!$F$6:$F$205,MATCH($D996,INSUMOS!$A$6:$A$205,0)),0))</f>
        <v/>
      </c>
      <c r="I996" s="34" t="str">
        <f aca="false">IF($D996="","",N($G996)*$H996)</f>
        <v/>
      </c>
      <c r="J996" s="40"/>
      <c r="K996" s="36" t="str">
        <f aca="false">IF($D996="","",IFERROR(INDEX(INSUMOS!$H$6:$H$205,MATCH($D996,INSUMOS!$A$6:$A$205,0)),IVA_VENTAS))</f>
        <v/>
      </c>
      <c r="L996" s="35" t="str">
        <f aca="false">IF($D996="","",N($J996)*$K996)</f>
        <v/>
      </c>
      <c r="M996" s="35" t="str">
        <f aca="false">IF($D996="","",N($J996)+$L996)</f>
        <v/>
      </c>
      <c r="N996" s="43" t="str">
        <f aca="false">IF($D996="","",IFERROR(N($J996)/$I996,0))</f>
        <v/>
      </c>
      <c r="O996" s="6"/>
      <c r="P996" s="6"/>
      <c r="Q996" s="46" t="str">
        <f aca="false">IF($A996="","",DATE(YEAR($A996),MONTH($A996),1))</f>
        <v/>
      </c>
      <c r="R996" s="8" t="str">
        <f aca="false">IF(OR($A996="",$D996=""),"",IF(COUNTIFS($D$6:$D$1005,$D996,$A$6:$A$1005,"&gt;"&amp;$A996)=0,1,0))</f>
        <v/>
      </c>
    </row>
    <row r="997" customFormat="false" ht="15" hidden="false" customHeight="false" outlineLevel="0" collapsed="false">
      <c r="A997" s="44"/>
      <c r="B997" s="6"/>
      <c r="C997" s="6"/>
      <c r="D997" s="6"/>
      <c r="E997" s="8" t="str">
        <f aca="false">IF($D997="","",IFERROR(INDEX(INSUMOS!$B$6:$B$205,MATCH($D997,INSUMOS!$A$6:$A$205,0)),"¿Código?"))</f>
        <v/>
      </c>
      <c r="F997" s="8" t="str">
        <f aca="false">IF($D997="","",IFERROR(INDEX(INSUMOS!$E$6:$E$205,MATCH($D997,INSUMOS!$A$6:$A$205,0)),""))</f>
        <v/>
      </c>
      <c r="G997" s="39"/>
      <c r="H997" s="45" t="str">
        <f aca="false">IF($D997="","",IFERROR(INDEX(INSUMOS!$F$6:$F$205,MATCH($D997,INSUMOS!$A$6:$A$205,0)),0))</f>
        <v/>
      </c>
      <c r="I997" s="34" t="str">
        <f aca="false">IF($D997="","",N($G997)*$H997)</f>
        <v/>
      </c>
      <c r="J997" s="40"/>
      <c r="K997" s="36" t="str">
        <f aca="false">IF($D997="","",IFERROR(INDEX(INSUMOS!$H$6:$H$205,MATCH($D997,INSUMOS!$A$6:$A$205,0)),IVA_VENTAS))</f>
        <v/>
      </c>
      <c r="L997" s="35" t="str">
        <f aca="false">IF($D997="","",N($J997)*$K997)</f>
        <v/>
      </c>
      <c r="M997" s="35" t="str">
        <f aca="false">IF($D997="","",N($J997)+$L997)</f>
        <v/>
      </c>
      <c r="N997" s="43" t="str">
        <f aca="false">IF($D997="","",IFERROR(N($J997)/$I997,0))</f>
        <v/>
      </c>
      <c r="O997" s="6"/>
      <c r="P997" s="6"/>
      <c r="Q997" s="46" t="str">
        <f aca="false">IF($A997="","",DATE(YEAR($A997),MONTH($A997),1))</f>
        <v/>
      </c>
      <c r="R997" s="8" t="str">
        <f aca="false">IF(OR($A997="",$D997=""),"",IF(COUNTIFS($D$6:$D$1005,$D997,$A$6:$A$1005,"&gt;"&amp;$A997)=0,1,0))</f>
        <v/>
      </c>
    </row>
    <row r="998" customFormat="false" ht="15" hidden="false" customHeight="false" outlineLevel="0" collapsed="false">
      <c r="A998" s="44"/>
      <c r="B998" s="6"/>
      <c r="C998" s="6"/>
      <c r="D998" s="6"/>
      <c r="E998" s="8" t="str">
        <f aca="false">IF($D998="","",IFERROR(INDEX(INSUMOS!$B$6:$B$205,MATCH($D998,INSUMOS!$A$6:$A$205,0)),"¿Código?"))</f>
        <v/>
      </c>
      <c r="F998" s="8" t="str">
        <f aca="false">IF($D998="","",IFERROR(INDEX(INSUMOS!$E$6:$E$205,MATCH($D998,INSUMOS!$A$6:$A$205,0)),""))</f>
        <v/>
      </c>
      <c r="G998" s="39"/>
      <c r="H998" s="45" t="str">
        <f aca="false">IF($D998="","",IFERROR(INDEX(INSUMOS!$F$6:$F$205,MATCH($D998,INSUMOS!$A$6:$A$205,0)),0))</f>
        <v/>
      </c>
      <c r="I998" s="34" t="str">
        <f aca="false">IF($D998="","",N($G998)*$H998)</f>
        <v/>
      </c>
      <c r="J998" s="40"/>
      <c r="K998" s="36" t="str">
        <f aca="false">IF($D998="","",IFERROR(INDEX(INSUMOS!$H$6:$H$205,MATCH($D998,INSUMOS!$A$6:$A$205,0)),IVA_VENTAS))</f>
        <v/>
      </c>
      <c r="L998" s="35" t="str">
        <f aca="false">IF($D998="","",N($J998)*$K998)</f>
        <v/>
      </c>
      <c r="M998" s="35" t="str">
        <f aca="false">IF($D998="","",N($J998)+$L998)</f>
        <v/>
      </c>
      <c r="N998" s="43" t="str">
        <f aca="false">IF($D998="","",IFERROR(N($J998)/$I998,0))</f>
        <v/>
      </c>
      <c r="O998" s="6"/>
      <c r="P998" s="6"/>
      <c r="Q998" s="46" t="str">
        <f aca="false">IF($A998="","",DATE(YEAR($A998),MONTH($A998),1))</f>
        <v/>
      </c>
      <c r="R998" s="8" t="str">
        <f aca="false">IF(OR($A998="",$D998=""),"",IF(COUNTIFS($D$6:$D$1005,$D998,$A$6:$A$1005,"&gt;"&amp;$A998)=0,1,0))</f>
        <v/>
      </c>
    </row>
    <row r="999" customFormat="false" ht="15" hidden="false" customHeight="false" outlineLevel="0" collapsed="false">
      <c r="A999" s="44"/>
      <c r="B999" s="6"/>
      <c r="C999" s="6"/>
      <c r="D999" s="6"/>
      <c r="E999" s="8" t="str">
        <f aca="false">IF($D999="","",IFERROR(INDEX(INSUMOS!$B$6:$B$205,MATCH($D999,INSUMOS!$A$6:$A$205,0)),"¿Código?"))</f>
        <v/>
      </c>
      <c r="F999" s="8" t="str">
        <f aca="false">IF($D999="","",IFERROR(INDEX(INSUMOS!$E$6:$E$205,MATCH($D999,INSUMOS!$A$6:$A$205,0)),""))</f>
        <v/>
      </c>
      <c r="G999" s="39"/>
      <c r="H999" s="45" t="str">
        <f aca="false">IF($D999="","",IFERROR(INDEX(INSUMOS!$F$6:$F$205,MATCH($D999,INSUMOS!$A$6:$A$205,0)),0))</f>
        <v/>
      </c>
      <c r="I999" s="34" t="str">
        <f aca="false">IF($D999="","",N($G999)*$H999)</f>
        <v/>
      </c>
      <c r="J999" s="40"/>
      <c r="K999" s="36" t="str">
        <f aca="false">IF($D999="","",IFERROR(INDEX(INSUMOS!$H$6:$H$205,MATCH($D999,INSUMOS!$A$6:$A$205,0)),IVA_VENTAS))</f>
        <v/>
      </c>
      <c r="L999" s="35" t="str">
        <f aca="false">IF($D999="","",N($J999)*$K999)</f>
        <v/>
      </c>
      <c r="M999" s="35" t="str">
        <f aca="false">IF($D999="","",N($J999)+$L999)</f>
        <v/>
      </c>
      <c r="N999" s="43" t="str">
        <f aca="false">IF($D999="","",IFERROR(N($J999)/$I999,0))</f>
        <v/>
      </c>
      <c r="O999" s="6"/>
      <c r="P999" s="6"/>
      <c r="Q999" s="46" t="str">
        <f aca="false">IF($A999="","",DATE(YEAR($A999),MONTH($A999),1))</f>
        <v/>
      </c>
      <c r="R999" s="8" t="str">
        <f aca="false">IF(OR($A999="",$D999=""),"",IF(COUNTIFS($D$6:$D$1005,$D999,$A$6:$A$1005,"&gt;"&amp;$A999)=0,1,0))</f>
        <v/>
      </c>
    </row>
    <row r="1000" customFormat="false" ht="15" hidden="false" customHeight="false" outlineLevel="0" collapsed="false">
      <c r="A1000" s="44"/>
      <c r="B1000" s="6"/>
      <c r="C1000" s="6"/>
      <c r="D1000" s="6"/>
      <c r="E1000" s="8" t="str">
        <f aca="false">IF($D1000="","",IFERROR(INDEX(INSUMOS!$B$6:$B$205,MATCH($D1000,INSUMOS!$A$6:$A$205,0)),"¿Código?"))</f>
        <v/>
      </c>
      <c r="F1000" s="8" t="str">
        <f aca="false">IF($D1000="","",IFERROR(INDEX(INSUMOS!$E$6:$E$205,MATCH($D1000,INSUMOS!$A$6:$A$205,0)),""))</f>
        <v/>
      </c>
      <c r="G1000" s="39"/>
      <c r="H1000" s="45" t="str">
        <f aca="false">IF($D1000="","",IFERROR(INDEX(INSUMOS!$F$6:$F$205,MATCH($D1000,INSUMOS!$A$6:$A$205,0)),0))</f>
        <v/>
      </c>
      <c r="I1000" s="34" t="str">
        <f aca="false">IF($D1000="","",N($G1000)*$H1000)</f>
        <v/>
      </c>
      <c r="J1000" s="40"/>
      <c r="K1000" s="36" t="str">
        <f aca="false">IF($D1000="","",IFERROR(INDEX(INSUMOS!$H$6:$H$205,MATCH($D1000,INSUMOS!$A$6:$A$205,0)),IVA_VENTAS))</f>
        <v/>
      </c>
      <c r="L1000" s="35" t="str">
        <f aca="false">IF($D1000="","",N($J1000)*$K1000)</f>
        <v/>
      </c>
      <c r="M1000" s="35" t="str">
        <f aca="false">IF($D1000="","",N($J1000)+$L1000)</f>
        <v/>
      </c>
      <c r="N1000" s="43" t="str">
        <f aca="false">IF($D1000="","",IFERROR(N($J1000)/$I1000,0))</f>
        <v/>
      </c>
      <c r="O1000" s="6"/>
      <c r="P1000" s="6"/>
      <c r="Q1000" s="46" t="str">
        <f aca="false">IF($A1000="","",DATE(YEAR($A1000),MONTH($A1000),1))</f>
        <v/>
      </c>
      <c r="R1000" s="8" t="str">
        <f aca="false">IF(OR($A1000="",$D1000=""),"",IF(COUNTIFS($D$6:$D$1005,$D1000,$A$6:$A$1005,"&gt;"&amp;$A1000)=0,1,0))</f>
        <v/>
      </c>
    </row>
    <row r="1001" customFormat="false" ht="15" hidden="false" customHeight="false" outlineLevel="0" collapsed="false">
      <c r="A1001" s="44"/>
      <c r="B1001" s="6"/>
      <c r="C1001" s="6"/>
      <c r="D1001" s="6"/>
      <c r="E1001" s="8" t="str">
        <f aca="false">IF($D1001="","",IFERROR(INDEX(INSUMOS!$B$6:$B$205,MATCH($D1001,INSUMOS!$A$6:$A$205,0)),"¿Código?"))</f>
        <v/>
      </c>
      <c r="F1001" s="8" t="str">
        <f aca="false">IF($D1001="","",IFERROR(INDEX(INSUMOS!$E$6:$E$205,MATCH($D1001,INSUMOS!$A$6:$A$205,0)),""))</f>
        <v/>
      </c>
      <c r="G1001" s="39"/>
      <c r="H1001" s="45" t="str">
        <f aca="false">IF($D1001="","",IFERROR(INDEX(INSUMOS!$F$6:$F$205,MATCH($D1001,INSUMOS!$A$6:$A$205,0)),0))</f>
        <v/>
      </c>
      <c r="I1001" s="34" t="str">
        <f aca="false">IF($D1001="","",N($G1001)*$H1001)</f>
        <v/>
      </c>
      <c r="J1001" s="40"/>
      <c r="K1001" s="36" t="str">
        <f aca="false">IF($D1001="","",IFERROR(INDEX(INSUMOS!$H$6:$H$205,MATCH($D1001,INSUMOS!$A$6:$A$205,0)),IVA_VENTAS))</f>
        <v/>
      </c>
      <c r="L1001" s="35" t="str">
        <f aca="false">IF($D1001="","",N($J1001)*$K1001)</f>
        <v/>
      </c>
      <c r="M1001" s="35" t="str">
        <f aca="false">IF($D1001="","",N($J1001)+$L1001)</f>
        <v/>
      </c>
      <c r="N1001" s="43" t="str">
        <f aca="false">IF($D1001="","",IFERROR(N($J1001)/$I1001,0))</f>
        <v/>
      </c>
      <c r="O1001" s="6"/>
      <c r="P1001" s="6"/>
      <c r="Q1001" s="46" t="str">
        <f aca="false">IF($A1001="","",DATE(YEAR($A1001),MONTH($A1001),1))</f>
        <v/>
      </c>
      <c r="R1001" s="8" t="str">
        <f aca="false">IF(OR($A1001="",$D1001=""),"",IF(COUNTIFS($D$6:$D$1005,$D1001,$A$6:$A$1005,"&gt;"&amp;$A1001)=0,1,0))</f>
        <v/>
      </c>
    </row>
    <row r="1002" customFormat="false" ht="15" hidden="false" customHeight="false" outlineLevel="0" collapsed="false">
      <c r="A1002" s="44"/>
      <c r="B1002" s="6"/>
      <c r="C1002" s="6"/>
      <c r="D1002" s="6"/>
      <c r="E1002" s="8" t="str">
        <f aca="false">IF($D1002="","",IFERROR(INDEX(INSUMOS!$B$6:$B$205,MATCH($D1002,INSUMOS!$A$6:$A$205,0)),"¿Código?"))</f>
        <v/>
      </c>
      <c r="F1002" s="8" t="str">
        <f aca="false">IF($D1002="","",IFERROR(INDEX(INSUMOS!$E$6:$E$205,MATCH($D1002,INSUMOS!$A$6:$A$205,0)),""))</f>
        <v/>
      </c>
      <c r="G1002" s="39"/>
      <c r="H1002" s="45" t="str">
        <f aca="false">IF($D1002="","",IFERROR(INDEX(INSUMOS!$F$6:$F$205,MATCH($D1002,INSUMOS!$A$6:$A$205,0)),0))</f>
        <v/>
      </c>
      <c r="I1002" s="34" t="str">
        <f aca="false">IF($D1002="","",N($G1002)*$H1002)</f>
        <v/>
      </c>
      <c r="J1002" s="40"/>
      <c r="K1002" s="36" t="str">
        <f aca="false">IF($D1002="","",IFERROR(INDEX(INSUMOS!$H$6:$H$205,MATCH($D1002,INSUMOS!$A$6:$A$205,0)),IVA_VENTAS))</f>
        <v/>
      </c>
      <c r="L1002" s="35" t="str">
        <f aca="false">IF($D1002="","",N($J1002)*$K1002)</f>
        <v/>
      </c>
      <c r="M1002" s="35" t="str">
        <f aca="false">IF($D1002="","",N($J1002)+$L1002)</f>
        <v/>
      </c>
      <c r="N1002" s="43" t="str">
        <f aca="false">IF($D1002="","",IFERROR(N($J1002)/$I1002,0))</f>
        <v/>
      </c>
      <c r="O1002" s="6"/>
      <c r="P1002" s="6"/>
      <c r="Q1002" s="46" t="str">
        <f aca="false">IF($A1002="","",DATE(YEAR($A1002),MONTH($A1002),1))</f>
        <v/>
      </c>
      <c r="R1002" s="8" t="str">
        <f aca="false">IF(OR($A1002="",$D1002=""),"",IF(COUNTIFS($D$6:$D$1005,$D1002,$A$6:$A$1005,"&gt;"&amp;$A1002)=0,1,0))</f>
        <v/>
      </c>
    </row>
    <row r="1003" customFormat="false" ht="15" hidden="false" customHeight="false" outlineLevel="0" collapsed="false">
      <c r="A1003" s="44"/>
      <c r="B1003" s="6"/>
      <c r="C1003" s="6"/>
      <c r="D1003" s="6"/>
      <c r="E1003" s="8" t="str">
        <f aca="false">IF($D1003="","",IFERROR(INDEX(INSUMOS!$B$6:$B$205,MATCH($D1003,INSUMOS!$A$6:$A$205,0)),"¿Código?"))</f>
        <v/>
      </c>
      <c r="F1003" s="8" t="str">
        <f aca="false">IF($D1003="","",IFERROR(INDEX(INSUMOS!$E$6:$E$205,MATCH($D1003,INSUMOS!$A$6:$A$205,0)),""))</f>
        <v/>
      </c>
      <c r="G1003" s="39"/>
      <c r="H1003" s="45" t="str">
        <f aca="false">IF($D1003="","",IFERROR(INDEX(INSUMOS!$F$6:$F$205,MATCH($D1003,INSUMOS!$A$6:$A$205,0)),0))</f>
        <v/>
      </c>
      <c r="I1003" s="34" t="str">
        <f aca="false">IF($D1003="","",N($G1003)*$H1003)</f>
        <v/>
      </c>
      <c r="J1003" s="40"/>
      <c r="K1003" s="36" t="str">
        <f aca="false">IF($D1003="","",IFERROR(INDEX(INSUMOS!$H$6:$H$205,MATCH($D1003,INSUMOS!$A$6:$A$205,0)),IVA_VENTAS))</f>
        <v/>
      </c>
      <c r="L1003" s="35" t="str">
        <f aca="false">IF($D1003="","",N($J1003)*$K1003)</f>
        <v/>
      </c>
      <c r="M1003" s="35" t="str">
        <f aca="false">IF($D1003="","",N($J1003)+$L1003)</f>
        <v/>
      </c>
      <c r="N1003" s="43" t="str">
        <f aca="false">IF($D1003="","",IFERROR(N($J1003)/$I1003,0))</f>
        <v/>
      </c>
      <c r="O1003" s="6"/>
      <c r="P1003" s="6"/>
      <c r="Q1003" s="46" t="str">
        <f aca="false">IF($A1003="","",DATE(YEAR($A1003),MONTH($A1003),1))</f>
        <v/>
      </c>
      <c r="R1003" s="8" t="str">
        <f aca="false">IF(OR($A1003="",$D1003=""),"",IF(COUNTIFS($D$6:$D$1005,$D1003,$A$6:$A$1005,"&gt;"&amp;$A1003)=0,1,0))</f>
        <v/>
      </c>
    </row>
    <row r="1004" customFormat="false" ht="15" hidden="false" customHeight="false" outlineLevel="0" collapsed="false">
      <c r="A1004" s="44"/>
      <c r="B1004" s="6"/>
      <c r="C1004" s="6"/>
      <c r="D1004" s="6"/>
      <c r="E1004" s="8" t="str">
        <f aca="false">IF($D1004="","",IFERROR(INDEX(INSUMOS!$B$6:$B$205,MATCH($D1004,INSUMOS!$A$6:$A$205,0)),"¿Código?"))</f>
        <v/>
      </c>
      <c r="F1004" s="8" t="str">
        <f aca="false">IF($D1004="","",IFERROR(INDEX(INSUMOS!$E$6:$E$205,MATCH($D1004,INSUMOS!$A$6:$A$205,0)),""))</f>
        <v/>
      </c>
      <c r="G1004" s="39"/>
      <c r="H1004" s="45" t="str">
        <f aca="false">IF($D1004="","",IFERROR(INDEX(INSUMOS!$F$6:$F$205,MATCH($D1004,INSUMOS!$A$6:$A$205,0)),0))</f>
        <v/>
      </c>
      <c r="I1004" s="34" t="str">
        <f aca="false">IF($D1004="","",N($G1004)*$H1004)</f>
        <v/>
      </c>
      <c r="J1004" s="40"/>
      <c r="K1004" s="36" t="str">
        <f aca="false">IF($D1004="","",IFERROR(INDEX(INSUMOS!$H$6:$H$205,MATCH($D1004,INSUMOS!$A$6:$A$205,0)),IVA_VENTAS))</f>
        <v/>
      </c>
      <c r="L1004" s="35" t="str">
        <f aca="false">IF($D1004="","",N($J1004)*$K1004)</f>
        <v/>
      </c>
      <c r="M1004" s="35" t="str">
        <f aca="false">IF($D1004="","",N($J1004)+$L1004)</f>
        <v/>
      </c>
      <c r="N1004" s="43" t="str">
        <f aca="false">IF($D1004="","",IFERROR(N($J1004)/$I1004,0))</f>
        <v/>
      </c>
      <c r="O1004" s="6"/>
      <c r="P1004" s="6"/>
      <c r="Q1004" s="46" t="str">
        <f aca="false">IF($A1004="","",DATE(YEAR($A1004),MONTH($A1004),1))</f>
        <v/>
      </c>
      <c r="R1004" s="8" t="str">
        <f aca="false">IF(OR($A1004="",$D1004=""),"",IF(COUNTIFS($D$6:$D$1005,$D1004,$A$6:$A$1005,"&gt;"&amp;$A1004)=0,1,0))</f>
        <v/>
      </c>
    </row>
    <row r="1005" customFormat="false" ht="15" hidden="false" customHeight="false" outlineLevel="0" collapsed="false">
      <c r="A1005" s="44"/>
      <c r="B1005" s="6"/>
      <c r="C1005" s="6"/>
      <c r="D1005" s="6"/>
      <c r="E1005" s="8" t="str">
        <f aca="false">IF($D1005="","",IFERROR(INDEX(INSUMOS!$B$6:$B$205,MATCH($D1005,INSUMOS!$A$6:$A$205,0)),"¿Código?"))</f>
        <v/>
      </c>
      <c r="F1005" s="8" t="str">
        <f aca="false">IF($D1005="","",IFERROR(INDEX(INSUMOS!$E$6:$E$205,MATCH($D1005,INSUMOS!$A$6:$A$205,0)),""))</f>
        <v/>
      </c>
      <c r="G1005" s="39"/>
      <c r="H1005" s="45" t="str">
        <f aca="false">IF($D1005="","",IFERROR(INDEX(INSUMOS!$F$6:$F$205,MATCH($D1005,INSUMOS!$A$6:$A$205,0)),0))</f>
        <v/>
      </c>
      <c r="I1005" s="34" t="str">
        <f aca="false">IF($D1005="","",N($G1005)*$H1005)</f>
        <v/>
      </c>
      <c r="J1005" s="40"/>
      <c r="K1005" s="36" t="str">
        <f aca="false">IF($D1005="","",IFERROR(INDEX(INSUMOS!$H$6:$H$205,MATCH($D1005,INSUMOS!$A$6:$A$205,0)),IVA_VENTAS))</f>
        <v/>
      </c>
      <c r="L1005" s="35" t="str">
        <f aca="false">IF($D1005="","",N($J1005)*$K1005)</f>
        <v/>
      </c>
      <c r="M1005" s="35" t="str">
        <f aca="false">IF($D1005="","",N($J1005)+$L1005)</f>
        <v/>
      </c>
      <c r="N1005" s="43" t="str">
        <f aca="false">IF($D1005="","",IFERROR(N($J1005)/$I1005,0))</f>
        <v/>
      </c>
      <c r="O1005" s="6"/>
      <c r="P1005" s="6"/>
      <c r="Q1005" s="46" t="str">
        <f aca="false">IF($A1005="","",DATE(YEAR($A1005),MONTH($A1005),1))</f>
        <v/>
      </c>
      <c r="R1005" s="8" t="str">
        <f aca="false">IF(OR($A1005="",$D1005=""),"",IF(COUNTIFS($D$6:$D$1005,$D1005,$A$6:$A$1005,"&gt;"&amp;$A1005)=0,1,0))</f>
        <v/>
      </c>
    </row>
  </sheetData>
  <autoFilter ref="A5:R1005"/>
  <conditionalFormatting sqref="P6:P1005">
    <cfRule type="expression" priority="2" aboveAverage="0" equalAverage="0" bottom="0" percent="0" rank="0" text="" dxfId="1">
      <formula>$P6="Pendiente"</formula>
    </cfRule>
    <cfRule type="expression" priority="3" aboveAverage="0" equalAverage="0" bottom="0" percent="0" rank="0" text="" dxfId="3">
      <formula>$P6="Pagado"</formula>
    </cfRule>
  </conditionalFormatting>
  <dataValidations count="3">
    <dataValidation allowBlank="true" error="Elija un valor de la lista" errorStyle="stop" operator="between" showDropDown="false" showErrorMessage="false" showInputMessage="false" sqref="D6:D1005" type="list">
      <formula1>INSUMOS!$A$6:$A$205</formula1>
      <formula2>0</formula2>
    </dataValidation>
    <dataValidation allowBlank="true" error="Elija un valor de la lista" errorStyle="stop" operator="between" showDropDown="false" showErrorMessage="false" showInputMessage="false" sqref="O6:O1005" type="list">
      <formula1>CONFIG!$L$6:$L$20</formula1>
      <formula2>0</formula2>
    </dataValidation>
    <dataValidation allowBlank="true" error="Elija un valor de la lista" errorStyle="stop" operator="between" showDropDown="false" showErrorMessage="false" showInputMessage="false" sqref="P6:P1005" type="list">
      <formula1>CONFIG!$M$6:$M$20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6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2" min="12" style="0" width="11"/>
    <col collapsed="false" customWidth="true" hidden="true" outlineLevel="0" max="13" min="13" style="0" width="6"/>
    <col collapsed="false" customWidth="true" hidden="true" outlineLevel="0" max="14" min="14" style="0" width="10"/>
  </cols>
  <sheetData>
    <row r="1" customFormat="false" ht="19.7" hidden="false" customHeight="false" outlineLevel="0" collapsed="false">
      <c r="A1" s="1" t="s">
        <v>337</v>
      </c>
    </row>
    <row r="2" customFormat="false" ht="15" hidden="false" customHeight="false" outlineLevel="0" collapsed="false">
      <c r="A2" s="2" t="s">
        <v>338</v>
      </c>
    </row>
    <row r="5" customFormat="false" ht="42" hidden="false" customHeight="true" outlineLevel="0" collapsed="false">
      <c r="A5" s="16" t="s">
        <v>339</v>
      </c>
      <c r="B5" s="15" t="s">
        <v>184</v>
      </c>
      <c r="C5" s="16" t="s">
        <v>320</v>
      </c>
      <c r="D5" s="15" t="s">
        <v>191</v>
      </c>
      <c r="E5" s="15" t="s">
        <v>340</v>
      </c>
      <c r="F5" s="16" t="s">
        <v>341</v>
      </c>
      <c r="G5" s="15" t="s">
        <v>342</v>
      </c>
      <c r="H5" s="15" t="s">
        <v>343</v>
      </c>
      <c r="I5" s="15" t="s">
        <v>344</v>
      </c>
      <c r="J5" s="15" t="s">
        <v>345</v>
      </c>
      <c r="K5" s="15" t="s">
        <v>346</v>
      </c>
      <c r="L5" s="15" t="s">
        <v>347</v>
      </c>
      <c r="M5" s="15" t="s">
        <v>348</v>
      </c>
      <c r="N5" s="15" t="s">
        <v>349</v>
      </c>
    </row>
    <row r="6" customFormat="false" ht="15" hidden="false" customHeight="false" outlineLevel="0" collapsed="false">
      <c r="A6" s="6" t="s">
        <v>350</v>
      </c>
      <c r="B6" s="8" t="str">
        <f aca="false">IF($A6="","",IFERROR(INDEX(PRODUCTOS!$B$6:$B$105,MATCH($A6,PRODUCTOS!$A$6:$A$105,0)),"¿Código?"))</f>
        <v>Fresas con crema Pequeño (8 oz)</v>
      </c>
      <c r="C6" s="6" t="s">
        <v>226</v>
      </c>
      <c r="D6" s="8" t="str">
        <f aca="false">IF($C6="","",IFERROR(INDEX(INSUMOS!$B$6:$B$205,MATCH($C6,INSUMOS!$A$6:$A$205,0)),"¿Código?"))</f>
        <v>Fresas frescas</v>
      </c>
      <c r="E6" s="8" t="str">
        <f aca="false">IF($C6="","",IFERROR(INDEX(INSUMOS!$D$6:$D$205,MATCH($C6,INSUMOS!$A$6:$A$205,0)),""))</f>
        <v>g</v>
      </c>
      <c r="F6" s="39" t="n">
        <v>90</v>
      </c>
      <c r="G6" s="43" t="n">
        <f aca="false">IF(OR($A6="",$C6=""),"",IFERROR(INDEX(INSUMOS!$P$6:$P$205,MATCH($C6,INSUMOS!$A$6:$A$205,0)),0))</f>
        <v>3.29411764705882</v>
      </c>
      <c r="H6" s="43" t="n">
        <f aca="false">IF(OR($A6="",$C6=""),"",N($F6)*$G6)</f>
        <v>296.470588235294</v>
      </c>
      <c r="I6" s="34" t="n">
        <f aca="false">IF(OR($A6="",$C6=""),"",IFERROR(MAX(1,INDEX(PRODUCTOS!$G$6:$G$105,MATCH($A6,PRODUCTOS!$A$6:$A$105,0))),1))</f>
        <v>1</v>
      </c>
      <c r="J6" s="43" t="n">
        <f aca="false">IF(OR($A6="",$C6=""),"",$H6/$I6)</f>
        <v>296.470588235294</v>
      </c>
      <c r="K6" s="34" t="n">
        <f aca="false">IF(OR($A6="",$C6=""),"",SUMIFS(VENTAS!$E$6:$E$2005,VENTAS!$C$6:$C$2005,$A6))</f>
        <v>27</v>
      </c>
      <c r="L6" s="45" t="n">
        <f aca="false">IF(OR($A6="",$C6=""),"",IFERROR(N($F6)/INDEX(INSUMOS!$I$6:$I$205,MATCH($C6,INSUMOS!$A$6:$A$205,0)),N($F6))/$I6*$K6)</f>
        <v>2858.82352941177</v>
      </c>
      <c r="M6" s="8" t="n">
        <f aca="false">IF($A6="","",COUNTIF($A$6:$A6,$A6))</f>
        <v>1</v>
      </c>
      <c r="N6" s="8" t="str">
        <f aca="false">IF($A6="","",$A6&amp;"|"&amp;$M6)</f>
        <v>P001|1</v>
      </c>
    </row>
    <row r="7" customFormat="false" ht="15" hidden="false" customHeight="false" outlineLevel="0" collapsed="false">
      <c r="A7" s="6" t="s">
        <v>350</v>
      </c>
      <c r="B7" s="8" t="str">
        <f aca="false">IF($A7="","",IFERROR(INDEX(PRODUCTOS!$B$6:$B$105,MATCH($A7,PRODUCTOS!$A$6:$A$105,0)),"¿Código?"))</f>
        <v>Fresas con crema Pequeño (8 oz)</v>
      </c>
      <c r="C7" s="6" t="s">
        <v>237</v>
      </c>
      <c r="D7" s="8" t="str">
        <f aca="false">IF($C7="","",IFERROR(INDEX(INSUMOS!$B$6:$B$205,MATCH($C7,INSUMOS!$A$6:$A$205,0)),"¿Código?"))</f>
        <v>Crema dulce</v>
      </c>
      <c r="E7" s="8" t="str">
        <f aca="false">IF($C7="","",IFERROR(INDEX(INSUMOS!$D$6:$D$205,MATCH($C7,INSUMOS!$A$6:$A$205,0)),""))</f>
        <v>ml</v>
      </c>
      <c r="F7" s="39" t="n">
        <v>45</v>
      </c>
      <c r="G7" s="43" t="n">
        <f aca="false">IF(OR($A7="",$C7=""),"",IFERROR(INDEX(INSUMOS!$P$6:$P$205,MATCH($C7,INSUMOS!$A$6:$A$205,0)),0))</f>
        <v>2.55</v>
      </c>
      <c r="H7" s="43" t="n">
        <f aca="false">IF(OR($A7="",$C7=""),"",N($F7)*$G7)</f>
        <v>114.75</v>
      </c>
      <c r="I7" s="34" t="n">
        <f aca="false">IF(OR($A7="",$C7=""),"",IFERROR(MAX(1,INDEX(PRODUCTOS!$G$6:$G$105,MATCH($A7,PRODUCTOS!$A$6:$A$105,0))),1))</f>
        <v>1</v>
      </c>
      <c r="J7" s="43" t="n">
        <f aca="false">IF(OR($A7="",$C7=""),"",$H7/$I7)</f>
        <v>114.75</v>
      </c>
      <c r="K7" s="34" t="n">
        <f aca="false">IF(OR($A7="",$C7=""),"",SUMIFS(VENTAS!$E$6:$E$2005,VENTAS!$C$6:$C$2005,$A7))</f>
        <v>27</v>
      </c>
      <c r="L7" s="45" t="n">
        <f aca="false">IF(OR($A7="",$C7=""),"",IFERROR(N($F7)/INDEX(INSUMOS!$I$6:$I$205,MATCH($C7,INSUMOS!$A$6:$A$205,0)),N($F7))/$I7*$K7)</f>
        <v>1215</v>
      </c>
      <c r="M7" s="8" t="n">
        <f aca="false">IF($A7="","",COUNTIF($A$6:$A7,$A7))</f>
        <v>2</v>
      </c>
      <c r="N7" s="8" t="str">
        <f aca="false">IF($A7="","",$A7&amp;"|"&amp;$M7)</f>
        <v>P001|2</v>
      </c>
    </row>
    <row r="8" customFormat="false" ht="15" hidden="false" customHeight="false" outlineLevel="0" collapsed="false">
      <c r="A8" s="6" t="s">
        <v>350</v>
      </c>
      <c r="B8" s="8" t="str">
        <f aca="false">IF($A8="","",IFERROR(INDEX(PRODUCTOS!$B$6:$B$105,MATCH($A8,PRODUCTOS!$A$6:$A$105,0)),"¿Código?"))</f>
        <v>Fresas con crema Pequeño (8 oz)</v>
      </c>
      <c r="C8" s="6" t="s">
        <v>241</v>
      </c>
      <c r="D8" s="8" t="str">
        <f aca="false">IF($C8="","",IFERROR(INDEX(INSUMOS!$B$6:$B$205,MATCH($C8,INSUMOS!$A$6:$A$205,0)),"¿Código?"))</f>
        <v>Leche condensada</v>
      </c>
      <c r="E8" s="8" t="str">
        <f aca="false">IF($C8="","",IFERROR(INDEX(INSUMOS!$D$6:$D$205,MATCH($C8,INSUMOS!$A$6:$A$205,0)),""))</f>
        <v>g</v>
      </c>
      <c r="F8" s="39" t="n">
        <v>20</v>
      </c>
      <c r="G8" s="43" t="n">
        <f aca="false">IF(OR($A8="",$C8=""),"",IFERROR(INDEX(INSUMOS!$P$6:$P$205,MATCH($C8,INSUMOS!$A$6:$A$205,0)),0))</f>
        <v>3.24599444285751</v>
      </c>
      <c r="H8" s="43" t="n">
        <f aca="false">IF(OR($A8="",$C8=""),"",N($F8)*$G8)</f>
        <v>64.9198888571503</v>
      </c>
      <c r="I8" s="34" t="n">
        <f aca="false">IF(OR($A8="",$C8=""),"",IFERROR(MAX(1,INDEX(PRODUCTOS!$G$6:$G$105,MATCH($A8,PRODUCTOS!$A$6:$A$105,0))),1))</f>
        <v>1</v>
      </c>
      <c r="J8" s="43" t="n">
        <f aca="false">IF(OR($A8="",$C8=""),"",$H8/$I8)</f>
        <v>64.9198888571503</v>
      </c>
      <c r="K8" s="34" t="n">
        <f aca="false">IF(OR($A8="",$C8=""),"",SUMIFS(VENTAS!$E$6:$E$2005,VENTAS!$C$6:$C$2005,$A8))</f>
        <v>27</v>
      </c>
      <c r="L8" s="45" t="n">
        <f aca="false">IF(OR($A8="",$C8=""),"",IFERROR(N($F8)/INDEX(INSUMOS!$I$6:$I$205,MATCH($C8,INSUMOS!$A$6:$A$205,0)),N($F8))/$I8*$K8)</f>
        <v>556.701030927835</v>
      </c>
      <c r="M8" s="8" t="n">
        <f aca="false">IF($A8="","",COUNTIF($A$6:$A8,$A8))</f>
        <v>3</v>
      </c>
      <c r="N8" s="8" t="str">
        <f aca="false">IF($A8="","",$A8&amp;"|"&amp;$M8)</f>
        <v>P001|3</v>
      </c>
    </row>
    <row r="9" customFormat="false" ht="15" hidden="false" customHeight="false" outlineLevel="0" collapsed="false">
      <c r="A9" s="6" t="s">
        <v>350</v>
      </c>
      <c r="B9" s="8" t="str">
        <f aca="false">IF($A9="","",IFERROR(INDEX(PRODUCTOS!$B$6:$B$105,MATCH($A9,PRODUCTOS!$A$6:$A$105,0)),"¿Código?"))</f>
        <v>Fresas con crema Pequeño (8 oz)</v>
      </c>
      <c r="C9" s="6" t="s">
        <v>245</v>
      </c>
      <c r="D9" s="8" t="str">
        <f aca="false">IF($C9="","",IFERROR(INDEX(INSUMOS!$B$6:$B$205,MATCH($C9,INSUMOS!$A$6:$A$205,0)),"¿Código?"))</f>
        <v>Esencia de vainilla</v>
      </c>
      <c r="E9" s="8" t="str">
        <f aca="false">IF($C9="","",IFERROR(INDEX(INSUMOS!$D$6:$D$205,MATCH($C9,INSUMOS!$A$6:$A$205,0)),""))</f>
        <v>ml</v>
      </c>
      <c r="F9" s="39" t="n">
        <v>1</v>
      </c>
      <c r="G9" s="43" t="n">
        <f aca="false">IF(OR($A9="",$C9=""),"",IFERROR(INDEX(INSUMOS!$P$6:$P$205,MATCH($C9,INSUMOS!$A$6:$A$205,0)),0))</f>
        <v>7.2</v>
      </c>
      <c r="H9" s="43" t="n">
        <f aca="false">IF(OR($A9="",$C9=""),"",N($F9)*$G9)</f>
        <v>7.2</v>
      </c>
      <c r="I9" s="34" t="n">
        <f aca="false">IF(OR($A9="",$C9=""),"",IFERROR(MAX(1,INDEX(PRODUCTOS!$G$6:$G$105,MATCH($A9,PRODUCTOS!$A$6:$A$105,0))),1))</f>
        <v>1</v>
      </c>
      <c r="J9" s="43" t="n">
        <f aca="false">IF(OR($A9="",$C9=""),"",$H9/$I9)</f>
        <v>7.2</v>
      </c>
      <c r="K9" s="34" t="n">
        <f aca="false">IF(OR($A9="",$C9=""),"",SUMIFS(VENTAS!$E$6:$E$2005,VENTAS!$C$6:$C$2005,$A9))</f>
        <v>27</v>
      </c>
      <c r="L9" s="45" t="n">
        <f aca="false">IF(OR($A9="",$C9=""),"",IFERROR(N($F9)/INDEX(INSUMOS!$I$6:$I$205,MATCH($C9,INSUMOS!$A$6:$A$205,0)),N($F9))/$I9*$K9)</f>
        <v>27</v>
      </c>
      <c r="M9" s="8" t="n">
        <f aca="false">IF($A9="","",COUNTIF($A$6:$A9,$A9))</f>
        <v>4</v>
      </c>
      <c r="N9" s="8" t="str">
        <f aca="false">IF($A9="","",$A9&amp;"|"&amp;$M9)</f>
        <v>P001|4</v>
      </c>
    </row>
    <row r="10" customFormat="false" ht="15" hidden="false" customHeight="false" outlineLevel="0" collapsed="false">
      <c r="A10" s="6" t="s">
        <v>350</v>
      </c>
      <c r="B10" s="8" t="str">
        <f aca="false">IF($A10="","",IFERROR(INDEX(PRODUCTOS!$B$6:$B$105,MATCH($A10,PRODUCTOS!$A$6:$A$105,0)),"¿Código?"))</f>
        <v>Fresas con crema Pequeño (8 oz)</v>
      </c>
      <c r="C10" s="6" t="s">
        <v>251</v>
      </c>
      <c r="D10" s="8" t="str">
        <f aca="false">IF($C10="","",IFERROR(INDEX(INSUMOS!$B$6:$B$205,MATCH($C10,INSUMOS!$A$6:$A$205,0)),"¿Código?"))</f>
        <v>Galleta Oreo triturada</v>
      </c>
      <c r="E10" s="8" t="str">
        <f aca="false">IF($C10="","",IFERROR(INDEX(INSUMOS!$D$6:$D$205,MATCH($C10,INSUMOS!$A$6:$A$205,0)),""))</f>
        <v>g</v>
      </c>
      <c r="F10" s="39" t="n">
        <v>15</v>
      </c>
      <c r="G10" s="43" t="n">
        <f aca="false">IF(OR($A10="",$C10=""),"",IFERROR(INDEX(INSUMOS!$P$6:$P$205,MATCH($C10,INSUMOS!$A$6:$A$205,0)),0))</f>
        <v>6.33528265107212</v>
      </c>
      <c r="H10" s="43" t="n">
        <f aca="false">IF(OR($A10="",$C10=""),"",N($F10)*$G10)</f>
        <v>95.0292397660819</v>
      </c>
      <c r="I10" s="34" t="n">
        <f aca="false">IF(OR($A10="",$C10=""),"",IFERROR(MAX(1,INDEX(PRODUCTOS!$G$6:$G$105,MATCH($A10,PRODUCTOS!$A$6:$A$105,0))),1))</f>
        <v>1</v>
      </c>
      <c r="J10" s="43" t="n">
        <f aca="false">IF(OR($A10="",$C10=""),"",$H10/$I10)</f>
        <v>95.0292397660819</v>
      </c>
      <c r="K10" s="34" t="n">
        <f aca="false">IF(OR($A10="",$C10=""),"",SUMIFS(VENTAS!$E$6:$E$2005,VENTAS!$C$6:$C$2005,$A10))</f>
        <v>27</v>
      </c>
      <c r="L10" s="45" t="n">
        <f aca="false">IF(OR($A10="",$C10=""),"",IFERROR(N($F10)/INDEX(INSUMOS!$I$6:$I$205,MATCH($C10,INSUMOS!$A$6:$A$205,0)),N($F10))/$I10*$K10)</f>
        <v>426.315789473684</v>
      </c>
      <c r="M10" s="8" t="n">
        <f aca="false">IF($A10="","",COUNTIF($A$6:$A10,$A10))</f>
        <v>5</v>
      </c>
      <c r="N10" s="8" t="str">
        <f aca="false">IF($A10="","",$A10&amp;"|"&amp;$M10)</f>
        <v>P001|5</v>
      </c>
    </row>
    <row r="11" customFormat="false" ht="15" hidden="false" customHeight="false" outlineLevel="0" collapsed="false">
      <c r="A11" s="6" t="s">
        <v>350</v>
      </c>
      <c r="B11" s="8" t="str">
        <f aca="false">IF($A11="","",IFERROR(INDEX(PRODUCTOS!$B$6:$B$105,MATCH($A11,PRODUCTOS!$A$6:$A$105,0)),"¿Código?"))</f>
        <v>Fresas con crema Pequeño (8 oz)</v>
      </c>
      <c r="C11" s="6" t="s">
        <v>282</v>
      </c>
      <c r="D11" s="8" t="str">
        <f aca="false">IF($C11="","",IFERROR(INDEX(INSUMOS!$B$6:$B$205,MATCH($C11,INSUMOS!$A$6:$A$205,0)),"¿Código?"))</f>
        <v>Vaso 8 oz con tapa</v>
      </c>
      <c r="E11" s="8" t="str">
        <f aca="false">IF($C11="","",IFERROR(INDEX(INSUMOS!$D$6:$D$205,MATCH($C11,INSUMOS!$A$6:$A$205,0)),""))</f>
        <v>u</v>
      </c>
      <c r="F11" s="39" t="n">
        <v>1</v>
      </c>
      <c r="G11" s="43" t="n">
        <f aca="false">IF(OR($A11="",$C11=""),"",IFERROR(INDEX(INSUMOS!$P$6:$P$205,MATCH($C11,INSUMOS!$A$6:$A$205,0)),0))</f>
        <v>75</v>
      </c>
      <c r="H11" s="43" t="n">
        <f aca="false">IF(OR($A11="",$C11=""),"",N($F11)*$G11)</f>
        <v>75</v>
      </c>
      <c r="I11" s="34" t="n">
        <f aca="false">IF(OR($A11="",$C11=""),"",IFERROR(MAX(1,INDEX(PRODUCTOS!$G$6:$G$105,MATCH($A11,PRODUCTOS!$A$6:$A$105,0))),1))</f>
        <v>1</v>
      </c>
      <c r="J11" s="43" t="n">
        <f aca="false">IF(OR($A11="",$C11=""),"",$H11/$I11)</f>
        <v>75</v>
      </c>
      <c r="K11" s="34" t="n">
        <f aca="false">IF(OR($A11="",$C11=""),"",SUMIFS(VENTAS!$E$6:$E$2005,VENTAS!$C$6:$C$2005,$A11))</f>
        <v>27</v>
      </c>
      <c r="L11" s="45" t="n">
        <f aca="false">IF(OR($A11="",$C11=""),"",IFERROR(N($F11)/INDEX(INSUMOS!$I$6:$I$205,MATCH($C11,INSUMOS!$A$6:$A$205,0)),N($F11))/$I11*$K11)</f>
        <v>27</v>
      </c>
      <c r="M11" s="8" t="n">
        <f aca="false">IF($A11="","",COUNTIF($A$6:$A11,$A11))</f>
        <v>6</v>
      </c>
      <c r="N11" s="8" t="str">
        <f aca="false">IF($A11="","",$A11&amp;"|"&amp;$M11)</f>
        <v>P001|6</v>
      </c>
    </row>
    <row r="12" customFormat="false" ht="15" hidden="false" customHeight="false" outlineLevel="0" collapsed="false">
      <c r="A12" s="6" t="s">
        <v>350</v>
      </c>
      <c r="B12" s="8" t="str">
        <f aca="false">IF($A12="","",IFERROR(INDEX(PRODUCTOS!$B$6:$B$105,MATCH($A12,PRODUCTOS!$A$6:$A$105,0)),"¿Código?"))</f>
        <v>Fresas con crema Pequeño (8 oz)</v>
      </c>
      <c r="C12" s="6" t="s">
        <v>292</v>
      </c>
      <c r="D12" s="8" t="str">
        <f aca="false">IF($C12="","",IFERROR(INDEX(INSUMOS!$B$6:$B$205,MATCH($C12,INSUMOS!$A$6:$A$205,0)),"¿Código?"))</f>
        <v>Cuchara plástica</v>
      </c>
      <c r="E12" s="8" t="str">
        <f aca="false">IF($C12="","",IFERROR(INDEX(INSUMOS!$D$6:$D$205,MATCH($C12,INSUMOS!$A$6:$A$205,0)),""))</f>
        <v>u</v>
      </c>
      <c r="F12" s="39" t="n">
        <v>1</v>
      </c>
      <c r="G12" s="43" t="n">
        <f aca="false">IF(OR($A12="",$C12=""),"",IFERROR(INDEX(INSUMOS!$P$6:$P$205,MATCH($C12,INSUMOS!$A$6:$A$205,0)),0))</f>
        <v>15</v>
      </c>
      <c r="H12" s="43" t="n">
        <f aca="false">IF(OR($A12="",$C12=""),"",N($F12)*$G12)</f>
        <v>15</v>
      </c>
      <c r="I12" s="34" t="n">
        <f aca="false">IF(OR($A12="",$C12=""),"",IFERROR(MAX(1,INDEX(PRODUCTOS!$G$6:$G$105,MATCH($A12,PRODUCTOS!$A$6:$A$105,0))),1))</f>
        <v>1</v>
      </c>
      <c r="J12" s="43" t="n">
        <f aca="false">IF(OR($A12="",$C12=""),"",$H12/$I12)</f>
        <v>15</v>
      </c>
      <c r="K12" s="34" t="n">
        <f aca="false">IF(OR($A12="",$C12=""),"",SUMIFS(VENTAS!$E$6:$E$2005,VENTAS!$C$6:$C$2005,$A12))</f>
        <v>27</v>
      </c>
      <c r="L12" s="45" t="n">
        <f aca="false">IF(OR($A12="",$C12=""),"",IFERROR(N($F12)/INDEX(INSUMOS!$I$6:$I$205,MATCH($C12,INSUMOS!$A$6:$A$205,0)),N($F12))/$I12*$K12)</f>
        <v>27</v>
      </c>
      <c r="M12" s="8" t="n">
        <f aca="false">IF($A12="","",COUNTIF($A$6:$A12,$A12))</f>
        <v>7</v>
      </c>
      <c r="N12" s="8" t="str">
        <f aca="false">IF($A12="","",$A12&amp;"|"&amp;$M12)</f>
        <v>P001|7</v>
      </c>
    </row>
    <row r="13" customFormat="false" ht="15" hidden="false" customHeight="false" outlineLevel="0" collapsed="false">
      <c r="A13" s="6" t="s">
        <v>350</v>
      </c>
      <c r="B13" s="8" t="str">
        <f aca="false">IF($A13="","",IFERROR(INDEX(PRODUCTOS!$B$6:$B$105,MATCH($A13,PRODUCTOS!$A$6:$A$105,0)),"¿Código?"))</f>
        <v>Fresas con crema Pequeño (8 oz)</v>
      </c>
      <c r="C13" s="6" t="s">
        <v>295</v>
      </c>
      <c r="D13" s="8" t="str">
        <f aca="false">IF($C13="","",IFERROR(INDEX(INSUMOS!$B$6:$B$205,MATCH($C13,INSUMOS!$A$6:$A$205,0)),"¿Código?"))</f>
        <v>Servilleta</v>
      </c>
      <c r="E13" s="8" t="str">
        <f aca="false">IF($C13="","",IFERROR(INDEX(INSUMOS!$D$6:$D$205,MATCH($C13,INSUMOS!$A$6:$A$205,0)),""))</f>
        <v>u</v>
      </c>
      <c r="F13" s="39" t="n">
        <v>1</v>
      </c>
      <c r="G13" s="43" t="n">
        <f aca="false">IF(OR($A13="",$C13=""),"",IFERROR(INDEX(INSUMOS!$P$6:$P$205,MATCH($C13,INSUMOS!$A$6:$A$205,0)),0))</f>
        <v>5</v>
      </c>
      <c r="H13" s="43" t="n">
        <f aca="false">IF(OR($A13="",$C13=""),"",N($F13)*$G13)</f>
        <v>5</v>
      </c>
      <c r="I13" s="34" t="n">
        <f aca="false">IF(OR($A13="",$C13=""),"",IFERROR(MAX(1,INDEX(PRODUCTOS!$G$6:$G$105,MATCH($A13,PRODUCTOS!$A$6:$A$105,0))),1))</f>
        <v>1</v>
      </c>
      <c r="J13" s="43" t="n">
        <f aca="false">IF(OR($A13="",$C13=""),"",$H13/$I13)</f>
        <v>5</v>
      </c>
      <c r="K13" s="34" t="n">
        <f aca="false">IF(OR($A13="",$C13=""),"",SUMIFS(VENTAS!$E$6:$E$2005,VENTAS!$C$6:$C$2005,$A13))</f>
        <v>27</v>
      </c>
      <c r="L13" s="45" t="n">
        <f aca="false">IF(OR($A13="",$C13=""),"",IFERROR(N($F13)/INDEX(INSUMOS!$I$6:$I$205,MATCH($C13,INSUMOS!$A$6:$A$205,0)),N($F13))/$I13*$K13)</f>
        <v>27</v>
      </c>
      <c r="M13" s="8" t="n">
        <f aca="false">IF($A13="","",COUNTIF($A$6:$A13,$A13))</f>
        <v>8</v>
      </c>
      <c r="N13" s="8" t="str">
        <f aca="false">IF($A13="","",$A13&amp;"|"&amp;$M13)</f>
        <v>P001|8</v>
      </c>
    </row>
    <row r="14" customFormat="false" ht="15" hidden="false" customHeight="false" outlineLevel="0" collapsed="false">
      <c r="A14" s="6" t="s">
        <v>351</v>
      </c>
      <c r="B14" s="8" t="str">
        <f aca="false">IF($A14="","",IFERROR(INDEX(PRODUCTOS!$B$6:$B$105,MATCH($A14,PRODUCTOS!$A$6:$A$105,0)),"¿Código?"))</f>
        <v>Fresas con crema Mediano (12 oz)</v>
      </c>
      <c r="C14" s="6" t="s">
        <v>226</v>
      </c>
      <c r="D14" s="8" t="str">
        <f aca="false">IF($C14="","",IFERROR(INDEX(INSUMOS!$B$6:$B$205,MATCH($C14,INSUMOS!$A$6:$A$205,0)),"¿Código?"))</f>
        <v>Fresas frescas</v>
      </c>
      <c r="E14" s="8" t="str">
        <f aca="false">IF($C14="","",IFERROR(INDEX(INSUMOS!$D$6:$D$205,MATCH($C14,INSUMOS!$A$6:$A$205,0)),""))</f>
        <v>g</v>
      </c>
      <c r="F14" s="39" t="n">
        <v>140</v>
      </c>
      <c r="G14" s="43" t="n">
        <f aca="false">IF(OR($A14="",$C14=""),"",IFERROR(INDEX(INSUMOS!$P$6:$P$205,MATCH($C14,INSUMOS!$A$6:$A$205,0)),0))</f>
        <v>3.29411764705882</v>
      </c>
      <c r="H14" s="43" t="n">
        <f aca="false">IF(OR($A14="",$C14=""),"",N($F14)*$G14)</f>
        <v>461.176470588235</v>
      </c>
      <c r="I14" s="34" t="n">
        <f aca="false">IF(OR($A14="",$C14=""),"",IFERROR(MAX(1,INDEX(PRODUCTOS!$G$6:$G$105,MATCH($A14,PRODUCTOS!$A$6:$A$105,0))),1))</f>
        <v>1</v>
      </c>
      <c r="J14" s="43" t="n">
        <f aca="false">IF(OR($A14="",$C14=""),"",$H14/$I14)</f>
        <v>461.176470588235</v>
      </c>
      <c r="K14" s="34" t="n">
        <f aca="false">IF(OR($A14="",$C14=""),"",SUMIFS(VENTAS!$E$6:$E$2005,VENTAS!$C$6:$C$2005,$A14))</f>
        <v>40</v>
      </c>
      <c r="L14" s="45" t="n">
        <f aca="false">IF(OR($A14="",$C14=""),"",IFERROR(N($F14)/INDEX(INSUMOS!$I$6:$I$205,MATCH($C14,INSUMOS!$A$6:$A$205,0)),N($F14))/$I14*$K14)</f>
        <v>6588.23529411765</v>
      </c>
      <c r="M14" s="8" t="n">
        <f aca="false">IF($A14="","",COUNTIF($A$6:$A14,$A14))</f>
        <v>1</v>
      </c>
      <c r="N14" s="8" t="str">
        <f aca="false">IF($A14="","",$A14&amp;"|"&amp;$M14)</f>
        <v>P002|1</v>
      </c>
    </row>
    <row r="15" customFormat="false" ht="15" hidden="false" customHeight="false" outlineLevel="0" collapsed="false">
      <c r="A15" s="6" t="s">
        <v>351</v>
      </c>
      <c r="B15" s="8" t="str">
        <f aca="false">IF($A15="","",IFERROR(INDEX(PRODUCTOS!$B$6:$B$105,MATCH($A15,PRODUCTOS!$A$6:$A$105,0)),"¿Código?"))</f>
        <v>Fresas con crema Mediano (12 oz)</v>
      </c>
      <c r="C15" s="6" t="s">
        <v>237</v>
      </c>
      <c r="D15" s="8" t="str">
        <f aca="false">IF($C15="","",IFERROR(INDEX(INSUMOS!$B$6:$B$205,MATCH($C15,INSUMOS!$A$6:$A$205,0)),"¿Código?"))</f>
        <v>Crema dulce</v>
      </c>
      <c r="E15" s="8" t="str">
        <f aca="false">IF($C15="","",IFERROR(INDEX(INSUMOS!$D$6:$D$205,MATCH($C15,INSUMOS!$A$6:$A$205,0)),""))</f>
        <v>ml</v>
      </c>
      <c r="F15" s="39" t="n">
        <v>65</v>
      </c>
      <c r="G15" s="43" t="n">
        <f aca="false">IF(OR($A15="",$C15=""),"",IFERROR(INDEX(INSUMOS!$P$6:$P$205,MATCH($C15,INSUMOS!$A$6:$A$205,0)),0))</f>
        <v>2.55</v>
      </c>
      <c r="H15" s="43" t="n">
        <f aca="false">IF(OR($A15="",$C15=""),"",N($F15)*$G15)</f>
        <v>165.75</v>
      </c>
      <c r="I15" s="34" t="n">
        <f aca="false">IF(OR($A15="",$C15=""),"",IFERROR(MAX(1,INDEX(PRODUCTOS!$G$6:$G$105,MATCH($A15,PRODUCTOS!$A$6:$A$105,0))),1))</f>
        <v>1</v>
      </c>
      <c r="J15" s="43" t="n">
        <f aca="false">IF(OR($A15="",$C15=""),"",$H15/$I15)</f>
        <v>165.75</v>
      </c>
      <c r="K15" s="34" t="n">
        <f aca="false">IF(OR($A15="",$C15=""),"",SUMIFS(VENTAS!$E$6:$E$2005,VENTAS!$C$6:$C$2005,$A15))</f>
        <v>40</v>
      </c>
      <c r="L15" s="45" t="n">
        <f aca="false">IF(OR($A15="",$C15=""),"",IFERROR(N($F15)/INDEX(INSUMOS!$I$6:$I$205,MATCH($C15,INSUMOS!$A$6:$A$205,0)),N($F15))/$I15*$K15)</f>
        <v>2600</v>
      </c>
      <c r="M15" s="8" t="n">
        <f aca="false">IF($A15="","",COUNTIF($A$6:$A15,$A15))</f>
        <v>2</v>
      </c>
      <c r="N15" s="8" t="str">
        <f aca="false">IF($A15="","",$A15&amp;"|"&amp;$M15)</f>
        <v>P002|2</v>
      </c>
    </row>
    <row r="16" customFormat="false" ht="15" hidden="false" customHeight="false" outlineLevel="0" collapsed="false">
      <c r="A16" s="6" t="s">
        <v>351</v>
      </c>
      <c r="B16" s="8" t="str">
        <f aca="false">IF($A16="","",IFERROR(INDEX(PRODUCTOS!$B$6:$B$105,MATCH($A16,PRODUCTOS!$A$6:$A$105,0)),"¿Código?"))</f>
        <v>Fresas con crema Mediano (12 oz)</v>
      </c>
      <c r="C16" s="6" t="s">
        <v>241</v>
      </c>
      <c r="D16" s="8" t="str">
        <f aca="false">IF($C16="","",IFERROR(INDEX(INSUMOS!$B$6:$B$205,MATCH($C16,INSUMOS!$A$6:$A$205,0)),"¿Código?"))</f>
        <v>Leche condensada</v>
      </c>
      <c r="E16" s="8" t="str">
        <f aca="false">IF($C16="","",IFERROR(INDEX(INSUMOS!$D$6:$D$205,MATCH($C16,INSUMOS!$A$6:$A$205,0)),""))</f>
        <v>g</v>
      </c>
      <c r="F16" s="39" t="n">
        <v>30</v>
      </c>
      <c r="G16" s="43" t="n">
        <f aca="false">IF(OR($A16="",$C16=""),"",IFERROR(INDEX(INSUMOS!$P$6:$P$205,MATCH($C16,INSUMOS!$A$6:$A$205,0)),0))</f>
        <v>3.24599444285751</v>
      </c>
      <c r="H16" s="43" t="n">
        <f aca="false">IF(OR($A16="",$C16=""),"",N($F16)*$G16)</f>
        <v>97.3798332857254</v>
      </c>
      <c r="I16" s="34" t="n">
        <f aca="false">IF(OR($A16="",$C16=""),"",IFERROR(MAX(1,INDEX(PRODUCTOS!$G$6:$G$105,MATCH($A16,PRODUCTOS!$A$6:$A$105,0))),1))</f>
        <v>1</v>
      </c>
      <c r="J16" s="43" t="n">
        <f aca="false">IF(OR($A16="",$C16=""),"",$H16/$I16)</f>
        <v>97.3798332857254</v>
      </c>
      <c r="K16" s="34" t="n">
        <f aca="false">IF(OR($A16="",$C16=""),"",SUMIFS(VENTAS!$E$6:$E$2005,VENTAS!$C$6:$C$2005,$A16))</f>
        <v>40</v>
      </c>
      <c r="L16" s="45" t="n">
        <f aca="false">IF(OR($A16="",$C16=""),"",IFERROR(N($F16)/INDEX(INSUMOS!$I$6:$I$205,MATCH($C16,INSUMOS!$A$6:$A$205,0)),N($F16))/$I16*$K16)</f>
        <v>1237.11340206186</v>
      </c>
      <c r="M16" s="8" t="n">
        <f aca="false">IF($A16="","",COUNTIF($A$6:$A16,$A16))</f>
        <v>3</v>
      </c>
      <c r="N16" s="8" t="str">
        <f aca="false">IF($A16="","",$A16&amp;"|"&amp;$M16)</f>
        <v>P002|3</v>
      </c>
    </row>
    <row r="17" customFormat="false" ht="15" hidden="false" customHeight="false" outlineLevel="0" collapsed="false">
      <c r="A17" s="6" t="s">
        <v>351</v>
      </c>
      <c r="B17" s="8" t="str">
        <f aca="false">IF($A17="","",IFERROR(INDEX(PRODUCTOS!$B$6:$B$105,MATCH($A17,PRODUCTOS!$A$6:$A$105,0)),"¿Código?"))</f>
        <v>Fresas con crema Mediano (12 oz)</v>
      </c>
      <c r="C17" s="6" t="s">
        <v>245</v>
      </c>
      <c r="D17" s="8" t="str">
        <f aca="false">IF($C17="","",IFERROR(INDEX(INSUMOS!$B$6:$B$205,MATCH($C17,INSUMOS!$A$6:$A$205,0)),"¿Código?"))</f>
        <v>Esencia de vainilla</v>
      </c>
      <c r="E17" s="8" t="str">
        <f aca="false">IF($C17="","",IFERROR(INDEX(INSUMOS!$D$6:$D$205,MATCH($C17,INSUMOS!$A$6:$A$205,0)),""))</f>
        <v>ml</v>
      </c>
      <c r="F17" s="39" t="n">
        <v>1.5</v>
      </c>
      <c r="G17" s="43" t="n">
        <f aca="false">IF(OR($A17="",$C17=""),"",IFERROR(INDEX(INSUMOS!$P$6:$P$205,MATCH($C17,INSUMOS!$A$6:$A$205,0)),0))</f>
        <v>7.2</v>
      </c>
      <c r="H17" s="43" t="n">
        <f aca="false">IF(OR($A17="",$C17=""),"",N($F17)*$G17)</f>
        <v>10.8</v>
      </c>
      <c r="I17" s="34" t="n">
        <f aca="false">IF(OR($A17="",$C17=""),"",IFERROR(MAX(1,INDEX(PRODUCTOS!$G$6:$G$105,MATCH($A17,PRODUCTOS!$A$6:$A$105,0))),1))</f>
        <v>1</v>
      </c>
      <c r="J17" s="43" t="n">
        <f aca="false">IF(OR($A17="",$C17=""),"",$H17/$I17)</f>
        <v>10.8</v>
      </c>
      <c r="K17" s="34" t="n">
        <f aca="false">IF(OR($A17="",$C17=""),"",SUMIFS(VENTAS!$E$6:$E$2005,VENTAS!$C$6:$C$2005,$A17))</f>
        <v>40</v>
      </c>
      <c r="L17" s="45" t="n">
        <f aca="false">IF(OR($A17="",$C17=""),"",IFERROR(N($F17)/INDEX(INSUMOS!$I$6:$I$205,MATCH($C17,INSUMOS!$A$6:$A$205,0)),N($F17))/$I17*$K17)</f>
        <v>60</v>
      </c>
      <c r="M17" s="8" t="n">
        <f aca="false">IF($A17="","",COUNTIF($A$6:$A17,$A17))</f>
        <v>4</v>
      </c>
      <c r="N17" s="8" t="str">
        <f aca="false">IF($A17="","",$A17&amp;"|"&amp;$M17)</f>
        <v>P002|4</v>
      </c>
    </row>
    <row r="18" customFormat="false" ht="15" hidden="false" customHeight="false" outlineLevel="0" collapsed="false">
      <c r="A18" s="6" t="s">
        <v>351</v>
      </c>
      <c r="B18" s="8" t="str">
        <f aca="false">IF($A18="","",IFERROR(INDEX(PRODUCTOS!$B$6:$B$105,MATCH($A18,PRODUCTOS!$A$6:$A$105,0)),"¿Código?"))</f>
        <v>Fresas con crema Mediano (12 oz)</v>
      </c>
      <c r="C18" s="6" t="s">
        <v>251</v>
      </c>
      <c r="D18" s="8" t="str">
        <f aca="false">IF($C18="","",IFERROR(INDEX(INSUMOS!$B$6:$B$205,MATCH($C18,INSUMOS!$A$6:$A$205,0)),"¿Código?"))</f>
        <v>Galleta Oreo triturada</v>
      </c>
      <c r="E18" s="8" t="str">
        <f aca="false">IF($C18="","",IFERROR(INDEX(INSUMOS!$D$6:$D$205,MATCH($C18,INSUMOS!$A$6:$A$205,0)),""))</f>
        <v>g</v>
      </c>
      <c r="F18" s="39" t="n">
        <v>15</v>
      </c>
      <c r="G18" s="43" t="n">
        <f aca="false">IF(OR($A18="",$C18=""),"",IFERROR(INDEX(INSUMOS!$P$6:$P$205,MATCH($C18,INSUMOS!$A$6:$A$205,0)),0))</f>
        <v>6.33528265107212</v>
      </c>
      <c r="H18" s="43" t="n">
        <f aca="false">IF(OR($A18="",$C18=""),"",N($F18)*$G18)</f>
        <v>95.0292397660819</v>
      </c>
      <c r="I18" s="34" t="n">
        <f aca="false">IF(OR($A18="",$C18=""),"",IFERROR(MAX(1,INDEX(PRODUCTOS!$G$6:$G$105,MATCH($A18,PRODUCTOS!$A$6:$A$105,0))),1))</f>
        <v>1</v>
      </c>
      <c r="J18" s="43" t="n">
        <f aca="false">IF(OR($A18="",$C18=""),"",$H18/$I18)</f>
        <v>95.0292397660819</v>
      </c>
      <c r="K18" s="34" t="n">
        <f aca="false">IF(OR($A18="",$C18=""),"",SUMIFS(VENTAS!$E$6:$E$2005,VENTAS!$C$6:$C$2005,$A18))</f>
        <v>40</v>
      </c>
      <c r="L18" s="45" t="n">
        <f aca="false">IF(OR($A18="",$C18=""),"",IFERROR(N($F18)/INDEX(INSUMOS!$I$6:$I$205,MATCH($C18,INSUMOS!$A$6:$A$205,0)),N($F18))/$I18*$K18)</f>
        <v>631.578947368421</v>
      </c>
      <c r="M18" s="8" t="n">
        <f aca="false">IF($A18="","",COUNTIF($A$6:$A18,$A18))</f>
        <v>5</v>
      </c>
      <c r="N18" s="8" t="str">
        <f aca="false">IF($A18="","",$A18&amp;"|"&amp;$M18)</f>
        <v>P002|5</v>
      </c>
    </row>
    <row r="19" customFormat="false" ht="15" hidden="false" customHeight="false" outlineLevel="0" collapsed="false">
      <c r="A19" s="6" t="s">
        <v>351</v>
      </c>
      <c r="B19" s="8" t="str">
        <f aca="false">IF($A19="","",IFERROR(INDEX(PRODUCTOS!$B$6:$B$105,MATCH($A19,PRODUCTOS!$A$6:$A$105,0)),"¿Código?"))</f>
        <v>Fresas con crema Mediano (12 oz)</v>
      </c>
      <c r="C19" s="6" t="s">
        <v>263</v>
      </c>
      <c r="D19" s="8" t="str">
        <f aca="false">IF($C19="","",IFERROR(INDEX(INSUMOS!$B$6:$B$205,MATCH($C19,INSUMOS!$A$6:$A$205,0)),"¿Código?"))</f>
        <v>Granola</v>
      </c>
      <c r="E19" s="8" t="str">
        <f aca="false">IF($C19="","",IFERROR(INDEX(INSUMOS!$D$6:$D$205,MATCH($C19,INSUMOS!$A$6:$A$205,0)),""))</f>
        <v>g</v>
      </c>
      <c r="F19" s="39" t="n">
        <v>15</v>
      </c>
      <c r="G19" s="43" t="n">
        <f aca="false">IF(OR($A19="",$C19=""),"",IFERROR(INDEX(INSUMOS!$P$6:$P$205,MATCH($C19,INSUMOS!$A$6:$A$205,0)),0))</f>
        <v>4.2</v>
      </c>
      <c r="H19" s="43" t="n">
        <f aca="false">IF(OR($A19="",$C19=""),"",N($F19)*$G19)</f>
        <v>63</v>
      </c>
      <c r="I19" s="34" t="n">
        <f aca="false">IF(OR($A19="",$C19=""),"",IFERROR(MAX(1,INDEX(PRODUCTOS!$G$6:$G$105,MATCH($A19,PRODUCTOS!$A$6:$A$105,0))),1))</f>
        <v>1</v>
      </c>
      <c r="J19" s="43" t="n">
        <f aca="false">IF(OR($A19="",$C19=""),"",$H19/$I19)</f>
        <v>63</v>
      </c>
      <c r="K19" s="34" t="n">
        <f aca="false">IF(OR($A19="",$C19=""),"",SUMIFS(VENTAS!$E$6:$E$2005,VENTAS!$C$6:$C$2005,$A19))</f>
        <v>40</v>
      </c>
      <c r="L19" s="45" t="n">
        <f aca="false">IF(OR($A19="",$C19=""),"",IFERROR(N($F19)/INDEX(INSUMOS!$I$6:$I$205,MATCH($C19,INSUMOS!$A$6:$A$205,0)),N($F19))/$I19*$K19)</f>
        <v>600</v>
      </c>
      <c r="M19" s="8" t="n">
        <f aca="false">IF($A19="","",COUNTIF($A$6:$A19,$A19))</f>
        <v>6</v>
      </c>
      <c r="N19" s="8" t="str">
        <f aca="false">IF($A19="","",$A19&amp;"|"&amp;$M19)</f>
        <v>P002|6</v>
      </c>
    </row>
    <row r="20" customFormat="false" ht="15" hidden="false" customHeight="false" outlineLevel="0" collapsed="false">
      <c r="A20" s="6" t="s">
        <v>351</v>
      </c>
      <c r="B20" s="8" t="str">
        <f aca="false">IF($A20="","",IFERROR(INDEX(PRODUCTOS!$B$6:$B$105,MATCH($A20,PRODUCTOS!$A$6:$A$105,0)),"¿Código?"))</f>
        <v>Fresas con crema Mediano (12 oz)</v>
      </c>
      <c r="C20" s="6" t="s">
        <v>286</v>
      </c>
      <c r="D20" s="8" t="str">
        <f aca="false">IF($C20="","",IFERROR(INDEX(INSUMOS!$B$6:$B$205,MATCH($C20,INSUMOS!$A$6:$A$205,0)),"¿Código?"))</f>
        <v>Vaso 12 oz con tapa</v>
      </c>
      <c r="E20" s="8" t="str">
        <f aca="false">IF($C20="","",IFERROR(INDEX(INSUMOS!$D$6:$D$205,MATCH($C20,INSUMOS!$A$6:$A$205,0)),""))</f>
        <v>u</v>
      </c>
      <c r="F20" s="39" t="n">
        <v>1</v>
      </c>
      <c r="G20" s="43" t="n">
        <f aca="false">IF(OR($A20="",$C20=""),"",IFERROR(INDEX(INSUMOS!$P$6:$P$205,MATCH($C20,INSUMOS!$A$6:$A$205,0)),0))</f>
        <v>90</v>
      </c>
      <c r="H20" s="43" t="n">
        <f aca="false">IF(OR($A20="",$C20=""),"",N($F20)*$G20)</f>
        <v>90</v>
      </c>
      <c r="I20" s="34" t="n">
        <f aca="false">IF(OR($A20="",$C20=""),"",IFERROR(MAX(1,INDEX(PRODUCTOS!$G$6:$G$105,MATCH($A20,PRODUCTOS!$A$6:$A$105,0))),1))</f>
        <v>1</v>
      </c>
      <c r="J20" s="43" t="n">
        <f aca="false">IF(OR($A20="",$C20=""),"",$H20/$I20)</f>
        <v>90</v>
      </c>
      <c r="K20" s="34" t="n">
        <f aca="false">IF(OR($A20="",$C20=""),"",SUMIFS(VENTAS!$E$6:$E$2005,VENTAS!$C$6:$C$2005,$A20))</f>
        <v>40</v>
      </c>
      <c r="L20" s="45" t="n">
        <f aca="false">IF(OR($A20="",$C20=""),"",IFERROR(N($F20)/INDEX(INSUMOS!$I$6:$I$205,MATCH($C20,INSUMOS!$A$6:$A$205,0)),N($F20))/$I20*$K20)</f>
        <v>40</v>
      </c>
      <c r="M20" s="8" t="n">
        <f aca="false">IF($A20="","",COUNTIF($A$6:$A20,$A20))</f>
        <v>7</v>
      </c>
      <c r="N20" s="8" t="str">
        <f aca="false">IF($A20="","",$A20&amp;"|"&amp;$M20)</f>
        <v>P002|7</v>
      </c>
    </row>
    <row r="21" customFormat="false" ht="15" hidden="false" customHeight="false" outlineLevel="0" collapsed="false">
      <c r="A21" s="6" t="s">
        <v>351</v>
      </c>
      <c r="B21" s="8" t="str">
        <f aca="false">IF($A21="","",IFERROR(INDEX(PRODUCTOS!$B$6:$B$105,MATCH($A21,PRODUCTOS!$A$6:$A$105,0)),"¿Código?"))</f>
        <v>Fresas con crema Mediano (12 oz)</v>
      </c>
      <c r="C21" s="6" t="s">
        <v>292</v>
      </c>
      <c r="D21" s="8" t="str">
        <f aca="false">IF($C21="","",IFERROR(INDEX(INSUMOS!$B$6:$B$205,MATCH($C21,INSUMOS!$A$6:$A$205,0)),"¿Código?"))</f>
        <v>Cuchara plástica</v>
      </c>
      <c r="E21" s="8" t="str">
        <f aca="false">IF($C21="","",IFERROR(INDEX(INSUMOS!$D$6:$D$205,MATCH($C21,INSUMOS!$A$6:$A$205,0)),""))</f>
        <v>u</v>
      </c>
      <c r="F21" s="39" t="n">
        <v>1</v>
      </c>
      <c r="G21" s="43" t="n">
        <f aca="false">IF(OR($A21="",$C21=""),"",IFERROR(INDEX(INSUMOS!$P$6:$P$205,MATCH($C21,INSUMOS!$A$6:$A$205,0)),0))</f>
        <v>15</v>
      </c>
      <c r="H21" s="43" t="n">
        <f aca="false">IF(OR($A21="",$C21=""),"",N($F21)*$G21)</f>
        <v>15</v>
      </c>
      <c r="I21" s="34" t="n">
        <f aca="false">IF(OR($A21="",$C21=""),"",IFERROR(MAX(1,INDEX(PRODUCTOS!$G$6:$G$105,MATCH($A21,PRODUCTOS!$A$6:$A$105,0))),1))</f>
        <v>1</v>
      </c>
      <c r="J21" s="43" t="n">
        <f aca="false">IF(OR($A21="",$C21=""),"",$H21/$I21)</f>
        <v>15</v>
      </c>
      <c r="K21" s="34" t="n">
        <f aca="false">IF(OR($A21="",$C21=""),"",SUMIFS(VENTAS!$E$6:$E$2005,VENTAS!$C$6:$C$2005,$A21))</f>
        <v>40</v>
      </c>
      <c r="L21" s="45" t="n">
        <f aca="false">IF(OR($A21="",$C21=""),"",IFERROR(N($F21)/INDEX(INSUMOS!$I$6:$I$205,MATCH($C21,INSUMOS!$A$6:$A$205,0)),N($F21))/$I21*$K21)</f>
        <v>40</v>
      </c>
      <c r="M21" s="8" t="n">
        <f aca="false">IF($A21="","",COUNTIF($A$6:$A21,$A21))</f>
        <v>8</v>
      </c>
      <c r="N21" s="8" t="str">
        <f aca="false">IF($A21="","",$A21&amp;"|"&amp;$M21)</f>
        <v>P002|8</v>
      </c>
    </row>
    <row r="22" customFormat="false" ht="15" hidden="false" customHeight="false" outlineLevel="0" collapsed="false">
      <c r="A22" s="6" t="s">
        <v>351</v>
      </c>
      <c r="B22" s="8" t="str">
        <f aca="false">IF($A22="","",IFERROR(INDEX(PRODUCTOS!$B$6:$B$105,MATCH($A22,PRODUCTOS!$A$6:$A$105,0)),"¿Código?"))</f>
        <v>Fresas con crema Mediano (12 oz)</v>
      </c>
      <c r="C22" s="6" t="s">
        <v>295</v>
      </c>
      <c r="D22" s="8" t="str">
        <f aca="false">IF($C22="","",IFERROR(INDEX(INSUMOS!$B$6:$B$205,MATCH($C22,INSUMOS!$A$6:$A$205,0)),"¿Código?"))</f>
        <v>Servilleta</v>
      </c>
      <c r="E22" s="8" t="str">
        <f aca="false">IF($C22="","",IFERROR(INDEX(INSUMOS!$D$6:$D$205,MATCH($C22,INSUMOS!$A$6:$A$205,0)),""))</f>
        <v>u</v>
      </c>
      <c r="F22" s="39" t="n">
        <v>1</v>
      </c>
      <c r="G22" s="43" t="n">
        <f aca="false">IF(OR($A22="",$C22=""),"",IFERROR(INDEX(INSUMOS!$P$6:$P$205,MATCH($C22,INSUMOS!$A$6:$A$205,0)),0))</f>
        <v>5</v>
      </c>
      <c r="H22" s="43" t="n">
        <f aca="false">IF(OR($A22="",$C22=""),"",N($F22)*$G22)</f>
        <v>5</v>
      </c>
      <c r="I22" s="34" t="n">
        <f aca="false">IF(OR($A22="",$C22=""),"",IFERROR(MAX(1,INDEX(PRODUCTOS!$G$6:$G$105,MATCH($A22,PRODUCTOS!$A$6:$A$105,0))),1))</f>
        <v>1</v>
      </c>
      <c r="J22" s="43" t="n">
        <f aca="false">IF(OR($A22="",$C22=""),"",$H22/$I22)</f>
        <v>5</v>
      </c>
      <c r="K22" s="34" t="n">
        <f aca="false">IF(OR($A22="",$C22=""),"",SUMIFS(VENTAS!$E$6:$E$2005,VENTAS!$C$6:$C$2005,$A22))</f>
        <v>40</v>
      </c>
      <c r="L22" s="45" t="n">
        <f aca="false">IF(OR($A22="",$C22=""),"",IFERROR(N($F22)/INDEX(INSUMOS!$I$6:$I$205,MATCH($C22,INSUMOS!$A$6:$A$205,0)),N($F22))/$I22*$K22)</f>
        <v>40</v>
      </c>
      <c r="M22" s="8" t="n">
        <f aca="false">IF($A22="","",COUNTIF($A$6:$A22,$A22))</f>
        <v>9</v>
      </c>
      <c r="N22" s="8" t="str">
        <f aca="false">IF($A22="","",$A22&amp;"|"&amp;$M22)</f>
        <v>P002|9</v>
      </c>
    </row>
    <row r="23" customFormat="false" ht="15" hidden="false" customHeight="false" outlineLevel="0" collapsed="false">
      <c r="A23" s="6" t="s">
        <v>352</v>
      </c>
      <c r="B23" s="8" t="str">
        <f aca="false">IF($A23="","",IFERROR(INDEX(PRODUCTOS!$B$6:$B$105,MATCH($A23,PRODUCTOS!$A$6:$A$105,0)),"¿Código?"))</f>
        <v>Fresas con crema Grande (16 oz)</v>
      </c>
      <c r="C23" s="6" t="s">
        <v>226</v>
      </c>
      <c r="D23" s="8" t="str">
        <f aca="false">IF($C23="","",IFERROR(INDEX(INSUMOS!$B$6:$B$205,MATCH($C23,INSUMOS!$A$6:$A$205,0)),"¿Código?"))</f>
        <v>Fresas frescas</v>
      </c>
      <c r="E23" s="8" t="str">
        <f aca="false">IF($C23="","",IFERROR(INDEX(INSUMOS!$D$6:$D$205,MATCH($C23,INSUMOS!$A$6:$A$205,0)),""))</f>
        <v>g</v>
      </c>
      <c r="F23" s="39" t="n">
        <v>220</v>
      </c>
      <c r="G23" s="43" t="n">
        <f aca="false">IF(OR($A23="",$C23=""),"",IFERROR(INDEX(INSUMOS!$P$6:$P$205,MATCH($C23,INSUMOS!$A$6:$A$205,0)),0))</f>
        <v>3.29411764705882</v>
      </c>
      <c r="H23" s="43" t="n">
        <f aca="false">IF(OR($A23="",$C23=""),"",N($F23)*$G23)</f>
        <v>724.705882352941</v>
      </c>
      <c r="I23" s="34" t="n">
        <f aca="false">IF(OR($A23="",$C23=""),"",IFERROR(MAX(1,INDEX(PRODUCTOS!$G$6:$G$105,MATCH($A23,PRODUCTOS!$A$6:$A$105,0))),1))</f>
        <v>1</v>
      </c>
      <c r="J23" s="43" t="n">
        <f aca="false">IF(OR($A23="",$C23=""),"",$H23/$I23)</f>
        <v>724.705882352941</v>
      </c>
      <c r="K23" s="34" t="n">
        <f aca="false">IF(OR($A23="",$C23=""),"",SUMIFS(VENTAS!$E$6:$E$2005,VENTAS!$C$6:$C$2005,$A23))</f>
        <v>20</v>
      </c>
      <c r="L23" s="45" t="n">
        <f aca="false">IF(OR($A23="",$C23=""),"",IFERROR(N($F23)/INDEX(INSUMOS!$I$6:$I$205,MATCH($C23,INSUMOS!$A$6:$A$205,0)),N($F23))/$I23*$K23)</f>
        <v>5176.47058823529</v>
      </c>
      <c r="M23" s="8" t="n">
        <f aca="false">IF($A23="","",COUNTIF($A$6:$A23,$A23))</f>
        <v>1</v>
      </c>
      <c r="N23" s="8" t="str">
        <f aca="false">IF($A23="","",$A23&amp;"|"&amp;$M23)</f>
        <v>P003|1</v>
      </c>
    </row>
    <row r="24" customFormat="false" ht="15" hidden="false" customHeight="false" outlineLevel="0" collapsed="false">
      <c r="A24" s="6" t="s">
        <v>352</v>
      </c>
      <c r="B24" s="8" t="str">
        <f aca="false">IF($A24="","",IFERROR(INDEX(PRODUCTOS!$B$6:$B$105,MATCH($A24,PRODUCTOS!$A$6:$A$105,0)),"¿Código?"))</f>
        <v>Fresas con crema Grande (16 oz)</v>
      </c>
      <c r="C24" s="6" t="s">
        <v>237</v>
      </c>
      <c r="D24" s="8" t="str">
        <f aca="false">IF($C24="","",IFERROR(INDEX(INSUMOS!$B$6:$B$205,MATCH($C24,INSUMOS!$A$6:$A$205,0)),"¿Código?"))</f>
        <v>Crema dulce</v>
      </c>
      <c r="E24" s="8" t="str">
        <f aca="false">IF($C24="","",IFERROR(INDEX(INSUMOS!$D$6:$D$205,MATCH($C24,INSUMOS!$A$6:$A$205,0)),""))</f>
        <v>ml</v>
      </c>
      <c r="F24" s="39" t="n">
        <v>100</v>
      </c>
      <c r="G24" s="43" t="n">
        <f aca="false">IF(OR($A24="",$C24=""),"",IFERROR(INDEX(INSUMOS!$P$6:$P$205,MATCH($C24,INSUMOS!$A$6:$A$205,0)),0))</f>
        <v>2.55</v>
      </c>
      <c r="H24" s="43" t="n">
        <f aca="false">IF(OR($A24="",$C24=""),"",N($F24)*$G24)</f>
        <v>255</v>
      </c>
      <c r="I24" s="34" t="n">
        <f aca="false">IF(OR($A24="",$C24=""),"",IFERROR(MAX(1,INDEX(PRODUCTOS!$G$6:$G$105,MATCH($A24,PRODUCTOS!$A$6:$A$105,0))),1))</f>
        <v>1</v>
      </c>
      <c r="J24" s="43" t="n">
        <f aca="false">IF(OR($A24="",$C24=""),"",$H24/$I24)</f>
        <v>255</v>
      </c>
      <c r="K24" s="34" t="n">
        <f aca="false">IF(OR($A24="",$C24=""),"",SUMIFS(VENTAS!$E$6:$E$2005,VENTAS!$C$6:$C$2005,$A24))</f>
        <v>20</v>
      </c>
      <c r="L24" s="45" t="n">
        <f aca="false">IF(OR($A24="",$C24=""),"",IFERROR(N($F24)/INDEX(INSUMOS!$I$6:$I$205,MATCH($C24,INSUMOS!$A$6:$A$205,0)),N($F24))/$I24*$K24)</f>
        <v>2000</v>
      </c>
      <c r="M24" s="8" t="n">
        <f aca="false">IF($A24="","",COUNTIF($A$6:$A24,$A24))</f>
        <v>2</v>
      </c>
      <c r="N24" s="8" t="str">
        <f aca="false">IF($A24="","",$A24&amp;"|"&amp;$M24)</f>
        <v>P003|2</v>
      </c>
    </row>
    <row r="25" customFormat="false" ht="15" hidden="false" customHeight="false" outlineLevel="0" collapsed="false">
      <c r="A25" s="6" t="s">
        <v>352</v>
      </c>
      <c r="B25" s="8" t="str">
        <f aca="false">IF($A25="","",IFERROR(INDEX(PRODUCTOS!$B$6:$B$105,MATCH($A25,PRODUCTOS!$A$6:$A$105,0)),"¿Código?"))</f>
        <v>Fresas con crema Grande (16 oz)</v>
      </c>
      <c r="C25" s="6" t="s">
        <v>241</v>
      </c>
      <c r="D25" s="8" t="str">
        <f aca="false">IF($C25="","",IFERROR(INDEX(INSUMOS!$B$6:$B$205,MATCH($C25,INSUMOS!$A$6:$A$205,0)),"¿Código?"))</f>
        <v>Leche condensada</v>
      </c>
      <c r="E25" s="8" t="str">
        <f aca="false">IF($C25="","",IFERROR(INDEX(INSUMOS!$D$6:$D$205,MATCH($C25,INSUMOS!$A$6:$A$205,0)),""))</f>
        <v>g</v>
      </c>
      <c r="F25" s="39" t="n">
        <v>45</v>
      </c>
      <c r="G25" s="43" t="n">
        <f aca="false">IF(OR($A25="",$C25=""),"",IFERROR(INDEX(INSUMOS!$P$6:$P$205,MATCH($C25,INSUMOS!$A$6:$A$205,0)),0))</f>
        <v>3.24599444285751</v>
      </c>
      <c r="H25" s="43" t="n">
        <f aca="false">IF(OR($A25="",$C25=""),"",N($F25)*$G25)</f>
        <v>146.069749928588</v>
      </c>
      <c r="I25" s="34" t="n">
        <f aca="false">IF(OR($A25="",$C25=""),"",IFERROR(MAX(1,INDEX(PRODUCTOS!$G$6:$G$105,MATCH($A25,PRODUCTOS!$A$6:$A$105,0))),1))</f>
        <v>1</v>
      </c>
      <c r="J25" s="43" t="n">
        <f aca="false">IF(OR($A25="",$C25=""),"",$H25/$I25)</f>
        <v>146.069749928588</v>
      </c>
      <c r="K25" s="34" t="n">
        <f aca="false">IF(OR($A25="",$C25=""),"",SUMIFS(VENTAS!$E$6:$E$2005,VENTAS!$C$6:$C$2005,$A25))</f>
        <v>20</v>
      </c>
      <c r="L25" s="45" t="n">
        <f aca="false">IF(OR($A25="",$C25=""),"",IFERROR(N($F25)/INDEX(INSUMOS!$I$6:$I$205,MATCH($C25,INSUMOS!$A$6:$A$205,0)),N($F25))/$I25*$K25)</f>
        <v>927.835051546392</v>
      </c>
      <c r="M25" s="8" t="n">
        <f aca="false">IF($A25="","",COUNTIF($A$6:$A25,$A25))</f>
        <v>3</v>
      </c>
      <c r="N25" s="8" t="str">
        <f aca="false">IF($A25="","",$A25&amp;"|"&amp;$M25)</f>
        <v>P003|3</v>
      </c>
    </row>
    <row r="26" customFormat="false" ht="15" hidden="false" customHeight="false" outlineLevel="0" collapsed="false">
      <c r="A26" s="6" t="s">
        <v>352</v>
      </c>
      <c r="B26" s="8" t="str">
        <f aca="false">IF($A26="","",IFERROR(INDEX(PRODUCTOS!$B$6:$B$105,MATCH($A26,PRODUCTOS!$A$6:$A$105,0)),"¿Código?"))</f>
        <v>Fresas con crema Grande (16 oz)</v>
      </c>
      <c r="C26" s="6" t="s">
        <v>245</v>
      </c>
      <c r="D26" s="8" t="str">
        <f aca="false">IF($C26="","",IFERROR(INDEX(INSUMOS!$B$6:$B$205,MATCH($C26,INSUMOS!$A$6:$A$205,0)),"¿Código?"))</f>
        <v>Esencia de vainilla</v>
      </c>
      <c r="E26" s="8" t="str">
        <f aca="false">IF($C26="","",IFERROR(INDEX(INSUMOS!$D$6:$D$205,MATCH($C26,INSUMOS!$A$6:$A$205,0)),""))</f>
        <v>ml</v>
      </c>
      <c r="F26" s="39" t="n">
        <v>2</v>
      </c>
      <c r="G26" s="43" t="n">
        <f aca="false">IF(OR($A26="",$C26=""),"",IFERROR(INDEX(INSUMOS!$P$6:$P$205,MATCH($C26,INSUMOS!$A$6:$A$205,0)),0))</f>
        <v>7.2</v>
      </c>
      <c r="H26" s="43" t="n">
        <f aca="false">IF(OR($A26="",$C26=""),"",N($F26)*$G26)</f>
        <v>14.4</v>
      </c>
      <c r="I26" s="34" t="n">
        <f aca="false">IF(OR($A26="",$C26=""),"",IFERROR(MAX(1,INDEX(PRODUCTOS!$G$6:$G$105,MATCH($A26,PRODUCTOS!$A$6:$A$105,0))),1))</f>
        <v>1</v>
      </c>
      <c r="J26" s="43" t="n">
        <f aca="false">IF(OR($A26="",$C26=""),"",$H26/$I26)</f>
        <v>14.4</v>
      </c>
      <c r="K26" s="34" t="n">
        <f aca="false">IF(OR($A26="",$C26=""),"",SUMIFS(VENTAS!$E$6:$E$2005,VENTAS!$C$6:$C$2005,$A26))</f>
        <v>20</v>
      </c>
      <c r="L26" s="45" t="n">
        <f aca="false">IF(OR($A26="",$C26=""),"",IFERROR(N($F26)/INDEX(INSUMOS!$I$6:$I$205,MATCH($C26,INSUMOS!$A$6:$A$205,0)),N($F26))/$I26*$K26)</f>
        <v>40</v>
      </c>
      <c r="M26" s="8" t="n">
        <f aca="false">IF($A26="","",COUNTIF($A$6:$A26,$A26))</f>
        <v>4</v>
      </c>
      <c r="N26" s="8" t="str">
        <f aca="false">IF($A26="","",$A26&amp;"|"&amp;$M26)</f>
        <v>P003|4</v>
      </c>
    </row>
    <row r="27" customFormat="false" ht="15" hidden="false" customHeight="false" outlineLevel="0" collapsed="false">
      <c r="A27" s="6" t="s">
        <v>352</v>
      </c>
      <c r="B27" s="8" t="str">
        <f aca="false">IF($A27="","",IFERROR(INDEX(PRODUCTOS!$B$6:$B$105,MATCH($A27,PRODUCTOS!$A$6:$A$105,0)),"¿Código?"))</f>
        <v>Fresas con crema Grande (16 oz)</v>
      </c>
      <c r="C27" s="6" t="s">
        <v>251</v>
      </c>
      <c r="D27" s="8" t="str">
        <f aca="false">IF($C27="","",IFERROR(INDEX(INSUMOS!$B$6:$B$205,MATCH($C27,INSUMOS!$A$6:$A$205,0)),"¿Código?"))</f>
        <v>Galleta Oreo triturada</v>
      </c>
      <c r="E27" s="8" t="str">
        <f aca="false">IF($C27="","",IFERROR(INDEX(INSUMOS!$D$6:$D$205,MATCH($C27,INSUMOS!$A$6:$A$205,0)),""))</f>
        <v>g</v>
      </c>
      <c r="F27" s="39" t="n">
        <v>20</v>
      </c>
      <c r="G27" s="43" t="n">
        <f aca="false">IF(OR($A27="",$C27=""),"",IFERROR(INDEX(INSUMOS!$P$6:$P$205,MATCH($C27,INSUMOS!$A$6:$A$205,0)),0))</f>
        <v>6.33528265107212</v>
      </c>
      <c r="H27" s="43" t="n">
        <f aca="false">IF(OR($A27="",$C27=""),"",N($F27)*$G27)</f>
        <v>126.705653021442</v>
      </c>
      <c r="I27" s="34" t="n">
        <f aca="false">IF(OR($A27="",$C27=""),"",IFERROR(MAX(1,INDEX(PRODUCTOS!$G$6:$G$105,MATCH($A27,PRODUCTOS!$A$6:$A$105,0))),1))</f>
        <v>1</v>
      </c>
      <c r="J27" s="43" t="n">
        <f aca="false">IF(OR($A27="",$C27=""),"",$H27/$I27)</f>
        <v>126.705653021442</v>
      </c>
      <c r="K27" s="34" t="n">
        <f aca="false">IF(OR($A27="",$C27=""),"",SUMIFS(VENTAS!$E$6:$E$2005,VENTAS!$C$6:$C$2005,$A27))</f>
        <v>20</v>
      </c>
      <c r="L27" s="45" t="n">
        <f aca="false">IF(OR($A27="",$C27=""),"",IFERROR(N($F27)/INDEX(INSUMOS!$I$6:$I$205,MATCH($C27,INSUMOS!$A$6:$A$205,0)),N($F27))/$I27*$K27)</f>
        <v>421.052631578947</v>
      </c>
      <c r="M27" s="8" t="n">
        <f aca="false">IF($A27="","",COUNTIF($A$6:$A27,$A27))</f>
        <v>5</v>
      </c>
      <c r="N27" s="8" t="str">
        <f aca="false">IF($A27="","",$A27&amp;"|"&amp;$M27)</f>
        <v>P003|5</v>
      </c>
    </row>
    <row r="28" customFormat="false" ht="15" hidden="false" customHeight="false" outlineLevel="0" collapsed="false">
      <c r="A28" s="6" t="s">
        <v>352</v>
      </c>
      <c r="B28" s="8" t="str">
        <f aca="false">IF($A28="","",IFERROR(INDEX(PRODUCTOS!$B$6:$B$105,MATCH($A28,PRODUCTOS!$A$6:$A$105,0)),"¿Código?"))</f>
        <v>Fresas con crema Grande (16 oz)</v>
      </c>
      <c r="C28" s="6" t="s">
        <v>258</v>
      </c>
      <c r="D28" s="8" t="str">
        <f aca="false">IF($C28="","",IFERROR(INDEX(INSUMOS!$B$6:$B$205,MATCH($C28,INSUMOS!$A$6:$A$205,0)),"¿Código?"))</f>
        <v>Marshmallows</v>
      </c>
      <c r="E28" s="8" t="str">
        <f aca="false">IF($C28="","",IFERROR(INDEX(INSUMOS!$D$6:$D$205,MATCH($C28,INSUMOS!$A$6:$A$205,0)),""))</f>
        <v>g</v>
      </c>
      <c r="F28" s="39" t="n">
        <v>15</v>
      </c>
      <c r="G28" s="43" t="n">
        <f aca="false">IF(OR($A28="",$C28=""),"",IFERROR(INDEX(INSUMOS!$P$6:$P$205,MATCH($C28,INSUMOS!$A$6:$A$205,0)),0))</f>
        <v>4.4</v>
      </c>
      <c r="H28" s="43" t="n">
        <f aca="false">IF(OR($A28="",$C28=""),"",N($F28)*$G28)</f>
        <v>66</v>
      </c>
      <c r="I28" s="34" t="n">
        <f aca="false">IF(OR($A28="",$C28=""),"",IFERROR(MAX(1,INDEX(PRODUCTOS!$G$6:$G$105,MATCH($A28,PRODUCTOS!$A$6:$A$105,0))),1))</f>
        <v>1</v>
      </c>
      <c r="J28" s="43" t="n">
        <f aca="false">IF(OR($A28="",$C28=""),"",$H28/$I28)</f>
        <v>66</v>
      </c>
      <c r="K28" s="34" t="n">
        <f aca="false">IF(OR($A28="",$C28=""),"",SUMIFS(VENTAS!$E$6:$E$2005,VENTAS!$C$6:$C$2005,$A28))</f>
        <v>20</v>
      </c>
      <c r="L28" s="45" t="n">
        <f aca="false">IF(OR($A28="",$C28=""),"",IFERROR(N($F28)/INDEX(INSUMOS!$I$6:$I$205,MATCH($C28,INSUMOS!$A$6:$A$205,0)),N($F28))/$I28*$K28)</f>
        <v>300</v>
      </c>
      <c r="M28" s="8" t="n">
        <f aca="false">IF($A28="","",COUNTIF($A$6:$A28,$A28))</f>
        <v>6</v>
      </c>
      <c r="N28" s="8" t="str">
        <f aca="false">IF($A28="","",$A28&amp;"|"&amp;$M28)</f>
        <v>P003|6</v>
      </c>
    </row>
    <row r="29" customFormat="false" ht="15" hidden="false" customHeight="false" outlineLevel="0" collapsed="false">
      <c r="A29" s="6" t="s">
        <v>352</v>
      </c>
      <c r="B29" s="8" t="str">
        <f aca="false">IF($A29="","",IFERROR(INDEX(PRODUCTOS!$B$6:$B$105,MATCH($A29,PRODUCTOS!$A$6:$A$105,0)),"¿Código?"))</f>
        <v>Fresas con crema Grande (16 oz)</v>
      </c>
      <c r="C29" s="6" t="s">
        <v>261</v>
      </c>
      <c r="D29" s="8" t="str">
        <f aca="false">IF($C29="","",IFERROR(INDEX(INSUMOS!$B$6:$B$205,MATCH($C29,INSUMOS!$A$6:$A$205,0)),"¿Código?"))</f>
        <v>Gomitas</v>
      </c>
      <c r="E29" s="8" t="str">
        <f aca="false">IF($C29="","",IFERROR(INDEX(INSUMOS!$D$6:$D$205,MATCH($C29,INSUMOS!$A$6:$A$205,0)),""))</f>
        <v>g</v>
      </c>
      <c r="F29" s="39" t="n">
        <v>15</v>
      </c>
      <c r="G29" s="43" t="n">
        <f aca="false">IF(OR($A29="",$C29=""),"",IFERROR(INDEX(INSUMOS!$P$6:$P$205,MATCH($C29,INSUMOS!$A$6:$A$205,0)),0))</f>
        <v>3.8</v>
      </c>
      <c r="H29" s="43" t="n">
        <f aca="false">IF(OR($A29="",$C29=""),"",N($F29)*$G29)</f>
        <v>57</v>
      </c>
      <c r="I29" s="34" t="n">
        <f aca="false">IF(OR($A29="",$C29=""),"",IFERROR(MAX(1,INDEX(PRODUCTOS!$G$6:$G$105,MATCH($A29,PRODUCTOS!$A$6:$A$105,0))),1))</f>
        <v>1</v>
      </c>
      <c r="J29" s="43" t="n">
        <f aca="false">IF(OR($A29="",$C29=""),"",$H29/$I29)</f>
        <v>57</v>
      </c>
      <c r="K29" s="34" t="n">
        <f aca="false">IF(OR($A29="",$C29=""),"",SUMIFS(VENTAS!$E$6:$E$2005,VENTAS!$C$6:$C$2005,$A29))</f>
        <v>20</v>
      </c>
      <c r="L29" s="45" t="n">
        <f aca="false">IF(OR($A29="",$C29=""),"",IFERROR(N($F29)/INDEX(INSUMOS!$I$6:$I$205,MATCH($C29,INSUMOS!$A$6:$A$205,0)),N($F29))/$I29*$K29)</f>
        <v>300</v>
      </c>
      <c r="M29" s="8" t="n">
        <f aca="false">IF($A29="","",COUNTIF($A$6:$A29,$A29))</f>
        <v>7</v>
      </c>
      <c r="N29" s="8" t="str">
        <f aca="false">IF($A29="","",$A29&amp;"|"&amp;$M29)</f>
        <v>P003|7</v>
      </c>
    </row>
    <row r="30" customFormat="false" ht="15" hidden="false" customHeight="false" outlineLevel="0" collapsed="false">
      <c r="A30" s="6" t="s">
        <v>352</v>
      </c>
      <c r="B30" s="8" t="str">
        <f aca="false">IF($A30="","",IFERROR(INDEX(PRODUCTOS!$B$6:$B$105,MATCH($A30,PRODUCTOS!$A$6:$A$105,0)),"¿Código?"))</f>
        <v>Fresas con crema Grande (16 oz)</v>
      </c>
      <c r="C30" s="6" t="s">
        <v>288</v>
      </c>
      <c r="D30" s="8" t="str">
        <f aca="false">IF($C30="","",IFERROR(INDEX(INSUMOS!$B$6:$B$205,MATCH($C30,INSUMOS!$A$6:$A$205,0)),"¿Código?"))</f>
        <v>Vaso 16 oz con tapa</v>
      </c>
      <c r="E30" s="8" t="str">
        <f aca="false">IF($C30="","",IFERROR(INDEX(INSUMOS!$D$6:$D$205,MATCH($C30,INSUMOS!$A$6:$A$205,0)),""))</f>
        <v>u</v>
      </c>
      <c r="F30" s="39" t="n">
        <v>1</v>
      </c>
      <c r="G30" s="43" t="n">
        <f aca="false">IF(OR($A30="",$C30=""),"",IFERROR(INDEX(INSUMOS!$P$6:$P$205,MATCH($C30,INSUMOS!$A$6:$A$205,0)),0))</f>
        <v>110</v>
      </c>
      <c r="H30" s="43" t="n">
        <f aca="false">IF(OR($A30="",$C30=""),"",N($F30)*$G30)</f>
        <v>110</v>
      </c>
      <c r="I30" s="34" t="n">
        <f aca="false">IF(OR($A30="",$C30=""),"",IFERROR(MAX(1,INDEX(PRODUCTOS!$G$6:$G$105,MATCH($A30,PRODUCTOS!$A$6:$A$105,0))),1))</f>
        <v>1</v>
      </c>
      <c r="J30" s="43" t="n">
        <f aca="false">IF(OR($A30="",$C30=""),"",$H30/$I30)</f>
        <v>110</v>
      </c>
      <c r="K30" s="34" t="n">
        <f aca="false">IF(OR($A30="",$C30=""),"",SUMIFS(VENTAS!$E$6:$E$2005,VENTAS!$C$6:$C$2005,$A30))</f>
        <v>20</v>
      </c>
      <c r="L30" s="45" t="n">
        <f aca="false">IF(OR($A30="",$C30=""),"",IFERROR(N($F30)/INDEX(INSUMOS!$I$6:$I$205,MATCH($C30,INSUMOS!$A$6:$A$205,0)),N($F30))/$I30*$K30)</f>
        <v>20</v>
      </c>
      <c r="M30" s="8" t="n">
        <f aca="false">IF($A30="","",COUNTIF($A$6:$A30,$A30))</f>
        <v>8</v>
      </c>
      <c r="N30" s="8" t="str">
        <f aca="false">IF($A30="","",$A30&amp;"|"&amp;$M30)</f>
        <v>P003|8</v>
      </c>
    </row>
    <row r="31" customFormat="false" ht="15" hidden="false" customHeight="false" outlineLevel="0" collapsed="false">
      <c r="A31" s="6" t="s">
        <v>352</v>
      </c>
      <c r="B31" s="8" t="str">
        <f aca="false">IF($A31="","",IFERROR(INDEX(PRODUCTOS!$B$6:$B$105,MATCH($A31,PRODUCTOS!$A$6:$A$105,0)),"¿Código?"))</f>
        <v>Fresas con crema Grande (16 oz)</v>
      </c>
      <c r="C31" s="6" t="s">
        <v>292</v>
      </c>
      <c r="D31" s="8" t="str">
        <f aca="false">IF($C31="","",IFERROR(INDEX(INSUMOS!$B$6:$B$205,MATCH($C31,INSUMOS!$A$6:$A$205,0)),"¿Código?"))</f>
        <v>Cuchara plástica</v>
      </c>
      <c r="E31" s="8" t="str">
        <f aca="false">IF($C31="","",IFERROR(INDEX(INSUMOS!$D$6:$D$205,MATCH($C31,INSUMOS!$A$6:$A$205,0)),""))</f>
        <v>u</v>
      </c>
      <c r="F31" s="39" t="n">
        <v>1</v>
      </c>
      <c r="G31" s="43" t="n">
        <f aca="false">IF(OR($A31="",$C31=""),"",IFERROR(INDEX(INSUMOS!$P$6:$P$205,MATCH($C31,INSUMOS!$A$6:$A$205,0)),0))</f>
        <v>15</v>
      </c>
      <c r="H31" s="43" t="n">
        <f aca="false">IF(OR($A31="",$C31=""),"",N($F31)*$G31)</f>
        <v>15</v>
      </c>
      <c r="I31" s="34" t="n">
        <f aca="false">IF(OR($A31="",$C31=""),"",IFERROR(MAX(1,INDEX(PRODUCTOS!$G$6:$G$105,MATCH($A31,PRODUCTOS!$A$6:$A$105,0))),1))</f>
        <v>1</v>
      </c>
      <c r="J31" s="43" t="n">
        <f aca="false">IF(OR($A31="",$C31=""),"",$H31/$I31)</f>
        <v>15</v>
      </c>
      <c r="K31" s="34" t="n">
        <f aca="false">IF(OR($A31="",$C31=""),"",SUMIFS(VENTAS!$E$6:$E$2005,VENTAS!$C$6:$C$2005,$A31))</f>
        <v>20</v>
      </c>
      <c r="L31" s="45" t="n">
        <f aca="false">IF(OR($A31="",$C31=""),"",IFERROR(N($F31)/INDEX(INSUMOS!$I$6:$I$205,MATCH($C31,INSUMOS!$A$6:$A$205,0)),N($F31))/$I31*$K31)</f>
        <v>20</v>
      </c>
      <c r="M31" s="8" t="n">
        <f aca="false">IF($A31="","",COUNTIF($A$6:$A31,$A31))</f>
        <v>9</v>
      </c>
      <c r="N31" s="8" t="str">
        <f aca="false">IF($A31="","",$A31&amp;"|"&amp;$M31)</f>
        <v>P003|9</v>
      </c>
    </row>
    <row r="32" customFormat="false" ht="15" hidden="false" customHeight="false" outlineLevel="0" collapsed="false">
      <c r="A32" s="6" t="s">
        <v>352</v>
      </c>
      <c r="B32" s="8" t="str">
        <f aca="false">IF($A32="","",IFERROR(INDEX(PRODUCTOS!$B$6:$B$105,MATCH($A32,PRODUCTOS!$A$6:$A$105,0)),"¿Código?"))</f>
        <v>Fresas con crema Grande (16 oz)</v>
      </c>
      <c r="C32" s="6" t="s">
        <v>295</v>
      </c>
      <c r="D32" s="8" t="str">
        <f aca="false">IF($C32="","",IFERROR(INDEX(INSUMOS!$B$6:$B$205,MATCH($C32,INSUMOS!$A$6:$A$205,0)),"¿Código?"))</f>
        <v>Servilleta</v>
      </c>
      <c r="E32" s="8" t="str">
        <f aca="false">IF($C32="","",IFERROR(INDEX(INSUMOS!$D$6:$D$205,MATCH($C32,INSUMOS!$A$6:$A$205,0)),""))</f>
        <v>u</v>
      </c>
      <c r="F32" s="39" t="n">
        <v>2</v>
      </c>
      <c r="G32" s="43" t="n">
        <f aca="false">IF(OR($A32="",$C32=""),"",IFERROR(INDEX(INSUMOS!$P$6:$P$205,MATCH($C32,INSUMOS!$A$6:$A$205,0)),0))</f>
        <v>5</v>
      </c>
      <c r="H32" s="43" t="n">
        <f aca="false">IF(OR($A32="",$C32=""),"",N($F32)*$G32)</f>
        <v>10</v>
      </c>
      <c r="I32" s="34" t="n">
        <f aca="false">IF(OR($A32="",$C32=""),"",IFERROR(MAX(1,INDEX(PRODUCTOS!$G$6:$G$105,MATCH($A32,PRODUCTOS!$A$6:$A$105,0))),1))</f>
        <v>1</v>
      </c>
      <c r="J32" s="43" t="n">
        <f aca="false">IF(OR($A32="",$C32=""),"",$H32/$I32)</f>
        <v>10</v>
      </c>
      <c r="K32" s="34" t="n">
        <f aca="false">IF(OR($A32="",$C32=""),"",SUMIFS(VENTAS!$E$6:$E$2005,VENTAS!$C$6:$C$2005,$A32))</f>
        <v>20</v>
      </c>
      <c r="L32" s="45" t="n">
        <f aca="false">IF(OR($A32="",$C32=""),"",IFERROR(N($F32)/INDEX(INSUMOS!$I$6:$I$205,MATCH($C32,INSUMOS!$A$6:$A$205,0)),N($F32))/$I32*$K32)</f>
        <v>40</v>
      </c>
      <c r="M32" s="8" t="n">
        <f aca="false">IF($A32="","",COUNTIF($A$6:$A32,$A32))</f>
        <v>10</v>
      </c>
      <c r="N32" s="8" t="str">
        <f aca="false">IF($A32="","",$A32&amp;"|"&amp;$M32)</f>
        <v>P003|10</v>
      </c>
    </row>
    <row r="33" customFormat="false" ht="15" hidden="false" customHeight="false" outlineLevel="0" collapsed="false">
      <c r="A33" s="6" t="s">
        <v>353</v>
      </c>
      <c r="B33" s="8" t="str">
        <f aca="false">IF($A33="","",IFERROR(INDEX(PRODUCTOS!$B$6:$B$105,MATCH($A33,PRODUCTOS!$A$6:$A$105,0)),"¿Código?"))</f>
        <v>Fresas con crema Extra grande (24 oz)</v>
      </c>
      <c r="C33" s="6" t="s">
        <v>226</v>
      </c>
      <c r="D33" s="8" t="str">
        <f aca="false">IF($C33="","",IFERROR(INDEX(INSUMOS!$B$6:$B$205,MATCH($C33,INSUMOS!$A$6:$A$205,0)),"¿Código?"))</f>
        <v>Fresas frescas</v>
      </c>
      <c r="E33" s="8" t="str">
        <f aca="false">IF($C33="","",IFERROR(INDEX(INSUMOS!$D$6:$D$205,MATCH($C33,INSUMOS!$A$6:$A$205,0)),""))</f>
        <v>g</v>
      </c>
      <c r="F33" s="39" t="n">
        <v>320</v>
      </c>
      <c r="G33" s="43" t="n">
        <f aca="false">IF(OR($A33="",$C33=""),"",IFERROR(INDEX(INSUMOS!$P$6:$P$205,MATCH($C33,INSUMOS!$A$6:$A$205,0)),0))</f>
        <v>3.29411764705882</v>
      </c>
      <c r="H33" s="43" t="n">
        <f aca="false">IF(OR($A33="",$C33=""),"",N($F33)*$G33)</f>
        <v>1054.11764705882</v>
      </c>
      <c r="I33" s="34" t="n">
        <f aca="false">IF(OR($A33="",$C33=""),"",IFERROR(MAX(1,INDEX(PRODUCTOS!$G$6:$G$105,MATCH($A33,PRODUCTOS!$A$6:$A$105,0))),1))</f>
        <v>1</v>
      </c>
      <c r="J33" s="43" t="n">
        <f aca="false">IF(OR($A33="",$C33=""),"",$H33/$I33)</f>
        <v>1054.11764705882</v>
      </c>
      <c r="K33" s="34" t="n">
        <f aca="false">IF(OR($A33="",$C33=""),"",SUMIFS(VENTAS!$E$6:$E$2005,VENTAS!$C$6:$C$2005,$A33))</f>
        <v>7</v>
      </c>
      <c r="L33" s="45" t="n">
        <f aca="false">IF(OR($A33="",$C33=""),"",IFERROR(N($F33)/INDEX(INSUMOS!$I$6:$I$205,MATCH($C33,INSUMOS!$A$6:$A$205,0)),N($F33))/$I33*$K33)</f>
        <v>2635.29411764706</v>
      </c>
      <c r="M33" s="8" t="n">
        <f aca="false">IF($A33="","",COUNTIF($A$6:$A33,$A33))</f>
        <v>1</v>
      </c>
      <c r="N33" s="8" t="str">
        <f aca="false">IF($A33="","",$A33&amp;"|"&amp;$M33)</f>
        <v>P004|1</v>
      </c>
    </row>
    <row r="34" customFormat="false" ht="15" hidden="false" customHeight="false" outlineLevel="0" collapsed="false">
      <c r="A34" s="6" t="s">
        <v>353</v>
      </c>
      <c r="B34" s="8" t="str">
        <f aca="false">IF($A34="","",IFERROR(INDEX(PRODUCTOS!$B$6:$B$105,MATCH($A34,PRODUCTOS!$A$6:$A$105,0)),"¿Código?"))</f>
        <v>Fresas con crema Extra grande (24 oz)</v>
      </c>
      <c r="C34" s="6" t="s">
        <v>237</v>
      </c>
      <c r="D34" s="8" t="str">
        <f aca="false">IF($C34="","",IFERROR(INDEX(INSUMOS!$B$6:$B$205,MATCH($C34,INSUMOS!$A$6:$A$205,0)),"¿Código?"))</f>
        <v>Crema dulce</v>
      </c>
      <c r="E34" s="8" t="str">
        <f aca="false">IF($C34="","",IFERROR(INDEX(INSUMOS!$D$6:$D$205,MATCH($C34,INSUMOS!$A$6:$A$205,0)),""))</f>
        <v>ml</v>
      </c>
      <c r="F34" s="39" t="n">
        <v>150</v>
      </c>
      <c r="G34" s="43" t="n">
        <f aca="false">IF(OR($A34="",$C34=""),"",IFERROR(INDEX(INSUMOS!$P$6:$P$205,MATCH($C34,INSUMOS!$A$6:$A$205,0)),0))</f>
        <v>2.55</v>
      </c>
      <c r="H34" s="43" t="n">
        <f aca="false">IF(OR($A34="",$C34=""),"",N($F34)*$G34)</f>
        <v>382.5</v>
      </c>
      <c r="I34" s="34" t="n">
        <f aca="false">IF(OR($A34="",$C34=""),"",IFERROR(MAX(1,INDEX(PRODUCTOS!$G$6:$G$105,MATCH($A34,PRODUCTOS!$A$6:$A$105,0))),1))</f>
        <v>1</v>
      </c>
      <c r="J34" s="43" t="n">
        <f aca="false">IF(OR($A34="",$C34=""),"",$H34/$I34)</f>
        <v>382.5</v>
      </c>
      <c r="K34" s="34" t="n">
        <f aca="false">IF(OR($A34="",$C34=""),"",SUMIFS(VENTAS!$E$6:$E$2005,VENTAS!$C$6:$C$2005,$A34))</f>
        <v>7</v>
      </c>
      <c r="L34" s="45" t="n">
        <f aca="false">IF(OR($A34="",$C34=""),"",IFERROR(N($F34)/INDEX(INSUMOS!$I$6:$I$205,MATCH($C34,INSUMOS!$A$6:$A$205,0)),N($F34))/$I34*$K34)</f>
        <v>1050</v>
      </c>
      <c r="M34" s="8" t="n">
        <f aca="false">IF($A34="","",COUNTIF($A$6:$A34,$A34))</f>
        <v>2</v>
      </c>
      <c r="N34" s="8" t="str">
        <f aca="false">IF($A34="","",$A34&amp;"|"&amp;$M34)</f>
        <v>P004|2</v>
      </c>
    </row>
    <row r="35" customFormat="false" ht="15" hidden="false" customHeight="false" outlineLevel="0" collapsed="false">
      <c r="A35" s="6" t="s">
        <v>353</v>
      </c>
      <c r="B35" s="8" t="str">
        <f aca="false">IF($A35="","",IFERROR(INDEX(PRODUCTOS!$B$6:$B$105,MATCH($A35,PRODUCTOS!$A$6:$A$105,0)),"¿Código?"))</f>
        <v>Fresas con crema Extra grande (24 oz)</v>
      </c>
      <c r="C35" s="6" t="s">
        <v>241</v>
      </c>
      <c r="D35" s="8" t="str">
        <f aca="false">IF($C35="","",IFERROR(INDEX(INSUMOS!$B$6:$B$205,MATCH($C35,INSUMOS!$A$6:$A$205,0)),"¿Código?"))</f>
        <v>Leche condensada</v>
      </c>
      <c r="E35" s="8" t="str">
        <f aca="false">IF($C35="","",IFERROR(INDEX(INSUMOS!$D$6:$D$205,MATCH($C35,INSUMOS!$A$6:$A$205,0)),""))</f>
        <v>g</v>
      </c>
      <c r="F35" s="39" t="n">
        <v>65</v>
      </c>
      <c r="G35" s="43" t="n">
        <f aca="false">IF(OR($A35="",$C35=""),"",IFERROR(INDEX(INSUMOS!$P$6:$P$205,MATCH($C35,INSUMOS!$A$6:$A$205,0)),0))</f>
        <v>3.24599444285751</v>
      </c>
      <c r="H35" s="43" t="n">
        <f aca="false">IF(OR($A35="",$C35=""),"",N($F35)*$G35)</f>
        <v>210.989638785738</v>
      </c>
      <c r="I35" s="34" t="n">
        <f aca="false">IF(OR($A35="",$C35=""),"",IFERROR(MAX(1,INDEX(PRODUCTOS!$G$6:$G$105,MATCH($A35,PRODUCTOS!$A$6:$A$105,0))),1))</f>
        <v>1</v>
      </c>
      <c r="J35" s="43" t="n">
        <f aca="false">IF(OR($A35="",$C35=""),"",$H35/$I35)</f>
        <v>210.989638785738</v>
      </c>
      <c r="K35" s="34" t="n">
        <f aca="false">IF(OR($A35="",$C35=""),"",SUMIFS(VENTAS!$E$6:$E$2005,VENTAS!$C$6:$C$2005,$A35))</f>
        <v>7</v>
      </c>
      <c r="L35" s="45" t="n">
        <f aca="false">IF(OR($A35="",$C35=""),"",IFERROR(N($F35)/INDEX(INSUMOS!$I$6:$I$205,MATCH($C35,INSUMOS!$A$6:$A$205,0)),N($F35))/$I35*$K35)</f>
        <v>469.072164948454</v>
      </c>
      <c r="M35" s="8" t="n">
        <f aca="false">IF($A35="","",COUNTIF($A$6:$A35,$A35))</f>
        <v>3</v>
      </c>
      <c r="N35" s="8" t="str">
        <f aca="false">IF($A35="","",$A35&amp;"|"&amp;$M35)</f>
        <v>P004|3</v>
      </c>
    </row>
    <row r="36" customFormat="false" ht="15" hidden="false" customHeight="false" outlineLevel="0" collapsed="false">
      <c r="A36" s="6" t="s">
        <v>353</v>
      </c>
      <c r="B36" s="8" t="str">
        <f aca="false">IF($A36="","",IFERROR(INDEX(PRODUCTOS!$B$6:$B$105,MATCH($A36,PRODUCTOS!$A$6:$A$105,0)),"¿Código?"))</f>
        <v>Fresas con crema Extra grande (24 oz)</v>
      </c>
      <c r="C36" s="6" t="s">
        <v>245</v>
      </c>
      <c r="D36" s="8" t="str">
        <f aca="false">IF($C36="","",IFERROR(INDEX(INSUMOS!$B$6:$B$205,MATCH($C36,INSUMOS!$A$6:$A$205,0)),"¿Código?"))</f>
        <v>Esencia de vainilla</v>
      </c>
      <c r="E36" s="8" t="str">
        <f aca="false">IF($C36="","",IFERROR(INDEX(INSUMOS!$D$6:$D$205,MATCH($C36,INSUMOS!$A$6:$A$205,0)),""))</f>
        <v>ml</v>
      </c>
      <c r="F36" s="39" t="n">
        <v>3</v>
      </c>
      <c r="G36" s="43" t="n">
        <f aca="false">IF(OR($A36="",$C36=""),"",IFERROR(INDEX(INSUMOS!$P$6:$P$205,MATCH($C36,INSUMOS!$A$6:$A$205,0)),0))</f>
        <v>7.2</v>
      </c>
      <c r="H36" s="43" t="n">
        <f aca="false">IF(OR($A36="",$C36=""),"",N($F36)*$G36)</f>
        <v>21.6</v>
      </c>
      <c r="I36" s="34" t="n">
        <f aca="false">IF(OR($A36="",$C36=""),"",IFERROR(MAX(1,INDEX(PRODUCTOS!$G$6:$G$105,MATCH($A36,PRODUCTOS!$A$6:$A$105,0))),1))</f>
        <v>1</v>
      </c>
      <c r="J36" s="43" t="n">
        <f aca="false">IF(OR($A36="",$C36=""),"",$H36/$I36)</f>
        <v>21.6</v>
      </c>
      <c r="K36" s="34" t="n">
        <f aca="false">IF(OR($A36="",$C36=""),"",SUMIFS(VENTAS!$E$6:$E$2005,VENTAS!$C$6:$C$2005,$A36))</f>
        <v>7</v>
      </c>
      <c r="L36" s="45" t="n">
        <f aca="false">IF(OR($A36="",$C36=""),"",IFERROR(N($F36)/INDEX(INSUMOS!$I$6:$I$205,MATCH($C36,INSUMOS!$A$6:$A$205,0)),N($F36))/$I36*$K36)</f>
        <v>21</v>
      </c>
      <c r="M36" s="8" t="n">
        <f aca="false">IF($A36="","",COUNTIF($A$6:$A36,$A36))</f>
        <v>4</v>
      </c>
      <c r="N36" s="8" t="str">
        <f aca="false">IF($A36="","",$A36&amp;"|"&amp;$M36)</f>
        <v>P004|4</v>
      </c>
    </row>
    <row r="37" customFormat="false" ht="15" hidden="false" customHeight="false" outlineLevel="0" collapsed="false">
      <c r="A37" s="6" t="s">
        <v>353</v>
      </c>
      <c r="B37" s="8" t="str">
        <f aca="false">IF($A37="","",IFERROR(INDEX(PRODUCTOS!$B$6:$B$105,MATCH($A37,PRODUCTOS!$A$6:$A$105,0)),"¿Código?"))</f>
        <v>Fresas con crema Extra grande (24 oz)</v>
      </c>
      <c r="C37" s="6" t="s">
        <v>251</v>
      </c>
      <c r="D37" s="8" t="str">
        <f aca="false">IF($C37="","",IFERROR(INDEX(INSUMOS!$B$6:$B$205,MATCH($C37,INSUMOS!$A$6:$A$205,0)),"¿Código?"))</f>
        <v>Galleta Oreo triturada</v>
      </c>
      <c r="E37" s="8" t="str">
        <f aca="false">IF($C37="","",IFERROR(INDEX(INSUMOS!$D$6:$D$205,MATCH($C37,INSUMOS!$A$6:$A$205,0)),""))</f>
        <v>g</v>
      </c>
      <c r="F37" s="39" t="n">
        <v>25</v>
      </c>
      <c r="G37" s="43" t="n">
        <f aca="false">IF(OR($A37="",$C37=""),"",IFERROR(INDEX(INSUMOS!$P$6:$P$205,MATCH($C37,INSUMOS!$A$6:$A$205,0)),0))</f>
        <v>6.33528265107212</v>
      </c>
      <c r="H37" s="43" t="n">
        <f aca="false">IF(OR($A37="",$C37=""),"",N($F37)*$G37)</f>
        <v>158.382066276803</v>
      </c>
      <c r="I37" s="34" t="n">
        <f aca="false">IF(OR($A37="",$C37=""),"",IFERROR(MAX(1,INDEX(PRODUCTOS!$G$6:$G$105,MATCH($A37,PRODUCTOS!$A$6:$A$105,0))),1))</f>
        <v>1</v>
      </c>
      <c r="J37" s="43" t="n">
        <f aca="false">IF(OR($A37="",$C37=""),"",$H37/$I37)</f>
        <v>158.382066276803</v>
      </c>
      <c r="K37" s="34" t="n">
        <f aca="false">IF(OR($A37="",$C37=""),"",SUMIFS(VENTAS!$E$6:$E$2005,VENTAS!$C$6:$C$2005,$A37))</f>
        <v>7</v>
      </c>
      <c r="L37" s="45" t="n">
        <f aca="false">IF(OR($A37="",$C37=""),"",IFERROR(N($F37)/INDEX(INSUMOS!$I$6:$I$205,MATCH($C37,INSUMOS!$A$6:$A$205,0)),N($F37))/$I37*$K37)</f>
        <v>184.210526315789</v>
      </c>
      <c r="M37" s="8" t="n">
        <f aca="false">IF($A37="","",COUNTIF($A$6:$A37,$A37))</f>
        <v>5</v>
      </c>
      <c r="N37" s="8" t="str">
        <f aca="false">IF($A37="","",$A37&amp;"|"&amp;$M37)</f>
        <v>P004|5</v>
      </c>
    </row>
    <row r="38" customFormat="false" ht="15" hidden="false" customHeight="false" outlineLevel="0" collapsed="false">
      <c r="A38" s="6" t="s">
        <v>353</v>
      </c>
      <c r="B38" s="8" t="str">
        <f aca="false">IF($A38="","",IFERROR(INDEX(PRODUCTOS!$B$6:$B$105,MATCH($A38,PRODUCTOS!$A$6:$A$105,0)),"¿Código?"))</f>
        <v>Fresas con crema Extra grande (24 oz)</v>
      </c>
      <c r="C38" s="6" t="s">
        <v>258</v>
      </c>
      <c r="D38" s="8" t="str">
        <f aca="false">IF($C38="","",IFERROR(INDEX(INSUMOS!$B$6:$B$205,MATCH($C38,INSUMOS!$A$6:$A$205,0)),"¿Código?"))</f>
        <v>Marshmallows</v>
      </c>
      <c r="E38" s="8" t="str">
        <f aca="false">IF($C38="","",IFERROR(INDEX(INSUMOS!$D$6:$D$205,MATCH($C38,INSUMOS!$A$6:$A$205,0)),""))</f>
        <v>g</v>
      </c>
      <c r="F38" s="39" t="n">
        <v>20</v>
      </c>
      <c r="G38" s="43" t="n">
        <f aca="false">IF(OR($A38="",$C38=""),"",IFERROR(INDEX(INSUMOS!$P$6:$P$205,MATCH($C38,INSUMOS!$A$6:$A$205,0)),0))</f>
        <v>4.4</v>
      </c>
      <c r="H38" s="43" t="n">
        <f aca="false">IF(OR($A38="",$C38=""),"",N($F38)*$G38)</f>
        <v>88</v>
      </c>
      <c r="I38" s="34" t="n">
        <f aca="false">IF(OR($A38="",$C38=""),"",IFERROR(MAX(1,INDEX(PRODUCTOS!$G$6:$G$105,MATCH($A38,PRODUCTOS!$A$6:$A$105,0))),1))</f>
        <v>1</v>
      </c>
      <c r="J38" s="43" t="n">
        <f aca="false">IF(OR($A38="",$C38=""),"",$H38/$I38)</f>
        <v>88</v>
      </c>
      <c r="K38" s="34" t="n">
        <f aca="false">IF(OR($A38="",$C38=""),"",SUMIFS(VENTAS!$E$6:$E$2005,VENTAS!$C$6:$C$2005,$A38))</f>
        <v>7</v>
      </c>
      <c r="L38" s="45" t="n">
        <f aca="false">IF(OR($A38="",$C38=""),"",IFERROR(N($F38)/INDEX(INSUMOS!$I$6:$I$205,MATCH($C38,INSUMOS!$A$6:$A$205,0)),N($F38))/$I38*$K38)</f>
        <v>140</v>
      </c>
      <c r="M38" s="8" t="n">
        <f aca="false">IF($A38="","",COUNTIF($A$6:$A38,$A38))</f>
        <v>6</v>
      </c>
      <c r="N38" s="8" t="str">
        <f aca="false">IF($A38="","",$A38&amp;"|"&amp;$M38)</f>
        <v>P004|6</v>
      </c>
    </row>
    <row r="39" customFormat="false" ht="15" hidden="false" customHeight="false" outlineLevel="0" collapsed="false">
      <c r="A39" s="6" t="s">
        <v>353</v>
      </c>
      <c r="B39" s="8" t="str">
        <f aca="false">IF($A39="","",IFERROR(INDEX(PRODUCTOS!$B$6:$B$105,MATCH($A39,PRODUCTOS!$A$6:$A$105,0)),"¿Código?"))</f>
        <v>Fresas con crema Extra grande (24 oz)</v>
      </c>
      <c r="C39" s="6" t="s">
        <v>261</v>
      </c>
      <c r="D39" s="8" t="str">
        <f aca="false">IF($C39="","",IFERROR(INDEX(INSUMOS!$B$6:$B$205,MATCH($C39,INSUMOS!$A$6:$A$205,0)),"¿Código?"))</f>
        <v>Gomitas</v>
      </c>
      <c r="E39" s="8" t="str">
        <f aca="false">IF($C39="","",IFERROR(INDEX(INSUMOS!$D$6:$D$205,MATCH($C39,INSUMOS!$A$6:$A$205,0)),""))</f>
        <v>g</v>
      </c>
      <c r="F39" s="39" t="n">
        <v>20</v>
      </c>
      <c r="G39" s="43" t="n">
        <f aca="false">IF(OR($A39="",$C39=""),"",IFERROR(INDEX(INSUMOS!$P$6:$P$205,MATCH($C39,INSUMOS!$A$6:$A$205,0)),0))</f>
        <v>3.8</v>
      </c>
      <c r="H39" s="43" t="n">
        <f aca="false">IF(OR($A39="",$C39=""),"",N($F39)*$G39)</f>
        <v>76</v>
      </c>
      <c r="I39" s="34" t="n">
        <f aca="false">IF(OR($A39="",$C39=""),"",IFERROR(MAX(1,INDEX(PRODUCTOS!$G$6:$G$105,MATCH($A39,PRODUCTOS!$A$6:$A$105,0))),1))</f>
        <v>1</v>
      </c>
      <c r="J39" s="43" t="n">
        <f aca="false">IF(OR($A39="",$C39=""),"",$H39/$I39)</f>
        <v>76</v>
      </c>
      <c r="K39" s="34" t="n">
        <f aca="false">IF(OR($A39="",$C39=""),"",SUMIFS(VENTAS!$E$6:$E$2005,VENTAS!$C$6:$C$2005,$A39))</f>
        <v>7</v>
      </c>
      <c r="L39" s="45" t="n">
        <f aca="false">IF(OR($A39="",$C39=""),"",IFERROR(N($F39)/INDEX(INSUMOS!$I$6:$I$205,MATCH($C39,INSUMOS!$A$6:$A$205,0)),N($F39))/$I39*$K39)</f>
        <v>140</v>
      </c>
      <c r="M39" s="8" t="n">
        <f aca="false">IF($A39="","",COUNTIF($A$6:$A39,$A39))</f>
        <v>7</v>
      </c>
      <c r="N39" s="8" t="str">
        <f aca="false">IF($A39="","",$A39&amp;"|"&amp;$M39)</f>
        <v>P004|7</v>
      </c>
    </row>
    <row r="40" customFormat="false" ht="15" hidden="false" customHeight="false" outlineLevel="0" collapsed="false">
      <c r="A40" s="6" t="s">
        <v>353</v>
      </c>
      <c r="B40" s="8" t="str">
        <f aca="false">IF($A40="","",IFERROR(INDEX(PRODUCTOS!$B$6:$B$105,MATCH($A40,PRODUCTOS!$A$6:$A$105,0)),"¿Código?"))</f>
        <v>Fresas con crema Extra grande (24 oz)</v>
      </c>
      <c r="C40" s="6" t="s">
        <v>254</v>
      </c>
      <c r="D40" s="8" t="str">
        <f aca="false">IF($C40="","",IFERROR(INDEX(INSUMOS!$B$6:$B$205,MATCH($C40,INSUMOS!$A$6:$A$205,0)),"¿Código?"))</f>
        <v>Brownie (topping)</v>
      </c>
      <c r="E40" s="8" t="str">
        <f aca="false">IF($C40="","",IFERROR(INDEX(INSUMOS!$D$6:$D$205,MATCH($C40,INSUMOS!$A$6:$A$205,0)),""))</f>
        <v>g</v>
      </c>
      <c r="F40" s="39" t="n">
        <v>30</v>
      </c>
      <c r="G40" s="43" t="n">
        <f aca="false">IF(OR($A40="",$C40=""),"",IFERROR(INDEX(INSUMOS!$P$6:$P$205,MATCH($C40,INSUMOS!$A$6:$A$205,0)),0))</f>
        <v>5.78947368421053</v>
      </c>
      <c r="H40" s="43" t="n">
        <f aca="false">IF(OR($A40="",$C40=""),"",N($F40)*$G40)</f>
        <v>173.684210526316</v>
      </c>
      <c r="I40" s="34" t="n">
        <f aca="false">IF(OR($A40="",$C40=""),"",IFERROR(MAX(1,INDEX(PRODUCTOS!$G$6:$G$105,MATCH($A40,PRODUCTOS!$A$6:$A$105,0))),1))</f>
        <v>1</v>
      </c>
      <c r="J40" s="43" t="n">
        <f aca="false">IF(OR($A40="",$C40=""),"",$H40/$I40)</f>
        <v>173.684210526316</v>
      </c>
      <c r="K40" s="34" t="n">
        <f aca="false">IF(OR($A40="",$C40=""),"",SUMIFS(VENTAS!$E$6:$E$2005,VENTAS!$C$6:$C$2005,$A40))</f>
        <v>7</v>
      </c>
      <c r="L40" s="45" t="n">
        <f aca="false">IF(OR($A40="",$C40=""),"",IFERROR(N($F40)/INDEX(INSUMOS!$I$6:$I$205,MATCH($C40,INSUMOS!$A$6:$A$205,0)),N($F40))/$I40*$K40)</f>
        <v>221.052631578947</v>
      </c>
      <c r="M40" s="8" t="n">
        <f aca="false">IF($A40="","",COUNTIF($A$6:$A40,$A40))</f>
        <v>8</v>
      </c>
      <c r="N40" s="8" t="str">
        <f aca="false">IF($A40="","",$A40&amp;"|"&amp;$M40)</f>
        <v>P004|8</v>
      </c>
    </row>
    <row r="41" customFormat="false" ht="15" hidden="false" customHeight="false" outlineLevel="0" collapsed="false">
      <c r="A41" s="6" t="s">
        <v>353</v>
      </c>
      <c r="B41" s="8" t="str">
        <f aca="false">IF($A41="","",IFERROR(INDEX(PRODUCTOS!$B$6:$B$105,MATCH($A41,PRODUCTOS!$A$6:$A$105,0)),"¿Código?"))</f>
        <v>Fresas con crema Extra grande (24 oz)</v>
      </c>
      <c r="C41" s="6" t="s">
        <v>290</v>
      </c>
      <c r="D41" s="8" t="str">
        <f aca="false">IF($C41="","",IFERROR(INDEX(INSUMOS!$B$6:$B$205,MATCH($C41,INSUMOS!$A$6:$A$205,0)),"¿Código?"))</f>
        <v>Vaso 24 oz con tapa</v>
      </c>
      <c r="E41" s="8" t="str">
        <f aca="false">IF($C41="","",IFERROR(INDEX(INSUMOS!$D$6:$D$205,MATCH($C41,INSUMOS!$A$6:$A$205,0)),""))</f>
        <v>u</v>
      </c>
      <c r="F41" s="39" t="n">
        <v>1</v>
      </c>
      <c r="G41" s="43" t="n">
        <f aca="false">IF(OR($A41="",$C41=""),"",IFERROR(INDEX(INSUMOS!$P$6:$P$205,MATCH($C41,INSUMOS!$A$6:$A$205,0)),0))</f>
        <v>140</v>
      </c>
      <c r="H41" s="43" t="n">
        <f aca="false">IF(OR($A41="",$C41=""),"",N($F41)*$G41)</f>
        <v>140</v>
      </c>
      <c r="I41" s="34" t="n">
        <f aca="false">IF(OR($A41="",$C41=""),"",IFERROR(MAX(1,INDEX(PRODUCTOS!$G$6:$G$105,MATCH($A41,PRODUCTOS!$A$6:$A$105,0))),1))</f>
        <v>1</v>
      </c>
      <c r="J41" s="43" t="n">
        <f aca="false">IF(OR($A41="",$C41=""),"",$H41/$I41)</f>
        <v>140</v>
      </c>
      <c r="K41" s="34" t="n">
        <f aca="false">IF(OR($A41="",$C41=""),"",SUMIFS(VENTAS!$E$6:$E$2005,VENTAS!$C$6:$C$2005,$A41))</f>
        <v>7</v>
      </c>
      <c r="L41" s="45" t="n">
        <f aca="false">IF(OR($A41="",$C41=""),"",IFERROR(N($F41)/INDEX(INSUMOS!$I$6:$I$205,MATCH($C41,INSUMOS!$A$6:$A$205,0)),N($F41))/$I41*$K41)</f>
        <v>7</v>
      </c>
      <c r="M41" s="8" t="n">
        <f aca="false">IF($A41="","",COUNTIF($A$6:$A41,$A41))</f>
        <v>9</v>
      </c>
      <c r="N41" s="8" t="str">
        <f aca="false">IF($A41="","",$A41&amp;"|"&amp;$M41)</f>
        <v>P004|9</v>
      </c>
    </row>
    <row r="42" customFormat="false" ht="15" hidden="false" customHeight="false" outlineLevel="0" collapsed="false">
      <c r="A42" s="6" t="s">
        <v>353</v>
      </c>
      <c r="B42" s="8" t="str">
        <f aca="false">IF($A42="","",IFERROR(INDEX(PRODUCTOS!$B$6:$B$105,MATCH($A42,PRODUCTOS!$A$6:$A$105,0)),"¿Código?"))</f>
        <v>Fresas con crema Extra grande (24 oz)</v>
      </c>
      <c r="C42" s="6" t="s">
        <v>292</v>
      </c>
      <c r="D42" s="8" t="str">
        <f aca="false">IF($C42="","",IFERROR(INDEX(INSUMOS!$B$6:$B$205,MATCH($C42,INSUMOS!$A$6:$A$205,0)),"¿Código?"))</f>
        <v>Cuchara plástica</v>
      </c>
      <c r="E42" s="8" t="str">
        <f aca="false">IF($C42="","",IFERROR(INDEX(INSUMOS!$D$6:$D$205,MATCH($C42,INSUMOS!$A$6:$A$205,0)),""))</f>
        <v>u</v>
      </c>
      <c r="F42" s="39" t="n">
        <v>1</v>
      </c>
      <c r="G42" s="43" t="n">
        <f aca="false">IF(OR($A42="",$C42=""),"",IFERROR(INDEX(INSUMOS!$P$6:$P$205,MATCH($C42,INSUMOS!$A$6:$A$205,0)),0))</f>
        <v>15</v>
      </c>
      <c r="H42" s="43" t="n">
        <f aca="false">IF(OR($A42="",$C42=""),"",N($F42)*$G42)</f>
        <v>15</v>
      </c>
      <c r="I42" s="34" t="n">
        <f aca="false">IF(OR($A42="",$C42=""),"",IFERROR(MAX(1,INDEX(PRODUCTOS!$G$6:$G$105,MATCH($A42,PRODUCTOS!$A$6:$A$105,0))),1))</f>
        <v>1</v>
      </c>
      <c r="J42" s="43" t="n">
        <f aca="false">IF(OR($A42="",$C42=""),"",$H42/$I42)</f>
        <v>15</v>
      </c>
      <c r="K42" s="34" t="n">
        <f aca="false">IF(OR($A42="",$C42=""),"",SUMIFS(VENTAS!$E$6:$E$2005,VENTAS!$C$6:$C$2005,$A42))</f>
        <v>7</v>
      </c>
      <c r="L42" s="45" t="n">
        <f aca="false">IF(OR($A42="",$C42=""),"",IFERROR(N($F42)/INDEX(INSUMOS!$I$6:$I$205,MATCH($C42,INSUMOS!$A$6:$A$205,0)),N($F42))/$I42*$K42)</f>
        <v>7</v>
      </c>
      <c r="M42" s="8" t="n">
        <f aca="false">IF($A42="","",COUNTIF($A$6:$A42,$A42))</f>
        <v>10</v>
      </c>
      <c r="N42" s="8" t="str">
        <f aca="false">IF($A42="","",$A42&amp;"|"&amp;$M42)</f>
        <v>P004|10</v>
      </c>
    </row>
    <row r="43" customFormat="false" ht="15" hidden="false" customHeight="false" outlineLevel="0" collapsed="false">
      <c r="A43" s="6" t="s">
        <v>353</v>
      </c>
      <c r="B43" s="8" t="str">
        <f aca="false">IF($A43="","",IFERROR(INDEX(PRODUCTOS!$B$6:$B$105,MATCH($A43,PRODUCTOS!$A$6:$A$105,0)),"¿Código?"))</f>
        <v>Fresas con crema Extra grande (24 oz)</v>
      </c>
      <c r="C43" s="6" t="s">
        <v>295</v>
      </c>
      <c r="D43" s="8" t="str">
        <f aca="false">IF($C43="","",IFERROR(INDEX(INSUMOS!$B$6:$B$205,MATCH($C43,INSUMOS!$A$6:$A$205,0)),"¿Código?"))</f>
        <v>Servilleta</v>
      </c>
      <c r="E43" s="8" t="str">
        <f aca="false">IF($C43="","",IFERROR(INDEX(INSUMOS!$D$6:$D$205,MATCH($C43,INSUMOS!$A$6:$A$205,0)),""))</f>
        <v>u</v>
      </c>
      <c r="F43" s="39" t="n">
        <v>2</v>
      </c>
      <c r="G43" s="43" t="n">
        <f aca="false">IF(OR($A43="",$C43=""),"",IFERROR(INDEX(INSUMOS!$P$6:$P$205,MATCH($C43,INSUMOS!$A$6:$A$205,0)),0))</f>
        <v>5</v>
      </c>
      <c r="H43" s="43" t="n">
        <f aca="false">IF(OR($A43="",$C43=""),"",N($F43)*$G43)</f>
        <v>10</v>
      </c>
      <c r="I43" s="34" t="n">
        <f aca="false">IF(OR($A43="",$C43=""),"",IFERROR(MAX(1,INDEX(PRODUCTOS!$G$6:$G$105,MATCH($A43,PRODUCTOS!$A$6:$A$105,0))),1))</f>
        <v>1</v>
      </c>
      <c r="J43" s="43" t="n">
        <f aca="false">IF(OR($A43="",$C43=""),"",$H43/$I43)</f>
        <v>10</v>
      </c>
      <c r="K43" s="34" t="n">
        <f aca="false">IF(OR($A43="",$C43=""),"",SUMIFS(VENTAS!$E$6:$E$2005,VENTAS!$C$6:$C$2005,$A43))</f>
        <v>7</v>
      </c>
      <c r="L43" s="45" t="n">
        <f aca="false">IF(OR($A43="",$C43=""),"",IFERROR(N($F43)/INDEX(INSUMOS!$I$6:$I$205,MATCH($C43,INSUMOS!$A$6:$A$205,0)),N($F43))/$I43*$K43)</f>
        <v>14</v>
      </c>
      <c r="M43" s="8" t="n">
        <f aca="false">IF($A43="","",COUNTIF($A$6:$A43,$A43))</f>
        <v>11</v>
      </c>
      <c r="N43" s="8" t="str">
        <f aca="false">IF($A43="","",$A43&amp;"|"&amp;$M43)</f>
        <v>P004|11</v>
      </c>
    </row>
    <row r="44" customFormat="false" ht="15" hidden="false" customHeight="false" outlineLevel="0" collapsed="false">
      <c r="A44" s="6" t="s">
        <v>353</v>
      </c>
      <c r="B44" s="8" t="str">
        <f aca="false">IF($A44="","",IFERROR(INDEX(PRODUCTOS!$B$6:$B$105,MATCH($A44,PRODUCTOS!$A$6:$A$105,0)),"¿Código?"))</f>
        <v>Fresas con crema Extra grande (24 oz)</v>
      </c>
      <c r="C44" s="6" t="s">
        <v>298</v>
      </c>
      <c r="D44" s="8" t="str">
        <f aca="false">IF($C44="","",IFERROR(INDEX(INSUMOS!$B$6:$B$205,MATCH($C44,INSUMOS!$A$6:$A$205,0)),"¿Código?"))</f>
        <v>Bolsa para llevar</v>
      </c>
      <c r="E44" s="8" t="str">
        <f aca="false">IF($C44="","",IFERROR(INDEX(INSUMOS!$D$6:$D$205,MATCH($C44,INSUMOS!$A$6:$A$205,0)),""))</f>
        <v>u</v>
      </c>
      <c r="F44" s="39" t="n">
        <v>1</v>
      </c>
      <c r="G44" s="43" t="n">
        <f aca="false">IF(OR($A44="",$C44=""),"",IFERROR(INDEX(INSUMOS!$P$6:$P$205,MATCH($C44,INSUMOS!$A$6:$A$205,0)),0))</f>
        <v>20</v>
      </c>
      <c r="H44" s="43" t="n">
        <f aca="false">IF(OR($A44="",$C44=""),"",N($F44)*$G44)</f>
        <v>20</v>
      </c>
      <c r="I44" s="34" t="n">
        <f aca="false">IF(OR($A44="",$C44=""),"",IFERROR(MAX(1,INDEX(PRODUCTOS!$G$6:$G$105,MATCH($A44,PRODUCTOS!$A$6:$A$105,0))),1))</f>
        <v>1</v>
      </c>
      <c r="J44" s="43" t="n">
        <f aca="false">IF(OR($A44="",$C44=""),"",$H44/$I44)</f>
        <v>20</v>
      </c>
      <c r="K44" s="34" t="n">
        <f aca="false">IF(OR($A44="",$C44=""),"",SUMIFS(VENTAS!$E$6:$E$2005,VENTAS!$C$6:$C$2005,$A44))</f>
        <v>7</v>
      </c>
      <c r="L44" s="45" t="n">
        <f aca="false">IF(OR($A44="",$C44=""),"",IFERROR(N($F44)/INDEX(INSUMOS!$I$6:$I$205,MATCH($C44,INSUMOS!$A$6:$A$205,0)),N($F44))/$I44*$K44)</f>
        <v>7</v>
      </c>
      <c r="M44" s="8" t="n">
        <f aca="false">IF($A44="","",COUNTIF($A$6:$A44,$A44))</f>
        <v>12</v>
      </c>
      <c r="N44" s="8" t="str">
        <f aca="false">IF($A44="","",$A44&amp;"|"&amp;$M44)</f>
        <v>P004|12</v>
      </c>
    </row>
    <row r="45" customFormat="false" ht="15" hidden="false" customHeight="false" outlineLevel="0" collapsed="false">
      <c r="A45" s="6" t="s">
        <v>354</v>
      </c>
      <c r="B45" s="8" t="str">
        <f aca="false">IF($A45="","",IFERROR(INDEX(PRODUCTOS!$B$6:$B$105,MATCH($A45,PRODUCTOS!$A$6:$A$105,0)),"¿Código?"))</f>
        <v>Maracumango</v>
      </c>
      <c r="C45" s="6" t="s">
        <v>230</v>
      </c>
      <c r="D45" s="8" t="str">
        <f aca="false">IF($C45="","",IFERROR(INDEX(INSUMOS!$B$6:$B$205,MATCH($C45,INSUMOS!$A$6:$A$205,0)),"¿Código?"))</f>
        <v>Mango maduro</v>
      </c>
      <c r="E45" s="8" t="str">
        <f aca="false">IF($C45="","",IFERROR(INDEX(INSUMOS!$D$6:$D$205,MATCH($C45,INSUMOS!$A$6:$A$205,0)),""))</f>
        <v>g</v>
      </c>
      <c r="F45" s="39" t="n">
        <v>180</v>
      </c>
      <c r="G45" s="43" t="n">
        <f aca="false">IF(OR($A45="",$C45=""),"",IFERROR(INDEX(INSUMOS!$P$6:$P$205,MATCH($C45,INSUMOS!$A$6:$A$205,0)),0))</f>
        <v>2</v>
      </c>
      <c r="H45" s="43" t="n">
        <f aca="false">IF(OR($A45="",$C45=""),"",N($F45)*$G45)</f>
        <v>360</v>
      </c>
      <c r="I45" s="34" t="n">
        <f aca="false">IF(OR($A45="",$C45=""),"",IFERROR(MAX(1,INDEX(PRODUCTOS!$G$6:$G$105,MATCH($A45,PRODUCTOS!$A$6:$A$105,0))),1))</f>
        <v>1</v>
      </c>
      <c r="J45" s="43" t="n">
        <f aca="false">IF(OR($A45="",$C45=""),"",$H45/$I45)</f>
        <v>360</v>
      </c>
      <c r="K45" s="34" t="n">
        <f aca="false">IF(OR($A45="",$C45=""),"",SUMIFS(VENTAS!$E$6:$E$2005,VENTAS!$C$6:$C$2005,$A45))</f>
        <v>13</v>
      </c>
      <c r="L45" s="45" t="n">
        <f aca="false">IF(OR($A45="",$C45=""),"",IFERROR(N($F45)/INDEX(INSUMOS!$I$6:$I$205,MATCH($C45,INSUMOS!$A$6:$A$205,0)),N($F45))/$I45*$K45)</f>
        <v>3600</v>
      </c>
      <c r="M45" s="8" t="n">
        <f aca="false">IF($A45="","",COUNTIF($A$6:$A45,$A45))</f>
        <v>1</v>
      </c>
      <c r="N45" s="8" t="str">
        <f aca="false">IF($A45="","",$A45&amp;"|"&amp;$M45)</f>
        <v>P005|1</v>
      </c>
    </row>
    <row r="46" customFormat="false" ht="15" hidden="false" customHeight="false" outlineLevel="0" collapsed="false">
      <c r="A46" s="6" t="s">
        <v>354</v>
      </c>
      <c r="B46" s="8" t="str">
        <f aca="false">IF($A46="","",IFERROR(INDEX(PRODUCTOS!$B$6:$B$105,MATCH($A46,PRODUCTOS!$A$6:$A$105,0)),"¿Código?"))</f>
        <v>Maracumango</v>
      </c>
      <c r="C46" s="6" t="s">
        <v>233</v>
      </c>
      <c r="D46" s="8" t="str">
        <f aca="false">IF($C46="","",IFERROR(INDEX(INSUMOS!$B$6:$B$205,MATCH($C46,INSUMOS!$A$6:$A$205,0)),"¿Código?"))</f>
        <v>Pulpa de maracuyá</v>
      </c>
      <c r="E46" s="8" t="str">
        <f aca="false">IF($C46="","",IFERROR(INDEX(INSUMOS!$D$6:$D$205,MATCH($C46,INSUMOS!$A$6:$A$205,0)),""))</f>
        <v>g</v>
      </c>
      <c r="F46" s="39" t="n">
        <v>60</v>
      </c>
      <c r="G46" s="43" t="n">
        <f aca="false">IF(OR($A46="",$C46=""),"",IFERROR(INDEX(INSUMOS!$P$6:$P$205,MATCH($C46,INSUMOS!$A$6:$A$205,0)),0))</f>
        <v>2.8</v>
      </c>
      <c r="H46" s="43" t="n">
        <f aca="false">IF(OR($A46="",$C46=""),"",N($F46)*$G46)</f>
        <v>168</v>
      </c>
      <c r="I46" s="34" t="n">
        <f aca="false">IF(OR($A46="",$C46=""),"",IFERROR(MAX(1,INDEX(PRODUCTOS!$G$6:$G$105,MATCH($A46,PRODUCTOS!$A$6:$A$105,0))),1))</f>
        <v>1</v>
      </c>
      <c r="J46" s="43" t="n">
        <f aca="false">IF(OR($A46="",$C46=""),"",$H46/$I46)</f>
        <v>168</v>
      </c>
      <c r="K46" s="34" t="n">
        <f aca="false">IF(OR($A46="",$C46=""),"",SUMIFS(VENTAS!$E$6:$E$2005,VENTAS!$C$6:$C$2005,$A46))</f>
        <v>13</v>
      </c>
      <c r="L46" s="45" t="n">
        <f aca="false">IF(OR($A46="",$C46=""),"",IFERROR(N($F46)/INDEX(INSUMOS!$I$6:$I$205,MATCH($C46,INSUMOS!$A$6:$A$205,0)),N($F46))/$I46*$K46)</f>
        <v>780</v>
      </c>
      <c r="M46" s="8" t="n">
        <f aca="false">IF($A46="","",COUNTIF($A$6:$A46,$A46))</f>
        <v>2</v>
      </c>
      <c r="N46" s="8" t="str">
        <f aca="false">IF($A46="","",$A46&amp;"|"&amp;$M46)</f>
        <v>P005|2</v>
      </c>
    </row>
    <row r="47" customFormat="false" ht="15" hidden="false" customHeight="false" outlineLevel="0" collapsed="false">
      <c r="A47" s="6" t="s">
        <v>354</v>
      </c>
      <c r="B47" s="8" t="str">
        <f aca="false">IF($A47="","",IFERROR(INDEX(PRODUCTOS!$B$6:$B$105,MATCH($A47,PRODUCTOS!$A$6:$A$105,0)),"¿Código?"))</f>
        <v>Maracumango</v>
      </c>
      <c r="C47" s="6" t="s">
        <v>237</v>
      </c>
      <c r="D47" s="8" t="str">
        <f aca="false">IF($C47="","",IFERROR(INDEX(INSUMOS!$B$6:$B$205,MATCH($C47,INSUMOS!$A$6:$A$205,0)),"¿Código?"))</f>
        <v>Crema dulce</v>
      </c>
      <c r="E47" s="8" t="str">
        <f aca="false">IF($C47="","",IFERROR(INDEX(INSUMOS!$D$6:$D$205,MATCH($C47,INSUMOS!$A$6:$A$205,0)),""))</f>
        <v>ml</v>
      </c>
      <c r="F47" s="39" t="n">
        <v>60</v>
      </c>
      <c r="G47" s="43" t="n">
        <f aca="false">IF(OR($A47="",$C47=""),"",IFERROR(INDEX(INSUMOS!$P$6:$P$205,MATCH($C47,INSUMOS!$A$6:$A$205,0)),0))</f>
        <v>2.55</v>
      </c>
      <c r="H47" s="43" t="n">
        <f aca="false">IF(OR($A47="",$C47=""),"",N($F47)*$G47)</f>
        <v>153</v>
      </c>
      <c r="I47" s="34" t="n">
        <f aca="false">IF(OR($A47="",$C47=""),"",IFERROR(MAX(1,INDEX(PRODUCTOS!$G$6:$G$105,MATCH($A47,PRODUCTOS!$A$6:$A$105,0))),1))</f>
        <v>1</v>
      </c>
      <c r="J47" s="43" t="n">
        <f aca="false">IF(OR($A47="",$C47=""),"",$H47/$I47)</f>
        <v>153</v>
      </c>
      <c r="K47" s="34" t="n">
        <f aca="false">IF(OR($A47="",$C47=""),"",SUMIFS(VENTAS!$E$6:$E$2005,VENTAS!$C$6:$C$2005,$A47))</f>
        <v>13</v>
      </c>
      <c r="L47" s="45" t="n">
        <f aca="false">IF(OR($A47="",$C47=""),"",IFERROR(N($F47)/INDEX(INSUMOS!$I$6:$I$205,MATCH($C47,INSUMOS!$A$6:$A$205,0)),N($F47))/$I47*$K47)</f>
        <v>780</v>
      </c>
      <c r="M47" s="8" t="n">
        <f aca="false">IF($A47="","",COUNTIF($A$6:$A47,$A47))</f>
        <v>3</v>
      </c>
      <c r="N47" s="8" t="str">
        <f aca="false">IF($A47="","",$A47&amp;"|"&amp;$M47)</f>
        <v>P005|3</v>
      </c>
    </row>
    <row r="48" customFormat="false" ht="15" hidden="false" customHeight="false" outlineLevel="0" collapsed="false">
      <c r="A48" s="6" t="s">
        <v>354</v>
      </c>
      <c r="B48" s="8" t="str">
        <f aca="false">IF($A48="","",IFERROR(INDEX(PRODUCTOS!$B$6:$B$105,MATCH($A48,PRODUCTOS!$A$6:$A$105,0)),"¿Código?"))</f>
        <v>Maracumango</v>
      </c>
      <c r="C48" s="6" t="s">
        <v>241</v>
      </c>
      <c r="D48" s="8" t="str">
        <f aca="false">IF($C48="","",IFERROR(INDEX(INSUMOS!$B$6:$B$205,MATCH($C48,INSUMOS!$A$6:$A$205,0)),"¿Código?"))</f>
        <v>Leche condensada</v>
      </c>
      <c r="E48" s="8" t="str">
        <f aca="false">IF($C48="","",IFERROR(INDEX(INSUMOS!$D$6:$D$205,MATCH($C48,INSUMOS!$A$6:$A$205,0)),""))</f>
        <v>g</v>
      </c>
      <c r="F48" s="39" t="n">
        <v>30</v>
      </c>
      <c r="G48" s="43" t="n">
        <f aca="false">IF(OR($A48="",$C48=""),"",IFERROR(INDEX(INSUMOS!$P$6:$P$205,MATCH($C48,INSUMOS!$A$6:$A$205,0)),0))</f>
        <v>3.24599444285751</v>
      </c>
      <c r="H48" s="43" t="n">
        <f aca="false">IF(OR($A48="",$C48=""),"",N($F48)*$G48)</f>
        <v>97.3798332857254</v>
      </c>
      <c r="I48" s="34" t="n">
        <f aca="false">IF(OR($A48="",$C48=""),"",IFERROR(MAX(1,INDEX(PRODUCTOS!$G$6:$G$105,MATCH($A48,PRODUCTOS!$A$6:$A$105,0))),1))</f>
        <v>1</v>
      </c>
      <c r="J48" s="43" t="n">
        <f aca="false">IF(OR($A48="",$C48=""),"",$H48/$I48)</f>
        <v>97.3798332857254</v>
      </c>
      <c r="K48" s="34" t="n">
        <f aca="false">IF(OR($A48="",$C48=""),"",SUMIFS(VENTAS!$E$6:$E$2005,VENTAS!$C$6:$C$2005,$A48))</f>
        <v>13</v>
      </c>
      <c r="L48" s="45" t="n">
        <f aca="false">IF(OR($A48="",$C48=""),"",IFERROR(N($F48)/INDEX(INSUMOS!$I$6:$I$205,MATCH($C48,INSUMOS!$A$6:$A$205,0)),N($F48))/$I48*$K48)</f>
        <v>402.061855670103</v>
      </c>
      <c r="M48" s="8" t="n">
        <f aca="false">IF($A48="","",COUNTIF($A$6:$A48,$A48))</f>
        <v>4</v>
      </c>
      <c r="N48" s="8" t="str">
        <f aca="false">IF($A48="","",$A48&amp;"|"&amp;$M48)</f>
        <v>P005|4</v>
      </c>
    </row>
    <row r="49" customFormat="false" ht="15" hidden="false" customHeight="false" outlineLevel="0" collapsed="false">
      <c r="A49" s="6" t="s">
        <v>354</v>
      </c>
      <c r="B49" s="8" t="str">
        <f aca="false">IF($A49="","",IFERROR(INDEX(PRODUCTOS!$B$6:$B$105,MATCH($A49,PRODUCTOS!$A$6:$A$105,0)),"¿Código?"))</f>
        <v>Maracumango</v>
      </c>
      <c r="C49" s="6" t="s">
        <v>288</v>
      </c>
      <c r="D49" s="8" t="str">
        <f aca="false">IF($C49="","",IFERROR(INDEX(INSUMOS!$B$6:$B$205,MATCH($C49,INSUMOS!$A$6:$A$205,0)),"¿Código?"))</f>
        <v>Vaso 16 oz con tapa</v>
      </c>
      <c r="E49" s="8" t="str">
        <f aca="false">IF($C49="","",IFERROR(INDEX(INSUMOS!$D$6:$D$205,MATCH($C49,INSUMOS!$A$6:$A$205,0)),""))</f>
        <v>u</v>
      </c>
      <c r="F49" s="39" t="n">
        <v>1</v>
      </c>
      <c r="G49" s="43" t="n">
        <f aca="false">IF(OR($A49="",$C49=""),"",IFERROR(INDEX(INSUMOS!$P$6:$P$205,MATCH($C49,INSUMOS!$A$6:$A$205,0)),0))</f>
        <v>110</v>
      </c>
      <c r="H49" s="43" t="n">
        <f aca="false">IF(OR($A49="",$C49=""),"",N($F49)*$G49)</f>
        <v>110</v>
      </c>
      <c r="I49" s="34" t="n">
        <f aca="false">IF(OR($A49="",$C49=""),"",IFERROR(MAX(1,INDEX(PRODUCTOS!$G$6:$G$105,MATCH($A49,PRODUCTOS!$A$6:$A$105,0))),1))</f>
        <v>1</v>
      </c>
      <c r="J49" s="43" t="n">
        <f aca="false">IF(OR($A49="",$C49=""),"",$H49/$I49)</f>
        <v>110</v>
      </c>
      <c r="K49" s="34" t="n">
        <f aca="false">IF(OR($A49="",$C49=""),"",SUMIFS(VENTAS!$E$6:$E$2005,VENTAS!$C$6:$C$2005,$A49))</f>
        <v>13</v>
      </c>
      <c r="L49" s="45" t="n">
        <f aca="false">IF(OR($A49="",$C49=""),"",IFERROR(N($F49)/INDEX(INSUMOS!$I$6:$I$205,MATCH($C49,INSUMOS!$A$6:$A$205,0)),N($F49))/$I49*$K49)</f>
        <v>13</v>
      </c>
      <c r="M49" s="8" t="n">
        <f aca="false">IF($A49="","",COUNTIF($A$6:$A49,$A49))</f>
        <v>5</v>
      </c>
      <c r="N49" s="8" t="str">
        <f aca="false">IF($A49="","",$A49&amp;"|"&amp;$M49)</f>
        <v>P005|5</v>
      </c>
    </row>
    <row r="50" customFormat="false" ht="15" hidden="false" customHeight="false" outlineLevel="0" collapsed="false">
      <c r="A50" s="6" t="s">
        <v>354</v>
      </c>
      <c r="B50" s="8" t="str">
        <f aca="false">IF($A50="","",IFERROR(INDEX(PRODUCTOS!$B$6:$B$105,MATCH($A50,PRODUCTOS!$A$6:$A$105,0)),"¿Código?"))</f>
        <v>Maracumango</v>
      </c>
      <c r="C50" s="6" t="s">
        <v>292</v>
      </c>
      <c r="D50" s="8" t="str">
        <f aca="false">IF($C50="","",IFERROR(INDEX(INSUMOS!$B$6:$B$205,MATCH($C50,INSUMOS!$A$6:$A$205,0)),"¿Código?"))</f>
        <v>Cuchara plástica</v>
      </c>
      <c r="E50" s="8" t="str">
        <f aca="false">IF($C50="","",IFERROR(INDEX(INSUMOS!$D$6:$D$205,MATCH($C50,INSUMOS!$A$6:$A$205,0)),""))</f>
        <v>u</v>
      </c>
      <c r="F50" s="39" t="n">
        <v>1</v>
      </c>
      <c r="G50" s="43" t="n">
        <f aca="false">IF(OR($A50="",$C50=""),"",IFERROR(INDEX(INSUMOS!$P$6:$P$205,MATCH($C50,INSUMOS!$A$6:$A$205,0)),0))</f>
        <v>15</v>
      </c>
      <c r="H50" s="43" t="n">
        <f aca="false">IF(OR($A50="",$C50=""),"",N($F50)*$G50)</f>
        <v>15</v>
      </c>
      <c r="I50" s="34" t="n">
        <f aca="false">IF(OR($A50="",$C50=""),"",IFERROR(MAX(1,INDEX(PRODUCTOS!$G$6:$G$105,MATCH($A50,PRODUCTOS!$A$6:$A$105,0))),1))</f>
        <v>1</v>
      </c>
      <c r="J50" s="43" t="n">
        <f aca="false">IF(OR($A50="",$C50=""),"",$H50/$I50)</f>
        <v>15</v>
      </c>
      <c r="K50" s="34" t="n">
        <f aca="false">IF(OR($A50="",$C50=""),"",SUMIFS(VENTAS!$E$6:$E$2005,VENTAS!$C$6:$C$2005,$A50))</f>
        <v>13</v>
      </c>
      <c r="L50" s="45" t="n">
        <f aca="false">IF(OR($A50="",$C50=""),"",IFERROR(N($F50)/INDEX(INSUMOS!$I$6:$I$205,MATCH($C50,INSUMOS!$A$6:$A$205,0)),N($F50))/$I50*$K50)</f>
        <v>13</v>
      </c>
      <c r="M50" s="8" t="n">
        <f aca="false">IF($A50="","",COUNTIF($A$6:$A50,$A50))</f>
        <v>6</v>
      </c>
      <c r="N50" s="8" t="str">
        <f aca="false">IF($A50="","",$A50&amp;"|"&amp;$M50)</f>
        <v>P005|6</v>
      </c>
    </row>
    <row r="51" customFormat="false" ht="15" hidden="false" customHeight="false" outlineLevel="0" collapsed="false">
      <c r="A51" s="6" t="s">
        <v>354</v>
      </c>
      <c r="B51" s="8" t="str">
        <f aca="false">IF($A51="","",IFERROR(INDEX(PRODUCTOS!$B$6:$B$105,MATCH($A51,PRODUCTOS!$A$6:$A$105,0)),"¿Código?"))</f>
        <v>Maracumango</v>
      </c>
      <c r="C51" s="6" t="s">
        <v>295</v>
      </c>
      <c r="D51" s="8" t="str">
        <f aca="false">IF($C51="","",IFERROR(INDEX(INSUMOS!$B$6:$B$205,MATCH($C51,INSUMOS!$A$6:$A$205,0)),"¿Código?"))</f>
        <v>Servilleta</v>
      </c>
      <c r="E51" s="8" t="str">
        <f aca="false">IF($C51="","",IFERROR(INDEX(INSUMOS!$D$6:$D$205,MATCH($C51,INSUMOS!$A$6:$A$205,0)),""))</f>
        <v>u</v>
      </c>
      <c r="F51" s="39" t="n">
        <v>1</v>
      </c>
      <c r="G51" s="43" t="n">
        <f aca="false">IF(OR($A51="",$C51=""),"",IFERROR(INDEX(INSUMOS!$P$6:$P$205,MATCH($C51,INSUMOS!$A$6:$A$205,0)),0))</f>
        <v>5</v>
      </c>
      <c r="H51" s="43" t="n">
        <f aca="false">IF(OR($A51="",$C51=""),"",N($F51)*$G51)</f>
        <v>5</v>
      </c>
      <c r="I51" s="34" t="n">
        <f aca="false">IF(OR($A51="",$C51=""),"",IFERROR(MAX(1,INDEX(PRODUCTOS!$G$6:$G$105,MATCH($A51,PRODUCTOS!$A$6:$A$105,0))),1))</f>
        <v>1</v>
      </c>
      <c r="J51" s="43" t="n">
        <f aca="false">IF(OR($A51="",$C51=""),"",$H51/$I51)</f>
        <v>5</v>
      </c>
      <c r="K51" s="34" t="n">
        <f aca="false">IF(OR($A51="",$C51=""),"",SUMIFS(VENTAS!$E$6:$E$2005,VENTAS!$C$6:$C$2005,$A51))</f>
        <v>13</v>
      </c>
      <c r="L51" s="45" t="n">
        <f aca="false">IF(OR($A51="",$C51=""),"",IFERROR(N($F51)/INDEX(INSUMOS!$I$6:$I$205,MATCH($C51,INSUMOS!$A$6:$A$205,0)),N($F51))/$I51*$K51)</f>
        <v>13</v>
      </c>
      <c r="M51" s="8" t="n">
        <f aca="false">IF($A51="","",COUNTIF($A$6:$A51,$A51))</f>
        <v>7</v>
      </c>
      <c r="N51" s="8" t="str">
        <f aca="false">IF($A51="","",$A51&amp;"|"&amp;$M51)</f>
        <v>P005|7</v>
      </c>
    </row>
    <row r="52" customFormat="false" ht="15" hidden="false" customHeight="false" outlineLevel="0" collapsed="false">
      <c r="A52" s="6" t="s">
        <v>355</v>
      </c>
      <c r="B52" s="8" t="str">
        <f aca="false">IF($A52="","",IFERROR(INDEX(PRODUCTOS!$B$6:$B$105,MATCH($A52,PRODUCTOS!$A$6:$A$105,0)),"¿Código?"))</f>
        <v>Topping extra</v>
      </c>
      <c r="C52" s="6" t="s">
        <v>251</v>
      </c>
      <c r="D52" s="8" t="str">
        <f aca="false">IF($C52="","",IFERROR(INDEX(INSUMOS!$B$6:$B$205,MATCH($C52,INSUMOS!$A$6:$A$205,0)),"¿Código?"))</f>
        <v>Galleta Oreo triturada</v>
      </c>
      <c r="E52" s="8" t="str">
        <f aca="false">IF($C52="","",IFERROR(INDEX(INSUMOS!$D$6:$D$205,MATCH($C52,INSUMOS!$A$6:$A$205,0)),""))</f>
        <v>g</v>
      </c>
      <c r="F52" s="39" t="n">
        <v>15</v>
      </c>
      <c r="G52" s="43" t="n">
        <f aca="false">IF(OR($A52="",$C52=""),"",IFERROR(INDEX(INSUMOS!$P$6:$P$205,MATCH($C52,INSUMOS!$A$6:$A$205,0)),0))</f>
        <v>6.33528265107212</v>
      </c>
      <c r="H52" s="43" t="n">
        <f aca="false">IF(OR($A52="",$C52=""),"",N($F52)*$G52)</f>
        <v>95.0292397660819</v>
      </c>
      <c r="I52" s="34" t="n">
        <f aca="false">IF(OR($A52="",$C52=""),"",IFERROR(MAX(1,INDEX(PRODUCTOS!$G$6:$G$105,MATCH($A52,PRODUCTOS!$A$6:$A$105,0))),1))</f>
        <v>1</v>
      </c>
      <c r="J52" s="43" t="n">
        <f aca="false">IF(OR($A52="",$C52=""),"",$H52/$I52)</f>
        <v>95.0292397660819</v>
      </c>
      <c r="K52" s="34" t="n">
        <f aca="false">IF(OR($A52="",$C52=""),"",SUMIFS(VENTAS!$E$6:$E$2005,VENTAS!$C$6:$C$2005,$A52))</f>
        <v>8</v>
      </c>
      <c r="L52" s="45" t="n">
        <f aca="false">IF(OR($A52="",$C52=""),"",IFERROR(N($F52)/INDEX(INSUMOS!$I$6:$I$205,MATCH($C52,INSUMOS!$A$6:$A$205,0)),N($F52))/$I52*$K52)</f>
        <v>126.315789473684</v>
      </c>
      <c r="M52" s="8" t="n">
        <f aca="false">IF($A52="","",COUNTIF($A$6:$A52,$A52))</f>
        <v>1</v>
      </c>
      <c r="N52" s="8" t="str">
        <f aca="false">IF($A52="","",$A52&amp;"|"&amp;$M52)</f>
        <v>P006|1</v>
      </c>
    </row>
    <row r="53" customFormat="false" ht="15" hidden="false" customHeight="false" outlineLevel="0" collapsed="false">
      <c r="A53" s="6" t="s">
        <v>356</v>
      </c>
      <c r="B53" s="8" t="str">
        <f aca="false">IF($A53="","",IFERROR(INDEX(PRODUCTOS!$B$6:$B$105,MATCH($A53,PRODUCTOS!$A$6:$A$105,0)),"¿Código?"))</f>
        <v>Topping extra premium</v>
      </c>
      <c r="C53" s="6" t="s">
        <v>267</v>
      </c>
      <c r="D53" s="8" t="str">
        <f aca="false">IF($C53="","",IFERROR(INDEX(INSUMOS!$B$6:$B$205,MATCH($C53,INSUMOS!$A$6:$A$205,0)),"¿Código?"))</f>
        <v>Almendras fileteadas</v>
      </c>
      <c r="E53" s="8" t="str">
        <f aca="false">IF($C53="","",IFERROR(INDEX(INSUMOS!$D$6:$D$205,MATCH($C53,INSUMOS!$A$6:$A$205,0)),""))</f>
        <v>g</v>
      </c>
      <c r="F53" s="39" t="n">
        <v>15</v>
      </c>
      <c r="G53" s="43" t="n">
        <f aca="false">IF(OR($A53="",$C53=""),"",IFERROR(INDEX(INSUMOS!$P$6:$P$205,MATCH($C53,INSUMOS!$A$6:$A$205,0)),0))</f>
        <v>9.5</v>
      </c>
      <c r="H53" s="43" t="n">
        <f aca="false">IF(OR($A53="",$C53=""),"",N($F53)*$G53)</f>
        <v>142.5</v>
      </c>
      <c r="I53" s="34" t="n">
        <f aca="false">IF(OR($A53="",$C53=""),"",IFERROR(MAX(1,INDEX(PRODUCTOS!$G$6:$G$105,MATCH($A53,PRODUCTOS!$A$6:$A$105,0))),1))</f>
        <v>1</v>
      </c>
      <c r="J53" s="43" t="n">
        <f aca="false">IF(OR($A53="",$C53=""),"",$H53/$I53)</f>
        <v>142.5</v>
      </c>
      <c r="K53" s="34" t="n">
        <f aca="false">IF(OR($A53="",$C53=""),"",SUMIFS(VENTAS!$E$6:$E$2005,VENTAS!$C$6:$C$2005,$A53))</f>
        <v>4</v>
      </c>
      <c r="L53" s="45" t="n">
        <f aca="false">IF(OR($A53="",$C53=""),"",IFERROR(N($F53)/INDEX(INSUMOS!$I$6:$I$205,MATCH($C53,INSUMOS!$A$6:$A$205,0)),N($F53))/$I53*$K53)</f>
        <v>60</v>
      </c>
      <c r="M53" s="8" t="n">
        <f aca="false">IF($A53="","",COUNTIF($A$6:$A53,$A53))</f>
        <v>1</v>
      </c>
      <c r="N53" s="8" t="str">
        <f aca="false">IF($A53="","",$A53&amp;"|"&amp;$M53)</f>
        <v>P007|1</v>
      </c>
    </row>
    <row r="54" customFormat="false" ht="15" hidden="false" customHeight="false" outlineLevel="0" collapsed="false">
      <c r="A54" s="6" t="s">
        <v>357</v>
      </c>
      <c r="B54" s="8" t="str">
        <f aca="false">IF($A54="","",IFERROR(INDEX(PRODUCTOS!$B$6:$B$105,MATCH($A54,PRODUCTOS!$A$6:$A$105,0)),"¿Código?"))</f>
        <v>Jarabe premium (Nutella / pistacho)</v>
      </c>
      <c r="C54" s="6" t="s">
        <v>276</v>
      </c>
      <c r="D54" s="8" t="str">
        <f aca="false">IF($C54="","",IFERROR(INDEX(INSUMOS!$B$6:$B$205,MATCH($C54,INSUMOS!$A$6:$A$205,0)),"¿Código?"))</f>
        <v>Nutella</v>
      </c>
      <c r="E54" s="8" t="str">
        <f aca="false">IF($C54="","",IFERROR(INDEX(INSUMOS!$D$6:$D$205,MATCH($C54,INSUMOS!$A$6:$A$205,0)),""))</f>
        <v>g</v>
      </c>
      <c r="F54" s="39" t="n">
        <v>25</v>
      </c>
      <c r="G54" s="43" t="n">
        <f aca="false">IF(OR($A54="",$C54=""),"",IFERROR(INDEX(INSUMOS!$P$6:$P$205,MATCH($C54,INSUMOS!$A$6:$A$205,0)),0))</f>
        <v>9.54385964912281</v>
      </c>
      <c r="H54" s="43" t="n">
        <f aca="false">IF(OR($A54="",$C54=""),"",N($F54)*$G54)</f>
        <v>238.59649122807</v>
      </c>
      <c r="I54" s="34" t="n">
        <f aca="false">IF(OR($A54="",$C54=""),"",IFERROR(MAX(1,INDEX(PRODUCTOS!$G$6:$G$105,MATCH($A54,PRODUCTOS!$A$6:$A$105,0))),1))</f>
        <v>1</v>
      </c>
      <c r="J54" s="43" t="n">
        <f aca="false">IF(OR($A54="",$C54=""),"",$H54/$I54)</f>
        <v>238.59649122807</v>
      </c>
      <c r="K54" s="34" t="n">
        <f aca="false">IF(OR($A54="",$C54=""),"",SUMIFS(VENTAS!$E$6:$E$2005,VENTAS!$C$6:$C$2005,$A54))</f>
        <v>5</v>
      </c>
      <c r="L54" s="45" t="n">
        <f aca="false">IF(OR($A54="",$C54=""),"",IFERROR(N($F54)/INDEX(INSUMOS!$I$6:$I$205,MATCH($C54,INSUMOS!$A$6:$A$205,0)),N($F54))/$I54*$K54)</f>
        <v>131.578947368421</v>
      </c>
      <c r="M54" s="8" t="n">
        <f aca="false">IF($A54="","",COUNTIF($A$6:$A54,$A54))</f>
        <v>1</v>
      </c>
      <c r="N54" s="8" t="str">
        <f aca="false">IF($A54="","",$A54&amp;"|"&amp;$M54)</f>
        <v>P008|1</v>
      </c>
    </row>
    <row r="55" customFormat="false" ht="15" hidden="false" customHeight="false" outlineLevel="0" collapsed="false">
      <c r="A55" s="6" t="s">
        <v>358</v>
      </c>
      <c r="B55" s="8" t="str">
        <f aca="false">IF($A55="","",IFERROR(INDEX(PRODUCTOS!$B$6:$B$105,MATCH($A55,PRODUCTOS!$A$6:$A$105,0)),"¿Código?"))</f>
        <v>Brownie de la casa (lote de 20)</v>
      </c>
      <c r="C55" s="6" t="s">
        <v>304</v>
      </c>
      <c r="D55" s="8" t="str">
        <f aca="false">IF($C55="","",IFERROR(INDEX(INSUMOS!$B$6:$B$205,MATCH($C55,INSUMOS!$A$6:$A$205,0)),"¿Código?"))</f>
        <v>Harina</v>
      </c>
      <c r="E55" s="8" t="str">
        <f aca="false">IF($C55="","",IFERROR(INDEX(INSUMOS!$D$6:$D$205,MATCH($C55,INSUMOS!$A$6:$A$205,0)),""))</f>
        <v>g</v>
      </c>
      <c r="F55" s="39" t="n">
        <v>400</v>
      </c>
      <c r="G55" s="43" t="n">
        <f aca="false">IF(OR($A55="",$C55=""),"",IFERROR(INDEX(INSUMOS!$P$6:$P$205,MATCH($C55,INSUMOS!$A$6:$A$205,0)),0))</f>
        <v>1.1</v>
      </c>
      <c r="H55" s="43" t="n">
        <f aca="false">IF(OR($A55="",$C55=""),"",N($F55)*$G55)</f>
        <v>440</v>
      </c>
      <c r="I55" s="34" t="n">
        <f aca="false">IF(OR($A55="",$C55=""),"",IFERROR(MAX(1,INDEX(PRODUCTOS!$G$6:$G$105,MATCH($A55,PRODUCTOS!$A$6:$A$105,0))),1))</f>
        <v>20</v>
      </c>
      <c r="J55" s="43" t="n">
        <f aca="false">IF(OR($A55="",$C55=""),"",$H55/$I55)</f>
        <v>22</v>
      </c>
      <c r="K55" s="34" t="n">
        <f aca="false">IF(OR($A55="",$C55=""),"",SUMIFS(VENTAS!$E$6:$E$2005,VENTAS!$C$6:$C$2005,$A55))</f>
        <v>6</v>
      </c>
      <c r="L55" s="45" t="n">
        <f aca="false">IF(OR($A55="",$C55=""),"",IFERROR(N($F55)/INDEX(INSUMOS!$I$6:$I$205,MATCH($C55,INSUMOS!$A$6:$A$205,0)),N($F55))/$I55*$K55)</f>
        <v>120</v>
      </c>
      <c r="M55" s="8" t="n">
        <f aca="false">IF($A55="","",COUNTIF($A$6:$A55,$A55))</f>
        <v>1</v>
      </c>
      <c r="N55" s="8" t="str">
        <f aca="false">IF($A55="","",$A55&amp;"|"&amp;$M55)</f>
        <v>P009|1</v>
      </c>
    </row>
    <row r="56" customFormat="false" ht="15" hidden="false" customHeight="false" outlineLevel="0" collapsed="false">
      <c r="A56" s="6" t="s">
        <v>358</v>
      </c>
      <c r="B56" s="8" t="str">
        <f aca="false">IF($A56="","",IFERROR(INDEX(PRODUCTOS!$B$6:$B$105,MATCH($A56,PRODUCTOS!$A$6:$A$105,0)),"¿Código?"))</f>
        <v>Brownie de la casa (lote de 20)</v>
      </c>
      <c r="C56" s="6" t="s">
        <v>306</v>
      </c>
      <c r="D56" s="8" t="str">
        <f aca="false">IF($C56="","",IFERROR(INDEX(INSUMOS!$B$6:$B$205,MATCH($C56,INSUMOS!$A$6:$A$205,0)),"¿Código?"))</f>
        <v>Mantequilla</v>
      </c>
      <c r="E56" s="8" t="str">
        <f aca="false">IF($C56="","",IFERROR(INDEX(INSUMOS!$D$6:$D$205,MATCH($C56,INSUMOS!$A$6:$A$205,0)),""))</f>
        <v>g</v>
      </c>
      <c r="F56" s="39" t="n">
        <v>250</v>
      </c>
      <c r="G56" s="43" t="n">
        <f aca="false">IF(OR($A56="",$C56=""),"",IFERROR(INDEX(INSUMOS!$P$6:$P$205,MATCH($C56,INSUMOS!$A$6:$A$205,0)),0))</f>
        <v>4</v>
      </c>
      <c r="H56" s="43" t="n">
        <f aca="false">IF(OR($A56="",$C56=""),"",N($F56)*$G56)</f>
        <v>1000</v>
      </c>
      <c r="I56" s="34" t="n">
        <f aca="false">IF(OR($A56="",$C56=""),"",IFERROR(MAX(1,INDEX(PRODUCTOS!$G$6:$G$105,MATCH($A56,PRODUCTOS!$A$6:$A$105,0))),1))</f>
        <v>20</v>
      </c>
      <c r="J56" s="43" t="n">
        <f aca="false">IF(OR($A56="",$C56=""),"",$H56/$I56)</f>
        <v>50</v>
      </c>
      <c r="K56" s="34" t="n">
        <f aca="false">IF(OR($A56="",$C56=""),"",SUMIFS(VENTAS!$E$6:$E$2005,VENTAS!$C$6:$C$2005,$A56))</f>
        <v>6</v>
      </c>
      <c r="L56" s="45" t="n">
        <f aca="false">IF(OR($A56="",$C56=""),"",IFERROR(N($F56)/INDEX(INSUMOS!$I$6:$I$205,MATCH($C56,INSUMOS!$A$6:$A$205,0)),N($F56))/$I56*$K56)</f>
        <v>75</v>
      </c>
      <c r="M56" s="8" t="n">
        <f aca="false">IF($A56="","",COUNTIF($A$6:$A56,$A56))</f>
        <v>2</v>
      </c>
      <c r="N56" s="8" t="str">
        <f aca="false">IF($A56="","",$A56&amp;"|"&amp;$M56)</f>
        <v>P009|2</v>
      </c>
    </row>
    <row r="57" customFormat="false" ht="15" hidden="false" customHeight="false" outlineLevel="0" collapsed="false">
      <c r="A57" s="6" t="s">
        <v>358</v>
      </c>
      <c r="B57" s="8" t="str">
        <f aca="false">IF($A57="","",IFERROR(INDEX(PRODUCTOS!$B$6:$B$105,MATCH($A57,PRODUCTOS!$A$6:$A$105,0)),"¿Código?"))</f>
        <v>Brownie de la casa (lote de 20)</v>
      </c>
      <c r="C57" s="6" t="s">
        <v>248</v>
      </c>
      <c r="D57" s="8" t="str">
        <f aca="false">IF($C57="","",IFERROR(INDEX(INSUMOS!$B$6:$B$205,MATCH($C57,INSUMOS!$A$6:$A$205,0)),"¿Código?"))</f>
        <v>Azúcar</v>
      </c>
      <c r="E57" s="8" t="str">
        <f aca="false">IF($C57="","",IFERROR(INDEX(INSUMOS!$D$6:$D$205,MATCH($C57,INSUMOS!$A$6:$A$205,0)),""))</f>
        <v>g</v>
      </c>
      <c r="F57" s="39" t="n">
        <v>400</v>
      </c>
      <c r="G57" s="43" t="n">
        <f aca="false">IF(OR($A57="",$C57=""),"",IFERROR(INDEX(INSUMOS!$P$6:$P$205,MATCH($C57,INSUMOS!$A$6:$A$205,0)),0))</f>
        <v>0.85</v>
      </c>
      <c r="H57" s="43" t="n">
        <f aca="false">IF(OR($A57="",$C57=""),"",N($F57)*$G57)</f>
        <v>340</v>
      </c>
      <c r="I57" s="34" t="n">
        <f aca="false">IF(OR($A57="",$C57=""),"",IFERROR(MAX(1,INDEX(PRODUCTOS!$G$6:$G$105,MATCH($A57,PRODUCTOS!$A$6:$A$105,0))),1))</f>
        <v>20</v>
      </c>
      <c r="J57" s="43" t="n">
        <f aca="false">IF(OR($A57="",$C57=""),"",$H57/$I57)</f>
        <v>17</v>
      </c>
      <c r="K57" s="34" t="n">
        <f aca="false">IF(OR($A57="",$C57=""),"",SUMIFS(VENTAS!$E$6:$E$2005,VENTAS!$C$6:$C$2005,$A57))</f>
        <v>6</v>
      </c>
      <c r="L57" s="45" t="n">
        <f aca="false">IF(OR($A57="",$C57=""),"",IFERROR(N($F57)/INDEX(INSUMOS!$I$6:$I$205,MATCH($C57,INSUMOS!$A$6:$A$205,0)),N($F57))/$I57*$K57)</f>
        <v>120</v>
      </c>
      <c r="M57" s="8" t="n">
        <f aca="false">IF($A57="","",COUNTIF($A$6:$A57,$A57))</f>
        <v>3</v>
      </c>
      <c r="N57" s="8" t="str">
        <f aca="false">IF($A57="","",$A57&amp;"|"&amp;$M57)</f>
        <v>P009|3</v>
      </c>
    </row>
    <row r="58" customFormat="false" ht="15" hidden="false" customHeight="false" outlineLevel="0" collapsed="false">
      <c r="A58" s="6" t="s">
        <v>358</v>
      </c>
      <c r="B58" s="8" t="str">
        <f aca="false">IF($A58="","",IFERROR(INDEX(PRODUCTOS!$B$6:$B$105,MATCH($A58,PRODUCTOS!$A$6:$A$105,0)),"¿Código?"))</f>
        <v>Brownie de la casa (lote de 20)</v>
      </c>
      <c r="C58" s="6" t="s">
        <v>309</v>
      </c>
      <c r="D58" s="8" t="str">
        <f aca="false">IF($C58="","",IFERROR(INDEX(INSUMOS!$B$6:$B$205,MATCH($C58,INSUMOS!$A$6:$A$205,0)),"¿Código?"))</f>
        <v>Cacao en polvo</v>
      </c>
      <c r="E58" s="8" t="str">
        <f aca="false">IF($C58="","",IFERROR(INDEX(INSUMOS!$D$6:$D$205,MATCH($C58,INSUMOS!$A$6:$A$205,0)),""))</f>
        <v>g</v>
      </c>
      <c r="F58" s="39" t="n">
        <v>120</v>
      </c>
      <c r="G58" s="43" t="n">
        <f aca="false">IF(OR($A58="",$C58=""),"",IFERROR(INDEX(INSUMOS!$P$6:$P$205,MATCH($C58,INSUMOS!$A$6:$A$205,0)),0))</f>
        <v>7</v>
      </c>
      <c r="H58" s="43" t="n">
        <f aca="false">IF(OR($A58="",$C58=""),"",N($F58)*$G58)</f>
        <v>840</v>
      </c>
      <c r="I58" s="34" t="n">
        <f aca="false">IF(OR($A58="",$C58=""),"",IFERROR(MAX(1,INDEX(PRODUCTOS!$G$6:$G$105,MATCH($A58,PRODUCTOS!$A$6:$A$105,0))),1))</f>
        <v>20</v>
      </c>
      <c r="J58" s="43" t="n">
        <f aca="false">IF(OR($A58="",$C58=""),"",$H58/$I58)</f>
        <v>42</v>
      </c>
      <c r="K58" s="34" t="n">
        <f aca="false">IF(OR($A58="",$C58=""),"",SUMIFS(VENTAS!$E$6:$E$2005,VENTAS!$C$6:$C$2005,$A58))</f>
        <v>6</v>
      </c>
      <c r="L58" s="45" t="n">
        <f aca="false">IF(OR($A58="",$C58=""),"",IFERROR(N($F58)/INDEX(INSUMOS!$I$6:$I$205,MATCH($C58,INSUMOS!$A$6:$A$205,0)),N($F58))/$I58*$K58)</f>
        <v>36</v>
      </c>
      <c r="M58" s="8" t="n">
        <f aca="false">IF($A58="","",COUNTIF($A$6:$A58,$A58))</f>
        <v>4</v>
      </c>
      <c r="N58" s="8" t="str">
        <f aca="false">IF($A58="","",$A58&amp;"|"&amp;$M58)</f>
        <v>P009|4</v>
      </c>
    </row>
    <row r="59" customFormat="false" ht="15" hidden="false" customHeight="false" outlineLevel="0" collapsed="false">
      <c r="A59" s="6" t="s">
        <v>358</v>
      </c>
      <c r="B59" s="8" t="str">
        <f aca="false">IF($A59="","",IFERROR(INDEX(PRODUCTOS!$B$6:$B$105,MATCH($A59,PRODUCTOS!$A$6:$A$105,0)),"¿Código?"))</f>
        <v>Brownie de la casa (lote de 20)</v>
      </c>
      <c r="C59" s="6" t="s">
        <v>311</v>
      </c>
      <c r="D59" s="8" t="str">
        <f aca="false">IF($C59="","",IFERROR(INDEX(INSUMOS!$B$6:$B$205,MATCH($C59,INSUMOS!$A$6:$A$205,0)),"¿Código?"))</f>
        <v>Huevos</v>
      </c>
      <c r="E59" s="8" t="str">
        <f aca="false">IF($C59="","",IFERROR(INDEX(INSUMOS!$D$6:$D$205,MATCH($C59,INSUMOS!$A$6:$A$205,0)),""))</f>
        <v>u</v>
      </c>
      <c r="F59" s="39" t="n">
        <v>6</v>
      </c>
      <c r="G59" s="43" t="n">
        <f aca="false">IF(OR($A59="",$C59=""),"",IFERROR(INDEX(INSUMOS!$P$6:$P$205,MATCH($C59,INSUMOS!$A$6:$A$205,0)),0))</f>
        <v>100</v>
      </c>
      <c r="H59" s="43" t="n">
        <f aca="false">IF(OR($A59="",$C59=""),"",N($F59)*$G59)</f>
        <v>600</v>
      </c>
      <c r="I59" s="34" t="n">
        <f aca="false">IF(OR($A59="",$C59=""),"",IFERROR(MAX(1,INDEX(PRODUCTOS!$G$6:$G$105,MATCH($A59,PRODUCTOS!$A$6:$A$105,0))),1))</f>
        <v>20</v>
      </c>
      <c r="J59" s="43" t="n">
        <f aca="false">IF(OR($A59="",$C59=""),"",$H59/$I59)</f>
        <v>30</v>
      </c>
      <c r="K59" s="34" t="n">
        <f aca="false">IF(OR($A59="",$C59=""),"",SUMIFS(VENTAS!$E$6:$E$2005,VENTAS!$C$6:$C$2005,$A59))</f>
        <v>6</v>
      </c>
      <c r="L59" s="45" t="n">
        <f aca="false">IF(OR($A59="",$C59=""),"",IFERROR(N($F59)/INDEX(INSUMOS!$I$6:$I$205,MATCH($C59,INSUMOS!$A$6:$A$205,0)),N($F59))/$I59*$K59)</f>
        <v>1.8</v>
      </c>
      <c r="M59" s="8" t="n">
        <f aca="false">IF($A59="","",COUNTIF($A$6:$A59,$A59))</f>
        <v>5</v>
      </c>
      <c r="N59" s="8" t="str">
        <f aca="false">IF($A59="","",$A59&amp;"|"&amp;$M59)</f>
        <v>P009|5</v>
      </c>
    </row>
    <row r="60" customFormat="false" ht="15" hidden="false" customHeight="false" outlineLevel="0" collapsed="false">
      <c r="A60" s="6" t="s">
        <v>358</v>
      </c>
      <c r="B60" s="8" t="str">
        <f aca="false">IF($A60="","",IFERROR(INDEX(PRODUCTOS!$B$6:$B$105,MATCH($A60,PRODUCTOS!$A$6:$A$105,0)),"¿Código?"))</f>
        <v>Brownie de la casa (lote de 20)</v>
      </c>
      <c r="C60" s="6" t="s">
        <v>245</v>
      </c>
      <c r="D60" s="8" t="str">
        <f aca="false">IF($C60="","",IFERROR(INDEX(INSUMOS!$B$6:$B$205,MATCH($C60,INSUMOS!$A$6:$A$205,0)),"¿Código?"))</f>
        <v>Esencia de vainilla</v>
      </c>
      <c r="E60" s="8" t="str">
        <f aca="false">IF($C60="","",IFERROR(INDEX(INSUMOS!$D$6:$D$205,MATCH($C60,INSUMOS!$A$6:$A$205,0)),""))</f>
        <v>ml</v>
      </c>
      <c r="F60" s="39" t="n">
        <v>10</v>
      </c>
      <c r="G60" s="43" t="n">
        <f aca="false">IF(OR($A60="",$C60=""),"",IFERROR(INDEX(INSUMOS!$P$6:$P$205,MATCH($C60,INSUMOS!$A$6:$A$205,0)),0))</f>
        <v>7.2</v>
      </c>
      <c r="H60" s="43" t="n">
        <f aca="false">IF(OR($A60="",$C60=""),"",N($F60)*$G60)</f>
        <v>72</v>
      </c>
      <c r="I60" s="34" t="n">
        <f aca="false">IF(OR($A60="",$C60=""),"",IFERROR(MAX(1,INDEX(PRODUCTOS!$G$6:$G$105,MATCH($A60,PRODUCTOS!$A$6:$A$105,0))),1))</f>
        <v>20</v>
      </c>
      <c r="J60" s="43" t="n">
        <f aca="false">IF(OR($A60="",$C60=""),"",$H60/$I60)</f>
        <v>3.6</v>
      </c>
      <c r="K60" s="34" t="n">
        <f aca="false">IF(OR($A60="",$C60=""),"",SUMIFS(VENTAS!$E$6:$E$2005,VENTAS!$C$6:$C$2005,$A60))</f>
        <v>6</v>
      </c>
      <c r="L60" s="45" t="n">
        <f aca="false">IF(OR($A60="",$C60=""),"",IFERROR(N($F60)/INDEX(INSUMOS!$I$6:$I$205,MATCH($C60,INSUMOS!$A$6:$A$205,0)),N($F60))/$I60*$K60)</f>
        <v>3</v>
      </c>
      <c r="M60" s="8" t="n">
        <f aca="false">IF($A60="","",COUNTIF($A$6:$A60,$A60))</f>
        <v>6</v>
      </c>
      <c r="N60" s="8" t="str">
        <f aca="false">IF($A60="","",$A60&amp;"|"&amp;$M60)</f>
        <v>P009|6</v>
      </c>
    </row>
    <row r="61" customFormat="false" ht="15" hidden="false" customHeight="false" outlineLevel="0" collapsed="false">
      <c r="A61" s="6" t="s">
        <v>358</v>
      </c>
      <c r="B61" s="8" t="str">
        <f aca="false">IF($A61="","",IFERROR(INDEX(PRODUCTOS!$B$6:$B$105,MATCH($A61,PRODUCTOS!$A$6:$A$105,0)),"¿Código?"))</f>
        <v>Brownie de la casa (lote de 20)</v>
      </c>
      <c r="C61" s="6" t="s">
        <v>295</v>
      </c>
      <c r="D61" s="8" t="str">
        <f aca="false">IF($C61="","",IFERROR(INDEX(INSUMOS!$B$6:$B$205,MATCH($C61,INSUMOS!$A$6:$A$205,0)),"¿Código?"))</f>
        <v>Servilleta</v>
      </c>
      <c r="E61" s="8" t="str">
        <f aca="false">IF($C61="","",IFERROR(INDEX(INSUMOS!$D$6:$D$205,MATCH($C61,INSUMOS!$A$6:$A$205,0)),""))</f>
        <v>u</v>
      </c>
      <c r="F61" s="39" t="n">
        <v>20</v>
      </c>
      <c r="G61" s="43" t="n">
        <f aca="false">IF(OR($A61="",$C61=""),"",IFERROR(INDEX(INSUMOS!$P$6:$P$205,MATCH($C61,INSUMOS!$A$6:$A$205,0)),0))</f>
        <v>5</v>
      </c>
      <c r="H61" s="43" t="n">
        <f aca="false">IF(OR($A61="",$C61=""),"",N($F61)*$G61)</f>
        <v>100</v>
      </c>
      <c r="I61" s="34" t="n">
        <f aca="false">IF(OR($A61="",$C61=""),"",IFERROR(MAX(1,INDEX(PRODUCTOS!$G$6:$G$105,MATCH($A61,PRODUCTOS!$A$6:$A$105,0))),1))</f>
        <v>20</v>
      </c>
      <c r="J61" s="43" t="n">
        <f aca="false">IF(OR($A61="",$C61=""),"",$H61/$I61)</f>
        <v>5</v>
      </c>
      <c r="K61" s="34" t="n">
        <f aca="false">IF(OR($A61="",$C61=""),"",SUMIFS(VENTAS!$E$6:$E$2005,VENTAS!$C$6:$C$2005,$A61))</f>
        <v>6</v>
      </c>
      <c r="L61" s="45" t="n">
        <f aca="false">IF(OR($A61="",$C61=""),"",IFERROR(N($F61)/INDEX(INSUMOS!$I$6:$I$205,MATCH($C61,INSUMOS!$A$6:$A$205,0)),N($F61))/$I61*$K61)</f>
        <v>6</v>
      </c>
      <c r="M61" s="8" t="n">
        <f aca="false">IF($A61="","",COUNTIF($A$6:$A61,$A61))</f>
        <v>7</v>
      </c>
      <c r="N61" s="8" t="str">
        <f aca="false">IF($A61="","",$A61&amp;"|"&amp;$M61)</f>
        <v>P009|7</v>
      </c>
    </row>
    <row r="62" customFormat="false" ht="15" hidden="false" customHeight="false" outlineLevel="0" collapsed="false">
      <c r="A62" s="6"/>
      <c r="B62" s="8" t="str">
        <f aca="false">IF($A62="","",IFERROR(INDEX(PRODUCTOS!$B$6:$B$105,MATCH($A62,PRODUCTOS!$A$6:$A$105,0)),"¿Código?"))</f>
        <v/>
      </c>
      <c r="C62" s="6"/>
      <c r="D62" s="8" t="str">
        <f aca="false">IF($C62="","",IFERROR(INDEX(INSUMOS!$B$6:$B$205,MATCH($C62,INSUMOS!$A$6:$A$205,0)),"¿Código?"))</f>
        <v/>
      </c>
      <c r="E62" s="8" t="str">
        <f aca="false">IF($C62="","",IFERROR(INDEX(INSUMOS!$D$6:$D$205,MATCH($C62,INSUMOS!$A$6:$A$205,0)),""))</f>
        <v/>
      </c>
      <c r="F62" s="39"/>
      <c r="G62" s="43" t="str">
        <f aca="false">IF(OR($A62="",$C62=""),"",IFERROR(INDEX(INSUMOS!$P$6:$P$205,MATCH($C62,INSUMOS!$A$6:$A$205,0)),0))</f>
        <v/>
      </c>
      <c r="H62" s="43" t="str">
        <f aca="false">IF(OR($A62="",$C62=""),"",N($F62)*$G62)</f>
        <v/>
      </c>
      <c r="I62" s="34" t="str">
        <f aca="false">IF(OR($A62="",$C62=""),"",IFERROR(MAX(1,INDEX(PRODUCTOS!$G$6:$G$105,MATCH($A62,PRODUCTOS!$A$6:$A$105,0))),1))</f>
        <v/>
      </c>
      <c r="J62" s="43" t="str">
        <f aca="false">IF(OR($A62="",$C62=""),"",$H62/$I62)</f>
        <v/>
      </c>
      <c r="K62" s="34" t="str">
        <f aca="false">IF(OR($A62="",$C62=""),"",SUMIFS(VENTAS!$E$6:$E$2005,VENTAS!$C$6:$C$2005,$A62))</f>
        <v/>
      </c>
      <c r="L62" s="45" t="str">
        <f aca="false">IF(OR($A62="",$C62=""),"",IFERROR(N($F62)/INDEX(INSUMOS!$I$6:$I$205,MATCH($C62,INSUMOS!$A$6:$A$205,0)),N($F62))/$I62*$K62)</f>
        <v/>
      </c>
      <c r="M62" s="8" t="str">
        <f aca="false">IF($A62="","",COUNTIF($A$6:$A62,$A62))</f>
        <v/>
      </c>
      <c r="N62" s="8" t="str">
        <f aca="false">IF($A62="","",$A62&amp;"|"&amp;$M62)</f>
        <v/>
      </c>
    </row>
    <row r="63" customFormat="false" ht="15" hidden="false" customHeight="false" outlineLevel="0" collapsed="false">
      <c r="A63" s="6"/>
      <c r="B63" s="8" t="str">
        <f aca="false">IF($A63="","",IFERROR(INDEX(PRODUCTOS!$B$6:$B$105,MATCH($A63,PRODUCTOS!$A$6:$A$105,0)),"¿Código?"))</f>
        <v/>
      </c>
      <c r="C63" s="6"/>
      <c r="D63" s="8" t="str">
        <f aca="false">IF($C63="","",IFERROR(INDEX(INSUMOS!$B$6:$B$205,MATCH($C63,INSUMOS!$A$6:$A$205,0)),"¿Código?"))</f>
        <v/>
      </c>
      <c r="E63" s="8" t="str">
        <f aca="false">IF($C63="","",IFERROR(INDEX(INSUMOS!$D$6:$D$205,MATCH($C63,INSUMOS!$A$6:$A$205,0)),""))</f>
        <v/>
      </c>
      <c r="F63" s="39"/>
      <c r="G63" s="43" t="str">
        <f aca="false">IF(OR($A63="",$C63=""),"",IFERROR(INDEX(INSUMOS!$P$6:$P$205,MATCH($C63,INSUMOS!$A$6:$A$205,0)),0))</f>
        <v/>
      </c>
      <c r="H63" s="43" t="str">
        <f aca="false">IF(OR($A63="",$C63=""),"",N($F63)*$G63)</f>
        <v/>
      </c>
      <c r="I63" s="34" t="str">
        <f aca="false">IF(OR($A63="",$C63=""),"",IFERROR(MAX(1,INDEX(PRODUCTOS!$G$6:$G$105,MATCH($A63,PRODUCTOS!$A$6:$A$105,0))),1))</f>
        <v/>
      </c>
      <c r="J63" s="43" t="str">
        <f aca="false">IF(OR($A63="",$C63=""),"",$H63/$I63)</f>
        <v/>
      </c>
      <c r="K63" s="34" t="str">
        <f aca="false">IF(OR($A63="",$C63=""),"",SUMIFS(VENTAS!$E$6:$E$2005,VENTAS!$C$6:$C$2005,$A63))</f>
        <v/>
      </c>
      <c r="L63" s="45" t="str">
        <f aca="false">IF(OR($A63="",$C63=""),"",IFERROR(N($F63)/INDEX(INSUMOS!$I$6:$I$205,MATCH($C63,INSUMOS!$A$6:$A$205,0)),N($F63))/$I63*$K63)</f>
        <v/>
      </c>
      <c r="M63" s="8" t="str">
        <f aca="false">IF($A63="","",COUNTIF($A$6:$A63,$A63))</f>
        <v/>
      </c>
      <c r="N63" s="8" t="str">
        <f aca="false">IF($A63="","",$A63&amp;"|"&amp;$M63)</f>
        <v/>
      </c>
    </row>
    <row r="64" customFormat="false" ht="15" hidden="false" customHeight="false" outlineLevel="0" collapsed="false">
      <c r="A64" s="6"/>
      <c r="B64" s="8" t="str">
        <f aca="false">IF($A64="","",IFERROR(INDEX(PRODUCTOS!$B$6:$B$105,MATCH($A64,PRODUCTOS!$A$6:$A$105,0)),"¿Código?"))</f>
        <v/>
      </c>
      <c r="C64" s="6"/>
      <c r="D64" s="8" t="str">
        <f aca="false">IF($C64="","",IFERROR(INDEX(INSUMOS!$B$6:$B$205,MATCH($C64,INSUMOS!$A$6:$A$205,0)),"¿Código?"))</f>
        <v/>
      </c>
      <c r="E64" s="8" t="str">
        <f aca="false">IF($C64="","",IFERROR(INDEX(INSUMOS!$D$6:$D$205,MATCH($C64,INSUMOS!$A$6:$A$205,0)),""))</f>
        <v/>
      </c>
      <c r="F64" s="39"/>
      <c r="G64" s="43" t="str">
        <f aca="false">IF(OR($A64="",$C64=""),"",IFERROR(INDEX(INSUMOS!$P$6:$P$205,MATCH($C64,INSUMOS!$A$6:$A$205,0)),0))</f>
        <v/>
      </c>
      <c r="H64" s="43" t="str">
        <f aca="false">IF(OR($A64="",$C64=""),"",N($F64)*$G64)</f>
        <v/>
      </c>
      <c r="I64" s="34" t="str">
        <f aca="false">IF(OR($A64="",$C64=""),"",IFERROR(MAX(1,INDEX(PRODUCTOS!$G$6:$G$105,MATCH($A64,PRODUCTOS!$A$6:$A$105,0))),1))</f>
        <v/>
      </c>
      <c r="J64" s="43" t="str">
        <f aca="false">IF(OR($A64="",$C64=""),"",$H64/$I64)</f>
        <v/>
      </c>
      <c r="K64" s="34" t="str">
        <f aca="false">IF(OR($A64="",$C64=""),"",SUMIFS(VENTAS!$E$6:$E$2005,VENTAS!$C$6:$C$2005,$A64))</f>
        <v/>
      </c>
      <c r="L64" s="45" t="str">
        <f aca="false">IF(OR($A64="",$C64=""),"",IFERROR(N($F64)/INDEX(INSUMOS!$I$6:$I$205,MATCH($C64,INSUMOS!$A$6:$A$205,0)),N($F64))/$I64*$K64)</f>
        <v/>
      </c>
      <c r="M64" s="8" t="str">
        <f aca="false">IF($A64="","",COUNTIF($A$6:$A64,$A64))</f>
        <v/>
      </c>
      <c r="N64" s="8" t="str">
        <f aca="false">IF($A64="","",$A64&amp;"|"&amp;$M64)</f>
        <v/>
      </c>
    </row>
    <row r="65" customFormat="false" ht="15" hidden="false" customHeight="false" outlineLevel="0" collapsed="false">
      <c r="A65" s="6"/>
      <c r="B65" s="8" t="str">
        <f aca="false">IF($A65="","",IFERROR(INDEX(PRODUCTOS!$B$6:$B$105,MATCH($A65,PRODUCTOS!$A$6:$A$105,0)),"¿Código?"))</f>
        <v/>
      </c>
      <c r="C65" s="6"/>
      <c r="D65" s="8" t="str">
        <f aca="false">IF($C65="","",IFERROR(INDEX(INSUMOS!$B$6:$B$205,MATCH($C65,INSUMOS!$A$6:$A$205,0)),"¿Código?"))</f>
        <v/>
      </c>
      <c r="E65" s="8" t="str">
        <f aca="false">IF($C65="","",IFERROR(INDEX(INSUMOS!$D$6:$D$205,MATCH($C65,INSUMOS!$A$6:$A$205,0)),""))</f>
        <v/>
      </c>
      <c r="F65" s="39"/>
      <c r="G65" s="43" t="str">
        <f aca="false">IF(OR($A65="",$C65=""),"",IFERROR(INDEX(INSUMOS!$P$6:$P$205,MATCH($C65,INSUMOS!$A$6:$A$205,0)),0))</f>
        <v/>
      </c>
      <c r="H65" s="43" t="str">
        <f aca="false">IF(OR($A65="",$C65=""),"",N($F65)*$G65)</f>
        <v/>
      </c>
      <c r="I65" s="34" t="str">
        <f aca="false">IF(OR($A65="",$C65=""),"",IFERROR(MAX(1,INDEX(PRODUCTOS!$G$6:$G$105,MATCH($A65,PRODUCTOS!$A$6:$A$105,0))),1))</f>
        <v/>
      </c>
      <c r="J65" s="43" t="str">
        <f aca="false">IF(OR($A65="",$C65=""),"",$H65/$I65)</f>
        <v/>
      </c>
      <c r="K65" s="34" t="str">
        <f aca="false">IF(OR($A65="",$C65=""),"",SUMIFS(VENTAS!$E$6:$E$2005,VENTAS!$C$6:$C$2005,$A65))</f>
        <v/>
      </c>
      <c r="L65" s="45" t="str">
        <f aca="false">IF(OR($A65="",$C65=""),"",IFERROR(N($F65)/INDEX(INSUMOS!$I$6:$I$205,MATCH($C65,INSUMOS!$A$6:$A$205,0)),N($F65))/$I65*$K65)</f>
        <v/>
      </c>
      <c r="M65" s="8" t="str">
        <f aca="false">IF($A65="","",COUNTIF($A$6:$A65,$A65))</f>
        <v/>
      </c>
      <c r="N65" s="8" t="str">
        <f aca="false">IF($A65="","",$A65&amp;"|"&amp;$M65)</f>
        <v/>
      </c>
    </row>
    <row r="66" customFormat="false" ht="15" hidden="false" customHeight="false" outlineLevel="0" collapsed="false">
      <c r="A66" s="6"/>
      <c r="B66" s="8" t="str">
        <f aca="false">IF($A66="","",IFERROR(INDEX(PRODUCTOS!$B$6:$B$105,MATCH($A66,PRODUCTOS!$A$6:$A$105,0)),"¿Código?"))</f>
        <v/>
      </c>
      <c r="C66" s="6"/>
      <c r="D66" s="8" t="str">
        <f aca="false">IF($C66="","",IFERROR(INDEX(INSUMOS!$B$6:$B$205,MATCH($C66,INSUMOS!$A$6:$A$205,0)),"¿Código?"))</f>
        <v/>
      </c>
      <c r="E66" s="8" t="str">
        <f aca="false">IF($C66="","",IFERROR(INDEX(INSUMOS!$D$6:$D$205,MATCH($C66,INSUMOS!$A$6:$A$205,0)),""))</f>
        <v/>
      </c>
      <c r="F66" s="39"/>
      <c r="G66" s="43" t="str">
        <f aca="false">IF(OR($A66="",$C66=""),"",IFERROR(INDEX(INSUMOS!$P$6:$P$205,MATCH($C66,INSUMOS!$A$6:$A$205,0)),0))</f>
        <v/>
      </c>
      <c r="H66" s="43" t="str">
        <f aca="false">IF(OR($A66="",$C66=""),"",N($F66)*$G66)</f>
        <v/>
      </c>
      <c r="I66" s="34" t="str">
        <f aca="false">IF(OR($A66="",$C66=""),"",IFERROR(MAX(1,INDEX(PRODUCTOS!$G$6:$G$105,MATCH($A66,PRODUCTOS!$A$6:$A$105,0))),1))</f>
        <v/>
      </c>
      <c r="J66" s="43" t="str">
        <f aca="false">IF(OR($A66="",$C66=""),"",$H66/$I66)</f>
        <v/>
      </c>
      <c r="K66" s="34" t="str">
        <f aca="false">IF(OR($A66="",$C66=""),"",SUMIFS(VENTAS!$E$6:$E$2005,VENTAS!$C$6:$C$2005,$A66))</f>
        <v/>
      </c>
      <c r="L66" s="45" t="str">
        <f aca="false">IF(OR($A66="",$C66=""),"",IFERROR(N($F66)/INDEX(INSUMOS!$I$6:$I$205,MATCH($C66,INSUMOS!$A$6:$A$205,0)),N($F66))/$I66*$K66)</f>
        <v/>
      </c>
      <c r="M66" s="8" t="str">
        <f aca="false">IF($A66="","",COUNTIF($A$6:$A66,$A66))</f>
        <v/>
      </c>
      <c r="N66" s="8" t="str">
        <f aca="false">IF($A66="","",$A66&amp;"|"&amp;$M66)</f>
        <v/>
      </c>
    </row>
    <row r="67" customFormat="false" ht="15" hidden="false" customHeight="false" outlineLevel="0" collapsed="false">
      <c r="A67" s="6"/>
      <c r="B67" s="8" t="str">
        <f aca="false">IF($A67="","",IFERROR(INDEX(PRODUCTOS!$B$6:$B$105,MATCH($A67,PRODUCTOS!$A$6:$A$105,0)),"¿Código?"))</f>
        <v/>
      </c>
      <c r="C67" s="6"/>
      <c r="D67" s="8" t="str">
        <f aca="false">IF($C67="","",IFERROR(INDEX(INSUMOS!$B$6:$B$205,MATCH($C67,INSUMOS!$A$6:$A$205,0)),"¿Código?"))</f>
        <v/>
      </c>
      <c r="E67" s="8" t="str">
        <f aca="false">IF($C67="","",IFERROR(INDEX(INSUMOS!$D$6:$D$205,MATCH($C67,INSUMOS!$A$6:$A$205,0)),""))</f>
        <v/>
      </c>
      <c r="F67" s="39"/>
      <c r="G67" s="43" t="str">
        <f aca="false">IF(OR($A67="",$C67=""),"",IFERROR(INDEX(INSUMOS!$P$6:$P$205,MATCH($C67,INSUMOS!$A$6:$A$205,0)),0))</f>
        <v/>
      </c>
      <c r="H67" s="43" t="str">
        <f aca="false">IF(OR($A67="",$C67=""),"",N($F67)*$G67)</f>
        <v/>
      </c>
      <c r="I67" s="34" t="str">
        <f aca="false">IF(OR($A67="",$C67=""),"",IFERROR(MAX(1,INDEX(PRODUCTOS!$G$6:$G$105,MATCH($A67,PRODUCTOS!$A$6:$A$105,0))),1))</f>
        <v/>
      </c>
      <c r="J67" s="43" t="str">
        <f aca="false">IF(OR($A67="",$C67=""),"",$H67/$I67)</f>
        <v/>
      </c>
      <c r="K67" s="34" t="str">
        <f aca="false">IF(OR($A67="",$C67=""),"",SUMIFS(VENTAS!$E$6:$E$2005,VENTAS!$C$6:$C$2005,$A67))</f>
        <v/>
      </c>
      <c r="L67" s="45" t="str">
        <f aca="false">IF(OR($A67="",$C67=""),"",IFERROR(N($F67)/INDEX(INSUMOS!$I$6:$I$205,MATCH($C67,INSUMOS!$A$6:$A$205,0)),N($F67))/$I67*$K67)</f>
        <v/>
      </c>
      <c r="M67" s="8" t="str">
        <f aca="false">IF($A67="","",COUNTIF($A$6:$A67,$A67))</f>
        <v/>
      </c>
      <c r="N67" s="8" t="str">
        <f aca="false">IF($A67="","",$A67&amp;"|"&amp;$M67)</f>
        <v/>
      </c>
    </row>
    <row r="68" customFormat="false" ht="15" hidden="false" customHeight="false" outlineLevel="0" collapsed="false">
      <c r="A68" s="6"/>
      <c r="B68" s="8" t="str">
        <f aca="false">IF($A68="","",IFERROR(INDEX(PRODUCTOS!$B$6:$B$105,MATCH($A68,PRODUCTOS!$A$6:$A$105,0)),"¿Código?"))</f>
        <v/>
      </c>
      <c r="C68" s="6"/>
      <c r="D68" s="8" t="str">
        <f aca="false">IF($C68="","",IFERROR(INDEX(INSUMOS!$B$6:$B$205,MATCH($C68,INSUMOS!$A$6:$A$205,0)),"¿Código?"))</f>
        <v/>
      </c>
      <c r="E68" s="8" t="str">
        <f aca="false">IF($C68="","",IFERROR(INDEX(INSUMOS!$D$6:$D$205,MATCH($C68,INSUMOS!$A$6:$A$205,0)),""))</f>
        <v/>
      </c>
      <c r="F68" s="39"/>
      <c r="G68" s="43" t="str">
        <f aca="false">IF(OR($A68="",$C68=""),"",IFERROR(INDEX(INSUMOS!$P$6:$P$205,MATCH($C68,INSUMOS!$A$6:$A$205,0)),0))</f>
        <v/>
      </c>
      <c r="H68" s="43" t="str">
        <f aca="false">IF(OR($A68="",$C68=""),"",N($F68)*$G68)</f>
        <v/>
      </c>
      <c r="I68" s="34" t="str">
        <f aca="false">IF(OR($A68="",$C68=""),"",IFERROR(MAX(1,INDEX(PRODUCTOS!$G$6:$G$105,MATCH($A68,PRODUCTOS!$A$6:$A$105,0))),1))</f>
        <v/>
      </c>
      <c r="J68" s="43" t="str">
        <f aca="false">IF(OR($A68="",$C68=""),"",$H68/$I68)</f>
        <v/>
      </c>
      <c r="K68" s="34" t="str">
        <f aca="false">IF(OR($A68="",$C68=""),"",SUMIFS(VENTAS!$E$6:$E$2005,VENTAS!$C$6:$C$2005,$A68))</f>
        <v/>
      </c>
      <c r="L68" s="45" t="str">
        <f aca="false">IF(OR($A68="",$C68=""),"",IFERROR(N($F68)/INDEX(INSUMOS!$I$6:$I$205,MATCH($C68,INSUMOS!$A$6:$A$205,0)),N($F68))/$I68*$K68)</f>
        <v/>
      </c>
      <c r="M68" s="8" t="str">
        <f aca="false">IF($A68="","",COUNTIF($A$6:$A68,$A68))</f>
        <v/>
      </c>
      <c r="N68" s="8" t="str">
        <f aca="false">IF($A68="","",$A68&amp;"|"&amp;$M68)</f>
        <v/>
      </c>
    </row>
    <row r="69" customFormat="false" ht="15" hidden="false" customHeight="false" outlineLevel="0" collapsed="false">
      <c r="A69" s="6"/>
      <c r="B69" s="8" t="str">
        <f aca="false">IF($A69="","",IFERROR(INDEX(PRODUCTOS!$B$6:$B$105,MATCH($A69,PRODUCTOS!$A$6:$A$105,0)),"¿Código?"))</f>
        <v/>
      </c>
      <c r="C69" s="6"/>
      <c r="D69" s="8" t="str">
        <f aca="false">IF($C69="","",IFERROR(INDEX(INSUMOS!$B$6:$B$205,MATCH($C69,INSUMOS!$A$6:$A$205,0)),"¿Código?"))</f>
        <v/>
      </c>
      <c r="E69" s="8" t="str">
        <f aca="false">IF($C69="","",IFERROR(INDEX(INSUMOS!$D$6:$D$205,MATCH($C69,INSUMOS!$A$6:$A$205,0)),""))</f>
        <v/>
      </c>
      <c r="F69" s="39"/>
      <c r="G69" s="43" t="str">
        <f aca="false">IF(OR($A69="",$C69=""),"",IFERROR(INDEX(INSUMOS!$P$6:$P$205,MATCH($C69,INSUMOS!$A$6:$A$205,0)),0))</f>
        <v/>
      </c>
      <c r="H69" s="43" t="str">
        <f aca="false">IF(OR($A69="",$C69=""),"",N($F69)*$G69)</f>
        <v/>
      </c>
      <c r="I69" s="34" t="str">
        <f aca="false">IF(OR($A69="",$C69=""),"",IFERROR(MAX(1,INDEX(PRODUCTOS!$G$6:$G$105,MATCH($A69,PRODUCTOS!$A$6:$A$105,0))),1))</f>
        <v/>
      </c>
      <c r="J69" s="43" t="str">
        <f aca="false">IF(OR($A69="",$C69=""),"",$H69/$I69)</f>
        <v/>
      </c>
      <c r="K69" s="34" t="str">
        <f aca="false">IF(OR($A69="",$C69=""),"",SUMIFS(VENTAS!$E$6:$E$2005,VENTAS!$C$6:$C$2005,$A69))</f>
        <v/>
      </c>
      <c r="L69" s="45" t="str">
        <f aca="false">IF(OR($A69="",$C69=""),"",IFERROR(N($F69)/INDEX(INSUMOS!$I$6:$I$205,MATCH($C69,INSUMOS!$A$6:$A$205,0)),N($F69))/$I69*$K69)</f>
        <v/>
      </c>
      <c r="M69" s="8" t="str">
        <f aca="false">IF($A69="","",COUNTIF($A$6:$A69,$A69))</f>
        <v/>
      </c>
      <c r="N69" s="8" t="str">
        <f aca="false">IF($A69="","",$A69&amp;"|"&amp;$M69)</f>
        <v/>
      </c>
    </row>
    <row r="70" customFormat="false" ht="15" hidden="false" customHeight="false" outlineLevel="0" collapsed="false">
      <c r="A70" s="6"/>
      <c r="B70" s="8" t="str">
        <f aca="false">IF($A70="","",IFERROR(INDEX(PRODUCTOS!$B$6:$B$105,MATCH($A70,PRODUCTOS!$A$6:$A$105,0)),"¿Código?"))</f>
        <v/>
      </c>
      <c r="C70" s="6"/>
      <c r="D70" s="8" t="str">
        <f aca="false">IF($C70="","",IFERROR(INDEX(INSUMOS!$B$6:$B$205,MATCH($C70,INSUMOS!$A$6:$A$205,0)),"¿Código?"))</f>
        <v/>
      </c>
      <c r="E70" s="8" t="str">
        <f aca="false">IF($C70="","",IFERROR(INDEX(INSUMOS!$D$6:$D$205,MATCH($C70,INSUMOS!$A$6:$A$205,0)),""))</f>
        <v/>
      </c>
      <c r="F70" s="39"/>
      <c r="G70" s="43" t="str">
        <f aca="false">IF(OR($A70="",$C70=""),"",IFERROR(INDEX(INSUMOS!$P$6:$P$205,MATCH($C70,INSUMOS!$A$6:$A$205,0)),0))</f>
        <v/>
      </c>
      <c r="H70" s="43" t="str">
        <f aca="false">IF(OR($A70="",$C70=""),"",N($F70)*$G70)</f>
        <v/>
      </c>
      <c r="I70" s="34" t="str">
        <f aca="false">IF(OR($A70="",$C70=""),"",IFERROR(MAX(1,INDEX(PRODUCTOS!$G$6:$G$105,MATCH($A70,PRODUCTOS!$A$6:$A$105,0))),1))</f>
        <v/>
      </c>
      <c r="J70" s="43" t="str">
        <f aca="false">IF(OR($A70="",$C70=""),"",$H70/$I70)</f>
        <v/>
      </c>
      <c r="K70" s="34" t="str">
        <f aca="false">IF(OR($A70="",$C70=""),"",SUMIFS(VENTAS!$E$6:$E$2005,VENTAS!$C$6:$C$2005,$A70))</f>
        <v/>
      </c>
      <c r="L70" s="45" t="str">
        <f aca="false">IF(OR($A70="",$C70=""),"",IFERROR(N($F70)/INDEX(INSUMOS!$I$6:$I$205,MATCH($C70,INSUMOS!$A$6:$A$205,0)),N($F70))/$I70*$K70)</f>
        <v/>
      </c>
      <c r="M70" s="8" t="str">
        <f aca="false">IF($A70="","",COUNTIF($A$6:$A70,$A70))</f>
        <v/>
      </c>
      <c r="N70" s="8" t="str">
        <f aca="false">IF($A70="","",$A70&amp;"|"&amp;$M70)</f>
        <v/>
      </c>
    </row>
    <row r="71" customFormat="false" ht="15" hidden="false" customHeight="false" outlineLevel="0" collapsed="false">
      <c r="A71" s="6"/>
      <c r="B71" s="8" t="str">
        <f aca="false">IF($A71="","",IFERROR(INDEX(PRODUCTOS!$B$6:$B$105,MATCH($A71,PRODUCTOS!$A$6:$A$105,0)),"¿Código?"))</f>
        <v/>
      </c>
      <c r="C71" s="6"/>
      <c r="D71" s="8" t="str">
        <f aca="false">IF($C71="","",IFERROR(INDEX(INSUMOS!$B$6:$B$205,MATCH($C71,INSUMOS!$A$6:$A$205,0)),"¿Código?"))</f>
        <v/>
      </c>
      <c r="E71" s="8" t="str">
        <f aca="false">IF($C71="","",IFERROR(INDEX(INSUMOS!$D$6:$D$205,MATCH($C71,INSUMOS!$A$6:$A$205,0)),""))</f>
        <v/>
      </c>
      <c r="F71" s="39"/>
      <c r="G71" s="43" t="str">
        <f aca="false">IF(OR($A71="",$C71=""),"",IFERROR(INDEX(INSUMOS!$P$6:$P$205,MATCH($C71,INSUMOS!$A$6:$A$205,0)),0))</f>
        <v/>
      </c>
      <c r="H71" s="43" t="str">
        <f aca="false">IF(OR($A71="",$C71=""),"",N($F71)*$G71)</f>
        <v/>
      </c>
      <c r="I71" s="34" t="str">
        <f aca="false">IF(OR($A71="",$C71=""),"",IFERROR(MAX(1,INDEX(PRODUCTOS!$G$6:$G$105,MATCH($A71,PRODUCTOS!$A$6:$A$105,0))),1))</f>
        <v/>
      </c>
      <c r="J71" s="43" t="str">
        <f aca="false">IF(OR($A71="",$C71=""),"",$H71/$I71)</f>
        <v/>
      </c>
      <c r="K71" s="34" t="str">
        <f aca="false">IF(OR($A71="",$C71=""),"",SUMIFS(VENTAS!$E$6:$E$2005,VENTAS!$C$6:$C$2005,$A71))</f>
        <v/>
      </c>
      <c r="L71" s="45" t="str">
        <f aca="false">IF(OR($A71="",$C71=""),"",IFERROR(N($F71)/INDEX(INSUMOS!$I$6:$I$205,MATCH($C71,INSUMOS!$A$6:$A$205,0)),N($F71))/$I71*$K71)</f>
        <v/>
      </c>
      <c r="M71" s="8" t="str">
        <f aca="false">IF($A71="","",COUNTIF($A$6:$A71,$A71))</f>
        <v/>
      </c>
      <c r="N71" s="8" t="str">
        <f aca="false">IF($A71="","",$A71&amp;"|"&amp;$M71)</f>
        <v/>
      </c>
    </row>
    <row r="72" customFormat="false" ht="15" hidden="false" customHeight="false" outlineLevel="0" collapsed="false">
      <c r="A72" s="6"/>
      <c r="B72" s="8" t="str">
        <f aca="false">IF($A72="","",IFERROR(INDEX(PRODUCTOS!$B$6:$B$105,MATCH($A72,PRODUCTOS!$A$6:$A$105,0)),"¿Código?"))</f>
        <v/>
      </c>
      <c r="C72" s="6"/>
      <c r="D72" s="8" t="str">
        <f aca="false">IF($C72="","",IFERROR(INDEX(INSUMOS!$B$6:$B$205,MATCH($C72,INSUMOS!$A$6:$A$205,0)),"¿Código?"))</f>
        <v/>
      </c>
      <c r="E72" s="8" t="str">
        <f aca="false">IF($C72="","",IFERROR(INDEX(INSUMOS!$D$6:$D$205,MATCH($C72,INSUMOS!$A$6:$A$205,0)),""))</f>
        <v/>
      </c>
      <c r="F72" s="39"/>
      <c r="G72" s="43" t="str">
        <f aca="false">IF(OR($A72="",$C72=""),"",IFERROR(INDEX(INSUMOS!$P$6:$P$205,MATCH($C72,INSUMOS!$A$6:$A$205,0)),0))</f>
        <v/>
      </c>
      <c r="H72" s="43" t="str">
        <f aca="false">IF(OR($A72="",$C72=""),"",N($F72)*$G72)</f>
        <v/>
      </c>
      <c r="I72" s="34" t="str">
        <f aca="false">IF(OR($A72="",$C72=""),"",IFERROR(MAX(1,INDEX(PRODUCTOS!$G$6:$G$105,MATCH($A72,PRODUCTOS!$A$6:$A$105,0))),1))</f>
        <v/>
      </c>
      <c r="J72" s="43" t="str">
        <f aca="false">IF(OR($A72="",$C72=""),"",$H72/$I72)</f>
        <v/>
      </c>
      <c r="K72" s="34" t="str">
        <f aca="false">IF(OR($A72="",$C72=""),"",SUMIFS(VENTAS!$E$6:$E$2005,VENTAS!$C$6:$C$2005,$A72))</f>
        <v/>
      </c>
      <c r="L72" s="45" t="str">
        <f aca="false">IF(OR($A72="",$C72=""),"",IFERROR(N($F72)/INDEX(INSUMOS!$I$6:$I$205,MATCH($C72,INSUMOS!$A$6:$A$205,0)),N($F72))/$I72*$K72)</f>
        <v/>
      </c>
      <c r="M72" s="8" t="str">
        <f aca="false">IF($A72="","",COUNTIF($A$6:$A72,$A72))</f>
        <v/>
      </c>
      <c r="N72" s="8" t="str">
        <f aca="false">IF($A72="","",$A72&amp;"|"&amp;$M72)</f>
        <v/>
      </c>
    </row>
    <row r="73" customFormat="false" ht="15" hidden="false" customHeight="false" outlineLevel="0" collapsed="false">
      <c r="A73" s="6"/>
      <c r="B73" s="8" t="str">
        <f aca="false">IF($A73="","",IFERROR(INDEX(PRODUCTOS!$B$6:$B$105,MATCH($A73,PRODUCTOS!$A$6:$A$105,0)),"¿Código?"))</f>
        <v/>
      </c>
      <c r="C73" s="6"/>
      <c r="D73" s="8" t="str">
        <f aca="false">IF($C73="","",IFERROR(INDEX(INSUMOS!$B$6:$B$205,MATCH($C73,INSUMOS!$A$6:$A$205,0)),"¿Código?"))</f>
        <v/>
      </c>
      <c r="E73" s="8" t="str">
        <f aca="false">IF($C73="","",IFERROR(INDEX(INSUMOS!$D$6:$D$205,MATCH($C73,INSUMOS!$A$6:$A$205,0)),""))</f>
        <v/>
      </c>
      <c r="F73" s="39"/>
      <c r="G73" s="43" t="str">
        <f aca="false">IF(OR($A73="",$C73=""),"",IFERROR(INDEX(INSUMOS!$P$6:$P$205,MATCH($C73,INSUMOS!$A$6:$A$205,0)),0))</f>
        <v/>
      </c>
      <c r="H73" s="43" t="str">
        <f aca="false">IF(OR($A73="",$C73=""),"",N($F73)*$G73)</f>
        <v/>
      </c>
      <c r="I73" s="34" t="str">
        <f aca="false">IF(OR($A73="",$C73=""),"",IFERROR(MAX(1,INDEX(PRODUCTOS!$G$6:$G$105,MATCH($A73,PRODUCTOS!$A$6:$A$105,0))),1))</f>
        <v/>
      </c>
      <c r="J73" s="43" t="str">
        <f aca="false">IF(OR($A73="",$C73=""),"",$H73/$I73)</f>
        <v/>
      </c>
      <c r="K73" s="34" t="str">
        <f aca="false">IF(OR($A73="",$C73=""),"",SUMIFS(VENTAS!$E$6:$E$2005,VENTAS!$C$6:$C$2005,$A73))</f>
        <v/>
      </c>
      <c r="L73" s="45" t="str">
        <f aca="false">IF(OR($A73="",$C73=""),"",IFERROR(N($F73)/INDEX(INSUMOS!$I$6:$I$205,MATCH($C73,INSUMOS!$A$6:$A$205,0)),N($F73))/$I73*$K73)</f>
        <v/>
      </c>
      <c r="M73" s="8" t="str">
        <f aca="false">IF($A73="","",COUNTIF($A$6:$A73,$A73))</f>
        <v/>
      </c>
      <c r="N73" s="8" t="str">
        <f aca="false">IF($A73="","",$A73&amp;"|"&amp;$M73)</f>
        <v/>
      </c>
    </row>
    <row r="74" customFormat="false" ht="15" hidden="false" customHeight="false" outlineLevel="0" collapsed="false">
      <c r="A74" s="6"/>
      <c r="B74" s="8" t="str">
        <f aca="false">IF($A74="","",IFERROR(INDEX(PRODUCTOS!$B$6:$B$105,MATCH($A74,PRODUCTOS!$A$6:$A$105,0)),"¿Código?"))</f>
        <v/>
      </c>
      <c r="C74" s="6"/>
      <c r="D74" s="8" t="str">
        <f aca="false">IF($C74="","",IFERROR(INDEX(INSUMOS!$B$6:$B$205,MATCH($C74,INSUMOS!$A$6:$A$205,0)),"¿Código?"))</f>
        <v/>
      </c>
      <c r="E74" s="8" t="str">
        <f aca="false">IF($C74="","",IFERROR(INDEX(INSUMOS!$D$6:$D$205,MATCH($C74,INSUMOS!$A$6:$A$205,0)),""))</f>
        <v/>
      </c>
      <c r="F74" s="39"/>
      <c r="G74" s="43" t="str">
        <f aca="false">IF(OR($A74="",$C74=""),"",IFERROR(INDEX(INSUMOS!$P$6:$P$205,MATCH($C74,INSUMOS!$A$6:$A$205,0)),0))</f>
        <v/>
      </c>
      <c r="H74" s="43" t="str">
        <f aca="false">IF(OR($A74="",$C74=""),"",N($F74)*$G74)</f>
        <v/>
      </c>
      <c r="I74" s="34" t="str">
        <f aca="false">IF(OR($A74="",$C74=""),"",IFERROR(MAX(1,INDEX(PRODUCTOS!$G$6:$G$105,MATCH($A74,PRODUCTOS!$A$6:$A$105,0))),1))</f>
        <v/>
      </c>
      <c r="J74" s="43" t="str">
        <f aca="false">IF(OR($A74="",$C74=""),"",$H74/$I74)</f>
        <v/>
      </c>
      <c r="K74" s="34" t="str">
        <f aca="false">IF(OR($A74="",$C74=""),"",SUMIFS(VENTAS!$E$6:$E$2005,VENTAS!$C$6:$C$2005,$A74))</f>
        <v/>
      </c>
      <c r="L74" s="45" t="str">
        <f aca="false">IF(OR($A74="",$C74=""),"",IFERROR(N($F74)/INDEX(INSUMOS!$I$6:$I$205,MATCH($C74,INSUMOS!$A$6:$A$205,0)),N($F74))/$I74*$K74)</f>
        <v/>
      </c>
      <c r="M74" s="8" t="str">
        <f aca="false">IF($A74="","",COUNTIF($A$6:$A74,$A74))</f>
        <v/>
      </c>
      <c r="N74" s="8" t="str">
        <f aca="false">IF($A74="","",$A74&amp;"|"&amp;$M74)</f>
        <v/>
      </c>
    </row>
    <row r="75" customFormat="false" ht="15" hidden="false" customHeight="false" outlineLevel="0" collapsed="false">
      <c r="A75" s="6"/>
      <c r="B75" s="8" t="str">
        <f aca="false">IF($A75="","",IFERROR(INDEX(PRODUCTOS!$B$6:$B$105,MATCH($A75,PRODUCTOS!$A$6:$A$105,0)),"¿Código?"))</f>
        <v/>
      </c>
      <c r="C75" s="6"/>
      <c r="D75" s="8" t="str">
        <f aca="false">IF($C75="","",IFERROR(INDEX(INSUMOS!$B$6:$B$205,MATCH($C75,INSUMOS!$A$6:$A$205,0)),"¿Código?"))</f>
        <v/>
      </c>
      <c r="E75" s="8" t="str">
        <f aca="false">IF($C75="","",IFERROR(INDEX(INSUMOS!$D$6:$D$205,MATCH($C75,INSUMOS!$A$6:$A$205,0)),""))</f>
        <v/>
      </c>
      <c r="F75" s="39"/>
      <c r="G75" s="43" t="str">
        <f aca="false">IF(OR($A75="",$C75=""),"",IFERROR(INDEX(INSUMOS!$P$6:$P$205,MATCH($C75,INSUMOS!$A$6:$A$205,0)),0))</f>
        <v/>
      </c>
      <c r="H75" s="43" t="str">
        <f aca="false">IF(OR($A75="",$C75=""),"",N($F75)*$G75)</f>
        <v/>
      </c>
      <c r="I75" s="34" t="str">
        <f aca="false">IF(OR($A75="",$C75=""),"",IFERROR(MAX(1,INDEX(PRODUCTOS!$G$6:$G$105,MATCH($A75,PRODUCTOS!$A$6:$A$105,0))),1))</f>
        <v/>
      </c>
      <c r="J75" s="43" t="str">
        <f aca="false">IF(OR($A75="",$C75=""),"",$H75/$I75)</f>
        <v/>
      </c>
      <c r="K75" s="34" t="str">
        <f aca="false">IF(OR($A75="",$C75=""),"",SUMIFS(VENTAS!$E$6:$E$2005,VENTAS!$C$6:$C$2005,$A75))</f>
        <v/>
      </c>
      <c r="L75" s="45" t="str">
        <f aca="false">IF(OR($A75="",$C75=""),"",IFERROR(N($F75)/INDEX(INSUMOS!$I$6:$I$205,MATCH($C75,INSUMOS!$A$6:$A$205,0)),N($F75))/$I75*$K75)</f>
        <v/>
      </c>
      <c r="M75" s="8" t="str">
        <f aca="false">IF($A75="","",COUNTIF($A$6:$A75,$A75))</f>
        <v/>
      </c>
      <c r="N75" s="8" t="str">
        <f aca="false">IF($A75="","",$A75&amp;"|"&amp;$M75)</f>
        <v/>
      </c>
    </row>
    <row r="76" customFormat="false" ht="15" hidden="false" customHeight="false" outlineLevel="0" collapsed="false">
      <c r="A76" s="6"/>
      <c r="B76" s="8" t="str">
        <f aca="false">IF($A76="","",IFERROR(INDEX(PRODUCTOS!$B$6:$B$105,MATCH($A76,PRODUCTOS!$A$6:$A$105,0)),"¿Código?"))</f>
        <v/>
      </c>
      <c r="C76" s="6"/>
      <c r="D76" s="8" t="str">
        <f aca="false">IF($C76="","",IFERROR(INDEX(INSUMOS!$B$6:$B$205,MATCH($C76,INSUMOS!$A$6:$A$205,0)),"¿Código?"))</f>
        <v/>
      </c>
      <c r="E76" s="8" t="str">
        <f aca="false">IF($C76="","",IFERROR(INDEX(INSUMOS!$D$6:$D$205,MATCH($C76,INSUMOS!$A$6:$A$205,0)),""))</f>
        <v/>
      </c>
      <c r="F76" s="39"/>
      <c r="G76" s="43" t="str">
        <f aca="false">IF(OR($A76="",$C76=""),"",IFERROR(INDEX(INSUMOS!$P$6:$P$205,MATCH($C76,INSUMOS!$A$6:$A$205,0)),0))</f>
        <v/>
      </c>
      <c r="H76" s="43" t="str">
        <f aca="false">IF(OR($A76="",$C76=""),"",N($F76)*$G76)</f>
        <v/>
      </c>
      <c r="I76" s="34" t="str">
        <f aca="false">IF(OR($A76="",$C76=""),"",IFERROR(MAX(1,INDEX(PRODUCTOS!$G$6:$G$105,MATCH($A76,PRODUCTOS!$A$6:$A$105,0))),1))</f>
        <v/>
      </c>
      <c r="J76" s="43" t="str">
        <f aca="false">IF(OR($A76="",$C76=""),"",$H76/$I76)</f>
        <v/>
      </c>
      <c r="K76" s="34" t="str">
        <f aca="false">IF(OR($A76="",$C76=""),"",SUMIFS(VENTAS!$E$6:$E$2005,VENTAS!$C$6:$C$2005,$A76))</f>
        <v/>
      </c>
      <c r="L76" s="45" t="str">
        <f aca="false">IF(OR($A76="",$C76=""),"",IFERROR(N($F76)/INDEX(INSUMOS!$I$6:$I$205,MATCH($C76,INSUMOS!$A$6:$A$205,0)),N($F76))/$I76*$K76)</f>
        <v/>
      </c>
      <c r="M76" s="8" t="str">
        <f aca="false">IF($A76="","",COUNTIF($A$6:$A76,$A76))</f>
        <v/>
      </c>
      <c r="N76" s="8" t="str">
        <f aca="false">IF($A76="","",$A76&amp;"|"&amp;$M76)</f>
        <v/>
      </c>
    </row>
    <row r="77" customFormat="false" ht="15" hidden="false" customHeight="false" outlineLevel="0" collapsed="false">
      <c r="A77" s="6"/>
      <c r="B77" s="8" t="str">
        <f aca="false">IF($A77="","",IFERROR(INDEX(PRODUCTOS!$B$6:$B$105,MATCH($A77,PRODUCTOS!$A$6:$A$105,0)),"¿Código?"))</f>
        <v/>
      </c>
      <c r="C77" s="6"/>
      <c r="D77" s="8" t="str">
        <f aca="false">IF($C77="","",IFERROR(INDEX(INSUMOS!$B$6:$B$205,MATCH($C77,INSUMOS!$A$6:$A$205,0)),"¿Código?"))</f>
        <v/>
      </c>
      <c r="E77" s="8" t="str">
        <f aca="false">IF($C77="","",IFERROR(INDEX(INSUMOS!$D$6:$D$205,MATCH($C77,INSUMOS!$A$6:$A$205,0)),""))</f>
        <v/>
      </c>
      <c r="F77" s="39"/>
      <c r="G77" s="43" t="str">
        <f aca="false">IF(OR($A77="",$C77=""),"",IFERROR(INDEX(INSUMOS!$P$6:$P$205,MATCH($C77,INSUMOS!$A$6:$A$205,0)),0))</f>
        <v/>
      </c>
      <c r="H77" s="43" t="str">
        <f aca="false">IF(OR($A77="",$C77=""),"",N($F77)*$G77)</f>
        <v/>
      </c>
      <c r="I77" s="34" t="str">
        <f aca="false">IF(OR($A77="",$C77=""),"",IFERROR(MAX(1,INDEX(PRODUCTOS!$G$6:$G$105,MATCH($A77,PRODUCTOS!$A$6:$A$105,0))),1))</f>
        <v/>
      </c>
      <c r="J77" s="43" t="str">
        <f aca="false">IF(OR($A77="",$C77=""),"",$H77/$I77)</f>
        <v/>
      </c>
      <c r="K77" s="34" t="str">
        <f aca="false">IF(OR($A77="",$C77=""),"",SUMIFS(VENTAS!$E$6:$E$2005,VENTAS!$C$6:$C$2005,$A77))</f>
        <v/>
      </c>
      <c r="L77" s="45" t="str">
        <f aca="false">IF(OR($A77="",$C77=""),"",IFERROR(N($F77)/INDEX(INSUMOS!$I$6:$I$205,MATCH($C77,INSUMOS!$A$6:$A$205,0)),N($F77))/$I77*$K77)</f>
        <v/>
      </c>
      <c r="M77" s="8" t="str">
        <f aca="false">IF($A77="","",COUNTIF($A$6:$A77,$A77))</f>
        <v/>
      </c>
      <c r="N77" s="8" t="str">
        <f aca="false">IF($A77="","",$A77&amp;"|"&amp;$M77)</f>
        <v/>
      </c>
    </row>
    <row r="78" customFormat="false" ht="15" hidden="false" customHeight="false" outlineLevel="0" collapsed="false">
      <c r="A78" s="6"/>
      <c r="B78" s="8" t="str">
        <f aca="false">IF($A78="","",IFERROR(INDEX(PRODUCTOS!$B$6:$B$105,MATCH($A78,PRODUCTOS!$A$6:$A$105,0)),"¿Código?"))</f>
        <v/>
      </c>
      <c r="C78" s="6"/>
      <c r="D78" s="8" t="str">
        <f aca="false">IF($C78="","",IFERROR(INDEX(INSUMOS!$B$6:$B$205,MATCH($C78,INSUMOS!$A$6:$A$205,0)),"¿Código?"))</f>
        <v/>
      </c>
      <c r="E78" s="8" t="str">
        <f aca="false">IF($C78="","",IFERROR(INDEX(INSUMOS!$D$6:$D$205,MATCH($C78,INSUMOS!$A$6:$A$205,0)),""))</f>
        <v/>
      </c>
      <c r="F78" s="39"/>
      <c r="G78" s="43" t="str">
        <f aca="false">IF(OR($A78="",$C78=""),"",IFERROR(INDEX(INSUMOS!$P$6:$P$205,MATCH($C78,INSUMOS!$A$6:$A$205,0)),0))</f>
        <v/>
      </c>
      <c r="H78" s="43" t="str">
        <f aca="false">IF(OR($A78="",$C78=""),"",N($F78)*$G78)</f>
        <v/>
      </c>
      <c r="I78" s="34" t="str">
        <f aca="false">IF(OR($A78="",$C78=""),"",IFERROR(MAX(1,INDEX(PRODUCTOS!$G$6:$G$105,MATCH($A78,PRODUCTOS!$A$6:$A$105,0))),1))</f>
        <v/>
      </c>
      <c r="J78" s="43" t="str">
        <f aca="false">IF(OR($A78="",$C78=""),"",$H78/$I78)</f>
        <v/>
      </c>
      <c r="K78" s="34" t="str">
        <f aca="false">IF(OR($A78="",$C78=""),"",SUMIFS(VENTAS!$E$6:$E$2005,VENTAS!$C$6:$C$2005,$A78))</f>
        <v/>
      </c>
      <c r="L78" s="45" t="str">
        <f aca="false">IF(OR($A78="",$C78=""),"",IFERROR(N($F78)/INDEX(INSUMOS!$I$6:$I$205,MATCH($C78,INSUMOS!$A$6:$A$205,0)),N($F78))/$I78*$K78)</f>
        <v/>
      </c>
      <c r="M78" s="8" t="str">
        <f aca="false">IF($A78="","",COUNTIF($A$6:$A78,$A78))</f>
        <v/>
      </c>
      <c r="N78" s="8" t="str">
        <f aca="false">IF($A78="","",$A78&amp;"|"&amp;$M78)</f>
        <v/>
      </c>
    </row>
    <row r="79" customFormat="false" ht="15" hidden="false" customHeight="false" outlineLevel="0" collapsed="false">
      <c r="A79" s="6"/>
      <c r="B79" s="8" t="str">
        <f aca="false">IF($A79="","",IFERROR(INDEX(PRODUCTOS!$B$6:$B$105,MATCH($A79,PRODUCTOS!$A$6:$A$105,0)),"¿Código?"))</f>
        <v/>
      </c>
      <c r="C79" s="6"/>
      <c r="D79" s="8" t="str">
        <f aca="false">IF($C79="","",IFERROR(INDEX(INSUMOS!$B$6:$B$205,MATCH($C79,INSUMOS!$A$6:$A$205,0)),"¿Código?"))</f>
        <v/>
      </c>
      <c r="E79" s="8" t="str">
        <f aca="false">IF($C79="","",IFERROR(INDEX(INSUMOS!$D$6:$D$205,MATCH($C79,INSUMOS!$A$6:$A$205,0)),""))</f>
        <v/>
      </c>
      <c r="F79" s="39"/>
      <c r="G79" s="43" t="str">
        <f aca="false">IF(OR($A79="",$C79=""),"",IFERROR(INDEX(INSUMOS!$P$6:$P$205,MATCH($C79,INSUMOS!$A$6:$A$205,0)),0))</f>
        <v/>
      </c>
      <c r="H79" s="43" t="str">
        <f aca="false">IF(OR($A79="",$C79=""),"",N($F79)*$G79)</f>
        <v/>
      </c>
      <c r="I79" s="34" t="str">
        <f aca="false">IF(OR($A79="",$C79=""),"",IFERROR(MAX(1,INDEX(PRODUCTOS!$G$6:$G$105,MATCH($A79,PRODUCTOS!$A$6:$A$105,0))),1))</f>
        <v/>
      </c>
      <c r="J79" s="43" t="str">
        <f aca="false">IF(OR($A79="",$C79=""),"",$H79/$I79)</f>
        <v/>
      </c>
      <c r="K79" s="34" t="str">
        <f aca="false">IF(OR($A79="",$C79=""),"",SUMIFS(VENTAS!$E$6:$E$2005,VENTAS!$C$6:$C$2005,$A79))</f>
        <v/>
      </c>
      <c r="L79" s="45" t="str">
        <f aca="false">IF(OR($A79="",$C79=""),"",IFERROR(N($F79)/INDEX(INSUMOS!$I$6:$I$205,MATCH($C79,INSUMOS!$A$6:$A$205,0)),N($F79))/$I79*$K79)</f>
        <v/>
      </c>
      <c r="M79" s="8" t="str">
        <f aca="false">IF($A79="","",COUNTIF($A$6:$A79,$A79))</f>
        <v/>
      </c>
      <c r="N79" s="8" t="str">
        <f aca="false">IF($A79="","",$A79&amp;"|"&amp;$M79)</f>
        <v/>
      </c>
    </row>
    <row r="80" customFormat="false" ht="15" hidden="false" customHeight="false" outlineLevel="0" collapsed="false">
      <c r="A80" s="6"/>
      <c r="B80" s="8" t="str">
        <f aca="false">IF($A80="","",IFERROR(INDEX(PRODUCTOS!$B$6:$B$105,MATCH($A80,PRODUCTOS!$A$6:$A$105,0)),"¿Código?"))</f>
        <v/>
      </c>
      <c r="C80" s="6"/>
      <c r="D80" s="8" t="str">
        <f aca="false">IF($C80="","",IFERROR(INDEX(INSUMOS!$B$6:$B$205,MATCH($C80,INSUMOS!$A$6:$A$205,0)),"¿Código?"))</f>
        <v/>
      </c>
      <c r="E80" s="8" t="str">
        <f aca="false">IF($C80="","",IFERROR(INDEX(INSUMOS!$D$6:$D$205,MATCH($C80,INSUMOS!$A$6:$A$205,0)),""))</f>
        <v/>
      </c>
      <c r="F80" s="39"/>
      <c r="G80" s="43" t="str">
        <f aca="false">IF(OR($A80="",$C80=""),"",IFERROR(INDEX(INSUMOS!$P$6:$P$205,MATCH($C80,INSUMOS!$A$6:$A$205,0)),0))</f>
        <v/>
      </c>
      <c r="H80" s="43" t="str">
        <f aca="false">IF(OR($A80="",$C80=""),"",N($F80)*$G80)</f>
        <v/>
      </c>
      <c r="I80" s="34" t="str">
        <f aca="false">IF(OR($A80="",$C80=""),"",IFERROR(MAX(1,INDEX(PRODUCTOS!$G$6:$G$105,MATCH($A80,PRODUCTOS!$A$6:$A$105,0))),1))</f>
        <v/>
      </c>
      <c r="J80" s="43" t="str">
        <f aca="false">IF(OR($A80="",$C80=""),"",$H80/$I80)</f>
        <v/>
      </c>
      <c r="K80" s="34" t="str">
        <f aca="false">IF(OR($A80="",$C80=""),"",SUMIFS(VENTAS!$E$6:$E$2005,VENTAS!$C$6:$C$2005,$A80))</f>
        <v/>
      </c>
      <c r="L80" s="45" t="str">
        <f aca="false">IF(OR($A80="",$C80=""),"",IFERROR(N($F80)/INDEX(INSUMOS!$I$6:$I$205,MATCH($C80,INSUMOS!$A$6:$A$205,0)),N($F80))/$I80*$K80)</f>
        <v/>
      </c>
      <c r="M80" s="8" t="str">
        <f aca="false">IF($A80="","",COUNTIF($A$6:$A80,$A80))</f>
        <v/>
      </c>
      <c r="N80" s="8" t="str">
        <f aca="false">IF($A80="","",$A80&amp;"|"&amp;$M80)</f>
        <v/>
      </c>
    </row>
    <row r="81" customFormat="false" ht="15" hidden="false" customHeight="false" outlineLevel="0" collapsed="false">
      <c r="A81" s="6"/>
      <c r="B81" s="8" t="str">
        <f aca="false">IF($A81="","",IFERROR(INDEX(PRODUCTOS!$B$6:$B$105,MATCH($A81,PRODUCTOS!$A$6:$A$105,0)),"¿Código?"))</f>
        <v/>
      </c>
      <c r="C81" s="6"/>
      <c r="D81" s="8" t="str">
        <f aca="false">IF($C81="","",IFERROR(INDEX(INSUMOS!$B$6:$B$205,MATCH($C81,INSUMOS!$A$6:$A$205,0)),"¿Código?"))</f>
        <v/>
      </c>
      <c r="E81" s="8" t="str">
        <f aca="false">IF($C81="","",IFERROR(INDEX(INSUMOS!$D$6:$D$205,MATCH($C81,INSUMOS!$A$6:$A$205,0)),""))</f>
        <v/>
      </c>
      <c r="F81" s="39"/>
      <c r="G81" s="43" t="str">
        <f aca="false">IF(OR($A81="",$C81=""),"",IFERROR(INDEX(INSUMOS!$P$6:$P$205,MATCH($C81,INSUMOS!$A$6:$A$205,0)),0))</f>
        <v/>
      </c>
      <c r="H81" s="43" t="str">
        <f aca="false">IF(OR($A81="",$C81=""),"",N($F81)*$G81)</f>
        <v/>
      </c>
      <c r="I81" s="34" t="str">
        <f aca="false">IF(OR($A81="",$C81=""),"",IFERROR(MAX(1,INDEX(PRODUCTOS!$G$6:$G$105,MATCH($A81,PRODUCTOS!$A$6:$A$105,0))),1))</f>
        <v/>
      </c>
      <c r="J81" s="43" t="str">
        <f aca="false">IF(OR($A81="",$C81=""),"",$H81/$I81)</f>
        <v/>
      </c>
      <c r="K81" s="34" t="str">
        <f aca="false">IF(OR($A81="",$C81=""),"",SUMIFS(VENTAS!$E$6:$E$2005,VENTAS!$C$6:$C$2005,$A81))</f>
        <v/>
      </c>
      <c r="L81" s="45" t="str">
        <f aca="false">IF(OR($A81="",$C81=""),"",IFERROR(N($F81)/INDEX(INSUMOS!$I$6:$I$205,MATCH($C81,INSUMOS!$A$6:$A$205,0)),N($F81))/$I81*$K81)</f>
        <v/>
      </c>
      <c r="M81" s="8" t="str">
        <f aca="false">IF($A81="","",COUNTIF($A$6:$A81,$A81))</f>
        <v/>
      </c>
      <c r="N81" s="8" t="str">
        <f aca="false">IF($A81="","",$A81&amp;"|"&amp;$M81)</f>
        <v/>
      </c>
    </row>
    <row r="82" customFormat="false" ht="15" hidden="false" customHeight="false" outlineLevel="0" collapsed="false">
      <c r="A82" s="6"/>
      <c r="B82" s="8" t="str">
        <f aca="false">IF($A82="","",IFERROR(INDEX(PRODUCTOS!$B$6:$B$105,MATCH($A82,PRODUCTOS!$A$6:$A$105,0)),"¿Código?"))</f>
        <v/>
      </c>
      <c r="C82" s="6"/>
      <c r="D82" s="8" t="str">
        <f aca="false">IF($C82="","",IFERROR(INDEX(INSUMOS!$B$6:$B$205,MATCH($C82,INSUMOS!$A$6:$A$205,0)),"¿Código?"))</f>
        <v/>
      </c>
      <c r="E82" s="8" t="str">
        <f aca="false">IF($C82="","",IFERROR(INDEX(INSUMOS!$D$6:$D$205,MATCH($C82,INSUMOS!$A$6:$A$205,0)),""))</f>
        <v/>
      </c>
      <c r="F82" s="39"/>
      <c r="G82" s="43" t="str">
        <f aca="false">IF(OR($A82="",$C82=""),"",IFERROR(INDEX(INSUMOS!$P$6:$P$205,MATCH($C82,INSUMOS!$A$6:$A$205,0)),0))</f>
        <v/>
      </c>
      <c r="H82" s="43" t="str">
        <f aca="false">IF(OR($A82="",$C82=""),"",N($F82)*$G82)</f>
        <v/>
      </c>
      <c r="I82" s="34" t="str">
        <f aca="false">IF(OR($A82="",$C82=""),"",IFERROR(MAX(1,INDEX(PRODUCTOS!$G$6:$G$105,MATCH($A82,PRODUCTOS!$A$6:$A$105,0))),1))</f>
        <v/>
      </c>
      <c r="J82" s="43" t="str">
        <f aca="false">IF(OR($A82="",$C82=""),"",$H82/$I82)</f>
        <v/>
      </c>
      <c r="K82" s="34" t="str">
        <f aca="false">IF(OR($A82="",$C82=""),"",SUMIFS(VENTAS!$E$6:$E$2005,VENTAS!$C$6:$C$2005,$A82))</f>
        <v/>
      </c>
      <c r="L82" s="45" t="str">
        <f aca="false">IF(OR($A82="",$C82=""),"",IFERROR(N($F82)/INDEX(INSUMOS!$I$6:$I$205,MATCH($C82,INSUMOS!$A$6:$A$205,0)),N($F82))/$I82*$K82)</f>
        <v/>
      </c>
      <c r="M82" s="8" t="str">
        <f aca="false">IF($A82="","",COUNTIF($A$6:$A82,$A82))</f>
        <v/>
      </c>
      <c r="N82" s="8" t="str">
        <f aca="false">IF($A82="","",$A82&amp;"|"&amp;$M82)</f>
        <v/>
      </c>
    </row>
    <row r="83" customFormat="false" ht="15" hidden="false" customHeight="false" outlineLevel="0" collapsed="false">
      <c r="A83" s="6"/>
      <c r="B83" s="8" t="str">
        <f aca="false">IF($A83="","",IFERROR(INDEX(PRODUCTOS!$B$6:$B$105,MATCH($A83,PRODUCTOS!$A$6:$A$105,0)),"¿Código?"))</f>
        <v/>
      </c>
      <c r="C83" s="6"/>
      <c r="D83" s="8" t="str">
        <f aca="false">IF($C83="","",IFERROR(INDEX(INSUMOS!$B$6:$B$205,MATCH($C83,INSUMOS!$A$6:$A$205,0)),"¿Código?"))</f>
        <v/>
      </c>
      <c r="E83" s="8" t="str">
        <f aca="false">IF($C83="","",IFERROR(INDEX(INSUMOS!$D$6:$D$205,MATCH($C83,INSUMOS!$A$6:$A$205,0)),""))</f>
        <v/>
      </c>
      <c r="F83" s="39"/>
      <c r="G83" s="43" t="str">
        <f aca="false">IF(OR($A83="",$C83=""),"",IFERROR(INDEX(INSUMOS!$P$6:$P$205,MATCH($C83,INSUMOS!$A$6:$A$205,0)),0))</f>
        <v/>
      </c>
      <c r="H83" s="43" t="str">
        <f aca="false">IF(OR($A83="",$C83=""),"",N($F83)*$G83)</f>
        <v/>
      </c>
      <c r="I83" s="34" t="str">
        <f aca="false">IF(OR($A83="",$C83=""),"",IFERROR(MAX(1,INDEX(PRODUCTOS!$G$6:$G$105,MATCH($A83,PRODUCTOS!$A$6:$A$105,0))),1))</f>
        <v/>
      </c>
      <c r="J83" s="43" t="str">
        <f aca="false">IF(OR($A83="",$C83=""),"",$H83/$I83)</f>
        <v/>
      </c>
      <c r="K83" s="34" t="str">
        <f aca="false">IF(OR($A83="",$C83=""),"",SUMIFS(VENTAS!$E$6:$E$2005,VENTAS!$C$6:$C$2005,$A83))</f>
        <v/>
      </c>
      <c r="L83" s="45" t="str">
        <f aca="false">IF(OR($A83="",$C83=""),"",IFERROR(N($F83)/INDEX(INSUMOS!$I$6:$I$205,MATCH($C83,INSUMOS!$A$6:$A$205,0)),N($F83))/$I83*$K83)</f>
        <v/>
      </c>
      <c r="M83" s="8" t="str">
        <f aca="false">IF($A83="","",COUNTIF($A$6:$A83,$A83))</f>
        <v/>
      </c>
      <c r="N83" s="8" t="str">
        <f aca="false">IF($A83="","",$A83&amp;"|"&amp;$M83)</f>
        <v/>
      </c>
    </row>
    <row r="84" customFormat="false" ht="15" hidden="false" customHeight="false" outlineLevel="0" collapsed="false">
      <c r="A84" s="6"/>
      <c r="B84" s="8" t="str">
        <f aca="false">IF($A84="","",IFERROR(INDEX(PRODUCTOS!$B$6:$B$105,MATCH($A84,PRODUCTOS!$A$6:$A$105,0)),"¿Código?"))</f>
        <v/>
      </c>
      <c r="C84" s="6"/>
      <c r="D84" s="8" t="str">
        <f aca="false">IF($C84="","",IFERROR(INDEX(INSUMOS!$B$6:$B$205,MATCH($C84,INSUMOS!$A$6:$A$205,0)),"¿Código?"))</f>
        <v/>
      </c>
      <c r="E84" s="8" t="str">
        <f aca="false">IF($C84="","",IFERROR(INDEX(INSUMOS!$D$6:$D$205,MATCH($C84,INSUMOS!$A$6:$A$205,0)),""))</f>
        <v/>
      </c>
      <c r="F84" s="39"/>
      <c r="G84" s="43" t="str">
        <f aca="false">IF(OR($A84="",$C84=""),"",IFERROR(INDEX(INSUMOS!$P$6:$P$205,MATCH($C84,INSUMOS!$A$6:$A$205,0)),0))</f>
        <v/>
      </c>
      <c r="H84" s="43" t="str">
        <f aca="false">IF(OR($A84="",$C84=""),"",N($F84)*$G84)</f>
        <v/>
      </c>
      <c r="I84" s="34" t="str">
        <f aca="false">IF(OR($A84="",$C84=""),"",IFERROR(MAX(1,INDEX(PRODUCTOS!$G$6:$G$105,MATCH($A84,PRODUCTOS!$A$6:$A$105,0))),1))</f>
        <v/>
      </c>
      <c r="J84" s="43" t="str">
        <f aca="false">IF(OR($A84="",$C84=""),"",$H84/$I84)</f>
        <v/>
      </c>
      <c r="K84" s="34" t="str">
        <f aca="false">IF(OR($A84="",$C84=""),"",SUMIFS(VENTAS!$E$6:$E$2005,VENTAS!$C$6:$C$2005,$A84))</f>
        <v/>
      </c>
      <c r="L84" s="45" t="str">
        <f aca="false">IF(OR($A84="",$C84=""),"",IFERROR(N($F84)/INDEX(INSUMOS!$I$6:$I$205,MATCH($C84,INSUMOS!$A$6:$A$205,0)),N($F84))/$I84*$K84)</f>
        <v/>
      </c>
      <c r="M84" s="8" t="str">
        <f aca="false">IF($A84="","",COUNTIF($A$6:$A84,$A84))</f>
        <v/>
      </c>
      <c r="N84" s="8" t="str">
        <f aca="false">IF($A84="","",$A84&amp;"|"&amp;$M84)</f>
        <v/>
      </c>
    </row>
    <row r="85" customFormat="false" ht="15" hidden="false" customHeight="false" outlineLevel="0" collapsed="false">
      <c r="A85" s="6"/>
      <c r="B85" s="8" t="str">
        <f aca="false">IF($A85="","",IFERROR(INDEX(PRODUCTOS!$B$6:$B$105,MATCH($A85,PRODUCTOS!$A$6:$A$105,0)),"¿Código?"))</f>
        <v/>
      </c>
      <c r="C85" s="6"/>
      <c r="D85" s="8" t="str">
        <f aca="false">IF($C85="","",IFERROR(INDEX(INSUMOS!$B$6:$B$205,MATCH($C85,INSUMOS!$A$6:$A$205,0)),"¿Código?"))</f>
        <v/>
      </c>
      <c r="E85" s="8" t="str">
        <f aca="false">IF($C85="","",IFERROR(INDEX(INSUMOS!$D$6:$D$205,MATCH($C85,INSUMOS!$A$6:$A$205,0)),""))</f>
        <v/>
      </c>
      <c r="F85" s="39"/>
      <c r="G85" s="43" t="str">
        <f aca="false">IF(OR($A85="",$C85=""),"",IFERROR(INDEX(INSUMOS!$P$6:$P$205,MATCH($C85,INSUMOS!$A$6:$A$205,0)),0))</f>
        <v/>
      </c>
      <c r="H85" s="43" t="str">
        <f aca="false">IF(OR($A85="",$C85=""),"",N($F85)*$G85)</f>
        <v/>
      </c>
      <c r="I85" s="34" t="str">
        <f aca="false">IF(OR($A85="",$C85=""),"",IFERROR(MAX(1,INDEX(PRODUCTOS!$G$6:$G$105,MATCH($A85,PRODUCTOS!$A$6:$A$105,0))),1))</f>
        <v/>
      </c>
      <c r="J85" s="43" t="str">
        <f aca="false">IF(OR($A85="",$C85=""),"",$H85/$I85)</f>
        <v/>
      </c>
      <c r="K85" s="34" t="str">
        <f aca="false">IF(OR($A85="",$C85=""),"",SUMIFS(VENTAS!$E$6:$E$2005,VENTAS!$C$6:$C$2005,$A85))</f>
        <v/>
      </c>
      <c r="L85" s="45" t="str">
        <f aca="false">IF(OR($A85="",$C85=""),"",IFERROR(N($F85)/INDEX(INSUMOS!$I$6:$I$205,MATCH($C85,INSUMOS!$A$6:$A$205,0)),N($F85))/$I85*$K85)</f>
        <v/>
      </c>
      <c r="M85" s="8" t="str">
        <f aca="false">IF($A85="","",COUNTIF($A$6:$A85,$A85))</f>
        <v/>
      </c>
      <c r="N85" s="8" t="str">
        <f aca="false">IF($A85="","",$A85&amp;"|"&amp;$M85)</f>
        <v/>
      </c>
    </row>
    <row r="86" customFormat="false" ht="15" hidden="false" customHeight="false" outlineLevel="0" collapsed="false">
      <c r="A86" s="6"/>
      <c r="B86" s="8" t="str">
        <f aca="false">IF($A86="","",IFERROR(INDEX(PRODUCTOS!$B$6:$B$105,MATCH($A86,PRODUCTOS!$A$6:$A$105,0)),"¿Código?"))</f>
        <v/>
      </c>
      <c r="C86" s="6"/>
      <c r="D86" s="8" t="str">
        <f aca="false">IF($C86="","",IFERROR(INDEX(INSUMOS!$B$6:$B$205,MATCH($C86,INSUMOS!$A$6:$A$205,0)),"¿Código?"))</f>
        <v/>
      </c>
      <c r="E86" s="8" t="str">
        <f aca="false">IF($C86="","",IFERROR(INDEX(INSUMOS!$D$6:$D$205,MATCH($C86,INSUMOS!$A$6:$A$205,0)),""))</f>
        <v/>
      </c>
      <c r="F86" s="39"/>
      <c r="G86" s="43" t="str">
        <f aca="false">IF(OR($A86="",$C86=""),"",IFERROR(INDEX(INSUMOS!$P$6:$P$205,MATCH($C86,INSUMOS!$A$6:$A$205,0)),0))</f>
        <v/>
      </c>
      <c r="H86" s="43" t="str">
        <f aca="false">IF(OR($A86="",$C86=""),"",N($F86)*$G86)</f>
        <v/>
      </c>
      <c r="I86" s="34" t="str">
        <f aca="false">IF(OR($A86="",$C86=""),"",IFERROR(MAX(1,INDEX(PRODUCTOS!$G$6:$G$105,MATCH($A86,PRODUCTOS!$A$6:$A$105,0))),1))</f>
        <v/>
      </c>
      <c r="J86" s="43" t="str">
        <f aca="false">IF(OR($A86="",$C86=""),"",$H86/$I86)</f>
        <v/>
      </c>
      <c r="K86" s="34" t="str">
        <f aca="false">IF(OR($A86="",$C86=""),"",SUMIFS(VENTAS!$E$6:$E$2005,VENTAS!$C$6:$C$2005,$A86))</f>
        <v/>
      </c>
      <c r="L86" s="45" t="str">
        <f aca="false">IF(OR($A86="",$C86=""),"",IFERROR(N($F86)/INDEX(INSUMOS!$I$6:$I$205,MATCH($C86,INSUMOS!$A$6:$A$205,0)),N($F86))/$I86*$K86)</f>
        <v/>
      </c>
      <c r="M86" s="8" t="str">
        <f aca="false">IF($A86="","",COUNTIF($A$6:$A86,$A86))</f>
        <v/>
      </c>
      <c r="N86" s="8" t="str">
        <f aca="false">IF($A86="","",$A86&amp;"|"&amp;$M86)</f>
        <v/>
      </c>
    </row>
    <row r="87" customFormat="false" ht="15" hidden="false" customHeight="false" outlineLevel="0" collapsed="false">
      <c r="A87" s="6"/>
      <c r="B87" s="8" t="str">
        <f aca="false">IF($A87="","",IFERROR(INDEX(PRODUCTOS!$B$6:$B$105,MATCH($A87,PRODUCTOS!$A$6:$A$105,0)),"¿Código?"))</f>
        <v/>
      </c>
      <c r="C87" s="6"/>
      <c r="D87" s="8" t="str">
        <f aca="false">IF($C87="","",IFERROR(INDEX(INSUMOS!$B$6:$B$205,MATCH($C87,INSUMOS!$A$6:$A$205,0)),"¿Código?"))</f>
        <v/>
      </c>
      <c r="E87" s="8" t="str">
        <f aca="false">IF($C87="","",IFERROR(INDEX(INSUMOS!$D$6:$D$205,MATCH($C87,INSUMOS!$A$6:$A$205,0)),""))</f>
        <v/>
      </c>
      <c r="F87" s="39"/>
      <c r="G87" s="43" t="str">
        <f aca="false">IF(OR($A87="",$C87=""),"",IFERROR(INDEX(INSUMOS!$P$6:$P$205,MATCH($C87,INSUMOS!$A$6:$A$205,0)),0))</f>
        <v/>
      </c>
      <c r="H87" s="43" t="str">
        <f aca="false">IF(OR($A87="",$C87=""),"",N($F87)*$G87)</f>
        <v/>
      </c>
      <c r="I87" s="34" t="str">
        <f aca="false">IF(OR($A87="",$C87=""),"",IFERROR(MAX(1,INDEX(PRODUCTOS!$G$6:$G$105,MATCH($A87,PRODUCTOS!$A$6:$A$105,0))),1))</f>
        <v/>
      </c>
      <c r="J87" s="43" t="str">
        <f aca="false">IF(OR($A87="",$C87=""),"",$H87/$I87)</f>
        <v/>
      </c>
      <c r="K87" s="34" t="str">
        <f aca="false">IF(OR($A87="",$C87=""),"",SUMIFS(VENTAS!$E$6:$E$2005,VENTAS!$C$6:$C$2005,$A87))</f>
        <v/>
      </c>
      <c r="L87" s="45" t="str">
        <f aca="false">IF(OR($A87="",$C87=""),"",IFERROR(N($F87)/INDEX(INSUMOS!$I$6:$I$205,MATCH($C87,INSUMOS!$A$6:$A$205,0)),N($F87))/$I87*$K87)</f>
        <v/>
      </c>
      <c r="M87" s="8" t="str">
        <f aca="false">IF($A87="","",COUNTIF($A$6:$A87,$A87))</f>
        <v/>
      </c>
      <c r="N87" s="8" t="str">
        <f aca="false">IF($A87="","",$A87&amp;"|"&amp;$M87)</f>
        <v/>
      </c>
    </row>
    <row r="88" customFormat="false" ht="15" hidden="false" customHeight="false" outlineLevel="0" collapsed="false">
      <c r="A88" s="6"/>
      <c r="B88" s="8" t="str">
        <f aca="false">IF($A88="","",IFERROR(INDEX(PRODUCTOS!$B$6:$B$105,MATCH($A88,PRODUCTOS!$A$6:$A$105,0)),"¿Código?"))</f>
        <v/>
      </c>
      <c r="C88" s="6"/>
      <c r="D88" s="8" t="str">
        <f aca="false">IF($C88="","",IFERROR(INDEX(INSUMOS!$B$6:$B$205,MATCH($C88,INSUMOS!$A$6:$A$205,0)),"¿Código?"))</f>
        <v/>
      </c>
      <c r="E88" s="8" t="str">
        <f aca="false">IF($C88="","",IFERROR(INDEX(INSUMOS!$D$6:$D$205,MATCH($C88,INSUMOS!$A$6:$A$205,0)),""))</f>
        <v/>
      </c>
      <c r="F88" s="39"/>
      <c r="G88" s="43" t="str">
        <f aca="false">IF(OR($A88="",$C88=""),"",IFERROR(INDEX(INSUMOS!$P$6:$P$205,MATCH($C88,INSUMOS!$A$6:$A$205,0)),0))</f>
        <v/>
      </c>
      <c r="H88" s="43" t="str">
        <f aca="false">IF(OR($A88="",$C88=""),"",N($F88)*$G88)</f>
        <v/>
      </c>
      <c r="I88" s="34" t="str">
        <f aca="false">IF(OR($A88="",$C88=""),"",IFERROR(MAX(1,INDEX(PRODUCTOS!$G$6:$G$105,MATCH($A88,PRODUCTOS!$A$6:$A$105,0))),1))</f>
        <v/>
      </c>
      <c r="J88" s="43" t="str">
        <f aca="false">IF(OR($A88="",$C88=""),"",$H88/$I88)</f>
        <v/>
      </c>
      <c r="K88" s="34" t="str">
        <f aca="false">IF(OR($A88="",$C88=""),"",SUMIFS(VENTAS!$E$6:$E$2005,VENTAS!$C$6:$C$2005,$A88))</f>
        <v/>
      </c>
      <c r="L88" s="45" t="str">
        <f aca="false">IF(OR($A88="",$C88=""),"",IFERROR(N($F88)/INDEX(INSUMOS!$I$6:$I$205,MATCH($C88,INSUMOS!$A$6:$A$205,0)),N($F88))/$I88*$K88)</f>
        <v/>
      </c>
      <c r="M88" s="8" t="str">
        <f aca="false">IF($A88="","",COUNTIF($A$6:$A88,$A88))</f>
        <v/>
      </c>
      <c r="N88" s="8" t="str">
        <f aca="false">IF($A88="","",$A88&amp;"|"&amp;$M88)</f>
        <v/>
      </c>
    </row>
    <row r="89" customFormat="false" ht="15" hidden="false" customHeight="false" outlineLevel="0" collapsed="false">
      <c r="A89" s="6"/>
      <c r="B89" s="8" t="str">
        <f aca="false">IF($A89="","",IFERROR(INDEX(PRODUCTOS!$B$6:$B$105,MATCH($A89,PRODUCTOS!$A$6:$A$105,0)),"¿Código?"))</f>
        <v/>
      </c>
      <c r="C89" s="6"/>
      <c r="D89" s="8" t="str">
        <f aca="false">IF($C89="","",IFERROR(INDEX(INSUMOS!$B$6:$B$205,MATCH($C89,INSUMOS!$A$6:$A$205,0)),"¿Código?"))</f>
        <v/>
      </c>
      <c r="E89" s="8" t="str">
        <f aca="false">IF($C89="","",IFERROR(INDEX(INSUMOS!$D$6:$D$205,MATCH($C89,INSUMOS!$A$6:$A$205,0)),""))</f>
        <v/>
      </c>
      <c r="F89" s="39"/>
      <c r="G89" s="43" t="str">
        <f aca="false">IF(OR($A89="",$C89=""),"",IFERROR(INDEX(INSUMOS!$P$6:$P$205,MATCH($C89,INSUMOS!$A$6:$A$205,0)),0))</f>
        <v/>
      </c>
      <c r="H89" s="43" t="str">
        <f aca="false">IF(OR($A89="",$C89=""),"",N($F89)*$G89)</f>
        <v/>
      </c>
      <c r="I89" s="34" t="str">
        <f aca="false">IF(OR($A89="",$C89=""),"",IFERROR(MAX(1,INDEX(PRODUCTOS!$G$6:$G$105,MATCH($A89,PRODUCTOS!$A$6:$A$105,0))),1))</f>
        <v/>
      </c>
      <c r="J89" s="43" t="str">
        <f aca="false">IF(OR($A89="",$C89=""),"",$H89/$I89)</f>
        <v/>
      </c>
      <c r="K89" s="34" t="str">
        <f aca="false">IF(OR($A89="",$C89=""),"",SUMIFS(VENTAS!$E$6:$E$2005,VENTAS!$C$6:$C$2005,$A89))</f>
        <v/>
      </c>
      <c r="L89" s="45" t="str">
        <f aca="false">IF(OR($A89="",$C89=""),"",IFERROR(N($F89)/INDEX(INSUMOS!$I$6:$I$205,MATCH($C89,INSUMOS!$A$6:$A$205,0)),N($F89))/$I89*$K89)</f>
        <v/>
      </c>
      <c r="M89" s="8" t="str">
        <f aca="false">IF($A89="","",COUNTIF($A$6:$A89,$A89))</f>
        <v/>
      </c>
      <c r="N89" s="8" t="str">
        <f aca="false">IF($A89="","",$A89&amp;"|"&amp;$M89)</f>
        <v/>
      </c>
    </row>
    <row r="90" customFormat="false" ht="15" hidden="false" customHeight="false" outlineLevel="0" collapsed="false">
      <c r="A90" s="6"/>
      <c r="B90" s="8" t="str">
        <f aca="false">IF($A90="","",IFERROR(INDEX(PRODUCTOS!$B$6:$B$105,MATCH($A90,PRODUCTOS!$A$6:$A$105,0)),"¿Código?"))</f>
        <v/>
      </c>
      <c r="C90" s="6"/>
      <c r="D90" s="8" t="str">
        <f aca="false">IF($C90="","",IFERROR(INDEX(INSUMOS!$B$6:$B$205,MATCH($C90,INSUMOS!$A$6:$A$205,0)),"¿Código?"))</f>
        <v/>
      </c>
      <c r="E90" s="8" t="str">
        <f aca="false">IF($C90="","",IFERROR(INDEX(INSUMOS!$D$6:$D$205,MATCH($C90,INSUMOS!$A$6:$A$205,0)),""))</f>
        <v/>
      </c>
      <c r="F90" s="39"/>
      <c r="G90" s="43" t="str">
        <f aca="false">IF(OR($A90="",$C90=""),"",IFERROR(INDEX(INSUMOS!$P$6:$P$205,MATCH($C90,INSUMOS!$A$6:$A$205,0)),0))</f>
        <v/>
      </c>
      <c r="H90" s="43" t="str">
        <f aca="false">IF(OR($A90="",$C90=""),"",N($F90)*$G90)</f>
        <v/>
      </c>
      <c r="I90" s="34" t="str">
        <f aca="false">IF(OR($A90="",$C90=""),"",IFERROR(MAX(1,INDEX(PRODUCTOS!$G$6:$G$105,MATCH($A90,PRODUCTOS!$A$6:$A$105,0))),1))</f>
        <v/>
      </c>
      <c r="J90" s="43" t="str">
        <f aca="false">IF(OR($A90="",$C90=""),"",$H90/$I90)</f>
        <v/>
      </c>
      <c r="K90" s="34" t="str">
        <f aca="false">IF(OR($A90="",$C90=""),"",SUMIFS(VENTAS!$E$6:$E$2005,VENTAS!$C$6:$C$2005,$A90))</f>
        <v/>
      </c>
      <c r="L90" s="45" t="str">
        <f aca="false">IF(OR($A90="",$C90=""),"",IFERROR(N($F90)/INDEX(INSUMOS!$I$6:$I$205,MATCH($C90,INSUMOS!$A$6:$A$205,0)),N($F90))/$I90*$K90)</f>
        <v/>
      </c>
      <c r="M90" s="8" t="str">
        <f aca="false">IF($A90="","",COUNTIF($A$6:$A90,$A90))</f>
        <v/>
      </c>
      <c r="N90" s="8" t="str">
        <f aca="false">IF($A90="","",$A90&amp;"|"&amp;$M90)</f>
        <v/>
      </c>
    </row>
    <row r="91" customFormat="false" ht="15" hidden="false" customHeight="false" outlineLevel="0" collapsed="false">
      <c r="A91" s="6"/>
      <c r="B91" s="8" t="str">
        <f aca="false">IF($A91="","",IFERROR(INDEX(PRODUCTOS!$B$6:$B$105,MATCH($A91,PRODUCTOS!$A$6:$A$105,0)),"¿Código?"))</f>
        <v/>
      </c>
      <c r="C91" s="6"/>
      <c r="D91" s="8" t="str">
        <f aca="false">IF($C91="","",IFERROR(INDEX(INSUMOS!$B$6:$B$205,MATCH($C91,INSUMOS!$A$6:$A$205,0)),"¿Código?"))</f>
        <v/>
      </c>
      <c r="E91" s="8" t="str">
        <f aca="false">IF($C91="","",IFERROR(INDEX(INSUMOS!$D$6:$D$205,MATCH($C91,INSUMOS!$A$6:$A$205,0)),""))</f>
        <v/>
      </c>
      <c r="F91" s="39"/>
      <c r="G91" s="43" t="str">
        <f aca="false">IF(OR($A91="",$C91=""),"",IFERROR(INDEX(INSUMOS!$P$6:$P$205,MATCH($C91,INSUMOS!$A$6:$A$205,0)),0))</f>
        <v/>
      </c>
      <c r="H91" s="43" t="str">
        <f aca="false">IF(OR($A91="",$C91=""),"",N($F91)*$G91)</f>
        <v/>
      </c>
      <c r="I91" s="34" t="str">
        <f aca="false">IF(OR($A91="",$C91=""),"",IFERROR(MAX(1,INDEX(PRODUCTOS!$G$6:$G$105,MATCH($A91,PRODUCTOS!$A$6:$A$105,0))),1))</f>
        <v/>
      </c>
      <c r="J91" s="43" t="str">
        <f aca="false">IF(OR($A91="",$C91=""),"",$H91/$I91)</f>
        <v/>
      </c>
      <c r="K91" s="34" t="str">
        <f aca="false">IF(OR($A91="",$C91=""),"",SUMIFS(VENTAS!$E$6:$E$2005,VENTAS!$C$6:$C$2005,$A91))</f>
        <v/>
      </c>
      <c r="L91" s="45" t="str">
        <f aca="false">IF(OR($A91="",$C91=""),"",IFERROR(N($F91)/INDEX(INSUMOS!$I$6:$I$205,MATCH($C91,INSUMOS!$A$6:$A$205,0)),N($F91))/$I91*$K91)</f>
        <v/>
      </c>
      <c r="M91" s="8" t="str">
        <f aca="false">IF($A91="","",COUNTIF($A$6:$A91,$A91))</f>
        <v/>
      </c>
      <c r="N91" s="8" t="str">
        <f aca="false">IF($A91="","",$A91&amp;"|"&amp;$M91)</f>
        <v/>
      </c>
    </row>
    <row r="92" customFormat="false" ht="15" hidden="false" customHeight="false" outlineLevel="0" collapsed="false">
      <c r="A92" s="6"/>
      <c r="B92" s="8" t="str">
        <f aca="false">IF($A92="","",IFERROR(INDEX(PRODUCTOS!$B$6:$B$105,MATCH($A92,PRODUCTOS!$A$6:$A$105,0)),"¿Código?"))</f>
        <v/>
      </c>
      <c r="C92" s="6"/>
      <c r="D92" s="8" t="str">
        <f aca="false">IF($C92="","",IFERROR(INDEX(INSUMOS!$B$6:$B$205,MATCH($C92,INSUMOS!$A$6:$A$205,0)),"¿Código?"))</f>
        <v/>
      </c>
      <c r="E92" s="8" t="str">
        <f aca="false">IF($C92="","",IFERROR(INDEX(INSUMOS!$D$6:$D$205,MATCH($C92,INSUMOS!$A$6:$A$205,0)),""))</f>
        <v/>
      </c>
      <c r="F92" s="39"/>
      <c r="G92" s="43" t="str">
        <f aca="false">IF(OR($A92="",$C92=""),"",IFERROR(INDEX(INSUMOS!$P$6:$P$205,MATCH($C92,INSUMOS!$A$6:$A$205,0)),0))</f>
        <v/>
      </c>
      <c r="H92" s="43" t="str">
        <f aca="false">IF(OR($A92="",$C92=""),"",N($F92)*$G92)</f>
        <v/>
      </c>
      <c r="I92" s="34" t="str">
        <f aca="false">IF(OR($A92="",$C92=""),"",IFERROR(MAX(1,INDEX(PRODUCTOS!$G$6:$G$105,MATCH($A92,PRODUCTOS!$A$6:$A$105,0))),1))</f>
        <v/>
      </c>
      <c r="J92" s="43" t="str">
        <f aca="false">IF(OR($A92="",$C92=""),"",$H92/$I92)</f>
        <v/>
      </c>
      <c r="K92" s="34" t="str">
        <f aca="false">IF(OR($A92="",$C92=""),"",SUMIFS(VENTAS!$E$6:$E$2005,VENTAS!$C$6:$C$2005,$A92))</f>
        <v/>
      </c>
      <c r="L92" s="45" t="str">
        <f aca="false">IF(OR($A92="",$C92=""),"",IFERROR(N($F92)/INDEX(INSUMOS!$I$6:$I$205,MATCH($C92,INSUMOS!$A$6:$A$205,0)),N($F92))/$I92*$K92)</f>
        <v/>
      </c>
      <c r="M92" s="8" t="str">
        <f aca="false">IF($A92="","",COUNTIF($A$6:$A92,$A92))</f>
        <v/>
      </c>
      <c r="N92" s="8" t="str">
        <f aca="false">IF($A92="","",$A92&amp;"|"&amp;$M92)</f>
        <v/>
      </c>
    </row>
    <row r="93" customFormat="false" ht="15" hidden="false" customHeight="false" outlineLevel="0" collapsed="false">
      <c r="A93" s="6"/>
      <c r="B93" s="8" t="str">
        <f aca="false">IF($A93="","",IFERROR(INDEX(PRODUCTOS!$B$6:$B$105,MATCH($A93,PRODUCTOS!$A$6:$A$105,0)),"¿Código?"))</f>
        <v/>
      </c>
      <c r="C93" s="6"/>
      <c r="D93" s="8" t="str">
        <f aca="false">IF($C93="","",IFERROR(INDEX(INSUMOS!$B$6:$B$205,MATCH($C93,INSUMOS!$A$6:$A$205,0)),"¿Código?"))</f>
        <v/>
      </c>
      <c r="E93" s="8" t="str">
        <f aca="false">IF($C93="","",IFERROR(INDEX(INSUMOS!$D$6:$D$205,MATCH($C93,INSUMOS!$A$6:$A$205,0)),""))</f>
        <v/>
      </c>
      <c r="F93" s="39"/>
      <c r="G93" s="43" t="str">
        <f aca="false">IF(OR($A93="",$C93=""),"",IFERROR(INDEX(INSUMOS!$P$6:$P$205,MATCH($C93,INSUMOS!$A$6:$A$205,0)),0))</f>
        <v/>
      </c>
      <c r="H93" s="43" t="str">
        <f aca="false">IF(OR($A93="",$C93=""),"",N($F93)*$G93)</f>
        <v/>
      </c>
      <c r="I93" s="34" t="str">
        <f aca="false">IF(OR($A93="",$C93=""),"",IFERROR(MAX(1,INDEX(PRODUCTOS!$G$6:$G$105,MATCH($A93,PRODUCTOS!$A$6:$A$105,0))),1))</f>
        <v/>
      </c>
      <c r="J93" s="43" t="str">
        <f aca="false">IF(OR($A93="",$C93=""),"",$H93/$I93)</f>
        <v/>
      </c>
      <c r="K93" s="34" t="str">
        <f aca="false">IF(OR($A93="",$C93=""),"",SUMIFS(VENTAS!$E$6:$E$2005,VENTAS!$C$6:$C$2005,$A93))</f>
        <v/>
      </c>
      <c r="L93" s="45" t="str">
        <f aca="false">IF(OR($A93="",$C93=""),"",IFERROR(N($F93)/INDEX(INSUMOS!$I$6:$I$205,MATCH($C93,INSUMOS!$A$6:$A$205,0)),N($F93))/$I93*$K93)</f>
        <v/>
      </c>
      <c r="M93" s="8" t="str">
        <f aca="false">IF($A93="","",COUNTIF($A$6:$A93,$A93))</f>
        <v/>
      </c>
      <c r="N93" s="8" t="str">
        <f aca="false">IF($A93="","",$A93&amp;"|"&amp;$M93)</f>
        <v/>
      </c>
    </row>
    <row r="94" customFormat="false" ht="15" hidden="false" customHeight="false" outlineLevel="0" collapsed="false">
      <c r="A94" s="6"/>
      <c r="B94" s="8" t="str">
        <f aca="false">IF($A94="","",IFERROR(INDEX(PRODUCTOS!$B$6:$B$105,MATCH($A94,PRODUCTOS!$A$6:$A$105,0)),"¿Código?"))</f>
        <v/>
      </c>
      <c r="C94" s="6"/>
      <c r="D94" s="8" t="str">
        <f aca="false">IF($C94="","",IFERROR(INDEX(INSUMOS!$B$6:$B$205,MATCH($C94,INSUMOS!$A$6:$A$205,0)),"¿Código?"))</f>
        <v/>
      </c>
      <c r="E94" s="8" t="str">
        <f aca="false">IF($C94="","",IFERROR(INDEX(INSUMOS!$D$6:$D$205,MATCH($C94,INSUMOS!$A$6:$A$205,0)),""))</f>
        <v/>
      </c>
      <c r="F94" s="39"/>
      <c r="G94" s="43" t="str">
        <f aca="false">IF(OR($A94="",$C94=""),"",IFERROR(INDEX(INSUMOS!$P$6:$P$205,MATCH($C94,INSUMOS!$A$6:$A$205,0)),0))</f>
        <v/>
      </c>
      <c r="H94" s="43" t="str">
        <f aca="false">IF(OR($A94="",$C94=""),"",N($F94)*$G94)</f>
        <v/>
      </c>
      <c r="I94" s="34" t="str">
        <f aca="false">IF(OR($A94="",$C94=""),"",IFERROR(MAX(1,INDEX(PRODUCTOS!$G$6:$G$105,MATCH($A94,PRODUCTOS!$A$6:$A$105,0))),1))</f>
        <v/>
      </c>
      <c r="J94" s="43" t="str">
        <f aca="false">IF(OR($A94="",$C94=""),"",$H94/$I94)</f>
        <v/>
      </c>
      <c r="K94" s="34" t="str">
        <f aca="false">IF(OR($A94="",$C94=""),"",SUMIFS(VENTAS!$E$6:$E$2005,VENTAS!$C$6:$C$2005,$A94))</f>
        <v/>
      </c>
      <c r="L94" s="45" t="str">
        <f aca="false">IF(OR($A94="",$C94=""),"",IFERROR(N($F94)/INDEX(INSUMOS!$I$6:$I$205,MATCH($C94,INSUMOS!$A$6:$A$205,0)),N($F94))/$I94*$K94)</f>
        <v/>
      </c>
      <c r="M94" s="8" t="str">
        <f aca="false">IF($A94="","",COUNTIF($A$6:$A94,$A94))</f>
        <v/>
      </c>
      <c r="N94" s="8" t="str">
        <f aca="false">IF($A94="","",$A94&amp;"|"&amp;$M94)</f>
        <v/>
      </c>
    </row>
    <row r="95" customFormat="false" ht="15" hidden="false" customHeight="false" outlineLevel="0" collapsed="false">
      <c r="A95" s="6"/>
      <c r="B95" s="8" t="str">
        <f aca="false">IF($A95="","",IFERROR(INDEX(PRODUCTOS!$B$6:$B$105,MATCH($A95,PRODUCTOS!$A$6:$A$105,0)),"¿Código?"))</f>
        <v/>
      </c>
      <c r="C95" s="6"/>
      <c r="D95" s="8" t="str">
        <f aca="false">IF($C95="","",IFERROR(INDEX(INSUMOS!$B$6:$B$205,MATCH($C95,INSUMOS!$A$6:$A$205,0)),"¿Código?"))</f>
        <v/>
      </c>
      <c r="E95" s="8" t="str">
        <f aca="false">IF($C95="","",IFERROR(INDEX(INSUMOS!$D$6:$D$205,MATCH($C95,INSUMOS!$A$6:$A$205,0)),""))</f>
        <v/>
      </c>
      <c r="F95" s="39"/>
      <c r="G95" s="43" t="str">
        <f aca="false">IF(OR($A95="",$C95=""),"",IFERROR(INDEX(INSUMOS!$P$6:$P$205,MATCH($C95,INSUMOS!$A$6:$A$205,0)),0))</f>
        <v/>
      </c>
      <c r="H95" s="43" t="str">
        <f aca="false">IF(OR($A95="",$C95=""),"",N($F95)*$G95)</f>
        <v/>
      </c>
      <c r="I95" s="34" t="str">
        <f aca="false">IF(OR($A95="",$C95=""),"",IFERROR(MAX(1,INDEX(PRODUCTOS!$G$6:$G$105,MATCH($A95,PRODUCTOS!$A$6:$A$105,0))),1))</f>
        <v/>
      </c>
      <c r="J95" s="43" t="str">
        <f aca="false">IF(OR($A95="",$C95=""),"",$H95/$I95)</f>
        <v/>
      </c>
      <c r="K95" s="34" t="str">
        <f aca="false">IF(OR($A95="",$C95=""),"",SUMIFS(VENTAS!$E$6:$E$2005,VENTAS!$C$6:$C$2005,$A95))</f>
        <v/>
      </c>
      <c r="L95" s="45" t="str">
        <f aca="false">IF(OR($A95="",$C95=""),"",IFERROR(N($F95)/INDEX(INSUMOS!$I$6:$I$205,MATCH($C95,INSUMOS!$A$6:$A$205,0)),N($F95))/$I95*$K95)</f>
        <v/>
      </c>
      <c r="M95" s="8" t="str">
        <f aca="false">IF($A95="","",COUNTIF($A$6:$A95,$A95))</f>
        <v/>
      </c>
      <c r="N95" s="8" t="str">
        <f aca="false">IF($A95="","",$A95&amp;"|"&amp;$M95)</f>
        <v/>
      </c>
    </row>
    <row r="96" customFormat="false" ht="15" hidden="false" customHeight="false" outlineLevel="0" collapsed="false">
      <c r="A96" s="6"/>
      <c r="B96" s="8" t="str">
        <f aca="false">IF($A96="","",IFERROR(INDEX(PRODUCTOS!$B$6:$B$105,MATCH($A96,PRODUCTOS!$A$6:$A$105,0)),"¿Código?"))</f>
        <v/>
      </c>
      <c r="C96" s="6"/>
      <c r="D96" s="8" t="str">
        <f aca="false">IF($C96="","",IFERROR(INDEX(INSUMOS!$B$6:$B$205,MATCH($C96,INSUMOS!$A$6:$A$205,0)),"¿Código?"))</f>
        <v/>
      </c>
      <c r="E96" s="8" t="str">
        <f aca="false">IF($C96="","",IFERROR(INDEX(INSUMOS!$D$6:$D$205,MATCH($C96,INSUMOS!$A$6:$A$205,0)),""))</f>
        <v/>
      </c>
      <c r="F96" s="39"/>
      <c r="G96" s="43" t="str">
        <f aca="false">IF(OR($A96="",$C96=""),"",IFERROR(INDEX(INSUMOS!$P$6:$P$205,MATCH($C96,INSUMOS!$A$6:$A$205,0)),0))</f>
        <v/>
      </c>
      <c r="H96" s="43" t="str">
        <f aca="false">IF(OR($A96="",$C96=""),"",N($F96)*$G96)</f>
        <v/>
      </c>
      <c r="I96" s="34" t="str">
        <f aca="false">IF(OR($A96="",$C96=""),"",IFERROR(MAX(1,INDEX(PRODUCTOS!$G$6:$G$105,MATCH($A96,PRODUCTOS!$A$6:$A$105,0))),1))</f>
        <v/>
      </c>
      <c r="J96" s="43" t="str">
        <f aca="false">IF(OR($A96="",$C96=""),"",$H96/$I96)</f>
        <v/>
      </c>
      <c r="K96" s="34" t="str">
        <f aca="false">IF(OR($A96="",$C96=""),"",SUMIFS(VENTAS!$E$6:$E$2005,VENTAS!$C$6:$C$2005,$A96))</f>
        <v/>
      </c>
      <c r="L96" s="45" t="str">
        <f aca="false">IF(OR($A96="",$C96=""),"",IFERROR(N($F96)/INDEX(INSUMOS!$I$6:$I$205,MATCH($C96,INSUMOS!$A$6:$A$205,0)),N($F96))/$I96*$K96)</f>
        <v/>
      </c>
      <c r="M96" s="8" t="str">
        <f aca="false">IF($A96="","",COUNTIF($A$6:$A96,$A96))</f>
        <v/>
      </c>
      <c r="N96" s="8" t="str">
        <f aca="false">IF($A96="","",$A96&amp;"|"&amp;$M96)</f>
        <v/>
      </c>
    </row>
    <row r="97" customFormat="false" ht="15" hidden="false" customHeight="false" outlineLevel="0" collapsed="false">
      <c r="A97" s="6"/>
      <c r="B97" s="8" t="str">
        <f aca="false">IF($A97="","",IFERROR(INDEX(PRODUCTOS!$B$6:$B$105,MATCH($A97,PRODUCTOS!$A$6:$A$105,0)),"¿Código?"))</f>
        <v/>
      </c>
      <c r="C97" s="6"/>
      <c r="D97" s="8" t="str">
        <f aca="false">IF($C97="","",IFERROR(INDEX(INSUMOS!$B$6:$B$205,MATCH($C97,INSUMOS!$A$6:$A$205,0)),"¿Código?"))</f>
        <v/>
      </c>
      <c r="E97" s="8" t="str">
        <f aca="false">IF($C97="","",IFERROR(INDEX(INSUMOS!$D$6:$D$205,MATCH($C97,INSUMOS!$A$6:$A$205,0)),""))</f>
        <v/>
      </c>
      <c r="F97" s="39"/>
      <c r="G97" s="43" t="str">
        <f aca="false">IF(OR($A97="",$C97=""),"",IFERROR(INDEX(INSUMOS!$P$6:$P$205,MATCH($C97,INSUMOS!$A$6:$A$205,0)),0))</f>
        <v/>
      </c>
      <c r="H97" s="43" t="str">
        <f aca="false">IF(OR($A97="",$C97=""),"",N($F97)*$G97)</f>
        <v/>
      </c>
      <c r="I97" s="34" t="str">
        <f aca="false">IF(OR($A97="",$C97=""),"",IFERROR(MAX(1,INDEX(PRODUCTOS!$G$6:$G$105,MATCH($A97,PRODUCTOS!$A$6:$A$105,0))),1))</f>
        <v/>
      </c>
      <c r="J97" s="43" t="str">
        <f aca="false">IF(OR($A97="",$C97=""),"",$H97/$I97)</f>
        <v/>
      </c>
      <c r="K97" s="34" t="str">
        <f aca="false">IF(OR($A97="",$C97=""),"",SUMIFS(VENTAS!$E$6:$E$2005,VENTAS!$C$6:$C$2005,$A97))</f>
        <v/>
      </c>
      <c r="L97" s="45" t="str">
        <f aca="false">IF(OR($A97="",$C97=""),"",IFERROR(N($F97)/INDEX(INSUMOS!$I$6:$I$205,MATCH($C97,INSUMOS!$A$6:$A$205,0)),N($F97))/$I97*$K97)</f>
        <v/>
      </c>
      <c r="M97" s="8" t="str">
        <f aca="false">IF($A97="","",COUNTIF($A$6:$A97,$A97))</f>
        <v/>
      </c>
      <c r="N97" s="8" t="str">
        <f aca="false">IF($A97="","",$A97&amp;"|"&amp;$M97)</f>
        <v/>
      </c>
    </row>
    <row r="98" customFormat="false" ht="15" hidden="false" customHeight="false" outlineLevel="0" collapsed="false">
      <c r="A98" s="6"/>
      <c r="B98" s="8" t="str">
        <f aca="false">IF($A98="","",IFERROR(INDEX(PRODUCTOS!$B$6:$B$105,MATCH($A98,PRODUCTOS!$A$6:$A$105,0)),"¿Código?"))</f>
        <v/>
      </c>
      <c r="C98" s="6"/>
      <c r="D98" s="8" t="str">
        <f aca="false">IF($C98="","",IFERROR(INDEX(INSUMOS!$B$6:$B$205,MATCH($C98,INSUMOS!$A$6:$A$205,0)),"¿Código?"))</f>
        <v/>
      </c>
      <c r="E98" s="8" t="str">
        <f aca="false">IF($C98="","",IFERROR(INDEX(INSUMOS!$D$6:$D$205,MATCH($C98,INSUMOS!$A$6:$A$205,0)),""))</f>
        <v/>
      </c>
      <c r="F98" s="39"/>
      <c r="G98" s="43" t="str">
        <f aca="false">IF(OR($A98="",$C98=""),"",IFERROR(INDEX(INSUMOS!$P$6:$P$205,MATCH($C98,INSUMOS!$A$6:$A$205,0)),0))</f>
        <v/>
      </c>
      <c r="H98" s="43" t="str">
        <f aca="false">IF(OR($A98="",$C98=""),"",N($F98)*$G98)</f>
        <v/>
      </c>
      <c r="I98" s="34" t="str">
        <f aca="false">IF(OR($A98="",$C98=""),"",IFERROR(MAX(1,INDEX(PRODUCTOS!$G$6:$G$105,MATCH($A98,PRODUCTOS!$A$6:$A$105,0))),1))</f>
        <v/>
      </c>
      <c r="J98" s="43" t="str">
        <f aca="false">IF(OR($A98="",$C98=""),"",$H98/$I98)</f>
        <v/>
      </c>
      <c r="K98" s="34" t="str">
        <f aca="false">IF(OR($A98="",$C98=""),"",SUMIFS(VENTAS!$E$6:$E$2005,VENTAS!$C$6:$C$2005,$A98))</f>
        <v/>
      </c>
      <c r="L98" s="45" t="str">
        <f aca="false">IF(OR($A98="",$C98=""),"",IFERROR(N($F98)/INDEX(INSUMOS!$I$6:$I$205,MATCH($C98,INSUMOS!$A$6:$A$205,0)),N($F98))/$I98*$K98)</f>
        <v/>
      </c>
      <c r="M98" s="8" t="str">
        <f aca="false">IF($A98="","",COUNTIF($A$6:$A98,$A98))</f>
        <v/>
      </c>
      <c r="N98" s="8" t="str">
        <f aca="false">IF($A98="","",$A98&amp;"|"&amp;$M98)</f>
        <v/>
      </c>
    </row>
    <row r="99" customFormat="false" ht="15" hidden="false" customHeight="false" outlineLevel="0" collapsed="false">
      <c r="A99" s="6"/>
      <c r="B99" s="8" t="str">
        <f aca="false">IF($A99="","",IFERROR(INDEX(PRODUCTOS!$B$6:$B$105,MATCH($A99,PRODUCTOS!$A$6:$A$105,0)),"¿Código?"))</f>
        <v/>
      </c>
      <c r="C99" s="6"/>
      <c r="D99" s="8" t="str">
        <f aca="false">IF($C99="","",IFERROR(INDEX(INSUMOS!$B$6:$B$205,MATCH($C99,INSUMOS!$A$6:$A$205,0)),"¿Código?"))</f>
        <v/>
      </c>
      <c r="E99" s="8" t="str">
        <f aca="false">IF($C99="","",IFERROR(INDEX(INSUMOS!$D$6:$D$205,MATCH($C99,INSUMOS!$A$6:$A$205,0)),""))</f>
        <v/>
      </c>
      <c r="F99" s="39"/>
      <c r="G99" s="43" t="str">
        <f aca="false">IF(OR($A99="",$C99=""),"",IFERROR(INDEX(INSUMOS!$P$6:$P$205,MATCH($C99,INSUMOS!$A$6:$A$205,0)),0))</f>
        <v/>
      </c>
      <c r="H99" s="43" t="str">
        <f aca="false">IF(OR($A99="",$C99=""),"",N($F99)*$G99)</f>
        <v/>
      </c>
      <c r="I99" s="34" t="str">
        <f aca="false">IF(OR($A99="",$C99=""),"",IFERROR(MAX(1,INDEX(PRODUCTOS!$G$6:$G$105,MATCH($A99,PRODUCTOS!$A$6:$A$105,0))),1))</f>
        <v/>
      </c>
      <c r="J99" s="43" t="str">
        <f aca="false">IF(OR($A99="",$C99=""),"",$H99/$I99)</f>
        <v/>
      </c>
      <c r="K99" s="34" t="str">
        <f aca="false">IF(OR($A99="",$C99=""),"",SUMIFS(VENTAS!$E$6:$E$2005,VENTAS!$C$6:$C$2005,$A99))</f>
        <v/>
      </c>
      <c r="L99" s="45" t="str">
        <f aca="false">IF(OR($A99="",$C99=""),"",IFERROR(N($F99)/INDEX(INSUMOS!$I$6:$I$205,MATCH($C99,INSUMOS!$A$6:$A$205,0)),N($F99))/$I99*$K99)</f>
        <v/>
      </c>
      <c r="M99" s="8" t="str">
        <f aca="false">IF($A99="","",COUNTIF($A$6:$A99,$A99))</f>
        <v/>
      </c>
      <c r="N99" s="8" t="str">
        <f aca="false">IF($A99="","",$A99&amp;"|"&amp;$M99)</f>
        <v/>
      </c>
    </row>
    <row r="100" customFormat="false" ht="15" hidden="false" customHeight="false" outlineLevel="0" collapsed="false">
      <c r="A100" s="6"/>
      <c r="B100" s="8" t="str">
        <f aca="false">IF($A100="","",IFERROR(INDEX(PRODUCTOS!$B$6:$B$105,MATCH($A100,PRODUCTOS!$A$6:$A$105,0)),"¿Código?"))</f>
        <v/>
      </c>
      <c r="C100" s="6"/>
      <c r="D100" s="8" t="str">
        <f aca="false">IF($C100="","",IFERROR(INDEX(INSUMOS!$B$6:$B$205,MATCH($C100,INSUMOS!$A$6:$A$205,0)),"¿Código?"))</f>
        <v/>
      </c>
      <c r="E100" s="8" t="str">
        <f aca="false">IF($C100="","",IFERROR(INDEX(INSUMOS!$D$6:$D$205,MATCH($C100,INSUMOS!$A$6:$A$205,0)),""))</f>
        <v/>
      </c>
      <c r="F100" s="39"/>
      <c r="G100" s="43" t="str">
        <f aca="false">IF(OR($A100="",$C100=""),"",IFERROR(INDEX(INSUMOS!$P$6:$P$205,MATCH($C100,INSUMOS!$A$6:$A$205,0)),0))</f>
        <v/>
      </c>
      <c r="H100" s="43" t="str">
        <f aca="false">IF(OR($A100="",$C100=""),"",N($F100)*$G100)</f>
        <v/>
      </c>
      <c r="I100" s="34" t="str">
        <f aca="false">IF(OR($A100="",$C100=""),"",IFERROR(MAX(1,INDEX(PRODUCTOS!$G$6:$G$105,MATCH($A100,PRODUCTOS!$A$6:$A$105,0))),1))</f>
        <v/>
      </c>
      <c r="J100" s="43" t="str">
        <f aca="false">IF(OR($A100="",$C100=""),"",$H100/$I100)</f>
        <v/>
      </c>
      <c r="K100" s="34" t="str">
        <f aca="false">IF(OR($A100="",$C100=""),"",SUMIFS(VENTAS!$E$6:$E$2005,VENTAS!$C$6:$C$2005,$A100))</f>
        <v/>
      </c>
      <c r="L100" s="45" t="str">
        <f aca="false">IF(OR($A100="",$C100=""),"",IFERROR(N($F100)/INDEX(INSUMOS!$I$6:$I$205,MATCH($C100,INSUMOS!$A$6:$A$205,0)),N($F100))/$I100*$K100)</f>
        <v/>
      </c>
      <c r="M100" s="8" t="str">
        <f aca="false">IF($A100="","",COUNTIF($A$6:$A100,$A100))</f>
        <v/>
      </c>
      <c r="N100" s="8" t="str">
        <f aca="false">IF($A100="","",$A100&amp;"|"&amp;$M100)</f>
        <v/>
      </c>
    </row>
    <row r="101" customFormat="false" ht="15" hidden="false" customHeight="false" outlineLevel="0" collapsed="false">
      <c r="A101" s="6"/>
      <c r="B101" s="8" t="str">
        <f aca="false">IF($A101="","",IFERROR(INDEX(PRODUCTOS!$B$6:$B$105,MATCH($A101,PRODUCTOS!$A$6:$A$105,0)),"¿Código?"))</f>
        <v/>
      </c>
      <c r="C101" s="6"/>
      <c r="D101" s="8" t="str">
        <f aca="false">IF($C101="","",IFERROR(INDEX(INSUMOS!$B$6:$B$205,MATCH($C101,INSUMOS!$A$6:$A$205,0)),"¿Código?"))</f>
        <v/>
      </c>
      <c r="E101" s="8" t="str">
        <f aca="false">IF($C101="","",IFERROR(INDEX(INSUMOS!$D$6:$D$205,MATCH($C101,INSUMOS!$A$6:$A$205,0)),""))</f>
        <v/>
      </c>
      <c r="F101" s="39"/>
      <c r="G101" s="43" t="str">
        <f aca="false">IF(OR($A101="",$C101=""),"",IFERROR(INDEX(INSUMOS!$P$6:$P$205,MATCH($C101,INSUMOS!$A$6:$A$205,0)),0))</f>
        <v/>
      </c>
      <c r="H101" s="43" t="str">
        <f aca="false">IF(OR($A101="",$C101=""),"",N($F101)*$G101)</f>
        <v/>
      </c>
      <c r="I101" s="34" t="str">
        <f aca="false">IF(OR($A101="",$C101=""),"",IFERROR(MAX(1,INDEX(PRODUCTOS!$G$6:$G$105,MATCH($A101,PRODUCTOS!$A$6:$A$105,0))),1))</f>
        <v/>
      </c>
      <c r="J101" s="43" t="str">
        <f aca="false">IF(OR($A101="",$C101=""),"",$H101/$I101)</f>
        <v/>
      </c>
      <c r="K101" s="34" t="str">
        <f aca="false">IF(OR($A101="",$C101=""),"",SUMIFS(VENTAS!$E$6:$E$2005,VENTAS!$C$6:$C$2005,$A101))</f>
        <v/>
      </c>
      <c r="L101" s="45" t="str">
        <f aca="false">IF(OR($A101="",$C101=""),"",IFERROR(N($F101)/INDEX(INSUMOS!$I$6:$I$205,MATCH($C101,INSUMOS!$A$6:$A$205,0)),N($F101))/$I101*$K101)</f>
        <v/>
      </c>
      <c r="M101" s="8" t="str">
        <f aca="false">IF($A101="","",COUNTIF($A$6:$A101,$A101))</f>
        <v/>
      </c>
      <c r="N101" s="8" t="str">
        <f aca="false">IF($A101="","",$A101&amp;"|"&amp;$M101)</f>
        <v/>
      </c>
    </row>
    <row r="102" customFormat="false" ht="15" hidden="false" customHeight="false" outlineLevel="0" collapsed="false">
      <c r="A102" s="6"/>
      <c r="B102" s="8" t="str">
        <f aca="false">IF($A102="","",IFERROR(INDEX(PRODUCTOS!$B$6:$B$105,MATCH($A102,PRODUCTOS!$A$6:$A$105,0)),"¿Código?"))</f>
        <v/>
      </c>
      <c r="C102" s="6"/>
      <c r="D102" s="8" t="str">
        <f aca="false">IF($C102="","",IFERROR(INDEX(INSUMOS!$B$6:$B$205,MATCH($C102,INSUMOS!$A$6:$A$205,0)),"¿Código?"))</f>
        <v/>
      </c>
      <c r="E102" s="8" t="str">
        <f aca="false">IF($C102="","",IFERROR(INDEX(INSUMOS!$D$6:$D$205,MATCH($C102,INSUMOS!$A$6:$A$205,0)),""))</f>
        <v/>
      </c>
      <c r="F102" s="39"/>
      <c r="G102" s="43" t="str">
        <f aca="false">IF(OR($A102="",$C102=""),"",IFERROR(INDEX(INSUMOS!$P$6:$P$205,MATCH($C102,INSUMOS!$A$6:$A$205,0)),0))</f>
        <v/>
      </c>
      <c r="H102" s="43" t="str">
        <f aca="false">IF(OR($A102="",$C102=""),"",N($F102)*$G102)</f>
        <v/>
      </c>
      <c r="I102" s="34" t="str">
        <f aca="false">IF(OR($A102="",$C102=""),"",IFERROR(MAX(1,INDEX(PRODUCTOS!$G$6:$G$105,MATCH($A102,PRODUCTOS!$A$6:$A$105,0))),1))</f>
        <v/>
      </c>
      <c r="J102" s="43" t="str">
        <f aca="false">IF(OR($A102="",$C102=""),"",$H102/$I102)</f>
        <v/>
      </c>
      <c r="K102" s="34" t="str">
        <f aca="false">IF(OR($A102="",$C102=""),"",SUMIFS(VENTAS!$E$6:$E$2005,VENTAS!$C$6:$C$2005,$A102))</f>
        <v/>
      </c>
      <c r="L102" s="45" t="str">
        <f aca="false">IF(OR($A102="",$C102=""),"",IFERROR(N($F102)/INDEX(INSUMOS!$I$6:$I$205,MATCH($C102,INSUMOS!$A$6:$A$205,0)),N($F102))/$I102*$K102)</f>
        <v/>
      </c>
      <c r="M102" s="8" t="str">
        <f aca="false">IF($A102="","",COUNTIF($A$6:$A102,$A102))</f>
        <v/>
      </c>
      <c r="N102" s="8" t="str">
        <f aca="false">IF($A102="","",$A102&amp;"|"&amp;$M102)</f>
        <v/>
      </c>
    </row>
    <row r="103" customFormat="false" ht="15" hidden="false" customHeight="false" outlineLevel="0" collapsed="false">
      <c r="A103" s="6"/>
      <c r="B103" s="8" t="str">
        <f aca="false">IF($A103="","",IFERROR(INDEX(PRODUCTOS!$B$6:$B$105,MATCH($A103,PRODUCTOS!$A$6:$A$105,0)),"¿Código?"))</f>
        <v/>
      </c>
      <c r="C103" s="6"/>
      <c r="D103" s="8" t="str">
        <f aca="false">IF($C103="","",IFERROR(INDEX(INSUMOS!$B$6:$B$205,MATCH($C103,INSUMOS!$A$6:$A$205,0)),"¿Código?"))</f>
        <v/>
      </c>
      <c r="E103" s="8" t="str">
        <f aca="false">IF($C103="","",IFERROR(INDEX(INSUMOS!$D$6:$D$205,MATCH($C103,INSUMOS!$A$6:$A$205,0)),""))</f>
        <v/>
      </c>
      <c r="F103" s="39"/>
      <c r="G103" s="43" t="str">
        <f aca="false">IF(OR($A103="",$C103=""),"",IFERROR(INDEX(INSUMOS!$P$6:$P$205,MATCH($C103,INSUMOS!$A$6:$A$205,0)),0))</f>
        <v/>
      </c>
      <c r="H103" s="43" t="str">
        <f aca="false">IF(OR($A103="",$C103=""),"",N($F103)*$G103)</f>
        <v/>
      </c>
      <c r="I103" s="34" t="str">
        <f aca="false">IF(OR($A103="",$C103=""),"",IFERROR(MAX(1,INDEX(PRODUCTOS!$G$6:$G$105,MATCH($A103,PRODUCTOS!$A$6:$A$105,0))),1))</f>
        <v/>
      </c>
      <c r="J103" s="43" t="str">
        <f aca="false">IF(OR($A103="",$C103=""),"",$H103/$I103)</f>
        <v/>
      </c>
      <c r="K103" s="34" t="str">
        <f aca="false">IF(OR($A103="",$C103=""),"",SUMIFS(VENTAS!$E$6:$E$2005,VENTAS!$C$6:$C$2005,$A103))</f>
        <v/>
      </c>
      <c r="L103" s="45" t="str">
        <f aca="false">IF(OR($A103="",$C103=""),"",IFERROR(N($F103)/INDEX(INSUMOS!$I$6:$I$205,MATCH($C103,INSUMOS!$A$6:$A$205,0)),N($F103))/$I103*$K103)</f>
        <v/>
      </c>
      <c r="M103" s="8" t="str">
        <f aca="false">IF($A103="","",COUNTIF($A$6:$A103,$A103))</f>
        <v/>
      </c>
      <c r="N103" s="8" t="str">
        <f aca="false">IF($A103="","",$A103&amp;"|"&amp;$M103)</f>
        <v/>
      </c>
    </row>
    <row r="104" customFormat="false" ht="15" hidden="false" customHeight="false" outlineLevel="0" collapsed="false">
      <c r="A104" s="6"/>
      <c r="B104" s="8" t="str">
        <f aca="false">IF($A104="","",IFERROR(INDEX(PRODUCTOS!$B$6:$B$105,MATCH($A104,PRODUCTOS!$A$6:$A$105,0)),"¿Código?"))</f>
        <v/>
      </c>
      <c r="C104" s="6"/>
      <c r="D104" s="8" t="str">
        <f aca="false">IF($C104="","",IFERROR(INDEX(INSUMOS!$B$6:$B$205,MATCH($C104,INSUMOS!$A$6:$A$205,0)),"¿Código?"))</f>
        <v/>
      </c>
      <c r="E104" s="8" t="str">
        <f aca="false">IF($C104="","",IFERROR(INDEX(INSUMOS!$D$6:$D$205,MATCH($C104,INSUMOS!$A$6:$A$205,0)),""))</f>
        <v/>
      </c>
      <c r="F104" s="39"/>
      <c r="G104" s="43" t="str">
        <f aca="false">IF(OR($A104="",$C104=""),"",IFERROR(INDEX(INSUMOS!$P$6:$P$205,MATCH($C104,INSUMOS!$A$6:$A$205,0)),0))</f>
        <v/>
      </c>
      <c r="H104" s="43" t="str">
        <f aca="false">IF(OR($A104="",$C104=""),"",N($F104)*$G104)</f>
        <v/>
      </c>
      <c r="I104" s="34" t="str">
        <f aca="false">IF(OR($A104="",$C104=""),"",IFERROR(MAX(1,INDEX(PRODUCTOS!$G$6:$G$105,MATCH($A104,PRODUCTOS!$A$6:$A$105,0))),1))</f>
        <v/>
      </c>
      <c r="J104" s="43" t="str">
        <f aca="false">IF(OR($A104="",$C104=""),"",$H104/$I104)</f>
        <v/>
      </c>
      <c r="K104" s="34" t="str">
        <f aca="false">IF(OR($A104="",$C104=""),"",SUMIFS(VENTAS!$E$6:$E$2005,VENTAS!$C$6:$C$2005,$A104))</f>
        <v/>
      </c>
      <c r="L104" s="45" t="str">
        <f aca="false">IF(OR($A104="",$C104=""),"",IFERROR(N($F104)/INDEX(INSUMOS!$I$6:$I$205,MATCH($C104,INSUMOS!$A$6:$A$205,0)),N($F104))/$I104*$K104)</f>
        <v/>
      </c>
      <c r="M104" s="8" t="str">
        <f aca="false">IF($A104="","",COUNTIF($A$6:$A104,$A104))</f>
        <v/>
      </c>
      <c r="N104" s="8" t="str">
        <f aca="false">IF($A104="","",$A104&amp;"|"&amp;$M104)</f>
        <v/>
      </c>
    </row>
    <row r="105" customFormat="false" ht="15" hidden="false" customHeight="false" outlineLevel="0" collapsed="false">
      <c r="A105" s="6"/>
      <c r="B105" s="8" t="str">
        <f aca="false">IF($A105="","",IFERROR(INDEX(PRODUCTOS!$B$6:$B$105,MATCH($A105,PRODUCTOS!$A$6:$A$105,0)),"¿Código?"))</f>
        <v/>
      </c>
      <c r="C105" s="6"/>
      <c r="D105" s="8" t="str">
        <f aca="false">IF($C105="","",IFERROR(INDEX(INSUMOS!$B$6:$B$205,MATCH($C105,INSUMOS!$A$6:$A$205,0)),"¿Código?"))</f>
        <v/>
      </c>
      <c r="E105" s="8" t="str">
        <f aca="false">IF($C105="","",IFERROR(INDEX(INSUMOS!$D$6:$D$205,MATCH($C105,INSUMOS!$A$6:$A$205,0)),""))</f>
        <v/>
      </c>
      <c r="F105" s="39"/>
      <c r="G105" s="43" t="str">
        <f aca="false">IF(OR($A105="",$C105=""),"",IFERROR(INDEX(INSUMOS!$P$6:$P$205,MATCH($C105,INSUMOS!$A$6:$A$205,0)),0))</f>
        <v/>
      </c>
      <c r="H105" s="43" t="str">
        <f aca="false">IF(OR($A105="",$C105=""),"",N($F105)*$G105)</f>
        <v/>
      </c>
      <c r="I105" s="34" t="str">
        <f aca="false">IF(OR($A105="",$C105=""),"",IFERROR(MAX(1,INDEX(PRODUCTOS!$G$6:$G$105,MATCH($A105,PRODUCTOS!$A$6:$A$105,0))),1))</f>
        <v/>
      </c>
      <c r="J105" s="43" t="str">
        <f aca="false">IF(OR($A105="",$C105=""),"",$H105/$I105)</f>
        <v/>
      </c>
      <c r="K105" s="34" t="str">
        <f aca="false">IF(OR($A105="",$C105=""),"",SUMIFS(VENTAS!$E$6:$E$2005,VENTAS!$C$6:$C$2005,$A105))</f>
        <v/>
      </c>
      <c r="L105" s="45" t="str">
        <f aca="false">IF(OR($A105="",$C105=""),"",IFERROR(N($F105)/INDEX(INSUMOS!$I$6:$I$205,MATCH($C105,INSUMOS!$A$6:$A$205,0)),N($F105))/$I105*$K105)</f>
        <v/>
      </c>
      <c r="M105" s="8" t="str">
        <f aca="false">IF($A105="","",COUNTIF($A$6:$A105,$A105))</f>
        <v/>
      </c>
      <c r="N105" s="8" t="str">
        <f aca="false">IF($A105="","",$A105&amp;"|"&amp;$M105)</f>
        <v/>
      </c>
    </row>
    <row r="106" customFormat="false" ht="15" hidden="false" customHeight="false" outlineLevel="0" collapsed="false">
      <c r="A106" s="6"/>
      <c r="B106" s="8" t="str">
        <f aca="false">IF($A106="","",IFERROR(INDEX(PRODUCTOS!$B$6:$B$105,MATCH($A106,PRODUCTOS!$A$6:$A$105,0)),"¿Código?"))</f>
        <v/>
      </c>
      <c r="C106" s="6"/>
      <c r="D106" s="8" t="str">
        <f aca="false">IF($C106="","",IFERROR(INDEX(INSUMOS!$B$6:$B$205,MATCH($C106,INSUMOS!$A$6:$A$205,0)),"¿Código?"))</f>
        <v/>
      </c>
      <c r="E106" s="8" t="str">
        <f aca="false">IF($C106="","",IFERROR(INDEX(INSUMOS!$D$6:$D$205,MATCH($C106,INSUMOS!$A$6:$A$205,0)),""))</f>
        <v/>
      </c>
      <c r="F106" s="39"/>
      <c r="G106" s="43" t="str">
        <f aca="false">IF(OR($A106="",$C106=""),"",IFERROR(INDEX(INSUMOS!$P$6:$P$205,MATCH($C106,INSUMOS!$A$6:$A$205,0)),0))</f>
        <v/>
      </c>
      <c r="H106" s="43" t="str">
        <f aca="false">IF(OR($A106="",$C106=""),"",N($F106)*$G106)</f>
        <v/>
      </c>
      <c r="I106" s="34" t="str">
        <f aca="false">IF(OR($A106="",$C106=""),"",IFERROR(MAX(1,INDEX(PRODUCTOS!$G$6:$G$105,MATCH($A106,PRODUCTOS!$A$6:$A$105,0))),1))</f>
        <v/>
      </c>
      <c r="J106" s="43" t="str">
        <f aca="false">IF(OR($A106="",$C106=""),"",$H106/$I106)</f>
        <v/>
      </c>
      <c r="K106" s="34" t="str">
        <f aca="false">IF(OR($A106="",$C106=""),"",SUMIFS(VENTAS!$E$6:$E$2005,VENTAS!$C$6:$C$2005,$A106))</f>
        <v/>
      </c>
      <c r="L106" s="45" t="str">
        <f aca="false">IF(OR($A106="",$C106=""),"",IFERROR(N($F106)/INDEX(INSUMOS!$I$6:$I$205,MATCH($C106,INSUMOS!$A$6:$A$205,0)),N($F106))/$I106*$K106)</f>
        <v/>
      </c>
      <c r="M106" s="8" t="str">
        <f aca="false">IF($A106="","",COUNTIF($A$6:$A106,$A106))</f>
        <v/>
      </c>
      <c r="N106" s="8" t="str">
        <f aca="false">IF($A106="","",$A106&amp;"|"&amp;$M106)</f>
        <v/>
      </c>
    </row>
    <row r="107" customFormat="false" ht="15" hidden="false" customHeight="false" outlineLevel="0" collapsed="false">
      <c r="A107" s="6"/>
      <c r="B107" s="8" t="str">
        <f aca="false">IF($A107="","",IFERROR(INDEX(PRODUCTOS!$B$6:$B$105,MATCH($A107,PRODUCTOS!$A$6:$A$105,0)),"¿Código?"))</f>
        <v/>
      </c>
      <c r="C107" s="6"/>
      <c r="D107" s="8" t="str">
        <f aca="false">IF($C107="","",IFERROR(INDEX(INSUMOS!$B$6:$B$205,MATCH($C107,INSUMOS!$A$6:$A$205,0)),"¿Código?"))</f>
        <v/>
      </c>
      <c r="E107" s="8" t="str">
        <f aca="false">IF($C107="","",IFERROR(INDEX(INSUMOS!$D$6:$D$205,MATCH($C107,INSUMOS!$A$6:$A$205,0)),""))</f>
        <v/>
      </c>
      <c r="F107" s="39"/>
      <c r="G107" s="43" t="str">
        <f aca="false">IF(OR($A107="",$C107=""),"",IFERROR(INDEX(INSUMOS!$P$6:$P$205,MATCH($C107,INSUMOS!$A$6:$A$205,0)),0))</f>
        <v/>
      </c>
      <c r="H107" s="43" t="str">
        <f aca="false">IF(OR($A107="",$C107=""),"",N($F107)*$G107)</f>
        <v/>
      </c>
      <c r="I107" s="34" t="str">
        <f aca="false">IF(OR($A107="",$C107=""),"",IFERROR(MAX(1,INDEX(PRODUCTOS!$G$6:$G$105,MATCH($A107,PRODUCTOS!$A$6:$A$105,0))),1))</f>
        <v/>
      </c>
      <c r="J107" s="43" t="str">
        <f aca="false">IF(OR($A107="",$C107=""),"",$H107/$I107)</f>
        <v/>
      </c>
      <c r="K107" s="34" t="str">
        <f aca="false">IF(OR($A107="",$C107=""),"",SUMIFS(VENTAS!$E$6:$E$2005,VENTAS!$C$6:$C$2005,$A107))</f>
        <v/>
      </c>
      <c r="L107" s="45" t="str">
        <f aca="false">IF(OR($A107="",$C107=""),"",IFERROR(N($F107)/INDEX(INSUMOS!$I$6:$I$205,MATCH($C107,INSUMOS!$A$6:$A$205,0)),N($F107))/$I107*$K107)</f>
        <v/>
      </c>
      <c r="M107" s="8" t="str">
        <f aca="false">IF($A107="","",COUNTIF($A$6:$A107,$A107))</f>
        <v/>
      </c>
      <c r="N107" s="8" t="str">
        <f aca="false">IF($A107="","",$A107&amp;"|"&amp;$M107)</f>
        <v/>
      </c>
    </row>
    <row r="108" customFormat="false" ht="15" hidden="false" customHeight="false" outlineLevel="0" collapsed="false">
      <c r="A108" s="6"/>
      <c r="B108" s="8" t="str">
        <f aca="false">IF($A108="","",IFERROR(INDEX(PRODUCTOS!$B$6:$B$105,MATCH($A108,PRODUCTOS!$A$6:$A$105,0)),"¿Código?"))</f>
        <v/>
      </c>
      <c r="C108" s="6"/>
      <c r="D108" s="8" t="str">
        <f aca="false">IF($C108="","",IFERROR(INDEX(INSUMOS!$B$6:$B$205,MATCH($C108,INSUMOS!$A$6:$A$205,0)),"¿Código?"))</f>
        <v/>
      </c>
      <c r="E108" s="8" t="str">
        <f aca="false">IF($C108="","",IFERROR(INDEX(INSUMOS!$D$6:$D$205,MATCH($C108,INSUMOS!$A$6:$A$205,0)),""))</f>
        <v/>
      </c>
      <c r="F108" s="39"/>
      <c r="G108" s="43" t="str">
        <f aca="false">IF(OR($A108="",$C108=""),"",IFERROR(INDEX(INSUMOS!$P$6:$P$205,MATCH($C108,INSUMOS!$A$6:$A$205,0)),0))</f>
        <v/>
      </c>
      <c r="H108" s="43" t="str">
        <f aca="false">IF(OR($A108="",$C108=""),"",N($F108)*$G108)</f>
        <v/>
      </c>
      <c r="I108" s="34" t="str">
        <f aca="false">IF(OR($A108="",$C108=""),"",IFERROR(MAX(1,INDEX(PRODUCTOS!$G$6:$G$105,MATCH($A108,PRODUCTOS!$A$6:$A$105,0))),1))</f>
        <v/>
      </c>
      <c r="J108" s="43" t="str">
        <f aca="false">IF(OR($A108="",$C108=""),"",$H108/$I108)</f>
        <v/>
      </c>
      <c r="K108" s="34" t="str">
        <f aca="false">IF(OR($A108="",$C108=""),"",SUMIFS(VENTAS!$E$6:$E$2005,VENTAS!$C$6:$C$2005,$A108))</f>
        <v/>
      </c>
      <c r="L108" s="45" t="str">
        <f aca="false">IF(OR($A108="",$C108=""),"",IFERROR(N($F108)/INDEX(INSUMOS!$I$6:$I$205,MATCH($C108,INSUMOS!$A$6:$A$205,0)),N($F108))/$I108*$K108)</f>
        <v/>
      </c>
      <c r="M108" s="8" t="str">
        <f aca="false">IF($A108="","",COUNTIF($A$6:$A108,$A108))</f>
        <v/>
      </c>
      <c r="N108" s="8" t="str">
        <f aca="false">IF($A108="","",$A108&amp;"|"&amp;$M108)</f>
        <v/>
      </c>
    </row>
    <row r="109" customFormat="false" ht="15" hidden="false" customHeight="false" outlineLevel="0" collapsed="false">
      <c r="A109" s="6"/>
      <c r="B109" s="8" t="str">
        <f aca="false">IF($A109="","",IFERROR(INDEX(PRODUCTOS!$B$6:$B$105,MATCH($A109,PRODUCTOS!$A$6:$A$105,0)),"¿Código?"))</f>
        <v/>
      </c>
      <c r="C109" s="6"/>
      <c r="D109" s="8" t="str">
        <f aca="false">IF($C109="","",IFERROR(INDEX(INSUMOS!$B$6:$B$205,MATCH($C109,INSUMOS!$A$6:$A$205,0)),"¿Código?"))</f>
        <v/>
      </c>
      <c r="E109" s="8" t="str">
        <f aca="false">IF($C109="","",IFERROR(INDEX(INSUMOS!$D$6:$D$205,MATCH($C109,INSUMOS!$A$6:$A$205,0)),""))</f>
        <v/>
      </c>
      <c r="F109" s="39"/>
      <c r="G109" s="43" t="str">
        <f aca="false">IF(OR($A109="",$C109=""),"",IFERROR(INDEX(INSUMOS!$P$6:$P$205,MATCH($C109,INSUMOS!$A$6:$A$205,0)),0))</f>
        <v/>
      </c>
      <c r="H109" s="43" t="str">
        <f aca="false">IF(OR($A109="",$C109=""),"",N($F109)*$G109)</f>
        <v/>
      </c>
      <c r="I109" s="34" t="str">
        <f aca="false">IF(OR($A109="",$C109=""),"",IFERROR(MAX(1,INDEX(PRODUCTOS!$G$6:$G$105,MATCH($A109,PRODUCTOS!$A$6:$A$105,0))),1))</f>
        <v/>
      </c>
      <c r="J109" s="43" t="str">
        <f aca="false">IF(OR($A109="",$C109=""),"",$H109/$I109)</f>
        <v/>
      </c>
      <c r="K109" s="34" t="str">
        <f aca="false">IF(OR($A109="",$C109=""),"",SUMIFS(VENTAS!$E$6:$E$2005,VENTAS!$C$6:$C$2005,$A109))</f>
        <v/>
      </c>
      <c r="L109" s="45" t="str">
        <f aca="false">IF(OR($A109="",$C109=""),"",IFERROR(N($F109)/INDEX(INSUMOS!$I$6:$I$205,MATCH($C109,INSUMOS!$A$6:$A$205,0)),N($F109))/$I109*$K109)</f>
        <v/>
      </c>
      <c r="M109" s="8" t="str">
        <f aca="false">IF($A109="","",COUNTIF($A$6:$A109,$A109))</f>
        <v/>
      </c>
      <c r="N109" s="8" t="str">
        <f aca="false">IF($A109="","",$A109&amp;"|"&amp;$M109)</f>
        <v/>
      </c>
    </row>
    <row r="110" customFormat="false" ht="15" hidden="false" customHeight="false" outlineLevel="0" collapsed="false">
      <c r="A110" s="6"/>
      <c r="B110" s="8" t="str">
        <f aca="false">IF($A110="","",IFERROR(INDEX(PRODUCTOS!$B$6:$B$105,MATCH($A110,PRODUCTOS!$A$6:$A$105,0)),"¿Código?"))</f>
        <v/>
      </c>
      <c r="C110" s="6"/>
      <c r="D110" s="8" t="str">
        <f aca="false">IF($C110="","",IFERROR(INDEX(INSUMOS!$B$6:$B$205,MATCH($C110,INSUMOS!$A$6:$A$205,0)),"¿Código?"))</f>
        <v/>
      </c>
      <c r="E110" s="8" t="str">
        <f aca="false">IF($C110="","",IFERROR(INDEX(INSUMOS!$D$6:$D$205,MATCH($C110,INSUMOS!$A$6:$A$205,0)),""))</f>
        <v/>
      </c>
      <c r="F110" s="39"/>
      <c r="G110" s="43" t="str">
        <f aca="false">IF(OR($A110="",$C110=""),"",IFERROR(INDEX(INSUMOS!$P$6:$P$205,MATCH($C110,INSUMOS!$A$6:$A$205,0)),0))</f>
        <v/>
      </c>
      <c r="H110" s="43" t="str">
        <f aca="false">IF(OR($A110="",$C110=""),"",N($F110)*$G110)</f>
        <v/>
      </c>
      <c r="I110" s="34" t="str">
        <f aca="false">IF(OR($A110="",$C110=""),"",IFERROR(MAX(1,INDEX(PRODUCTOS!$G$6:$G$105,MATCH($A110,PRODUCTOS!$A$6:$A$105,0))),1))</f>
        <v/>
      </c>
      <c r="J110" s="43" t="str">
        <f aca="false">IF(OR($A110="",$C110=""),"",$H110/$I110)</f>
        <v/>
      </c>
      <c r="K110" s="34" t="str">
        <f aca="false">IF(OR($A110="",$C110=""),"",SUMIFS(VENTAS!$E$6:$E$2005,VENTAS!$C$6:$C$2005,$A110))</f>
        <v/>
      </c>
      <c r="L110" s="45" t="str">
        <f aca="false">IF(OR($A110="",$C110=""),"",IFERROR(N($F110)/INDEX(INSUMOS!$I$6:$I$205,MATCH($C110,INSUMOS!$A$6:$A$205,0)),N($F110))/$I110*$K110)</f>
        <v/>
      </c>
      <c r="M110" s="8" t="str">
        <f aca="false">IF($A110="","",COUNTIF($A$6:$A110,$A110))</f>
        <v/>
      </c>
      <c r="N110" s="8" t="str">
        <f aca="false">IF($A110="","",$A110&amp;"|"&amp;$M110)</f>
        <v/>
      </c>
    </row>
    <row r="111" customFormat="false" ht="15" hidden="false" customHeight="false" outlineLevel="0" collapsed="false">
      <c r="A111" s="6"/>
      <c r="B111" s="8" t="str">
        <f aca="false">IF($A111="","",IFERROR(INDEX(PRODUCTOS!$B$6:$B$105,MATCH($A111,PRODUCTOS!$A$6:$A$105,0)),"¿Código?"))</f>
        <v/>
      </c>
      <c r="C111" s="6"/>
      <c r="D111" s="8" t="str">
        <f aca="false">IF($C111="","",IFERROR(INDEX(INSUMOS!$B$6:$B$205,MATCH($C111,INSUMOS!$A$6:$A$205,0)),"¿Código?"))</f>
        <v/>
      </c>
      <c r="E111" s="8" t="str">
        <f aca="false">IF($C111="","",IFERROR(INDEX(INSUMOS!$D$6:$D$205,MATCH($C111,INSUMOS!$A$6:$A$205,0)),""))</f>
        <v/>
      </c>
      <c r="F111" s="39"/>
      <c r="G111" s="43" t="str">
        <f aca="false">IF(OR($A111="",$C111=""),"",IFERROR(INDEX(INSUMOS!$P$6:$P$205,MATCH($C111,INSUMOS!$A$6:$A$205,0)),0))</f>
        <v/>
      </c>
      <c r="H111" s="43" t="str">
        <f aca="false">IF(OR($A111="",$C111=""),"",N($F111)*$G111)</f>
        <v/>
      </c>
      <c r="I111" s="34" t="str">
        <f aca="false">IF(OR($A111="",$C111=""),"",IFERROR(MAX(1,INDEX(PRODUCTOS!$G$6:$G$105,MATCH($A111,PRODUCTOS!$A$6:$A$105,0))),1))</f>
        <v/>
      </c>
      <c r="J111" s="43" t="str">
        <f aca="false">IF(OR($A111="",$C111=""),"",$H111/$I111)</f>
        <v/>
      </c>
      <c r="K111" s="34" t="str">
        <f aca="false">IF(OR($A111="",$C111=""),"",SUMIFS(VENTAS!$E$6:$E$2005,VENTAS!$C$6:$C$2005,$A111))</f>
        <v/>
      </c>
      <c r="L111" s="45" t="str">
        <f aca="false">IF(OR($A111="",$C111=""),"",IFERROR(N($F111)/INDEX(INSUMOS!$I$6:$I$205,MATCH($C111,INSUMOS!$A$6:$A$205,0)),N($F111))/$I111*$K111)</f>
        <v/>
      </c>
      <c r="M111" s="8" t="str">
        <f aca="false">IF($A111="","",COUNTIF($A$6:$A111,$A111))</f>
        <v/>
      </c>
      <c r="N111" s="8" t="str">
        <f aca="false">IF($A111="","",$A111&amp;"|"&amp;$M111)</f>
        <v/>
      </c>
    </row>
    <row r="112" customFormat="false" ht="15" hidden="false" customHeight="false" outlineLevel="0" collapsed="false">
      <c r="A112" s="6"/>
      <c r="B112" s="8" t="str">
        <f aca="false">IF($A112="","",IFERROR(INDEX(PRODUCTOS!$B$6:$B$105,MATCH($A112,PRODUCTOS!$A$6:$A$105,0)),"¿Código?"))</f>
        <v/>
      </c>
      <c r="C112" s="6"/>
      <c r="D112" s="8" t="str">
        <f aca="false">IF($C112="","",IFERROR(INDEX(INSUMOS!$B$6:$B$205,MATCH($C112,INSUMOS!$A$6:$A$205,0)),"¿Código?"))</f>
        <v/>
      </c>
      <c r="E112" s="8" t="str">
        <f aca="false">IF($C112="","",IFERROR(INDEX(INSUMOS!$D$6:$D$205,MATCH($C112,INSUMOS!$A$6:$A$205,0)),""))</f>
        <v/>
      </c>
      <c r="F112" s="39"/>
      <c r="G112" s="43" t="str">
        <f aca="false">IF(OR($A112="",$C112=""),"",IFERROR(INDEX(INSUMOS!$P$6:$P$205,MATCH($C112,INSUMOS!$A$6:$A$205,0)),0))</f>
        <v/>
      </c>
      <c r="H112" s="43" t="str">
        <f aca="false">IF(OR($A112="",$C112=""),"",N($F112)*$G112)</f>
        <v/>
      </c>
      <c r="I112" s="34" t="str">
        <f aca="false">IF(OR($A112="",$C112=""),"",IFERROR(MAX(1,INDEX(PRODUCTOS!$G$6:$G$105,MATCH($A112,PRODUCTOS!$A$6:$A$105,0))),1))</f>
        <v/>
      </c>
      <c r="J112" s="43" t="str">
        <f aca="false">IF(OR($A112="",$C112=""),"",$H112/$I112)</f>
        <v/>
      </c>
      <c r="K112" s="34" t="str">
        <f aca="false">IF(OR($A112="",$C112=""),"",SUMIFS(VENTAS!$E$6:$E$2005,VENTAS!$C$6:$C$2005,$A112))</f>
        <v/>
      </c>
      <c r="L112" s="45" t="str">
        <f aca="false">IF(OR($A112="",$C112=""),"",IFERROR(N($F112)/INDEX(INSUMOS!$I$6:$I$205,MATCH($C112,INSUMOS!$A$6:$A$205,0)),N($F112))/$I112*$K112)</f>
        <v/>
      </c>
      <c r="M112" s="8" t="str">
        <f aca="false">IF($A112="","",COUNTIF($A$6:$A112,$A112))</f>
        <v/>
      </c>
      <c r="N112" s="8" t="str">
        <f aca="false">IF($A112="","",$A112&amp;"|"&amp;$M112)</f>
        <v/>
      </c>
    </row>
    <row r="113" customFormat="false" ht="15" hidden="false" customHeight="false" outlineLevel="0" collapsed="false">
      <c r="A113" s="6"/>
      <c r="B113" s="8" t="str">
        <f aca="false">IF($A113="","",IFERROR(INDEX(PRODUCTOS!$B$6:$B$105,MATCH($A113,PRODUCTOS!$A$6:$A$105,0)),"¿Código?"))</f>
        <v/>
      </c>
      <c r="C113" s="6"/>
      <c r="D113" s="8" t="str">
        <f aca="false">IF($C113="","",IFERROR(INDEX(INSUMOS!$B$6:$B$205,MATCH($C113,INSUMOS!$A$6:$A$205,0)),"¿Código?"))</f>
        <v/>
      </c>
      <c r="E113" s="8" t="str">
        <f aca="false">IF($C113="","",IFERROR(INDEX(INSUMOS!$D$6:$D$205,MATCH($C113,INSUMOS!$A$6:$A$205,0)),""))</f>
        <v/>
      </c>
      <c r="F113" s="39"/>
      <c r="G113" s="43" t="str">
        <f aca="false">IF(OR($A113="",$C113=""),"",IFERROR(INDEX(INSUMOS!$P$6:$P$205,MATCH($C113,INSUMOS!$A$6:$A$205,0)),0))</f>
        <v/>
      </c>
      <c r="H113" s="43" t="str">
        <f aca="false">IF(OR($A113="",$C113=""),"",N($F113)*$G113)</f>
        <v/>
      </c>
      <c r="I113" s="34" t="str">
        <f aca="false">IF(OR($A113="",$C113=""),"",IFERROR(MAX(1,INDEX(PRODUCTOS!$G$6:$G$105,MATCH($A113,PRODUCTOS!$A$6:$A$105,0))),1))</f>
        <v/>
      </c>
      <c r="J113" s="43" t="str">
        <f aca="false">IF(OR($A113="",$C113=""),"",$H113/$I113)</f>
        <v/>
      </c>
      <c r="K113" s="34" t="str">
        <f aca="false">IF(OR($A113="",$C113=""),"",SUMIFS(VENTAS!$E$6:$E$2005,VENTAS!$C$6:$C$2005,$A113))</f>
        <v/>
      </c>
      <c r="L113" s="45" t="str">
        <f aca="false">IF(OR($A113="",$C113=""),"",IFERROR(N($F113)/INDEX(INSUMOS!$I$6:$I$205,MATCH($C113,INSUMOS!$A$6:$A$205,0)),N($F113))/$I113*$K113)</f>
        <v/>
      </c>
      <c r="M113" s="8" t="str">
        <f aca="false">IF($A113="","",COUNTIF($A$6:$A113,$A113))</f>
        <v/>
      </c>
      <c r="N113" s="8" t="str">
        <f aca="false">IF($A113="","",$A113&amp;"|"&amp;$M113)</f>
        <v/>
      </c>
    </row>
    <row r="114" customFormat="false" ht="15" hidden="false" customHeight="false" outlineLevel="0" collapsed="false">
      <c r="A114" s="6"/>
      <c r="B114" s="8" t="str">
        <f aca="false">IF($A114="","",IFERROR(INDEX(PRODUCTOS!$B$6:$B$105,MATCH($A114,PRODUCTOS!$A$6:$A$105,0)),"¿Código?"))</f>
        <v/>
      </c>
      <c r="C114" s="6"/>
      <c r="D114" s="8" t="str">
        <f aca="false">IF($C114="","",IFERROR(INDEX(INSUMOS!$B$6:$B$205,MATCH($C114,INSUMOS!$A$6:$A$205,0)),"¿Código?"))</f>
        <v/>
      </c>
      <c r="E114" s="8" t="str">
        <f aca="false">IF($C114="","",IFERROR(INDEX(INSUMOS!$D$6:$D$205,MATCH($C114,INSUMOS!$A$6:$A$205,0)),""))</f>
        <v/>
      </c>
      <c r="F114" s="39"/>
      <c r="G114" s="43" t="str">
        <f aca="false">IF(OR($A114="",$C114=""),"",IFERROR(INDEX(INSUMOS!$P$6:$P$205,MATCH($C114,INSUMOS!$A$6:$A$205,0)),0))</f>
        <v/>
      </c>
      <c r="H114" s="43" t="str">
        <f aca="false">IF(OR($A114="",$C114=""),"",N($F114)*$G114)</f>
        <v/>
      </c>
      <c r="I114" s="34" t="str">
        <f aca="false">IF(OR($A114="",$C114=""),"",IFERROR(MAX(1,INDEX(PRODUCTOS!$G$6:$G$105,MATCH($A114,PRODUCTOS!$A$6:$A$105,0))),1))</f>
        <v/>
      </c>
      <c r="J114" s="43" t="str">
        <f aca="false">IF(OR($A114="",$C114=""),"",$H114/$I114)</f>
        <v/>
      </c>
      <c r="K114" s="34" t="str">
        <f aca="false">IF(OR($A114="",$C114=""),"",SUMIFS(VENTAS!$E$6:$E$2005,VENTAS!$C$6:$C$2005,$A114))</f>
        <v/>
      </c>
      <c r="L114" s="45" t="str">
        <f aca="false">IF(OR($A114="",$C114=""),"",IFERROR(N($F114)/INDEX(INSUMOS!$I$6:$I$205,MATCH($C114,INSUMOS!$A$6:$A$205,0)),N($F114))/$I114*$K114)</f>
        <v/>
      </c>
      <c r="M114" s="8" t="str">
        <f aca="false">IF($A114="","",COUNTIF($A$6:$A114,$A114))</f>
        <v/>
      </c>
      <c r="N114" s="8" t="str">
        <f aca="false">IF($A114="","",$A114&amp;"|"&amp;$M114)</f>
        <v/>
      </c>
    </row>
    <row r="115" customFormat="false" ht="15" hidden="false" customHeight="false" outlineLevel="0" collapsed="false">
      <c r="A115" s="6"/>
      <c r="B115" s="8" t="str">
        <f aca="false">IF($A115="","",IFERROR(INDEX(PRODUCTOS!$B$6:$B$105,MATCH($A115,PRODUCTOS!$A$6:$A$105,0)),"¿Código?"))</f>
        <v/>
      </c>
      <c r="C115" s="6"/>
      <c r="D115" s="8" t="str">
        <f aca="false">IF($C115="","",IFERROR(INDEX(INSUMOS!$B$6:$B$205,MATCH($C115,INSUMOS!$A$6:$A$205,0)),"¿Código?"))</f>
        <v/>
      </c>
      <c r="E115" s="8" t="str">
        <f aca="false">IF($C115="","",IFERROR(INDEX(INSUMOS!$D$6:$D$205,MATCH($C115,INSUMOS!$A$6:$A$205,0)),""))</f>
        <v/>
      </c>
      <c r="F115" s="39"/>
      <c r="G115" s="43" t="str">
        <f aca="false">IF(OR($A115="",$C115=""),"",IFERROR(INDEX(INSUMOS!$P$6:$P$205,MATCH($C115,INSUMOS!$A$6:$A$205,0)),0))</f>
        <v/>
      </c>
      <c r="H115" s="43" t="str">
        <f aca="false">IF(OR($A115="",$C115=""),"",N($F115)*$G115)</f>
        <v/>
      </c>
      <c r="I115" s="34" t="str">
        <f aca="false">IF(OR($A115="",$C115=""),"",IFERROR(MAX(1,INDEX(PRODUCTOS!$G$6:$G$105,MATCH($A115,PRODUCTOS!$A$6:$A$105,0))),1))</f>
        <v/>
      </c>
      <c r="J115" s="43" t="str">
        <f aca="false">IF(OR($A115="",$C115=""),"",$H115/$I115)</f>
        <v/>
      </c>
      <c r="K115" s="34" t="str">
        <f aca="false">IF(OR($A115="",$C115=""),"",SUMIFS(VENTAS!$E$6:$E$2005,VENTAS!$C$6:$C$2005,$A115))</f>
        <v/>
      </c>
      <c r="L115" s="45" t="str">
        <f aca="false">IF(OR($A115="",$C115=""),"",IFERROR(N($F115)/INDEX(INSUMOS!$I$6:$I$205,MATCH($C115,INSUMOS!$A$6:$A$205,0)),N($F115))/$I115*$K115)</f>
        <v/>
      </c>
      <c r="M115" s="8" t="str">
        <f aca="false">IF($A115="","",COUNTIF($A$6:$A115,$A115))</f>
        <v/>
      </c>
      <c r="N115" s="8" t="str">
        <f aca="false">IF($A115="","",$A115&amp;"|"&amp;$M115)</f>
        <v/>
      </c>
    </row>
    <row r="116" customFormat="false" ht="15" hidden="false" customHeight="false" outlineLevel="0" collapsed="false">
      <c r="A116" s="6"/>
      <c r="B116" s="8" t="str">
        <f aca="false">IF($A116="","",IFERROR(INDEX(PRODUCTOS!$B$6:$B$105,MATCH($A116,PRODUCTOS!$A$6:$A$105,0)),"¿Código?"))</f>
        <v/>
      </c>
      <c r="C116" s="6"/>
      <c r="D116" s="8" t="str">
        <f aca="false">IF($C116="","",IFERROR(INDEX(INSUMOS!$B$6:$B$205,MATCH($C116,INSUMOS!$A$6:$A$205,0)),"¿Código?"))</f>
        <v/>
      </c>
      <c r="E116" s="8" t="str">
        <f aca="false">IF($C116="","",IFERROR(INDEX(INSUMOS!$D$6:$D$205,MATCH($C116,INSUMOS!$A$6:$A$205,0)),""))</f>
        <v/>
      </c>
      <c r="F116" s="39"/>
      <c r="G116" s="43" t="str">
        <f aca="false">IF(OR($A116="",$C116=""),"",IFERROR(INDEX(INSUMOS!$P$6:$P$205,MATCH($C116,INSUMOS!$A$6:$A$205,0)),0))</f>
        <v/>
      </c>
      <c r="H116" s="43" t="str">
        <f aca="false">IF(OR($A116="",$C116=""),"",N($F116)*$G116)</f>
        <v/>
      </c>
      <c r="I116" s="34" t="str">
        <f aca="false">IF(OR($A116="",$C116=""),"",IFERROR(MAX(1,INDEX(PRODUCTOS!$G$6:$G$105,MATCH($A116,PRODUCTOS!$A$6:$A$105,0))),1))</f>
        <v/>
      </c>
      <c r="J116" s="43" t="str">
        <f aca="false">IF(OR($A116="",$C116=""),"",$H116/$I116)</f>
        <v/>
      </c>
      <c r="K116" s="34" t="str">
        <f aca="false">IF(OR($A116="",$C116=""),"",SUMIFS(VENTAS!$E$6:$E$2005,VENTAS!$C$6:$C$2005,$A116))</f>
        <v/>
      </c>
      <c r="L116" s="45" t="str">
        <f aca="false">IF(OR($A116="",$C116=""),"",IFERROR(N($F116)/INDEX(INSUMOS!$I$6:$I$205,MATCH($C116,INSUMOS!$A$6:$A$205,0)),N($F116))/$I116*$K116)</f>
        <v/>
      </c>
      <c r="M116" s="8" t="str">
        <f aca="false">IF($A116="","",COUNTIF($A$6:$A116,$A116))</f>
        <v/>
      </c>
      <c r="N116" s="8" t="str">
        <f aca="false">IF($A116="","",$A116&amp;"|"&amp;$M116)</f>
        <v/>
      </c>
    </row>
    <row r="117" customFormat="false" ht="15" hidden="false" customHeight="false" outlineLevel="0" collapsed="false">
      <c r="A117" s="6"/>
      <c r="B117" s="8" t="str">
        <f aca="false">IF($A117="","",IFERROR(INDEX(PRODUCTOS!$B$6:$B$105,MATCH($A117,PRODUCTOS!$A$6:$A$105,0)),"¿Código?"))</f>
        <v/>
      </c>
      <c r="C117" s="6"/>
      <c r="D117" s="8" t="str">
        <f aca="false">IF($C117="","",IFERROR(INDEX(INSUMOS!$B$6:$B$205,MATCH($C117,INSUMOS!$A$6:$A$205,0)),"¿Código?"))</f>
        <v/>
      </c>
      <c r="E117" s="8" t="str">
        <f aca="false">IF($C117="","",IFERROR(INDEX(INSUMOS!$D$6:$D$205,MATCH($C117,INSUMOS!$A$6:$A$205,0)),""))</f>
        <v/>
      </c>
      <c r="F117" s="39"/>
      <c r="G117" s="43" t="str">
        <f aca="false">IF(OR($A117="",$C117=""),"",IFERROR(INDEX(INSUMOS!$P$6:$P$205,MATCH($C117,INSUMOS!$A$6:$A$205,0)),0))</f>
        <v/>
      </c>
      <c r="H117" s="43" t="str">
        <f aca="false">IF(OR($A117="",$C117=""),"",N($F117)*$G117)</f>
        <v/>
      </c>
      <c r="I117" s="34" t="str">
        <f aca="false">IF(OR($A117="",$C117=""),"",IFERROR(MAX(1,INDEX(PRODUCTOS!$G$6:$G$105,MATCH($A117,PRODUCTOS!$A$6:$A$105,0))),1))</f>
        <v/>
      </c>
      <c r="J117" s="43" t="str">
        <f aca="false">IF(OR($A117="",$C117=""),"",$H117/$I117)</f>
        <v/>
      </c>
      <c r="K117" s="34" t="str">
        <f aca="false">IF(OR($A117="",$C117=""),"",SUMIFS(VENTAS!$E$6:$E$2005,VENTAS!$C$6:$C$2005,$A117))</f>
        <v/>
      </c>
      <c r="L117" s="45" t="str">
        <f aca="false">IF(OR($A117="",$C117=""),"",IFERROR(N($F117)/INDEX(INSUMOS!$I$6:$I$205,MATCH($C117,INSUMOS!$A$6:$A$205,0)),N($F117))/$I117*$K117)</f>
        <v/>
      </c>
      <c r="M117" s="8" t="str">
        <f aca="false">IF($A117="","",COUNTIF($A$6:$A117,$A117))</f>
        <v/>
      </c>
      <c r="N117" s="8" t="str">
        <f aca="false">IF($A117="","",$A117&amp;"|"&amp;$M117)</f>
        <v/>
      </c>
    </row>
    <row r="118" customFormat="false" ht="15" hidden="false" customHeight="false" outlineLevel="0" collapsed="false">
      <c r="A118" s="6"/>
      <c r="B118" s="8" t="str">
        <f aca="false">IF($A118="","",IFERROR(INDEX(PRODUCTOS!$B$6:$B$105,MATCH($A118,PRODUCTOS!$A$6:$A$105,0)),"¿Código?"))</f>
        <v/>
      </c>
      <c r="C118" s="6"/>
      <c r="D118" s="8" t="str">
        <f aca="false">IF($C118="","",IFERROR(INDEX(INSUMOS!$B$6:$B$205,MATCH($C118,INSUMOS!$A$6:$A$205,0)),"¿Código?"))</f>
        <v/>
      </c>
      <c r="E118" s="8" t="str">
        <f aca="false">IF($C118="","",IFERROR(INDEX(INSUMOS!$D$6:$D$205,MATCH($C118,INSUMOS!$A$6:$A$205,0)),""))</f>
        <v/>
      </c>
      <c r="F118" s="39"/>
      <c r="G118" s="43" t="str">
        <f aca="false">IF(OR($A118="",$C118=""),"",IFERROR(INDEX(INSUMOS!$P$6:$P$205,MATCH($C118,INSUMOS!$A$6:$A$205,0)),0))</f>
        <v/>
      </c>
      <c r="H118" s="43" t="str">
        <f aca="false">IF(OR($A118="",$C118=""),"",N($F118)*$G118)</f>
        <v/>
      </c>
      <c r="I118" s="34" t="str">
        <f aca="false">IF(OR($A118="",$C118=""),"",IFERROR(MAX(1,INDEX(PRODUCTOS!$G$6:$G$105,MATCH($A118,PRODUCTOS!$A$6:$A$105,0))),1))</f>
        <v/>
      </c>
      <c r="J118" s="43" t="str">
        <f aca="false">IF(OR($A118="",$C118=""),"",$H118/$I118)</f>
        <v/>
      </c>
      <c r="K118" s="34" t="str">
        <f aca="false">IF(OR($A118="",$C118=""),"",SUMIFS(VENTAS!$E$6:$E$2005,VENTAS!$C$6:$C$2005,$A118))</f>
        <v/>
      </c>
      <c r="L118" s="45" t="str">
        <f aca="false">IF(OR($A118="",$C118=""),"",IFERROR(N($F118)/INDEX(INSUMOS!$I$6:$I$205,MATCH($C118,INSUMOS!$A$6:$A$205,0)),N($F118))/$I118*$K118)</f>
        <v/>
      </c>
      <c r="M118" s="8" t="str">
        <f aca="false">IF($A118="","",COUNTIF($A$6:$A118,$A118))</f>
        <v/>
      </c>
      <c r="N118" s="8" t="str">
        <f aca="false">IF($A118="","",$A118&amp;"|"&amp;$M118)</f>
        <v/>
      </c>
    </row>
    <row r="119" customFormat="false" ht="15" hidden="false" customHeight="false" outlineLevel="0" collapsed="false">
      <c r="A119" s="6"/>
      <c r="B119" s="8" t="str">
        <f aca="false">IF($A119="","",IFERROR(INDEX(PRODUCTOS!$B$6:$B$105,MATCH($A119,PRODUCTOS!$A$6:$A$105,0)),"¿Código?"))</f>
        <v/>
      </c>
      <c r="C119" s="6"/>
      <c r="D119" s="8" t="str">
        <f aca="false">IF($C119="","",IFERROR(INDEX(INSUMOS!$B$6:$B$205,MATCH($C119,INSUMOS!$A$6:$A$205,0)),"¿Código?"))</f>
        <v/>
      </c>
      <c r="E119" s="8" t="str">
        <f aca="false">IF($C119="","",IFERROR(INDEX(INSUMOS!$D$6:$D$205,MATCH($C119,INSUMOS!$A$6:$A$205,0)),""))</f>
        <v/>
      </c>
      <c r="F119" s="39"/>
      <c r="G119" s="43" t="str">
        <f aca="false">IF(OR($A119="",$C119=""),"",IFERROR(INDEX(INSUMOS!$P$6:$P$205,MATCH($C119,INSUMOS!$A$6:$A$205,0)),0))</f>
        <v/>
      </c>
      <c r="H119" s="43" t="str">
        <f aca="false">IF(OR($A119="",$C119=""),"",N($F119)*$G119)</f>
        <v/>
      </c>
      <c r="I119" s="34" t="str">
        <f aca="false">IF(OR($A119="",$C119=""),"",IFERROR(MAX(1,INDEX(PRODUCTOS!$G$6:$G$105,MATCH($A119,PRODUCTOS!$A$6:$A$105,0))),1))</f>
        <v/>
      </c>
      <c r="J119" s="43" t="str">
        <f aca="false">IF(OR($A119="",$C119=""),"",$H119/$I119)</f>
        <v/>
      </c>
      <c r="K119" s="34" t="str">
        <f aca="false">IF(OR($A119="",$C119=""),"",SUMIFS(VENTAS!$E$6:$E$2005,VENTAS!$C$6:$C$2005,$A119))</f>
        <v/>
      </c>
      <c r="L119" s="45" t="str">
        <f aca="false">IF(OR($A119="",$C119=""),"",IFERROR(N($F119)/INDEX(INSUMOS!$I$6:$I$205,MATCH($C119,INSUMOS!$A$6:$A$205,0)),N($F119))/$I119*$K119)</f>
        <v/>
      </c>
      <c r="M119" s="8" t="str">
        <f aca="false">IF($A119="","",COUNTIF($A$6:$A119,$A119))</f>
        <v/>
      </c>
      <c r="N119" s="8" t="str">
        <f aca="false">IF($A119="","",$A119&amp;"|"&amp;$M119)</f>
        <v/>
      </c>
    </row>
    <row r="120" customFormat="false" ht="15" hidden="false" customHeight="false" outlineLevel="0" collapsed="false">
      <c r="A120" s="6"/>
      <c r="B120" s="8" t="str">
        <f aca="false">IF($A120="","",IFERROR(INDEX(PRODUCTOS!$B$6:$B$105,MATCH($A120,PRODUCTOS!$A$6:$A$105,0)),"¿Código?"))</f>
        <v/>
      </c>
      <c r="C120" s="6"/>
      <c r="D120" s="8" t="str">
        <f aca="false">IF($C120="","",IFERROR(INDEX(INSUMOS!$B$6:$B$205,MATCH($C120,INSUMOS!$A$6:$A$205,0)),"¿Código?"))</f>
        <v/>
      </c>
      <c r="E120" s="8" t="str">
        <f aca="false">IF($C120="","",IFERROR(INDEX(INSUMOS!$D$6:$D$205,MATCH($C120,INSUMOS!$A$6:$A$205,0)),""))</f>
        <v/>
      </c>
      <c r="F120" s="39"/>
      <c r="G120" s="43" t="str">
        <f aca="false">IF(OR($A120="",$C120=""),"",IFERROR(INDEX(INSUMOS!$P$6:$P$205,MATCH($C120,INSUMOS!$A$6:$A$205,0)),0))</f>
        <v/>
      </c>
      <c r="H120" s="43" t="str">
        <f aca="false">IF(OR($A120="",$C120=""),"",N($F120)*$G120)</f>
        <v/>
      </c>
      <c r="I120" s="34" t="str">
        <f aca="false">IF(OR($A120="",$C120=""),"",IFERROR(MAX(1,INDEX(PRODUCTOS!$G$6:$G$105,MATCH($A120,PRODUCTOS!$A$6:$A$105,0))),1))</f>
        <v/>
      </c>
      <c r="J120" s="43" t="str">
        <f aca="false">IF(OR($A120="",$C120=""),"",$H120/$I120)</f>
        <v/>
      </c>
      <c r="K120" s="34" t="str">
        <f aca="false">IF(OR($A120="",$C120=""),"",SUMIFS(VENTAS!$E$6:$E$2005,VENTAS!$C$6:$C$2005,$A120))</f>
        <v/>
      </c>
      <c r="L120" s="45" t="str">
        <f aca="false">IF(OR($A120="",$C120=""),"",IFERROR(N($F120)/INDEX(INSUMOS!$I$6:$I$205,MATCH($C120,INSUMOS!$A$6:$A$205,0)),N($F120))/$I120*$K120)</f>
        <v/>
      </c>
      <c r="M120" s="8" t="str">
        <f aca="false">IF($A120="","",COUNTIF($A$6:$A120,$A120))</f>
        <v/>
      </c>
      <c r="N120" s="8" t="str">
        <f aca="false">IF($A120="","",$A120&amp;"|"&amp;$M120)</f>
        <v/>
      </c>
    </row>
    <row r="121" customFormat="false" ht="15" hidden="false" customHeight="false" outlineLevel="0" collapsed="false">
      <c r="A121" s="6"/>
      <c r="B121" s="8" t="str">
        <f aca="false">IF($A121="","",IFERROR(INDEX(PRODUCTOS!$B$6:$B$105,MATCH($A121,PRODUCTOS!$A$6:$A$105,0)),"¿Código?"))</f>
        <v/>
      </c>
      <c r="C121" s="6"/>
      <c r="D121" s="8" t="str">
        <f aca="false">IF($C121="","",IFERROR(INDEX(INSUMOS!$B$6:$B$205,MATCH($C121,INSUMOS!$A$6:$A$205,0)),"¿Código?"))</f>
        <v/>
      </c>
      <c r="E121" s="8" t="str">
        <f aca="false">IF($C121="","",IFERROR(INDEX(INSUMOS!$D$6:$D$205,MATCH($C121,INSUMOS!$A$6:$A$205,0)),""))</f>
        <v/>
      </c>
      <c r="F121" s="39"/>
      <c r="G121" s="43" t="str">
        <f aca="false">IF(OR($A121="",$C121=""),"",IFERROR(INDEX(INSUMOS!$P$6:$P$205,MATCH($C121,INSUMOS!$A$6:$A$205,0)),0))</f>
        <v/>
      </c>
      <c r="H121" s="43" t="str">
        <f aca="false">IF(OR($A121="",$C121=""),"",N($F121)*$G121)</f>
        <v/>
      </c>
      <c r="I121" s="34" t="str">
        <f aca="false">IF(OR($A121="",$C121=""),"",IFERROR(MAX(1,INDEX(PRODUCTOS!$G$6:$G$105,MATCH($A121,PRODUCTOS!$A$6:$A$105,0))),1))</f>
        <v/>
      </c>
      <c r="J121" s="43" t="str">
        <f aca="false">IF(OR($A121="",$C121=""),"",$H121/$I121)</f>
        <v/>
      </c>
      <c r="K121" s="34" t="str">
        <f aca="false">IF(OR($A121="",$C121=""),"",SUMIFS(VENTAS!$E$6:$E$2005,VENTAS!$C$6:$C$2005,$A121))</f>
        <v/>
      </c>
      <c r="L121" s="45" t="str">
        <f aca="false">IF(OR($A121="",$C121=""),"",IFERROR(N($F121)/INDEX(INSUMOS!$I$6:$I$205,MATCH($C121,INSUMOS!$A$6:$A$205,0)),N($F121))/$I121*$K121)</f>
        <v/>
      </c>
      <c r="M121" s="8" t="str">
        <f aca="false">IF($A121="","",COUNTIF($A$6:$A121,$A121))</f>
        <v/>
      </c>
      <c r="N121" s="8" t="str">
        <f aca="false">IF($A121="","",$A121&amp;"|"&amp;$M121)</f>
        <v/>
      </c>
    </row>
    <row r="122" customFormat="false" ht="15" hidden="false" customHeight="false" outlineLevel="0" collapsed="false">
      <c r="A122" s="6"/>
      <c r="B122" s="8" t="str">
        <f aca="false">IF($A122="","",IFERROR(INDEX(PRODUCTOS!$B$6:$B$105,MATCH($A122,PRODUCTOS!$A$6:$A$105,0)),"¿Código?"))</f>
        <v/>
      </c>
      <c r="C122" s="6"/>
      <c r="D122" s="8" t="str">
        <f aca="false">IF($C122="","",IFERROR(INDEX(INSUMOS!$B$6:$B$205,MATCH($C122,INSUMOS!$A$6:$A$205,0)),"¿Código?"))</f>
        <v/>
      </c>
      <c r="E122" s="8" t="str">
        <f aca="false">IF($C122="","",IFERROR(INDEX(INSUMOS!$D$6:$D$205,MATCH($C122,INSUMOS!$A$6:$A$205,0)),""))</f>
        <v/>
      </c>
      <c r="F122" s="39"/>
      <c r="G122" s="43" t="str">
        <f aca="false">IF(OR($A122="",$C122=""),"",IFERROR(INDEX(INSUMOS!$P$6:$P$205,MATCH($C122,INSUMOS!$A$6:$A$205,0)),0))</f>
        <v/>
      </c>
      <c r="H122" s="43" t="str">
        <f aca="false">IF(OR($A122="",$C122=""),"",N($F122)*$G122)</f>
        <v/>
      </c>
      <c r="I122" s="34" t="str">
        <f aca="false">IF(OR($A122="",$C122=""),"",IFERROR(MAX(1,INDEX(PRODUCTOS!$G$6:$G$105,MATCH($A122,PRODUCTOS!$A$6:$A$105,0))),1))</f>
        <v/>
      </c>
      <c r="J122" s="43" t="str">
        <f aca="false">IF(OR($A122="",$C122=""),"",$H122/$I122)</f>
        <v/>
      </c>
      <c r="K122" s="34" t="str">
        <f aca="false">IF(OR($A122="",$C122=""),"",SUMIFS(VENTAS!$E$6:$E$2005,VENTAS!$C$6:$C$2005,$A122))</f>
        <v/>
      </c>
      <c r="L122" s="45" t="str">
        <f aca="false">IF(OR($A122="",$C122=""),"",IFERROR(N($F122)/INDEX(INSUMOS!$I$6:$I$205,MATCH($C122,INSUMOS!$A$6:$A$205,0)),N($F122))/$I122*$K122)</f>
        <v/>
      </c>
      <c r="M122" s="8" t="str">
        <f aca="false">IF($A122="","",COUNTIF($A$6:$A122,$A122))</f>
        <v/>
      </c>
      <c r="N122" s="8" t="str">
        <f aca="false">IF($A122="","",$A122&amp;"|"&amp;$M122)</f>
        <v/>
      </c>
    </row>
    <row r="123" customFormat="false" ht="15" hidden="false" customHeight="false" outlineLevel="0" collapsed="false">
      <c r="A123" s="6"/>
      <c r="B123" s="8" t="str">
        <f aca="false">IF($A123="","",IFERROR(INDEX(PRODUCTOS!$B$6:$B$105,MATCH($A123,PRODUCTOS!$A$6:$A$105,0)),"¿Código?"))</f>
        <v/>
      </c>
      <c r="C123" s="6"/>
      <c r="D123" s="8" t="str">
        <f aca="false">IF($C123="","",IFERROR(INDEX(INSUMOS!$B$6:$B$205,MATCH($C123,INSUMOS!$A$6:$A$205,0)),"¿Código?"))</f>
        <v/>
      </c>
      <c r="E123" s="8" t="str">
        <f aca="false">IF($C123="","",IFERROR(INDEX(INSUMOS!$D$6:$D$205,MATCH($C123,INSUMOS!$A$6:$A$205,0)),""))</f>
        <v/>
      </c>
      <c r="F123" s="39"/>
      <c r="G123" s="43" t="str">
        <f aca="false">IF(OR($A123="",$C123=""),"",IFERROR(INDEX(INSUMOS!$P$6:$P$205,MATCH($C123,INSUMOS!$A$6:$A$205,0)),0))</f>
        <v/>
      </c>
      <c r="H123" s="43" t="str">
        <f aca="false">IF(OR($A123="",$C123=""),"",N($F123)*$G123)</f>
        <v/>
      </c>
      <c r="I123" s="34" t="str">
        <f aca="false">IF(OR($A123="",$C123=""),"",IFERROR(MAX(1,INDEX(PRODUCTOS!$G$6:$G$105,MATCH($A123,PRODUCTOS!$A$6:$A$105,0))),1))</f>
        <v/>
      </c>
      <c r="J123" s="43" t="str">
        <f aca="false">IF(OR($A123="",$C123=""),"",$H123/$I123)</f>
        <v/>
      </c>
      <c r="K123" s="34" t="str">
        <f aca="false">IF(OR($A123="",$C123=""),"",SUMIFS(VENTAS!$E$6:$E$2005,VENTAS!$C$6:$C$2005,$A123))</f>
        <v/>
      </c>
      <c r="L123" s="45" t="str">
        <f aca="false">IF(OR($A123="",$C123=""),"",IFERROR(N($F123)/INDEX(INSUMOS!$I$6:$I$205,MATCH($C123,INSUMOS!$A$6:$A$205,0)),N($F123))/$I123*$K123)</f>
        <v/>
      </c>
      <c r="M123" s="8" t="str">
        <f aca="false">IF($A123="","",COUNTIF($A$6:$A123,$A123))</f>
        <v/>
      </c>
      <c r="N123" s="8" t="str">
        <f aca="false">IF($A123="","",$A123&amp;"|"&amp;$M123)</f>
        <v/>
      </c>
    </row>
    <row r="124" customFormat="false" ht="15" hidden="false" customHeight="false" outlineLevel="0" collapsed="false">
      <c r="A124" s="6"/>
      <c r="B124" s="8" t="str">
        <f aca="false">IF($A124="","",IFERROR(INDEX(PRODUCTOS!$B$6:$B$105,MATCH($A124,PRODUCTOS!$A$6:$A$105,0)),"¿Código?"))</f>
        <v/>
      </c>
      <c r="C124" s="6"/>
      <c r="D124" s="8" t="str">
        <f aca="false">IF($C124="","",IFERROR(INDEX(INSUMOS!$B$6:$B$205,MATCH($C124,INSUMOS!$A$6:$A$205,0)),"¿Código?"))</f>
        <v/>
      </c>
      <c r="E124" s="8" t="str">
        <f aca="false">IF($C124="","",IFERROR(INDEX(INSUMOS!$D$6:$D$205,MATCH($C124,INSUMOS!$A$6:$A$205,0)),""))</f>
        <v/>
      </c>
      <c r="F124" s="39"/>
      <c r="G124" s="43" t="str">
        <f aca="false">IF(OR($A124="",$C124=""),"",IFERROR(INDEX(INSUMOS!$P$6:$P$205,MATCH($C124,INSUMOS!$A$6:$A$205,0)),0))</f>
        <v/>
      </c>
      <c r="H124" s="43" t="str">
        <f aca="false">IF(OR($A124="",$C124=""),"",N($F124)*$G124)</f>
        <v/>
      </c>
      <c r="I124" s="34" t="str">
        <f aca="false">IF(OR($A124="",$C124=""),"",IFERROR(MAX(1,INDEX(PRODUCTOS!$G$6:$G$105,MATCH($A124,PRODUCTOS!$A$6:$A$105,0))),1))</f>
        <v/>
      </c>
      <c r="J124" s="43" t="str">
        <f aca="false">IF(OR($A124="",$C124=""),"",$H124/$I124)</f>
        <v/>
      </c>
      <c r="K124" s="34" t="str">
        <f aca="false">IF(OR($A124="",$C124=""),"",SUMIFS(VENTAS!$E$6:$E$2005,VENTAS!$C$6:$C$2005,$A124))</f>
        <v/>
      </c>
      <c r="L124" s="45" t="str">
        <f aca="false">IF(OR($A124="",$C124=""),"",IFERROR(N($F124)/INDEX(INSUMOS!$I$6:$I$205,MATCH($C124,INSUMOS!$A$6:$A$205,0)),N($F124))/$I124*$K124)</f>
        <v/>
      </c>
      <c r="M124" s="8" t="str">
        <f aca="false">IF($A124="","",COUNTIF($A$6:$A124,$A124))</f>
        <v/>
      </c>
      <c r="N124" s="8" t="str">
        <f aca="false">IF($A124="","",$A124&amp;"|"&amp;$M124)</f>
        <v/>
      </c>
    </row>
    <row r="125" customFormat="false" ht="15" hidden="false" customHeight="false" outlineLevel="0" collapsed="false">
      <c r="A125" s="6"/>
      <c r="B125" s="8" t="str">
        <f aca="false">IF($A125="","",IFERROR(INDEX(PRODUCTOS!$B$6:$B$105,MATCH($A125,PRODUCTOS!$A$6:$A$105,0)),"¿Código?"))</f>
        <v/>
      </c>
      <c r="C125" s="6"/>
      <c r="D125" s="8" t="str">
        <f aca="false">IF($C125="","",IFERROR(INDEX(INSUMOS!$B$6:$B$205,MATCH($C125,INSUMOS!$A$6:$A$205,0)),"¿Código?"))</f>
        <v/>
      </c>
      <c r="E125" s="8" t="str">
        <f aca="false">IF($C125="","",IFERROR(INDEX(INSUMOS!$D$6:$D$205,MATCH($C125,INSUMOS!$A$6:$A$205,0)),""))</f>
        <v/>
      </c>
      <c r="F125" s="39"/>
      <c r="G125" s="43" t="str">
        <f aca="false">IF(OR($A125="",$C125=""),"",IFERROR(INDEX(INSUMOS!$P$6:$P$205,MATCH($C125,INSUMOS!$A$6:$A$205,0)),0))</f>
        <v/>
      </c>
      <c r="H125" s="43" t="str">
        <f aca="false">IF(OR($A125="",$C125=""),"",N($F125)*$G125)</f>
        <v/>
      </c>
      <c r="I125" s="34" t="str">
        <f aca="false">IF(OR($A125="",$C125=""),"",IFERROR(MAX(1,INDEX(PRODUCTOS!$G$6:$G$105,MATCH($A125,PRODUCTOS!$A$6:$A$105,0))),1))</f>
        <v/>
      </c>
      <c r="J125" s="43" t="str">
        <f aca="false">IF(OR($A125="",$C125=""),"",$H125/$I125)</f>
        <v/>
      </c>
      <c r="K125" s="34" t="str">
        <f aca="false">IF(OR($A125="",$C125=""),"",SUMIFS(VENTAS!$E$6:$E$2005,VENTAS!$C$6:$C$2005,$A125))</f>
        <v/>
      </c>
      <c r="L125" s="45" t="str">
        <f aca="false">IF(OR($A125="",$C125=""),"",IFERROR(N($F125)/INDEX(INSUMOS!$I$6:$I$205,MATCH($C125,INSUMOS!$A$6:$A$205,0)),N($F125))/$I125*$K125)</f>
        <v/>
      </c>
      <c r="M125" s="8" t="str">
        <f aca="false">IF($A125="","",COUNTIF($A$6:$A125,$A125))</f>
        <v/>
      </c>
      <c r="N125" s="8" t="str">
        <f aca="false">IF($A125="","",$A125&amp;"|"&amp;$M125)</f>
        <v/>
      </c>
    </row>
    <row r="126" customFormat="false" ht="15" hidden="false" customHeight="false" outlineLevel="0" collapsed="false">
      <c r="A126" s="6"/>
      <c r="B126" s="8" t="str">
        <f aca="false">IF($A126="","",IFERROR(INDEX(PRODUCTOS!$B$6:$B$105,MATCH($A126,PRODUCTOS!$A$6:$A$105,0)),"¿Código?"))</f>
        <v/>
      </c>
      <c r="C126" s="6"/>
      <c r="D126" s="8" t="str">
        <f aca="false">IF($C126="","",IFERROR(INDEX(INSUMOS!$B$6:$B$205,MATCH($C126,INSUMOS!$A$6:$A$205,0)),"¿Código?"))</f>
        <v/>
      </c>
      <c r="E126" s="8" t="str">
        <f aca="false">IF($C126="","",IFERROR(INDEX(INSUMOS!$D$6:$D$205,MATCH($C126,INSUMOS!$A$6:$A$205,0)),""))</f>
        <v/>
      </c>
      <c r="F126" s="39"/>
      <c r="G126" s="43" t="str">
        <f aca="false">IF(OR($A126="",$C126=""),"",IFERROR(INDEX(INSUMOS!$P$6:$P$205,MATCH($C126,INSUMOS!$A$6:$A$205,0)),0))</f>
        <v/>
      </c>
      <c r="H126" s="43" t="str">
        <f aca="false">IF(OR($A126="",$C126=""),"",N($F126)*$G126)</f>
        <v/>
      </c>
      <c r="I126" s="34" t="str">
        <f aca="false">IF(OR($A126="",$C126=""),"",IFERROR(MAX(1,INDEX(PRODUCTOS!$G$6:$G$105,MATCH($A126,PRODUCTOS!$A$6:$A$105,0))),1))</f>
        <v/>
      </c>
      <c r="J126" s="43" t="str">
        <f aca="false">IF(OR($A126="",$C126=""),"",$H126/$I126)</f>
        <v/>
      </c>
      <c r="K126" s="34" t="str">
        <f aca="false">IF(OR($A126="",$C126=""),"",SUMIFS(VENTAS!$E$6:$E$2005,VENTAS!$C$6:$C$2005,$A126))</f>
        <v/>
      </c>
      <c r="L126" s="45" t="str">
        <f aca="false">IF(OR($A126="",$C126=""),"",IFERROR(N($F126)/INDEX(INSUMOS!$I$6:$I$205,MATCH($C126,INSUMOS!$A$6:$A$205,0)),N($F126))/$I126*$K126)</f>
        <v/>
      </c>
      <c r="M126" s="8" t="str">
        <f aca="false">IF($A126="","",COUNTIF($A$6:$A126,$A126))</f>
        <v/>
      </c>
      <c r="N126" s="8" t="str">
        <f aca="false">IF($A126="","",$A126&amp;"|"&amp;$M126)</f>
        <v/>
      </c>
    </row>
    <row r="127" customFormat="false" ht="15" hidden="false" customHeight="false" outlineLevel="0" collapsed="false">
      <c r="A127" s="6"/>
      <c r="B127" s="8" t="str">
        <f aca="false">IF($A127="","",IFERROR(INDEX(PRODUCTOS!$B$6:$B$105,MATCH($A127,PRODUCTOS!$A$6:$A$105,0)),"¿Código?"))</f>
        <v/>
      </c>
      <c r="C127" s="6"/>
      <c r="D127" s="8" t="str">
        <f aca="false">IF($C127="","",IFERROR(INDEX(INSUMOS!$B$6:$B$205,MATCH($C127,INSUMOS!$A$6:$A$205,0)),"¿Código?"))</f>
        <v/>
      </c>
      <c r="E127" s="8" t="str">
        <f aca="false">IF($C127="","",IFERROR(INDEX(INSUMOS!$D$6:$D$205,MATCH($C127,INSUMOS!$A$6:$A$205,0)),""))</f>
        <v/>
      </c>
      <c r="F127" s="39"/>
      <c r="G127" s="43" t="str">
        <f aca="false">IF(OR($A127="",$C127=""),"",IFERROR(INDEX(INSUMOS!$P$6:$P$205,MATCH($C127,INSUMOS!$A$6:$A$205,0)),0))</f>
        <v/>
      </c>
      <c r="H127" s="43" t="str">
        <f aca="false">IF(OR($A127="",$C127=""),"",N($F127)*$G127)</f>
        <v/>
      </c>
      <c r="I127" s="34" t="str">
        <f aca="false">IF(OR($A127="",$C127=""),"",IFERROR(MAX(1,INDEX(PRODUCTOS!$G$6:$G$105,MATCH($A127,PRODUCTOS!$A$6:$A$105,0))),1))</f>
        <v/>
      </c>
      <c r="J127" s="43" t="str">
        <f aca="false">IF(OR($A127="",$C127=""),"",$H127/$I127)</f>
        <v/>
      </c>
      <c r="K127" s="34" t="str">
        <f aca="false">IF(OR($A127="",$C127=""),"",SUMIFS(VENTAS!$E$6:$E$2005,VENTAS!$C$6:$C$2005,$A127))</f>
        <v/>
      </c>
      <c r="L127" s="45" t="str">
        <f aca="false">IF(OR($A127="",$C127=""),"",IFERROR(N($F127)/INDEX(INSUMOS!$I$6:$I$205,MATCH($C127,INSUMOS!$A$6:$A$205,0)),N($F127))/$I127*$K127)</f>
        <v/>
      </c>
      <c r="M127" s="8" t="str">
        <f aca="false">IF($A127="","",COUNTIF($A$6:$A127,$A127))</f>
        <v/>
      </c>
      <c r="N127" s="8" t="str">
        <f aca="false">IF($A127="","",$A127&amp;"|"&amp;$M127)</f>
        <v/>
      </c>
    </row>
    <row r="128" customFormat="false" ht="15" hidden="false" customHeight="false" outlineLevel="0" collapsed="false">
      <c r="A128" s="6"/>
      <c r="B128" s="8" t="str">
        <f aca="false">IF($A128="","",IFERROR(INDEX(PRODUCTOS!$B$6:$B$105,MATCH($A128,PRODUCTOS!$A$6:$A$105,0)),"¿Código?"))</f>
        <v/>
      </c>
      <c r="C128" s="6"/>
      <c r="D128" s="8" t="str">
        <f aca="false">IF($C128="","",IFERROR(INDEX(INSUMOS!$B$6:$B$205,MATCH($C128,INSUMOS!$A$6:$A$205,0)),"¿Código?"))</f>
        <v/>
      </c>
      <c r="E128" s="8" t="str">
        <f aca="false">IF($C128="","",IFERROR(INDEX(INSUMOS!$D$6:$D$205,MATCH($C128,INSUMOS!$A$6:$A$205,0)),""))</f>
        <v/>
      </c>
      <c r="F128" s="39"/>
      <c r="G128" s="43" t="str">
        <f aca="false">IF(OR($A128="",$C128=""),"",IFERROR(INDEX(INSUMOS!$P$6:$P$205,MATCH($C128,INSUMOS!$A$6:$A$205,0)),0))</f>
        <v/>
      </c>
      <c r="H128" s="43" t="str">
        <f aca="false">IF(OR($A128="",$C128=""),"",N($F128)*$G128)</f>
        <v/>
      </c>
      <c r="I128" s="34" t="str">
        <f aca="false">IF(OR($A128="",$C128=""),"",IFERROR(MAX(1,INDEX(PRODUCTOS!$G$6:$G$105,MATCH($A128,PRODUCTOS!$A$6:$A$105,0))),1))</f>
        <v/>
      </c>
      <c r="J128" s="43" t="str">
        <f aca="false">IF(OR($A128="",$C128=""),"",$H128/$I128)</f>
        <v/>
      </c>
      <c r="K128" s="34" t="str">
        <f aca="false">IF(OR($A128="",$C128=""),"",SUMIFS(VENTAS!$E$6:$E$2005,VENTAS!$C$6:$C$2005,$A128))</f>
        <v/>
      </c>
      <c r="L128" s="45" t="str">
        <f aca="false">IF(OR($A128="",$C128=""),"",IFERROR(N($F128)/INDEX(INSUMOS!$I$6:$I$205,MATCH($C128,INSUMOS!$A$6:$A$205,0)),N($F128))/$I128*$K128)</f>
        <v/>
      </c>
      <c r="M128" s="8" t="str">
        <f aca="false">IF($A128="","",COUNTIF($A$6:$A128,$A128))</f>
        <v/>
      </c>
      <c r="N128" s="8" t="str">
        <f aca="false">IF($A128="","",$A128&amp;"|"&amp;$M128)</f>
        <v/>
      </c>
    </row>
    <row r="129" customFormat="false" ht="15" hidden="false" customHeight="false" outlineLevel="0" collapsed="false">
      <c r="A129" s="6"/>
      <c r="B129" s="8" t="str">
        <f aca="false">IF($A129="","",IFERROR(INDEX(PRODUCTOS!$B$6:$B$105,MATCH($A129,PRODUCTOS!$A$6:$A$105,0)),"¿Código?"))</f>
        <v/>
      </c>
      <c r="C129" s="6"/>
      <c r="D129" s="8" t="str">
        <f aca="false">IF($C129="","",IFERROR(INDEX(INSUMOS!$B$6:$B$205,MATCH($C129,INSUMOS!$A$6:$A$205,0)),"¿Código?"))</f>
        <v/>
      </c>
      <c r="E129" s="8" t="str">
        <f aca="false">IF($C129="","",IFERROR(INDEX(INSUMOS!$D$6:$D$205,MATCH($C129,INSUMOS!$A$6:$A$205,0)),""))</f>
        <v/>
      </c>
      <c r="F129" s="39"/>
      <c r="G129" s="43" t="str">
        <f aca="false">IF(OR($A129="",$C129=""),"",IFERROR(INDEX(INSUMOS!$P$6:$P$205,MATCH($C129,INSUMOS!$A$6:$A$205,0)),0))</f>
        <v/>
      </c>
      <c r="H129" s="43" t="str">
        <f aca="false">IF(OR($A129="",$C129=""),"",N($F129)*$G129)</f>
        <v/>
      </c>
      <c r="I129" s="34" t="str">
        <f aca="false">IF(OR($A129="",$C129=""),"",IFERROR(MAX(1,INDEX(PRODUCTOS!$G$6:$G$105,MATCH($A129,PRODUCTOS!$A$6:$A$105,0))),1))</f>
        <v/>
      </c>
      <c r="J129" s="43" t="str">
        <f aca="false">IF(OR($A129="",$C129=""),"",$H129/$I129)</f>
        <v/>
      </c>
      <c r="K129" s="34" t="str">
        <f aca="false">IF(OR($A129="",$C129=""),"",SUMIFS(VENTAS!$E$6:$E$2005,VENTAS!$C$6:$C$2005,$A129))</f>
        <v/>
      </c>
      <c r="L129" s="45" t="str">
        <f aca="false">IF(OR($A129="",$C129=""),"",IFERROR(N($F129)/INDEX(INSUMOS!$I$6:$I$205,MATCH($C129,INSUMOS!$A$6:$A$205,0)),N($F129))/$I129*$K129)</f>
        <v/>
      </c>
      <c r="M129" s="8" t="str">
        <f aca="false">IF($A129="","",COUNTIF($A$6:$A129,$A129))</f>
        <v/>
      </c>
      <c r="N129" s="8" t="str">
        <f aca="false">IF($A129="","",$A129&amp;"|"&amp;$M129)</f>
        <v/>
      </c>
    </row>
    <row r="130" customFormat="false" ht="15" hidden="false" customHeight="false" outlineLevel="0" collapsed="false">
      <c r="A130" s="6"/>
      <c r="B130" s="8" t="str">
        <f aca="false">IF($A130="","",IFERROR(INDEX(PRODUCTOS!$B$6:$B$105,MATCH($A130,PRODUCTOS!$A$6:$A$105,0)),"¿Código?"))</f>
        <v/>
      </c>
      <c r="C130" s="6"/>
      <c r="D130" s="8" t="str">
        <f aca="false">IF($C130="","",IFERROR(INDEX(INSUMOS!$B$6:$B$205,MATCH($C130,INSUMOS!$A$6:$A$205,0)),"¿Código?"))</f>
        <v/>
      </c>
      <c r="E130" s="8" t="str">
        <f aca="false">IF($C130="","",IFERROR(INDEX(INSUMOS!$D$6:$D$205,MATCH($C130,INSUMOS!$A$6:$A$205,0)),""))</f>
        <v/>
      </c>
      <c r="F130" s="39"/>
      <c r="G130" s="43" t="str">
        <f aca="false">IF(OR($A130="",$C130=""),"",IFERROR(INDEX(INSUMOS!$P$6:$P$205,MATCH($C130,INSUMOS!$A$6:$A$205,0)),0))</f>
        <v/>
      </c>
      <c r="H130" s="43" t="str">
        <f aca="false">IF(OR($A130="",$C130=""),"",N($F130)*$G130)</f>
        <v/>
      </c>
      <c r="I130" s="34" t="str">
        <f aca="false">IF(OR($A130="",$C130=""),"",IFERROR(MAX(1,INDEX(PRODUCTOS!$G$6:$G$105,MATCH($A130,PRODUCTOS!$A$6:$A$105,0))),1))</f>
        <v/>
      </c>
      <c r="J130" s="43" t="str">
        <f aca="false">IF(OR($A130="",$C130=""),"",$H130/$I130)</f>
        <v/>
      </c>
      <c r="K130" s="34" t="str">
        <f aca="false">IF(OR($A130="",$C130=""),"",SUMIFS(VENTAS!$E$6:$E$2005,VENTAS!$C$6:$C$2005,$A130))</f>
        <v/>
      </c>
      <c r="L130" s="45" t="str">
        <f aca="false">IF(OR($A130="",$C130=""),"",IFERROR(N($F130)/INDEX(INSUMOS!$I$6:$I$205,MATCH($C130,INSUMOS!$A$6:$A$205,0)),N($F130))/$I130*$K130)</f>
        <v/>
      </c>
      <c r="M130" s="8" t="str">
        <f aca="false">IF($A130="","",COUNTIF($A$6:$A130,$A130))</f>
        <v/>
      </c>
      <c r="N130" s="8" t="str">
        <f aca="false">IF($A130="","",$A130&amp;"|"&amp;$M130)</f>
        <v/>
      </c>
    </row>
    <row r="131" customFormat="false" ht="15" hidden="false" customHeight="false" outlineLevel="0" collapsed="false">
      <c r="A131" s="6"/>
      <c r="B131" s="8" t="str">
        <f aca="false">IF($A131="","",IFERROR(INDEX(PRODUCTOS!$B$6:$B$105,MATCH($A131,PRODUCTOS!$A$6:$A$105,0)),"¿Código?"))</f>
        <v/>
      </c>
      <c r="C131" s="6"/>
      <c r="D131" s="8" t="str">
        <f aca="false">IF($C131="","",IFERROR(INDEX(INSUMOS!$B$6:$B$205,MATCH($C131,INSUMOS!$A$6:$A$205,0)),"¿Código?"))</f>
        <v/>
      </c>
      <c r="E131" s="8" t="str">
        <f aca="false">IF($C131="","",IFERROR(INDEX(INSUMOS!$D$6:$D$205,MATCH($C131,INSUMOS!$A$6:$A$205,0)),""))</f>
        <v/>
      </c>
      <c r="F131" s="39"/>
      <c r="G131" s="43" t="str">
        <f aca="false">IF(OR($A131="",$C131=""),"",IFERROR(INDEX(INSUMOS!$P$6:$P$205,MATCH($C131,INSUMOS!$A$6:$A$205,0)),0))</f>
        <v/>
      </c>
      <c r="H131" s="43" t="str">
        <f aca="false">IF(OR($A131="",$C131=""),"",N($F131)*$G131)</f>
        <v/>
      </c>
      <c r="I131" s="34" t="str">
        <f aca="false">IF(OR($A131="",$C131=""),"",IFERROR(MAX(1,INDEX(PRODUCTOS!$G$6:$G$105,MATCH($A131,PRODUCTOS!$A$6:$A$105,0))),1))</f>
        <v/>
      </c>
      <c r="J131" s="43" t="str">
        <f aca="false">IF(OR($A131="",$C131=""),"",$H131/$I131)</f>
        <v/>
      </c>
      <c r="K131" s="34" t="str">
        <f aca="false">IF(OR($A131="",$C131=""),"",SUMIFS(VENTAS!$E$6:$E$2005,VENTAS!$C$6:$C$2005,$A131))</f>
        <v/>
      </c>
      <c r="L131" s="45" t="str">
        <f aca="false">IF(OR($A131="",$C131=""),"",IFERROR(N($F131)/INDEX(INSUMOS!$I$6:$I$205,MATCH($C131,INSUMOS!$A$6:$A$205,0)),N($F131))/$I131*$K131)</f>
        <v/>
      </c>
      <c r="M131" s="8" t="str">
        <f aca="false">IF($A131="","",COUNTIF($A$6:$A131,$A131))</f>
        <v/>
      </c>
      <c r="N131" s="8" t="str">
        <f aca="false">IF($A131="","",$A131&amp;"|"&amp;$M131)</f>
        <v/>
      </c>
    </row>
    <row r="132" customFormat="false" ht="15" hidden="false" customHeight="false" outlineLevel="0" collapsed="false">
      <c r="A132" s="6"/>
      <c r="B132" s="8" t="str">
        <f aca="false">IF($A132="","",IFERROR(INDEX(PRODUCTOS!$B$6:$B$105,MATCH($A132,PRODUCTOS!$A$6:$A$105,0)),"¿Código?"))</f>
        <v/>
      </c>
      <c r="C132" s="6"/>
      <c r="D132" s="8" t="str">
        <f aca="false">IF($C132="","",IFERROR(INDEX(INSUMOS!$B$6:$B$205,MATCH($C132,INSUMOS!$A$6:$A$205,0)),"¿Código?"))</f>
        <v/>
      </c>
      <c r="E132" s="8" t="str">
        <f aca="false">IF($C132="","",IFERROR(INDEX(INSUMOS!$D$6:$D$205,MATCH($C132,INSUMOS!$A$6:$A$205,0)),""))</f>
        <v/>
      </c>
      <c r="F132" s="39"/>
      <c r="G132" s="43" t="str">
        <f aca="false">IF(OR($A132="",$C132=""),"",IFERROR(INDEX(INSUMOS!$P$6:$P$205,MATCH($C132,INSUMOS!$A$6:$A$205,0)),0))</f>
        <v/>
      </c>
      <c r="H132" s="43" t="str">
        <f aca="false">IF(OR($A132="",$C132=""),"",N($F132)*$G132)</f>
        <v/>
      </c>
      <c r="I132" s="34" t="str">
        <f aca="false">IF(OR($A132="",$C132=""),"",IFERROR(MAX(1,INDEX(PRODUCTOS!$G$6:$G$105,MATCH($A132,PRODUCTOS!$A$6:$A$105,0))),1))</f>
        <v/>
      </c>
      <c r="J132" s="43" t="str">
        <f aca="false">IF(OR($A132="",$C132=""),"",$H132/$I132)</f>
        <v/>
      </c>
      <c r="K132" s="34" t="str">
        <f aca="false">IF(OR($A132="",$C132=""),"",SUMIFS(VENTAS!$E$6:$E$2005,VENTAS!$C$6:$C$2005,$A132))</f>
        <v/>
      </c>
      <c r="L132" s="45" t="str">
        <f aca="false">IF(OR($A132="",$C132=""),"",IFERROR(N($F132)/INDEX(INSUMOS!$I$6:$I$205,MATCH($C132,INSUMOS!$A$6:$A$205,0)),N($F132))/$I132*$K132)</f>
        <v/>
      </c>
      <c r="M132" s="8" t="str">
        <f aca="false">IF($A132="","",COUNTIF($A$6:$A132,$A132))</f>
        <v/>
      </c>
      <c r="N132" s="8" t="str">
        <f aca="false">IF($A132="","",$A132&amp;"|"&amp;$M132)</f>
        <v/>
      </c>
    </row>
    <row r="133" customFormat="false" ht="15" hidden="false" customHeight="false" outlineLevel="0" collapsed="false">
      <c r="A133" s="6"/>
      <c r="B133" s="8" t="str">
        <f aca="false">IF($A133="","",IFERROR(INDEX(PRODUCTOS!$B$6:$B$105,MATCH($A133,PRODUCTOS!$A$6:$A$105,0)),"¿Código?"))</f>
        <v/>
      </c>
      <c r="C133" s="6"/>
      <c r="D133" s="8" t="str">
        <f aca="false">IF($C133="","",IFERROR(INDEX(INSUMOS!$B$6:$B$205,MATCH($C133,INSUMOS!$A$6:$A$205,0)),"¿Código?"))</f>
        <v/>
      </c>
      <c r="E133" s="8" t="str">
        <f aca="false">IF($C133="","",IFERROR(INDEX(INSUMOS!$D$6:$D$205,MATCH($C133,INSUMOS!$A$6:$A$205,0)),""))</f>
        <v/>
      </c>
      <c r="F133" s="39"/>
      <c r="G133" s="43" t="str">
        <f aca="false">IF(OR($A133="",$C133=""),"",IFERROR(INDEX(INSUMOS!$P$6:$P$205,MATCH($C133,INSUMOS!$A$6:$A$205,0)),0))</f>
        <v/>
      </c>
      <c r="H133" s="43" t="str">
        <f aca="false">IF(OR($A133="",$C133=""),"",N($F133)*$G133)</f>
        <v/>
      </c>
      <c r="I133" s="34" t="str">
        <f aca="false">IF(OR($A133="",$C133=""),"",IFERROR(MAX(1,INDEX(PRODUCTOS!$G$6:$G$105,MATCH($A133,PRODUCTOS!$A$6:$A$105,0))),1))</f>
        <v/>
      </c>
      <c r="J133" s="43" t="str">
        <f aca="false">IF(OR($A133="",$C133=""),"",$H133/$I133)</f>
        <v/>
      </c>
      <c r="K133" s="34" t="str">
        <f aca="false">IF(OR($A133="",$C133=""),"",SUMIFS(VENTAS!$E$6:$E$2005,VENTAS!$C$6:$C$2005,$A133))</f>
        <v/>
      </c>
      <c r="L133" s="45" t="str">
        <f aca="false">IF(OR($A133="",$C133=""),"",IFERROR(N($F133)/INDEX(INSUMOS!$I$6:$I$205,MATCH($C133,INSUMOS!$A$6:$A$205,0)),N($F133))/$I133*$K133)</f>
        <v/>
      </c>
      <c r="M133" s="8" t="str">
        <f aca="false">IF($A133="","",COUNTIF($A$6:$A133,$A133))</f>
        <v/>
      </c>
      <c r="N133" s="8" t="str">
        <f aca="false">IF($A133="","",$A133&amp;"|"&amp;$M133)</f>
        <v/>
      </c>
    </row>
    <row r="134" customFormat="false" ht="15" hidden="false" customHeight="false" outlineLevel="0" collapsed="false">
      <c r="A134" s="6"/>
      <c r="B134" s="8" t="str">
        <f aca="false">IF($A134="","",IFERROR(INDEX(PRODUCTOS!$B$6:$B$105,MATCH($A134,PRODUCTOS!$A$6:$A$105,0)),"¿Código?"))</f>
        <v/>
      </c>
      <c r="C134" s="6"/>
      <c r="D134" s="8" t="str">
        <f aca="false">IF($C134="","",IFERROR(INDEX(INSUMOS!$B$6:$B$205,MATCH($C134,INSUMOS!$A$6:$A$205,0)),"¿Código?"))</f>
        <v/>
      </c>
      <c r="E134" s="8" t="str">
        <f aca="false">IF($C134="","",IFERROR(INDEX(INSUMOS!$D$6:$D$205,MATCH($C134,INSUMOS!$A$6:$A$205,0)),""))</f>
        <v/>
      </c>
      <c r="F134" s="39"/>
      <c r="G134" s="43" t="str">
        <f aca="false">IF(OR($A134="",$C134=""),"",IFERROR(INDEX(INSUMOS!$P$6:$P$205,MATCH($C134,INSUMOS!$A$6:$A$205,0)),0))</f>
        <v/>
      </c>
      <c r="H134" s="43" t="str">
        <f aca="false">IF(OR($A134="",$C134=""),"",N($F134)*$G134)</f>
        <v/>
      </c>
      <c r="I134" s="34" t="str">
        <f aca="false">IF(OR($A134="",$C134=""),"",IFERROR(MAX(1,INDEX(PRODUCTOS!$G$6:$G$105,MATCH($A134,PRODUCTOS!$A$6:$A$105,0))),1))</f>
        <v/>
      </c>
      <c r="J134" s="43" t="str">
        <f aca="false">IF(OR($A134="",$C134=""),"",$H134/$I134)</f>
        <v/>
      </c>
      <c r="K134" s="34" t="str">
        <f aca="false">IF(OR($A134="",$C134=""),"",SUMIFS(VENTAS!$E$6:$E$2005,VENTAS!$C$6:$C$2005,$A134))</f>
        <v/>
      </c>
      <c r="L134" s="45" t="str">
        <f aca="false">IF(OR($A134="",$C134=""),"",IFERROR(N($F134)/INDEX(INSUMOS!$I$6:$I$205,MATCH($C134,INSUMOS!$A$6:$A$205,0)),N($F134))/$I134*$K134)</f>
        <v/>
      </c>
      <c r="M134" s="8" t="str">
        <f aca="false">IF($A134="","",COUNTIF($A$6:$A134,$A134))</f>
        <v/>
      </c>
      <c r="N134" s="8" t="str">
        <f aca="false">IF($A134="","",$A134&amp;"|"&amp;$M134)</f>
        <v/>
      </c>
    </row>
    <row r="135" customFormat="false" ht="15" hidden="false" customHeight="false" outlineLevel="0" collapsed="false">
      <c r="A135" s="6"/>
      <c r="B135" s="8" t="str">
        <f aca="false">IF($A135="","",IFERROR(INDEX(PRODUCTOS!$B$6:$B$105,MATCH($A135,PRODUCTOS!$A$6:$A$105,0)),"¿Código?"))</f>
        <v/>
      </c>
      <c r="C135" s="6"/>
      <c r="D135" s="8" t="str">
        <f aca="false">IF($C135="","",IFERROR(INDEX(INSUMOS!$B$6:$B$205,MATCH($C135,INSUMOS!$A$6:$A$205,0)),"¿Código?"))</f>
        <v/>
      </c>
      <c r="E135" s="8" t="str">
        <f aca="false">IF($C135="","",IFERROR(INDEX(INSUMOS!$D$6:$D$205,MATCH($C135,INSUMOS!$A$6:$A$205,0)),""))</f>
        <v/>
      </c>
      <c r="F135" s="39"/>
      <c r="G135" s="43" t="str">
        <f aca="false">IF(OR($A135="",$C135=""),"",IFERROR(INDEX(INSUMOS!$P$6:$P$205,MATCH($C135,INSUMOS!$A$6:$A$205,0)),0))</f>
        <v/>
      </c>
      <c r="H135" s="43" t="str">
        <f aca="false">IF(OR($A135="",$C135=""),"",N($F135)*$G135)</f>
        <v/>
      </c>
      <c r="I135" s="34" t="str">
        <f aca="false">IF(OR($A135="",$C135=""),"",IFERROR(MAX(1,INDEX(PRODUCTOS!$G$6:$G$105,MATCH($A135,PRODUCTOS!$A$6:$A$105,0))),1))</f>
        <v/>
      </c>
      <c r="J135" s="43" t="str">
        <f aca="false">IF(OR($A135="",$C135=""),"",$H135/$I135)</f>
        <v/>
      </c>
      <c r="K135" s="34" t="str">
        <f aca="false">IF(OR($A135="",$C135=""),"",SUMIFS(VENTAS!$E$6:$E$2005,VENTAS!$C$6:$C$2005,$A135))</f>
        <v/>
      </c>
      <c r="L135" s="45" t="str">
        <f aca="false">IF(OR($A135="",$C135=""),"",IFERROR(N($F135)/INDEX(INSUMOS!$I$6:$I$205,MATCH($C135,INSUMOS!$A$6:$A$205,0)),N($F135))/$I135*$K135)</f>
        <v/>
      </c>
      <c r="M135" s="8" t="str">
        <f aca="false">IF($A135="","",COUNTIF($A$6:$A135,$A135))</f>
        <v/>
      </c>
      <c r="N135" s="8" t="str">
        <f aca="false">IF($A135="","",$A135&amp;"|"&amp;$M135)</f>
        <v/>
      </c>
    </row>
    <row r="136" customFormat="false" ht="15" hidden="false" customHeight="false" outlineLevel="0" collapsed="false">
      <c r="A136" s="6"/>
      <c r="B136" s="8" t="str">
        <f aca="false">IF($A136="","",IFERROR(INDEX(PRODUCTOS!$B$6:$B$105,MATCH($A136,PRODUCTOS!$A$6:$A$105,0)),"¿Código?"))</f>
        <v/>
      </c>
      <c r="C136" s="6"/>
      <c r="D136" s="8" t="str">
        <f aca="false">IF($C136="","",IFERROR(INDEX(INSUMOS!$B$6:$B$205,MATCH($C136,INSUMOS!$A$6:$A$205,0)),"¿Código?"))</f>
        <v/>
      </c>
      <c r="E136" s="8" t="str">
        <f aca="false">IF($C136="","",IFERROR(INDEX(INSUMOS!$D$6:$D$205,MATCH($C136,INSUMOS!$A$6:$A$205,0)),""))</f>
        <v/>
      </c>
      <c r="F136" s="39"/>
      <c r="G136" s="43" t="str">
        <f aca="false">IF(OR($A136="",$C136=""),"",IFERROR(INDEX(INSUMOS!$P$6:$P$205,MATCH($C136,INSUMOS!$A$6:$A$205,0)),0))</f>
        <v/>
      </c>
      <c r="H136" s="43" t="str">
        <f aca="false">IF(OR($A136="",$C136=""),"",N($F136)*$G136)</f>
        <v/>
      </c>
      <c r="I136" s="34" t="str">
        <f aca="false">IF(OR($A136="",$C136=""),"",IFERROR(MAX(1,INDEX(PRODUCTOS!$G$6:$G$105,MATCH($A136,PRODUCTOS!$A$6:$A$105,0))),1))</f>
        <v/>
      </c>
      <c r="J136" s="43" t="str">
        <f aca="false">IF(OR($A136="",$C136=""),"",$H136/$I136)</f>
        <v/>
      </c>
      <c r="K136" s="34" t="str">
        <f aca="false">IF(OR($A136="",$C136=""),"",SUMIFS(VENTAS!$E$6:$E$2005,VENTAS!$C$6:$C$2005,$A136))</f>
        <v/>
      </c>
      <c r="L136" s="45" t="str">
        <f aca="false">IF(OR($A136="",$C136=""),"",IFERROR(N($F136)/INDEX(INSUMOS!$I$6:$I$205,MATCH($C136,INSUMOS!$A$6:$A$205,0)),N($F136))/$I136*$K136)</f>
        <v/>
      </c>
      <c r="M136" s="8" t="str">
        <f aca="false">IF($A136="","",COUNTIF($A$6:$A136,$A136))</f>
        <v/>
      </c>
      <c r="N136" s="8" t="str">
        <f aca="false">IF($A136="","",$A136&amp;"|"&amp;$M136)</f>
        <v/>
      </c>
    </row>
    <row r="137" customFormat="false" ht="15" hidden="false" customHeight="false" outlineLevel="0" collapsed="false">
      <c r="A137" s="6"/>
      <c r="B137" s="8" t="str">
        <f aca="false">IF($A137="","",IFERROR(INDEX(PRODUCTOS!$B$6:$B$105,MATCH($A137,PRODUCTOS!$A$6:$A$105,0)),"¿Código?"))</f>
        <v/>
      </c>
      <c r="C137" s="6"/>
      <c r="D137" s="8" t="str">
        <f aca="false">IF($C137="","",IFERROR(INDEX(INSUMOS!$B$6:$B$205,MATCH($C137,INSUMOS!$A$6:$A$205,0)),"¿Código?"))</f>
        <v/>
      </c>
      <c r="E137" s="8" t="str">
        <f aca="false">IF($C137="","",IFERROR(INDEX(INSUMOS!$D$6:$D$205,MATCH($C137,INSUMOS!$A$6:$A$205,0)),""))</f>
        <v/>
      </c>
      <c r="F137" s="39"/>
      <c r="G137" s="43" t="str">
        <f aca="false">IF(OR($A137="",$C137=""),"",IFERROR(INDEX(INSUMOS!$P$6:$P$205,MATCH($C137,INSUMOS!$A$6:$A$205,0)),0))</f>
        <v/>
      </c>
      <c r="H137" s="43" t="str">
        <f aca="false">IF(OR($A137="",$C137=""),"",N($F137)*$G137)</f>
        <v/>
      </c>
      <c r="I137" s="34" t="str">
        <f aca="false">IF(OR($A137="",$C137=""),"",IFERROR(MAX(1,INDEX(PRODUCTOS!$G$6:$G$105,MATCH($A137,PRODUCTOS!$A$6:$A$105,0))),1))</f>
        <v/>
      </c>
      <c r="J137" s="43" t="str">
        <f aca="false">IF(OR($A137="",$C137=""),"",$H137/$I137)</f>
        <v/>
      </c>
      <c r="K137" s="34" t="str">
        <f aca="false">IF(OR($A137="",$C137=""),"",SUMIFS(VENTAS!$E$6:$E$2005,VENTAS!$C$6:$C$2005,$A137))</f>
        <v/>
      </c>
      <c r="L137" s="45" t="str">
        <f aca="false">IF(OR($A137="",$C137=""),"",IFERROR(N($F137)/INDEX(INSUMOS!$I$6:$I$205,MATCH($C137,INSUMOS!$A$6:$A$205,0)),N($F137))/$I137*$K137)</f>
        <v/>
      </c>
      <c r="M137" s="8" t="str">
        <f aca="false">IF($A137="","",COUNTIF($A$6:$A137,$A137))</f>
        <v/>
      </c>
      <c r="N137" s="8" t="str">
        <f aca="false">IF($A137="","",$A137&amp;"|"&amp;$M137)</f>
        <v/>
      </c>
    </row>
    <row r="138" customFormat="false" ht="15" hidden="false" customHeight="false" outlineLevel="0" collapsed="false">
      <c r="A138" s="6"/>
      <c r="B138" s="8" t="str">
        <f aca="false">IF($A138="","",IFERROR(INDEX(PRODUCTOS!$B$6:$B$105,MATCH($A138,PRODUCTOS!$A$6:$A$105,0)),"¿Código?"))</f>
        <v/>
      </c>
      <c r="C138" s="6"/>
      <c r="D138" s="8" t="str">
        <f aca="false">IF($C138="","",IFERROR(INDEX(INSUMOS!$B$6:$B$205,MATCH($C138,INSUMOS!$A$6:$A$205,0)),"¿Código?"))</f>
        <v/>
      </c>
      <c r="E138" s="8" t="str">
        <f aca="false">IF($C138="","",IFERROR(INDEX(INSUMOS!$D$6:$D$205,MATCH($C138,INSUMOS!$A$6:$A$205,0)),""))</f>
        <v/>
      </c>
      <c r="F138" s="39"/>
      <c r="G138" s="43" t="str">
        <f aca="false">IF(OR($A138="",$C138=""),"",IFERROR(INDEX(INSUMOS!$P$6:$P$205,MATCH($C138,INSUMOS!$A$6:$A$205,0)),0))</f>
        <v/>
      </c>
      <c r="H138" s="43" t="str">
        <f aca="false">IF(OR($A138="",$C138=""),"",N($F138)*$G138)</f>
        <v/>
      </c>
      <c r="I138" s="34" t="str">
        <f aca="false">IF(OR($A138="",$C138=""),"",IFERROR(MAX(1,INDEX(PRODUCTOS!$G$6:$G$105,MATCH($A138,PRODUCTOS!$A$6:$A$105,0))),1))</f>
        <v/>
      </c>
      <c r="J138" s="43" t="str">
        <f aca="false">IF(OR($A138="",$C138=""),"",$H138/$I138)</f>
        <v/>
      </c>
      <c r="K138" s="34" t="str">
        <f aca="false">IF(OR($A138="",$C138=""),"",SUMIFS(VENTAS!$E$6:$E$2005,VENTAS!$C$6:$C$2005,$A138))</f>
        <v/>
      </c>
      <c r="L138" s="45" t="str">
        <f aca="false">IF(OR($A138="",$C138=""),"",IFERROR(N($F138)/INDEX(INSUMOS!$I$6:$I$205,MATCH($C138,INSUMOS!$A$6:$A$205,0)),N($F138))/$I138*$K138)</f>
        <v/>
      </c>
      <c r="M138" s="8" t="str">
        <f aca="false">IF($A138="","",COUNTIF($A$6:$A138,$A138))</f>
        <v/>
      </c>
      <c r="N138" s="8" t="str">
        <f aca="false">IF($A138="","",$A138&amp;"|"&amp;$M138)</f>
        <v/>
      </c>
    </row>
    <row r="139" customFormat="false" ht="15" hidden="false" customHeight="false" outlineLevel="0" collapsed="false">
      <c r="A139" s="6"/>
      <c r="B139" s="8" t="str">
        <f aca="false">IF($A139="","",IFERROR(INDEX(PRODUCTOS!$B$6:$B$105,MATCH($A139,PRODUCTOS!$A$6:$A$105,0)),"¿Código?"))</f>
        <v/>
      </c>
      <c r="C139" s="6"/>
      <c r="D139" s="8" t="str">
        <f aca="false">IF($C139="","",IFERROR(INDEX(INSUMOS!$B$6:$B$205,MATCH($C139,INSUMOS!$A$6:$A$205,0)),"¿Código?"))</f>
        <v/>
      </c>
      <c r="E139" s="8" t="str">
        <f aca="false">IF($C139="","",IFERROR(INDEX(INSUMOS!$D$6:$D$205,MATCH($C139,INSUMOS!$A$6:$A$205,0)),""))</f>
        <v/>
      </c>
      <c r="F139" s="39"/>
      <c r="G139" s="43" t="str">
        <f aca="false">IF(OR($A139="",$C139=""),"",IFERROR(INDEX(INSUMOS!$P$6:$P$205,MATCH($C139,INSUMOS!$A$6:$A$205,0)),0))</f>
        <v/>
      </c>
      <c r="H139" s="43" t="str">
        <f aca="false">IF(OR($A139="",$C139=""),"",N($F139)*$G139)</f>
        <v/>
      </c>
      <c r="I139" s="34" t="str">
        <f aca="false">IF(OR($A139="",$C139=""),"",IFERROR(MAX(1,INDEX(PRODUCTOS!$G$6:$G$105,MATCH($A139,PRODUCTOS!$A$6:$A$105,0))),1))</f>
        <v/>
      </c>
      <c r="J139" s="43" t="str">
        <f aca="false">IF(OR($A139="",$C139=""),"",$H139/$I139)</f>
        <v/>
      </c>
      <c r="K139" s="34" t="str">
        <f aca="false">IF(OR($A139="",$C139=""),"",SUMIFS(VENTAS!$E$6:$E$2005,VENTAS!$C$6:$C$2005,$A139))</f>
        <v/>
      </c>
      <c r="L139" s="45" t="str">
        <f aca="false">IF(OR($A139="",$C139=""),"",IFERROR(N($F139)/INDEX(INSUMOS!$I$6:$I$205,MATCH($C139,INSUMOS!$A$6:$A$205,0)),N($F139))/$I139*$K139)</f>
        <v/>
      </c>
      <c r="M139" s="8" t="str">
        <f aca="false">IF($A139="","",COUNTIF($A$6:$A139,$A139))</f>
        <v/>
      </c>
      <c r="N139" s="8" t="str">
        <f aca="false">IF($A139="","",$A139&amp;"|"&amp;$M139)</f>
        <v/>
      </c>
    </row>
    <row r="140" customFormat="false" ht="15" hidden="false" customHeight="false" outlineLevel="0" collapsed="false">
      <c r="A140" s="6"/>
      <c r="B140" s="8" t="str">
        <f aca="false">IF($A140="","",IFERROR(INDEX(PRODUCTOS!$B$6:$B$105,MATCH($A140,PRODUCTOS!$A$6:$A$105,0)),"¿Código?"))</f>
        <v/>
      </c>
      <c r="C140" s="6"/>
      <c r="D140" s="8" t="str">
        <f aca="false">IF($C140="","",IFERROR(INDEX(INSUMOS!$B$6:$B$205,MATCH($C140,INSUMOS!$A$6:$A$205,0)),"¿Código?"))</f>
        <v/>
      </c>
      <c r="E140" s="8" t="str">
        <f aca="false">IF($C140="","",IFERROR(INDEX(INSUMOS!$D$6:$D$205,MATCH($C140,INSUMOS!$A$6:$A$205,0)),""))</f>
        <v/>
      </c>
      <c r="F140" s="39"/>
      <c r="G140" s="43" t="str">
        <f aca="false">IF(OR($A140="",$C140=""),"",IFERROR(INDEX(INSUMOS!$P$6:$P$205,MATCH($C140,INSUMOS!$A$6:$A$205,0)),0))</f>
        <v/>
      </c>
      <c r="H140" s="43" t="str">
        <f aca="false">IF(OR($A140="",$C140=""),"",N($F140)*$G140)</f>
        <v/>
      </c>
      <c r="I140" s="34" t="str">
        <f aca="false">IF(OR($A140="",$C140=""),"",IFERROR(MAX(1,INDEX(PRODUCTOS!$G$6:$G$105,MATCH($A140,PRODUCTOS!$A$6:$A$105,0))),1))</f>
        <v/>
      </c>
      <c r="J140" s="43" t="str">
        <f aca="false">IF(OR($A140="",$C140=""),"",$H140/$I140)</f>
        <v/>
      </c>
      <c r="K140" s="34" t="str">
        <f aca="false">IF(OR($A140="",$C140=""),"",SUMIFS(VENTAS!$E$6:$E$2005,VENTAS!$C$6:$C$2005,$A140))</f>
        <v/>
      </c>
      <c r="L140" s="45" t="str">
        <f aca="false">IF(OR($A140="",$C140=""),"",IFERROR(N($F140)/INDEX(INSUMOS!$I$6:$I$205,MATCH($C140,INSUMOS!$A$6:$A$205,0)),N($F140))/$I140*$K140)</f>
        <v/>
      </c>
      <c r="M140" s="8" t="str">
        <f aca="false">IF($A140="","",COUNTIF($A$6:$A140,$A140))</f>
        <v/>
      </c>
      <c r="N140" s="8" t="str">
        <f aca="false">IF($A140="","",$A140&amp;"|"&amp;$M140)</f>
        <v/>
      </c>
    </row>
    <row r="141" customFormat="false" ht="15" hidden="false" customHeight="false" outlineLevel="0" collapsed="false">
      <c r="A141" s="6"/>
      <c r="B141" s="8" t="str">
        <f aca="false">IF($A141="","",IFERROR(INDEX(PRODUCTOS!$B$6:$B$105,MATCH($A141,PRODUCTOS!$A$6:$A$105,0)),"¿Código?"))</f>
        <v/>
      </c>
      <c r="C141" s="6"/>
      <c r="D141" s="8" t="str">
        <f aca="false">IF($C141="","",IFERROR(INDEX(INSUMOS!$B$6:$B$205,MATCH($C141,INSUMOS!$A$6:$A$205,0)),"¿Código?"))</f>
        <v/>
      </c>
      <c r="E141" s="8" t="str">
        <f aca="false">IF($C141="","",IFERROR(INDEX(INSUMOS!$D$6:$D$205,MATCH($C141,INSUMOS!$A$6:$A$205,0)),""))</f>
        <v/>
      </c>
      <c r="F141" s="39"/>
      <c r="G141" s="43" t="str">
        <f aca="false">IF(OR($A141="",$C141=""),"",IFERROR(INDEX(INSUMOS!$P$6:$P$205,MATCH($C141,INSUMOS!$A$6:$A$205,0)),0))</f>
        <v/>
      </c>
      <c r="H141" s="43" t="str">
        <f aca="false">IF(OR($A141="",$C141=""),"",N($F141)*$G141)</f>
        <v/>
      </c>
      <c r="I141" s="34" t="str">
        <f aca="false">IF(OR($A141="",$C141=""),"",IFERROR(MAX(1,INDEX(PRODUCTOS!$G$6:$G$105,MATCH($A141,PRODUCTOS!$A$6:$A$105,0))),1))</f>
        <v/>
      </c>
      <c r="J141" s="43" t="str">
        <f aca="false">IF(OR($A141="",$C141=""),"",$H141/$I141)</f>
        <v/>
      </c>
      <c r="K141" s="34" t="str">
        <f aca="false">IF(OR($A141="",$C141=""),"",SUMIFS(VENTAS!$E$6:$E$2005,VENTAS!$C$6:$C$2005,$A141))</f>
        <v/>
      </c>
      <c r="L141" s="45" t="str">
        <f aca="false">IF(OR($A141="",$C141=""),"",IFERROR(N($F141)/INDEX(INSUMOS!$I$6:$I$205,MATCH($C141,INSUMOS!$A$6:$A$205,0)),N($F141))/$I141*$K141)</f>
        <v/>
      </c>
      <c r="M141" s="8" t="str">
        <f aca="false">IF($A141="","",COUNTIF($A$6:$A141,$A141))</f>
        <v/>
      </c>
      <c r="N141" s="8" t="str">
        <f aca="false">IF($A141="","",$A141&amp;"|"&amp;$M141)</f>
        <v/>
      </c>
    </row>
    <row r="142" customFormat="false" ht="15" hidden="false" customHeight="false" outlineLevel="0" collapsed="false">
      <c r="A142" s="6"/>
      <c r="B142" s="8" t="str">
        <f aca="false">IF($A142="","",IFERROR(INDEX(PRODUCTOS!$B$6:$B$105,MATCH($A142,PRODUCTOS!$A$6:$A$105,0)),"¿Código?"))</f>
        <v/>
      </c>
      <c r="C142" s="6"/>
      <c r="D142" s="8" t="str">
        <f aca="false">IF($C142="","",IFERROR(INDEX(INSUMOS!$B$6:$B$205,MATCH($C142,INSUMOS!$A$6:$A$205,0)),"¿Código?"))</f>
        <v/>
      </c>
      <c r="E142" s="8" t="str">
        <f aca="false">IF($C142="","",IFERROR(INDEX(INSUMOS!$D$6:$D$205,MATCH($C142,INSUMOS!$A$6:$A$205,0)),""))</f>
        <v/>
      </c>
      <c r="F142" s="39"/>
      <c r="G142" s="43" t="str">
        <f aca="false">IF(OR($A142="",$C142=""),"",IFERROR(INDEX(INSUMOS!$P$6:$P$205,MATCH($C142,INSUMOS!$A$6:$A$205,0)),0))</f>
        <v/>
      </c>
      <c r="H142" s="43" t="str">
        <f aca="false">IF(OR($A142="",$C142=""),"",N($F142)*$G142)</f>
        <v/>
      </c>
      <c r="I142" s="34" t="str">
        <f aca="false">IF(OR($A142="",$C142=""),"",IFERROR(MAX(1,INDEX(PRODUCTOS!$G$6:$G$105,MATCH($A142,PRODUCTOS!$A$6:$A$105,0))),1))</f>
        <v/>
      </c>
      <c r="J142" s="43" t="str">
        <f aca="false">IF(OR($A142="",$C142=""),"",$H142/$I142)</f>
        <v/>
      </c>
      <c r="K142" s="34" t="str">
        <f aca="false">IF(OR($A142="",$C142=""),"",SUMIFS(VENTAS!$E$6:$E$2005,VENTAS!$C$6:$C$2005,$A142))</f>
        <v/>
      </c>
      <c r="L142" s="45" t="str">
        <f aca="false">IF(OR($A142="",$C142=""),"",IFERROR(N($F142)/INDEX(INSUMOS!$I$6:$I$205,MATCH($C142,INSUMOS!$A$6:$A$205,0)),N($F142))/$I142*$K142)</f>
        <v/>
      </c>
      <c r="M142" s="8" t="str">
        <f aca="false">IF($A142="","",COUNTIF($A$6:$A142,$A142))</f>
        <v/>
      </c>
      <c r="N142" s="8" t="str">
        <f aca="false">IF($A142="","",$A142&amp;"|"&amp;$M142)</f>
        <v/>
      </c>
    </row>
    <row r="143" customFormat="false" ht="15" hidden="false" customHeight="false" outlineLevel="0" collapsed="false">
      <c r="A143" s="6"/>
      <c r="B143" s="8" t="str">
        <f aca="false">IF($A143="","",IFERROR(INDEX(PRODUCTOS!$B$6:$B$105,MATCH($A143,PRODUCTOS!$A$6:$A$105,0)),"¿Código?"))</f>
        <v/>
      </c>
      <c r="C143" s="6"/>
      <c r="D143" s="8" t="str">
        <f aca="false">IF($C143="","",IFERROR(INDEX(INSUMOS!$B$6:$B$205,MATCH($C143,INSUMOS!$A$6:$A$205,0)),"¿Código?"))</f>
        <v/>
      </c>
      <c r="E143" s="8" t="str">
        <f aca="false">IF($C143="","",IFERROR(INDEX(INSUMOS!$D$6:$D$205,MATCH($C143,INSUMOS!$A$6:$A$205,0)),""))</f>
        <v/>
      </c>
      <c r="F143" s="39"/>
      <c r="G143" s="43" t="str">
        <f aca="false">IF(OR($A143="",$C143=""),"",IFERROR(INDEX(INSUMOS!$P$6:$P$205,MATCH($C143,INSUMOS!$A$6:$A$205,0)),0))</f>
        <v/>
      </c>
      <c r="H143" s="43" t="str">
        <f aca="false">IF(OR($A143="",$C143=""),"",N($F143)*$G143)</f>
        <v/>
      </c>
      <c r="I143" s="34" t="str">
        <f aca="false">IF(OR($A143="",$C143=""),"",IFERROR(MAX(1,INDEX(PRODUCTOS!$G$6:$G$105,MATCH($A143,PRODUCTOS!$A$6:$A$105,0))),1))</f>
        <v/>
      </c>
      <c r="J143" s="43" t="str">
        <f aca="false">IF(OR($A143="",$C143=""),"",$H143/$I143)</f>
        <v/>
      </c>
      <c r="K143" s="34" t="str">
        <f aca="false">IF(OR($A143="",$C143=""),"",SUMIFS(VENTAS!$E$6:$E$2005,VENTAS!$C$6:$C$2005,$A143))</f>
        <v/>
      </c>
      <c r="L143" s="45" t="str">
        <f aca="false">IF(OR($A143="",$C143=""),"",IFERROR(N($F143)/INDEX(INSUMOS!$I$6:$I$205,MATCH($C143,INSUMOS!$A$6:$A$205,0)),N($F143))/$I143*$K143)</f>
        <v/>
      </c>
      <c r="M143" s="8" t="str">
        <f aca="false">IF($A143="","",COUNTIF($A$6:$A143,$A143))</f>
        <v/>
      </c>
      <c r="N143" s="8" t="str">
        <f aca="false">IF($A143="","",$A143&amp;"|"&amp;$M143)</f>
        <v/>
      </c>
    </row>
    <row r="144" customFormat="false" ht="15" hidden="false" customHeight="false" outlineLevel="0" collapsed="false">
      <c r="A144" s="6"/>
      <c r="B144" s="8" t="str">
        <f aca="false">IF($A144="","",IFERROR(INDEX(PRODUCTOS!$B$6:$B$105,MATCH($A144,PRODUCTOS!$A$6:$A$105,0)),"¿Código?"))</f>
        <v/>
      </c>
      <c r="C144" s="6"/>
      <c r="D144" s="8" t="str">
        <f aca="false">IF($C144="","",IFERROR(INDEX(INSUMOS!$B$6:$B$205,MATCH($C144,INSUMOS!$A$6:$A$205,0)),"¿Código?"))</f>
        <v/>
      </c>
      <c r="E144" s="8" t="str">
        <f aca="false">IF($C144="","",IFERROR(INDEX(INSUMOS!$D$6:$D$205,MATCH($C144,INSUMOS!$A$6:$A$205,0)),""))</f>
        <v/>
      </c>
      <c r="F144" s="39"/>
      <c r="G144" s="43" t="str">
        <f aca="false">IF(OR($A144="",$C144=""),"",IFERROR(INDEX(INSUMOS!$P$6:$P$205,MATCH($C144,INSUMOS!$A$6:$A$205,0)),0))</f>
        <v/>
      </c>
      <c r="H144" s="43" t="str">
        <f aca="false">IF(OR($A144="",$C144=""),"",N($F144)*$G144)</f>
        <v/>
      </c>
      <c r="I144" s="34" t="str">
        <f aca="false">IF(OR($A144="",$C144=""),"",IFERROR(MAX(1,INDEX(PRODUCTOS!$G$6:$G$105,MATCH($A144,PRODUCTOS!$A$6:$A$105,0))),1))</f>
        <v/>
      </c>
      <c r="J144" s="43" t="str">
        <f aca="false">IF(OR($A144="",$C144=""),"",$H144/$I144)</f>
        <v/>
      </c>
      <c r="K144" s="34" t="str">
        <f aca="false">IF(OR($A144="",$C144=""),"",SUMIFS(VENTAS!$E$6:$E$2005,VENTAS!$C$6:$C$2005,$A144))</f>
        <v/>
      </c>
      <c r="L144" s="45" t="str">
        <f aca="false">IF(OR($A144="",$C144=""),"",IFERROR(N($F144)/INDEX(INSUMOS!$I$6:$I$205,MATCH($C144,INSUMOS!$A$6:$A$205,0)),N($F144))/$I144*$K144)</f>
        <v/>
      </c>
      <c r="M144" s="8" t="str">
        <f aca="false">IF($A144="","",COUNTIF($A$6:$A144,$A144))</f>
        <v/>
      </c>
      <c r="N144" s="8" t="str">
        <f aca="false">IF($A144="","",$A144&amp;"|"&amp;$M144)</f>
        <v/>
      </c>
    </row>
    <row r="145" customFormat="false" ht="15" hidden="false" customHeight="false" outlineLevel="0" collapsed="false">
      <c r="A145" s="6"/>
      <c r="B145" s="8" t="str">
        <f aca="false">IF($A145="","",IFERROR(INDEX(PRODUCTOS!$B$6:$B$105,MATCH($A145,PRODUCTOS!$A$6:$A$105,0)),"¿Código?"))</f>
        <v/>
      </c>
      <c r="C145" s="6"/>
      <c r="D145" s="8" t="str">
        <f aca="false">IF($C145="","",IFERROR(INDEX(INSUMOS!$B$6:$B$205,MATCH($C145,INSUMOS!$A$6:$A$205,0)),"¿Código?"))</f>
        <v/>
      </c>
      <c r="E145" s="8" t="str">
        <f aca="false">IF($C145="","",IFERROR(INDEX(INSUMOS!$D$6:$D$205,MATCH($C145,INSUMOS!$A$6:$A$205,0)),""))</f>
        <v/>
      </c>
      <c r="F145" s="39"/>
      <c r="G145" s="43" t="str">
        <f aca="false">IF(OR($A145="",$C145=""),"",IFERROR(INDEX(INSUMOS!$P$6:$P$205,MATCH($C145,INSUMOS!$A$6:$A$205,0)),0))</f>
        <v/>
      </c>
      <c r="H145" s="43" t="str">
        <f aca="false">IF(OR($A145="",$C145=""),"",N($F145)*$G145)</f>
        <v/>
      </c>
      <c r="I145" s="34" t="str">
        <f aca="false">IF(OR($A145="",$C145=""),"",IFERROR(MAX(1,INDEX(PRODUCTOS!$G$6:$G$105,MATCH($A145,PRODUCTOS!$A$6:$A$105,0))),1))</f>
        <v/>
      </c>
      <c r="J145" s="43" t="str">
        <f aca="false">IF(OR($A145="",$C145=""),"",$H145/$I145)</f>
        <v/>
      </c>
      <c r="K145" s="34" t="str">
        <f aca="false">IF(OR($A145="",$C145=""),"",SUMIFS(VENTAS!$E$6:$E$2005,VENTAS!$C$6:$C$2005,$A145))</f>
        <v/>
      </c>
      <c r="L145" s="45" t="str">
        <f aca="false">IF(OR($A145="",$C145=""),"",IFERROR(N($F145)/INDEX(INSUMOS!$I$6:$I$205,MATCH($C145,INSUMOS!$A$6:$A$205,0)),N($F145))/$I145*$K145)</f>
        <v/>
      </c>
      <c r="M145" s="8" t="str">
        <f aca="false">IF($A145="","",COUNTIF($A$6:$A145,$A145))</f>
        <v/>
      </c>
      <c r="N145" s="8" t="str">
        <f aca="false">IF($A145="","",$A145&amp;"|"&amp;$M145)</f>
        <v/>
      </c>
    </row>
    <row r="146" customFormat="false" ht="15" hidden="false" customHeight="false" outlineLevel="0" collapsed="false">
      <c r="A146" s="6"/>
      <c r="B146" s="8" t="str">
        <f aca="false">IF($A146="","",IFERROR(INDEX(PRODUCTOS!$B$6:$B$105,MATCH($A146,PRODUCTOS!$A$6:$A$105,0)),"¿Código?"))</f>
        <v/>
      </c>
      <c r="C146" s="6"/>
      <c r="D146" s="8" t="str">
        <f aca="false">IF($C146="","",IFERROR(INDEX(INSUMOS!$B$6:$B$205,MATCH($C146,INSUMOS!$A$6:$A$205,0)),"¿Código?"))</f>
        <v/>
      </c>
      <c r="E146" s="8" t="str">
        <f aca="false">IF($C146="","",IFERROR(INDEX(INSUMOS!$D$6:$D$205,MATCH($C146,INSUMOS!$A$6:$A$205,0)),""))</f>
        <v/>
      </c>
      <c r="F146" s="39"/>
      <c r="G146" s="43" t="str">
        <f aca="false">IF(OR($A146="",$C146=""),"",IFERROR(INDEX(INSUMOS!$P$6:$P$205,MATCH($C146,INSUMOS!$A$6:$A$205,0)),0))</f>
        <v/>
      </c>
      <c r="H146" s="43" t="str">
        <f aca="false">IF(OR($A146="",$C146=""),"",N($F146)*$G146)</f>
        <v/>
      </c>
      <c r="I146" s="34" t="str">
        <f aca="false">IF(OR($A146="",$C146=""),"",IFERROR(MAX(1,INDEX(PRODUCTOS!$G$6:$G$105,MATCH($A146,PRODUCTOS!$A$6:$A$105,0))),1))</f>
        <v/>
      </c>
      <c r="J146" s="43" t="str">
        <f aca="false">IF(OR($A146="",$C146=""),"",$H146/$I146)</f>
        <v/>
      </c>
      <c r="K146" s="34" t="str">
        <f aca="false">IF(OR($A146="",$C146=""),"",SUMIFS(VENTAS!$E$6:$E$2005,VENTAS!$C$6:$C$2005,$A146))</f>
        <v/>
      </c>
      <c r="L146" s="45" t="str">
        <f aca="false">IF(OR($A146="",$C146=""),"",IFERROR(N($F146)/INDEX(INSUMOS!$I$6:$I$205,MATCH($C146,INSUMOS!$A$6:$A$205,0)),N($F146))/$I146*$K146)</f>
        <v/>
      </c>
      <c r="M146" s="8" t="str">
        <f aca="false">IF($A146="","",COUNTIF($A$6:$A146,$A146))</f>
        <v/>
      </c>
      <c r="N146" s="8" t="str">
        <f aca="false">IF($A146="","",$A146&amp;"|"&amp;$M146)</f>
        <v/>
      </c>
    </row>
    <row r="147" customFormat="false" ht="15" hidden="false" customHeight="false" outlineLevel="0" collapsed="false">
      <c r="A147" s="6"/>
      <c r="B147" s="8" t="str">
        <f aca="false">IF($A147="","",IFERROR(INDEX(PRODUCTOS!$B$6:$B$105,MATCH($A147,PRODUCTOS!$A$6:$A$105,0)),"¿Código?"))</f>
        <v/>
      </c>
      <c r="C147" s="6"/>
      <c r="D147" s="8" t="str">
        <f aca="false">IF($C147="","",IFERROR(INDEX(INSUMOS!$B$6:$B$205,MATCH($C147,INSUMOS!$A$6:$A$205,0)),"¿Código?"))</f>
        <v/>
      </c>
      <c r="E147" s="8" t="str">
        <f aca="false">IF($C147="","",IFERROR(INDEX(INSUMOS!$D$6:$D$205,MATCH($C147,INSUMOS!$A$6:$A$205,0)),""))</f>
        <v/>
      </c>
      <c r="F147" s="39"/>
      <c r="G147" s="43" t="str">
        <f aca="false">IF(OR($A147="",$C147=""),"",IFERROR(INDEX(INSUMOS!$P$6:$P$205,MATCH($C147,INSUMOS!$A$6:$A$205,0)),0))</f>
        <v/>
      </c>
      <c r="H147" s="43" t="str">
        <f aca="false">IF(OR($A147="",$C147=""),"",N($F147)*$G147)</f>
        <v/>
      </c>
      <c r="I147" s="34" t="str">
        <f aca="false">IF(OR($A147="",$C147=""),"",IFERROR(MAX(1,INDEX(PRODUCTOS!$G$6:$G$105,MATCH($A147,PRODUCTOS!$A$6:$A$105,0))),1))</f>
        <v/>
      </c>
      <c r="J147" s="43" t="str">
        <f aca="false">IF(OR($A147="",$C147=""),"",$H147/$I147)</f>
        <v/>
      </c>
      <c r="K147" s="34" t="str">
        <f aca="false">IF(OR($A147="",$C147=""),"",SUMIFS(VENTAS!$E$6:$E$2005,VENTAS!$C$6:$C$2005,$A147))</f>
        <v/>
      </c>
      <c r="L147" s="45" t="str">
        <f aca="false">IF(OR($A147="",$C147=""),"",IFERROR(N($F147)/INDEX(INSUMOS!$I$6:$I$205,MATCH($C147,INSUMOS!$A$6:$A$205,0)),N($F147))/$I147*$K147)</f>
        <v/>
      </c>
      <c r="M147" s="8" t="str">
        <f aca="false">IF($A147="","",COUNTIF($A$6:$A147,$A147))</f>
        <v/>
      </c>
      <c r="N147" s="8" t="str">
        <f aca="false">IF($A147="","",$A147&amp;"|"&amp;$M147)</f>
        <v/>
      </c>
    </row>
    <row r="148" customFormat="false" ht="15" hidden="false" customHeight="false" outlineLevel="0" collapsed="false">
      <c r="A148" s="6"/>
      <c r="B148" s="8" t="str">
        <f aca="false">IF($A148="","",IFERROR(INDEX(PRODUCTOS!$B$6:$B$105,MATCH($A148,PRODUCTOS!$A$6:$A$105,0)),"¿Código?"))</f>
        <v/>
      </c>
      <c r="C148" s="6"/>
      <c r="D148" s="8" t="str">
        <f aca="false">IF($C148="","",IFERROR(INDEX(INSUMOS!$B$6:$B$205,MATCH($C148,INSUMOS!$A$6:$A$205,0)),"¿Código?"))</f>
        <v/>
      </c>
      <c r="E148" s="8" t="str">
        <f aca="false">IF($C148="","",IFERROR(INDEX(INSUMOS!$D$6:$D$205,MATCH($C148,INSUMOS!$A$6:$A$205,0)),""))</f>
        <v/>
      </c>
      <c r="F148" s="39"/>
      <c r="G148" s="43" t="str">
        <f aca="false">IF(OR($A148="",$C148=""),"",IFERROR(INDEX(INSUMOS!$P$6:$P$205,MATCH($C148,INSUMOS!$A$6:$A$205,0)),0))</f>
        <v/>
      </c>
      <c r="H148" s="43" t="str">
        <f aca="false">IF(OR($A148="",$C148=""),"",N($F148)*$G148)</f>
        <v/>
      </c>
      <c r="I148" s="34" t="str">
        <f aca="false">IF(OR($A148="",$C148=""),"",IFERROR(MAX(1,INDEX(PRODUCTOS!$G$6:$G$105,MATCH($A148,PRODUCTOS!$A$6:$A$105,0))),1))</f>
        <v/>
      </c>
      <c r="J148" s="43" t="str">
        <f aca="false">IF(OR($A148="",$C148=""),"",$H148/$I148)</f>
        <v/>
      </c>
      <c r="K148" s="34" t="str">
        <f aca="false">IF(OR($A148="",$C148=""),"",SUMIFS(VENTAS!$E$6:$E$2005,VENTAS!$C$6:$C$2005,$A148))</f>
        <v/>
      </c>
      <c r="L148" s="45" t="str">
        <f aca="false">IF(OR($A148="",$C148=""),"",IFERROR(N($F148)/INDEX(INSUMOS!$I$6:$I$205,MATCH($C148,INSUMOS!$A$6:$A$205,0)),N($F148))/$I148*$K148)</f>
        <v/>
      </c>
      <c r="M148" s="8" t="str">
        <f aca="false">IF($A148="","",COUNTIF($A$6:$A148,$A148))</f>
        <v/>
      </c>
      <c r="N148" s="8" t="str">
        <f aca="false">IF($A148="","",$A148&amp;"|"&amp;$M148)</f>
        <v/>
      </c>
    </row>
    <row r="149" customFormat="false" ht="15" hidden="false" customHeight="false" outlineLevel="0" collapsed="false">
      <c r="A149" s="6"/>
      <c r="B149" s="8" t="str">
        <f aca="false">IF($A149="","",IFERROR(INDEX(PRODUCTOS!$B$6:$B$105,MATCH($A149,PRODUCTOS!$A$6:$A$105,0)),"¿Código?"))</f>
        <v/>
      </c>
      <c r="C149" s="6"/>
      <c r="D149" s="8" t="str">
        <f aca="false">IF($C149="","",IFERROR(INDEX(INSUMOS!$B$6:$B$205,MATCH($C149,INSUMOS!$A$6:$A$205,0)),"¿Código?"))</f>
        <v/>
      </c>
      <c r="E149" s="8" t="str">
        <f aca="false">IF($C149="","",IFERROR(INDEX(INSUMOS!$D$6:$D$205,MATCH($C149,INSUMOS!$A$6:$A$205,0)),""))</f>
        <v/>
      </c>
      <c r="F149" s="39"/>
      <c r="G149" s="43" t="str">
        <f aca="false">IF(OR($A149="",$C149=""),"",IFERROR(INDEX(INSUMOS!$P$6:$P$205,MATCH($C149,INSUMOS!$A$6:$A$205,0)),0))</f>
        <v/>
      </c>
      <c r="H149" s="43" t="str">
        <f aca="false">IF(OR($A149="",$C149=""),"",N($F149)*$G149)</f>
        <v/>
      </c>
      <c r="I149" s="34" t="str">
        <f aca="false">IF(OR($A149="",$C149=""),"",IFERROR(MAX(1,INDEX(PRODUCTOS!$G$6:$G$105,MATCH($A149,PRODUCTOS!$A$6:$A$105,0))),1))</f>
        <v/>
      </c>
      <c r="J149" s="43" t="str">
        <f aca="false">IF(OR($A149="",$C149=""),"",$H149/$I149)</f>
        <v/>
      </c>
      <c r="K149" s="34" t="str">
        <f aca="false">IF(OR($A149="",$C149=""),"",SUMIFS(VENTAS!$E$6:$E$2005,VENTAS!$C$6:$C$2005,$A149))</f>
        <v/>
      </c>
      <c r="L149" s="45" t="str">
        <f aca="false">IF(OR($A149="",$C149=""),"",IFERROR(N($F149)/INDEX(INSUMOS!$I$6:$I$205,MATCH($C149,INSUMOS!$A$6:$A$205,0)),N($F149))/$I149*$K149)</f>
        <v/>
      </c>
      <c r="M149" s="8" t="str">
        <f aca="false">IF($A149="","",COUNTIF($A$6:$A149,$A149))</f>
        <v/>
      </c>
      <c r="N149" s="8" t="str">
        <f aca="false">IF($A149="","",$A149&amp;"|"&amp;$M149)</f>
        <v/>
      </c>
    </row>
    <row r="150" customFormat="false" ht="15" hidden="false" customHeight="false" outlineLevel="0" collapsed="false">
      <c r="A150" s="6"/>
      <c r="B150" s="8" t="str">
        <f aca="false">IF($A150="","",IFERROR(INDEX(PRODUCTOS!$B$6:$B$105,MATCH($A150,PRODUCTOS!$A$6:$A$105,0)),"¿Código?"))</f>
        <v/>
      </c>
      <c r="C150" s="6"/>
      <c r="D150" s="8" t="str">
        <f aca="false">IF($C150="","",IFERROR(INDEX(INSUMOS!$B$6:$B$205,MATCH($C150,INSUMOS!$A$6:$A$205,0)),"¿Código?"))</f>
        <v/>
      </c>
      <c r="E150" s="8" t="str">
        <f aca="false">IF($C150="","",IFERROR(INDEX(INSUMOS!$D$6:$D$205,MATCH($C150,INSUMOS!$A$6:$A$205,0)),""))</f>
        <v/>
      </c>
      <c r="F150" s="39"/>
      <c r="G150" s="43" t="str">
        <f aca="false">IF(OR($A150="",$C150=""),"",IFERROR(INDEX(INSUMOS!$P$6:$P$205,MATCH($C150,INSUMOS!$A$6:$A$205,0)),0))</f>
        <v/>
      </c>
      <c r="H150" s="43" t="str">
        <f aca="false">IF(OR($A150="",$C150=""),"",N($F150)*$G150)</f>
        <v/>
      </c>
      <c r="I150" s="34" t="str">
        <f aca="false">IF(OR($A150="",$C150=""),"",IFERROR(MAX(1,INDEX(PRODUCTOS!$G$6:$G$105,MATCH($A150,PRODUCTOS!$A$6:$A$105,0))),1))</f>
        <v/>
      </c>
      <c r="J150" s="43" t="str">
        <f aca="false">IF(OR($A150="",$C150=""),"",$H150/$I150)</f>
        <v/>
      </c>
      <c r="K150" s="34" t="str">
        <f aca="false">IF(OR($A150="",$C150=""),"",SUMIFS(VENTAS!$E$6:$E$2005,VENTAS!$C$6:$C$2005,$A150))</f>
        <v/>
      </c>
      <c r="L150" s="45" t="str">
        <f aca="false">IF(OR($A150="",$C150=""),"",IFERROR(N($F150)/INDEX(INSUMOS!$I$6:$I$205,MATCH($C150,INSUMOS!$A$6:$A$205,0)),N($F150))/$I150*$K150)</f>
        <v/>
      </c>
      <c r="M150" s="8" t="str">
        <f aca="false">IF($A150="","",COUNTIF($A$6:$A150,$A150))</f>
        <v/>
      </c>
      <c r="N150" s="8" t="str">
        <f aca="false">IF($A150="","",$A150&amp;"|"&amp;$M150)</f>
        <v/>
      </c>
    </row>
    <row r="151" customFormat="false" ht="15" hidden="false" customHeight="false" outlineLevel="0" collapsed="false">
      <c r="A151" s="6"/>
      <c r="B151" s="8" t="str">
        <f aca="false">IF($A151="","",IFERROR(INDEX(PRODUCTOS!$B$6:$B$105,MATCH($A151,PRODUCTOS!$A$6:$A$105,0)),"¿Código?"))</f>
        <v/>
      </c>
      <c r="C151" s="6"/>
      <c r="D151" s="8" t="str">
        <f aca="false">IF($C151="","",IFERROR(INDEX(INSUMOS!$B$6:$B$205,MATCH($C151,INSUMOS!$A$6:$A$205,0)),"¿Código?"))</f>
        <v/>
      </c>
      <c r="E151" s="8" t="str">
        <f aca="false">IF($C151="","",IFERROR(INDEX(INSUMOS!$D$6:$D$205,MATCH($C151,INSUMOS!$A$6:$A$205,0)),""))</f>
        <v/>
      </c>
      <c r="F151" s="39"/>
      <c r="G151" s="43" t="str">
        <f aca="false">IF(OR($A151="",$C151=""),"",IFERROR(INDEX(INSUMOS!$P$6:$P$205,MATCH($C151,INSUMOS!$A$6:$A$205,0)),0))</f>
        <v/>
      </c>
      <c r="H151" s="43" t="str">
        <f aca="false">IF(OR($A151="",$C151=""),"",N($F151)*$G151)</f>
        <v/>
      </c>
      <c r="I151" s="34" t="str">
        <f aca="false">IF(OR($A151="",$C151=""),"",IFERROR(MAX(1,INDEX(PRODUCTOS!$G$6:$G$105,MATCH($A151,PRODUCTOS!$A$6:$A$105,0))),1))</f>
        <v/>
      </c>
      <c r="J151" s="43" t="str">
        <f aca="false">IF(OR($A151="",$C151=""),"",$H151/$I151)</f>
        <v/>
      </c>
      <c r="K151" s="34" t="str">
        <f aca="false">IF(OR($A151="",$C151=""),"",SUMIFS(VENTAS!$E$6:$E$2005,VENTAS!$C$6:$C$2005,$A151))</f>
        <v/>
      </c>
      <c r="L151" s="45" t="str">
        <f aca="false">IF(OR($A151="",$C151=""),"",IFERROR(N($F151)/INDEX(INSUMOS!$I$6:$I$205,MATCH($C151,INSUMOS!$A$6:$A$205,0)),N($F151))/$I151*$K151)</f>
        <v/>
      </c>
      <c r="M151" s="8" t="str">
        <f aca="false">IF($A151="","",COUNTIF($A$6:$A151,$A151))</f>
        <v/>
      </c>
      <c r="N151" s="8" t="str">
        <f aca="false">IF($A151="","",$A151&amp;"|"&amp;$M151)</f>
        <v/>
      </c>
    </row>
    <row r="152" customFormat="false" ht="15" hidden="false" customHeight="false" outlineLevel="0" collapsed="false">
      <c r="A152" s="6"/>
      <c r="B152" s="8" t="str">
        <f aca="false">IF($A152="","",IFERROR(INDEX(PRODUCTOS!$B$6:$B$105,MATCH($A152,PRODUCTOS!$A$6:$A$105,0)),"¿Código?"))</f>
        <v/>
      </c>
      <c r="C152" s="6"/>
      <c r="D152" s="8" t="str">
        <f aca="false">IF($C152="","",IFERROR(INDEX(INSUMOS!$B$6:$B$205,MATCH($C152,INSUMOS!$A$6:$A$205,0)),"¿Código?"))</f>
        <v/>
      </c>
      <c r="E152" s="8" t="str">
        <f aca="false">IF($C152="","",IFERROR(INDEX(INSUMOS!$D$6:$D$205,MATCH($C152,INSUMOS!$A$6:$A$205,0)),""))</f>
        <v/>
      </c>
      <c r="F152" s="39"/>
      <c r="G152" s="43" t="str">
        <f aca="false">IF(OR($A152="",$C152=""),"",IFERROR(INDEX(INSUMOS!$P$6:$P$205,MATCH($C152,INSUMOS!$A$6:$A$205,0)),0))</f>
        <v/>
      </c>
      <c r="H152" s="43" t="str">
        <f aca="false">IF(OR($A152="",$C152=""),"",N($F152)*$G152)</f>
        <v/>
      </c>
      <c r="I152" s="34" t="str">
        <f aca="false">IF(OR($A152="",$C152=""),"",IFERROR(MAX(1,INDEX(PRODUCTOS!$G$6:$G$105,MATCH($A152,PRODUCTOS!$A$6:$A$105,0))),1))</f>
        <v/>
      </c>
      <c r="J152" s="43" t="str">
        <f aca="false">IF(OR($A152="",$C152=""),"",$H152/$I152)</f>
        <v/>
      </c>
      <c r="K152" s="34" t="str">
        <f aca="false">IF(OR($A152="",$C152=""),"",SUMIFS(VENTAS!$E$6:$E$2005,VENTAS!$C$6:$C$2005,$A152))</f>
        <v/>
      </c>
      <c r="L152" s="45" t="str">
        <f aca="false">IF(OR($A152="",$C152=""),"",IFERROR(N($F152)/INDEX(INSUMOS!$I$6:$I$205,MATCH($C152,INSUMOS!$A$6:$A$205,0)),N($F152))/$I152*$K152)</f>
        <v/>
      </c>
      <c r="M152" s="8" t="str">
        <f aca="false">IF($A152="","",COUNTIF($A$6:$A152,$A152))</f>
        <v/>
      </c>
      <c r="N152" s="8" t="str">
        <f aca="false">IF($A152="","",$A152&amp;"|"&amp;$M152)</f>
        <v/>
      </c>
    </row>
    <row r="153" customFormat="false" ht="15" hidden="false" customHeight="false" outlineLevel="0" collapsed="false">
      <c r="A153" s="6"/>
      <c r="B153" s="8" t="str">
        <f aca="false">IF($A153="","",IFERROR(INDEX(PRODUCTOS!$B$6:$B$105,MATCH($A153,PRODUCTOS!$A$6:$A$105,0)),"¿Código?"))</f>
        <v/>
      </c>
      <c r="C153" s="6"/>
      <c r="D153" s="8" t="str">
        <f aca="false">IF($C153="","",IFERROR(INDEX(INSUMOS!$B$6:$B$205,MATCH($C153,INSUMOS!$A$6:$A$205,0)),"¿Código?"))</f>
        <v/>
      </c>
      <c r="E153" s="8" t="str">
        <f aca="false">IF($C153="","",IFERROR(INDEX(INSUMOS!$D$6:$D$205,MATCH($C153,INSUMOS!$A$6:$A$205,0)),""))</f>
        <v/>
      </c>
      <c r="F153" s="39"/>
      <c r="G153" s="43" t="str">
        <f aca="false">IF(OR($A153="",$C153=""),"",IFERROR(INDEX(INSUMOS!$P$6:$P$205,MATCH($C153,INSUMOS!$A$6:$A$205,0)),0))</f>
        <v/>
      </c>
      <c r="H153" s="43" t="str">
        <f aca="false">IF(OR($A153="",$C153=""),"",N($F153)*$G153)</f>
        <v/>
      </c>
      <c r="I153" s="34" t="str">
        <f aca="false">IF(OR($A153="",$C153=""),"",IFERROR(MAX(1,INDEX(PRODUCTOS!$G$6:$G$105,MATCH($A153,PRODUCTOS!$A$6:$A$105,0))),1))</f>
        <v/>
      </c>
      <c r="J153" s="43" t="str">
        <f aca="false">IF(OR($A153="",$C153=""),"",$H153/$I153)</f>
        <v/>
      </c>
      <c r="K153" s="34" t="str">
        <f aca="false">IF(OR($A153="",$C153=""),"",SUMIFS(VENTAS!$E$6:$E$2005,VENTAS!$C$6:$C$2005,$A153))</f>
        <v/>
      </c>
      <c r="L153" s="45" t="str">
        <f aca="false">IF(OR($A153="",$C153=""),"",IFERROR(N($F153)/INDEX(INSUMOS!$I$6:$I$205,MATCH($C153,INSUMOS!$A$6:$A$205,0)),N($F153))/$I153*$K153)</f>
        <v/>
      </c>
      <c r="M153" s="8" t="str">
        <f aca="false">IF($A153="","",COUNTIF($A$6:$A153,$A153))</f>
        <v/>
      </c>
      <c r="N153" s="8" t="str">
        <f aca="false">IF($A153="","",$A153&amp;"|"&amp;$M153)</f>
        <v/>
      </c>
    </row>
    <row r="154" customFormat="false" ht="15" hidden="false" customHeight="false" outlineLevel="0" collapsed="false">
      <c r="A154" s="6"/>
      <c r="B154" s="8" t="str">
        <f aca="false">IF($A154="","",IFERROR(INDEX(PRODUCTOS!$B$6:$B$105,MATCH($A154,PRODUCTOS!$A$6:$A$105,0)),"¿Código?"))</f>
        <v/>
      </c>
      <c r="C154" s="6"/>
      <c r="D154" s="8" t="str">
        <f aca="false">IF($C154="","",IFERROR(INDEX(INSUMOS!$B$6:$B$205,MATCH($C154,INSUMOS!$A$6:$A$205,0)),"¿Código?"))</f>
        <v/>
      </c>
      <c r="E154" s="8" t="str">
        <f aca="false">IF($C154="","",IFERROR(INDEX(INSUMOS!$D$6:$D$205,MATCH($C154,INSUMOS!$A$6:$A$205,0)),""))</f>
        <v/>
      </c>
      <c r="F154" s="39"/>
      <c r="G154" s="43" t="str">
        <f aca="false">IF(OR($A154="",$C154=""),"",IFERROR(INDEX(INSUMOS!$P$6:$P$205,MATCH($C154,INSUMOS!$A$6:$A$205,0)),0))</f>
        <v/>
      </c>
      <c r="H154" s="43" t="str">
        <f aca="false">IF(OR($A154="",$C154=""),"",N($F154)*$G154)</f>
        <v/>
      </c>
      <c r="I154" s="34" t="str">
        <f aca="false">IF(OR($A154="",$C154=""),"",IFERROR(MAX(1,INDEX(PRODUCTOS!$G$6:$G$105,MATCH($A154,PRODUCTOS!$A$6:$A$105,0))),1))</f>
        <v/>
      </c>
      <c r="J154" s="43" t="str">
        <f aca="false">IF(OR($A154="",$C154=""),"",$H154/$I154)</f>
        <v/>
      </c>
      <c r="K154" s="34" t="str">
        <f aca="false">IF(OR($A154="",$C154=""),"",SUMIFS(VENTAS!$E$6:$E$2005,VENTAS!$C$6:$C$2005,$A154))</f>
        <v/>
      </c>
      <c r="L154" s="45" t="str">
        <f aca="false">IF(OR($A154="",$C154=""),"",IFERROR(N($F154)/INDEX(INSUMOS!$I$6:$I$205,MATCH($C154,INSUMOS!$A$6:$A$205,0)),N($F154))/$I154*$K154)</f>
        <v/>
      </c>
      <c r="M154" s="8" t="str">
        <f aca="false">IF($A154="","",COUNTIF($A$6:$A154,$A154))</f>
        <v/>
      </c>
      <c r="N154" s="8" t="str">
        <f aca="false">IF($A154="","",$A154&amp;"|"&amp;$M154)</f>
        <v/>
      </c>
    </row>
    <row r="155" customFormat="false" ht="15" hidden="false" customHeight="false" outlineLevel="0" collapsed="false">
      <c r="A155" s="6"/>
      <c r="B155" s="8" t="str">
        <f aca="false">IF($A155="","",IFERROR(INDEX(PRODUCTOS!$B$6:$B$105,MATCH($A155,PRODUCTOS!$A$6:$A$105,0)),"¿Código?"))</f>
        <v/>
      </c>
      <c r="C155" s="6"/>
      <c r="D155" s="8" t="str">
        <f aca="false">IF($C155="","",IFERROR(INDEX(INSUMOS!$B$6:$B$205,MATCH($C155,INSUMOS!$A$6:$A$205,0)),"¿Código?"))</f>
        <v/>
      </c>
      <c r="E155" s="8" t="str">
        <f aca="false">IF($C155="","",IFERROR(INDEX(INSUMOS!$D$6:$D$205,MATCH($C155,INSUMOS!$A$6:$A$205,0)),""))</f>
        <v/>
      </c>
      <c r="F155" s="39"/>
      <c r="G155" s="43" t="str">
        <f aca="false">IF(OR($A155="",$C155=""),"",IFERROR(INDEX(INSUMOS!$P$6:$P$205,MATCH($C155,INSUMOS!$A$6:$A$205,0)),0))</f>
        <v/>
      </c>
      <c r="H155" s="43" t="str">
        <f aca="false">IF(OR($A155="",$C155=""),"",N($F155)*$G155)</f>
        <v/>
      </c>
      <c r="I155" s="34" t="str">
        <f aca="false">IF(OR($A155="",$C155=""),"",IFERROR(MAX(1,INDEX(PRODUCTOS!$G$6:$G$105,MATCH($A155,PRODUCTOS!$A$6:$A$105,0))),1))</f>
        <v/>
      </c>
      <c r="J155" s="43" t="str">
        <f aca="false">IF(OR($A155="",$C155=""),"",$H155/$I155)</f>
        <v/>
      </c>
      <c r="K155" s="34" t="str">
        <f aca="false">IF(OR($A155="",$C155=""),"",SUMIFS(VENTAS!$E$6:$E$2005,VENTAS!$C$6:$C$2005,$A155))</f>
        <v/>
      </c>
      <c r="L155" s="45" t="str">
        <f aca="false">IF(OR($A155="",$C155=""),"",IFERROR(N($F155)/INDEX(INSUMOS!$I$6:$I$205,MATCH($C155,INSUMOS!$A$6:$A$205,0)),N($F155))/$I155*$K155)</f>
        <v/>
      </c>
      <c r="M155" s="8" t="str">
        <f aca="false">IF($A155="","",COUNTIF($A$6:$A155,$A155))</f>
        <v/>
      </c>
      <c r="N155" s="8" t="str">
        <f aca="false">IF($A155="","",$A155&amp;"|"&amp;$M155)</f>
        <v/>
      </c>
    </row>
    <row r="156" customFormat="false" ht="15" hidden="false" customHeight="false" outlineLevel="0" collapsed="false">
      <c r="A156" s="6"/>
      <c r="B156" s="8" t="str">
        <f aca="false">IF($A156="","",IFERROR(INDEX(PRODUCTOS!$B$6:$B$105,MATCH($A156,PRODUCTOS!$A$6:$A$105,0)),"¿Código?"))</f>
        <v/>
      </c>
      <c r="C156" s="6"/>
      <c r="D156" s="8" t="str">
        <f aca="false">IF($C156="","",IFERROR(INDEX(INSUMOS!$B$6:$B$205,MATCH($C156,INSUMOS!$A$6:$A$205,0)),"¿Código?"))</f>
        <v/>
      </c>
      <c r="E156" s="8" t="str">
        <f aca="false">IF($C156="","",IFERROR(INDEX(INSUMOS!$D$6:$D$205,MATCH($C156,INSUMOS!$A$6:$A$205,0)),""))</f>
        <v/>
      </c>
      <c r="F156" s="39"/>
      <c r="G156" s="43" t="str">
        <f aca="false">IF(OR($A156="",$C156=""),"",IFERROR(INDEX(INSUMOS!$P$6:$P$205,MATCH($C156,INSUMOS!$A$6:$A$205,0)),0))</f>
        <v/>
      </c>
      <c r="H156" s="43" t="str">
        <f aca="false">IF(OR($A156="",$C156=""),"",N($F156)*$G156)</f>
        <v/>
      </c>
      <c r="I156" s="34" t="str">
        <f aca="false">IF(OR($A156="",$C156=""),"",IFERROR(MAX(1,INDEX(PRODUCTOS!$G$6:$G$105,MATCH($A156,PRODUCTOS!$A$6:$A$105,0))),1))</f>
        <v/>
      </c>
      <c r="J156" s="43" t="str">
        <f aca="false">IF(OR($A156="",$C156=""),"",$H156/$I156)</f>
        <v/>
      </c>
      <c r="K156" s="34" t="str">
        <f aca="false">IF(OR($A156="",$C156=""),"",SUMIFS(VENTAS!$E$6:$E$2005,VENTAS!$C$6:$C$2005,$A156))</f>
        <v/>
      </c>
      <c r="L156" s="45" t="str">
        <f aca="false">IF(OR($A156="",$C156=""),"",IFERROR(N($F156)/INDEX(INSUMOS!$I$6:$I$205,MATCH($C156,INSUMOS!$A$6:$A$205,0)),N($F156))/$I156*$K156)</f>
        <v/>
      </c>
      <c r="M156" s="8" t="str">
        <f aca="false">IF($A156="","",COUNTIF($A$6:$A156,$A156))</f>
        <v/>
      </c>
      <c r="N156" s="8" t="str">
        <f aca="false">IF($A156="","",$A156&amp;"|"&amp;$M156)</f>
        <v/>
      </c>
    </row>
    <row r="157" customFormat="false" ht="15" hidden="false" customHeight="false" outlineLevel="0" collapsed="false">
      <c r="A157" s="6"/>
      <c r="B157" s="8" t="str">
        <f aca="false">IF($A157="","",IFERROR(INDEX(PRODUCTOS!$B$6:$B$105,MATCH($A157,PRODUCTOS!$A$6:$A$105,0)),"¿Código?"))</f>
        <v/>
      </c>
      <c r="C157" s="6"/>
      <c r="D157" s="8" t="str">
        <f aca="false">IF($C157="","",IFERROR(INDEX(INSUMOS!$B$6:$B$205,MATCH($C157,INSUMOS!$A$6:$A$205,0)),"¿Código?"))</f>
        <v/>
      </c>
      <c r="E157" s="8" t="str">
        <f aca="false">IF($C157="","",IFERROR(INDEX(INSUMOS!$D$6:$D$205,MATCH($C157,INSUMOS!$A$6:$A$205,0)),""))</f>
        <v/>
      </c>
      <c r="F157" s="39"/>
      <c r="G157" s="43" t="str">
        <f aca="false">IF(OR($A157="",$C157=""),"",IFERROR(INDEX(INSUMOS!$P$6:$P$205,MATCH($C157,INSUMOS!$A$6:$A$205,0)),0))</f>
        <v/>
      </c>
      <c r="H157" s="43" t="str">
        <f aca="false">IF(OR($A157="",$C157=""),"",N($F157)*$G157)</f>
        <v/>
      </c>
      <c r="I157" s="34" t="str">
        <f aca="false">IF(OR($A157="",$C157=""),"",IFERROR(MAX(1,INDEX(PRODUCTOS!$G$6:$G$105,MATCH($A157,PRODUCTOS!$A$6:$A$105,0))),1))</f>
        <v/>
      </c>
      <c r="J157" s="43" t="str">
        <f aca="false">IF(OR($A157="",$C157=""),"",$H157/$I157)</f>
        <v/>
      </c>
      <c r="K157" s="34" t="str">
        <f aca="false">IF(OR($A157="",$C157=""),"",SUMIFS(VENTAS!$E$6:$E$2005,VENTAS!$C$6:$C$2005,$A157))</f>
        <v/>
      </c>
      <c r="L157" s="45" t="str">
        <f aca="false">IF(OR($A157="",$C157=""),"",IFERROR(N($F157)/INDEX(INSUMOS!$I$6:$I$205,MATCH($C157,INSUMOS!$A$6:$A$205,0)),N($F157))/$I157*$K157)</f>
        <v/>
      </c>
      <c r="M157" s="8" t="str">
        <f aca="false">IF($A157="","",COUNTIF($A$6:$A157,$A157))</f>
        <v/>
      </c>
      <c r="N157" s="8" t="str">
        <f aca="false">IF($A157="","",$A157&amp;"|"&amp;$M157)</f>
        <v/>
      </c>
    </row>
    <row r="158" customFormat="false" ht="15" hidden="false" customHeight="false" outlineLevel="0" collapsed="false">
      <c r="A158" s="6"/>
      <c r="B158" s="8" t="str">
        <f aca="false">IF($A158="","",IFERROR(INDEX(PRODUCTOS!$B$6:$B$105,MATCH($A158,PRODUCTOS!$A$6:$A$105,0)),"¿Código?"))</f>
        <v/>
      </c>
      <c r="C158" s="6"/>
      <c r="D158" s="8" t="str">
        <f aca="false">IF($C158="","",IFERROR(INDEX(INSUMOS!$B$6:$B$205,MATCH($C158,INSUMOS!$A$6:$A$205,0)),"¿Código?"))</f>
        <v/>
      </c>
      <c r="E158" s="8" t="str">
        <f aca="false">IF($C158="","",IFERROR(INDEX(INSUMOS!$D$6:$D$205,MATCH($C158,INSUMOS!$A$6:$A$205,0)),""))</f>
        <v/>
      </c>
      <c r="F158" s="39"/>
      <c r="G158" s="43" t="str">
        <f aca="false">IF(OR($A158="",$C158=""),"",IFERROR(INDEX(INSUMOS!$P$6:$P$205,MATCH($C158,INSUMOS!$A$6:$A$205,0)),0))</f>
        <v/>
      </c>
      <c r="H158" s="43" t="str">
        <f aca="false">IF(OR($A158="",$C158=""),"",N($F158)*$G158)</f>
        <v/>
      </c>
      <c r="I158" s="34" t="str">
        <f aca="false">IF(OR($A158="",$C158=""),"",IFERROR(MAX(1,INDEX(PRODUCTOS!$G$6:$G$105,MATCH($A158,PRODUCTOS!$A$6:$A$105,0))),1))</f>
        <v/>
      </c>
      <c r="J158" s="43" t="str">
        <f aca="false">IF(OR($A158="",$C158=""),"",$H158/$I158)</f>
        <v/>
      </c>
      <c r="K158" s="34" t="str">
        <f aca="false">IF(OR($A158="",$C158=""),"",SUMIFS(VENTAS!$E$6:$E$2005,VENTAS!$C$6:$C$2005,$A158))</f>
        <v/>
      </c>
      <c r="L158" s="45" t="str">
        <f aca="false">IF(OR($A158="",$C158=""),"",IFERROR(N($F158)/INDEX(INSUMOS!$I$6:$I$205,MATCH($C158,INSUMOS!$A$6:$A$205,0)),N($F158))/$I158*$K158)</f>
        <v/>
      </c>
      <c r="M158" s="8" t="str">
        <f aca="false">IF($A158="","",COUNTIF($A$6:$A158,$A158))</f>
        <v/>
      </c>
      <c r="N158" s="8" t="str">
        <f aca="false">IF($A158="","",$A158&amp;"|"&amp;$M158)</f>
        <v/>
      </c>
    </row>
    <row r="159" customFormat="false" ht="15" hidden="false" customHeight="false" outlineLevel="0" collapsed="false">
      <c r="A159" s="6"/>
      <c r="B159" s="8" t="str">
        <f aca="false">IF($A159="","",IFERROR(INDEX(PRODUCTOS!$B$6:$B$105,MATCH($A159,PRODUCTOS!$A$6:$A$105,0)),"¿Código?"))</f>
        <v/>
      </c>
      <c r="C159" s="6"/>
      <c r="D159" s="8" t="str">
        <f aca="false">IF($C159="","",IFERROR(INDEX(INSUMOS!$B$6:$B$205,MATCH($C159,INSUMOS!$A$6:$A$205,0)),"¿Código?"))</f>
        <v/>
      </c>
      <c r="E159" s="8" t="str">
        <f aca="false">IF($C159="","",IFERROR(INDEX(INSUMOS!$D$6:$D$205,MATCH($C159,INSUMOS!$A$6:$A$205,0)),""))</f>
        <v/>
      </c>
      <c r="F159" s="39"/>
      <c r="G159" s="43" t="str">
        <f aca="false">IF(OR($A159="",$C159=""),"",IFERROR(INDEX(INSUMOS!$P$6:$P$205,MATCH($C159,INSUMOS!$A$6:$A$205,0)),0))</f>
        <v/>
      </c>
      <c r="H159" s="43" t="str">
        <f aca="false">IF(OR($A159="",$C159=""),"",N($F159)*$G159)</f>
        <v/>
      </c>
      <c r="I159" s="34" t="str">
        <f aca="false">IF(OR($A159="",$C159=""),"",IFERROR(MAX(1,INDEX(PRODUCTOS!$G$6:$G$105,MATCH($A159,PRODUCTOS!$A$6:$A$105,0))),1))</f>
        <v/>
      </c>
      <c r="J159" s="43" t="str">
        <f aca="false">IF(OR($A159="",$C159=""),"",$H159/$I159)</f>
        <v/>
      </c>
      <c r="K159" s="34" t="str">
        <f aca="false">IF(OR($A159="",$C159=""),"",SUMIFS(VENTAS!$E$6:$E$2005,VENTAS!$C$6:$C$2005,$A159))</f>
        <v/>
      </c>
      <c r="L159" s="45" t="str">
        <f aca="false">IF(OR($A159="",$C159=""),"",IFERROR(N($F159)/INDEX(INSUMOS!$I$6:$I$205,MATCH($C159,INSUMOS!$A$6:$A$205,0)),N($F159))/$I159*$K159)</f>
        <v/>
      </c>
      <c r="M159" s="8" t="str">
        <f aca="false">IF($A159="","",COUNTIF($A$6:$A159,$A159))</f>
        <v/>
      </c>
      <c r="N159" s="8" t="str">
        <f aca="false">IF($A159="","",$A159&amp;"|"&amp;$M159)</f>
        <v/>
      </c>
    </row>
    <row r="160" customFormat="false" ht="15" hidden="false" customHeight="false" outlineLevel="0" collapsed="false">
      <c r="A160" s="6"/>
      <c r="B160" s="8" t="str">
        <f aca="false">IF($A160="","",IFERROR(INDEX(PRODUCTOS!$B$6:$B$105,MATCH($A160,PRODUCTOS!$A$6:$A$105,0)),"¿Código?"))</f>
        <v/>
      </c>
      <c r="C160" s="6"/>
      <c r="D160" s="8" t="str">
        <f aca="false">IF($C160="","",IFERROR(INDEX(INSUMOS!$B$6:$B$205,MATCH($C160,INSUMOS!$A$6:$A$205,0)),"¿Código?"))</f>
        <v/>
      </c>
      <c r="E160" s="8" t="str">
        <f aca="false">IF($C160="","",IFERROR(INDEX(INSUMOS!$D$6:$D$205,MATCH($C160,INSUMOS!$A$6:$A$205,0)),""))</f>
        <v/>
      </c>
      <c r="F160" s="39"/>
      <c r="G160" s="43" t="str">
        <f aca="false">IF(OR($A160="",$C160=""),"",IFERROR(INDEX(INSUMOS!$P$6:$P$205,MATCH($C160,INSUMOS!$A$6:$A$205,0)),0))</f>
        <v/>
      </c>
      <c r="H160" s="43" t="str">
        <f aca="false">IF(OR($A160="",$C160=""),"",N($F160)*$G160)</f>
        <v/>
      </c>
      <c r="I160" s="34" t="str">
        <f aca="false">IF(OR($A160="",$C160=""),"",IFERROR(MAX(1,INDEX(PRODUCTOS!$G$6:$G$105,MATCH($A160,PRODUCTOS!$A$6:$A$105,0))),1))</f>
        <v/>
      </c>
      <c r="J160" s="43" t="str">
        <f aca="false">IF(OR($A160="",$C160=""),"",$H160/$I160)</f>
        <v/>
      </c>
      <c r="K160" s="34" t="str">
        <f aca="false">IF(OR($A160="",$C160=""),"",SUMIFS(VENTAS!$E$6:$E$2005,VENTAS!$C$6:$C$2005,$A160))</f>
        <v/>
      </c>
      <c r="L160" s="45" t="str">
        <f aca="false">IF(OR($A160="",$C160=""),"",IFERROR(N($F160)/INDEX(INSUMOS!$I$6:$I$205,MATCH($C160,INSUMOS!$A$6:$A$205,0)),N($F160))/$I160*$K160)</f>
        <v/>
      </c>
      <c r="M160" s="8" t="str">
        <f aca="false">IF($A160="","",COUNTIF($A$6:$A160,$A160))</f>
        <v/>
      </c>
      <c r="N160" s="8" t="str">
        <f aca="false">IF($A160="","",$A160&amp;"|"&amp;$M160)</f>
        <v/>
      </c>
    </row>
    <row r="161" customFormat="false" ht="15" hidden="false" customHeight="false" outlineLevel="0" collapsed="false">
      <c r="A161" s="6"/>
      <c r="B161" s="8" t="str">
        <f aca="false">IF($A161="","",IFERROR(INDEX(PRODUCTOS!$B$6:$B$105,MATCH($A161,PRODUCTOS!$A$6:$A$105,0)),"¿Código?"))</f>
        <v/>
      </c>
      <c r="C161" s="6"/>
      <c r="D161" s="8" t="str">
        <f aca="false">IF($C161="","",IFERROR(INDEX(INSUMOS!$B$6:$B$205,MATCH($C161,INSUMOS!$A$6:$A$205,0)),"¿Código?"))</f>
        <v/>
      </c>
      <c r="E161" s="8" t="str">
        <f aca="false">IF($C161="","",IFERROR(INDEX(INSUMOS!$D$6:$D$205,MATCH($C161,INSUMOS!$A$6:$A$205,0)),""))</f>
        <v/>
      </c>
      <c r="F161" s="39"/>
      <c r="G161" s="43" t="str">
        <f aca="false">IF(OR($A161="",$C161=""),"",IFERROR(INDEX(INSUMOS!$P$6:$P$205,MATCH($C161,INSUMOS!$A$6:$A$205,0)),0))</f>
        <v/>
      </c>
      <c r="H161" s="43" t="str">
        <f aca="false">IF(OR($A161="",$C161=""),"",N($F161)*$G161)</f>
        <v/>
      </c>
      <c r="I161" s="34" t="str">
        <f aca="false">IF(OR($A161="",$C161=""),"",IFERROR(MAX(1,INDEX(PRODUCTOS!$G$6:$G$105,MATCH($A161,PRODUCTOS!$A$6:$A$105,0))),1))</f>
        <v/>
      </c>
      <c r="J161" s="43" t="str">
        <f aca="false">IF(OR($A161="",$C161=""),"",$H161/$I161)</f>
        <v/>
      </c>
      <c r="K161" s="34" t="str">
        <f aca="false">IF(OR($A161="",$C161=""),"",SUMIFS(VENTAS!$E$6:$E$2005,VENTAS!$C$6:$C$2005,$A161))</f>
        <v/>
      </c>
      <c r="L161" s="45" t="str">
        <f aca="false">IF(OR($A161="",$C161=""),"",IFERROR(N($F161)/INDEX(INSUMOS!$I$6:$I$205,MATCH($C161,INSUMOS!$A$6:$A$205,0)),N($F161))/$I161*$K161)</f>
        <v/>
      </c>
      <c r="M161" s="8" t="str">
        <f aca="false">IF($A161="","",COUNTIF($A$6:$A161,$A161))</f>
        <v/>
      </c>
      <c r="N161" s="8" t="str">
        <f aca="false">IF($A161="","",$A161&amp;"|"&amp;$M161)</f>
        <v/>
      </c>
    </row>
    <row r="162" customFormat="false" ht="15" hidden="false" customHeight="false" outlineLevel="0" collapsed="false">
      <c r="A162" s="6"/>
      <c r="B162" s="8" t="str">
        <f aca="false">IF($A162="","",IFERROR(INDEX(PRODUCTOS!$B$6:$B$105,MATCH($A162,PRODUCTOS!$A$6:$A$105,0)),"¿Código?"))</f>
        <v/>
      </c>
      <c r="C162" s="6"/>
      <c r="D162" s="8" t="str">
        <f aca="false">IF($C162="","",IFERROR(INDEX(INSUMOS!$B$6:$B$205,MATCH($C162,INSUMOS!$A$6:$A$205,0)),"¿Código?"))</f>
        <v/>
      </c>
      <c r="E162" s="8" t="str">
        <f aca="false">IF($C162="","",IFERROR(INDEX(INSUMOS!$D$6:$D$205,MATCH($C162,INSUMOS!$A$6:$A$205,0)),""))</f>
        <v/>
      </c>
      <c r="F162" s="39"/>
      <c r="G162" s="43" t="str">
        <f aca="false">IF(OR($A162="",$C162=""),"",IFERROR(INDEX(INSUMOS!$P$6:$P$205,MATCH($C162,INSUMOS!$A$6:$A$205,0)),0))</f>
        <v/>
      </c>
      <c r="H162" s="43" t="str">
        <f aca="false">IF(OR($A162="",$C162=""),"",N($F162)*$G162)</f>
        <v/>
      </c>
      <c r="I162" s="34" t="str">
        <f aca="false">IF(OR($A162="",$C162=""),"",IFERROR(MAX(1,INDEX(PRODUCTOS!$G$6:$G$105,MATCH($A162,PRODUCTOS!$A$6:$A$105,0))),1))</f>
        <v/>
      </c>
      <c r="J162" s="43" t="str">
        <f aca="false">IF(OR($A162="",$C162=""),"",$H162/$I162)</f>
        <v/>
      </c>
      <c r="K162" s="34" t="str">
        <f aca="false">IF(OR($A162="",$C162=""),"",SUMIFS(VENTAS!$E$6:$E$2005,VENTAS!$C$6:$C$2005,$A162))</f>
        <v/>
      </c>
      <c r="L162" s="45" t="str">
        <f aca="false">IF(OR($A162="",$C162=""),"",IFERROR(N($F162)/INDEX(INSUMOS!$I$6:$I$205,MATCH($C162,INSUMOS!$A$6:$A$205,0)),N($F162))/$I162*$K162)</f>
        <v/>
      </c>
      <c r="M162" s="8" t="str">
        <f aca="false">IF($A162="","",COUNTIF($A$6:$A162,$A162))</f>
        <v/>
      </c>
      <c r="N162" s="8" t="str">
        <f aca="false">IF($A162="","",$A162&amp;"|"&amp;$M162)</f>
        <v/>
      </c>
    </row>
    <row r="163" customFormat="false" ht="15" hidden="false" customHeight="false" outlineLevel="0" collapsed="false">
      <c r="A163" s="6"/>
      <c r="B163" s="8" t="str">
        <f aca="false">IF($A163="","",IFERROR(INDEX(PRODUCTOS!$B$6:$B$105,MATCH($A163,PRODUCTOS!$A$6:$A$105,0)),"¿Código?"))</f>
        <v/>
      </c>
      <c r="C163" s="6"/>
      <c r="D163" s="8" t="str">
        <f aca="false">IF($C163="","",IFERROR(INDEX(INSUMOS!$B$6:$B$205,MATCH($C163,INSUMOS!$A$6:$A$205,0)),"¿Código?"))</f>
        <v/>
      </c>
      <c r="E163" s="8" t="str">
        <f aca="false">IF($C163="","",IFERROR(INDEX(INSUMOS!$D$6:$D$205,MATCH($C163,INSUMOS!$A$6:$A$205,0)),""))</f>
        <v/>
      </c>
      <c r="F163" s="39"/>
      <c r="G163" s="43" t="str">
        <f aca="false">IF(OR($A163="",$C163=""),"",IFERROR(INDEX(INSUMOS!$P$6:$P$205,MATCH($C163,INSUMOS!$A$6:$A$205,0)),0))</f>
        <v/>
      </c>
      <c r="H163" s="43" t="str">
        <f aca="false">IF(OR($A163="",$C163=""),"",N($F163)*$G163)</f>
        <v/>
      </c>
      <c r="I163" s="34" t="str">
        <f aca="false">IF(OR($A163="",$C163=""),"",IFERROR(MAX(1,INDEX(PRODUCTOS!$G$6:$G$105,MATCH($A163,PRODUCTOS!$A$6:$A$105,0))),1))</f>
        <v/>
      </c>
      <c r="J163" s="43" t="str">
        <f aca="false">IF(OR($A163="",$C163=""),"",$H163/$I163)</f>
        <v/>
      </c>
      <c r="K163" s="34" t="str">
        <f aca="false">IF(OR($A163="",$C163=""),"",SUMIFS(VENTAS!$E$6:$E$2005,VENTAS!$C$6:$C$2005,$A163))</f>
        <v/>
      </c>
      <c r="L163" s="45" t="str">
        <f aca="false">IF(OR($A163="",$C163=""),"",IFERROR(N($F163)/INDEX(INSUMOS!$I$6:$I$205,MATCH($C163,INSUMOS!$A$6:$A$205,0)),N($F163))/$I163*$K163)</f>
        <v/>
      </c>
      <c r="M163" s="8" t="str">
        <f aca="false">IF($A163="","",COUNTIF($A$6:$A163,$A163))</f>
        <v/>
      </c>
      <c r="N163" s="8" t="str">
        <f aca="false">IF($A163="","",$A163&amp;"|"&amp;$M163)</f>
        <v/>
      </c>
    </row>
    <row r="164" customFormat="false" ht="15" hidden="false" customHeight="false" outlineLevel="0" collapsed="false">
      <c r="A164" s="6"/>
      <c r="B164" s="8" t="str">
        <f aca="false">IF($A164="","",IFERROR(INDEX(PRODUCTOS!$B$6:$B$105,MATCH($A164,PRODUCTOS!$A$6:$A$105,0)),"¿Código?"))</f>
        <v/>
      </c>
      <c r="C164" s="6"/>
      <c r="D164" s="8" t="str">
        <f aca="false">IF($C164="","",IFERROR(INDEX(INSUMOS!$B$6:$B$205,MATCH($C164,INSUMOS!$A$6:$A$205,0)),"¿Código?"))</f>
        <v/>
      </c>
      <c r="E164" s="8" t="str">
        <f aca="false">IF($C164="","",IFERROR(INDEX(INSUMOS!$D$6:$D$205,MATCH($C164,INSUMOS!$A$6:$A$205,0)),""))</f>
        <v/>
      </c>
      <c r="F164" s="39"/>
      <c r="G164" s="43" t="str">
        <f aca="false">IF(OR($A164="",$C164=""),"",IFERROR(INDEX(INSUMOS!$P$6:$P$205,MATCH($C164,INSUMOS!$A$6:$A$205,0)),0))</f>
        <v/>
      </c>
      <c r="H164" s="43" t="str">
        <f aca="false">IF(OR($A164="",$C164=""),"",N($F164)*$G164)</f>
        <v/>
      </c>
      <c r="I164" s="34" t="str">
        <f aca="false">IF(OR($A164="",$C164=""),"",IFERROR(MAX(1,INDEX(PRODUCTOS!$G$6:$G$105,MATCH($A164,PRODUCTOS!$A$6:$A$105,0))),1))</f>
        <v/>
      </c>
      <c r="J164" s="43" t="str">
        <f aca="false">IF(OR($A164="",$C164=""),"",$H164/$I164)</f>
        <v/>
      </c>
      <c r="K164" s="34" t="str">
        <f aca="false">IF(OR($A164="",$C164=""),"",SUMIFS(VENTAS!$E$6:$E$2005,VENTAS!$C$6:$C$2005,$A164))</f>
        <v/>
      </c>
      <c r="L164" s="45" t="str">
        <f aca="false">IF(OR($A164="",$C164=""),"",IFERROR(N($F164)/INDEX(INSUMOS!$I$6:$I$205,MATCH($C164,INSUMOS!$A$6:$A$205,0)),N($F164))/$I164*$K164)</f>
        <v/>
      </c>
      <c r="M164" s="8" t="str">
        <f aca="false">IF($A164="","",COUNTIF($A$6:$A164,$A164))</f>
        <v/>
      </c>
      <c r="N164" s="8" t="str">
        <f aca="false">IF($A164="","",$A164&amp;"|"&amp;$M164)</f>
        <v/>
      </c>
    </row>
    <row r="165" customFormat="false" ht="15" hidden="false" customHeight="false" outlineLevel="0" collapsed="false">
      <c r="A165" s="6"/>
      <c r="B165" s="8" t="str">
        <f aca="false">IF($A165="","",IFERROR(INDEX(PRODUCTOS!$B$6:$B$105,MATCH($A165,PRODUCTOS!$A$6:$A$105,0)),"¿Código?"))</f>
        <v/>
      </c>
      <c r="C165" s="6"/>
      <c r="D165" s="8" t="str">
        <f aca="false">IF($C165="","",IFERROR(INDEX(INSUMOS!$B$6:$B$205,MATCH($C165,INSUMOS!$A$6:$A$205,0)),"¿Código?"))</f>
        <v/>
      </c>
      <c r="E165" s="8" t="str">
        <f aca="false">IF($C165="","",IFERROR(INDEX(INSUMOS!$D$6:$D$205,MATCH($C165,INSUMOS!$A$6:$A$205,0)),""))</f>
        <v/>
      </c>
      <c r="F165" s="39"/>
      <c r="G165" s="43" t="str">
        <f aca="false">IF(OR($A165="",$C165=""),"",IFERROR(INDEX(INSUMOS!$P$6:$P$205,MATCH($C165,INSUMOS!$A$6:$A$205,0)),0))</f>
        <v/>
      </c>
      <c r="H165" s="43" t="str">
        <f aca="false">IF(OR($A165="",$C165=""),"",N($F165)*$G165)</f>
        <v/>
      </c>
      <c r="I165" s="34" t="str">
        <f aca="false">IF(OR($A165="",$C165=""),"",IFERROR(MAX(1,INDEX(PRODUCTOS!$G$6:$G$105,MATCH($A165,PRODUCTOS!$A$6:$A$105,0))),1))</f>
        <v/>
      </c>
      <c r="J165" s="43" t="str">
        <f aca="false">IF(OR($A165="",$C165=""),"",$H165/$I165)</f>
        <v/>
      </c>
      <c r="K165" s="34" t="str">
        <f aca="false">IF(OR($A165="",$C165=""),"",SUMIFS(VENTAS!$E$6:$E$2005,VENTAS!$C$6:$C$2005,$A165))</f>
        <v/>
      </c>
      <c r="L165" s="45" t="str">
        <f aca="false">IF(OR($A165="",$C165=""),"",IFERROR(N($F165)/INDEX(INSUMOS!$I$6:$I$205,MATCH($C165,INSUMOS!$A$6:$A$205,0)),N($F165))/$I165*$K165)</f>
        <v/>
      </c>
      <c r="M165" s="8" t="str">
        <f aca="false">IF($A165="","",COUNTIF($A$6:$A165,$A165))</f>
        <v/>
      </c>
      <c r="N165" s="8" t="str">
        <f aca="false">IF($A165="","",$A165&amp;"|"&amp;$M165)</f>
        <v/>
      </c>
    </row>
    <row r="166" customFormat="false" ht="15" hidden="false" customHeight="false" outlineLevel="0" collapsed="false">
      <c r="A166" s="6"/>
      <c r="B166" s="8" t="str">
        <f aca="false">IF($A166="","",IFERROR(INDEX(PRODUCTOS!$B$6:$B$105,MATCH($A166,PRODUCTOS!$A$6:$A$105,0)),"¿Código?"))</f>
        <v/>
      </c>
      <c r="C166" s="6"/>
      <c r="D166" s="8" t="str">
        <f aca="false">IF($C166="","",IFERROR(INDEX(INSUMOS!$B$6:$B$205,MATCH($C166,INSUMOS!$A$6:$A$205,0)),"¿Código?"))</f>
        <v/>
      </c>
      <c r="E166" s="8" t="str">
        <f aca="false">IF($C166="","",IFERROR(INDEX(INSUMOS!$D$6:$D$205,MATCH($C166,INSUMOS!$A$6:$A$205,0)),""))</f>
        <v/>
      </c>
      <c r="F166" s="39"/>
      <c r="G166" s="43" t="str">
        <f aca="false">IF(OR($A166="",$C166=""),"",IFERROR(INDEX(INSUMOS!$P$6:$P$205,MATCH($C166,INSUMOS!$A$6:$A$205,0)),0))</f>
        <v/>
      </c>
      <c r="H166" s="43" t="str">
        <f aca="false">IF(OR($A166="",$C166=""),"",N($F166)*$G166)</f>
        <v/>
      </c>
      <c r="I166" s="34" t="str">
        <f aca="false">IF(OR($A166="",$C166=""),"",IFERROR(MAX(1,INDEX(PRODUCTOS!$G$6:$G$105,MATCH($A166,PRODUCTOS!$A$6:$A$105,0))),1))</f>
        <v/>
      </c>
      <c r="J166" s="43" t="str">
        <f aca="false">IF(OR($A166="",$C166=""),"",$H166/$I166)</f>
        <v/>
      </c>
      <c r="K166" s="34" t="str">
        <f aca="false">IF(OR($A166="",$C166=""),"",SUMIFS(VENTAS!$E$6:$E$2005,VENTAS!$C$6:$C$2005,$A166))</f>
        <v/>
      </c>
      <c r="L166" s="45" t="str">
        <f aca="false">IF(OR($A166="",$C166=""),"",IFERROR(N($F166)/INDEX(INSUMOS!$I$6:$I$205,MATCH($C166,INSUMOS!$A$6:$A$205,0)),N($F166))/$I166*$K166)</f>
        <v/>
      </c>
      <c r="M166" s="8" t="str">
        <f aca="false">IF($A166="","",COUNTIF($A$6:$A166,$A166))</f>
        <v/>
      </c>
      <c r="N166" s="8" t="str">
        <f aca="false">IF($A166="","",$A166&amp;"|"&amp;$M166)</f>
        <v/>
      </c>
    </row>
    <row r="167" customFormat="false" ht="15" hidden="false" customHeight="false" outlineLevel="0" collapsed="false">
      <c r="A167" s="6"/>
      <c r="B167" s="8" t="str">
        <f aca="false">IF($A167="","",IFERROR(INDEX(PRODUCTOS!$B$6:$B$105,MATCH($A167,PRODUCTOS!$A$6:$A$105,0)),"¿Código?"))</f>
        <v/>
      </c>
      <c r="C167" s="6"/>
      <c r="D167" s="8" t="str">
        <f aca="false">IF($C167="","",IFERROR(INDEX(INSUMOS!$B$6:$B$205,MATCH($C167,INSUMOS!$A$6:$A$205,0)),"¿Código?"))</f>
        <v/>
      </c>
      <c r="E167" s="8" t="str">
        <f aca="false">IF($C167="","",IFERROR(INDEX(INSUMOS!$D$6:$D$205,MATCH($C167,INSUMOS!$A$6:$A$205,0)),""))</f>
        <v/>
      </c>
      <c r="F167" s="39"/>
      <c r="G167" s="43" t="str">
        <f aca="false">IF(OR($A167="",$C167=""),"",IFERROR(INDEX(INSUMOS!$P$6:$P$205,MATCH($C167,INSUMOS!$A$6:$A$205,0)),0))</f>
        <v/>
      </c>
      <c r="H167" s="43" t="str">
        <f aca="false">IF(OR($A167="",$C167=""),"",N($F167)*$G167)</f>
        <v/>
      </c>
      <c r="I167" s="34" t="str">
        <f aca="false">IF(OR($A167="",$C167=""),"",IFERROR(MAX(1,INDEX(PRODUCTOS!$G$6:$G$105,MATCH($A167,PRODUCTOS!$A$6:$A$105,0))),1))</f>
        <v/>
      </c>
      <c r="J167" s="43" t="str">
        <f aca="false">IF(OR($A167="",$C167=""),"",$H167/$I167)</f>
        <v/>
      </c>
      <c r="K167" s="34" t="str">
        <f aca="false">IF(OR($A167="",$C167=""),"",SUMIFS(VENTAS!$E$6:$E$2005,VENTAS!$C$6:$C$2005,$A167))</f>
        <v/>
      </c>
      <c r="L167" s="45" t="str">
        <f aca="false">IF(OR($A167="",$C167=""),"",IFERROR(N($F167)/INDEX(INSUMOS!$I$6:$I$205,MATCH($C167,INSUMOS!$A$6:$A$205,0)),N($F167))/$I167*$K167)</f>
        <v/>
      </c>
      <c r="M167" s="8" t="str">
        <f aca="false">IF($A167="","",COUNTIF($A$6:$A167,$A167))</f>
        <v/>
      </c>
      <c r="N167" s="8" t="str">
        <f aca="false">IF($A167="","",$A167&amp;"|"&amp;$M167)</f>
        <v/>
      </c>
    </row>
    <row r="168" customFormat="false" ht="15" hidden="false" customHeight="false" outlineLevel="0" collapsed="false">
      <c r="A168" s="6"/>
      <c r="B168" s="8" t="str">
        <f aca="false">IF($A168="","",IFERROR(INDEX(PRODUCTOS!$B$6:$B$105,MATCH($A168,PRODUCTOS!$A$6:$A$105,0)),"¿Código?"))</f>
        <v/>
      </c>
      <c r="C168" s="6"/>
      <c r="D168" s="8" t="str">
        <f aca="false">IF($C168="","",IFERROR(INDEX(INSUMOS!$B$6:$B$205,MATCH($C168,INSUMOS!$A$6:$A$205,0)),"¿Código?"))</f>
        <v/>
      </c>
      <c r="E168" s="8" t="str">
        <f aca="false">IF($C168="","",IFERROR(INDEX(INSUMOS!$D$6:$D$205,MATCH($C168,INSUMOS!$A$6:$A$205,0)),""))</f>
        <v/>
      </c>
      <c r="F168" s="39"/>
      <c r="G168" s="43" t="str">
        <f aca="false">IF(OR($A168="",$C168=""),"",IFERROR(INDEX(INSUMOS!$P$6:$P$205,MATCH($C168,INSUMOS!$A$6:$A$205,0)),0))</f>
        <v/>
      </c>
      <c r="H168" s="43" t="str">
        <f aca="false">IF(OR($A168="",$C168=""),"",N($F168)*$G168)</f>
        <v/>
      </c>
      <c r="I168" s="34" t="str">
        <f aca="false">IF(OR($A168="",$C168=""),"",IFERROR(MAX(1,INDEX(PRODUCTOS!$G$6:$G$105,MATCH($A168,PRODUCTOS!$A$6:$A$105,0))),1))</f>
        <v/>
      </c>
      <c r="J168" s="43" t="str">
        <f aca="false">IF(OR($A168="",$C168=""),"",$H168/$I168)</f>
        <v/>
      </c>
      <c r="K168" s="34" t="str">
        <f aca="false">IF(OR($A168="",$C168=""),"",SUMIFS(VENTAS!$E$6:$E$2005,VENTAS!$C$6:$C$2005,$A168))</f>
        <v/>
      </c>
      <c r="L168" s="45" t="str">
        <f aca="false">IF(OR($A168="",$C168=""),"",IFERROR(N($F168)/INDEX(INSUMOS!$I$6:$I$205,MATCH($C168,INSUMOS!$A$6:$A$205,0)),N($F168))/$I168*$K168)</f>
        <v/>
      </c>
      <c r="M168" s="8" t="str">
        <f aca="false">IF($A168="","",COUNTIF($A$6:$A168,$A168))</f>
        <v/>
      </c>
      <c r="N168" s="8" t="str">
        <f aca="false">IF($A168="","",$A168&amp;"|"&amp;$M168)</f>
        <v/>
      </c>
    </row>
    <row r="169" customFormat="false" ht="15" hidden="false" customHeight="false" outlineLevel="0" collapsed="false">
      <c r="A169" s="6"/>
      <c r="B169" s="8" t="str">
        <f aca="false">IF($A169="","",IFERROR(INDEX(PRODUCTOS!$B$6:$B$105,MATCH($A169,PRODUCTOS!$A$6:$A$105,0)),"¿Código?"))</f>
        <v/>
      </c>
      <c r="C169" s="6"/>
      <c r="D169" s="8" t="str">
        <f aca="false">IF($C169="","",IFERROR(INDEX(INSUMOS!$B$6:$B$205,MATCH($C169,INSUMOS!$A$6:$A$205,0)),"¿Código?"))</f>
        <v/>
      </c>
      <c r="E169" s="8" t="str">
        <f aca="false">IF($C169="","",IFERROR(INDEX(INSUMOS!$D$6:$D$205,MATCH($C169,INSUMOS!$A$6:$A$205,0)),""))</f>
        <v/>
      </c>
      <c r="F169" s="39"/>
      <c r="G169" s="43" t="str">
        <f aca="false">IF(OR($A169="",$C169=""),"",IFERROR(INDEX(INSUMOS!$P$6:$P$205,MATCH($C169,INSUMOS!$A$6:$A$205,0)),0))</f>
        <v/>
      </c>
      <c r="H169" s="43" t="str">
        <f aca="false">IF(OR($A169="",$C169=""),"",N($F169)*$G169)</f>
        <v/>
      </c>
      <c r="I169" s="34" t="str">
        <f aca="false">IF(OR($A169="",$C169=""),"",IFERROR(MAX(1,INDEX(PRODUCTOS!$G$6:$G$105,MATCH($A169,PRODUCTOS!$A$6:$A$105,0))),1))</f>
        <v/>
      </c>
      <c r="J169" s="43" t="str">
        <f aca="false">IF(OR($A169="",$C169=""),"",$H169/$I169)</f>
        <v/>
      </c>
      <c r="K169" s="34" t="str">
        <f aca="false">IF(OR($A169="",$C169=""),"",SUMIFS(VENTAS!$E$6:$E$2005,VENTAS!$C$6:$C$2005,$A169))</f>
        <v/>
      </c>
      <c r="L169" s="45" t="str">
        <f aca="false">IF(OR($A169="",$C169=""),"",IFERROR(N($F169)/INDEX(INSUMOS!$I$6:$I$205,MATCH($C169,INSUMOS!$A$6:$A$205,0)),N($F169))/$I169*$K169)</f>
        <v/>
      </c>
      <c r="M169" s="8" t="str">
        <f aca="false">IF($A169="","",COUNTIF($A$6:$A169,$A169))</f>
        <v/>
      </c>
      <c r="N169" s="8" t="str">
        <f aca="false">IF($A169="","",$A169&amp;"|"&amp;$M169)</f>
        <v/>
      </c>
    </row>
    <row r="170" customFormat="false" ht="15" hidden="false" customHeight="false" outlineLevel="0" collapsed="false">
      <c r="A170" s="6"/>
      <c r="B170" s="8" t="str">
        <f aca="false">IF($A170="","",IFERROR(INDEX(PRODUCTOS!$B$6:$B$105,MATCH($A170,PRODUCTOS!$A$6:$A$105,0)),"¿Código?"))</f>
        <v/>
      </c>
      <c r="C170" s="6"/>
      <c r="D170" s="8" t="str">
        <f aca="false">IF($C170="","",IFERROR(INDEX(INSUMOS!$B$6:$B$205,MATCH($C170,INSUMOS!$A$6:$A$205,0)),"¿Código?"))</f>
        <v/>
      </c>
      <c r="E170" s="8" t="str">
        <f aca="false">IF($C170="","",IFERROR(INDEX(INSUMOS!$D$6:$D$205,MATCH($C170,INSUMOS!$A$6:$A$205,0)),""))</f>
        <v/>
      </c>
      <c r="F170" s="39"/>
      <c r="G170" s="43" t="str">
        <f aca="false">IF(OR($A170="",$C170=""),"",IFERROR(INDEX(INSUMOS!$P$6:$P$205,MATCH($C170,INSUMOS!$A$6:$A$205,0)),0))</f>
        <v/>
      </c>
      <c r="H170" s="43" t="str">
        <f aca="false">IF(OR($A170="",$C170=""),"",N($F170)*$G170)</f>
        <v/>
      </c>
      <c r="I170" s="34" t="str">
        <f aca="false">IF(OR($A170="",$C170=""),"",IFERROR(MAX(1,INDEX(PRODUCTOS!$G$6:$G$105,MATCH($A170,PRODUCTOS!$A$6:$A$105,0))),1))</f>
        <v/>
      </c>
      <c r="J170" s="43" t="str">
        <f aca="false">IF(OR($A170="",$C170=""),"",$H170/$I170)</f>
        <v/>
      </c>
      <c r="K170" s="34" t="str">
        <f aca="false">IF(OR($A170="",$C170=""),"",SUMIFS(VENTAS!$E$6:$E$2005,VENTAS!$C$6:$C$2005,$A170))</f>
        <v/>
      </c>
      <c r="L170" s="45" t="str">
        <f aca="false">IF(OR($A170="",$C170=""),"",IFERROR(N($F170)/INDEX(INSUMOS!$I$6:$I$205,MATCH($C170,INSUMOS!$A$6:$A$205,0)),N($F170))/$I170*$K170)</f>
        <v/>
      </c>
      <c r="M170" s="8" t="str">
        <f aca="false">IF($A170="","",COUNTIF($A$6:$A170,$A170))</f>
        <v/>
      </c>
      <c r="N170" s="8" t="str">
        <f aca="false">IF($A170="","",$A170&amp;"|"&amp;$M170)</f>
        <v/>
      </c>
    </row>
    <row r="171" customFormat="false" ht="15" hidden="false" customHeight="false" outlineLevel="0" collapsed="false">
      <c r="A171" s="6"/>
      <c r="B171" s="8" t="str">
        <f aca="false">IF($A171="","",IFERROR(INDEX(PRODUCTOS!$B$6:$B$105,MATCH($A171,PRODUCTOS!$A$6:$A$105,0)),"¿Código?"))</f>
        <v/>
      </c>
      <c r="C171" s="6"/>
      <c r="D171" s="8" t="str">
        <f aca="false">IF($C171="","",IFERROR(INDEX(INSUMOS!$B$6:$B$205,MATCH($C171,INSUMOS!$A$6:$A$205,0)),"¿Código?"))</f>
        <v/>
      </c>
      <c r="E171" s="8" t="str">
        <f aca="false">IF($C171="","",IFERROR(INDEX(INSUMOS!$D$6:$D$205,MATCH($C171,INSUMOS!$A$6:$A$205,0)),""))</f>
        <v/>
      </c>
      <c r="F171" s="39"/>
      <c r="G171" s="43" t="str">
        <f aca="false">IF(OR($A171="",$C171=""),"",IFERROR(INDEX(INSUMOS!$P$6:$P$205,MATCH($C171,INSUMOS!$A$6:$A$205,0)),0))</f>
        <v/>
      </c>
      <c r="H171" s="43" t="str">
        <f aca="false">IF(OR($A171="",$C171=""),"",N($F171)*$G171)</f>
        <v/>
      </c>
      <c r="I171" s="34" t="str">
        <f aca="false">IF(OR($A171="",$C171=""),"",IFERROR(MAX(1,INDEX(PRODUCTOS!$G$6:$G$105,MATCH($A171,PRODUCTOS!$A$6:$A$105,0))),1))</f>
        <v/>
      </c>
      <c r="J171" s="43" t="str">
        <f aca="false">IF(OR($A171="",$C171=""),"",$H171/$I171)</f>
        <v/>
      </c>
      <c r="K171" s="34" t="str">
        <f aca="false">IF(OR($A171="",$C171=""),"",SUMIFS(VENTAS!$E$6:$E$2005,VENTAS!$C$6:$C$2005,$A171))</f>
        <v/>
      </c>
      <c r="L171" s="45" t="str">
        <f aca="false">IF(OR($A171="",$C171=""),"",IFERROR(N($F171)/INDEX(INSUMOS!$I$6:$I$205,MATCH($C171,INSUMOS!$A$6:$A$205,0)),N($F171))/$I171*$K171)</f>
        <v/>
      </c>
      <c r="M171" s="8" t="str">
        <f aca="false">IF($A171="","",COUNTIF($A$6:$A171,$A171))</f>
        <v/>
      </c>
      <c r="N171" s="8" t="str">
        <f aca="false">IF($A171="","",$A171&amp;"|"&amp;$M171)</f>
        <v/>
      </c>
    </row>
    <row r="172" customFormat="false" ht="15" hidden="false" customHeight="false" outlineLevel="0" collapsed="false">
      <c r="A172" s="6"/>
      <c r="B172" s="8" t="str">
        <f aca="false">IF($A172="","",IFERROR(INDEX(PRODUCTOS!$B$6:$B$105,MATCH($A172,PRODUCTOS!$A$6:$A$105,0)),"¿Código?"))</f>
        <v/>
      </c>
      <c r="C172" s="6"/>
      <c r="D172" s="8" t="str">
        <f aca="false">IF($C172="","",IFERROR(INDEX(INSUMOS!$B$6:$B$205,MATCH($C172,INSUMOS!$A$6:$A$205,0)),"¿Código?"))</f>
        <v/>
      </c>
      <c r="E172" s="8" t="str">
        <f aca="false">IF($C172="","",IFERROR(INDEX(INSUMOS!$D$6:$D$205,MATCH($C172,INSUMOS!$A$6:$A$205,0)),""))</f>
        <v/>
      </c>
      <c r="F172" s="39"/>
      <c r="G172" s="43" t="str">
        <f aca="false">IF(OR($A172="",$C172=""),"",IFERROR(INDEX(INSUMOS!$P$6:$P$205,MATCH($C172,INSUMOS!$A$6:$A$205,0)),0))</f>
        <v/>
      </c>
      <c r="H172" s="43" t="str">
        <f aca="false">IF(OR($A172="",$C172=""),"",N($F172)*$G172)</f>
        <v/>
      </c>
      <c r="I172" s="34" t="str">
        <f aca="false">IF(OR($A172="",$C172=""),"",IFERROR(MAX(1,INDEX(PRODUCTOS!$G$6:$G$105,MATCH($A172,PRODUCTOS!$A$6:$A$105,0))),1))</f>
        <v/>
      </c>
      <c r="J172" s="43" t="str">
        <f aca="false">IF(OR($A172="",$C172=""),"",$H172/$I172)</f>
        <v/>
      </c>
      <c r="K172" s="34" t="str">
        <f aca="false">IF(OR($A172="",$C172=""),"",SUMIFS(VENTAS!$E$6:$E$2005,VENTAS!$C$6:$C$2005,$A172))</f>
        <v/>
      </c>
      <c r="L172" s="45" t="str">
        <f aca="false">IF(OR($A172="",$C172=""),"",IFERROR(N($F172)/INDEX(INSUMOS!$I$6:$I$205,MATCH($C172,INSUMOS!$A$6:$A$205,0)),N($F172))/$I172*$K172)</f>
        <v/>
      </c>
      <c r="M172" s="8" t="str">
        <f aca="false">IF($A172="","",COUNTIF($A$6:$A172,$A172))</f>
        <v/>
      </c>
      <c r="N172" s="8" t="str">
        <f aca="false">IF($A172="","",$A172&amp;"|"&amp;$M172)</f>
        <v/>
      </c>
    </row>
    <row r="173" customFormat="false" ht="15" hidden="false" customHeight="false" outlineLevel="0" collapsed="false">
      <c r="A173" s="6"/>
      <c r="B173" s="8" t="str">
        <f aca="false">IF($A173="","",IFERROR(INDEX(PRODUCTOS!$B$6:$B$105,MATCH($A173,PRODUCTOS!$A$6:$A$105,0)),"¿Código?"))</f>
        <v/>
      </c>
      <c r="C173" s="6"/>
      <c r="D173" s="8" t="str">
        <f aca="false">IF($C173="","",IFERROR(INDEX(INSUMOS!$B$6:$B$205,MATCH($C173,INSUMOS!$A$6:$A$205,0)),"¿Código?"))</f>
        <v/>
      </c>
      <c r="E173" s="8" t="str">
        <f aca="false">IF($C173="","",IFERROR(INDEX(INSUMOS!$D$6:$D$205,MATCH($C173,INSUMOS!$A$6:$A$205,0)),""))</f>
        <v/>
      </c>
      <c r="F173" s="39"/>
      <c r="G173" s="43" t="str">
        <f aca="false">IF(OR($A173="",$C173=""),"",IFERROR(INDEX(INSUMOS!$P$6:$P$205,MATCH($C173,INSUMOS!$A$6:$A$205,0)),0))</f>
        <v/>
      </c>
      <c r="H173" s="43" t="str">
        <f aca="false">IF(OR($A173="",$C173=""),"",N($F173)*$G173)</f>
        <v/>
      </c>
      <c r="I173" s="34" t="str">
        <f aca="false">IF(OR($A173="",$C173=""),"",IFERROR(MAX(1,INDEX(PRODUCTOS!$G$6:$G$105,MATCH($A173,PRODUCTOS!$A$6:$A$105,0))),1))</f>
        <v/>
      </c>
      <c r="J173" s="43" t="str">
        <f aca="false">IF(OR($A173="",$C173=""),"",$H173/$I173)</f>
        <v/>
      </c>
      <c r="K173" s="34" t="str">
        <f aca="false">IF(OR($A173="",$C173=""),"",SUMIFS(VENTAS!$E$6:$E$2005,VENTAS!$C$6:$C$2005,$A173))</f>
        <v/>
      </c>
      <c r="L173" s="45" t="str">
        <f aca="false">IF(OR($A173="",$C173=""),"",IFERROR(N($F173)/INDEX(INSUMOS!$I$6:$I$205,MATCH($C173,INSUMOS!$A$6:$A$205,0)),N($F173))/$I173*$K173)</f>
        <v/>
      </c>
      <c r="M173" s="8" t="str">
        <f aca="false">IF($A173="","",COUNTIF($A$6:$A173,$A173))</f>
        <v/>
      </c>
      <c r="N173" s="8" t="str">
        <f aca="false">IF($A173="","",$A173&amp;"|"&amp;$M173)</f>
        <v/>
      </c>
    </row>
    <row r="174" customFormat="false" ht="15" hidden="false" customHeight="false" outlineLevel="0" collapsed="false">
      <c r="A174" s="6"/>
      <c r="B174" s="8" t="str">
        <f aca="false">IF($A174="","",IFERROR(INDEX(PRODUCTOS!$B$6:$B$105,MATCH($A174,PRODUCTOS!$A$6:$A$105,0)),"¿Código?"))</f>
        <v/>
      </c>
      <c r="C174" s="6"/>
      <c r="D174" s="8" t="str">
        <f aca="false">IF($C174="","",IFERROR(INDEX(INSUMOS!$B$6:$B$205,MATCH($C174,INSUMOS!$A$6:$A$205,0)),"¿Código?"))</f>
        <v/>
      </c>
      <c r="E174" s="8" t="str">
        <f aca="false">IF($C174="","",IFERROR(INDEX(INSUMOS!$D$6:$D$205,MATCH($C174,INSUMOS!$A$6:$A$205,0)),""))</f>
        <v/>
      </c>
      <c r="F174" s="39"/>
      <c r="G174" s="43" t="str">
        <f aca="false">IF(OR($A174="",$C174=""),"",IFERROR(INDEX(INSUMOS!$P$6:$P$205,MATCH($C174,INSUMOS!$A$6:$A$205,0)),0))</f>
        <v/>
      </c>
      <c r="H174" s="43" t="str">
        <f aca="false">IF(OR($A174="",$C174=""),"",N($F174)*$G174)</f>
        <v/>
      </c>
      <c r="I174" s="34" t="str">
        <f aca="false">IF(OR($A174="",$C174=""),"",IFERROR(MAX(1,INDEX(PRODUCTOS!$G$6:$G$105,MATCH($A174,PRODUCTOS!$A$6:$A$105,0))),1))</f>
        <v/>
      </c>
      <c r="J174" s="43" t="str">
        <f aca="false">IF(OR($A174="",$C174=""),"",$H174/$I174)</f>
        <v/>
      </c>
      <c r="K174" s="34" t="str">
        <f aca="false">IF(OR($A174="",$C174=""),"",SUMIFS(VENTAS!$E$6:$E$2005,VENTAS!$C$6:$C$2005,$A174))</f>
        <v/>
      </c>
      <c r="L174" s="45" t="str">
        <f aca="false">IF(OR($A174="",$C174=""),"",IFERROR(N($F174)/INDEX(INSUMOS!$I$6:$I$205,MATCH($C174,INSUMOS!$A$6:$A$205,0)),N($F174))/$I174*$K174)</f>
        <v/>
      </c>
      <c r="M174" s="8" t="str">
        <f aca="false">IF($A174="","",COUNTIF($A$6:$A174,$A174))</f>
        <v/>
      </c>
      <c r="N174" s="8" t="str">
        <f aca="false">IF($A174="","",$A174&amp;"|"&amp;$M174)</f>
        <v/>
      </c>
    </row>
    <row r="175" customFormat="false" ht="15" hidden="false" customHeight="false" outlineLevel="0" collapsed="false">
      <c r="A175" s="6"/>
      <c r="B175" s="8" t="str">
        <f aca="false">IF($A175="","",IFERROR(INDEX(PRODUCTOS!$B$6:$B$105,MATCH($A175,PRODUCTOS!$A$6:$A$105,0)),"¿Código?"))</f>
        <v/>
      </c>
      <c r="C175" s="6"/>
      <c r="D175" s="8" t="str">
        <f aca="false">IF($C175="","",IFERROR(INDEX(INSUMOS!$B$6:$B$205,MATCH($C175,INSUMOS!$A$6:$A$205,0)),"¿Código?"))</f>
        <v/>
      </c>
      <c r="E175" s="8" t="str">
        <f aca="false">IF($C175="","",IFERROR(INDEX(INSUMOS!$D$6:$D$205,MATCH($C175,INSUMOS!$A$6:$A$205,0)),""))</f>
        <v/>
      </c>
      <c r="F175" s="39"/>
      <c r="G175" s="43" t="str">
        <f aca="false">IF(OR($A175="",$C175=""),"",IFERROR(INDEX(INSUMOS!$P$6:$P$205,MATCH($C175,INSUMOS!$A$6:$A$205,0)),0))</f>
        <v/>
      </c>
      <c r="H175" s="43" t="str">
        <f aca="false">IF(OR($A175="",$C175=""),"",N($F175)*$G175)</f>
        <v/>
      </c>
      <c r="I175" s="34" t="str">
        <f aca="false">IF(OR($A175="",$C175=""),"",IFERROR(MAX(1,INDEX(PRODUCTOS!$G$6:$G$105,MATCH($A175,PRODUCTOS!$A$6:$A$105,0))),1))</f>
        <v/>
      </c>
      <c r="J175" s="43" t="str">
        <f aca="false">IF(OR($A175="",$C175=""),"",$H175/$I175)</f>
        <v/>
      </c>
      <c r="K175" s="34" t="str">
        <f aca="false">IF(OR($A175="",$C175=""),"",SUMIFS(VENTAS!$E$6:$E$2005,VENTAS!$C$6:$C$2005,$A175))</f>
        <v/>
      </c>
      <c r="L175" s="45" t="str">
        <f aca="false">IF(OR($A175="",$C175=""),"",IFERROR(N($F175)/INDEX(INSUMOS!$I$6:$I$205,MATCH($C175,INSUMOS!$A$6:$A$205,0)),N($F175))/$I175*$K175)</f>
        <v/>
      </c>
      <c r="M175" s="8" t="str">
        <f aca="false">IF($A175="","",COUNTIF($A$6:$A175,$A175))</f>
        <v/>
      </c>
      <c r="N175" s="8" t="str">
        <f aca="false">IF($A175="","",$A175&amp;"|"&amp;$M175)</f>
        <v/>
      </c>
    </row>
    <row r="176" customFormat="false" ht="15" hidden="false" customHeight="false" outlineLevel="0" collapsed="false">
      <c r="A176" s="6"/>
      <c r="B176" s="8" t="str">
        <f aca="false">IF($A176="","",IFERROR(INDEX(PRODUCTOS!$B$6:$B$105,MATCH($A176,PRODUCTOS!$A$6:$A$105,0)),"¿Código?"))</f>
        <v/>
      </c>
      <c r="C176" s="6"/>
      <c r="D176" s="8" t="str">
        <f aca="false">IF($C176="","",IFERROR(INDEX(INSUMOS!$B$6:$B$205,MATCH($C176,INSUMOS!$A$6:$A$205,0)),"¿Código?"))</f>
        <v/>
      </c>
      <c r="E176" s="8" t="str">
        <f aca="false">IF($C176="","",IFERROR(INDEX(INSUMOS!$D$6:$D$205,MATCH($C176,INSUMOS!$A$6:$A$205,0)),""))</f>
        <v/>
      </c>
      <c r="F176" s="39"/>
      <c r="G176" s="43" t="str">
        <f aca="false">IF(OR($A176="",$C176=""),"",IFERROR(INDEX(INSUMOS!$P$6:$P$205,MATCH($C176,INSUMOS!$A$6:$A$205,0)),0))</f>
        <v/>
      </c>
      <c r="H176" s="43" t="str">
        <f aca="false">IF(OR($A176="",$C176=""),"",N($F176)*$G176)</f>
        <v/>
      </c>
      <c r="I176" s="34" t="str">
        <f aca="false">IF(OR($A176="",$C176=""),"",IFERROR(MAX(1,INDEX(PRODUCTOS!$G$6:$G$105,MATCH($A176,PRODUCTOS!$A$6:$A$105,0))),1))</f>
        <v/>
      </c>
      <c r="J176" s="43" t="str">
        <f aca="false">IF(OR($A176="",$C176=""),"",$H176/$I176)</f>
        <v/>
      </c>
      <c r="K176" s="34" t="str">
        <f aca="false">IF(OR($A176="",$C176=""),"",SUMIFS(VENTAS!$E$6:$E$2005,VENTAS!$C$6:$C$2005,$A176))</f>
        <v/>
      </c>
      <c r="L176" s="45" t="str">
        <f aca="false">IF(OR($A176="",$C176=""),"",IFERROR(N($F176)/INDEX(INSUMOS!$I$6:$I$205,MATCH($C176,INSUMOS!$A$6:$A$205,0)),N($F176))/$I176*$K176)</f>
        <v/>
      </c>
      <c r="M176" s="8" t="str">
        <f aca="false">IF($A176="","",COUNTIF($A$6:$A176,$A176))</f>
        <v/>
      </c>
      <c r="N176" s="8" t="str">
        <f aca="false">IF($A176="","",$A176&amp;"|"&amp;$M176)</f>
        <v/>
      </c>
    </row>
    <row r="177" customFormat="false" ht="15" hidden="false" customHeight="false" outlineLevel="0" collapsed="false">
      <c r="A177" s="6"/>
      <c r="B177" s="8" t="str">
        <f aca="false">IF($A177="","",IFERROR(INDEX(PRODUCTOS!$B$6:$B$105,MATCH($A177,PRODUCTOS!$A$6:$A$105,0)),"¿Código?"))</f>
        <v/>
      </c>
      <c r="C177" s="6"/>
      <c r="D177" s="8" t="str">
        <f aca="false">IF($C177="","",IFERROR(INDEX(INSUMOS!$B$6:$B$205,MATCH($C177,INSUMOS!$A$6:$A$205,0)),"¿Código?"))</f>
        <v/>
      </c>
      <c r="E177" s="8" t="str">
        <f aca="false">IF($C177="","",IFERROR(INDEX(INSUMOS!$D$6:$D$205,MATCH($C177,INSUMOS!$A$6:$A$205,0)),""))</f>
        <v/>
      </c>
      <c r="F177" s="39"/>
      <c r="G177" s="43" t="str">
        <f aca="false">IF(OR($A177="",$C177=""),"",IFERROR(INDEX(INSUMOS!$P$6:$P$205,MATCH($C177,INSUMOS!$A$6:$A$205,0)),0))</f>
        <v/>
      </c>
      <c r="H177" s="43" t="str">
        <f aca="false">IF(OR($A177="",$C177=""),"",N($F177)*$G177)</f>
        <v/>
      </c>
      <c r="I177" s="34" t="str">
        <f aca="false">IF(OR($A177="",$C177=""),"",IFERROR(MAX(1,INDEX(PRODUCTOS!$G$6:$G$105,MATCH($A177,PRODUCTOS!$A$6:$A$105,0))),1))</f>
        <v/>
      </c>
      <c r="J177" s="43" t="str">
        <f aca="false">IF(OR($A177="",$C177=""),"",$H177/$I177)</f>
        <v/>
      </c>
      <c r="K177" s="34" t="str">
        <f aca="false">IF(OR($A177="",$C177=""),"",SUMIFS(VENTAS!$E$6:$E$2005,VENTAS!$C$6:$C$2005,$A177))</f>
        <v/>
      </c>
      <c r="L177" s="45" t="str">
        <f aca="false">IF(OR($A177="",$C177=""),"",IFERROR(N($F177)/INDEX(INSUMOS!$I$6:$I$205,MATCH($C177,INSUMOS!$A$6:$A$205,0)),N($F177))/$I177*$K177)</f>
        <v/>
      </c>
      <c r="M177" s="8" t="str">
        <f aca="false">IF($A177="","",COUNTIF($A$6:$A177,$A177))</f>
        <v/>
      </c>
      <c r="N177" s="8" t="str">
        <f aca="false">IF($A177="","",$A177&amp;"|"&amp;$M177)</f>
        <v/>
      </c>
    </row>
    <row r="178" customFormat="false" ht="15" hidden="false" customHeight="false" outlineLevel="0" collapsed="false">
      <c r="A178" s="6"/>
      <c r="B178" s="8" t="str">
        <f aca="false">IF($A178="","",IFERROR(INDEX(PRODUCTOS!$B$6:$B$105,MATCH($A178,PRODUCTOS!$A$6:$A$105,0)),"¿Código?"))</f>
        <v/>
      </c>
      <c r="C178" s="6"/>
      <c r="D178" s="8" t="str">
        <f aca="false">IF($C178="","",IFERROR(INDEX(INSUMOS!$B$6:$B$205,MATCH($C178,INSUMOS!$A$6:$A$205,0)),"¿Código?"))</f>
        <v/>
      </c>
      <c r="E178" s="8" t="str">
        <f aca="false">IF($C178="","",IFERROR(INDEX(INSUMOS!$D$6:$D$205,MATCH($C178,INSUMOS!$A$6:$A$205,0)),""))</f>
        <v/>
      </c>
      <c r="F178" s="39"/>
      <c r="G178" s="43" t="str">
        <f aca="false">IF(OR($A178="",$C178=""),"",IFERROR(INDEX(INSUMOS!$P$6:$P$205,MATCH($C178,INSUMOS!$A$6:$A$205,0)),0))</f>
        <v/>
      </c>
      <c r="H178" s="43" t="str">
        <f aca="false">IF(OR($A178="",$C178=""),"",N($F178)*$G178)</f>
        <v/>
      </c>
      <c r="I178" s="34" t="str">
        <f aca="false">IF(OR($A178="",$C178=""),"",IFERROR(MAX(1,INDEX(PRODUCTOS!$G$6:$G$105,MATCH($A178,PRODUCTOS!$A$6:$A$105,0))),1))</f>
        <v/>
      </c>
      <c r="J178" s="43" t="str">
        <f aca="false">IF(OR($A178="",$C178=""),"",$H178/$I178)</f>
        <v/>
      </c>
      <c r="K178" s="34" t="str">
        <f aca="false">IF(OR($A178="",$C178=""),"",SUMIFS(VENTAS!$E$6:$E$2005,VENTAS!$C$6:$C$2005,$A178))</f>
        <v/>
      </c>
      <c r="L178" s="45" t="str">
        <f aca="false">IF(OR($A178="",$C178=""),"",IFERROR(N($F178)/INDEX(INSUMOS!$I$6:$I$205,MATCH($C178,INSUMOS!$A$6:$A$205,0)),N($F178))/$I178*$K178)</f>
        <v/>
      </c>
      <c r="M178" s="8" t="str">
        <f aca="false">IF($A178="","",COUNTIF($A$6:$A178,$A178))</f>
        <v/>
      </c>
      <c r="N178" s="8" t="str">
        <f aca="false">IF($A178="","",$A178&amp;"|"&amp;$M178)</f>
        <v/>
      </c>
    </row>
    <row r="179" customFormat="false" ht="15" hidden="false" customHeight="false" outlineLevel="0" collapsed="false">
      <c r="A179" s="6"/>
      <c r="B179" s="8" t="str">
        <f aca="false">IF($A179="","",IFERROR(INDEX(PRODUCTOS!$B$6:$B$105,MATCH($A179,PRODUCTOS!$A$6:$A$105,0)),"¿Código?"))</f>
        <v/>
      </c>
      <c r="C179" s="6"/>
      <c r="D179" s="8" t="str">
        <f aca="false">IF($C179="","",IFERROR(INDEX(INSUMOS!$B$6:$B$205,MATCH($C179,INSUMOS!$A$6:$A$205,0)),"¿Código?"))</f>
        <v/>
      </c>
      <c r="E179" s="8" t="str">
        <f aca="false">IF($C179="","",IFERROR(INDEX(INSUMOS!$D$6:$D$205,MATCH($C179,INSUMOS!$A$6:$A$205,0)),""))</f>
        <v/>
      </c>
      <c r="F179" s="39"/>
      <c r="G179" s="43" t="str">
        <f aca="false">IF(OR($A179="",$C179=""),"",IFERROR(INDEX(INSUMOS!$P$6:$P$205,MATCH($C179,INSUMOS!$A$6:$A$205,0)),0))</f>
        <v/>
      </c>
      <c r="H179" s="43" t="str">
        <f aca="false">IF(OR($A179="",$C179=""),"",N($F179)*$G179)</f>
        <v/>
      </c>
      <c r="I179" s="34" t="str">
        <f aca="false">IF(OR($A179="",$C179=""),"",IFERROR(MAX(1,INDEX(PRODUCTOS!$G$6:$G$105,MATCH($A179,PRODUCTOS!$A$6:$A$105,0))),1))</f>
        <v/>
      </c>
      <c r="J179" s="43" t="str">
        <f aca="false">IF(OR($A179="",$C179=""),"",$H179/$I179)</f>
        <v/>
      </c>
      <c r="K179" s="34" t="str">
        <f aca="false">IF(OR($A179="",$C179=""),"",SUMIFS(VENTAS!$E$6:$E$2005,VENTAS!$C$6:$C$2005,$A179))</f>
        <v/>
      </c>
      <c r="L179" s="45" t="str">
        <f aca="false">IF(OR($A179="",$C179=""),"",IFERROR(N($F179)/INDEX(INSUMOS!$I$6:$I$205,MATCH($C179,INSUMOS!$A$6:$A$205,0)),N($F179))/$I179*$K179)</f>
        <v/>
      </c>
      <c r="M179" s="8" t="str">
        <f aca="false">IF($A179="","",COUNTIF($A$6:$A179,$A179))</f>
        <v/>
      </c>
      <c r="N179" s="8" t="str">
        <f aca="false">IF($A179="","",$A179&amp;"|"&amp;$M179)</f>
        <v/>
      </c>
    </row>
    <row r="180" customFormat="false" ht="15" hidden="false" customHeight="false" outlineLevel="0" collapsed="false">
      <c r="A180" s="6"/>
      <c r="B180" s="8" t="str">
        <f aca="false">IF($A180="","",IFERROR(INDEX(PRODUCTOS!$B$6:$B$105,MATCH($A180,PRODUCTOS!$A$6:$A$105,0)),"¿Código?"))</f>
        <v/>
      </c>
      <c r="C180" s="6"/>
      <c r="D180" s="8" t="str">
        <f aca="false">IF($C180="","",IFERROR(INDEX(INSUMOS!$B$6:$B$205,MATCH($C180,INSUMOS!$A$6:$A$205,0)),"¿Código?"))</f>
        <v/>
      </c>
      <c r="E180" s="8" t="str">
        <f aca="false">IF($C180="","",IFERROR(INDEX(INSUMOS!$D$6:$D$205,MATCH($C180,INSUMOS!$A$6:$A$205,0)),""))</f>
        <v/>
      </c>
      <c r="F180" s="39"/>
      <c r="G180" s="43" t="str">
        <f aca="false">IF(OR($A180="",$C180=""),"",IFERROR(INDEX(INSUMOS!$P$6:$P$205,MATCH($C180,INSUMOS!$A$6:$A$205,0)),0))</f>
        <v/>
      </c>
      <c r="H180" s="43" t="str">
        <f aca="false">IF(OR($A180="",$C180=""),"",N($F180)*$G180)</f>
        <v/>
      </c>
      <c r="I180" s="34" t="str">
        <f aca="false">IF(OR($A180="",$C180=""),"",IFERROR(MAX(1,INDEX(PRODUCTOS!$G$6:$G$105,MATCH($A180,PRODUCTOS!$A$6:$A$105,0))),1))</f>
        <v/>
      </c>
      <c r="J180" s="43" t="str">
        <f aca="false">IF(OR($A180="",$C180=""),"",$H180/$I180)</f>
        <v/>
      </c>
      <c r="K180" s="34" t="str">
        <f aca="false">IF(OR($A180="",$C180=""),"",SUMIFS(VENTAS!$E$6:$E$2005,VENTAS!$C$6:$C$2005,$A180))</f>
        <v/>
      </c>
      <c r="L180" s="45" t="str">
        <f aca="false">IF(OR($A180="",$C180=""),"",IFERROR(N($F180)/INDEX(INSUMOS!$I$6:$I$205,MATCH($C180,INSUMOS!$A$6:$A$205,0)),N($F180))/$I180*$K180)</f>
        <v/>
      </c>
      <c r="M180" s="8" t="str">
        <f aca="false">IF($A180="","",COUNTIF($A$6:$A180,$A180))</f>
        <v/>
      </c>
      <c r="N180" s="8" t="str">
        <f aca="false">IF($A180="","",$A180&amp;"|"&amp;$M180)</f>
        <v/>
      </c>
    </row>
    <row r="181" customFormat="false" ht="15" hidden="false" customHeight="false" outlineLevel="0" collapsed="false">
      <c r="A181" s="6"/>
      <c r="B181" s="8" t="str">
        <f aca="false">IF($A181="","",IFERROR(INDEX(PRODUCTOS!$B$6:$B$105,MATCH($A181,PRODUCTOS!$A$6:$A$105,0)),"¿Código?"))</f>
        <v/>
      </c>
      <c r="C181" s="6"/>
      <c r="D181" s="8" t="str">
        <f aca="false">IF($C181="","",IFERROR(INDEX(INSUMOS!$B$6:$B$205,MATCH($C181,INSUMOS!$A$6:$A$205,0)),"¿Código?"))</f>
        <v/>
      </c>
      <c r="E181" s="8" t="str">
        <f aca="false">IF($C181="","",IFERROR(INDEX(INSUMOS!$D$6:$D$205,MATCH($C181,INSUMOS!$A$6:$A$205,0)),""))</f>
        <v/>
      </c>
      <c r="F181" s="39"/>
      <c r="G181" s="43" t="str">
        <f aca="false">IF(OR($A181="",$C181=""),"",IFERROR(INDEX(INSUMOS!$P$6:$P$205,MATCH($C181,INSUMOS!$A$6:$A$205,0)),0))</f>
        <v/>
      </c>
      <c r="H181" s="43" t="str">
        <f aca="false">IF(OR($A181="",$C181=""),"",N($F181)*$G181)</f>
        <v/>
      </c>
      <c r="I181" s="34" t="str">
        <f aca="false">IF(OR($A181="",$C181=""),"",IFERROR(MAX(1,INDEX(PRODUCTOS!$G$6:$G$105,MATCH($A181,PRODUCTOS!$A$6:$A$105,0))),1))</f>
        <v/>
      </c>
      <c r="J181" s="43" t="str">
        <f aca="false">IF(OR($A181="",$C181=""),"",$H181/$I181)</f>
        <v/>
      </c>
      <c r="K181" s="34" t="str">
        <f aca="false">IF(OR($A181="",$C181=""),"",SUMIFS(VENTAS!$E$6:$E$2005,VENTAS!$C$6:$C$2005,$A181))</f>
        <v/>
      </c>
      <c r="L181" s="45" t="str">
        <f aca="false">IF(OR($A181="",$C181=""),"",IFERROR(N($F181)/INDEX(INSUMOS!$I$6:$I$205,MATCH($C181,INSUMOS!$A$6:$A$205,0)),N($F181))/$I181*$K181)</f>
        <v/>
      </c>
      <c r="M181" s="8" t="str">
        <f aca="false">IF($A181="","",COUNTIF($A$6:$A181,$A181))</f>
        <v/>
      </c>
      <c r="N181" s="8" t="str">
        <f aca="false">IF($A181="","",$A181&amp;"|"&amp;$M181)</f>
        <v/>
      </c>
    </row>
    <row r="182" customFormat="false" ht="15" hidden="false" customHeight="false" outlineLevel="0" collapsed="false">
      <c r="A182" s="6"/>
      <c r="B182" s="8" t="str">
        <f aca="false">IF($A182="","",IFERROR(INDEX(PRODUCTOS!$B$6:$B$105,MATCH($A182,PRODUCTOS!$A$6:$A$105,0)),"¿Código?"))</f>
        <v/>
      </c>
      <c r="C182" s="6"/>
      <c r="D182" s="8" t="str">
        <f aca="false">IF($C182="","",IFERROR(INDEX(INSUMOS!$B$6:$B$205,MATCH($C182,INSUMOS!$A$6:$A$205,0)),"¿Código?"))</f>
        <v/>
      </c>
      <c r="E182" s="8" t="str">
        <f aca="false">IF($C182="","",IFERROR(INDEX(INSUMOS!$D$6:$D$205,MATCH($C182,INSUMOS!$A$6:$A$205,0)),""))</f>
        <v/>
      </c>
      <c r="F182" s="39"/>
      <c r="G182" s="43" t="str">
        <f aca="false">IF(OR($A182="",$C182=""),"",IFERROR(INDEX(INSUMOS!$P$6:$P$205,MATCH($C182,INSUMOS!$A$6:$A$205,0)),0))</f>
        <v/>
      </c>
      <c r="H182" s="43" t="str">
        <f aca="false">IF(OR($A182="",$C182=""),"",N($F182)*$G182)</f>
        <v/>
      </c>
      <c r="I182" s="34" t="str">
        <f aca="false">IF(OR($A182="",$C182=""),"",IFERROR(MAX(1,INDEX(PRODUCTOS!$G$6:$G$105,MATCH($A182,PRODUCTOS!$A$6:$A$105,0))),1))</f>
        <v/>
      </c>
      <c r="J182" s="43" t="str">
        <f aca="false">IF(OR($A182="",$C182=""),"",$H182/$I182)</f>
        <v/>
      </c>
      <c r="K182" s="34" t="str">
        <f aca="false">IF(OR($A182="",$C182=""),"",SUMIFS(VENTAS!$E$6:$E$2005,VENTAS!$C$6:$C$2005,$A182))</f>
        <v/>
      </c>
      <c r="L182" s="45" t="str">
        <f aca="false">IF(OR($A182="",$C182=""),"",IFERROR(N($F182)/INDEX(INSUMOS!$I$6:$I$205,MATCH($C182,INSUMOS!$A$6:$A$205,0)),N($F182))/$I182*$K182)</f>
        <v/>
      </c>
      <c r="M182" s="8" t="str">
        <f aca="false">IF($A182="","",COUNTIF($A$6:$A182,$A182))</f>
        <v/>
      </c>
      <c r="N182" s="8" t="str">
        <f aca="false">IF($A182="","",$A182&amp;"|"&amp;$M182)</f>
        <v/>
      </c>
    </row>
    <row r="183" customFormat="false" ht="15" hidden="false" customHeight="false" outlineLevel="0" collapsed="false">
      <c r="A183" s="6"/>
      <c r="B183" s="8" t="str">
        <f aca="false">IF($A183="","",IFERROR(INDEX(PRODUCTOS!$B$6:$B$105,MATCH($A183,PRODUCTOS!$A$6:$A$105,0)),"¿Código?"))</f>
        <v/>
      </c>
      <c r="C183" s="6"/>
      <c r="D183" s="8" t="str">
        <f aca="false">IF($C183="","",IFERROR(INDEX(INSUMOS!$B$6:$B$205,MATCH($C183,INSUMOS!$A$6:$A$205,0)),"¿Código?"))</f>
        <v/>
      </c>
      <c r="E183" s="8" t="str">
        <f aca="false">IF($C183="","",IFERROR(INDEX(INSUMOS!$D$6:$D$205,MATCH($C183,INSUMOS!$A$6:$A$205,0)),""))</f>
        <v/>
      </c>
      <c r="F183" s="39"/>
      <c r="G183" s="43" t="str">
        <f aca="false">IF(OR($A183="",$C183=""),"",IFERROR(INDEX(INSUMOS!$P$6:$P$205,MATCH($C183,INSUMOS!$A$6:$A$205,0)),0))</f>
        <v/>
      </c>
      <c r="H183" s="43" t="str">
        <f aca="false">IF(OR($A183="",$C183=""),"",N($F183)*$G183)</f>
        <v/>
      </c>
      <c r="I183" s="34" t="str">
        <f aca="false">IF(OR($A183="",$C183=""),"",IFERROR(MAX(1,INDEX(PRODUCTOS!$G$6:$G$105,MATCH($A183,PRODUCTOS!$A$6:$A$105,0))),1))</f>
        <v/>
      </c>
      <c r="J183" s="43" t="str">
        <f aca="false">IF(OR($A183="",$C183=""),"",$H183/$I183)</f>
        <v/>
      </c>
      <c r="K183" s="34" t="str">
        <f aca="false">IF(OR($A183="",$C183=""),"",SUMIFS(VENTAS!$E$6:$E$2005,VENTAS!$C$6:$C$2005,$A183))</f>
        <v/>
      </c>
      <c r="L183" s="45" t="str">
        <f aca="false">IF(OR($A183="",$C183=""),"",IFERROR(N($F183)/INDEX(INSUMOS!$I$6:$I$205,MATCH($C183,INSUMOS!$A$6:$A$205,0)),N($F183))/$I183*$K183)</f>
        <v/>
      </c>
      <c r="M183" s="8" t="str">
        <f aca="false">IF($A183="","",COUNTIF($A$6:$A183,$A183))</f>
        <v/>
      </c>
      <c r="N183" s="8" t="str">
        <f aca="false">IF($A183="","",$A183&amp;"|"&amp;$M183)</f>
        <v/>
      </c>
    </row>
    <row r="184" customFormat="false" ht="15" hidden="false" customHeight="false" outlineLevel="0" collapsed="false">
      <c r="A184" s="6"/>
      <c r="B184" s="8" t="str">
        <f aca="false">IF($A184="","",IFERROR(INDEX(PRODUCTOS!$B$6:$B$105,MATCH($A184,PRODUCTOS!$A$6:$A$105,0)),"¿Código?"))</f>
        <v/>
      </c>
      <c r="C184" s="6"/>
      <c r="D184" s="8" t="str">
        <f aca="false">IF($C184="","",IFERROR(INDEX(INSUMOS!$B$6:$B$205,MATCH($C184,INSUMOS!$A$6:$A$205,0)),"¿Código?"))</f>
        <v/>
      </c>
      <c r="E184" s="8" t="str">
        <f aca="false">IF($C184="","",IFERROR(INDEX(INSUMOS!$D$6:$D$205,MATCH($C184,INSUMOS!$A$6:$A$205,0)),""))</f>
        <v/>
      </c>
      <c r="F184" s="39"/>
      <c r="G184" s="43" t="str">
        <f aca="false">IF(OR($A184="",$C184=""),"",IFERROR(INDEX(INSUMOS!$P$6:$P$205,MATCH($C184,INSUMOS!$A$6:$A$205,0)),0))</f>
        <v/>
      </c>
      <c r="H184" s="43" t="str">
        <f aca="false">IF(OR($A184="",$C184=""),"",N($F184)*$G184)</f>
        <v/>
      </c>
      <c r="I184" s="34" t="str">
        <f aca="false">IF(OR($A184="",$C184=""),"",IFERROR(MAX(1,INDEX(PRODUCTOS!$G$6:$G$105,MATCH($A184,PRODUCTOS!$A$6:$A$105,0))),1))</f>
        <v/>
      </c>
      <c r="J184" s="43" t="str">
        <f aca="false">IF(OR($A184="",$C184=""),"",$H184/$I184)</f>
        <v/>
      </c>
      <c r="K184" s="34" t="str">
        <f aca="false">IF(OR($A184="",$C184=""),"",SUMIFS(VENTAS!$E$6:$E$2005,VENTAS!$C$6:$C$2005,$A184))</f>
        <v/>
      </c>
      <c r="L184" s="45" t="str">
        <f aca="false">IF(OR($A184="",$C184=""),"",IFERROR(N($F184)/INDEX(INSUMOS!$I$6:$I$205,MATCH($C184,INSUMOS!$A$6:$A$205,0)),N($F184))/$I184*$K184)</f>
        <v/>
      </c>
      <c r="M184" s="8" t="str">
        <f aca="false">IF($A184="","",COUNTIF($A$6:$A184,$A184))</f>
        <v/>
      </c>
      <c r="N184" s="8" t="str">
        <f aca="false">IF($A184="","",$A184&amp;"|"&amp;$M184)</f>
        <v/>
      </c>
    </row>
    <row r="185" customFormat="false" ht="15" hidden="false" customHeight="false" outlineLevel="0" collapsed="false">
      <c r="A185" s="6"/>
      <c r="B185" s="8" t="str">
        <f aca="false">IF($A185="","",IFERROR(INDEX(PRODUCTOS!$B$6:$B$105,MATCH($A185,PRODUCTOS!$A$6:$A$105,0)),"¿Código?"))</f>
        <v/>
      </c>
      <c r="C185" s="6"/>
      <c r="D185" s="8" t="str">
        <f aca="false">IF($C185="","",IFERROR(INDEX(INSUMOS!$B$6:$B$205,MATCH($C185,INSUMOS!$A$6:$A$205,0)),"¿Código?"))</f>
        <v/>
      </c>
      <c r="E185" s="8" t="str">
        <f aca="false">IF($C185="","",IFERROR(INDEX(INSUMOS!$D$6:$D$205,MATCH($C185,INSUMOS!$A$6:$A$205,0)),""))</f>
        <v/>
      </c>
      <c r="F185" s="39"/>
      <c r="G185" s="43" t="str">
        <f aca="false">IF(OR($A185="",$C185=""),"",IFERROR(INDEX(INSUMOS!$P$6:$P$205,MATCH($C185,INSUMOS!$A$6:$A$205,0)),0))</f>
        <v/>
      </c>
      <c r="H185" s="43" t="str">
        <f aca="false">IF(OR($A185="",$C185=""),"",N($F185)*$G185)</f>
        <v/>
      </c>
      <c r="I185" s="34" t="str">
        <f aca="false">IF(OR($A185="",$C185=""),"",IFERROR(MAX(1,INDEX(PRODUCTOS!$G$6:$G$105,MATCH($A185,PRODUCTOS!$A$6:$A$105,0))),1))</f>
        <v/>
      </c>
      <c r="J185" s="43" t="str">
        <f aca="false">IF(OR($A185="",$C185=""),"",$H185/$I185)</f>
        <v/>
      </c>
      <c r="K185" s="34" t="str">
        <f aca="false">IF(OR($A185="",$C185=""),"",SUMIFS(VENTAS!$E$6:$E$2005,VENTAS!$C$6:$C$2005,$A185))</f>
        <v/>
      </c>
      <c r="L185" s="45" t="str">
        <f aca="false">IF(OR($A185="",$C185=""),"",IFERROR(N($F185)/INDEX(INSUMOS!$I$6:$I$205,MATCH($C185,INSUMOS!$A$6:$A$205,0)),N($F185))/$I185*$K185)</f>
        <v/>
      </c>
      <c r="M185" s="8" t="str">
        <f aca="false">IF($A185="","",COUNTIF($A$6:$A185,$A185))</f>
        <v/>
      </c>
      <c r="N185" s="8" t="str">
        <f aca="false">IF($A185="","",$A185&amp;"|"&amp;$M185)</f>
        <v/>
      </c>
    </row>
    <row r="186" customFormat="false" ht="15" hidden="false" customHeight="false" outlineLevel="0" collapsed="false">
      <c r="A186" s="6"/>
      <c r="B186" s="8" t="str">
        <f aca="false">IF($A186="","",IFERROR(INDEX(PRODUCTOS!$B$6:$B$105,MATCH($A186,PRODUCTOS!$A$6:$A$105,0)),"¿Código?"))</f>
        <v/>
      </c>
      <c r="C186" s="6"/>
      <c r="D186" s="8" t="str">
        <f aca="false">IF($C186="","",IFERROR(INDEX(INSUMOS!$B$6:$B$205,MATCH($C186,INSUMOS!$A$6:$A$205,0)),"¿Código?"))</f>
        <v/>
      </c>
      <c r="E186" s="8" t="str">
        <f aca="false">IF($C186="","",IFERROR(INDEX(INSUMOS!$D$6:$D$205,MATCH($C186,INSUMOS!$A$6:$A$205,0)),""))</f>
        <v/>
      </c>
      <c r="F186" s="39"/>
      <c r="G186" s="43" t="str">
        <f aca="false">IF(OR($A186="",$C186=""),"",IFERROR(INDEX(INSUMOS!$P$6:$P$205,MATCH($C186,INSUMOS!$A$6:$A$205,0)),0))</f>
        <v/>
      </c>
      <c r="H186" s="43" t="str">
        <f aca="false">IF(OR($A186="",$C186=""),"",N($F186)*$G186)</f>
        <v/>
      </c>
      <c r="I186" s="34" t="str">
        <f aca="false">IF(OR($A186="",$C186=""),"",IFERROR(MAX(1,INDEX(PRODUCTOS!$G$6:$G$105,MATCH($A186,PRODUCTOS!$A$6:$A$105,0))),1))</f>
        <v/>
      </c>
      <c r="J186" s="43" t="str">
        <f aca="false">IF(OR($A186="",$C186=""),"",$H186/$I186)</f>
        <v/>
      </c>
      <c r="K186" s="34" t="str">
        <f aca="false">IF(OR($A186="",$C186=""),"",SUMIFS(VENTAS!$E$6:$E$2005,VENTAS!$C$6:$C$2005,$A186))</f>
        <v/>
      </c>
      <c r="L186" s="45" t="str">
        <f aca="false">IF(OR($A186="",$C186=""),"",IFERROR(N($F186)/INDEX(INSUMOS!$I$6:$I$205,MATCH($C186,INSUMOS!$A$6:$A$205,0)),N($F186))/$I186*$K186)</f>
        <v/>
      </c>
      <c r="M186" s="8" t="str">
        <f aca="false">IF($A186="","",COUNTIF($A$6:$A186,$A186))</f>
        <v/>
      </c>
      <c r="N186" s="8" t="str">
        <f aca="false">IF($A186="","",$A186&amp;"|"&amp;$M186)</f>
        <v/>
      </c>
    </row>
    <row r="187" customFormat="false" ht="15" hidden="false" customHeight="false" outlineLevel="0" collapsed="false">
      <c r="A187" s="6"/>
      <c r="B187" s="8" t="str">
        <f aca="false">IF($A187="","",IFERROR(INDEX(PRODUCTOS!$B$6:$B$105,MATCH($A187,PRODUCTOS!$A$6:$A$105,0)),"¿Código?"))</f>
        <v/>
      </c>
      <c r="C187" s="6"/>
      <c r="D187" s="8" t="str">
        <f aca="false">IF($C187="","",IFERROR(INDEX(INSUMOS!$B$6:$B$205,MATCH($C187,INSUMOS!$A$6:$A$205,0)),"¿Código?"))</f>
        <v/>
      </c>
      <c r="E187" s="8" t="str">
        <f aca="false">IF($C187="","",IFERROR(INDEX(INSUMOS!$D$6:$D$205,MATCH($C187,INSUMOS!$A$6:$A$205,0)),""))</f>
        <v/>
      </c>
      <c r="F187" s="39"/>
      <c r="G187" s="43" t="str">
        <f aca="false">IF(OR($A187="",$C187=""),"",IFERROR(INDEX(INSUMOS!$P$6:$P$205,MATCH($C187,INSUMOS!$A$6:$A$205,0)),0))</f>
        <v/>
      </c>
      <c r="H187" s="43" t="str">
        <f aca="false">IF(OR($A187="",$C187=""),"",N($F187)*$G187)</f>
        <v/>
      </c>
      <c r="I187" s="34" t="str">
        <f aca="false">IF(OR($A187="",$C187=""),"",IFERROR(MAX(1,INDEX(PRODUCTOS!$G$6:$G$105,MATCH($A187,PRODUCTOS!$A$6:$A$105,0))),1))</f>
        <v/>
      </c>
      <c r="J187" s="43" t="str">
        <f aca="false">IF(OR($A187="",$C187=""),"",$H187/$I187)</f>
        <v/>
      </c>
      <c r="K187" s="34" t="str">
        <f aca="false">IF(OR($A187="",$C187=""),"",SUMIFS(VENTAS!$E$6:$E$2005,VENTAS!$C$6:$C$2005,$A187))</f>
        <v/>
      </c>
      <c r="L187" s="45" t="str">
        <f aca="false">IF(OR($A187="",$C187=""),"",IFERROR(N($F187)/INDEX(INSUMOS!$I$6:$I$205,MATCH($C187,INSUMOS!$A$6:$A$205,0)),N($F187))/$I187*$K187)</f>
        <v/>
      </c>
      <c r="M187" s="8" t="str">
        <f aca="false">IF($A187="","",COUNTIF($A$6:$A187,$A187))</f>
        <v/>
      </c>
      <c r="N187" s="8" t="str">
        <f aca="false">IF($A187="","",$A187&amp;"|"&amp;$M187)</f>
        <v/>
      </c>
    </row>
    <row r="188" customFormat="false" ht="15" hidden="false" customHeight="false" outlineLevel="0" collapsed="false">
      <c r="A188" s="6"/>
      <c r="B188" s="8" t="str">
        <f aca="false">IF($A188="","",IFERROR(INDEX(PRODUCTOS!$B$6:$B$105,MATCH($A188,PRODUCTOS!$A$6:$A$105,0)),"¿Código?"))</f>
        <v/>
      </c>
      <c r="C188" s="6"/>
      <c r="D188" s="8" t="str">
        <f aca="false">IF($C188="","",IFERROR(INDEX(INSUMOS!$B$6:$B$205,MATCH($C188,INSUMOS!$A$6:$A$205,0)),"¿Código?"))</f>
        <v/>
      </c>
      <c r="E188" s="8" t="str">
        <f aca="false">IF($C188="","",IFERROR(INDEX(INSUMOS!$D$6:$D$205,MATCH($C188,INSUMOS!$A$6:$A$205,0)),""))</f>
        <v/>
      </c>
      <c r="F188" s="39"/>
      <c r="G188" s="43" t="str">
        <f aca="false">IF(OR($A188="",$C188=""),"",IFERROR(INDEX(INSUMOS!$P$6:$P$205,MATCH($C188,INSUMOS!$A$6:$A$205,0)),0))</f>
        <v/>
      </c>
      <c r="H188" s="43" t="str">
        <f aca="false">IF(OR($A188="",$C188=""),"",N($F188)*$G188)</f>
        <v/>
      </c>
      <c r="I188" s="34" t="str">
        <f aca="false">IF(OR($A188="",$C188=""),"",IFERROR(MAX(1,INDEX(PRODUCTOS!$G$6:$G$105,MATCH($A188,PRODUCTOS!$A$6:$A$105,0))),1))</f>
        <v/>
      </c>
      <c r="J188" s="43" t="str">
        <f aca="false">IF(OR($A188="",$C188=""),"",$H188/$I188)</f>
        <v/>
      </c>
      <c r="K188" s="34" t="str">
        <f aca="false">IF(OR($A188="",$C188=""),"",SUMIFS(VENTAS!$E$6:$E$2005,VENTAS!$C$6:$C$2005,$A188))</f>
        <v/>
      </c>
      <c r="L188" s="45" t="str">
        <f aca="false">IF(OR($A188="",$C188=""),"",IFERROR(N($F188)/INDEX(INSUMOS!$I$6:$I$205,MATCH($C188,INSUMOS!$A$6:$A$205,0)),N($F188))/$I188*$K188)</f>
        <v/>
      </c>
      <c r="M188" s="8" t="str">
        <f aca="false">IF($A188="","",COUNTIF($A$6:$A188,$A188))</f>
        <v/>
      </c>
      <c r="N188" s="8" t="str">
        <f aca="false">IF($A188="","",$A188&amp;"|"&amp;$M188)</f>
        <v/>
      </c>
    </row>
    <row r="189" customFormat="false" ht="15" hidden="false" customHeight="false" outlineLevel="0" collapsed="false">
      <c r="A189" s="6"/>
      <c r="B189" s="8" t="str">
        <f aca="false">IF($A189="","",IFERROR(INDEX(PRODUCTOS!$B$6:$B$105,MATCH($A189,PRODUCTOS!$A$6:$A$105,0)),"¿Código?"))</f>
        <v/>
      </c>
      <c r="C189" s="6"/>
      <c r="D189" s="8" t="str">
        <f aca="false">IF($C189="","",IFERROR(INDEX(INSUMOS!$B$6:$B$205,MATCH($C189,INSUMOS!$A$6:$A$205,0)),"¿Código?"))</f>
        <v/>
      </c>
      <c r="E189" s="8" t="str">
        <f aca="false">IF($C189="","",IFERROR(INDEX(INSUMOS!$D$6:$D$205,MATCH($C189,INSUMOS!$A$6:$A$205,0)),""))</f>
        <v/>
      </c>
      <c r="F189" s="39"/>
      <c r="G189" s="43" t="str">
        <f aca="false">IF(OR($A189="",$C189=""),"",IFERROR(INDEX(INSUMOS!$P$6:$P$205,MATCH($C189,INSUMOS!$A$6:$A$205,0)),0))</f>
        <v/>
      </c>
      <c r="H189" s="43" t="str">
        <f aca="false">IF(OR($A189="",$C189=""),"",N($F189)*$G189)</f>
        <v/>
      </c>
      <c r="I189" s="34" t="str">
        <f aca="false">IF(OR($A189="",$C189=""),"",IFERROR(MAX(1,INDEX(PRODUCTOS!$G$6:$G$105,MATCH($A189,PRODUCTOS!$A$6:$A$105,0))),1))</f>
        <v/>
      </c>
      <c r="J189" s="43" t="str">
        <f aca="false">IF(OR($A189="",$C189=""),"",$H189/$I189)</f>
        <v/>
      </c>
      <c r="K189" s="34" t="str">
        <f aca="false">IF(OR($A189="",$C189=""),"",SUMIFS(VENTAS!$E$6:$E$2005,VENTAS!$C$6:$C$2005,$A189))</f>
        <v/>
      </c>
      <c r="L189" s="45" t="str">
        <f aca="false">IF(OR($A189="",$C189=""),"",IFERROR(N($F189)/INDEX(INSUMOS!$I$6:$I$205,MATCH($C189,INSUMOS!$A$6:$A$205,0)),N($F189))/$I189*$K189)</f>
        <v/>
      </c>
      <c r="M189" s="8" t="str">
        <f aca="false">IF($A189="","",COUNTIF($A$6:$A189,$A189))</f>
        <v/>
      </c>
      <c r="N189" s="8" t="str">
        <f aca="false">IF($A189="","",$A189&amp;"|"&amp;$M189)</f>
        <v/>
      </c>
    </row>
    <row r="190" customFormat="false" ht="15" hidden="false" customHeight="false" outlineLevel="0" collapsed="false">
      <c r="A190" s="6"/>
      <c r="B190" s="8" t="str">
        <f aca="false">IF($A190="","",IFERROR(INDEX(PRODUCTOS!$B$6:$B$105,MATCH($A190,PRODUCTOS!$A$6:$A$105,0)),"¿Código?"))</f>
        <v/>
      </c>
      <c r="C190" s="6"/>
      <c r="D190" s="8" t="str">
        <f aca="false">IF($C190="","",IFERROR(INDEX(INSUMOS!$B$6:$B$205,MATCH($C190,INSUMOS!$A$6:$A$205,0)),"¿Código?"))</f>
        <v/>
      </c>
      <c r="E190" s="8" t="str">
        <f aca="false">IF($C190="","",IFERROR(INDEX(INSUMOS!$D$6:$D$205,MATCH($C190,INSUMOS!$A$6:$A$205,0)),""))</f>
        <v/>
      </c>
      <c r="F190" s="39"/>
      <c r="G190" s="43" t="str">
        <f aca="false">IF(OR($A190="",$C190=""),"",IFERROR(INDEX(INSUMOS!$P$6:$P$205,MATCH($C190,INSUMOS!$A$6:$A$205,0)),0))</f>
        <v/>
      </c>
      <c r="H190" s="43" t="str">
        <f aca="false">IF(OR($A190="",$C190=""),"",N($F190)*$G190)</f>
        <v/>
      </c>
      <c r="I190" s="34" t="str">
        <f aca="false">IF(OR($A190="",$C190=""),"",IFERROR(MAX(1,INDEX(PRODUCTOS!$G$6:$G$105,MATCH($A190,PRODUCTOS!$A$6:$A$105,0))),1))</f>
        <v/>
      </c>
      <c r="J190" s="43" t="str">
        <f aca="false">IF(OR($A190="",$C190=""),"",$H190/$I190)</f>
        <v/>
      </c>
      <c r="K190" s="34" t="str">
        <f aca="false">IF(OR($A190="",$C190=""),"",SUMIFS(VENTAS!$E$6:$E$2005,VENTAS!$C$6:$C$2005,$A190))</f>
        <v/>
      </c>
      <c r="L190" s="45" t="str">
        <f aca="false">IF(OR($A190="",$C190=""),"",IFERROR(N($F190)/INDEX(INSUMOS!$I$6:$I$205,MATCH($C190,INSUMOS!$A$6:$A$205,0)),N($F190))/$I190*$K190)</f>
        <v/>
      </c>
      <c r="M190" s="8" t="str">
        <f aca="false">IF($A190="","",COUNTIF($A$6:$A190,$A190))</f>
        <v/>
      </c>
      <c r="N190" s="8" t="str">
        <f aca="false">IF($A190="","",$A190&amp;"|"&amp;$M190)</f>
        <v/>
      </c>
    </row>
    <row r="191" customFormat="false" ht="15" hidden="false" customHeight="false" outlineLevel="0" collapsed="false">
      <c r="A191" s="6"/>
      <c r="B191" s="8" t="str">
        <f aca="false">IF($A191="","",IFERROR(INDEX(PRODUCTOS!$B$6:$B$105,MATCH($A191,PRODUCTOS!$A$6:$A$105,0)),"¿Código?"))</f>
        <v/>
      </c>
      <c r="C191" s="6"/>
      <c r="D191" s="8" t="str">
        <f aca="false">IF($C191="","",IFERROR(INDEX(INSUMOS!$B$6:$B$205,MATCH($C191,INSUMOS!$A$6:$A$205,0)),"¿Código?"))</f>
        <v/>
      </c>
      <c r="E191" s="8" t="str">
        <f aca="false">IF($C191="","",IFERROR(INDEX(INSUMOS!$D$6:$D$205,MATCH($C191,INSUMOS!$A$6:$A$205,0)),""))</f>
        <v/>
      </c>
      <c r="F191" s="39"/>
      <c r="G191" s="43" t="str">
        <f aca="false">IF(OR($A191="",$C191=""),"",IFERROR(INDEX(INSUMOS!$P$6:$P$205,MATCH($C191,INSUMOS!$A$6:$A$205,0)),0))</f>
        <v/>
      </c>
      <c r="H191" s="43" t="str">
        <f aca="false">IF(OR($A191="",$C191=""),"",N($F191)*$G191)</f>
        <v/>
      </c>
      <c r="I191" s="34" t="str">
        <f aca="false">IF(OR($A191="",$C191=""),"",IFERROR(MAX(1,INDEX(PRODUCTOS!$G$6:$G$105,MATCH($A191,PRODUCTOS!$A$6:$A$105,0))),1))</f>
        <v/>
      </c>
      <c r="J191" s="43" t="str">
        <f aca="false">IF(OR($A191="",$C191=""),"",$H191/$I191)</f>
        <v/>
      </c>
      <c r="K191" s="34" t="str">
        <f aca="false">IF(OR($A191="",$C191=""),"",SUMIFS(VENTAS!$E$6:$E$2005,VENTAS!$C$6:$C$2005,$A191))</f>
        <v/>
      </c>
      <c r="L191" s="45" t="str">
        <f aca="false">IF(OR($A191="",$C191=""),"",IFERROR(N($F191)/INDEX(INSUMOS!$I$6:$I$205,MATCH($C191,INSUMOS!$A$6:$A$205,0)),N($F191))/$I191*$K191)</f>
        <v/>
      </c>
      <c r="M191" s="8" t="str">
        <f aca="false">IF($A191="","",COUNTIF($A$6:$A191,$A191))</f>
        <v/>
      </c>
      <c r="N191" s="8" t="str">
        <f aca="false">IF($A191="","",$A191&amp;"|"&amp;$M191)</f>
        <v/>
      </c>
    </row>
    <row r="192" customFormat="false" ht="15" hidden="false" customHeight="false" outlineLevel="0" collapsed="false">
      <c r="A192" s="6"/>
      <c r="B192" s="8" t="str">
        <f aca="false">IF($A192="","",IFERROR(INDEX(PRODUCTOS!$B$6:$B$105,MATCH($A192,PRODUCTOS!$A$6:$A$105,0)),"¿Código?"))</f>
        <v/>
      </c>
      <c r="C192" s="6"/>
      <c r="D192" s="8" t="str">
        <f aca="false">IF($C192="","",IFERROR(INDEX(INSUMOS!$B$6:$B$205,MATCH($C192,INSUMOS!$A$6:$A$205,0)),"¿Código?"))</f>
        <v/>
      </c>
      <c r="E192" s="8" t="str">
        <f aca="false">IF($C192="","",IFERROR(INDEX(INSUMOS!$D$6:$D$205,MATCH($C192,INSUMOS!$A$6:$A$205,0)),""))</f>
        <v/>
      </c>
      <c r="F192" s="39"/>
      <c r="G192" s="43" t="str">
        <f aca="false">IF(OR($A192="",$C192=""),"",IFERROR(INDEX(INSUMOS!$P$6:$P$205,MATCH($C192,INSUMOS!$A$6:$A$205,0)),0))</f>
        <v/>
      </c>
      <c r="H192" s="43" t="str">
        <f aca="false">IF(OR($A192="",$C192=""),"",N($F192)*$G192)</f>
        <v/>
      </c>
      <c r="I192" s="34" t="str">
        <f aca="false">IF(OR($A192="",$C192=""),"",IFERROR(MAX(1,INDEX(PRODUCTOS!$G$6:$G$105,MATCH($A192,PRODUCTOS!$A$6:$A$105,0))),1))</f>
        <v/>
      </c>
      <c r="J192" s="43" t="str">
        <f aca="false">IF(OR($A192="",$C192=""),"",$H192/$I192)</f>
        <v/>
      </c>
      <c r="K192" s="34" t="str">
        <f aca="false">IF(OR($A192="",$C192=""),"",SUMIFS(VENTAS!$E$6:$E$2005,VENTAS!$C$6:$C$2005,$A192))</f>
        <v/>
      </c>
      <c r="L192" s="45" t="str">
        <f aca="false">IF(OR($A192="",$C192=""),"",IFERROR(N($F192)/INDEX(INSUMOS!$I$6:$I$205,MATCH($C192,INSUMOS!$A$6:$A$205,0)),N($F192))/$I192*$K192)</f>
        <v/>
      </c>
      <c r="M192" s="8" t="str">
        <f aca="false">IF($A192="","",COUNTIF($A$6:$A192,$A192))</f>
        <v/>
      </c>
      <c r="N192" s="8" t="str">
        <f aca="false">IF($A192="","",$A192&amp;"|"&amp;$M192)</f>
        <v/>
      </c>
    </row>
    <row r="193" customFormat="false" ht="15" hidden="false" customHeight="false" outlineLevel="0" collapsed="false">
      <c r="A193" s="6"/>
      <c r="B193" s="8" t="str">
        <f aca="false">IF($A193="","",IFERROR(INDEX(PRODUCTOS!$B$6:$B$105,MATCH($A193,PRODUCTOS!$A$6:$A$105,0)),"¿Código?"))</f>
        <v/>
      </c>
      <c r="C193" s="6"/>
      <c r="D193" s="8" t="str">
        <f aca="false">IF($C193="","",IFERROR(INDEX(INSUMOS!$B$6:$B$205,MATCH($C193,INSUMOS!$A$6:$A$205,0)),"¿Código?"))</f>
        <v/>
      </c>
      <c r="E193" s="8" t="str">
        <f aca="false">IF($C193="","",IFERROR(INDEX(INSUMOS!$D$6:$D$205,MATCH($C193,INSUMOS!$A$6:$A$205,0)),""))</f>
        <v/>
      </c>
      <c r="F193" s="39"/>
      <c r="G193" s="43" t="str">
        <f aca="false">IF(OR($A193="",$C193=""),"",IFERROR(INDEX(INSUMOS!$P$6:$P$205,MATCH($C193,INSUMOS!$A$6:$A$205,0)),0))</f>
        <v/>
      </c>
      <c r="H193" s="43" t="str">
        <f aca="false">IF(OR($A193="",$C193=""),"",N($F193)*$G193)</f>
        <v/>
      </c>
      <c r="I193" s="34" t="str">
        <f aca="false">IF(OR($A193="",$C193=""),"",IFERROR(MAX(1,INDEX(PRODUCTOS!$G$6:$G$105,MATCH($A193,PRODUCTOS!$A$6:$A$105,0))),1))</f>
        <v/>
      </c>
      <c r="J193" s="43" t="str">
        <f aca="false">IF(OR($A193="",$C193=""),"",$H193/$I193)</f>
        <v/>
      </c>
      <c r="K193" s="34" t="str">
        <f aca="false">IF(OR($A193="",$C193=""),"",SUMIFS(VENTAS!$E$6:$E$2005,VENTAS!$C$6:$C$2005,$A193))</f>
        <v/>
      </c>
      <c r="L193" s="45" t="str">
        <f aca="false">IF(OR($A193="",$C193=""),"",IFERROR(N($F193)/INDEX(INSUMOS!$I$6:$I$205,MATCH($C193,INSUMOS!$A$6:$A$205,0)),N($F193))/$I193*$K193)</f>
        <v/>
      </c>
      <c r="M193" s="8" t="str">
        <f aca="false">IF($A193="","",COUNTIF($A$6:$A193,$A193))</f>
        <v/>
      </c>
      <c r="N193" s="8" t="str">
        <f aca="false">IF($A193="","",$A193&amp;"|"&amp;$M193)</f>
        <v/>
      </c>
    </row>
    <row r="194" customFormat="false" ht="15" hidden="false" customHeight="false" outlineLevel="0" collapsed="false">
      <c r="A194" s="6"/>
      <c r="B194" s="8" t="str">
        <f aca="false">IF($A194="","",IFERROR(INDEX(PRODUCTOS!$B$6:$B$105,MATCH($A194,PRODUCTOS!$A$6:$A$105,0)),"¿Código?"))</f>
        <v/>
      </c>
      <c r="C194" s="6"/>
      <c r="D194" s="8" t="str">
        <f aca="false">IF($C194="","",IFERROR(INDEX(INSUMOS!$B$6:$B$205,MATCH($C194,INSUMOS!$A$6:$A$205,0)),"¿Código?"))</f>
        <v/>
      </c>
      <c r="E194" s="8" t="str">
        <f aca="false">IF($C194="","",IFERROR(INDEX(INSUMOS!$D$6:$D$205,MATCH($C194,INSUMOS!$A$6:$A$205,0)),""))</f>
        <v/>
      </c>
      <c r="F194" s="39"/>
      <c r="G194" s="43" t="str">
        <f aca="false">IF(OR($A194="",$C194=""),"",IFERROR(INDEX(INSUMOS!$P$6:$P$205,MATCH($C194,INSUMOS!$A$6:$A$205,0)),0))</f>
        <v/>
      </c>
      <c r="H194" s="43" t="str">
        <f aca="false">IF(OR($A194="",$C194=""),"",N($F194)*$G194)</f>
        <v/>
      </c>
      <c r="I194" s="34" t="str">
        <f aca="false">IF(OR($A194="",$C194=""),"",IFERROR(MAX(1,INDEX(PRODUCTOS!$G$6:$G$105,MATCH($A194,PRODUCTOS!$A$6:$A$105,0))),1))</f>
        <v/>
      </c>
      <c r="J194" s="43" t="str">
        <f aca="false">IF(OR($A194="",$C194=""),"",$H194/$I194)</f>
        <v/>
      </c>
      <c r="K194" s="34" t="str">
        <f aca="false">IF(OR($A194="",$C194=""),"",SUMIFS(VENTAS!$E$6:$E$2005,VENTAS!$C$6:$C$2005,$A194))</f>
        <v/>
      </c>
      <c r="L194" s="45" t="str">
        <f aca="false">IF(OR($A194="",$C194=""),"",IFERROR(N($F194)/INDEX(INSUMOS!$I$6:$I$205,MATCH($C194,INSUMOS!$A$6:$A$205,0)),N($F194))/$I194*$K194)</f>
        <v/>
      </c>
      <c r="M194" s="8" t="str">
        <f aca="false">IF($A194="","",COUNTIF($A$6:$A194,$A194))</f>
        <v/>
      </c>
      <c r="N194" s="8" t="str">
        <f aca="false">IF($A194="","",$A194&amp;"|"&amp;$M194)</f>
        <v/>
      </c>
    </row>
    <row r="195" customFormat="false" ht="15" hidden="false" customHeight="false" outlineLevel="0" collapsed="false">
      <c r="A195" s="6"/>
      <c r="B195" s="8" t="str">
        <f aca="false">IF($A195="","",IFERROR(INDEX(PRODUCTOS!$B$6:$B$105,MATCH($A195,PRODUCTOS!$A$6:$A$105,0)),"¿Código?"))</f>
        <v/>
      </c>
      <c r="C195" s="6"/>
      <c r="D195" s="8" t="str">
        <f aca="false">IF($C195="","",IFERROR(INDEX(INSUMOS!$B$6:$B$205,MATCH($C195,INSUMOS!$A$6:$A$205,0)),"¿Código?"))</f>
        <v/>
      </c>
      <c r="E195" s="8" t="str">
        <f aca="false">IF($C195="","",IFERROR(INDEX(INSUMOS!$D$6:$D$205,MATCH($C195,INSUMOS!$A$6:$A$205,0)),""))</f>
        <v/>
      </c>
      <c r="F195" s="39"/>
      <c r="G195" s="43" t="str">
        <f aca="false">IF(OR($A195="",$C195=""),"",IFERROR(INDEX(INSUMOS!$P$6:$P$205,MATCH($C195,INSUMOS!$A$6:$A$205,0)),0))</f>
        <v/>
      </c>
      <c r="H195" s="43" t="str">
        <f aca="false">IF(OR($A195="",$C195=""),"",N($F195)*$G195)</f>
        <v/>
      </c>
      <c r="I195" s="34" t="str">
        <f aca="false">IF(OR($A195="",$C195=""),"",IFERROR(MAX(1,INDEX(PRODUCTOS!$G$6:$G$105,MATCH($A195,PRODUCTOS!$A$6:$A$105,0))),1))</f>
        <v/>
      </c>
      <c r="J195" s="43" t="str">
        <f aca="false">IF(OR($A195="",$C195=""),"",$H195/$I195)</f>
        <v/>
      </c>
      <c r="K195" s="34" t="str">
        <f aca="false">IF(OR($A195="",$C195=""),"",SUMIFS(VENTAS!$E$6:$E$2005,VENTAS!$C$6:$C$2005,$A195))</f>
        <v/>
      </c>
      <c r="L195" s="45" t="str">
        <f aca="false">IF(OR($A195="",$C195=""),"",IFERROR(N($F195)/INDEX(INSUMOS!$I$6:$I$205,MATCH($C195,INSUMOS!$A$6:$A$205,0)),N($F195))/$I195*$K195)</f>
        <v/>
      </c>
      <c r="M195" s="8" t="str">
        <f aca="false">IF($A195="","",COUNTIF($A$6:$A195,$A195))</f>
        <v/>
      </c>
      <c r="N195" s="8" t="str">
        <f aca="false">IF($A195="","",$A195&amp;"|"&amp;$M195)</f>
        <v/>
      </c>
    </row>
    <row r="196" customFormat="false" ht="15" hidden="false" customHeight="false" outlineLevel="0" collapsed="false">
      <c r="A196" s="6"/>
      <c r="B196" s="8" t="str">
        <f aca="false">IF($A196="","",IFERROR(INDEX(PRODUCTOS!$B$6:$B$105,MATCH($A196,PRODUCTOS!$A$6:$A$105,0)),"¿Código?"))</f>
        <v/>
      </c>
      <c r="C196" s="6"/>
      <c r="D196" s="8" t="str">
        <f aca="false">IF($C196="","",IFERROR(INDEX(INSUMOS!$B$6:$B$205,MATCH($C196,INSUMOS!$A$6:$A$205,0)),"¿Código?"))</f>
        <v/>
      </c>
      <c r="E196" s="8" t="str">
        <f aca="false">IF($C196="","",IFERROR(INDEX(INSUMOS!$D$6:$D$205,MATCH($C196,INSUMOS!$A$6:$A$205,0)),""))</f>
        <v/>
      </c>
      <c r="F196" s="39"/>
      <c r="G196" s="43" t="str">
        <f aca="false">IF(OR($A196="",$C196=""),"",IFERROR(INDEX(INSUMOS!$P$6:$P$205,MATCH($C196,INSUMOS!$A$6:$A$205,0)),0))</f>
        <v/>
      </c>
      <c r="H196" s="43" t="str">
        <f aca="false">IF(OR($A196="",$C196=""),"",N($F196)*$G196)</f>
        <v/>
      </c>
      <c r="I196" s="34" t="str">
        <f aca="false">IF(OR($A196="",$C196=""),"",IFERROR(MAX(1,INDEX(PRODUCTOS!$G$6:$G$105,MATCH($A196,PRODUCTOS!$A$6:$A$105,0))),1))</f>
        <v/>
      </c>
      <c r="J196" s="43" t="str">
        <f aca="false">IF(OR($A196="",$C196=""),"",$H196/$I196)</f>
        <v/>
      </c>
      <c r="K196" s="34" t="str">
        <f aca="false">IF(OR($A196="",$C196=""),"",SUMIFS(VENTAS!$E$6:$E$2005,VENTAS!$C$6:$C$2005,$A196))</f>
        <v/>
      </c>
      <c r="L196" s="45" t="str">
        <f aca="false">IF(OR($A196="",$C196=""),"",IFERROR(N($F196)/INDEX(INSUMOS!$I$6:$I$205,MATCH($C196,INSUMOS!$A$6:$A$205,0)),N($F196))/$I196*$K196)</f>
        <v/>
      </c>
      <c r="M196" s="8" t="str">
        <f aca="false">IF($A196="","",COUNTIF($A$6:$A196,$A196))</f>
        <v/>
      </c>
      <c r="N196" s="8" t="str">
        <f aca="false">IF($A196="","",$A196&amp;"|"&amp;$M196)</f>
        <v/>
      </c>
    </row>
    <row r="197" customFormat="false" ht="15" hidden="false" customHeight="false" outlineLevel="0" collapsed="false">
      <c r="A197" s="6"/>
      <c r="B197" s="8" t="str">
        <f aca="false">IF($A197="","",IFERROR(INDEX(PRODUCTOS!$B$6:$B$105,MATCH($A197,PRODUCTOS!$A$6:$A$105,0)),"¿Código?"))</f>
        <v/>
      </c>
      <c r="C197" s="6"/>
      <c r="D197" s="8" t="str">
        <f aca="false">IF($C197="","",IFERROR(INDEX(INSUMOS!$B$6:$B$205,MATCH($C197,INSUMOS!$A$6:$A$205,0)),"¿Código?"))</f>
        <v/>
      </c>
      <c r="E197" s="8" t="str">
        <f aca="false">IF($C197="","",IFERROR(INDEX(INSUMOS!$D$6:$D$205,MATCH($C197,INSUMOS!$A$6:$A$205,0)),""))</f>
        <v/>
      </c>
      <c r="F197" s="39"/>
      <c r="G197" s="43" t="str">
        <f aca="false">IF(OR($A197="",$C197=""),"",IFERROR(INDEX(INSUMOS!$P$6:$P$205,MATCH($C197,INSUMOS!$A$6:$A$205,0)),0))</f>
        <v/>
      </c>
      <c r="H197" s="43" t="str">
        <f aca="false">IF(OR($A197="",$C197=""),"",N($F197)*$G197)</f>
        <v/>
      </c>
      <c r="I197" s="34" t="str">
        <f aca="false">IF(OR($A197="",$C197=""),"",IFERROR(MAX(1,INDEX(PRODUCTOS!$G$6:$G$105,MATCH($A197,PRODUCTOS!$A$6:$A$105,0))),1))</f>
        <v/>
      </c>
      <c r="J197" s="43" t="str">
        <f aca="false">IF(OR($A197="",$C197=""),"",$H197/$I197)</f>
        <v/>
      </c>
      <c r="K197" s="34" t="str">
        <f aca="false">IF(OR($A197="",$C197=""),"",SUMIFS(VENTAS!$E$6:$E$2005,VENTAS!$C$6:$C$2005,$A197))</f>
        <v/>
      </c>
      <c r="L197" s="45" t="str">
        <f aca="false">IF(OR($A197="",$C197=""),"",IFERROR(N($F197)/INDEX(INSUMOS!$I$6:$I$205,MATCH($C197,INSUMOS!$A$6:$A$205,0)),N($F197))/$I197*$K197)</f>
        <v/>
      </c>
      <c r="M197" s="8" t="str">
        <f aca="false">IF($A197="","",COUNTIF($A$6:$A197,$A197))</f>
        <v/>
      </c>
      <c r="N197" s="8" t="str">
        <f aca="false">IF($A197="","",$A197&amp;"|"&amp;$M197)</f>
        <v/>
      </c>
    </row>
    <row r="198" customFormat="false" ht="15" hidden="false" customHeight="false" outlineLevel="0" collapsed="false">
      <c r="A198" s="6"/>
      <c r="B198" s="8" t="str">
        <f aca="false">IF($A198="","",IFERROR(INDEX(PRODUCTOS!$B$6:$B$105,MATCH($A198,PRODUCTOS!$A$6:$A$105,0)),"¿Código?"))</f>
        <v/>
      </c>
      <c r="C198" s="6"/>
      <c r="D198" s="8" t="str">
        <f aca="false">IF($C198="","",IFERROR(INDEX(INSUMOS!$B$6:$B$205,MATCH($C198,INSUMOS!$A$6:$A$205,0)),"¿Código?"))</f>
        <v/>
      </c>
      <c r="E198" s="8" t="str">
        <f aca="false">IF($C198="","",IFERROR(INDEX(INSUMOS!$D$6:$D$205,MATCH($C198,INSUMOS!$A$6:$A$205,0)),""))</f>
        <v/>
      </c>
      <c r="F198" s="39"/>
      <c r="G198" s="43" t="str">
        <f aca="false">IF(OR($A198="",$C198=""),"",IFERROR(INDEX(INSUMOS!$P$6:$P$205,MATCH($C198,INSUMOS!$A$6:$A$205,0)),0))</f>
        <v/>
      </c>
      <c r="H198" s="43" t="str">
        <f aca="false">IF(OR($A198="",$C198=""),"",N($F198)*$G198)</f>
        <v/>
      </c>
      <c r="I198" s="34" t="str">
        <f aca="false">IF(OR($A198="",$C198=""),"",IFERROR(MAX(1,INDEX(PRODUCTOS!$G$6:$G$105,MATCH($A198,PRODUCTOS!$A$6:$A$105,0))),1))</f>
        <v/>
      </c>
      <c r="J198" s="43" t="str">
        <f aca="false">IF(OR($A198="",$C198=""),"",$H198/$I198)</f>
        <v/>
      </c>
      <c r="K198" s="34" t="str">
        <f aca="false">IF(OR($A198="",$C198=""),"",SUMIFS(VENTAS!$E$6:$E$2005,VENTAS!$C$6:$C$2005,$A198))</f>
        <v/>
      </c>
      <c r="L198" s="45" t="str">
        <f aca="false">IF(OR($A198="",$C198=""),"",IFERROR(N($F198)/INDEX(INSUMOS!$I$6:$I$205,MATCH($C198,INSUMOS!$A$6:$A$205,0)),N($F198))/$I198*$K198)</f>
        <v/>
      </c>
      <c r="M198" s="8" t="str">
        <f aca="false">IF($A198="","",COUNTIF($A$6:$A198,$A198))</f>
        <v/>
      </c>
      <c r="N198" s="8" t="str">
        <f aca="false">IF($A198="","",$A198&amp;"|"&amp;$M198)</f>
        <v/>
      </c>
    </row>
    <row r="199" customFormat="false" ht="15" hidden="false" customHeight="false" outlineLevel="0" collapsed="false">
      <c r="A199" s="6"/>
      <c r="B199" s="8" t="str">
        <f aca="false">IF($A199="","",IFERROR(INDEX(PRODUCTOS!$B$6:$B$105,MATCH($A199,PRODUCTOS!$A$6:$A$105,0)),"¿Código?"))</f>
        <v/>
      </c>
      <c r="C199" s="6"/>
      <c r="D199" s="8" t="str">
        <f aca="false">IF($C199="","",IFERROR(INDEX(INSUMOS!$B$6:$B$205,MATCH($C199,INSUMOS!$A$6:$A$205,0)),"¿Código?"))</f>
        <v/>
      </c>
      <c r="E199" s="8" t="str">
        <f aca="false">IF($C199="","",IFERROR(INDEX(INSUMOS!$D$6:$D$205,MATCH($C199,INSUMOS!$A$6:$A$205,0)),""))</f>
        <v/>
      </c>
      <c r="F199" s="39"/>
      <c r="G199" s="43" t="str">
        <f aca="false">IF(OR($A199="",$C199=""),"",IFERROR(INDEX(INSUMOS!$P$6:$P$205,MATCH($C199,INSUMOS!$A$6:$A$205,0)),0))</f>
        <v/>
      </c>
      <c r="H199" s="43" t="str">
        <f aca="false">IF(OR($A199="",$C199=""),"",N($F199)*$G199)</f>
        <v/>
      </c>
      <c r="I199" s="34" t="str">
        <f aca="false">IF(OR($A199="",$C199=""),"",IFERROR(MAX(1,INDEX(PRODUCTOS!$G$6:$G$105,MATCH($A199,PRODUCTOS!$A$6:$A$105,0))),1))</f>
        <v/>
      </c>
      <c r="J199" s="43" t="str">
        <f aca="false">IF(OR($A199="",$C199=""),"",$H199/$I199)</f>
        <v/>
      </c>
      <c r="K199" s="34" t="str">
        <f aca="false">IF(OR($A199="",$C199=""),"",SUMIFS(VENTAS!$E$6:$E$2005,VENTAS!$C$6:$C$2005,$A199))</f>
        <v/>
      </c>
      <c r="L199" s="45" t="str">
        <f aca="false">IF(OR($A199="",$C199=""),"",IFERROR(N($F199)/INDEX(INSUMOS!$I$6:$I$205,MATCH($C199,INSUMOS!$A$6:$A$205,0)),N($F199))/$I199*$K199)</f>
        <v/>
      </c>
      <c r="M199" s="8" t="str">
        <f aca="false">IF($A199="","",COUNTIF($A$6:$A199,$A199))</f>
        <v/>
      </c>
      <c r="N199" s="8" t="str">
        <f aca="false">IF($A199="","",$A199&amp;"|"&amp;$M199)</f>
        <v/>
      </c>
    </row>
    <row r="200" customFormat="false" ht="15" hidden="false" customHeight="false" outlineLevel="0" collapsed="false">
      <c r="A200" s="6"/>
      <c r="B200" s="8" t="str">
        <f aca="false">IF($A200="","",IFERROR(INDEX(PRODUCTOS!$B$6:$B$105,MATCH($A200,PRODUCTOS!$A$6:$A$105,0)),"¿Código?"))</f>
        <v/>
      </c>
      <c r="C200" s="6"/>
      <c r="D200" s="8" t="str">
        <f aca="false">IF($C200="","",IFERROR(INDEX(INSUMOS!$B$6:$B$205,MATCH($C200,INSUMOS!$A$6:$A$205,0)),"¿Código?"))</f>
        <v/>
      </c>
      <c r="E200" s="8" t="str">
        <f aca="false">IF($C200="","",IFERROR(INDEX(INSUMOS!$D$6:$D$205,MATCH($C200,INSUMOS!$A$6:$A$205,0)),""))</f>
        <v/>
      </c>
      <c r="F200" s="39"/>
      <c r="G200" s="43" t="str">
        <f aca="false">IF(OR($A200="",$C200=""),"",IFERROR(INDEX(INSUMOS!$P$6:$P$205,MATCH($C200,INSUMOS!$A$6:$A$205,0)),0))</f>
        <v/>
      </c>
      <c r="H200" s="43" t="str">
        <f aca="false">IF(OR($A200="",$C200=""),"",N($F200)*$G200)</f>
        <v/>
      </c>
      <c r="I200" s="34" t="str">
        <f aca="false">IF(OR($A200="",$C200=""),"",IFERROR(MAX(1,INDEX(PRODUCTOS!$G$6:$G$105,MATCH($A200,PRODUCTOS!$A$6:$A$105,0))),1))</f>
        <v/>
      </c>
      <c r="J200" s="43" t="str">
        <f aca="false">IF(OR($A200="",$C200=""),"",$H200/$I200)</f>
        <v/>
      </c>
      <c r="K200" s="34" t="str">
        <f aca="false">IF(OR($A200="",$C200=""),"",SUMIFS(VENTAS!$E$6:$E$2005,VENTAS!$C$6:$C$2005,$A200))</f>
        <v/>
      </c>
      <c r="L200" s="45" t="str">
        <f aca="false">IF(OR($A200="",$C200=""),"",IFERROR(N($F200)/INDEX(INSUMOS!$I$6:$I$205,MATCH($C200,INSUMOS!$A$6:$A$205,0)),N($F200))/$I200*$K200)</f>
        <v/>
      </c>
      <c r="M200" s="8" t="str">
        <f aca="false">IF($A200="","",COUNTIF($A$6:$A200,$A200))</f>
        <v/>
      </c>
      <c r="N200" s="8" t="str">
        <f aca="false">IF($A200="","",$A200&amp;"|"&amp;$M200)</f>
        <v/>
      </c>
    </row>
    <row r="201" customFormat="false" ht="15" hidden="false" customHeight="false" outlineLevel="0" collapsed="false">
      <c r="A201" s="6"/>
      <c r="B201" s="8" t="str">
        <f aca="false">IF($A201="","",IFERROR(INDEX(PRODUCTOS!$B$6:$B$105,MATCH($A201,PRODUCTOS!$A$6:$A$105,0)),"¿Código?"))</f>
        <v/>
      </c>
      <c r="C201" s="6"/>
      <c r="D201" s="8" t="str">
        <f aca="false">IF($C201="","",IFERROR(INDEX(INSUMOS!$B$6:$B$205,MATCH($C201,INSUMOS!$A$6:$A$205,0)),"¿Código?"))</f>
        <v/>
      </c>
      <c r="E201" s="8" t="str">
        <f aca="false">IF($C201="","",IFERROR(INDEX(INSUMOS!$D$6:$D$205,MATCH($C201,INSUMOS!$A$6:$A$205,0)),""))</f>
        <v/>
      </c>
      <c r="F201" s="39"/>
      <c r="G201" s="43" t="str">
        <f aca="false">IF(OR($A201="",$C201=""),"",IFERROR(INDEX(INSUMOS!$P$6:$P$205,MATCH($C201,INSUMOS!$A$6:$A$205,0)),0))</f>
        <v/>
      </c>
      <c r="H201" s="43" t="str">
        <f aca="false">IF(OR($A201="",$C201=""),"",N($F201)*$G201)</f>
        <v/>
      </c>
      <c r="I201" s="34" t="str">
        <f aca="false">IF(OR($A201="",$C201=""),"",IFERROR(MAX(1,INDEX(PRODUCTOS!$G$6:$G$105,MATCH($A201,PRODUCTOS!$A$6:$A$105,0))),1))</f>
        <v/>
      </c>
      <c r="J201" s="43" t="str">
        <f aca="false">IF(OR($A201="",$C201=""),"",$H201/$I201)</f>
        <v/>
      </c>
      <c r="K201" s="34" t="str">
        <f aca="false">IF(OR($A201="",$C201=""),"",SUMIFS(VENTAS!$E$6:$E$2005,VENTAS!$C$6:$C$2005,$A201))</f>
        <v/>
      </c>
      <c r="L201" s="45" t="str">
        <f aca="false">IF(OR($A201="",$C201=""),"",IFERROR(N($F201)/INDEX(INSUMOS!$I$6:$I$205,MATCH($C201,INSUMOS!$A$6:$A$205,0)),N($F201))/$I201*$K201)</f>
        <v/>
      </c>
      <c r="M201" s="8" t="str">
        <f aca="false">IF($A201="","",COUNTIF($A$6:$A201,$A201))</f>
        <v/>
      </c>
      <c r="N201" s="8" t="str">
        <f aca="false">IF($A201="","",$A201&amp;"|"&amp;$M201)</f>
        <v/>
      </c>
    </row>
    <row r="202" customFormat="false" ht="15" hidden="false" customHeight="false" outlineLevel="0" collapsed="false">
      <c r="A202" s="6"/>
      <c r="B202" s="8" t="str">
        <f aca="false">IF($A202="","",IFERROR(INDEX(PRODUCTOS!$B$6:$B$105,MATCH($A202,PRODUCTOS!$A$6:$A$105,0)),"¿Código?"))</f>
        <v/>
      </c>
      <c r="C202" s="6"/>
      <c r="D202" s="8" t="str">
        <f aca="false">IF($C202="","",IFERROR(INDEX(INSUMOS!$B$6:$B$205,MATCH($C202,INSUMOS!$A$6:$A$205,0)),"¿Código?"))</f>
        <v/>
      </c>
      <c r="E202" s="8" t="str">
        <f aca="false">IF($C202="","",IFERROR(INDEX(INSUMOS!$D$6:$D$205,MATCH($C202,INSUMOS!$A$6:$A$205,0)),""))</f>
        <v/>
      </c>
      <c r="F202" s="39"/>
      <c r="G202" s="43" t="str">
        <f aca="false">IF(OR($A202="",$C202=""),"",IFERROR(INDEX(INSUMOS!$P$6:$P$205,MATCH($C202,INSUMOS!$A$6:$A$205,0)),0))</f>
        <v/>
      </c>
      <c r="H202" s="43" t="str">
        <f aca="false">IF(OR($A202="",$C202=""),"",N($F202)*$G202)</f>
        <v/>
      </c>
      <c r="I202" s="34" t="str">
        <f aca="false">IF(OR($A202="",$C202=""),"",IFERROR(MAX(1,INDEX(PRODUCTOS!$G$6:$G$105,MATCH($A202,PRODUCTOS!$A$6:$A$105,0))),1))</f>
        <v/>
      </c>
      <c r="J202" s="43" t="str">
        <f aca="false">IF(OR($A202="",$C202=""),"",$H202/$I202)</f>
        <v/>
      </c>
      <c r="K202" s="34" t="str">
        <f aca="false">IF(OR($A202="",$C202=""),"",SUMIFS(VENTAS!$E$6:$E$2005,VENTAS!$C$6:$C$2005,$A202))</f>
        <v/>
      </c>
      <c r="L202" s="45" t="str">
        <f aca="false">IF(OR($A202="",$C202=""),"",IFERROR(N($F202)/INDEX(INSUMOS!$I$6:$I$205,MATCH($C202,INSUMOS!$A$6:$A$205,0)),N($F202))/$I202*$K202)</f>
        <v/>
      </c>
      <c r="M202" s="8" t="str">
        <f aca="false">IF($A202="","",COUNTIF($A$6:$A202,$A202))</f>
        <v/>
      </c>
      <c r="N202" s="8" t="str">
        <f aca="false">IF($A202="","",$A202&amp;"|"&amp;$M202)</f>
        <v/>
      </c>
    </row>
    <row r="203" customFormat="false" ht="15" hidden="false" customHeight="false" outlineLevel="0" collapsed="false">
      <c r="A203" s="6"/>
      <c r="B203" s="8" t="str">
        <f aca="false">IF($A203="","",IFERROR(INDEX(PRODUCTOS!$B$6:$B$105,MATCH($A203,PRODUCTOS!$A$6:$A$105,0)),"¿Código?"))</f>
        <v/>
      </c>
      <c r="C203" s="6"/>
      <c r="D203" s="8" t="str">
        <f aca="false">IF($C203="","",IFERROR(INDEX(INSUMOS!$B$6:$B$205,MATCH($C203,INSUMOS!$A$6:$A$205,0)),"¿Código?"))</f>
        <v/>
      </c>
      <c r="E203" s="8" t="str">
        <f aca="false">IF($C203="","",IFERROR(INDEX(INSUMOS!$D$6:$D$205,MATCH($C203,INSUMOS!$A$6:$A$205,0)),""))</f>
        <v/>
      </c>
      <c r="F203" s="39"/>
      <c r="G203" s="43" t="str">
        <f aca="false">IF(OR($A203="",$C203=""),"",IFERROR(INDEX(INSUMOS!$P$6:$P$205,MATCH($C203,INSUMOS!$A$6:$A$205,0)),0))</f>
        <v/>
      </c>
      <c r="H203" s="43" t="str">
        <f aca="false">IF(OR($A203="",$C203=""),"",N($F203)*$G203)</f>
        <v/>
      </c>
      <c r="I203" s="34" t="str">
        <f aca="false">IF(OR($A203="",$C203=""),"",IFERROR(MAX(1,INDEX(PRODUCTOS!$G$6:$G$105,MATCH($A203,PRODUCTOS!$A$6:$A$105,0))),1))</f>
        <v/>
      </c>
      <c r="J203" s="43" t="str">
        <f aca="false">IF(OR($A203="",$C203=""),"",$H203/$I203)</f>
        <v/>
      </c>
      <c r="K203" s="34" t="str">
        <f aca="false">IF(OR($A203="",$C203=""),"",SUMIFS(VENTAS!$E$6:$E$2005,VENTAS!$C$6:$C$2005,$A203))</f>
        <v/>
      </c>
      <c r="L203" s="45" t="str">
        <f aca="false">IF(OR($A203="",$C203=""),"",IFERROR(N($F203)/INDEX(INSUMOS!$I$6:$I$205,MATCH($C203,INSUMOS!$A$6:$A$205,0)),N($F203))/$I203*$K203)</f>
        <v/>
      </c>
      <c r="M203" s="8" t="str">
        <f aca="false">IF($A203="","",COUNTIF($A$6:$A203,$A203))</f>
        <v/>
      </c>
      <c r="N203" s="8" t="str">
        <f aca="false">IF($A203="","",$A203&amp;"|"&amp;$M203)</f>
        <v/>
      </c>
    </row>
    <row r="204" customFormat="false" ht="15" hidden="false" customHeight="false" outlineLevel="0" collapsed="false">
      <c r="A204" s="6"/>
      <c r="B204" s="8" t="str">
        <f aca="false">IF($A204="","",IFERROR(INDEX(PRODUCTOS!$B$6:$B$105,MATCH($A204,PRODUCTOS!$A$6:$A$105,0)),"¿Código?"))</f>
        <v/>
      </c>
      <c r="C204" s="6"/>
      <c r="D204" s="8" t="str">
        <f aca="false">IF($C204="","",IFERROR(INDEX(INSUMOS!$B$6:$B$205,MATCH($C204,INSUMOS!$A$6:$A$205,0)),"¿Código?"))</f>
        <v/>
      </c>
      <c r="E204" s="8" t="str">
        <f aca="false">IF($C204="","",IFERROR(INDEX(INSUMOS!$D$6:$D$205,MATCH($C204,INSUMOS!$A$6:$A$205,0)),""))</f>
        <v/>
      </c>
      <c r="F204" s="39"/>
      <c r="G204" s="43" t="str">
        <f aca="false">IF(OR($A204="",$C204=""),"",IFERROR(INDEX(INSUMOS!$P$6:$P$205,MATCH($C204,INSUMOS!$A$6:$A$205,0)),0))</f>
        <v/>
      </c>
      <c r="H204" s="43" t="str">
        <f aca="false">IF(OR($A204="",$C204=""),"",N($F204)*$G204)</f>
        <v/>
      </c>
      <c r="I204" s="34" t="str">
        <f aca="false">IF(OR($A204="",$C204=""),"",IFERROR(MAX(1,INDEX(PRODUCTOS!$G$6:$G$105,MATCH($A204,PRODUCTOS!$A$6:$A$105,0))),1))</f>
        <v/>
      </c>
      <c r="J204" s="43" t="str">
        <f aca="false">IF(OR($A204="",$C204=""),"",$H204/$I204)</f>
        <v/>
      </c>
      <c r="K204" s="34" t="str">
        <f aca="false">IF(OR($A204="",$C204=""),"",SUMIFS(VENTAS!$E$6:$E$2005,VENTAS!$C$6:$C$2005,$A204))</f>
        <v/>
      </c>
      <c r="L204" s="45" t="str">
        <f aca="false">IF(OR($A204="",$C204=""),"",IFERROR(N($F204)/INDEX(INSUMOS!$I$6:$I$205,MATCH($C204,INSUMOS!$A$6:$A$205,0)),N($F204))/$I204*$K204)</f>
        <v/>
      </c>
      <c r="M204" s="8" t="str">
        <f aca="false">IF($A204="","",COUNTIF($A$6:$A204,$A204))</f>
        <v/>
      </c>
      <c r="N204" s="8" t="str">
        <f aca="false">IF($A204="","",$A204&amp;"|"&amp;$M204)</f>
        <v/>
      </c>
    </row>
    <row r="205" customFormat="false" ht="15" hidden="false" customHeight="false" outlineLevel="0" collapsed="false">
      <c r="A205" s="6"/>
      <c r="B205" s="8" t="str">
        <f aca="false">IF($A205="","",IFERROR(INDEX(PRODUCTOS!$B$6:$B$105,MATCH($A205,PRODUCTOS!$A$6:$A$105,0)),"¿Código?"))</f>
        <v/>
      </c>
      <c r="C205" s="6"/>
      <c r="D205" s="8" t="str">
        <f aca="false">IF($C205="","",IFERROR(INDEX(INSUMOS!$B$6:$B$205,MATCH($C205,INSUMOS!$A$6:$A$205,0)),"¿Código?"))</f>
        <v/>
      </c>
      <c r="E205" s="8" t="str">
        <f aca="false">IF($C205="","",IFERROR(INDEX(INSUMOS!$D$6:$D$205,MATCH($C205,INSUMOS!$A$6:$A$205,0)),""))</f>
        <v/>
      </c>
      <c r="F205" s="39"/>
      <c r="G205" s="43" t="str">
        <f aca="false">IF(OR($A205="",$C205=""),"",IFERROR(INDEX(INSUMOS!$P$6:$P$205,MATCH($C205,INSUMOS!$A$6:$A$205,0)),0))</f>
        <v/>
      </c>
      <c r="H205" s="43" t="str">
        <f aca="false">IF(OR($A205="",$C205=""),"",N($F205)*$G205)</f>
        <v/>
      </c>
      <c r="I205" s="34" t="str">
        <f aca="false">IF(OR($A205="",$C205=""),"",IFERROR(MAX(1,INDEX(PRODUCTOS!$G$6:$G$105,MATCH($A205,PRODUCTOS!$A$6:$A$105,0))),1))</f>
        <v/>
      </c>
      <c r="J205" s="43" t="str">
        <f aca="false">IF(OR($A205="",$C205=""),"",$H205/$I205)</f>
        <v/>
      </c>
      <c r="K205" s="34" t="str">
        <f aca="false">IF(OR($A205="",$C205=""),"",SUMIFS(VENTAS!$E$6:$E$2005,VENTAS!$C$6:$C$2005,$A205))</f>
        <v/>
      </c>
      <c r="L205" s="45" t="str">
        <f aca="false">IF(OR($A205="",$C205=""),"",IFERROR(N($F205)/INDEX(INSUMOS!$I$6:$I$205,MATCH($C205,INSUMOS!$A$6:$A$205,0)),N($F205))/$I205*$K205)</f>
        <v/>
      </c>
      <c r="M205" s="8" t="str">
        <f aca="false">IF($A205="","",COUNTIF($A$6:$A205,$A205))</f>
        <v/>
      </c>
      <c r="N205" s="8" t="str">
        <f aca="false">IF($A205="","",$A205&amp;"|"&amp;$M205)</f>
        <v/>
      </c>
    </row>
    <row r="206" customFormat="false" ht="15" hidden="false" customHeight="false" outlineLevel="0" collapsed="false">
      <c r="A206" s="6"/>
      <c r="B206" s="8" t="str">
        <f aca="false">IF($A206="","",IFERROR(INDEX(PRODUCTOS!$B$6:$B$105,MATCH($A206,PRODUCTOS!$A$6:$A$105,0)),"¿Código?"))</f>
        <v/>
      </c>
      <c r="C206" s="6"/>
      <c r="D206" s="8" t="str">
        <f aca="false">IF($C206="","",IFERROR(INDEX(INSUMOS!$B$6:$B$205,MATCH($C206,INSUMOS!$A$6:$A$205,0)),"¿Código?"))</f>
        <v/>
      </c>
      <c r="E206" s="8" t="str">
        <f aca="false">IF($C206="","",IFERROR(INDEX(INSUMOS!$D$6:$D$205,MATCH($C206,INSUMOS!$A$6:$A$205,0)),""))</f>
        <v/>
      </c>
      <c r="F206" s="39"/>
      <c r="G206" s="43" t="str">
        <f aca="false">IF(OR($A206="",$C206=""),"",IFERROR(INDEX(INSUMOS!$P$6:$P$205,MATCH($C206,INSUMOS!$A$6:$A$205,0)),0))</f>
        <v/>
      </c>
      <c r="H206" s="43" t="str">
        <f aca="false">IF(OR($A206="",$C206=""),"",N($F206)*$G206)</f>
        <v/>
      </c>
      <c r="I206" s="34" t="str">
        <f aca="false">IF(OR($A206="",$C206=""),"",IFERROR(MAX(1,INDEX(PRODUCTOS!$G$6:$G$105,MATCH($A206,PRODUCTOS!$A$6:$A$105,0))),1))</f>
        <v/>
      </c>
      <c r="J206" s="43" t="str">
        <f aca="false">IF(OR($A206="",$C206=""),"",$H206/$I206)</f>
        <v/>
      </c>
      <c r="K206" s="34" t="str">
        <f aca="false">IF(OR($A206="",$C206=""),"",SUMIFS(VENTAS!$E$6:$E$2005,VENTAS!$C$6:$C$2005,$A206))</f>
        <v/>
      </c>
      <c r="L206" s="45" t="str">
        <f aca="false">IF(OR($A206="",$C206=""),"",IFERROR(N($F206)/INDEX(INSUMOS!$I$6:$I$205,MATCH($C206,INSUMOS!$A$6:$A$205,0)),N($F206))/$I206*$K206)</f>
        <v/>
      </c>
      <c r="M206" s="8" t="str">
        <f aca="false">IF($A206="","",COUNTIF($A$6:$A206,$A206))</f>
        <v/>
      </c>
      <c r="N206" s="8" t="str">
        <f aca="false">IF($A206="","",$A206&amp;"|"&amp;$M206)</f>
        <v/>
      </c>
    </row>
    <row r="207" customFormat="false" ht="15" hidden="false" customHeight="false" outlineLevel="0" collapsed="false">
      <c r="A207" s="6"/>
      <c r="B207" s="8" t="str">
        <f aca="false">IF($A207="","",IFERROR(INDEX(PRODUCTOS!$B$6:$B$105,MATCH($A207,PRODUCTOS!$A$6:$A$105,0)),"¿Código?"))</f>
        <v/>
      </c>
      <c r="C207" s="6"/>
      <c r="D207" s="8" t="str">
        <f aca="false">IF($C207="","",IFERROR(INDEX(INSUMOS!$B$6:$B$205,MATCH($C207,INSUMOS!$A$6:$A$205,0)),"¿Código?"))</f>
        <v/>
      </c>
      <c r="E207" s="8" t="str">
        <f aca="false">IF($C207="","",IFERROR(INDEX(INSUMOS!$D$6:$D$205,MATCH($C207,INSUMOS!$A$6:$A$205,0)),""))</f>
        <v/>
      </c>
      <c r="F207" s="39"/>
      <c r="G207" s="43" t="str">
        <f aca="false">IF(OR($A207="",$C207=""),"",IFERROR(INDEX(INSUMOS!$P$6:$P$205,MATCH($C207,INSUMOS!$A$6:$A$205,0)),0))</f>
        <v/>
      </c>
      <c r="H207" s="43" t="str">
        <f aca="false">IF(OR($A207="",$C207=""),"",N($F207)*$G207)</f>
        <v/>
      </c>
      <c r="I207" s="34" t="str">
        <f aca="false">IF(OR($A207="",$C207=""),"",IFERROR(MAX(1,INDEX(PRODUCTOS!$G$6:$G$105,MATCH($A207,PRODUCTOS!$A$6:$A$105,0))),1))</f>
        <v/>
      </c>
      <c r="J207" s="43" t="str">
        <f aca="false">IF(OR($A207="",$C207=""),"",$H207/$I207)</f>
        <v/>
      </c>
      <c r="K207" s="34" t="str">
        <f aca="false">IF(OR($A207="",$C207=""),"",SUMIFS(VENTAS!$E$6:$E$2005,VENTAS!$C$6:$C$2005,$A207))</f>
        <v/>
      </c>
      <c r="L207" s="45" t="str">
        <f aca="false">IF(OR($A207="",$C207=""),"",IFERROR(N($F207)/INDEX(INSUMOS!$I$6:$I$205,MATCH($C207,INSUMOS!$A$6:$A$205,0)),N($F207))/$I207*$K207)</f>
        <v/>
      </c>
      <c r="M207" s="8" t="str">
        <f aca="false">IF($A207="","",COUNTIF($A$6:$A207,$A207))</f>
        <v/>
      </c>
      <c r="N207" s="8" t="str">
        <f aca="false">IF($A207="","",$A207&amp;"|"&amp;$M207)</f>
        <v/>
      </c>
    </row>
    <row r="208" customFormat="false" ht="15" hidden="false" customHeight="false" outlineLevel="0" collapsed="false">
      <c r="A208" s="6"/>
      <c r="B208" s="8" t="str">
        <f aca="false">IF($A208="","",IFERROR(INDEX(PRODUCTOS!$B$6:$B$105,MATCH($A208,PRODUCTOS!$A$6:$A$105,0)),"¿Código?"))</f>
        <v/>
      </c>
      <c r="C208" s="6"/>
      <c r="D208" s="8" t="str">
        <f aca="false">IF($C208="","",IFERROR(INDEX(INSUMOS!$B$6:$B$205,MATCH($C208,INSUMOS!$A$6:$A$205,0)),"¿Código?"))</f>
        <v/>
      </c>
      <c r="E208" s="8" t="str">
        <f aca="false">IF($C208="","",IFERROR(INDEX(INSUMOS!$D$6:$D$205,MATCH($C208,INSUMOS!$A$6:$A$205,0)),""))</f>
        <v/>
      </c>
      <c r="F208" s="39"/>
      <c r="G208" s="43" t="str">
        <f aca="false">IF(OR($A208="",$C208=""),"",IFERROR(INDEX(INSUMOS!$P$6:$P$205,MATCH($C208,INSUMOS!$A$6:$A$205,0)),0))</f>
        <v/>
      </c>
      <c r="H208" s="43" t="str">
        <f aca="false">IF(OR($A208="",$C208=""),"",N($F208)*$G208)</f>
        <v/>
      </c>
      <c r="I208" s="34" t="str">
        <f aca="false">IF(OR($A208="",$C208=""),"",IFERROR(MAX(1,INDEX(PRODUCTOS!$G$6:$G$105,MATCH($A208,PRODUCTOS!$A$6:$A$105,0))),1))</f>
        <v/>
      </c>
      <c r="J208" s="43" t="str">
        <f aca="false">IF(OR($A208="",$C208=""),"",$H208/$I208)</f>
        <v/>
      </c>
      <c r="K208" s="34" t="str">
        <f aca="false">IF(OR($A208="",$C208=""),"",SUMIFS(VENTAS!$E$6:$E$2005,VENTAS!$C$6:$C$2005,$A208))</f>
        <v/>
      </c>
      <c r="L208" s="45" t="str">
        <f aca="false">IF(OR($A208="",$C208=""),"",IFERROR(N($F208)/INDEX(INSUMOS!$I$6:$I$205,MATCH($C208,INSUMOS!$A$6:$A$205,0)),N($F208))/$I208*$K208)</f>
        <v/>
      </c>
      <c r="M208" s="8" t="str">
        <f aca="false">IF($A208="","",COUNTIF($A$6:$A208,$A208))</f>
        <v/>
      </c>
      <c r="N208" s="8" t="str">
        <f aca="false">IF($A208="","",$A208&amp;"|"&amp;$M208)</f>
        <v/>
      </c>
    </row>
    <row r="209" customFormat="false" ht="15" hidden="false" customHeight="false" outlineLevel="0" collapsed="false">
      <c r="A209" s="6"/>
      <c r="B209" s="8" t="str">
        <f aca="false">IF($A209="","",IFERROR(INDEX(PRODUCTOS!$B$6:$B$105,MATCH($A209,PRODUCTOS!$A$6:$A$105,0)),"¿Código?"))</f>
        <v/>
      </c>
      <c r="C209" s="6"/>
      <c r="D209" s="8" t="str">
        <f aca="false">IF($C209="","",IFERROR(INDEX(INSUMOS!$B$6:$B$205,MATCH($C209,INSUMOS!$A$6:$A$205,0)),"¿Código?"))</f>
        <v/>
      </c>
      <c r="E209" s="8" t="str">
        <f aca="false">IF($C209="","",IFERROR(INDEX(INSUMOS!$D$6:$D$205,MATCH($C209,INSUMOS!$A$6:$A$205,0)),""))</f>
        <v/>
      </c>
      <c r="F209" s="39"/>
      <c r="G209" s="43" t="str">
        <f aca="false">IF(OR($A209="",$C209=""),"",IFERROR(INDEX(INSUMOS!$P$6:$P$205,MATCH($C209,INSUMOS!$A$6:$A$205,0)),0))</f>
        <v/>
      </c>
      <c r="H209" s="43" t="str">
        <f aca="false">IF(OR($A209="",$C209=""),"",N($F209)*$G209)</f>
        <v/>
      </c>
      <c r="I209" s="34" t="str">
        <f aca="false">IF(OR($A209="",$C209=""),"",IFERROR(MAX(1,INDEX(PRODUCTOS!$G$6:$G$105,MATCH($A209,PRODUCTOS!$A$6:$A$105,0))),1))</f>
        <v/>
      </c>
      <c r="J209" s="43" t="str">
        <f aca="false">IF(OR($A209="",$C209=""),"",$H209/$I209)</f>
        <v/>
      </c>
      <c r="K209" s="34" t="str">
        <f aca="false">IF(OR($A209="",$C209=""),"",SUMIFS(VENTAS!$E$6:$E$2005,VENTAS!$C$6:$C$2005,$A209))</f>
        <v/>
      </c>
      <c r="L209" s="45" t="str">
        <f aca="false">IF(OR($A209="",$C209=""),"",IFERROR(N($F209)/INDEX(INSUMOS!$I$6:$I$205,MATCH($C209,INSUMOS!$A$6:$A$205,0)),N($F209))/$I209*$K209)</f>
        <v/>
      </c>
      <c r="M209" s="8" t="str">
        <f aca="false">IF($A209="","",COUNTIF($A$6:$A209,$A209))</f>
        <v/>
      </c>
      <c r="N209" s="8" t="str">
        <f aca="false">IF($A209="","",$A209&amp;"|"&amp;$M209)</f>
        <v/>
      </c>
    </row>
    <row r="210" customFormat="false" ht="15" hidden="false" customHeight="false" outlineLevel="0" collapsed="false">
      <c r="A210" s="6"/>
      <c r="B210" s="8" t="str">
        <f aca="false">IF($A210="","",IFERROR(INDEX(PRODUCTOS!$B$6:$B$105,MATCH($A210,PRODUCTOS!$A$6:$A$105,0)),"¿Código?"))</f>
        <v/>
      </c>
      <c r="C210" s="6"/>
      <c r="D210" s="8" t="str">
        <f aca="false">IF($C210="","",IFERROR(INDEX(INSUMOS!$B$6:$B$205,MATCH($C210,INSUMOS!$A$6:$A$205,0)),"¿Código?"))</f>
        <v/>
      </c>
      <c r="E210" s="8" t="str">
        <f aca="false">IF($C210="","",IFERROR(INDEX(INSUMOS!$D$6:$D$205,MATCH($C210,INSUMOS!$A$6:$A$205,0)),""))</f>
        <v/>
      </c>
      <c r="F210" s="39"/>
      <c r="G210" s="43" t="str">
        <f aca="false">IF(OR($A210="",$C210=""),"",IFERROR(INDEX(INSUMOS!$P$6:$P$205,MATCH($C210,INSUMOS!$A$6:$A$205,0)),0))</f>
        <v/>
      </c>
      <c r="H210" s="43" t="str">
        <f aca="false">IF(OR($A210="",$C210=""),"",N($F210)*$G210)</f>
        <v/>
      </c>
      <c r="I210" s="34" t="str">
        <f aca="false">IF(OR($A210="",$C210=""),"",IFERROR(MAX(1,INDEX(PRODUCTOS!$G$6:$G$105,MATCH($A210,PRODUCTOS!$A$6:$A$105,0))),1))</f>
        <v/>
      </c>
      <c r="J210" s="43" t="str">
        <f aca="false">IF(OR($A210="",$C210=""),"",$H210/$I210)</f>
        <v/>
      </c>
      <c r="K210" s="34" t="str">
        <f aca="false">IF(OR($A210="",$C210=""),"",SUMIFS(VENTAS!$E$6:$E$2005,VENTAS!$C$6:$C$2005,$A210))</f>
        <v/>
      </c>
      <c r="L210" s="45" t="str">
        <f aca="false">IF(OR($A210="",$C210=""),"",IFERROR(N($F210)/INDEX(INSUMOS!$I$6:$I$205,MATCH($C210,INSUMOS!$A$6:$A$205,0)),N($F210))/$I210*$K210)</f>
        <v/>
      </c>
      <c r="M210" s="8" t="str">
        <f aca="false">IF($A210="","",COUNTIF($A$6:$A210,$A210))</f>
        <v/>
      </c>
      <c r="N210" s="8" t="str">
        <f aca="false">IF($A210="","",$A210&amp;"|"&amp;$M210)</f>
        <v/>
      </c>
    </row>
    <row r="211" customFormat="false" ht="15" hidden="false" customHeight="false" outlineLevel="0" collapsed="false">
      <c r="A211" s="6"/>
      <c r="B211" s="8" t="str">
        <f aca="false">IF($A211="","",IFERROR(INDEX(PRODUCTOS!$B$6:$B$105,MATCH($A211,PRODUCTOS!$A$6:$A$105,0)),"¿Código?"))</f>
        <v/>
      </c>
      <c r="C211" s="6"/>
      <c r="D211" s="8" t="str">
        <f aca="false">IF($C211="","",IFERROR(INDEX(INSUMOS!$B$6:$B$205,MATCH($C211,INSUMOS!$A$6:$A$205,0)),"¿Código?"))</f>
        <v/>
      </c>
      <c r="E211" s="8" t="str">
        <f aca="false">IF($C211="","",IFERROR(INDEX(INSUMOS!$D$6:$D$205,MATCH($C211,INSUMOS!$A$6:$A$205,0)),""))</f>
        <v/>
      </c>
      <c r="F211" s="39"/>
      <c r="G211" s="43" t="str">
        <f aca="false">IF(OR($A211="",$C211=""),"",IFERROR(INDEX(INSUMOS!$P$6:$P$205,MATCH($C211,INSUMOS!$A$6:$A$205,0)),0))</f>
        <v/>
      </c>
      <c r="H211" s="43" t="str">
        <f aca="false">IF(OR($A211="",$C211=""),"",N($F211)*$G211)</f>
        <v/>
      </c>
      <c r="I211" s="34" t="str">
        <f aca="false">IF(OR($A211="",$C211=""),"",IFERROR(MAX(1,INDEX(PRODUCTOS!$G$6:$G$105,MATCH($A211,PRODUCTOS!$A$6:$A$105,0))),1))</f>
        <v/>
      </c>
      <c r="J211" s="43" t="str">
        <f aca="false">IF(OR($A211="",$C211=""),"",$H211/$I211)</f>
        <v/>
      </c>
      <c r="K211" s="34" t="str">
        <f aca="false">IF(OR($A211="",$C211=""),"",SUMIFS(VENTAS!$E$6:$E$2005,VENTAS!$C$6:$C$2005,$A211))</f>
        <v/>
      </c>
      <c r="L211" s="45" t="str">
        <f aca="false">IF(OR($A211="",$C211=""),"",IFERROR(N($F211)/INDEX(INSUMOS!$I$6:$I$205,MATCH($C211,INSUMOS!$A$6:$A$205,0)),N($F211))/$I211*$K211)</f>
        <v/>
      </c>
      <c r="M211" s="8" t="str">
        <f aca="false">IF($A211="","",COUNTIF($A$6:$A211,$A211))</f>
        <v/>
      </c>
      <c r="N211" s="8" t="str">
        <f aca="false">IF($A211="","",$A211&amp;"|"&amp;$M211)</f>
        <v/>
      </c>
    </row>
    <row r="212" customFormat="false" ht="15" hidden="false" customHeight="false" outlineLevel="0" collapsed="false">
      <c r="A212" s="6"/>
      <c r="B212" s="8" t="str">
        <f aca="false">IF($A212="","",IFERROR(INDEX(PRODUCTOS!$B$6:$B$105,MATCH($A212,PRODUCTOS!$A$6:$A$105,0)),"¿Código?"))</f>
        <v/>
      </c>
      <c r="C212" s="6"/>
      <c r="D212" s="8" t="str">
        <f aca="false">IF($C212="","",IFERROR(INDEX(INSUMOS!$B$6:$B$205,MATCH($C212,INSUMOS!$A$6:$A$205,0)),"¿Código?"))</f>
        <v/>
      </c>
      <c r="E212" s="8" t="str">
        <f aca="false">IF($C212="","",IFERROR(INDEX(INSUMOS!$D$6:$D$205,MATCH($C212,INSUMOS!$A$6:$A$205,0)),""))</f>
        <v/>
      </c>
      <c r="F212" s="39"/>
      <c r="G212" s="43" t="str">
        <f aca="false">IF(OR($A212="",$C212=""),"",IFERROR(INDEX(INSUMOS!$P$6:$P$205,MATCH($C212,INSUMOS!$A$6:$A$205,0)),0))</f>
        <v/>
      </c>
      <c r="H212" s="43" t="str">
        <f aca="false">IF(OR($A212="",$C212=""),"",N($F212)*$G212)</f>
        <v/>
      </c>
      <c r="I212" s="34" t="str">
        <f aca="false">IF(OR($A212="",$C212=""),"",IFERROR(MAX(1,INDEX(PRODUCTOS!$G$6:$G$105,MATCH($A212,PRODUCTOS!$A$6:$A$105,0))),1))</f>
        <v/>
      </c>
      <c r="J212" s="43" t="str">
        <f aca="false">IF(OR($A212="",$C212=""),"",$H212/$I212)</f>
        <v/>
      </c>
      <c r="K212" s="34" t="str">
        <f aca="false">IF(OR($A212="",$C212=""),"",SUMIFS(VENTAS!$E$6:$E$2005,VENTAS!$C$6:$C$2005,$A212))</f>
        <v/>
      </c>
      <c r="L212" s="45" t="str">
        <f aca="false">IF(OR($A212="",$C212=""),"",IFERROR(N($F212)/INDEX(INSUMOS!$I$6:$I$205,MATCH($C212,INSUMOS!$A$6:$A$205,0)),N($F212))/$I212*$K212)</f>
        <v/>
      </c>
      <c r="M212" s="8" t="str">
        <f aca="false">IF($A212="","",COUNTIF($A$6:$A212,$A212))</f>
        <v/>
      </c>
      <c r="N212" s="8" t="str">
        <f aca="false">IF($A212="","",$A212&amp;"|"&amp;$M212)</f>
        <v/>
      </c>
    </row>
    <row r="213" customFormat="false" ht="15" hidden="false" customHeight="false" outlineLevel="0" collapsed="false">
      <c r="A213" s="6"/>
      <c r="B213" s="8" t="str">
        <f aca="false">IF($A213="","",IFERROR(INDEX(PRODUCTOS!$B$6:$B$105,MATCH($A213,PRODUCTOS!$A$6:$A$105,0)),"¿Código?"))</f>
        <v/>
      </c>
      <c r="C213" s="6"/>
      <c r="D213" s="8" t="str">
        <f aca="false">IF($C213="","",IFERROR(INDEX(INSUMOS!$B$6:$B$205,MATCH($C213,INSUMOS!$A$6:$A$205,0)),"¿Código?"))</f>
        <v/>
      </c>
      <c r="E213" s="8" t="str">
        <f aca="false">IF($C213="","",IFERROR(INDEX(INSUMOS!$D$6:$D$205,MATCH($C213,INSUMOS!$A$6:$A$205,0)),""))</f>
        <v/>
      </c>
      <c r="F213" s="39"/>
      <c r="G213" s="43" t="str">
        <f aca="false">IF(OR($A213="",$C213=""),"",IFERROR(INDEX(INSUMOS!$P$6:$P$205,MATCH($C213,INSUMOS!$A$6:$A$205,0)),0))</f>
        <v/>
      </c>
      <c r="H213" s="43" t="str">
        <f aca="false">IF(OR($A213="",$C213=""),"",N($F213)*$G213)</f>
        <v/>
      </c>
      <c r="I213" s="34" t="str">
        <f aca="false">IF(OR($A213="",$C213=""),"",IFERROR(MAX(1,INDEX(PRODUCTOS!$G$6:$G$105,MATCH($A213,PRODUCTOS!$A$6:$A$105,0))),1))</f>
        <v/>
      </c>
      <c r="J213" s="43" t="str">
        <f aca="false">IF(OR($A213="",$C213=""),"",$H213/$I213)</f>
        <v/>
      </c>
      <c r="K213" s="34" t="str">
        <f aca="false">IF(OR($A213="",$C213=""),"",SUMIFS(VENTAS!$E$6:$E$2005,VENTAS!$C$6:$C$2005,$A213))</f>
        <v/>
      </c>
      <c r="L213" s="45" t="str">
        <f aca="false">IF(OR($A213="",$C213=""),"",IFERROR(N($F213)/INDEX(INSUMOS!$I$6:$I$205,MATCH($C213,INSUMOS!$A$6:$A$205,0)),N($F213))/$I213*$K213)</f>
        <v/>
      </c>
      <c r="M213" s="8" t="str">
        <f aca="false">IF($A213="","",COUNTIF($A$6:$A213,$A213))</f>
        <v/>
      </c>
      <c r="N213" s="8" t="str">
        <f aca="false">IF($A213="","",$A213&amp;"|"&amp;$M213)</f>
        <v/>
      </c>
    </row>
    <row r="214" customFormat="false" ht="15" hidden="false" customHeight="false" outlineLevel="0" collapsed="false">
      <c r="A214" s="6"/>
      <c r="B214" s="8" t="str">
        <f aca="false">IF($A214="","",IFERROR(INDEX(PRODUCTOS!$B$6:$B$105,MATCH($A214,PRODUCTOS!$A$6:$A$105,0)),"¿Código?"))</f>
        <v/>
      </c>
      <c r="C214" s="6"/>
      <c r="D214" s="8" t="str">
        <f aca="false">IF($C214="","",IFERROR(INDEX(INSUMOS!$B$6:$B$205,MATCH($C214,INSUMOS!$A$6:$A$205,0)),"¿Código?"))</f>
        <v/>
      </c>
      <c r="E214" s="8" t="str">
        <f aca="false">IF($C214="","",IFERROR(INDEX(INSUMOS!$D$6:$D$205,MATCH($C214,INSUMOS!$A$6:$A$205,0)),""))</f>
        <v/>
      </c>
      <c r="F214" s="39"/>
      <c r="G214" s="43" t="str">
        <f aca="false">IF(OR($A214="",$C214=""),"",IFERROR(INDEX(INSUMOS!$P$6:$P$205,MATCH($C214,INSUMOS!$A$6:$A$205,0)),0))</f>
        <v/>
      </c>
      <c r="H214" s="43" t="str">
        <f aca="false">IF(OR($A214="",$C214=""),"",N($F214)*$G214)</f>
        <v/>
      </c>
      <c r="I214" s="34" t="str">
        <f aca="false">IF(OR($A214="",$C214=""),"",IFERROR(MAX(1,INDEX(PRODUCTOS!$G$6:$G$105,MATCH($A214,PRODUCTOS!$A$6:$A$105,0))),1))</f>
        <v/>
      </c>
      <c r="J214" s="43" t="str">
        <f aca="false">IF(OR($A214="",$C214=""),"",$H214/$I214)</f>
        <v/>
      </c>
      <c r="K214" s="34" t="str">
        <f aca="false">IF(OR($A214="",$C214=""),"",SUMIFS(VENTAS!$E$6:$E$2005,VENTAS!$C$6:$C$2005,$A214))</f>
        <v/>
      </c>
      <c r="L214" s="45" t="str">
        <f aca="false">IF(OR($A214="",$C214=""),"",IFERROR(N($F214)/INDEX(INSUMOS!$I$6:$I$205,MATCH($C214,INSUMOS!$A$6:$A$205,0)),N($F214))/$I214*$K214)</f>
        <v/>
      </c>
      <c r="M214" s="8" t="str">
        <f aca="false">IF($A214="","",COUNTIF($A$6:$A214,$A214))</f>
        <v/>
      </c>
      <c r="N214" s="8" t="str">
        <f aca="false">IF($A214="","",$A214&amp;"|"&amp;$M214)</f>
        <v/>
      </c>
    </row>
    <row r="215" customFormat="false" ht="15" hidden="false" customHeight="false" outlineLevel="0" collapsed="false">
      <c r="A215" s="6"/>
      <c r="B215" s="8" t="str">
        <f aca="false">IF($A215="","",IFERROR(INDEX(PRODUCTOS!$B$6:$B$105,MATCH($A215,PRODUCTOS!$A$6:$A$105,0)),"¿Código?"))</f>
        <v/>
      </c>
      <c r="C215" s="6"/>
      <c r="D215" s="8" t="str">
        <f aca="false">IF($C215="","",IFERROR(INDEX(INSUMOS!$B$6:$B$205,MATCH($C215,INSUMOS!$A$6:$A$205,0)),"¿Código?"))</f>
        <v/>
      </c>
      <c r="E215" s="8" t="str">
        <f aca="false">IF($C215="","",IFERROR(INDEX(INSUMOS!$D$6:$D$205,MATCH($C215,INSUMOS!$A$6:$A$205,0)),""))</f>
        <v/>
      </c>
      <c r="F215" s="39"/>
      <c r="G215" s="43" t="str">
        <f aca="false">IF(OR($A215="",$C215=""),"",IFERROR(INDEX(INSUMOS!$P$6:$P$205,MATCH($C215,INSUMOS!$A$6:$A$205,0)),0))</f>
        <v/>
      </c>
      <c r="H215" s="43" t="str">
        <f aca="false">IF(OR($A215="",$C215=""),"",N($F215)*$G215)</f>
        <v/>
      </c>
      <c r="I215" s="34" t="str">
        <f aca="false">IF(OR($A215="",$C215=""),"",IFERROR(MAX(1,INDEX(PRODUCTOS!$G$6:$G$105,MATCH($A215,PRODUCTOS!$A$6:$A$105,0))),1))</f>
        <v/>
      </c>
      <c r="J215" s="43" t="str">
        <f aca="false">IF(OR($A215="",$C215=""),"",$H215/$I215)</f>
        <v/>
      </c>
      <c r="K215" s="34" t="str">
        <f aca="false">IF(OR($A215="",$C215=""),"",SUMIFS(VENTAS!$E$6:$E$2005,VENTAS!$C$6:$C$2005,$A215))</f>
        <v/>
      </c>
      <c r="L215" s="45" t="str">
        <f aca="false">IF(OR($A215="",$C215=""),"",IFERROR(N($F215)/INDEX(INSUMOS!$I$6:$I$205,MATCH($C215,INSUMOS!$A$6:$A$205,0)),N($F215))/$I215*$K215)</f>
        <v/>
      </c>
      <c r="M215" s="8" t="str">
        <f aca="false">IF($A215="","",COUNTIF($A$6:$A215,$A215))</f>
        <v/>
      </c>
      <c r="N215" s="8" t="str">
        <f aca="false">IF($A215="","",$A215&amp;"|"&amp;$M215)</f>
        <v/>
      </c>
    </row>
    <row r="216" customFormat="false" ht="15" hidden="false" customHeight="false" outlineLevel="0" collapsed="false">
      <c r="A216" s="6"/>
      <c r="B216" s="8" t="str">
        <f aca="false">IF($A216="","",IFERROR(INDEX(PRODUCTOS!$B$6:$B$105,MATCH($A216,PRODUCTOS!$A$6:$A$105,0)),"¿Código?"))</f>
        <v/>
      </c>
      <c r="C216" s="6"/>
      <c r="D216" s="8" t="str">
        <f aca="false">IF($C216="","",IFERROR(INDEX(INSUMOS!$B$6:$B$205,MATCH($C216,INSUMOS!$A$6:$A$205,0)),"¿Código?"))</f>
        <v/>
      </c>
      <c r="E216" s="8" t="str">
        <f aca="false">IF($C216="","",IFERROR(INDEX(INSUMOS!$D$6:$D$205,MATCH($C216,INSUMOS!$A$6:$A$205,0)),""))</f>
        <v/>
      </c>
      <c r="F216" s="39"/>
      <c r="G216" s="43" t="str">
        <f aca="false">IF(OR($A216="",$C216=""),"",IFERROR(INDEX(INSUMOS!$P$6:$P$205,MATCH($C216,INSUMOS!$A$6:$A$205,0)),0))</f>
        <v/>
      </c>
      <c r="H216" s="43" t="str">
        <f aca="false">IF(OR($A216="",$C216=""),"",N($F216)*$G216)</f>
        <v/>
      </c>
      <c r="I216" s="34" t="str">
        <f aca="false">IF(OR($A216="",$C216=""),"",IFERROR(MAX(1,INDEX(PRODUCTOS!$G$6:$G$105,MATCH($A216,PRODUCTOS!$A$6:$A$105,0))),1))</f>
        <v/>
      </c>
      <c r="J216" s="43" t="str">
        <f aca="false">IF(OR($A216="",$C216=""),"",$H216/$I216)</f>
        <v/>
      </c>
      <c r="K216" s="34" t="str">
        <f aca="false">IF(OR($A216="",$C216=""),"",SUMIFS(VENTAS!$E$6:$E$2005,VENTAS!$C$6:$C$2005,$A216))</f>
        <v/>
      </c>
      <c r="L216" s="45" t="str">
        <f aca="false">IF(OR($A216="",$C216=""),"",IFERROR(N($F216)/INDEX(INSUMOS!$I$6:$I$205,MATCH($C216,INSUMOS!$A$6:$A$205,0)),N($F216))/$I216*$K216)</f>
        <v/>
      </c>
      <c r="M216" s="8" t="str">
        <f aca="false">IF($A216="","",COUNTIF($A$6:$A216,$A216))</f>
        <v/>
      </c>
      <c r="N216" s="8" t="str">
        <f aca="false">IF($A216="","",$A216&amp;"|"&amp;$M216)</f>
        <v/>
      </c>
    </row>
    <row r="217" customFormat="false" ht="15" hidden="false" customHeight="false" outlineLevel="0" collapsed="false">
      <c r="A217" s="6"/>
      <c r="B217" s="8" t="str">
        <f aca="false">IF($A217="","",IFERROR(INDEX(PRODUCTOS!$B$6:$B$105,MATCH($A217,PRODUCTOS!$A$6:$A$105,0)),"¿Código?"))</f>
        <v/>
      </c>
      <c r="C217" s="6"/>
      <c r="D217" s="8" t="str">
        <f aca="false">IF($C217="","",IFERROR(INDEX(INSUMOS!$B$6:$B$205,MATCH($C217,INSUMOS!$A$6:$A$205,0)),"¿Código?"))</f>
        <v/>
      </c>
      <c r="E217" s="8" t="str">
        <f aca="false">IF($C217="","",IFERROR(INDEX(INSUMOS!$D$6:$D$205,MATCH($C217,INSUMOS!$A$6:$A$205,0)),""))</f>
        <v/>
      </c>
      <c r="F217" s="39"/>
      <c r="G217" s="43" t="str">
        <f aca="false">IF(OR($A217="",$C217=""),"",IFERROR(INDEX(INSUMOS!$P$6:$P$205,MATCH($C217,INSUMOS!$A$6:$A$205,0)),0))</f>
        <v/>
      </c>
      <c r="H217" s="43" t="str">
        <f aca="false">IF(OR($A217="",$C217=""),"",N($F217)*$G217)</f>
        <v/>
      </c>
      <c r="I217" s="34" t="str">
        <f aca="false">IF(OR($A217="",$C217=""),"",IFERROR(MAX(1,INDEX(PRODUCTOS!$G$6:$G$105,MATCH($A217,PRODUCTOS!$A$6:$A$105,0))),1))</f>
        <v/>
      </c>
      <c r="J217" s="43" t="str">
        <f aca="false">IF(OR($A217="",$C217=""),"",$H217/$I217)</f>
        <v/>
      </c>
      <c r="K217" s="34" t="str">
        <f aca="false">IF(OR($A217="",$C217=""),"",SUMIFS(VENTAS!$E$6:$E$2005,VENTAS!$C$6:$C$2005,$A217))</f>
        <v/>
      </c>
      <c r="L217" s="45" t="str">
        <f aca="false">IF(OR($A217="",$C217=""),"",IFERROR(N($F217)/INDEX(INSUMOS!$I$6:$I$205,MATCH($C217,INSUMOS!$A$6:$A$205,0)),N($F217))/$I217*$K217)</f>
        <v/>
      </c>
      <c r="M217" s="8" t="str">
        <f aca="false">IF($A217="","",COUNTIF($A$6:$A217,$A217))</f>
        <v/>
      </c>
      <c r="N217" s="8" t="str">
        <f aca="false">IF($A217="","",$A217&amp;"|"&amp;$M217)</f>
        <v/>
      </c>
    </row>
    <row r="218" customFormat="false" ht="15" hidden="false" customHeight="false" outlineLevel="0" collapsed="false">
      <c r="A218" s="6"/>
      <c r="B218" s="8" t="str">
        <f aca="false">IF($A218="","",IFERROR(INDEX(PRODUCTOS!$B$6:$B$105,MATCH($A218,PRODUCTOS!$A$6:$A$105,0)),"¿Código?"))</f>
        <v/>
      </c>
      <c r="C218" s="6"/>
      <c r="D218" s="8" t="str">
        <f aca="false">IF($C218="","",IFERROR(INDEX(INSUMOS!$B$6:$B$205,MATCH($C218,INSUMOS!$A$6:$A$205,0)),"¿Código?"))</f>
        <v/>
      </c>
      <c r="E218" s="8" t="str">
        <f aca="false">IF($C218="","",IFERROR(INDEX(INSUMOS!$D$6:$D$205,MATCH($C218,INSUMOS!$A$6:$A$205,0)),""))</f>
        <v/>
      </c>
      <c r="F218" s="39"/>
      <c r="G218" s="43" t="str">
        <f aca="false">IF(OR($A218="",$C218=""),"",IFERROR(INDEX(INSUMOS!$P$6:$P$205,MATCH($C218,INSUMOS!$A$6:$A$205,0)),0))</f>
        <v/>
      </c>
      <c r="H218" s="43" t="str">
        <f aca="false">IF(OR($A218="",$C218=""),"",N($F218)*$G218)</f>
        <v/>
      </c>
      <c r="I218" s="34" t="str">
        <f aca="false">IF(OR($A218="",$C218=""),"",IFERROR(MAX(1,INDEX(PRODUCTOS!$G$6:$G$105,MATCH($A218,PRODUCTOS!$A$6:$A$105,0))),1))</f>
        <v/>
      </c>
      <c r="J218" s="43" t="str">
        <f aca="false">IF(OR($A218="",$C218=""),"",$H218/$I218)</f>
        <v/>
      </c>
      <c r="K218" s="34" t="str">
        <f aca="false">IF(OR($A218="",$C218=""),"",SUMIFS(VENTAS!$E$6:$E$2005,VENTAS!$C$6:$C$2005,$A218))</f>
        <v/>
      </c>
      <c r="L218" s="45" t="str">
        <f aca="false">IF(OR($A218="",$C218=""),"",IFERROR(N($F218)/INDEX(INSUMOS!$I$6:$I$205,MATCH($C218,INSUMOS!$A$6:$A$205,0)),N($F218))/$I218*$K218)</f>
        <v/>
      </c>
      <c r="M218" s="8" t="str">
        <f aca="false">IF($A218="","",COUNTIF($A$6:$A218,$A218))</f>
        <v/>
      </c>
      <c r="N218" s="8" t="str">
        <f aca="false">IF($A218="","",$A218&amp;"|"&amp;$M218)</f>
        <v/>
      </c>
    </row>
    <row r="219" customFormat="false" ht="15" hidden="false" customHeight="false" outlineLevel="0" collapsed="false">
      <c r="A219" s="6"/>
      <c r="B219" s="8" t="str">
        <f aca="false">IF($A219="","",IFERROR(INDEX(PRODUCTOS!$B$6:$B$105,MATCH($A219,PRODUCTOS!$A$6:$A$105,0)),"¿Código?"))</f>
        <v/>
      </c>
      <c r="C219" s="6"/>
      <c r="D219" s="8" t="str">
        <f aca="false">IF($C219="","",IFERROR(INDEX(INSUMOS!$B$6:$B$205,MATCH($C219,INSUMOS!$A$6:$A$205,0)),"¿Código?"))</f>
        <v/>
      </c>
      <c r="E219" s="8" t="str">
        <f aca="false">IF($C219="","",IFERROR(INDEX(INSUMOS!$D$6:$D$205,MATCH($C219,INSUMOS!$A$6:$A$205,0)),""))</f>
        <v/>
      </c>
      <c r="F219" s="39"/>
      <c r="G219" s="43" t="str">
        <f aca="false">IF(OR($A219="",$C219=""),"",IFERROR(INDEX(INSUMOS!$P$6:$P$205,MATCH($C219,INSUMOS!$A$6:$A$205,0)),0))</f>
        <v/>
      </c>
      <c r="H219" s="43" t="str">
        <f aca="false">IF(OR($A219="",$C219=""),"",N($F219)*$G219)</f>
        <v/>
      </c>
      <c r="I219" s="34" t="str">
        <f aca="false">IF(OR($A219="",$C219=""),"",IFERROR(MAX(1,INDEX(PRODUCTOS!$G$6:$G$105,MATCH($A219,PRODUCTOS!$A$6:$A$105,0))),1))</f>
        <v/>
      </c>
      <c r="J219" s="43" t="str">
        <f aca="false">IF(OR($A219="",$C219=""),"",$H219/$I219)</f>
        <v/>
      </c>
      <c r="K219" s="34" t="str">
        <f aca="false">IF(OR($A219="",$C219=""),"",SUMIFS(VENTAS!$E$6:$E$2005,VENTAS!$C$6:$C$2005,$A219))</f>
        <v/>
      </c>
      <c r="L219" s="45" t="str">
        <f aca="false">IF(OR($A219="",$C219=""),"",IFERROR(N($F219)/INDEX(INSUMOS!$I$6:$I$205,MATCH($C219,INSUMOS!$A$6:$A$205,0)),N($F219))/$I219*$K219)</f>
        <v/>
      </c>
      <c r="M219" s="8" t="str">
        <f aca="false">IF($A219="","",COUNTIF($A$6:$A219,$A219))</f>
        <v/>
      </c>
      <c r="N219" s="8" t="str">
        <f aca="false">IF($A219="","",$A219&amp;"|"&amp;$M219)</f>
        <v/>
      </c>
    </row>
    <row r="220" customFormat="false" ht="15" hidden="false" customHeight="false" outlineLevel="0" collapsed="false">
      <c r="A220" s="6"/>
      <c r="B220" s="8" t="str">
        <f aca="false">IF($A220="","",IFERROR(INDEX(PRODUCTOS!$B$6:$B$105,MATCH($A220,PRODUCTOS!$A$6:$A$105,0)),"¿Código?"))</f>
        <v/>
      </c>
      <c r="C220" s="6"/>
      <c r="D220" s="8" t="str">
        <f aca="false">IF($C220="","",IFERROR(INDEX(INSUMOS!$B$6:$B$205,MATCH($C220,INSUMOS!$A$6:$A$205,0)),"¿Código?"))</f>
        <v/>
      </c>
      <c r="E220" s="8" t="str">
        <f aca="false">IF($C220="","",IFERROR(INDEX(INSUMOS!$D$6:$D$205,MATCH($C220,INSUMOS!$A$6:$A$205,0)),""))</f>
        <v/>
      </c>
      <c r="F220" s="39"/>
      <c r="G220" s="43" t="str">
        <f aca="false">IF(OR($A220="",$C220=""),"",IFERROR(INDEX(INSUMOS!$P$6:$P$205,MATCH($C220,INSUMOS!$A$6:$A$205,0)),0))</f>
        <v/>
      </c>
      <c r="H220" s="43" t="str">
        <f aca="false">IF(OR($A220="",$C220=""),"",N($F220)*$G220)</f>
        <v/>
      </c>
      <c r="I220" s="34" t="str">
        <f aca="false">IF(OR($A220="",$C220=""),"",IFERROR(MAX(1,INDEX(PRODUCTOS!$G$6:$G$105,MATCH($A220,PRODUCTOS!$A$6:$A$105,0))),1))</f>
        <v/>
      </c>
      <c r="J220" s="43" t="str">
        <f aca="false">IF(OR($A220="",$C220=""),"",$H220/$I220)</f>
        <v/>
      </c>
      <c r="K220" s="34" t="str">
        <f aca="false">IF(OR($A220="",$C220=""),"",SUMIFS(VENTAS!$E$6:$E$2005,VENTAS!$C$6:$C$2005,$A220))</f>
        <v/>
      </c>
      <c r="L220" s="45" t="str">
        <f aca="false">IF(OR($A220="",$C220=""),"",IFERROR(N($F220)/INDEX(INSUMOS!$I$6:$I$205,MATCH($C220,INSUMOS!$A$6:$A$205,0)),N($F220))/$I220*$K220)</f>
        <v/>
      </c>
      <c r="M220" s="8" t="str">
        <f aca="false">IF($A220="","",COUNTIF($A$6:$A220,$A220))</f>
        <v/>
      </c>
      <c r="N220" s="8" t="str">
        <f aca="false">IF($A220="","",$A220&amp;"|"&amp;$M220)</f>
        <v/>
      </c>
    </row>
    <row r="221" customFormat="false" ht="15" hidden="false" customHeight="false" outlineLevel="0" collapsed="false">
      <c r="A221" s="6"/>
      <c r="B221" s="8" t="str">
        <f aca="false">IF($A221="","",IFERROR(INDEX(PRODUCTOS!$B$6:$B$105,MATCH($A221,PRODUCTOS!$A$6:$A$105,0)),"¿Código?"))</f>
        <v/>
      </c>
      <c r="C221" s="6"/>
      <c r="D221" s="8" t="str">
        <f aca="false">IF($C221="","",IFERROR(INDEX(INSUMOS!$B$6:$B$205,MATCH($C221,INSUMOS!$A$6:$A$205,0)),"¿Código?"))</f>
        <v/>
      </c>
      <c r="E221" s="8" t="str">
        <f aca="false">IF($C221="","",IFERROR(INDEX(INSUMOS!$D$6:$D$205,MATCH($C221,INSUMOS!$A$6:$A$205,0)),""))</f>
        <v/>
      </c>
      <c r="F221" s="39"/>
      <c r="G221" s="43" t="str">
        <f aca="false">IF(OR($A221="",$C221=""),"",IFERROR(INDEX(INSUMOS!$P$6:$P$205,MATCH($C221,INSUMOS!$A$6:$A$205,0)),0))</f>
        <v/>
      </c>
      <c r="H221" s="43" t="str">
        <f aca="false">IF(OR($A221="",$C221=""),"",N($F221)*$G221)</f>
        <v/>
      </c>
      <c r="I221" s="34" t="str">
        <f aca="false">IF(OR($A221="",$C221=""),"",IFERROR(MAX(1,INDEX(PRODUCTOS!$G$6:$G$105,MATCH($A221,PRODUCTOS!$A$6:$A$105,0))),1))</f>
        <v/>
      </c>
      <c r="J221" s="43" t="str">
        <f aca="false">IF(OR($A221="",$C221=""),"",$H221/$I221)</f>
        <v/>
      </c>
      <c r="K221" s="34" t="str">
        <f aca="false">IF(OR($A221="",$C221=""),"",SUMIFS(VENTAS!$E$6:$E$2005,VENTAS!$C$6:$C$2005,$A221))</f>
        <v/>
      </c>
      <c r="L221" s="45" t="str">
        <f aca="false">IF(OR($A221="",$C221=""),"",IFERROR(N($F221)/INDEX(INSUMOS!$I$6:$I$205,MATCH($C221,INSUMOS!$A$6:$A$205,0)),N($F221))/$I221*$K221)</f>
        <v/>
      </c>
      <c r="M221" s="8" t="str">
        <f aca="false">IF($A221="","",COUNTIF($A$6:$A221,$A221))</f>
        <v/>
      </c>
      <c r="N221" s="8" t="str">
        <f aca="false">IF($A221="","",$A221&amp;"|"&amp;$M221)</f>
        <v/>
      </c>
    </row>
    <row r="222" customFormat="false" ht="15" hidden="false" customHeight="false" outlineLevel="0" collapsed="false">
      <c r="A222" s="6"/>
      <c r="B222" s="8" t="str">
        <f aca="false">IF($A222="","",IFERROR(INDEX(PRODUCTOS!$B$6:$B$105,MATCH($A222,PRODUCTOS!$A$6:$A$105,0)),"¿Código?"))</f>
        <v/>
      </c>
      <c r="C222" s="6"/>
      <c r="D222" s="8" t="str">
        <f aca="false">IF($C222="","",IFERROR(INDEX(INSUMOS!$B$6:$B$205,MATCH($C222,INSUMOS!$A$6:$A$205,0)),"¿Código?"))</f>
        <v/>
      </c>
      <c r="E222" s="8" t="str">
        <f aca="false">IF($C222="","",IFERROR(INDEX(INSUMOS!$D$6:$D$205,MATCH($C222,INSUMOS!$A$6:$A$205,0)),""))</f>
        <v/>
      </c>
      <c r="F222" s="39"/>
      <c r="G222" s="43" t="str">
        <f aca="false">IF(OR($A222="",$C222=""),"",IFERROR(INDEX(INSUMOS!$P$6:$P$205,MATCH($C222,INSUMOS!$A$6:$A$205,0)),0))</f>
        <v/>
      </c>
      <c r="H222" s="43" t="str">
        <f aca="false">IF(OR($A222="",$C222=""),"",N($F222)*$G222)</f>
        <v/>
      </c>
      <c r="I222" s="34" t="str">
        <f aca="false">IF(OR($A222="",$C222=""),"",IFERROR(MAX(1,INDEX(PRODUCTOS!$G$6:$G$105,MATCH($A222,PRODUCTOS!$A$6:$A$105,0))),1))</f>
        <v/>
      </c>
      <c r="J222" s="43" t="str">
        <f aca="false">IF(OR($A222="",$C222=""),"",$H222/$I222)</f>
        <v/>
      </c>
      <c r="K222" s="34" t="str">
        <f aca="false">IF(OR($A222="",$C222=""),"",SUMIFS(VENTAS!$E$6:$E$2005,VENTAS!$C$6:$C$2005,$A222))</f>
        <v/>
      </c>
      <c r="L222" s="45" t="str">
        <f aca="false">IF(OR($A222="",$C222=""),"",IFERROR(N($F222)/INDEX(INSUMOS!$I$6:$I$205,MATCH($C222,INSUMOS!$A$6:$A$205,0)),N($F222))/$I222*$K222)</f>
        <v/>
      </c>
      <c r="M222" s="8" t="str">
        <f aca="false">IF($A222="","",COUNTIF($A$6:$A222,$A222))</f>
        <v/>
      </c>
      <c r="N222" s="8" t="str">
        <f aca="false">IF($A222="","",$A222&amp;"|"&amp;$M222)</f>
        <v/>
      </c>
    </row>
    <row r="223" customFormat="false" ht="15" hidden="false" customHeight="false" outlineLevel="0" collapsed="false">
      <c r="A223" s="6"/>
      <c r="B223" s="8" t="str">
        <f aca="false">IF($A223="","",IFERROR(INDEX(PRODUCTOS!$B$6:$B$105,MATCH($A223,PRODUCTOS!$A$6:$A$105,0)),"¿Código?"))</f>
        <v/>
      </c>
      <c r="C223" s="6"/>
      <c r="D223" s="8" t="str">
        <f aca="false">IF($C223="","",IFERROR(INDEX(INSUMOS!$B$6:$B$205,MATCH($C223,INSUMOS!$A$6:$A$205,0)),"¿Código?"))</f>
        <v/>
      </c>
      <c r="E223" s="8" t="str">
        <f aca="false">IF($C223="","",IFERROR(INDEX(INSUMOS!$D$6:$D$205,MATCH($C223,INSUMOS!$A$6:$A$205,0)),""))</f>
        <v/>
      </c>
      <c r="F223" s="39"/>
      <c r="G223" s="43" t="str">
        <f aca="false">IF(OR($A223="",$C223=""),"",IFERROR(INDEX(INSUMOS!$P$6:$P$205,MATCH($C223,INSUMOS!$A$6:$A$205,0)),0))</f>
        <v/>
      </c>
      <c r="H223" s="43" t="str">
        <f aca="false">IF(OR($A223="",$C223=""),"",N($F223)*$G223)</f>
        <v/>
      </c>
      <c r="I223" s="34" t="str">
        <f aca="false">IF(OR($A223="",$C223=""),"",IFERROR(MAX(1,INDEX(PRODUCTOS!$G$6:$G$105,MATCH($A223,PRODUCTOS!$A$6:$A$105,0))),1))</f>
        <v/>
      </c>
      <c r="J223" s="43" t="str">
        <f aca="false">IF(OR($A223="",$C223=""),"",$H223/$I223)</f>
        <v/>
      </c>
      <c r="K223" s="34" t="str">
        <f aca="false">IF(OR($A223="",$C223=""),"",SUMIFS(VENTAS!$E$6:$E$2005,VENTAS!$C$6:$C$2005,$A223))</f>
        <v/>
      </c>
      <c r="L223" s="45" t="str">
        <f aca="false">IF(OR($A223="",$C223=""),"",IFERROR(N($F223)/INDEX(INSUMOS!$I$6:$I$205,MATCH($C223,INSUMOS!$A$6:$A$205,0)),N($F223))/$I223*$K223)</f>
        <v/>
      </c>
      <c r="M223" s="8" t="str">
        <f aca="false">IF($A223="","",COUNTIF($A$6:$A223,$A223))</f>
        <v/>
      </c>
      <c r="N223" s="8" t="str">
        <f aca="false">IF($A223="","",$A223&amp;"|"&amp;$M223)</f>
        <v/>
      </c>
    </row>
    <row r="224" customFormat="false" ht="15" hidden="false" customHeight="false" outlineLevel="0" collapsed="false">
      <c r="A224" s="6"/>
      <c r="B224" s="8" t="str">
        <f aca="false">IF($A224="","",IFERROR(INDEX(PRODUCTOS!$B$6:$B$105,MATCH($A224,PRODUCTOS!$A$6:$A$105,0)),"¿Código?"))</f>
        <v/>
      </c>
      <c r="C224" s="6"/>
      <c r="D224" s="8" t="str">
        <f aca="false">IF($C224="","",IFERROR(INDEX(INSUMOS!$B$6:$B$205,MATCH($C224,INSUMOS!$A$6:$A$205,0)),"¿Código?"))</f>
        <v/>
      </c>
      <c r="E224" s="8" t="str">
        <f aca="false">IF($C224="","",IFERROR(INDEX(INSUMOS!$D$6:$D$205,MATCH($C224,INSUMOS!$A$6:$A$205,0)),""))</f>
        <v/>
      </c>
      <c r="F224" s="39"/>
      <c r="G224" s="43" t="str">
        <f aca="false">IF(OR($A224="",$C224=""),"",IFERROR(INDEX(INSUMOS!$P$6:$P$205,MATCH($C224,INSUMOS!$A$6:$A$205,0)),0))</f>
        <v/>
      </c>
      <c r="H224" s="43" t="str">
        <f aca="false">IF(OR($A224="",$C224=""),"",N($F224)*$G224)</f>
        <v/>
      </c>
      <c r="I224" s="34" t="str">
        <f aca="false">IF(OR($A224="",$C224=""),"",IFERROR(MAX(1,INDEX(PRODUCTOS!$G$6:$G$105,MATCH($A224,PRODUCTOS!$A$6:$A$105,0))),1))</f>
        <v/>
      </c>
      <c r="J224" s="43" t="str">
        <f aca="false">IF(OR($A224="",$C224=""),"",$H224/$I224)</f>
        <v/>
      </c>
      <c r="K224" s="34" t="str">
        <f aca="false">IF(OR($A224="",$C224=""),"",SUMIFS(VENTAS!$E$6:$E$2005,VENTAS!$C$6:$C$2005,$A224))</f>
        <v/>
      </c>
      <c r="L224" s="45" t="str">
        <f aca="false">IF(OR($A224="",$C224=""),"",IFERROR(N($F224)/INDEX(INSUMOS!$I$6:$I$205,MATCH($C224,INSUMOS!$A$6:$A$205,0)),N($F224))/$I224*$K224)</f>
        <v/>
      </c>
      <c r="M224" s="8" t="str">
        <f aca="false">IF($A224="","",COUNTIF($A$6:$A224,$A224))</f>
        <v/>
      </c>
      <c r="N224" s="8" t="str">
        <f aca="false">IF($A224="","",$A224&amp;"|"&amp;$M224)</f>
        <v/>
      </c>
    </row>
    <row r="225" customFormat="false" ht="15" hidden="false" customHeight="false" outlineLevel="0" collapsed="false">
      <c r="A225" s="6"/>
      <c r="B225" s="8" t="str">
        <f aca="false">IF($A225="","",IFERROR(INDEX(PRODUCTOS!$B$6:$B$105,MATCH($A225,PRODUCTOS!$A$6:$A$105,0)),"¿Código?"))</f>
        <v/>
      </c>
      <c r="C225" s="6"/>
      <c r="D225" s="8" t="str">
        <f aca="false">IF($C225="","",IFERROR(INDEX(INSUMOS!$B$6:$B$205,MATCH($C225,INSUMOS!$A$6:$A$205,0)),"¿Código?"))</f>
        <v/>
      </c>
      <c r="E225" s="8" t="str">
        <f aca="false">IF($C225="","",IFERROR(INDEX(INSUMOS!$D$6:$D$205,MATCH($C225,INSUMOS!$A$6:$A$205,0)),""))</f>
        <v/>
      </c>
      <c r="F225" s="39"/>
      <c r="G225" s="43" t="str">
        <f aca="false">IF(OR($A225="",$C225=""),"",IFERROR(INDEX(INSUMOS!$P$6:$P$205,MATCH($C225,INSUMOS!$A$6:$A$205,0)),0))</f>
        <v/>
      </c>
      <c r="H225" s="43" t="str">
        <f aca="false">IF(OR($A225="",$C225=""),"",N($F225)*$G225)</f>
        <v/>
      </c>
      <c r="I225" s="34" t="str">
        <f aca="false">IF(OR($A225="",$C225=""),"",IFERROR(MAX(1,INDEX(PRODUCTOS!$G$6:$G$105,MATCH($A225,PRODUCTOS!$A$6:$A$105,0))),1))</f>
        <v/>
      </c>
      <c r="J225" s="43" t="str">
        <f aca="false">IF(OR($A225="",$C225=""),"",$H225/$I225)</f>
        <v/>
      </c>
      <c r="K225" s="34" t="str">
        <f aca="false">IF(OR($A225="",$C225=""),"",SUMIFS(VENTAS!$E$6:$E$2005,VENTAS!$C$6:$C$2005,$A225))</f>
        <v/>
      </c>
      <c r="L225" s="45" t="str">
        <f aca="false">IF(OR($A225="",$C225=""),"",IFERROR(N($F225)/INDEX(INSUMOS!$I$6:$I$205,MATCH($C225,INSUMOS!$A$6:$A$205,0)),N($F225))/$I225*$K225)</f>
        <v/>
      </c>
      <c r="M225" s="8" t="str">
        <f aca="false">IF($A225="","",COUNTIF($A$6:$A225,$A225))</f>
        <v/>
      </c>
      <c r="N225" s="8" t="str">
        <f aca="false">IF($A225="","",$A225&amp;"|"&amp;$M225)</f>
        <v/>
      </c>
    </row>
    <row r="226" customFormat="false" ht="15" hidden="false" customHeight="false" outlineLevel="0" collapsed="false">
      <c r="A226" s="6"/>
      <c r="B226" s="8" t="str">
        <f aca="false">IF($A226="","",IFERROR(INDEX(PRODUCTOS!$B$6:$B$105,MATCH($A226,PRODUCTOS!$A$6:$A$105,0)),"¿Código?"))</f>
        <v/>
      </c>
      <c r="C226" s="6"/>
      <c r="D226" s="8" t="str">
        <f aca="false">IF($C226="","",IFERROR(INDEX(INSUMOS!$B$6:$B$205,MATCH($C226,INSUMOS!$A$6:$A$205,0)),"¿Código?"))</f>
        <v/>
      </c>
      <c r="E226" s="8" t="str">
        <f aca="false">IF($C226="","",IFERROR(INDEX(INSUMOS!$D$6:$D$205,MATCH($C226,INSUMOS!$A$6:$A$205,0)),""))</f>
        <v/>
      </c>
      <c r="F226" s="39"/>
      <c r="G226" s="43" t="str">
        <f aca="false">IF(OR($A226="",$C226=""),"",IFERROR(INDEX(INSUMOS!$P$6:$P$205,MATCH($C226,INSUMOS!$A$6:$A$205,0)),0))</f>
        <v/>
      </c>
      <c r="H226" s="43" t="str">
        <f aca="false">IF(OR($A226="",$C226=""),"",N($F226)*$G226)</f>
        <v/>
      </c>
      <c r="I226" s="34" t="str">
        <f aca="false">IF(OR($A226="",$C226=""),"",IFERROR(MAX(1,INDEX(PRODUCTOS!$G$6:$G$105,MATCH($A226,PRODUCTOS!$A$6:$A$105,0))),1))</f>
        <v/>
      </c>
      <c r="J226" s="43" t="str">
        <f aca="false">IF(OR($A226="",$C226=""),"",$H226/$I226)</f>
        <v/>
      </c>
      <c r="K226" s="34" t="str">
        <f aca="false">IF(OR($A226="",$C226=""),"",SUMIFS(VENTAS!$E$6:$E$2005,VENTAS!$C$6:$C$2005,$A226))</f>
        <v/>
      </c>
      <c r="L226" s="45" t="str">
        <f aca="false">IF(OR($A226="",$C226=""),"",IFERROR(N($F226)/INDEX(INSUMOS!$I$6:$I$205,MATCH($C226,INSUMOS!$A$6:$A$205,0)),N($F226))/$I226*$K226)</f>
        <v/>
      </c>
      <c r="M226" s="8" t="str">
        <f aca="false">IF($A226="","",COUNTIF($A$6:$A226,$A226))</f>
        <v/>
      </c>
      <c r="N226" s="8" t="str">
        <f aca="false">IF($A226="","",$A226&amp;"|"&amp;$M226)</f>
        <v/>
      </c>
    </row>
    <row r="227" customFormat="false" ht="15" hidden="false" customHeight="false" outlineLevel="0" collapsed="false">
      <c r="A227" s="6"/>
      <c r="B227" s="8" t="str">
        <f aca="false">IF($A227="","",IFERROR(INDEX(PRODUCTOS!$B$6:$B$105,MATCH($A227,PRODUCTOS!$A$6:$A$105,0)),"¿Código?"))</f>
        <v/>
      </c>
      <c r="C227" s="6"/>
      <c r="D227" s="8" t="str">
        <f aca="false">IF($C227="","",IFERROR(INDEX(INSUMOS!$B$6:$B$205,MATCH($C227,INSUMOS!$A$6:$A$205,0)),"¿Código?"))</f>
        <v/>
      </c>
      <c r="E227" s="8" t="str">
        <f aca="false">IF($C227="","",IFERROR(INDEX(INSUMOS!$D$6:$D$205,MATCH($C227,INSUMOS!$A$6:$A$205,0)),""))</f>
        <v/>
      </c>
      <c r="F227" s="39"/>
      <c r="G227" s="43" t="str">
        <f aca="false">IF(OR($A227="",$C227=""),"",IFERROR(INDEX(INSUMOS!$P$6:$P$205,MATCH($C227,INSUMOS!$A$6:$A$205,0)),0))</f>
        <v/>
      </c>
      <c r="H227" s="43" t="str">
        <f aca="false">IF(OR($A227="",$C227=""),"",N($F227)*$G227)</f>
        <v/>
      </c>
      <c r="I227" s="34" t="str">
        <f aca="false">IF(OR($A227="",$C227=""),"",IFERROR(MAX(1,INDEX(PRODUCTOS!$G$6:$G$105,MATCH($A227,PRODUCTOS!$A$6:$A$105,0))),1))</f>
        <v/>
      </c>
      <c r="J227" s="43" t="str">
        <f aca="false">IF(OR($A227="",$C227=""),"",$H227/$I227)</f>
        <v/>
      </c>
      <c r="K227" s="34" t="str">
        <f aca="false">IF(OR($A227="",$C227=""),"",SUMIFS(VENTAS!$E$6:$E$2005,VENTAS!$C$6:$C$2005,$A227))</f>
        <v/>
      </c>
      <c r="L227" s="45" t="str">
        <f aca="false">IF(OR($A227="",$C227=""),"",IFERROR(N($F227)/INDEX(INSUMOS!$I$6:$I$205,MATCH($C227,INSUMOS!$A$6:$A$205,0)),N($F227))/$I227*$K227)</f>
        <v/>
      </c>
      <c r="M227" s="8" t="str">
        <f aca="false">IF($A227="","",COUNTIF($A$6:$A227,$A227))</f>
        <v/>
      </c>
      <c r="N227" s="8" t="str">
        <f aca="false">IF($A227="","",$A227&amp;"|"&amp;$M227)</f>
        <v/>
      </c>
    </row>
    <row r="228" customFormat="false" ht="15" hidden="false" customHeight="false" outlineLevel="0" collapsed="false">
      <c r="A228" s="6"/>
      <c r="B228" s="8" t="str">
        <f aca="false">IF($A228="","",IFERROR(INDEX(PRODUCTOS!$B$6:$B$105,MATCH($A228,PRODUCTOS!$A$6:$A$105,0)),"¿Código?"))</f>
        <v/>
      </c>
      <c r="C228" s="6"/>
      <c r="D228" s="8" t="str">
        <f aca="false">IF($C228="","",IFERROR(INDEX(INSUMOS!$B$6:$B$205,MATCH($C228,INSUMOS!$A$6:$A$205,0)),"¿Código?"))</f>
        <v/>
      </c>
      <c r="E228" s="8" t="str">
        <f aca="false">IF($C228="","",IFERROR(INDEX(INSUMOS!$D$6:$D$205,MATCH($C228,INSUMOS!$A$6:$A$205,0)),""))</f>
        <v/>
      </c>
      <c r="F228" s="39"/>
      <c r="G228" s="43" t="str">
        <f aca="false">IF(OR($A228="",$C228=""),"",IFERROR(INDEX(INSUMOS!$P$6:$P$205,MATCH($C228,INSUMOS!$A$6:$A$205,0)),0))</f>
        <v/>
      </c>
      <c r="H228" s="43" t="str">
        <f aca="false">IF(OR($A228="",$C228=""),"",N($F228)*$G228)</f>
        <v/>
      </c>
      <c r="I228" s="34" t="str">
        <f aca="false">IF(OR($A228="",$C228=""),"",IFERROR(MAX(1,INDEX(PRODUCTOS!$G$6:$G$105,MATCH($A228,PRODUCTOS!$A$6:$A$105,0))),1))</f>
        <v/>
      </c>
      <c r="J228" s="43" t="str">
        <f aca="false">IF(OR($A228="",$C228=""),"",$H228/$I228)</f>
        <v/>
      </c>
      <c r="K228" s="34" t="str">
        <f aca="false">IF(OR($A228="",$C228=""),"",SUMIFS(VENTAS!$E$6:$E$2005,VENTAS!$C$6:$C$2005,$A228))</f>
        <v/>
      </c>
      <c r="L228" s="45" t="str">
        <f aca="false">IF(OR($A228="",$C228=""),"",IFERROR(N($F228)/INDEX(INSUMOS!$I$6:$I$205,MATCH($C228,INSUMOS!$A$6:$A$205,0)),N($F228))/$I228*$K228)</f>
        <v/>
      </c>
      <c r="M228" s="8" t="str">
        <f aca="false">IF($A228="","",COUNTIF($A$6:$A228,$A228))</f>
        <v/>
      </c>
      <c r="N228" s="8" t="str">
        <f aca="false">IF($A228="","",$A228&amp;"|"&amp;$M228)</f>
        <v/>
      </c>
    </row>
    <row r="229" customFormat="false" ht="15" hidden="false" customHeight="false" outlineLevel="0" collapsed="false">
      <c r="A229" s="6"/>
      <c r="B229" s="8" t="str">
        <f aca="false">IF($A229="","",IFERROR(INDEX(PRODUCTOS!$B$6:$B$105,MATCH($A229,PRODUCTOS!$A$6:$A$105,0)),"¿Código?"))</f>
        <v/>
      </c>
      <c r="C229" s="6"/>
      <c r="D229" s="8" t="str">
        <f aca="false">IF($C229="","",IFERROR(INDEX(INSUMOS!$B$6:$B$205,MATCH($C229,INSUMOS!$A$6:$A$205,0)),"¿Código?"))</f>
        <v/>
      </c>
      <c r="E229" s="8" t="str">
        <f aca="false">IF($C229="","",IFERROR(INDEX(INSUMOS!$D$6:$D$205,MATCH($C229,INSUMOS!$A$6:$A$205,0)),""))</f>
        <v/>
      </c>
      <c r="F229" s="39"/>
      <c r="G229" s="43" t="str">
        <f aca="false">IF(OR($A229="",$C229=""),"",IFERROR(INDEX(INSUMOS!$P$6:$P$205,MATCH($C229,INSUMOS!$A$6:$A$205,0)),0))</f>
        <v/>
      </c>
      <c r="H229" s="43" t="str">
        <f aca="false">IF(OR($A229="",$C229=""),"",N($F229)*$G229)</f>
        <v/>
      </c>
      <c r="I229" s="34" t="str">
        <f aca="false">IF(OR($A229="",$C229=""),"",IFERROR(MAX(1,INDEX(PRODUCTOS!$G$6:$G$105,MATCH($A229,PRODUCTOS!$A$6:$A$105,0))),1))</f>
        <v/>
      </c>
      <c r="J229" s="43" t="str">
        <f aca="false">IF(OR($A229="",$C229=""),"",$H229/$I229)</f>
        <v/>
      </c>
      <c r="K229" s="34" t="str">
        <f aca="false">IF(OR($A229="",$C229=""),"",SUMIFS(VENTAS!$E$6:$E$2005,VENTAS!$C$6:$C$2005,$A229))</f>
        <v/>
      </c>
      <c r="L229" s="45" t="str">
        <f aca="false">IF(OR($A229="",$C229=""),"",IFERROR(N($F229)/INDEX(INSUMOS!$I$6:$I$205,MATCH($C229,INSUMOS!$A$6:$A$205,0)),N($F229))/$I229*$K229)</f>
        <v/>
      </c>
      <c r="M229" s="8" t="str">
        <f aca="false">IF($A229="","",COUNTIF($A$6:$A229,$A229))</f>
        <v/>
      </c>
      <c r="N229" s="8" t="str">
        <f aca="false">IF($A229="","",$A229&amp;"|"&amp;$M229)</f>
        <v/>
      </c>
    </row>
    <row r="230" customFormat="false" ht="15" hidden="false" customHeight="false" outlineLevel="0" collapsed="false">
      <c r="A230" s="6"/>
      <c r="B230" s="8" t="str">
        <f aca="false">IF($A230="","",IFERROR(INDEX(PRODUCTOS!$B$6:$B$105,MATCH($A230,PRODUCTOS!$A$6:$A$105,0)),"¿Código?"))</f>
        <v/>
      </c>
      <c r="C230" s="6"/>
      <c r="D230" s="8" t="str">
        <f aca="false">IF($C230="","",IFERROR(INDEX(INSUMOS!$B$6:$B$205,MATCH($C230,INSUMOS!$A$6:$A$205,0)),"¿Código?"))</f>
        <v/>
      </c>
      <c r="E230" s="8" t="str">
        <f aca="false">IF($C230="","",IFERROR(INDEX(INSUMOS!$D$6:$D$205,MATCH($C230,INSUMOS!$A$6:$A$205,0)),""))</f>
        <v/>
      </c>
      <c r="F230" s="39"/>
      <c r="G230" s="43" t="str">
        <f aca="false">IF(OR($A230="",$C230=""),"",IFERROR(INDEX(INSUMOS!$P$6:$P$205,MATCH($C230,INSUMOS!$A$6:$A$205,0)),0))</f>
        <v/>
      </c>
      <c r="H230" s="43" t="str">
        <f aca="false">IF(OR($A230="",$C230=""),"",N($F230)*$G230)</f>
        <v/>
      </c>
      <c r="I230" s="34" t="str">
        <f aca="false">IF(OR($A230="",$C230=""),"",IFERROR(MAX(1,INDEX(PRODUCTOS!$G$6:$G$105,MATCH($A230,PRODUCTOS!$A$6:$A$105,0))),1))</f>
        <v/>
      </c>
      <c r="J230" s="43" t="str">
        <f aca="false">IF(OR($A230="",$C230=""),"",$H230/$I230)</f>
        <v/>
      </c>
      <c r="K230" s="34" t="str">
        <f aca="false">IF(OR($A230="",$C230=""),"",SUMIFS(VENTAS!$E$6:$E$2005,VENTAS!$C$6:$C$2005,$A230))</f>
        <v/>
      </c>
      <c r="L230" s="45" t="str">
        <f aca="false">IF(OR($A230="",$C230=""),"",IFERROR(N($F230)/INDEX(INSUMOS!$I$6:$I$205,MATCH($C230,INSUMOS!$A$6:$A$205,0)),N($F230))/$I230*$K230)</f>
        <v/>
      </c>
      <c r="M230" s="8" t="str">
        <f aca="false">IF($A230="","",COUNTIF($A$6:$A230,$A230))</f>
        <v/>
      </c>
      <c r="N230" s="8" t="str">
        <f aca="false">IF($A230="","",$A230&amp;"|"&amp;$M230)</f>
        <v/>
      </c>
    </row>
    <row r="231" customFormat="false" ht="15" hidden="false" customHeight="false" outlineLevel="0" collapsed="false">
      <c r="A231" s="6"/>
      <c r="B231" s="8" t="str">
        <f aca="false">IF($A231="","",IFERROR(INDEX(PRODUCTOS!$B$6:$B$105,MATCH($A231,PRODUCTOS!$A$6:$A$105,0)),"¿Código?"))</f>
        <v/>
      </c>
      <c r="C231" s="6"/>
      <c r="D231" s="8" t="str">
        <f aca="false">IF($C231="","",IFERROR(INDEX(INSUMOS!$B$6:$B$205,MATCH($C231,INSUMOS!$A$6:$A$205,0)),"¿Código?"))</f>
        <v/>
      </c>
      <c r="E231" s="8" t="str">
        <f aca="false">IF($C231="","",IFERROR(INDEX(INSUMOS!$D$6:$D$205,MATCH($C231,INSUMOS!$A$6:$A$205,0)),""))</f>
        <v/>
      </c>
      <c r="F231" s="39"/>
      <c r="G231" s="43" t="str">
        <f aca="false">IF(OR($A231="",$C231=""),"",IFERROR(INDEX(INSUMOS!$P$6:$P$205,MATCH($C231,INSUMOS!$A$6:$A$205,0)),0))</f>
        <v/>
      </c>
      <c r="H231" s="43" t="str">
        <f aca="false">IF(OR($A231="",$C231=""),"",N($F231)*$G231)</f>
        <v/>
      </c>
      <c r="I231" s="34" t="str">
        <f aca="false">IF(OR($A231="",$C231=""),"",IFERROR(MAX(1,INDEX(PRODUCTOS!$G$6:$G$105,MATCH($A231,PRODUCTOS!$A$6:$A$105,0))),1))</f>
        <v/>
      </c>
      <c r="J231" s="43" t="str">
        <f aca="false">IF(OR($A231="",$C231=""),"",$H231/$I231)</f>
        <v/>
      </c>
      <c r="K231" s="34" t="str">
        <f aca="false">IF(OR($A231="",$C231=""),"",SUMIFS(VENTAS!$E$6:$E$2005,VENTAS!$C$6:$C$2005,$A231))</f>
        <v/>
      </c>
      <c r="L231" s="45" t="str">
        <f aca="false">IF(OR($A231="",$C231=""),"",IFERROR(N($F231)/INDEX(INSUMOS!$I$6:$I$205,MATCH($C231,INSUMOS!$A$6:$A$205,0)),N($F231))/$I231*$K231)</f>
        <v/>
      </c>
      <c r="M231" s="8" t="str">
        <f aca="false">IF($A231="","",COUNTIF($A$6:$A231,$A231))</f>
        <v/>
      </c>
      <c r="N231" s="8" t="str">
        <f aca="false">IF($A231="","",$A231&amp;"|"&amp;$M231)</f>
        <v/>
      </c>
    </row>
    <row r="232" customFormat="false" ht="15" hidden="false" customHeight="false" outlineLevel="0" collapsed="false">
      <c r="A232" s="6"/>
      <c r="B232" s="8" t="str">
        <f aca="false">IF($A232="","",IFERROR(INDEX(PRODUCTOS!$B$6:$B$105,MATCH($A232,PRODUCTOS!$A$6:$A$105,0)),"¿Código?"))</f>
        <v/>
      </c>
      <c r="C232" s="6"/>
      <c r="D232" s="8" t="str">
        <f aca="false">IF($C232="","",IFERROR(INDEX(INSUMOS!$B$6:$B$205,MATCH($C232,INSUMOS!$A$6:$A$205,0)),"¿Código?"))</f>
        <v/>
      </c>
      <c r="E232" s="8" t="str">
        <f aca="false">IF($C232="","",IFERROR(INDEX(INSUMOS!$D$6:$D$205,MATCH($C232,INSUMOS!$A$6:$A$205,0)),""))</f>
        <v/>
      </c>
      <c r="F232" s="39"/>
      <c r="G232" s="43" t="str">
        <f aca="false">IF(OR($A232="",$C232=""),"",IFERROR(INDEX(INSUMOS!$P$6:$P$205,MATCH($C232,INSUMOS!$A$6:$A$205,0)),0))</f>
        <v/>
      </c>
      <c r="H232" s="43" t="str">
        <f aca="false">IF(OR($A232="",$C232=""),"",N($F232)*$G232)</f>
        <v/>
      </c>
      <c r="I232" s="34" t="str">
        <f aca="false">IF(OR($A232="",$C232=""),"",IFERROR(MAX(1,INDEX(PRODUCTOS!$G$6:$G$105,MATCH($A232,PRODUCTOS!$A$6:$A$105,0))),1))</f>
        <v/>
      </c>
      <c r="J232" s="43" t="str">
        <f aca="false">IF(OR($A232="",$C232=""),"",$H232/$I232)</f>
        <v/>
      </c>
      <c r="K232" s="34" t="str">
        <f aca="false">IF(OR($A232="",$C232=""),"",SUMIFS(VENTAS!$E$6:$E$2005,VENTAS!$C$6:$C$2005,$A232))</f>
        <v/>
      </c>
      <c r="L232" s="45" t="str">
        <f aca="false">IF(OR($A232="",$C232=""),"",IFERROR(N($F232)/INDEX(INSUMOS!$I$6:$I$205,MATCH($C232,INSUMOS!$A$6:$A$205,0)),N($F232))/$I232*$K232)</f>
        <v/>
      </c>
      <c r="M232" s="8" t="str">
        <f aca="false">IF($A232="","",COUNTIF($A$6:$A232,$A232))</f>
        <v/>
      </c>
      <c r="N232" s="8" t="str">
        <f aca="false">IF($A232="","",$A232&amp;"|"&amp;$M232)</f>
        <v/>
      </c>
    </row>
    <row r="233" customFormat="false" ht="15" hidden="false" customHeight="false" outlineLevel="0" collapsed="false">
      <c r="A233" s="6"/>
      <c r="B233" s="8" t="str">
        <f aca="false">IF($A233="","",IFERROR(INDEX(PRODUCTOS!$B$6:$B$105,MATCH($A233,PRODUCTOS!$A$6:$A$105,0)),"¿Código?"))</f>
        <v/>
      </c>
      <c r="C233" s="6"/>
      <c r="D233" s="8" t="str">
        <f aca="false">IF($C233="","",IFERROR(INDEX(INSUMOS!$B$6:$B$205,MATCH($C233,INSUMOS!$A$6:$A$205,0)),"¿Código?"))</f>
        <v/>
      </c>
      <c r="E233" s="8" t="str">
        <f aca="false">IF($C233="","",IFERROR(INDEX(INSUMOS!$D$6:$D$205,MATCH($C233,INSUMOS!$A$6:$A$205,0)),""))</f>
        <v/>
      </c>
      <c r="F233" s="39"/>
      <c r="G233" s="43" t="str">
        <f aca="false">IF(OR($A233="",$C233=""),"",IFERROR(INDEX(INSUMOS!$P$6:$P$205,MATCH($C233,INSUMOS!$A$6:$A$205,0)),0))</f>
        <v/>
      </c>
      <c r="H233" s="43" t="str">
        <f aca="false">IF(OR($A233="",$C233=""),"",N($F233)*$G233)</f>
        <v/>
      </c>
      <c r="I233" s="34" t="str">
        <f aca="false">IF(OR($A233="",$C233=""),"",IFERROR(MAX(1,INDEX(PRODUCTOS!$G$6:$G$105,MATCH($A233,PRODUCTOS!$A$6:$A$105,0))),1))</f>
        <v/>
      </c>
      <c r="J233" s="43" t="str">
        <f aca="false">IF(OR($A233="",$C233=""),"",$H233/$I233)</f>
        <v/>
      </c>
      <c r="K233" s="34" t="str">
        <f aca="false">IF(OR($A233="",$C233=""),"",SUMIFS(VENTAS!$E$6:$E$2005,VENTAS!$C$6:$C$2005,$A233))</f>
        <v/>
      </c>
      <c r="L233" s="45" t="str">
        <f aca="false">IF(OR($A233="",$C233=""),"",IFERROR(N($F233)/INDEX(INSUMOS!$I$6:$I$205,MATCH($C233,INSUMOS!$A$6:$A$205,0)),N($F233))/$I233*$K233)</f>
        <v/>
      </c>
      <c r="M233" s="8" t="str">
        <f aca="false">IF($A233="","",COUNTIF($A$6:$A233,$A233))</f>
        <v/>
      </c>
      <c r="N233" s="8" t="str">
        <f aca="false">IF($A233="","",$A233&amp;"|"&amp;$M233)</f>
        <v/>
      </c>
    </row>
    <row r="234" customFormat="false" ht="15" hidden="false" customHeight="false" outlineLevel="0" collapsed="false">
      <c r="A234" s="6"/>
      <c r="B234" s="8" t="str">
        <f aca="false">IF($A234="","",IFERROR(INDEX(PRODUCTOS!$B$6:$B$105,MATCH($A234,PRODUCTOS!$A$6:$A$105,0)),"¿Código?"))</f>
        <v/>
      </c>
      <c r="C234" s="6"/>
      <c r="D234" s="8" t="str">
        <f aca="false">IF($C234="","",IFERROR(INDEX(INSUMOS!$B$6:$B$205,MATCH($C234,INSUMOS!$A$6:$A$205,0)),"¿Código?"))</f>
        <v/>
      </c>
      <c r="E234" s="8" t="str">
        <f aca="false">IF($C234="","",IFERROR(INDEX(INSUMOS!$D$6:$D$205,MATCH($C234,INSUMOS!$A$6:$A$205,0)),""))</f>
        <v/>
      </c>
      <c r="F234" s="39"/>
      <c r="G234" s="43" t="str">
        <f aca="false">IF(OR($A234="",$C234=""),"",IFERROR(INDEX(INSUMOS!$P$6:$P$205,MATCH($C234,INSUMOS!$A$6:$A$205,0)),0))</f>
        <v/>
      </c>
      <c r="H234" s="43" t="str">
        <f aca="false">IF(OR($A234="",$C234=""),"",N($F234)*$G234)</f>
        <v/>
      </c>
      <c r="I234" s="34" t="str">
        <f aca="false">IF(OR($A234="",$C234=""),"",IFERROR(MAX(1,INDEX(PRODUCTOS!$G$6:$G$105,MATCH($A234,PRODUCTOS!$A$6:$A$105,0))),1))</f>
        <v/>
      </c>
      <c r="J234" s="43" t="str">
        <f aca="false">IF(OR($A234="",$C234=""),"",$H234/$I234)</f>
        <v/>
      </c>
      <c r="K234" s="34" t="str">
        <f aca="false">IF(OR($A234="",$C234=""),"",SUMIFS(VENTAS!$E$6:$E$2005,VENTAS!$C$6:$C$2005,$A234))</f>
        <v/>
      </c>
      <c r="L234" s="45" t="str">
        <f aca="false">IF(OR($A234="",$C234=""),"",IFERROR(N($F234)/INDEX(INSUMOS!$I$6:$I$205,MATCH($C234,INSUMOS!$A$6:$A$205,0)),N($F234))/$I234*$K234)</f>
        <v/>
      </c>
      <c r="M234" s="8" t="str">
        <f aca="false">IF($A234="","",COUNTIF($A$6:$A234,$A234))</f>
        <v/>
      </c>
      <c r="N234" s="8" t="str">
        <f aca="false">IF($A234="","",$A234&amp;"|"&amp;$M234)</f>
        <v/>
      </c>
    </row>
    <row r="235" customFormat="false" ht="15" hidden="false" customHeight="false" outlineLevel="0" collapsed="false">
      <c r="A235" s="6"/>
      <c r="B235" s="8" t="str">
        <f aca="false">IF($A235="","",IFERROR(INDEX(PRODUCTOS!$B$6:$B$105,MATCH($A235,PRODUCTOS!$A$6:$A$105,0)),"¿Código?"))</f>
        <v/>
      </c>
      <c r="C235" s="6"/>
      <c r="D235" s="8" t="str">
        <f aca="false">IF($C235="","",IFERROR(INDEX(INSUMOS!$B$6:$B$205,MATCH($C235,INSUMOS!$A$6:$A$205,0)),"¿Código?"))</f>
        <v/>
      </c>
      <c r="E235" s="8" t="str">
        <f aca="false">IF($C235="","",IFERROR(INDEX(INSUMOS!$D$6:$D$205,MATCH($C235,INSUMOS!$A$6:$A$205,0)),""))</f>
        <v/>
      </c>
      <c r="F235" s="39"/>
      <c r="G235" s="43" t="str">
        <f aca="false">IF(OR($A235="",$C235=""),"",IFERROR(INDEX(INSUMOS!$P$6:$P$205,MATCH($C235,INSUMOS!$A$6:$A$205,0)),0))</f>
        <v/>
      </c>
      <c r="H235" s="43" t="str">
        <f aca="false">IF(OR($A235="",$C235=""),"",N($F235)*$G235)</f>
        <v/>
      </c>
      <c r="I235" s="34" t="str">
        <f aca="false">IF(OR($A235="",$C235=""),"",IFERROR(MAX(1,INDEX(PRODUCTOS!$G$6:$G$105,MATCH($A235,PRODUCTOS!$A$6:$A$105,0))),1))</f>
        <v/>
      </c>
      <c r="J235" s="43" t="str">
        <f aca="false">IF(OR($A235="",$C235=""),"",$H235/$I235)</f>
        <v/>
      </c>
      <c r="K235" s="34" t="str">
        <f aca="false">IF(OR($A235="",$C235=""),"",SUMIFS(VENTAS!$E$6:$E$2005,VENTAS!$C$6:$C$2005,$A235))</f>
        <v/>
      </c>
      <c r="L235" s="45" t="str">
        <f aca="false">IF(OR($A235="",$C235=""),"",IFERROR(N($F235)/INDEX(INSUMOS!$I$6:$I$205,MATCH($C235,INSUMOS!$A$6:$A$205,0)),N($F235))/$I235*$K235)</f>
        <v/>
      </c>
      <c r="M235" s="8" t="str">
        <f aca="false">IF($A235="","",COUNTIF($A$6:$A235,$A235))</f>
        <v/>
      </c>
      <c r="N235" s="8" t="str">
        <f aca="false">IF($A235="","",$A235&amp;"|"&amp;$M235)</f>
        <v/>
      </c>
    </row>
    <row r="236" customFormat="false" ht="15" hidden="false" customHeight="false" outlineLevel="0" collapsed="false">
      <c r="A236" s="6"/>
      <c r="B236" s="8" t="str">
        <f aca="false">IF($A236="","",IFERROR(INDEX(PRODUCTOS!$B$6:$B$105,MATCH($A236,PRODUCTOS!$A$6:$A$105,0)),"¿Código?"))</f>
        <v/>
      </c>
      <c r="C236" s="6"/>
      <c r="D236" s="8" t="str">
        <f aca="false">IF($C236="","",IFERROR(INDEX(INSUMOS!$B$6:$B$205,MATCH($C236,INSUMOS!$A$6:$A$205,0)),"¿Código?"))</f>
        <v/>
      </c>
      <c r="E236" s="8" t="str">
        <f aca="false">IF($C236="","",IFERROR(INDEX(INSUMOS!$D$6:$D$205,MATCH($C236,INSUMOS!$A$6:$A$205,0)),""))</f>
        <v/>
      </c>
      <c r="F236" s="39"/>
      <c r="G236" s="43" t="str">
        <f aca="false">IF(OR($A236="",$C236=""),"",IFERROR(INDEX(INSUMOS!$P$6:$P$205,MATCH($C236,INSUMOS!$A$6:$A$205,0)),0))</f>
        <v/>
      </c>
      <c r="H236" s="43" t="str">
        <f aca="false">IF(OR($A236="",$C236=""),"",N($F236)*$G236)</f>
        <v/>
      </c>
      <c r="I236" s="34" t="str">
        <f aca="false">IF(OR($A236="",$C236=""),"",IFERROR(MAX(1,INDEX(PRODUCTOS!$G$6:$G$105,MATCH($A236,PRODUCTOS!$A$6:$A$105,0))),1))</f>
        <v/>
      </c>
      <c r="J236" s="43" t="str">
        <f aca="false">IF(OR($A236="",$C236=""),"",$H236/$I236)</f>
        <v/>
      </c>
      <c r="K236" s="34" t="str">
        <f aca="false">IF(OR($A236="",$C236=""),"",SUMIFS(VENTAS!$E$6:$E$2005,VENTAS!$C$6:$C$2005,$A236))</f>
        <v/>
      </c>
      <c r="L236" s="45" t="str">
        <f aca="false">IF(OR($A236="",$C236=""),"",IFERROR(N($F236)/INDEX(INSUMOS!$I$6:$I$205,MATCH($C236,INSUMOS!$A$6:$A$205,0)),N($F236))/$I236*$K236)</f>
        <v/>
      </c>
      <c r="M236" s="8" t="str">
        <f aca="false">IF($A236="","",COUNTIF($A$6:$A236,$A236))</f>
        <v/>
      </c>
      <c r="N236" s="8" t="str">
        <f aca="false">IF($A236="","",$A236&amp;"|"&amp;$M236)</f>
        <v/>
      </c>
    </row>
    <row r="237" customFormat="false" ht="15" hidden="false" customHeight="false" outlineLevel="0" collapsed="false">
      <c r="A237" s="6"/>
      <c r="B237" s="8" t="str">
        <f aca="false">IF($A237="","",IFERROR(INDEX(PRODUCTOS!$B$6:$B$105,MATCH($A237,PRODUCTOS!$A$6:$A$105,0)),"¿Código?"))</f>
        <v/>
      </c>
      <c r="C237" s="6"/>
      <c r="D237" s="8" t="str">
        <f aca="false">IF($C237="","",IFERROR(INDEX(INSUMOS!$B$6:$B$205,MATCH($C237,INSUMOS!$A$6:$A$205,0)),"¿Código?"))</f>
        <v/>
      </c>
      <c r="E237" s="8" t="str">
        <f aca="false">IF($C237="","",IFERROR(INDEX(INSUMOS!$D$6:$D$205,MATCH($C237,INSUMOS!$A$6:$A$205,0)),""))</f>
        <v/>
      </c>
      <c r="F237" s="39"/>
      <c r="G237" s="43" t="str">
        <f aca="false">IF(OR($A237="",$C237=""),"",IFERROR(INDEX(INSUMOS!$P$6:$P$205,MATCH($C237,INSUMOS!$A$6:$A$205,0)),0))</f>
        <v/>
      </c>
      <c r="H237" s="43" t="str">
        <f aca="false">IF(OR($A237="",$C237=""),"",N($F237)*$G237)</f>
        <v/>
      </c>
      <c r="I237" s="34" t="str">
        <f aca="false">IF(OR($A237="",$C237=""),"",IFERROR(MAX(1,INDEX(PRODUCTOS!$G$6:$G$105,MATCH($A237,PRODUCTOS!$A$6:$A$105,0))),1))</f>
        <v/>
      </c>
      <c r="J237" s="43" t="str">
        <f aca="false">IF(OR($A237="",$C237=""),"",$H237/$I237)</f>
        <v/>
      </c>
      <c r="K237" s="34" t="str">
        <f aca="false">IF(OR($A237="",$C237=""),"",SUMIFS(VENTAS!$E$6:$E$2005,VENTAS!$C$6:$C$2005,$A237))</f>
        <v/>
      </c>
      <c r="L237" s="45" t="str">
        <f aca="false">IF(OR($A237="",$C237=""),"",IFERROR(N($F237)/INDEX(INSUMOS!$I$6:$I$205,MATCH($C237,INSUMOS!$A$6:$A$205,0)),N($F237))/$I237*$K237)</f>
        <v/>
      </c>
      <c r="M237" s="8" t="str">
        <f aca="false">IF($A237="","",COUNTIF($A$6:$A237,$A237))</f>
        <v/>
      </c>
      <c r="N237" s="8" t="str">
        <f aca="false">IF($A237="","",$A237&amp;"|"&amp;$M237)</f>
        <v/>
      </c>
    </row>
    <row r="238" customFormat="false" ht="15" hidden="false" customHeight="false" outlineLevel="0" collapsed="false">
      <c r="A238" s="6"/>
      <c r="B238" s="8" t="str">
        <f aca="false">IF($A238="","",IFERROR(INDEX(PRODUCTOS!$B$6:$B$105,MATCH($A238,PRODUCTOS!$A$6:$A$105,0)),"¿Código?"))</f>
        <v/>
      </c>
      <c r="C238" s="6"/>
      <c r="D238" s="8" t="str">
        <f aca="false">IF($C238="","",IFERROR(INDEX(INSUMOS!$B$6:$B$205,MATCH($C238,INSUMOS!$A$6:$A$205,0)),"¿Código?"))</f>
        <v/>
      </c>
      <c r="E238" s="8" t="str">
        <f aca="false">IF($C238="","",IFERROR(INDEX(INSUMOS!$D$6:$D$205,MATCH($C238,INSUMOS!$A$6:$A$205,0)),""))</f>
        <v/>
      </c>
      <c r="F238" s="39"/>
      <c r="G238" s="43" t="str">
        <f aca="false">IF(OR($A238="",$C238=""),"",IFERROR(INDEX(INSUMOS!$P$6:$P$205,MATCH($C238,INSUMOS!$A$6:$A$205,0)),0))</f>
        <v/>
      </c>
      <c r="H238" s="43" t="str">
        <f aca="false">IF(OR($A238="",$C238=""),"",N($F238)*$G238)</f>
        <v/>
      </c>
      <c r="I238" s="34" t="str">
        <f aca="false">IF(OR($A238="",$C238=""),"",IFERROR(MAX(1,INDEX(PRODUCTOS!$G$6:$G$105,MATCH($A238,PRODUCTOS!$A$6:$A$105,0))),1))</f>
        <v/>
      </c>
      <c r="J238" s="43" t="str">
        <f aca="false">IF(OR($A238="",$C238=""),"",$H238/$I238)</f>
        <v/>
      </c>
      <c r="K238" s="34" t="str">
        <f aca="false">IF(OR($A238="",$C238=""),"",SUMIFS(VENTAS!$E$6:$E$2005,VENTAS!$C$6:$C$2005,$A238))</f>
        <v/>
      </c>
      <c r="L238" s="45" t="str">
        <f aca="false">IF(OR($A238="",$C238=""),"",IFERROR(N($F238)/INDEX(INSUMOS!$I$6:$I$205,MATCH($C238,INSUMOS!$A$6:$A$205,0)),N($F238))/$I238*$K238)</f>
        <v/>
      </c>
      <c r="M238" s="8" t="str">
        <f aca="false">IF($A238="","",COUNTIF($A$6:$A238,$A238))</f>
        <v/>
      </c>
      <c r="N238" s="8" t="str">
        <f aca="false">IF($A238="","",$A238&amp;"|"&amp;$M238)</f>
        <v/>
      </c>
    </row>
    <row r="239" customFormat="false" ht="15" hidden="false" customHeight="false" outlineLevel="0" collapsed="false">
      <c r="A239" s="6"/>
      <c r="B239" s="8" t="str">
        <f aca="false">IF($A239="","",IFERROR(INDEX(PRODUCTOS!$B$6:$B$105,MATCH($A239,PRODUCTOS!$A$6:$A$105,0)),"¿Código?"))</f>
        <v/>
      </c>
      <c r="C239" s="6"/>
      <c r="D239" s="8" t="str">
        <f aca="false">IF($C239="","",IFERROR(INDEX(INSUMOS!$B$6:$B$205,MATCH($C239,INSUMOS!$A$6:$A$205,0)),"¿Código?"))</f>
        <v/>
      </c>
      <c r="E239" s="8" t="str">
        <f aca="false">IF($C239="","",IFERROR(INDEX(INSUMOS!$D$6:$D$205,MATCH($C239,INSUMOS!$A$6:$A$205,0)),""))</f>
        <v/>
      </c>
      <c r="F239" s="39"/>
      <c r="G239" s="43" t="str">
        <f aca="false">IF(OR($A239="",$C239=""),"",IFERROR(INDEX(INSUMOS!$P$6:$P$205,MATCH($C239,INSUMOS!$A$6:$A$205,0)),0))</f>
        <v/>
      </c>
      <c r="H239" s="43" t="str">
        <f aca="false">IF(OR($A239="",$C239=""),"",N($F239)*$G239)</f>
        <v/>
      </c>
      <c r="I239" s="34" t="str">
        <f aca="false">IF(OR($A239="",$C239=""),"",IFERROR(MAX(1,INDEX(PRODUCTOS!$G$6:$G$105,MATCH($A239,PRODUCTOS!$A$6:$A$105,0))),1))</f>
        <v/>
      </c>
      <c r="J239" s="43" t="str">
        <f aca="false">IF(OR($A239="",$C239=""),"",$H239/$I239)</f>
        <v/>
      </c>
      <c r="K239" s="34" t="str">
        <f aca="false">IF(OR($A239="",$C239=""),"",SUMIFS(VENTAS!$E$6:$E$2005,VENTAS!$C$6:$C$2005,$A239))</f>
        <v/>
      </c>
      <c r="L239" s="45" t="str">
        <f aca="false">IF(OR($A239="",$C239=""),"",IFERROR(N($F239)/INDEX(INSUMOS!$I$6:$I$205,MATCH($C239,INSUMOS!$A$6:$A$205,0)),N($F239))/$I239*$K239)</f>
        <v/>
      </c>
      <c r="M239" s="8" t="str">
        <f aca="false">IF($A239="","",COUNTIF($A$6:$A239,$A239))</f>
        <v/>
      </c>
      <c r="N239" s="8" t="str">
        <f aca="false">IF($A239="","",$A239&amp;"|"&amp;$M239)</f>
        <v/>
      </c>
    </row>
    <row r="240" customFormat="false" ht="15" hidden="false" customHeight="false" outlineLevel="0" collapsed="false">
      <c r="A240" s="6"/>
      <c r="B240" s="8" t="str">
        <f aca="false">IF($A240="","",IFERROR(INDEX(PRODUCTOS!$B$6:$B$105,MATCH($A240,PRODUCTOS!$A$6:$A$105,0)),"¿Código?"))</f>
        <v/>
      </c>
      <c r="C240" s="6"/>
      <c r="D240" s="8" t="str">
        <f aca="false">IF($C240="","",IFERROR(INDEX(INSUMOS!$B$6:$B$205,MATCH($C240,INSUMOS!$A$6:$A$205,0)),"¿Código?"))</f>
        <v/>
      </c>
      <c r="E240" s="8" t="str">
        <f aca="false">IF($C240="","",IFERROR(INDEX(INSUMOS!$D$6:$D$205,MATCH($C240,INSUMOS!$A$6:$A$205,0)),""))</f>
        <v/>
      </c>
      <c r="F240" s="39"/>
      <c r="G240" s="43" t="str">
        <f aca="false">IF(OR($A240="",$C240=""),"",IFERROR(INDEX(INSUMOS!$P$6:$P$205,MATCH($C240,INSUMOS!$A$6:$A$205,0)),0))</f>
        <v/>
      </c>
      <c r="H240" s="43" t="str">
        <f aca="false">IF(OR($A240="",$C240=""),"",N($F240)*$G240)</f>
        <v/>
      </c>
      <c r="I240" s="34" t="str">
        <f aca="false">IF(OR($A240="",$C240=""),"",IFERROR(MAX(1,INDEX(PRODUCTOS!$G$6:$G$105,MATCH($A240,PRODUCTOS!$A$6:$A$105,0))),1))</f>
        <v/>
      </c>
      <c r="J240" s="43" t="str">
        <f aca="false">IF(OR($A240="",$C240=""),"",$H240/$I240)</f>
        <v/>
      </c>
      <c r="K240" s="34" t="str">
        <f aca="false">IF(OR($A240="",$C240=""),"",SUMIFS(VENTAS!$E$6:$E$2005,VENTAS!$C$6:$C$2005,$A240))</f>
        <v/>
      </c>
      <c r="L240" s="45" t="str">
        <f aca="false">IF(OR($A240="",$C240=""),"",IFERROR(N($F240)/INDEX(INSUMOS!$I$6:$I$205,MATCH($C240,INSUMOS!$A$6:$A$205,0)),N($F240))/$I240*$K240)</f>
        <v/>
      </c>
      <c r="M240" s="8" t="str">
        <f aca="false">IF($A240="","",COUNTIF($A$6:$A240,$A240))</f>
        <v/>
      </c>
      <c r="N240" s="8" t="str">
        <f aca="false">IF($A240="","",$A240&amp;"|"&amp;$M240)</f>
        <v/>
      </c>
    </row>
    <row r="241" customFormat="false" ht="15" hidden="false" customHeight="false" outlineLevel="0" collapsed="false">
      <c r="A241" s="6"/>
      <c r="B241" s="8" t="str">
        <f aca="false">IF($A241="","",IFERROR(INDEX(PRODUCTOS!$B$6:$B$105,MATCH($A241,PRODUCTOS!$A$6:$A$105,0)),"¿Código?"))</f>
        <v/>
      </c>
      <c r="C241" s="6"/>
      <c r="D241" s="8" t="str">
        <f aca="false">IF($C241="","",IFERROR(INDEX(INSUMOS!$B$6:$B$205,MATCH($C241,INSUMOS!$A$6:$A$205,0)),"¿Código?"))</f>
        <v/>
      </c>
      <c r="E241" s="8" t="str">
        <f aca="false">IF($C241="","",IFERROR(INDEX(INSUMOS!$D$6:$D$205,MATCH($C241,INSUMOS!$A$6:$A$205,0)),""))</f>
        <v/>
      </c>
      <c r="F241" s="39"/>
      <c r="G241" s="43" t="str">
        <f aca="false">IF(OR($A241="",$C241=""),"",IFERROR(INDEX(INSUMOS!$P$6:$P$205,MATCH($C241,INSUMOS!$A$6:$A$205,0)),0))</f>
        <v/>
      </c>
      <c r="H241" s="43" t="str">
        <f aca="false">IF(OR($A241="",$C241=""),"",N($F241)*$G241)</f>
        <v/>
      </c>
      <c r="I241" s="34" t="str">
        <f aca="false">IF(OR($A241="",$C241=""),"",IFERROR(MAX(1,INDEX(PRODUCTOS!$G$6:$G$105,MATCH($A241,PRODUCTOS!$A$6:$A$105,0))),1))</f>
        <v/>
      </c>
      <c r="J241" s="43" t="str">
        <f aca="false">IF(OR($A241="",$C241=""),"",$H241/$I241)</f>
        <v/>
      </c>
      <c r="K241" s="34" t="str">
        <f aca="false">IF(OR($A241="",$C241=""),"",SUMIFS(VENTAS!$E$6:$E$2005,VENTAS!$C$6:$C$2005,$A241))</f>
        <v/>
      </c>
      <c r="L241" s="45" t="str">
        <f aca="false">IF(OR($A241="",$C241=""),"",IFERROR(N($F241)/INDEX(INSUMOS!$I$6:$I$205,MATCH($C241,INSUMOS!$A$6:$A$205,0)),N($F241))/$I241*$K241)</f>
        <v/>
      </c>
      <c r="M241" s="8" t="str">
        <f aca="false">IF($A241="","",COUNTIF($A$6:$A241,$A241))</f>
        <v/>
      </c>
      <c r="N241" s="8" t="str">
        <f aca="false">IF($A241="","",$A241&amp;"|"&amp;$M241)</f>
        <v/>
      </c>
    </row>
    <row r="242" customFormat="false" ht="15" hidden="false" customHeight="false" outlineLevel="0" collapsed="false">
      <c r="A242" s="6"/>
      <c r="B242" s="8" t="str">
        <f aca="false">IF($A242="","",IFERROR(INDEX(PRODUCTOS!$B$6:$B$105,MATCH($A242,PRODUCTOS!$A$6:$A$105,0)),"¿Código?"))</f>
        <v/>
      </c>
      <c r="C242" s="6"/>
      <c r="D242" s="8" t="str">
        <f aca="false">IF($C242="","",IFERROR(INDEX(INSUMOS!$B$6:$B$205,MATCH($C242,INSUMOS!$A$6:$A$205,0)),"¿Código?"))</f>
        <v/>
      </c>
      <c r="E242" s="8" t="str">
        <f aca="false">IF($C242="","",IFERROR(INDEX(INSUMOS!$D$6:$D$205,MATCH($C242,INSUMOS!$A$6:$A$205,0)),""))</f>
        <v/>
      </c>
      <c r="F242" s="39"/>
      <c r="G242" s="43" t="str">
        <f aca="false">IF(OR($A242="",$C242=""),"",IFERROR(INDEX(INSUMOS!$P$6:$P$205,MATCH($C242,INSUMOS!$A$6:$A$205,0)),0))</f>
        <v/>
      </c>
      <c r="H242" s="43" t="str">
        <f aca="false">IF(OR($A242="",$C242=""),"",N($F242)*$G242)</f>
        <v/>
      </c>
      <c r="I242" s="34" t="str">
        <f aca="false">IF(OR($A242="",$C242=""),"",IFERROR(MAX(1,INDEX(PRODUCTOS!$G$6:$G$105,MATCH($A242,PRODUCTOS!$A$6:$A$105,0))),1))</f>
        <v/>
      </c>
      <c r="J242" s="43" t="str">
        <f aca="false">IF(OR($A242="",$C242=""),"",$H242/$I242)</f>
        <v/>
      </c>
      <c r="K242" s="34" t="str">
        <f aca="false">IF(OR($A242="",$C242=""),"",SUMIFS(VENTAS!$E$6:$E$2005,VENTAS!$C$6:$C$2005,$A242))</f>
        <v/>
      </c>
      <c r="L242" s="45" t="str">
        <f aca="false">IF(OR($A242="",$C242=""),"",IFERROR(N($F242)/INDEX(INSUMOS!$I$6:$I$205,MATCH($C242,INSUMOS!$A$6:$A$205,0)),N($F242))/$I242*$K242)</f>
        <v/>
      </c>
      <c r="M242" s="8" t="str">
        <f aca="false">IF($A242="","",COUNTIF($A$6:$A242,$A242))</f>
        <v/>
      </c>
      <c r="N242" s="8" t="str">
        <f aca="false">IF($A242="","",$A242&amp;"|"&amp;$M242)</f>
        <v/>
      </c>
    </row>
    <row r="243" customFormat="false" ht="15" hidden="false" customHeight="false" outlineLevel="0" collapsed="false">
      <c r="A243" s="6"/>
      <c r="B243" s="8" t="str">
        <f aca="false">IF($A243="","",IFERROR(INDEX(PRODUCTOS!$B$6:$B$105,MATCH($A243,PRODUCTOS!$A$6:$A$105,0)),"¿Código?"))</f>
        <v/>
      </c>
      <c r="C243" s="6"/>
      <c r="D243" s="8" t="str">
        <f aca="false">IF($C243="","",IFERROR(INDEX(INSUMOS!$B$6:$B$205,MATCH($C243,INSUMOS!$A$6:$A$205,0)),"¿Código?"))</f>
        <v/>
      </c>
      <c r="E243" s="8" t="str">
        <f aca="false">IF($C243="","",IFERROR(INDEX(INSUMOS!$D$6:$D$205,MATCH($C243,INSUMOS!$A$6:$A$205,0)),""))</f>
        <v/>
      </c>
      <c r="F243" s="39"/>
      <c r="G243" s="43" t="str">
        <f aca="false">IF(OR($A243="",$C243=""),"",IFERROR(INDEX(INSUMOS!$P$6:$P$205,MATCH($C243,INSUMOS!$A$6:$A$205,0)),0))</f>
        <v/>
      </c>
      <c r="H243" s="43" t="str">
        <f aca="false">IF(OR($A243="",$C243=""),"",N($F243)*$G243)</f>
        <v/>
      </c>
      <c r="I243" s="34" t="str">
        <f aca="false">IF(OR($A243="",$C243=""),"",IFERROR(MAX(1,INDEX(PRODUCTOS!$G$6:$G$105,MATCH($A243,PRODUCTOS!$A$6:$A$105,0))),1))</f>
        <v/>
      </c>
      <c r="J243" s="43" t="str">
        <f aca="false">IF(OR($A243="",$C243=""),"",$H243/$I243)</f>
        <v/>
      </c>
      <c r="K243" s="34" t="str">
        <f aca="false">IF(OR($A243="",$C243=""),"",SUMIFS(VENTAS!$E$6:$E$2005,VENTAS!$C$6:$C$2005,$A243))</f>
        <v/>
      </c>
      <c r="L243" s="45" t="str">
        <f aca="false">IF(OR($A243="",$C243=""),"",IFERROR(N($F243)/INDEX(INSUMOS!$I$6:$I$205,MATCH($C243,INSUMOS!$A$6:$A$205,0)),N($F243))/$I243*$K243)</f>
        <v/>
      </c>
      <c r="M243" s="8" t="str">
        <f aca="false">IF($A243="","",COUNTIF($A$6:$A243,$A243))</f>
        <v/>
      </c>
      <c r="N243" s="8" t="str">
        <f aca="false">IF($A243="","",$A243&amp;"|"&amp;$M243)</f>
        <v/>
      </c>
    </row>
    <row r="244" customFormat="false" ht="15" hidden="false" customHeight="false" outlineLevel="0" collapsed="false">
      <c r="A244" s="6"/>
      <c r="B244" s="8" t="str">
        <f aca="false">IF($A244="","",IFERROR(INDEX(PRODUCTOS!$B$6:$B$105,MATCH($A244,PRODUCTOS!$A$6:$A$105,0)),"¿Código?"))</f>
        <v/>
      </c>
      <c r="C244" s="6"/>
      <c r="D244" s="8" t="str">
        <f aca="false">IF($C244="","",IFERROR(INDEX(INSUMOS!$B$6:$B$205,MATCH($C244,INSUMOS!$A$6:$A$205,0)),"¿Código?"))</f>
        <v/>
      </c>
      <c r="E244" s="8" t="str">
        <f aca="false">IF($C244="","",IFERROR(INDEX(INSUMOS!$D$6:$D$205,MATCH($C244,INSUMOS!$A$6:$A$205,0)),""))</f>
        <v/>
      </c>
      <c r="F244" s="39"/>
      <c r="G244" s="43" t="str">
        <f aca="false">IF(OR($A244="",$C244=""),"",IFERROR(INDEX(INSUMOS!$P$6:$P$205,MATCH($C244,INSUMOS!$A$6:$A$205,0)),0))</f>
        <v/>
      </c>
      <c r="H244" s="43" t="str">
        <f aca="false">IF(OR($A244="",$C244=""),"",N($F244)*$G244)</f>
        <v/>
      </c>
      <c r="I244" s="34" t="str">
        <f aca="false">IF(OR($A244="",$C244=""),"",IFERROR(MAX(1,INDEX(PRODUCTOS!$G$6:$G$105,MATCH($A244,PRODUCTOS!$A$6:$A$105,0))),1))</f>
        <v/>
      </c>
      <c r="J244" s="43" t="str">
        <f aca="false">IF(OR($A244="",$C244=""),"",$H244/$I244)</f>
        <v/>
      </c>
      <c r="K244" s="34" t="str">
        <f aca="false">IF(OR($A244="",$C244=""),"",SUMIFS(VENTAS!$E$6:$E$2005,VENTAS!$C$6:$C$2005,$A244))</f>
        <v/>
      </c>
      <c r="L244" s="45" t="str">
        <f aca="false">IF(OR($A244="",$C244=""),"",IFERROR(N($F244)/INDEX(INSUMOS!$I$6:$I$205,MATCH($C244,INSUMOS!$A$6:$A$205,0)),N($F244))/$I244*$K244)</f>
        <v/>
      </c>
      <c r="M244" s="8" t="str">
        <f aca="false">IF($A244="","",COUNTIF($A$6:$A244,$A244))</f>
        <v/>
      </c>
      <c r="N244" s="8" t="str">
        <f aca="false">IF($A244="","",$A244&amp;"|"&amp;$M244)</f>
        <v/>
      </c>
    </row>
    <row r="245" customFormat="false" ht="15" hidden="false" customHeight="false" outlineLevel="0" collapsed="false">
      <c r="A245" s="6"/>
      <c r="B245" s="8" t="str">
        <f aca="false">IF($A245="","",IFERROR(INDEX(PRODUCTOS!$B$6:$B$105,MATCH($A245,PRODUCTOS!$A$6:$A$105,0)),"¿Código?"))</f>
        <v/>
      </c>
      <c r="C245" s="6"/>
      <c r="D245" s="8" t="str">
        <f aca="false">IF($C245="","",IFERROR(INDEX(INSUMOS!$B$6:$B$205,MATCH($C245,INSUMOS!$A$6:$A$205,0)),"¿Código?"))</f>
        <v/>
      </c>
      <c r="E245" s="8" t="str">
        <f aca="false">IF($C245="","",IFERROR(INDEX(INSUMOS!$D$6:$D$205,MATCH($C245,INSUMOS!$A$6:$A$205,0)),""))</f>
        <v/>
      </c>
      <c r="F245" s="39"/>
      <c r="G245" s="43" t="str">
        <f aca="false">IF(OR($A245="",$C245=""),"",IFERROR(INDEX(INSUMOS!$P$6:$P$205,MATCH($C245,INSUMOS!$A$6:$A$205,0)),0))</f>
        <v/>
      </c>
      <c r="H245" s="43" t="str">
        <f aca="false">IF(OR($A245="",$C245=""),"",N($F245)*$G245)</f>
        <v/>
      </c>
      <c r="I245" s="34" t="str">
        <f aca="false">IF(OR($A245="",$C245=""),"",IFERROR(MAX(1,INDEX(PRODUCTOS!$G$6:$G$105,MATCH($A245,PRODUCTOS!$A$6:$A$105,0))),1))</f>
        <v/>
      </c>
      <c r="J245" s="43" t="str">
        <f aca="false">IF(OR($A245="",$C245=""),"",$H245/$I245)</f>
        <v/>
      </c>
      <c r="K245" s="34" t="str">
        <f aca="false">IF(OR($A245="",$C245=""),"",SUMIFS(VENTAS!$E$6:$E$2005,VENTAS!$C$6:$C$2005,$A245))</f>
        <v/>
      </c>
      <c r="L245" s="45" t="str">
        <f aca="false">IF(OR($A245="",$C245=""),"",IFERROR(N($F245)/INDEX(INSUMOS!$I$6:$I$205,MATCH($C245,INSUMOS!$A$6:$A$205,0)),N($F245))/$I245*$K245)</f>
        <v/>
      </c>
      <c r="M245" s="8" t="str">
        <f aca="false">IF($A245="","",COUNTIF($A$6:$A245,$A245))</f>
        <v/>
      </c>
      <c r="N245" s="8" t="str">
        <f aca="false">IF($A245="","",$A245&amp;"|"&amp;$M245)</f>
        <v/>
      </c>
    </row>
    <row r="246" customFormat="false" ht="15" hidden="false" customHeight="false" outlineLevel="0" collapsed="false">
      <c r="A246" s="6"/>
      <c r="B246" s="8" t="str">
        <f aca="false">IF($A246="","",IFERROR(INDEX(PRODUCTOS!$B$6:$B$105,MATCH($A246,PRODUCTOS!$A$6:$A$105,0)),"¿Código?"))</f>
        <v/>
      </c>
      <c r="C246" s="6"/>
      <c r="D246" s="8" t="str">
        <f aca="false">IF($C246="","",IFERROR(INDEX(INSUMOS!$B$6:$B$205,MATCH($C246,INSUMOS!$A$6:$A$205,0)),"¿Código?"))</f>
        <v/>
      </c>
      <c r="E246" s="8" t="str">
        <f aca="false">IF($C246="","",IFERROR(INDEX(INSUMOS!$D$6:$D$205,MATCH($C246,INSUMOS!$A$6:$A$205,0)),""))</f>
        <v/>
      </c>
      <c r="F246" s="39"/>
      <c r="G246" s="43" t="str">
        <f aca="false">IF(OR($A246="",$C246=""),"",IFERROR(INDEX(INSUMOS!$P$6:$P$205,MATCH($C246,INSUMOS!$A$6:$A$205,0)),0))</f>
        <v/>
      </c>
      <c r="H246" s="43" t="str">
        <f aca="false">IF(OR($A246="",$C246=""),"",N($F246)*$G246)</f>
        <v/>
      </c>
      <c r="I246" s="34" t="str">
        <f aca="false">IF(OR($A246="",$C246=""),"",IFERROR(MAX(1,INDEX(PRODUCTOS!$G$6:$G$105,MATCH($A246,PRODUCTOS!$A$6:$A$105,0))),1))</f>
        <v/>
      </c>
      <c r="J246" s="43" t="str">
        <f aca="false">IF(OR($A246="",$C246=""),"",$H246/$I246)</f>
        <v/>
      </c>
      <c r="K246" s="34" t="str">
        <f aca="false">IF(OR($A246="",$C246=""),"",SUMIFS(VENTAS!$E$6:$E$2005,VENTAS!$C$6:$C$2005,$A246))</f>
        <v/>
      </c>
      <c r="L246" s="45" t="str">
        <f aca="false">IF(OR($A246="",$C246=""),"",IFERROR(N($F246)/INDEX(INSUMOS!$I$6:$I$205,MATCH($C246,INSUMOS!$A$6:$A$205,0)),N($F246))/$I246*$K246)</f>
        <v/>
      </c>
      <c r="M246" s="8" t="str">
        <f aca="false">IF($A246="","",COUNTIF($A$6:$A246,$A246))</f>
        <v/>
      </c>
      <c r="N246" s="8" t="str">
        <f aca="false">IF($A246="","",$A246&amp;"|"&amp;$M246)</f>
        <v/>
      </c>
    </row>
    <row r="247" customFormat="false" ht="15" hidden="false" customHeight="false" outlineLevel="0" collapsed="false">
      <c r="A247" s="6"/>
      <c r="B247" s="8" t="str">
        <f aca="false">IF($A247="","",IFERROR(INDEX(PRODUCTOS!$B$6:$B$105,MATCH($A247,PRODUCTOS!$A$6:$A$105,0)),"¿Código?"))</f>
        <v/>
      </c>
      <c r="C247" s="6"/>
      <c r="D247" s="8" t="str">
        <f aca="false">IF($C247="","",IFERROR(INDEX(INSUMOS!$B$6:$B$205,MATCH($C247,INSUMOS!$A$6:$A$205,0)),"¿Código?"))</f>
        <v/>
      </c>
      <c r="E247" s="8" t="str">
        <f aca="false">IF($C247="","",IFERROR(INDEX(INSUMOS!$D$6:$D$205,MATCH($C247,INSUMOS!$A$6:$A$205,0)),""))</f>
        <v/>
      </c>
      <c r="F247" s="39"/>
      <c r="G247" s="43" t="str">
        <f aca="false">IF(OR($A247="",$C247=""),"",IFERROR(INDEX(INSUMOS!$P$6:$P$205,MATCH($C247,INSUMOS!$A$6:$A$205,0)),0))</f>
        <v/>
      </c>
      <c r="H247" s="43" t="str">
        <f aca="false">IF(OR($A247="",$C247=""),"",N($F247)*$G247)</f>
        <v/>
      </c>
      <c r="I247" s="34" t="str">
        <f aca="false">IF(OR($A247="",$C247=""),"",IFERROR(MAX(1,INDEX(PRODUCTOS!$G$6:$G$105,MATCH($A247,PRODUCTOS!$A$6:$A$105,0))),1))</f>
        <v/>
      </c>
      <c r="J247" s="43" t="str">
        <f aca="false">IF(OR($A247="",$C247=""),"",$H247/$I247)</f>
        <v/>
      </c>
      <c r="K247" s="34" t="str">
        <f aca="false">IF(OR($A247="",$C247=""),"",SUMIFS(VENTAS!$E$6:$E$2005,VENTAS!$C$6:$C$2005,$A247))</f>
        <v/>
      </c>
      <c r="L247" s="45" t="str">
        <f aca="false">IF(OR($A247="",$C247=""),"",IFERROR(N($F247)/INDEX(INSUMOS!$I$6:$I$205,MATCH($C247,INSUMOS!$A$6:$A$205,0)),N($F247))/$I247*$K247)</f>
        <v/>
      </c>
      <c r="M247" s="8" t="str">
        <f aca="false">IF($A247="","",COUNTIF($A$6:$A247,$A247))</f>
        <v/>
      </c>
      <c r="N247" s="8" t="str">
        <f aca="false">IF($A247="","",$A247&amp;"|"&amp;$M247)</f>
        <v/>
      </c>
    </row>
    <row r="248" customFormat="false" ht="15" hidden="false" customHeight="false" outlineLevel="0" collapsed="false">
      <c r="A248" s="6"/>
      <c r="B248" s="8" t="str">
        <f aca="false">IF($A248="","",IFERROR(INDEX(PRODUCTOS!$B$6:$B$105,MATCH($A248,PRODUCTOS!$A$6:$A$105,0)),"¿Código?"))</f>
        <v/>
      </c>
      <c r="C248" s="6"/>
      <c r="D248" s="8" t="str">
        <f aca="false">IF($C248="","",IFERROR(INDEX(INSUMOS!$B$6:$B$205,MATCH($C248,INSUMOS!$A$6:$A$205,0)),"¿Código?"))</f>
        <v/>
      </c>
      <c r="E248" s="8" t="str">
        <f aca="false">IF($C248="","",IFERROR(INDEX(INSUMOS!$D$6:$D$205,MATCH($C248,INSUMOS!$A$6:$A$205,0)),""))</f>
        <v/>
      </c>
      <c r="F248" s="39"/>
      <c r="G248" s="43" t="str">
        <f aca="false">IF(OR($A248="",$C248=""),"",IFERROR(INDEX(INSUMOS!$P$6:$P$205,MATCH($C248,INSUMOS!$A$6:$A$205,0)),0))</f>
        <v/>
      </c>
      <c r="H248" s="43" t="str">
        <f aca="false">IF(OR($A248="",$C248=""),"",N($F248)*$G248)</f>
        <v/>
      </c>
      <c r="I248" s="34" t="str">
        <f aca="false">IF(OR($A248="",$C248=""),"",IFERROR(MAX(1,INDEX(PRODUCTOS!$G$6:$G$105,MATCH($A248,PRODUCTOS!$A$6:$A$105,0))),1))</f>
        <v/>
      </c>
      <c r="J248" s="43" t="str">
        <f aca="false">IF(OR($A248="",$C248=""),"",$H248/$I248)</f>
        <v/>
      </c>
      <c r="K248" s="34" t="str">
        <f aca="false">IF(OR($A248="",$C248=""),"",SUMIFS(VENTAS!$E$6:$E$2005,VENTAS!$C$6:$C$2005,$A248))</f>
        <v/>
      </c>
      <c r="L248" s="45" t="str">
        <f aca="false">IF(OR($A248="",$C248=""),"",IFERROR(N($F248)/INDEX(INSUMOS!$I$6:$I$205,MATCH($C248,INSUMOS!$A$6:$A$205,0)),N($F248))/$I248*$K248)</f>
        <v/>
      </c>
      <c r="M248" s="8" t="str">
        <f aca="false">IF($A248="","",COUNTIF($A$6:$A248,$A248))</f>
        <v/>
      </c>
      <c r="N248" s="8" t="str">
        <f aca="false">IF($A248="","",$A248&amp;"|"&amp;$M248)</f>
        <v/>
      </c>
    </row>
    <row r="249" customFormat="false" ht="15" hidden="false" customHeight="false" outlineLevel="0" collapsed="false">
      <c r="A249" s="6"/>
      <c r="B249" s="8" t="str">
        <f aca="false">IF($A249="","",IFERROR(INDEX(PRODUCTOS!$B$6:$B$105,MATCH($A249,PRODUCTOS!$A$6:$A$105,0)),"¿Código?"))</f>
        <v/>
      </c>
      <c r="C249" s="6"/>
      <c r="D249" s="8" t="str">
        <f aca="false">IF($C249="","",IFERROR(INDEX(INSUMOS!$B$6:$B$205,MATCH($C249,INSUMOS!$A$6:$A$205,0)),"¿Código?"))</f>
        <v/>
      </c>
      <c r="E249" s="8" t="str">
        <f aca="false">IF($C249="","",IFERROR(INDEX(INSUMOS!$D$6:$D$205,MATCH($C249,INSUMOS!$A$6:$A$205,0)),""))</f>
        <v/>
      </c>
      <c r="F249" s="39"/>
      <c r="G249" s="43" t="str">
        <f aca="false">IF(OR($A249="",$C249=""),"",IFERROR(INDEX(INSUMOS!$P$6:$P$205,MATCH($C249,INSUMOS!$A$6:$A$205,0)),0))</f>
        <v/>
      </c>
      <c r="H249" s="43" t="str">
        <f aca="false">IF(OR($A249="",$C249=""),"",N($F249)*$G249)</f>
        <v/>
      </c>
      <c r="I249" s="34" t="str">
        <f aca="false">IF(OR($A249="",$C249=""),"",IFERROR(MAX(1,INDEX(PRODUCTOS!$G$6:$G$105,MATCH($A249,PRODUCTOS!$A$6:$A$105,0))),1))</f>
        <v/>
      </c>
      <c r="J249" s="43" t="str">
        <f aca="false">IF(OR($A249="",$C249=""),"",$H249/$I249)</f>
        <v/>
      </c>
      <c r="K249" s="34" t="str">
        <f aca="false">IF(OR($A249="",$C249=""),"",SUMIFS(VENTAS!$E$6:$E$2005,VENTAS!$C$6:$C$2005,$A249))</f>
        <v/>
      </c>
      <c r="L249" s="45" t="str">
        <f aca="false">IF(OR($A249="",$C249=""),"",IFERROR(N($F249)/INDEX(INSUMOS!$I$6:$I$205,MATCH($C249,INSUMOS!$A$6:$A$205,0)),N($F249))/$I249*$K249)</f>
        <v/>
      </c>
      <c r="M249" s="8" t="str">
        <f aca="false">IF($A249="","",COUNTIF($A$6:$A249,$A249))</f>
        <v/>
      </c>
      <c r="N249" s="8" t="str">
        <f aca="false">IF($A249="","",$A249&amp;"|"&amp;$M249)</f>
        <v/>
      </c>
    </row>
    <row r="250" customFormat="false" ht="15" hidden="false" customHeight="false" outlineLevel="0" collapsed="false">
      <c r="A250" s="6"/>
      <c r="B250" s="8" t="str">
        <f aca="false">IF($A250="","",IFERROR(INDEX(PRODUCTOS!$B$6:$B$105,MATCH($A250,PRODUCTOS!$A$6:$A$105,0)),"¿Código?"))</f>
        <v/>
      </c>
      <c r="C250" s="6"/>
      <c r="D250" s="8" t="str">
        <f aca="false">IF($C250="","",IFERROR(INDEX(INSUMOS!$B$6:$B$205,MATCH($C250,INSUMOS!$A$6:$A$205,0)),"¿Código?"))</f>
        <v/>
      </c>
      <c r="E250" s="8" t="str">
        <f aca="false">IF($C250="","",IFERROR(INDEX(INSUMOS!$D$6:$D$205,MATCH($C250,INSUMOS!$A$6:$A$205,0)),""))</f>
        <v/>
      </c>
      <c r="F250" s="39"/>
      <c r="G250" s="43" t="str">
        <f aca="false">IF(OR($A250="",$C250=""),"",IFERROR(INDEX(INSUMOS!$P$6:$P$205,MATCH($C250,INSUMOS!$A$6:$A$205,0)),0))</f>
        <v/>
      </c>
      <c r="H250" s="43" t="str">
        <f aca="false">IF(OR($A250="",$C250=""),"",N($F250)*$G250)</f>
        <v/>
      </c>
      <c r="I250" s="34" t="str">
        <f aca="false">IF(OR($A250="",$C250=""),"",IFERROR(MAX(1,INDEX(PRODUCTOS!$G$6:$G$105,MATCH($A250,PRODUCTOS!$A$6:$A$105,0))),1))</f>
        <v/>
      </c>
      <c r="J250" s="43" t="str">
        <f aca="false">IF(OR($A250="",$C250=""),"",$H250/$I250)</f>
        <v/>
      </c>
      <c r="K250" s="34" t="str">
        <f aca="false">IF(OR($A250="",$C250=""),"",SUMIFS(VENTAS!$E$6:$E$2005,VENTAS!$C$6:$C$2005,$A250))</f>
        <v/>
      </c>
      <c r="L250" s="45" t="str">
        <f aca="false">IF(OR($A250="",$C250=""),"",IFERROR(N($F250)/INDEX(INSUMOS!$I$6:$I$205,MATCH($C250,INSUMOS!$A$6:$A$205,0)),N($F250))/$I250*$K250)</f>
        <v/>
      </c>
      <c r="M250" s="8" t="str">
        <f aca="false">IF($A250="","",COUNTIF($A$6:$A250,$A250))</f>
        <v/>
      </c>
      <c r="N250" s="8" t="str">
        <f aca="false">IF($A250="","",$A250&amp;"|"&amp;$M250)</f>
        <v/>
      </c>
    </row>
    <row r="251" customFormat="false" ht="15" hidden="false" customHeight="false" outlineLevel="0" collapsed="false">
      <c r="A251" s="6"/>
      <c r="B251" s="8" t="str">
        <f aca="false">IF($A251="","",IFERROR(INDEX(PRODUCTOS!$B$6:$B$105,MATCH($A251,PRODUCTOS!$A$6:$A$105,0)),"¿Código?"))</f>
        <v/>
      </c>
      <c r="C251" s="6"/>
      <c r="D251" s="8" t="str">
        <f aca="false">IF($C251="","",IFERROR(INDEX(INSUMOS!$B$6:$B$205,MATCH($C251,INSUMOS!$A$6:$A$205,0)),"¿Código?"))</f>
        <v/>
      </c>
      <c r="E251" s="8" t="str">
        <f aca="false">IF($C251="","",IFERROR(INDEX(INSUMOS!$D$6:$D$205,MATCH($C251,INSUMOS!$A$6:$A$205,0)),""))</f>
        <v/>
      </c>
      <c r="F251" s="39"/>
      <c r="G251" s="43" t="str">
        <f aca="false">IF(OR($A251="",$C251=""),"",IFERROR(INDEX(INSUMOS!$P$6:$P$205,MATCH($C251,INSUMOS!$A$6:$A$205,0)),0))</f>
        <v/>
      </c>
      <c r="H251" s="43" t="str">
        <f aca="false">IF(OR($A251="",$C251=""),"",N($F251)*$G251)</f>
        <v/>
      </c>
      <c r="I251" s="34" t="str">
        <f aca="false">IF(OR($A251="",$C251=""),"",IFERROR(MAX(1,INDEX(PRODUCTOS!$G$6:$G$105,MATCH($A251,PRODUCTOS!$A$6:$A$105,0))),1))</f>
        <v/>
      </c>
      <c r="J251" s="43" t="str">
        <f aca="false">IF(OR($A251="",$C251=""),"",$H251/$I251)</f>
        <v/>
      </c>
      <c r="K251" s="34" t="str">
        <f aca="false">IF(OR($A251="",$C251=""),"",SUMIFS(VENTAS!$E$6:$E$2005,VENTAS!$C$6:$C$2005,$A251))</f>
        <v/>
      </c>
      <c r="L251" s="45" t="str">
        <f aca="false">IF(OR($A251="",$C251=""),"",IFERROR(N($F251)/INDEX(INSUMOS!$I$6:$I$205,MATCH($C251,INSUMOS!$A$6:$A$205,0)),N($F251))/$I251*$K251)</f>
        <v/>
      </c>
      <c r="M251" s="8" t="str">
        <f aca="false">IF($A251="","",COUNTIF($A$6:$A251,$A251))</f>
        <v/>
      </c>
      <c r="N251" s="8" t="str">
        <f aca="false">IF($A251="","",$A251&amp;"|"&amp;$M251)</f>
        <v/>
      </c>
    </row>
    <row r="252" customFormat="false" ht="15" hidden="false" customHeight="false" outlineLevel="0" collapsed="false">
      <c r="A252" s="6"/>
      <c r="B252" s="8" t="str">
        <f aca="false">IF($A252="","",IFERROR(INDEX(PRODUCTOS!$B$6:$B$105,MATCH($A252,PRODUCTOS!$A$6:$A$105,0)),"¿Código?"))</f>
        <v/>
      </c>
      <c r="C252" s="6"/>
      <c r="D252" s="8" t="str">
        <f aca="false">IF($C252="","",IFERROR(INDEX(INSUMOS!$B$6:$B$205,MATCH($C252,INSUMOS!$A$6:$A$205,0)),"¿Código?"))</f>
        <v/>
      </c>
      <c r="E252" s="8" t="str">
        <f aca="false">IF($C252="","",IFERROR(INDEX(INSUMOS!$D$6:$D$205,MATCH($C252,INSUMOS!$A$6:$A$205,0)),""))</f>
        <v/>
      </c>
      <c r="F252" s="39"/>
      <c r="G252" s="43" t="str">
        <f aca="false">IF(OR($A252="",$C252=""),"",IFERROR(INDEX(INSUMOS!$P$6:$P$205,MATCH($C252,INSUMOS!$A$6:$A$205,0)),0))</f>
        <v/>
      </c>
      <c r="H252" s="43" t="str">
        <f aca="false">IF(OR($A252="",$C252=""),"",N($F252)*$G252)</f>
        <v/>
      </c>
      <c r="I252" s="34" t="str">
        <f aca="false">IF(OR($A252="",$C252=""),"",IFERROR(MAX(1,INDEX(PRODUCTOS!$G$6:$G$105,MATCH($A252,PRODUCTOS!$A$6:$A$105,0))),1))</f>
        <v/>
      </c>
      <c r="J252" s="43" t="str">
        <f aca="false">IF(OR($A252="",$C252=""),"",$H252/$I252)</f>
        <v/>
      </c>
      <c r="K252" s="34" t="str">
        <f aca="false">IF(OR($A252="",$C252=""),"",SUMIFS(VENTAS!$E$6:$E$2005,VENTAS!$C$6:$C$2005,$A252))</f>
        <v/>
      </c>
      <c r="L252" s="45" t="str">
        <f aca="false">IF(OR($A252="",$C252=""),"",IFERROR(N($F252)/INDEX(INSUMOS!$I$6:$I$205,MATCH($C252,INSUMOS!$A$6:$A$205,0)),N($F252))/$I252*$K252)</f>
        <v/>
      </c>
      <c r="M252" s="8" t="str">
        <f aca="false">IF($A252="","",COUNTIF($A$6:$A252,$A252))</f>
        <v/>
      </c>
      <c r="N252" s="8" t="str">
        <f aca="false">IF($A252="","",$A252&amp;"|"&amp;$M252)</f>
        <v/>
      </c>
    </row>
    <row r="253" customFormat="false" ht="15" hidden="false" customHeight="false" outlineLevel="0" collapsed="false">
      <c r="A253" s="6"/>
      <c r="B253" s="8" t="str">
        <f aca="false">IF($A253="","",IFERROR(INDEX(PRODUCTOS!$B$6:$B$105,MATCH($A253,PRODUCTOS!$A$6:$A$105,0)),"¿Código?"))</f>
        <v/>
      </c>
      <c r="C253" s="6"/>
      <c r="D253" s="8" t="str">
        <f aca="false">IF($C253="","",IFERROR(INDEX(INSUMOS!$B$6:$B$205,MATCH($C253,INSUMOS!$A$6:$A$205,0)),"¿Código?"))</f>
        <v/>
      </c>
      <c r="E253" s="8" t="str">
        <f aca="false">IF($C253="","",IFERROR(INDEX(INSUMOS!$D$6:$D$205,MATCH($C253,INSUMOS!$A$6:$A$205,0)),""))</f>
        <v/>
      </c>
      <c r="F253" s="39"/>
      <c r="G253" s="43" t="str">
        <f aca="false">IF(OR($A253="",$C253=""),"",IFERROR(INDEX(INSUMOS!$P$6:$P$205,MATCH($C253,INSUMOS!$A$6:$A$205,0)),0))</f>
        <v/>
      </c>
      <c r="H253" s="43" t="str">
        <f aca="false">IF(OR($A253="",$C253=""),"",N($F253)*$G253)</f>
        <v/>
      </c>
      <c r="I253" s="34" t="str">
        <f aca="false">IF(OR($A253="",$C253=""),"",IFERROR(MAX(1,INDEX(PRODUCTOS!$G$6:$G$105,MATCH($A253,PRODUCTOS!$A$6:$A$105,0))),1))</f>
        <v/>
      </c>
      <c r="J253" s="43" t="str">
        <f aca="false">IF(OR($A253="",$C253=""),"",$H253/$I253)</f>
        <v/>
      </c>
      <c r="K253" s="34" t="str">
        <f aca="false">IF(OR($A253="",$C253=""),"",SUMIFS(VENTAS!$E$6:$E$2005,VENTAS!$C$6:$C$2005,$A253))</f>
        <v/>
      </c>
      <c r="L253" s="45" t="str">
        <f aca="false">IF(OR($A253="",$C253=""),"",IFERROR(N($F253)/INDEX(INSUMOS!$I$6:$I$205,MATCH($C253,INSUMOS!$A$6:$A$205,0)),N($F253))/$I253*$K253)</f>
        <v/>
      </c>
      <c r="M253" s="8" t="str">
        <f aca="false">IF($A253="","",COUNTIF($A$6:$A253,$A253))</f>
        <v/>
      </c>
      <c r="N253" s="8" t="str">
        <f aca="false">IF($A253="","",$A253&amp;"|"&amp;$M253)</f>
        <v/>
      </c>
    </row>
    <row r="254" customFormat="false" ht="15" hidden="false" customHeight="false" outlineLevel="0" collapsed="false">
      <c r="A254" s="6"/>
      <c r="B254" s="8" t="str">
        <f aca="false">IF($A254="","",IFERROR(INDEX(PRODUCTOS!$B$6:$B$105,MATCH($A254,PRODUCTOS!$A$6:$A$105,0)),"¿Código?"))</f>
        <v/>
      </c>
      <c r="C254" s="6"/>
      <c r="D254" s="8" t="str">
        <f aca="false">IF($C254="","",IFERROR(INDEX(INSUMOS!$B$6:$B$205,MATCH($C254,INSUMOS!$A$6:$A$205,0)),"¿Código?"))</f>
        <v/>
      </c>
      <c r="E254" s="8" t="str">
        <f aca="false">IF($C254="","",IFERROR(INDEX(INSUMOS!$D$6:$D$205,MATCH($C254,INSUMOS!$A$6:$A$205,0)),""))</f>
        <v/>
      </c>
      <c r="F254" s="39"/>
      <c r="G254" s="43" t="str">
        <f aca="false">IF(OR($A254="",$C254=""),"",IFERROR(INDEX(INSUMOS!$P$6:$P$205,MATCH($C254,INSUMOS!$A$6:$A$205,0)),0))</f>
        <v/>
      </c>
      <c r="H254" s="43" t="str">
        <f aca="false">IF(OR($A254="",$C254=""),"",N($F254)*$G254)</f>
        <v/>
      </c>
      <c r="I254" s="34" t="str">
        <f aca="false">IF(OR($A254="",$C254=""),"",IFERROR(MAX(1,INDEX(PRODUCTOS!$G$6:$G$105,MATCH($A254,PRODUCTOS!$A$6:$A$105,0))),1))</f>
        <v/>
      </c>
      <c r="J254" s="43" t="str">
        <f aca="false">IF(OR($A254="",$C254=""),"",$H254/$I254)</f>
        <v/>
      </c>
      <c r="K254" s="34" t="str">
        <f aca="false">IF(OR($A254="",$C254=""),"",SUMIFS(VENTAS!$E$6:$E$2005,VENTAS!$C$6:$C$2005,$A254))</f>
        <v/>
      </c>
      <c r="L254" s="45" t="str">
        <f aca="false">IF(OR($A254="",$C254=""),"",IFERROR(N($F254)/INDEX(INSUMOS!$I$6:$I$205,MATCH($C254,INSUMOS!$A$6:$A$205,0)),N($F254))/$I254*$K254)</f>
        <v/>
      </c>
      <c r="M254" s="8" t="str">
        <f aca="false">IF($A254="","",COUNTIF($A$6:$A254,$A254))</f>
        <v/>
      </c>
      <c r="N254" s="8" t="str">
        <f aca="false">IF($A254="","",$A254&amp;"|"&amp;$M254)</f>
        <v/>
      </c>
    </row>
    <row r="255" customFormat="false" ht="15" hidden="false" customHeight="false" outlineLevel="0" collapsed="false">
      <c r="A255" s="6"/>
      <c r="B255" s="8" t="str">
        <f aca="false">IF($A255="","",IFERROR(INDEX(PRODUCTOS!$B$6:$B$105,MATCH($A255,PRODUCTOS!$A$6:$A$105,0)),"¿Código?"))</f>
        <v/>
      </c>
      <c r="C255" s="6"/>
      <c r="D255" s="8" t="str">
        <f aca="false">IF($C255="","",IFERROR(INDEX(INSUMOS!$B$6:$B$205,MATCH($C255,INSUMOS!$A$6:$A$205,0)),"¿Código?"))</f>
        <v/>
      </c>
      <c r="E255" s="8" t="str">
        <f aca="false">IF($C255="","",IFERROR(INDEX(INSUMOS!$D$6:$D$205,MATCH($C255,INSUMOS!$A$6:$A$205,0)),""))</f>
        <v/>
      </c>
      <c r="F255" s="39"/>
      <c r="G255" s="43" t="str">
        <f aca="false">IF(OR($A255="",$C255=""),"",IFERROR(INDEX(INSUMOS!$P$6:$P$205,MATCH($C255,INSUMOS!$A$6:$A$205,0)),0))</f>
        <v/>
      </c>
      <c r="H255" s="43" t="str">
        <f aca="false">IF(OR($A255="",$C255=""),"",N($F255)*$G255)</f>
        <v/>
      </c>
      <c r="I255" s="34" t="str">
        <f aca="false">IF(OR($A255="",$C255=""),"",IFERROR(MAX(1,INDEX(PRODUCTOS!$G$6:$G$105,MATCH($A255,PRODUCTOS!$A$6:$A$105,0))),1))</f>
        <v/>
      </c>
      <c r="J255" s="43" t="str">
        <f aca="false">IF(OR($A255="",$C255=""),"",$H255/$I255)</f>
        <v/>
      </c>
      <c r="K255" s="34" t="str">
        <f aca="false">IF(OR($A255="",$C255=""),"",SUMIFS(VENTAS!$E$6:$E$2005,VENTAS!$C$6:$C$2005,$A255))</f>
        <v/>
      </c>
      <c r="L255" s="45" t="str">
        <f aca="false">IF(OR($A255="",$C255=""),"",IFERROR(N($F255)/INDEX(INSUMOS!$I$6:$I$205,MATCH($C255,INSUMOS!$A$6:$A$205,0)),N($F255))/$I255*$K255)</f>
        <v/>
      </c>
      <c r="M255" s="8" t="str">
        <f aca="false">IF($A255="","",COUNTIF($A$6:$A255,$A255))</f>
        <v/>
      </c>
      <c r="N255" s="8" t="str">
        <f aca="false">IF($A255="","",$A255&amp;"|"&amp;$M255)</f>
        <v/>
      </c>
    </row>
    <row r="256" customFormat="false" ht="15" hidden="false" customHeight="false" outlineLevel="0" collapsed="false">
      <c r="A256" s="6"/>
      <c r="B256" s="8" t="str">
        <f aca="false">IF($A256="","",IFERROR(INDEX(PRODUCTOS!$B$6:$B$105,MATCH($A256,PRODUCTOS!$A$6:$A$105,0)),"¿Código?"))</f>
        <v/>
      </c>
      <c r="C256" s="6"/>
      <c r="D256" s="8" t="str">
        <f aca="false">IF($C256="","",IFERROR(INDEX(INSUMOS!$B$6:$B$205,MATCH($C256,INSUMOS!$A$6:$A$205,0)),"¿Código?"))</f>
        <v/>
      </c>
      <c r="E256" s="8" t="str">
        <f aca="false">IF($C256="","",IFERROR(INDEX(INSUMOS!$D$6:$D$205,MATCH($C256,INSUMOS!$A$6:$A$205,0)),""))</f>
        <v/>
      </c>
      <c r="F256" s="39"/>
      <c r="G256" s="43" t="str">
        <f aca="false">IF(OR($A256="",$C256=""),"",IFERROR(INDEX(INSUMOS!$P$6:$P$205,MATCH($C256,INSUMOS!$A$6:$A$205,0)),0))</f>
        <v/>
      </c>
      <c r="H256" s="43" t="str">
        <f aca="false">IF(OR($A256="",$C256=""),"",N($F256)*$G256)</f>
        <v/>
      </c>
      <c r="I256" s="34" t="str">
        <f aca="false">IF(OR($A256="",$C256=""),"",IFERROR(MAX(1,INDEX(PRODUCTOS!$G$6:$G$105,MATCH($A256,PRODUCTOS!$A$6:$A$105,0))),1))</f>
        <v/>
      </c>
      <c r="J256" s="43" t="str">
        <f aca="false">IF(OR($A256="",$C256=""),"",$H256/$I256)</f>
        <v/>
      </c>
      <c r="K256" s="34" t="str">
        <f aca="false">IF(OR($A256="",$C256=""),"",SUMIFS(VENTAS!$E$6:$E$2005,VENTAS!$C$6:$C$2005,$A256))</f>
        <v/>
      </c>
      <c r="L256" s="45" t="str">
        <f aca="false">IF(OR($A256="",$C256=""),"",IFERROR(N($F256)/INDEX(INSUMOS!$I$6:$I$205,MATCH($C256,INSUMOS!$A$6:$A$205,0)),N($F256))/$I256*$K256)</f>
        <v/>
      </c>
      <c r="M256" s="8" t="str">
        <f aca="false">IF($A256="","",COUNTIF($A$6:$A256,$A256))</f>
        <v/>
      </c>
      <c r="N256" s="8" t="str">
        <f aca="false">IF($A256="","",$A256&amp;"|"&amp;$M256)</f>
        <v/>
      </c>
    </row>
    <row r="257" customFormat="false" ht="15" hidden="false" customHeight="false" outlineLevel="0" collapsed="false">
      <c r="A257" s="6"/>
      <c r="B257" s="8" t="str">
        <f aca="false">IF($A257="","",IFERROR(INDEX(PRODUCTOS!$B$6:$B$105,MATCH($A257,PRODUCTOS!$A$6:$A$105,0)),"¿Código?"))</f>
        <v/>
      </c>
      <c r="C257" s="6"/>
      <c r="D257" s="8" t="str">
        <f aca="false">IF($C257="","",IFERROR(INDEX(INSUMOS!$B$6:$B$205,MATCH($C257,INSUMOS!$A$6:$A$205,0)),"¿Código?"))</f>
        <v/>
      </c>
      <c r="E257" s="8" t="str">
        <f aca="false">IF($C257="","",IFERROR(INDEX(INSUMOS!$D$6:$D$205,MATCH($C257,INSUMOS!$A$6:$A$205,0)),""))</f>
        <v/>
      </c>
      <c r="F257" s="39"/>
      <c r="G257" s="43" t="str">
        <f aca="false">IF(OR($A257="",$C257=""),"",IFERROR(INDEX(INSUMOS!$P$6:$P$205,MATCH($C257,INSUMOS!$A$6:$A$205,0)),0))</f>
        <v/>
      </c>
      <c r="H257" s="43" t="str">
        <f aca="false">IF(OR($A257="",$C257=""),"",N($F257)*$G257)</f>
        <v/>
      </c>
      <c r="I257" s="34" t="str">
        <f aca="false">IF(OR($A257="",$C257=""),"",IFERROR(MAX(1,INDEX(PRODUCTOS!$G$6:$G$105,MATCH($A257,PRODUCTOS!$A$6:$A$105,0))),1))</f>
        <v/>
      </c>
      <c r="J257" s="43" t="str">
        <f aca="false">IF(OR($A257="",$C257=""),"",$H257/$I257)</f>
        <v/>
      </c>
      <c r="K257" s="34" t="str">
        <f aca="false">IF(OR($A257="",$C257=""),"",SUMIFS(VENTAS!$E$6:$E$2005,VENTAS!$C$6:$C$2005,$A257))</f>
        <v/>
      </c>
      <c r="L257" s="45" t="str">
        <f aca="false">IF(OR($A257="",$C257=""),"",IFERROR(N($F257)/INDEX(INSUMOS!$I$6:$I$205,MATCH($C257,INSUMOS!$A$6:$A$205,0)),N($F257))/$I257*$K257)</f>
        <v/>
      </c>
      <c r="M257" s="8" t="str">
        <f aca="false">IF($A257="","",COUNTIF($A$6:$A257,$A257))</f>
        <v/>
      </c>
      <c r="N257" s="8" t="str">
        <f aca="false">IF($A257="","",$A257&amp;"|"&amp;$M257)</f>
        <v/>
      </c>
    </row>
    <row r="258" customFormat="false" ht="15" hidden="false" customHeight="false" outlineLevel="0" collapsed="false">
      <c r="A258" s="6"/>
      <c r="B258" s="8" t="str">
        <f aca="false">IF($A258="","",IFERROR(INDEX(PRODUCTOS!$B$6:$B$105,MATCH($A258,PRODUCTOS!$A$6:$A$105,0)),"¿Código?"))</f>
        <v/>
      </c>
      <c r="C258" s="6"/>
      <c r="D258" s="8" t="str">
        <f aca="false">IF($C258="","",IFERROR(INDEX(INSUMOS!$B$6:$B$205,MATCH($C258,INSUMOS!$A$6:$A$205,0)),"¿Código?"))</f>
        <v/>
      </c>
      <c r="E258" s="8" t="str">
        <f aca="false">IF($C258="","",IFERROR(INDEX(INSUMOS!$D$6:$D$205,MATCH($C258,INSUMOS!$A$6:$A$205,0)),""))</f>
        <v/>
      </c>
      <c r="F258" s="39"/>
      <c r="G258" s="43" t="str">
        <f aca="false">IF(OR($A258="",$C258=""),"",IFERROR(INDEX(INSUMOS!$P$6:$P$205,MATCH($C258,INSUMOS!$A$6:$A$205,0)),0))</f>
        <v/>
      </c>
      <c r="H258" s="43" t="str">
        <f aca="false">IF(OR($A258="",$C258=""),"",N($F258)*$G258)</f>
        <v/>
      </c>
      <c r="I258" s="34" t="str">
        <f aca="false">IF(OR($A258="",$C258=""),"",IFERROR(MAX(1,INDEX(PRODUCTOS!$G$6:$G$105,MATCH($A258,PRODUCTOS!$A$6:$A$105,0))),1))</f>
        <v/>
      </c>
      <c r="J258" s="43" t="str">
        <f aca="false">IF(OR($A258="",$C258=""),"",$H258/$I258)</f>
        <v/>
      </c>
      <c r="K258" s="34" t="str">
        <f aca="false">IF(OR($A258="",$C258=""),"",SUMIFS(VENTAS!$E$6:$E$2005,VENTAS!$C$6:$C$2005,$A258))</f>
        <v/>
      </c>
      <c r="L258" s="45" t="str">
        <f aca="false">IF(OR($A258="",$C258=""),"",IFERROR(N($F258)/INDEX(INSUMOS!$I$6:$I$205,MATCH($C258,INSUMOS!$A$6:$A$205,0)),N($F258))/$I258*$K258)</f>
        <v/>
      </c>
      <c r="M258" s="8" t="str">
        <f aca="false">IF($A258="","",COUNTIF($A$6:$A258,$A258))</f>
        <v/>
      </c>
      <c r="N258" s="8" t="str">
        <f aca="false">IF($A258="","",$A258&amp;"|"&amp;$M258)</f>
        <v/>
      </c>
    </row>
    <row r="259" customFormat="false" ht="15" hidden="false" customHeight="false" outlineLevel="0" collapsed="false">
      <c r="A259" s="6"/>
      <c r="B259" s="8" t="str">
        <f aca="false">IF($A259="","",IFERROR(INDEX(PRODUCTOS!$B$6:$B$105,MATCH($A259,PRODUCTOS!$A$6:$A$105,0)),"¿Código?"))</f>
        <v/>
      </c>
      <c r="C259" s="6"/>
      <c r="D259" s="8" t="str">
        <f aca="false">IF($C259="","",IFERROR(INDEX(INSUMOS!$B$6:$B$205,MATCH($C259,INSUMOS!$A$6:$A$205,0)),"¿Código?"))</f>
        <v/>
      </c>
      <c r="E259" s="8" t="str">
        <f aca="false">IF($C259="","",IFERROR(INDEX(INSUMOS!$D$6:$D$205,MATCH($C259,INSUMOS!$A$6:$A$205,0)),""))</f>
        <v/>
      </c>
      <c r="F259" s="39"/>
      <c r="G259" s="43" t="str">
        <f aca="false">IF(OR($A259="",$C259=""),"",IFERROR(INDEX(INSUMOS!$P$6:$P$205,MATCH($C259,INSUMOS!$A$6:$A$205,0)),0))</f>
        <v/>
      </c>
      <c r="H259" s="43" t="str">
        <f aca="false">IF(OR($A259="",$C259=""),"",N($F259)*$G259)</f>
        <v/>
      </c>
      <c r="I259" s="34" t="str">
        <f aca="false">IF(OR($A259="",$C259=""),"",IFERROR(MAX(1,INDEX(PRODUCTOS!$G$6:$G$105,MATCH($A259,PRODUCTOS!$A$6:$A$105,0))),1))</f>
        <v/>
      </c>
      <c r="J259" s="43" t="str">
        <f aca="false">IF(OR($A259="",$C259=""),"",$H259/$I259)</f>
        <v/>
      </c>
      <c r="K259" s="34" t="str">
        <f aca="false">IF(OR($A259="",$C259=""),"",SUMIFS(VENTAS!$E$6:$E$2005,VENTAS!$C$6:$C$2005,$A259))</f>
        <v/>
      </c>
      <c r="L259" s="45" t="str">
        <f aca="false">IF(OR($A259="",$C259=""),"",IFERROR(N($F259)/INDEX(INSUMOS!$I$6:$I$205,MATCH($C259,INSUMOS!$A$6:$A$205,0)),N($F259))/$I259*$K259)</f>
        <v/>
      </c>
      <c r="M259" s="8" t="str">
        <f aca="false">IF($A259="","",COUNTIF($A$6:$A259,$A259))</f>
        <v/>
      </c>
      <c r="N259" s="8" t="str">
        <f aca="false">IF($A259="","",$A259&amp;"|"&amp;$M259)</f>
        <v/>
      </c>
    </row>
    <row r="260" customFormat="false" ht="15" hidden="false" customHeight="false" outlineLevel="0" collapsed="false">
      <c r="A260" s="6"/>
      <c r="B260" s="8" t="str">
        <f aca="false">IF($A260="","",IFERROR(INDEX(PRODUCTOS!$B$6:$B$105,MATCH($A260,PRODUCTOS!$A$6:$A$105,0)),"¿Código?"))</f>
        <v/>
      </c>
      <c r="C260" s="6"/>
      <c r="D260" s="8" t="str">
        <f aca="false">IF($C260="","",IFERROR(INDEX(INSUMOS!$B$6:$B$205,MATCH($C260,INSUMOS!$A$6:$A$205,0)),"¿Código?"))</f>
        <v/>
      </c>
      <c r="E260" s="8" t="str">
        <f aca="false">IF($C260="","",IFERROR(INDEX(INSUMOS!$D$6:$D$205,MATCH($C260,INSUMOS!$A$6:$A$205,0)),""))</f>
        <v/>
      </c>
      <c r="F260" s="39"/>
      <c r="G260" s="43" t="str">
        <f aca="false">IF(OR($A260="",$C260=""),"",IFERROR(INDEX(INSUMOS!$P$6:$P$205,MATCH($C260,INSUMOS!$A$6:$A$205,0)),0))</f>
        <v/>
      </c>
      <c r="H260" s="43" t="str">
        <f aca="false">IF(OR($A260="",$C260=""),"",N($F260)*$G260)</f>
        <v/>
      </c>
      <c r="I260" s="34" t="str">
        <f aca="false">IF(OR($A260="",$C260=""),"",IFERROR(MAX(1,INDEX(PRODUCTOS!$G$6:$G$105,MATCH($A260,PRODUCTOS!$A$6:$A$105,0))),1))</f>
        <v/>
      </c>
      <c r="J260" s="43" t="str">
        <f aca="false">IF(OR($A260="",$C260=""),"",$H260/$I260)</f>
        <v/>
      </c>
      <c r="K260" s="34" t="str">
        <f aca="false">IF(OR($A260="",$C260=""),"",SUMIFS(VENTAS!$E$6:$E$2005,VENTAS!$C$6:$C$2005,$A260))</f>
        <v/>
      </c>
      <c r="L260" s="45" t="str">
        <f aca="false">IF(OR($A260="",$C260=""),"",IFERROR(N($F260)/INDEX(INSUMOS!$I$6:$I$205,MATCH($C260,INSUMOS!$A$6:$A$205,0)),N($F260))/$I260*$K260)</f>
        <v/>
      </c>
      <c r="M260" s="8" t="str">
        <f aca="false">IF($A260="","",COUNTIF($A$6:$A260,$A260))</f>
        <v/>
      </c>
      <c r="N260" s="8" t="str">
        <f aca="false">IF($A260="","",$A260&amp;"|"&amp;$M260)</f>
        <v/>
      </c>
    </row>
    <row r="261" customFormat="false" ht="15" hidden="false" customHeight="false" outlineLevel="0" collapsed="false">
      <c r="A261" s="6"/>
      <c r="B261" s="8" t="str">
        <f aca="false">IF($A261="","",IFERROR(INDEX(PRODUCTOS!$B$6:$B$105,MATCH($A261,PRODUCTOS!$A$6:$A$105,0)),"¿Código?"))</f>
        <v/>
      </c>
      <c r="C261" s="6"/>
      <c r="D261" s="8" t="str">
        <f aca="false">IF($C261="","",IFERROR(INDEX(INSUMOS!$B$6:$B$205,MATCH($C261,INSUMOS!$A$6:$A$205,0)),"¿Código?"))</f>
        <v/>
      </c>
      <c r="E261" s="8" t="str">
        <f aca="false">IF($C261="","",IFERROR(INDEX(INSUMOS!$D$6:$D$205,MATCH($C261,INSUMOS!$A$6:$A$205,0)),""))</f>
        <v/>
      </c>
      <c r="F261" s="39"/>
      <c r="G261" s="43" t="str">
        <f aca="false">IF(OR($A261="",$C261=""),"",IFERROR(INDEX(INSUMOS!$P$6:$P$205,MATCH($C261,INSUMOS!$A$6:$A$205,0)),0))</f>
        <v/>
      </c>
      <c r="H261" s="43" t="str">
        <f aca="false">IF(OR($A261="",$C261=""),"",N($F261)*$G261)</f>
        <v/>
      </c>
      <c r="I261" s="34" t="str">
        <f aca="false">IF(OR($A261="",$C261=""),"",IFERROR(MAX(1,INDEX(PRODUCTOS!$G$6:$G$105,MATCH($A261,PRODUCTOS!$A$6:$A$105,0))),1))</f>
        <v/>
      </c>
      <c r="J261" s="43" t="str">
        <f aca="false">IF(OR($A261="",$C261=""),"",$H261/$I261)</f>
        <v/>
      </c>
      <c r="K261" s="34" t="str">
        <f aca="false">IF(OR($A261="",$C261=""),"",SUMIFS(VENTAS!$E$6:$E$2005,VENTAS!$C$6:$C$2005,$A261))</f>
        <v/>
      </c>
      <c r="L261" s="45" t="str">
        <f aca="false">IF(OR($A261="",$C261=""),"",IFERROR(N($F261)/INDEX(INSUMOS!$I$6:$I$205,MATCH($C261,INSUMOS!$A$6:$A$205,0)),N($F261))/$I261*$K261)</f>
        <v/>
      </c>
      <c r="M261" s="8" t="str">
        <f aca="false">IF($A261="","",COUNTIF($A$6:$A261,$A261))</f>
        <v/>
      </c>
      <c r="N261" s="8" t="str">
        <f aca="false">IF($A261="","",$A261&amp;"|"&amp;$M261)</f>
        <v/>
      </c>
    </row>
    <row r="262" customFormat="false" ht="15" hidden="false" customHeight="false" outlineLevel="0" collapsed="false">
      <c r="A262" s="6"/>
      <c r="B262" s="8" t="str">
        <f aca="false">IF($A262="","",IFERROR(INDEX(PRODUCTOS!$B$6:$B$105,MATCH($A262,PRODUCTOS!$A$6:$A$105,0)),"¿Código?"))</f>
        <v/>
      </c>
      <c r="C262" s="6"/>
      <c r="D262" s="8" t="str">
        <f aca="false">IF($C262="","",IFERROR(INDEX(INSUMOS!$B$6:$B$205,MATCH($C262,INSUMOS!$A$6:$A$205,0)),"¿Código?"))</f>
        <v/>
      </c>
      <c r="E262" s="8" t="str">
        <f aca="false">IF($C262="","",IFERROR(INDEX(INSUMOS!$D$6:$D$205,MATCH($C262,INSUMOS!$A$6:$A$205,0)),""))</f>
        <v/>
      </c>
      <c r="F262" s="39"/>
      <c r="G262" s="43" t="str">
        <f aca="false">IF(OR($A262="",$C262=""),"",IFERROR(INDEX(INSUMOS!$P$6:$P$205,MATCH($C262,INSUMOS!$A$6:$A$205,0)),0))</f>
        <v/>
      </c>
      <c r="H262" s="43" t="str">
        <f aca="false">IF(OR($A262="",$C262=""),"",N($F262)*$G262)</f>
        <v/>
      </c>
      <c r="I262" s="34" t="str">
        <f aca="false">IF(OR($A262="",$C262=""),"",IFERROR(MAX(1,INDEX(PRODUCTOS!$G$6:$G$105,MATCH($A262,PRODUCTOS!$A$6:$A$105,0))),1))</f>
        <v/>
      </c>
      <c r="J262" s="43" t="str">
        <f aca="false">IF(OR($A262="",$C262=""),"",$H262/$I262)</f>
        <v/>
      </c>
      <c r="K262" s="34" t="str">
        <f aca="false">IF(OR($A262="",$C262=""),"",SUMIFS(VENTAS!$E$6:$E$2005,VENTAS!$C$6:$C$2005,$A262))</f>
        <v/>
      </c>
      <c r="L262" s="45" t="str">
        <f aca="false">IF(OR($A262="",$C262=""),"",IFERROR(N($F262)/INDEX(INSUMOS!$I$6:$I$205,MATCH($C262,INSUMOS!$A$6:$A$205,0)),N($F262))/$I262*$K262)</f>
        <v/>
      </c>
      <c r="M262" s="8" t="str">
        <f aca="false">IF($A262="","",COUNTIF($A$6:$A262,$A262))</f>
        <v/>
      </c>
      <c r="N262" s="8" t="str">
        <f aca="false">IF($A262="","",$A262&amp;"|"&amp;$M262)</f>
        <v/>
      </c>
    </row>
    <row r="263" customFormat="false" ht="15" hidden="false" customHeight="false" outlineLevel="0" collapsed="false">
      <c r="A263" s="6"/>
      <c r="B263" s="8" t="str">
        <f aca="false">IF($A263="","",IFERROR(INDEX(PRODUCTOS!$B$6:$B$105,MATCH($A263,PRODUCTOS!$A$6:$A$105,0)),"¿Código?"))</f>
        <v/>
      </c>
      <c r="C263" s="6"/>
      <c r="D263" s="8" t="str">
        <f aca="false">IF($C263="","",IFERROR(INDEX(INSUMOS!$B$6:$B$205,MATCH($C263,INSUMOS!$A$6:$A$205,0)),"¿Código?"))</f>
        <v/>
      </c>
      <c r="E263" s="8" t="str">
        <f aca="false">IF($C263="","",IFERROR(INDEX(INSUMOS!$D$6:$D$205,MATCH($C263,INSUMOS!$A$6:$A$205,0)),""))</f>
        <v/>
      </c>
      <c r="F263" s="39"/>
      <c r="G263" s="43" t="str">
        <f aca="false">IF(OR($A263="",$C263=""),"",IFERROR(INDEX(INSUMOS!$P$6:$P$205,MATCH($C263,INSUMOS!$A$6:$A$205,0)),0))</f>
        <v/>
      </c>
      <c r="H263" s="43" t="str">
        <f aca="false">IF(OR($A263="",$C263=""),"",N($F263)*$G263)</f>
        <v/>
      </c>
      <c r="I263" s="34" t="str">
        <f aca="false">IF(OR($A263="",$C263=""),"",IFERROR(MAX(1,INDEX(PRODUCTOS!$G$6:$G$105,MATCH($A263,PRODUCTOS!$A$6:$A$105,0))),1))</f>
        <v/>
      </c>
      <c r="J263" s="43" t="str">
        <f aca="false">IF(OR($A263="",$C263=""),"",$H263/$I263)</f>
        <v/>
      </c>
      <c r="K263" s="34" t="str">
        <f aca="false">IF(OR($A263="",$C263=""),"",SUMIFS(VENTAS!$E$6:$E$2005,VENTAS!$C$6:$C$2005,$A263))</f>
        <v/>
      </c>
      <c r="L263" s="45" t="str">
        <f aca="false">IF(OR($A263="",$C263=""),"",IFERROR(N($F263)/INDEX(INSUMOS!$I$6:$I$205,MATCH($C263,INSUMOS!$A$6:$A$205,0)),N($F263))/$I263*$K263)</f>
        <v/>
      </c>
      <c r="M263" s="8" t="str">
        <f aca="false">IF($A263="","",COUNTIF($A$6:$A263,$A263))</f>
        <v/>
      </c>
      <c r="N263" s="8" t="str">
        <f aca="false">IF($A263="","",$A263&amp;"|"&amp;$M263)</f>
        <v/>
      </c>
    </row>
    <row r="264" customFormat="false" ht="15" hidden="false" customHeight="false" outlineLevel="0" collapsed="false">
      <c r="A264" s="6"/>
      <c r="B264" s="8" t="str">
        <f aca="false">IF($A264="","",IFERROR(INDEX(PRODUCTOS!$B$6:$B$105,MATCH($A264,PRODUCTOS!$A$6:$A$105,0)),"¿Código?"))</f>
        <v/>
      </c>
      <c r="C264" s="6"/>
      <c r="D264" s="8" t="str">
        <f aca="false">IF($C264="","",IFERROR(INDEX(INSUMOS!$B$6:$B$205,MATCH($C264,INSUMOS!$A$6:$A$205,0)),"¿Código?"))</f>
        <v/>
      </c>
      <c r="E264" s="8" t="str">
        <f aca="false">IF($C264="","",IFERROR(INDEX(INSUMOS!$D$6:$D$205,MATCH($C264,INSUMOS!$A$6:$A$205,0)),""))</f>
        <v/>
      </c>
      <c r="F264" s="39"/>
      <c r="G264" s="43" t="str">
        <f aca="false">IF(OR($A264="",$C264=""),"",IFERROR(INDEX(INSUMOS!$P$6:$P$205,MATCH($C264,INSUMOS!$A$6:$A$205,0)),0))</f>
        <v/>
      </c>
      <c r="H264" s="43" t="str">
        <f aca="false">IF(OR($A264="",$C264=""),"",N($F264)*$G264)</f>
        <v/>
      </c>
      <c r="I264" s="34" t="str">
        <f aca="false">IF(OR($A264="",$C264=""),"",IFERROR(MAX(1,INDEX(PRODUCTOS!$G$6:$G$105,MATCH($A264,PRODUCTOS!$A$6:$A$105,0))),1))</f>
        <v/>
      </c>
      <c r="J264" s="43" t="str">
        <f aca="false">IF(OR($A264="",$C264=""),"",$H264/$I264)</f>
        <v/>
      </c>
      <c r="K264" s="34" t="str">
        <f aca="false">IF(OR($A264="",$C264=""),"",SUMIFS(VENTAS!$E$6:$E$2005,VENTAS!$C$6:$C$2005,$A264))</f>
        <v/>
      </c>
      <c r="L264" s="45" t="str">
        <f aca="false">IF(OR($A264="",$C264=""),"",IFERROR(N($F264)/INDEX(INSUMOS!$I$6:$I$205,MATCH($C264,INSUMOS!$A$6:$A$205,0)),N($F264))/$I264*$K264)</f>
        <v/>
      </c>
      <c r="M264" s="8" t="str">
        <f aca="false">IF($A264="","",COUNTIF($A$6:$A264,$A264))</f>
        <v/>
      </c>
      <c r="N264" s="8" t="str">
        <f aca="false">IF($A264="","",$A264&amp;"|"&amp;$M264)</f>
        <v/>
      </c>
    </row>
    <row r="265" customFormat="false" ht="15" hidden="false" customHeight="false" outlineLevel="0" collapsed="false">
      <c r="A265" s="6"/>
      <c r="B265" s="8" t="str">
        <f aca="false">IF($A265="","",IFERROR(INDEX(PRODUCTOS!$B$6:$B$105,MATCH($A265,PRODUCTOS!$A$6:$A$105,0)),"¿Código?"))</f>
        <v/>
      </c>
      <c r="C265" s="6"/>
      <c r="D265" s="8" t="str">
        <f aca="false">IF($C265="","",IFERROR(INDEX(INSUMOS!$B$6:$B$205,MATCH($C265,INSUMOS!$A$6:$A$205,0)),"¿Código?"))</f>
        <v/>
      </c>
      <c r="E265" s="8" t="str">
        <f aca="false">IF($C265="","",IFERROR(INDEX(INSUMOS!$D$6:$D$205,MATCH($C265,INSUMOS!$A$6:$A$205,0)),""))</f>
        <v/>
      </c>
      <c r="F265" s="39"/>
      <c r="G265" s="43" t="str">
        <f aca="false">IF(OR($A265="",$C265=""),"",IFERROR(INDEX(INSUMOS!$P$6:$P$205,MATCH($C265,INSUMOS!$A$6:$A$205,0)),0))</f>
        <v/>
      </c>
      <c r="H265" s="43" t="str">
        <f aca="false">IF(OR($A265="",$C265=""),"",N($F265)*$G265)</f>
        <v/>
      </c>
      <c r="I265" s="34" t="str">
        <f aca="false">IF(OR($A265="",$C265=""),"",IFERROR(MAX(1,INDEX(PRODUCTOS!$G$6:$G$105,MATCH($A265,PRODUCTOS!$A$6:$A$105,0))),1))</f>
        <v/>
      </c>
      <c r="J265" s="43" t="str">
        <f aca="false">IF(OR($A265="",$C265=""),"",$H265/$I265)</f>
        <v/>
      </c>
      <c r="K265" s="34" t="str">
        <f aca="false">IF(OR($A265="",$C265=""),"",SUMIFS(VENTAS!$E$6:$E$2005,VENTAS!$C$6:$C$2005,$A265))</f>
        <v/>
      </c>
      <c r="L265" s="45" t="str">
        <f aca="false">IF(OR($A265="",$C265=""),"",IFERROR(N($F265)/INDEX(INSUMOS!$I$6:$I$205,MATCH($C265,INSUMOS!$A$6:$A$205,0)),N($F265))/$I265*$K265)</f>
        <v/>
      </c>
      <c r="M265" s="8" t="str">
        <f aca="false">IF($A265="","",COUNTIF($A$6:$A265,$A265))</f>
        <v/>
      </c>
      <c r="N265" s="8" t="str">
        <f aca="false">IF($A265="","",$A265&amp;"|"&amp;$M265)</f>
        <v/>
      </c>
    </row>
    <row r="266" customFormat="false" ht="15" hidden="false" customHeight="false" outlineLevel="0" collapsed="false">
      <c r="A266" s="6"/>
      <c r="B266" s="8" t="str">
        <f aca="false">IF($A266="","",IFERROR(INDEX(PRODUCTOS!$B$6:$B$105,MATCH($A266,PRODUCTOS!$A$6:$A$105,0)),"¿Código?"))</f>
        <v/>
      </c>
      <c r="C266" s="6"/>
      <c r="D266" s="8" t="str">
        <f aca="false">IF($C266="","",IFERROR(INDEX(INSUMOS!$B$6:$B$205,MATCH($C266,INSUMOS!$A$6:$A$205,0)),"¿Código?"))</f>
        <v/>
      </c>
      <c r="E266" s="8" t="str">
        <f aca="false">IF($C266="","",IFERROR(INDEX(INSUMOS!$D$6:$D$205,MATCH($C266,INSUMOS!$A$6:$A$205,0)),""))</f>
        <v/>
      </c>
      <c r="F266" s="39"/>
      <c r="G266" s="43" t="str">
        <f aca="false">IF(OR($A266="",$C266=""),"",IFERROR(INDEX(INSUMOS!$P$6:$P$205,MATCH($C266,INSUMOS!$A$6:$A$205,0)),0))</f>
        <v/>
      </c>
      <c r="H266" s="43" t="str">
        <f aca="false">IF(OR($A266="",$C266=""),"",N($F266)*$G266)</f>
        <v/>
      </c>
      <c r="I266" s="34" t="str">
        <f aca="false">IF(OR($A266="",$C266=""),"",IFERROR(MAX(1,INDEX(PRODUCTOS!$G$6:$G$105,MATCH($A266,PRODUCTOS!$A$6:$A$105,0))),1))</f>
        <v/>
      </c>
      <c r="J266" s="43" t="str">
        <f aca="false">IF(OR($A266="",$C266=""),"",$H266/$I266)</f>
        <v/>
      </c>
      <c r="K266" s="34" t="str">
        <f aca="false">IF(OR($A266="",$C266=""),"",SUMIFS(VENTAS!$E$6:$E$2005,VENTAS!$C$6:$C$2005,$A266))</f>
        <v/>
      </c>
      <c r="L266" s="45" t="str">
        <f aca="false">IF(OR($A266="",$C266=""),"",IFERROR(N($F266)/INDEX(INSUMOS!$I$6:$I$205,MATCH($C266,INSUMOS!$A$6:$A$205,0)),N($F266))/$I266*$K266)</f>
        <v/>
      </c>
      <c r="M266" s="8" t="str">
        <f aca="false">IF($A266="","",COUNTIF($A$6:$A266,$A266))</f>
        <v/>
      </c>
      <c r="N266" s="8" t="str">
        <f aca="false">IF($A266="","",$A266&amp;"|"&amp;$M266)</f>
        <v/>
      </c>
    </row>
    <row r="267" customFormat="false" ht="15" hidden="false" customHeight="false" outlineLevel="0" collapsed="false">
      <c r="A267" s="6"/>
      <c r="B267" s="8" t="str">
        <f aca="false">IF($A267="","",IFERROR(INDEX(PRODUCTOS!$B$6:$B$105,MATCH($A267,PRODUCTOS!$A$6:$A$105,0)),"¿Código?"))</f>
        <v/>
      </c>
      <c r="C267" s="6"/>
      <c r="D267" s="8" t="str">
        <f aca="false">IF($C267="","",IFERROR(INDEX(INSUMOS!$B$6:$B$205,MATCH($C267,INSUMOS!$A$6:$A$205,0)),"¿Código?"))</f>
        <v/>
      </c>
      <c r="E267" s="8" t="str">
        <f aca="false">IF($C267="","",IFERROR(INDEX(INSUMOS!$D$6:$D$205,MATCH($C267,INSUMOS!$A$6:$A$205,0)),""))</f>
        <v/>
      </c>
      <c r="F267" s="39"/>
      <c r="G267" s="43" t="str">
        <f aca="false">IF(OR($A267="",$C267=""),"",IFERROR(INDEX(INSUMOS!$P$6:$P$205,MATCH($C267,INSUMOS!$A$6:$A$205,0)),0))</f>
        <v/>
      </c>
      <c r="H267" s="43" t="str">
        <f aca="false">IF(OR($A267="",$C267=""),"",N($F267)*$G267)</f>
        <v/>
      </c>
      <c r="I267" s="34" t="str">
        <f aca="false">IF(OR($A267="",$C267=""),"",IFERROR(MAX(1,INDEX(PRODUCTOS!$G$6:$G$105,MATCH($A267,PRODUCTOS!$A$6:$A$105,0))),1))</f>
        <v/>
      </c>
      <c r="J267" s="43" t="str">
        <f aca="false">IF(OR($A267="",$C267=""),"",$H267/$I267)</f>
        <v/>
      </c>
      <c r="K267" s="34" t="str">
        <f aca="false">IF(OR($A267="",$C267=""),"",SUMIFS(VENTAS!$E$6:$E$2005,VENTAS!$C$6:$C$2005,$A267))</f>
        <v/>
      </c>
      <c r="L267" s="45" t="str">
        <f aca="false">IF(OR($A267="",$C267=""),"",IFERROR(N($F267)/INDEX(INSUMOS!$I$6:$I$205,MATCH($C267,INSUMOS!$A$6:$A$205,0)),N($F267))/$I267*$K267)</f>
        <v/>
      </c>
      <c r="M267" s="8" t="str">
        <f aca="false">IF($A267="","",COUNTIF($A$6:$A267,$A267))</f>
        <v/>
      </c>
      <c r="N267" s="8" t="str">
        <f aca="false">IF($A267="","",$A267&amp;"|"&amp;$M267)</f>
        <v/>
      </c>
    </row>
    <row r="268" customFormat="false" ht="15" hidden="false" customHeight="false" outlineLevel="0" collapsed="false">
      <c r="A268" s="6"/>
      <c r="B268" s="8" t="str">
        <f aca="false">IF($A268="","",IFERROR(INDEX(PRODUCTOS!$B$6:$B$105,MATCH($A268,PRODUCTOS!$A$6:$A$105,0)),"¿Código?"))</f>
        <v/>
      </c>
      <c r="C268" s="6"/>
      <c r="D268" s="8" t="str">
        <f aca="false">IF($C268="","",IFERROR(INDEX(INSUMOS!$B$6:$B$205,MATCH($C268,INSUMOS!$A$6:$A$205,0)),"¿Código?"))</f>
        <v/>
      </c>
      <c r="E268" s="8" t="str">
        <f aca="false">IF($C268="","",IFERROR(INDEX(INSUMOS!$D$6:$D$205,MATCH($C268,INSUMOS!$A$6:$A$205,0)),""))</f>
        <v/>
      </c>
      <c r="F268" s="39"/>
      <c r="G268" s="43" t="str">
        <f aca="false">IF(OR($A268="",$C268=""),"",IFERROR(INDEX(INSUMOS!$P$6:$P$205,MATCH($C268,INSUMOS!$A$6:$A$205,0)),0))</f>
        <v/>
      </c>
      <c r="H268" s="43" t="str">
        <f aca="false">IF(OR($A268="",$C268=""),"",N($F268)*$G268)</f>
        <v/>
      </c>
      <c r="I268" s="34" t="str">
        <f aca="false">IF(OR($A268="",$C268=""),"",IFERROR(MAX(1,INDEX(PRODUCTOS!$G$6:$G$105,MATCH($A268,PRODUCTOS!$A$6:$A$105,0))),1))</f>
        <v/>
      </c>
      <c r="J268" s="43" t="str">
        <f aca="false">IF(OR($A268="",$C268=""),"",$H268/$I268)</f>
        <v/>
      </c>
      <c r="K268" s="34" t="str">
        <f aca="false">IF(OR($A268="",$C268=""),"",SUMIFS(VENTAS!$E$6:$E$2005,VENTAS!$C$6:$C$2005,$A268))</f>
        <v/>
      </c>
      <c r="L268" s="45" t="str">
        <f aca="false">IF(OR($A268="",$C268=""),"",IFERROR(N($F268)/INDEX(INSUMOS!$I$6:$I$205,MATCH($C268,INSUMOS!$A$6:$A$205,0)),N($F268))/$I268*$K268)</f>
        <v/>
      </c>
      <c r="M268" s="8" t="str">
        <f aca="false">IF($A268="","",COUNTIF($A$6:$A268,$A268))</f>
        <v/>
      </c>
      <c r="N268" s="8" t="str">
        <f aca="false">IF($A268="","",$A268&amp;"|"&amp;$M268)</f>
        <v/>
      </c>
    </row>
    <row r="269" customFormat="false" ht="15" hidden="false" customHeight="false" outlineLevel="0" collapsed="false">
      <c r="A269" s="6"/>
      <c r="B269" s="8" t="str">
        <f aca="false">IF($A269="","",IFERROR(INDEX(PRODUCTOS!$B$6:$B$105,MATCH($A269,PRODUCTOS!$A$6:$A$105,0)),"¿Código?"))</f>
        <v/>
      </c>
      <c r="C269" s="6"/>
      <c r="D269" s="8" t="str">
        <f aca="false">IF($C269="","",IFERROR(INDEX(INSUMOS!$B$6:$B$205,MATCH($C269,INSUMOS!$A$6:$A$205,0)),"¿Código?"))</f>
        <v/>
      </c>
      <c r="E269" s="8" t="str">
        <f aca="false">IF($C269="","",IFERROR(INDEX(INSUMOS!$D$6:$D$205,MATCH($C269,INSUMOS!$A$6:$A$205,0)),""))</f>
        <v/>
      </c>
      <c r="F269" s="39"/>
      <c r="G269" s="43" t="str">
        <f aca="false">IF(OR($A269="",$C269=""),"",IFERROR(INDEX(INSUMOS!$P$6:$P$205,MATCH($C269,INSUMOS!$A$6:$A$205,0)),0))</f>
        <v/>
      </c>
      <c r="H269" s="43" t="str">
        <f aca="false">IF(OR($A269="",$C269=""),"",N($F269)*$G269)</f>
        <v/>
      </c>
      <c r="I269" s="34" t="str">
        <f aca="false">IF(OR($A269="",$C269=""),"",IFERROR(MAX(1,INDEX(PRODUCTOS!$G$6:$G$105,MATCH($A269,PRODUCTOS!$A$6:$A$105,0))),1))</f>
        <v/>
      </c>
      <c r="J269" s="43" t="str">
        <f aca="false">IF(OR($A269="",$C269=""),"",$H269/$I269)</f>
        <v/>
      </c>
      <c r="K269" s="34" t="str">
        <f aca="false">IF(OR($A269="",$C269=""),"",SUMIFS(VENTAS!$E$6:$E$2005,VENTAS!$C$6:$C$2005,$A269))</f>
        <v/>
      </c>
      <c r="L269" s="45" t="str">
        <f aca="false">IF(OR($A269="",$C269=""),"",IFERROR(N($F269)/INDEX(INSUMOS!$I$6:$I$205,MATCH($C269,INSUMOS!$A$6:$A$205,0)),N($F269))/$I269*$K269)</f>
        <v/>
      </c>
      <c r="M269" s="8" t="str">
        <f aca="false">IF($A269="","",COUNTIF($A$6:$A269,$A269))</f>
        <v/>
      </c>
      <c r="N269" s="8" t="str">
        <f aca="false">IF($A269="","",$A269&amp;"|"&amp;$M269)</f>
        <v/>
      </c>
    </row>
    <row r="270" customFormat="false" ht="15" hidden="false" customHeight="false" outlineLevel="0" collapsed="false">
      <c r="A270" s="6"/>
      <c r="B270" s="8" t="str">
        <f aca="false">IF($A270="","",IFERROR(INDEX(PRODUCTOS!$B$6:$B$105,MATCH($A270,PRODUCTOS!$A$6:$A$105,0)),"¿Código?"))</f>
        <v/>
      </c>
      <c r="C270" s="6"/>
      <c r="D270" s="8" t="str">
        <f aca="false">IF($C270="","",IFERROR(INDEX(INSUMOS!$B$6:$B$205,MATCH($C270,INSUMOS!$A$6:$A$205,0)),"¿Código?"))</f>
        <v/>
      </c>
      <c r="E270" s="8" t="str">
        <f aca="false">IF($C270="","",IFERROR(INDEX(INSUMOS!$D$6:$D$205,MATCH($C270,INSUMOS!$A$6:$A$205,0)),""))</f>
        <v/>
      </c>
      <c r="F270" s="39"/>
      <c r="G270" s="43" t="str">
        <f aca="false">IF(OR($A270="",$C270=""),"",IFERROR(INDEX(INSUMOS!$P$6:$P$205,MATCH($C270,INSUMOS!$A$6:$A$205,0)),0))</f>
        <v/>
      </c>
      <c r="H270" s="43" t="str">
        <f aca="false">IF(OR($A270="",$C270=""),"",N($F270)*$G270)</f>
        <v/>
      </c>
      <c r="I270" s="34" t="str">
        <f aca="false">IF(OR($A270="",$C270=""),"",IFERROR(MAX(1,INDEX(PRODUCTOS!$G$6:$G$105,MATCH($A270,PRODUCTOS!$A$6:$A$105,0))),1))</f>
        <v/>
      </c>
      <c r="J270" s="43" t="str">
        <f aca="false">IF(OR($A270="",$C270=""),"",$H270/$I270)</f>
        <v/>
      </c>
      <c r="K270" s="34" t="str">
        <f aca="false">IF(OR($A270="",$C270=""),"",SUMIFS(VENTAS!$E$6:$E$2005,VENTAS!$C$6:$C$2005,$A270))</f>
        <v/>
      </c>
      <c r="L270" s="45" t="str">
        <f aca="false">IF(OR($A270="",$C270=""),"",IFERROR(N($F270)/INDEX(INSUMOS!$I$6:$I$205,MATCH($C270,INSUMOS!$A$6:$A$205,0)),N($F270))/$I270*$K270)</f>
        <v/>
      </c>
      <c r="M270" s="8" t="str">
        <f aca="false">IF($A270="","",COUNTIF($A$6:$A270,$A270))</f>
        <v/>
      </c>
      <c r="N270" s="8" t="str">
        <f aca="false">IF($A270="","",$A270&amp;"|"&amp;$M270)</f>
        <v/>
      </c>
    </row>
    <row r="271" customFormat="false" ht="15" hidden="false" customHeight="false" outlineLevel="0" collapsed="false">
      <c r="A271" s="6"/>
      <c r="B271" s="8" t="str">
        <f aca="false">IF($A271="","",IFERROR(INDEX(PRODUCTOS!$B$6:$B$105,MATCH($A271,PRODUCTOS!$A$6:$A$105,0)),"¿Código?"))</f>
        <v/>
      </c>
      <c r="C271" s="6"/>
      <c r="D271" s="8" t="str">
        <f aca="false">IF($C271="","",IFERROR(INDEX(INSUMOS!$B$6:$B$205,MATCH($C271,INSUMOS!$A$6:$A$205,0)),"¿Código?"))</f>
        <v/>
      </c>
      <c r="E271" s="8" t="str">
        <f aca="false">IF($C271="","",IFERROR(INDEX(INSUMOS!$D$6:$D$205,MATCH($C271,INSUMOS!$A$6:$A$205,0)),""))</f>
        <v/>
      </c>
      <c r="F271" s="39"/>
      <c r="G271" s="43" t="str">
        <f aca="false">IF(OR($A271="",$C271=""),"",IFERROR(INDEX(INSUMOS!$P$6:$P$205,MATCH($C271,INSUMOS!$A$6:$A$205,0)),0))</f>
        <v/>
      </c>
      <c r="H271" s="43" t="str">
        <f aca="false">IF(OR($A271="",$C271=""),"",N($F271)*$G271)</f>
        <v/>
      </c>
      <c r="I271" s="34" t="str">
        <f aca="false">IF(OR($A271="",$C271=""),"",IFERROR(MAX(1,INDEX(PRODUCTOS!$G$6:$G$105,MATCH($A271,PRODUCTOS!$A$6:$A$105,0))),1))</f>
        <v/>
      </c>
      <c r="J271" s="43" t="str">
        <f aca="false">IF(OR($A271="",$C271=""),"",$H271/$I271)</f>
        <v/>
      </c>
      <c r="K271" s="34" t="str">
        <f aca="false">IF(OR($A271="",$C271=""),"",SUMIFS(VENTAS!$E$6:$E$2005,VENTAS!$C$6:$C$2005,$A271))</f>
        <v/>
      </c>
      <c r="L271" s="45" t="str">
        <f aca="false">IF(OR($A271="",$C271=""),"",IFERROR(N($F271)/INDEX(INSUMOS!$I$6:$I$205,MATCH($C271,INSUMOS!$A$6:$A$205,0)),N($F271))/$I271*$K271)</f>
        <v/>
      </c>
      <c r="M271" s="8" t="str">
        <f aca="false">IF($A271="","",COUNTIF($A$6:$A271,$A271))</f>
        <v/>
      </c>
      <c r="N271" s="8" t="str">
        <f aca="false">IF($A271="","",$A271&amp;"|"&amp;$M271)</f>
        <v/>
      </c>
    </row>
    <row r="272" customFormat="false" ht="15" hidden="false" customHeight="false" outlineLevel="0" collapsed="false">
      <c r="A272" s="6"/>
      <c r="B272" s="8" t="str">
        <f aca="false">IF($A272="","",IFERROR(INDEX(PRODUCTOS!$B$6:$B$105,MATCH($A272,PRODUCTOS!$A$6:$A$105,0)),"¿Código?"))</f>
        <v/>
      </c>
      <c r="C272" s="6"/>
      <c r="D272" s="8" t="str">
        <f aca="false">IF($C272="","",IFERROR(INDEX(INSUMOS!$B$6:$B$205,MATCH($C272,INSUMOS!$A$6:$A$205,0)),"¿Código?"))</f>
        <v/>
      </c>
      <c r="E272" s="8" t="str">
        <f aca="false">IF($C272="","",IFERROR(INDEX(INSUMOS!$D$6:$D$205,MATCH($C272,INSUMOS!$A$6:$A$205,0)),""))</f>
        <v/>
      </c>
      <c r="F272" s="39"/>
      <c r="G272" s="43" t="str">
        <f aca="false">IF(OR($A272="",$C272=""),"",IFERROR(INDEX(INSUMOS!$P$6:$P$205,MATCH($C272,INSUMOS!$A$6:$A$205,0)),0))</f>
        <v/>
      </c>
      <c r="H272" s="43" t="str">
        <f aca="false">IF(OR($A272="",$C272=""),"",N($F272)*$G272)</f>
        <v/>
      </c>
      <c r="I272" s="34" t="str">
        <f aca="false">IF(OR($A272="",$C272=""),"",IFERROR(MAX(1,INDEX(PRODUCTOS!$G$6:$G$105,MATCH($A272,PRODUCTOS!$A$6:$A$105,0))),1))</f>
        <v/>
      </c>
      <c r="J272" s="43" t="str">
        <f aca="false">IF(OR($A272="",$C272=""),"",$H272/$I272)</f>
        <v/>
      </c>
      <c r="K272" s="34" t="str">
        <f aca="false">IF(OR($A272="",$C272=""),"",SUMIFS(VENTAS!$E$6:$E$2005,VENTAS!$C$6:$C$2005,$A272))</f>
        <v/>
      </c>
      <c r="L272" s="45" t="str">
        <f aca="false">IF(OR($A272="",$C272=""),"",IFERROR(N($F272)/INDEX(INSUMOS!$I$6:$I$205,MATCH($C272,INSUMOS!$A$6:$A$205,0)),N($F272))/$I272*$K272)</f>
        <v/>
      </c>
      <c r="M272" s="8" t="str">
        <f aca="false">IF($A272="","",COUNTIF($A$6:$A272,$A272))</f>
        <v/>
      </c>
      <c r="N272" s="8" t="str">
        <f aca="false">IF($A272="","",$A272&amp;"|"&amp;$M272)</f>
        <v/>
      </c>
    </row>
    <row r="273" customFormat="false" ht="15" hidden="false" customHeight="false" outlineLevel="0" collapsed="false">
      <c r="A273" s="6"/>
      <c r="B273" s="8" t="str">
        <f aca="false">IF($A273="","",IFERROR(INDEX(PRODUCTOS!$B$6:$B$105,MATCH($A273,PRODUCTOS!$A$6:$A$105,0)),"¿Código?"))</f>
        <v/>
      </c>
      <c r="C273" s="6"/>
      <c r="D273" s="8" t="str">
        <f aca="false">IF($C273="","",IFERROR(INDEX(INSUMOS!$B$6:$B$205,MATCH($C273,INSUMOS!$A$6:$A$205,0)),"¿Código?"))</f>
        <v/>
      </c>
      <c r="E273" s="8" t="str">
        <f aca="false">IF($C273="","",IFERROR(INDEX(INSUMOS!$D$6:$D$205,MATCH($C273,INSUMOS!$A$6:$A$205,0)),""))</f>
        <v/>
      </c>
      <c r="F273" s="39"/>
      <c r="G273" s="43" t="str">
        <f aca="false">IF(OR($A273="",$C273=""),"",IFERROR(INDEX(INSUMOS!$P$6:$P$205,MATCH($C273,INSUMOS!$A$6:$A$205,0)),0))</f>
        <v/>
      </c>
      <c r="H273" s="43" t="str">
        <f aca="false">IF(OR($A273="",$C273=""),"",N($F273)*$G273)</f>
        <v/>
      </c>
      <c r="I273" s="34" t="str">
        <f aca="false">IF(OR($A273="",$C273=""),"",IFERROR(MAX(1,INDEX(PRODUCTOS!$G$6:$G$105,MATCH($A273,PRODUCTOS!$A$6:$A$105,0))),1))</f>
        <v/>
      </c>
      <c r="J273" s="43" t="str">
        <f aca="false">IF(OR($A273="",$C273=""),"",$H273/$I273)</f>
        <v/>
      </c>
      <c r="K273" s="34" t="str">
        <f aca="false">IF(OR($A273="",$C273=""),"",SUMIFS(VENTAS!$E$6:$E$2005,VENTAS!$C$6:$C$2005,$A273))</f>
        <v/>
      </c>
      <c r="L273" s="45" t="str">
        <f aca="false">IF(OR($A273="",$C273=""),"",IFERROR(N($F273)/INDEX(INSUMOS!$I$6:$I$205,MATCH($C273,INSUMOS!$A$6:$A$205,0)),N($F273))/$I273*$K273)</f>
        <v/>
      </c>
      <c r="M273" s="8" t="str">
        <f aca="false">IF($A273="","",COUNTIF($A$6:$A273,$A273))</f>
        <v/>
      </c>
      <c r="N273" s="8" t="str">
        <f aca="false">IF($A273="","",$A273&amp;"|"&amp;$M273)</f>
        <v/>
      </c>
    </row>
    <row r="274" customFormat="false" ht="15" hidden="false" customHeight="false" outlineLevel="0" collapsed="false">
      <c r="A274" s="6"/>
      <c r="B274" s="8" t="str">
        <f aca="false">IF($A274="","",IFERROR(INDEX(PRODUCTOS!$B$6:$B$105,MATCH($A274,PRODUCTOS!$A$6:$A$105,0)),"¿Código?"))</f>
        <v/>
      </c>
      <c r="C274" s="6"/>
      <c r="D274" s="8" t="str">
        <f aca="false">IF($C274="","",IFERROR(INDEX(INSUMOS!$B$6:$B$205,MATCH($C274,INSUMOS!$A$6:$A$205,0)),"¿Código?"))</f>
        <v/>
      </c>
      <c r="E274" s="8" t="str">
        <f aca="false">IF($C274="","",IFERROR(INDEX(INSUMOS!$D$6:$D$205,MATCH($C274,INSUMOS!$A$6:$A$205,0)),""))</f>
        <v/>
      </c>
      <c r="F274" s="39"/>
      <c r="G274" s="43" t="str">
        <f aca="false">IF(OR($A274="",$C274=""),"",IFERROR(INDEX(INSUMOS!$P$6:$P$205,MATCH($C274,INSUMOS!$A$6:$A$205,0)),0))</f>
        <v/>
      </c>
      <c r="H274" s="43" t="str">
        <f aca="false">IF(OR($A274="",$C274=""),"",N($F274)*$G274)</f>
        <v/>
      </c>
      <c r="I274" s="34" t="str">
        <f aca="false">IF(OR($A274="",$C274=""),"",IFERROR(MAX(1,INDEX(PRODUCTOS!$G$6:$G$105,MATCH($A274,PRODUCTOS!$A$6:$A$105,0))),1))</f>
        <v/>
      </c>
      <c r="J274" s="43" t="str">
        <f aca="false">IF(OR($A274="",$C274=""),"",$H274/$I274)</f>
        <v/>
      </c>
      <c r="K274" s="34" t="str">
        <f aca="false">IF(OR($A274="",$C274=""),"",SUMIFS(VENTAS!$E$6:$E$2005,VENTAS!$C$6:$C$2005,$A274))</f>
        <v/>
      </c>
      <c r="L274" s="45" t="str">
        <f aca="false">IF(OR($A274="",$C274=""),"",IFERROR(N($F274)/INDEX(INSUMOS!$I$6:$I$205,MATCH($C274,INSUMOS!$A$6:$A$205,0)),N($F274))/$I274*$K274)</f>
        <v/>
      </c>
      <c r="M274" s="8" t="str">
        <f aca="false">IF($A274="","",COUNTIF($A$6:$A274,$A274))</f>
        <v/>
      </c>
      <c r="N274" s="8" t="str">
        <f aca="false">IF($A274="","",$A274&amp;"|"&amp;$M274)</f>
        <v/>
      </c>
    </row>
    <row r="275" customFormat="false" ht="15" hidden="false" customHeight="false" outlineLevel="0" collapsed="false">
      <c r="A275" s="6"/>
      <c r="B275" s="8" t="str">
        <f aca="false">IF($A275="","",IFERROR(INDEX(PRODUCTOS!$B$6:$B$105,MATCH($A275,PRODUCTOS!$A$6:$A$105,0)),"¿Código?"))</f>
        <v/>
      </c>
      <c r="C275" s="6"/>
      <c r="D275" s="8" t="str">
        <f aca="false">IF($C275="","",IFERROR(INDEX(INSUMOS!$B$6:$B$205,MATCH($C275,INSUMOS!$A$6:$A$205,0)),"¿Código?"))</f>
        <v/>
      </c>
      <c r="E275" s="8" t="str">
        <f aca="false">IF($C275="","",IFERROR(INDEX(INSUMOS!$D$6:$D$205,MATCH($C275,INSUMOS!$A$6:$A$205,0)),""))</f>
        <v/>
      </c>
      <c r="F275" s="39"/>
      <c r="G275" s="43" t="str">
        <f aca="false">IF(OR($A275="",$C275=""),"",IFERROR(INDEX(INSUMOS!$P$6:$P$205,MATCH($C275,INSUMOS!$A$6:$A$205,0)),0))</f>
        <v/>
      </c>
      <c r="H275" s="43" t="str">
        <f aca="false">IF(OR($A275="",$C275=""),"",N($F275)*$G275)</f>
        <v/>
      </c>
      <c r="I275" s="34" t="str">
        <f aca="false">IF(OR($A275="",$C275=""),"",IFERROR(MAX(1,INDEX(PRODUCTOS!$G$6:$G$105,MATCH($A275,PRODUCTOS!$A$6:$A$105,0))),1))</f>
        <v/>
      </c>
      <c r="J275" s="43" t="str">
        <f aca="false">IF(OR($A275="",$C275=""),"",$H275/$I275)</f>
        <v/>
      </c>
      <c r="K275" s="34" t="str">
        <f aca="false">IF(OR($A275="",$C275=""),"",SUMIFS(VENTAS!$E$6:$E$2005,VENTAS!$C$6:$C$2005,$A275))</f>
        <v/>
      </c>
      <c r="L275" s="45" t="str">
        <f aca="false">IF(OR($A275="",$C275=""),"",IFERROR(N($F275)/INDEX(INSUMOS!$I$6:$I$205,MATCH($C275,INSUMOS!$A$6:$A$205,0)),N($F275))/$I275*$K275)</f>
        <v/>
      </c>
      <c r="M275" s="8" t="str">
        <f aca="false">IF($A275="","",COUNTIF($A$6:$A275,$A275))</f>
        <v/>
      </c>
      <c r="N275" s="8" t="str">
        <f aca="false">IF($A275="","",$A275&amp;"|"&amp;$M275)</f>
        <v/>
      </c>
    </row>
    <row r="276" customFormat="false" ht="15" hidden="false" customHeight="false" outlineLevel="0" collapsed="false">
      <c r="A276" s="6"/>
      <c r="B276" s="8" t="str">
        <f aca="false">IF($A276="","",IFERROR(INDEX(PRODUCTOS!$B$6:$B$105,MATCH($A276,PRODUCTOS!$A$6:$A$105,0)),"¿Código?"))</f>
        <v/>
      </c>
      <c r="C276" s="6"/>
      <c r="D276" s="8" t="str">
        <f aca="false">IF($C276="","",IFERROR(INDEX(INSUMOS!$B$6:$B$205,MATCH($C276,INSUMOS!$A$6:$A$205,0)),"¿Código?"))</f>
        <v/>
      </c>
      <c r="E276" s="8" t="str">
        <f aca="false">IF($C276="","",IFERROR(INDEX(INSUMOS!$D$6:$D$205,MATCH($C276,INSUMOS!$A$6:$A$205,0)),""))</f>
        <v/>
      </c>
      <c r="F276" s="39"/>
      <c r="G276" s="43" t="str">
        <f aca="false">IF(OR($A276="",$C276=""),"",IFERROR(INDEX(INSUMOS!$P$6:$P$205,MATCH($C276,INSUMOS!$A$6:$A$205,0)),0))</f>
        <v/>
      </c>
      <c r="H276" s="43" t="str">
        <f aca="false">IF(OR($A276="",$C276=""),"",N($F276)*$G276)</f>
        <v/>
      </c>
      <c r="I276" s="34" t="str">
        <f aca="false">IF(OR($A276="",$C276=""),"",IFERROR(MAX(1,INDEX(PRODUCTOS!$G$6:$G$105,MATCH($A276,PRODUCTOS!$A$6:$A$105,0))),1))</f>
        <v/>
      </c>
      <c r="J276" s="43" t="str">
        <f aca="false">IF(OR($A276="",$C276=""),"",$H276/$I276)</f>
        <v/>
      </c>
      <c r="K276" s="34" t="str">
        <f aca="false">IF(OR($A276="",$C276=""),"",SUMIFS(VENTAS!$E$6:$E$2005,VENTAS!$C$6:$C$2005,$A276))</f>
        <v/>
      </c>
      <c r="L276" s="45" t="str">
        <f aca="false">IF(OR($A276="",$C276=""),"",IFERROR(N($F276)/INDEX(INSUMOS!$I$6:$I$205,MATCH($C276,INSUMOS!$A$6:$A$205,0)),N($F276))/$I276*$K276)</f>
        <v/>
      </c>
      <c r="M276" s="8" t="str">
        <f aca="false">IF($A276="","",COUNTIF($A$6:$A276,$A276))</f>
        <v/>
      </c>
      <c r="N276" s="8" t="str">
        <f aca="false">IF($A276="","",$A276&amp;"|"&amp;$M276)</f>
        <v/>
      </c>
    </row>
    <row r="277" customFormat="false" ht="15" hidden="false" customHeight="false" outlineLevel="0" collapsed="false">
      <c r="A277" s="6"/>
      <c r="B277" s="8" t="str">
        <f aca="false">IF($A277="","",IFERROR(INDEX(PRODUCTOS!$B$6:$B$105,MATCH($A277,PRODUCTOS!$A$6:$A$105,0)),"¿Código?"))</f>
        <v/>
      </c>
      <c r="C277" s="6"/>
      <c r="D277" s="8" t="str">
        <f aca="false">IF($C277="","",IFERROR(INDEX(INSUMOS!$B$6:$B$205,MATCH($C277,INSUMOS!$A$6:$A$205,0)),"¿Código?"))</f>
        <v/>
      </c>
      <c r="E277" s="8" t="str">
        <f aca="false">IF($C277="","",IFERROR(INDEX(INSUMOS!$D$6:$D$205,MATCH($C277,INSUMOS!$A$6:$A$205,0)),""))</f>
        <v/>
      </c>
      <c r="F277" s="39"/>
      <c r="G277" s="43" t="str">
        <f aca="false">IF(OR($A277="",$C277=""),"",IFERROR(INDEX(INSUMOS!$P$6:$P$205,MATCH($C277,INSUMOS!$A$6:$A$205,0)),0))</f>
        <v/>
      </c>
      <c r="H277" s="43" t="str">
        <f aca="false">IF(OR($A277="",$C277=""),"",N($F277)*$G277)</f>
        <v/>
      </c>
      <c r="I277" s="34" t="str">
        <f aca="false">IF(OR($A277="",$C277=""),"",IFERROR(MAX(1,INDEX(PRODUCTOS!$G$6:$G$105,MATCH($A277,PRODUCTOS!$A$6:$A$105,0))),1))</f>
        <v/>
      </c>
      <c r="J277" s="43" t="str">
        <f aca="false">IF(OR($A277="",$C277=""),"",$H277/$I277)</f>
        <v/>
      </c>
      <c r="K277" s="34" t="str">
        <f aca="false">IF(OR($A277="",$C277=""),"",SUMIFS(VENTAS!$E$6:$E$2005,VENTAS!$C$6:$C$2005,$A277))</f>
        <v/>
      </c>
      <c r="L277" s="45" t="str">
        <f aca="false">IF(OR($A277="",$C277=""),"",IFERROR(N($F277)/INDEX(INSUMOS!$I$6:$I$205,MATCH($C277,INSUMOS!$A$6:$A$205,0)),N($F277))/$I277*$K277)</f>
        <v/>
      </c>
      <c r="M277" s="8" t="str">
        <f aca="false">IF($A277="","",COUNTIF($A$6:$A277,$A277))</f>
        <v/>
      </c>
      <c r="N277" s="8" t="str">
        <f aca="false">IF($A277="","",$A277&amp;"|"&amp;$M277)</f>
        <v/>
      </c>
    </row>
    <row r="278" customFormat="false" ht="15" hidden="false" customHeight="false" outlineLevel="0" collapsed="false">
      <c r="A278" s="6"/>
      <c r="B278" s="8" t="str">
        <f aca="false">IF($A278="","",IFERROR(INDEX(PRODUCTOS!$B$6:$B$105,MATCH($A278,PRODUCTOS!$A$6:$A$105,0)),"¿Código?"))</f>
        <v/>
      </c>
      <c r="C278" s="6"/>
      <c r="D278" s="8" t="str">
        <f aca="false">IF($C278="","",IFERROR(INDEX(INSUMOS!$B$6:$B$205,MATCH($C278,INSUMOS!$A$6:$A$205,0)),"¿Código?"))</f>
        <v/>
      </c>
      <c r="E278" s="8" t="str">
        <f aca="false">IF($C278="","",IFERROR(INDEX(INSUMOS!$D$6:$D$205,MATCH($C278,INSUMOS!$A$6:$A$205,0)),""))</f>
        <v/>
      </c>
      <c r="F278" s="39"/>
      <c r="G278" s="43" t="str">
        <f aca="false">IF(OR($A278="",$C278=""),"",IFERROR(INDEX(INSUMOS!$P$6:$P$205,MATCH($C278,INSUMOS!$A$6:$A$205,0)),0))</f>
        <v/>
      </c>
      <c r="H278" s="43" t="str">
        <f aca="false">IF(OR($A278="",$C278=""),"",N($F278)*$G278)</f>
        <v/>
      </c>
      <c r="I278" s="34" t="str">
        <f aca="false">IF(OR($A278="",$C278=""),"",IFERROR(MAX(1,INDEX(PRODUCTOS!$G$6:$G$105,MATCH($A278,PRODUCTOS!$A$6:$A$105,0))),1))</f>
        <v/>
      </c>
      <c r="J278" s="43" t="str">
        <f aca="false">IF(OR($A278="",$C278=""),"",$H278/$I278)</f>
        <v/>
      </c>
      <c r="K278" s="34" t="str">
        <f aca="false">IF(OR($A278="",$C278=""),"",SUMIFS(VENTAS!$E$6:$E$2005,VENTAS!$C$6:$C$2005,$A278))</f>
        <v/>
      </c>
      <c r="L278" s="45" t="str">
        <f aca="false">IF(OR($A278="",$C278=""),"",IFERROR(N($F278)/INDEX(INSUMOS!$I$6:$I$205,MATCH($C278,INSUMOS!$A$6:$A$205,0)),N($F278))/$I278*$K278)</f>
        <v/>
      </c>
      <c r="M278" s="8" t="str">
        <f aca="false">IF($A278="","",COUNTIF($A$6:$A278,$A278))</f>
        <v/>
      </c>
      <c r="N278" s="8" t="str">
        <f aca="false">IF($A278="","",$A278&amp;"|"&amp;$M278)</f>
        <v/>
      </c>
    </row>
    <row r="279" customFormat="false" ht="15" hidden="false" customHeight="false" outlineLevel="0" collapsed="false">
      <c r="A279" s="6"/>
      <c r="B279" s="8" t="str">
        <f aca="false">IF($A279="","",IFERROR(INDEX(PRODUCTOS!$B$6:$B$105,MATCH($A279,PRODUCTOS!$A$6:$A$105,0)),"¿Código?"))</f>
        <v/>
      </c>
      <c r="C279" s="6"/>
      <c r="D279" s="8" t="str">
        <f aca="false">IF($C279="","",IFERROR(INDEX(INSUMOS!$B$6:$B$205,MATCH($C279,INSUMOS!$A$6:$A$205,0)),"¿Código?"))</f>
        <v/>
      </c>
      <c r="E279" s="8" t="str">
        <f aca="false">IF($C279="","",IFERROR(INDEX(INSUMOS!$D$6:$D$205,MATCH($C279,INSUMOS!$A$6:$A$205,0)),""))</f>
        <v/>
      </c>
      <c r="F279" s="39"/>
      <c r="G279" s="43" t="str">
        <f aca="false">IF(OR($A279="",$C279=""),"",IFERROR(INDEX(INSUMOS!$P$6:$P$205,MATCH($C279,INSUMOS!$A$6:$A$205,0)),0))</f>
        <v/>
      </c>
      <c r="H279" s="43" t="str">
        <f aca="false">IF(OR($A279="",$C279=""),"",N($F279)*$G279)</f>
        <v/>
      </c>
      <c r="I279" s="34" t="str">
        <f aca="false">IF(OR($A279="",$C279=""),"",IFERROR(MAX(1,INDEX(PRODUCTOS!$G$6:$G$105,MATCH($A279,PRODUCTOS!$A$6:$A$105,0))),1))</f>
        <v/>
      </c>
      <c r="J279" s="43" t="str">
        <f aca="false">IF(OR($A279="",$C279=""),"",$H279/$I279)</f>
        <v/>
      </c>
      <c r="K279" s="34" t="str">
        <f aca="false">IF(OR($A279="",$C279=""),"",SUMIFS(VENTAS!$E$6:$E$2005,VENTAS!$C$6:$C$2005,$A279))</f>
        <v/>
      </c>
      <c r="L279" s="45" t="str">
        <f aca="false">IF(OR($A279="",$C279=""),"",IFERROR(N($F279)/INDEX(INSUMOS!$I$6:$I$205,MATCH($C279,INSUMOS!$A$6:$A$205,0)),N($F279))/$I279*$K279)</f>
        <v/>
      </c>
      <c r="M279" s="8" t="str">
        <f aca="false">IF($A279="","",COUNTIF($A$6:$A279,$A279))</f>
        <v/>
      </c>
      <c r="N279" s="8" t="str">
        <f aca="false">IF($A279="","",$A279&amp;"|"&amp;$M279)</f>
        <v/>
      </c>
    </row>
    <row r="280" customFormat="false" ht="15" hidden="false" customHeight="false" outlineLevel="0" collapsed="false">
      <c r="A280" s="6"/>
      <c r="B280" s="8" t="str">
        <f aca="false">IF($A280="","",IFERROR(INDEX(PRODUCTOS!$B$6:$B$105,MATCH($A280,PRODUCTOS!$A$6:$A$105,0)),"¿Código?"))</f>
        <v/>
      </c>
      <c r="C280" s="6"/>
      <c r="D280" s="8" t="str">
        <f aca="false">IF($C280="","",IFERROR(INDEX(INSUMOS!$B$6:$B$205,MATCH($C280,INSUMOS!$A$6:$A$205,0)),"¿Código?"))</f>
        <v/>
      </c>
      <c r="E280" s="8" t="str">
        <f aca="false">IF($C280="","",IFERROR(INDEX(INSUMOS!$D$6:$D$205,MATCH($C280,INSUMOS!$A$6:$A$205,0)),""))</f>
        <v/>
      </c>
      <c r="F280" s="39"/>
      <c r="G280" s="43" t="str">
        <f aca="false">IF(OR($A280="",$C280=""),"",IFERROR(INDEX(INSUMOS!$P$6:$P$205,MATCH($C280,INSUMOS!$A$6:$A$205,0)),0))</f>
        <v/>
      </c>
      <c r="H280" s="43" t="str">
        <f aca="false">IF(OR($A280="",$C280=""),"",N($F280)*$G280)</f>
        <v/>
      </c>
      <c r="I280" s="34" t="str">
        <f aca="false">IF(OR($A280="",$C280=""),"",IFERROR(MAX(1,INDEX(PRODUCTOS!$G$6:$G$105,MATCH($A280,PRODUCTOS!$A$6:$A$105,0))),1))</f>
        <v/>
      </c>
      <c r="J280" s="43" t="str">
        <f aca="false">IF(OR($A280="",$C280=""),"",$H280/$I280)</f>
        <v/>
      </c>
      <c r="K280" s="34" t="str">
        <f aca="false">IF(OR($A280="",$C280=""),"",SUMIFS(VENTAS!$E$6:$E$2005,VENTAS!$C$6:$C$2005,$A280))</f>
        <v/>
      </c>
      <c r="L280" s="45" t="str">
        <f aca="false">IF(OR($A280="",$C280=""),"",IFERROR(N($F280)/INDEX(INSUMOS!$I$6:$I$205,MATCH($C280,INSUMOS!$A$6:$A$205,0)),N($F280))/$I280*$K280)</f>
        <v/>
      </c>
      <c r="M280" s="8" t="str">
        <f aca="false">IF($A280="","",COUNTIF($A$6:$A280,$A280))</f>
        <v/>
      </c>
      <c r="N280" s="8" t="str">
        <f aca="false">IF($A280="","",$A280&amp;"|"&amp;$M280)</f>
        <v/>
      </c>
    </row>
    <row r="281" customFormat="false" ht="15" hidden="false" customHeight="false" outlineLevel="0" collapsed="false">
      <c r="A281" s="6"/>
      <c r="B281" s="8" t="str">
        <f aca="false">IF($A281="","",IFERROR(INDEX(PRODUCTOS!$B$6:$B$105,MATCH($A281,PRODUCTOS!$A$6:$A$105,0)),"¿Código?"))</f>
        <v/>
      </c>
      <c r="C281" s="6"/>
      <c r="D281" s="8" t="str">
        <f aca="false">IF($C281="","",IFERROR(INDEX(INSUMOS!$B$6:$B$205,MATCH($C281,INSUMOS!$A$6:$A$205,0)),"¿Código?"))</f>
        <v/>
      </c>
      <c r="E281" s="8" t="str">
        <f aca="false">IF($C281="","",IFERROR(INDEX(INSUMOS!$D$6:$D$205,MATCH($C281,INSUMOS!$A$6:$A$205,0)),""))</f>
        <v/>
      </c>
      <c r="F281" s="39"/>
      <c r="G281" s="43" t="str">
        <f aca="false">IF(OR($A281="",$C281=""),"",IFERROR(INDEX(INSUMOS!$P$6:$P$205,MATCH($C281,INSUMOS!$A$6:$A$205,0)),0))</f>
        <v/>
      </c>
      <c r="H281" s="43" t="str">
        <f aca="false">IF(OR($A281="",$C281=""),"",N($F281)*$G281)</f>
        <v/>
      </c>
      <c r="I281" s="34" t="str">
        <f aca="false">IF(OR($A281="",$C281=""),"",IFERROR(MAX(1,INDEX(PRODUCTOS!$G$6:$G$105,MATCH($A281,PRODUCTOS!$A$6:$A$105,0))),1))</f>
        <v/>
      </c>
      <c r="J281" s="43" t="str">
        <f aca="false">IF(OR($A281="",$C281=""),"",$H281/$I281)</f>
        <v/>
      </c>
      <c r="K281" s="34" t="str">
        <f aca="false">IF(OR($A281="",$C281=""),"",SUMIFS(VENTAS!$E$6:$E$2005,VENTAS!$C$6:$C$2005,$A281))</f>
        <v/>
      </c>
      <c r="L281" s="45" t="str">
        <f aca="false">IF(OR($A281="",$C281=""),"",IFERROR(N($F281)/INDEX(INSUMOS!$I$6:$I$205,MATCH($C281,INSUMOS!$A$6:$A$205,0)),N($F281))/$I281*$K281)</f>
        <v/>
      </c>
      <c r="M281" s="8" t="str">
        <f aca="false">IF($A281="","",COUNTIF($A$6:$A281,$A281))</f>
        <v/>
      </c>
      <c r="N281" s="8" t="str">
        <f aca="false">IF($A281="","",$A281&amp;"|"&amp;$M281)</f>
        <v/>
      </c>
    </row>
    <row r="282" customFormat="false" ht="15" hidden="false" customHeight="false" outlineLevel="0" collapsed="false">
      <c r="A282" s="6"/>
      <c r="B282" s="8" t="str">
        <f aca="false">IF($A282="","",IFERROR(INDEX(PRODUCTOS!$B$6:$B$105,MATCH($A282,PRODUCTOS!$A$6:$A$105,0)),"¿Código?"))</f>
        <v/>
      </c>
      <c r="C282" s="6"/>
      <c r="D282" s="8" t="str">
        <f aca="false">IF($C282="","",IFERROR(INDEX(INSUMOS!$B$6:$B$205,MATCH($C282,INSUMOS!$A$6:$A$205,0)),"¿Código?"))</f>
        <v/>
      </c>
      <c r="E282" s="8" t="str">
        <f aca="false">IF($C282="","",IFERROR(INDEX(INSUMOS!$D$6:$D$205,MATCH($C282,INSUMOS!$A$6:$A$205,0)),""))</f>
        <v/>
      </c>
      <c r="F282" s="39"/>
      <c r="G282" s="43" t="str">
        <f aca="false">IF(OR($A282="",$C282=""),"",IFERROR(INDEX(INSUMOS!$P$6:$P$205,MATCH($C282,INSUMOS!$A$6:$A$205,0)),0))</f>
        <v/>
      </c>
      <c r="H282" s="43" t="str">
        <f aca="false">IF(OR($A282="",$C282=""),"",N($F282)*$G282)</f>
        <v/>
      </c>
      <c r="I282" s="34" t="str">
        <f aca="false">IF(OR($A282="",$C282=""),"",IFERROR(MAX(1,INDEX(PRODUCTOS!$G$6:$G$105,MATCH($A282,PRODUCTOS!$A$6:$A$105,0))),1))</f>
        <v/>
      </c>
      <c r="J282" s="43" t="str">
        <f aca="false">IF(OR($A282="",$C282=""),"",$H282/$I282)</f>
        <v/>
      </c>
      <c r="K282" s="34" t="str">
        <f aca="false">IF(OR($A282="",$C282=""),"",SUMIFS(VENTAS!$E$6:$E$2005,VENTAS!$C$6:$C$2005,$A282))</f>
        <v/>
      </c>
      <c r="L282" s="45" t="str">
        <f aca="false">IF(OR($A282="",$C282=""),"",IFERROR(N($F282)/INDEX(INSUMOS!$I$6:$I$205,MATCH($C282,INSUMOS!$A$6:$A$205,0)),N($F282))/$I282*$K282)</f>
        <v/>
      </c>
      <c r="M282" s="8" t="str">
        <f aca="false">IF($A282="","",COUNTIF($A$6:$A282,$A282))</f>
        <v/>
      </c>
      <c r="N282" s="8" t="str">
        <f aca="false">IF($A282="","",$A282&amp;"|"&amp;$M282)</f>
        <v/>
      </c>
    </row>
    <row r="283" customFormat="false" ht="15" hidden="false" customHeight="false" outlineLevel="0" collapsed="false">
      <c r="A283" s="6"/>
      <c r="B283" s="8" t="str">
        <f aca="false">IF($A283="","",IFERROR(INDEX(PRODUCTOS!$B$6:$B$105,MATCH($A283,PRODUCTOS!$A$6:$A$105,0)),"¿Código?"))</f>
        <v/>
      </c>
      <c r="C283" s="6"/>
      <c r="D283" s="8" t="str">
        <f aca="false">IF($C283="","",IFERROR(INDEX(INSUMOS!$B$6:$B$205,MATCH($C283,INSUMOS!$A$6:$A$205,0)),"¿Código?"))</f>
        <v/>
      </c>
      <c r="E283" s="8" t="str">
        <f aca="false">IF($C283="","",IFERROR(INDEX(INSUMOS!$D$6:$D$205,MATCH($C283,INSUMOS!$A$6:$A$205,0)),""))</f>
        <v/>
      </c>
      <c r="F283" s="39"/>
      <c r="G283" s="43" t="str">
        <f aca="false">IF(OR($A283="",$C283=""),"",IFERROR(INDEX(INSUMOS!$P$6:$P$205,MATCH($C283,INSUMOS!$A$6:$A$205,0)),0))</f>
        <v/>
      </c>
      <c r="H283" s="43" t="str">
        <f aca="false">IF(OR($A283="",$C283=""),"",N($F283)*$G283)</f>
        <v/>
      </c>
      <c r="I283" s="34" t="str">
        <f aca="false">IF(OR($A283="",$C283=""),"",IFERROR(MAX(1,INDEX(PRODUCTOS!$G$6:$G$105,MATCH($A283,PRODUCTOS!$A$6:$A$105,0))),1))</f>
        <v/>
      </c>
      <c r="J283" s="43" t="str">
        <f aca="false">IF(OR($A283="",$C283=""),"",$H283/$I283)</f>
        <v/>
      </c>
      <c r="K283" s="34" t="str">
        <f aca="false">IF(OR($A283="",$C283=""),"",SUMIFS(VENTAS!$E$6:$E$2005,VENTAS!$C$6:$C$2005,$A283))</f>
        <v/>
      </c>
      <c r="L283" s="45" t="str">
        <f aca="false">IF(OR($A283="",$C283=""),"",IFERROR(N($F283)/INDEX(INSUMOS!$I$6:$I$205,MATCH($C283,INSUMOS!$A$6:$A$205,0)),N($F283))/$I283*$K283)</f>
        <v/>
      </c>
      <c r="M283" s="8" t="str">
        <f aca="false">IF($A283="","",COUNTIF($A$6:$A283,$A283))</f>
        <v/>
      </c>
      <c r="N283" s="8" t="str">
        <f aca="false">IF($A283="","",$A283&amp;"|"&amp;$M283)</f>
        <v/>
      </c>
    </row>
    <row r="284" customFormat="false" ht="15" hidden="false" customHeight="false" outlineLevel="0" collapsed="false">
      <c r="A284" s="6"/>
      <c r="B284" s="8" t="str">
        <f aca="false">IF($A284="","",IFERROR(INDEX(PRODUCTOS!$B$6:$B$105,MATCH($A284,PRODUCTOS!$A$6:$A$105,0)),"¿Código?"))</f>
        <v/>
      </c>
      <c r="C284" s="6"/>
      <c r="D284" s="8" t="str">
        <f aca="false">IF($C284="","",IFERROR(INDEX(INSUMOS!$B$6:$B$205,MATCH($C284,INSUMOS!$A$6:$A$205,0)),"¿Código?"))</f>
        <v/>
      </c>
      <c r="E284" s="8" t="str">
        <f aca="false">IF($C284="","",IFERROR(INDEX(INSUMOS!$D$6:$D$205,MATCH($C284,INSUMOS!$A$6:$A$205,0)),""))</f>
        <v/>
      </c>
      <c r="F284" s="39"/>
      <c r="G284" s="43" t="str">
        <f aca="false">IF(OR($A284="",$C284=""),"",IFERROR(INDEX(INSUMOS!$P$6:$P$205,MATCH($C284,INSUMOS!$A$6:$A$205,0)),0))</f>
        <v/>
      </c>
      <c r="H284" s="43" t="str">
        <f aca="false">IF(OR($A284="",$C284=""),"",N($F284)*$G284)</f>
        <v/>
      </c>
      <c r="I284" s="34" t="str">
        <f aca="false">IF(OR($A284="",$C284=""),"",IFERROR(MAX(1,INDEX(PRODUCTOS!$G$6:$G$105,MATCH($A284,PRODUCTOS!$A$6:$A$105,0))),1))</f>
        <v/>
      </c>
      <c r="J284" s="43" t="str">
        <f aca="false">IF(OR($A284="",$C284=""),"",$H284/$I284)</f>
        <v/>
      </c>
      <c r="K284" s="34" t="str">
        <f aca="false">IF(OR($A284="",$C284=""),"",SUMIFS(VENTAS!$E$6:$E$2005,VENTAS!$C$6:$C$2005,$A284))</f>
        <v/>
      </c>
      <c r="L284" s="45" t="str">
        <f aca="false">IF(OR($A284="",$C284=""),"",IFERROR(N($F284)/INDEX(INSUMOS!$I$6:$I$205,MATCH($C284,INSUMOS!$A$6:$A$205,0)),N($F284))/$I284*$K284)</f>
        <v/>
      </c>
      <c r="M284" s="8" t="str">
        <f aca="false">IF($A284="","",COUNTIF($A$6:$A284,$A284))</f>
        <v/>
      </c>
      <c r="N284" s="8" t="str">
        <f aca="false">IF($A284="","",$A284&amp;"|"&amp;$M284)</f>
        <v/>
      </c>
    </row>
    <row r="285" customFormat="false" ht="15" hidden="false" customHeight="false" outlineLevel="0" collapsed="false">
      <c r="A285" s="6"/>
      <c r="B285" s="8" t="str">
        <f aca="false">IF($A285="","",IFERROR(INDEX(PRODUCTOS!$B$6:$B$105,MATCH($A285,PRODUCTOS!$A$6:$A$105,0)),"¿Código?"))</f>
        <v/>
      </c>
      <c r="C285" s="6"/>
      <c r="D285" s="8" t="str">
        <f aca="false">IF($C285="","",IFERROR(INDEX(INSUMOS!$B$6:$B$205,MATCH($C285,INSUMOS!$A$6:$A$205,0)),"¿Código?"))</f>
        <v/>
      </c>
      <c r="E285" s="8" t="str">
        <f aca="false">IF($C285="","",IFERROR(INDEX(INSUMOS!$D$6:$D$205,MATCH($C285,INSUMOS!$A$6:$A$205,0)),""))</f>
        <v/>
      </c>
      <c r="F285" s="39"/>
      <c r="G285" s="43" t="str">
        <f aca="false">IF(OR($A285="",$C285=""),"",IFERROR(INDEX(INSUMOS!$P$6:$P$205,MATCH($C285,INSUMOS!$A$6:$A$205,0)),0))</f>
        <v/>
      </c>
      <c r="H285" s="43" t="str">
        <f aca="false">IF(OR($A285="",$C285=""),"",N($F285)*$G285)</f>
        <v/>
      </c>
      <c r="I285" s="34" t="str">
        <f aca="false">IF(OR($A285="",$C285=""),"",IFERROR(MAX(1,INDEX(PRODUCTOS!$G$6:$G$105,MATCH($A285,PRODUCTOS!$A$6:$A$105,0))),1))</f>
        <v/>
      </c>
      <c r="J285" s="43" t="str">
        <f aca="false">IF(OR($A285="",$C285=""),"",$H285/$I285)</f>
        <v/>
      </c>
      <c r="K285" s="34" t="str">
        <f aca="false">IF(OR($A285="",$C285=""),"",SUMIFS(VENTAS!$E$6:$E$2005,VENTAS!$C$6:$C$2005,$A285))</f>
        <v/>
      </c>
      <c r="L285" s="45" t="str">
        <f aca="false">IF(OR($A285="",$C285=""),"",IFERROR(N($F285)/INDEX(INSUMOS!$I$6:$I$205,MATCH($C285,INSUMOS!$A$6:$A$205,0)),N($F285))/$I285*$K285)</f>
        <v/>
      </c>
      <c r="M285" s="8" t="str">
        <f aca="false">IF($A285="","",COUNTIF($A$6:$A285,$A285))</f>
        <v/>
      </c>
      <c r="N285" s="8" t="str">
        <f aca="false">IF($A285="","",$A285&amp;"|"&amp;$M285)</f>
        <v/>
      </c>
    </row>
    <row r="286" customFormat="false" ht="15" hidden="false" customHeight="false" outlineLevel="0" collapsed="false">
      <c r="A286" s="6"/>
      <c r="B286" s="8" t="str">
        <f aca="false">IF($A286="","",IFERROR(INDEX(PRODUCTOS!$B$6:$B$105,MATCH($A286,PRODUCTOS!$A$6:$A$105,0)),"¿Código?"))</f>
        <v/>
      </c>
      <c r="C286" s="6"/>
      <c r="D286" s="8" t="str">
        <f aca="false">IF($C286="","",IFERROR(INDEX(INSUMOS!$B$6:$B$205,MATCH($C286,INSUMOS!$A$6:$A$205,0)),"¿Código?"))</f>
        <v/>
      </c>
      <c r="E286" s="8" t="str">
        <f aca="false">IF($C286="","",IFERROR(INDEX(INSUMOS!$D$6:$D$205,MATCH($C286,INSUMOS!$A$6:$A$205,0)),""))</f>
        <v/>
      </c>
      <c r="F286" s="39"/>
      <c r="G286" s="43" t="str">
        <f aca="false">IF(OR($A286="",$C286=""),"",IFERROR(INDEX(INSUMOS!$P$6:$P$205,MATCH($C286,INSUMOS!$A$6:$A$205,0)),0))</f>
        <v/>
      </c>
      <c r="H286" s="43" t="str">
        <f aca="false">IF(OR($A286="",$C286=""),"",N($F286)*$G286)</f>
        <v/>
      </c>
      <c r="I286" s="34" t="str">
        <f aca="false">IF(OR($A286="",$C286=""),"",IFERROR(MAX(1,INDEX(PRODUCTOS!$G$6:$G$105,MATCH($A286,PRODUCTOS!$A$6:$A$105,0))),1))</f>
        <v/>
      </c>
      <c r="J286" s="43" t="str">
        <f aca="false">IF(OR($A286="",$C286=""),"",$H286/$I286)</f>
        <v/>
      </c>
      <c r="K286" s="34" t="str">
        <f aca="false">IF(OR($A286="",$C286=""),"",SUMIFS(VENTAS!$E$6:$E$2005,VENTAS!$C$6:$C$2005,$A286))</f>
        <v/>
      </c>
      <c r="L286" s="45" t="str">
        <f aca="false">IF(OR($A286="",$C286=""),"",IFERROR(N($F286)/INDEX(INSUMOS!$I$6:$I$205,MATCH($C286,INSUMOS!$A$6:$A$205,0)),N($F286))/$I286*$K286)</f>
        <v/>
      </c>
      <c r="M286" s="8" t="str">
        <f aca="false">IF($A286="","",COUNTIF($A$6:$A286,$A286))</f>
        <v/>
      </c>
      <c r="N286" s="8" t="str">
        <f aca="false">IF($A286="","",$A286&amp;"|"&amp;$M286)</f>
        <v/>
      </c>
    </row>
    <row r="287" customFormat="false" ht="15" hidden="false" customHeight="false" outlineLevel="0" collapsed="false">
      <c r="A287" s="6"/>
      <c r="B287" s="8" t="str">
        <f aca="false">IF($A287="","",IFERROR(INDEX(PRODUCTOS!$B$6:$B$105,MATCH($A287,PRODUCTOS!$A$6:$A$105,0)),"¿Código?"))</f>
        <v/>
      </c>
      <c r="C287" s="6"/>
      <c r="D287" s="8" t="str">
        <f aca="false">IF($C287="","",IFERROR(INDEX(INSUMOS!$B$6:$B$205,MATCH($C287,INSUMOS!$A$6:$A$205,0)),"¿Código?"))</f>
        <v/>
      </c>
      <c r="E287" s="8" t="str">
        <f aca="false">IF($C287="","",IFERROR(INDEX(INSUMOS!$D$6:$D$205,MATCH($C287,INSUMOS!$A$6:$A$205,0)),""))</f>
        <v/>
      </c>
      <c r="F287" s="39"/>
      <c r="G287" s="43" t="str">
        <f aca="false">IF(OR($A287="",$C287=""),"",IFERROR(INDEX(INSUMOS!$P$6:$P$205,MATCH($C287,INSUMOS!$A$6:$A$205,0)),0))</f>
        <v/>
      </c>
      <c r="H287" s="43" t="str">
        <f aca="false">IF(OR($A287="",$C287=""),"",N($F287)*$G287)</f>
        <v/>
      </c>
      <c r="I287" s="34" t="str">
        <f aca="false">IF(OR($A287="",$C287=""),"",IFERROR(MAX(1,INDEX(PRODUCTOS!$G$6:$G$105,MATCH($A287,PRODUCTOS!$A$6:$A$105,0))),1))</f>
        <v/>
      </c>
      <c r="J287" s="43" t="str">
        <f aca="false">IF(OR($A287="",$C287=""),"",$H287/$I287)</f>
        <v/>
      </c>
      <c r="K287" s="34" t="str">
        <f aca="false">IF(OR($A287="",$C287=""),"",SUMIFS(VENTAS!$E$6:$E$2005,VENTAS!$C$6:$C$2005,$A287))</f>
        <v/>
      </c>
      <c r="L287" s="45" t="str">
        <f aca="false">IF(OR($A287="",$C287=""),"",IFERROR(N($F287)/INDEX(INSUMOS!$I$6:$I$205,MATCH($C287,INSUMOS!$A$6:$A$205,0)),N($F287))/$I287*$K287)</f>
        <v/>
      </c>
      <c r="M287" s="8" t="str">
        <f aca="false">IF($A287="","",COUNTIF($A$6:$A287,$A287))</f>
        <v/>
      </c>
      <c r="N287" s="8" t="str">
        <f aca="false">IF($A287="","",$A287&amp;"|"&amp;$M287)</f>
        <v/>
      </c>
    </row>
    <row r="288" customFormat="false" ht="15" hidden="false" customHeight="false" outlineLevel="0" collapsed="false">
      <c r="A288" s="6"/>
      <c r="B288" s="8" t="str">
        <f aca="false">IF($A288="","",IFERROR(INDEX(PRODUCTOS!$B$6:$B$105,MATCH($A288,PRODUCTOS!$A$6:$A$105,0)),"¿Código?"))</f>
        <v/>
      </c>
      <c r="C288" s="6"/>
      <c r="D288" s="8" t="str">
        <f aca="false">IF($C288="","",IFERROR(INDEX(INSUMOS!$B$6:$B$205,MATCH($C288,INSUMOS!$A$6:$A$205,0)),"¿Código?"))</f>
        <v/>
      </c>
      <c r="E288" s="8" t="str">
        <f aca="false">IF($C288="","",IFERROR(INDEX(INSUMOS!$D$6:$D$205,MATCH($C288,INSUMOS!$A$6:$A$205,0)),""))</f>
        <v/>
      </c>
      <c r="F288" s="39"/>
      <c r="G288" s="43" t="str">
        <f aca="false">IF(OR($A288="",$C288=""),"",IFERROR(INDEX(INSUMOS!$P$6:$P$205,MATCH($C288,INSUMOS!$A$6:$A$205,0)),0))</f>
        <v/>
      </c>
      <c r="H288" s="43" t="str">
        <f aca="false">IF(OR($A288="",$C288=""),"",N($F288)*$G288)</f>
        <v/>
      </c>
      <c r="I288" s="34" t="str">
        <f aca="false">IF(OR($A288="",$C288=""),"",IFERROR(MAX(1,INDEX(PRODUCTOS!$G$6:$G$105,MATCH($A288,PRODUCTOS!$A$6:$A$105,0))),1))</f>
        <v/>
      </c>
      <c r="J288" s="43" t="str">
        <f aca="false">IF(OR($A288="",$C288=""),"",$H288/$I288)</f>
        <v/>
      </c>
      <c r="K288" s="34" t="str">
        <f aca="false">IF(OR($A288="",$C288=""),"",SUMIFS(VENTAS!$E$6:$E$2005,VENTAS!$C$6:$C$2005,$A288))</f>
        <v/>
      </c>
      <c r="L288" s="45" t="str">
        <f aca="false">IF(OR($A288="",$C288=""),"",IFERROR(N($F288)/INDEX(INSUMOS!$I$6:$I$205,MATCH($C288,INSUMOS!$A$6:$A$205,0)),N($F288))/$I288*$K288)</f>
        <v/>
      </c>
      <c r="M288" s="8" t="str">
        <f aca="false">IF($A288="","",COUNTIF($A$6:$A288,$A288))</f>
        <v/>
      </c>
      <c r="N288" s="8" t="str">
        <f aca="false">IF($A288="","",$A288&amp;"|"&amp;$M288)</f>
        <v/>
      </c>
    </row>
    <row r="289" customFormat="false" ht="15" hidden="false" customHeight="false" outlineLevel="0" collapsed="false">
      <c r="A289" s="6"/>
      <c r="B289" s="8" t="str">
        <f aca="false">IF($A289="","",IFERROR(INDEX(PRODUCTOS!$B$6:$B$105,MATCH($A289,PRODUCTOS!$A$6:$A$105,0)),"¿Código?"))</f>
        <v/>
      </c>
      <c r="C289" s="6"/>
      <c r="D289" s="8" t="str">
        <f aca="false">IF($C289="","",IFERROR(INDEX(INSUMOS!$B$6:$B$205,MATCH($C289,INSUMOS!$A$6:$A$205,0)),"¿Código?"))</f>
        <v/>
      </c>
      <c r="E289" s="8" t="str">
        <f aca="false">IF($C289="","",IFERROR(INDEX(INSUMOS!$D$6:$D$205,MATCH($C289,INSUMOS!$A$6:$A$205,0)),""))</f>
        <v/>
      </c>
      <c r="F289" s="39"/>
      <c r="G289" s="43" t="str">
        <f aca="false">IF(OR($A289="",$C289=""),"",IFERROR(INDEX(INSUMOS!$P$6:$P$205,MATCH($C289,INSUMOS!$A$6:$A$205,0)),0))</f>
        <v/>
      </c>
      <c r="H289" s="43" t="str">
        <f aca="false">IF(OR($A289="",$C289=""),"",N($F289)*$G289)</f>
        <v/>
      </c>
      <c r="I289" s="34" t="str">
        <f aca="false">IF(OR($A289="",$C289=""),"",IFERROR(MAX(1,INDEX(PRODUCTOS!$G$6:$G$105,MATCH($A289,PRODUCTOS!$A$6:$A$105,0))),1))</f>
        <v/>
      </c>
      <c r="J289" s="43" t="str">
        <f aca="false">IF(OR($A289="",$C289=""),"",$H289/$I289)</f>
        <v/>
      </c>
      <c r="K289" s="34" t="str">
        <f aca="false">IF(OR($A289="",$C289=""),"",SUMIFS(VENTAS!$E$6:$E$2005,VENTAS!$C$6:$C$2005,$A289))</f>
        <v/>
      </c>
      <c r="L289" s="45" t="str">
        <f aca="false">IF(OR($A289="",$C289=""),"",IFERROR(N($F289)/INDEX(INSUMOS!$I$6:$I$205,MATCH($C289,INSUMOS!$A$6:$A$205,0)),N($F289))/$I289*$K289)</f>
        <v/>
      </c>
      <c r="M289" s="8" t="str">
        <f aca="false">IF($A289="","",COUNTIF($A$6:$A289,$A289))</f>
        <v/>
      </c>
      <c r="N289" s="8" t="str">
        <f aca="false">IF($A289="","",$A289&amp;"|"&amp;$M289)</f>
        <v/>
      </c>
    </row>
    <row r="290" customFormat="false" ht="15" hidden="false" customHeight="false" outlineLevel="0" collapsed="false">
      <c r="A290" s="6"/>
      <c r="B290" s="8" t="str">
        <f aca="false">IF($A290="","",IFERROR(INDEX(PRODUCTOS!$B$6:$B$105,MATCH($A290,PRODUCTOS!$A$6:$A$105,0)),"¿Código?"))</f>
        <v/>
      </c>
      <c r="C290" s="6"/>
      <c r="D290" s="8" t="str">
        <f aca="false">IF($C290="","",IFERROR(INDEX(INSUMOS!$B$6:$B$205,MATCH($C290,INSUMOS!$A$6:$A$205,0)),"¿Código?"))</f>
        <v/>
      </c>
      <c r="E290" s="8" t="str">
        <f aca="false">IF($C290="","",IFERROR(INDEX(INSUMOS!$D$6:$D$205,MATCH($C290,INSUMOS!$A$6:$A$205,0)),""))</f>
        <v/>
      </c>
      <c r="F290" s="39"/>
      <c r="G290" s="43" t="str">
        <f aca="false">IF(OR($A290="",$C290=""),"",IFERROR(INDEX(INSUMOS!$P$6:$P$205,MATCH($C290,INSUMOS!$A$6:$A$205,0)),0))</f>
        <v/>
      </c>
      <c r="H290" s="43" t="str">
        <f aca="false">IF(OR($A290="",$C290=""),"",N($F290)*$G290)</f>
        <v/>
      </c>
      <c r="I290" s="34" t="str">
        <f aca="false">IF(OR($A290="",$C290=""),"",IFERROR(MAX(1,INDEX(PRODUCTOS!$G$6:$G$105,MATCH($A290,PRODUCTOS!$A$6:$A$105,0))),1))</f>
        <v/>
      </c>
      <c r="J290" s="43" t="str">
        <f aca="false">IF(OR($A290="",$C290=""),"",$H290/$I290)</f>
        <v/>
      </c>
      <c r="K290" s="34" t="str">
        <f aca="false">IF(OR($A290="",$C290=""),"",SUMIFS(VENTAS!$E$6:$E$2005,VENTAS!$C$6:$C$2005,$A290))</f>
        <v/>
      </c>
      <c r="L290" s="45" t="str">
        <f aca="false">IF(OR($A290="",$C290=""),"",IFERROR(N($F290)/INDEX(INSUMOS!$I$6:$I$205,MATCH($C290,INSUMOS!$A$6:$A$205,0)),N($F290))/$I290*$K290)</f>
        <v/>
      </c>
      <c r="M290" s="8" t="str">
        <f aca="false">IF($A290="","",COUNTIF($A$6:$A290,$A290))</f>
        <v/>
      </c>
      <c r="N290" s="8" t="str">
        <f aca="false">IF($A290="","",$A290&amp;"|"&amp;$M290)</f>
        <v/>
      </c>
    </row>
    <row r="291" customFormat="false" ht="15" hidden="false" customHeight="false" outlineLevel="0" collapsed="false">
      <c r="A291" s="6"/>
      <c r="B291" s="8" t="str">
        <f aca="false">IF($A291="","",IFERROR(INDEX(PRODUCTOS!$B$6:$B$105,MATCH($A291,PRODUCTOS!$A$6:$A$105,0)),"¿Código?"))</f>
        <v/>
      </c>
      <c r="C291" s="6"/>
      <c r="D291" s="8" t="str">
        <f aca="false">IF($C291="","",IFERROR(INDEX(INSUMOS!$B$6:$B$205,MATCH($C291,INSUMOS!$A$6:$A$205,0)),"¿Código?"))</f>
        <v/>
      </c>
      <c r="E291" s="8" t="str">
        <f aca="false">IF($C291="","",IFERROR(INDEX(INSUMOS!$D$6:$D$205,MATCH($C291,INSUMOS!$A$6:$A$205,0)),""))</f>
        <v/>
      </c>
      <c r="F291" s="39"/>
      <c r="G291" s="43" t="str">
        <f aca="false">IF(OR($A291="",$C291=""),"",IFERROR(INDEX(INSUMOS!$P$6:$P$205,MATCH($C291,INSUMOS!$A$6:$A$205,0)),0))</f>
        <v/>
      </c>
      <c r="H291" s="43" t="str">
        <f aca="false">IF(OR($A291="",$C291=""),"",N($F291)*$G291)</f>
        <v/>
      </c>
      <c r="I291" s="34" t="str">
        <f aca="false">IF(OR($A291="",$C291=""),"",IFERROR(MAX(1,INDEX(PRODUCTOS!$G$6:$G$105,MATCH($A291,PRODUCTOS!$A$6:$A$105,0))),1))</f>
        <v/>
      </c>
      <c r="J291" s="43" t="str">
        <f aca="false">IF(OR($A291="",$C291=""),"",$H291/$I291)</f>
        <v/>
      </c>
      <c r="K291" s="34" t="str">
        <f aca="false">IF(OR($A291="",$C291=""),"",SUMIFS(VENTAS!$E$6:$E$2005,VENTAS!$C$6:$C$2005,$A291))</f>
        <v/>
      </c>
      <c r="L291" s="45" t="str">
        <f aca="false">IF(OR($A291="",$C291=""),"",IFERROR(N($F291)/INDEX(INSUMOS!$I$6:$I$205,MATCH($C291,INSUMOS!$A$6:$A$205,0)),N($F291))/$I291*$K291)</f>
        <v/>
      </c>
      <c r="M291" s="8" t="str">
        <f aca="false">IF($A291="","",COUNTIF($A$6:$A291,$A291))</f>
        <v/>
      </c>
      <c r="N291" s="8" t="str">
        <f aca="false">IF($A291="","",$A291&amp;"|"&amp;$M291)</f>
        <v/>
      </c>
    </row>
    <row r="292" customFormat="false" ht="15" hidden="false" customHeight="false" outlineLevel="0" collapsed="false">
      <c r="A292" s="6"/>
      <c r="B292" s="8" t="str">
        <f aca="false">IF($A292="","",IFERROR(INDEX(PRODUCTOS!$B$6:$B$105,MATCH($A292,PRODUCTOS!$A$6:$A$105,0)),"¿Código?"))</f>
        <v/>
      </c>
      <c r="C292" s="6"/>
      <c r="D292" s="8" t="str">
        <f aca="false">IF($C292="","",IFERROR(INDEX(INSUMOS!$B$6:$B$205,MATCH($C292,INSUMOS!$A$6:$A$205,0)),"¿Código?"))</f>
        <v/>
      </c>
      <c r="E292" s="8" t="str">
        <f aca="false">IF($C292="","",IFERROR(INDEX(INSUMOS!$D$6:$D$205,MATCH($C292,INSUMOS!$A$6:$A$205,0)),""))</f>
        <v/>
      </c>
      <c r="F292" s="39"/>
      <c r="G292" s="43" t="str">
        <f aca="false">IF(OR($A292="",$C292=""),"",IFERROR(INDEX(INSUMOS!$P$6:$P$205,MATCH($C292,INSUMOS!$A$6:$A$205,0)),0))</f>
        <v/>
      </c>
      <c r="H292" s="43" t="str">
        <f aca="false">IF(OR($A292="",$C292=""),"",N($F292)*$G292)</f>
        <v/>
      </c>
      <c r="I292" s="34" t="str">
        <f aca="false">IF(OR($A292="",$C292=""),"",IFERROR(MAX(1,INDEX(PRODUCTOS!$G$6:$G$105,MATCH($A292,PRODUCTOS!$A$6:$A$105,0))),1))</f>
        <v/>
      </c>
      <c r="J292" s="43" t="str">
        <f aca="false">IF(OR($A292="",$C292=""),"",$H292/$I292)</f>
        <v/>
      </c>
      <c r="K292" s="34" t="str">
        <f aca="false">IF(OR($A292="",$C292=""),"",SUMIFS(VENTAS!$E$6:$E$2005,VENTAS!$C$6:$C$2005,$A292))</f>
        <v/>
      </c>
      <c r="L292" s="45" t="str">
        <f aca="false">IF(OR($A292="",$C292=""),"",IFERROR(N($F292)/INDEX(INSUMOS!$I$6:$I$205,MATCH($C292,INSUMOS!$A$6:$A$205,0)),N($F292))/$I292*$K292)</f>
        <v/>
      </c>
      <c r="M292" s="8" t="str">
        <f aca="false">IF($A292="","",COUNTIF($A$6:$A292,$A292))</f>
        <v/>
      </c>
      <c r="N292" s="8" t="str">
        <f aca="false">IF($A292="","",$A292&amp;"|"&amp;$M292)</f>
        <v/>
      </c>
    </row>
    <row r="293" customFormat="false" ht="15" hidden="false" customHeight="false" outlineLevel="0" collapsed="false">
      <c r="A293" s="6"/>
      <c r="B293" s="8" t="str">
        <f aca="false">IF($A293="","",IFERROR(INDEX(PRODUCTOS!$B$6:$B$105,MATCH($A293,PRODUCTOS!$A$6:$A$105,0)),"¿Código?"))</f>
        <v/>
      </c>
      <c r="C293" s="6"/>
      <c r="D293" s="8" t="str">
        <f aca="false">IF($C293="","",IFERROR(INDEX(INSUMOS!$B$6:$B$205,MATCH($C293,INSUMOS!$A$6:$A$205,0)),"¿Código?"))</f>
        <v/>
      </c>
      <c r="E293" s="8" t="str">
        <f aca="false">IF($C293="","",IFERROR(INDEX(INSUMOS!$D$6:$D$205,MATCH($C293,INSUMOS!$A$6:$A$205,0)),""))</f>
        <v/>
      </c>
      <c r="F293" s="39"/>
      <c r="G293" s="43" t="str">
        <f aca="false">IF(OR($A293="",$C293=""),"",IFERROR(INDEX(INSUMOS!$P$6:$P$205,MATCH($C293,INSUMOS!$A$6:$A$205,0)),0))</f>
        <v/>
      </c>
      <c r="H293" s="43" t="str">
        <f aca="false">IF(OR($A293="",$C293=""),"",N($F293)*$G293)</f>
        <v/>
      </c>
      <c r="I293" s="34" t="str">
        <f aca="false">IF(OR($A293="",$C293=""),"",IFERROR(MAX(1,INDEX(PRODUCTOS!$G$6:$G$105,MATCH($A293,PRODUCTOS!$A$6:$A$105,0))),1))</f>
        <v/>
      </c>
      <c r="J293" s="43" t="str">
        <f aca="false">IF(OR($A293="",$C293=""),"",$H293/$I293)</f>
        <v/>
      </c>
      <c r="K293" s="34" t="str">
        <f aca="false">IF(OR($A293="",$C293=""),"",SUMIFS(VENTAS!$E$6:$E$2005,VENTAS!$C$6:$C$2005,$A293))</f>
        <v/>
      </c>
      <c r="L293" s="45" t="str">
        <f aca="false">IF(OR($A293="",$C293=""),"",IFERROR(N($F293)/INDEX(INSUMOS!$I$6:$I$205,MATCH($C293,INSUMOS!$A$6:$A$205,0)),N($F293))/$I293*$K293)</f>
        <v/>
      </c>
      <c r="M293" s="8" t="str">
        <f aca="false">IF($A293="","",COUNTIF($A$6:$A293,$A293))</f>
        <v/>
      </c>
      <c r="N293" s="8" t="str">
        <f aca="false">IF($A293="","",$A293&amp;"|"&amp;$M293)</f>
        <v/>
      </c>
    </row>
    <row r="294" customFormat="false" ht="15" hidden="false" customHeight="false" outlineLevel="0" collapsed="false">
      <c r="A294" s="6"/>
      <c r="B294" s="8" t="str">
        <f aca="false">IF($A294="","",IFERROR(INDEX(PRODUCTOS!$B$6:$B$105,MATCH($A294,PRODUCTOS!$A$6:$A$105,0)),"¿Código?"))</f>
        <v/>
      </c>
      <c r="C294" s="6"/>
      <c r="D294" s="8" t="str">
        <f aca="false">IF($C294="","",IFERROR(INDEX(INSUMOS!$B$6:$B$205,MATCH($C294,INSUMOS!$A$6:$A$205,0)),"¿Código?"))</f>
        <v/>
      </c>
      <c r="E294" s="8" t="str">
        <f aca="false">IF($C294="","",IFERROR(INDEX(INSUMOS!$D$6:$D$205,MATCH($C294,INSUMOS!$A$6:$A$205,0)),""))</f>
        <v/>
      </c>
      <c r="F294" s="39"/>
      <c r="G294" s="43" t="str">
        <f aca="false">IF(OR($A294="",$C294=""),"",IFERROR(INDEX(INSUMOS!$P$6:$P$205,MATCH($C294,INSUMOS!$A$6:$A$205,0)),0))</f>
        <v/>
      </c>
      <c r="H294" s="43" t="str">
        <f aca="false">IF(OR($A294="",$C294=""),"",N($F294)*$G294)</f>
        <v/>
      </c>
      <c r="I294" s="34" t="str">
        <f aca="false">IF(OR($A294="",$C294=""),"",IFERROR(MAX(1,INDEX(PRODUCTOS!$G$6:$G$105,MATCH($A294,PRODUCTOS!$A$6:$A$105,0))),1))</f>
        <v/>
      </c>
      <c r="J294" s="43" t="str">
        <f aca="false">IF(OR($A294="",$C294=""),"",$H294/$I294)</f>
        <v/>
      </c>
      <c r="K294" s="34" t="str">
        <f aca="false">IF(OR($A294="",$C294=""),"",SUMIFS(VENTAS!$E$6:$E$2005,VENTAS!$C$6:$C$2005,$A294))</f>
        <v/>
      </c>
      <c r="L294" s="45" t="str">
        <f aca="false">IF(OR($A294="",$C294=""),"",IFERROR(N($F294)/INDEX(INSUMOS!$I$6:$I$205,MATCH($C294,INSUMOS!$A$6:$A$205,0)),N($F294))/$I294*$K294)</f>
        <v/>
      </c>
      <c r="M294" s="8" t="str">
        <f aca="false">IF($A294="","",COUNTIF($A$6:$A294,$A294))</f>
        <v/>
      </c>
      <c r="N294" s="8" t="str">
        <f aca="false">IF($A294="","",$A294&amp;"|"&amp;$M294)</f>
        <v/>
      </c>
    </row>
    <row r="295" customFormat="false" ht="15" hidden="false" customHeight="false" outlineLevel="0" collapsed="false">
      <c r="A295" s="6"/>
      <c r="B295" s="8" t="str">
        <f aca="false">IF($A295="","",IFERROR(INDEX(PRODUCTOS!$B$6:$B$105,MATCH($A295,PRODUCTOS!$A$6:$A$105,0)),"¿Código?"))</f>
        <v/>
      </c>
      <c r="C295" s="6"/>
      <c r="D295" s="8" t="str">
        <f aca="false">IF($C295="","",IFERROR(INDEX(INSUMOS!$B$6:$B$205,MATCH($C295,INSUMOS!$A$6:$A$205,0)),"¿Código?"))</f>
        <v/>
      </c>
      <c r="E295" s="8" t="str">
        <f aca="false">IF($C295="","",IFERROR(INDEX(INSUMOS!$D$6:$D$205,MATCH($C295,INSUMOS!$A$6:$A$205,0)),""))</f>
        <v/>
      </c>
      <c r="F295" s="39"/>
      <c r="G295" s="43" t="str">
        <f aca="false">IF(OR($A295="",$C295=""),"",IFERROR(INDEX(INSUMOS!$P$6:$P$205,MATCH($C295,INSUMOS!$A$6:$A$205,0)),0))</f>
        <v/>
      </c>
      <c r="H295" s="43" t="str">
        <f aca="false">IF(OR($A295="",$C295=""),"",N($F295)*$G295)</f>
        <v/>
      </c>
      <c r="I295" s="34" t="str">
        <f aca="false">IF(OR($A295="",$C295=""),"",IFERROR(MAX(1,INDEX(PRODUCTOS!$G$6:$G$105,MATCH($A295,PRODUCTOS!$A$6:$A$105,0))),1))</f>
        <v/>
      </c>
      <c r="J295" s="43" t="str">
        <f aca="false">IF(OR($A295="",$C295=""),"",$H295/$I295)</f>
        <v/>
      </c>
      <c r="K295" s="34" t="str">
        <f aca="false">IF(OR($A295="",$C295=""),"",SUMIFS(VENTAS!$E$6:$E$2005,VENTAS!$C$6:$C$2005,$A295))</f>
        <v/>
      </c>
      <c r="L295" s="45" t="str">
        <f aca="false">IF(OR($A295="",$C295=""),"",IFERROR(N($F295)/INDEX(INSUMOS!$I$6:$I$205,MATCH($C295,INSUMOS!$A$6:$A$205,0)),N($F295))/$I295*$K295)</f>
        <v/>
      </c>
      <c r="M295" s="8" t="str">
        <f aca="false">IF($A295="","",COUNTIF($A$6:$A295,$A295))</f>
        <v/>
      </c>
      <c r="N295" s="8" t="str">
        <f aca="false">IF($A295="","",$A295&amp;"|"&amp;$M295)</f>
        <v/>
      </c>
    </row>
    <row r="296" customFormat="false" ht="15" hidden="false" customHeight="false" outlineLevel="0" collapsed="false">
      <c r="A296" s="6"/>
      <c r="B296" s="8" t="str">
        <f aca="false">IF($A296="","",IFERROR(INDEX(PRODUCTOS!$B$6:$B$105,MATCH($A296,PRODUCTOS!$A$6:$A$105,0)),"¿Código?"))</f>
        <v/>
      </c>
      <c r="C296" s="6"/>
      <c r="D296" s="8" t="str">
        <f aca="false">IF($C296="","",IFERROR(INDEX(INSUMOS!$B$6:$B$205,MATCH($C296,INSUMOS!$A$6:$A$205,0)),"¿Código?"))</f>
        <v/>
      </c>
      <c r="E296" s="8" t="str">
        <f aca="false">IF($C296="","",IFERROR(INDEX(INSUMOS!$D$6:$D$205,MATCH($C296,INSUMOS!$A$6:$A$205,0)),""))</f>
        <v/>
      </c>
      <c r="F296" s="39"/>
      <c r="G296" s="43" t="str">
        <f aca="false">IF(OR($A296="",$C296=""),"",IFERROR(INDEX(INSUMOS!$P$6:$P$205,MATCH($C296,INSUMOS!$A$6:$A$205,0)),0))</f>
        <v/>
      </c>
      <c r="H296" s="43" t="str">
        <f aca="false">IF(OR($A296="",$C296=""),"",N($F296)*$G296)</f>
        <v/>
      </c>
      <c r="I296" s="34" t="str">
        <f aca="false">IF(OR($A296="",$C296=""),"",IFERROR(MAX(1,INDEX(PRODUCTOS!$G$6:$G$105,MATCH($A296,PRODUCTOS!$A$6:$A$105,0))),1))</f>
        <v/>
      </c>
      <c r="J296" s="43" t="str">
        <f aca="false">IF(OR($A296="",$C296=""),"",$H296/$I296)</f>
        <v/>
      </c>
      <c r="K296" s="34" t="str">
        <f aca="false">IF(OR($A296="",$C296=""),"",SUMIFS(VENTAS!$E$6:$E$2005,VENTAS!$C$6:$C$2005,$A296))</f>
        <v/>
      </c>
      <c r="L296" s="45" t="str">
        <f aca="false">IF(OR($A296="",$C296=""),"",IFERROR(N($F296)/INDEX(INSUMOS!$I$6:$I$205,MATCH($C296,INSUMOS!$A$6:$A$205,0)),N($F296))/$I296*$K296)</f>
        <v/>
      </c>
      <c r="M296" s="8" t="str">
        <f aca="false">IF($A296="","",COUNTIF($A$6:$A296,$A296))</f>
        <v/>
      </c>
      <c r="N296" s="8" t="str">
        <f aca="false">IF($A296="","",$A296&amp;"|"&amp;$M296)</f>
        <v/>
      </c>
    </row>
    <row r="297" customFormat="false" ht="15" hidden="false" customHeight="false" outlineLevel="0" collapsed="false">
      <c r="A297" s="6"/>
      <c r="B297" s="8" t="str">
        <f aca="false">IF($A297="","",IFERROR(INDEX(PRODUCTOS!$B$6:$B$105,MATCH($A297,PRODUCTOS!$A$6:$A$105,0)),"¿Código?"))</f>
        <v/>
      </c>
      <c r="C297" s="6"/>
      <c r="D297" s="8" t="str">
        <f aca="false">IF($C297="","",IFERROR(INDEX(INSUMOS!$B$6:$B$205,MATCH($C297,INSUMOS!$A$6:$A$205,0)),"¿Código?"))</f>
        <v/>
      </c>
      <c r="E297" s="8" t="str">
        <f aca="false">IF($C297="","",IFERROR(INDEX(INSUMOS!$D$6:$D$205,MATCH($C297,INSUMOS!$A$6:$A$205,0)),""))</f>
        <v/>
      </c>
      <c r="F297" s="39"/>
      <c r="G297" s="43" t="str">
        <f aca="false">IF(OR($A297="",$C297=""),"",IFERROR(INDEX(INSUMOS!$P$6:$P$205,MATCH($C297,INSUMOS!$A$6:$A$205,0)),0))</f>
        <v/>
      </c>
      <c r="H297" s="43" t="str">
        <f aca="false">IF(OR($A297="",$C297=""),"",N($F297)*$G297)</f>
        <v/>
      </c>
      <c r="I297" s="34" t="str">
        <f aca="false">IF(OR($A297="",$C297=""),"",IFERROR(MAX(1,INDEX(PRODUCTOS!$G$6:$G$105,MATCH($A297,PRODUCTOS!$A$6:$A$105,0))),1))</f>
        <v/>
      </c>
      <c r="J297" s="43" t="str">
        <f aca="false">IF(OR($A297="",$C297=""),"",$H297/$I297)</f>
        <v/>
      </c>
      <c r="K297" s="34" t="str">
        <f aca="false">IF(OR($A297="",$C297=""),"",SUMIFS(VENTAS!$E$6:$E$2005,VENTAS!$C$6:$C$2005,$A297))</f>
        <v/>
      </c>
      <c r="L297" s="45" t="str">
        <f aca="false">IF(OR($A297="",$C297=""),"",IFERROR(N($F297)/INDEX(INSUMOS!$I$6:$I$205,MATCH($C297,INSUMOS!$A$6:$A$205,0)),N($F297))/$I297*$K297)</f>
        <v/>
      </c>
      <c r="M297" s="8" t="str">
        <f aca="false">IF($A297="","",COUNTIF($A$6:$A297,$A297))</f>
        <v/>
      </c>
      <c r="N297" s="8" t="str">
        <f aca="false">IF($A297="","",$A297&amp;"|"&amp;$M297)</f>
        <v/>
      </c>
    </row>
    <row r="298" customFormat="false" ht="15" hidden="false" customHeight="false" outlineLevel="0" collapsed="false">
      <c r="A298" s="6"/>
      <c r="B298" s="8" t="str">
        <f aca="false">IF($A298="","",IFERROR(INDEX(PRODUCTOS!$B$6:$B$105,MATCH($A298,PRODUCTOS!$A$6:$A$105,0)),"¿Código?"))</f>
        <v/>
      </c>
      <c r="C298" s="6"/>
      <c r="D298" s="8" t="str">
        <f aca="false">IF($C298="","",IFERROR(INDEX(INSUMOS!$B$6:$B$205,MATCH($C298,INSUMOS!$A$6:$A$205,0)),"¿Código?"))</f>
        <v/>
      </c>
      <c r="E298" s="8" t="str">
        <f aca="false">IF($C298="","",IFERROR(INDEX(INSUMOS!$D$6:$D$205,MATCH($C298,INSUMOS!$A$6:$A$205,0)),""))</f>
        <v/>
      </c>
      <c r="F298" s="39"/>
      <c r="G298" s="43" t="str">
        <f aca="false">IF(OR($A298="",$C298=""),"",IFERROR(INDEX(INSUMOS!$P$6:$P$205,MATCH($C298,INSUMOS!$A$6:$A$205,0)),0))</f>
        <v/>
      </c>
      <c r="H298" s="43" t="str">
        <f aca="false">IF(OR($A298="",$C298=""),"",N($F298)*$G298)</f>
        <v/>
      </c>
      <c r="I298" s="34" t="str">
        <f aca="false">IF(OR($A298="",$C298=""),"",IFERROR(MAX(1,INDEX(PRODUCTOS!$G$6:$G$105,MATCH($A298,PRODUCTOS!$A$6:$A$105,0))),1))</f>
        <v/>
      </c>
      <c r="J298" s="43" t="str">
        <f aca="false">IF(OR($A298="",$C298=""),"",$H298/$I298)</f>
        <v/>
      </c>
      <c r="K298" s="34" t="str">
        <f aca="false">IF(OR($A298="",$C298=""),"",SUMIFS(VENTAS!$E$6:$E$2005,VENTAS!$C$6:$C$2005,$A298))</f>
        <v/>
      </c>
      <c r="L298" s="45" t="str">
        <f aca="false">IF(OR($A298="",$C298=""),"",IFERROR(N($F298)/INDEX(INSUMOS!$I$6:$I$205,MATCH($C298,INSUMOS!$A$6:$A$205,0)),N($F298))/$I298*$K298)</f>
        <v/>
      </c>
      <c r="M298" s="8" t="str">
        <f aca="false">IF($A298="","",COUNTIF($A$6:$A298,$A298))</f>
        <v/>
      </c>
      <c r="N298" s="8" t="str">
        <f aca="false">IF($A298="","",$A298&amp;"|"&amp;$M298)</f>
        <v/>
      </c>
    </row>
    <row r="299" customFormat="false" ht="15" hidden="false" customHeight="false" outlineLevel="0" collapsed="false">
      <c r="A299" s="6"/>
      <c r="B299" s="8" t="str">
        <f aca="false">IF($A299="","",IFERROR(INDEX(PRODUCTOS!$B$6:$B$105,MATCH($A299,PRODUCTOS!$A$6:$A$105,0)),"¿Código?"))</f>
        <v/>
      </c>
      <c r="C299" s="6"/>
      <c r="D299" s="8" t="str">
        <f aca="false">IF($C299="","",IFERROR(INDEX(INSUMOS!$B$6:$B$205,MATCH($C299,INSUMOS!$A$6:$A$205,0)),"¿Código?"))</f>
        <v/>
      </c>
      <c r="E299" s="8" t="str">
        <f aca="false">IF($C299="","",IFERROR(INDEX(INSUMOS!$D$6:$D$205,MATCH($C299,INSUMOS!$A$6:$A$205,0)),""))</f>
        <v/>
      </c>
      <c r="F299" s="39"/>
      <c r="G299" s="43" t="str">
        <f aca="false">IF(OR($A299="",$C299=""),"",IFERROR(INDEX(INSUMOS!$P$6:$P$205,MATCH($C299,INSUMOS!$A$6:$A$205,0)),0))</f>
        <v/>
      </c>
      <c r="H299" s="43" t="str">
        <f aca="false">IF(OR($A299="",$C299=""),"",N($F299)*$G299)</f>
        <v/>
      </c>
      <c r="I299" s="34" t="str">
        <f aca="false">IF(OR($A299="",$C299=""),"",IFERROR(MAX(1,INDEX(PRODUCTOS!$G$6:$G$105,MATCH($A299,PRODUCTOS!$A$6:$A$105,0))),1))</f>
        <v/>
      </c>
      <c r="J299" s="43" t="str">
        <f aca="false">IF(OR($A299="",$C299=""),"",$H299/$I299)</f>
        <v/>
      </c>
      <c r="K299" s="34" t="str">
        <f aca="false">IF(OR($A299="",$C299=""),"",SUMIFS(VENTAS!$E$6:$E$2005,VENTAS!$C$6:$C$2005,$A299))</f>
        <v/>
      </c>
      <c r="L299" s="45" t="str">
        <f aca="false">IF(OR($A299="",$C299=""),"",IFERROR(N($F299)/INDEX(INSUMOS!$I$6:$I$205,MATCH($C299,INSUMOS!$A$6:$A$205,0)),N($F299))/$I299*$K299)</f>
        <v/>
      </c>
      <c r="M299" s="8" t="str">
        <f aca="false">IF($A299="","",COUNTIF($A$6:$A299,$A299))</f>
        <v/>
      </c>
      <c r="N299" s="8" t="str">
        <f aca="false">IF($A299="","",$A299&amp;"|"&amp;$M299)</f>
        <v/>
      </c>
    </row>
    <row r="300" customFormat="false" ht="15" hidden="false" customHeight="false" outlineLevel="0" collapsed="false">
      <c r="A300" s="6"/>
      <c r="B300" s="8" t="str">
        <f aca="false">IF($A300="","",IFERROR(INDEX(PRODUCTOS!$B$6:$B$105,MATCH($A300,PRODUCTOS!$A$6:$A$105,0)),"¿Código?"))</f>
        <v/>
      </c>
      <c r="C300" s="6"/>
      <c r="D300" s="8" t="str">
        <f aca="false">IF($C300="","",IFERROR(INDEX(INSUMOS!$B$6:$B$205,MATCH($C300,INSUMOS!$A$6:$A$205,0)),"¿Código?"))</f>
        <v/>
      </c>
      <c r="E300" s="8" t="str">
        <f aca="false">IF($C300="","",IFERROR(INDEX(INSUMOS!$D$6:$D$205,MATCH($C300,INSUMOS!$A$6:$A$205,0)),""))</f>
        <v/>
      </c>
      <c r="F300" s="39"/>
      <c r="G300" s="43" t="str">
        <f aca="false">IF(OR($A300="",$C300=""),"",IFERROR(INDEX(INSUMOS!$P$6:$P$205,MATCH($C300,INSUMOS!$A$6:$A$205,0)),0))</f>
        <v/>
      </c>
      <c r="H300" s="43" t="str">
        <f aca="false">IF(OR($A300="",$C300=""),"",N($F300)*$G300)</f>
        <v/>
      </c>
      <c r="I300" s="34" t="str">
        <f aca="false">IF(OR($A300="",$C300=""),"",IFERROR(MAX(1,INDEX(PRODUCTOS!$G$6:$G$105,MATCH($A300,PRODUCTOS!$A$6:$A$105,0))),1))</f>
        <v/>
      </c>
      <c r="J300" s="43" t="str">
        <f aca="false">IF(OR($A300="",$C300=""),"",$H300/$I300)</f>
        <v/>
      </c>
      <c r="K300" s="34" t="str">
        <f aca="false">IF(OR($A300="",$C300=""),"",SUMIFS(VENTAS!$E$6:$E$2005,VENTAS!$C$6:$C$2005,$A300))</f>
        <v/>
      </c>
      <c r="L300" s="45" t="str">
        <f aca="false">IF(OR($A300="",$C300=""),"",IFERROR(N($F300)/INDEX(INSUMOS!$I$6:$I$205,MATCH($C300,INSUMOS!$A$6:$A$205,0)),N($F300))/$I300*$K300)</f>
        <v/>
      </c>
      <c r="M300" s="8" t="str">
        <f aca="false">IF($A300="","",COUNTIF($A$6:$A300,$A300))</f>
        <v/>
      </c>
      <c r="N300" s="8" t="str">
        <f aca="false">IF($A300="","",$A300&amp;"|"&amp;$M300)</f>
        <v/>
      </c>
    </row>
    <row r="301" customFormat="false" ht="15" hidden="false" customHeight="false" outlineLevel="0" collapsed="false">
      <c r="A301" s="6"/>
      <c r="B301" s="8" t="str">
        <f aca="false">IF($A301="","",IFERROR(INDEX(PRODUCTOS!$B$6:$B$105,MATCH($A301,PRODUCTOS!$A$6:$A$105,0)),"¿Código?"))</f>
        <v/>
      </c>
      <c r="C301" s="6"/>
      <c r="D301" s="8" t="str">
        <f aca="false">IF($C301="","",IFERROR(INDEX(INSUMOS!$B$6:$B$205,MATCH($C301,INSUMOS!$A$6:$A$205,0)),"¿Código?"))</f>
        <v/>
      </c>
      <c r="E301" s="8" t="str">
        <f aca="false">IF($C301="","",IFERROR(INDEX(INSUMOS!$D$6:$D$205,MATCH($C301,INSUMOS!$A$6:$A$205,0)),""))</f>
        <v/>
      </c>
      <c r="F301" s="39"/>
      <c r="G301" s="43" t="str">
        <f aca="false">IF(OR($A301="",$C301=""),"",IFERROR(INDEX(INSUMOS!$P$6:$P$205,MATCH($C301,INSUMOS!$A$6:$A$205,0)),0))</f>
        <v/>
      </c>
      <c r="H301" s="43" t="str">
        <f aca="false">IF(OR($A301="",$C301=""),"",N($F301)*$G301)</f>
        <v/>
      </c>
      <c r="I301" s="34" t="str">
        <f aca="false">IF(OR($A301="",$C301=""),"",IFERROR(MAX(1,INDEX(PRODUCTOS!$G$6:$G$105,MATCH($A301,PRODUCTOS!$A$6:$A$105,0))),1))</f>
        <v/>
      </c>
      <c r="J301" s="43" t="str">
        <f aca="false">IF(OR($A301="",$C301=""),"",$H301/$I301)</f>
        <v/>
      </c>
      <c r="K301" s="34" t="str">
        <f aca="false">IF(OR($A301="",$C301=""),"",SUMIFS(VENTAS!$E$6:$E$2005,VENTAS!$C$6:$C$2005,$A301))</f>
        <v/>
      </c>
      <c r="L301" s="45" t="str">
        <f aca="false">IF(OR($A301="",$C301=""),"",IFERROR(N($F301)/INDEX(INSUMOS!$I$6:$I$205,MATCH($C301,INSUMOS!$A$6:$A$205,0)),N($F301))/$I301*$K301)</f>
        <v/>
      </c>
      <c r="M301" s="8" t="str">
        <f aca="false">IF($A301="","",COUNTIF($A$6:$A301,$A301))</f>
        <v/>
      </c>
      <c r="N301" s="8" t="str">
        <f aca="false">IF($A301="","",$A301&amp;"|"&amp;$M301)</f>
        <v/>
      </c>
    </row>
    <row r="302" customFormat="false" ht="15" hidden="false" customHeight="false" outlineLevel="0" collapsed="false">
      <c r="A302" s="6"/>
      <c r="B302" s="8" t="str">
        <f aca="false">IF($A302="","",IFERROR(INDEX(PRODUCTOS!$B$6:$B$105,MATCH($A302,PRODUCTOS!$A$6:$A$105,0)),"¿Código?"))</f>
        <v/>
      </c>
      <c r="C302" s="6"/>
      <c r="D302" s="8" t="str">
        <f aca="false">IF($C302="","",IFERROR(INDEX(INSUMOS!$B$6:$B$205,MATCH($C302,INSUMOS!$A$6:$A$205,0)),"¿Código?"))</f>
        <v/>
      </c>
      <c r="E302" s="8" t="str">
        <f aca="false">IF($C302="","",IFERROR(INDEX(INSUMOS!$D$6:$D$205,MATCH($C302,INSUMOS!$A$6:$A$205,0)),""))</f>
        <v/>
      </c>
      <c r="F302" s="39"/>
      <c r="G302" s="43" t="str">
        <f aca="false">IF(OR($A302="",$C302=""),"",IFERROR(INDEX(INSUMOS!$P$6:$P$205,MATCH($C302,INSUMOS!$A$6:$A$205,0)),0))</f>
        <v/>
      </c>
      <c r="H302" s="43" t="str">
        <f aca="false">IF(OR($A302="",$C302=""),"",N($F302)*$G302)</f>
        <v/>
      </c>
      <c r="I302" s="34" t="str">
        <f aca="false">IF(OR($A302="",$C302=""),"",IFERROR(MAX(1,INDEX(PRODUCTOS!$G$6:$G$105,MATCH($A302,PRODUCTOS!$A$6:$A$105,0))),1))</f>
        <v/>
      </c>
      <c r="J302" s="43" t="str">
        <f aca="false">IF(OR($A302="",$C302=""),"",$H302/$I302)</f>
        <v/>
      </c>
      <c r="K302" s="34" t="str">
        <f aca="false">IF(OR($A302="",$C302=""),"",SUMIFS(VENTAS!$E$6:$E$2005,VENTAS!$C$6:$C$2005,$A302))</f>
        <v/>
      </c>
      <c r="L302" s="45" t="str">
        <f aca="false">IF(OR($A302="",$C302=""),"",IFERROR(N($F302)/INDEX(INSUMOS!$I$6:$I$205,MATCH($C302,INSUMOS!$A$6:$A$205,0)),N($F302))/$I302*$K302)</f>
        <v/>
      </c>
      <c r="M302" s="8" t="str">
        <f aca="false">IF($A302="","",COUNTIF($A$6:$A302,$A302))</f>
        <v/>
      </c>
      <c r="N302" s="8" t="str">
        <f aca="false">IF($A302="","",$A302&amp;"|"&amp;$M302)</f>
        <v/>
      </c>
    </row>
    <row r="303" customFormat="false" ht="15" hidden="false" customHeight="false" outlineLevel="0" collapsed="false">
      <c r="A303" s="6"/>
      <c r="B303" s="8" t="str">
        <f aca="false">IF($A303="","",IFERROR(INDEX(PRODUCTOS!$B$6:$B$105,MATCH($A303,PRODUCTOS!$A$6:$A$105,0)),"¿Código?"))</f>
        <v/>
      </c>
      <c r="C303" s="6"/>
      <c r="D303" s="8" t="str">
        <f aca="false">IF($C303="","",IFERROR(INDEX(INSUMOS!$B$6:$B$205,MATCH($C303,INSUMOS!$A$6:$A$205,0)),"¿Código?"))</f>
        <v/>
      </c>
      <c r="E303" s="8" t="str">
        <f aca="false">IF($C303="","",IFERROR(INDEX(INSUMOS!$D$6:$D$205,MATCH($C303,INSUMOS!$A$6:$A$205,0)),""))</f>
        <v/>
      </c>
      <c r="F303" s="39"/>
      <c r="G303" s="43" t="str">
        <f aca="false">IF(OR($A303="",$C303=""),"",IFERROR(INDEX(INSUMOS!$P$6:$P$205,MATCH($C303,INSUMOS!$A$6:$A$205,0)),0))</f>
        <v/>
      </c>
      <c r="H303" s="43" t="str">
        <f aca="false">IF(OR($A303="",$C303=""),"",N($F303)*$G303)</f>
        <v/>
      </c>
      <c r="I303" s="34" t="str">
        <f aca="false">IF(OR($A303="",$C303=""),"",IFERROR(MAX(1,INDEX(PRODUCTOS!$G$6:$G$105,MATCH($A303,PRODUCTOS!$A$6:$A$105,0))),1))</f>
        <v/>
      </c>
      <c r="J303" s="43" t="str">
        <f aca="false">IF(OR($A303="",$C303=""),"",$H303/$I303)</f>
        <v/>
      </c>
      <c r="K303" s="34" t="str">
        <f aca="false">IF(OR($A303="",$C303=""),"",SUMIFS(VENTAS!$E$6:$E$2005,VENTAS!$C$6:$C$2005,$A303))</f>
        <v/>
      </c>
      <c r="L303" s="45" t="str">
        <f aca="false">IF(OR($A303="",$C303=""),"",IFERROR(N($F303)/INDEX(INSUMOS!$I$6:$I$205,MATCH($C303,INSUMOS!$A$6:$A$205,0)),N($F303))/$I303*$K303)</f>
        <v/>
      </c>
      <c r="M303" s="8" t="str">
        <f aca="false">IF($A303="","",COUNTIF($A$6:$A303,$A303))</f>
        <v/>
      </c>
      <c r="N303" s="8" t="str">
        <f aca="false">IF($A303="","",$A303&amp;"|"&amp;$M303)</f>
        <v/>
      </c>
    </row>
    <row r="304" customFormat="false" ht="15" hidden="false" customHeight="false" outlineLevel="0" collapsed="false">
      <c r="A304" s="6"/>
      <c r="B304" s="8" t="str">
        <f aca="false">IF($A304="","",IFERROR(INDEX(PRODUCTOS!$B$6:$B$105,MATCH($A304,PRODUCTOS!$A$6:$A$105,0)),"¿Código?"))</f>
        <v/>
      </c>
      <c r="C304" s="6"/>
      <c r="D304" s="8" t="str">
        <f aca="false">IF($C304="","",IFERROR(INDEX(INSUMOS!$B$6:$B$205,MATCH($C304,INSUMOS!$A$6:$A$205,0)),"¿Código?"))</f>
        <v/>
      </c>
      <c r="E304" s="8" t="str">
        <f aca="false">IF($C304="","",IFERROR(INDEX(INSUMOS!$D$6:$D$205,MATCH($C304,INSUMOS!$A$6:$A$205,0)),""))</f>
        <v/>
      </c>
      <c r="F304" s="39"/>
      <c r="G304" s="43" t="str">
        <f aca="false">IF(OR($A304="",$C304=""),"",IFERROR(INDEX(INSUMOS!$P$6:$P$205,MATCH($C304,INSUMOS!$A$6:$A$205,0)),0))</f>
        <v/>
      </c>
      <c r="H304" s="43" t="str">
        <f aca="false">IF(OR($A304="",$C304=""),"",N($F304)*$G304)</f>
        <v/>
      </c>
      <c r="I304" s="34" t="str">
        <f aca="false">IF(OR($A304="",$C304=""),"",IFERROR(MAX(1,INDEX(PRODUCTOS!$G$6:$G$105,MATCH($A304,PRODUCTOS!$A$6:$A$105,0))),1))</f>
        <v/>
      </c>
      <c r="J304" s="43" t="str">
        <f aca="false">IF(OR($A304="",$C304=""),"",$H304/$I304)</f>
        <v/>
      </c>
      <c r="K304" s="34" t="str">
        <f aca="false">IF(OR($A304="",$C304=""),"",SUMIFS(VENTAS!$E$6:$E$2005,VENTAS!$C$6:$C$2005,$A304))</f>
        <v/>
      </c>
      <c r="L304" s="45" t="str">
        <f aca="false">IF(OR($A304="",$C304=""),"",IFERROR(N($F304)/INDEX(INSUMOS!$I$6:$I$205,MATCH($C304,INSUMOS!$A$6:$A$205,0)),N($F304))/$I304*$K304)</f>
        <v/>
      </c>
      <c r="M304" s="8" t="str">
        <f aca="false">IF($A304="","",COUNTIF($A$6:$A304,$A304))</f>
        <v/>
      </c>
      <c r="N304" s="8" t="str">
        <f aca="false">IF($A304="","",$A304&amp;"|"&amp;$M304)</f>
        <v/>
      </c>
    </row>
    <row r="305" customFormat="false" ht="15" hidden="false" customHeight="false" outlineLevel="0" collapsed="false">
      <c r="A305" s="6"/>
      <c r="B305" s="8" t="str">
        <f aca="false">IF($A305="","",IFERROR(INDEX(PRODUCTOS!$B$6:$B$105,MATCH($A305,PRODUCTOS!$A$6:$A$105,0)),"¿Código?"))</f>
        <v/>
      </c>
      <c r="C305" s="6"/>
      <c r="D305" s="8" t="str">
        <f aca="false">IF($C305="","",IFERROR(INDEX(INSUMOS!$B$6:$B$205,MATCH($C305,INSUMOS!$A$6:$A$205,0)),"¿Código?"))</f>
        <v/>
      </c>
      <c r="E305" s="8" t="str">
        <f aca="false">IF($C305="","",IFERROR(INDEX(INSUMOS!$D$6:$D$205,MATCH($C305,INSUMOS!$A$6:$A$205,0)),""))</f>
        <v/>
      </c>
      <c r="F305" s="39"/>
      <c r="G305" s="43" t="str">
        <f aca="false">IF(OR($A305="",$C305=""),"",IFERROR(INDEX(INSUMOS!$P$6:$P$205,MATCH($C305,INSUMOS!$A$6:$A$205,0)),0))</f>
        <v/>
      </c>
      <c r="H305" s="43" t="str">
        <f aca="false">IF(OR($A305="",$C305=""),"",N($F305)*$G305)</f>
        <v/>
      </c>
      <c r="I305" s="34" t="str">
        <f aca="false">IF(OR($A305="",$C305=""),"",IFERROR(MAX(1,INDEX(PRODUCTOS!$G$6:$G$105,MATCH($A305,PRODUCTOS!$A$6:$A$105,0))),1))</f>
        <v/>
      </c>
      <c r="J305" s="43" t="str">
        <f aca="false">IF(OR($A305="",$C305=""),"",$H305/$I305)</f>
        <v/>
      </c>
      <c r="K305" s="34" t="str">
        <f aca="false">IF(OR($A305="",$C305=""),"",SUMIFS(VENTAS!$E$6:$E$2005,VENTAS!$C$6:$C$2005,$A305))</f>
        <v/>
      </c>
      <c r="L305" s="45" t="str">
        <f aca="false">IF(OR($A305="",$C305=""),"",IFERROR(N($F305)/INDEX(INSUMOS!$I$6:$I$205,MATCH($C305,INSUMOS!$A$6:$A$205,0)),N($F305))/$I305*$K305)</f>
        <v/>
      </c>
      <c r="M305" s="8" t="str">
        <f aca="false">IF($A305="","",COUNTIF($A$6:$A305,$A305))</f>
        <v/>
      </c>
      <c r="N305" s="8" t="str">
        <f aca="false">IF($A305="","",$A305&amp;"|"&amp;$M305)</f>
        <v/>
      </c>
    </row>
    <row r="306" customFormat="false" ht="15" hidden="false" customHeight="false" outlineLevel="0" collapsed="false">
      <c r="A306" s="6"/>
      <c r="B306" s="8" t="str">
        <f aca="false">IF($A306="","",IFERROR(INDEX(PRODUCTOS!$B$6:$B$105,MATCH($A306,PRODUCTOS!$A$6:$A$105,0)),"¿Código?"))</f>
        <v/>
      </c>
      <c r="C306" s="6"/>
      <c r="D306" s="8" t="str">
        <f aca="false">IF($C306="","",IFERROR(INDEX(INSUMOS!$B$6:$B$205,MATCH($C306,INSUMOS!$A$6:$A$205,0)),"¿Código?"))</f>
        <v/>
      </c>
      <c r="E306" s="8" t="str">
        <f aca="false">IF($C306="","",IFERROR(INDEX(INSUMOS!$D$6:$D$205,MATCH($C306,INSUMOS!$A$6:$A$205,0)),""))</f>
        <v/>
      </c>
      <c r="F306" s="39"/>
      <c r="G306" s="43" t="str">
        <f aca="false">IF(OR($A306="",$C306=""),"",IFERROR(INDEX(INSUMOS!$P$6:$P$205,MATCH($C306,INSUMOS!$A$6:$A$205,0)),0))</f>
        <v/>
      </c>
      <c r="H306" s="43" t="str">
        <f aca="false">IF(OR($A306="",$C306=""),"",N($F306)*$G306)</f>
        <v/>
      </c>
      <c r="I306" s="34" t="str">
        <f aca="false">IF(OR($A306="",$C306=""),"",IFERROR(MAX(1,INDEX(PRODUCTOS!$G$6:$G$105,MATCH($A306,PRODUCTOS!$A$6:$A$105,0))),1))</f>
        <v/>
      </c>
      <c r="J306" s="43" t="str">
        <f aca="false">IF(OR($A306="",$C306=""),"",$H306/$I306)</f>
        <v/>
      </c>
      <c r="K306" s="34" t="str">
        <f aca="false">IF(OR($A306="",$C306=""),"",SUMIFS(VENTAS!$E$6:$E$2005,VENTAS!$C$6:$C$2005,$A306))</f>
        <v/>
      </c>
      <c r="L306" s="45" t="str">
        <f aca="false">IF(OR($A306="",$C306=""),"",IFERROR(N($F306)/INDEX(INSUMOS!$I$6:$I$205,MATCH($C306,INSUMOS!$A$6:$A$205,0)),N($F306))/$I306*$K306)</f>
        <v/>
      </c>
      <c r="M306" s="8" t="str">
        <f aca="false">IF($A306="","",COUNTIF($A$6:$A306,$A306))</f>
        <v/>
      </c>
      <c r="N306" s="8" t="str">
        <f aca="false">IF($A306="","",$A306&amp;"|"&amp;$M306)</f>
        <v/>
      </c>
    </row>
    <row r="307" customFormat="false" ht="15" hidden="false" customHeight="false" outlineLevel="0" collapsed="false">
      <c r="A307" s="6"/>
      <c r="B307" s="8" t="str">
        <f aca="false">IF($A307="","",IFERROR(INDEX(PRODUCTOS!$B$6:$B$105,MATCH($A307,PRODUCTOS!$A$6:$A$105,0)),"¿Código?"))</f>
        <v/>
      </c>
      <c r="C307" s="6"/>
      <c r="D307" s="8" t="str">
        <f aca="false">IF($C307="","",IFERROR(INDEX(INSUMOS!$B$6:$B$205,MATCH($C307,INSUMOS!$A$6:$A$205,0)),"¿Código?"))</f>
        <v/>
      </c>
      <c r="E307" s="8" t="str">
        <f aca="false">IF($C307="","",IFERROR(INDEX(INSUMOS!$D$6:$D$205,MATCH($C307,INSUMOS!$A$6:$A$205,0)),""))</f>
        <v/>
      </c>
      <c r="F307" s="39"/>
      <c r="G307" s="43" t="str">
        <f aca="false">IF(OR($A307="",$C307=""),"",IFERROR(INDEX(INSUMOS!$P$6:$P$205,MATCH($C307,INSUMOS!$A$6:$A$205,0)),0))</f>
        <v/>
      </c>
      <c r="H307" s="43" t="str">
        <f aca="false">IF(OR($A307="",$C307=""),"",N($F307)*$G307)</f>
        <v/>
      </c>
      <c r="I307" s="34" t="str">
        <f aca="false">IF(OR($A307="",$C307=""),"",IFERROR(MAX(1,INDEX(PRODUCTOS!$G$6:$G$105,MATCH($A307,PRODUCTOS!$A$6:$A$105,0))),1))</f>
        <v/>
      </c>
      <c r="J307" s="43" t="str">
        <f aca="false">IF(OR($A307="",$C307=""),"",$H307/$I307)</f>
        <v/>
      </c>
      <c r="K307" s="34" t="str">
        <f aca="false">IF(OR($A307="",$C307=""),"",SUMIFS(VENTAS!$E$6:$E$2005,VENTAS!$C$6:$C$2005,$A307))</f>
        <v/>
      </c>
      <c r="L307" s="45" t="str">
        <f aca="false">IF(OR($A307="",$C307=""),"",IFERROR(N($F307)/INDEX(INSUMOS!$I$6:$I$205,MATCH($C307,INSUMOS!$A$6:$A$205,0)),N($F307))/$I307*$K307)</f>
        <v/>
      </c>
      <c r="M307" s="8" t="str">
        <f aca="false">IF($A307="","",COUNTIF($A$6:$A307,$A307))</f>
        <v/>
      </c>
      <c r="N307" s="8" t="str">
        <f aca="false">IF($A307="","",$A307&amp;"|"&amp;$M307)</f>
        <v/>
      </c>
    </row>
    <row r="308" customFormat="false" ht="15" hidden="false" customHeight="false" outlineLevel="0" collapsed="false">
      <c r="A308" s="6"/>
      <c r="B308" s="8" t="str">
        <f aca="false">IF($A308="","",IFERROR(INDEX(PRODUCTOS!$B$6:$B$105,MATCH($A308,PRODUCTOS!$A$6:$A$105,0)),"¿Código?"))</f>
        <v/>
      </c>
      <c r="C308" s="6"/>
      <c r="D308" s="8" t="str">
        <f aca="false">IF($C308="","",IFERROR(INDEX(INSUMOS!$B$6:$B$205,MATCH($C308,INSUMOS!$A$6:$A$205,0)),"¿Código?"))</f>
        <v/>
      </c>
      <c r="E308" s="8" t="str">
        <f aca="false">IF($C308="","",IFERROR(INDEX(INSUMOS!$D$6:$D$205,MATCH($C308,INSUMOS!$A$6:$A$205,0)),""))</f>
        <v/>
      </c>
      <c r="F308" s="39"/>
      <c r="G308" s="43" t="str">
        <f aca="false">IF(OR($A308="",$C308=""),"",IFERROR(INDEX(INSUMOS!$P$6:$P$205,MATCH($C308,INSUMOS!$A$6:$A$205,0)),0))</f>
        <v/>
      </c>
      <c r="H308" s="43" t="str">
        <f aca="false">IF(OR($A308="",$C308=""),"",N($F308)*$G308)</f>
        <v/>
      </c>
      <c r="I308" s="34" t="str">
        <f aca="false">IF(OR($A308="",$C308=""),"",IFERROR(MAX(1,INDEX(PRODUCTOS!$G$6:$G$105,MATCH($A308,PRODUCTOS!$A$6:$A$105,0))),1))</f>
        <v/>
      </c>
      <c r="J308" s="43" t="str">
        <f aca="false">IF(OR($A308="",$C308=""),"",$H308/$I308)</f>
        <v/>
      </c>
      <c r="K308" s="34" t="str">
        <f aca="false">IF(OR($A308="",$C308=""),"",SUMIFS(VENTAS!$E$6:$E$2005,VENTAS!$C$6:$C$2005,$A308))</f>
        <v/>
      </c>
      <c r="L308" s="45" t="str">
        <f aca="false">IF(OR($A308="",$C308=""),"",IFERROR(N($F308)/INDEX(INSUMOS!$I$6:$I$205,MATCH($C308,INSUMOS!$A$6:$A$205,0)),N($F308))/$I308*$K308)</f>
        <v/>
      </c>
      <c r="M308" s="8" t="str">
        <f aca="false">IF($A308="","",COUNTIF($A$6:$A308,$A308))</f>
        <v/>
      </c>
      <c r="N308" s="8" t="str">
        <f aca="false">IF($A308="","",$A308&amp;"|"&amp;$M308)</f>
        <v/>
      </c>
    </row>
    <row r="309" customFormat="false" ht="15" hidden="false" customHeight="false" outlineLevel="0" collapsed="false">
      <c r="A309" s="6"/>
      <c r="B309" s="8" t="str">
        <f aca="false">IF($A309="","",IFERROR(INDEX(PRODUCTOS!$B$6:$B$105,MATCH($A309,PRODUCTOS!$A$6:$A$105,0)),"¿Código?"))</f>
        <v/>
      </c>
      <c r="C309" s="6"/>
      <c r="D309" s="8" t="str">
        <f aca="false">IF($C309="","",IFERROR(INDEX(INSUMOS!$B$6:$B$205,MATCH($C309,INSUMOS!$A$6:$A$205,0)),"¿Código?"))</f>
        <v/>
      </c>
      <c r="E309" s="8" t="str">
        <f aca="false">IF($C309="","",IFERROR(INDEX(INSUMOS!$D$6:$D$205,MATCH($C309,INSUMOS!$A$6:$A$205,0)),""))</f>
        <v/>
      </c>
      <c r="F309" s="39"/>
      <c r="G309" s="43" t="str">
        <f aca="false">IF(OR($A309="",$C309=""),"",IFERROR(INDEX(INSUMOS!$P$6:$P$205,MATCH($C309,INSUMOS!$A$6:$A$205,0)),0))</f>
        <v/>
      </c>
      <c r="H309" s="43" t="str">
        <f aca="false">IF(OR($A309="",$C309=""),"",N($F309)*$G309)</f>
        <v/>
      </c>
      <c r="I309" s="34" t="str">
        <f aca="false">IF(OR($A309="",$C309=""),"",IFERROR(MAX(1,INDEX(PRODUCTOS!$G$6:$G$105,MATCH($A309,PRODUCTOS!$A$6:$A$105,0))),1))</f>
        <v/>
      </c>
      <c r="J309" s="43" t="str">
        <f aca="false">IF(OR($A309="",$C309=""),"",$H309/$I309)</f>
        <v/>
      </c>
      <c r="K309" s="34" t="str">
        <f aca="false">IF(OR($A309="",$C309=""),"",SUMIFS(VENTAS!$E$6:$E$2005,VENTAS!$C$6:$C$2005,$A309))</f>
        <v/>
      </c>
      <c r="L309" s="45" t="str">
        <f aca="false">IF(OR($A309="",$C309=""),"",IFERROR(N($F309)/INDEX(INSUMOS!$I$6:$I$205,MATCH($C309,INSUMOS!$A$6:$A$205,0)),N($F309))/$I309*$K309)</f>
        <v/>
      </c>
      <c r="M309" s="8" t="str">
        <f aca="false">IF($A309="","",COUNTIF($A$6:$A309,$A309))</f>
        <v/>
      </c>
      <c r="N309" s="8" t="str">
        <f aca="false">IF($A309="","",$A309&amp;"|"&amp;$M309)</f>
        <v/>
      </c>
    </row>
    <row r="310" customFormat="false" ht="15" hidden="false" customHeight="false" outlineLevel="0" collapsed="false">
      <c r="A310" s="6"/>
      <c r="B310" s="8" t="str">
        <f aca="false">IF($A310="","",IFERROR(INDEX(PRODUCTOS!$B$6:$B$105,MATCH($A310,PRODUCTOS!$A$6:$A$105,0)),"¿Código?"))</f>
        <v/>
      </c>
      <c r="C310" s="6"/>
      <c r="D310" s="8" t="str">
        <f aca="false">IF($C310="","",IFERROR(INDEX(INSUMOS!$B$6:$B$205,MATCH($C310,INSUMOS!$A$6:$A$205,0)),"¿Código?"))</f>
        <v/>
      </c>
      <c r="E310" s="8" t="str">
        <f aca="false">IF($C310="","",IFERROR(INDEX(INSUMOS!$D$6:$D$205,MATCH($C310,INSUMOS!$A$6:$A$205,0)),""))</f>
        <v/>
      </c>
      <c r="F310" s="39"/>
      <c r="G310" s="43" t="str">
        <f aca="false">IF(OR($A310="",$C310=""),"",IFERROR(INDEX(INSUMOS!$P$6:$P$205,MATCH($C310,INSUMOS!$A$6:$A$205,0)),0))</f>
        <v/>
      </c>
      <c r="H310" s="43" t="str">
        <f aca="false">IF(OR($A310="",$C310=""),"",N($F310)*$G310)</f>
        <v/>
      </c>
      <c r="I310" s="34" t="str">
        <f aca="false">IF(OR($A310="",$C310=""),"",IFERROR(MAX(1,INDEX(PRODUCTOS!$G$6:$G$105,MATCH($A310,PRODUCTOS!$A$6:$A$105,0))),1))</f>
        <v/>
      </c>
      <c r="J310" s="43" t="str">
        <f aca="false">IF(OR($A310="",$C310=""),"",$H310/$I310)</f>
        <v/>
      </c>
      <c r="K310" s="34" t="str">
        <f aca="false">IF(OR($A310="",$C310=""),"",SUMIFS(VENTAS!$E$6:$E$2005,VENTAS!$C$6:$C$2005,$A310))</f>
        <v/>
      </c>
      <c r="L310" s="45" t="str">
        <f aca="false">IF(OR($A310="",$C310=""),"",IFERROR(N($F310)/INDEX(INSUMOS!$I$6:$I$205,MATCH($C310,INSUMOS!$A$6:$A$205,0)),N($F310))/$I310*$K310)</f>
        <v/>
      </c>
      <c r="M310" s="8" t="str">
        <f aca="false">IF($A310="","",COUNTIF($A$6:$A310,$A310))</f>
        <v/>
      </c>
      <c r="N310" s="8" t="str">
        <f aca="false">IF($A310="","",$A310&amp;"|"&amp;$M310)</f>
        <v/>
      </c>
    </row>
    <row r="311" customFormat="false" ht="15" hidden="false" customHeight="false" outlineLevel="0" collapsed="false">
      <c r="A311" s="6"/>
      <c r="B311" s="8" t="str">
        <f aca="false">IF($A311="","",IFERROR(INDEX(PRODUCTOS!$B$6:$B$105,MATCH($A311,PRODUCTOS!$A$6:$A$105,0)),"¿Código?"))</f>
        <v/>
      </c>
      <c r="C311" s="6"/>
      <c r="D311" s="8" t="str">
        <f aca="false">IF($C311="","",IFERROR(INDEX(INSUMOS!$B$6:$B$205,MATCH($C311,INSUMOS!$A$6:$A$205,0)),"¿Código?"))</f>
        <v/>
      </c>
      <c r="E311" s="8" t="str">
        <f aca="false">IF($C311="","",IFERROR(INDEX(INSUMOS!$D$6:$D$205,MATCH($C311,INSUMOS!$A$6:$A$205,0)),""))</f>
        <v/>
      </c>
      <c r="F311" s="39"/>
      <c r="G311" s="43" t="str">
        <f aca="false">IF(OR($A311="",$C311=""),"",IFERROR(INDEX(INSUMOS!$P$6:$P$205,MATCH($C311,INSUMOS!$A$6:$A$205,0)),0))</f>
        <v/>
      </c>
      <c r="H311" s="43" t="str">
        <f aca="false">IF(OR($A311="",$C311=""),"",N($F311)*$G311)</f>
        <v/>
      </c>
      <c r="I311" s="34" t="str">
        <f aca="false">IF(OR($A311="",$C311=""),"",IFERROR(MAX(1,INDEX(PRODUCTOS!$G$6:$G$105,MATCH($A311,PRODUCTOS!$A$6:$A$105,0))),1))</f>
        <v/>
      </c>
      <c r="J311" s="43" t="str">
        <f aca="false">IF(OR($A311="",$C311=""),"",$H311/$I311)</f>
        <v/>
      </c>
      <c r="K311" s="34" t="str">
        <f aca="false">IF(OR($A311="",$C311=""),"",SUMIFS(VENTAS!$E$6:$E$2005,VENTAS!$C$6:$C$2005,$A311))</f>
        <v/>
      </c>
      <c r="L311" s="45" t="str">
        <f aca="false">IF(OR($A311="",$C311=""),"",IFERROR(N($F311)/INDEX(INSUMOS!$I$6:$I$205,MATCH($C311,INSUMOS!$A$6:$A$205,0)),N($F311))/$I311*$K311)</f>
        <v/>
      </c>
      <c r="M311" s="8" t="str">
        <f aca="false">IF($A311="","",COUNTIF($A$6:$A311,$A311))</f>
        <v/>
      </c>
      <c r="N311" s="8" t="str">
        <f aca="false">IF($A311="","",$A311&amp;"|"&amp;$M311)</f>
        <v/>
      </c>
    </row>
    <row r="312" customFormat="false" ht="15" hidden="false" customHeight="false" outlineLevel="0" collapsed="false">
      <c r="A312" s="6"/>
      <c r="B312" s="8" t="str">
        <f aca="false">IF($A312="","",IFERROR(INDEX(PRODUCTOS!$B$6:$B$105,MATCH($A312,PRODUCTOS!$A$6:$A$105,0)),"¿Código?"))</f>
        <v/>
      </c>
      <c r="C312" s="6"/>
      <c r="D312" s="8" t="str">
        <f aca="false">IF($C312="","",IFERROR(INDEX(INSUMOS!$B$6:$B$205,MATCH($C312,INSUMOS!$A$6:$A$205,0)),"¿Código?"))</f>
        <v/>
      </c>
      <c r="E312" s="8" t="str">
        <f aca="false">IF($C312="","",IFERROR(INDEX(INSUMOS!$D$6:$D$205,MATCH($C312,INSUMOS!$A$6:$A$205,0)),""))</f>
        <v/>
      </c>
      <c r="F312" s="39"/>
      <c r="G312" s="43" t="str">
        <f aca="false">IF(OR($A312="",$C312=""),"",IFERROR(INDEX(INSUMOS!$P$6:$P$205,MATCH($C312,INSUMOS!$A$6:$A$205,0)),0))</f>
        <v/>
      </c>
      <c r="H312" s="43" t="str">
        <f aca="false">IF(OR($A312="",$C312=""),"",N($F312)*$G312)</f>
        <v/>
      </c>
      <c r="I312" s="34" t="str">
        <f aca="false">IF(OR($A312="",$C312=""),"",IFERROR(MAX(1,INDEX(PRODUCTOS!$G$6:$G$105,MATCH($A312,PRODUCTOS!$A$6:$A$105,0))),1))</f>
        <v/>
      </c>
      <c r="J312" s="43" t="str">
        <f aca="false">IF(OR($A312="",$C312=""),"",$H312/$I312)</f>
        <v/>
      </c>
      <c r="K312" s="34" t="str">
        <f aca="false">IF(OR($A312="",$C312=""),"",SUMIFS(VENTAS!$E$6:$E$2005,VENTAS!$C$6:$C$2005,$A312))</f>
        <v/>
      </c>
      <c r="L312" s="45" t="str">
        <f aca="false">IF(OR($A312="",$C312=""),"",IFERROR(N($F312)/INDEX(INSUMOS!$I$6:$I$205,MATCH($C312,INSUMOS!$A$6:$A$205,0)),N($F312))/$I312*$K312)</f>
        <v/>
      </c>
      <c r="M312" s="8" t="str">
        <f aca="false">IF($A312="","",COUNTIF($A$6:$A312,$A312))</f>
        <v/>
      </c>
      <c r="N312" s="8" t="str">
        <f aca="false">IF($A312="","",$A312&amp;"|"&amp;$M312)</f>
        <v/>
      </c>
    </row>
    <row r="313" customFormat="false" ht="15" hidden="false" customHeight="false" outlineLevel="0" collapsed="false">
      <c r="A313" s="6"/>
      <c r="B313" s="8" t="str">
        <f aca="false">IF($A313="","",IFERROR(INDEX(PRODUCTOS!$B$6:$B$105,MATCH($A313,PRODUCTOS!$A$6:$A$105,0)),"¿Código?"))</f>
        <v/>
      </c>
      <c r="C313" s="6"/>
      <c r="D313" s="8" t="str">
        <f aca="false">IF($C313="","",IFERROR(INDEX(INSUMOS!$B$6:$B$205,MATCH($C313,INSUMOS!$A$6:$A$205,0)),"¿Código?"))</f>
        <v/>
      </c>
      <c r="E313" s="8" t="str">
        <f aca="false">IF($C313="","",IFERROR(INDEX(INSUMOS!$D$6:$D$205,MATCH($C313,INSUMOS!$A$6:$A$205,0)),""))</f>
        <v/>
      </c>
      <c r="F313" s="39"/>
      <c r="G313" s="43" t="str">
        <f aca="false">IF(OR($A313="",$C313=""),"",IFERROR(INDEX(INSUMOS!$P$6:$P$205,MATCH($C313,INSUMOS!$A$6:$A$205,0)),0))</f>
        <v/>
      </c>
      <c r="H313" s="43" t="str">
        <f aca="false">IF(OR($A313="",$C313=""),"",N($F313)*$G313)</f>
        <v/>
      </c>
      <c r="I313" s="34" t="str">
        <f aca="false">IF(OR($A313="",$C313=""),"",IFERROR(MAX(1,INDEX(PRODUCTOS!$G$6:$G$105,MATCH($A313,PRODUCTOS!$A$6:$A$105,0))),1))</f>
        <v/>
      </c>
      <c r="J313" s="43" t="str">
        <f aca="false">IF(OR($A313="",$C313=""),"",$H313/$I313)</f>
        <v/>
      </c>
      <c r="K313" s="34" t="str">
        <f aca="false">IF(OR($A313="",$C313=""),"",SUMIFS(VENTAS!$E$6:$E$2005,VENTAS!$C$6:$C$2005,$A313))</f>
        <v/>
      </c>
      <c r="L313" s="45" t="str">
        <f aca="false">IF(OR($A313="",$C313=""),"",IFERROR(N($F313)/INDEX(INSUMOS!$I$6:$I$205,MATCH($C313,INSUMOS!$A$6:$A$205,0)),N($F313))/$I313*$K313)</f>
        <v/>
      </c>
      <c r="M313" s="8" t="str">
        <f aca="false">IF($A313="","",COUNTIF($A$6:$A313,$A313))</f>
        <v/>
      </c>
      <c r="N313" s="8" t="str">
        <f aca="false">IF($A313="","",$A313&amp;"|"&amp;$M313)</f>
        <v/>
      </c>
    </row>
    <row r="314" customFormat="false" ht="15" hidden="false" customHeight="false" outlineLevel="0" collapsed="false">
      <c r="A314" s="6"/>
      <c r="B314" s="8" t="str">
        <f aca="false">IF($A314="","",IFERROR(INDEX(PRODUCTOS!$B$6:$B$105,MATCH($A314,PRODUCTOS!$A$6:$A$105,0)),"¿Código?"))</f>
        <v/>
      </c>
      <c r="C314" s="6"/>
      <c r="D314" s="8" t="str">
        <f aca="false">IF($C314="","",IFERROR(INDEX(INSUMOS!$B$6:$B$205,MATCH($C314,INSUMOS!$A$6:$A$205,0)),"¿Código?"))</f>
        <v/>
      </c>
      <c r="E314" s="8" t="str">
        <f aca="false">IF($C314="","",IFERROR(INDEX(INSUMOS!$D$6:$D$205,MATCH($C314,INSUMOS!$A$6:$A$205,0)),""))</f>
        <v/>
      </c>
      <c r="F314" s="39"/>
      <c r="G314" s="43" t="str">
        <f aca="false">IF(OR($A314="",$C314=""),"",IFERROR(INDEX(INSUMOS!$P$6:$P$205,MATCH($C314,INSUMOS!$A$6:$A$205,0)),0))</f>
        <v/>
      </c>
      <c r="H314" s="43" t="str">
        <f aca="false">IF(OR($A314="",$C314=""),"",N($F314)*$G314)</f>
        <v/>
      </c>
      <c r="I314" s="34" t="str">
        <f aca="false">IF(OR($A314="",$C314=""),"",IFERROR(MAX(1,INDEX(PRODUCTOS!$G$6:$G$105,MATCH($A314,PRODUCTOS!$A$6:$A$105,0))),1))</f>
        <v/>
      </c>
      <c r="J314" s="43" t="str">
        <f aca="false">IF(OR($A314="",$C314=""),"",$H314/$I314)</f>
        <v/>
      </c>
      <c r="K314" s="34" t="str">
        <f aca="false">IF(OR($A314="",$C314=""),"",SUMIFS(VENTAS!$E$6:$E$2005,VENTAS!$C$6:$C$2005,$A314))</f>
        <v/>
      </c>
      <c r="L314" s="45" t="str">
        <f aca="false">IF(OR($A314="",$C314=""),"",IFERROR(N($F314)/INDEX(INSUMOS!$I$6:$I$205,MATCH($C314,INSUMOS!$A$6:$A$205,0)),N($F314))/$I314*$K314)</f>
        <v/>
      </c>
      <c r="M314" s="8" t="str">
        <f aca="false">IF($A314="","",COUNTIF($A$6:$A314,$A314))</f>
        <v/>
      </c>
      <c r="N314" s="8" t="str">
        <f aca="false">IF($A314="","",$A314&amp;"|"&amp;$M314)</f>
        <v/>
      </c>
    </row>
    <row r="315" customFormat="false" ht="15" hidden="false" customHeight="false" outlineLevel="0" collapsed="false">
      <c r="A315" s="6"/>
      <c r="B315" s="8" t="str">
        <f aca="false">IF($A315="","",IFERROR(INDEX(PRODUCTOS!$B$6:$B$105,MATCH($A315,PRODUCTOS!$A$6:$A$105,0)),"¿Código?"))</f>
        <v/>
      </c>
      <c r="C315" s="6"/>
      <c r="D315" s="8" t="str">
        <f aca="false">IF($C315="","",IFERROR(INDEX(INSUMOS!$B$6:$B$205,MATCH($C315,INSUMOS!$A$6:$A$205,0)),"¿Código?"))</f>
        <v/>
      </c>
      <c r="E315" s="8" t="str">
        <f aca="false">IF($C315="","",IFERROR(INDEX(INSUMOS!$D$6:$D$205,MATCH($C315,INSUMOS!$A$6:$A$205,0)),""))</f>
        <v/>
      </c>
      <c r="F315" s="39"/>
      <c r="G315" s="43" t="str">
        <f aca="false">IF(OR($A315="",$C315=""),"",IFERROR(INDEX(INSUMOS!$P$6:$P$205,MATCH($C315,INSUMOS!$A$6:$A$205,0)),0))</f>
        <v/>
      </c>
      <c r="H315" s="43" t="str">
        <f aca="false">IF(OR($A315="",$C315=""),"",N($F315)*$G315)</f>
        <v/>
      </c>
      <c r="I315" s="34" t="str">
        <f aca="false">IF(OR($A315="",$C315=""),"",IFERROR(MAX(1,INDEX(PRODUCTOS!$G$6:$G$105,MATCH($A315,PRODUCTOS!$A$6:$A$105,0))),1))</f>
        <v/>
      </c>
      <c r="J315" s="43" t="str">
        <f aca="false">IF(OR($A315="",$C315=""),"",$H315/$I315)</f>
        <v/>
      </c>
      <c r="K315" s="34" t="str">
        <f aca="false">IF(OR($A315="",$C315=""),"",SUMIFS(VENTAS!$E$6:$E$2005,VENTAS!$C$6:$C$2005,$A315))</f>
        <v/>
      </c>
      <c r="L315" s="45" t="str">
        <f aca="false">IF(OR($A315="",$C315=""),"",IFERROR(N($F315)/INDEX(INSUMOS!$I$6:$I$205,MATCH($C315,INSUMOS!$A$6:$A$205,0)),N($F315))/$I315*$K315)</f>
        <v/>
      </c>
      <c r="M315" s="8" t="str">
        <f aca="false">IF($A315="","",COUNTIF($A$6:$A315,$A315))</f>
        <v/>
      </c>
      <c r="N315" s="8" t="str">
        <f aca="false">IF($A315="","",$A315&amp;"|"&amp;$M315)</f>
        <v/>
      </c>
    </row>
    <row r="316" customFormat="false" ht="15" hidden="false" customHeight="false" outlineLevel="0" collapsed="false">
      <c r="A316" s="6"/>
      <c r="B316" s="8" t="str">
        <f aca="false">IF($A316="","",IFERROR(INDEX(PRODUCTOS!$B$6:$B$105,MATCH($A316,PRODUCTOS!$A$6:$A$105,0)),"¿Código?"))</f>
        <v/>
      </c>
      <c r="C316" s="6"/>
      <c r="D316" s="8" t="str">
        <f aca="false">IF($C316="","",IFERROR(INDEX(INSUMOS!$B$6:$B$205,MATCH($C316,INSUMOS!$A$6:$A$205,0)),"¿Código?"))</f>
        <v/>
      </c>
      <c r="E316" s="8" t="str">
        <f aca="false">IF($C316="","",IFERROR(INDEX(INSUMOS!$D$6:$D$205,MATCH($C316,INSUMOS!$A$6:$A$205,0)),""))</f>
        <v/>
      </c>
      <c r="F316" s="39"/>
      <c r="G316" s="43" t="str">
        <f aca="false">IF(OR($A316="",$C316=""),"",IFERROR(INDEX(INSUMOS!$P$6:$P$205,MATCH($C316,INSUMOS!$A$6:$A$205,0)),0))</f>
        <v/>
      </c>
      <c r="H316" s="43" t="str">
        <f aca="false">IF(OR($A316="",$C316=""),"",N($F316)*$G316)</f>
        <v/>
      </c>
      <c r="I316" s="34" t="str">
        <f aca="false">IF(OR($A316="",$C316=""),"",IFERROR(MAX(1,INDEX(PRODUCTOS!$G$6:$G$105,MATCH($A316,PRODUCTOS!$A$6:$A$105,0))),1))</f>
        <v/>
      </c>
      <c r="J316" s="43" t="str">
        <f aca="false">IF(OR($A316="",$C316=""),"",$H316/$I316)</f>
        <v/>
      </c>
      <c r="K316" s="34" t="str">
        <f aca="false">IF(OR($A316="",$C316=""),"",SUMIFS(VENTAS!$E$6:$E$2005,VENTAS!$C$6:$C$2005,$A316))</f>
        <v/>
      </c>
      <c r="L316" s="45" t="str">
        <f aca="false">IF(OR($A316="",$C316=""),"",IFERROR(N($F316)/INDEX(INSUMOS!$I$6:$I$205,MATCH($C316,INSUMOS!$A$6:$A$205,0)),N($F316))/$I316*$K316)</f>
        <v/>
      </c>
      <c r="M316" s="8" t="str">
        <f aca="false">IF($A316="","",COUNTIF($A$6:$A316,$A316))</f>
        <v/>
      </c>
      <c r="N316" s="8" t="str">
        <f aca="false">IF($A316="","",$A316&amp;"|"&amp;$M316)</f>
        <v/>
      </c>
    </row>
    <row r="317" customFormat="false" ht="15" hidden="false" customHeight="false" outlineLevel="0" collapsed="false">
      <c r="A317" s="6"/>
      <c r="B317" s="8" t="str">
        <f aca="false">IF($A317="","",IFERROR(INDEX(PRODUCTOS!$B$6:$B$105,MATCH($A317,PRODUCTOS!$A$6:$A$105,0)),"¿Código?"))</f>
        <v/>
      </c>
      <c r="C317" s="6"/>
      <c r="D317" s="8" t="str">
        <f aca="false">IF($C317="","",IFERROR(INDEX(INSUMOS!$B$6:$B$205,MATCH($C317,INSUMOS!$A$6:$A$205,0)),"¿Código?"))</f>
        <v/>
      </c>
      <c r="E317" s="8" t="str">
        <f aca="false">IF($C317="","",IFERROR(INDEX(INSUMOS!$D$6:$D$205,MATCH($C317,INSUMOS!$A$6:$A$205,0)),""))</f>
        <v/>
      </c>
      <c r="F317" s="39"/>
      <c r="G317" s="43" t="str">
        <f aca="false">IF(OR($A317="",$C317=""),"",IFERROR(INDEX(INSUMOS!$P$6:$P$205,MATCH($C317,INSUMOS!$A$6:$A$205,0)),0))</f>
        <v/>
      </c>
      <c r="H317" s="43" t="str">
        <f aca="false">IF(OR($A317="",$C317=""),"",N($F317)*$G317)</f>
        <v/>
      </c>
      <c r="I317" s="34" t="str">
        <f aca="false">IF(OR($A317="",$C317=""),"",IFERROR(MAX(1,INDEX(PRODUCTOS!$G$6:$G$105,MATCH($A317,PRODUCTOS!$A$6:$A$105,0))),1))</f>
        <v/>
      </c>
      <c r="J317" s="43" t="str">
        <f aca="false">IF(OR($A317="",$C317=""),"",$H317/$I317)</f>
        <v/>
      </c>
      <c r="K317" s="34" t="str">
        <f aca="false">IF(OR($A317="",$C317=""),"",SUMIFS(VENTAS!$E$6:$E$2005,VENTAS!$C$6:$C$2005,$A317))</f>
        <v/>
      </c>
      <c r="L317" s="45" t="str">
        <f aca="false">IF(OR($A317="",$C317=""),"",IFERROR(N($F317)/INDEX(INSUMOS!$I$6:$I$205,MATCH($C317,INSUMOS!$A$6:$A$205,0)),N($F317))/$I317*$K317)</f>
        <v/>
      </c>
      <c r="M317" s="8" t="str">
        <f aca="false">IF($A317="","",COUNTIF($A$6:$A317,$A317))</f>
        <v/>
      </c>
      <c r="N317" s="8" t="str">
        <f aca="false">IF($A317="","",$A317&amp;"|"&amp;$M317)</f>
        <v/>
      </c>
    </row>
    <row r="318" customFormat="false" ht="15" hidden="false" customHeight="false" outlineLevel="0" collapsed="false">
      <c r="A318" s="6"/>
      <c r="B318" s="8" t="str">
        <f aca="false">IF($A318="","",IFERROR(INDEX(PRODUCTOS!$B$6:$B$105,MATCH($A318,PRODUCTOS!$A$6:$A$105,0)),"¿Código?"))</f>
        <v/>
      </c>
      <c r="C318" s="6"/>
      <c r="D318" s="8" t="str">
        <f aca="false">IF($C318="","",IFERROR(INDEX(INSUMOS!$B$6:$B$205,MATCH($C318,INSUMOS!$A$6:$A$205,0)),"¿Código?"))</f>
        <v/>
      </c>
      <c r="E318" s="8" t="str">
        <f aca="false">IF($C318="","",IFERROR(INDEX(INSUMOS!$D$6:$D$205,MATCH($C318,INSUMOS!$A$6:$A$205,0)),""))</f>
        <v/>
      </c>
      <c r="F318" s="39"/>
      <c r="G318" s="43" t="str">
        <f aca="false">IF(OR($A318="",$C318=""),"",IFERROR(INDEX(INSUMOS!$P$6:$P$205,MATCH($C318,INSUMOS!$A$6:$A$205,0)),0))</f>
        <v/>
      </c>
      <c r="H318" s="43" t="str">
        <f aca="false">IF(OR($A318="",$C318=""),"",N($F318)*$G318)</f>
        <v/>
      </c>
      <c r="I318" s="34" t="str">
        <f aca="false">IF(OR($A318="",$C318=""),"",IFERROR(MAX(1,INDEX(PRODUCTOS!$G$6:$G$105,MATCH($A318,PRODUCTOS!$A$6:$A$105,0))),1))</f>
        <v/>
      </c>
      <c r="J318" s="43" t="str">
        <f aca="false">IF(OR($A318="",$C318=""),"",$H318/$I318)</f>
        <v/>
      </c>
      <c r="K318" s="34" t="str">
        <f aca="false">IF(OR($A318="",$C318=""),"",SUMIFS(VENTAS!$E$6:$E$2005,VENTAS!$C$6:$C$2005,$A318))</f>
        <v/>
      </c>
      <c r="L318" s="45" t="str">
        <f aca="false">IF(OR($A318="",$C318=""),"",IFERROR(N($F318)/INDEX(INSUMOS!$I$6:$I$205,MATCH($C318,INSUMOS!$A$6:$A$205,0)),N($F318))/$I318*$K318)</f>
        <v/>
      </c>
      <c r="M318" s="8" t="str">
        <f aca="false">IF($A318="","",COUNTIF($A$6:$A318,$A318))</f>
        <v/>
      </c>
      <c r="N318" s="8" t="str">
        <f aca="false">IF($A318="","",$A318&amp;"|"&amp;$M318)</f>
        <v/>
      </c>
    </row>
    <row r="319" customFormat="false" ht="15" hidden="false" customHeight="false" outlineLevel="0" collapsed="false">
      <c r="A319" s="6"/>
      <c r="B319" s="8" t="str">
        <f aca="false">IF($A319="","",IFERROR(INDEX(PRODUCTOS!$B$6:$B$105,MATCH($A319,PRODUCTOS!$A$6:$A$105,0)),"¿Código?"))</f>
        <v/>
      </c>
      <c r="C319" s="6"/>
      <c r="D319" s="8" t="str">
        <f aca="false">IF($C319="","",IFERROR(INDEX(INSUMOS!$B$6:$B$205,MATCH($C319,INSUMOS!$A$6:$A$205,0)),"¿Código?"))</f>
        <v/>
      </c>
      <c r="E319" s="8" t="str">
        <f aca="false">IF($C319="","",IFERROR(INDEX(INSUMOS!$D$6:$D$205,MATCH($C319,INSUMOS!$A$6:$A$205,0)),""))</f>
        <v/>
      </c>
      <c r="F319" s="39"/>
      <c r="G319" s="43" t="str">
        <f aca="false">IF(OR($A319="",$C319=""),"",IFERROR(INDEX(INSUMOS!$P$6:$P$205,MATCH($C319,INSUMOS!$A$6:$A$205,0)),0))</f>
        <v/>
      </c>
      <c r="H319" s="43" t="str">
        <f aca="false">IF(OR($A319="",$C319=""),"",N($F319)*$G319)</f>
        <v/>
      </c>
      <c r="I319" s="34" t="str">
        <f aca="false">IF(OR($A319="",$C319=""),"",IFERROR(MAX(1,INDEX(PRODUCTOS!$G$6:$G$105,MATCH($A319,PRODUCTOS!$A$6:$A$105,0))),1))</f>
        <v/>
      </c>
      <c r="J319" s="43" t="str">
        <f aca="false">IF(OR($A319="",$C319=""),"",$H319/$I319)</f>
        <v/>
      </c>
      <c r="K319" s="34" t="str">
        <f aca="false">IF(OR($A319="",$C319=""),"",SUMIFS(VENTAS!$E$6:$E$2005,VENTAS!$C$6:$C$2005,$A319))</f>
        <v/>
      </c>
      <c r="L319" s="45" t="str">
        <f aca="false">IF(OR($A319="",$C319=""),"",IFERROR(N($F319)/INDEX(INSUMOS!$I$6:$I$205,MATCH($C319,INSUMOS!$A$6:$A$205,0)),N($F319))/$I319*$K319)</f>
        <v/>
      </c>
      <c r="M319" s="8" t="str">
        <f aca="false">IF($A319="","",COUNTIF($A$6:$A319,$A319))</f>
        <v/>
      </c>
      <c r="N319" s="8" t="str">
        <f aca="false">IF($A319="","",$A319&amp;"|"&amp;$M319)</f>
        <v/>
      </c>
    </row>
    <row r="320" customFormat="false" ht="15" hidden="false" customHeight="false" outlineLevel="0" collapsed="false">
      <c r="A320" s="6"/>
      <c r="B320" s="8" t="str">
        <f aca="false">IF($A320="","",IFERROR(INDEX(PRODUCTOS!$B$6:$B$105,MATCH($A320,PRODUCTOS!$A$6:$A$105,0)),"¿Código?"))</f>
        <v/>
      </c>
      <c r="C320" s="6"/>
      <c r="D320" s="8" t="str">
        <f aca="false">IF($C320="","",IFERROR(INDEX(INSUMOS!$B$6:$B$205,MATCH($C320,INSUMOS!$A$6:$A$205,0)),"¿Código?"))</f>
        <v/>
      </c>
      <c r="E320" s="8" t="str">
        <f aca="false">IF($C320="","",IFERROR(INDEX(INSUMOS!$D$6:$D$205,MATCH($C320,INSUMOS!$A$6:$A$205,0)),""))</f>
        <v/>
      </c>
      <c r="F320" s="39"/>
      <c r="G320" s="43" t="str">
        <f aca="false">IF(OR($A320="",$C320=""),"",IFERROR(INDEX(INSUMOS!$P$6:$P$205,MATCH($C320,INSUMOS!$A$6:$A$205,0)),0))</f>
        <v/>
      </c>
      <c r="H320" s="43" t="str">
        <f aca="false">IF(OR($A320="",$C320=""),"",N($F320)*$G320)</f>
        <v/>
      </c>
      <c r="I320" s="34" t="str">
        <f aca="false">IF(OR($A320="",$C320=""),"",IFERROR(MAX(1,INDEX(PRODUCTOS!$G$6:$G$105,MATCH($A320,PRODUCTOS!$A$6:$A$105,0))),1))</f>
        <v/>
      </c>
      <c r="J320" s="43" t="str">
        <f aca="false">IF(OR($A320="",$C320=""),"",$H320/$I320)</f>
        <v/>
      </c>
      <c r="K320" s="34" t="str">
        <f aca="false">IF(OR($A320="",$C320=""),"",SUMIFS(VENTAS!$E$6:$E$2005,VENTAS!$C$6:$C$2005,$A320))</f>
        <v/>
      </c>
      <c r="L320" s="45" t="str">
        <f aca="false">IF(OR($A320="",$C320=""),"",IFERROR(N($F320)/INDEX(INSUMOS!$I$6:$I$205,MATCH($C320,INSUMOS!$A$6:$A$205,0)),N($F320))/$I320*$K320)</f>
        <v/>
      </c>
      <c r="M320" s="8" t="str">
        <f aca="false">IF($A320="","",COUNTIF($A$6:$A320,$A320))</f>
        <v/>
      </c>
      <c r="N320" s="8" t="str">
        <f aca="false">IF($A320="","",$A320&amp;"|"&amp;$M320)</f>
        <v/>
      </c>
    </row>
    <row r="321" customFormat="false" ht="15" hidden="false" customHeight="false" outlineLevel="0" collapsed="false">
      <c r="A321" s="6"/>
      <c r="B321" s="8" t="str">
        <f aca="false">IF($A321="","",IFERROR(INDEX(PRODUCTOS!$B$6:$B$105,MATCH($A321,PRODUCTOS!$A$6:$A$105,0)),"¿Código?"))</f>
        <v/>
      </c>
      <c r="C321" s="6"/>
      <c r="D321" s="8" t="str">
        <f aca="false">IF($C321="","",IFERROR(INDEX(INSUMOS!$B$6:$B$205,MATCH($C321,INSUMOS!$A$6:$A$205,0)),"¿Código?"))</f>
        <v/>
      </c>
      <c r="E321" s="8" t="str">
        <f aca="false">IF($C321="","",IFERROR(INDEX(INSUMOS!$D$6:$D$205,MATCH($C321,INSUMOS!$A$6:$A$205,0)),""))</f>
        <v/>
      </c>
      <c r="F321" s="39"/>
      <c r="G321" s="43" t="str">
        <f aca="false">IF(OR($A321="",$C321=""),"",IFERROR(INDEX(INSUMOS!$P$6:$P$205,MATCH($C321,INSUMOS!$A$6:$A$205,0)),0))</f>
        <v/>
      </c>
      <c r="H321" s="43" t="str">
        <f aca="false">IF(OR($A321="",$C321=""),"",N($F321)*$G321)</f>
        <v/>
      </c>
      <c r="I321" s="34" t="str">
        <f aca="false">IF(OR($A321="",$C321=""),"",IFERROR(MAX(1,INDEX(PRODUCTOS!$G$6:$G$105,MATCH($A321,PRODUCTOS!$A$6:$A$105,0))),1))</f>
        <v/>
      </c>
      <c r="J321" s="43" t="str">
        <f aca="false">IF(OR($A321="",$C321=""),"",$H321/$I321)</f>
        <v/>
      </c>
      <c r="K321" s="34" t="str">
        <f aca="false">IF(OR($A321="",$C321=""),"",SUMIFS(VENTAS!$E$6:$E$2005,VENTAS!$C$6:$C$2005,$A321))</f>
        <v/>
      </c>
      <c r="L321" s="45" t="str">
        <f aca="false">IF(OR($A321="",$C321=""),"",IFERROR(N($F321)/INDEX(INSUMOS!$I$6:$I$205,MATCH($C321,INSUMOS!$A$6:$A$205,0)),N($F321))/$I321*$K321)</f>
        <v/>
      </c>
      <c r="M321" s="8" t="str">
        <f aca="false">IF($A321="","",COUNTIF($A$6:$A321,$A321))</f>
        <v/>
      </c>
      <c r="N321" s="8" t="str">
        <f aca="false">IF($A321="","",$A321&amp;"|"&amp;$M321)</f>
        <v/>
      </c>
    </row>
    <row r="322" customFormat="false" ht="15" hidden="false" customHeight="false" outlineLevel="0" collapsed="false">
      <c r="A322" s="6"/>
      <c r="B322" s="8" t="str">
        <f aca="false">IF($A322="","",IFERROR(INDEX(PRODUCTOS!$B$6:$B$105,MATCH($A322,PRODUCTOS!$A$6:$A$105,0)),"¿Código?"))</f>
        <v/>
      </c>
      <c r="C322" s="6"/>
      <c r="D322" s="8" t="str">
        <f aca="false">IF($C322="","",IFERROR(INDEX(INSUMOS!$B$6:$B$205,MATCH($C322,INSUMOS!$A$6:$A$205,0)),"¿Código?"))</f>
        <v/>
      </c>
      <c r="E322" s="8" t="str">
        <f aca="false">IF($C322="","",IFERROR(INDEX(INSUMOS!$D$6:$D$205,MATCH($C322,INSUMOS!$A$6:$A$205,0)),""))</f>
        <v/>
      </c>
      <c r="F322" s="39"/>
      <c r="G322" s="43" t="str">
        <f aca="false">IF(OR($A322="",$C322=""),"",IFERROR(INDEX(INSUMOS!$P$6:$P$205,MATCH($C322,INSUMOS!$A$6:$A$205,0)),0))</f>
        <v/>
      </c>
      <c r="H322" s="43" t="str">
        <f aca="false">IF(OR($A322="",$C322=""),"",N($F322)*$G322)</f>
        <v/>
      </c>
      <c r="I322" s="34" t="str">
        <f aca="false">IF(OR($A322="",$C322=""),"",IFERROR(MAX(1,INDEX(PRODUCTOS!$G$6:$G$105,MATCH($A322,PRODUCTOS!$A$6:$A$105,0))),1))</f>
        <v/>
      </c>
      <c r="J322" s="43" t="str">
        <f aca="false">IF(OR($A322="",$C322=""),"",$H322/$I322)</f>
        <v/>
      </c>
      <c r="K322" s="34" t="str">
        <f aca="false">IF(OR($A322="",$C322=""),"",SUMIFS(VENTAS!$E$6:$E$2005,VENTAS!$C$6:$C$2005,$A322))</f>
        <v/>
      </c>
      <c r="L322" s="45" t="str">
        <f aca="false">IF(OR($A322="",$C322=""),"",IFERROR(N($F322)/INDEX(INSUMOS!$I$6:$I$205,MATCH($C322,INSUMOS!$A$6:$A$205,0)),N($F322))/$I322*$K322)</f>
        <v/>
      </c>
      <c r="M322" s="8" t="str">
        <f aca="false">IF($A322="","",COUNTIF($A$6:$A322,$A322))</f>
        <v/>
      </c>
      <c r="N322" s="8" t="str">
        <f aca="false">IF($A322="","",$A322&amp;"|"&amp;$M322)</f>
        <v/>
      </c>
    </row>
    <row r="323" customFormat="false" ht="15" hidden="false" customHeight="false" outlineLevel="0" collapsed="false">
      <c r="A323" s="6"/>
      <c r="B323" s="8" t="str">
        <f aca="false">IF($A323="","",IFERROR(INDEX(PRODUCTOS!$B$6:$B$105,MATCH($A323,PRODUCTOS!$A$6:$A$105,0)),"¿Código?"))</f>
        <v/>
      </c>
      <c r="C323" s="6"/>
      <c r="D323" s="8" t="str">
        <f aca="false">IF($C323="","",IFERROR(INDEX(INSUMOS!$B$6:$B$205,MATCH($C323,INSUMOS!$A$6:$A$205,0)),"¿Código?"))</f>
        <v/>
      </c>
      <c r="E323" s="8" t="str">
        <f aca="false">IF($C323="","",IFERROR(INDEX(INSUMOS!$D$6:$D$205,MATCH($C323,INSUMOS!$A$6:$A$205,0)),""))</f>
        <v/>
      </c>
      <c r="F323" s="39"/>
      <c r="G323" s="43" t="str">
        <f aca="false">IF(OR($A323="",$C323=""),"",IFERROR(INDEX(INSUMOS!$P$6:$P$205,MATCH($C323,INSUMOS!$A$6:$A$205,0)),0))</f>
        <v/>
      </c>
      <c r="H323" s="43" t="str">
        <f aca="false">IF(OR($A323="",$C323=""),"",N($F323)*$G323)</f>
        <v/>
      </c>
      <c r="I323" s="34" t="str">
        <f aca="false">IF(OR($A323="",$C323=""),"",IFERROR(MAX(1,INDEX(PRODUCTOS!$G$6:$G$105,MATCH($A323,PRODUCTOS!$A$6:$A$105,0))),1))</f>
        <v/>
      </c>
      <c r="J323" s="43" t="str">
        <f aca="false">IF(OR($A323="",$C323=""),"",$H323/$I323)</f>
        <v/>
      </c>
      <c r="K323" s="34" t="str">
        <f aca="false">IF(OR($A323="",$C323=""),"",SUMIFS(VENTAS!$E$6:$E$2005,VENTAS!$C$6:$C$2005,$A323))</f>
        <v/>
      </c>
      <c r="L323" s="45" t="str">
        <f aca="false">IF(OR($A323="",$C323=""),"",IFERROR(N($F323)/INDEX(INSUMOS!$I$6:$I$205,MATCH($C323,INSUMOS!$A$6:$A$205,0)),N($F323))/$I323*$K323)</f>
        <v/>
      </c>
      <c r="M323" s="8" t="str">
        <f aca="false">IF($A323="","",COUNTIF($A$6:$A323,$A323))</f>
        <v/>
      </c>
      <c r="N323" s="8" t="str">
        <f aca="false">IF($A323="","",$A323&amp;"|"&amp;$M323)</f>
        <v/>
      </c>
    </row>
    <row r="324" customFormat="false" ht="15" hidden="false" customHeight="false" outlineLevel="0" collapsed="false">
      <c r="A324" s="6"/>
      <c r="B324" s="8" t="str">
        <f aca="false">IF($A324="","",IFERROR(INDEX(PRODUCTOS!$B$6:$B$105,MATCH($A324,PRODUCTOS!$A$6:$A$105,0)),"¿Código?"))</f>
        <v/>
      </c>
      <c r="C324" s="6"/>
      <c r="D324" s="8" t="str">
        <f aca="false">IF($C324="","",IFERROR(INDEX(INSUMOS!$B$6:$B$205,MATCH($C324,INSUMOS!$A$6:$A$205,0)),"¿Código?"))</f>
        <v/>
      </c>
      <c r="E324" s="8" t="str">
        <f aca="false">IF($C324="","",IFERROR(INDEX(INSUMOS!$D$6:$D$205,MATCH($C324,INSUMOS!$A$6:$A$205,0)),""))</f>
        <v/>
      </c>
      <c r="F324" s="39"/>
      <c r="G324" s="43" t="str">
        <f aca="false">IF(OR($A324="",$C324=""),"",IFERROR(INDEX(INSUMOS!$P$6:$P$205,MATCH($C324,INSUMOS!$A$6:$A$205,0)),0))</f>
        <v/>
      </c>
      <c r="H324" s="43" t="str">
        <f aca="false">IF(OR($A324="",$C324=""),"",N($F324)*$G324)</f>
        <v/>
      </c>
      <c r="I324" s="34" t="str">
        <f aca="false">IF(OR($A324="",$C324=""),"",IFERROR(MAX(1,INDEX(PRODUCTOS!$G$6:$G$105,MATCH($A324,PRODUCTOS!$A$6:$A$105,0))),1))</f>
        <v/>
      </c>
      <c r="J324" s="43" t="str">
        <f aca="false">IF(OR($A324="",$C324=""),"",$H324/$I324)</f>
        <v/>
      </c>
      <c r="K324" s="34" t="str">
        <f aca="false">IF(OR($A324="",$C324=""),"",SUMIFS(VENTAS!$E$6:$E$2005,VENTAS!$C$6:$C$2005,$A324))</f>
        <v/>
      </c>
      <c r="L324" s="45" t="str">
        <f aca="false">IF(OR($A324="",$C324=""),"",IFERROR(N($F324)/INDEX(INSUMOS!$I$6:$I$205,MATCH($C324,INSUMOS!$A$6:$A$205,0)),N($F324))/$I324*$K324)</f>
        <v/>
      </c>
      <c r="M324" s="8" t="str">
        <f aca="false">IF($A324="","",COUNTIF($A$6:$A324,$A324))</f>
        <v/>
      </c>
      <c r="N324" s="8" t="str">
        <f aca="false">IF($A324="","",$A324&amp;"|"&amp;$M324)</f>
        <v/>
      </c>
    </row>
    <row r="325" customFormat="false" ht="15" hidden="false" customHeight="false" outlineLevel="0" collapsed="false">
      <c r="A325" s="6"/>
      <c r="B325" s="8" t="str">
        <f aca="false">IF($A325="","",IFERROR(INDEX(PRODUCTOS!$B$6:$B$105,MATCH($A325,PRODUCTOS!$A$6:$A$105,0)),"¿Código?"))</f>
        <v/>
      </c>
      <c r="C325" s="6"/>
      <c r="D325" s="8" t="str">
        <f aca="false">IF($C325="","",IFERROR(INDEX(INSUMOS!$B$6:$B$205,MATCH($C325,INSUMOS!$A$6:$A$205,0)),"¿Código?"))</f>
        <v/>
      </c>
      <c r="E325" s="8" t="str">
        <f aca="false">IF($C325="","",IFERROR(INDEX(INSUMOS!$D$6:$D$205,MATCH($C325,INSUMOS!$A$6:$A$205,0)),""))</f>
        <v/>
      </c>
      <c r="F325" s="39"/>
      <c r="G325" s="43" t="str">
        <f aca="false">IF(OR($A325="",$C325=""),"",IFERROR(INDEX(INSUMOS!$P$6:$P$205,MATCH($C325,INSUMOS!$A$6:$A$205,0)),0))</f>
        <v/>
      </c>
      <c r="H325" s="43" t="str">
        <f aca="false">IF(OR($A325="",$C325=""),"",N($F325)*$G325)</f>
        <v/>
      </c>
      <c r="I325" s="34" t="str">
        <f aca="false">IF(OR($A325="",$C325=""),"",IFERROR(MAX(1,INDEX(PRODUCTOS!$G$6:$G$105,MATCH($A325,PRODUCTOS!$A$6:$A$105,0))),1))</f>
        <v/>
      </c>
      <c r="J325" s="43" t="str">
        <f aca="false">IF(OR($A325="",$C325=""),"",$H325/$I325)</f>
        <v/>
      </c>
      <c r="K325" s="34" t="str">
        <f aca="false">IF(OR($A325="",$C325=""),"",SUMIFS(VENTAS!$E$6:$E$2005,VENTAS!$C$6:$C$2005,$A325))</f>
        <v/>
      </c>
      <c r="L325" s="45" t="str">
        <f aca="false">IF(OR($A325="",$C325=""),"",IFERROR(N($F325)/INDEX(INSUMOS!$I$6:$I$205,MATCH($C325,INSUMOS!$A$6:$A$205,0)),N($F325))/$I325*$K325)</f>
        <v/>
      </c>
      <c r="M325" s="8" t="str">
        <f aca="false">IF($A325="","",COUNTIF($A$6:$A325,$A325))</f>
        <v/>
      </c>
      <c r="N325" s="8" t="str">
        <f aca="false">IF($A325="","",$A325&amp;"|"&amp;$M325)</f>
        <v/>
      </c>
    </row>
    <row r="326" customFormat="false" ht="15" hidden="false" customHeight="false" outlineLevel="0" collapsed="false">
      <c r="A326" s="6"/>
      <c r="B326" s="8" t="str">
        <f aca="false">IF($A326="","",IFERROR(INDEX(PRODUCTOS!$B$6:$B$105,MATCH($A326,PRODUCTOS!$A$6:$A$105,0)),"¿Código?"))</f>
        <v/>
      </c>
      <c r="C326" s="6"/>
      <c r="D326" s="8" t="str">
        <f aca="false">IF($C326="","",IFERROR(INDEX(INSUMOS!$B$6:$B$205,MATCH($C326,INSUMOS!$A$6:$A$205,0)),"¿Código?"))</f>
        <v/>
      </c>
      <c r="E326" s="8" t="str">
        <f aca="false">IF($C326="","",IFERROR(INDEX(INSUMOS!$D$6:$D$205,MATCH($C326,INSUMOS!$A$6:$A$205,0)),""))</f>
        <v/>
      </c>
      <c r="F326" s="39"/>
      <c r="G326" s="43" t="str">
        <f aca="false">IF(OR($A326="",$C326=""),"",IFERROR(INDEX(INSUMOS!$P$6:$P$205,MATCH($C326,INSUMOS!$A$6:$A$205,0)),0))</f>
        <v/>
      </c>
      <c r="H326" s="43" t="str">
        <f aca="false">IF(OR($A326="",$C326=""),"",N($F326)*$G326)</f>
        <v/>
      </c>
      <c r="I326" s="34" t="str">
        <f aca="false">IF(OR($A326="",$C326=""),"",IFERROR(MAX(1,INDEX(PRODUCTOS!$G$6:$G$105,MATCH($A326,PRODUCTOS!$A$6:$A$105,0))),1))</f>
        <v/>
      </c>
      <c r="J326" s="43" t="str">
        <f aca="false">IF(OR($A326="",$C326=""),"",$H326/$I326)</f>
        <v/>
      </c>
      <c r="K326" s="34" t="str">
        <f aca="false">IF(OR($A326="",$C326=""),"",SUMIFS(VENTAS!$E$6:$E$2005,VENTAS!$C$6:$C$2005,$A326))</f>
        <v/>
      </c>
      <c r="L326" s="45" t="str">
        <f aca="false">IF(OR($A326="",$C326=""),"",IFERROR(N($F326)/INDEX(INSUMOS!$I$6:$I$205,MATCH($C326,INSUMOS!$A$6:$A$205,0)),N($F326))/$I326*$K326)</f>
        <v/>
      </c>
      <c r="M326" s="8" t="str">
        <f aca="false">IF($A326="","",COUNTIF($A$6:$A326,$A326))</f>
        <v/>
      </c>
      <c r="N326" s="8" t="str">
        <f aca="false">IF($A326="","",$A326&amp;"|"&amp;$M326)</f>
        <v/>
      </c>
    </row>
    <row r="327" customFormat="false" ht="15" hidden="false" customHeight="false" outlineLevel="0" collapsed="false">
      <c r="A327" s="6"/>
      <c r="B327" s="8" t="str">
        <f aca="false">IF($A327="","",IFERROR(INDEX(PRODUCTOS!$B$6:$B$105,MATCH($A327,PRODUCTOS!$A$6:$A$105,0)),"¿Código?"))</f>
        <v/>
      </c>
      <c r="C327" s="6"/>
      <c r="D327" s="8" t="str">
        <f aca="false">IF($C327="","",IFERROR(INDEX(INSUMOS!$B$6:$B$205,MATCH($C327,INSUMOS!$A$6:$A$205,0)),"¿Código?"))</f>
        <v/>
      </c>
      <c r="E327" s="8" t="str">
        <f aca="false">IF($C327="","",IFERROR(INDEX(INSUMOS!$D$6:$D$205,MATCH($C327,INSUMOS!$A$6:$A$205,0)),""))</f>
        <v/>
      </c>
      <c r="F327" s="39"/>
      <c r="G327" s="43" t="str">
        <f aca="false">IF(OR($A327="",$C327=""),"",IFERROR(INDEX(INSUMOS!$P$6:$P$205,MATCH($C327,INSUMOS!$A$6:$A$205,0)),0))</f>
        <v/>
      </c>
      <c r="H327" s="43" t="str">
        <f aca="false">IF(OR($A327="",$C327=""),"",N($F327)*$G327)</f>
        <v/>
      </c>
      <c r="I327" s="34" t="str">
        <f aca="false">IF(OR($A327="",$C327=""),"",IFERROR(MAX(1,INDEX(PRODUCTOS!$G$6:$G$105,MATCH($A327,PRODUCTOS!$A$6:$A$105,0))),1))</f>
        <v/>
      </c>
      <c r="J327" s="43" t="str">
        <f aca="false">IF(OR($A327="",$C327=""),"",$H327/$I327)</f>
        <v/>
      </c>
      <c r="K327" s="34" t="str">
        <f aca="false">IF(OR($A327="",$C327=""),"",SUMIFS(VENTAS!$E$6:$E$2005,VENTAS!$C$6:$C$2005,$A327))</f>
        <v/>
      </c>
      <c r="L327" s="45" t="str">
        <f aca="false">IF(OR($A327="",$C327=""),"",IFERROR(N($F327)/INDEX(INSUMOS!$I$6:$I$205,MATCH($C327,INSUMOS!$A$6:$A$205,0)),N($F327))/$I327*$K327)</f>
        <v/>
      </c>
      <c r="M327" s="8" t="str">
        <f aca="false">IF($A327="","",COUNTIF($A$6:$A327,$A327))</f>
        <v/>
      </c>
      <c r="N327" s="8" t="str">
        <f aca="false">IF($A327="","",$A327&amp;"|"&amp;$M327)</f>
        <v/>
      </c>
    </row>
    <row r="328" customFormat="false" ht="15" hidden="false" customHeight="false" outlineLevel="0" collapsed="false">
      <c r="A328" s="6"/>
      <c r="B328" s="8" t="str">
        <f aca="false">IF($A328="","",IFERROR(INDEX(PRODUCTOS!$B$6:$B$105,MATCH($A328,PRODUCTOS!$A$6:$A$105,0)),"¿Código?"))</f>
        <v/>
      </c>
      <c r="C328" s="6"/>
      <c r="D328" s="8" t="str">
        <f aca="false">IF($C328="","",IFERROR(INDEX(INSUMOS!$B$6:$B$205,MATCH($C328,INSUMOS!$A$6:$A$205,0)),"¿Código?"))</f>
        <v/>
      </c>
      <c r="E328" s="8" t="str">
        <f aca="false">IF($C328="","",IFERROR(INDEX(INSUMOS!$D$6:$D$205,MATCH($C328,INSUMOS!$A$6:$A$205,0)),""))</f>
        <v/>
      </c>
      <c r="F328" s="39"/>
      <c r="G328" s="43" t="str">
        <f aca="false">IF(OR($A328="",$C328=""),"",IFERROR(INDEX(INSUMOS!$P$6:$P$205,MATCH($C328,INSUMOS!$A$6:$A$205,0)),0))</f>
        <v/>
      </c>
      <c r="H328" s="43" t="str">
        <f aca="false">IF(OR($A328="",$C328=""),"",N($F328)*$G328)</f>
        <v/>
      </c>
      <c r="I328" s="34" t="str">
        <f aca="false">IF(OR($A328="",$C328=""),"",IFERROR(MAX(1,INDEX(PRODUCTOS!$G$6:$G$105,MATCH($A328,PRODUCTOS!$A$6:$A$105,0))),1))</f>
        <v/>
      </c>
      <c r="J328" s="43" t="str">
        <f aca="false">IF(OR($A328="",$C328=""),"",$H328/$I328)</f>
        <v/>
      </c>
      <c r="K328" s="34" t="str">
        <f aca="false">IF(OR($A328="",$C328=""),"",SUMIFS(VENTAS!$E$6:$E$2005,VENTAS!$C$6:$C$2005,$A328))</f>
        <v/>
      </c>
      <c r="L328" s="45" t="str">
        <f aca="false">IF(OR($A328="",$C328=""),"",IFERROR(N($F328)/INDEX(INSUMOS!$I$6:$I$205,MATCH($C328,INSUMOS!$A$6:$A$205,0)),N($F328))/$I328*$K328)</f>
        <v/>
      </c>
      <c r="M328" s="8" t="str">
        <f aca="false">IF($A328="","",COUNTIF($A$6:$A328,$A328))</f>
        <v/>
      </c>
      <c r="N328" s="8" t="str">
        <f aca="false">IF($A328="","",$A328&amp;"|"&amp;$M328)</f>
        <v/>
      </c>
    </row>
    <row r="329" customFormat="false" ht="15" hidden="false" customHeight="false" outlineLevel="0" collapsed="false">
      <c r="A329" s="6"/>
      <c r="B329" s="8" t="str">
        <f aca="false">IF($A329="","",IFERROR(INDEX(PRODUCTOS!$B$6:$B$105,MATCH($A329,PRODUCTOS!$A$6:$A$105,0)),"¿Código?"))</f>
        <v/>
      </c>
      <c r="C329" s="6"/>
      <c r="D329" s="8" t="str">
        <f aca="false">IF($C329="","",IFERROR(INDEX(INSUMOS!$B$6:$B$205,MATCH($C329,INSUMOS!$A$6:$A$205,0)),"¿Código?"))</f>
        <v/>
      </c>
      <c r="E329" s="8" t="str">
        <f aca="false">IF($C329="","",IFERROR(INDEX(INSUMOS!$D$6:$D$205,MATCH($C329,INSUMOS!$A$6:$A$205,0)),""))</f>
        <v/>
      </c>
      <c r="F329" s="39"/>
      <c r="G329" s="43" t="str">
        <f aca="false">IF(OR($A329="",$C329=""),"",IFERROR(INDEX(INSUMOS!$P$6:$P$205,MATCH($C329,INSUMOS!$A$6:$A$205,0)),0))</f>
        <v/>
      </c>
      <c r="H329" s="43" t="str">
        <f aca="false">IF(OR($A329="",$C329=""),"",N($F329)*$G329)</f>
        <v/>
      </c>
      <c r="I329" s="34" t="str">
        <f aca="false">IF(OR($A329="",$C329=""),"",IFERROR(MAX(1,INDEX(PRODUCTOS!$G$6:$G$105,MATCH($A329,PRODUCTOS!$A$6:$A$105,0))),1))</f>
        <v/>
      </c>
      <c r="J329" s="43" t="str">
        <f aca="false">IF(OR($A329="",$C329=""),"",$H329/$I329)</f>
        <v/>
      </c>
      <c r="K329" s="34" t="str">
        <f aca="false">IF(OR($A329="",$C329=""),"",SUMIFS(VENTAS!$E$6:$E$2005,VENTAS!$C$6:$C$2005,$A329))</f>
        <v/>
      </c>
      <c r="L329" s="45" t="str">
        <f aca="false">IF(OR($A329="",$C329=""),"",IFERROR(N($F329)/INDEX(INSUMOS!$I$6:$I$205,MATCH($C329,INSUMOS!$A$6:$A$205,0)),N($F329))/$I329*$K329)</f>
        <v/>
      </c>
      <c r="M329" s="8" t="str">
        <f aca="false">IF($A329="","",COUNTIF($A$6:$A329,$A329))</f>
        <v/>
      </c>
      <c r="N329" s="8" t="str">
        <f aca="false">IF($A329="","",$A329&amp;"|"&amp;$M329)</f>
        <v/>
      </c>
    </row>
    <row r="330" customFormat="false" ht="15" hidden="false" customHeight="false" outlineLevel="0" collapsed="false">
      <c r="A330" s="6"/>
      <c r="B330" s="8" t="str">
        <f aca="false">IF($A330="","",IFERROR(INDEX(PRODUCTOS!$B$6:$B$105,MATCH($A330,PRODUCTOS!$A$6:$A$105,0)),"¿Código?"))</f>
        <v/>
      </c>
      <c r="C330" s="6"/>
      <c r="D330" s="8" t="str">
        <f aca="false">IF($C330="","",IFERROR(INDEX(INSUMOS!$B$6:$B$205,MATCH($C330,INSUMOS!$A$6:$A$205,0)),"¿Código?"))</f>
        <v/>
      </c>
      <c r="E330" s="8" t="str">
        <f aca="false">IF($C330="","",IFERROR(INDEX(INSUMOS!$D$6:$D$205,MATCH($C330,INSUMOS!$A$6:$A$205,0)),""))</f>
        <v/>
      </c>
      <c r="F330" s="39"/>
      <c r="G330" s="43" t="str">
        <f aca="false">IF(OR($A330="",$C330=""),"",IFERROR(INDEX(INSUMOS!$P$6:$P$205,MATCH($C330,INSUMOS!$A$6:$A$205,0)),0))</f>
        <v/>
      </c>
      <c r="H330" s="43" t="str">
        <f aca="false">IF(OR($A330="",$C330=""),"",N($F330)*$G330)</f>
        <v/>
      </c>
      <c r="I330" s="34" t="str">
        <f aca="false">IF(OR($A330="",$C330=""),"",IFERROR(MAX(1,INDEX(PRODUCTOS!$G$6:$G$105,MATCH($A330,PRODUCTOS!$A$6:$A$105,0))),1))</f>
        <v/>
      </c>
      <c r="J330" s="43" t="str">
        <f aca="false">IF(OR($A330="",$C330=""),"",$H330/$I330)</f>
        <v/>
      </c>
      <c r="K330" s="34" t="str">
        <f aca="false">IF(OR($A330="",$C330=""),"",SUMIFS(VENTAS!$E$6:$E$2005,VENTAS!$C$6:$C$2005,$A330))</f>
        <v/>
      </c>
      <c r="L330" s="45" t="str">
        <f aca="false">IF(OR($A330="",$C330=""),"",IFERROR(N($F330)/INDEX(INSUMOS!$I$6:$I$205,MATCH($C330,INSUMOS!$A$6:$A$205,0)),N($F330))/$I330*$K330)</f>
        <v/>
      </c>
      <c r="M330" s="8" t="str">
        <f aca="false">IF($A330="","",COUNTIF($A$6:$A330,$A330))</f>
        <v/>
      </c>
      <c r="N330" s="8" t="str">
        <f aca="false">IF($A330="","",$A330&amp;"|"&amp;$M330)</f>
        <v/>
      </c>
    </row>
    <row r="331" customFormat="false" ht="15" hidden="false" customHeight="false" outlineLevel="0" collapsed="false">
      <c r="A331" s="6"/>
      <c r="B331" s="8" t="str">
        <f aca="false">IF($A331="","",IFERROR(INDEX(PRODUCTOS!$B$6:$B$105,MATCH($A331,PRODUCTOS!$A$6:$A$105,0)),"¿Código?"))</f>
        <v/>
      </c>
      <c r="C331" s="6"/>
      <c r="D331" s="8" t="str">
        <f aca="false">IF($C331="","",IFERROR(INDEX(INSUMOS!$B$6:$B$205,MATCH($C331,INSUMOS!$A$6:$A$205,0)),"¿Código?"))</f>
        <v/>
      </c>
      <c r="E331" s="8" t="str">
        <f aca="false">IF($C331="","",IFERROR(INDEX(INSUMOS!$D$6:$D$205,MATCH($C331,INSUMOS!$A$6:$A$205,0)),""))</f>
        <v/>
      </c>
      <c r="F331" s="39"/>
      <c r="G331" s="43" t="str">
        <f aca="false">IF(OR($A331="",$C331=""),"",IFERROR(INDEX(INSUMOS!$P$6:$P$205,MATCH($C331,INSUMOS!$A$6:$A$205,0)),0))</f>
        <v/>
      </c>
      <c r="H331" s="43" t="str">
        <f aca="false">IF(OR($A331="",$C331=""),"",N($F331)*$G331)</f>
        <v/>
      </c>
      <c r="I331" s="34" t="str">
        <f aca="false">IF(OR($A331="",$C331=""),"",IFERROR(MAX(1,INDEX(PRODUCTOS!$G$6:$G$105,MATCH($A331,PRODUCTOS!$A$6:$A$105,0))),1))</f>
        <v/>
      </c>
      <c r="J331" s="43" t="str">
        <f aca="false">IF(OR($A331="",$C331=""),"",$H331/$I331)</f>
        <v/>
      </c>
      <c r="K331" s="34" t="str">
        <f aca="false">IF(OR($A331="",$C331=""),"",SUMIFS(VENTAS!$E$6:$E$2005,VENTAS!$C$6:$C$2005,$A331))</f>
        <v/>
      </c>
      <c r="L331" s="45" t="str">
        <f aca="false">IF(OR($A331="",$C331=""),"",IFERROR(N($F331)/INDEX(INSUMOS!$I$6:$I$205,MATCH($C331,INSUMOS!$A$6:$A$205,0)),N($F331))/$I331*$K331)</f>
        <v/>
      </c>
      <c r="M331" s="8" t="str">
        <f aca="false">IF($A331="","",COUNTIF($A$6:$A331,$A331))</f>
        <v/>
      </c>
      <c r="N331" s="8" t="str">
        <f aca="false">IF($A331="","",$A331&amp;"|"&amp;$M331)</f>
        <v/>
      </c>
    </row>
    <row r="332" customFormat="false" ht="15" hidden="false" customHeight="false" outlineLevel="0" collapsed="false">
      <c r="A332" s="6"/>
      <c r="B332" s="8" t="str">
        <f aca="false">IF($A332="","",IFERROR(INDEX(PRODUCTOS!$B$6:$B$105,MATCH($A332,PRODUCTOS!$A$6:$A$105,0)),"¿Código?"))</f>
        <v/>
      </c>
      <c r="C332" s="6"/>
      <c r="D332" s="8" t="str">
        <f aca="false">IF($C332="","",IFERROR(INDEX(INSUMOS!$B$6:$B$205,MATCH($C332,INSUMOS!$A$6:$A$205,0)),"¿Código?"))</f>
        <v/>
      </c>
      <c r="E332" s="8" t="str">
        <f aca="false">IF($C332="","",IFERROR(INDEX(INSUMOS!$D$6:$D$205,MATCH($C332,INSUMOS!$A$6:$A$205,0)),""))</f>
        <v/>
      </c>
      <c r="F332" s="39"/>
      <c r="G332" s="43" t="str">
        <f aca="false">IF(OR($A332="",$C332=""),"",IFERROR(INDEX(INSUMOS!$P$6:$P$205,MATCH($C332,INSUMOS!$A$6:$A$205,0)),0))</f>
        <v/>
      </c>
      <c r="H332" s="43" t="str">
        <f aca="false">IF(OR($A332="",$C332=""),"",N($F332)*$G332)</f>
        <v/>
      </c>
      <c r="I332" s="34" t="str">
        <f aca="false">IF(OR($A332="",$C332=""),"",IFERROR(MAX(1,INDEX(PRODUCTOS!$G$6:$G$105,MATCH($A332,PRODUCTOS!$A$6:$A$105,0))),1))</f>
        <v/>
      </c>
      <c r="J332" s="43" t="str">
        <f aca="false">IF(OR($A332="",$C332=""),"",$H332/$I332)</f>
        <v/>
      </c>
      <c r="K332" s="34" t="str">
        <f aca="false">IF(OR($A332="",$C332=""),"",SUMIFS(VENTAS!$E$6:$E$2005,VENTAS!$C$6:$C$2005,$A332))</f>
        <v/>
      </c>
      <c r="L332" s="45" t="str">
        <f aca="false">IF(OR($A332="",$C332=""),"",IFERROR(N($F332)/INDEX(INSUMOS!$I$6:$I$205,MATCH($C332,INSUMOS!$A$6:$A$205,0)),N($F332))/$I332*$K332)</f>
        <v/>
      </c>
      <c r="M332" s="8" t="str">
        <f aca="false">IF($A332="","",COUNTIF($A$6:$A332,$A332))</f>
        <v/>
      </c>
      <c r="N332" s="8" t="str">
        <f aca="false">IF($A332="","",$A332&amp;"|"&amp;$M332)</f>
        <v/>
      </c>
    </row>
    <row r="333" customFormat="false" ht="15" hidden="false" customHeight="false" outlineLevel="0" collapsed="false">
      <c r="A333" s="6"/>
      <c r="B333" s="8" t="str">
        <f aca="false">IF($A333="","",IFERROR(INDEX(PRODUCTOS!$B$6:$B$105,MATCH($A333,PRODUCTOS!$A$6:$A$105,0)),"¿Código?"))</f>
        <v/>
      </c>
      <c r="C333" s="6"/>
      <c r="D333" s="8" t="str">
        <f aca="false">IF($C333="","",IFERROR(INDEX(INSUMOS!$B$6:$B$205,MATCH($C333,INSUMOS!$A$6:$A$205,0)),"¿Código?"))</f>
        <v/>
      </c>
      <c r="E333" s="8" t="str">
        <f aca="false">IF($C333="","",IFERROR(INDEX(INSUMOS!$D$6:$D$205,MATCH($C333,INSUMOS!$A$6:$A$205,0)),""))</f>
        <v/>
      </c>
      <c r="F333" s="39"/>
      <c r="G333" s="43" t="str">
        <f aca="false">IF(OR($A333="",$C333=""),"",IFERROR(INDEX(INSUMOS!$P$6:$P$205,MATCH($C333,INSUMOS!$A$6:$A$205,0)),0))</f>
        <v/>
      </c>
      <c r="H333" s="43" t="str">
        <f aca="false">IF(OR($A333="",$C333=""),"",N($F333)*$G333)</f>
        <v/>
      </c>
      <c r="I333" s="34" t="str">
        <f aca="false">IF(OR($A333="",$C333=""),"",IFERROR(MAX(1,INDEX(PRODUCTOS!$G$6:$G$105,MATCH($A333,PRODUCTOS!$A$6:$A$105,0))),1))</f>
        <v/>
      </c>
      <c r="J333" s="43" t="str">
        <f aca="false">IF(OR($A333="",$C333=""),"",$H333/$I333)</f>
        <v/>
      </c>
      <c r="K333" s="34" t="str">
        <f aca="false">IF(OR($A333="",$C333=""),"",SUMIFS(VENTAS!$E$6:$E$2005,VENTAS!$C$6:$C$2005,$A333))</f>
        <v/>
      </c>
      <c r="L333" s="45" t="str">
        <f aca="false">IF(OR($A333="",$C333=""),"",IFERROR(N($F333)/INDEX(INSUMOS!$I$6:$I$205,MATCH($C333,INSUMOS!$A$6:$A$205,0)),N($F333))/$I333*$K333)</f>
        <v/>
      </c>
      <c r="M333" s="8" t="str">
        <f aca="false">IF($A333="","",COUNTIF($A$6:$A333,$A333))</f>
        <v/>
      </c>
      <c r="N333" s="8" t="str">
        <f aca="false">IF($A333="","",$A333&amp;"|"&amp;$M333)</f>
        <v/>
      </c>
    </row>
    <row r="334" customFormat="false" ht="15" hidden="false" customHeight="false" outlineLevel="0" collapsed="false">
      <c r="A334" s="6"/>
      <c r="B334" s="8" t="str">
        <f aca="false">IF($A334="","",IFERROR(INDEX(PRODUCTOS!$B$6:$B$105,MATCH($A334,PRODUCTOS!$A$6:$A$105,0)),"¿Código?"))</f>
        <v/>
      </c>
      <c r="C334" s="6"/>
      <c r="D334" s="8" t="str">
        <f aca="false">IF($C334="","",IFERROR(INDEX(INSUMOS!$B$6:$B$205,MATCH($C334,INSUMOS!$A$6:$A$205,0)),"¿Código?"))</f>
        <v/>
      </c>
      <c r="E334" s="8" t="str">
        <f aca="false">IF($C334="","",IFERROR(INDEX(INSUMOS!$D$6:$D$205,MATCH($C334,INSUMOS!$A$6:$A$205,0)),""))</f>
        <v/>
      </c>
      <c r="F334" s="39"/>
      <c r="G334" s="43" t="str">
        <f aca="false">IF(OR($A334="",$C334=""),"",IFERROR(INDEX(INSUMOS!$P$6:$P$205,MATCH($C334,INSUMOS!$A$6:$A$205,0)),0))</f>
        <v/>
      </c>
      <c r="H334" s="43" t="str">
        <f aca="false">IF(OR($A334="",$C334=""),"",N($F334)*$G334)</f>
        <v/>
      </c>
      <c r="I334" s="34" t="str">
        <f aca="false">IF(OR($A334="",$C334=""),"",IFERROR(MAX(1,INDEX(PRODUCTOS!$G$6:$G$105,MATCH($A334,PRODUCTOS!$A$6:$A$105,0))),1))</f>
        <v/>
      </c>
      <c r="J334" s="43" t="str">
        <f aca="false">IF(OR($A334="",$C334=""),"",$H334/$I334)</f>
        <v/>
      </c>
      <c r="K334" s="34" t="str">
        <f aca="false">IF(OR($A334="",$C334=""),"",SUMIFS(VENTAS!$E$6:$E$2005,VENTAS!$C$6:$C$2005,$A334))</f>
        <v/>
      </c>
      <c r="L334" s="45" t="str">
        <f aca="false">IF(OR($A334="",$C334=""),"",IFERROR(N($F334)/INDEX(INSUMOS!$I$6:$I$205,MATCH($C334,INSUMOS!$A$6:$A$205,0)),N($F334))/$I334*$K334)</f>
        <v/>
      </c>
      <c r="M334" s="8" t="str">
        <f aca="false">IF($A334="","",COUNTIF($A$6:$A334,$A334))</f>
        <v/>
      </c>
      <c r="N334" s="8" t="str">
        <f aca="false">IF($A334="","",$A334&amp;"|"&amp;$M334)</f>
        <v/>
      </c>
    </row>
    <row r="335" customFormat="false" ht="15" hidden="false" customHeight="false" outlineLevel="0" collapsed="false">
      <c r="A335" s="6"/>
      <c r="B335" s="8" t="str">
        <f aca="false">IF($A335="","",IFERROR(INDEX(PRODUCTOS!$B$6:$B$105,MATCH($A335,PRODUCTOS!$A$6:$A$105,0)),"¿Código?"))</f>
        <v/>
      </c>
      <c r="C335" s="6"/>
      <c r="D335" s="8" t="str">
        <f aca="false">IF($C335="","",IFERROR(INDEX(INSUMOS!$B$6:$B$205,MATCH($C335,INSUMOS!$A$6:$A$205,0)),"¿Código?"))</f>
        <v/>
      </c>
      <c r="E335" s="8" t="str">
        <f aca="false">IF($C335="","",IFERROR(INDEX(INSUMOS!$D$6:$D$205,MATCH($C335,INSUMOS!$A$6:$A$205,0)),""))</f>
        <v/>
      </c>
      <c r="F335" s="39"/>
      <c r="G335" s="43" t="str">
        <f aca="false">IF(OR($A335="",$C335=""),"",IFERROR(INDEX(INSUMOS!$P$6:$P$205,MATCH($C335,INSUMOS!$A$6:$A$205,0)),0))</f>
        <v/>
      </c>
      <c r="H335" s="43" t="str">
        <f aca="false">IF(OR($A335="",$C335=""),"",N($F335)*$G335)</f>
        <v/>
      </c>
      <c r="I335" s="34" t="str">
        <f aca="false">IF(OR($A335="",$C335=""),"",IFERROR(MAX(1,INDEX(PRODUCTOS!$G$6:$G$105,MATCH($A335,PRODUCTOS!$A$6:$A$105,0))),1))</f>
        <v/>
      </c>
      <c r="J335" s="43" t="str">
        <f aca="false">IF(OR($A335="",$C335=""),"",$H335/$I335)</f>
        <v/>
      </c>
      <c r="K335" s="34" t="str">
        <f aca="false">IF(OR($A335="",$C335=""),"",SUMIFS(VENTAS!$E$6:$E$2005,VENTAS!$C$6:$C$2005,$A335))</f>
        <v/>
      </c>
      <c r="L335" s="45" t="str">
        <f aca="false">IF(OR($A335="",$C335=""),"",IFERROR(N($F335)/INDEX(INSUMOS!$I$6:$I$205,MATCH($C335,INSUMOS!$A$6:$A$205,0)),N($F335))/$I335*$K335)</f>
        <v/>
      </c>
      <c r="M335" s="8" t="str">
        <f aca="false">IF($A335="","",COUNTIF($A$6:$A335,$A335))</f>
        <v/>
      </c>
      <c r="N335" s="8" t="str">
        <f aca="false">IF($A335="","",$A335&amp;"|"&amp;$M335)</f>
        <v/>
      </c>
    </row>
    <row r="336" customFormat="false" ht="15" hidden="false" customHeight="false" outlineLevel="0" collapsed="false">
      <c r="A336" s="6"/>
      <c r="B336" s="8" t="str">
        <f aca="false">IF($A336="","",IFERROR(INDEX(PRODUCTOS!$B$6:$B$105,MATCH($A336,PRODUCTOS!$A$6:$A$105,0)),"¿Código?"))</f>
        <v/>
      </c>
      <c r="C336" s="6"/>
      <c r="D336" s="8" t="str">
        <f aca="false">IF($C336="","",IFERROR(INDEX(INSUMOS!$B$6:$B$205,MATCH($C336,INSUMOS!$A$6:$A$205,0)),"¿Código?"))</f>
        <v/>
      </c>
      <c r="E336" s="8" t="str">
        <f aca="false">IF($C336="","",IFERROR(INDEX(INSUMOS!$D$6:$D$205,MATCH($C336,INSUMOS!$A$6:$A$205,0)),""))</f>
        <v/>
      </c>
      <c r="F336" s="39"/>
      <c r="G336" s="43" t="str">
        <f aca="false">IF(OR($A336="",$C336=""),"",IFERROR(INDEX(INSUMOS!$P$6:$P$205,MATCH($C336,INSUMOS!$A$6:$A$205,0)),0))</f>
        <v/>
      </c>
      <c r="H336" s="43" t="str">
        <f aca="false">IF(OR($A336="",$C336=""),"",N($F336)*$G336)</f>
        <v/>
      </c>
      <c r="I336" s="34" t="str">
        <f aca="false">IF(OR($A336="",$C336=""),"",IFERROR(MAX(1,INDEX(PRODUCTOS!$G$6:$G$105,MATCH($A336,PRODUCTOS!$A$6:$A$105,0))),1))</f>
        <v/>
      </c>
      <c r="J336" s="43" t="str">
        <f aca="false">IF(OR($A336="",$C336=""),"",$H336/$I336)</f>
        <v/>
      </c>
      <c r="K336" s="34" t="str">
        <f aca="false">IF(OR($A336="",$C336=""),"",SUMIFS(VENTAS!$E$6:$E$2005,VENTAS!$C$6:$C$2005,$A336))</f>
        <v/>
      </c>
      <c r="L336" s="45" t="str">
        <f aca="false">IF(OR($A336="",$C336=""),"",IFERROR(N($F336)/INDEX(INSUMOS!$I$6:$I$205,MATCH($C336,INSUMOS!$A$6:$A$205,0)),N($F336))/$I336*$K336)</f>
        <v/>
      </c>
      <c r="M336" s="8" t="str">
        <f aca="false">IF($A336="","",COUNTIF($A$6:$A336,$A336))</f>
        <v/>
      </c>
      <c r="N336" s="8" t="str">
        <f aca="false">IF($A336="","",$A336&amp;"|"&amp;$M336)</f>
        <v/>
      </c>
    </row>
    <row r="337" customFormat="false" ht="15" hidden="false" customHeight="false" outlineLevel="0" collapsed="false">
      <c r="A337" s="6"/>
      <c r="B337" s="8" t="str">
        <f aca="false">IF($A337="","",IFERROR(INDEX(PRODUCTOS!$B$6:$B$105,MATCH($A337,PRODUCTOS!$A$6:$A$105,0)),"¿Código?"))</f>
        <v/>
      </c>
      <c r="C337" s="6"/>
      <c r="D337" s="8" t="str">
        <f aca="false">IF($C337="","",IFERROR(INDEX(INSUMOS!$B$6:$B$205,MATCH($C337,INSUMOS!$A$6:$A$205,0)),"¿Código?"))</f>
        <v/>
      </c>
      <c r="E337" s="8" t="str">
        <f aca="false">IF($C337="","",IFERROR(INDEX(INSUMOS!$D$6:$D$205,MATCH($C337,INSUMOS!$A$6:$A$205,0)),""))</f>
        <v/>
      </c>
      <c r="F337" s="39"/>
      <c r="G337" s="43" t="str">
        <f aca="false">IF(OR($A337="",$C337=""),"",IFERROR(INDEX(INSUMOS!$P$6:$P$205,MATCH($C337,INSUMOS!$A$6:$A$205,0)),0))</f>
        <v/>
      </c>
      <c r="H337" s="43" t="str">
        <f aca="false">IF(OR($A337="",$C337=""),"",N($F337)*$G337)</f>
        <v/>
      </c>
      <c r="I337" s="34" t="str">
        <f aca="false">IF(OR($A337="",$C337=""),"",IFERROR(MAX(1,INDEX(PRODUCTOS!$G$6:$G$105,MATCH($A337,PRODUCTOS!$A$6:$A$105,0))),1))</f>
        <v/>
      </c>
      <c r="J337" s="43" t="str">
        <f aca="false">IF(OR($A337="",$C337=""),"",$H337/$I337)</f>
        <v/>
      </c>
      <c r="K337" s="34" t="str">
        <f aca="false">IF(OR($A337="",$C337=""),"",SUMIFS(VENTAS!$E$6:$E$2005,VENTAS!$C$6:$C$2005,$A337))</f>
        <v/>
      </c>
      <c r="L337" s="45" t="str">
        <f aca="false">IF(OR($A337="",$C337=""),"",IFERROR(N($F337)/INDEX(INSUMOS!$I$6:$I$205,MATCH($C337,INSUMOS!$A$6:$A$205,0)),N($F337))/$I337*$K337)</f>
        <v/>
      </c>
      <c r="M337" s="8" t="str">
        <f aca="false">IF($A337="","",COUNTIF($A$6:$A337,$A337))</f>
        <v/>
      </c>
      <c r="N337" s="8" t="str">
        <f aca="false">IF($A337="","",$A337&amp;"|"&amp;$M337)</f>
        <v/>
      </c>
    </row>
    <row r="338" customFormat="false" ht="15" hidden="false" customHeight="false" outlineLevel="0" collapsed="false">
      <c r="A338" s="6"/>
      <c r="B338" s="8" t="str">
        <f aca="false">IF($A338="","",IFERROR(INDEX(PRODUCTOS!$B$6:$B$105,MATCH($A338,PRODUCTOS!$A$6:$A$105,0)),"¿Código?"))</f>
        <v/>
      </c>
      <c r="C338" s="6"/>
      <c r="D338" s="8" t="str">
        <f aca="false">IF($C338="","",IFERROR(INDEX(INSUMOS!$B$6:$B$205,MATCH($C338,INSUMOS!$A$6:$A$205,0)),"¿Código?"))</f>
        <v/>
      </c>
      <c r="E338" s="8" t="str">
        <f aca="false">IF($C338="","",IFERROR(INDEX(INSUMOS!$D$6:$D$205,MATCH($C338,INSUMOS!$A$6:$A$205,0)),""))</f>
        <v/>
      </c>
      <c r="F338" s="39"/>
      <c r="G338" s="43" t="str">
        <f aca="false">IF(OR($A338="",$C338=""),"",IFERROR(INDEX(INSUMOS!$P$6:$P$205,MATCH($C338,INSUMOS!$A$6:$A$205,0)),0))</f>
        <v/>
      </c>
      <c r="H338" s="43" t="str">
        <f aca="false">IF(OR($A338="",$C338=""),"",N($F338)*$G338)</f>
        <v/>
      </c>
      <c r="I338" s="34" t="str">
        <f aca="false">IF(OR($A338="",$C338=""),"",IFERROR(MAX(1,INDEX(PRODUCTOS!$G$6:$G$105,MATCH($A338,PRODUCTOS!$A$6:$A$105,0))),1))</f>
        <v/>
      </c>
      <c r="J338" s="43" t="str">
        <f aca="false">IF(OR($A338="",$C338=""),"",$H338/$I338)</f>
        <v/>
      </c>
      <c r="K338" s="34" t="str">
        <f aca="false">IF(OR($A338="",$C338=""),"",SUMIFS(VENTAS!$E$6:$E$2005,VENTAS!$C$6:$C$2005,$A338))</f>
        <v/>
      </c>
      <c r="L338" s="45" t="str">
        <f aca="false">IF(OR($A338="",$C338=""),"",IFERROR(N($F338)/INDEX(INSUMOS!$I$6:$I$205,MATCH($C338,INSUMOS!$A$6:$A$205,0)),N($F338))/$I338*$K338)</f>
        <v/>
      </c>
      <c r="M338" s="8" t="str">
        <f aca="false">IF($A338="","",COUNTIF($A$6:$A338,$A338))</f>
        <v/>
      </c>
      <c r="N338" s="8" t="str">
        <f aca="false">IF($A338="","",$A338&amp;"|"&amp;$M338)</f>
        <v/>
      </c>
    </row>
    <row r="339" customFormat="false" ht="15" hidden="false" customHeight="false" outlineLevel="0" collapsed="false">
      <c r="A339" s="6"/>
      <c r="B339" s="8" t="str">
        <f aca="false">IF($A339="","",IFERROR(INDEX(PRODUCTOS!$B$6:$B$105,MATCH($A339,PRODUCTOS!$A$6:$A$105,0)),"¿Código?"))</f>
        <v/>
      </c>
      <c r="C339" s="6"/>
      <c r="D339" s="8" t="str">
        <f aca="false">IF($C339="","",IFERROR(INDEX(INSUMOS!$B$6:$B$205,MATCH($C339,INSUMOS!$A$6:$A$205,0)),"¿Código?"))</f>
        <v/>
      </c>
      <c r="E339" s="8" t="str">
        <f aca="false">IF($C339="","",IFERROR(INDEX(INSUMOS!$D$6:$D$205,MATCH($C339,INSUMOS!$A$6:$A$205,0)),""))</f>
        <v/>
      </c>
      <c r="F339" s="39"/>
      <c r="G339" s="43" t="str">
        <f aca="false">IF(OR($A339="",$C339=""),"",IFERROR(INDEX(INSUMOS!$P$6:$P$205,MATCH($C339,INSUMOS!$A$6:$A$205,0)),0))</f>
        <v/>
      </c>
      <c r="H339" s="43" t="str">
        <f aca="false">IF(OR($A339="",$C339=""),"",N($F339)*$G339)</f>
        <v/>
      </c>
      <c r="I339" s="34" t="str">
        <f aca="false">IF(OR($A339="",$C339=""),"",IFERROR(MAX(1,INDEX(PRODUCTOS!$G$6:$G$105,MATCH($A339,PRODUCTOS!$A$6:$A$105,0))),1))</f>
        <v/>
      </c>
      <c r="J339" s="43" t="str">
        <f aca="false">IF(OR($A339="",$C339=""),"",$H339/$I339)</f>
        <v/>
      </c>
      <c r="K339" s="34" t="str">
        <f aca="false">IF(OR($A339="",$C339=""),"",SUMIFS(VENTAS!$E$6:$E$2005,VENTAS!$C$6:$C$2005,$A339))</f>
        <v/>
      </c>
      <c r="L339" s="45" t="str">
        <f aca="false">IF(OR($A339="",$C339=""),"",IFERROR(N($F339)/INDEX(INSUMOS!$I$6:$I$205,MATCH($C339,INSUMOS!$A$6:$A$205,0)),N($F339))/$I339*$K339)</f>
        <v/>
      </c>
      <c r="M339" s="8" t="str">
        <f aca="false">IF($A339="","",COUNTIF($A$6:$A339,$A339))</f>
        <v/>
      </c>
      <c r="N339" s="8" t="str">
        <f aca="false">IF($A339="","",$A339&amp;"|"&amp;$M339)</f>
        <v/>
      </c>
    </row>
    <row r="340" customFormat="false" ht="15" hidden="false" customHeight="false" outlineLevel="0" collapsed="false">
      <c r="A340" s="6"/>
      <c r="B340" s="8" t="str">
        <f aca="false">IF($A340="","",IFERROR(INDEX(PRODUCTOS!$B$6:$B$105,MATCH($A340,PRODUCTOS!$A$6:$A$105,0)),"¿Código?"))</f>
        <v/>
      </c>
      <c r="C340" s="6"/>
      <c r="D340" s="8" t="str">
        <f aca="false">IF($C340="","",IFERROR(INDEX(INSUMOS!$B$6:$B$205,MATCH($C340,INSUMOS!$A$6:$A$205,0)),"¿Código?"))</f>
        <v/>
      </c>
      <c r="E340" s="8" t="str">
        <f aca="false">IF($C340="","",IFERROR(INDEX(INSUMOS!$D$6:$D$205,MATCH($C340,INSUMOS!$A$6:$A$205,0)),""))</f>
        <v/>
      </c>
      <c r="F340" s="39"/>
      <c r="G340" s="43" t="str">
        <f aca="false">IF(OR($A340="",$C340=""),"",IFERROR(INDEX(INSUMOS!$P$6:$P$205,MATCH($C340,INSUMOS!$A$6:$A$205,0)),0))</f>
        <v/>
      </c>
      <c r="H340" s="43" t="str">
        <f aca="false">IF(OR($A340="",$C340=""),"",N($F340)*$G340)</f>
        <v/>
      </c>
      <c r="I340" s="34" t="str">
        <f aca="false">IF(OR($A340="",$C340=""),"",IFERROR(MAX(1,INDEX(PRODUCTOS!$G$6:$G$105,MATCH($A340,PRODUCTOS!$A$6:$A$105,0))),1))</f>
        <v/>
      </c>
      <c r="J340" s="43" t="str">
        <f aca="false">IF(OR($A340="",$C340=""),"",$H340/$I340)</f>
        <v/>
      </c>
      <c r="K340" s="34" t="str">
        <f aca="false">IF(OR($A340="",$C340=""),"",SUMIFS(VENTAS!$E$6:$E$2005,VENTAS!$C$6:$C$2005,$A340))</f>
        <v/>
      </c>
      <c r="L340" s="45" t="str">
        <f aca="false">IF(OR($A340="",$C340=""),"",IFERROR(N($F340)/INDEX(INSUMOS!$I$6:$I$205,MATCH($C340,INSUMOS!$A$6:$A$205,0)),N($F340))/$I340*$K340)</f>
        <v/>
      </c>
      <c r="M340" s="8" t="str">
        <f aca="false">IF($A340="","",COUNTIF($A$6:$A340,$A340))</f>
        <v/>
      </c>
      <c r="N340" s="8" t="str">
        <f aca="false">IF($A340="","",$A340&amp;"|"&amp;$M340)</f>
        <v/>
      </c>
    </row>
    <row r="341" customFormat="false" ht="15" hidden="false" customHeight="false" outlineLevel="0" collapsed="false">
      <c r="A341" s="6"/>
      <c r="B341" s="8" t="str">
        <f aca="false">IF($A341="","",IFERROR(INDEX(PRODUCTOS!$B$6:$B$105,MATCH($A341,PRODUCTOS!$A$6:$A$105,0)),"¿Código?"))</f>
        <v/>
      </c>
      <c r="C341" s="6"/>
      <c r="D341" s="8" t="str">
        <f aca="false">IF($C341="","",IFERROR(INDEX(INSUMOS!$B$6:$B$205,MATCH($C341,INSUMOS!$A$6:$A$205,0)),"¿Código?"))</f>
        <v/>
      </c>
      <c r="E341" s="8" t="str">
        <f aca="false">IF($C341="","",IFERROR(INDEX(INSUMOS!$D$6:$D$205,MATCH($C341,INSUMOS!$A$6:$A$205,0)),""))</f>
        <v/>
      </c>
      <c r="F341" s="39"/>
      <c r="G341" s="43" t="str">
        <f aca="false">IF(OR($A341="",$C341=""),"",IFERROR(INDEX(INSUMOS!$P$6:$P$205,MATCH($C341,INSUMOS!$A$6:$A$205,0)),0))</f>
        <v/>
      </c>
      <c r="H341" s="43" t="str">
        <f aca="false">IF(OR($A341="",$C341=""),"",N($F341)*$G341)</f>
        <v/>
      </c>
      <c r="I341" s="34" t="str">
        <f aca="false">IF(OR($A341="",$C341=""),"",IFERROR(MAX(1,INDEX(PRODUCTOS!$G$6:$G$105,MATCH($A341,PRODUCTOS!$A$6:$A$105,0))),1))</f>
        <v/>
      </c>
      <c r="J341" s="43" t="str">
        <f aca="false">IF(OR($A341="",$C341=""),"",$H341/$I341)</f>
        <v/>
      </c>
      <c r="K341" s="34" t="str">
        <f aca="false">IF(OR($A341="",$C341=""),"",SUMIFS(VENTAS!$E$6:$E$2005,VENTAS!$C$6:$C$2005,$A341))</f>
        <v/>
      </c>
      <c r="L341" s="45" t="str">
        <f aca="false">IF(OR($A341="",$C341=""),"",IFERROR(N($F341)/INDEX(INSUMOS!$I$6:$I$205,MATCH($C341,INSUMOS!$A$6:$A$205,0)),N($F341))/$I341*$K341)</f>
        <v/>
      </c>
      <c r="M341" s="8" t="str">
        <f aca="false">IF($A341="","",COUNTIF($A$6:$A341,$A341))</f>
        <v/>
      </c>
      <c r="N341" s="8" t="str">
        <f aca="false">IF($A341="","",$A341&amp;"|"&amp;$M341)</f>
        <v/>
      </c>
    </row>
    <row r="342" customFormat="false" ht="15" hidden="false" customHeight="false" outlineLevel="0" collapsed="false">
      <c r="A342" s="6"/>
      <c r="B342" s="8" t="str">
        <f aca="false">IF($A342="","",IFERROR(INDEX(PRODUCTOS!$B$6:$B$105,MATCH($A342,PRODUCTOS!$A$6:$A$105,0)),"¿Código?"))</f>
        <v/>
      </c>
      <c r="C342" s="6"/>
      <c r="D342" s="8" t="str">
        <f aca="false">IF($C342="","",IFERROR(INDEX(INSUMOS!$B$6:$B$205,MATCH($C342,INSUMOS!$A$6:$A$205,0)),"¿Código?"))</f>
        <v/>
      </c>
      <c r="E342" s="8" t="str">
        <f aca="false">IF($C342="","",IFERROR(INDEX(INSUMOS!$D$6:$D$205,MATCH($C342,INSUMOS!$A$6:$A$205,0)),""))</f>
        <v/>
      </c>
      <c r="F342" s="39"/>
      <c r="G342" s="43" t="str">
        <f aca="false">IF(OR($A342="",$C342=""),"",IFERROR(INDEX(INSUMOS!$P$6:$P$205,MATCH($C342,INSUMOS!$A$6:$A$205,0)),0))</f>
        <v/>
      </c>
      <c r="H342" s="43" t="str">
        <f aca="false">IF(OR($A342="",$C342=""),"",N($F342)*$G342)</f>
        <v/>
      </c>
      <c r="I342" s="34" t="str">
        <f aca="false">IF(OR($A342="",$C342=""),"",IFERROR(MAX(1,INDEX(PRODUCTOS!$G$6:$G$105,MATCH($A342,PRODUCTOS!$A$6:$A$105,0))),1))</f>
        <v/>
      </c>
      <c r="J342" s="43" t="str">
        <f aca="false">IF(OR($A342="",$C342=""),"",$H342/$I342)</f>
        <v/>
      </c>
      <c r="K342" s="34" t="str">
        <f aca="false">IF(OR($A342="",$C342=""),"",SUMIFS(VENTAS!$E$6:$E$2005,VENTAS!$C$6:$C$2005,$A342))</f>
        <v/>
      </c>
      <c r="L342" s="45" t="str">
        <f aca="false">IF(OR($A342="",$C342=""),"",IFERROR(N($F342)/INDEX(INSUMOS!$I$6:$I$205,MATCH($C342,INSUMOS!$A$6:$A$205,0)),N($F342))/$I342*$K342)</f>
        <v/>
      </c>
      <c r="M342" s="8" t="str">
        <f aca="false">IF($A342="","",COUNTIF($A$6:$A342,$A342))</f>
        <v/>
      </c>
      <c r="N342" s="8" t="str">
        <f aca="false">IF($A342="","",$A342&amp;"|"&amp;$M342)</f>
        <v/>
      </c>
    </row>
    <row r="343" customFormat="false" ht="15" hidden="false" customHeight="false" outlineLevel="0" collapsed="false">
      <c r="A343" s="6"/>
      <c r="B343" s="8" t="str">
        <f aca="false">IF($A343="","",IFERROR(INDEX(PRODUCTOS!$B$6:$B$105,MATCH($A343,PRODUCTOS!$A$6:$A$105,0)),"¿Código?"))</f>
        <v/>
      </c>
      <c r="C343" s="6"/>
      <c r="D343" s="8" t="str">
        <f aca="false">IF($C343="","",IFERROR(INDEX(INSUMOS!$B$6:$B$205,MATCH($C343,INSUMOS!$A$6:$A$205,0)),"¿Código?"))</f>
        <v/>
      </c>
      <c r="E343" s="8" t="str">
        <f aca="false">IF($C343="","",IFERROR(INDEX(INSUMOS!$D$6:$D$205,MATCH($C343,INSUMOS!$A$6:$A$205,0)),""))</f>
        <v/>
      </c>
      <c r="F343" s="39"/>
      <c r="G343" s="43" t="str">
        <f aca="false">IF(OR($A343="",$C343=""),"",IFERROR(INDEX(INSUMOS!$P$6:$P$205,MATCH($C343,INSUMOS!$A$6:$A$205,0)),0))</f>
        <v/>
      </c>
      <c r="H343" s="43" t="str">
        <f aca="false">IF(OR($A343="",$C343=""),"",N($F343)*$G343)</f>
        <v/>
      </c>
      <c r="I343" s="34" t="str">
        <f aca="false">IF(OR($A343="",$C343=""),"",IFERROR(MAX(1,INDEX(PRODUCTOS!$G$6:$G$105,MATCH($A343,PRODUCTOS!$A$6:$A$105,0))),1))</f>
        <v/>
      </c>
      <c r="J343" s="43" t="str">
        <f aca="false">IF(OR($A343="",$C343=""),"",$H343/$I343)</f>
        <v/>
      </c>
      <c r="K343" s="34" t="str">
        <f aca="false">IF(OR($A343="",$C343=""),"",SUMIFS(VENTAS!$E$6:$E$2005,VENTAS!$C$6:$C$2005,$A343))</f>
        <v/>
      </c>
      <c r="L343" s="45" t="str">
        <f aca="false">IF(OR($A343="",$C343=""),"",IFERROR(N($F343)/INDEX(INSUMOS!$I$6:$I$205,MATCH($C343,INSUMOS!$A$6:$A$205,0)),N($F343))/$I343*$K343)</f>
        <v/>
      </c>
      <c r="M343" s="8" t="str">
        <f aca="false">IF($A343="","",COUNTIF($A$6:$A343,$A343))</f>
        <v/>
      </c>
      <c r="N343" s="8" t="str">
        <f aca="false">IF($A343="","",$A343&amp;"|"&amp;$M343)</f>
        <v/>
      </c>
    </row>
    <row r="344" customFormat="false" ht="15" hidden="false" customHeight="false" outlineLevel="0" collapsed="false">
      <c r="A344" s="6"/>
      <c r="B344" s="8" t="str">
        <f aca="false">IF($A344="","",IFERROR(INDEX(PRODUCTOS!$B$6:$B$105,MATCH($A344,PRODUCTOS!$A$6:$A$105,0)),"¿Código?"))</f>
        <v/>
      </c>
      <c r="C344" s="6"/>
      <c r="D344" s="8" t="str">
        <f aca="false">IF($C344="","",IFERROR(INDEX(INSUMOS!$B$6:$B$205,MATCH($C344,INSUMOS!$A$6:$A$205,0)),"¿Código?"))</f>
        <v/>
      </c>
      <c r="E344" s="8" t="str">
        <f aca="false">IF($C344="","",IFERROR(INDEX(INSUMOS!$D$6:$D$205,MATCH($C344,INSUMOS!$A$6:$A$205,0)),""))</f>
        <v/>
      </c>
      <c r="F344" s="39"/>
      <c r="G344" s="43" t="str">
        <f aca="false">IF(OR($A344="",$C344=""),"",IFERROR(INDEX(INSUMOS!$P$6:$P$205,MATCH($C344,INSUMOS!$A$6:$A$205,0)),0))</f>
        <v/>
      </c>
      <c r="H344" s="43" t="str">
        <f aca="false">IF(OR($A344="",$C344=""),"",N($F344)*$G344)</f>
        <v/>
      </c>
      <c r="I344" s="34" t="str">
        <f aca="false">IF(OR($A344="",$C344=""),"",IFERROR(MAX(1,INDEX(PRODUCTOS!$G$6:$G$105,MATCH($A344,PRODUCTOS!$A$6:$A$105,0))),1))</f>
        <v/>
      </c>
      <c r="J344" s="43" t="str">
        <f aca="false">IF(OR($A344="",$C344=""),"",$H344/$I344)</f>
        <v/>
      </c>
      <c r="K344" s="34" t="str">
        <f aca="false">IF(OR($A344="",$C344=""),"",SUMIFS(VENTAS!$E$6:$E$2005,VENTAS!$C$6:$C$2005,$A344))</f>
        <v/>
      </c>
      <c r="L344" s="45" t="str">
        <f aca="false">IF(OR($A344="",$C344=""),"",IFERROR(N($F344)/INDEX(INSUMOS!$I$6:$I$205,MATCH($C344,INSUMOS!$A$6:$A$205,0)),N($F344))/$I344*$K344)</f>
        <v/>
      </c>
      <c r="M344" s="8" t="str">
        <f aca="false">IF($A344="","",COUNTIF($A$6:$A344,$A344))</f>
        <v/>
      </c>
      <c r="N344" s="8" t="str">
        <f aca="false">IF($A344="","",$A344&amp;"|"&amp;$M344)</f>
        <v/>
      </c>
    </row>
    <row r="345" customFormat="false" ht="15" hidden="false" customHeight="false" outlineLevel="0" collapsed="false">
      <c r="A345" s="6"/>
      <c r="B345" s="8" t="str">
        <f aca="false">IF($A345="","",IFERROR(INDEX(PRODUCTOS!$B$6:$B$105,MATCH($A345,PRODUCTOS!$A$6:$A$105,0)),"¿Código?"))</f>
        <v/>
      </c>
      <c r="C345" s="6"/>
      <c r="D345" s="8" t="str">
        <f aca="false">IF($C345="","",IFERROR(INDEX(INSUMOS!$B$6:$B$205,MATCH($C345,INSUMOS!$A$6:$A$205,0)),"¿Código?"))</f>
        <v/>
      </c>
      <c r="E345" s="8" t="str">
        <f aca="false">IF($C345="","",IFERROR(INDEX(INSUMOS!$D$6:$D$205,MATCH($C345,INSUMOS!$A$6:$A$205,0)),""))</f>
        <v/>
      </c>
      <c r="F345" s="39"/>
      <c r="G345" s="43" t="str">
        <f aca="false">IF(OR($A345="",$C345=""),"",IFERROR(INDEX(INSUMOS!$P$6:$P$205,MATCH($C345,INSUMOS!$A$6:$A$205,0)),0))</f>
        <v/>
      </c>
      <c r="H345" s="43" t="str">
        <f aca="false">IF(OR($A345="",$C345=""),"",N($F345)*$G345)</f>
        <v/>
      </c>
      <c r="I345" s="34" t="str">
        <f aca="false">IF(OR($A345="",$C345=""),"",IFERROR(MAX(1,INDEX(PRODUCTOS!$G$6:$G$105,MATCH($A345,PRODUCTOS!$A$6:$A$105,0))),1))</f>
        <v/>
      </c>
      <c r="J345" s="43" t="str">
        <f aca="false">IF(OR($A345="",$C345=""),"",$H345/$I345)</f>
        <v/>
      </c>
      <c r="K345" s="34" t="str">
        <f aca="false">IF(OR($A345="",$C345=""),"",SUMIFS(VENTAS!$E$6:$E$2005,VENTAS!$C$6:$C$2005,$A345))</f>
        <v/>
      </c>
      <c r="L345" s="45" t="str">
        <f aca="false">IF(OR($A345="",$C345=""),"",IFERROR(N($F345)/INDEX(INSUMOS!$I$6:$I$205,MATCH($C345,INSUMOS!$A$6:$A$205,0)),N($F345))/$I345*$K345)</f>
        <v/>
      </c>
      <c r="M345" s="8" t="str">
        <f aca="false">IF($A345="","",COUNTIF($A$6:$A345,$A345))</f>
        <v/>
      </c>
      <c r="N345" s="8" t="str">
        <f aca="false">IF($A345="","",$A345&amp;"|"&amp;$M345)</f>
        <v/>
      </c>
    </row>
    <row r="346" customFormat="false" ht="15" hidden="false" customHeight="false" outlineLevel="0" collapsed="false">
      <c r="A346" s="6"/>
      <c r="B346" s="8" t="str">
        <f aca="false">IF($A346="","",IFERROR(INDEX(PRODUCTOS!$B$6:$B$105,MATCH($A346,PRODUCTOS!$A$6:$A$105,0)),"¿Código?"))</f>
        <v/>
      </c>
      <c r="C346" s="6"/>
      <c r="D346" s="8" t="str">
        <f aca="false">IF($C346="","",IFERROR(INDEX(INSUMOS!$B$6:$B$205,MATCH($C346,INSUMOS!$A$6:$A$205,0)),"¿Código?"))</f>
        <v/>
      </c>
      <c r="E346" s="8" t="str">
        <f aca="false">IF($C346="","",IFERROR(INDEX(INSUMOS!$D$6:$D$205,MATCH($C346,INSUMOS!$A$6:$A$205,0)),""))</f>
        <v/>
      </c>
      <c r="F346" s="39"/>
      <c r="G346" s="43" t="str">
        <f aca="false">IF(OR($A346="",$C346=""),"",IFERROR(INDEX(INSUMOS!$P$6:$P$205,MATCH($C346,INSUMOS!$A$6:$A$205,0)),0))</f>
        <v/>
      </c>
      <c r="H346" s="43" t="str">
        <f aca="false">IF(OR($A346="",$C346=""),"",N($F346)*$G346)</f>
        <v/>
      </c>
      <c r="I346" s="34" t="str">
        <f aca="false">IF(OR($A346="",$C346=""),"",IFERROR(MAX(1,INDEX(PRODUCTOS!$G$6:$G$105,MATCH($A346,PRODUCTOS!$A$6:$A$105,0))),1))</f>
        <v/>
      </c>
      <c r="J346" s="43" t="str">
        <f aca="false">IF(OR($A346="",$C346=""),"",$H346/$I346)</f>
        <v/>
      </c>
      <c r="K346" s="34" t="str">
        <f aca="false">IF(OR($A346="",$C346=""),"",SUMIFS(VENTAS!$E$6:$E$2005,VENTAS!$C$6:$C$2005,$A346))</f>
        <v/>
      </c>
      <c r="L346" s="45" t="str">
        <f aca="false">IF(OR($A346="",$C346=""),"",IFERROR(N($F346)/INDEX(INSUMOS!$I$6:$I$205,MATCH($C346,INSUMOS!$A$6:$A$205,0)),N($F346))/$I346*$K346)</f>
        <v/>
      </c>
      <c r="M346" s="8" t="str">
        <f aca="false">IF($A346="","",COUNTIF($A$6:$A346,$A346))</f>
        <v/>
      </c>
      <c r="N346" s="8" t="str">
        <f aca="false">IF($A346="","",$A346&amp;"|"&amp;$M346)</f>
        <v/>
      </c>
    </row>
    <row r="347" customFormat="false" ht="15" hidden="false" customHeight="false" outlineLevel="0" collapsed="false">
      <c r="A347" s="6"/>
      <c r="B347" s="8" t="str">
        <f aca="false">IF($A347="","",IFERROR(INDEX(PRODUCTOS!$B$6:$B$105,MATCH($A347,PRODUCTOS!$A$6:$A$105,0)),"¿Código?"))</f>
        <v/>
      </c>
      <c r="C347" s="6"/>
      <c r="D347" s="8" t="str">
        <f aca="false">IF($C347="","",IFERROR(INDEX(INSUMOS!$B$6:$B$205,MATCH($C347,INSUMOS!$A$6:$A$205,0)),"¿Código?"))</f>
        <v/>
      </c>
      <c r="E347" s="8" t="str">
        <f aca="false">IF($C347="","",IFERROR(INDEX(INSUMOS!$D$6:$D$205,MATCH($C347,INSUMOS!$A$6:$A$205,0)),""))</f>
        <v/>
      </c>
      <c r="F347" s="39"/>
      <c r="G347" s="43" t="str">
        <f aca="false">IF(OR($A347="",$C347=""),"",IFERROR(INDEX(INSUMOS!$P$6:$P$205,MATCH($C347,INSUMOS!$A$6:$A$205,0)),0))</f>
        <v/>
      </c>
      <c r="H347" s="43" t="str">
        <f aca="false">IF(OR($A347="",$C347=""),"",N($F347)*$G347)</f>
        <v/>
      </c>
      <c r="I347" s="34" t="str">
        <f aca="false">IF(OR($A347="",$C347=""),"",IFERROR(MAX(1,INDEX(PRODUCTOS!$G$6:$G$105,MATCH($A347,PRODUCTOS!$A$6:$A$105,0))),1))</f>
        <v/>
      </c>
      <c r="J347" s="43" t="str">
        <f aca="false">IF(OR($A347="",$C347=""),"",$H347/$I347)</f>
        <v/>
      </c>
      <c r="K347" s="34" t="str">
        <f aca="false">IF(OR($A347="",$C347=""),"",SUMIFS(VENTAS!$E$6:$E$2005,VENTAS!$C$6:$C$2005,$A347))</f>
        <v/>
      </c>
      <c r="L347" s="45" t="str">
        <f aca="false">IF(OR($A347="",$C347=""),"",IFERROR(N($F347)/INDEX(INSUMOS!$I$6:$I$205,MATCH($C347,INSUMOS!$A$6:$A$205,0)),N($F347))/$I347*$K347)</f>
        <v/>
      </c>
      <c r="M347" s="8" t="str">
        <f aca="false">IF($A347="","",COUNTIF($A$6:$A347,$A347))</f>
        <v/>
      </c>
      <c r="N347" s="8" t="str">
        <f aca="false">IF($A347="","",$A347&amp;"|"&amp;$M347)</f>
        <v/>
      </c>
    </row>
    <row r="348" customFormat="false" ht="15" hidden="false" customHeight="false" outlineLevel="0" collapsed="false">
      <c r="A348" s="6"/>
      <c r="B348" s="8" t="str">
        <f aca="false">IF($A348="","",IFERROR(INDEX(PRODUCTOS!$B$6:$B$105,MATCH($A348,PRODUCTOS!$A$6:$A$105,0)),"¿Código?"))</f>
        <v/>
      </c>
      <c r="C348" s="6"/>
      <c r="D348" s="8" t="str">
        <f aca="false">IF($C348="","",IFERROR(INDEX(INSUMOS!$B$6:$B$205,MATCH($C348,INSUMOS!$A$6:$A$205,0)),"¿Código?"))</f>
        <v/>
      </c>
      <c r="E348" s="8" t="str">
        <f aca="false">IF($C348="","",IFERROR(INDEX(INSUMOS!$D$6:$D$205,MATCH($C348,INSUMOS!$A$6:$A$205,0)),""))</f>
        <v/>
      </c>
      <c r="F348" s="39"/>
      <c r="G348" s="43" t="str">
        <f aca="false">IF(OR($A348="",$C348=""),"",IFERROR(INDEX(INSUMOS!$P$6:$P$205,MATCH($C348,INSUMOS!$A$6:$A$205,0)),0))</f>
        <v/>
      </c>
      <c r="H348" s="43" t="str">
        <f aca="false">IF(OR($A348="",$C348=""),"",N($F348)*$G348)</f>
        <v/>
      </c>
      <c r="I348" s="34" t="str">
        <f aca="false">IF(OR($A348="",$C348=""),"",IFERROR(MAX(1,INDEX(PRODUCTOS!$G$6:$G$105,MATCH($A348,PRODUCTOS!$A$6:$A$105,0))),1))</f>
        <v/>
      </c>
      <c r="J348" s="43" t="str">
        <f aca="false">IF(OR($A348="",$C348=""),"",$H348/$I348)</f>
        <v/>
      </c>
      <c r="K348" s="34" t="str">
        <f aca="false">IF(OR($A348="",$C348=""),"",SUMIFS(VENTAS!$E$6:$E$2005,VENTAS!$C$6:$C$2005,$A348))</f>
        <v/>
      </c>
      <c r="L348" s="45" t="str">
        <f aca="false">IF(OR($A348="",$C348=""),"",IFERROR(N($F348)/INDEX(INSUMOS!$I$6:$I$205,MATCH($C348,INSUMOS!$A$6:$A$205,0)),N($F348))/$I348*$K348)</f>
        <v/>
      </c>
      <c r="M348" s="8" t="str">
        <f aca="false">IF($A348="","",COUNTIF($A$6:$A348,$A348))</f>
        <v/>
      </c>
      <c r="N348" s="8" t="str">
        <f aca="false">IF($A348="","",$A348&amp;"|"&amp;$M348)</f>
        <v/>
      </c>
    </row>
    <row r="349" customFormat="false" ht="15" hidden="false" customHeight="false" outlineLevel="0" collapsed="false">
      <c r="A349" s="6"/>
      <c r="B349" s="8" t="str">
        <f aca="false">IF($A349="","",IFERROR(INDEX(PRODUCTOS!$B$6:$B$105,MATCH($A349,PRODUCTOS!$A$6:$A$105,0)),"¿Código?"))</f>
        <v/>
      </c>
      <c r="C349" s="6"/>
      <c r="D349" s="8" t="str">
        <f aca="false">IF($C349="","",IFERROR(INDEX(INSUMOS!$B$6:$B$205,MATCH($C349,INSUMOS!$A$6:$A$205,0)),"¿Código?"))</f>
        <v/>
      </c>
      <c r="E349" s="8" t="str">
        <f aca="false">IF($C349="","",IFERROR(INDEX(INSUMOS!$D$6:$D$205,MATCH($C349,INSUMOS!$A$6:$A$205,0)),""))</f>
        <v/>
      </c>
      <c r="F349" s="39"/>
      <c r="G349" s="43" t="str">
        <f aca="false">IF(OR($A349="",$C349=""),"",IFERROR(INDEX(INSUMOS!$P$6:$P$205,MATCH($C349,INSUMOS!$A$6:$A$205,0)),0))</f>
        <v/>
      </c>
      <c r="H349" s="43" t="str">
        <f aca="false">IF(OR($A349="",$C349=""),"",N($F349)*$G349)</f>
        <v/>
      </c>
      <c r="I349" s="34" t="str">
        <f aca="false">IF(OR($A349="",$C349=""),"",IFERROR(MAX(1,INDEX(PRODUCTOS!$G$6:$G$105,MATCH($A349,PRODUCTOS!$A$6:$A$105,0))),1))</f>
        <v/>
      </c>
      <c r="J349" s="43" t="str">
        <f aca="false">IF(OR($A349="",$C349=""),"",$H349/$I349)</f>
        <v/>
      </c>
      <c r="K349" s="34" t="str">
        <f aca="false">IF(OR($A349="",$C349=""),"",SUMIFS(VENTAS!$E$6:$E$2005,VENTAS!$C$6:$C$2005,$A349))</f>
        <v/>
      </c>
      <c r="L349" s="45" t="str">
        <f aca="false">IF(OR($A349="",$C349=""),"",IFERROR(N($F349)/INDEX(INSUMOS!$I$6:$I$205,MATCH($C349,INSUMOS!$A$6:$A$205,0)),N($F349))/$I349*$K349)</f>
        <v/>
      </c>
      <c r="M349" s="8" t="str">
        <f aca="false">IF($A349="","",COUNTIF($A$6:$A349,$A349))</f>
        <v/>
      </c>
      <c r="N349" s="8" t="str">
        <f aca="false">IF($A349="","",$A349&amp;"|"&amp;$M349)</f>
        <v/>
      </c>
    </row>
    <row r="350" customFormat="false" ht="15" hidden="false" customHeight="false" outlineLevel="0" collapsed="false">
      <c r="A350" s="6"/>
      <c r="B350" s="8" t="str">
        <f aca="false">IF($A350="","",IFERROR(INDEX(PRODUCTOS!$B$6:$B$105,MATCH($A350,PRODUCTOS!$A$6:$A$105,0)),"¿Código?"))</f>
        <v/>
      </c>
      <c r="C350" s="6"/>
      <c r="D350" s="8" t="str">
        <f aca="false">IF($C350="","",IFERROR(INDEX(INSUMOS!$B$6:$B$205,MATCH($C350,INSUMOS!$A$6:$A$205,0)),"¿Código?"))</f>
        <v/>
      </c>
      <c r="E350" s="8" t="str">
        <f aca="false">IF($C350="","",IFERROR(INDEX(INSUMOS!$D$6:$D$205,MATCH($C350,INSUMOS!$A$6:$A$205,0)),""))</f>
        <v/>
      </c>
      <c r="F350" s="39"/>
      <c r="G350" s="43" t="str">
        <f aca="false">IF(OR($A350="",$C350=""),"",IFERROR(INDEX(INSUMOS!$P$6:$P$205,MATCH($C350,INSUMOS!$A$6:$A$205,0)),0))</f>
        <v/>
      </c>
      <c r="H350" s="43" t="str">
        <f aca="false">IF(OR($A350="",$C350=""),"",N($F350)*$G350)</f>
        <v/>
      </c>
      <c r="I350" s="34" t="str">
        <f aca="false">IF(OR($A350="",$C350=""),"",IFERROR(MAX(1,INDEX(PRODUCTOS!$G$6:$G$105,MATCH($A350,PRODUCTOS!$A$6:$A$105,0))),1))</f>
        <v/>
      </c>
      <c r="J350" s="43" t="str">
        <f aca="false">IF(OR($A350="",$C350=""),"",$H350/$I350)</f>
        <v/>
      </c>
      <c r="K350" s="34" t="str">
        <f aca="false">IF(OR($A350="",$C350=""),"",SUMIFS(VENTAS!$E$6:$E$2005,VENTAS!$C$6:$C$2005,$A350))</f>
        <v/>
      </c>
      <c r="L350" s="45" t="str">
        <f aca="false">IF(OR($A350="",$C350=""),"",IFERROR(N($F350)/INDEX(INSUMOS!$I$6:$I$205,MATCH($C350,INSUMOS!$A$6:$A$205,0)),N($F350))/$I350*$K350)</f>
        <v/>
      </c>
      <c r="M350" s="8" t="str">
        <f aca="false">IF($A350="","",COUNTIF($A$6:$A350,$A350))</f>
        <v/>
      </c>
      <c r="N350" s="8" t="str">
        <f aca="false">IF($A350="","",$A350&amp;"|"&amp;$M350)</f>
        <v/>
      </c>
    </row>
    <row r="351" customFormat="false" ht="15" hidden="false" customHeight="false" outlineLevel="0" collapsed="false">
      <c r="A351" s="6"/>
      <c r="B351" s="8" t="str">
        <f aca="false">IF($A351="","",IFERROR(INDEX(PRODUCTOS!$B$6:$B$105,MATCH($A351,PRODUCTOS!$A$6:$A$105,0)),"¿Código?"))</f>
        <v/>
      </c>
      <c r="C351" s="6"/>
      <c r="D351" s="8" t="str">
        <f aca="false">IF($C351="","",IFERROR(INDEX(INSUMOS!$B$6:$B$205,MATCH($C351,INSUMOS!$A$6:$A$205,0)),"¿Código?"))</f>
        <v/>
      </c>
      <c r="E351" s="8" t="str">
        <f aca="false">IF($C351="","",IFERROR(INDEX(INSUMOS!$D$6:$D$205,MATCH($C351,INSUMOS!$A$6:$A$205,0)),""))</f>
        <v/>
      </c>
      <c r="F351" s="39"/>
      <c r="G351" s="43" t="str">
        <f aca="false">IF(OR($A351="",$C351=""),"",IFERROR(INDEX(INSUMOS!$P$6:$P$205,MATCH($C351,INSUMOS!$A$6:$A$205,0)),0))</f>
        <v/>
      </c>
      <c r="H351" s="43" t="str">
        <f aca="false">IF(OR($A351="",$C351=""),"",N($F351)*$G351)</f>
        <v/>
      </c>
      <c r="I351" s="34" t="str">
        <f aca="false">IF(OR($A351="",$C351=""),"",IFERROR(MAX(1,INDEX(PRODUCTOS!$G$6:$G$105,MATCH($A351,PRODUCTOS!$A$6:$A$105,0))),1))</f>
        <v/>
      </c>
      <c r="J351" s="43" t="str">
        <f aca="false">IF(OR($A351="",$C351=""),"",$H351/$I351)</f>
        <v/>
      </c>
      <c r="K351" s="34" t="str">
        <f aca="false">IF(OR($A351="",$C351=""),"",SUMIFS(VENTAS!$E$6:$E$2005,VENTAS!$C$6:$C$2005,$A351))</f>
        <v/>
      </c>
      <c r="L351" s="45" t="str">
        <f aca="false">IF(OR($A351="",$C351=""),"",IFERROR(N($F351)/INDEX(INSUMOS!$I$6:$I$205,MATCH($C351,INSUMOS!$A$6:$A$205,0)),N($F351))/$I351*$K351)</f>
        <v/>
      </c>
      <c r="M351" s="8" t="str">
        <f aca="false">IF($A351="","",COUNTIF($A$6:$A351,$A351))</f>
        <v/>
      </c>
      <c r="N351" s="8" t="str">
        <f aca="false">IF($A351="","",$A351&amp;"|"&amp;$M351)</f>
        <v/>
      </c>
    </row>
    <row r="352" customFormat="false" ht="15" hidden="false" customHeight="false" outlineLevel="0" collapsed="false">
      <c r="A352" s="6"/>
      <c r="B352" s="8" t="str">
        <f aca="false">IF($A352="","",IFERROR(INDEX(PRODUCTOS!$B$6:$B$105,MATCH($A352,PRODUCTOS!$A$6:$A$105,0)),"¿Código?"))</f>
        <v/>
      </c>
      <c r="C352" s="6"/>
      <c r="D352" s="8" t="str">
        <f aca="false">IF($C352="","",IFERROR(INDEX(INSUMOS!$B$6:$B$205,MATCH($C352,INSUMOS!$A$6:$A$205,0)),"¿Código?"))</f>
        <v/>
      </c>
      <c r="E352" s="8" t="str">
        <f aca="false">IF($C352="","",IFERROR(INDEX(INSUMOS!$D$6:$D$205,MATCH($C352,INSUMOS!$A$6:$A$205,0)),""))</f>
        <v/>
      </c>
      <c r="F352" s="39"/>
      <c r="G352" s="43" t="str">
        <f aca="false">IF(OR($A352="",$C352=""),"",IFERROR(INDEX(INSUMOS!$P$6:$P$205,MATCH($C352,INSUMOS!$A$6:$A$205,0)),0))</f>
        <v/>
      </c>
      <c r="H352" s="43" t="str">
        <f aca="false">IF(OR($A352="",$C352=""),"",N($F352)*$G352)</f>
        <v/>
      </c>
      <c r="I352" s="34" t="str">
        <f aca="false">IF(OR($A352="",$C352=""),"",IFERROR(MAX(1,INDEX(PRODUCTOS!$G$6:$G$105,MATCH($A352,PRODUCTOS!$A$6:$A$105,0))),1))</f>
        <v/>
      </c>
      <c r="J352" s="43" t="str">
        <f aca="false">IF(OR($A352="",$C352=""),"",$H352/$I352)</f>
        <v/>
      </c>
      <c r="K352" s="34" t="str">
        <f aca="false">IF(OR($A352="",$C352=""),"",SUMIFS(VENTAS!$E$6:$E$2005,VENTAS!$C$6:$C$2005,$A352))</f>
        <v/>
      </c>
      <c r="L352" s="45" t="str">
        <f aca="false">IF(OR($A352="",$C352=""),"",IFERROR(N($F352)/INDEX(INSUMOS!$I$6:$I$205,MATCH($C352,INSUMOS!$A$6:$A$205,0)),N($F352))/$I352*$K352)</f>
        <v/>
      </c>
      <c r="M352" s="8" t="str">
        <f aca="false">IF($A352="","",COUNTIF($A$6:$A352,$A352))</f>
        <v/>
      </c>
      <c r="N352" s="8" t="str">
        <f aca="false">IF($A352="","",$A352&amp;"|"&amp;$M352)</f>
        <v/>
      </c>
    </row>
    <row r="353" customFormat="false" ht="15" hidden="false" customHeight="false" outlineLevel="0" collapsed="false">
      <c r="A353" s="6"/>
      <c r="B353" s="8" t="str">
        <f aca="false">IF($A353="","",IFERROR(INDEX(PRODUCTOS!$B$6:$B$105,MATCH($A353,PRODUCTOS!$A$6:$A$105,0)),"¿Código?"))</f>
        <v/>
      </c>
      <c r="C353" s="6"/>
      <c r="D353" s="8" t="str">
        <f aca="false">IF($C353="","",IFERROR(INDEX(INSUMOS!$B$6:$B$205,MATCH($C353,INSUMOS!$A$6:$A$205,0)),"¿Código?"))</f>
        <v/>
      </c>
      <c r="E353" s="8" t="str">
        <f aca="false">IF($C353="","",IFERROR(INDEX(INSUMOS!$D$6:$D$205,MATCH($C353,INSUMOS!$A$6:$A$205,0)),""))</f>
        <v/>
      </c>
      <c r="F353" s="39"/>
      <c r="G353" s="43" t="str">
        <f aca="false">IF(OR($A353="",$C353=""),"",IFERROR(INDEX(INSUMOS!$P$6:$P$205,MATCH($C353,INSUMOS!$A$6:$A$205,0)),0))</f>
        <v/>
      </c>
      <c r="H353" s="43" t="str">
        <f aca="false">IF(OR($A353="",$C353=""),"",N($F353)*$G353)</f>
        <v/>
      </c>
      <c r="I353" s="34" t="str">
        <f aca="false">IF(OR($A353="",$C353=""),"",IFERROR(MAX(1,INDEX(PRODUCTOS!$G$6:$G$105,MATCH($A353,PRODUCTOS!$A$6:$A$105,0))),1))</f>
        <v/>
      </c>
      <c r="J353" s="43" t="str">
        <f aca="false">IF(OR($A353="",$C353=""),"",$H353/$I353)</f>
        <v/>
      </c>
      <c r="K353" s="34" t="str">
        <f aca="false">IF(OR($A353="",$C353=""),"",SUMIFS(VENTAS!$E$6:$E$2005,VENTAS!$C$6:$C$2005,$A353))</f>
        <v/>
      </c>
      <c r="L353" s="45" t="str">
        <f aca="false">IF(OR($A353="",$C353=""),"",IFERROR(N($F353)/INDEX(INSUMOS!$I$6:$I$205,MATCH($C353,INSUMOS!$A$6:$A$205,0)),N($F353))/$I353*$K353)</f>
        <v/>
      </c>
      <c r="M353" s="8" t="str">
        <f aca="false">IF($A353="","",COUNTIF($A$6:$A353,$A353))</f>
        <v/>
      </c>
      <c r="N353" s="8" t="str">
        <f aca="false">IF($A353="","",$A353&amp;"|"&amp;$M353)</f>
        <v/>
      </c>
    </row>
    <row r="354" customFormat="false" ht="15" hidden="false" customHeight="false" outlineLevel="0" collapsed="false">
      <c r="A354" s="6"/>
      <c r="B354" s="8" t="str">
        <f aca="false">IF($A354="","",IFERROR(INDEX(PRODUCTOS!$B$6:$B$105,MATCH($A354,PRODUCTOS!$A$6:$A$105,0)),"¿Código?"))</f>
        <v/>
      </c>
      <c r="C354" s="6"/>
      <c r="D354" s="8" t="str">
        <f aca="false">IF($C354="","",IFERROR(INDEX(INSUMOS!$B$6:$B$205,MATCH($C354,INSUMOS!$A$6:$A$205,0)),"¿Código?"))</f>
        <v/>
      </c>
      <c r="E354" s="8" t="str">
        <f aca="false">IF($C354="","",IFERROR(INDEX(INSUMOS!$D$6:$D$205,MATCH($C354,INSUMOS!$A$6:$A$205,0)),""))</f>
        <v/>
      </c>
      <c r="F354" s="39"/>
      <c r="G354" s="43" t="str">
        <f aca="false">IF(OR($A354="",$C354=""),"",IFERROR(INDEX(INSUMOS!$P$6:$P$205,MATCH($C354,INSUMOS!$A$6:$A$205,0)),0))</f>
        <v/>
      </c>
      <c r="H354" s="43" t="str">
        <f aca="false">IF(OR($A354="",$C354=""),"",N($F354)*$G354)</f>
        <v/>
      </c>
      <c r="I354" s="34" t="str">
        <f aca="false">IF(OR($A354="",$C354=""),"",IFERROR(MAX(1,INDEX(PRODUCTOS!$G$6:$G$105,MATCH($A354,PRODUCTOS!$A$6:$A$105,0))),1))</f>
        <v/>
      </c>
      <c r="J354" s="43" t="str">
        <f aca="false">IF(OR($A354="",$C354=""),"",$H354/$I354)</f>
        <v/>
      </c>
      <c r="K354" s="34" t="str">
        <f aca="false">IF(OR($A354="",$C354=""),"",SUMIFS(VENTAS!$E$6:$E$2005,VENTAS!$C$6:$C$2005,$A354))</f>
        <v/>
      </c>
      <c r="L354" s="45" t="str">
        <f aca="false">IF(OR($A354="",$C354=""),"",IFERROR(N($F354)/INDEX(INSUMOS!$I$6:$I$205,MATCH($C354,INSUMOS!$A$6:$A$205,0)),N($F354))/$I354*$K354)</f>
        <v/>
      </c>
      <c r="M354" s="8" t="str">
        <f aca="false">IF($A354="","",COUNTIF($A$6:$A354,$A354))</f>
        <v/>
      </c>
      <c r="N354" s="8" t="str">
        <f aca="false">IF($A354="","",$A354&amp;"|"&amp;$M354)</f>
        <v/>
      </c>
    </row>
    <row r="355" customFormat="false" ht="15" hidden="false" customHeight="false" outlineLevel="0" collapsed="false">
      <c r="A355" s="6"/>
      <c r="B355" s="8" t="str">
        <f aca="false">IF($A355="","",IFERROR(INDEX(PRODUCTOS!$B$6:$B$105,MATCH($A355,PRODUCTOS!$A$6:$A$105,0)),"¿Código?"))</f>
        <v/>
      </c>
      <c r="C355" s="6"/>
      <c r="D355" s="8" t="str">
        <f aca="false">IF($C355="","",IFERROR(INDEX(INSUMOS!$B$6:$B$205,MATCH($C355,INSUMOS!$A$6:$A$205,0)),"¿Código?"))</f>
        <v/>
      </c>
      <c r="E355" s="8" t="str">
        <f aca="false">IF($C355="","",IFERROR(INDEX(INSUMOS!$D$6:$D$205,MATCH($C355,INSUMOS!$A$6:$A$205,0)),""))</f>
        <v/>
      </c>
      <c r="F355" s="39"/>
      <c r="G355" s="43" t="str">
        <f aca="false">IF(OR($A355="",$C355=""),"",IFERROR(INDEX(INSUMOS!$P$6:$P$205,MATCH($C355,INSUMOS!$A$6:$A$205,0)),0))</f>
        <v/>
      </c>
      <c r="H355" s="43" t="str">
        <f aca="false">IF(OR($A355="",$C355=""),"",N($F355)*$G355)</f>
        <v/>
      </c>
      <c r="I355" s="34" t="str">
        <f aca="false">IF(OR($A355="",$C355=""),"",IFERROR(MAX(1,INDEX(PRODUCTOS!$G$6:$G$105,MATCH($A355,PRODUCTOS!$A$6:$A$105,0))),1))</f>
        <v/>
      </c>
      <c r="J355" s="43" t="str">
        <f aca="false">IF(OR($A355="",$C355=""),"",$H355/$I355)</f>
        <v/>
      </c>
      <c r="K355" s="34" t="str">
        <f aca="false">IF(OR($A355="",$C355=""),"",SUMIFS(VENTAS!$E$6:$E$2005,VENTAS!$C$6:$C$2005,$A355))</f>
        <v/>
      </c>
      <c r="L355" s="45" t="str">
        <f aca="false">IF(OR($A355="",$C355=""),"",IFERROR(N($F355)/INDEX(INSUMOS!$I$6:$I$205,MATCH($C355,INSUMOS!$A$6:$A$205,0)),N($F355))/$I355*$K355)</f>
        <v/>
      </c>
      <c r="M355" s="8" t="str">
        <f aca="false">IF($A355="","",COUNTIF($A$6:$A355,$A355))</f>
        <v/>
      </c>
      <c r="N355" s="8" t="str">
        <f aca="false">IF($A355="","",$A355&amp;"|"&amp;$M355)</f>
        <v/>
      </c>
    </row>
    <row r="356" customFormat="false" ht="15" hidden="false" customHeight="false" outlineLevel="0" collapsed="false">
      <c r="A356" s="6"/>
      <c r="B356" s="8" t="str">
        <f aca="false">IF($A356="","",IFERROR(INDEX(PRODUCTOS!$B$6:$B$105,MATCH($A356,PRODUCTOS!$A$6:$A$105,0)),"¿Código?"))</f>
        <v/>
      </c>
      <c r="C356" s="6"/>
      <c r="D356" s="8" t="str">
        <f aca="false">IF($C356="","",IFERROR(INDEX(INSUMOS!$B$6:$B$205,MATCH($C356,INSUMOS!$A$6:$A$205,0)),"¿Código?"))</f>
        <v/>
      </c>
      <c r="E356" s="8" t="str">
        <f aca="false">IF($C356="","",IFERROR(INDEX(INSUMOS!$D$6:$D$205,MATCH($C356,INSUMOS!$A$6:$A$205,0)),""))</f>
        <v/>
      </c>
      <c r="F356" s="39"/>
      <c r="G356" s="43" t="str">
        <f aca="false">IF(OR($A356="",$C356=""),"",IFERROR(INDEX(INSUMOS!$P$6:$P$205,MATCH($C356,INSUMOS!$A$6:$A$205,0)),0))</f>
        <v/>
      </c>
      <c r="H356" s="43" t="str">
        <f aca="false">IF(OR($A356="",$C356=""),"",N($F356)*$G356)</f>
        <v/>
      </c>
      <c r="I356" s="34" t="str">
        <f aca="false">IF(OR($A356="",$C356=""),"",IFERROR(MAX(1,INDEX(PRODUCTOS!$G$6:$G$105,MATCH($A356,PRODUCTOS!$A$6:$A$105,0))),1))</f>
        <v/>
      </c>
      <c r="J356" s="43" t="str">
        <f aca="false">IF(OR($A356="",$C356=""),"",$H356/$I356)</f>
        <v/>
      </c>
      <c r="K356" s="34" t="str">
        <f aca="false">IF(OR($A356="",$C356=""),"",SUMIFS(VENTAS!$E$6:$E$2005,VENTAS!$C$6:$C$2005,$A356))</f>
        <v/>
      </c>
      <c r="L356" s="45" t="str">
        <f aca="false">IF(OR($A356="",$C356=""),"",IFERROR(N($F356)/INDEX(INSUMOS!$I$6:$I$205,MATCH($C356,INSUMOS!$A$6:$A$205,0)),N($F356))/$I356*$K356)</f>
        <v/>
      </c>
      <c r="M356" s="8" t="str">
        <f aca="false">IF($A356="","",COUNTIF($A$6:$A356,$A356))</f>
        <v/>
      </c>
      <c r="N356" s="8" t="str">
        <f aca="false">IF($A356="","",$A356&amp;"|"&amp;$M356)</f>
        <v/>
      </c>
    </row>
    <row r="357" customFormat="false" ht="15" hidden="false" customHeight="false" outlineLevel="0" collapsed="false">
      <c r="A357" s="6"/>
      <c r="B357" s="8" t="str">
        <f aca="false">IF($A357="","",IFERROR(INDEX(PRODUCTOS!$B$6:$B$105,MATCH($A357,PRODUCTOS!$A$6:$A$105,0)),"¿Código?"))</f>
        <v/>
      </c>
      <c r="C357" s="6"/>
      <c r="D357" s="8" t="str">
        <f aca="false">IF($C357="","",IFERROR(INDEX(INSUMOS!$B$6:$B$205,MATCH($C357,INSUMOS!$A$6:$A$205,0)),"¿Código?"))</f>
        <v/>
      </c>
      <c r="E357" s="8" t="str">
        <f aca="false">IF($C357="","",IFERROR(INDEX(INSUMOS!$D$6:$D$205,MATCH($C357,INSUMOS!$A$6:$A$205,0)),""))</f>
        <v/>
      </c>
      <c r="F357" s="39"/>
      <c r="G357" s="43" t="str">
        <f aca="false">IF(OR($A357="",$C357=""),"",IFERROR(INDEX(INSUMOS!$P$6:$P$205,MATCH($C357,INSUMOS!$A$6:$A$205,0)),0))</f>
        <v/>
      </c>
      <c r="H357" s="43" t="str">
        <f aca="false">IF(OR($A357="",$C357=""),"",N($F357)*$G357)</f>
        <v/>
      </c>
      <c r="I357" s="34" t="str">
        <f aca="false">IF(OR($A357="",$C357=""),"",IFERROR(MAX(1,INDEX(PRODUCTOS!$G$6:$G$105,MATCH($A357,PRODUCTOS!$A$6:$A$105,0))),1))</f>
        <v/>
      </c>
      <c r="J357" s="43" t="str">
        <f aca="false">IF(OR($A357="",$C357=""),"",$H357/$I357)</f>
        <v/>
      </c>
      <c r="K357" s="34" t="str">
        <f aca="false">IF(OR($A357="",$C357=""),"",SUMIFS(VENTAS!$E$6:$E$2005,VENTAS!$C$6:$C$2005,$A357))</f>
        <v/>
      </c>
      <c r="L357" s="45" t="str">
        <f aca="false">IF(OR($A357="",$C357=""),"",IFERROR(N($F357)/INDEX(INSUMOS!$I$6:$I$205,MATCH($C357,INSUMOS!$A$6:$A$205,0)),N($F357))/$I357*$K357)</f>
        <v/>
      </c>
      <c r="M357" s="8" t="str">
        <f aca="false">IF($A357="","",COUNTIF($A$6:$A357,$A357))</f>
        <v/>
      </c>
      <c r="N357" s="8" t="str">
        <f aca="false">IF($A357="","",$A357&amp;"|"&amp;$M357)</f>
        <v/>
      </c>
    </row>
    <row r="358" customFormat="false" ht="15" hidden="false" customHeight="false" outlineLevel="0" collapsed="false">
      <c r="A358" s="6"/>
      <c r="B358" s="8" t="str">
        <f aca="false">IF($A358="","",IFERROR(INDEX(PRODUCTOS!$B$6:$B$105,MATCH($A358,PRODUCTOS!$A$6:$A$105,0)),"¿Código?"))</f>
        <v/>
      </c>
      <c r="C358" s="6"/>
      <c r="D358" s="8" t="str">
        <f aca="false">IF($C358="","",IFERROR(INDEX(INSUMOS!$B$6:$B$205,MATCH($C358,INSUMOS!$A$6:$A$205,0)),"¿Código?"))</f>
        <v/>
      </c>
      <c r="E358" s="8" t="str">
        <f aca="false">IF($C358="","",IFERROR(INDEX(INSUMOS!$D$6:$D$205,MATCH($C358,INSUMOS!$A$6:$A$205,0)),""))</f>
        <v/>
      </c>
      <c r="F358" s="39"/>
      <c r="G358" s="43" t="str">
        <f aca="false">IF(OR($A358="",$C358=""),"",IFERROR(INDEX(INSUMOS!$P$6:$P$205,MATCH($C358,INSUMOS!$A$6:$A$205,0)),0))</f>
        <v/>
      </c>
      <c r="H358" s="43" t="str">
        <f aca="false">IF(OR($A358="",$C358=""),"",N($F358)*$G358)</f>
        <v/>
      </c>
      <c r="I358" s="34" t="str">
        <f aca="false">IF(OR($A358="",$C358=""),"",IFERROR(MAX(1,INDEX(PRODUCTOS!$G$6:$G$105,MATCH($A358,PRODUCTOS!$A$6:$A$105,0))),1))</f>
        <v/>
      </c>
      <c r="J358" s="43" t="str">
        <f aca="false">IF(OR($A358="",$C358=""),"",$H358/$I358)</f>
        <v/>
      </c>
      <c r="K358" s="34" t="str">
        <f aca="false">IF(OR($A358="",$C358=""),"",SUMIFS(VENTAS!$E$6:$E$2005,VENTAS!$C$6:$C$2005,$A358))</f>
        <v/>
      </c>
      <c r="L358" s="45" t="str">
        <f aca="false">IF(OR($A358="",$C358=""),"",IFERROR(N($F358)/INDEX(INSUMOS!$I$6:$I$205,MATCH($C358,INSUMOS!$A$6:$A$205,0)),N($F358))/$I358*$K358)</f>
        <v/>
      </c>
      <c r="M358" s="8" t="str">
        <f aca="false">IF($A358="","",COUNTIF($A$6:$A358,$A358))</f>
        <v/>
      </c>
      <c r="N358" s="8" t="str">
        <f aca="false">IF($A358="","",$A358&amp;"|"&amp;$M358)</f>
        <v/>
      </c>
    </row>
    <row r="359" customFormat="false" ht="15" hidden="false" customHeight="false" outlineLevel="0" collapsed="false">
      <c r="A359" s="6"/>
      <c r="B359" s="8" t="str">
        <f aca="false">IF($A359="","",IFERROR(INDEX(PRODUCTOS!$B$6:$B$105,MATCH($A359,PRODUCTOS!$A$6:$A$105,0)),"¿Código?"))</f>
        <v/>
      </c>
      <c r="C359" s="6"/>
      <c r="D359" s="8" t="str">
        <f aca="false">IF($C359="","",IFERROR(INDEX(INSUMOS!$B$6:$B$205,MATCH($C359,INSUMOS!$A$6:$A$205,0)),"¿Código?"))</f>
        <v/>
      </c>
      <c r="E359" s="8" t="str">
        <f aca="false">IF($C359="","",IFERROR(INDEX(INSUMOS!$D$6:$D$205,MATCH($C359,INSUMOS!$A$6:$A$205,0)),""))</f>
        <v/>
      </c>
      <c r="F359" s="39"/>
      <c r="G359" s="43" t="str">
        <f aca="false">IF(OR($A359="",$C359=""),"",IFERROR(INDEX(INSUMOS!$P$6:$P$205,MATCH($C359,INSUMOS!$A$6:$A$205,0)),0))</f>
        <v/>
      </c>
      <c r="H359" s="43" t="str">
        <f aca="false">IF(OR($A359="",$C359=""),"",N($F359)*$G359)</f>
        <v/>
      </c>
      <c r="I359" s="34" t="str">
        <f aca="false">IF(OR($A359="",$C359=""),"",IFERROR(MAX(1,INDEX(PRODUCTOS!$G$6:$G$105,MATCH($A359,PRODUCTOS!$A$6:$A$105,0))),1))</f>
        <v/>
      </c>
      <c r="J359" s="43" t="str">
        <f aca="false">IF(OR($A359="",$C359=""),"",$H359/$I359)</f>
        <v/>
      </c>
      <c r="K359" s="34" t="str">
        <f aca="false">IF(OR($A359="",$C359=""),"",SUMIFS(VENTAS!$E$6:$E$2005,VENTAS!$C$6:$C$2005,$A359))</f>
        <v/>
      </c>
      <c r="L359" s="45" t="str">
        <f aca="false">IF(OR($A359="",$C359=""),"",IFERROR(N($F359)/INDEX(INSUMOS!$I$6:$I$205,MATCH($C359,INSUMOS!$A$6:$A$205,0)),N($F359))/$I359*$K359)</f>
        <v/>
      </c>
      <c r="M359" s="8" t="str">
        <f aca="false">IF($A359="","",COUNTIF($A$6:$A359,$A359))</f>
        <v/>
      </c>
      <c r="N359" s="8" t="str">
        <f aca="false">IF($A359="","",$A359&amp;"|"&amp;$M359)</f>
        <v/>
      </c>
    </row>
    <row r="360" customFormat="false" ht="15" hidden="false" customHeight="false" outlineLevel="0" collapsed="false">
      <c r="A360" s="6"/>
      <c r="B360" s="8" t="str">
        <f aca="false">IF($A360="","",IFERROR(INDEX(PRODUCTOS!$B$6:$B$105,MATCH($A360,PRODUCTOS!$A$6:$A$105,0)),"¿Código?"))</f>
        <v/>
      </c>
      <c r="C360" s="6"/>
      <c r="D360" s="8" t="str">
        <f aca="false">IF($C360="","",IFERROR(INDEX(INSUMOS!$B$6:$B$205,MATCH($C360,INSUMOS!$A$6:$A$205,0)),"¿Código?"))</f>
        <v/>
      </c>
      <c r="E360" s="8" t="str">
        <f aca="false">IF($C360="","",IFERROR(INDEX(INSUMOS!$D$6:$D$205,MATCH($C360,INSUMOS!$A$6:$A$205,0)),""))</f>
        <v/>
      </c>
      <c r="F360" s="39"/>
      <c r="G360" s="43" t="str">
        <f aca="false">IF(OR($A360="",$C360=""),"",IFERROR(INDEX(INSUMOS!$P$6:$P$205,MATCH($C360,INSUMOS!$A$6:$A$205,0)),0))</f>
        <v/>
      </c>
      <c r="H360" s="43" t="str">
        <f aca="false">IF(OR($A360="",$C360=""),"",N($F360)*$G360)</f>
        <v/>
      </c>
      <c r="I360" s="34" t="str">
        <f aca="false">IF(OR($A360="",$C360=""),"",IFERROR(MAX(1,INDEX(PRODUCTOS!$G$6:$G$105,MATCH($A360,PRODUCTOS!$A$6:$A$105,0))),1))</f>
        <v/>
      </c>
      <c r="J360" s="43" t="str">
        <f aca="false">IF(OR($A360="",$C360=""),"",$H360/$I360)</f>
        <v/>
      </c>
      <c r="K360" s="34" t="str">
        <f aca="false">IF(OR($A360="",$C360=""),"",SUMIFS(VENTAS!$E$6:$E$2005,VENTAS!$C$6:$C$2005,$A360))</f>
        <v/>
      </c>
      <c r="L360" s="45" t="str">
        <f aca="false">IF(OR($A360="",$C360=""),"",IFERROR(N($F360)/INDEX(INSUMOS!$I$6:$I$205,MATCH($C360,INSUMOS!$A$6:$A$205,0)),N($F360))/$I360*$K360)</f>
        <v/>
      </c>
      <c r="M360" s="8" t="str">
        <f aca="false">IF($A360="","",COUNTIF($A$6:$A360,$A360))</f>
        <v/>
      </c>
      <c r="N360" s="8" t="str">
        <f aca="false">IF($A360="","",$A360&amp;"|"&amp;$M360)</f>
        <v/>
      </c>
    </row>
    <row r="361" customFormat="false" ht="15" hidden="false" customHeight="false" outlineLevel="0" collapsed="false">
      <c r="A361" s="6"/>
      <c r="B361" s="8" t="str">
        <f aca="false">IF($A361="","",IFERROR(INDEX(PRODUCTOS!$B$6:$B$105,MATCH($A361,PRODUCTOS!$A$6:$A$105,0)),"¿Código?"))</f>
        <v/>
      </c>
      <c r="C361" s="6"/>
      <c r="D361" s="8" t="str">
        <f aca="false">IF($C361="","",IFERROR(INDEX(INSUMOS!$B$6:$B$205,MATCH($C361,INSUMOS!$A$6:$A$205,0)),"¿Código?"))</f>
        <v/>
      </c>
      <c r="E361" s="8" t="str">
        <f aca="false">IF($C361="","",IFERROR(INDEX(INSUMOS!$D$6:$D$205,MATCH($C361,INSUMOS!$A$6:$A$205,0)),""))</f>
        <v/>
      </c>
      <c r="F361" s="39"/>
      <c r="G361" s="43" t="str">
        <f aca="false">IF(OR($A361="",$C361=""),"",IFERROR(INDEX(INSUMOS!$P$6:$P$205,MATCH($C361,INSUMOS!$A$6:$A$205,0)),0))</f>
        <v/>
      </c>
      <c r="H361" s="43" t="str">
        <f aca="false">IF(OR($A361="",$C361=""),"",N($F361)*$G361)</f>
        <v/>
      </c>
      <c r="I361" s="34" t="str">
        <f aca="false">IF(OR($A361="",$C361=""),"",IFERROR(MAX(1,INDEX(PRODUCTOS!$G$6:$G$105,MATCH($A361,PRODUCTOS!$A$6:$A$105,0))),1))</f>
        <v/>
      </c>
      <c r="J361" s="43" t="str">
        <f aca="false">IF(OR($A361="",$C361=""),"",$H361/$I361)</f>
        <v/>
      </c>
      <c r="K361" s="34" t="str">
        <f aca="false">IF(OR($A361="",$C361=""),"",SUMIFS(VENTAS!$E$6:$E$2005,VENTAS!$C$6:$C$2005,$A361))</f>
        <v/>
      </c>
      <c r="L361" s="45" t="str">
        <f aca="false">IF(OR($A361="",$C361=""),"",IFERROR(N($F361)/INDEX(INSUMOS!$I$6:$I$205,MATCH($C361,INSUMOS!$A$6:$A$205,0)),N($F361))/$I361*$K361)</f>
        <v/>
      </c>
      <c r="M361" s="8" t="str">
        <f aca="false">IF($A361="","",COUNTIF($A$6:$A361,$A361))</f>
        <v/>
      </c>
      <c r="N361" s="8" t="str">
        <f aca="false">IF($A361="","",$A361&amp;"|"&amp;$M361)</f>
        <v/>
      </c>
    </row>
    <row r="362" customFormat="false" ht="15" hidden="false" customHeight="false" outlineLevel="0" collapsed="false">
      <c r="A362" s="6"/>
      <c r="B362" s="8" t="str">
        <f aca="false">IF($A362="","",IFERROR(INDEX(PRODUCTOS!$B$6:$B$105,MATCH($A362,PRODUCTOS!$A$6:$A$105,0)),"¿Código?"))</f>
        <v/>
      </c>
      <c r="C362" s="6"/>
      <c r="D362" s="8" t="str">
        <f aca="false">IF($C362="","",IFERROR(INDEX(INSUMOS!$B$6:$B$205,MATCH($C362,INSUMOS!$A$6:$A$205,0)),"¿Código?"))</f>
        <v/>
      </c>
      <c r="E362" s="8" t="str">
        <f aca="false">IF($C362="","",IFERROR(INDEX(INSUMOS!$D$6:$D$205,MATCH($C362,INSUMOS!$A$6:$A$205,0)),""))</f>
        <v/>
      </c>
      <c r="F362" s="39"/>
      <c r="G362" s="43" t="str">
        <f aca="false">IF(OR($A362="",$C362=""),"",IFERROR(INDEX(INSUMOS!$P$6:$P$205,MATCH($C362,INSUMOS!$A$6:$A$205,0)),0))</f>
        <v/>
      </c>
      <c r="H362" s="43" t="str">
        <f aca="false">IF(OR($A362="",$C362=""),"",N($F362)*$G362)</f>
        <v/>
      </c>
      <c r="I362" s="34" t="str">
        <f aca="false">IF(OR($A362="",$C362=""),"",IFERROR(MAX(1,INDEX(PRODUCTOS!$G$6:$G$105,MATCH($A362,PRODUCTOS!$A$6:$A$105,0))),1))</f>
        <v/>
      </c>
      <c r="J362" s="43" t="str">
        <f aca="false">IF(OR($A362="",$C362=""),"",$H362/$I362)</f>
        <v/>
      </c>
      <c r="K362" s="34" t="str">
        <f aca="false">IF(OR($A362="",$C362=""),"",SUMIFS(VENTAS!$E$6:$E$2005,VENTAS!$C$6:$C$2005,$A362))</f>
        <v/>
      </c>
      <c r="L362" s="45" t="str">
        <f aca="false">IF(OR($A362="",$C362=""),"",IFERROR(N($F362)/INDEX(INSUMOS!$I$6:$I$205,MATCH($C362,INSUMOS!$A$6:$A$205,0)),N($F362))/$I362*$K362)</f>
        <v/>
      </c>
      <c r="M362" s="8" t="str">
        <f aca="false">IF($A362="","",COUNTIF($A$6:$A362,$A362))</f>
        <v/>
      </c>
      <c r="N362" s="8" t="str">
        <f aca="false">IF($A362="","",$A362&amp;"|"&amp;$M362)</f>
        <v/>
      </c>
    </row>
    <row r="363" customFormat="false" ht="15" hidden="false" customHeight="false" outlineLevel="0" collapsed="false">
      <c r="A363" s="6"/>
      <c r="B363" s="8" t="str">
        <f aca="false">IF($A363="","",IFERROR(INDEX(PRODUCTOS!$B$6:$B$105,MATCH($A363,PRODUCTOS!$A$6:$A$105,0)),"¿Código?"))</f>
        <v/>
      </c>
      <c r="C363" s="6"/>
      <c r="D363" s="8" t="str">
        <f aca="false">IF($C363="","",IFERROR(INDEX(INSUMOS!$B$6:$B$205,MATCH($C363,INSUMOS!$A$6:$A$205,0)),"¿Código?"))</f>
        <v/>
      </c>
      <c r="E363" s="8" t="str">
        <f aca="false">IF($C363="","",IFERROR(INDEX(INSUMOS!$D$6:$D$205,MATCH($C363,INSUMOS!$A$6:$A$205,0)),""))</f>
        <v/>
      </c>
      <c r="F363" s="39"/>
      <c r="G363" s="43" t="str">
        <f aca="false">IF(OR($A363="",$C363=""),"",IFERROR(INDEX(INSUMOS!$P$6:$P$205,MATCH($C363,INSUMOS!$A$6:$A$205,0)),0))</f>
        <v/>
      </c>
      <c r="H363" s="43" t="str">
        <f aca="false">IF(OR($A363="",$C363=""),"",N($F363)*$G363)</f>
        <v/>
      </c>
      <c r="I363" s="34" t="str">
        <f aca="false">IF(OR($A363="",$C363=""),"",IFERROR(MAX(1,INDEX(PRODUCTOS!$G$6:$G$105,MATCH($A363,PRODUCTOS!$A$6:$A$105,0))),1))</f>
        <v/>
      </c>
      <c r="J363" s="43" t="str">
        <f aca="false">IF(OR($A363="",$C363=""),"",$H363/$I363)</f>
        <v/>
      </c>
      <c r="K363" s="34" t="str">
        <f aca="false">IF(OR($A363="",$C363=""),"",SUMIFS(VENTAS!$E$6:$E$2005,VENTAS!$C$6:$C$2005,$A363))</f>
        <v/>
      </c>
      <c r="L363" s="45" t="str">
        <f aca="false">IF(OR($A363="",$C363=""),"",IFERROR(N($F363)/INDEX(INSUMOS!$I$6:$I$205,MATCH($C363,INSUMOS!$A$6:$A$205,0)),N($F363))/$I363*$K363)</f>
        <v/>
      </c>
      <c r="M363" s="8" t="str">
        <f aca="false">IF($A363="","",COUNTIF($A$6:$A363,$A363))</f>
        <v/>
      </c>
      <c r="N363" s="8" t="str">
        <f aca="false">IF($A363="","",$A363&amp;"|"&amp;$M363)</f>
        <v/>
      </c>
    </row>
    <row r="364" customFormat="false" ht="15" hidden="false" customHeight="false" outlineLevel="0" collapsed="false">
      <c r="A364" s="6"/>
      <c r="B364" s="8" t="str">
        <f aca="false">IF($A364="","",IFERROR(INDEX(PRODUCTOS!$B$6:$B$105,MATCH($A364,PRODUCTOS!$A$6:$A$105,0)),"¿Código?"))</f>
        <v/>
      </c>
      <c r="C364" s="6"/>
      <c r="D364" s="8" t="str">
        <f aca="false">IF($C364="","",IFERROR(INDEX(INSUMOS!$B$6:$B$205,MATCH($C364,INSUMOS!$A$6:$A$205,0)),"¿Código?"))</f>
        <v/>
      </c>
      <c r="E364" s="8" t="str">
        <f aca="false">IF($C364="","",IFERROR(INDEX(INSUMOS!$D$6:$D$205,MATCH($C364,INSUMOS!$A$6:$A$205,0)),""))</f>
        <v/>
      </c>
      <c r="F364" s="39"/>
      <c r="G364" s="43" t="str">
        <f aca="false">IF(OR($A364="",$C364=""),"",IFERROR(INDEX(INSUMOS!$P$6:$P$205,MATCH($C364,INSUMOS!$A$6:$A$205,0)),0))</f>
        <v/>
      </c>
      <c r="H364" s="43" t="str">
        <f aca="false">IF(OR($A364="",$C364=""),"",N($F364)*$G364)</f>
        <v/>
      </c>
      <c r="I364" s="34" t="str">
        <f aca="false">IF(OR($A364="",$C364=""),"",IFERROR(MAX(1,INDEX(PRODUCTOS!$G$6:$G$105,MATCH($A364,PRODUCTOS!$A$6:$A$105,0))),1))</f>
        <v/>
      </c>
      <c r="J364" s="43" t="str">
        <f aca="false">IF(OR($A364="",$C364=""),"",$H364/$I364)</f>
        <v/>
      </c>
      <c r="K364" s="34" t="str">
        <f aca="false">IF(OR($A364="",$C364=""),"",SUMIFS(VENTAS!$E$6:$E$2005,VENTAS!$C$6:$C$2005,$A364))</f>
        <v/>
      </c>
      <c r="L364" s="45" t="str">
        <f aca="false">IF(OR($A364="",$C364=""),"",IFERROR(N($F364)/INDEX(INSUMOS!$I$6:$I$205,MATCH($C364,INSUMOS!$A$6:$A$205,0)),N($F364))/$I364*$K364)</f>
        <v/>
      </c>
      <c r="M364" s="8" t="str">
        <f aca="false">IF($A364="","",COUNTIF($A$6:$A364,$A364))</f>
        <v/>
      </c>
      <c r="N364" s="8" t="str">
        <f aca="false">IF($A364="","",$A364&amp;"|"&amp;$M364)</f>
        <v/>
      </c>
    </row>
    <row r="365" customFormat="false" ht="15" hidden="false" customHeight="false" outlineLevel="0" collapsed="false">
      <c r="A365" s="6"/>
      <c r="B365" s="8" t="str">
        <f aca="false">IF($A365="","",IFERROR(INDEX(PRODUCTOS!$B$6:$B$105,MATCH($A365,PRODUCTOS!$A$6:$A$105,0)),"¿Código?"))</f>
        <v/>
      </c>
      <c r="C365" s="6"/>
      <c r="D365" s="8" t="str">
        <f aca="false">IF($C365="","",IFERROR(INDEX(INSUMOS!$B$6:$B$205,MATCH($C365,INSUMOS!$A$6:$A$205,0)),"¿Código?"))</f>
        <v/>
      </c>
      <c r="E365" s="8" t="str">
        <f aca="false">IF($C365="","",IFERROR(INDEX(INSUMOS!$D$6:$D$205,MATCH($C365,INSUMOS!$A$6:$A$205,0)),""))</f>
        <v/>
      </c>
      <c r="F365" s="39"/>
      <c r="G365" s="43" t="str">
        <f aca="false">IF(OR($A365="",$C365=""),"",IFERROR(INDEX(INSUMOS!$P$6:$P$205,MATCH($C365,INSUMOS!$A$6:$A$205,0)),0))</f>
        <v/>
      </c>
      <c r="H365" s="43" t="str">
        <f aca="false">IF(OR($A365="",$C365=""),"",N($F365)*$G365)</f>
        <v/>
      </c>
      <c r="I365" s="34" t="str">
        <f aca="false">IF(OR($A365="",$C365=""),"",IFERROR(MAX(1,INDEX(PRODUCTOS!$G$6:$G$105,MATCH($A365,PRODUCTOS!$A$6:$A$105,0))),1))</f>
        <v/>
      </c>
      <c r="J365" s="43" t="str">
        <f aca="false">IF(OR($A365="",$C365=""),"",$H365/$I365)</f>
        <v/>
      </c>
      <c r="K365" s="34" t="str">
        <f aca="false">IF(OR($A365="",$C365=""),"",SUMIFS(VENTAS!$E$6:$E$2005,VENTAS!$C$6:$C$2005,$A365))</f>
        <v/>
      </c>
      <c r="L365" s="45" t="str">
        <f aca="false">IF(OR($A365="",$C365=""),"",IFERROR(N($F365)/INDEX(INSUMOS!$I$6:$I$205,MATCH($C365,INSUMOS!$A$6:$A$205,0)),N($F365))/$I365*$K365)</f>
        <v/>
      </c>
      <c r="M365" s="8" t="str">
        <f aca="false">IF($A365="","",COUNTIF($A$6:$A365,$A365))</f>
        <v/>
      </c>
      <c r="N365" s="8" t="str">
        <f aca="false">IF($A365="","",$A365&amp;"|"&amp;$M365)</f>
        <v/>
      </c>
    </row>
    <row r="366" customFormat="false" ht="15" hidden="false" customHeight="false" outlineLevel="0" collapsed="false">
      <c r="A366" s="6"/>
      <c r="B366" s="8" t="str">
        <f aca="false">IF($A366="","",IFERROR(INDEX(PRODUCTOS!$B$6:$B$105,MATCH($A366,PRODUCTOS!$A$6:$A$105,0)),"¿Código?"))</f>
        <v/>
      </c>
      <c r="C366" s="6"/>
      <c r="D366" s="8" t="str">
        <f aca="false">IF($C366="","",IFERROR(INDEX(INSUMOS!$B$6:$B$205,MATCH($C366,INSUMOS!$A$6:$A$205,0)),"¿Código?"))</f>
        <v/>
      </c>
      <c r="E366" s="8" t="str">
        <f aca="false">IF($C366="","",IFERROR(INDEX(INSUMOS!$D$6:$D$205,MATCH($C366,INSUMOS!$A$6:$A$205,0)),""))</f>
        <v/>
      </c>
      <c r="F366" s="39"/>
      <c r="G366" s="43" t="str">
        <f aca="false">IF(OR($A366="",$C366=""),"",IFERROR(INDEX(INSUMOS!$P$6:$P$205,MATCH($C366,INSUMOS!$A$6:$A$205,0)),0))</f>
        <v/>
      </c>
      <c r="H366" s="43" t="str">
        <f aca="false">IF(OR($A366="",$C366=""),"",N($F366)*$G366)</f>
        <v/>
      </c>
      <c r="I366" s="34" t="str">
        <f aca="false">IF(OR($A366="",$C366=""),"",IFERROR(MAX(1,INDEX(PRODUCTOS!$G$6:$G$105,MATCH($A366,PRODUCTOS!$A$6:$A$105,0))),1))</f>
        <v/>
      </c>
      <c r="J366" s="43" t="str">
        <f aca="false">IF(OR($A366="",$C366=""),"",$H366/$I366)</f>
        <v/>
      </c>
      <c r="K366" s="34" t="str">
        <f aca="false">IF(OR($A366="",$C366=""),"",SUMIFS(VENTAS!$E$6:$E$2005,VENTAS!$C$6:$C$2005,$A366))</f>
        <v/>
      </c>
      <c r="L366" s="45" t="str">
        <f aca="false">IF(OR($A366="",$C366=""),"",IFERROR(N($F366)/INDEX(INSUMOS!$I$6:$I$205,MATCH($C366,INSUMOS!$A$6:$A$205,0)),N($F366))/$I366*$K366)</f>
        <v/>
      </c>
      <c r="M366" s="8" t="str">
        <f aca="false">IF($A366="","",COUNTIF($A$6:$A366,$A366))</f>
        <v/>
      </c>
      <c r="N366" s="8" t="str">
        <f aca="false">IF($A366="","",$A366&amp;"|"&amp;$M366)</f>
        <v/>
      </c>
    </row>
    <row r="367" customFormat="false" ht="15" hidden="false" customHeight="false" outlineLevel="0" collapsed="false">
      <c r="A367" s="6"/>
      <c r="B367" s="8" t="str">
        <f aca="false">IF($A367="","",IFERROR(INDEX(PRODUCTOS!$B$6:$B$105,MATCH($A367,PRODUCTOS!$A$6:$A$105,0)),"¿Código?"))</f>
        <v/>
      </c>
      <c r="C367" s="6"/>
      <c r="D367" s="8" t="str">
        <f aca="false">IF($C367="","",IFERROR(INDEX(INSUMOS!$B$6:$B$205,MATCH($C367,INSUMOS!$A$6:$A$205,0)),"¿Código?"))</f>
        <v/>
      </c>
      <c r="E367" s="8" t="str">
        <f aca="false">IF($C367="","",IFERROR(INDEX(INSUMOS!$D$6:$D$205,MATCH($C367,INSUMOS!$A$6:$A$205,0)),""))</f>
        <v/>
      </c>
      <c r="F367" s="39"/>
      <c r="G367" s="43" t="str">
        <f aca="false">IF(OR($A367="",$C367=""),"",IFERROR(INDEX(INSUMOS!$P$6:$P$205,MATCH($C367,INSUMOS!$A$6:$A$205,0)),0))</f>
        <v/>
      </c>
      <c r="H367" s="43" t="str">
        <f aca="false">IF(OR($A367="",$C367=""),"",N($F367)*$G367)</f>
        <v/>
      </c>
      <c r="I367" s="34" t="str">
        <f aca="false">IF(OR($A367="",$C367=""),"",IFERROR(MAX(1,INDEX(PRODUCTOS!$G$6:$G$105,MATCH($A367,PRODUCTOS!$A$6:$A$105,0))),1))</f>
        <v/>
      </c>
      <c r="J367" s="43" t="str">
        <f aca="false">IF(OR($A367="",$C367=""),"",$H367/$I367)</f>
        <v/>
      </c>
      <c r="K367" s="34" t="str">
        <f aca="false">IF(OR($A367="",$C367=""),"",SUMIFS(VENTAS!$E$6:$E$2005,VENTAS!$C$6:$C$2005,$A367))</f>
        <v/>
      </c>
      <c r="L367" s="45" t="str">
        <f aca="false">IF(OR($A367="",$C367=""),"",IFERROR(N($F367)/INDEX(INSUMOS!$I$6:$I$205,MATCH($C367,INSUMOS!$A$6:$A$205,0)),N($F367))/$I367*$K367)</f>
        <v/>
      </c>
      <c r="M367" s="8" t="str">
        <f aca="false">IF($A367="","",COUNTIF($A$6:$A367,$A367))</f>
        <v/>
      </c>
      <c r="N367" s="8" t="str">
        <f aca="false">IF($A367="","",$A367&amp;"|"&amp;$M367)</f>
        <v/>
      </c>
    </row>
    <row r="368" customFormat="false" ht="15" hidden="false" customHeight="false" outlineLevel="0" collapsed="false">
      <c r="A368" s="6"/>
      <c r="B368" s="8" t="str">
        <f aca="false">IF($A368="","",IFERROR(INDEX(PRODUCTOS!$B$6:$B$105,MATCH($A368,PRODUCTOS!$A$6:$A$105,0)),"¿Código?"))</f>
        <v/>
      </c>
      <c r="C368" s="6"/>
      <c r="D368" s="8" t="str">
        <f aca="false">IF($C368="","",IFERROR(INDEX(INSUMOS!$B$6:$B$205,MATCH($C368,INSUMOS!$A$6:$A$205,0)),"¿Código?"))</f>
        <v/>
      </c>
      <c r="E368" s="8" t="str">
        <f aca="false">IF($C368="","",IFERROR(INDEX(INSUMOS!$D$6:$D$205,MATCH($C368,INSUMOS!$A$6:$A$205,0)),""))</f>
        <v/>
      </c>
      <c r="F368" s="39"/>
      <c r="G368" s="43" t="str">
        <f aca="false">IF(OR($A368="",$C368=""),"",IFERROR(INDEX(INSUMOS!$P$6:$P$205,MATCH($C368,INSUMOS!$A$6:$A$205,0)),0))</f>
        <v/>
      </c>
      <c r="H368" s="43" t="str">
        <f aca="false">IF(OR($A368="",$C368=""),"",N($F368)*$G368)</f>
        <v/>
      </c>
      <c r="I368" s="34" t="str">
        <f aca="false">IF(OR($A368="",$C368=""),"",IFERROR(MAX(1,INDEX(PRODUCTOS!$G$6:$G$105,MATCH($A368,PRODUCTOS!$A$6:$A$105,0))),1))</f>
        <v/>
      </c>
      <c r="J368" s="43" t="str">
        <f aca="false">IF(OR($A368="",$C368=""),"",$H368/$I368)</f>
        <v/>
      </c>
      <c r="K368" s="34" t="str">
        <f aca="false">IF(OR($A368="",$C368=""),"",SUMIFS(VENTAS!$E$6:$E$2005,VENTAS!$C$6:$C$2005,$A368))</f>
        <v/>
      </c>
      <c r="L368" s="45" t="str">
        <f aca="false">IF(OR($A368="",$C368=""),"",IFERROR(N($F368)/INDEX(INSUMOS!$I$6:$I$205,MATCH($C368,INSUMOS!$A$6:$A$205,0)),N($F368))/$I368*$K368)</f>
        <v/>
      </c>
      <c r="M368" s="8" t="str">
        <f aca="false">IF($A368="","",COUNTIF($A$6:$A368,$A368))</f>
        <v/>
      </c>
      <c r="N368" s="8" t="str">
        <f aca="false">IF($A368="","",$A368&amp;"|"&amp;$M368)</f>
        <v/>
      </c>
    </row>
    <row r="369" customFormat="false" ht="15" hidden="false" customHeight="false" outlineLevel="0" collapsed="false">
      <c r="A369" s="6"/>
      <c r="B369" s="8" t="str">
        <f aca="false">IF($A369="","",IFERROR(INDEX(PRODUCTOS!$B$6:$B$105,MATCH($A369,PRODUCTOS!$A$6:$A$105,0)),"¿Código?"))</f>
        <v/>
      </c>
      <c r="C369" s="6"/>
      <c r="D369" s="8" t="str">
        <f aca="false">IF($C369="","",IFERROR(INDEX(INSUMOS!$B$6:$B$205,MATCH($C369,INSUMOS!$A$6:$A$205,0)),"¿Código?"))</f>
        <v/>
      </c>
      <c r="E369" s="8" t="str">
        <f aca="false">IF($C369="","",IFERROR(INDEX(INSUMOS!$D$6:$D$205,MATCH($C369,INSUMOS!$A$6:$A$205,0)),""))</f>
        <v/>
      </c>
      <c r="F369" s="39"/>
      <c r="G369" s="43" t="str">
        <f aca="false">IF(OR($A369="",$C369=""),"",IFERROR(INDEX(INSUMOS!$P$6:$P$205,MATCH($C369,INSUMOS!$A$6:$A$205,0)),0))</f>
        <v/>
      </c>
      <c r="H369" s="43" t="str">
        <f aca="false">IF(OR($A369="",$C369=""),"",N($F369)*$G369)</f>
        <v/>
      </c>
      <c r="I369" s="34" t="str">
        <f aca="false">IF(OR($A369="",$C369=""),"",IFERROR(MAX(1,INDEX(PRODUCTOS!$G$6:$G$105,MATCH($A369,PRODUCTOS!$A$6:$A$105,0))),1))</f>
        <v/>
      </c>
      <c r="J369" s="43" t="str">
        <f aca="false">IF(OR($A369="",$C369=""),"",$H369/$I369)</f>
        <v/>
      </c>
      <c r="K369" s="34" t="str">
        <f aca="false">IF(OR($A369="",$C369=""),"",SUMIFS(VENTAS!$E$6:$E$2005,VENTAS!$C$6:$C$2005,$A369))</f>
        <v/>
      </c>
      <c r="L369" s="45" t="str">
        <f aca="false">IF(OR($A369="",$C369=""),"",IFERROR(N($F369)/INDEX(INSUMOS!$I$6:$I$205,MATCH($C369,INSUMOS!$A$6:$A$205,0)),N($F369))/$I369*$K369)</f>
        <v/>
      </c>
      <c r="M369" s="8" t="str">
        <f aca="false">IF($A369="","",COUNTIF($A$6:$A369,$A369))</f>
        <v/>
      </c>
      <c r="N369" s="8" t="str">
        <f aca="false">IF($A369="","",$A369&amp;"|"&amp;$M369)</f>
        <v/>
      </c>
    </row>
    <row r="370" customFormat="false" ht="15" hidden="false" customHeight="false" outlineLevel="0" collapsed="false">
      <c r="A370" s="6"/>
      <c r="B370" s="8" t="str">
        <f aca="false">IF($A370="","",IFERROR(INDEX(PRODUCTOS!$B$6:$B$105,MATCH($A370,PRODUCTOS!$A$6:$A$105,0)),"¿Código?"))</f>
        <v/>
      </c>
      <c r="C370" s="6"/>
      <c r="D370" s="8" t="str">
        <f aca="false">IF($C370="","",IFERROR(INDEX(INSUMOS!$B$6:$B$205,MATCH($C370,INSUMOS!$A$6:$A$205,0)),"¿Código?"))</f>
        <v/>
      </c>
      <c r="E370" s="8" t="str">
        <f aca="false">IF($C370="","",IFERROR(INDEX(INSUMOS!$D$6:$D$205,MATCH($C370,INSUMOS!$A$6:$A$205,0)),""))</f>
        <v/>
      </c>
      <c r="F370" s="39"/>
      <c r="G370" s="43" t="str">
        <f aca="false">IF(OR($A370="",$C370=""),"",IFERROR(INDEX(INSUMOS!$P$6:$P$205,MATCH($C370,INSUMOS!$A$6:$A$205,0)),0))</f>
        <v/>
      </c>
      <c r="H370" s="43" t="str">
        <f aca="false">IF(OR($A370="",$C370=""),"",N($F370)*$G370)</f>
        <v/>
      </c>
      <c r="I370" s="34" t="str">
        <f aca="false">IF(OR($A370="",$C370=""),"",IFERROR(MAX(1,INDEX(PRODUCTOS!$G$6:$G$105,MATCH($A370,PRODUCTOS!$A$6:$A$105,0))),1))</f>
        <v/>
      </c>
      <c r="J370" s="43" t="str">
        <f aca="false">IF(OR($A370="",$C370=""),"",$H370/$I370)</f>
        <v/>
      </c>
      <c r="K370" s="34" t="str">
        <f aca="false">IF(OR($A370="",$C370=""),"",SUMIFS(VENTAS!$E$6:$E$2005,VENTAS!$C$6:$C$2005,$A370))</f>
        <v/>
      </c>
      <c r="L370" s="45" t="str">
        <f aca="false">IF(OR($A370="",$C370=""),"",IFERROR(N($F370)/INDEX(INSUMOS!$I$6:$I$205,MATCH($C370,INSUMOS!$A$6:$A$205,0)),N($F370))/$I370*$K370)</f>
        <v/>
      </c>
      <c r="M370" s="8" t="str">
        <f aca="false">IF($A370="","",COUNTIF($A$6:$A370,$A370))</f>
        <v/>
      </c>
      <c r="N370" s="8" t="str">
        <f aca="false">IF($A370="","",$A370&amp;"|"&amp;$M370)</f>
        <v/>
      </c>
    </row>
    <row r="371" customFormat="false" ht="15" hidden="false" customHeight="false" outlineLevel="0" collapsed="false">
      <c r="A371" s="6"/>
      <c r="B371" s="8" t="str">
        <f aca="false">IF($A371="","",IFERROR(INDEX(PRODUCTOS!$B$6:$B$105,MATCH($A371,PRODUCTOS!$A$6:$A$105,0)),"¿Código?"))</f>
        <v/>
      </c>
      <c r="C371" s="6"/>
      <c r="D371" s="8" t="str">
        <f aca="false">IF($C371="","",IFERROR(INDEX(INSUMOS!$B$6:$B$205,MATCH($C371,INSUMOS!$A$6:$A$205,0)),"¿Código?"))</f>
        <v/>
      </c>
      <c r="E371" s="8" t="str">
        <f aca="false">IF($C371="","",IFERROR(INDEX(INSUMOS!$D$6:$D$205,MATCH($C371,INSUMOS!$A$6:$A$205,0)),""))</f>
        <v/>
      </c>
      <c r="F371" s="39"/>
      <c r="G371" s="43" t="str">
        <f aca="false">IF(OR($A371="",$C371=""),"",IFERROR(INDEX(INSUMOS!$P$6:$P$205,MATCH($C371,INSUMOS!$A$6:$A$205,0)),0))</f>
        <v/>
      </c>
      <c r="H371" s="43" t="str">
        <f aca="false">IF(OR($A371="",$C371=""),"",N($F371)*$G371)</f>
        <v/>
      </c>
      <c r="I371" s="34" t="str">
        <f aca="false">IF(OR($A371="",$C371=""),"",IFERROR(MAX(1,INDEX(PRODUCTOS!$G$6:$G$105,MATCH($A371,PRODUCTOS!$A$6:$A$105,0))),1))</f>
        <v/>
      </c>
      <c r="J371" s="43" t="str">
        <f aca="false">IF(OR($A371="",$C371=""),"",$H371/$I371)</f>
        <v/>
      </c>
      <c r="K371" s="34" t="str">
        <f aca="false">IF(OR($A371="",$C371=""),"",SUMIFS(VENTAS!$E$6:$E$2005,VENTAS!$C$6:$C$2005,$A371))</f>
        <v/>
      </c>
      <c r="L371" s="45" t="str">
        <f aca="false">IF(OR($A371="",$C371=""),"",IFERROR(N($F371)/INDEX(INSUMOS!$I$6:$I$205,MATCH($C371,INSUMOS!$A$6:$A$205,0)),N($F371))/$I371*$K371)</f>
        <v/>
      </c>
      <c r="M371" s="8" t="str">
        <f aca="false">IF($A371="","",COUNTIF($A$6:$A371,$A371))</f>
        <v/>
      </c>
      <c r="N371" s="8" t="str">
        <f aca="false">IF($A371="","",$A371&amp;"|"&amp;$M371)</f>
        <v/>
      </c>
    </row>
    <row r="372" customFormat="false" ht="15" hidden="false" customHeight="false" outlineLevel="0" collapsed="false">
      <c r="A372" s="6"/>
      <c r="B372" s="8" t="str">
        <f aca="false">IF($A372="","",IFERROR(INDEX(PRODUCTOS!$B$6:$B$105,MATCH($A372,PRODUCTOS!$A$6:$A$105,0)),"¿Código?"))</f>
        <v/>
      </c>
      <c r="C372" s="6"/>
      <c r="D372" s="8" t="str">
        <f aca="false">IF($C372="","",IFERROR(INDEX(INSUMOS!$B$6:$B$205,MATCH($C372,INSUMOS!$A$6:$A$205,0)),"¿Código?"))</f>
        <v/>
      </c>
      <c r="E372" s="8" t="str">
        <f aca="false">IF($C372="","",IFERROR(INDEX(INSUMOS!$D$6:$D$205,MATCH($C372,INSUMOS!$A$6:$A$205,0)),""))</f>
        <v/>
      </c>
      <c r="F372" s="39"/>
      <c r="G372" s="43" t="str">
        <f aca="false">IF(OR($A372="",$C372=""),"",IFERROR(INDEX(INSUMOS!$P$6:$P$205,MATCH($C372,INSUMOS!$A$6:$A$205,0)),0))</f>
        <v/>
      </c>
      <c r="H372" s="43" t="str">
        <f aca="false">IF(OR($A372="",$C372=""),"",N($F372)*$G372)</f>
        <v/>
      </c>
      <c r="I372" s="34" t="str">
        <f aca="false">IF(OR($A372="",$C372=""),"",IFERROR(MAX(1,INDEX(PRODUCTOS!$G$6:$G$105,MATCH($A372,PRODUCTOS!$A$6:$A$105,0))),1))</f>
        <v/>
      </c>
      <c r="J372" s="43" t="str">
        <f aca="false">IF(OR($A372="",$C372=""),"",$H372/$I372)</f>
        <v/>
      </c>
      <c r="K372" s="34" t="str">
        <f aca="false">IF(OR($A372="",$C372=""),"",SUMIFS(VENTAS!$E$6:$E$2005,VENTAS!$C$6:$C$2005,$A372))</f>
        <v/>
      </c>
      <c r="L372" s="45" t="str">
        <f aca="false">IF(OR($A372="",$C372=""),"",IFERROR(N($F372)/INDEX(INSUMOS!$I$6:$I$205,MATCH($C372,INSUMOS!$A$6:$A$205,0)),N($F372))/$I372*$K372)</f>
        <v/>
      </c>
      <c r="M372" s="8" t="str">
        <f aca="false">IF($A372="","",COUNTIF($A$6:$A372,$A372))</f>
        <v/>
      </c>
      <c r="N372" s="8" t="str">
        <f aca="false">IF($A372="","",$A372&amp;"|"&amp;$M372)</f>
        <v/>
      </c>
    </row>
    <row r="373" customFormat="false" ht="15" hidden="false" customHeight="false" outlineLevel="0" collapsed="false">
      <c r="A373" s="6"/>
      <c r="B373" s="8" t="str">
        <f aca="false">IF($A373="","",IFERROR(INDEX(PRODUCTOS!$B$6:$B$105,MATCH($A373,PRODUCTOS!$A$6:$A$105,0)),"¿Código?"))</f>
        <v/>
      </c>
      <c r="C373" s="6"/>
      <c r="D373" s="8" t="str">
        <f aca="false">IF($C373="","",IFERROR(INDEX(INSUMOS!$B$6:$B$205,MATCH($C373,INSUMOS!$A$6:$A$205,0)),"¿Código?"))</f>
        <v/>
      </c>
      <c r="E373" s="8" t="str">
        <f aca="false">IF($C373="","",IFERROR(INDEX(INSUMOS!$D$6:$D$205,MATCH($C373,INSUMOS!$A$6:$A$205,0)),""))</f>
        <v/>
      </c>
      <c r="F373" s="39"/>
      <c r="G373" s="43" t="str">
        <f aca="false">IF(OR($A373="",$C373=""),"",IFERROR(INDEX(INSUMOS!$P$6:$P$205,MATCH($C373,INSUMOS!$A$6:$A$205,0)),0))</f>
        <v/>
      </c>
      <c r="H373" s="43" t="str">
        <f aca="false">IF(OR($A373="",$C373=""),"",N($F373)*$G373)</f>
        <v/>
      </c>
      <c r="I373" s="34" t="str">
        <f aca="false">IF(OR($A373="",$C373=""),"",IFERROR(MAX(1,INDEX(PRODUCTOS!$G$6:$G$105,MATCH($A373,PRODUCTOS!$A$6:$A$105,0))),1))</f>
        <v/>
      </c>
      <c r="J373" s="43" t="str">
        <f aca="false">IF(OR($A373="",$C373=""),"",$H373/$I373)</f>
        <v/>
      </c>
      <c r="K373" s="34" t="str">
        <f aca="false">IF(OR($A373="",$C373=""),"",SUMIFS(VENTAS!$E$6:$E$2005,VENTAS!$C$6:$C$2005,$A373))</f>
        <v/>
      </c>
      <c r="L373" s="45" t="str">
        <f aca="false">IF(OR($A373="",$C373=""),"",IFERROR(N($F373)/INDEX(INSUMOS!$I$6:$I$205,MATCH($C373,INSUMOS!$A$6:$A$205,0)),N($F373))/$I373*$K373)</f>
        <v/>
      </c>
      <c r="M373" s="8" t="str">
        <f aca="false">IF($A373="","",COUNTIF($A$6:$A373,$A373))</f>
        <v/>
      </c>
      <c r="N373" s="8" t="str">
        <f aca="false">IF($A373="","",$A373&amp;"|"&amp;$M373)</f>
        <v/>
      </c>
    </row>
    <row r="374" customFormat="false" ht="15" hidden="false" customHeight="false" outlineLevel="0" collapsed="false">
      <c r="A374" s="6"/>
      <c r="B374" s="8" t="str">
        <f aca="false">IF($A374="","",IFERROR(INDEX(PRODUCTOS!$B$6:$B$105,MATCH($A374,PRODUCTOS!$A$6:$A$105,0)),"¿Código?"))</f>
        <v/>
      </c>
      <c r="C374" s="6"/>
      <c r="D374" s="8" t="str">
        <f aca="false">IF($C374="","",IFERROR(INDEX(INSUMOS!$B$6:$B$205,MATCH($C374,INSUMOS!$A$6:$A$205,0)),"¿Código?"))</f>
        <v/>
      </c>
      <c r="E374" s="8" t="str">
        <f aca="false">IF($C374="","",IFERROR(INDEX(INSUMOS!$D$6:$D$205,MATCH($C374,INSUMOS!$A$6:$A$205,0)),""))</f>
        <v/>
      </c>
      <c r="F374" s="39"/>
      <c r="G374" s="43" t="str">
        <f aca="false">IF(OR($A374="",$C374=""),"",IFERROR(INDEX(INSUMOS!$P$6:$P$205,MATCH($C374,INSUMOS!$A$6:$A$205,0)),0))</f>
        <v/>
      </c>
      <c r="H374" s="43" t="str">
        <f aca="false">IF(OR($A374="",$C374=""),"",N($F374)*$G374)</f>
        <v/>
      </c>
      <c r="I374" s="34" t="str">
        <f aca="false">IF(OR($A374="",$C374=""),"",IFERROR(MAX(1,INDEX(PRODUCTOS!$G$6:$G$105,MATCH($A374,PRODUCTOS!$A$6:$A$105,0))),1))</f>
        <v/>
      </c>
      <c r="J374" s="43" t="str">
        <f aca="false">IF(OR($A374="",$C374=""),"",$H374/$I374)</f>
        <v/>
      </c>
      <c r="K374" s="34" t="str">
        <f aca="false">IF(OR($A374="",$C374=""),"",SUMIFS(VENTAS!$E$6:$E$2005,VENTAS!$C$6:$C$2005,$A374))</f>
        <v/>
      </c>
      <c r="L374" s="45" t="str">
        <f aca="false">IF(OR($A374="",$C374=""),"",IFERROR(N($F374)/INDEX(INSUMOS!$I$6:$I$205,MATCH($C374,INSUMOS!$A$6:$A$205,0)),N($F374))/$I374*$K374)</f>
        <v/>
      </c>
      <c r="M374" s="8" t="str">
        <f aca="false">IF($A374="","",COUNTIF($A$6:$A374,$A374))</f>
        <v/>
      </c>
      <c r="N374" s="8" t="str">
        <f aca="false">IF($A374="","",$A374&amp;"|"&amp;$M374)</f>
        <v/>
      </c>
    </row>
    <row r="375" customFormat="false" ht="15" hidden="false" customHeight="false" outlineLevel="0" collapsed="false">
      <c r="A375" s="6"/>
      <c r="B375" s="8" t="str">
        <f aca="false">IF($A375="","",IFERROR(INDEX(PRODUCTOS!$B$6:$B$105,MATCH($A375,PRODUCTOS!$A$6:$A$105,0)),"¿Código?"))</f>
        <v/>
      </c>
      <c r="C375" s="6"/>
      <c r="D375" s="8" t="str">
        <f aca="false">IF($C375="","",IFERROR(INDEX(INSUMOS!$B$6:$B$205,MATCH($C375,INSUMOS!$A$6:$A$205,0)),"¿Código?"))</f>
        <v/>
      </c>
      <c r="E375" s="8" t="str">
        <f aca="false">IF($C375="","",IFERROR(INDEX(INSUMOS!$D$6:$D$205,MATCH($C375,INSUMOS!$A$6:$A$205,0)),""))</f>
        <v/>
      </c>
      <c r="F375" s="39"/>
      <c r="G375" s="43" t="str">
        <f aca="false">IF(OR($A375="",$C375=""),"",IFERROR(INDEX(INSUMOS!$P$6:$P$205,MATCH($C375,INSUMOS!$A$6:$A$205,0)),0))</f>
        <v/>
      </c>
      <c r="H375" s="43" t="str">
        <f aca="false">IF(OR($A375="",$C375=""),"",N($F375)*$G375)</f>
        <v/>
      </c>
      <c r="I375" s="34" t="str">
        <f aca="false">IF(OR($A375="",$C375=""),"",IFERROR(MAX(1,INDEX(PRODUCTOS!$G$6:$G$105,MATCH($A375,PRODUCTOS!$A$6:$A$105,0))),1))</f>
        <v/>
      </c>
      <c r="J375" s="43" t="str">
        <f aca="false">IF(OR($A375="",$C375=""),"",$H375/$I375)</f>
        <v/>
      </c>
      <c r="K375" s="34" t="str">
        <f aca="false">IF(OR($A375="",$C375=""),"",SUMIFS(VENTAS!$E$6:$E$2005,VENTAS!$C$6:$C$2005,$A375))</f>
        <v/>
      </c>
      <c r="L375" s="45" t="str">
        <f aca="false">IF(OR($A375="",$C375=""),"",IFERROR(N($F375)/INDEX(INSUMOS!$I$6:$I$205,MATCH($C375,INSUMOS!$A$6:$A$205,0)),N($F375))/$I375*$K375)</f>
        <v/>
      </c>
      <c r="M375" s="8" t="str">
        <f aca="false">IF($A375="","",COUNTIF($A$6:$A375,$A375))</f>
        <v/>
      </c>
      <c r="N375" s="8" t="str">
        <f aca="false">IF($A375="","",$A375&amp;"|"&amp;$M375)</f>
        <v/>
      </c>
    </row>
    <row r="376" customFormat="false" ht="15" hidden="false" customHeight="false" outlineLevel="0" collapsed="false">
      <c r="A376" s="6"/>
      <c r="B376" s="8" t="str">
        <f aca="false">IF($A376="","",IFERROR(INDEX(PRODUCTOS!$B$6:$B$105,MATCH($A376,PRODUCTOS!$A$6:$A$105,0)),"¿Código?"))</f>
        <v/>
      </c>
      <c r="C376" s="6"/>
      <c r="D376" s="8" t="str">
        <f aca="false">IF($C376="","",IFERROR(INDEX(INSUMOS!$B$6:$B$205,MATCH($C376,INSUMOS!$A$6:$A$205,0)),"¿Código?"))</f>
        <v/>
      </c>
      <c r="E376" s="8" t="str">
        <f aca="false">IF($C376="","",IFERROR(INDEX(INSUMOS!$D$6:$D$205,MATCH($C376,INSUMOS!$A$6:$A$205,0)),""))</f>
        <v/>
      </c>
      <c r="F376" s="39"/>
      <c r="G376" s="43" t="str">
        <f aca="false">IF(OR($A376="",$C376=""),"",IFERROR(INDEX(INSUMOS!$P$6:$P$205,MATCH($C376,INSUMOS!$A$6:$A$205,0)),0))</f>
        <v/>
      </c>
      <c r="H376" s="43" t="str">
        <f aca="false">IF(OR($A376="",$C376=""),"",N($F376)*$G376)</f>
        <v/>
      </c>
      <c r="I376" s="34" t="str">
        <f aca="false">IF(OR($A376="",$C376=""),"",IFERROR(MAX(1,INDEX(PRODUCTOS!$G$6:$G$105,MATCH($A376,PRODUCTOS!$A$6:$A$105,0))),1))</f>
        <v/>
      </c>
      <c r="J376" s="43" t="str">
        <f aca="false">IF(OR($A376="",$C376=""),"",$H376/$I376)</f>
        <v/>
      </c>
      <c r="K376" s="34" t="str">
        <f aca="false">IF(OR($A376="",$C376=""),"",SUMIFS(VENTAS!$E$6:$E$2005,VENTAS!$C$6:$C$2005,$A376))</f>
        <v/>
      </c>
      <c r="L376" s="45" t="str">
        <f aca="false">IF(OR($A376="",$C376=""),"",IFERROR(N($F376)/INDEX(INSUMOS!$I$6:$I$205,MATCH($C376,INSUMOS!$A$6:$A$205,0)),N($F376))/$I376*$K376)</f>
        <v/>
      </c>
      <c r="M376" s="8" t="str">
        <f aca="false">IF($A376="","",COUNTIF($A$6:$A376,$A376))</f>
        <v/>
      </c>
      <c r="N376" s="8" t="str">
        <f aca="false">IF($A376="","",$A376&amp;"|"&amp;$M376)</f>
        <v/>
      </c>
    </row>
    <row r="377" customFormat="false" ht="15" hidden="false" customHeight="false" outlineLevel="0" collapsed="false">
      <c r="A377" s="6"/>
      <c r="B377" s="8" t="str">
        <f aca="false">IF($A377="","",IFERROR(INDEX(PRODUCTOS!$B$6:$B$105,MATCH($A377,PRODUCTOS!$A$6:$A$105,0)),"¿Código?"))</f>
        <v/>
      </c>
      <c r="C377" s="6"/>
      <c r="D377" s="8" t="str">
        <f aca="false">IF($C377="","",IFERROR(INDEX(INSUMOS!$B$6:$B$205,MATCH($C377,INSUMOS!$A$6:$A$205,0)),"¿Código?"))</f>
        <v/>
      </c>
      <c r="E377" s="8" t="str">
        <f aca="false">IF($C377="","",IFERROR(INDEX(INSUMOS!$D$6:$D$205,MATCH($C377,INSUMOS!$A$6:$A$205,0)),""))</f>
        <v/>
      </c>
      <c r="F377" s="39"/>
      <c r="G377" s="43" t="str">
        <f aca="false">IF(OR($A377="",$C377=""),"",IFERROR(INDEX(INSUMOS!$P$6:$P$205,MATCH($C377,INSUMOS!$A$6:$A$205,0)),0))</f>
        <v/>
      </c>
      <c r="H377" s="43" t="str">
        <f aca="false">IF(OR($A377="",$C377=""),"",N($F377)*$G377)</f>
        <v/>
      </c>
      <c r="I377" s="34" t="str">
        <f aca="false">IF(OR($A377="",$C377=""),"",IFERROR(MAX(1,INDEX(PRODUCTOS!$G$6:$G$105,MATCH($A377,PRODUCTOS!$A$6:$A$105,0))),1))</f>
        <v/>
      </c>
      <c r="J377" s="43" t="str">
        <f aca="false">IF(OR($A377="",$C377=""),"",$H377/$I377)</f>
        <v/>
      </c>
      <c r="K377" s="34" t="str">
        <f aca="false">IF(OR($A377="",$C377=""),"",SUMIFS(VENTAS!$E$6:$E$2005,VENTAS!$C$6:$C$2005,$A377))</f>
        <v/>
      </c>
      <c r="L377" s="45" t="str">
        <f aca="false">IF(OR($A377="",$C377=""),"",IFERROR(N($F377)/INDEX(INSUMOS!$I$6:$I$205,MATCH($C377,INSUMOS!$A$6:$A$205,0)),N($F377))/$I377*$K377)</f>
        <v/>
      </c>
      <c r="M377" s="8" t="str">
        <f aca="false">IF($A377="","",COUNTIF($A$6:$A377,$A377))</f>
        <v/>
      </c>
      <c r="N377" s="8" t="str">
        <f aca="false">IF($A377="","",$A377&amp;"|"&amp;$M377)</f>
        <v/>
      </c>
    </row>
    <row r="378" customFormat="false" ht="15" hidden="false" customHeight="false" outlineLevel="0" collapsed="false">
      <c r="A378" s="6"/>
      <c r="B378" s="8" t="str">
        <f aca="false">IF($A378="","",IFERROR(INDEX(PRODUCTOS!$B$6:$B$105,MATCH($A378,PRODUCTOS!$A$6:$A$105,0)),"¿Código?"))</f>
        <v/>
      </c>
      <c r="C378" s="6"/>
      <c r="D378" s="8" t="str">
        <f aca="false">IF($C378="","",IFERROR(INDEX(INSUMOS!$B$6:$B$205,MATCH($C378,INSUMOS!$A$6:$A$205,0)),"¿Código?"))</f>
        <v/>
      </c>
      <c r="E378" s="8" t="str">
        <f aca="false">IF($C378="","",IFERROR(INDEX(INSUMOS!$D$6:$D$205,MATCH($C378,INSUMOS!$A$6:$A$205,0)),""))</f>
        <v/>
      </c>
      <c r="F378" s="39"/>
      <c r="G378" s="43" t="str">
        <f aca="false">IF(OR($A378="",$C378=""),"",IFERROR(INDEX(INSUMOS!$P$6:$P$205,MATCH($C378,INSUMOS!$A$6:$A$205,0)),0))</f>
        <v/>
      </c>
      <c r="H378" s="43" t="str">
        <f aca="false">IF(OR($A378="",$C378=""),"",N($F378)*$G378)</f>
        <v/>
      </c>
      <c r="I378" s="34" t="str">
        <f aca="false">IF(OR($A378="",$C378=""),"",IFERROR(MAX(1,INDEX(PRODUCTOS!$G$6:$G$105,MATCH($A378,PRODUCTOS!$A$6:$A$105,0))),1))</f>
        <v/>
      </c>
      <c r="J378" s="43" t="str">
        <f aca="false">IF(OR($A378="",$C378=""),"",$H378/$I378)</f>
        <v/>
      </c>
      <c r="K378" s="34" t="str">
        <f aca="false">IF(OR($A378="",$C378=""),"",SUMIFS(VENTAS!$E$6:$E$2005,VENTAS!$C$6:$C$2005,$A378))</f>
        <v/>
      </c>
      <c r="L378" s="45" t="str">
        <f aca="false">IF(OR($A378="",$C378=""),"",IFERROR(N($F378)/INDEX(INSUMOS!$I$6:$I$205,MATCH($C378,INSUMOS!$A$6:$A$205,0)),N($F378))/$I378*$K378)</f>
        <v/>
      </c>
      <c r="M378" s="8" t="str">
        <f aca="false">IF($A378="","",COUNTIF($A$6:$A378,$A378))</f>
        <v/>
      </c>
      <c r="N378" s="8" t="str">
        <f aca="false">IF($A378="","",$A378&amp;"|"&amp;$M378)</f>
        <v/>
      </c>
    </row>
    <row r="379" customFormat="false" ht="15" hidden="false" customHeight="false" outlineLevel="0" collapsed="false">
      <c r="A379" s="6"/>
      <c r="B379" s="8" t="str">
        <f aca="false">IF($A379="","",IFERROR(INDEX(PRODUCTOS!$B$6:$B$105,MATCH($A379,PRODUCTOS!$A$6:$A$105,0)),"¿Código?"))</f>
        <v/>
      </c>
      <c r="C379" s="6"/>
      <c r="D379" s="8" t="str">
        <f aca="false">IF($C379="","",IFERROR(INDEX(INSUMOS!$B$6:$B$205,MATCH($C379,INSUMOS!$A$6:$A$205,0)),"¿Código?"))</f>
        <v/>
      </c>
      <c r="E379" s="8" t="str">
        <f aca="false">IF($C379="","",IFERROR(INDEX(INSUMOS!$D$6:$D$205,MATCH($C379,INSUMOS!$A$6:$A$205,0)),""))</f>
        <v/>
      </c>
      <c r="F379" s="39"/>
      <c r="G379" s="43" t="str">
        <f aca="false">IF(OR($A379="",$C379=""),"",IFERROR(INDEX(INSUMOS!$P$6:$P$205,MATCH($C379,INSUMOS!$A$6:$A$205,0)),0))</f>
        <v/>
      </c>
      <c r="H379" s="43" t="str">
        <f aca="false">IF(OR($A379="",$C379=""),"",N($F379)*$G379)</f>
        <v/>
      </c>
      <c r="I379" s="34" t="str">
        <f aca="false">IF(OR($A379="",$C379=""),"",IFERROR(MAX(1,INDEX(PRODUCTOS!$G$6:$G$105,MATCH($A379,PRODUCTOS!$A$6:$A$105,0))),1))</f>
        <v/>
      </c>
      <c r="J379" s="43" t="str">
        <f aca="false">IF(OR($A379="",$C379=""),"",$H379/$I379)</f>
        <v/>
      </c>
      <c r="K379" s="34" t="str">
        <f aca="false">IF(OR($A379="",$C379=""),"",SUMIFS(VENTAS!$E$6:$E$2005,VENTAS!$C$6:$C$2005,$A379))</f>
        <v/>
      </c>
      <c r="L379" s="45" t="str">
        <f aca="false">IF(OR($A379="",$C379=""),"",IFERROR(N($F379)/INDEX(INSUMOS!$I$6:$I$205,MATCH($C379,INSUMOS!$A$6:$A$205,0)),N($F379))/$I379*$K379)</f>
        <v/>
      </c>
      <c r="M379" s="8" t="str">
        <f aca="false">IF($A379="","",COUNTIF($A$6:$A379,$A379))</f>
        <v/>
      </c>
      <c r="N379" s="8" t="str">
        <f aca="false">IF($A379="","",$A379&amp;"|"&amp;$M379)</f>
        <v/>
      </c>
    </row>
    <row r="380" customFormat="false" ht="15" hidden="false" customHeight="false" outlineLevel="0" collapsed="false">
      <c r="A380" s="6"/>
      <c r="B380" s="8" t="str">
        <f aca="false">IF($A380="","",IFERROR(INDEX(PRODUCTOS!$B$6:$B$105,MATCH($A380,PRODUCTOS!$A$6:$A$105,0)),"¿Código?"))</f>
        <v/>
      </c>
      <c r="C380" s="6"/>
      <c r="D380" s="8" t="str">
        <f aca="false">IF($C380="","",IFERROR(INDEX(INSUMOS!$B$6:$B$205,MATCH($C380,INSUMOS!$A$6:$A$205,0)),"¿Código?"))</f>
        <v/>
      </c>
      <c r="E380" s="8" t="str">
        <f aca="false">IF($C380="","",IFERROR(INDEX(INSUMOS!$D$6:$D$205,MATCH($C380,INSUMOS!$A$6:$A$205,0)),""))</f>
        <v/>
      </c>
      <c r="F380" s="39"/>
      <c r="G380" s="43" t="str">
        <f aca="false">IF(OR($A380="",$C380=""),"",IFERROR(INDEX(INSUMOS!$P$6:$P$205,MATCH($C380,INSUMOS!$A$6:$A$205,0)),0))</f>
        <v/>
      </c>
      <c r="H380" s="43" t="str">
        <f aca="false">IF(OR($A380="",$C380=""),"",N($F380)*$G380)</f>
        <v/>
      </c>
      <c r="I380" s="34" t="str">
        <f aca="false">IF(OR($A380="",$C380=""),"",IFERROR(MAX(1,INDEX(PRODUCTOS!$G$6:$G$105,MATCH($A380,PRODUCTOS!$A$6:$A$105,0))),1))</f>
        <v/>
      </c>
      <c r="J380" s="43" t="str">
        <f aca="false">IF(OR($A380="",$C380=""),"",$H380/$I380)</f>
        <v/>
      </c>
      <c r="K380" s="34" t="str">
        <f aca="false">IF(OR($A380="",$C380=""),"",SUMIFS(VENTAS!$E$6:$E$2005,VENTAS!$C$6:$C$2005,$A380))</f>
        <v/>
      </c>
      <c r="L380" s="45" t="str">
        <f aca="false">IF(OR($A380="",$C380=""),"",IFERROR(N($F380)/INDEX(INSUMOS!$I$6:$I$205,MATCH($C380,INSUMOS!$A$6:$A$205,0)),N($F380))/$I380*$K380)</f>
        <v/>
      </c>
      <c r="M380" s="8" t="str">
        <f aca="false">IF($A380="","",COUNTIF($A$6:$A380,$A380))</f>
        <v/>
      </c>
      <c r="N380" s="8" t="str">
        <f aca="false">IF($A380="","",$A380&amp;"|"&amp;$M380)</f>
        <v/>
      </c>
    </row>
    <row r="381" customFormat="false" ht="15" hidden="false" customHeight="false" outlineLevel="0" collapsed="false">
      <c r="A381" s="6"/>
      <c r="B381" s="8" t="str">
        <f aca="false">IF($A381="","",IFERROR(INDEX(PRODUCTOS!$B$6:$B$105,MATCH($A381,PRODUCTOS!$A$6:$A$105,0)),"¿Código?"))</f>
        <v/>
      </c>
      <c r="C381" s="6"/>
      <c r="D381" s="8" t="str">
        <f aca="false">IF($C381="","",IFERROR(INDEX(INSUMOS!$B$6:$B$205,MATCH($C381,INSUMOS!$A$6:$A$205,0)),"¿Código?"))</f>
        <v/>
      </c>
      <c r="E381" s="8" t="str">
        <f aca="false">IF($C381="","",IFERROR(INDEX(INSUMOS!$D$6:$D$205,MATCH($C381,INSUMOS!$A$6:$A$205,0)),""))</f>
        <v/>
      </c>
      <c r="F381" s="39"/>
      <c r="G381" s="43" t="str">
        <f aca="false">IF(OR($A381="",$C381=""),"",IFERROR(INDEX(INSUMOS!$P$6:$P$205,MATCH($C381,INSUMOS!$A$6:$A$205,0)),0))</f>
        <v/>
      </c>
      <c r="H381" s="43" t="str">
        <f aca="false">IF(OR($A381="",$C381=""),"",N($F381)*$G381)</f>
        <v/>
      </c>
      <c r="I381" s="34" t="str">
        <f aca="false">IF(OR($A381="",$C381=""),"",IFERROR(MAX(1,INDEX(PRODUCTOS!$G$6:$G$105,MATCH($A381,PRODUCTOS!$A$6:$A$105,0))),1))</f>
        <v/>
      </c>
      <c r="J381" s="43" t="str">
        <f aca="false">IF(OR($A381="",$C381=""),"",$H381/$I381)</f>
        <v/>
      </c>
      <c r="K381" s="34" t="str">
        <f aca="false">IF(OR($A381="",$C381=""),"",SUMIFS(VENTAS!$E$6:$E$2005,VENTAS!$C$6:$C$2005,$A381))</f>
        <v/>
      </c>
      <c r="L381" s="45" t="str">
        <f aca="false">IF(OR($A381="",$C381=""),"",IFERROR(N($F381)/INDEX(INSUMOS!$I$6:$I$205,MATCH($C381,INSUMOS!$A$6:$A$205,0)),N($F381))/$I381*$K381)</f>
        <v/>
      </c>
      <c r="M381" s="8" t="str">
        <f aca="false">IF($A381="","",COUNTIF($A$6:$A381,$A381))</f>
        <v/>
      </c>
      <c r="N381" s="8" t="str">
        <f aca="false">IF($A381="","",$A381&amp;"|"&amp;$M381)</f>
        <v/>
      </c>
    </row>
    <row r="382" customFormat="false" ht="15" hidden="false" customHeight="false" outlineLevel="0" collapsed="false">
      <c r="A382" s="6"/>
      <c r="B382" s="8" t="str">
        <f aca="false">IF($A382="","",IFERROR(INDEX(PRODUCTOS!$B$6:$B$105,MATCH($A382,PRODUCTOS!$A$6:$A$105,0)),"¿Código?"))</f>
        <v/>
      </c>
      <c r="C382" s="6"/>
      <c r="D382" s="8" t="str">
        <f aca="false">IF($C382="","",IFERROR(INDEX(INSUMOS!$B$6:$B$205,MATCH($C382,INSUMOS!$A$6:$A$205,0)),"¿Código?"))</f>
        <v/>
      </c>
      <c r="E382" s="8" t="str">
        <f aca="false">IF($C382="","",IFERROR(INDEX(INSUMOS!$D$6:$D$205,MATCH($C382,INSUMOS!$A$6:$A$205,0)),""))</f>
        <v/>
      </c>
      <c r="F382" s="39"/>
      <c r="G382" s="43" t="str">
        <f aca="false">IF(OR($A382="",$C382=""),"",IFERROR(INDEX(INSUMOS!$P$6:$P$205,MATCH($C382,INSUMOS!$A$6:$A$205,0)),0))</f>
        <v/>
      </c>
      <c r="H382" s="43" t="str">
        <f aca="false">IF(OR($A382="",$C382=""),"",N($F382)*$G382)</f>
        <v/>
      </c>
      <c r="I382" s="34" t="str">
        <f aca="false">IF(OR($A382="",$C382=""),"",IFERROR(MAX(1,INDEX(PRODUCTOS!$G$6:$G$105,MATCH($A382,PRODUCTOS!$A$6:$A$105,0))),1))</f>
        <v/>
      </c>
      <c r="J382" s="43" t="str">
        <f aca="false">IF(OR($A382="",$C382=""),"",$H382/$I382)</f>
        <v/>
      </c>
      <c r="K382" s="34" t="str">
        <f aca="false">IF(OR($A382="",$C382=""),"",SUMIFS(VENTAS!$E$6:$E$2005,VENTAS!$C$6:$C$2005,$A382))</f>
        <v/>
      </c>
      <c r="L382" s="45" t="str">
        <f aca="false">IF(OR($A382="",$C382=""),"",IFERROR(N($F382)/INDEX(INSUMOS!$I$6:$I$205,MATCH($C382,INSUMOS!$A$6:$A$205,0)),N($F382))/$I382*$K382)</f>
        <v/>
      </c>
      <c r="M382" s="8" t="str">
        <f aca="false">IF($A382="","",COUNTIF($A$6:$A382,$A382))</f>
        <v/>
      </c>
      <c r="N382" s="8" t="str">
        <f aca="false">IF($A382="","",$A382&amp;"|"&amp;$M382)</f>
        <v/>
      </c>
    </row>
    <row r="383" customFormat="false" ht="15" hidden="false" customHeight="false" outlineLevel="0" collapsed="false">
      <c r="A383" s="6"/>
      <c r="B383" s="8" t="str">
        <f aca="false">IF($A383="","",IFERROR(INDEX(PRODUCTOS!$B$6:$B$105,MATCH($A383,PRODUCTOS!$A$6:$A$105,0)),"¿Código?"))</f>
        <v/>
      </c>
      <c r="C383" s="6"/>
      <c r="D383" s="8" t="str">
        <f aca="false">IF($C383="","",IFERROR(INDEX(INSUMOS!$B$6:$B$205,MATCH($C383,INSUMOS!$A$6:$A$205,0)),"¿Código?"))</f>
        <v/>
      </c>
      <c r="E383" s="8" t="str">
        <f aca="false">IF($C383="","",IFERROR(INDEX(INSUMOS!$D$6:$D$205,MATCH($C383,INSUMOS!$A$6:$A$205,0)),""))</f>
        <v/>
      </c>
      <c r="F383" s="39"/>
      <c r="G383" s="43" t="str">
        <f aca="false">IF(OR($A383="",$C383=""),"",IFERROR(INDEX(INSUMOS!$P$6:$P$205,MATCH($C383,INSUMOS!$A$6:$A$205,0)),0))</f>
        <v/>
      </c>
      <c r="H383" s="43" t="str">
        <f aca="false">IF(OR($A383="",$C383=""),"",N($F383)*$G383)</f>
        <v/>
      </c>
      <c r="I383" s="34" t="str">
        <f aca="false">IF(OR($A383="",$C383=""),"",IFERROR(MAX(1,INDEX(PRODUCTOS!$G$6:$G$105,MATCH($A383,PRODUCTOS!$A$6:$A$105,0))),1))</f>
        <v/>
      </c>
      <c r="J383" s="43" t="str">
        <f aca="false">IF(OR($A383="",$C383=""),"",$H383/$I383)</f>
        <v/>
      </c>
      <c r="K383" s="34" t="str">
        <f aca="false">IF(OR($A383="",$C383=""),"",SUMIFS(VENTAS!$E$6:$E$2005,VENTAS!$C$6:$C$2005,$A383))</f>
        <v/>
      </c>
      <c r="L383" s="45" t="str">
        <f aca="false">IF(OR($A383="",$C383=""),"",IFERROR(N($F383)/INDEX(INSUMOS!$I$6:$I$205,MATCH($C383,INSUMOS!$A$6:$A$205,0)),N($F383))/$I383*$K383)</f>
        <v/>
      </c>
      <c r="M383" s="8" t="str">
        <f aca="false">IF($A383="","",COUNTIF($A$6:$A383,$A383))</f>
        <v/>
      </c>
      <c r="N383" s="8" t="str">
        <f aca="false">IF($A383="","",$A383&amp;"|"&amp;$M383)</f>
        <v/>
      </c>
    </row>
    <row r="384" customFormat="false" ht="15" hidden="false" customHeight="false" outlineLevel="0" collapsed="false">
      <c r="A384" s="6"/>
      <c r="B384" s="8" t="str">
        <f aca="false">IF($A384="","",IFERROR(INDEX(PRODUCTOS!$B$6:$B$105,MATCH($A384,PRODUCTOS!$A$6:$A$105,0)),"¿Código?"))</f>
        <v/>
      </c>
      <c r="C384" s="6"/>
      <c r="D384" s="8" t="str">
        <f aca="false">IF($C384="","",IFERROR(INDEX(INSUMOS!$B$6:$B$205,MATCH($C384,INSUMOS!$A$6:$A$205,0)),"¿Código?"))</f>
        <v/>
      </c>
      <c r="E384" s="8" t="str">
        <f aca="false">IF($C384="","",IFERROR(INDEX(INSUMOS!$D$6:$D$205,MATCH($C384,INSUMOS!$A$6:$A$205,0)),""))</f>
        <v/>
      </c>
      <c r="F384" s="39"/>
      <c r="G384" s="43" t="str">
        <f aca="false">IF(OR($A384="",$C384=""),"",IFERROR(INDEX(INSUMOS!$P$6:$P$205,MATCH($C384,INSUMOS!$A$6:$A$205,0)),0))</f>
        <v/>
      </c>
      <c r="H384" s="43" t="str">
        <f aca="false">IF(OR($A384="",$C384=""),"",N($F384)*$G384)</f>
        <v/>
      </c>
      <c r="I384" s="34" t="str">
        <f aca="false">IF(OR($A384="",$C384=""),"",IFERROR(MAX(1,INDEX(PRODUCTOS!$G$6:$G$105,MATCH($A384,PRODUCTOS!$A$6:$A$105,0))),1))</f>
        <v/>
      </c>
      <c r="J384" s="43" t="str">
        <f aca="false">IF(OR($A384="",$C384=""),"",$H384/$I384)</f>
        <v/>
      </c>
      <c r="K384" s="34" t="str">
        <f aca="false">IF(OR($A384="",$C384=""),"",SUMIFS(VENTAS!$E$6:$E$2005,VENTAS!$C$6:$C$2005,$A384))</f>
        <v/>
      </c>
      <c r="L384" s="45" t="str">
        <f aca="false">IF(OR($A384="",$C384=""),"",IFERROR(N($F384)/INDEX(INSUMOS!$I$6:$I$205,MATCH($C384,INSUMOS!$A$6:$A$205,0)),N($F384))/$I384*$K384)</f>
        <v/>
      </c>
      <c r="M384" s="8" t="str">
        <f aca="false">IF($A384="","",COUNTIF($A$6:$A384,$A384))</f>
        <v/>
      </c>
      <c r="N384" s="8" t="str">
        <f aca="false">IF($A384="","",$A384&amp;"|"&amp;$M384)</f>
        <v/>
      </c>
    </row>
    <row r="385" customFormat="false" ht="15" hidden="false" customHeight="false" outlineLevel="0" collapsed="false">
      <c r="A385" s="6"/>
      <c r="B385" s="8" t="str">
        <f aca="false">IF($A385="","",IFERROR(INDEX(PRODUCTOS!$B$6:$B$105,MATCH($A385,PRODUCTOS!$A$6:$A$105,0)),"¿Código?"))</f>
        <v/>
      </c>
      <c r="C385" s="6"/>
      <c r="D385" s="8" t="str">
        <f aca="false">IF($C385="","",IFERROR(INDEX(INSUMOS!$B$6:$B$205,MATCH($C385,INSUMOS!$A$6:$A$205,0)),"¿Código?"))</f>
        <v/>
      </c>
      <c r="E385" s="8" t="str">
        <f aca="false">IF($C385="","",IFERROR(INDEX(INSUMOS!$D$6:$D$205,MATCH($C385,INSUMOS!$A$6:$A$205,0)),""))</f>
        <v/>
      </c>
      <c r="F385" s="39"/>
      <c r="G385" s="43" t="str">
        <f aca="false">IF(OR($A385="",$C385=""),"",IFERROR(INDEX(INSUMOS!$P$6:$P$205,MATCH($C385,INSUMOS!$A$6:$A$205,0)),0))</f>
        <v/>
      </c>
      <c r="H385" s="43" t="str">
        <f aca="false">IF(OR($A385="",$C385=""),"",N($F385)*$G385)</f>
        <v/>
      </c>
      <c r="I385" s="34" t="str">
        <f aca="false">IF(OR($A385="",$C385=""),"",IFERROR(MAX(1,INDEX(PRODUCTOS!$G$6:$G$105,MATCH($A385,PRODUCTOS!$A$6:$A$105,0))),1))</f>
        <v/>
      </c>
      <c r="J385" s="43" t="str">
        <f aca="false">IF(OR($A385="",$C385=""),"",$H385/$I385)</f>
        <v/>
      </c>
      <c r="K385" s="34" t="str">
        <f aca="false">IF(OR($A385="",$C385=""),"",SUMIFS(VENTAS!$E$6:$E$2005,VENTAS!$C$6:$C$2005,$A385))</f>
        <v/>
      </c>
      <c r="L385" s="45" t="str">
        <f aca="false">IF(OR($A385="",$C385=""),"",IFERROR(N($F385)/INDEX(INSUMOS!$I$6:$I$205,MATCH($C385,INSUMOS!$A$6:$A$205,0)),N($F385))/$I385*$K385)</f>
        <v/>
      </c>
      <c r="M385" s="8" t="str">
        <f aca="false">IF($A385="","",COUNTIF($A$6:$A385,$A385))</f>
        <v/>
      </c>
      <c r="N385" s="8" t="str">
        <f aca="false">IF($A385="","",$A385&amp;"|"&amp;$M385)</f>
        <v/>
      </c>
    </row>
    <row r="386" customFormat="false" ht="15" hidden="false" customHeight="false" outlineLevel="0" collapsed="false">
      <c r="A386" s="6"/>
      <c r="B386" s="8" t="str">
        <f aca="false">IF($A386="","",IFERROR(INDEX(PRODUCTOS!$B$6:$B$105,MATCH($A386,PRODUCTOS!$A$6:$A$105,0)),"¿Código?"))</f>
        <v/>
      </c>
      <c r="C386" s="6"/>
      <c r="D386" s="8" t="str">
        <f aca="false">IF($C386="","",IFERROR(INDEX(INSUMOS!$B$6:$B$205,MATCH($C386,INSUMOS!$A$6:$A$205,0)),"¿Código?"))</f>
        <v/>
      </c>
      <c r="E386" s="8" t="str">
        <f aca="false">IF($C386="","",IFERROR(INDEX(INSUMOS!$D$6:$D$205,MATCH($C386,INSUMOS!$A$6:$A$205,0)),""))</f>
        <v/>
      </c>
      <c r="F386" s="39"/>
      <c r="G386" s="43" t="str">
        <f aca="false">IF(OR($A386="",$C386=""),"",IFERROR(INDEX(INSUMOS!$P$6:$P$205,MATCH($C386,INSUMOS!$A$6:$A$205,0)),0))</f>
        <v/>
      </c>
      <c r="H386" s="43" t="str">
        <f aca="false">IF(OR($A386="",$C386=""),"",N($F386)*$G386)</f>
        <v/>
      </c>
      <c r="I386" s="34" t="str">
        <f aca="false">IF(OR($A386="",$C386=""),"",IFERROR(MAX(1,INDEX(PRODUCTOS!$G$6:$G$105,MATCH($A386,PRODUCTOS!$A$6:$A$105,0))),1))</f>
        <v/>
      </c>
      <c r="J386" s="43" t="str">
        <f aca="false">IF(OR($A386="",$C386=""),"",$H386/$I386)</f>
        <v/>
      </c>
      <c r="K386" s="34" t="str">
        <f aca="false">IF(OR($A386="",$C386=""),"",SUMIFS(VENTAS!$E$6:$E$2005,VENTAS!$C$6:$C$2005,$A386))</f>
        <v/>
      </c>
      <c r="L386" s="45" t="str">
        <f aca="false">IF(OR($A386="",$C386=""),"",IFERROR(N($F386)/INDEX(INSUMOS!$I$6:$I$205,MATCH($C386,INSUMOS!$A$6:$A$205,0)),N($F386))/$I386*$K386)</f>
        <v/>
      </c>
      <c r="M386" s="8" t="str">
        <f aca="false">IF($A386="","",COUNTIF($A$6:$A386,$A386))</f>
        <v/>
      </c>
      <c r="N386" s="8" t="str">
        <f aca="false">IF($A386="","",$A386&amp;"|"&amp;$M386)</f>
        <v/>
      </c>
    </row>
    <row r="387" customFormat="false" ht="15" hidden="false" customHeight="false" outlineLevel="0" collapsed="false">
      <c r="A387" s="6"/>
      <c r="B387" s="8" t="str">
        <f aca="false">IF($A387="","",IFERROR(INDEX(PRODUCTOS!$B$6:$B$105,MATCH($A387,PRODUCTOS!$A$6:$A$105,0)),"¿Código?"))</f>
        <v/>
      </c>
      <c r="C387" s="6"/>
      <c r="D387" s="8" t="str">
        <f aca="false">IF($C387="","",IFERROR(INDEX(INSUMOS!$B$6:$B$205,MATCH($C387,INSUMOS!$A$6:$A$205,0)),"¿Código?"))</f>
        <v/>
      </c>
      <c r="E387" s="8" t="str">
        <f aca="false">IF($C387="","",IFERROR(INDEX(INSUMOS!$D$6:$D$205,MATCH($C387,INSUMOS!$A$6:$A$205,0)),""))</f>
        <v/>
      </c>
      <c r="F387" s="39"/>
      <c r="G387" s="43" t="str">
        <f aca="false">IF(OR($A387="",$C387=""),"",IFERROR(INDEX(INSUMOS!$P$6:$P$205,MATCH($C387,INSUMOS!$A$6:$A$205,0)),0))</f>
        <v/>
      </c>
      <c r="H387" s="43" t="str">
        <f aca="false">IF(OR($A387="",$C387=""),"",N($F387)*$G387)</f>
        <v/>
      </c>
      <c r="I387" s="34" t="str">
        <f aca="false">IF(OR($A387="",$C387=""),"",IFERROR(MAX(1,INDEX(PRODUCTOS!$G$6:$G$105,MATCH($A387,PRODUCTOS!$A$6:$A$105,0))),1))</f>
        <v/>
      </c>
      <c r="J387" s="43" t="str">
        <f aca="false">IF(OR($A387="",$C387=""),"",$H387/$I387)</f>
        <v/>
      </c>
      <c r="K387" s="34" t="str">
        <f aca="false">IF(OR($A387="",$C387=""),"",SUMIFS(VENTAS!$E$6:$E$2005,VENTAS!$C$6:$C$2005,$A387))</f>
        <v/>
      </c>
      <c r="L387" s="45" t="str">
        <f aca="false">IF(OR($A387="",$C387=""),"",IFERROR(N($F387)/INDEX(INSUMOS!$I$6:$I$205,MATCH($C387,INSUMOS!$A$6:$A$205,0)),N($F387))/$I387*$K387)</f>
        <v/>
      </c>
      <c r="M387" s="8" t="str">
        <f aca="false">IF($A387="","",COUNTIF($A$6:$A387,$A387))</f>
        <v/>
      </c>
      <c r="N387" s="8" t="str">
        <f aca="false">IF($A387="","",$A387&amp;"|"&amp;$M387)</f>
        <v/>
      </c>
    </row>
    <row r="388" customFormat="false" ht="15" hidden="false" customHeight="false" outlineLevel="0" collapsed="false">
      <c r="A388" s="6"/>
      <c r="B388" s="8" t="str">
        <f aca="false">IF($A388="","",IFERROR(INDEX(PRODUCTOS!$B$6:$B$105,MATCH($A388,PRODUCTOS!$A$6:$A$105,0)),"¿Código?"))</f>
        <v/>
      </c>
      <c r="C388" s="6"/>
      <c r="D388" s="8" t="str">
        <f aca="false">IF($C388="","",IFERROR(INDEX(INSUMOS!$B$6:$B$205,MATCH($C388,INSUMOS!$A$6:$A$205,0)),"¿Código?"))</f>
        <v/>
      </c>
      <c r="E388" s="8" t="str">
        <f aca="false">IF($C388="","",IFERROR(INDEX(INSUMOS!$D$6:$D$205,MATCH($C388,INSUMOS!$A$6:$A$205,0)),""))</f>
        <v/>
      </c>
      <c r="F388" s="39"/>
      <c r="G388" s="43" t="str">
        <f aca="false">IF(OR($A388="",$C388=""),"",IFERROR(INDEX(INSUMOS!$P$6:$P$205,MATCH($C388,INSUMOS!$A$6:$A$205,0)),0))</f>
        <v/>
      </c>
      <c r="H388" s="43" t="str">
        <f aca="false">IF(OR($A388="",$C388=""),"",N($F388)*$G388)</f>
        <v/>
      </c>
      <c r="I388" s="34" t="str">
        <f aca="false">IF(OR($A388="",$C388=""),"",IFERROR(MAX(1,INDEX(PRODUCTOS!$G$6:$G$105,MATCH($A388,PRODUCTOS!$A$6:$A$105,0))),1))</f>
        <v/>
      </c>
      <c r="J388" s="43" t="str">
        <f aca="false">IF(OR($A388="",$C388=""),"",$H388/$I388)</f>
        <v/>
      </c>
      <c r="K388" s="34" t="str">
        <f aca="false">IF(OR($A388="",$C388=""),"",SUMIFS(VENTAS!$E$6:$E$2005,VENTAS!$C$6:$C$2005,$A388))</f>
        <v/>
      </c>
      <c r="L388" s="45" t="str">
        <f aca="false">IF(OR($A388="",$C388=""),"",IFERROR(N($F388)/INDEX(INSUMOS!$I$6:$I$205,MATCH($C388,INSUMOS!$A$6:$A$205,0)),N($F388))/$I388*$K388)</f>
        <v/>
      </c>
      <c r="M388" s="8" t="str">
        <f aca="false">IF($A388="","",COUNTIF($A$6:$A388,$A388))</f>
        <v/>
      </c>
      <c r="N388" s="8" t="str">
        <f aca="false">IF($A388="","",$A388&amp;"|"&amp;$M388)</f>
        <v/>
      </c>
    </row>
    <row r="389" customFormat="false" ht="15" hidden="false" customHeight="false" outlineLevel="0" collapsed="false">
      <c r="A389" s="6"/>
      <c r="B389" s="8" t="str">
        <f aca="false">IF($A389="","",IFERROR(INDEX(PRODUCTOS!$B$6:$B$105,MATCH($A389,PRODUCTOS!$A$6:$A$105,0)),"¿Código?"))</f>
        <v/>
      </c>
      <c r="C389" s="6"/>
      <c r="D389" s="8" t="str">
        <f aca="false">IF($C389="","",IFERROR(INDEX(INSUMOS!$B$6:$B$205,MATCH($C389,INSUMOS!$A$6:$A$205,0)),"¿Código?"))</f>
        <v/>
      </c>
      <c r="E389" s="8" t="str">
        <f aca="false">IF($C389="","",IFERROR(INDEX(INSUMOS!$D$6:$D$205,MATCH($C389,INSUMOS!$A$6:$A$205,0)),""))</f>
        <v/>
      </c>
      <c r="F389" s="39"/>
      <c r="G389" s="43" t="str">
        <f aca="false">IF(OR($A389="",$C389=""),"",IFERROR(INDEX(INSUMOS!$P$6:$P$205,MATCH($C389,INSUMOS!$A$6:$A$205,0)),0))</f>
        <v/>
      </c>
      <c r="H389" s="43" t="str">
        <f aca="false">IF(OR($A389="",$C389=""),"",N($F389)*$G389)</f>
        <v/>
      </c>
      <c r="I389" s="34" t="str">
        <f aca="false">IF(OR($A389="",$C389=""),"",IFERROR(MAX(1,INDEX(PRODUCTOS!$G$6:$G$105,MATCH($A389,PRODUCTOS!$A$6:$A$105,0))),1))</f>
        <v/>
      </c>
      <c r="J389" s="43" t="str">
        <f aca="false">IF(OR($A389="",$C389=""),"",$H389/$I389)</f>
        <v/>
      </c>
      <c r="K389" s="34" t="str">
        <f aca="false">IF(OR($A389="",$C389=""),"",SUMIFS(VENTAS!$E$6:$E$2005,VENTAS!$C$6:$C$2005,$A389))</f>
        <v/>
      </c>
      <c r="L389" s="45" t="str">
        <f aca="false">IF(OR($A389="",$C389=""),"",IFERROR(N($F389)/INDEX(INSUMOS!$I$6:$I$205,MATCH($C389,INSUMOS!$A$6:$A$205,0)),N($F389))/$I389*$K389)</f>
        <v/>
      </c>
      <c r="M389" s="8" t="str">
        <f aca="false">IF($A389="","",COUNTIF($A$6:$A389,$A389))</f>
        <v/>
      </c>
      <c r="N389" s="8" t="str">
        <f aca="false">IF($A389="","",$A389&amp;"|"&amp;$M389)</f>
        <v/>
      </c>
    </row>
    <row r="390" customFormat="false" ht="15" hidden="false" customHeight="false" outlineLevel="0" collapsed="false">
      <c r="A390" s="6"/>
      <c r="B390" s="8" t="str">
        <f aca="false">IF($A390="","",IFERROR(INDEX(PRODUCTOS!$B$6:$B$105,MATCH($A390,PRODUCTOS!$A$6:$A$105,0)),"¿Código?"))</f>
        <v/>
      </c>
      <c r="C390" s="6"/>
      <c r="D390" s="8" t="str">
        <f aca="false">IF($C390="","",IFERROR(INDEX(INSUMOS!$B$6:$B$205,MATCH($C390,INSUMOS!$A$6:$A$205,0)),"¿Código?"))</f>
        <v/>
      </c>
      <c r="E390" s="8" t="str">
        <f aca="false">IF($C390="","",IFERROR(INDEX(INSUMOS!$D$6:$D$205,MATCH($C390,INSUMOS!$A$6:$A$205,0)),""))</f>
        <v/>
      </c>
      <c r="F390" s="39"/>
      <c r="G390" s="43" t="str">
        <f aca="false">IF(OR($A390="",$C390=""),"",IFERROR(INDEX(INSUMOS!$P$6:$P$205,MATCH($C390,INSUMOS!$A$6:$A$205,0)),0))</f>
        <v/>
      </c>
      <c r="H390" s="43" t="str">
        <f aca="false">IF(OR($A390="",$C390=""),"",N($F390)*$G390)</f>
        <v/>
      </c>
      <c r="I390" s="34" t="str">
        <f aca="false">IF(OR($A390="",$C390=""),"",IFERROR(MAX(1,INDEX(PRODUCTOS!$G$6:$G$105,MATCH($A390,PRODUCTOS!$A$6:$A$105,0))),1))</f>
        <v/>
      </c>
      <c r="J390" s="43" t="str">
        <f aca="false">IF(OR($A390="",$C390=""),"",$H390/$I390)</f>
        <v/>
      </c>
      <c r="K390" s="34" t="str">
        <f aca="false">IF(OR($A390="",$C390=""),"",SUMIFS(VENTAS!$E$6:$E$2005,VENTAS!$C$6:$C$2005,$A390))</f>
        <v/>
      </c>
      <c r="L390" s="45" t="str">
        <f aca="false">IF(OR($A390="",$C390=""),"",IFERROR(N($F390)/INDEX(INSUMOS!$I$6:$I$205,MATCH($C390,INSUMOS!$A$6:$A$205,0)),N($F390))/$I390*$K390)</f>
        <v/>
      </c>
      <c r="M390" s="8" t="str">
        <f aca="false">IF($A390="","",COUNTIF($A$6:$A390,$A390))</f>
        <v/>
      </c>
      <c r="N390" s="8" t="str">
        <f aca="false">IF($A390="","",$A390&amp;"|"&amp;$M390)</f>
        <v/>
      </c>
    </row>
    <row r="391" customFormat="false" ht="15" hidden="false" customHeight="false" outlineLevel="0" collapsed="false">
      <c r="A391" s="6"/>
      <c r="B391" s="8" t="str">
        <f aca="false">IF($A391="","",IFERROR(INDEX(PRODUCTOS!$B$6:$B$105,MATCH($A391,PRODUCTOS!$A$6:$A$105,0)),"¿Código?"))</f>
        <v/>
      </c>
      <c r="C391" s="6"/>
      <c r="D391" s="8" t="str">
        <f aca="false">IF($C391="","",IFERROR(INDEX(INSUMOS!$B$6:$B$205,MATCH($C391,INSUMOS!$A$6:$A$205,0)),"¿Código?"))</f>
        <v/>
      </c>
      <c r="E391" s="8" t="str">
        <f aca="false">IF($C391="","",IFERROR(INDEX(INSUMOS!$D$6:$D$205,MATCH($C391,INSUMOS!$A$6:$A$205,0)),""))</f>
        <v/>
      </c>
      <c r="F391" s="39"/>
      <c r="G391" s="43" t="str">
        <f aca="false">IF(OR($A391="",$C391=""),"",IFERROR(INDEX(INSUMOS!$P$6:$P$205,MATCH($C391,INSUMOS!$A$6:$A$205,0)),0))</f>
        <v/>
      </c>
      <c r="H391" s="43" t="str">
        <f aca="false">IF(OR($A391="",$C391=""),"",N($F391)*$G391)</f>
        <v/>
      </c>
      <c r="I391" s="34" t="str">
        <f aca="false">IF(OR($A391="",$C391=""),"",IFERROR(MAX(1,INDEX(PRODUCTOS!$G$6:$G$105,MATCH($A391,PRODUCTOS!$A$6:$A$105,0))),1))</f>
        <v/>
      </c>
      <c r="J391" s="43" t="str">
        <f aca="false">IF(OR($A391="",$C391=""),"",$H391/$I391)</f>
        <v/>
      </c>
      <c r="K391" s="34" t="str">
        <f aca="false">IF(OR($A391="",$C391=""),"",SUMIFS(VENTAS!$E$6:$E$2005,VENTAS!$C$6:$C$2005,$A391))</f>
        <v/>
      </c>
      <c r="L391" s="45" t="str">
        <f aca="false">IF(OR($A391="",$C391=""),"",IFERROR(N($F391)/INDEX(INSUMOS!$I$6:$I$205,MATCH($C391,INSUMOS!$A$6:$A$205,0)),N($F391))/$I391*$K391)</f>
        <v/>
      </c>
      <c r="M391" s="8" t="str">
        <f aca="false">IF($A391="","",COUNTIF($A$6:$A391,$A391))</f>
        <v/>
      </c>
      <c r="N391" s="8" t="str">
        <f aca="false">IF($A391="","",$A391&amp;"|"&amp;$M391)</f>
        <v/>
      </c>
    </row>
    <row r="392" customFormat="false" ht="15" hidden="false" customHeight="false" outlineLevel="0" collapsed="false">
      <c r="A392" s="6"/>
      <c r="B392" s="8" t="str">
        <f aca="false">IF($A392="","",IFERROR(INDEX(PRODUCTOS!$B$6:$B$105,MATCH($A392,PRODUCTOS!$A$6:$A$105,0)),"¿Código?"))</f>
        <v/>
      </c>
      <c r="C392" s="6"/>
      <c r="D392" s="8" t="str">
        <f aca="false">IF($C392="","",IFERROR(INDEX(INSUMOS!$B$6:$B$205,MATCH($C392,INSUMOS!$A$6:$A$205,0)),"¿Código?"))</f>
        <v/>
      </c>
      <c r="E392" s="8" t="str">
        <f aca="false">IF($C392="","",IFERROR(INDEX(INSUMOS!$D$6:$D$205,MATCH($C392,INSUMOS!$A$6:$A$205,0)),""))</f>
        <v/>
      </c>
      <c r="F392" s="39"/>
      <c r="G392" s="43" t="str">
        <f aca="false">IF(OR($A392="",$C392=""),"",IFERROR(INDEX(INSUMOS!$P$6:$P$205,MATCH($C392,INSUMOS!$A$6:$A$205,0)),0))</f>
        <v/>
      </c>
      <c r="H392" s="43" t="str">
        <f aca="false">IF(OR($A392="",$C392=""),"",N($F392)*$G392)</f>
        <v/>
      </c>
      <c r="I392" s="34" t="str">
        <f aca="false">IF(OR($A392="",$C392=""),"",IFERROR(MAX(1,INDEX(PRODUCTOS!$G$6:$G$105,MATCH($A392,PRODUCTOS!$A$6:$A$105,0))),1))</f>
        <v/>
      </c>
      <c r="J392" s="43" t="str">
        <f aca="false">IF(OR($A392="",$C392=""),"",$H392/$I392)</f>
        <v/>
      </c>
      <c r="K392" s="34" t="str">
        <f aca="false">IF(OR($A392="",$C392=""),"",SUMIFS(VENTAS!$E$6:$E$2005,VENTAS!$C$6:$C$2005,$A392))</f>
        <v/>
      </c>
      <c r="L392" s="45" t="str">
        <f aca="false">IF(OR($A392="",$C392=""),"",IFERROR(N($F392)/INDEX(INSUMOS!$I$6:$I$205,MATCH($C392,INSUMOS!$A$6:$A$205,0)),N($F392))/$I392*$K392)</f>
        <v/>
      </c>
      <c r="M392" s="8" t="str">
        <f aca="false">IF($A392="","",COUNTIF($A$6:$A392,$A392))</f>
        <v/>
      </c>
      <c r="N392" s="8" t="str">
        <f aca="false">IF($A392="","",$A392&amp;"|"&amp;$M392)</f>
        <v/>
      </c>
    </row>
    <row r="393" customFormat="false" ht="15" hidden="false" customHeight="false" outlineLevel="0" collapsed="false">
      <c r="A393" s="6"/>
      <c r="B393" s="8" t="str">
        <f aca="false">IF($A393="","",IFERROR(INDEX(PRODUCTOS!$B$6:$B$105,MATCH($A393,PRODUCTOS!$A$6:$A$105,0)),"¿Código?"))</f>
        <v/>
      </c>
      <c r="C393" s="6"/>
      <c r="D393" s="8" t="str">
        <f aca="false">IF($C393="","",IFERROR(INDEX(INSUMOS!$B$6:$B$205,MATCH($C393,INSUMOS!$A$6:$A$205,0)),"¿Código?"))</f>
        <v/>
      </c>
      <c r="E393" s="8" t="str">
        <f aca="false">IF($C393="","",IFERROR(INDEX(INSUMOS!$D$6:$D$205,MATCH($C393,INSUMOS!$A$6:$A$205,0)),""))</f>
        <v/>
      </c>
      <c r="F393" s="39"/>
      <c r="G393" s="43" t="str">
        <f aca="false">IF(OR($A393="",$C393=""),"",IFERROR(INDEX(INSUMOS!$P$6:$P$205,MATCH($C393,INSUMOS!$A$6:$A$205,0)),0))</f>
        <v/>
      </c>
      <c r="H393" s="43" t="str">
        <f aca="false">IF(OR($A393="",$C393=""),"",N($F393)*$G393)</f>
        <v/>
      </c>
      <c r="I393" s="34" t="str">
        <f aca="false">IF(OR($A393="",$C393=""),"",IFERROR(MAX(1,INDEX(PRODUCTOS!$G$6:$G$105,MATCH($A393,PRODUCTOS!$A$6:$A$105,0))),1))</f>
        <v/>
      </c>
      <c r="J393" s="43" t="str">
        <f aca="false">IF(OR($A393="",$C393=""),"",$H393/$I393)</f>
        <v/>
      </c>
      <c r="K393" s="34" t="str">
        <f aca="false">IF(OR($A393="",$C393=""),"",SUMIFS(VENTAS!$E$6:$E$2005,VENTAS!$C$6:$C$2005,$A393))</f>
        <v/>
      </c>
      <c r="L393" s="45" t="str">
        <f aca="false">IF(OR($A393="",$C393=""),"",IFERROR(N($F393)/INDEX(INSUMOS!$I$6:$I$205,MATCH($C393,INSUMOS!$A$6:$A$205,0)),N($F393))/$I393*$K393)</f>
        <v/>
      </c>
      <c r="M393" s="8" t="str">
        <f aca="false">IF($A393="","",COUNTIF($A$6:$A393,$A393))</f>
        <v/>
      </c>
      <c r="N393" s="8" t="str">
        <f aca="false">IF($A393="","",$A393&amp;"|"&amp;$M393)</f>
        <v/>
      </c>
    </row>
    <row r="394" customFormat="false" ht="15" hidden="false" customHeight="false" outlineLevel="0" collapsed="false">
      <c r="A394" s="6"/>
      <c r="B394" s="8" t="str">
        <f aca="false">IF($A394="","",IFERROR(INDEX(PRODUCTOS!$B$6:$B$105,MATCH($A394,PRODUCTOS!$A$6:$A$105,0)),"¿Código?"))</f>
        <v/>
      </c>
      <c r="C394" s="6"/>
      <c r="D394" s="8" t="str">
        <f aca="false">IF($C394="","",IFERROR(INDEX(INSUMOS!$B$6:$B$205,MATCH($C394,INSUMOS!$A$6:$A$205,0)),"¿Código?"))</f>
        <v/>
      </c>
      <c r="E394" s="8" t="str">
        <f aca="false">IF($C394="","",IFERROR(INDEX(INSUMOS!$D$6:$D$205,MATCH($C394,INSUMOS!$A$6:$A$205,0)),""))</f>
        <v/>
      </c>
      <c r="F394" s="39"/>
      <c r="G394" s="43" t="str">
        <f aca="false">IF(OR($A394="",$C394=""),"",IFERROR(INDEX(INSUMOS!$P$6:$P$205,MATCH($C394,INSUMOS!$A$6:$A$205,0)),0))</f>
        <v/>
      </c>
      <c r="H394" s="43" t="str">
        <f aca="false">IF(OR($A394="",$C394=""),"",N($F394)*$G394)</f>
        <v/>
      </c>
      <c r="I394" s="34" t="str">
        <f aca="false">IF(OR($A394="",$C394=""),"",IFERROR(MAX(1,INDEX(PRODUCTOS!$G$6:$G$105,MATCH($A394,PRODUCTOS!$A$6:$A$105,0))),1))</f>
        <v/>
      </c>
      <c r="J394" s="43" t="str">
        <f aca="false">IF(OR($A394="",$C394=""),"",$H394/$I394)</f>
        <v/>
      </c>
      <c r="K394" s="34" t="str">
        <f aca="false">IF(OR($A394="",$C394=""),"",SUMIFS(VENTAS!$E$6:$E$2005,VENTAS!$C$6:$C$2005,$A394))</f>
        <v/>
      </c>
      <c r="L394" s="45" t="str">
        <f aca="false">IF(OR($A394="",$C394=""),"",IFERROR(N($F394)/INDEX(INSUMOS!$I$6:$I$205,MATCH($C394,INSUMOS!$A$6:$A$205,0)),N($F394))/$I394*$K394)</f>
        <v/>
      </c>
      <c r="M394" s="8" t="str">
        <f aca="false">IF($A394="","",COUNTIF($A$6:$A394,$A394))</f>
        <v/>
      </c>
      <c r="N394" s="8" t="str">
        <f aca="false">IF($A394="","",$A394&amp;"|"&amp;$M394)</f>
        <v/>
      </c>
    </row>
    <row r="395" customFormat="false" ht="15" hidden="false" customHeight="false" outlineLevel="0" collapsed="false">
      <c r="A395" s="6"/>
      <c r="B395" s="8" t="str">
        <f aca="false">IF($A395="","",IFERROR(INDEX(PRODUCTOS!$B$6:$B$105,MATCH($A395,PRODUCTOS!$A$6:$A$105,0)),"¿Código?"))</f>
        <v/>
      </c>
      <c r="C395" s="6"/>
      <c r="D395" s="8" t="str">
        <f aca="false">IF($C395="","",IFERROR(INDEX(INSUMOS!$B$6:$B$205,MATCH($C395,INSUMOS!$A$6:$A$205,0)),"¿Código?"))</f>
        <v/>
      </c>
      <c r="E395" s="8" t="str">
        <f aca="false">IF($C395="","",IFERROR(INDEX(INSUMOS!$D$6:$D$205,MATCH($C395,INSUMOS!$A$6:$A$205,0)),""))</f>
        <v/>
      </c>
      <c r="F395" s="39"/>
      <c r="G395" s="43" t="str">
        <f aca="false">IF(OR($A395="",$C395=""),"",IFERROR(INDEX(INSUMOS!$P$6:$P$205,MATCH($C395,INSUMOS!$A$6:$A$205,0)),0))</f>
        <v/>
      </c>
      <c r="H395" s="43" t="str">
        <f aca="false">IF(OR($A395="",$C395=""),"",N($F395)*$G395)</f>
        <v/>
      </c>
      <c r="I395" s="34" t="str">
        <f aca="false">IF(OR($A395="",$C395=""),"",IFERROR(MAX(1,INDEX(PRODUCTOS!$G$6:$G$105,MATCH($A395,PRODUCTOS!$A$6:$A$105,0))),1))</f>
        <v/>
      </c>
      <c r="J395" s="43" t="str">
        <f aca="false">IF(OR($A395="",$C395=""),"",$H395/$I395)</f>
        <v/>
      </c>
      <c r="K395" s="34" t="str">
        <f aca="false">IF(OR($A395="",$C395=""),"",SUMIFS(VENTAS!$E$6:$E$2005,VENTAS!$C$6:$C$2005,$A395))</f>
        <v/>
      </c>
      <c r="L395" s="45" t="str">
        <f aca="false">IF(OR($A395="",$C395=""),"",IFERROR(N($F395)/INDEX(INSUMOS!$I$6:$I$205,MATCH($C395,INSUMOS!$A$6:$A$205,0)),N($F395))/$I395*$K395)</f>
        <v/>
      </c>
      <c r="M395" s="8" t="str">
        <f aca="false">IF($A395="","",COUNTIF($A$6:$A395,$A395))</f>
        <v/>
      </c>
      <c r="N395" s="8" t="str">
        <f aca="false">IF($A395="","",$A395&amp;"|"&amp;$M395)</f>
        <v/>
      </c>
    </row>
    <row r="396" customFormat="false" ht="15" hidden="false" customHeight="false" outlineLevel="0" collapsed="false">
      <c r="A396" s="6"/>
      <c r="B396" s="8" t="str">
        <f aca="false">IF($A396="","",IFERROR(INDEX(PRODUCTOS!$B$6:$B$105,MATCH($A396,PRODUCTOS!$A$6:$A$105,0)),"¿Código?"))</f>
        <v/>
      </c>
      <c r="C396" s="6"/>
      <c r="D396" s="8" t="str">
        <f aca="false">IF($C396="","",IFERROR(INDEX(INSUMOS!$B$6:$B$205,MATCH($C396,INSUMOS!$A$6:$A$205,0)),"¿Código?"))</f>
        <v/>
      </c>
      <c r="E396" s="8" t="str">
        <f aca="false">IF($C396="","",IFERROR(INDEX(INSUMOS!$D$6:$D$205,MATCH($C396,INSUMOS!$A$6:$A$205,0)),""))</f>
        <v/>
      </c>
      <c r="F396" s="39"/>
      <c r="G396" s="43" t="str">
        <f aca="false">IF(OR($A396="",$C396=""),"",IFERROR(INDEX(INSUMOS!$P$6:$P$205,MATCH($C396,INSUMOS!$A$6:$A$205,0)),0))</f>
        <v/>
      </c>
      <c r="H396" s="43" t="str">
        <f aca="false">IF(OR($A396="",$C396=""),"",N($F396)*$G396)</f>
        <v/>
      </c>
      <c r="I396" s="34" t="str">
        <f aca="false">IF(OR($A396="",$C396=""),"",IFERROR(MAX(1,INDEX(PRODUCTOS!$G$6:$G$105,MATCH($A396,PRODUCTOS!$A$6:$A$105,0))),1))</f>
        <v/>
      </c>
      <c r="J396" s="43" t="str">
        <f aca="false">IF(OR($A396="",$C396=""),"",$H396/$I396)</f>
        <v/>
      </c>
      <c r="K396" s="34" t="str">
        <f aca="false">IF(OR($A396="",$C396=""),"",SUMIFS(VENTAS!$E$6:$E$2005,VENTAS!$C$6:$C$2005,$A396))</f>
        <v/>
      </c>
      <c r="L396" s="45" t="str">
        <f aca="false">IF(OR($A396="",$C396=""),"",IFERROR(N($F396)/INDEX(INSUMOS!$I$6:$I$205,MATCH($C396,INSUMOS!$A$6:$A$205,0)),N($F396))/$I396*$K396)</f>
        <v/>
      </c>
      <c r="M396" s="8" t="str">
        <f aca="false">IF($A396="","",COUNTIF($A$6:$A396,$A396))</f>
        <v/>
      </c>
      <c r="N396" s="8" t="str">
        <f aca="false">IF($A396="","",$A396&amp;"|"&amp;$M396)</f>
        <v/>
      </c>
    </row>
    <row r="397" customFormat="false" ht="15" hidden="false" customHeight="false" outlineLevel="0" collapsed="false">
      <c r="A397" s="6"/>
      <c r="B397" s="8" t="str">
        <f aca="false">IF($A397="","",IFERROR(INDEX(PRODUCTOS!$B$6:$B$105,MATCH($A397,PRODUCTOS!$A$6:$A$105,0)),"¿Código?"))</f>
        <v/>
      </c>
      <c r="C397" s="6"/>
      <c r="D397" s="8" t="str">
        <f aca="false">IF($C397="","",IFERROR(INDEX(INSUMOS!$B$6:$B$205,MATCH($C397,INSUMOS!$A$6:$A$205,0)),"¿Código?"))</f>
        <v/>
      </c>
      <c r="E397" s="8" t="str">
        <f aca="false">IF($C397="","",IFERROR(INDEX(INSUMOS!$D$6:$D$205,MATCH($C397,INSUMOS!$A$6:$A$205,0)),""))</f>
        <v/>
      </c>
      <c r="F397" s="39"/>
      <c r="G397" s="43" t="str">
        <f aca="false">IF(OR($A397="",$C397=""),"",IFERROR(INDEX(INSUMOS!$P$6:$P$205,MATCH($C397,INSUMOS!$A$6:$A$205,0)),0))</f>
        <v/>
      </c>
      <c r="H397" s="43" t="str">
        <f aca="false">IF(OR($A397="",$C397=""),"",N($F397)*$G397)</f>
        <v/>
      </c>
      <c r="I397" s="34" t="str">
        <f aca="false">IF(OR($A397="",$C397=""),"",IFERROR(MAX(1,INDEX(PRODUCTOS!$G$6:$G$105,MATCH($A397,PRODUCTOS!$A$6:$A$105,0))),1))</f>
        <v/>
      </c>
      <c r="J397" s="43" t="str">
        <f aca="false">IF(OR($A397="",$C397=""),"",$H397/$I397)</f>
        <v/>
      </c>
      <c r="K397" s="34" t="str">
        <f aca="false">IF(OR($A397="",$C397=""),"",SUMIFS(VENTAS!$E$6:$E$2005,VENTAS!$C$6:$C$2005,$A397))</f>
        <v/>
      </c>
      <c r="L397" s="45" t="str">
        <f aca="false">IF(OR($A397="",$C397=""),"",IFERROR(N($F397)/INDEX(INSUMOS!$I$6:$I$205,MATCH($C397,INSUMOS!$A$6:$A$205,0)),N($F397))/$I397*$K397)</f>
        <v/>
      </c>
      <c r="M397" s="8" t="str">
        <f aca="false">IF($A397="","",COUNTIF($A$6:$A397,$A397))</f>
        <v/>
      </c>
      <c r="N397" s="8" t="str">
        <f aca="false">IF($A397="","",$A397&amp;"|"&amp;$M397)</f>
        <v/>
      </c>
    </row>
    <row r="398" customFormat="false" ht="15" hidden="false" customHeight="false" outlineLevel="0" collapsed="false">
      <c r="A398" s="6"/>
      <c r="B398" s="8" t="str">
        <f aca="false">IF($A398="","",IFERROR(INDEX(PRODUCTOS!$B$6:$B$105,MATCH($A398,PRODUCTOS!$A$6:$A$105,0)),"¿Código?"))</f>
        <v/>
      </c>
      <c r="C398" s="6"/>
      <c r="D398" s="8" t="str">
        <f aca="false">IF($C398="","",IFERROR(INDEX(INSUMOS!$B$6:$B$205,MATCH($C398,INSUMOS!$A$6:$A$205,0)),"¿Código?"))</f>
        <v/>
      </c>
      <c r="E398" s="8" t="str">
        <f aca="false">IF($C398="","",IFERROR(INDEX(INSUMOS!$D$6:$D$205,MATCH($C398,INSUMOS!$A$6:$A$205,0)),""))</f>
        <v/>
      </c>
      <c r="F398" s="39"/>
      <c r="G398" s="43" t="str">
        <f aca="false">IF(OR($A398="",$C398=""),"",IFERROR(INDEX(INSUMOS!$P$6:$P$205,MATCH($C398,INSUMOS!$A$6:$A$205,0)),0))</f>
        <v/>
      </c>
      <c r="H398" s="43" t="str">
        <f aca="false">IF(OR($A398="",$C398=""),"",N($F398)*$G398)</f>
        <v/>
      </c>
      <c r="I398" s="34" t="str">
        <f aca="false">IF(OR($A398="",$C398=""),"",IFERROR(MAX(1,INDEX(PRODUCTOS!$G$6:$G$105,MATCH($A398,PRODUCTOS!$A$6:$A$105,0))),1))</f>
        <v/>
      </c>
      <c r="J398" s="43" t="str">
        <f aca="false">IF(OR($A398="",$C398=""),"",$H398/$I398)</f>
        <v/>
      </c>
      <c r="K398" s="34" t="str">
        <f aca="false">IF(OR($A398="",$C398=""),"",SUMIFS(VENTAS!$E$6:$E$2005,VENTAS!$C$6:$C$2005,$A398))</f>
        <v/>
      </c>
      <c r="L398" s="45" t="str">
        <f aca="false">IF(OR($A398="",$C398=""),"",IFERROR(N($F398)/INDEX(INSUMOS!$I$6:$I$205,MATCH($C398,INSUMOS!$A$6:$A$205,0)),N($F398))/$I398*$K398)</f>
        <v/>
      </c>
      <c r="M398" s="8" t="str">
        <f aca="false">IF($A398="","",COUNTIF($A$6:$A398,$A398))</f>
        <v/>
      </c>
      <c r="N398" s="8" t="str">
        <f aca="false">IF($A398="","",$A398&amp;"|"&amp;$M398)</f>
        <v/>
      </c>
    </row>
    <row r="399" customFormat="false" ht="15" hidden="false" customHeight="false" outlineLevel="0" collapsed="false">
      <c r="A399" s="6"/>
      <c r="B399" s="8" t="str">
        <f aca="false">IF($A399="","",IFERROR(INDEX(PRODUCTOS!$B$6:$B$105,MATCH($A399,PRODUCTOS!$A$6:$A$105,0)),"¿Código?"))</f>
        <v/>
      </c>
      <c r="C399" s="6"/>
      <c r="D399" s="8" t="str">
        <f aca="false">IF($C399="","",IFERROR(INDEX(INSUMOS!$B$6:$B$205,MATCH($C399,INSUMOS!$A$6:$A$205,0)),"¿Código?"))</f>
        <v/>
      </c>
      <c r="E399" s="8" t="str">
        <f aca="false">IF($C399="","",IFERROR(INDEX(INSUMOS!$D$6:$D$205,MATCH($C399,INSUMOS!$A$6:$A$205,0)),""))</f>
        <v/>
      </c>
      <c r="F399" s="39"/>
      <c r="G399" s="43" t="str">
        <f aca="false">IF(OR($A399="",$C399=""),"",IFERROR(INDEX(INSUMOS!$P$6:$P$205,MATCH($C399,INSUMOS!$A$6:$A$205,0)),0))</f>
        <v/>
      </c>
      <c r="H399" s="43" t="str">
        <f aca="false">IF(OR($A399="",$C399=""),"",N($F399)*$G399)</f>
        <v/>
      </c>
      <c r="I399" s="34" t="str">
        <f aca="false">IF(OR($A399="",$C399=""),"",IFERROR(MAX(1,INDEX(PRODUCTOS!$G$6:$G$105,MATCH($A399,PRODUCTOS!$A$6:$A$105,0))),1))</f>
        <v/>
      </c>
      <c r="J399" s="43" t="str">
        <f aca="false">IF(OR($A399="",$C399=""),"",$H399/$I399)</f>
        <v/>
      </c>
      <c r="K399" s="34" t="str">
        <f aca="false">IF(OR($A399="",$C399=""),"",SUMIFS(VENTAS!$E$6:$E$2005,VENTAS!$C$6:$C$2005,$A399))</f>
        <v/>
      </c>
      <c r="L399" s="45" t="str">
        <f aca="false">IF(OR($A399="",$C399=""),"",IFERROR(N($F399)/INDEX(INSUMOS!$I$6:$I$205,MATCH($C399,INSUMOS!$A$6:$A$205,0)),N($F399))/$I399*$K399)</f>
        <v/>
      </c>
      <c r="M399" s="8" t="str">
        <f aca="false">IF($A399="","",COUNTIF($A$6:$A399,$A399))</f>
        <v/>
      </c>
      <c r="N399" s="8" t="str">
        <f aca="false">IF($A399="","",$A399&amp;"|"&amp;$M399)</f>
        <v/>
      </c>
    </row>
    <row r="400" customFormat="false" ht="15" hidden="false" customHeight="false" outlineLevel="0" collapsed="false">
      <c r="A400" s="6"/>
      <c r="B400" s="8" t="str">
        <f aca="false">IF($A400="","",IFERROR(INDEX(PRODUCTOS!$B$6:$B$105,MATCH($A400,PRODUCTOS!$A$6:$A$105,0)),"¿Código?"))</f>
        <v/>
      </c>
      <c r="C400" s="6"/>
      <c r="D400" s="8" t="str">
        <f aca="false">IF($C400="","",IFERROR(INDEX(INSUMOS!$B$6:$B$205,MATCH($C400,INSUMOS!$A$6:$A$205,0)),"¿Código?"))</f>
        <v/>
      </c>
      <c r="E400" s="8" t="str">
        <f aca="false">IF($C400="","",IFERROR(INDEX(INSUMOS!$D$6:$D$205,MATCH($C400,INSUMOS!$A$6:$A$205,0)),""))</f>
        <v/>
      </c>
      <c r="F400" s="39"/>
      <c r="G400" s="43" t="str">
        <f aca="false">IF(OR($A400="",$C400=""),"",IFERROR(INDEX(INSUMOS!$P$6:$P$205,MATCH($C400,INSUMOS!$A$6:$A$205,0)),0))</f>
        <v/>
      </c>
      <c r="H400" s="43" t="str">
        <f aca="false">IF(OR($A400="",$C400=""),"",N($F400)*$G400)</f>
        <v/>
      </c>
      <c r="I400" s="34" t="str">
        <f aca="false">IF(OR($A400="",$C400=""),"",IFERROR(MAX(1,INDEX(PRODUCTOS!$G$6:$G$105,MATCH($A400,PRODUCTOS!$A$6:$A$105,0))),1))</f>
        <v/>
      </c>
      <c r="J400" s="43" t="str">
        <f aca="false">IF(OR($A400="",$C400=""),"",$H400/$I400)</f>
        <v/>
      </c>
      <c r="K400" s="34" t="str">
        <f aca="false">IF(OR($A400="",$C400=""),"",SUMIFS(VENTAS!$E$6:$E$2005,VENTAS!$C$6:$C$2005,$A400))</f>
        <v/>
      </c>
      <c r="L400" s="45" t="str">
        <f aca="false">IF(OR($A400="",$C400=""),"",IFERROR(N($F400)/INDEX(INSUMOS!$I$6:$I$205,MATCH($C400,INSUMOS!$A$6:$A$205,0)),N($F400))/$I400*$K400)</f>
        <v/>
      </c>
      <c r="M400" s="8" t="str">
        <f aca="false">IF($A400="","",COUNTIF($A$6:$A400,$A400))</f>
        <v/>
      </c>
      <c r="N400" s="8" t="str">
        <f aca="false">IF($A400="","",$A400&amp;"|"&amp;$M400)</f>
        <v/>
      </c>
    </row>
    <row r="401" customFormat="false" ht="15" hidden="false" customHeight="false" outlineLevel="0" collapsed="false">
      <c r="A401" s="6"/>
      <c r="B401" s="8" t="str">
        <f aca="false">IF($A401="","",IFERROR(INDEX(PRODUCTOS!$B$6:$B$105,MATCH($A401,PRODUCTOS!$A$6:$A$105,0)),"¿Código?"))</f>
        <v/>
      </c>
      <c r="C401" s="6"/>
      <c r="D401" s="8" t="str">
        <f aca="false">IF($C401="","",IFERROR(INDEX(INSUMOS!$B$6:$B$205,MATCH($C401,INSUMOS!$A$6:$A$205,0)),"¿Código?"))</f>
        <v/>
      </c>
      <c r="E401" s="8" t="str">
        <f aca="false">IF($C401="","",IFERROR(INDEX(INSUMOS!$D$6:$D$205,MATCH($C401,INSUMOS!$A$6:$A$205,0)),""))</f>
        <v/>
      </c>
      <c r="F401" s="39"/>
      <c r="G401" s="43" t="str">
        <f aca="false">IF(OR($A401="",$C401=""),"",IFERROR(INDEX(INSUMOS!$P$6:$P$205,MATCH($C401,INSUMOS!$A$6:$A$205,0)),0))</f>
        <v/>
      </c>
      <c r="H401" s="43" t="str">
        <f aca="false">IF(OR($A401="",$C401=""),"",N($F401)*$G401)</f>
        <v/>
      </c>
      <c r="I401" s="34" t="str">
        <f aca="false">IF(OR($A401="",$C401=""),"",IFERROR(MAX(1,INDEX(PRODUCTOS!$G$6:$G$105,MATCH($A401,PRODUCTOS!$A$6:$A$105,0))),1))</f>
        <v/>
      </c>
      <c r="J401" s="43" t="str">
        <f aca="false">IF(OR($A401="",$C401=""),"",$H401/$I401)</f>
        <v/>
      </c>
      <c r="K401" s="34" t="str">
        <f aca="false">IF(OR($A401="",$C401=""),"",SUMIFS(VENTAS!$E$6:$E$2005,VENTAS!$C$6:$C$2005,$A401))</f>
        <v/>
      </c>
      <c r="L401" s="45" t="str">
        <f aca="false">IF(OR($A401="",$C401=""),"",IFERROR(N($F401)/INDEX(INSUMOS!$I$6:$I$205,MATCH($C401,INSUMOS!$A$6:$A$205,0)),N($F401))/$I401*$K401)</f>
        <v/>
      </c>
      <c r="M401" s="8" t="str">
        <f aca="false">IF($A401="","",COUNTIF($A$6:$A401,$A401))</f>
        <v/>
      </c>
      <c r="N401" s="8" t="str">
        <f aca="false">IF($A401="","",$A401&amp;"|"&amp;$M401)</f>
        <v/>
      </c>
    </row>
    <row r="402" customFormat="false" ht="15" hidden="false" customHeight="false" outlineLevel="0" collapsed="false">
      <c r="A402" s="6"/>
      <c r="B402" s="8" t="str">
        <f aca="false">IF($A402="","",IFERROR(INDEX(PRODUCTOS!$B$6:$B$105,MATCH($A402,PRODUCTOS!$A$6:$A$105,0)),"¿Código?"))</f>
        <v/>
      </c>
      <c r="C402" s="6"/>
      <c r="D402" s="8" t="str">
        <f aca="false">IF($C402="","",IFERROR(INDEX(INSUMOS!$B$6:$B$205,MATCH($C402,INSUMOS!$A$6:$A$205,0)),"¿Código?"))</f>
        <v/>
      </c>
      <c r="E402" s="8" t="str">
        <f aca="false">IF($C402="","",IFERROR(INDEX(INSUMOS!$D$6:$D$205,MATCH($C402,INSUMOS!$A$6:$A$205,0)),""))</f>
        <v/>
      </c>
      <c r="F402" s="39"/>
      <c r="G402" s="43" t="str">
        <f aca="false">IF(OR($A402="",$C402=""),"",IFERROR(INDEX(INSUMOS!$P$6:$P$205,MATCH($C402,INSUMOS!$A$6:$A$205,0)),0))</f>
        <v/>
      </c>
      <c r="H402" s="43" t="str">
        <f aca="false">IF(OR($A402="",$C402=""),"",N($F402)*$G402)</f>
        <v/>
      </c>
      <c r="I402" s="34" t="str">
        <f aca="false">IF(OR($A402="",$C402=""),"",IFERROR(MAX(1,INDEX(PRODUCTOS!$G$6:$G$105,MATCH($A402,PRODUCTOS!$A$6:$A$105,0))),1))</f>
        <v/>
      </c>
      <c r="J402" s="43" t="str">
        <f aca="false">IF(OR($A402="",$C402=""),"",$H402/$I402)</f>
        <v/>
      </c>
      <c r="K402" s="34" t="str">
        <f aca="false">IF(OR($A402="",$C402=""),"",SUMIFS(VENTAS!$E$6:$E$2005,VENTAS!$C$6:$C$2005,$A402))</f>
        <v/>
      </c>
      <c r="L402" s="45" t="str">
        <f aca="false">IF(OR($A402="",$C402=""),"",IFERROR(N($F402)/INDEX(INSUMOS!$I$6:$I$205,MATCH($C402,INSUMOS!$A$6:$A$205,0)),N($F402))/$I402*$K402)</f>
        <v/>
      </c>
      <c r="M402" s="8" t="str">
        <f aca="false">IF($A402="","",COUNTIF($A$6:$A402,$A402))</f>
        <v/>
      </c>
      <c r="N402" s="8" t="str">
        <f aca="false">IF($A402="","",$A402&amp;"|"&amp;$M402)</f>
        <v/>
      </c>
    </row>
    <row r="403" customFormat="false" ht="15" hidden="false" customHeight="false" outlineLevel="0" collapsed="false">
      <c r="A403" s="6"/>
      <c r="B403" s="8" t="str">
        <f aca="false">IF($A403="","",IFERROR(INDEX(PRODUCTOS!$B$6:$B$105,MATCH($A403,PRODUCTOS!$A$6:$A$105,0)),"¿Código?"))</f>
        <v/>
      </c>
      <c r="C403" s="6"/>
      <c r="D403" s="8" t="str">
        <f aca="false">IF($C403="","",IFERROR(INDEX(INSUMOS!$B$6:$B$205,MATCH($C403,INSUMOS!$A$6:$A$205,0)),"¿Código?"))</f>
        <v/>
      </c>
      <c r="E403" s="8" t="str">
        <f aca="false">IF($C403="","",IFERROR(INDEX(INSUMOS!$D$6:$D$205,MATCH($C403,INSUMOS!$A$6:$A$205,0)),""))</f>
        <v/>
      </c>
      <c r="F403" s="39"/>
      <c r="G403" s="43" t="str">
        <f aca="false">IF(OR($A403="",$C403=""),"",IFERROR(INDEX(INSUMOS!$P$6:$P$205,MATCH($C403,INSUMOS!$A$6:$A$205,0)),0))</f>
        <v/>
      </c>
      <c r="H403" s="43" t="str">
        <f aca="false">IF(OR($A403="",$C403=""),"",N($F403)*$G403)</f>
        <v/>
      </c>
      <c r="I403" s="34" t="str">
        <f aca="false">IF(OR($A403="",$C403=""),"",IFERROR(MAX(1,INDEX(PRODUCTOS!$G$6:$G$105,MATCH($A403,PRODUCTOS!$A$6:$A$105,0))),1))</f>
        <v/>
      </c>
      <c r="J403" s="43" t="str">
        <f aca="false">IF(OR($A403="",$C403=""),"",$H403/$I403)</f>
        <v/>
      </c>
      <c r="K403" s="34" t="str">
        <f aca="false">IF(OR($A403="",$C403=""),"",SUMIFS(VENTAS!$E$6:$E$2005,VENTAS!$C$6:$C$2005,$A403))</f>
        <v/>
      </c>
      <c r="L403" s="45" t="str">
        <f aca="false">IF(OR($A403="",$C403=""),"",IFERROR(N($F403)/INDEX(INSUMOS!$I$6:$I$205,MATCH($C403,INSUMOS!$A$6:$A$205,0)),N($F403))/$I403*$K403)</f>
        <v/>
      </c>
      <c r="M403" s="8" t="str">
        <f aca="false">IF($A403="","",COUNTIF($A$6:$A403,$A403))</f>
        <v/>
      </c>
      <c r="N403" s="8" t="str">
        <f aca="false">IF($A403="","",$A403&amp;"|"&amp;$M403)</f>
        <v/>
      </c>
    </row>
    <row r="404" customFormat="false" ht="15" hidden="false" customHeight="false" outlineLevel="0" collapsed="false">
      <c r="A404" s="6"/>
      <c r="B404" s="8" t="str">
        <f aca="false">IF($A404="","",IFERROR(INDEX(PRODUCTOS!$B$6:$B$105,MATCH($A404,PRODUCTOS!$A$6:$A$105,0)),"¿Código?"))</f>
        <v/>
      </c>
      <c r="C404" s="6"/>
      <c r="D404" s="8" t="str">
        <f aca="false">IF($C404="","",IFERROR(INDEX(INSUMOS!$B$6:$B$205,MATCH($C404,INSUMOS!$A$6:$A$205,0)),"¿Código?"))</f>
        <v/>
      </c>
      <c r="E404" s="8" t="str">
        <f aca="false">IF($C404="","",IFERROR(INDEX(INSUMOS!$D$6:$D$205,MATCH($C404,INSUMOS!$A$6:$A$205,0)),""))</f>
        <v/>
      </c>
      <c r="F404" s="39"/>
      <c r="G404" s="43" t="str">
        <f aca="false">IF(OR($A404="",$C404=""),"",IFERROR(INDEX(INSUMOS!$P$6:$P$205,MATCH($C404,INSUMOS!$A$6:$A$205,0)),0))</f>
        <v/>
      </c>
      <c r="H404" s="43" t="str">
        <f aca="false">IF(OR($A404="",$C404=""),"",N($F404)*$G404)</f>
        <v/>
      </c>
      <c r="I404" s="34" t="str">
        <f aca="false">IF(OR($A404="",$C404=""),"",IFERROR(MAX(1,INDEX(PRODUCTOS!$G$6:$G$105,MATCH($A404,PRODUCTOS!$A$6:$A$105,0))),1))</f>
        <v/>
      </c>
      <c r="J404" s="43" t="str">
        <f aca="false">IF(OR($A404="",$C404=""),"",$H404/$I404)</f>
        <v/>
      </c>
      <c r="K404" s="34" t="str">
        <f aca="false">IF(OR($A404="",$C404=""),"",SUMIFS(VENTAS!$E$6:$E$2005,VENTAS!$C$6:$C$2005,$A404))</f>
        <v/>
      </c>
      <c r="L404" s="45" t="str">
        <f aca="false">IF(OR($A404="",$C404=""),"",IFERROR(N($F404)/INDEX(INSUMOS!$I$6:$I$205,MATCH($C404,INSUMOS!$A$6:$A$205,0)),N($F404))/$I404*$K404)</f>
        <v/>
      </c>
      <c r="M404" s="8" t="str">
        <f aca="false">IF($A404="","",COUNTIF($A$6:$A404,$A404))</f>
        <v/>
      </c>
      <c r="N404" s="8" t="str">
        <f aca="false">IF($A404="","",$A404&amp;"|"&amp;$M404)</f>
        <v/>
      </c>
    </row>
    <row r="405" customFormat="false" ht="15" hidden="false" customHeight="false" outlineLevel="0" collapsed="false">
      <c r="A405" s="6"/>
      <c r="B405" s="8" t="str">
        <f aca="false">IF($A405="","",IFERROR(INDEX(PRODUCTOS!$B$6:$B$105,MATCH($A405,PRODUCTOS!$A$6:$A$105,0)),"¿Código?"))</f>
        <v/>
      </c>
      <c r="C405" s="6"/>
      <c r="D405" s="8" t="str">
        <f aca="false">IF($C405="","",IFERROR(INDEX(INSUMOS!$B$6:$B$205,MATCH($C405,INSUMOS!$A$6:$A$205,0)),"¿Código?"))</f>
        <v/>
      </c>
      <c r="E405" s="8" t="str">
        <f aca="false">IF($C405="","",IFERROR(INDEX(INSUMOS!$D$6:$D$205,MATCH($C405,INSUMOS!$A$6:$A$205,0)),""))</f>
        <v/>
      </c>
      <c r="F405" s="39"/>
      <c r="G405" s="43" t="str">
        <f aca="false">IF(OR($A405="",$C405=""),"",IFERROR(INDEX(INSUMOS!$P$6:$P$205,MATCH($C405,INSUMOS!$A$6:$A$205,0)),0))</f>
        <v/>
      </c>
      <c r="H405" s="43" t="str">
        <f aca="false">IF(OR($A405="",$C405=""),"",N($F405)*$G405)</f>
        <v/>
      </c>
      <c r="I405" s="34" t="str">
        <f aca="false">IF(OR($A405="",$C405=""),"",IFERROR(MAX(1,INDEX(PRODUCTOS!$G$6:$G$105,MATCH($A405,PRODUCTOS!$A$6:$A$105,0))),1))</f>
        <v/>
      </c>
      <c r="J405" s="43" t="str">
        <f aca="false">IF(OR($A405="",$C405=""),"",$H405/$I405)</f>
        <v/>
      </c>
      <c r="K405" s="34" t="str">
        <f aca="false">IF(OR($A405="",$C405=""),"",SUMIFS(VENTAS!$E$6:$E$2005,VENTAS!$C$6:$C$2005,$A405))</f>
        <v/>
      </c>
      <c r="L405" s="45" t="str">
        <f aca="false">IF(OR($A405="",$C405=""),"",IFERROR(N($F405)/INDEX(INSUMOS!$I$6:$I$205,MATCH($C405,INSUMOS!$A$6:$A$205,0)),N($F405))/$I405*$K405)</f>
        <v/>
      </c>
      <c r="M405" s="8" t="str">
        <f aca="false">IF($A405="","",COUNTIF($A$6:$A405,$A405))</f>
        <v/>
      </c>
      <c r="N405" s="8" t="str">
        <f aca="false">IF($A405="","",$A405&amp;"|"&amp;$M405)</f>
        <v/>
      </c>
    </row>
    <row r="406" customFormat="false" ht="15" hidden="false" customHeight="false" outlineLevel="0" collapsed="false">
      <c r="A406" s="6"/>
      <c r="B406" s="8" t="str">
        <f aca="false">IF($A406="","",IFERROR(INDEX(PRODUCTOS!$B$6:$B$105,MATCH($A406,PRODUCTOS!$A$6:$A$105,0)),"¿Código?"))</f>
        <v/>
      </c>
      <c r="C406" s="6"/>
      <c r="D406" s="8" t="str">
        <f aca="false">IF($C406="","",IFERROR(INDEX(INSUMOS!$B$6:$B$205,MATCH($C406,INSUMOS!$A$6:$A$205,0)),"¿Código?"))</f>
        <v/>
      </c>
      <c r="E406" s="8" t="str">
        <f aca="false">IF($C406="","",IFERROR(INDEX(INSUMOS!$D$6:$D$205,MATCH($C406,INSUMOS!$A$6:$A$205,0)),""))</f>
        <v/>
      </c>
      <c r="F406" s="39"/>
      <c r="G406" s="43" t="str">
        <f aca="false">IF(OR($A406="",$C406=""),"",IFERROR(INDEX(INSUMOS!$P$6:$P$205,MATCH($C406,INSUMOS!$A$6:$A$205,0)),0))</f>
        <v/>
      </c>
      <c r="H406" s="43" t="str">
        <f aca="false">IF(OR($A406="",$C406=""),"",N($F406)*$G406)</f>
        <v/>
      </c>
      <c r="I406" s="34" t="str">
        <f aca="false">IF(OR($A406="",$C406=""),"",IFERROR(MAX(1,INDEX(PRODUCTOS!$G$6:$G$105,MATCH($A406,PRODUCTOS!$A$6:$A$105,0))),1))</f>
        <v/>
      </c>
      <c r="J406" s="43" t="str">
        <f aca="false">IF(OR($A406="",$C406=""),"",$H406/$I406)</f>
        <v/>
      </c>
      <c r="K406" s="34" t="str">
        <f aca="false">IF(OR($A406="",$C406=""),"",SUMIFS(VENTAS!$E$6:$E$2005,VENTAS!$C$6:$C$2005,$A406))</f>
        <v/>
      </c>
      <c r="L406" s="45" t="str">
        <f aca="false">IF(OR($A406="",$C406=""),"",IFERROR(N($F406)/INDEX(INSUMOS!$I$6:$I$205,MATCH($C406,INSUMOS!$A$6:$A$205,0)),N($F406))/$I406*$K406)</f>
        <v/>
      </c>
      <c r="M406" s="8" t="str">
        <f aca="false">IF($A406="","",COUNTIF($A$6:$A406,$A406))</f>
        <v/>
      </c>
      <c r="N406" s="8" t="str">
        <f aca="false">IF($A406="","",$A406&amp;"|"&amp;$M406)</f>
        <v/>
      </c>
    </row>
    <row r="407" customFormat="false" ht="15" hidden="false" customHeight="false" outlineLevel="0" collapsed="false">
      <c r="A407" s="6"/>
      <c r="B407" s="8" t="str">
        <f aca="false">IF($A407="","",IFERROR(INDEX(PRODUCTOS!$B$6:$B$105,MATCH($A407,PRODUCTOS!$A$6:$A$105,0)),"¿Código?"))</f>
        <v/>
      </c>
      <c r="C407" s="6"/>
      <c r="D407" s="8" t="str">
        <f aca="false">IF($C407="","",IFERROR(INDEX(INSUMOS!$B$6:$B$205,MATCH($C407,INSUMOS!$A$6:$A$205,0)),"¿Código?"))</f>
        <v/>
      </c>
      <c r="E407" s="8" t="str">
        <f aca="false">IF($C407="","",IFERROR(INDEX(INSUMOS!$D$6:$D$205,MATCH($C407,INSUMOS!$A$6:$A$205,0)),""))</f>
        <v/>
      </c>
      <c r="F407" s="39"/>
      <c r="G407" s="43" t="str">
        <f aca="false">IF(OR($A407="",$C407=""),"",IFERROR(INDEX(INSUMOS!$P$6:$P$205,MATCH($C407,INSUMOS!$A$6:$A$205,0)),0))</f>
        <v/>
      </c>
      <c r="H407" s="43" t="str">
        <f aca="false">IF(OR($A407="",$C407=""),"",N($F407)*$G407)</f>
        <v/>
      </c>
      <c r="I407" s="34" t="str">
        <f aca="false">IF(OR($A407="",$C407=""),"",IFERROR(MAX(1,INDEX(PRODUCTOS!$G$6:$G$105,MATCH($A407,PRODUCTOS!$A$6:$A$105,0))),1))</f>
        <v/>
      </c>
      <c r="J407" s="43" t="str">
        <f aca="false">IF(OR($A407="",$C407=""),"",$H407/$I407)</f>
        <v/>
      </c>
      <c r="K407" s="34" t="str">
        <f aca="false">IF(OR($A407="",$C407=""),"",SUMIFS(VENTAS!$E$6:$E$2005,VENTAS!$C$6:$C$2005,$A407))</f>
        <v/>
      </c>
      <c r="L407" s="45" t="str">
        <f aca="false">IF(OR($A407="",$C407=""),"",IFERROR(N($F407)/INDEX(INSUMOS!$I$6:$I$205,MATCH($C407,INSUMOS!$A$6:$A$205,0)),N($F407))/$I407*$K407)</f>
        <v/>
      </c>
      <c r="M407" s="8" t="str">
        <f aca="false">IF($A407="","",COUNTIF($A$6:$A407,$A407))</f>
        <v/>
      </c>
      <c r="N407" s="8" t="str">
        <f aca="false">IF($A407="","",$A407&amp;"|"&amp;$M407)</f>
        <v/>
      </c>
    </row>
    <row r="408" customFormat="false" ht="15" hidden="false" customHeight="false" outlineLevel="0" collapsed="false">
      <c r="A408" s="6"/>
      <c r="B408" s="8" t="str">
        <f aca="false">IF($A408="","",IFERROR(INDEX(PRODUCTOS!$B$6:$B$105,MATCH($A408,PRODUCTOS!$A$6:$A$105,0)),"¿Código?"))</f>
        <v/>
      </c>
      <c r="C408" s="6"/>
      <c r="D408" s="8" t="str">
        <f aca="false">IF($C408="","",IFERROR(INDEX(INSUMOS!$B$6:$B$205,MATCH($C408,INSUMOS!$A$6:$A$205,0)),"¿Código?"))</f>
        <v/>
      </c>
      <c r="E408" s="8" t="str">
        <f aca="false">IF($C408="","",IFERROR(INDEX(INSUMOS!$D$6:$D$205,MATCH($C408,INSUMOS!$A$6:$A$205,0)),""))</f>
        <v/>
      </c>
      <c r="F408" s="39"/>
      <c r="G408" s="43" t="str">
        <f aca="false">IF(OR($A408="",$C408=""),"",IFERROR(INDEX(INSUMOS!$P$6:$P$205,MATCH($C408,INSUMOS!$A$6:$A$205,0)),0))</f>
        <v/>
      </c>
      <c r="H408" s="43" t="str">
        <f aca="false">IF(OR($A408="",$C408=""),"",N($F408)*$G408)</f>
        <v/>
      </c>
      <c r="I408" s="34" t="str">
        <f aca="false">IF(OR($A408="",$C408=""),"",IFERROR(MAX(1,INDEX(PRODUCTOS!$G$6:$G$105,MATCH($A408,PRODUCTOS!$A$6:$A$105,0))),1))</f>
        <v/>
      </c>
      <c r="J408" s="43" t="str">
        <f aca="false">IF(OR($A408="",$C408=""),"",$H408/$I408)</f>
        <v/>
      </c>
      <c r="K408" s="34" t="str">
        <f aca="false">IF(OR($A408="",$C408=""),"",SUMIFS(VENTAS!$E$6:$E$2005,VENTAS!$C$6:$C$2005,$A408))</f>
        <v/>
      </c>
      <c r="L408" s="45" t="str">
        <f aca="false">IF(OR($A408="",$C408=""),"",IFERROR(N($F408)/INDEX(INSUMOS!$I$6:$I$205,MATCH($C408,INSUMOS!$A$6:$A$205,0)),N($F408))/$I408*$K408)</f>
        <v/>
      </c>
      <c r="M408" s="8" t="str">
        <f aca="false">IF($A408="","",COUNTIF($A$6:$A408,$A408))</f>
        <v/>
      </c>
      <c r="N408" s="8" t="str">
        <f aca="false">IF($A408="","",$A408&amp;"|"&amp;$M408)</f>
        <v/>
      </c>
    </row>
    <row r="409" customFormat="false" ht="15" hidden="false" customHeight="false" outlineLevel="0" collapsed="false">
      <c r="A409" s="6"/>
      <c r="B409" s="8" t="str">
        <f aca="false">IF($A409="","",IFERROR(INDEX(PRODUCTOS!$B$6:$B$105,MATCH($A409,PRODUCTOS!$A$6:$A$105,0)),"¿Código?"))</f>
        <v/>
      </c>
      <c r="C409" s="6"/>
      <c r="D409" s="8" t="str">
        <f aca="false">IF($C409="","",IFERROR(INDEX(INSUMOS!$B$6:$B$205,MATCH($C409,INSUMOS!$A$6:$A$205,0)),"¿Código?"))</f>
        <v/>
      </c>
      <c r="E409" s="8" t="str">
        <f aca="false">IF($C409="","",IFERROR(INDEX(INSUMOS!$D$6:$D$205,MATCH($C409,INSUMOS!$A$6:$A$205,0)),""))</f>
        <v/>
      </c>
      <c r="F409" s="39"/>
      <c r="G409" s="43" t="str">
        <f aca="false">IF(OR($A409="",$C409=""),"",IFERROR(INDEX(INSUMOS!$P$6:$P$205,MATCH($C409,INSUMOS!$A$6:$A$205,0)),0))</f>
        <v/>
      </c>
      <c r="H409" s="43" t="str">
        <f aca="false">IF(OR($A409="",$C409=""),"",N($F409)*$G409)</f>
        <v/>
      </c>
      <c r="I409" s="34" t="str">
        <f aca="false">IF(OR($A409="",$C409=""),"",IFERROR(MAX(1,INDEX(PRODUCTOS!$G$6:$G$105,MATCH($A409,PRODUCTOS!$A$6:$A$105,0))),1))</f>
        <v/>
      </c>
      <c r="J409" s="43" t="str">
        <f aca="false">IF(OR($A409="",$C409=""),"",$H409/$I409)</f>
        <v/>
      </c>
      <c r="K409" s="34" t="str">
        <f aca="false">IF(OR($A409="",$C409=""),"",SUMIFS(VENTAS!$E$6:$E$2005,VENTAS!$C$6:$C$2005,$A409))</f>
        <v/>
      </c>
      <c r="L409" s="45" t="str">
        <f aca="false">IF(OR($A409="",$C409=""),"",IFERROR(N($F409)/INDEX(INSUMOS!$I$6:$I$205,MATCH($C409,INSUMOS!$A$6:$A$205,0)),N($F409))/$I409*$K409)</f>
        <v/>
      </c>
      <c r="M409" s="8" t="str">
        <f aca="false">IF($A409="","",COUNTIF($A$6:$A409,$A409))</f>
        <v/>
      </c>
      <c r="N409" s="8" t="str">
        <f aca="false">IF($A409="","",$A409&amp;"|"&amp;$M409)</f>
        <v/>
      </c>
    </row>
    <row r="410" customFormat="false" ht="15" hidden="false" customHeight="false" outlineLevel="0" collapsed="false">
      <c r="A410" s="6"/>
      <c r="B410" s="8" t="str">
        <f aca="false">IF($A410="","",IFERROR(INDEX(PRODUCTOS!$B$6:$B$105,MATCH($A410,PRODUCTOS!$A$6:$A$105,0)),"¿Código?"))</f>
        <v/>
      </c>
      <c r="C410" s="6"/>
      <c r="D410" s="8" t="str">
        <f aca="false">IF($C410="","",IFERROR(INDEX(INSUMOS!$B$6:$B$205,MATCH($C410,INSUMOS!$A$6:$A$205,0)),"¿Código?"))</f>
        <v/>
      </c>
      <c r="E410" s="8" t="str">
        <f aca="false">IF($C410="","",IFERROR(INDEX(INSUMOS!$D$6:$D$205,MATCH($C410,INSUMOS!$A$6:$A$205,0)),""))</f>
        <v/>
      </c>
      <c r="F410" s="39"/>
      <c r="G410" s="43" t="str">
        <f aca="false">IF(OR($A410="",$C410=""),"",IFERROR(INDEX(INSUMOS!$P$6:$P$205,MATCH($C410,INSUMOS!$A$6:$A$205,0)),0))</f>
        <v/>
      </c>
      <c r="H410" s="43" t="str">
        <f aca="false">IF(OR($A410="",$C410=""),"",N($F410)*$G410)</f>
        <v/>
      </c>
      <c r="I410" s="34" t="str">
        <f aca="false">IF(OR($A410="",$C410=""),"",IFERROR(MAX(1,INDEX(PRODUCTOS!$G$6:$G$105,MATCH($A410,PRODUCTOS!$A$6:$A$105,0))),1))</f>
        <v/>
      </c>
      <c r="J410" s="43" t="str">
        <f aca="false">IF(OR($A410="",$C410=""),"",$H410/$I410)</f>
        <v/>
      </c>
      <c r="K410" s="34" t="str">
        <f aca="false">IF(OR($A410="",$C410=""),"",SUMIFS(VENTAS!$E$6:$E$2005,VENTAS!$C$6:$C$2005,$A410))</f>
        <v/>
      </c>
      <c r="L410" s="45" t="str">
        <f aca="false">IF(OR($A410="",$C410=""),"",IFERROR(N($F410)/INDEX(INSUMOS!$I$6:$I$205,MATCH($C410,INSUMOS!$A$6:$A$205,0)),N($F410))/$I410*$K410)</f>
        <v/>
      </c>
      <c r="M410" s="8" t="str">
        <f aca="false">IF($A410="","",COUNTIF($A$6:$A410,$A410))</f>
        <v/>
      </c>
      <c r="N410" s="8" t="str">
        <f aca="false">IF($A410="","",$A410&amp;"|"&amp;$M410)</f>
        <v/>
      </c>
    </row>
    <row r="411" customFormat="false" ht="15" hidden="false" customHeight="false" outlineLevel="0" collapsed="false">
      <c r="A411" s="6"/>
      <c r="B411" s="8" t="str">
        <f aca="false">IF($A411="","",IFERROR(INDEX(PRODUCTOS!$B$6:$B$105,MATCH($A411,PRODUCTOS!$A$6:$A$105,0)),"¿Código?"))</f>
        <v/>
      </c>
      <c r="C411" s="6"/>
      <c r="D411" s="8" t="str">
        <f aca="false">IF($C411="","",IFERROR(INDEX(INSUMOS!$B$6:$B$205,MATCH($C411,INSUMOS!$A$6:$A$205,0)),"¿Código?"))</f>
        <v/>
      </c>
      <c r="E411" s="8" t="str">
        <f aca="false">IF($C411="","",IFERROR(INDEX(INSUMOS!$D$6:$D$205,MATCH($C411,INSUMOS!$A$6:$A$205,0)),""))</f>
        <v/>
      </c>
      <c r="F411" s="39"/>
      <c r="G411" s="43" t="str">
        <f aca="false">IF(OR($A411="",$C411=""),"",IFERROR(INDEX(INSUMOS!$P$6:$P$205,MATCH($C411,INSUMOS!$A$6:$A$205,0)),0))</f>
        <v/>
      </c>
      <c r="H411" s="43" t="str">
        <f aca="false">IF(OR($A411="",$C411=""),"",N($F411)*$G411)</f>
        <v/>
      </c>
      <c r="I411" s="34" t="str">
        <f aca="false">IF(OR($A411="",$C411=""),"",IFERROR(MAX(1,INDEX(PRODUCTOS!$G$6:$G$105,MATCH($A411,PRODUCTOS!$A$6:$A$105,0))),1))</f>
        <v/>
      </c>
      <c r="J411" s="43" t="str">
        <f aca="false">IF(OR($A411="",$C411=""),"",$H411/$I411)</f>
        <v/>
      </c>
      <c r="K411" s="34" t="str">
        <f aca="false">IF(OR($A411="",$C411=""),"",SUMIFS(VENTAS!$E$6:$E$2005,VENTAS!$C$6:$C$2005,$A411))</f>
        <v/>
      </c>
      <c r="L411" s="45" t="str">
        <f aca="false">IF(OR($A411="",$C411=""),"",IFERROR(N($F411)/INDEX(INSUMOS!$I$6:$I$205,MATCH($C411,INSUMOS!$A$6:$A$205,0)),N($F411))/$I411*$K411)</f>
        <v/>
      </c>
      <c r="M411" s="8" t="str">
        <f aca="false">IF($A411="","",COUNTIF($A$6:$A411,$A411))</f>
        <v/>
      </c>
      <c r="N411" s="8" t="str">
        <f aca="false">IF($A411="","",$A411&amp;"|"&amp;$M411)</f>
        <v/>
      </c>
    </row>
    <row r="412" customFormat="false" ht="15" hidden="false" customHeight="false" outlineLevel="0" collapsed="false">
      <c r="A412" s="6"/>
      <c r="B412" s="8" t="str">
        <f aca="false">IF($A412="","",IFERROR(INDEX(PRODUCTOS!$B$6:$B$105,MATCH($A412,PRODUCTOS!$A$6:$A$105,0)),"¿Código?"))</f>
        <v/>
      </c>
      <c r="C412" s="6"/>
      <c r="D412" s="8" t="str">
        <f aca="false">IF($C412="","",IFERROR(INDEX(INSUMOS!$B$6:$B$205,MATCH($C412,INSUMOS!$A$6:$A$205,0)),"¿Código?"))</f>
        <v/>
      </c>
      <c r="E412" s="8" t="str">
        <f aca="false">IF($C412="","",IFERROR(INDEX(INSUMOS!$D$6:$D$205,MATCH($C412,INSUMOS!$A$6:$A$205,0)),""))</f>
        <v/>
      </c>
      <c r="F412" s="39"/>
      <c r="G412" s="43" t="str">
        <f aca="false">IF(OR($A412="",$C412=""),"",IFERROR(INDEX(INSUMOS!$P$6:$P$205,MATCH($C412,INSUMOS!$A$6:$A$205,0)),0))</f>
        <v/>
      </c>
      <c r="H412" s="43" t="str">
        <f aca="false">IF(OR($A412="",$C412=""),"",N($F412)*$G412)</f>
        <v/>
      </c>
      <c r="I412" s="34" t="str">
        <f aca="false">IF(OR($A412="",$C412=""),"",IFERROR(MAX(1,INDEX(PRODUCTOS!$G$6:$G$105,MATCH($A412,PRODUCTOS!$A$6:$A$105,0))),1))</f>
        <v/>
      </c>
      <c r="J412" s="43" t="str">
        <f aca="false">IF(OR($A412="",$C412=""),"",$H412/$I412)</f>
        <v/>
      </c>
      <c r="K412" s="34" t="str">
        <f aca="false">IF(OR($A412="",$C412=""),"",SUMIFS(VENTAS!$E$6:$E$2005,VENTAS!$C$6:$C$2005,$A412))</f>
        <v/>
      </c>
      <c r="L412" s="45" t="str">
        <f aca="false">IF(OR($A412="",$C412=""),"",IFERROR(N($F412)/INDEX(INSUMOS!$I$6:$I$205,MATCH($C412,INSUMOS!$A$6:$A$205,0)),N($F412))/$I412*$K412)</f>
        <v/>
      </c>
      <c r="M412" s="8" t="str">
        <f aca="false">IF($A412="","",COUNTIF($A$6:$A412,$A412))</f>
        <v/>
      </c>
      <c r="N412" s="8" t="str">
        <f aca="false">IF($A412="","",$A412&amp;"|"&amp;$M412)</f>
        <v/>
      </c>
    </row>
    <row r="413" customFormat="false" ht="15" hidden="false" customHeight="false" outlineLevel="0" collapsed="false">
      <c r="A413" s="6"/>
      <c r="B413" s="8" t="str">
        <f aca="false">IF($A413="","",IFERROR(INDEX(PRODUCTOS!$B$6:$B$105,MATCH($A413,PRODUCTOS!$A$6:$A$105,0)),"¿Código?"))</f>
        <v/>
      </c>
      <c r="C413" s="6"/>
      <c r="D413" s="8" t="str">
        <f aca="false">IF($C413="","",IFERROR(INDEX(INSUMOS!$B$6:$B$205,MATCH($C413,INSUMOS!$A$6:$A$205,0)),"¿Código?"))</f>
        <v/>
      </c>
      <c r="E413" s="8" t="str">
        <f aca="false">IF($C413="","",IFERROR(INDEX(INSUMOS!$D$6:$D$205,MATCH($C413,INSUMOS!$A$6:$A$205,0)),""))</f>
        <v/>
      </c>
      <c r="F413" s="39"/>
      <c r="G413" s="43" t="str">
        <f aca="false">IF(OR($A413="",$C413=""),"",IFERROR(INDEX(INSUMOS!$P$6:$P$205,MATCH($C413,INSUMOS!$A$6:$A$205,0)),0))</f>
        <v/>
      </c>
      <c r="H413" s="43" t="str">
        <f aca="false">IF(OR($A413="",$C413=""),"",N($F413)*$G413)</f>
        <v/>
      </c>
      <c r="I413" s="34" t="str">
        <f aca="false">IF(OR($A413="",$C413=""),"",IFERROR(MAX(1,INDEX(PRODUCTOS!$G$6:$G$105,MATCH($A413,PRODUCTOS!$A$6:$A$105,0))),1))</f>
        <v/>
      </c>
      <c r="J413" s="43" t="str">
        <f aca="false">IF(OR($A413="",$C413=""),"",$H413/$I413)</f>
        <v/>
      </c>
      <c r="K413" s="34" t="str">
        <f aca="false">IF(OR($A413="",$C413=""),"",SUMIFS(VENTAS!$E$6:$E$2005,VENTAS!$C$6:$C$2005,$A413))</f>
        <v/>
      </c>
      <c r="L413" s="45" t="str">
        <f aca="false">IF(OR($A413="",$C413=""),"",IFERROR(N($F413)/INDEX(INSUMOS!$I$6:$I$205,MATCH($C413,INSUMOS!$A$6:$A$205,0)),N($F413))/$I413*$K413)</f>
        <v/>
      </c>
      <c r="M413" s="8" t="str">
        <f aca="false">IF($A413="","",COUNTIF($A$6:$A413,$A413))</f>
        <v/>
      </c>
      <c r="N413" s="8" t="str">
        <f aca="false">IF($A413="","",$A413&amp;"|"&amp;$M413)</f>
        <v/>
      </c>
    </row>
    <row r="414" customFormat="false" ht="15" hidden="false" customHeight="false" outlineLevel="0" collapsed="false">
      <c r="A414" s="6"/>
      <c r="B414" s="8" t="str">
        <f aca="false">IF($A414="","",IFERROR(INDEX(PRODUCTOS!$B$6:$B$105,MATCH($A414,PRODUCTOS!$A$6:$A$105,0)),"¿Código?"))</f>
        <v/>
      </c>
      <c r="C414" s="6"/>
      <c r="D414" s="8" t="str">
        <f aca="false">IF($C414="","",IFERROR(INDEX(INSUMOS!$B$6:$B$205,MATCH($C414,INSUMOS!$A$6:$A$205,0)),"¿Código?"))</f>
        <v/>
      </c>
      <c r="E414" s="8" t="str">
        <f aca="false">IF($C414="","",IFERROR(INDEX(INSUMOS!$D$6:$D$205,MATCH($C414,INSUMOS!$A$6:$A$205,0)),""))</f>
        <v/>
      </c>
      <c r="F414" s="39"/>
      <c r="G414" s="43" t="str">
        <f aca="false">IF(OR($A414="",$C414=""),"",IFERROR(INDEX(INSUMOS!$P$6:$P$205,MATCH($C414,INSUMOS!$A$6:$A$205,0)),0))</f>
        <v/>
      </c>
      <c r="H414" s="43" t="str">
        <f aca="false">IF(OR($A414="",$C414=""),"",N($F414)*$G414)</f>
        <v/>
      </c>
      <c r="I414" s="34" t="str">
        <f aca="false">IF(OR($A414="",$C414=""),"",IFERROR(MAX(1,INDEX(PRODUCTOS!$G$6:$G$105,MATCH($A414,PRODUCTOS!$A$6:$A$105,0))),1))</f>
        <v/>
      </c>
      <c r="J414" s="43" t="str">
        <f aca="false">IF(OR($A414="",$C414=""),"",$H414/$I414)</f>
        <v/>
      </c>
      <c r="K414" s="34" t="str">
        <f aca="false">IF(OR($A414="",$C414=""),"",SUMIFS(VENTAS!$E$6:$E$2005,VENTAS!$C$6:$C$2005,$A414))</f>
        <v/>
      </c>
      <c r="L414" s="45" t="str">
        <f aca="false">IF(OR($A414="",$C414=""),"",IFERROR(N($F414)/INDEX(INSUMOS!$I$6:$I$205,MATCH($C414,INSUMOS!$A$6:$A$205,0)),N($F414))/$I414*$K414)</f>
        <v/>
      </c>
      <c r="M414" s="8" t="str">
        <f aca="false">IF($A414="","",COUNTIF($A$6:$A414,$A414))</f>
        <v/>
      </c>
      <c r="N414" s="8" t="str">
        <f aca="false">IF($A414="","",$A414&amp;"|"&amp;$M414)</f>
        <v/>
      </c>
    </row>
    <row r="415" customFormat="false" ht="15" hidden="false" customHeight="false" outlineLevel="0" collapsed="false">
      <c r="A415" s="6"/>
      <c r="B415" s="8" t="str">
        <f aca="false">IF($A415="","",IFERROR(INDEX(PRODUCTOS!$B$6:$B$105,MATCH($A415,PRODUCTOS!$A$6:$A$105,0)),"¿Código?"))</f>
        <v/>
      </c>
      <c r="C415" s="6"/>
      <c r="D415" s="8" t="str">
        <f aca="false">IF($C415="","",IFERROR(INDEX(INSUMOS!$B$6:$B$205,MATCH($C415,INSUMOS!$A$6:$A$205,0)),"¿Código?"))</f>
        <v/>
      </c>
      <c r="E415" s="8" t="str">
        <f aca="false">IF($C415="","",IFERROR(INDEX(INSUMOS!$D$6:$D$205,MATCH($C415,INSUMOS!$A$6:$A$205,0)),""))</f>
        <v/>
      </c>
      <c r="F415" s="39"/>
      <c r="G415" s="43" t="str">
        <f aca="false">IF(OR($A415="",$C415=""),"",IFERROR(INDEX(INSUMOS!$P$6:$P$205,MATCH($C415,INSUMOS!$A$6:$A$205,0)),0))</f>
        <v/>
      </c>
      <c r="H415" s="43" t="str">
        <f aca="false">IF(OR($A415="",$C415=""),"",N($F415)*$G415)</f>
        <v/>
      </c>
      <c r="I415" s="34" t="str">
        <f aca="false">IF(OR($A415="",$C415=""),"",IFERROR(MAX(1,INDEX(PRODUCTOS!$G$6:$G$105,MATCH($A415,PRODUCTOS!$A$6:$A$105,0))),1))</f>
        <v/>
      </c>
      <c r="J415" s="43" t="str">
        <f aca="false">IF(OR($A415="",$C415=""),"",$H415/$I415)</f>
        <v/>
      </c>
      <c r="K415" s="34" t="str">
        <f aca="false">IF(OR($A415="",$C415=""),"",SUMIFS(VENTAS!$E$6:$E$2005,VENTAS!$C$6:$C$2005,$A415))</f>
        <v/>
      </c>
      <c r="L415" s="45" t="str">
        <f aca="false">IF(OR($A415="",$C415=""),"",IFERROR(N($F415)/INDEX(INSUMOS!$I$6:$I$205,MATCH($C415,INSUMOS!$A$6:$A$205,0)),N($F415))/$I415*$K415)</f>
        <v/>
      </c>
      <c r="M415" s="8" t="str">
        <f aca="false">IF($A415="","",COUNTIF($A$6:$A415,$A415))</f>
        <v/>
      </c>
      <c r="N415" s="8" t="str">
        <f aca="false">IF($A415="","",$A415&amp;"|"&amp;$M415)</f>
        <v/>
      </c>
    </row>
    <row r="416" customFormat="false" ht="15" hidden="false" customHeight="false" outlineLevel="0" collapsed="false">
      <c r="A416" s="6"/>
      <c r="B416" s="8" t="str">
        <f aca="false">IF($A416="","",IFERROR(INDEX(PRODUCTOS!$B$6:$B$105,MATCH($A416,PRODUCTOS!$A$6:$A$105,0)),"¿Código?"))</f>
        <v/>
      </c>
      <c r="C416" s="6"/>
      <c r="D416" s="8" t="str">
        <f aca="false">IF($C416="","",IFERROR(INDEX(INSUMOS!$B$6:$B$205,MATCH($C416,INSUMOS!$A$6:$A$205,0)),"¿Código?"))</f>
        <v/>
      </c>
      <c r="E416" s="8" t="str">
        <f aca="false">IF($C416="","",IFERROR(INDEX(INSUMOS!$D$6:$D$205,MATCH($C416,INSUMOS!$A$6:$A$205,0)),""))</f>
        <v/>
      </c>
      <c r="F416" s="39"/>
      <c r="G416" s="43" t="str">
        <f aca="false">IF(OR($A416="",$C416=""),"",IFERROR(INDEX(INSUMOS!$P$6:$P$205,MATCH($C416,INSUMOS!$A$6:$A$205,0)),0))</f>
        <v/>
      </c>
      <c r="H416" s="43" t="str">
        <f aca="false">IF(OR($A416="",$C416=""),"",N($F416)*$G416)</f>
        <v/>
      </c>
      <c r="I416" s="34" t="str">
        <f aca="false">IF(OR($A416="",$C416=""),"",IFERROR(MAX(1,INDEX(PRODUCTOS!$G$6:$G$105,MATCH($A416,PRODUCTOS!$A$6:$A$105,0))),1))</f>
        <v/>
      </c>
      <c r="J416" s="43" t="str">
        <f aca="false">IF(OR($A416="",$C416=""),"",$H416/$I416)</f>
        <v/>
      </c>
      <c r="K416" s="34" t="str">
        <f aca="false">IF(OR($A416="",$C416=""),"",SUMIFS(VENTAS!$E$6:$E$2005,VENTAS!$C$6:$C$2005,$A416))</f>
        <v/>
      </c>
      <c r="L416" s="45" t="str">
        <f aca="false">IF(OR($A416="",$C416=""),"",IFERROR(N($F416)/INDEX(INSUMOS!$I$6:$I$205,MATCH($C416,INSUMOS!$A$6:$A$205,0)),N($F416))/$I416*$K416)</f>
        <v/>
      </c>
      <c r="M416" s="8" t="str">
        <f aca="false">IF($A416="","",COUNTIF($A$6:$A416,$A416))</f>
        <v/>
      </c>
      <c r="N416" s="8" t="str">
        <f aca="false">IF($A416="","",$A416&amp;"|"&amp;$M416)</f>
        <v/>
      </c>
    </row>
    <row r="417" customFormat="false" ht="15" hidden="false" customHeight="false" outlineLevel="0" collapsed="false">
      <c r="A417" s="6"/>
      <c r="B417" s="8" t="str">
        <f aca="false">IF($A417="","",IFERROR(INDEX(PRODUCTOS!$B$6:$B$105,MATCH($A417,PRODUCTOS!$A$6:$A$105,0)),"¿Código?"))</f>
        <v/>
      </c>
      <c r="C417" s="6"/>
      <c r="D417" s="8" t="str">
        <f aca="false">IF($C417="","",IFERROR(INDEX(INSUMOS!$B$6:$B$205,MATCH($C417,INSUMOS!$A$6:$A$205,0)),"¿Código?"))</f>
        <v/>
      </c>
      <c r="E417" s="8" t="str">
        <f aca="false">IF($C417="","",IFERROR(INDEX(INSUMOS!$D$6:$D$205,MATCH($C417,INSUMOS!$A$6:$A$205,0)),""))</f>
        <v/>
      </c>
      <c r="F417" s="39"/>
      <c r="G417" s="43" t="str">
        <f aca="false">IF(OR($A417="",$C417=""),"",IFERROR(INDEX(INSUMOS!$P$6:$P$205,MATCH($C417,INSUMOS!$A$6:$A$205,0)),0))</f>
        <v/>
      </c>
      <c r="H417" s="43" t="str">
        <f aca="false">IF(OR($A417="",$C417=""),"",N($F417)*$G417)</f>
        <v/>
      </c>
      <c r="I417" s="34" t="str">
        <f aca="false">IF(OR($A417="",$C417=""),"",IFERROR(MAX(1,INDEX(PRODUCTOS!$G$6:$G$105,MATCH($A417,PRODUCTOS!$A$6:$A$105,0))),1))</f>
        <v/>
      </c>
      <c r="J417" s="43" t="str">
        <f aca="false">IF(OR($A417="",$C417=""),"",$H417/$I417)</f>
        <v/>
      </c>
      <c r="K417" s="34" t="str">
        <f aca="false">IF(OR($A417="",$C417=""),"",SUMIFS(VENTAS!$E$6:$E$2005,VENTAS!$C$6:$C$2005,$A417))</f>
        <v/>
      </c>
      <c r="L417" s="45" t="str">
        <f aca="false">IF(OR($A417="",$C417=""),"",IFERROR(N($F417)/INDEX(INSUMOS!$I$6:$I$205,MATCH($C417,INSUMOS!$A$6:$A$205,0)),N($F417))/$I417*$K417)</f>
        <v/>
      </c>
      <c r="M417" s="8" t="str">
        <f aca="false">IF($A417="","",COUNTIF($A$6:$A417,$A417))</f>
        <v/>
      </c>
      <c r="N417" s="8" t="str">
        <f aca="false">IF($A417="","",$A417&amp;"|"&amp;$M417)</f>
        <v/>
      </c>
    </row>
    <row r="418" customFormat="false" ht="15" hidden="false" customHeight="false" outlineLevel="0" collapsed="false">
      <c r="A418" s="6"/>
      <c r="B418" s="8" t="str">
        <f aca="false">IF($A418="","",IFERROR(INDEX(PRODUCTOS!$B$6:$B$105,MATCH($A418,PRODUCTOS!$A$6:$A$105,0)),"¿Código?"))</f>
        <v/>
      </c>
      <c r="C418" s="6"/>
      <c r="D418" s="8" t="str">
        <f aca="false">IF($C418="","",IFERROR(INDEX(INSUMOS!$B$6:$B$205,MATCH($C418,INSUMOS!$A$6:$A$205,0)),"¿Código?"))</f>
        <v/>
      </c>
      <c r="E418" s="8" t="str">
        <f aca="false">IF($C418="","",IFERROR(INDEX(INSUMOS!$D$6:$D$205,MATCH($C418,INSUMOS!$A$6:$A$205,0)),""))</f>
        <v/>
      </c>
      <c r="F418" s="39"/>
      <c r="G418" s="43" t="str">
        <f aca="false">IF(OR($A418="",$C418=""),"",IFERROR(INDEX(INSUMOS!$P$6:$P$205,MATCH($C418,INSUMOS!$A$6:$A$205,0)),0))</f>
        <v/>
      </c>
      <c r="H418" s="43" t="str">
        <f aca="false">IF(OR($A418="",$C418=""),"",N($F418)*$G418)</f>
        <v/>
      </c>
      <c r="I418" s="34" t="str">
        <f aca="false">IF(OR($A418="",$C418=""),"",IFERROR(MAX(1,INDEX(PRODUCTOS!$G$6:$G$105,MATCH($A418,PRODUCTOS!$A$6:$A$105,0))),1))</f>
        <v/>
      </c>
      <c r="J418" s="43" t="str">
        <f aca="false">IF(OR($A418="",$C418=""),"",$H418/$I418)</f>
        <v/>
      </c>
      <c r="K418" s="34" t="str">
        <f aca="false">IF(OR($A418="",$C418=""),"",SUMIFS(VENTAS!$E$6:$E$2005,VENTAS!$C$6:$C$2005,$A418))</f>
        <v/>
      </c>
      <c r="L418" s="45" t="str">
        <f aca="false">IF(OR($A418="",$C418=""),"",IFERROR(N($F418)/INDEX(INSUMOS!$I$6:$I$205,MATCH($C418,INSUMOS!$A$6:$A$205,0)),N($F418))/$I418*$K418)</f>
        <v/>
      </c>
      <c r="M418" s="8" t="str">
        <f aca="false">IF($A418="","",COUNTIF($A$6:$A418,$A418))</f>
        <v/>
      </c>
      <c r="N418" s="8" t="str">
        <f aca="false">IF($A418="","",$A418&amp;"|"&amp;$M418)</f>
        <v/>
      </c>
    </row>
    <row r="419" customFormat="false" ht="15" hidden="false" customHeight="false" outlineLevel="0" collapsed="false">
      <c r="A419" s="6"/>
      <c r="B419" s="8" t="str">
        <f aca="false">IF($A419="","",IFERROR(INDEX(PRODUCTOS!$B$6:$B$105,MATCH($A419,PRODUCTOS!$A$6:$A$105,0)),"¿Código?"))</f>
        <v/>
      </c>
      <c r="C419" s="6"/>
      <c r="D419" s="8" t="str">
        <f aca="false">IF($C419="","",IFERROR(INDEX(INSUMOS!$B$6:$B$205,MATCH($C419,INSUMOS!$A$6:$A$205,0)),"¿Código?"))</f>
        <v/>
      </c>
      <c r="E419" s="8" t="str">
        <f aca="false">IF($C419="","",IFERROR(INDEX(INSUMOS!$D$6:$D$205,MATCH($C419,INSUMOS!$A$6:$A$205,0)),""))</f>
        <v/>
      </c>
      <c r="F419" s="39"/>
      <c r="G419" s="43" t="str">
        <f aca="false">IF(OR($A419="",$C419=""),"",IFERROR(INDEX(INSUMOS!$P$6:$P$205,MATCH($C419,INSUMOS!$A$6:$A$205,0)),0))</f>
        <v/>
      </c>
      <c r="H419" s="43" t="str">
        <f aca="false">IF(OR($A419="",$C419=""),"",N($F419)*$G419)</f>
        <v/>
      </c>
      <c r="I419" s="34" t="str">
        <f aca="false">IF(OR($A419="",$C419=""),"",IFERROR(MAX(1,INDEX(PRODUCTOS!$G$6:$G$105,MATCH($A419,PRODUCTOS!$A$6:$A$105,0))),1))</f>
        <v/>
      </c>
      <c r="J419" s="43" t="str">
        <f aca="false">IF(OR($A419="",$C419=""),"",$H419/$I419)</f>
        <v/>
      </c>
      <c r="K419" s="34" t="str">
        <f aca="false">IF(OR($A419="",$C419=""),"",SUMIFS(VENTAS!$E$6:$E$2005,VENTAS!$C$6:$C$2005,$A419))</f>
        <v/>
      </c>
      <c r="L419" s="45" t="str">
        <f aca="false">IF(OR($A419="",$C419=""),"",IFERROR(N($F419)/INDEX(INSUMOS!$I$6:$I$205,MATCH($C419,INSUMOS!$A$6:$A$205,0)),N($F419))/$I419*$K419)</f>
        <v/>
      </c>
      <c r="M419" s="8" t="str">
        <f aca="false">IF($A419="","",COUNTIF($A$6:$A419,$A419))</f>
        <v/>
      </c>
      <c r="N419" s="8" t="str">
        <f aca="false">IF($A419="","",$A419&amp;"|"&amp;$M419)</f>
        <v/>
      </c>
    </row>
    <row r="420" customFormat="false" ht="15" hidden="false" customHeight="false" outlineLevel="0" collapsed="false">
      <c r="A420" s="6"/>
      <c r="B420" s="8" t="str">
        <f aca="false">IF($A420="","",IFERROR(INDEX(PRODUCTOS!$B$6:$B$105,MATCH($A420,PRODUCTOS!$A$6:$A$105,0)),"¿Código?"))</f>
        <v/>
      </c>
      <c r="C420" s="6"/>
      <c r="D420" s="8" t="str">
        <f aca="false">IF($C420="","",IFERROR(INDEX(INSUMOS!$B$6:$B$205,MATCH($C420,INSUMOS!$A$6:$A$205,0)),"¿Código?"))</f>
        <v/>
      </c>
      <c r="E420" s="8" t="str">
        <f aca="false">IF($C420="","",IFERROR(INDEX(INSUMOS!$D$6:$D$205,MATCH($C420,INSUMOS!$A$6:$A$205,0)),""))</f>
        <v/>
      </c>
      <c r="F420" s="39"/>
      <c r="G420" s="43" t="str">
        <f aca="false">IF(OR($A420="",$C420=""),"",IFERROR(INDEX(INSUMOS!$P$6:$P$205,MATCH($C420,INSUMOS!$A$6:$A$205,0)),0))</f>
        <v/>
      </c>
      <c r="H420" s="43" t="str">
        <f aca="false">IF(OR($A420="",$C420=""),"",N($F420)*$G420)</f>
        <v/>
      </c>
      <c r="I420" s="34" t="str">
        <f aca="false">IF(OR($A420="",$C420=""),"",IFERROR(MAX(1,INDEX(PRODUCTOS!$G$6:$G$105,MATCH($A420,PRODUCTOS!$A$6:$A$105,0))),1))</f>
        <v/>
      </c>
      <c r="J420" s="43" t="str">
        <f aca="false">IF(OR($A420="",$C420=""),"",$H420/$I420)</f>
        <v/>
      </c>
      <c r="K420" s="34" t="str">
        <f aca="false">IF(OR($A420="",$C420=""),"",SUMIFS(VENTAS!$E$6:$E$2005,VENTAS!$C$6:$C$2005,$A420))</f>
        <v/>
      </c>
      <c r="L420" s="45" t="str">
        <f aca="false">IF(OR($A420="",$C420=""),"",IFERROR(N($F420)/INDEX(INSUMOS!$I$6:$I$205,MATCH($C420,INSUMOS!$A$6:$A$205,0)),N($F420))/$I420*$K420)</f>
        <v/>
      </c>
      <c r="M420" s="8" t="str">
        <f aca="false">IF($A420="","",COUNTIF($A$6:$A420,$A420))</f>
        <v/>
      </c>
      <c r="N420" s="8" t="str">
        <f aca="false">IF($A420="","",$A420&amp;"|"&amp;$M420)</f>
        <v/>
      </c>
    </row>
    <row r="421" customFormat="false" ht="15" hidden="false" customHeight="false" outlineLevel="0" collapsed="false">
      <c r="A421" s="6"/>
      <c r="B421" s="8" t="str">
        <f aca="false">IF($A421="","",IFERROR(INDEX(PRODUCTOS!$B$6:$B$105,MATCH($A421,PRODUCTOS!$A$6:$A$105,0)),"¿Código?"))</f>
        <v/>
      </c>
      <c r="C421" s="6"/>
      <c r="D421" s="8" t="str">
        <f aca="false">IF($C421="","",IFERROR(INDEX(INSUMOS!$B$6:$B$205,MATCH($C421,INSUMOS!$A$6:$A$205,0)),"¿Código?"))</f>
        <v/>
      </c>
      <c r="E421" s="8" t="str">
        <f aca="false">IF($C421="","",IFERROR(INDEX(INSUMOS!$D$6:$D$205,MATCH($C421,INSUMOS!$A$6:$A$205,0)),""))</f>
        <v/>
      </c>
      <c r="F421" s="39"/>
      <c r="G421" s="43" t="str">
        <f aca="false">IF(OR($A421="",$C421=""),"",IFERROR(INDEX(INSUMOS!$P$6:$P$205,MATCH($C421,INSUMOS!$A$6:$A$205,0)),0))</f>
        <v/>
      </c>
      <c r="H421" s="43" t="str">
        <f aca="false">IF(OR($A421="",$C421=""),"",N($F421)*$G421)</f>
        <v/>
      </c>
      <c r="I421" s="34" t="str">
        <f aca="false">IF(OR($A421="",$C421=""),"",IFERROR(MAX(1,INDEX(PRODUCTOS!$G$6:$G$105,MATCH($A421,PRODUCTOS!$A$6:$A$105,0))),1))</f>
        <v/>
      </c>
      <c r="J421" s="43" t="str">
        <f aca="false">IF(OR($A421="",$C421=""),"",$H421/$I421)</f>
        <v/>
      </c>
      <c r="K421" s="34" t="str">
        <f aca="false">IF(OR($A421="",$C421=""),"",SUMIFS(VENTAS!$E$6:$E$2005,VENTAS!$C$6:$C$2005,$A421))</f>
        <v/>
      </c>
      <c r="L421" s="45" t="str">
        <f aca="false">IF(OR($A421="",$C421=""),"",IFERROR(N($F421)/INDEX(INSUMOS!$I$6:$I$205,MATCH($C421,INSUMOS!$A$6:$A$205,0)),N($F421))/$I421*$K421)</f>
        <v/>
      </c>
      <c r="M421" s="8" t="str">
        <f aca="false">IF($A421="","",COUNTIF($A$6:$A421,$A421))</f>
        <v/>
      </c>
      <c r="N421" s="8" t="str">
        <f aca="false">IF($A421="","",$A421&amp;"|"&amp;$M421)</f>
        <v/>
      </c>
    </row>
    <row r="422" customFormat="false" ht="15" hidden="false" customHeight="false" outlineLevel="0" collapsed="false">
      <c r="A422" s="6"/>
      <c r="B422" s="8" t="str">
        <f aca="false">IF($A422="","",IFERROR(INDEX(PRODUCTOS!$B$6:$B$105,MATCH($A422,PRODUCTOS!$A$6:$A$105,0)),"¿Código?"))</f>
        <v/>
      </c>
      <c r="C422" s="6"/>
      <c r="D422" s="8" t="str">
        <f aca="false">IF($C422="","",IFERROR(INDEX(INSUMOS!$B$6:$B$205,MATCH($C422,INSUMOS!$A$6:$A$205,0)),"¿Código?"))</f>
        <v/>
      </c>
      <c r="E422" s="8" t="str">
        <f aca="false">IF($C422="","",IFERROR(INDEX(INSUMOS!$D$6:$D$205,MATCH($C422,INSUMOS!$A$6:$A$205,0)),""))</f>
        <v/>
      </c>
      <c r="F422" s="39"/>
      <c r="G422" s="43" t="str">
        <f aca="false">IF(OR($A422="",$C422=""),"",IFERROR(INDEX(INSUMOS!$P$6:$P$205,MATCH($C422,INSUMOS!$A$6:$A$205,0)),0))</f>
        <v/>
      </c>
      <c r="H422" s="43" t="str">
        <f aca="false">IF(OR($A422="",$C422=""),"",N($F422)*$G422)</f>
        <v/>
      </c>
      <c r="I422" s="34" t="str">
        <f aca="false">IF(OR($A422="",$C422=""),"",IFERROR(MAX(1,INDEX(PRODUCTOS!$G$6:$G$105,MATCH($A422,PRODUCTOS!$A$6:$A$105,0))),1))</f>
        <v/>
      </c>
      <c r="J422" s="43" t="str">
        <f aca="false">IF(OR($A422="",$C422=""),"",$H422/$I422)</f>
        <v/>
      </c>
      <c r="K422" s="34" t="str">
        <f aca="false">IF(OR($A422="",$C422=""),"",SUMIFS(VENTAS!$E$6:$E$2005,VENTAS!$C$6:$C$2005,$A422))</f>
        <v/>
      </c>
      <c r="L422" s="45" t="str">
        <f aca="false">IF(OR($A422="",$C422=""),"",IFERROR(N($F422)/INDEX(INSUMOS!$I$6:$I$205,MATCH($C422,INSUMOS!$A$6:$A$205,0)),N($F422))/$I422*$K422)</f>
        <v/>
      </c>
      <c r="M422" s="8" t="str">
        <f aca="false">IF($A422="","",COUNTIF($A$6:$A422,$A422))</f>
        <v/>
      </c>
      <c r="N422" s="8" t="str">
        <f aca="false">IF($A422="","",$A422&amp;"|"&amp;$M422)</f>
        <v/>
      </c>
    </row>
    <row r="423" customFormat="false" ht="15" hidden="false" customHeight="false" outlineLevel="0" collapsed="false">
      <c r="A423" s="6"/>
      <c r="B423" s="8" t="str">
        <f aca="false">IF($A423="","",IFERROR(INDEX(PRODUCTOS!$B$6:$B$105,MATCH($A423,PRODUCTOS!$A$6:$A$105,0)),"¿Código?"))</f>
        <v/>
      </c>
      <c r="C423" s="6"/>
      <c r="D423" s="8" t="str">
        <f aca="false">IF($C423="","",IFERROR(INDEX(INSUMOS!$B$6:$B$205,MATCH($C423,INSUMOS!$A$6:$A$205,0)),"¿Código?"))</f>
        <v/>
      </c>
      <c r="E423" s="8" t="str">
        <f aca="false">IF($C423="","",IFERROR(INDEX(INSUMOS!$D$6:$D$205,MATCH($C423,INSUMOS!$A$6:$A$205,0)),""))</f>
        <v/>
      </c>
      <c r="F423" s="39"/>
      <c r="G423" s="43" t="str">
        <f aca="false">IF(OR($A423="",$C423=""),"",IFERROR(INDEX(INSUMOS!$P$6:$P$205,MATCH($C423,INSUMOS!$A$6:$A$205,0)),0))</f>
        <v/>
      </c>
      <c r="H423" s="43" t="str">
        <f aca="false">IF(OR($A423="",$C423=""),"",N($F423)*$G423)</f>
        <v/>
      </c>
      <c r="I423" s="34" t="str">
        <f aca="false">IF(OR($A423="",$C423=""),"",IFERROR(MAX(1,INDEX(PRODUCTOS!$G$6:$G$105,MATCH($A423,PRODUCTOS!$A$6:$A$105,0))),1))</f>
        <v/>
      </c>
      <c r="J423" s="43" t="str">
        <f aca="false">IF(OR($A423="",$C423=""),"",$H423/$I423)</f>
        <v/>
      </c>
      <c r="K423" s="34" t="str">
        <f aca="false">IF(OR($A423="",$C423=""),"",SUMIFS(VENTAS!$E$6:$E$2005,VENTAS!$C$6:$C$2005,$A423))</f>
        <v/>
      </c>
      <c r="L423" s="45" t="str">
        <f aca="false">IF(OR($A423="",$C423=""),"",IFERROR(N($F423)/INDEX(INSUMOS!$I$6:$I$205,MATCH($C423,INSUMOS!$A$6:$A$205,0)),N($F423))/$I423*$K423)</f>
        <v/>
      </c>
      <c r="M423" s="8" t="str">
        <f aca="false">IF($A423="","",COUNTIF($A$6:$A423,$A423))</f>
        <v/>
      </c>
      <c r="N423" s="8" t="str">
        <f aca="false">IF($A423="","",$A423&amp;"|"&amp;$M423)</f>
        <v/>
      </c>
    </row>
    <row r="424" customFormat="false" ht="15" hidden="false" customHeight="false" outlineLevel="0" collapsed="false">
      <c r="A424" s="6"/>
      <c r="B424" s="8" t="str">
        <f aca="false">IF($A424="","",IFERROR(INDEX(PRODUCTOS!$B$6:$B$105,MATCH($A424,PRODUCTOS!$A$6:$A$105,0)),"¿Código?"))</f>
        <v/>
      </c>
      <c r="C424" s="6"/>
      <c r="D424" s="8" t="str">
        <f aca="false">IF($C424="","",IFERROR(INDEX(INSUMOS!$B$6:$B$205,MATCH($C424,INSUMOS!$A$6:$A$205,0)),"¿Código?"))</f>
        <v/>
      </c>
      <c r="E424" s="8" t="str">
        <f aca="false">IF($C424="","",IFERROR(INDEX(INSUMOS!$D$6:$D$205,MATCH($C424,INSUMOS!$A$6:$A$205,0)),""))</f>
        <v/>
      </c>
      <c r="F424" s="39"/>
      <c r="G424" s="43" t="str">
        <f aca="false">IF(OR($A424="",$C424=""),"",IFERROR(INDEX(INSUMOS!$P$6:$P$205,MATCH($C424,INSUMOS!$A$6:$A$205,0)),0))</f>
        <v/>
      </c>
      <c r="H424" s="43" t="str">
        <f aca="false">IF(OR($A424="",$C424=""),"",N($F424)*$G424)</f>
        <v/>
      </c>
      <c r="I424" s="34" t="str">
        <f aca="false">IF(OR($A424="",$C424=""),"",IFERROR(MAX(1,INDEX(PRODUCTOS!$G$6:$G$105,MATCH($A424,PRODUCTOS!$A$6:$A$105,0))),1))</f>
        <v/>
      </c>
      <c r="J424" s="43" t="str">
        <f aca="false">IF(OR($A424="",$C424=""),"",$H424/$I424)</f>
        <v/>
      </c>
      <c r="K424" s="34" t="str">
        <f aca="false">IF(OR($A424="",$C424=""),"",SUMIFS(VENTAS!$E$6:$E$2005,VENTAS!$C$6:$C$2005,$A424))</f>
        <v/>
      </c>
      <c r="L424" s="45" t="str">
        <f aca="false">IF(OR($A424="",$C424=""),"",IFERROR(N($F424)/INDEX(INSUMOS!$I$6:$I$205,MATCH($C424,INSUMOS!$A$6:$A$205,0)),N($F424))/$I424*$K424)</f>
        <v/>
      </c>
      <c r="M424" s="8" t="str">
        <f aca="false">IF($A424="","",COUNTIF($A$6:$A424,$A424))</f>
        <v/>
      </c>
      <c r="N424" s="8" t="str">
        <f aca="false">IF($A424="","",$A424&amp;"|"&amp;$M424)</f>
        <v/>
      </c>
    </row>
    <row r="425" customFormat="false" ht="15" hidden="false" customHeight="false" outlineLevel="0" collapsed="false">
      <c r="A425" s="6"/>
      <c r="B425" s="8" t="str">
        <f aca="false">IF($A425="","",IFERROR(INDEX(PRODUCTOS!$B$6:$B$105,MATCH($A425,PRODUCTOS!$A$6:$A$105,0)),"¿Código?"))</f>
        <v/>
      </c>
      <c r="C425" s="6"/>
      <c r="D425" s="8" t="str">
        <f aca="false">IF($C425="","",IFERROR(INDEX(INSUMOS!$B$6:$B$205,MATCH($C425,INSUMOS!$A$6:$A$205,0)),"¿Código?"))</f>
        <v/>
      </c>
      <c r="E425" s="8" t="str">
        <f aca="false">IF($C425="","",IFERROR(INDEX(INSUMOS!$D$6:$D$205,MATCH($C425,INSUMOS!$A$6:$A$205,0)),""))</f>
        <v/>
      </c>
      <c r="F425" s="39"/>
      <c r="G425" s="43" t="str">
        <f aca="false">IF(OR($A425="",$C425=""),"",IFERROR(INDEX(INSUMOS!$P$6:$P$205,MATCH($C425,INSUMOS!$A$6:$A$205,0)),0))</f>
        <v/>
      </c>
      <c r="H425" s="43" t="str">
        <f aca="false">IF(OR($A425="",$C425=""),"",N($F425)*$G425)</f>
        <v/>
      </c>
      <c r="I425" s="34" t="str">
        <f aca="false">IF(OR($A425="",$C425=""),"",IFERROR(MAX(1,INDEX(PRODUCTOS!$G$6:$G$105,MATCH($A425,PRODUCTOS!$A$6:$A$105,0))),1))</f>
        <v/>
      </c>
      <c r="J425" s="43" t="str">
        <f aca="false">IF(OR($A425="",$C425=""),"",$H425/$I425)</f>
        <v/>
      </c>
      <c r="K425" s="34" t="str">
        <f aca="false">IF(OR($A425="",$C425=""),"",SUMIFS(VENTAS!$E$6:$E$2005,VENTAS!$C$6:$C$2005,$A425))</f>
        <v/>
      </c>
      <c r="L425" s="45" t="str">
        <f aca="false">IF(OR($A425="",$C425=""),"",IFERROR(N($F425)/INDEX(INSUMOS!$I$6:$I$205,MATCH($C425,INSUMOS!$A$6:$A$205,0)),N($F425))/$I425*$K425)</f>
        <v/>
      </c>
      <c r="M425" s="8" t="str">
        <f aca="false">IF($A425="","",COUNTIF($A$6:$A425,$A425))</f>
        <v/>
      </c>
      <c r="N425" s="8" t="str">
        <f aca="false">IF($A425="","",$A425&amp;"|"&amp;$M425)</f>
        <v/>
      </c>
    </row>
    <row r="426" customFormat="false" ht="15" hidden="false" customHeight="false" outlineLevel="0" collapsed="false">
      <c r="A426" s="6"/>
      <c r="B426" s="8" t="str">
        <f aca="false">IF($A426="","",IFERROR(INDEX(PRODUCTOS!$B$6:$B$105,MATCH($A426,PRODUCTOS!$A$6:$A$105,0)),"¿Código?"))</f>
        <v/>
      </c>
      <c r="C426" s="6"/>
      <c r="D426" s="8" t="str">
        <f aca="false">IF($C426="","",IFERROR(INDEX(INSUMOS!$B$6:$B$205,MATCH($C426,INSUMOS!$A$6:$A$205,0)),"¿Código?"))</f>
        <v/>
      </c>
      <c r="E426" s="8" t="str">
        <f aca="false">IF($C426="","",IFERROR(INDEX(INSUMOS!$D$6:$D$205,MATCH($C426,INSUMOS!$A$6:$A$205,0)),""))</f>
        <v/>
      </c>
      <c r="F426" s="39"/>
      <c r="G426" s="43" t="str">
        <f aca="false">IF(OR($A426="",$C426=""),"",IFERROR(INDEX(INSUMOS!$P$6:$P$205,MATCH($C426,INSUMOS!$A$6:$A$205,0)),0))</f>
        <v/>
      </c>
      <c r="H426" s="43" t="str">
        <f aca="false">IF(OR($A426="",$C426=""),"",N($F426)*$G426)</f>
        <v/>
      </c>
      <c r="I426" s="34" t="str">
        <f aca="false">IF(OR($A426="",$C426=""),"",IFERROR(MAX(1,INDEX(PRODUCTOS!$G$6:$G$105,MATCH($A426,PRODUCTOS!$A$6:$A$105,0))),1))</f>
        <v/>
      </c>
      <c r="J426" s="43" t="str">
        <f aca="false">IF(OR($A426="",$C426=""),"",$H426/$I426)</f>
        <v/>
      </c>
      <c r="K426" s="34" t="str">
        <f aca="false">IF(OR($A426="",$C426=""),"",SUMIFS(VENTAS!$E$6:$E$2005,VENTAS!$C$6:$C$2005,$A426))</f>
        <v/>
      </c>
      <c r="L426" s="45" t="str">
        <f aca="false">IF(OR($A426="",$C426=""),"",IFERROR(N($F426)/INDEX(INSUMOS!$I$6:$I$205,MATCH($C426,INSUMOS!$A$6:$A$205,0)),N($F426))/$I426*$K426)</f>
        <v/>
      </c>
      <c r="M426" s="8" t="str">
        <f aca="false">IF($A426="","",COUNTIF($A$6:$A426,$A426))</f>
        <v/>
      </c>
      <c r="N426" s="8" t="str">
        <f aca="false">IF($A426="","",$A426&amp;"|"&amp;$M426)</f>
        <v/>
      </c>
    </row>
    <row r="427" customFormat="false" ht="15" hidden="false" customHeight="false" outlineLevel="0" collapsed="false">
      <c r="A427" s="6"/>
      <c r="B427" s="8" t="str">
        <f aca="false">IF($A427="","",IFERROR(INDEX(PRODUCTOS!$B$6:$B$105,MATCH($A427,PRODUCTOS!$A$6:$A$105,0)),"¿Código?"))</f>
        <v/>
      </c>
      <c r="C427" s="6"/>
      <c r="D427" s="8" t="str">
        <f aca="false">IF($C427="","",IFERROR(INDEX(INSUMOS!$B$6:$B$205,MATCH($C427,INSUMOS!$A$6:$A$205,0)),"¿Código?"))</f>
        <v/>
      </c>
      <c r="E427" s="8" t="str">
        <f aca="false">IF($C427="","",IFERROR(INDEX(INSUMOS!$D$6:$D$205,MATCH($C427,INSUMOS!$A$6:$A$205,0)),""))</f>
        <v/>
      </c>
      <c r="F427" s="39"/>
      <c r="G427" s="43" t="str">
        <f aca="false">IF(OR($A427="",$C427=""),"",IFERROR(INDEX(INSUMOS!$P$6:$P$205,MATCH($C427,INSUMOS!$A$6:$A$205,0)),0))</f>
        <v/>
      </c>
      <c r="H427" s="43" t="str">
        <f aca="false">IF(OR($A427="",$C427=""),"",N($F427)*$G427)</f>
        <v/>
      </c>
      <c r="I427" s="34" t="str">
        <f aca="false">IF(OR($A427="",$C427=""),"",IFERROR(MAX(1,INDEX(PRODUCTOS!$G$6:$G$105,MATCH($A427,PRODUCTOS!$A$6:$A$105,0))),1))</f>
        <v/>
      </c>
      <c r="J427" s="43" t="str">
        <f aca="false">IF(OR($A427="",$C427=""),"",$H427/$I427)</f>
        <v/>
      </c>
      <c r="K427" s="34" t="str">
        <f aca="false">IF(OR($A427="",$C427=""),"",SUMIFS(VENTAS!$E$6:$E$2005,VENTAS!$C$6:$C$2005,$A427))</f>
        <v/>
      </c>
      <c r="L427" s="45" t="str">
        <f aca="false">IF(OR($A427="",$C427=""),"",IFERROR(N($F427)/INDEX(INSUMOS!$I$6:$I$205,MATCH($C427,INSUMOS!$A$6:$A$205,0)),N($F427))/$I427*$K427)</f>
        <v/>
      </c>
      <c r="M427" s="8" t="str">
        <f aca="false">IF($A427="","",COUNTIF($A$6:$A427,$A427))</f>
        <v/>
      </c>
      <c r="N427" s="8" t="str">
        <f aca="false">IF($A427="","",$A427&amp;"|"&amp;$M427)</f>
        <v/>
      </c>
    </row>
    <row r="428" customFormat="false" ht="15" hidden="false" customHeight="false" outlineLevel="0" collapsed="false">
      <c r="A428" s="6"/>
      <c r="B428" s="8" t="str">
        <f aca="false">IF($A428="","",IFERROR(INDEX(PRODUCTOS!$B$6:$B$105,MATCH($A428,PRODUCTOS!$A$6:$A$105,0)),"¿Código?"))</f>
        <v/>
      </c>
      <c r="C428" s="6"/>
      <c r="D428" s="8" t="str">
        <f aca="false">IF($C428="","",IFERROR(INDEX(INSUMOS!$B$6:$B$205,MATCH($C428,INSUMOS!$A$6:$A$205,0)),"¿Código?"))</f>
        <v/>
      </c>
      <c r="E428" s="8" t="str">
        <f aca="false">IF($C428="","",IFERROR(INDEX(INSUMOS!$D$6:$D$205,MATCH($C428,INSUMOS!$A$6:$A$205,0)),""))</f>
        <v/>
      </c>
      <c r="F428" s="39"/>
      <c r="G428" s="43" t="str">
        <f aca="false">IF(OR($A428="",$C428=""),"",IFERROR(INDEX(INSUMOS!$P$6:$P$205,MATCH($C428,INSUMOS!$A$6:$A$205,0)),0))</f>
        <v/>
      </c>
      <c r="H428" s="43" t="str">
        <f aca="false">IF(OR($A428="",$C428=""),"",N($F428)*$G428)</f>
        <v/>
      </c>
      <c r="I428" s="34" t="str">
        <f aca="false">IF(OR($A428="",$C428=""),"",IFERROR(MAX(1,INDEX(PRODUCTOS!$G$6:$G$105,MATCH($A428,PRODUCTOS!$A$6:$A$105,0))),1))</f>
        <v/>
      </c>
      <c r="J428" s="43" t="str">
        <f aca="false">IF(OR($A428="",$C428=""),"",$H428/$I428)</f>
        <v/>
      </c>
      <c r="K428" s="34" t="str">
        <f aca="false">IF(OR($A428="",$C428=""),"",SUMIFS(VENTAS!$E$6:$E$2005,VENTAS!$C$6:$C$2005,$A428))</f>
        <v/>
      </c>
      <c r="L428" s="45" t="str">
        <f aca="false">IF(OR($A428="",$C428=""),"",IFERROR(N($F428)/INDEX(INSUMOS!$I$6:$I$205,MATCH($C428,INSUMOS!$A$6:$A$205,0)),N($F428))/$I428*$K428)</f>
        <v/>
      </c>
      <c r="M428" s="8" t="str">
        <f aca="false">IF($A428="","",COUNTIF($A$6:$A428,$A428))</f>
        <v/>
      </c>
      <c r="N428" s="8" t="str">
        <f aca="false">IF($A428="","",$A428&amp;"|"&amp;$M428)</f>
        <v/>
      </c>
    </row>
    <row r="429" customFormat="false" ht="15" hidden="false" customHeight="false" outlineLevel="0" collapsed="false">
      <c r="A429" s="6"/>
      <c r="B429" s="8" t="str">
        <f aca="false">IF($A429="","",IFERROR(INDEX(PRODUCTOS!$B$6:$B$105,MATCH($A429,PRODUCTOS!$A$6:$A$105,0)),"¿Código?"))</f>
        <v/>
      </c>
      <c r="C429" s="6"/>
      <c r="D429" s="8" t="str">
        <f aca="false">IF($C429="","",IFERROR(INDEX(INSUMOS!$B$6:$B$205,MATCH($C429,INSUMOS!$A$6:$A$205,0)),"¿Código?"))</f>
        <v/>
      </c>
      <c r="E429" s="8" t="str">
        <f aca="false">IF($C429="","",IFERROR(INDEX(INSUMOS!$D$6:$D$205,MATCH($C429,INSUMOS!$A$6:$A$205,0)),""))</f>
        <v/>
      </c>
      <c r="F429" s="39"/>
      <c r="G429" s="43" t="str">
        <f aca="false">IF(OR($A429="",$C429=""),"",IFERROR(INDEX(INSUMOS!$P$6:$P$205,MATCH($C429,INSUMOS!$A$6:$A$205,0)),0))</f>
        <v/>
      </c>
      <c r="H429" s="43" t="str">
        <f aca="false">IF(OR($A429="",$C429=""),"",N($F429)*$G429)</f>
        <v/>
      </c>
      <c r="I429" s="34" t="str">
        <f aca="false">IF(OR($A429="",$C429=""),"",IFERROR(MAX(1,INDEX(PRODUCTOS!$G$6:$G$105,MATCH($A429,PRODUCTOS!$A$6:$A$105,0))),1))</f>
        <v/>
      </c>
      <c r="J429" s="43" t="str">
        <f aca="false">IF(OR($A429="",$C429=""),"",$H429/$I429)</f>
        <v/>
      </c>
      <c r="K429" s="34" t="str">
        <f aca="false">IF(OR($A429="",$C429=""),"",SUMIFS(VENTAS!$E$6:$E$2005,VENTAS!$C$6:$C$2005,$A429))</f>
        <v/>
      </c>
      <c r="L429" s="45" t="str">
        <f aca="false">IF(OR($A429="",$C429=""),"",IFERROR(N($F429)/INDEX(INSUMOS!$I$6:$I$205,MATCH($C429,INSUMOS!$A$6:$A$205,0)),N($F429))/$I429*$K429)</f>
        <v/>
      </c>
      <c r="M429" s="8" t="str">
        <f aca="false">IF($A429="","",COUNTIF($A$6:$A429,$A429))</f>
        <v/>
      </c>
      <c r="N429" s="8" t="str">
        <f aca="false">IF($A429="","",$A429&amp;"|"&amp;$M429)</f>
        <v/>
      </c>
    </row>
    <row r="430" customFormat="false" ht="15" hidden="false" customHeight="false" outlineLevel="0" collapsed="false">
      <c r="A430" s="6"/>
      <c r="B430" s="8" t="str">
        <f aca="false">IF($A430="","",IFERROR(INDEX(PRODUCTOS!$B$6:$B$105,MATCH($A430,PRODUCTOS!$A$6:$A$105,0)),"¿Código?"))</f>
        <v/>
      </c>
      <c r="C430" s="6"/>
      <c r="D430" s="8" t="str">
        <f aca="false">IF($C430="","",IFERROR(INDEX(INSUMOS!$B$6:$B$205,MATCH($C430,INSUMOS!$A$6:$A$205,0)),"¿Código?"))</f>
        <v/>
      </c>
      <c r="E430" s="8" t="str">
        <f aca="false">IF($C430="","",IFERROR(INDEX(INSUMOS!$D$6:$D$205,MATCH($C430,INSUMOS!$A$6:$A$205,0)),""))</f>
        <v/>
      </c>
      <c r="F430" s="39"/>
      <c r="G430" s="43" t="str">
        <f aca="false">IF(OR($A430="",$C430=""),"",IFERROR(INDEX(INSUMOS!$P$6:$P$205,MATCH($C430,INSUMOS!$A$6:$A$205,0)),0))</f>
        <v/>
      </c>
      <c r="H430" s="43" t="str">
        <f aca="false">IF(OR($A430="",$C430=""),"",N($F430)*$G430)</f>
        <v/>
      </c>
      <c r="I430" s="34" t="str">
        <f aca="false">IF(OR($A430="",$C430=""),"",IFERROR(MAX(1,INDEX(PRODUCTOS!$G$6:$G$105,MATCH($A430,PRODUCTOS!$A$6:$A$105,0))),1))</f>
        <v/>
      </c>
      <c r="J430" s="43" t="str">
        <f aca="false">IF(OR($A430="",$C430=""),"",$H430/$I430)</f>
        <v/>
      </c>
      <c r="K430" s="34" t="str">
        <f aca="false">IF(OR($A430="",$C430=""),"",SUMIFS(VENTAS!$E$6:$E$2005,VENTAS!$C$6:$C$2005,$A430))</f>
        <v/>
      </c>
      <c r="L430" s="45" t="str">
        <f aca="false">IF(OR($A430="",$C430=""),"",IFERROR(N($F430)/INDEX(INSUMOS!$I$6:$I$205,MATCH($C430,INSUMOS!$A$6:$A$205,0)),N($F430))/$I430*$K430)</f>
        <v/>
      </c>
      <c r="M430" s="8" t="str">
        <f aca="false">IF($A430="","",COUNTIF($A$6:$A430,$A430))</f>
        <v/>
      </c>
      <c r="N430" s="8" t="str">
        <f aca="false">IF($A430="","",$A430&amp;"|"&amp;$M430)</f>
        <v/>
      </c>
    </row>
    <row r="431" customFormat="false" ht="15" hidden="false" customHeight="false" outlineLevel="0" collapsed="false">
      <c r="A431" s="6"/>
      <c r="B431" s="8" t="str">
        <f aca="false">IF($A431="","",IFERROR(INDEX(PRODUCTOS!$B$6:$B$105,MATCH($A431,PRODUCTOS!$A$6:$A$105,0)),"¿Código?"))</f>
        <v/>
      </c>
      <c r="C431" s="6"/>
      <c r="D431" s="8" t="str">
        <f aca="false">IF($C431="","",IFERROR(INDEX(INSUMOS!$B$6:$B$205,MATCH($C431,INSUMOS!$A$6:$A$205,0)),"¿Código?"))</f>
        <v/>
      </c>
      <c r="E431" s="8" t="str">
        <f aca="false">IF($C431="","",IFERROR(INDEX(INSUMOS!$D$6:$D$205,MATCH($C431,INSUMOS!$A$6:$A$205,0)),""))</f>
        <v/>
      </c>
      <c r="F431" s="39"/>
      <c r="G431" s="43" t="str">
        <f aca="false">IF(OR($A431="",$C431=""),"",IFERROR(INDEX(INSUMOS!$P$6:$P$205,MATCH($C431,INSUMOS!$A$6:$A$205,0)),0))</f>
        <v/>
      </c>
      <c r="H431" s="43" t="str">
        <f aca="false">IF(OR($A431="",$C431=""),"",N($F431)*$G431)</f>
        <v/>
      </c>
      <c r="I431" s="34" t="str">
        <f aca="false">IF(OR($A431="",$C431=""),"",IFERROR(MAX(1,INDEX(PRODUCTOS!$G$6:$G$105,MATCH($A431,PRODUCTOS!$A$6:$A$105,0))),1))</f>
        <v/>
      </c>
      <c r="J431" s="43" t="str">
        <f aca="false">IF(OR($A431="",$C431=""),"",$H431/$I431)</f>
        <v/>
      </c>
      <c r="K431" s="34" t="str">
        <f aca="false">IF(OR($A431="",$C431=""),"",SUMIFS(VENTAS!$E$6:$E$2005,VENTAS!$C$6:$C$2005,$A431))</f>
        <v/>
      </c>
      <c r="L431" s="45" t="str">
        <f aca="false">IF(OR($A431="",$C431=""),"",IFERROR(N($F431)/INDEX(INSUMOS!$I$6:$I$205,MATCH($C431,INSUMOS!$A$6:$A$205,0)),N($F431))/$I431*$K431)</f>
        <v/>
      </c>
      <c r="M431" s="8" t="str">
        <f aca="false">IF($A431="","",COUNTIF($A$6:$A431,$A431))</f>
        <v/>
      </c>
      <c r="N431" s="8" t="str">
        <f aca="false">IF($A431="","",$A431&amp;"|"&amp;$M431)</f>
        <v/>
      </c>
    </row>
    <row r="432" customFormat="false" ht="15" hidden="false" customHeight="false" outlineLevel="0" collapsed="false">
      <c r="A432" s="6"/>
      <c r="B432" s="8" t="str">
        <f aca="false">IF($A432="","",IFERROR(INDEX(PRODUCTOS!$B$6:$B$105,MATCH($A432,PRODUCTOS!$A$6:$A$105,0)),"¿Código?"))</f>
        <v/>
      </c>
      <c r="C432" s="6"/>
      <c r="D432" s="8" t="str">
        <f aca="false">IF($C432="","",IFERROR(INDEX(INSUMOS!$B$6:$B$205,MATCH($C432,INSUMOS!$A$6:$A$205,0)),"¿Código?"))</f>
        <v/>
      </c>
      <c r="E432" s="8" t="str">
        <f aca="false">IF($C432="","",IFERROR(INDEX(INSUMOS!$D$6:$D$205,MATCH($C432,INSUMOS!$A$6:$A$205,0)),""))</f>
        <v/>
      </c>
      <c r="F432" s="39"/>
      <c r="G432" s="43" t="str">
        <f aca="false">IF(OR($A432="",$C432=""),"",IFERROR(INDEX(INSUMOS!$P$6:$P$205,MATCH($C432,INSUMOS!$A$6:$A$205,0)),0))</f>
        <v/>
      </c>
      <c r="H432" s="43" t="str">
        <f aca="false">IF(OR($A432="",$C432=""),"",N($F432)*$G432)</f>
        <v/>
      </c>
      <c r="I432" s="34" t="str">
        <f aca="false">IF(OR($A432="",$C432=""),"",IFERROR(MAX(1,INDEX(PRODUCTOS!$G$6:$G$105,MATCH($A432,PRODUCTOS!$A$6:$A$105,0))),1))</f>
        <v/>
      </c>
      <c r="J432" s="43" t="str">
        <f aca="false">IF(OR($A432="",$C432=""),"",$H432/$I432)</f>
        <v/>
      </c>
      <c r="K432" s="34" t="str">
        <f aca="false">IF(OR($A432="",$C432=""),"",SUMIFS(VENTAS!$E$6:$E$2005,VENTAS!$C$6:$C$2005,$A432))</f>
        <v/>
      </c>
      <c r="L432" s="45" t="str">
        <f aca="false">IF(OR($A432="",$C432=""),"",IFERROR(N($F432)/INDEX(INSUMOS!$I$6:$I$205,MATCH($C432,INSUMOS!$A$6:$A$205,0)),N($F432))/$I432*$K432)</f>
        <v/>
      </c>
      <c r="M432" s="8" t="str">
        <f aca="false">IF($A432="","",COUNTIF($A$6:$A432,$A432))</f>
        <v/>
      </c>
      <c r="N432" s="8" t="str">
        <f aca="false">IF($A432="","",$A432&amp;"|"&amp;$M432)</f>
        <v/>
      </c>
    </row>
    <row r="433" customFormat="false" ht="15" hidden="false" customHeight="false" outlineLevel="0" collapsed="false">
      <c r="A433" s="6"/>
      <c r="B433" s="8" t="str">
        <f aca="false">IF($A433="","",IFERROR(INDEX(PRODUCTOS!$B$6:$B$105,MATCH($A433,PRODUCTOS!$A$6:$A$105,0)),"¿Código?"))</f>
        <v/>
      </c>
      <c r="C433" s="6"/>
      <c r="D433" s="8" t="str">
        <f aca="false">IF($C433="","",IFERROR(INDEX(INSUMOS!$B$6:$B$205,MATCH($C433,INSUMOS!$A$6:$A$205,0)),"¿Código?"))</f>
        <v/>
      </c>
      <c r="E433" s="8" t="str">
        <f aca="false">IF($C433="","",IFERROR(INDEX(INSUMOS!$D$6:$D$205,MATCH($C433,INSUMOS!$A$6:$A$205,0)),""))</f>
        <v/>
      </c>
      <c r="F433" s="39"/>
      <c r="G433" s="43" t="str">
        <f aca="false">IF(OR($A433="",$C433=""),"",IFERROR(INDEX(INSUMOS!$P$6:$P$205,MATCH($C433,INSUMOS!$A$6:$A$205,0)),0))</f>
        <v/>
      </c>
      <c r="H433" s="43" t="str">
        <f aca="false">IF(OR($A433="",$C433=""),"",N($F433)*$G433)</f>
        <v/>
      </c>
      <c r="I433" s="34" t="str">
        <f aca="false">IF(OR($A433="",$C433=""),"",IFERROR(MAX(1,INDEX(PRODUCTOS!$G$6:$G$105,MATCH($A433,PRODUCTOS!$A$6:$A$105,0))),1))</f>
        <v/>
      </c>
      <c r="J433" s="43" t="str">
        <f aca="false">IF(OR($A433="",$C433=""),"",$H433/$I433)</f>
        <v/>
      </c>
      <c r="K433" s="34" t="str">
        <f aca="false">IF(OR($A433="",$C433=""),"",SUMIFS(VENTAS!$E$6:$E$2005,VENTAS!$C$6:$C$2005,$A433))</f>
        <v/>
      </c>
      <c r="L433" s="45" t="str">
        <f aca="false">IF(OR($A433="",$C433=""),"",IFERROR(N($F433)/INDEX(INSUMOS!$I$6:$I$205,MATCH($C433,INSUMOS!$A$6:$A$205,0)),N($F433))/$I433*$K433)</f>
        <v/>
      </c>
      <c r="M433" s="8" t="str">
        <f aca="false">IF($A433="","",COUNTIF($A$6:$A433,$A433))</f>
        <v/>
      </c>
      <c r="N433" s="8" t="str">
        <f aca="false">IF($A433="","",$A433&amp;"|"&amp;$M433)</f>
        <v/>
      </c>
    </row>
    <row r="434" customFormat="false" ht="15" hidden="false" customHeight="false" outlineLevel="0" collapsed="false">
      <c r="A434" s="6"/>
      <c r="B434" s="8" t="str">
        <f aca="false">IF($A434="","",IFERROR(INDEX(PRODUCTOS!$B$6:$B$105,MATCH($A434,PRODUCTOS!$A$6:$A$105,0)),"¿Código?"))</f>
        <v/>
      </c>
      <c r="C434" s="6"/>
      <c r="D434" s="8" t="str">
        <f aca="false">IF($C434="","",IFERROR(INDEX(INSUMOS!$B$6:$B$205,MATCH($C434,INSUMOS!$A$6:$A$205,0)),"¿Código?"))</f>
        <v/>
      </c>
      <c r="E434" s="8" t="str">
        <f aca="false">IF($C434="","",IFERROR(INDEX(INSUMOS!$D$6:$D$205,MATCH($C434,INSUMOS!$A$6:$A$205,0)),""))</f>
        <v/>
      </c>
      <c r="F434" s="39"/>
      <c r="G434" s="43" t="str">
        <f aca="false">IF(OR($A434="",$C434=""),"",IFERROR(INDEX(INSUMOS!$P$6:$P$205,MATCH($C434,INSUMOS!$A$6:$A$205,0)),0))</f>
        <v/>
      </c>
      <c r="H434" s="43" t="str">
        <f aca="false">IF(OR($A434="",$C434=""),"",N($F434)*$G434)</f>
        <v/>
      </c>
      <c r="I434" s="34" t="str">
        <f aca="false">IF(OR($A434="",$C434=""),"",IFERROR(MAX(1,INDEX(PRODUCTOS!$G$6:$G$105,MATCH($A434,PRODUCTOS!$A$6:$A$105,0))),1))</f>
        <v/>
      </c>
      <c r="J434" s="43" t="str">
        <f aca="false">IF(OR($A434="",$C434=""),"",$H434/$I434)</f>
        <v/>
      </c>
      <c r="K434" s="34" t="str">
        <f aca="false">IF(OR($A434="",$C434=""),"",SUMIFS(VENTAS!$E$6:$E$2005,VENTAS!$C$6:$C$2005,$A434))</f>
        <v/>
      </c>
      <c r="L434" s="45" t="str">
        <f aca="false">IF(OR($A434="",$C434=""),"",IFERROR(N($F434)/INDEX(INSUMOS!$I$6:$I$205,MATCH($C434,INSUMOS!$A$6:$A$205,0)),N($F434))/$I434*$K434)</f>
        <v/>
      </c>
      <c r="M434" s="8" t="str">
        <f aca="false">IF($A434="","",COUNTIF($A$6:$A434,$A434))</f>
        <v/>
      </c>
      <c r="N434" s="8" t="str">
        <f aca="false">IF($A434="","",$A434&amp;"|"&amp;$M434)</f>
        <v/>
      </c>
    </row>
    <row r="435" customFormat="false" ht="15" hidden="false" customHeight="false" outlineLevel="0" collapsed="false">
      <c r="A435" s="6"/>
      <c r="B435" s="8" t="str">
        <f aca="false">IF($A435="","",IFERROR(INDEX(PRODUCTOS!$B$6:$B$105,MATCH($A435,PRODUCTOS!$A$6:$A$105,0)),"¿Código?"))</f>
        <v/>
      </c>
      <c r="C435" s="6"/>
      <c r="D435" s="8" t="str">
        <f aca="false">IF($C435="","",IFERROR(INDEX(INSUMOS!$B$6:$B$205,MATCH($C435,INSUMOS!$A$6:$A$205,0)),"¿Código?"))</f>
        <v/>
      </c>
      <c r="E435" s="8" t="str">
        <f aca="false">IF($C435="","",IFERROR(INDEX(INSUMOS!$D$6:$D$205,MATCH($C435,INSUMOS!$A$6:$A$205,0)),""))</f>
        <v/>
      </c>
      <c r="F435" s="39"/>
      <c r="G435" s="43" t="str">
        <f aca="false">IF(OR($A435="",$C435=""),"",IFERROR(INDEX(INSUMOS!$P$6:$P$205,MATCH($C435,INSUMOS!$A$6:$A$205,0)),0))</f>
        <v/>
      </c>
      <c r="H435" s="43" t="str">
        <f aca="false">IF(OR($A435="",$C435=""),"",N($F435)*$G435)</f>
        <v/>
      </c>
      <c r="I435" s="34" t="str">
        <f aca="false">IF(OR($A435="",$C435=""),"",IFERROR(MAX(1,INDEX(PRODUCTOS!$G$6:$G$105,MATCH($A435,PRODUCTOS!$A$6:$A$105,0))),1))</f>
        <v/>
      </c>
      <c r="J435" s="43" t="str">
        <f aca="false">IF(OR($A435="",$C435=""),"",$H435/$I435)</f>
        <v/>
      </c>
      <c r="K435" s="34" t="str">
        <f aca="false">IF(OR($A435="",$C435=""),"",SUMIFS(VENTAS!$E$6:$E$2005,VENTAS!$C$6:$C$2005,$A435))</f>
        <v/>
      </c>
      <c r="L435" s="45" t="str">
        <f aca="false">IF(OR($A435="",$C435=""),"",IFERROR(N($F435)/INDEX(INSUMOS!$I$6:$I$205,MATCH($C435,INSUMOS!$A$6:$A$205,0)),N($F435))/$I435*$K435)</f>
        <v/>
      </c>
      <c r="M435" s="8" t="str">
        <f aca="false">IF($A435="","",COUNTIF($A$6:$A435,$A435))</f>
        <v/>
      </c>
      <c r="N435" s="8" t="str">
        <f aca="false">IF($A435="","",$A435&amp;"|"&amp;$M435)</f>
        <v/>
      </c>
    </row>
    <row r="436" customFormat="false" ht="15" hidden="false" customHeight="false" outlineLevel="0" collapsed="false">
      <c r="A436" s="6"/>
      <c r="B436" s="8" t="str">
        <f aca="false">IF($A436="","",IFERROR(INDEX(PRODUCTOS!$B$6:$B$105,MATCH($A436,PRODUCTOS!$A$6:$A$105,0)),"¿Código?"))</f>
        <v/>
      </c>
      <c r="C436" s="6"/>
      <c r="D436" s="8" t="str">
        <f aca="false">IF($C436="","",IFERROR(INDEX(INSUMOS!$B$6:$B$205,MATCH($C436,INSUMOS!$A$6:$A$205,0)),"¿Código?"))</f>
        <v/>
      </c>
      <c r="E436" s="8" t="str">
        <f aca="false">IF($C436="","",IFERROR(INDEX(INSUMOS!$D$6:$D$205,MATCH($C436,INSUMOS!$A$6:$A$205,0)),""))</f>
        <v/>
      </c>
      <c r="F436" s="39"/>
      <c r="G436" s="43" t="str">
        <f aca="false">IF(OR($A436="",$C436=""),"",IFERROR(INDEX(INSUMOS!$P$6:$P$205,MATCH($C436,INSUMOS!$A$6:$A$205,0)),0))</f>
        <v/>
      </c>
      <c r="H436" s="43" t="str">
        <f aca="false">IF(OR($A436="",$C436=""),"",N($F436)*$G436)</f>
        <v/>
      </c>
      <c r="I436" s="34" t="str">
        <f aca="false">IF(OR($A436="",$C436=""),"",IFERROR(MAX(1,INDEX(PRODUCTOS!$G$6:$G$105,MATCH($A436,PRODUCTOS!$A$6:$A$105,0))),1))</f>
        <v/>
      </c>
      <c r="J436" s="43" t="str">
        <f aca="false">IF(OR($A436="",$C436=""),"",$H436/$I436)</f>
        <v/>
      </c>
      <c r="K436" s="34" t="str">
        <f aca="false">IF(OR($A436="",$C436=""),"",SUMIFS(VENTAS!$E$6:$E$2005,VENTAS!$C$6:$C$2005,$A436))</f>
        <v/>
      </c>
      <c r="L436" s="45" t="str">
        <f aca="false">IF(OR($A436="",$C436=""),"",IFERROR(N($F436)/INDEX(INSUMOS!$I$6:$I$205,MATCH($C436,INSUMOS!$A$6:$A$205,0)),N($F436))/$I436*$K436)</f>
        <v/>
      </c>
      <c r="M436" s="8" t="str">
        <f aca="false">IF($A436="","",COUNTIF($A$6:$A436,$A436))</f>
        <v/>
      </c>
      <c r="N436" s="8" t="str">
        <f aca="false">IF($A436="","",$A436&amp;"|"&amp;$M436)</f>
        <v/>
      </c>
    </row>
    <row r="437" customFormat="false" ht="15" hidden="false" customHeight="false" outlineLevel="0" collapsed="false">
      <c r="A437" s="6"/>
      <c r="B437" s="8" t="str">
        <f aca="false">IF($A437="","",IFERROR(INDEX(PRODUCTOS!$B$6:$B$105,MATCH($A437,PRODUCTOS!$A$6:$A$105,0)),"¿Código?"))</f>
        <v/>
      </c>
      <c r="C437" s="6"/>
      <c r="D437" s="8" t="str">
        <f aca="false">IF($C437="","",IFERROR(INDEX(INSUMOS!$B$6:$B$205,MATCH($C437,INSUMOS!$A$6:$A$205,0)),"¿Código?"))</f>
        <v/>
      </c>
      <c r="E437" s="8" t="str">
        <f aca="false">IF($C437="","",IFERROR(INDEX(INSUMOS!$D$6:$D$205,MATCH($C437,INSUMOS!$A$6:$A$205,0)),""))</f>
        <v/>
      </c>
      <c r="F437" s="39"/>
      <c r="G437" s="43" t="str">
        <f aca="false">IF(OR($A437="",$C437=""),"",IFERROR(INDEX(INSUMOS!$P$6:$P$205,MATCH($C437,INSUMOS!$A$6:$A$205,0)),0))</f>
        <v/>
      </c>
      <c r="H437" s="43" t="str">
        <f aca="false">IF(OR($A437="",$C437=""),"",N($F437)*$G437)</f>
        <v/>
      </c>
      <c r="I437" s="34" t="str">
        <f aca="false">IF(OR($A437="",$C437=""),"",IFERROR(MAX(1,INDEX(PRODUCTOS!$G$6:$G$105,MATCH($A437,PRODUCTOS!$A$6:$A$105,0))),1))</f>
        <v/>
      </c>
      <c r="J437" s="43" t="str">
        <f aca="false">IF(OR($A437="",$C437=""),"",$H437/$I437)</f>
        <v/>
      </c>
      <c r="K437" s="34" t="str">
        <f aca="false">IF(OR($A437="",$C437=""),"",SUMIFS(VENTAS!$E$6:$E$2005,VENTAS!$C$6:$C$2005,$A437))</f>
        <v/>
      </c>
      <c r="L437" s="45" t="str">
        <f aca="false">IF(OR($A437="",$C437=""),"",IFERROR(N($F437)/INDEX(INSUMOS!$I$6:$I$205,MATCH($C437,INSUMOS!$A$6:$A$205,0)),N($F437))/$I437*$K437)</f>
        <v/>
      </c>
      <c r="M437" s="8" t="str">
        <f aca="false">IF($A437="","",COUNTIF($A$6:$A437,$A437))</f>
        <v/>
      </c>
      <c r="N437" s="8" t="str">
        <f aca="false">IF($A437="","",$A437&amp;"|"&amp;$M437)</f>
        <v/>
      </c>
    </row>
    <row r="438" customFormat="false" ht="15" hidden="false" customHeight="false" outlineLevel="0" collapsed="false">
      <c r="A438" s="6"/>
      <c r="B438" s="8" t="str">
        <f aca="false">IF($A438="","",IFERROR(INDEX(PRODUCTOS!$B$6:$B$105,MATCH($A438,PRODUCTOS!$A$6:$A$105,0)),"¿Código?"))</f>
        <v/>
      </c>
      <c r="C438" s="6"/>
      <c r="D438" s="8" t="str">
        <f aca="false">IF($C438="","",IFERROR(INDEX(INSUMOS!$B$6:$B$205,MATCH($C438,INSUMOS!$A$6:$A$205,0)),"¿Código?"))</f>
        <v/>
      </c>
      <c r="E438" s="8" t="str">
        <f aca="false">IF($C438="","",IFERROR(INDEX(INSUMOS!$D$6:$D$205,MATCH($C438,INSUMOS!$A$6:$A$205,0)),""))</f>
        <v/>
      </c>
      <c r="F438" s="39"/>
      <c r="G438" s="43" t="str">
        <f aca="false">IF(OR($A438="",$C438=""),"",IFERROR(INDEX(INSUMOS!$P$6:$P$205,MATCH($C438,INSUMOS!$A$6:$A$205,0)),0))</f>
        <v/>
      </c>
      <c r="H438" s="43" t="str">
        <f aca="false">IF(OR($A438="",$C438=""),"",N($F438)*$G438)</f>
        <v/>
      </c>
      <c r="I438" s="34" t="str">
        <f aca="false">IF(OR($A438="",$C438=""),"",IFERROR(MAX(1,INDEX(PRODUCTOS!$G$6:$G$105,MATCH($A438,PRODUCTOS!$A$6:$A$105,0))),1))</f>
        <v/>
      </c>
      <c r="J438" s="43" t="str">
        <f aca="false">IF(OR($A438="",$C438=""),"",$H438/$I438)</f>
        <v/>
      </c>
      <c r="K438" s="34" t="str">
        <f aca="false">IF(OR($A438="",$C438=""),"",SUMIFS(VENTAS!$E$6:$E$2005,VENTAS!$C$6:$C$2005,$A438))</f>
        <v/>
      </c>
      <c r="L438" s="45" t="str">
        <f aca="false">IF(OR($A438="",$C438=""),"",IFERROR(N($F438)/INDEX(INSUMOS!$I$6:$I$205,MATCH($C438,INSUMOS!$A$6:$A$205,0)),N($F438))/$I438*$K438)</f>
        <v/>
      </c>
      <c r="M438" s="8" t="str">
        <f aca="false">IF($A438="","",COUNTIF($A$6:$A438,$A438))</f>
        <v/>
      </c>
      <c r="N438" s="8" t="str">
        <f aca="false">IF($A438="","",$A438&amp;"|"&amp;$M438)</f>
        <v/>
      </c>
    </row>
    <row r="439" customFormat="false" ht="15" hidden="false" customHeight="false" outlineLevel="0" collapsed="false">
      <c r="A439" s="6"/>
      <c r="B439" s="8" t="str">
        <f aca="false">IF($A439="","",IFERROR(INDEX(PRODUCTOS!$B$6:$B$105,MATCH($A439,PRODUCTOS!$A$6:$A$105,0)),"¿Código?"))</f>
        <v/>
      </c>
      <c r="C439" s="6"/>
      <c r="D439" s="8" t="str">
        <f aca="false">IF($C439="","",IFERROR(INDEX(INSUMOS!$B$6:$B$205,MATCH($C439,INSUMOS!$A$6:$A$205,0)),"¿Código?"))</f>
        <v/>
      </c>
      <c r="E439" s="8" t="str">
        <f aca="false">IF($C439="","",IFERROR(INDEX(INSUMOS!$D$6:$D$205,MATCH($C439,INSUMOS!$A$6:$A$205,0)),""))</f>
        <v/>
      </c>
      <c r="F439" s="39"/>
      <c r="G439" s="43" t="str">
        <f aca="false">IF(OR($A439="",$C439=""),"",IFERROR(INDEX(INSUMOS!$P$6:$P$205,MATCH($C439,INSUMOS!$A$6:$A$205,0)),0))</f>
        <v/>
      </c>
      <c r="H439" s="43" t="str">
        <f aca="false">IF(OR($A439="",$C439=""),"",N($F439)*$G439)</f>
        <v/>
      </c>
      <c r="I439" s="34" t="str">
        <f aca="false">IF(OR($A439="",$C439=""),"",IFERROR(MAX(1,INDEX(PRODUCTOS!$G$6:$G$105,MATCH($A439,PRODUCTOS!$A$6:$A$105,0))),1))</f>
        <v/>
      </c>
      <c r="J439" s="43" t="str">
        <f aca="false">IF(OR($A439="",$C439=""),"",$H439/$I439)</f>
        <v/>
      </c>
      <c r="K439" s="34" t="str">
        <f aca="false">IF(OR($A439="",$C439=""),"",SUMIFS(VENTAS!$E$6:$E$2005,VENTAS!$C$6:$C$2005,$A439))</f>
        <v/>
      </c>
      <c r="L439" s="45" t="str">
        <f aca="false">IF(OR($A439="",$C439=""),"",IFERROR(N($F439)/INDEX(INSUMOS!$I$6:$I$205,MATCH($C439,INSUMOS!$A$6:$A$205,0)),N($F439))/$I439*$K439)</f>
        <v/>
      </c>
      <c r="M439" s="8" t="str">
        <f aca="false">IF($A439="","",COUNTIF($A$6:$A439,$A439))</f>
        <v/>
      </c>
      <c r="N439" s="8" t="str">
        <f aca="false">IF($A439="","",$A439&amp;"|"&amp;$M439)</f>
        <v/>
      </c>
    </row>
    <row r="440" customFormat="false" ht="15" hidden="false" customHeight="false" outlineLevel="0" collapsed="false">
      <c r="A440" s="6"/>
      <c r="B440" s="8" t="str">
        <f aca="false">IF($A440="","",IFERROR(INDEX(PRODUCTOS!$B$6:$B$105,MATCH($A440,PRODUCTOS!$A$6:$A$105,0)),"¿Código?"))</f>
        <v/>
      </c>
      <c r="C440" s="6"/>
      <c r="D440" s="8" t="str">
        <f aca="false">IF($C440="","",IFERROR(INDEX(INSUMOS!$B$6:$B$205,MATCH($C440,INSUMOS!$A$6:$A$205,0)),"¿Código?"))</f>
        <v/>
      </c>
      <c r="E440" s="8" t="str">
        <f aca="false">IF($C440="","",IFERROR(INDEX(INSUMOS!$D$6:$D$205,MATCH($C440,INSUMOS!$A$6:$A$205,0)),""))</f>
        <v/>
      </c>
      <c r="F440" s="39"/>
      <c r="G440" s="43" t="str">
        <f aca="false">IF(OR($A440="",$C440=""),"",IFERROR(INDEX(INSUMOS!$P$6:$P$205,MATCH($C440,INSUMOS!$A$6:$A$205,0)),0))</f>
        <v/>
      </c>
      <c r="H440" s="43" t="str">
        <f aca="false">IF(OR($A440="",$C440=""),"",N($F440)*$G440)</f>
        <v/>
      </c>
      <c r="I440" s="34" t="str">
        <f aca="false">IF(OR($A440="",$C440=""),"",IFERROR(MAX(1,INDEX(PRODUCTOS!$G$6:$G$105,MATCH($A440,PRODUCTOS!$A$6:$A$105,0))),1))</f>
        <v/>
      </c>
      <c r="J440" s="43" t="str">
        <f aca="false">IF(OR($A440="",$C440=""),"",$H440/$I440)</f>
        <v/>
      </c>
      <c r="K440" s="34" t="str">
        <f aca="false">IF(OR($A440="",$C440=""),"",SUMIFS(VENTAS!$E$6:$E$2005,VENTAS!$C$6:$C$2005,$A440))</f>
        <v/>
      </c>
      <c r="L440" s="45" t="str">
        <f aca="false">IF(OR($A440="",$C440=""),"",IFERROR(N($F440)/INDEX(INSUMOS!$I$6:$I$205,MATCH($C440,INSUMOS!$A$6:$A$205,0)),N($F440))/$I440*$K440)</f>
        <v/>
      </c>
      <c r="M440" s="8" t="str">
        <f aca="false">IF($A440="","",COUNTIF($A$6:$A440,$A440))</f>
        <v/>
      </c>
      <c r="N440" s="8" t="str">
        <f aca="false">IF($A440="","",$A440&amp;"|"&amp;$M440)</f>
        <v/>
      </c>
    </row>
    <row r="441" customFormat="false" ht="15" hidden="false" customHeight="false" outlineLevel="0" collapsed="false">
      <c r="A441" s="6"/>
      <c r="B441" s="8" t="str">
        <f aca="false">IF($A441="","",IFERROR(INDEX(PRODUCTOS!$B$6:$B$105,MATCH($A441,PRODUCTOS!$A$6:$A$105,0)),"¿Código?"))</f>
        <v/>
      </c>
      <c r="C441" s="6"/>
      <c r="D441" s="8" t="str">
        <f aca="false">IF($C441="","",IFERROR(INDEX(INSUMOS!$B$6:$B$205,MATCH($C441,INSUMOS!$A$6:$A$205,0)),"¿Código?"))</f>
        <v/>
      </c>
      <c r="E441" s="8" t="str">
        <f aca="false">IF($C441="","",IFERROR(INDEX(INSUMOS!$D$6:$D$205,MATCH($C441,INSUMOS!$A$6:$A$205,0)),""))</f>
        <v/>
      </c>
      <c r="F441" s="39"/>
      <c r="G441" s="43" t="str">
        <f aca="false">IF(OR($A441="",$C441=""),"",IFERROR(INDEX(INSUMOS!$P$6:$P$205,MATCH($C441,INSUMOS!$A$6:$A$205,0)),0))</f>
        <v/>
      </c>
      <c r="H441" s="43" t="str">
        <f aca="false">IF(OR($A441="",$C441=""),"",N($F441)*$G441)</f>
        <v/>
      </c>
      <c r="I441" s="34" t="str">
        <f aca="false">IF(OR($A441="",$C441=""),"",IFERROR(MAX(1,INDEX(PRODUCTOS!$G$6:$G$105,MATCH($A441,PRODUCTOS!$A$6:$A$105,0))),1))</f>
        <v/>
      </c>
      <c r="J441" s="43" t="str">
        <f aca="false">IF(OR($A441="",$C441=""),"",$H441/$I441)</f>
        <v/>
      </c>
      <c r="K441" s="34" t="str">
        <f aca="false">IF(OR($A441="",$C441=""),"",SUMIFS(VENTAS!$E$6:$E$2005,VENTAS!$C$6:$C$2005,$A441))</f>
        <v/>
      </c>
      <c r="L441" s="45" t="str">
        <f aca="false">IF(OR($A441="",$C441=""),"",IFERROR(N($F441)/INDEX(INSUMOS!$I$6:$I$205,MATCH($C441,INSUMOS!$A$6:$A$205,0)),N($F441))/$I441*$K441)</f>
        <v/>
      </c>
      <c r="M441" s="8" t="str">
        <f aca="false">IF($A441="","",COUNTIF($A$6:$A441,$A441))</f>
        <v/>
      </c>
      <c r="N441" s="8" t="str">
        <f aca="false">IF($A441="","",$A441&amp;"|"&amp;$M441)</f>
        <v/>
      </c>
    </row>
    <row r="442" customFormat="false" ht="15" hidden="false" customHeight="false" outlineLevel="0" collapsed="false">
      <c r="A442" s="6"/>
      <c r="B442" s="8" t="str">
        <f aca="false">IF($A442="","",IFERROR(INDEX(PRODUCTOS!$B$6:$B$105,MATCH($A442,PRODUCTOS!$A$6:$A$105,0)),"¿Código?"))</f>
        <v/>
      </c>
      <c r="C442" s="6"/>
      <c r="D442" s="8" t="str">
        <f aca="false">IF($C442="","",IFERROR(INDEX(INSUMOS!$B$6:$B$205,MATCH($C442,INSUMOS!$A$6:$A$205,0)),"¿Código?"))</f>
        <v/>
      </c>
      <c r="E442" s="8" t="str">
        <f aca="false">IF($C442="","",IFERROR(INDEX(INSUMOS!$D$6:$D$205,MATCH($C442,INSUMOS!$A$6:$A$205,0)),""))</f>
        <v/>
      </c>
      <c r="F442" s="39"/>
      <c r="G442" s="43" t="str">
        <f aca="false">IF(OR($A442="",$C442=""),"",IFERROR(INDEX(INSUMOS!$P$6:$P$205,MATCH($C442,INSUMOS!$A$6:$A$205,0)),0))</f>
        <v/>
      </c>
      <c r="H442" s="43" t="str">
        <f aca="false">IF(OR($A442="",$C442=""),"",N($F442)*$G442)</f>
        <v/>
      </c>
      <c r="I442" s="34" t="str">
        <f aca="false">IF(OR($A442="",$C442=""),"",IFERROR(MAX(1,INDEX(PRODUCTOS!$G$6:$G$105,MATCH($A442,PRODUCTOS!$A$6:$A$105,0))),1))</f>
        <v/>
      </c>
      <c r="J442" s="43" t="str">
        <f aca="false">IF(OR($A442="",$C442=""),"",$H442/$I442)</f>
        <v/>
      </c>
      <c r="K442" s="34" t="str">
        <f aca="false">IF(OR($A442="",$C442=""),"",SUMIFS(VENTAS!$E$6:$E$2005,VENTAS!$C$6:$C$2005,$A442))</f>
        <v/>
      </c>
      <c r="L442" s="45" t="str">
        <f aca="false">IF(OR($A442="",$C442=""),"",IFERROR(N($F442)/INDEX(INSUMOS!$I$6:$I$205,MATCH($C442,INSUMOS!$A$6:$A$205,0)),N($F442))/$I442*$K442)</f>
        <v/>
      </c>
      <c r="M442" s="8" t="str">
        <f aca="false">IF($A442="","",COUNTIF($A$6:$A442,$A442))</f>
        <v/>
      </c>
      <c r="N442" s="8" t="str">
        <f aca="false">IF($A442="","",$A442&amp;"|"&amp;$M442)</f>
        <v/>
      </c>
    </row>
    <row r="443" customFormat="false" ht="15" hidden="false" customHeight="false" outlineLevel="0" collapsed="false">
      <c r="A443" s="6"/>
      <c r="B443" s="8" t="str">
        <f aca="false">IF($A443="","",IFERROR(INDEX(PRODUCTOS!$B$6:$B$105,MATCH($A443,PRODUCTOS!$A$6:$A$105,0)),"¿Código?"))</f>
        <v/>
      </c>
      <c r="C443" s="6"/>
      <c r="D443" s="8" t="str">
        <f aca="false">IF($C443="","",IFERROR(INDEX(INSUMOS!$B$6:$B$205,MATCH($C443,INSUMOS!$A$6:$A$205,0)),"¿Código?"))</f>
        <v/>
      </c>
      <c r="E443" s="8" t="str">
        <f aca="false">IF($C443="","",IFERROR(INDEX(INSUMOS!$D$6:$D$205,MATCH($C443,INSUMOS!$A$6:$A$205,0)),""))</f>
        <v/>
      </c>
      <c r="F443" s="39"/>
      <c r="G443" s="43" t="str">
        <f aca="false">IF(OR($A443="",$C443=""),"",IFERROR(INDEX(INSUMOS!$P$6:$P$205,MATCH($C443,INSUMOS!$A$6:$A$205,0)),0))</f>
        <v/>
      </c>
      <c r="H443" s="43" t="str">
        <f aca="false">IF(OR($A443="",$C443=""),"",N($F443)*$G443)</f>
        <v/>
      </c>
      <c r="I443" s="34" t="str">
        <f aca="false">IF(OR($A443="",$C443=""),"",IFERROR(MAX(1,INDEX(PRODUCTOS!$G$6:$G$105,MATCH($A443,PRODUCTOS!$A$6:$A$105,0))),1))</f>
        <v/>
      </c>
      <c r="J443" s="43" t="str">
        <f aca="false">IF(OR($A443="",$C443=""),"",$H443/$I443)</f>
        <v/>
      </c>
      <c r="K443" s="34" t="str">
        <f aca="false">IF(OR($A443="",$C443=""),"",SUMIFS(VENTAS!$E$6:$E$2005,VENTAS!$C$6:$C$2005,$A443))</f>
        <v/>
      </c>
      <c r="L443" s="45" t="str">
        <f aca="false">IF(OR($A443="",$C443=""),"",IFERROR(N($F443)/INDEX(INSUMOS!$I$6:$I$205,MATCH($C443,INSUMOS!$A$6:$A$205,0)),N($F443))/$I443*$K443)</f>
        <v/>
      </c>
      <c r="M443" s="8" t="str">
        <f aca="false">IF($A443="","",COUNTIF($A$6:$A443,$A443))</f>
        <v/>
      </c>
      <c r="N443" s="8" t="str">
        <f aca="false">IF($A443="","",$A443&amp;"|"&amp;$M443)</f>
        <v/>
      </c>
    </row>
    <row r="444" customFormat="false" ht="15" hidden="false" customHeight="false" outlineLevel="0" collapsed="false">
      <c r="A444" s="6"/>
      <c r="B444" s="8" t="str">
        <f aca="false">IF($A444="","",IFERROR(INDEX(PRODUCTOS!$B$6:$B$105,MATCH($A444,PRODUCTOS!$A$6:$A$105,0)),"¿Código?"))</f>
        <v/>
      </c>
      <c r="C444" s="6"/>
      <c r="D444" s="8" t="str">
        <f aca="false">IF($C444="","",IFERROR(INDEX(INSUMOS!$B$6:$B$205,MATCH($C444,INSUMOS!$A$6:$A$205,0)),"¿Código?"))</f>
        <v/>
      </c>
      <c r="E444" s="8" t="str">
        <f aca="false">IF($C444="","",IFERROR(INDEX(INSUMOS!$D$6:$D$205,MATCH($C444,INSUMOS!$A$6:$A$205,0)),""))</f>
        <v/>
      </c>
      <c r="F444" s="39"/>
      <c r="G444" s="43" t="str">
        <f aca="false">IF(OR($A444="",$C444=""),"",IFERROR(INDEX(INSUMOS!$P$6:$P$205,MATCH($C444,INSUMOS!$A$6:$A$205,0)),0))</f>
        <v/>
      </c>
      <c r="H444" s="43" t="str">
        <f aca="false">IF(OR($A444="",$C444=""),"",N($F444)*$G444)</f>
        <v/>
      </c>
      <c r="I444" s="34" t="str">
        <f aca="false">IF(OR($A444="",$C444=""),"",IFERROR(MAX(1,INDEX(PRODUCTOS!$G$6:$G$105,MATCH($A444,PRODUCTOS!$A$6:$A$105,0))),1))</f>
        <v/>
      </c>
      <c r="J444" s="43" t="str">
        <f aca="false">IF(OR($A444="",$C444=""),"",$H444/$I444)</f>
        <v/>
      </c>
      <c r="K444" s="34" t="str">
        <f aca="false">IF(OR($A444="",$C444=""),"",SUMIFS(VENTAS!$E$6:$E$2005,VENTAS!$C$6:$C$2005,$A444))</f>
        <v/>
      </c>
      <c r="L444" s="45" t="str">
        <f aca="false">IF(OR($A444="",$C444=""),"",IFERROR(N($F444)/INDEX(INSUMOS!$I$6:$I$205,MATCH($C444,INSUMOS!$A$6:$A$205,0)),N($F444))/$I444*$K444)</f>
        <v/>
      </c>
      <c r="M444" s="8" t="str">
        <f aca="false">IF($A444="","",COUNTIF($A$6:$A444,$A444))</f>
        <v/>
      </c>
      <c r="N444" s="8" t="str">
        <f aca="false">IF($A444="","",$A444&amp;"|"&amp;$M444)</f>
        <v/>
      </c>
    </row>
    <row r="445" customFormat="false" ht="15" hidden="false" customHeight="false" outlineLevel="0" collapsed="false">
      <c r="A445" s="6"/>
      <c r="B445" s="8" t="str">
        <f aca="false">IF($A445="","",IFERROR(INDEX(PRODUCTOS!$B$6:$B$105,MATCH($A445,PRODUCTOS!$A$6:$A$105,0)),"¿Código?"))</f>
        <v/>
      </c>
      <c r="C445" s="6"/>
      <c r="D445" s="8" t="str">
        <f aca="false">IF($C445="","",IFERROR(INDEX(INSUMOS!$B$6:$B$205,MATCH($C445,INSUMOS!$A$6:$A$205,0)),"¿Código?"))</f>
        <v/>
      </c>
      <c r="E445" s="8" t="str">
        <f aca="false">IF($C445="","",IFERROR(INDEX(INSUMOS!$D$6:$D$205,MATCH($C445,INSUMOS!$A$6:$A$205,0)),""))</f>
        <v/>
      </c>
      <c r="F445" s="39"/>
      <c r="G445" s="43" t="str">
        <f aca="false">IF(OR($A445="",$C445=""),"",IFERROR(INDEX(INSUMOS!$P$6:$P$205,MATCH($C445,INSUMOS!$A$6:$A$205,0)),0))</f>
        <v/>
      </c>
      <c r="H445" s="43" t="str">
        <f aca="false">IF(OR($A445="",$C445=""),"",N($F445)*$G445)</f>
        <v/>
      </c>
      <c r="I445" s="34" t="str">
        <f aca="false">IF(OR($A445="",$C445=""),"",IFERROR(MAX(1,INDEX(PRODUCTOS!$G$6:$G$105,MATCH($A445,PRODUCTOS!$A$6:$A$105,0))),1))</f>
        <v/>
      </c>
      <c r="J445" s="43" t="str">
        <f aca="false">IF(OR($A445="",$C445=""),"",$H445/$I445)</f>
        <v/>
      </c>
      <c r="K445" s="34" t="str">
        <f aca="false">IF(OR($A445="",$C445=""),"",SUMIFS(VENTAS!$E$6:$E$2005,VENTAS!$C$6:$C$2005,$A445))</f>
        <v/>
      </c>
      <c r="L445" s="45" t="str">
        <f aca="false">IF(OR($A445="",$C445=""),"",IFERROR(N($F445)/INDEX(INSUMOS!$I$6:$I$205,MATCH($C445,INSUMOS!$A$6:$A$205,0)),N($F445))/$I445*$K445)</f>
        <v/>
      </c>
      <c r="M445" s="8" t="str">
        <f aca="false">IF($A445="","",COUNTIF($A$6:$A445,$A445))</f>
        <v/>
      </c>
      <c r="N445" s="8" t="str">
        <f aca="false">IF($A445="","",$A445&amp;"|"&amp;$M445)</f>
        <v/>
      </c>
    </row>
    <row r="446" customFormat="false" ht="15" hidden="false" customHeight="false" outlineLevel="0" collapsed="false">
      <c r="A446" s="6"/>
      <c r="B446" s="8" t="str">
        <f aca="false">IF($A446="","",IFERROR(INDEX(PRODUCTOS!$B$6:$B$105,MATCH($A446,PRODUCTOS!$A$6:$A$105,0)),"¿Código?"))</f>
        <v/>
      </c>
      <c r="C446" s="6"/>
      <c r="D446" s="8" t="str">
        <f aca="false">IF($C446="","",IFERROR(INDEX(INSUMOS!$B$6:$B$205,MATCH($C446,INSUMOS!$A$6:$A$205,0)),"¿Código?"))</f>
        <v/>
      </c>
      <c r="E446" s="8" t="str">
        <f aca="false">IF($C446="","",IFERROR(INDEX(INSUMOS!$D$6:$D$205,MATCH($C446,INSUMOS!$A$6:$A$205,0)),""))</f>
        <v/>
      </c>
      <c r="F446" s="39"/>
      <c r="G446" s="43" t="str">
        <f aca="false">IF(OR($A446="",$C446=""),"",IFERROR(INDEX(INSUMOS!$P$6:$P$205,MATCH($C446,INSUMOS!$A$6:$A$205,0)),0))</f>
        <v/>
      </c>
      <c r="H446" s="43" t="str">
        <f aca="false">IF(OR($A446="",$C446=""),"",N($F446)*$G446)</f>
        <v/>
      </c>
      <c r="I446" s="34" t="str">
        <f aca="false">IF(OR($A446="",$C446=""),"",IFERROR(MAX(1,INDEX(PRODUCTOS!$G$6:$G$105,MATCH($A446,PRODUCTOS!$A$6:$A$105,0))),1))</f>
        <v/>
      </c>
      <c r="J446" s="43" t="str">
        <f aca="false">IF(OR($A446="",$C446=""),"",$H446/$I446)</f>
        <v/>
      </c>
      <c r="K446" s="34" t="str">
        <f aca="false">IF(OR($A446="",$C446=""),"",SUMIFS(VENTAS!$E$6:$E$2005,VENTAS!$C$6:$C$2005,$A446))</f>
        <v/>
      </c>
      <c r="L446" s="45" t="str">
        <f aca="false">IF(OR($A446="",$C446=""),"",IFERROR(N($F446)/INDEX(INSUMOS!$I$6:$I$205,MATCH($C446,INSUMOS!$A$6:$A$205,0)),N($F446))/$I446*$K446)</f>
        <v/>
      </c>
      <c r="M446" s="8" t="str">
        <f aca="false">IF($A446="","",COUNTIF($A$6:$A446,$A446))</f>
        <v/>
      </c>
      <c r="N446" s="8" t="str">
        <f aca="false">IF($A446="","",$A446&amp;"|"&amp;$M446)</f>
        <v/>
      </c>
    </row>
    <row r="447" customFormat="false" ht="15" hidden="false" customHeight="false" outlineLevel="0" collapsed="false">
      <c r="A447" s="6"/>
      <c r="B447" s="8" t="str">
        <f aca="false">IF($A447="","",IFERROR(INDEX(PRODUCTOS!$B$6:$B$105,MATCH($A447,PRODUCTOS!$A$6:$A$105,0)),"¿Código?"))</f>
        <v/>
      </c>
      <c r="C447" s="6"/>
      <c r="D447" s="8" t="str">
        <f aca="false">IF($C447="","",IFERROR(INDEX(INSUMOS!$B$6:$B$205,MATCH($C447,INSUMOS!$A$6:$A$205,0)),"¿Código?"))</f>
        <v/>
      </c>
      <c r="E447" s="8" t="str">
        <f aca="false">IF($C447="","",IFERROR(INDEX(INSUMOS!$D$6:$D$205,MATCH($C447,INSUMOS!$A$6:$A$205,0)),""))</f>
        <v/>
      </c>
      <c r="F447" s="39"/>
      <c r="G447" s="43" t="str">
        <f aca="false">IF(OR($A447="",$C447=""),"",IFERROR(INDEX(INSUMOS!$P$6:$P$205,MATCH($C447,INSUMOS!$A$6:$A$205,0)),0))</f>
        <v/>
      </c>
      <c r="H447" s="43" t="str">
        <f aca="false">IF(OR($A447="",$C447=""),"",N($F447)*$G447)</f>
        <v/>
      </c>
      <c r="I447" s="34" t="str">
        <f aca="false">IF(OR($A447="",$C447=""),"",IFERROR(MAX(1,INDEX(PRODUCTOS!$G$6:$G$105,MATCH($A447,PRODUCTOS!$A$6:$A$105,0))),1))</f>
        <v/>
      </c>
      <c r="J447" s="43" t="str">
        <f aca="false">IF(OR($A447="",$C447=""),"",$H447/$I447)</f>
        <v/>
      </c>
      <c r="K447" s="34" t="str">
        <f aca="false">IF(OR($A447="",$C447=""),"",SUMIFS(VENTAS!$E$6:$E$2005,VENTAS!$C$6:$C$2005,$A447))</f>
        <v/>
      </c>
      <c r="L447" s="45" t="str">
        <f aca="false">IF(OR($A447="",$C447=""),"",IFERROR(N($F447)/INDEX(INSUMOS!$I$6:$I$205,MATCH($C447,INSUMOS!$A$6:$A$205,0)),N($F447))/$I447*$K447)</f>
        <v/>
      </c>
      <c r="M447" s="8" t="str">
        <f aca="false">IF($A447="","",COUNTIF($A$6:$A447,$A447))</f>
        <v/>
      </c>
      <c r="N447" s="8" t="str">
        <f aca="false">IF($A447="","",$A447&amp;"|"&amp;$M447)</f>
        <v/>
      </c>
    </row>
    <row r="448" customFormat="false" ht="15" hidden="false" customHeight="false" outlineLevel="0" collapsed="false">
      <c r="A448" s="6"/>
      <c r="B448" s="8" t="str">
        <f aca="false">IF($A448="","",IFERROR(INDEX(PRODUCTOS!$B$6:$B$105,MATCH($A448,PRODUCTOS!$A$6:$A$105,0)),"¿Código?"))</f>
        <v/>
      </c>
      <c r="C448" s="6"/>
      <c r="D448" s="8" t="str">
        <f aca="false">IF($C448="","",IFERROR(INDEX(INSUMOS!$B$6:$B$205,MATCH($C448,INSUMOS!$A$6:$A$205,0)),"¿Código?"))</f>
        <v/>
      </c>
      <c r="E448" s="8" t="str">
        <f aca="false">IF($C448="","",IFERROR(INDEX(INSUMOS!$D$6:$D$205,MATCH($C448,INSUMOS!$A$6:$A$205,0)),""))</f>
        <v/>
      </c>
      <c r="F448" s="39"/>
      <c r="G448" s="43" t="str">
        <f aca="false">IF(OR($A448="",$C448=""),"",IFERROR(INDEX(INSUMOS!$P$6:$P$205,MATCH($C448,INSUMOS!$A$6:$A$205,0)),0))</f>
        <v/>
      </c>
      <c r="H448" s="43" t="str">
        <f aca="false">IF(OR($A448="",$C448=""),"",N($F448)*$G448)</f>
        <v/>
      </c>
      <c r="I448" s="34" t="str">
        <f aca="false">IF(OR($A448="",$C448=""),"",IFERROR(MAX(1,INDEX(PRODUCTOS!$G$6:$G$105,MATCH($A448,PRODUCTOS!$A$6:$A$105,0))),1))</f>
        <v/>
      </c>
      <c r="J448" s="43" t="str">
        <f aca="false">IF(OR($A448="",$C448=""),"",$H448/$I448)</f>
        <v/>
      </c>
      <c r="K448" s="34" t="str">
        <f aca="false">IF(OR($A448="",$C448=""),"",SUMIFS(VENTAS!$E$6:$E$2005,VENTAS!$C$6:$C$2005,$A448))</f>
        <v/>
      </c>
      <c r="L448" s="45" t="str">
        <f aca="false">IF(OR($A448="",$C448=""),"",IFERROR(N($F448)/INDEX(INSUMOS!$I$6:$I$205,MATCH($C448,INSUMOS!$A$6:$A$205,0)),N($F448))/$I448*$K448)</f>
        <v/>
      </c>
      <c r="M448" s="8" t="str">
        <f aca="false">IF($A448="","",COUNTIF($A$6:$A448,$A448))</f>
        <v/>
      </c>
      <c r="N448" s="8" t="str">
        <f aca="false">IF($A448="","",$A448&amp;"|"&amp;$M448)</f>
        <v/>
      </c>
    </row>
    <row r="449" customFormat="false" ht="15" hidden="false" customHeight="false" outlineLevel="0" collapsed="false">
      <c r="A449" s="6"/>
      <c r="B449" s="8" t="str">
        <f aca="false">IF($A449="","",IFERROR(INDEX(PRODUCTOS!$B$6:$B$105,MATCH($A449,PRODUCTOS!$A$6:$A$105,0)),"¿Código?"))</f>
        <v/>
      </c>
      <c r="C449" s="6"/>
      <c r="D449" s="8" t="str">
        <f aca="false">IF($C449="","",IFERROR(INDEX(INSUMOS!$B$6:$B$205,MATCH($C449,INSUMOS!$A$6:$A$205,0)),"¿Código?"))</f>
        <v/>
      </c>
      <c r="E449" s="8" t="str">
        <f aca="false">IF($C449="","",IFERROR(INDEX(INSUMOS!$D$6:$D$205,MATCH($C449,INSUMOS!$A$6:$A$205,0)),""))</f>
        <v/>
      </c>
      <c r="F449" s="39"/>
      <c r="G449" s="43" t="str">
        <f aca="false">IF(OR($A449="",$C449=""),"",IFERROR(INDEX(INSUMOS!$P$6:$P$205,MATCH($C449,INSUMOS!$A$6:$A$205,0)),0))</f>
        <v/>
      </c>
      <c r="H449" s="43" t="str">
        <f aca="false">IF(OR($A449="",$C449=""),"",N($F449)*$G449)</f>
        <v/>
      </c>
      <c r="I449" s="34" t="str">
        <f aca="false">IF(OR($A449="",$C449=""),"",IFERROR(MAX(1,INDEX(PRODUCTOS!$G$6:$G$105,MATCH($A449,PRODUCTOS!$A$6:$A$105,0))),1))</f>
        <v/>
      </c>
      <c r="J449" s="43" t="str">
        <f aca="false">IF(OR($A449="",$C449=""),"",$H449/$I449)</f>
        <v/>
      </c>
      <c r="K449" s="34" t="str">
        <f aca="false">IF(OR($A449="",$C449=""),"",SUMIFS(VENTAS!$E$6:$E$2005,VENTAS!$C$6:$C$2005,$A449))</f>
        <v/>
      </c>
      <c r="L449" s="45" t="str">
        <f aca="false">IF(OR($A449="",$C449=""),"",IFERROR(N($F449)/INDEX(INSUMOS!$I$6:$I$205,MATCH($C449,INSUMOS!$A$6:$A$205,0)),N($F449))/$I449*$K449)</f>
        <v/>
      </c>
      <c r="M449" s="8" t="str">
        <f aca="false">IF($A449="","",COUNTIF($A$6:$A449,$A449))</f>
        <v/>
      </c>
      <c r="N449" s="8" t="str">
        <f aca="false">IF($A449="","",$A449&amp;"|"&amp;$M449)</f>
        <v/>
      </c>
    </row>
    <row r="450" customFormat="false" ht="15" hidden="false" customHeight="false" outlineLevel="0" collapsed="false">
      <c r="A450" s="6"/>
      <c r="B450" s="8" t="str">
        <f aca="false">IF($A450="","",IFERROR(INDEX(PRODUCTOS!$B$6:$B$105,MATCH($A450,PRODUCTOS!$A$6:$A$105,0)),"¿Código?"))</f>
        <v/>
      </c>
      <c r="C450" s="6"/>
      <c r="D450" s="8" t="str">
        <f aca="false">IF($C450="","",IFERROR(INDEX(INSUMOS!$B$6:$B$205,MATCH($C450,INSUMOS!$A$6:$A$205,0)),"¿Código?"))</f>
        <v/>
      </c>
      <c r="E450" s="8" t="str">
        <f aca="false">IF($C450="","",IFERROR(INDEX(INSUMOS!$D$6:$D$205,MATCH($C450,INSUMOS!$A$6:$A$205,0)),""))</f>
        <v/>
      </c>
      <c r="F450" s="39"/>
      <c r="G450" s="43" t="str">
        <f aca="false">IF(OR($A450="",$C450=""),"",IFERROR(INDEX(INSUMOS!$P$6:$P$205,MATCH($C450,INSUMOS!$A$6:$A$205,0)),0))</f>
        <v/>
      </c>
      <c r="H450" s="43" t="str">
        <f aca="false">IF(OR($A450="",$C450=""),"",N($F450)*$G450)</f>
        <v/>
      </c>
      <c r="I450" s="34" t="str">
        <f aca="false">IF(OR($A450="",$C450=""),"",IFERROR(MAX(1,INDEX(PRODUCTOS!$G$6:$G$105,MATCH($A450,PRODUCTOS!$A$6:$A$105,0))),1))</f>
        <v/>
      </c>
      <c r="J450" s="43" t="str">
        <f aca="false">IF(OR($A450="",$C450=""),"",$H450/$I450)</f>
        <v/>
      </c>
      <c r="K450" s="34" t="str">
        <f aca="false">IF(OR($A450="",$C450=""),"",SUMIFS(VENTAS!$E$6:$E$2005,VENTAS!$C$6:$C$2005,$A450))</f>
        <v/>
      </c>
      <c r="L450" s="45" t="str">
        <f aca="false">IF(OR($A450="",$C450=""),"",IFERROR(N($F450)/INDEX(INSUMOS!$I$6:$I$205,MATCH($C450,INSUMOS!$A$6:$A$205,0)),N($F450))/$I450*$K450)</f>
        <v/>
      </c>
      <c r="M450" s="8" t="str">
        <f aca="false">IF($A450="","",COUNTIF($A$6:$A450,$A450))</f>
        <v/>
      </c>
      <c r="N450" s="8" t="str">
        <f aca="false">IF($A450="","",$A450&amp;"|"&amp;$M450)</f>
        <v/>
      </c>
    </row>
    <row r="451" customFormat="false" ht="15" hidden="false" customHeight="false" outlineLevel="0" collapsed="false">
      <c r="A451" s="6"/>
      <c r="B451" s="8" t="str">
        <f aca="false">IF($A451="","",IFERROR(INDEX(PRODUCTOS!$B$6:$B$105,MATCH($A451,PRODUCTOS!$A$6:$A$105,0)),"¿Código?"))</f>
        <v/>
      </c>
      <c r="C451" s="6"/>
      <c r="D451" s="8" t="str">
        <f aca="false">IF($C451="","",IFERROR(INDEX(INSUMOS!$B$6:$B$205,MATCH($C451,INSUMOS!$A$6:$A$205,0)),"¿Código?"))</f>
        <v/>
      </c>
      <c r="E451" s="8" t="str">
        <f aca="false">IF($C451="","",IFERROR(INDEX(INSUMOS!$D$6:$D$205,MATCH($C451,INSUMOS!$A$6:$A$205,0)),""))</f>
        <v/>
      </c>
      <c r="F451" s="39"/>
      <c r="G451" s="43" t="str">
        <f aca="false">IF(OR($A451="",$C451=""),"",IFERROR(INDEX(INSUMOS!$P$6:$P$205,MATCH($C451,INSUMOS!$A$6:$A$205,0)),0))</f>
        <v/>
      </c>
      <c r="H451" s="43" t="str">
        <f aca="false">IF(OR($A451="",$C451=""),"",N($F451)*$G451)</f>
        <v/>
      </c>
      <c r="I451" s="34" t="str">
        <f aca="false">IF(OR($A451="",$C451=""),"",IFERROR(MAX(1,INDEX(PRODUCTOS!$G$6:$G$105,MATCH($A451,PRODUCTOS!$A$6:$A$105,0))),1))</f>
        <v/>
      </c>
      <c r="J451" s="43" t="str">
        <f aca="false">IF(OR($A451="",$C451=""),"",$H451/$I451)</f>
        <v/>
      </c>
      <c r="K451" s="34" t="str">
        <f aca="false">IF(OR($A451="",$C451=""),"",SUMIFS(VENTAS!$E$6:$E$2005,VENTAS!$C$6:$C$2005,$A451))</f>
        <v/>
      </c>
      <c r="L451" s="45" t="str">
        <f aca="false">IF(OR($A451="",$C451=""),"",IFERROR(N($F451)/INDEX(INSUMOS!$I$6:$I$205,MATCH($C451,INSUMOS!$A$6:$A$205,0)),N($F451))/$I451*$K451)</f>
        <v/>
      </c>
      <c r="M451" s="8" t="str">
        <f aca="false">IF($A451="","",COUNTIF($A$6:$A451,$A451))</f>
        <v/>
      </c>
      <c r="N451" s="8" t="str">
        <f aca="false">IF($A451="","",$A451&amp;"|"&amp;$M451)</f>
        <v/>
      </c>
    </row>
    <row r="452" customFormat="false" ht="15" hidden="false" customHeight="false" outlineLevel="0" collapsed="false">
      <c r="A452" s="6"/>
      <c r="B452" s="8" t="str">
        <f aca="false">IF($A452="","",IFERROR(INDEX(PRODUCTOS!$B$6:$B$105,MATCH($A452,PRODUCTOS!$A$6:$A$105,0)),"¿Código?"))</f>
        <v/>
      </c>
      <c r="C452" s="6"/>
      <c r="D452" s="8" t="str">
        <f aca="false">IF($C452="","",IFERROR(INDEX(INSUMOS!$B$6:$B$205,MATCH($C452,INSUMOS!$A$6:$A$205,0)),"¿Código?"))</f>
        <v/>
      </c>
      <c r="E452" s="8" t="str">
        <f aca="false">IF($C452="","",IFERROR(INDEX(INSUMOS!$D$6:$D$205,MATCH($C452,INSUMOS!$A$6:$A$205,0)),""))</f>
        <v/>
      </c>
      <c r="F452" s="39"/>
      <c r="G452" s="43" t="str">
        <f aca="false">IF(OR($A452="",$C452=""),"",IFERROR(INDEX(INSUMOS!$P$6:$P$205,MATCH($C452,INSUMOS!$A$6:$A$205,0)),0))</f>
        <v/>
      </c>
      <c r="H452" s="43" t="str">
        <f aca="false">IF(OR($A452="",$C452=""),"",N($F452)*$G452)</f>
        <v/>
      </c>
      <c r="I452" s="34" t="str">
        <f aca="false">IF(OR($A452="",$C452=""),"",IFERROR(MAX(1,INDEX(PRODUCTOS!$G$6:$G$105,MATCH($A452,PRODUCTOS!$A$6:$A$105,0))),1))</f>
        <v/>
      </c>
      <c r="J452" s="43" t="str">
        <f aca="false">IF(OR($A452="",$C452=""),"",$H452/$I452)</f>
        <v/>
      </c>
      <c r="K452" s="34" t="str">
        <f aca="false">IF(OR($A452="",$C452=""),"",SUMIFS(VENTAS!$E$6:$E$2005,VENTAS!$C$6:$C$2005,$A452))</f>
        <v/>
      </c>
      <c r="L452" s="45" t="str">
        <f aca="false">IF(OR($A452="",$C452=""),"",IFERROR(N($F452)/INDEX(INSUMOS!$I$6:$I$205,MATCH($C452,INSUMOS!$A$6:$A$205,0)),N($F452))/$I452*$K452)</f>
        <v/>
      </c>
      <c r="M452" s="8" t="str">
        <f aca="false">IF($A452="","",COUNTIF($A$6:$A452,$A452))</f>
        <v/>
      </c>
      <c r="N452" s="8" t="str">
        <f aca="false">IF($A452="","",$A452&amp;"|"&amp;$M452)</f>
        <v/>
      </c>
    </row>
    <row r="453" customFormat="false" ht="15" hidden="false" customHeight="false" outlineLevel="0" collapsed="false">
      <c r="A453" s="6"/>
      <c r="B453" s="8" t="str">
        <f aca="false">IF($A453="","",IFERROR(INDEX(PRODUCTOS!$B$6:$B$105,MATCH($A453,PRODUCTOS!$A$6:$A$105,0)),"¿Código?"))</f>
        <v/>
      </c>
      <c r="C453" s="6"/>
      <c r="D453" s="8" t="str">
        <f aca="false">IF($C453="","",IFERROR(INDEX(INSUMOS!$B$6:$B$205,MATCH($C453,INSUMOS!$A$6:$A$205,0)),"¿Código?"))</f>
        <v/>
      </c>
      <c r="E453" s="8" t="str">
        <f aca="false">IF($C453="","",IFERROR(INDEX(INSUMOS!$D$6:$D$205,MATCH($C453,INSUMOS!$A$6:$A$205,0)),""))</f>
        <v/>
      </c>
      <c r="F453" s="39"/>
      <c r="G453" s="43" t="str">
        <f aca="false">IF(OR($A453="",$C453=""),"",IFERROR(INDEX(INSUMOS!$P$6:$P$205,MATCH($C453,INSUMOS!$A$6:$A$205,0)),0))</f>
        <v/>
      </c>
      <c r="H453" s="43" t="str">
        <f aca="false">IF(OR($A453="",$C453=""),"",N($F453)*$G453)</f>
        <v/>
      </c>
      <c r="I453" s="34" t="str">
        <f aca="false">IF(OR($A453="",$C453=""),"",IFERROR(MAX(1,INDEX(PRODUCTOS!$G$6:$G$105,MATCH($A453,PRODUCTOS!$A$6:$A$105,0))),1))</f>
        <v/>
      </c>
      <c r="J453" s="43" t="str">
        <f aca="false">IF(OR($A453="",$C453=""),"",$H453/$I453)</f>
        <v/>
      </c>
      <c r="K453" s="34" t="str">
        <f aca="false">IF(OR($A453="",$C453=""),"",SUMIFS(VENTAS!$E$6:$E$2005,VENTAS!$C$6:$C$2005,$A453))</f>
        <v/>
      </c>
      <c r="L453" s="45" t="str">
        <f aca="false">IF(OR($A453="",$C453=""),"",IFERROR(N($F453)/INDEX(INSUMOS!$I$6:$I$205,MATCH($C453,INSUMOS!$A$6:$A$205,0)),N($F453))/$I453*$K453)</f>
        <v/>
      </c>
      <c r="M453" s="8" t="str">
        <f aca="false">IF($A453="","",COUNTIF($A$6:$A453,$A453))</f>
        <v/>
      </c>
      <c r="N453" s="8" t="str">
        <f aca="false">IF($A453="","",$A453&amp;"|"&amp;$M453)</f>
        <v/>
      </c>
    </row>
    <row r="454" customFormat="false" ht="15" hidden="false" customHeight="false" outlineLevel="0" collapsed="false">
      <c r="A454" s="6"/>
      <c r="B454" s="8" t="str">
        <f aca="false">IF($A454="","",IFERROR(INDEX(PRODUCTOS!$B$6:$B$105,MATCH($A454,PRODUCTOS!$A$6:$A$105,0)),"¿Código?"))</f>
        <v/>
      </c>
      <c r="C454" s="6"/>
      <c r="D454" s="8" t="str">
        <f aca="false">IF($C454="","",IFERROR(INDEX(INSUMOS!$B$6:$B$205,MATCH($C454,INSUMOS!$A$6:$A$205,0)),"¿Código?"))</f>
        <v/>
      </c>
      <c r="E454" s="8" t="str">
        <f aca="false">IF($C454="","",IFERROR(INDEX(INSUMOS!$D$6:$D$205,MATCH($C454,INSUMOS!$A$6:$A$205,0)),""))</f>
        <v/>
      </c>
      <c r="F454" s="39"/>
      <c r="G454" s="43" t="str">
        <f aca="false">IF(OR($A454="",$C454=""),"",IFERROR(INDEX(INSUMOS!$P$6:$P$205,MATCH($C454,INSUMOS!$A$6:$A$205,0)),0))</f>
        <v/>
      </c>
      <c r="H454" s="43" t="str">
        <f aca="false">IF(OR($A454="",$C454=""),"",N($F454)*$G454)</f>
        <v/>
      </c>
      <c r="I454" s="34" t="str">
        <f aca="false">IF(OR($A454="",$C454=""),"",IFERROR(MAX(1,INDEX(PRODUCTOS!$G$6:$G$105,MATCH($A454,PRODUCTOS!$A$6:$A$105,0))),1))</f>
        <v/>
      </c>
      <c r="J454" s="43" t="str">
        <f aca="false">IF(OR($A454="",$C454=""),"",$H454/$I454)</f>
        <v/>
      </c>
      <c r="K454" s="34" t="str">
        <f aca="false">IF(OR($A454="",$C454=""),"",SUMIFS(VENTAS!$E$6:$E$2005,VENTAS!$C$6:$C$2005,$A454))</f>
        <v/>
      </c>
      <c r="L454" s="45" t="str">
        <f aca="false">IF(OR($A454="",$C454=""),"",IFERROR(N($F454)/INDEX(INSUMOS!$I$6:$I$205,MATCH($C454,INSUMOS!$A$6:$A$205,0)),N($F454))/$I454*$K454)</f>
        <v/>
      </c>
      <c r="M454" s="8" t="str">
        <f aca="false">IF($A454="","",COUNTIF($A$6:$A454,$A454))</f>
        <v/>
      </c>
      <c r="N454" s="8" t="str">
        <f aca="false">IF($A454="","",$A454&amp;"|"&amp;$M454)</f>
        <v/>
      </c>
    </row>
    <row r="455" customFormat="false" ht="15" hidden="false" customHeight="false" outlineLevel="0" collapsed="false">
      <c r="A455" s="6"/>
      <c r="B455" s="8" t="str">
        <f aca="false">IF($A455="","",IFERROR(INDEX(PRODUCTOS!$B$6:$B$105,MATCH($A455,PRODUCTOS!$A$6:$A$105,0)),"¿Código?"))</f>
        <v/>
      </c>
      <c r="C455" s="6"/>
      <c r="D455" s="8" t="str">
        <f aca="false">IF($C455="","",IFERROR(INDEX(INSUMOS!$B$6:$B$205,MATCH($C455,INSUMOS!$A$6:$A$205,0)),"¿Código?"))</f>
        <v/>
      </c>
      <c r="E455" s="8" t="str">
        <f aca="false">IF($C455="","",IFERROR(INDEX(INSUMOS!$D$6:$D$205,MATCH($C455,INSUMOS!$A$6:$A$205,0)),""))</f>
        <v/>
      </c>
      <c r="F455" s="39"/>
      <c r="G455" s="43" t="str">
        <f aca="false">IF(OR($A455="",$C455=""),"",IFERROR(INDEX(INSUMOS!$P$6:$P$205,MATCH($C455,INSUMOS!$A$6:$A$205,0)),0))</f>
        <v/>
      </c>
      <c r="H455" s="43" t="str">
        <f aca="false">IF(OR($A455="",$C455=""),"",N($F455)*$G455)</f>
        <v/>
      </c>
      <c r="I455" s="34" t="str">
        <f aca="false">IF(OR($A455="",$C455=""),"",IFERROR(MAX(1,INDEX(PRODUCTOS!$G$6:$G$105,MATCH($A455,PRODUCTOS!$A$6:$A$105,0))),1))</f>
        <v/>
      </c>
      <c r="J455" s="43" t="str">
        <f aca="false">IF(OR($A455="",$C455=""),"",$H455/$I455)</f>
        <v/>
      </c>
      <c r="K455" s="34" t="str">
        <f aca="false">IF(OR($A455="",$C455=""),"",SUMIFS(VENTAS!$E$6:$E$2005,VENTAS!$C$6:$C$2005,$A455))</f>
        <v/>
      </c>
      <c r="L455" s="45" t="str">
        <f aca="false">IF(OR($A455="",$C455=""),"",IFERROR(N($F455)/INDEX(INSUMOS!$I$6:$I$205,MATCH($C455,INSUMOS!$A$6:$A$205,0)),N($F455))/$I455*$K455)</f>
        <v/>
      </c>
      <c r="M455" s="8" t="str">
        <f aca="false">IF($A455="","",COUNTIF($A$6:$A455,$A455))</f>
        <v/>
      </c>
      <c r="N455" s="8" t="str">
        <f aca="false">IF($A455="","",$A455&amp;"|"&amp;$M455)</f>
        <v/>
      </c>
    </row>
    <row r="456" customFormat="false" ht="15" hidden="false" customHeight="false" outlineLevel="0" collapsed="false">
      <c r="A456" s="6"/>
      <c r="B456" s="8" t="str">
        <f aca="false">IF($A456="","",IFERROR(INDEX(PRODUCTOS!$B$6:$B$105,MATCH($A456,PRODUCTOS!$A$6:$A$105,0)),"¿Código?"))</f>
        <v/>
      </c>
      <c r="C456" s="6"/>
      <c r="D456" s="8" t="str">
        <f aca="false">IF($C456="","",IFERROR(INDEX(INSUMOS!$B$6:$B$205,MATCH($C456,INSUMOS!$A$6:$A$205,0)),"¿Código?"))</f>
        <v/>
      </c>
      <c r="E456" s="8" t="str">
        <f aca="false">IF($C456="","",IFERROR(INDEX(INSUMOS!$D$6:$D$205,MATCH($C456,INSUMOS!$A$6:$A$205,0)),""))</f>
        <v/>
      </c>
      <c r="F456" s="39"/>
      <c r="G456" s="43" t="str">
        <f aca="false">IF(OR($A456="",$C456=""),"",IFERROR(INDEX(INSUMOS!$P$6:$P$205,MATCH($C456,INSUMOS!$A$6:$A$205,0)),0))</f>
        <v/>
      </c>
      <c r="H456" s="43" t="str">
        <f aca="false">IF(OR($A456="",$C456=""),"",N($F456)*$G456)</f>
        <v/>
      </c>
      <c r="I456" s="34" t="str">
        <f aca="false">IF(OR($A456="",$C456=""),"",IFERROR(MAX(1,INDEX(PRODUCTOS!$G$6:$G$105,MATCH($A456,PRODUCTOS!$A$6:$A$105,0))),1))</f>
        <v/>
      </c>
      <c r="J456" s="43" t="str">
        <f aca="false">IF(OR($A456="",$C456=""),"",$H456/$I456)</f>
        <v/>
      </c>
      <c r="K456" s="34" t="str">
        <f aca="false">IF(OR($A456="",$C456=""),"",SUMIFS(VENTAS!$E$6:$E$2005,VENTAS!$C$6:$C$2005,$A456))</f>
        <v/>
      </c>
      <c r="L456" s="45" t="str">
        <f aca="false">IF(OR($A456="",$C456=""),"",IFERROR(N($F456)/INDEX(INSUMOS!$I$6:$I$205,MATCH($C456,INSUMOS!$A$6:$A$205,0)),N($F456))/$I456*$K456)</f>
        <v/>
      </c>
      <c r="M456" s="8" t="str">
        <f aca="false">IF($A456="","",COUNTIF($A$6:$A456,$A456))</f>
        <v/>
      </c>
      <c r="N456" s="8" t="str">
        <f aca="false">IF($A456="","",$A456&amp;"|"&amp;$M456)</f>
        <v/>
      </c>
    </row>
    <row r="457" customFormat="false" ht="15" hidden="false" customHeight="false" outlineLevel="0" collapsed="false">
      <c r="A457" s="6"/>
      <c r="B457" s="8" t="str">
        <f aca="false">IF($A457="","",IFERROR(INDEX(PRODUCTOS!$B$6:$B$105,MATCH($A457,PRODUCTOS!$A$6:$A$105,0)),"¿Código?"))</f>
        <v/>
      </c>
      <c r="C457" s="6"/>
      <c r="D457" s="8" t="str">
        <f aca="false">IF($C457="","",IFERROR(INDEX(INSUMOS!$B$6:$B$205,MATCH($C457,INSUMOS!$A$6:$A$205,0)),"¿Código?"))</f>
        <v/>
      </c>
      <c r="E457" s="8" t="str">
        <f aca="false">IF($C457="","",IFERROR(INDEX(INSUMOS!$D$6:$D$205,MATCH($C457,INSUMOS!$A$6:$A$205,0)),""))</f>
        <v/>
      </c>
      <c r="F457" s="39"/>
      <c r="G457" s="43" t="str">
        <f aca="false">IF(OR($A457="",$C457=""),"",IFERROR(INDEX(INSUMOS!$P$6:$P$205,MATCH($C457,INSUMOS!$A$6:$A$205,0)),0))</f>
        <v/>
      </c>
      <c r="H457" s="43" t="str">
        <f aca="false">IF(OR($A457="",$C457=""),"",N($F457)*$G457)</f>
        <v/>
      </c>
      <c r="I457" s="34" t="str">
        <f aca="false">IF(OR($A457="",$C457=""),"",IFERROR(MAX(1,INDEX(PRODUCTOS!$G$6:$G$105,MATCH($A457,PRODUCTOS!$A$6:$A$105,0))),1))</f>
        <v/>
      </c>
      <c r="J457" s="43" t="str">
        <f aca="false">IF(OR($A457="",$C457=""),"",$H457/$I457)</f>
        <v/>
      </c>
      <c r="K457" s="34" t="str">
        <f aca="false">IF(OR($A457="",$C457=""),"",SUMIFS(VENTAS!$E$6:$E$2005,VENTAS!$C$6:$C$2005,$A457))</f>
        <v/>
      </c>
      <c r="L457" s="45" t="str">
        <f aca="false">IF(OR($A457="",$C457=""),"",IFERROR(N($F457)/INDEX(INSUMOS!$I$6:$I$205,MATCH($C457,INSUMOS!$A$6:$A$205,0)),N($F457))/$I457*$K457)</f>
        <v/>
      </c>
      <c r="M457" s="8" t="str">
        <f aca="false">IF($A457="","",COUNTIF($A$6:$A457,$A457))</f>
        <v/>
      </c>
      <c r="N457" s="8" t="str">
        <f aca="false">IF($A457="","",$A457&amp;"|"&amp;$M457)</f>
        <v/>
      </c>
    </row>
    <row r="458" customFormat="false" ht="15" hidden="false" customHeight="false" outlineLevel="0" collapsed="false">
      <c r="A458" s="6"/>
      <c r="B458" s="8" t="str">
        <f aca="false">IF($A458="","",IFERROR(INDEX(PRODUCTOS!$B$6:$B$105,MATCH($A458,PRODUCTOS!$A$6:$A$105,0)),"¿Código?"))</f>
        <v/>
      </c>
      <c r="C458" s="6"/>
      <c r="D458" s="8" t="str">
        <f aca="false">IF($C458="","",IFERROR(INDEX(INSUMOS!$B$6:$B$205,MATCH($C458,INSUMOS!$A$6:$A$205,0)),"¿Código?"))</f>
        <v/>
      </c>
      <c r="E458" s="8" t="str">
        <f aca="false">IF($C458="","",IFERROR(INDEX(INSUMOS!$D$6:$D$205,MATCH($C458,INSUMOS!$A$6:$A$205,0)),""))</f>
        <v/>
      </c>
      <c r="F458" s="39"/>
      <c r="G458" s="43" t="str">
        <f aca="false">IF(OR($A458="",$C458=""),"",IFERROR(INDEX(INSUMOS!$P$6:$P$205,MATCH($C458,INSUMOS!$A$6:$A$205,0)),0))</f>
        <v/>
      </c>
      <c r="H458" s="43" t="str">
        <f aca="false">IF(OR($A458="",$C458=""),"",N($F458)*$G458)</f>
        <v/>
      </c>
      <c r="I458" s="34" t="str">
        <f aca="false">IF(OR($A458="",$C458=""),"",IFERROR(MAX(1,INDEX(PRODUCTOS!$G$6:$G$105,MATCH($A458,PRODUCTOS!$A$6:$A$105,0))),1))</f>
        <v/>
      </c>
      <c r="J458" s="43" t="str">
        <f aca="false">IF(OR($A458="",$C458=""),"",$H458/$I458)</f>
        <v/>
      </c>
      <c r="K458" s="34" t="str">
        <f aca="false">IF(OR($A458="",$C458=""),"",SUMIFS(VENTAS!$E$6:$E$2005,VENTAS!$C$6:$C$2005,$A458))</f>
        <v/>
      </c>
      <c r="L458" s="45" t="str">
        <f aca="false">IF(OR($A458="",$C458=""),"",IFERROR(N($F458)/INDEX(INSUMOS!$I$6:$I$205,MATCH($C458,INSUMOS!$A$6:$A$205,0)),N($F458))/$I458*$K458)</f>
        <v/>
      </c>
      <c r="M458" s="8" t="str">
        <f aca="false">IF($A458="","",COUNTIF($A$6:$A458,$A458))</f>
        <v/>
      </c>
      <c r="N458" s="8" t="str">
        <f aca="false">IF($A458="","",$A458&amp;"|"&amp;$M458)</f>
        <v/>
      </c>
    </row>
    <row r="459" customFormat="false" ht="15" hidden="false" customHeight="false" outlineLevel="0" collapsed="false">
      <c r="A459" s="6"/>
      <c r="B459" s="8" t="str">
        <f aca="false">IF($A459="","",IFERROR(INDEX(PRODUCTOS!$B$6:$B$105,MATCH($A459,PRODUCTOS!$A$6:$A$105,0)),"¿Código?"))</f>
        <v/>
      </c>
      <c r="C459" s="6"/>
      <c r="D459" s="8" t="str">
        <f aca="false">IF($C459="","",IFERROR(INDEX(INSUMOS!$B$6:$B$205,MATCH($C459,INSUMOS!$A$6:$A$205,0)),"¿Código?"))</f>
        <v/>
      </c>
      <c r="E459" s="8" t="str">
        <f aca="false">IF($C459="","",IFERROR(INDEX(INSUMOS!$D$6:$D$205,MATCH($C459,INSUMOS!$A$6:$A$205,0)),""))</f>
        <v/>
      </c>
      <c r="F459" s="39"/>
      <c r="G459" s="43" t="str">
        <f aca="false">IF(OR($A459="",$C459=""),"",IFERROR(INDEX(INSUMOS!$P$6:$P$205,MATCH($C459,INSUMOS!$A$6:$A$205,0)),0))</f>
        <v/>
      </c>
      <c r="H459" s="43" t="str">
        <f aca="false">IF(OR($A459="",$C459=""),"",N($F459)*$G459)</f>
        <v/>
      </c>
      <c r="I459" s="34" t="str">
        <f aca="false">IF(OR($A459="",$C459=""),"",IFERROR(MAX(1,INDEX(PRODUCTOS!$G$6:$G$105,MATCH($A459,PRODUCTOS!$A$6:$A$105,0))),1))</f>
        <v/>
      </c>
      <c r="J459" s="43" t="str">
        <f aca="false">IF(OR($A459="",$C459=""),"",$H459/$I459)</f>
        <v/>
      </c>
      <c r="K459" s="34" t="str">
        <f aca="false">IF(OR($A459="",$C459=""),"",SUMIFS(VENTAS!$E$6:$E$2005,VENTAS!$C$6:$C$2005,$A459))</f>
        <v/>
      </c>
      <c r="L459" s="45" t="str">
        <f aca="false">IF(OR($A459="",$C459=""),"",IFERROR(N($F459)/INDEX(INSUMOS!$I$6:$I$205,MATCH($C459,INSUMOS!$A$6:$A$205,0)),N($F459))/$I459*$K459)</f>
        <v/>
      </c>
      <c r="M459" s="8" t="str">
        <f aca="false">IF($A459="","",COUNTIF($A$6:$A459,$A459))</f>
        <v/>
      </c>
      <c r="N459" s="8" t="str">
        <f aca="false">IF($A459="","",$A459&amp;"|"&amp;$M459)</f>
        <v/>
      </c>
    </row>
    <row r="460" customFormat="false" ht="15" hidden="false" customHeight="false" outlineLevel="0" collapsed="false">
      <c r="A460" s="6"/>
      <c r="B460" s="8" t="str">
        <f aca="false">IF($A460="","",IFERROR(INDEX(PRODUCTOS!$B$6:$B$105,MATCH($A460,PRODUCTOS!$A$6:$A$105,0)),"¿Código?"))</f>
        <v/>
      </c>
      <c r="C460" s="6"/>
      <c r="D460" s="8" t="str">
        <f aca="false">IF($C460="","",IFERROR(INDEX(INSUMOS!$B$6:$B$205,MATCH($C460,INSUMOS!$A$6:$A$205,0)),"¿Código?"))</f>
        <v/>
      </c>
      <c r="E460" s="8" t="str">
        <f aca="false">IF($C460="","",IFERROR(INDEX(INSUMOS!$D$6:$D$205,MATCH($C460,INSUMOS!$A$6:$A$205,0)),""))</f>
        <v/>
      </c>
      <c r="F460" s="39"/>
      <c r="G460" s="43" t="str">
        <f aca="false">IF(OR($A460="",$C460=""),"",IFERROR(INDEX(INSUMOS!$P$6:$P$205,MATCH($C460,INSUMOS!$A$6:$A$205,0)),0))</f>
        <v/>
      </c>
      <c r="H460" s="43" t="str">
        <f aca="false">IF(OR($A460="",$C460=""),"",N($F460)*$G460)</f>
        <v/>
      </c>
      <c r="I460" s="34" t="str">
        <f aca="false">IF(OR($A460="",$C460=""),"",IFERROR(MAX(1,INDEX(PRODUCTOS!$G$6:$G$105,MATCH($A460,PRODUCTOS!$A$6:$A$105,0))),1))</f>
        <v/>
      </c>
      <c r="J460" s="43" t="str">
        <f aca="false">IF(OR($A460="",$C460=""),"",$H460/$I460)</f>
        <v/>
      </c>
      <c r="K460" s="34" t="str">
        <f aca="false">IF(OR($A460="",$C460=""),"",SUMIFS(VENTAS!$E$6:$E$2005,VENTAS!$C$6:$C$2005,$A460))</f>
        <v/>
      </c>
      <c r="L460" s="45" t="str">
        <f aca="false">IF(OR($A460="",$C460=""),"",IFERROR(N($F460)/INDEX(INSUMOS!$I$6:$I$205,MATCH($C460,INSUMOS!$A$6:$A$205,0)),N($F460))/$I460*$K460)</f>
        <v/>
      </c>
      <c r="M460" s="8" t="str">
        <f aca="false">IF($A460="","",COUNTIF($A$6:$A460,$A460))</f>
        <v/>
      </c>
      <c r="N460" s="8" t="str">
        <f aca="false">IF($A460="","",$A460&amp;"|"&amp;$M460)</f>
        <v/>
      </c>
    </row>
    <row r="461" customFormat="false" ht="15" hidden="false" customHeight="false" outlineLevel="0" collapsed="false">
      <c r="A461" s="6"/>
      <c r="B461" s="8" t="str">
        <f aca="false">IF($A461="","",IFERROR(INDEX(PRODUCTOS!$B$6:$B$105,MATCH($A461,PRODUCTOS!$A$6:$A$105,0)),"¿Código?"))</f>
        <v/>
      </c>
      <c r="C461" s="6"/>
      <c r="D461" s="8" t="str">
        <f aca="false">IF($C461="","",IFERROR(INDEX(INSUMOS!$B$6:$B$205,MATCH($C461,INSUMOS!$A$6:$A$205,0)),"¿Código?"))</f>
        <v/>
      </c>
      <c r="E461" s="8" t="str">
        <f aca="false">IF($C461="","",IFERROR(INDEX(INSUMOS!$D$6:$D$205,MATCH($C461,INSUMOS!$A$6:$A$205,0)),""))</f>
        <v/>
      </c>
      <c r="F461" s="39"/>
      <c r="G461" s="43" t="str">
        <f aca="false">IF(OR($A461="",$C461=""),"",IFERROR(INDEX(INSUMOS!$P$6:$P$205,MATCH($C461,INSUMOS!$A$6:$A$205,0)),0))</f>
        <v/>
      </c>
      <c r="H461" s="43" t="str">
        <f aca="false">IF(OR($A461="",$C461=""),"",N($F461)*$G461)</f>
        <v/>
      </c>
      <c r="I461" s="34" t="str">
        <f aca="false">IF(OR($A461="",$C461=""),"",IFERROR(MAX(1,INDEX(PRODUCTOS!$G$6:$G$105,MATCH($A461,PRODUCTOS!$A$6:$A$105,0))),1))</f>
        <v/>
      </c>
      <c r="J461" s="43" t="str">
        <f aca="false">IF(OR($A461="",$C461=""),"",$H461/$I461)</f>
        <v/>
      </c>
      <c r="K461" s="34" t="str">
        <f aca="false">IF(OR($A461="",$C461=""),"",SUMIFS(VENTAS!$E$6:$E$2005,VENTAS!$C$6:$C$2005,$A461))</f>
        <v/>
      </c>
      <c r="L461" s="45" t="str">
        <f aca="false">IF(OR($A461="",$C461=""),"",IFERROR(N($F461)/INDEX(INSUMOS!$I$6:$I$205,MATCH($C461,INSUMOS!$A$6:$A$205,0)),N($F461))/$I461*$K461)</f>
        <v/>
      </c>
      <c r="M461" s="8" t="str">
        <f aca="false">IF($A461="","",COUNTIF($A$6:$A461,$A461))</f>
        <v/>
      </c>
      <c r="N461" s="8" t="str">
        <f aca="false">IF($A461="","",$A461&amp;"|"&amp;$M461)</f>
        <v/>
      </c>
    </row>
    <row r="462" customFormat="false" ht="15" hidden="false" customHeight="false" outlineLevel="0" collapsed="false">
      <c r="A462" s="6"/>
      <c r="B462" s="8" t="str">
        <f aca="false">IF($A462="","",IFERROR(INDEX(PRODUCTOS!$B$6:$B$105,MATCH($A462,PRODUCTOS!$A$6:$A$105,0)),"¿Código?"))</f>
        <v/>
      </c>
      <c r="C462" s="6"/>
      <c r="D462" s="8" t="str">
        <f aca="false">IF($C462="","",IFERROR(INDEX(INSUMOS!$B$6:$B$205,MATCH($C462,INSUMOS!$A$6:$A$205,0)),"¿Código?"))</f>
        <v/>
      </c>
      <c r="E462" s="8" t="str">
        <f aca="false">IF($C462="","",IFERROR(INDEX(INSUMOS!$D$6:$D$205,MATCH($C462,INSUMOS!$A$6:$A$205,0)),""))</f>
        <v/>
      </c>
      <c r="F462" s="39"/>
      <c r="G462" s="43" t="str">
        <f aca="false">IF(OR($A462="",$C462=""),"",IFERROR(INDEX(INSUMOS!$P$6:$P$205,MATCH($C462,INSUMOS!$A$6:$A$205,0)),0))</f>
        <v/>
      </c>
      <c r="H462" s="43" t="str">
        <f aca="false">IF(OR($A462="",$C462=""),"",N($F462)*$G462)</f>
        <v/>
      </c>
      <c r="I462" s="34" t="str">
        <f aca="false">IF(OR($A462="",$C462=""),"",IFERROR(MAX(1,INDEX(PRODUCTOS!$G$6:$G$105,MATCH($A462,PRODUCTOS!$A$6:$A$105,0))),1))</f>
        <v/>
      </c>
      <c r="J462" s="43" t="str">
        <f aca="false">IF(OR($A462="",$C462=""),"",$H462/$I462)</f>
        <v/>
      </c>
      <c r="K462" s="34" t="str">
        <f aca="false">IF(OR($A462="",$C462=""),"",SUMIFS(VENTAS!$E$6:$E$2005,VENTAS!$C$6:$C$2005,$A462))</f>
        <v/>
      </c>
      <c r="L462" s="45" t="str">
        <f aca="false">IF(OR($A462="",$C462=""),"",IFERROR(N($F462)/INDEX(INSUMOS!$I$6:$I$205,MATCH($C462,INSUMOS!$A$6:$A$205,0)),N($F462))/$I462*$K462)</f>
        <v/>
      </c>
      <c r="M462" s="8" t="str">
        <f aca="false">IF($A462="","",COUNTIF($A$6:$A462,$A462))</f>
        <v/>
      </c>
      <c r="N462" s="8" t="str">
        <f aca="false">IF($A462="","",$A462&amp;"|"&amp;$M462)</f>
        <v/>
      </c>
    </row>
    <row r="463" customFormat="false" ht="15" hidden="false" customHeight="false" outlineLevel="0" collapsed="false">
      <c r="A463" s="6"/>
      <c r="B463" s="8" t="str">
        <f aca="false">IF($A463="","",IFERROR(INDEX(PRODUCTOS!$B$6:$B$105,MATCH($A463,PRODUCTOS!$A$6:$A$105,0)),"¿Código?"))</f>
        <v/>
      </c>
      <c r="C463" s="6"/>
      <c r="D463" s="8" t="str">
        <f aca="false">IF($C463="","",IFERROR(INDEX(INSUMOS!$B$6:$B$205,MATCH($C463,INSUMOS!$A$6:$A$205,0)),"¿Código?"))</f>
        <v/>
      </c>
      <c r="E463" s="8" t="str">
        <f aca="false">IF($C463="","",IFERROR(INDEX(INSUMOS!$D$6:$D$205,MATCH($C463,INSUMOS!$A$6:$A$205,0)),""))</f>
        <v/>
      </c>
      <c r="F463" s="39"/>
      <c r="G463" s="43" t="str">
        <f aca="false">IF(OR($A463="",$C463=""),"",IFERROR(INDEX(INSUMOS!$P$6:$P$205,MATCH($C463,INSUMOS!$A$6:$A$205,0)),0))</f>
        <v/>
      </c>
      <c r="H463" s="43" t="str">
        <f aca="false">IF(OR($A463="",$C463=""),"",N($F463)*$G463)</f>
        <v/>
      </c>
      <c r="I463" s="34" t="str">
        <f aca="false">IF(OR($A463="",$C463=""),"",IFERROR(MAX(1,INDEX(PRODUCTOS!$G$6:$G$105,MATCH($A463,PRODUCTOS!$A$6:$A$105,0))),1))</f>
        <v/>
      </c>
      <c r="J463" s="43" t="str">
        <f aca="false">IF(OR($A463="",$C463=""),"",$H463/$I463)</f>
        <v/>
      </c>
      <c r="K463" s="34" t="str">
        <f aca="false">IF(OR($A463="",$C463=""),"",SUMIFS(VENTAS!$E$6:$E$2005,VENTAS!$C$6:$C$2005,$A463))</f>
        <v/>
      </c>
      <c r="L463" s="45" t="str">
        <f aca="false">IF(OR($A463="",$C463=""),"",IFERROR(N($F463)/INDEX(INSUMOS!$I$6:$I$205,MATCH($C463,INSUMOS!$A$6:$A$205,0)),N($F463))/$I463*$K463)</f>
        <v/>
      </c>
      <c r="M463" s="8" t="str">
        <f aca="false">IF($A463="","",COUNTIF($A$6:$A463,$A463))</f>
        <v/>
      </c>
      <c r="N463" s="8" t="str">
        <f aca="false">IF($A463="","",$A463&amp;"|"&amp;$M463)</f>
        <v/>
      </c>
    </row>
    <row r="464" customFormat="false" ht="15" hidden="false" customHeight="false" outlineLevel="0" collapsed="false">
      <c r="A464" s="6"/>
      <c r="B464" s="8" t="str">
        <f aca="false">IF($A464="","",IFERROR(INDEX(PRODUCTOS!$B$6:$B$105,MATCH($A464,PRODUCTOS!$A$6:$A$105,0)),"¿Código?"))</f>
        <v/>
      </c>
      <c r="C464" s="6"/>
      <c r="D464" s="8" t="str">
        <f aca="false">IF($C464="","",IFERROR(INDEX(INSUMOS!$B$6:$B$205,MATCH($C464,INSUMOS!$A$6:$A$205,0)),"¿Código?"))</f>
        <v/>
      </c>
      <c r="E464" s="8" t="str">
        <f aca="false">IF($C464="","",IFERROR(INDEX(INSUMOS!$D$6:$D$205,MATCH($C464,INSUMOS!$A$6:$A$205,0)),""))</f>
        <v/>
      </c>
      <c r="F464" s="39"/>
      <c r="G464" s="43" t="str">
        <f aca="false">IF(OR($A464="",$C464=""),"",IFERROR(INDEX(INSUMOS!$P$6:$P$205,MATCH($C464,INSUMOS!$A$6:$A$205,0)),0))</f>
        <v/>
      </c>
      <c r="H464" s="43" t="str">
        <f aca="false">IF(OR($A464="",$C464=""),"",N($F464)*$G464)</f>
        <v/>
      </c>
      <c r="I464" s="34" t="str">
        <f aca="false">IF(OR($A464="",$C464=""),"",IFERROR(MAX(1,INDEX(PRODUCTOS!$G$6:$G$105,MATCH($A464,PRODUCTOS!$A$6:$A$105,0))),1))</f>
        <v/>
      </c>
      <c r="J464" s="43" t="str">
        <f aca="false">IF(OR($A464="",$C464=""),"",$H464/$I464)</f>
        <v/>
      </c>
      <c r="K464" s="34" t="str">
        <f aca="false">IF(OR($A464="",$C464=""),"",SUMIFS(VENTAS!$E$6:$E$2005,VENTAS!$C$6:$C$2005,$A464))</f>
        <v/>
      </c>
      <c r="L464" s="45" t="str">
        <f aca="false">IF(OR($A464="",$C464=""),"",IFERROR(N($F464)/INDEX(INSUMOS!$I$6:$I$205,MATCH($C464,INSUMOS!$A$6:$A$205,0)),N($F464))/$I464*$K464)</f>
        <v/>
      </c>
      <c r="M464" s="8" t="str">
        <f aca="false">IF($A464="","",COUNTIF($A$6:$A464,$A464))</f>
        <v/>
      </c>
      <c r="N464" s="8" t="str">
        <f aca="false">IF($A464="","",$A464&amp;"|"&amp;$M464)</f>
        <v/>
      </c>
    </row>
    <row r="465" customFormat="false" ht="15" hidden="false" customHeight="false" outlineLevel="0" collapsed="false">
      <c r="A465" s="6"/>
      <c r="B465" s="8" t="str">
        <f aca="false">IF($A465="","",IFERROR(INDEX(PRODUCTOS!$B$6:$B$105,MATCH($A465,PRODUCTOS!$A$6:$A$105,0)),"¿Código?"))</f>
        <v/>
      </c>
      <c r="C465" s="6"/>
      <c r="D465" s="8" t="str">
        <f aca="false">IF($C465="","",IFERROR(INDEX(INSUMOS!$B$6:$B$205,MATCH($C465,INSUMOS!$A$6:$A$205,0)),"¿Código?"))</f>
        <v/>
      </c>
      <c r="E465" s="8" t="str">
        <f aca="false">IF($C465="","",IFERROR(INDEX(INSUMOS!$D$6:$D$205,MATCH($C465,INSUMOS!$A$6:$A$205,0)),""))</f>
        <v/>
      </c>
      <c r="F465" s="39"/>
      <c r="G465" s="43" t="str">
        <f aca="false">IF(OR($A465="",$C465=""),"",IFERROR(INDEX(INSUMOS!$P$6:$P$205,MATCH($C465,INSUMOS!$A$6:$A$205,0)),0))</f>
        <v/>
      </c>
      <c r="H465" s="43" t="str">
        <f aca="false">IF(OR($A465="",$C465=""),"",N($F465)*$G465)</f>
        <v/>
      </c>
      <c r="I465" s="34" t="str">
        <f aca="false">IF(OR($A465="",$C465=""),"",IFERROR(MAX(1,INDEX(PRODUCTOS!$G$6:$G$105,MATCH($A465,PRODUCTOS!$A$6:$A$105,0))),1))</f>
        <v/>
      </c>
      <c r="J465" s="43" t="str">
        <f aca="false">IF(OR($A465="",$C465=""),"",$H465/$I465)</f>
        <v/>
      </c>
      <c r="K465" s="34" t="str">
        <f aca="false">IF(OR($A465="",$C465=""),"",SUMIFS(VENTAS!$E$6:$E$2005,VENTAS!$C$6:$C$2005,$A465))</f>
        <v/>
      </c>
      <c r="L465" s="45" t="str">
        <f aca="false">IF(OR($A465="",$C465=""),"",IFERROR(N($F465)/INDEX(INSUMOS!$I$6:$I$205,MATCH($C465,INSUMOS!$A$6:$A$205,0)),N($F465))/$I465*$K465)</f>
        <v/>
      </c>
      <c r="M465" s="8" t="str">
        <f aca="false">IF($A465="","",COUNTIF($A$6:$A465,$A465))</f>
        <v/>
      </c>
      <c r="N465" s="8" t="str">
        <f aca="false">IF($A465="","",$A465&amp;"|"&amp;$M465)</f>
        <v/>
      </c>
    </row>
    <row r="466" customFormat="false" ht="15" hidden="false" customHeight="false" outlineLevel="0" collapsed="false">
      <c r="A466" s="6"/>
      <c r="B466" s="8" t="str">
        <f aca="false">IF($A466="","",IFERROR(INDEX(PRODUCTOS!$B$6:$B$105,MATCH($A466,PRODUCTOS!$A$6:$A$105,0)),"¿Código?"))</f>
        <v/>
      </c>
      <c r="C466" s="6"/>
      <c r="D466" s="8" t="str">
        <f aca="false">IF($C466="","",IFERROR(INDEX(INSUMOS!$B$6:$B$205,MATCH($C466,INSUMOS!$A$6:$A$205,0)),"¿Código?"))</f>
        <v/>
      </c>
      <c r="E466" s="8" t="str">
        <f aca="false">IF($C466="","",IFERROR(INDEX(INSUMOS!$D$6:$D$205,MATCH($C466,INSUMOS!$A$6:$A$205,0)),""))</f>
        <v/>
      </c>
      <c r="F466" s="39"/>
      <c r="G466" s="43" t="str">
        <f aca="false">IF(OR($A466="",$C466=""),"",IFERROR(INDEX(INSUMOS!$P$6:$P$205,MATCH($C466,INSUMOS!$A$6:$A$205,0)),0))</f>
        <v/>
      </c>
      <c r="H466" s="43" t="str">
        <f aca="false">IF(OR($A466="",$C466=""),"",N($F466)*$G466)</f>
        <v/>
      </c>
      <c r="I466" s="34" t="str">
        <f aca="false">IF(OR($A466="",$C466=""),"",IFERROR(MAX(1,INDEX(PRODUCTOS!$G$6:$G$105,MATCH($A466,PRODUCTOS!$A$6:$A$105,0))),1))</f>
        <v/>
      </c>
      <c r="J466" s="43" t="str">
        <f aca="false">IF(OR($A466="",$C466=""),"",$H466/$I466)</f>
        <v/>
      </c>
      <c r="K466" s="34" t="str">
        <f aca="false">IF(OR($A466="",$C466=""),"",SUMIFS(VENTAS!$E$6:$E$2005,VENTAS!$C$6:$C$2005,$A466))</f>
        <v/>
      </c>
      <c r="L466" s="45" t="str">
        <f aca="false">IF(OR($A466="",$C466=""),"",IFERROR(N($F466)/INDEX(INSUMOS!$I$6:$I$205,MATCH($C466,INSUMOS!$A$6:$A$205,0)),N($F466))/$I466*$K466)</f>
        <v/>
      </c>
      <c r="M466" s="8" t="str">
        <f aca="false">IF($A466="","",COUNTIF($A$6:$A466,$A466))</f>
        <v/>
      </c>
      <c r="N466" s="8" t="str">
        <f aca="false">IF($A466="","",$A466&amp;"|"&amp;$M466)</f>
        <v/>
      </c>
    </row>
    <row r="467" customFormat="false" ht="15" hidden="false" customHeight="false" outlineLevel="0" collapsed="false">
      <c r="A467" s="6"/>
      <c r="B467" s="8" t="str">
        <f aca="false">IF($A467="","",IFERROR(INDEX(PRODUCTOS!$B$6:$B$105,MATCH($A467,PRODUCTOS!$A$6:$A$105,0)),"¿Código?"))</f>
        <v/>
      </c>
      <c r="C467" s="6"/>
      <c r="D467" s="8" t="str">
        <f aca="false">IF($C467="","",IFERROR(INDEX(INSUMOS!$B$6:$B$205,MATCH($C467,INSUMOS!$A$6:$A$205,0)),"¿Código?"))</f>
        <v/>
      </c>
      <c r="E467" s="8" t="str">
        <f aca="false">IF($C467="","",IFERROR(INDEX(INSUMOS!$D$6:$D$205,MATCH($C467,INSUMOS!$A$6:$A$205,0)),""))</f>
        <v/>
      </c>
      <c r="F467" s="39"/>
      <c r="G467" s="43" t="str">
        <f aca="false">IF(OR($A467="",$C467=""),"",IFERROR(INDEX(INSUMOS!$P$6:$P$205,MATCH($C467,INSUMOS!$A$6:$A$205,0)),0))</f>
        <v/>
      </c>
      <c r="H467" s="43" t="str">
        <f aca="false">IF(OR($A467="",$C467=""),"",N($F467)*$G467)</f>
        <v/>
      </c>
      <c r="I467" s="34" t="str">
        <f aca="false">IF(OR($A467="",$C467=""),"",IFERROR(MAX(1,INDEX(PRODUCTOS!$G$6:$G$105,MATCH($A467,PRODUCTOS!$A$6:$A$105,0))),1))</f>
        <v/>
      </c>
      <c r="J467" s="43" t="str">
        <f aca="false">IF(OR($A467="",$C467=""),"",$H467/$I467)</f>
        <v/>
      </c>
      <c r="K467" s="34" t="str">
        <f aca="false">IF(OR($A467="",$C467=""),"",SUMIFS(VENTAS!$E$6:$E$2005,VENTAS!$C$6:$C$2005,$A467))</f>
        <v/>
      </c>
      <c r="L467" s="45" t="str">
        <f aca="false">IF(OR($A467="",$C467=""),"",IFERROR(N($F467)/INDEX(INSUMOS!$I$6:$I$205,MATCH($C467,INSUMOS!$A$6:$A$205,0)),N($F467))/$I467*$K467)</f>
        <v/>
      </c>
      <c r="M467" s="8" t="str">
        <f aca="false">IF($A467="","",COUNTIF($A$6:$A467,$A467))</f>
        <v/>
      </c>
      <c r="N467" s="8" t="str">
        <f aca="false">IF($A467="","",$A467&amp;"|"&amp;$M467)</f>
        <v/>
      </c>
    </row>
    <row r="468" customFormat="false" ht="15" hidden="false" customHeight="false" outlineLevel="0" collapsed="false">
      <c r="A468" s="6"/>
      <c r="B468" s="8" t="str">
        <f aca="false">IF($A468="","",IFERROR(INDEX(PRODUCTOS!$B$6:$B$105,MATCH($A468,PRODUCTOS!$A$6:$A$105,0)),"¿Código?"))</f>
        <v/>
      </c>
      <c r="C468" s="6"/>
      <c r="D468" s="8" t="str">
        <f aca="false">IF($C468="","",IFERROR(INDEX(INSUMOS!$B$6:$B$205,MATCH($C468,INSUMOS!$A$6:$A$205,0)),"¿Código?"))</f>
        <v/>
      </c>
      <c r="E468" s="8" t="str">
        <f aca="false">IF($C468="","",IFERROR(INDEX(INSUMOS!$D$6:$D$205,MATCH($C468,INSUMOS!$A$6:$A$205,0)),""))</f>
        <v/>
      </c>
      <c r="F468" s="39"/>
      <c r="G468" s="43" t="str">
        <f aca="false">IF(OR($A468="",$C468=""),"",IFERROR(INDEX(INSUMOS!$P$6:$P$205,MATCH($C468,INSUMOS!$A$6:$A$205,0)),0))</f>
        <v/>
      </c>
      <c r="H468" s="43" t="str">
        <f aca="false">IF(OR($A468="",$C468=""),"",N($F468)*$G468)</f>
        <v/>
      </c>
      <c r="I468" s="34" t="str">
        <f aca="false">IF(OR($A468="",$C468=""),"",IFERROR(MAX(1,INDEX(PRODUCTOS!$G$6:$G$105,MATCH($A468,PRODUCTOS!$A$6:$A$105,0))),1))</f>
        <v/>
      </c>
      <c r="J468" s="43" t="str">
        <f aca="false">IF(OR($A468="",$C468=""),"",$H468/$I468)</f>
        <v/>
      </c>
      <c r="K468" s="34" t="str">
        <f aca="false">IF(OR($A468="",$C468=""),"",SUMIFS(VENTAS!$E$6:$E$2005,VENTAS!$C$6:$C$2005,$A468))</f>
        <v/>
      </c>
      <c r="L468" s="45" t="str">
        <f aca="false">IF(OR($A468="",$C468=""),"",IFERROR(N($F468)/INDEX(INSUMOS!$I$6:$I$205,MATCH($C468,INSUMOS!$A$6:$A$205,0)),N($F468))/$I468*$K468)</f>
        <v/>
      </c>
      <c r="M468" s="8" t="str">
        <f aca="false">IF($A468="","",COUNTIF($A$6:$A468,$A468))</f>
        <v/>
      </c>
      <c r="N468" s="8" t="str">
        <f aca="false">IF($A468="","",$A468&amp;"|"&amp;$M468)</f>
        <v/>
      </c>
    </row>
    <row r="469" customFormat="false" ht="15" hidden="false" customHeight="false" outlineLevel="0" collapsed="false">
      <c r="A469" s="6"/>
      <c r="B469" s="8" t="str">
        <f aca="false">IF($A469="","",IFERROR(INDEX(PRODUCTOS!$B$6:$B$105,MATCH($A469,PRODUCTOS!$A$6:$A$105,0)),"¿Código?"))</f>
        <v/>
      </c>
      <c r="C469" s="6"/>
      <c r="D469" s="8" t="str">
        <f aca="false">IF($C469="","",IFERROR(INDEX(INSUMOS!$B$6:$B$205,MATCH($C469,INSUMOS!$A$6:$A$205,0)),"¿Código?"))</f>
        <v/>
      </c>
      <c r="E469" s="8" t="str">
        <f aca="false">IF($C469="","",IFERROR(INDEX(INSUMOS!$D$6:$D$205,MATCH($C469,INSUMOS!$A$6:$A$205,0)),""))</f>
        <v/>
      </c>
      <c r="F469" s="39"/>
      <c r="G469" s="43" t="str">
        <f aca="false">IF(OR($A469="",$C469=""),"",IFERROR(INDEX(INSUMOS!$P$6:$P$205,MATCH($C469,INSUMOS!$A$6:$A$205,0)),0))</f>
        <v/>
      </c>
      <c r="H469" s="43" t="str">
        <f aca="false">IF(OR($A469="",$C469=""),"",N($F469)*$G469)</f>
        <v/>
      </c>
      <c r="I469" s="34" t="str">
        <f aca="false">IF(OR($A469="",$C469=""),"",IFERROR(MAX(1,INDEX(PRODUCTOS!$G$6:$G$105,MATCH($A469,PRODUCTOS!$A$6:$A$105,0))),1))</f>
        <v/>
      </c>
      <c r="J469" s="43" t="str">
        <f aca="false">IF(OR($A469="",$C469=""),"",$H469/$I469)</f>
        <v/>
      </c>
      <c r="K469" s="34" t="str">
        <f aca="false">IF(OR($A469="",$C469=""),"",SUMIFS(VENTAS!$E$6:$E$2005,VENTAS!$C$6:$C$2005,$A469))</f>
        <v/>
      </c>
      <c r="L469" s="45" t="str">
        <f aca="false">IF(OR($A469="",$C469=""),"",IFERROR(N($F469)/INDEX(INSUMOS!$I$6:$I$205,MATCH($C469,INSUMOS!$A$6:$A$205,0)),N($F469))/$I469*$K469)</f>
        <v/>
      </c>
      <c r="M469" s="8" t="str">
        <f aca="false">IF($A469="","",COUNTIF($A$6:$A469,$A469))</f>
        <v/>
      </c>
      <c r="N469" s="8" t="str">
        <f aca="false">IF($A469="","",$A469&amp;"|"&amp;$M469)</f>
        <v/>
      </c>
    </row>
    <row r="470" customFormat="false" ht="15" hidden="false" customHeight="false" outlineLevel="0" collapsed="false">
      <c r="A470" s="6"/>
      <c r="B470" s="8" t="str">
        <f aca="false">IF($A470="","",IFERROR(INDEX(PRODUCTOS!$B$6:$B$105,MATCH($A470,PRODUCTOS!$A$6:$A$105,0)),"¿Código?"))</f>
        <v/>
      </c>
      <c r="C470" s="6"/>
      <c r="D470" s="8" t="str">
        <f aca="false">IF($C470="","",IFERROR(INDEX(INSUMOS!$B$6:$B$205,MATCH($C470,INSUMOS!$A$6:$A$205,0)),"¿Código?"))</f>
        <v/>
      </c>
      <c r="E470" s="8" t="str">
        <f aca="false">IF($C470="","",IFERROR(INDEX(INSUMOS!$D$6:$D$205,MATCH($C470,INSUMOS!$A$6:$A$205,0)),""))</f>
        <v/>
      </c>
      <c r="F470" s="39"/>
      <c r="G470" s="43" t="str">
        <f aca="false">IF(OR($A470="",$C470=""),"",IFERROR(INDEX(INSUMOS!$P$6:$P$205,MATCH($C470,INSUMOS!$A$6:$A$205,0)),0))</f>
        <v/>
      </c>
      <c r="H470" s="43" t="str">
        <f aca="false">IF(OR($A470="",$C470=""),"",N($F470)*$G470)</f>
        <v/>
      </c>
      <c r="I470" s="34" t="str">
        <f aca="false">IF(OR($A470="",$C470=""),"",IFERROR(MAX(1,INDEX(PRODUCTOS!$G$6:$G$105,MATCH($A470,PRODUCTOS!$A$6:$A$105,0))),1))</f>
        <v/>
      </c>
      <c r="J470" s="43" t="str">
        <f aca="false">IF(OR($A470="",$C470=""),"",$H470/$I470)</f>
        <v/>
      </c>
      <c r="K470" s="34" t="str">
        <f aca="false">IF(OR($A470="",$C470=""),"",SUMIFS(VENTAS!$E$6:$E$2005,VENTAS!$C$6:$C$2005,$A470))</f>
        <v/>
      </c>
      <c r="L470" s="45" t="str">
        <f aca="false">IF(OR($A470="",$C470=""),"",IFERROR(N($F470)/INDEX(INSUMOS!$I$6:$I$205,MATCH($C470,INSUMOS!$A$6:$A$205,0)),N($F470))/$I470*$K470)</f>
        <v/>
      </c>
      <c r="M470" s="8" t="str">
        <f aca="false">IF($A470="","",COUNTIF($A$6:$A470,$A470))</f>
        <v/>
      </c>
      <c r="N470" s="8" t="str">
        <f aca="false">IF($A470="","",$A470&amp;"|"&amp;$M470)</f>
        <v/>
      </c>
    </row>
    <row r="471" customFormat="false" ht="15" hidden="false" customHeight="false" outlineLevel="0" collapsed="false">
      <c r="A471" s="6"/>
      <c r="B471" s="8" t="str">
        <f aca="false">IF($A471="","",IFERROR(INDEX(PRODUCTOS!$B$6:$B$105,MATCH($A471,PRODUCTOS!$A$6:$A$105,0)),"¿Código?"))</f>
        <v/>
      </c>
      <c r="C471" s="6"/>
      <c r="D471" s="8" t="str">
        <f aca="false">IF($C471="","",IFERROR(INDEX(INSUMOS!$B$6:$B$205,MATCH($C471,INSUMOS!$A$6:$A$205,0)),"¿Código?"))</f>
        <v/>
      </c>
      <c r="E471" s="8" t="str">
        <f aca="false">IF($C471="","",IFERROR(INDEX(INSUMOS!$D$6:$D$205,MATCH($C471,INSUMOS!$A$6:$A$205,0)),""))</f>
        <v/>
      </c>
      <c r="F471" s="39"/>
      <c r="G471" s="43" t="str">
        <f aca="false">IF(OR($A471="",$C471=""),"",IFERROR(INDEX(INSUMOS!$P$6:$P$205,MATCH($C471,INSUMOS!$A$6:$A$205,0)),0))</f>
        <v/>
      </c>
      <c r="H471" s="43" t="str">
        <f aca="false">IF(OR($A471="",$C471=""),"",N($F471)*$G471)</f>
        <v/>
      </c>
      <c r="I471" s="34" t="str">
        <f aca="false">IF(OR($A471="",$C471=""),"",IFERROR(MAX(1,INDEX(PRODUCTOS!$G$6:$G$105,MATCH($A471,PRODUCTOS!$A$6:$A$105,0))),1))</f>
        <v/>
      </c>
      <c r="J471" s="43" t="str">
        <f aca="false">IF(OR($A471="",$C471=""),"",$H471/$I471)</f>
        <v/>
      </c>
      <c r="K471" s="34" t="str">
        <f aca="false">IF(OR($A471="",$C471=""),"",SUMIFS(VENTAS!$E$6:$E$2005,VENTAS!$C$6:$C$2005,$A471))</f>
        <v/>
      </c>
      <c r="L471" s="45" t="str">
        <f aca="false">IF(OR($A471="",$C471=""),"",IFERROR(N($F471)/INDEX(INSUMOS!$I$6:$I$205,MATCH($C471,INSUMOS!$A$6:$A$205,0)),N($F471))/$I471*$K471)</f>
        <v/>
      </c>
      <c r="M471" s="8" t="str">
        <f aca="false">IF($A471="","",COUNTIF($A$6:$A471,$A471))</f>
        <v/>
      </c>
      <c r="N471" s="8" t="str">
        <f aca="false">IF($A471="","",$A471&amp;"|"&amp;$M471)</f>
        <v/>
      </c>
    </row>
    <row r="472" customFormat="false" ht="15" hidden="false" customHeight="false" outlineLevel="0" collapsed="false">
      <c r="A472" s="6"/>
      <c r="B472" s="8" t="str">
        <f aca="false">IF($A472="","",IFERROR(INDEX(PRODUCTOS!$B$6:$B$105,MATCH($A472,PRODUCTOS!$A$6:$A$105,0)),"¿Código?"))</f>
        <v/>
      </c>
      <c r="C472" s="6"/>
      <c r="D472" s="8" t="str">
        <f aca="false">IF($C472="","",IFERROR(INDEX(INSUMOS!$B$6:$B$205,MATCH($C472,INSUMOS!$A$6:$A$205,0)),"¿Código?"))</f>
        <v/>
      </c>
      <c r="E472" s="8" t="str">
        <f aca="false">IF($C472="","",IFERROR(INDEX(INSUMOS!$D$6:$D$205,MATCH($C472,INSUMOS!$A$6:$A$205,0)),""))</f>
        <v/>
      </c>
      <c r="F472" s="39"/>
      <c r="G472" s="43" t="str">
        <f aca="false">IF(OR($A472="",$C472=""),"",IFERROR(INDEX(INSUMOS!$P$6:$P$205,MATCH($C472,INSUMOS!$A$6:$A$205,0)),0))</f>
        <v/>
      </c>
      <c r="H472" s="43" t="str">
        <f aca="false">IF(OR($A472="",$C472=""),"",N($F472)*$G472)</f>
        <v/>
      </c>
      <c r="I472" s="34" t="str">
        <f aca="false">IF(OR($A472="",$C472=""),"",IFERROR(MAX(1,INDEX(PRODUCTOS!$G$6:$G$105,MATCH($A472,PRODUCTOS!$A$6:$A$105,0))),1))</f>
        <v/>
      </c>
      <c r="J472" s="43" t="str">
        <f aca="false">IF(OR($A472="",$C472=""),"",$H472/$I472)</f>
        <v/>
      </c>
      <c r="K472" s="34" t="str">
        <f aca="false">IF(OR($A472="",$C472=""),"",SUMIFS(VENTAS!$E$6:$E$2005,VENTAS!$C$6:$C$2005,$A472))</f>
        <v/>
      </c>
      <c r="L472" s="45" t="str">
        <f aca="false">IF(OR($A472="",$C472=""),"",IFERROR(N($F472)/INDEX(INSUMOS!$I$6:$I$205,MATCH($C472,INSUMOS!$A$6:$A$205,0)),N($F472))/$I472*$K472)</f>
        <v/>
      </c>
      <c r="M472" s="8" t="str">
        <f aca="false">IF($A472="","",COUNTIF($A$6:$A472,$A472))</f>
        <v/>
      </c>
      <c r="N472" s="8" t="str">
        <f aca="false">IF($A472="","",$A472&amp;"|"&amp;$M472)</f>
        <v/>
      </c>
    </row>
    <row r="473" customFormat="false" ht="15" hidden="false" customHeight="false" outlineLevel="0" collapsed="false">
      <c r="A473" s="6"/>
      <c r="B473" s="8" t="str">
        <f aca="false">IF($A473="","",IFERROR(INDEX(PRODUCTOS!$B$6:$B$105,MATCH($A473,PRODUCTOS!$A$6:$A$105,0)),"¿Código?"))</f>
        <v/>
      </c>
      <c r="C473" s="6"/>
      <c r="D473" s="8" t="str">
        <f aca="false">IF($C473="","",IFERROR(INDEX(INSUMOS!$B$6:$B$205,MATCH($C473,INSUMOS!$A$6:$A$205,0)),"¿Código?"))</f>
        <v/>
      </c>
      <c r="E473" s="8" t="str">
        <f aca="false">IF($C473="","",IFERROR(INDEX(INSUMOS!$D$6:$D$205,MATCH($C473,INSUMOS!$A$6:$A$205,0)),""))</f>
        <v/>
      </c>
      <c r="F473" s="39"/>
      <c r="G473" s="43" t="str">
        <f aca="false">IF(OR($A473="",$C473=""),"",IFERROR(INDEX(INSUMOS!$P$6:$P$205,MATCH($C473,INSUMOS!$A$6:$A$205,0)),0))</f>
        <v/>
      </c>
      <c r="H473" s="43" t="str">
        <f aca="false">IF(OR($A473="",$C473=""),"",N($F473)*$G473)</f>
        <v/>
      </c>
      <c r="I473" s="34" t="str">
        <f aca="false">IF(OR($A473="",$C473=""),"",IFERROR(MAX(1,INDEX(PRODUCTOS!$G$6:$G$105,MATCH($A473,PRODUCTOS!$A$6:$A$105,0))),1))</f>
        <v/>
      </c>
      <c r="J473" s="43" t="str">
        <f aca="false">IF(OR($A473="",$C473=""),"",$H473/$I473)</f>
        <v/>
      </c>
      <c r="K473" s="34" t="str">
        <f aca="false">IF(OR($A473="",$C473=""),"",SUMIFS(VENTAS!$E$6:$E$2005,VENTAS!$C$6:$C$2005,$A473))</f>
        <v/>
      </c>
      <c r="L473" s="45" t="str">
        <f aca="false">IF(OR($A473="",$C473=""),"",IFERROR(N($F473)/INDEX(INSUMOS!$I$6:$I$205,MATCH($C473,INSUMOS!$A$6:$A$205,0)),N($F473))/$I473*$K473)</f>
        <v/>
      </c>
      <c r="M473" s="8" t="str">
        <f aca="false">IF($A473="","",COUNTIF($A$6:$A473,$A473))</f>
        <v/>
      </c>
      <c r="N473" s="8" t="str">
        <f aca="false">IF($A473="","",$A473&amp;"|"&amp;$M473)</f>
        <v/>
      </c>
    </row>
    <row r="474" customFormat="false" ht="15" hidden="false" customHeight="false" outlineLevel="0" collapsed="false">
      <c r="A474" s="6"/>
      <c r="B474" s="8" t="str">
        <f aca="false">IF($A474="","",IFERROR(INDEX(PRODUCTOS!$B$6:$B$105,MATCH($A474,PRODUCTOS!$A$6:$A$105,0)),"¿Código?"))</f>
        <v/>
      </c>
      <c r="C474" s="6"/>
      <c r="D474" s="8" t="str">
        <f aca="false">IF($C474="","",IFERROR(INDEX(INSUMOS!$B$6:$B$205,MATCH($C474,INSUMOS!$A$6:$A$205,0)),"¿Código?"))</f>
        <v/>
      </c>
      <c r="E474" s="8" t="str">
        <f aca="false">IF($C474="","",IFERROR(INDEX(INSUMOS!$D$6:$D$205,MATCH($C474,INSUMOS!$A$6:$A$205,0)),""))</f>
        <v/>
      </c>
      <c r="F474" s="39"/>
      <c r="G474" s="43" t="str">
        <f aca="false">IF(OR($A474="",$C474=""),"",IFERROR(INDEX(INSUMOS!$P$6:$P$205,MATCH($C474,INSUMOS!$A$6:$A$205,0)),0))</f>
        <v/>
      </c>
      <c r="H474" s="43" t="str">
        <f aca="false">IF(OR($A474="",$C474=""),"",N($F474)*$G474)</f>
        <v/>
      </c>
      <c r="I474" s="34" t="str">
        <f aca="false">IF(OR($A474="",$C474=""),"",IFERROR(MAX(1,INDEX(PRODUCTOS!$G$6:$G$105,MATCH($A474,PRODUCTOS!$A$6:$A$105,0))),1))</f>
        <v/>
      </c>
      <c r="J474" s="43" t="str">
        <f aca="false">IF(OR($A474="",$C474=""),"",$H474/$I474)</f>
        <v/>
      </c>
      <c r="K474" s="34" t="str">
        <f aca="false">IF(OR($A474="",$C474=""),"",SUMIFS(VENTAS!$E$6:$E$2005,VENTAS!$C$6:$C$2005,$A474))</f>
        <v/>
      </c>
      <c r="L474" s="45" t="str">
        <f aca="false">IF(OR($A474="",$C474=""),"",IFERROR(N($F474)/INDEX(INSUMOS!$I$6:$I$205,MATCH($C474,INSUMOS!$A$6:$A$205,0)),N($F474))/$I474*$K474)</f>
        <v/>
      </c>
      <c r="M474" s="8" t="str">
        <f aca="false">IF($A474="","",COUNTIF($A$6:$A474,$A474))</f>
        <v/>
      </c>
      <c r="N474" s="8" t="str">
        <f aca="false">IF($A474="","",$A474&amp;"|"&amp;$M474)</f>
        <v/>
      </c>
    </row>
    <row r="475" customFormat="false" ht="15" hidden="false" customHeight="false" outlineLevel="0" collapsed="false">
      <c r="A475" s="6"/>
      <c r="B475" s="8" t="str">
        <f aca="false">IF($A475="","",IFERROR(INDEX(PRODUCTOS!$B$6:$B$105,MATCH($A475,PRODUCTOS!$A$6:$A$105,0)),"¿Código?"))</f>
        <v/>
      </c>
      <c r="C475" s="6"/>
      <c r="D475" s="8" t="str">
        <f aca="false">IF($C475="","",IFERROR(INDEX(INSUMOS!$B$6:$B$205,MATCH($C475,INSUMOS!$A$6:$A$205,0)),"¿Código?"))</f>
        <v/>
      </c>
      <c r="E475" s="8" t="str">
        <f aca="false">IF($C475="","",IFERROR(INDEX(INSUMOS!$D$6:$D$205,MATCH($C475,INSUMOS!$A$6:$A$205,0)),""))</f>
        <v/>
      </c>
      <c r="F475" s="39"/>
      <c r="G475" s="43" t="str">
        <f aca="false">IF(OR($A475="",$C475=""),"",IFERROR(INDEX(INSUMOS!$P$6:$P$205,MATCH($C475,INSUMOS!$A$6:$A$205,0)),0))</f>
        <v/>
      </c>
      <c r="H475" s="43" t="str">
        <f aca="false">IF(OR($A475="",$C475=""),"",N($F475)*$G475)</f>
        <v/>
      </c>
      <c r="I475" s="34" t="str">
        <f aca="false">IF(OR($A475="",$C475=""),"",IFERROR(MAX(1,INDEX(PRODUCTOS!$G$6:$G$105,MATCH($A475,PRODUCTOS!$A$6:$A$105,0))),1))</f>
        <v/>
      </c>
      <c r="J475" s="43" t="str">
        <f aca="false">IF(OR($A475="",$C475=""),"",$H475/$I475)</f>
        <v/>
      </c>
      <c r="K475" s="34" t="str">
        <f aca="false">IF(OR($A475="",$C475=""),"",SUMIFS(VENTAS!$E$6:$E$2005,VENTAS!$C$6:$C$2005,$A475))</f>
        <v/>
      </c>
      <c r="L475" s="45" t="str">
        <f aca="false">IF(OR($A475="",$C475=""),"",IFERROR(N($F475)/INDEX(INSUMOS!$I$6:$I$205,MATCH($C475,INSUMOS!$A$6:$A$205,0)),N($F475))/$I475*$K475)</f>
        <v/>
      </c>
      <c r="M475" s="8" t="str">
        <f aca="false">IF($A475="","",COUNTIF($A$6:$A475,$A475))</f>
        <v/>
      </c>
      <c r="N475" s="8" t="str">
        <f aca="false">IF($A475="","",$A475&amp;"|"&amp;$M475)</f>
        <v/>
      </c>
    </row>
    <row r="476" customFormat="false" ht="15" hidden="false" customHeight="false" outlineLevel="0" collapsed="false">
      <c r="A476" s="6"/>
      <c r="B476" s="8" t="str">
        <f aca="false">IF($A476="","",IFERROR(INDEX(PRODUCTOS!$B$6:$B$105,MATCH($A476,PRODUCTOS!$A$6:$A$105,0)),"¿Código?"))</f>
        <v/>
      </c>
      <c r="C476" s="6"/>
      <c r="D476" s="8" t="str">
        <f aca="false">IF($C476="","",IFERROR(INDEX(INSUMOS!$B$6:$B$205,MATCH($C476,INSUMOS!$A$6:$A$205,0)),"¿Código?"))</f>
        <v/>
      </c>
      <c r="E476" s="8" t="str">
        <f aca="false">IF($C476="","",IFERROR(INDEX(INSUMOS!$D$6:$D$205,MATCH($C476,INSUMOS!$A$6:$A$205,0)),""))</f>
        <v/>
      </c>
      <c r="F476" s="39"/>
      <c r="G476" s="43" t="str">
        <f aca="false">IF(OR($A476="",$C476=""),"",IFERROR(INDEX(INSUMOS!$P$6:$P$205,MATCH($C476,INSUMOS!$A$6:$A$205,0)),0))</f>
        <v/>
      </c>
      <c r="H476" s="43" t="str">
        <f aca="false">IF(OR($A476="",$C476=""),"",N($F476)*$G476)</f>
        <v/>
      </c>
      <c r="I476" s="34" t="str">
        <f aca="false">IF(OR($A476="",$C476=""),"",IFERROR(MAX(1,INDEX(PRODUCTOS!$G$6:$G$105,MATCH($A476,PRODUCTOS!$A$6:$A$105,0))),1))</f>
        <v/>
      </c>
      <c r="J476" s="43" t="str">
        <f aca="false">IF(OR($A476="",$C476=""),"",$H476/$I476)</f>
        <v/>
      </c>
      <c r="K476" s="34" t="str">
        <f aca="false">IF(OR($A476="",$C476=""),"",SUMIFS(VENTAS!$E$6:$E$2005,VENTAS!$C$6:$C$2005,$A476))</f>
        <v/>
      </c>
      <c r="L476" s="45" t="str">
        <f aca="false">IF(OR($A476="",$C476=""),"",IFERROR(N($F476)/INDEX(INSUMOS!$I$6:$I$205,MATCH($C476,INSUMOS!$A$6:$A$205,0)),N($F476))/$I476*$K476)</f>
        <v/>
      </c>
      <c r="M476" s="8" t="str">
        <f aca="false">IF($A476="","",COUNTIF($A$6:$A476,$A476))</f>
        <v/>
      </c>
      <c r="N476" s="8" t="str">
        <f aca="false">IF($A476="","",$A476&amp;"|"&amp;$M476)</f>
        <v/>
      </c>
    </row>
    <row r="477" customFormat="false" ht="15" hidden="false" customHeight="false" outlineLevel="0" collapsed="false">
      <c r="A477" s="6"/>
      <c r="B477" s="8" t="str">
        <f aca="false">IF($A477="","",IFERROR(INDEX(PRODUCTOS!$B$6:$B$105,MATCH($A477,PRODUCTOS!$A$6:$A$105,0)),"¿Código?"))</f>
        <v/>
      </c>
      <c r="C477" s="6"/>
      <c r="D477" s="8" t="str">
        <f aca="false">IF($C477="","",IFERROR(INDEX(INSUMOS!$B$6:$B$205,MATCH($C477,INSUMOS!$A$6:$A$205,0)),"¿Código?"))</f>
        <v/>
      </c>
      <c r="E477" s="8" t="str">
        <f aca="false">IF($C477="","",IFERROR(INDEX(INSUMOS!$D$6:$D$205,MATCH($C477,INSUMOS!$A$6:$A$205,0)),""))</f>
        <v/>
      </c>
      <c r="F477" s="39"/>
      <c r="G477" s="43" t="str">
        <f aca="false">IF(OR($A477="",$C477=""),"",IFERROR(INDEX(INSUMOS!$P$6:$P$205,MATCH($C477,INSUMOS!$A$6:$A$205,0)),0))</f>
        <v/>
      </c>
      <c r="H477" s="43" t="str">
        <f aca="false">IF(OR($A477="",$C477=""),"",N($F477)*$G477)</f>
        <v/>
      </c>
      <c r="I477" s="34" t="str">
        <f aca="false">IF(OR($A477="",$C477=""),"",IFERROR(MAX(1,INDEX(PRODUCTOS!$G$6:$G$105,MATCH($A477,PRODUCTOS!$A$6:$A$105,0))),1))</f>
        <v/>
      </c>
      <c r="J477" s="43" t="str">
        <f aca="false">IF(OR($A477="",$C477=""),"",$H477/$I477)</f>
        <v/>
      </c>
      <c r="K477" s="34" t="str">
        <f aca="false">IF(OR($A477="",$C477=""),"",SUMIFS(VENTAS!$E$6:$E$2005,VENTAS!$C$6:$C$2005,$A477))</f>
        <v/>
      </c>
      <c r="L477" s="45" t="str">
        <f aca="false">IF(OR($A477="",$C477=""),"",IFERROR(N($F477)/INDEX(INSUMOS!$I$6:$I$205,MATCH($C477,INSUMOS!$A$6:$A$205,0)),N($F477))/$I477*$K477)</f>
        <v/>
      </c>
      <c r="M477" s="8" t="str">
        <f aca="false">IF($A477="","",COUNTIF($A$6:$A477,$A477))</f>
        <v/>
      </c>
      <c r="N477" s="8" t="str">
        <f aca="false">IF($A477="","",$A477&amp;"|"&amp;$M477)</f>
        <v/>
      </c>
    </row>
    <row r="478" customFormat="false" ht="15" hidden="false" customHeight="false" outlineLevel="0" collapsed="false">
      <c r="A478" s="6"/>
      <c r="B478" s="8" t="str">
        <f aca="false">IF($A478="","",IFERROR(INDEX(PRODUCTOS!$B$6:$B$105,MATCH($A478,PRODUCTOS!$A$6:$A$105,0)),"¿Código?"))</f>
        <v/>
      </c>
      <c r="C478" s="6"/>
      <c r="D478" s="8" t="str">
        <f aca="false">IF($C478="","",IFERROR(INDEX(INSUMOS!$B$6:$B$205,MATCH($C478,INSUMOS!$A$6:$A$205,0)),"¿Código?"))</f>
        <v/>
      </c>
      <c r="E478" s="8" t="str">
        <f aca="false">IF($C478="","",IFERROR(INDEX(INSUMOS!$D$6:$D$205,MATCH($C478,INSUMOS!$A$6:$A$205,0)),""))</f>
        <v/>
      </c>
      <c r="F478" s="39"/>
      <c r="G478" s="43" t="str">
        <f aca="false">IF(OR($A478="",$C478=""),"",IFERROR(INDEX(INSUMOS!$P$6:$P$205,MATCH($C478,INSUMOS!$A$6:$A$205,0)),0))</f>
        <v/>
      </c>
      <c r="H478" s="43" t="str">
        <f aca="false">IF(OR($A478="",$C478=""),"",N($F478)*$G478)</f>
        <v/>
      </c>
      <c r="I478" s="34" t="str">
        <f aca="false">IF(OR($A478="",$C478=""),"",IFERROR(MAX(1,INDEX(PRODUCTOS!$G$6:$G$105,MATCH($A478,PRODUCTOS!$A$6:$A$105,0))),1))</f>
        <v/>
      </c>
      <c r="J478" s="43" t="str">
        <f aca="false">IF(OR($A478="",$C478=""),"",$H478/$I478)</f>
        <v/>
      </c>
      <c r="K478" s="34" t="str">
        <f aca="false">IF(OR($A478="",$C478=""),"",SUMIFS(VENTAS!$E$6:$E$2005,VENTAS!$C$6:$C$2005,$A478))</f>
        <v/>
      </c>
      <c r="L478" s="45" t="str">
        <f aca="false">IF(OR($A478="",$C478=""),"",IFERROR(N($F478)/INDEX(INSUMOS!$I$6:$I$205,MATCH($C478,INSUMOS!$A$6:$A$205,0)),N($F478))/$I478*$K478)</f>
        <v/>
      </c>
      <c r="M478" s="8" t="str">
        <f aca="false">IF($A478="","",COUNTIF($A$6:$A478,$A478))</f>
        <v/>
      </c>
      <c r="N478" s="8" t="str">
        <f aca="false">IF($A478="","",$A478&amp;"|"&amp;$M478)</f>
        <v/>
      </c>
    </row>
    <row r="479" customFormat="false" ht="15" hidden="false" customHeight="false" outlineLevel="0" collapsed="false">
      <c r="A479" s="6"/>
      <c r="B479" s="8" t="str">
        <f aca="false">IF($A479="","",IFERROR(INDEX(PRODUCTOS!$B$6:$B$105,MATCH($A479,PRODUCTOS!$A$6:$A$105,0)),"¿Código?"))</f>
        <v/>
      </c>
      <c r="C479" s="6"/>
      <c r="D479" s="8" t="str">
        <f aca="false">IF($C479="","",IFERROR(INDEX(INSUMOS!$B$6:$B$205,MATCH($C479,INSUMOS!$A$6:$A$205,0)),"¿Código?"))</f>
        <v/>
      </c>
      <c r="E479" s="8" t="str">
        <f aca="false">IF($C479="","",IFERROR(INDEX(INSUMOS!$D$6:$D$205,MATCH($C479,INSUMOS!$A$6:$A$205,0)),""))</f>
        <v/>
      </c>
      <c r="F479" s="39"/>
      <c r="G479" s="43" t="str">
        <f aca="false">IF(OR($A479="",$C479=""),"",IFERROR(INDEX(INSUMOS!$P$6:$P$205,MATCH($C479,INSUMOS!$A$6:$A$205,0)),0))</f>
        <v/>
      </c>
      <c r="H479" s="43" t="str">
        <f aca="false">IF(OR($A479="",$C479=""),"",N($F479)*$G479)</f>
        <v/>
      </c>
      <c r="I479" s="34" t="str">
        <f aca="false">IF(OR($A479="",$C479=""),"",IFERROR(MAX(1,INDEX(PRODUCTOS!$G$6:$G$105,MATCH($A479,PRODUCTOS!$A$6:$A$105,0))),1))</f>
        <v/>
      </c>
      <c r="J479" s="43" t="str">
        <f aca="false">IF(OR($A479="",$C479=""),"",$H479/$I479)</f>
        <v/>
      </c>
      <c r="K479" s="34" t="str">
        <f aca="false">IF(OR($A479="",$C479=""),"",SUMIFS(VENTAS!$E$6:$E$2005,VENTAS!$C$6:$C$2005,$A479))</f>
        <v/>
      </c>
      <c r="L479" s="45" t="str">
        <f aca="false">IF(OR($A479="",$C479=""),"",IFERROR(N($F479)/INDEX(INSUMOS!$I$6:$I$205,MATCH($C479,INSUMOS!$A$6:$A$205,0)),N($F479))/$I479*$K479)</f>
        <v/>
      </c>
      <c r="M479" s="8" t="str">
        <f aca="false">IF($A479="","",COUNTIF($A$6:$A479,$A479))</f>
        <v/>
      </c>
      <c r="N479" s="8" t="str">
        <f aca="false">IF($A479="","",$A479&amp;"|"&amp;$M479)</f>
        <v/>
      </c>
    </row>
    <row r="480" customFormat="false" ht="15" hidden="false" customHeight="false" outlineLevel="0" collapsed="false">
      <c r="A480" s="6"/>
      <c r="B480" s="8" t="str">
        <f aca="false">IF($A480="","",IFERROR(INDEX(PRODUCTOS!$B$6:$B$105,MATCH($A480,PRODUCTOS!$A$6:$A$105,0)),"¿Código?"))</f>
        <v/>
      </c>
      <c r="C480" s="6"/>
      <c r="D480" s="8" t="str">
        <f aca="false">IF($C480="","",IFERROR(INDEX(INSUMOS!$B$6:$B$205,MATCH($C480,INSUMOS!$A$6:$A$205,0)),"¿Código?"))</f>
        <v/>
      </c>
      <c r="E480" s="8" t="str">
        <f aca="false">IF($C480="","",IFERROR(INDEX(INSUMOS!$D$6:$D$205,MATCH($C480,INSUMOS!$A$6:$A$205,0)),""))</f>
        <v/>
      </c>
      <c r="F480" s="39"/>
      <c r="G480" s="43" t="str">
        <f aca="false">IF(OR($A480="",$C480=""),"",IFERROR(INDEX(INSUMOS!$P$6:$P$205,MATCH($C480,INSUMOS!$A$6:$A$205,0)),0))</f>
        <v/>
      </c>
      <c r="H480" s="43" t="str">
        <f aca="false">IF(OR($A480="",$C480=""),"",N($F480)*$G480)</f>
        <v/>
      </c>
      <c r="I480" s="34" t="str">
        <f aca="false">IF(OR($A480="",$C480=""),"",IFERROR(MAX(1,INDEX(PRODUCTOS!$G$6:$G$105,MATCH($A480,PRODUCTOS!$A$6:$A$105,0))),1))</f>
        <v/>
      </c>
      <c r="J480" s="43" t="str">
        <f aca="false">IF(OR($A480="",$C480=""),"",$H480/$I480)</f>
        <v/>
      </c>
      <c r="K480" s="34" t="str">
        <f aca="false">IF(OR($A480="",$C480=""),"",SUMIFS(VENTAS!$E$6:$E$2005,VENTAS!$C$6:$C$2005,$A480))</f>
        <v/>
      </c>
      <c r="L480" s="45" t="str">
        <f aca="false">IF(OR($A480="",$C480=""),"",IFERROR(N($F480)/INDEX(INSUMOS!$I$6:$I$205,MATCH($C480,INSUMOS!$A$6:$A$205,0)),N($F480))/$I480*$K480)</f>
        <v/>
      </c>
      <c r="M480" s="8" t="str">
        <f aca="false">IF($A480="","",COUNTIF($A$6:$A480,$A480))</f>
        <v/>
      </c>
      <c r="N480" s="8" t="str">
        <f aca="false">IF($A480="","",$A480&amp;"|"&amp;$M480)</f>
        <v/>
      </c>
    </row>
    <row r="481" customFormat="false" ht="15" hidden="false" customHeight="false" outlineLevel="0" collapsed="false">
      <c r="A481" s="6"/>
      <c r="B481" s="8" t="str">
        <f aca="false">IF($A481="","",IFERROR(INDEX(PRODUCTOS!$B$6:$B$105,MATCH($A481,PRODUCTOS!$A$6:$A$105,0)),"¿Código?"))</f>
        <v/>
      </c>
      <c r="C481" s="6"/>
      <c r="D481" s="8" t="str">
        <f aca="false">IF($C481="","",IFERROR(INDEX(INSUMOS!$B$6:$B$205,MATCH($C481,INSUMOS!$A$6:$A$205,0)),"¿Código?"))</f>
        <v/>
      </c>
      <c r="E481" s="8" t="str">
        <f aca="false">IF($C481="","",IFERROR(INDEX(INSUMOS!$D$6:$D$205,MATCH($C481,INSUMOS!$A$6:$A$205,0)),""))</f>
        <v/>
      </c>
      <c r="F481" s="39"/>
      <c r="G481" s="43" t="str">
        <f aca="false">IF(OR($A481="",$C481=""),"",IFERROR(INDEX(INSUMOS!$P$6:$P$205,MATCH($C481,INSUMOS!$A$6:$A$205,0)),0))</f>
        <v/>
      </c>
      <c r="H481" s="43" t="str">
        <f aca="false">IF(OR($A481="",$C481=""),"",N($F481)*$G481)</f>
        <v/>
      </c>
      <c r="I481" s="34" t="str">
        <f aca="false">IF(OR($A481="",$C481=""),"",IFERROR(MAX(1,INDEX(PRODUCTOS!$G$6:$G$105,MATCH($A481,PRODUCTOS!$A$6:$A$105,0))),1))</f>
        <v/>
      </c>
      <c r="J481" s="43" t="str">
        <f aca="false">IF(OR($A481="",$C481=""),"",$H481/$I481)</f>
        <v/>
      </c>
      <c r="K481" s="34" t="str">
        <f aca="false">IF(OR($A481="",$C481=""),"",SUMIFS(VENTAS!$E$6:$E$2005,VENTAS!$C$6:$C$2005,$A481))</f>
        <v/>
      </c>
      <c r="L481" s="45" t="str">
        <f aca="false">IF(OR($A481="",$C481=""),"",IFERROR(N($F481)/INDEX(INSUMOS!$I$6:$I$205,MATCH($C481,INSUMOS!$A$6:$A$205,0)),N($F481))/$I481*$K481)</f>
        <v/>
      </c>
      <c r="M481" s="8" t="str">
        <f aca="false">IF($A481="","",COUNTIF($A$6:$A481,$A481))</f>
        <v/>
      </c>
      <c r="N481" s="8" t="str">
        <f aca="false">IF($A481="","",$A481&amp;"|"&amp;$M481)</f>
        <v/>
      </c>
    </row>
    <row r="482" customFormat="false" ht="15" hidden="false" customHeight="false" outlineLevel="0" collapsed="false">
      <c r="A482" s="6"/>
      <c r="B482" s="8" t="str">
        <f aca="false">IF($A482="","",IFERROR(INDEX(PRODUCTOS!$B$6:$B$105,MATCH($A482,PRODUCTOS!$A$6:$A$105,0)),"¿Código?"))</f>
        <v/>
      </c>
      <c r="C482" s="6"/>
      <c r="D482" s="8" t="str">
        <f aca="false">IF($C482="","",IFERROR(INDEX(INSUMOS!$B$6:$B$205,MATCH($C482,INSUMOS!$A$6:$A$205,0)),"¿Código?"))</f>
        <v/>
      </c>
      <c r="E482" s="8" t="str">
        <f aca="false">IF($C482="","",IFERROR(INDEX(INSUMOS!$D$6:$D$205,MATCH($C482,INSUMOS!$A$6:$A$205,0)),""))</f>
        <v/>
      </c>
      <c r="F482" s="39"/>
      <c r="G482" s="43" t="str">
        <f aca="false">IF(OR($A482="",$C482=""),"",IFERROR(INDEX(INSUMOS!$P$6:$P$205,MATCH($C482,INSUMOS!$A$6:$A$205,0)),0))</f>
        <v/>
      </c>
      <c r="H482" s="43" t="str">
        <f aca="false">IF(OR($A482="",$C482=""),"",N($F482)*$G482)</f>
        <v/>
      </c>
      <c r="I482" s="34" t="str">
        <f aca="false">IF(OR($A482="",$C482=""),"",IFERROR(MAX(1,INDEX(PRODUCTOS!$G$6:$G$105,MATCH($A482,PRODUCTOS!$A$6:$A$105,0))),1))</f>
        <v/>
      </c>
      <c r="J482" s="43" t="str">
        <f aca="false">IF(OR($A482="",$C482=""),"",$H482/$I482)</f>
        <v/>
      </c>
      <c r="K482" s="34" t="str">
        <f aca="false">IF(OR($A482="",$C482=""),"",SUMIFS(VENTAS!$E$6:$E$2005,VENTAS!$C$6:$C$2005,$A482))</f>
        <v/>
      </c>
      <c r="L482" s="45" t="str">
        <f aca="false">IF(OR($A482="",$C482=""),"",IFERROR(N($F482)/INDEX(INSUMOS!$I$6:$I$205,MATCH($C482,INSUMOS!$A$6:$A$205,0)),N($F482))/$I482*$K482)</f>
        <v/>
      </c>
      <c r="M482" s="8" t="str">
        <f aca="false">IF($A482="","",COUNTIF($A$6:$A482,$A482))</f>
        <v/>
      </c>
      <c r="N482" s="8" t="str">
        <f aca="false">IF($A482="","",$A482&amp;"|"&amp;$M482)</f>
        <v/>
      </c>
    </row>
    <row r="483" customFormat="false" ht="15" hidden="false" customHeight="false" outlineLevel="0" collapsed="false">
      <c r="A483" s="6"/>
      <c r="B483" s="8" t="str">
        <f aca="false">IF($A483="","",IFERROR(INDEX(PRODUCTOS!$B$6:$B$105,MATCH($A483,PRODUCTOS!$A$6:$A$105,0)),"¿Código?"))</f>
        <v/>
      </c>
      <c r="C483" s="6"/>
      <c r="D483" s="8" t="str">
        <f aca="false">IF($C483="","",IFERROR(INDEX(INSUMOS!$B$6:$B$205,MATCH($C483,INSUMOS!$A$6:$A$205,0)),"¿Código?"))</f>
        <v/>
      </c>
      <c r="E483" s="8" t="str">
        <f aca="false">IF($C483="","",IFERROR(INDEX(INSUMOS!$D$6:$D$205,MATCH($C483,INSUMOS!$A$6:$A$205,0)),""))</f>
        <v/>
      </c>
      <c r="F483" s="39"/>
      <c r="G483" s="43" t="str">
        <f aca="false">IF(OR($A483="",$C483=""),"",IFERROR(INDEX(INSUMOS!$P$6:$P$205,MATCH($C483,INSUMOS!$A$6:$A$205,0)),0))</f>
        <v/>
      </c>
      <c r="H483" s="43" t="str">
        <f aca="false">IF(OR($A483="",$C483=""),"",N($F483)*$G483)</f>
        <v/>
      </c>
      <c r="I483" s="34" t="str">
        <f aca="false">IF(OR($A483="",$C483=""),"",IFERROR(MAX(1,INDEX(PRODUCTOS!$G$6:$G$105,MATCH($A483,PRODUCTOS!$A$6:$A$105,0))),1))</f>
        <v/>
      </c>
      <c r="J483" s="43" t="str">
        <f aca="false">IF(OR($A483="",$C483=""),"",$H483/$I483)</f>
        <v/>
      </c>
      <c r="K483" s="34" t="str">
        <f aca="false">IF(OR($A483="",$C483=""),"",SUMIFS(VENTAS!$E$6:$E$2005,VENTAS!$C$6:$C$2005,$A483))</f>
        <v/>
      </c>
      <c r="L483" s="45" t="str">
        <f aca="false">IF(OR($A483="",$C483=""),"",IFERROR(N($F483)/INDEX(INSUMOS!$I$6:$I$205,MATCH($C483,INSUMOS!$A$6:$A$205,0)),N($F483))/$I483*$K483)</f>
        <v/>
      </c>
      <c r="M483" s="8" t="str">
        <f aca="false">IF($A483="","",COUNTIF($A$6:$A483,$A483))</f>
        <v/>
      </c>
      <c r="N483" s="8" t="str">
        <f aca="false">IF($A483="","",$A483&amp;"|"&amp;$M483)</f>
        <v/>
      </c>
    </row>
    <row r="484" customFormat="false" ht="15" hidden="false" customHeight="false" outlineLevel="0" collapsed="false">
      <c r="A484" s="6"/>
      <c r="B484" s="8" t="str">
        <f aca="false">IF($A484="","",IFERROR(INDEX(PRODUCTOS!$B$6:$B$105,MATCH($A484,PRODUCTOS!$A$6:$A$105,0)),"¿Código?"))</f>
        <v/>
      </c>
      <c r="C484" s="6"/>
      <c r="D484" s="8" t="str">
        <f aca="false">IF($C484="","",IFERROR(INDEX(INSUMOS!$B$6:$B$205,MATCH($C484,INSUMOS!$A$6:$A$205,0)),"¿Código?"))</f>
        <v/>
      </c>
      <c r="E484" s="8" t="str">
        <f aca="false">IF($C484="","",IFERROR(INDEX(INSUMOS!$D$6:$D$205,MATCH($C484,INSUMOS!$A$6:$A$205,0)),""))</f>
        <v/>
      </c>
      <c r="F484" s="39"/>
      <c r="G484" s="43" t="str">
        <f aca="false">IF(OR($A484="",$C484=""),"",IFERROR(INDEX(INSUMOS!$P$6:$P$205,MATCH($C484,INSUMOS!$A$6:$A$205,0)),0))</f>
        <v/>
      </c>
      <c r="H484" s="43" t="str">
        <f aca="false">IF(OR($A484="",$C484=""),"",N($F484)*$G484)</f>
        <v/>
      </c>
      <c r="I484" s="34" t="str">
        <f aca="false">IF(OR($A484="",$C484=""),"",IFERROR(MAX(1,INDEX(PRODUCTOS!$G$6:$G$105,MATCH($A484,PRODUCTOS!$A$6:$A$105,0))),1))</f>
        <v/>
      </c>
      <c r="J484" s="43" t="str">
        <f aca="false">IF(OR($A484="",$C484=""),"",$H484/$I484)</f>
        <v/>
      </c>
      <c r="K484" s="34" t="str">
        <f aca="false">IF(OR($A484="",$C484=""),"",SUMIFS(VENTAS!$E$6:$E$2005,VENTAS!$C$6:$C$2005,$A484))</f>
        <v/>
      </c>
      <c r="L484" s="45" t="str">
        <f aca="false">IF(OR($A484="",$C484=""),"",IFERROR(N($F484)/INDEX(INSUMOS!$I$6:$I$205,MATCH($C484,INSUMOS!$A$6:$A$205,0)),N($F484))/$I484*$K484)</f>
        <v/>
      </c>
      <c r="M484" s="8" t="str">
        <f aca="false">IF($A484="","",COUNTIF($A$6:$A484,$A484))</f>
        <v/>
      </c>
      <c r="N484" s="8" t="str">
        <f aca="false">IF($A484="","",$A484&amp;"|"&amp;$M484)</f>
        <v/>
      </c>
    </row>
    <row r="485" customFormat="false" ht="15" hidden="false" customHeight="false" outlineLevel="0" collapsed="false">
      <c r="A485" s="6"/>
      <c r="B485" s="8" t="str">
        <f aca="false">IF($A485="","",IFERROR(INDEX(PRODUCTOS!$B$6:$B$105,MATCH($A485,PRODUCTOS!$A$6:$A$105,0)),"¿Código?"))</f>
        <v/>
      </c>
      <c r="C485" s="6"/>
      <c r="D485" s="8" t="str">
        <f aca="false">IF($C485="","",IFERROR(INDEX(INSUMOS!$B$6:$B$205,MATCH($C485,INSUMOS!$A$6:$A$205,0)),"¿Código?"))</f>
        <v/>
      </c>
      <c r="E485" s="8" t="str">
        <f aca="false">IF($C485="","",IFERROR(INDEX(INSUMOS!$D$6:$D$205,MATCH($C485,INSUMOS!$A$6:$A$205,0)),""))</f>
        <v/>
      </c>
      <c r="F485" s="39"/>
      <c r="G485" s="43" t="str">
        <f aca="false">IF(OR($A485="",$C485=""),"",IFERROR(INDEX(INSUMOS!$P$6:$P$205,MATCH($C485,INSUMOS!$A$6:$A$205,0)),0))</f>
        <v/>
      </c>
      <c r="H485" s="43" t="str">
        <f aca="false">IF(OR($A485="",$C485=""),"",N($F485)*$G485)</f>
        <v/>
      </c>
      <c r="I485" s="34" t="str">
        <f aca="false">IF(OR($A485="",$C485=""),"",IFERROR(MAX(1,INDEX(PRODUCTOS!$G$6:$G$105,MATCH($A485,PRODUCTOS!$A$6:$A$105,0))),1))</f>
        <v/>
      </c>
      <c r="J485" s="43" t="str">
        <f aca="false">IF(OR($A485="",$C485=""),"",$H485/$I485)</f>
        <v/>
      </c>
      <c r="K485" s="34" t="str">
        <f aca="false">IF(OR($A485="",$C485=""),"",SUMIFS(VENTAS!$E$6:$E$2005,VENTAS!$C$6:$C$2005,$A485))</f>
        <v/>
      </c>
      <c r="L485" s="45" t="str">
        <f aca="false">IF(OR($A485="",$C485=""),"",IFERROR(N($F485)/INDEX(INSUMOS!$I$6:$I$205,MATCH($C485,INSUMOS!$A$6:$A$205,0)),N($F485))/$I485*$K485)</f>
        <v/>
      </c>
      <c r="M485" s="8" t="str">
        <f aca="false">IF($A485="","",COUNTIF($A$6:$A485,$A485))</f>
        <v/>
      </c>
      <c r="N485" s="8" t="str">
        <f aca="false">IF($A485="","",$A485&amp;"|"&amp;$M485)</f>
        <v/>
      </c>
    </row>
    <row r="486" customFormat="false" ht="15" hidden="false" customHeight="false" outlineLevel="0" collapsed="false">
      <c r="A486" s="6"/>
      <c r="B486" s="8" t="str">
        <f aca="false">IF($A486="","",IFERROR(INDEX(PRODUCTOS!$B$6:$B$105,MATCH($A486,PRODUCTOS!$A$6:$A$105,0)),"¿Código?"))</f>
        <v/>
      </c>
      <c r="C486" s="6"/>
      <c r="D486" s="8" t="str">
        <f aca="false">IF($C486="","",IFERROR(INDEX(INSUMOS!$B$6:$B$205,MATCH($C486,INSUMOS!$A$6:$A$205,0)),"¿Código?"))</f>
        <v/>
      </c>
      <c r="E486" s="8" t="str">
        <f aca="false">IF($C486="","",IFERROR(INDEX(INSUMOS!$D$6:$D$205,MATCH($C486,INSUMOS!$A$6:$A$205,0)),""))</f>
        <v/>
      </c>
      <c r="F486" s="39"/>
      <c r="G486" s="43" t="str">
        <f aca="false">IF(OR($A486="",$C486=""),"",IFERROR(INDEX(INSUMOS!$P$6:$P$205,MATCH($C486,INSUMOS!$A$6:$A$205,0)),0))</f>
        <v/>
      </c>
      <c r="H486" s="43" t="str">
        <f aca="false">IF(OR($A486="",$C486=""),"",N($F486)*$G486)</f>
        <v/>
      </c>
      <c r="I486" s="34" t="str">
        <f aca="false">IF(OR($A486="",$C486=""),"",IFERROR(MAX(1,INDEX(PRODUCTOS!$G$6:$G$105,MATCH($A486,PRODUCTOS!$A$6:$A$105,0))),1))</f>
        <v/>
      </c>
      <c r="J486" s="43" t="str">
        <f aca="false">IF(OR($A486="",$C486=""),"",$H486/$I486)</f>
        <v/>
      </c>
      <c r="K486" s="34" t="str">
        <f aca="false">IF(OR($A486="",$C486=""),"",SUMIFS(VENTAS!$E$6:$E$2005,VENTAS!$C$6:$C$2005,$A486))</f>
        <v/>
      </c>
      <c r="L486" s="45" t="str">
        <f aca="false">IF(OR($A486="",$C486=""),"",IFERROR(N($F486)/INDEX(INSUMOS!$I$6:$I$205,MATCH($C486,INSUMOS!$A$6:$A$205,0)),N($F486))/$I486*$K486)</f>
        <v/>
      </c>
      <c r="M486" s="8" t="str">
        <f aca="false">IF($A486="","",COUNTIF($A$6:$A486,$A486))</f>
        <v/>
      </c>
      <c r="N486" s="8" t="str">
        <f aca="false">IF($A486="","",$A486&amp;"|"&amp;$M486)</f>
        <v/>
      </c>
    </row>
    <row r="487" customFormat="false" ht="15" hidden="false" customHeight="false" outlineLevel="0" collapsed="false">
      <c r="A487" s="6"/>
      <c r="B487" s="8" t="str">
        <f aca="false">IF($A487="","",IFERROR(INDEX(PRODUCTOS!$B$6:$B$105,MATCH($A487,PRODUCTOS!$A$6:$A$105,0)),"¿Código?"))</f>
        <v/>
      </c>
      <c r="C487" s="6"/>
      <c r="D487" s="8" t="str">
        <f aca="false">IF($C487="","",IFERROR(INDEX(INSUMOS!$B$6:$B$205,MATCH($C487,INSUMOS!$A$6:$A$205,0)),"¿Código?"))</f>
        <v/>
      </c>
      <c r="E487" s="8" t="str">
        <f aca="false">IF($C487="","",IFERROR(INDEX(INSUMOS!$D$6:$D$205,MATCH($C487,INSUMOS!$A$6:$A$205,0)),""))</f>
        <v/>
      </c>
      <c r="F487" s="39"/>
      <c r="G487" s="43" t="str">
        <f aca="false">IF(OR($A487="",$C487=""),"",IFERROR(INDEX(INSUMOS!$P$6:$P$205,MATCH($C487,INSUMOS!$A$6:$A$205,0)),0))</f>
        <v/>
      </c>
      <c r="H487" s="43" t="str">
        <f aca="false">IF(OR($A487="",$C487=""),"",N($F487)*$G487)</f>
        <v/>
      </c>
      <c r="I487" s="34" t="str">
        <f aca="false">IF(OR($A487="",$C487=""),"",IFERROR(MAX(1,INDEX(PRODUCTOS!$G$6:$G$105,MATCH($A487,PRODUCTOS!$A$6:$A$105,0))),1))</f>
        <v/>
      </c>
      <c r="J487" s="43" t="str">
        <f aca="false">IF(OR($A487="",$C487=""),"",$H487/$I487)</f>
        <v/>
      </c>
      <c r="K487" s="34" t="str">
        <f aca="false">IF(OR($A487="",$C487=""),"",SUMIFS(VENTAS!$E$6:$E$2005,VENTAS!$C$6:$C$2005,$A487))</f>
        <v/>
      </c>
      <c r="L487" s="45" t="str">
        <f aca="false">IF(OR($A487="",$C487=""),"",IFERROR(N($F487)/INDEX(INSUMOS!$I$6:$I$205,MATCH($C487,INSUMOS!$A$6:$A$205,0)),N($F487))/$I487*$K487)</f>
        <v/>
      </c>
      <c r="M487" s="8" t="str">
        <f aca="false">IF($A487="","",COUNTIF($A$6:$A487,$A487))</f>
        <v/>
      </c>
      <c r="N487" s="8" t="str">
        <f aca="false">IF($A487="","",$A487&amp;"|"&amp;$M487)</f>
        <v/>
      </c>
    </row>
    <row r="488" customFormat="false" ht="15" hidden="false" customHeight="false" outlineLevel="0" collapsed="false">
      <c r="A488" s="6"/>
      <c r="B488" s="8" t="str">
        <f aca="false">IF($A488="","",IFERROR(INDEX(PRODUCTOS!$B$6:$B$105,MATCH($A488,PRODUCTOS!$A$6:$A$105,0)),"¿Código?"))</f>
        <v/>
      </c>
      <c r="C488" s="6"/>
      <c r="D488" s="8" t="str">
        <f aca="false">IF($C488="","",IFERROR(INDEX(INSUMOS!$B$6:$B$205,MATCH($C488,INSUMOS!$A$6:$A$205,0)),"¿Código?"))</f>
        <v/>
      </c>
      <c r="E488" s="8" t="str">
        <f aca="false">IF($C488="","",IFERROR(INDEX(INSUMOS!$D$6:$D$205,MATCH($C488,INSUMOS!$A$6:$A$205,0)),""))</f>
        <v/>
      </c>
      <c r="F488" s="39"/>
      <c r="G488" s="43" t="str">
        <f aca="false">IF(OR($A488="",$C488=""),"",IFERROR(INDEX(INSUMOS!$P$6:$P$205,MATCH($C488,INSUMOS!$A$6:$A$205,0)),0))</f>
        <v/>
      </c>
      <c r="H488" s="43" t="str">
        <f aca="false">IF(OR($A488="",$C488=""),"",N($F488)*$G488)</f>
        <v/>
      </c>
      <c r="I488" s="34" t="str">
        <f aca="false">IF(OR($A488="",$C488=""),"",IFERROR(MAX(1,INDEX(PRODUCTOS!$G$6:$G$105,MATCH($A488,PRODUCTOS!$A$6:$A$105,0))),1))</f>
        <v/>
      </c>
      <c r="J488" s="43" t="str">
        <f aca="false">IF(OR($A488="",$C488=""),"",$H488/$I488)</f>
        <v/>
      </c>
      <c r="K488" s="34" t="str">
        <f aca="false">IF(OR($A488="",$C488=""),"",SUMIFS(VENTAS!$E$6:$E$2005,VENTAS!$C$6:$C$2005,$A488))</f>
        <v/>
      </c>
      <c r="L488" s="45" t="str">
        <f aca="false">IF(OR($A488="",$C488=""),"",IFERROR(N($F488)/INDEX(INSUMOS!$I$6:$I$205,MATCH($C488,INSUMOS!$A$6:$A$205,0)),N($F488))/$I488*$K488)</f>
        <v/>
      </c>
      <c r="M488" s="8" t="str">
        <f aca="false">IF($A488="","",COUNTIF($A$6:$A488,$A488))</f>
        <v/>
      </c>
      <c r="N488" s="8" t="str">
        <f aca="false">IF($A488="","",$A488&amp;"|"&amp;$M488)</f>
        <v/>
      </c>
    </row>
    <row r="489" customFormat="false" ht="15" hidden="false" customHeight="false" outlineLevel="0" collapsed="false">
      <c r="A489" s="6"/>
      <c r="B489" s="8" t="str">
        <f aca="false">IF($A489="","",IFERROR(INDEX(PRODUCTOS!$B$6:$B$105,MATCH($A489,PRODUCTOS!$A$6:$A$105,0)),"¿Código?"))</f>
        <v/>
      </c>
      <c r="C489" s="6"/>
      <c r="D489" s="8" t="str">
        <f aca="false">IF($C489="","",IFERROR(INDEX(INSUMOS!$B$6:$B$205,MATCH($C489,INSUMOS!$A$6:$A$205,0)),"¿Código?"))</f>
        <v/>
      </c>
      <c r="E489" s="8" t="str">
        <f aca="false">IF($C489="","",IFERROR(INDEX(INSUMOS!$D$6:$D$205,MATCH($C489,INSUMOS!$A$6:$A$205,0)),""))</f>
        <v/>
      </c>
      <c r="F489" s="39"/>
      <c r="G489" s="43" t="str">
        <f aca="false">IF(OR($A489="",$C489=""),"",IFERROR(INDEX(INSUMOS!$P$6:$P$205,MATCH($C489,INSUMOS!$A$6:$A$205,0)),0))</f>
        <v/>
      </c>
      <c r="H489" s="43" t="str">
        <f aca="false">IF(OR($A489="",$C489=""),"",N($F489)*$G489)</f>
        <v/>
      </c>
      <c r="I489" s="34" t="str">
        <f aca="false">IF(OR($A489="",$C489=""),"",IFERROR(MAX(1,INDEX(PRODUCTOS!$G$6:$G$105,MATCH($A489,PRODUCTOS!$A$6:$A$105,0))),1))</f>
        <v/>
      </c>
      <c r="J489" s="43" t="str">
        <f aca="false">IF(OR($A489="",$C489=""),"",$H489/$I489)</f>
        <v/>
      </c>
      <c r="K489" s="34" t="str">
        <f aca="false">IF(OR($A489="",$C489=""),"",SUMIFS(VENTAS!$E$6:$E$2005,VENTAS!$C$6:$C$2005,$A489))</f>
        <v/>
      </c>
      <c r="L489" s="45" t="str">
        <f aca="false">IF(OR($A489="",$C489=""),"",IFERROR(N($F489)/INDEX(INSUMOS!$I$6:$I$205,MATCH($C489,INSUMOS!$A$6:$A$205,0)),N($F489))/$I489*$K489)</f>
        <v/>
      </c>
      <c r="M489" s="8" t="str">
        <f aca="false">IF($A489="","",COUNTIF($A$6:$A489,$A489))</f>
        <v/>
      </c>
      <c r="N489" s="8" t="str">
        <f aca="false">IF($A489="","",$A489&amp;"|"&amp;$M489)</f>
        <v/>
      </c>
    </row>
    <row r="490" customFormat="false" ht="15" hidden="false" customHeight="false" outlineLevel="0" collapsed="false">
      <c r="A490" s="6"/>
      <c r="B490" s="8" t="str">
        <f aca="false">IF($A490="","",IFERROR(INDEX(PRODUCTOS!$B$6:$B$105,MATCH($A490,PRODUCTOS!$A$6:$A$105,0)),"¿Código?"))</f>
        <v/>
      </c>
      <c r="C490" s="6"/>
      <c r="D490" s="8" t="str">
        <f aca="false">IF($C490="","",IFERROR(INDEX(INSUMOS!$B$6:$B$205,MATCH($C490,INSUMOS!$A$6:$A$205,0)),"¿Código?"))</f>
        <v/>
      </c>
      <c r="E490" s="8" t="str">
        <f aca="false">IF($C490="","",IFERROR(INDEX(INSUMOS!$D$6:$D$205,MATCH($C490,INSUMOS!$A$6:$A$205,0)),""))</f>
        <v/>
      </c>
      <c r="F490" s="39"/>
      <c r="G490" s="43" t="str">
        <f aca="false">IF(OR($A490="",$C490=""),"",IFERROR(INDEX(INSUMOS!$P$6:$P$205,MATCH($C490,INSUMOS!$A$6:$A$205,0)),0))</f>
        <v/>
      </c>
      <c r="H490" s="43" t="str">
        <f aca="false">IF(OR($A490="",$C490=""),"",N($F490)*$G490)</f>
        <v/>
      </c>
      <c r="I490" s="34" t="str">
        <f aca="false">IF(OR($A490="",$C490=""),"",IFERROR(MAX(1,INDEX(PRODUCTOS!$G$6:$G$105,MATCH($A490,PRODUCTOS!$A$6:$A$105,0))),1))</f>
        <v/>
      </c>
      <c r="J490" s="43" t="str">
        <f aca="false">IF(OR($A490="",$C490=""),"",$H490/$I490)</f>
        <v/>
      </c>
      <c r="K490" s="34" t="str">
        <f aca="false">IF(OR($A490="",$C490=""),"",SUMIFS(VENTAS!$E$6:$E$2005,VENTAS!$C$6:$C$2005,$A490))</f>
        <v/>
      </c>
      <c r="L490" s="45" t="str">
        <f aca="false">IF(OR($A490="",$C490=""),"",IFERROR(N($F490)/INDEX(INSUMOS!$I$6:$I$205,MATCH($C490,INSUMOS!$A$6:$A$205,0)),N($F490))/$I490*$K490)</f>
        <v/>
      </c>
      <c r="M490" s="8" t="str">
        <f aca="false">IF($A490="","",COUNTIF($A$6:$A490,$A490))</f>
        <v/>
      </c>
      <c r="N490" s="8" t="str">
        <f aca="false">IF($A490="","",$A490&amp;"|"&amp;$M490)</f>
        <v/>
      </c>
    </row>
    <row r="491" customFormat="false" ht="15" hidden="false" customHeight="false" outlineLevel="0" collapsed="false">
      <c r="A491" s="6"/>
      <c r="B491" s="8" t="str">
        <f aca="false">IF($A491="","",IFERROR(INDEX(PRODUCTOS!$B$6:$B$105,MATCH($A491,PRODUCTOS!$A$6:$A$105,0)),"¿Código?"))</f>
        <v/>
      </c>
      <c r="C491" s="6"/>
      <c r="D491" s="8" t="str">
        <f aca="false">IF($C491="","",IFERROR(INDEX(INSUMOS!$B$6:$B$205,MATCH($C491,INSUMOS!$A$6:$A$205,0)),"¿Código?"))</f>
        <v/>
      </c>
      <c r="E491" s="8" t="str">
        <f aca="false">IF($C491="","",IFERROR(INDEX(INSUMOS!$D$6:$D$205,MATCH($C491,INSUMOS!$A$6:$A$205,0)),""))</f>
        <v/>
      </c>
      <c r="F491" s="39"/>
      <c r="G491" s="43" t="str">
        <f aca="false">IF(OR($A491="",$C491=""),"",IFERROR(INDEX(INSUMOS!$P$6:$P$205,MATCH($C491,INSUMOS!$A$6:$A$205,0)),0))</f>
        <v/>
      </c>
      <c r="H491" s="43" t="str">
        <f aca="false">IF(OR($A491="",$C491=""),"",N($F491)*$G491)</f>
        <v/>
      </c>
      <c r="I491" s="34" t="str">
        <f aca="false">IF(OR($A491="",$C491=""),"",IFERROR(MAX(1,INDEX(PRODUCTOS!$G$6:$G$105,MATCH($A491,PRODUCTOS!$A$6:$A$105,0))),1))</f>
        <v/>
      </c>
      <c r="J491" s="43" t="str">
        <f aca="false">IF(OR($A491="",$C491=""),"",$H491/$I491)</f>
        <v/>
      </c>
      <c r="K491" s="34" t="str">
        <f aca="false">IF(OR($A491="",$C491=""),"",SUMIFS(VENTAS!$E$6:$E$2005,VENTAS!$C$6:$C$2005,$A491))</f>
        <v/>
      </c>
      <c r="L491" s="45" t="str">
        <f aca="false">IF(OR($A491="",$C491=""),"",IFERROR(N($F491)/INDEX(INSUMOS!$I$6:$I$205,MATCH($C491,INSUMOS!$A$6:$A$205,0)),N($F491))/$I491*$K491)</f>
        <v/>
      </c>
      <c r="M491" s="8" t="str">
        <f aca="false">IF($A491="","",COUNTIF($A$6:$A491,$A491))</f>
        <v/>
      </c>
      <c r="N491" s="8" t="str">
        <f aca="false">IF($A491="","",$A491&amp;"|"&amp;$M491)</f>
        <v/>
      </c>
    </row>
    <row r="492" customFormat="false" ht="15" hidden="false" customHeight="false" outlineLevel="0" collapsed="false">
      <c r="A492" s="6"/>
      <c r="B492" s="8" t="str">
        <f aca="false">IF($A492="","",IFERROR(INDEX(PRODUCTOS!$B$6:$B$105,MATCH($A492,PRODUCTOS!$A$6:$A$105,0)),"¿Código?"))</f>
        <v/>
      </c>
      <c r="C492" s="6"/>
      <c r="D492" s="8" t="str">
        <f aca="false">IF($C492="","",IFERROR(INDEX(INSUMOS!$B$6:$B$205,MATCH($C492,INSUMOS!$A$6:$A$205,0)),"¿Código?"))</f>
        <v/>
      </c>
      <c r="E492" s="8" t="str">
        <f aca="false">IF($C492="","",IFERROR(INDEX(INSUMOS!$D$6:$D$205,MATCH($C492,INSUMOS!$A$6:$A$205,0)),""))</f>
        <v/>
      </c>
      <c r="F492" s="39"/>
      <c r="G492" s="43" t="str">
        <f aca="false">IF(OR($A492="",$C492=""),"",IFERROR(INDEX(INSUMOS!$P$6:$P$205,MATCH($C492,INSUMOS!$A$6:$A$205,0)),0))</f>
        <v/>
      </c>
      <c r="H492" s="43" t="str">
        <f aca="false">IF(OR($A492="",$C492=""),"",N($F492)*$G492)</f>
        <v/>
      </c>
      <c r="I492" s="34" t="str">
        <f aca="false">IF(OR($A492="",$C492=""),"",IFERROR(MAX(1,INDEX(PRODUCTOS!$G$6:$G$105,MATCH($A492,PRODUCTOS!$A$6:$A$105,0))),1))</f>
        <v/>
      </c>
      <c r="J492" s="43" t="str">
        <f aca="false">IF(OR($A492="",$C492=""),"",$H492/$I492)</f>
        <v/>
      </c>
      <c r="K492" s="34" t="str">
        <f aca="false">IF(OR($A492="",$C492=""),"",SUMIFS(VENTAS!$E$6:$E$2005,VENTAS!$C$6:$C$2005,$A492))</f>
        <v/>
      </c>
      <c r="L492" s="45" t="str">
        <f aca="false">IF(OR($A492="",$C492=""),"",IFERROR(N($F492)/INDEX(INSUMOS!$I$6:$I$205,MATCH($C492,INSUMOS!$A$6:$A$205,0)),N($F492))/$I492*$K492)</f>
        <v/>
      </c>
      <c r="M492" s="8" t="str">
        <f aca="false">IF($A492="","",COUNTIF($A$6:$A492,$A492))</f>
        <v/>
      </c>
      <c r="N492" s="8" t="str">
        <f aca="false">IF($A492="","",$A492&amp;"|"&amp;$M492)</f>
        <v/>
      </c>
    </row>
    <row r="493" customFormat="false" ht="15" hidden="false" customHeight="false" outlineLevel="0" collapsed="false">
      <c r="A493" s="6"/>
      <c r="B493" s="8" t="str">
        <f aca="false">IF($A493="","",IFERROR(INDEX(PRODUCTOS!$B$6:$B$105,MATCH($A493,PRODUCTOS!$A$6:$A$105,0)),"¿Código?"))</f>
        <v/>
      </c>
      <c r="C493" s="6"/>
      <c r="D493" s="8" t="str">
        <f aca="false">IF($C493="","",IFERROR(INDEX(INSUMOS!$B$6:$B$205,MATCH($C493,INSUMOS!$A$6:$A$205,0)),"¿Código?"))</f>
        <v/>
      </c>
      <c r="E493" s="8" t="str">
        <f aca="false">IF($C493="","",IFERROR(INDEX(INSUMOS!$D$6:$D$205,MATCH($C493,INSUMOS!$A$6:$A$205,0)),""))</f>
        <v/>
      </c>
      <c r="F493" s="39"/>
      <c r="G493" s="43" t="str">
        <f aca="false">IF(OR($A493="",$C493=""),"",IFERROR(INDEX(INSUMOS!$P$6:$P$205,MATCH($C493,INSUMOS!$A$6:$A$205,0)),0))</f>
        <v/>
      </c>
      <c r="H493" s="43" t="str">
        <f aca="false">IF(OR($A493="",$C493=""),"",N($F493)*$G493)</f>
        <v/>
      </c>
      <c r="I493" s="34" t="str">
        <f aca="false">IF(OR($A493="",$C493=""),"",IFERROR(MAX(1,INDEX(PRODUCTOS!$G$6:$G$105,MATCH($A493,PRODUCTOS!$A$6:$A$105,0))),1))</f>
        <v/>
      </c>
      <c r="J493" s="43" t="str">
        <f aca="false">IF(OR($A493="",$C493=""),"",$H493/$I493)</f>
        <v/>
      </c>
      <c r="K493" s="34" t="str">
        <f aca="false">IF(OR($A493="",$C493=""),"",SUMIFS(VENTAS!$E$6:$E$2005,VENTAS!$C$6:$C$2005,$A493))</f>
        <v/>
      </c>
      <c r="L493" s="45" t="str">
        <f aca="false">IF(OR($A493="",$C493=""),"",IFERROR(N($F493)/INDEX(INSUMOS!$I$6:$I$205,MATCH($C493,INSUMOS!$A$6:$A$205,0)),N($F493))/$I493*$K493)</f>
        <v/>
      </c>
      <c r="M493" s="8" t="str">
        <f aca="false">IF($A493="","",COUNTIF($A$6:$A493,$A493))</f>
        <v/>
      </c>
      <c r="N493" s="8" t="str">
        <f aca="false">IF($A493="","",$A493&amp;"|"&amp;$M493)</f>
        <v/>
      </c>
    </row>
    <row r="494" customFormat="false" ht="15" hidden="false" customHeight="false" outlineLevel="0" collapsed="false">
      <c r="A494" s="6"/>
      <c r="B494" s="8" t="str">
        <f aca="false">IF($A494="","",IFERROR(INDEX(PRODUCTOS!$B$6:$B$105,MATCH($A494,PRODUCTOS!$A$6:$A$105,0)),"¿Código?"))</f>
        <v/>
      </c>
      <c r="C494" s="6"/>
      <c r="D494" s="8" t="str">
        <f aca="false">IF($C494="","",IFERROR(INDEX(INSUMOS!$B$6:$B$205,MATCH($C494,INSUMOS!$A$6:$A$205,0)),"¿Código?"))</f>
        <v/>
      </c>
      <c r="E494" s="8" t="str">
        <f aca="false">IF($C494="","",IFERROR(INDEX(INSUMOS!$D$6:$D$205,MATCH($C494,INSUMOS!$A$6:$A$205,0)),""))</f>
        <v/>
      </c>
      <c r="F494" s="39"/>
      <c r="G494" s="43" t="str">
        <f aca="false">IF(OR($A494="",$C494=""),"",IFERROR(INDEX(INSUMOS!$P$6:$P$205,MATCH($C494,INSUMOS!$A$6:$A$205,0)),0))</f>
        <v/>
      </c>
      <c r="H494" s="43" t="str">
        <f aca="false">IF(OR($A494="",$C494=""),"",N($F494)*$G494)</f>
        <v/>
      </c>
      <c r="I494" s="34" t="str">
        <f aca="false">IF(OR($A494="",$C494=""),"",IFERROR(MAX(1,INDEX(PRODUCTOS!$G$6:$G$105,MATCH($A494,PRODUCTOS!$A$6:$A$105,0))),1))</f>
        <v/>
      </c>
      <c r="J494" s="43" t="str">
        <f aca="false">IF(OR($A494="",$C494=""),"",$H494/$I494)</f>
        <v/>
      </c>
      <c r="K494" s="34" t="str">
        <f aca="false">IF(OR($A494="",$C494=""),"",SUMIFS(VENTAS!$E$6:$E$2005,VENTAS!$C$6:$C$2005,$A494))</f>
        <v/>
      </c>
      <c r="L494" s="45" t="str">
        <f aca="false">IF(OR($A494="",$C494=""),"",IFERROR(N($F494)/INDEX(INSUMOS!$I$6:$I$205,MATCH($C494,INSUMOS!$A$6:$A$205,0)),N($F494))/$I494*$K494)</f>
        <v/>
      </c>
      <c r="M494" s="8" t="str">
        <f aca="false">IF($A494="","",COUNTIF($A$6:$A494,$A494))</f>
        <v/>
      </c>
      <c r="N494" s="8" t="str">
        <f aca="false">IF($A494="","",$A494&amp;"|"&amp;$M494)</f>
        <v/>
      </c>
    </row>
    <row r="495" customFormat="false" ht="15" hidden="false" customHeight="false" outlineLevel="0" collapsed="false">
      <c r="A495" s="6"/>
      <c r="B495" s="8" t="str">
        <f aca="false">IF($A495="","",IFERROR(INDEX(PRODUCTOS!$B$6:$B$105,MATCH($A495,PRODUCTOS!$A$6:$A$105,0)),"¿Código?"))</f>
        <v/>
      </c>
      <c r="C495" s="6"/>
      <c r="D495" s="8" t="str">
        <f aca="false">IF($C495="","",IFERROR(INDEX(INSUMOS!$B$6:$B$205,MATCH($C495,INSUMOS!$A$6:$A$205,0)),"¿Código?"))</f>
        <v/>
      </c>
      <c r="E495" s="8" t="str">
        <f aca="false">IF($C495="","",IFERROR(INDEX(INSUMOS!$D$6:$D$205,MATCH($C495,INSUMOS!$A$6:$A$205,0)),""))</f>
        <v/>
      </c>
      <c r="F495" s="39"/>
      <c r="G495" s="43" t="str">
        <f aca="false">IF(OR($A495="",$C495=""),"",IFERROR(INDEX(INSUMOS!$P$6:$P$205,MATCH($C495,INSUMOS!$A$6:$A$205,0)),0))</f>
        <v/>
      </c>
      <c r="H495" s="43" t="str">
        <f aca="false">IF(OR($A495="",$C495=""),"",N($F495)*$G495)</f>
        <v/>
      </c>
      <c r="I495" s="34" t="str">
        <f aca="false">IF(OR($A495="",$C495=""),"",IFERROR(MAX(1,INDEX(PRODUCTOS!$G$6:$G$105,MATCH($A495,PRODUCTOS!$A$6:$A$105,0))),1))</f>
        <v/>
      </c>
      <c r="J495" s="43" t="str">
        <f aca="false">IF(OR($A495="",$C495=""),"",$H495/$I495)</f>
        <v/>
      </c>
      <c r="K495" s="34" t="str">
        <f aca="false">IF(OR($A495="",$C495=""),"",SUMIFS(VENTAS!$E$6:$E$2005,VENTAS!$C$6:$C$2005,$A495))</f>
        <v/>
      </c>
      <c r="L495" s="45" t="str">
        <f aca="false">IF(OR($A495="",$C495=""),"",IFERROR(N($F495)/INDEX(INSUMOS!$I$6:$I$205,MATCH($C495,INSUMOS!$A$6:$A$205,0)),N($F495))/$I495*$K495)</f>
        <v/>
      </c>
      <c r="M495" s="8" t="str">
        <f aca="false">IF($A495="","",COUNTIF($A$6:$A495,$A495))</f>
        <v/>
      </c>
      <c r="N495" s="8" t="str">
        <f aca="false">IF($A495="","",$A495&amp;"|"&amp;$M495)</f>
        <v/>
      </c>
    </row>
    <row r="496" customFormat="false" ht="15" hidden="false" customHeight="false" outlineLevel="0" collapsed="false">
      <c r="A496" s="6"/>
      <c r="B496" s="8" t="str">
        <f aca="false">IF($A496="","",IFERROR(INDEX(PRODUCTOS!$B$6:$B$105,MATCH($A496,PRODUCTOS!$A$6:$A$105,0)),"¿Código?"))</f>
        <v/>
      </c>
      <c r="C496" s="6"/>
      <c r="D496" s="8" t="str">
        <f aca="false">IF($C496="","",IFERROR(INDEX(INSUMOS!$B$6:$B$205,MATCH($C496,INSUMOS!$A$6:$A$205,0)),"¿Código?"))</f>
        <v/>
      </c>
      <c r="E496" s="8" t="str">
        <f aca="false">IF($C496="","",IFERROR(INDEX(INSUMOS!$D$6:$D$205,MATCH($C496,INSUMOS!$A$6:$A$205,0)),""))</f>
        <v/>
      </c>
      <c r="F496" s="39"/>
      <c r="G496" s="43" t="str">
        <f aca="false">IF(OR($A496="",$C496=""),"",IFERROR(INDEX(INSUMOS!$P$6:$P$205,MATCH($C496,INSUMOS!$A$6:$A$205,0)),0))</f>
        <v/>
      </c>
      <c r="H496" s="43" t="str">
        <f aca="false">IF(OR($A496="",$C496=""),"",N($F496)*$G496)</f>
        <v/>
      </c>
      <c r="I496" s="34" t="str">
        <f aca="false">IF(OR($A496="",$C496=""),"",IFERROR(MAX(1,INDEX(PRODUCTOS!$G$6:$G$105,MATCH($A496,PRODUCTOS!$A$6:$A$105,0))),1))</f>
        <v/>
      </c>
      <c r="J496" s="43" t="str">
        <f aca="false">IF(OR($A496="",$C496=""),"",$H496/$I496)</f>
        <v/>
      </c>
      <c r="K496" s="34" t="str">
        <f aca="false">IF(OR($A496="",$C496=""),"",SUMIFS(VENTAS!$E$6:$E$2005,VENTAS!$C$6:$C$2005,$A496))</f>
        <v/>
      </c>
      <c r="L496" s="45" t="str">
        <f aca="false">IF(OR($A496="",$C496=""),"",IFERROR(N($F496)/INDEX(INSUMOS!$I$6:$I$205,MATCH($C496,INSUMOS!$A$6:$A$205,0)),N($F496))/$I496*$K496)</f>
        <v/>
      </c>
      <c r="M496" s="8" t="str">
        <f aca="false">IF($A496="","",COUNTIF($A$6:$A496,$A496))</f>
        <v/>
      </c>
      <c r="N496" s="8" t="str">
        <f aca="false">IF($A496="","",$A496&amp;"|"&amp;$M496)</f>
        <v/>
      </c>
    </row>
    <row r="497" customFormat="false" ht="15" hidden="false" customHeight="false" outlineLevel="0" collapsed="false">
      <c r="A497" s="6"/>
      <c r="B497" s="8" t="str">
        <f aca="false">IF($A497="","",IFERROR(INDEX(PRODUCTOS!$B$6:$B$105,MATCH($A497,PRODUCTOS!$A$6:$A$105,0)),"¿Código?"))</f>
        <v/>
      </c>
      <c r="C497" s="6"/>
      <c r="D497" s="8" t="str">
        <f aca="false">IF($C497="","",IFERROR(INDEX(INSUMOS!$B$6:$B$205,MATCH($C497,INSUMOS!$A$6:$A$205,0)),"¿Código?"))</f>
        <v/>
      </c>
      <c r="E497" s="8" t="str">
        <f aca="false">IF($C497="","",IFERROR(INDEX(INSUMOS!$D$6:$D$205,MATCH($C497,INSUMOS!$A$6:$A$205,0)),""))</f>
        <v/>
      </c>
      <c r="F497" s="39"/>
      <c r="G497" s="43" t="str">
        <f aca="false">IF(OR($A497="",$C497=""),"",IFERROR(INDEX(INSUMOS!$P$6:$P$205,MATCH($C497,INSUMOS!$A$6:$A$205,0)),0))</f>
        <v/>
      </c>
      <c r="H497" s="43" t="str">
        <f aca="false">IF(OR($A497="",$C497=""),"",N($F497)*$G497)</f>
        <v/>
      </c>
      <c r="I497" s="34" t="str">
        <f aca="false">IF(OR($A497="",$C497=""),"",IFERROR(MAX(1,INDEX(PRODUCTOS!$G$6:$G$105,MATCH($A497,PRODUCTOS!$A$6:$A$105,0))),1))</f>
        <v/>
      </c>
      <c r="J497" s="43" t="str">
        <f aca="false">IF(OR($A497="",$C497=""),"",$H497/$I497)</f>
        <v/>
      </c>
      <c r="K497" s="34" t="str">
        <f aca="false">IF(OR($A497="",$C497=""),"",SUMIFS(VENTAS!$E$6:$E$2005,VENTAS!$C$6:$C$2005,$A497))</f>
        <v/>
      </c>
      <c r="L497" s="45" t="str">
        <f aca="false">IF(OR($A497="",$C497=""),"",IFERROR(N($F497)/INDEX(INSUMOS!$I$6:$I$205,MATCH($C497,INSUMOS!$A$6:$A$205,0)),N($F497))/$I497*$K497)</f>
        <v/>
      </c>
      <c r="M497" s="8" t="str">
        <f aca="false">IF($A497="","",COUNTIF($A$6:$A497,$A497))</f>
        <v/>
      </c>
      <c r="N497" s="8" t="str">
        <f aca="false">IF($A497="","",$A497&amp;"|"&amp;$M497)</f>
        <v/>
      </c>
    </row>
    <row r="498" customFormat="false" ht="15" hidden="false" customHeight="false" outlineLevel="0" collapsed="false">
      <c r="A498" s="6"/>
      <c r="B498" s="8" t="str">
        <f aca="false">IF($A498="","",IFERROR(INDEX(PRODUCTOS!$B$6:$B$105,MATCH($A498,PRODUCTOS!$A$6:$A$105,0)),"¿Código?"))</f>
        <v/>
      </c>
      <c r="C498" s="6"/>
      <c r="D498" s="8" t="str">
        <f aca="false">IF($C498="","",IFERROR(INDEX(INSUMOS!$B$6:$B$205,MATCH($C498,INSUMOS!$A$6:$A$205,0)),"¿Código?"))</f>
        <v/>
      </c>
      <c r="E498" s="8" t="str">
        <f aca="false">IF($C498="","",IFERROR(INDEX(INSUMOS!$D$6:$D$205,MATCH($C498,INSUMOS!$A$6:$A$205,0)),""))</f>
        <v/>
      </c>
      <c r="F498" s="39"/>
      <c r="G498" s="43" t="str">
        <f aca="false">IF(OR($A498="",$C498=""),"",IFERROR(INDEX(INSUMOS!$P$6:$P$205,MATCH($C498,INSUMOS!$A$6:$A$205,0)),0))</f>
        <v/>
      </c>
      <c r="H498" s="43" t="str">
        <f aca="false">IF(OR($A498="",$C498=""),"",N($F498)*$G498)</f>
        <v/>
      </c>
      <c r="I498" s="34" t="str">
        <f aca="false">IF(OR($A498="",$C498=""),"",IFERROR(MAX(1,INDEX(PRODUCTOS!$G$6:$G$105,MATCH($A498,PRODUCTOS!$A$6:$A$105,0))),1))</f>
        <v/>
      </c>
      <c r="J498" s="43" t="str">
        <f aca="false">IF(OR($A498="",$C498=""),"",$H498/$I498)</f>
        <v/>
      </c>
      <c r="K498" s="34" t="str">
        <f aca="false">IF(OR($A498="",$C498=""),"",SUMIFS(VENTAS!$E$6:$E$2005,VENTAS!$C$6:$C$2005,$A498))</f>
        <v/>
      </c>
      <c r="L498" s="45" t="str">
        <f aca="false">IF(OR($A498="",$C498=""),"",IFERROR(N($F498)/INDEX(INSUMOS!$I$6:$I$205,MATCH($C498,INSUMOS!$A$6:$A$205,0)),N($F498))/$I498*$K498)</f>
        <v/>
      </c>
      <c r="M498" s="8" t="str">
        <f aca="false">IF($A498="","",COUNTIF($A$6:$A498,$A498))</f>
        <v/>
      </c>
      <c r="N498" s="8" t="str">
        <f aca="false">IF($A498="","",$A498&amp;"|"&amp;$M498)</f>
        <v/>
      </c>
    </row>
    <row r="499" customFormat="false" ht="15" hidden="false" customHeight="false" outlineLevel="0" collapsed="false">
      <c r="A499" s="6"/>
      <c r="B499" s="8" t="str">
        <f aca="false">IF($A499="","",IFERROR(INDEX(PRODUCTOS!$B$6:$B$105,MATCH($A499,PRODUCTOS!$A$6:$A$105,0)),"¿Código?"))</f>
        <v/>
      </c>
      <c r="C499" s="6"/>
      <c r="D499" s="8" t="str">
        <f aca="false">IF($C499="","",IFERROR(INDEX(INSUMOS!$B$6:$B$205,MATCH($C499,INSUMOS!$A$6:$A$205,0)),"¿Código?"))</f>
        <v/>
      </c>
      <c r="E499" s="8" t="str">
        <f aca="false">IF($C499="","",IFERROR(INDEX(INSUMOS!$D$6:$D$205,MATCH($C499,INSUMOS!$A$6:$A$205,0)),""))</f>
        <v/>
      </c>
      <c r="F499" s="39"/>
      <c r="G499" s="43" t="str">
        <f aca="false">IF(OR($A499="",$C499=""),"",IFERROR(INDEX(INSUMOS!$P$6:$P$205,MATCH($C499,INSUMOS!$A$6:$A$205,0)),0))</f>
        <v/>
      </c>
      <c r="H499" s="43" t="str">
        <f aca="false">IF(OR($A499="",$C499=""),"",N($F499)*$G499)</f>
        <v/>
      </c>
      <c r="I499" s="34" t="str">
        <f aca="false">IF(OR($A499="",$C499=""),"",IFERROR(MAX(1,INDEX(PRODUCTOS!$G$6:$G$105,MATCH($A499,PRODUCTOS!$A$6:$A$105,0))),1))</f>
        <v/>
      </c>
      <c r="J499" s="43" t="str">
        <f aca="false">IF(OR($A499="",$C499=""),"",$H499/$I499)</f>
        <v/>
      </c>
      <c r="K499" s="34" t="str">
        <f aca="false">IF(OR($A499="",$C499=""),"",SUMIFS(VENTAS!$E$6:$E$2005,VENTAS!$C$6:$C$2005,$A499))</f>
        <v/>
      </c>
      <c r="L499" s="45" t="str">
        <f aca="false">IF(OR($A499="",$C499=""),"",IFERROR(N($F499)/INDEX(INSUMOS!$I$6:$I$205,MATCH($C499,INSUMOS!$A$6:$A$205,0)),N($F499))/$I499*$K499)</f>
        <v/>
      </c>
      <c r="M499" s="8" t="str">
        <f aca="false">IF($A499="","",COUNTIF($A$6:$A499,$A499))</f>
        <v/>
      </c>
      <c r="N499" s="8" t="str">
        <f aca="false">IF($A499="","",$A499&amp;"|"&amp;$M499)</f>
        <v/>
      </c>
    </row>
    <row r="500" customFormat="false" ht="15" hidden="false" customHeight="false" outlineLevel="0" collapsed="false">
      <c r="A500" s="6"/>
      <c r="B500" s="8" t="str">
        <f aca="false">IF($A500="","",IFERROR(INDEX(PRODUCTOS!$B$6:$B$105,MATCH($A500,PRODUCTOS!$A$6:$A$105,0)),"¿Código?"))</f>
        <v/>
      </c>
      <c r="C500" s="6"/>
      <c r="D500" s="8" t="str">
        <f aca="false">IF($C500="","",IFERROR(INDEX(INSUMOS!$B$6:$B$205,MATCH($C500,INSUMOS!$A$6:$A$205,0)),"¿Código?"))</f>
        <v/>
      </c>
      <c r="E500" s="8" t="str">
        <f aca="false">IF($C500="","",IFERROR(INDEX(INSUMOS!$D$6:$D$205,MATCH($C500,INSUMOS!$A$6:$A$205,0)),""))</f>
        <v/>
      </c>
      <c r="F500" s="39"/>
      <c r="G500" s="43" t="str">
        <f aca="false">IF(OR($A500="",$C500=""),"",IFERROR(INDEX(INSUMOS!$P$6:$P$205,MATCH($C500,INSUMOS!$A$6:$A$205,0)),0))</f>
        <v/>
      </c>
      <c r="H500" s="43" t="str">
        <f aca="false">IF(OR($A500="",$C500=""),"",N($F500)*$G500)</f>
        <v/>
      </c>
      <c r="I500" s="34" t="str">
        <f aca="false">IF(OR($A500="",$C500=""),"",IFERROR(MAX(1,INDEX(PRODUCTOS!$G$6:$G$105,MATCH($A500,PRODUCTOS!$A$6:$A$105,0))),1))</f>
        <v/>
      </c>
      <c r="J500" s="43" t="str">
        <f aca="false">IF(OR($A500="",$C500=""),"",$H500/$I500)</f>
        <v/>
      </c>
      <c r="K500" s="34" t="str">
        <f aca="false">IF(OR($A500="",$C500=""),"",SUMIFS(VENTAS!$E$6:$E$2005,VENTAS!$C$6:$C$2005,$A500))</f>
        <v/>
      </c>
      <c r="L500" s="45" t="str">
        <f aca="false">IF(OR($A500="",$C500=""),"",IFERROR(N($F500)/INDEX(INSUMOS!$I$6:$I$205,MATCH($C500,INSUMOS!$A$6:$A$205,0)),N($F500))/$I500*$K500)</f>
        <v/>
      </c>
      <c r="M500" s="8" t="str">
        <f aca="false">IF($A500="","",COUNTIF($A$6:$A500,$A500))</f>
        <v/>
      </c>
      <c r="N500" s="8" t="str">
        <f aca="false">IF($A500="","",$A500&amp;"|"&amp;$M500)</f>
        <v/>
      </c>
    </row>
    <row r="501" customFormat="false" ht="15" hidden="false" customHeight="false" outlineLevel="0" collapsed="false">
      <c r="A501" s="6"/>
      <c r="B501" s="8" t="str">
        <f aca="false">IF($A501="","",IFERROR(INDEX(PRODUCTOS!$B$6:$B$105,MATCH($A501,PRODUCTOS!$A$6:$A$105,0)),"¿Código?"))</f>
        <v/>
      </c>
      <c r="C501" s="6"/>
      <c r="D501" s="8" t="str">
        <f aca="false">IF($C501="","",IFERROR(INDEX(INSUMOS!$B$6:$B$205,MATCH($C501,INSUMOS!$A$6:$A$205,0)),"¿Código?"))</f>
        <v/>
      </c>
      <c r="E501" s="8" t="str">
        <f aca="false">IF($C501="","",IFERROR(INDEX(INSUMOS!$D$6:$D$205,MATCH($C501,INSUMOS!$A$6:$A$205,0)),""))</f>
        <v/>
      </c>
      <c r="F501" s="39"/>
      <c r="G501" s="43" t="str">
        <f aca="false">IF(OR($A501="",$C501=""),"",IFERROR(INDEX(INSUMOS!$P$6:$P$205,MATCH($C501,INSUMOS!$A$6:$A$205,0)),0))</f>
        <v/>
      </c>
      <c r="H501" s="43" t="str">
        <f aca="false">IF(OR($A501="",$C501=""),"",N($F501)*$G501)</f>
        <v/>
      </c>
      <c r="I501" s="34" t="str">
        <f aca="false">IF(OR($A501="",$C501=""),"",IFERROR(MAX(1,INDEX(PRODUCTOS!$G$6:$G$105,MATCH($A501,PRODUCTOS!$A$6:$A$105,0))),1))</f>
        <v/>
      </c>
      <c r="J501" s="43" t="str">
        <f aca="false">IF(OR($A501="",$C501=""),"",$H501/$I501)</f>
        <v/>
      </c>
      <c r="K501" s="34" t="str">
        <f aca="false">IF(OR($A501="",$C501=""),"",SUMIFS(VENTAS!$E$6:$E$2005,VENTAS!$C$6:$C$2005,$A501))</f>
        <v/>
      </c>
      <c r="L501" s="45" t="str">
        <f aca="false">IF(OR($A501="",$C501=""),"",IFERROR(N($F501)/INDEX(INSUMOS!$I$6:$I$205,MATCH($C501,INSUMOS!$A$6:$A$205,0)),N($F501))/$I501*$K501)</f>
        <v/>
      </c>
      <c r="M501" s="8" t="str">
        <f aca="false">IF($A501="","",COUNTIF($A$6:$A501,$A501))</f>
        <v/>
      </c>
      <c r="N501" s="8" t="str">
        <f aca="false">IF($A501="","",$A501&amp;"|"&amp;$M501)</f>
        <v/>
      </c>
    </row>
    <row r="502" customFormat="false" ht="15" hidden="false" customHeight="false" outlineLevel="0" collapsed="false">
      <c r="A502" s="6"/>
      <c r="B502" s="8" t="str">
        <f aca="false">IF($A502="","",IFERROR(INDEX(PRODUCTOS!$B$6:$B$105,MATCH($A502,PRODUCTOS!$A$6:$A$105,0)),"¿Código?"))</f>
        <v/>
      </c>
      <c r="C502" s="6"/>
      <c r="D502" s="8" t="str">
        <f aca="false">IF($C502="","",IFERROR(INDEX(INSUMOS!$B$6:$B$205,MATCH($C502,INSUMOS!$A$6:$A$205,0)),"¿Código?"))</f>
        <v/>
      </c>
      <c r="E502" s="8" t="str">
        <f aca="false">IF($C502="","",IFERROR(INDEX(INSUMOS!$D$6:$D$205,MATCH($C502,INSUMOS!$A$6:$A$205,0)),""))</f>
        <v/>
      </c>
      <c r="F502" s="39"/>
      <c r="G502" s="43" t="str">
        <f aca="false">IF(OR($A502="",$C502=""),"",IFERROR(INDEX(INSUMOS!$P$6:$P$205,MATCH($C502,INSUMOS!$A$6:$A$205,0)),0))</f>
        <v/>
      </c>
      <c r="H502" s="43" t="str">
        <f aca="false">IF(OR($A502="",$C502=""),"",N($F502)*$G502)</f>
        <v/>
      </c>
      <c r="I502" s="34" t="str">
        <f aca="false">IF(OR($A502="",$C502=""),"",IFERROR(MAX(1,INDEX(PRODUCTOS!$G$6:$G$105,MATCH($A502,PRODUCTOS!$A$6:$A$105,0))),1))</f>
        <v/>
      </c>
      <c r="J502" s="43" t="str">
        <f aca="false">IF(OR($A502="",$C502=""),"",$H502/$I502)</f>
        <v/>
      </c>
      <c r="K502" s="34" t="str">
        <f aca="false">IF(OR($A502="",$C502=""),"",SUMIFS(VENTAS!$E$6:$E$2005,VENTAS!$C$6:$C$2005,$A502))</f>
        <v/>
      </c>
      <c r="L502" s="45" t="str">
        <f aca="false">IF(OR($A502="",$C502=""),"",IFERROR(N($F502)/INDEX(INSUMOS!$I$6:$I$205,MATCH($C502,INSUMOS!$A$6:$A$205,0)),N($F502))/$I502*$K502)</f>
        <v/>
      </c>
      <c r="M502" s="8" t="str">
        <f aca="false">IF($A502="","",COUNTIF($A$6:$A502,$A502))</f>
        <v/>
      </c>
      <c r="N502" s="8" t="str">
        <f aca="false">IF($A502="","",$A502&amp;"|"&amp;$M502)</f>
        <v/>
      </c>
    </row>
    <row r="503" customFormat="false" ht="15" hidden="false" customHeight="false" outlineLevel="0" collapsed="false">
      <c r="A503" s="6"/>
      <c r="B503" s="8" t="str">
        <f aca="false">IF($A503="","",IFERROR(INDEX(PRODUCTOS!$B$6:$B$105,MATCH($A503,PRODUCTOS!$A$6:$A$105,0)),"¿Código?"))</f>
        <v/>
      </c>
      <c r="C503" s="6"/>
      <c r="D503" s="8" t="str">
        <f aca="false">IF($C503="","",IFERROR(INDEX(INSUMOS!$B$6:$B$205,MATCH($C503,INSUMOS!$A$6:$A$205,0)),"¿Código?"))</f>
        <v/>
      </c>
      <c r="E503" s="8" t="str">
        <f aca="false">IF($C503="","",IFERROR(INDEX(INSUMOS!$D$6:$D$205,MATCH($C503,INSUMOS!$A$6:$A$205,0)),""))</f>
        <v/>
      </c>
      <c r="F503" s="39"/>
      <c r="G503" s="43" t="str">
        <f aca="false">IF(OR($A503="",$C503=""),"",IFERROR(INDEX(INSUMOS!$P$6:$P$205,MATCH($C503,INSUMOS!$A$6:$A$205,0)),0))</f>
        <v/>
      </c>
      <c r="H503" s="43" t="str">
        <f aca="false">IF(OR($A503="",$C503=""),"",N($F503)*$G503)</f>
        <v/>
      </c>
      <c r="I503" s="34" t="str">
        <f aca="false">IF(OR($A503="",$C503=""),"",IFERROR(MAX(1,INDEX(PRODUCTOS!$G$6:$G$105,MATCH($A503,PRODUCTOS!$A$6:$A$105,0))),1))</f>
        <v/>
      </c>
      <c r="J503" s="43" t="str">
        <f aca="false">IF(OR($A503="",$C503=""),"",$H503/$I503)</f>
        <v/>
      </c>
      <c r="K503" s="34" t="str">
        <f aca="false">IF(OR($A503="",$C503=""),"",SUMIFS(VENTAS!$E$6:$E$2005,VENTAS!$C$6:$C$2005,$A503))</f>
        <v/>
      </c>
      <c r="L503" s="45" t="str">
        <f aca="false">IF(OR($A503="",$C503=""),"",IFERROR(N($F503)/INDEX(INSUMOS!$I$6:$I$205,MATCH($C503,INSUMOS!$A$6:$A$205,0)),N($F503))/$I503*$K503)</f>
        <v/>
      </c>
      <c r="M503" s="8" t="str">
        <f aca="false">IF($A503="","",COUNTIF($A$6:$A503,$A503))</f>
        <v/>
      </c>
      <c r="N503" s="8" t="str">
        <f aca="false">IF($A503="","",$A503&amp;"|"&amp;$M503)</f>
        <v/>
      </c>
    </row>
    <row r="504" customFormat="false" ht="15" hidden="false" customHeight="false" outlineLevel="0" collapsed="false">
      <c r="A504" s="6"/>
      <c r="B504" s="8" t="str">
        <f aca="false">IF($A504="","",IFERROR(INDEX(PRODUCTOS!$B$6:$B$105,MATCH($A504,PRODUCTOS!$A$6:$A$105,0)),"¿Código?"))</f>
        <v/>
      </c>
      <c r="C504" s="6"/>
      <c r="D504" s="8" t="str">
        <f aca="false">IF($C504="","",IFERROR(INDEX(INSUMOS!$B$6:$B$205,MATCH($C504,INSUMOS!$A$6:$A$205,0)),"¿Código?"))</f>
        <v/>
      </c>
      <c r="E504" s="8" t="str">
        <f aca="false">IF($C504="","",IFERROR(INDEX(INSUMOS!$D$6:$D$205,MATCH($C504,INSUMOS!$A$6:$A$205,0)),""))</f>
        <v/>
      </c>
      <c r="F504" s="39"/>
      <c r="G504" s="43" t="str">
        <f aca="false">IF(OR($A504="",$C504=""),"",IFERROR(INDEX(INSUMOS!$P$6:$P$205,MATCH($C504,INSUMOS!$A$6:$A$205,0)),0))</f>
        <v/>
      </c>
      <c r="H504" s="43" t="str">
        <f aca="false">IF(OR($A504="",$C504=""),"",N($F504)*$G504)</f>
        <v/>
      </c>
      <c r="I504" s="34" t="str">
        <f aca="false">IF(OR($A504="",$C504=""),"",IFERROR(MAX(1,INDEX(PRODUCTOS!$G$6:$G$105,MATCH($A504,PRODUCTOS!$A$6:$A$105,0))),1))</f>
        <v/>
      </c>
      <c r="J504" s="43" t="str">
        <f aca="false">IF(OR($A504="",$C504=""),"",$H504/$I504)</f>
        <v/>
      </c>
      <c r="K504" s="34" t="str">
        <f aca="false">IF(OR($A504="",$C504=""),"",SUMIFS(VENTAS!$E$6:$E$2005,VENTAS!$C$6:$C$2005,$A504))</f>
        <v/>
      </c>
      <c r="L504" s="45" t="str">
        <f aca="false">IF(OR($A504="",$C504=""),"",IFERROR(N($F504)/INDEX(INSUMOS!$I$6:$I$205,MATCH($C504,INSUMOS!$A$6:$A$205,0)),N($F504))/$I504*$K504)</f>
        <v/>
      </c>
      <c r="M504" s="8" t="str">
        <f aca="false">IF($A504="","",COUNTIF($A$6:$A504,$A504))</f>
        <v/>
      </c>
      <c r="N504" s="8" t="str">
        <f aca="false">IF($A504="","",$A504&amp;"|"&amp;$M504)</f>
        <v/>
      </c>
    </row>
    <row r="505" customFormat="false" ht="15" hidden="false" customHeight="false" outlineLevel="0" collapsed="false">
      <c r="A505" s="6"/>
      <c r="B505" s="8" t="str">
        <f aca="false">IF($A505="","",IFERROR(INDEX(PRODUCTOS!$B$6:$B$105,MATCH($A505,PRODUCTOS!$A$6:$A$105,0)),"¿Código?"))</f>
        <v/>
      </c>
      <c r="C505" s="6"/>
      <c r="D505" s="8" t="str">
        <f aca="false">IF($C505="","",IFERROR(INDEX(INSUMOS!$B$6:$B$205,MATCH($C505,INSUMOS!$A$6:$A$205,0)),"¿Código?"))</f>
        <v/>
      </c>
      <c r="E505" s="8" t="str">
        <f aca="false">IF($C505="","",IFERROR(INDEX(INSUMOS!$D$6:$D$205,MATCH($C505,INSUMOS!$A$6:$A$205,0)),""))</f>
        <v/>
      </c>
      <c r="F505" s="39"/>
      <c r="G505" s="43" t="str">
        <f aca="false">IF(OR($A505="",$C505=""),"",IFERROR(INDEX(INSUMOS!$P$6:$P$205,MATCH($C505,INSUMOS!$A$6:$A$205,0)),0))</f>
        <v/>
      </c>
      <c r="H505" s="43" t="str">
        <f aca="false">IF(OR($A505="",$C505=""),"",N($F505)*$G505)</f>
        <v/>
      </c>
      <c r="I505" s="34" t="str">
        <f aca="false">IF(OR($A505="",$C505=""),"",IFERROR(MAX(1,INDEX(PRODUCTOS!$G$6:$G$105,MATCH($A505,PRODUCTOS!$A$6:$A$105,0))),1))</f>
        <v/>
      </c>
      <c r="J505" s="43" t="str">
        <f aca="false">IF(OR($A505="",$C505=""),"",$H505/$I505)</f>
        <v/>
      </c>
      <c r="K505" s="34" t="str">
        <f aca="false">IF(OR($A505="",$C505=""),"",SUMIFS(VENTAS!$E$6:$E$2005,VENTAS!$C$6:$C$2005,$A505))</f>
        <v/>
      </c>
      <c r="L505" s="45" t="str">
        <f aca="false">IF(OR($A505="",$C505=""),"",IFERROR(N($F505)/INDEX(INSUMOS!$I$6:$I$205,MATCH($C505,INSUMOS!$A$6:$A$205,0)),N($F505))/$I505*$K505)</f>
        <v/>
      </c>
      <c r="M505" s="8" t="str">
        <f aca="false">IF($A505="","",COUNTIF($A$6:$A505,$A505))</f>
        <v/>
      </c>
      <c r="N505" s="8" t="str">
        <f aca="false">IF($A505="","",$A505&amp;"|"&amp;$M505)</f>
        <v/>
      </c>
    </row>
    <row r="506" customFormat="false" ht="15" hidden="false" customHeight="false" outlineLevel="0" collapsed="false">
      <c r="A506" s="6"/>
      <c r="B506" s="8" t="str">
        <f aca="false">IF($A506="","",IFERROR(INDEX(PRODUCTOS!$B$6:$B$105,MATCH($A506,PRODUCTOS!$A$6:$A$105,0)),"¿Código?"))</f>
        <v/>
      </c>
      <c r="C506" s="6"/>
      <c r="D506" s="8" t="str">
        <f aca="false">IF($C506="","",IFERROR(INDEX(INSUMOS!$B$6:$B$205,MATCH($C506,INSUMOS!$A$6:$A$205,0)),"¿Código?"))</f>
        <v/>
      </c>
      <c r="E506" s="8" t="str">
        <f aca="false">IF($C506="","",IFERROR(INDEX(INSUMOS!$D$6:$D$205,MATCH($C506,INSUMOS!$A$6:$A$205,0)),""))</f>
        <v/>
      </c>
      <c r="F506" s="39"/>
      <c r="G506" s="43" t="str">
        <f aca="false">IF(OR($A506="",$C506=""),"",IFERROR(INDEX(INSUMOS!$P$6:$P$205,MATCH($C506,INSUMOS!$A$6:$A$205,0)),0))</f>
        <v/>
      </c>
      <c r="H506" s="43" t="str">
        <f aca="false">IF(OR($A506="",$C506=""),"",N($F506)*$G506)</f>
        <v/>
      </c>
      <c r="I506" s="34" t="str">
        <f aca="false">IF(OR($A506="",$C506=""),"",IFERROR(MAX(1,INDEX(PRODUCTOS!$G$6:$G$105,MATCH($A506,PRODUCTOS!$A$6:$A$105,0))),1))</f>
        <v/>
      </c>
      <c r="J506" s="43" t="str">
        <f aca="false">IF(OR($A506="",$C506=""),"",$H506/$I506)</f>
        <v/>
      </c>
      <c r="K506" s="34" t="str">
        <f aca="false">IF(OR($A506="",$C506=""),"",SUMIFS(VENTAS!$E$6:$E$2005,VENTAS!$C$6:$C$2005,$A506))</f>
        <v/>
      </c>
      <c r="L506" s="45" t="str">
        <f aca="false">IF(OR($A506="",$C506=""),"",IFERROR(N($F506)/INDEX(INSUMOS!$I$6:$I$205,MATCH($C506,INSUMOS!$A$6:$A$205,0)),N($F506))/$I506*$K506)</f>
        <v/>
      </c>
      <c r="M506" s="8" t="str">
        <f aca="false">IF($A506="","",COUNTIF($A$6:$A506,$A506))</f>
        <v/>
      </c>
      <c r="N506" s="8" t="str">
        <f aca="false">IF($A506="","",$A506&amp;"|"&amp;$M506)</f>
        <v/>
      </c>
    </row>
    <row r="507" customFormat="false" ht="15" hidden="false" customHeight="false" outlineLevel="0" collapsed="false">
      <c r="A507" s="6"/>
      <c r="B507" s="8" t="str">
        <f aca="false">IF($A507="","",IFERROR(INDEX(PRODUCTOS!$B$6:$B$105,MATCH($A507,PRODUCTOS!$A$6:$A$105,0)),"¿Código?"))</f>
        <v/>
      </c>
      <c r="C507" s="6"/>
      <c r="D507" s="8" t="str">
        <f aca="false">IF($C507="","",IFERROR(INDEX(INSUMOS!$B$6:$B$205,MATCH($C507,INSUMOS!$A$6:$A$205,0)),"¿Código?"))</f>
        <v/>
      </c>
      <c r="E507" s="8" t="str">
        <f aca="false">IF($C507="","",IFERROR(INDEX(INSUMOS!$D$6:$D$205,MATCH($C507,INSUMOS!$A$6:$A$205,0)),""))</f>
        <v/>
      </c>
      <c r="F507" s="39"/>
      <c r="G507" s="43" t="str">
        <f aca="false">IF(OR($A507="",$C507=""),"",IFERROR(INDEX(INSUMOS!$P$6:$P$205,MATCH($C507,INSUMOS!$A$6:$A$205,0)),0))</f>
        <v/>
      </c>
      <c r="H507" s="43" t="str">
        <f aca="false">IF(OR($A507="",$C507=""),"",N($F507)*$G507)</f>
        <v/>
      </c>
      <c r="I507" s="34" t="str">
        <f aca="false">IF(OR($A507="",$C507=""),"",IFERROR(MAX(1,INDEX(PRODUCTOS!$G$6:$G$105,MATCH($A507,PRODUCTOS!$A$6:$A$105,0))),1))</f>
        <v/>
      </c>
      <c r="J507" s="43" t="str">
        <f aca="false">IF(OR($A507="",$C507=""),"",$H507/$I507)</f>
        <v/>
      </c>
      <c r="K507" s="34" t="str">
        <f aca="false">IF(OR($A507="",$C507=""),"",SUMIFS(VENTAS!$E$6:$E$2005,VENTAS!$C$6:$C$2005,$A507))</f>
        <v/>
      </c>
      <c r="L507" s="45" t="str">
        <f aca="false">IF(OR($A507="",$C507=""),"",IFERROR(N($F507)/INDEX(INSUMOS!$I$6:$I$205,MATCH($C507,INSUMOS!$A$6:$A$205,0)),N($F507))/$I507*$K507)</f>
        <v/>
      </c>
      <c r="M507" s="8" t="str">
        <f aca="false">IF($A507="","",COUNTIF($A$6:$A507,$A507))</f>
        <v/>
      </c>
      <c r="N507" s="8" t="str">
        <f aca="false">IF($A507="","",$A507&amp;"|"&amp;$M507)</f>
        <v/>
      </c>
    </row>
    <row r="508" customFormat="false" ht="15" hidden="false" customHeight="false" outlineLevel="0" collapsed="false">
      <c r="A508" s="6"/>
      <c r="B508" s="8" t="str">
        <f aca="false">IF($A508="","",IFERROR(INDEX(PRODUCTOS!$B$6:$B$105,MATCH($A508,PRODUCTOS!$A$6:$A$105,0)),"¿Código?"))</f>
        <v/>
      </c>
      <c r="C508" s="6"/>
      <c r="D508" s="8" t="str">
        <f aca="false">IF($C508="","",IFERROR(INDEX(INSUMOS!$B$6:$B$205,MATCH($C508,INSUMOS!$A$6:$A$205,0)),"¿Código?"))</f>
        <v/>
      </c>
      <c r="E508" s="8" t="str">
        <f aca="false">IF($C508="","",IFERROR(INDEX(INSUMOS!$D$6:$D$205,MATCH($C508,INSUMOS!$A$6:$A$205,0)),""))</f>
        <v/>
      </c>
      <c r="F508" s="39"/>
      <c r="G508" s="43" t="str">
        <f aca="false">IF(OR($A508="",$C508=""),"",IFERROR(INDEX(INSUMOS!$P$6:$P$205,MATCH($C508,INSUMOS!$A$6:$A$205,0)),0))</f>
        <v/>
      </c>
      <c r="H508" s="43" t="str">
        <f aca="false">IF(OR($A508="",$C508=""),"",N($F508)*$G508)</f>
        <v/>
      </c>
      <c r="I508" s="34" t="str">
        <f aca="false">IF(OR($A508="",$C508=""),"",IFERROR(MAX(1,INDEX(PRODUCTOS!$G$6:$G$105,MATCH($A508,PRODUCTOS!$A$6:$A$105,0))),1))</f>
        <v/>
      </c>
      <c r="J508" s="43" t="str">
        <f aca="false">IF(OR($A508="",$C508=""),"",$H508/$I508)</f>
        <v/>
      </c>
      <c r="K508" s="34" t="str">
        <f aca="false">IF(OR($A508="",$C508=""),"",SUMIFS(VENTAS!$E$6:$E$2005,VENTAS!$C$6:$C$2005,$A508))</f>
        <v/>
      </c>
      <c r="L508" s="45" t="str">
        <f aca="false">IF(OR($A508="",$C508=""),"",IFERROR(N($F508)/INDEX(INSUMOS!$I$6:$I$205,MATCH($C508,INSUMOS!$A$6:$A$205,0)),N($F508))/$I508*$K508)</f>
        <v/>
      </c>
      <c r="M508" s="8" t="str">
        <f aca="false">IF($A508="","",COUNTIF($A$6:$A508,$A508))</f>
        <v/>
      </c>
      <c r="N508" s="8" t="str">
        <f aca="false">IF($A508="","",$A508&amp;"|"&amp;$M508)</f>
        <v/>
      </c>
    </row>
    <row r="509" customFormat="false" ht="15" hidden="false" customHeight="false" outlineLevel="0" collapsed="false">
      <c r="A509" s="6"/>
      <c r="B509" s="8" t="str">
        <f aca="false">IF($A509="","",IFERROR(INDEX(PRODUCTOS!$B$6:$B$105,MATCH($A509,PRODUCTOS!$A$6:$A$105,0)),"¿Código?"))</f>
        <v/>
      </c>
      <c r="C509" s="6"/>
      <c r="D509" s="8" t="str">
        <f aca="false">IF($C509="","",IFERROR(INDEX(INSUMOS!$B$6:$B$205,MATCH($C509,INSUMOS!$A$6:$A$205,0)),"¿Código?"))</f>
        <v/>
      </c>
      <c r="E509" s="8" t="str">
        <f aca="false">IF($C509="","",IFERROR(INDEX(INSUMOS!$D$6:$D$205,MATCH($C509,INSUMOS!$A$6:$A$205,0)),""))</f>
        <v/>
      </c>
      <c r="F509" s="39"/>
      <c r="G509" s="43" t="str">
        <f aca="false">IF(OR($A509="",$C509=""),"",IFERROR(INDEX(INSUMOS!$P$6:$P$205,MATCH($C509,INSUMOS!$A$6:$A$205,0)),0))</f>
        <v/>
      </c>
      <c r="H509" s="43" t="str">
        <f aca="false">IF(OR($A509="",$C509=""),"",N($F509)*$G509)</f>
        <v/>
      </c>
      <c r="I509" s="34" t="str">
        <f aca="false">IF(OR($A509="",$C509=""),"",IFERROR(MAX(1,INDEX(PRODUCTOS!$G$6:$G$105,MATCH($A509,PRODUCTOS!$A$6:$A$105,0))),1))</f>
        <v/>
      </c>
      <c r="J509" s="43" t="str">
        <f aca="false">IF(OR($A509="",$C509=""),"",$H509/$I509)</f>
        <v/>
      </c>
      <c r="K509" s="34" t="str">
        <f aca="false">IF(OR($A509="",$C509=""),"",SUMIFS(VENTAS!$E$6:$E$2005,VENTAS!$C$6:$C$2005,$A509))</f>
        <v/>
      </c>
      <c r="L509" s="45" t="str">
        <f aca="false">IF(OR($A509="",$C509=""),"",IFERROR(N($F509)/INDEX(INSUMOS!$I$6:$I$205,MATCH($C509,INSUMOS!$A$6:$A$205,0)),N($F509))/$I509*$K509)</f>
        <v/>
      </c>
      <c r="M509" s="8" t="str">
        <f aca="false">IF($A509="","",COUNTIF($A$6:$A509,$A509))</f>
        <v/>
      </c>
      <c r="N509" s="8" t="str">
        <f aca="false">IF($A509="","",$A509&amp;"|"&amp;$M509)</f>
        <v/>
      </c>
    </row>
    <row r="510" customFormat="false" ht="15" hidden="false" customHeight="false" outlineLevel="0" collapsed="false">
      <c r="A510" s="6"/>
      <c r="B510" s="8" t="str">
        <f aca="false">IF($A510="","",IFERROR(INDEX(PRODUCTOS!$B$6:$B$105,MATCH($A510,PRODUCTOS!$A$6:$A$105,0)),"¿Código?"))</f>
        <v/>
      </c>
      <c r="C510" s="6"/>
      <c r="D510" s="8" t="str">
        <f aca="false">IF($C510="","",IFERROR(INDEX(INSUMOS!$B$6:$B$205,MATCH($C510,INSUMOS!$A$6:$A$205,0)),"¿Código?"))</f>
        <v/>
      </c>
      <c r="E510" s="8" t="str">
        <f aca="false">IF($C510="","",IFERROR(INDEX(INSUMOS!$D$6:$D$205,MATCH($C510,INSUMOS!$A$6:$A$205,0)),""))</f>
        <v/>
      </c>
      <c r="F510" s="39"/>
      <c r="G510" s="43" t="str">
        <f aca="false">IF(OR($A510="",$C510=""),"",IFERROR(INDEX(INSUMOS!$P$6:$P$205,MATCH($C510,INSUMOS!$A$6:$A$205,0)),0))</f>
        <v/>
      </c>
      <c r="H510" s="43" t="str">
        <f aca="false">IF(OR($A510="",$C510=""),"",N($F510)*$G510)</f>
        <v/>
      </c>
      <c r="I510" s="34" t="str">
        <f aca="false">IF(OR($A510="",$C510=""),"",IFERROR(MAX(1,INDEX(PRODUCTOS!$G$6:$G$105,MATCH($A510,PRODUCTOS!$A$6:$A$105,0))),1))</f>
        <v/>
      </c>
      <c r="J510" s="43" t="str">
        <f aca="false">IF(OR($A510="",$C510=""),"",$H510/$I510)</f>
        <v/>
      </c>
      <c r="K510" s="34" t="str">
        <f aca="false">IF(OR($A510="",$C510=""),"",SUMIFS(VENTAS!$E$6:$E$2005,VENTAS!$C$6:$C$2005,$A510))</f>
        <v/>
      </c>
      <c r="L510" s="45" t="str">
        <f aca="false">IF(OR($A510="",$C510=""),"",IFERROR(N($F510)/INDEX(INSUMOS!$I$6:$I$205,MATCH($C510,INSUMOS!$A$6:$A$205,0)),N($F510))/$I510*$K510)</f>
        <v/>
      </c>
      <c r="M510" s="8" t="str">
        <f aca="false">IF($A510="","",COUNTIF($A$6:$A510,$A510))</f>
        <v/>
      </c>
      <c r="N510" s="8" t="str">
        <f aca="false">IF($A510="","",$A510&amp;"|"&amp;$M510)</f>
        <v/>
      </c>
    </row>
    <row r="511" customFormat="false" ht="15" hidden="false" customHeight="false" outlineLevel="0" collapsed="false">
      <c r="A511" s="6"/>
      <c r="B511" s="8" t="str">
        <f aca="false">IF($A511="","",IFERROR(INDEX(PRODUCTOS!$B$6:$B$105,MATCH($A511,PRODUCTOS!$A$6:$A$105,0)),"¿Código?"))</f>
        <v/>
      </c>
      <c r="C511" s="6"/>
      <c r="D511" s="8" t="str">
        <f aca="false">IF($C511="","",IFERROR(INDEX(INSUMOS!$B$6:$B$205,MATCH($C511,INSUMOS!$A$6:$A$205,0)),"¿Código?"))</f>
        <v/>
      </c>
      <c r="E511" s="8" t="str">
        <f aca="false">IF($C511="","",IFERROR(INDEX(INSUMOS!$D$6:$D$205,MATCH($C511,INSUMOS!$A$6:$A$205,0)),""))</f>
        <v/>
      </c>
      <c r="F511" s="39"/>
      <c r="G511" s="43" t="str">
        <f aca="false">IF(OR($A511="",$C511=""),"",IFERROR(INDEX(INSUMOS!$P$6:$P$205,MATCH($C511,INSUMOS!$A$6:$A$205,0)),0))</f>
        <v/>
      </c>
      <c r="H511" s="43" t="str">
        <f aca="false">IF(OR($A511="",$C511=""),"",N($F511)*$G511)</f>
        <v/>
      </c>
      <c r="I511" s="34" t="str">
        <f aca="false">IF(OR($A511="",$C511=""),"",IFERROR(MAX(1,INDEX(PRODUCTOS!$G$6:$G$105,MATCH($A511,PRODUCTOS!$A$6:$A$105,0))),1))</f>
        <v/>
      </c>
      <c r="J511" s="43" t="str">
        <f aca="false">IF(OR($A511="",$C511=""),"",$H511/$I511)</f>
        <v/>
      </c>
      <c r="K511" s="34" t="str">
        <f aca="false">IF(OR($A511="",$C511=""),"",SUMIFS(VENTAS!$E$6:$E$2005,VENTAS!$C$6:$C$2005,$A511))</f>
        <v/>
      </c>
      <c r="L511" s="45" t="str">
        <f aca="false">IF(OR($A511="",$C511=""),"",IFERROR(N($F511)/INDEX(INSUMOS!$I$6:$I$205,MATCH($C511,INSUMOS!$A$6:$A$205,0)),N($F511))/$I511*$K511)</f>
        <v/>
      </c>
      <c r="M511" s="8" t="str">
        <f aca="false">IF($A511="","",COUNTIF($A$6:$A511,$A511))</f>
        <v/>
      </c>
      <c r="N511" s="8" t="str">
        <f aca="false">IF($A511="","",$A511&amp;"|"&amp;$M511)</f>
        <v/>
      </c>
    </row>
    <row r="512" customFormat="false" ht="15" hidden="false" customHeight="false" outlineLevel="0" collapsed="false">
      <c r="A512" s="6"/>
      <c r="B512" s="8" t="str">
        <f aca="false">IF($A512="","",IFERROR(INDEX(PRODUCTOS!$B$6:$B$105,MATCH($A512,PRODUCTOS!$A$6:$A$105,0)),"¿Código?"))</f>
        <v/>
      </c>
      <c r="C512" s="6"/>
      <c r="D512" s="8" t="str">
        <f aca="false">IF($C512="","",IFERROR(INDEX(INSUMOS!$B$6:$B$205,MATCH($C512,INSUMOS!$A$6:$A$205,0)),"¿Código?"))</f>
        <v/>
      </c>
      <c r="E512" s="8" t="str">
        <f aca="false">IF($C512="","",IFERROR(INDEX(INSUMOS!$D$6:$D$205,MATCH($C512,INSUMOS!$A$6:$A$205,0)),""))</f>
        <v/>
      </c>
      <c r="F512" s="39"/>
      <c r="G512" s="43" t="str">
        <f aca="false">IF(OR($A512="",$C512=""),"",IFERROR(INDEX(INSUMOS!$P$6:$P$205,MATCH($C512,INSUMOS!$A$6:$A$205,0)),0))</f>
        <v/>
      </c>
      <c r="H512" s="43" t="str">
        <f aca="false">IF(OR($A512="",$C512=""),"",N($F512)*$G512)</f>
        <v/>
      </c>
      <c r="I512" s="34" t="str">
        <f aca="false">IF(OR($A512="",$C512=""),"",IFERROR(MAX(1,INDEX(PRODUCTOS!$G$6:$G$105,MATCH($A512,PRODUCTOS!$A$6:$A$105,0))),1))</f>
        <v/>
      </c>
      <c r="J512" s="43" t="str">
        <f aca="false">IF(OR($A512="",$C512=""),"",$H512/$I512)</f>
        <v/>
      </c>
      <c r="K512" s="34" t="str">
        <f aca="false">IF(OR($A512="",$C512=""),"",SUMIFS(VENTAS!$E$6:$E$2005,VENTAS!$C$6:$C$2005,$A512))</f>
        <v/>
      </c>
      <c r="L512" s="45" t="str">
        <f aca="false">IF(OR($A512="",$C512=""),"",IFERROR(N($F512)/INDEX(INSUMOS!$I$6:$I$205,MATCH($C512,INSUMOS!$A$6:$A$205,0)),N($F512))/$I512*$K512)</f>
        <v/>
      </c>
      <c r="M512" s="8" t="str">
        <f aca="false">IF($A512="","",COUNTIF($A$6:$A512,$A512))</f>
        <v/>
      </c>
      <c r="N512" s="8" t="str">
        <f aca="false">IF($A512="","",$A512&amp;"|"&amp;$M512)</f>
        <v/>
      </c>
    </row>
    <row r="513" customFormat="false" ht="15" hidden="false" customHeight="false" outlineLevel="0" collapsed="false">
      <c r="A513" s="6"/>
      <c r="B513" s="8" t="str">
        <f aca="false">IF($A513="","",IFERROR(INDEX(PRODUCTOS!$B$6:$B$105,MATCH($A513,PRODUCTOS!$A$6:$A$105,0)),"¿Código?"))</f>
        <v/>
      </c>
      <c r="C513" s="6"/>
      <c r="D513" s="8" t="str">
        <f aca="false">IF($C513="","",IFERROR(INDEX(INSUMOS!$B$6:$B$205,MATCH($C513,INSUMOS!$A$6:$A$205,0)),"¿Código?"))</f>
        <v/>
      </c>
      <c r="E513" s="8" t="str">
        <f aca="false">IF($C513="","",IFERROR(INDEX(INSUMOS!$D$6:$D$205,MATCH($C513,INSUMOS!$A$6:$A$205,0)),""))</f>
        <v/>
      </c>
      <c r="F513" s="39"/>
      <c r="G513" s="43" t="str">
        <f aca="false">IF(OR($A513="",$C513=""),"",IFERROR(INDEX(INSUMOS!$P$6:$P$205,MATCH($C513,INSUMOS!$A$6:$A$205,0)),0))</f>
        <v/>
      </c>
      <c r="H513" s="43" t="str">
        <f aca="false">IF(OR($A513="",$C513=""),"",N($F513)*$G513)</f>
        <v/>
      </c>
      <c r="I513" s="34" t="str">
        <f aca="false">IF(OR($A513="",$C513=""),"",IFERROR(MAX(1,INDEX(PRODUCTOS!$G$6:$G$105,MATCH($A513,PRODUCTOS!$A$6:$A$105,0))),1))</f>
        <v/>
      </c>
      <c r="J513" s="43" t="str">
        <f aca="false">IF(OR($A513="",$C513=""),"",$H513/$I513)</f>
        <v/>
      </c>
      <c r="K513" s="34" t="str">
        <f aca="false">IF(OR($A513="",$C513=""),"",SUMIFS(VENTAS!$E$6:$E$2005,VENTAS!$C$6:$C$2005,$A513))</f>
        <v/>
      </c>
      <c r="L513" s="45" t="str">
        <f aca="false">IF(OR($A513="",$C513=""),"",IFERROR(N($F513)/INDEX(INSUMOS!$I$6:$I$205,MATCH($C513,INSUMOS!$A$6:$A$205,0)),N($F513))/$I513*$K513)</f>
        <v/>
      </c>
      <c r="M513" s="8" t="str">
        <f aca="false">IF($A513="","",COUNTIF($A$6:$A513,$A513))</f>
        <v/>
      </c>
      <c r="N513" s="8" t="str">
        <f aca="false">IF($A513="","",$A513&amp;"|"&amp;$M513)</f>
        <v/>
      </c>
    </row>
    <row r="514" customFormat="false" ht="15" hidden="false" customHeight="false" outlineLevel="0" collapsed="false">
      <c r="A514" s="6"/>
      <c r="B514" s="8" t="str">
        <f aca="false">IF($A514="","",IFERROR(INDEX(PRODUCTOS!$B$6:$B$105,MATCH($A514,PRODUCTOS!$A$6:$A$105,0)),"¿Código?"))</f>
        <v/>
      </c>
      <c r="C514" s="6"/>
      <c r="D514" s="8" t="str">
        <f aca="false">IF($C514="","",IFERROR(INDEX(INSUMOS!$B$6:$B$205,MATCH($C514,INSUMOS!$A$6:$A$205,0)),"¿Código?"))</f>
        <v/>
      </c>
      <c r="E514" s="8" t="str">
        <f aca="false">IF($C514="","",IFERROR(INDEX(INSUMOS!$D$6:$D$205,MATCH($C514,INSUMOS!$A$6:$A$205,0)),""))</f>
        <v/>
      </c>
      <c r="F514" s="39"/>
      <c r="G514" s="43" t="str">
        <f aca="false">IF(OR($A514="",$C514=""),"",IFERROR(INDEX(INSUMOS!$P$6:$P$205,MATCH($C514,INSUMOS!$A$6:$A$205,0)),0))</f>
        <v/>
      </c>
      <c r="H514" s="43" t="str">
        <f aca="false">IF(OR($A514="",$C514=""),"",N($F514)*$G514)</f>
        <v/>
      </c>
      <c r="I514" s="34" t="str">
        <f aca="false">IF(OR($A514="",$C514=""),"",IFERROR(MAX(1,INDEX(PRODUCTOS!$G$6:$G$105,MATCH($A514,PRODUCTOS!$A$6:$A$105,0))),1))</f>
        <v/>
      </c>
      <c r="J514" s="43" t="str">
        <f aca="false">IF(OR($A514="",$C514=""),"",$H514/$I514)</f>
        <v/>
      </c>
      <c r="K514" s="34" t="str">
        <f aca="false">IF(OR($A514="",$C514=""),"",SUMIFS(VENTAS!$E$6:$E$2005,VENTAS!$C$6:$C$2005,$A514))</f>
        <v/>
      </c>
      <c r="L514" s="45" t="str">
        <f aca="false">IF(OR($A514="",$C514=""),"",IFERROR(N($F514)/INDEX(INSUMOS!$I$6:$I$205,MATCH($C514,INSUMOS!$A$6:$A$205,0)),N($F514))/$I514*$K514)</f>
        <v/>
      </c>
      <c r="M514" s="8" t="str">
        <f aca="false">IF($A514="","",COUNTIF($A$6:$A514,$A514))</f>
        <v/>
      </c>
      <c r="N514" s="8" t="str">
        <f aca="false">IF($A514="","",$A514&amp;"|"&amp;$M514)</f>
        <v/>
      </c>
    </row>
    <row r="515" customFormat="false" ht="15" hidden="false" customHeight="false" outlineLevel="0" collapsed="false">
      <c r="A515" s="6"/>
      <c r="B515" s="8" t="str">
        <f aca="false">IF($A515="","",IFERROR(INDEX(PRODUCTOS!$B$6:$B$105,MATCH($A515,PRODUCTOS!$A$6:$A$105,0)),"¿Código?"))</f>
        <v/>
      </c>
      <c r="C515" s="6"/>
      <c r="D515" s="8" t="str">
        <f aca="false">IF($C515="","",IFERROR(INDEX(INSUMOS!$B$6:$B$205,MATCH($C515,INSUMOS!$A$6:$A$205,0)),"¿Código?"))</f>
        <v/>
      </c>
      <c r="E515" s="8" t="str">
        <f aca="false">IF($C515="","",IFERROR(INDEX(INSUMOS!$D$6:$D$205,MATCH($C515,INSUMOS!$A$6:$A$205,0)),""))</f>
        <v/>
      </c>
      <c r="F515" s="39"/>
      <c r="G515" s="43" t="str">
        <f aca="false">IF(OR($A515="",$C515=""),"",IFERROR(INDEX(INSUMOS!$P$6:$P$205,MATCH($C515,INSUMOS!$A$6:$A$205,0)),0))</f>
        <v/>
      </c>
      <c r="H515" s="43" t="str">
        <f aca="false">IF(OR($A515="",$C515=""),"",N($F515)*$G515)</f>
        <v/>
      </c>
      <c r="I515" s="34" t="str">
        <f aca="false">IF(OR($A515="",$C515=""),"",IFERROR(MAX(1,INDEX(PRODUCTOS!$G$6:$G$105,MATCH($A515,PRODUCTOS!$A$6:$A$105,0))),1))</f>
        <v/>
      </c>
      <c r="J515" s="43" t="str">
        <f aca="false">IF(OR($A515="",$C515=""),"",$H515/$I515)</f>
        <v/>
      </c>
      <c r="K515" s="34" t="str">
        <f aca="false">IF(OR($A515="",$C515=""),"",SUMIFS(VENTAS!$E$6:$E$2005,VENTAS!$C$6:$C$2005,$A515))</f>
        <v/>
      </c>
      <c r="L515" s="45" t="str">
        <f aca="false">IF(OR($A515="",$C515=""),"",IFERROR(N($F515)/INDEX(INSUMOS!$I$6:$I$205,MATCH($C515,INSUMOS!$A$6:$A$205,0)),N($F515))/$I515*$K515)</f>
        <v/>
      </c>
      <c r="M515" s="8" t="str">
        <f aca="false">IF($A515="","",COUNTIF($A$6:$A515,$A515))</f>
        <v/>
      </c>
      <c r="N515" s="8" t="str">
        <f aca="false">IF($A515="","",$A515&amp;"|"&amp;$M515)</f>
        <v/>
      </c>
    </row>
    <row r="516" customFormat="false" ht="15" hidden="false" customHeight="false" outlineLevel="0" collapsed="false">
      <c r="A516" s="6"/>
      <c r="B516" s="8" t="str">
        <f aca="false">IF($A516="","",IFERROR(INDEX(PRODUCTOS!$B$6:$B$105,MATCH($A516,PRODUCTOS!$A$6:$A$105,0)),"¿Código?"))</f>
        <v/>
      </c>
      <c r="C516" s="6"/>
      <c r="D516" s="8" t="str">
        <f aca="false">IF($C516="","",IFERROR(INDEX(INSUMOS!$B$6:$B$205,MATCH($C516,INSUMOS!$A$6:$A$205,0)),"¿Código?"))</f>
        <v/>
      </c>
      <c r="E516" s="8" t="str">
        <f aca="false">IF($C516="","",IFERROR(INDEX(INSUMOS!$D$6:$D$205,MATCH($C516,INSUMOS!$A$6:$A$205,0)),""))</f>
        <v/>
      </c>
      <c r="F516" s="39"/>
      <c r="G516" s="43" t="str">
        <f aca="false">IF(OR($A516="",$C516=""),"",IFERROR(INDEX(INSUMOS!$P$6:$P$205,MATCH($C516,INSUMOS!$A$6:$A$205,0)),0))</f>
        <v/>
      </c>
      <c r="H516" s="43" t="str">
        <f aca="false">IF(OR($A516="",$C516=""),"",N($F516)*$G516)</f>
        <v/>
      </c>
      <c r="I516" s="34" t="str">
        <f aca="false">IF(OR($A516="",$C516=""),"",IFERROR(MAX(1,INDEX(PRODUCTOS!$G$6:$G$105,MATCH($A516,PRODUCTOS!$A$6:$A$105,0))),1))</f>
        <v/>
      </c>
      <c r="J516" s="43" t="str">
        <f aca="false">IF(OR($A516="",$C516=""),"",$H516/$I516)</f>
        <v/>
      </c>
      <c r="K516" s="34" t="str">
        <f aca="false">IF(OR($A516="",$C516=""),"",SUMIFS(VENTAS!$E$6:$E$2005,VENTAS!$C$6:$C$2005,$A516))</f>
        <v/>
      </c>
      <c r="L516" s="45" t="str">
        <f aca="false">IF(OR($A516="",$C516=""),"",IFERROR(N($F516)/INDEX(INSUMOS!$I$6:$I$205,MATCH($C516,INSUMOS!$A$6:$A$205,0)),N($F516))/$I516*$K516)</f>
        <v/>
      </c>
      <c r="M516" s="8" t="str">
        <f aca="false">IF($A516="","",COUNTIF($A$6:$A516,$A516))</f>
        <v/>
      </c>
      <c r="N516" s="8" t="str">
        <f aca="false">IF($A516="","",$A516&amp;"|"&amp;$M516)</f>
        <v/>
      </c>
    </row>
    <row r="517" customFormat="false" ht="15" hidden="false" customHeight="false" outlineLevel="0" collapsed="false">
      <c r="A517" s="6"/>
      <c r="B517" s="8" t="str">
        <f aca="false">IF($A517="","",IFERROR(INDEX(PRODUCTOS!$B$6:$B$105,MATCH($A517,PRODUCTOS!$A$6:$A$105,0)),"¿Código?"))</f>
        <v/>
      </c>
      <c r="C517" s="6"/>
      <c r="D517" s="8" t="str">
        <f aca="false">IF($C517="","",IFERROR(INDEX(INSUMOS!$B$6:$B$205,MATCH($C517,INSUMOS!$A$6:$A$205,0)),"¿Código?"))</f>
        <v/>
      </c>
      <c r="E517" s="8" t="str">
        <f aca="false">IF($C517="","",IFERROR(INDEX(INSUMOS!$D$6:$D$205,MATCH($C517,INSUMOS!$A$6:$A$205,0)),""))</f>
        <v/>
      </c>
      <c r="F517" s="39"/>
      <c r="G517" s="43" t="str">
        <f aca="false">IF(OR($A517="",$C517=""),"",IFERROR(INDEX(INSUMOS!$P$6:$P$205,MATCH($C517,INSUMOS!$A$6:$A$205,0)),0))</f>
        <v/>
      </c>
      <c r="H517" s="43" t="str">
        <f aca="false">IF(OR($A517="",$C517=""),"",N($F517)*$G517)</f>
        <v/>
      </c>
      <c r="I517" s="34" t="str">
        <f aca="false">IF(OR($A517="",$C517=""),"",IFERROR(MAX(1,INDEX(PRODUCTOS!$G$6:$G$105,MATCH($A517,PRODUCTOS!$A$6:$A$105,0))),1))</f>
        <v/>
      </c>
      <c r="J517" s="43" t="str">
        <f aca="false">IF(OR($A517="",$C517=""),"",$H517/$I517)</f>
        <v/>
      </c>
      <c r="K517" s="34" t="str">
        <f aca="false">IF(OR($A517="",$C517=""),"",SUMIFS(VENTAS!$E$6:$E$2005,VENTAS!$C$6:$C$2005,$A517))</f>
        <v/>
      </c>
      <c r="L517" s="45" t="str">
        <f aca="false">IF(OR($A517="",$C517=""),"",IFERROR(N($F517)/INDEX(INSUMOS!$I$6:$I$205,MATCH($C517,INSUMOS!$A$6:$A$205,0)),N($F517))/$I517*$K517)</f>
        <v/>
      </c>
      <c r="M517" s="8" t="str">
        <f aca="false">IF($A517="","",COUNTIF($A$6:$A517,$A517))</f>
        <v/>
      </c>
      <c r="N517" s="8" t="str">
        <f aca="false">IF($A517="","",$A517&amp;"|"&amp;$M517)</f>
        <v/>
      </c>
    </row>
    <row r="518" customFormat="false" ht="15" hidden="false" customHeight="false" outlineLevel="0" collapsed="false">
      <c r="A518" s="6"/>
      <c r="B518" s="8" t="str">
        <f aca="false">IF($A518="","",IFERROR(INDEX(PRODUCTOS!$B$6:$B$105,MATCH($A518,PRODUCTOS!$A$6:$A$105,0)),"¿Código?"))</f>
        <v/>
      </c>
      <c r="C518" s="6"/>
      <c r="D518" s="8" t="str">
        <f aca="false">IF($C518="","",IFERROR(INDEX(INSUMOS!$B$6:$B$205,MATCH($C518,INSUMOS!$A$6:$A$205,0)),"¿Código?"))</f>
        <v/>
      </c>
      <c r="E518" s="8" t="str">
        <f aca="false">IF($C518="","",IFERROR(INDEX(INSUMOS!$D$6:$D$205,MATCH($C518,INSUMOS!$A$6:$A$205,0)),""))</f>
        <v/>
      </c>
      <c r="F518" s="39"/>
      <c r="G518" s="43" t="str">
        <f aca="false">IF(OR($A518="",$C518=""),"",IFERROR(INDEX(INSUMOS!$P$6:$P$205,MATCH($C518,INSUMOS!$A$6:$A$205,0)),0))</f>
        <v/>
      </c>
      <c r="H518" s="43" t="str">
        <f aca="false">IF(OR($A518="",$C518=""),"",N($F518)*$G518)</f>
        <v/>
      </c>
      <c r="I518" s="34" t="str">
        <f aca="false">IF(OR($A518="",$C518=""),"",IFERROR(MAX(1,INDEX(PRODUCTOS!$G$6:$G$105,MATCH($A518,PRODUCTOS!$A$6:$A$105,0))),1))</f>
        <v/>
      </c>
      <c r="J518" s="43" t="str">
        <f aca="false">IF(OR($A518="",$C518=""),"",$H518/$I518)</f>
        <v/>
      </c>
      <c r="K518" s="34" t="str">
        <f aca="false">IF(OR($A518="",$C518=""),"",SUMIFS(VENTAS!$E$6:$E$2005,VENTAS!$C$6:$C$2005,$A518))</f>
        <v/>
      </c>
      <c r="L518" s="45" t="str">
        <f aca="false">IF(OR($A518="",$C518=""),"",IFERROR(N($F518)/INDEX(INSUMOS!$I$6:$I$205,MATCH($C518,INSUMOS!$A$6:$A$205,0)),N($F518))/$I518*$K518)</f>
        <v/>
      </c>
      <c r="M518" s="8" t="str">
        <f aca="false">IF($A518="","",COUNTIF($A$6:$A518,$A518))</f>
        <v/>
      </c>
      <c r="N518" s="8" t="str">
        <f aca="false">IF($A518="","",$A518&amp;"|"&amp;$M518)</f>
        <v/>
      </c>
    </row>
    <row r="519" customFormat="false" ht="15" hidden="false" customHeight="false" outlineLevel="0" collapsed="false">
      <c r="A519" s="6"/>
      <c r="B519" s="8" t="str">
        <f aca="false">IF($A519="","",IFERROR(INDEX(PRODUCTOS!$B$6:$B$105,MATCH($A519,PRODUCTOS!$A$6:$A$105,0)),"¿Código?"))</f>
        <v/>
      </c>
      <c r="C519" s="6"/>
      <c r="D519" s="8" t="str">
        <f aca="false">IF($C519="","",IFERROR(INDEX(INSUMOS!$B$6:$B$205,MATCH($C519,INSUMOS!$A$6:$A$205,0)),"¿Código?"))</f>
        <v/>
      </c>
      <c r="E519" s="8" t="str">
        <f aca="false">IF($C519="","",IFERROR(INDEX(INSUMOS!$D$6:$D$205,MATCH($C519,INSUMOS!$A$6:$A$205,0)),""))</f>
        <v/>
      </c>
      <c r="F519" s="39"/>
      <c r="G519" s="43" t="str">
        <f aca="false">IF(OR($A519="",$C519=""),"",IFERROR(INDEX(INSUMOS!$P$6:$P$205,MATCH($C519,INSUMOS!$A$6:$A$205,0)),0))</f>
        <v/>
      </c>
      <c r="H519" s="43" t="str">
        <f aca="false">IF(OR($A519="",$C519=""),"",N($F519)*$G519)</f>
        <v/>
      </c>
      <c r="I519" s="34" t="str">
        <f aca="false">IF(OR($A519="",$C519=""),"",IFERROR(MAX(1,INDEX(PRODUCTOS!$G$6:$G$105,MATCH($A519,PRODUCTOS!$A$6:$A$105,0))),1))</f>
        <v/>
      </c>
      <c r="J519" s="43" t="str">
        <f aca="false">IF(OR($A519="",$C519=""),"",$H519/$I519)</f>
        <v/>
      </c>
      <c r="K519" s="34" t="str">
        <f aca="false">IF(OR($A519="",$C519=""),"",SUMIFS(VENTAS!$E$6:$E$2005,VENTAS!$C$6:$C$2005,$A519))</f>
        <v/>
      </c>
      <c r="L519" s="45" t="str">
        <f aca="false">IF(OR($A519="",$C519=""),"",IFERROR(N($F519)/INDEX(INSUMOS!$I$6:$I$205,MATCH($C519,INSUMOS!$A$6:$A$205,0)),N($F519))/$I519*$K519)</f>
        <v/>
      </c>
      <c r="M519" s="8" t="str">
        <f aca="false">IF($A519="","",COUNTIF($A$6:$A519,$A519))</f>
        <v/>
      </c>
      <c r="N519" s="8" t="str">
        <f aca="false">IF($A519="","",$A519&amp;"|"&amp;$M519)</f>
        <v/>
      </c>
    </row>
    <row r="520" customFormat="false" ht="15" hidden="false" customHeight="false" outlineLevel="0" collapsed="false">
      <c r="A520" s="6"/>
      <c r="B520" s="8" t="str">
        <f aca="false">IF($A520="","",IFERROR(INDEX(PRODUCTOS!$B$6:$B$105,MATCH($A520,PRODUCTOS!$A$6:$A$105,0)),"¿Código?"))</f>
        <v/>
      </c>
      <c r="C520" s="6"/>
      <c r="D520" s="8" t="str">
        <f aca="false">IF($C520="","",IFERROR(INDEX(INSUMOS!$B$6:$B$205,MATCH($C520,INSUMOS!$A$6:$A$205,0)),"¿Código?"))</f>
        <v/>
      </c>
      <c r="E520" s="8" t="str">
        <f aca="false">IF($C520="","",IFERROR(INDEX(INSUMOS!$D$6:$D$205,MATCH($C520,INSUMOS!$A$6:$A$205,0)),""))</f>
        <v/>
      </c>
      <c r="F520" s="39"/>
      <c r="G520" s="43" t="str">
        <f aca="false">IF(OR($A520="",$C520=""),"",IFERROR(INDEX(INSUMOS!$P$6:$P$205,MATCH($C520,INSUMOS!$A$6:$A$205,0)),0))</f>
        <v/>
      </c>
      <c r="H520" s="43" t="str">
        <f aca="false">IF(OR($A520="",$C520=""),"",N($F520)*$G520)</f>
        <v/>
      </c>
      <c r="I520" s="34" t="str">
        <f aca="false">IF(OR($A520="",$C520=""),"",IFERROR(MAX(1,INDEX(PRODUCTOS!$G$6:$G$105,MATCH($A520,PRODUCTOS!$A$6:$A$105,0))),1))</f>
        <v/>
      </c>
      <c r="J520" s="43" t="str">
        <f aca="false">IF(OR($A520="",$C520=""),"",$H520/$I520)</f>
        <v/>
      </c>
      <c r="K520" s="34" t="str">
        <f aca="false">IF(OR($A520="",$C520=""),"",SUMIFS(VENTAS!$E$6:$E$2005,VENTAS!$C$6:$C$2005,$A520))</f>
        <v/>
      </c>
      <c r="L520" s="45" t="str">
        <f aca="false">IF(OR($A520="",$C520=""),"",IFERROR(N($F520)/INDEX(INSUMOS!$I$6:$I$205,MATCH($C520,INSUMOS!$A$6:$A$205,0)),N($F520))/$I520*$K520)</f>
        <v/>
      </c>
      <c r="M520" s="8" t="str">
        <f aca="false">IF($A520="","",COUNTIF($A$6:$A520,$A520))</f>
        <v/>
      </c>
      <c r="N520" s="8" t="str">
        <f aca="false">IF($A520="","",$A520&amp;"|"&amp;$M520)</f>
        <v/>
      </c>
    </row>
    <row r="521" customFormat="false" ht="15" hidden="false" customHeight="false" outlineLevel="0" collapsed="false">
      <c r="A521" s="6"/>
      <c r="B521" s="8" t="str">
        <f aca="false">IF($A521="","",IFERROR(INDEX(PRODUCTOS!$B$6:$B$105,MATCH($A521,PRODUCTOS!$A$6:$A$105,0)),"¿Código?"))</f>
        <v/>
      </c>
      <c r="C521" s="6"/>
      <c r="D521" s="8" t="str">
        <f aca="false">IF($C521="","",IFERROR(INDEX(INSUMOS!$B$6:$B$205,MATCH($C521,INSUMOS!$A$6:$A$205,0)),"¿Código?"))</f>
        <v/>
      </c>
      <c r="E521" s="8" t="str">
        <f aca="false">IF($C521="","",IFERROR(INDEX(INSUMOS!$D$6:$D$205,MATCH($C521,INSUMOS!$A$6:$A$205,0)),""))</f>
        <v/>
      </c>
      <c r="F521" s="39"/>
      <c r="G521" s="43" t="str">
        <f aca="false">IF(OR($A521="",$C521=""),"",IFERROR(INDEX(INSUMOS!$P$6:$P$205,MATCH($C521,INSUMOS!$A$6:$A$205,0)),0))</f>
        <v/>
      </c>
      <c r="H521" s="43" t="str">
        <f aca="false">IF(OR($A521="",$C521=""),"",N($F521)*$G521)</f>
        <v/>
      </c>
      <c r="I521" s="34" t="str">
        <f aca="false">IF(OR($A521="",$C521=""),"",IFERROR(MAX(1,INDEX(PRODUCTOS!$G$6:$G$105,MATCH($A521,PRODUCTOS!$A$6:$A$105,0))),1))</f>
        <v/>
      </c>
      <c r="J521" s="43" t="str">
        <f aca="false">IF(OR($A521="",$C521=""),"",$H521/$I521)</f>
        <v/>
      </c>
      <c r="K521" s="34" t="str">
        <f aca="false">IF(OR($A521="",$C521=""),"",SUMIFS(VENTAS!$E$6:$E$2005,VENTAS!$C$6:$C$2005,$A521))</f>
        <v/>
      </c>
      <c r="L521" s="45" t="str">
        <f aca="false">IF(OR($A521="",$C521=""),"",IFERROR(N($F521)/INDEX(INSUMOS!$I$6:$I$205,MATCH($C521,INSUMOS!$A$6:$A$205,0)),N($F521))/$I521*$K521)</f>
        <v/>
      </c>
      <c r="M521" s="8" t="str">
        <f aca="false">IF($A521="","",COUNTIF($A$6:$A521,$A521))</f>
        <v/>
      </c>
      <c r="N521" s="8" t="str">
        <f aca="false">IF($A521="","",$A521&amp;"|"&amp;$M521)</f>
        <v/>
      </c>
    </row>
    <row r="522" customFormat="false" ht="15" hidden="false" customHeight="false" outlineLevel="0" collapsed="false">
      <c r="A522" s="6"/>
      <c r="B522" s="8" t="str">
        <f aca="false">IF($A522="","",IFERROR(INDEX(PRODUCTOS!$B$6:$B$105,MATCH($A522,PRODUCTOS!$A$6:$A$105,0)),"¿Código?"))</f>
        <v/>
      </c>
      <c r="C522" s="6"/>
      <c r="D522" s="8" t="str">
        <f aca="false">IF($C522="","",IFERROR(INDEX(INSUMOS!$B$6:$B$205,MATCH($C522,INSUMOS!$A$6:$A$205,0)),"¿Código?"))</f>
        <v/>
      </c>
      <c r="E522" s="8" t="str">
        <f aca="false">IF($C522="","",IFERROR(INDEX(INSUMOS!$D$6:$D$205,MATCH($C522,INSUMOS!$A$6:$A$205,0)),""))</f>
        <v/>
      </c>
      <c r="F522" s="39"/>
      <c r="G522" s="43" t="str">
        <f aca="false">IF(OR($A522="",$C522=""),"",IFERROR(INDEX(INSUMOS!$P$6:$P$205,MATCH($C522,INSUMOS!$A$6:$A$205,0)),0))</f>
        <v/>
      </c>
      <c r="H522" s="43" t="str">
        <f aca="false">IF(OR($A522="",$C522=""),"",N($F522)*$G522)</f>
        <v/>
      </c>
      <c r="I522" s="34" t="str">
        <f aca="false">IF(OR($A522="",$C522=""),"",IFERROR(MAX(1,INDEX(PRODUCTOS!$G$6:$G$105,MATCH($A522,PRODUCTOS!$A$6:$A$105,0))),1))</f>
        <v/>
      </c>
      <c r="J522" s="43" t="str">
        <f aca="false">IF(OR($A522="",$C522=""),"",$H522/$I522)</f>
        <v/>
      </c>
      <c r="K522" s="34" t="str">
        <f aca="false">IF(OR($A522="",$C522=""),"",SUMIFS(VENTAS!$E$6:$E$2005,VENTAS!$C$6:$C$2005,$A522))</f>
        <v/>
      </c>
      <c r="L522" s="45" t="str">
        <f aca="false">IF(OR($A522="",$C522=""),"",IFERROR(N($F522)/INDEX(INSUMOS!$I$6:$I$205,MATCH($C522,INSUMOS!$A$6:$A$205,0)),N($F522))/$I522*$K522)</f>
        <v/>
      </c>
      <c r="M522" s="8" t="str">
        <f aca="false">IF($A522="","",COUNTIF($A$6:$A522,$A522))</f>
        <v/>
      </c>
      <c r="N522" s="8" t="str">
        <f aca="false">IF($A522="","",$A522&amp;"|"&amp;$M522)</f>
        <v/>
      </c>
    </row>
    <row r="523" customFormat="false" ht="15" hidden="false" customHeight="false" outlineLevel="0" collapsed="false">
      <c r="A523" s="6"/>
      <c r="B523" s="8" t="str">
        <f aca="false">IF($A523="","",IFERROR(INDEX(PRODUCTOS!$B$6:$B$105,MATCH($A523,PRODUCTOS!$A$6:$A$105,0)),"¿Código?"))</f>
        <v/>
      </c>
      <c r="C523" s="6"/>
      <c r="D523" s="8" t="str">
        <f aca="false">IF($C523="","",IFERROR(INDEX(INSUMOS!$B$6:$B$205,MATCH($C523,INSUMOS!$A$6:$A$205,0)),"¿Código?"))</f>
        <v/>
      </c>
      <c r="E523" s="8" t="str">
        <f aca="false">IF($C523="","",IFERROR(INDEX(INSUMOS!$D$6:$D$205,MATCH($C523,INSUMOS!$A$6:$A$205,0)),""))</f>
        <v/>
      </c>
      <c r="F523" s="39"/>
      <c r="G523" s="43" t="str">
        <f aca="false">IF(OR($A523="",$C523=""),"",IFERROR(INDEX(INSUMOS!$P$6:$P$205,MATCH($C523,INSUMOS!$A$6:$A$205,0)),0))</f>
        <v/>
      </c>
      <c r="H523" s="43" t="str">
        <f aca="false">IF(OR($A523="",$C523=""),"",N($F523)*$G523)</f>
        <v/>
      </c>
      <c r="I523" s="34" t="str">
        <f aca="false">IF(OR($A523="",$C523=""),"",IFERROR(MAX(1,INDEX(PRODUCTOS!$G$6:$G$105,MATCH($A523,PRODUCTOS!$A$6:$A$105,0))),1))</f>
        <v/>
      </c>
      <c r="J523" s="43" t="str">
        <f aca="false">IF(OR($A523="",$C523=""),"",$H523/$I523)</f>
        <v/>
      </c>
      <c r="K523" s="34" t="str">
        <f aca="false">IF(OR($A523="",$C523=""),"",SUMIFS(VENTAS!$E$6:$E$2005,VENTAS!$C$6:$C$2005,$A523))</f>
        <v/>
      </c>
      <c r="L523" s="45" t="str">
        <f aca="false">IF(OR($A523="",$C523=""),"",IFERROR(N($F523)/INDEX(INSUMOS!$I$6:$I$205,MATCH($C523,INSUMOS!$A$6:$A$205,0)),N($F523))/$I523*$K523)</f>
        <v/>
      </c>
      <c r="M523" s="8" t="str">
        <f aca="false">IF($A523="","",COUNTIF($A$6:$A523,$A523))</f>
        <v/>
      </c>
      <c r="N523" s="8" t="str">
        <f aca="false">IF($A523="","",$A523&amp;"|"&amp;$M523)</f>
        <v/>
      </c>
    </row>
    <row r="524" customFormat="false" ht="15" hidden="false" customHeight="false" outlineLevel="0" collapsed="false">
      <c r="A524" s="6"/>
      <c r="B524" s="8" t="str">
        <f aca="false">IF($A524="","",IFERROR(INDEX(PRODUCTOS!$B$6:$B$105,MATCH($A524,PRODUCTOS!$A$6:$A$105,0)),"¿Código?"))</f>
        <v/>
      </c>
      <c r="C524" s="6"/>
      <c r="D524" s="8" t="str">
        <f aca="false">IF($C524="","",IFERROR(INDEX(INSUMOS!$B$6:$B$205,MATCH($C524,INSUMOS!$A$6:$A$205,0)),"¿Código?"))</f>
        <v/>
      </c>
      <c r="E524" s="8" t="str">
        <f aca="false">IF($C524="","",IFERROR(INDEX(INSUMOS!$D$6:$D$205,MATCH($C524,INSUMOS!$A$6:$A$205,0)),""))</f>
        <v/>
      </c>
      <c r="F524" s="39"/>
      <c r="G524" s="43" t="str">
        <f aca="false">IF(OR($A524="",$C524=""),"",IFERROR(INDEX(INSUMOS!$P$6:$P$205,MATCH($C524,INSUMOS!$A$6:$A$205,0)),0))</f>
        <v/>
      </c>
      <c r="H524" s="43" t="str">
        <f aca="false">IF(OR($A524="",$C524=""),"",N($F524)*$G524)</f>
        <v/>
      </c>
      <c r="I524" s="34" t="str">
        <f aca="false">IF(OR($A524="",$C524=""),"",IFERROR(MAX(1,INDEX(PRODUCTOS!$G$6:$G$105,MATCH($A524,PRODUCTOS!$A$6:$A$105,0))),1))</f>
        <v/>
      </c>
      <c r="J524" s="43" t="str">
        <f aca="false">IF(OR($A524="",$C524=""),"",$H524/$I524)</f>
        <v/>
      </c>
      <c r="K524" s="34" t="str">
        <f aca="false">IF(OR($A524="",$C524=""),"",SUMIFS(VENTAS!$E$6:$E$2005,VENTAS!$C$6:$C$2005,$A524))</f>
        <v/>
      </c>
      <c r="L524" s="45" t="str">
        <f aca="false">IF(OR($A524="",$C524=""),"",IFERROR(N($F524)/INDEX(INSUMOS!$I$6:$I$205,MATCH($C524,INSUMOS!$A$6:$A$205,0)),N($F524))/$I524*$K524)</f>
        <v/>
      </c>
      <c r="M524" s="8" t="str">
        <f aca="false">IF($A524="","",COUNTIF($A$6:$A524,$A524))</f>
        <v/>
      </c>
      <c r="N524" s="8" t="str">
        <f aca="false">IF($A524="","",$A524&amp;"|"&amp;$M524)</f>
        <v/>
      </c>
    </row>
    <row r="525" customFormat="false" ht="15" hidden="false" customHeight="false" outlineLevel="0" collapsed="false">
      <c r="A525" s="6"/>
      <c r="B525" s="8" t="str">
        <f aca="false">IF($A525="","",IFERROR(INDEX(PRODUCTOS!$B$6:$B$105,MATCH($A525,PRODUCTOS!$A$6:$A$105,0)),"¿Código?"))</f>
        <v/>
      </c>
      <c r="C525" s="6"/>
      <c r="D525" s="8" t="str">
        <f aca="false">IF($C525="","",IFERROR(INDEX(INSUMOS!$B$6:$B$205,MATCH($C525,INSUMOS!$A$6:$A$205,0)),"¿Código?"))</f>
        <v/>
      </c>
      <c r="E525" s="8" t="str">
        <f aca="false">IF($C525="","",IFERROR(INDEX(INSUMOS!$D$6:$D$205,MATCH($C525,INSUMOS!$A$6:$A$205,0)),""))</f>
        <v/>
      </c>
      <c r="F525" s="39"/>
      <c r="G525" s="43" t="str">
        <f aca="false">IF(OR($A525="",$C525=""),"",IFERROR(INDEX(INSUMOS!$P$6:$P$205,MATCH($C525,INSUMOS!$A$6:$A$205,0)),0))</f>
        <v/>
      </c>
      <c r="H525" s="43" t="str">
        <f aca="false">IF(OR($A525="",$C525=""),"",N($F525)*$G525)</f>
        <v/>
      </c>
      <c r="I525" s="34" t="str">
        <f aca="false">IF(OR($A525="",$C525=""),"",IFERROR(MAX(1,INDEX(PRODUCTOS!$G$6:$G$105,MATCH($A525,PRODUCTOS!$A$6:$A$105,0))),1))</f>
        <v/>
      </c>
      <c r="J525" s="43" t="str">
        <f aca="false">IF(OR($A525="",$C525=""),"",$H525/$I525)</f>
        <v/>
      </c>
      <c r="K525" s="34" t="str">
        <f aca="false">IF(OR($A525="",$C525=""),"",SUMIFS(VENTAS!$E$6:$E$2005,VENTAS!$C$6:$C$2005,$A525))</f>
        <v/>
      </c>
      <c r="L525" s="45" t="str">
        <f aca="false">IF(OR($A525="",$C525=""),"",IFERROR(N($F525)/INDEX(INSUMOS!$I$6:$I$205,MATCH($C525,INSUMOS!$A$6:$A$205,0)),N($F525))/$I525*$K525)</f>
        <v/>
      </c>
      <c r="M525" s="8" t="str">
        <f aca="false">IF($A525="","",COUNTIF($A$6:$A525,$A525))</f>
        <v/>
      </c>
      <c r="N525" s="8" t="str">
        <f aca="false">IF($A525="","",$A525&amp;"|"&amp;$M525)</f>
        <v/>
      </c>
    </row>
    <row r="526" customFormat="false" ht="15" hidden="false" customHeight="false" outlineLevel="0" collapsed="false">
      <c r="A526" s="6"/>
      <c r="B526" s="8" t="str">
        <f aca="false">IF($A526="","",IFERROR(INDEX(PRODUCTOS!$B$6:$B$105,MATCH($A526,PRODUCTOS!$A$6:$A$105,0)),"¿Código?"))</f>
        <v/>
      </c>
      <c r="C526" s="6"/>
      <c r="D526" s="8" t="str">
        <f aca="false">IF($C526="","",IFERROR(INDEX(INSUMOS!$B$6:$B$205,MATCH($C526,INSUMOS!$A$6:$A$205,0)),"¿Código?"))</f>
        <v/>
      </c>
      <c r="E526" s="8" t="str">
        <f aca="false">IF($C526="","",IFERROR(INDEX(INSUMOS!$D$6:$D$205,MATCH($C526,INSUMOS!$A$6:$A$205,0)),""))</f>
        <v/>
      </c>
      <c r="F526" s="39"/>
      <c r="G526" s="43" t="str">
        <f aca="false">IF(OR($A526="",$C526=""),"",IFERROR(INDEX(INSUMOS!$P$6:$P$205,MATCH($C526,INSUMOS!$A$6:$A$205,0)),0))</f>
        <v/>
      </c>
      <c r="H526" s="43" t="str">
        <f aca="false">IF(OR($A526="",$C526=""),"",N($F526)*$G526)</f>
        <v/>
      </c>
      <c r="I526" s="34" t="str">
        <f aca="false">IF(OR($A526="",$C526=""),"",IFERROR(MAX(1,INDEX(PRODUCTOS!$G$6:$G$105,MATCH($A526,PRODUCTOS!$A$6:$A$105,0))),1))</f>
        <v/>
      </c>
      <c r="J526" s="43" t="str">
        <f aca="false">IF(OR($A526="",$C526=""),"",$H526/$I526)</f>
        <v/>
      </c>
      <c r="K526" s="34" t="str">
        <f aca="false">IF(OR($A526="",$C526=""),"",SUMIFS(VENTAS!$E$6:$E$2005,VENTAS!$C$6:$C$2005,$A526))</f>
        <v/>
      </c>
      <c r="L526" s="45" t="str">
        <f aca="false">IF(OR($A526="",$C526=""),"",IFERROR(N($F526)/INDEX(INSUMOS!$I$6:$I$205,MATCH($C526,INSUMOS!$A$6:$A$205,0)),N($F526))/$I526*$K526)</f>
        <v/>
      </c>
      <c r="M526" s="8" t="str">
        <f aca="false">IF($A526="","",COUNTIF($A$6:$A526,$A526))</f>
        <v/>
      </c>
      <c r="N526" s="8" t="str">
        <f aca="false">IF($A526="","",$A526&amp;"|"&amp;$M526)</f>
        <v/>
      </c>
    </row>
    <row r="527" customFormat="false" ht="15" hidden="false" customHeight="false" outlineLevel="0" collapsed="false">
      <c r="A527" s="6"/>
      <c r="B527" s="8" t="str">
        <f aca="false">IF($A527="","",IFERROR(INDEX(PRODUCTOS!$B$6:$B$105,MATCH($A527,PRODUCTOS!$A$6:$A$105,0)),"¿Código?"))</f>
        <v/>
      </c>
      <c r="C527" s="6"/>
      <c r="D527" s="8" t="str">
        <f aca="false">IF($C527="","",IFERROR(INDEX(INSUMOS!$B$6:$B$205,MATCH($C527,INSUMOS!$A$6:$A$205,0)),"¿Código?"))</f>
        <v/>
      </c>
      <c r="E527" s="8" t="str">
        <f aca="false">IF($C527="","",IFERROR(INDEX(INSUMOS!$D$6:$D$205,MATCH($C527,INSUMOS!$A$6:$A$205,0)),""))</f>
        <v/>
      </c>
      <c r="F527" s="39"/>
      <c r="G527" s="43" t="str">
        <f aca="false">IF(OR($A527="",$C527=""),"",IFERROR(INDEX(INSUMOS!$P$6:$P$205,MATCH($C527,INSUMOS!$A$6:$A$205,0)),0))</f>
        <v/>
      </c>
      <c r="H527" s="43" t="str">
        <f aca="false">IF(OR($A527="",$C527=""),"",N($F527)*$G527)</f>
        <v/>
      </c>
      <c r="I527" s="34" t="str">
        <f aca="false">IF(OR($A527="",$C527=""),"",IFERROR(MAX(1,INDEX(PRODUCTOS!$G$6:$G$105,MATCH($A527,PRODUCTOS!$A$6:$A$105,0))),1))</f>
        <v/>
      </c>
      <c r="J527" s="43" t="str">
        <f aca="false">IF(OR($A527="",$C527=""),"",$H527/$I527)</f>
        <v/>
      </c>
      <c r="K527" s="34" t="str">
        <f aca="false">IF(OR($A527="",$C527=""),"",SUMIFS(VENTAS!$E$6:$E$2005,VENTAS!$C$6:$C$2005,$A527))</f>
        <v/>
      </c>
      <c r="L527" s="45" t="str">
        <f aca="false">IF(OR($A527="",$C527=""),"",IFERROR(N($F527)/INDEX(INSUMOS!$I$6:$I$205,MATCH($C527,INSUMOS!$A$6:$A$205,0)),N($F527))/$I527*$K527)</f>
        <v/>
      </c>
      <c r="M527" s="8" t="str">
        <f aca="false">IF($A527="","",COUNTIF($A$6:$A527,$A527))</f>
        <v/>
      </c>
      <c r="N527" s="8" t="str">
        <f aca="false">IF($A527="","",$A527&amp;"|"&amp;$M527)</f>
        <v/>
      </c>
    </row>
    <row r="528" customFormat="false" ht="15" hidden="false" customHeight="false" outlineLevel="0" collapsed="false">
      <c r="A528" s="6"/>
      <c r="B528" s="8" t="str">
        <f aca="false">IF($A528="","",IFERROR(INDEX(PRODUCTOS!$B$6:$B$105,MATCH($A528,PRODUCTOS!$A$6:$A$105,0)),"¿Código?"))</f>
        <v/>
      </c>
      <c r="C528" s="6"/>
      <c r="D528" s="8" t="str">
        <f aca="false">IF($C528="","",IFERROR(INDEX(INSUMOS!$B$6:$B$205,MATCH($C528,INSUMOS!$A$6:$A$205,0)),"¿Código?"))</f>
        <v/>
      </c>
      <c r="E528" s="8" t="str">
        <f aca="false">IF($C528="","",IFERROR(INDEX(INSUMOS!$D$6:$D$205,MATCH($C528,INSUMOS!$A$6:$A$205,0)),""))</f>
        <v/>
      </c>
      <c r="F528" s="39"/>
      <c r="G528" s="43" t="str">
        <f aca="false">IF(OR($A528="",$C528=""),"",IFERROR(INDEX(INSUMOS!$P$6:$P$205,MATCH($C528,INSUMOS!$A$6:$A$205,0)),0))</f>
        <v/>
      </c>
      <c r="H528" s="43" t="str">
        <f aca="false">IF(OR($A528="",$C528=""),"",N($F528)*$G528)</f>
        <v/>
      </c>
      <c r="I528" s="34" t="str">
        <f aca="false">IF(OR($A528="",$C528=""),"",IFERROR(MAX(1,INDEX(PRODUCTOS!$G$6:$G$105,MATCH($A528,PRODUCTOS!$A$6:$A$105,0))),1))</f>
        <v/>
      </c>
      <c r="J528" s="43" t="str">
        <f aca="false">IF(OR($A528="",$C528=""),"",$H528/$I528)</f>
        <v/>
      </c>
      <c r="K528" s="34" t="str">
        <f aca="false">IF(OR($A528="",$C528=""),"",SUMIFS(VENTAS!$E$6:$E$2005,VENTAS!$C$6:$C$2005,$A528))</f>
        <v/>
      </c>
      <c r="L528" s="45" t="str">
        <f aca="false">IF(OR($A528="",$C528=""),"",IFERROR(N($F528)/INDEX(INSUMOS!$I$6:$I$205,MATCH($C528,INSUMOS!$A$6:$A$205,0)),N($F528))/$I528*$K528)</f>
        <v/>
      </c>
      <c r="M528" s="8" t="str">
        <f aca="false">IF($A528="","",COUNTIF($A$6:$A528,$A528))</f>
        <v/>
      </c>
      <c r="N528" s="8" t="str">
        <f aca="false">IF($A528="","",$A528&amp;"|"&amp;$M528)</f>
        <v/>
      </c>
    </row>
    <row r="529" customFormat="false" ht="15" hidden="false" customHeight="false" outlineLevel="0" collapsed="false">
      <c r="A529" s="6"/>
      <c r="B529" s="8" t="str">
        <f aca="false">IF($A529="","",IFERROR(INDEX(PRODUCTOS!$B$6:$B$105,MATCH($A529,PRODUCTOS!$A$6:$A$105,0)),"¿Código?"))</f>
        <v/>
      </c>
      <c r="C529" s="6"/>
      <c r="D529" s="8" t="str">
        <f aca="false">IF($C529="","",IFERROR(INDEX(INSUMOS!$B$6:$B$205,MATCH($C529,INSUMOS!$A$6:$A$205,0)),"¿Código?"))</f>
        <v/>
      </c>
      <c r="E529" s="8" t="str">
        <f aca="false">IF($C529="","",IFERROR(INDEX(INSUMOS!$D$6:$D$205,MATCH($C529,INSUMOS!$A$6:$A$205,0)),""))</f>
        <v/>
      </c>
      <c r="F529" s="39"/>
      <c r="G529" s="43" t="str">
        <f aca="false">IF(OR($A529="",$C529=""),"",IFERROR(INDEX(INSUMOS!$P$6:$P$205,MATCH($C529,INSUMOS!$A$6:$A$205,0)),0))</f>
        <v/>
      </c>
      <c r="H529" s="43" t="str">
        <f aca="false">IF(OR($A529="",$C529=""),"",N($F529)*$G529)</f>
        <v/>
      </c>
      <c r="I529" s="34" t="str">
        <f aca="false">IF(OR($A529="",$C529=""),"",IFERROR(MAX(1,INDEX(PRODUCTOS!$G$6:$G$105,MATCH($A529,PRODUCTOS!$A$6:$A$105,0))),1))</f>
        <v/>
      </c>
      <c r="J529" s="43" t="str">
        <f aca="false">IF(OR($A529="",$C529=""),"",$H529/$I529)</f>
        <v/>
      </c>
      <c r="K529" s="34" t="str">
        <f aca="false">IF(OR($A529="",$C529=""),"",SUMIFS(VENTAS!$E$6:$E$2005,VENTAS!$C$6:$C$2005,$A529))</f>
        <v/>
      </c>
      <c r="L529" s="45" t="str">
        <f aca="false">IF(OR($A529="",$C529=""),"",IFERROR(N($F529)/INDEX(INSUMOS!$I$6:$I$205,MATCH($C529,INSUMOS!$A$6:$A$205,0)),N($F529))/$I529*$K529)</f>
        <v/>
      </c>
      <c r="M529" s="8" t="str">
        <f aca="false">IF($A529="","",COUNTIF($A$6:$A529,$A529))</f>
        <v/>
      </c>
      <c r="N529" s="8" t="str">
        <f aca="false">IF($A529="","",$A529&amp;"|"&amp;$M529)</f>
        <v/>
      </c>
    </row>
    <row r="530" customFormat="false" ht="15" hidden="false" customHeight="false" outlineLevel="0" collapsed="false">
      <c r="A530" s="6"/>
      <c r="B530" s="8" t="str">
        <f aca="false">IF($A530="","",IFERROR(INDEX(PRODUCTOS!$B$6:$B$105,MATCH($A530,PRODUCTOS!$A$6:$A$105,0)),"¿Código?"))</f>
        <v/>
      </c>
      <c r="C530" s="6"/>
      <c r="D530" s="8" t="str">
        <f aca="false">IF($C530="","",IFERROR(INDEX(INSUMOS!$B$6:$B$205,MATCH($C530,INSUMOS!$A$6:$A$205,0)),"¿Código?"))</f>
        <v/>
      </c>
      <c r="E530" s="8" t="str">
        <f aca="false">IF($C530="","",IFERROR(INDEX(INSUMOS!$D$6:$D$205,MATCH($C530,INSUMOS!$A$6:$A$205,0)),""))</f>
        <v/>
      </c>
      <c r="F530" s="39"/>
      <c r="G530" s="43" t="str">
        <f aca="false">IF(OR($A530="",$C530=""),"",IFERROR(INDEX(INSUMOS!$P$6:$P$205,MATCH($C530,INSUMOS!$A$6:$A$205,0)),0))</f>
        <v/>
      </c>
      <c r="H530" s="43" t="str">
        <f aca="false">IF(OR($A530="",$C530=""),"",N($F530)*$G530)</f>
        <v/>
      </c>
      <c r="I530" s="34" t="str">
        <f aca="false">IF(OR($A530="",$C530=""),"",IFERROR(MAX(1,INDEX(PRODUCTOS!$G$6:$G$105,MATCH($A530,PRODUCTOS!$A$6:$A$105,0))),1))</f>
        <v/>
      </c>
      <c r="J530" s="43" t="str">
        <f aca="false">IF(OR($A530="",$C530=""),"",$H530/$I530)</f>
        <v/>
      </c>
      <c r="K530" s="34" t="str">
        <f aca="false">IF(OR($A530="",$C530=""),"",SUMIFS(VENTAS!$E$6:$E$2005,VENTAS!$C$6:$C$2005,$A530))</f>
        <v/>
      </c>
      <c r="L530" s="45" t="str">
        <f aca="false">IF(OR($A530="",$C530=""),"",IFERROR(N($F530)/INDEX(INSUMOS!$I$6:$I$205,MATCH($C530,INSUMOS!$A$6:$A$205,0)),N($F530))/$I530*$K530)</f>
        <v/>
      </c>
      <c r="M530" s="8" t="str">
        <f aca="false">IF($A530="","",COUNTIF($A$6:$A530,$A530))</f>
        <v/>
      </c>
      <c r="N530" s="8" t="str">
        <f aca="false">IF($A530="","",$A530&amp;"|"&amp;$M530)</f>
        <v/>
      </c>
    </row>
    <row r="531" customFormat="false" ht="15" hidden="false" customHeight="false" outlineLevel="0" collapsed="false">
      <c r="A531" s="6"/>
      <c r="B531" s="8" t="str">
        <f aca="false">IF($A531="","",IFERROR(INDEX(PRODUCTOS!$B$6:$B$105,MATCH($A531,PRODUCTOS!$A$6:$A$105,0)),"¿Código?"))</f>
        <v/>
      </c>
      <c r="C531" s="6"/>
      <c r="D531" s="8" t="str">
        <f aca="false">IF($C531="","",IFERROR(INDEX(INSUMOS!$B$6:$B$205,MATCH($C531,INSUMOS!$A$6:$A$205,0)),"¿Código?"))</f>
        <v/>
      </c>
      <c r="E531" s="8" t="str">
        <f aca="false">IF($C531="","",IFERROR(INDEX(INSUMOS!$D$6:$D$205,MATCH($C531,INSUMOS!$A$6:$A$205,0)),""))</f>
        <v/>
      </c>
      <c r="F531" s="39"/>
      <c r="G531" s="43" t="str">
        <f aca="false">IF(OR($A531="",$C531=""),"",IFERROR(INDEX(INSUMOS!$P$6:$P$205,MATCH($C531,INSUMOS!$A$6:$A$205,0)),0))</f>
        <v/>
      </c>
      <c r="H531" s="43" t="str">
        <f aca="false">IF(OR($A531="",$C531=""),"",N($F531)*$G531)</f>
        <v/>
      </c>
      <c r="I531" s="34" t="str">
        <f aca="false">IF(OR($A531="",$C531=""),"",IFERROR(MAX(1,INDEX(PRODUCTOS!$G$6:$G$105,MATCH($A531,PRODUCTOS!$A$6:$A$105,0))),1))</f>
        <v/>
      </c>
      <c r="J531" s="43" t="str">
        <f aca="false">IF(OR($A531="",$C531=""),"",$H531/$I531)</f>
        <v/>
      </c>
      <c r="K531" s="34" t="str">
        <f aca="false">IF(OR($A531="",$C531=""),"",SUMIFS(VENTAS!$E$6:$E$2005,VENTAS!$C$6:$C$2005,$A531))</f>
        <v/>
      </c>
      <c r="L531" s="45" t="str">
        <f aca="false">IF(OR($A531="",$C531=""),"",IFERROR(N($F531)/INDEX(INSUMOS!$I$6:$I$205,MATCH($C531,INSUMOS!$A$6:$A$205,0)),N($F531))/$I531*$K531)</f>
        <v/>
      </c>
      <c r="M531" s="8" t="str">
        <f aca="false">IF($A531="","",COUNTIF($A$6:$A531,$A531))</f>
        <v/>
      </c>
      <c r="N531" s="8" t="str">
        <f aca="false">IF($A531="","",$A531&amp;"|"&amp;$M531)</f>
        <v/>
      </c>
    </row>
    <row r="532" customFormat="false" ht="15" hidden="false" customHeight="false" outlineLevel="0" collapsed="false">
      <c r="A532" s="6"/>
      <c r="B532" s="8" t="str">
        <f aca="false">IF($A532="","",IFERROR(INDEX(PRODUCTOS!$B$6:$B$105,MATCH($A532,PRODUCTOS!$A$6:$A$105,0)),"¿Código?"))</f>
        <v/>
      </c>
      <c r="C532" s="6"/>
      <c r="D532" s="8" t="str">
        <f aca="false">IF($C532="","",IFERROR(INDEX(INSUMOS!$B$6:$B$205,MATCH($C532,INSUMOS!$A$6:$A$205,0)),"¿Código?"))</f>
        <v/>
      </c>
      <c r="E532" s="8" t="str">
        <f aca="false">IF($C532="","",IFERROR(INDEX(INSUMOS!$D$6:$D$205,MATCH($C532,INSUMOS!$A$6:$A$205,0)),""))</f>
        <v/>
      </c>
      <c r="F532" s="39"/>
      <c r="G532" s="43" t="str">
        <f aca="false">IF(OR($A532="",$C532=""),"",IFERROR(INDEX(INSUMOS!$P$6:$P$205,MATCH($C532,INSUMOS!$A$6:$A$205,0)),0))</f>
        <v/>
      </c>
      <c r="H532" s="43" t="str">
        <f aca="false">IF(OR($A532="",$C532=""),"",N($F532)*$G532)</f>
        <v/>
      </c>
      <c r="I532" s="34" t="str">
        <f aca="false">IF(OR($A532="",$C532=""),"",IFERROR(MAX(1,INDEX(PRODUCTOS!$G$6:$G$105,MATCH($A532,PRODUCTOS!$A$6:$A$105,0))),1))</f>
        <v/>
      </c>
      <c r="J532" s="43" t="str">
        <f aca="false">IF(OR($A532="",$C532=""),"",$H532/$I532)</f>
        <v/>
      </c>
      <c r="K532" s="34" t="str">
        <f aca="false">IF(OR($A532="",$C532=""),"",SUMIFS(VENTAS!$E$6:$E$2005,VENTAS!$C$6:$C$2005,$A532))</f>
        <v/>
      </c>
      <c r="L532" s="45" t="str">
        <f aca="false">IF(OR($A532="",$C532=""),"",IFERROR(N($F532)/INDEX(INSUMOS!$I$6:$I$205,MATCH($C532,INSUMOS!$A$6:$A$205,0)),N($F532))/$I532*$K532)</f>
        <v/>
      </c>
      <c r="M532" s="8" t="str">
        <f aca="false">IF($A532="","",COUNTIF($A$6:$A532,$A532))</f>
        <v/>
      </c>
      <c r="N532" s="8" t="str">
        <f aca="false">IF($A532="","",$A532&amp;"|"&amp;$M532)</f>
        <v/>
      </c>
    </row>
    <row r="533" customFormat="false" ht="15" hidden="false" customHeight="false" outlineLevel="0" collapsed="false">
      <c r="A533" s="6"/>
      <c r="B533" s="8" t="str">
        <f aca="false">IF($A533="","",IFERROR(INDEX(PRODUCTOS!$B$6:$B$105,MATCH($A533,PRODUCTOS!$A$6:$A$105,0)),"¿Código?"))</f>
        <v/>
      </c>
      <c r="C533" s="6"/>
      <c r="D533" s="8" t="str">
        <f aca="false">IF($C533="","",IFERROR(INDEX(INSUMOS!$B$6:$B$205,MATCH($C533,INSUMOS!$A$6:$A$205,0)),"¿Código?"))</f>
        <v/>
      </c>
      <c r="E533" s="8" t="str">
        <f aca="false">IF($C533="","",IFERROR(INDEX(INSUMOS!$D$6:$D$205,MATCH($C533,INSUMOS!$A$6:$A$205,0)),""))</f>
        <v/>
      </c>
      <c r="F533" s="39"/>
      <c r="G533" s="43" t="str">
        <f aca="false">IF(OR($A533="",$C533=""),"",IFERROR(INDEX(INSUMOS!$P$6:$P$205,MATCH($C533,INSUMOS!$A$6:$A$205,0)),0))</f>
        <v/>
      </c>
      <c r="H533" s="43" t="str">
        <f aca="false">IF(OR($A533="",$C533=""),"",N($F533)*$G533)</f>
        <v/>
      </c>
      <c r="I533" s="34" t="str">
        <f aca="false">IF(OR($A533="",$C533=""),"",IFERROR(MAX(1,INDEX(PRODUCTOS!$G$6:$G$105,MATCH($A533,PRODUCTOS!$A$6:$A$105,0))),1))</f>
        <v/>
      </c>
      <c r="J533" s="43" t="str">
        <f aca="false">IF(OR($A533="",$C533=""),"",$H533/$I533)</f>
        <v/>
      </c>
      <c r="K533" s="34" t="str">
        <f aca="false">IF(OR($A533="",$C533=""),"",SUMIFS(VENTAS!$E$6:$E$2005,VENTAS!$C$6:$C$2005,$A533))</f>
        <v/>
      </c>
      <c r="L533" s="45" t="str">
        <f aca="false">IF(OR($A533="",$C533=""),"",IFERROR(N($F533)/INDEX(INSUMOS!$I$6:$I$205,MATCH($C533,INSUMOS!$A$6:$A$205,0)),N($F533))/$I533*$K533)</f>
        <v/>
      </c>
      <c r="M533" s="8" t="str">
        <f aca="false">IF($A533="","",COUNTIF($A$6:$A533,$A533))</f>
        <v/>
      </c>
      <c r="N533" s="8" t="str">
        <f aca="false">IF($A533="","",$A533&amp;"|"&amp;$M533)</f>
        <v/>
      </c>
    </row>
    <row r="534" customFormat="false" ht="15" hidden="false" customHeight="false" outlineLevel="0" collapsed="false">
      <c r="A534" s="6"/>
      <c r="B534" s="8" t="str">
        <f aca="false">IF($A534="","",IFERROR(INDEX(PRODUCTOS!$B$6:$B$105,MATCH($A534,PRODUCTOS!$A$6:$A$105,0)),"¿Código?"))</f>
        <v/>
      </c>
      <c r="C534" s="6"/>
      <c r="D534" s="8" t="str">
        <f aca="false">IF($C534="","",IFERROR(INDEX(INSUMOS!$B$6:$B$205,MATCH($C534,INSUMOS!$A$6:$A$205,0)),"¿Código?"))</f>
        <v/>
      </c>
      <c r="E534" s="8" t="str">
        <f aca="false">IF($C534="","",IFERROR(INDEX(INSUMOS!$D$6:$D$205,MATCH($C534,INSUMOS!$A$6:$A$205,0)),""))</f>
        <v/>
      </c>
      <c r="F534" s="39"/>
      <c r="G534" s="43" t="str">
        <f aca="false">IF(OR($A534="",$C534=""),"",IFERROR(INDEX(INSUMOS!$P$6:$P$205,MATCH($C534,INSUMOS!$A$6:$A$205,0)),0))</f>
        <v/>
      </c>
      <c r="H534" s="43" t="str">
        <f aca="false">IF(OR($A534="",$C534=""),"",N($F534)*$G534)</f>
        <v/>
      </c>
      <c r="I534" s="34" t="str">
        <f aca="false">IF(OR($A534="",$C534=""),"",IFERROR(MAX(1,INDEX(PRODUCTOS!$G$6:$G$105,MATCH($A534,PRODUCTOS!$A$6:$A$105,0))),1))</f>
        <v/>
      </c>
      <c r="J534" s="43" t="str">
        <f aca="false">IF(OR($A534="",$C534=""),"",$H534/$I534)</f>
        <v/>
      </c>
      <c r="K534" s="34" t="str">
        <f aca="false">IF(OR($A534="",$C534=""),"",SUMIFS(VENTAS!$E$6:$E$2005,VENTAS!$C$6:$C$2005,$A534))</f>
        <v/>
      </c>
      <c r="L534" s="45" t="str">
        <f aca="false">IF(OR($A534="",$C534=""),"",IFERROR(N($F534)/INDEX(INSUMOS!$I$6:$I$205,MATCH($C534,INSUMOS!$A$6:$A$205,0)),N($F534))/$I534*$K534)</f>
        <v/>
      </c>
      <c r="M534" s="8" t="str">
        <f aca="false">IF($A534="","",COUNTIF($A$6:$A534,$A534))</f>
        <v/>
      </c>
      <c r="N534" s="8" t="str">
        <f aca="false">IF($A534="","",$A534&amp;"|"&amp;$M534)</f>
        <v/>
      </c>
    </row>
    <row r="535" customFormat="false" ht="15" hidden="false" customHeight="false" outlineLevel="0" collapsed="false">
      <c r="A535" s="6"/>
      <c r="B535" s="8" t="str">
        <f aca="false">IF($A535="","",IFERROR(INDEX(PRODUCTOS!$B$6:$B$105,MATCH($A535,PRODUCTOS!$A$6:$A$105,0)),"¿Código?"))</f>
        <v/>
      </c>
      <c r="C535" s="6"/>
      <c r="D535" s="8" t="str">
        <f aca="false">IF($C535="","",IFERROR(INDEX(INSUMOS!$B$6:$B$205,MATCH($C535,INSUMOS!$A$6:$A$205,0)),"¿Código?"))</f>
        <v/>
      </c>
      <c r="E535" s="8" t="str">
        <f aca="false">IF($C535="","",IFERROR(INDEX(INSUMOS!$D$6:$D$205,MATCH($C535,INSUMOS!$A$6:$A$205,0)),""))</f>
        <v/>
      </c>
      <c r="F535" s="39"/>
      <c r="G535" s="43" t="str">
        <f aca="false">IF(OR($A535="",$C535=""),"",IFERROR(INDEX(INSUMOS!$P$6:$P$205,MATCH($C535,INSUMOS!$A$6:$A$205,0)),0))</f>
        <v/>
      </c>
      <c r="H535" s="43" t="str">
        <f aca="false">IF(OR($A535="",$C535=""),"",N($F535)*$G535)</f>
        <v/>
      </c>
      <c r="I535" s="34" t="str">
        <f aca="false">IF(OR($A535="",$C535=""),"",IFERROR(MAX(1,INDEX(PRODUCTOS!$G$6:$G$105,MATCH($A535,PRODUCTOS!$A$6:$A$105,0))),1))</f>
        <v/>
      </c>
      <c r="J535" s="43" t="str">
        <f aca="false">IF(OR($A535="",$C535=""),"",$H535/$I535)</f>
        <v/>
      </c>
      <c r="K535" s="34" t="str">
        <f aca="false">IF(OR($A535="",$C535=""),"",SUMIFS(VENTAS!$E$6:$E$2005,VENTAS!$C$6:$C$2005,$A535))</f>
        <v/>
      </c>
      <c r="L535" s="45" t="str">
        <f aca="false">IF(OR($A535="",$C535=""),"",IFERROR(N($F535)/INDEX(INSUMOS!$I$6:$I$205,MATCH($C535,INSUMOS!$A$6:$A$205,0)),N($F535))/$I535*$K535)</f>
        <v/>
      </c>
      <c r="M535" s="8" t="str">
        <f aca="false">IF($A535="","",COUNTIF($A$6:$A535,$A535))</f>
        <v/>
      </c>
      <c r="N535" s="8" t="str">
        <f aca="false">IF($A535="","",$A535&amp;"|"&amp;$M535)</f>
        <v/>
      </c>
    </row>
    <row r="536" customFormat="false" ht="15" hidden="false" customHeight="false" outlineLevel="0" collapsed="false">
      <c r="A536" s="6"/>
      <c r="B536" s="8" t="str">
        <f aca="false">IF($A536="","",IFERROR(INDEX(PRODUCTOS!$B$6:$B$105,MATCH($A536,PRODUCTOS!$A$6:$A$105,0)),"¿Código?"))</f>
        <v/>
      </c>
      <c r="C536" s="6"/>
      <c r="D536" s="8" t="str">
        <f aca="false">IF($C536="","",IFERROR(INDEX(INSUMOS!$B$6:$B$205,MATCH($C536,INSUMOS!$A$6:$A$205,0)),"¿Código?"))</f>
        <v/>
      </c>
      <c r="E536" s="8" t="str">
        <f aca="false">IF($C536="","",IFERROR(INDEX(INSUMOS!$D$6:$D$205,MATCH($C536,INSUMOS!$A$6:$A$205,0)),""))</f>
        <v/>
      </c>
      <c r="F536" s="39"/>
      <c r="G536" s="43" t="str">
        <f aca="false">IF(OR($A536="",$C536=""),"",IFERROR(INDEX(INSUMOS!$P$6:$P$205,MATCH($C536,INSUMOS!$A$6:$A$205,0)),0))</f>
        <v/>
      </c>
      <c r="H536" s="43" t="str">
        <f aca="false">IF(OR($A536="",$C536=""),"",N($F536)*$G536)</f>
        <v/>
      </c>
      <c r="I536" s="34" t="str">
        <f aca="false">IF(OR($A536="",$C536=""),"",IFERROR(MAX(1,INDEX(PRODUCTOS!$G$6:$G$105,MATCH($A536,PRODUCTOS!$A$6:$A$105,0))),1))</f>
        <v/>
      </c>
      <c r="J536" s="43" t="str">
        <f aca="false">IF(OR($A536="",$C536=""),"",$H536/$I536)</f>
        <v/>
      </c>
      <c r="K536" s="34" t="str">
        <f aca="false">IF(OR($A536="",$C536=""),"",SUMIFS(VENTAS!$E$6:$E$2005,VENTAS!$C$6:$C$2005,$A536))</f>
        <v/>
      </c>
      <c r="L536" s="45" t="str">
        <f aca="false">IF(OR($A536="",$C536=""),"",IFERROR(N($F536)/INDEX(INSUMOS!$I$6:$I$205,MATCH($C536,INSUMOS!$A$6:$A$205,0)),N($F536))/$I536*$K536)</f>
        <v/>
      </c>
      <c r="M536" s="8" t="str">
        <f aca="false">IF($A536="","",COUNTIF($A$6:$A536,$A536))</f>
        <v/>
      </c>
      <c r="N536" s="8" t="str">
        <f aca="false">IF($A536="","",$A536&amp;"|"&amp;$M536)</f>
        <v/>
      </c>
    </row>
    <row r="537" customFormat="false" ht="15" hidden="false" customHeight="false" outlineLevel="0" collapsed="false">
      <c r="A537" s="6"/>
      <c r="B537" s="8" t="str">
        <f aca="false">IF($A537="","",IFERROR(INDEX(PRODUCTOS!$B$6:$B$105,MATCH($A537,PRODUCTOS!$A$6:$A$105,0)),"¿Código?"))</f>
        <v/>
      </c>
      <c r="C537" s="6"/>
      <c r="D537" s="8" t="str">
        <f aca="false">IF($C537="","",IFERROR(INDEX(INSUMOS!$B$6:$B$205,MATCH($C537,INSUMOS!$A$6:$A$205,0)),"¿Código?"))</f>
        <v/>
      </c>
      <c r="E537" s="8" t="str">
        <f aca="false">IF($C537="","",IFERROR(INDEX(INSUMOS!$D$6:$D$205,MATCH($C537,INSUMOS!$A$6:$A$205,0)),""))</f>
        <v/>
      </c>
      <c r="F537" s="39"/>
      <c r="G537" s="43" t="str">
        <f aca="false">IF(OR($A537="",$C537=""),"",IFERROR(INDEX(INSUMOS!$P$6:$P$205,MATCH($C537,INSUMOS!$A$6:$A$205,0)),0))</f>
        <v/>
      </c>
      <c r="H537" s="43" t="str">
        <f aca="false">IF(OR($A537="",$C537=""),"",N($F537)*$G537)</f>
        <v/>
      </c>
      <c r="I537" s="34" t="str">
        <f aca="false">IF(OR($A537="",$C537=""),"",IFERROR(MAX(1,INDEX(PRODUCTOS!$G$6:$G$105,MATCH($A537,PRODUCTOS!$A$6:$A$105,0))),1))</f>
        <v/>
      </c>
      <c r="J537" s="43" t="str">
        <f aca="false">IF(OR($A537="",$C537=""),"",$H537/$I537)</f>
        <v/>
      </c>
      <c r="K537" s="34" t="str">
        <f aca="false">IF(OR($A537="",$C537=""),"",SUMIFS(VENTAS!$E$6:$E$2005,VENTAS!$C$6:$C$2005,$A537))</f>
        <v/>
      </c>
      <c r="L537" s="45" t="str">
        <f aca="false">IF(OR($A537="",$C537=""),"",IFERROR(N($F537)/INDEX(INSUMOS!$I$6:$I$205,MATCH($C537,INSUMOS!$A$6:$A$205,0)),N($F537))/$I537*$K537)</f>
        <v/>
      </c>
      <c r="M537" s="8" t="str">
        <f aca="false">IF($A537="","",COUNTIF($A$6:$A537,$A537))</f>
        <v/>
      </c>
      <c r="N537" s="8" t="str">
        <f aca="false">IF($A537="","",$A537&amp;"|"&amp;$M537)</f>
        <v/>
      </c>
    </row>
    <row r="538" customFormat="false" ht="15" hidden="false" customHeight="false" outlineLevel="0" collapsed="false">
      <c r="A538" s="6"/>
      <c r="B538" s="8" t="str">
        <f aca="false">IF($A538="","",IFERROR(INDEX(PRODUCTOS!$B$6:$B$105,MATCH($A538,PRODUCTOS!$A$6:$A$105,0)),"¿Código?"))</f>
        <v/>
      </c>
      <c r="C538" s="6"/>
      <c r="D538" s="8" t="str">
        <f aca="false">IF($C538="","",IFERROR(INDEX(INSUMOS!$B$6:$B$205,MATCH($C538,INSUMOS!$A$6:$A$205,0)),"¿Código?"))</f>
        <v/>
      </c>
      <c r="E538" s="8" t="str">
        <f aca="false">IF($C538="","",IFERROR(INDEX(INSUMOS!$D$6:$D$205,MATCH($C538,INSUMOS!$A$6:$A$205,0)),""))</f>
        <v/>
      </c>
      <c r="F538" s="39"/>
      <c r="G538" s="43" t="str">
        <f aca="false">IF(OR($A538="",$C538=""),"",IFERROR(INDEX(INSUMOS!$P$6:$P$205,MATCH($C538,INSUMOS!$A$6:$A$205,0)),0))</f>
        <v/>
      </c>
      <c r="H538" s="43" t="str">
        <f aca="false">IF(OR($A538="",$C538=""),"",N($F538)*$G538)</f>
        <v/>
      </c>
      <c r="I538" s="34" t="str">
        <f aca="false">IF(OR($A538="",$C538=""),"",IFERROR(MAX(1,INDEX(PRODUCTOS!$G$6:$G$105,MATCH($A538,PRODUCTOS!$A$6:$A$105,0))),1))</f>
        <v/>
      </c>
      <c r="J538" s="43" t="str">
        <f aca="false">IF(OR($A538="",$C538=""),"",$H538/$I538)</f>
        <v/>
      </c>
      <c r="K538" s="34" t="str">
        <f aca="false">IF(OR($A538="",$C538=""),"",SUMIFS(VENTAS!$E$6:$E$2005,VENTAS!$C$6:$C$2005,$A538))</f>
        <v/>
      </c>
      <c r="L538" s="45" t="str">
        <f aca="false">IF(OR($A538="",$C538=""),"",IFERROR(N($F538)/INDEX(INSUMOS!$I$6:$I$205,MATCH($C538,INSUMOS!$A$6:$A$205,0)),N($F538))/$I538*$K538)</f>
        <v/>
      </c>
      <c r="M538" s="8" t="str">
        <f aca="false">IF($A538="","",COUNTIF($A$6:$A538,$A538))</f>
        <v/>
      </c>
      <c r="N538" s="8" t="str">
        <f aca="false">IF($A538="","",$A538&amp;"|"&amp;$M538)</f>
        <v/>
      </c>
    </row>
    <row r="539" customFormat="false" ht="15" hidden="false" customHeight="false" outlineLevel="0" collapsed="false">
      <c r="A539" s="6"/>
      <c r="B539" s="8" t="str">
        <f aca="false">IF($A539="","",IFERROR(INDEX(PRODUCTOS!$B$6:$B$105,MATCH($A539,PRODUCTOS!$A$6:$A$105,0)),"¿Código?"))</f>
        <v/>
      </c>
      <c r="C539" s="6"/>
      <c r="D539" s="8" t="str">
        <f aca="false">IF($C539="","",IFERROR(INDEX(INSUMOS!$B$6:$B$205,MATCH($C539,INSUMOS!$A$6:$A$205,0)),"¿Código?"))</f>
        <v/>
      </c>
      <c r="E539" s="8" t="str">
        <f aca="false">IF($C539="","",IFERROR(INDEX(INSUMOS!$D$6:$D$205,MATCH($C539,INSUMOS!$A$6:$A$205,0)),""))</f>
        <v/>
      </c>
      <c r="F539" s="39"/>
      <c r="G539" s="43" t="str">
        <f aca="false">IF(OR($A539="",$C539=""),"",IFERROR(INDEX(INSUMOS!$P$6:$P$205,MATCH($C539,INSUMOS!$A$6:$A$205,0)),0))</f>
        <v/>
      </c>
      <c r="H539" s="43" t="str">
        <f aca="false">IF(OR($A539="",$C539=""),"",N($F539)*$G539)</f>
        <v/>
      </c>
      <c r="I539" s="34" t="str">
        <f aca="false">IF(OR($A539="",$C539=""),"",IFERROR(MAX(1,INDEX(PRODUCTOS!$G$6:$G$105,MATCH($A539,PRODUCTOS!$A$6:$A$105,0))),1))</f>
        <v/>
      </c>
      <c r="J539" s="43" t="str">
        <f aca="false">IF(OR($A539="",$C539=""),"",$H539/$I539)</f>
        <v/>
      </c>
      <c r="K539" s="34" t="str">
        <f aca="false">IF(OR($A539="",$C539=""),"",SUMIFS(VENTAS!$E$6:$E$2005,VENTAS!$C$6:$C$2005,$A539))</f>
        <v/>
      </c>
      <c r="L539" s="45" t="str">
        <f aca="false">IF(OR($A539="",$C539=""),"",IFERROR(N($F539)/INDEX(INSUMOS!$I$6:$I$205,MATCH($C539,INSUMOS!$A$6:$A$205,0)),N($F539))/$I539*$K539)</f>
        <v/>
      </c>
      <c r="M539" s="8" t="str">
        <f aca="false">IF($A539="","",COUNTIF($A$6:$A539,$A539))</f>
        <v/>
      </c>
      <c r="N539" s="8" t="str">
        <f aca="false">IF($A539="","",$A539&amp;"|"&amp;$M539)</f>
        <v/>
      </c>
    </row>
    <row r="540" customFormat="false" ht="15" hidden="false" customHeight="false" outlineLevel="0" collapsed="false">
      <c r="A540" s="6"/>
      <c r="B540" s="8" t="str">
        <f aca="false">IF($A540="","",IFERROR(INDEX(PRODUCTOS!$B$6:$B$105,MATCH($A540,PRODUCTOS!$A$6:$A$105,0)),"¿Código?"))</f>
        <v/>
      </c>
      <c r="C540" s="6"/>
      <c r="D540" s="8" t="str">
        <f aca="false">IF($C540="","",IFERROR(INDEX(INSUMOS!$B$6:$B$205,MATCH($C540,INSUMOS!$A$6:$A$205,0)),"¿Código?"))</f>
        <v/>
      </c>
      <c r="E540" s="8" t="str">
        <f aca="false">IF($C540="","",IFERROR(INDEX(INSUMOS!$D$6:$D$205,MATCH($C540,INSUMOS!$A$6:$A$205,0)),""))</f>
        <v/>
      </c>
      <c r="F540" s="39"/>
      <c r="G540" s="43" t="str">
        <f aca="false">IF(OR($A540="",$C540=""),"",IFERROR(INDEX(INSUMOS!$P$6:$P$205,MATCH($C540,INSUMOS!$A$6:$A$205,0)),0))</f>
        <v/>
      </c>
      <c r="H540" s="43" t="str">
        <f aca="false">IF(OR($A540="",$C540=""),"",N($F540)*$G540)</f>
        <v/>
      </c>
      <c r="I540" s="34" t="str">
        <f aca="false">IF(OR($A540="",$C540=""),"",IFERROR(MAX(1,INDEX(PRODUCTOS!$G$6:$G$105,MATCH($A540,PRODUCTOS!$A$6:$A$105,0))),1))</f>
        <v/>
      </c>
      <c r="J540" s="43" t="str">
        <f aca="false">IF(OR($A540="",$C540=""),"",$H540/$I540)</f>
        <v/>
      </c>
      <c r="K540" s="34" t="str">
        <f aca="false">IF(OR($A540="",$C540=""),"",SUMIFS(VENTAS!$E$6:$E$2005,VENTAS!$C$6:$C$2005,$A540))</f>
        <v/>
      </c>
      <c r="L540" s="45" t="str">
        <f aca="false">IF(OR($A540="",$C540=""),"",IFERROR(N($F540)/INDEX(INSUMOS!$I$6:$I$205,MATCH($C540,INSUMOS!$A$6:$A$205,0)),N($F540))/$I540*$K540)</f>
        <v/>
      </c>
      <c r="M540" s="8" t="str">
        <f aca="false">IF($A540="","",COUNTIF($A$6:$A540,$A540))</f>
        <v/>
      </c>
      <c r="N540" s="8" t="str">
        <f aca="false">IF($A540="","",$A540&amp;"|"&amp;$M540)</f>
        <v/>
      </c>
    </row>
    <row r="541" customFormat="false" ht="15" hidden="false" customHeight="false" outlineLevel="0" collapsed="false">
      <c r="A541" s="6"/>
      <c r="B541" s="8" t="str">
        <f aca="false">IF($A541="","",IFERROR(INDEX(PRODUCTOS!$B$6:$B$105,MATCH($A541,PRODUCTOS!$A$6:$A$105,0)),"¿Código?"))</f>
        <v/>
      </c>
      <c r="C541" s="6"/>
      <c r="D541" s="8" t="str">
        <f aca="false">IF($C541="","",IFERROR(INDEX(INSUMOS!$B$6:$B$205,MATCH($C541,INSUMOS!$A$6:$A$205,0)),"¿Código?"))</f>
        <v/>
      </c>
      <c r="E541" s="8" t="str">
        <f aca="false">IF($C541="","",IFERROR(INDEX(INSUMOS!$D$6:$D$205,MATCH($C541,INSUMOS!$A$6:$A$205,0)),""))</f>
        <v/>
      </c>
      <c r="F541" s="39"/>
      <c r="G541" s="43" t="str">
        <f aca="false">IF(OR($A541="",$C541=""),"",IFERROR(INDEX(INSUMOS!$P$6:$P$205,MATCH($C541,INSUMOS!$A$6:$A$205,0)),0))</f>
        <v/>
      </c>
      <c r="H541" s="43" t="str">
        <f aca="false">IF(OR($A541="",$C541=""),"",N($F541)*$G541)</f>
        <v/>
      </c>
      <c r="I541" s="34" t="str">
        <f aca="false">IF(OR($A541="",$C541=""),"",IFERROR(MAX(1,INDEX(PRODUCTOS!$G$6:$G$105,MATCH($A541,PRODUCTOS!$A$6:$A$105,0))),1))</f>
        <v/>
      </c>
      <c r="J541" s="43" t="str">
        <f aca="false">IF(OR($A541="",$C541=""),"",$H541/$I541)</f>
        <v/>
      </c>
      <c r="K541" s="34" t="str">
        <f aca="false">IF(OR($A541="",$C541=""),"",SUMIFS(VENTAS!$E$6:$E$2005,VENTAS!$C$6:$C$2005,$A541))</f>
        <v/>
      </c>
      <c r="L541" s="45" t="str">
        <f aca="false">IF(OR($A541="",$C541=""),"",IFERROR(N($F541)/INDEX(INSUMOS!$I$6:$I$205,MATCH($C541,INSUMOS!$A$6:$A$205,0)),N($F541))/$I541*$K541)</f>
        <v/>
      </c>
      <c r="M541" s="8" t="str">
        <f aca="false">IF($A541="","",COUNTIF($A$6:$A541,$A541))</f>
        <v/>
      </c>
      <c r="N541" s="8" t="str">
        <f aca="false">IF($A541="","",$A541&amp;"|"&amp;$M541)</f>
        <v/>
      </c>
    </row>
    <row r="542" customFormat="false" ht="15" hidden="false" customHeight="false" outlineLevel="0" collapsed="false">
      <c r="A542" s="6"/>
      <c r="B542" s="8" t="str">
        <f aca="false">IF($A542="","",IFERROR(INDEX(PRODUCTOS!$B$6:$B$105,MATCH($A542,PRODUCTOS!$A$6:$A$105,0)),"¿Código?"))</f>
        <v/>
      </c>
      <c r="C542" s="6"/>
      <c r="D542" s="8" t="str">
        <f aca="false">IF($C542="","",IFERROR(INDEX(INSUMOS!$B$6:$B$205,MATCH($C542,INSUMOS!$A$6:$A$205,0)),"¿Código?"))</f>
        <v/>
      </c>
      <c r="E542" s="8" t="str">
        <f aca="false">IF($C542="","",IFERROR(INDEX(INSUMOS!$D$6:$D$205,MATCH($C542,INSUMOS!$A$6:$A$205,0)),""))</f>
        <v/>
      </c>
      <c r="F542" s="39"/>
      <c r="G542" s="43" t="str">
        <f aca="false">IF(OR($A542="",$C542=""),"",IFERROR(INDEX(INSUMOS!$P$6:$P$205,MATCH($C542,INSUMOS!$A$6:$A$205,0)),0))</f>
        <v/>
      </c>
      <c r="H542" s="43" t="str">
        <f aca="false">IF(OR($A542="",$C542=""),"",N($F542)*$G542)</f>
        <v/>
      </c>
      <c r="I542" s="34" t="str">
        <f aca="false">IF(OR($A542="",$C542=""),"",IFERROR(MAX(1,INDEX(PRODUCTOS!$G$6:$G$105,MATCH($A542,PRODUCTOS!$A$6:$A$105,0))),1))</f>
        <v/>
      </c>
      <c r="J542" s="43" t="str">
        <f aca="false">IF(OR($A542="",$C542=""),"",$H542/$I542)</f>
        <v/>
      </c>
      <c r="K542" s="34" t="str">
        <f aca="false">IF(OR($A542="",$C542=""),"",SUMIFS(VENTAS!$E$6:$E$2005,VENTAS!$C$6:$C$2005,$A542))</f>
        <v/>
      </c>
      <c r="L542" s="45" t="str">
        <f aca="false">IF(OR($A542="",$C542=""),"",IFERROR(N($F542)/INDEX(INSUMOS!$I$6:$I$205,MATCH($C542,INSUMOS!$A$6:$A$205,0)),N($F542))/$I542*$K542)</f>
        <v/>
      </c>
      <c r="M542" s="8" t="str">
        <f aca="false">IF($A542="","",COUNTIF($A$6:$A542,$A542))</f>
        <v/>
      </c>
      <c r="N542" s="8" t="str">
        <f aca="false">IF($A542="","",$A542&amp;"|"&amp;$M542)</f>
        <v/>
      </c>
    </row>
    <row r="543" customFormat="false" ht="15" hidden="false" customHeight="false" outlineLevel="0" collapsed="false">
      <c r="A543" s="6"/>
      <c r="B543" s="8" t="str">
        <f aca="false">IF($A543="","",IFERROR(INDEX(PRODUCTOS!$B$6:$B$105,MATCH($A543,PRODUCTOS!$A$6:$A$105,0)),"¿Código?"))</f>
        <v/>
      </c>
      <c r="C543" s="6"/>
      <c r="D543" s="8" t="str">
        <f aca="false">IF($C543="","",IFERROR(INDEX(INSUMOS!$B$6:$B$205,MATCH($C543,INSUMOS!$A$6:$A$205,0)),"¿Código?"))</f>
        <v/>
      </c>
      <c r="E543" s="8" t="str">
        <f aca="false">IF($C543="","",IFERROR(INDEX(INSUMOS!$D$6:$D$205,MATCH($C543,INSUMOS!$A$6:$A$205,0)),""))</f>
        <v/>
      </c>
      <c r="F543" s="39"/>
      <c r="G543" s="43" t="str">
        <f aca="false">IF(OR($A543="",$C543=""),"",IFERROR(INDEX(INSUMOS!$P$6:$P$205,MATCH($C543,INSUMOS!$A$6:$A$205,0)),0))</f>
        <v/>
      </c>
      <c r="H543" s="43" t="str">
        <f aca="false">IF(OR($A543="",$C543=""),"",N($F543)*$G543)</f>
        <v/>
      </c>
      <c r="I543" s="34" t="str">
        <f aca="false">IF(OR($A543="",$C543=""),"",IFERROR(MAX(1,INDEX(PRODUCTOS!$G$6:$G$105,MATCH($A543,PRODUCTOS!$A$6:$A$105,0))),1))</f>
        <v/>
      </c>
      <c r="J543" s="43" t="str">
        <f aca="false">IF(OR($A543="",$C543=""),"",$H543/$I543)</f>
        <v/>
      </c>
      <c r="K543" s="34" t="str">
        <f aca="false">IF(OR($A543="",$C543=""),"",SUMIFS(VENTAS!$E$6:$E$2005,VENTAS!$C$6:$C$2005,$A543))</f>
        <v/>
      </c>
      <c r="L543" s="45" t="str">
        <f aca="false">IF(OR($A543="",$C543=""),"",IFERROR(N($F543)/INDEX(INSUMOS!$I$6:$I$205,MATCH($C543,INSUMOS!$A$6:$A$205,0)),N($F543))/$I543*$K543)</f>
        <v/>
      </c>
      <c r="M543" s="8" t="str">
        <f aca="false">IF($A543="","",COUNTIF($A$6:$A543,$A543))</f>
        <v/>
      </c>
      <c r="N543" s="8" t="str">
        <f aca="false">IF($A543="","",$A543&amp;"|"&amp;$M543)</f>
        <v/>
      </c>
    </row>
    <row r="544" customFormat="false" ht="15" hidden="false" customHeight="false" outlineLevel="0" collapsed="false">
      <c r="A544" s="6"/>
      <c r="B544" s="8" t="str">
        <f aca="false">IF($A544="","",IFERROR(INDEX(PRODUCTOS!$B$6:$B$105,MATCH($A544,PRODUCTOS!$A$6:$A$105,0)),"¿Código?"))</f>
        <v/>
      </c>
      <c r="C544" s="6"/>
      <c r="D544" s="8" t="str">
        <f aca="false">IF($C544="","",IFERROR(INDEX(INSUMOS!$B$6:$B$205,MATCH($C544,INSUMOS!$A$6:$A$205,0)),"¿Código?"))</f>
        <v/>
      </c>
      <c r="E544" s="8" t="str">
        <f aca="false">IF($C544="","",IFERROR(INDEX(INSUMOS!$D$6:$D$205,MATCH($C544,INSUMOS!$A$6:$A$205,0)),""))</f>
        <v/>
      </c>
      <c r="F544" s="39"/>
      <c r="G544" s="43" t="str">
        <f aca="false">IF(OR($A544="",$C544=""),"",IFERROR(INDEX(INSUMOS!$P$6:$P$205,MATCH($C544,INSUMOS!$A$6:$A$205,0)),0))</f>
        <v/>
      </c>
      <c r="H544" s="43" t="str">
        <f aca="false">IF(OR($A544="",$C544=""),"",N($F544)*$G544)</f>
        <v/>
      </c>
      <c r="I544" s="34" t="str">
        <f aca="false">IF(OR($A544="",$C544=""),"",IFERROR(MAX(1,INDEX(PRODUCTOS!$G$6:$G$105,MATCH($A544,PRODUCTOS!$A$6:$A$105,0))),1))</f>
        <v/>
      </c>
      <c r="J544" s="43" t="str">
        <f aca="false">IF(OR($A544="",$C544=""),"",$H544/$I544)</f>
        <v/>
      </c>
      <c r="K544" s="34" t="str">
        <f aca="false">IF(OR($A544="",$C544=""),"",SUMIFS(VENTAS!$E$6:$E$2005,VENTAS!$C$6:$C$2005,$A544))</f>
        <v/>
      </c>
      <c r="L544" s="45" t="str">
        <f aca="false">IF(OR($A544="",$C544=""),"",IFERROR(N($F544)/INDEX(INSUMOS!$I$6:$I$205,MATCH($C544,INSUMOS!$A$6:$A$205,0)),N($F544))/$I544*$K544)</f>
        <v/>
      </c>
      <c r="M544" s="8" t="str">
        <f aca="false">IF($A544="","",COUNTIF($A$6:$A544,$A544))</f>
        <v/>
      </c>
      <c r="N544" s="8" t="str">
        <f aca="false">IF($A544="","",$A544&amp;"|"&amp;$M544)</f>
        <v/>
      </c>
    </row>
    <row r="545" customFormat="false" ht="15" hidden="false" customHeight="false" outlineLevel="0" collapsed="false">
      <c r="A545" s="6"/>
      <c r="B545" s="8" t="str">
        <f aca="false">IF($A545="","",IFERROR(INDEX(PRODUCTOS!$B$6:$B$105,MATCH($A545,PRODUCTOS!$A$6:$A$105,0)),"¿Código?"))</f>
        <v/>
      </c>
      <c r="C545" s="6"/>
      <c r="D545" s="8" t="str">
        <f aca="false">IF($C545="","",IFERROR(INDEX(INSUMOS!$B$6:$B$205,MATCH($C545,INSUMOS!$A$6:$A$205,0)),"¿Código?"))</f>
        <v/>
      </c>
      <c r="E545" s="8" t="str">
        <f aca="false">IF($C545="","",IFERROR(INDEX(INSUMOS!$D$6:$D$205,MATCH($C545,INSUMOS!$A$6:$A$205,0)),""))</f>
        <v/>
      </c>
      <c r="F545" s="39"/>
      <c r="G545" s="43" t="str">
        <f aca="false">IF(OR($A545="",$C545=""),"",IFERROR(INDEX(INSUMOS!$P$6:$P$205,MATCH($C545,INSUMOS!$A$6:$A$205,0)),0))</f>
        <v/>
      </c>
      <c r="H545" s="43" t="str">
        <f aca="false">IF(OR($A545="",$C545=""),"",N($F545)*$G545)</f>
        <v/>
      </c>
      <c r="I545" s="34" t="str">
        <f aca="false">IF(OR($A545="",$C545=""),"",IFERROR(MAX(1,INDEX(PRODUCTOS!$G$6:$G$105,MATCH($A545,PRODUCTOS!$A$6:$A$105,0))),1))</f>
        <v/>
      </c>
      <c r="J545" s="43" t="str">
        <f aca="false">IF(OR($A545="",$C545=""),"",$H545/$I545)</f>
        <v/>
      </c>
      <c r="K545" s="34" t="str">
        <f aca="false">IF(OR($A545="",$C545=""),"",SUMIFS(VENTAS!$E$6:$E$2005,VENTAS!$C$6:$C$2005,$A545))</f>
        <v/>
      </c>
      <c r="L545" s="45" t="str">
        <f aca="false">IF(OR($A545="",$C545=""),"",IFERROR(N($F545)/INDEX(INSUMOS!$I$6:$I$205,MATCH($C545,INSUMOS!$A$6:$A$205,0)),N($F545))/$I545*$K545)</f>
        <v/>
      </c>
      <c r="M545" s="8" t="str">
        <f aca="false">IF($A545="","",COUNTIF($A$6:$A545,$A545))</f>
        <v/>
      </c>
      <c r="N545" s="8" t="str">
        <f aca="false">IF($A545="","",$A545&amp;"|"&amp;$M545)</f>
        <v/>
      </c>
    </row>
    <row r="546" customFormat="false" ht="15" hidden="false" customHeight="false" outlineLevel="0" collapsed="false">
      <c r="A546" s="6"/>
      <c r="B546" s="8" t="str">
        <f aca="false">IF($A546="","",IFERROR(INDEX(PRODUCTOS!$B$6:$B$105,MATCH($A546,PRODUCTOS!$A$6:$A$105,0)),"¿Código?"))</f>
        <v/>
      </c>
      <c r="C546" s="6"/>
      <c r="D546" s="8" t="str">
        <f aca="false">IF($C546="","",IFERROR(INDEX(INSUMOS!$B$6:$B$205,MATCH($C546,INSUMOS!$A$6:$A$205,0)),"¿Código?"))</f>
        <v/>
      </c>
      <c r="E546" s="8" t="str">
        <f aca="false">IF($C546="","",IFERROR(INDEX(INSUMOS!$D$6:$D$205,MATCH($C546,INSUMOS!$A$6:$A$205,0)),""))</f>
        <v/>
      </c>
      <c r="F546" s="39"/>
      <c r="G546" s="43" t="str">
        <f aca="false">IF(OR($A546="",$C546=""),"",IFERROR(INDEX(INSUMOS!$P$6:$P$205,MATCH($C546,INSUMOS!$A$6:$A$205,0)),0))</f>
        <v/>
      </c>
      <c r="H546" s="43" t="str">
        <f aca="false">IF(OR($A546="",$C546=""),"",N($F546)*$G546)</f>
        <v/>
      </c>
      <c r="I546" s="34" t="str">
        <f aca="false">IF(OR($A546="",$C546=""),"",IFERROR(MAX(1,INDEX(PRODUCTOS!$G$6:$G$105,MATCH($A546,PRODUCTOS!$A$6:$A$105,0))),1))</f>
        <v/>
      </c>
      <c r="J546" s="43" t="str">
        <f aca="false">IF(OR($A546="",$C546=""),"",$H546/$I546)</f>
        <v/>
      </c>
      <c r="K546" s="34" t="str">
        <f aca="false">IF(OR($A546="",$C546=""),"",SUMIFS(VENTAS!$E$6:$E$2005,VENTAS!$C$6:$C$2005,$A546))</f>
        <v/>
      </c>
      <c r="L546" s="45" t="str">
        <f aca="false">IF(OR($A546="",$C546=""),"",IFERROR(N($F546)/INDEX(INSUMOS!$I$6:$I$205,MATCH($C546,INSUMOS!$A$6:$A$205,0)),N($F546))/$I546*$K546)</f>
        <v/>
      </c>
      <c r="M546" s="8" t="str">
        <f aca="false">IF($A546="","",COUNTIF($A$6:$A546,$A546))</f>
        <v/>
      </c>
      <c r="N546" s="8" t="str">
        <f aca="false">IF($A546="","",$A546&amp;"|"&amp;$M546)</f>
        <v/>
      </c>
    </row>
    <row r="547" customFormat="false" ht="15" hidden="false" customHeight="false" outlineLevel="0" collapsed="false">
      <c r="A547" s="6"/>
      <c r="B547" s="8" t="str">
        <f aca="false">IF($A547="","",IFERROR(INDEX(PRODUCTOS!$B$6:$B$105,MATCH($A547,PRODUCTOS!$A$6:$A$105,0)),"¿Código?"))</f>
        <v/>
      </c>
      <c r="C547" s="6"/>
      <c r="D547" s="8" t="str">
        <f aca="false">IF($C547="","",IFERROR(INDEX(INSUMOS!$B$6:$B$205,MATCH($C547,INSUMOS!$A$6:$A$205,0)),"¿Código?"))</f>
        <v/>
      </c>
      <c r="E547" s="8" t="str">
        <f aca="false">IF($C547="","",IFERROR(INDEX(INSUMOS!$D$6:$D$205,MATCH($C547,INSUMOS!$A$6:$A$205,0)),""))</f>
        <v/>
      </c>
      <c r="F547" s="39"/>
      <c r="G547" s="43" t="str">
        <f aca="false">IF(OR($A547="",$C547=""),"",IFERROR(INDEX(INSUMOS!$P$6:$P$205,MATCH($C547,INSUMOS!$A$6:$A$205,0)),0))</f>
        <v/>
      </c>
      <c r="H547" s="43" t="str">
        <f aca="false">IF(OR($A547="",$C547=""),"",N($F547)*$G547)</f>
        <v/>
      </c>
      <c r="I547" s="34" t="str">
        <f aca="false">IF(OR($A547="",$C547=""),"",IFERROR(MAX(1,INDEX(PRODUCTOS!$G$6:$G$105,MATCH($A547,PRODUCTOS!$A$6:$A$105,0))),1))</f>
        <v/>
      </c>
      <c r="J547" s="43" t="str">
        <f aca="false">IF(OR($A547="",$C547=""),"",$H547/$I547)</f>
        <v/>
      </c>
      <c r="K547" s="34" t="str">
        <f aca="false">IF(OR($A547="",$C547=""),"",SUMIFS(VENTAS!$E$6:$E$2005,VENTAS!$C$6:$C$2005,$A547))</f>
        <v/>
      </c>
      <c r="L547" s="45" t="str">
        <f aca="false">IF(OR($A547="",$C547=""),"",IFERROR(N($F547)/INDEX(INSUMOS!$I$6:$I$205,MATCH($C547,INSUMOS!$A$6:$A$205,0)),N($F547))/$I547*$K547)</f>
        <v/>
      </c>
      <c r="M547" s="8" t="str">
        <f aca="false">IF($A547="","",COUNTIF($A$6:$A547,$A547))</f>
        <v/>
      </c>
      <c r="N547" s="8" t="str">
        <f aca="false">IF($A547="","",$A547&amp;"|"&amp;$M547)</f>
        <v/>
      </c>
    </row>
    <row r="548" customFormat="false" ht="15" hidden="false" customHeight="false" outlineLevel="0" collapsed="false">
      <c r="A548" s="6"/>
      <c r="B548" s="8" t="str">
        <f aca="false">IF($A548="","",IFERROR(INDEX(PRODUCTOS!$B$6:$B$105,MATCH($A548,PRODUCTOS!$A$6:$A$105,0)),"¿Código?"))</f>
        <v/>
      </c>
      <c r="C548" s="6"/>
      <c r="D548" s="8" t="str">
        <f aca="false">IF($C548="","",IFERROR(INDEX(INSUMOS!$B$6:$B$205,MATCH($C548,INSUMOS!$A$6:$A$205,0)),"¿Código?"))</f>
        <v/>
      </c>
      <c r="E548" s="8" t="str">
        <f aca="false">IF($C548="","",IFERROR(INDEX(INSUMOS!$D$6:$D$205,MATCH($C548,INSUMOS!$A$6:$A$205,0)),""))</f>
        <v/>
      </c>
      <c r="F548" s="39"/>
      <c r="G548" s="43" t="str">
        <f aca="false">IF(OR($A548="",$C548=""),"",IFERROR(INDEX(INSUMOS!$P$6:$P$205,MATCH($C548,INSUMOS!$A$6:$A$205,0)),0))</f>
        <v/>
      </c>
      <c r="H548" s="43" t="str">
        <f aca="false">IF(OR($A548="",$C548=""),"",N($F548)*$G548)</f>
        <v/>
      </c>
      <c r="I548" s="34" t="str">
        <f aca="false">IF(OR($A548="",$C548=""),"",IFERROR(MAX(1,INDEX(PRODUCTOS!$G$6:$G$105,MATCH($A548,PRODUCTOS!$A$6:$A$105,0))),1))</f>
        <v/>
      </c>
      <c r="J548" s="43" t="str">
        <f aca="false">IF(OR($A548="",$C548=""),"",$H548/$I548)</f>
        <v/>
      </c>
      <c r="K548" s="34" t="str">
        <f aca="false">IF(OR($A548="",$C548=""),"",SUMIFS(VENTAS!$E$6:$E$2005,VENTAS!$C$6:$C$2005,$A548))</f>
        <v/>
      </c>
      <c r="L548" s="45" t="str">
        <f aca="false">IF(OR($A548="",$C548=""),"",IFERROR(N($F548)/INDEX(INSUMOS!$I$6:$I$205,MATCH($C548,INSUMOS!$A$6:$A$205,0)),N($F548))/$I548*$K548)</f>
        <v/>
      </c>
      <c r="M548" s="8" t="str">
        <f aca="false">IF($A548="","",COUNTIF($A$6:$A548,$A548))</f>
        <v/>
      </c>
      <c r="N548" s="8" t="str">
        <f aca="false">IF($A548="","",$A548&amp;"|"&amp;$M548)</f>
        <v/>
      </c>
    </row>
    <row r="549" customFormat="false" ht="15" hidden="false" customHeight="false" outlineLevel="0" collapsed="false">
      <c r="A549" s="6"/>
      <c r="B549" s="8" t="str">
        <f aca="false">IF($A549="","",IFERROR(INDEX(PRODUCTOS!$B$6:$B$105,MATCH($A549,PRODUCTOS!$A$6:$A$105,0)),"¿Código?"))</f>
        <v/>
      </c>
      <c r="C549" s="6"/>
      <c r="D549" s="8" t="str">
        <f aca="false">IF($C549="","",IFERROR(INDEX(INSUMOS!$B$6:$B$205,MATCH($C549,INSUMOS!$A$6:$A$205,0)),"¿Código?"))</f>
        <v/>
      </c>
      <c r="E549" s="8" t="str">
        <f aca="false">IF($C549="","",IFERROR(INDEX(INSUMOS!$D$6:$D$205,MATCH($C549,INSUMOS!$A$6:$A$205,0)),""))</f>
        <v/>
      </c>
      <c r="F549" s="39"/>
      <c r="G549" s="43" t="str">
        <f aca="false">IF(OR($A549="",$C549=""),"",IFERROR(INDEX(INSUMOS!$P$6:$P$205,MATCH($C549,INSUMOS!$A$6:$A$205,0)),0))</f>
        <v/>
      </c>
      <c r="H549" s="43" t="str">
        <f aca="false">IF(OR($A549="",$C549=""),"",N($F549)*$G549)</f>
        <v/>
      </c>
      <c r="I549" s="34" t="str">
        <f aca="false">IF(OR($A549="",$C549=""),"",IFERROR(MAX(1,INDEX(PRODUCTOS!$G$6:$G$105,MATCH($A549,PRODUCTOS!$A$6:$A$105,0))),1))</f>
        <v/>
      </c>
      <c r="J549" s="43" t="str">
        <f aca="false">IF(OR($A549="",$C549=""),"",$H549/$I549)</f>
        <v/>
      </c>
      <c r="K549" s="34" t="str">
        <f aca="false">IF(OR($A549="",$C549=""),"",SUMIFS(VENTAS!$E$6:$E$2005,VENTAS!$C$6:$C$2005,$A549))</f>
        <v/>
      </c>
      <c r="L549" s="45" t="str">
        <f aca="false">IF(OR($A549="",$C549=""),"",IFERROR(N($F549)/INDEX(INSUMOS!$I$6:$I$205,MATCH($C549,INSUMOS!$A$6:$A$205,0)),N($F549))/$I549*$K549)</f>
        <v/>
      </c>
      <c r="M549" s="8" t="str">
        <f aca="false">IF($A549="","",COUNTIF($A$6:$A549,$A549))</f>
        <v/>
      </c>
      <c r="N549" s="8" t="str">
        <f aca="false">IF($A549="","",$A549&amp;"|"&amp;$M549)</f>
        <v/>
      </c>
    </row>
    <row r="550" customFormat="false" ht="15" hidden="false" customHeight="false" outlineLevel="0" collapsed="false">
      <c r="A550" s="6"/>
      <c r="B550" s="8" t="str">
        <f aca="false">IF($A550="","",IFERROR(INDEX(PRODUCTOS!$B$6:$B$105,MATCH($A550,PRODUCTOS!$A$6:$A$105,0)),"¿Código?"))</f>
        <v/>
      </c>
      <c r="C550" s="6"/>
      <c r="D550" s="8" t="str">
        <f aca="false">IF($C550="","",IFERROR(INDEX(INSUMOS!$B$6:$B$205,MATCH($C550,INSUMOS!$A$6:$A$205,0)),"¿Código?"))</f>
        <v/>
      </c>
      <c r="E550" s="8" t="str">
        <f aca="false">IF($C550="","",IFERROR(INDEX(INSUMOS!$D$6:$D$205,MATCH($C550,INSUMOS!$A$6:$A$205,0)),""))</f>
        <v/>
      </c>
      <c r="F550" s="39"/>
      <c r="G550" s="43" t="str">
        <f aca="false">IF(OR($A550="",$C550=""),"",IFERROR(INDEX(INSUMOS!$P$6:$P$205,MATCH($C550,INSUMOS!$A$6:$A$205,0)),0))</f>
        <v/>
      </c>
      <c r="H550" s="43" t="str">
        <f aca="false">IF(OR($A550="",$C550=""),"",N($F550)*$G550)</f>
        <v/>
      </c>
      <c r="I550" s="34" t="str">
        <f aca="false">IF(OR($A550="",$C550=""),"",IFERROR(MAX(1,INDEX(PRODUCTOS!$G$6:$G$105,MATCH($A550,PRODUCTOS!$A$6:$A$105,0))),1))</f>
        <v/>
      </c>
      <c r="J550" s="43" t="str">
        <f aca="false">IF(OR($A550="",$C550=""),"",$H550/$I550)</f>
        <v/>
      </c>
      <c r="K550" s="34" t="str">
        <f aca="false">IF(OR($A550="",$C550=""),"",SUMIFS(VENTAS!$E$6:$E$2005,VENTAS!$C$6:$C$2005,$A550))</f>
        <v/>
      </c>
      <c r="L550" s="45" t="str">
        <f aca="false">IF(OR($A550="",$C550=""),"",IFERROR(N($F550)/INDEX(INSUMOS!$I$6:$I$205,MATCH($C550,INSUMOS!$A$6:$A$205,0)),N($F550))/$I550*$K550)</f>
        <v/>
      </c>
      <c r="M550" s="8" t="str">
        <f aca="false">IF($A550="","",COUNTIF($A$6:$A550,$A550))</f>
        <v/>
      </c>
      <c r="N550" s="8" t="str">
        <f aca="false">IF($A550="","",$A550&amp;"|"&amp;$M550)</f>
        <v/>
      </c>
    </row>
    <row r="551" customFormat="false" ht="15" hidden="false" customHeight="false" outlineLevel="0" collapsed="false">
      <c r="A551" s="6"/>
      <c r="B551" s="8" t="str">
        <f aca="false">IF($A551="","",IFERROR(INDEX(PRODUCTOS!$B$6:$B$105,MATCH($A551,PRODUCTOS!$A$6:$A$105,0)),"¿Código?"))</f>
        <v/>
      </c>
      <c r="C551" s="6"/>
      <c r="D551" s="8" t="str">
        <f aca="false">IF($C551="","",IFERROR(INDEX(INSUMOS!$B$6:$B$205,MATCH($C551,INSUMOS!$A$6:$A$205,0)),"¿Código?"))</f>
        <v/>
      </c>
      <c r="E551" s="8" t="str">
        <f aca="false">IF($C551="","",IFERROR(INDEX(INSUMOS!$D$6:$D$205,MATCH($C551,INSUMOS!$A$6:$A$205,0)),""))</f>
        <v/>
      </c>
      <c r="F551" s="39"/>
      <c r="G551" s="43" t="str">
        <f aca="false">IF(OR($A551="",$C551=""),"",IFERROR(INDEX(INSUMOS!$P$6:$P$205,MATCH($C551,INSUMOS!$A$6:$A$205,0)),0))</f>
        <v/>
      </c>
      <c r="H551" s="43" t="str">
        <f aca="false">IF(OR($A551="",$C551=""),"",N($F551)*$G551)</f>
        <v/>
      </c>
      <c r="I551" s="34" t="str">
        <f aca="false">IF(OR($A551="",$C551=""),"",IFERROR(MAX(1,INDEX(PRODUCTOS!$G$6:$G$105,MATCH($A551,PRODUCTOS!$A$6:$A$105,0))),1))</f>
        <v/>
      </c>
      <c r="J551" s="43" t="str">
        <f aca="false">IF(OR($A551="",$C551=""),"",$H551/$I551)</f>
        <v/>
      </c>
      <c r="K551" s="34" t="str">
        <f aca="false">IF(OR($A551="",$C551=""),"",SUMIFS(VENTAS!$E$6:$E$2005,VENTAS!$C$6:$C$2005,$A551))</f>
        <v/>
      </c>
      <c r="L551" s="45" t="str">
        <f aca="false">IF(OR($A551="",$C551=""),"",IFERROR(N($F551)/INDEX(INSUMOS!$I$6:$I$205,MATCH($C551,INSUMOS!$A$6:$A$205,0)),N($F551))/$I551*$K551)</f>
        <v/>
      </c>
      <c r="M551" s="8" t="str">
        <f aca="false">IF($A551="","",COUNTIF($A$6:$A551,$A551))</f>
        <v/>
      </c>
      <c r="N551" s="8" t="str">
        <f aca="false">IF($A551="","",$A551&amp;"|"&amp;$M551)</f>
        <v/>
      </c>
    </row>
    <row r="552" customFormat="false" ht="15" hidden="false" customHeight="false" outlineLevel="0" collapsed="false">
      <c r="A552" s="6"/>
      <c r="B552" s="8" t="str">
        <f aca="false">IF($A552="","",IFERROR(INDEX(PRODUCTOS!$B$6:$B$105,MATCH($A552,PRODUCTOS!$A$6:$A$105,0)),"¿Código?"))</f>
        <v/>
      </c>
      <c r="C552" s="6"/>
      <c r="D552" s="8" t="str">
        <f aca="false">IF($C552="","",IFERROR(INDEX(INSUMOS!$B$6:$B$205,MATCH($C552,INSUMOS!$A$6:$A$205,0)),"¿Código?"))</f>
        <v/>
      </c>
      <c r="E552" s="8" t="str">
        <f aca="false">IF($C552="","",IFERROR(INDEX(INSUMOS!$D$6:$D$205,MATCH($C552,INSUMOS!$A$6:$A$205,0)),""))</f>
        <v/>
      </c>
      <c r="F552" s="39"/>
      <c r="G552" s="43" t="str">
        <f aca="false">IF(OR($A552="",$C552=""),"",IFERROR(INDEX(INSUMOS!$P$6:$P$205,MATCH($C552,INSUMOS!$A$6:$A$205,0)),0))</f>
        <v/>
      </c>
      <c r="H552" s="43" t="str">
        <f aca="false">IF(OR($A552="",$C552=""),"",N($F552)*$G552)</f>
        <v/>
      </c>
      <c r="I552" s="34" t="str">
        <f aca="false">IF(OR($A552="",$C552=""),"",IFERROR(MAX(1,INDEX(PRODUCTOS!$G$6:$G$105,MATCH($A552,PRODUCTOS!$A$6:$A$105,0))),1))</f>
        <v/>
      </c>
      <c r="J552" s="43" t="str">
        <f aca="false">IF(OR($A552="",$C552=""),"",$H552/$I552)</f>
        <v/>
      </c>
      <c r="K552" s="34" t="str">
        <f aca="false">IF(OR($A552="",$C552=""),"",SUMIFS(VENTAS!$E$6:$E$2005,VENTAS!$C$6:$C$2005,$A552))</f>
        <v/>
      </c>
      <c r="L552" s="45" t="str">
        <f aca="false">IF(OR($A552="",$C552=""),"",IFERROR(N($F552)/INDEX(INSUMOS!$I$6:$I$205,MATCH($C552,INSUMOS!$A$6:$A$205,0)),N($F552))/$I552*$K552)</f>
        <v/>
      </c>
      <c r="M552" s="8" t="str">
        <f aca="false">IF($A552="","",COUNTIF($A$6:$A552,$A552))</f>
        <v/>
      </c>
      <c r="N552" s="8" t="str">
        <f aca="false">IF($A552="","",$A552&amp;"|"&amp;$M552)</f>
        <v/>
      </c>
    </row>
    <row r="553" customFormat="false" ht="15" hidden="false" customHeight="false" outlineLevel="0" collapsed="false">
      <c r="A553" s="6"/>
      <c r="B553" s="8" t="str">
        <f aca="false">IF($A553="","",IFERROR(INDEX(PRODUCTOS!$B$6:$B$105,MATCH($A553,PRODUCTOS!$A$6:$A$105,0)),"¿Código?"))</f>
        <v/>
      </c>
      <c r="C553" s="6"/>
      <c r="D553" s="8" t="str">
        <f aca="false">IF($C553="","",IFERROR(INDEX(INSUMOS!$B$6:$B$205,MATCH($C553,INSUMOS!$A$6:$A$205,0)),"¿Código?"))</f>
        <v/>
      </c>
      <c r="E553" s="8" t="str">
        <f aca="false">IF($C553="","",IFERROR(INDEX(INSUMOS!$D$6:$D$205,MATCH($C553,INSUMOS!$A$6:$A$205,0)),""))</f>
        <v/>
      </c>
      <c r="F553" s="39"/>
      <c r="G553" s="43" t="str">
        <f aca="false">IF(OR($A553="",$C553=""),"",IFERROR(INDEX(INSUMOS!$P$6:$P$205,MATCH($C553,INSUMOS!$A$6:$A$205,0)),0))</f>
        <v/>
      </c>
      <c r="H553" s="43" t="str">
        <f aca="false">IF(OR($A553="",$C553=""),"",N($F553)*$G553)</f>
        <v/>
      </c>
      <c r="I553" s="34" t="str">
        <f aca="false">IF(OR($A553="",$C553=""),"",IFERROR(MAX(1,INDEX(PRODUCTOS!$G$6:$G$105,MATCH($A553,PRODUCTOS!$A$6:$A$105,0))),1))</f>
        <v/>
      </c>
      <c r="J553" s="43" t="str">
        <f aca="false">IF(OR($A553="",$C553=""),"",$H553/$I553)</f>
        <v/>
      </c>
      <c r="K553" s="34" t="str">
        <f aca="false">IF(OR($A553="",$C553=""),"",SUMIFS(VENTAS!$E$6:$E$2005,VENTAS!$C$6:$C$2005,$A553))</f>
        <v/>
      </c>
      <c r="L553" s="45" t="str">
        <f aca="false">IF(OR($A553="",$C553=""),"",IFERROR(N($F553)/INDEX(INSUMOS!$I$6:$I$205,MATCH($C553,INSUMOS!$A$6:$A$205,0)),N($F553))/$I553*$K553)</f>
        <v/>
      </c>
      <c r="M553" s="8" t="str">
        <f aca="false">IF($A553="","",COUNTIF($A$6:$A553,$A553))</f>
        <v/>
      </c>
      <c r="N553" s="8" t="str">
        <f aca="false">IF($A553="","",$A553&amp;"|"&amp;$M553)</f>
        <v/>
      </c>
    </row>
    <row r="554" customFormat="false" ht="15" hidden="false" customHeight="false" outlineLevel="0" collapsed="false">
      <c r="A554" s="6"/>
      <c r="B554" s="8" t="str">
        <f aca="false">IF($A554="","",IFERROR(INDEX(PRODUCTOS!$B$6:$B$105,MATCH($A554,PRODUCTOS!$A$6:$A$105,0)),"¿Código?"))</f>
        <v/>
      </c>
      <c r="C554" s="6"/>
      <c r="D554" s="8" t="str">
        <f aca="false">IF($C554="","",IFERROR(INDEX(INSUMOS!$B$6:$B$205,MATCH($C554,INSUMOS!$A$6:$A$205,0)),"¿Código?"))</f>
        <v/>
      </c>
      <c r="E554" s="8" t="str">
        <f aca="false">IF($C554="","",IFERROR(INDEX(INSUMOS!$D$6:$D$205,MATCH($C554,INSUMOS!$A$6:$A$205,0)),""))</f>
        <v/>
      </c>
      <c r="F554" s="39"/>
      <c r="G554" s="43" t="str">
        <f aca="false">IF(OR($A554="",$C554=""),"",IFERROR(INDEX(INSUMOS!$P$6:$P$205,MATCH($C554,INSUMOS!$A$6:$A$205,0)),0))</f>
        <v/>
      </c>
      <c r="H554" s="43" t="str">
        <f aca="false">IF(OR($A554="",$C554=""),"",N($F554)*$G554)</f>
        <v/>
      </c>
      <c r="I554" s="34" t="str">
        <f aca="false">IF(OR($A554="",$C554=""),"",IFERROR(MAX(1,INDEX(PRODUCTOS!$G$6:$G$105,MATCH($A554,PRODUCTOS!$A$6:$A$105,0))),1))</f>
        <v/>
      </c>
      <c r="J554" s="43" t="str">
        <f aca="false">IF(OR($A554="",$C554=""),"",$H554/$I554)</f>
        <v/>
      </c>
      <c r="K554" s="34" t="str">
        <f aca="false">IF(OR($A554="",$C554=""),"",SUMIFS(VENTAS!$E$6:$E$2005,VENTAS!$C$6:$C$2005,$A554))</f>
        <v/>
      </c>
      <c r="L554" s="45" t="str">
        <f aca="false">IF(OR($A554="",$C554=""),"",IFERROR(N($F554)/INDEX(INSUMOS!$I$6:$I$205,MATCH($C554,INSUMOS!$A$6:$A$205,0)),N($F554))/$I554*$K554)</f>
        <v/>
      </c>
      <c r="M554" s="8" t="str">
        <f aca="false">IF($A554="","",COUNTIF($A$6:$A554,$A554))</f>
        <v/>
      </c>
      <c r="N554" s="8" t="str">
        <f aca="false">IF($A554="","",$A554&amp;"|"&amp;$M554)</f>
        <v/>
      </c>
    </row>
    <row r="555" customFormat="false" ht="15" hidden="false" customHeight="false" outlineLevel="0" collapsed="false">
      <c r="A555" s="6"/>
      <c r="B555" s="8" t="str">
        <f aca="false">IF($A555="","",IFERROR(INDEX(PRODUCTOS!$B$6:$B$105,MATCH($A555,PRODUCTOS!$A$6:$A$105,0)),"¿Código?"))</f>
        <v/>
      </c>
      <c r="C555" s="6"/>
      <c r="D555" s="8" t="str">
        <f aca="false">IF($C555="","",IFERROR(INDEX(INSUMOS!$B$6:$B$205,MATCH($C555,INSUMOS!$A$6:$A$205,0)),"¿Código?"))</f>
        <v/>
      </c>
      <c r="E555" s="8" t="str">
        <f aca="false">IF($C555="","",IFERROR(INDEX(INSUMOS!$D$6:$D$205,MATCH($C555,INSUMOS!$A$6:$A$205,0)),""))</f>
        <v/>
      </c>
      <c r="F555" s="39"/>
      <c r="G555" s="43" t="str">
        <f aca="false">IF(OR($A555="",$C555=""),"",IFERROR(INDEX(INSUMOS!$P$6:$P$205,MATCH($C555,INSUMOS!$A$6:$A$205,0)),0))</f>
        <v/>
      </c>
      <c r="H555" s="43" t="str">
        <f aca="false">IF(OR($A555="",$C555=""),"",N($F555)*$G555)</f>
        <v/>
      </c>
      <c r="I555" s="34" t="str">
        <f aca="false">IF(OR($A555="",$C555=""),"",IFERROR(MAX(1,INDEX(PRODUCTOS!$G$6:$G$105,MATCH($A555,PRODUCTOS!$A$6:$A$105,0))),1))</f>
        <v/>
      </c>
      <c r="J555" s="43" t="str">
        <f aca="false">IF(OR($A555="",$C555=""),"",$H555/$I555)</f>
        <v/>
      </c>
      <c r="K555" s="34" t="str">
        <f aca="false">IF(OR($A555="",$C555=""),"",SUMIFS(VENTAS!$E$6:$E$2005,VENTAS!$C$6:$C$2005,$A555))</f>
        <v/>
      </c>
      <c r="L555" s="45" t="str">
        <f aca="false">IF(OR($A555="",$C555=""),"",IFERROR(N($F555)/INDEX(INSUMOS!$I$6:$I$205,MATCH($C555,INSUMOS!$A$6:$A$205,0)),N($F555))/$I555*$K555)</f>
        <v/>
      </c>
      <c r="M555" s="8" t="str">
        <f aca="false">IF($A555="","",COUNTIF($A$6:$A555,$A555))</f>
        <v/>
      </c>
      <c r="N555" s="8" t="str">
        <f aca="false">IF($A555="","",$A555&amp;"|"&amp;$M555)</f>
        <v/>
      </c>
    </row>
    <row r="556" customFormat="false" ht="15" hidden="false" customHeight="false" outlineLevel="0" collapsed="false">
      <c r="A556" s="6"/>
      <c r="B556" s="8" t="str">
        <f aca="false">IF($A556="","",IFERROR(INDEX(PRODUCTOS!$B$6:$B$105,MATCH($A556,PRODUCTOS!$A$6:$A$105,0)),"¿Código?"))</f>
        <v/>
      </c>
      <c r="C556" s="6"/>
      <c r="D556" s="8" t="str">
        <f aca="false">IF($C556="","",IFERROR(INDEX(INSUMOS!$B$6:$B$205,MATCH($C556,INSUMOS!$A$6:$A$205,0)),"¿Código?"))</f>
        <v/>
      </c>
      <c r="E556" s="8" t="str">
        <f aca="false">IF($C556="","",IFERROR(INDEX(INSUMOS!$D$6:$D$205,MATCH($C556,INSUMOS!$A$6:$A$205,0)),""))</f>
        <v/>
      </c>
      <c r="F556" s="39"/>
      <c r="G556" s="43" t="str">
        <f aca="false">IF(OR($A556="",$C556=""),"",IFERROR(INDEX(INSUMOS!$P$6:$P$205,MATCH($C556,INSUMOS!$A$6:$A$205,0)),0))</f>
        <v/>
      </c>
      <c r="H556" s="43" t="str">
        <f aca="false">IF(OR($A556="",$C556=""),"",N($F556)*$G556)</f>
        <v/>
      </c>
      <c r="I556" s="34" t="str">
        <f aca="false">IF(OR($A556="",$C556=""),"",IFERROR(MAX(1,INDEX(PRODUCTOS!$G$6:$G$105,MATCH($A556,PRODUCTOS!$A$6:$A$105,0))),1))</f>
        <v/>
      </c>
      <c r="J556" s="43" t="str">
        <f aca="false">IF(OR($A556="",$C556=""),"",$H556/$I556)</f>
        <v/>
      </c>
      <c r="K556" s="34" t="str">
        <f aca="false">IF(OR($A556="",$C556=""),"",SUMIFS(VENTAS!$E$6:$E$2005,VENTAS!$C$6:$C$2005,$A556))</f>
        <v/>
      </c>
      <c r="L556" s="45" t="str">
        <f aca="false">IF(OR($A556="",$C556=""),"",IFERROR(N($F556)/INDEX(INSUMOS!$I$6:$I$205,MATCH($C556,INSUMOS!$A$6:$A$205,0)),N($F556))/$I556*$K556)</f>
        <v/>
      </c>
      <c r="M556" s="8" t="str">
        <f aca="false">IF($A556="","",COUNTIF($A$6:$A556,$A556))</f>
        <v/>
      </c>
      <c r="N556" s="8" t="str">
        <f aca="false">IF($A556="","",$A556&amp;"|"&amp;$M556)</f>
        <v/>
      </c>
    </row>
    <row r="557" customFormat="false" ht="15" hidden="false" customHeight="false" outlineLevel="0" collapsed="false">
      <c r="A557" s="6"/>
      <c r="B557" s="8" t="str">
        <f aca="false">IF($A557="","",IFERROR(INDEX(PRODUCTOS!$B$6:$B$105,MATCH($A557,PRODUCTOS!$A$6:$A$105,0)),"¿Código?"))</f>
        <v/>
      </c>
      <c r="C557" s="6"/>
      <c r="D557" s="8" t="str">
        <f aca="false">IF($C557="","",IFERROR(INDEX(INSUMOS!$B$6:$B$205,MATCH($C557,INSUMOS!$A$6:$A$205,0)),"¿Código?"))</f>
        <v/>
      </c>
      <c r="E557" s="8" t="str">
        <f aca="false">IF($C557="","",IFERROR(INDEX(INSUMOS!$D$6:$D$205,MATCH($C557,INSUMOS!$A$6:$A$205,0)),""))</f>
        <v/>
      </c>
      <c r="F557" s="39"/>
      <c r="G557" s="43" t="str">
        <f aca="false">IF(OR($A557="",$C557=""),"",IFERROR(INDEX(INSUMOS!$P$6:$P$205,MATCH($C557,INSUMOS!$A$6:$A$205,0)),0))</f>
        <v/>
      </c>
      <c r="H557" s="43" t="str">
        <f aca="false">IF(OR($A557="",$C557=""),"",N($F557)*$G557)</f>
        <v/>
      </c>
      <c r="I557" s="34" t="str">
        <f aca="false">IF(OR($A557="",$C557=""),"",IFERROR(MAX(1,INDEX(PRODUCTOS!$G$6:$G$105,MATCH($A557,PRODUCTOS!$A$6:$A$105,0))),1))</f>
        <v/>
      </c>
      <c r="J557" s="43" t="str">
        <f aca="false">IF(OR($A557="",$C557=""),"",$H557/$I557)</f>
        <v/>
      </c>
      <c r="K557" s="34" t="str">
        <f aca="false">IF(OR($A557="",$C557=""),"",SUMIFS(VENTAS!$E$6:$E$2005,VENTAS!$C$6:$C$2005,$A557))</f>
        <v/>
      </c>
      <c r="L557" s="45" t="str">
        <f aca="false">IF(OR($A557="",$C557=""),"",IFERROR(N($F557)/INDEX(INSUMOS!$I$6:$I$205,MATCH($C557,INSUMOS!$A$6:$A$205,0)),N($F557))/$I557*$K557)</f>
        <v/>
      </c>
      <c r="M557" s="8" t="str">
        <f aca="false">IF($A557="","",COUNTIF($A$6:$A557,$A557))</f>
        <v/>
      </c>
      <c r="N557" s="8" t="str">
        <f aca="false">IF($A557="","",$A557&amp;"|"&amp;$M557)</f>
        <v/>
      </c>
    </row>
    <row r="558" customFormat="false" ht="15" hidden="false" customHeight="false" outlineLevel="0" collapsed="false">
      <c r="A558" s="6"/>
      <c r="B558" s="8" t="str">
        <f aca="false">IF($A558="","",IFERROR(INDEX(PRODUCTOS!$B$6:$B$105,MATCH($A558,PRODUCTOS!$A$6:$A$105,0)),"¿Código?"))</f>
        <v/>
      </c>
      <c r="C558" s="6"/>
      <c r="D558" s="8" t="str">
        <f aca="false">IF($C558="","",IFERROR(INDEX(INSUMOS!$B$6:$B$205,MATCH($C558,INSUMOS!$A$6:$A$205,0)),"¿Código?"))</f>
        <v/>
      </c>
      <c r="E558" s="8" t="str">
        <f aca="false">IF($C558="","",IFERROR(INDEX(INSUMOS!$D$6:$D$205,MATCH($C558,INSUMOS!$A$6:$A$205,0)),""))</f>
        <v/>
      </c>
      <c r="F558" s="39"/>
      <c r="G558" s="43" t="str">
        <f aca="false">IF(OR($A558="",$C558=""),"",IFERROR(INDEX(INSUMOS!$P$6:$P$205,MATCH($C558,INSUMOS!$A$6:$A$205,0)),0))</f>
        <v/>
      </c>
      <c r="H558" s="43" t="str">
        <f aca="false">IF(OR($A558="",$C558=""),"",N($F558)*$G558)</f>
        <v/>
      </c>
      <c r="I558" s="34" t="str">
        <f aca="false">IF(OR($A558="",$C558=""),"",IFERROR(MAX(1,INDEX(PRODUCTOS!$G$6:$G$105,MATCH($A558,PRODUCTOS!$A$6:$A$105,0))),1))</f>
        <v/>
      </c>
      <c r="J558" s="43" t="str">
        <f aca="false">IF(OR($A558="",$C558=""),"",$H558/$I558)</f>
        <v/>
      </c>
      <c r="K558" s="34" t="str">
        <f aca="false">IF(OR($A558="",$C558=""),"",SUMIFS(VENTAS!$E$6:$E$2005,VENTAS!$C$6:$C$2005,$A558))</f>
        <v/>
      </c>
      <c r="L558" s="45" t="str">
        <f aca="false">IF(OR($A558="",$C558=""),"",IFERROR(N($F558)/INDEX(INSUMOS!$I$6:$I$205,MATCH($C558,INSUMOS!$A$6:$A$205,0)),N($F558))/$I558*$K558)</f>
        <v/>
      </c>
      <c r="M558" s="8" t="str">
        <f aca="false">IF($A558="","",COUNTIF($A$6:$A558,$A558))</f>
        <v/>
      </c>
      <c r="N558" s="8" t="str">
        <f aca="false">IF($A558="","",$A558&amp;"|"&amp;$M558)</f>
        <v/>
      </c>
    </row>
    <row r="559" customFormat="false" ht="15" hidden="false" customHeight="false" outlineLevel="0" collapsed="false">
      <c r="A559" s="6"/>
      <c r="B559" s="8" t="str">
        <f aca="false">IF($A559="","",IFERROR(INDEX(PRODUCTOS!$B$6:$B$105,MATCH($A559,PRODUCTOS!$A$6:$A$105,0)),"¿Código?"))</f>
        <v/>
      </c>
      <c r="C559" s="6"/>
      <c r="D559" s="8" t="str">
        <f aca="false">IF($C559="","",IFERROR(INDEX(INSUMOS!$B$6:$B$205,MATCH($C559,INSUMOS!$A$6:$A$205,0)),"¿Código?"))</f>
        <v/>
      </c>
      <c r="E559" s="8" t="str">
        <f aca="false">IF($C559="","",IFERROR(INDEX(INSUMOS!$D$6:$D$205,MATCH($C559,INSUMOS!$A$6:$A$205,0)),""))</f>
        <v/>
      </c>
      <c r="F559" s="39"/>
      <c r="G559" s="43" t="str">
        <f aca="false">IF(OR($A559="",$C559=""),"",IFERROR(INDEX(INSUMOS!$P$6:$P$205,MATCH($C559,INSUMOS!$A$6:$A$205,0)),0))</f>
        <v/>
      </c>
      <c r="H559" s="43" t="str">
        <f aca="false">IF(OR($A559="",$C559=""),"",N($F559)*$G559)</f>
        <v/>
      </c>
      <c r="I559" s="34" t="str">
        <f aca="false">IF(OR($A559="",$C559=""),"",IFERROR(MAX(1,INDEX(PRODUCTOS!$G$6:$G$105,MATCH($A559,PRODUCTOS!$A$6:$A$105,0))),1))</f>
        <v/>
      </c>
      <c r="J559" s="43" t="str">
        <f aca="false">IF(OR($A559="",$C559=""),"",$H559/$I559)</f>
        <v/>
      </c>
      <c r="K559" s="34" t="str">
        <f aca="false">IF(OR($A559="",$C559=""),"",SUMIFS(VENTAS!$E$6:$E$2005,VENTAS!$C$6:$C$2005,$A559))</f>
        <v/>
      </c>
      <c r="L559" s="45" t="str">
        <f aca="false">IF(OR($A559="",$C559=""),"",IFERROR(N($F559)/INDEX(INSUMOS!$I$6:$I$205,MATCH($C559,INSUMOS!$A$6:$A$205,0)),N($F559))/$I559*$K559)</f>
        <v/>
      </c>
      <c r="M559" s="8" t="str">
        <f aca="false">IF($A559="","",COUNTIF($A$6:$A559,$A559))</f>
        <v/>
      </c>
      <c r="N559" s="8" t="str">
        <f aca="false">IF($A559="","",$A559&amp;"|"&amp;$M559)</f>
        <v/>
      </c>
    </row>
    <row r="560" customFormat="false" ht="15" hidden="false" customHeight="false" outlineLevel="0" collapsed="false">
      <c r="A560" s="6"/>
      <c r="B560" s="8" t="str">
        <f aca="false">IF($A560="","",IFERROR(INDEX(PRODUCTOS!$B$6:$B$105,MATCH($A560,PRODUCTOS!$A$6:$A$105,0)),"¿Código?"))</f>
        <v/>
      </c>
      <c r="C560" s="6"/>
      <c r="D560" s="8" t="str">
        <f aca="false">IF($C560="","",IFERROR(INDEX(INSUMOS!$B$6:$B$205,MATCH($C560,INSUMOS!$A$6:$A$205,0)),"¿Código?"))</f>
        <v/>
      </c>
      <c r="E560" s="8" t="str">
        <f aca="false">IF($C560="","",IFERROR(INDEX(INSUMOS!$D$6:$D$205,MATCH($C560,INSUMOS!$A$6:$A$205,0)),""))</f>
        <v/>
      </c>
      <c r="F560" s="39"/>
      <c r="G560" s="43" t="str">
        <f aca="false">IF(OR($A560="",$C560=""),"",IFERROR(INDEX(INSUMOS!$P$6:$P$205,MATCH($C560,INSUMOS!$A$6:$A$205,0)),0))</f>
        <v/>
      </c>
      <c r="H560" s="43" t="str">
        <f aca="false">IF(OR($A560="",$C560=""),"",N($F560)*$G560)</f>
        <v/>
      </c>
      <c r="I560" s="34" t="str">
        <f aca="false">IF(OR($A560="",$C560=""),"",IFERROR(MAX(1,INDEX(PRODUCTOS!$G$6:$G$105,MATCH($A560,PRODUCTOS!$A$6:$A$105,0))),1))</f>
        <v/>
      </c>
      <c r="J560" s="43" t="str">
        <f aca="false">IF(OR($A560="",$C560=""),"",$H560/$I560)</f>
        <v/>
      </c>
      <c r="K560" s="34" t="str">
        <f aca="false">IF(OR($A560="",$C560=""),"",SUMIFS(VENTAS!$E$6:$E$2005,VENTAS!$C$6:$C$2005,$A560))</f>
        <v/>
      </c>
      <c r="L560" s="45" t="str">
        <f aca="false">IF(OR($A560="",$C560=""),"",IFERROR(N($F560)/INDEX(INSUMOS!$I$6:$I$205,MATCH($C560,INSUMOS!$A$6:$A$205,0)),N($F560))/$I560*$K560)</f>
        <v/>
      </c>
      <c r="M560" s="8" t="str">
        <f aca="false">IF($A560="","",COUNTIF($A$6:$A560,$A560))</f>
        <v/>
      </c>
      <c r="N560" s="8" t="str">
        <f aca="false">IF($A560="","",$A560&amp;"|"&amp;$M560)</f>
        <v/>
      </c>
    </row>
    <row r="561" customFormat="false" ht="15" hidden="false" customHeight="false" outlineLevel="0" collapsed="false">
      <c r="A561" s="6"/>
      <c r="B561" s="8" t="str">
        <f aca="false">IF($A561="","",IFERROR(INDEX(PRODUCTOS!$B$6:$B$105,MATCH($A561,PRODUCTOS!$A$6:$A$105,0)),"¿Código?"))</f>
        <v/>
      </c>
      <c r="C561" s="6"/>
      <c r="D561" s="8" t="str">
        <f aca="false">IF($C561="","",IFERROR(INDEX(INSUMOS!$B$6:$B$205,MATCH($C561,INSUMOS!$A$6:$A$205,0)),"¿Código?"))</f>
        <v/>
      </c>
      <c r="E561" s="8" t="str">
        <f aca="false">IF($C561="","",IFERROR(INDEX(INSUMOS!$D$6:$D$205,MATCH($C561,INSUMOS!$A$6:$A$205,0)),""))</f>
        <v/>
      </c>
      <c r="F561" s="39"/>
      <c r="G561" s="43" t="str">
        <f aca="false">IF(OR($A561="",$C561=""),"",IFERROR(INDEX(INSUMOS!$P$6:$P$205,MATCH($C561,INSUMOS!$A$6:$A$205,0)),0))</f>
        <v/>
      </c>
      <c r="H561" s="43" t="str">
        <f aca="false">IF(OR($A561="",$C561=""),"",N($F561)*$G561)</f>
        <v/>
      </c>
      <c r="I561" s="34" t="str">
        <f aca="false">IF(OR($A561="",$C561=""),"",IFERROR(MAX(1,INDEX(PRODUCTOS!$G$6:$G$105,MATCH($A561,PRODUCTOS!$A$6:$A$105,0))),1))</f>
        <v/>
      </c>
      <c r="J561" s="43" t="str">
        <f aca="false">IF(OR($A561="",$C561=""),"",$H561/$I561)</f>
        <v/>
      </c>
      <c r="K561" s="34" t="str">
        <f aca="false">IF(OR($A561="",$C561=""),"",SUMIFS(VENTAS!$E$6:$E$2005,VENTAS!$C$6:$C$2005,$A561))</f>
        <v/>
      </c>
      <c r="L561" s="45" t="str">
        <f aca="false">IF(OR($A561="",$C561=""),"",IFERROR(N($F561)/INDEX(INSUMOS!$I$6:$I$205,MATCH($C561,INSUMOS!$A$6:$A$205,0)),N($F561))/$I561*$K561)</f>
        <v/>
      </c>
      <c r="M561" s="8" t="str">
        <f aca="false">IF($A561="","",COUNTIF($A$6:$A561,$A561))</f>
        <v/>
      </c>
      <c r="N561" s="8" t="str">
        <f aca="false">IF($A561="","",$A561&amp;"|"&amp;$M561)</f>
        <v/>
      </c>
    </row>
    <row r="562" customFormat="false" ht="15" hidden="false" customHeight="false" outlineLevel="0" collapsed="false">
      <c r="A562" s="6"/>
      <c r="B562" s="8" t="str">
        <f aca="false">IF($A562="","",IFERROR(INDEX(PRODUCTOS!$B$6:$B$105,MATCH($A562,PRODUCTOS!$A$6:$A$105,0)),"¿Código?"))</f>
        <v/>
      </c>
      <c r="C562" s="6"/>
      <c r="D562" s="8" t="str">
        <f aca="false">IF($C562="","",IFERROR(INDEX(INSUMOS!$B$6:$B$205,MATCH($C562,INSUMOS!$A$6:$A$205,0)),"¿Código?"))</f>
        <v/>
      </c>
      <c r="E562" s="8" t="str">
        <f aca="false">IF($C562="","",IFERROR(INDEX(INSUMOS!$D$6:$D$205,MATCH($C562,INSUMOS!$A$6:$A$205,0)),""))</f>
        <v/>
      </c>
      <c r="F562" s="39"/>
      <c r="G562" s="43" t="str">
        <f aca="false">IF(OR($A562="",$C562=""),"",IFERROR(INDEX(INSUMOS!$P$6:$P$205,MATCH($C562,INSUMOS!$A$6:$A$205,0)),0))</f>
        <v/>
      </c>
      <c r="H562" s="43" t="str">
        <f aca="false">IF(OR($A562="",$C562=""),"",N($F562)*$G562)</f>
        <v/>
      </c>
      <c r="I562" s="34" t="str">
        <f aca="false">IF(OR($A562="",$C562=""),"",IFERROR(MAX(1,INDEX(PRODUCTOS!$G$6:$G$105,MATCH($A562,PRODUCTOS!$A$6:$A$105,0))),1))</f>
        <v/>
      </c>
      <c r="J562" s="43" t="str">
        <f aca="false">IF(OR($A562="",$C562=""),"",$H562/$I562)</f>
        <v/>
      </c>
      <c r="K562" s="34" t="str">
        <f aca="false">IF(OR($A562="",$C562=""),"",SUMIFS(VENTAS!$E$6:$E$2005,VENTAS!$C$6:$C$2005,$A562))</f>
        <v/>
      </c>
      <c r="L562" s="45" t="str">
        <f aca="false">IF(OR($A562="",$C562=""),"",IFERROR(N($F562)/INDEX(INSUMOS!$I$6:$I$205,MATCH($C562,INSUMOS!$A$6:$A$205,0)),N($F562))/$I562*$K562)</f>
        <v/>
      </c>
      <c r="M562" s="8" t="str">
        <f aca="false">IF($A562="","",COUNTIF($A$6:$A562,$A562))</f>
        <v/>
      </c>
      <c r="N562" s="8" t="str">
        <f aca="false">IF($A562="","",$A562&amp;"|"&amp;$M562)</f>
        <v/>
      </c>
    </row>
    <row r="563" customFormat="false" ht="15" hidden="false" customHeight="false" outlineLevel="0" collapsed="false">
      <c r="A563" s="6"/>
      <c r="B563" s="8" t="str">
        <f aca="false">IF($A563="","",IFERROR(INDEX(PRODUCTOS!$B$6:$B$105,MATCH($A563,PRODUCTOS!$A$6:$A$105,0)),"¿Código?"))</f>
        <v/>
      </c>
      <c r="C563" s="6"/>
      <c r="D563" s="8" t="str">
        <f aca="false">IF($C563="","",IFERROR(INDEX(INSUMOS!$B$6:$B$205,MATCH($C563,INSUMOS!$A$6:$A$205,0)),"¿Código?"))</f>
        <v/>
      </c>
      <c r="E563" s="8" t="str">
        <f aca="false">IF($C563="","",IFERROR(INDEX(INSUMOS!$D$6:$D$205,MATCH($C563,INSUMOS!$A$6:$A$205,0)),""))</f>
        <v/>
      </c>
      <c r="F563" s="39"/>
      <c r="G563" s="43" t="str">
        <f aca="false">IF(OR($A563="",$C563=""),"",IFERROR(INDEX(INSUMOS!$P$6:$P$205,MATCH($C563,INSUMOS!$A$6:$A$205,0)),0))</f>
        <v/>
      </c>
      <c r="H563" s="43" t="str">
        <f aca="false">IF(OR($A563="",$C563=""),"",N($F563)*$G563)</f>
        <v/>
      </c>
      <c r="I563" s="34" t="str">
        <f aca="false">IF(OR($A563="",$C563=""),"",IFERROR(MAX(1,INDEX(PRODUCTOS!$G$6:$G$105,MATCH($A563,PRODUCTOS!$A$6:$A$105,0))),1))</f>
        <v/>
      </c>
      <c r="J563" s="43" t="str">
        <f aca="false">IF(OR($A563="",$C563=""),"",$H563/$I563)</f>
        <v/>
      </c>
      <c r="K563" s="34" t="str">
        <f aca="false">IF(OR($A563="",$C563=""),"",SUMIFS(VENTAS!$E$6:$E$2005,VENTAS!$C$6:$C$2005,$A563))</f>
        <v/>
      </c>
      <c r="L563" s="45" t="str">
        <f aca="false">IF(OR($A563="",$C563=""),"",IFERROR(N($F563)/INDEX(INSUMOS!$I$6:$I$205,MATCH($C563,INSUMOS!$A$6:$A$205,0)),N($F563))/$I563*$K563)</f>
        <v/>
      </c>
      <c r="M563" s="8" t="str">
        <f aca="false">IF($A563="","",COUNTIF($A$6:$A563,$A563))</f>
        <v/>
      </c>
      <c r="N563" s="8" t="str">
        <f aca="false">IF($A563="","",$A563&amp;"|"&amp;$M563)</f>
        <v/>
      </c>
    </row>
    <row r="564" customFormat="false" ht="15" hidden="false" customHeight="false" outlineLevel="0" collapsed="false">
      <c r="A564" s="6"/>
      <c r="B564" s="8" t="str">
        <f aca="false">IF($A564="","",IFERROR(INDEX(PRODUCTOS!$B$6:$B$105,MATCH($A564,PRODUCTOS!$A$6:$A$105,0)),"¿Código?"))</f>
        <v/>
      </c>
      <c r="C564" s="6"/>
      <c r="D564" s="8" t="str">
        <f aca="false">IF($C564="","",IFERROR(INDEX(INSUMOS!$B$6:$B$205,MATCH($C564,INSUMOS!$A$6:$A$205,0)),"¿Código?"))</f>
        <v/>
      </c>
      <c r="E564" s="8" t="str">
        <f aca="false">IF($C564="","",IFERROR(INDEX(INSUMOS!$D$6:$D$205,MATCH($C564,INSUMOS!$A$6:$A$205,0)),""))</f>
        <v/>
      </c>
      <c r="F564" s="39"/>
      <c r="G564" s="43" t="str">
        <f aca="false">IF(OR($A564="",$C564=""),"",IFERROR(INDEX(INSUMOS!$P$6:$P$205,MATCH($C564,INSUMOS!$A$6:$A$205,0)),0))</f>
        <v/>
      </c>
      <c r="H564" s="43" t="str">
        <f aca="false">IF(OR($A564="",$C564=""),"",N($F564)*$G564)</f>
        <v/>
      </c>
      <c r="I564" s="34" t="str">
        <f aca="false">IF(OR($A564="",$C564=""),"",IFERROR(MAX(1,INDEX(PRODUCTOS!$G$6:$G$105,MATCH($A564,PRODUCTOS!$A$6:$A$105,0))),1))</f>
        <v/>
      </c>
      <c r="J564" s="43" t="str">
        <f aca="false">IF(OR($A564="",$C564=""),"",$H564/$I564)</f>
        <v/>
      </c>
      <c r="K564" s="34" t="str">
        <f aca="false">IF(OR($A564="",$C564=""),"",SUMIFS(VENTAS!$E$6:$E$2005,VENTAS!$C$6:$C$2005,$A564))</f>
        <v/>
      </c>
      <c r="L564" s="45" t="str">
        <f aca="false">IF(OR($A564="",$C564=""),"",IFERROR(N($F564)/INDEX(INSUMOS!$I$6:$I$205,MATCH($C564,INSUMOS!$A$6:$A$205,0)),N($F564))/$I564*$K564)</f>
        <v/>
      </c>
      <c r="M564" s="8" t="str">
        <f aca="false">IF($A564="","",COUNTIF($A$6:$A564,$A564))</f>
        <v/>
      </c>
      <c r="N564" s="8" t="str">
        <f aca="false">IF($A564="","",$A564&amp;"|"&amp;$M564)</f>
        <v/>
      </c>
    </row>
    <row r="565" customFormat="false" ht="15" hidden="false" customHeight="false" outlineLevel="0" collapsed="false">
      <c r="A565" s="6"/>
      <c r="B565" s="8" t="str">
        <f aca="false">IF($A565="","",IFERROR(INDEX(PRODUCTOS!$B$6:$B$105,MATCH($A565,PRODUCTOS!$A$6:$A$105,0)),"¿Código?"))</f>
        <v/>
      </c>
      <c r="C565" s="6"/>
      <c r="D565" s="8" t="str">
        <f aca="false">IF($C565="","",IFERROR(INDEX(INSUMOS!$B$6:$B$205,MATCH($C565,INSUMOS!$A$6:$A$205,0)),"¿Código?"))</f>
        <v/>
      </c>
      <c r="E565" s="8" t="str">
        <f aca="false">IF($C565="","",IFERROR(INDEX(INSUMOS!$D$6:$D$205,MATCH($C565,INSUMOS!$A$6:$A$205,0)),""))</f>
        <v/>
      </c>
      <c r="F565" s="39"/>
      <c r="G565" s="43" t="str">
        <f aca="false">IF(OR($A565="",$C565=""),"",IFERROR(INDEX(INSUMOS!$P$6:$P$205,MATCH($C565,INSUMOS!$A$6:$A$205,0)),0))</f>
        <v/>
      </c>
      <c r="H565" s="43" t="str">
        <f aca="false">IF(OR($A565="",$C565=""),"",N($F565)*$G565)</f>
        <v/>
      </c>
      <c r="I565" s="34" t="str">
        <f aca="false">IF(OR($A565="",$C565=""),"",IFERROR(MAX(1,INDEX(PRODUCTOS!$G$6:$G$105,MATCH($A565,PRODUCTOS!$A$6:$A$105,0))),1))</f>
        <v/>
      </c>
      <c r="J565" s="43" t="str">
        <f aca="false">IF(OR($A565="",$C565=""),"",$H565/$I565)</f>
        <v/>
      </c>
      <c r="K565" s="34" t="str">
        <f aca="false">IF(OR($A565="",$C565=""),"",SUMIFS(VENTAS!$E$6:$E$2005,VENTAS!$C$6:$C$2005,$A565))</f>
        <v/>
      </c>
      <c r="L565" s="45" t="str">
        <f aca="false">IF(OR($A565="",$C565=""),"",IFERROR(N($F565)/INDEX(INSUMOS!$I$6:$I$205,MATCH($C565,INSUMOS!$A$6:$A$205,0)),N($F565))/$I565*$K565)</f>
        <v/>
      </c>
      <c r="M565" s="8" t="str">
        <f aca="false">IF($A565="","",COUNTIF($A$6:$A565,$A565))</f>
        <v/>
      </c>
      <c r="N565" s="8" t="str">
        <f aca="false">IF($A565="","",$A565&amp;"|"&amp;$M565)</f>
        <v/>
      </c>
    </row>
    <row r="566" customFormat="false" ht="15" hidden="false" customHeight="false" outlineLevel="0" collapsed="false">
      <c r="A566" s="6"/>
      <c r="B566" s="8" t="str">
        <f aca="false">IF($A566="","",IFERROR(INDEX(PRODUCTOS!$B$6:$B$105,MATCH($A566,PRODUCTOS!$A$6:$A$105,0)),"¿Código?"))</f>
        <v/>
      </c>
      <c r="C566" s="6"/>
      <c r="D566" s="8" t="str">
        <f aca="false">IF($C566="","",IFERROR(INDEX(INSUMOS!$B$6:$B$205,MATCH($C566,INSUMOS!$A$6:$A$205,0)),"¿Código?"))</f>
        <v/>
      </c>
      <c r="E566" s="8" t="str">
        <f aca="false">IF($C566="","",IFERROR(INDEX(INSUMOS!$D$6:$D$205,MATCH($C566,INSUMOS!$A$6:$A$205,0)),""))</f>
        <v/>
      </c>
      <c r="F566" s="39"/>
      <c r="G566" s="43" t="str">
        <f aca="false">IF(OR($A566="",$C566=""),"",IFERROR(INDEX(INSUMOS!$P$6:$P$205,MATCH($C566,INSUMOS!$A$6:$A$205,0)),0))</f>
        <v/>
      </c>
      <c r="H566" s="43" t="str">
        <f aca="false">IF(OR($A566="",$C566=""),"",N($F566)*$G566)</f>
        <v/>
      </c>
      <c r="I566" s="34" t="str">
        <f aca="false">IF(OR($A566="",$C566=""),"",IFERROR(MAX(1,INDEX(PRODUCTOS!$G$6:$G$105,MATCH($A566,PRODUCTOS!$A$6:$A$105,0))),1))</f>
        <v/>
      </c>
      <c r="J566" s="43" t="str">
        <f aca="false">IF(OR($A566="",$C566=""),"",$H566/$I566)</f>
        <v/>
      </c>
      <c r="K566" s="34" t="str">
        <f aca="false">IF(OR($A566="",$C566=""),"",SUMIFS(VENTAS!$E$6:$E$2005,VENTAS!$C$6:$C$2005,$A566))</f>
        <v/>
      </c>
      <c r="L566" s="45" t="str">
        <f aca="false">IF(OR($A566="",$C566=""),"",IFERROR(N($F566)/INDEX(INSUMOS!$I$6:$I$205,MATCH($C566,INSUMOS!$A$6:$A$205,0)),N($F566))/$I566*$K566)</f>
        <v/>
      </c>
      <c r="M566" s="8" t="str">
        <f aca="false">IF($A566="","",COUNTIF($A$6:$A566,$A566))</f>
        <v/>
      </c>
      <c r="N566" s="8" t="str">
        <f aca="false">IF($A566="","",$A566&amp;"|"&amp;$M566)</f>
        <v/>
      </c>
    </row>
    <row r="567" customFormat="false" ht="15" hidden="false" customHeight="false" outlineLevel="0" collapsed="false">
      <c r="A567" s="6"/>
      <c r="B567" s="8" t="str">
        <f aca="false">IF($A567="","",IFERROR(INDEX(PRODUCTOS!$B$6:$B$105,MATCH($A567,PRODUCTOS!$A$6:$A$105,0)),"¿Código?"))</f>
        <v/>
      </c>
      <c r="C567" s="6"/>
      <c r="D567" s="8" t="str">
        <f aca="false">IF($C567="","",IFERROR(INDEX(INSUMOS!$B$6:$B$205,MATCH($C567,INSUMOS!$A$6:$A$205,0)),"¿Código?"))</f>
        <v/>
      </c>
      <c r="E567" s="8" t="str">
        <f aca="false">IF($C567="","",IFERROR(INDEX(INSUMOS!$D$6:$D$205,MATCH($C567,INSUMOS!$A$6:$A$205,0)),""))</f>
        <v/>
      </c>
      <c r="F567" s="39"/>
      <c r="G567" s="43" t="str">
        <f aca="false">IF(OR($A567="",$C567=""),"",IFERROR(INDEX(INSUMOS!$P$6:$P$205,MATCH($C567,INSUMOS!$A$6:$A$205,0)),0))</f>
        <v/>
      </c>
      <c r="H567" s="43" t="str">
        <f aca="false">IF(OR($A567="",$C567=""),"",N($F567)*$G567)</f>
        <v/>
      </c>
      <c r="I567" s="34" t="str">
        <f aca="false">IF(OR($A567="",$C567=""),"",IFERROR(MAX(1,INDEX(PRODUCTOS!$G$6:$G$105,MATCH($A567,PRODUCTOS!$A$6:$A$105,0))),1))</f>
        <v/>
      </c>
      <c r="J567" s="43" t="str">
        <f aca="false">IF(OR($A567="",$C567=""),"",$H567/$I567)</f>
        <v/>
      </c>
      <c r="K567" s="34" t="str">
        <f aca="false">IF(OR($A567="",$C567=""),"",SUMIFS(VENTAS!$E$6:$E$2005,VENTAS!$C$6:$C$2005,$A567))</f>
        <v/>
      </c>
      <c r="L567" s="45" t="str">
        <f aca="false">IF(OR($A567="",$C567=""),"",IFERROR(N($F567)/INDEX(INSUMOS!$I$6:$I$205,MATCH($C567,INSUMOS!$A$6:$A$205,0)),N($F567))/$I567*$K567)</f>
        <v/>
      </c>
      <c r="M567" s="8" t="str">
        <f aca="false">IF($A567="","",COUNTIF($A$6:$A567,$A567))</f>
        <v/>
      </c>
      <c r="N567" s="8" t="str">
        <f aca="false">IF($A567="","",$A567&amp;"|"&amp;$M567)</f>
        <v/>
      </c>
    </row>
    <row r="568" customFormat="false" ht="15" hidden="false" customHeight="false" outlineLevel="0" collapsed="false">
      <c r="A568" s="6"/>
      <c r="B568" s="8" t="str">
        <f aca="false">IF($A568="","",IFERROR(INDEX(PRODUCTOS!$B$6:$B$105,MATCH($A568,PRODUCTOS!$A$6:$A$105,0)),"¿Código?"))</f>
        <v/>
      </c>
      <c r="C568" s="6"/>
      <c r="D568" s="8" t="str">
        <f aca="false">IF($C568="","",IFERROR(INDEX(INSUMOS!$B$6:$B$205,MATCH($C568,INSUMOS!$A$6:$A$205,0)),"¿Código?"))</f>
        <v/>
      </c>
      <c r="E568" s="8" t="str">
        <f aca="false">IF($C568="","",IFERROR(INDEX(INSUMOS!$D$6:$D$205,MATCH($C568,INSUMOS!$A$6:$A$205,0)),""))</f>
        <v/>
      </c>
      <c r="F568" s="39"/>
      <c r="G568" s="43" t="str">
        <f aca="false">IF(OR($A568="",$C568=""),"",IFERROR(INDEX(INSUMOS!$P$6:$P$205,MATCH($C568,INSUMOS!$A$6:$A$205,0)),0))</f>
        <v/>
      </c>
      <c r="H568" s="43" t="str">
        <f aca="false">IF(OR($A568="",$C568=""),"",N($F568)*$G568)</f>
        <v/>
      </c>
      <c r="I568" s="34" t="str">
        <f aca="false">IF(OR($A568="",$C568=""),"",IFERROR(MAX(1,INDEX(PRODUCTOS!$G$6:$G$105,MATCH($A568,PRODUCTOS!$A$6:$A$105,0))),1))</f>
        <v/>
      </c>
      <c r="J568" s="43" t="str">
        <f aca="false">IF(OR($A568="",$C568=""),"",$H568/$I568)</f>
        <v/>
      </c>
      <c r="K568" s="34" t="str">
        <f aca="false">IF(OR($A568="",$C568=""),"",SUMIFS(VENTAS!$E$6:$E$2005,VENTAS!$C$6:$C$2005,$A568))</f>
        <v/>
      </c>
      <c r="L568" s="45" t="str">
        <f aca="false">IF(OR($A568="",$C568=""),"",IFERROR(N($F568)/INDEX(INSUMOS!$I$6:$I$205,MATCH($C568,INSUMOS!$A$6:$A$205,0)),N($F568))/$I568*$K568)</f>
        <v/>
      </c>
      <c r="M568" s="8" t="str">
        <f aca="false">IF($A568="","",COUNTIF($A$6:$A568,$A568))</f>
        <v/>
      </c>
      <c r="N568" s="8" t="str">
        <f aca="false">IF($A568="","",$A568&amp;"|"&amp;$M568)</f>
        <v/>
      </c>
    </row>
    <row r="569" customFormat="false" ht="15" hidden="false" customHeight="false" outlineLevel="0" collapsed="false">
      <c r="A569" s="6"/>
      <c r="B569" s="8" t="str">
        <f aca="false">IF($A569="","",IFERROR(INDEX(PRODUCTOS!$B$6:$B$105,MATCH($A569,PRODUCTOS!$A$6:$A$105,0)),"¿Código?"))</f>
        <v/>
      </c>
      <c r="C569" s="6"/>
      <c r="D569" s="8" t="str">
        <f aca="false">IF($C569="","",IFERROR(INDEX(INSUMOS!$B$6:$B$205,MATCH($C569,INSUMOS!$A$6:$A$205,0)),"¿Código?"))</f>
        <v/>
      </c>
      <c r="E569" s="8" t="str">
        <f aca="false">IF($C569="","",IFERROR(INDEX(INSUMOS!$D$6:$D$205,MATCH($C569,INSUMOS!$A$6:$A$205,0)),""))</f>
        <v/>
      </c>
      <c r="F569" s="39"/>
      <c r="G569" s="43" t="str">
        <f aca="false">IF(OR($A569="",$C569=""),"",IFERROR(INDEX(INSUMOS!$P$6:$P$205,MATCH($C569,INSUMOS!$A$6:$A$205,0)),0))</f>
        <v/>
      </c>
      <c r="H569" s="43" t="str">
        <f aca="false">IF(OR($A569="",$C569=""),"",N($F569)*$G569)</f>
        <v/>
      </c>
      <c r="I569" s="34" t="str">
        <f aca="false">IF(OR($A569="",$C569=""),"",IFERROR(MAX(1,INDEX(PRODUCTOS!$G$6:$G$105,MATCH($A569,PRODUCTOS!$A$6:$A$105,0))),1))</f>
        <v/>
      </c>
      <c r="J569" s="43" t="str">
        <f aca="false">IF(OR($A569="",$C569=""),"",$H569/$I569)</f>
        <v/>
      </c>
      <c r="K569" s="34" t="str">
        <f aca="false">IF(OR($A569="",$C569=""),"",SUMIFS(VENTAS!$E$6:$E$2005,VENTAS!$C$6:$C$2005,$A569))</f>
        <v/>
      </c>
      <c r="L569" s="45" t="str">
        <f aca="false">IF(OR($A569="",$C569=""),"",IFERROR(N($F569)/INDEX(INSUMOS!$I$6:$I$205,MATCH($C569,INSUMOS!$A$6:$A$205,0)),N($F569))/$I569*$K569)</f>
        <v/>
      </c>
      <c r="M569" s="8" t="str">
        <f aca="false">IF($A569="","",COUNTIF($A$6:$A569,$A569))</f>
        <v/>
      </c>
      <c r="N569" s="8" t="str">
        <f aca="false">IF($A569="","",$A569&amp;"|"&amp;$M569)</f>
        <v/>
      </c>
    </row>
    <row r="570" customFormat="false" ht="15" hidden="false" customHeight="false" outlineLevel="0" collapsed="false">
      <c r="A570" s="6"/>
      <c r="B570" s="8" t="str">
        <f aca="false">IF($A570="","",IFERROR(INDEX(PRODUCTOS!$B$6:$B$105,MATCH($A570,PRODUCTOS!$A$6:$A$105,0)),"¿Código?"))</f>
        <v/>
      </c>
      <c r="C570" s="6"/>
      <c r="D570" s="8" t="str">
        <f aca="false">IF($C570="","",IFERROR(INDEX(INSUMOS!$B$6:$B$205,MATCH($C570,INSUMOS!$A$6:$A$205,0)),"¿Código?"))</f>
        <v/>
      </c>
      <c r="E570" s="8" t="str">
        <f aca="false">IF($C570="","",IFERROR(INDEX(INSUMOS!$D$6:$D$205,MATCH($C570,INSUMOS!$A$6:$A$205,0)),""))</f>
        <v/>
      </c>
      <c r="F570" s="39"/>
      <c r="G570" s="43" t="str">
        <f aca="false">IF(OR($A570="",$C570=""),"",IFERROR(INDEX(INSUMOS!$P$6:$P$205,MATCH($C570,INSUMOS!$A$6:$A$205,0)),0))</f>
        <v/>
      </c>
      <c r="H570" s="43" t="str">
        <f aca="false">IF(OR($A570="",$C570=""),"",N($F570)*$G570)</f>
        <v/>
      </c>
      <c r="I570" s="34" t="str">
        <f aca="false">IF(OR($A570="",$C570=""),"",IFERROR(MAX(1,INDEX(PRODUCTOS!$G$6:$G$105,MATCH($A570,PRODUCTOS!$A$6:$A$105,0))),1))</f>
        <v/>
      </c>
      <c r="J570" s="43" t="str">
        <f aca="false">IF(OR($A570="",$C570=""),"",$H570/$I570)</f>
        <v/>
      </c>
      <c r="K570" s="34" t="str">
        <f aca="false">IF(OR($A570="",$C570=""),"",SUMIFS(VENTAS!$E$6:$E$2005,VENTAS!$C$6:$C$2005,$A570))</f>
        <v/>
      </c>
      <c r="L570" s="45" t="str">
        <f aca="false">IF(OR($A570="",$C570=""),"",IFERROR(N($F570)/INDEX(INSUMOS!$I$6:$I$205,MATCH($C570,INSUMOS!$A$6:$A$205,0)),N($F570))/$I570*$K570)</f>
        <v/>
      </c>
      <c r="M570" s="8" t="str">
        <f aca="false">IF($A570="","",COUNTIF($A$6:$A570,$A570))</f>
        <v/>
      </c>
      <c r="N570" s="8" t="str">
        <f aca="false">IF($A570="","",$A570&amp;"|"&amp;$M570)</f>
        <v/>
      </c>
    </row>
    <row r="571" customFormat="false" ht="15" hidden="false" customHeight="false" outlineLevel="0" collapsed="false">
      <c r="A571" s="6"/>
      <c r="B571" s="8" t="str">
        <f aca="false">IF($A571="","",IFERROR(INDEX(PRODUCTOS!$B$6:$B$105,MATCH($A571,PRODUCTOS!$A$6:$A$105,0)),"¿Código?"))</f>
        <v/>
      </c>
      <c r="C571" s="6"/>
      <c r="D571" s="8" t="str">
        <f aca="false">IF($C571="","",IFERROR(INDEX(INSUMOS!$B$6:$B$205,MATCH($C571,INSUMOS!$A$6:$A$205,0)),"¿Código?"))</f>
        <v/>
      </c>
      <c r="E571" s="8" t="str">
        <f aca="false">IF($C571="","",IFERROR(INDEX(INSUMOS!$D$6:$D$205,MATCH($C571,INSUMOS!$A$6:$A$205,0)),""))</f>
        <v/>
      </c>
      <c r="F571" s="39"/>
      <c r="G571" s="43" t="str">
        <f aca="false">IF(OR($A571="",$C571=""),"",IFERROR(INDEX(INSUMOS!$P$6:$P$205,MATCH($C571,INSUMOS!$A$6:$A$205,0)),0))</f>
        <v/>
      </c>
      <c r="H571" s="43" t="str">
        <f aca="false">IF(OR($A571="",$C571=""),"",N($F571)*$G571)</f>
        <v/>
      </c>
      <c r="I571" s="34" t="str">
        <f aca="false">IF(OR($A571="",$C571=""),"",IFERROR(MAX(1,INDEX(PRODUCTOS!$G$6:$G$105,MATCH($A571,PRODUCTOS!$A$6:$A$105,0))),1))</f>
        <v/>
      </c>
      <c r="J571" s="43" t="str">
        <f aca="false">IF(OR($A571="",$C571=""),"",$H571/$I571)</f>
        <v/>
      </c>
      <c r="K571" s="34" t="str">
        <f aca="false">IF(OR($A571="",$C571=""),"",SUMIFS(VENTAS!$E$6:$E$2005,VENTAS!$C$6:$C$2005,$A571))</f>
        <v/>
      </c>
      <c r="L571" s="45" t="str">
        <f aca="false">IF(OR($A571="",$C571=""),"",IFERROR(N($F571)/INDEX(INSUMOS!$I$6:$I$205,MATCH($C571,INSUMOS!$A$6:$A$205,0)),N($F571))/$I571*$K571)</f>
        <v/>
      </c>
      <c r="M571" s="8" t="str">
        <f aca="false">IF($A571="","",COUNTIF($A$6:$A571,$A571))</f>
        <v/>
      </c>
      <c r="N571" s="8" t="str">
        <f aca="false">IF($A571="","",$A571&amp;"|"&amp;$M571)</f>
        <v/>
      </c>
    </row>
    <row r="572" customFormat="false" ht="15" hidden="false" customHeight="false" outlineLevel="0" collapsed="false">
      <c r="A572" s="6"/>
      <c r="B572" s="8" t="str">
        <f aca="false">IF($A572="","",IFERROR(INDEX(PRODUCTOS!$B$6:$B$105,MATCH($A572,PRODUCTOS!$A$6:$A$105,0)),"¿Código?"))</f>
        <v/>
      </c>
      <c r="C572" s="6"/>
      <c r="D572" s="8" t="str">
        <f aca="false">IF($C572="","",IFERROR(INDEX(INSUMOS!$B$6:$B$205,MATCH($C572,INSUMOS!$A$6:$A$205,0)),"¿Código?"))</f>
        <v/>
      </c>
      <c r="E572" s="8" t="str">
        <f aca="false">IF($C572="","",IFERROR(INDEX(INSUMOS!$D$6:$D$205,MATCH($C572,INSUMOS!$A$6:$A$205,0)),""))</f>
        <v/>
      </c>
      <c r="F572" s="39"/>
      <c r="G572" s="43" t="str">
        <f aca="false">IF(OR($A572="",$C572=""),"",IFERROR(INDEX(INSUMOS!$P$6:$P$205,MATCH($C572,INSUMOS!$A$6:$A$205,0)),0))</f>
        <v/>
      </c>
      <c r="H572" s="43" t="str">
        <f aca="false">IF(OR($A572="",$C572=""),"",N($F572)*$G572)</f>
        <v/>
      </c>
      <c r="I572" s="34" t="str">
        <f aca="false">IF(OR($A572="",$C572=""),"",IFERROR(MAX(1,INDEX(PRODUCTOS!$G$6:$G$105,MATCH($A572,PRODUCTOS!$A$6:$A$105,0))),1))</f>
        <v/>
      </c>
      <c r="J572" s="43" t="str">
        <f aca="false">IF(OR($A572="",$C572=""),"",$H572/$I572)</f>
        <v/>
      </c>
      <c r="K572" s="34" t="str">
        <f aca="false">IF(OR($A572="",$C572=""),"",SUMIFS(VENTAS!$E$6:$E$2005,VENTAS!$C$6:$C$2005,$A572))</f>
        <v/>
      </c>
      <c r="L572" s="45" t="str">
        <f aca="false">IF(OR($A572="",$C572=""),"",IFERROR(N($F572)/INDEX(INSUMOS!$I$6:$I$205,MATCH($C572,INSUMOS!$A$6:$A$205,0)),N($F572))/$I572*$K572)</f>
        <v/>
      </c>
      <c r="M572" s="8" t="str">
        <f aca="false">IF($A572="","",COUNTIF($A$6:$A572,$A572))</f>
        <v/>
      </c>
      <c r="N572" s="8" t="str">
        <f aca="false">IF($A572="","",$A572&amp;"|"&amp;$M572)</f>
        <v/>
      </c>
    </row>
    <row r="573" customFormat="false" ht="15" hidden="false" customHeight="false" outlineLevel="0" collapsed="false">
      <c r="A573" s="6"/>
      <c r="B573" s="8" t="str">
        <f aca="false">IF($A573="","",IFERROR(INDEX(PRODUCTOS!$B$6:$B$105,MATCH($A573,PRODUCTOS!$A$6:$A$105,0)),"¿Código?"))</f>
        <v/>
      </c>
      <c r="C573" s="6"/>
      <c r="D573" s="8" t="str">
        <f aca="false">IF($C573="","",IFERROR(INDEX(INSUMOS!$B$6:$B$205,MATCH($C573,INSUMOS!$A$6:$A$205,0)),"¿Código?"))</f>
        <v/>
      </c>
      <c r="E573" s="8" t="str">
        <f aca="false">IF($C573="","",IFERROR(INDEX(INSUMOS!$D$6:$D$205,MATCH($C573,INSUMOS!$A$6:$A$205,0)),""))</f>
        <v/>
      </c>
      <c r="F573" s="39"/>
      <c r="G573" s="43" t="str">
        <f aca="false">IF(OR($A573="",$C573=""),"",IFERROR(INDEX(INSUMOS!$P$6:$P$205,MATCH($C573,INSUMOS!$A$6:$A$205,0)),0))</f>
        <v/>
      </c>
      <c r="H573" s="43" t="str">
        <f aca="false">IF(OR($A573="",$C573=""),"",N($F573)*$G573)</f>
        <v/>
      </c>
      <c r="I573" s="34" t="str">
        <f aca="false">IF(OR($A573="",$C573=""),"",IFERROR(MAX(1,INDEX(PRODUCTOS!$G$6:$G$105,MATCH($A573,PRODUCTOS!$A$6:$A$105,0))),1))</f>
        <v/>
      </c>
      <c r="J573" s="43" t="str">
        <f aca="false">IF(OR($A573="",$C573=""),"",$H573/$I573)</f>
        <v/>
      </c>
      <c r="K573" s="34" t="str">
        <f aca="false">IF(OR($A573="",$C573=""),"",SUMIFS(VENTAS!$E$6:$E$2005,VENTAS!$C$6:$C$2005,$A573))</f>
        <v/>
      </c>
      <c r="L573" s="45" t="str">
        <f aca="false">IF(OR($A573="",$C573=""),"",IFERROR(N($F573)/INDEX(INSUMOS!$I$6:$I$205,MATCH($C573,INSUMOS!$A$6:$A$205,0)),N($F573))/$I573*$K573)</f>
        <v/>
      </c>
      <c r="M573" s="8" t="str">
        <f aca="false">IF($A573="","",COUNTIF($A$6:$A573,$A573))</f>
        <v/>
      </c>
      <c r="N573" s="8" t="str">
        <f aca="false">IF($A573="","",$A573&amp;"|"&amp;$M573)</f>
        <v/>
      </c>
    </row>
    <row r="574" customFormat="false" ht="15" hidden="false" customHeight="false" outlineLevel="0" collapsed="false">
      <c r="A574" s="6"/>
      <c r="B574" s="8" t="str">
        <f aca="false">IF($A574="","",IFERROR(INDEX(PRODUCTOS!$B$6:$B$105,MATCH($A574,PRODUCTOS!$A$6:$A$105,0)),"¿Código?"))</f>
        <v/>
      </c>
      <c r="C574" s="6"/>
      <c r="D574" s="8" t="str">
        <f aca="false">IF($C574="","",IFERROR(INDEX(INSUMOS!$B$6:$B$205,MATCH($C574,INSUMOS!$A$6:$A$205,0)),"¿Código?"))</f>
        <v/>
      </c>
      <c r="E574" s="8" t="str">
        <f aca="false">IF($C574="","",IFERROR(INDEX(INSUMOS!$D$6:$D$205,MATCH($C574,INSUMOS!$A$6:$A$205,0)),""))</f>
        <v/>
      </c>
      <c r="F574" s="39"/>
      <c r="G574" s="43" t="str">
        <f aca="false">IF(OR($A574="",$C574=""),"",IFERROR(INDEX(INSUMOS!$P$6:$P$205,MATCH($C574,INSUMOS!$A$6:$A$205,0)),0))</f>
        <v/>
      </c>
      <c r="H574" s="43" t="str">
        <f aca="false">IF(OR($A574="",$C574=""),"",N($F574)*$G574)</f>
        <v/>
      </c>
      <c r="I574" s="34" t="str">
        <f aca="false">IF(OR($A574="",$C574=""),"",IFERROR(MAX(1,INDEX(PRODUCTOS!$G$6:$G$105,MATCH($A574,PRODUCTOS!$A$6:$A$105,0))),1))</f>
        <v/>
      </c>
      <c r="J574" s="43" t="str">
        <f aca="false">IF(OR($A574="",$C574=""),"",$H574/$I574)</f>
        <v/>
      </c>
      <c r="K574" s="34" t="str">
        <f aca="false">IF(OR($A574="",$C574=""),"",SUMIFS(VENTAS!$E$6:$E$2005,VENTAS!$C$6:$C$2005,$A574))</f>
        <v/>
      </c>
      <c r="L574" s="45" t="str">
        <f aca="false">IF(OR($A574="",$C574=""),"",IFERROR(N($F574)/INDEX(INSUMOS!$I$6:$I$205,MATCH($C574,INSUMOS!$A$6:$A$205,0)),N($F574))/$I574*$K574)</f>
        <v/>
      </c>
      <c r="M574" s="8" t="str">
        <f aca="false">IF($A574="","",COUNTIF($A$6:$A574,$A574))</f>
        <v/>
      </c>
      <c r="N574" s="8" t="str">
        <f aca="false">IF($A574="","",$A574&amp;"|"&amp;$M574)</f>
        <v/>
      </c>
    </row>
    <row r="575" customFormat="false" ht="15" hidden="false" customHeight="false" outlineLevel="0" collapsed="false">
      <c r="A575" s="6"/>
      <c r="B575" s="8" t="str">
        <f aca="false">IF($A575="","",IFERROR(INDEX(PRODUCTOS!$B$6:$B$105,MATCH($A575,PRODUCTOS!$A$6:$A$105,0)),"¿Código?"))</f>
        <v/>
      </c>
      <c r="C575" s="6"/>
      <c r="D575" s="8" t="str">
        <f aca="false">IF($C575="","",IFERROR(INDEX(INSUMOS!$B$6:$B$205,MATCH($C575,INSUMOS!$A$6:$A$205,0)),"¿Código?"))</f>
        <v/>
      </c>
      <c r="E575" s="8" t="str">
        <f aca="false">IF($C575="","",IFERROR(INDEX(INSUMOS!$D$6:$D$205,MATCH($C575,INSUMOS!$A$6:$A$205,0)),""))</f>
        <v/>
      </c>
      <c r="F575" s="39"/>
      <c r="G575" s="43" t="str">
        <f aca="false">IF(OR($A575="",$C575=""),"",IFERROR(INDEX(INSUMOS!$P$6:$P$205,MATCH($C575,INSUMOS!$A$6:$A$205,0)),0))</f>
        <v/>
      </c>
      <c r="H575" s="43" t="str">
        <f aca="false">IF(OR($A575="",$C575=""),"",N($F575)*$G575)</f>
        <v/>
      </c>
      <c r="I575" s="34" t="str">
        <f aca="false">IF(OR($A575="",$C575=""),"",IFERROR(MAX(1,INDEX(PRODUCTOS!$G$6:$G$105,MATCH($A575,PRODUCTOS!$A$6:$A$105,0))),1))</f>
        <v/>
      </c>
      <c r="J575" s="43" t="str">
        <f aca="false">IF(OR($A575="",$C575=""),"",$H575/$I575)</f>
        <v/>
      </c>
      <c r="K575" s="34" t="str">
        <f aca="false">IF(OR($A575="",$C575=""),"",SUMIFS(VENTAS!$E$6:$E$2005,VENTAS!$C$6:$C$2005,$A575))</f>
        <v/>
      </c>
      <c r="L575" s="45" t="str">
        <f aca="false">IF(OR($A575="",$C575=""),"",IFERROR(N($F575)/INDEX(INSUMOS!$I$6:$I$205,MATCH($C575,INSUMOS!$A$6:$A$205,0)),N($F575))/$I575*$K575)</f>
        <v/>
      </c>
      <c r="M575" s="8" t="str">
        <f aca="false">IF($A575="","",COUNTIF($A$6:$A575,$A575))</f>
        <v/>
      </c>
      <c r="N575" s="8" t="str">
        <f aca="false">IF($A575="","",$A575&amp;"|"&amp;$M575)</f>
        <v/>
      </c>
    </row>
    <row r="576" customFormat="false" ht="15" hidden="false" customHeight="false" outlineLevel="0" collapsed="false">
      <c r="A576" s="6"/>
      <c r="B576" s="8" t="str">
        <f aca="false">IF($A576="","",IFERROR(INDEX(PRODUCTOS!$B$6:$B$105,MATCH($A576,PRODUCTOS!$A$6:$A$105,0)),"¿Código?"))</f>
        <v/>
      </c>
      <c r="C576" s="6"/>
      <c r="D576" s="8" t="str">
        <f aca="false">IF($C576="","",IFERROR(INDEX(INSUMOS!$B$6:$B$205,MATCH($C576,INSUMOS!$A$6:$A$205,0)),"¿Código?"))</f>
        <v/>
      </c>
      <c r="E576" s="8" t="str">
        <f aca="false">IF($C576="","",IFERROR(INDEX(INSUMOS!$D$6:$D$205,MATCH($C576,INSUMOS!$A$6:$A$205,0)),""))</f>
        <v/>
      </c>
      <c r="F576" s="39"/>
      <c r="G576" s="43" t="str">
        <f aca="false">IF(OR($A576="",$C576=""),"",IFERROR(INDEX(INSUMOS!$P$6:$P$205,MATCH($C576,INSUMOS!$A$6:$A$205,0)),0))</f>
        <v/>
      </c>
      <c r="H576" s="43" t="str">
        <f aca="false">IF(OR($A576="",$C576=""),"",N($F576)*$G576)</f>
        <v/>
      </c>
      <c r="I576" s="34" t="str">
        <f aca="false">IF(OR($A576="",$C576=""),"",IFERROR(MAX(1,INDEX(PRODUCTOS!$G$6:$G$105,MATCH($A576,PRODUCTOS!$A$6:$A$105,0))),1))</f>
        <v/>
      </c>
      <c r="J576" s="43" t="str">
        <f aca="false">IF(OR($A576="",$C576=""),"",$H576/$I576)</f>
        <v/>
      </c>
      <c r="K576" s="34" t="str">
        <f aca="false">IF(OR($A576="",$C576=""),"",SUMIFS(VENTAS!$E$6:$E$2005,VENTAS!$C$6:$C$2005,$A576))</f>
        <v/>
      </c>
      <c r="L576" s="45" t="str">
        <f aca="false">IF(OR($A576="",$C576=""),"",IFERROR(N($F576)/INDEX(INSUMOS!$I$6:$I$205,MATCH($C576,INSUMOS!$A$6:$A$205,0)),N($F576))/$I576*$K576)</f>
        <v/>
      </c>
      <c r="M576" s="8" t="str">
        <f aca="false">IF($A576="","",COUNTIF($A$6:$A576,$A576))</f>
        <v/>
      </c>
      <c r="N576" s="8" t="str">
        <f aca="false">IF($A576="","",$A576&amp;"|"&amp;$M576)</f>
        <v/>
      </c>
    </row>
    <row r="577" customFormat="false" ht="15" hidden="false" customHeight="false" outlineLevel="0" collapsed="false">
      <c r="A577" s="6"/>
      <c r="B577" s="8" t="str">
        <f aca="false">IF($A577="","",IFERROR(INDEX(PRODUCTOS!$B$6:$B$105,MATCH($A577,PRODUCTOS!$A$6:$A$105,0)),"¿Código?"))</f>
        <v/>
      </c>
      <c r="C577" s="6"/>
      <c r="D577" s="8" t="str">
        <f aca="false">IF($C577="","",IFERROR(INDEX(INSUMOS!$B$6:$B$205,MATCH($C577,INSUMOS!$A$6:$A$205,0)),"¿Código?"))</f>
        <v/>
      </c>
      <c r="E577" s="8" t="str">
        <f aca="false">IF($C577="","",IFERROR(INDEX(INSUMOS!$D$6:$D$205,MATCH($C577,INSUMOS!$A$6:$A$205,0)),""))</f>
        <v/>
      </c>
      <c r="F577" s="39"/>
      <c r="G577" s="43" t="str">
        <f aca="false">IF(OR($A577="",$C577=""),"",IFERROR(INDEX(INSUMOS!$P$6:$P$205,MATCH($C577,INSUMOS!$A$6:$A$205,0)),0))</f>
        <v/>
      </c>
      <c r="H577" s="43" t="str">
        <f aca="false">IF(OR($A577="",$C577=""),"",N($F577)*$G577)</f>
        <v/>
      </c>
      <c r="I577" s="34" t="str">
        <f aca="false">IF(OR($A577="",$C577=""),"",IFERROR(MAX(1,INDEX(PRODUCTOS!$G$6:$G$105,MATCH($A577,PRODUCTOS!$A$6:$A$105,0))),1))</f>
        <v/>
      </c>
      <c r="J577" s="43" t="str">
        <f aca="false">IF(OR($A577="",$C577=""),"",$H577/$I577)</f>
        <v/>
      </c>
      <c r="K577" s="34" t="str">
        <f aca="false">IF(OR($A577="",$C577=""),"",SUMIFS(VENTAS!$E$6:$E$2005,VENTAS!$C$6:$C$2005,$A577))</f>
        <v/>
      </c>
      <c r="L577" s="45" t="str">
        <f aca="false">IF(OR($A577="",$C577=""),"",IFERROR(N($F577)/INDEX(INSUMOS!$I$6:$I$205,MATCH($C577,INSUMOS!$A$6:$A$205,0)),N($F577))/$I577*$K577)</f>
        <v/>
      </c>
      <c r="M577" s="8" t="str">
        <f aca="false">IF($A577="","",COUNTIF($A$6:$A577,$A577))</f>
        <v/>
      </c>
      <c r="N577" s="8" t="str">
        <f aca="false">IF($A577="","",$A577&amp;"|"&amp;$M577)</f>
        <v/>
      </c>
    </row>
    <row r="578" customFormat="false" ht="15" hidden="false" customHeight="false" outlineLevel="0" collapsed="false">
      <c r="A578" s="6"/>
      <c r="B578" s="8" t="str">
        <f aca="false">IF($A578="","",IFERROR(INDEX(PRODUCTOS!$B$6:$B$105,MATCH($A578,PRODUCTOS!$A$6:$A$105,0)),"¿Código?"))</f>
        <v/>
      </c>
      <c r="C578" s="6"/>
      <c r="D578" s="8" t="str">
        <f aca="false">IF($C578="","",IFERROR(INDEX(INSUMOS!$B$6:$B$205,MATCH($C578,INSUMOS!$A$6:$A$205,0)),"¿Código?"))</f>
        <v/>
      </c>
      <c r="E578" s="8" t="str">
        <f aca="false">IF($C578="","",IFERROR(INDEX(INSUMOS!$D$6:$D$205,MATCH($C578,INSUMOS!$A$6:$A$205,0)),""))</f>
        <v/>
      </c>
      <c r="F578" s="39"/>
      <c r="G578" s="43" t="str">
        <f aca="false">IF(OR($A578="",$C578=""),"",IFERROR(INDEX(INSUMOS!$P$6:$P$205,MATCH($C578,INSUMOS!$A$6:$A$205,0)),0))</f>
        <v/>
      </c>
      <c r="H578" s="43" t="str">
        <f aca="false">IF(OR($A578="",$C578=""),"",N($F578)*$G578)</f>
        <v/>
      </c>
      <c r="I578" s="34" t="str">
        <f aca="false">IF(OR($A578="",$C578=""),"",IFERROR(MAX(1,INDEX(PRODUCTOS!$G$6:$G$105,MATCH($A578,PRODUCTOS!$A$6:$A$105,0))),1))</f>
        <v/>
      </c>
      <c r="J578" s="43" t="str">
        <f aca="false">IF(OR($A578="",$C578=""),"",$H578/$I578)</f>
        <v/>
      </c>
      <c r="K578" s="34" t="str">
        <f aca="false">IF(OR($A578="",$C578=""),"",SUMIFS(VENTAS!$E$6:$E$2005,VENTAS!$C$6:$C$2005,$A578))</f>
        <v/>
      </c>
      <c r="L578" s="45" t="str">
        <f aca="false">IF(OR($A578="",$C578=""),"",IFERROR(N($F578)/INDEX(INSUMOS!$I$6:$I$205,MATCH($C578,INSUMOS!$A$6:$A$205,0)),N($F578))/$I578*$K578)</f>
        <v/>
      </c>
      <c r="M578" s="8" t="str">
        <f aca="false">IF($A578="","",COUNTIF($A$6:$A578,$A578))</f>
        <v/>
      </c>
      <c r="N578" s="8" t="str">
        <f aca="false">IF($A578="","",$A578&amp;"|"&amp;$M578)</f>
        <v/>
      </c>
    </row>
    <row r="579" customFormat="false" ht="15" hidden="false" customHeight="false" outlineLevel="0" collapsed="false">
      <c r="A579" s="6"/>
      <c r="B579" s="8" t="str">
        <f aca="false">IF($A579="","",IFERROR(INDEX(PRODUCTOS!$B$6:$B$105,MATCH($A579,PRODUCTOS!$A$6:$A$105,0)),"¿Código?"))</f>
        <v/>
      </c>
      <c r="C579" s="6"/>
      <c r="D579" s="8" t="str">
        <f aca="false">IF($C579="","",IFERROR(INDEX(INSUMOS!$B$6:$B$205,MATCH($C579,INSUMOS!$A$6:$A$205,0)),"¿Código?"))</f>
        <v/>
      </c>
      <c r="E579" s="8" t="str">
        <f aca="false">IF($C579="","",IFERROR(INDEX(INSUMOS!$D$6:$D$205,MATCH($C579,INSUMOS!$A$6:$A$205,0)),""))</f>
        <v/>
      </c>
      <c r="F579" s="39"/>
      <c r="G579" s="43" t="str">
        <f aca="false">IF(OR($A579="",$C579=""),"",IFERROR(INDEX(INSUMOS!$P$6:$P$205,MATCH($C579,INSUMOS!$A$6:$A$205,0)),0))</f>
        <v/>
      </c>
      <c r="H579" s="43" t="str">
        <f aca="false">IF(OR($A579="",$C579=""),"",N($F579)*$G579)</f>
        <v/>
      </c>
      <c r="I579" s="34" t="str">
        <f aca="false">IF(OR($A579="",$C579=""),"",IFERROR(MAX(1,INDEX(PRODUCTOS!$G$6:$G$105,MATCH($A579,PRODUCTOS!$A$6:$A$105,0))),1))</f>
        <v/>
      </c>
      <c r="J579" s="43" t="str">
        <f aca="false">IF(OR($A579="",$C579=""),"",$H579/$I579)</f>
        <v/>
      </c>
      <c r="K579" s="34" t="str">
        <f aca="false">IF(OR($A579="",$C579=""),"",SUMIFS(VENTAS!$E$6:$E$2005,VENTAS!$C$6:$C$2005,$A579))</f>
        <v/>
      </c>
      <c r="L579" s="45" t="str">
        <f aca="false">IF(OR($A579="",$C579=""),"",IFERROR(N($F579)/INDEX(INSUMOS!$I$6:$I$205,MATCH($C579,INSUMOS!$A$6:$A$205,0)),N($F579))/$I579*$K579)</f>
        <v/>
      </c>
      <c r="M579" s="8" t="str">
        <f aca="false">IF($A579="","",COUNTIF($A$6:$A579,$A579))</f>
        <v/>
      </c>
      <c r="N579" s="8" t="str">
        <f aca="false">IF($A579="","",$A579&amp;"|"&amp;$M579)</f>
        <v/>
      </c>
    </row>
    <row r="580" customFormat="false" ht="15" hidden="false" customHeight="false" outlineLevel="0" collapsed="false">
      <c r="A580" s="6"/>
      <c r="B580" s="8" t="str">
        <f aca="false">IF($A580="","",IFERROR(INDEX(PRODUCTOS!$B$6:$B$105,MATCH($A580,PRODUCTOS!$A$6:$A$105,0)),"¿Código?"))</f>
        <v/>
      </c>
      <c r="C580" s="6"/>
      <c r="D580" s="8" t="str">
        <f aca="false">IF($C580="","",IFERROR(INDEX(INSUMOS!$B$6:$B$205,MATCH($C580,INSUMOS!$A$6:$A$205,0)),"¿Código?"))</f>
        <v/>
      </c>
      <c r="E580" s="8" t="str">
        <f aca="false">IF($C580="","",IFERROR(INDEX(INSUMOS!$D$6:$D$205,MATCH($C580,INSUMOS!$A$6:$A$205,0)),""))</f>
        <v/>
      </c>
      <c r="F580" s="39"/>
      <c r="G580" s="43" t="str">
        <f aca="false">IF(OR($A580="",$C580=""),"",IFERROR(INDEX(INSUMOS!$P$6:$P$205,MATCH($C580,INSUMOS!$A$6:$A$205,0)),0))</f>
        <v/>
      </c>
      <c r="H580" s="43" t="str">
        <f aca="false">IF(OR($A580="",$C580=""),"",N($F580)*$G580)</f>
        <v/>
      </c>
      <c r="I580" s="34" t="str">
        <f aca="false">IF(OR($A580="",$C580=""),"",IFERROR(MAX(1,INDEX(PRODUCTOS!$G$6:$G$105,MATCH($A580,PRODUCTOS!$A$6:$A$105,0))),1))</f>
        <v/>
      </c>
      <c r="J580" s="43" t="str">
        <f aca="false">IF(OR($A580="",$C580=""),"",$H580/$I580)</f>
        <v/>
      </c>
      <c r="K580" s="34" t="str">
        <f aca="false">IF(OR($A580="",$C580=""),"",SUMIFS(VENTAS!$E$6:$E$2005,VENTAS!$C$6:$C$2005,$A580))</f>
        <v/>
      </c>
      <c r="L580" s="45" t="str">
        <f aca="false">IF(OR($A580="",$C580=""),"",IFERROR(N($F580)/INDEX(INSUMOS!$I$6:$I$205,MATCH($C580,INSUMOS!$A$6:$A$205,0)),N($F580))/$I580*$K580)</f>
        <v/>
      </c>
      <c r="M580" s="8" t="str">
        <f aca="false">IF($A580="","",COUNTIF($A$6:$A580,$A580))</f>
        <v/>
      </c>
      <c r="N580" s="8" t="str">
        <f aca="false">IF($A580="","",$A580&amp;"|"&amp;$M580)</f>
        <v/>
      </c>
    </row>
    <row r="581" customFormat="false" ht="15" hidden="false" customHeight="false" outlineLevel="0" collapsed="false">
      <c r="A581" s="6"/>
      <c r="B581" s="8" t="str">
        <f aca="false">IF($A581="","",IFERROR(INDEX(PRODUCTOS!$B$6:$B$105,MATCH($A581,PRODUCTOS!$A$6:$A$105,0)),"¿Código?"))</f>
        <v/>
      </c>
      <c r="C581" s="6"/>
      <c r="D581" s="8" t="str">
        <f aca="false">IF($C581="","",IFERROR(INDEX(INSUMOS!$B$6:$B$205,MATCH($C581,INSUMOS!$A$6:$A$205,0)),"¿Código?"))</f>
        <v/>
      </c>
      <c r="E581" s="8" t="str">
        <f aca="false">IF($C581="","",IFERROR(INDEX(INSUMOS!$D$6:$D$205,MATCH($C581,INSUMOS!$A$6:$A$205,0)),""))</f>
        <v/>
      </c>
      <c r="F581" s="39"/>
      <c r="G581" s="43" t="str">
        <f aca="false">IF(OR($A581="",$C581=""),"",IFERROR(INDEX(INSUMOS!$P$6:$P$205,MATCH($C581,INSUMOS!$A$6:$A$205,0)),0))</f>
        <v/>
      </c>
      <c r="H581" s="43" t="str">
        <f aca="false">IF(OR($A581="",$C581=""),"",N($F581)*$G581)</f>
        <v/>
      </c>
      <c r="I581" s="34" t="str">
        <f aca="false">IF(OR($A581="",$C581=""),"",IFERROR(MAX(1,INDEX(PRODUCTOS!$G$6:$G$105,MATCH($A581,PRODUCTOS!$A$6:$A$105,0))),1))</f>
        <v/>
      </c>
      <c r="J581" s="43" t="str">
        <f aca="false">IF(OR($A581="",$C581=""),"",$H581/$I581)</f>
        <v/>
      </c>
      <c r="K581" s="34" t="str">
        <f aca="false">IF(OR($A581="",$C581=""),"",SUMIFS(VENTAS!$E$6:$E$2005,VENTAS!$C$6:$C$2005,$A581))</f>
        <v/>
      </c>
      <c r="L581" s="45" t="str">
        <f aca="false">IF(OR($A581="",$C581=""),"",IFERROR(N($F581)/INDEX(INSUMOS!$I$6:$I$205,MATCH($C581,INSUMOS!$A$6:$A$205,0)),N($F581))/$I581*$K581)</f>
        <v/>
      </c>
      <c r="M581" s="8" t="str">
        <f aca="false">IF($A581="","",COUNTIF($A$6:$A581,$A581))</f>
        <v/>
      </c>
      <c r="N581" s="8" t="str">
        <f aca="false">IF($A581="","",$A581&amp;"|"&amp;$M581)</f>
        <v/>
      </c>
    </row>
    <row r="582" customFormat="false" ht="15" hidden="false" customHeight="false" outlineLevel="0" collapsed="false">
      <c r="A582" s="6"/>
      <c r="B582" s="8" t="str">
        <f aca="false">IF($A582="","",IFERROR(INDEX(PRODUCTOS!$B$6:$B$105,MATCH($A582,PRODUCTOS!$A$6:$A$105,0)),"¿Código?"))</f>
        <v/>
      </c>
      <c r="C582" s="6"/>
      <c r="D582" s="8" t="str">
        <f aca="false">IF($C582="","",IFERROR(INDEX(INSUMOS!$B$6:$B$205,MATCH($C582,INSUMOS!$A$6:$A$205,0)),"¿Código?"))</f>
        <v/>
      </c>
      <c r="E582" s="8" t="str">
        <f aca="false">IF($C582="","",IFERROR(INDEX(INSUMOS!$D$6:$D$205,MATCH($C582,INSUMOS!$A$6:$A$205,0)),""))</f>
        <v/>
      </c>
      <c r="F582" s="39"/>
      <c r="G582" s="43" t="str">
        <f aca="false">IF(OR($A582="",$C582=""),"",IFERROR(INDEX(INSUMOS!$P$6:$P$205,MATCH($C582,INSUMOS!$A$6:$A$205,0)),0))</f>
        <v/>
      </c>
      <c r="H582" s="43" t="str">
        <f aca="false">IF(OR($A582="",$C582=""),"",N($F582)*$G582)</f>
        <v/>
      </c>
      <c r="I582" s="34" t="str">
        <f aca="false">IF(OR($A582="",$C582=""),"",IFERROR(MAX(1,INDEX(PRODUCTOS!$G$6:$G$105,MATCH($A582,PRODUCTOS!$A$6:$A$105,0))),1))</f>
        <v/>
      </c>
      <c r="J582" s="43" t="str">
        <f aca="false">IF(OR($A582="",$C582=""),"",$H582/$I582)</f>
        <v/>
      </c>
      <c r="K582" s="34" t="str">
        <f aca="false">IF(OR($A582="",$C582=""),"",SUMIFS(VENTAS!$E$6:$E$2005,VENTAS!$C$6:$C$2005,$A582))</f>
        <v/>
      </c>
      <c r="L582" s="45" t="str">
        <f aca="false">IF(OR($A582="",$C582=""),"",IFERROR(N($F582)/INDEX(INSUMOS!$I$6:$I$205,MATCH($C582,INSUMOS!$A$6:$A$205,0)),N($F582))/$I582*$K582)</f>
        <v/>
      </c>
      <c r="M582" s="8" t="str">
        <f aca="false">IF($A582="","",COUNTIF($A$6:$A582,$A582))</f>
        <v/>
      </c>
      <c r="N582" s="8" t="str">
        <f aca="false">IF($A582="","",$A582&amp;"|"&amp;$M582)</f>
        <v/>
      </c>
    </row>
    <row r="583" customFormat="false" ht="15" hidden="false" customHeight="false" outlineLevel="0" collapsed="false">
      <c r="A583" s="6"/>
      <c r="B583" s="8" t="str">
        <f aca="false">IF($A583="","",IFERROR(INDEX(PRODUCTOS!$B$6:$B$105,MATCH($A583,PRODUCTOS!$A$6:$A$105,0)),"¿Código?"))</f>
        <v/>
      </c>
      <c r="C583" s="6"/>
      <c r="D583" s="8" t="str">
        <f aca="false">IF($C583="","",IFERROR(INDEX(INSUMOS!$B$6:$B$205,MATCH($C583,INSUMOS!$A$6:$A$205,0)),"¿Código?"))</f>
        <v/>
      </c>
      <c r="E583" s="8" t="str">
        <f aca="false">IF($C583="","",IFERROR(INDEX(INSUMOS!$D$6:$D$205,MATCH($C583,INSUMOS!$A$6:$A$205,0)),""))</f>
        <v/>
      </c>
      <c r="F583" s="39"/>
      <c r="G583" s="43" t="str">
        <f aca="false">IF(OR($A583="",$C583=""),"",IFERROR(INDEX(INSUMOS!$P$6:$P$205,MATCH($C583,INSUMOS!$A$6:$A$205,0)),0))</f>
        <v/>
      </c>
      <c r="H583" s="43" t="str">
        <f aca="false">IF(OR($A583="",$C583=""),"",N($F583)*$G583)</f>
        <v/>
      </c>
      <c r="I583" s="34" t="str">
        <f aca="false">IF(OR($A583="",$C583=""),"",IFERROR(MAX(1,INDEX(PRODUCTOS!$G$6:$G$105,MATCH($A583,PRODUCTOS!$A$6:$A$105,0))),1))</f>
        <v/>
      </c>
      <c r="J583" s="43" t="str">
        <f aca="false">IF(OR($A583="",$C583=""),"",$H583/$I583)</f>
        <v/>
      </c>
      <c r="K583" s="34" t="str">
        <f aca="false">IF(OR($A583="",$C583=""),"",SUMIFS(VENTAS!$E$6:$E$2005,VENTAS!$C$6:$C$2005,$A583))</f>
        <v/>
      </c>
      <c r="L583" s="45" t="str">
        <f aca="false">IF(OR($A583="",$C583=""),"",IFERROR(N($F583)/INDEX(INSUMOS!$I$6:$I$205,MATCH($C583,INSUMOS!$A$6:$A$205,0)),N($F583))/$I583*$K583)</f>
        <v/>
      </c>
      <c r="M583" s="8" t="str">
        <f aca="false">IF($A583="","",COUNTIF($A$6:$A583,$A583))</f>
        <v/>
      </c>
      <c r="N583" s="8" t="str">
        <f aca="false">IF($A583="","",$A583&amp;"|"&amp;$M583)</f>
        <v/>
      </c>
    </row>
    <row r="584" customFormat="false" ht="15" hidden="false" customHeight="false" outlineLevel="0" collapsed="false">
      <c r="A584" s="6"/>
      <c r="B584" s="8" t="str">
        <f aca="false">IF($A584="","",IFERROR(INDEX(PRODUCTOS!$B$6:$B$105,MATCH($A584,PRODUCTOS!$A$6:$A$105,0)),"¿Código?"))</f>
        <v/>
      </c>
      <c r="C584" s="6"/>
      <c r="D584" s="8" t="str">
        <f aca="false">IF($C584="","",IFERROR(INDEX(INSUMOS!$B$6:$B$205,MATCH($C584,INSUMOS!$A$6:$A$205,0)),"¿Código?"))</f>
        <v/>
      </c>
      <c r="E584" s="8" t="str">
        <f aca="false">IF($C584="","",IFERROR(INDEX(INSUMOS!$D$6:$D$205,MATCH($C584,INSUMOS!$A$6:$A$205,0)),""))</f>
        <v/>
      </c>
      <c r="F584" s="39"/>
      <c r="G584" s="43" t="str">
        <f aca="false">IF(OR($A584="",$C584=""),"",IFERROR(INDEX(INSUMOS!$P$6:$P$205,MATCH($C584,INSUMOS!$A$6:$A$205,0)),0))</f>
        <v/>
      </c>
      <c r="H584" s="43" t="str">
        <f aca="false">IF(OR($A584="",$C584=""),"",N($F584)*$G584)</f>
        <v/>
      </c>
      <c r="I584" s="34" t="str">
        <f aca="false">IF(OR($A584="",$C584=""),"",IFERROR(MAX(1,INDEX(PRODUCTOS!$G$6:$G$105,MATCH($A584,PRODUCTOS!$A$6:$A$105,0))),1))</f>
        <v/>
      </c>
      <c r="J584" s="43" t="str">
        <f aca="false">IF(OR($A584="",$C584=""),"",$H584/$I584)</f>
        <v/>
      </c>
      <c r="K584" s="34" t="str">
        <f aca="false">IF(OR($A584="",$C584=""),"",SUMIFS(VENTAS!$E$6:$E$2005,VENTAS!$C$6:$C$2005,$A584))</f>
        <v/>
      </c>
      <c r="L584" s="45" t="str">
        <f aca="false">IF(OR($A584="",$C584=""),"",IFERROR(N($F584)/INDEX(INSUMOS!$I$6:$I$205,MATCH($C584,INSUMOS!$A$6:$A$205,0)),N($F584))/$I584*$K584)</f>
        <v/>
      </c>
      <c r="M584" s="8" t="str">
        <f aca="false">IF($A584="","",COUNTIF($A$6:$A584,$A584))</f>
        <v/>
      </c>
      <c r="N584" s="8" t="str">
        <f aca="false">IF($A584="","",$A584&amp;"|"&amp;$M584)</f>
        <v/>
      </c>
    </row>
    <row r="585" customFormat="false" ht="15" hidden="false" customHeight="false" outlineLevel="0" collapsed="false">
      <c r="A585" s="6"/>
      <c r="B585" s="8" t="str">
        <f aca="false">IF($A585="","",IFERROR(INDEX(PRODUCTOS!$B$6:$B$105,MATCH($A585,PRODUCTOS!$A$6:$A$105,0)),"¿Código?"))</f>
        <v/>
      </c>
      <c r="C585" s="6"/>
      <c r="D585" s="8" t="str">
        <f aca="false">IF($C585="","",IFERROR(INDEX(INSUMOS!$B$6:$B$205,MATCH($C585,INSUMOS!$A$6:$A$205,0)),"¿Código?"))</f>
        <v/>
      </c>
      <c r="E585" s="8" t="str">
        <f aca="false">IF($C585="","",IFERROR(INDEX(INSUMOS!$D$6:$D$205,MATCH($C585,INSUMOS!$A$6:$A$205,0)),""))</f>
        <v/>
      </c>
      <c r="F585" s="39"/>
      <c r="G585" s="43" t="str">
        <f aca="false">IF(OR($A585="",$C585=""),"",IFERROR(INDEX(INSUMOS!$P$6:$P$205,MATCH($C585,INSUMOS!$A$6:$A$205,0)),0))</f>
        <v/>
      </c>
      <c r="H585" s="43" t="str">
        <f aca="false">IF(OR($A585="",$C585=""),"",N($F585)*$G585)</f>
        <v/>
      </c>
      <c r="I585" s="34" t="str">
        <f aca="false">IF(OR($A585="",$C585=""),"",IFERROR(MAX(1,INDEX(PRODUCTOS!$G$6:$G$105,MATCH($A585,PRODUCTOS!$A$6:$A$105,0))),1))</f>
        <v/>
      </c>
      <c r="J585" s="43" t="str">
        <f aca="false">IF(OR($A585="",$C585=""),"",$H585/$I585)</f>
        <v/>
      </c>
      <c r="K585" s="34" t="str">
        <f aca="false">IF(OR($A585="",$C585=""),"",SUMIFS(VENTAS!$E$6:$E$2005,VENTAS!$C$6:$C$2005,$A585))</f>
        <v/>
      </c>
      <c r="L585" s="45" t="str">
        <f aca="false">IF(OR($A585="",$C585=""),"",IFERROR(N($F585)/INDEX(INSUMOS!$I$6:$I$205,MATCH($C585,INSUMOS!$A$6:$A$205,0)),N($F585))/$I585*$K585)</f>
        <v/>
      </c>
      <c r="M585" s="8" t="str">
        <f aca="false">IF($A585="","",COUNTIF($A$6:$A585,$A585))</f>
        <v/>
      </c>
      <c r="N585" s="8" t="str">
        <f aca="false">IF($A585="","",$A585&amp;"|"&amp;$M585)</f>
        <v/>
      </c>
    </row>
    <row r="586" customFormat="false" ht="15" hidden="false" customHeight="false" outlineLevel="0" collapsed="false">
      <c r="A586" s="6"/>
      <c r="B586" s="8" t="str">
        <f aca="false">IF($A586="","",IFERROR(INDEX(PRODUCTOS!$B$6:$B$105,MATCH($A586,PRODUCTOS!$A$6:$A$105,0)),"¿Código?"))</f>
        <v/>
      </c>
      <c r="C586" s="6"/>
      <c r="D586" s="8" t="str">
        <f aca="false">IF($C586="","",IFERROR(INDEX(INSUMOS!$B$6:$B$205,MATCH($C586,INSUMOS!$A$6:$A$205,0)),"¿Código?"))</f>
        <v/>
      </c>
      <c r="E586" s="8" t="str">
        <f aca="false">IF($C586="","",IFERROR(INDEX(INSUMOS!$D$6:$D$205,MATCH($C586,INSUMOS!$A$6:$A$205,0)),""))</f>
        <v/>
      </c>
      <c r="F586" s="39"/>
      <c r="G586" s="43" t="str">
        <f aca="false">IF(OR($A586="",$C586=""),"",IFERROR(INDEX(INSUMOS!$P$6:$P$205,MATCH($C586,INSUMOS!$A$6:$A$205,0)),0))</f>
        <v/>
      </c>
      <c r="H586" s="43" t="str">
        <f aca="false">IF(OR($A586="",$C586=""),"",N($F586)*$G586)</f>
        <v/>
      </c>
      <c r="I586" s="34" t="str">
        <f aca="false">IF(OR($A586="",$C586=""),"",IFERROR(MAX(1,INDEX(PRODUCTOS!$G$6:$G$105,MATCH($A586,PRODUCTOS!$A$6:$A$105,0))),1))</f>
        <v/>
      </c>
      <c r="J586" s="43" t="str">
        <f aca="false">IF(OR($A586="",$C586=""),"",$H586/$I586)</f>
        <v/>
      </c>
      <c r="K586" s="34" t="str">
        <f aca="false">IF(OR($A586="",$C586=""),"",SUMIFS(VENTAS!$E$6:$E$2005,VENTAS!$C$6:$C$2005,$A586))</f>
        <v/>
      </c>
      <c r="L586" s="45" t="str">
        <f aca="false">IF(OR($A586="",$C586=""),"",IFERROR(N($F586)/INDEX(INSUMOS!$I$6:$I$205,MATCH($C586,INSUMOS!$A$6:$A$205,0)),N($F586))/$I586*$K586)</f>
        <v/>
      </c>
      <c r="M586" s="8" t="str">
        <f aca="false">IF($A586="","",COUNTIF($A$6:$A586,$A586))</f>
        <v/>
      </c>
      <c r="N586" s="8" t="str">
        <f aca="false">IF($A586="","",$A586&amp;"|"&amp;$M586)</f>
        <v/>
      </c>
    </row>
    <row r="587" customFormat="false" ht="15" hidden="false" customHeight="false" outlineLevel="0" collapsed="false">
      <c r="A587" s="6"/>
      <c r="B587" s="8" t="str">
        <f aca="false">IF($A587="","",IFERROR(INDEX(PRODUCTOS!$B$6:$B$105,MATCH($A587,PRODUCTOS!$A$6:$A$105,0)),"¿Código?"))</f>
        <v/>
      </c>
      <c r="C587" s="6"/>
      <c r="D587" s="8" t="str">
        <f aca="false">IF($C587="","",IFERROR(INDEX(INSUMOS!$B$6:$B$205,MATCH($C587,INSUMOS!$A$6:$A$205,0)),"¿Código?"))</f>
        <v/>
      </c>
      <c r="E587" s="8" t="str">
        <f aca="false">IF($C587="","",IFERROR(INDEX(INSUMOS!$D$6:$D$205,MATCH($C587,INSUMOS!$A$6:$A$205,0)),""))</f>
        <v/>
      </c>
      <c r="F587" s="39"/>
      <c r="G587" s="43" t="str">
        <f aca="false">IF(OR($A587="",$C587=""),"",IFERROR(INDEX(INSUMOS!$P$6:$P$205,MATCH($C587,INSUMOS!$A$6:$A$205,0)),0))</f>
        <v/>
      </c>
      <c r="H587" s="43" t="str">
        <f aca="false">IF(OR($A587="",$C587=""),"",N($F587)*$G587)</f>
        <v/>
      </c>
      <c r="I587" s="34" t="str">
        <f aca="false">IF(OR($A587="",$C587=""),"",IFERROR(MAX(1,INDEX(PRODUCTOS!$G$6:$G$105,MATCH($A587,PRODUCTOS!$A$6:$A$105,0))),1))</f>
        <v/>
      </c>
      <c r="J587" s="43" t="str">
        <f aca="false">IF(OR($A587="",$C587=""),"",$H587/$I587)</f>
        <v/>
      </c>
      <c r="K587" s="34" t="str">
        <f aca="false">IF(OR($A587="",$C587=""),"",SUMIFS(VENTAS!$E$6:$E$2005,VENTAS!$C$6:$C$2005,$A587))</f>
        <v/>
      </c>
      <c r="L587" s="45" t="str">
        <f aca="false">IF(OR($A587="",$C587=""),"",IFERROR(N($F587)/INDEX(INSUMOS!$I$6:$I$205,MATCH($C587,INSUMOS!$A$6:$A$205,0)),N($F587))/$I587*$K587)</f>
        <v/>
      </c>
      <c r="M587" s="8" t="str">
        <f aca="false">IF($A587="","",COUNTIF($A$6:$A587,$A587))</f>
        <v/>
      </c>
      <c r="N587" s="8" t="str">
        <f aca="false">IF($A587="","",$A587&amp;"|"&amp;$M587)</f>
        <v/>
      </c>
    </row>
    <row r="588" customFormat="false" ht="15" hidden="false" customHeight="false" outlineLevel="0" collapsed="false">
      <c r="A588" s="6"/>
      <c r="B588" s="8" t="str">
        <f aca="false">IF($A588="","",IFERROR(INDEX(PRODUCTOS!$B$6:$B$105,MATCH($A588,PRODUCTOS!$A$6:$A$105,0)),"¿Código?"))</f>
        <v/>
      </c>
      <c r="C588" s="6"/>
      <c r="D588" s="8" t="str">
        <f aca="false">IF($C588="","",IFERROR(INDEX(INSUMOS!$B$6:$B$205,MATCH($C588,INSUMOS!$A$6:$A$205,0)),"¿Código?"))</f>
        <v/>
      </c>
      <c r="E588" s="8" t="str">
        <f aca="false">IF($C588="","",IFERROR(INDEX(INSUMOS!$D$6:$D$205,MATCH($C588,INSUMOS!$A$6:$A$205,0)),""))</f>
        <v/>
      </c>
      <c r="F588" s="39"/>
      <c r="G588" s="43" t="str">
        <f aca="false">IF(OR($A588="",$C588=""),"",IFERROR(INDEX(INSUMOS!$P$6:$P$205,MATCH($C588,INSUMOS!$A$6:$A$205,0)),0))</f>
        <v/>
      </c>
      <c r="H588" s="43" t="str">
        <f aca="false">IF(OR($A588="",$C588=""),"",N($F588)*$G588)</f>
        <v/>
      </c>
      <c r="I588" s="34" t="str">
        <f aca="false">IF(OR($A588="",$C588=""),"",IFERROR(MAX(1,INDEX(PRODUCTOS!$G$6:$G$105,MATCH($A588,PRODUCTOS!$A$6:$A$105,0))),1))</f>
        <v/>
      </c>
      <c r="J588" s="43" t="str">
        <f aca="false">IF(OR($A588="",$C588=""),"",$H588/$I588)</f>
        <v/>
      </c>
      <c r="K588" s="34" t="str">
        <f aca="false">IF(OR($A588="",$C588=""),"",SUMIFS(VENTAS!$E$6:$E$2005,VENTAS!$C$6:$C$2005,$A588))</f>
        <v/>
      </c>
      <c r="L588" s="45" t="str">
        <f aca="false">IF(OR($A588="",$C588=""),"",IFERROR(N($F588)/INDEX(INSUMOS!$I$6:$I$205,MATCH($C588,INSUMOS!$A$6:$A$205,0)),N($F588))/$I588*$K588)</f>
        <v/>
      </c>
      <c r="M588" s="8" t="str">
        <f aca="false">IF($A588="","",COUNTIF($A$6:$A588,$A588))</f>
        <v/>
      </c>
      <c r="N588" s="8" t="str">
        <f aca="false">IF($A588="","",$A588&amp;"|"&amp;$M588)</f>
        <v/>
      </c>
    </row>
    <row r="589" customFormat="false" ht="15" hidden="false" customHeight="false" outlineLevel="0" collapsed="false">
      <c r="A589" s="6"/>
      <c r="B589" s="8" t="str">
        <f aca="false">IF($A589="","",IFERROR(INDEX(PRODUCTOS!$B$6:$B$105,MATCH($A589,PRODUCTOS!$A$6:$A$105,0)),"¿Código?"))</f>
        <v/>
      </c>
      <c r="C589" s="6"/>
      <c r="D589" s="8" t="str">
        <f aca="false">IF($C589="","",IFERROR(INDEX(INSUMOS!$B$6:$B$205,MATCH($C589,INSUMOS!$A$6:$A$205,0)),"¿Código?"))</f>
        <v/>
      </c>
      <c r="E589" s="8" t="str">
        <f aca="false">IF($C589="","",IFERROR(INDEX(INSUMOS!$D$6:$D$205,MATCH($C589,INSUMOS!$A$6:$A$205,0)),""))</f>
        <v/>
      </c>
      <c r="F589" s="39"/>
      <c r="G589" s="43" t="str">
        <f aca="false">IF(OR($A589="",$C589=""),"",IFERROR(INDEX(INSUMOS!$P$6:$P$205,MATCH($C589,INSUMOS!$A$6:$A$205,0)),0))</f>
        <v/>
      </c>
      <c r="H589" s="43" t="str">
        <f aca="false">IF(OR($A589="",$C589=""),"",N($F589)*$G589)</f>
        <v/>
      </c>
      <c r="I589" s="34" t="str">
        <f aca="false">IF(OR($A589="",$C589=""),"",IFERROR(MAX(1,INDEX(PRODUCTOS!$G$6:$G$105,MATCH($A589,PRODUCTOS!$A$6:$A$105,0))),1))</f>
        <v/>
      </c>
      <c r="J589" s="43" t="str">
        <f aca="false">IF(OR($A589="",$C589=""),"",$H589/$I589)</f>
        <v/>
      </c>
      <c r="K589" s="34" t="str">
        <f aca="false">IF(OR($A589="",$C589=""),"",SUMIFS(VENTAS!$E$6:$E$2005,VENTAS!$C$6:$C$2005,$A589))</f>
        <v/>
      </c>
      <c r="L589" s="45" t="str">
        <f aca="false">IF(OR($A589="",$C589=""),"",IFERROR(N($F589)/INDEX(INSUMOS!$I$6:$I$205,MATCH($C589,INSUMOS!$A$6:$A$205,0)),N($F589))/$I589*$K589)</f>
        <v/>
      </c>
      <c r="M589" s="8" t="str">
        <f aca="false">IF($A589="","",COUNTIF($A$6:$A589,$A589))</f>
        <v/>
      </c>
      <c r="N589" s="8" t="str">
        <f aca="false">IF($A589="","",$A589&amp;"|"&amp;$M589)</f>
        <v/>
      </c>
    </row>
    <row r="590" customFormat="false" ht="15" hidden="false" customHeight="false" outlineLevel="0" collapsed="false">
      <c r="A590" s="6"/>
      <c r="B590" s="8" t="str">
        <f aca="false">IF($A590="","",IFERROR(INDEX(PRODUCTOS!$B$6:$B$105,MATCH($A590,PRODUCTOS!$A$6:$A$105,0)),"¿Código?"))</f>
        <v/>
      </c>
      <c r="C590" s="6"/>
      <c r="D590" s="8" t="str">
        <f aca="false">IF($C590="","",IFERROR(INDEX(INSUMOS!$B$6:$B$205,MATCH($C590,INSUMOS!$A$6:$A$205,0)),"¿Código?"))</f>
        <v/>
      </c>
      <c r="E590" s="8" t="str">
        <f aca="false">IF($C590="","",IFERROR(INDEX(INSUMOS!$D$6:$D$205,MATCH($C590,INSUMOS!$A$6:$A$205,0)),""))</f>
        <v/>
      </c>
      <c r="F590" s="39"/>
      <c r="G590" s="43" t="str">
        <f aca="false">IF(OR($A590="",$C590=""),"",IFERROR(INDEX(INSUMOS!$P$6:$P$205,MATCH($C590,INSUMOS!$A$6:$A$205,0)),0))</f>
        <v/>
      </c>
      <c r="H590" s="43" t="str">
        <f aca="false">IF(OR($A590="",$C590=""),"",N($F590)*$G590)</f>
        <v/>
      </c>
      <c r="I590" s="34" t="str">
        <f aca="false">IF(OR($A590="",$C590=""),"",IFERROR(MAX(1,INDEX(PRODUCTOS!$G$6:$G$105,MATCH($A590,PRODUCTOS!$A$6:$A$105,0))),1))</f>
        <v/>
      </c>
      <c r="J590" s="43" t="str">
        <f aca="false">IF(OR($A590="",$C590=""),"",$H590/$I590)</f>
        <v/>
      </c>
      <c r="K590" s="34" t="str">
        <f aca="false">IF(OR($A590="",$C590=""),"",SUMIFS(VENTAS!$E$6:$E$2005,VENTAS!$C$6:$C$2005,$A590))</f>
        <v/>
      </c>
      <c r="L590" s="45" t="str">
        <f aca="false">IF(OR($A590="",$C590=""),"",IFERROR(N($F590)/INDEX(INSUMOS!$I$6:$I$205,MATCH($C590,INSUMOS!$A$6:$A$205,0)),N($F590))/$I590*$K590)</f>
        <v/>
      </c>
      <c r="M590" s="8" t="str">
        <f aca="false">IF($A590="","",COUNTIF($A$6:$A590,$A590))</f>
        <v/>
      </c>
      <c r="N590" s="8" t="str">
        <f aca="false">IF($A590="","",$A590&amp;"|"&amp;$M590)</f>
        <v/>
      </c>
    </row>
    <row r="591" customFormat="false" ht="15" hidden="false" customHeight="false" outlineLevel="0" collapsed="false">
      <c r="A591" s="6"/>
      <c r="B591" s="8" t="str">
        <f aca="false">IF($A591="","",IFERROR(INDEX(PRODUCTOS!$B$6:$B$105,MATCH($A591,PRODUCTOS!$A$6:$A$105,0)),"¿Código?"))</f>
        <v/>
      </c>
      <c r="C591" s="6"/>
      <c r="D591" s="8" t="str">
        <f aca="false">IF($C591="","",IFERROR(INDEX(INSUMOS!$B$6:$B$205,MATCH($C591,INSUMOS!$A$6:$A$205,0)),"¿Código?"))</f>
        <v/>
      </c>
      <c r="E591" s="8" t="str">
        <f aca="false">IF($C591="","",IFERROR(INDEX(INSUMOS!$D$6:$D$205,MATCH($C591,INSUMOS!$A$6:$A$205,0)),""))</f>
        <v/>
      </c>
      <c r="F591" s="39"/>
      <c r="G591" s="43" t="str">
        <f aca="false">IF(OR($A591="",$C591=""),"",IFERROR(INDEX(INSUMOS!$P$6:$P$205,MATCH($C591,INSUMOS!$A$6:$A$205,0)),0))</f>
        <v/>
      </c>
      <c r="H591" s="43" t="str">
        <f aca="false">IF(OR($A591="",$C591=""),"",N($F591)*$G591)</f>
        <v/>
      </c>
      <c r="I591" s="34" t="str">
        <f aca="false">IF(OR($A591="",$C591=""),"",IFERROR(MAX(1,INDEX(PRODUCTOS!$G$6:$G$105,MATCH($A591,PRODUCTOS!$A$6:$A$105,0))),1))</f>
        <v/>
      </c>
      <c r="J591" s="43" t="str">
        <f aca="false">IF(OR($A591="",$C591=""),"",$H591/$I591)</f>
        <v/>
      </c>
      <c r="K591" s="34" t="str">
        <f aca="false">IF(OR($A591="",$C591=""),"",SUMIFS(VENTAS!$E$6:$E$2005,VENTAS!$C$6:$C$2005,$A591))</f>
        <v/>
      </c>
      <c r="L591" s="45" t="str">
        <f aca="false">IF(OR($A591="",$C591=""),"",IFERROR(N($F591)/INDEX(INSUMOS!$I$6:$I$205,MATCH($C591,INSUMOS!$A$6:$A$205,0)),N($F591))/$I591*$K591)</f>
        <v/>
      </c>
      <c r="M591" s="8" t="str">
        <f aca="false">IF($A591="","",COUNTIF($A$6:$A591,$A591))</f>
        <v/>
      </c>
      <c r="N591" s="8" t="str">
        <f aca="false">IF($A591="","",$A591&amp;"|"&amp;$M591)</f>
        <v/>
      </c>
    </row>
    <row r="592" customFormat="false" ht="15" hidden="false" customHeight="false" outlineLevel="0" collapsed="false">
      <c r="A592" s="6"/>
      <c r="B592" s="8" t="str">
        <f aca="false">IF($A592="","",IFERROR(INDEX(PRODUCTOS!$B$6:$B$105,MATCH($A592,PRODUCTOS!$A$6:$A$105,0)),"¿Código?"))</f>
        <v/>
      </c>
      <c r="C592" s="6"/>
      <c r="D592" s="8" t="str">
        <f aca="false">IF($C592="","",IFERROR(INDEX(INSUMOS!$B$6:$B$205,MATCH($C592,INSUMOS!$A$6:$A$205,0)),"¿Código?"))</f>
        <v/>
      </c>
      <c r="E592" s="8" t="str">
        <f aca="false">IF($C592="","",IFERROR(INDEX(INSUMOS!$D$6:$D$205,MATCH($C592,INSUMOS!$A$6:$A$205,0)),""))</f>
        <v/>
      </c>
      <c r="F592" s="39"/>
      <c r="G592" s="43" t="str">
        <f aca="false">IF(OR($A592="",$C592=""),"",IFERROR(INDEX(INSUMOS!$P$6:$P$205,MATCH($C592,INSUMOS!$A$6:$A$205,0)),0))</f>
        <v/>
      </c>
      <c r="H592" s="43" t="str">
        <f aca="false">IF(OR($A592="",$C592=""),"",N($F592)*$G592)</f>
        <v/>
      </c>
      <c r="I592" s="34" t="str">
        <f aca="false">IF(OR($A592="",$C592=""),"",IFERROR(MAX(1,INDEX(PRODUCTOS!$G$6:$G$105,MATCH($A592,PRODUCTOS!$A$6:$A$105,0))),1))</f>
        <v/>
      </c>
      <c r="J592" s="43" t="str">
        <f aca="false">IF(OR($A592="",$C592=""),"",$H592/$I592)</f>
        <v/>
      </c>
      <c r="K592" s="34" t="str">
        <f aca="false">IF(OR($A592="",$C592=""),"",SUMIFS(VENTAS!$E$6:$E$2005,VENTAS!$C$6:$C$2005,$A592))</f>
        <v/>
      </c>
      <c r="L592" s="45" t="str">
        <f aca="false">IF(OR($A592="",$C592=""),"",IFERROR(N($F592)/INDEX(INSUMOS!$I$6:$I$205,MATCH($C592,INSUMOS!$A$6:$A$205,0)),N($F592))/$I592*$K592)</f>
        <v/>
      </c>
      <c r="M592" s="8" t="str">
        <f aca="false">IF($A592="","",COUNTIF($A$6:$A592,$A592))</f>
        <v/>
      </c>
      <c r="N592" s="8" t="str">
        <f aca="false">IF($A592="","",$A592&amp;"|"&amp;$M592)</f>
        <v/>
      </c>
    </row>
    <row r="593" customFormat="false" ht="15" hidden="false" customHeight="false" outlineLevel="0" collapsed="false">
      <c r="A593" s="6"/>
      <c r="B593" s="8" t="str">
        <f aca="false">IF($A593="","",IFERROR(INDEX(PRODUCTOS!$B$6:$B$105,MATCH($A593,PRODUCTOS!$A$6:$A$105,0)),"¿Código?"))</f>
        <v/>
      </c>
      <c r="C593" s="6"/>
      <c r="D593" s="8" t="str">
        <f aca="false">IF($C593="","",IFERROR(INDEX(INSUMOS!$B$6:$B$205,MATCH($C593,INSUMOS!$A$6:$A$205,0)),"¿Código?"))</f>
        <v/>
      </c>
      <c r="E593" s="8" t="str">
        <f aca="false">IF($C593="","",IFERROR(INDEX(INSUMOS!$D$6:$D$205,MATCH($C593,INSUMOS!$A$6:$A$205,0)),""))</f>
        <v/>
      </c>
      <c r="F593" s="39"/>
      <c r="G593" s="43" t="str">
        <f aca="false">IF(OR($A593="",$C593=""),"",IFERROR(INDEX(INSUMOS!$P$6:$P$205,MATCH($C593,INSUMOS!$A$6:$A$205,0)),0))</f>
        <v/>
      </c>
      <c r="H593" s="43" t="str">
        <f aca="false">IF(OR($A593="",$C593=""),"",N($F593)*$G593)</f>
        <v/>
      </c>
      <c r="I593" s="34" t="str">
        <f aca="false">IF(OR($A593="",$C593=""),"",IFERROR(MAX(1,INDEX(PRODUCTOS!$G$6:$G$105,MATCH($A593,PRODUCTOS!$A$6:$A$105,0))),1))</f>
        <v/>
      </c>
      <c r="J593" s="43" t="str">
        <f aca="false">IF(OR($A593="",$C593=""),"",$H593/$I593)</f>
        <v/>
      </c>
      <c r="K593" s="34" t="str">
        <f aca="false">IF(OR($A593="",$C593=""),"",SUMIFS(VENTAS!$E$6:$E$2005,VENTAS!$C$6:$C$2005,$A593))</f>
        <v/>
      </c>
      <c r="L593" s="45" t="str">
        <f aca="false">IF(OR($A593="",$C593=""),"",IFERROR(N($F593)/INDEX(INSUMOS!$I$6:$I$205,MATCH($C593,INSUMOS!$A$6:$A$205,0)),N($F593))/$I593*$K593)</f>
        <v/>
      </c>
      <c r="M593" s="8" t="str">
        <f aca="false">IF($A593="","",COUNTIF($A$6:$A593,$A593))</f>
        <v/>
      </c>
      <c r="N593" s="8" t="str">
        <f aca="false">IF($A593="","",$A593&amp;"|"&amp;$M593)</f>
        <v/>
      </c>
    </row>
    <row r="594" customFormat="false" ht="15" hidden="false" customHeight="false" outlineLevel="0" collapsed="false">
      <c r="A594" s="6"/>
      <c r="B594" s="8" t="str">
        <f aca="false">IF($A594="","",IFERROR(INDEX(PRODUCTOS!$B$6:$B$105,MATCH($A594,PRODUCTOS!$A$6:$A$105,0)),"¿Código?"))</f>
        <v/>
      </c>
      <c r="C594" s="6"/>
      <c r="D594" s="8" t="str">
        <f aca="false">IF($C594="","",IFERROR(INDEX(INSUMOS!$B$6:$B$205,MATCH($C594,INSUMOS!$A$6:$A$205,0)),"¿Código?"))</f>
        <v/>
      </c>
      <c r="E594" s="8" t="str">
        <f aca="false">IF($C594="","",IFERROR(INDEX(INSUMOS!$D$6:$D$205,MATCH($C594,INSUMOS!$A$6:$A$205,0)),""))</f>
        <v/>
      </c>
      <c r="F594" s="39"/>
      <c r="G594" s="43" t="str">
        <f aca="false">IF(OR($A594="",$C594=""),"",IFERROR(INDEX(INSUMOS!$P$6:$P$205,MATCH($C594,INSUMOS!$A$6:$A$205,0)),0))</f>
        <v/>
      </c>
      <c r="H594" s="43" t="str">
        <f aca="false">IF(OR($A594="",$C594=""),"",N($F594)*$G594)</f>
        <v/>
      </c>
      <c r="I594" s="34" t="str">
        <f aca="false">IF(OR($A594="",$C594=""),"",IFERROR(MAX(1,INDEX(PRODUCTOS!$G$6:$G$105,MATCH($A594,PRODUCTOS!$A$6:$A$105,0))),1))</f>
        <v/>
      </c>
      <c r="J594" s="43" t="str">
        <f aca="false">IF(OR($A594="",$C594=""),"",$H594/$I594)</f>
        <v/>
      </c>
      <c r="K594" s="34" t="str">
        <f aca="false">IF(OR($A594="",$C594=""),"",SUMIFS(VENTAS!$E$6:$E$2005,VENTAS!$C$6:$C$2005,$A594))</f>
        <v/>
      </c>
      <c r="L594" s="45" t="str">
        <f aca="false">IF(OR($A594="",$C594=""),"",IFERROR(N($F594)/INDEX(INSUMOS!$I$6:$I$205,MATCH($C594,INSUMOS!$A$6:$A$205,0)),N($F594))/$I594*$K594)</f>
        <v/>
      </c>
      <c r="M594" s="8" t="str">
        <f aca="false">IF($A594="","",COUNTIF($A$6:$A594,$A594))</f>
        <v/>
      </c>
      <c r="N594" s="8" t="str">
        <f aca="false">IF($A594="","",$A594&amp;"|"&amp;$M594)</f>
        <v/>
      </c>
    </row>
    <row r="595" customFormat="false" ht="15" hidden="false" customHeight="false" outlineLevel="0" collapsed="false">
      <c r="A595" s="6"/>
      <c r="B595" s="8" t="str">
        <f aca="false">IF($A595="","",IFERROR(INDEX(PRODUCTOS!$B$6:$B$105,MATCH($A595,PRODUCTOS!$A$6:$A$105,0)),"¿Código?"))</f>
        <v/>
      </c>
      <c r="C595" s="6"/>
      <c r="D595" s="8" t="str">
        <f aca="false">IF($C595="","",IFERROR(INDEX(INSUMOS!$B$6:$B$205,MATCH($C595,INSUMOS!$A$6:$A$205,0)),"¿Código?"))</f>
        <v/>
      </c>
      <c r="E595" s="8" t="str">
        <f aca="false">IF($C595="","",IFERROR(INDEX(INSUMOS!$D$6:$D$205,MATCH($C595,INSUMOS!$A$6:$A$205,0)),""))</f>
        <v/>
      </c>
      <c r="F595" s="39"/>
      <c r="G595" s="43" t="str">
        <f aca="false">IF(OR($A595="",$C595=""),"",IFERROR(INDEX(INSUMOS!$P$6:$P$205,MATCH($C595,INSUMOS!$A$6:$A$205,0)),0))</f>
        <v/>
      </c>
      <c r="H595" s="43" t="str">
        <f aca="false">IF(OR($A595="",$C595=""),"",N($F595)*$G595)</f>
        <v/>
      </c>
      <c r="I595" s="34" t="str">
        <f aca="false">IF(OR($A595="",$C595=""),"",IFERROR(MAX(1,INDEX(PRODUCTOS!$G$6:$G$105,MATCH($A595,PRODUCTOS!$A$6:$A$105,0))),1))</f>
        <v/>
      </c>
      <c r="J595" s="43" t="str">
        <f aca="false">IF(OR($A595="",$C595=""),"",$H595/$I595)</f>
        <v/>
      </c>
      <c r="K595" s="34" t="str">
        <f aca="false">IF(OR($A595="",$C595=""),"",SUMIFS(VENTAS!$E$6:$E$2005,VENTAS!$C$6:$C$2005,$A595))</f>
        <v/>
      </c>
      <c r="L595" s="45" t="str">
        <f aca="false">IF(OR($A595="",$C595=""),"",IFERROR(N($F595)/INDEX(INSUMOS!$I$6:$I$205,MATCH($C595,INSUMOS!$A$6:$A$205,0)),N($F595))/$I595*$K595)</f>
        <v/>
      </c>
      <c r="M595" s="8" t="str">
        <f aca="false">IF($A595="","",COUNTIF($A$6:$A595,$A595))</f>
        <v/>
      </c>
      <c r="N595" s="8" t="str">
        <f aca="false">IF($A595="","",$A595&amp;"|"&amp;$M595)</f>
        <v/>
      </c>
    </row>
    <row r="596" customFormat="false" ht="15" hidden="false" customHeight="false" outlineLevel="0" collapsed="false">
      <c r="A596" s="6"/>
      <c r="B596" s="8" t="str">
        <f aca="false">IF($A596="","",IFERROR(INDEX(PRODUCTOS!$B$6:$B$105,MATCH($A596,PRODUCTOS!$A$6:$A$105,0)),"¿Código?"))</f>
        <v/>
      </c>
      <c r="C596" s="6"/>
      <c r="D596" s="8" t="str">
        <f aca="false">IF($C596="","",IFERROR(INDEX(INSUMOS!$B$6:$B$205,MATCH($C596,INSUMOS!$A$6:$A$205,0)),"¿Código?"))</f>
        <v/>
      </c>
      <c r="E596" s="8" t="str">
        <f aca="false">IF($C596="","",IFERROR(INDEX(INSUMOS!$D$6:$D$205,MATCH($C596,INSUMOS!$A$6:$A$205,0)),""))</f>
        <v/>
      </c>
      <c r="F596" s="39"/>
      <c r="G596" s="43" t="str">
        <f aca="false">IF(OR($A596="",$C596=""),"",IFERROR(INDEX(INSUMOS!$P$6:$P$205,MATCH($C596,INSUMOS!$A$6:$A$205,0)),0))</f>
        <v/>
      </c>
      <c r="H596" s="43" t="str">
        <f aca="false">IF(OR($A596="",$C596=""),"",N($F596)*$G596)</f>
        <v/>
      </c>
      <c r="I596" s="34" t="str">
        <f aca="false">IF(OR($A596="",$C596=""),"",IFERROR(MAX(1,INDEX(PRODUCTOS!$G$6:$G$105,MATCH($A596,PRODUCTOS!$A$6:$A$105,0))),1))</f>
        <v/>
      </c>
      <c r="J596" s="43" t="str">
        <f aca="false">IF(OR($A596="",$C596=""),"",$H596/$I596)</f>
        <v/>
      </c>
      <c r="K596" s="34" t="str">
        <f aca="false">IF(OR($A596="",$C596=""),"",SUMIFS(VENTAS!$E$6:$E$2005,VENTAS!$C$6:$C$2005,$A596))</f>
        <v/>
      </c>
      <c r="L596" s="45" t="str">
        <f aca="false">IF(OR($A596="",$C596=""),"",IFERROR(N($F596)/INDEX(INSUMOS!$I$6:$I$205,MATCH($C596,INSUMOS!$A$6:$A$205,0)),N($F596))/$I596*$K596)</f>
        <v/>
      </c>
      <c r="M596" s="8" t="str">
        <f aca="false">IF($A596="","",COUNTIF($A$6:$A596,$A596))</f>
        <v/>
      </c>
      <c r="N596" s="8" t="str">
        <f aca="false">IF($A596="","",$A596&amp;"|"&amp;$M596)</f>
        <v/>
      </c>
    </row>
    <row r="597" customFormat="false" ht="15" hidden="false" customHeight="false" outlineLevel="0" collapsed="false">
      <c r="A597" s="6"/>
      <c r="B597" s="8" t="str">
        <f aca="false">IF($A597="","",IFERROR(INDEX(PRODUCTOS!$B$6:$B$105,MATCH($A597,PRODUCTOS!$A$6:$A$105,0)),"¿Código?"))</f>
        <v/>
      </c>
      <c r="C597" s="6"/>
      <c r="D597" s="8" t="str">
        <f aca="false">IF($C597="","",IFERROR(INDEX(INSUMOS!$B$6:$B$205,MATCH($C597,INSUMOS!$A$6:$A$205,0)),"¿Código?"))</f>
        <v/>
      </c>
      <c r="E597" s="8" t="str">
        <f aca="false">IF($C597="","",IFERROR(INDEX(INSUMOS!$D$6:$D$205,MATCH($C597,INSUMOS!$A$6:$A$205,0)),""))</f>
        <v/>
      </c>
      <c r="F597" s="39"/>
      <c r="G597" s="43" t="str">
        <f aca="false">IF(OR($A597="",$C597=""),"",IFERROR(INDEX(INSUMOS!$P$6:$P$205,MATCH($C597,INSUMOS!$A$6:$A$205,0)),0))</f>
        <v/>
      </c>
      <c r="H597" s="43" t="str">
        <f aca="false">IF(OR($A597="",$C597=""),"",N($F597)*$G597)</f>
        <v/>
      </c>
      <c r="I597" s="34" t="str">
        <f aca="false">IF(OR($A597="",$C597=""),"",IFERROR(MAX(1,INDEX(PRODUCTOS!$G$6:$G$105,MATCH($A597,PRODUCTOS!$A$6:$A$105,0))),1))</f>
        <v/>
      </c>
      <c r="J597" s="43" t="str">
        <f aca="false">IF(OR($A597="",$C597=""),"",$H597/$I597)</f>
        <v/>
      </c>
      <c r="K597" s="34" t="str">
        <f aca="false">IF(OR($A597="",$C597=""),"",SUMIFS(VENTAS!$E$6:$E$2005,VENTAS!$C$6:$C$2005,$A597))</f>
        <v/>
      </c>
      <c r="L597" s="45" t="str">
        <f aca="false">IF(OR($A597="",$C597=""),"",IFERROR(N($F597)/INDEX(INSUMOS!$I$6:$I$205,MATCH($C597,INSUMOS!$A$6:$A$205,0)),N($F597))/$I597*$K597)</f>
        <v/>
      </c>
      <c r="M597" s="8" t="str">
        <f aca="false">IF($A597="","",COUNTIF($A$6:$A597,$A597))</f>
        <v/>
      </c>
      <c r="N597" s="8" t="str">
        <f aca="false">IF($A597="","",$A597&amp;"|"&amp;$M597)</f>
        <v/>
      </c>
    </row>
    <row r="598" customFormat="false" ht="15" hidden="false" customHeight="false" outlineLevel="0" collapsed="false">
      <c r="A598" s="6"/>
      <c r="B598" s="8" t="str">
        <f aca="false">IF($A598="","",IFERROR(INDEX(PRODUCTOS!$B$6:$B$105,MATCH($A598,PRODUCTOS!$A$6:$A$105,0)),"¿Código?"))</f>
        <v/>
      </c>
      <c r="C598" s="6"/>
      <c r="D598" s="8" t="str">
        <f aca="false">IF($C598="","",IFERROR(INDEX(INSUMOS!$B$6:$B$205,MATCH($C598,INSUMOS!$A$6:$A$205,0)),"¿Código?"))</f>
        <v/>
      </c>
      <c r="E598" s="8" t="str">
        <f aca="false">IF($C598="","",IFERROR(INDEX(INSUMOS!$D$6:$D$205,MATCH($C598,INSUMOS!$A$6:$A$205,0)),""))</f>
        <v/>
      </c>
      <c r="F598" s="39"/>
      <c r="G598" s="43" t="str">
        <f aca="false">IF(OR($A598="",$C598=""),"",IFERROR(INDEX(INSUMOS!$P$6:$P$205,MATCH($C598,INSUMOS!$A$6:$A$205,0)),0))</f>
        <v/>
      </c>
      <c r="H598" s="43" t="str">
        <f aca="false">IF(OR($A598="",$C598=""),"",N($F598)*$G598)</f>
        <v/>
      </c>
      <c r="I598" s="34" t="str">
        <f aca="false">IF(OR($A598="",$C598=""),"",IFERROR(MAX(1,INDEX(PRODUCTOS!$G$6:$G$105,MATCH($A598,PRODUCTOS!$A$6:$A$105,0))),1))</f>
        <v/>
      </c>
      <c r="J598" s="43" t="str">
        <f aca="false">IF(OR($A598="",$C598=""),"",$H598/$I598)</f>
        <v/>
      </c>
      <c r="K598" s="34" t="str">
        <f aca="false">IF(OR($A598="",$C598=""),"",SUMIFS(VENTAS!$E$6:$E$2005,VENTAS!$C$6:$C$2005,$A598))</f>
        <v/>
      </c>
      <c r="L598" s="45" t="str">
        <f aca="false">IF(OR($A598="",$C598=""),"",IFERROR(N($F598)/INDEX(INSUMOS!$I$6:$I$205,MATCH($C598,INSUMOS!$A$6:$A$205,0)),N($F598))/$I598*$K598)</f>
        <v/>
      </c>
      <c r="M598" s="8" t="str">
        <f aca="false">IF($A598="","",COUNTIF($A$6:$A598,$A598))</f>
        <v/>
      </c>
      <c r="N598" s="8" t="str">
        <f aca="false">IF($A598="","",$A598&amp;"|"&amp;$M598)</f>
        <v/>
      </c>
    </row>
    <row r="599" customFormat="false" ht="15" hidden="false" customHeight="false" outlineLevel="0" collapsed="false">
      <c r="A599" s="6"/>
      <c r="B599" s="8" t="str">
        <f aca="false">IF($A599="","",IFERROR(INDEX(PRODUCTOS!$B$6:$B$105,MATCH($A599,PRODUCTOS!$A$6:$A$105,0)),"¿Código?"))</f>
        <v/>
      </c>
      <c r="C599" s="6"/>
      <c r="D599" s="8" t="str">
        <f aca="false">IF($C599="","",IFERROR(INDEX(INSUMOS!$B$6:$B$205,MATCH($C599,INSUMOS!$A$6:$A$205,0)),"¿Código?"))</f>
        <v/>
      </c>
      <c r="E599" s="8" t="str">
        <f aca="false">IF($C599="","",IFERROR(INDEX(INSUMOS!$D$6:$D$205,MATCH($C599,INSUMOS!$A$6:$A$205,0)),""))</f>
        <v/>
      </c>
      <c r="F599" s="39"/>
      <c r="G599" s="43" t="str">
        <f aca="false">IF(OR($A599="",$C599=""),"",IFERROR(INDEX(INSUMOS!$P$6:$P$205,MATCH($C599,INSUMOS!$A$6:$A$205,0)),0))</f>
        <v/>
      </c>
      <c r="H599" s="43" t="str">
        <f aca="false">IF(OR($A599="",$C599=""),"",N($F599)*$G599)</f>
        <v/>
      </c>
      <c r="I599" s="34" t="str">
        <f aca="false">IF(OR($A599="",$C599=""),"",IFERROR(MAX(1,INDEX(PRODUCTOS!$G$6:$G$105,MATCH($A599,PRODUCTOS!$A$6:$A$105,0))),1))</f>
        <v/>
      </c>
      <c r="J599" s="43" t="str">
        <f aca="false">IF(OR($A599="",$C599=""),"",$H599/$I599)</f>
        <v/>
      </c>
      <c r="K599" s="34" t="str">
        <f aca="false">IF(OR($A599="",$C599=""),"",SUMIFS(VENTAS!$E$6:$E$2005,VENTAS!$C$6:$C$2005,$A599))</f>
        <v/>
      </c>
      <c r="L599" s="45" t="str">
        <f aca="false">IF(OR($A599="",$C599=""),"",IFERROR(N($F599)/INDEX(INSUMOS!$I$6:$I$205,MATCH($C599,INSUMOS!$A$6:$A$205,0)),N($F599))/$I599*$K599)</f>
        <v/>
      </c>
      <c r="M599" s="8" t="str">
        <f aca="false">IF($A599="","",COUNTIF($A$6:$A599,$A599))</f>
        <v/>
      </c>
      <c r="N599" s="8" t="str">
        <f aca="false">IF($A599="","",$A599&amp;"|"&amp;$M599)</f>
        <v/>
      </c>
    </row>
    <row r="600" customFormat="false" ht="15" hidden="false" customHeight="false" outlineLevel="0" collapsed="false">
      <c r="A600" s="6"/>
      <c r="B600" s="8" t="str">
        <f aca="false">IF($A600="","",IFERROR(INDEX(PRODUCTOS!$B$6:$B$105,MATCH($A600,PRODUCTOS!$A$6:$A$105,0)),"¿Código?"))</f>
        <v/>
      </c>
      <c r="C600" s="6"/>
      <c r="D600" s="8" t="str">
        <f aca="false">IF($C600="","",IFERROR(INDEX(INSUMOS!$B$6:$B$205,MATCH($C600,INSUMOS!$A$6:$A$205,0)),"¿Código?"))</f>
        <v/>
      </c>
      <c r="E600" s="8" t="str">
        <f aca="false">IF($C600="","",IFERROR(INDEX(INSUMOS!$D$6:$D$205,MATCH($C600,INSUMOS!$A$6:$A$205,0)),""))</f>
        <v/>
      </c>
      <c r="F600" s="39"/>
      <c r="G600" s="43" t="str">
        <f aca="false">IF(OR($A600="",$C600=""),"",IFERROR(INDEX(INSUMOS!$P$6:$P$205,MATCH($C600,INSUMOS!$A$6:$A$205,0)),0))</f>
        <v/>
      </c>
      <c r="H600" s="43" t="str">
        <f aca="false">IF(OR($A600="",$C600=""),"",N($F600)*$G600)</f>
        <v/>
      </c>
      <c r="I600" s="34" t="str">
        <f aca="false">IF(OR($A600="",$C600=""),"",IFERROR(MAX(1,INDEX(PRODUCTOS!$G$6:$G$105,MATCH($A600,PRODUCTOS!$A$6:$A$105,0))),1))</f>
        <v/>
      </c>
      <c r="J600" s="43" t="str">
        <f aca="false">IF(OR($A600="",$C600=""),"",$H600/$I600)</f>
        <v/>
      </c>
      <c r="K600" s="34" t="str">
        <f aca="false">IF(OR($A600="",$C600=""),"",SUMIFS(VENTAS!$E$6:$E$2005,VENTAS!$C$6:$C$2005,$A600))</f>
        <v/>
      </c>
      <c r="L600" s="45" t="str">
        <f aca="false">IF(OR($A600="",$C600=""),"",IFERROR(N($F600)/INDEX(INSUMOS!$I$6:$I$205,MATCH($C600,INSUMOS!$A$6:$A$205,0)),N($F600))/$I600*$K600)</f>
        <v/>
      </c>
      <c r="M600" s="8" t="str">
        <f aca="false">IF($A600="","",COUNTIF($A$6:$A600,$A600))</f>
        <v/>
      </c>
      <c r="N600" s="8" t="str">
        <f aca="false">IF($A600="","",$A600&amp;"|"&amp;$M600)</f>
        <v/>
      </c>
    </row>
    <row r="601" customFormat="false" ht="15" hidden="false" customHeight="false" outlineLevel="0" collapsed="false">
      <c r="A601" s="6"/>
      <c r="B601" s="8" t="str">
        <f aca="false">IF($A601="","",IFERROR(INDEX(PRODUCTOS!$B$6:$B$105,MATCH($A601,PRODUCTOS!$A$6:$A$105,0)),"¿Código?"))</f>
        <v/>
      </c>
      <c r="C601" s="6"/>
      <c r="D601" s="8" t="str">
        <f aca="false">IF($C601="","",IFERROR(INDEX(INSUMOS!$B$6:$B$205,MATCH($C601,INSUMOS!$A$6:$A$205,0)),"¿Código?"))</f>
        <v/>
      </c>
      <c r="E601" s="8" t="str">
        <f aca="false">IF($C601="","",IFERROR(INDEX(INSUMOS!$D$6:$D$205,MATCH($C601,INSUMOS!$A$6:$A$205,0)),""))</f>
        <v/>
      </c>
      <c r="F601" s="39"/>
      <c r="G601" s="43" t="str">
        <f aca="false">IF(OR($A601="",$C601=""),"",IFERROR(INDEX(INSUMOS!$P$6:$P$205,MATCH($C601,INSUMOS!$A$6:$A$205,0)),0))</f>
        <v/>
      </c>
      <c r="H601" s="43" t="str">
        <f aca="false">IF(OR($A601="",$C601=""),"",N($F601)*$G601)</f>
        <v/>
      </c>
      <c r="I601" s="34" t="str">
        <f aca="false">IF(OR($A601="",$C601=""),"",IFERROR(MAX(1,INDEX(PRODUCTOS!$G$6:$G$105,MATCH($A601,PRODUCTOS!$A$6:$A$105,0))),1))</f>
        <v/>
      </c>
      <c r="J601" s="43" t="str">
        <f aca="false">IF(OR($A601="",$C601=""),"",$H601/$I601)</f>
        <v/>
      </c>
      <c r="K601" s="34" t="str">
        <f aca="false">IF(OR($A601="",$C601=""),"",SUMIFS(VENTAS!$E$6:$E$2005,VENTAS!$C$6:$C$2005,$A601))</f>
        <v/>
      </c>
      <c r="L601" s="45" t="str">
        <f aca="false">IF(OR($A601="",$C601=""),"",IFERROR(N($F601)/INDEX(INSUMOS!$I$6:$I$205,MATCH($C601,INSUMOS!$A$6:$A$205,0)),N($F601))/$I601*$K601)</f>
        <v/>
      </c>
      <c r="M601" s="8" t="str">
        <f aca="false">IF($A601="","",COUNTIF($A$6:$A601,$A601))</f>
        <v/>
      </c>
      <c r="N601" s="8" t="str">
        <f aca="false">IF($A601="","",$A601&amp;"|"&amp;$M601)</f>
        <v/>
      </c>
    </row>
    <row r="602" customFormat="false" ht="15" hidden="false" customHeight="false" outlineLevel="0" collapsed="false">
      <c r="A602" s="6"/>
      <c r="B602" s="8" t="str">
        <f aca="false">IF($A602="","",IFERROR(INDEX(PRODUCTOS!$B$6:$B$105,MATCH($A602,PRODUCTOS!$A$6:$A$105,0)),"¿Código?"))</f>
        <v/>
      </c>
      <c r="C602" s="6"/>
      <c r="D602" s="8" t="str">
        <f aca="false">IF($C602="","",IFERROR(INDEX(INSUMOS!$B$6:$B$205,MATCH($C602,INSUMOS!$A$6:$A$205,0)),"¿Código?"))</f>
        <v/>
      </c>
      <c r="E602" s="8" t="str">
        <f aca="false">IF($C602="","",IFERROR(INDEX(INSUMOS!$D$6:$D$205,MATCH($C602,INSUMOS!$A$6:$A$205,0)),""))</f>
        <v/>
      </c>
      <c r="F602" s="39"/>
      <c r="G602" s="43" t="str">
        <f aca="false">IF(OR($A602="",$C602=""),"",IFERROR(INDEX(INSUMOS!$P$6:$P$205,MATCH($C602,INSUMOS!$A$6:$A$205,0)),0))</f>
        <v/>
      </c>
      <c r="H602" s="43" t="str">
        <f aca="false">IF(OR($A602="",$C602=""),"",N($F602)*$G602)</f>
        <v/>
      </c>
      <c r="I602" s="34" t="str">
        <f aca="false">IF(OR($A602="",$C602=""),"",IFERROR(MAX(1,INDEX(PRODUCTOS!$G$6:$G$105,MATCH($A602,PRODUCTOS!$A$6:$A$105,0))),1))</f>
        <v/>
      </c>
      <c r="J602" s="43" t="str">
        <f aca="false">IF(OR($A602="",$C602=""),"",$H602/$I602)</f>
        <v/>
      </c>
      <c r="K602" s="34" t="str">
        <f aca="false">IF(OR($A602="",$C602=""),"",SUMIFS(VENTAS!$E$6:$E$2005,VENTAS!$C$6:$C$2005,$A602))</f>
        <v/>
      </c>
      <c r="L602" s="45" t="str">
        <f aca="false">IF(OR($A602="",$C602=""),"",IFERROR(N($F602)/INDEX(INSUMOS!$I$6:$I$205,MATCH($C602,INSUMOS!$A$6:$A$205,0)),N($F602))/$I602*$K602)</f>
        <v/>
      </c>
      <c r="M602" s="8" t="str">
        <f aca="false">IF($A602="","",COUNTIF($A$6:$A602,$A602))</f>
        <v/>
      </c>
      <c r="N602" s="8" t="str">
        <f aca="false">IF($A602="","",$A602&amp;"|"&amp;$M602)</f>
        <v/>
      </c>
    </row>
    <row r="603" customFormat="false" ht="15" hidden="false" customHeight="false" outlineLevel="0" collapsed="false">
      <c r="A603" s="6"/>
      <c r="B603" s="8" t="str">
        <f aca="false">IF($A603="","",IFERROR(INDEX(PRODUCTOS!$B$6:$B$105,MATCH($A603,PRODUCTOS!$A$6:$A$105,0)),"¿Código?"))</f>
        <v/>
      </c>
      <c r="C603" s="6"/>
      <c r="D603" s="8" t="str">
        <f aca="false">IF($C603="","",IFERROR(INDEX(INSUMOS!$B$6:$B$205,MATCH($C603,INSUMOS!$A$6:$A$205,0)),"¿Código?"))</f>
        <v/>
      </c>
      <c r="E603" s="8" t="str">
        <f aca="false">IF($C603="","",IFERROR(INDEX(INSUMOS!$D$6:$D$205,MATCH($C603,INSUMOS!$A$6:$A$205,0)),""))</f>
        <v/>
      </c>
      <c r="F603" s="39"/>
      <c r="G603" s="43" t="str">
        <f aca="false">IF(OR($A603="",$C603=""),"",IFERROR(INDEX(INSUMOS!$P$6:$P$205,MATCH($C603,INSUMOS!$A$6:$A$205,0)),0))</f>
        <v/>
      </c>
      <c r="H603" s="43" t="str">
        <f aca="false">IF(OR($A603="",$C603=""),"",N($F603)*$G603)</f>
        <v/>
      </c>
      <c r="I603" s="34" t="str">
        <f aca="false">IF(OR($A603="",$C603=""),"",IFERROR(MAX(1,INDEX(PRODUCTOS!$G$6:$G$105,MATCH($A603,PRODUCTOS!$A$6:$A$105,0))),1))</f>
        <v/>
      </c>
      <c r="J603" s="43" t="str">
        <f aca="false">IF(OR($A603="",$C603=""),"",$H603/$I603)</f>
        <v/>
      </c>
      <c r="K603" s="34" t="str">
        <f aca="false">IF(OR($A603="",$C603=""),"",SUMIFS(VENTAS!$E$6:$E$2005,VENTAS!$C$6:$C$2005,$A603))</f>
        <v/>
      </c>
      <c r="L603" s="45" t="str">
        <f aca="false">IF(OR($A603="",$C603=""),"",IFERROR(N($F603)/INDEX(INSUMOS!$I$6:$I$205,MATCH($C603,INSUMOS!$A$6:$A$205,0)),N($F603))/$I603*$K603)</f>
        <v/>
      </c>
      <c r="M603" s="8" t="str">
        <f aca="false">IF($A603="","",COUNTIF($A$6:$A603,$A603))</f>
        <v/>
      </c>
      <c r="N603" s="8" t="str">
        <f aca="false">IF($A603="","",$A603&amp;"|"&amp;$M603)</f>
        <v/>
      </c>
    </row>
    <row r="604" customFormat="false" ht="15" hidden="false" customHeight="false" outlineLevel="0" collapsed="false">
      <c r="A604" s="6"/>
      <c r="B604" s="8" t="str">
        <f aca="false">IF($A604="","",IFERROR(INDEX(PRODUCTOS!$B$6:$B$105,MATCH($A604,PRODUCTOS!$A$6:$A$105,0)),"¿Código?"))</f>
        <v/>
      </c>
      <c r="C604" s="6"/>
      <c r="D604" s="8" t="str">
        <f aca="false">IF($C604="","",IFERROR(INDEX(INSUMOS!$B$6:$B$205,MATCH($C604,INSUMOS!$A$6:$A$205,0)),"¿Código?"))</f>
        <v/>
      </c>
      <c r="E604" s="8" t="str">
        <f aca="false">IF($C604="","",IFERROR(INDEX(INSUMOS!$D$6:$D$205,MATCH($C604,INSUMOS!$A$6:$A$205,0)),""))</f>
        <v/>
      </c>
      <c r="F604" s="39"/>
      <c r="G604" s="43" t="str">
        <f aca="false">IF(OR($A604="",$C604=""),"",IFERROR(INDEX(INSUMOS!$P$6:$P$205,MATCH($C604,INSUMOS!$A$6:$A$205,0)),0))</f>
        <v/>
      </c>
      <c r="H604" s="43" t="str">
        <f aca="false">IF(OR($A604="",$C604=""),"",N($F604)*$G604)</f>
        <v/>
      </c>
      <c r="I604" s="34" t="str">
        <f aca="false">IF(OR($A604="",$C604=""),"",IFERROR(MAX(1,INDEX(PRODUCTOS!$G$6:$G$105,MATCH($A604,PRODUCTOS!$A$6:$A$105,0))),1))</f>
        <v/>
      </c>
      <c r="J604" s="43" t="str">
        <f aca="false">IF(OR($A604="",$C604=""),"",$H604/$I604)</f>
        <v/>
      </c>
      <c r="K604" s="34" t="str">
        <f aca="false">IF(OR($A604="",$C604=""),"",SUMIFS(VENTAS!$E$6:$E$2005,VENTAS!$C$6:$C$2005,$A604))</f>
        <v/>
      </c>
      <c r="L604" s="45" t="str">
        <f aca="false">IF(OR($A604="",$C604=""),"",IFERROR(N($F604)/INDEX(INSUMOS!$I$6:$I$205,MATCH($C604,INSUMOS!$A$6:$A$205,0)),N($F604))/$I604*$K604)</f>
        <v/>
      </c>
      <c r="M604" s="8" t="str">
        <f aca="false">IF($A604="","",COUNTIF($A$6:$A604,$A604))</f>
        <v/>
      </c>
      <c r="N604" s="8" t="str">
        <f aca="false">IF($A604="","",$A604&amp;"|"&amp;$M604)</f>
        <v/>
      </c>
    </row>
    <row r="605" customFormat="false" ht="15" hidden="false" customHeight="false" outlineLevel="0" collapsed="false">
      <c r="A605" s="6"/>
      <c r="B605" s="8" t="str">
        <f aca="false">IF($A605="","",IFERROR(INDEX(PRODUCTOS!$B$6:$B$105,MATCH($A605,PRODUCTOS!$A$6:$A$105,0)),"¿Código?"))</f>
        <v/>
      </c>
      <c r="C605" s="6"/>
      <c r="D605" s="8" t="str">
        <f aca="false">IF($C605="","",IFERROR(INDEX(INSUMOS!$B$6:$B$205,MATCH($C605,INSUMOS!$A$6:$A$205,0)),"¿Código?"))</f>
        <v/>
      </c>
      <c r="E605" s="8" t="str">
        <f aca="false">IF($C605="","",IFERROR(INDEX(INSUMOS!$D$6:$D$205,MATCH($C605,INSUMOS!$A$6:$A$205,0)),""))</f>
        <v/>
      </c>
      <c r="F605" s="39"/>
      <c r="G605" s="43" t="str">
        <f aca="false">IF(OR($A605="",$C605=""),"",IFERROR(INDEX(INSUMOS!$P$6:$P$205,MATCH($C605,INSUMOS!$A$6:$A$205,0)),0))</f>
        <v/>
      </c>
      <c r="H605" s="43" t="str">
        <f aca="false">IF(OR($A605="",$C605=""),"",N($F605)*$G605)</f>
        <v/>
      </c>
      <c r="I605" s="34" t="str">
        <f aca="false">IF(OR($A605="",$C605=""),"",IFERROR(MAX(1,INDEX(PRODUCTOS!$G$6:$G$105,MATCH($A605,PRODUCTOS!$A$6:$A$105,0))),1))</f>
        <v/>
      </c>
      <c r="J605" s="43" t="str">
        <f aca="false">IF(OR($A605="",$C605=""),"",$H605/$I605)</f>
        <v/>
      </c>
      <c r="K605" s="34" t="str">
        <f aca="false">IF(OR($A605="",$C605=""),"",SUMIFS(VENTAS!$E$6:$E$2005,VENTAS!$C$6:$C$2005,$A605))</f>
        <v/>
      </c>
      <c r="L605" s="45" t="str">
        <f aca="false">IF(OR($A605="",$C605=""),"",IFERROR(N($F605)/INDEX(INSUMOS!$I$6:$I$205,MATCH($C605,INSUMOS!$A$6:$A$205,0)),N($F605))/$I605*$K605)</f>
        <v/>
      </c>
      <c r="M605" s="8" t="str">
        <f aca="false">IF($A605="","",COUNTIF($A$6:$A605,$A605))</f>
        <v/>
      </c>
      <c r="N605" s="8" t="str">
        <f aca="false">IF($A605="","",$A605&amp;"|"&amp;$M605)</f>
        <v/>
      </c>
    </row>
  </sheetData>
  <autoFilter ref="A5:N605"/>
  <dataValidations count="2">
    <dataValidation allowBlank="true" error="Elija un valor de la lista" errorStyle="stop" operator="between" showDropDown="false" showErrorMessage="false" showInputMessage="false" sqref="A6:A605" type="list">
      <formula1>PRODUCTOS!$A$6:$A$105</formula1>
      <formula2>0</formula2>
    </dataValidation>
    <dataValidation allowBlank="true" error="Elija un valor de la lista" errorStyle="stop" operator="between" showDropDown="false" showErrorMessage="false" showInputMessage="false" sqref="C6:C605" type="list">
      <formula1>INSUMOS!$A$6:$A$205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3"/>
  </cols>
  <sheetData>
    <row r="1" customFormat="false" ht="19.7" hidden="false" customHeight="false" outlineLevel="0" collapsed="false">
      <c r="A1" s="1" t="s">
        <v>359</v>
      </c>
    </row>
    <row r="2" customFormat="false" ht="15" hidden="false" customHeight="false" outlineLevel="0" collapsed="false">
      <c r="A2" s="2" t="s">
        <v>360</v>
      </c>
    </row>
    <row r="4" customFormat="false" ht="16.15" hidden="false" customHeight="false" outlineLevel="0" collapsed="false">
      <c r="B4" s="3" t="s">
        <v>361</v>
      </c>
      <c r="C4" s="47" t="s">
        <v>350</v>
      </c>
      <c r="D4" s="25" t="str">
        <f aca="false">IFERROR(INDEX(PRODUCTOS!$B$6:$B$105,MATCH($C$4,PRODUCTOS!$A$6:$A$105,0)),"")</f>
        <v>Fresas con crema Pequeño (8 oz)</v>
      </c>
    </row>
    <row r="5" customFormat="false" ht="15" hidden="false" customHeight="false" outlineLevel="0" collapsed="false">
      <c r="C5" s="48" t="s">
        <v>202</v>
      </c>
      <c r="D5" s="9" t="str">
        <f aca="false">IFERROR(INDEX(PRODUCTOS!$C$6:$C$105,MATCH($C$4,PRODUCTOS!$A$6:$A$105,0)),"")</f>
        <v>Fresas con crema</v>
      </c>
      <c r="E5" s="9"/>
    </row>
    <row r="6" customFormat="false" ht="15" hidden="false" customHeight="false" outlineLevel="0" collapsed="false">
      <c r="C6" s="48" t="s">
        <v>362</v>
      </c>
      <c r="D6" s="49" t="n">
        <f aca="false">IFERROR(INDEX(PRODUCTOS!$G$6:$G$105,MATCH($C$4,PRODUCTOS!$A$6:$A$105,0)),1)</f>
        <v>1</v>
      </c>
    </row>
    <row r="7" customFormat="false" ht="15" hidden="false" customHeight="false" outlineLevel="0" collapsed="false">
      <c r="C7" s="48" t="s">
        <v>363</v>
      </c>
      <c r="D7" s="50" t="n">
        <f aca="false">IFERROR(INDEX(PRODUCTOS!$D$6:$D$105,MATCH($C$4,PRODUCTOS!$A$6:$A$105,0)),0)</f>
        <v>1950</v>
      </c>
    </row>
    <row r="8" customFormat="false" ht="15" hidden="false" customHeight="false" outlineLevel="0" collapsed="false">
      <c r="C8" s="48" t="s">
        <v>364</v>
      </c>
      <c r="D8" s="50" t="n">
        <f aca="false">IFERROR(INDEX(PRODUCTOS!$F$6:$F$105,MATCH($C$4,PRODUCTOS!$A$6:$A$105,0)),0)</f>
        <v>1725.66371681416</v>
      </c>
    </row>
    <row r="10" customFormat="false" ht="15" hidden="false" customHeight="false" outlineLevel="0" collapsed="false">
      <c r="B10" s="15" t="s">
        <v>365</v>
      </c>
      <c r="C10" s="15" t="s">
        <v>366</v>
      </c>
      <c r="D10" s="15" t="s">
        <v>367</v>
      </c>
      <c r="E10" s="15" t="s">
        <v>340</v>
      </c>
      <c r="F10" s="15" t="s">
        <v>368</v>
      </c>
      <c r="G10" s="15" t="s">
        <v>369</v>
      </c>
    </row>
    <row r="11" customFormat="false" ht="15" hidden="false" customHeight="false" outlineLevel="0" collapsed="false">
      <c r="B11" s="8" t="n">
        <v>1</v>
      </c>
      <c r="C11" s="8" t="str">
        <f aca="false">IFERROR(INDEX(RECETAS!$D$6:$D$605,MATCH($C$4&amp;"|"&amp;1,RECETAS!$N$6:$N$605,0)),"")</f>
        <v>Fresas frescas</v>
      </c>
      <c r="D11" s="45" t="n">
        <f aca="false">IFERROR(INDEX(RECETAS!$F$6:$F$605,MATCH($C$4&amp;"|"&amp;1,RECETAS!$N$6:$N$605,0)),"")</f>
        <v>90</v>
      </c>
      <c r="E11" s="8" t="str">
        <f aca="false">IFERROR(INDEX(RECETAS!$E$6:$E$605,MATCH($C$4&amp;"|"&amp;1,RECETAS!$N$6:$N$605,0)),"")</f>
        <v>g</v>
      </c>
      <c r="F11" s="43" t="n">
        <f aca="false">IFERROR(INDEX(RECETAS!$G$6:$G$605,MATCH($C$4&amp;"|"&amp;1,RECETAS!$N$6:$N$605,0)),"")</f>
        <v>3.29411764705882</v>
      </c>
      <c r="G11" s="43" t="n">
        <f aca="false">IFERROR(INDEX(RECETAS!$H$6:$H$605,MATCH($C$4&amp;"|"&amp;1,RECETAS!$N$6:$N$605,0)),"")</f>
        <v>296.470588235294</v>
      </c>
    </row>
    <row r="12" customFormat="false" ht="15" hidden="false" customHeight="false" outlineLevel="0" collapsed="false">
      <c r="B12" s="8" t="n">
        <v>2</v>
      </c>
      <c r="C12" s="8" t="str">
        <f aca="false">IFERROR(INDEX(RECETAS!$D$6:$D$605,MATCH($C$4&amp;"|"&amp;2,RECETAS!$N$6:$N$605,0)),"")</f>
        <v>Crema dulce</v>
      </c>
      <c r="D12" s="45" t="n">
        <f aca="false">IFERROR(INDEX(RECETAS!$F$6:$F$605,MATCH($C$4&amp;"|"&amp;2,RECETAS!$N$6:$N$605,0)),"")</f>
        <v>45</v>
      </c>
      <c r="E12" s="8" t="str">
        <f aca="false">IFERROR(INDEX(RECETAS!$E$6:$E$605,MATCH($C$4&amp;"|"&amp;2,RECETAS!$N$6:$N$605,0)),"")</f>
        <v>ml</v>
      </c>
      <c r="F12" s="43" t="n">
        <f aca="false">IFERROR(INDEX(RECETAS!$G$6:$G$605,MATCH($C$4&amp;"|"&amp;2,RECETAS!$N$6:$N$605,0)),"")</f>
        <v>2.55</v>
      </c>
      <c r="G12" s="43" t="n">
        <f aca="false">IFERROR(INDEX(RECETAS!$H$6:$H$605,MATCH($C$4&amp;"|"&amp;2,RECETAS!$N$6:$N$605,0)),"")</f>
        <v>114.75</v>
      </c>
    </row>
    <row r="13" customFormat="false" ht="15" hidden="false" customHeight="false" outlineLevel="0" collapsed="false">
      <c r="B13" s="8" t="n">
        <v>3</v>
      </c>
      <c r="C13" s="8" t="str">
        <f aca="false">IFERROR(INDEX(RECETAS!$D$6:$D$605,MATCH($C$4&amp;"|"&amp;3,RECETAS!$N$6:$N$605,0)),"")</f>
        <v>Leche condensada</v>
      </c>
      <c r="D13" s="45" t="n">
        <f aca="false">IFERROR(INDEX(RECETAS!$F$6:$F$605,MATCH($C$4&amp;"|"&amp;3,RECETAS!$N$6:$N$605,0)),"")</f>
        <v>20</v>
      </c>
      <c r="E13" s="8" t="str">
        <f aca="false">IFERROR(INDEX(RECETAS!$E$6:$E$605,MATCH($C$4&amp;"|"&amp;3,RECETAS!$N$6:$N$605,0)),"")</f>
        <v>g</v>
      </c>
      <c r="F13" s="43" t="n">
        <f aca="false">IFERROR(INDEX(RECETAS!$G$6:$G$605,MATCH($C$4&amp;"|"&amp;3,RECETAS!$N$6:$N$605,0)),"")</f>
        <v>3.24599444285751</v>
      </c>
      <c r="G13" s="43" t="n">
        <f aca="false">IFERROR(INDEX(RECETAS!$H$6:$H$605,MATCH($C$4&amp;"|"&amp;3,RECETAS!$N$6:$N$605,0)),"")</f>
        <v>64.9198888571503</v>
      </c>
    </row>
    <row r="14" customFormat="false" ht="15" hidden="false" customHeight="false" outlineLevel="0" collapsed="false">
      <c r="B14" s="8" t="n">
        <v>4</v>
      </c>
      <c r="C14" s="8" t="str">
        <f aca="false">IFERROR(INDEX(RECETAS!$D$6:$D$605,MATCH($C$4&amp;"|"&amp;4,RECETAS!$N$6:$N$605,0)),"")</f>
        <v>Esencia de vainilla</v>
      </c>
      <c r="D14" s="45" t="n">
        <f aca="false">IFERROR(INDEX(RECETAS!$F$6:$F$605,MATCH($C$4&amp;"|"&amp;4,RECETAS!$N$6:$N$605,0)),"")</f>
        <v>1</v>
      </c>
      <c r="E14" s="8" t="str">
        <f aca="false">IFERROR(INDEX(RECETAS!$E$6:$E$605,MATCH($C$4&amp;"|"&amp;4,RECETAS!$N$6:$N$605,0)),"")</f>
        <v>ml</v>
      </c>
      <c r="F14" s="43" t="n">
        <f aca="false">IFERROR(INDEX(RECETAS!$G$6:$G$605,MATCH($C$4&amp;"|"&amp;4,RECETAS!$N$6:$N$605,0)),"")</f>
        <v>7.2</v>
      </c>
      <c r="G14" s="43" t="n">
        <f aca="false">IFERROR(INDEX(RECETAS!$H$6:$H$605,MATCH($C$4&amp;"|"&amp;4,RECETAS!$N$6:$N$605,0)),"")</f>
        <v>7.2</v>
      </c>
    </row>
    <row r="15" customFormat="false" ht="15" hidden="false" customHeight="false" outlineLevel="0" collapsed="false">
      <c r="B15" s="8" t="n">
        <v>5</v>
      </c>
      <c r="C15" s="8" t="str">
        <f aca="false">IFERROR(INDEX(RECETAS!$D$6:$D$605,MATCH($C$4&amp;"|"&amp;5,RECETAS!$N$6:$N$605,0)),"")</f>
        <v>Galleta Oreo triturada</v>
      </c>
      <c r="D15" s="45" t="n">
        <f aca="false">IFERROR(INDEX(RECETAS!$F$6:$F$605,MATCH($C$4&amp;"|"&amp;5,RECETAS!$N$6:$N$605,0)),"")</f>
        <v>15</v>
      </c>
      <c r="E15" s="8" t="str">
        <f aca="false">IFERROR(INDEX(RECETAS!$E$6:$E$605,MATCH($C$4&amp;"|"&amp;5,RECETAS!$N$6:$N$605,0)),"")</f>
        <v>g</v>
      </c>
      <c r="F15" s="43" t="n">
        <f aca="false">IFERROR(INDEX(RECETAS!$G$6:$G$605,MATCH($C$4&amp;"|"&amp;5,RECETAS!$N$6:$N$605,0)),"")</f>
        <v>6.33528265107212</v>
      </c>
      <c r="G15" s="43" t="n">
        <f aca="false">IFERROR(INDEX(RECETAS!$H$6:$H$605,MATCH($C$4&amp;"|"&amp;5,RECETAS!$N$6:$N$605,0)),"")</f>
        <v>95.0292397660819</v>
      </c>
    </row>
    <row r="16" customFormat="false" ht="15" hidden="false" customHeight="false" outlineLevel="0" collapsed="false">
      <c r="B16" s="8" t="n">
        <v>6</v>
      </c>
      <c r="C16" s="8" t="str">
        <f aca="false">IFERROR(INDEX(RECETAS!$D$6:$D$605,MATCH($C$4&amp;"|"&amp;6,RECETAS!$N$6:$N$605,0)),"")</f>
        <v>Vaso 8 oz con tapa</v>
      </c>
      <c r="D16" s="45" t="n">
        <f aca="false">IFERROR(INDEX(RECETAS!$F$6:$F$605,MATCH($C$4&amp;"|"&amp;6,RECETAS!$N$6:$N$605,0)),"")</f>
        <v>1</v>
      </c>
      <c r="E16" s="8" t="str">
        <f aca="false">IFERROR(INDEX(RECETAS!$E$6:$E$605,MATCH($C$4&amp;"|"&amp;6,RECETAS!$N$6:$N$605,0)),"")</f>
        <v>u</v>
      </c>
      <c r="F16" s="43" t="n">
        <f aca="false">IFERROR(INDEX(RECETAS!$G$6:$G$605,MATCH($C$4&amp;"|"&amp;6,RECETAS!$N$6:$N$605,0)),"")</f>
        <v>75</v>
      </c>
      <c r="G16" s="43" t="n">
        <f aca="false">IFERROR(INDEX(RECETAS!$H$6:$H$605,MATCH($C$4&amp;"|"&amp;6,RECETAS!$N$6:$N$605,0)),"")</f>
        <v>75</v>
      </c>
    </row>
    <row r="17" customFormat="false" ht="15" hidden="false" customHeight="false" outlineLevel="0" collapsed="false">
      <c r="B17" s="8" t="n">
        <v>7</v>
      </c>
      <c r="C17" s="8" t="str">
        <f aca="false">IFERROR(INDEX(RECETAS!$D$6:$D$605,MATCH($C$4&amp;"|"&amp;7,RECETAS!$N$6:$N$605,0)),"")</f>
        <v>Cuchara plástica</v>
      </c>
      <c r="D17" s="45" t="n">
        <f aca="false">IFERROR(INDEX(RECETAS!$F$6:$F$605,MATCH($C$4&amp;"|"&amp;7,RECETAS!$N$6:$N$605,0)),"")</f>
        <v>1</v>
      </c>
      <c r="E17" s="8" t="str">
        <f aca="false">IFERROR(INDEX(RECETAS!$E$6:$E$605,MATCH($C$4&amp;"|"&amp;7,RECETAS!$N$6:$N$605,0)),"")</f>
        <v>u</v>
      </c>
      <c r="F17" s="43" t="n">
        <f aca="false">IFERROR(INDEX(RECETAS!$G$6:$G$605,MATCH($C$4&amp;"|"&amp;7,RECETAS!$N$6:$N$605,0)),"")</f>
        <v>15</v>
      </c>
      <c r="G17" s="43" t="n">
        <f aca="false">IFERROR(INDEX(RECETAS!$H$6:$H$605,MATCH($C$4&amp;"|"&amp;7,RECETAS!$N$6:$N$605,0)),"")</f>
        <v>15</v>
      </c>
    </row>
    <row r="18" customFormat="false" ht="15" hidden="false" customHeight="false" outlineLevel="0" collapsed="false">
      <c r="B18" s="8" t="n">
        <v>8</v>
      </c>
      <c r="C18" s="8" t="str">
        <f aca="false">IFERROR(INDEX(RECETAS!$D$6:$D$605,MATCH($C$4&amp;"|"&amp;8,RECETAS!$N$6:$N$605,0)),"")</f>
        <v>Servilleta</v>
      </c>
      <c r="D18" s="45" t="n">
        <f aca="false">IFERROR(INDEX(RECETAS!$F$6:$F$605,MATCH($C$4&amp;"|"&amp;8,RECETAS!$N$6:$N$605,0)),"")</f>
        <v>1</v>
      </c>
      <c r="E18" s="8" t="str">
        <f aca="false">IFERROR(INDEX(RECETAS!$E$6:$E$605,MATCH($C$4&amp;"|"&amp;8,RECETAS!$N$6:$N$605,0)),"")</f>
        <v>u</v>
      </c>
      <c r="F18" s="43" t="n">
        <f aca="false">IFERROR(INDEX(RECETAS!$G$6:$G$605,MATCH($C$4&amp;"|"&amp;8,RECETAS!$N$6:$N$605,0)),"")</f>
        <v>5</v>
      </c>
      <c r="G18" s="43" t="n">
        <f aca="false">IFERROR(INDEX(RECETAS!$H$6:$H$605,MATCH($C$4&amp;"|"&amp;8,RECETAS!$N$6:$N$605,0)),"")</f>
        <v>5</v>
      </c>
    </row>
    <row r="19" customFormat="false" ht="15" hidden="false" customHeight="false" outlineLevel="0" collapsed="false">
      <c r="B19" s="8" t="n">
        <v>9</v>
      </c>
      <c r="C19" s="8" t="str">
        <f aca="false">IFERROR(INDEX(RECETAS!$D$6:$D$605,MATCH($C$4&amp;"|"&amp;9,RECETAS!$N$6:$N$605,0)),"")</f>
        <v/>
      </c>
      <c r="D19" s="45" t="str">
        <f aca="false">IFERROR(INDEX(RECETAS!$F$6:$F$605,MATCH($C$4&amp;"|"&amp;9,RECETAS!$N$6:$N$605,0)),"")</f>
        <v/>
      </c>
      <c r="E19" s="8" t="str">
        <f aca="false">IFERROR(INDEX(RECETAS!$E$6:$E$605,MATCH($C$4&amp;"|"&amp;9,RECETAS!$N$6:$N$605,0)),"")</f>
        <v/>
      </c>
      <c r="F19" s="43" t="str">
        <f aca="false">IFERROR(INDEX(RECETAS!$G$6:$G$605,MATCH($C$4&amp;"|"&amp;9,RECETAS!$N$6:$N$605,0)),"")</f>
        <v/>
      </c>
      <c r="G19" s="43" t="str">
        <f aca="false">IFERROR(INDEX(RECETAS!$H$6:$H$605,MATCH($C$4&amp;"|"&amp;9,RECETAS!$N$6:$N$605,0)),"")</f>
        <v/>
      </c>
    </row>
    <row r="20" customFormat="false" ht="15" hidden="false" customHeight="false" outlineLevel="0" collapsed="false">
      <c r="B20" s="8" t="n">
        <v>10</v>
      </c>
      <c r="C20" s="8" t="str">
        <f aca="false">IFERROR(INDEX(RECETAS!$D$6:$D$605,MATCH($C$4&amp;"|"&amp;10,RECETAS!$N$6:$N$605,0)),"")</f>
        <v/>
      </c>
      <c r="D20" s="45" t="str">
        <f aca="false">IFERROR(INDEX(RECETAS!$F$6:$F$605,MATCH($C$4&amp;"|"&amp;10,RECETAS!$N$6:$N$605,0)),"")</f>
        <v/>
      </c>
      <c r="E20" s="8" t="str">
        <f aca="false">IFERROR(INDEX(RECETAS!$E$6:$E$605,MATCH($C$4&amp;"|"&amp;10,RECETAS!$N$6:$N$605,0)),"")</f>
        <v/>
      </c>
      <c r="F20" s="43" t="str">
        <f aca="false">IFERROR(INDEX(RECETAS!$G$6:$G$605,MATCH($C$4&amp;"|"&amp;10,RECETAS!$N$6:$N$605,0)),"")</f>
        <v/>
      </c>
      <c r="G20" s="43" t="str">
        <f aca="false">IFERROR(INDEX(RECETAS!$H$6:$H$605,MATCH($C$4&amp;"|"&amp;10,RECETAS!$N$6:$N$605,0)),"")</f>
        <v/>
      </c>
    </row>
    <row r="21" customFormat="false" ht="15" hidden="false" customHeight="false" outlineLevel="0" collapsed="false">
      <c r="B21" s="8" t="n">
        <v>11</v>
      </c>
      <c r="C21" s="8" t="str">
        <f aca="false">IFERROR(INDEX(RECETAS!$D$6:$D$605,MATCH($C$4&amp;"|"&amp;11,RECETAS!$N$6:$N$605,0)),"")</f>
        <v/>
      </c>
      <c r="D21" s="45" t="str">
        <f aca="false">IFERROR(INDEX(RECETAS!$F$6:$F$605,MATCH($C$4&amp;"|"&amp;11,RECETAS!$N$6:$N$605,0)),"")</f>
        <v/>
      </c>
      <c r="E21" s="8" t="str">
        <f aca="false">IFERROR(INDEX(RECETAS!$E$6:$E$605,MATCH($C$4&amp;"|"&amp;11,RECETAS!$N$6:$N$605,0)),"")</f>
        <v/>
      </c>
      <c r="F21" s="43" t="str">
        <f aca="false">IFERROR(INDEX(RECETAS!$G$6:$G$605,MATCH($C$4&amp;"|"&amp;11,RECETAS!$N$6:$N$605,0)),"")</f>
        <v/>
      </c>
      <c r="G21" s="43" t="str">
        <f aca="false">IFERROR(INDEX(RECETAS!$H$6:$H$605,MATCH($C$4&amp;"|"&amp;11,RECETAS!$N$6:$N$605,0)),"")</f>
        <v/>
      </c>
    </row>
    <row r="22" customFormat="false" ht="15" hidden="false" customHeight="false" outlineLevel="0" collapsed="false">
      <c r="B22" s="8" t="n">
        <v>12</v>
      </c>
      <c r="C22" s="8" t="str">
        <f aca="false">IFERROR(INDEX(RECETAS!$D$6:$D$605,MATCH($C$4&amp;"|"&amp;12,RECETAS!$N$6:$N$605,0)),"")</f>
        <v/>
      </c>
      <c r="D22" s="45" t="str">
        <f aca="false">IFERROR(INDEX(RECETAS!$F$6:$F$605,MATCH($C$4&amp;"|"&amp;12,RECETAS!$N$6:$N$605,0)),"")</f>
        <v/>
      </c>
      <c r="E22" s="8" t="str">
        <f aca="false">IFERROR(INDEX(RECETAS!$E$6:$E$605,MATCH($C$4&amp;"|"&amp;12,RECETAS!$N$6:$N$605,0)),"")</f>
        <v/>
      </c>
      <c r="F22" s="43" t="str">
        <f aca="false">IFERROR(INDEX(RECETAS!$G$6:$G$605,MATCH($C$4&amp;"|"&amp;12,RECETAS!$N$6:$N$605,0)),"")</f>
        <v/>
      </c>
      <c r="G22" s="43" t="str">
        <f aca="false">IFERROR(INDEX(RECETAS!$H$6:$H$605,MATCH($C$4&amp;"|"&amp;12,RECETAS!$N$6:$N$605,0)),"")</f>
        <v/>
      </c>
    </row>
    <row r="23" customFormat="false" ht="15" hidden="false" customHeight="false" outlineLevel="0" collapsed="false">
      <c r="B23" s="8" t="n">
        <v>13</v>
      </c>
      <c r="C23" s="8" t="str">
        <f aca="false">IFERROR(INDEX(RECETAS!$D$6:$D$605,MATCH($C$4&amp;"|"&amp;13,RECETAS!$N$6:$N$605,0)),"")</f>
        <v/>
      </c>
      <c r="D23" s="45" t="str">
        <f aca="false">IFERROR(INDEX(RECETAS!$F$6:$F$605,MATCH($C$4&amp;"|"&amp;13,RECETAS!$N$6:$N$605,0)),"")</f>
        <v/>
      </c>
      <c r="E23" s="8" t="str">
        <f aca="false">IFERROR(INDEX(RECETAS!$E$6:$E$605,MATCH($C$4&amp;"|"&amp;13,RECETAS!$N$6:$N$605,0)),"")</f>
        <v/>
      </c>
      <c r="F23" s="43" t="str">
        <f aca="false">IFERROR(INDEX(RECETAS!$G$6:$G$605,MATCH($C$4&amp;"|"&amp;13,RECETAS!$N$6:$N$605,0)),"")</f>
        <v/>
      </c>
      <c r="G23" s="43" t="str">
        <f aca="false">IFERROR(INDEX(RECETAS!$H$6:$H$605,MATCH($C$4&amp;"|"&amp;13,RECETAS!$N$6:$N$605,0)),"")</f>
        <v/>
      </c>
    </row>
    <row r="24" customFormat="false" ht="15" hidden="false" customHeight="false" outlineLevel="0" collapsed="false">
      <c r="B24" s="8" t="n">
        <v>14</v>
      </c>
      <c r="C24" s="8" t="str">
        <f aca="false">IFERROR(INDEX(RECETAS!$D$6:$D$605,MATCH($C$4&amp;"|"&amp;14,RECETAS!$N$6:$N$605,0)),"")</f>
        <v/>
      </c>
      <c r="D24" s="45" t="str">
        <f aca="false">IFERROR(INDEX(RECETAS!$F$6:$F$605,MATCH($C$4&amp;"|"&amp;14,RECETAS!$N$6:$N$605,0)),"")</f>
        <v/>
      </c>
      <c r="E24" s="8" t="str">
        <f aca="false">IFERROR(INDEX(RECETAS!$E$6:$E$605,MATCH($C$4&amp;"|"&amp;14,RECETAS!$N$6:$N$605,0)),"")</f>
        <v/>
      </c>
      <c r="F24" s="43" t="str">
        <f aca="false">IFERROR(INDEX(RECETAS!$G$6:$G$605,MATCH($C$4&amp;"|"&amp;14,RECETAS!$N$6:$N$605,0)),"")</f>
        <v/>
      </c>
      <c r="G24" s="43" t="str">
        <f aca="false">IFERROR(INDEX(RECETAS!$H$6:$H$605,MATCH($C$4&amp;"|"&amp;14,RECETAS!$N$6:$N$605,0)),"")</f>
        <v/>
      </c>
    </row>
    <row r="25" customFormat="false" ht="15" hidden="false" customHeight="false" outlineLevel="0" collapsed="false">
      <c r="B25" s="8" t="n">
        <v>15</v>
      </c>
      <c r="C25" s="8" t="str">
        <f aca="false">IFERROR(INDEX(RECETAS!$D$6:$D$605,MATCH($C$4&amp;"|"&amp;15,RECETAS!$N$6:$N$605,0)),"")</f>
        <v/>
      </c>
      <c r="D25" s="45" t="str">
        <f aca="false">IFERROR(INDEX(RECETAS!$F$6:$F$605,MATCH($C$4&amp;"|"&amp;15,RECETAS!$N$6:$N$605,0)),"")</f>
        <v/>
      </c>
      <c r="E25" s="8" t="str">
        <f aca="false">IFERROR(INDEX(RECETAS!$E$6:$E$605,MATCH($C$4&amp;"|"&amp;15,RECETAS!$N$6:$N$605,0)),"")</f>
        <v/>
      </c>
      <c r="F25" s="43" t="str">
        <f aca="false">IFERROR(INDEX(RECETAS!$G$6:$G$605,MATCH($C$4&amp;"|"&amp;15,RECETAS!$N$6:$N$605,0)),"")</f>
        <v/>
      </c>
      <c r="G25" s="43" t="str">
        <f aca="false">IFERROR(INDEX(RECETAS!$H$6:$H$605,MATCH($C$4&amp;"|"&amp;15,RECETAS!$N$6:$N$605,0)),"")</f>
        <v/>
      </c>
    </row>
    <row r="26" customFormat="false" ht="15" hidden="false" customHeight="false" outlineLevel="0" collapsed="false">
      <c r="B26" s="8" t="n">
        <v>16</v>
      </c>
      <c r="C26" s="8" t="str">
        <f aca="false">IFERROR(INDEX(RECETAS!$D$6:$D$605,MATCH($C$4&amp;"|"&amp;16,RECETAS!$N$6:$N$605,0)),"")</f>
        <v/>
      </c>
      <c r="D26" s="45" t="str">
        <f aca="false">IFERROR(INDEX(RECETAS!$F$6:$F$605,MATCH($C$4&amp;"|"&amp;16,RECETAS!$N$6:$N$605,0)),"")</f>
        <v/>
      </c>
      <c r="E26" s="8" t="str">
        <f aca="false">IFERROR(INDEX(RECETAS!$E$6:$E$605,MATCH($C$4&amp;"|"&amp;16,RECETAS!$N$6:$N$605,0)),"")</f>
        <v/>
      </c>
      <c r="F26" s="43" t="str">
        <f aca="false">IFERROR(INDEX(RECETAS!$G$6:$G$605,MATCH($C$4&amp;"|"&amp;16,RECETAS!$N$6:$N$605,0)),"")</f>
        <v/>
      </c>
      <c r="G26" s="43" t="str">
        <f aca="false">IFERROR(INDEX(RECETAS!$H$6:$H$605,MATCH($C$4&amp;"|"&amp;16,RECETAS!$N$6:$N$605,0)),"")</f>
        <v/>
      </c>
    </row>
    <row r="27" customFormat="false" ht="15" hidden="false" customHeight="false" outlineLevel="0" collapsed="false">
      <c r="B27" s="8" t="n">
        <v>17</v>
      </c>
      <c r="C27" s="8" t="str">
        <f aca="false">IFERROR(INDEX(RECETAS!$D$6:$D$605,MATCH($C$4&amp;"|"&amp;17,RECETAS!$N$6:$N$605,0)),"")</f>
        <v/>
      </c>
      <c r="D27" s="45" t="str">
        <f aca="false">IFERROR(INDEX(RECETAS!$F$6:$F$605,MATCH($C$4&amp;"|"&amp;17,RECETAS!$N$6:$N$605,0)),"")</f>
        <v/>
      </c>
      <c r="E27" s="8" t="str">
        <f aca="false">IFERROR(INDEX(RECETAS!$E$6:$E$605,MATCH($C$4&amp;"|"&amp;17,RECETAS!$N$6:$N$605,0)),"")</f>
        <v/>
      </c>
      <c r="F27" s="43" t="str">
        <f aca="false">IFERROR(INDEX(RECETAS!$G$6:$G$605,MATCH($C$4&amp;"|"&amp;17,RECETAS!$N$6:$N$605,0)),"")</f>
        <v/>
      </c>
      <c r="G27" s="43" t="str">
        <f aca="false">IFERROR(INDEX(RECETAS!$H$6:$H$605,MATCH($C$4&amp;"|"&amp;17,RECETAS!$N$6:$N$605,0)),"")</f>
        <v/>
      </c>
    </row>
    <row r="28" customFormat="false" ht="15" hidden="false" customHeight="false" outlineLevel="0" collapsed="false">
      <c r="B28" s="8" t="n">
        <v>18</v>
      </c>
      <c r="C28" s="8" t="str">
        <f aca="false">IFERROR(INDEX(RECETAS!$D$6:$D$605,MATCH($C$4&amp;"|"&amp;18,RECETAS!$N$6:$N$605,0)),"")</f>
        <v/>
      </c>
      <c r="D28" s="45" t="str">
        <f aca="false">IFERROR(INDEX(RECETAS!$F$6:$F$605,MATCH($C$4&amp;"|"&amp;18,RECETAS!$N$6:$N$605,0)),"")</f>
        <v/>
      </c>
      <c r="E28" s="8" t="str">
        <f aca="false">IFERROR(INDEX(RECETAS!$E$6:$E$605,MATCH($C$4&amp;"|"&amp;18,RECETAS!$N$6:$N$605,0)),"")</f>
        <v/>
      </c>
      <c r="F28" s="43" t="str">
        <f aca="false">IFERROR(INDEX(RECETAS!$G$6:$G$605,MATCH($C$4&amp;"|"&amp;18,RECETAS!$N$6:$N$605,0)),"")</f>
        <v/>
      </c>
      <c r="G28" s="43" t="str">
        <f aca="false">IFERROR(INDEX(RECETAS!$H$6:$H$605,MATCH($C$4&amp;"|"&amp;18,RECETAS!$N$6:$N$605,0)),"")</f>
        <v/>
      </c>
    </row>
    <row r="29" customFormat="false" ht="15" hidden="false" customHeight="false" outlineLevel="0" collapsed="false">
      <c r="B29" s="8" t="n">
        <v>19</v>
      </c>
      <c r="C29" s="8" t="str">
        <f aca="false">IFERROR(INDEX(RECETAS!$D$6:$D$605,MATCH($C$4&amp;"|"&amp;19,RECETAS!$N$6:$N$605,0)),"")</f>
        <v/>
      </c>
      <c r="D29" s="45" t="str">
        <f aca="false">IFERROR(INDEX(RECETAS!$F$6:$F$605,MATCH($C$4&amp;"|"&amp;19,RECETAS!$N$6:$N$605,0)),"")</f>
        <v/>
      </c>
      <c r="E29" s="8" t="str">
        <f aca="false">IFERROR(INDEX(RECETAS!$E$6:$E$605,MATCH($C$4&amp;"|"&amp;19,RECETAS!$N$6:$N$605,0)),"")</f>
        <v/>
      </c>
      <c r="F29" s="43" t="str">
        <f aca="false">IFERROR(INDEX(RECETAS!$G$6:$G$605,MATCH($C$4&amp;"|"&amp;19,RECETAS!$N$6:$N$605,0)),"")</f>
        <v/>
      </c>
      <c r="G29" s="43" t="str">
        <f aca="false">IFERROR(INDEX(RECETAS!$H$6:$H$605,MATCH($C$4&amp;"|"&amp;19,RECETAS!$N$6:$N$605,0)),"")</f>
        <v/>
      </c>
    </row>
    <row r="30" customFormat="false" ht="15" hidden="false" customHeight="false" outlineLevel="0" collapsed="false">
      <c r="B30" s="8" t="n">
        <v>20</v>
      </c>
      <c r="C30" s="8" t="str">
        <f aca="false">IFERROR(INDEX(RECETAS!$D$6:$D$605,MATCH($C$4&amp;"|"&amp;20,RECETAS!$N$6:$N$605,0)),"")</f>
        <v/>
      </c>
      <c r="D30" s="45" t="str">
        <f aca="false">IFERROR(INDEX(RECETAS!$F$6:$F$605,MATCH($C$4&amp;"|"&amp;20,RECETAS!$N$6:$N$605,0)),"")</f>
        <v/>
      </c>
      <c r="E30" s="8" t="str">
        <f aca="false">IFERROR(INDEX(RECETAS!$E$6:$E$605,MATCH($C$4&amp;"|"&amp;20,RECETAS!$N$6:$N$605,0)),"")</f>
        <v/>
      </c>
      <c r="F30" s="43" t="str">
        <f aca="false">IFERROR(INDEX(RECETAS!$G$6:$G$605,MATCH($C$4&amp;"|"&amp;20,RECETAS!$N$6:$N$605,0)),"")</f>
        <v/>
      </c>
      <c r="G30" s="43" t="str">
        <f aca="false">IFERROR(INDEX(RECETAS!$H$6:$H$605,MATCH($C$4&amp;"|"&amp;20,RECETAS!$N$6:$N$605,0)),"")</f>
        <v/>
      </c>
    </row>
    <row r="31" customFormat="false" ht="15" hidden="false" customHeight="false" outlineLevel="0" collapsed="false">
      <c r="B31" s="8" t="n">
        <v>21</v>
      </c>
      <c r="C31" s="8" t="str">
        <f aca="false">IFERROR(INDEX(RECETAS!$D$6:$D$605,MATCH($C$4&amp;"|"&amp;21,RECETAS!$N$6:$N$605,0)),"")</f>
        <v/>
      </c>
      <c r="D31" s="45" t="str">
        <f aca="false">IFERROR(INDEX(RECETAS!$F$6:$F$605,MATCH($C$4&amp;"|"&amp;21,RECETAS!$N$6:$N$605,0)),"")</f>
        <v/>
      </c>
      <c r="E31" s="8" t="str">
        <f aca="false">IFERROR(INDEX(RECETAS!$E$6:$E$605,MATCH($C$4&amp;"|"&amp;21,RECETAS!$N$6:$N$605,0)),"")</f>
        <v/>
      </c>
      <c r="F31" s="43" t="str">
        <f aca="false">IFERROR(INDEX(RECETAS!$G$6:$G$605,MATCH($C$4&amp;"|"&amp;21,RECETAS!$N$6:$N$605,0)),"")</f>
        <v/>
      </c>
      <c r="G31" s="43" t="str">
        <f aca="false">IFERROR(INDEX(RECETAS!$H$6:$H$605,MATCH($C$4&amp;"|"&amp;21,RECETAS!$N$6:$N$605,0)),"")</f>
        <v/>
      </c>
    </row>
    <row r="32" customFormat="false" ht="15" hidden="false" customHeight="false" outlineLevel="0" collapsed="false">
      <c r="B32" s="8" t="n">
        <v>22</v>
      </c>
      <c r="C32" s="8" t="str">
        <f aca="false">IFERROR(INDEX(RECETAS!$D$6:$D$605,MATCH($C$4&amp;"|"&amp;22,RECETAS!$N$6:$N$605,0)),"")</f>
        <v/>
      </c>
      <c r="D32" s="45" t="str">
        <f aca="false">IFERROR(INDEX(RECETAS!$F$6:$F$605,MATCH($C$4&amp;"|"&amp;22,RECETAS!$N$6:$N$605,0)),"")</f>
        <v/>
      </c>
      <c r="E32" s="8" t="str">
        <f aca="false">IFERROR(INDEX(RECETAS!$E$6:$E$605,MATCH($C$4&amp;"|"&amp;22,RECETAS!$N$6:$N$605,0)),"")</f>
        <v/>
      </c>
      <c r="F32" s="43" t="str">
        <f aca="false">IFERROR(INDEX(RECETAS!$G$6:$G$605,MATCH($C$4&amp;"|"&amp;22,RECETAS!$N$6:$N$605,0)),"")</f>
        <v/>
      </c>
      <c r="G32" s="43" t="str">
        <f aca="false">IFERROR(INDEX(RECETAS!$H$6:$H$605,MATCH($C$4&amp;"|"&amp;22,RECETAS!$N$6:$N$605,0)),"")</f>
        <v/>
      </c>
    </row>
    <row r="33" customFormat="false" ht="15" hidden="false" customHeight="false" outlineLevel="0" collapsed="false">
      <c r="B33" s="8" t="n">
        <v>23</v>
      </c>
      <c r="C33" s="8" t="str">
        <f aca="false">IFERROR(INDEX(RECETAS!$D$6:$D$605,MATCH($C$4&amp;"|"&amp;23,RECETAS!$N$6:$N$605,0)),"")</f>
        <v/>
      </c>
      <c r="D33" s="45" t="str">
        <f aca="false">IFERROR(INDEX(RECETAS!$F$6:$F$605,MATCH($C$4&amp;"|"&amp;23,RECETAS!$N$6:$N$605,0)),"")</f>
        <v/>
      </c>
      <c r="E33" s="8" t="str">
        <f aca="false">IFERROR(INDEX(RECETAS!$E$6:$E$605,MATCH($C$4&amp;"|"&amp;23,RECETAS!$N$6:$N$605,0)),"")</f>
        <v/>
      </c>
      <c r="F33" s="43" t="str">
        <f aca="false">IFERROR(INDEX(RECETAS!$G$6:$G$605,MATCH($C$4&amp;"|"&amp;23,RECETAS!$N$6:$N$605,0)),"")</f>
        <v/>
      </c>
      <c r="G33" s="43" t="str">
        <f aca="false">IFERROR(INDEX(RECETAS!$H$6:$H$605,MATCH($C$4&amp;"|"&amp;23,RECETAS!$N$6:$N$605,0)),"")</f>
        <v/>
      </c>
    </row>
    <row r="34" customFormat="false" ht="15" hidden="false" customHeight="false" outlineLevel="0" collapsed="false">
      <c r="B34" s="8" t="n">
        <v>24</v>
      </c>
      <c r="C34" s="8" t="str">
        <f aca="false">IFERROR(INDEX(RECETAS!$D$6:$D$605,MATCH($C$4&amp;"|"&amp;24,RECETAS!$N$6:$N$605,0)),"")</f>
        <v/>
      </c>
      <c r="D34" s="45" t="str">
        <f aca="false">IFERROR(INDEX(RECETAS!$F$6:$F$605,MATCH($C$4&amp;"|"&amp;24,RECETAS!$N$6:$N$605,0)),"")</f>
        <v/>
      </c>
      <c r="E34" s="8" t="str">
        <f aca="false">IFERROR(INDEX(RECETAS!$E$6:$E$605,MATCH($C$4&amp;"|"&amp;24,RECETAS!$N$6:$N$605,0)),"")</f>
        <v/>
      </c>
      <c r="F34" s="43" t="str">
        <f aca="false">IFERROR(INDEX(RECETAS!$G$6:$G$605,MATCH($C$4&amp;"|"&amp;24,RECETAS!$N$6:$N$605,0)),"")</f>
        <v/>
      </c>
      <c r="G34" s="43" t="str">
        <f aca="false">IFERROR(INDEX(RECETAS!$H$6:$H$605,MATCH($C$4&amp;"|"&amp;24,RECETAS!$N$6:$N$605,0)),"")</f>
        <v/>
      </c>
    </row>
    <row r="35" customFormat="false" ht="15" hidden="false" customHeight="false" outlineLevel="0" collapsed="false">
      <c r="B35" s="8" t="n">
        <v>25</v>
      </c>
      <c r="C35" s="8" t="str">
        <f aca="false">IFERROR(INDEX(RECETAS!$D$6:$D$605,MATCH($C$4&amp;"|"&amp;25,RECETAS!$N$6:$N$605,0)),"")</f>
        <v/>
      </c>
      <c r="D35" s="45" t="str">
        <f aca="false">IFERROR(INDEX(RECETAS!$F$6:$F$605,MATCH($C$4&amp;"|"&amp;25,RECETAS!$N$6:$N$605,0)),"")</f>
        <v/>
      </c>
      <c r="E35" s="8" t="str">
        <f aca="false">IFERROR(INDEX(RECETAS!$E$6:$E$605,MATCH($C$4&amp;"|"&amp;25,RECETAS!$N$6:$N$605,0)),"")</f>
        <v/>
      </c>
      <c r="F35" s="43" t="str">
        <f aca="false">IFERROR(INDEX(RECETAS!$G$6:$G$605,MATCH($C$4&amp;"|"&amp;25,RECETAS!$N$6:$N$605,0)),"")</f>
        <v/>
      </c>
      <c r="G35" s="43" t="str">
        <f aca="false">IFERROR(INDEX(RECETAS!$H$6:$H$605,MATCH($C$4&amp;"|"&amp;25,RECETAS!$N$6:$N$605,0)),"")</f>
        <v/>
      </c>
    </row>
    <row r="36" customFormat="false" ht="15" hidden="false" customHeight="false" outlineLevel="0" collapsed="false">
      <c r="B36" s="51" t="s">
        <v>370</v>
      </c>
      <c r="C36" s="51"/>
      <c r="D36" s="51"/>
      <c r="E36" s="51"/>
      <c r="F36" s="51"/>
      <c r="G36" s="38" t="n">
        <f aca="false">SUM(G11:G35)</f>
        <v>673.369716858526</v>
      </c>
    </row>
    <row r="37" customFormat="false" ht="15" hidden="false" customHeight="false" outlineLevel="0" collapsed="false">
      <c r="B37" s="51" t="s">
        <v>371</v>
      </c>
      <c r="C37" s="51"/>
      <c r="D37" s="51"/>
      <c r="E37" s="51"/>
      <c r="F37" s="51"/>
      <c r="G37" s="38" t="n">
        <f aca="false">IFERROR(G36/D6,0)</f>
        <v>673.369716858526</v>
      </c>
    </row>
    <row r="38" customFormat="false" ht="15" hidden="false" customHeight="false" outlineLevel="0" collapsed="false">
      <c r="B38" s="51" t="s">
        <v>372</v>
      </c>
      <c r="C38" s="51"/>
      <c r="D38" s="51"/>
      <c r="E38" s="51"/>
      <c r="F38" s="51"/>
      <c r="G38" s="38" t="n">
        <f aca="false">D8-G37</f>
        <v>1052.29399995563</v>
      </c>
    </row>
    <row r="39" customFormat="false" ht="15" hidden="false" customHeight="false" outlineLevel="0" collapsed="false">
      <c r="B39" s="51" t="s">
        <v>373</v>
      </c>
      <c r="C39" s="51"/>
      <c r="D39" s="51"/>
      <c r="E39" s="51"/>
      <c r="F39" s="51"/>
      <c r="G39" s="52" t="n">
        <f aca="false">IFERROR(G38/D8,0)</f>
        <v>0.609790882025572</v>
      </c>
    </row>
    <row r="40" customFormat="false" ht="15" hidden="false" customHeight="false" outlineLevel="0" collapsed="false">
      <c r="B40" s="51" t="s">
        <v>169</v>
      </c>
      <c r="C40" s="51"/>
      <c r="D40" s="51"/>
      <c r="E40" s="51"/>
      <c r="F40" s="51"/>
      <c r="G40" s="52" t="n">
        <f aca="false">IFERROR(G37/D8,0)</f>
        <v>0.390209117974428</v>
      </c>
    </row>
    <row r="41" customFormat="false" ht="15" hidden="false" customHeight="false" outlineLevel="0" collapsed="false">
      <c r="B41" s="51" t="s">
        <v>374</v>
      </c>
      <c r="C41" s="51"/>
      <c r="D41" s="51"/>
      <c r="E41" s="51"/>
      <c r="F41" s="51"/>
      <c r="G41" s="38" t="n">
        <f aca="false">IFERROR(INDEX(PRODUCTOS!$N$6:$N$105,MATCH($C$4,PRODUCTOS!$A$6:$A$105,0)),0)</f>
        <v>2174.02222871467</v>
      </c>
    </row>
    <row r="42" customFormat="false" ht="15" hidden="false" customHeight="false" outlineLevel="0" collapsed="false">
      <c r="B42" s="51" t="s">
        <v>195</v>
      </c>
      <c r="C42" s="51"/>
      <c r="D42" s="51"/>
      <c r="E42" s="51"/>
      <c r="F42" s="51"/>
      <c r="G42" s="10" t="str">
        <f aca="false">IFERROR(INDEX(PRODUCTOS!$R$6:$R$105,MATCH($C$4,PRODUCTOS!$A$6:$A$105,0)),"")</f>
        <v>REVISAR PRECIO</v>
      </c>
    </row>
    <row r="44" customFormat="false" ht="15" hidden="false" customHeight="false" outlineLevel="0" collapsed="false">
      <c r="B44" s="5" t="s">
        <v>375</v>
      </c>
    </row>
    <row r="45" customFormat="false" ht="15" hidden="false" customHeight="false" outlineLevel="0" collapsed="false">
      <c r="B45" s="53" t="str">
        <f aca="false">IFERROR(INDEX(PRODUCTOS!$S$6:$S$105,MATCH($C$4,PRODUCTOS!$A$6:$A$105,0))&amp;"","")</f>
        <v>1) Lavar y desinfectar fresas, quitar hojas y picar en cuartos. 2) Batir crema dulce con leche condensada y vainilla. 3) Capas: fresas – crema – fresas. 4) 1 topping incluido. 5) Glaseado leche condensada. Tapar y servir con cuchara.</v>
      </c>
      <c r="C45" s="53"/>
      <c r="D45" s="53"/>
      <c r="E45" s="53"/>
      <c r="F45" s="53"/>
      <c r="G45" s="53"/>
    </row>
    <row r="46" customFormat="false" ht="15" hidden="false" customHeight="false" outlineLevel="0" collapsed="false">
      <c r="B46" s="53"/>
      <c r="C46" s="53"/>
      <c r="D46" s="53"/>
      <c r="E46" s="53"/>
      <c r="F46" s="53"/>
      <c r="G46" s="53"/>
    </row>
    <row r="47" customFormat="false" ht="15" hidden="false" customHeight="false" outlineLevel="0" collapsed="false">
      <c r="B47" s="53"/>
      <c r="C47" s="53"/>
      <c r="D47" s="53"/>
      <c r="E47" s="53"/>
      <c r="F47" s="53"/>
      <c r="G47" s="53"/>
    </row>
    <row r="48" customFormat="false" ht="15" hidden="false" customHeight="false" outlineLevel="0" collapsed="false">
      <c r="B48" s="53"/>
      <c r="C48" s="53"/>
      <c r="D48" s="53"/>
      <c r="E48" s="53"/>
      <c r="F48" s="53"/>
      <c r="G48" s="53"/>
    </row>
    <row r="49" customFormat="false" ht="15" hidden="false" customHeight="false" outlineLevel="0" collapsed="false">
      <c r="B49" s="53"/>
      <c r="C49" s="53"/>
      <c r="D49" s="53"/>
      <c r="E49" s="53"/>
      <c r="F49" s="53"/>
      <c r="G49" s="53"/>
    </row>
    <row r="50" customFormat="false" ht="15" hidden="false" customHeight="false" outlineLevel="0" collapsed="false">
      <c r="B50" s="53"/>
      <c r="C50" s="53"/>
      <c r="D50" s="53"/>
      <c r="E50" s="53"/>
      <c r="F50" s="53"/>
      <c r="G50" s="53"/>
    </row>
  </sheetData>
  <mergeCells count="9">
    <mergeCell ref="D5:E5"/>
    <mergeCell ref="B36:F36"/>
    <mergeCell ref="B37:F37"/>
    <mergeCell ref="B38:F38"/>
    <mergeCell ref="B39:F39"/>
    <mergeCell ref="B40:F40"/>
    <mergeCell ref="B41:F41"/>
    <mergeCell ref="B42:F42"/>
    <mergeCell ref="B45:G50"/>
  </mergeCells>
  <conditionalFormatting sqref="G42">
    <cfRule type="expression" priority="2" aboveAverage="0" equalAverage="0" bottom="0" percent="0" rank="0" text="" dxfId="1">
      <formula>$G$42="REVISAR PRECIO"</formula>
    </cfRule>
    <cfRule type="expression" priority="3" aboveAverage="0" equalAverage="0" bottom="0" percent="0" rank="0" text="" dxfId="2">
      <formula>$G$42="SIN RECETA"</formula>
    </cfRule>
    <cfRule type="expression" priority="4" aboveAverage="0" equalAverage="0" bottom="0" percent="0" rank="0" text="" dxfId="3">
      <formula>$G$42="OK"</formula>
    </cfRule>
  </conditionalFormatting>
  <dataValidations count="1">
    <dataValidation allowBlank="true" error="Elija un valor de la lista" errorStyle="stop" operator="between" showDropDown="false" showErrorMessage="false" showInputMessage="false" sqref="C4" type="list">
      <formula1>PRODUCTOS!$A$6:$A$105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S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7" min="16" style="0" width="11"/>
    <col collapsed="false" customWidth="true" hidden="false" outlineLevel="0" max="18" min="18" style="0" width="14"/>
    <col collapsed="false" customWidth="true" hidden="false" outlineLevel="0" max="19" min="19" style="0" width="60"/>
  </cols>
  <sheetData>
    <row r="1" customFormat="false" ht="19.7" hidden="false" customHeight="false" outlineLevel="0" collapsed="false">
      <c r="A1" s="1" t="s">
        <v>376</v>
      </c>
    </row>
    <row r="2" customFormat="false" ht="15" hidden="false" customHeight="false" outlineLevel="0" collapsed="false">
      <c r="A2" s="2" t="s">
        <v>377</v>
      </c>
    </row>
    <row r="3" customFormat="false" ht="15" hidden="false" customHeight="false" outlineLevel="0" collapsed="false">
      <c r="A3" s="2" t="s">
        <v>378</v>
      </c>
    </row>
    <row r="5" customFormat="false" ht="42" hidden="false" customHeight="true" outlineLevel="0" collapsed="false">
      <c r="A5" s="16" t="s">
        <v>201</v>
      </c>
      <c r="B5" s="16" t="s">
        <v>184</v>
      </c>
      <c r="C5" s="16" t="s">
        <v>202</v>
      </c>
      <c r="D5" s="16" t="s">
        <v>363</v>
      </c>
      <c r="E5" s="16" t="s">
        <v>326</v>
      </c>
      <c r="F5" s="15" t="s">
        <v>364</v>
      </c>
      <c r="G5" s="16" t="s">
        <v>379</v>
      </c>
      <c r="H5" s="15" t="s">
        <v>371</v>
      </c>
      <c r="I5" s="15" t="s">
        <v>380</v>
      </c>
      <c r="J5" s="15" t="s">
        <v>373</v>
      </c>
      <c r="K5" s="15" t="s">
        <v>169</v>
      </c>
      <c r="L5" s="16" t="s">
        <v>381</v>
      </c>
      <c r="M5" s="15" t="s">
        <v>382</v>
      </c>
      <c r="N5" s="15" t="s">
        <v>383</v>
      </c>
      <c r="O5" s="15" t="s">
        <v>384</v>
      </c>
      <c r="P5" s="16" t="s">
        <v>385</v>
      </c>
      <c r="Q5" s="15" t="s">
        <v>386</v>
      </c>
      <c r="R5" s="15" t="s">
        <v>195</v>
      </c>
      <c r="S5" s="16" t="s">
        <v>387</v>
      </c>
    </row>
    <row r="6" customFormat="false" ht="15" hidden="false" customHeight="false" outlineLevel="0" collapsed="false">
      <c r="A6" s="6" t="s">
        <v>350</v>
      </c>
      <c r="B6" s="6" t="s">
        <v>388</v>
      </c>
      <c r="C6" s="6" t="s">
        <v>79</v>
      </c>
      <c r="D6" s="40" t="n">
        <v>1950</v>
      </c>
      <c r="E6" s="41" t="n">
        <v>0.13</v>
      </c>
      <c r="F6" s="35" t="n">
        <f aca="false">IF($A6="","",IFERROR($D6/(1+$E6),0))</f>
        <v>1725.66371681416</v>
      </c>
      <c r="G6" s="42" t="n">
        <v>1</v>
      </c>
      <c r="H6" s="35" t="n">
        <f aca="false">IF($A6="","",SUMIFS(RECETAS!$J$6:$J$605,RECETAS!$A$6:$A$605,$A6))</f>
        <v>673.369716858526</v>
      </c>
      <c r="I6" s="35" t="n">
        <f aca="false">IF($A6="","",$F6-$H6)</f>
        <v>1052.29399995563</v>
      </c>
      <c r="J6" s="36" t="n">
        <f aca="false">IF($A6="","",IFERROR($I6/$F6,0))</f>
        <v>0.609790882025572</v>
      </c>
      <c r="K6" s="36" t="n">
        <f aca="false">IF($A6="","",IFERROR($H6/$F6,0))</f>
        <v>0.390209117974428</v>
      </c>
      <c r="L6" s="41" t="n">
        <v>0.65</v>
      </c>
      <c r="M6" s="35" t="n">
        <f aca="false">IF($A6="","",IFERROR($H6/(1-IF(N($L6)&gt;0,$L6,MARGEN_OBJ)),0))</f>
        <v>1923.91347673865</v>
      </c>
      <c r="N6" s="35" t="n">
        <f aca="false">IF($A6="","",$M6*(1+$E6))</f>
        <v>2174.02222871467</v>
      </c>
      <c r="O6" s="36" t="n">
        <f aca="false">IF($A6="","",IFERROR($I6/$H6,0))</f>
        <v>1.56272842928682</v>
      </c>
      <c r="P6" s="42" t="n">
        <v>300</v>
      </c>
      <c r="Q6" s="34" t="n">
        <f aca="false">IF($A6="","",SUMIFS(VENTAS!$E$6:$E$2005,VENTAS!$C$6:$C$2005,$A6))</f>
        <v>27</v>
      </c>
      <c r="R6" s="8" t="str">
        <f aca="false">IF($A6="","",IF($H6=0,"SIN RECETA",IF($K6&gt;FOODCOST_MAX,"REVISAR PRECIO","OK")))</f>
        <v>REVISAR PRECIO</v>
      </c>
      <c r="S6" s="54" t="s">
        <v>389</v>
      </c>
    </row>
    <row r="7" customFormat="false" ht="15" hidden="false" customHeight="false" outlineLevel="0" collapsed="false">
      <c r="A7" s="6" t="s">
        <v>351</v>
      </c>
      <c r="B7" s="6" t="s">
        <v>390</v>
      </c>
      <c r="C7" s="6" t="s">
        <v>79</v>
      </c>
      <c r="D7" s="40" t="n">
        <v>2950</v>
      </c>
      <c r="E7" s="41" t="n">
        <v>0.13</v>
      </c>
      <c r="F7" s="35" t="n">
        <f aca="false">IF($A7="","",IFERROR($D7/(1+$E7),0))</f>
        <v>2610.61946902655</v>
      </c>
      <c r="G7" s="42" t="n">
        <v>1</v>
      </c>
      <c r="H7" s="35" t="n">
        <f aca="false">IF($A7="","",SUMIFS(RECETAS!$J$6:$J$605,RECETAS!$A$6:$A$605,$A7))</f>
        <v>1003.13554364004</v>
      </c>
      <c r="I7" s="35" t="n">
        <f aca="false">IF($A7="","",$F7-$H7)</f>
        <v>1607.48392538651</v>
      </c>
      <c r="J7" s="36" t="n">
        <f aca="false">IF($A7="","",IFERROR($I7/$F7,0))</f>
        <v>0.615748079893814</v>
      </c>
      <c r="K7" s="36" t="n">
        <f aca="false">IF($A7="","",IFERROR($H7/$F7,0))</f>
        <v>0.384251920106186</v>
      </c>
      <c r="L7" s="41" t="n">
        <v>0.65</v>
      </c>
      <c r="M7" s="35" t="n">
        <f aca="false">IF($A7="","",IFERROR($H7/(1-IF(N($L7)&gt;0,$L7,MARGEN_OBJ)),0))</f>
        <v>2866.10155325726</v>
      </c>
      <c r="N7" s="35" t="n">
        <f aca="false">IF($A7="","",$M7*(1+$E7))</f>
        <v>3238.69475518071</v>
      </c>
      <c r="O7" s="36" t="n">
        <f aca="false">IF($A7="","",IFERROR($I7/$H7,0))</f>
        <v>1.60245934418143</v>
      </c>
      <c r="P7" s="42" t="n">
        <v>450</v>
      </c>
      <c r="Q7" s="34" t="n">
        <f aca="false">IF($A7="","",SUMIFS(VENTAS!$E$6:$E$2005,VENTAS!$C$6:$C$2005,$A7))</f>
        <v>40</v>
      </c>
      <c r="R7" s="8" t="str">
        <f aca="false">IF($A7="","",IF($H7=0,"SIN RECETA",IF($K7&gt;FOODCOST_MAX,"REVISAR PRECIO","OK")))</f>
        <v>REVISAR PRECIO</v>
      </c>
      <c r="S7" s="54" t="s">
        <v>391</v>
      </c>
    </row>
    <row r="8" customFormat="false" ht="15" hidden="false" customHeight="false" outlineLevel="0" collapsed="false">
      <c r="A8" s="6" t="s">
        <v>352</v>
      </c>
      <c r="B8" s="6" t="s">
        <v>392</v>
      </c>
      <c r="C8" s="6" t="s">
        <v>79</v>
      </c>
      <c r="D8" s="40" t="n">
        <v>4950</v>
      </c>
      <c r="E8" s="41" t="n">
        <v>0.13</v>
      </c>
      <c r="F8" s="35" t="n">
        <f aca="false">IF($A8="","",IFERROR($D8/(1+$E8),0))</f>
        <v>4380.53097345133</v>
      </c>
      <c r="G8" s="42" t="n">
        <v>1</v>
      </c>
      <c r="H8" s="35" t="n">
        <f aca="false">IF($A8="","",SUMIFS(RECETAS!$J$6:$J$605,RECETAS!$A$6:$A$605,$A8))</f>
        <v>1524.88128530297</v>
      </c>
      <c r="I8" s="35" t="n">
        <f aca="false">IF($A8="","",$F8-$H8)</f>
        <v>2855.64968814836</v>
      </c>
      <c r="J8" s="36" t="n">
        <f aca="false">IF($A8="","",IFERROR($I8/$F8,0))</f>
        <v>0.651895787395483</v>
      </c>
      <c r="K8" s="36" t="n">
        <f aca="false">IF($A8="","",IFERROR($H8/$F8,0))</f>
        <v>0.348104212604517</v>
      </c>
      <c r="L8" s="41" t="n">
        <v>0.65</v>
      </c>
      <c r="M8" s="35" t="n">
        <f aca="false">IF($A8="","",IFERROR($H8/(1-IF(N($L8)&gt;0,$L8,MARGEN_OBJ)),0))</f>
        <v>4356.80367229421</v>
      </c>
      <c r="N8" s="35" t="n">
        <f aca="false">IF($A8="","",$M8*(1+$E8))</f>
        <v>4923.18814969245</v>
      </c>
      <c r="O8" s="36" t="n">
        <f aca="false">IF($A8="","",IFERROR($I8/$H8,0))</f>
        <v>1.87270295443424</v>
      </c>
      <c r="P8" s="42" t="n">
        <v>250</v>
      </c>
      <c r="Q8" s="34" t="n">
        <f aca="false">IF($A8="","",SUMIFS(VENTAS!$E$6:$E$2005,VENTAS!$C$6:$C$2005,$A8))</f>
        <v>20</v>
      </c>
      <c r="R8" s="8" t="str">
        <f aca="false">IF($A8="","",IF($H8=0,"SIN RECETA",IF($K8&gt;FOODCOST_MAX,"REVISAR PRECIO","OK")))</f>
        <v>OK</v>
      </c>
      <c r="S8" s="54" t="s">
        <v>393</v>
      </c>
    </row>
    <row r="9" customFormat="false" ht="15" hidden="false" customHeight="false" outlineLevel="0" collapsed="false">
      <c r="A9" s="6" t="s">
        <v>353</v>
      </c>
      <c r="B9" s="6" t="s">
        <v>394</v>
      </c>
      <c r="C9" s="6" t="s">
        <v>79</v>
      </c>
      <c r="D9" s="40" t="n">
        <v>6950</v>
      </c>
      <c r="E9" s="41" t="n">
        <v>0.13</v>
      </c>
      <c r="F9" s="35" t="n">
        <f aca="false">IF($A9="","",IFERROR($D9/(1+$E9),0))</f>
        <v>6150.44247787611</v>
      </c>
      <c r="G9" s="42" t="n">
        <v>1</v>
      </c>
      <c r="H9" s="35" t="n">
        <f aca="false">IF($A9="","",SUMIFS(RECETAS!$J$6:$J$605,RECETAS!$A$6:$A$605,$A9))</f>
        <v>2350.27356264768</v>
      </c>
      <c r="I9" s="35" t="n">
        <f aca="false">IF($A9="","",$F9-$H9)</f>
        <v>3800.16891522843</v>
      </c>
      <c r="J9" s="36" t="n">
        <f aca="false">IF($A9="","",IFERROR($I9/$F9,0))</f>
        <v>0.617869190533543</v>
      </c>
      <c r="K9" s="36" t="n">
        <f aca="false">IF($A9="","",IFERROR($H9/$F9,0))</f>
        <v>0.382130809466457</v>
      </c>
      <c r="L9" s="41" t="n">
        <v>0.65</v>
      </c>
      <c r="M9" s="35" t="n">
        <f aca="false">IF($A9="","",IFERROR($H9/(1-IF(N($L9)&gt;0,$L9,MARGEN_OBJ)),0))</f>
        <v>6715.06732185052</v>
      </c>
      <c r="N9" s="35" t="n">
        <f aca="false">IF($A9="","",$M9*(1+$E9))</f>
        <v>7588.02607369108</v>
      </c>
      <c r="O9" s="36" t="n">
        <f aca="false">IF($A9="","",IFERROR($I9/$H9,0))</f>
        <v>1.61690493209964</v>
      </c>
      <c r="P9" s="42" t="n">
        <v>80</v>
      </c>
      <c r="Q9" s="34" t="n">
        <f aca="false">IF($A9="","",SUMIFS(VENTAS!$E$6:$E$2005,VENTAS!$C$6:$C$2005,$A9))</f>
        <v>7</v>
      </c>
      <c r="R9" s="8" t="str">
        <f aca="false">IF($A9="","",IF($H9=0,"SIN RECETA",IF($K9&gt;FOODCOST_MAX,"REVISAR PRECIO","OK")))</f>
        <v>REVISAR PRECIO</v>
      </c>
      <c r="S9" s="54" t="s">
        <v>395</v>
      </c>
    </row>
    <row r="10" customFormat="false" ht="15" hidden="false" customHeight="false" outlineLevel="0" collapsed="false">
      <c r="A10" s="6" t="s">
        <v>354</v>
      </c>
      <c r="B10" s="6" t="s">
        <v>396</v>
      </c>
      <c r="C10" s="6" t="s">
        <v>91</v>
      </c>
      <c r="D10" s="40" t="n">
        <v>4200</v>
      </c>
      <c r="E10" s="41" t="n">
        <v>0.13</v>
      </c>
      <c r="F10" s="35" t="n">
        <f aca="false">IF($A10="","",IFERROR($D10/(1+$E10),0))</f>
        <v>3716.81415929204</v>
      </c>
      <c r="G10" s="42" t="n">
        <v>1</v>
      </c>
      <c r="H10" s="35" t="n">
        <f aca="false">IF($A10="","",SUMIFS(RECETAS!$J$6:$J$605,RECETAS!$A$6:$A$605,$A10))</f>
        <v>908.379833285726</v>
      </c>
      <c r="I10" s="35" t="n">
        <f aca="false">IF($A10="","",$F10-$H10)</f>
        <v>2808.43432600631</v>
      </c>
      <c r="J10" s="36" t="n">
        <f aca="false">IF($A10="","",IFERROR($I10/$F10,0))</f>
        <v>0.755602568663602</v>
      </c>
      <c r="K10" s="36" t="n">
        <f aca="false">IF($A10="","",IFERROR($H10/$F10,0))</f>
        <v>0.244397431336398</v>
      </c>
      <c r="L10" s="41" t="n">
        <v>0.65</v>
      </c>
      <c r="M10" s="35" t="n">
        <f aca="false">IF($A10="","",IFERROR($H10/(1-IF(N($L10)&gt;0,$L10,MARGEN_OBJ)),0))</f>
        <v>2595.37095224493</v>
      </c>
      <c r="N10" s="35" t="n">
        <f aca="false">IF($A10="","",$M10*(1+$E10))</f>
        <v>2932.76917603677</v>
      </c>
      <c r="O10" s="36" t="n">
        <f aca="false">IF($A10="","",IFERROR($I10/$H10,0))</f>
        <v>3.09169603187672</v>
      </c>
      <c r="P10" s="42" t="n">
        <v>150</v>
      </c>
      <c r="Q10" s="34" t="n">
        <f aca="false">IF($A10="","",SUMIFS(VENTAS!$E$6:$E$2005,VENTAS!$C$6:$C$2005,$A10))</f>
        <v>13</v>
      </c>
      <c r="R10" s="8" t="str">
        <f aca="false">IF($A10="","",IF($H10=0,"SIN RECETA",IF($K10&gt;FOODCOST_MAX,"REVISAR PRECIO","OK")))</f>
        <v>OK</v>
      </c>
      <c r="S10" s="54" t="s">
        <v>397</v>
      </c>
    </row>
    <row r="11" customFormat="false" ht="15" hidden="false" customHeight="false" outlineLevel="0" collapsed="false">
      <c r="A11" s="6" t="s">
        <v>355</v>
      </c>
      <c r="B11" s="6" t="s">
        <v>398</v>
      </c>
      <c r="C11" s="6" t="s">
        <v>100</v>
      </c>
      <c r="D11" s="40" t="n">
        <v>200</v>
      </c>
      <c r="E11" s="41" t="n">
        <v>0.13</v>
      </c>
      <c r="F11" s="35" t="n">
        <f aca="false">IF($A11="","",IFERROR($D11/(1+$E11),0))</f>
        <v>176.991150442478</v>
      </c>
      <c r="G11" s="42" t="n">
        <v>1</v>
      </c>
      <c r="H11" s="35" t="n">
        <f aca="false">IF($A11="","",SUMIFS(RECETAS!$J$6:$J$605,RECETAS!$A$6:$A$605,$A11))</f>
        <v>95.0292397660819</v>
      </c>
      <c r="I11" s="35" t="n">
        <f aca="false">IF($A11="","",$F11-$H11)</f>
        <v>81.961910676396</v>
      </c>
      <c r="J11" s="36" t="n">
        <f aca="false">IF($A11="","",IFERROR($I11/$F11,0))</f>
        <v>0.463084795321638</v>
      </c>
      <c r="K11" s="36" t="n">
        <f aca="false">IF($A11="","",IFERROR($H11/$F11,0))</f>
        <v>0.536915204678363</v>
      </c>
      <c r="L11" s="41" t="n">
        <v>0.65</v>
      </c>
      <c r="M11" s="35" t="n">
        <f aca="false">IF($A11="","",IFERROR($H11/(1-IF(N($L11)&gt;0,$L11,MARGEN_OBJ)),0))</f>
        <v>271.512113617377</v>
      </c>
      <c r="N11" s="35" t="n">
        <f aca="false">IF($A11="","",$M11*(1+$E11))</f>
        <v>306.808688387636</v>
      </c>
      <c r="O11" s="36" t="n">
        <f aca="false">IF($A11="","",IFERROR($I11/$H11,0))</f>
        <v>0.862491490810075</v>
      </c>
      <c r="P11" s="42" t="n">
        <v>200</v>
      </c>
      <c r="Q11" s="34" t="n">
        <f aca="false">IF($A11="","",SUMIFS(VENTAS!$E$6:$E$2005,VENTAS!$C$6:$C$2005,$A11))</f>
        <v>8</v>
      </c>
      <c r="R11" s="8" t="str">
        <f aca="false">IF($A11="","",IF($H11=0,"SIN RECETA",IF($K11&gt;FOODCOST_MAX,"REVISAR PRECIO","OK")))</f>
        <v>REVISAR PRECIO</v>
      </c>
      <c r="S11" s="54" t="s">
        <v>399</v>
      </c>
    </row>
    <row r="12" customFormat="false" ht="15" hidden="false" customHeight="false" outlineLevel="0" collapsed="false">
      <c r="A12" s="6" t="s">
        <v>356</v>
      </c>
      <c r="B12" s="6" t="s">
        <v>400</v>
      </c>
      <c r="C12" s="6" t="s">
        <v>100</v>
      </c>
      <c r="D12" s="40" t="n">
        <v>300</v>
      </c>
      <c r="E12" s="41" t="n">
        <v>0.13</v>
      </c>
      <c r="F12" s="35" t="n">
        <f aca="false">IF($A12="","",IFERROR($D12/(1+$E12),0))</f>
        <v>265.486725663717</v>
      </c>
      <c r="G12" s="42" t="n">
        <v>1</v>
      </c>
      <c r="H12" s="35" t="n">
        <f aca="false">IF($A12="","",SUMIFS(RECETAS!$J$6:$J$605,RECETAS!$A$6:$A$605,$A12))</f>
        <v>142.5</v>
      </c>
      <c r="I12" s="35" t="n">
        <f aca="false">IF($A12="","",$F12-$H12)</f>
        <v>122.986725663717</v>
      </c>
      <c r="J12" s="36" t="n">
        <f aca="false">IF($A12="","",IFERROR($I12/$F12,0))</f>
        <v>0.46325</v>
      </c>
      <c r="K12" s="36" t="n">
        <f aca="false">IF($A12="","",IFERROR($H12/$F12,0))</f>
        <v>0.53675</v>
      </c>
      <c r="L12" s="41" t="n">
        <v>0.65</v>
      </c>
      <c r="M12" s="35" t="n">
        <f aca="false">IF($A12="","",IFERROR($H12/(1-IF(N($L12)&gt;0,$L12,MARGEN_OBJ)),0))</f>
        <v>407.142857142857</v>
      </c>
      <c r="N12" s="35" t="n">
        <f aca="false">IF($A12="","",$M12*(1+$E12))</f>
        <v>460.071428571429</v>
      </c>
      <c r="O12" s="36" t="n">
        <f aca="false">IF($A12="","",IFERROR($I12/$H12,0))</f>
        <v>0.863064741499767</v>
      </c>
      <c r="P12" s="42" t="n">
        <v>80</v>
      </c>
      <c r="Q12" s="34" t="n">
        <f aca="false">IF($A12="","",SUMIFS(VENTAS!$E$6:$E$2005,VENTAS!$C$6:$C$2005,$A12))</f>
        <v>4</v>
      </c>
      <c r="R12" s="8" t="str">
        <f aca="false">IF($A12="","",IF($H12=0,"SIN RECETA",IF($K12&gt;FOODCOST_MAX,"REVISAR PRECIO","OK")))</f>
        <v>REVISAR PRECIO</v>
      </c>
      <c r="S12" s="54" t="s">
        <v>401</v>
      </c>
    </row>
    <row r="13" customFormat="false" ht="15" hidden="false" customHeight="false" outlineLevel="0" collapsed="false">
      <c r="A13" s="6" t="s">
        <v>357</v>
      </c>
      <c r="B13" s="6" t="s">
        <v>402</v>
      </c>
      <c r="C13" s="6" t="s">
        <v>100</v>
      </c>
      <c r="D13" s="40" t="n">
        <v>400</v>
      </c>
      <c r="E13" s="41" t="n">
        <v>0.13</v>
      </c>
      <c r="F13" s="35" t="n">
        <f aca="false">IF($A13="","",IFERROR($D13/(1+$E13),0))</f>
        <v>353.982300884956</v>
      </c>
      <c r="G13" s="42" t="n">
        <v>1</v>
      </c>
      <c r="H13" s="35" t="n">
        <f aca="false">IF($A13="","",SUMIFS(RECETAS!$J$6:$J$605,RECETAS!$A$6:$A$605,$A13))</f>
        <v>238.59649122807</v>
      </c>
      <c r="I13" s="35" t="n">
        <f aca="false">IF($A13="","",$F13-$H13)</f>
        <v>115.385809656886</v>
      </c>
      <c r="J13" s="36" t="n">
        <f aca="false">IF($A13="","",IFERROR($I13/$F13,0))</f>
        <v>0.325964912280702</v>
      </c>
      <c r="K13" s="36" t="n">
        <f aca="false">IF($A13="","",IFERROR($H13/$F13,0))</f>
        <v>0.674035087719298</v>
      </c>
      <c r="L13" s="41" t="n">
        <v>0.65</v>
      </c>
      <c r="M13" s="35" t="n">
        <f aca="false">IF($A13="","",IFERROR($H13/(1-IF(N($L13)&gt;0,$L13,MARGEN_OBJ)),0))</f>
        <v>681.704260651629</v>
      </c>
      <c r="N13" s="35" t="n">
        <f aca="false">IF($A13="","",$M13*(1+$E13))</f>
        <v>770.325814536341</v>
      </c>
      <c r="O13" s="36" t="n">
        <f aca="false">IF($A13="","",IFERROR($I13/$H13,0))</f>
        <v>0.483602290473712</v>
      </c>
      <c r="P13" s="42" t="n">
        <v>120</v>
      </c>
      <c r="Q13" s="34" t="n">
        <f aca="false">IF($A13="","",SUMIFS(VENTAS!$E$6:$E$2005,VENTAS!$C$6:$C$2005,$A13))</f>
        <v>5</v>
      </c>
      <c r="R13" s="8" t="str">
        <f aca="false">IF($A13="","",IF($H13=0,"SIN RECETA",IF($K13&gt;FOODCOST_MAX,"REVISAR PRECIO","OK")))</f>
        <v>REVISAR PRECIO</v>
      </c>
      <c r="S13" s="54" t="s">
        <v>403</v>
      </c>
    </row>
    <row r="14" customFormat="false" ht="15" hidden="false" customHeight="false" outlineLevel="0" collapsed="false">
      <c r="A14" s="6" t="s">
        <v>358</v>
      </c>
      <c r="B14" s="6" t="s">
        <v>404</v>
      </c>
      <c r="C14" s="6" t="s">
        <v>108</v>
      </c>
      <c r="D14" s="40" t="n">
        <v>1500</v>
      </c>
      <c r="E14" s="41" t="n">
        <v>0.13</v>
      </c>
      <c r="F14" s="35" t="n">
        <f aca="false">IF($A14="","",IFERROR($D14/(1+$E14),0))</f>
        <v>1327.43362831858</v>
      </c>
      <c r="G14" s="42" t="n">
        <v>20</v>
      </c>
      <c r="H14" s="35" t="n">
        <f aca="false">IF($A14="","",SUMIFS(RECETAS!$J$6:$J$605,RECETAS!$A$6:$A$605,$A14))</f>
        <v>169.6</v>
      </c>
      <c r="I14" s="35" t="n">
        <f aca="false">IF($A14="","",$F14-$H14)</f>
        <v>1157.83362831858</v>
      </c>
      <c r="J14" s="36" t="n">
        <f aca="false">IF($A14="","",IFERROR($I14/$F14,0))</f>
        <v>0.872234666666667</v>
      </c>
      <c r="K14" s="36" t="n">
        <f aca="false">IF($A14="","",IFERROR($H14/$F14,0))</f>
        <v>0.127765333333333</v>
      </c>
      <c r="L14" s="41" t="n">
        <v>0.65</v>
      </c>
      <c r="M14" s="35" t="n">
        <f aca="false">IF($A14="","",IFERROR($H14/(1-IF(N($L14)&gt;0,$L14,MARGEN_OBJ)),0))</f>
        <v>484.571428571429</v>
      </c>
      <c r="N14" s="35" t="n">
        <f aca="false">IF($A14="","",$M14*(1+$E14))</f>
        <v>547.565714285714</v>
      </c>
      <c r="O14" s="36" t="n">
        <f aca="false">IF($A14="","",IFERROR($I14/$H14,0))</f>
        <v>6.82684922357656</v>
      </c>
      <c r="P14" s="42" t="n">
        <v>60</v>
      </c>
      <c r="Q14" s="34" t="n">
        <f aca="false">IF($A14="","",SUMIFS(VENTAS!$E$6:$E$2005,VENTAS!$C$6:$C$2005,$A14))</f>
        <v>6</v>
      </c>
      <c r="R14" s="8" t="str">
        <f aca="false">IF($A14="","",IF($H14=0,"SIN RECETA",IF($K14&gt;FOODCOST_MAX,"REVISAR PRECIO","OK")))</f>
        <v>OK</v>
      </c>
      <c r="S14" s="54" t="s">
        <v>405</v>
      </c>
    </row>
    <row r="15" customFormat="false" ht="15" hidden="false" customHeight="false" outlineLevel="0" collapsed="false">
      <c r="A15" s="6"/>
      <c r="B15" s="6"/>
      <c r="C15" s="6"/>
      <c r="D15" s="40"/>
      <c r="E15" s="41"/>
      <c r="F15" s="35" t="str">
        <f aca="false">IF($A15="","",IFERROR($D15/(1+$E15),0))</f>
        <v/>
      </c>
      <c r="G15" s="42"/>
      <c r="H15" s="35" t="str">
        <f aca="false">IF($A15="","",SUMIFS(RECETAS!$J$6:$J$605,RECETAS!$A$6:$A$605,$A15))</f>
        <v/>
      </c>
      <c r="I15" s="35" t="str">
        <f aca="false">IF($A15="","",$F15-$H15)</f>
        <v/>
      </c>
      <c r="J15" s="36" t="str">
        <f aca="false">IF($A15="","",IFERROR($I15/$F15,0))</f>
        <v/>
      </c>
      <c r="K15" s="36" t="str">
        <f aca="false">IF($A15="","",IFERROR($H15/$F15,0))</f>
        <v/>
      </c>
      <c r="L15" s="41"/>
      <c r="M15" s="35" t="str">
        <f aca="false">IF($A15="","",IFERROR($H15/(1-IF(N($L15)&gt;0,$L15,MARGEN_OBJ)),0))</f>
        <v/>
      </c>
      <c r="N15" s="35" t="str">
        <f aca="false">IF($A15="","",$M15*(1+$E15))</f>
        <v/>
      </c>
      <c r="O15" s="36" t="str">
        <f aca="false">IF($A15="","",IFERROR($I15/$H15,0))</f>
        <v/>
      </c>
      <c r="P15" s="42"/>
      <c r="Q15" s="34" t="str">
        <f aca="false">IF($A15="","",SUMIFS(VENTAS!$E$6:$E$2005,VENTAS!$C$6:$C$2005,$A15))</f>
        <v/>
      </c>
      <c r="R15" s="8" t="str">
        <f aca="false">IF($A15="","",IF($H15=0,"SIN RECETA",IF($K15&gt;FOODCOST_MAX,"REVISAR PRECIO","OK")))</f>
        <v/>
      </c>
      <c r="S15" s="54"/>
    </row>
    <row r="16" customFormat="false" ht="15" hidden="false" customHeight="false" outlineLevel="0" collapsed="false">
      <c r="A16" s="6"/>
      <c r="B16" s="6"/>
      <c r="C16" s="6"/>
      <c r="D16" s="40"/>
      <c r="E16" s="41"/>
      <c r="F16" s="35" t="str">
        <f aca="false">IF($A16="","",IFERROR($D16/(1+$E16),0))</f>
        <v/>
      </c>
      <c r="G16" s="42"/>
      <c r="H16" s="35" t="str">
        <f aca="false">IF($A16="","",SUMIFS(RECETAS!$J$6:$J$605,RECETAS!$A$6:$A$605,$A16))</f>
        <v/>
      </c>
      <c r="I16" s="35" t="str">
        <f aca="false">IF($A16="","",$F16-$H16)</f>
        <v/>
      </c>
      <c r="J16" s="36" t="str">
        <f aca="false">IF($A16="","",IFERROR($I16/$F16,0))</f>
        <v/>
      </c>
      <c r="K16" s="36" t="str">
        <f aca="false">IF($A16="","",IFERROR($H16/$F16,0))</f>
        <v/>
      </c>
      <c r="L16" s="41"/>
      <c r="M16" s="35" t="str">
        <f aca="false">IF($A16="","",IFERROR($H16/(1-IF(N($L16)&gt;0,$L16,MARGEN_OBJ)),0))</f>
        <v/>
      </c>
      <c r="N16" s="35" t="str">
        <f aca="false">IF($A16="","",$M16*(1+$E16))</f>
        <v/>
      </c>
      <c r="O16" s="36" t="str">
        <f aca="false">IF($A16="","",IFERROR($I16/$H16,0))</f>
        <v/>
      </c>
      <c r="P16" s="42"/>
      <c r="Q16" s="34" t="str">
        <f aca="false">IF($A16="","",SUMIFS(VENTAS!$E$6:$E$2005,VENTAS!$C$6:$C$2005,$A16))</f>
        <v/>
      </c>
      <c r="R16" s="8" t="str">
        <f aca="false">IF($A16="","",IF($H16=0,"SIN RECETA",IF($K16&gt;FOODCOST_MAX,"REVISAR PRECIO","OK")))</f>
        <v/>
      </c>
      <c r="S16" s="54"/>
    </row>
    <row r="17" customFormat="false" ht="15" hidden="false" customHeight="false" outlineLevel="0" collapsed="false">
      <c r="A17" s="6"/>
      <c r="B17" s="6"/>
      <c r="C17" s="6"/>
      <c r="D17" s="40"/>
      <c r="E17" s="41"/>
      <c r="F17" s="35" t="str">
        <f aca="false">IF($A17="","",IFERROR($D17/(1+$E17),0))</f>
        <v/>
      </c>
      <c r="G17" s="42"/>
      <c r="H17" s="35" t="str">
        <f aca="false">IF($A17="","",SUMIFS(RECETAS!$J$6:$J$605,RECETAS!$A$6:$A$605,$A17))</f>
        <v/>
      </c>
      <c r="I17" s="35" t="str">
        <f aca="false">IF($A17="","",$F17-$H17)</f>
        <v/>
      </c>
      <c r="J17" s="36" t="str">
        <f aca="false">IF($A17="","",IFERROR($I17/$F17,0))</f>
        <v/>
      </c>
      <c r="K17" s="36" t="str">
        <f aca="false">IF($A17="","",IFERROR($H17/$F17,0))</f>
        <v/>
      </c>
      <c r="L17" s="41"/>
      <c r="M17" s="35" t="str">
        <f aca="false">IF($A17="","",IFERROR($H17/(1-IF(N($L17)&gt;0,$L17,MARGEN_OBJ)),0))</f>
        <v/>
      </c>
      <c r="N17" s="35" t="str">
        <f aca="false">IF($A17="","",$M17*(1+$E17))</f>
        <v/>
      </c>
      <c r="O17" s="36" t="str">
        <f aca="false">IF($A17="","",IFERROR($I17/$H17,0))</f>
        <v/>
      </c>
      <c r="P17" s="42"/>
      <c r="Q17" s="34" t="str">
        <f aca="false">IF($A17="","",SUMIFS(VENTAS!$E$6:$E$2005,VENTAS!$C$6:$C$2005,$A17))</f>
        <v/>
      </c>
      <c r="R17" s="8" t="str">
        <f aca="false">IF($A17="","",IF($H17=0,"SIN RECETA",IF($K17&gt;FOODCOST_MAX,"REVISAR PRECIO","OK")))</f>
        <v/>
      </c>
      <c r="S17" s="54"/>
    </row>
    <row r="18" customFormat="false" ht="15" hidden="false" customHeight="false" outlineLevel="0" collapsed="false">
      <c r="A18" s="6"/>
      <c r="B18" s="6"/>
      <c r="C18" s="6"/>
      <c r="D18" s="40"/>
      <c r="E18" s="41"/>
      <c r="F18" s="35" t="str">
        <f aca="false">IF($A18="","",IFERROR($D18/(1+$E18),0))</f>
        <v/>
      </c>
      <c r="G18" s="42"/>
      <c r="H18" s="35" t="str">
        <f aca="false">IF($A18="","",SUMIFS(RECETAS!$J$6:$J$605,RECETAS!$A$6:$A$605,$A18))</f>
        <v/>
      </c>
      <c r="I18" s="35" t="str">
        <f aca="false">IF($A18="","",$F18-$H18)</f>
        <v/>
      </c>
      <c r="J18" s="36" t="str">
        <f aca="false">IF($A18="","",IFERROR($I18/$F18,0))</f>
        <v/>
      </c>
      <c r="K18" s="36" t="str">
        <f aca="false">IF($A18="","",IFERROR($H18/$F18,0))</f>
        <v/>
      </c>
      <c r="L18" s="41"/>
      <c r="M18" s="35" t="str">
        <f aca="false">IF($A18="","",IFERROR($H18/(1-IF(N($L18)&gt;0,$L18,MARGEN_OBJ)),0))</f>
        <v/>
      </c>
      <c r="N18" s="35" t="str">
        <f aca="false">IF($A18="","",$M18*(1+$E18))</f>
        <v/>
      </c>
      <c r="O18" s="36" t="str">
        <f aca="false">IF($A18="","",IFERROR($I18/$H18,0))</f>
        <v/>
      </c>
      <c r="P18" s="42"/>
      <c r="Q18" s="34" t="str">
        <f aca="false">IF($A18="","",SUMIFS(VENTAS!$E$6:$E$2005,VENTAS!$C$6:$C$2005,$A18))</f>
        <v/>
      </c>
      <c r="R18" s="8" t="str">
        <f aca="false">IF($A18="","",IF($H18=0,"SIN RECETA",IF($K18&gt;FOODCOST_MAX,"REVISAR PRECIO","OK")))</f>
        <v/>
      </c>
      <c r="S18" s="54"/>
    </row>
    <row r="19" customFormat="false" ht="15" hidden="false" customHeight="false" outlineLevel="0" collapsed="false">
      <c r="A19" s="6"/>
      <c r="B19" s="6"/>
      <c r="C19" s="6"/>
      <c r="D19" s="40"/>
      <c r="E19" s="41"/>
      <c r="F19" s="35" t="str">
        <f aca="false">IF($A19="","",IFERROR($D19/(1+$E19),0))</f>
        <v/>
      </c>
      <c r="G19" s="42"/>
      <c r="H19" s="35" t="str">
        <f aca="false">IF($A19="","",SUMIFS(RECETAS!$J$6:$J$605,RECETAS!$A$6:$A$605,$A19))</f>
        <v/>
      </c>
      <c r="I19" s="35" t="str">
        <f aca="false">IF($A19="","",$F19-$H19)</f>
        <v/>
      </c>
      <c r="J19" s="36" t="str">
        <f aca="false">IF($A19="","",IFERROR($I19/$F19,0))</f>
        <v/>
      </c>
      <c r="K19" s="36" t="str">
        <f aca="false">IF($A19="","",IFERROR($H19/$F19,0))</f>
        <v/>
      </c>
      <c r="L19" s="41"/>
      <c r="M19" s="35" t="str">
        <f aca="false">IF($A19="","",IFERROR($H19/(1-IF(N($L19)&gt;0,$L19,MARGEN_OBJ)),0))</f>
        <v/>
      </c>
      <c r="N19" s="35" t="str">
        <f aca="false">IF($A19="","",$M19*(1+$E19))</f>
        <v/>
      </c>
      <c r="O19" s="36" t="str">
        <f aca="false">IF($A19="","",IFERROR($I19/$H19,0))</f>
        <v/>
      </c>
      <c r="P19" s="42"/>
      <c r="Q19" s="34" t="str">
        <f aca="false">IF($A19="","",SUMIFS(VENTAS!$E$6:$E$2005,VENTAS!$C$6:$C$2005,$A19))</f>
        <v/>
      </c>
      <c r="R19" s="8" t="str">
        <f aca="false">IF($A19="","",IF($H19=0,"SIN RECETA",IF($K19&gt;FOODCOST_MAX,"REVISAR PRECIO","OK")))</f>
        <v/>
      </c>
      <c r="S19" s="54"/>
    </row>
    <row r="20" customFormat="false" ht="15" hidden="false" customHeight="false" outlineLevel="0" collapsed="false">
      <c r="A20" s="6"/>
      <c r="B20" s="6"/>
      <c r="C20" s="6"/>
      <c r="D20" s="40"/>
      <c r="E20" s="41"/>
      <c r="F20" s="35" t="str">
        <f aca="false">IF($A20="","",IFERROR($D20/(1+$E20),0))</f>
        <v/>
      </c>
      <c r="G20" s="42"/>
      <c r="H20" s="35" t="str">
        <f aca="false">IF($A20="","",SUMIFS(RECETAS!$J$6:$J$605,RECETAS!$A$6:$A$605,$A20))</f>
        <v/>
      </c>
      <c r="I20" s="35" t="str">
        <f aca="false">IF($A20="","",$F20-$H20)</f>
        <v/>
      </c>
      <c r="J20" s="36" t="str">
        <f aca="false">IF($A20="","",IFERROR($I20/$F20,0))</f>
        <v/>
      </c>
      <c r="K20" s="36" t="str">
        <f aca="false">IF($A20="","",IFERROR($H20/$F20,0))</f>
        <v/>
      </c>
      <c r="L20" s="41"/>
      <c r="M20" s="35" t="str">
        <f aca="false">IF($A20="","",IFERROR($H20/(1-IF(N($L20)&gt;0,$L20,MARGEN_OBJ)),0))</f>
        <v/>
      </c>
      <c r="N20" s="35" t="str">
        <f aca="false">IF($A20="","",$M20*(1+$E20))</f>
        <v/>
      </c>
      <c r="O20" s="36" t="str">
        <f aca="false">IF($A20="","",IFERROR($I20/$H20,0))</f>
        <v/>
      </c>
      <c r="P20" s="42"/>
      <c r="Q20" s="34" t="str">
        <f aca="false">IF($A20="","",SUMIFS(VENTAS!$E$6:$E$2005,VENTAS!$C$6:$C$2005,$A20))</f>
        <v/>
      </c>
      <c r="R20" s="8" t="str">
        <f aca="false">IF($A20="","",IF($H20=0,"SIN RECETA",IF($K20&gt;FOODCOST_MAX,"REVISAR PRECIO","OK")))</f>
        <v/>
      </c>
      <c r="S20" s="54"/>
    </row>
    <row r="21" customFormat="false" ht="15" hidden="false" customHeight="false" outlineLevel="0" collapsed="false">
      <c r="A21" s="6"/>
      <c r="B21" s="6"/>
      <c r="C21" s="6"/>
      <c r="D21" s="40"/>
      <c r="E21" s="41"/>
      <c r="F21" s="35" t="str">
        <f aca="false">IF($A21="","",IFERROR($D21/(1+$E21),0))</f>
        <v/>
      </c>
      <c r="G21" s="42"/>
      <c r="H21" s="35" t="str">
        <f aca="false">IF($A21="","",SUMIFS(RECETAS!$J$6:$J$605,RECETAS!$A$6:$A$605,$A21))</f>
        <v/>
      </c>
      <c r="I21" s="35" t="str">
        <f aca="false">IF($A21="","",$F21-$H21)</f>
        <v/>
      </c>
      <c r="J21" s="36" t="str">
        <f aca="false">IF($A21="","",IFERROR($I21/$F21,0))</f>
        <v/>
      </c>
      <c r="K21" s="36" t="str">
        <f aca="false">IF($A21="","",IFERROR($H21/$F21,0))</f>
        <v/>
      </c>
      <c r="L21" s="41"/>
      <c r="M21" s="35" t="str">
        <f aca="false">IF($A21="","",IFERROR($H21/(1-IF(N($L21)&gt;0,$L21,MARGEN_OBJ)),0))</f>
        <v/>
      </c>
      <c r="N21" s="35" t="str">
        <f aca="false">IF($A21="","",$M21*(1+$E21))</f>
        <v/>
      </c>
      <c r="O21" s="36" t="str">
        <f aca="false">IF($A21="","",IFERROR($I21/$H21,0))</f>
        <v/>
      </c>
      <c r="P21" s="42"/>
      <c r="Q21" s="34" t="str">
        <f aca="false">IF($A21="","",SUMIFS(VENTAS!$E$6:$E$2005,VENTAS!$C$6:$C$2005,$A21))</f>
        <v/>
      </c>
      <c r="R21" s="8" t="str">
        <f aca="false">IF($A21="","",IF($H21=0,"SIN RECETA",IF($K21&gt;FOODCOST_MAX,"REVISAR PRECIO","OK")))</f>
        <v/>
      </c>
      <c r="S21" s="54"/>
    </row>
    <row r="22" customFormat="false" ht="15" hidden="false" customHeight="false" outlineLevel="0" collapsed="false">
      <c r="A22" s="6"/>
      <c r="B22" s="6"/>
      <c r="C22" s="6"/>
      <c r="D22" s="40"/>
      <c r="E22" s="41"/>
      <c r="F22" s="35" t="str">
        <f aca="false">IF($A22="","",IFERROR($D22/(1+$E22),0))</f>
        <v/>
      </c>
      <c r="G22" s="42"/>
      <c r="H22" s="35" t="str">
        <f aca="false">IF($A22="","",SUMIFS(RECETAS!$J$6:$J$605,RECETAS!$A$6:$A$605,$A22))</f>
        <v/>
      </c>
      <c r="I22" s="35" t="str">
        <f aca="false">IF($A22="","",$F22-$H22)</f>
        <v/>
      </c>
      <c r="J22" s="36" t="str">
        <f aca="false">IF($A22="","",IFERROR($I22/$F22,0))</f>
        <v/>
      </c>
      <c r="K22" s="36" t="str">
        <f aca="false">IF($A22="","",IFERROR($H22/$F22,0))</f>
        <v/>
      </c>
      <c r="L22" s="41"/>
      <c r="M22" s="35" t="str">
        <f aca="false">IF($A22="","",IFERROR($H22/(1-IF(N($L22)&gt;0,$L22,MARGEN_OBJ)),0))</f>
        <v/>
      </c>
      <c r="N22" s="35" t="str">
        <f aca="false">IF($A22="","",$M22*(1+$E22))</f>
        <v/>
      </c>
      <c r="O22" s="36" t="str">
        <f aca="false">IF($A22="","",IFERROR($I22/$H22,0))</f>
        <v/>
      </c>
      <c r="P22" s="42"/>
      <c r="Q22" s="34" t="str">
        <f aca="false">IF($A22="","",SUMIFS(VENTAS!$E$6:$E$2005,VENTAS!$C$6:$C$2005,$A22))</f>
        <v/>
      </c>
      <c r="R22" s="8" t="str">
        <f aca="false">IF($A22="","",IF($H22=0,"SIN RECETA",IF($K22&gt;FOODCOST_MAX,"REVISAR PRECIO","OK")))</f>
        <v/>
      </c>
      <c r="S22" s="54"/>
    </row>
    <row r="23" customFormat="false" ht="15" hidden="false" customHeight="false" outlineLevel="0" collapsed="false">
      <c r="A23" s="6"/>
      <c r="B23" s="6"/>
      <c r="C23" s="6"/>
      <c r="D23" s="40"/>
      <c r="E23" s="41"/>
      <c r="F23" s="35" t="str">
        <f aca="false">IF($A23="","",IFERROR($D23/(1+$E23),0))</f>
        <v/>
      </c>
      <c r="G23" s="42"/>
      <c r="H23" s="35" t="str">
        <f aca="false">IF($A23="","",SUMIFS(RECETAS!$J$6:$J$605,RECETAS!$A$6:$A$605,$A23))</f>
        <v/>
      </c>
      <c r="I23" s="35" t="str">
        <f aca="false">IF($A23="","",$F23-$H23)</f>
        <v/>
      </c>
      <c r="J23" s="36" t="str">
        <f aca="false">IF($A23="","",IFERROR($I23/$F23,0))</f>
        <v/>
      </c>
      <c r="K23" s="36" t="str">
        <f aca="false">IF($A23="","",IFERROR($H23/$F23,0))</f>
        <v/>
      </c>
      <c r="L23" s="41"/>
      <c r="M23" s="35" t="str">
        <f aca="false">IF($A23="","",IFERROR($H23/(1-IF(N($L23)&gt;0,$L23,MARGEN_OBJ)),0))</f>
        <v/>
      </c>
      <c r="N23" s="35" t="str">
        <f aca="false">IF($A23="","",$M23*(1+$E23))</f>
        <v/>
      </c>
      <c r="O23" s="36" t="str">
        <f aca="false">IF($A23="","",IFERROR($I23/$H23,0))</f>
        <v/>
      </c>
      <c r="P23" s="42"/>
      <c r="Q23" s="34" t="str">
        <f aca="false">IF($A23="","",SUMIFS(VENTAS!$E$6:$E$2005,VENTAS!$C$6:$C$2005,$A23))</f>
        <v/>
      </c>
      <c r="R23" s="8" t="str">
        <f aca="false">IF($A23="","",IF($H23=0,"SIN RECETA",IF($K23&gt;FOODCOST_MAX,"REVISAR PRECIO","OK")))</f>
        <v/>
      </c>
      <c r="S23" s="54"/>
    </row>
    <row r="24" customFormat="false" ht="15" hidden="false" customHeight="false" outlineLevel="0" collapsed="false">
      <c r="A24" s="6"/>
      <c r="B24" s="6"/>
      <c r="C24" s="6"/>
      <c r="D24" s="40"/>
      <c r="E24" s="41"/>
      <c r="F24" s="35" t="str">
        <f aca="false">IF($A24="","",IFERROR($D24/(1+$E24),0))</f>
        <v/>
      </c>
      <c r="G24" s="42"/>
      <c r="H24" s="35" t="str">
        <f aca="false">IF($A24="","",SUMIFS(RECETAS!$J$6:$J$605,RECETAS!$A$6:$A$605,$A24))</f>
        <v/>
      </c>
      <c r="I24" s="35" t="str">
        <f aca="false">IF($A24="","",$F24-$H24)</f>
        <v/>
      </c>
      <c r="J24" s="36" t="str">
        <f aca="false">IF($A24="","",IFERROR($I24/$F24,0))</f>
        <v/>
      </c>
      <c r="K24" s="36" t="str">
        <f aca="false">IF($A24="","",IFERROR($H24/$F24,0))</f>
        <v/>
      </c>
      <c r="L24" s="41"/>
      <c r="M24" s="35" t="str">
        <f aca="false">IF($A24="","",IFERROR($H24/(1-IF(N($L24)&gt;0,$L24,MARGEN_OBJ)),0))</f>
        <v/>
      </c>
      <c r="N24" s="35" t="str">
        <f aca="false">IF($A24="","",$M24*(1+$E24))</f>
        <v/>
      </c>
      <c r="O24" s="36" t="str">
        <f aca="false">IF($A24="","",IFERROR($I24/$H24,0))</f>
        <v/>
      </c>
      <c r="P24" s="42"/>
      <c r="Q24" s="34" t="str">
        <f aca="false">IF($A24="","",SUMIFS(VENTAS!$E$6:$E$2005,VENTAS!$C$6:$C$2005,$A24))</f>
        <v/>
      </c>
      <c r="R24" s="8" t="str">
        <f aca="false">IF($A24="","",IF($H24=0,"SIN RECETA",IF($K24&gt;FOODCOST_MAX,"REVISAR PRECIO","OK")))</f>
        <v/>
      </c>
      <c r="S24" s="54"/>
    </row>
    <row r="25" customFormat="false" ht="15" hidden="false" customHeight="false" outlineLevel="0" collapsed="false">
      <c r="A25" s="6"/>
      <c r="B25" s="6"/>
      <c r="C25" s="6"/>
      <c r="D25" s="40"/>
      <c r="E25" s="41"/>
      <c r="F25" s="35" t="str">
        <f aca="false">IF($A25="","",IFERROR($D25/(1+$E25),0))</f>
        <v/>
      </c>
      <c r="G25" s="42"/>
      <c r="H25" s="35" t="str">
        <f aca="false">IF($A25="","",SUMIFS(RECETAS!$J$6:$J$605,RECETAS!$A$6:$A$605,$A25))</f>
        <v/>
      </c>
      <c r="I25" s="35" t="str">
        <f aca="false">IF($A25="","",$F25-$H25)</f>
        <v/>
      </c>
      <c r="J25" s="36" t="str">
        <f aca="false">IF($A25="","",IFERROR($I25/$F25,0))</f>
        <v/>
      </c>
      <c r="K25" s="36" t="str">
        <f aca="false">IF($A25="","",IFERROR($H25/$F25,0))</f>
        <v/>
      </c>
      <c r="L25" s="41"/>
      <c r="M25" s="35" t="str">
        <f aca="false">IF($A25="","",IFERROR($H25/(1-IF(N($L25)&gt;0,$L25,MARGEN_OBJ)),0))</f>
        <v/>
      </c>
      <c r="N25" s="35" t="str">
        <f aca="false">IF($A25="","",$M25*(1+$E25))</f>
        <v/>
      </c>
      <c r="O25" s="36" t="str">
        <f aca="false">IF($A25="","",IFERROR($I25/$H25,0))</f>
        <v/>
      </c>
      <c r="P25" s="42"/>
      <c r="Q25" s="34" t="str">
        <f aca="false">IF($A25="","",SUMIFS(VENTAS!$E$6:$E$2005,VENTAS!$C$6:$C$2005,$A25))</f>
        <v/>
      </c>
      <c r="R25" s="8" t="str">
        <f aca="false">IF($A25="","",IF($H25=0,"SIN RECETA",IF($K25&gt;FOODCOST_MAX,"REVISAR PRECIO","OK")))</f>
        <v/>
      </c>
      <c r="S25" s="54"/>
    </row>
    <row r="26" customFormat="false" ht="15" hidden="false" customHeight="false" outlineLevel="0" collapsed="false">
      <c r="A26" s="6"/>
      <c r="B26" s="6"/>
      <c r="C26" s="6"/>
      <c r="D26" s="40"/>
      <c r="E26" s="41"/>
      <c r="F26" s="35" t="str">
        <f aca="false">IF($A26="","",IFERROR($D26/(1+$E26),0))</f>
        <v/>
      </c>
      <c r="G26" s="42"/>
      <c r="H26" s="35" t="str">
        <f aca="false">IF($A26="","",SUMIFS(RECETAS!$J$6:$J$605,RECETAS!$A$6:$A$605,$A26))</f>
        <v/>
      </c>
      <c r="I26" s="35" t="str">
        <f aca="false">IF($A26="","",$F26-$H26)</f>
        <v/>
      </c>
      <c r="J26" s="36" t="str">
        <f aca="false">IF($A26="","",IFERROR($I26/$F26,0))</f>
        <v/>
      </c>
      <c r="K26" s="36" t="str">
        <f aca="false">IF($A26="","",IFERROR($H26/$F26,0))</f>
        <v/>
      </c>
      <c r="L26" s="41"/>
      <c r="M26" s="35" t="str">
        <f aca="false">IF($A26="","",IFERROR($H26/(1-IF(N($L26)&gt;0,$L26,MARGEN_OBJ)),0))</f>
        <v/>
      </c>
      <c r="N26" s="35" t="str">
        <f aca="false">IF($A26="","",$M26*(1+$E26))</f>
        <v/>
      </c>
      <c r="O26" s="36" t="str">
        <f aca="false">IF($A26="","",IFERROR($I26/$H26,0))</f>
        <v/>
      </c>
      <c r="P26" s="42"/>
      <c r="Q26" s="34" t="str">
        <f aca="false">IF($A26="","",SUMIFS(VENTAS!$E$6:$E$2005,VENTAS!$C$6:$C$2005,$A26))</f>
        <v/>
      </c>
      <c r="R26" s="8" t="str">
        <f aca="false">IF($A26="","",IF($H26=0,"SIN RECETA",IF($K26&gt;FOODCOST_MAX,"REVISAR PRECIO","OK")))</f>
        <v/>
      </c>
      <c r="S26" s="54"/>
    </row>
    <row r="27" customFormat="false" ht="15" hidden="false" customHeight="false" outlineLevel="0" collapsed="false">
      <c r="A27" s="6"/>
      <c r="B27" s="6"/>
      <c r="C27" s="6"/>
      <c r="D27" s="40"/>
      <c r="E27" s="41"/>
      <c r="F27" s="35" t="str">
        <f aca="false">IF($A27="","",IFERROR($D27/(1+$E27),0))</f>
        <v/>
      </c>
      <c r="G27" s="42"/>
      <c r="H27" s="35" t="str">
        <f aca="false">IF($A27="","",SUMIFS(RECETAS!$J$6:$J$605,RECETAS!$A$6:$A$605,$A27))</f>
        <v/>
      </c>
      <c r="I27" s="35" t="str">
        <f aca="false">IF($A27="","",$F27-$H27)</f>
        <v/>
      </c>
      <c r="J27" s="36" t="str">
        <f aca="false">IF($A27="","",IFERROR($I27/$F27,0))</f>
        <v/>
      </c>
      <c r="K27" s="36" t="str">
        <f aca="false">IF($A27="","",IFERROR($H27/$F27,0))</f>
        <v/>
      </c>
      <c r="L27" s="41"/>
      <c r="M27" s="35" t="str">
        <f aca="false">IF($A27="","",IFERROR($H27/(1-IF(N($L27)&gt;0,$L27,MARGEN_OBJ)),0))</f>
        <v/>
      </c>
      <c r="N27" s="35" t="str">
        <f aca="false">IF($A27="","",$M27*(1+$E27))</f>
        <v/>
      </c>
      <c r="O27" s="36" t="str">
        <f aca="false">IF($A27="","",IFERROR($I27/$H27,0))</f>
        <v/>
      </c>
      <c r="P27" s="42"/>
      <c r="Q27" s="34" t="str">
        <f aca="false">IF($A27="","",SUMIFS(VENTAS!$E$6:$E$2005,VENTAS!$C$6:$C$2005,$A27))</f>
        <v/>
      </c>
      <c r="R27" s="8" t="str">
        <f aca="false">IF($A27="","",IF($H27=0,"SIN RECETA",IF($K27&gt;FOODCOST_MAX,"REVISAR PRECIO","OK")))</f>
        <v/>
      </c>
      <c r="S27" s="54"/>
    </row>
    <row r="28" customFormat="false" ht="15" hidden="false" customHeight="false" outlineLevel="0" collapsed="false">
      <c r="A28" s="6"/>
      <c r="B28" s="6"/>
      <c r="C28" s="6"/>
      <c r="D28" s="40"/>
      <c r="E28" s="41"/>
      <c r="F28" s="35" t="str">
        <f aca="false">IF($A28="","",IFERROR($D28/(1+$E28),0))</f>
        <v/>
      </c>
      <c r="G28" s="42"/>
      <c r="H28" s="35" t="str">
        <f aca="false">IF($A28="","",SUMIFS(RECETAS!$J$6:$J$605,RECETAS!$A$6:$A$605,$A28))</f>
        <v/>
      </c>
      <c r="I28" s="35" t="str">
        <f aca="false">IF($A28="","",$F28-$H28)</f>
        <v/>
      </c>
      <c r="J28" s="36" t="str">
        <f aca="false">IF($A28="","",IFERROR($I28/$F28,0))</f>
        <v/>
      </c>
      <c r="K28" s="36" t="str">
        <f aca="false">IF($A28="","",IFERROR($H28/$F28,0))</f>
        <v/>
      </c>
      <c r="L28" s="41"/>
      <c r="M28" s="35" t="str">
        <f aca="false">IF($A28="","",IFERROR($H28/(1-IF(N($L28)&gt;0,$L28,MARGEN_OBJ)),0))</f>
        <v/>
      </c>
      <c r="N28" s="35" t="str">
        <f aca="false">IF($A28="","",$M28*(1+$E28))</f>
        <v/>
      </c>
      <c r="O28" s="36" t="str">
        <f aca="false">IF($A28="","",IFERROR($I28/$H28,0))</f>
        <v/>
      </c>
      <c r="P28" s="42"/>
      <c r="Q28" s="34" t="str">
        <f aca="false">IF($A28="","",SUMIFS(VENTAS!$E$6:$E$2005,VENTAS!$C$6:$C$2005,$A28))</f>
        <v/>
      </c>
      <c r="R28" s="8" t="str">
        <f aca="false">IF($A28="","",IF($H28=0,"SIN RECETA",IF($K28&gt;FOODCOST_MAX,"REVISAR PRECIO","OK")))</f>
        <v/>
      </c>
      <c r="S28" s="54"/>
    </row>
    <row r="29" customFormat="false" ht="15" hidden="false" customHeight="false" outlineLevel="0" collapsed="false">
      <c r="A29" s="6"/>
      <c r="B29" s="6"/>
      <c r="C29" s="6"/>
      <c r="D29" s="40"/>
      <c r="E29" s="41"/>
      <c r="F29" s="35" t="str">
        <f aca="false">IF($A29="","",IFERROR($D29/(1+$E29),0))</f>
        <v/>
      </c>
      <c r="G29" s="42"/>
      <c r="H29" s="35" t="str">
        <f aca="false">IF($A29="","",SUMIFS(RECETAS!$J$6:$J$605,RECETAS!$A$6:$A$605,$A29))</f>
        <v/>
      </c>
      <c r="I29" s="35" t="str">
        <f aca="false">IF($A29="","",$F29-$H29)</f>
        <v/>
      </c>
      <c r="J29" s="36" t="str">
        <f aca="false">IF($A29="","",IFERROR($I29/$F29,0))</f>
        <v/>
      </c>
      <c r="K29" s="36" t="str">
        <f aca="false">IF($A29="","",IFERROR($H29/$F29,0))</f>
        <v/>
      </c>
      <c r="L29" s="41"/>
      <c r="M29" s="35" t="str">
        <f aca="false">IF($A29="","",IFERROR($H29/(1-IF(N($L29)&gt;0,$L29,MARGEN_OBJ)),0))</f>
        <v/>
      </c>
      <c r="N29" s="35" t="str">
        <f aca="false">IF($A29="","",$M29*(1+$E29))</f>
        <v/>
      </c>
      <c r="O29" s="36" t="str">
        <f aca="false">IF($A29="","",IFERROR($I29/$H29,0))</f>
        <v/>
      </c>
      <c r="P29" s="42"/>
      <c r="Q29" s="34" t="str">
        <f aca="false">IF($A29="","",SUMIFS(VENTAS!$E$6:$E$2005,VENTAS!$C$6:$C$2005,$A29))</f>
        <v/>
      </c>
      <c r="R29" s="8" t="str">
        <f aca="false">IF($A29="","",IF($H29=0,"SIN RECETA",IF($K29&gt;FOODCOST_MAX,"REVISAR PRECIO","OK")))</f>
        <v/>
      </c>
      <c r="S29" s="54"/>
    </row>
    <row r="30" customFormat="false" ht="15" hidden="false" customHeight="false" outlineLevel="0" collapsed="false">
      <c r="A30" s="6"/>
      <c r="B30" s="6"/>
      <c r="C30" s="6"/>
      <c r="D30" s="40"/>
      <c r="E30" s="41"/>
      <c r="F30" s="35" t="str">
        <f aca="false">IF($A30="","",IFERROR($D30/(1+$E30),0))</f>
        <v/>
      </c>
      <c r="G30" s="42"/>
      <c r="H30" s="35" t="str">
        <f aca="false">IF($A30="","",SUMIFS(RECETAS!$J$6:$J$605,RECETAS!$A$6:$A$605,$A30))</f>
        <v/>
      </c>
      <c r="I30" s="35" t="str">
        <f aca="false">IF($A30="","",$F30-$H30)</f>
        <v/>
      </c>
      <c r="J30" s="36" t="str">
        <f aca="false">IF($A30="","",IFERROR($I30/$F30,0))</f>
        <v/>
      </c>
      <c r="K30" s="36" t="str">
        <f aca="false">IF($A30="","",IFERROR($H30/$F30,0))</f>
        <v/>
      </c>
      <c r="L30" s="41"/>
      <c r="M30" s="35" t="str">
        <f aca="false">IF($A30="","",IFERROR($H30/(1-IF(N($L30)&gt;0,$L30,MARGEN_OBJ)),0))</f>
        <v/>
      </c>
      <c r="N30" s="35" t="str">
        <f aca="false">IF($A30="","",$M30*(1+$E30))</f>
        <v/>
      </c>
      <c r="O30" s="36" t="str">
        <f aca="false">IF($A30="","",IFERROR($I30/$H30,0))</f>
        <v/>
      </c>
      <c r="P30" s="42"/>
      <c r="Q30" s="34" t="str">
        <f aca="false">IF($A30="","",SUMIFS(VENTAS!$E$6:$E$2005,VENTAS!$C$6:$C$2005,$A30))</f>
        <v/>
      </c>
      <c r="R30" s="8" t="str">
        <f aca="false">IF($A30="","",IF($H30=0,"SIN RECETA",IF($K30&gt;FOODCOST_MAX,"REVISAR PRECIO","OK")))</f>
        <v/>
      </c>
      <c r="S30" s="54"/>
    </row>
    <row r="31" customFormat="false" ht="15" hidden="false" customHeight="false" outlineLevel="0" collapsed="false">
      <c r="A31" s="6"/>
      <c r="B31" s="6"/>
      <c r="C31" s="6"/>
      <c r="D31" s="40"/>
      <c r="E31" s="41"/>
      <c r="F31" s="35" t="str">
        <f aca="false">IF($A31="","",IFERROR($D31/(1+$E31),0))</f>
        <v/>
      </c>
      <c r="G31" s="42"/>
      <c r="H31" s="35" t="str">
        <f aca="false">IF($A31="","",SUMIFS(RECETAS!$J$6:$J$605,RECETAS!$A$6:$A$605,$A31))</f>
        <v/>
      </c>
      <c r="I31" s="35" t="str">
        <f aca="false">IF($A31="","",$F31-$H31)</f>
        <v/>
      </c>
      <c r="J31" s="36" t="str">
        <f aca="false">IF($A31="","",IFERROR($I31/$F31,0))</f>
        <v/>
      </c>
      <c r="K31" s="36" t="str">
        <f aca="false">IF($A31="","",IFERROR($H31/$F31,0))</f>
        <v/>
      </c>
      <c r="L31" s="41"/>
      <c r="M31" s="35" t="str">
        <f aca="false">IF($A31="","",IFERROR($H31/(1-IF(N($L31)&gt;0,$L31,MARGEN_OBJ)),0))</f>
        <v/>
      </c>
      <c r="N31" s="35" t="str">
        <f aca="false">IF($A31="","",$M31*(1+$E31))</f>
        <v/>
      </c>
      <c r="O31" s="36" t="str">
        <f aca="false">IF($A31="","",IFERROR($I31/$H31,0))</f>
        <v/>
      </c>
      <c r="P31" s="42"/>
      <c r="Q31" s="34" t="str">
        <f aca="false">IF($A31="","",SUMIFS(VENTAS!$E$6:$E$2005,VENTAS!$C$6:$C$2005,$A31))</f>
        <v/>
      </c>
      <c r="R31" s="8" t="str">
        <f aca="false">IF($A31="","",IF($H31=0,"SIN RECETA",IF($K31&gt;FOODCOST_MAX,"REVISAR PRECIO","OK")))</f>
        <v/>
      </c>
      <c r="S31" s="54"/>
    </row>
    <row r="32" customFormat="false" ht="15" hidden="false" customHeight="false" outlineLevel="0" collapsed="false">
      <c r="A32" s="6"/>
      <c r="B32" s="6"/>
      <c r="C32" s="6"/>
      <c r="D32" s="40"/>
      <c r="E32" s="41"/>
      <c r="F32" s="35" t="str">
        <f aca="false">IF($A32="","",IFERROR($D32/(1+$E32),0))</f>
        <v/>
      </c>
      <c r="G32" s="42"/>
      <c r="H32" s="35" t="str">
        <f aca="false">IF($A32="","",SUMIFS(RECETAS!$J$6:$J$605,RECETAS!$A$6:$A$605,$A32))</f>
        <v/>
      </c>
      <c r="I32" s="35" t="str">
        <f aca="false">IF($A32="","",$F32-$H32)</f>
        <v/>
      </c>
      <c r="J32" s="36" t="str">
        <f aca="false">IF($A32="","",IFERROR($I32/$F32,0))</f>
        <v/>
      </c>
      <c r="K32" s="36" t="str">
        <f aca="false">IF($A32="","",IFERROR($H32/$F32,0))</f>
        <v/>
      </c>
      <c r="L32" s="41"/>
      <c r="M32" s="35" t="str">
        <f aca="false">IF($A32="","",IFERROR($H32/(1-IF(N($L32)&gt;0,$L32,MARGEN_OBJ)),0))</f>
        <v/>
      </c>
      <c r="N32" s="35" t="str">
        <f aca="false">IF($A32="","",$M32*(1+$E32))</f>
        <v/>
      </c>
      <c r="O32" s="36" t="str">
        <f aca="false">IF($A32="","",IFERROR($I32/$H32,0))</f>
        <v/>
      </c>
      <c r="P32" s="42"/>
      <c r="Q32" s="34" t="str">
        <f aca="false">IF($A32="","",SUMIFS(VENTAS!$E$6:$E$2005,VENTAS!$C$6:$C$2005,$A32))</f>
        <v/>
      </c>
      <c r="R32" s="8" t="str">
        <f aca="false">IF($A32="","",IF($H32=0,"SIN RECETA",IF($K32&gt;FOODCOST_MAX,"REVISAR PRECIO","OK")))</f>
        <v/>
      </c>
      <c r="S32" s="54"/>
    </row>
    <row r="33" customFormat="false" ht="15" hidden="false" customHeight="false" outlineLevel="0" collapsed="false">
      <c r="A33" s="6"/>
      <c r="B33" s="6"/>
      <c r="C33" s="6"/>
      <c r="D33" s="40"/>
      <c r="E33" s="41"/>
      <c r="F33" s="35" t="str">
        <f aca="false">IF($A33="","",IFERROR($D33/(1+$E33),0))</f>
        <v/>
      </c>
      <c r="G33" s="42"/>
      <c r="H33" s="35" t="str">
        <f aca="false">IF($A33="","",SUMIFS(RECETAS!$J$6:$J$605,RECETAS!$A$6:$A$605,$A33))</f>
        <v/>
      </c>
      <c r="I33" s="35" t="str">
        <f aca="false">IF($A33="","",$F33-$H33)</f>
        <v/>
      </c>
      <c r="J33" s="36" t="str">
        <f aca="false">IF($A33="","",IFERROR($I33/$F33,0))</f>
        <v/>
      </c>
      <c r="K33" s="36" t="str">
        <f aca="false">IF($A33="","",IFERROR($H33/$F33,0))</f>
        <v/>
      </c>
      <c r="L33" s="41"/>
      <c r="M33" s="35" t="str">
        <f aca="false">IF($A33="","",IFERROR($H33/(1-IF(N($L33)&gt;0,$L33,MARGEN_OBJ)),0))</f>
        <v/>
      </c>
      <c r="N33" s="35" t="str">
        <f aca="false">IF($A33="","",$M33*(1+$E33))</f>
        <v/>
      </c>
      <c r="O33" s="36" t="str">
        <f aca="false">IF($A33="","",IFERROR($I33/$H33,0))</f>
        <v/>
      </c>
      <c r="P33" s="42"/>
      <c r="Q33" s="34" t="str">
        <f aca="false">IF($A33="","",SUMIFS(VENTAS!$E$6:$E$2005,VENTAS!$C$6:$C$2005,$A33))</f>
        <v/>
      </c>
      <c r="R33" s="8" t="str">
        <f aca="false">IF($A33="","",IF($H33=0,"SIN RECETA",IF($K33&gt;FOODCOST_MAX,"REVISAR PRECIO","OK")))</f>
        <v/>
      </c>
      <c r="S33" s="54"/>
    </row>
    <row r="34" customFormat="false" ht="15" hidden="false" customHeight="false" outlineLevel="0" collapsed="false">
      <c r="A34" s="6"/>
      <c r="B34" s="6"/>
      <c r="C34" s="6"/>
      <c r="D34" s="40"/>
      <c r="E34" s="41"/>
      <c r="F34" s="35" t="str">
        <f aca="false">IF($A34="","",IFERROR($D34/(1+$E34),0))</f>
        <v/>
      </c>
      <c r="G34" s="42"/>
      <c r="H34" s="35" t="str">
        <f aca="false">IF($A34="","",SUMIFS(RECETAS!$J$6:$J$605,RECETAS!$A$6:$A$605,$A34))</f>
        <v/>
      </c>
      <c r="I34" s="35" t="str">
        <f aca="false">IF($A34="","",$F34-$H34)</f>
        <v/>
      </c>
      <c r="J34" s="36" t="str">
        <f aca="false">IF($A34="","",IFERROR($I34/$F34,0))</f>
        <v/>
      </c>
      <c r="K34" s="36" t="str">
        <f aca="false">IF($A34="","",IFERROR($H34/$F34,0))</f>
        <v/>
      </c>
      <c r="L34" s="41"/>
      <c r="M34" s="35" t="str">
        <f aca="false">IF($A34="","",IFERROR($H34/(1-IF(N($L34)&gt;0,$L34,MARGEN_OBJ)),0))</f>
        <v/>
      </c>
      <c r="N34" s="35" t="str">
        <f aca="false">IF($A34="","",$M34*(1+$E34))</f>
        <v/>
      </c>
      <c r="O34" s="36" t="str">
        <f aca="false">IF($A34="","",IFERROR($I34/$H34,0))</f>
        <v/>
      </c>
      <c r="P34" s="42"/>
      <c r="Q34" s="34" t="str">
        <f aca="false">IF($A34="","",SUMIFS(VENTAS!$E$6:$E$2005,VENTAS!$C$6:$C$2005,$A34))</f>
        <v/>
      </c>
      <c r="R34" s="8" t="str">
        <f aca="false">IF($A34="","",IF($H34=0,"SIN RECETA",IF($K34&gt;FOODCOST_MAX,"REVISAR PRECIO","OK")))</f>
        <v/>
      </c>
      <c r="S34" s="54"/>
    </row>
    <row r="35" customFormat="false" ht="15" hidden="false" customHeight="false" outlineLevel="0" collapsed="false">
      <c r="A35" s="6"/>
      <c r="B35" s="6"/>
      <c r="C35" s="6"/>
      <c r="D35" s="40"/>
      <c r="E35" s="41"/>
      <c r="F35" s="35" t="str">
        <f aca="false">IF($A35="","",IFERROR($D35/(1+$E35),0))</f>
        <v/>
      </c>
      <c r="G35" s="42"/>
      <c r="H35" s="35" t="str">
        <f aca="false">IF($A35="","",SUMIFS(RECETAS!$J$6:$J$605,RECETAS!$A$6:$A$605,$A35))</f>
        <v/>
      </c>
      <c r="I35" s="35" t="str">
        <f aca="false">IF($A35="","",$F35-$H35)</f>
        <v/>
      </c>
      <c r="J35" s="36" t="str">
        <f aca="false">IF($A35="","",IFERROR($I35/$F35,0))</f>
        <v/>
      </c>
      <c r="K35" s="36" t="str">
        <f aca="false">IF($A35="","",IFERROR($H35/$F35,0))</f>
        <v/>
      </c>
      <c r="L35" s="41"/>
      <c r="M35" s="35" t="str">
        <f aca="false">IF($A35="","",IFERROR($H35/(1-IF(N($L35)&gt;0,$L35,MARGEN_OBJ)),0))</f>
        <v/>
      </c>
      <c r="N35" s="35" t="str">
        <f aca="false">IF($A35="","",$M35*(1+$E35))</f>
        <v/>
      </c>
      <c r="O35" s="36" t="str">
        <f aca="false">IF($A35="","",IFERROR($I35/$H35,0))</f>
        <v/>
      </c>
      <c r="P35" s="42"/>
      <c r="Q35" s="34" t="str">
        <f aca="false">IF($A35="","",SUMIFS(VENTAS!$E$6:$E$2005,VENTAS!$C$6:$C$2005,$A35))</f>
        <v/>
      </c>
      <c r="R35" s="8" t="str">
        <f aca="false">IF($A35="","",IF($H35=0,"SIN RECETA",IF($K35&gt;FOODCOST_MAX,"REVISAR PRECIO","OK")))</f>
        <v/>
      </c>
      <c r="S35" s="54"/>
    </row>
    <row r="36" customFormat="false" ht="15" hidden="false" customHeight="false" outlineLevel="0" collapsed="false">
      <c r="A36" s="6"/>
      <c r="B36" s="6"/>
      <c r="C36" s="6"/>
      <c r="D36" s="40"/>
      <c r="E36" s="41"/>
      <c r="F36" s="35" t="str">
        <f aca="false">IF($A36="","",IFERROR($D36/(1+$E36),0))</f>
        <v/>
      </c>
      <c r="G36" s="42"/>
      <c r="H36" s="35" t="str">
        <f aca="false">IF($A36="","",SUMIFS(RECETAS!$J$6:$J$605,RECETAS!$A$6:$A$605,$A36))</f>
        <v/>
      </c>
      <c r="I36" s="35" t="str">
        <f aca="false">IF($A36="","",$F36-$H36)</f>
        <v/>
      </c>
      <c r="J36" s="36" t="str">
        <f aca="false">IF($A36="","",IFERROR($I36/$F36,0))</f>
        <v/>
      </c>
      <c r="K36" s="36" t="str">
        <f aca="false">IF($A36="","",IFERROR($H36/$F36,0))</f>
        <v/>
      </c>
      <c r="L36" s="41"/>
      <c r="M36" s="35" t="str">
        <f aca="false">IF($A36="","",IFERROR($H36/(1-IF(N($L36)&gt;0,$L36,MARGEN_OBJ)),0))</f>
        <v/>
      </c>
      <c r="N36" s="35" t="str">
        <f aca="false">IF($A36="","",$M36*(1+$E36))</f>
        <v/>
      </c>
      <c r="O36" s="36" t="str">
        <f aca="false">IF($A36="","",IFERROR($I36/$H36,0))</f>
        <v/>
      </c>
      <c r="P36" s="42"/>
      <c r="Q36" s="34" t="str">
        <f aca="false">IF($A36="","",SUMIFS(VENTAS!$E$6:$E$2005,VENTAS!$C$6:$C$2005,$A36))</f>
        <v/>
      </c>
      <c r="R36" s="8" t="str">
        <f aca="false">IF($A36="","",IF($H36=0,"SIN RECETA",IF($K36&gt;FOODCOST_MAX,"REVISAR PRECIO","OK")))</f>
        <v/>
      </c>
      <c r="S36" s="54"/>
    </row>
    <row r="37" customFormat="false" ht="15" hidden="false" customHeight="false" outlineLevel="0" collapsed="false">
      <c r="A37" s="6"/>
      <c r="B37" s="6"/>
      <c r="C37" s="6"/>
      <c r="D37" s="40"/>
      <c r="E37" s="41"/>
      <c r="F37" s="35" t="str">
        <f aca="false">IF($A37="","",IFERROR($D37/(1+$E37),0))</f>
        <v/>
      </c>
      <c r="G37" s="42"/>
      <c r="H37" s="35" t="str">
        <f aca="false">IF($A37="","",SUMIFS(RECETAS!$J$6:$J$605,RECETAS!$A$6:$A$605,$A37))</f>
        <v/>
      </c>
      <c r="I37" s="35" t="str">
        <f aca="false">IF($A37="","",$F37-$H37)</f>
        <v/>
      </c>
      <c r="J37" s="36" t="str">
        <f aca="false">IF($A37="","",IFERROR($I37/$F37,0))</f>
        <v/>
      </c>
      <c r="K37" s="36" t="str">
        <f aca="false">IF($A37="","",IFERROR($H37/$F37,0))</f>
        <v/>
      </c>
      <c r="L37" s="41"/>
      <c r="M37" s="35" t="str">
        <f aca="false">IF($A37="","",IFERROR($H37/(1-IF(N($L37)&gt;0,$L37,MARGEN_OBJ)),0))</f>
        <v/>
      </c>
      <c r="N37" s="35" t="str">
        <f aca="false">IF($A37="","",$M37*(1+$E37))</f>
        <v/>
      </c>
      <c r="O37" s="36" t="str">
        <f aca="false">IF($A37="","",IFERROR($I37/$H37,0))</f>
        <v/>
      </c>
      <c r="P37" s="42"/>
      <c r="Q37" s="34" t="str">
        <f aca="false">IF($A37="","",SUMIFS(VENTAS!$E$6:$E$2005,VENTAS!$C$6:$C$2005,$A37))</f>
        <v/>
      </c>
      <c r="R37" s="8" t="str">
        <f aca="false">IF($A37="","",IF($H37=0,"SIN RECETA",IF($K37&gt;FOODCOST_MAX,"REVISAR PRECIO","OK")))</f>
        <v/>
      </c>
      <c r="S37" s="54"/>
    </row>
    <row r="38" customFormat="false" ht="15" hidden="false" customHeight="false" outlineLevel="0" collapsed="false">
      <c r="A38" s="6"/>
      <c r="B38" s="6"/>
      <c r="C38" s="6"/>
      <c r="D38" s="40"/>
      <c r="E38" s="41"/>
      <c r="F38" s="35" t="str">
        <f aca="false">IF($A38="","",IFERROR($D38/(1+$E38),0))</f>
        <v/>
      </c>
      <c r="G38" s="42"/>
      <c r="H38" s="35" t="str">
        <f aca="false">IF($A38="","",SUMIFS(RECETAS!$J$6:$J$605,RECETAS!$A$6:$A$605,$A38))</f>
        <v/>
      </c>
      <c r="I38" s="35" t="str">
        <f aca="false">IF($A38="","",$F38-$H38)</f>
        <v/>
      </c>
      <c r="J38" s="36" t="str">
        <f aca="false">IF($A38="","",IFERROR($I38/$F38,0))</f>
        <v/>
      </c>
      <c r="K38" s="36" t="str">
        <f aca="false">IF($A38="","",IFERROR($H38/$F38,0))</f>
        <v/>
      </c>
      <c r="L38" s="41"/>
      <c r="M38" s="35" t="str">
        <f aca="false">IF($A38="","",IFERROR($H38/(1-IF(N($L38)&gt;0,$L38,MARGEN_OBJ)),0))</f>
        <v/>
      </c>
      <c r="N38" s="35" t="str">
        <f aca="false">IF($A38="","",$M38*(1+$E38))</f>
        <v/>
      </c>
      <c r="O38" s="36" t="str">
        <f aca="false">IF($A38="","",IFERROR($I38/$H38,0))</f>
        <v/>
      </c>
      <c r="P38" s="42"/>
      <c r="Q38" s="34" t="str">
        <f aca="false">IF($A38="","",SUMIFS(VENTAS!$E$6:$E$2005,VENTAS!$C$6:$C$2005,$A38))</f>
        <v/>
      </c>
      <c r="R38" s="8" t="str">
        <f aca="false">IF($A38="","",IF($H38=0,"SIN RECETA",IF($K38&gt;FOODCOST_MAX,"REVISAR PRECIO","OK")))</f>
        <v/>
      </c>
      <c r="S38" s="54"/>
    </row>
    <row r="39" customFormat="false" ht="15" hidden="false" customHeight="false" outlineLevel="0" collapsed="false">
      <c r="A39" s="6"/>
      <c r="B39" s="6"/>
      <c r="C39" s="6"/>
      <c r="D39" s="40"/>
      <c r="E39" s="41"/>
      <c r="F39" s="35" t="str">
        <f aca="false">IF($A39="","",IFERROR($D39/(1+$E39),0))</f>
        <v/>
      </c>
      <c r="G39" s="42"/>
      <c r="H39" s="35" t="str">
        <f aca="false">IF($A39="","",SUMIFS(RECETAS!$J$6:$J$605,RECETAS!$A$6:$A$605,$A39))</f>
        <v/>
      </c>
      <c r="I39" s="35" t="str">
        <f aca="false">IF($A39="","",$F39-$H39)</f>
        <v/>
      </c>
      <c r="J39" s="36" t="str">
        <f aca="false">IF($A39="","",IFERROR($I39/$F39,0))</f>
        <v/>
      </c>
      <c r="K39" s="36" t="str">
        <f aca="false">IF($A39="","",IFERROR($H39/$F39,0))</f>
        <v/>
      </c>
      <c r="L39" s="41"/>
      <c r="M39" s="35" t="str">
        <f aca="false">IF($A39="","",IFERROR($H39/(1-IF(N($L39)&gt;0,$L39,MARGEN_OBJ)),0))</f>
        <v/>
      </c>
      <c r="N39" s="35" t="str">
        <f aca="false">IF($A39="","",$M39*(1+$E39))</f>
        <v/>
      </c>
      <c r="O39" s="36" t="str">
        <f aca="false">IF($A39="","",IFERROR($I39/$H39,0))</f>
        <v/>
      </c>
      <c r="P39" s="42"/>
      <c r="Q39" s="34" t="str">
        <f aca="false">IF($A39="","",SUMIFS(VENTAS!$E$6:$E$2005,VENTAS!$C$6:$C$2005,$A39))</f>
        <v/>
      </c>
      <c r="R39" s="8" t="str">
        <f aca="false">IF($A39="","",IF($H39=0,"SIN RECETA",IF($K39&gt;FOODCOST_MAX,"REVISAR PRECIO","OK")))</f>
        <v/>
      </c>
      <c r="S39" s="54"/>
    </row>
    <row r="40" customFormat="false" ht="15" hidden="false" customHeight="false" outlineLevel="0" collapsed="false">
      <c r="A40" s="6"/>
      <c r="B40" s="6"/>
      <c r="C40" s="6"/>
      <c r="D40" s="40"/>
      <c r="E40" s="41"/>
      <c r="F40" s="35" t="str">
        <f aca="false">IF($A40="","",IFERROR($D40/(1+$E40),0))</f>
        <v/>
      </c>
      <c r="G40" s="42"/>
      <c r="H40" s="35" t="str">
        <f aca="false">IF($A40="","",SUMIFS(RECETAS!$J$6:$J$605,RECETAS!$A$6:$A$605,$A40))</f>
        <v/>
      </c>
      <c r="I40" s="35" t="str">
        <f aca="false">IF($A40="","",$F40-$H40)</f>
        <v/>
      </c>
      <c r="J40" s="36" t="str">
        <f aca="false">IF($A40="","",IFERROR($I40/$F40,0))</f>
        <v/>
      </c>
      <c r="K40" s="36" t="str">
        <f aca="false">IF($A40="","",IFERROR($H40/$F40,0))</f>
        <v/>
      </c>
      <c r="L40" s="41"/>
      <c r="M40" s="35" t="str">
        <f aca="false">IF($A40="","",IFERROR($H40/(1-IF(N($L40)&gt;0,$L40,MARGEN_OBJ)),0))</f>
        <v/>
      </c>
      <c r="N40" s="35" t="str">
        <f aca="false">IF($A40="","",$M40*(1+$E40))</f>
        <v/>
      </c>
      <c r="O40" s="36" t="str">
        <f aca="false">IF($A40="","",IFERROR($I40/$H40,0))</f>
        <v/>
      </c>
      <c r="P40" s="42"/>
      <c r="Q40" s="34" t="str">
        <f aca="false">IF($A40="","",SUMIFS(VENTAS!$E$6:$E$2005,VENTAS!$C$6:$C$2005,$A40))</f>
        <v/>
      </c>
      <c r="R40" s="8" t="str">
        <f aca="false">IF($A40="","",IF($H40=0,"SIN RECETA",IF($K40&gt;FOODCOST_MAX,"REVISAR PRECIO","OK")))</f>
        <v/>
      </c>
      <c r="S40" s="54"/>
    </row>
    <row r="41" customFormat="false" ht="15" hidden="false" customHeight="false" outlineLevel="0" collapsed="false">
      <c r="A41" s="6"/>
      <c r="B41" s="6"/>
      <c r="C41" s="6"/>
      <c r="D41" s="40"/>
      <c r="E41" s="41"/>
      <c r="F41" s="35" t="str">
        <f aca="false">IF($A41="","",IFERROR($D41/(1+$E41),0))</f>
        <v/>
      </c>
      <c r="G41" s="42"/>
      <c r="H41" s="35" t="str">
        <f aca="false">IF($A41="","",SUMIFS(RECETAS!$J$6:$J$605,RECETAS!$A$6:$A$605,$A41))</f>
        <v/>
      </c>
      <c r="I41" s="35" t="str">
        <f aca="false">IF($A41="","",$F41-$H41)</f>
        <v/>
      </c>
      <c r="J41" s="36" t="str">
        <f aca="false">IF($A41="","",IFERROR($I41/$F41,0))</f>
        <v/>
      </c>
      <c r="K41" s="36" t="str">
        <f aca="false">IF($A41="","",IFERROR($H41/$F41,0))</f>
        <v/>
      </c>
      <c r="L41" s="41"/>
      <c r="M41" s="35" t="str">
        <f aca="false">IF($A41="","",IFERROR($H41/(1-IF(N($L41)&gt;0,$L41,MARGEN_OBJ)),0))</f>
        <v/>
      </c>
      <c r="N41" s="35" t="str">
        <f aca="false">IF($A41="","",$M41*(1+$E41))</f>
        <v/>
      </c>
      <c r="O41" s="36" t="str">
        <f aca="false">IF($A41="","",IFERROR($I41/$H41,0))</f>
        <v/>
      </c>
      <c r="P41" s="42"/>
      <c r="Q41" s="34" t="str">
        <f aca="false">IF($A41="","",SUMIFS(VENTAS!$E$6:$E$2005,VENTAS!$C$6:$C$2005,$A41))</f>
        <v/>
      </c>
      <c r="R41" s="8" t="str">
        <f aca="false">IF($A41="","",IF($H41=0,"SIN RECETA",IF($K41&gt;FOODCOST_MAX,"REVISAR PRECIO","OK")))</f>
        <v/>
      </c>
      <c r="S41" s="54"/>
    </row>
    <row r="42" customFormat="false" ht="15" hidden="false" customHeight="false" outlineLevel="0" collapsed="false">
      <c r="A42" s="6"/>
      <c r="B42" s="6"/>
      <c r="C42" s="6"/>
      <c r="D42" s="40"/>
      <c r="E42" s="41"/>
      <c r="F42" s="35" t="str">
        <f aca="false">IF($A42="","",IFERROR($D42/(1+$E42),0))</f>
        <v/>
      </c>
      <c r="G42" s="42"/>
      <c r="H42" s="35" t="str">
        <f aca="false">IF($A42="","",SUMIFS(RECETAS!$J$6:$J$605,RECETAS!$A$6:$A$605,$A42))</f>
        <v/>
      </c>
      <c r="I42" s="35" t="str">
        <f aca="false">IF($A42="","",$F42-$H42)</f>
        <v/>
      </c>
      <c r="J42" s="36" t="str">
        <f aca="false">IF($A42="","",IFERROR($I42/$F42,0))</f>
        <v/>
      </c>
      <c r="K42" s="36" t="str">
        <f aca="false">IF($A42="","",IFERROR($H42/$F42,0))</f>
        <v/>
      </c>
      <c r="L42" s="41"/>
      <c r="M42" s="35" t="str">
        <f aca="false">IF($A42="","",IFERROR($H42/(1-IF(N($L42)&gt;0,$L42,MARGEN_OBJ)),0))</f>
        <v/>
      </c>
      <c r="N42" s="35" t="str">
        <f aca="false">IF($A42="","",$M42*(1+$E42))</f>
        <v/>
      </c>
      <c r="O42" s="36" t="str">
        <f aca="false">IF($A42="","",IFERROR($I42/$H42,0))</f>
        <v/>
      </c>
      <c r="P42" s="42"/>
      <c r="Q42" s="34" t="str">
        <f aca="false">IF($A42="","",SUMIFS(VENTAS!$E$6:$E$2005,VENTAS!$C$6:$C$2005,$A42))</f>
        <v/>
      </c>
      <c r="R42" s="8" t="str">
        <f aca="false">IF($A42="","",IF($H42=0,"SIN RECETA",IF($K42&gt;FOODCOST_MAX,"REVISAR PRECIO","OK")))</f>
        <v/>
      </c>
      <c r="S42" s="54"/>
    </row>
    <row r="43" customFormat="false" ht="15" hidden="false" customHeight="false" outlineLevel="0" collapsed="false">
      <c r="A43" s="6"/>
      <c r="B43" s="6"/>
      <c r="C43" s="6"/>
      <c r="D43" s="40"/>
      <c r="E43" s="41"/>
      <c r="F43" s="35" t="str">
        <f aca="false">IF($A43="","",IFERROR($D43/(1+$E43),0))</f>
        <v/>
      </c>
      <c r="G43" s="42"/>
      <c r="H43" s="35" t="str">
        <f aca="false">IF($A43="","",SUMIFS(RECETAS!$J$6:$J$605,RECETAS!$A$6:$A$605,$A43))</f>
        <v/>
      </c>
      <c r="I43" s="35" t="str">
        <f aca="false">IF($A43="","",$F43-$H43)</f>
        <v/>
      </c>
      <c r="J43" s="36" t="str">
        <f aca="false">IF($A43="","",IFERROR($I43/$F43,0))</f>
        <v/>
      </c>
      <c r="K43" s="36" t="str">
        <f aca="false">IF($A43="","",IFERROR($H43/$F43,0))</f>
        <v/>
      </c>
      <c r="L43" s="41"/>
      <c r="M43" s="35" t="str">
        <f aca="false">IF($A43="","",IFERROR($H43/(1-IF(N($L43)&gt;0,$L43,MARGEN_OBJ)),0))</f>
        <v/>
      </c>
      <c r="N43" s="35" t="str">
        <f aca="false">IF($A43="","",$M43*(1+$E43))</f>
        <v/>
      </c>
      <c r="O43" s="36" t="str">
        <f aca="false">IF($A43="","",IFERROR($I43/$H43,0))</f>
        <v/>
      </c>
      <c r="P43" s="42"/>
      <c r="Q43" s="34" t="str">
        <f aca="false">IF($A43="","",SUMIFS(VENTAS!$E$6:$E$2005,VENTAS!$C$6:$C$2005,$A43))</f>
        <v/>
      </c>
      <c r="R43" s="8" t="str">
        <f aca="false">IF($A43="","",IF($H43=0,"SIN RECETA",IF($K43&gt;FOODCOST_MAX,"REVISAR PRECIO","OK")))</f>
        <v/>
      </c>
      <c r="S43" s="54"/>
    </row>
    <row r="44" customFormat="false" ht="15" hidden="false" customHeight="false" outlineLevel="0" collapsed="false">
      <c r="A44" s="6"/>
      <c r="B44" s="6"/>
      <c r="C44" s="6"/>
      <c r="D44" s="40"/>
      <c r="E44" s="41"/>
      <c r="F44" s="35" t="str">
        <f aca="false">IF($A44="","",IFERROR($D44/(1+$E44),0))</f>
        <v/>
      </c>
      <c r="G44" s="42"/>
      <c r="H44" s="35" t="str">
        <f aca="false">IF($A44="","",SUMIFS(RECETAS!$J$6:$J$605,RECETAS!$A$6:$A$605,$A44))</f>
        <v/>
      </c>
      <c r="I44" s="35" t="str">
        <f aca="false">IF($A44="","",$F44-$H44)</f>
        <v/>
      </c>
      <c r="J44" s="36" t="str">
        <f aca="false">IF($A44="","",IFERROR($I44/$F44,0))</f>
        <v/>
      </c>
      <c r="K44" s="36" t="str">
        <f aca="false">IF($A44="","",IFERROR($H44/$F44,0))</f>
        <v/>
      </c>
      <c r="L44" s="41"/>
      <c r="M44" s="35" t="str">
        <f aca="false">IF($A44="","",IFERROR($H44/(1-IF(N($L44)&gt;0,$L44,MARGEN_OBJ)),0))</f>
        <v/>
      </c>
      <c r="N44" s="35" t="str">
        <f aca="false">IF($A44="","",$M44*(1+$E44))</f>
        <v/>
      </c>
      <c r="O44" s="36" t="str">
        <f aca="false">IF($A44="","",IFERROR($I44/$H44,0))</f>
        <v/>
      </c>
      <c r="P44" s="42"/>
      <c r="Q44" s="34" t="str">
        <f aca="false">IF($A44="","",SUMIFS(VENTAS!$E$6:$E$2005,VENTAS!$C$6:$C$2005,$A44))</f>
        <v/>
      </c>
      <c r="R44" s="8" t="str">
        <f aca="false">IF($A44="","",IF($H44=0,"SIN RECETA",IF($K44&gt;FOODCOST_MAX,"REVISAR PRECIO","OK")))</f>
        <v/>
      </c>
      <c r="S44" s="54"/>
    </row>
    <row r="45" customFormat="false" ht="15" hidden="false" customHeight="false" outlineLevel="0" collapsed="false">
      <c r="A45" s="6"/>
      <c r="B45" s="6"/>
      <c r="C45" s="6"/>
      <c r="D45" s="40"/>
      <c r="E45" s="41"/>
      <c r="F45" s="35" t="str">
        <f aca="false">IF($A45="","",IFERROR($D45/(1+$E45),0))</f>
        <v/>
      </c>
      <c r="G45" s="42"/>
      <c r="H45" s="35" t="str">
        <f aca="false">IF($A45="","",SUMIFS(RECETAS!$J$6:$J$605,RECETAS!$A$6:$A$605,$A45))</f>
        <v/>
      </c>
      <c r="I45" s="35" t="str">
        <f aca="false">IF($A45="","",$F45-$H45)</f>
        <v/>
      </c>
      <c r="J45" s="36" t="str">
        <f aca="false">IF($A45="","",IFERROR($I45/$F45,0))</f>
        <v/>
      </c>
      <c r="K45" s="36" t="str">
        <f aca="false">IF($A45="","",IFERROR($H45/$F45,0))</f>
        <v/>
      </c>
      <c r="L45" s="41"/>
      <c r="M45" s="35" t="str">
        <f aca="false">IF($A45="","",IFERROR($H45/(1-IF(N($L45)&gt;0,$L45,MARGEN_OBJ)),0))</f>
        <v/>
      </c>
      <c r="N45" s="35" t="str">
        <f aca="false">IF($A45="","",$M45*(1+$E45))</f>
        <v/>
      </c>
      <c r="O45" s="36" t="str">
        <f aca="false">IF($A45="","",IFERROR($I45/$H45,0))</f>
        <v/>
      </c>
      <c r="P45" s="42"/>
      <c r="Q45" s="34" t="str">
        <f aca="false">IF($A45="","",SUMIFS(VENTAS!$E$6:$E$2005,VENTAS!$C$6:$C$2005,$A45))</f>
        <v/>
      </c>
      <c r="R45" s="8" t="str">
        <f aca="false">IF($A45="","",IF($H45=0,"SIN RECETA",IF($K45&gt;FOODCOST_MAX,"REVISAR PRECIO","OK")))</f>
        <v/>
      </c>
      <c r="S45" s="54"/>
    </row>
    <row r="46" customFormat="false" ht="15" hidden="false" customHeight="false" outlineLevel="0" collapsed="false">
      <c r="A46" s="6"/>
      <c r="B46" s="6"/>
      <c r="C46" s="6"/>
      <c r="D46" s="40"/>
      <c r="E46" s="41"/>
      <c r="F46" s="35" t="str">
        <f aca="false">IF($A46="","",IFERROR($D46/(1+$E46),0))</f>
        <v/>
      </c>
      <c r="G46" s="42"/>
      <c r="H46" s="35" t="str">
        <f aca="false">IF($A46="","",SUMIFS(RECETAS!$J$6:$J$605,RECETAS!$A$6:$A$605,$A46))</f>
        <v/>
      </c>
      <c r="I46" s="35" t="str">
        <f aca="false">IF($A46="","",$F46-$H46)</f>
        <v/>
      </c>
      <c r="J46" s="36" t="str">
        <f aca="false">IF($A46="","",IFERROR($I46/$F46,0))</f>
        <v/>
      </c>
      <c r="K46" s="36" t="str">
        <f aca="false">IF($A46="","",IFERROR($H46/$F46,0))</f>
        <v/>
      </c>
      <c r="L46" s="41"/>
      <c r="M46" s="35" t="str">
        <f aca="false">IF($A46="","",IFERROR($H46/(1-IF(N($L46)&gt;0,$L46,MARGEN_OBJ)),0))</f>
        <v/>
      </c>
      <c r="N46" s="35" t="str">
        <f aca="false">IF($A46="","",$M46*(1+$E46))</f>
        <v/>
      </c>
      <c r="O46" s="36" t="str">
        <f aca="false">IF($A46="","",IFERROR($I46/$H46,0))</f>
        <v/>
      </c>
      <c r="P46" s="42"/>
      <c r="Q46" s="34" t="str">
        <f aca="false">IF($A46="","",SUMIFS(VENTAS!$E$6:$E$2005,VENTAS!$C$6:$C$2005,$A46))</f>
        <v/>
      </c>
      <c r="R46" s="8" t="str">
        <f aca="false">IF($A46="","",IF($H46=0,"SIN RECETA",IF($K46&gt;FOODCOST_MAX,"REVISAR PRECIO","OK")))</f>
        <v/>
      </c>
      <c r="S46" s="54"/>
    </row>
    <row r="47" customFormat="false" ht="15" hidden="false" customHeight="false" outlineLevel="0" collapsed="false">
      <c r="A47" s="6"/>
      <c r="B47" s="6"/>
      <c r="C47" s="6"/>
      <c r="D47" s="40"/>
      <c r="E47" s="41"/>
      <c r="F47" s="35" t="str">
        <f aca="false">IF($A47="","",IFERROR($D47/(1+$E47),0))</f>
        <v/>
      </c>
      <c r="G47" s="42"/>
      <c r="H47" s="35" t="str">
        <f aca="false">IF($A47="","",SUMIFS(RECETAS!$J$6:$J$605,RECETAS!$A$6:$A$605,$A47))</f>
        <v/>
      </c>
      <c r="I47" s="35" t="str">
        <f aca="false">IF($A47="","",$F47-$H47)</f>
        <v/>
      </c>
      <c r="J47" s="36" t="str">
        <f aca="false">IF($A47="","",IFERROR($I47/$F47,0))</f>
        <v/>
      </c>
      <c r="K47" s="36" t="str">
        <f aca="false">IF($A47="","",IFERROR($H47/$F47,0))</f>
        <v/>
      </c>
      <c r="L47" s="41"/>
      <c r="M47" s="35" t="str">
        <f aca="false">IF($A47="","",IFERROR($H47/(1-IF(N($L47)&gt;0,$L47,MARGEN_OBJ)),0))</f>
        <v/>
      </c>
      <c r="N47" s="35" t="str">
        <f aca="false">IF($A47="","",$M47*(1+$E47))</f>
        <v/>
      </c>
      <c r="O47" s="36" t="str">
        <f aca="false">IF($A47="","",IFERROR($I47/$H47,0))</f>
        <v/>
      </c>
      <c r="P47" s="42"/>
      <c r="Q47" s="34" t="str">
        <f aca="false">IF($A47="","",SUMIFS(VENTAS!$E$6:$E$2005,VENTAS!$C$6:$C$2005,$A47))</f>
        <v/>
      </c>
      <c r="R47" s="8" t="str">
        <f aca="false">IF($A47="","",IF($H47=0,"SIN RECETA",IF($K47&gt;FOODCOST_MAX,"REVISAR PRECIO","OK")))</f>
        <v/>
      </c>
      <c r="S47" s="54"/>
    </row>
    <row r="48" customFormat="false" ht="15" hidden="false" customHeight="false" outlineLevel="0" collapsed="false">
      <c r="A48" s="6"/>
      <c r="B48" s="6"/>
      <c r="C48" s="6"/>
      <c r="D48" s="40"/>
      <c r="E48" s="41"/>
      <c r="F48" s="35" t="str">
        <f aca="false">IF($A48="","",IFERROR($D48/(1+$E48),0))</f>
        <v/>
      </c>
      <c r="G48" s="42"/>
      <c r="H48" s="35" t="str">
        <f aca="false">IF($A48="","",SUMIFS(RECETAS!$J$6:$J$605,RECETAS!$A$6:$A$605,$A48))</f>
        <v/>
      </c>
      <c r="I48" s="35" t="str">
        <f aca="false">IF($A48="","",$F48-$H48)</f>
        <v/>
      </c>
      <c r="J48" s="36" t="str">
        <f aca="false">IF($A48="","",IFERROR($I48/$F48,0))</f>
        <v/>
      </c>
      <c r="K48" s="36" t="str">
        <f aca="false">IF($A48="","",IFERROR($H48/$F48,0))</f>
        <v/>
      </c>
      <c r="L48" s="41"/>
      <c r="M48" s="35" t="str">
        <f aca="false">IF($A48="","",IFERROR($H48/(1-IF(N($L48)&gt;0,$L48,MARGEN_OBJ)),0))</f>
        <v/>
      </c>
      <c r="N48" s="35" t="str">
        <f aca="false">IF($A48="","",$M48*(1+$E48))</f>
        <v/>
      </c>
      <c r="O48" s="36" t="str">
        <f aca="false">IF($A48="","",IFERROR($I48/$H48,0))</f>
        <v/>
      </c>
      <c r="P48" s="42"/>
      <c r="Q48" s="34" t="str">
        <f aca="false">IF($A48="","",SUMIFS(VENTAS!$E$6:$E$2005,VENTAS!$C$6:$C$2005,$A48))</f>
        <v/>
      </c>
      <c r="R48" s="8" t="str">
        <f aca="false">IF($A48="","",IF($H48=0,"SIN RECETA",IF($K48&gt;FOODCOST_MAX,"REVISAR PRECIO","OK")))</f>
        <v/>
      </c>
      <c r="S48" s="54"/>
    </row>
    <row r="49" customFormat="false" ht="15" hidden="false" customHeight="false" outlineLevel="0" collapsed="false">
      <c r="A49" s="6"/>
      <c r="B49" s="6"/>
      <c r="C49" s="6"/>
      <c r="D49" s="40"/>
      <c r="E49" s="41"/>
      <c r="F49" s="35" t="str">
        <f aca="false">IF($A49="","",IFERROR($D49/(1+$E49),0))</f>
        <v/>
      </c>
      <c r="G49" s="42"/>
      <c r="H49" s="35" t="str">
        <f aca="false">IF($A49="","",SUMIFS(RECETAS!$J$6:$J$605,RECETAS!$A$6:$A$605,$A49))</f>
        <v/>
      </c>
      <c r="I49" s="35" t="str">
        <f aca="false">IF($A49="","",$F49-$H49)</f>
        <v/>
      </c>
      <c r="J49" s="36" t="str">
        <f aca="false">IF($A49="","",IFERROR($I49/$F49,0))</f>
        <v/>
      </c>
      <c r="K49" s="36" t="str">
        <f aca="false">IF($A49="","",IFERROR($H49/$F49,0))</f>
        <v/>
      </c>
      <c r="L49" s="41"/>
      <c r="M49" s="35" t="str">
        <f aca="false">IF($A49="","",IFERROR($H49/(1-IF(N($L49)&gt;0,$L49,MARGEN_OBJ)),0))</f>
        <v/>
      </c>
      <c r="N49" s="35" t="str">
        <f aca="false">IF($A49="","",$M49*(1+$E49))</f>
        <v/>
      </c>
      <c r="O49" s="36" t="str">
        <f aca="false">IF($A49="","",IFERROR($I49/$H49,0))</f>
        <v/>
      </c>
      <c r="P49" s="42"/>
      <c r="Q49" s="34" t="str">
        <f aca="false">IF($A49="","",SUMIFS(VENTAS!$E$6:$E$2005,VENTAS!$C$6:$C$2005,$A49))</f>
        <v/>
      </c>
      <c r="R49" s="8" t="str">
        <f aca="false">IF($A49="","",IF($H49=0,"SIN RECETA",IF($K49&gt;FOODCOST_MAX,"REVISAR PRECIO","OK")))</f>
        <v/>
      </c>
      <c r="S49" s="54"/>
    </row>
    <row r="50" customFormat="false" ht="15" hidden="false" customHeight="false" outlineLevel="0" collapsed="false">
      <c r="A50" s="6"/>
      <c r="B50" s="6"/>
      <c r="C50" s="6"/>
      <c r="D50" s="40"/>
      <c r="E50" s="41"/>
      <c r="F50" s="35" t="str">
        <f aca="false">IF($A50="","",IFERROR($D50/(1+$E50),0))</f>
        <v/>
      </c>
      <c r="G50" s="42"/>
      <c r="H50" s="35" t="str">
        <f aca="false">IF($A50="","",SUMIFS(RECETAS!$J$6:$J$605,RECETAS!$A$6:$A$605,$A50))</f>
        <v/>
      </c>
      <c r="I50" s="35" t="str">
        <f aca="false">IF($A50="","",$F50-$H50)</f>
        <v/>
      </c>
      <c r="J50" s="36" t="str">
        <f aca="false">IF($A50="","",IFERROR($I50/$F50,0))</f>
        <v/>
      </c>
      <c r="K50" s="36" t="str">
        <f aca="false">IF($A50="","",IFERROR($H50/$F50,0))</f>
        <v/>
      </c>
      <c r="L50" s="41"/>
      <c r="M50" s="35" t="str">
        <f aca="false">IF($A50="","",IFERROR($H50/(1-IF(N($L50)&gt;0,$L50,MARGEN_OBJ)),0))</f>
        <v/>
      </c>
      <c r="N50" s="35" t="str">
        <f aca="false">IF($A50="","",$M50*(1+$E50))</f>
        <v/>
      </c>
      <c r="O50" s="36" t="str">
        <f aca="false">IF($A50="","",IFERROR($I50/$H50,0))</f>
        <v/>
      </c>
      <c r="P50" s="42"/>
      <c r="Q50" s="34" t="str">
        <f aca="false">IF($A50="","",SUMIFS(VENTAS!$E$6:$E$2005,VENTAS!$C$6:$C$2005,$A50))</f>
        <v/>
      </c>
      <c r="R50" s="8" t="str">
        <f aca="false">IF($A50="","",IF($H50=0,"SIN RECETA",IF($K50&gt;FOODCOST_MAX,"REVISAR PRECIO","OK")))</f>
        <v/>
      </c>
      <c r="S50" s="54"/>
    </row>
    <row r="51" customFormat="false" ht="15" hidden="false" customHeight="false" outlineLevel="0" collapsed="false">
      <c r="A51" s="6"/>
      <c r="B51" s="6"/>
      <c r="C51" s="6"/>
      <c r="D51" s="40"/>
      <c r="E51" s="41"/>
      <c r="F51" s="35" t="str">
        <f aca="false">IF($A51="","",IFERROR($D51/(1+$E51),0))</f>
        <v/>
      </c>
      <c r="G51" s="42"/>
      <c r="H51" s="35" t="str">
        <f aca="false">IF($A51="","",SUMIFS(RECETAS!$J$6:$J$605,RECETAS!$A$6:$A$605,$A51))</f>
        <v/>
      </c>
      <c r="I51" s="35" t="str">
        <f aca="false">IF($A51="","",$F51-$H51)</f>
        <v/>
      </c>
      <c r="J51" s="36" t="str">
        <f aca="false">IF($A51="","",IFERROR($I51/$F51,0))</f>
        <v/>
      </c>
      <c r="K51" s="36" t="str">
        <f aca="false">IF($A51="","",IFERROR($H51/$F51,0))</f>
        <v/>
      </c>
      <c r="L51" s="41"/>
      <c r="M51" s="35" t="str">
        <f aca="false">IF($A51="","",IFERROR($H51/(1-IF(N($L51)&gt;0,$L51,MARGEN_OBJ)),0))</f>
        <v/>
      </c>
      <c r="N51" s="35" t="str">
        <f aca="false">IF($A51="","",$M51*(1+$E51))</f>
        <v/>
      </c>
      <c r="O51" s="36" t="str">
        <f aca="false">IF($A51="","",IFERROR($I51/$H51,0))</f>
        <v/>
      </c>
      <c r="P51" s="42"/>
      <c r="Q51" s="34" t="str">
        <f aca="false">IF($A51="","",SUMIFS(VENTAS!$E$6:$E$2005,VENTAS!$C$6:$C$2005,$A51))</f>
        <v/>
      </c>
      <c r="R51" s="8" t="str">
        <f aca="false">IF($A51="","",IF($H51=0,"SIN RECETA",IF($K51&gt;FOODCOST_MAX,"REVISAR PRECIO","OK")))</f>
        <v/>
      </c>
      <c r="S51" s="54"/>
    </row>
    <row r="52" customFormat="false" ht="15" hidden="false" customHeight="false" outlineLevel="0" collapsed="false">
      <c r="A52" s="6"/>
      <c r="B52" s="6"/>
      <c r="C52" s="6"/>
      <c r="D52" s="40"/>
      <c r="E52" s="41"/>
      <c r="F52" s="35" t="str">
        <f aca="false">IF($A52="","",IFERROR($D52/(1+$E52),0))</f>
        <v/>
      </c>
      <c r="G52" s="42"/>
      <c r="H52" s="35" t="str">
        <f aca="false">IF($A52="","",SUMIFS(RECETAS!$J$6:$J$605,RECETAS!$A$6:$A$605,$A52))</f>
        <v/>
      </c>
      <c r="I52" s="35" t="str">
        <f aca="false">IF($A52="","",$F52-$H52)</f>
        <v/>
      </c>
      <c r="J52" s="36" t="str">
        <f aca="false">IF($A52="","",IFERROR($I52/$F52,0))</f>
        <v/>
      </c>
      <c r="K52" s="36" t="str">
        <f aca="false">IF($A52="","",IFERROR($H52/$F52,0))</f>
        <v/>
      </c>
      <c r="L52" s="41"/>
      <c r="M52" s="35" t="str">
        <f aca="false">IF($A52="","",IFERROR($H52/(1-IF(N($L52)&gt;0,$L52,MARGEN_OBJ)),0))</f>
        <v/>
      </c>
      <c r="N52" s="35" t="str">
        <f aca="false">IF($A52="","",$M52*(1+$E52))</f>
        <v/>
      </c>
      <c r="O52" s="36" t="str">
        <f aca="false">IF($A52="","",IFERROR($I52/$H52,0))</f>
        <v/>
      </c>
      <c r="P52" s="42"/>
      <c r="Q52" s="34" t="str">
        <f aca="false">IF($A52="","",SUMIFS(VENTAS!$E$6:$E$2005,VENTAS!$C$6:$C$2005,$A52))</f>
        <v/>
      </c>
      <c r="R52" s="8" t="str">
        <f aca="false">IF($A52="","",IF($H52=0,"SIN RECETA",IF($K52&gt;FOODCOST_MAX,"REVISAR PRECIO","OK")))</f>
        <v/>
      </c>
      <c r="S52" s="54"/>
    </row>
    <row r="53" customFormat="false" ht="15" hidden="false" customHeight="false" outlineLevel="0" collapsed="false">
      <c r="A53" s="6"/>
      <c r="B53" s="6"/>
      <c r="C53" s="6"/>
      <c r="D53" s="40"/>
      <c r="E53" s="41"/>
      <c r="F53" s="35" t="str">
        <f aca="false">IF($A53="","",IFERROR($D53/(1+$E53),0))</f>
        <v/>
      </c>
      <c r="G53" s="42"/>
      <c r="H53" s="35" t="str">
        <f aca="false">IF($A53="","",SUMIFS(RECETAS!$J$6:$J$605,RECETAS!$A$6:$A$605,$A53))</f>
        <v/>
      </c>
      <c r="I53" s="35" t="str">
        <f aca="false">IF($A53="","",$F53-$H53)</f>
        <v/>
      </c>
      <c r="J53" s="36" t="str">
        <f aca="false">IF($A53="","",IFERROR($I53/$F53,0))</f>
        <v/>
      </c>
      <c r="K53" s="36" t="str">
        <f aca="false">IF($A53="","",IFERROR($H53/$F53,0))</f>
        <v/>
      </c>
      <c r="L53" s="41"/>
      <c r="M53" s="35" t="str">
        <f aca="false">IF($A53="","",IFERROR($H53/(1-IF(N($L53)&gt;0,$L53,MARGEN_OBJ)),0))</f>
        <v/>
      </c>
      <c r="N53" s="35" t="str">
        <f aca="false">IF($A53="","",$M53*(1+$E53))</f>
        <v/>
      </c>
      <c r="O53" s="36" t="str">
        <f aca="false">IF($A53="","",IFERROR($I53/$H53,0))</f>
        <v/>
      </c>
      <c r="P53" s="42"/>
      <c r="Q53" s="34" t="str">
        <f aca="false">IF($A53="","",SUMIFS(VENTAS!$E$6:$E$2005,VENTAS!$C$6:$C$2005,$A53))</f>
        <v/>
      </c>
      <c r="R53" s="8" t="str">
        <f aca="false">IF($A53="","",IF($H53=0,"SIN RECETA",IF($K53&gt;FOODCOST_MAX,"REVISAR PRECIO","OK")))</f>
        <v/>
      </c>
      <c r="S53" s="54"/>
    </row>
    <row r="54" customFormat="false" ht="15" hidden="false" customHeight="false" outlineLevel="0" collapsed="false">
      <c r="A54" s="6"/>
      <c r="B54" s="6"/>
      <c r="C54" s="6"/>
      <c r="D54" s="40"/>
      <c r="E54" s="41"/>
      <c r="F54" s="35" t="str">
        <f aca="false">IF($A54="","",IFERROR($D54/(1+$E54),0))</f>
        <v/>
      </c>
      <c r="G54" s="42"/>
      <c r="H54" s="35" t="str">
        <f aca="false">IF($A54="","",SUMIFS(RECETAS!$J$6:$J$605,RECETAS!$A$6:$A$605,$A54))</f>
        <v/>
      </c>
      <c r="I54" s="35" t="str">
        <f aca="false">IF($A54="","",$F54-$H54)</f>
        <v/>
      </c>
      <c r="J54" s="36" t="str">
        <f aca="false">IF($A54="","",IFERROR($I54/$F54,0))</f>
        <v/>
      </c>
      <c r="K54" s="36" t="str">
        <f aca="false">IF($A54="","",IFERROR($H54/$F54,0))</f>
        <v/>
      </c>
      <c r="L54" s="41"/>
      <c r="M54" s="35" t="str">
        <f aca="false">IF($A54="","",IFERROR($H54/(1-IF(N($L54)&gt;0,$L54,MARGEN_OBJ)),0))</f>
        <v/>
      </c>
      <c r="N54" s="35" t="str">
        <f aca="false">IF($A54="","",$M54*(1+$E54))</f>
        <v/>
      </c>
      <c r="O54" s="36" t="str">
        <f aca="false">IF($A54="","",IFERROR($I54/$H54,0))</f>
        <v/>
      </c>
      <c r="P54" s="42"/>
      <c r="Q54" s="34" t="str">
        <f aca="false">IF($A54="","",SUMIFS(VENTAS!$E$6:$E$2005,VENTAS!$C$6:$C$2005,$A54))</f>
        <v/>
      </c>
      <c r="R54" s="8" t="str">
        <f aca="false">IF($A54="","",IF($H54=0,"SIN RECETA",IF($K54&gt;FOODCOST_MAX,"REVISAR PRECIO","OK")))</f>
        <v/>
      </c>
      <c r="S54" s="54"/>
    </row>
    <row r="55" customFormat="false" ht="15" hidden="false" customHeight="false" outlineLevel="0" collapsed="false">
      <c r="A55" s="6"/>
      <c r="B55" s="6"/>
      <c r="C55" s="6"/>
      <c r="D55" s="40"/>
      <c r="E55" s="41"/>
      <c r="F55" s="35" t="str">
        <f aca="false">IF($A55="","",IFERROR($D55/(1+$E55),0))</f>
        <v/>
      </c>
      <c r="G55" s="42"/>
      <c r="H55" s="35" t="str">
        <f aca="false">IF($A55="","",SUMIFS(RECETAS!$J$6:$J$605,RECETAS!$A$6:$A$605,$A55))</f>
        <v/>
      </c>
      <c r="I55" s="35" t="str">
        <f aca="false">IF($A55="","",$F55-$H55)</f>
        <v/>
      </c>
      <c r="J55" s="36" t="str">
        <f aca="false">IF($A55="","",IFERROR($I55/$F55,0))</f>
        <v/>
      </c>
      <c r="K55" s="36" t="str">
        <f aca="false">IF($A55="","",IFERROR($H55/$F55,0))</f>
        <v/>
      </c>
      <c r="L55" s="41"/>
      <c r="M55" s="35" t="str">
        <f aca="false">IF($A55="","",IFERROR($H55/(1-IF(N($L55)&gt;0,$L55,MARGEN_OBJ)),0))</f>
        <v/>
      </c>
      <c r="N55" s="35" t="str">
        <f aca="false">IF($A55="","",$M55*(1+$E55))</f>
        <v/>
      </c>
      <c r="O55" s="36" t="str">
        <f aca="false">IF($A55="","",IFERROR($I55/$H55,0))</f>
        <v/>
      </c>
      <c r="P55" s="42"/>
      <c r="Q55" s="34" t="str">
        <f aca="false">IF($A55="","",SUMIFS(VENTAS!$E$6:$E$2005,VENTAS!$C$6:$C$2005,$A55))</f>
        <v/>
      </c>
      <c r="R55" s="8" t="str">
        <f aca="false">IF($A55="","",IF($H55=0,"SIN RECETA",IF($K55&gt;FOODCOST_MAX,"REVISAR PRECIO","OK")))</f>
        <v/>
      </c>
      <c r="S55" s="54"/>
    </row>
    <row r="56" customFormat="false" ht="15" hidden="false" customHeight="false" outlineLevel="0" collapsed="false">
      <c r="A56" s="6"/>
      <c r="B56" s="6"/>
      <c r="C56" s="6"/>
      <c r="D56" s="40"/>
      <c r="E56" s="41"/>
      <c r="F56" s="35" t="str">
        <f aca="false">IF($A56="","",IFERROR($D56/(1+$E56),0))</f>
        <v/>
      </c>
      <c r="G56" s="42"/>
      <c r="H56" s="35" t="str">
        <f aca="false">IF($A56="","",SUMIFS(RECETAS!$J$6:$J$605,RECETAS!$A$6:$A$605,$A56))</f>
        <v/>
      </c>
      <c r="I56" s="35" t="str">
        <f aca="false">IF($A56="","",$F56-$H56)</f>
        <v/>
      </c>
      <c r="J56" s="36" t="str">
        <f aca="false">IF($A56="","",IFERROR($I56/$F56,0))</f>
        <v/>
      </c>
      <c r="K56" s="36" t="str">
        <f aca="false">IF($A56="","",IFERROR($H56/$F56,0))</f>
        <v/>
      </c>
      <c r="L56" s="41"/>
      <c r="M56" s="35" t="str">
        <f aca="false">IF($A56="","",IFERROR($H56/(1-IF(N($L56)&gt;0,$L56,MARGEN_OBJ)),0))</f>
        <v/>
      </c>
      <c r="N56" s="35" t="str">
        <f aca="false">IF($A56="","",$M56*(1+$E56))</f>
        <v/>
      </c>
      <c r="O56" s="36" t="str">
        <f aca="false">IF($A56="","",IFERROR($I56/$H56,0))</f>
        <v/>
      </c>
      <c r="P56" s="42"/>
      <c r="Q56" s="34" t="str">
        <f aca="false">IF($A56="","",SUMIFS(VENTAS!$E$6:$E$2005,VENTAS!$C$6:$C$2005,$A56))</f>
        <v/>
      </c>
      <c r="R56" s="8" t="str">
        <f aca="false">IF($A56="","",IF($H56=0,"SIN RECETA",IF($K56&gt;FOODCOST_MAX,"REVISAR PRECIO","OK")))</f>
        <v/>
      </c>
      <c r="S56" s="54"/>
    </row>
    <row r="57" customFormat="false" ht="15" hidden="false" customHeight="false" outlineLevel="0" collapsed="false">
      <c r="A57" s="6"/>
      <c r="B57" s="6"/>
      <c r="C57" s="6"/>
      <c r="D57" s="40"/>
      <c r="E57" s="41"/>
      <c r="F57" s="35" t="str">
        <f aca="false">IF($A57="","",IFERROR($D57/(1+$E57),0))</f>
        <v/>
      </c>
      <c r="G57" s="42"/>
      <c r="H57" s="35" t="str">
        <f aca="false">IF($A57="","",SUMIFS(RECETAS!$J$6:$J$605,RECETAS!$A$6:$A$605,$A57))</f>
        <v/>
      </c>
      <c r="I57" s="35" t="str">
        <f aca="false">IF($A57="","",$F57-$H57)</f>
        <v/>
      </c>
      <c r="J57" s="36" t="str">
        <f aca="false">IF($A57="","",IFERROR($I57/$F57,0))</f>
        <v/>
      </c>
      <c r="K57" s="36" t="str">
        <f aca="false">IF($A57="","",IFERROR($H57/$F57,0))</f>
        <v/>
      </c>
      <c r="L57" s="41"/>
      <c r="M57" s="35" t="str">
        <f aca="false">IF($A57="","",IFERROR($H57/(1-IF(N($L57)&gt;0,$L57,MARGEN_OBJ)),0))</f>
        <v/>
      </c>
      <c r="N57" s="35" t="str">
        <f aca="false">IF($A57="","",$M57*(1+$E57))</f>
        <v/>
      </c>
      <c r="O57" s="36" t="str">
        <f aca="false">IF($A57="","",IFERROR($I57/$H57,0))</f>
        <v/>
      </c>
      <c r="P57" s="42"/>
      <c r="Q57" s="34" t="str">
        <f aca="false">IF($A57="","",SUMIFS(VENTAS!$E$6:$E$2005,VENTAS!$C$6:$C$2005,$A57))</f>
        <v/>
      </c>
      <c r="R57" s="8" t="str">
        <f aca="false">IF($A57="","",IF($H57=0,"SIN RECETA",IF($K57&gt;FOODCOST_MAX,"REVISAR PRECIO","OK")))</f>
        <v/>
      </c>
      <c r="S57" s="54"/>
    </row>
    <row r="58" customFormat="false" ht="15" hidden="false" customHeight="false" outlineLevel="0" collapsed="false">
      <c r="A58" s="6"/>
      <c r="B58" s="6"/>
      <c r="C58" s="6"/>
      <c r="D58" s="40"/>
      <c r="E58" s="41"/>
      <c r="F58" s="35" t="str">
        <f aca="false">IF($A58="","",IFERROR($D58/(1+$E58),0))</f>
        <v/>
      </c>
      <c r="G58" s="42"/>
      <c r="H58" s="35" t="str">
        <f aca="false">IF($A58="","",SUMIFS(RECETAS!$J$6:$J$605,RECETAS!$A$6:$A$605,$A58))</f>
        <v/>
      </c>
      <c r="I58" s="35" t="str">
        <f aca="false">IF($A58="","",$F58-$H58)</f>
        <v/>
      </c>
      <c r="J58" s="36" t="str">
        <f aca="false">IF($A58="","",IFERROR($I58/$F58,0))</f>
        <v/>
      </c>
      <c r="K58" s="36" t="str">
        <f aca="false">IF($A58="","",IFERROR($H58/$F58,0))</f>
        <v/>
      </c>
      <c r="L58" s="41"/>
      <c r="M58" s="35" t="str">
        <f aca="false">IF($A58="","",IFERROR($H58/(1-IF(N($L58)&gt;0,$L58,MARGEN_OBJ)),0))</f>
        <v/>
      </c>
      <c r="N58" s="35" t="str">
        <f aca="false">IF($A58="","",$M58*(1+$E58))</f>
        <v/>
      </c>
      <c r="O58" s="36" t="str">
        <f aca="false">IF($A58="","",IFERROR($I58/$H58,0))</f>
        <v/>
      </c>
      <c r="P58" s="42"/>
      <c r="Q58" s="34" t="str">
        <f aca="false">IF($A58="","",SUMIFS(VENTAS!$E$6:$E$2005,VENTAS!$C$6:$C$2005,$A58))</f>
        <v/>
      </c>
      <c r="R58" s="8" t="str">
        <f aca="false">IF($A58="","",IF($H58=0,"SIN RECETA",IF($K58&gt;FOODCOST_MAX,"REVISAR PRECIO","OK")))</f>
        <v/>
      </c>
      <c r="S58" s="54"/>
    </row>
    <row r="59" customFormat="false" ht="15" hidden="false" customHeight="false" outlineLevel="0" collapsed="false">
      <c r="A59" s="6"/>
      <c r="B59" s="6"/>
      <c r="C59" s="6"/>
      <c r="D59" s="40"/>
      <c r="E59" s="41"/>
      <c r="F59" s="35" t="str">
        <f aca="false">IF($A59="","",IFERROR($D59/(1+$E59),0))</f>
        <v/>
      </c>
      <c r="G59" s="42"/>
      <c r="H59" s="35" t="str">
        <f aca="false">IF($A59="","",SUMIFS(RECETAS!$J$6:$J$605,RECETAS!$A$6:$A$605,$A59))</f>
        <v/>
      </c>
      <c r="I59" s="35" t="str">
        <f aca="false">IF($A59="","",$F59-$H59)</f>
        <v/>
      </c>
      <c r="J59" s="36" t="str">
        <f aca="false">IF($A59="","",IFERROR($I59/$F59,0))</f>
        <v/>
      </c>
      <c r="K59" s="36" t="str">
        <f aca="false">IF($A59="","",IFERROR($H59/$F59,0))</f>
        <v/>
      </c>
      <c r="L59" s="41"/>
      <c r="M59" s="35" t="str">
        <f aca="false">IF($A59="","",IFERROR($H59/(1-IF(N($L59)&gt;0,$L59,MARGEN_OBJ)),0))</f>
        <v/>
      </c>
      <c r="N59" s="35" t="str">
        <f aca="false">IF($A59="","",$M59*(1+$E59))</f>
        <v/>
      </c>
      <c r="O59" s="36" t="str">
        <f aca="false">IF($A59="","",IFERROR($I59/$H59,0))</f>
        <v/>
      </c>
      <c r="P59" s="42"/>
      <c r="Q59" s="34" t="str">
        <f aca="false">IF($A59="","",SUMIFS(VENTAS!$E$6:$E$2005,VENTAS!$C$6:$C$2005,$A59))</f>
        <v/>
      </c>
      <c r="R59" s="8" t="str">
        <f aca="false">IF($A59="","",IF($H59=0,"SIN RECETA",IF($K59&gt;FOODCOST_MAX,"REVISAR PRECIO","OK")))</f>
        <v/>
      </c>
      <c r="S59" s="54"/>
    </row>
    <row r="60" customFormat="false" ht="15" hidden="false" customHeight="false" outlineLevel="0" collapsed="false">
      <c r="A60" s="6"/>
      <c r="B60" s="6"/>
      <c r="C60" s="6"/>
      <c r="D60" s="40"/>
      <c r="E60" s="41"/>
      <c r="F60" s="35" t="str">
        <f aca="false">IF($A60="","",IFERROR($D60/(1+$E60),0))</f>
        <v/>
      </c>
      <c r="G60" s="42"/>
      <c r="H60" s="35" t="str">
        <f aca="false">IF($A60="","",SUMIFS(RECETAS!$J$6:$J$605,RECETAS!$A$6:$A$605,$A60))</f>
        <v/>
      </c>
      <c r="I60" s="35" t="str">
        <f aca="false">IF($A60="","",$F60-$H60)</f>
        <v/>
      </c>
      <c r="J60" s="36" t="str">
        <f aca="false">IF($A60="","",IFERROR($I60/$F60,0))</f>
        <v/>
      </c>
      <c r="K60" s="36" t="str">
        <f aca="false">IF($A60="","",IFERROR($H60/$F60,0))</f>
        <v/>
      </c>
      <c r="L60" s="41"/>
      <c r="M60" s="35" t="str">
        <f aca="false">IF($A60="","",IFERROR($H60/(1-IF(N($L60)&gt;0,$L60,MARGEN_OBJ)),0))</f>
        <v/>
      </c>
      <c r="N60" s="35" t="str">
        <f aca="false">IF($A60="","",$M60*(1+$E60))</f>
        <v/>
      </c>
      <c r="O60" s="36" t="str">
        <f aca="false">IF($A60="","",IFERROR($I60/$H60,0))</f>
        <v/>
      </c>
      <c r="P60" s="42"/>
      <c r="Q60" s="34" t="str">
        <f aca="false">IF($A60="","",SUMIFS(VENTAS!$E$6:$E$2005,VENTAS!$C$6:$C$2005,$A60))</f>
        <v/>
      </c>
      <c r="R60" s="8" t="str">
        <f aca="false">IF($A60="","",IF($H60=0,"SIN RECETA",IF($K60&gt;FOODCOST_MAX,"REVISAR PRECIO","OK")))</f>
        <v/>
      </c>
      <c r="S60" s="54"/>
    </row>
    <row r="61" customFormat="false" ht="15" hidden="false" customHeight="false" outlineLevel="0" collapsed="false">
      <c r="A61" s="6"/>
      <c r="B61" s="6"/>
      <c r="C61" s="6"/>
      <c r="D61" s="40"/>
      <c r="E61" s="41"/>
      <c r="F61" s="35" t="str">
        <f aca="false">IF($A61="","",IFERROR($D61/(1+$E61),0))</f>
        <v/>
      </c>
      <c r="G61" s="42"/>
      <c r="H61" s="35" t="str">
        <f aca="false">IF($A61="","",SUMIFS(RECETAS!$J$6:$J$605,RECETAS!$A$6:$A$605,$A61))</f>
        <v/>
      </c>
      <c r="I61" s="35" t="str">
        <f aca="false">IF($A61="","",$F61-$H61)</f>
        <v/>
      </c>
      <c r="J61" s="36" t="str">
        <f aca="false">IF($A61="","",IFERROR($I61/$F61,0))</f>
        <v/>
      </c>
      <c r="K61" s="36" t="str">
        <f aca="false">IF($A61="","",IFERROR($H61/$F61,0))</f>
        <v/>
      </c>
      <c r="L61" s="41"/>
      <c r="M61" s="35" t="str">
        <f aca="false">IF($A61="","",IFERROR($H61/(1-IF(N($L61)&gt;0,$L61,MARGEN_OBJ)),0))</f>
        <v/>
      </c>
      <c r="N61" s="35" t="str">
        <f aca="false">IF($A61="","",$M61*(1+$E61))</f>
        <v/>
      </c>
      <c r="O61" s="36" t="str">
        <f aca="false">IF($A61="","",IFERROR($I61/$H61,0))</f>
        <v/>
      </c>
      <c r="P61" s="42"/>
      <c r="Q61" s="34" t="str">
        <f aca="false">IF($A61="","",SUMIFS(VENTAS!$E$6:$E$2005,VENTAS!$C$6:$C$2005,$A61))</f>
        <v/>
      </c>
      <c r="R61" s="8" t="str">
        <f aca="false">IF($A61="","",IF($H61=0,"SIN RECETA",IF($K61&gt;FOODCOST_MAX,"REVISAR PRECIO","OK")))</f>
        <v/>
      </c>
      <c r="S61" s="54"/>
    </row>
    <row r="62" customFormat="false" ht="15" hidden="false" customHeight="false" outlineLevel="0" collapsed="false">
      <c r="A62" s="6"/>
      <c r="B62" s="6"/>
      <c r="C62" s="6"/>
      <c r="D62" s="40"/>
      <c r="E62" s="41"/>
      <c r="F62" s="35" t="str">
        <f aca="false">IF($A62="","",IFERROR($D62/(1+$E62),0))</f>
        <v/>
      </c>
      <c r="G62" s="42"/>
      <c r="H62" s="35" t="str">
        <f aca="false">IF($A62="","",SUMIFS(RECETAS!$J$6:$J$605,RECETAS!$A$6:$A$605,$A62))</f>
        <v/>
      </c>
      <c r="I62" s="35" t="str">
        <f aca="false">IF($A62="","",$F62-$H62)</f>
        <v/>
      </c>
      <c r="J62" s="36" t="str">
        <f aca="false">IF($A62="","",IFERROR($I62/$F62,0))</f>
        <v/>
      </c>
      <c r="K62" s="36" t="str">
        <f aca="false">IF($A62="","",IFERROR($H62/$F62,0))</f>
        <v/>
      </c>
      <c r="L62" s="41"/>
      <c r="M62" s="35" t="str">
        <f aca="false">IF($A62="","",IFERROR($H62/(1-IF(N($L62)&gt;0,$L62,MARGEN_OBJ)),0))</f>
        <v/>
      </c>
      <c r="N62" s="35" t="str">
        <f aca="false">IF($A62="","",$M62*(1+$E62))</f>
        <v/>
      </c>
      <c r="O62" s="36" t="str">
        <f aca="false">IF($A62="","",IFERROR($I62/$H62,0))</f>
        <v/>
      </c>
      <c r="P62" s="42"/>
      <c r="Q62" s="34" t="str">
        <f aca="false">IF($A62="","",SUMIFS(VENTAS!$E$6:$E$2005,VENTAS!$C$6:$C$2005,$A62))</f>
        <v/>
      </c>
      <c r="R62" s="8" t="str">
        <f aca="false">IF($A62="","",IF($H62=0,"SIN RECETA",IF($K62&gt;FOODCOST_MAX,"REVISAR PRECIO","OK")))</f>
        <v/>
      </c>
      <c r="S62" s="54"/>
    </row>
    <row r="63" customFormat="false" ht="15" hidden="false" customHeight="false" outlineLevel="0" collapsed="false">
      <c r="A63" s="6"/>
      <c r="B63" s="6"/>
      <c r="C63" s="6"/>
      <c r="D63" s="40"/>
      <c r="E63" s="41"/>
      <c r="F63" s="35" t="str">
        <f aca="false">IF($A63="","",IFERROR($D63/(1+$E63),0))</f>
        <v/>
      </c>
      <c r="G63" s="42"/>
      <c r="H63" s="35" t="str">
        <f aca="false">IF($A63="","",SUMIFS(RECETAS!$J$6:$J$605,RECETAS!$A$6:$A$605,$A63))</f>
        <v/>
      </c>
      <c r="I63" s="35" t="str">
        <f aca="false">IF($A63="","",$F63-$H63)</f>
        <v/>
      </c>
      <c r="J63" s="36" t="str">
        <f aca="false">IF($A63="","",IFERROR($I63/$F63,0))</f>
        <v/>
      </c>
      <c r="K63" s="36" t="str">
        <f aca="false">IF($A63="","",IFERROR($H63/$F63,0))</f>
        <v/>
      </c>
      <c r="L63" s="41"/>
      <c r="M63" s="35" t="str">
        <f aca="false">IF($A63="","",IFERROR($H63/(1-IF(N($L63)&gt;0,$L63,MARGEN_OBJ)),0))</f>
        <v/>
      </c>
      <c r="N63" s="35" t="str">
        <f aca="false">IF($A63="","",$M63*(1+$E63))</f>
        <v/>
      </c>
      <c r="O63" s="36" t="str">
        <f aca="false">IF($A63="","",IFERROR($I63/$H63,0))</f>
        <v/>
      </c>
      <c r="P63" s="42"/>
      <c r="Q63" s="34" t="str">
        <f aca="false">IF($A63="","",SUMIFS(VENTAS!$E$6:$E$2005,VENTAS!$C$6:$C$2005,$A63))</f>
        <v/>
      </c>
      <c r="R63" s="8" t="str">
        <f aca="false">IF($A63="","",IF($H63=0,"SIN RECETA",IF($K63&gt;FOODCOST_MAX,"REVISAR PRECIO","OK")))</f>
        <v/>
      </c>
      <c r="S63" s="54"/>
    </row>
    <row r="64" customFormat="false" ht="15" hidden="false" customHeight="false" outlineLevel="0" collapsed="false">
      <c r="A64" s="6"/>
      <c r="B64" s="6"/>
      <c r="C64" s="6"/>
      <c r="D64" s="40"/>
      <c r="E64" s="41"/>
      <c r="F64" s="35" t="str">
        <f aca="false">IF($A64="","",IFERROR($D64/(1+$E64),0))</f>
        <v/>
      </c>
      <c r="G64" s="42"/>
      <c r="H64" s="35" t="str">
        <f aca="false">IF($A64="","",SUMIFS(RECETAS!$J$6:$J$605,RECETAS!$A$6:$A$605,$A64))</f>
        <v/>
      </c>
      <c r="I64" s="35" t="str">
        <f aca="false">IF($A64="","",$F64-$H64)</f>
        <v/>
      </c>
      <c r="J64" s="36" t="str">
        <f aca="false">IF($A64="","",IFERROR($I64/$F64,0))</f>
        <v/>
      </c>
      <c r="K64" s="36" t="str">
        <f aca="false">IF($A64="","",IFERROR($H64/$F64,0))</f>
        <v/>
      </c>
      <c r="L64" s="41"/>
      <c r="M64" s="35" t="str">
        <f aca="false">IF($A64="","",IFERROR($H64/(1-IF(N($L64)&gt;0,$L64,MARGEN_OBJ)),0))</f>
        <v/>
      </c>
      <c r="N64" s="35" t="str">
        <f aca="false">IF($A64="","",$M64*(1+$E64))</f>
        <v/>
      </c>
      <c r="O64" s="36" t="str">
        <f aca="false">IF($A64="","",IFERROR($I64/$H64,0))</f>
        <v/>
      </c>
      <c r="P64" s="42"/>
      <c r="Q64" s="34" t="str">
        <f aca="false">IF($A64="","",SUMIFS(VENTAS!$E$6:$E$2005,VENTAS!$C$6:$C$2005,$A64))</f>
        <v/>
      </c>
      <c r="R64" s="8" t="str">
        <f aca="false">IF($A64="","",IF($H64=0,"SIN RECETA",IF($K64&gt;FOODCOST_MAX,"REVISAR PRECIO","OK")))</f>
        <v/>
      </c>
      <c r="S64" s="54"/>
    </row>
    <row r="65" customFormat="false" ht="15" hidden="false" customHeight="false" outlineLevel="0" collapsed="false">
      <c r="A65" s="6"/>
      <c r="B65" s="6"/>
      <c r="C65" s="6"/>
      <c r="D65" s="40"/>
      <c r="E65" s="41"/>
      <c r="F65" s="35" t="str">
        <f aca="false">IF($A65="","",IFERROR($D65/(1+$E65),0))</f>
        <v/>
      </c>
      <c r="G65" s="42"/>
      <c r="H65" s="35" t="str">
        <f aca="false">IF($A65="","",SUMIFS(RECETAS!$J$6:$J$605,RECETAS!$A$6:$A$605,$A65))</f>
        <v/>
      </c>
      <c r="I65" s="35" t="str">
        <f aca="false">IF($A65="","",$F65-$H65)</f>
        <v/>
      </c>
      <c r="J65" s="36" t="str">
        <f aca="false">IF($A65="","",IFERROR($I65/$F65,0))</f>
        <v/>
      </c>
      <c r="K65" s="36" t="str">
        <f aca="false">IF($A65="","",IFERROR($H65/$F65,0))</f>
        <v/>
      </c>
      <c r="L65" s="41"/>
      <c r="M65" s="35" t="str">
        <f aca="false">IF($A65="","",IFERROR($H65/(1-IF(N($L65)&gt;0,$L65,MARGEN_OBJ)),0))</f>
        <v/>
      </c>
      <c r="N65" s="35" t="str">
        <f aca="false">IF($A65="","",$M65*(1+$E65))</f>
        <v/>
      </c>
      <c r="O65" s="36" t="str">
        <f aca="false">IF($A65="","",IFERROR($I65/$H65,0))</f>
        <v/>
      </c>
      <c r="P65" s="42"/>
      <c r="Q65" s="34" t="str">
        <f aca="false">IF($A65="","",SUMIFS(VENTAS!$E$6:$E$2005,VENTAS!$C$6:$C$2005,$A65))</f>
        <v/>
      </c>
      <c r="R65" s="8" t="str">
        <f aca="false">IF($A65="","",IF($H65=0,"SIN RECETA",IF($K65&gt;FOODCOST_MAX,"REVISAR PRECIO","OK")))</f>
        <v/>
      </c>
      <c r="S65" s="54"/>
    </row>
    <row r="66" customFormat="false" ht="15" hidden="false" customHeight="false" outlineLevel="0" collapsed="false">
      <c r="A66" s="6"/>
      <c r="B66" s="6"/>
      <c r="C66" s="6"/>
      <c r="D66" s="40"/>
      <c r="E66" s="41"/>
      <c r="F66" s="35" t="str">
        <f aca="false">IF($A66="","",IFERROR($D66/(1+$E66),0))</f>
        <v/>
      </c>
      <c r="G66" s="42"/>
      <c r="H66" s="35" t="str">
        <f aca="false">IF($A66="","",SUMIFS(RECETAS!$J$6:$J$605,RECETAS!$A$6:$A$605,$A66))</f>
        <v/>
      </c>
      <c r="I66" s="35" t="str">
        <f aca="false">IF($A66="","",$F66-$H66)</f>
        <v/>
      </c>
      <c r="J66" s="36" t="str">
        <f aca="false">IF($A66="","",IFERROR($I66/$F66,0))</f>
        <v/>
      </c>
      <c r="K66" s="36" t="str">
        <f aca="false">IF($A66="","",IFERROR($H66/$F66,0))</f>
        <v/>
      </c>
      <c r="L66" s="41"/>
      <c r="M66" s="35" t="str">
        <f aca="false">IF($A66="","",IFERROR($H66/(1-IF(N($L66)&gt;0,$L66,MARGEN_OBJ)),0))</f>
        <v/>
      </c>
      <c r="N66" s="35" t="str">
        <f aca="false">IF($A66="","",$M66*(1+$E66))</f>
        <v/>
      </c>
      <c r="O66" s="36" t="str">
        <f aca="false">IF($A66="","",IFERROR($I66/$H66,0))</f>
        <v/>
      </c>
      <c r="P66" s="42"/>
      <c r="Q66" s="34" t="str">
        <f aca="false">IF($A66="","",SUMIFS(VENTAS!$E$6:$E$2005,VENTAS!$C$6:$C$2005,$A66))</f>
        <v/>
      </c>
      <c r="R66" s="8" t="str">
        <f aca="false">IF($A66="","",IF($H66=0,"SIN RECETA",IF($K66&gt;FOODCOST_MAX,"REVISAR PRECIO","OK")))</f>
        <v/>
      </c>
      <c r="S66" s="54"/>
    </row>
    <row r="67" customFormat="false" ht="15" hidden="false" customHeight="false" outlineLevel="0" collapsed="false">
      <c r="A67" s="6"/>
      <c r="B67" s="6"/>
      <c r="C67" s="6"/>
      <c r="D67" s="40"/>
      <c r="E67" s="41"/>
      <c r="F67" s="35" t="str">
        <f aca="false">IF($A67="","",IFERROR($D67/(1+$E67),0))</f>
        <v/>
      </c>
      <c r="G67" s="42"/>
      <c r="H67" s="35" t="str">
        <f aca="false">IF($A67="","",SUMIFS(RECETAS!$J$6:$J$605,RECETAS!$A$6:$A$605,$A67))</f>
        <v/>
      </c>
      <c r="I67" s="35" t="str">
        <f aca="false">IF($A67="","",$F67-$H67)</f>
        <v/>
      </c>
      <c r="J67" s="36" t="str">
        <f aca="false">IF($A67="","",IFERROR($I67/$F67,0))</f>
        <v/>
      </c>
      <c r="K67" s="36" t="str">
        <f aca="false">IF($A67="","",IFERROR($H67/$F67,0))</f>
        <v/>
      </c>
      <c r="L67" s="41"/>
      <c r="M67" s="35" t="str">
        <f aca="false">IF($A67="","",IFERROR($H67/(1-IF(N($L67)&gt;0,$L67,MARGEN_OBJ)),0))</f>
        <v/>
      </c>
      <c r="N67" s="35" t="str">
        <f aca="false">IF($A67="","",$M67*(1+$E67))</f>
        <v/>
      </c>
      <c r="O67" s="36" t="str">
        <f aca="false">IF($A67="","",IFERROR($I67/$H67,0))</f>
        <v/>
      </c>
      <c r="P67" s="42"/>
      <c r="Q67" s="34" t="str">
        <f aca="false">IF($A67="","",SUMIFS(VENTAS!$E$6:$E$2005,VENTAS!$C$6:$C$2005,$A67))</f>
        <v/>
      </c>
      <c r="R67" s="8" t="str">
        <f aca="false">IF($A67="","",IF($H67=0,"SIN RECETA",IF($K67&gt;FOODCOST_MAX,"REVISAR PRECIO","OK")))</f>
        <v/>
      </c>
      <c r="S67" s="54"/>
    </row>
    <row r="68" customFormat="false" ht="15" hidden="false" customHeight="false" outlineLevel="0" collapsed="false">
      <c r="A68" s="6"/>
      <c r="B68" s="6"/>
      <c r="C68" s="6"/>
      <c r="D68" s="40"/>
      <c r="E68" s="41"/>
      <c r="F68" s="35" t="str">
        <f aca="false">IF($A68="","",IFERROR($D68/(1+$E68),0))</f>
        <v/>
      </c>
      <c r="G68" s="42"/>
      <c r="H68" s="35" t="str">
        <f aca="false">IF($A68="","",SUMIFS(RECETAS!$J$6:$J$605,RECETAS!$A$6:$A$605,$A68))</f>
        <v/>
      </c>
      <c r="I68" s="35" t="str">
        <f aca="false">IF($A68="","",$F68-$H68)</f>
        <v/>
      </c>
      <c r="J68" s="36" t="str">
        <f aca="false">IF($A68="","",IFERROR($I68/$F68,0))</f>
        <v/>
      </c>
      <c r="K68" s="36" t="str">
        <f aca="false">IF($A68="","",IFERROR($H68/$F68,0))</f>
        <v/>
      </c>
      <c r="L68" s="41"/>
      <c r="M68" s="35" t="str">
        <f aca="false">IF($A68="","",IFERROR($H68/(1-IF(N($L68)&gt;0,$L68,MARGEN_OBJ)),0))</f>
        <v/>
      </c>
      <c r="N68" s="35" t="str">
        <f aca="false">IF($A68="","",$M68*(1+$E68))</f>
        <v/>
      </c>
      <c r="O68" s="36" t="str">
        <f aca="false">IF($A68="","",IFERROR($I68/$H68,0))</f>
        <v/>
      </c>
      <c r="P68" s="42"/>
      <c r="Q68" s="34" t="str">
        <f aca="false">IF($A68="","",SUMIFS(VENTAS!$E$6:$E$2005,VENTAS!$C$6:$C$2005,$A68))</f>
        <v/>
      </c>
      <c r="R68" s="8" t="str">
        <f aca="false">IF($A68="","",IF($H68=0,"SIN RECETA",IF($K68&gt;FOODCOST_MAX,"REVISAR PRECIO","OK")))</f>
        <v/>
      </c>
      <c r="S68" s="54"/>
    </row>
    <row r="69" customFormat="false" ht="15" hidden="false" customHeight="false" outlineLevel="0" collapsed="false">
      <c r="A69" s="6"/>
      <c r="B69" s="6"/>
      <c r="C69" s="6"/>
      <c r="D69" s="40"/>
      <c r="E69" s="41"/>
      <c r="F69" s="35" t="str">
        <f aca="false">IF($A69="","",IFERROR($D69/(1+$E69),0))</f>
        <v/>
      </c>
      <c r="G69" s="42"/>
      <c r="H69" s="35" t="str">
        <f aca="false">IF($A69="","",SUMIFS(RECETAS!$J$6:$J$605,RECETAS!$A$6:$A$605,$A69))</f>
        <v/>
      </c>
      <c r="I69" s="35" t="str">
        <f aca="false">IF($A69="","",$F69-$H69)</f>
        <v/>
      </c>
      <c r="J69" s="36" t="str">
        <f aca="false">IF($A69="","",IFERROR($I69/$F69,0))</f>
        <v/>
      </c>
      <c r="K69" s="36" t="str">
        <f aca="false">IF($A69="","",IFERROR($H69/$F69,0))</f>
        <v/>
      </c>
      <c r="L69" s="41"/>
      <c r="M69" s="35" t="str">
        <f aca="false">IF($A69="","",IFERROR($H69/(1-IF(N($L69)&gt;0,$L69,MARGEN_OBJ)),0))</f>
        <v/>
      </c>
      <c r="N69" s="35" t="str">
        <f aca="false">IF($A69="","",$M69*(1+$E69))</f>
        <v/>
      </c>
      <c r="O69" s="36" t="str">
        <f aca="false">IF($A69="","",IFERROR($I69/$H69,0))</f>
        <v/>
      </c>
      <c r="P69" s="42"/>
      <c r="Q69" s="34" t="str">
        <f aca="false">IF($A69="","",SUMIFS(VENTAS!$E$6:$E$2005,VENTAS!$C$6:$C$2005,$A69))</f>
        <v/>
      </c>
      <c r="R69" s="8" t="str">
        <f aca="false">IF($A69="","",IF($H69=0,"SIN RECETA",IF($K69&gt;FOODCOST_MAX,"REVISAR PRECIO","OK")))</f>
        <v/>
      </c>
      <c r="S69" s="54"/>
    </row>
    <row r="70" customFormat="false" ht="15" hidden="false" customHeight="false" outlineLevel="0" collapsed="false">
      <c r="A70" s="6"/>
      <c r="B70" s="6"/>
      <c r="C70" s="6"/>
      <c r="D70" s="40"/>
      <c r="E70" s="41"/>
      <c r="F70" s="35" t="str">
        <f aca="false">IF($A70="","",IFERROR($D70/(1+$E70),0))</f>
        <v/>
      </c>
      <c r="G70" s="42"/>
      <c r="H70" s="35" t="str">
        <f aca="false">IF($A70="","",SUMIFS(RECETAS!$J$6:$J$605,RECETAS!$A$6:$A$605,$A70))</f>
        <v/>
      </c>
      <c r="I70" s="35" t="str">
        <f aca="false">IF($A70="","",$F70-$H70)</f>
        <v/>
      </c>
      <c r="J70" s="36" t="str">
        <f aca="false">IF($A70="","",IFERROR($I70/$F70,0))</f>
        <v/>
      </c>
      <c r="K70" s="36" t="str">
        <f aca="false">IF($A70="","",IFERROR($H70/$F70,0))</f>
        <v/>
      </c>
      <c r="L70" s="41"/>
      <c r="M70" s="35" t="str">
        <f aca="false">IF($A70="","",IFERROR($H70/(1-IF(N($L70)&gt;0,$L70,MARGEN_OBJ)),0))</f>
        <v/>
      </c>
      <c r="N70" s="35" t="str">
        <f aca="false">IF($A70="","",$M70*(1+$E70))</f>
        <v/>
      </c>
      <c r="O70" s="36" t="str">
        <f aca="false">IF($A70="","",IFERROR($I70/$H70,0))</f>
        <v/>
      </c>
      <c r="P70" s="42"/>
      <c r="Q70" s="34" t="str">
        <f aca="false">IF($A70="","",SUMIFS(VENTAS!$E$6:$E$2005,VENTAS!$C$6:$C$2005,$A70))</f>
        <v/>
      </c>
      <c r="R70" s="8" t="str">
        <f aca="false">IF($A70="","",IF($H70=0,"SIN RECETA",IF($K70&gt;FOODCOST_MAX,"REVISAR PRECIO","OK")))</f>
        <v/>
      </c>
      <c r="S70" s="54"/>
    </row>
    <row r="71" customFormat="false" ht="15" hidden="false" customHeight="false" outlineLevel="0" collapsed="false">
      <c r="A71" s="6"/>
      <c r="B71" s="6"/>
      <c r="C71" s="6"/>
      <c r="D71" s="40"/>
      <c r="E71" s="41"/>
      <c r="F71" s="35" t="str">
        <f aca="false">IF($A71="","",IFERROR($D71/(1+$E71),0))</f>
        <v/>
      </c>
      <c r="G71" s="42"/>
      <c r="H71" s="35" t="str">
        <f aca="false">IF($A71="","",SUMIFS(RECETAS!$J$6:$J$605,RECETAS!$A$6:$A$605,$A71))</f>
        <v/>
      </c>
      <c r="I71" s="35" t="str">
        <f aca="false">IF($A71="","",$F71-$H71)</f>
        <v/>
      </c>
      <c r="J71" s="36" t="str">
        <f aca="false">IF($A71="","",IFERROR($I71/$F71,0))</f>
        <v/>
      </c>
      <c r="K71" s="36" t="str">
        <f aca="false">IF($A71="","",IFERROR($H71/$F71,0))</f>
        <v/>
      </c>
      <c r="L71" s="41"/>
      <c r="M71" s="35" t="str">
        <f aca="false">IF($A71="","",IFERROR($H71/(1-IF(N($L71)&gt;0,$L71,MARGEN_OBJ)),0))</f>
        <v/>
      </c>
      <c r="N71" s="35" t="str">
        <f aca="false">IF($A71="","",$M71*(1+$E71))</f>
        <v/>
      </c>
      <c r="O71" s="36" t="str">
        <f aca="false">IF($A71="","",IFERROR($I71/$H71,0))</f>
        <v/>
      </c>
      <c r="P71" s="42"/>
      <c r="Q71" s="34" t="str">
        <f aca="false">IF($A71="","",SUMIFS(VENTAS!$E$6:$E$2005,VENTAS!$C$6:$C$2005,$A71))</f>
        <v/>
      </c>
      <c r="R71" s="8" t="str">
        <f aca="false">IF($A71="","",IF($H71=0,"SIN RECETA",IF($K71&gt;FOODCOST_MAX,"REVISAR PRECIO","OK")))</f>
        <v/>
      </c>
      <c r="S71" s="54"/>
    </row>
    <row r="72" customFormat="false" ht="15" hidden="false" customHeight="false" outlineLevel="0" collapsed="false">
      <c r="A72" s="6"/>
      <c r="B72" s="6"/>
      <c r="C72" s="6"/>
      <c r="D72" s="40"/>
      <c r="E72" s="41"/>
      <c r="F72" s="35" t="str">
        <f aca="false">IF($A72="","",IFERROR($D72/(1+$E72),0))</f>
        <v/>
      </c>
      <c r="G72" s="42"/>
      <c r="H72" s="35" t="str">
        <f aca="false">IF($A72="","",SUMIFS(RECETAS!$J$6:$J$605,RECETAS!$A$6:$A$605,$A72))</f>
        <v/>
      </c>
      <c r="I72" s="35" t="str">
        <f aca="false">IF($A72="","",$F72-$H72)</f>
        <v/>
      </c>
      <c r="J72" s="36" t="str">
        <f aca="false">IF($A72="","",IFERROR($I72/$F72,0))</f>
        <v/>
      </c>
      <c r="K72" s="36" t="str">
        <f aca="false">IF($A72="","",IFERROR($H72/$F72,0))</f>
        <v/>
      </c>
      <c r="L72" s="41"/>
      <c r="M72" s="35" t="str">
        <f aca="false">IF($A72="","",IFERROR($H72/(1-IF(N($L72)&gt;0,$L72,MARGEN_OBJ)),0))</f>
        <v/>
      </c>
      <c r="N72" s="35" t="str">
        <f aca="false">IF($A72="","",$M72*(1+$E72))</f>
        <v/>
      </c>
      <c r="O72" s="36" t="str">
        <f aca="false">IF($A72="","",IFERROR($I72/$H72,0))</f>
        <v/>
      </c>
      <c r="P72" s="42"/>
      <c r="Q72" s="34" t="str">
        <f aca="false">IF($A72="","",SUMIFS(VENTAS!$E$6:$E$2005,VENTAS!$C$6:$C$2005,$A72))</f>
        <v/>
      </c>
      <c r="R72" s="8" t="str">
        <f aca="false">IF($A72="","",IF($H72=0,"SIN RECETA",IF($K72&gt;FOODCOST_MAX,"REVISAR PRECIO","OK")))</f>
        <v/>
      </c>
      <c r="S72" s="54"/>
    </row>
    <row r="73" customFormat="false" ht="15" hidden="false" customHeight="false" outlineLevel="0" collapsed="false">
      <c r="A73" s="6"/>
      <c r="B73" s="6"/>
      <c r="C73" s="6"/>
      <c r="D73" s="40"/>
      <c r="E73" s="41"/>
      <c r="F73" s="35" t="str">
        <f aca="false">IF($A73="","",IFERROR($D73/(1+$E73),0))</f>
        <v/>
      </c>
      <c r="G73" s="42"/>
      <c r="H73" s="35" t="str">
        <f aca="false">IF($A73="","",SUMIFS(RECETAS!$J$6:$J$605,RECETAS!$A$6:$A$605,$A73))</f>
        <v/>
      </c>
      <c r="I73" s="35" t="str">
        <f aca="false">IF($A73="","",$F73-$H73)</f>
        <v/>
      </c>
      <c r="J73" s="36" t="str">
        <f aca="false">IF($A73="","",IFERROR($I73/$F73,0))</f>
        <v/>
      </c>
      <c r="K73" s="36" t="str">
        <f aca="false">IF($A73="","",IFERROR($H73/$F73,0))</f>
        <v/>
      </c>
      <c r="L73" s="41"/>
      <c r="M73" s="35" t="str">
        <f aca="false">IF($A73="","",IFERROR($H73/(1-IF(N($L73)&gt;0,$L73,MARGEN_OBJ)),0))</f>
        <v/>
      </c>
      <c r="N73" s="35" t="str">
        <f aca="false">IF($A73="","",$M73*(1+$E73))</f>
        <v/>
      </c>
      <c r="O73" s="36" t="str">
        <f aca="false">IF($A73="","",IFERROR($I73/$H73,0))</f>
        <v/>
      </c>
      <c r="P73" s="42"/>
      <c r="Q73" s="34" t="str">
        <f aca="false">IF($A73="","",SUMIFS(VENTAS!$E$6:$E$2005,VENTAS!$C$6:$C$2005,$A73))</f>
        <v/>
      </c>
      <c r="R73" s="8" t="str">
        <f aca="false">IF($A73="","",IF($H73=0,"SIN RECETA",IF($K73&gt;FOODCOST_MAX,"REVISAR PRECIO","OK")))</f>
        <v/>
      </c>
      <c r="S73" s="54"/>
    </row>
    <row r="74" customFormat="false" ht="15" hidden="false" customHeight="false" outlineLevel="0" collapsed="false">
      <c r="A74" s="6"/>
      <c r="B74" s="6"/>
      <c r="C74" s="6"/>
      <c r="D74" s="40"/>
      <c r="E74" s="41"/>
      <c r="F74" s="35" t="str">
        <f aca="false">IF($A74="","",IFERROR($D74/(1+$E74),0))</f>
        <v/>
      </c>
      <c r="G74" s="42"/>
      <c r="H74" s="35" t="str">
        <f aca="false">IF($A74="","",SUMIFS(RECETAS!$J$6:$J$605,RECETAS!$A$6:$A$605,$A74))</f>
        <v/>
      </c>
      <c r="I74" s="35" t="str">
        <f aca="false">IF($A74="","",$F74-$H74)</f>
        <v/>
      </c>
      <c r="J74" s="36" t="str">
        <f aca="false">IF($A74="","",IFERROR($I74/$F74,0))</f>
        <v/>
      </c>
      <c r="K74" s="36" t="str">
        <f aca="false">IF($A74="","",IFERROR($H74/$F74,0))</f>
        <v/>
      </c>
      <c r="L74" s="41"/>
      <c r="M74" s="35" t="str">
        <f aca="false">IF($A74="","",IFERROR($H74/(1-IF(N($L74)&gt;0,$L74,MARGEN_OBJ)),0))</f>
        <v/>
      </c>
      <c r="N74" s="35" t="str">
        <f aca="false">IF($A74="","",$M74*(1+$E74))</f>
        <v/>
      </c>
      <c r="O74" s="36" t="str">
        <f aca="false">IF($A74="","",IFERROR($I74/$H74,0))</f>
        <v/>
      </c>
      <c r="P74" s="42"/>
      <c r="Q74" s="34" t="str">
        <f aca="false">IF($A74="","",SUMIFS(VENTAS!$E$6:$E$2005,VENTAS!$C$6:$C$2005,$A74))</f>
        <v/>
      </c>
      <c r="R74" s="8" t="str">
        <f aca="false">IF($A74="","",IF($H74=0,"SIN RECETA",IF($K74&gt;FOODCOST_MAX,"REVISAR PRECIO","OK")))</f>
        <v/>
      </c>
      <c r="S74" s="54"/>
    </row>
    <row r="75" customFormat="false" ht="15" hidden="false" customHeight="false" outlineLevel="0" collapsed="false">
      <c r="A75" s="6"/>
      <c r="B75" s="6"/>
      <c r="C75" s="6"/>
      <c r="D75" s="40"/>
      <c r="E75" s="41"/>
      <c r="F75" s="35" t="str">
        <f aca="false">IF($A75="","",IFERROR($D75/(1+$E75),0))</f>
        <v/>
      </c>
      <c r="G75" s="42"/>
      <c r="H75" s="35" t="str">
        <f aca="false">IF($A75="","",SUMIFS(RECETAS!$J$6:$J$605,RECETAS!$A$6:$A$605,$A75))</f>
        <v/>
      </c>
      <c r="I75" s="35" t="str">
        <f aca="false">IF($A75="","",$F75-$H75)</f>
        <v/>
      </c>
      <c r="J75" s="36" t="str">
        <f aca="false">IF($A75="","",IFERROR($I75/$F75,0))</f>
        <v/>
      </c>
      <c r="K75" s="36" t="str">
        <f aca="false">IF($A75="","",IFERROR($H75/$F75,0))</f>
        <v/>
      </c>
      <c r="L75" s="41"/>
      <c r="M75" s="35" t="str">
        <f aca="false">IF($A75="","",IFERROR($H75/(1-IF(N($L75)&gt;0,$L75,MARGEN_OBJ)),0))</f>
        <v/>
      </c>
      <c r="N75" s="35" t="str">
        <f aca="false">IF($A75="","",$M75*(1+$E75))</f>
        <v/>
      </c>
      <c r="O75" s="36" t="str">
        <f aca="false">IF($A75="","",IFERROR($I75/$H75,0))</f>
        <v/>
      </c>
      <c r="P75" s="42"/>
      <c r="Q75" s="34" t="str">
        <f aca="false">IF($A75="","",SUMIFS(VENTAS!$E$6:$E$2005,VENTAS!$C$6:$C$2005,$A75))</f>
        <v/>
      </c>
      <c r="R75" s="8" t="str">
        <f aca="false">IF($A75="","",IF($H75=0,"SIN RECETA",IF($K75&gt;FOODCOST_MAX,"REVISAR PRECIO","OK")))</f>
        <v/>
      </c>
      <c r="S75" s="54"/>
    </row>
    <row r="76" customFormat="false" ht="15" hidden="false" customHeight="false" outlineLevel="0" collapsed="false">
      <c r="A76" s="6"/>
      <c r="B76" s="6"/>
      <c r="C76" s="6"/>
      <c r="D76" s="40"/>
      <c r="E76" s="41"/>
      <c r="F76" s="35" t="str">
        <f aca="false">IF($A76="","",IFERROR($D76/(1+$E76),0))</f>
        <v/>
      </c>
      <c r="G76" s="42"/>
      <c r="H76" s="35" t="str">
        <f aca="false">IF($A76="","",SUMIFS(RECETAS!$J$6:$J$605,RECETAS!$A$6:$A$605,$A76))</f>
        <v/>
      </c>
      <c r="I76" s="35" t="str">
        <f aca="false">IF($A76="","",$F76-$H76)</f>
        <v/>
      </c>
      <c r="J76" s="36" t="str">
        <f aca="false">IF($A76="","",IFERROR($I76/$F76,0))</f>
        <v/>
      </c>
      <c r="K76" s="36" t="str">
        <f aca="false">IF($A76="","",IFERROR($H76/$F76,0))</f>
        <v/>
      </c>
      <c r="L76" s="41"/>
      <c r="M76" s="35" t="str">
        <f aca="false">IF($A76="","",IFERROR($H76/(1-IF(N($L76)&gt;0,$L76,MARGEN_OBJ)),0))</f>
        <v/>
      </c>
      <c r="N76" s="35" t="str">
        <f aca="false">IF($A76="","",$M76*(1+$E76))</f>
        <v/>
      </c>
      <c r="O76" s="36" t="str">
        <f aca="false">IF($A76="","",IFERROR($I76/$H76,0))</f>
        <v/>
      </c>
      <c r="P76" s="42"/>
      <c r="Q76" s="34" t="str">
        <f aca="false">IF($A76="","",SUMIFS(VENTAS!$E$6:$E$2005,VENTAS!$C$6:$C$2005,$A76))</f>
        <v/>
      </c>
      <c r="R76" s="8" t="str">
        <f aca="false">IF($A76="","",IF($H76=0,"SIN RECETA",IF($K76&gt;FOODCOST_MAX,"REVISAR PRECIO","OK")))</f>
        <v/>
      </c>
      <c r="S76" s="54"/>
    </row>
    <row r="77" customFormat="false" ht="15" hidden="false" customHeight="false" outlineLevel="0" collapsed="false">
      <c r="A77" s="6"/>
      <c r="B77" s="6"/>
      <c r="C77" s="6"/>
      <c r="D77" s="40"/>
      <c r="E77" s="41"/>
      <c r="F77" s="35" t="str">
        <f aca="false">IF($A77="","",IFERROR($D77/(1+$E77),0))</f>
        <v/>
      </c>
      <c r="G77" s="42"/>
      <c r="H77" s="35" t="str">
        <f aca="false">IF($A77="","",SUMIFS(RECETAS!$J$6:$J$605,RECETAS!$A$6:$A$605,$A77))</f>
        <v/>
      </c>
      <c r="I77" s="35" t="str">
        <f aca="false">IF($A77="","",$F77-$H77)</f>
        <v/>
      </c>
      <c r="J77" s="36" t="str">
        <f aca="false">IF($A77="","",IFERROR($I77/$F77,0))</f>
        <v/>
      </c>
      <c r="K77" s="36" t="str">
        <f aca="false">IF($A77="","",IFERROR($H77/$F77,0))</f>
        <v/>
      </c>
      <c r="L77" s="41"/>
      <c r="M77" s="35" t="str">
        <f aca="false">IF($A77="","",IFERROR($H77/(1-IF(N($L77)&gt;0,$L77,MARGEN_OBJ)),0))</f>
        <v/>
      </c>
      <c r="N77" s="35" t="str">
        <f aca="false">IF($A77="","",$M77*(1+$E77))</f>
        <v/>
      </c>
      <c r="O77" s="36" t="str">
        <f aca="false">IF($A77="","",IFERROR($I77/$H77,0))</f>
        <v/>
      </c>
      <c r="P77" s="42"/>
      <c r="Q77" s="34" t="str">
        <f aca="false">IF($A77="","",SUMIFS(VENTAS!$E$6:$E$2005,VENTAS!$C$6:$C$2005,$A77))</f>
        <v/>
      </c>
      <c r="R77" s="8" t="str">
        <f aca="false">IF($A77="","",IF($H77=0,"SIN RECETA",IF($K77&gt;FOODCOST_MAX,"REVISAR PRECIO","OK")))</f>
        <v/>
      </c>
      <c r="S77" s="54"/>
    </row>
    <row r="78" customFormat="false" ht="15" hidden="false" customHeight="false" outlineLevel="0" collapsed="false">
      <c r="A78" s="6"/>
      <c r="B78" s="6"/>
      <c r="C78" s="6"/>
      <c r="D78" s="40"/>
      <c r="E78" s="41"/>
      <c r="F78" s="35" t="str">
        <f aca="false">IF($A78="","",IFERROR($D78/(1+$E78),0))</f>
        <v/>
      </c>
      <c r="G78" s="42"/>
      <c r="H78" s="35" t="str">
        <f aca="false">IF($A78="","",SUMIFS(RECETAS!$J$6:$J$605,RECETAS!$A$6:$A$605,$A78))</f>
        <v/>
      </c>
      <c r="I78" s="35" t="str">
        <f aca="false">IF($A78="","",$F78-$H78)</f>
        <v/>
      </c>
      <c r="J78" s="36" t="str">
        <f aca="false">IF($A78="","",IFERROR($I78/$F78,0))</f>
        <v/>
      </c>
      <c r="K78" s="36" t="str">
        <f aca="false">IF($A78="","",IFERROR($H78/$F78,0))</f>
        <v/>
      </c>
      <c r="L78" s="41"/>
      <c r="M78" s="35" t="str">
        <f aca="false">IF($A78="","",IFERROR($H78/(1-IF(N($L78)&gt;0,$L78,MARGEN_OBJ)),0))</f>
        <v/>
      </c>
      <c r="N78" s="35" t="str">
        <f aca="false">IF($A78="","",$M78*(1+$E78))</f>
        <v/>
      </c>
      <c r="O78" s="36" t="str">
        <f aca="false">IF($A78="","",IFERROR($I78/$H78,0))</f>
        <v/>
      </c>
      <c r="P78" s="42"/>
      <c r="Q78" s="34" t="str">
        <f aca="false">IF($A78="","",SUMIFS(VENTAS!$E$6:$E$2005,VENTAS!$C$6:$C$2005,$A78))</f>
        <v/>
      </c>
      <c r="R78" s="8" t="str">
        <f aca="false">IF($A78="","",IF($H78=0,"SIN RECETA",IF($K78&gt;FOODCOST_MAX,"REVISAR PRECIO","OK")))</f>
        <v/>
      </c>
      <c r="S78" s="54"/>
    </row>
    <row r="79" customFormat="false" ht="15" hidden="false" customHeight="false" outlineLevel="0" collapsed="false">
      <c r="A79" s="6"/>
      <c r="B79" s="6"/>
      <c r="C79" s="6"/>
      <c r="D79" s="40"/>
      <c r="E79" s="41"/>
      <c r="F79" s="35" t="str">
        <f aca="false">IF($A79="","",IFERROR($D79/(1+$E79),0))</f>
        <v/>
      </c>
      <c r="G79" s="42"/>
      <c r="H79" s="35" t="str">
        <f aca="false">IF($A79="","",SUMIFS(RECETAS!$J$6:$J$605,RECETAS!$A$6:$A$605,$A79))</f>
        <v/>
      </c>
      <c r="I79" s="35" t="str">
        <f aca="false">IF($A79="","",$F79-$H79)</f>
        <v/>
      </c>
      <c r="J79" s="36" t="str">
        <f aca="false">IF($A79="","",IFERROR($I79/$F79,0))</f>
        <v/>
      </c>
      <c r="K79" s="36" t="str">
        <f aca="false">IF($A79="","",IFERROR($H79/$F79,0))</f>
        <v/>
      </c>
      <c r="L79" s="41"/>
      <c r="M79" s="35" t="str">
        <f aca="false">IF($A79="","",IFERROR($H79/(1-IF(N($L79)&gt;0,$L79,MARGEN_OBJ)),0))</f>
        <v/>
      </c>
      <c r="N79" s="35" t="str">
        <f aca="false">IF($A79="","",$M79*(1+$E79))</f>
        <v/>
      </c>
      <c r="O79" s="36" t="str">
        <f aca="false">IF($A79="","",IFERROR($I79/$H79,0))</f>
        <v/>
      </c>
      <c r="P79" s="42"/>
      <c r="Q79" s="34" t="str">
        <f aca="false">IF($A79="","",SUMIFS(VENTAS!$E$6:$E$2005,VENTAS!$C$6:$C$2005,$A79))</f>
        <v/>
      </c>
      <c r="R79" s="8" t="str">
        <f aca="false">IF($A79="","",IF($H79=0,"SIN RECETA",IF($K79&gt;FOODCOST_MAX,"REVISAR PRECIO","OK")))</f>
        <v/>
      </c>
      <c r="S79" s="54"/>
    </row>
    <row r="80" customFormat="false" ht="15" hidden="false" customHeight="false" outlineLevel="0" collapsed="false">
      <c r="A80" s="6"/>
      <c r="B80" s="6"/>
      <c r="C80" s="6"/>
      <c r="D80" s="40"/>
      <c r="E80" s="41"/>
      <c r="F80" s="35" t="str">
        <f aca="false">IF($A80="","",IFERROR($D80/(1+$E80),0))</f>
        <v/>
      </c>
      <c r="G80" s="42"/>
      <c r="H80" s="35" t="str">
        <f aca="false">IF($A80="","",SUMIFS(RECETAS!$J$6:$J$605,RECETAS!$A$6:$A$605,$A80))</f>
        <v/>
      </c>
      <c r="I80" s="35" t="str">
        <f aca="false">IF($A80="","",$F80-$H80)</f>
        <v/>
      </c>
      <c r="J80" s="36" t="str">
        <f aca="false">IF($A80="","",IFERROR($I80/$F80,0))</f>
        <v/>
      </c>
      <c r="K80" s="36" t="str">
        <f aca="false">IF($A80="","",IFERROR($H80/$F80,0))</f>
        <v/>
      </c>
      <c r="L80" s="41"/>
      <c r="M80" s="35" t="str">
        <f aca="false">IF($A80="","",IFERROR($H80/(1-IF(N($L80)&gt;0,$L80,MARGEN_OBJ)),0))</f>
        <v/>
      </c>
      <c r="N80" s="35" t="str">
        <f aca="false">IF($A80="","",$M80*(1+$E80))</f>
        <v/>
      </c>
      <c r="O80" s="36" t="str">
        <f aca="false">IF($A80="","",IFERROR($I80/$H80,0))</f>
        <v/>
      </c>
      <c r="P80" s="42"/>
      <c r="Q80" s="34" t="str">
        <f aca="false">IF($A80="","",SUMIFS(VENTAS!$E$6:$E$2005,VENTAS!$C$6:$C$2005,$A80))</f>
        <v/>
      </c>
      <c r="R80" s="8" t="str">
        <f aca="false">IF($A80="","",IF($H80=0,"SIN RECETA",IF($K80&gt;FOODCOST_MAX,"REVISAR PRECIO","OK")))</f>
        <v/>
      </c>
      <c r="S80" s="54"/>
    </row>
    <row r="81" customFormat="false" ht="15" hidden="false" customHeight="false" outlineLevel="0" collapsed="false">
      <c r="A81" s="6"/>
      <c r="B81" s="6"/>
      <c r="C81" s="6"/>
      <c r="D81" s="40"/>
      <c r="E81" s="41"/>
      <c r="F81" s="35" t="str">
        <f aca="false">IF($A81="","",IFERROR($D81/(1+$E81),0))</f>
        <v/>
      </c>
      <c r="G81" s="42"/>
      <c r="H81" s="35" t="str">
        <f aca="false">IF($A81="","",SUMIFS(RECETAS!$J$6:$J$605,RECETAS!$A$6:$A$605,$A81))</f>
        <v/>
      </c>
      <c r="I81" s="35" t="str">
        <f aca="false">IF($A81="","",$F81-$H81)</f>
        <v/>
      </c>
      <c r="J81" s="36" t="str">
        <f aca="false">IF($A81="","",IFERROR($I81/$F81,0))</f>
        <v/>
      </c>
      <c r="K81" s="36" t="str">
        <f aca="false">IF($A81="","",IFERROR($H81/$F81,0))</f>
        <v/>
      </c>
      <c r="L81" s="41"/>
      <c r="M81" s="35" t="str">
        <f aca="false">IF($A81="","",IFERROR($H81/(1-IF(N($L81)&gt;0,$L81,MARGEN_OBJ)),0))</f>
        <v/>
      </c>
      <c r="N81" s="35" t="str">
        <f aca="false">IF($A81="","",$M81*(1+$E81))</f>
        <v/>
      </c>
      <c r="O81" s="36" t="str">
        <f aca="false">IF($A81="","",IFERROR($I81/$H81,0))</f>
        <v/>
      </c>
      <c r="P81" s="42"/>
      <c r="Q81" s="34" t="str">
        <f aca="false">IF($A81="","",SUMIFS(VENTAS!$E$6:$E$2005,VENTAS!$C$6:$C$2005,$A81))</f>
        <v/>
      </c>
      <c r="R81" s="8" t="str">
        <f aca="false">IF($A81="","",IF($H81=0,"SIN RECETA",IF($K81&gt;FOODCOST_MAX,"REVISAR PRECIO","OK")))</f>
        <v/>
      </c>
      <c r="S81" s="54"/>
    </row>
    <row r="82" customFormat="false" ht="15" hidden="false" customHeight="false" outlineLevel="0" collapsed="false">
      <c r="A82" s="6"/>
      <c r="B82" s="6"/>
      <c r="C82" s="6"/>
      <c r="D82" s="40"/>
      <c r="E82" s="41"/>
      <c r="F82" s="35" t="str">
        <f aca="false">IF($A82="","",IFERROR($D82/(1+$E82),0))</f>
        <v/>
      </c>
      <c r="G82" s="42"/>
      <c r="H82" s="35" t="str">
        <f aca="false">IF($A82="","",SUMIFS(RECETAS!$J$6:$J$605,RECETAS!$A$6:$A$605,$A82))</f>
        <v/>
      </c>
      <c r="I82" s="35" t="str">
        <f aca="false">IF($A82="","",$F82-$H82)</f>
        <v/>
      </c>
      <c r="J82" s="36" t="str">
        <f aca="false">IF($A82="","",IFERROR($I82/$F82,0))</f>
        <v/>
      </c>
      <c r="K82" s="36" t="str">
        <f aca="false">IF($A82="","",IFERROR($H82/$F82,0))</f>
        <v/>
      </c>
      <c r="L82" s="41"/>
      <c r="M82" s="35" t="str">
        <f aca="false">IF($A82="","",IFERROR($H82/(1-IF(N($L82)&gt;0,$L82,MARGEN_OBJ)),0))</f>
        <v/>
      </c>
      <c r="N82" s="35" t="str">
        <f aca="false">IF($A82="","",$M82*(1+$E82))</f>
        <v/>
      </c>
      <c r="O82" s="36" t="str">
        <f aca="false">IF($A82="","",IFERROR($I82/$H82,0))</f>
        <v/>
      </c>
      <c r="P82" s="42"/>
      <c r="Q82" s="34" t="str">
        <f aca="false">IF($A82="","",SUMIFS(VENTAS!$E$6:$E$2005,VENTAS!$C$6:$C$2005,$A82))</f>
        <v/>
      </c>
      <c r="R82" s="8" t="str">
        <f aca="false">IF($A82="","",IF($H82=0,"SIN RECETA",IF($K82&gt;FOODCOST_MAX,"REVISAR PRECIO","OK")))</f>
        <v/>
      </c>
      <c r="S82" s="54"/>
    </row>
    <row r="83" customFormat="false" ht="15" hidden="false" customHeight="false" outlineLevel="0" collapsed="false">
      <c r="A83" s="6"/>
      <c r="B83" s="6"/>
      <c r="C83" s="6"/>
      <c r="D83" s="40"/>
      <c r="E83" s="41"/>
      <c r="F83" s="35" t="str">
        <f aca="false">IF($A83="","",IFERROR($D83/(1+$E83),0))</f>
        <v/>
      </c>
      <c r="G83" s="42"/>
      <c r="H83" s="35" t="str">
        <f aca="false">IF($A83="","",SUMIFS(RECETAS!$J$6:$J$605,RECETAS!$A$6:$A$605,$A83))</f>
        <v/>
      </c>
      <c r="I83" s="35" t="str">
        <f aca="false">IF($A83="","",$F83-$H83)</f>
        <v/>
      </c>
      <c r="J83" s="36" t="str">
        <f aca="false">IF($A83="","",IFERROR($I83/$F83,0))</f>
        <v/>
      </c>
      <c r="K83" s="36" t="str">
        <f aca="false">IF($A83="","",IFERROR($H83/$F83,0))</f>
        <v/>
      </c>
      <c r="L83" s="41"/>
      <c r="M83" s="35" t="str">
        <f aca="false">IF($A83="","",IFERROR($H83/(1-IF(N($L83)&gt;0,$L83,MARGEN_OBJ)),0))</f>
        <v/>
      </c>
      <c r="N83" s="35" t="str">
        <f aca="false">IF($A83="","",$M83*(1+$E83))</f>
        <v/>
      </c>
      <c r="O83" s="36" t="str">
        <f aca="false">IF($A83="","",IFERROR($I83/$H83,0))</f>
        <v/>
      </c>
      <c r="P83" s="42"/>
      <c r="Q83" s="34" t="str">
        <f aca="false">IF($A83="","",SUMIFS(VENTAS!$E$6:$E$2005,VENTAS!$C$6:$C$2005,$A83))</f>
        <v/>
      </c>
      <c r="R83" s="8" t="str">
        <f aca="false">IF($A83="","",IF($H83=0,"SIN RECETA",IF($K83&gt;FOODCOST_MAX,"REVISAR PRECIO","OK")))</f>
        <v/>
      </c>
      <c r="S83" s="54"/>
    </row>
    <row r="84" customFormat="false" ht="15" hidden="false" customHeight="false" outlineLevel="0" collapsed="false">
      <c r="A84" s="6"/>
      <c r="B84" s="6"/>
      <c r="C84" s="6"/>
      <c r="D84" s="40"/>
      <c r="E84" s="41"/>
      <c r="F84" s="35" t="str">
        <f aca="false">IF($A84="","",IFERROR($D84/(1+$E84),0))</f>
        <v/>
      </c>
      <c r="G84" s="42"/>
      <c r="H84" s="35" t="str">
        <f aca="false">IF($A84="","",SUMIFS(RECETAS!$J$6:$J$605,RECETAS!$A$6:$A$605,$A84))</f>
        <v/>
      </c>
      <c r="I84" s="35" t="str">
        <f aca="false">IF($A84="","",$F84-$H84)</f>
        <v/>
      </c>
      <c r="J84" s="36" t="str">
        <f aca="false">IF($A84="","",IFERROR($I84/$F84,0))</f>
        <v/>
      </c>
      <c r="K84" s="36" t="str">
        <f aca="false">IF($A84="","",IFERROR($H84/$F84,0))</f>
        <v/>
      </c>
      <c r="L84" s="41"/>
      <c r="M84" s="35" t="str">
        <f aca="false">IF($A84="","",IFERROR($H84/(1-IF(N($L84)&gt;0,$L84,MARGEN_OBJ)),0))</f>
        <v/>
      </c>
      <c r="N84" s="35" t="str">
        <f aca="false">IF($A84="","",$M84*(1+$E84))</f>
        <v/>
      </c>
      <c r="O84" s="36" t="str">
        <f aca="false">IF($A84="","",IFERROR($I84/$H84,0))</f>
        <v/>
      </c>
      <c r="P84" s="42"/>
      <c r="Q84" s="34" t="str">
        <f aca="false">IF($A84="","",SUMIFS(VENTAS!$E$6:$E$2005,VENTAS!$C$6:$C$2005,$A84))</f>
        <v/>
      </c>
      <c r="R84" s="8" t="str">
        <f aca="false">IF($A84="","",IF($H84=0,"SIN RECETA",IF($K84&gt;FOODCOST_MAX,"REVISAR PRECIO","OK")))</f>
        <v/>
      </c>
      <c r="S84" s="54"/>
    </row>
    <row r="85" customFormat="false" ht="15" hidden="false" customHeight="false" outlineLevel="0" collapsed="false">
      <c r="A85" s="6"/>
      <c r="B85" s="6"/>
      <c r="C85" s="6"/>
      <c r="D85" s="40"/>
      <c r="E85" s="41"/>
      <c r="F85" s="35" t="str">
        <f aca="false">IF($A85="","",IFERROR($D85/(1+$E85),0))</f>
        <v/>
      </c>
      <c r="G85" s="42"/>
      <c r="H85" s="35" t="str">
        <f aca="false">IF($A85="","",SUMIFS(RECETAS!$J$6:$J$605,RECETAS!$A$6:$A$605,$A85))</f>
        <v/>
      </c>
      <c r="I85" s="35" t="str">
        <f aca="false">IF($A85="","",$F85-$H85)</f>
        <v/>
      </c>
      <c r="J85" s="36" t="str">
        <f aca="false">IF($A85="","",IFERROR($I85/$F85,0))</f>
        <v/>
      </c>
      <c r="K85" s="36" t="str">
        <f aca="false">IF($A85="","",IFERROR($H85/$F85,0))</f>
        <v/>
      </c>
      <c r="L85" s="41"/>
      <c r="M85" s="35" t="str">
        <f aca="false">IF($A85="","",IFERROR($H85/(1-IF(N($L85)&gt;0,$L85,MARGEN_OBJ)),0))</f>
        <v/>
      </c>
      <c r="N85" s="35" t="str">
        <f aca="false">IF($A85="","",$M85*(1+$E85))</f>
        <v/>
      </c>
      <c r="O85" s="36" t="str">
        <f aca="false">IF($A85="","",IFERROR($I85/$H85,0))</f>
        <v/>
      </c>
      <c r="P85" s="42"/>
      <c r="Q85" s="34" t="str">
        <f aca="false">IF($A85="","",SUMIFS(VENTAS!$E$6:$E$2005,VENTAS!$C$6:$C$2005,$A85))</f>
        <v/>
      </c>
      <c r="R85" s="8" t="str">
        <f aca="false">IF($A85="","",IF($H85=0,"SIN RECETA",IF($K85&gt;FOODCOST_MAX,"REVISAR PRECIO","OK")))</f>
        <v/>
      </c>
      <c r="S85" s="54"/>
    </row>
    <row r="86" customFormat="false" ht="15" hidden="false" customHeight="false" outlineLevel="0" collapsed="false">
      <c r="A86" s="6"/>
      <c r="B86" s="6"/>
      <c r="C86" s="6"/>
      <c r="D86" s="40"/>
      <c r="E86" s="41"/>
      <c r="F86" s="35" t="str">
        <f aca="false">IF($A86="","",IFERROR($D86/(1+$E86),0))</f>
        <v/>
      </c>
      <c r="G86" s="42"/>
      <c r="H86" s="35" t="str">
        <f aca="false">IF($A86="","",SUMIFS(RECETAS!$J$6:$J$605,RECETAS!$A$6:$A$605,$A86))</f>
        <v/>
      </c>
      <c r="I86" s="35" t="str">
        <f aca="false">IF($A86="","",$F86-$H86)</f>
        <v/>
      </c>
      <c r="J86" s="36" t="str">
        <f aca="false">IF($A86="","",IFERROR($I86/$F86,0))</f>
        <v/>
      </c>
      <c r="K86" s="36" t="str">
        <f aca="false">IF($A86="","",IFERROR($H86/$F86,0))</f>
        <v/>
      </c>
      <c r="L86" s="41"/>
      <c r="M86" s="35" t="str">
        <f aca="false">IF($A86="","",IFERROR($H86/(1-IF(N($L86)&gt;0,$L86,MARGEN_OBJ)),0))</f>
        <v/>
      </c>
      <c r="N86" s="35" t="str">
        <f aca="false">IF($A86="","",$M86*(1+$E86))</f>
        <v/>
      </c>
      <c r="O86" s="36" t="str">
        <f aca="false">IF($A86="","",IFERROR($I86/$H86,0))</f>
        <v/>
      </c>
      <c r="P86" s="42"/>
      <c r="Q86" s="34" t="str">
        <f aca="false">IF($A86="","",SUMIFS(VENTAS!$E$6:$E$2005,VENTAS!$C$6:$C$2005,$A86))</f>
        <v/>
      </c>
      <c r="R86" s="8" t="str">
        <f aca="false">IF($A86="","",IF($H86=0,"SIN RECETA",IF($K86&gt;FOODCOST_MAX,"REVISAR PRECIO","OK")))</f>
        <v/>
      </c>
      <c r="S86" s="54"/>
    </row>
    <row r="87" customFormat="false" ht="15" hidden="false" customHeight="false" outlineLevel="0" collapsed="false">
      <c r="A87" s="6"/>
      <c r="B87" s="6"/>
      <c r="C87" s="6"/>
      <c r="D87" s="40"/>
      <c r="E87" s="41"/>
      <c r="F87" s="35" t="str">
        <f aca="false">IF($A87="","",IFERROR($D87/(1+$E87),0))</f>
        <v/>
      </c>
      <c r="G87" s="42"/>
      <c r="H87" s="35" t="str">
        <f aca="false">IF($A87="","",SUMIFS(RECETAS!$J$6:$J$605,RECETAS!$A$6:$A$605,$A87))</f>
        <v/>
      </c>
      <c r="I87" s="35" t="str">
        <f aca="false">IF($A87="","",$F87-$H87)</f>
        <v/>
      </c>
      <c r="J87" s="36" t="str">
        <f aca="false">IF($A87="","",IFERROR($I87/$F87,0))</f>
        <v/>
      </c>
      <c r="K87" s="36" t="str">
        <f aca="false">IF($A87="","",IFERROR($H87/$F87,0))</f>
        <v/>
      </c>
      <c r="L87" s="41"/>
      <c r="M87" s="35" t="str">
        <f aca="false">IF($A87="","",IFERROR($H87/(1-IF(N($L87)&gt;0,$L87,MARGEN_OBJ)),0))</f>
        <v/>
      </c>
      <c r="N87" s="35" t="str">
        <f aca="false">IF($A87="","",$M87*(1+$E87))</f>
        <v/>
      </c>
      <c r="O87" s="36" t="str">
        <f aca="false">IF($A87="","",IFERROR($I87/$H87,0))</f>
        <v/>
      </c>
      <c r="P87" s="42"/>
      <c r="Q87" s="34" t="str">
        <f aca="false">IF($A87="","",SUMIFS(VENTAS!$E$6:$E$2005,VENTAS!$C$6:$C$2005,$A87))</f>
        <v/>
      </c>
      <c r="R87" s="8" t="str">
        <f aca="false">IF($A87="","",IF($H87=0,"SIN RECETA",IF($K87&gt;FOODCOST_MAX,"REVISAR PRECIO","OK")))</f>
        <v/>
      </c>
      <c r="S87" s="54"/>
    </row>
    <row r="88" customFormat="false" ht="15" hidden="false" customHeight="false" outlineLevel="0" collapsed="false">
      <c r="A88" s="6"/>
      <c r="B88" s="6"/>
      <c r="C88" s="6"/>
      <c r="D88" s="40"/>
      <c r="E88" s="41"/>
      <c r="F88" s="35" t="str">
        <f aca="false">IF($A88="","",IFERROR($D88/(1+$E88),0))</f>
        <v/>
      </c>
      <c r="G88" s="42"/>
      <c r="H88" s="35" t="str">
        <f aca="false">IF($A88="","",SUMIFS(RECETAS!$J$6:$J$605,RECETAS!$A$6:$A$605,$A88))</f>
        <v/>
      </c>
      <c r="I88" s="35" t="str">
        <f aca="false">IF($A88="","",$F88-$H88)</f>
        <v/>
      </c>
      <c r="J88" s="36" t="str">
        <f aca="false">IF($A88="","",IFERROR($I88/$F88,0))</f>
        <v/>
      </c>
      <c r="K88" s="36" t="str">
        <f aca="false">IF($A88="","",IFERROR($H88/$F88,0))</f>
        <v/>
      </c>
      <c r="L88" s="41"/>
      <c r="M88" s="35" t="str">
        <f aca="false">IF($A88="","",IFERROR($H88/(1-IF(N($L88)&gt;0,$L88,MARGEN_OBJ)),0))</f>
        <v/>
      </c>
      <c r="N88" s="35" t="str">
        <f aca="false">IF($A88="","",$M88*(1+$E88))</f>
        <v/>
      </c>
      <c r="O88" s="36" t="str">
        <f aca="false">IF($A88="","",IFERROR($I88/$H88,0))</f>
        <v/>
      </c>
      <c r="P88" s="42"/>
      <c r="Q88" s="34" t="str">
        <f aca="false">IF($A88="","",SUMIFS(VENTAS!$E$6:$E$2005,VENTAS!$C$6:$C$2005,$A88))</f>
        <v/>
      </c>
      <c r="R88" s="8" t="str">
        <f aca="false">IF($A88="","",IF($H88=0,"SIN RECETA",IF($K88&gt;FOODCOST_MAX,"REVISAR PRECIO","OK")))</f>
        <v/>
      </c>
      <c r="S88" s="54"/>
    </row>
    <row r="89" customFormat="false" ht="15" hidden="false" customHeight="false" outlineLevel="0" collapsed="false">
      <c r="A89" s="6"/>
      <c r="B89" s="6"/>
      <c r="C89" s="6"/>
      <c r="D89" s="40"/>
      <c r="E89" s="41"/>
      <c r="F89" s="35" t="str">
        <f aca="false">IF($A89="","",IFERROR($D89/(1+$E89),0))</f>
        <v/>
      </c>
      <c r="G89" s="42"/>
      <c r="H89" s="35" t="str">
        <f aca="false">IF($A89="","",SUMIFS(RECETAS!$J$6:$J$605,RECETAS!$A$6:$A$605,$A89))</f>
        <v/>
      </c>
      <c r="I89" s="35" t="str">
        <f aca="false">IF($A89="","",$F89-$H89)</f>
        <v/>
      </c>
      <c r="J89" s="36" t="str">
        <f aca="false">IF($A89="","",IFERROR($I89/$F89,0))</f>
        <v/>
      </c>
      <c r="K89" s="36" t="str">
        <f aca="false">IF($A89="","",IFERROR($H89/$F89,0))</f>
        <v/>
      </c>
      <c r="L89" s="41"/>
      <c r="M89" s="35" t="str">
        <f aca="false">IF($A89="","",IFERROR($H89/(1-IF(N($L89)&gt;0,$L89,MARGEN_OBJ)),0))</f>
        <v/>
      </c>
      <c r="N89" s="35" t="str">
        <f aca="false">IF($A89="","",$M89*(1+$E89))</f>
        <v/>
      </c>
      <c r="O89" s="36" t="str">
        <f aca="false">IF($A89="","",IFERROR($I89/$H89,0))</f>
        <v/>
      </c>
      <c r="P89" s="42"/>
      <c r="Q89" s="34" t="str">
        <f aca="false">IF($A89="","",SUMIFS(VENTAS!$E$6:$E$2005,VENTAS!$C$6:$C$2005,$A89))</f>
        <v/>
      </c>
      <c r="R89" s="8" t="str">
        <f aca="false">IF($A89="","",IF($H89=0,"SIN RECETA",IF($K89&gt;FOODCOST_MAX,"REVISAR PRECIO","OK")))</f>
        <v/>
      </c>
      <c r="S89" s="54"/>
    </row>
    <row r="90" customFormat="false" ht="15" hidden="false" customHeight="false" outlineLevel="0" collapsed="false">
      <c r="A90" s="6"/>
      <c r="B90" s="6"/>
      <c r="C90" s="6"/>
      <c r="D90" s="40"/>
      <c r="E90" s="41"/>
      <c r="F90" s="35" t="str">
        <f aca="false">IF($A90="","",IFERROR($D90/(1+$E90),0))</f>
        <v/>
      </c>
      <c r="G90" s="42"/>
      <c r="H90" s="35" t="str">
        <f aca="false">IF($A90="","",SUMIFS(RECETAS!$J$6:$J$605,RECETAS!$A$6:$A$605,$A90))</f>
        <v/>
      </c>
      <c r="I90" s="35" t="str">
        <f aca="false">IF($A90="","",$F90-$H90)</f>
        <v/>
      </c>
      <c r="J90" s="36" t="str">
        <f aca="false">IF($A90="","",IFERROR($I90/$F90,0))</f>
        <v/>
      </c>
      <c r="K90" s="36" t="str">
        <f aca="false">IF($A90="","",IFERROR($H90/$F90,0))</f>
        <v/>
      </c>
      <c r="L90" s="41"/>
      <c r="M90" s="35" t="str">
        <f aca="false">IF($A90="","",IFERROR($H90/(1-IF(N($L90)&gt;0,$L90,MARGEN_OBJ)),0))</f>
        <v/>
      </c>
      <c r="N90" s="35" t="str">
        <f aca="false">IF($A90="","",$M90*(1+$E90))</f>
        <v/>
      </c>
      <c r="O90" s="36" t="str">
        <f aca="false">IF($A90="","",IFERROR($I90/$H90,0))</f>
        <v/>
      </c>
      <c r="P90" s="42"/>
      <c r="Q90" s="34" t="str">
        <f aca="false">IF($A90="","",SUMIFS(VENTAS!$E$6:$E$2005,VENTAS!$C$6:$C$2005,$A90))</f>
        <v/>
      </c>
      <c r="R90" s="8" t="str">
        <f aca="false">IF($A90="","",IF($H90=0,"SIN RECETA",IF($K90&gt;FOODCOST_MAX,"REVISAR PRECIO","OK")))</f>
        <v/>
      </c>
      <c r="S90" s="54"/>
    </row>
    <row r="91" customFormat="false" ht="15" hidden="false" customHeight="false" outlineLevel="0" collapsed="false">
      <c r="A91" s="6"/>
      <c r="B91" s="6"/>
      <c r="C91" s="6"/>
      <c r="D91" s="40"/>
      <c r="E91" s="41"/>
      <c r="F91" s="35" t="str">
        <f aca="false">IF($A91="","",IFERROR($D91/(1+$E91),0))</f>
        <v/>
      </c>
      <c r="G91" s="42"/>
      <c r="H91" s="35" t="str">
        <f aca="false">IF($A91="","",SUMIFS(RECETAS!$J$6:$J$605,RECETAS!$A$6:$A$605,$A91))</f>
        <v/>
      </c>
      <c r="I91" s="35" t="str">
        <f aca="false">IF($A91="","",$F91-$H91)</f>
        <v/>
      </c>
      <c r="J91" s="36" t="str">
        <f aca="false">IF($A91="","",IFERROR($I91/$F91,0))</f>
        <v/>
      </c>
      <c r="K91" s="36" t="str">
        <f aca="false">IF($A91="","",IFERROR($H91/$F91,0))</f>
        <v/>
      </c>
      <c r="L91" s="41"/>
      <c r="M91" s="35" t="str">
        <f aca="false">IF($A91="","",IFERROR($H91/(1-IF(N($L91)&gt;0,$L91,MARGEN_OBJ)),0))</f>
        <v/>
      </c>
      <c r="N91" s="35" t="str">
        <f aca="false">IF($A91="","",$M91*(1+$E91))</f>
        <v/>
      </c>
      <c r="O91" s="36" t="str">
        <f aca="false">IF($A91="","",IFERROR($I91/$H91,0))</f>
        <v/>
      </c>
      <c r="P91" s="42"/>
      <c r="Q91" s="34" t="str">
        <f aca="false">IF($A91="","",SUMIFS(VENTAS!$E$6:$E$2005,VENTAS!$C$6:$C$2005,$A91))</f>
        <v/>
      </c>
      <c r="R91" s="8" t="str">
        <f aca="false">IF($A91="","",IF($H91=0,"SIN RECETA",IF($K91&gt;FOODCOST_MAX,"REVISAR PRECIO","OK")))</f>
        <v/>
      </c>
      <c r="S91" s="54"/>
    </row>
    <row r="92" customFormat="false" ht="15" hidden="false" customHeight="false" outlineLevel="0" collapsed="false">
      <c r="A92" s="6"/>
      <c r="B92" s="6"/>
      <c r="C92" s="6"/>
      <c r="D92" s="40"/>
      <c r="E92" s="41"/>
      <c r="F92" s="35" t="str">
        <f aca="false">IF($A92="","",IFERROR($D92/(1+$E92),0))</f>
        <v/>
      </c>
      <c r="G92" s="42"/>
      <c r="H92" s="35" t="str">
        <f aca="false">IF($A92="","",SUMIFS(RECETAS!$J$6:$J$605,RECETAS!$A$6:$A$605,$A92))</f>
        <v/>
      </c>
      <c r="I92" s="35" t="str">
        <f aca="false">IF($A92="","",$F92-$H92)</f>
        <v/>
      </c>
      <c r="J92" s="36" t="str">
        <f aca="false">IF($A92="","",IFERROR($I92/$F92,0))</f>
        <v/>
      </c>
      <c r="K92" s="36" t="str">
        <f aca="false">IF($A92="","",IFERROR($H92/$F92,0))</f>
        <v/>
      </c>
      <c r="L92" s="41"/>
      <c r="M92" s="35" t="str">
        <f aca="false">IF($A92="","",IFERROR($H92/(1-IF(N($L92)&gt;0,$L92,MARGEN_OBJ)),0))</f>
        <v/>
      </c>
      <c r="N92" s="35" t="str">
        <f aca="false">IF($A92="","",$M92*(1+$E92))</f>
        <v/>
      </c>
      <c r="O92" s="36" t="str">
        <f aca="false">IF($A92="","",IFERROR($I92/$H92,0))</f>
        <v/>
      </c>
      <c r="P92" s="42"/>
      <c r="Q92" s="34" t="str">
        <f aca="false">IF($A92="","",SUMIFS(VENTAS!$E$6:$E$2005,VENTAS!$C$6:$C$2005,$A92))</f>
        <v/>
      </c>
      <c r="R92" s="8" t="str">
        <f aca="false">IF($A92="","",IF($H92=0,"SIN RECETA",IF($K92&gt;FOODCOST_MAX,"REVISAR PRECIO","OK")))</f>
        <v/>
      </c>
      <c r="S92" s="54"/>
    </row>
    <row r="93" customFormat="false" ht="15" hidden="false" customHeight="false" outlineLevel="0" collapsed="false">
      <c r="A93" s="6"/>
      <c r="B93" s="6"/>
      <c r="C93" s="6"/>
      <c r="D93" s="40"/>
      <c r="E93" s="41"/>
      <c r="F93" s="35" t="str">
        <f aca="false">IF($A93="","",IFERROR($D93/(1+$E93),0))</f>
        <v/>
      </c>
      <c r="G93" s="42"/>
      <c r="H93" s="35" t="str">
        <f aca="false">IF($A93="","",SUMIFS(RECETAS!$J$6:$J$605,RECETAS!$A$6:$A$605,$A93))</f>
        <v/>
      </c>
      <c r="I93" s="35" t="str">
        <f aca="false">IF($A93="","",$F93-$H93)</f>
        <v/>
      </c>
      <c r="J93" s="36" t="str">
        <f aca="false">IF($A93="","",IFERROR($I93/$F93,0))</f>
        <v/>
      </c>
      <c r="K93" s="36" t="str">
        <f aca="false">IF($A93="","",IFERROR($H93/$F93,0))</f>
        <v/>
      </c>
      <c r="L93" s="41"/>
      <c r="M93" s="35" t="str">
        <f aca="false">IF($A93="","",IFERROR($H93/(1-IF(N($L93)&gt;0,$L93,MARGEN_OBJ)),0))</f>
        <v/>
      </c>
      <c r="N93" s="35" t="str">
        <f aca="false">IF($A93="","",$M93*(1+$E93))</f>
        <v/>
      </c>
      <c r="O93" s="36" t="str">
        <f aca="false">IF($A93="","",IFERROR($I93/$H93,0))</f>
        <v/>
      </c>
      <c r="P93" s="42"/>
      <c r="Q93" s="34" t="str">
        <f aca="false">IF($A93="","",SUMIFS(VENTAS!$E$6:$E$2005,VENTAS!$C$6:$C$2005,$A93))</f>
        <v/>
      </c>
      <c r="R93" s="8" t="str">
        <f aca="false">IF($A93="","",IF($H93=0,"SIN RECETA",IF($K93&gt;FOODCOST_MAX,"REVISAR PRECIO","OK")))</f>
        <v/>
      </c>
      <c r="S93" s="54"/>
    </row>
    <row r="94" customFormat="false" ht="15" hidden="false" customHeight="false" outlineLevel="0" collapsed="false">
      <c r="A94" s="6"/>
      <c r="B94" s="6"/>
      <c r="C94" s="6"/>
      <c r="D94" s="40"/>
      <c r="E94" s="41"/>
      <c r="F94" s="35" t="str">
        <f aca="false">IF($A94="","",IFERROR($D94/(1+$E94),0))</f>
        <v/>
      </c>
      <c r="G94" s="42"/>
      <c r="H94" s="35" t="str">
        <f aca="false">IF($A94="","",SUMIFS(RECETAS!$J$6:$J$605,RECETAS!$A$6:$A$605,$A94))</f>
        <v/>
      </c>
      <c r="I94" s="35" t="str">
        <f aca="false">IF($A94="","",$F94-$H94)</f>
        <v/>
      </c>
      <c r="J94" s="36" t="str">
        <f aca="false">IF($A94="","",IFERROR($I94/$F94,0))</f>
        <v/>
      </c>
      <c r="K94" s="36" t="str">
        <f aca="false">IF($A94="","",IFERROR($H94/$F94,0))</f>
        <v/>
      </c>
      <c r="L94" s="41"/>
      <c r="M94" s="35" t="str">
        <f aca="false">IF($A94="","",IFERROR($H94/(1-IF(N($L94)&gt;0,$L94,MARGEN_OBJ)),0))</f>
        <v/>
      </c>
      <c r="N94" s="35" t="str">
        <f aca="false">IF($A94="","",$M94*(1+$E94))</f>
        <v/>
      </c>
      <c r="O94" s="36" t="str">
        <f aca="false">IF($A94="","",IFERROR($I94/$H94,0))</f>
        <v/>
      </c>
      <c r="P94" s="42"/>
      <c r="Q94" s="34" t="str">
        <f aca="false">IF($A94="","",SUMIFS(VENTAS!$E$6:$E$2005,VENTAS!$C$6:$C$2005,$A94))</f>
        <v/>
      </c>
      <c r="R94" s="8" t="str">
        <f aca="false">IF($A94="","",IF($H94=0,"SIN RECETA",IF($K94&gt;FOODCOST_MAX,"REVISAR PRECIO","OK")))</f>
        <v/>
      </c>
      <c r="S94" s="54"/>
    </row>
    <row r="95" customFormat="false" ht="15" hidden="false" customHeight="false" outlineLevel="0" collapsed="false">
      <c r="A95" s="6"/>
      <c r="B95" s="6"/>
      <c r="C95" s="6"/>
      <c r="D95" s="40"/>
      <c r="E95" s="41"/>
      <c r="F95" s="35" t="str">
        <f aca="false">IF($A95="","",IFERROR($D95/(1+$E95),0))</f>
        <v/>
      </c>
      <c r="G95" s="42"/>
      <c r="H95" s="35" t="str">
        <f aca="false">IF($A95="","",SUMIFS(RECETAS!$J$6:$J$605,RECETAS!$A$6:$A$605,$A95))</f>
        <v/>
      </c>
      <c r="I95" s="35" t="str">
        <f aca="false">IF($A95="","",$F95-$H95)</f>
        <v/>
      </c>
      <c r="J95" s="36" t="str">
        <f aca="false">IF($A95="","",IFERROR($I95/$F95,0))</f>
        <v/>
      </c>
      <c r="K95" s="36" t="str">
        <f aca="false">IF($A95="","",IFERROR($H95/$F95,0))</f>
        <v/>
      </c>
      <c r="L95" s="41"/>
      <c r="M95" s="35" t="str">
        <f aca="false">IF($A95="","",IFERROR($H95/(1-IF(N($L95)&gt;0,$L95,MARGEN_OBJ)),0))</f>
        <v/>
      </c>
      <c r="N95" s="35" t="str">
        <f aca="false">IF($A95="","",$M95*(1+$E95))</f>
        <v/>
      </c>
      <c r="O95" s="36" t="str">
        <f aca="false">IF($A95="","",IFERROR($I95/$H95,0))</f>
        <v/>
      </c>
      <c r="P95" s="42"/>
      <c r="Q95" s="34" t="str">
        <f aca="false">IF($A95="","",SUMIFS(VENTAS!$E$6:$E$2005,VENTAS!$C$6:$C$2005,$A95))</f>
        <v/>
      </c>
      <c r="R95" s="8" t="str">
        <f aca="false">IF($A95="","",IF($H95=0,"SIN RECETA",IF($K95&gt;FOODCOST_MAX,"REVISAR PRECIO","OK")))</f>
        <v/>
      </c>
      <c r="S95" s="54"/>
    </row>
    <row r="96" customFormat="false" ht="15" hidden="false" customHeight="false" outlineLevel="0" collapsed="false">
      <c r="A96" s="6"/>
      <c r="B96" s="6"/>
      <c r="C96" s="6"/>
      <c r="D96" s="40"/>
      <c r="E96" s="41"/>
      <c r="F96" s="35" t="str">
        <f aca="false">IF($A96="","",IFERROR($D96/(1+$E96),0))</f>
        <v/>
      </c>
      <c r="G96" s="42"/>
      <c r="H96" s="35" t="str">
        <f aca="false">IF($A96="","",SUMIFS(RECETAS!$J$6:$J$605,RECETAS!$A$6:$A$605,$A96))</f>
        <v/>
      </c>
      <c r="I96" s="35" t="str">
        <f aca="false">IF($A96="","",$F96-$H96)</f>
        <v/>
      </c>
      <c r="J96" s="36" t="str">
        <f aca="false">IF($A96="","",IFERROR($I96/$F96,0))</f>
        <v/>
      </c>
      <c r="K96" s="36" t="str">
        <f aca="false">IF($A96="","",IFERROR($H96/$F96,0))</f>
        <v/>
      </c>
      <c r="L96" s="41"/>
      <c r="M96" s="35" t="str">
        <f aca="false">IF($A96="","",IFERROR($H96/(1-IF(N($L96)&gt;0,$L96,MARGEN_OBJ)),0))</f>
        <v/>
      </c>
      <c r="N96" s="35" t="str">
        <f aca="false">IF($A96="","",$M96*(1+$E96))</f>
        <v/>
      </c>
      <c r="O96" s="36" t="str">
        <f aca="false">IF($A96="","",IFERROR($I96/$H96,0))</f>
        <v/>
      </c>
      <c r="P96" s="42"/>
      <c r="Q96" s="34" t="str">
        <f aca="false">IF($A96="","",SUMIFS(VENTAS!$E$6:$E$2005,VENTAS!$C$6:$C$2005,$A96))</f>
        <v/>
      </c>
      <c r="R96" s="8" t="str">
        <f aca="false">IF($A96="","",IF($H96=0,"SIN RECETA",IF($K96&gt;FOODCOST_MAX,"REVISAR PRECIO","OK")))</f>
        <v/>
      </c>
      <c r="S96" s="54"/>
    </row>
    <row r="97" customFormat="false" ht="15" hidden="false" customHeight="false" outlineLevel="0" collapsed="false">
      <c r="A97" s="6"/>
      <c r="B97" s="6"/>
      <c r="C97" s="6"/>
      <c r="D97" s="40"/>
      <c r="E97" s="41"/>
      <c r="F97" s="35" t="str">
        <f aca="false">IF($A97="","",IFERROR($D97/(1+$E97),0))</f>
        <v/>
      </c>
      <c r="G97" s="42"/>
      <c r="H97" s="35" t="str">
        <f aca="false">IF($A97="","",SUMIFS(RECETAS!$J$6:$J$605,RECETAS!$A$6:$A$605,$A97))</f>
        <v/>
      </c>
      <c r="I97" s="35" t="str">
        <f aca="false">IF($A97="","",$F97-$H97)</f>
        <v/>
      </c>
      <c r="J97" s="36" t="str">
        <f aca="false">IF($A97="","",IFERROR($I97/$F97,0))</f>
        <v/>
      </c>
      <c r="K97" s="36" t="str">
        <f aca="false">IF($A97="","",IFERROR($H97/$F97,0))</f>
        <v/>
      </c>
      <c r="L97" s="41"/>
      <c r="M97" s="35" t="str">
        <f aca="false">IF($A97="","",IFERROR($H97/(1-IF(N($L97)&gt;0,$L97,MARGEN_OBJ)),0))</f>
        <v/>
      </c>
      <c r="N97" s="35" t="str">
        <f aca="false">IF($A97="","",$M97*(1+$E97))</f>
        <v/>
      </c>
      <c r="O97" s="36" t="str">
        <f aca="false">IF($A97="","",IFERROR($I97/$H97,0))</f>
        <v/>
      </c>
      <c r="P97" s="42"/>
      <c r="Q97" s="34" t="str">
        <f aca="false">IF($A97="","",SUMIFS(VENTAS!$E$6:$E$2005,VENTAS!$C$6:$C$2005,$A97))</f>
        <v/>
      </c>
      <c r="R97" s="8" t="str">
        <f aca="false">IF($A97="","",IF($H97=0,"SIN RECETA",IF($K97&gt;FOODCOST_MAX,"REVISAR PRECIO","OK")))</f>
        <v/>
      </c>
      <c r="S97" s="54"/>
    </row>
    <row r="98" customFormat="false" ht="15" hidden="false" customHeight="false" outlineLevel="0" collapsed="false">
      <c r="A98" s="6"/>
      <c r="B98" s="6"/>
      <c r="C98" s="6"/>
      <c r="D98" s="40"/>
      <c r="E98" s="41"/>
      <c r="F98" s="35" t="str">
        <f aca="false">IF($A98="","",IFERROR($D98/(1+$E98),0))</f>
        <v/>
      </c>
      <c r="G98" s="42"/>
      <c r="H98" s="35" t="str">
        <f aca="false">IF($A98="","",SUMIFS(RECETAS!$J$6:$J$605,RECETAS!$A$6:$A$605,$A98))</f>
        <v/>
      </c>
      <c r="I98" s="35" t="str">
        <f aca="false">IF($A98="","",$F98-$H98)</f>
        <v/>
      </c>
      <c r="J98" s="36" t="str">
        <f aca="false">IF($A98="","",IFERROR($I98/$F98,0))</f>
        <v/>
      </c>
      <c r="K98" s="36" t="str">
        <f aca="false">IF($A98="","",IFERROR($H98/$F98,0))</f>
        <v/>
      </c>
      <c r="L98" s="41"/>
      <c r="M98" s="35" t="str">
        <f aca="false">IF($A98="","",IFERROR($H98/(1-IF(N($L98)&gt;0,$L98,MARGEN_OBJ)),0))</f>
        <v/>
      </c>
      <c r="N98" s="35" t="str">
        <f aca="false">IF($A98="","",$M98*(1+$E98))</f>
        <v/>
      </c>
      <c r="O98" s="36" t="str">
        <f aca="false">IF($A98="","",IFERROR($I98/$H98,0))</f>
        <v/>
      </c>
      <c r="P98" s="42"/>
      <c r="Q98" s="34" t="str">
        <f aca="false">IF($A98="","",SUMIFS(VENTAS!$E$6:$E$2005,VENTAS!$C$6:$C$2005,$A98))</f>
        <v/>
      </c>
      <c r="R98" s="8" t="str">
        <f aca="false">IF($A98="","",IF($H98=0,"SIN RECETA",IF($K98&gt;FOODCOST_MAX,"REVISAR PRECIO","OK")))</f>
        <v/>
      </c>
      <c r="S98" s="54"/>
    </row>
    <row r="99" customFormat="false" ht="15" hidden="false" customHeight="false" outlineLevel="0" collapsed="false">
      <c r="A99" s="6"/>
      <c r="B99" s="6"/>
      <c r="C99" s="6"/>
      <c r="D99" s="40"/>
      <c r="E99" s="41"/>
      <c r="F99" s="35" t="str">
        <f aca="false">IF($A99="","",IFERROR($D99/(1+$E99),0))</f>
        <v/>
      </c>
      <c r="G99" s="42"/>
      <c r="H99" s="35" t="str">
        <f aca="false">IF($A99="","",SUMIFS(RECETAS!$J$6:$J$605,RECETAS!$A$6:$A$605,$A99))</f>
        <v/>
      </c>
      <c r="I99" s="35" t="str">
        <f aca="false">IF($A99="","",$F99-$H99)</f>
        <v/>
      </c>
      <c r="J99" s="36" t="str">
        <f aca="false">IF($A99="","",IFERROR($I99/$F99,0))</f>
        <v/>
      </c>
      <c r="K99" s="36" t="str">
        <f aca="false">IF($A99="","",IFERROR($H99/$F99,0))</f>
        <v/>
      </c>
      <c r="L99" s="41"/>
      <c r="M99" s="35" t="str">
        <f aca="false">IF($A99="","",IFERROR($H99/(1-IF(N($L99)&gt;0,$L99,MARGEN_OBJ)),0))</f>
        <v/>
      </c>
      <c r="N99" s="35" t="str">
        <f aca="false">IF($A99="","",$M99*(1+$E99))</f>
        <v/>
      </c>
      <c r="O99" s="36" t="str">
        <f aca="false">IF($A99="","",IFERROR($I99/$H99,0))</f>
        <v/>
      </c>
      <c r="P99" s="42"/>
      <c r="Q99" s="34" t="str">
        <f aca="false">IF($A99="","",SUMIFS(VENTAS!$E$6:$E$2005,VENTAS!$C$6:$C$2005,$A99))</f>
        <v/>
      </c>
      <c r="R99" s="8" t="str">
        <f aca="false">IF($A99="","",IF($H99=0,"SIN RECETA",IF($K99&gt;FOODCOST_MAX,"REVISAR PRECIO","OK")))</f>
        <v/>
      </c>
      <c r="S99" s="54"/>
    </row>
    <row r="100" customFormat="false" ht="15" hidden="false" customHeight="false" outlineLevel="0" collapsed="false">
      <c r="A100" s="6"/>
      <c r="B100" s="6"/>
      <c r="C100" s="6"/>
      <c r="D100" s="40"/>
      <c r="E100" s="41"/>
      <c r="F100" s="35" t="str">
        <f aca="false">IF($A100="","",IFERROR($D100/(1+$E100),0))</f>
        <v/>
      </c>
      <c r="G100" s="42"/>
      <c r="H100" s="35" t="str">
        <f aca="false">IF($A100="","",SUMIFS(RECETAS!$J$6:$J$605,RECETAS!$A$6:$A$605,$A100))</f>
        <v/>
      </c>
      <c r="I100" s="35" t="str">
        <f aca="false">IF($A100="","",$F100-$H100)</f>
        <v/>
      </c>
      <c r="J100" s="36" t="str">
        <f aca="false">IF($A100="","",IFERROR($I100/$F100,0))</f>
        <v/>
      </c>
      <c r="K100" s="36" t="str">
        <f aca="false">IF($A100="","",IFERROR($H100/$F100,0))</f>
        <v/>
      </c>
      <c r="L100" s="41"/>
      <c r="M100" s="35" t="str">
        <f aca="false">IF($A100="","",IFERROR($H100/(1-IF(N($L100)&gt;0,$L100,MARGEN_OBJ)),0))</f>
        <v/>
      </c>
      <c r="N100" s="35" t="str">
        <f aca="false">IF($A100="","",$M100*(1+$E100))</f>
        <v/>
      </c>
      <c r="O100" s="36" t="str">
        <f aca="false">IF($A100="","",IFERROR($I100/$H100,0))</f>
        <v/>
      </c>
      <c r="P100" s="42"/>
      <c r="Q100" s="34" t="str">
        <f aca="false">IF($A100="","",SUMIFS(VENTAS!$E$6:$E$2005,VENTAS!$C$6:$C$2005,$A100))</f>
        <v/>
      </c>
      <c r="R100" s="8" t="str">
        <f aca="false">IF($A100="","",IF($H100=0,"SIN RECETA",IF($K100&gt;FOODCOST_MAX,"REVISAR PRECIO","OK")))</f>
        <v/>
      </c>
      <c r="S100" s="54"/>
    </row>
    <row r="101" customFormat="false" ht="15" hidden="false" customHeight="false" outlineLevel="0" collapsed="false">
      <c r="A101" s="6"/>
      <c r="B101" s="6"/>
      <c r="C101" s="6"/>
      <c r="D101" s="40"/>
      <c r="E101" s="41"/>
      <c r="F101" s="35" t="str">
        <f aca="false">IF($A101="","",IFERROR($D101/(1+$E101),0))</f>
        <v/>
      </c>
      <c r="G101" s="42"/>
      <c r="H101" s="35" t="str">
        <f aca="false">IF($A101="","",SUMIFS(RECETAS!$J$6:$J$605,RECETAS!$A$6:$A$605,$A101))</f>
        <v/>
      </c>
      <c r="I101" s="35" t="str">
        <f aca="false">IF($A101="","",$F101-$H101)</f>
        <v/>
      </c>
      <c r="J101" s="36" t="str">
        <f aca="false">IF($A101="","",IFERROR($I101/$F101,0))</f>
        <v/>
      </c>
      <c r="K101" s="36" t="str">
        <f aca="false">IF($A101="","",IFERROR($H101/$F101,0))</f>
        <v/>
      </c>
      <c r="L101" s="41"/>
      <c r="M101" s="35" t="str">
        <f aca="false">IF($A101="","",IFERROR($H101/(1-IF(N($L101)&gt;0,$L101,MARGEN_OBJ)),0))</f>
        <v/>
      </c>
      <c r="N101" s="35" t="str">
        <f aca="false">IF($A101="","",$M101*(1+$E101))</f>
        <v/>
      </c>
      <c r="O101" s="36" t="str">
        <f aca="false">IF($A101="","",IFERROR($I101/$H101,0))</f>
        <v/>
      </c>
      <c r="P101" s="42"/>
      <c r="Q101" s="34" t="str">
        <f aca="false">IF($A101="","",SUMIFS(VENTAS!$E$6:$E$2005,VENTAS!$C$6:$C$2005,$A101))</f>
        <v/>
      </c>
      <c r="R101" s="8" t="str">
        <f aca="false">IF($A101="","",IF($H101=0,"SIN RECETA",IF($K101&gt;FOODCOST_MAX,"REVISAR PRECIO","OK")))</f>
        <v/>
      </c>
      <c r="S101" s="54"/>
    </row>
    <row r="102" customFormat="false" ht="15" hidden="false" customHeight="false" outlineLevel="0" collapsed="false">
      <c r="A102" s="6"/>
      <c r="B102" s="6"/>
      <c r="C102" s="6"/>
      <c r="D102" s="40"/>
      <c r="E102" s="41"/>
      <c r="F102" s="35" t="str">
        <f aca="false">IF($A102="","",IFERROR($D102/(1+$E102),0))</f>
        <v/>
      </c>
      <c r="G102" s="42"/>
      <c r="H102" s="35" t="str">
        <f aca="false">IF($A102="","",SUMIFS(RECETAS!$J$6:$J$605,RECETAS!$A$6:$A$605,$A102))</f>
        <v/>
      </c>
      <c r="I102" s="35" t="str">
        <f aca="false">IF($A102="","",$F102-$H102)</f>
        <v/>
      </c>
      <c r="J102" s="36" t="str">
        <f aca="false">IF($A102="","",IFERROR($I102/$F102,0))</f>
        <v/>
      </c>
      <c r="K102" s="36" t="str">
        <f aca="false">IF($A102="","",IFERROR($H102/$F102,0))</f>
        <v/>
      </c>
      <c r="L102" s="41"/>
      <c r="M102" s="35" t="str">
        <f aca="false">IF($A102="","",IFERROR($H102/(1-IF(N($L102)&gt;0,$L102,MARGEN_OBJ)),0))</f>
        <v/>
      </c>
      <c r="N102" s="35" t="str">
        <f aca="false">IF($A102="","",$M102*(1+$E102))</f>
        <v/>
      </c>
      <c r="O102" s="36" t="str">
        <f aca="false">IF($A102="","",IFERROR($I102/$H102,0))</f>
        <v/>
      </c>
      <c r="P102" s="42"/>
      <c r="Q102" s="34" t="str">
        <f aca="false">IF($A102="","",SUMIFS(VENTAS!$E$6:$E$2005,VENTAS!$C$6:$C$2005,$A102))</f>
        <v/>
      </c>
      <c r="R102" s="8" t="str">
        <f aca="false">IF($A102="","",IF($H102=0,"SIN RECETA",IF($K102&gt;FOODCOST_MAX,"REVISAR PRECIO","OK")))</f>
        <v/>
      </c>
      <c r="S102" s="54"/>
    </row>
    <row r="103" customFormat="false" ht="15" hidden="false" customHeight="false" outlineLevel="0" collapsed="false">
      <c r="A103" s="6"/>
      <c r="B103" s="6"/>
      <c r="C103" s="6"/>
      <c r="D103" s="40"/>
      <c r="E103" s="41"/>
      <c r="F103" s="35" t="str">
        <f aca="false">IF($A103="","",IFERROR($D103/(1+$E103),0))</f>
        <v/>
      </c>
      <c r="G103" s="42"/>
      <c r="H103" s="35" t="str">
        <f aca="false">IF($A103="","",SUMIFS(RECETAS!$J$6:$J$605,RECETAS!$A$6:$A$605,$A103))</f>
        <v/>
      </c>
      <c r="I103" s="35" t="str">
        <f aca="false">IF($A103="","",$F103-$H103)</f>
        <v/>
      </c>
      <c r="J103" s="36" t="str">
        <f aca="false">IF($A103="","",IFERROR($I103/$F103,0))</f>
        <v/>
      </c>
      <c r="K103" s="36" t="str">
        <f aca="false">IF($A103="","",IFERROR($H103/$F103,0))</f>
        <v/>
      </c>
      <c r="L103" s="41"/>
      <c r="M103" s="35" t="str">
        <f aca="false">IF($A103="","",IFERROR($H103/(1-IF(N($L103)&gt;0,$L103,MARGEN_OBJ)),0))</f>
        <v/>
      </c>
      <c r="N103" s="35" t="str">
        <f aca="false">IF($A103="","",$M103*(1+$E103))</f>
        <v/>
      </c>
      <c r="O103" s="36" t="str">
        <f aca="false">IF($A103="","",IFERROR($I103/$H103,0))</f>
        <v/>
      </c>
      <c r="P103" s="42"/>
      <c r="Q103" s="34" t="str">
        <f aca="false">IF($A103="","",SUMIFS(VENTAS!$E$6:$E$2005,VENTAS!$C$6:$C$2005,$A103))</f>
        <v/>
      </c>
      <c r="R103" s="8" t="str">
        <f aca="false">IF($A103="","",IF($H103=0,"SIN RECETA",IF($K103&gt;FOODCOST_MAX,"REVISAR PRECIO","OK")))</f>
        <v/>
      </c>
      <c r="S103" s="54"/>
    </row>
    <row r="104" customFormat="false" ht="15" hidden="false" customHeight="false" outlineLevel="0" collapsed="false">
      <c r="A104" s="6"/>
      <c r="B104" s="6"/>
      <c r="C104" s="6"/>
      <c r="D104" s="40"/>
      <c r="E104" s="41"/>
      <c r="F104" s="35" t="str">
        <f aca="false">IF($A104="","",IFERROR($D104/(1+$E104),0))</f>
        <v/>
      </c>
      <c r="G104" s="42"/>
      <c r="H104" s="35" t="str">
        <f aca="false">IF($A104="","",SUMIFS(RECETAS!$J$6:$J$605,RECETAS!$A$6:$A$605,$A104))</f>
        <v/>
      </c>
      <c r="I104" s="35" t="str">
        <f aca="false">IF($A104="","",$F104-$H104)</f>
        <v/>
      </c>
      <c r="J104" s="36" t="str">
        <f aca="false">IF($A104="","",IFERROR($I104/$F104,0))</f>
        <v/>
      </c>
      <c r="K104" s="36" t="str">
        <f aca="false">IF($A104="","",IFERROR($H104/$F104,0))</f>
        <v/>
      </c>
      <c r="L104" s="41"/>
      <c r="M104" s="35" t="str">
        <f aca="false">IF($A104="","",IFERROR($H104/(1-IF(N($L104)&gt;0,$L104,MARGEN_OBJ)),0))</f>
        <v/>
      </c>
      <c r="N104" s="35" t="str">
        <f aca="false">IF($A104="","",$M104*(1+$E104))</f>
        <v/>
      </c>
      <c r="O104" s="36" t="str">
        <f aca="false">IF($A104="","",IFERROR($I104/$H104,0))</f>
        <v/>
      </c>
      <c r="P104" s="42"/>
      <c r="Q104" s="34" t="str">
        <f aca="false">IF($A104="","",SUMIFS(VENTAS!$E$6:$E$2005,VENTAS!$C$6:$C$2005,$A104))</f>
        <v/>
      </c>
      <c r="R104" s="8" t="str">
        <f aca="false">IF($A104="","",IF($H104=0,"SIN RECETA",IF($K104&gt;FOODCOST_MAX,"REVISAR PRECIO","OK")))</f>
        <v/>
      </c>
      <c r="S104" s="54"/>
    </row>
    <row r="105" customFormat="false" ht="15" hidden="false" customHeight="false" outlineLevel="0" collapsed="false">
      <c r="A105" s="6"/>
      <c r="B105" s="6"/>
      <c r="C105" s="6"/>
      <c r="D105" s="40"/>
      <c r="E105" s="41"/>
      <c r="F105" s="35" t="str">
        <f aca="false">IF($A105="","",IFERROR($D105/(1+$E105),0))</f>
        <v/>
      </c>
      <c r="G105" s="42"/>
      <c r="H105" s="35" t="str">
        <f aca="false">IF($A105="","",SUMIFS(RECETAS!$J$6:$J$605,RECETAS!$A$6:$A$605,$A105))</f>
        <v/>
      </c>
      <c r="I105" s="35" t="str">
        <f aca="false">IF($A105="","",$F105-$H105)</f>
        <v/>
      </c>
      <c r="J105" s="36" t="str">
        <f aca="false">IF($A105="","",IFERROR($I105/$F105,0))</f>
        <v/>
      </c>
      <c r="K105" s="36" t="str">
        <f aca="false">IF($A105="","",IFERROR($H105/$F105,0))</f>
        <v/>
      </c>
      <c r="L105" s="41"/>
      <c r="M105" s="35" t="str">
        <f aca="false">IF($A105="","",IFERROR($H105/(1-IF(N($L105)&gt;0,$L105,MARGEN_OBJ)),0))</f>
        <v/>
      </c>
      <c r="N105" s="35" t="str">
        <f aca="false">IF($A105="","",$M105*(1+$E105))</f>
        <v/>
      </c>
      <c r="O105" s="36" t="str">
        <f aca="false">IF($A105="","",IFERROR($I105/$H105,0))</f>
        <v/>
      </c>
      <c r="P105" s="42"/>
      <c r="Q105" s="34" t="str">
        <f aca="false">IF($A105="","",SUMIFS(VENTAS!$E$6:$E$2005,VENTAS!$C$6:$C$2005,$A105))</f>
        <v/>
      </c>
      <c r="R105" s="8" t="str">
        <f aca="false">IF($A105="","",IF($H105=0,"SIN RECETA",IF($K105&gt;FOODCOST_MAX,"REVISAR PRECIO","OK")))</f>
        <v/>
      </c>
      <c r="S105" s="54"/>
    </row>
  </sheetData>
  <autoFilter ref="A5:S105"/>
  <conditionalFormatting sqref="R6:R105">
    <cfRule type="expression" priority="2" aboveAverage="0" equalAverage="0" bottom="0" percent="0" rank="0" text="" dxfId="1">
      <formula>$R6="REVISAR PRECIO"</formula>
    </cfRule>
    <cfRule type="expression" priority="3" aboveAverage="0" equalAverage="0" bottom="0" percent="0" rank="0" text="" dxfId="2">
      <formula>$R6="SIN RECETA"</formula>
    </cfRule>
    <cfRule type="expression" priority="4" aboveAverage="0" equalAverage="0" bottom="0" percent="0" rank="0" text="" dxfId="3">
      <formula>$R6="OK"</formula>
    </cfRule>
  </conditionalFormatting>
  <dataValidations count="1">
    <dataValidation allowBlank="true" error="Elija un valor de la lista" errorStyle="stop" operator="between" showDropDown="false" showErrorMessage="false" showInputMessage="false" sqref="C6:C105" type="list">
      <formula1>CONFIG!$O$6:$O$20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O2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3" min="10" style="0" width="12"/>
    <col collapsed="false" customWidth="true" hidden="false" outlineLevel="0" max="15" min="14" style="0" width="10"/>
  </cols>
  <sheetData>
    <row r="1" customFormat="false" ht="19.7" hidden="false" customHeight="false" outlineLevel="0" collapsed="false">
      <c r="A1" s="1" t="s">
        <v>406</v>
      </c>
    </row>
    <row r="2" customFormat="false" ht="15" hidden="false" customHeight="false" outlineLevel="0" collapsed="false">
      <c r="A2" s="2" t="s">
        <v>407</v>
      </c>
    </row>
    <row r="5" customFormat="false" ht="42" hidden="false" customHeight="true" outlineLevel="0" collapsed="false">
      <c r="A5" s="16" t="s">
        <v>318</v>
      </c>
      <c r="B5" s="16" t="s">
        <v>408</v>
      </c>
      <c r="C5" s="16" t="s">
        <v>339</v>
      </c>
      <c r="D5" s="15" t="s">
        <v>184</v>
      </c>
      <c r="E5" s="16" t="s">
        <v>367</v>
      </c>
      <c r="F5" s="15" t="s">
        <v>409</v>
      </c>
      <c r="G5" s="16" t="s">
        <v>410</v>
      </c>
      <c r="H5" s="15" t="s">
        <v>411</v>
      </c>
      <c r="I5" s="15" t="s">
        <v>327</v>
      </c>
      <c r="J5" s="15" t="s">
        <v>186</v>
      </c>
      <c r="K5" s="15" t="s">
        <v>412</v>
      </c>
      <c r="L5" s="15" t="s">
        <v>187</v>
      </c>
      <c r="M5" s="16" t="s">
        <v>413</v>
      </c>
      <c r="N5" s="16" t="s">
        <v>414</v>
      </c>
      <c r="O5" s="15" t="s">
        <v>331</v>
      </c>
    </row>
    <row r="6" customFormat="false" ht="15" hidden="false" customHeight="false" outlineLevel="0" collapsed="false">
      <c r="A6" s="44" t="n">
        <v>46298</v>
      </c>
      <c r="B6" s="6" t="s">
        <v>415</v>
      </c>
      <c r="C6" s="6" t="s">
        <v>350</v>
      </c>
      <c r="D6" s="8" t="str">
        <f aca="false">IF($C6="","",IFERROR(INDEX(PRODUCTOS!$B$6:$B$105,MATCH($C6,PRODUCTOS!$A$6:$A$105,0)),"¿Código?"))</f>
        <v>Fresas con crema Pequeño (8 oz)</v>
      </c>
      <c r="E6" s="42" t="n">
        <v>12</v>
      </c>
      <c r="F6" s="35" t="n">
        <f aca="false">IF($C6="","",IFERROR(INDEX(PRODUCTOS!$D$6:$D$105,MATCH($C6,PRODUCTOS!$A$6:$A$105,0)),0))</f>
        <v>1950</v>
      </c>
      <c r="G6" s="40"/>
      <c r="H6" s="35" t="n">
        <f aca="false">IF($C6="","",N($E6)*$F6-N($G6))</f>
        <v>23400</v>
      </c>
      <c r="I6" s="35" t="n">
        <f aca="false">IF($C6="","",$H6-$H6/(1+IFERROR(INDEX(PRODUCTOS!$E$6:$E$105,MATCH($C6,PRODUCTOS!$A$6:$A$105,0)),IVA_VENTAS)))</f>
        <v>2692.03539823009</v>
      </c>
      <c r="J6" s="35" t="n">
        <f aca="false">IF($C6="","",$H6-$I6)</f>
        <v>20707.9646017699</v>
      </c>
      <c r="K6" s="35" t="n">
        <f aca="false">IF($C6="","",N($E6)*IFERROR(INDEX(PRODUCTOS!$H$6:$H$105,MATCH($C6,PRODUCTOS!$A$6:$A$105,0)),0))</f>
        <v>8080.43660230231</v>
      </c>
      <c r="L6" s="35" t="n">
        <f aca="false">IF($C6="","",$J6-$K6)</f>
        <v>12627.5279994676</v>
      </c>
      <c r="M6" s="6" t="s">
        <v>73</v>
      </c>
      <c r="N6" s="6" t="s">
        <v>75</v>
      </c>
      <c r="O6" s="46" t="n">
        <f aca="false">IF($A6="","",DATE(YEAR($A6),MONTH($A6),1))</f>
        <v>46296</v>
      </c>
    </row>
    <row r="7" customFormat="false" ht="15" hidden="false" customHeight="false" outlineLevel="0" collapsed="false">
      <c r="A7" s="44" t="n">
        <v>46298</v>
      </c>
      <c r="B7" s="6" t="s">
        <v>415</v>
      </c>
      <c r="C7" s="6" t="s">
        <v>351</v>
      </c>
      <c r="D7" s="8" t="str">
        <f aca="false">IF($C7="","",IFERROR(INDEX(PRODUCTOS!$B$6:$B$105,MATCH($C7,PRODUCTOS!$A$6:$A$105,0)),"¿Código?"))</f>
        <v>Fresas con crema Mediano (12 oz)</v>
      </c>
      <c r="E7" s="42" t="n">
        <v>18</v>
      </c>
      <c r="F7" s="35" t="n">
        <f aca="false">IF($C7="","",IFERROR(INDEX(PRODUCTOS!$D$6:$D$105,MATCH($C7,PRODUCTOS!$A$6:$A$105,0)),0))</f>
        <v>2950</v>
      </c>
      <c r="G7" s="40"/>
      <c r="H7" s="35" t="n">
        <f aca="false">IF($C7="","",N($E7)*$F7-N($G7))</f>
        <v>53100</v>
      </c>
      <c r="I7" s="35" t="n">
        <f aca="false">IF($C7="","",$H7-$H7/(1+IFERROR(INDEX(PRODUCTOS!$E$6:$E$105,MATCH($C7,PRODUCTOS!$A$6:$A$105,0)),IVA_VENTAS)))</f>
        <v>6108.84955752212</v>
      </c>
      <c r="J7" s="35" t="n">
        <f aca="false">IF($C7="","",$H7-$I7)</f>
        <v>46991.1504424779</v>
      </c>
      <c r="K7" s="35" t="n">
        <f aca="false">IF($C7="","",N($E7)*IFERROR(INDEX(PRODUCTOS!$H$6:$H$105,MATCH($C7,PRODUCTOS!$A$6:$A$105,0)),0))</f>
        <v>18056.4397855208</v>
      </c>
      <c r="L7" s="35" t="n">
        <f aca="false">IF($C7="","",$J7-$K7)</f>
        <v>28934.7106569571</v>
      </c>
      <c r="M7" s="6" t="s">
        <v>85</v>
      </c>
      <c r="N7" s="6" t="s">
        <v>75</v>
      </c>
      <c r="O7" s="46" t="n">
        <f aca="false">IF($A7="","",DATE(YEAR($A7),MONTH($A7),1))</f>
        <v>46296</v>
      </c>
    </row>
    <row r="8" customFormat="false" ht="15" hidden="false" customHeight="false" outlineLevel="0" collapsed="false">
      <c r="A8" s="44" t="n">
        <v>46298</v>
      </c>
      <c r="B8" s="6" t="s">
        <v>415</v>
      </c>
      <c r="C8" s="6" t="s">
        <v>352</v>
      </c>
      <c r="D8" s="8" t="str">
        <f aca="false">IF($C8="","",IFERROR(INDEX(PRODUCTOS!$B$6:$B$105,MATCH($C8,PRODUCTOS!$A$6:$A$105,0)),"¿Código?"))</f>
        <v>Fresas con crema Grande (16 oz)</v>
      </c>
      <c r="E8" s="42" t="n">
        <v>9</v>
      </c>
      <c r="F8" s="35" t="n">
        <f aca="false">IF($C8="","",IFERROR(INDEX(PRODUCTOS!$D$6:$D$105,MATCH($C8,PRODUCTOS!$A$6:$A$105,0)),0))</f>
        <v>4950</v>
      </c>
      <c r="G8" s="40"/>
      <c r="H8" s="35" t="n">
        <f aca="false">IF($C8="","",N($E8)*$F8-N($G8))</f>
        <v>44550</v>
      </c>
      <c r="I8" s="35" t="n">
        <f aca="false">IF($C8="","",$H8-$H8/(1+IFERROR(INDEX(PRODUCTOS!$E$6:$E$105,MATCH($C8,PRODUCTOS!$A$6:$A$105,0)),IVA_VENTAS)))</f>
        <v>5125.22123893805</v>
      </c>
      <c r="J8" s="35" t="n">
        <f aca="false">IF($C8="","",$H8-$I8)</f>
        <v>39424.778761062</v>
      </c>
      <c r="K8" s="35" t="n">
        <f aca="false">IF($C8="","",N($E8)*IFERROR(INDEX(PRODUCTOS!$H$6:$H$105,MATCH($C8,PRODUCTOS!$A$6:$A$105,0)),0))</f>
        <v>13723.9315677267</v>
      </c>
      <c r="L8" s="35" t="n">
        <f aca="false">IF($C8="","",$J8-$K8)</f>
        <v>25700.8471933352</v>
      </c>
      <c r="M8" s="6" t="s">
        <v>97</v>
      </c>
      <c r="N8" s="6" t="s">
        <v>75</v>
      </c>
      <c r="O8" s="46" t="n">
        <f aca="false">IF($A8="","",DATE(YEAR($A8),MONTH($A8),1))</f>
        <v>46296</v>
      </c>
    </row>
    <row r="9" customFormat="false" ht="15" hidden="false" customHeight="false" outlineLevel="0" collapsed="false">
      <c r="A9" s="44" t="n">
        <v>46298</v>
      </c>
      <c r="B9" s="6" t="s">
        <v>415</v>
      </c>
      <c r="C9" s="6" t="s">
        <v>353</v>
      </c>
      <c r="D9" s="8" t="str">
        <f aca="false">IF($C9="","",IFERROR(INDEX(PRODUCTOS!$B$6:$B$105,MATCH($C9,PRODUCTOS!$A$6:$A$105,0)),"¿Código?"))</f>
        <v>Fresas con crema Extra grande (24 oz)</v>
      </c>
      <c r="E9" s="42" t="n">
        <v>3</v>
      </c>
      <c r="F9" s="35" t="n">
        <f aca="false">IF($C9="","",IFERROR(INDEX(PRODUCTOS!$D$6:$D$105,MATCH($C9,PRODUCTOS!$A$6:$A$105,0)),0))</f>
        <v>6950</v>
      </c>
      <c r="G9" s="40"/>
      <c r="H9" s="35" t="n">
        <f aca="false">IF($C9="","",N($E9)*$F9-N($G9))</f>
        <v>20850</v>
      </c>
      <c r="I9" s="35" t="n">
        <f aca="false">IF($C9="","",$H9-$H9/(1+IFERROR(INDEX(PRODUCTOS!$E$6:$E$105,MATCH($C9,PRODUCTOS!$A$6:$A$105,0)),IVA_VENTAS)))</f>
        <v>2398.67256637168</v>
      </c>
      <c r="J9" s="35" t="n">
        <f aca="false">IF($C9="","",$H9-$I9)</f>
        <v>18451.3274336283</v>
      </c>
      <c r="K9" s="35" t="n">
        <f aca="false">IF($C9="","",N($E9)*IFERROR(INDEX(PRODUCTOS!$H$6:$H$105,MATCH($C9,PRODUCTOS!$A$6:$A$105,0)),0))</f>
        <v>7050.82068794304</v>
      </c>
      <c r="L9" s="35" t="n">
        <f aca="false">IF($C9="","",$J9-$K9)</f>
        <v>11400.5067456853</v>
      </c>
      <c r="M9" s="6" t="s">
        <v>85</v>
      </c>
      <c r="N9" s="6" t="s">
        <v>75</v>
      </c>
      <c r="O9" s="46" t="n">
        <f aca="false">IF($A9="","",DATE(YEAR($A9),MONTH($A9),1))</f>
        <v>46296</v>
      </c>
    </row>
    <row r="10" customFormat="false" ht="15" hidden="false" customHeight="false" outlineLevel="0" collapsed="false">
      <c r="A10" s="44" t="n">
        <v>46298</v>
      </c>
      <c r="B10" s="6" t="s">
        <v>415</v>
      </c>
      <c r="C10" s="6" t="s">
        <v>354</v>
      </c>
      <c r="D10" s="8" t="str">
        <f aca="false">IF($C10="","",IFERROR(INDEX(PRODUCTOS!$B$6:$B$105,MATCH($C10,PRODUCTOS!$A$6:$A$105,0)),"¿Código?"))</f>
        <v>Maracumango</v>
      </c>
      <c r="E10" s="42" t="n">
        <v>6</v>
      </c>
      <c r="F10" s="35" t="n">
        <f aca="false">IF($C10="","",IFERROR(INDEX(PRODUCTOS!$D$6:$D$105,MATCH($C10,PRODUCTOS!$A$6:$A$105,0)),0))</f>
        <v>4200</v>
      </c>
      <c r="G10" s="40"/>
      <c r="H10" s="35" t="n">
        <f aca="false">IF($C10="","",N($E10)*$F10-N($G10))</f>
        <v>25200</v>
      </c>
      <c r="I10" s="35" t="n">
        <f aca="false">IF($C10="","",$H10-$H10/(1+IFERROR(INDEX(PRODUCTOS!$E$6:$E$105,MATCH($C10,PRODUCTOS!$A$6:$A$105,0)),IVA_VENTAS)))</f>
        <v>2899.11504424778</v>
      </c>
      <c r="J10" s="35" t="n">
        <f aca="false">IF($C10="","",$H10-$I10)</f>
        <v>22300.8849557522</v>
      </c>
      <c r="K10" s="35" t="n">
        <f aca="false">IF($C10="","",N($E10)*IFERROR(INDEX(PRODUCTOS!$H$6:$H$105,MATCH($C10,PRODUCTOS!$A$6:$A$105,0)),0))</f>
        <v>5450.27899971435</v>
      </c>
      <c r="L10" s="35" t="n">
        <f aca="false">IF($C10="","",$J10-$K10)</f>
        <v>16850.6059560379</v>
      </c>
      <c r="M10" s="6" t="s">
        <v>73</v>
      </c>
      <c r="N10" s="6" t="s">
        <v>75</v>
      </c>
      <c r="O10" s="46" t="n">
        <f aca="false">IF($A10="","",DATE(YEAR($A10),MONTH($A10),1))</f>
        <v>46296</v>
      </c>
    </row>
    <row r="11" customFormat="false" ht="15" hidden="false" customHeight="false" outlineLevel="0" collapsed="false">
      <c r="A11" s="44" t="n">
        <v>46298</v>
      </c>
      <c r="B11" s="6" t="s">
        <v>415</v>
      </c>
      <c r="C11" s="6" t="s">
        <v>355</v>
      </c>
      <c r="D11" s="8" t="str">
        <f aca="false">IF($C11="","",IFERROR(INDEX(PRODUCTOS!$B$6:$B$105,MATCH($C11,PRODUCTOS!$A$6:$A$105,0)),"¿Código?"))</f>
        <v>Topping extra</v>
      </c>
      <c r="E11" s="42" t="n">
        <v>8</v>
      </c>
      <c r="F11" s="35" t="n">
        <f aca="false">IF($C11="","",IFERROR(INDEX(PRODUCTOS!$D$6:$D$105,MATCH($C11,PRODUCTOS!$A$6:$A$105,0)),0))</f>
        <v>200</v>
      </c>
      <c r="G11" s="40"/>
      <c r="H11" s="35" t="n">
        <f aca="false">IF($C11="","",N($E11)*$F11-N($G11))</f>
        <v>1600</v>
      </c>
      <c r="I11" s="35" t="n">
        <f aca="false">IF($C11="","",$H11-$H11/(1+IFERROR(INDEX(PRODUCTOS!$E$6:$E$105,MATCH($C11,PRODUCTOS!$A$6:$A$105,0)),IVA_VENTAS)))</f>
        <v>184.070796460177</v>
      </c>
      <c r="J11" s="35" t="n">
        <f aca="false">IF($C11="","",$H11-$I11)</f>
        <v>1415.92920353982</v>
      </c>
      <c r="K11" s="35" t="n">
        <f aca="false">IF($C11="","",N($E11)*IFERROR(INDEX(PRODUCTOS!$H$6:$H$105,MATCH($C11,PRODUCTOS!$A$6:$A$105,0)),0))</f>
        <v>760.233918128655</v>
      </c>
      <c r="L11" s="35" t="n">
        <f aca="false">IF($C11="","",$J11-$K11)</f>
        <v>655.695285411168</v>
      </c>
      <c r="M11" s="6" t="s">
        <v>73</v>
      </c>
      <c r="N11" s="6" t="s">
        <v>75</v>
      </c>
      <c r="O11" s="46" t="n">
        <f aca="false">IF($A11="","",DATE(YEAR($A11),MONTH($A11),1))</f>
        <v>46296</v>
      </c>
    </row>
    <row r="12" customFormat="false" ht="15" hidden="false" customHeight="false" outlineLevel="0" collapsed="false">
      <c r="A12" s="44" t="n">
        <v>46298</v>
      </c>
      <c r="B12" s="6" t="s">
        <v>415</v>
      </c>
      <c r="C12" s="6" t="s">
        <v>357</v>
      </c>
      <c r="D12" s="8" t="str">
        <f aca="false">IF($C12="","",IFERROR(INDEX(PRODUCTOS!$B$6:$B$105,MATCH($C12,PRODUCTOS!$A$6:$A$105,0)),"¿Código?"))</f>
        <v>Jarabe premium (Nutella / pistacho)</v>
      </c>
      <c r="E12" s="42" t="n">
        <v>5</v>
      </c>
      <c r="F12" s="35" t="n">
        <f aca="false">IF($C12="","",IFERROR(INDEX(PRODUCTOS!$D$6:$D$105,MATCH($C12,PRODUCTOS!$A$6:$A$105,0)),0))</f>
        <v>400</v>
      </c>
      <c r="G12" s="40"/>
      <c r="H12" s="35" t="n">
        <f aca="false">IF($C12="","",N($E12)*$F12-N($G12))</f>
        <v>2000</v>
      </c>
      <c r="I12" s="35" t="n">
        <f aca="false">IF($C12="","",$H12-$H12/(1+IFERROR(INDEX(PRODUCTOS!$E$6:$E$105,MATCH($C12,PRODUCTOS!$A$6:$A$105,0)),IVA_VENTAS)))</f>
        <v>230.088495575221</v>
      </c>
      <c r="J12" s="35" t="n">
        <f aca="false">IF($C12="","",$H12-$I12)</f>
        <v>1769.91150442478</v>
      </c>
      <c r="K12" s="35" t="n">
        <f aca="false">IF($C12="","",N($E12)*IFERROR(INDEX(PRODUCTOS!$H$6:$H$105,MATCH($C12,PRODUCTOS!$A$6:$A$105,0)),0))</f>
        <v>1192.98245614035</v>
      </c>
      <c r="L12" s="35" t="n">
        <f aca="false">IF($C12="","",$J12-$K12)</f>
        <v>576.929048284428</v>
      </c>
      <c r="M12" s="6" t="s">
        <v>85</v>
      </c>
      <c r="N12" s="6" t="s">
        <v>75</v>
      </c>
      <c r="O12" s="46" t="n">
        <f aca="false">IF($A12="","",DATE(YEAR($A12),MONTH($A12),1))</f>
        <v>46296</v>
      </c>
    </row>
    <row r="13" customFormat="false" ht="15" hidden="false" customHeight="false" outlineLevel="0" collapsed="false">
      <c r="A13" s="44" t="n">
        <v>46299</v>
      </c>
      <c r="B13" s="6" t="s">
        <v>416</v>
      </c>
      <c r="C13" s="6" t="s">
        <v>350</v>
      </c>
      <c r="D13" s="8" t="str">
        <f aca="false">IF($C13="","",IFERROR(INDEX(PRODUCTOS!$B$6:$B$105,MATCH($C13,PRODUCTOS!$A$6:$A$105,0)),"¿Código?"))</f>
        <v>Fresas con crema Pequeño (8 oz)</v>
      </c>
      <c r="E13" s="42" t="n">
        <v>15</v>
      </c>
      <c r="F13" s="35" t="n">
        <f aca="false">IF($C13="","",IFERROR(INDEX(PRODUCTOS!$D$6:$D$105,MATCH($C13,PRODUCTOS!$A$6:$A$105,0)),0))</f>
        <v>1950</v>
      </c>
      <c r="G13" s="40"/>
      <c r="H13" s="35" t="n">
        <f aca="false">IF($C13="","",N($E13)*$F13-N($G13))</f>
        <v>29250</v>
      </c>
      <c r="I13" s="35" t="n">
        <f aca="false">IF($C13="","",$H13-$H13/(1+IFERROR(INDEX(PRODUCTOS!$E$6:$E$105,MATCH($C13,PRODUCTOS!$A$6:$A$105,0)),IVA_VENTAS)))</f>
        <v>3365.04424778761</v>
      </c>
      <c r="J13" s="35" t="n">
        <f aca="false">IF($C13="","",$H13-$I13)</f>
        <v>25884.9557522124</v>
      </c>
      <c r="K13" s="35" t="n">
        <f aca="false">IF($C13="","",N($E13)*IFERROR(INDEX(PRODUCTOS!$H$6:$H$105,MATCH($C13,PRODUCTOS!$A$6:$A$105,0)),0))</f>
        <v>10100.5457528779</v>
      </c>
      <c r="L13" s="35" t="n">
        <f aca="false">IF($C13="","",$J13-$K13)</f>
        <v>15784.4099993345</v>
      </c>
      <c r="M13" s="6" t="s">
        <v>73</v>
      </c>
      <c r="N13" s="6" t="s">
        <v>75</v>
      </c>
      <c r="O13" s="46" t="n">
        <f aca="false">IF($A13="","",DATE(YEAR($A13),MONTH($A13),1))</f>
        <v>46296</v>
      </c>
    </row>
    <row r="14" customFormat="false" ht="15" hidden="false" customHeight="false" outlineLevel="0" collapsed="false">
      <c r="A14" s="44" t="n">
        <v>46299</v>
      </c>
      <c r="B14" s="6" t="s">
        <v>416</v>
      </c>
      <c r="C14" s="6" t="s">
        <v>351</v>
      </c>
      <c r="D14" s="8" t="str">
        <f aca="false">IF($C14="","",IFERROR(INDEX(PRODUCTOS!$B$6:$B$105,MATCH($C14,PRODUCTOS!$A$6:$A$105,0)),"¿Código?"))</f>
        <v>Fresas con crema Mediano (12 oz)</v>
      </c>
      <c r="E14" s="42" t="n">
        <v>22</v>
      </c>
      <c r="F14" s="35" t="n">
        <f aca="false">IF($C14="","",IFERROR(INDEX(PRODUCTOS!$D$6:$D$105,MATCH($C14,PRODUCTOS!$A$6:$A$105,0)),0))</f>
        <v>2950</v>
      </c>
      <c r="G14" s="40"/>
      <c r="H14" s="35" t="n">
        <f aca="false">IF($C14="","",N($E14)*$F14-N($G14))</f>
        <v>64900</v>
      </c>
      <c r="I14" s="35" t="n">
        <f aca="false">IF($C14="","",$H14-$H14/(1+IFERROR(INDEX(PRODUCTOS!$E$6:$E$105,MATCH($C14,PRODUCTOS!$A$6:$A$105,0)),IVA_VENTAS)))</f>
        <v>7466.37168141593</v>
      </c>
      <c r="J14" s="35" t="n">
        <f aca="false">IF($C14="","",$H14-$I14)</f>
        <v>57433.6283185841</v>
      </c>
      <c r="K14" s="35" t="n">
        <f aca="false">IF($C14="","",N($E14)*IFERROR(INDEX(PRODUCTOS!$H$6:$H$105,MATCH($C14,PRODUCTOS!$A$6:$A$105,0)),0))</f>
        <v>22068.9819600809</v>
      </c>
      <c r="L14" s="35" t="n">
        <f aca="false">IF($C14="","",$J14-$K14)</f>
        <v>35364.6463585031</v>
      </c>
      <c r="M14" s="6" t="s">
        <v>85</v>
      </c>
      <c r="N14" s="6" t="s">
        <v>75</v>
      </c>
      <c r="O14" s="46" t="n">
        <f aca="false">IF($A14="","",DATE(YEAR($A14),MONTH($A14),1))</f>
        <v>46296</v>
      </c>
    </row>
    <row r="15" customFormat="false" ht="15" hidden="false" customHeight="false" outlineLevel="0" collapsed="false">
      <c r="A15" s="44" t="n">
        <v>46299</v>
      </c>
      <c r="B15" s="6" t="s">
        <v>416</v>
      </c>
      <c r="C15" s="6" t="s">
        <v>352</v>
      </c>
      <c r="D15" s="8" t="str">
        <f aca="false">IF($C15="","",IFERROR(INDEX(PRODUCTOS!$B$6:$B$105,MATCH($C15,PRODUCTOS!$A$6:$A$105,0)),"¿Código?"))</f>
        <v>Fresas con crema Grande (16 oz)</v>
      </c>
      <c r="E15" s="42" t="n">
        <v>11</v>
      </c>
      <c r="F15" s="35" t="n">
        <f aca="false">IF($C15="","",IFERROR(INDEX(PRODUCTOS!$D$6:$D$105,MATCH($C15,PRODUCTOS!$A$6:$A$105,0)),0))</f>
        <v>4950</v>
      </c>
      <c r="G15" s="40"/>
      <c r="H15" s="35" t="n">
        <f aca="false">IF($C15="","",N($E15)*$F15-N($G15))</f>
        <v>54450</v>
      </c>
      <c r="I15" s="35" t="n">
        <f aca="false">IF($C15="","",$H15-$H15/(1+IFERROR(INDEX(PRODUCTOS!$E$6:$E$105,MATCH($C15,PRODUCTOS!$A$6:$A$105,0)),IVA_VENTAS)))</f>
        <v>6264.15929203539</v>
      </c>
      <c r="J15" s="35" t="n">
        <f aca="false">IF($C15="","",$H15-$I15)</f>
        <v>48185.8407079646</v>
      </c>
      <c r="K15" s="35" t="n">
        <f aca="false">IF($C15="","",N($E15)*IFERROR(INDEX(PRODUCTOS!$H$6:$H$105,MATCH($C15,PRODUCTOS!$A$6:$A$105,0)),0))</f>
        <v>16773.6941383327</v>
      </c>
      <c r="L15" s="35" t="n">
        <f aca="false">IF($C15="","",$J15-$K15)</f>
        <v>31412.1465696319</v>
      </c>
      <c r="M15" s="6" t="s">
        <v>97</v>
      </c>
      <c r="N15" s="6" t="s">
        <v>75</v>
      </c>
      <c r="O15" s="46" t="n">
        <f aca="false">IF($A15="","",DATE(YEAR($A15),MONTH($A15),1))</f>
        <v>46296</v>
      </c>
    </row>
    <row r="16" customFormat="false" ht="15" hidden="false" customHeight="false" outlineLevel="0" collapsed="false">
      <c r="A16" s="44" t="n">
        <v>46299</v>
      </c>
      <c r="B16" s="6" t="s">
        <v>416</v>
      </c>
      <c r="C16" s="6" t="s">
        <v>353</v>
      </c>
      <c r="D16" s="8" t="str">
        <f aca="false">IF($C16="","",IFERROR(INDEX(PRODUCTOS!$B$6:$B$105,MATCH($C16,PRODUCTOS!$A$6:$A$105,0)),"¿Código?"))</f>
        <v>Fresas con crema Extra grande (24 oz)</v>
      </c>
      <c r="E16" s="42" t="n">
        <v>4</v>
      </c>
      <c r="F16" s="35" t="n">
        <f aca="false">IF($C16="","",IFERROR(INDEX(PRODUCTOS!$D$6:$D$105,MATCH($C16,PRODUCTOS!$A$6:$A$105,0)),0))</f>
        <v>6950</v>
      </c>
      <c r="G16" s="40"/>
      <c r="H16" s="35" t="n">
        <f aca="false">IF($C16="","",N($E16)*$F16-N($G16))</f>
        <v>27800</v>
      </c>
      <c r="I16" s="35" t="n">
        <f aca="false">IF($C16="","",$H16-$H16/(1+IFERROR(INDEX(PRODUCTOS!$E$6:$E$105,MATCH($C16,PRODUCTOS!$A$6:$A$105,0)),IVA_VENTAS)))</f>
        <v>3198.23008849557</v>
      </c>
      <c r="J16" s="35" t="n">
        <f aca="false">IF($C16="","",$H16-$I16)</f>
        <v>24601.7699115044</v>
      </c>
      <c r="K16" s="35" t="n">
        <f aca="false">IF($C16="","",N($E16)*IFERROR(INDEX(PRODUCTOS!$H$6:$H$105,MATCH($C16,PRODUCTOS!$A$6:$A$105,0)),0))</f>
        <v>9401.09425059072</v>
      </c>
      <c r="L16" s="35" t="n">
        <f aca="false">IF($C16="","",$J16-$K16)</f>
        <v>15200.6756609137</v>
      </c>
      <c r="M16" s="6" t="s">
        <v>97</v>
      </c>
      <c r="N16" s="6" t="s">
        <v>75</v>
      </c>
      <c r="O16" s="46" t="n">
        <f aca="false">IF($A16="","",DATE(YEAR($A16),MONTH($A16),1))</f>
        <v>46296</v>
      </c>
    </row>
    <row r="17" customFormat="false" ht="15" hidden="false" customHeight="false" outlineLevel="0" collapsed="false">
      <c r="A17" s="44" t="n">
        <v>46299</v>
      </c>
      <c r="B17" s="6" t="s">
        <v>416</v>
      </c>
      <c r="C17" s="6" t="s">
        <v>354</v>
      </c>
      <c r="D17" s="8" t="str">
        <f aca="false">IF($C17="","",IFERROR(INDEX(PRODUCTOS!$B$6:$B$105,MATCH($C17,PRODUCTOS!$A$6:$A$105,0)),"¿Código?"))</f>
        <v>Maracumango</v>
      </c>
      <c r="E17" s="42" t="n">
        <v>7</v>
      </c>
      <c r="F17" s="35" t="n">
        <f aca="false">IF($C17="","",IFERROR(INDEX(PRODUCTOS!$D$6:$D$105,MATCH($C17,PRODUCTOS!$A$6:$A$105,0)),0))</f>
        <v>4200</v>
      </c>
      <c r="G17" s="40"/>
      <c r="H17" s="35" t="n">
        <f aca="false">IF($C17="","",N($E17)*$F17-N($G17))</f>
        <v>29400</v>
      </c>
      <c r="I17" s="35" t="n">
        <f aca="false">IF($C17="","",$H17-$H17/(1+IFERROR(INDEX(PRODUCTOS!$E$6:$E$105,MATCH($C17,PRODUCTOS!$A$6:$A$105,0)),IVA_VENTAS)))</f>
        <v>3382.30088495575</v>
      </c>
      <c r="J17" s="35" t="n">
        <f aca="false">IF($C17="","",$H17-$I17)</f>
        <v>26017.6991150443</v>
      </c>
      <c r="K17" s="35" t="n">
        <f aca="false">IF($C17="","",N($E17)*IFERROR(INDEX(PRODUCTOS!$H$6:$H$105,MATCH($C17,PRODUCTOS!$A$6:$A$105,0)),0))</f>
        <v>6358.65883300008</v>
      </c>
      <c r="L17" s="35" t="n">
        <f aca="false">IF($C17="","",$J17-$K17)</f>
        <v>19659.0402820442</v>
      </c>
      <c r="M17" s="6" t="s">
        <v>85</v>
      </c>
      <c r="N17" s="6" t="s">
        <v>75</v>
      </c>
      <c r="O17" s="46" t="n">
        <f aca="false">IF($A17="","",DATE(YEAR($A17),MONTH($A17),1))</f>
        <v>46296</v>
      </c>
    </row>
    <row r="18" customFormat="false" ht="15" hidden="false" customHeight="false" outlineLevel="0" collapsed="false">
      <c r="A18" s="44" t="n">
        <v>46299</v>
      </c>
      <c r="B18" s="6" t="s">
        <v>416</v>
      </c>
      <c r="C18" s="6" t="s">
        <v>356</v>
      </c>
      <c r="D18" s="8" t="str">
        <f aca="false">IF($C18="","",IFERROR(INDEX(PRODUCTOS!$B$6:$B$105,MATCH($C18,PRODUCTOS!$A$6:$A$105,0)),"¿Código?"))</f>
        <v>Topping extra premium</v>
      </c>
      <c r="E18" s="42" t="n">
        <v>4</v>
      </c>
      <c r="F18" s="35" t="n">
        <f aca="false">IF($C18="","",IFERROR(INDEX(PRODUCTOS!$D$6:$D$105,MATCH($C18,PRODUCTOS!$A$6:$A$105,0)),0))</f>
        <v>300</v>
      </c>
      <c r="G18" s="40"/>
      <c r="H18" s="35" t="n">
        <f aca="false">IF($C18="","",N($E18)*$F18-N($G18))</f>
        <v>1200</v>
      </c>
      <c r="I18" s="35" t="n">
        <f aca="false">IF($C18="","",$H18-$H18/(1+IFERROR(INDEX(PRODUCTOS!$E$6:$E$105,MATCH($C18,PRODUCTOS!$A$6:$A$105,0)),IVA_VENTAS)))</f>
        <v>138.053097345133</v>
      </c>
      <c r="J18" s="35" t="n">
        <f aca="false">IF($C18="","",$H18-$I18)</f>
        <v>1061.94690265487</v>
      </c>
      <c r="K18" s="35" t="n">
        <f aca="false">IF($C18="","",N($E18)*IFERROR(INDEX(PRODUCTOS!$H$6:$H$105,MATCH($C18,PRODUCTOS!$A$6:$A$105,0)),0))</f>
        <v>570</v>
      </c>
      <c r="L18" s="35" t="n">
        <f aca="false">IF($C18="","",$J18-$K18)</f>
        <v>491.946902654867</v>
      </c>
      <c r="M18" s="6" t="s">
        <v>73</v>
      </c>
      <c r="N18" s="6" t="s">
        <v>75</v>
      </c>
      <c r="O18" s="46" t="n">
        <f aca="false">IF($A18="","",DATE(YEAR($A18),MONTH($A18),1))</f>
        <v>46296</v>
      </c>
    </row>
    <row r="19" customFormat="false" ht="15" hidden="false" customHeight="false" outlineLevel="0" collapsed="false">
      <c r="A19" s="44" t="n">
        <v>46299</v>
      </c>
      <c r="B19" s="6" t="s">
        <v>416</v>
      </c>
      <c r="C19" s="6" t="s">
        <v>358</v>
      </c>
      <c r="D19" s="8" t="str">
        <f aca="false">IF($C19="","",IFERROR(INDEX(PRODUCTOS!$B$6:$B$105,MATCH($C19,PRODUCTOS!$A$6:$A$105,0)),"¿Código?"))</f>
        <v>Brownie de la casa (lote de 20)</v>
      </c>
      <c r="E19" s="42" t="n">
        <v>6</v>
      </c>
      <c r="F19" s="35" t="n">
        <f aca="false">IF($C19="","",IFERROR(INDEX(PRODUCTOS!$D$6:$D$105,MATCH($C19,PRODUCTOS!$A$6:$A$105,0)),0))</f>
        <v>1500</v>
      </c>
      <c r="G19" s="40"/>
      <c r="H19" s="35" t="n">
        <f aca="false">IF($C19="","",N($E19)*$F19-N($G19))</f>
        <v>9000</v>
      </c>
      <c r="I19" s="35" t="n">
        <f aca="false">IF($C19="","",$H19-$H19/(1+IFERROR(INDEX(PRODUCTOS!$E$6:$E$105,MATCH($C19,PRODUCTOS!$A$6:$A$105,0)),IVA_VENTAS)))</f>
        <v>1035.39823008849</v>
      </c>
      <c r="J19" s="35" t="n">
        <f aca="false">IF($C19="","",$H19-$I19)</f>
        <v>7964.60176991151</v>
      </c>
      <c r="K19" s="35" t="n">
        <f aca="false">IF($C19="","",N($E19)*IFERROR(INDEX(PRODUCTOS!$H$6:$H$105,MATCH($C19,PRODUCTOS!$A$6:$A$105,0)),0))</f>
        <v>1017.6</v>
      </c>
      <c r="L19" s="35" t="n">
        <f aca="false">IF($C19="","",$J19-$K19)</f>
        <v>6947.00176991151</v>
      </c>
      <c r="M19" s="6" t="s">
        <v>73</v>
      </c>
      <c r="N19" s="6" t="s">
        <v>75</v>
      </c>
      <c r="O19" s="46" t="n">
        <f aca="false">IF($A19="","",DATE(YEAR($A19),MONTH($A19),1))</f>
        <v>46296</v>
      </c>
    </row>
    <row r="20" customFormat="false" ht="15" hidden="false" customHeight="false" outlineLevel="0" collapsed="false">
      <c r="A20" s="44"/>
      <c r="B20" s="6"/>
      <c r="C20" s="6"/>
      <c r="D20" s="8" t="str">
        <f aca="false">IF($C20="","",IFERROR(INDEX(PRODUCTOS!$B$6:$B$105,MATCH($C20,PRODUCTOS!$A$6:$A$105,0)),"¿Código?"))</f>
        <v/>
      </c>
      <c r="E20" s="42"/>
      <c r="F20" s="35" t="str">
        <f aca="false">IF($C20="","",IFERROR(INDEX(PRODUCTOS!$D$6:$D$105,MATCH($C20,PRODUCTOS!$A$6:$A$105,0)),0))</f>
        <v/>
      </c>
      <c r="G20" s="40"/>
      <c r="H20" s="35" t="str">
        <f aca="false">IF($C20="","",N($E20)*$F20-N($G20))</f>
        <v/>
      </c>
      <c r="I20" s="35" t="str">
        <f aca="false">IF($C20="","",$H20-$H20/(1+IFERROR(INDEX(PRODUCTOS!$E$6:$E$105,MATCH($C20,PRODUCTOS!$A$6:$A$105,0)),IVA_VENTAS)))</f>
        <v/>
      </c>
      <c r="J20" s="35" t="str">
        <f aca="false">IF($C20="","",$H20-$I20)</f>
        <v/>
      </c>
      <c r="K20" s="35" t="str">
        <f aca="false">IF($C20="","",N($E20)*IFERROR(INDEX(PRODUCTOS!$H$6:$H$105,MATCH($C20,PRODUCTOS!$A$6:$A$105,0)),0))</f>
        <v/>
      </c>
      <c r="L20" s="35" t="str">
        <f aca="false">IF($C20="","",$J20-$K20)</f>
        <v/>
      </c>
      <c r="M20" s="6"/>
      <c r="N20" s="6"/>
      <c r="O20" s="46" t="str">
        <f aca="false">IF($A20="","",DATE(YEAR($A20),MONTH($A20),1))</f>
        <v/>
      </c>
    </row>
    <row r="21" customFormat="false" ht="15" hidden="false" customHeight="false" outlineLevel="0" collapsed="false">
      <c r="A21" s="44"/>
      <c r="B21" s="6"/>
      <c r="C21" s="6"/>
      <c r="D21" s="8" t="str">
        <f aca="false">IF($C21="","",IFERROR(INDEX(PRODUCTOS!$B$6:$B$105,MATCH($C21,PRODUCTOS!$A$6:$A$105,0)),"¿Código?"))</f>
        <v/>
      </c>
      <c r="E21" s="42"/>
      <c r="F21" s="35" t="str">
        <f aca="false">IF($C21="","",IFERROR(INDEX(PRODUCTOS!$D$6:$D$105,MATCH($C21,PRODUCTOS!$A$6:$A$105,0)),0))</f>
        <v/>
      </c>
      <c r="G21" s="40"/>
      <c r="H21" s="35" t="str">
        <f aca="false">IF($C21="","",N($E21)*$F21-N($G21))</f>
        <v/>
      </c>
      <c r="I21" s="35" t="str">
        <f aca="false">IF($C21="","",$H21-$H21/(1+IFERROR(INDEX(PRODUCTOS!$E$6:$E$105,MATCH($C21,PRODUCTOS!$A$6:$A$105,0)),IVA_VENTAS)))</f>
        <v/>
      </c>
      <c r="J21" s="35" t="str">
        <f aca="false">IF($C21="","",$H21-$I21)</f>
        <v/>
      </c>
      <c r="K21" s="35" t="str">
        <f aca="false">IF($C21="","",N($E21)*IFERROR(INDEX(PRODUCTOS!$H$6:$H$105,MATCH($C21,PRODUCTOS!$A$6:$A$105,0)),0))</f>
        <v/>
      </c>
      <c r="L21" s="35" t="str">
        <f aca="false">IF($C21="","",$J21-$K21)</f>
        <v/>
      </c>
      <c r="M21" s="6"/>
      <c r="N21" s="6"/>
      <c r="O21" s="46" t="str">
        <f aca="false">IF($A21="","",DATE(YEAR($A21),MONTH($A21),1))</f>
        <v/>
      </c>
    </row>
    <row r="22" customFormat="false" ht="15" hidden="false" customHeight="false" outlineLevel="0" collapsed="false">
      <c r="A22" s="44"/>
      <c r="B22" s="6"/>
      <c r="C22" s="6"/>
      <c r="D22" s="8" t="str">
        <f aca="false">IF($C22="","",IFERROR(INDEX(PRODUCTOS!$B$6:$B$105,MATCH($C22,PRODUCTOS!$A$6:$A$105,0)),"¿Código?"))</f>
        <v/>
      </c>
      <c r="E22" s="42"/>
      <c r="F22" s="35" t="str">
        <f aca="false">IF($C22="","",IFERROR(INDEX(PRODUCTOS!$D$6:$D$105,MATCH($C22,PRODUCTOS!$A$6:$A$105,0)),0))</f>
        <v/>
      </c>
      <c r="G22" s="40"/>
      <c r="H22" s="35" t="str">
        <f aca="false">IF($C22="","",N($E22)*$F22-N($G22))</f>
        <v/>
      </c>
      <c r="I22" s="35" t="str">
        <f aca="false">IF($C22="","",$H22-$H22/(1+IFERROR(INDEX(PRODUCTOS!$E$6:$E$105,MATCH($C22,PRODUCTOS!$A$6:$A$105,0)),IVA_VENTAS)))</f>
        <v/>
      </c>
      <c r="J22" s="35" t="str">
        <f aca="false">IF($C22="","",$H22-$I22)</f>
        <v/>
      </c>
      <c r="K22" s="35" t="str">
        <f aca="false">IF($C22="","",N($E22)*IFERROR(INDEX(PRODUCTOS!$H$6:$H$105,MATCH($C22,PRODUCTOS!$A$6:$A$105,0)),0))</f>
        <v/>
      </c>
      <c r="L22" s="35" t="str">
        <f aca="false">IF($C22="","",$J22-$K22)</f>
        <v/>
      </c>
      <c r="M22" s="6"/>
      <c r="N22" s="6"/>
      <c r="O22" s="46" t="str">
        <f aca="false">IF($A22="","",DATE(YEAR($A22),MONTH($A22),1))</f>
        <v/>
      </c>
    </row>
    <row r="23" customFormat="false" ht="15" hidden="false" customHeight="false" outlineLevel="0" collapsed="false">
      <c r="A23" s="44"/>
      <c r="B23" s="6"/>
      <c r="C23" s="6"/>
      <c r="D23" s="8" t="str">
        <f aca="false">IF($C23="","",IFERROR(INDEX(PRODUCTOS!$B$6:$B$105,MATCH($C23,PRODUCTOS!$A$6:$A$105,0)),"¿Código?"))</f>
        <v/>
      </c>
      <c r="E23" s="42"/>
      <c r="F23" s="35" t="str">
        <f aca="false">IF($C23="","",IFERROR(INDEX(PRODUCTOS!$D$6:$D$105,MATCH($C23,PRODUCTOS!$A$6:$A$105,0)),0))</f>
        <v/>
      </c>
      <c r="G23" s="40"/>
      <c r="H23" s="35" t="str">
        <f aca="false">IF($C23="","",N($E23)*$F23-N($G23))</f>
        <v/>
      </c>
      <c r="I23" s="35" t="str">
        <f aca="false">IF($C23="","",$H23-$H23/(1+IFERROR(INDEX(PRODUCTOS!$E$6:$E$105,MATCH($C23,PRODUCTOS!$A$6:$A$105,0)),IVA_VENTAS)))</f>
        <v/>
      </c>
      <c r="J23" s="35" t="str">
        <f aca="false">IF($C23="","",$H23-$I23)</f>
        <v/>
      </c>
      <c r="K23" s="35" t="str">
        <f aca="false">IF($C23="","",N($E23)*IFERROR(INDEX(PRODUCTOS!$H$6:$H$105,MATCH($C23,PRODUCTOS!$A$6:$A$105,0)),0))</f>
        <v/>
      </c>
      <c r="L23" s="35" t="str">
        <f aca="false">IF($C23="","",$J23-$K23)</f>
        <v/>
      </c>
      <c r="M23" s="6"/>
      <c r="N23" s="6"/>
      <c r="O23" s="46" t="str">
        <f aca="false">IF($A23="","",DATE(YEAR($A23),MONTH($A23),1))</f>
        <v/>
      </c>
    </row>
    <row r="24" customFormat="false" ht="15" hidden="false" customHeight="false" outlineLevel="0" collapsed="false">
      <c r="A24" s="44"/>
      <c r="B24" s="6"/>
      <c r="C24" s="6"/>
      <c r="D24" s="8" t="str">
        <f aca="false">IF($C24="","",IFERROR(INDEX(PRODUCTOS!$B$6:$B$105,MATCH($C24,PRODUCTOS!$A$6:$A$105,0)),"¿Código?"))</f>
        <v/>
      </c>
      <c r="E24" s="42"/>
      <c r="F24" s="35" t="str">
        <f aca="false">IF($C24="","",IFERROR(INDEX(PRODUCTOS!$D$6:$D$105,MATCH($C24,PRODUCTOS!$A$6:$A$105,0)),0))</f>
        <v/>
      </c>
      <c r="G24" s="40"/>
      <c r="H24" s="35" t="str">
        <f aca="false">IF($C24="","",N($E24)*$F24-N($G24))</f>
        <v/>
      </c>
      <c r="I24" s="35" t="str">
        <f aca="false">IF($C24="","",$H24-$H24/(1+IFERROR(INDEX(PRODUCTOS!$E$6:$E$105,MATCH($C24,PRODUCTOS!$A$6:$A$105,0)),IVA_VENTAS)))</f>
        <v/>
      </c>
      <c r="J24" s="35" t="str">
        <f aca="false">IF($C24="","",$H24-$I24)</f>
        <v/>
      </c>
      <c r="K24" s="35" t="str">
        <f aca="false">IF($C24="","",N($E24)*IFERROR(INDEX(PRODUCTOS!$H$6:$H$105,MATCH($C24,PRODUCTOS!$A$6:$A$105,0)),0))</f>
        <v/>
      </c>
      <c r="L24" s="35" t="str">
        <f aca="false">IF($C24="","",$J24-$K24)</f>
        <v/>
      </c>
      <c r="M24" s="6"/>
      <c r="N24" s="6"/>
      <c r="O24" s="46" t="str">
        <f aca="false">IF($A24="","",DATE(YEAR($A24),MONTH($A24),1))</f>
        <v/>
      </c>
    </row>
    <row r="25" customFormat="false" ht="15" hidden="false" customHeight="false" outlineLevel="0" collapsed="false">
      <c r="A25" s="44"/>
      <c r="B25" s="6"/>
      <c r="C25" s="6"/>
      <c r="D25" s="8" t="str">
        <f aca="false">IF($C25="","",IFERROR(INDEX(PRODUCTOS!$B$6:$B$105,MATCH($C25,PRODUCTOS!$A$6:$A$105,0)),"¿Código?"))</f>
        <v/>
      </c>
      <c r="E25" s="42"/>
      <c r="F25" s="35" t="str">
        <f aca="false">IF($C25="","",IFERROR(INDEX(PRODUCTOS!$D$6:$D$105,MATCH($C25,PRODUCTOS!$A$6:$A$105,0)),0))</f>
        <v/>
      </c>
      <c r="G25" s="40"/>
      <c r="H25" s="35" t="str">
        <f aca="false">IF($C25="","",N($E25)*$F25-N($G25))</f>
        <v/>
      </c>
      <c r="I25" s="35" t="str">
        <f aca="false">IF($C25="","",$H25-$H25/(1+IFERROR(INDEX(PRODUCTOS!$E$6:$E$105,MATCH($C25,PRODUCTOS!$A$6:$A$105,0)),IVA_VENTAS)))</f>
        <v/>
      </c>
      <c r="J25" s="35" t="str">
        <f aca="false">IF($C25="","",$H25-$I25)</f>
        <v/>
      </c>
      <c r="K25" s="35" t="str">
        <f aca="false">IF($C25="","",N($E25)*IFERROR(INDEX(PRODUCTOS!$H$6:$H$105,MATCH($C25,PRODUCTOS!$A$6:$A$105,0)),0))</f>
        <v/>
      </c>
      <c r="L25" s="35" t="str">
        <f aca="false">IF($C25="","",$J25-$K25)</f>
        <v/>
      </c>
      <c r="M25" s="6"/>
      <c r="N25" s="6"/>
      <c r="O25" s="46" t="str">
        <f aca="false">IF($A25="","",DATE(YEAR($A25),MONTH($A25),1))</f>
        <v/>
      </c>
    </row>
    <row r="26" customFormat="false" ht="15" hidden="false" customHeight="false" outlineLevel="0" collapsed="false">
      <c r="A26" s="44"/>
      <c r="B26" s="6"/>
      <c r="C26" s="6"/>
      <c r="D26" s="8" t="str">
        <f aca="false">IF($C26="","",IFERROR(INDEX(PRODUCTOS!$B$6:$B$105,MATCH($C26,PRODUCTOS!$A$6:$A$105,0)),"¿Código?"))</f>
        <v/>
      </c>
      <c r="E26" s="42"/>
      <c r="F26" s="35" t="str">
        <f aca="false">IF($C26="","",IFERROR(INDEX(PRODUCTOS!$D$6:$D$105,MATCH($C26,PRODUCTOS!$A$6:$A$105,0)),0))</f>
        <v/>
      </c>
      <c r="G26" s="40"/>
      <c r="H26" s="35" t="str">
        <f aca="false">IF($C26="","",N($E26)*$F26-N($G26))</f>
        <v/>
      </c>
      <c r="I26" s="35" t="str">
        <f aca="false">IF($C26="","",$H26-$H26/(1+IFERROR(INDEX(PRODUCTOS!$E$6:$E$105,MATCH($C26,PRODUCTOS!$A$6:$A$105,0)),IVA_VENTAS)))</f>
        <v/>
      </c>
      <c r="J26" s="35" t="str">
        <f aca="false">IF($C26="","",$H26-$I26)</f>
        <v/>
      </c>
      <c r="K26" s="35" t="str">
        <f aca="false">IF($C26="","",N($E26)*IFERROR(INDEX(PRODUCTOS!$H$6:$H$105,MATCH($C26,PRODUCTOS!$A$6:$A$105,0)),0))</f>
        <v/>
      </c>
      <c r="L26" s="35" t="str">
        <f aca="false">IF($C26="","",$J26-$K26)</f>
        <v/>
      </c>
      <c r="M26" s="6"/>
      <c r="N26" s="6"/>
      <c r="O26" s="46" t="str">
        <f aca="false">IF($A26="","",DATE(YEAR($A26),MONTH($A26),1))</f>
        <v/>
      </c>
    </row>
    <row r="27" customFormat="false" ht="15" hidden="false" customHeight="false" outlineLevel="0" collapsed="false">
      <c r="A27" s="44"/>
      <c r="B27" s="6"/>
      <c r="C27" s="6"/>
      <c r="D27" s="8" t="str">
        <f aca="false">IF($C27="","",IFERROR(INDEX(PRODUCTOS!$B$6:$B$105,MATCH($C27,PRODUCTOS!$A$6:$A$105,0)),"¿Código?"))</f>
        <v/>
      </c>
      <c r="E27" s="42"/>
      <c r="F27" s="35" t="str">
        <f aca="false">IF($C27="","",IFERROR(INDEX(PRODUCTOS!$D$6:$D$105,MATCH($C27,PRODUCTOS!$A$6:$A$105,0)),0))</f>
        <v/>
      </c>
      <c r="G27" s="40"/>
      <c r="H27" s="35" t="str">
        <f aca="false">IF($C27="","",N($E27)*$F27-N($G27))</f>
        <v/>
      </c>
      <c r="I27" s="35" t="str">
        <f aca="false">IF($C27="","",$H27-$H27/(1+IFERROR(INDEX(PRODUCTOS!$E$6:$E$105,MATCH($C27,PRODUCTOS!$A$6:$A$105,0)),IVA_VENTAS)))</f>
        <v/>
      </c>
      <c r="J27" s="35" t="str">
        <f aca="false">IF($C27="","",$H27-$I27)</f>
        <v/>
      </c>
      <c r="K27" s="35" t="str">
        <f aca="false">IF($C27="","",N($E27)*IFERROR(INDEX(PRODUCTOS!$H$6:$H$105,MATCH($C27,PRODUCTOS!$A$6:$A$105,0)),0))</f>
        <v/>
      </c>
      <c r="L27" s="35" t="str">
        <f aca="false">IF($C27="","",$J27-$K27)</f>
        <v/>
      </c>
      <c r="M27" s="6"/>
      <c r="N27" s="6"/>
      <c r="O27" s="46" t="str">
        <f aca="false">IF($A27="","",DATE(YEAR($A27),MONTH($A27),1))</f>
        <v/>
      </c>
    </row>
    <row r="28" customFormat="false" ht="15" hidden="false" customHeight="false" outlineLevel="0" collapsed="false">
      <c r="A28" s="44"/>
      <c r="B28" s="6"/>
      <c r="C28" s="6"/>
      <c r="D28" s="8" t="str">
        <f aca="false">IF($C28="","",IFERROR(INDEX(PRODUCTOS!$B$6:$B$105,MATCH($C28,PRODUCTOS!$A$6:$A$105,0)),"¿Código?"))</f>
        <v/>
      </c>
      <c r="E28" s="42"/>
      <c r="F28" s="35" t="str">
        <f aca="false">IF($C28="","",IFERROR(INDEX(PRODUCTOS!$D$6:$D$105,MATCH($C28,PRODUCTOS!$A$6:$A$105,0)),0))</f>
        <v/>
      </c>
      <c r="G28" s="40"/>
      <c r="H28" s="35" t="str">
        <f aca="false">IF($C28="","",N($E28)*$F28-N($G28))</f>
        <v/>
      </c>
      <c r="I28" s="35" t="str">
        <f aca="false">IF($C28="","",$H28-$H28/(1+IFERROR(INDEX(PRODUCTOS!$E$6:$E$105,MATCH($C28,PRODUCTOS!$A$6:$A$105,0)),IVA_VENTAS)))</f>
        <v/>
      </c>
      <c r="J28" s="35" t="str">
        <f aca="false">IF($C28="","",$H28-$I28)</f>
        <v/>
      </c>
      <c r="K28" s="35" t="str">
        <f aca="false">IF($C28="","",N($E28)*IFERROR(INDEX(PRODUCTOS!$H$6:$H$105,MATCH($C28,PRODUCTOS!$A$6:$A$105,0)),0))</f>
        <v/>
      </c>
      <c r="L28" s="35" t="str">
        <f aca="false">IF($C28="","",$J28-$K28)</f>
        <v/>
      </c>
      <c r="M28" s="6"/>
      <c r="N28" s="6"/>
      <c r="O28" s="46" t="str">
        <f aca="false">IF($A28="","",DATE(YEAR($A28),MONTH($A28),1))</f>
        <v/>
      </c>
    </row>
    <row r="29" customFormat="false" ht="15" hidden="false" customHeight="false" outlineLevel="0" collapsed="false">
      <c r="A29" s="44"/>
      <c r="B29" s="6"/>
      <c r="C29" s="6"/>
      <c r="D29" s="8" t="str">
        <f aca="false">IF($C29="","",IFERROR(INDEX(PRODUCTOS!$B$6:$B$105,MATCH($C29,PRODUCTOS!$A$6:$A$105,0)),"¿Código?"))</f>
        <v/>
      </c>
      <c r="E29" s="42"/>
      <c r="F29" s="35" t="str">
        <f aca="false">IF($C29="","",IFERROR(INDEX(PRODUCTOS!$D$6:$D$105,MATCH($C29,PRODUCTOS!$A$6:$A$105,0)),0))</f>
        <v/>
      </c>
      <c r="G29" s="40"/>
      <c r="H29" s="35" t="str">
        <f aca="false">IF($C29="","",N($E29)*$F29-N($G29))</f>
        <v/>
      </c>
      <c r="I29" s="35" t="str">
        <f aca="false">IF($C29="","",$H29-$H29/(1+IFERROR(INDEX(PRODUCTOS!$E$6:$E$105,MATCH($C29,PRODUCTOS!$A$6:$A$105,0)),IVA_VENTAS)))</f>
        <v/>
      </c>
      <c r="J29" s="35" t="str">
        <f aca="false">IF($C29="","",$H29-$I29)</f>
        <v/>
      </c>
      <c r="K29" s="35" t="str">
        <f aca="false">IF($C29="","",N($E29)*IFERROR(INDEX(PRODUCTOS!$H$6:$H$105,MATCH($C29,PRODUCTOS!$A$6:$A$105,0)),0))</f>
        <v/>
      </c>
      <c r="L29" s="35" t="str">
        <f aca="false">IF($C29="","",$J29-$K29)</f>
        <v/>
      </c>
      <c r="M29" s="6"/>
      <c r="N29" s="6"/>
      <c r="O29" s="46" t="str">
        <f aca="false">IF($A29="","",DATE(YEAR($A29),MONTH($A29),1))</f>
        <v/>
      </c>
    </row>
    <row r="30" customFormat="false" ht="15" hidden="false" customHeight="false" outlineLevel="0" collapsed="false">
      <c r="A30" s="44"/>
      <c r="B30" s="6"/>
      <c r="C30" s="6"/>
      <c r="D30" s="8" t="str">
        <f aca="false">IF($C30="","",IFERROR(INDEX(PRODUCTOS!$B$6:$B$105,MATCH($C30,PRODUCTOS!$A$6:$A$105,0)),"¿Código?"))</f>
        <v/>
      </c>
      <c r="E30" s="42"/>
      <c r="F30" s="35" t="str">
        <f aca="false">IF($C30="","",IFERROR(INDEX(PRODUCTOS!$D$6:$D$105,MATCH($C30,PRODUCTOS!$A$6:$A$105,0)),0))</f>
        <v/>
      </c>
      <c r="G30" s="40"/>
      <c r="H30" s="35" t="str">
        <f aca="false">IF($C30="","",N($E30)*$F30-N($G30))</f>
        <v/>
      </c>
      <c r="I30" s="35" t="str">
        <f aca="false">IF($C30="","",$H30-$H30/(1+IFERROR(INDEX(PRODUCTOS!$E$6:$E$105,MATCH($C30,PRODUCTOS!$A$6:$A$105,0)),IVA_VENTAS)))</f>
        <v/>
      </c>
      <c r="J30" s="35" t="str">
        <f aca="false">IF($C30="","",$H30-$I30)</f>
        <v/>
      </c>
      <c r="K30" s="35" t="str">
        <f aca="false">IF($C30="","",N($E30)*IFERROR(INDEX(PRODUCTOS!$H$6:$H$105,MATCH($C30,PRODUCTOS!$A$6:$A$105,0)),0))</f>
        <v/>
      </c>
      <c r="L30" s="35" t="str">
        <f aca="false">IF($C30="","",$J30-$K30)</f>
        <v/>
      </c>
      <c r="M30" s="6"/>
      <c r="N30" s="6"/>
      <c r="O30" s="46" t="str">
        <f aca="false">IF($A30="","",DATE(YEAR($A30),MONTH($A30),1))</f>
        <v/>
      </c>
    </row>
    <row r="31" customFormat="false" ht="15" hidden="false" customHeight="false" outlineLevel="0" collapsed="false">
      <c r="A31" s="44"/>
      <c r="B31" s="6"/>
      <c r="C31" s="6"/>
      <c r="D31" s="8" t="str">
        <f aca="false">IF($C31="","",IFERROR(INDEX(PRODUCTOS!$B$6:$B$105,MATCH($C31,PRODUCTOS!$A$6:$A$105,0)),"¿Código?"))</f>
        <v/>
      </c>
      <c r="E31" s="42"/>
      <c r="F31" s="35" t="str">
        <f aca="false">IF($C31="","",IFERROR(INDEX(PRODUCTOS!$D$6:$D$105,MATCH($C31,PRODUCTOS!$A$6:$A$105,0)),0))</f>
        <v/>
      </c>
      <c r="G31" s="40"/>
      <c r="H31" s="35" t="str">
        <f aca="false">IF($C31="","",N($E31)*$F31-N($G31))</f>
        <v/>
      </c>
      <c r="I31" s="35" t="str">
        <f aca="false">IF($C31="","",$H31-$H31/(1+IFERROR(INDEX(PRODUCTOS!$E$6:$E$105,MATCH($C31,PRODUCTOS!$A$6:$A$105,0)),IVA_VENTAS)))</f>
        <v/>
      </c>
      <c r="J31" s="35" t="str">
        <f aca="false">IF($C31="","",$H31-$I31)</f>
        <v/>
      </c>
      <c r="K31" s="35" t="str">
        <f aca="false">IF($C31="","",N($E31)*IFERROR(INDEX(PRODUCTOS!$H$6:$H$105,MATCH($C31,PRODUCTOS!$A$6:$A$105,0)),0))</f>
        <v/>
      </c>
      <c r="L31" s="35" t="str">
        <f aca="false">IF($C31="","",$J31-$K31)</f>
        <v/>
      </c>
      <c r="M31" s="6"/>
      <c r="N31" s="6"/>
      <c r="O31" s="46" t="str">
        <f aca="false">IF($A31="","",DATE(YEAR($A31),MONTH($A31),1))</f>
        <v/>
      </c>
    </row>
    <row r="32" customFormat="false" ht="15" hidden="false" customHeight="false" outlineLevel="0" collapsed="false">
      <c r="A32" s="44"/>
      <c r="B32" s="6"/>
      <c r="C32" s="6"/>
      <c r="D32" s="8" t="str">
        <f aca="false">IF($C32="","",IFERROR(INDEX(PRODUCTOS!$B$6:$B$105,MATCH($C32,PRODUCTOS!$A$6:$A$105,0)),"¿Código?"))</f>
        <v/>
      </c>
      <c r="E32" s="42"/>
      <c r="F32" s="35" t="str">
        <f aca="false">IF($C32="","",IFERROR(INDEX(PRODUCTOS!$D$6:$D$105,MATCH($C32,PRODUCTOS!$A$6:$A$105,0)),0))</f>
        <v/>
      </c>
      <c r="G32" s="40"/>
      <c r="H32" s="35" t="str">
        <f aca="false">IF($C32="","",N($E32)*$F32-N($G32))</f>
        <v/>
      </c>
      <c r="I32" s="35" t="str">
        <f aca="false">IF($C32="","",$H32-$H32/(1+IFERROR(INDEX(PRODUCTOS!$E$6:$E$105,MATCH($C32,PRODUCTOS!$A$6:$A$105,0)),IVA_VENTAS)))</f>
        <v/>
      </c>
      <c r="J32" s="35" t="str">
        <f aca="false">IF($C32="","",$H32-$I32)</f>
        <v/>
      </c>
      <c r="K32" s="35" t="str">
        <f aca="false">IF($C32="","",N($E32)*IFERROR(INDEX(PRODUCTOS!$H$6:$H$105,MATCH($C32,PRODUCTOS!$A$6:$A$105,0)),0))</f>
        <v/>
      </c>
      <c r="L32" s="35" t="str">
        <f aca="false">IF($C32="","",$J32-$K32)</f>
        <v/>
      </c>
      <c r="M32" s="6"/>
      <c r="N32" s="6"/>
      <c r="O32" s="46" t="str">
        <f aca="false">IF($A32="","",DATE(YEAR($A32),MONTH($A32),1))</f>
        <v/>
      </c>
    </row>
    <row r="33" customFormat="false" ht="15" hidden="false" customHeight="false" outlineLevel="0" collapsed="false">
      <c r="A33" s="44"/>
      <c r="B33" s="6"/>
      <c r="C33" s="6"/>
      <c r="D33" s="8" t="str">
        <f aca="false">IF($C33="","",IFERROR(INDEX(PRODUCTOS!$B$6:$B$105,MATCH($C33,PRODUCTOS!$A$6:$A$105,0)),"¿Código?"))</f>
        <v/>
      </c>
      <c r="E33" s="42"/>
      <c r="F33" s="35" t="str">
        <f aca="false">IF($C33="","",IFERROR(INDEX(PRODUCTOS!$D$6:$D$105,MATCH($C33,PRODUCTOS!$A$6:$A$105,0)),0))</f>
        <v/>
      </c>
      <c r="G33" s="40"/>
      <c r="H33" s="35" t="str">
        <f aca="false">IF($C33="","",N($E33)*$F33-N($G33))</f>
        <v/>
      </c>
      <c r="I33" s="35" t="str">
        <f aca="false">IF($C33="","",$H33-$H33/(1+IFERROR(INDEX(PRODUCTOS!$E$6:$E$105,MATCH($C33,PRODUCTOS!$A$6:$A$105,0)),IVA_VENTAS)))</f>
        <v/>
      </c>
      <c r="J33" s="35" t="str">
        <f aca="false">IF($C33="","",$H33-$I33)</f>
        <v/>
      </c>
      <c r="K33" s="35" t="str">
        <f aca="false">IF($C33="","",N($E33)*IFERROR(INDEX(PRODUCTOS!$H$6:$H$105,MATCH($C33,PRODUCTOS!$A$6:$A$105,0)),0))</f>
        <v/>
      </c>
      <c r="L33" s="35" t="str">
        <f aca="false">IF($C33="","",$J33-$K33)</f>
        <v/>
      </c>
      <c r="M33" s="6"/>
      <c r="N33" s="6"/>
      <c r="O33" s="46" t="str">
        <f aca="false">IF($A33="","",DATE(YEAR($A33),MONTH($A33),1))</f>
        <v/>
      </c>
    </row>
    <row r="34" customFormat="false" ht="15" hidden="false" customHeight="false" outlineLevel="0" collapsed="false">
      <c r="A34" s="44"/>
      <c r="B34" s="6"/>
      <c r="C34" s="6"/>
      <c r="D34" s="8" t="str">
        <f aca="false">IF($C34="","",IFERROR(INDEX(PRODUCTOS!$B$6:$B$105,MATCH($C34,PRODUCTOS!$A$6:$A$105,0)),"¿Código?"))</f>
        <v/>
      </c>
      <c r="E34" s="42"/>
      <c r="F34" s="35" t="str">
        <f aca="false">IF($C34="","",IFERROR(INDEX(PRODUCTOS!$D$6:$D$105,MATCH($C34,PRODUCTOS!$A$6:$A$105,0)),0))</f>
        <v/>
      </c>
      <c r="G34" s="40"/>
      <c r="H34" s="35" t="str">
        <f aca="false">IF($C34="","",N($E34)*$F34-N($G34))</f>
        <v/>
      </c>
      <c r="I34" s="35" t="str">
        <f aca="false">IF($C34="","",$H34-$H34/(1+IFERROR(INDEX(PRODUCTOS!$E$6:$E$105,MATCH($C34,PRODUCTOS!$A$6:$A$105,0)),IVA_VENTAS)))</f>
        <v/>
      </c>
      <c r="J34" s="35" t="str">
        <f aca="false">IF($C34="","",$H34-$I34)</f>
        <v/>
      </c>
      <c r="K34" s="35" t="str">
        <f aca="false">IF($C34="","",N($E34)*IFERROR(INDEX(PRODUCTOS!$H$6:$H$105,MATCH($C34,PRODUCTOS!$A$6:$A$105,0)),0))</f>
        <v/>
      </c>
      <c r="L34" s="35" t="str">
        <f aca="false">IF($C34="","",$J34-$K34)</f>
        <v/>
      </c>
      <c r="M34" s="6"/>
      <c r="N34" s="6"/>
      <c r="O34" s="46" t="str">
        <f aca="false">IF($A34="","",DATE(YEAR($A34),MONTH($A34),1))</f>
        <v/>
      </c>
    </row>
    <row r="35" customFormat="false" ht="15" hidden="false" customHeight="false" outlineLevel="0" collapsed="false">
      <c r="A35" s="44"/>
      <c r="B35" s="6"/>
      <c r="C35" s="6"/>
      <c r="D35" s="8" t="str">
        <f aca="false">IF($C35="","",IFERROR(INDEX(PRODUCTOS!$B$6:$B$105,MATCH($C35,PRODUCTOS!$A$6:$A$105,0)),"¿Código?"))</f>
        <v/>
      </c>
      <c r="E35" s="42"/>
      <c r="F35" s="35" t="str">
        <f aca="false">IF($C35="","",IFERROR(INDEX(PRODUCTOS!$D$6:$D$105,MATCH($C35,PRODUCTOS!$A$6:$A$105,0)),0))</f>
        <v/>
      </c>
      <c r="G35" s="40"/>
      <c r="H35" s="35" t="str">
        <f aca="false">IF($C35="","",N($E35)*$F35-N($G35))</f>
        <v/>
      </c>
      <c r="I35" s="35" t="str">
        <f aca="false">IF($C35="","",$H35-$H35/(1+IFERROR(INDEX(PRODUCTOS!$E$6:$E$105,MATCH($C35,PRODUCTOS!$A$6:$A$105,0)),IVA_VENTAS)))</f>
        <v/>
      </c>
      <c r="J35" s="35" t="str">
        <f aca="false">IF($C35="","",$H35-$I35)</f>
        <v/>
      </c>
      <c r="K35" s="35" t="str">
        <f aca="false">IF($C35="","",N($E35)*IFERROR(INDEX(PRODUCTOS!$H$6:$H$105,MATCH($C35,PRODUCTOS!$A$6:$A$105,0)),0))</f>
        <v/>
      </c>
      <c r="L35" s="35" t="str">
        <f aca="false">IF($C35="","",$J35-$K35)</f>
        <v/>
      </c>
      <c r="M35" s="6"/>
      <c r="N35" s="6"/>
      <c r="O35" s="46" t="str">
        <f aca="false">IF($A35="","",DATE(YEAR($A35),MONTH($A35),1))</f>
        <v/>
      </c>
    </row>
    <row r="36" customFormat="false" ht="15" hidden="false" customHeight="false" outlineLevel="0" collapsed="false">
      <c r="A36" s="44"/>
      <c r="B36" s="6"/>
      <c r="C36" s="6"/>
      <c r="D36" s="8" t="str">
        <f aca="false">IF($C36="","",IFERROR(INDEX(PRODUCTOS!$B$6:$B$105,MATCH($C36,PRODUCTOS!$A$6:$A$105,0)),"¿Código?"))</f>
        <v/>
      </c>
      <c r="E36" s="42"/>
      <c r="F36" s="35" t="str">
        <f aca="false">IF($C36="","",IFERROR(INDEX(PRODUCTOS!$D$6:$D$105,MATCH($C36,PRODUCTOS!$A$6:$A$105,0)),0))</f>
        <v/>
      </c>
      <c r="G36" s="40"/>
      <c r="H36" s="35" t="str">
        <f aca="false">IF($C36="","",N($E36)*$F36-N($G36))</f>
        <v/>
      </c>
      <c r="I36" s="35" t="str">
        <f aca="false">IF($C36="","",$H36-$H36/(1+IFERROR(INDEX(PRODUCTOS!$E$6:$E$105,MATCH($C36,PRODUCTOS!$A$6:$A$105,0)),IVA_VENTAS)))</f>
        <v/>
      </c>
      <c r="J36" s="35" t="str">
        <f aca="false">IF($C36="","",$H36-$I36)</f>
        <v/>
      </c>
      <c r="K36" s="35" t="str">
        <f aca="false">IF($C36="","",N($E36)*IFERROR(INDEX(PRODUCTOS!$H$6:$H$105,MATCH($C36,PRODUCTOS!$A$6:$A$105,0)),0))</f>
        <v/>
      </c>
      <c r="L36" s="35" t="str">
        <f aca="false">IF($C36="","",$J36-$K36)</f>
        <v/>
      </c>
      <c r="M36" s="6"/>
      <c r="N36" s="6"/>
      <c r="O36" s="46" t="str">
        <f aca="false">IF($A36="","",DATE(YEAR($A36),MONTH($A36),1))</f>
        <v/>
      </c>
    </row>
    <row r="37" customFormat="false" ht="15" hidden="false" customHeight="false" outlineLevel="0" collapsed="false">
      <c r="A37" s="44"/>
      <c r="B37" s="6"/>
      <c r="C37" s="6"/>
      <c r="D37" s="8" t="str">
        <f aca="false">IF($C37="","",IFERROR(INDEX(PRODUCTOS!$B$6:$B$105,MATCH($C37,PRODUCTOS!$A$6:$A$105,0)),"¿Código?"))</f>
        <v/>
      </c>
      <c r="E37" s="42"/>
      <c r="F37" s="35" t="str">
        <f aca="false">IF($C37="","",IFERROR(INDEX(PRODUCTOS!$D$6:$D$105,MATCH($C37,PRODUCTOS!$A$6:$A$105,0)),0))</f>
        <v/>
      </c>
      <c r="G37" s="40"/>
      <c r="H37" s="35" t="str">
        <f aca="false">IF($C37="","",N($E37)*$F37-N($G37))</f>
        <v/>
      </c>
      <c r="I37" s="35" t="str">
        <f aca="false">IF($C37="","",$H37-$H37/(1+IFERROR(INDEX(PRODUCTOS!$E$6:$E$105,MATCH($C37,PRODUCTOS!$A$6:$A$105,0)),IVA_VENTAS)))</f>
        <v/>
      </c>
      <c r="J37" s="35" t="str">
        <f aca="false">IF($C37="","",$H37-$I37)</f>
        <v/>
      </c>
      <c r="K37" s="35" t="str">
        <f aca="false">IF($C37="","",N($E37)*IFERROR(INDEX(PRODUCTOS!$H$6:$H$105,MATCH($C37,PRODUCTOS!$A$6:$A$105,0)),0))</f>
        <v/>
      </c>
      <c r="L37" s="35" t="str">
        <f aca="false">IF($C37="","",$J37-$K37)</f>
        <v/>
      </c>
      <c r="M37" s="6"/>
      <c r="N37" s="6"/>
      <c r="O37" s="46" t="str">
        <f aca="false">IF($A37="","",DATE(YEAR($A37),MONTH($A37),1))</f>
        <v/>
      </c>
    </row>
    <row r="38" customFormat="false" ht="15" hidden="false" customHeight="false" outlineLevel="0" collapsed="false">
      <c r="A38" s="44"/>
      <c r="B38" s="6"/>
      <c r="C38" s="6"/>
      <c r="D38" s="8" t="str">
        <f aca="false">IF($C38="","",IFERROR(INDEX(PRODUCTOS!$B$6:$B$105,MATCH($C38,PRODUCTOS!$A$6:$A$105,0)),"¿Código?"))</f>
        <v/>
      </c>
      <c r="E38" s="42"/>
      <c r="F38" s="35" t="str">
        <f aca="false">IF($C38="","",IFERROR(INDEX(PRODUCTOS!$D$6:$D$105,MATCH($C38,PRODUCTOS!$A$6:$A$105,0)),0))</f>
        <v/>
      </c>
      <c r="G38" s="40"/>
      <c r="H38" s="35" t="str">
        <f aca="false">IF($C38="","",N($E38)*$F38-N($G38))</f>
        <v/>
      </c>
      <c r="I38" s="35" t="str">
        <f aca="false">IF($C38="","",$H38-$H38/(1+IFERROR(INDEX(PRODUCTOS!$E$6:$E$105,MATCH($C38,PRODUCTOS!$A$6:$A$105,0)),IVA_VENTAS)))</f>
        <v/>
      </c>
      <c r="J38" s="35" t="str">
        <f aca="false">IF($C38="","",$H38-$I38)</f>
        <v/>
      </c>
      <c r="K38" s="35" t="str">
        <f aca="false">IF($C38="","",N($E38)*IFERROR(INDEX(PRODUCTOS!$H$6:$H$105,MATCH($C38,PRODUCTOS!$A$6:$A$105,0)),0))</f>
        <v/>
      </c>
      <c r="L38" s="35" t="str">
        <f aca="false">IF($C38="","",$J38-$K38)</f>
        <v/>
      </c>
      <c r="M38" s="6"/>
      <c r="N38" s="6"/>
      <c r="O38" s="46" t="str">
        <f aca="false">IF($A38="","",DATE(YEAR($A38),MONTH($A38),1))</f>
        <v/>
      </c>
    </row>
    <row r="39" customFormat="false" ht="15" hidden="false" customHeight="false" outlineLevel="0" collapsed="false">
      <c r="A39" s="44"/>
      <c r="B39" s="6"/>
      <c r="C39" s="6"/>
      <c r="D39" s="8" t="str">
        <f aca="false">IF($C39="","",IFERROR(INDEX(PRODUCTOS!$B$6:$B$105,MATCH($C39,PRODUCTOS!$A$6:$A$105,0)),"¿Código?"))</f>
        <v/>
      </c>
      <c r="E39" s="42"/>
      <c r="F39" s="35" t="str">
        <f aca="false">IF($C39="","",IFERROR(INDEX(PRODUCTOS!$D$6:$D$105,MATCH($C39,PRODUCTOS!$A$6:$A$105,0)),0))</f>
        <v/>
      </c>
      <c r="G39" s="40"/>
      <c r="H39" s="35" t="str">
        <f aca="false">IF($C39="","",N($E39)*$F39-N($G39))</f>
        <v/>
      </c>
      <c r="I39" s="35" t="str">
        <f aca="false">IF($C39="","",$H39-$H39/(1+IFERROR(INDEX(PRODUCTOS!$E$6:$E$105,MATCH($C39,PRODUCTOS!$A$6:$A$105,0)),IVA_VENTAS)))</f>
        <v/>
      </c>
      <c r="J39" s="35" t="str">
        <f aca="false">IF($C39="","",$H39-$I39)</f>
        <v/>
      </c>
      <c r="K39" s="35" t="str">
        <f aca="false">IF($C39="","",N($E39)*IFERROR(INDEX(PRODUCTOS!$H$6:$H$105,MATCH($C39,PRODUCTOS!$A$6:$A$105,0)),0))</f>
        <v/>
      </c>
      <c r="L39" s="35" t="str">
        <f aca="false">IF($C39="","",$J39-$K39)</f>
        <v/>
      </c>
      <c r="M39" s="6"/>
      <c r="N39" s="6"/>
      <c r="O39" s="46" t="str">
        <f aca="false">IF($A39="","",DATE(YEAR($A39),MONTH($A39),1))</f>
        <v/>
      </c>
    </row>
    <row r="40" customFormat="false" ht="15" hidden="false" customHeight="false" outlineLevel="0" collapsed="false">
      <c r="A40" s="44"/>
      <c r="B40" s="6"/>
      <c r="C40" s="6"/>
      <c r="D40" s="8" t="str">
        <f aca="false">IF($C40="","",IFERROR(INDEX(PRODUCTOS!$B$6:$B$105,MATCH($C40,PRODUCTOS!$A$6:$A$105,0)),"¿Código?"))</f>
        <v/>
      </c>
      <c r="E40" s="42"/>
      <c r="F40" s="35" t="str">
        <f aca="false">IF($C40="","",IFERROR(INDEX(PRODUCTOS!$D$6:$D$105,MATCH($C40,PRODUCTOS!$A$6:$A$105,0)),0))</f>
        <v/>
      </c>
      <c r="G40" s="40"/>
      <c r="H40" s="35" t="str">
        <f aca="false">IF($C40="","",N($E40)*$F40-N($G40))</f>
        <v/>
      </c>
      <c r="I40" s="35" t="str">
        <f aca="false">IF($C40="","",$H40-$H40/(1+IFERROR(INDEX(PRODUCTOS!$E$6:$E$105,MATCH($C40,PRODUCTOS!$A$6:$A$105,0)),IVA_VENTAS)))</f>
        <v/>
      </c>
      <c r="J40" s="35" t="str">
        <f aca="false">IF($C40="","",$H40-$I40)</f>
        <v/>
      </c>
      <c r="K40" s="35" t="str">
        <f aca="false">IF($C40="","",N($E40)*IFERROR(INDEX(PRODUCTOS!$H$6:$H$105,MATCH($C40,PRODUCTOS!$A$6:$A$105,0)),0))</f>
        <v/>
      </c>
      <c r="L40" s="35" t="str">
        <f aca="false">IF($C40="","",$J40-$K40)</f>
        <v/>
      </c>
      <c r="M40" s="6"/>
      <c r="N40" s="6"/>
      <c r="O40" s="46" t="str">
        <f aca="false">IF($A40="","",DATE(YEAR($A40),MONTH($A40),1))</f>
        <v/>
      </c>
    </row>
    <row r="41" customFormat="false" ht="15" hidden="false" customHeight="false" outlineLevel="0" collapsed="false">
      <c r="A41" s="44"/>
      <c r="B41" s="6"/>
      <c r="C41" s="6"/>
      <c r="D41" s="8" t="str">
        <f aca="false">IF($C41="","",IFERROR(INDEX(PRODUCTOS!$B$6:$B$105,MATCH($C41,PRODUCTOS!$A$6:$A$105,0)),"¿Código?"))</f>
        <v/>
      </c>
      <c r="E41" s="42"/>
      <c r="F41" s="35" t="str">
        <f aca="false">IF($C41="","",IFERROR(INDEX(PRODUCTOS!$D$6:$D$105,MATCH($C41,PRODUCTOS!$A$6:$A$105,0)),0))</f>
        <v/>
      </c>
      <c r="G41" s="40"/>
      <c r="H41" s="35" t="str">
        <f aca="false">IF($C41="","",N($E41)*$F41-N($G41))</f>
        <v/>
      </c>
      <c r="I41" s="35" t="str">
        <f aca="false">IF($C41="","",$H41-$H41/(1+IFERROR(INDEX(PRODUCTOS!$E$6:$E$105,MATCH($C41,PRODUCTOS!$A$6:$A$105,0)),IVA_VENTAS)))</f>
        <v/>
      </c>
      <c r="J41" s="35" t="str">
        <f aca="false">IF($C41="","",$H41-$I41)</f>
        <v/>
      </c>
      <c r="K41" s="35" t="str">
        <f aca="false">IF($C41="","",N($E41)*IFERROR(INDEX(PRODUCTOS!$H$6:$H$105,MATCH($C41,PRODUCTOS!$A$6:$A$105,0)),0))</f>
        <v/>
      </c>
      <c r="L41" s="35" t="str">
        <f aca="false">IF($C41="","",$J41-$K41)</f>
        <v/>
      </c>
      <c r="M41" s="6"/>
      <c r="N41" s="6"/>
      <c r="O41" s="46" t="str">
        <f aca="false">IF($A41="","",DATE(YEAR($A41),MONTH($A41),1))</f>
        <v/>
      </c>
    </row>
    <row r="42" customFormat="false" ht="15" hidden="false" customHeight="false" outlineLevel="0" collapsed="false">
      <c r="A42" s="44"/>
      <c r="B42" s="6"/>
      <c r="C42" s="6"/>
      <c r="D42" s="8" t="str">
        <f aca="false">IF($C42="","",IFERROR(INDEX(PRODUCTOS!$B$6:$B$105,MATCH($C42,PRODUCTOS!$A$6:$A$105,0)),"¿Código?"))</f>
        <v/>
      </c>
      <c r="E42" s="42"/>
      <c r="F42" s="35" t="str">
        <f aca="false">IF($C42="","",IFERROR(INDEX(PRODUCTOS!$D$6:$D$105,MATCH($C42,PRODUCTOS!$A$6:$A$105,0)),0))</f>
        <v/>
      </c>
      <c r="G42" s="40"/>
      <c r="H42" s="35" t="str">
        <f aca="false">IF($C42="","",N($E42)*$F42-N($G42))</f>
        <v/>
      </c>
      <c r="I42" s="35" t="str">
        <f aca="false">IF($C42="","",$H42-$H42/(1+IFERROR(INDEX(PRODUCTOS!$E$6:$E$105,MATCH($C42,PRODUCTOS!$A$6:$A$105,0)),IVA_VENTAS)))</f>
        <v/>
      </c>
      <c r="J42" s="35" t="str">
        <f aca="false">IF($C42="","",$H42-$I42)</f>
        <v/>
      </c>
      <c r="K42" s="35" t="str">
        <f aca="false">IF($C42="","",N($E42)*IFERROR(INDEX(PRODUCTOS!$H$6:$H$105,MATCH($C42,PRODUCTOS!$A$6:$A$105,0)),0))</f>
        <v/>
      </c>
      <c r="L42" s="35" t="str">
        <f aca="false">IF($C42="","",$J42-$K42)</f>
        <v/>
      </c>
      <c r="M42" s="6"/>
      <c r="N42" s="6"/>
      <c r="O42" s="46" t="str">
        <f aca="false">IF($A42="","",DATE(YEAR($A42),MONTH($A42),1))</f>
        <v/>
      </c>
    </row>
    <row r="43" customFormat="false" ht="15" hidden="false" customHeight="false" outlineLevel="0" collapsed="false">
      <c r="A43" s="44"/>
      <c r="B43" s="6"/>
      <c r="C43" s="6"/>
      <c r="D43" s="8" t="str">
        <f aca="false">IF($C43="","",IFERROR(INDEX(PRODUCTOS!$B$6:$B$105,MATCH($C43,PRODUCTOS!$A$6:$A$105,0)),"¿Código?"))</f>
        <v/>
      </c>
      <c r="E43" s="42"/>
      <c r="F43" s="35" t="str">
        <f aca="false">IF($C43="","",IFERROR(INDEX(PRODUCTOS!$D$6:$D$105,MATCH($C43,PRODUCTOS!$A$6:$A$105,0)),0))</f>
        <v/>
      </c>
      <c r="G43" s="40"/>
      <c r="H43" s="35" t="str">
        <f aca="false">IF($C43="","",N($E43)*$F43-N($G43))</f>
        <v/>
      </c>
      <c r="I43" s="35" t="str">
        <f aca="false">IF($C43="","",$H43-$H43/(1+IFERROR(INDEX(PRODUCTOS!$E$6:$E$105,MATCH($C43,PRODUCTOS!$A$6:$A$105,0)),IVA_VENTAS)))</f>
        <v/>
      </c>
      <c r="J43" s="35" t="str">
        <f aca="false">IF($C43="","",$H43-$I43)</f>
        <v/>
      </c>
      <c r="K43" s="35" t="str">
        <f aca="false">IF($C43="","",N($E43)*IFERROR(INDEX(PRODUCTOS!$H$6:$H$105,MATCH($C43,PRODUCTOS!$A$6:$A$105,0)),0))</f>
        <v/>
      </c>
      <c r="L43" s="35" t="str">
        <f aca="false">IF($C43="","",$J43-$K43)</f>
        <v/>
      </c>
      <c r="M43" s="6"/>
      <c r="N43" s="6"/>
      <c r="O43" s="46" t="str">
        <f aca="false">IF($A43="","",DATE(YEAR($A43),MONTH($A43),1))</f>
        <v/>
      </c>
    </row>
    <row r="44" customFormat="false" ht="15" hidden="false" customHeight="false" outlineLevel="0" collapsed="false">
      <c r="A44" s="44"/>
      <c r="B44" s="6"/>
      <c r="C44" s="6"/>
      <c r="D44" s="8" t="str">
        <f aca="false">IF($C44="","",IFERROR(INDEX(PRODUCTOS!$B$6:$B$105,MATCH($C44,PRODUCTOS!$A$6:$A$105,0)),"¿Código?"))</f>
        <v/>
      </c>
      <c r="E44" s="42"/>
      <c r="F44" s="35" t="str">
        <f aca="false">IF($C44="","",IFERROR(INDEX(PRODUCTOS!$D$6:$D$105,MATCH($C44,PRODUCTOS!$A$6:$A$105,0)),0))</f>
        <v/>
      </c>
      <c r="G44" s="40"/>
      <c r="H44" s="35" t="str">
        <f aca="false">IF($C44="","",N($E44)*$F44-N($G44))</f>
        <v/>
      </c>
      <c r="I44" s="35" t="str">
        <f aca="false">IF($C44="","",$H44-$H44/(1+IFERROR(INDEX(PRODUCTOS!$E$6:$E$105,MATCH($C44,PRODUCTOS!$A$6:$A$105,0)),IVA_VENTAS)))</f>
        <v/>
      </c>
      <c r="J44" s="35" t="str">
        <f aca="false">IF($C44="","",$H44-$I44)</f>
        <v/>
      </c>
      <c r="K44" s="35" t="str">
        <f aca="false">IF($C44="","",N($E44)*IFERROR(INDEX(PRODUCTOS!$H$6:$H$105,MATCH($C44,PRODUCTOS!$A$6:$A$105,0)),0))</f>
        <v/>
      </c>
      <c r="L44" s="35" t="str">
        <f aca="false">IF($C44="","",$J44-$K44)</f>
        <v/>
      </c>
      <c r="M44" s="6"/>
      <c r="N44" s="6"/>
      <c r="O44" s="46" t="str">
        <f aca="false">IF($A44="","",DATE(YEAR($A44),MONTH($A44),1))</f>
        <v/>
      </c>
    </row>
    <row r="45" customFormat="false" ht="15" hidden="false" customHeight="false" outlineLevel="0" collapsed="false">
      <c r="A45" s="44"/>
      <c r="B45" s="6"/>
      <c r="C45" s="6"/>
      <c r="D45" s="8" t="str">
        <f aca="false">IF($C45="","",IFERROR(INDEX(PRODUCTOS!$B$6:$B$105,MATCH($C45,PRODUCTOS!$A$6:$A$105,0)),"¿Código?"))</f>
        <v/>
      </c>
      <c r="E45" s="42"/>
      <c r="F45" s="35" t="str">
        <f aca="false">IF($C45="","",IFERROR(INDEX(PRODUCTOS!$D$6:$D$105,MATCH($C45,PRODUCTOS!$A$6:$A$105,0)),0))</f>
        <v/>
      </c>
      <c r="G45" s="40"/>
      <c r="H45" s="35" t="str">
        <f aca="false">IF($C45="","",N($E45)*$F45-N($G45))</f>
        <v/>
      </c>
      <c r="I45" s="35" t="str">
        <f aca="false">IF($C45="","",$H45-$H45/(1+IFERROR(INDEX(PRODUCTOS!$E$6:$E$105,MATCH($C45,PRODUCTOS!$A$6:$A$105,0)),IVA_VENTAS)))</f>
        <v/>
      </c>
      <c r="J45" s="35" t="str">
        <f aca="false">IF($C45="","",$H45-$I45)</f>
        <v/>
      </c>
      <c r="K45" s="35" t="str">
        <f aca="false">IF($C45="","",N($E45)*IFERROR(INDEX(PRODUCTOS!$H$6:$H$105,MATCH($C45,PRODUCTOS!$A$6:$A$105,0)),0))</f>
        <v/>
      </c>
      <c r="L45" s="35" t="str">
        <f aca="false">IF($C45="","",$J45-$K45)</f>
        <v/>
      </c>
      <c r="M45" s="6"/>
      <c r="N45" s="6"/>
      <c r="O45" s="46" t="str">
        <f aca="false">IF($A45="","",DATE(YEAR($A45),MONTH($A45),1))</f>
        <v/>
      </c>
    </row>
    <row r="46" customFormat="false" ht="15" hidden="false" customHeight="false" outlineLevel="0" collapsed="false">
      <c r="A46" s="44"/>
      <c r="B46" s="6"/>
      <c r="C46" s="6"/>
      <c r="D46" s="8" t="str">
        <f aca="false">IF($C46="","",IFERROR(INDEX(PRODUCTOS!$B$6:$B$105,MATCH($C46,PRODUCTOS!$A$6:$A$105,0)),"¿Código?"))</f>
        <v/>
      </c>
      <c r="E46" s="42"/>
      <c r="F46" s="35" t="str">
        <f aca="false">IF($C46="","",IFERROR(INDEX(PRODUCTOS!$D$6:$D$105,MATCH($C46,PRODUCTOS!$A$6:$A$105,0)),0))</f>
        <v/>
      </c>
      <c r="G46" s="40"/>
      <c r="H46" s="35" t="str">
        <f aca="false">IF($C46="","",N($E46)*$F46-N($G46))</f>
        <v/>
      </c>
      <c r="I46" s="35" t="str">
        <f aca="false">IF($C46="","",$H46-$H46/(1+IFERROR(INDEX(PRODUCTOS!$E$6:$E$105,MATCH($C46,PRODUCTOS!$A$6:$A$105,0)),IVA_VENTAS)))</f>
        <v/>
      </c>
      <c r="J46" s="35" t="str">
        <f aca="false">IF($C46="","",$H46-$I46)</f>
        <v/>
      </c>
      <c r="K46" s="35" t="str">
        <f aca="false">IF($C46="","",N($E46)*IFERROR(INDEX(PRODUCTOS!$H$6:$H$105,MATCH($C46,PRODUCTOS!$A$6:$A$105,0)),0))</f>
        <v/>
      </c>
      <c r="L46" s="35" t="str">
        <f aca="false">IF($C46="","",$J46-$K46)</f>
        <v/>
      </c>
      <c r="M46" s="6"/>
      <c r="N46" s="6"/>
      <c r="O46" s="46" t="str">
        <f aca="false">IF($A46="","",DATE(YEAR($A46),MONTH($A46),1))</f>
        <v/>
      </c>
    </row>
    <row r="47" customFormat="false" ht="15" hidden="false" customHeight="false" outlineLevel="0" collapsed="false">
      <c r="A47" s="44"/>
      <c r="B47" s="6"/>
      <c r="C47" s="6"/>
      <c r="D47" s="8" t="str">
        <f aca="false">IF($C47="","",IFERROR(INDEX(PRODUCTOS!$B$6:$B$105,MATCH($C47,PRODUCTOS!$A$6:$A$105,0)),"¿Código?"))</f>
        <v/>
      </c>
      <c r="E47" s="42"/>
      <c r="F47" s="35" t="str">
        <f aca="false">IF($C47="","",IFERROR(INDEX(PRODUCTOS!$D$6:$D$105,MATCH($C47,PRODUCTOS!$A$6:$A$105,0)),0))</f>
        <v/>
      </c>
      <c r="G47" s="40"/>
      <c r="H47" s="35" t="str">
        <f aca="false">IF($C47="","",N($E47)*$F47-N($G47))</f>
        <v/>
      </c>
      <c r="I47" s="35" t="str">
        <f aca="false">IF($C47="","",$H47-$H47/(1+IFERROR(INDEX(PRODUCTOS!$E$6:$E$105,MATCH($C47,PRODUCTOS!$A$6:$A$105,0)),IVA_VENTAS)))</f>
        <v/>
      </c>
      <c r="J47" s="35" t="str">
        <f aca="false">IF($C47="","",$H47-$I47)</f>
        <v/>
      </c>
      <c r="K47" s="35" t="str">
        <f aca="false">IF($C47="","",N($E47)*IFERROR(INDEX(PRODUCTOS!$H$6:$H$105,MATCH($C47,PRODUCTOS!$A$6:$A$105,0)),0))</f>
        <v/>
      </c>
      <c r="L47" s="35" t="str">
        <f aca="false">IF($C47="","",$J47-$K47)</f>
        <v/>
      </c>
      <c r="M47" s="6"/>
      <c r="N47" s="6"/>
      <c r="O47" s="46" t="str">
        <f aca="false">IF($A47="","",DATE(YEAR($A47),MONTH($A47),1))</f>
        <v/>
      </c>
    </row>
    <row r="48" customFormat="false" ht="15" hidden="false" customHeight="false" outlineLevel="0" collapsed="false">
      <c r="A48" s="44"/>
      <c r="B48" s="6"/>
      <c r="C48" s="6"/>
      <c r="D48" s="8" t="str">
        <f aca="false">IF($C48="","",IFERROR(INDEX(PRODUCTOS!$B$6:$B$105,MATCH($C48,PRODUCTOS!$A$6:$A$105,0)),"¿Código?"))</f>
        <v/>
      </c>
      <c r="E48" s="42"/>
      <c r="F48" s="35" t="str">
        <f aca="false">IF($C48="","",IFERROR(INDEX(PRODUCTOS!$D$6:$D$105,MATCH($C48,PRODUCTOS!$A$6:$A$105,0)),0))</f>
        <v/>
      </c>
      <c r="G48" s="40"/>
      <c r="H48" s="35" t="str">
        <f aca="false">IF($C48="","",N($E48)*$F48-N($G48))</f>
        <v/>
      </c>
      <c r="I48" s="35" t="str">
        <f aca="false">IF($C48="","",$H48-$H48/(1+IFERROR(INDEX(PRODUCTOS!$E$6:$E$105,MATCH($C48,PRODUCTOS!$A$6:$A$105,0)),IVA_VENTAS)))</f>
        <v/>
      </c>
      <c r="J48" s="35" t="str">
        <f aca="false">IF($C48="","",$H48-$I48)</f>
        <v/>
      </c>
      <c r="K48" s="35" t="str">
        <f aca="false">IF($C48="","",N($E48)*IFERROR(INDEX(PRODUCTOS!$H$6:$H$105,MATCH($C48,PRODUCTOS!$A$6:$A$105,0)),0))</f>
        <v/>
      </c>
      <c r="L48" s="35" t="str">
        <f aca="false">IF($C48="","",$J48-$K48)</f>
        <v/>
      </c>
      <c r="M48" s="6"/>
      <c r="N48" s="6"/>
      <c r="O48" s="46" t="str">
        <f aca="false">IF($A48="","",DATE(YEAR($A48),MONTH($A48),1))</f>
        <v/>
      </c>
    </row>
    <row r="49" customFormat="false" ht="15" hidden="false" customHeight="false" outlineLevel="0" collapsed="false">
      <c r="A49" s="44"/>
      <c r="B49" s="6"/>
      <c r="C49" s="6"/>
      <c r="D49" s="8" t="str">
        <f aca="false">IF($C49="","",IFERROR(INDEX(PRODUCTOS!$B$6:$B$105,MATCH($C49,PRODUCTOS!$A$6:$A$105,0)),"¿Código?"))</f>
        <v/>
      </c>
      <c r="E49" s="42"/>
      <c r="F49" s="35" t="str">
        <f aca="false">IF($C49="","",IFERROR(INDEX(PRODUCTOS!$D$6:$D$105,MATCH($C49,PRODUCTOS!$A$6:$A$105,0)),0))</f>
        <v/>
      </c>
      <c r="G49" s="40"/>
      <c r="H49" s="35" t="str">
        <f aca="false">IF($C49="","",N($E49)*$F49-N($G49))</f>
        <v/>
      </c>
      <c r="I49" s="35" t="str">
        <f aca="false">IF($C49="","",$H49-$H49/(1+IFERROR(INDEX(PRODUCTOS!$E$6:$E$105,MATCH($C49,PRODUCTOS!$A$6:$A$105,0)),IVA_VENTAS)))</f>
        <v/>
      </c>
      <c r="J49" s="35" t="str">
        <f aca="false">IF($C49="","",$H49-$I49)</f>
        <v/>
      </c>
      <c r="K49" s="35" t="str">
        <f aca="false">IF($C49="","",N($E49)*IFERROR(INDEX(PRODUCTOS!$H$6:$H$105,MATCH($C49,PRODUCTOS!$A$6:$A$105,0)),0))</f>
        <v/>
      </c>
      <c r="L49" s="35" t="str">
        <f aca="false">IF($C49="","",$J49-$K49)</f>
        <v/>
      </c>
      <c r="M49" s="6"/>
      <c r="N49" s="6"/>
      <c r="O49" s="46" t="str">
        <f aca="false">IF($A49="","",DATE(YEAR($A49),MONTH($A49),1))</f>
        <v/>
      </c>
    </row>
    <row r="50" customFormat="false" ht="15" hidden="false" customHeight="false" outlineLevel="0" collapsed="false">
      <c r="A50" s="44"/>
      <c r="B50" s="6"/>
      <c r="C50" s="6"/>
      <c r="D50" s="8" t="str">
        <f aca="false">IF($C50="","",IFERROR(INDEX(PRODUCTOS!$B$6:$B$105,MATCH($C50,PRODUCTOS!$A$6:$A$105,0)),"¿Código?"))</f>
        <v/>
      </c>
      <c r="E50" s="42"/>
      <c r="F50" s="35" t="str">
        <f aca="false">IF($C50="","",IFERROR(INDEX(PRODUCTOS!$D$6:$D$105,MATCH($C50,PRODUCTOS!$A$6:$A$105,0)),0))</f>
        <v/>
      </c>
      <c r="G50" s="40"/>
      <c r="H50" s="35" t="str">
        <f aca="false">IF($C50="","",N($E50)*$F50-N($G50))</f>
        <v/>
      </c>
      <c r="I50" s="35" t="str">
        <f aca="false">IF($C50="","",$H50-$H50/(1+IFERROR(INDEX(PRODUCTOS!$E$6:$E$105,MATCH($C50,PRODUCTOS!$A$6:$A$105,0)),IVA_VENTAS)))</f>
        <v/>
      </c>
      <c r="J50" s="35" t="str">
        <f aca="false">IF($C50="","",$H50-$I50)</f>
        <v/>
      </c>
      <c r="K50" s="35" t="str">
        <f aca="false">IF($C50="","",N($E50)*IFERROR(INDEX(PRODUCTOS!$H$6:$H$105,MATCH($C50,PRODUCTOS!$A$6:$A$105,0)),0))</f>
        <v/>
      </c>
      <c r="L50" s="35" t="str">
        <f aca="false">IF($C50="","",$J50-$K50)</f>
        <v/>
      </c>
      <c r="M50" s="6"/>
      <c r="N50" s="6"/>
      <c r="O50" s="46" t="str">
        <f aca="false">IF($A50="","",DATE(YEAR($A50),MONTH($A50),1))</f>
        <v/>
      </c>
    </row>
    <row r="51" customFormat="false" ht="15" hidden="false" customHeight="false" outlineLevel="0" collapsed="false">
      <c r="A51" s="44"/>
      <c r="B51" s="6"/>
      <c r="C51" s="6"/>
      <c r="D51" s="8" t="str">
        <f aca="false">IF($C51="","",IFERROR(INDEX(PRODUCTOS!$B$6:$B$105,MATCH($C51,PRODUCTOS!$A$6:$A$105,0)),"¿Código?"))</f>
        <v/>
      </c>
      <c r="E51" s="42"/>
      <c r="F51" s="35" t="str">
        <f aca="false">IF($C51="","",IFERROR(INDEX(PRODUCTOS!$D$6:$D$105,MATCH($C51,PRODUCTOS!$A$6:$A$105,0)),0))</f>
        <v/>
      </c>
      <c r="G51" s="40"/>
      <c r="H51" s="35" t="str">
        <f aca="false">IF($C51="","",N($E51)*$F51-N($G51))</f>
        <v/>
      </c>
      <c r="I51" s="35" t="str">
        <f aca="false">IF($C51="","",$H51-$H51/(1+IFERROR(INDEX(PRODUCTOS!$E$6:$E$105,MATCH($C51,PRODUCTOS!$A$6:$A$105,0)),IVA_VENTAS)))</f>
        <v/>
      </c>
      <c r="J51" s="35" t="str">
        <f aca="false">IF($C51="","",$H51-$I51)</f>
        <v/>
      </c>
      <c r="K51" s="35" t="str">
        <f aca="false">IF($C51="","",N($E51)*IFERROR(INDEX(PRODUCTOS!$H$6:$H$105,MATCH($C51,PRODUCTOS!$A$6:$A$105,0)),0))</f>
        <v/>
      </c>
      <c r="L51" s="35" t="str">
        <f aca="false">IF($C51="","",$J51-$K51)</f>
        <v/>
      </c>
      <c r="M51" s="6"/>
      <c r="N51" s="6"/>
      <c r="O51" s="46" t="str">
        <f aca="false">IF($A51="","",DATE(YEAR($A51),MONTH($A51),1))</f>
        <v/>
      </c>
    </row>
    <row r="52" customFormat="false" ht="15" hidden="false" customHeight="false" outlineLevel="0" collapsed="false">
      <c r="A52" s="44"/>
      <c r="B52" s="6"/>
      <c r="C52" s="6"/>
      <c r="D52" s="8" t="str">
        <f aca="false">IF($C52="","",IFERROR(INDEX(PRODUCTOS!$B$6:$B$105,MATCH($C52,PRODUCTOS!$A$6:$A$105,0)),"¿Código?"))</f>
        <v/>
      </c>
      <c r="E52" s="42"/>
      <c r="F52" s="35" t="str">
        <f aca="false">IF($C52="","",IFERROR(INDEX(PRODUCTOS!$D$6:$D$105,MATCH($C52,PRODUCTOS!$A$6:$A$105,0)),0))</f>
        <v/>
      </c>
      <c r="G52" s="40"/>
      <c r="H52" s="35" t="str">
        <f aca="false">IF($C52="","",N($E52)*$F52-N($G52))</f>
        <v/>
      </c>
      <c r="I52" s="35" t="str">
        <f aca="false">IF($C52="","",$H52-$H52/(1+IFERROR(INDEX(PRODUCTOS!$E$6:$E$105,MATCH($C52,PRODUCTOS!$A$6:$A$105,0)),IVA_VENTAS)))</f>
        <v/>
      </c>
      <c r="J52" s="35" t="str">
        <f aca="false">IF($C52="","",$H52-$I52)</f>
        <v/>
      </c>
      <c r="K52" s="35" t="str">
        <f aca="false">IF($C52="","",N($E52)*IFERROR(INDEX(PRODUCTOS!$H$6:$H$105,MATCH($C52,PRODUCTOS!$A$6:$A$105,0)),0))</f>
        <v/>
      </c>
      <c r="L52" s="35" t="str">
        <f aca="false">IF($C52="","",$J52-$K52)</f>
        <v/>
      </c>
      <c r="M52" s="6"/>
      <c r="N52" s="6"/>
      <c r="O52" s="46" t="str">
        <f aca="false">IF($A52="","",DATE(YEAR($A52),MONTH($A52),1))</f>
        <v/>
      </c>
    </row>
    <row r="53" customFormat="false" ht="15" hidden="false" customHeight="false" outlineLevel="0" collapsed="false">
      <c r="A53" s="44"/>
      <c r="B53" s="6"/>
      <c r="C53" s="6"/>
      <c r="D53" s="8" t="str">
        <f aca="false">IF($C53="","",IFERROR(INDEX(PRODUCTOS!$B$6:$B$105,MATCH($C53,PRODUCTOS!$A$6:$A$105,0)),"¿Código?"))</f>
        <v/>
      </c>
      <c r="E53" s="42"/>
      <c r="F53" s="35" t="str">
        <f aca="false">IF($C53="","",IFERROR(INDEX(PRODUCTOS!$D$6:$D$105,MATCH($C53,PRODUCTOS!$A$6:$A$105,0)),0))</f>
        <v/>
      </c>
      <c r="G53" s="40"/>
      <c r="H53" s="35" t="str">
        <f aca="false">IF($C53="","",N($E53)*$F53-N($G53))</f>
        <v/>
      </c>
      <c r="I53" s="35" t="str">
        <f aca="false">IF($C53="","",$H53-$H53/(1+IFERROR(INDEX(PRODUCTOS!$E$6:$E$105,MATCH($C53,PRODUCTOS!$A$6:$A$105,0)),IVA_VENTAS)))</f>
        <v/>
      </c>
      <c r="J53" s="35" t="str">
        <f aca="false">IF($C53="","",$H53-$I53)</f>
        <v/>
      </c>
      <c r="K53" s="35" t="str">
        <f aca="false">IF($C53="","",N($E53)*IFERROR(INDEX(PRODUCTOS!$H$6:$H$105,MATCH($C53,PRODUCTOS!$A$6:$A$105,0)),0))</f>
        <v/>
      </c>
      <c r="L53" s="35" t="str">
        <f aca="false">IF($C53="","",$J53-$K53)</f>
        <v/>
      </c>
      <c r="M53" s="6"/>
      <c r="N53" s="6"/>
      <c r="O53" s="46" t="str">
        <f aca="false">IF($A53="","",DATE(YEAR($A53),MONTH($A53),1))</f>
        <v/>
      </c>
    </row>
    <row r="54" customFormat="false" ht="15" hidden="false" customHeight="false" outlineLevel="0" collapsed="false">
      <c r="A54" s="44"/>
      <c r="B54" s="6"/>
      <c r="C54" s="6"/>
      <c r="D54" s="8" t="str">
        <f aca="false">IF($C54="","",IFERROR(INDEX(PRODUCTOS!$B$6:$B$105,MATCH($C54,PRODUCTOS!$A$6:$A$105,0)),"¿Código?"))</f>
        <v/>
      </c>
      <c r="E54" s="42"/>
      <c r="F54" s="35" t="str">
        <f aca="false">IF($C54="","",IFERROR(INDEX(PRODUCTOS!$D$6:$D$105,MATCH($C54,PRODUCTOS!$A$6:$A$105,0)),0))</f>
        <v/>
      </c>
      <c r="G54" s="40"/>
      <c r="H54" s="35" t="str">
        <f aca="false">IF($C54="","",N($E54)*$F54-N($G54))</f>
        <v/>
      </c>
      <c r="I54" s="35" t="str">
        <f aca="false">IF($C54="","",$H54-$H54/(1+IFERROR(INDEX(PRODUCTOS!$E$6:$E$105,MATCH($C54,PRODUCTOS!$A$6:$A$105,0)),IVA_VENTAS)))</f>
        <v/>
      </c>
      <c r="J54" s="35" t="str">
        <f aca="false">IF($C54="","",$H54-$I54)</f>
        <v/>
      </c>
      <c r="K54" s="35" t="str">
        <f aca="false">IF($C54="","",N($E54)*IFERROR(INDEX(PRODUCTOS!$H$6:$H$105,MATCH($C54,PRODUCTOS!$A$6:$A$105,0)),0))</f>
        <v/>
      </c>
      <c r="L54" s="35" t="str">
        <f aca="false">IF($C54="","",$J54-$K54)</f>
        <v/>
      </c>
      <c r="M54" s="6"/>
      <c r="N54" s="6"/>
      <c r="O54" s="46" t="str">
        <f aca="false">IF($A54="","",DATE(YEAR($A54),MONTH($A54),1))</f>
        <v/>
      </c>
    </row>
    <row r="55" customFormat="false" ht="15" hidden="false" customHeight="false" outlineLevel="0" collapsed="false">
      <c r="A55" s="44"/>
      <c r="B55" s="6"/>
      <c r="C55" s="6"/>
      <c r="D55" s="8" t="str">
        <f aca="false">IF($C55="","",IFERROR(INDEX(PRODUCTOS!$B$6:$B$105,MATCH($C55,PRODUCTOS!$A$6:$A$105,0)),"¿Código?"))</f>
        <v/>
      </c>
      <c r="E55" s="42"/>
      <c r="F55" s="35" t="str">
        <f aca="false">IF($C55="","",IFERROR(INDEX(PRODUCTOS!$D$6:$D$105,MATCH($C55,PRODUCTOS!$A$6:$A$105,0)),0))</f>
        <v/>
      </c>
      <c r="G55" s="40"/>
      <c r="H55" s="35" t="str">
        <f aca="false">IF($C55="","",N($E55)*$F55-N($G55))</f>
        <v/>
      </c>
      <c r="I55" s="35" t="str">
        <f aca="false">IF($C55="","",$H55-$H55/(1+IFERROR(INDEX(PRODUCTOS!$E$6:$E$105,MATCH($C55,PRODUCTOS!$A$6:$A$105,0)),IVA_VENTAS)))</f>
        <v/>
      </c>
      <c r="J55" s="35" t="str">
        <f aca="false">IF($C55="","",$H55-$I55)</f>
        <v/>
      </c>
      <c r="K55" s="35" t="str">
        <f aca="false">IF($C55="","",N($E55)*IFERROR(INDEX(PRODUCTOS!$H$6:$H$105,MATCH($C55,PRODUCTOS!$A$6:$A$105,0)),0))</f>
        <v/>
      </c>
      <c r="L55" s="35" t="str">
        <f aca="false">IF($C55="","",$J55-$K55)</f>
        <v/>
      </c>
      <c r="M55" s="6"/>
      <c r="N55" s="6"/>
      <c r="O55" s="46" t="str">
        <f aca="false">IF($A55="","",DATE(YEAR($A55),MONTH($A55),1))</f>
        <v/>
      </c>
    </row>
    <row r="56" customFormat="false" ht="15" hidden="false" customHeight="false" outlineLevel="0" collapsed="false">
      <c r="A56" s="44"/>
      <c r="B56" s="6"/>
      <c r="C56" s="6"/>
      <c r="D56" s="8" t="str">
        <f aca="false">IF($C56="","",IFERROR(INDEX(PRODUCTOS!$B$6:$B$105,MATCH($C56,PRODUCTOS!$A$6:$A$105,0)),"¿Código?"))</f>
        <v/>
      </c>
      <c r="E56" s="42"/>
      <c r="F56" s="35" t="str">
        <f aca="false">IF($C56="","",IFERROR(INDEX(PRODUCTOS!$D$6:$D$105,MATCH($C56,PRODUCTOS!$A$6:$A$105,0)),0))</f>
        <v/>
      </c>
      <c r="G56" s="40"/>
      <c r="H56" s="35" t="str">
        <f aca="false">IF($C56="","",N($E56)*$F56-N($G56))</f>
        <v/>
      </c>
      <c r="I56" s="35" t="str">
        <f aca="false">IF($C56="","",$H56-$H56/(1+IFERROR(INDEX(PRODUCTOS!$E$6:$E$105,MATCH($C56,PRODUCTOS!$A$6:$A$105,0)),IVA_VENTAS)))</f>
        <v/>
      </c>
      <c r="J56" s="35" t="str">
        <f aca="false">IF($C56="","",$H56-$I56)</f>
        <v/>
      </c>
      <c r="K56" s="35" t="str">
        <f aca="false">IF($C56="","",N($E56)*IFERROR(INDEX(PRODUCTOS!$H$6:$H$105,MATCH($C56,PRODUCTOS!$A$6:$A$105,0)),0))</f>
        <v/>
      </c>
      <c r="L56" s="35" t="str">
        <f aca="false">IF($C56="","",$J56-$K56)</f>
        <v/>
      </c>
      <c r="M56" s="6"/>
      <c r="N56" s="6"/>
      <c r="O56" s="46" t="str">
        <f aca="false">IF($A56="","",DATE(YEAR($A56),MONTH($A56),1))</f>
        <v/>
      </c>
    </row>
    <row r="57" customFormat="false" ht="15" hidden="false" customHeight="false" outlineLevel="0" collapsed="false">
      <c r="A57" s="44"/>
      <c r="B57" s="6"/>
      <c r="C57" s="6"/>
      <c r="D57" s="8" t="str">
        <f aca="false">IF($C57="","",IFERROR(INDEX(PRODUCTOS!$B$6:$B$105,MATCH($C57,PRODUCTOS!$A$6:$A$105,0)),"¿Código?"))</f>
        <v/>
      </c>
      <c r="E57" s="42"/>
      <c r="F57" s="35" t="str">
        <f aca="false">IF($C57="","",IFERROR(INDEX(PRODUCTOS!$D$6:$D$105,MATCH($C57,PRODUCTOS!$A$6:$A$105,0)),0))</f>
        <v/>
      </c>
      <c r="G57" s="40"/>
      <c r="H57" s="35" t="str">
        <f aca="false">IF($C57="","",N($E57)*$F57-N($G57))</f>
        <v/>
      </c>
      <c r="I57" s="35" t="str">
        <f aca="false">IF($C57="","",$H57-$H57/(1+IFERROR(INDEX(PRODUCTOS!$E$6:$E$105,MATCH($C57,PRODUCTOS!$A$6:$A$105,0)),IVA_VENTAS)))</f>
        <v/>
      </c>
      <c r="J57" s="35" t="str">
        <f aca="false">IF($C57="","",$H57-$I57)</f>
        <v/>
      </c>
      <c r="K57" s="35" t="str">
        <f aca="false">IF($C57="","",N($E57)*IFERROR(INDEX(PRODUCTOS!$H$6:$H$105,MATCH($C57,PRODUCTOS!$A$6:$A$105,0)),0))</f>
        <v/>
      </c>
      <c r="L57" s="35" t="str">
        <f aca="false">IF($C57="","",$J57-$K57)</f>
        <v/>
      </c>
      <c r="M57" s="6"/>
      <c r="N57" s="6"/>
      <c r="O57" s="46" t="str">
        <f aca="false">IF($A57="","",DATE(YEAR($A57),MONTH($A57),1))</f>
        <v/>
      </c>
    </row>
    <row r="58" customFormat="false" ht="15" hidden="false" customHeight="false" outlineLevel="0" collapsed="false">
      <c r="A58" s="44"/>
      <c r="B58" s="6"/>
      <c r="C58" s="6"/>
      <c r="D58" s="8" t="str">
        <f aca="false">IF($C58="","",IFERROR(INDEX(PRODUCTOS!$B$6:$B$105,MATCH($C58,PRODUCTOS!$A$6:$A$105,0)),"¿Código?"))</f>
        <v/>
      </c>
      <c r="E58" s="42"/>
      <c r="F58" s="35" t="str">
        <f aca="false">IF($C58="","",IFERROR(INDEX(PRODUCTOS!$D$6:$D$105,MATCH($C58,PRODUCTOS!$A$6:$A$105,0)),0))</f>
        <v/>
      </c>
      <c r="G58" s="40"/>
      <c r="H58" s="35" t="str">
        <f aca="false">IF($C58="","",N($E58)*$F58-N($G58))</f>
        <v/>
      </c>
      <c r="I58" s="35" t="str">
        <f aca="false">IF($C58="","",$H58-$H58/(1+IFERROR(INDEX(PRODUCTOS!$E$6:$E$105,MATCH($C58,PRODUCTOS!$A$6:$A$105,0)),IVA_VENTAS)))</f>
        <v/>
      </c>
      <c r="J58" s="35" t="str">
        <f aca="false">IF($C58="","",$H58-$I58)</f>
        <v/>
      </c>
      <c r="K58" s="35" t="str">
        <f aca="false">IF($C58="","",N($E58)*IFERROR(INDEX(PRODUCTOS!$H$6:$H$105,MATCH($C58,PRODUCTOS!$A$6:$A$105,0)),0))</f>
        <v/>
      </c>
      <c r="L58" s="35" t="str">
        <f aca="false">IF($C58="","",$J58-$K58)</f>
        <v/>
      </c>
      <c r="M58" s="6"/>
      <c r="N58" s="6"/>
      <c r="O58" s="46" t="str">
        <f aca="false">IF($A58="","",DATE(YEAR($A58),MONTH($A58),1))</f>
        <v/>
      </c>
    </row>
    <row r="59" customFormat="false" ht="15" hidden="false" customHeight="false" outlineLevel="0" collapsed="false">
      <c r="A59" s="44"/>
      <c r="B59" s="6"/>
      <c r="C59" s="6"/>
      <c r="D59" s="8" t="str">
        <f aca="false">IF($C59="","",IFERROR(INDEX(PRODUCTOS!$B$6:$B$105,MATCH($C59,PRODUCTOS!$A$6:$A$105,0)),"¿Código?"))</f>
        <v/>
      </c>
      <c r="E59" s="42"/>
      <c r="F59" s="35" t="str">
        <f aca="false">IF($C59="","",IFERROR(INDEX(PRODUCTOS!$D$6:$D$105,MATCH($C59,PRODUCTOS!$A$6:$A$105,0)),0))</f>
        <v/>
      </c>
      <c r="G59" s="40"/>
      <c r="H59" s="35" t="str">
        <f aca="false">IF($C59="","",N($E59)*$F59-N($G59))</f>
        <v/>
      </c>
      <c r="I59" s="35" t="str">
        <f aca="false">IF($C59="","",$H59-$H59/(1+IFERROR(INDEX(PRODUCTOS!$E$6:$E$105,MATCH($C59,PRODUCTOS!$A$6:$A$105,0)),IVA_VENTAS)))</f>
        <v/>
      </c>
      <c r="J59" s="35" t="str">
        <f aca="false">IF($C59="","",$H59-$I59)</f>
        <v/>
      </c>
      <c r="K59" s="35" t="str">
        <f aca="false">IF($C59="","",N($E59)*IFERROR(INDEX(PRODUCTOS!$H$6:$H$105,MATCH($C59,PRODUCTOS!$A$6:$A$105,0)),0))</f>
        <v/>
      </c>
      <c r="L59" s="35" t="str">
        <f aca="false">IF($C59="","",$J59-$K59)</f>
        <v/>
      </c>
      <c r="M59" s="6"/>
      <c r="N59" s="6"/>
      <c r="O59" s="46" t="str">
        <f aca="false">IF($A59="","",DATE(YEAR($A59),MONTH($A59),1))</f>
        <v/>
      </c>
    </row>
    <row r="60" customFormat="false" ht="15" hidden="false" customHeight="false" outlineLevel="0" collapsed="false">
      <c r="A60" s="44"/>
      <c r="B60" s="6"/>
      <c r="C60" s="6"/>
      <c r="D60" s="8" t="str">
        <f aca="false">IF($C60="","",IFERROR(INDEX(PRODUCTOS!$B$6:$B$105,MATCH($C60,PRODUCTOS!$A$6:$A$105,0)),"¿Código?"))</f>
        <v/>
      </c>
      <c r="E60" s="42"/>
      <c r="F60" s="35" t="str">
        <f aca="false">IF($C60="","",IFERROR(INDEX(PRODUCTOS!$D$6:$D$105,MATCH($C60,PRODUCTOS!$A$6:$A$105,0)),0))</f>
        <v/>
      </c>
      <c r="G60" s="40"/>
      <c r="H60" s="35" t="str">
        <f aca="false">IF($C60="","",N($E60)*$F60-N($G60))</f>
        <v/>
      </c>
      <c r="I60" s="35" t="str">
        <f aca="false">IF($C60="","",$H60-$H60/(1+IFERROR(INDEX(PRODUCTOS!$E$6:$E$105,MATCH($C60,PRODUCTOS!$A$6:$A$105,0)),IVA_VENTAS)))</f>
        <v/>
      </c>
      <c r="J60" s="35" t="str">
        <f aca="false">IF($C60="","",$H60-$I60)</f>
        <v/>
      </c>
      <c r="K60" s="35" t="str">
        <f aca="false">IF($C60="","",N($E60)*IFERROR(INDEX(PRODUCTOS!$H$6:$H$105,MATCH($C60,PRODUCTOS!$A$6:$A$105,0)),0))</f>
        <v/>
      </c>
      <c r="L60" s="35" t="str">
        <f aca="false">IF($C60="","",$J60-$K60)</f>
        <v/>
      </c>
      <c r="M60" s="6"/>
      <c r="N60" s="6"/>
      <c r="O60" s="46" t="str">
        <f aca="false">IF($A60="","",DATE(YEAR($A60),MONTH($A60),1))</f>
        <v/>
      </c>
    </row>
    <row r="61" customFormat="false" ht="15" hidden="false" customHeight="false" outlineLevel="0" collapsed="false">
      <c r="A61" s="44"/>
      <c r="B61" s="6"/>
      <c r="C61" s="6"/>
      <c r="D61" s="8" t="str">
        <f aca="false">IF($C61="","",IFERROR(INDEX(PRODUCTOS!$B$6:$B$105,MATCH($C61,PRODUCTOS!$A$6:$A$105,0)),"¿Código?"))</f>
        <v/>
      </c>
      <c r="E61" s="42"/>
      <c r="F61" s="35" t="str">
        <f aca="false">IF($C61="","",IFERROR(INDEX(PRODUCTOS!$D$6:$D$105,MATCH($C61,PRODUCTOS!$A$6:$A$105,0)),0))</f>
        <v/>
      </c>
      <c r="G61" s="40"/>
      <c r="H61" s="35" t="str">
        <f aca="false">IF($C61="","",N($E61)*$F61-N($G61))</f>
        <v/>
      </c>
      <c r="I61" s="35" t="str">
        <f aca="false">IF($C61="","",$H61-$H61/(1+IFERROR(INDEX(PRODUCTOS!$E$6:$E$105,MATCH($C61,PRODUCTOS!$A$6:$A$105,0)),IVA_VENTAS)))</f>
        <v/>
      </c>
      <c r="J61" s="35" t="str">
        <f aca="false">IF($C61="","",$H61-$I61)</f>
        <v/>
      </c>
      <c r="K61" s="35" t="str">
        <f aca="false">IF($C61="","",N($E61)*IFERROR(INDEX(PRODUCTOS!$H$6:$H$105,MATCH($C61,PRODUCTOS!$A$6:$A$105,0)),0))</f>
        <v/>
      </c>
      <c r="L61" s="35" t="str">
        <f aca="false">IF($C61="","",$J61-$K61)</f>
        <v/>
      </c>
      <c r="M61" s="6"/>
      <c r="N61" s="6"/>
      <c r="O61" s="46" t="str">
        <f aca="false">IF($A61="","",DATE(YEAR($A61),MONTH($A61),1))</f>
        <v/>
      </c>
    </row>
    <row r="62" customFormat="false" ht="15" hidden="false" customHeight="false" outlineLevel="0" collapsed="false">
      <c r="A62" s="44"/>
      <c r="B62" s="6"/>
      <c r="C62" s="6"/>
      <c r="D62" s="8" t="str">
        <f aca="false">IF($C62="","",IFERROR(INDEX(PRODUCTOS!$B$6:$B$105,MATCH($C62,PRODUCTOS!$A$6:$A$105,0)),"¿Código?"))</f>
        <v/>
      </c>
      <c r="E62" s="42"/>
      <c r="F62" s="35" t="str">
        <f aca="false">IF($C62="","",IFERROR(INDEX(PRODUCTOS!$D$6:$D$105,MATCH($C62,PRODUCTOS!$A$6:$A$105,0)),0))</f>
        <v/>
      </c>
      <c r="G62" s="40"/>
      <c r="H62" s="35" t="str">
        <f aca="false">IF($C62="","",N($E62)*$F62-N($G62))</f>
        <v/>
      </c>
      <c r="I62" s="35" t="str">
        <f aca="false">IF($C62="","",$H62-$H62/(1+IFERROR(INDEX(PRODUCTOS!$E$6:$E$105,MATCH($C62,PRODUCTOS!$A$6:$A$105,0)),IVA_VENTAS)))</f>
        <v/>
      </c>
      <c r="J62" s="35" t="str">
        <f aca="false">IF($C62="","",$H62-$I62)</f>
        <v/>
      </c>
      <c r="K62" s="35" t="str">
        <f aca="false">IF($C62="","",N($E62)*IFERROR(INDEX(PRODUCTOS!$H$6:$H$105,MATCH($C62,PRODUCTOS!$A$6:$A$105,0)),0))</f>
        <v/>
      </c>
      <c r="L62" s="35" t="str">
        <f aca="false">IF($C62="","",$J62-$K62)</f>
        <v/>
      </c>
      <c r="M62" s="6"/>
      <c r="N62" s="6"/>
      <c r="O62" s="46" t="str">
        <f aca="false">IF($A62="","",DATE(YEAR($A62),MONTH($A62),1))</f>
        <v/>
      </c>
    </row>
    <row r="63" customFormat="false" ht="15" hidden="false" customHeight="false" outlineLevel="0" collapsed="false">
      <c r="A63" s="44"/>
      <c r="B63" s="6"/>
      <c r="C63" s="6"/>
      <c r="D63" s="8" t="str">
        <f aca="false">IF($C63="","",IFERROR(INDEX(PRODUCTOS!$B$6:$B$105,MATCH($C63,PRODUCTOS!$A$6:$A$105,0)),"¿Código?"))</f>
        <v/>
      </c>
      <c r="E63" s="42"/>
      <c r="F63" s="35" t="str">
        <f aca="false">IF($C63="","",IFERROR(INDEX(PRODUCTOS!$D$6:$D$105,MATCH($C63,PRODUCTOS!$A$6:$A$105,0)),0))</f>
        <v/>
      </c>
      <c r="G63" s="40"/>
      <c r="H63" s="35" t="str">
        <f aca="false">IF($C63="","",N($E63)*$F63-N($G63))</f>
        <v/>
      </c>
      <c r="I63" s="35" t="str">
        <f aca="false">IF($C63="","",$H63-$H63/(1+IFERROR(INDEX(PRODUCTOS!$E$6:$E$105,MATCH($C63,PRODUCTOS!$A$6:$A$105,0)),IVA_VENTAS)))</f>
        <v/>
      </c>
      <c r="J63" s="35" t="str">
        <f aca="false">IF($C63="","",$H63-$I63)</f>
        <v/>
      </c>
      <c r="K63" s="35" t="str">
        <f aca="false">IF($C63="","",N($E63)*IFERROR(INDEX(PRODUCTOS!$H$6:$H$105,MATCH($C63,PRODUCTOS!$A$6:$A$105,0)),0))</f>
        <v/>
      </c>
      <c r="L63" s="35" t="str">
        <f aca="false">IF($C63="","",$J63-$K63)</f>
        <v/>
      </c>
      <c r="M63" s="6"/>
      <c r="N63" s="6"/>
      <c r="O63" s="46" t="str">
        <f aca="false">IF($A63="","",DATE(YEAR($A63),MONTH($A63),1))</f>
        <v/>
      </c>
    </row>
    <row r="64" customFormat="false" ht="15" hidden="false" customHeight="false" outlineLevel="0" collapsed="false">
      <c r="A64" s="44"/>
      <c r="B64" s="6"/>
      <c r="C64" s="6"/>
      <c r="D64" s="8" t="str">
        <f aca="false">IF($C64="","",IFERROR(INDEX(PRODUCTOS!$B$6:$B$105,MATCH($C64,PRODUCTOS!$A$6:$A$105,0)),"¿Código?"))</f>
        <v/>
      </c>
      <c r="E64" s="42"/>
      <c r="F64" s="35" t="str">
        <f aca="false">IF($C64="","",IFERROR(INDEX(PRODUCTOS!$D$6:$D$105,MATCH($C64,PRODUCTOS!$A$6:$A$105,0)),0))</f>
        <v/>
      </c>
      <c r="G64" s="40"/>
      <c r="H64" s="35" t="str">
        <f aca="false">IF($C64="","",N($E64)*$F64-N($G64))</f>
        <v/>
      </c>
      <c r="I64" s="35" t="str">
        <f aca="false">IF($C64="","",$H64-$H64/(1+IFERROR(INDEX(PRODUCTOS!$E$6:$E$105,MATCH($C64,PRODUCTOS!$A$6:$A$105,0)),IVA_VENTAS)))</f>
        <v/>
      </c>
      <c r="J64" s="35" t="str">
        <f aca="false">IF($C64="","",$H64-$I64)</f>
        <v/>
      </c>
      <c r="K64" s="35" t="str">
        <f aca="false">IF($C64="","",N($E64)*IFERROR(INDEX(PRODUCTOS!$H$6:$H$105,MATCH($C64,PRODUCTOS!$A$6:$A$105,0)),0))</f>
        <v/>
      </c>
      <c r="L64" s="35" t="str">
        <f aca="false">IF($C64="","",$J64-$K64)</f>
        <v/>
      </c>
      <c r="M64" s="6"/>
      <c r="N64" s="6"/>
      <c r="O64" s="46" t="str">
        <f aca="false">IF($A64="","",DATE(YEAR($A64),MONTH($A64),1))</f>
        <v/>
      </c>
    </row>
    <row r="65" customFormat="false" ht="15" hidden="false" customHeight="false" outlineLevel="0" collapsed="false">
      <c r="A65" s="44"/>
      <c r="B65" s="6"/>
      <c r="C65" s="6"/>
      <c r="D65" s="8" t="str">
        <f aca="false">IF($C65="","",IFERROR(INDEX(PRODUCTOS!$B$6:$B$105,MATCH($C65,PRODUCTOS!$A$6:$A$105,0)),"¿Código?"))</f>
        <v/>
      </c>
      <c r="E65" s="42"/>
      <c r="F65" s="35" t="str">
        <f aca="false">IF($C65="","",IFERROR(INDEX(PRODUCTOS!$D$6:$D$105,MATCH($C65,PRODUCTOS!$A$6:$A$105,0)),0))</f>
        <v/>
      </c>
      <c r="G65" s="40"/>
      <c r="H65" s="35" t="str">
        <f aca="false">IF($C65="","",N($E65)*$F65-N($G65))</f>
        <v/>
      </c>
      <c r="I65" s="35" t="str">
        <f aca="false">IF($C65="","",$H65-$H65/(1+IFERROR(INDEX(PRODUCTOS!$E$6:$E$105,MATCH($C65,PRODUCTOS!$A$6:$A$105,0)),IVA_VENTAS)))</f>
        <v/>
      </c>
      <c r="J65" s="35" t="str">
        <f aca="false">IF($C65="","",$H65-$I65)</f>
        <v/>
      </c>
      <c r="K65" s="35" t="str">
        <f aca="false">IF($C65="","",N($E65)*IFERROR(INDEX(PRODUCTOS!$H$6:$H$105,MATCH($C65,PRODUCTOS!$A$6:$A$105,0)),0))</f>
        <v/>
      </c>
      <c r="L65" s="35" t="str">
        <f aca="false">IF($C65="","",$J65-$K65)</f>
        <v/>
      </c>
      <c r="M65" s="6"/>
      <c r="N65" s="6"/>
      <c r="O65" s="46" t="str">
        <f aca="false">IF($A65="","",DATE(YEAR($A65),MONTH($A65),1))</f>
        <v/>
      </c>
    </row>
    <row r="66" customFormat="false" ht="15" hidden="false" customHeight="false" outlineLevel="0" collapsed="false">
      <c r="A66" s="44"/>
      <c r="B66" s="6"/>
      <c r="C66" s="6"/>
      <c r="D66" s="8" t="str">
        <f aca="false">IF($C66="","",IFERROR(INDEX(PRODUCTOS!$B$6:$B$105,MATCH($C66,PRODUCTOS!$A$6:$A$105,0)),"¿Código?"))</f>
        <v/>
      </c>
      <c r="E66" s="42"/>
      <c r="F66" s="35" t="str">
        <f aca="false">IF($C66="","",IFERROR(INDEX(PRODUCTOS!$D$6:$D$105,MATCH($C66,PRODUCTOS!$A$6:$A$105,0)),0))</f>
        <v/>
      </c>
      <c r="G66" s="40"/>
      <c r="H66" s="35" t="str">
        <f aca="false">IF($C66="","",N($E66)*$F66-N($G66))</f>
        <v/>
      </c>
      <c r="I66" s="35" t="str">
        <f aca="false">IF($C66="","",$H66-$H66/(1+IFERROR(INDEX(PRODUCTOS!$E$6:$E$105,MATCH($C66,PRODUCTOS!$A$6:$A$105,0)),IVA_VENTAS)))</f>
        <v/>
      </c>
      <c r="J66" s="35" t="str">
        <f aca="false">IF($C66="","",$H66-$I66)</f>
        <v/>
      </c>
      <c r="K66" s="35" t="str">
        <f aca="false">IF($C66="","",N($E66)*IFERROR(INDEX(PRODUCTOS!$H$6:$H$105,MATCH($C66,PRODUCTOS!$A$6:$A$105,0)),0))</f>
        <v/>
      </c>
      <c r="L66" s="35" t="str">
        <f aca="false">IF($C66="","",$J66-$K66)</f>
        <v/>
      </c>
      <c r="M66" s="6"/>
      <c r="N66" s="6"/>
      <c r="O66" s="46" t="str">
        <f aca="false">IF($A66="","",DATE(YEAR($A66),MONTH($A66),1))</f>
        <v/>
      </c>
    </row>
    <row r="67" customFormat="false" ht="15" hidden="false" customHeight="false" outlineLevel="0" collapsed="false">
      <c r="A67" s="44"/>
      <c r="B67" s="6"/>
      <c r="C67" s="6"/>
      <c r="D67" s="8" t="str">
        <f aca="false">IF($C67="","",IFERROR(INDEX(PRODUCTOS!$B$6:$B$105,MATCH($C67,PRODUCTOS!$A$6:$A$105,0)),"¿Código?"))</f>
        <v/>
      </c>
      <c r="E67" s="42"/>
      <c r="F67" s="35" t="str">
        <f aca="false">IF($C67="","",IFERROR(INDEX(PRODUCTOS!$D$6:$D$105,MATCH($C67,PRODUCTOS!$A$6:$A$105,0)),0))</f>
        <v/>
      </c>
      <c r="G67" s="40"/>
      <c r="H67" s="35" t="str">
        <f aca="false">IF($C67="","",N($E67)*$F67-N($G67))</f>
        <v/>
      </c>
      <c r="I67" s="35" t="str">
        <f aca="false">IF($C67="","",$H67-$H67/(1+IFERROR(INDEX(PRODUCTOS!$E$6:$E$105,MATCH($C67,PRODUCTOS!$A$6:$A$105,0)),IVA_VENTAS)))</f>
        <v/>
      </c>
      <c r="J67" s="35" t="str">
        <f aca="false">IF($C67="","",$H67-$I67)</f>
        <v/>
      </c>
      <c r="K67" s="35" t="str">
        <f aca="false">IF($C67="","",N($E67)*IFERROR(INDEX(PRODUCTOS!$H$6:$H$105,MATCH($C67,PRODUCTOS!$A$6:$A$105,0)),0))</f>
        <v/>
      </c>
      <c r="L67" s="35" t="str">
        <f aca="false">IF($C67="","",$J67-$K67)</f>
        <v/>
      </c>
      <c r="M67" s="6"/>
      <c r="N67" s="6"/>
      <c r="O67" s="46" t="str">
        <f aca="false">IF($A67="","",DATE(YEAR($A67),MONTH($A67),1))</f>
        <v/>
      </c>
    </row>
    <row r="68" customFormat="false" ht="15" hidden="false" customHeight="false" outlineLevel="0" collapsed="false">
      <c r="A68" s="44"/>
      <c r="B68" s="6"/>
      <c r="C68" s="6"/>
      <c r="D68" s="8" t="str">
        <f aca="false">IF($C68="","",IFERROR(INDEX(PRODUCTOS!$B$6:$B$105,MATCH($C68,PRODUCTOS!$A$6:$A$105,0)),"¿Código?"))</f>
        <v/>
      </c>
      <c r="E68" s="42"/>
      <c r="F68" s="35" t="str">
        <f aca="false">IF($C68="","",IFERROR(INDEX(PRODUCTOS!$D$6:$D$105,MATCH($C68,PRODUCTOS!$A$6:$A$105,0)),0))</f>
        <v/>
      </c>
      <c r="G68" s="40"/>
      <c r="H68" s="35" t="str">
        <f aca="false">IF($C68="","",N($E68)*$F68-N($G68))</f>
        <v/>
      </c>
      <c r="I68" s="35" t="str">
        <f aca="false">IF($C68="","",$H68-$H68/(1+IFERROR(INDEX(PRODUCTOS!$E$6:$E$105,MATCH($C68,PRODUCTOS!$A$6:$A$105,0)),IVA_VENTAS)))</f>
        <v/>
      </c>
      <c r="J68" s="35" t="str">
        <f aca="false">IF($C68="","",$H68-$I68)</f>
        <v/>
      </c>
      <c r="K68" s="35" t="str">
        <f aca="false">IF($C68="","",N($E68)*IFERROR(INDEX(PRODUCTOS!$H$6:$H$105,MATCH($C68,PRODUCTOS!$A$6:$A$105,0)),0))</f>
        <v/>
      </c>
      <c r="L68" s="35" t="str">
        <f aca="false">IF($C68="","",$J68-$K68)</f>
        <v/>
      </c>
      <c r="M68" s="6"/>
      <c r="N68" s="6"/>
      <c r="O68" s="46" t="str">
        <f aca="false">IF($A68="","",DATE(YEAR($A68),MONTH($A68),1))</f>
        <v/>
      </c>
    </row>
    <row r="69" customFormat="false" ht="15" hidden="false" customHeight="false" outlineLevel="0" collapsed="false">
      <c r="A69" s="44"/>
      <c r="B69" s="6"/>
      <c r="C69" s="6"/>
      <c r="D69" s="8" t="str">
        <f aca="false">IF($C69="","",IFERROR(INDEX(PRODUCTOS!$B$6:$B$105,MATCH($C69,PRODUCTOS!$A$6:$A$105,0)),"¿Código?"))</f>
        <v/>
      </c>
      <c r="E69" s="42"/>
      <c r="F69" s="35" t="str">
        <f aca="false">IF($C69="","",IFERROR(INDEX(PRODUCTOS!$D$6:$D$105,MATCH($C69,PRODUCTOS!$A$6:$A$105,0)),0))</f>
        <v/>
      </c>
      <c r="G69" s="40"/>
      <c r="H69" s="35" t="str">
        <f aca="false">IF($C69="","",N($E69)*$F69-N($G69))</f>
        <v/>
      </c>
      <c r="I69" s="35" t="str">
        <f aca="false">IF($C69="","",$H69-$H69/(1+IFERROR(INDEX(PRODUCTOS!$E$6:$E$105,MATCH($C69,PRODUCTOS!$A$6:$A$105,0)),IVA_VENTAS)))</f>
        <v/>
      </c>
      <c r="J69" s="35" t="str">
        <f aca="false">IF($C69="","",$H69-$I69)</f>
        <v/>
      </c>
      <c r="K69" s="35" t="str">
        <f aca="false">IF($C69="","",N($E69)*IFERROR(INDEX(PRODUCTOS!$H$6:$H$105,MATCH($C69,PRODUCTOS!$A$6:$A$105,0)),0))</f>
        <v/>
      </c>
      <c r="L69" s="35" t="str">
        <f aca="false">IF($C69="","",$J69-$K69)</f>
        <v/>
      </c>
      <c r="M69" s="6"/>
      <c r="N69" s="6"/>
      <c r="O69" s="46" t="str">
        <f aca="false">IF($A69="","",DATE(YEAR($A69),MONTH($A69),1))</f>
        <v/>
      </c>
    </row>
    <row r="70" customFormat="false" ht="15" hidden="false" customHeight="false" outlineLevel="0" collapsed="false">
      <c r="A70" s="44"/>
      <c r="B70" s="6"/>
      <c r="C70" s="6"/>
      <c r="D70" s="8" t="str">
        <f aca="false">IF($C70="","",IFERROR(INDEX(PRODUCTOS!$B$6:$B$105,MATCH($C70,PRODUCTOS!$A$6:$A$105,0)),"¿Código?"))</f>
        <v/>
      </c>
      <c r="E70" s="42"/>
      <c r="F70" s="35" t="str">
        <f aca="false">IF($C70="","",IFERROR(INDEX(PRODUCTOS!$D$6:$D$105,MATCH($C70,PRODUCTOS!$A$6:$A$105,0)),0))</f>
        <v/>
      </c>
      <c r="G70" s="40"/>
      <c r="H70" s="35" t="str">
        <f aca="false">IF($C70="","",N($E70)*$F70-N($G70))</f>
        <v/>
      </c>
      <c r="I70" s="35" t="str">
        <f aca="false">IF($C70="","",$H70-$H70/(1+IFERROR(INDEX(PRODUCTOS!$E$6:$E$105,MATCH($C70,PRODUCTOS!$A$6:$A$105,0)),IVA_VENTAS)))</f>
        <v/>
      </c>
      <c r="J70" s="35" t="str">
        <f aca="false">IF($C70="","",$H70-$I70)</f>
        <v/>
      </c>
      <c r="K70" s="35" t="str">
        <f aca="false">IF($C70="","",N($E70)*IFERROR(INDEX(PRODUCTOS!$H$6:$H$105,MATCH($C70,PRODUCTOS!$A$6:$A$105,0)),0))</f>
        <v/>
      </c>
      <c r="L70" s="35" t="str">
        <f aca="false">IF($C70="","",$J70-$K70)</f>
        <v/>
      </c>
      <c r="M70" s="6"/>
      <c r="N70" s="6"/>
      <c r="O70" s="46" t="str">
        <f aca="false">IF($A70="","",DATE(YEAR($A70),MONTH($A70),1))</f>
        <v/>
      </c>
    </row>
    <row r="71" customFormat="false" ht="15" hidden="false" customHeight="false" outlineLevel="0" collapsed="false">
      <c r="A71" s="44"/>
      <c r="B71" s="6"/>
      <c r="C71" s="6"/>
      <c r="D71" s="8" t="str">
        <f aca="false">IF($C71="","",IFERROR(INDEX(PRODUCTOS!$B$6:$B$105,MATCH($C71,PRODUCTOS!$A$6:$A$105,0)),"¿Código?"))</f>
        <v/>
      </c>
      <c r="E71" s="42"/>
      <c r="F71" s="35" t="str">
        <f aca="false">IF($C71="","",IFERROR(INDEX(PRODUCTOS!$D$6:$D$105,MATCH($C71,PRODUCTOS!$A$6:$A$105,0)),0))</f>
        <v/>
      </c>
      <c r="G71" s="40"/>
      <c r="H71" s="35" t="str">
        <f aca="false">IF($C71="","",N($E71)*$F71-N($G71))</f>
        <v/>
      </c>
      <c r="I71" s="35" t="str">
        <f aca="false">IF($C71="","",$H71-$H71/(1+IFERROR(INDEX(PRODUCTOS!$E$6:$E$105,MATCH($C71,PRODUCTOS!$A$6:$A$105,0)),IVA_VENTAS)))</f>
        <v/>
      </c>
      <c r="J71" s="35" t="str">
        <f aca="false">IF($C71="","",$H71-$I71)</f>
        <v/>
      </c>
      <c r="K71" s="35" t="str">
        <f aca="false">IF($C71="","",N($E71)*IFERROR(INDEX(PRODUCTOS!$H$6:$H$105,MATCH($C71,PRODUCTOS!$A$6:$A$105,0)),0))</f>
        <v/>
      </c>
      <c r="L71" s="35" t="str">
        <f aca="false">IF($C71="","",$J71-$K71)</f>
        <v/>
      </c>
      <c r="M71" s="6"/>
      <c r="N71" s="6"/>
      <c r="O71" s="46" t="str">
        <f aca="false">IF($A71="","",DATE(YEAR($A71),MONTH($A71),1))</f>
        <v/>
      </c>
    </row>
    <row r="72" customFormat="false" ht="15" hidden="false" customHeight="false" outlineLevel="0" collapsed="false">
      <c r="A72" s="44"/>
      <c r="B72" s="6"/>
      <c r="C72" s="6"/>
      <c r="D72" s="8" t="str">
        <f aca="false">IF($C72="","",IFERROR(INDEX(PRODUCTOS!$B$6:$B$105,MATCH($C72,PRODUCTOS!$A$6:$A$105,0)),"¿Código?"))</f>
        <v/>
      </c>
      <c r="E72" s="42"/>
      <c r="F72" s="35" t="str">
        <f aca="false">IF($C72="","",IFERROR(INDEX(PRODUCTOS!$D$6:$D$105,MATCH($C72,PRODUCTOS!$A$6:$A$105,0)),0))</f>
        <v/>
      </c>
      <c r="G72" s="40"/>
      <c r="H72" s="35" t="str">
        <f aca="false">IF($C72="","",N($E72)*$F72-N($G72))</f>
        <v/>
      </c>
      <c r="I72" s="35" t="str">
        <f aca="false">IF($C72="","",$H72-$H72/(1+IFERROR(INDEX(PRODUCTOS!$E$6:$E$105,MATCH($C72,PRODUCTOS!$A$6:$A$105,0)),IVA_VENTAS)))</f>
        <v/>
      </c>
      <c r="J72" s="35" t="str">
        <f aca="false">IF($C72="","",$H72-$I72)</f>
        <v/>
      </c>
      <c r="K72" s="35" t="str">
        <f aca="false">IF($C72="","",N($E72)*IFERROR(INDEX(PRODUCTOS!$H$6:$H$105,MATCH($C72,PRODUCTOS!$A$6:$A$105,0)),0))</f>
        <v/>
      </c>
      <c r="L72" s="35" t="str">
        <f aca="false">IF($C72="","",$J72-$K72)</f>
        <v/>
      </c>
      <c r="M72" s="6"/>
      <c r="N72" s="6"/>
      <c r="O72" s="46" t="str">
        <f aca="false">IF($A72="","",DATE(YEAR($A72),MONTH($A72),1))</f>
        <v/>
      </c>
    </row>
    <row r="73" customFormat="false" ht="15" hidden="false" customHeight="false" outlineLevel="0" collapsed="false">
      <c r="A73" s="44"/>
      <c r="B73" s="6"/>
      <c r="C73" s="6"/>
      <c r="D73" s="8" t="str">
        <f aca="false">IF($C73="","",IFERROR(INDEX(PRODUCTOS!$B$6:$B$105,MATCH($C73,PRODUCTOS!$A$6:$A$105,0)),"¿Código?"))</f>
        <v/>
      </c>
      <c r="E73" s="42"/>
      <c r="F73" s="35" t="str">
        <f aca="false">IF($C73="","",IFERROR(INDEX(PRODUCTOS!$D$6:$D$105,MATCH($C73,PRODUCTOS!$A$6:$A$105,0)),0))</f>
        <v/>
      </c>
      <c r="G73" s="40"/>
      <c r="H73" s="35" t="str">
        <f aca="false">IF($C73="","",N($E73)*$F73-N($G73))</f>
        <v/>
      </c>
      <c r="I73" s="35" t="str">
        <f aca="false">IF($C73="","",$H73-$H73/(1+IFERROR(INDEX(PRODUCTOS!$E$6:$E$105,MATCH($C73,PRODUCTOS!$A$6:$A$105,0)),IVA_VENTAS)))</f>
        <v/>
      </c>
      <c r="J73" s="35" t="str">
        <f aca="false">IF($C73="","",$H73-$I73)</f>
        <v/>
      </c>
      <c r="K73" s="35" t="str">
        <f aca="false">IF($C73="","",N($E73)*IFERROR(INDEX(PRODUCTOS!$H$6:$H$105,MATCH($C73,PRODUCTOS!$A$6:$A$105,0)),0))</f>
        <v/>
      </c>
      <c r="L73" s="35" t="str">
        <f aca="false">IF($C73="","",$J73-$K73)</f>
        <v/>
      </c>
      <c r="M73" s="6"/>
      <c r="N73" s="6"/>
      <c r="O73" s="46" t="str">
        <f aca="false">IF($A73="","",DATE(YEAR($A73),MONTH($A73),1))</f>
        <v/>
      </c>
    </row>
    <row r="74" customFormat="false" ht="15" hidden="false" customHeight="false" outlineLevel="0" collapsed="false">
      <c r="A74" s="44"/>
      <c r="B74" s="6"/>
      <c r="C74" s="6"/>
      <c r="D74" s="8" t="str">
        <f aca="false">IF($C74="","",IFERROR(INDEX(PRODUCTOS!$B$6:$B$105,MATCH($C74,PRODUCTOS!$A$6:$A$105,0)),"¿Código?"))</f>
        <v/>
      </c>
      <c r="E74" s="42"/>
      <c r="F74" s="35" t="str">
        <f aca="false">IF($C74="","",IFERROR(INDEX(PRODUCTOS!$D$6:$D$105,MATCH($C74,PRODUCTOS!$A$6:$A$105,0)),0))</f>
        <v/>
      </c>
      <c r="G74" s="40"/>
      <c r="H74" s="35" t="str">
        <f aca="false">IF($C74="","",N($E74)*$F74-N($G74))</f>
        <v/>
      </c>
      <c r="I74" s="35" t="str">
        <f aca="false">IF($C74="","",$H74-$H74/(1+IFERROR(INDEX(PRODUCTOS!$E$6:$E$105,MATCH($C74,PRODUCTOS!$A$6:$A$105,0)),IVA_VENTAS)))</f>
        <v/>
      </c>
      <c r="J74" s="35" t="str">
        <f aca="false">IF($C74="","",$H74-$I74)</f>
        <v/>
      </c>
      <c r="K74" s="35" t="str">
        <f aca="false">IF($C74="","",N($E74)*IFERROR(INDEX(PRODUCTOS!$H$6:$H$105,MATCH($C74,PRODUCTOS!$A$6:$A$105,0)),0))</f>
        <v/>
      </c>
      <c r="L74" s="35" t="str">
        <f aca="false">IF($C74="","",$J74-$K74)</f>
        <v/>
      </c>
      <c r="M74" s="6"/>
      <c r="N74" s="6"/>
      <c r="O74" s="46" t="str">
        <f aca="false">IF($A74="","",DATE(YEAR($A74),MONTH($A74),1))</f>
        <v/>
      </c>
    </row>
    <row r="75" customFormat="false" ht="15" hidden="false" customHeight="false" outlineLevel="0" collapsed="false">
      <c r="A75" s="44"/>
      <c r="B75" s="6"/>
      <c r="C75" s="6"/>
      <c r="D75" s="8" t="str">
        <f aca="false">IF($C75="","",IFERROR(INDEX(PRODUCTOS!$B$6:$B$105,MATCH($C75,PRODUCTOS!$A$6:$A$105,0)),"¿Código?"))</f>
        <v/>
      </c>
      <c r="E75" s="42"/>
      <c r="F75" s="35" t="str">
        <f aca="false">IF($C75="","",IFERROR(INDEX(PRODUCTOS!$D$6:$D$105,MATCH($C75,PRODUCTOS!$A$6:$A$105,0)),0))</f>
        <v/>
      </c>
      <c r="G75" s="40"/>
      <c r="H75" s="35" t="str">
        <f aca="false">IF($C75="","",N($E75)*$F75-N($G75))</f>
        <v/>
      </c>
      <c r="I75" s="35" t="str">
        <f aca="false">IF($C75="","",$H75-$H75/(1+IFERROR(INDEX(PRODUCTOS!$E$6:$E$105,MATCH($C75,PRODUCTOS!$A$6:$A$105,0)),IVA_VENTAS)))</f>
        <v/>
      </c>
      <c r="J75" s="35" t="str">
        <f aca="false">IF($C75="","",$H75-$I75)</f>
        <v/>
      </c>
      <c r="K75" s="35" t="str">
        <f aca="false">IF($C75="","",N($E75)*IFERROR(INDEX(PRODUCTOS!$H$6:$H$105,MATCH($C75,PRODUCTOS!$A$6:$A$105,0)),0))</f>
        <v/>
      </c>
      <c r="L75" s="35" t="str">
        <f aca="false">IF($C75="","",$J75-$K75)</f>
        <v/>
      </c>
      <c r="M75" s="6"/>
      <c r="N75" s="6"/>
      <c r="O75" s="46" t="str">
        <f aca="false">IF($A75="","",DATE(YEAR($A75),MONTH($A75),1))</f>
        <v/>
      </c>
    </row>
    <row r="76" customFormat="false" ht="15" hidden="false" customHeight="false" outlineLevel="0" collapsed="false">
      <c r="A76" s="44"/>
      <c r="B76" s="6"/>
      <c r="C76" s="6"/>
      <c r="D76" s="8" t="str">
        <f aca="false">IF($C76="","",IFERROR(INDEX(PRODUCTOS!$B$6:$B$105,MATCH($C76,PRODUCTOS!$A$6:$A$105,0)),"¿Código?"))</f>
        <v/>
      </c>
      <c r="E76" s="42"/>
      <c r="F76" s="35" t="str">
        <f aca="false">IF($C76="","",IFERROR(INDEX(PRODUCTOS!$D$6:$D$105,MATCH($C76,PRODUCTOS!$A$6:$A$105,0)),0))</f>
        <v/>
      </c>
      <c r="G76" s="40"/>
      <c r="H76" s="35" t="str">
        <f aca="false">IF($C76="","",N($E76)*$F76-N($G76))</f>
        <v/>
      </c>
      <c r="I76" s="35" t="str">
        <f aca="false">IF($C76="","",$H76-$H76/(1+IFERROR(INDEX(PRODUCTOS!$E$6:$E$105,MATCH($C76,PRODUCTOS!$A$6:$A$105,0)),IVA_VENTAS)))</f>
        <v/>
      </c>
      <c r="J76" s="35" t="str">
        <f aca="false">IF($C76="","",$H76-$I76)</f>
        <v/>
      </c>
      <c r="K76" s="35" t="str">
        <f aca="false">IF($C76="","",N($E76)*IFERROR(INDEX(PRODUCTOS!$H$6:$H$105,MATCH($C76,PRODUCTOS!$A$6:$A$105,0)),0))</f>
        <v/>
      </c>
      <c r="L76" s="35" t="str">
        <f aca="false">IF($C76="","",$J76-$K76)</f>
        <v/>
      </c>
      <c r="M76" s="6"/>
      <c r="N76" s="6"/>
      <c r="O76" s="46" t="str">
        <f aca="false">IF($A76="","",DATE(YEAR($A76),MONTH($A76),1))</f>
        <v/>
      </c>
    </row>
    <row r="77" customFormat="false" ht="15" hidden="false" customHeight="false" outlineLevel="0" collapsed="false">
      <c r="A77" s="44"/>
      <c r="B77" s="6"/>
      <c r="C77" s="6"/>
      <c r="D77" s="8" t="str">
        <f aca="false">IF($C77="","",IFERROR(INDEX(PRODUCTOS!$B$6:$B$105,MATCH($C77,PRODUCTOS!$A$6:$A$105,0)),"¿Código?"))</f>
        <v/>
      </c>
      <c r="E77" s="42"/>
      <c r="F77" s="35" t="str">
        <f aca="false">IF($C77="","",IFERROR(INDEX(PRODUCTOS!$D$6:$D$105,MATCH($C77,PRODUCTOS!$A$6:$A$105,0)),0))</f>
        <v/>
      </c>
      <c r="G77" s="40"/>
      <c r="H77" s="35" t="str">
        <f aca="false">IF($C77="","",N($E77)*$F77-N($G77))</f>
        <v/>
      </c>
      <c r="I77" s="35" t="str">
        <f aca="false">IF($C77="","",$H77-$H77/(1+IFERROR(INDEX(PRODUCTOS!$E$6:$E$105,MATCH($C77,PRODUCTOS!$A$6:$A$105,0)),IVA_VENTAS)))</f>
        <v/>
      </c>
      <c r="J77" s="35" t="str">
        <f aca="false">IF($C77="","",$H77-$I77)</f>
        <v/>
      </c>
      <c r="K77" s="35" t="str">
        <f aca="false">IF($C77="","",N($E77)*IFERROR(INDEX(PRODUCTOS!$H$6:$H$105,MATCH($C77,PRODUCTOS!$A$6:$A$105,0)),0))</f>
        <v/>
      </c>
      <c r="L77" s="35" t="str">
        <f aca="false">IF($C77="","",$J77-$K77)</f>
        <v/>
      </c>
      <c r="M77" s="6"/>
      <c r="N77" s="6"/>
      <c r="O77" s="46" t="str">
        <f aca="false">IF($A77="","",DATE(YEAR($A77),MONTH($A77),1))</f>
        <v/>
      </c>
    </row>
    <row r="78" customFormat="false" ht="15" hidden="false" customHeight="false" outlineLevel="0" collapsed="false">
      <c r="A78" s="44"/>
      <c r="B78" s="6"/>
      <c r="C78" s="6"/>
      <c r="D78" s="8" t="str">
        <f aca="false">IF($C78="","",IFERROR(INDEX(PRODUCTOS!$B$6:$B$105,MATCH($C78,PRODUCTOS!$A$6:$A$105,0)),"¿Código?"))</f>
        <v/>
      </c>
      <c r="E78" s="42"/>
      <c r="F78" s="35" t="str">
        <f aca="false">IF($C78="","",IFERROR(INDEX(PRODUCTOS!$D$6:$D$105,MATCH($C78,PRODUCTOS!$A$6:$A$105,0)),0))</f>
        <v/>
      </c>
      <c r="G78" s="40"/>
      <c r="H78" s="35" t="str">
        <f aca="false">IF($C78="","",N($E78)*$F78-N($G78))</f>
        <v/>
      </c>
      <c r="I78" s="35" t="str">
        <f aca="false">IF($C78="","",$H78-$H78/(1+IFERROR(INDEX(PRODUCTOS!$E$6:$E$105,MATCH($C78,PRODUCTOS!$A$6:$A$105,0)),IVA_VENTAS)))</f>
        <v/>
      </c>
      <c r="J78" s="35" t="str">
        <f aca="false">IF($C78="","",$H78-$I78)</f>
        <v/>
      </c>
      <c r="K78" s="35" t="str">
        <f aca="false">IF($C78="","",N($E78)*IFERROR(INDEX(PRODUCTOS!$H$6:$H$105,MATCH($C78,PRODUCTOS!$A$6:$A$105,0)),0))</f>
        <v/>
      </c>
      <c r="L78" s="35" t="str">
        <f aca="false">IF($C78="","",$J78-$K78)</f>
        <v/>
      </c>
      <c r="M78" s="6"/>
      <c r="N78" s="6"/>
      <c r="O78" s="46" t="str">
        <f aca="false">IF($A78="","",DATE(YEAR($A78),MONTH($A78),1))</f>
        <v/>
      </c>
    </row>
    <row r="79" customFormat="false" ht="15" hidden="false" customHeight="false" outlineLevel="0" collapsed="false">
      <c r="A79" s="44"/>
      <c r="B79" s="6"/>
      <c r="C79" s="6"/>
      <c r="D79" s="8" t="str">
        <f aca="false">IF($C79="","",IFERROR(INDEX(PRODUCTOS!$B$6:$B$105,MATCH($C79,PRODUCTOS!$A$6:$A$105,0)),"¿Código?"))</f>
        <v/>
      </c>
      <c r="E79" s="42"/>
      <c r="F79" s="35" t="str">
        <f aca="false">IF($C79="","",IFERROR(INDEX(PRODUCTOS!$D$6:$D$105,MATCH($C79,PRODUCTOS!$A$6:$A$105,0)),0))</f>
        <v/>
      </c>
      <c r="G79" s="40"/>
      <c r="H79" s="35" t="str">
        <f aca="false">IF($C79="","",N($E79)*$F79-N($G79))</f>
        <v/>
      </c>
      <c r="I79" s="35" t="str">
        <f aca="false">IF($C79="","",$H79-$H79/(1+IFERROR(INDEX(PRODUCTOS!$E$6:$E$105,MATCH($C79,PRODUCTOS!$A$6:$A$105,0)),IVA_VENTAS)))</f>
        <v/>
      </c>
      <c r="J79" s="35" t="str">
        <f aca="false">IF($C79="","",$H79-$I79)</f>
        <v/>
      </c>
      <c r="K79" s="35" t="str">
        <f aca="false">IF($C79="","",N($E79)*IFERROR(INDEX(PRODUCTOS!$H$6:$H$105,MATCH($C79,PRODUCTOS!$A$6:$A$105,0)),0))</f>
        <v/>
      </c>
      <c r="L79" s="35" t="str">
        <f aca="false">IF($C79="","",$J79-$K79)</f>
        <v/>
      </c>
      <c r="M79" s="6"/>
      <c r="N79" s="6"/>
      <c r="O79" s="46" t="str">
        <f aca="false">IF($A79="","",DATE(YEAR($A79),MONTH($A79),1))</f>
        <v/>
      </c>
    </row>
    <row r="80" customFormat="false" ht="15" hidden="false" customHeight="false" outlineLevel="0" collapsed="false">
      <c r="A80" s="44"/>
      <c r="B80" s="6"/>
      <c r="C80" s="6"/>
      <c r="D80" s="8" t="str">
        <f aca="false">IF($C80="","",IFERROR(INDEX(PRODUCTOS!$B$6:$B$105,MATCH($C80,PRODUCTOS!$A$6:$A$105,0)),"¿Código?"))</f>
        <v/>
      </c>
      <c r="E80" s="42"/>
      <c r="F80" s="35" t="str">
        <f aca="false">IF($C80="","",IFERROR(INDEX(PRODUCTOS!$D$6:$D$105,MATCH($C80,PRODUCTOS!$A$6:$A$105,0)),0))</f>
        <v/>
      </c>
      <c r="G80" s="40"/>
      <c r="H80" s="35" t="str">
        <f aca="false">IF($C80="","",N($E80)*$F80-N($G80))</f>
        <v/>
      </c>
      <c r="I80" s="35" t="str">
        <f aca="false">IF($C80="","",$H80-$H80/(1+IFERROR(INDEX(PRODUCTOS!$E$6:$E$105,MATCH($C80,PRODUCTOS!$A$6:$A$105,0)),IVA_VENTAS)))</f>
        <v/>
      </c>
      <c r="J80" s="35" t="str">
        <f aca="false">IF($C80="","",$H80-$I80)</f>
        <v/>
      </c>
      <c r="K80" s="35" t="str">
        <f aca="false">IF($C80="","",N($E80)*IFERROR(INDEX(PRODUCTOS!$H$6:$H$105,MATCH($C80,PRODUCTOS!$A$6:$A$105,0)),0))</f>
        <v/>
      </c>
      <c r="L80" s="35" t="str">
        <f aca="false">IF($C80="","",$J80-$K80)</f>
        <v/>
      </c>
      <c r="M80" s="6"/>
      <c r="N80" s="6"/>
      <c r="O80" s="46" t="str">
        <f aca="false">IF($A80="","",DATE(YEAR($A80),MONTH($A80),1))</f>
        <v/>
      </c>
    </row>
    <row r="81" customFormat="false" ht="15" hidden="false" customHeight="false" outlineLevel="0" collapsed="false">
      <c r="A81" s="44"/>
      <c r="B81" s="6"/>
      <c r="C81" s="6"/>
      <c r="D81" s="8" t="str">
        <f aca="false">IF($C81="","",IFERROR(INDEX(PRODUCTOS!$B$6:$B$105,MATCH($C81,PRODUCTOS!$A$6:$A$105,0)),"¿Código?"))</f>
        <v/>
      </c>
      <c r="E81" s="42"/>
      <c r="F81" s="35" t="str">
        <f aca="false">IF($C81="","",IFERROR(INDEX(PRODUCTOS!$D$6:$D$105,MATCH($C81,PRODUCTOS!$A$6:$A$105,0)),0))</f>
        <v/>
      </c>
      <c r="G81" s="40"/>
      <c r="H81" s="35" t="str">
        <f aca="false">IF($C81="","",N($E81)*$F81-N($G81))</f>
        <v/>
      </c>
      <c r="I81" s="35" t="str">
        <f aca="false">IF($C81="","",$H81-$H81/(1+IFERROR(INDEX(PRODUCTOS!$E$6:$E$105,MATCH($C81,PRODUCTOS!$A$6:$A$105,0)),IVA_VENTAS)))</f>
        <v/>
      </c>
      <c r="J81" s="35" t="str">
        <f aca="false">IF($C81="","",$H81-$I81)</f>
        <v/>
      </c>
      <c r="K81" s="35" t="str">
        <f aca="false">IF($C81="","",N($E81)*IFERROR(INDEX(PRODUCTOS!$H$6:$H$105,MATCH($C81,PRODUCTOS!$A$6:$A$105,0)),0))</f>
        <v/>
      </c>
      <c r="L81" s="35" t="str">
        <f aca="false">IF($C81="","",$J81-$K81)</f>
        <v/>
      </c>
      <c r="M81" s="6"/>
      <c r="N81" s="6"/>
      <c r="O81" s="46" t="str">
        <f aca="false">IF($A81="","",DATE(YEAR($A81),MONTH($A81),1))</f>
        <v/>
      </c>
    </row>
    <row r="82" customFormat="false" ht="15" hidden="false" customHeight="false" outlineLevel="0" collapsed="false">
      <c r="A82" s="44"/>
      <c r="B82" s="6"/>
      <c r="C82" s="6"/>
      <c r="D82" s="8" t="str">
        <f aca="false">IF($C82="","",IFERROR(INDEX(PRODUCTOS!$B$6:$B$105,MATCH($C82,PRODUCTOS!$A$6:$A$105,0)),"¿Código?"))</f>
        <v/>
      </c>
      <c r="E82" s="42"/>
      <c r="F82" s="35" t="str">
        <f aca="false">IF($C82="","",IFERROR(INDEX(PRODUCTOS!$D$6:$D$105,MATCH($C82,PRODUCTOS!$A$6:$A$105,0)),0))</f>
        <v/>
      </c>
      <c r="G82" s="40"/>
      <c r="H82" s="35" t="str">
        <f aca="false">IF($C82="","",N($E82)*$F82-N($G82))</f>
        <v/>
      </c>
      <c r="I82" s="35" t="str">
        <f aca="false">IF($C82="","",$H82-$H82/(1+IFERROR(INDEX(PRODUCTOS!$E$6:$E$105,MATCH($C82,PRODUCTOS!$A$6:$A$105,0)),IVA_VENTAS)))</f>
        <v/>
      </c>
      <c r="J82" s="35" t="str">
        <f aca="false">IF($C82="","",$H82-$I82)</f>
        <v/>
      </c>
      <c r="K82" s="35" t="str">
        <f aca="false">IF($C82="","",N($E82)*IFERROR(INDEX(PRODUCTOS!$H$6:$H$105,MATCH($C82,PRODUCTOS!$A$6:$A$105,0)),0))</f>
        <v/>
      </c>
      <c r="L82" s="35" t="str">
        <f aca="false">IF($C82="","",$J82-$K82)</f>
        <v/>
      </c>
      <c r="M82" s="6"/>
      <c r="N82" s="6"/>
      <c r="O82" s="46" t="str">
        <f aca="false">IF($A82="","",DATE(YEAR($A82),MONTH($A82),1))</f>
        <v/>
      </c>
    </row>
    <row r="83" customFormat="false" ht="15" hidden="false" customHeight="false" outlineLevel="0" collapsed="false">
      <c r="A83" s="44"/>
      <c r="B83" s="6"/>
      <c r="C83" s="6"/>
      <c r="D83" s="8" t="str">
        <f aca="false">IF($C83="","",IFERROR(INDEX(PRODUCTOS!$B$6:$B$105,MATCH($C83,PRODUCTOS!$A$6:$A$105,0)),"¿Código?"))</f>
        <v/>
      </c>
      <c r="E83" s="42"/>
      <c r="F83" s="35" t="str">
        <f aca="false">IF($C83="","",IFERROR(INDEX(PRODUCTOS!$D$6:$D$105,MATCH($C83,PRODUCTOS!$A$6:$A$105,0)),0))</f>
        <v/>
      </c>
      <c r="G83" s="40"/>
      <c r="H83" s="35" t="str">
        <f aca="false">IF($C83="","",N($E83)*$F83-N($G83))</f>
        <v/>
      </c>
      <c r="I83" s="35" t="str">
        <f aca="false">IF($C83="","",$H83-$H83/(1+IFERROR(INDEX(PRODUCTOS!$E$6:$E$105,MATCH($C83,PRODUCTOS!$A$6:$A$105,0)),IVA_VENTAS)))</f>
        <v/>
      </c>
      <c r="J83" s="35" t="str">
        <f aca="false">IF($C83="","",$H83-$I83)</f>
        <v/>
      </c>
      <c r="K83" s="35" t="str">
        <f aca="false">IF($C83="","",N($E83)*IFERROR(INDEX(PRODUCTOS!$H$6:$H$105,MATCH($C83,PRODUCTOS!$A$6:$A$105,0)),0))</f>
        <v/>
      </c>
      <c r="L83" s="35" t="str">
        <f aca="false">IF($C83="","",$J83-$K83)</f>
        <v/>
      </c>
      <c r="M83" s="6"/>
      <c r="N83" s="6"/>
      <c r="O83" s="46" t="str">
        <f aca="false">IF($A83="","",DATE(YEAR($A83),MONTH($A83),1))</f>
        <v/>
      </c>
    </row>
    <row r="84" customFormat="false" ht="15" hidden="false" customHeight="false" outlineLevel="0" collapsed="false">
      <c r="A84" s="44"/>
      <c r="B84" s="6"/>
      <c r="C84" s="6"/>
      <c r="D84" s="8" t="str">
        <f aca="false">IF($C84="","",IFERROR(INDEX(PRODUCTOS!$B$6:$B$105,MATCH($C84,PRODUCTOS!$A$6:$A$105,0)),"¿Código?"))</f>
        <v/>
      </c>
      <c r="E84" s="42"/>
      <c r="F84" s="35" t="str">
        <f aca="false">IF($C84="","",IFERROR(INDEX(PRODUCTOS!$D$6:$D$105,MATCH($C84,PRODUCTOS!$A$6:$A$105,0)),0))</f>
        <v/>
      </c>
      <c r="G84" s="40"/>
      <c r="H84" s="35" t="str">
        <f aca="false">IF($C84="","",N($E84)*$F84-N($G84))</f>
        <v/>
      </c>
      <c r="I84" s="35" t="str">
        <f aca="false">IF($C84="","",$H84-$H84/(1+IFERROR(INDEX(PRODUCTOS!$E$6:$E$105,MATCH($C84,PRODUCTOS!$A$6:$A$105,0)),IVA_VENTAS)))</f>
        <v/>
      </c>
      <c r="J84" s="35" t="str">
        <f aca="false">IF($C84="","",$H84-$I84)</f>
        <v/>
      </c>
      <c r="K84" s="35" t="str">
        <f aca="false">IF($C84="","",N($E84)*IFERROR(INDEX(PRODUCTOS!$H$6:$H$105,MATCH($C84,PRODUCTOS!$A$6:$A$105,0)),0))</f>
        <v/>
      </c>
      <c r="L84" s="35" t="str">
        <f aca="false">IF($C84="","",$J84-$K84)</f>
        <v/>
      </c>
      <c r="M84" s="6"/>
      <c r="N84" s="6"/>
      <c r="O84" s="46" t="str">
        <f aca="false">IF($A84="","",DATE(YEAR($A84),MONTH($A84),1))</f>
        <v/>
      </c>
    </row>
    <row r="85" customFormat="false" ht="15" hidden="false" customHeight="false" outlineLevel="0" collapsed="false">
      <c r="A85" s="44"/>
      <c r="B85" s="6"/>
      <c r="C85" s="6"/>
      <c r="D85" s="8" t="str">
        <f aca="false">IF($C85="","",IFERROR(INDEX(PRODUCTOS!$B$6:$B$105,MATCH($C85,PRODUCTOS!$A$6:$A$105,0)),"¿Código?"))</f>
        <v/>
      </c>
      <c r="E85" s="42"/>
      <c r="F85" s="35" t="str">
        <f aca="false">IF($C85="","",IFERROR(INDEX(PRODUCTOS!$D$6:$D$105,MATCH($C85,PRODUCTOS!$A$6:$A$105,0)),0))</f>
        <v/>
      </c>
      <c r="G85" s="40"/>
      <c r="H85" s="35" t="str">
        <f aca="false">IF($C85="","",N($E85)*$F85-N($G85))</f>
        <v/>
      </c>
      <c r="I85" s="35" t="str">
        <f aca="false">IF($C85="","",$H85-$H85/(1+IFERROR(INDEX(PRODUCTOS!$E$6:$E$105,MATCH($C85,PRODUCTOS!$A$6:$A$105,0)),IVA_VENTAS)))</f>
        <v/>
      </c>
      <c r="J85" s="35" t="str">
        <f aca="false">IF($C85="","",$H85-$I85)</f>
        <v/>
      </c>
      <c r="K85" s="35" t="str">
        <f aca="false">IF($C85="","",N($E85)*IFERROR(INDEX(PRODUCTOS!$H$6:$H$105,MATCH($C85,PRODUCTOS!$A$6:$A$105,0)),0))</f>
        <v/>
      </c>
      <c r="L85" s="35" t="str">
        <f aca="false">IF($C85="","",$J85-$K85)</f>
        <v/>
      </c>
      <c r="M85" s="6"/>
      <c r="N85" s="6"/>
      <c r="O85" s="46" t="str">
        <f aca="false">IF($A85="","",DATE(YEAR($A85),MONTH($A85),1))</f>
        <v/>
      </c>
    </row>
    <row r="86" customFormat="false" ht="15" hidden="false" customHeight="false" outlineLevel="0" collapsed="false">
      <c r="A86" s="44"/>
      <c r="B86" s="6"/>
      <c r="C86" s="6"/>
      <c r="D86" s="8" t="str">
        <f aca="false">IF($C86="","",IFERROR(INDEX(PRODUCTOS!$B$6:$B$105,MATCH($C86,PRODUCTOS!$A$6:$A$105,0)),"¿Código?"))</f>
        <v/>
      </c>
      <c r="E86" s="42"/>
      <c r="F86" s="35" t="str">
        <f aca="false">IF($C86="","",IFERROR(INDEX(PRODUCTOS!$D$6:$D$105,MATCH($C86,PRODUCTOS!$A$6:$A$105,0)),0))</f>
        <v/>
      </c>
      <c r="G86" s="40"/>
      <c r="H86" s="35" t="str">
        <f aca="false">IF($C86="","",N($E86)*$F86-N($G86))</f>
        <v/>
      </c>
      <c r="I86" s="35" t="str">
        <f aca="false">IF($C86="","",$H86-$H86/(1+IFERROR(INDEX(PRODUCTOS!$E$6:$E$105,MATCH($C86,PRODUCTOS!$A$6:$A$105,0)),IVA_VENTAS)))</f>
        <v/>
      </c>
      <c r="J86" s="35" t="str">
        <f aca="false">IF($C86="","",$H86-$I86)</f>
        <v/>
      </c>
      <c r="K86" s="35" t="str">
        <f aca="false">IF($C86="","",N($E86)*IFERROR(INDEX(PRODUCTOS!$H$6:$H$105,MATCH($C86,PRODUCTOS!$A$6:$A$105,0)),0))</f>
        <v/>
      </c>
      <c r="L86" s="35" t="str">
        <f aca="false">IF($C86="","",$J86-$K86)</f>
        <v/>
      </c>
      <c r="M86" s="6"/>
      <c r="N86" s="6"/>
      <c r="O86" s="46" t="str">
        <f aca="false">IF($A86="","",DATE(YEAR($A86),MONTH($A86),1))</f>
        <v/>
      </c>
    </row>
    <row r="87" customFormat="false" ht="15" hidden="false" customHeight="false" outlineLevel="0" collapsed="false">
      <c r="A87" s="44"/>
      <c r="B87" s="6"/>
      <c r="C87" s="6"/>
      <c r="D87" s="8" t="str">
        <f aca="false">IF($C87="","",IFERROR(INDEX(PRODUCTOS!$B$6:$B$105,MATCH($C87,PRODUCTOS!$A$6:$A$105,0)),"¿Código?"))</f>
        <v/>
      </c>
      <c r="E87" s="42"/>
      <c r="F87" s="35" t="str">
        <f aca="false">IF($C87="","",IFERROR(INDEX(PRODUCTOS!$D$6:$D$105,MATCH($C87,PRODUCTOS!$A$6:$A$105,0)),0))</f>
        <v/>
      </c>
      <c r="G87" s="40"/>
      <c r="H87" s="35" t="str">
        <f aca="false">IF($C87="","",N($E87)*$F87-N($G87))</f>
        <v/>
      </c>
      <c r="I87" s="35" t="str">
        <f aca="false">IF($C87="","",$H87-$H87/(1+IFERROR(INDEX(PRODUCTOS!$E$6:$E$105,MATCH($C87,PRODUCTOS!$A$6:$A$105,0)),IVA_VENTAS)))</f>
        <v/>
      </c>
      <c r="J87" s="35" t="str">
        <f aca="false">IF($C87="","",$H87-$I87)</f>
        <v/>
      </c>
      <c r="K87" s="35" t="str">
        <f aca="false">IF($C87="","",N($E87)*IFERROR(INDEX(PRODUCTOS!$H$6:$H$105,MATCH($C87,PRODUCTOS!$A$6:$A$105,0)),0))</f>
        <v/>
      </c>
      <c r="L87" s="35" t="str">
        <f aca="false">IF($C87="","",$J87-$K87)</f>
        <v/>
      </c>
      <c r="M87" s="6"/>
      <c r="N87" s="6"/>
      <c r="O87" s="46" t="str">
        <f aca="false">IF($A87="","",DATE(YEAR($A87),MONTH($A87),1))</f>
        <v/>
      </c>
    </row>
    <row r="88" customFormat="false" ht="15" hidden="false" customHeight="false" outlineLevel="0" collapsed="false">
      <c r="A88" s="44"/>
      <c r="B88" s="6"/>
      <c r="C88" s="6"/>
      <c r="D88" s="8" t="str">
        <f aca="false">IF($C88="","",IFERROR(INDEX(PRODUCTOS!$B$6:$B$105,MATCH($C88,PRODUCTOS!$A$6:$A$105,0)),"¿Código?"))</f>
        <v/>
      </c>
      <c r="E88" s="42"/>
      <c r="F88" s="35" t="str">
        <f aca="false">IF($C88="","",IFERROR(INDEX(PRODUCTOS!$D$6:$D$105,MATCH($C88,PRODUCTOS!$A$6:$A$105,0)),0))</f>
        <v/>
      </c>
      <c r="G88" s="40"/>
      <c r="H88" s="35" t="str">
        <f aca="false">IF($C88="","",N($E88)*$F88-N($G88))</f>
        <v/>
      </c>
      <c r="I88" s="35" t="str">
        <f aca="false">IF($C88="","",$H88-$H88/(1+IFERROR(INDEX(PRODUCTOS!$E$6:$E$105,MATCH($C88,PRODUCTOS!$A$6:$A$105,0)),IVA_VENTAS)))</f>
        <v/>
      </c>
      <c r="J88" s="35" t="str">
        <f aca="false">IF($C88="","",$H88-$I88)</f>
        <v/>
      </c>
      <c r="K88" s="35" t="str">
        <f aca="false">IF($C88="","",N($E88)*IFERROR(INDEX(PRODUCTOS!$H$6:$H$105,MATCH($C88,PRODUCTOS!$A$6:$A$105,0)),0))</f>
        <v/>
      </c>
      <c r="L88" s="35" t="str">
        <f aca="false">IF($C88="","",$J88-$K88)</f>
        <v/>
      </c>
      <c r="M88" s="6"/>
      <c r="N88" s="6"/>
      <c r="O88" s="46" t="str">
        <f aca="false">IF($A88="","",DATE(YEAR($A88),MONTH($A88),1))</f>
        <v/>
      </c>
    </row>
    <row r="89" customFormat="false" ht="15" hidden="false" customHeight="false" outlineLevel="0" collapsed="false">
      <c r="A89" s="44"/>
      <c r="B89" s="6"/>
      <c r="C89" s="6"/>
      <c r="D89" s="8" t="str">
        <f aca="false">IF($C89="","",IFERROR(INDEX(PRODUCTOS!$B$6:$B$105,MATCH($C89,PRODUCTOS!$A$6:$A$105,0)),"¿Código?"))</f>
        <v/>
      </c>
      <c r="E89" s="42"/>
      <c r="F89" s="35" t="str">
        <f aca="false">IF($C89="","",IFERROR(INDEX(PRODUCTOS!$D$6:$D$105,MATCH($C89,PRODUCTOS!$A$6:$A$105,0)),0))</f>
        <v/>
      </c>
      <c r="G89" s="40"/>
      <c r="H89" s="35" t="str">
        <f aca="false">IF($C89="","",N($E89)*$F89-N($G89))</f>
        <v/>
      </c>
      <c r="I89" s="35" t="str">
        <f aca="false">IF($C89="","",$H89-$H89/(1+IFERROR(INDEX(PRODUCTOS!$E$6:$E$105,MATCH($C89,PRODUCTOS!$A$6:$A$105,0)),IVA_VENTAS)))</f>
        <v/>
      </c>
      <c r="J89" s="35" t="str">
        <f aca="false">IF($C89="","",$H89-$I89)</f>
        <v/>
      </c>
      <c r="K89" s="35" t="str">
        <f aca="false">IF($C89="","",N($E89)*IFERROR(INDEX(PRODUCTOS!$H$6:$H$105,MATCH($C89,PRODUCTOS!$A$6:$A$105,0)),0))</f>
        <v/>
      </c>
      <c r="L89" s="35" t="str">
        <f aca="false">IF($C89="","",$J89-$K89)</f>
        <v/>
      </c>
      <c r="M89" s="6"/>
      <c r="N89" s="6"/>
      <c r="O89" s="46" t="str">
        <f aca="false">IF($A89="","",DATE(YEAR($A89),MONTH($A89),1))</f>
        <v/>
      </c>
    </row>
    <row r="90" customFormat="false" ht="15" hidden="false" customHeight="false" outlineLevel="0" collapsed="false">
      <c r="A90" s="44"/>
      <c r="B90" s="6"/>
      <c r="C90" s="6"/>
      <c r="D90" s="8" t="str">
        <f aca="false">IF($C90="","",IFERROR(INDEX(PRODUCTOS!$B$6:$B$105,MATCH($C90,PRODUCTOS!$A$6:$A$105,0)),"¿Código?"))</f>
        <v/>
      </c>
      <c r="E90" s="42"/>
      <c r="F90" s="35" t="str">
        <f aca="false">IF($C90="","",IFERROR(INDEX(PRODUCTOS!$D$6:$D$105,MATCH($C90,PRODUCTOS!$A$6:$A$105,0)),0))</f>
        <v/>
      </c>
      <c r="G90" s="40"/>
      <c r="H90" s="35" t="str">
        <f aca="false">IF($C90="","",N($E90)*$F90-N($G90))</f>
        <v/>
      </c>
      <c r="I90" s="35" t="str">
        <f aca="false">IF($C90="","",$H90-$H90/(1+IFERROR(INDEX(PRODUCTOS!$E$6:$E$105,MATCH($C90,PRODUCTOS!$A$6:$A$105,0)),IVA_VENTAS)))</f>
        <v/>
      </c>
      <c r="J90" s="35" t="str">
        <f aca="false">IF($C90="","",$H90-$I90)</f>
        <v/>
      </c>
      <c r="K90" s="35" t="str">
        <f aca="false">IF($C90="","",N($E90)*IFERROR(INDEX(PRODUCTOS!$H$6:$H$105,MATCH($C90,PRODUCTOS!$A$6:$A$105,0)),0))</f>
        <v/>
      </c>
      <c r="L90" s="35" t="str">
        <f aca="false">IF($C90="","",$J90-$K90)</f>
        <v/>
      </c>
      <c r="M90" s="6"/>
      <c r="N90" s="6"/>
      <c r="O90" s="46" t="str">
        <f aca="false">IF($A90="","",DATE(YEAR($A90),MONTH($A90),1))</f>
        <v/>
      </c>
    </row>
    <row r="91" customFormat="false" ht="15" hidden="false" customHeight="false" outlineLevel="0" collapsed="false">
      <c r="A91" s="44"/>
      <c r="B91" s="6"/>
      <c r="C91" s="6"/>
      <c r="D91" s="8" t="str">
        <f aca="false">IF($C91="","",IFERROR(INDEX(PRODUCTOS!$B$6:$B$105,MATCH($C91,PRODUCTOS!$A$6:$A$105,0)),"¿Código?"))</f>
        <v/>
      </c>
      <c r="E91" s="42"/>
      <c r="F91" s="35" t="str">
        <f aca="false">IF($C91="","",IFERROR(INDEX(PRODUCTOS!$D$6:$D$105,MATCH($C91,PRODUCTOS!$A$6:$A$105,0)),0))</f>
        <v/>
      </c>
      <c r="G91" s="40"/>
      <c r="H91" s="35" t="str">
        <f aca="false">IF($C91="","",N($E91)*$F91-N($G91))</f>
        <v/>
      </c>
      <c r="I91" s="35" t="str">
        <f aca="false">IF($C91="","",$H91-$H91/(1+IFERROR(INDEX(PRODUCTOS!$E$6:$E$105,MATCH($C91,PRODUCTOS!$A$6:$A$105,0)),IVA_VENTAS)))</f>
        <v/>
      </c>
      <c r="J91" s="35" t="str">
        <f aca="false">IF($C91="","",$H91-$I91)</f>
        <v/>
      </c>
      <c r="K91" s="35" t="str">
        <f aca="false">IF($C91="","",N($E91)*IFERROR(INDEX(PRODUCTOS!$H$6:$H$105,MATCH($C91,PRODUCTOS!$A$6:$A$105,0)),0))</f>
        <v/>
      </c>
      <c r="L91" s="35" t="str">
        <f aca="false">IF($C91="","",$J91-$K91)</f>
        <v/>
      </c>
      <c r="M91" s="6"/>
      <c r="N91" s="6"/>
      <c r="O91" s="46" t="str">
        <f aca="false">IF($A91="","",DATE(YEAR($A91),MONTH($A91),1))</f>
        <v/>
      </c>
    </row>
    <row r="92" customFormat="false" ht="15" hidden="false" customHeight="false" outlineLevel="0" collapsed="false">
      <c r="A92" s="44"/>
      <c r="B92" s="6"/>
      <c r="C92" s="6"/>
      <c r="D92" s="8" t="str">
        <f aca="false">IF($C92="","",IFERROR(INDEX(PRODUCTOS!$B$6:$B$105,MATCH($C92,PRODUCTOS!$A$6:$A$105,0)),"¿Código?"))</f>
        <v/>
      </c>
      <c r="E92" s="42"/>
      <c r="F92" s="35" t="str">
        <f aca="false">IF($C92="","",IFERROR(INDEX(PRODUCTOS!$D$6:$D$105,MATCH($C92,PRODUCTOS!$A$6:$A$105,0)),0))</f>
        <v/>
      </c>
      <c r="G92" s="40"/>
      <c r="H92" s="35" t="str">
        <f aca="false">IF($C92="","",N($E92)*$F92-N($G92))</f>
        <v/>
      </c>
      <c r="I92" s="35" t="str">
        <f aca="false">IF($C92="","",$H92-$H92/(1+IFERROR(INDEX(PRODUCTOS!$E$6:$E$105,MATCH($C92,PRODUCTOS!$A$6:$A$105,0)),IVA_VENTAS)))</f>
        <v/>
      </c>
      <c r="J92" s="35" t="str">
        <f aca="false">IF($C92="","",$H92-$I92)</f>
        <v/>
      </c>
      <c r="K92" s="35" t="str">
        <f aca="false">IF($C92="","",N($E92)*IFERROR(INDEX(PRODUCTOS!$H$6:$H$105,MATCH($C92,PRODUCTOS!$A$6:$A$105,0)),0))</f>
        <v/>
      </c>
      <c r="L92" s="35" t="str">
        <f aca="false">IF($C92="","",$J92-$K92)</f>
        <v/>
      </c>
      <c r="M92" s="6"/>
      <c r="N92" s="6"/>
      <c r="O92" s="46" t="str">
        <f aca="false">IF($A92="","",DATE(YEAR($A92),MONTH($A92),1))</f>
        <v/>
      </c>
    </row>
    <row r="93" customFormat="false" ht="15" hidden="false" customHeight="false" outlineLevel="0" collapsed="false">
      <c r="A93" s="44"/>
      <c r="B93" s="6"/>
      <c r="C93" s="6"/>
      <c r="D93" s="8" t="str">
        <f aca="false">IF($C93="","",IFERROR(INDEX(PRODUCTOS!$B$6:$B$105,MATCH($C93,PRODUCTOS!$A$6:$A$105,0)),"¿Código?"))</f>
        <v/>
      </c>
      <c r="E93" s="42"/>
      <c r="F93" s="35" t="str">
        <f aca="false">IF($C93="","",IFERROR(INDEX(PRODUCTOS!$D$6:$D$105,MATCH($C93,PRODUCTOS!$A$6:$A$105,0)),0))</f>
        <v/>
      </c>
      <c r="G93" s="40"/>
      <c r="H93" s="35" t="str">
        <f aca="false">IF($C93="","",N($E93)*$F93-N($G93))</f>
        <v/>
      </c>
      <c r="I93" s="35" t="str">
        <f aca="false">IF($C93="","",$H93-$H93/(1+IFERROR(INDEX(PRODUCTOS!$E$6:$E$105,MATCH($C93,PRODUCTOS!$A$6:$A$105,0)),IVA_VENTAS)))</f>
        <v/>
      </c>
      <c r="J93" s="35" t="str">
        <f aca="false">IF($C93="","",$H93-$I93)</f>
        <v/>
      </c>
      <c r="K93" s="35" t="str">
        <f aca="false">IF($C93="","",N($E93)*IFERROR(INDEX(PRODUCTOS!$H$6:$H$105,MATCH($C93,PRODUCTOS!$A$6:$A$105,0)),0))</f>
        <v/>
      </c>
      <c r="L93" s="35" t="str">
        <f aca="false">IF($C93="","",$J93-$K93)</f>
        <v/>
      </c>
      <c r="M93" s="6"/>
      <c r="N93" s="6"/>
      <c r="O93" s="46" t="str">
        <f aca="false">IF($A93="","",DATE(YEAR($A93),MONTH($A93),1))</f>
        <v/>
      </c>
    </row>
    <row r="94" customFormat="false" ht="15" hidden="false" customHeight="false" outlineLevel="0" collapsed="false">
      <c r="A94" s="44"/>
      <c r="B94" s="6"/>
      <c r="C94" s="6"/>
      <c r="D94" s="8" t="str">
        <f aca="false">IF($C94="","",IFERROR(INDEX(PRODUCTOS!$B$6:$B$105,MATCH($C94,PRODUCTOS!$A$6:$A$105,0)),"¿Código?"))</f>
        <v/>
      </c>
      <c r="E94" s="42"/>
      <c r="F94" s="35" t="str">
        <f aca="false">IF($C94="","",IFERROR(INDEX(PRODUCTOS!$D$6:$D$105,MATCH($C94,PRODUCTOS!$A$6:$A$105,0)),0))</f>
        <v/>
      </c>
      <c r="G94" s="40"/>
      <c r="H94" s="35" t="str">
        <f aca="false">IF($C94="","",N($E94)*$F94-N($G94))</f>
        <v/>
      </c>
      <c r="I94" s="35" t="str">
        <f aca="false">IF($C94="","",$H94-$H94/(1+IFERROR(INDEX(PRODUCTOS!$E$6:$E$105,MATCH($C94,PRODUCTOS!$A$6:$A$105,0)),IVA_VENTAS)))</f>
        <v/>
      </c>
      <c r="J94" s="35" t="str">
        <f aca="false">IF($C94="","",$H94-$I94)</f>
        <v/>
      </c>
      <c r="K94" s="35" t="str">
        <f aca="false">IF($C94="","",N($E94)*IFERROR(INDEX(PRODUCTOS!$H$6:$H$105,MATCH($C94,PRODUCTOS!$A$6:$A$105,0)),0))</f>
        <v/>
      </c>
      <c r="L94" s="35" t="str">
        <f aca="false">IF($C94="","",$J94-$K94)</f>
        <v/>
      </c>
      <c r="M94" s="6"/>
      <c r="N94" s="6"/>
      <c r="O94" s="46" t="str">
        <f aca="false">IF($A94="","",DATE(YEAR($A94),MONTH($A94),1))</f>
        <v/>
      </c>
    </row>
    <row r="95" customFormat="false" ht="15" hidden="false" customHeight="false" outlineLevel="0" collapsed="false">
      <c r="A95" s="44"/>
      <c r="B95" s="6"/>
      <c r="C95" s="6"/>
      <c r="D95" s="8" t="str">
        <f aca="false">IF($C95="","",IFERROR(INDEX(PRODUCTOS!$B$6:$B$105,MATCH($C95,PRODUCTOS!$A$6:$A$105,0)),"¿Código?"))</f>
        <v/>
      </c>
      <c r="E95" s="42"/>
      <c r="F95" s="35" t="str">
        <f aca="false">IF($C95="","",IFERROR(INDEX(PRODUCTOS!$D$6:$D$105,MATCH($C95,PRODUCTOS!$A$6:$A$105,0)),0))</f>
        <v/>
      </c>
      <c r="G95" s="40"/>
      <c r="H95" s="35" t="str">
        <f aca="false">IF($C95="","",N($E95)*$F95-N($G95))</f>
        <v/>
      </c>
      <c r="I95" s="35" t="str">
        <f aca="false">IF($C95="","",$H95-$H95/(1+IFERROR(INDEX(PRODUCTOS!$E$6:$E$105,MATCH($C95,PRODUCTOS!$A$6:$A$105,0)),IVA_VENTAS)))</f>
        <v/>
      </c>
      <c r="J95" s="35" t="str">
        <f aca="false">IF($C95="","",$H95-$I95)</f>
        <v/>
      </c>
      <c r="K95" s="35" t="str">
        <f aca="false">IF($C95="","",N($E95)*IFERROR(INDEX(PRODUCTOS!$H$6:$H$105,MATCH($C95,PRODUCTOS!$A$6:$A$105,0)),0))</f>
        <v/>
      </c>
      <c r="L95" s="35" t="str">
        <f aca="false">IF($C95="","",$J95-$K95)</f>
        <v/>
      </c>
      <c r="M95" s="6"/>
      <c r="N95" s="6"/>
      <c r="O95" s="46" t="str">
        <f aca="false">IF($A95="","",DATE(YEAR($A95),MONTH($A95),1))</f>
        <v/>
      </c>
    </row>
    <row r="96" customFormat="false" ht="15" hidden="false" customHeight="false" outlineLevel="0" collapsed="false">
      <c r="A96" s="44"/>
      <c r="B96" s="6"/>
      <c r="C96" s="6"/>
      <c r="D96" s="8" t="str">
        <f aca="false">IF($C96="","",IFERROR(INDEX(PRODUCTOS!$B$6:$B$105,MATCH($C96,PRODUCTOS!$A$6:$A$105,0)),"¿Código?"))</f>
        <v/>
      </c>
      <c r="E96" s="42"/>
      <c r="F96" s="35" t="str">
        <f aca="false">IF($C96="","",IFERROR(INDEX(PRODUCTOS!$D$6:$D$105,MATCH($C96,PRODUCTOS!$A$6:$A$105,0)),0))</f>
        <v/>
      </c>
      <c r="G96" s="40"/>
      <c r="H96" s="35" t="str">
        <f aca="false">IF($C96="","",N($E96)*$F96-N($G96))</f>
        <v/>
      </c>
      <c r="I96" s="35" t="str">
        <f aca="false">IF($C96="","",$H96-$H96/(1+IFERROR(INDEX(PRODUCTOS!$E$6:$E$105,MATCH($C96,PRODUCTOS!$A$6:$A$105,0)),IVA_VENTAS)))</f>
        <v/>
      </c>
      <c r="J96" s="35" t="str">
        <f aca="false">IF($C96="","",$H96-$I96)</f>
        <v/>
      </c>
      <c r="K96" s="35" t="str">
        <f aca="false">IF($C96="","",N($E96)*IFERROR(INDEX(PRODUCTOS!$H$6:$H$105,MATCH($C96,PRODUCTOS!$A$6:$A$105,0)),0))</f>
        <v/>
      </c>
      <c r="L96" s="35" t="str">
        <f aca="false">IF($C96="","",$J96-$K96)</f>
        <v/>
      </c>
      <c r="M96" s="6"/>
      <c r="N96" s="6"/>
      <c r="O96" s="46" t="str">
        <f aca="false">IF($A96="","",DATE(YEAR($A96),MONTH($A96),1))</f>
        <v/>
      </c>
    </row>
    <row r="97" customFormat="false" ht="15" hidden="false" customHeight="false" outlineLevel="0" collapsed="false">
      <c r="A97" s="44"/>
      <c r="B97" s="6"/>
      <c r="C97" s="6"/>
      <c r="D97" s="8" t="str">
        <f aca="false">IF($C97="","",IFERROR(INDEX(PRODUCTOS!$B$6:$B$105,MATCH($C97,PRODUCTOS!$A$6:$A$105,0)),"¿Código?"))</f>
        <v/>
      </c>
      <c r="E97" s="42"/>
      <c r="F97" s="35" t="str">
        <f aca="false">IF($C97="","",IFERROR(INDEX(PRODUCTOS!$D$6:$D$105,MATCH($C97,PRODUCTOS!$A$6:$A$105,0)),0))</f>
        <v/>
      </c>
      <c r="G97" s="40"/>
      <c r="H97" s="35" t="str">
        <f aca="false">IF($C97="","",N($E97)*$F97-N($G97))</f>
        <v/>
      </c>
      <c r="I97" s="35" t="str">
        <f aca="false">IF($C97="","",$H97-$H97/(1+IFERROR(INDEX(PRODUCTOS!$E$6:$E$105,MATCH($C97,PRODUCTOS!$A$6:$A$105,0)),IVA_VENTAS)))</f>
        <v/>
      </c>
      <c r="J97" s="35" t="str">
        <f aca="false">IF($C97="","",$H97-$I97)</f>
        <v/>
      </c>
      <c r="K97" s="35" t="str">
        <f aca="false">IF($C97="","",N($E97)*IFERROR(INDEX(PRODUCTOS!$H$6:$H$105,MATCH($C97,PRODUCTOS!$A$6:$A$105,0)),0))</f>
        <v/>
      </c>
      <c r="L97" s="35" t="str">
        <f aca="false">IF($C97="","",$J97-$K97)</f>
        <v/>
      </c>
      <c r="M97" s="6"/>
      <c r="N97" s="6"/>
      <c r="O97" s="46" t="str">
        <f aca="false">IF($A97="","",DATE(YEAR($A97),MONTH($A97),1))</f>
        <v/>
      </c>
    </row>
    <row r="98" customFormat="false" ht="15" hidden="false" customHeight="false" outlineLevel="0" collapsed="false">
      <c r="A98" s="44"/>
      <c r="B98" s="6"/>
      <c r="C98" s="6"/>
      <c r="D98" s="8" t="str">
        <f aca="false">IF($C98="","",IFERROR(INDEX(PRODUCTOS!$B$6:$B$105,MATCH($C98,PRODUCTOS!$A$6:$A$105,0)),"¿Código?"))</f>
        <v/>
      </c>
      <c r="E98" s="42"/>
      <c r="F98" s="35" t="str">
        <f aca="false">IF($C98="","",IFERROR(INDEX(PRODUCTOS!$D$6:$D$105,MATCH($C98,PRODUCTOS!$A$6:$A$105,0)),0))</f>
        <v/>
      </c>
      <c r="G98" s="40"/>
      <c r="H98" s="35" t="str">
        <f aca="false">IF($C98="","",N($E98)*$F98-N($G98))</f>
        <v/>
      </c>
      <c r="I98" s="35" t="str">
        <f aca="false">IF($C98="","",$H98-$H98/(1+IFERROR(INDEX(PRODUCTOS!$E$6:$E$105,MATCH($C98,PRODUCTOS!$A$6:$A$105,0)),IVA_VENTAS)))</f>
        <v/>
      </c>
      <c r="J98" s="35" t="str">
        <f aca="false">IF($C98="","",$H98-$I98)</f>
        <v/>
      </c>
      <c r="K98" s="35" t="str">
        <f aca="false">IF($C98="","",N($E98)*IFERROR(INDEX(PRODUCTOS!$H$6:$H$105,MATCH($C98,PRODUCTOS!$A$6:$A$105,0)),0))</f>
        <v/>
      </c>
      <c r="L98" s="35" t="str">
        <f aca="false">IF($C98="","",$J98-$K98)</f>
        <v/>
      </c>
      <c r="M98" s="6"/>
      <c r="N98" s="6"/>
      <c r="O98" s="46" t="str">
        <f aca="false">IF($A98="","",DATE(YEAR($A98),MONTH($A98),1))</f>
        <v/>
      </c>
    </row>
    <row r="99" customFormat="false" ht="15" hidden="false" customHeight="false" outlineLevel="0" collapsed="false">
      <c r="A99" s="44"/>
      <c r="B99" s="6"/>
      <c r="C99" s="6"/>
      <c r="D99" s="8" t="str">
        <f aca="false">IF($C99="","",IFERROR(INDEX(PRODUCTOS!$B$6:$B$105,MATCH($C99,PRODUCTOS!$A$6:$A$105,0)),"¿Código?"))</f>
        <v/>
      </c>
      <c r="E99" s="42"/>
      <c r="F99" s="35" t="str">
        <f aca="false">IF($C99="","",IFERROR(INDEX(PRODUCTOS!$D$6:$D$105,MATCH($C99,PRODUCTOS!$A$6:$A$105,0)),0))</f>
        <v/>
      </c>
      <c r="G99" s="40"/>
      <c r="H99" s="35" t="str">
        <f aca="false">IF($C99="","",N($E99)*$F99-N($G99))</f>
        <v/>
      </c>
      <c r="I99" s="35" t="str">
        <f aca="false">IF($C99="","",$H99-$H99/(1+IFERROR(INDEX(PRODUCTOS!$E$6:$E$105,MATCH($C99,PRODUCTOS!$A$6:$A$105,0)),IVA_VENTAS)))</f>
        <v/>
      </c>
      <c r="J99" s="35" t="str">
        <f aca="false">IF($C99="","",$H99-$I99)</f>
        <v/>
      </c>
      <c r="K99" s="35" t="str">
        <f aca="false">IF($C99="","",N($E99)*IFERROR(INDEX(PRODUCTOS!$H$6:$H$105,MATCH($C99,PRODUCTOS!$A$6:$A$105,0)),0))</f>
        <v/>
      </c>
      <c r="L99" s="35" t="str">
        <f aca="false">IF($C99="","",$J99-$K99)</f>
        <v/>
      </c>
      <c r="M99" s="6"/>
      <c r="N99" s="6"/>
      <c r="O99" s="46" t="str">
        <f aca="false">IF($A99="","",DATE(YEAR($A99),MONTH($A99),1))</f>
        <v/>
      </c>
    </row>
    <row r="100" customFormat="false" ht="15" hidden="false" customHeight="false" outlineLevel="0" collapsed="false">
      <c r="A100" s="44"/>
      <c r="B100" s="6"/>
      <c r="C100" s="6"/>
      <c r="D100" s="8" t="str">
        <f aca="false">IF($C100="","",IFERROR(INDEX(PRODUCTOS!$B$6:$B$105,MATCH($C100,PRODUCTOS!$A$6:$A$105,0)),"¿Código?"))</f>
        <v/>
      </c>
      <c r="E100" s="42"/>
      <c r="F100" s="35" t="str">
        <f aca="false">IF($C100="","",IFERROR(INDEX(PRODUCTOS!$D$6:$D$105,MATCH($C100,PRODUCTOS!$A$6:$A$105,0)),0))</f>
        <v/>
      </c>
      <c r="G100" s="40"/>
      <c r="H100" s="35" t="str">
        <f aca="false">IF($C100="","",N($E100)*$F100-N($G100))</f>
        <v/>
      </c>
      <c r="I100" s="35" t="str">
        <f aca="false">IF($C100="","",$H100-$H100/(1+IFERROR(INDEX(PRODUCTOS!$E$6:$E$105,MATCH($C100,PRODUCTOS!$A$6:$A$105,0)),IVA_VENTAS)))</f>
        <v/>
      </c>
      <c r="J100" s="35" t="str">
        <f aca="false">IF($C100="","",$H100-$I100)</f>
        <v/>
      </c>
      <c r="K100" s="35" t="str">
        <f aca="false">IF($C100="","",N($E100)*IFERROR(INDEX(PRODUCTOS!$H$6:$H$105,MATCH($C100,PRODUCTOS!$A$6:$A$105,0)),0))</f>
        <v/>
      </c>
      <c r="L100" s="35" t="str">
        <f aca="false">IF($C100="","",$J100-$K100)</f>
        <v/>
      </c>
      <c r="M100" s="6"/>
      <c r="N100" s="6"/>
      <c r="O100" s="46" t="str">
        <f aca="false">IF($A100="","",DATE(YEAR($A100),MONTH($A100),1))</f>
        <v/>
      </c>
    </row>
    <row r="101" customFormat="false" ht="15" hidden="false" customHeight="false" outlineLevel="0" collapsed="false">
      <c r="A101" s="44"/>
      <c r="B101" s="6"/>
      <c r="C101" s="6"/>
      <c r="D101" s="8" t="str">
        <f aca="false">IF($C101="","",IFERROR(INDEX(PRODUCTOS!$B$6:$B$105,MATCH($C101,PRODUCTOS!$A$6:$A$105,0)),"¿Código?"))</f>
        <v/>
      </c>
      <c r="E101" s="42"/>
      <c r="F101" s="35" t="str">
        <f aca="false">IF($C101="","",IFERROR(INDEX(PRODUCTOS!$D$6:$D$105,MATCH($C101,PRODUCTOS!$A$6:$A$105,0)),0))</f>
        <v/>
      </c>
      <c r="G101" s="40"/>
      <c r="H101" s="35" t="str">
        <f aca="false">IF($C101="","",N($E101)*$F101-N($G101))</f>
        <v/>
      </c>
      <c r="I101" s="35" t="str">
        <f aca="false">IF($C101="","",$H101-$H101/(1+IFERROR(INDEX(PRODUCTOS!$E$6:$E$105,MATCH($C101,PRODUCTOS!$A$6:$A$105,0)),IVA_VENTAS)))</f>
        <v/>
      </c>
      <c r="J101" s="35" t="str">
        <f aca="false">IF($C101="","",$H101-$I101)</f>
        <v/>
      </c>
      <c r="K101" s="35" t="str">
        <f aca="false">IF($C101="","",N($E101)*IFERROR(INDEX(PRODUCTOS!$H$6:$H$105,MATCH($C101,PRODUCTOS!$A$6:$A$105,0)),0))</f>
        <v/>
      </c>
      <c r="L101" s="35" t="str">
        <f aca="false">IF($C101="","",$J101-$K101)</f>
        <v/>
      </c>
      <c r="M101" s="6"/>
      <c r="N101" s="6"/>
      <c r="O101" s="46" t="str">
        <f aca="false">IF($A101="","",DATE(YEAR($A101),MONTH($A101),1))</f>
        <v/>
      </c>
    </row>
    <row r="102" customFormat="false" ht="15" hidden="false" customHeight="false" outlineLevel="0" collapsed="false">
      <c r="A102" s="44"/>
      <c r="B102" s="6"/>
      <c r="C102" s="6"/>
      <c r="D102" s="8" t="str">
        <f aca="false">IF($C102="","",IFERROR(INDEX(PRODUCTOS!$B$6:$B$105,MATCH($C102,PRODUCTOS!$A$6:$A$105,0)),"¿Código?"))</f>
        <v/>
      </c>
      <c r="E102" s="42"/>
      <c r="F102" s="35" t="str">
        <f aca="false">IF($C102="","",IFERROR(INDEX(PRODUCTOS!$D$6:$D$105,MATCH($C102,PRODUCTOS!$A$6:$A$105,0)),0))</f>
        <v/>
      </c>
      <c r="G102" s="40"/>
      <c r="H102" s="35" t="str">
        <f aca="false">IF($C102="","",N($E102)*$F102-N($G102))</f>
        <v/>
      </c>
      <c r="I102" s="35" t="str">
        <f aca="false">IF($C102="","",$H102-$H102/(1+IFERROR(INDEX(PRODUCTOS!$E$6:$E$105,MATCH($C102,PRODUCTOS!$A$6:$A$105,0)),IVA_VENTAS)))</f>
        <v/>
      </c>
      <c r="J102" s="35" t="str">
        <f aca="false">IF($C102="","",$H102-$I102)</f>
        <v/>
      </c>
      <c r="K102" s="35" t="str">
        <f aca="false">IF($C102="","",N($E102)*IFERROR(INDEX(PRODUCTOS!$H$6:$H$105,MATCH($C102,PRODUCTOS!$A$6:$A$105,0)),0))</f>
        <v/>
      </c>
      <c r="L102" s="35" t="str">
        <f aca="false">IF($C102="","",$J102-$K102)</f>
        <v/>
      </c>
      <c r="M102" s="6"/>
      <c r="N102" s="6"/>
      <c r="O102" s="46" t="str">
        <f aca="false">IF($A102="","",DATE(YEAR($A102),MONTH($A102),1))</f>
        <v/>
      </c>
    </row>
    <row r="103" customFormat="false" ht="15" hidden="false" customHeight="false" outlineLevel="0" collapsed="false">
      <c r="A103" s="44"/>
      <c r="B103" s="6"/>
      <c r="C103" s="6"/>
      <c r="D103" s="8" t="str">
        <f aca="false">IF($C103="","",IFERROR(INDEX(PRODUCTOS!$B$6:$B$105,MATCH($C103,PRODUCTOS!$A$6:$A$105,0)),"¿Código?"))</f>
        <v/>
      </c>
      <c r="E103" s="42"/>
      <c r="F103" s="35" t="str">
        <f aca="false">IF($C103="","",IFERROR(INDEX(PRODUCTOS!$D$6:$D$105,MATCH($C103,PRODUCTOS!$A$6:$A$105,0)),0))</f>
        <v/>
      </c>
      <c r="G103" s="40"/>
      <c r="H103" s="35" t="str">
        <f aca="false">IF($C103="","",N($E103)*$F103-N($G103))</f>
        <v/>
      </c>
      <c r="I103" s="35" t="str">
        <f aca="false">IF($C103="","",$H103-$H103/(1+IFERROR(INDEX(PRODUCTOS!$E$6:$E$105,MATCH($C103,PRODUCTOS!$A$6:$A$105,0)),IVA_VENTAS)))</f>
        <v/>
      </c>
      <c r="J103" s="35" t="str">
        <f aca="false">IF($C103="","",$H103-$I103)</f>
        <v/>
      </c>
      <c r="K103" s="35" t="str">
        <f aca="false">IF($C103="","",N($E103)*IFERROR(INDEX(PRODUCTOS!$H$6:$H$105,MATCH($C103,PRODUCTOS!$A$6:$A$105,0)),0))</f>
        <v/>
      </c>
      <c r="L103" s="35" t="str">
        <f aca="false">IF($C103="","",$J103-$K103)</f>
        <v/>
      </c>
      <c r="M103" s="6"/>
      <c r="N103" s="6"/>
      <c r="O103" s="46" t="str">
        <f aca="false">IF($A103="","",DATE(YEAR($A103),MONTH($A103),1))</f>
        <v/>
      </c>
    </row>
    <row r="104" customFormat="false" ht="15" hidden="false" customHeight="false" outlineLevel="0" collapsed="false">
      <c r="A104" s="44"/>
      <c r="B104" s="6"/>
      <c r="C104" s="6"/>
      <c r="D104" s="8" t="str">
        <f aca="false">IF($C104="","",IFERROR(INDEX(PRODUCTOS!$B$6:$B$105,MATCH($C104,PRODUCTOS!$A$6:$A$105,0)),"¿Código?"))</f>
        <v/>
      </c>
      <c r="E104" s="42"/>
      <c r="F104" s="35" t="str">
        <f aca="false">IF($C104="","",IFERROR(INDEX(PRODUCTOS!$D$6:$D$105,MATCH($C104,PRODUCTOS!$A$6:$A$105,0)),0))</f>
        <v/>
      </c>
      <c r="G104" s="40"/>
      <c r="H104" s="35" t="str">
        <f aca="false">IF($C104="","",N($E104)*$F104-N($G104))</f>
        <v/>
      </c>
      <c r="I104" s="35" t="str">
        <f aca="false">IF($C104="","",$H104-$H104/(1+IFERROR(INDEX(PRODUCTOS!$E$6:$E$105,MATCH($C104,PRODUCTOS!$A$6:$A$105,0)),IVA_VENTAS)))</f>
        <v/>
      </c>
      <c r="J104" s="35" t="str">
        <f aca="false">IF($C104="","",$H104-$I104)</f>
        <v/>
      </c>
      <c r="K104" s="35" t="str">
        <f aca="false">IF($C104="","",N($E104)*IFERROR(INDEX(PRODUCTOS!$H$6:$H$105,MATCH($C104,PRODUCTOS!$A$6:$A$105,0)),0))</f>
        <v/>
      </c>
      <c r="L104" s="35" t="str">
        <f aca="false">IF($C104="","",$J104-$K104)</f>
        <v/>
      </c>
      <c r="M104" s="6"/>
      <c r="N104" s="6"/>
      <c r="O104" s="46" t="str">
        <f aca="false">IF($A104="","",DATE(YEAR($A104),MONTH($A104),1))</f>
        <v/>
      </c>
    </row>
    <row r="105" customFormat="false" ht="15" hidden="false" customHeight="false" outlineLevel="0" collapsed="false">
      <c r="A105" s="44"/>
      <c r="B105" s="6"/>
      <c r="C105" s="6"/>
      <c r="D105" s="8" t="str">
        <f aca="false">IF($C105="","",IFERROR(INDEX(PRODUCTOS!$B$6:$B$105,MATCH($C105,PRODUCTOS!$A$6:$A$105,0)),"¿Código?"))</f>
        <v/>
      </c>
      <c r="E105" s="42"/>
      <c r="F105" s="35" t="str">
        <f aca="false">IF($C105="","",IFERROR(INDEX(PRODUCTOS!$D$6:$D$105,MATCH($C105,PRODUCTOS!$A$6:$A$105,0)),0))</f>
        <v/>
      </c>
      <c r="G105" s="40"/>
      <c r="H105" s="35" t="str">
        <f aca="false">IF($C105="","",N($E105)*$F105-N($G105))</f>
        <v/>
      </c>
      <c r="I105" s="35" t="str">
        <f aca="false">IF($C105="","",$H105-$H105/(1+IFERROR(INDEX(PRODUCTOS!$E$6:$E$105,MATCH($C105,PRODUCTOS!$A$6:$A$105,0)),IVA_VENTAS)))</f>
        <v/>
      </c>
      <c r="J105" s="35" t="str">
        <f aca="false">IF($C105="","",$H105-$I105)</f>
        <v/>
      </c>
      <c r="K105" s="35" t="str">
        <f aca="false">IF($C105="","",N($E105)*IFERROR(INDEX(PRODUCTOS!$H$6:$H$105,MATCH($C105,PRODUCTOS!$A$6:$A$105,0)),0))</f>
        <v/>
      </c>
      <c r="L105" s="35" t="str">
        <f aca="false">IF($C105="","",$J105-$K105)</f>
        <v/>
      </c>
      <c r="M105" s="6"/>
      <c r="N105" s="6"/>
      <c r="O105" s="46" t="str">
        <f aca="false">IF($A105="","",DATE(YEAR($A105),MONTH($A105),1))</f>
        <v/>
      </c>
    </row>
    <row r="106" customFormat="false" ht="15" hidden="false" customHeight="false" outlineLevel="0" collapsed="false">
      <c r="A106" s="44"/>
      <c r="B106" s="6"/>
      <c r="C106" s="6"/>
      <c r="D106" s="8" t="str">
        <f aca="false">IF($C106="","",IFERROR(INDEX(PRODUCTOS!$B$6:$B$105,MATCH($C106,PRODUCTOS!$A$6:$A$105,0)),"¿Código?"))</f>
        <v/>
      </c>
      <c r="E106" s="42"/>
      <c r="F106" s="35" t="str">
        <f aca="false">IF($C106="","",IFERROR(INDEX(PRODUCTOS!$D$6:$D$105,MATCH($C106,PRODUCTOS!$A$6:$A$105,0)),0))</f>
        <v/>
      </c>
      <c r="G106" s="40"/>
      <c r="H106" s="35" t="str">
        <f aca="false">IF($C106="","",N($E106)*$F106-N($G106))</f>
        <v/>
      </c>
      <c r="I106" s="35" t="str">
        <f aca="false">IF($C106="","",$H106-$H106/(1+IFERROR(INDEX(PRODUCTOS!$E$6:$E$105,MATCH($C106,PRODUCTOS!$A$6:$A$105,0)),IVA_VENTAS)))</f>
        <v/>
      </c>
      <c r="J106" s="35" t="str">
        <f aca="false">IF($C106="","",$H106-$I106)</f>
        <v/>
      </c>
      <c r="K106" s="35" t="str">
        <f aca="false">IF($C106="","",N($E106)*IFERROR(INDEX(PRODUCTOS!$H$6:$H$105,MATCH($C106,PRODUCTOS!$A$6:$A$105,0)),0))</f>
        <v/>
      </c>
      <c r="L106" s="35" t="str">
        <f aca="false">IF($C106="","",$J106-$K106)</f>
        <v/>
      </c>
      <c r="M106" s="6"/>
      <c r="N106" s="6"/>
      <c r="O106" s="46" t="str">
        <f aca="false">IF($A106="","",DATE(YEAR($A106),MONTH($A106),1))</f>
        <v/>
      </c>
    </row>
    <row r="107" customFormat="false" ht="15" hidden="false" customHeight="false" outlineLevel="0" collapsed="false">
      <c r="A107" s="44"/>
      <c r="B107" s="6"/>
      <c r="C107" s="6"/>
      <c r="D107" s="8" t="str">
        <f aca="false">IF($C107="","",IFERROR(INDEX(PRODUCTOS!$B$6:$B$105,MATCH($C107,PRODUCTOS!$A$6:$A$105,0)),"¿Código?"))</f>
        <v/>
      </c>
      <c r="E107" s="42"/>
      <c r="F107" s="35" t="str">
        <f aca="false">IF($C107="","",IFERROR(INDEX(PRODUCTOS!$D$6:$D$105,MATCH($C107,PRODUCTOS!$A$6:$A$105,0)),0))</f>
        <v/>
      </c>
      <c r="G107" s="40"/>
      <c r="H107" s="35" t="str">
        <f aca="false">IF($C107="","",N($E107)*$F107-N($G107))</f>
        <v/>
      </c>
      <c r="I107" s="35" t="str">
        <f aca="false">IF($C107="","",$H107-$H107/(1+IFERROR(INDEX(PRODUCTOS!$E$6:$E$105,MATCH($C107,PRODUCTOS!$A$6:$A$105,0)),IVA_VENTAS)))</f>
        <v/>
      </c>
      <c r="J107" s="35" t="str">
        <f aca="false">IF($C107="","",$H107-$I107)</f>
        <v/>
      </c>
      <c r="K107" s="35" t="str">
        <f aca="false">IF($C107="","",N($E107)*IFERROR(INDEX(PRODUCTOS!$H$6:$H$105,MATCH($C107,PRODUCTOS!$A$6:$A$105,0)),0))</f>
        <v/>
      </c>
      <c r="L107" s="35" t="str">
        <f aca="false">IF($C107="","",$J107-$K107)</f>
        <v/>
      </c>
      <c r="M107" s="6"/>
      <c r="N107" s="6"/>
      <c r="O107" s="46" t="str">
        <f aca="false">IF($A107="","",DATE(YEAR($A107),MONTH($A107),1))</f>
        <v/>
      </c>
    </row>
    <row r="108" customFormat="false" ht="15" hidden="false" customHeight="false" outlineLevel="0" collapsed="false">
      <c r="A108" s="44"/>
      <c r="B108" s="6"/>
      <c r="C108" s="6"/>
      <c r="D108" s="8" t="str">
        <f aca="false">IF($C108="","",IFERROR(INDEX(PRODUCTOS!$B$6:$B$105,MATCH($C108,PRODUCTOS!$A$6:$A$105,0)),"¿Código?"))</f>
        <v/>
      </c>
      <c r="E108" s="42"/>
      <c r="F108" s="35" t="str">
        <f aca="false">IF($C108="","",IFERROR(INDEX(PRODUCTOS!$D$6:$D$105,MATCH($C108,PRODUCTOS!$A$6:$A$105,0)),0))</f>
        <v/>
      </c>
      <c r="G108" s="40"/>
      <c r="H108" s="35" t="str">
        <f aca="false">IF($C108="","",N($E108)*$F108-N($G108))</f>
        <v/>
      </c>
      <c r="I108" s="35" t="str">
        <f aca="false">IF($C108="","",$H108-$H108/(1+IFERROR(INDEX(PRODUCTOS!$E$6:$E$105,MATCH($C108,PRODUCTOS!$A$6:$A$105,0)),IVA_VENTAS)))</f>
        <v/>
      </c>
      <c r="J108" s="35" t="str">
        <f aca="false">IF($C108="","",$H108-$I108)</f>
        <v/>
      </c>
      <c r="K108" s="35" t="str">
        <f aca="false">IF($C108="","",N($E108)*IFERROR(INDEX(PRODUCTOS!$H$6:$H$105,MATCH($C108,PRODUCTOS!$A$6:$A$105,0)),0))</f>
        <v/>
      </c>
      <c r="L108" s="35" t="str">
        <f aca="false">IF($C108="","",$J108-$K108)</f>
        <v/>
      </c>
      <c r="M108" s="6"/>
      <c r="N108" s="6"/>
      <c r="O108" s="46" t="str">
        <f aca="false">IF($A108="","",DATE(YEAR($A108),MONTH($A108),1))</f>
        <v/>
      </c>
    </row>
    <row r="109" customFormat="false" ht="15" hidden="false" customHeight="false" outlineLevel="0" collapsed="false">
      <c r="A109" s="44"/>
      <c r="B109" s="6"/>
      <c r="C109" s="6"/>
      <c r="D109" s="8" t="str">
        <f aca="false">IF($C109="","",IFERROR(INDEX(PRODUCTOS!$B$6:$B$105,MATCH($C109,PRODUCTOS!$A$6:$A$105,0)),"¿Código?"))</f>
        <v/>
      </c>
      <c r="E109" s="42"/>
      <c r="F109" s="35" t="str">
        <f aca="false">IF($C109="","",IFERROR(INDEX(PRODUCTOS!$D$6:$D$105,MATCH($C109,PRODUCTOS!$A$6:$A$105,0)),0))</f>
        <v/>
      </c>
      <c r="G109" s="40"/>
      <c r="H109" s="35" t="str">
        <f aca="false">IF($C109="","",N($E109)*$F109-N($G109))</f>
        <v/>
      </c>
      <c r="I109" s="35" t="str">
        <f aca="false">IF($C109="","",$H109-$H109/(1+IFERROR(INDEX(PRODUCTOS!$E$6:$E$105,MATCH($C109,PRODUCTOS!$A$6:$A$105,0)),IVA_VENTAS)))</f>
        <v/>
      </c>
      <c r="J109" s="35" t="str">
        <f aca="false">IF($C109="","",$H109-$I109)</f>
        <v/>
      </c>
      <c r="K109" s="35" t="str">
        <f aca="false">IF($C109="","",N($E109)*IFERROR(INDEX(PRODUCTOS!$H$6:$H$105,MATCH($C109,PRODUCTOS!$A$6:$A$105,0)),0))</f>
        <v/>
      </c>
      <c r="L109" s="35" t="str">
        <f aca="false">IF($C109="","",$J109-$K109)</f>
        <v/>
      </c>
      <c r="M109" s="6"/>
      <c r="N109" s="6"/>
      <c r="O109" s="46" t="str">
        <f aca="false">IF($A109="","",DATE(YEAR($A109),MONTH($A109),1))</f>
        <v/>
      </c>
    </row>
    <row r="110" customFormat="false" ht="15" hidden="false" customHeight="false" outlineLevel="0" collapsed="false">
      <c r="A110" s="44"/>
      <c r="B110" s="6"/>
      <c r="C110" s="6"/>
      <c r="D110" s="8" t="str">
        <f aca="false">IF($C110="","",IFERROR(INDEX(PRODUCTOS!$B$6:$B$105,MATCH($C110,PRODUCTOS!$A$6:$A$105,0)),"¿Código?"))</f>
        <v/>
      </c>
      <c r="E110" s="42"/>
      <c r="F110" s="35" t="str">
        <f aca="false">IF($C110="","",IFERROR(INDEX(PRODUCTOS!$D$6:$D$105,MATCH($C110,PRODUCTOS!$A$6:$A$105,0)),0))</f>
        <v/>
      </c>
      <c r="G110" s="40"/>
      <c r="H110" s="35" t="str">
        <f aca="false">IF($C110="","",N($E110)*$F110-N($G110))</f>
        <v/>
      </c>
      <c r="I110" s="35" t="str">
        <f aca="false">IF($C110="","",$H110-$H110/(1+IFERROR(INDEX(PRODUCTOS!$E$6:$E$105,MATCH($C110,PRODUCTOS!$A$6:$A$105,0)),IVA_VENTAS)))</f>
        <v/>
      </c>
      <c r="J110" s="35" t="str">
        <f aca="false">IF($C110="","",$H110-$I110)</f>
        <v/>
      </c>
      <c r="K110" s="35" t="str">
        <f aca="false">IF($C110="","",N($E110)*IFERROR(INDEX(PRODUCTOS!$H$6:$H$105,MATCH($C110,PRODUCTOS!$A$6:$A$105,0)),0))</f>
        <v/>
      </c>
      <c r="L110" s="35" t="str">
        <f aca="false">IF($C110="","",$J110-$K110)</f>
        <v/>
      </c>
      <c r="M110" s="6"/>
      <c r="N110" s="6"/>
      <c r="O110" s="46" t="str">
        <f aca="false">IF($A110="","",DATE(YEAR($A110),MONTH($A110),1))</f>
        <v/>
      </c>
    </row>
    <row r="111" customFormat="false" ht="15" hidden="false" customHeight="false" outlineLevel="0" collapsed="false">
      <c r="A111" s="44"/>
      <c r="B111" s="6"/>
      <c r="C111" s="6"/>
      <c r="D111" s="8" t="str">
        <f aca="false">IF($C111="","",IFERROR(INDEX(PRODUCTOS!$B$6:$B$105,MATCH($C111,PRODUCTOS!$A$6:$A$105,0)),"¿Código?"))</f>
        <v/>
      </c>
      <c r="E111" s="42"/>
      <c r="F111" s="35" t="str">
        <f aca="false">IF($C111="","",IFERROR(INDEX(PRODUCTOS!$D$6:$D$105,MATCH($C111,PRODUCTOS!$A$6:$A$105,0)),0))</f>
        <v/>
      </c>
      <c r="G111" s="40"/>
      <c r="H111" s="35" t="str">
        <f aca="false">IF($C111="","",N($E111)*$F111-N($G111))</f>
        <v/>
      </c>
      <c r="I111" s="35" t="str">
        <f aca="false">IF($C111="","",$H111-$H111/(1+IFERROR(INDEX(PRODUCTOS!$E$6:$E$105,MATCH($C111,PRODUCTOS!$A$6:$A$105,0)),IVA_VENTAS)))</f>
        <v/>
      </c>
      <c r="J111" s="35" t="str">
        <f aca="false">IF($C111="","",$H111-$I111)</f>
        <v/>
      </c>
      <c r="K111" s="35" t="str">
        <f aca="false">IF($C111="","",N($E111)*IFERROR(INDEX(PRODUCTOS!$H$6:$H$105,MATCH($C111,PRODUCTOS!$A$6:$A$105,0)),0))</f>
        <v/>
      </c>
      <c r="L111" s="35" t="str">
        <f aca="false">IF($C111="","",$J111-$K111)</f>
        <v/>
      </c>
      <c r="M111" s="6"/>
      <c r="N111" s="6"/>
      <c r="O111" s="46" t="str">
        <f aca="false">IF($A111="","",DATE(YEAR($A111),MONTH($A111),1))</f>
        <v/>
      </c>
    </row>
    <row r="112" customFormat="false" ht="15" hidden="false" customHeight="false" outlineLevel="0" collapsed="false">
      <c r="A112" s="44"/>
      <c r="B112" s="6"/>
      <c r="C112" s="6"/>
      <c r="D112" s="8" t="str">
        <f aca="false">IF($C112="","",IFERROR(INDEX(PRODUCTOS!$B$6:$B$105,MATCH($C112,PRODUCTOS!$A$6:$A$105,0)),"¿Código?"))</f>
        <v/>
      </c>
      <c r="E112" s="42"/>
      <c r="F112" s="35" t="str">
        <f aca="false">IF($C112="","",IFERROR(INDEX(PRODUCTOS!$D$6:$D$105,MATCH($C112,PRODUCTOS!$A$6:$A$105,0)),0))</f>
        <v/>
      </c>
      <c r="G112" s="40"/>
      <c r="H112" s="35" t="str">
        <f aca="false">IF($C112="","",N($E112)*$F112-N($G112))</f>
        <v/>
      </c>
      <c r="I112" s="35" t="str">
        <f aca="false">IF($C112="","",$H112-$H112/(1+IFERROR(INDEX(PRODUCTOS!$E$6:$E$105,MATCH($C112,PRODUCTOS!$A$6:$A$105,0)),IVA_VENTAS)))</f>
        <v/>
      </c>
      <c r="J112" s="35" t="str">
        <f aca="false">IF($C112="","",$H112-$I112)</f>
        <v/>
      </c>
      <c r="K112" s="35" t="str">
        <f aca="false">IF($C112="","",N($E112)*IFERROR(INDEX(PRODUCTOS!$H$6:$H$105,MATCH($C112,PRODUCTOS!$A$6:$A$105,0)),0))</f>
        <v/>
      </c>
      <c r="L112" s="35" t="str">
        <f aca="false">IF($C112="","",$J112-$K112)</f>
        <v/>
      </c>
      <c r="M112" s="6"/>
      <c r="N112" s="6"/>
      <c r="O112" s="46" t="str">
        <f aca="false">IF($A112="","",DATE(YEAR($A112),MONTH($A112),1))</f>
        <v/>
      </c>
    </row>
    <row r="113" customFormat="false" ht="15" hidden="false" customHeight="false" outlineLevel="0" collapsed="false">
      <c r="A113" s="44"/>
      <c r="B113" s="6"/>
      <c r="C113" s="6"/>
      <c r="D113" s="8" t="str">
        <f aca="false">IF($C113="","",IFERROR(INDEX(PRODUCTOS!$B$6:$B$105,MATCH($C113,PRODUCTOS!$A$6:$A$105,0)),"¿Código?"))</f>
        <v/>
      </c>
      <c r="E113" s="42"/>
      <c r="F113" s="35" t="str">
        <f aca="false">IF($C113="","",IFERROR(INDEX(PRODUCTOS!$D$6:$D$105,MATCH($C113,PRODUCTOS!$A$6:$A$105,0)),0))</f>
        <v/>
      </c>
      <c r="G113" s="40"/>
      <c r="H113" s="35" t="str">
        <f aca="false">IF($C113="","",N($E113)*$F113-N($G113))</f>
        <v/>
      </c>
      <c r="I113" s="35" t="str">
        <f aca="false">IF($C113="","",$H113-$H113/(1+IFERROR(INDEX(PRODUCTOS!$E$6:$E$105,MATCH($C113,PRODUCTOS!$A$6:$A$105,0)),IVA_VENTAS)))</f>
        <v/>
      </c>
      <c r="J113" s="35" t="str">
        <f aca="false">IF($C113="","",$H113-$I113)</f>
        <v/>
      </c>
      <c r="K113" s="35" t="str">
        <f aca="false">IF($C113="","",N($E113)*IFERROR(INDEX(PRODUCTOS!$H$6:$H$105,MATCH($C113,PRODUCTOS!$A$6:$A$105,0)),0))</f>
        <v/>
      </c>
      <c r="L113" s="35" t="str">
        <f aca="false">IF($C113="","",$J113-$K113)</f>
        <v/>
      </c>
      <c r="M113" s="6"/>
      <c r="N113" s="6"/>
      <c r="O113" s="46" t="str">
        <f aca="false">IF($A113="","",DATE(YEAR($A113),MONTH($A113),1))</f>
        <v/>
      </c>
    </row>
    <row r="114" customFormat="false" ht="15" hidden="false" customHeight="false" outlineLevel="0" collapsed="false">
      <c r="A114" s="44"/>
      <c r="B114" s="6"/>
      <c r="C114" s="6"/>
      <c r="D114" s="8" t="str">
        <f aca="false">IF($C114="","",IFERROR(INDEX(PRODUCTOS!$B$6:$B$105,MATCH($C114,PRODUCTOS!$A$6:$A$105,0)),"¿Código?"))</f>
        <v/>
      </c>
      <c r="E114" s="42"/>
      <c r="F114" s="35" t="str">
        <f aca="false">IF($C114="","",IFERROR(INDEX(PRODUCTOS!$D$6:$D$105,MATCH($C114,PRODUCTOS!$A$6:$A$105,0)),0))</f>
        <v/>
      </c>
      <c r="G114" s="40"/>
      <c r="H114" s="35" t="str">
        <f aca="false">IF($C114="","",N($E114)*$F114-N($G114))</f>
        <v/>
      </c>
      <c r="I114" s="35" t="str">
        <f aca="false">IF($C114="","",$H114-$H114/(1+IFERROR(INDEX(PRODUCTOS!$E$6:$E$105,MATCH($C114,PRODUCTOS!$A$6:$A$105,0)),IVA_VENTAS)))</f>
        <v/>
      </c>
      <c r="J114" s="35" t="str">
        <f aca="false">IF($C114="","",$H114-$I114)</f>
        <v/>
      </c>
      <c r="K114" s="35" t="str">
        <f aca="false">IF($C114="","",N($E114)*IFERROR(INDEX(PRODUCTOS!$H$6:$H$105,MATCH($C114,PRODUCTOS!$A$6:$A$105,0)),0))</f>
        <v/>
      </c>
      <c r="L114" s="35" t="str">
        <f aca="false">IF($C114="","",$J114-$K114)</f>
        <v/>
      </c>
      <c r="M114" s="6"/>
      <c r="N114" s="6"/>
      <c r="O114" s="46" t="str">
        <f aca="false">IF($A114="","",DATE(YEAR($A114),MONTH($A114),1))</f>
        <v/>
      </c>
    </row>
    <row r="115" customFormat="false" ht="15" hidden="false" customHeight="false" outlineLevel="0" collapsed="false">
      <c r="A115" s="44"/>
      <c r="B115" s="6"/>
      <c r="C115" s="6"/>
      <c r="D115" s="8" t="str">
        <f aca="false">IF($C115="","",IFERROR(INDEX(PRODUCTOS!$B$6:$B$105,MATCH($C115,PRODUCTOS!$A$6:$A$105,0)),"¿Código?"))</f>
        <v/>
      </c>
      <c r="E115" s="42"/>
      <c r="F115" s="35" t="str">
        <f aca="false">IF($C115="","",IFERROR(INDEX(PRODUCTOS!$D$6:$D$105,MATCH($C115,PRODUCTOS!$A$6:$A$105,0)),0))</f>
        <v/>
      </c>
      <c r="G115" s="40"/>
      <c r="H115" s="35" t="str">
        <f aca="false">IF($C115="","",N($E115)*$F115-N($G115))</f>
        <v/>
      </c>
      <c r="I115" s="35" t="str">
        <f aca="false">IF($C115="","",$H115-$H115/(1+IFERROR(INDEX(PRODUCTOS!$E$6:$E$105,MATCH($C115,PRODUCTOS!$A$6:$A$105,0)),IVA_VENTAS)))</f>
        <v/>
      </c>
      <c r="J115" s="35" t="str">
        <f aca="false">IF($C115="","",$H115-$I115)</f>
        <v/>
      </c>
      <c r="K115" s="35" t="str">
        <f aca="false">IF($C115="","",N($E115)*IFERROR(INDEX(PRODUCTOS!$H$6:$H$105,MATCH($C115,PRODUCTOS!$A$6:$A$105,0)),0))</f>
        <v/>
      </c>
      <c r="L115" s="35" t="str">
        <f aca="false">IF($C115="","",$J115-$K115)</f>
        <v/>
      </c>
      <c r="M115" s="6"/>
      <c r="N115" s="6"/>
      <c r="O115" s="46" t="str">
        <f aca="false">IF($A115="","",DATE(YEAR($A115),MONTH($A115),1))</f>
        <v/>
      </c>
    </row>
    <row r="116" customFormat="false" ht="15" hidden="false" customHeight="false" outlineLevel="0" collapsed="false">
      <c r="A116" s="44"/>
      <c r="B116" s="6"/>
      <c r="C116" s="6"/>
      <c r="D116" s="8" t="str">
        <f aca="false">IF($C116="","",IFERROR(INDEX(PRODUCTOS!$B$6:$B$105,MATCH($C116,PRODUCTOS!$A$6:$A$105,0)),"¿Código?"))</f>
        <v/>
      </c>
      <c r="E116" s="42"/>
      <c r="F116" s="35" t="str">
        <f aca="false">IF($C116="","",IFERROR(INDEX(PRODUCTOS!$D$6:$D$105,MATCH($C116,PRODUCTOS!$A$6:$A$105,0)),0))</f>
        <v/>
      </c>
      <c r="G116" s="40"/>
      <c r="H116" s="35" t="str">
        <f aca="false">IF($C116="","",N($E116)*$F116-N($G116))</f>
        <v/>
      </c>
      <c r="I116" s="35" t="str">
        <f aca="false">IF($C116="","",$H116-$H116/(1+IFERROR(INDEX(PRODUCTOS!$E$6:$E$105,MATCH($C116,PRODUCTOS!$A$6:$A$105,0)),IVA_VENTAS)))</f>
        <v/>
      </c>
      <c r="J116" s="35" t="str">
        <f aca="false">IF($C116="","",$H116-$I116)</f>
        <v/>
      </c>
      <c r="K116" s="35" t="str">
        <f aca="false">IF($C116="","",N($E116)*IFERROR(INDEX(PRODUCTOS!$H$6:$H$105,MATCH($C116,PRODUCTOS!$A$6:$A$105,0)),0))</f>
        <v/>
      </c>
      <c r="L116" s="35" t="str">
        <f aca="false">IF($C116="","",$J116-$K116)</f>
        <v/>
      </c>
      <c r="M116" s="6"/>
      <c r="N116" s="6"/>
      <c r="O116" s="46" t="str">
        <f aca="false">IF($A116="","",DATE(YEAR($A116),MONTH($A116),1))</f>
        <v/>
      </c>
    </row>
    <row r="117" customFormat="false" ht="15" hidden="false" customHeight="false" outlineLevel="0" collapsed="false">
      <c r="A117" s="44"/>
      <c r="B117" s="6"/>
      <c r="C117" s="6"/>
      <c r="D117" s="8" t="str">
        <f aca="false">IF($C117="","",IFERROR(INDEX(PRODUCTOS!$B$6:$B$105,MATCH($C117,PRODUCTOS!$A$6:$A$105,0)),"¿Código?"))</f>
        <v/>
      </c>
      <c r="E117" s="42"/>
      <c r="F117" s="35" t="str">
        <f aca="false">IF($C117="","",IFERROR(INDEX(PRODUCTOS!$D$6:$D$105,MATCH($C117,PRODUCTOS!$A$6:$A$105,0)),0))</f>
        <v/>
      </c>
      <c r="G117" s="40"/>
      <c r="H117" s="35" t="str">
        <f aca="false">IF($C117="","",N($E117)*$F117-N($G117))</f>
        <v/>
      </c>
      <c r="I117" s="35" t="str">
        <f aca="false">IF($C117="","",$H117-$H117/(1+IFERROR(INDEX(PRODUCTOS!$E$6:$E$105,MATCH($C117,PRODUCTOS!$A$6:$A$105,0)),IVA_VENTAS)))</f>
        <v/>
      </c>
      <c r="J117" s="35" t="str">
        <f aca="false">IF($C117="","",$H117-$I117)</f>
        <v/>
      </c>
      <c r="K117" s="35" t="str">
        <f aca="false">IF($C117="","",N($E117)*IFERROR(INDEX(PRODUCTOS!$H$6:$H$105,MATCH($C117,PRODUCTOS!$A$6:$A$105,0)),0))</f>
        <v/>
      </c>
      <c r="L117" s="35" t="str">
        <f aca="false">IF($C117="","",$J117-$K117)</f>
        <v/>
      </c>
      <c r="M117" s="6"/>
      <c r="N117" s="6"/>
      <c r="O117" s="46" t="str">
        <f aca="false">IF($A117="","",DATE(YEAR($A117),MONTH($A117),1))</f>
        <v/>
      </c>
    </row>
    <row r="118" customFormat="false" ht="15" hidden="false" customHeight="false" outlineLevel="0" collapsed="false">
      <c r="A118" s="44"/>
      <c r="B118" s="6"/>
      <c r="C118" s="6"/>
      <c r="D118" s="8" t="str">
        <f aca="false">IF($C118="","",IFERROR(INDEX(PRODUCTOS!$B$6:$B$105,MATCH($C118,PRODUCTOS!$A$6:$A$105,0)),"¿Código?"))</f>
        <v/>
      </c>
      <c r="E118" s="42"/>
      <c r="F118" s="35" t="str">
        <f aca="false">IF($C118="","",IFERROR(INDEX(PRODUCTOS!$D$6:$D$105,MATCH($C118,PRODUCTOS!$A$6:$A$105,0)),0))</f>
        <v/>
      </c>
      <c r="G118" s="40"/>
      <c r="H118" s="35" t="str">
        <f aca="false">IF($C118="","",N($E118)*$F118-N($G118))</f>
        <v/>
      </c>
      <c r="I118" s="35" t="str">
        <f aca="false">IF($C118="","",$H118-$H118/(1+IFERROR(INDEX(PRODUCTOS!$E$6:$E$105,MATCH($C118,PRODUCTOS!$A$6:$A$105,0)),IVA_VENTAS)))</f>
        <v/>
      </c>
      <c r="J118" s="35" t="str">
        <f aca="false">IF($C118="","",$H118-$I118)</f>
        <v/>
      </c>
      <c r="K118" s="35" t="str">
        <f aca="false">IF($C118="","",N($E118)*IFERROR(INDEX(PRODUCTOS!$H$6:$H$105,MATCH($C118,PRODUCTOS!$A$6:$A$105,0)),0))</f>
        <v/>
      </c>
      <c r="L118" s="35" t="str">
        <f aca="false">IF($C118="","",$J118-$K118)</f>
        <v/>
      </c>
      <c r="M118" s="6"/>
      <c r="N118" s="6"/>
      <c r="O118" s="46" t="str">
        <f aca="false">IF($A118="","",DATE(YEAR($A118),MONTH($A118),1))</f>
        <v/>
      </c>
    </row>
    <row r="119" customFormat="false" ht="15" hidden="false" customHeight="false" outlineLevel="0" collapsed="false">
      <c r="A119" s="44"/>
      <c r="B119" s="6"/>
      <c r="C119" s="6"/>
      <c r="D119" s="8" t="str">
        <f aca="false">IF($C119="","",IFERROR(INDEX(PRODUCTOS!$B$6:$B$105,MATCH($C119,PRODUCTOS!$A$6:$A$105,0)),"¿Código?"))</f>
        <v/>
      </c>
      <c r="E119" s="42"/>
      <c r="F119" s="35" t="str">
        <f aca="false">IF($C119="","",IFERROR(INDEX(PRODUCTOS!$D$6:$D$105,MATCH($C119,PRODUCTOS!$A$6:$A$105,0)),0))</f>
        <v/>
      </c>
      <c r="G119" s="40"/>
      <c r="H119" s="35" t="str">
        <f aca="false">IF($C119="","",N($E119)*$F119-N($G119))</f>
        <v/>
      </c>
      <c r="I119" s="35" t="str">
        <f aca="false">IF($C119="","",$H119-$H119/(1+IFERROR(INDEX(PRODUCTOS!$E$6:$E$105,MATCH($C119,PRODUCTOS!$A$6:$A$105,0)),IVA_VENTAS)))</f>
        <v/>
      </c>
      <c r="J119" s="35" t="str">
        <f aca="false">IF($C119="","",$H119-$I119)</f>
        <v/>
      </c>
      <c r="K119" s="35" t="str">
        <f aca="false">IF($C119="","",N($E119)*IFERROR(INDEX(PRODUCTOS!$H$6:$H$105,MATCH($C119,PRODUCTOS!$A$6:$A$105,0)),0))</f>
        <v/>
      </c>
      <c r="L119" s="35" t="str">
        <f aca="false">IF($C119="","",$J119-$K119)</f>
        <v/>
      </c>
      <c r="M119" s="6"/>
      <c r="N119" s="6"/>
      <c r="O119" s="46" t="str">
        <f aca="false">IF($A119="","",DATE(YEAR($A119),MONTH($A119),1))</f>
        <v/>
      </c>
    </row>
    <row r="120" customFormat="false" ht="15" hidden="false" customHeight="false" outlineLevel="0" collapsed="false">
      <c r="A120" s="44"/>
      <c r="B120" s="6"/>
      <c r="C120" s="6"/>
      <c r="D120" s="8" t="str">
        <f aca="false">IF($C120="","",IFERROR(INDEX(PRODUCTOS!$B$6:$B$105,MATCH($C120,PRODUCTOS!$A$6:$A$105,0)),"¿Código?"))</f>
        <v/>
      </c>
      <c r="E120" s="42"/>
      <c r="F120" s="35" t="str">
        <f aca="false">IF($C120="","",IFERROR(INDEX(PRODUCTOS!$D$6:$D$105,MATCH($C120,PRODUCTOS!$A$6:$A$105,0)),0))</f>
        <v/>
      </c>
      <c r="G120" s="40"/>
      <c r="H120" s="35" t="str">
        <f aca="false">IF($C120="","",N($E120)*$F120-N($G120))</f>
        <v/>
      </c>
      <c r="I120" s="35" t="str">
        <f aca="false">IF($C120="","",$H120-$H120/(1+IFERROR(INDEX(PRODUCTOS!$E$6:$E$105,MATCH($C120,PRODUCTOS!$A$6:$A$105,0)),IVA_VENTAS)))</f>
        <v/>
      </c>
      <c r="J120" s="35" t="str">
        <f aca="false">IF($C120="","",$H120-$I120)</f>
        <v/>
      </c>
      <c r="K120" s="35" t="str">
        <f aca="false">IF($C120="","",N($E120)*IFERROR(INDEX(PRODUCTOS!$H$6:$H$105,MATCH($C120,PRODUCTOS!$A$6:$A$105,0)),0))</f>
        <v/>
      </c>
      <c r="L120" s="35" t="str">
        <f aca="false">IF($C120="","",$J120-$K120)</f>
        <v/>
      </c>
      <c r="M120" s="6"/>
      <c r="N120" s="6"/>
      <c r="O120" s="46" t="str">
        <f aca="false">IF($A120="","",DATE(YEAR($A120),MONTH($A120),1))</f>
        <v/>
      </c>
    </row>
    <row r="121" customFormat="false" ht="15" hidden="false" customHeight="false" outlineLevel="0" collapsed="false">
      <c r="A121" s="44"/>
      <c r="B121" s="6"/>
      <c r="C121" s="6"/>
      <c r="D121" s="8" t="str">
        <f aca="false">IF($C121="","",IFERROR(INDEX(PRODUCTOS!$B$6:$B$105,MATCH($C121,PRODUCTOS!$A$6:$A$105,0)),"¿Código?"))</f>
        <v/>
      </c>
      <c r="E121" s="42"/>
      <c r="F121" s="35" t="str">
        <f aca="false">IF($C121="","",IFERROR(INDEX(PRODUCTOS!$D$6:$D$105,MATCH($C121,PRODUCTOS!$A$6:$A$105,0)),0))</f>
        <v/>
      </c>
      <c r="G121" s="40"/>
      <c r="H121" s="35" t="str">
        <f aca="false">IF($C121="","",N($E121)*$F121-N($G121))</f>
        <v/>
      </c>
      <c r="I121" s="35" t="str">
        <f aca="false">IF($C121="","",$H121-$H121/(1+IFERROR(INDEX(PRODUCTOS!$E$6:$E$105,MATCH($C121,PRODUCTOS!$A$6:$A$105,0)),IVA_VENTAS)))</f>
        <v/>
      </c>
      <c r="J121" s="35" t="str">
        <f aca="false">IF($C121="","",$H121-$I121)</f>
        <v/>
      </c>
      <c r="K121" s="35" t="str">
        <f aca="false">IF($C121="","",N($E121)*IFERROR(INDEX(PRODUCTOS!$H$6:$H$105,MATCH($C121,PRODUCTOS!$A$6:$A$105,0)),0))</f>
        <v/>
      </c>
      <c r="L121" s="35" t="str">
        <f aca="false">IF($C121="","",$J121-$K121)</f>
        <v/>
      </c>
      <c r="M121" s="6"/>
      <c r="N121" s="6"/>
      <c r="O121" s="46" t="str">
        <f aca="false">IF($A121="","",DATE(YEAR($A121),MONTH($A121),1))</f>
        <v/>
      </c>
    </row>
    <row r="122" customFormat="false" ht="15" hidden="false" customHeight="false" outlineLevel="0" collapsed="false">
      <c r="A122" s="44"/>
      <c r="B122" s="6"/>
      <c r="C122" s="6"/>
      <c r="D122" s="8" t="str">
        <f aca="false">IF($C122="","",IFERROR(INDEX(PRODUCTOS!$B$6:$B$105,MATCH($C122,PRODUCTOS!$A$6:$A$105,0)),"¿Código?"))</f>
        <v/>
      </c>
      <c r="E122" s="42"/>
      <c r="F122" s="35" t="str">
        <f aca="false">IF($C122="","",IFERROR(INDEX(PRODUCTOS!$D$6:$D$105,MATCH($C122,PRODUCTOS!$A$6:$A$105,0)),0))</f>
        <v/>
      </c>
      <c r="G122" s="40"/>
      <c r="H122" s="35" t="str">
        <f aca="false">IF($C122="","",N($E122)*$F122-N($G122))</f>
        <v/>
      </c>
      <c r="I122" s="35" t="str">
        <f aca="false">IF($C122="","",$H122-$H122/(1+IFERROR(INDEX(PRODUCTOS!$E$6:$E$105,MATCH($C122,PRODUCTOS!$A$6:$A$105,0)),IVA_VENTAS)))</f>
        <v/>
      </c>
      <c r="J122" s="35" t="str">
        <f aca="false">IF($C122="","",$H122-$I122)</f>
        <v/>
      </c>
      <c r="K122" s="35" t="str">
        <f aca="false">IF($C122="","",N($E122)*IFERROR(INDEX(PRODUCTOS!$H$6:$H$105,MATCH($C122,PRODUCTOS!$A$6:$A$105,0)),0))</f>
        <v/>
      </c>
      <c r="L122" s="35" t="str">
        <f aca="false">IF($C122="","",$J122-$K122)</f>
        <v/>
      </c>
      <c r="M122" s="6"/>
      <c r="N122" s="6"/>
      <c r="O122" s="46" t="str">
        <f aca="false">IF($A122="","",DATE(YEAR($A122),MONTH($A122),1))</f>
        <v/>
      </c>
    </row>
    <row r="123" customFormat="false" ht="15" hidden="false" customHeight="false" outlineLevel="0" collapsed="false">
      <c r="A123" s="44"/>
      <c r="B123" s="6"/>
      <c r="C123" s="6"/>
      <c r="D123" s="8" t="str">
        <f aca="false">IF($C123="","",IFERROR(INDEX(PRODUCTOS!$B$6:$B$105,MATCH($C123,PRODUCTOS!$A$6:$A$105,0)),"¿Código?"))</f>
        <v/>
      </c>
      <c r="E123" s="42"/>
      <c r="F123" s="35" t="str">
        <f aca="false">IF($C123="","",IFERROR(INDEX(PRODUCTOS!$D$6:$D$105,MATCH($C123,PRODUCTOS!$A$6:$A$105,0)),0))</f>
        <v/>
      </c>
      <c r="G123" s="40"/>
      <c r="H123" s="35" t="str">
        <f aca="false">IF($C123="","",N($E123)*$F123-N($G123))</f>
        <v/>
      </c>
      <c r="I123" s="35" t="str">
        <f aca="false">IF($C123="","",$H123-$H123/(1+IFERROR(INDEX(PRODUCTOS!$E$6:$E$105,MATCH($C123,PRODUCTOS!$A$6:$A$105,0)),IVA_VENTAS)))</f>
        <v/>
      </c>
      <c r="J123" s="35" t="str">
        <f aca="false">IF($C123="","",$H123-$I123)</f>
        <v/>
      </c>
      <c r="K123" s="35" t="str">
        <f aca="false">IF($C123="","",N($E123)*IFERROR(INDEX(PRODUCTOS!$H$6:$H$105,MATCH($C123,PRODUCTOS!$A$6:$A$105,0)),0))</f>
        <v/>
      </c>
      <c r="L123" s="35" t="str">
        <f aca="false">IF($C123="","",$J123-$K123)</f>
        <v/>
      </c>
      <c r="M123" s="6"/>
      <c r="N123" s="6"/>
      <c r="O123" s="46" t="str">
        <f aca="false">IF($A123="","",DATE(YEAR($A123),MONTH($A123),1))</f>
        <v/>
      </c>
    </row>
    <row r="124" customFormat="false" ht="15" hidden="false" customHeight="false" outlineLevel="0" collapsed="false">
      <c r="A124" s="44"/>
      <c r="B124" s="6"/>
      <c r="C124" s="6"/>
      <c r="D124" s="8" t="str">
        <f aca="false">IF($C124="","",IFERROR(INDEX(PRODUCTOS!$B$6:$B$105,MATCH($C124,PRODUCTOS!$A$6:$A$105,0)),"¿Código?"))</f>
        <v/>
      </c>
      <c r="E124" s="42"/>
      <c r="F124" s="35" t="str">
        <f aca="false">IF($C124="","",IFERROR(INDEX(PRODUCTOS!$D$6:$D$105,MATCH($C124,PRODUCTOS!$A$6:$A$105,0)),0))</f>
        <v/>
      </c>
      <c r="G124" s="40"/>
      <c r="H124" s="35" t="str">
        <f aca="false">IF($C124="","",N($E124)*$F124-N($G124))</f>
        <v/>
      </c>
      <c r="I124" s="35" t="str">
        <f aca="false">IF($C124="","",$H124-$H124/(1+IFERROR(INDEX(PRODUCTOS!$E$6:$E$105,MATCH($C124,PRODUCTOS!$A$6:$A$105,0)),IVA_VENTAS)))</f>
        <v/>
      </c>
      <c r="J124" s="35" t="str">
        <f aca="false">IF($C124="","",$H124-$I124)</f>
        <v/>
      </c>
      <c r="K124" s="35" t="str">
        <f aca="false">IF($C124="","",N($E124)*IFERROR(INDEX(PRODUCTOS!$H$6:$H$105,MATCH($C124,PRODUCTOS!$A$6:$A$105,0)),0))</f>
        <v/>
      </c>
      <c r="L124" s="35" t="str">
        <f aca="false">IF($C124="","",$J124-$K124)</f>
        <v/>
      </c>
      <c r="M124" s="6"/>
      <c r="N124" s="6"/>
      <c r="O124" s="46" t="str">
        <f aca="false">IF($A124="","",DATE(YEAR($A124),MONTH($A124),1))</f>
        <v/>
      </c>
    </row>
    <row r="125" customFormat="false" ht="15" hidden="false" customHeight="false" outlineLevel="0" collapsed="false">
      <c r="A125" s="44"/>
      <c r="B125" s="6"/>
      <c r="C125" s="6"/>
      <c r="D125" s="8" t="str">
        <f aca="false">IF($C125="","",IFERROR(INDEX(PRODUCTOS!$B$6:$B$105,MATCH($C125,PRODUCTOS!$A$6:$A$105,0)),"¿Código?"))</f>
        <v/>
      </c>
      <c r="E125" s="42"/>
      <c r="F125" s="35" t="str">
        <f aca="false">IF($C125="","",IFERROR(INDEX(PRODUCTOS!$D$6:$D$105,MATCH($C125,PRODUCTOS!$A$6:$A$105,0)),0))</f>
        <v/>
      </c>
      <c r="G125" s="40"/>
      <c r="H125" s="35" t="str">
        <f aca="false">IF($C125="","",N($E125)*$F125-N($G125))</f>
        <v/>
      </c>
      <c r="I125" s="35" t="str">
        <f aca="false">IF($C125="","",$H125-$H125/(1+IFERROR(INDEX(PRODUCTOS!$E$6:$E$105,MATCH($C125,PRODUCTOS!$A$6:$A$105,0)),IVA_VENTAS)))</f>
        <v/>
      </c>
      <c r="J125" s="35" t="str">
        <f aca="false">IF($C125="","",$H125-$I125)</f>
        <v/>
      </c>
      <c r="K125" s="35" t="str">
        <f aca="false">IF($C125="","",N($E125)*IFERROR(INDEX(PRODUCTOS!$H$6:$H$105,MATCH($C125,PRODUCTOS!$A$6:$A$105,0)),0))</f>
        <v/>
      </c>
      <c r="L125" s="35" t="str">
        <f aca="false">IF($C125="","",$J125-$K125)</f>
        <v/>
      </c>
      <c r="M125" s="6"/>
      <c r="N125" s="6"/>
      <c r="O125" s="46" t="str">
        <f aca="false">IF($A125="","",DATE(YEAR($A125),MONTH($A125),1))</f>
        <v/>
      </c>
    </row>
    <row r="126" customFormat="false" ht="15" hidden="false" customHeight="false" outlineLevel="0" collapsed="false">
      <c r="A126" s="44"/>
      <c r="B126" s="6"/>
      <c r="C126" s="6"/>
      <c r="D126" s="8" t="str">
        <f aca="false">IF($C126="","",IFERROR(INDEX(PRODUCTOS!$B$6:$B$105,MATCH($C126,PRODUCTOS!$A$6:$A$105,0)),"¿Código?"))</f>
        <v/>
      </c>
      <c r="E126" s="42"/>
      <c r="F126" s="35" t="str">
        <f aca="false">IF($C126="","",IFERROR(INDEX(PRODUCTOS!$D$6:$D$105,MATCH($C126,PRODUCTOS!$A$6:$A$105,0)),0))</f>
        <v/>
      </c>
      <c r="G126" s="40"/>
      <c r="H126" s="35" t="str">
        <f aca="false">IF($C126="","",N($E126)*$F126-N($G126))</f>
        <v/>
      </c>
      <c r="I126" s="35" t="str">
        <f aca="false">IF($C126="","",$H126-$H126/(1+IFERROR(INDEX(PRODUCTOS!$E$6:$E$105,MATCH($C126,PRODUCTOS!$A$6:$A$105,0)),IVA_VENTAS)))</f>
        <v/>
      </c>
      <c r="J126" s="35" t="str">
        <f aca="false">IF($C126="","",$H126-$I126)</f>
        <v/>
      </c>
      <c r="K126" s="35" t="str">
        <f aca="false">IF($C126="","",N($E126)*IFERROR(INDEX(PRODUCTOS!$H$6:$H$105,MATCH($C126,PRODUCTOS!$A$6:$A$105,0)),0))</f>
        <v/>
      </c>
      <c r="L126" s="35" t="str">
        <f aca="false">IF($C126="","",$J126-$K126)</f>
        <v/>
      </c>
      <c r="M126" s="6"/>
      <c r="N126" s="6"/>
      <c r="O126" s="46" t="str">
        <f aca="false">IF($A126="","",DATE(YEAR($A126),MONTH($A126),1))</f>
        <v/>
      </c>
    </row>
    <row r="127" customFormat="false" ht="15" hidden="false" customHeight="false" outlineLevel="0" collapsed="false">
      <c r="A127" s="44"/>
      <c r="B127" s="6"/>
      <c r="C127" s="6"/>
      <c r="D127" s="8" t="str">
        <f aca="false">IF($C127="","",IFERROR(INDEX(PRODUCTOS!$B$6:$B$105,MATCH($C127,PRODUCTOS!$A$6:$A$105,0)),"¿Código?"))</f>
        <v/>
      </c>
      <c r="E127" s="42"/>
      <c r="F127" s="35" t="str">
        <f aca="false">IF($C127="","",IFERROR(INDEX(PRODUCTOS!$D$6:$D$105,MATCH($C127,PRODUCTOS!$A$6:$A$105,0)),0))</f>
        <v/>
      </c>
      <c r="G127" s="40"/>
      <c r="H127" s="35" t="str">
        <f aca="false">IF($C127="","",N($E127)*$F127-N($G127))</f>
        <v/>
      </c>
      <c r="I127" s="35" t="str">
        <f aca="false">IF($C127="","",$H127-$H127/(1+IFERROR(INDEX(PRODUCTOS!$E$6:$E$105,MATCH($C127,PRODUCTOS!$A$6:$A$105,0)),IVA_VENTAS)))</f>
        <v/>
      </c>
      <c r="J127" s="35" t="str">
        <f aca="false">IF($C127="","",$H127-$I127)</f>
        <v/>
      </c>
      <c r="K127" s="35" t="str">
        <f aca="false">IF($C127="","",N($E127)*IFERROR(INDEX(PRODUCTOS!$H$6:$H$105,MATCH($C127,PRODUCTOS!$A$6:$A$105,0)),0))</f>
        <v/>
      </c>
      <c r="L127" s="35" t="str">
        <f aca="false">IF($C127="","",$J127-$K127)</f>
        <v/>
      </c>
      <c r="M127" s="6"/>
      <c r="N127" s="6"/>
      <c r="O127" s="46" t="str">
        <f aca="false">IF($A127="","",DATE(YEAR($A127),MONTH($A127),1))</f>
        <v/>
      </c>
    </row>
    <row r="128" customFormat="false" ht="15" hidden="false" customHeight="false" outlineLevel="0" collapsed="false">
      <c r="A128" s="44"/>
      <c r="B128" s="6"/>
      <c r="C128" s="6"/>
      <c r="D128" s="8" t="str">
        <f aca="false">IF($C128="","",IFERROR(INDEX(PRODUCTOS!$B$6:$B$105,MATCH($C128,PRODUCTOS!$A$6:$A$105,0)),"¿Código?"))</f>
        <v/>
      </c>
      <c r="E128" s="42"/>
      <c r="F128" s="35" t="str">
        <f aca="false">IF($C128="","",IFERROR(INDEX(PRODUCTOS!$D$6:$D$105,MATCH($C128,PRODUCTOS!$A$6:$A$105,0)),0))</f>
        <v/>
      </c>
      <c r="G128" s="40"/>
      <c r="H128" s="35" t="str">
        <f aca="false">IF($C128="","",N($E128)*$F128-N($G128))</f>
        <v/>
      </c>
      <c r="I128" s="35" t="str">
        <f aca="false">IF($C128="","",$H128-$H128/(1+IFERROR(INDEX(PRODUCTOS!$E$6:$E$105,MATCH($C128,PRODUCTOS!$A$6:$A$105,0)),IVA_VENTAS)))</f>
        <v/>
      </c>
      <c r="J128" s="35" t="str">
        <f aca="false">IF($C128="","",$H128-$I128)</f>
        <v/>
      </c>
      <c r="K128" s="35" t="str">
        <f aca="false">IF($C128="","",N($E128)*IFERROR(INDEX(PRODUCTOS!$H$6:$H$105,MATCH($C128,PRODUCTOS!$A$6:$A$105,0)),0))</f>
        <v/>
      </c>
      <c r="L128" s="35" t="str">
        <f aca="false">IF($C128="","",$J128-$K128)</f>
        <v/>
      </c>
      <c r="M128" s="6"/>
      <c r="N128" s="6"/>
      <c r="O128" s="46" t="str">
        <f aca="false">IF($A128="","",DATE(YEAR($A128),MONTH($A128),1))</f>
        <v/>
      </c>
    </row>
    <row r="129" customFormat="false" ht="15" hidden="false" customHeight="false" outlineLevel="0" collapsed="false">
      <c r="A129" s="44"/>
      <c r="B129" s="6"/>
      <c r="C129" s="6"/>
      <c r="D129" s="8" t="str">
        <f aca="false">IF($C129="","",IFERROR(INDEX(PRODUCTOS!$B$6:$B$105,MATCH($C129,PRODUCTOS!$A$6:$A$105,0)),"¿Código?"))</f>
        <v/>
      </c>
      <c r="E129" s="42"/>
      <c r="F129" s="35" t="str">
        <f aca="false">IF($C129="","",IFERROR(INDEX(PRODUCTOS!$D$6:$D$105,MATCH($C129,PRODUCTOS!$A$6:$A$105,0)),0))</f>
        <v/>
      </c>
      <c r="G129" s="40"/>
      <c r="H129" s="35" t="str">
        <f aca="false">IF($C129="","",N($E129)*$F129-N($G129))</f>
        <v/>
      </c>
      <c r="I129" s="35" t="str">
        <f aca="false">IF($C129="","",$H129-$H129/(1+IFERROR(INDEX(PRODUCTOS!$E$6:$E$105,MATCH($C129,PRODUCTOS!$A$6:$A$105,0)),IVA_VENTAS)))</f>
        <v/>
      </c>
      <c r="J129" s="35" t="str">
        <f aca="false">IF($C129="","",$H129-$I129)</f>
        <v/>
      </c>
      <c r="K129" s="35" t="str">
        <f aca="false">IF($C129="","",N($E129)*IFERROR(INDEX(PRODUCTOS!$H$6:$H$105,MATCH($C129,PRODUCTOS!$A$6:$A$105,0)),0))</f>
        <v/>
      </c>
      <c r="L129" s="35" t="str">
        <f aca="false">IF($C129="","",$J129-$K129)</f>
        <v/>
      </c>
      <c r="M129" s="6"/>
      <c r="N129" s="6"/>
      <c r="O129" s="46" t="str">
        <f aca="false">IF($A129="","",DATE(YEAR($A129),MONTH($A129),1))</f>
        <v/>
      </c>
    </row>
    <row r="130" customFormat="false" ht="15" hidden="false" customHeight="false" outlineLevel="0" collapsed="false">
      <c r="A130" s="44"/>
      <c r="B130" s="6"/>
      <c r="C130" s="6"/>
      <c r="D130" s="8" t="str">
        <f aca="false">IF($C130="","",IFERROR(INDEX(PRODUCTOS!$B$6:$B$105,MATCH($C130,PRODUCTOS!$A$6:$A$105,0)),"¿Código?"))</f>
        <v/>
      </c>
      <c r="E130" s="42"/>
      <c r="F130" s="35" t="str">
        <f aca="false">IF($C130="","",IFERROR(INDEX(PRODUCTOS!$D$6:$D$105,MATCH($C130,PRODUCTOS!$A$6:$A$105,0)),0))</f>
        <v/>
      </c>
      <c r="G130" s="40"/>
      <c r="H130" s="35" t="str">
        <f aca="false">IF($C130="","",N($E130)*$F130-N($G130))</f>
        <v/>
      </c>
      <c r="I130" s="35" t="str">
        <f aca="false">IF($C130="","",$H130-$H130/(1+IFERROR(INDEX(PRODUCTOS!$E$6:$E$105,MATCH($C130,PRODUCTOS!$A$6:$A$105,0)),IVA_VENTAS)))</f>
        <v/>
      </c>
      <c r="J130" s="35" t="str">
        <f aca="false">IF($C130="","",$H130-$I130)</f>
        <v/>
      </c>
      <c r="K130" s="35" t="str">
        <f aca="false">IF($C130="","",N($E130)*IFERROR(INDEX(PRODUCTOS!$H$6:$H$105,MATCH($C130,PRODUCTOS!$A$6:$A$105,0)),0))</f>
        <v/>
      </c>
      <c r="L130" s="35" t="str">
        <f aca="false">IF($C130="","",$J130-$K130)</f>
        <v/>
      </c>
      <c r="M130" s="6"/>
      <c r="N130" s="6"/>
      <c r="O130" s="46" t="str">
        <f aca="false">IF($A130="","",DATE(YEAR($A130),MONTH($A130),1))</f>
        <v/>
      </c>
    </row>
    <row r="131" customFormat="false" ht="15" hidden="false" customHeight="false" outlineLevel="0" collapsed="false">
      <c r="A131" s="44"/>
      <c r="B131" s="6"/>
      <c r="C131" s="6"/>
      <c r="D131" s="8" t="str">
        <f aca="false">IF($C131="","",IFERROR(INDEX(PRODUCTOS!$B$6:$B$105,MATCH($C131,PRODUCTOS!$A$6:$A$105,0)),"¿Código?"))</f>
        <v/>
      </c>
      <c r="E131" s="42"/>
      <c r="F131" s="35" t="str">
        <f aca="false">IF($C131="","",IFERROR(INDEX(PRODUCTOS!$D$6:$D$105,MATCH($C131,PRODUCTOS!$A$6:$A$105,0)),0))</f>
        <v/>
      </c>
      <c r="G131" s="40"/>
      <c r="H131" s="35" t="str">
        <f aca="false">IF($C131="","",N($E131)*$F131-N($G131))</f>
        <v/>
      </c>
      <c r="I131" s="35" t="str">
        <f aca="false">IF($C131="","",$H131-$H131/(1+IFERROR(INDEX(PRODUCTOS!$E$6:$E$105,MATCH($C131,PRODUCTOS!$A$6:$A$105,0)),IVA_VENTAS)))</f>
        <v/>
      </c>
      <c r="J131" s="35" t="str">
        <f aca="false">IF($C131="","",$H131-$I131)</f>
        <v/>
      </c>
      <c r="K131" s="35" t="str">
        <f aca="false">IF($C131="","",N($E131)*IFERROR(INDEX(PRODUCTOS!$H$6:$H$105,MATCH($C131,PRODUCTOS!$A$6:$A$105,0)),0))</f>
        <v/>
      </c>
      <c r="L131" s="35" t="str">
        <f aca="false">IF($C131="","",$J131-$K131)</f>
        <v/>
      </c>
      <c r="M131" s="6"/>
      <c r="N131" s="6"/>
      <c r="O131" s="46" t="str">
        <f aca="false">IF($A131="","",DATE(YEAR($A131),MONTH($A131),1))</f>
        <v/>
      </c>
    </row>
    <row r="132" customFormat="false" ht="15" hidden="false" customHeight="false" outlineLevel="0" collapsed="false">
      <c r="A132" s="44"/>
      <c r="B132" s="6"/>
      <c r="C132" s="6"/>
      <c r="D132" s="8" t="str">
        <f aca="false">IF($C132="","",IFERROR(INDEX(PRODUCTOS!$B$6:$B$105,MATCH($C132,PRODUCTOS!$A$6:$A$105,0)),"¿Código?"))</f>
        <v/>
      </c>
      <c r="E132" s="42"/>
      <c r="F132" s="35" t="str">
        <f aca="false">IF($C132="","",IFERROR(INDEX(PRODUCTOS!$D$6:$D$105,MATCH($C132,PRODUCTOS!$A$6:$A$105,0)),0))</f>
        <v/>
      </c>
      <c r="G132" s="40"/>
      <c r="H132" s="35" t="str">
        <f aca="false">IF($C132="","",N($E132)*$F132-N($G132))</f>
        <v/>
      </c>
      <c r="I132" s="35" t="str">
        <f aca="false">IF($C132="","",$H132-$H132/(1+IFERROR(INDEX(PRODUCTOS!$E$6:$E$105,MATCH($C132,PRODUCTOS!$A$6:$A$105,0)),IVA_VENTAS)))</f>
        <v/>
      </c>
      <c r="J132" s="35" t="str">
        <f aca="false">IF($C132="","",$H132-$I132)</f>
        <v/>
      </c>
      <c r="K132" s="35" t="str">
        <f aca="false">IF($C132="","",N($E132)*IFERROR(INDEX(PRODUCTOS!$H$6:$H$105,MATCH($C132,PRODUCTOS!$A$6:$A$105,0)),0))</f>
        <v/>
      </c>
      <c r="L132" s="35" t="str">
        <f aca="false">IF($C132="","",$J132-$K132)</f>
        <v/>
      </c>
      <c r="M132" s="6"/>
      <c r="N132" s="6"/>
      <c r="O132" s="46" t="str">
        <f aca="false">IF($A132="","",DATE(YEAR($A132),MONTH($A132),1))</f>
        <v/>
      </c>
    </row>
    <row r="133" customFormat="false" ht="15" hidden="false" customHeight="false" outlineLevel="0" collapsed="false">
      <c r="A133" s="44"/>
      <c r="B133" s="6"/>
      <c r="C133" s="6"/>
      <c r="D133" s="8" t="str">
        <f aca="false">IF($C133="","",IFERROR(INDEX(PRODUCTOS!$B$6:$B$105,MATCH($C133,PRODUCTOS!$A$6:$A$105,0)),"¿Código?"))</f>
        <v/>
      </c>
      <c r="E133" s="42"/>
      <c r="F133" s="35" t="str">
        <f aca="false">IF($C133="","",IFERROR(INDEX(PRODUCTOS!$D$6:$D$105,MATCH($C133,PRODUCTOS!$A$6:$A$105,0)),0))</f>
        <v/>
      </c>
      <c r="G133" s="40"/>
      <c r="H133" s="35" t="str">
        <f aca="false">IF($C133="","",N($E133)*$F133-N($G133))</f>
        <v/>
      </c>
      <c r="I133" s="35" t="str">
        <f aca="false">IF($C133="","",$H133-$H133/(1+IFERROR(INDEX(PRODUCTOS!$E$6:$E$105,MATCH($C133,PRODUCTOS!$A$6:$A$105,0)),IVA_VENTAS)))</f>
        <v/>
      </c>
      <c r="J133" s="35" t="str">
        <f aca="false">IF($C133="","",$H133-$I133)</f>
        <v/>
      </c>
      <c r="K133" s="35" t="str">
        <f aca="false">IF($C133="","",N($E133)*IFERROR(INDEX(PRODUCTOS!$H$6:$H$105,MATCH($C133,PRODUCTOS!$A$6:$A$105,0)),0))</f>
        <v/>
      </c>
      <c r="L133" s="35" t="str">
        <f aca="false">IF($C133="","",$J133-$K133)</f>
        <v/>
      </c>
      <c r="M133" s="6"/>
      <c r="N133" s="6"/>
      <c r="O133" s="46" t="str">
        <f aca="false">IF($A133="","",DATE(YEAR($A133),MONTH($A133),1))</f>
        <v/>
      </c>
    </row>
    <row r="134" customFormat="false" ht="15" hidden="false" customHeight="false" outlineLevel="0" collapsed="false">
      <c r="A134" s="44"/>
      <c r="B134" s="6"/>
      <c r="C134" s="6"/>
      <c r="D134" s="8" t="str">
        <f aca="false">IF($C134="","",IFERROR(INDEX(PRODUCTOS!$B$6:$B$105,MATCH($C134,PRODUCTOS!$A$6:$A$105,0)),"¿Código?"))</f>
        <v/>
      </c>
      <c r="E134" s="42"/>
      <c r="F134" s="35" t="str">
        <f aca="false">IF($C134="","",IFERROR(INDEX(PRODUCTOS!$D$6:$D$105,MATCH($C134,PRODUCTOS!$A$6:$A$105,0)),0))</f>
        <v/>
      </c>
      <c r="G134" s="40"/>
      <c r="H134" s="35" t="str">
        <f aca="false">IF($C134="","",N($E134)*$F134-N($G134))</f>
        <v/>
      </c>
      <c r="I134" s="35" t="str">
        <f aca="false">IF($C134="","",$H134-$H134/(1+IFERROR(INDEX(PRODUCTOS!$E$6:$E$105,MATCH($C134,PRODUCTOS!$A$6:$A$105,0)),IVA_VENTAS)))</f>
        <v/>
      </c>
      <c r="J134" s="35" t="str">
        <f aca="false">IF($C134="","",$H134-$I134)</f>
        <v/>
      </c>
      <c r="K134" s="35" t="str">
        <f aca="false">IF($C134="","",N($E134)*IFERROR(INDEX(PRODUCTOS!$H$6:$H$105,MATCH($C134,PRODUCTOS!$A$6:$A$105,0)),0))</f>
        <v/>
      </c>
      <c r="L134" s="35" t="str">
        <f aca="false">IF($C134="","",$J134-$K134)</f>
        <v/>
      </c>
      <c r="M134" s="6"/>
      <c r="N134" s="6"/>
      <c r="O134" s="46" t="str">
        <f aca="false">IF($A134="","",DATE(YEAR($A134),MONTH($A134),1))</f>
        <v/>
      </c>
    </row>
    <row r="135" customFormat="false" ht="15" hidden="false" customHeight="false" outlineLevel="0" collapsed="false">
      <c r="A135" s="44"/>
      <c r="B135" s="6"/>
      <c r="C135" s="6"/>
      <c r="D135" s="8" t="str">
        <f aca="false">IF($C135="","",IFERROR(INDEX(PRODUCTOS!$B$6:$B$105,MATCH($C135,PRODUCTOS!$A$6:$A$105,0)),"¿Código?"))</f>
        <v/>
      </c>
      <c r="E135" s="42"/>
      <c r="F135" s="35" t="str">
        <f aca="false">IF($C135="","",IFERROR(INDEX(PRODUCTOS!$D$6:$D$105,MATCH($C135,PRODUCTOS!$A$6:$A$105,0)),0))</f>
        <v/>
      </c>
      <c r="G135" s="40"/>
      <c r="H135" s="35" t="str">
        <f aca="false">IF($C135="","",N($E135)*$F135-N($G135))</f>
        <v/>
      </c>
      <c r="I135" s="35" t="str">
        <f aca="false">IF($C135="","",$H135-$H135/(1+IFERROR(INDEX(PRODUCTOS!$E$6:$E$105,MATCH($C135,PRODUCTOS!$A$6:$A$105,0)),IVA_VENTAS)))</f>
        <v/>
      </c>
      <c r="J135" s="35" t="str">
        <f aca="false">IF($C135="","",$H135-$I135)</f>
        <v/>
      </c>
      <c r="K135" s="35" t="str">
        <f aca="false">IF($C135="","",N($E135)*IFERROR(INDEX(PRODUCTOS!$H$6:$H$105,MATCH($C135,PRODUCTOS!$A$6:$A$105,0)),0))</f>
        <v/>
      </c>
      <c r="L135" s="35" t="str">
        <f aca="false">IF($C135="","",$J135-$K135)</f>
        <v/>
      </c>
      <c r="M135" s="6"/>
      <c r="N135" s="6"/>
      <c r="O135" s="46" t="str">
        <f aca="false">IF($A135="","",DATE(YEAR($A135),MONTH($A135),1))</f>
        <v/>
      </c>
    </row>
    <row r="136" customFormat="false" ht="15" hidden="false" customHeight="false" outlineLevel="0" collapsed="false">
      <c r="A136" s="44"/>
      <c r="B136" s="6"/>
      <c r="C136" s="6"/>
      <c r="D136" s="8" t="str">
        <f aca="false">IF($C136="","",IFERROR(INDEX(PRODUCTOS!$B$6:$B$105,MATCH($C136,PRODUCTOS!$A$6:$A$105,0)),"¿Código?"))</f>
        <v/>
      </c>
      <c r="E136" s="42"/>
      <c r="F136" s="35" t="str">
        <f aca="false">IF($C136="","",IFERROR(INDEX(PRODUCTOS!$D$6:$D$105,MATCH($C136,PRODUCTOS!$A$6:$A$105,0)),0))</f>
        <v/>
      </c>
      <c r="G136" s="40"/>
      <c r="H136" s="35" t="str">
        <f aca="false">IF($C136="","",N($E136)*$F136-N($G136))</f>
        <v/>
      </c>
      <c r="I136" s="35" t="str">
        <f aca="false">IF($C136="","",$H136-$H136/(1+IFERROR(INDEX(PRODUCTOS!$E$6:$E$105,MATCH($C136,PRODUCTOS!$A$6:$A$105,0)),IVA_VENTAS)))</f>
        <v/>
      </c>
      <c r="J136" s="35" t="str">
        <f aca="false">IF($C136="","",$H136-$I136)</f>
        <v/>
      </c>
      <c r="K136" s="35" t="str">
        <f aca="false">IF($C136="","",N($E136)*IFERROR(INDEX(PRODUCTOS!$H$6:$H$105,MATCH($C136,PRODUCTOS!$A$6:$A$105,0)),0))</f>
        <v/>
      </c>
      <c r="L136" s="35" t="str">
        <f aca="false">IF($C136="","",$J136-$K136)</f>
        <v/>
      </c>
      <c r="M136" s="6"/>
      <c r="N136" s="6"/>
      <c r="O136" s="46" t="str">
        <f aca="false">IF($A136="","",DATE(YEAR($A136),MONTH($A136),1))</f>
        <v/>
      </c>
    </row>
    <row r="137" customFormat="false" ht="15" hidden="false" customHeight="false" outlineLevel="0" collapsed="false">
      <c r="A137" s="44"/>
      <c r="B137" s="6"/>
      <c r="C137" s="6"/>
      <c r="D137" s="8" t="str">
        <f aca="false">IF($C137="","",IFERROR(INDEX(PRODUCTOS!$B$6:$B$105,MATCH($C137,PRODUCTOS!$A$6:$A$105,0)),"¿Código?"))</f>
        <v/>
      </c>
      <c r="E137" s="42"/>
      <c r="F137" s="35" t="str">
        <f aca="false">IF($C137="","",IFERROR(INDEX(PRODUCTOS!$D$6:$D$105,MATCH($C137,PRODUCTOS!$A$6:$A$105,0)),0))</f>
        <v/>
      </c>
      <c r="G137" s="40"/>
      <c r="H137" s="35" t="str">
        <f aca="false">IF($C137="","",N($E137)*$F137-N($G137))</f>
        <v/>
      </c>
      <c r="I137" s="35" t="str">
        <f aca="false">IF($C137="","",$H137-$H137/(1+IFERROR(INDEX(PRODUCTOS!$E$6:$E$105,MATCH($C137,PRODUCTOS!$A$6:$A$105,0)),IVA_VENTAS)))</f>
        <v/>
      </c>
      <c r="J137" s="35" t="str">
        <f aca="false">IF($C137="","",$H137-$I137)</f>
        <v/>
      </c>
      <c r="K137" s="35" t="str">
        <f aca="false">IF($C137="","",N($E137)*IFERROR(INDEX(PRODUCTOS!$H$6:$H$105,MATCH($C137,PRODUCTOS!$A$6:$A$105,0)),0))</f>
        <v/>
      </c>
      <c r="L137" s="35" t="str">
        <f aca="false">IF($C137="","",$J137-$K137)</f>
        <v/>
      </c>
      <c r="M137" s="6"/>
      <c r="N137" s="6"/>
      <c r="O137" s="46" t="str">
        <f aca="false">IF($A137="","",DATE(YEAR($A137),MONTH($A137),1))</f>
        <v/>
      </c>
    </row>
    <row r="138" customFormat="false" ht="15" hidden="false" customHeight="false" outlineLevel="0" collapsed="false">
      <c r="A138" s="44"/>
      <c r="B138" s="6"/>
      <c r="C138" s="6"/>
      <c r="D138" s="8" t="str">
        <f aca="false">IF($C138="","",IFERROR(INDEX(PRODUCTOS!$B$6:$B$105,MATCH($C138,PRODUCTOS!$A$6:$A$105,0)),"¿Código?"))</f>
        <v/>
      </c>
      <c r="E138" s="42"/>
      <c r="F138" s="35" t="str">
        <f aca="false">IF($C138="","",IFERROR(INDEX(PRODUCTOS!$D$6:$D$105,MATCH($C138,PRODUCTOS!$A$6:$A$105,0)),0))</f>
        <v/>
      </c>
      <c r="G138" s="40"/>
      <c r="H138" s="35" t="str">
        <f aca="false">IF($C138="","",N($E138)*$F138-N($G138))</f>
        <v/>
      </c>
      <c r="I138" s="35" t="str">
        <f aca="false">IF($C138="","",$H138-$H138/(1+IFERROR(INDEX(PRODUCTOS!$E$6:$E$105,MATCH($C138,PRODUCTOS!$A$6:$A$105,0)),IVA_VENTAS)))</f>
        <v/>
      </c>
      <c r="J138" s="35" t="str">
        <f aca="false">IF($C138="","",$H138-$I138)</f>
        <v/>
      </c>
      <c r="K138" s="35" t="str">
        <f aca="false">IF($C138="","",N($E138)*IFERROR(INDEX(PRODUCTOS!$H$6:$H$105,MATCH($C138,PRODUCTOS!$A$6:$A$105,0)),0))</f>
        <v/>
      </c>
      <c r="L138" s="35" t="str">
        <f aca="false">IF($C138="","",$J138-$K138)</f>
        <v/>
      </c>
      <c r="M138" s="6"/>
      <c r="N138" s="6"/>
      <c r="O138" s="46" t="str">
        <f aca="false">IF($A138="","",DATE(YEAR($A138),MONTH($A138),1))</f>
        <v/>
      </c>
    </row>
    <row r="139" customFormat="false" ht="15" hidden="false" customHeight="false" outlineLevel="0" collapsed="false">
      <c r="A139" s="44"/>
      <c r="B139" s="6"/>
      <c r="C139" s="6"/>
      <c r="D139" s="8" t="str">
        <f aca="false">IF($C139="","",IFERROR(INDEX(PRODUCTOS!$B$6:$B$105,MATCH($C139,PRODUCTOS!$A$6:$A$105,0)),"¿Código?"))</f>
        <v/>
      </c>
      <c r="E139" s="42"/>
      <c r="F139" s="35" t="str">
        <f aca="false">IF($C139="","",IFERROR(INDEX(PRODUCTOS!$D$6:$D$105,MATCH($C139,PRODUCTOS!$A$6:$A$105,0)),0))</f>
        <v/>
      </c>
      <c r="G139" s="40"/>
      <c r="H139" s="35" t="str">
        <f aca="false">IF($C139="","",N($E139)*$F139-N($G139))</f>
        <v/>
      </c>
      <c r="I139" s="35" t="str">
        <f aca="false">IF($C139="","",$H139-$H139/(1+IFERROR(INDEX(PRODUCTOS!$E$6:$E$105,MATCH($C139,PRODUCTOS!$A$6:$A$105,0)),IVA_VENTAS)))</f>
        <v/>
      </c>
      <c r="J139" s="35" t="str">
        <f aca="false">IF($C139="","",$H139-$I139)</f>
        <v/>
      </c>
      <c r="K139" s="35" t="str">
        <f aca="false">IF($C139="","",N($E139)*IFERROR(INDEX(PRODUCTOS!$H$6:$H$105,MATCH($C139,PRODUCTOS!$A$6:$A$105,0)),0))</f>
        <v/>
      </c>
      <c r="L139" s="35" t="str">
        <f aca="false">IF($C139="","",$J139-$K139)</f>
        <v/>
      </c>
      <c r="M139" s="6"/>
      <c r="N139" s="6"/>
      <c r="O139" s="46" t="str">
        <f aca="false">IF($A139="","",DATE(YEAR($A139),MONTH($A139),1))</f>
        <v/>
      </c>
    </row>
    <row r="140" customFormat="false" ht="15" hidden="false" customHeight="false" outlineLevel="0" collapsed="false">
      <c r="A140" s="44"/>
      <c r="B140" s="6"/>
      <c r="C140" s="6"/>
      <c r="D140" s="8" t="str">
        <f aca="false">IF($C140="","",IFERROR(INDEX(PRODUCTOS!$B$6:$B$105,MATCH($C140,PRODUCTOS!$A$6:$A$105,0)),"¿Código?"))</f>
        <v/>
      </c>
      <c r="E140" s="42"/>
      <c r="F140" s="35" t="str">
        <f aca="false">IF($C140="","",IFERROR(INDEX(PRODUCTOS!$D$6:$D$105,MATCH($C140,PRODUCTOS!$A$6:$A$105,0)),0))</f>
        <v/>
      </c>
      <c r="G140" s="40"/>
      <c r="H140" s="35" t="str">
        <f aca="false">IF($C140="","",N($E140)*$F140-N($G140))</f>
        <v/>
      </c>
      <c r="I140" s="35" t="str">
        <f aca="false">IF($C140="","",$H140-$H140/(1+IFERROR(INDEX(PRODUCTOS!$E$6:$E$105,MATCH($C140,PRODUCTOS!$A$6:$A$105,0)),IVA_VENTAS)))</f>
        <v/>
      </c>
      <c r="J140" s="35" t="str">
        <f aca="false">IF($C140="","",$H140-$I140)</f>
        <v/>
      </c>
      <c r="K140" s="35" t="str">
        <f aca="false">IF($C140="","",N($E140)*IFERROR(INDEX(PRODUCTOS!$H$6:$H$105,MATCH($C140,PRODUCTOS!$A$6:$A$105,0)),0))</f>
        <v/>
      </c>
      <c r="L140" s="35" t="str">
        <f aca="false">IF($C140="","",$J140-$K140)</f>
        <v/>
      </c>
      <c r="M140" s="6"/>
      <c r="N140" s="6"/>
      <c r="O140" s="46" t="str">
        <f aca="false">IF($A140="","",DATE(YEAR($A140),MONTH($A140),1))</f>
        <v/>
      </c>
    </row>
    <row r="141" customFormat="false" ht="15" hidden="false" customHeight="false" outlineLevel="0" collapsed="false">
      <c r="A141" s="44"/>
      <c r="B141" s="6"/>
      <c r="C141" s="6"/>
      <c r="D141" s="8" t="str">
        <f aca="false">IF($C141="","",IFERROR(INDEX(PRODUCTOS!$B$6:$B$105,MATCH($C141,PRODUCTOS!$A$6:$A$105,0)),"¿Código?"))</f>
        <v/>
      </c>
      <c r="E141" s="42"/>
      <c r="F141" s="35" t="str">
        <f aca="false">IF($C141="","",IFERROR(INDEX(PRODUCTOS!$D$6:$D$105,MATCH($C141,PRODUCTOS!$A$6:$A$105,0)),0))</f>
        <v/>
      </c>
      <c r="G141" s="40"/>
      <c r="H141" s="35" t="str">
        <f aca="false">IF($C141="","",N($E141)*$F141-N($G141))</f>
        <v/>
      </c>
      <c r="I141" s="35" t="str">
        <f aca="false">IF($C141="","",$H141-$H141/(1+IFERROR(INDEX(PRODUCTOS!$E$6:$E$105,MATCH($C141,PRODUCTOS!$A$6:$A$105,0)),IVA_VENTAS)))</f>
        <v/>
      </c>
      <c r="J141" s="35" t="str">
        <f aca="false">IF($C141="","",$H141-$I141)</f>
        <v/>
      </c>
      <c r="K141" s="35" t="str">
        <f aca="false">IF($C141="","",N($E141)*IFERROR(INDEX(PRODUCTOS!$H$6:$H$105,MATCH($C141,PRODUCTOS!$A$6:$A$105,0)),0))</f>
        <v/>
      </c>
      <c r="L141" s="35" t="str">
        <f aca="false">IF($C141="","",$J141-$K141)</f>
        <v/>
      </c>
      <c r="M141" s="6"/>
      <c r="N141" s="6"/>
      <c r="O141" s="46" t="str">
        <f aca="false">IF($A141="","",DATE(YEAR($A141),MONTH($A141),1))</f>
        <v/>
      </c>
    </row>
    <row r="142" customFormat="false" ht="15" hidden="false" customHeight="false" outlineLevel="0" collapsed="false">
      <c r="A142" s="44"/>
      <c r="B142" s="6"/>
      <c r="C142" s="6"/>
      <c r="D142" s="8" t="str">
        <f aca="false">IF($C142="","",IFERROR(INDEX(PRODUCTOS!$B$6:$B$105,MATCH($C142,PRODUCTOS!$A$6:$A$105,0)),"¿Código?"))</f>
        <v/>
      </c>
      <c r="E142" s="42"/>
      <c r="F142" s="35" t="str">
        <f aca="false">IF($C142="","",IFERROR(INDEX(PRODUCTOS!$D$6:$D$105,MATCH($C142,PRODUCTOS!$A$6:$A$105,0)),0))</f>
        <v/>
      </c>
      <c r="G142" s="40"/>
      <c r="H142" s="35" t="str">
        <f aca="false">IF($C142="","",N($E142)*$F142-N($G142))</f>
        <v/>
      </c>
      <c r="I142" s="35" t="str">
        <f aca="false">IF($C142="","",$H142-$H142/(1+IFERROR(INDEX(PRODUCTOS!$E$6:$E$105,MATCH($C142,PRODUCTOS!$A$6:$A$105,0)),IVA_VENTAS)))</f>
        <v/>
      </c>
      <c r="J142" s="35" t="str">
        <f aca="false">IF($C142="","",$H142-$I142)</f>
        <v/>
      </c>
      <c r="K142" s="35" t="str">
        <f aca="false">IF($C142="","",N($E142)*IFERROR(INDEX(PRODUCTOS!$H$6:$H$105,MATCH($C142,PRODUCTOS!$A$6:$A$105,0)),0))</f>
        <v/>
      </c>
      <c r="L142" s="35" t="str">
        <f aca="false">IF($C142="","",$J142-$K142)</f>
        <v/>
      </c>
      <c r="M142" s="6"/>
      <c r="N142" s="6"/>
      <c r="O142" s="46" t="str">
        <f aca="false">IF($A142="","",DATE(YEAR($A142),MONTH($A142),1))</f>
        <v/>
      </c>
    </row>
    <row r="143" customFormat="false" ht="15" hidden="false" customHeight="false" outlineLevel="0" collapsed="false">
      <c r="A143" s="44"/>
      <c r="B143" s="6"/>
      <c r="C143" s="6"/>
      <c r="D143" s="8" t="str">
        <f aca="false">IF($C143="","",IFERROR(INDEX(PRODUCTOS!$B$6:$B$105,MATCH($C143,PRODUCTOS!$A$6:$A$105,0)),"¿Código?"))</f>
        <v/>
      </c>
      <c r="E143" s="42"/>
      <c r="F143" s="35" t="str">
        <f aca="false">IF($C143="","",IFERROR(INDEX(PRODUCTOS!$D$6:$D$105,MATCH($C143,PRODUCTOS!$A$6:$A$105,0)),0))</f>
        <v/>
      </c>
      <c r="G143" s="40"/>
      <c r="H143" s="35" t="str">
        <f aca="false">IF($C143="","",N($E143)*$F143-N($G143))</f>
        <v/>
      </c>
      <c r="I143" s="35" t="str">
        <f aca="false">IF($C143="","",$H143-$H143/(1+IFERROR(INDEX(PRODUCTOS!$E$6:$E$105,MATCH($C143,PRODUCTOS!$A$6:$A$105,0)),IVA_VENTAS)))</f>
        <v/>
      </c>
      <c r="J143" s="35" t="str">
        <f aca="false">IF($C143="","",$H143-$I143)</f>
        <v/>
      </c>
      <c r="K143" s="35" t="str">
        <f aca="false">IF($C143="","",N($E143)*IFERROR(INDEX(PRODUCTOS!$H$6:$H$105,MATCH($C143,PRODUCTOS!$A$6:$A$105,0)),0))</f>
        <v/>
      </c>
      <c r="L143" s="35" t="str">
        <f aca="false">IF($C143="","",$J143-$K143)</f>
        <v/>
      </c>
      <c r="M143" s="6"/>
      <c r="N143" s="6"/>
      <c r="O143" s="46" t="str">
        <f aca="false">IF($A143="","",DATE(YEAR($A143),MONTH($A143),1))</f>
        <v/>
      </c>
    </row>
    <row r="144" customFormat="false" ht="15" hidden="false" customHeight="false" outlineLevel="0" collapsed="false">
      <c r="A144" s="44"/>
      <c r="B144" s="6"/>
      <c r="C144" s="6"/>
      <c r="D144" s="8" t="str">
        <f aca="false">IF($C144="","",IFERROR(INDEX(PRODUCTOS!$B$6:$B$105,MATCH($C144,PRODUCTOS!$A$6:$A$105,0)),"¿Código?"))</f>
        <v/>
      </c>
      <c r="E144" s="42"/>
      <c r="F144" s="35" t="str">
        <f aca="false">IF($C144="","",IFERROR(INDEX(PRODUCTOS!$D$6:$D$105,MATCH($C144,PRODUCTOS!$A$6:$A$105,0)),0))</f>
        <v/>
      </c>
      <c r="G144" s="40"/>
      <c r="H144" s="35" t="str">
        <f aca="false">IF($C144="","",N($E144)*$F144-N($G144))</f>
        <v/>
      </c>
      <c r="I144" s="35" t="str">
        <f aca="false">IF($C144="","",$H144-$H144/(1+IFERROR(INDEX(PRODUCTOS!$E$6:$E$105,MATCH($C144,PRODUCTOS!$A$6:$A$105,0)),IVA_VENTAS)))</f>
        <v/>
      </c>
      <c r="J144" s="35" t="str">
        <f aca="false">IF($C144="","",$H144-$I144)</f>
        <v/>
      </c>
      <c r="K144" s="35" t="str">
        <f aca="false">IF($C144="","",N($E144)*IFERROR(INDEX(PRODUCTOS!$H$6:$H$105,MATCH($C144,PRODUCTOS!$A$6:$A$105,0)),0))</f>
        <v/>
      </c>
      <c r="L144" s="35" t="str">
        <f aca="false">IF($C144="","",$J144-$K144)</f>
        <v/>
      </c>
      <c r="M144" s="6"/>
      <c r="N144" s="6"/>
      <c r="O144" s="46" t="str">
        <f aca="false">IF($A144="","",DATE(YEAR($A144),MONTH($A144),1))</f>
        <v/>
      </c>
    </row>
    <row r="145" customFormat="false" ht="15" hidden="false" customHeight="false" outlineLevel="0" collapsed="false">
      <c r="A145" s="44"/>
      <c r="B145" s="6"/>
      <c r="C145" s="6"/>
      <c r="D145" s="8" t="str">
        <f aca="false">IF($C145="","",IFERROR(INDEX(PRODUCTOS!$B$6:$B$105,MATCH($C145,PRODUCTOS!$A$6:$A$105,0)),"¿Código?"))</f>
        <v/>
      </c>
      <c r="E145" s="42"/>
      <c r="F145" s="35" t="str">
        <f aca="false">IF($C145="","",IFERROR(INDEX(PRODUCTOS!$D$6:$D$105,MATCH($C145,PRODUCTOS!$A$6:$A$105,0)),0))</f>
        <v/>
      </c>
      <c r="G145" s="40"/>
      <c r="H145" s="35" t="str">
        <f aca="false">IF($C145="","",N($E145)*$F145-N($G145))</f>
        <v/>
      </c>
      <c r="I145" s="35" t="str">
        <f aca="false">IF($C145="","",$H145-$H145/(1+IFERROR(INDEX(PRODUCTOS!$E$6:$E$105,MATCH($C145,PRODUCTOS!$A$6:$A$105,0)),IVA_VENTAS)))</f>
        <v/>
      </c>
      <c r="J145" s="35" t="str">
        <f aca="false">IF($C145="","",$H145-$I145)</f>
        <v/>
      </c>
      <c r="K145" s="35" t="str">
        <f aca="false">IF($C145="","",N($E145)*IFERROR(INDEX(PRODUCTOS!$H$6:$H$105,MATCH($C145,PRODUCTOS!$A$6:$A$105,0)),0))</f>
        <v/>
      </c>
      <c r="L145" s="35" t="str">
        <f aca="false">IF($C145="","",$J145-$K145)</f>
        <v/>
      </c>
      <c r="M145" s="6"/>
      <c r="N145" s="6"/>
      <c r="O145" s="46" t="str">
        <f aca="false">IF($A145="","",DATE(YEAR($A145),MONTH($A145),1))</f>
        <v/>
      </c>
    </row>
    <row r="146" customFormat="false" ht="15" hidden="false" customHeight="false" outlineLevel="0" collapsed="false">
      <c r="A146" s="44"/>
      <c r="B146" s="6"/>
      <c r="C146" s="6"/>
      <c r="D146" s="8" t="str">
        <f aca="false">IF($C146="","",IFERROR(INDEX(PRODUCTOS!$B$6:$B$105,MATCH($C146,PRODUCTOS!$A$6:$A$105,0)),"¿Código?"))</f>
        <v/>
      </c>
      <c r="E146" s="42"/>
      <c r="F146" s="35" t="str">
        <f aca="false">IF($C146="","",IFERROR(INDEX(PRODUCTOS!$D$6:$D$105,MATCH($C146,PRODUCTOS!$A$6:$A$105,0)),0))</f>
        <v/>
      </c>
      <c r="G146" s="40"/>
      <c r="H146" s="35" t="str">
        <f aca="false">IF($C146="","",N($E146)*$F146-N($G146))</f>
        <v/>
      </c>
      <c r="I146" s="35" t="str">
        <f aca="false">IF($C146="","",$H146-$H146/(1+IFERROR(INDEX(PRODUCTOS!$E$6:$E$105,MATCH($C146,PRODUCTOS!$A$6:$A$105,0)),IVA_VENTAS)))</f>
        <v/>
      </c>
      <c r="J146" s="35" t="str">
        <f aca="false">IF($C146="","",$H146-$I146)</f>
        <v/>
      </c>
      <c r="K146" s="35" t="str">
        <f aca="false">IF($C146="","",N($E146)*IFERROR(INDEX(PRODUCTOS!$H$6:$H$105,MATCH($C146,PRODUCTOS!$A$6:$A$105,0)),0))</f>
        <v/>
      </c>
      <c r="L146" s="35" t="str">
        <f aca="false">IF($C146="","",$J146-$K146)</f>
        <v/>
      </c>
      <c r="M146" s="6"/>
      <c r="N146" s="6"/>
      <c r="O146" s="46" t="str">
        <f aca="false">IF($A146="","",DATE(YEAR($A146),MONTH($A146),1))</f>
        <v/>
      </c>
    </row>
    <row r="147" customFormat="false" ht="15" hidden="false" customHeight="false" outlineLevel="0" collapsed="false">
      <c r="A147" s="44"/>
      <c r="B147" s="6"/>
      <c r="C147" s="6"/>
      <c r="D147" s="8" t="str">
        <f aca="false">IF($C147="","",IFERROR(INDEX(PRODUCTOS!$B$6:$B$105,MATCH($C147,PRODUCTOS!$A$6:$A$105,0)),"¿Código?"))</f>
        <v/>
      </c>
      <c r="E147" s="42"/>
      <c r="F147" s="35" t="str">
        <f aca="false">IF($C147="","",IFERROR(INDEX(PRODUCTOS!$D$6:$D$105,MATCH($C147,PRODUCTOS!$A$6:$A$105,0)),0))</f>
        <v/>
      </c>
      <c r="G147" s="40"/>
      <c r="H147" s="35" t="str">
        <f aca="false">IF($C147="","",N($E147)*$F147-N($G147))</f>
        <v/>
      </c>
      <c r="I147" s="35" t="str">
        <f aca="false">IF($C147="","",$H147-$H147/(1+IFERROR(INDEX(PRODUCTOS!$E$6:$E$105,MATCH($C147,PRODUCTOS!$A$6:$A$105,0)),IVA_VENTAS)))</f>
        <v/>
      </c>
      <c r="J147" s="35" t="str">
        <f aca="false">IF($C147="","",$H147-$I147)</f>
        <v/>
      </c>
      <c r="K147" s="35" t="str">
        <f aca="false">IF($C147="","",N($E147)*IFERROR(INDEX(PRODUCTOS!$H$6:$H$105,MATCH($C147,PRODUCTOS!$A$6:$A$105,0)),0))</f>
        <v/>
      </c>
      <c r="L147" s="35" t="str">
        <f aca="false">IF($C147="","",$J147-$K147)</f>
        <v/>
      </c>
      <c r="M147" s="6"/>
      <c r="N147" s="6"/>
      <c r="O147" s="46" t="str">
        <f aca="false">IF($A147="","",DATE(YEAR($A147),MONTH($A147),1))</f>
        <v/>
      </c>
    </row>
    <row r="148" customFormat="false" ht="15" hidden="false" customHeight="false" outlineLevel="0" collapsed="false">
      <c r="A148" s="44"/>
      <c r="B148" s="6"/>
      <c r="C148" s="6"/>
      <c r="D148" s="8" t="str">
        <f aca="false">IF($C148="","",IFERROR(INDEX(PRODUCTOS!$B$6:$B$105,MATCH($C148,PRODUCTOS!$A$6:$A$105,0)),"¿Código?"))</f>
        <v/>
      </c>
      <c r="E148" s="42"/>
      <c r="F148" s="35" t="str">
        <f aca="false">IF($C148="","",IFERROR(INDEX(PRODUCTOS!$D$6:$D$105,MATCH($C148,PRODUCTOS!$A$6:$A$105,0)),0))</f>
        <v/>
      </c>
      <c r="G148" s="40"/>
      <c r="H148" s="35" t="str">
        <f aca="false">IF($C148="","",N($E148)*$F148-N($G148))</f>
        <v/>
      </c>
      <c r="I148" s="35" t="str">
        <f aca="false">IF($C148="","",$H148-$H148/(1+IFERROR(INDEX(PRODUCTOS!$E$6:$E$105,MATCH($C148,PRODUCTOS!$A$6:$A$105,0)),IVA_VENTAS)))</f>
        <v/>
      </c>
      <c r="J148" s="35" t="str">
        <f aca="false">IF($C148="","",$H148-$I148)</f>
        <v/>
      </c>
      <c r="K148" s="35" t="str">
        <f aca="false">IF($C148="","",N($E148)*IFERROR(INDEX(PRODUCTOS!$H$6:$H$105,MATCH($C148,PRODUCTOS!$A$6:$A$105,0)),0))</f>
        <v/>
      </c>
      <c r="L148" s="35" t="str">
        <f aca="false">IF($C148="","",$J148-$K148)</f>
        <v/>
      </c>
      <c r="M148" s="6"/>
      <c r="N148" s="6"/>
      <c r="O148" s="46" t="str">
        <f aca="false">IF($A148="","",DATE(YEAR($A148),MONTH($A148),1))</f>
        <v/>
      </c>
    </row>
    <row r="149" customFormat="false" ht="15" hidden="false" customHeight="false" outlineLevel="0" collapsed="false">
      <c r="A149" s="44"/>
      <c r="B149" s="6"/>
      <c r="C149" s="6"/>
      <c r="D149" s="8" t="str">
        <f aca="false">IF($C149="","",IFERROR(INDEX(PRODUCTOS!$B$6:$B$105,MATCH($C149,PRODUCTOS!$A$6:$A$105,0)),"¿Código?"))</f>
        <v/>
      </c>
      <c r="E149" s="42"/>
      <c r="F149" s="35" t="str">
        <f aca="false">IF($C149="","",IFERROR(INDEX(PRODUCTOS!$D$6:$D$105,MATCH($C149,PRODUCTOS!$A$6:$A$105,0)),0))</f>
        <v/>
      </c>
      <c r="G149" s="40"/>
      <c r="H149" s="35" t="str">
        <f aca="false">IF($C149="","",N($E149)*$F149-N($G149))</f>
        <v/>
      </c>
      <c r="I149" s="35" t="str">
        <f aca="false">IF($C149="","",$H149-$H149/(1+IFERROR(INDEX(PRODUCTOS!$E$6:$E$105,MATCH($C149,PRODUCTOS!$A$6:$A$105,0)),IVA_VENTAS)))</f>
        <v/>
      </c>
      <c r="J149" s="35" t="str">
        <f aca="false">IF($C149="","",$H149-$I149)</f>
        <v/>
      </c>
      <c r="K149" s="35" t="str">
        <f aca="false">IF($C149="","",N($E149)*IFERROR(INDEX(PRODUCTOS!$H$6:$H$105,MATCH($C149,PRODUCTOS!$A$6:$A$105,0)),0))</f>
        <v/>
      </c>
      <c r="L149" s="35" t="str">
        <f aca="false">IF($C149="","",$J149-$K149)</f>
        <v/>
      </c>
      <c r="M149" s="6"/>
      <c r="N149" s="6"/>
      <c r="O149" s="46" t="str">
        <f aca="false">IF($A149="","",DATE(YEAR($A149),MONTH($A149),1))</f>
        <v/>
      </c>
    </row>
    <row r="150" customFormat="false" ht="15" hidden="false" customHeight="false" outlineLevel="0" collapsed="false">
      <c r="A150" s="44"/>
      <c r="B150" s="6"/>
      <c r="C150" s="6"/>
      <c r="D150" s="8" t="str">
        <f aca="false">IF($C150="","",IFERROR(INDEX(PRODUCTOS!$B$6:$B$105,MATCH($C150,PRODUCTOS!$A$6:$A$105,0)),"¿Código?"))</f>
        <v/>
      </c>
      <c r="E150" s="42"/>
      <c r="F150" s="35" t="str">
        <f aca="false">IF($C150="","",IFERROR(INDEX(PRODUCTOS!$D$6:$D$105,MATCH($C150,PRODUCTOS!$A$6:$A$105,0)),0))</f>
        <v/>
      </c>
      <c r="G150" s="40"/>
      <c r="H150" s="35" t="str">
        <f aca="false">IF($C150="","",N($E150)*$F150-N($G150))</f>
        <v/>
      </c>
      <c r="I150" s="35" t="str">
        <f aca="false">IF($C150="","",$H150-$H150/(1+IFERROR(INDEX(PRODUCTOS!$E$6:$E$105,MATCH($C150,PRODUCTOS!$A$6:$A$105,0)),IVA_VENTAS)))</f>
        <v/>
      </c>
      <c r="J150" s="35" t="str">
        <f aca="false">IF($C150="","",$H150-$I150)</f>
        <v/>
      </c>
      <c r="K150" s="35" t="str">
        <f aca="false">IF($C150="","",N($E150)*IFERROR(INDEX(PRODUCTOS!$H$6:$H$105,MATCH($C150,PRODUCTOS!$A$6:$A$105,0)),0))</f>
        <v/>
      </c>
      <c r="L150" s="35" t="str">
        <f aca="false">IF($C150="","",$J150-$K150)</f>
        <v/>
      </c>
      <c r="M150" s="6"/>
      <c r="N150" s="6"/>
      <c r="O150" s="46" t="str">
        <f aca="false">IF($A150="","",DATE(YEAR($A150),MONTH($A150),1))</f>
        <v/>
      </c>
    </row>
    <row r="151" customFormat="false" ht="15" hidden="false" customHeight="false" outlineLevel="0" collapsed="false">
      <c r="A151" s="44"/>
      <c r="B151" s="6"/>
      <c r="C151" s="6"/>
      <c r="D151" s="8" t="str">
        <f aca="false">IF($C151="","",IFERROR(INDEX(PRODUCTOS!$B$6:$B$105,MATCH($C151,PRODUCTOS!$A$6:$A$105,0)),"¿Código?"))</f>
        <v/>
      </c>
      <c r="E151" s="42"/>
      <c r="F151" s="35" t="str">
        <f aca="false">IF($C151="","",IFERROR(INDEX(PRODUCTOS!$D$6:$D$105,MATCH($C151,PRODUCTOS!$A$6:$A$105,0)),0))</f>
        <v/>
      </c>
      <c r="G151" s="40"/>
      <c r="H151" s="35" t="str">
        <f aca="false">IF($C151="","",N($E151)*$F151-N($G151))</f>
        <v/>
      </c>
      <c r="I151" s="35" t="str">
        <f aca="false">IF($C151="","",$H151-$H151/(1+IFERROR(INDEX(PRODUCTOS!$E$6:$E$105,MATCH($C151,PRODUCTOS!$A$6:$A$105,0)),IVA_VENTAS)))</f>
        <v/>
      </c>
      <c r="J151" s="35" t="str">
        <f aca="false">IF($C151="","",$H151-$I151)</f>
        <v/>
      </c>
      <c r="K151" s="35" t="str">
        <f aca="false">IF($C151="","",N($E151)*IFERROR(INDEX(PRODUCTOS!$H$6:$H$105,MATCH($C151,PRODUCTOS!$A$6:$A$105,0)),0))</f>
        <v/>
      </c>
      <c r="L151" s="35" t="str">
        <f aca="false">IF($C151="","",$J151-$K151)</f>
        <v/>
      </c>
      <c r="M151" s="6"/>
      <c r="N151" s="6"/>
      <c r="O151" s="46" t="str">
        <f aca="false">IF($A151="","",DATE(YEAR($A151),MONTH($A151),1))</f>
        <v/>
      </c>
    </row>
    <row r="152" customFormat="false" ht="15" hidden="false" customHeight="false" outlineLevel="0" collapsed="false">
      <c r="A152" s="44"/>
      <c r="B152" s="6"/>
      <c r="C152" s="6"/>
      <c r="D152" s="8" t="str">
        <f aca="false">IF($C152="","",IFERROR(INDEX(PRODUCTOS!$B$6:$B$105,MATCH($C152,PRODUCTOS!$A$6:$A$105,0)),"¿Código?"))</f>
        <v/>
      </c>
      <c r="E152" s="42"/>
      <c r="F152" s="35" t="str">
        <f aca="false">IF($C152="","",IFERROR(INDEX(PRODUCTOS!$D$6:$D$105,MATCH($C152,PRODUCTOS!$A$6:$A$105,0)),0))</f>
        <v/>
      </c>
      <c r="G152" s="40"/>
      <c r="H152" s="35" t="str">
        <f aca="false">IF($C152="","",N($E152)*$F152-N($G152))</f>
        <v/>
      </c>
      <c r="I152" s="35" t="str">
        <f aca="false">IF($C152="","",$H152-$H152/(1+IFERROR(INDEX(PRODUCTOS!$E$6:$E$105,MATCH($C152,PRODUCTOS!$A$6:$A$105,0)),IVA_VENTAS)))</f>
        <v/>
      </c>
      <c r="J152" s="35" t="str">
        <f aca="false">IF($C152="","",$H152-$I152)</f>
        <v/>
      </c>
      <c r="K152" s="35" t="str">
        <f aca="false">IF($C152="","",N($E152)*IFERROR(INDEX(PRODUCTOS!$H$6:$H$105,MATCH($C152,PRODUCTOS!$A$6:$A$105,0)),0))</f>
        <v/>
      </c>
      <c r="L152" s="35" t="str">
        <f aca="false">IF($C152="","",$J152-$K152)</f>
        <v/>
      </c>
      <c r="M152" s="6"/>
      <c r="N152" s="6"/>
      <c r="O152" s="46" t="str">
        <f aca="false">IF($A152="","",DATE(YEAR($A152),MONTH($A152),1))</f>
        <v/>
      </c>
    </row>
    <row r="153" customFormat="false" ht="15" hidden="false" customHeight="false" outlineLevel="0" collapsed="false">
      <c r="A153" s="44"/>
      <c r="B153" s="6"/>
      <c r="C153" s="6"/>
      <c r="D153" s="8" t="str">
        <f aca="false">IF($C153="","",IFERROR(INDEX(PRODUCTOS!$B$6:$B$105,MATCH($C153,PRODUCTOS!$A$6:$A$105,0)),"¿Código?"))</f>
        <v/>
      </c>
      <c r="E153" s="42"/>
      <c r="F153" s="35" t="str">
        <f aca="false">IF($C153="","",IFERROR(INDEX(PRODUCTOS!$D$6:$D$105,MATCH($C153,PRODUCTOS!$A$6:$A$105,0)),0))</f>
        <v/>
      </c>
      <c r="G153" s="40"/>
      <c r="H153" s="35" t="str">
        <f aca="false">IF($C153="","",N($E153)*$F153-N($G153))</f>
        <v/>
      </c>
      <c r="I153" s="35" t="str">
        <f aca="false">IF($C153="","",$H153-$H153/(1+IFERROR(INDEX(PRODUCTOS!$E$6:$E$105,MATCH($C153,PRODUCTOS!$A$6:$A$105,0)),IVA_VENTAS)))</f>
        <v/>
      </c>
      <c r="J153" s="35" t="str">
        <f aca="false">IF($C153="","",$H153-$I153)</f>
        <v/>
      </c>
      <c r="K153" s="35" t="str">
        <f aca="false">IF($C153="","",N($E153)*IFERROR(INDEX(PRODUCTOS!$H$6:$H$105,MATCH($C153,PRODUCTOS!$A$6:$A$105,0)),0))</f>
        <v/>
      </c>
      <c r="L153" s="35" t="str">
        <f aca="false">IF($C153="","",$J153-$K153)</f>
        <v/>
      </c>
      <c r="M153" s="6"/>
      <c r="N153" s="6"/>
      <c r="O153" s="46" t="str">
        <f aca="false">IF($A153="","",DATE(YEAR($A153),MONTH($A153),1))</f>
        <v/>
      </c>
    </row>
    <row r="154" customFormat="false" ht="15" hidden="false" customHeight="false" outlineLevel="0" collapsed="false">
      <c r="A154" s="44"/>
      <c r="B154" s="6"/>
      <c r="C154" s="6"/>
      <c r="D154" s="8" t="str">
        <f aca="false">IF($C154="","",IFERROR(INDEX(PRODUCTOS!$B$6:$B$105,MATCH($C154,PRODUCTOS!$A$6:$A$105,0)),"¿Código?"))</f>
        <v/>
      </c>
      <c r="E154" s="42"/>
      <c r="F154" s="35" t="str">
        <f aca="false">IF($C154="","",IFERROR(INDEX(PRODUCTOS!$D$6:$D$105,MATCH($C154,PRODUCTOS!$A$6:$A$105,0)),0))</f>
        <v/>
      </c>
      <c r="G154" s="40"/>
      <c r="H154" s="35" t="str">
        <f aca="false">IF($C154="","",N($E154)*$F154-N($G154))</f>
        <v/>
      </c>
      <c r="I154" s="35" t="str">
        <f aca="false">IF($C154="","",$H154-$H154/(1+IFERROR(INDEX(PRODUCTOS!$E$6:$E$105,MATCH($C154,PRODUCTOS!$A$6:$A$105,0)),IVA_VENTAS)))</f>
        <v/>
      </c>
      <c r="J154" s="35" t="str">
        <f aca="false">IF($C154="","",$H154-$I154)</f>
        <v/>
      </c>
      <c r="K154" s="35" t="str">
        <f aca="false">IF($C154="","",N($E154)*IFERROR(INDEX(PRODUCTOS!$H$6:$H$105,MATCH($C154,PRODUCTOS!$A$6:$A$105,0)),0))</f>
        <v/>
      </c>
      <c r="L154" s="35" t="str">
        <f aca="false">IF($C154="","",$J154-$K154)</f>
        <v/>
      </c>
      <c r="M154" s="6"/>
      <c r="N154" s="6"/>
      <c r="O154" s="46" t="str">
        <f aca="false">IF($A154="","",DATE(YEAR($A154),MONTH($A154),1))</f>
        <v/>
      </c>
    </row>
    <row r="155" customFormat="false" ht="15" hidden="false" customHeight="false" outlineLevel="0" collapsed="false">
      <c r="A155" s="44"/>
      <c r="B155" s="6"/>
      <c r="C155" s="6"/>
      <c r="D155" s="8" t="str">
        <f aca="false">IF($C155="","",IFERROR(INDEX(PRODUCTOS!$B$6:$B$105,MATCH($C155,PRODUCTOS!$A$6:$A$105,0)),"¿Código?"))</f>
        <v/>
      </c>
      <c r="E155" s="42"/>
      <c r="F155" s="35" t="str">
        <f aca="false">IF($C155="","",IFERROR(INDEX(PRODUCTOS!$D$6:$D$105,MATCH($C155,PRODUCTOS!$A$6:$A$105,0)),0))</f>
        <v/>
      </c>
      <c r="G155" s="40"/>
      <c r="H155" s="35" t="str">
        <f aca="false">IF($C155="","",N($E155)*$F155-N($G155))</f>
        <v/>
      </c>
      <c r="I155" s="35" t="str">
        <f aca="false">IF($C155="","",$H155-$H155/(1+IFERROR(INDEX(PRODUCTOS!$E$6:$E$105,MATCH($C155,PRODUCTOS!$A$6:$A$105,0)),IVA_VENTAS)))</f>
        <v/>
      </c>
      <c r="J155" s="35" t="str">
        <f aca="false">IF($C155="","",$H155-$I155)</f>
        <v/>
      </c>
      <c r="K155" s="35" t="str">
        <f aca="false">IF($C155="","",N($E155)*IFERROR(INDEX(PRODUCTOS!$H$6:$H$105,MATCH($C155,PRODUCTOS!$A$6:$A$105,0)),0))</f>
        <v/>
      </c>
      <c r="L155" s="35" t="str">
        <f aca="false">IF($C155="","",$J155-$K155)</f>
        <v/>
      </c>
      <c r="M155" s="6"/>
      <c r="N155" s="6"/>
      <c r="O155" s="46" t="str">
        <f aca="false">IF($A155="","",DATE(YEAR($A155),MONTH($A155),1))</f>
        <v/>
      </c>
    </row>
    <row r="156" customFormat="false" ht="15" hidden="false" customHeight="false" outlineLevel="0" collapsed="false">
      <c r="A156" s="44"/>
      <c r="B156" s="6"/>
      <c r="C156" s="6"/>
      <c r="D156" s="8" t="str">
        <f aca="false">IF($C156="","",IFERROR(INDEX(PRODUCTOS!$B$6:$B$105,MATCH($C156,PRODUCTOS!$A$6:$A$105,0)),"¿Código?"))</f>
        <v/>
      </c>
      <c r="E156" s="42"/>
      <c r="F156" s="35" t="str">
        <f aca="false">IF($C156="","",IFERROR(INDEX(PRODUCTOS!$D$6:$D$105,MATCH($C156,PRODUCTOS!$A$6:$A$105,0)),0))</f>
        <v/>
      </c>
      <c r="G156" s="40"/>
      <c r="H156" s="35" t="str">
        <f aca="false">IF($C156="","",N($E156)*$F156-N($G156))</f>
        <v/>
      </c>
      <c r="I156" s="35" t="str">
        <f aca="false">IF($C156="","",$H156-$H156/(1+IFERROR(INDEX(PRODUCTOS!$E$6:$E$105,MATCH($C156,PRODUCTOS!$A$6:$A$105,0)),IVA_VENTAS)))</f>
        <v/>
      </c>
      <c r="J156" s="35" t="str">
        <f aca="false">IF($C156="","",$H156-$I156)</f>
        <v/>
      </c>
      <c r="K156" s="35" t="str">
        <f aca="false">IF($C156="","",N($E156)*IFERROR(INDEX(PRODUCTOS!$H$6:$H$105,MATCH($C156,PRODUCTOS!$A$6:$A$105,0)),0))</f>
        <v/>
      </c>
      <c r="L156" s="35" t="str">
        <f aca="false">IF($C156="","",$J156-$K156)</f>
        <v/>
      </c>
      <c r="M156" s="6"/>
      <c r="N156" s="6"/>
      <c r="O156" s="46" t="str">
        <f aca="false">IF($A156="","",DATE(YEAR($A156),MONTH($A156),1))</f>
        <v/>
      </c>
    </row>
    <row r="157" customFormat="false" ht="15" hidden="false" customHeight="false" outlineLevel="0" collapsed="false">
      <c r="A157" s="44"/>
      <c r="B157" s="6"/>
      <c r="C157" s="6"/>
      <c r="D157" s="8" t="str">
        <f aca="false">IF($C157="","",IFERROR(INDEX(PRODUCTOS!$B$6:$B$105,MATCH($C157,PRODUCTOS!$A$6:$A$105,0)),"¿Código?"))</f>
        <v/>
      </c>
      <c r="E157" s="42"/>
      <c r="F157" s="35" t="str">
        <f aca="false">IF($C157="","",IFERROR(INDEX(PRODUCTOS!$D$6:$D$105,MATCH($C157,PRODUCTOS!$A$6:$A$105,0)),0))</f>
        <v/>
      </c>
      <c r="G157" s="40"/>
      <c r="H157" s="35" t="str">
        <f aca="false">IF($C157="","",N($E157)*$F157-N($G157))</f>
        <v/>
      </c>
      <c r="I157" s="35" t="str">
        <f aca="false">IF($C157="","",$H157-$H157/(1+IFERROR(INDEX(PRODUCTOS!$E$6:$E$105,MATCH($C157,PRODUCTOS!$A$6:$A$105,0)),IVA_VENTAS)))</f>
        <v/>
      </c>
      <c r="J157" s="35" t="str">
        <f aca="false">IF($C157="","",$H157-$I157)</f>
        <v/>
      </c>
      <c r="K157" s="35" t="str">
        <f aca="false">IF($C157="","",N($E157)*IFERROR(INDEX(PRODUCTOS!$H$6:$H$105,MATCH($C157,PRODUCTOS!$A$6:$A$105,0)),0))</f>
        <v/>
      </c>
      <c r="L157" s="35" t="str">
        <f aca="false">IF($C157="","",$J157-$K157)</f>
        <v/>
      </c>
      <c r="M157" s="6"/>
      <c r="N157" s="6"/>
      <c r="O157" s="46" t="str">
        <f aca="false">IF($A157="","",DATE(YEAR($A157),MONTH($A157),1))</f>
        <v/>
      </c>
    </row>
    <row r="158" customFormat="false" ht="15" hidden="false" customHeight="false" outlineLevel="0" collapsed="false">
      <c r="A158" s="44"/>
      <c r="B158" s="6"/>
      <c r="C158" s="6"/>
      <c r="D158" s="8" t="str">
        <f aca="false">IF($C158="","",IFERROR(INDEX(PRODUCTOS!$B$6:$B$105,MATCH($C158,PRODUCTOS!$A$6:$A$105,0)),"¿Código?"))</f>
        <v/>
      </c>
      <c r="E158" s="42"/>
      <c r="F158" s="35" t="str">
        <f aca="false">IF($C158="","",IFERROR(INDEX(PRODUCTOS!$D$6:$D$105,MATCH($C158,PRODUCTOS!$A$6:$A$105,0)),0))</f>
        <v/>
      </c>
      <c r="G158" s="40"/>
      <c r="H158" s="35" t="str">
        <f aca="false">IF($C158="","",N($E158)*$F158-N($G158))</f>
        <v/>
      </c>
      <c r="I158" s="35" t="str">
        <f aca="false">IF($C158="","",$H158-$H158/(1+IFERROR(INDEX(PRODUCTOS!$E$6:$E$105,MATCH($C158,PRODUCTOS!$A$6:$A$105,0)),IVA_VENTAS)))</f>
        <v/>
      </c>
      <c r="J158" s="35" t="str">
        <f aca="false">IF($C158="","",$H158-$I158)</f>
        <v/>
      </c>
      <c r="K158" s="35" t="str">
        <f aca="false">IF($C158="","",N($E158)*IFERROR(INDEX(PRODUCTOS!$H$6:$H$105,MATCH($C158,PRODUCTOS!$A$6:$A$105,0)),0))</f>
        <v/>
      </c>
      <c r="L158" s="35" t="str">
        <f aca="false">IF($C158="","",$J158-$K158)</f>
        <v/>
      </c>
      <c r="M158" s="6"/>
      <c r="N158" s="6"/>
      <c r="O158" s="46" t="str">
        <f aca="false">IF($A158="","",DATE(YEAR($A158),MONTH($A158),1))</f>
        <v/>
      </c>
    </row>
    <row r="159" customFormat="false" ht="15" hidden="false" customHeight="false" outlineLevel="0" collapsed="false">
      <c r="A159" s="44"/>
      <c r="B159" s="6"/>
      <c r="C159" s="6"/>
      <c r="D159" s="8" t="str">
        <f aca="false">IF($C159="","",IFERROR(INDEX(PRODUCTOS!$B$6:$B$105,MATCH($C159,PRODUCTOS!$A$6:$A$105,0)),"¿Código?"))</f>
        <v/>
      </c>
      <c r="E159" s="42"/>
      <c r="F159" s="35" t="str">
        <f aca="false">IF($C159="","",IFERROR(INDEX(PRODUCTOS!$D$6:$D$105,MATCH($C159,PRODUCTOS!$A$6:$A$105,0)),0))</f>
        <v/>
      </c>
      <c r="G159" s="40"/>
      <c r="H159" s="35" t="str">
        <f aca="false">IF($C159="","",N($E159)*$F159-N($G159))</f>
        <v/>
      </c>
      <c r="I159" s="35" t="str">
        <f aca="false">IF($C159="","",$H159-$H159/(1+IFERROR(INDEX(PRODUCTOS!$E$6:$E$105,MATCH($C159,PRODUCTOS!$A$6:$A$105,0)),IVA_VENTAS)))</f>
        <v/>
      </c>
      <c r="J159" s="35" t="str">
        <f aca="false">IF($C159="","",$H159-$I159)</f>
        <v/>
      </c>
      <c r="K159" s="35" t="str">
        <f aca="false">IF($C159="","",N($E159)*IFERROR(INDEX(PRODUCTOS!$H$6:$H$105,MATCH($C159,PRODUCTOS!$A$6:$A$105,0)),0))</f>
        <v/>
      </c>
      <c r="L159" s="35" t="str">
        <f aca="false">IF($C159="","",$J159-$K159)</f>
        <v/>
      </c>
      <c r="M159" s="6"/>
      <c r="N159" s="6"/>
      <c r="O159" s="46" t="str">
        <f aca="false">IF($A159="","",DATE(YEAR($A159),MONTH($A159),1))</f>
        <v/>
      </c>
    </row>
    <row r="160" customFormat="false" ht="15" hidden="false" customHeight="false" outlineLevel="0" collapsed="false">
      <c r="A160" s="44"/>
      <c r="B160" s="6"/>
      <c r="C160" s="6"/>
      <c r="D160" s="8" t="str">
        <f aca="false">IF($C160="","",IFERROR(INDEX(PRODUCTOS!$B$6:$B$105,MATCH($C160,PRODUCTOS!$A$6:$A$105,0)),"¿Código?"))</f>
        <v/>
      </c>
      <c r="E160" s="42"/>
      <c r="F160" s="35" t="str">
        <f aca="false">IF($C160="","",IFERROR(INDEX(PRODUCTOS!$D$6:$D$105,MATCH($C160,PRODUCTOS!$A$6:$A$105,0)),0))</f>
        <v/>
      </c>
      <c r="G160" s="40"/>
      <c r="H160" s="35" t="str">
        <f aca="false">IF($C160="","",N($E160)*$F160-N($G160))</f>
        <v/>
      </c>
      <c r="I160" s="35" t="str">
        <f aca="false">IF($C160="","",$H160-$H160/(1+IFERROR(INDEX(PRODUCTOS!$E$6:$E$105,MATCH($C160,PRODUCTOS!$A$6:$A$105,0)),IVA_VENTAS)))</f>
        <v/>
      </c>
      <c r="J160" s="35" t="str">
        <f aca="false">IF($C160="","",$H160-$I160)</f>
        <v/>
      </c>
      <c r="K160" s="35" t="str">
        <f aca="false">IF($C160="","",N($E160)*IFERROR(INDEX(PRODUCTOS!$H$6:$H$105,MATCH($C160,PRODUCTOS!$A$6:$A$105,0)),0))</f>
        <v/>
      </c>
      <c r="L160" s="35" t="str">
        <f aca="false">IF($C160="","",$J160-$K160)</f>
        <v/>
      </c>
      <c r="M160" s="6"/>
      <c r="N160" s="6"/>
      <c r="O160" s="46" t="str">
        <f aca="false">IF($A160="","",DATE(YEAR($A160),MONTH($A160),1))</f>
        <v/>
      </c>
    </row>
    <row r="161" customFormat="false" ht="15" hidden="false" customHeight="false" outlineLevel="0" collapsed="false">
      <c r="A161" s="44"/>
      <c r="B161" s="6"/>
      <c r="C161" s="6"/>
      <c r="D161" s="8" t="str">
        <f aca="false">IF($C161="","",IFERROR(INDEX(PRODUCTOS!$B$6:$B$105,MATCH($C161,PRODUCTOS!$A$6:$A$105,0)),"¿Código?"))</f>
        <v/>
      </c>
      <c r="E161" s="42"/>
      <c r="F161" s="35" t="str">
        <f aca="false">IF($C161="","",IFERROR(INDEX(PRODUCTOS!$D$6:$D$105,MATCH($C161,PRODUCTOS!$A$6:$A$105,0)),0))</f>
        <v/>
      </c>
      <c r="G161" s="40"/>
      <c r="H161" s="35" t="str">
        <f aca="false">IF($C161="","",N($E161)*$F161-N($G161))</f>
        <v/>
      </c>
      <c r="I161" s="35" t="str">
        <f aca="false">IF($C161="","",$H161-$H161/(1+IFERROR(INDEX(PRODUCTOS!$E$6:$E$105,MATCH($C161,PRODUCTOS!$A$6:$A$105,0)),IVA_VENTAS)))</f>
        <v/>
      </c>
      <c r="J161" s="35" t="str">
        <f aca="false">IF($C161="","",$H161-$I161)</f>
        <v/>
      </c>
      <c r="K161" s="35" t="str">
        <f aca="false">IF($C161="","",N($E161)*IFERROR(INDEX(PRODUCTOS!$H$6:$H$105,MATCH($C161,PRODUCTOS!$A$6:$A$105,0)),0))</f>
        <v/>
      </c>
      <c r="L161" s="35" t="str">
        <f aca="false">IF($C161="","",$J161-$K161)</f>
        <v/>
      </c>
      <c r="M161" s="6"/>
      <c r="N161" s="6"/>
      <c r="O161" s="46" t="str">
        <f aca="false">IF($A161="","",DATE(YEAR($A161),MONTH($A161),1))</f>
        <v/>
      </c>
    </row>
    <row r="162" customFormat="false" ht="15" hidden="false" customHeight="false" outlineLevel="0" collapsed="false">
      <c r="A162" s="44"/>
      <c r="B162" s="6"/>
      <c r="C162" s="6"/>
      <c r="D162" s="8" t="str">
        <f aca="false">IF($C162="","",IFERROR(INDEX(PRODUCTOS!$B$6:$B$105,MATCH($C162,PRODUCTOS!$A$6:$A$105,0)),"¿Código?"))</f>
        <v/>
      </c>
      <c r="E162" s="42"/>
      <c r="F162" s="35" t="str">
        <f aca="false">IF($C162="","",IFERROR(INDEX(PRODUCTOS!$D$6:$D$105,MATCH($C162,PRODUCTOS!$A$6:$A$105,0)),0))</f>
        <v/>
      </c>
      <c r="G162" s="40"/>
      <c r="H162" s="35" t="str">
        <f aca="false">IF($C162="","",N($E162)*$F162-N($G162))</f>
        <v/>
      </c>
      <c r="I162" s="35" t="str">
        <f aca="false">IF($C162="","",$H162-$H162/(1+IFERROR(INDEX(PRODUCTOS!$E$6:$E$105,MATCH($C162,PRODUCTOS!$A$6:$A$105,0)),IVA_VENTAS)))</f>
        <v/>
      </c>
      <c r="J162" s="35" t="str">
        <f aca="false">IF($C162="","",$H162-$I162)</f>
        <v/>
      </c>
      <c r="K162" s="35" t="str">
        <f aca="false">IF($C162="","",N($E162)*IFERROR(INDEX(PRODUCTOS!$H$6:$H$105,MATCH($C162,PRODUCTOS!$A$6:$A$105,0)),0))</f>
        <v/>
      </c>
      <c r="L162" s="35" t="str">
        <f aca="false">IF($C162="","",$J162-$K162)</f>
        <v/>
      </c>
      <c r="M162" s="6"/>
      <c r="N162" s="6"/>
      <c r="O162" s="46" t="str">
        <f aca="false">IF($A162="","",DATE(YEAR($A162),MONTH($A162),1))</f>
        <v/>
      </c>
    </row>
    <row r="163" customFormat="false" ht="15" hidden="false" customHeight="false" outlineLevel="0" collapsed="false">
      <c r="A163" s="44"/>
      <c r="B163" s="6"/>
      <c r="C163" s="6"/>
      <c r="D163" s="8" t="str">
        <f aca="false">IF($C163="","",IFERROR(INDEX(PRODUCTOS!$B$6:$B$105,MATCH($C163,PRODUCTOS!$A$6:$A$105,0)),"¿Código?"))</f>
        <v/>
      </c>
      <c r="E163" s="42"/>
      <c r="F163" s="35" t="str">
        <f aca="false">IF($C163="","",IFERROR(INDEX(PRODUCTOS!$D$6:$D$105,MATCH($C163,PRODUCTOS!$A$6:$A$105,0)),0))</f>
        <v/>
      </c>
      <c r="G163" s="40"/>
      <c r="H163" s="35" t="str">
        <f aca="false">IF($C163="","",N($E163)*$F163-N($G163))</f>
        <v/>
      </c>
      <c r="I163" s="35" t="str">
        <f aca="false">IF($C163="","",$H163-$H163/(1+IFERROR(INDEX(PRODUCTOS!$E$6:$E$105,MATCH($C163,PRODUCTOS!$A$6:$A$105,0)),IVA_VENTAS)))</f>
        <v/>
      </c>
      <c r="J163" s="35" t="str">
        <f aca="false">IF($C163="","",$H163-$I163)</f>
        <v/>
      </c>
      <c r="K163" s="35" t="str">
        <f aca="false">IF($C163="","",N($E163)*IFERROR(INDEX(PRODUCTOS!$H$6:$H$105,MATCH($C163,PRODUCTOS!$A$6:$A$105,0)),0))</f>
        <v/>
      </c>
      <c r="L163" s="35" t="str">
        <f aca="false">IF($C163="","",$J163-$K163)</f>
        <v/>
      </c>
      <c r="M163" s="6"/>
      <c r="N163" s="6"/>
      <c r="O163" s="46" t="str">
        <f aca="false">IF($A163="","",DATE(YEAR($A163),MONTH($A163),1))</f>
        <v/>
      </c>
    </row>
    <row r="164" customFormat="false" ht="15" hidden="false" customHeight="false" outlineLevel="0" collapsed="false">
      <c r="A164" s="44"/>
      <c r="B164" s="6"/>
      <c r="C164" s="6"/>
      <c r="D164" s="8" t="str">
        <f aca="false">IF($C164="","",IFERROR(INDEX(PRODUCTOS!$B$6:$B$105,MATCH($C164,PRODUCTOS!$A$6:$A$105,0)),"¿Código?"))</f>
        <v/>
      </c>
      <c r="E164" s="42"/>
      <c r="F164" s="35" t="str">
        <f aca="false">IF($C164="","",IFERROR(INDEX(PRODUCTOS!$D$6:$D$105,MATCH($C164,PRODUCTOS!$A$6:$A$105,0)),0))</f>
        <v/>
      </c>
      <c r="G164" s="40"/>
      <c r="H164" s="35" t="str">
        <f aca="false">IF($C164="","",N($E164)*$F164-N($G164))</f>
        <v/>
      </c>
      <c r="I164" s="35" t="str">
        <f aca="false">IF($C164="","",$H164-$H164/(1+IFERROR(INDEX(PRODUCTOS!$E$6:$E$105,MATCH($C164,PRODUCTOS!$A$6:$A$105,0)),IVA_VENTAS)))</f>
        <v/>
      </c>
      <c r="J164" s="35" t="str">
        <f aca="false">IF($C164="","",$H164-$I164)</f>
        <v/>
      </c>
      <c r="K164" s="35" t="str">
        <f aca="false">IF($C164="","",N($E164)*IFERROR(INDEX(PRODUCTOS!$H$6:$H$105,MATCH($C164,PRODUCTOS!$A$6:$A$105,0)),0))</f>
        <v/>
      </c>
      <c r="L164" s="35" t="str">
        <f aca="false">IF($C164="","",$J164-$K164)</f>
        <v/>
      </c>
      <c r="M164" s="6"/>
      <c r="N164" s="6"/>
      <c r="O164" s="46" t="str">
        <f aca="false">IF($A164="","",DATE(YEAR($A164),MONTH($A164),1))</f>
        <v/>
      </c>
    </row>
    <row r="165" customFormat="false" ht="15" hidden="false" customHeight="false" outlineLevel="0" collapsed="false">
      <c r="A165" s="44"/>
      <c r="B165" s="6"/>
      <c r="C165" s="6"/>
      <c r="D165" s="8" t="str">
        <f aca="false">IF($C165="","",IFERROR(INDEX(PRODUCTOS!$B$6:$B$105,MATCH($C165,PRODUCTOS!$A$6:$A$105,0)),"¿Código?"))</f>
        <v/>
      </c>
      <c r="E165" s="42"/>
      <c r="F165" s="35" t="str">
        <f aca="false">IF($C165="","",IFERROR(INDEX(PRODUCTOS!$D$6:$D$105,MATCH($C165,PRODUCTOS!$A$6:$A$105,0)),0))</f>
        <v/>
      </c>
      <c r="G165" s="40"/>
      <c r="H165" s="35" t="str">
        <f aca="false">IF($C165="","",N($E165)*$F165-N($G165))</f>
        <v/>
      </c>
      <c r="I165" s="35" t="str">
        <f aca="false">IF($C165="","",$H165-$H165/(1+IFERROR(INDEX(PRODUCTOS!$E$6:$E$105,MATCH($C165,PRODUCTOS!$A$6:$A$105,0)),IVA_VENTAS)))</f>
        <v/>
      </c>
      <c r="J165" s="35" t="str">
        <f aca="false">IF($C165="","",$H165-$I165)</f>
        <v/>
      </c>
      <c r="K165" s="35" t="str">
        <f aca="false">IF($C165="","",N($E165)*IFERROR(INDEX(PRODUCTOS!$H$6:$H$105,MATCH($C165,PRODUCTOS!$A$6:$A$105,0)),0))</f>
        <v/>
      </c>
      <c r="L165" s="35" t="str">
        <f aca="false">IF($C165="","",$J165-$K165)</f>
        <v/>
      </c>
      <c r="M165" s="6"/>
      <c r="N165" s="6"/>
      <c r="O165" s="46" t="str">
        <f aca="false">IF($A165="","",DATE(YEAR($A165),MONTH($A165),1))</f>
        <v/>
      </c>
    </row>
    <row r="166" customFormat="false" ht="15" hidden="false" customHeight="false" outlineLevel="0" collapsed="false">
      <c r="A166" s="44"/>
      <c r="B166" s="6"/>
      <c r="C166" s="6"/>
      <c r="D166" s="8" t="str">
        <f aca="false">IF($C166="","",IFERROR(INDEX(PRODUCTOS!$B$6:$B$105,MATCH($C166,PRODUCTOS!$A$6:$A$105,0)),"¿Código?"))</f>
        <v/>
      </c>
      <c r="E166" s="42"/>
      <c r="F166" s="35" t="str">
        <f aca="false">IF($C166="","",IFERROR(INDEX(PRODUCTOS!$D$6:$D$105,MATCH($C166,PRODUCTOS!$A$6:$A$105,0)),0))</f>
        <v/>
      </c>
      <c r="G166" s="40"/>
      <c r="H166" s="35" t="str">
        <f aca="false">IF($C166="","",N($E166)*$F166-N($G166))</f>
        <v/>
      </c>
      <c r="I166" s="35" t="str">
        <f aca="false">IF($C166="","",$H166-$H166/(1+IFERROR(INDEX(PRODUCTOS!$E$6:$E$105,MATCH($C166,PRODUCTOS!$A$6:$A$105,0)),IVA_VENTAS)))</f>
        <v/>
      </c>
      <c r="J166" s="35" t="str">
        <f aca="false">IF($C166="","",$H166-$I166)</f>
        <v/>
      </c>
      <c r="K166" s="35" t="str">
        <f aca="false">IF($C166="","",N($E166)*IFERROR(INDEX(PRODUCTOS!$H$6:$H$105,MATCH($C166,PRODUCTOS!$A$6:$A$105,0)),0))</f>
        <v/>
      </c>
      <c r="L166" s="35" t="str">
        <f aca="false">IF($C166="","",$J166-$K166)</f>
        <v/>
      </c>
      <c r="M166" s="6"/>
      <c r="N166" s="6"/>
      <c r="O166" s="46" t="str">
        <f aca="false">IF($A166="","",DATE(YEAR($A166),MONTH($A166),1))</f>
        <v/>
      </c>
    </row>
    <row r="167" customFormat="false" ht="15" hidden="false" customHeight="false" outlineLevel="0" collapsed="false">
      <c r="A167" s="44"/>
      <c r="B167" s="6"/>
      <c r="C167" s="6"/>
      <c r="D167" s="8" t="str">
        <f aca="false">IF($C167="","",IFERROR(INDEX(PRODUCTOS!$B$6:$B$105,MATCH($C167,PRODUCTOS!$A$6:$A$105,0)),"¿Código?"))</f>
        <v/>
      </c>
      <c r="E167" s="42"/>
      <c r="F167" s="35" t="str">
        <f aca="false">IF($C167="","",IFERROR(INDEX(PRODUCTOS!$D$6:$D$105,MATCH($C167,PRODUCTOS!$A$6:$A$105,0)),0))</f>
        <v/>
      </c>
      <c r="G167" s="40"/>
      <c r="H167" s="35" t="str">
        <f aca="false">IF($C167="","",N($E167)*$F167-N($G167))</f>
        <v/>
      </c>
      <c r="I167" s="35" t="str">
        <f aca="false">IF($C167="","",$H167-$H167/(1+IFERROR(INDEX(PRODUCTOS!$E$6:$E$105,MATCH($C167,PRODUCTOS!$A$6:$A$105,0)),IVA_VENTAS)))</f>
        <v/>
      </c>
      <c r="J167" s="35" t="str">
        <f aca="false">IF($C167="","",$H167-$I167)</f>
        <v/>
      </c>
      <c r="K167" s="35" t="str">
        <f aca="false">IF($C167="","",N($E167)*IFERROR(INDEX(PRODUCTOS!$H$6:$H$105,MATCH($C167,PRODUCTOS!$A$6:$A$105,0)),0))</f>
        <v/>
      </c>
      <c r="L167" s="35" t="str">
        <f aca="false">IF($C167="","",$J167-$K167)</f>
        <v/>
      </c>
      <c r="M167" s="6"/>
      <c r="N167" s="6"/>
      <c r="O167" s="46" t="str">
        <f aca="false">IF($A167="","",DATE(YEAR($A167),MONTH($A167),1))</f>
        <v/>
      </c>
    </row>
    <row r="168" customFormat="false" ht="15" hidden="false" customHeight="false" outlineLevel="0" collapsed="false">
      <c r="A168" s="44"/>
      <c r="B168" s="6"/>
      <c r="C168" s="6"/>
      <c r="D168" s="8" t="str">
        <f aca="false">IF($C168="","",IFERROR(INDEX(PRODUCTOS!$B$6:$B$105,MATCH($C168,PRODUCTOS!$A$6:$A$105,0)),"¿Código?"))</f>
        <v/>
      </c>
      <c r="E168" s="42"/>
      <c r="F168" s="35" t="str">
        <f aca="false">IF($C168="","",IFERROR(INDEX(PRODUCTOS!$D$6:$D$105,MATCH($C168,PRODUCTOS!$A$6:$A$105,0)),0))</f>
        <v/>
      </c>
      <c r="G168" s="40"/>
      <c r="H168" s="35" t="str">
        <f aca="false">IF($C168="","",N($E168)*$F168-N($G168))</f>
        <v/>
      </c>
      <c r="I168" s="35" t="str">
        <f aca="false">IF($C168="","",$H168-$H168/(1+IFERROR(INDEX(PRODUCTOS!$E$6:$E$105,MATCH($C168,PRODUCTOS!$A$6:$A$105,0)),IVA_VENTAS)))</f>
        <v/>
      </c>
      <c r="J168" s="35" t="str">
        <f aca="false">IF($C168="","",$H168-$I168)</f>
        <v/>
      </c>
      <c r="K168" s="35" t="str">
        <f aca="false">IF($C168="","",N($E168)*IFERROR(INDEX(PRODUCTOS!$H$6:$H$105,MATCH($C168,PRODUCTOS!$A$6:$A$105,0)),0))</f>
        <v/>
      </c>
      <c r="L168" s="35" t="str">
        <f aca="false">IF($C168="","",$J168-$K168)</f>
        <v/>
      </c>
      <c r="M168" s="6"/>
      <c r="N168" s="6"/>
      <c r="O168" s="46" t="str">
        <f aca="false">IF($A168="","",DATE(YEAR($A168),MONTH($A168),1))</f>
        <v/>
      </c>
    </row>
    <row r="169" customFormat="false" ht="15" hidden="false" customHeight="false" outlineLevel="0" collapsed="false">
      <c r="A169" s="44"/>
      <c r="B169" s="6"/>
      <c r="C169" s="6"/>
      <c r="D169" s="8" t="str">
        <f aca="false">IF($C169="","",IFERROR(INDEX(PRODUCTOS!$B$6:$B$105,MATCH($C169,PRODUCTOS!$A$6:$A$105,0)),"¿Código?"))</f>
        <v/>
      </c>
      <c r="E169" s="42"/>
      <c r="F169" s="35" t="str">
        <f aca="false">IF($C169="","",IFERROR(INDEX(PRODUCTOS!$D$6:$D$105,MATCH($C169,PRODUCTOS!$A$6:$A$105,0)),0))</f>
        <v/>
      </c>
      <c r="G169" s="40"/>
      <c r="H169" s="35" t="str">
        <f aca="false">IF($C169="","",N($E169)*$F169-N($G169))</f>
        <v/>
      </c>
      <c r="I169" s="35" t="str">
        <f aca="false">IF($C169="","",$H169-$H169/(1+IFERROR(INDEX(PRODUCTOS!$E$6:$E$105,MATCH($C169,PRODUCTOS!$A$6:$A$105,0)),IVA_VENTAS)))</f>
        <v/>
      </c>
      <c r="J169" s="35" t="str">
        <f aca="false">IF($C169="","",$H169-$I169)</f>
        <v/>
      </c>
      <c r="K169" s="35" t="str">
        <f aca="false">IF($C169="","",N($E169)*IFERROR(INDEX(PRODUCTOS!$H$6:$H$105,MATCH($C169,PRODUCTOS!$A$6:$A$105,0)),0))</f>
        <v/>
      </c>
      <c r="L169" s="35" t="str">
        <f aca="false">IF($C169="","",$J169-$K169)</f>
        <v/>
      </c>
      <c r="M169" s="6"/>
      <c r="N169" s="6"/>
      <c r="O169" s="46" t="str">
        <f aca="false">IF($A169="","",DATE(YEAR($A169),MONTH($A169),1))</f>
        <v/>
      </c>
    </row>
    <row r="170" customFormat="false" ht="15" hidden="false" customHeight="false" outlineLevel="0" collapsed="false">
      <c r="A170" s="44"/>
      <c r="B170" s="6"/>
      <c r="C170" s="6"/>
      <c r="D170" s="8" t="str">
        <f aca="false">IF($C170="","",IFERROR(INDEX(PRODUCTOS!$B$6:$B$105,MATCH($C170,PRODUCTOS!$A$6:$A$105,0)),"¿Código?"))</f>
        <v/>
      </c>
      <c r="E170" s="42"/>
      <c r="F170" s="35" t="str">
        <f aca="false">IF($C170="","",IFERROR(INDEX(PRODUCTOS!$D$6:$D$105,MATCH($C170,PRODUCTOS!$A$6:$A$105,0)),0))</f>
        <v/>
      </c>
      <c r="G170" s="40"/>
      <c r="H170" s="35" t="str">
        <f aca="false">IF($C170="","",N($E170)*$F170-N($G170))</f>
        <v/>
      </c>
      <c r="I170" s="35" t="str">
        <f aca="false">IF($C170="","",$H170-$H170/(1+IFERROR(INDEX(PRODUCTOS!$E$6:$E$105,MATCH($C170,PRODUCTOS!$A$6:$A$105,0)),IVA_VENTAS)))</f>
        <v/>
      </c>
      <c r="J170" s="35" t="str">
        <f aca="false">IF($C170="","",$H170-$I170)</f>
        <v/>
      </c>
      <c r="K170" s="35" t="str">
        <f aca="false">IF($C170="","",N($E170)*IFERROR(INDEX(PRODUCTOS!$H$6:$H$105,MATCH($C170,PRODUCTOS!$A$6:$A$105,0)),0))</f>
        <v/>
      </c>
      <c r="L170" s="35" t="str">
        <f aca="false">IF($C170="","",$J170-$K170)</f>
        <v/>
      </c>
      <c r="M170" s="6"/>
      <c r="N170" s="6"/>
      <c r="O170" s="46" t="str">
        <f aca="false">IF($A170="","",DATE(YEAR($A170),MONTH($A170),1))</f>
        <v/>
      </c>
    </row>
    <row r="171" customFormat="false" ht="15" hidden="false" customHeight="false" outlineLevel="0" collapsed="false">
      <c r="A171" s="44"/>
      <c r="B171" s="6"/>
      <c r="C171" s="6"/>
      <c r="D171" s="8" t="str">
        <f aca="false">IF($C171="","",IFERROR(INDEX(PRODUCTOS!$B$6:$B$105,MATCH($C171,PRODUCTOS!$A$6:$A$105,0)),"¿Código?"))</f>
        <v/>
      </c>
      <c r="E171" s="42"/>
      <c r="F171" s="35" t="str">
        <f aca="false">IF($C171="","",IFERROR(INDEX(PRODUCTOS!$D$6:$D$105,MATCH($C171,PRODUCTOS!$A$6:$A$105,0)),0))</f>
        <v/>
      </c>
      <c r="G171" s="40"/>
      <c r="H171" s="35" t="str">
        <f aca="false">IF($C171="","",N($E171)*$F171-N($G171))</f>
        <v/>
      </c>
      <c r="I171" s="35" t="str">
        <f aca="false">IF($C171="","",$H171-$H171/(1+IFERROR(INDEX(PRODUCTOS!$E$6:$E$105,MATCH($C171,PRODUCTOS!$A$6:$A$105,0)),IVA_VENTAS)))</f>
        <v/>
      </c>
      <c r="J171" s="35" t="str">
        <f aca="false">IF($C171="","",$H171-$I171)</f>
        <v/>
      </c>
      <c r="K171" s="35" t="str">
        <f aca="false">IF($C171="","",N($E171)*IFERROR(INDEX(PRODUCTOS!$H$6:$H$105,MATCH($C171,PRODUCTOS!$A$6:$A$105,0)),0))</f>
        <v/>
      </c>
      <c r="L171" s="35" t="str">
        <f aca="false">IF($C171="","",$J171-$K171)</f>
        <v/>
      </c>
      <c r="M171" s="6"/>
      <c r="N171" s="6"/>
      <c r="O171" s="46" t="str">
        <f aca="false">IF($A171="","",DATE(YEAR($A171),MONTH($A171),1))</f>
        <v/>
      </c>
    </row>
    <row r="172" customFormat="false" ht="15" hidden="false" customHeight="false" outlineLevel="0" collapsed="false">
      <c r="A172" s="44"/>
      <c r="B172" s="6"/>
      <c r="C172" s="6"/>
      <c r="D172" s="8" t="str">
        <f aca="false">IF($C172="","",IFERROR(INDEX(PRODUCTOS!$B$6:$B$105,MATCH($C172,PRODUCTOS!$A$6:$A$105,0)),"¿Código?"))</f>
        <v/>
      </c>
      <c r="E172" s="42"/>
      <c r="F172" s="35" t="str">
        <f aca="false">IF($C172="","",IFERROR(INDEX(PRODUCTOS!$D$6:$D$105,MATCH($C172,PRODUCTOS!$A$6:$A$105,0)),0))</f>
        <v/>
      </c>
      <c r="G172" s="40"/>
      <c r="H172" s="35" t="str">
        <f aca="false">IF($C172="","",N($E172)*$F172-N($G172))</f>
        <v/>
      </c>
      <c r="I172" s="35" t="str">
        <f aca="false">IF($C172="","",$H172-$H172/(1+IFERROR(INDEX(PRODUCTOS!$E$6:$E$105,MATCH($C172,PRODUCTOS!$A$6:$A$105,0)),IVA_VENTAS)))</f>
        <v/>
      </c>
      <c r="J172" s="35" t="str">
        <f aca="false">IF($C172="","",$H172-$I172)</f>
        <v/>
      </c>
      <c r="K172" s="35" t="str">
        <f aca="false">IF($C172="","",N($E172)*IFERROR(INDEX(PRODUCTOS!$H$6:$H$105,MATCH($C172,PRODUCTOS!$A$6:$A$105,0)),0))</f>
        <v/>
      </c>
      <c r="L172" s="35" t="str">
        <f aca="false">IF($C172="","",$J172-$K172)</f>
        <v/>
      </c>
      <c r="M172" s="6"/>
      <c r="N172" s="6"/>
      <c r="O172" s="46" t="str">
        <f aca="false">IF($A172="","",DATE(YEAR($A172),MONTH($A172),1))</f>
        <v/>
      </c>
    </row>
    <row r="173" customFormat="false" ht="15" hidden="false" customHeight="false" outlineLevel="0" collapsed="false">
      <c r="A173" s="44"/>
      <c r="B173" s="6"/>
      <c r="C173" s="6"/>
      <c r="D173" s="8" t="str">
        <f aca="false">IF($C173="","",IFERROR(INDEX(PRODUCTOS!$B$6:$B$105,MATCH($C173,PRODUCTOS!$A$6:$A$105,0)),"¿Código?"))</f>
        <v/>
      </c>
      <c r="E173" s="42"/>
      <c r="F173" s="35" t="str">
        <f aca="false">IF($C173="","",IFERROR(INDEX(PRODUCTOS!$D$6:$D$105,MATCH($C173,PRODUCTOS!$A$6:$A$105,0)),0))</f>
        <v/>
      </c>
      <c r="G173" s="40"/>
      <c r="H173" s="35" t="str">
        <f aca="false">IF($C173="","",N($E173)*$F173-N($G173))</f>
        <v/>
      </c>
      <c r="I173" s="35" t="str">
        <f aca="false">IF($C173="","",$H173-$H173/(1+IFERROR(INDEX(PRODUCTOS!$E$6:$E$105,MATCH($C173,PRODUCTOS!$A$6:$A$105,0)),IVA_VENTAS)))</f>
        <v/>
      </c>
      <c r="J173" s="35" t="str">
        <f aca="false">IF($C173="","",$H173-$I173)</f>
        <v/>
      </c>
      <c r="K173" s="35" t="str">
        <f aca="false">IF($C173="","",N($E173)*IFERROR(INDEX(PRODUCTOS!$H$6:$H$105,MATCH($C173,PRODUCTOS!$A$6:$A$105,0)),0))</f>
        <v/>
      </c>
      <c r="L173" s="35" t="str">
        <f aca="false">IF($C173="","",$J173-$K173)</f>
        <v/>
      </c>
      <c r="M173" s="6"/>
      <c r="N173" s="6"/>
      <c r="O173" s="46" t="str">
        <f aca="false">IF($A173="","",DATE(YEAR($A173),MONTH($A173),1))</f>
        <v/>
      </c>
    </row>
    <row r="174" customFormat="false" ht="15" hidden="false" customHeight="false" outlineLevel="0" collapsed="false">
      <c r="A174" s="44"/>
      <c r="B174" s="6"/>
      <c r="C174" s="6"/>
      <c r="D174" s="8" t="str">
        <f aca="false">IF($C174="","",IFERROR(INDEX(PRODUCTOS!$B$6:$B$105,MATCH($C174,PRODUCTOS!$A$6:$A$105,0)),"¿Código?"))</f>
        <v/>
      </c>
      <c r="E174" s="42"/>
      <c r="F174" s="35" t="str">
        <f aca="false">IF($C174="","",IFERROR(INDEX(PRODUCTOS!$D$6:$D$105,MATCH($C174,PRODUCTOS!$A$6:$A$105,0)),0))</f>
        <v/>
      </c>
      <c r="G174" s="40"/>
      <c r="H174" s="35" t="str">
        <f aca="false">IF($C174="","",N($E174)*$F174-N($G174))</f>
        <v/>
      </c>
      <c r="I174" s="35" t="str">
        <f aca="false">IF($C174="","",$H174-$H174/(1+IFERROR(INDEX(PRODUCTOS!$E$6:$E$105,MATCH($C174,PRODUCTOS!$A$6:$A$105,0)),IVA_VENTAS)))</f>
        <v/>
      </c>
      <c r="J174" s="35" t="str">
        <f aca="false">IF($C174="","",$H174-$I174)</f>
        <v/>
      </c>
      <c r="K174" s="35" t="str">
        <f aca="false">IF($C174="","",N($E174)*IFERROR(INDEX(PRODUCTOS!$H$6:$H$105,MATCH($C174,PRODUCTOS!$A$6:$A$105,0)),0))</f>
        <v/>
      </c>
      <c r="L174" s="35" t="str">
        <f aca="false">IF($C174="","",$J174-$K174)</f>
        <v/>
      </c>
      <c r="M174" s="6"/>
      <c r="N174" s="6"/>
      <c r="O174" s="46" t="str">
        <f aca="false">IF($A174="","",DATE(YEAR($A174),MONTH($A174),1))</f>
        <v/>
      </c>
    </row>
    <row r="175" customFormat="false" ht="15" hidden="false" customHeight="false" outlineLevel="0" collapsed="false">
      <c r="A175" s="44"/>
      <c r="B175" s="6"/>
      <c r="C175" s="6"/>
      <c r="D175" s="8" t="str">
        <f aca="false">IF($C175="","",IFERROR(INDEX(PRODUCTOS!$B$6:$B$105,MATCH($C175,PRODUCTOS!$A$6:$A$105,0)),"¿Código?"))</f>
        <v/>
      </c>
      <c r="E175" s="42"/>
      <c r="F175" s="35" t="str">
        <f aca="false">IF($C175="","",IFERROR(INDEX(PRODUCTOS!$D$6:$D$105,MATCH($C175,PRODUCTOS!$A$6:$A$105,0)),0))</f>
        <v/>
      </c>
      <c r="G175" s="40"/>
      <c r="H175" s="35" t="str">
        <f aca="false">IF($C175="","",N($E175)*$F175-N($G175))</f>
        <v/>
      </c>
      <c r="I175" s="35" t="str">
        <f aca="false">IF($C175="","",$H175-$H175/(1+IFERROR(INDEX(PRODUCTOS!$E$6:$E$105,MATCH($C175,PRODUCTOS!$A$6:$A$105,0)),IVA_VENTAS)))</f>
        <v/>
      </c>
      <c r="J175" s="35" t="str">
        <f aca="false">IF($C175="","",$H175-$I175)</f>
        <v/>
      </c>
      <c r="K175" s="35" t="str">
        <f aca="false">IF($C175="","",N($E175)*IFERROR(INDEX(PRODUCTOS!$H$6:$H$105,MATCH($C175,PRODUCTOS!$A$6:$A$105,0)),0))</f>
        <v/>
      </c>
      <c r="L175" s="35" t="str">
        <f aca="false">IF($C175="","",$J175-$K175)</f>
        <v/>
      </c>
      <c r="M175" s="6"/>
      <c r="N175" s="6"/>
      <c r="O175" s="46" t="str">
        <f aca="false">IF($A175="","",DATE(YEAR($A175),MONTH($A175),1))</f>
        <v/>
      </c>
    </row>
    <row r="176" customFormat="false" ht="15" hidden="false" customHeight="false" outlineLevel="0" collapsed="false">
      <c r="A176" s="44"/>
      <c r="B176" s="6"/>
      <c r="C176" s="6"/>
      <c r="D176" s="8" t="str">
        <f aca="false">IF($C176="","",IFERROR(INDEX(PRODUCTOS!$B$6:$B$105,MATCH($C176,PRODUCTOS!$A$6:$A$105,0)),"¿Código?"))</f>
        <v/>
      </c>
      <c r="E176" s="42"/>
      <c r="F176" s="35" t="str">
        <f aca="false">IF($C176="","",IFERROR(INDEX(PRODUCTOS!$D$6:$D$105,MATCH($C176,PRODUCTOS!$A$6:$A$105,0)),0))</f>
        <v/>
      </c>
      <c r="G176" s="40"/>
      <c r="H176" s="35" t="str">
        <f aca="false">IF($C176="","",N($E176)*$F176-N($G176))</f>
        <v/>
      </c>
      <c r="I176" s="35" t="str">
        <f aca="false">IF($C176="","",$H176-$H176/(1+IFERROR(INDEX(PRODUCTOS!$E$6:$E$105,MATCH($C176,PRODUCTOS!$A$6:$A$105,0)),IVA_VENTAS)))</f>
        <v/>
      </c>
      <c r="J176" s="35" t="str">
        <f aca="false">IF($C176="","",$H176-$I176)</f>
        <v/>
      </c>
      <c r="K176" s="35" t="str">
        <f aca="false">IF($C176="","",N($E176)*IFERROR(INDEX(PRODUCTOS!$H$6:$H$105,MATCH($C176,PRODUCTOS!$A$6:$A$105,0)),0))</f>
        <v/>
      </c>
      <c r="L176" s="35" t="str">
        <f aca="false">IF($C176="","",$J176-$K176)</f>
        <v/>
      </c>
      <c r="M176" s="6"/>
      <c r="N176" s="6"/>
      <c r="O176" s="46" t="str">
        <f aca="false">IF($A176="","",DATE(YEAR($A176),MONTH($A176),1))</f>
        <v/>
      </c>
    </row>
    <row r="177" customFormat="false" ht="15" hidden="false" customHeight="false" outlineLevel="0" collapsed="false">
      <c r="A177" s="44"/>
      <c r="B177" s="6"/>
      <c r="C177" s="6"/>
      <c r="D177" s="8" t="str">
        <f aca="false">IF($C177="","",IFERROR(INDEX(PRODUCTOS!$B$6:$B$105,MATCH($C177,PRODUCTOS!$A$6:$A$105,0)),"¿Código?"))</f>
        <v/>
      </c>
      <c r="E177" s="42"/>
      <c r="F177" s="35" t="str">
        <f aca="false">IF($C177="","",IFERROR(INDEX(PRODUCTOS!$D$6:$D$105,MATCH($C177,PRODUCTOS!$A$6:$A$105,0)),0))</f>
        <v/>
      </c>
      <c r="G177" s="40"/>
      <c r="H177" s="35" t="str">
        <f aca="false">IF($C177="","",N($E177)*$F177-N($G177))</f>
        <v/>
      </c>
      <c r="I177" s="35" t="str">
        <f aca="false">IF($C177="","",$H177-$H177/(1+IFERROR(INDEX(PRODUCTOS!$E$6:$E$105,MATCH($C177,PRODUCTOS!$A$6:$A$105,0)),IVA_VENTAS)))</f>
        <v/>
      </c>
      <c r="J177" s="35" t="str">
        <f aca="false">IF($C177="","",$H177-$I177)</f>
        <v/>
      </c>
      <c r="K177" s="35" t="str">
        <f aca="false">IF($C177="","",N($E177)*IFERROR(INDEX(PRODUCTOS!$H$6:$H$105,MATCH($C177,PRODUCTOS!$A$6:$A$105,0)),0))</f>
        <v/>
      </c>
      <c r="L177" s="35" t="str">
        <f aca="false">IF($C177="","",$J177-$K177)</f>
        <v/>
      </c>
      <c r="M177" s="6"/>
      <c r="N177" s="6"/>
      <c r="O177" s="46" t="str">
        <f aca="false">IF($A177="","",DATE(YEAR($A177),MONTH($A177),1))</f>
        <v/>
      </c>
    </row>
    <row r="178" customFormat="false" ht="15" hidden="false" customHeight="false" outlineLevel="0" collapsed="false">
      <c r="A178" s="44"/>
      <c r="B178" s="6"/>
      <c r="C178" s="6"/>
      <c r="D178" s="8" t="str">
        <f aca="false">IF($C178="","",IFERROR(INDEX(PRODUCTOS!$B$6:$B$105,MATCH($C178,PRODUCTOS!$A$6:$A$105,0)),"¿Código?"))</f>
        <v/>
      </c>
      <c r="E178" s="42"/>
      <c r="F178" s="35" t="str">
        <f aca="false">IF($C178="","",IFERROR(INDEX(PRODUCTOS!$D$6:$D$105,MATCH($C178,PRODUCTOS!$A$6:$A$105,0)),0))</f>
        <v/>
      </c>
      <c r="G178" s="40"/>
      <c r="H178" s="35" t="str">
        <f aca="false">IF($C178="","",N($E178)*$F178-N($G178))</f>
        <v/>
      </c>
      <c r="I178" s="35" t="str">
        <f aca="false">IF($C178="","",$H178-$H178/(1+IFERROR(INDEX(PRODUCTOS!$E$6:$E$105,MATCH($C178,PRODUCTOS!$A$6:$A$105,0)),IVA_VENTAS)))</f>
        <v/>
      </c>
      <c r="J178" s="35" t="str">
        <f aca="false">IF($C178="","",$H178-$I178)</f>
        <v/>
      </c>
      <c r="K178" s="35" t="str">
        <f aca="false">IF($C178="","",N($E178)*IFERROR(INDEX(PRODUCTOS!$H$6:$H$105,MATCH($C178,PRODUCTOS!$A$6:$A$105,0)),0))</f>
        <v/>
      </c>
      <c r="L178" s="35" t="str">
        <f aca="false">IF($C178="","",$J178-$K178)</f>
        <v/>
      </c>
      <c r="M178" s="6"/>
      <c r="N178" s="6"/>
      <c r="O178" s="46" t="str">
        <f aca="false">IF($A178="","",DATE(YEAR($A178),MONTH($A178),1))</f>
        <v/>
      </c>
    </row>
    <row r="179" customFormat="false" ht="15" hidden="false" customHeight="false" outlineLevel="0" collapsed="false">
      <c r="A179" s="44"/>
      <c r="B179" s="6"/>
      <c r="C179" s="6"/>
      <c r="D179" s="8" t="str">
        <f aca="false">IF($C179="","",IFERROR(INDEX(PRODUCTOS!$B$6:$B$105,MATCH($C179,PRODUCTOS!$A$6:$A$105,0)),"¿Código?"))</f>
        <v/>
      </c>
      <c r="E179" s="42"/>
      <c r="F179" s="35" t="str">
        <f aca="false">IF($C179="","",IFERROR(INDEX(PRODUCTOS!$D$6:$D$105,MATCH($C179,PRODUCTOS!$A$6:$A$105,0)),0))</f>
        <v/>
      </c>
      <c r="G179" s="40"/>
      <c r="H179" s="35" t="str">
        <f aca="false">IF($C179="","",N($E179)*$F179-N($G179))</f>
        <v/>
      </c>
      <c r="I179" s="35" t="str">
        <f aca="false">IF($C179="","",$H179-$H179/(1+IFERROR(INDEX(PRODUCTOS!$E$6:$E$105,MATCH($C179,PRODUCTOS!$A$6:$A$105,0)),IVA_VENTAS)))</f>
        <v/>
      </c>
      <c r="J179" s="35" t="str">
        <f aca="false">IF($C179="","",$H179-$I179)</f>
        <v/>
      </c>
      <c r="K179" s="35" t="str">
        <f aca="false">IF($C179="","",N($E179)*IFERROR(INDEX(PRODUCTOS!$H$6:$H$105,MATCH($C179,PRODUCTOS!$A$6:$A$105,0)),0))</f>
        <v/>
      </c>
      <c r="L179" s="35" t="str">
        <f aca="false">IF($C179="","",$J179-$K179)</f>
        <v/>
      </c>
      <c r="M179" s="6"/>
      <c r="N179" s="6"/>
      <c r="O179" s="46" t="str">
        <f aca="false">IF($A179="","",DATE(YEAR($A179),MONTH($A179),1))</f>
        <v/>
      </c>
    </row>
    <row r="180" customFormat="false" ht="15" hidden="false" customHeight="false" outlineLevel="0" collapsed="false">
      <c r="A180" s="44"/>
      <c r="B180" s="6"/>
      <c r="C180" s="6"/>
      <c r="D180" s="8" t="str">
        <f aca="false">IF($C180="","",IFERROR(INDEX(PRODUCTOS!$B$6:$B$105,MATCH($C180,PRODUCTOS!$A$6:$A$105,0)),"¿Código?"))</f>
        <v/>
      </c>
      <c r="E180" s="42"/>
      <c r="F180" s="35" t="str">
        <f aca="false">IF($C180="","",IFERROR(INDEX(PRODUCTOS!$D$6:$D$105,MATCH($C180,PRODUCTOS!$A$6:$A$105,0)),0))</f>
        <v/>
      </c>
      <c r="G180" s="40"/>
      <c r="H180" s="35" t="str">
        <f aca="false">IF($C180="","",N($E180)*$F180-N($G180))</f>
        <v/>
      </c>
      <c r="I180" s="35" t="str">
        <f aca="false">IF($C180="","",$H180-$H180/(1+IFERROR(INDEX(PRODUCTOS!$E$6:$E$105,MATCH($C180,PRODUCTOS!$A$6:$A$105,0)),IVA_VENTAS)))</f>
        <v/>
      </c>
      <c r="J180" s="35" t="str">
        <f aca="false">IF($C180="","",$H180-$I180)</f>
        <v/>
      </c>
      <c r="K180" s="35" t="str">
        <f aca="false">IF($C180="","",N($E180)*IFERROR(INDEX(PRODUCTOS!$H$6:$H$105,MATCH($C180,PRODUCTOS!$A$6:$A$105,0)),0))</f>
        <v/>
      </c>
      <c r="L180" s="35" t="str">
        <f aca="false">IF($C180="","",$J180-$K180)</f>
        <v/>
      </c>
      <c r="M180" s="6"/>
      <c r="N180" s="6"/>
      <c r="O180" s="46" t="str">
        <f aca="false">IF($A180="","",DATE(YEAR($A180),MONTH($A180),1))</f>
        <v/>
      </c>
    </row>
    <row r="181" customFormat="false" ht="15" hidden="false" customHeight="false" outlineLevel="0" collapsed="false">
      <c r="A181" s="44"/>
      <c r="B181" s="6"/>
      <c r="C181" s="6"/>
      <c r="D181" s="8" t="str">
        <f aca="false">IF($C181="","",IFERROR(INDEX(PRODUCTOS!$B$6:$B$105,MATCH($C181,PRODUCTOS!$A$6:$A$105,0)),"¿Código?"))</f>
        <v/>
      </c>
      <c r="E181" s="42"/>
      <c r="F181" s="35" t="str">
        <f aca="false">IF($C181="","",IFERROR(INDEX(PRODUCTOS!$D$6:$D$105,MATCH($C181,PRODUCTOS!$A$6:$A$105,0)),0))</f>
        <v/>
      </c>
      <c r="G181" s="40"/>
      <c r="H181" s="35" t="str">
        <f aca="false">IF($C181="","",N($E181)*$F181-N($G181))</f>
        <v/>
      </c>
      <c r="I181" s="35" t="str">
        <f aca="false">IF($C181="","",$H181-$H181/(1+IFERROR(INDEX(PRODUCTOS!$E$6:$E$105,MATCH($C181,PRODUCTOS!$A$6:$A$105,0)),IVA_VENTAS)))</f>
        <v/>
      </c>
      <c r="J181" s="35" t="str">
        <f aca="false">IF($C181="","",$H181-$I181)</f>
        <v/>
      </c>
      <c r="K181" s="35" t="str">
        <f aca="false">IF($C181="","",N($E181)*IFERROR(INDEX(PRODUCTOS!$H$6:$H$105,MATCH($C181,PRODUCTOS!$A$6:$A$105,0)),0))</f>
        <v/>
      </c>
      <c r="L181" s="35" t="str">
        <f aca="false">IF($C181="","",$J181-$K181)</f>
        <v/>
      </c>
      <c r="M181" s="6"/>
      <c r="N181" s="6"/>
      <c r="O181" s="46" t="str">
        <f aca="false">IF($A181="","",DATE(YEAR($A181),MONTH($A181),1))</f>
        <v/>
      </c>
    </row>
    <row r="182" customFormat="false" ht="15" hidden="false" customHeight="false" outlineLevel="0" collapsed="false">
      <c r="A182" s="44"/>
      <c r="B182" s="6"/>
      <c r="C182" s="6"/>
      <c r="D182" s="8" t="str">
        <f aca="false">IF($C182="","",IFERROR(INDEX(PRODUCTOS!$B$6:$B$105,MATCH($C182,PRODUCTOS!$A$6:$A$105,0)),"¿Código?"))</f>
        <v/>
      </c>
      <c r="E182" s="42"/>
      <c r="F182" s="35" t="str">
        <f aca="false">IF($C182="","",IFERROR(INDEX(PRODUCTOS!$D$6:$D$105,MATCH($C182,PRODUCTOS!$A$6:$A$105,0)),0))</f>
        <v/>
      </c>
      <c r="G182" s="40"/>
      <c r="H182" s="35" t="str">
        <f aca="false">IF($C182="","",N($E182)*$F182-N($G182))</f>
        <v/>
      </c>
      <c r="I182" s="35" t="str">
        <f aca="false">IF($C182="","",$H182-$H182/(1+IFERROR(INDEX(PRODUCTOS!$E$6:$E$105,MATCH($C182,PRODUCTOS!$A$6:$A$105,0)),IVA_VENTAS)))</f>
        <v/>
      </c>
      <c r="J182" s="35" t="str">
        <f aca="false">IF($C182="","",$H182-$I182)</f>
        <v/>
      </c>
      <c r="K182" s="35" t="str">
        <f aca="false">IF($C182="","",N($E182)*IFERROR(INDEX(PRODUCTOS!$H$6:$H$105,MATCH($C182,PRODUCTOS!$A$6:$A$105,0)),0))</f>
        <v/>
      </c>
      <c r="L182" s="35" t="str">
        <f aca="false">IF($C182="","",$J182-$K182)</f>
        <v/>
      </c>
      <c r="M182" s="6"/>
      <c r="N182" s="6"/>
      <c r="O182" s="46" t="str">
        <f aca="false">IF($A182="","",DATE(YEAR($A182),MONTH($A182),1))</f>
        <v/>
      </c>
    </row>
    <row r="183" customFormat="false" ht="15" hidden="false" customHeight="false" outlineLevel="0" collapsed="false">
      <c r="A183" s="44"/>
      <c r="B183" s="6"/>
      <c r="C183" s="6"/>
      <c r="D183" s="8" t="str">
        <f aca="false">IF($C183="","",IFERROR(INDEX(PRODUCTOS!$B$6:$B$105,MATCH($C183,PRODUCTOS!$A$6:$A$105,0)),"¿Código?"))</f>
        <v/>
      </c>
      <c r="E183" s="42"/>
      <c r="F183" s="35" t="str">
        <f aca="false">IF($C183="","",IFERROR(INDEX(PRODUCTOS!$D$6:$D$105,MATCH($C183,PRODUCTOS!$A$6:$A$105,0)),0))</f>
        <v/>
      </c>
      <c r="G183" s="40"/>
      <c r="H183" s="35" t="str">
        <f aca="false">IF($C183="","",N($E183)*$F183-N($G183))</f>
        <v/>
      </c>
      <c r="I183" s="35" t="str">
        <f aca="false">IF($C183="","",$H183-$H183/(1+IFERROR(INDEX(PRODUCTOS!$E$6:$E$105,MATCH($C183,PRODUCTOS!$A$6:$A$105,0)),IVA_VENTAS)))</f>
        <v/>
      </c>
      <c r="J183" s="35" t="str">
        <f aca="false">IF($C183="","",$H183-$I183)</f>
        <v/>
      </c>
      <c r="K183" s="35" t="str">
        <f aca="false">IF($C183="","",N($E183)*IFERROR(INDEX(PRODUCTOS!$H$6:$H$105,MATCH($C183,PRODUCTOS!$A$6:$A$105,0)),0))</f>
        <v/>
      </c>
      <c r="L183" s="35" t="str">
        <f aca="false">IF($C183="","",$J183-$K183)</f>
        <v/>
      </c>
      <c r="M183" s="6"/>
      <c r="N183" s="6"/>
      <c r="O183" s="46" t="str">
        <f aca="false">IF($A183="","",DATE(YEAR($A183),MONTH($A183),1))</f>
        <v/>
      </c>
    </row>
    <row r="184" customFormat="false" ht="15" hidden="false" customHeight="false" outlineLevel="0" collapsed="false">
      <c r="A184" s="44"/>
      <c r="B184" s="6"/>
      <c r="C184" s="6"/>
      <c r="D184" s="8" t="str">
        <f aca="false">IF($C184="","",IFERROR(INDEX(PRODUCTOS!$B$6:$B$105,MATCH($C184,PRODUCTOS!$A$6:$A$105,0)),"¿Código?"))</f>
        <v/>
      </c>
      <c r="E184" s="42"/>
      <c r="F184" s="35" t="str">
        <f aca="false">IF($C184="","",IFERROR(INDEX(PRODUCTOS!$D$6:$D$105,MATCH($C184,PRODUCTOS!$A$6:$A$105,0)),0))</f>
        <v/>
      </c>
      <c r="G184" s="40"/>
      <c r="H184" s="35" t="str">
        <f aca="false">IF($C184="","",N($E184)*$F184-N($G184))</f>
        <v/>
      </c>
      <c r="I184" s="35" t="str">
        <f aca="false">IF($C184="","",$H184-$H184/(1+IFERROR(INDEX(PRODUCTOS!$E$6:$E$105,MATCH($C184,PRODUCTOS!$A$6:$A$105,0)),IVA_VENTAS)))</f>
        <v/>
      </c>
      <c r="J184" s="35" t="str">
        <f aca="false">IF($C184="","",$H184-$I184)</f>
        <v/>
      </c>
      <c r="K184" s="35" t="str">
        <f aca="false">IF($C184="","",N($E184)*IFERROR(INDEX(PRODUCTOS!$H$6:$H$105,MATCH($C184,PRODUCTOS!$A$6:$A$105,0)),0))</f>
        <v/>
      </c>
      <c r="L184" s="35" t="str">
        <f aca="false">IF($C184="","",$J184-$K184)</f>
        <v/>
      </c>
      <c r="M184" s="6"/>
      <c r="N184" s="6"/>
      <c r="O184" s="46" t="str">
        <f aca="false">IF($A184="","",DATE(YEAR($A184),MONTH($A184),1))</f>
        <v/>
      </c>
    </row>
    <row r="185" customFormat="false" ht="15" hidden="false" customHeight="false" outlineLevel="0" collapsed="false">
      <c r="A185" s="44"/>
      <c r="B185" s="6"/>
      <c r="C185" s="6"/>
      <c r="D185" s="8" t="str">
        <f aca="false">IF($C185="","",IFERROR(INDEX(PRODUCTOS!$B$6:$B$105,MATCH($C185,PRODUCTOS!$A$6:$A$105,0)),"¿Código?"))</f>
        <v/>
      </c>
      <c r="E185" s="42"/>
      <c r="F185" s="35" t="str">
        <f aca="false">IF($C185="","",IFERROR(INDEX(PRODUCTOS!$D$6:$D$105,MATCH($C185,PRODUCTOS!$A$6:$A$105,0)),0))</f>
        <v/>
      </c>
      <c r="G185" s="40"/>
      <c r="H185" s="35" t="str">
        <f aca="false">IF($C185="","",N($E185)*$F185-N($G185))</f>
        <v/>
      </c>
      <c r="I185" s="35" t="str">
        <f aca="false">IF($C185="","",$H185-$H185/(1+IFERROR(INDEX(PRODUCTOS!$E$6:$E$105,MATCH($C185,PRODUCTOS!$A$6:$A$105,0)),IVA_VENTAS)))</f>
        <v/>
      </c>
      <c r="J185" s="35" t="str">
        <f aca="false">IF($C185="","",$H185-$I185)</f>
        <v/>
      </c>
      <c r="K185" s="35" t="str">
        <f aca="false">IF($C185="","",N($E185)*IFERROR(INDEX(PRODUCTOS!$H$6:$H$105,MATCH($C185,PRODUCTOS!$A$6:$A$105,0)),0))</f>
        <v/>
      </c>
      <c r="L185" s="35" t="str">
        <f aca="false">IF($C185="","",$J185-$K185)</f>
        <v/>
      </c>
      <c r="M185" s="6"/>
      <c r="N185" s="6"/>
      <c r="O185" s="46" t="str">
        <f aca="false">IF($A185="","",DATE(YEAR($A185),MONTH($A185),1))</f>
        <v/>
      </c>
    </row>
    <row r="186" customFormat="false" ht="15" hidden="false" customHeight="false" outlineLevel="0" collapsed="false">
      <c r="A186" s="44"/>
      <c r="B186" s="6"/>
      <c r="C186" s="6"/>
      <c r="D186" s="8" t="str">
        <f aca="false">IF($C186="","",IFERROR(INDEX(PRODUCTOS!$B$6:$B$105,MATCH($C186,PRODUCTOS!$A$6:$A$105,0)),"¿Código?"))</f>
        <v/>
      </c>
      <c r="E186" s="42"/>
      <c r="F186" s="35" t="str">
        <f aca="false">IF($C186="","",IFERROR(INDEX(PRODUCTOS!$D$6:$D$105,MATCH($C186,PRODUCTOS!$A$6:$A$105,0)),0))</f>
        <v/>
      </c>
      <c r="G186" s="40"/>
      <c r="H186" s="35" t="str">
        <f aca="false">IF($C186="","",N($E186)*$F186-N($G186))</f>
        <v/>
      </c>
      <c r="I186" s="35" t="str">
        <f aca="false">IF($C186="","",$H186-$H186/(1+IFERROR(INDEX(PRODUCTOS!$E$6:$E$105,MATCH($C186,PRODUCTOS!$A$6:$A$105,0)),IVA_VENTAS)))</f>
        <v/>
      </c>
      <c r="J186" s="35" t="str">
        <f aca="false">IF($C186="","",$H186-$I186)</f>
        <v/>
      </c>
      <c r="K186" s="35" t="str">
        <f aca="false">IF($C186="","",N($E186)*IFERROR(INDEX(PRODUCTOS!$H$6:$H$105,MATCH($C186,PRODUCTOS!$A$6:$A$105,0)),0))</f>
        <v/>
      </c>
      <c r="L186" s="35" t="str">
        <f aca="false">IF($C186="","",$J186-$K186)</f>
        <v/>
      </c>
      <c r="M186" s="6"/>
      <c r="N186" s="6"/>
      <c r="O186" s="46" t="str">
        <f aca="false">IF($A186="","",DATE(YEAR($A186),MONTH($A186),1))</f>
        <v/>
      </c>
    </row>
    <row r="187" customFormat="false" ht="15" hidden="false" customHeight="false" outlineLevel="0" collapsed="false">
      <c r="A187" s="44"/>
      <c r="B187" s="6"/>
      <c r="C187" s="6"/>
      <c r="D187" s="8" t="str">
        <f aca="false">IF($C187="","",IFERROR(INDEX(PRODUCTOS!$B$6:$B$105,MATCH($C187,PRODUCTOS!$A$6:$A$105,0)),"¿Código?"))</f>
        <v/>
      </c>
      <c r="E187" s="42"/>
      <c r="F187" s="35" t="str">
        <f aca="false">IF($C187="","",IFERROR(INDEX(PRODUCTOS!$D$6:$D$105,MATCH($C187,PRODUCTOS!$A$6:$A$105,0)),0))</f>
        <v/>
      </c>
      <c r="G187" s="40"/>
      <c r="H187" s="35" t="str">
        <f aca="false">IF($C187="","",N($E187)*$F187-N($G187))</f>
        <v/>
      </c>
      <c r="I187" s="35" t="str">
        <f aca="false">IF($C187="","",$H187-$H187/(1+IFERROR(INDEX(PRODUCTOS!$E$6:$E$105,MATCH($C187,PRODUCTOS!$A$6:$A$105,0)),IVA_VENTAS)))</f>
        <v/>
      </c>
      <c r="J187" s="35" t="str">
        <f aca="false">IF($C187="","",$H187-$I187)</f>
        <v/>
      </c>
      <c r="K187" s="35" t="str">
        <f aca="false">IF($C187="","",N($E187)*IFERROR(INDEX(PRODUCTOS!$H$6:$H$105,MATCH($C187,PRODUCTOS!$A$6:$A$105,0)),0))</f>
        <v/>
      </c>
      <c r="L187" s="35" t="str">
        <f aca="false">IF($C187="","",$J187-$K187)</f>
        <v/>
      </c>
      <c r="M187" s="6"/>
      <c r="N187" s="6"/>
      <c r="O187" s="46" t="str">
        <f aca="false">IF($A187="","",DATE(YEAR($A187),MONTH($A187),1))</f>
        <v/>
      </c>
    </row>
    <row r="188" customFormat="false" ht="15" hidden="false" customHeight="false" outlineLevel="0" collapsed="false">
      <c r="A188" s="44"/>
      <c r="B188" s="6"/>
      <c r="C188" s="6"/>
      <c r="D188" s="8" t="str">
        <f aca="false">IF($C188="","",IFERROR(INDEX(PRODUCTOS!$B$6:$B$105,MATCH($C188,PRODUCTOS!$A$6:$A$105,0)),"¿Código?"))</f>
        <v/>
      </c>
      <c r="E188" s="42"/>
      <c r="F188" s="35" t="str">
        <f aca="false">IF($C188="","",IFERROR(INDEX(PRODUCTOS!$D$6:$D$105,MATCH($C188,PRODUCTOS!$A$6:$A$105,0)),0))</f>
        <v/>
      </c>
      <c r="G188" s="40"/>
      <c r="H188" s="35" t="str">
        <f aca="false">IF($C188="","",N($E188)*$F188-N($G188))</f>
        <v/>
      </c>
      <c r="I188" s="35" t="str">
        <f aca="false">IF($C188="","",$H188-$H188/(1+IFERROR(INDEX(PRODUCTOS!$E$6:$E$105,MATCH($C188,PRODUCTOS!$A$6:$A$105,0)),IVA_VENTAS)))</f>
        <v/>
      </c>
      <c r="J188" s="35" t="str">
        <f aca="false">IF($C188="","",$H188-$I188)</f>
        <v/>
      </c>
      <c r="K188" s="35" t="str">
        <f aca="false">IF($C188="","",N($E188)*IFERROR(INDEX(PRODUCTOS!$H$6:$H$105,MATCH($C188,PRODUCTOS!$A$6:$A$105,0)),0))</f>
        <v/>
      </c>
      <c r="L188" s="35" t="str">
        <f aca="false">IF($C188="","",$J188-$K188)</f>
        <v/>
      </c>
      <c r="M188" s="6"/>
      <c r="N188" s="6"/>
      <c r="O188" s="46" t="str">
        <f aca="false">IF($A188="","",DATE(YEAR($A188),MONTH($A188),1))</f>
        <v/>
      </c>
    </row>
    <row r="189" customFormat="false" ht="15" hidden="false" customHeight="false" outlineLevel="0" collapsed="false">
      <c r="A189" s="44"/>
      <c r="B189" s="6"/>
      <c r="C189" s="6"/>
      <c r="D189" s="8" t="str">
        <f aca="false">IF($C189="","",IFERROR(INDEX(PRODUCTOS!$B$6:$B$105,MATCH($C189,PRODUCTOS!$A$6:$A$105,0)),"¿Código?"))</f>
        <v/>
      </c>
      <c r="E189" s="42"/>
      <c r="F189" s="35" t="str">
        <f aca="false">IF($C189="","",IFERROR(INDEX(PRODUCTOS!$D$6:$D$105,MATCH($C189,PRODUCTOS!$A$6:$A$105,0)),0))</f>
        <v/>
      </c>
      <c r="G189" s="40"/>
      <c r="H189" s="35" t="str">
        <f aca="false">IF($C189="","",N($E189)*$F189-N($G189))</f>
        <v/>
      </c>
      <c r="I189" s="35" t="str">
        <f aca="false">IF($C189="","",$H189-$H189/(1+IFERROR(INDEX(PRODUCTOS!$E$6:$E$105,MATCH($C189,PRODUCTOS!$A$6:$A$105,0)),IVA_VENTAS)))</f>
        <v/>
      </c>
      <c r="J189" s="35" t="str">
        <f aca="false">IF($C189="","",$H189-$I189)</f>
        <v/>
      </c>
      <c r="K189" s="35" t="str">
        <f aca="false">IF($C189="","",N($E189)*IFERROR(INDEX(PRODUCTOS!$H$6:$H$105,MATCH($C189,PRODUCTOS!$A$6:$A$105,0)),0))</f>
        <v/>
      </c>
      <c r="L189" s="35" t="str">
        <f aca="false">IF($C189="","",$J189-$K189)</f>
        <v/>
      </c>
      <c r="M189" s="6"/>
      <c r="N189" s="6"/>
      <c r="O189" s="46" t="str">
        <f aca="false">IF($A189="","",DATE(YEAR($A189),MONTH($A189),1))</f>
        <v/>
      </c>
    </row>
    <row r="190" customFormat="false" ht="15" hidden="false" customHeight="false" outlineLevel="0" collapsed="false">
      <c r="A190" s="44"/>
      <c r="B190" s="6"/>
      <c r="C190" s="6"/>
      <c r="D190" s="8" t="str">
        <f aca="false">IF($C190="","",IFERROR(INDEX(PRODUCTOS!$B$6:$B$105,MATCH($C190,PRODUCTOS!$A$6:$A$105,0)),"¿Código?"))</f>
        <v/>
      </c>
      <c r="E190" s="42"/>
      <c r="F190" s="35" t="str">
        <f aca="false">IF($C190="","",IFERROR(INDEX(PRODUCTOS!$D$6:$D$105,MATCH($C190,PRODUCTOS!$A$6:$A$105,0)),0))</f>
        <v/>
      </c>
      <c r="G190" s="40"/>
      <c r="H190" s="35" t="str">
        <f aca="false">IF($C190="","",N($E190)*$F190-N($G190))</f>
        <v/>
      </c>
      <c r="I190" s="35" t="str">
        <f aca="false">IF($C190="","",$H190-$H190/(1+IFERROR(INDEX(PRODUCTOS!$E$6:$E$105,MATCH($C190,PRODUCTOS!$A$6:$A$105,0)),IVA_VENTAS)))</f>
        <v/>
      </c>
      <c r="J190" s="35" t="str">
        <f aca="false">IF($C190="","",$H190-$I190)</f>
        <v/>
      </c>
      <c r="K190" s="35" t="str">
        <f aca="false">IF($C190="","",N($E190)*IFERROR(INDEX(PRODUCTOS!$H$6:$H$105,MATCH($C190,PRODUCTOS!$A$6:$A$105,0)),0))</f>
        <v/>
      </c>
      <c r="L190" s="35" t="str">
        <f aca="false">IF($C190="","",$J190-$K190)</f>
        <v/>
      </c>
      <c r="M190" s="6"/>
      <c r="N190" s="6"/>
      <c r="O190" s="46" t="str">
        <f aca="false">IF($A190="","",DATE(YEAR($A190),MONTH($A190),1))</f>
        <v/>
      </c>
    </row>
    <row r="191" customFormat="false" ht="15" hidden="false" customHeight="false" outlineLevel="0" collapsed="false">
      <c r="A191" s="44"/>
      <c r="B191" s="6"/>
      <c r="C191" s="6"/>
      <c r="D191" s="8" t="str">
        <f aca="false">IF($C191="","",IFERROR(INDEX(PRODUCTOS!$B$6:$B$105,MATCH($C191,PRODUCTOS!$A$6:$A$105,0)),"¿Código?"))</f>
        <v/>
      </c>
      <c r="E191" s="42"/>
      <c r="F191" s="35" t="str">
        <f aca="false">IF($C191="","",IFERROR(INDEX(PRODUCTOS!$D$6:$D$105,MATCH($C191,PRODUCTOS!$A$6:$A$105,0)),0))</f>
        <v/>
      </c>
      <c r="G191" s="40"/>
      <c r="H191" s="35" t="str">
        <f aca="false">IF($C191="","",N($E191)*$F191-N($G191))</f>
        <v/>
      </c>
      <c r="I191" s="35" t="str">
        <f aca="false">IF($C191="","",$H191-$H191/(1+IFERROR(INDEX(PRODUCTOS!$E$6:$E$105,MATCH($C191,PRODUCTOS!$A$6:$A$105,0)),IVA_VENTAS)))</f>
        <v/>
      </c>
      <c r="J191" s="35" t="str">
        <f aca="false">IF($C191="","",$H191-$I191)</f>
        <v/>
      </c>
      <c r="K191" s="35" t="str">
        <f aca="false">IF($C191="","",N($E191)*IFERROR(INDEX(PRODUCTOS!$H$6:$H$105,MATCH($C191,PRODUCTOS!$A$6:$A$105,0)),0))</f>
        <v/>
      </c>
      <c r="L191" s="35" t="str">
        <f aca="false">IF($C191="","",$J191-$K191)</f>
        <v/>
      </c>
      <c r="M191" s="6"/>
      <c r="N191" s="6"/>
      <c r="O191" s="46" t="str">
        <f aca="false">IF($A191="","",DATE(YEAR($A191),MONTH($A191),1))</f>
        <v/>
      </c>
    </row>
    <row r="192" customFormat="false" ht="15" hidden="false" customHeight="false" outlineLevel="0" collapsed="false">
      <c r="A192" s="44"/>
      <c r="B192" s="6"/>
      <c r="C192" s="6"/>
      <c r="D192" s="8" t="str">
        <f aca="false">IF($C192="","",IFERROR(INDEX(PRODUCTOS!$B$6:$B$105,MATCH($C192,PRODUCTOS!$A$6:$A$105,0)),"¿Código?"))</f>
        <v/>
      </c>
      <c r="E192" s="42"/>
      <c r="F192" s="35" t="str">
        <f aca="false">IF($C192="","",IFERROR(INDEX(PRODUCTOS!$D$6:$D$105,MATCH($C192,PRODUCTOS!$A$6:$A$105,0)),0))</f>
        <v/>
      </c>
      <c r="G192" s="40"/>
      <c r="H192" s="35" t="str">
        <f aca="false">IF($C192="","",N($E192)*$F192-N($G192))</f>
        <v/>
      </c>
      <c r="I192" s="35" t="str">
        <f aca="false">IF($C192="","",$H192-$H192/(1+IFERROR(INDEX(PRODUCTOS!$E$6:$E$105,MATCH($C192,PRODUCTOS!$A$6:$A$105,0)),IVA_VENTAS)))</f>
        <v/>
      </c>
      <c r="J192" s="35" t="str">
        <f aca="false">IF($C192="","",$H192-$I192)</f>
        <v/>
      </c>
      <c r="K192" s="35" t="str">
        <f aca="false">IF($C192="","",N($E192)*IFERROR(INDEX(PRODUCTOS!$H$6:$H$105,MATCH($C192,PRODUCTOS!$A$6:$A$105,0)),0))</f>
        <v/>
      </c>
      <c r="L192" s="35" t="str">
        <f aca="false">IF($C192="","",$J192-$K192)</f>
        <v/>
      </c>
      <c r="M192" s="6"/>
      <c r="N192" s="6"/>
      <c r="O192" s="46" t="str">
        <f aca="false">IF($A192="","",DATE(YEAR($A192),MONTH($A192),1))</f>
        <v/>
      </c>
    </row>
    <row r="193" customFormat="false" ht="15" hidden="false" customHeight="false" outlineLevel="0" collapsed="false">
      <c r="A193" s="44"/>
      <c r="B193" s="6"/>
      <c r="C193" s="6"/>
      <c r="D193" s="8" t="str">
        <f aca="false">IF($C193="","",IFERROR(INDEX(PRODUCTOS!$B$6:$B$105,MATCH($C193,PRODUCTOS!$A$6:$A$105,0)),"¿Código?"))</f>
        <v/>
      </c>
      <c r="E193" s="42"/>
      <c r="F193" s="35" t="str">
        <f aca="false">IF($C193="","",IFERROR(INDEX(PRODUCTOS!$D$6:$D$105,MATCH($C193,PRODUCTOS!$A$6:$A$105,0)),0))</f>
        <v/>
      </c>
      <c r="G193" s="40"/>
      <c r="H193" s="35" t="str">
        <f aca="false">IF($C193="","",N($E193)*$F193-N($G193))</f>
        <v/>
      </c>
      <c r="I193" s="35" t="str">
        <f aca="false">IF($C193="","",$H193-$H193/(1+IFERROR(INDEX(PRODUCTOS!$E$6:$E$105,MATCH($C193,PRODUCTOS!$A$6:$A$105,0)),IVA_VENTAS)))</f>
        <v/>
      </c>
      <c r="J193" s="35" t="str">
        <f aca="false">IF($C193="","",$H193-$I193)</f>
        <v/>
      </c>
      <c r="K193" s="35" t="str">
        <f aca="false">IF($C193="","",N($E193)*IFERROR(INDEX(PRODUCTOS!$H$6:$H$105,MATCH($C193,PRODUCTOS!$A$6:$A$105,0)),0))</f>
        <v/>
      </c>
      <c r="L193" s="35" t="str">
        <f aca="false">IF($C193="","",$J193-$K193)</f>
        <v/>
      </c>
      <c r="M193" s="6"/>
      <c r="N193" s="6"/>
      <c r="O193" s="46" t="str">
        <f aca="false">IF($A193="","",DATE(YEAR($A193),MONTH($A193),1))</f>
        <v/>
      </c>
    </row>
    <row r="194" customFormat="false" ht="15" hidden="false" customHeight="false" outlineLevel="0" collapsed="false">
      <c r="A194" s="44"/>
      <c r="B194" s="6"/>
      <c r="C194" s="6"/>
      <c r="D194" s="8" t="str">
        <f aca="false">IF($C194="","",IFERROR(INDEX(PRODUCTOS!$B$6:$B$105,MATCH($C194,PRODUCTOS!$A$6:$A$105,0)),"¿Código?"))</f>
        <v/>
      </c>
      <c r="E194" s="42"/>
      <c r="F194" s="35" t="str">
        <f aca="false">IF($C194="","",IFERROR(INDEX(PRODUCTOS!$D$6:$D$105,MATCH($C194,PRODUCTOS!$A$6:$A$105,0)),0))</f>
        <v/>
      </c>
      <c r="G194" s="40"/>
      <c r="H194" s="35" t="str">
        <f aca="false">IF($C194="","",N($E194)*$F194-N($G194))</f>
        <v/>
      </c>
      <c r="I194" s="35" t="str">
        <f aca="false">IF($C194="","",$H194-$H194/(1+IFERROR(INDEX(PRODUCTOS!$E$6:$E$105,MATCH($C194,PRODUCTOS!$A$6:$A$105,0)),IVA_VENTAS)))</f>
        <v/>
      </c>
      <c r="J194" s="35" t="str">
        <f aca="false">IF($C194="","",$H194-$I194)</f>
        <v/>
      </c>
      <c r="K194" s="35" t="str">
        <f aca="false">IF($C194="","",N($E194)*IFERROR(INDEX(PRODUCTOS!$H$6:$H$105,MATCH($C194,PRODUCTOS!$A$6:$A$105,0)),0))</f>
        <v/>
      </c>
      <c r="L194" s="35" t="str">
        <f aca="false">IF($C194="","",$J194-$K194)</f>
        <v/>
      </c>
      <c r="M194" s="6"/>
      <c r="N194" s="6"/>
      <c r="O194" s="46" t="str">
        <f aca="false">IF($A194="","",DATE(YEAR($A194),MONTH($A194),1))</f>
        <v/>
      </c>
    </row>
    <row r="195" customFormat="false" ht="15" hidden="false" customHeight="false" outlineLevel="0" collapsed="false">
      <c r="A195" s="44"/>
      <c r="B195" s="6"/>
      <c r="C195" s="6"/>
      <c r="D195" s="8" t="str">
        <f aca="false">IF($C195="","",IFERROR(INDEX(PRODUCTOS!$B$6:$B$105,MATCH($C195,PRODUCTOS!$A$6:$A$105,0)),"¿Código?"))</f>
        <v/>
      </c>
      <c r="E195" s="42"/>
      <c r="F195" s="35" t="str">
        <f aca="false">IF($C195="","",IFERROR(INDEX(PRODUCTOS!$D$6:$D$105,MATCH($C195,PRODUCTOS!$A$6:$A$105,0)),0))</f>
        <v/>
      </c>
      <c r="G195" s="40"/>
      <c r="H195" s="35" t="str">
        <f aca="false">IF($C195="","",N($E195)*$F195-N($G195))</f>
        <v/>
      </c>
      <c r="I195" s="35" t="str">
        <f aca="false">IF($C195="","",$H195-$H195/(1+IFERROR(INDEX(PRODUCTOS!$E$6:$E$105,MATCH($C195,PRODUCTOS!$A$6:$A$105,0)),IVA_VENTAS)))</f>
        <v/>
      </c>
      <c r="J195" s="35" t="str">
        <f aca="false">IF($C195="","",$H195-$I195)</f>
        <v/>
      </c>
      <c r="K195" s="35" t="str">
        <f aca="false">IF($C195="","",N($E195)*IFERROR(INDEX(PRODUCTOS!$H$6:$H$105,MATCH($C195,PRODUCTOS!$A$6:$A$105,0)),0))</f>
        <v/>
      </c>
      <c r="L195" s="35" t="str">
        <f aca="false">IF($C195="","",$J195-$K195)</f>
        <v/>
      </c>
      <c r="M195" s="6"/>
      <c r="N195" s="6"/>
      <c r="O195" s="46" t="str">
        <f aca="false">IF($A195="","",DATE(YEAR($A195),MONTH($A195),1))</f>
        <v/>
      </c>
    </row>
    <row r="196" customFormat="false" ht="15" hidden="false" customHeight="false" outlineLevel="0" collapsed="false">
      <c r="A196" s="44"/>
      <c r="B196" s="6"/>
      <c r="C196" s="6"/>
      <c r="D196" s="8" t="str">
        <f aca="false">IF($C196="","",IFERROR(INDEX(PRODUCTOS!$B$6:$B$105,MATCH($C196,PRODUCTOS!$A$6:$A$105,0)),"¿Código?"))</f>
        <v/>
      </c>
      <c r="E196" s="42"/>
      <c r="F196" s="35" t="str">
        <f aca="false">IF($C196="","",IFERROR(INDEX(PRODUCTOS!$D$6:$D$105,MATCH($C196,PRODUCTOS!$A$6:$A$105,0)),0))</f>
        <v/>
      </c>
      <c r="G196" s="40"/>
      <c r="H196" s="35" t="str">
        <f aca="false">IF($C196="","",N($E196)*$F196-N($G196))</f>
        <v/>
      </c>
      <c r="I196" s="35" t="str">
        <f aca="false">IF($C196="","",$H196-$H196/(1+IFERROR(INDEX(PRODUCTOS!$E$6:$E$105,MATCH($C196,PRODUCTOS!$A$6:$A$105,0)),IVA_VENTAS)))</f>
        <v/>
      </c>
      <c r="J196" s="35" t="str">
        <f aca="false">IF($C196="","",$H196-$I196)</f>
        <v/>
      </c>
      <c r="K196" s="35" t="str">
        <f aca="false">IF($C196="","",N($E196)*IFERROR(INDEX(PRODUCTOS!$H$6:$H$105,MATCH($C196,PRODUCTOS!$A$6:$A$105,0)),0))</f>
        <v/>
      </c>
      <c r="L196" s="35" t="str">
        <f aca="false">IF($C196="","",$J196-$K196)</f>
        <v/>
      </c>
      <c r="M196" s="6"/>
      <c r="N196" s="6"/>
      <c r="O196" s="46" t="str">
        <f aca="false">IF($A196="","",DATE(YEAR($A196),MONTH($A196),1))</f>
        <v/>
      </c>
    </row>
    <row r="197" customFormat="false" ht="15" hidden="false" customHeight="false" outlineLevel="0" collapsed="false">
      <c r="A197" s="44"/>
      <c r="B197" s="6"/>
      <c r="C197" s="6"/>
      <c r="D197" s="8" t="str">
        <f aca="false">IF($C197="","",IFERROR(INDEX(PRODUCTOS!$B$6:$B$105,MATCH($C197,PRODUCTOS!$A$6:$A$105,0)),"¿Código?"))</f>
        <v/>
      </c>
      <c r="E197" s="42"/>
      <c r="F197" s="35" t="str">
        <f aca="false">IF($C197="","",IFERROR(INDEX(PRODUCTOS!$D$6:$D$105,MATCH($C197,PRODUCTOS!$A$6:$A$105,0)),0))</f>
        <v/>
      </c>
      <c r="G197" s="40"/>
      <c r="H197" s="35" t="str">
        <f aca="false">IF($C197="","",N($E197)*$F197-N($G197))</f>
        <v/>
      </c>
      <c r="I197" s="35" t="str">
        <f aca="false">IF($C197="","",$H197-$H197/(1+IFERROR(INDEX(PRODUCTOS!$E$6:$E$105,MATCH($C197,PRODUCTOS!$A$6:$A$105,0)),IVA_VENTAS)))</f>
        <v/>
      </c>
      <c r="J197" s="35" t="str">
        <f aca="false">IF($C197="","",$H197-$I197)</f>
        <v/>
      </c>
      <c r="K197" s="35" t="str">
        <f aca="false">IF($C197="","",N($E197)*IFERROR(INDEX(PRODUCTOS!$H$6:$H$105,MATCH($C197,PRODUCTOS!$A$6:$A$105,0)),0))</f>
        <v/>
      </c>
      <c r="L197" s="35" t="str">
        <f aca="false">IF($C197="","",$J197-$K197)</f>
        <v/>
      </c>
      <c r="M197" s="6"/>
      <c r="N197" s="6"/>
      <c r="O197" s="46" t="str">
        <f aca="false">IF($A197="","",DATE(YEAR($A197),MONTH($A197),1))</f>
        <v/>
      </c>
    </row>
    <row r="198" customFormat="false" ht="15" hidden="false" customHeight="false" outlineLevel="0" collapsed="false">
      <c r="A198" s="44"/>
      <c r="B198" s="6"/>
      <c r="C198" s="6"/>
      <c r="D198" s="8" t="str">
        <f aca="false">IF($C198="","",IFERROR(INDEX(PRODUCTOS!$B$6:$B$105,MATCH($C198,PRODUCTOS!$A$6:$A$105,0)),"¿Código?"))</f>
        <v/>
      </c>
      <c r="E198" s="42"/>
      <c r="F198" s="35" t="str">
        <f aca="false">IF($C198="","",IFERROR(INDEX(PRODUCTOS!$D$6:$D$105,MATCH($C198,PRODUCTOS!$A$6:$A$105,0)),0))</f>
        <v/>
      </c>
      <c r="G198" s="40"/>
      <c r="H198" s="35" t="str">
        <f aca="false">IF($C198="","",N($E198)*$F198-N($G198))</f>
        <v/>
      </c>
      <c r="I198" s="35" t="str">
        <f aca="false">IF($C198="","",$H198-$H198/(1+IFERROR(INDEX(PRODUCTOS!$E$6:$E$105,MATCH($C198,PRODUCTOS!$A$6:$A$105,0)),IVA_VENTAS)))</f>
        <v/>
      </c>
      <c r="J198" s="35" t="str">
        <f aca="false">IF($C198="","",$H198-$I198)</f>
        <v/>
      </c>
      <c r="K198" s="35" t="str">
        <f aca="false">IF($C198="","",N($E198)*IFERROR(INDEX(PRODUCTOS!$H$6:$H$105,MATCH($C198,PRODUCTOS!$A$6:$A$105,0)),0))</f>
        <v/>
      </c>
      <c r="L198" s="35" t="str">
        <f aca="false">IF($C198="","",$J198-$K198)</f>
        <v/>
      </c>
      <c r="M198" s="6"/>
      <c r="N198" s="6"/>
      <c r="O198" s="46" t="str">
        <f aca="false">IF($A198="","",DATE(YEAR($A198),MONTH($A198),1))</f>
        <v/>
      </c>
    </row>
    <row r="199" customFormat="false" ht="15" hidden="false" customHeight="false" outlineLevel="0" collapsed="false">
      <c r="A199" s="44"/>
      <c r="B199" s="6"/>
      <c r="C199" s="6"/>
      <c r="D199" s="8" t="str">
        <f aca="false">IF($C199="","",IFERROR(INDEX(PRODUCTOS!$B$6:$B$105,MATCH($C199,PRODUCTOS!$A$6:$A$105,0)),"¿Código?"))</f>
        <v/>
      </c>
      <c r="E199" s="42"/>
      <c r="F199" s="35" t="str">
        <f aca="false">IF($C199="","",IFERROR(INDEX(PRODUCTOS!$D$6:$D$105,MATCH($C199,PRODUCTOS!$A$6:$A$105,0)),0))</f>
        <v/>
      </c>
      <c r="G199" s="40"/>
      <c r="H199" s="35" t="str">
        <f aca="false">IF($C199="","",N($E199)*$F199-N($G199))</f>
        <v/>
      </c>
      <c r="I199" s="35" t="str">
        <f aca="false">IF($C199="","",$H199-$H199/(1+IFERROR(INDEX(PRODUCTOS!$E$6:$E$105,MATCH($C199,PRODUCTOS!$A$6:$A$105,0)),IVA_VENTAS)))</f>
        <v/>
      </c>
      <c r="J199" s="35" t="str">
        <f aca="false">IF($C199="","",$H199-$I199)</f>
        <v/>
      </c>
      <c r="K199" s="35" t="str">
        <f aca="false">IF($C199="","",N($E199)*IFERROR(INDEX(PRODUCTOS!$H$6:$H$105,MATCH($C199,PRODUCTOS!$A$6:$A$105,0)),0))</f>
        <v/>
      </c>
      <c r="L199" s="35" t="str">
        <f aca="false">IF($C199="","",$J199-$K199)</f>
        <v/>
      </c>
      <c r="M199" s="6"/>
      <c r="N199" s="6"/>
      <c r="O199" s="46" t="str">
        <f aca="false">IF($A199="","",DATE(YEAR($A199),MONTH($A199),1))</f>
        <v/>
      </c>
    </row>
    <row r="200" customFormat="false" ht="15" hidden="false" customHeight="false" outlineLevel="0" collapsed="false">
      <c r="A200" s="44"/>
      <c r="B200" s="6"/>
      <c r="C200" s="6"/>
      <c r="D200" s="8" t="str">
        <f aca="false">IF($C200="","",IFERROR(INDEX(PRODUCTOS!$B$6:$B$105,MATCH($C200,PRODUCTOS!$A$6:$A$105,0)),"¿Código?"))</f>
        <v/>
      </c>
      <c r="E200" s="42"/>
      <c r="F200" s="35" t="str">
        <f aca="false">IF($C200="","",IFERROR(INDEX(PRODUCTOS!$D$6:$D$105,MATCH($C200,PRODUCTOS!$A$6:$A$105,0)),0))</f>
        <v/>
      </c>
      <c r="G200" s="40"/>
      <c r="H200" s="35" t="str">
        <f aca="false">IF($C200="","",N($E200)*$F200-N($G200))</f>
        <v/>
      </c>
      <c r="I200" s="35" t="str">
        <f aca="false">IF($C200="","",$H200-$H200/(1+IFERROR(INDEX(PRODUCTOS!$E$6:$E$105,MATCH($C200,PRODUCTOS!$A$6:$A$105,0)),IVA_VENTAS)))</f>
        <v/>
      </c>
      <c r="J200" s="35" t="str">
        <f aca="false">IF($C200="","",$H200-$I200)</f>
        <v/>
      </c>
      <c r="K200" s="35" t="str">
        <f aca="false">IF($C200="","",N($E200)*IFERROR(INDEX(PRODUCTOS!$H$6:$H$105,MATCH($C200,PRODUCTOS!$A$6:$A$105,0)),0))</f>
        <v/>
      </c>
      <c r="L200" s="35" t="str">
        <f aca="false">IF($C200="","",$J200-$K200)</f>
        <v/>
      </c>
      <c r="M200" s="6"/>
      <c r="N200" s="6"/>
      <c r="O200" s="46" t="str">
        <f aca="false">IF($A200="","",DATE(YEAR($A200),MONTH($A200),1))</f>
        <v/>
      </c>
    </row>
    <row r="201" customFormat="false" ht="15" hidden="false" customHeight="false" outlineLevel="0" collapsed="false">
      <c r="A201" s="44"/>
      <c r="B201" s="6"/>
      <c r="C201" s="6"/>
      <c r="D201" s="8" t="str">
        <f aca="false">IF($C201="","",IFERROR(INDEX(PRODUCTOS!$B$6:$B$105,MATCH($C201,PRODUCTOS!$A$6:$A$105,0)),"¿Código?"))</f>
        <v/>
      </c>
      <c r="E201" s="42"/>
      <c r="F201" s="35" t="str">
        <f aca="false">IF($C201="","",IFERROR(INDEX(PRODUCTOS!$D$6:$D$105,MATCH($C201,PRODUCTOS!$A$6:$A$105,0)),0))</f>
        <v/>
      </c>
      <c r="G201" s="40"/>
      <c r="H201" s="35" t="str">
        <f aca="false">IF($C201="","",N($E201)*$F201-N($G201))</f>
        <v/>
      </c>
      <c r="I201" s="35" t="str">
        <f aca="false">IF($C201="","",$H201-$H201/(1+IFERROR(INDEX(PRODUCTOS!$E$6:$E$105,MATCH($C201,PRODUCTOS!$A$6:$A$105,0)),IVA_VENTAS)))</f>
        <v/>
      </c>
      <c r="J201" s="35" t="str">
        <f aca="false">IF($C201="","",$H201-$I201)</f>
        <v/>
      </c>
      <c r="K201" s="35" t="str">
        <f aca="false">IF($C201="","",N($E201)*IFERROR(INDEX(PRODUCTOS!$H$6:$H$105,MATCH($C201,PRODUCTOS!$A$6:$A$105,0)),0))</f>
        <v/>
      </c>
      <c r="L201" s="35" t="str">
        <f aca="false">IF($C201="","",$J201-$K201)</f>
        <v/>
      </c>
      <c r="M201" s="6"/>
      <c r="N201" s="6"/>
      <c r="O201" s="46" t="str">
        <f aca="false">IF($A201="","",DATE(YEAR($A201),MONTH($A201),1))</f>
        <v/>
      </c>
    </row>
    <row r="202" customFormat="false" ht="15" hidden="false" customHeight="false" outlineLevel="0" collapsed="false">
      <c r="A202" s="44"/>
      <c r="B202" s="6"/>
      <c r="C202" s="6"/>
      <c r="D202" s="8" t="str">
        <f aca="false">IF($C202="","",IFERROR(INDEX(PRODUCTOS!$B$6:$B$105,MATCH($C202,PRODUCTOS!$A$6:$A$105,0)),"¿Código?"))</f>
        <v/>
      </c>
      <c r="E202" s="42"/>
      <c r="F202" s="35" t="str">
        <f aca="false">IF($C202="","",IFERROR(INDEX(PRODUCTOS!$D$6:$D$105,MATCH($C202,PRODUCTOS!$A$6:$A$105,0)),0))</f>
        <v/>
      </c>
      <c r="G202" s="40"/>
      <c r="H202" s="35" t="str">
        <f aca="false">IF($C202="","",N($E202)*$F202-N($G202))</f>
        <v/>
      </c>
      <c r="I202" s="35" t="str">
        <f aca="false">IF($C202="","",$H202-$H202/(1+IFERROR(INDEX(PRODUCTOS!$E$6:$E$105,MATCH($C202,PRODUCTOS!$A$6:$A$105,0)),IVA_VENTAS)))</f>
        <v/>
      </c>
      <c r="J202" s="35" t="str">
        <f aca="false">IF($C202="","",$H202-$I202)</f>
        <v/>
      </c>
      <c r="K202" s="35" t="str">
        <f aca="false">IF($C202="","",N($E202)*IFERROR(INDEX(PRODUCTOS!$H$6:$H$105,MATCH($C202,PRODUCTOS!$A$6:$A$105,0)),0))</f>
        <v/>
      </c>
      <c r="L202" s="35" t="str">
        <f aca="false">IF($C202="","",$J202-$K202)</f>
        <v/>
      </c>
      <c r="M202" s="6"/>
      <c r="N202" s="6"/>
      <c r="O202" s="46" t="str">
        <f aca="false">IF($A202="","",DATE(YEAR($A202),MONTH($A202),1))</f>
        <v/>
      </c>
    </row>
    <row r="203" customFormat="false" ht="15" hidden="false" customHeight="false" outlineLevel="0" collapsed="false">
      <c r="A203" s="44"/>
      <c r="B203" s="6"/>
      <c r="C203" s="6"/>
      <c r="D203" s="8" t="str">
        <f aca="false">IF($C203="","",IFERROR(INDEX(PRODUCTOS!$B$6:$B$105,MATCH($C203,PRODUCTOS!$A$6:$A$105,0)),"¿Código?"))</f>
        <v/>
      </c>
      <c r="E203" s="42"/>
      <c r="F203" s="35" t="str">
        <f aca="false">IF($C203="","",IFERROR(INDEX(PRODUCTOS!$D$6:$D$105,MATCH($C203,PRODUCTOS!$A$6:$A$105,0)),0))</f>
        <v/>
      </c>
      <c r="G203" s="40"/>
      <c r="H203" s="35" t="str">
        <f aca="false">IF($C203="","",N($E203)*$F203-N($G203))</f>
        <v/>
      </c>
      <c r="I203" s="35" t="str">
        <f aca="false">IF($C203="","",$H203-$H203/(1+IFERROR(INDEX(PRODUCTOS!$E$6:$E$105,MATCH($C203,PRODUCTOS!$A$6:$A$105,0)),IVA_VENTAS)))</f>
        <v/>
      </c>
      <c r="J203" s="35" t="str">
        <f aca="false">IF($C203="","",$H203-$I203)</f>
        <v/>
      </c>
      <c r="K203" s="35" t="str">
        <f aca="false">IF($C203="","",N($E203)*IFERROR(INDEX(PRODUCTOS!$H$6:$H$105,MATCH($C203,PRODUCTOS!$A$6:$A$105,0)),0))</f>
        <v/>
      </c>
      <c r="L203" s="35" t="str">
        <f aca="false">IF($C203="","",$J203-$K203)</f>
        <v/>
      </c>
      <c r="M203" s="6"/>
      <c r="N203" s="6"/>
      <c r="O203" s="46" t="str">
        <f aca="false">IF($A203="","",DATE(YEAR($A203),MONTH($A203),1))</f>
        <v/>
      </c>
    </row>
    <row r="204" customFormat="false" ht="15" hidden="false" customHeight="false" outlineLevel="0" collapsed="false">
      <c r="A204" s="44"/>
      <c r="B204" s="6"/>
      <c r="C204" s="6"/>
      <c r="D204" s="8" t="str">
        <f aca="false">IF($C204="","",IFERROR(INDEX(PRODUCTOS!$B$6:$B$105,MATCH($C204,PRODUCTOS!$A$6:$A$105,0)),"¿Código?"))</f>
        <v/>
      </c>
      <c r="E204" s="42"/>
      <c r="F204" s="35" t="str">
        <f aca="false">IF($C204="","",IFERROR(INDEX(PRODUCTOS!$D$6:$D$105,MATCH($C204,PRODUCTOS!$A$6:$A$105,0)),0))</f>
        <v/>
      </c>
      <c r="G204" s="40"/>
      <c r="H204" s="35" t="str">
        <f aca="false">IF($C204="","",N($E204)*$F204-N($G204))</f>
        <v/>
      </c>
      <c r="I204" s="35" t="str">
        <f aca="false">IF($C204="","",$H204-$H204/(1+IFERROR(INDEX(PRODUCTOS!$E$6:$E$105,MATCH($C204,PRODUCTOS!$A$6:$A$105,0)),IVA_VENTAS)))</f>
        <v/>
      </c>
      <c r="J204" s="35" t="str">
        <f aca="false">IF($C204="","",$H204-$I204)</f>
        <v/>
      </c>
      <c r="K204" s="35" t="str">
        <f aca="false">IF($C204="","",N($E204)*IFERROR(INDEX(PRODUCTOS!$H$6:$H$105,MATCH($C204,PRODUCTOS!$A$6:$A$105,0)),0))</f>
        <v/>
      </c>
      <c r="L204" s="35" t="str">
        <f aca="false">IF($C204="","",$J204-$K204)</f>
        <v/>
      </c>
      <c r="M204" s="6"/>
      <c r="N204" s="6"/>
      <c r="O204" s="46" t="str">
        <f aca="false">IF($A204="","",DATE(YEAR($A204),MONTH($A204),1))</f>
        <v/>
      </c>
    </row>
    <row r="205" customFormat="false" ht="15" hidden="false" customHeight="false" outlineLevel="0" collapsed="false">
      <c r="A205" s="44"/>
      <c r="B205" s="6"/>
      <c r="C205" s="6"/>
      <c r="D205" s="8" t="str">
        <f aca="false">IF($C205="","",IFERROR(INDEX(PRODUCTOS!$B$6:$B$105,MATCH($C205,PRODUCTOS!$A$6:$A$105,0)),"¿Código?"))</f>
        <v/>
      </c>
      <c r="E205" s="42"/>
      <c r="F205" s="35" t="str">
        <f aca="false">IF($C205="","",IFERROR(INDEX(PRODUCTOS!$D$6:$D$105,MATCH($C205,PRODUCTOS!$A$6:$A$105,0)),0))</f>
        <v/>
      </c>
      <c r="G205" s="40"/>
      <c r="H205" s="35" t="str">
        <f aca="false">IF($C205="","",N($E205)*$F205-N($G205))</f>
        <v/>
      </c>
      <c r="I205" s="35" t="str">
        <f aca="false">IF($C205="","",$H205-$H205/(1+IFERROR(INDEX(PRODUCTOS!$E$6:$E$105,MATCH($C205,PRODUCTOS!$A$6:$A$105,0)),IVA_VENTAS)))</f>
        <v/>
      </c>
      <c r="J205" s="35" t="str">
        <f aca="false">IF($C205="","",$H205-$I205)</f>
        <v/>
      </c>
      <c r="K205" s="35" t="str">
        <f aca="false">IF($C205="","",N($E205)*IFERROR(INDEX(PRODUCTOS!$H$6:$H$105,MATCH($C205,PRODUCTOS!$A$6:$A$105,0)),0))</f>
        <v/>
      </c>
      <c r="L205" s="35" t="str">
        <f aca="false">IF($C205="","",$J205-$K205)</f>
        <v/>
      </c>
      <c r="M205" s="6"/>
      <c r="N205" s="6"/>
      <c r="O205" s="46" t="str">
        <f aca="false">IF($A205="","",DATE(YEAR($A205),MONTH($A205),1))</f>
        <v/>
      </c>
    </row>
    <row r="206" customFormat="false" ht="15" hidden="false" customHeight="false" outlineLevel="0" collapsed="false">
      <c r="A206" s="44"/>
      <c r="B206" s="6"/>
      <c r="C206" s="6"/>
      <c r="D206" s="8" t="str">
        <f aca="false">IF($C206="","",IFERROR(INDEX(PRODUCTOS!$B$6:$B$105,MATCH($C206,PRODUCTOS!$A$6:$A$105,0)),"¿Código?"))</f>
        <v/>
      </c>
      <c r="E206" s="42"/>
      <c r="F206" s="35" t="str">
        <f aca="false">IF($C206="","",IFERROR(INDEX(PRODUCTOS!$D$6:$D$105,MATCH($C206,PRODUCTOS!$A$6:$A$105,0)),0))</f>
        <v/>
      </c>
      <c r="G206" s="40"/>
      <c r="H206" s="35" t="str">
        <f aca="false">IF($C206="","",N($E206)*$F206-N($G206))</f>
        <v/>
      </c>
      <c r="I206" s="35" t="str">
        <f aca="false">IF($C206="","",$H206-$H206/(1+IFERROR(INDEX(PRODUCTOS!$E$6:$E$105,MATCH($C206,PRODUCTOS!$A$6:$A$105,0)),IVA_VENTAS)))</f>
        <v/>
      </c>
      <c r="J206" s="35" t="str">
        <f aca="false">IF($C206="","",$H206-$I206)</f>
        <v/>
      </c>
      <c r="K206" s="35" t="str">
        <f aca="false">IF($C206="","",N($E206)*IFERROR(INDEX(PRODUCTOS!$H$6:$H$105,MATCH($C206,PRODUCTOS!$A$6:$A$105,0)),0))</f>
        <v/>
      </c>
      <c r="L206" s="35" t="str">
        <f aca="false">IF($C206="","",$J206-$K206)</f>
        <v/>
      </c>
      <c r="M206" s="6"/>
      <c r="N206" s="6"/>
      <c r="O206" s="46" t="str">
        <f aca="false">IF($A206="","",DATE(YEAR($A206),MONTH($A206),1))</f>
        <v/>
      </c>
    </row>
    <row r="207" customFormat="false" ht="15" hidden="false" customHeight="false" outlineLevel="0" collapsed="false">
      <c r="A207" s="44"/>
      <c r="B207" s="6"/>
      <c r="C207" s="6"/>
      <c r="D207" s="8" t="str">
        <f aca="false">IF($C207="","",IFERROR(INDEX(PRODUCTOS!$B$6:$B$105,MATCH($C207,PRODUCTOS!$A$6:$A$105,0)),"¿Código?"))</f>
        <v/>
      </c>
      <c r="E207" s="42"/>
      <c r="F207" s="35" t="str">
        <f aca="false">IF($C207="","",IFERROR(INDEX(PRODUCTOS!$D$6:$D$105,MATCH($C207,PRODUCTOS!$A$6:$A$105,0)),0))</f>
        <v/>
      </c>
      <c r="G207" s="40"/>
      <c r="H207" s="35" t="str">
        <f aca="false">IF($C207="","",N($E207)*$F207-N($G207))</f>
        <v/>
      </c>
      <c r="I207" s="35" t="str">
        <f aca="false">IF($C207="","",$H207-$H207/(1+IFERROR(INDEX(PRODUCTOS!$E$6:$E$105,MATCH($C207,PRODUCTOS!$A$6:$A$105,0)),IVA_VENTAS)))</f>
        <v/>
      </c>
      <c r="J207" s="35" t="str">
        <f aca="false">IF($C207="","",$H207-$I207)</f>
        <v/>
      </c>
      <c r="K207" s="35" t="str">
        <f aca="false">IF($C207="","",N($E207)*IFERROR(INDEX(PRODUCTOS!$H$6:$H$105,MATCH($C207,PRODUCTOS!$A$6:$A$105,0)),0))</f>
        <v/>
      </c>
      <c r="L207" s="35" t="str">
        <f aca="false">IF($C207="","",$J207-$K207)</f>
        <v/>
      </c>
      <c r="M207" s="6"/>
      <c r="N207" s="6"/>
      <c r="O207" s="46" t="str">
        <f aca="false">IF($A207="","",DATE(YEAR($A207),MONTH($A207),1))</f>
        <v/>
      </c>
    </row>
    <row r="208" customFormat="false" ht="15" hidden="false" customHeight="false" outlineLevel="0" collapsed="false">
      <c r="A208" s="44"/>
      <c r="B208" s="6"/>
      <c r="C208" s="6"/>
      <c r="D208" s="8" t="str">
        <f aca="false">IF($C208="","",IFERROR(INDEX(PRODUCTOS!$B$6:$B$105,MATCH($C208,PRODUCTOS!$A$6:$A$105,0)),"¿Código?"))</f>
        <v/>
      </c>
      <c r="E208" s="42"/>
      <c r="F208" s="35" t="str">
        <f aca="false">IF($C208="","",IFERROR(INDEX(PRODUCTOS!$D$6:$D$105,MATCH($C208,PRODUCTOS!$A$6:$A$105,0)),0))</f>
        <v/>
      </c>
      <c r="G208" s="40"/>
      <c r="H208" s="35" t="str">
        <f aca="false">IF($C208="","",N($E208)*$F208-N($G208))</f>
        <v/>
      </c>
      <c r="I208" s="35" t="str">
        <f aca="false">IF($C208="","",$H208-$H208/(1+IFERROR(INDEX(PRODUCTOS!$E$6:$E$105,MATCH($C208,PRODUCTOS!$A$6:$A$105,0)),IVA_VENTAS)))</f>
        <v/>
      </c>
      <c r="J208" s="35" t="str">
        <f aca="false">IF($C208="","",$H208-$I208)</f>
        <v/>
      </c>
      <c r="K208" s="35" t="str">
        <f aca="false">IF($C208="","",N($E208)*IFERROR(INDEX(PRODUCTOS!$H$6:$H$105,MATCH($C208,PRODUCTOS!$A$6:$A$105,0)),0))</f>
        <v/>
      </c>
      <c r="L208" s="35" t="str">
        <f aca="false">IF($C208="","",$J208-$K208)</f>
        <v/>
      </c>
      <c r="M208" s="6"/>
      <c r="N208" s="6"/>
      <c r="O208" s="46" t="str">
        <f aca="false">IF($A208="","",DATE(YEAR($A208),MONTH($A208),1))</f>
        <v/>
      </c>
    </row>
    <row r="209" customFormat="false" ht="15" hidden="false" customHeight="false" outlineLevel="0" collapsed="false">
      <c r="A209" s="44"/>
      <c r="B209" s="6"/>
      <c r="C209" s="6"/>
      <c r="D209" s="8" t="str">
        <f aca="false">IF($C209="","",IFERROR(INDEX(PRODUCTOS!$B$6:$B$105,MATCH($C209,PRODUCTOS!$A$6:$A$105,0)),"¿Código?"))</f>
        <v/>
      </c>
      <c r="E209" s="42"/>
      <c r="F209" s="35" t="str">
        <f aca="false">IF($C209="","",IFERROR(INDEX(PRODUCTOS!$D$6:$D$105,MATCH($C209,PRODUCTOS!$A$6:$A$105,0)),0))</f>
        <v/>
      </c>
      <c r="G209" s="40"/>
      <c r="H209" s="35" t="str">
        <f aca="false">IF($C209="","",N($E209)*$F209-N($G209))</f>
        <v/>
      </c>
      <c r="I209" s="35" t="str">
        <f aca="false">IF($C209="","",$H209-$H209/(1+IFERROR(INDEX(PRODUCTOS!$E$6:$E$105,MATCH($C209,PRODUCTOS!$A$6:$A$105,0)),IVA_VENTAS)))</f>
        <v/>
      </c>
      <c r="J209" s="35" t="str">
        <f aca="false">IF($C209="","",$H209-$I209)</f>
        <v/>
      </c>
      <c r="K209" s="35" t="str">
        <f aca="false">IF($C209="","",N($E209)*IFERROR(INDEX(PRODUCTOS!$H$6:$H$105,MATCH($C209,PRODUCTOS!$A$6:$A$105,0)),0))</f>
        <v/>
      </c>
      <c r="L209" s="35" t="str">
        <f aca="false">IF($C209="","",$J209-$K209)</f>
        <v/>
      </c>
      <c r="M209" s="6"/>
      <c r="N209" s="6"/>
      <c r="O209" s="46" t="str">
        <f aca="false">IF($A209="","",DATE(YEAR($A209),MONTH($A209),1))</f>
        <v/>
      </c>
    </row>
    <row r="210" customFormat="false" ht="15" hidden="false" customHeight="false" outlineLevel="0" collapsed="false">
      <c r="A210" s="44"/>
      <c r="B210" s="6"/>
      <c r="C210" s="6"/>
      <c r="D210" s="8" t="str">
        <f aca="false">IF($C210="","",IFERROR(INDEX(PRODUCTOS!$B$6:$B$105,MATCH($C210,PRODUCTOS!$A$6:$A$105,0)),"¿Código?"))</f>
        <v/>
      </c>
      <c r="E210" s="42"/>
      <c r="F210" s="35" t="str">
        <f aca="false">IF($C210="","",IFERROR(INDEX(PRODUCTOS!$D$6:$D$105,MATCH($C210,PRODUCTOS!$A$6:$A$105,0)),0))</f>
        <v/>
      </c>
      <c r="G210" s="40"/>
      <c r="H210" s="35" t="str">
        <f aca="false">IF($C210="","",N($E210)*$F210-N($G210))</f>
        <v/>
      </c>
      <c r="I210" s="35" t="str">
        <f aca="false">IF($C210="","",$H210-$H210/(1+IFERROR(INDEX(PRODUCTOS!$E$6:$E$105,MATCH($C210,PRODUCTOS!$A$6:$A$105,0)),IVA_VENTAS)))</f>
        <v/>
      </c>
      <c r="J210" s="35" t="str">
        <f aca="false">IF($C210="","",$H210-$I210)</f>
        <v/>
      </c>
      <c r="K210" s="35" t="str">
        <f aca="false">IF($C210="","",N($E210)*IFERROR(INDEX(PRODUCTOS!$H$6:$H$105,MATCH($C210,PRODUCTOS!$A$6:$A$105,0)),0))</f>
        <v/>
      </c>
      <c r="L210" s="35" t="str">
        <f aca="false">IF($C210="","",$J210-$K210)</f>
        <v/>
      </c>
      <c r="M210" s="6"/>
      <c r="N210" s="6"/>
      <c r="O210" s="46" t="str">
        <f aca="false">IF($A210="","",DATE(YEAR($A210),MONTH($A210),1))</f>
        <v/>
      </c>
    </row>
    <row r="211" customFormat="false" ht="15" hidden="false" customHeight="false" outlineLevel="0" collapsed="false">
      <c r="A211" s="44"/>
      <c r="B211" s="6"/>
      <c r="C211" s="6"/>
      <c r="D211" s="8" t="str">
        <f aca="false">IF($C211="","",IFERROR(INDEX(PRODUCTOS!$B$6:$B$105,MATCH($C211,PRODUCTOS!$A$6:$A$105,0)),"¿Código?"))</f>
        <v/>
      </c>
      <c r="E211" s="42"/>
      <c r="F211" s="35" t="str">
        <f aca="false">IF($C211="","",IFERROR(INDEX(PRODUCTOS!$D$6:$D$105,MATCH($C211,PRODUCTOS!$A$6:$A$105,0)),0))</f>
        <v/>
      </c>
      <c r="G211" s="40"/>
      <c r="H211" s="35" t="str">
        <f aca="false">IF($C211="","",N($E211)*$F211-N($G211))</f>
        <v/>
      </c>
      <c r="I211" s="35" t="str">
        <f aca="false">IF($C211="","",$H211-$H211/(1+IFERROR(INDEX(PRODUCTOS!$E$6:$E$105,MATCH($C211,PRODUCTOS!$A$6:$A$105,0)),IVA_VENTAS)))</f>
        <v/>
      </c>
      <c r="J211" s="35" t="str">
        <f aca="false">IF($C211="","",$H211-$I211)</f>
        <v/>
      </c>
      <c r="K211" s="35" t="str">
        <f aca="false">IF($C211="","",N($E211)*IFERROR(INDEX(PRODUCTOS!$H$6:$H$105,MATCH($C211,PRODUCTOS!$A$6:$A$105,0)),0))</f>
        <v/>
      </c>
      <c r="L211" s="35" t="str">
        <f aca="false">IF($C211="","",$J211-$K211)</f>
        <v/>
      </c>
      <c r="M211" s="6"/>
      <c r="N211" s="6"/>
      <c r="O211" s="46" t="str">
        <f aca="false">IF($A211="","",DATE(YEAR($A211),MONTH($A211),1))</f>
        <v/>
      </c>
    </row>
    <row r="212" customFormat="false" ht="15" hidden="false" customHeight="false" outlineLevel="0" collapsed="false">
      <c r="A212" s="44"/>
      <c r="B212" s="6"/>
      <c r="C212" s="6"/>
      <c r="D212" s="8" t="str">
        <f aca="false">IF($C212="","",IFERROR(INDEX(PRODUCTOS!$B$6:$B$105,MATCH($C212,PRODUCTOS!$A$6:$A$105,0)),"¿Código?"))</f>
        <v/>
      </c>
      <c r="E212" s="42"/>
      <c r="F212" s="35" t="str">
        <f aca="false">IF($C212="","",IFERROR(INDEX(PRODUCTOS!$D$6:$D$105,MATCH($C212,PRODUCTOS!$A$6:$A$105,0)),0))</f>
        <v/>
      </c>
      <c r="G212" s="40"/>
      <c r="H212" s="35" t="str">
        <f aca="false">IF($C212="","",N($E212)*$F212-N($G212))</f>
        <v/>
      </c>
      <c r="I212" s="35" t="str">
        <f aca="false">IF($C212="","",$H212-$H212/(1+IFERROR(INDEX(PRODUCTOS!$E$6:$E$105,MATCH($C212,PRODUCTOS!$A$6:$A$105,0)),IVA_VENTAS)))</f>
        <v/>
      </c>
      <c r="J212" s="35" t="str">
        <f aca="false">IF($C212="","",$H212-$I212)</f>
        <v/>
      </c>
      <c r="K212" s="35" t="str">
        <f aca="false">IF($C212="","",N($E212)*IFERROR(INDEX(PRODUCTOS!$H$6:$H$105,MATCH($C212,PRODUCTOS!$A$6:$A$105,0)),0))</f>
        <v/>
      </c>
      <c r="L212" s="35" t="str">
        <f aca="false">IF($C212="","",$J212-$K212)</f>
        <v/>
      </c>
      <c r="M212" s="6"/>
      <c r="N212" s="6"/>
      <c r="O212" s="46" t="str">
        <f aca="false">IF($A212="","",DATE(YEAR($A212),MONTH($A212),1))</f>
        <v/>
      </c>
    </row>
    <row r="213" customFormat="false" ht="15" hidden="false" customHeight="false" outlineLevel="0" collapsed="false">
      <c r="A213" s="44"/>
      <c r="B213" s="6"/>
      <c r="C213" s="6"/>
      <c r="D213" s="8" t="str">
        <f aca="false">IF($C213="","",IFERROR(INDEX(PRODUCTOS!$B$6:$B$105,MATCH($C213,PRODUCTOS!$A$6:$A$105,0)),"¿Código?"))</f>
        <v/>
      </c>
      <c r="E213" s="42"/>
      <c r="F213" s="35" t="str">
        <f aca="false">IF($C213="","",IFERROR(INDEX(PRODUCTOS!$D$6:$D$105,MATCH($C213,PRODUCTOS!$A$6:$A$105,0)),0))</f>
        <v/>
      </c>
      <c r="G213" s="40"/>
      <c r="H213" s="35" t="str">
        <f aca="false">IF($C213="","",N($E213)*$F213-N($G213))</f>
        <v/>
      </c>
      <c r="I213" s="35" t="str">
        <f aca="false">IF($C213="","",$H213-$H213/(1+IFERROR(INDEX(PRODUCTOS!$E$6:$E$105,MATCH($C213,PRODUCTOS!$A$6:$A$105,0)),IVA_VENTAS)))</f>
        <v/>
      </c>
      <c r="J213" s="35" t="str">
        <f aca="false">IF($C213="","",$H213-$I213)</f>
        <v/>
      </c>
      <c r="K213" s="35" t="str">
        <f aca="false">IF($C213="","",N($E213)*IFERROR(INDEX(PRODUCTOS!$H$6:$H$105,MATCH($C213,PRODUCTOS!$A$6:$A$105,0)),0))</f>
        <v/>
      </c>
      <c r="L213" s="35" t="str">
        <f aca="false">IF($C213="","",$J213-$K213)</f>
        <v/>
      </c>
      <c r="M213" s="6"/>
      <c r="N213" s="6"/>
      <c r="O213" s="46" t="str">
        <f aca="false">IF($A213="","",DATE(YEAR($A213),MONTH($A213),1))</f>
        <v/>
      </c>
    </row>
    <row r="214" customFormat="false" ht="15" hidden="false" customHeight="false" outlineLevel="0" collapsed="false">
      <c r="A214" s="44"/>
      <c r="B214" s="6"/>
      <c r="C214" s="6"/>
      <c r="D214" s="8" t="str">
        <f aca="false">IF($C214="","",IFERROR(INDEX(PRODUCTOS!$B$6:$B$105,MATCH($C214,PRODUCTOS!$A$6:$A$105,0)),"¿Código?"))</f>
        <v/>
      </c>
      <c r="E214" s="42"/>
      <c r="F214" s="35" t="str">
        <f aca="false">IF($C214="","",IFERROR(INDEX(PRODUCTOS!$D$6:$D$105,MATCH($C214,PRODUCTOS!$A$6:$A$105,0)),0))</f>
        <v/>
      </c>
      <c r="G214" s="40"/>
      <c r="H214" s="35" t="str">
        <f aca="false">IF($C214="","",N($E214)*$F214-N($G214))</f>
        <v/>
      </c>
      <c r="I214" s="35" t="str">
        <f aca="false">IF($C214="","",$H214-$H214/(1+IFERROR(INDEX(PRODUCTOS!$E$6:$E$105,MATCH($C214,PRODUCTOS!$A$6:$A$105,0)),IVA_VENTAS)))</f>
        <v/>
      </c>
      <c r="J214" s="35" t="str">
        <f aca="false">IF($C214="","",$H214-$I214)</f>
        <v/>
      </c>
      <c r="K214" s="35" t="str">
        <f aca="false">IF($C214="","",N($E214)*IFERROR(INDEX(PRODUCTOS!$H$6:$H$105,MATCH($C214,PRODUCTOS!$A$6:$A$105,0)),0))</f>
        <v/>
      </c>
      <c r="L214" s="35" t="str">
        <f aca="false">IF($C214="","",$J214-$K214)</f>
        <v/>
      </c>
      <c r="M214" s="6"/>
      <c r="N214" s="6"/>
      <c r="O214" s="46" t="str">
        <f aca="false">IF($A214="","",DATE(YEAR($A214),MONTH($A214),1))</f>
        <v/>
      </c>
    </row>
    <row r="215" customFormat="false" ht="15" hidden="false" customHeight="false" outlineLevel="0" collapsed="false">
      <c r="A215" s="44"/>
      <c r="B215" s="6"/>
      <c r="C215" s="6"/>
      <c r="D215" s="8" t="str">
        <f aca="false">IF($C215="","",IFERROR(INDEX(PRODUCTOS!$B$6:$B$105,MATCH($C215,PRODUCTOS!$A$6:$A$105,0)),"¿Código?"))</f>
        <v/>
      </c>
      <c r="E215" s="42"/>
      <c r="F215" s="35" t="str">
        <f aca="false">IF($C215="","",IFERROR(INDEX(PRODUCTOS!$D$6:$D$105,MATCH($C215,PRODUCTOS!$A$6:$A$105,0)),0))</f>
        <v/>
      </c>
      <c r="G215" s="40"/>
      <c r="H215" s="35" t="str">
        <f aca="false">IF($C215="","",N($E215)*$F215-N($G215))</f>
        <v/>
      </c>
      <c r="I215" s="35" t="str">
        <f aca="false">IF($C215="","",$H215-$H215/(1+IFERROR(INDEX(PRODUCTOS!$E$6:$E$105,MATCH($C215,PRODUCTOS!$A$6:$A$105,0)),IVA_VENTAS)))</f>
        <v/>
      </c>
      <c r="J215" s="35" t="str">
        <f aca="false">IF($C215="","",$H215-$I215)</f>
        <v/>
      </c>
      <c r="K215" s="35" t="str">
        <f aca="false">IF($C215="","",N($E215)*IFERROR(INDEX(PRODUCTOS!$H$6:$H$105,MATCH($C215,PRODUCTOS!$A$6:$A$105,0)),0))</f>
        <v/>
      </c>
      <c r="L215" s="35" t="str">
        <f aca="false">IF($C215="","",$J215-$K215)</f>
        <v/>
      </c>
      <c r="M215" s="6"/>
      <c r="N215" s="6"/>
      <c r="O215" s="46" t="str">
        <f aca="false">IF($A215="","",DATE(YEAR($A215),MONTH($A215),1))</f>
        <v/>
      </c>
    </row>
    <row r="216" customFormat="false" ht="15" hidden="false" customHeight="false" outlineLevel="0" collapsed="false">
      <c r="A216" s="44"/>
      <c r="B216" s="6"/>
      <c r="C216" s="6"/>
      <c r="D216" s="8" t="str">
        <f aca="false">IF($C216="","",IFERROR(INDEX(PRODUCTOS!$B$6:$B$105,MATCH($C216,PRODUCTOS!$A$6:$A$105,0)),"¿Código?"))</f>
        <v/>
      </c>
      <c r="E216" s="42"/>
      <c r="F216" s="35" t="str">
        <f aca="false">IF($C216="","",IFERROR(INDEX(PRODUCTOS!$D$6:$D$105,MATCH($C216,PRODUCTOS!$A$6:$A$105,0)),0))</f>
        <v/>
      </c>
      <c r="G216" s="40"/>
      <c r="H216" s="35" t="str">
        <f aca="false">IF($C216="","",N($E216)*$F216-N($G216))</f>
        <v/>
      </c>
      <c r="I216" s="35" t="str">
        <f aca="false">IF($C216="","",$H216-$H216/(1+IFERROR(INDEX(PRODUCTOS!$E$6:$E$105,MATCH($C216,PRODUCTOS!$A$6:$A$105,0)),IVA_VENTAS)))</f>
        <v/>
      </c>
      <c r="J216" s="35" t="str">
        <f aca="false">IF($C216="","",$H216-$I216)</f>
        <v/>
      </c>
      <c r="K216" s="35" t="str">
        <f aca="false">IF($C216="","",N($E216)*IFERROR(INDEX(PRODUCTOS!$H$6:$H$105,MATCH($C216,PRODUCTOS!$A$6:$A$105,0)),0))</f>
        <v/>
      </c>
      <c r="L216" s="35" t="str">
        <f aca="false">IF($C216="","",$J216-$K216)</f>
        <v/>
      </c>
      <c r="M216" s="6"/>
      <c r="N216" s="6"/>
      <c r="O216" s="46" t="str">
        <f aca="false">IF($A216="","",DATE(YEAR($A216),MONTH($A216),1))</f>
        <v/>
      </c>
    </row>
    <row r="217" customFormat="false" ht="15" hidden="false" customHeight="false" outlineLevel="0" collapsed="false">
      <c r="A217" s="44"/>
      <c r="B217" s="6"/>
      <c r="C217" s="6"/>
      <c r="D217" s="8" t="str">
        <f aca="false">IF($C217="","",IFERROR(INDEX(PRODUCTOS!$B$6:$B$105,MATCH($C217,PRODUCTOS!$A$6:$A$105,0)),"¿Código?"))</f>
        <v/>
      </c>
      <c r="E217" s="42"/>
      <c r="F217" s="35" t="str">
        <f aca="false">IF($C217="","",IFERROR(INDEX(PRODUCTOS!$D$6:$D$105,MATCH($C217,PRODUCTOS!$A$6:$A$105,0)),0))</f>
        <v/>
      </c>
      <c r="G217" s="40"/>
      <c r="H217" s="35" t="str">
        <f aca="false">IF($C217="","",N($E217)*$F217-N($G217))</f>
        <v/>
      </c>
      <c r="I217" s="35" t="str">
        <f aca="false">IF($C217="","",$H217-$H217/(1+IFERROR(INDEX(PRODUCTOS!$E$6:$E$105,MATCH($C217,PRODUCTOS!$A$6:$A$105,0)),IVA_VENTAS)))</f>
        <v/>
      </c>
      <c r="J217" s="35" t="str">
        <f aca="false">IF($C217="","",$H217-$I217)</f>
        <v/>
      </c>
      <c r="K217" s="35" t="str">
        <f aca="false">IF($C217="","",N($E217)*IFERROR(INDEX(PRODUCTOS!$H$6:$H$105,MATCH($C217,PRODUCTOS!$A$6:$A$105,0)),0))</f>
        <v/>
      </c>
      <c r="L217" s="35" t="str">
        <f aca="false">IF($C217="","",$J217-$K217)</f>
        <v/>
      </c>
      <c r="M217" s="6"/>
      <c r="N217" s="6"/>
      <c r="O217" s="46" t="str">
        <f aca="false">IF($A217="","",DATE(YEAR($A217),MONTH($A217),1))</f>
        <v/>
      </c>
    </row>
    <row r="218" customFormat="false" ht="15" hidden="false" customHeight="false" outlineLevel="0" collapsed="false">
      <c r="A218" s="44"/>
      <c r="B218" s="6"/>
      <c r="C218" s="6"/>
      <c r="D218" s="8" t="str">
        <f aca="false">IF($C218="","",IFERROR(INDEX(PRODUCTOS!$B$6:$B$105,MATCH($C218,PRODUCTOS!$A$6:$A$105,0)),"¿Código?"))</f>
        <v/>
      </c>
      <c r="E218" s="42"/>
      <c r="F218" s="35" t="str">
        <f aca="false">IF($C218="","",IFERROR(INDEX(PRODUCTOS!$D$6:$D$105,MATCH($C218,PRODUCTOS!$A$6:$A$105,0)),0))</f>
        <v/>
      </c>
      <c r="G218" s="40"/>
      <c r="H218" s="35" t="str">
        <f aca="false">IF($C218="","",N($E218)*$F218-N($G218))</f>
        <v/>
      </c>
      <c r="I218" s="35" t="str">
        <f aca="false">IF($C218="","",$H218-$H218/(1+IFERROR(INDEX(PRODUCTOS!$E$6:$E$105,MATCH($C218,PRODUCTOS!$A$6:$A$105,0)),IVA_VENTAS)))</f>
        <v/>
      </c>
      <c r="J218" s="35" t="str">
        <f aca="false">IF($C218="","",$H218-$I218)</f>
        <v/>
      </c>
      <c r="K218" s="35" t="str">
        <f aca="false">IF($C218="","",N($E218)*IFERROR(INDEX(PRODUCTOS!$H$6:$H$105,MATCH($C218,PRODUCTOS!$A$6:$A$105,0)),0))</f>
        <v/>
      </c>
      <c r="L218" s="35" t="str">
        <f aca="false">IF($C218="","",$J218-$K218)</f>
        <v/>
      </c>
      <c r="M218" s="6"/>
      <c r="N218" s="6"/>
      <c r="O218" s="46" t="str">
        <f aca="false">IF($A218="","",DATE(YEAR($A218),MONTH($A218),1))</f>
        <v/>
      </c>
    </row>
    <row r="219" customFormat="false" ht="15" hidden="false" customHeight="false" outlineLevel="0" collapsed="false">
      <c r="A219" s="44"/>
      <c r="B219" s="6"/>
      <c r="C219" s="6"/>
      <c r="D219" s="8" t="str">
        <f aca="false">IF($C219="","",IFERROR(INDEX(PRODUCTOS!$B$6:$B$105,MATCH($C219,PRODUCTOS!$A$6:$A$105,0)),"¿Código?"))</f>
        <v/>
      </c>
      <c r="E219" s="42"/>
      <c r="F219" s="35" t="str">
        <f aca="false">IF($C219="","",IFERROR(INDEX(PRODUCTOS!$D$6:$D$105,MATCH($C219,PRODUCTOS!$A$6:$A$105,0)),0))</f>
        <v/>
      </c>
      <c r="G219" s="40"/>
      <c r="H219" s="35" t="str">
        <f aca="false">IF($C219="","",N($E219)*$F219-N($G219))</f>
        <v/>
      </c>
      <c r="I219" s="35" t="str">
        <f aca="false">IF($C219="","",$H219-$H219/(1+IFERROR(INDEX(PRODUCTOS!$E$6:$E$105,MATCH($C219,PRODUCTOS!$A$6:$A$105,0)),IVA_VENTAS)))</f>
        <v/>
      </c>
      <c r="J219" s="35" t="str">
        <f aca="false">IF($C219="","",$H219-$I219)</f>
        <v/>
      </c>
      <c r="K219" s="35" t="str">
        <f aca="false">IF($C219="","",N($E219)*IFERROR(INDEX(PRODUCTOS!$H$6:$H$105,MATCH($C219,PRODUCTOS!$A$6:$A$105,0)),0))</f>
        <v/>
      </c>
      <c r="L219" s="35" t="str">
        <f aca="false">IF($C219="","",$J219-$K219)</f>
        <v/>
      </c>
      <c r="M219" s="6"/>
      <c r="N219" s="6"/>
      <c r="O219" s="46" t="str">
        <f aca="false">IF($A219="","",DATE(YEAR($A219),MONTH($A219),1))</f>
        <v/>
      </c>
    </row>
    <row r="220" customFormat="false" ht="15" hidden="false" customHeight="false" outlineLevel="0" collapsed="false">
      <c r="A220" s="44"/>
      <c r="B220" s="6"/>
      <c r="C220" s="6"/>
      <c r="D220" s="8" t="str">
        <f aca="false">IF($C220="","",IFERROR(INDEX(PRODUCTOS!$B$6:$B$105,MATCH($C220,PRODUCTOS!$A$6:$A$105,0)),"¿Código?"))</f>
        <v/>
      </c>
      <c r="E220" s="42"/>
      <c r="F220" s="35" t="str">
        <f aca="false">IF($C220="","",IFERROR(INDEX(PRODUCTOS!$D$6:$D$105,MATCH($C220,PRODUCTOS!$A$6:$A$105,0)),0))</f>
        <v/>
      </c>
      <c r="G220" s="40"/>
      <c r="H220" s="35" t="str">
        <f aca="false">IF($C220="","",N($E220)*$F220-N($G220))</f>
        <v/>
      </c>
      <c r="I220" s="35" t="str">
        <f aca="false">IF($C220="","",$H220-$H220/(1+IFERROR(INDEX(PRODUCTOS!$E$6:$E$105,MATCH($C220,PRODUCTOS!$A$6:$A$105,0)),IVA_VENTAS)))</f>
        <v/>
      </c>
      <c r="J220" s="35" t="str">
        <f aca="false">IF($C220="","",$H220-$I220)</f>
        <v/>
      </c>
      <c r="K220" s="35" t="str">
        <f aca="false">IF($C220="","",N($E220)*IFERROR(INDEX(PRODUCTOS!$H$6:$H$105,MATCH($C220,PRODUCTOS!$A$6:$A$105,0)),0))</f>
        <v/>
      </c>
      <c r="L220" s="35" t="str">
        <f aca="false">IF($C220="","",$J220-$K220)</f>
        <v/>
      </c>
      <c r="M220" s="6"/>
      <c r="N220" s="6"/>
      <c r="O220" s="46" t="str">
        <f aca="false">IF($A220="","",DATE(YEAR($A220),MONTH($A220),1))</f>
        <v/>
      </c>
    </row>
    <row r="221" customFormat="false" ht="15" hidden="false" customHeight="false" outlineLevel="0" collapsed="false">
      <c r="A221" s="44"/>
      <c r="B221" s="6"/>
      <c r="C221" s="6"/>
      <c r="D221" s="8" t="str">
        <f aca="false">IF($C221="","",IFERROR(INDEX(PRODUCTOS!$B$6:$B$105,MATCH($C221,PRODUCTOS!$A$6:$A$105,0)),"¿Código?"))</f>
        <v/>
      </c>
      <c r="E221" s="42"/>
      <c r="F221" s="35" t="str">
        <f aca="false">IF($C221="","",IFERROR(INDEX(PRODUCTOS!$D$6:$D$105,MATCH($C221,PRODUCTOS!$A$6:$A$105,0)),0))</f>
        <v/>
      </c>
      <c r="G221" s="40"/>
      <c r="H221" s="35" t="str">
        <f aca="false">IF($C221="","",N($E221)*$F221-N($G221))</f>
        <v/>
      </c>
      <c r="I221" s="35" t="str">
        <f aca="false">IF($C221="","",$H221-$H221/(1+IFERROR(INDEX(PRODUCTOS!$E$6:$E$105,MATCH($C221,PRODUCTOS!$A$6:$A$105,0)),IVA_VENTAS)))</f>
        <v/>
      </c>
      <c r="J221" s="35" t="str">
        <f aca="false">IF($C221="","",$H221-$I221)</f>
        <v/>
      </c>
      <c r="K221" s="35" t="str">
        <f aca="false">IF($C221="","",N($E221)*IFERROR(INDEX(PRODUCTOS!$H$6:$H$105,MATCH($C221,PRODUCTOS!$A$6:$A$105,0)),0))</f>
        <v/>
      </c>
      <c r="L221" s="35" t="str">
        <f aca="false">IF($C221="","",$J221-$K221)</f>
        <v/>
      </c>
      <c r="M221" s="6"/>
      <c r="N221" s="6"/>
      <c r="O221" s="46" t="str">
        <f aca="false">IF($A221="","",DATE(YEAR($A221),MONTH($A221),1))</f>
        <v/>
      </c>
    </row>
    <row r="222" customFormat="false" ht="15" hidden="false" customHeight="false" outlineLevel="0" collapsed="false">
      <c r="A222" s="44"/>
      <c r="B222" s="6"/>
      <c r="C222" s="6"/>
      <c r="D222" s="8" t="str">
        <f aca="false">IF($C222="","",IFERROR(INDEX(PRODUCTOS!$B$6:$B$105,MATCH($C222,PRODUCTOS!$A$6:$A$105,0)),"¿Código?"))</f>
        <v/>
      </c>
      <c r="E222" s="42"/>
      <c r="F222" s="35" t="str">
        <f aca="false">IF($C222="","",IFERROR(INDEX(PRODUCTOS!$D$6:$D$105,MATCH($C222,PRODUCTOS!$A$6:$A$105,0)),0))</f>
        <v/>
      </c>
      <c r="G222" s="40"/>
      <c r="H222" s="35" t="str">
        <f aca="false">IF($C222="","",N($E222)*$F222-N($G222))</f>
        <v/>
      </c>
      <c r="I222" s="35" t="str">
        <f aca="false">IF($C222="","",$H222-$H222/(1+IFERROR(INDEX(PRODUCTOS!$E$6:$E$105,MATCH($C222,PRODUCTOS!$A$6:$A$105,0)),IVA_VENTAS)))</f>
        <v/>
      </c>
      <c r="J222" s="35" t="str">
        <f aca="false">IF($C222="","",$H222-$I222)</f>
        <v/>
      </c>
      <c r="K222" s="35" t="str">
        <f aca="false">IF($C222="","",N($E222)*IFERROR(INDEX(PRODUCTOS!$H$6:$H$105,MATCH($C222,PRODUCTOS!$A$6:$A$105,0)),0))</f>
        <v/>
      </c>
      <c r="L222" s="35" t="str">
        <f aca="false">IF($C222="","",$J222-$K222)</f>
        <v/>
      </c>
      <c r="M222" s="6"/>
      <c r="N222" s="6"/>
      <c r="O222" s="46" t="str">
        <f aca="false">IF($A222="","",DATE(YEAR($A222),MONTH($A222),1))</f>
        <v/>
      </c>
    </row>
    <row r="223" customFormat="false" ht="15" hidden="false" customHeight="false" outlineLevel="0" collapsed="false">
      <c r="A223" s="44"/>
      <c r="B223" s="6"/>
      <c r="C223" s="6"/>
      <c r="D223" s="8" t="str">
        <f aca="false">IF($C223="","",IFERROR(INDEX(PRODUCTOS!$B$6:$B$105,MATCH($C223,PRODUCTOS!$A$6:$A$105,0)),"¿Código?"))</f>
        <v/>
      </c>
      <c r="E223" s="42"/>
      <c r="F223" s="35" t="str">
        <f aca="false">IF($C223="","",IFERROR(INDEX(PRODUCTOS!$D$6:$D$105,MATCH($C223,PRODUCTOS!$A$6:$A$105,0)),0))</f>
        <v/>
      </c>
      <c r="G223" s="40"/>
      <c r="H223" s="35" t="str">
        <f aca="false">IF($C223="","",N($E223)*$F223-N($G223))</f>
        <v/>
      </c>
      <c r="I223" s="35" t="str">
        <f aca="false">IF($C223="","",$H223-$H223/(1+IFERROR(INDEX(PRODUCTOS!$E$6:$E$105,MATCH($C223,PRODUCTOS!$A$6:$A$105,0)),IVA_VENTAS)))</f>
        <v/>
      </c>
      <c r="J223" s="35" t="str">
        <f aca="false">IF($C223="","",$H223-$I223)</f>
        <v/>
      </c>
      <c r="K223" s="35" t="str">
        <f aca="false">IF($C223="","",N($E223)*IFERROR(INDEX(PRODUCTOS!$H$6:$H$105,MATCH($C223,PRODUCTOS!$A$6:$A$105,0)),0))</f>
        <v/>
      </c>
      <c r="L223" s="35" t="str">
        <f aca="false">IF($C223="","",$J223-$K223)</f>
        <v/>
      </c>
      <c r="M223" s="6"/>
      <c r="N223" s="6"/>
      <c r="O223" s="46" t="str">
        <f aca="false">IF($A223="","",DATE(YEAR($A223),MONTH($A223),1))</f>
        <v/>
      </c>
    </row>
    <row r="224" customFormat="false" ht="15" hidden="false" customHeight="false" outlineLevel="0" collapsed="false">
      <c r="A224" s="44"/>
      <c r="B224" s="6"/>
      <c r="C224" s="6"/>
      <c r="D224" s="8" t="str">
        <f aca="false">IF($C224="","",IFERROR(INDEX(PRODUCTOS!$B$6:$B$105,MATCH($C224,PRODUCTOS!$A$6:$A$105,0)),"¿Código?"))</f>
        <v/>
      </c>
      <c r="E224" s="42"/>
      <c r="F224" s="35" t="str">
        <f aca="false">IF($C224="","",IFERROR(INDEX(PRODUCTOS!$D$6:$D$105,MATCH($C224,PRODUCTOS!$A$6:$A$105,0)),0))</f>
        <v/>
      </c>
      <c r="G224" s="40"/>
      <c r="H224" s="35" t="str">
        <f aca="false">IF($C224="","",N($E224)*$F224-N($G224))</f>
        <v/>
      </c>
      <c r="I224" s="35" t="str">
        <f aca="false">IF($C224="","",$H224-$H224/(1+IFERROR(INDEX(PRODUCTOS!$E$6:$E$105,MATCH($C224,PRODUCTOS!$A$6:$A$105,0)),IVA_VENTAS)))</f>
        <v/>
      </c>
      <c r="J224" s="35" t="str">
        <f aca="false">IF($C224="","",$H224-$I224)</f>
        <v/>
      </c>
      <c r="K224" s="35" t="str">
        <f aca="false">IF($C224="","",N($E224)*IFERROR(INDEX(PRODUCTOS!$H$6:$H$105,MATCH($C224,PRODUCTOS!$A$6:$A$105,0)),0))</f>
        <v/>
      </c>
      <c r="L224" s="35" t="str">
        <f aca="false">IF($C224="","",$J224-$K224)</f>
        <v/>
      </c>
      <c r="M224" s="6"/>
      <c r="N224" s="6"/>
      <c r="O224" s="46" t="str">
        <f aca="false">IF($A224="","",DATE(YEAR($A224),MONTH($A224),1))</f>
        <v/>
      </c>
    </row>
    <row r="225" customFormat="false" ht="15" hidden="false" customHeight="false" outlineLevel="0" collapsed="false">
      <c r="A225" s="44"/>
      <c r="B225" s="6"/>
      <c r="C225" s="6"/>
      <c r="D225" s="8" t="str">
        <f aca="false">IF($C225="","",IFERROR(INDEX(PRODUCTOS!$B$6:$B$105,MATCH($C225,PRODUCTOS!$A$6:$A$105,0)),"¿Código?"))</f>
        <v/>
      </c>
      <c r="E225" s="42"/>
      <c r="F225" s="35" t="str">
        <f aca="false">IF($C225="","",IFERROR(INDEX(PRODUCTOS!$D$6:$D$105,MATCH($C225,PRODUCTOS!$A$6:$A$105,0)),0))</f>
        <v/>
      </c>
      <c r="G225" s="40"/>
      <c r="H225" s="35" t="str">
        <f aca="false">IF($C225="","",N($E225)*$F225-N($G225))</f>
        <v/>
      </c>
      <c r="I225" s="35" t="str">
        <f aca="false">IF($C225="","",$H225-$H225/(1+IFERROR(INDEX(PRODUCTOS!$E$6:$E$105,MATCH($C225,PRODUCTOS!$A$6:$A$105,0)),IVA_VENTAS)))</f>
        <v/>
      </c>
      <c r="J225" s="35" t="str">
        <f aca="false">IF($C225="","",$H225-$I225)</f>
        <v/>
      </c>
      <c r="K225" s="35" t="str">
        <f aca="false">IF($C225="","",N($E225)*IFERROR(INDEX(PRODUCTOS!$H$6:$H$105,MATCH($C225,PRODUCTOS!$A$6:$A$105,0)),0))</f>
        <v/>
      </c>
      <c r="L225" s="35" t="str">
        <f aca="false">IF($C225="","",$J225-$K225)</f>
        <v/>
      </c>
      <c r="M225" s="6"/>
      <c r="N225" s="6"/>
      <c r="O225" s="46" t="str">
        <f aca="false">IF($A225="","",DATE(YEAR($A225),MONTH($A225),1))</f>
        <v/>
      </c>
    </row>
    <row r="226" customFormat="false" ht="15" hidden="false" customHeight="false" outlineLevel="0" collapsed="false">
      <c r="A226" s="44"/>
      <c r="B226" s="6"/>
      <c r="C226" s="6"/>
      <c r="D226" s="8" t="str">
        <f aca="false">IF($C226="","",IFERROR(INDEX(PRODUCTOS!$B$6:$B$105,MATCH($C226,PRODUCTOS!$A$6:$A$105,0)),"¿Código?"))</f>
        <v/>
      </c>
      <c r="E226" s="42"/>
      <c r="F226" s="35" t="str">
        <f aca="false">IF($C226="","",IFERROR(INDEX(PRODUCTOS!$D$6:$D$105,MATCH($C226,PRODUCTOS!$A$6:$A$105,0)),0))</f>
        <v/>
      </c>
      <c r="G226" s="40"/>
      <c r="H226" s="35" t="str">
        <f aca="false">IF($C226="","",N($E226)*$F226-N($G226))</f>
        <v/>
      </c>
      <c r="I226" s="35" t="str">
        <f aca="false">IF($C226="","",$H226-$H226/(1+IFERROR(INDEX(PRODUCTOS!$E$6:$E$105,MATCH($C226,PRODUCTOS!$A$6:$A$105,0)),IVA_VENTAS)))</f>
        <v/>
      </c>
      <c r="J226" s="35" t="str">
        <f aca="false">IF($C226="","",$H226-$I226)</f>
        <v/>
      </c>
      <c r="K226" s="35" t="str">
        <f aca="false">IF($C226="","",N($E226)*IFERROR(INDEX(PRODUCTOS!$H$6:$H$105,MATCH($C226,PRODUCTOS!$A$6:$A$105,0)),0))</f>
        <v/>
      </c>
      <c r="L226" s="35" t="str">
        <f aca="false">IF($C226="","",$J226-$K226)</f>
        <v/>
      </c>
      <c r="M226" s="6"/>
      <c r="N226" s="6"/>
      <c r="O226" s="46" t="str">
        <f aca="false">IF($A226="","",DATE(YEAR($A226),MONTH($A226),1))</f>
        <v/>
      </c>
    </row>
    <row r="227" customFormat="false" ht="15" hidden="false" customHeight="false" outlineLevel="0" collapsed="false">
      <c r="A227" s="44"/>
      <c r="B227" s="6"/>
      <c r="C227" s="6"/>
      <c r="D227" s="8" t="str">
        <f aca="false">IF($C227="","",IFERROR(INDEX(PRODUCTOS!$B$6:$B$105,MATCH($C227,PRODUCTOS!$A$6:$A$105,0)),"¿Código?"))</f>
        <v/>
      </c>
      <c r="E227" s="42"/>
      <c r="F227" s="35" t="str">
        <f aca="false">IF($C227="","",IFERROR(INDEX(PRODUCTOS!$D$6:$D$105,MATCH($C227,PRODUCTOS!$A$6:$A$105,0)),0))</f>
        <v/>
      </c>
      <c r="G227" s="40"/>
      <c r="H227" s="35" t="str">
        <f aca="false">IF($C227="","",N($E227)*$F227-N($G227))</f>
        <v/>
      </c>
      <c r="I227" s="35" t="str">
        <f aca="false">IF($C227="","",$H227-$H227/(1+IFERROR(INDEX(PRODUCTOS!$E$6:$E$105,MATCH($C227,PRODUCTOS!$A$6:$A$105,0)),IVA_VENTAS)))</f>
        <v/>
      </c>
      <c r="J227" s="35" t="str">
        <f aca="false">IF($C227="","",$H227-$I227)</f>
        <v/>
      </c>
      <c r="K227" s="35" t="str">
        <f aca="false">IF($C227="","",N($E227)*IFERROR(INDEX(PRODUCTOS!$H$6:$H$105,MATCH($C227,PRODUCTOS!$A$6:$A$105,0)),0))</f>
        <v/>
      </c>
      <c r="L227" s="35" t="str">
        <f aca="false">IF($C227="","",$J227-$K227)</f>
        <v/>
      </c>
      <c r="M227" s="6"/>
      <c r="N227" s="6"/>
      <c r="O227" s="46" t="str">
        <f aca="false">IF($A227="","",DATE(YEAR($A227),MONTH($A227),1))</f>
        <v/>
      </c>
    </row>
    <row r="228" customFormat="false" ht="15" hidden="false" customHeight="false" outlineLevel="0" collapsed="false">
      <c r="A228" s="44"/>
      <c r="B228" s="6"/>
      <c r="C228" s="6"/>
      <c r="D228" s="8" t="str">
        <f aca="false">IF($C228="","",IFERROR(INDEX(PRODUCTOS!$B$6:$B$105,MATCH($C228,PRODUCTOS!$A$6:$A$105,0)),"¿Código?"))</f>
        <v/>
      </c>
      <c r="E228" s="42"/>
      <c r="F228" s="35" t="str">
        <f aca="false">IF($C228="","",IFERROR(INDEX(PRODUCTOS!$D$6:$D$105,MATCH($C228,PRODUCTOS!$A$6:$A$105,0)),0))</f>
        <v/>
      </c>
      <c r="G228" s="40"/>
      <c r="H228" s="35" t="str">
        <f aca="false">IF($C228="","",N($E228)*$F228-N($G228))</f>
        <v/>
      </c>
      <c r="I228" s="35" t="str">
        <f aca="false">IF($C228="","",$H228-$H228/(1+IFERROR(INDEX(PRODUCTOS!$E$6:$E$105,MATCH($C228,PRODUCTOS!$A$6:$A$105,0)),IVA_VENTAS)))</f>
        <v/>
      </c>
      <c r="J228" s="35" t="str">
        <f aca="false">IF($C228="","",$H228-$I228)</f>
        <v/>
      </c>
      <c r="K228" s="35" t="str">
        <f aca="false">IF($C228="","",N($E228)*IFERROR(INDEX(PRODUCTOS!$H$6:$H$105,MATCH($C228,PRODUCTOS!$A$6:$A$105,0)),0))</f>
        <v/>
      </c>
      <c r="L228" s="35" t="str">
        <f aca="false">IF($C228="","",$J228-$K228)</f>
        <v/>
      </c>
      <c r="M228" s="6"/>
      <c r="N228" s="6"/>
      <c r="O228" s="46" t="str">
        <f aca="false">IF($A228="","",DATE(YEAR($A228),MONTH($A228),1))</f>
        <v/>
      </c>
    </row>
    <row r="229" customFormat="false" ht="15" hidden="false" customHeight="false" outlineLevel="0" collapsed="false">
      <c r="A229" s="44"/>
      <c r="B229" s="6"/>
      <c r="C229" s="6"/>
      <c r="D229" s="8" t="str">
        <f aca="false">IF($C229="","",IFERROR(INDEX(PRODUCTOS!$B$6:$B$105,MATCH($C229,PRODUCTOS!$A$6:$A$105,0)),"¿Código?"))</f>
        <v/>
      </c>
      <c r="E229" s="42"/>
      <c r="F229" s="35" t="str">
        <f aca="false">IF($C229="","",IFERROR(INDEX(PRODUCTOS!$D$6:$D$105,MATCH($C229,PRODUCTOS!$A$6:$A$105,0)),0))</f>
        <v/>
      </c>
      <c r="G229" s="40"/>
      <c r="H229" s="35" t="str">
        <f aca="false">IF($C229="","",N($E229)*$F229-N($G229))</f>
        <v/>
      </c>
      <c r="I229" s="35" t="str">
        <f aca="false">IF($C229="","",$H229-$H229/(1+IFERROR(INDEX(PRODUCTOS!$E$6:$E$105,MATCH($C229,PRODUCTOS!$A$6:$A$105,0)),IVA_VENTAS)))</f>
        <v/>
      </c>
      <c r="J229" s="35" t="str">
        <f aca="false">IF($C229="","",$H229-$I229)</f>
        <v/>
      </c>
      <c r="K229" s="35" t="str">
        <f aca="false">IF($C229="","",N($E229)*IFERROR(INDEX(PRODUCTOS!$H$6:$H$105,MATCH($C229,PRODUCTOS!$A$6:$A$105,0)),0))</f>
        <v/>
      </c>
      <c r="L229" s="35" t="str">
        <f aca="false">IF($C229="","",$J229-$K229)</f>
        <v/>
      </c>
      <c r="M229" s="6"/>
      <c r="N229" s="6"/>
      <c r="O229" s="46" t="str">
        <f aca="false">IF($A229="","",DATE(YEAR($A229),MONTH($A229),1))</f>
        <v/>
      </c>
    </row>
    <row r="230" customFormat="false" ht="15" hidden="false" customHeight="false" outlineLevel="0" collapsed="false">
      <c r="A230" s="44"/>
      <c r="B230" s="6"/>
      <c r="C230" s="6"/>
      <c r="D230" s="8" t="str">
        <f aca="false">IF($C230="","",IFERROR(INDEX(PRODUCTOS!$B$6:$B$105,MATCH($C230,PRODUCTOS!$A$6:$A$105,0)),"¿Código?"))</f>
        <v/>
      </c>
      <c r="E230" s="42"/>
      <c r="F230" s="35" t="str">
        <f aca="false">IF($C230="","",IFERROR(INDEX(PRODUCTOS!$D$6:$D$105,MATCH($C230,PRODUCTOS!$A$6:$A$105,0)),0))</f>
        <v/>
      </c>
      <c r="G230" s="40"/>
      <c r="H230" s="35" t="str">
        <f aca="false">IF($C230="","",N($E230)*$F230-N($G230))</f>
        <v/>
      </c>
      <c r="I230" s="35" t="str">
        <f aca="false">IF($C230="","",$H230-$H230/(1+IFERROR(INDEX(PRODUCTOS!$E$6:$E$105,MATCH($C230,PRODUCTOS!$A$6:$A$105,0)),IVA_VENTAS)))</f>
        <v/>
      </c>
      <c r="J230" s="35" t="str">
        <f aca="false">IF($C230="","",$H230-$I230)</f>
        <v/>
      </c>
      <c r="K230" s="35" t="str">
        <f aca="false">IF($C230="","",N($E230)*IFERROR(INDEX(PRODUCTOS!$H$6:$H$105,MATCH($C230,PRODUCTOS!$A$6:$A$105,0)),0))</f>
        <v/>
      </c>
      <c r="L230" s="35" t="str">
        <f aca="false">IF($C230="","",$J230-$K230)</f>
        <v/>
      </c>
      <c r="M230" s="6"/>
      <c r="N230" s="6"/>
      <c r="O230" s="46" t="str">
        <f aca="false">IF($A230="","",DATE(YEAR($A230),MONTH($A230),1))</f>
        <v/>
      </c>
    </row>
    <row r="231" customFormat="false" ht="15" hidden="false" customHeight="false" outlineLevel="0" collapsed="false">
      <c r="A231" s="44"/>
      <c r="B231" s="6"/>
      <c r="C231" s="6"/>
      <c r="D231" s="8" t="str">
        <f aca="false">IF($C231="","",IFERROR(INDEX(PRODUCTOS!$B$6:$B$105,MATCH($C231,PRODUCTOS!$A$6:$A$105,0)),"¿Código?"))</f>
        <v/>
      </c>
      <c r="E231" s="42"/>
      <c r="F231" s="35" t="str">
        <f aca="false">IF($C231="","",IFERROR(INDEX(PRODUCTOS!$D$6:$D$105,MATCH($C231,PRODUCTOS!$A$6:$A$105,0)),0))</f>
        <v/>
      </c>
      <c r="G231" s="40"/>
      <c r="H231" s="35" t="str">
        <f aca="false">IF($C231="","",N($E231)*$F231-N($G231))</f>
        <v/>
      </c>
      <c r="I231" s="35" t="str">
        <f aca="false">IF($C231="","",$H231-$H231/(1+IFERROR(INDEX(PRODUCTOS!$E$6:$E$105,MATCH($C231,PRODUCTOS!$A$6:$A$105,0)),IVA_VENTAS)))</f>
        <v/>
      </c>
      <c r="J231" s="35" t="str">
        <f aca="false">IF($C231="","",$H231-$I231)</f>
        <v/>
      </c>
      <c r="K231" s="35" t="str">
        <f aca="false">IF($C231="","",N($E231)*IFERROR(INDEX(PRODUCTOS!$H$6:$H$105,MATCH($C231,PRODUCTOS!$A$6:$A$105,0)),0))</f>
        <v/>
      </c>
      <c r="L231" s="35" t="str">
        <f aca="false">IF($C231="","",$J231-$K231)</f>
        <v/>
      </c>
      <c r="M231" s="6"/>
      <c r="N231" s="6"/>
      <c r="O231" s="46" t="str">
        <f aca="false">IF($A231="","",DATE(YEAR($A231),MONTH($A231),1))</f>
        <v/>
      </c>
    </row>
    <row r="232" customFormat="false" ht="15" hidden="false" customHeight="false" outlineLevel="0" collapsed="false">
      <c r="A232" s="44"/>
      <c r="B232" s="6"/>
      <c r="C232" s="6"/>
      <c r="D232" s="8" t="str">
        <f aca="false">IF($C232="","",IFERROR(INDEX(PRODUCTOS!$B$6:$B$105,MATCH($C232,PRODUCTOS!$A$6:$A$105,0)),"¿Código?"))</f>
        <v/>
      </c>
      <c r="E232" s="42"/>
      <c r="F232" s="35" t="str">
        <f aca="false">IF($C232="","",IFERROR(INDEX(PRODUCTOS!$D$6:$D$105,MATCH($C232,PRODUCTOS!$A$6:$A$105,0)),0))</f>
        <v/>
      </c>
      <c r="G232" s="40"/>
      <c r="H232" s="35" t="str">
        <f aca="false">IF($C232="","",N($E232)*$F232-N($G232))</f>
        <v/>
      </c>
      <c r="I232" s="35" t="str">
        <f aca="false">IF($C232="","",$H232-$H232/(1+IFERROR(INDEX(PRODUCTOS!$E$6:$E$105,MATCH($C232,PRODUCTOS!$A$6:$A$105,0)),IVA_VENTAS)))</f>
        <v/>
      </c>
      <c r="J232" s="35" t="str">
        <f aca="false">IF($C232="","",$H232-$I232)</f>
        <v/>
      </c>
      <c r="K232" s="35" t="str">
        <f aca="false">IF($C232="","",N($E232)*IFERROR(INDEX(PRODUCTOS!$H$6:$H$105,MATCH($C232,PRODUCTOS!$A$6:$A$105,0)),0))</f>
        <v/>
      </c>
      <c r="L232" s="35" t="str">
        <f aca="false">IF($C232="","",$J232-$K232)</f>
        <v/>
      </c>
      <c r="M232" s="6"/>
      <c r="N232" s="6"/>
      <c r="O232" s="46" t="str">
        <f aca="false">IF($A232="","",DATE(YEAR($A232),MONTH($A232),1))</f>
        <v/>
      </c>
    </row>
    <row r="233" customFormat="false" ht="15" hidden="false" customHeight="false" outlineLevel="0" collapsed="false">
      <c r="A233" s="44"/>
      <c r="B233" s="6"/>
      <c r="C233" s="6"/>
      <c r="D233" s="8" t="str">
        <f aca="false">IF($C233="","",IFERROR(INDEX(PRODUCTOS!$B$6:$B$105,MATCH($C233,PRODUCTOS!$A$6:$A$105,0)),"¿Código?"))</f>
        <v/>
      </c>
      <c r="E233" s="42"/>
      <c r="F233" s="35" t="str">
        <f aca="false">IF($C233="","",IFERROR(INDEX(PRODUCTOS!$D$6:$D$105,MATCH($C233,PRODUCTOS!$A$6:$A$105,0)),0))</f>
        <v/>
      </c>
      <c r="G233" s="40"/>
      <c r="H233" s="35" t="str">
        <f aca="false">IF($C233="","",N($E233)*$F233-N($G233))</f>
        <v/>
      </c>
      <c r="I233" s="35" t="str">
        <f aca="false">IF($C233="","",$H233-$H233/(1+IFERROR(INDEX(PRODUCTOS!$E$6:$E$105,MATCH($C233,PRODUCTOS!$A$6:$A$105,0)),IVA_VENTAS)))</f>
        <v/>
      </c>
      <c r="J233" s="35" t="str">
        <f aca="false">IF($C233="","",$H233-$I233)</f>
        <v/>
      </c>
      <c r="K233" s="35" t="str">
        <f aca="false">IF($C233="","",N($E233)*IFERROR(INDEX(PRODUCTOS!$H$6:$H$105,MATCH($C233,PRODUCTOS!$A$6:$A$105,0)),0))</f>
        <v/>
      </c>
      <c r="L233" s="35" t="str">
        <f aca="false">IF($C233="","",$J233-$K233)</f>
        <v/>
      </c>
      <c r="M233" s="6"/>
      <c r="N233" s="6"/>
      <c r="O233" s="46" t="str">
        <f aca="false">IF($A233="","",DATE(YEAR($A233),MONTH($A233),1))</f>
        <v/>
      </c>
    </row>
    <row r="234" customFormat="false" ht="15" hidden="false" customHeight="false" outlineLevel="0" collapsed="false">
      <c r="A234" s="44"/>
      <c r="B234" s="6"/>
      <c r="C234" s="6"/>
      <c r="D234" s="8" t="str">
        <f aca="false">IF($C234="","",IFERROR(INDEX(PRODUCTOS!$B$6:$B$105,MATCH($C234,PRODUCTOS!$A$6:$A$105,0)),"¿Código?"))</f>
        <v/>
      </c>
      <c r="E234" s="42"/>
      <c r="F234" s="35" t="str">
        <f aca="false">IF($C234="","",IFERROR(INDEX(PRODUCTOS!$D$6:$D$105,MATCH($C234,PRODUCTOS!$A$6:$A$105,0)),0))</f>
        <v/>
      </c>
      <c r="G234" s="40"/>
      <c r="H234" s="35" t="str">
        <f aca="false">IF($C234="","",N($E234)*$F234-N($G234))</f>
        <v/>
      </c>
      <c r="I234" s="35" t="str">
        <f aca="false">IF($C234="","",$H234-$H234/(1+IFERROR(INDEX(PRODUCTOS!$E$6:$E$105,MATCH($C234,PRODUCTOS!$A$6:$A$105,0)),IVA_VENTAS)))</f>
        <v/>
      </c>
      <c r="J234" s="35" t="str">
        <f aca="false">IF($C234="","",$H234-$I234)</f>
        <v/>
      </c>
      <c r="K234" s="35" t="str">
        <f aca="false">IF($C234="","",N($E234)*IFERROR(INDEX(PRODUCTOS!$H$6:$H$105,MATCH($C234,PRODUCTOS!$A$6:$A$105,0)),0))</f>
        <v/>
      </c>
      <c r="L234" s="35" t="str">
        <f aca="false">IF($C234="","",$J234-$K234)</f>
        <v/>
      </c>
      <c r="M234" s="6"/>
      <c r="N234" s="6"/>
      <c r="O234" s="46" t="str">
        <f aca="false">IF($A234="","",DATE(YEAR($A234),MONTH($A234),1))</f>
        <v/>
      </c>
    </row>
    <row r="235" customFormat="false" ht="15" hidden="false" customHeight="false" outlineLevel="0" collapsed="false">
      <c r="A235" s="44"/>
      <c r="B235" s="6"/>
      <c r="C235" s="6"/>
      <c r="D235" s="8" t="str">
        <f aca="false">IF($C235="","",IFERROR(INDEX(PRODUCTOS!$B$6:$B$105,MATCH($C235,PRODUCTOS!$A$6:$A$105,0)),"¿Código?"))</f>
        <v/>
      </c>
      <c r="E235" s="42"/>
      <c r="F235" s="35" t="str">
        <f aca="false">IF($C235="","",IFERROR(INDEX(PRODUCTOS!$D$6:$D$105,MATCH($C235,PRODUCTOS!$A$6:$A$105,0)),0))</f>
        <v/>
      </c>
      <c r="G235" s="40"/>
      <c r="H235" s="35" t="str">
        <f aca="false">IF($C235="","",N($E235)*$F235-N($G235))</f>
        <v/>
      </c>
      <c r="I235" s="35" t="str">
        <f aca="false">IF($C235="","",$H235-$H235/(1+IFERROR(INDEX(PRODUCTOS!$E$6:$E$105,MATCH($C235,PRODUCTOS!$A$6:$A$105,0)),IVA_VENTAS)))</f>
        <v/>
      </c>
      <c r="J235" s="35" t="str">
        <f aca="false">IF($C235="","",$H235-$I235)</f>
        <v/>
      </c>
      <c r="K235" s="35" t="str">
        <f aca="false">IF($C235="","",N($E235)*IFERROR(INDEX(PRODUCTOS!$H$6:$H$105,MATCH($C235,PRODUCTOS!$A$6:$A$105,0)),0))</f>
        <v/>
      </c>
      <c r="L235" s="35" t="str">
        <f aca="false">IF($C235="","",$J235-$K235)</f>
        <v/>
      </c>
      <c r="M235" s="6"/>
      <c r="N235" s="6"/>
      <c r="O235" s="46" t="str">
        <f aca="false">IF($A235="","",DATE(YEAR($A235),MONTH($A235),1))</f>
        <v/>
      </c>
    </row>
    <row r="236" customFormat="false" ht="15" hidden="false" customHeight="false" outlineLevel="0" collapsed="false">
      <c r="A236" s="44"/>
      <c r="B236" s="6"/>
      <c r="C236" s="6"/>
      <c r="D236" s="8" t="str">
        <f aca="false">IF($C236="","",IFERROR(INDEX(PRODUCTOS!$B$6:$B$105,MATCH($C236,PRODUCTOS!$A$6:$A$105,0)),"¿Código?"))</f>
        <v/>
      </c>
      <c r="E236" s="42"/>
      <c r="F236" s="35" t="str">
        <f aca="false">IF($C236="","",IFERROR(INDEX(PRODUCTOS!$D$6:$D$105,MATCH($C236,PRODUCTOS!$A$6:$A$105,0)),0))</f>
        <v/>
      </c>
      <c r="G236" s="40"/>
      <c r="H236" s="35" t="str">
        <f aca="false">IF($C236="","",N($E236)*$F236-N($G236))</f>
        <v/>
      </c>
      <c r="I236" s="35" t="str">
        <f aca="false">IF($C236="","",$H236-$H236/(1+IFERROR(INDEX(PRODUCTOS!$E$6:$E$105,MATCH($C236,PRODUCTOS!$A$6:$A$105,0)),IVA_VENTAS)))</f>
        <v/>
      </c>
      <c r="J236" s="35" t="str">
        <f aca="false">IF($C236="","",$H236-$I236)</f>
        <v/>
      </c>
      <c r="K236" s="35" t="str">
        <f aca="false">IF($C236="","",N($E236)*IFERROR(INDEX(PRODUCTOS!$H$6:$H$105,MATCH($C236,PRODUCTOS!$A$6:$A$105,0)),0))</f>
        <v/>
      </c>
      <c r="L236" s="35" t="str">
        <f aca="false">IF($C236="","",$J236-$K236)</f>
        <v/>
      </c>
      <c r="M236" s="6"/>
      <c r="N236" s="6"/>
      <c r="O236" s="46" t="str">
        <f aca="false">IF($A236="","",DATE(YEAR($A236),MONTH($A236),1))</f>
        <v/>
      </c>
    </row>
    <row r="237" customFormat="false" ht="15" hidden="false" customHeight="false" outlineLevel="0" collapsed="false">
      <c r="A237" s="44"/>
      <c r="B237" s="6"/>
      <c r="C237" s="6"/>
      <c r="D237" s="8" t="str">
        <f aca="false">IF($C237="","",IFERROR(INDEX(PRODUCTOS!$B$6:$B$105,MATCH($C237,PRODUCTOS!$A$6:$A$105,0)),"¿Código?"))</f>
        <v/>
      </c>
      <c r="E237" s="42"/>
      <c r="F237" s="35" t="str">
        <f aca="false">IF($C237="","",IFERROR(INDEX(PRODUCTOS!$D$6:$D$105,MATCH($C237,PRODUCTOS!$A$6:$A$105,0)),0))</f>
        <v/>
      </c>
      <c r="G237" s="40"/>
      <c r="H237" s="35" t="str">
        <f aca="false">IF($C237="","",N($E237)*$F237-N($G237))</f>
        <v/>
      </c>
      <c r="I237" s="35" t="str">
        <f aca="false">IF($C237="","",$H237-$H237/(1+IFERROR(INDEX(PRODUCTOS!$E$6:$E$105,MATCH($C237,PRODUCTOS!$A$6:$A$105,0)),IVA_VENTAS)))</f>
        <v/>
      </c>
      <c r="J237" s="35" t="str">
        <f aca="false">IF($C237="","",$H237-$I237)</f>
        <v/>
      </c>
      <c r="K237" s="35" t="str">
        <f aca="false">IF($C237="","",N($E237)*IFERROR(INDEX(PRODUCTOS!$H$6:$H$105,MATCH($C237,PRODUCTOS!$A$6:$A$105,0)),0))</f>
        <v/>
      </c>
      <c r="L237" s="35" t="str">
        <f aca="false">IF($C237="","",$J237-$K237)</f>
        <v/>
      </c>
      <c r="M237" s="6"/>
      <c r="N237" s="6"/>
      <c r="O237" s="46" t="str">
        <f aca="false">IF($A237="","",DATE(YEAR($A237),MONTH($A237),1))</f>
        <v/>
      </c>
    </row>
    <row r="238" customFormat="false" ht="15" hidden="false" customHeight="false" outlineLevel="0" collapsed="false">
      <c r="A238" s="44"/>
      <c r="B238" s="6"/>
      <c r="C238" s="6"/>
      <c r="D238" s="8" t="str">
        <f aca="false">IF($C238="","",IFERROR(INDEX(PRODUCTOS!$B$6:$B$105,MATCH($C238,PRODUCTOS!$A$6:$A$105,0)),"¿Código?"))</f>
        <v/>
      </c>
      <c r="E238" s="42"/>
      <c r="F238" s="35" t="str">
        <f aca="false">IF($C238="","",IFERROR(INDEX(PRODUCTOS!$D$6:$D$105,MATCH($C238,PRODUCTOS!$A$6:$A$105,0)),0))</f>
        <v/>
      </c>
      <c r="G238" s="40"/>
      <c r="H238" s="35" t="str">
        <f aca="false">IF($C238="","",N($E238)*$F238-N($G238))</f>
        <v/>
      </c>
      <c r="I238" s="35" t="str">
        <f aca="false">IF($C238="","",$H238-$H238/(1+IFERROR(INDEX(PRODUCTOS!$E$6:$E$105,MATCH($C238,PRODUCTOS!$A$6:$A$105,0)),IVA_VENTAS)))</f>
        <v/>
      </c>
      <c r="J238" s="35" t="str">
        <f aca="false">IF($C238="","",$H238-$I238)</f>
        <v/>
      </c>
      <c r="K238" s="35" t="str">
        <f aca="false">IF($C238="","",N($E238)*IFERROR(INDEX(PRODUCTOS!$H$6:$H$105,MATCH($C238,PRODUCTOS!$A$6:$A$105,0)),0))</f>
        <v/>
      </c>
      <c r="L238" s="35" t="str">
        <f aca="false">IF($C238="","",$J238-$K238)</f>
        <v/>
      </c>
      <c r="M238" s="6"/>
      <c r="N238" s="6"/>
      <c r="O238" s="46" t="str">
        <f aca="false">IF($A238="","",DATE(YEAR($A238),MONTH($A238),1))</f>
        <v/>
      </c>
    </row>
    <row r="239" customFormat="false" ht="15" hidden="false" customHeight="false" outlineLevel="0" collapsed="false">
      <c r="A239" s="44"/>
      <c r="B239" s="6"/>
      <c r="C239" s="6"/>
      <c r="D239" s="8" t="str">
        <f aca="false">IF($C239="","",IFERROR(INDEX(PRODUCTOS!$B$6:$B$105,MATCH($C239,PRODUCTOS!$A$6:$A$105,0)),"¿Código?"))</f>
        <v/>
      </c>
      <c r="E239" s="42"/>
      <c r="F239" s="35" t="str">
        <f aca="false">IF($C239="","",IFERROR(INDEX(PRODUCTOS!$D$6:$D$105,MATCH($C239,PRODUCTOS!$A$6:$A$105,0)),0))</f>
        <v/>
      </c>
      <c r="G239" s="40"/>
      <c r="H239" s="35" t="str">
        <f aca="false">IF($C239="","",N($E239)*$F239-N($G239))</f>
        <v/>
      </c>
      <c r="I239" s="35" t="str">
        <f aca="false">IF($C239="","",$H239-$H239/(1+IFERROR(INDEX(PRODUCTOS!$E$6:$E$105,MATCH($C239,PRODUCTOS!$A$6:$A$105,0)),IVA_VENTAS)))</f>
        <v/>
      </c>
      <c r="J239" s="35" t="str">
        <f aca="false">IF($C239="","",$H239-$I239)</f>
        <v/>
      </c>
      <c r="K239" s="35" t="str">
        <f aca="false">IF($C239="","",N($E239)*IFERROR(INDEX(PRODUCTOS!$H$6:$H$105,MATCH($C239,PRODUCTOS!$A$6:$A$105,0)),0))</f>
        <v/>
      </c>
      <c r="L239" s="35" t="str">
        <f aca="false">IF($C239="","",$J239-$K239)</f>
        <v/>
      </c>
      <c r="M239" s="6"/>
      <c r="N239" s="6"/>
      <c r="O239" s="46" t="str">
        <f aca="false">IF($A239="","",DATE(YEAR($A239),MONTH($A239),1))</f>
        <v/>
      </c>
    </row>
    <row r="240" customFormat="false" ht="15" hidden="false" customHeight="false" outlineLevel="0" collapsed="false">
      <c r="A240" s="44"/>
      <c r="B240" s="6"/>
      <c r="C240" s="6"/>
      <c r="D240" s="8" t="str">
        <f aca="false">IF($C240="","",IFERROR(INDEX(PRODUCTOS!$B$6:$B$105,MATCH($C240,PRODUCTOS!$A$6:$A$105,0)),"¿Código?"))</f>
        <v/>
      </c>
      <c r="E240" s="42"/>
      <c r="F240" s="35" t="str">
        <f aca="false">IF($C240="","",IFERROR(INDEX(PRODUCTOS!$D$6:$D$105,MATCH($C240,PRODUCTOS!$A$6:$A$105,0)),0))</f>
        <v/>
      </c>
      <c r="G240" s="40"/>
      <c r="H240" s="35" t="str">
        <f aca="false">IF($C240="","",N($E240)*$F240-N($G240))</f>
        <v/>
      </c>
      <c r="I240" s="35" t="str">
        <f aca="false">IF($C240="","",$H240-$H240/(1+IFERROR(INDEX(PRODUCTOS!$E$6:$E$105,MATCH($C240,PRODUCTOS!$A$6:$A$105,0)),IVA_VENTAS)))</f>
        <v/>
      </c>
      <c r="J240" s="35" t="str">
        <f aca="false">IF($C240="","",$H240-$I240)</f>
        <v/>
      </c>
      <c r="K240" s="35" t="str">
        <f aca="false">IF($C240="","",N($E240)*IFERROR(INDEX(PRODUCTOS!$H$6:$H$105,MATCH($C240,PRODUCTOS!$A$6:$A$105,0)),0))</f>
        <v/>
      </c>
      <c r="L240" s="35" t="str">
        <f aca="false">IF($C240="","",$J240-$K240)</f>
        <v/>
      </c>
      <c r="M240" s="6"/>
      <c r="N240" s="6"/>
      <c r="O240" s="46" t="str">
        <f aca="false">IF($A240="","",DATE(YEAR($A240),MONTH($A240),1))</f>
        <v/>
      </c>
    </row>
    <row r="241" customFormat="false" ht="15" hidden="false" customHeight="false" outlineLevel="0" collapsed="false">
      <c r="A241" s="44"/>
      <c r="B241" s="6"/>
      <c r="C241" s="6"/>
      <c r="D241" s="8" t="str">
        <f aca="false">IF($C241="","",IFERROR(INDEX(PRODUCTOS!$B$6:$B$105,MATCH($C241,PRODUCTOS!$A$6:$A$105,0)),"¿Código?"))</f>
        <v/>
      </c>
      <c r="E241" s="42"/>
      <c r="F241" s="35" t="str">
        <f aca="false">IF($C241="","",IFERROR(INDEX(PRODUCTOS!$D$6:$D$105,MATCH($C241,PRODUCTOS!$A$6:$A$105,0)),0))</f>
        <v/>
      </c>
      <c r="G241" s="40"/>
      <c r="H241" s="35" t="str">
        <f aca="false">IF($C241="","",N($E241)*$F241-N($G241))</f>
        <v/>
      </c>
      <c r="I241" s="35" t="str">
        <f aca="false">IF($C241="","",$H241-$H241/(1+IFERROR(INDEX(PRODUCTOS!$E$6:$E$105,MATCH($C241,PRODUCTOS!$A$6:$A$105,0)),IVA_VENTAS)))</f>
        <v/>
      </c>
      <c r="J241" s="35" t="str">
        <f aca="false">IF($C241="","",$H241-$I241)</f>
        <v/>
      </c>
      <c r="K241" s="35" t="str">
        <f aca="false">IF($C241="","",N($E241)*IFERROR(INDEX(PRODUCTOS!$H$6:$H$105,MATCH($C241,PRODUCTOS!$A$6:$A$105,0)),0))</f>
        <v/>
      </c>
      <c r="L241" s="35" t="str">
        <f aca="false">IF($C241="","",$J241-$K241)</f>
        <v/>
      </c>
      <c r="M241" s="6"/>
      <c r="N241" s="6"/>
      <c r="O241" s="46" t="str">
        <f aca="false">IF($A241="","",DATE(YEAR($A241),MONTH($A241),1))</f>
        <v/>
      </c>
    </row>
    <row r="242" customFormat="false" ht="15" hidden="false" customHeight="false" outlineLevel="0" collapsed="false">
      <c r="A242" s="44"/>
      <c r="B242" s="6"/>
      <c r="C242" s="6"/>
      <c r="D242" s="8" t="str">
        <f aca="false">IF($C242="","",IFERROR(INDEX(PRODUCTOS!$B$6:$B$105,MATCH($C242,PRODUCTOS!$A$6:$A$105,0)),"¿Código?"))</f>
        <v/>
      </c>
      <c r="E242" s="42"/>
      <c r="F242" s="35" t="str">
        <f aca="false">IF($C242="","",IFERROR(INDEX(PRODUCTOS!$D$6:$D$105,MATCH($C242,PRODUCTOS!$A$6:$A$105,0)),0))</f>
        <v/>
      </c>
      <c r="G242" s="40"/>
      <c r="H242" s="35" t="str">
        <f aca="false">IF($C242="","",N($E242)*$F242-N($G242))</f>
        <v/>
      </c>
      <c r="I242" s="35" t="str">
        <f aca="false">IF($C242="","",$H242-$H242/(1+IFERROR(INDEX(PRODUCTOS!$E$6:$E$105,MATCH($C242,PRODUCTOS!$A$6:$A$105,0)),IVA_VENTAS)))</f>
        <v/>
      </c>
      <c r="J242" s="35" t="str">
        <f aca="false">IF($C242="","",$H242-$I242)</f>
        <v/>
      </c>
      <c r="K242" s="35" t="str">
        <f aca="false">IF($C242="","",N($E242)*IFERROR(INDEX(PRODUCTOS!$H$6:$H$105,MATCH($C242,PRODUCTOS!$A$6:$A$105,0)),0))</f>
        <v/>
      </c>
      <c r="L242" s="35" t="str">
        <f aca="false">IF($C242="","",$J242-$K242)</f>
        <v/>
      </c>
      <c r="M242" s="6"/>
      <c r="N242" s="6"/>
      <c r="O242" s="46" t="str">
        <f aca="false">IF($A242="","",DATE(YEAR($A242),MONTH($A242),1))</f>
        <v/>
      </c>
    </row>
    <row r="243" customFormat="false" ht="15" hidden="false" customHeight="false" outlineLevel="0" collapsed="false">
      <c r="A243" s="44"/>
      <c r="B243" s="6"/>
      <c r="C243" s="6"/>
      <c r="D243" s="8" t="str">
        <f aca="false">IF($C243="","",IFERROR(INDEX(PRODUCTOS!$B$6:$B$105,MATCH($C243,PRODUCTOS!$A$6:$A$105,0)),"¿Código?"))</f>
        <v/>
      </c>
      <c r="E243" s="42"/>
      <c r="F243" s="35" t="str">
        <f aca="false">IF($C243="","",IFERROR(INDEX(PRODUCTOS!$D$6:$D$105,MATCH($C243,PRODUCTOS!$A$6:$A$105,0)),0))</f>
        <v/>
      </c>
      <c r="G243" s="40"/>
      <c r="H243" s="35" t="str">
        <f aca="false">IF($C243="","",N($E243)*$F243-N($G243))</f>
        <v/>
      </c>
      <c r="I243" s="35" t="str">
        <f aca="false">IF($C243="","",$H243-$H243/(1+IFERROR(INDEX(PRODUCTOS!$E$6:$E$105,MATCH($C243,PRODUCTOS!$A$6:$A$105,0)),IVA_VENTAS)))</f>
        <v/>
      </c>
      <c r="J243" s="35" t="str">
        <f aca="false">IF($C243="","",$H243-$I243)</f>
        <v/>
      </c>
      <c r="K243" s="35" t="str">
        <f aca="false">IF($C243="","",N($E243)*IFERROR(INDEX(PRODUCTOS!$H$6:$H$105,MATCH($C243,PRODUCTOS!$A$6:$A$105,0)),0))</f>
        <v/>
      </c>
      <c r="L243" s="35" t="str">
        <f aca="false">IF($C243="","",$J243-$K243)</f>
        <v/>
      </c>
      <c r="M243" s="6"/>
      <c r="N243" s="6"/>
      <c r="O243" s="46" t="str">
        <f aca="false">IF($A243="","",DATE(YEAR($A243),MONTH($A243),1))</f>
        <v/>
      </c>
    </row>
    <row r="244" customFormat="false" ht="15" hidden="false" customHeight="false" outlineLevel="0" collapsed="false">
      <c r="A244" s="44"/>
      <c r="B244" s="6"/>
      <c r="C244" s="6"/>
      <c r="D244" s="8" t="str">
        <f aca="false">IF($C244="","",IFERROR(INDEX(PRODUCTOS!$B$6:$B$105,MATCH($C244,PRODUCTOS!$A$6:$A$105,0)),"¿Código?"))</f>
        <v/>
      </c>
      <c r="E244" s="42"/>
      <c r="F244" s="35" t="str">
        <f aca="false">IF($C244="","",IFERROR(INDEX(PRODUCTOS!$D$6:$D$105,MATCH($C244,PRODUCTOS!$A$6:$A$105,0)),0))</f>
        <v/>
      </c>
      <c r="G244" s="40"/>
      <c r="H244" s="35" t="str">
        <f aca="false">IF($C244="","",N($E244)*$F244-N($G244))</f>
        <v/>
      </c>
      <c r="I244" s="35" t="str">
        <f aca="false">IF($C244="","",$H244-$H244/(1+IFERROR(INDEX(PRODUCTOS!$E$6:$E$105,MATCH($C244,PRODUCTOS!$A$6:$A$105,0)),IVA_VENTAS)))</f>
        <v/>
      </c>
      <c r="J244" s="35" t="str">
        <f aca="false">IF($C244="","",$H244-$I244)</f>
        <v/>
      </c>
      <c r="K244" s="35" t="str">
        <f aca="false">IF($C244="","",N($E244)*IFERROR(INDEX(PRODUCTOS!$H$6:$H$105,MATCH($C244,PRODUCTOS!$A$6:$A$105,0)),0))</f>
        <v/>
      </c>
      <c r="L244" s="35" t="str">
        <f aca="false">IF($C244="","",$J244-$K244)</f>
        <v/>
      </c>
      <c r="M244" s="6"/>
      <c r="N244" s="6"/>
      <c r="O244" s="46" t="str">
        <f aca="false">IF($A244="","",DATE(YEAR($A244),MONTH($A244),1))</f>
        <v/>
      </c>
    </row>
    <row r="245" customFormat="false" ht="15" hidden="false" customHeight="false" outlineLevel="0" collapsed="false">
      <c r="A245" s="44"/>
      <c r="B245" s="6"/>
      <c r="C245" s="6"/>
      <c r="D245" s="8" t="str">
        <f aca="false">IF($C245="","",IFERROR(INDEX(PRODUCTOS!$B$6:$B$105,MATCH($C245,PRODUCTOS!$A$6:$A$105,0)),"¿Código?"))</f>
        <v/>
      </c>
      <c r="E245" s="42"/>
      <c r="F245" s="35" t="str">
        <f aca="false">IF($C245="","",IFERROR(INDEX(PRODUCTOS!$D$6:$D$105,MATCH($C245,PRODUCTOS!$A$6:$A$105,0)),0))</f>
        <v/>
      </c>
      <c r="G245" s="40"/>
      <c r="H245" s="35" t="str">
        <f aca="false">IF($C245="","",N($E245)*$F245-N($G245))</f>
        <v/>
      </c>
      <c r="I245" s="35" t="str">
        <f aca="false">IF($C245="","",$H245-$H245/(1+IFERROR(INDEX(PRODUCTOS!$E$6:$E$105,MATCH($C245,PRODUCTOS!$A$6:$A$105,0)),IVA_VENTAS)))</f>
        <v/>
      </c>
      <c r="J245" s="35" t="str">
        <f aca="false">IF($C245="","",$H245-$I245)</f>
        <v/>
      </c>
      <c r="K245" s="35" t="str">
        <f aca="false">IF($C245="","",N($E245)*IFERROR(INDEX(PRODUCTOS!$H$6:$H$105,MATCH($C245,PRODUCTOS!$A$6:$A$105,0)),0))</f>
        <v/>
      </c>
      <c r="L245" s="35" t="str">
        <f aca="false">IF($C245="","",$J245-$K245)</f>
        <v/>
      </c>
      <c r="M245" s="6"/>
      <c r="N245" s="6"/>
      <c r="O245" s="46" t="str">
        <f aca="false">IF($A245="","",DATE(YEAR($A245),MONTH($A245),1))</f>
        <v/>
      </c>
    </row>
    <row r="246" customFormat="false" ht="15" hidden="false" customHeight="false" outlineLevel="0" collapsed="false">
      <c r="A246" s="44"/>
      <c r="B246" s="6"/>
      <c r="C246" s="6"/>
      <c r="D246" s="8" t="str">
        <f aca="false">IF($C246="","",IFERROR(INDEX(PRODUCTOS!$B$6:$B$105,MATCH($C246,PRODUCTOS!$A$6:$A$105,0)),"¿Código?"))</f>
        <v/>
      </c>
      <c r="E246" s="42"/>
      <c r="F246" s="35" t="str">
        <f aca="false">IF($C246="","",IFERROR(INDEX(PRODUCTOS!$D$6:$D$105,MATCH($C246,PRODUCTOS!$A$6:$A$105,0)),0))</f>
        <v/>
      </c>
      <c r="G246" s="40"/>
      <c r="H246" s="35" t="str">
        <f aca="false">IF($C246="","",N($E246)*$F246-N($G246))</f>
        <v/>
      </c>
      <c r="I246" s="35" t="str">
        <f aca="false">IF($C246="","",$H246-$H246/(1+IFERROR(INDEX(PRODUCTOS!$E$6:$E$105,MATCH($C246,PRODUCTOS!$A$6:$A$105,0)),IVA_VENTAS)))</f>
        <v/>
      </c>
      <c r="J246" s="35" t="str">
        <f aca="false">IF($C246="","",$H246-$I246)</f>
        <v/>
      </c>
      <c r="K246" s="35" t="str">
        <f aca="false">IF($C246="","",N($E246)*IFERROR(INDEX(PRODUCTOS!$H$6:$H$105,MATCH($C246,PRODUCTOS!$A$6:$A$105,0)),0))</f>
        <v/>
      </c>
      <c r="L246" s="35" t="str">
        <f aca="false">IF($C246="","",$J246-$K246)</f>
        <v/>
      </c>
      <c r="M246" s="6"/>
      <c r="N246" s="6"/>
      <c r="O246" s="46" t="str">
        <f aca="false">IF($A246="","",DATE(YEAR($A246),MONTH($A246),1))</f>
        <v/>
      </c>
    </row>
    <row r="247" customFormat="false" ht="15" hidden="false" customHeight="false" outlineLevel="0" collapsed="false">
      <c r="A247" s="44"/>
      <c r="B247" s="6"/>
      <c r="C247" s="6"/>
      <c r="D247" s="8" t="str">
        <f aca="false">IF($C247="","",IFERROR(INDEX(PRODUCTOS!$B$6:$B$105,MATCH($C247,PRODUCTOS!$A$6:$A$105,0)),"¿Código?"))</f>
        <v/>
      </c>
      <c r="E247" s="42"/>
      <c r="F247" s="35" t="str">
        <f aca="false">IF($C247="","",IFERROR(INDEX(PRODUCTOS!$D$6:$D$105,MATCH($C247,PRODUCTOS!$A$6:$A$105,0)),0))</f>
        <v/>
      </c>
      <c r="G247" s="40"/>
      <c r="H247" s="35" t="str">
        <f aca="false">IF($C247="","",N($E247)*$F247-N($G247))</f>
        <v/>
      </c>
      <c r="I247" s="35" t="str">
        <f aca="false">IF($C247="","",$H247-$H247/(1+IFERROR(INDEX(PRODUCTOS!$E$6:$E$105,MATCH($C247,PRODUCTOS!$A$6:$A$105,0)),IVA_VENTAS)))</f>
        <v/>
      </c>
      <c r="J247" s="35" t="str">
        <f aca="false">IF($C247="","",$H247-$I247)</f>
        <v/>
      </c>
      <c r="K247" s="35" t="str">
        <f aca="false">IF($C247="","",N($E247)*IFERROR(INDEX(PRODUCTOS!$H$6:$H$105,MATCH($C247,PRODUCTOS!$A$6:$A$105,0)),0))</f>
        <v/>
      </c>
      <c r="L247" s="35" t="str">
        <f aca="false">IF($C247="","",$J247-$K247)</f>
        <v/>
      </c>
      <c r="M247" s="6"/>
      <c r="N247" s="6"/>
      <c r="O247" s="46" t="str">
        <f aca="false">IF($A247="","",DATE(YEAR($A247),MONTH($A247),1))</f>
        <v/>
      </c>
    </row>
    <row r="248" customFormat="false" ht="15" hidden="false" customHeight="false" outlineLevel="0" collapsed="false">
      <c r="A248" s="44"/>
      <c r="B248" s="6"/>
      <c r="C248" s="6"/>
      <c r="D248" s="8" t="str">
        <f aca="false">IF($C248="","",IFERROR(INDEX(PRODUCTOS!$B$6:$B$105,MATCH($C248,PRODUCTOS!$A$6:$A$105,0)),"¿Código?"))</f>
        <v/>
      </c>
      <c r="E248" s="42"/>
      <c r="F248" s="35" t="str">
        <f aca="false">IF($C248="","",IFERROR(INDEX(PRODUCTOS!$D$6:$D$105,MATCH($C248,PRODUCTOS!$A$6:$A$105,0)),0))</f>
        <v/>
      </c>
      <c r="G248" s="40"/>
      <c r="H248" s="35" t="str">
        <f aca="false">IF($C248="","",N($E248)*$F248-N($G248))</f>
        <v/>
      </c>
      <c r="I248" s="35" t="str">
        <f aca="false">IF($C248="","",$H248-$H248/(1+IFERROR(INDEX(PRODUCTOS!$E$6:$E$105,MATCH($C248,PRODUCTOS!$A$6:$A$105,0)),IVA_VENTAS)))</f>
        <v/>
      </c>
      <c r="J248" s="35" t="str">
        <f aca="false">IF($C248="","",$H248-$I248)</f>
        <v/>
      </c>
      <c r="K248" s="35" t="str">
        <f aca="false">IF($C248="","",N($E248)*IFERROR(INDEX(PRODUCTOS!$H$6:$H$105,MATCH($C248,PRODUCTOS!$A$6:$A$105,0)),0))</f>
        <v/>
      </c>
      <c r="L248" s="35" t="str">
        <f aca="false">IF($C248="","",$J248-$K248)</f>
        <v/>
      </c>
      <c r="M248" s="6"/>
      <c r="N248" s="6"/>
      <c r="O248" s="46" t="str">
        <f aca="false">IF($A248="","",DATE(YEAR($A248),MONTH($A248),1))</f>
        <v/>
      </c>
    </row>
    <row r="249" customFormat="false" ht="15" hidden="false" customHeight="false" outlineLevel="0" collapsed="false">
      <c r="A249" s="44"/>
      <c r="B249" s="6"/>
      <c r="C249" s="6"/>
      <c r="D249" s="8" t="str">
        <f aca="false">IF($C249="","",IFERROR(INDEX(PRODUCTOS!$B$6:$B$105,MATCH($C249,PRODUCTOS!$A$6:$A$105,0)),"¿Código?"))</f>
        <v/>
      </c>
      <c r="E249" s="42"/>
      <c r="F249" s="35" t="str">
        <f aca="false">IF($C249="","",IFERROR(INDEX(PRODUCTOS!$D$6:$D$105,MATCH($C249,PRODUCTOS!$A$6:$A$105,0)),0))</f>
        <v/>
      </c>
      <c r="G249" s="40"/>
      <c r="H249" s="35" t="str">
        <f aca="false">IF($C249="","",N($E249)*$F249-N($G249))</f>
        <v/>
      </c>
      <c r="I249" s="35" t="str">
        <f aca="false">IF($C249="","",$H249-$H249/(1+IFERROR(INDEX(PRODUCTOS!$E$6:$E$105,MATCH($C249,PRODUCTOS!$A$6:$A$105,0)),IVA_VENTAS)))</f>
        <v/>
      </c>
      <c r="J249" s="35" t="str">
        <f aca="false">IF($C249="","",$H249-$I249)</f>
        <v/>
      </c>
      <c r="K249" s="35" t="str">
        <f aca="false">IF($C249="","",N($E249)*IFERROR(INDEX(PRODUCTOS!$H$6:$H$105,MATCH($C249,PRODUCTOS!$A$6:$A$105,0)),0))</f>
        <v/>
      </c>
      <c r="L249" s="35" t="str">
        <f aca="false">IF($C249="","",$J249-$K249)</f>
        <v/>
      </c>
      <c r="M249" s="6"/>
      <c r="N249" s="6"/>
      <c r="O249" s="46" t="str">
        <f aca="false">IF($A249="","",DATE(YEAR($A249),MONTH($A249),1))</f>
        <v/>
      </c>
    </row>
    <row r="250" customFormat="false" ht="15" hidden="false" customHeight="false" outlineLevel="0" collapsed="false">
      <c r="A250" s="44"/>
      <c r="B250" s="6"/>
      <c r="C250" s="6"/>
      <c r="D250" s="8" t="str">
        <f aca="false">IF($C250="","",IFERROR(INDEX(PRODUCTOS!$B$6:$B$105,MATCH($C250,PRODUCTOS!$A$6:$A$105,0)),"¿Código?"))</f>
        <v/>
      </c>
      <c r="E250" s="42"/>
      <c r="F250" s="35" t="str">
        <f aca="false">IF($C250="","",IFERROR(INDEX(PRODUCTOS!$D$6:$D$105,MATCH($C250,PRODUCTOS!$A$6:$A$105,0)),0))</f>
        <v/>
      </c>
      <c r="G250" s="40"/>
      <c r="H250" s="35" t="str">
        <f aca="false">IF($C250="","",N($E250)*$F250-N($G250))</f>
        <v/>
      </c>
      <c r="I250" s="35" t="str">
        <f aca="false">IF($C250="","",$H250-$H250/(1+IFERROR(INDEX(PRODUCTOS!$E$6:$E$105,MATCH($C250,PRODUCTOS!$A$6:$A$105,0)),IVA_VENTAS)))</f>
        <v/>
      </c>
      <c r="J250" s="35" t="str">
        <f aca="false">IF($C250="","",$H250-$I250)</f>
        <v/>
      </c>
      <c r="K250" s="35" t="str">
        <f aca="false">IF($C250="","",N($E250)*IFERROR(INDEX(PRODUCTOS!$H$6:$H$105,MATCH($C250,PRODUCTOS!$A$6:$A$105,0)),0))</f>
        <v/>
      </c>
      <c r="L250" s="35" t="str">
        <f aca="false">IF($C250="","",$J250-$K250)</f>
        <v/>
      </c>
      <c r="M250" s="6"/>
      <c r="N250" s="6"/>
      <c r="O250" s="46" t="str">
        <f aca="false">IF($A250="","",DATE(YEAR($A250),MONTH($A250),1))</f>
        <v/>
      </c>
    </row>
    <row r="251" customFormat="false" ht="15" hidden="false" customHeight="false" outlineLevel="0" collapsed="false">
      <c r="A251" s="44"/>
      <c r="B251" s="6"/>
      <c r="C251" s="6"/>
      <c r="D251" s="8" t="str">
        <f aca="false">IF($C251="","",IFERROR(INDEX(PRODUCTOS!$B$6:$B$105,MATCH($C251,PRODUCTOS!$A$6:$A$105,0)),"¿Código?"))</f>
        <v/>
      </c>
      <c r="E251" s="42"/>
      <c r="F251" s="35" t="str">
        <f aca="false">IF($C251="","",IFERROR(INDEX(PRODUCTOS!$D$6:$D$105,MATCH($C251,PRODUCTOS!$A$6:$A$105,0)),0))</f>
        <v/>
      </c>
      <c r="G251" s="40"/>
      <c r="H251" s="35" t="str">
        <f aca="false">IF($C251="","",N($E251)*$F251-N($G251))</f>
        <v/>
      </c>
      <c r="I251" s="35" t="str">
        <f aca="false">IF($C251="","",$H251-$H251/(1+IFERROR(INDEX(PRODUCTOS!$E$6:$E$105,MATCH($C251,PRODUCTOS!$A$6:$A$105,0)),IVA_VENTAS)))</f>
        <v/>
      </c>
      <c r="J251" s="35" t="str">
        <f aca="false">IF($C251="","",$H251-$I251)</f>
        <v/>
      </c>
      <c r="K251" s="35" t="str">
        <f aca="false">IF($C251="","",N($E251)*IFERROR(INDEX(PRODUCTOS!$H$6:$H$105,MATCH($C251,PRODUCTOS!$A$6:$A$105,0)),0))</f>
        <v/>
      </c>
      <c r="L251" s="35" t="str">
        <f aca="false">IF($C251="","",$J251-$K251)</f>
        <v/>
      </c>
      <c r="M251" s="6"/>
      <c r="N251" s="6"/>
      <c r="O251" s="46" t="str">
        <f aca="false">IF($A251="","",DATE(YEAR($A251),MONTH($A251),1))</f>
        <v/>
      </c>
    </row>
    <row r="252" customFormat="false" ht="15" hidden="false" customHeight="false" outlineLevel="0" collapsed="false">
      <c r="A252" s="44"/>
      <c r="B252" s="6"/>
      <c r="C252" s="6"/>
      <c r="D252" s="8" t="str">
        <f aca="false">IF($C252="","",IFERROR(INDEX(PRODUCTOS!$B$6:$B$105,MATCH($C252,PRODUCTOS!$A$6:$A$105,0)),"¿Código?"))</f>
        <v/>
      </c>
      <c r="E252" s="42"/>
      <c r="F252" s="35" t="str">
        <f aca="false">IF($C252="","",IFERROR(INDEX(PRODUCTOS!$D$6:$D$105,MATCH($C252,PRODUCTOS!$A$6:$A$105,0)),0))</f>
        <v/>
      </c>
      <c r="G252" s="40"/>
      <c r="H252" s="35" t="str">
        <f aca="false">IF($C252="","",N($E252)*$F252-N($G252))</f>
        <v/>
      </c>
      <c r="I252" s="35" t="str">
        <f aca="false">IF($C252="","",$H252-$H252/(1+IFERROR(INDEX(PRODUCTOS!$E$6:$E$105,MATCH($C252,PRODUCTOS!$A$6:$A$105,0)),IVA_VENTAS)))</f>
        <v/>
      </c>
      <c r="J252" s="35" t="str">
        <f aca="false">IF($C252="","",$H252-$I252)</f>
        <v/>
      </c>
      <c r="K252" s="35" t="str">
        <f aca="false">IF($C252="","",N($E252)*IFERROR(INDEX(PRODUCTOS!$H$6:$H$105,MATCH($C252,PRODUCTOS!$A$6:$A$105,0)),0))</f>
        <v/>
      </c>
      <c r="L252" s="35" t="str">
        <f aca="false">IF($C252="","",$J252-$K252)</f>
        <v/>
      </c>
      <c r="M252" s="6"/>
      <c r="N252" s="6"/>
      <c r="O252" s="46" t="str">
        <f aca="false">IF($A252="","",DATE(YEAR($A252),MONTH($A252),1))</f>
        <v/>
      </c>
    </row>
    <row r="253" customFormat="false" ht="15" hidden="false" customHeight="false" outlineLevel="0" collapsed="false">
      <c r="A253" s="44"/>
      <c r="B253" s="6"/>
      <c r="C253" s="6"/>
      <c r="D253" s="8" t="str">
        <f aca="false">IF($C253="","",IFERROR(INDEX(PRODUCTOS!$B$6:$B$105,MATCH($C253,PRODUCTOS!$A$6:$A$105,0)),"¿Código?"))</f>
        <v/>
      </c>
      <c r="E253" s="42"/>
      <c r="F253" s="35" t="str">
        <f aca="false">IF($C253="","",IFERROR(INDEX(PRODUCTOS!$D$6:$D$105,MATCH($C253,PRODUCTOS!$A$6:$A$105,0)),0))</f>
        <v/>
      </c>
      <c r="G253" s="40"/>
      <c r="H253" s="35" t="str">
        <f aca="false">IF($C253="","",N($E253)*$F253-N($G253))</f>
        <v/>
      </c>
      <c r="I253" s="35" t="str">
        <f aca="false">IF($C253="","",$H253-$H253/(1+IFERROR(INDEX(PRODUCTOS!$E$6:$E$105,MATCH($C253,PRODUCTOS!$A$6:$A$105,0)),IVA_VENTAS)))</f>
        <v/>
      </c>
      <c r="J253" s="35" t="str">
        <f aca="false">IF($C253="","",$H253-$I253)</f>
        <v/>
      </c>
      <c r="K253" s="35" t="str">
        <f aca="false">IF($C253="","",N($E253)*IFERROR(INDEX(PRODUCTOS!$H$6:$H$105,MATCH($C253,PRODUCTOS!$A$6:$A$105,0)),0))</f>
        <v/>
      </c>
      <c r="L253" s="35" t="str">
        <f aca="false">IF($C253="","",$J253-$K253)</f>
        <v/>
      </c>
      <c r="M253" s="6"/>
      <c r="N253" s="6"/>
      <c r="O253" s="46" t="str">
        <f aca="false">IF($A253="","",DATE(YEAR($A253),MONTH($A253),1))</f>
        <v/>
      </c>
    </row>
    <row r="254" customFormat="false" ht="15" hidden="false" customHeight="false" outlineLevel="0" collapsed="false">
      <c r="A254" s="44"/>
      <c r="B254" s="6"/>
      <c r="C254" s="6"/>
      <c r="D254" s="8" t="str">
        <f aca="false">IF($C254="","",IFERROR(INDEX(PRODUCTOS!$B$6:$B$105,MATCH($C254,PRODUCTOS!$A$6:$A$105,0)),"¿Código?"))</f>
        <v/>
      </c>
      <c r="E254" s="42"/>
      <c r="F254" s="35" t="str">
        <f aca="false">IF($C254="","",IFERROR(INDEX(PRODUCTOS!$D$6:$D$105,MATCH($C254,PRODUCTOS!$A$6:$A$105,0)),0))</f>
        <v/>
      </c>
      <c r="G254" s="40"/>
      <c r="H254" s="35" t="str">
        <f aca="false">IF($C254="","",N($E254)*$F254-N($G254))</f>
        <v/>
      </c>
      <c r="I254" s="35" t="str">
        <f aca="false">IF($C254="","",$H254-$H254/(1+IFERROR(INDEX(PRODUCTOS!$E$6:$E$105,MATCH($C254,PRODUCTOS!$A$6:$A$105,0)),IVA_VENTAS)))</f>
        <v/>
      </c>
      <c r="J254" s="35" t="str">
        <f aca="false">IF($C254="","",$H254-$I254)</f>
        <v/>
      </c>
      <c r="K254" s="35" t="str">
        <f aca="false">IF($C254="","",N($E254)*IFERROR(INDEX(PRODUCTOS!$H$6:$H$105,MATCH($C254,PRODUCTOS!$A$6:$A$105,0)),0))</f>
        <v/>
      </c>
      <c r="L254" s="35" t="str">
        <f aca="false">IF($C254="","",$J254-$K254)</f>
        <v/>
      </c>
      <c r="M254" s="6"/>
      <c r="N254" s="6"/>
      <c r="O254" s="46" t="str">
        <f aca="false">IF($A254="","",DATE(YEAR($A254),MONTH($A254),1))</f>
        <v/>
      </c>
    </row>
    <row r="255" customFormat="false" ht="15" hidden="false" customHeight="false" outlineLevel="0" collapsed="false">
      <c r="A255" s="44"/>
      <c r="B255" s="6"/>
      <c r="C255" s="6"/>
      <c r="D255" s="8" t="str">
        <f aca="false">IF($C255="","",IFERROR(INDEX(PRODUCTOS!$B$6:$B$105,MATCH($C255,PRODUCTOS!$A$6:$A$105,0)),"¿Código?"))</f>
        <v/>
      </c>
      <c r="E255" s="42"/>
      <c r="F255" s="35" t="str">
        <f aca="false">IF($C255="","",IFERROR(INDEX(PRODUCTOS!$D$6:$D$105,MATCH($C255,PRODUCTOS!$A$6:$A$105,0)),0))</f>
        <v/>
      </c>
      <c r="G255" s="40"/>
      <c r="H255" s="35" t="str">
        <f aca="false">IF($C255="","",N($E255)*$F255-N($G255))</f>
        <v/>
      </c>
      <c r="I255" s="35" t="str">
        <f aca="false">IF($C255="","",$H255-$H255/(1+IFERROR(INDEX(PRODUCTOS!$E$6:$E$105,MATCH($C255,PRODUCTOS!$A$6:$A$105,0)),IVA_VENTAS)))</f>
        <v/>
      </c>
      <c r="J255" s="35" t="str">
        <f aca="false">IF($C255="","",$H255-$I255)</f>
        <v/>
      </c>
      <c r="K255" s="35" t="str">
        <f aca="false">IF($C255="","",N($E255)*IFERROR(INDEX(PRODUCTOS!$H$6:$H$105,MATCH($C255,PRODUCTOS!$A$6:$A$105,0)),0))</f>
        <v/>
      </c>
      <c r="L255" s="35" t="str">
        <f aca="false">IF($C255="","",$J255-$K255)</f>
        <v/>
      </c>
      <c r="M255" s="6"/>
      <c r="N255" s="6"/>
      <c r="O255" s="46" t="str">
        <f aca="false">IF($A255="","",DATE(YEAR($A255),MONTH($A255),1))</f>
        <v/>
      </c>
    </row>
    <row r="256" customFormat="false" ht="15" hidden="false" customHeight="false" outlineLevel="0" collapsed="false">
      <c r="A256" s="44"/>
      <c r="B256" s="6"/>
      <c r="C256" s="6"/>
      <c r="D256" s="8" t="str">
        <f aca="false">IF($C256="","",IFERROR(INDEX(PRODUCTOS!$B$6:$B$105,MATCH($C256,PRODUCTOS!$A$6:$A$105,0)),"¿Código?"))</f>
        <v/>
      </c>
      <c r="E256" s="42"/>
      <c r="F256" s="35" t="str">
        <f aca="false">IF($C256="","",IFERROR(INDEX(PRODUCTOS!$D$6:$D$105,MATCH($C256,PRODUCTOS!$A$6:$A$105,0)),0))</f>
        <v/>
      </c>
      <c r="G256" s="40"/>
      <c r="H256" s="35" t="str">
        <f aca="false">IF($C256="","",N($E256)*$F256-N($G256))</f>
        <v/>
      </c>
      <c r="I256" s="35" t="str">
        <f aca="false">IF($C256="","",$H256-$H256/(1+IFERROR(INDEX(PRODUCTOS!$E$6:$E$105,MATCH($C256,PRODUCTOS!$A$6:$A$105,0)),IVA_VENTAS)))</f>
        <v/>
      </c>
      <c r="J256" s="35" t="str">
        <f aca="false">IF($C256="","",$H256-$I256)</f>
        <v/>
      </c>
      <c r="K256" s="35" t="str">
        <f aca="false">IF($C256="","",N($E256)*IFERROR(INDEX(PRODUCTOS!$H$6:$H$105,MATCH($C256,PRODUCTOS!$A$6:$A$105,0)),0))</f>
        <v/>
      </c>
      <c r="L256" s="35" t="str">
        <f aca="false">IF($C256="","",$J256-$K256)</f>
        <v/>
      </c>
      <c r="M256" s="6"/>
      <c r="N256" s="6"/>
      <c r="O256" s="46" t="str">
        <f aca="false">IF($A256="","",DATE(YEAR($A256),MONTH($A256),1))</f>
        <v/>
      </c>
    </row>
    <row r="257" customFormat="false" ht="15" hidden="false" customHeight="false" outlineLevel="0" collapsed="false">
      <c r="A257" s="44"/>
      <c r="B257" s="6"/>
      <c r="C257" s="6"/>
      <c r="D257" s="8" t="str">
        <f aca="false">IF($C257="","",IFERROR(INDEX(PRODUCTOS!$B$6:$B$105,MATCH($C257,PRODUCTOS!$A$6:$A$105,0)),"¿Código?"))</f>
        <v/>
      </c>
      <c r="E257" s="42"/>
      <c r="F257" s="35" t="str">
        <f aca="false">IF($C257="","",IFERROR(INDEX(PRODUCTOS!$D$6:$D$105,MATCH($C257,PRODUCTOS!$A$6:$A$105,0)),0))</f>
        <v/>
      </c>
      <c r="G257" s="40"/>
      <c r="H257" s="35" t="str">
        <f aca="false">IF($C257="","",N($E257)*$F257-N($G257))</f>
        <v/>
      </c>
      <c r="I257" s="35" t="str">
        <f aca="false">IF($C257="","",$H257-$H257/(1+IFERROR(INDEX(PRODUCTOS!$E$6:$E$105,MATCH($C257,PRODUCTOS!$A$6:$A$105,0)),IVA_VENTAS)))</f>
        <v/>
      </c>
      <c r="J257" s="35" t="str">
        <f aca="false">IF($C257="","",$H257-$I257)</f>
        <v/>
      </c>
      <c r="K257" s="35" t="str">
        <f aca="false">IF($C257="","",N($E257)*IFERROR(INDEX(PRODUCTOS!$H$6:$H$105,MATCH($C257,PRODUCTOS!$A$6:$A$105,0)),0))</f>
        <v/>
      </c>
      <c r="L257" s="35" t="str">
        <f aca="false">IF($C257="","",$J257-$K257)</f>
        <v/>
      </c>
      <c r="M257" s="6"/>
      <c r="N257" s="6"/>
      <c r="O257" s="46" t="str">
        <f aca="false">IF($A257="","",DATE(YEAR($A257),MONTH($A257),1))</f>
        <v/>
      </c>
    </row>
    <row r="258" customFormat="false" ht="15" hidden="false" customHeight="false" outlineLevel="0" collapsed="false">
      <c r="A258" s="44"/>
      <c r="B258" s="6"/>
      <c r="C258" s="6"/>
      <c r="D258" s="8" t="str">
        <f aca="false">IF($C258="","",IFERROR(INDEX(PRODUCTOS!$B$6:$B$105,MATCH($C258,PRODUCTOS!$A$6:$A$105,0)),"¿Código?"))</f>
        <v/>
      </c>
      <c r="E258" s="42"/>
      <c r="F258" s="35" t="str">
        <f aca="false">IF($C258="","",IFERROR(INDEX(PRODUCTOS!$D$6:$D$105,MATCH($C258,PRODUCTOS!$A$6:$A$105,0)),0))</f>
        <v/>
      </c>
      <c r="G258" s="40"/>
      <c r="H258" s="35" t="str">
        <f aca="false">IF($C258="","",N($E258)*$F258-N($G258))</f>
        <v/>
      </c>
      <c r="I258" s="35" t="str">
        <f aca="false">IF($C258="","",$H258-$H258/(1+IFERROR(INDEX(PRODUCTOS!$E$6:$E$105,MATCH($C258,PRODUCTOS!$A$6:$A$105,0)),IVA_VENTAS)))</f>
        <v/>
      </c>
      <c r="J258" s="35" t="str">
        <f aca="false">IF($C258="","",$H258-$I258)</f>
        <v/>
      </c>
      <c r="K258" s="35" t="str">
        <f aca="false">IF($C258="","",N($E258)*IFERROR(INDEX(PRODUCTOS!$H$6:$H$105,MATCH($C258,PRODUCTOS!$A$6:$A$105,0)),0))</f>
        <v/>
      </c>
      <c r="L258" s="35" t="str">
        <f aca="false">IF($C258="","",$J258-$K258)</f>
        <v/>
      </c>
      <c r="M258" s="6"/>
      <c r="N258" s="6"/>
      <c r="O258" s="46" t="str">
        <f aca="false">IF($A258="","",DATE(YEAR($A258),MONTH($A258),1))</f>
        <v/>
      </c>
    </row>
    <row r="259" customFormat="false" ht="15" hidden="false" customHeight="false" outlineLevel="0" collapsed="false">
      <c r="A259" s="44"/>
      <c r="B259" s="6"/>
      <c r="C259" s="6"/>
      <c r="D259" s="8" t="str">
        <f aca="false">IF($C259="","",IFERROR(INDEX(PRODUCTOS!$B$6:$B$105,MATCH($C259,PRODUCTOS!$A$6:$A$105,0)),"¿Código?"))</f>
        <v/>
      </c>
      <c r="E259" s="42"/>
      <c r="F259" s="35" t="str">
        <f aca="false">IF($C259="","",IFERROR(INDEX(PRODUCTOS!$D$6:$D$105,MATCH($C259,PRODUCTOS!$A$6:$A$105,0)),0))</f>
        <v/>
      </c>
      <c r="G259" s="40"/>
      <c r="H259" s="35" t="str">
        <f aca="false">IF($C259="","",N($E259)*$F259-N($G259))</f>
        <v/>
      </c>
      <c r="I259" s="35" t="str">
        <f aca="false">IF($C259="","",$H259-$H259/(1+IFERROR(INDEX(PRODUCTOS!$E$6:$E$105,MATCH($C259,PRODUCTOS!$A$6:$A$105,0)),IVA_VENTAS)))</f>
        <v/>
      </c>
      <c r="J259" s="35" t="str">
        <f aca="false">IF($C259="","",$H259-$I259)</f>
        <v/>
      </c>
      <c r="K259" s="35" t="str">
        <f aca="false">IF($C259="","",N($E259)*IFERROR(INDEX(PRODUCTOS!$H$6:$H$105,MATCH($C259,PRODUCTOS!$A$6:$A$105,0)),0))</f>
        <v/>
      </c>
      <c r="L259" s="35" t="str">
        <f aca="false">IF($C259="","",$J259-$K259)</f>
        <v/>
      </c>
      <c r="M259" s="6"/>
      <c r="N259" s="6"/>
      <c r="O259" s="46" t="str">
        <f aca="false">IF($A259="","",DATE(YEAR($A259),MONTH($A259),1))</f>
        <v/>
      </c>
    </row>
    <row r="260" customFormat="false" ht="15" hidden="false" customHeight="false" outlineLevel="0" collapsed="false">
      <c r="A260" s="44"/>
      <c r="B260" s="6"/>
      <c r="C260" s="6"/>
      <c r="D260" s="8" t="str">
        <f aca="false">IF($C260="","",IFERROR(INDEX(PRODUCTOS!$B$6:$B$105,MATCH($C260,PRODUCTOS!$A$6:$A$105,0)),"¿Código?"))</f>
        <v/>
      </c>
      <c r="E260" s="42"/>
      <c r="F260" s="35" t="str">
        <f aca="false">IF($C260="","",IFERROR(INDEX(PRODUCTOS!$D$6:$D$105,MATCH($C260,PRODUCTOS!$A$6:$A$105,0)),0))</f>
        <v/>
      </c>
      <c r="G260" s="40"/>
      <c r="H260" s="35" t="str">
        <f aca="false">IF($C260="","",N($E260)*$F260-N($G260))</f>
        <v/>
      </c>
      <c r="I260" s="35" t="str">
        <f aca="false">IF($C260="","",$H260-$H260/(1+IFERROR(INDEX(PRODUCTOS!$E$6:$E$105,MATCH($C260,PRODUCTOS!$A$6:$A$105,0)),IVA_VENTAS)))</f>
        <v/>
      </c>
      <c r="J260" s="35" t="str">
        <f aca="false">IF($C260="","",$H260-$I260)</f>
        <v/>
      </c>
      <c r="K260" s="35" t="str">
        <f aca="false">IF($C260="","",N($E260)*IFERROR(INDEX(PRODUCTOS!$H$6:$H$105,MATCH($C260,PRODUCTOS!$A$6:$A$105,0)),0))</f>
        <v/>
      </c>
      <c r="L260" s="35" t="str">
        <f aca="false">IF($C260="","",$J260-$K260)</f>
        <v/>
      </c>
      <c r="M260" s="6"/>
      <c r="N260" s="6"/>
      <c r="O260" s="46" t="str">
        <f aca="false">IF($A260="","",DATE(YEAR($A260),MONTH($A260),1))</f>
        <v/>
      </c>
    </row>
    <row r="261" customFormat="false" ht="15" hidden="false" customHeight="false" outlineLevel="0" collapsed="false">
      <c r="A261" s="44"/>
      <c r="B261" s="6"/>
      <c r="C261" s="6"/>
      <c r="D261" s="8" t="str">
        <f aca="false">IF($C261="","",IFERROR(INDEX(PRODUCTOS!$B$6:$B$105,MATCH($C261,PRODUCTOS!$A$6:$A$105,0)),"¿Código?"))</f>
        <v/>
      </c>
      <c r="E261" s="42"/>
      <c r="F261" s="35" t="str">
        <f aca="false">IF($C261="","",IFERROR(INDEX(PRODUCTOS!$D$6:$D$105,MATCH($C261,PRODUCTOS!$A$6:$A$105,0)),0))</f>
        <v/>
      </c>
      <c r="G261" s="40"/>
      <c r="H261" s="35" t="str">
        <f aca="false">IF($C261="","",N($E261)*$F261-N($G261))</f>
        <v/>
      </c>
      <c r="I261" s="35" t="str">
        <f aca="false">IF($C261="","",$H261-$H261/(1+IFERROR(INDEX(PRODUCTOS!$E$6:$E$105,MATCH($C261,PRODUCTOS!$A$6:$A$105,0)),IVA_VENTAS)))</f>
        <v/>
      </c>
      <c r="J261" s="35" t="str">
        <f aca="false">IF($C261="","",$H261-$I261)</f>
        <v/>
      </c>
      <c r="K261" s="35" t="str">
        <f aca="false">IF($C261="","",N($E261)*IFERROR(INDEX(PRODUCTOS!$H$6:$H$105,MATCH($C261,PRODUCTOS!$A$6:$A$105,0)),0))</f>
        <v/>
      </c>
      <c r="L261" s="35" t="str">
        <f aca="false">IF($C261="","",$J261-$K261)</f>
        <v/>
      </c>
      <c r="M261" s="6"/>
      <c r="N261" s="6"/>
      <c r="O261" s="46" t="str">
        <f aca="false">IF($A261="","",DATE(YEAR($A261),MONTH($A261),1))</f>
        <v/>
      </c>
    </row>
    <row r="262" customFormat="false" ht="15" hidden="false" customHeight="false" outlineLevel="0" collapsed="false">
      <c r="A262" s="44"/>
      <c r="B262" s="6"/>
      <c r="C262" s="6"/>
      <c r="D262" s="8" t="str">
        <f aca="false">IF($C262="","",IFERROR(INDEX(PRODUCTOS!$B$6:$B$105,MATCH($C262,PRODUCTOS!$A$6:$A$105,0)),"¿Código?"))</f>
        <v/>
      </c>
      <c r="E262" s="42"/>
      <c r="F262" s="35" t="str">
        <f aca="false">IF($C262="","",IFERROR(INDEX(PRODUCTOS!$D$6:$D$105,MATCH($C262,PRODUCTOS!$A$6:$A$105,0)),0))</f>
        <v/>
      </c>
      <c r="G262" s="40"/>
      <c r="H262" s="35" t="str">
        <f aca="false">IF($C262="","",N($E262)*$F262-N($G262))</f>
        <v/>
      </c>
      <c r="I262" s="35" t="str">
        <f aca="false">IF($C262="","",$H262-$H262/(1+IFERROR(INDEX(PRODUCTOS!$E$6:$E$105,MATCH($C262,PRODUCTOS!$A$6:$A$105,0)),IVA_VENTAS)))</f>
        <v/>
      </c>
      <c r="J262" s="35" t="str">
        <f aca="false">IF($C262="","",$H262-$I262)</f>
        <v/>
      </c>
      <c r="K262" s="35" t="str">
        <f aca="false">IF($C262="","",N($E262)*IFERROR(INDEX(PRODUCTOS!$H$6:$H$105,MATCH($C262,PRODUCTOS!$A$6:$A$105,0)),0))</f>
        <v/>
      </c>
      <c r="L262" s="35" t="str">
        <f aca="false">IF($C262="","",$J262-$K262)</f>
        <v/>
      </c>
      <c r="M262" s="6"/>
      <c r="N262" s="6"/>
      <c r="O262" s="46" t="str">
        <f aca="false">IF($A262="","",DATE(YEAR($A262),MONTH($A262),1))</f>
        <v/>
      </c>
    </row>
    <row r="263" customFormat="false" ht="15" hidden="false" customHeight="false" outlineLevel="0" collapsed="false">
      <c r="A263" s="44"/>
      <c r="B263" s="6"/>
      <c r="C263" s="6"/>
      <c r="D263" s="8" t="str">
        <f aca="false">IF($C263="","",IFERROR(INDEX(PRODUCTOS!$B$6:$B$105,MATCH($C263,PRODUCTOS!$A$6:$A$105,0)),"¿Código?"))</f>
        <v/>
      </c>
      <c r="E263" s="42"/>
      <c r="F263" s="35" t="str">
        <f aca="false">IF($C263="","",IFERROR(INDEX(PRODUCTOS!$D$6:$D$105,MATCH($C263,PRODUCTOS!$A$6:$A$105,0)),0))</f>
        <v/>
      </c>
      <c r="G263" s="40"/>
      <c r="H263" s="35" t="str">
        <f aca="false">IF($C263="","",N($E263)*$F263-N($G263))</f>
        <v/>
      </c>
      <c r="I263" s="35" t="str">
        <f aca="false">IF($C263="","",$H263-$H263/(1+IFERROR(INDEX(PRODUCTOS!$E$6:$E$105,MATCH($C263,PRODUCTOS!$A$6:$A$105,0)),IVA_VENTAS)))</f>
        <v/>
      </c>
      <c r="J263" s="35" t="str">
        <f aca="false">IF($C263="","",$H263-$I263)</f>
        <v/>
      </c>
      <c r="K263" s="35" t="str">
        <f aca="false">IF($C263="","",N($E263)*IFERROR(INDEX(PRODUCTOS!$H$6:$H$105,MATCH($C263,PRODUCTOS!$A$6:$A$105,0)),0))</f>
        <v/>
      </c>
      <c r="L263" s="35" t="str">
        <f aca="false">IF($C263="","",$J263-$K263)</f>
        <v/>
      </c>
      <c r="M263" s="6"/>
      <c r="N263" s="6"/>
      <c r="O263" s="46" t="str">
        <f aca="false">IF($A263="","",DATE(YEAR($A263),MONTH($A263),1))</f>
        <v/>
      </c>
    </row>
    <row r="264" customFormat="false" ht="15" hidden="false" customHeight="false" outlineLevel="0" collapsed="false">
      <c r="A264" s="44"/>
      <c r="B264" s="6"/>
      <c r="C264" s="6"/>
      <c r="D264" s="8" t="str">
        <f aca="false">IF($C264="","",IFERROR(INDEX(PRODUCTOS!$B$6:$B$105,MATCH($C264,PRODUCTOS!$A$6:$A$105,0)),"¿Código?"))</f>
        <v/>
      </c>
      <c r="E264" s="42"/>
      <c r="F264" s="35" t="str">
        <f aca="false">IF($C264="","",IFERROR(INDEX(PRODUCTOS!$D$6:$D$105,MATCH($C264,PRODUCTOS!$A$6:$A$105,0)),0))</f>
        <v/>
      </c>
      <c r="G264" s="40"/>
      <c r="H264" s="35" t="str">
        <f aca="false">IF($C264="","",N($E264)*$F264-N($G264))</f>
        <v/>
      </c>
      <c r="I264" s="35" t="str">
        <f aca="false">IF($C264="","",$H264-$H264/(1+IFERROR(INDEX(PRODUCTOS!$E$6:$E$105,MATCH($C264,PRODUCTOS!$A$6:$A$105,0)),IVA_VENTAS)))</f>
        <v/>
      </c>
      <c r="J264" s="35" t="str">
        <f aca="false">IF($C264="","",$H264-$I264)</f>
        <v/>
      </c>
      <c r="K264" s="35" t="str">
        <f aca="false">IF($C264="","",N($E264)*IFERROR(INDEX(PRODUCTOS!$H$6:$H$105,MATCH($C264,PRODUCTOS!$A$6:$A$105,0)),0))</f>
        <v/>
      </c>
      <c r="L264" s="35" t="str">
        <f aca="false">IF($C264="","",$J264-$K264)</f>
        <v/>
      </c>
      <c r="M264" s="6"/>
      <c r="N264" s="6"/>
      <c r="O264" s="46" t="str">
        <f aca="false">IF($A264="","",DATE(YEAR($A264),MONTH($A264),1))</f>
        <v/>
      </c>
    </row>
    <row r="265" customFormat="false" ht="15" hidden="false" customHeight="false" outlineLevel="0" collapsed="false">
      <c r="A265" s="44"/>
      <c r="B265" s="6"/>
      <c r="C265" s="6"/>
      <c r="D265" s="8" t="str">
        <f aca="false">IF($C265="","",IFERROR(INDEX(PRODUCTOS!$B$6:$B$105,MATCH($C265,PRODUCTOS!$A$6:$A$105,0)),"¿Código?"))</f>
        <v/>
      </c>
      <c r="E265" s="42"/>
      <c r="F265" s="35" t="str">
        <f aca="false">IF($C265="","",IFERROR(INDEX(PRODUCTOS!$D$6:$D$105,MATCH($C265,PRODUCTOS!$A$6:$A$105,0)),0))</f>
        <v/>
      </c>
      <c r="G265" s="40"/>
      <c r="H265" s="35" t="str">
        <f aca="false">IF($C265="","",N($E265)*$F265-N($G265))</f>
        <v/>
      </c>
      <c r="I265" s="35" t="str">
        <f aca="false">IF($C265="","",$H265-$H265/(1+IFERROR(INDEX(PRODUCTOS!$E$6:$E$105,MATCH($C265,PRODUCTOS!$A$6:$A$105,0)),IVA_VENTAS)))</f>
        <v/>
      </c>
      <c r="J265" s="35" t="str">
        <f aca="false">IF($C265="","",$H265-$I265)</f>
        <v/>
      </c>
      <c r="K265" s="35" t="str">
        <f aca="false">IF($C265="","",N($E265)*IFERROR(INDEX(PRODUCTOS!$H$6:$H$105,MATCH($C265,PRODUCTOS!$A$6:$A$105,0)),0))</f>
        <v/>
      </c>
      <c r="L265" s="35" t="str">
        <f aca="false">IF($C265="","",$J265-$K265)</f>
        <v/>
      </c>
      <c r="M265" s="6"/>
      <c r="N265" s="6"/>
      <c r="O265" s="46" t="str">
        <f aca="false">IF($A265="","",DATE(YEAR($A265),MONTH($A265),1))</f>
        <v/>
      </c>
    </row>
    <row r="266" customFormat="false" ht="15" hidden="false" customHeight="false" outlineLevel="0" collapsed="false">
      <c r="A266" s="44"/>
      <c r="B266" s="6"/>
      <c r="C266" s="6"/>
      <c r="D266" s="8" t="str">
        <f aca="false">IF($C266="","",IFERROR(INDEX(PRODUCTOS!$B$6:$B$105,MATCH($C266,PRODUCTOS!$A$6:$A$105,0)),"¿Código?"))</f>
        <v/>
      </c>
      <c r="E266" s="42"/>
      <c r="F266" s="35" t="str">
        <f aca="false">IF($C266="","",IFERROR(INDEX(PRODUCTOS!$D$6:$D$105,MATCH($C266,PRODUCTOS!$A$6:$A$105,0)),0))</f>
        <v/>
      </c>
      <c r="G266" s="40"/>
      <c r="H266" s="35" t="str">
        <f aca="false">IF($C266="","",N($E266)*$F266-N($G266))</f>
        <v/>
      </c>
      <c r="I266" s="35" t="str">
        <f aca="false">IF($C266="","",$H266-$H266/(1+IFERROR(INDEX(PRODUCTOS!$E$6:$E$105,MATCH($C266,PRODUCTOS!$A$6:$A$105,0)),IVA_VENTAS)))</f>
        <v/>
      </c>
      <c r="J266" s="35" t="str">
        <f aca="false">IF($C266="","",$H266-$I266)</f>
        <v/>
      </c>
      <c r="K266" s="35" t="str">
        <f aca="false">IF($C266="","",N($E266)*IFERROR(INDEX(PRODUCTOS!$H$6:$H$105,MATCH($C266,PRODUCTOS!$A$6:$A$105,0)),0))</f>
        <v/>
      </c>
      <c r="L266" s="35" t="str">
        <f aca="false">IF($C266="","",$J266-$K266)</f>
        <v/>
      </c>
      <c r="M266" s="6"/>
      <c r="N266" s="6"/>
      <c r="O266" s="46" t="str">
        <f aca="false">IF($A266="","",DATE(YEAR($A266),MONTH($A266),1))</f>
        <v/>
      </c>
    </row>
    <row r="267" customFormat="false" ht="15" hidden="false" customHeight="false" outlineLevel="0" collapsed="false">
      <c r="A267" s="44"/>
      <c r="B267" s="6"/>
      <c r="C267" s="6"/>
      <c r="D267" s="8" t="str">
        <f aca="false">IF($C267="","",IFERROR(INDEX(PRODUCTOS!$B$6:$B$105,MATCH($C267,PRODUCTOS!$A$6:$A$105,0)),"¿Código?"))</f>
        <v/>
      </c>
      <c r="E267" s="42"/>
      <c r="F267" s="35" t="str">
        <f aca="false">IF($C267="","",IFERROR(INDEX(PRODUCTOS!$D$6:$D$105,MATCH($C267,PRODUCTOS!$A$6:$A$105,0)),0))</f>
        <v/>
      </c>
      <c r="G267" s="40"/>
      <c r="H267" s="35" t="str">
        <f aca="false">IF($C267="","",N($E267)*$F267-N($G267))</f>
        <v/>
      </c>
      <c r="I267" s="35" t="str">
        <f aca="false">IF($C267="","",$H267-$H267/(1+IFERROR(INDEX(PRODUCTOS!$E$6:$E$105,MATCH($C267,PRODUCTOS!$A$6:$A$105,0)),IVA_VENTAS)))</f>
        <v/>
      </c>
      <c r="J267" s="35" t="str">
        <f aca="false">IF($C267="","",$H267-$I267)</f>
        <v/>
      </c>
      <c r="K267" s="35" t="str">
        <f aca="false">IF($C267="","",N($E267)*IFERROR(INDEX(PRODUCTOS!$H$6:$H$105,MATCH($C267,PRODUCTOS!$A$6:$A$105,0)),0))</f>
        <v/>
      </c>
      <c r="L267" s="35" t="str">
        <f aca="false">IF($C267="","",$J267-$K267)</f>
        <v/>
      </c>
      <c r="M267" s="6"/>
      <c r="N267" s="6"/>
      <c r="O267" s="46" t="str">
        <f aca="false">IF($A267="","",DATE(YEAR($A267),MONTH($A267),1))</f>
        <v/>
      </c>
    </row>
    <row r="268" customFormat="false" ht="15" hidden="false" customHeight="false" outlineLevel="0" collapsed="false">
      <c r="A268" s="44"/>
      <c r="B268" s="6"/>
      <c r="C268" s="6"/>
      <c r="D268" s="8" t="str">
        <f aca="false">IF($C268="","",IFERROR(INDEX(PRODUCTOS!$B$6:$B$105,MATCH($C268,PRODUCTOS!$A$6:$A$105,0)),"¿Código?"))</f>
        <v/>
      </c>
      <c r="E268" s="42"/>
      <c r="F268" s="35" t="str">
        <f aca="false">IF($C268="","",IFERROR(INDEX(PRODUCTOS!$D$6:$D$105,MATCH($C268,PRODUCTOS!$A$6:$A$105,0)),0))</f>
        <v/>
      </c>
      <c r="G268" s="40"/>
      <c r="H268" s="35" t="str">
        <f aca="false">IF($C268="","",N($E268)*$F268-N($G268))</f>
        <v/>
      </c>
      <c r="I268" s="35" t="str">
        <f aca="false">IF($C268="","",$H268-$H268/(1+IFERROR(INDEX(PRODUCTOS!$E$6:$E$105,MATCH($C268,PRODUCTOS!$A$6:$A$105,0)),IVA_VENTAS)))</f>
        <v/>
      </c>
      <c r="J268" s="35" t="str">
        <f aca="false">IF($C268="","",$H268-$I268)</f>
        <v/>
      </c>
      <c r="K268" s="35" t="str">
        <f aca="false">IF($C268="","",N($E268)*IFERROR(INDEX(PRODUCTOS!$H$6:$H$105,MATCH($C268,PRODUCTOS!$A$6:$A$105,0)),0))</f>
        <v/>
      </c>
      <c r="L268" s="35" t="str">
        <f aca="false">IF($C268="","",$J268-$K268)</f>
        <v/>
      </c>
      <c r="M268" s="6"/>
      <c r="N268" s="6"/>
      <c r="O268" s="46" t="str">
        <f aca="false">IF($A268="","",DATE(YEAR($A268),MONTH($A268),1))</f>
        <v/>
      </c>
    </row>
    <row r="269" customFormat="false" ht="15" hidden="false" customHeight="false" outlineLevel="0" collapsed="false">
      <c r="A269" s="44"/>
      <c r="B269" s="6"/>
      <c r="C269" s="6"/>
      <c r="D269" s="8" t="str">
        <f aca="false">IF($C269="","",IFERROR(INDEX(PRODUCTOS!$B$6:$B$105,MATCH($C269,PRODUCTOS!$A$6:$A$105,0)),"¿Código?"))</f>
        <v/>
      </c>
      <c r="E269" s="42"/>
      <c r="F269" s="35" t="str">
        <f aca="false">IF($C269="","",IFERROR(INDEX(PRODUCTOS!$D$6:$D$105,MATCH($C269,PRODUCTOS!$A$6:$A$105,0)),0))</f>
        <v/>
      </c>
      <c r="G269" s="40"/>
      <c r="H269" s="35" t="str">
        <f aca="false">IF($C269="","",N($E269)*$F269-N($G269))</f>
        <v/>
      </c>
      <c r="I269" s="35" t="str">
        <f aca="false">IF($C269="","",$H269-$H269/(1+IFERROR(INDEX(PRODUCTOS!$E$6:$E$105,MATCH($C269,PRODUCTOS!$A$6:$A$105,0)),IVA_VENTAS)))</f>
        <v/>
      </c>
      <c r="J269" s="35" t="str">
        <f aca="false">IF($C269="","",$H269-$I269)</f>
        <v/>
      </c>
      <c r="K269" s="35" t="str">
        <f aca="false">IF($C269="","",N($E269)*IFERROR(INDEX(PRODUCTOS!$H$6:$H$105,MATCH($C269,PRODUCTOS!$A$6:$A$105,0)),0))</f>
        <v/>
      </c>
      <c r="L269" s="35" t="str">
        <f aca="false">IF($C269="","",$J269-$K269)</f>
        <v/>
      </c>
      <c r="M269" s="6"/>
      <c r="N269" s="6"/>
      <c r="O269" s="46" t="str">
        <f aca="false">IF($A269="","",DATE(YEAR($A269),MONTH($A269),1))</f>
        <v/>
      </c>
    </row>
    <row r="270" customFormat="false" ht="15" hidden="false" customHeight="false" outlineLevel="0" collapsed="false">
      <c r="A270" s="44"/>
      <c r="B270" s="6"/>
      <c r="C270" s="6"/>
      <c r="D270" s="8" t="str">
        <f aca="false">IF($C270="","",IFERROR(INDEX(PRODUCTOS!$B$6:$B$105,MATCH($C270,PRODUCTOS!$A$6:$A$105,0)),"¿Código?"))</f>
        <v/>
      </c>
      <c r="E270" s="42"/>
      <c r="F270" s="35" t="str">
        <f aca="false">IF($C270="","",IFERROR(INDEX(PRODUCTOS!$D$6:$D$105,MATCH($C270,PRODUCTOS!$A$6:$A$105,0)),0))</f>
        <v/>
      </c>
      <c r="G270" s="40"/>
      <c r="H270" s="35" t="str">
        <f aca="false">IF($C270="","",N($E270)*$F270-N($G270))</f>
        <v/>
      </c>
      <c r="I270" s="35" t="str">
        <f aca="false">IF($C270="","",$H270-$H270/(1+IFERROR(INDEX(PRODUCTOS!$E$6:$E$105,MATCH($C270,PRODUCTOS!$A$6:$A$105,0)),IVA_VENTAS)))</f>
        <v/>
      </c>
      <c r="J270" s="35" t="str">
        <f aca="false">IF($C270="","",$H270-$I270)</f>
        <v/>
      </c>
      <c r="K270" s="35" t="str">
        <f aca="false">IF($C270="","",N($E270)*IFERROR(INDEX(PRODUCTOS!$H$6:$H$105,MATCH($C270,PRODUCTOS!$A$6:$A$105,0)),0))</f>
        <v/>
      </c>
      <c r="L270" s="35" t="str">
        <f aca="false">IF($C270="","",$J270-$K270)</f>
        <v/>
      </c>
      <c r="M270" s="6"/>
      <c r="N270" s="6"/>
      <c r="O270" s="46" t="str">
        <f aca="false">IF($A270="","",DATE(YEAR($A270),MONTH($A270),1))</f>
        <v/>
      </c>
    </row>
    <row r="271" customFormat="false" ht="15" hidden="false" customHeight="false" outlineLevel="0" collapsed="false">
      <c r="A271" s="44"/>
      <c r="B271" s="6"/>
      <c r="C271" s="6"/>
      <c r="D271" s="8" t="str">
        <f aca="false">IF($C271="","",IFERROR(INDEX(PRODUCTOS!$B$6:$B$105,MATCH($C271,PRODUCTOS!$A$6:$A$105,0)),"¿Código?"))</f>
        <v/>
      </c>
      <c r="E271" s="42"/>
      <c r="F271" s="35" t="str">
        <f aca="false">IF($C271="","",IFERROR(INDEX(PRODUCTOS!$D$6:$D$105,MATCH($C271,PRODUCTOS!$A$6:$A$105,0)),0))</f>
        <v/>
      </c>
      <c r="G271" s="40"/>
      <c r="H271" s="35" t="str">
        <f aca="false">IF($C271="","",N($E271)*$F271-N($G271))</f>
        <v/>
      </c>
      <c r="I271" s="35" t="str">
        <f aca="false">IF($C271="","",$H271-$H271/(1+IFERROR(INDEX(PRODUCTOS!$E$6:$E$105,MATCH($C271,PRODUCTOS!$A$6:$A$105,0)),IVA_VENTAS)))</f>
        <v/>
      </c>
      <c r="J271" s="35" t="str">
        <f aca="false">IF($C271="","",$H271-$I271)</f>
        <v/>
      </c>
      <c r="K271" s="35" t="str">
        <f aca="false">IF($C271="","",N($E271)*IFERROR(INDEX(PRODUCTOS!$H$6:$H$105,MATCH($C271,PRODUCTOS!$A$6:$A$105,0)),0))</f>
        <v/>
      </c>
      <c r="L271" s="35" t="str">
        <f aca="false">IF($C271="","",$J271-$K271)</f>
        <v/>
      </c>
      <c r="M271" s="6"/>
      <c r="N271" s="6"/>
      <c r="O271" s="46" t="str">
        <f aca="false">IF($A271="","",DATE(YEAR($A271),MONTH($A271),1))</f>
        <v/>
      </c>
    </row>
    <row r="272" customFormat="false" ht="15" hidden="false" customHeight="false" outlineLevel="0" collapsed="false">
      <c r="A272" s="44"/>
      <c r="B272" s="6"/>
      <c r="C272" s="6"/>
      <c r="D272" s="8" t="str">
        <f aca="false">IF($C272="","",IFERROR(INDEX(PRODUCTOS!$B$6:$B$105,MATCH($C272,PRODUCTOS!$A$6:$A$105,0)),"¿Código?"))</f>
        <v/>
      </c>
      <c r="E272" s="42"/>
      <c r="F272" s="35" t="str">
        <f aca="false">IF($C272="","",IFERROR(INDEX(PRODUCTOS!$D$6:$D$105,MATCH($C272,PRODUCTOS!$A$6:$A$105,0)),0))</f>
        <v/>
      </c>
      <c r="G272" s="40"/>
      <c r="H272" s="35" t="str">
        <f aca="false">IF($C272="","",N($E272)*$F272-N($G272))</f>
        <v/>
      </c>
      <c r="I272" s="35" t="str">
        <f aca="false">IF($C272="","",$H272-$H272/(1+IFERROR(INDEX(PRODUCTOS!$E$6:$E$105,MATCH($C272,PRODUCTOS!$A$6:$A$105,0)),IVA_VENTAS)))</f>
        <v/>
      </c>
      <c r="J272" s="35" t="str">
        <f aca="false">IF($C272="","",$H272-$I272)</f>
        <v/>
      </c>
      <c r="K272" s="35" t="str">
        <f aca="false">IF($C272="","",N($E272)*IFERROR(INDEX(PRODUCTOS!$H$6:$H$105,MATCH($C272,PRODUCTOS!$A$6:$A$105,0)),0))</f>
        <v/>
      </c>
      <c r="L272" s="35" t="str">
        <f aca="false">IF($C272="","",$J272-$K272)</f>
        <v/>
      </c>
      <c r="M272" s="6"/>
      <c r="N272" s="6"/>
      <c r="O272" s="46" t="str">
        <f aca="false">IF($A272="","",DATE(YEAR($A272),MONTH($A272),1))</f>
        <v/>
      </c>
    </row>
    <row r="273" customFormat="false" ht="15" hidden="false" customHeight="false" outlineLevel="0" collapsed="false">
      <c r="A273" s="44"/>
      <c r="B273" s="6"/>
      <c r="C273" s="6"/>
      <c r="D273" s="8" t="str">
        <f aca="false">IF($C273="","",IFERROR(INDEX(PRODUCTOS!$B$6:$B$105,MATCH($C273,PRODUCTOS!$A$6:$A$105,0)),"¿Código?"))</f>
        <v/>
      </c>
      <c r="E273" s="42"/>
      <c r="F273" s="35" t="str">
        <f aca="false">IF($C273="","",IFERROR(INDEX(PRODUCTOS!$D$6:$D$105,MATCH($C273,PRODUCTOS!$A$6:$A$105,0)),0))</f>
        <v/>
      </c>
      <c r="G273" s="40"/>
      <c r="H273" s="35" t="str">
        <f aca="false">IF($C273="","",N($E273)*$F273-N($G273))</f>
        <v/>
      </c>
      <c r="I273" s="35" t="str">
        <f aca="false">IF($C273="","",$H273-$H273/(1+IFERROR(INDEX(PRODUCTOS!$E$6:$E$105,MATCH($C273,PRODUCTOS!$A$6:$A$105,0)),IVA_VENTAS)))</f>
        <v/>
      </c>
      <c r="J273" s="35" t="str">
        <f aca="false">IF($C273="","",$H273-$I273)</f>
        <v/>
      </c>
      <c r="K273" s="35" t="str">
        <f aca="false">IF($C273="","",N($E273)*IFERROR(INDEX(PRODUCTOS!$H$6:$H$105,MATCH($C273,PRODUCTOS!$A$6:$A$105,0)),0))</f>
        <v/>
      </c>
      <c r="L273" s="35" t="str">
        <f aca="false">IF($C273="","",$J273-$K273)</f>
        <v/>
      </c>
      <c r="M273" s="6"/>
      <c r="N273" s="6"/>
      <c r="O273" s="46" t="str">
        <f aca="false">IF($A273="","",DATE(YEAR($A273),MONTH($A273),1))</f>
        <v/>
      </c>
    </row>
    <row r="274" customFormat="false" ht="15" hidden="false" customHeight="false" outlineLevel="0" collapsed="false">
      <c r="A274" s="44"/>
      <c r="B274" s="6"/>
      <c r="C274" s="6"/>
      <c r="D274" s="8" t="str">
        <f aca="false">IF($C274="","",IFERROR(INDEX(PRODUCTOS!$B$6:$B$105,MATCH($C274,PRODUCTOS!$A$6:$A$105,0)),"¿Código?"))</f>
        <v/>
      </c>
      <c r="E274" s="42"/>
      <c r="F274" s="35" t="str">
        <f aca="false">IF($C274="","",IFERROR(INDEX(PRODUCTOS!$D$6:$D$105,MATCH($C274,PRODUCTOS!$A$6:$A$105,0)),0))</f>
        <v/>
      </c>
      <c r="G274" s="40"/>
      <c r="H274" s="35" t="str">
        <f aca="false">IF($C274="","",N($E274)*$F274-N($G274))</f>
        <v/>
      </c>
      <c r="I274" s="35" t="str">
        <f aca="false">IF($C274="","",$H274-$H274/(1+IFERROR(INDEX(PRODUCTOS!$E$6:$E$105,MATCH($C274,PRODUCTOS!$A$6:$A$105,0)),IVA_VENTAS)))</f>
        <v/>
      </c>
      <c r="J274" s="35" t="str">
        <f aca="false">IF($C274="","",$H274-$I274)</f>
        <v/>
      </c>
      <c r="K274" s="35" t="str">
        <f aca="false">IF($C274="","",N($E274)*IFERROR(INDEX(PRODUCTOS!$H$6:$H$105,MATCH($C274,PRODUCTOS!$A$6:$A$105,0)),0))</f>
        <v/>
      </c>
      <c r="L274" s="35" t="str">
        <f aca="false">IF($C274="","",$J274-$K274)</f>
        <v/>
      </c>
      <c r="M274" s="6"/>
      <c r="N274" s="6"/>
      <c r="O274" s="46" t="str">
        <f aca="false">IF($A274="","",DATE(YEAR($A274),MONTH($A274),1))</f>
        <v/>
      </c>
    </row>
    <row r="275" customFormat="false" ht="15" hidden="false" customHeight="false" outlineLevel="0" collapsed="false">
      <c r="A275" s="44"/>
      <c r="B275" s="6"/>
      <c r="C275" s="6"/>
      <c r="D275" s="8" t="str">
        <f aca="false">IF($C275="","",IFERROR(INDEX(PRODUCTOS!$B$6:$B$105,MATCH($C275,PRODUCTOS!$A$6:$A$105,0)),"¿Código?"))</f>
        <v/>
      </c>
      <c r="E275" s="42"/>
      <c r="F275" s="35" t="str">
        <f aca="false">IF($C275="","",IFERROR(INDEX(PRODUCTOS!$D$6:$D$105,MATCH($C275,PRODUCTOS!$A$6:$A$105,0)),0))</f>
        <v/>
      </c>
      <c r="G275" s="40"/>
      <c r="H275" s="35" t="str">
        <f aca="false">IF($C275="","",N($E275)*$F275-N($G275))</f>
        <v/>
      </c>
      <c r="I275" s="35" t="str">
        <f aca="false">IF($C275="","",$H275-$H275/(1+IFERROR(INDEX(PRODUCTOS!$E$6:$E$105,MATCH($C275,PRODUCTOS!$A$6:$A$105,0)),IVA_VENTAS)))</f>
        <v/>
      </c>
      <c r="J275" s="35" t="str">
        <f aca="false">IF($C275="","",$H275-$I275)</f>
        <v/>
      </c>
      <c r="K275" s="35" t="str">
        <f aca="false">IF($C275="","",N($E275)*IFERROR(INDEX(PRODUCTOS!$H$6:$H$105,MATCH($C275,PRODUCTOS!$A$6:$A$105,0)),0))</f>
        <v/>
      </c>
      <c r="L275" s="35" t="str">
        <f aca="false">IF($C275="","",$J275-$K275)</f>
        <v/>
      </c>
      <c r="M275" s="6"/>
      <c r="N275" s="6"/>
      <c r="O275" s="46" t="str">
        <f aca="false">IF($A275="","",DATE(YEAR($A275),MONTH($A275),1))</f>
        <v/>
      </c>
    </row>
    <row r="276" customFormat="false" ht="15" hidden="false" customHeight="false" outlineLevel="0" collapsed="false">
      <c r="A276" s="44"/>
      <c r="B276" s="6"/>
      <c r="C276" s="6"/>
      <c r="D276" s="8" t="str">
        <f aca="false">IF($C276="","",IFERROR(INDEX(PRODUCTOS!$B$6:$B$105,MATCH($C276,PRODUCTOS!$A$6:$A$105,0)),"¿Código?"))</f>
        <v/>
      </c>
      <c r="E276" s="42"/>
      <c r="F276" s="35" t="str">
        <f aca="false">IF($C276="","",IFERROR(INDEX(PRODUCTOS!$D$6:$D$105,MATCH($C276,PRODUCTOS!$A$6:$A$105,0)),0))</f>
        <v/>
      </c>
      <c r="G276" s="40"/>
      <c r="H276" s="35" t="str">
        <f aca="false">IF($C276="","",N($E276)*$F276-N($G276))</f>
        <v/>
      </c>
      <c r="I276" s="35" t="str">
        <f aca="false">IF($C276="","",$H276-$H276/(1+IFERROR(INDEX(PRODUCTOS!$E$6:$E$105,MATCH($C276,PRODUCTOS!$A$6:$A$105,0)),IVA_VENTAS)))</f>
        <v/>
      </c>
      <c r="J276" s="35" t="str">
        <f aca="false">IF($C276="","",$H276-$I276)</f>
        <v/>
      </c>
      <c r="K276" s="35" t="str">
        <f aca="false">IF($C276="","",N($E276)*IFERROR(INDEX(PRODUCTOS!$H$6:$H$105,MATCH($C276,PRODUCTOS!$A$6:$A$105,0)),0))</f>
        <v/>
      </c>
      <c r="L276" s="35" t="str">
        <f aca="false">IF($C276="","",$J276-$K276)</f>
        <v/>
      </c>
      <c r="M276" s="6"/>
      <c r="N276" s="6"/>
      <c r="O276" s="46" t="str">
        <f aca="false">IF($A276="","",DATE(YEAR($A276),MONTH($A276),1))</f>
        <v/>
      </c>
    </row>
    <row r="277" customFormat="false" ht="15" hidden="false" customHeight="false" outlineLevel="0" collapsed="false">
      <c r="A277" s="44"/>
      <c r="B277" s="6"/>
      <c r="C277" s="6"/>
      <c r="D277" s="8" t="str">
        <f aca="false">IF($C277="","",IFERROR(INDEX(PRODUCTOS!$B$6:$B$105,MATCH($C277,PRODUCTOS!$A$6:$A$105,0)),"¿Código?"))</f>
        <v/>
      </c>
      <c r="E277" s="42"/>
      <c r="F277" s="35" t="str">
        <f aca="false">IF($C277="","",IFERROR(INDEX(PRODUCTOS!$D$6:$D$105,MATCH($C277,PRODUCTOS!$A$6:$A$105,0)),0))</f>
        <v/>
      </c>
      <c r="G277" s="40"/>
      <c r="H277" s="35" t="str">
        <f aca="false">IF($C277="","",N($E277)*$F277-N($G277))</f>
        <v/>
      </c>
      <c r="I277" s="35" t="str">
        <f aca="false">IF($C277="","",$H277-$H277/(1+IFERROR(INDEX(PRODUCTOS!$E$6:$E$105,MATCH($C277,PRODUCTOS!$A$6:$A$105,0)),IVA_VENTAS)))</f>
        <v/>
      </c>
      <c r="J277" s="35" t="str">
        <f aca="false">IF($C277="","",$H277-$I277)</f>
        <v/>
      </c>
      <c r="K277" s="35" t="str">
        <f aca="false">IF($C277="","",N($E277)*IFERROR(INDEX(PRODUCTOS!$H$6:$H$105,MATCH($C277,PRODUCTOS!$A$6:$A$105,0)),0))</f>
        <v/>
      </c>
      <c r="L277" s="35" t="str">
        <f aca="false">IF($C277="","",$J277-$K277)</f>
        <v/>
      </c>
      <c r="M277" s="6"/>
      <c r="N277" s="6"/>
      <c r="O277" s="46" t="str">
        <f aca="false">IF($A277="","",DATE(YEAR($A277),MONTH($A277),1))</f>
        <v/>
      </c>
    </row>
    <row r="278" customFormat="false" ht="15" hidden="false" customHeight="false" outlineLevel="0" collapsed="false">
      <c r="A278" s="44"/>
      <c r="B278" s="6"/>
      <c r="C278" s="6"/>
      <c r="D278" s="8" t="str">
        <f aca="false">IF($C278="","",IFERROR(INDEX(PRODUCTOS!$B$6:$B$105,MATCH($C278,PRODUCTOS!$A$6:$A$105,0)),"¿Código?"))</f>
        <v/>
      </c>
      <c r="E278" s="42"/>
      <c r="F278" s="35" t="str">
        <f aca="false">IF($C278="","",IFERROR(INDEX(PRODUCTOS!$D$6:$D$105,MATCH($C278,PRODUCTOS!$A$6:$A$105,0)),0))</f>
        <v/>
      </c>
      <c r="G278" s="40"/>
      <c r="H278" s="35" t="str">
        <f aca="false">IF($C278="","",N($E278)*$F278-N($G278))</f>
        <v/>
      </c>
      <c r="I278" s="35" t="str">
        <f aca="false">IF($C278="","",$H278-$H278/(1+IFERROR(INDEX(PRODUCTOS!$E$6:$E$105,MATCH($C278,PRODUCTOS!$A$6:$A$105,0)),IVA_VENTAS)))</f>
        <v/>
      </c>
      <c r="J278" s="35" t="str">
        <f aca="false">IF($C278="","",$H278-$I278)</f>
        <v/>
      </c>
      <c r="K278" s="35" t="str">
        <f aca="false">IF($C278="","",N($E278)*IFERROR(INDEX(PRODUCTOS!$H$6:$H$105,MATCH($C278,PRODUCTOS!$A$6:$A$105,0)),0))</f>
        <v/>
      </c>
      <c r="L278" s="35" t="str">
        <f aca="false">IF($C278="","",$J278-$K278)</f>
        <v/>
      </c>
      <c r="M278" s="6"/>
      <c r="N278" s="6"/>
      <c r="O278" s="46" t="str">
        <f aca="false">IF($A278="","",DATE(YEAR($A278),MONTH($A278),1))</f>
        <v/>
      </c>
    </row>
    <row r="279" customFormat="false" ht="15" hidden="false" customHeight="false" outlineLevel="0" collapsed="false">
      <c r="A279" s="44"/>
      <c r="B279" s="6"/>
      <c r="C279" s="6"/>
      <c r="D279" s="8" t="str">
        <f aca="false">IF($C279="","",IFERROR(INDEX(PRODUCTOS!$B$6:$B$105,MATCH($C279,PRODUCTOS!$A$6:$A$105,0)),"¿Código?"))</f>
        <v/>
      </c>
      <c r="E279" s="42"/>
      <c r="F279" s="35" t="str">
        <f aca="false">IF($C279="","",IFERROR(INDEX(PRODUCTOS!$D$6:$D$105,MATCH($C279,PRODUCTOS!$A$6:$A$105,0)),0))</f>
        <v/>
      </c>
      <c r="G279" s="40"/>
      <c r="H279" s="35" t="str">
        <f aca="false">IF($C279="","",N($E279)*$F279-N($G279))</f>
        <v/>
      </c>
      <c r="I279" s="35" t="str">
        <f aca="false">IF($C279="","",$H279-$H279/(1+IFERROR(INDEX(PRODUCTOS!$E$6:$E$105,MATCH($C279,PRODUCTOS!$A$6:$A$105,0)),IVA_VENTAS)))</f>
        <v/>
      </c>
      <c r="J279" s="35" t="str">
        <f aca="false">IF($C279="","",$H279-$I279)</f>
        <v/>
      </c>
      <c r="K279" s="35" t="str">
        <f aca="false">IF($C279="","",N($E279)*IFERROR(INDEX(PRODUCTOS!$H$6:$H$105,MATCH($C279,PRODUCTOS!$A$6:$A$105,0)),0))</f>
        <v/>
      </c>
      <c r="L279" s="35" t="str">
        <f aca="false">IF($C279="","",$J279-$K279)</f>
        <v/>
      </c>
      <c r="M279" s="6"/>
      <c r="N279" s="6"/>
      <c r="O279" s="46" t="str">
        <f aca="false">IF($A279="","",DATE(YEAR($A279),MONTH($A279),1))</f>
        <v/>
      </c>
    </row>
    <row r="280" customFormat="false" ht="15" hidden="false" customHeight="false" outlineLevel="0" collapsed="false">
      <c r="A280" s="44"/>
      <c r="B280" s="6"/>
      <c r="C280" s="6"/>
      <c r="D280" s="8" t="str">
        <f aca="false">IF($C280="","",IFERROR(INDEX(PRODUCTOS!$B$6:$B$105,MATCH($C280,PRODUCTOS!$A$6:$A$105,0)),"¿Código?"))</f>
        <v/>
      </c>
      <c r="E280" s="42"/>
      <c r="F280" s="35" t="str">
        <f aca="false">IF($C280="","",IFERROR(INDEX(PRODUCTOS!$D$6:$D$105,MATCH($C280,PRODUCTOS!$A$6:$A$105,0)),0))</f>
        <v/>
      </c>
      <c r="G280" s="40"/>
      <c r="H280" s="35" t="str">
        <f aca="false">IF($C280="","",N($E280)*$F280-N($G280))</f>
        <v/>
      </c>
      <c r="I280" s="35" t="str">
        <f aca="false">IF($C280="","",$H280-$H280/(1+IFERROR(INDEX(PRODUCTOS!$E$6:$E$105,MATCH($C280,PRODUCTOS!$A$6:$A$105,0)),IVA_VENTAS)))</f>
        <v/>
      </c>
      <c r="J280" s="35" t="str">
        <f aca="false">IF($C280="","",$H280-$I280)</f>
        <v/>
      </c>
      <c r="K280" s="35" t="str">
        <f aca="false">IF($C280="","",N($E280)*IFERROR(INDEX(PRODUCTOS!$H$6:$H$105,MATCH($C280,PRODUCTOS!$A$6:$A$105,0)),0))</f>
        <v/>
      </c>
      <c r="L280" s="35" t="str">
        <f aca="false">IF($C280="","",$J280-$K280)</f>
        <v/>
      </c>
      <c r="M280" s="6"/>
      <c r="N280" s="6"/>
      <c r="O280" s="46" t="str">
        <f aca="false">IF($A280="","",DATE(YEAR($A280),MONTH($A280),1))</f>
        <v/>
      </c>
    </row>
    <row r="281" customFormat="false" ht="15" hidden="false" customHeight="false" outlineLevel="0" collapsed="false">
      <c r="A281" s="44"/>
      <c r="B281" s="6"/>
      <c r="C281" s="6"/>
      <c r="D281" s="8" t="str">
        <f aca="false">IF($C281="","",IFERROR(INDEX(PRODUCTOS!$B$6:$B$105,MATCH($C281,PRODUCTOS!$A$6:$A$105,0)),"¿Código?"))</f>
        <v/>
      </c>
      <c r="E281" s="42"/>
      <c r="F281" s="35" t="str">
        <f aca="false">IF($C281="","",IFERROR(INDEX(PRODUCTOS!$D$6:$D$105,MATCH($C281,PRODUCTOS!$A$6:$A$105,0)),0))</f>
        <v/>
      </c>
      <c r="G281" s="40"/>
      <c r="H281" s="35" t="str">
        <f aca="false">IF($C281="","",N($E281)*$F281-N($G281))</f>
        <v/>
      </c>
      <c r="I281" s="35" t="str">
        <f aca="false">IF($C281="","",$H281-$H281/(1+IFERROR(INDEX(PRODUCTOS!$E$6:$E$105,MATCH($C281,PRODUCTOS!$A$6:$A$105,0)),IVA_VENTAS)))</f>
        <v/>
      </c>
      <c r="J281" s="35" t="str">
        <f aca="false">IF($C281="","",$H281-$I281)</f>
        <v/>
      </c>
      <c r="K281" s="35" t="str">
        <f aca="false">IF($C281="","",N($E281)*IFERROR(INDEX(PRODUCTOS!$H$6:$H$105,MATCH($C281,PRODUCTOS!$A$6:$A$105,0)),0))</f>
        <v/>
      </c>
      <c r="L281" s="35" t="str">
        <f aca="false">IF($C281="","",$J281-$K281)</f>
        <v/>
      </c>
      <c r="M281" s="6"/>
      <c r="N281" s="6"/>
      <c r="O281" s="46" t="str">
        <f aca="false">IF($A281="","",DATE(YEAR($A281),MONTH($A281),1))</f>
        <v/>
      </c>
    </row>
    <row r="282" customFormat="false" ht="15" hidden="false" customHeight="false" outlineLevel="0" collapsed="false">
      <c r="A282" s="44"/>
      <c r="B282" s="6"/>
      <c r="C282" s="6"/>
      <c r="D282" s="8" t="str">
        <f aca="false">IF($C282="","",IFERROR(INDEX(PRODUCTOS!$B$6:$B$105,MATCH($C282,PRODUCTOS!$A$6:$A$105,0)),"¿Código?"))</f>
        <v/>
      </c>
      <c r="E282" s="42"/>
      <c r="F282" s="35" t="str">
        <f aca="false">IF($C282="","",IFERROR(INDEX(PRODUCTOS!$D$6:$D$105,MATCH($C282,PRODUCTOS!$A$6:$A$105,0)),0))</f>
        <v/>
      </c>
      <c r="G282" s="40"/>
      <c r="H282" s="35" t="str">
        <f aca="false">IF($C282="","",N($E282)*$F282-N($G282))</f>
        <v/>
      </c>
      <c r="I282" s="35" t="str">
        <f aca="false">IF($C282="","",$H282-$H282/(1+IFERROR(INDEX(PRODUCTOS!$E$6:$E$105,MATCH($C282,PRODUCTOS!$A$6:$A$105,0)),IVA_VENTAS)))</f>
        <v/>
      </c>
      <c r="J282" s="35" t="str">
        <f aca="false">IF($C282="","",$H282-$I282)</f>
        <v/>
      </c>
      <c r="K282" s="35" t="str">
        <f aca="false">IF($C282="","",N($E282)*IFERROR(INDEX(PRODUCTOS!$H$6:$H$105,MATCH($C282,PRODUCTOS!$A$6:$A$105,0)),0))</f>
        <v/>
      </c>
      <c r="L282" s="35" t="str">
        <f aca="false">IF($C282="","",$J282-$K282)</f>
        <v/>
      </c>
      <c r="M282" s="6"/>
      <c r="N282" s="6"/>
      <c r="O282" s="46" t="str">
        <f aca="false">IF($A282="","",DATE(YEAR($A282),MONTH($A282),1))</f>
        <v/>
      </c>
    </row>
    <row r="283" customFormat="false" ht="15" hidden="false" customHeight="false" outlineLevel="0" collapsed="false">
      <c r="A283" s="44"/>
      <c r="B283" s="6"/>
      <c r="C283" s="6"/>
      <c r="D283" s="8" t="str">
        <f aca="false">IF($C283="","",IFERROR(INDEX(PRODUCTOS!$B$6:$B$105,MATCH($C283,PRODUCTOS!$A$6:$A$105,0)),"¿Código?"))</f>
        <v/>
      </c>
      <c r="E283" s="42"/>
      <c r="F283" s="35" t="str">
        <f aca="false">IF($C283="","",IFERROR(INDEX(PRODUCTOS!$D$6:$D$105,MATCH($C283,PRODUCTOS!$A$6:$A$105,0)),0))</f>
        <v/>
      </c>
      <c r="G283" s="40"/>
      <c r="H283" s="35" t="str">
        <f aca="false">IF($C283="","",N($E283)*$F283-N($G283))</f>
        <v/>
      </c>
      <c r="I283" s="35" t="str">
        <f aca="false">IF($C283="","",$H283-$H283/(1+IFERROR(INDEX(PRODUCTOS!$E$6:$E$105,MATCH($C283,PRODUCTOS!$A$6:$A$105,0)),IVA_VENTAS)))</f>
        <v/>
      </c>
      <c r="J283" s="35" t="str">
        <f aca="false">IF($C283="","",$H283-$I283)</f>
        <v/>
      </c>
      <c r="K283" s="35" t="str">
        <f aca="false">IF($C283="","",N($E283)*IFERROR(INDEX(PRODUCTOS!$H$6:$H$105,MATCH($C283,PRODUCTOS!$A$6:$A$105,0)),0))</f>
        <v/>
      </c>
      <c r="L283" s="35" t="str">
        <f aca="false">IF($C283="","",$J283-$K283)</f>
        <v/>
      </c>
      <c r="M283" s="6"/>
      <c r="N283" s="6"/>
      <c r="O283" s="46" t="str">
        <f aca="false">IF($A283="","",DATE(YEAR($A283),MONTH($A283),1))</f>
        <v/>
      </c>
    </row>
    <row r="284" customFormat="false" ht="15" hidden="false" customHeight="false" outlineLevel="0" collapsed="false">
      <c r="A284" s="44"/>
      <c r="B284" s="6"/>
      <c r="C284" s="6"/>
      <c r="D284" s="8" t="str">
        <f aca="false">IF($C284="","",IFERROR(INDEX(PRODUCTOS!$B$6:$B$105,MATCH($C284,PRODUCTOS!$A$6:$A$105,0)),"¿Código?"))</f>
        <v/>
      </c>
      <c r="E284" s="42"/>
      <c r="F284" s="35" t="str">
        <f aca="false">IF($C284="","",IFERROR(INDEX(PRODUCTOS!$D$6:$D$105,MATCH($C284,PRODUCTOS!$A$6:$A$105,0)),0))</f>
        <v/>
      </c>
      <c r="G284" s="40"/>
      <c r="H284" s="35" t="str">
        <f aca="false">IF($C284="","",N($E284)*$F284-N($G284))</f>
        <v/>
      </c>
      <c r="I284" s="35" t="str">
        <f aca="false">IF($C284="","",$H284-$H284/(1+IFERROR(INDEX(PRODUCTOS!$E$6:$E$105,MATCH($C284,PRODUCTOS!$A$6:$A$105,0)),IVA_VENTAS)))</f>
        <v/>
      </c>
      <c r="J284" s="35" t="str">
        <f aca="false">IF($C284="","",$H284-$I284)</f>
        <v/>
      </c>
      <c r="K284" s="35" t="str">
        <f aca="false">IF($C284="","",N($E284)*IFERROR(INDEX(PRODUCTOS!$H$6:$H$105,MATCH($C284,PRODUCTOS!$A$6:$A$105,0)),0))</f>
        <v/>
      </c>
      <c r="L284" s="35" t="str">
        <f aca="false">IF($C284="","",$J284-$K284)</f>
        <v/>
      </c>
      <c r="M284" s="6"/>
      <c r="N284" s="6"/>
      <c r="O284" s="46" t="str">
        <f aca="false">IF($A284="","",DATE(YEAR($A284),MONTH($A284),1))</f>
        <v/>
      </c>
    </row>
    <row r="285" customFormat="false" ht="15" hidden="false" customHeight="false" outlineLevel="0" collapsed="false">
      <c r="A285" s="44"/>
      <c r="B285" s="6"/>
      <c r="C285" s="6"/>
      <c r="D285" s="8" t="str">
        <f aca="false">IF($C285="","",IFERROR(INDEX(PRODUCTOS!$B$6:$B$105,MATCH($C285,PRODUCTOS!$A$6:$A$105,0)),"¿Código?"))</f>
        <v/>
      </c>
      <c r="E285" s="42"/>
      <c r="F285" s="35" t="str">
        <f aca="false">IF($C285="","",IFERROR(INDEX(PRODUCTOS!$D$6:$D$105,MATCH($C285,PRODUCTOS!$A$6:$A$105,0)),0))</f>
        <v/>
      </c>
      <c r="G285" s="40"/>
      <c r="H285" s="35" t="str">
        <f aca="false">IF($C285="","",N($E285)*$F285-N($G285))</f>
        <v/>
      </c>
      <c r="I285" s="35" t="str">
        <f aca="false">IF($C285="","",$H285-$H285/(1+IFERROR(INDEX(PRODUCTOS!$E$6:$E$105,MATCH($C285,PRODUCTOS!$A$6:$A$105,0)),IVA_VENTAS)))</f>
        <v/>
      </c>
      <c r="J285" s="35" t="str">
        <f aca="false">IF($C285="","",$H285-$I285)</f>
        <v/>
      </c>
      <c r="K285" s="35" t="str">
        <f aca="false">IF($C285="","",N($E285)*IFERROR(INDEX(PRODUCTOS!$H$6:$H$105,MATCH($C285,PRODUCTOS!$A$6:$A$105,0)),0))</f>
        <v/>
      </c>
      <c r="L285" s="35" t="str">
        <f aca="false">IF($C285="","",$J285-$K285)</f>
        <v/>
      </c>
      <c r="M285" s="6"/>
      <c r="N285" s="6"/>
      <c r="O285" s="46" t="str">
        <f aca="false">IF($A285="","",DATE(YEAR($A285),MONTH($A285),1))</f>
        <v/>
      </c>
    </row>
    <row r="286" customFormat="false" ht="15" hidden="false" customHeight="false" outlineLevel="0" collapsed="false">
      <c r="A286" s="44"/>
      <c r="B286" s="6"/>
      <c r="C286" s="6"/>
      <c r="D286" s="8" t="str">
        <f aca="false">IF($C286="","",IFERROR(INDEX(PRODUCTOS!$B$6:$B$105,MATCH($C286,PRODUCTOS!$A$6:$A$105,0)),"¿Código?"))</f>
        <v/>
      </c>
      <c r="E286" s="42"/>
      <c r="F286" s="35" t="str">
        <f aca="false">IF($C286="","",IFERROR(INDEX(PRODUCTOS!$D$6:$D$105,MATCH($C286,PRODUCTOS!$A$6:$A$105,0)),0))</f>
        <v/>
      </c>
      <c r="G286" s="40"/>
      <c r="H286" s="35" t="str">
        <f aca="false">IF($C286="","",N($E286)*$F286-N($G286))</f>
        <v/>
      </c>
      <c r="I286" s="35" t="str">
        <f aca="false">IF($C286="","",$H286-$H286/(1+IFERROR(INDEX(PRODUCTOS!$E$6:$E$105,MATCH($C286,PRODUCTOS!$A$6:$A$105,0)),IVA_VENTAS)))</f>
        <v/>
      </c>
      <c r="J286" s="35" t="str">
        <f aca="false">IF($C286="","",$H286-$I286)</f>
        <v/>
      </c>
      <c r="K286" s="35" t="str">
        <f aca="false">IF($C286="","",N($E286)*IFERROR(INDEX(PRODUCTOS!$H$6:$H$105,MATCH($C286,PRODUCTOS!$A$6:$A$105,0)),0))</f>
        <v/>
      </c>
      <c r="L286" s="35" t="str">
        <f aca="false">IF($C286="","",$J286-$K286)</f>
        <v/>
      </c>
      <c r="M286" s="6"/>
      <c r="N286" s="6"/>
      <c r="O286" s="46" t="str">
        <f aca="false">IF($A286="","",DATE(YEAR($A286),MONTH($A286),1))</f>
        <v/>
      </c>
    </row>
    <row r="287" customFormat="false" ht="15" hidden="false" customHeight="false" outlineLevel="0" collapsed="false">
      <c r="A287" s="44"/>
      <c r="B287" s="6"/>
      <c r="C287" s="6"/>
      <c r="D287" s="8" t="str">
        <f aca="false">IF($C287="","",IFERROR(INDEX(PRODUCTOS!$B$6:$B$105,MATCH($C287,PRODUCTOS!$A$6:$A$105,0)),"¿Código?"))</f>
        <v/>
      </c>
      <c r="E287" s="42"/>
      <c r="F287" s="35" t="str">
        <f aca="false">IF($C287="","",IFERROR(INDEX(PRODUCTOS!$D$6:$D$105,MATCH($C287,PRODUCTOS!$A$6:$A$105,0)),0))</f>
        <v/>
      </c>
      <c r="G287" s="40"/>
      <c r="H287" s="35" t="str">
        <f aca="false">IF($C287="","",N($E287)*$F287-N($G287))</f>
        <v/>
      </c>
      <c r="I287" s="35" t="str">
        <f aca="false">IF($C287="","",$H287-$H287/(1+IFERROR(INDEX(PRODUCTOS!$E$6:$E$105,MATCH($C287,PRODUCTOS!$A$6:$A$105,0)),IVA_VENTAS)))</f>
        <v/>
      </c>
      <c r="J287" s="35" t="str">
        <f aca="false">IF($C287="","",$H287-$I287)</f>
        <v/>
      </c>
      <c r="K287" s="35" t="str">
        <f aca="false">IF($C287="","",N($E287)*IFERROR(INDEX(PRODUCTOS!$H$6:$H$105,MATCH($C287,PRODUCTOS!$A$6:$A$105,0)),0))</f>
        <v/>
      </c>
      <c r="L287" s="35" t="str">
        <f aca="false">IF($C287="","",$J287-$K287)</f>
        <v/>
      </c>
      <c r="M287" s="6"/>
      <c r="N287" s="6"/>
      <c r="O287" s="46" t="str">
        <f aca="false">IF($A287="","",DATE(YEAR($A287),MONTH($A287),1))</f>
        <v/>
      </c>
    </row>
    <row r="288" customFormat="false" ht="15" hidden="false" customHeight="false" outlineLevel="0" collapsed="false">
      <c r="A288" s="44"/>
      <c r="B288" s="6"/>
      <c r="C288" s="6"/>
      <c r="D288" s="8" t="str">
        <f aca="false">IF($C288="","",IFERROR(INDEX(PRODUCTOS!$B$6:$B$105,MATCH($C288,PRODUCTOS!$A$6:$A$105,0)),"¿Código?"))</f>
        <v/>
      </c>
      <c r="E288" s="42"/>
      <c r="F288" s="35" t="str">
        <f aca="false">IF($C288="","",IFERROR(INDEX(PRODUCTOS!$D$6:$D$105,MATCH($C288,PRODUCTOS!$A$6:$A$105,0)),0))</f>
        <v/>
      </c>
      <c r="G288" s="40"/>
      <c r="H288" s="35" t="str">
        <f aca="false">IF($C288="","",N($E288)*$F288-N($G288))</f>
        <v/>
      </c>
      <c r="I288" s="35" t="str">
        <f aca="false">IF($C288="","",$H288-$H288/(1+IFERROR(INDEX(PRODUCTOS!$E$6:$E$105,MATCH($C288,PRODUCTOS!$A$6:$A$105,0)),IVA_VENTAS)))</f>
        <v/>
      </c>
      <c r="J288" s="35" t="str">
        <f aca="false">IF($C288="","",$H288-$I288)</f>
        <v/>
      </c>
      <c r="K288" s="35" t="str">
        <f aca="false">IF($C288="","",N($E288)*IFERROR(INDEX(PRODUCTOS!$H$6:$H$105,MATCH($C288,PRODUCTOS!$A$6:$A$105,0)),0))</f>
        <v/>
      </c>
      <c r="L288" s="35" t="str">
        <f aca="false">IF($C288="","",$J288-$K288)</f>
        <v/>
      </c>
      <c r="M288" s="6"/>
      <c r="N288" s="6"/>
      <c r="O288" s="46" t="str">
        <f aca="false">IF($A288="","",DATE(YEAR($A288),MONTH($A288),1))</f>
        <v/>
      </c>
    </row>
    <row r="289" customFormat="false" ht="15" hidden="false" customHeight="false" outlineLevel="0" collapsed="false">
      <c r="A289" s="44"/>
      <c r="B289" s="6"/>
      <c r="C289" s="6"/>
      <c r="D289" s="8" t="str">
        <f aca="false">IF($C289="","",IFERROR(INDEX(PRODUCTOS!$B$6:$B$105,MATCH($C289,PRODUCTOS!$A$6:$A$105,0)),"¿Código?"))</f>
        <v/>
      </c>
      <c r="E289" s="42"/>
      <c r="F289" s="35" t="str">
        <f aca="false">IF($C289="","",IFERROR(INDEX(PRODUCTOS!$D$6:$D$105,MATCH($C289,PRODUCTOS!$A$6:$A$105,0)),0))</f>
        <v/>
      </c>
      <c r="G289" s="40"/>
      <c r="H289" s="35" t="str">
        <f aca="false">IF($C289="","",N($E289)*$F289-N($G289))</f>
        <v/>
      </c>
      <c r="I289" s="35" t="str">
        <f aca="false">IF($C289="","",$H289-$H289/(1+IFERROR(INDEX(PRODUCTOS!$E$6:$E$105,MATCH($C289,PRODUCTOS!$A$6:$A$105,0)),IVA_VENTAS)))</f>
        <v/>
      </c>
      <c r="J289" s="35" t="str">
        <f aca="false">IF($C289="","",$H289-$I289)</f>
        <v/>
      </c>
      <c r="K289" s="35" t="str">
        <f aca="false">IF($C289="","",N($E289)*IFERROR(INDEX(PRODUCTOS!$H$6:$H$105,MATCH($C289,PRODUCTOS!$A$6:$A$105,0)),0))</f>
        <v/>
      </c>
      <c r="L289" s="35" t="str">
        <f aca="false">IF($C289="","",$J289-$K289)</f>
        <v/>
      </c>
      <c r="M289" s="6"/>
      <c r="N289" s="6"/>
      <c r="O289" s="46" t="str">
        <f aca="false">IF($A289="","",DATE(YEAR($A289),MONTH($A289),1))</f>
        <v/>
      </c>
    </row>
    <row r="290" customFormat="false" ht="15" hidden="false" customHeight="false" outlineLevel="0" collapsed="false">
      <c r="A290" s="44"/>
      <c r="B290" s="6"/>
      <c r="C290" s="6"/>
      <c r="D290" s="8" t="str">
        <f aca="false">IF($C290="","",IFERROR(INDEX(PRODUCTOS!$B$6:$B$105,MATCH($C290,PRODUCTOS!$A$6:$A$105,0)),"¿Código?"))</f>
        <v/>
      </c>
      <c r="E290" s="42"/>
      <c r="F290" s="35" t="str">
        <f aca="false">IF($C290="","",IFERROR(INDEX(PRODUCTOS!$D$6:$D$105,MATCH($C290,PRODUCTOS!$A$6:$A$105,0)),0))</f>
        <v/>
      </c>
      <c r="G290" s="40"/>
      <c r="H290" s="35" t="str">
        <f aca="false">IF($C290="","",N($E290)*$F290-N($G290))</f>
        <v/>
      </c>
      <c r="I290" s="35" t="str">
        <f aca="false">IF($C290="","",$H290-$H290/(1+IFERROR(INDEX(PRODUCTOS!$E$6:$E$105,MATCH($C290,PRODUCTOS!$A$6:$A$105,0)),IVA_VENTAS)))</f>
        <v/>
      </c>
      <c r="J290" s="35" t="str">
        <f aca="false">IF($C290="","",$H290-$I290)</f>
        <v/>
      </c>
      <c r="K290" s="35" t="str">
        <f aca="false">IF($C290="","",N($E290)*IFERROR(INDEX(PRODUCTOS!$H$6:$H$105,MATCH($C290,PRODUCTOS!$A$6:$A$105,0)),0))</f>
        <v/>
      </c>
      <c r="L290" s="35" t="str">
        <f aca="false">IF($C290="","",$J290-$K290)</f>
        <v/>
      </c>
      <c r="M290" s="6"/>
      <c r="N290" s="6"/>
      <c r="O290" s="46" t="str">
        <f aca="false">IF($A290="","",DATE(YEAR($A290),MONTH($A290),1))</f>
        <v/>
      </c>
    </row>
    <row r="291" customFormat="false" ht="15" hidden="false" customHeight="false" outlineLevel="0" collapsed="false">
      <c r="A291" s="44"/>
      <c r="B291" s="6"/>
      <c r="C291" s="6"/>
      <c r="D291" s="8" t="str">
        <f aca="false">IF($C291="","",IFERROR(INDEX(PRODUCTOS!$B$6:$B$105,MATCH($C291,PRODUCTOS!$A$6:$A$105,0)),"¿Código?"))</f>
        <v/>
      </c>
      <c r="E291" s="42"/>
      <c r="F291" s="35" t="str">
        <f aca="false">IF($C291="","",IFERROR(INDEX(PRODUCTOS!$D$6:$D$105,MATCH($C291,PRODUCTOS!$A$6:$A$105,0)),0))</f>
        <v/>
      </c>
      <c r="G291" s="40"/>
      <c r="H291" s="35" t="str">
        <f aca="false">IF($C291="","",N($E291)*$F291-N($G291))</f>
        <v/>
      </c>
      <c r="I291" s="35" t="str">
        <f aca="false">IF($C291="","",$H291-$H291/(1+IFERROR(INDEX(PRODUCTOS!$E$6:$E$105,MATCH($C291,PRODUCTOS!$A$6:$A$105,0)),IVA_VENTAS)))</f>
        <v/>
      </c>
      <c r="J291" s="35" t="str">
        <f aca="false">IF($C291="","",$H291-$I291)</f>
        <v/>
      </c>
      <c r="K291" s="35" t="str">
        <f aca="false">IF($C291="","",N($E291)*IFERROR(INDEX(PRODUCTOS!$H$6:$H$105,MATCH($C291,PRODUCTOS!$A$6:$A$105,0)),0))</f>
        <v/>
      </c>
      <c r="L291" s="35" t="str">
        <f aca="false">IF($C291="","",$J291-$K291)</f>
        <v/>
      </c>
      <c r="M291" s="6"/>
      <c r="N291" s="6"/>
      <c r="O291" s="46" t="str">
        <f aca="false">IF($A291="","",DATE(YEAR($A291),MONTH($A291),1))</f>
        <v/>
      </c>
    </row>
    <row r="292" customFormat="false" ht="15" hidden="false" customHeight="false" outlineLevel="0" collapsed="false">
      <c r="A292" s="44"/>
      <c r="B292" s="6"/>
      <c r="C292" s="6"/>
      <c r="D292" s="8" t="str">
        <f aca="false">IF($C292="","",IFERROR(INDEX(PRODUCTOS!$B$6:$B$105,MATCH($C292,PRODUCTOS!$A$6:$A$105,0)),"¿Código?"))</f>
        <v/>
      </c>
      <c r="E292" s="42"/>
      <c r="F292" s="35" t="str">
        <f aca="false">IF($C292="","",IFERROR(INDEX(PRODUCTOS!$D$6:$D$105,MATCH($C292,PRODUCTOS!$A$6:$A$105,0)),0))</f>
        <v/>
      </c>
      <c r="G292" s="40"/>
      <c r="H292" s="35" t="str">
        <f aca="false">IF($C292="","",N($E292)*$F292-N($G292))</f>
        <v/>
      </c>
      <c r="I292" s="35" t="str">
        <f aca="false">IF($C292="","",$H292-$H292/(1+IFERROR(INDEX(PRODUCTOS!$E$6:$E$105,MATCH($C292,PRODUCTOS!$A$6:$A$105,0)),IVA_VENTAS)))</f>
        <v/>
      </c>
      <c r="J292" s="35" t="str">
        <f aca="false">IF($C292="","",$H292-$I292)</f>
        <v/>
      </c>
      <c r="K292" s="35" t="str">
        <f aca="false">IF($C292="","",N($E292)*IFERROR(INDEX(PRODUCTOS!$H$6:$H$105,MATCH($C292,PRODUCTOS!$A$6:$A$105,0)),0))</f>
        <v/>
      </c>
      <c r="L292" s="35" t="str">
        <f aca="false">IF($C292="","",$J292-$K292)</f>
        <v/>
      </c>
      <c r="M292" s="6"/>
      <c r="N292" s="6"/>
      <c r="O292" s="46" t="str">
        <f aca="false">IF($A292="","",DATE(YEAR($A292),MONTH($A292),1))</f>
        <v/>
      </c>
    </row>
    <row r="293" customFormat="false" ht="15" hidden="false" customHeight="false" outlineLevel="0" collapsed="false">
      <c r="A293" s="44"/>
      <c r="B293" s="6"/>
      <c r="C293" s="6"/>
      <c r="D293" s="8" t="str">
        <f aca="false">IF($C293="","",IFERROR(INDEX(PRODUCTOS!$B$6:$B$105,MATCH($C293,PRODUCTOS!$A$6:$A$105,0)),"¿Código?"))</f>
        <v/>
      </c>
      <c r="E293" s="42"/>
      <c r="F293" s="35" t="str">
        <f aca="false">IF($C293="","",IFERROR(INDEX(PRODUCTOS!$D$6:$D$105,MATCH($C293,PRODUCTOS!$A$6:$A$105,0)),0))</f>
        <v/>
      </c>
      <c r="G293" s="40"/>
      <c r="H293" s="35" t="str">
        <f aca="false">IF($C293="","",N($E293)*$F293-N($G293))</f>
        <v/>
      </c>
      <c r="I293" s="35" t="str">
        <f aca="false">IF($C293="","",$H293-$H293/(1+IFERROR(INDEX(PRODUCTOS!$E$6:$E$105,MATCH($C293,PRODUCTOS!$A$6:$A$105,0)),IVA_VENTAS)))</f>
        <v/>
      </c>
      <c r="J293" s="35" t="str">
        <f aca="false">IF($C293="","",$H293-$I293)</f>
        <v/>
      </c>
      <c r="K293" s="35" t="str">
        <f aca="false">IF($C293="","",N($E293)*IFERROR(INDEX(PRODUCTOS!$H$6:$H$105,MATCH($C293,PRODUCTOS!$A$6:$A$105,0)),0))</f>
        <v/>
      </c>
      <c r="L293" s="35" t="str">
        <f aca="false">IF($C293="","",$J293-$K293)</f>
        <v/>
      </c>
      <c r="M293" s="6"/>
      <c r="N293" s="6"/>
      <c r="O293" s="46" t="str">
        <f aca="false">IF($A293="","",DATE(YEAR($A293),MONTH($A293),1))</f>
        <v/>
      </c>
    </row>
    <row r="294" customFormat="false" ht="15" hidden="false" customHeight="false" outlineLevel="0" collapsed="false">
      <c r="A294" s="44"/>
      <c r="B294" s="6"/>
      <c r="C294" s="6"/>
      <c r="D294" s="8" t="str">
        <f aca="false">IF($C294="","",IFERROR(INDEX(PRODUCTOS!$B$6:$B$105,MATCH($C294,PRODUCTOS!$A$6:$A$105,0)),"¿Código?"))</f>
        <v/>
      </c>
      <c r="E294" s="42"/>
      <c r="F294" s="35" t="str">
        <f aca="false">IF($C294="","",IFERROR(INDEX(PRODUCTOS!$D$6:$D$105,MATCH($C294,PRODUCTOS!$A$6:$A$105,0)),0))</f>
        <v/>
      </c>
      <c r="G294" s="40"/>
      <c r="H294" s="35" t="str">
        <f aca="false">IF($C294="","",N($E294)*$F294-N($G294))</f>
        <v/>
      </c>
      <c r="I294" s="35" t="str">
        <f aca="false">IF($C294="","",$H294-$H294/(1+IFERROR(INDEX(PRODUCTOS!$E$6:$E$105,MATCH($C294,PRODUCTOS!$A$6:$A$105,0)),IVA_VENTAS)))</f>
        <v/>
      </c>
      <c r="J294" s="35" t="str">
        <f aca="false">IF($C294="","",$H294-$I294)</f>
        <v/>
      </c>
      <c r="K294" s="35" t="str">
        <f aca="false">IF($C294="","",N($E294)*IFERROR(INDEX(PRODUCTOS!$H$6:$H$105,MATCH($C294,PRODUCTOS!$A$6:$A$105,0)),0))</f>
        <v/>
      </c>
      <c r="L294" s="35" t="str">
        <f aca="false">IF($C294="","",$J294-$K294)</f>
        <v/>
      </c>
      <c r="M294" s="6"/>
      <c r="N294" s="6"/>
      <c r="O294" s="46" t="str">
        <f aca="false">IF($A294="","",DATE(YEAR($A294),MONTH($A294),1))</f>
        <v/>
      </c>
    </row>
    <row r="295" customFormat="false" ht="15" hidden="false" customHeight="false" outlineLevel="0" collapsed="false">
      <c r="A295" s="44"/>
      <c r="B295" s="6"/>
      <c r="C295" s="6"/>
      <c r="D295" s="8" t="str">
        <f aca="false">IF($C295="","",IFERROR(INDEX(PRODUCTOS!$B$6:$B$105,MATCH($C295,PRODUCTOS!$A$6:$A$105,0)),"¿Código?"))</f>
        <v/>
      </c>
      <c r="E295" s="42"/>
      <c r="F295" s="35" t="str">
        <f aca="false">IF($C295="","",IFERROR(INDEX(PRODUCTOS!$D$6:$D$105,MATCH($C295,PRODUCTOS!$A$6:$A$105,0)),0))</f>
        <v/>
      </c>
      <c r="G295" s="40"/>
      <c r="H295" s="35" t="str">
        <f aca="false">IF($C295="","",N($E295)*$F295-N($G295))</f>
        <v/>
      </c>
      <c r="I295" s="35" t="str">
        <f aca="false">IF($C295="","",$H295-$H295/(1+IFERROR(INDEX(PRODUCTOS!$E$6:$E$105,MATCH($C295,PRODUCTOS!$A$6:$A$105,0)),IVA_VENTAS)))</f>
        <v/>
      </c>
      <c r="J295" s="35" t="str">
        <f aca="false">IF($C295="","",$H295-$I295)</f>
        <v/>
      </c>
      <c r="K295" s="35" t="str">
        <f aca="false">IF($C295="","",N($E295)*IFERROR(INDEX(PRODUCTOS!$H$6:$H$105,MATCH($C295,PRODUCTOS!$A$6:$A$105,0)),0))</f>
        <v/>
      </c>
      <c r="L295" s="35" t="str">
        <f aca="false">IF($C295="","",$J295-$K295)</f>
        <v/>
      </c>
      <c r="M295" s="6"/>
      <c r="N295" s="6"/>
      <c r="O295" s="46" t="str">
        <f aca="false">IF($A295="","",DATE(YEAR($A295),MONTH($A295),1))</f>
        <v/>
      </c>
    </row>
    <row r="296" customFormat="false" ht="15" hidden="false" customHeight="false" outlineLevel="0" collapsed="false">
      <c r="A296" s="44"/>
      <c r="B296" s="6"/>
      <c r="C296" s="6"/>
      <c r="D296" s="8" t="str">
        <f aca="false">IF($C296="","",IFERROR(INDEX(PRODUCTOS!$B$6:$B$105,MATCH($C296,PRODUCTOS!$A$6:$A$105,0)),"¿Código?"))</f>
        <v/>
      </c>
      <c r="E296" s="42"/>
      <c r="F296" s="35" t="str">
        <f aca="false">IF($C296="","",IFERROR(INDEX(PRODUCTOS!$D$6:$D$105,MATCH($C296,PRODUCTOS!$A$6:$A$105,0)),0))</f>
        <v/>
      </c>
      <c r="G296" s="40"/>
      <c r="H296" s="35" t="str">
        <f aca="false">IF($C296="","",N($E296)*$F296-N($G296))</f>
        <v/>
      </c>
      <c r="I296" s="35" t="str">
        <f aca="false">IF($C296="","",$H296-$H296/(1+IFERROR(INDEX(PRODUCTOS!$E$6:$E$105,MATCH($C296,PRODUCTOS!$A$6:$A$105,0)),IVA_VENTAS)))</f>
        <v/>
      </c>
      <c r="J296" s="35" t="str">
        <f aca="false">IF($C296="","",$H296-$I296)</f>
        <v/>
      </c>
      <c r="K296" s="35" t="str">
        <f aca="false">IF($C296="","",N($E296)*IFERROR(INDEX(PRODUCTOS!$H$6:$H$105,MATCH($C296,PRODUCTOS!$A$6:$A$105,0)),0))</f>
        <v/>
      </c>
      <c r="L296" s="35" t="str">
        <f aca="false">IF($C296="","",$J296-$K296)</f>
        <v/>
      </c>
      <c r="M296" s="6"/>
      <c r="N296" s="6"/>
      <c r="O296" s="46" t="str">
        <f aca="false">IF($A296="","",DATE(YEAR($A296),MONTH($A296),1))</f>
        <v/>
      </c>
    </row>
    <row r="297" customFormat="false" ht="15" hidden="false" customHeight="false" outlineLevel="0" collapsed="false">
      <c r="A297" s="44"/>
      <c r="B297" s="6"/>
      <c r="C297" s="6"/>
      <c r="D297" s="8" t="str">
        <f aca="false">IF($C297="","",IFERROR(INDEX(PRODUCTOS!$B$6:$B$105,MATCH($C297,PRODUCTOS!$A$6:$A$105,0)),"¿Código?"))</f>
        <v/>
      </c>
      <c r="E297" s="42"/>
      <c r="F297" s="35" t="str">
        <f aca="false">IF($C297="","",IFERROR(INDEX(PRODUCTOS!$D$6:$D$105,MATCH($C297,PRODUCTOS!$A$6:$A$105,0)),0))</f>
        <v/>
      </c>
      <c r="G297" s="40"/>
      <c r="H297" s="35" t="str">
        <f aca="false">IF($C297="","",N($E297)*$F297-N($G297))</f>
        <v/>
      </c>
      <c r="I297" s="35" t="str">
        <f aca="false">IF($C297="","",$H297-$H297/(1+IFERROR(INDEX(PRODUCTOS!$E$6:$E$105,MATCH($C297,PRODUCTOS!$A$6:$A$105,0)),IVA_VENTAS)))</f>
        <v/>
      </c>
      <c r="J297" s="35" t="str">
        <f aca="false">IF($C297="","",$H297-$I297)</f>
        <v/>
      </c>
      <c r="K297" s="35" t="str">
        <f aca="false">IF($C297="","",N($E297)*IFERROR(INDEX(PRODUCTOS!$H$6:$H$105,MATCH($C297,PRODUCTOS!$A$6:$A$105,0)),0))</f>
        <v/>
      </c>
      <c r="L297" s="35" t="str">
        <f aca="false">IF($C297="","",$J297-$K297)</f>
        <v/>
      </c>
      <c r="M297" s="6"/>
      <c r="N297" s="6"/>
      <c r="O297" s="46" t="str">
        <f aca="false">IF($A297="","",DATE(YEAR($A297),MONTH($A297),1))</f>
        <v/>
      </c>
    </row>
    <row r="298" customFormat="false" ht="15" hidden="false" customHeight="false" outlineLevel="0" collapsed="false">
      <c r="A298" s="44"/>
      <c r="B298" s="6"/>
      <c r="C298" s="6"/>
      <c r="D298" s="8" t="str">
        <f aca="false">IF($C298="","",IFERROR(INDEX(PRODUCTOS!$B$6:$B$105,MATCH($C298,PRODUCTOS!$A$6:$A$105,0)),"¿Código?"))</f>
        <v/>
      </c>
      <c r="E298" s="42"/>
      <c r="F298" s="35" t="str">
        <f aca="false">IF($C298="","",IFERROR(INDEX(PRODUCTOS!$D$6:$D$105,MATCH($C298,PRODUCTOS!$A$6:$A$105,0)),0))</f>
        <v/>
      </c>
      <c r="G298" s="40"/>
      <c r="H298" s="35" t="str">
        <f aca="false">IF($C298="","",N($E298)*$F298-N($G298))</f>
        <v/>
      </c>
      <c r="I298" s="35" t="str">
        <f aca="false">IF($C298="","",$H298-$H298/(1+IFERROR(INDEX(PRODUCTOS!$E$6:$E$105,MATCH($C298,PRODUCTOS!$A$6:$A$105,0)),IVA_VENTAS)))</f>
        <v/>
      </c>
      <c r="J298" s="35" t="str">
        <f aca="false">IF($C298="","",$H298-$I298)</f>
        <v/>
      </c>
      <c r="K298" s="35" t="str">
        <f aca="false">IF($C298="","",N($E298)*IFERROR(INDEX(PRODUCTOS!$H$6:$H$105,MATCH($C298,PRODUCTOS!$A$6:$A$105,0)),0))</f>
        <v/>
      </c>
      <c r="L298" s="35" t="str">
        <f aca="false">IF($C298="","",$J298-$K298)</f>
        <v/>
      </c>
      <c r="M298" s="6"/>
      <c r="N298" s="6"/>
      <c r="O298" s="46" t="str">
        <f aca="false">IF($A298="","",DATE(YEAR($A298),MONTH($A298),1))</f>
        <v/>
      </c>
    </row>
    <row r="299" customFormat="false" ht="15" hidden="false" customHeight="false" outlineLevel="0" collapsed="false">
      <c r="A299" s="44"/>
      <c r="B299" s="6"/>
      <c r="C299" s="6"/>
      <c r="D299" s="8" t="str">
        <f aca="false">IF($C299="","",IFERROR(INDEX(PRODUCTOS!$B$6:$B$105,MATCH($C299,PRODUCTOS!$A$6:$A$105,0)),"¿Código?"))</f>
        <v/>
      </c>
      <c r="E299" s="42"/>
      <c r="F299" s="35" t="str">
        <f aca="false">IF($C299="","",IFERROR(INDEX(PRODUCTOS!$D$6:$D$105,MATCH($C299,PRODUCTOS!$A$6:$A$105,0)),0))</f>
        <v/>
      </c>
      <c r="G299" s="40"/>
      <c r="H299" s="35" t="str">
        <f aca="false">IF($C299="","",N($E299)*$F299-N($G299))</f>
        <v/>
      </c>
      <c r="I299" s="35" t="str">
        <f aca="false">IF($C299="","",$H299-$H299/(1+IFERROR(INDEX(PRODUCTOS!$E$6:$E$105,MATCH($C299,PRODUCTOS!$A$6:$A$105,0)),IVA_VENTAS)))</f>
        <v/>
      </c>
      <c r="J299" s="35" t="str">
        <f aca="false">IF($C299="","",$H299-$I299)</f>
        <v/>
      </c>
      <c r="K299" s="35" t="str">
        <f aca="false">IF($C299="","",N($E299)*IFERROR(INDEX(PRODUCTOS!$H$6:$H$105,MATCH($C299,PRODUCTOS!$A$6:$A$105,0)),0))</f>
        <v/>
      </c>
      <c r="L299" s="35" t="str">
        <f aca="false">IF($C299="","",$J299-$K299)</f>
        <v/>
      </c>
      <c r="M299" s="6"/>
      <c r="N299" s="6"/>
      <c r="O299" s="46" t="str">
        <f aca="false">IF($A299="","",DATE(YEAR($A299),MONTH($A299),1))</f>
        <v/>
      </c>
    </row>
    <row r="300" customFormat="false" ht="15" hidden="false" customHeight="false" outlineLevel="0" collapsed="false">
      <c r="A300" s="44"/>
      <c r="B300" s="6"/>
      <c r="C300" s="6"/>
      <c r="D300" s="8" t="str">
        <f aca="false">IF($C300="","",IFERROR(INDEX(PRODUCTOS!$B$6:$B$105,MATCH($C300,PRODUCTOS!$A$6:$A$105,0)),"¿Código?"))</f>
        <v/>
      </c>
      <c r="E300" s="42"/>
      <c r="F300" s="35" t="str">
        <f aca="false">IF($C300="","",IFERROR(INDEX(PRODUCTOS!$D$6:$D$105,MATCH($C300,PRODUCTOS!$A$6:$A$105,0)),0))</f>
        <v/>
      </c>
      <c r="G300" s="40"/>
      <c r="H300" s="35" t="str">
        <f aca="false">IF($C300="","",N($E300)*$F300-N($G300))</f>
        <v/>
      </c>
      <c r="I300" s="35" t="str">
        <f aca="false">IF($C300="","",$H300-$H300/(1+IFERROR(INDEX(PRODUCTOS!$E$6:$E$105,MATCH($C300,PRODUCTOS!$A$6:$A$105,0)),IVA_VENTAS)))</f>
        <v/>
      </c>
      <c r="J300" s="35" t="str">
        <f aca="false">IF($C300="","",$H300-$I300)</f>
        <v/>
      </c>
      <c r="K300" s="35" t="str">
        <f aca="false">IF($C300="","",N($E300)*IFERROR(INDEX(PRODUCTOS!$H$6:$H$105,MATCH($C300,PRODUCTOS!$A$6:$A$105,0)),0))</f>
        <v/>
      </c>
      <c r="L300" s="35" t="str">
        <f aca="false">IF($C300="","",$J300-$K300)</f>
        <v/>
      </c>
      <c r="M300" s="6"/>
      <c r="N300" s="6"/>
      <c r="O300" s="46" t="str">
        <f aca="false">IF($A300="","",DATE(YEAR($A300),MONTH($A300),1))</f>
        <v/>
      </c>
    </row>
    <row r="301" customFormat="false" ht="15" hidden="false" customHeight="false" outlineLevel="0" collapsed="false">
      <c r="A301" s="44"/>
      <c r="B301" s="6"/>
      <c r="C301" s="6"/>
      <c r="D301" s="8" t="str">
        <f aca="false">IF($C301="","",IFERROR(INDEX(PRODUCTOS!$B$6:$B$105,MATCH($C301,PRODUCTOS!$A$6:$A$105,0)),"¿Código?"))</f>
        <v/>
      </c>
      <c r="E301" s="42"/>
      <c r="F301" s="35" t="str">
        <f aca="false">IF($C301="","",IFERROR(INDEX(PRODUCTOS!$D$6:$D$105,MATCH($C301,PRODUCTOS!$A$6:$A$105,0)),0))</f>
        <v/>
      </c>
      <c r="G301" s="40"/>
      <c r="H301" s="35" t="str">
        <f aca="false">IF($C301="","",N($E301)*$F301-N($G301))</f>
        <v/>
      </c>
      <c r="I301" s="35" t="str">
        <f aca="false">IF($C301="","",$H301-$H301/(1+IFERROR(INDEX(PRODUCTOS!$E$6:$E$105,MATCH($C301,PRODUCTOS!$A$6:$A$105,0)),IVA_VENTAS)))</f>
        <v/>
      </c>
      <c r="J301" s="35" t="str">
        <f aca="false">IF($C301="","",$H301-$I301)</f>
        <v/>
      </c>
      <c r="K301" s="35" t="str">
        <f aca="false">IF($C301="","",N($E301)*IFERROR(INDEX(PRODUCTOS!$H$6:$H$105,MATCH($C301,PRODUCTOS!$A$6:$A$105,0)),0))</f>
        <v/>
      </c>
      <c r="L301" s="35" t="str">
        <f aca="false">IF($C301="","",$J301-$K301)</f>
        <v/>
      </c>
      <c r="M301" s="6"/>
      <c r="N301" s="6"/>
      <c r="O301" s="46" t="str">
        <f aca="false">IF($A301="","",DATE(YEAR($A301),MONTH($A301),1))</f>
        <v/>
      </c>
    </row>
    <row r="302" customFormat="false" ht="15" hidden="false" customHeight="false" outlineLevel="0" collapsed="false">
      <c r="A302" s="44"/>
      <c r="B302" s="6"/>
      <c r="C302" s="6"/>
      <c r="D302" s="8" t="str">
        <f aca="false">IF($C302="","",IFERROR(INDEX(PRODUCTOS!$B$6:$B$105,MATCH($C302,PRODUCTOS!$A$6:$A$105,0)),"¿Código?"))</f>
        <v/>
      </c>
      <c r="E302" s="42"/>
      <c r="F302" s="35" t="str">
        <f aca="false">IF($C302="","",IFERROR(INDEX(PRODUCTOS!$D$6:$D$105,MATCH($C302,PRODUCTOS!$A$6:$A$105,0)),0))</f>
        <v/>
      </c>
      <c r="G302" s="40"/>
      <c r="H302" s="35" t="str">
        <f aca="false">IF($C302="","",N($E302)*$F302-N($G302))</f>
        <v/>
      </c>
      <c r="I302" s="35" t="str">
        <f aca="false">IF($C302="","",$H302-$H302/(1+IFERROR(INDEX(PRODUCTOS!$E$6:$E$105,MATCH($C302,PRODUCTOS!$A$6:$A$105,0)),IVA_VENTAS)))</f>
        <v/>
      </c>
      <c r="J302" s="35" t="str">
        <f aca="false">IF($C302="","",$H302-$I302)</f>
        <v/>
      </c>
      <c r="K302" s="35" t="str">
        <f aca="false">IF($C302="","",N($E302)*IFERROR(INDEX(PRODUCTOS!$H$6:$H$105,MATCH($C302,PRODUCTOS!$A$6:$A$105,0)),0))</f>
        <v/>
      </c>
      <c r="L302" s="35" t="str">
        <f aca="false">IF($C302="","",$J302-$K302)</f>
        <v/>
      </c>
      <c r="M302" s="6"/>
      <c r="N302" s="6"/>
      <c r="O302" s="46" t="str">
        <f aca="false">IF($A302="","",DATE(YEAR($A302),MONTH($A302),1))</f>
        <v/>
      </c>
    </row>
    <row r="303" customFormat="false" ht="15" hidden="false" customHeight="false" outlineLevel="0" collapsed="false">
      <c r="A303" s="44"/>
      <c r="B303" s="6"/>
      <c r="C303" s="6"/>
      <c r="D303" s="8" t="str">
        <f aca="false">IF($C303="","",IFERROR(INDEX(PRODUCTOS!$B$6:$B$105,MATCH($C303,PRODUCTOS!$A$6:$A$105,0)),"¿Código?"))</f>
        <v/>
      </c>
      <c r="E303" s="42"/>
      <c r="F303" s="35" t="str">
        <f aca="false">IF($C303="","",IFERROR(INDEX(PRODUCTOS!$D$6:$D$105,MATCH($C303,PRODUCTOS!$A$6:$A$105,0)),0))</f>
        <v/>
      </c>
      <c r="G303" s="40"/>
      <c r="H303" s="35" t="str">
        <f aca="false">IF($C303="","",N($E303)*$F303-N($G303))</f>
        <v/>
      </c>
      <c r="I303" s="35" t="str">
        <f aca="false">IF($C303="","",$H303-$H303/(1+IFERROR(INDEX(PRODUCTOS!$E$6:$E$105,MATCH($C303,PRODUCTOS!$A$6:$A$105,0)),IVA_VENTAS)))</f>
        <v/>
      </c>
      <c r="J303" s="35" t="str">
        <f aca="false">IF($C303="","",$H303-$I303)</f>
        <v/>
      </c>
      <c r="K303" s="35" t="str">
        <f aca="false">IF($C303="","",N($E303)*IFERROR(INDEX(PRODUCTOS!$H$6:$H$105,MATCH($C303,PRODUCTOS!$A$6:$A$105,0)),0))</f>
        <v/>
      </c>
      <c r="L303" s="35" t="str">
        <f aca="false">IF($C303="","",$J303-$K303)</f>
        <v/>
      </c>
      <c r="M303" s="6"/>
      <c r="N303" s="6"/>
      <c r="O303" s="46" t="str">
        <f aca="false">IF($A303="","",DATE(YEAR($A303),MONTH($A303),1))</f>
        <v/>
      </c>
    </row>
    <row r="304" customFormat="false" ht="15" hidden="false" customHeight="false" outlineLevel="0" collapsed="false">
      <c r="A304" s="44"/>
      <c r="B304" s="6"/>
      <c r="C304" s="6"/>
      <c r="D304" s="8" t="str">
        <f aca="false">IF($C304="","",IFERROR(INDEX(PRODUCTOS!$B$6:$B$105,MATCH($C304,PRODUCTOS!$A$6:$A$105,0)),"¿Código?"))</f>
        <v/>
      </c>
      <c r="E304" s="42"/>
      <c r="F304" s="35" t="str">
        <f aca="false">IF($C304="","",IFERROR(INDEX(PRODUCTOS!$D$6:$D$105,MATCH($C304,PRODUCTOS!$A$6:$A$105,0)),0))</f>
        <v/>
      </c>
      <c r="G304" s="40"/>
      <c r="H304" s="35" t="str">
        <f aca="false">IF($C304="","",N($E304)*$F304-N($G304))</f>
        <v/>
      </c>
      <c r="I304" s="35" t="str">
        <f aca="false">IF($C304="","",$H304-$H304/(1+IFERROR(INDEX(PRODUCTOS!$E$6:$E$105,MATCH($C304,PRODUCTOS!$A$6:$A$105,0)),IVA_VENTAS)))</f>
        <v/>
      </c>
      <c r="J304" s="35" t="str">
        <f aca="false">IF($C304="","",$H304-$I304)</f>
        <v/>
      </c>
      <c r="K304" s="35" t="str">
        <f aca="false">IF($C304="","",N($E304)*IFERROR(INDEX(PRODUCTOS!$H$6:$H$105,MATCH($C304,PRODUCTOS!$A$6:$A$105,0)),0))</f>
        <v/>
      </c>
      <c r="L304" s="35" t="str">
        <f aca="false">IF($C304="","",$J304-$K304)</f>
        <v/>
      </c>
      <c r="M304" s="6"/>
      <c r="N304" s="6"/>
      <c r="O304" s="46" t="str">
        <f aca="false">IF($A304="","",DATE(YEAR($A304),MONTH($A304),1))</f>
        <v/>
      </c>
    </row>
    <row r="305" customFormat="false" ht="15" hidden="false" customHeight="false" outlineLevel="0" collapsed="false">
      <c r="A305" s="44"/>
      <c r="B305" s="6"/>
      <c r="C305" s="6"/>
      <c r="D305" s="8" t="str">
        <f aca="false">IF($C305="","",IFERROR(INDEX(PRODUCTOS!$B$6:$B$105,MATCH($C305,PRODUCTOS!$A$6:$A$105,0)),"¿Código?"))</f>
        <v/>
      </c>
      <c r="E305" s="42"/>
      <c r="F305" s="35" t="str">
        <f aca="false">IF($C305="","",IFERROR(INDEX(PRODUCTOS!$D$6:$D$105,MATCH($C305,PRODUCTOS!$A$6:$A$105,0)),0))</f>
        <v/>
      </c>
      <c r="G305" s="40"/>
      <c r="H305" s="35" t="str">
        <f aca="false">IF($C305="","",N($E305)*$F305-N($G305))</f>
        <v/>
      </c>
      <c r="I305" s="35" t="str">
        <f aca="false">IF($C305="","",$H305-$H305/(1+IFERROR(INDEX(PRODUCTOS!$E$6:$E$105,MATCH($C305,PRODUCTOS!$A$6:$A$105,0)),IVA_VENTAS)))</f>
        <v/>
      </c>
      <c r="J305" s="35" t="str">
        <f aca="false">IF($C305="","",$H305-$I305)</f>
        <v/>
      </c>
      <c r="K305" s="35" t="str">
        <f aca="false">IF($C305="","",N($E305)*IFERROR(INDEX(PRODUCTOS!$H$6:$H$105,MATCH($C305,PRODUCTOS!$A$6:$A$105,0)),0))</f>
        <v/>
      </c>
      <c r="L305" s="35" t="str">
        <f aca="false">IF($C305="","",$J305-$K305)</f>
        <v/>
      </c>
      <c r="M305" s="6"/>
      <c r="N305" s="6"/>
      <c r="O305" s="46" t="str">
        <f aca="false">IF($A305="","",DATE(YEAR($A305),MONTH($A305),1))</f>
        <v/>
      </c>
    </row>
    <row r="306" customFormat="false" ht="15" hidden="false" customHeight="false" outlineLevel="0" collapsed="false">
      <c r="A306" s="44"/>
      <c r="B306" s="6"/>
      <c r="C306" s="6"/>
      <c r="D306" s="8" t="str">
        <f aca="false">IF($C306="","",IFERROR(INDEX(PRODUCTOS!$B$6:$B$105,MATCH($C306,PRODUCTOS!$A$6:$A$105,0)),"¿Código?"))</f>
        <v/>
      </c>
      <c r="E306" s="42"/>
      <c r="F306" s="35" t="str">
        <f aca="false">IF($C306="","",IFERROR(INDEX(PRODUCTOS!$D$6:$D$105,MATCH($C306,PRODUCTOS!$A$6:$A$105,0)),0))</f>
        <v/>
      </c>
      <c r="G306" s="40"/>
      <c r="H306" s="35" t="str">
        <f aca="false">IF($C306="","",N($E306)*$F306-N($G306))</f>
        <v/>
      </c>
      <c r="I306" s="35" t="str">
        <f aca="false">IF($C306="","",$H306-$H306/(1+IFERROR(INDEX(PRODUCTOS!$E$6:$E$105,MATCH($C306,PRODUCTOS!$A$6:$A$105,0)),IVA_VENTAS)))</f>
        <v/>
      </c>
      <c r="J306" s="35" t="str">
        <f aca="false">IF($C306="","",$H306-$I306)</f>
        <v/>
      </c>
      <c r="K306" s="35" t="str">
        <f aca="false">IF($C306="","",N($E306)*IFERROR(INDEX(PRODUCTOS!$H$6:$H$105,MATCH($C306,PRODUCTOS!$A$6:$A$105,0)),0))</f>
        <v/>
      </c>
      <c r="L306" s="35" t="str">
        <f aca="false">IF($C306="","",$J306-$K306)</f>
        <v/>
      </c>
      <c r="M306" s="6"/>
      <c r="N306" s="6"/>
      <c r="O306" s="46" t="str">
        <f aca="false">IF($A306="","",DATE(YEAR($A306),MONTH($A306),1))</f>
        <v/>
      </c>
    </row>
    <row r="307" customFormat="false" ht="15" hidden="false" customHeight="false" outlineLevel="0" collapsed="false">
      <c r="A307" s="44"/>
      <c r="B307" s="6"/>
      <c r="C307" s="6"/>
      <c r="D307" s="8" t="str">
        <f aca="false">IF($C307="","",IFERROR(INDEX(PRODUCTOS!$B$6:$B$105,MATCH($C307,PRODUCTOS!$A$6:$A$105,0)),"¿Código?"))</f>
        <v/>
      </c>
      <c r="E307" s="42"/>
      <c r="F307" s="35" t="str">
        <f aca="false">IF($C307="","",IFERROR(INDEX(PRODUCTOS!$D$6:$D$105,MATCH($C307,PRODUCTOS!$A$6:$A$105,0)),0))</f>
        <v/>
      </c>
      <c r="G307" s="40"/>
      <c r="H307" s="35" t="str">
        <f aca="false">IF($C307="","",N($E307)*$F307-N($G307))</f>
        <v/>
      </c>
      <c r="I307" s="35" t="str">
        <f aca="false">IF($C307="","",$H307-$H307/(1+IFERROR(INDEX(PRODUCTOS!$E$6:$E$105,MATCH($C307,PRODUCTOS!$A$6:$A$105,0)),IVA_VENTAS)))</f>
        <v/>
      </c>
      <c r="J307" s="35" t="str">
        <f aca="false">IF($C307="","",$H307-$I307)</f>
        <v/>
      </c>
      <c r="K307" s="35" t="str">
        <f aca="false">IF($C307="","",N($E307)*IFERROR(INDEX(PRODUCTOS!$H$6:$H$105,MATCH($C307,PRODUCTOS!$A$6:$A$105,0)),0))</f>
        <v/>
      </c>
      <c r="L307" s="35" t="str">
        <f aca="false">IF($C307="","",$J307-$K307)</f>
        <v/>
      </c>
      <c r="M307" s="6"/>
      <c r="N307" s="6"/>
      <c r="O307" s="46" t="str">
        <f aca="false">IF($A307="","",DATE(YEAR($A307),MONTH($A307),1))</f>
        <v/>
      </c>
    </row>
    <row r="308" customFormat="false" ht="15" hidden="false" customHeight="false" outlineLevel="0" collapsed="false">
      <c r="A308" s="44"/>
      <c r="B308" s="6"/>
      <c r="C308" s="6"/>
      <c r="D308" s="8" t="str">
        <f aca="false">IF($C308="","",IFERROR(INDEX(PRODUCTOS!$B$6:$B$105,MATCH($C308,PRODUCTOS!$A$6:$A$105,0)),"¿Código?"))</f>
        <v/>
      </c>
      <c r="E308" s="42"/>
      <c r="F308" s="35" t="str">
        <f aca="false">IF($C308="","",IFERROR(INDEX(PRODUCTOS!$D$6:$D$105,MATCH($C308,PRODUCTOS!$A$6:$A$105,0)),0))</f>
        <v/>
      </c>
      <c r="G308" s="40"/>
      <c r="H308" s="35" t="str">
        <f aca="false">IF($C308="","",N($E308)*$F308-N($G308))</f>
        <v/>
      </c>
      <c r="I308" s="35" t="str">
        <f aca="false">IF($C308="","",$H308-$H308/(1+IFERROR(INDEX(PRODUCTOS!$E$6:$E$105,MATCH($C308,PRODUCTOS!$A$6:$A$105,0)),IVA_VENTAS)))</f>
        <v/>
      </c>
      <c r="J308" s="35" t="str">
        <f aca="false">IF($C308="","",$H308-$I308)</f>
        <v/>
      </c>
      <c r="K308" s="35" t="str">
        <f aca="false">IF($C308="","",N($E308)*IFERROR(INDEX(PRODUCTOS!$H$6:$H$105,MATCH($C308,PRODUCTOS!$A$6:$A$105,0)),0))</f>
        <v/>
      </c>
      <c r="L308" s="35" t="str">
        <f aca="false">IF($C308="","",$J308-$K308)</f>
        <v/>
      </c>
      <c r="M308" s="6"/>
      <c r="N308" s="6"/>
      <c r="O308" s="46" t="str">
        <f aca="false">IF($A308="","",DATE(YEAR($A308),MONTH($A308),1))</f>
        <v/>
      </c>
    </row>
    <row r="309" customFormat="false" ht="15" hidden="false" customHeight="false" outlineLevel="0" collapsed="false">
      <c r="A309" s="44"/>
      <c r="B309" s="6"/>
      <c r="C309" s="6"/>
      <c r="D309" s="8" t="str">
        <f aca="false">IF($C309="","",IFERROR(INDEX(PRODUCTOS!$B$6:$B$105,MATCH($C309,PRODUCTOS!$A$6:$A$105,0)),"¿Código?"))</f>
        <v/>
      </c>
      <c r="E309" s="42"/>
      <c r="F309" s="35" t="str">
        <f aca="false">IF($C309="","",IFERROR(INDEX(PRODUCTOS!$D$6:$D$105,MATCH($C309,PRODUCTOS!$A$6:$A$105,0)),0))</f>
        <v/>
      </c>
      <c r="G309" s="40"/>
      <c r="H309" s="35" t="str">
        <f aca="false">IF($C309="","",N($E309)*$F309-N($G309))</f>
        <v/>
      </c>
      <c r="I309" s="35" t="str">
        <f aca="false">IF($C309="","",$H309-$H309/(1+IFERROR(INDEX(PRODUCTOS!$E$6:$E$105,MATCH($C309,PRODUCTOS!$A$6:$A$105,0)),IVA_VENTAS)))</f>
        <v/>
      </c>
      <c r="J309" s="35" t="str">
        <f aca="false">IF($C309="","",$H309-$I309)</f>
        <v/>
      </c>
      <c r="K309" s="35" t="str">
        <f aca="false">IF($C309="","",N($E309)*IFERROR(INDEX(PRODUCTOS!$H$6:$H$105,MATCH($C309,PRODUCTOS!$A$6:$A$105,0)),0))</f>
        <v/>
      </c>
      <c r="L309" s="35" t="str">
        <f aca="false">IF($C309="","",$J309-$K309)</f>
        <v/>
      </c>
      <c r="M309" s="6"/>
      <c r="N309" s="6"/>
      <c r="O309" s="46" t="str">
        <f aca="false">IF($A309="","",DATE(YEAR($A309),MONTH($A309),1))</f>
        <v/>
      </c>
    </row>
    <row r="310" customFormat="false" ht="15" hidden="false" customHeight="false" outlineLevel="0" collapsed="false">
      <c r="A310" s="44"/>
      <c r="B310" s="6"/>
      <c r="C310" s="6"/>
      <c r="D310" s="8" t="str">
        <f aca="false">IF($C310="","",IFERROR(INDEX(PRODUCTOS!$B$6:$B$105,MATCH($C310,PRODUCTOS!$A$6:$A$105,0)),"¿Código?"))</f>
        <v/>
      </c>
      <c r="E310" s="42"/>
      <c r="F310" s="35" t="str">
        <f aca="false">IF($C310="","",IFERROR(INDEX(PRODUCTOS!$D$6:$D$105,MATCH($C310,PRODUCTOS!$A$6:$A$105,0)),0))</f>
        <v/>
      </c>
      <c r="G310" s="40"/>
      <c r="H310" s="35" t="str">
        <f aca="false">IF($C310="","",N($E310)*$F310-N($G310))</f>
        <v/>
      </c>
      <c r="I310" s="35" t="str">
        <f aca="false">IF($C310="","",$H310-$H310/(1+IFERROR(INDEX(PRODUCTOS!$E$6:$E$105,MATCH($C310,PRODUCTOS!$A$6:$A$105,0)),IVA_VENTAS)))</f>
        <v/>
      </c>
      <c r="J310" s="35" t="str">
        <f aca="false">IF($C310="","",$H310-$I310)</f>
        <v/>
      </c>
      <c r="K310" s="35" t="str">
        <f aca="false">IF($C310="","",N($E310)*IFERROR(INDEX(PRODUCTOS!$H$6:$H$105,MATCH($C310,PRODUCTOS!$A$6:$A$105,0)),0))</f>
        <v/>
      </c>
      <c r="L310" s="35" t="str">
        <f aca="false">IF($C310="","",$J310-$K310)</f>
        <v/>
      </c>
      <c r="M310" s="6"/>
      <c r="N310" s="6"/>
      <c r="O310" s="46" t="str">
        <f aca="false">IF($A310="","",DATE(YEAR($A310),MONTH($A310),1))</f>
        <v/>
      </c>
    </row>
    <row r="311" customFormat="false" ht="15" hidden="false" customHeight="false" outlineLevel="0" collapsed="false">
      <c r="A311" s="44"/>
      <c r="B311" s="6"/>
      <c r="C311" s="6"/>
      <c r="D311" s="8" t="str">
        <f aca="false">IF($C311="","",IFERROR(INDEX(PRODUCTOS!$B$6:$B$105,MATCH($C311,PRODUCTOS!$A$6:$A$105,0)),"¿Código?"))</f>
        <v/>
      </c>
      <c r="E311" s="42"/>
      <c r="F311" s="35" t="str">
        <f aca="false">IF($C311="","",IFERROR(INDEX(PRODUCTOS!$D$6:$D$105,MATCH($C311,PRODUCTOS!$A$6:$A$105,0)),0))</f>
        <v/>
      </c>
      <c r="G311" s="40"/>
      <c r="H311" s="35" t="str">
        <f aca="false">IF($C311="","",N($E311)*$F311-N($G311))</f>
        <v/>
      </c>
      <c r="I311" s="35" t="str">
        <f aca="false">IF($C311="","",$H311-$H311/(1+IFERROR(INDEX(PRODUCTOS!$E$6:$E$105,MATCH($C311,PRODUCTOS!$A$6:$A$105,0)),IVA_VENTAS)))</f>
        <v/>
      </c>
      <c r="J311" s="35" t="str">
        <f aca="false">IF($C311="","",$H311-$I311)</f>
        <v/>
      </c>
      <c r="K311" s="35" t="str">
        <f aca="false">IF($C311="","",N($E311)*IFERROR(INDEX(PRODUCTOS!$H$6:$H$105,MATCH($C311,PRODUCTOS!$A$6:$A$105,0)),0))</f>
        <v/>
      </c>
      <c r="L311" s="35" t="str">
        <f aca="false">IF($C311="","",$J311-$K311)</f>
        <v/>
      </c>
      <c r="M311" s="6"/>
      <c r="N311" s="6"/>
      <c r="O311" s="46" t="str">
        <f aca="false">IF($A311="","",DATE(YEAR($A311),MONTH($A311),1))</f>
        <v/>
      </c>
    </row>
    <row r="312" customFormat="false" ht="15" hidden="false" customHeight="false" outlineLevel="0" collapsed="false">
      <c r="A312" s="44"/>
      <c r="B312" s="6"/>
      <c r="C312" s="6"/>
      <c r="D312" s="8" t="str">
        <f aca="false">IF($C312="","",IFERROR(INDEX(PRODUCTOS!$B$6:$B$105,MATCH($C312,PRODUCTOS!$A$6:$A$105,0)),"¿Código?"))</f>
        <v/>
      </c>
      <c r="E312" s="42"/>
      <c r="F312" s="35" t="str">
        <f aca="false">IF($C312="","",IFERROR(INDEX(PRODUCTOS!$D$6:$D$105,MATCH($C312,PRODUCTOS!$A$6:$A$105,0)),0))</f>
        <v/>
      </c>
      <c r="G312" s="40"/>
      <c r="H312" s="35" t="str">
        <f aca="false">IF($C312="","",N($E312)*$F312-N($G312))</f>
        <v/>
      </c>
      <c r="I312" s="35" t="str">
        <f aca="false">IF($C312="","",$H312-$H312/(1+IFERROR(INDEX(PRODUCTOS!$E$6:$E$105,MATCH($C312,PRODUCTOS!$A$6:$A$105,0)),IVA_VENTAS)))</f>
        <v/>
      </c>
      <c r="J312" s="35" t="str">
        <f aca="false">IF($C312="","",$H312-$I312)</f>
        <v/>
      </c>
      <c r="K312" s="35" t="str">
        <f aca="false">IF($C312="","",N($E312)*IFERROR(INDEX(PRODUCTOS!$H$6:$H$105,MATCH($C312,PRODUCTOS!$A$6:$A$105,0)),0))</f>
        <v/>
      </c>
      <c r="L312" s="35" t="str">
        <f aca="false">IF($C312="","",$J312-$K312)</f>
        <v/>
      </c>
      <c r="M312" s="6"/>
      <c r="N312" s="6"/>
      <c r="O312" s="46" t="str">
        <f aca="false">IF($A312="","",DATE(YEAR($A312),MONTH($A312),1))</f>
        <v/>
      </c>
    </row>
    <row r="313" customFormat="false" ht="15" hidden="false" customHeight="false" outlineLevel="0" collapsed="false">
      <c r="A313" s="44"/>
      <c r="B313" s="6"/>
      <c r="C313" s="6"/>
      <c r="D313" s="8" t="str">
        <f aca="false">IF($C313="","",IFERROR(INDEX(PRODUCTOS!$B$6:$B$105,MATCH($C313,PRODUCTOS!$A$6:$A$105,0)),"¿Código?"))</f>
        <v/>
      </c>
      <c r="E313" s="42"/>
      <c r="F313" s="35" t="str">
        <f aca="false">IF($C313="","",IFERROR(INDEX(PRODUCTOS!$D$6:$D$105,MATCH($C313,PRODUCTOS!$A$6:$A$105,0)),0))</f>
        <v/>
      </c>
      <c r="G313" s="40"/>
      <c r="H313" s="35" t="str">
        <f aca="false">IF($C313="","",N($E313)*$F313-N($G313))</f>
        <v/>
      </c>
      <c r="I313" s="35" t="str">
        <f aca="false">IF($C313="","",$H313-$H313/(1+IFERROR(INDEX(PRODUCTOS!$E$6:$E$105,MATCH($C313,PRODUCTOS!$A$6:$A$105,0)),IVA_VENTAS)))</f>
        <v/>
      </c>
      <c r="J313" s="35" t="str">
        <f aca="false">IF($C313="","",$H313-$I313)</f>
        <v/>
      </c>
      <c r="K313" s="35" t="str">
        <f aca="false">IF($C313="","",N($E313)*IFERROR(INDEX(PRODUCTOS!$H$6:$H$105,MATCH($C313,PRODUCTOS!$A$6:$A$105,0)),0))</f>
        <v/>
      </c>
      <c r="L313" s="35" t="str">
        <f aca="false">IF($C313="","",$J313-$K313)</f>
        <v/>
      </c>
      <c r="M313" s="6"/>
      <c r="N313" s="6"/>
      <c r="O313" s="46" t="str">
        <f aca="false">IF($A313="","",DATE(YEAR($A313),MONTH($A313),1))</f>
        <v/>
      </c>
    </row>
    <row r="314" customFormat="false" ht="15" hidden="false" customHeight="false" outlineLevel="0" collapsed="false">
      <c r="A314" s="44"/>
      <c r="B314" s="6"/>
      <c r="C314" s="6"/>
      <c r="D314" s="8" t="str">
        <f aca="false">IF($C314="","",IFERROR(INDEX(PRODUCTOS!$B$6:$B$105,MATCH($C314,PRODUCTOS!$A$6:$A$105,0)),"¿Código?"))</f>
        <v/>
      </c>
      <c r="E314" s="42"/>
      <c r="F314" s="35" t="str">
        <f aca="false">IF($C314="","",IFERROR(INDEX(PRODUCTOS!$D$6:$D$105,MATCH($C314,PRODUCTOS!$A$6:$A$105,0)),0))</f>
        <v/>
      </c>
      <c r="G314" s="40"/>
      <c r="H314" s="35" t="str">
        <f aca="false">IF($C314="","",N($E314)*$F314-N($G314))</f>
        <v/>
      </c>
      <c r="I314" s="35" t="str">
        <f aca="false">IF($C314="","",$H314-$H314/(1+IFERROR(INDEX(PRODUCTOS!$E$6:$E$105,MATCH($C314,PRODUCTOS!$A$6:$A$105,0)),IVA_VENTAS)))</f>
        <v/>
      </c>
      <c r="J314" s="35" t="str">
        <f aca="false">IF($C314="","",$H314-$I314)</f>
        <v/>
      </c>
      <c r="K314" s="35" t="str">
        <f aca="false">IF($C314="","",N($E314)*IFERROR(INDEX(PRODUCTOS!$H$6:$H$105,MATCH($C314,PRODUCTOS!$A$6:$A$105,0)),0))</f>
        <v/>
      </c>
      <c r="L314" s="35" t="str">
        <f aca="false">IF($C314="","",$J314-$K314)</f>
        <v/>
      </c>
      <c r="M314" s="6"/>
      <c r="N314" s="6"/>
      <c r="O314" s="46" t="str">
        <f aca="false">IF($A314="","",DATE(YEAR($A314),MONTH($A314),1))</f>
        <v/>
      </c>
    </row>
    <row r="315" customFormat="false" ht="15" hidden="false" customHeight="false" outlineLevel="0" collapsed="false">
      <c r="A315" s="44"/>
      <c r="B315" s="6"/>
      <c r="C315" s="6"/>
      <c r="D315" s="8" t="str">
        <f aca="false">IF($C315="","",IFERROR(INDEX(PRODUCTOS!$B$6:$B$105,MATCH($C315,PRODUCTOS!$A$6:$A$105,0)),"¿Código?"))</f>
        <v/>
      </c>
      <c r="E315" s="42"/>
      <c r="F315" s="35" t="str">
        <f aca="false">IF($C315="","",IFERROR(INDEX(PRODUCTOS!$D$6:$D$105,MATCH($C315,PRODUCTOS!$A$6:$A$105,0)),0))</f>
        <v/>
      </c>
      <c r="G315" s="40"/>
      <c r="H315" s="35" t="str">
        <f aca="false">IF($C315="","",N($E315)*$F315-N($G315))</f>
        <v/>
      </c>
      <c r="I315" s="35" t="str">
        <f aca="false">IF($C315="","",$H315-$H315/(1+IFERROR(INDEX(PRODUCTOS!$E$6:$E$105,MATCH($C315,PRODUCTOS!$A$6:$A$105,0)),IVA_VENTAS)))</f>
        <v/>
      </c>
      <c r="J315" s="35" t="str">
        <f aca="false">IF($C315="","",$H315-$I315)</f>
        <v/>
      </c>
      <c r="K315" s="35" t="str">
        <f aca="false">IF($C315="","",N($E315)*IFERROR(INDEX(PRODUCTOS!$H$6:$H$105,MATCH($C315,PRODUCTOS!$A$6:$A$105,0)),0))</f>
        <v/>
      </c>
      <c r="L315" s="35" t="str">
        <f aca="false">IF($C315="","",$J315-$K315)</f>
        <v/>
      </c>
      <c r="M315" s="6"/>
      <c r="N315" s="6"/>
      <c r="O315" s="46" t="str">
        <f aca="false">IF($A315="","",DATE(YEAR($A315),MONTH($A315),1))</f>
        <v/>
      </c>
    </row>
    <row r="316" customFormat="false" ht="15" hidden="false" customHeight="false" outlineLevel="0" collapsed="false">
      <c r="A316" s="44"/>
      <c r="B316" s="6"/>
      <c r="C316" s="6"/>
      <c r="D316" s="8" t="str">
        <f aca="false">IF($C316="","",IFERROR(INDEX(PRODUCTOS!$B$6:$B$105,MATCH($C316,PRODUCTOS!$A$6:$A$105,0)),"¿Código?"))</f>
        <v/>
      </c>
      <c r="E316" s="42"/>
      <c r="F316" s="35" t="str">
        <f aca="false">IF($C316="","",IFERROR(INDEX(PRODUCTOS!$D$6:$D$105,MATCH($C316,PRODUCTOS!$A$6:$A$105,0)),0))</f>
        <v/>
      </c>
      <c r="G316" s="40"/>
      <c r="H316" s="35" t="str">
        <f aca="false">IF($C316="","",N($E316)*$F316-N($G316))</f>
        <v/>
      </c>
      <c r="I316" s="35" t="str">
        <f aca="false">IF($C316="","",$H316-$H316/(1+IFERROR(INDEX(PRODUCTOS!$E$6:$E$105,MATCH($C316,PRODUCTOS!$A$6:$A$105,0)),IVA_VENTAS)))</f>
        <v/>
      </c>
      <c r="J316" s="35" t="str">
        <f aca="false">IF($C316="","",$H316-$I316)</f>
        <v/>
      </c>
      <c r="K316" s="35" t="str">
        <f aca="false">IF($C316="","",N($E316)*IFERROR(INDEX(PRODUCTOS!$H$6:$H$105,MATCH($C316,PRODUCTOS!$A$6:$A$105,0)),0))</f>
        <v/>
      </c>
      <c r="L316" s="35" t="str">
        <f aca="false">IF($C316="","",$J316-$K316)</f>
        <v/>
      </c>
      <c r="M316" s="6"/>
      <c r="N316" s="6"/>
      <c r="O316" s="46" t="str">
        <f aca="false">IF($A316="","",DATE(YEAR($A316),MONTH($A316),1))</f>
        <v/>
      </c>
    </row>
    <row r="317" customFormat="false" ht="15" hidden="false" customHeight="false" outlineLevel="0" collapsed="false">
      <c r="A317" s="44"/>
      <c r="B317" s="6"/>
      <c r="C317" s="6"/>
      <c r="D317" s="8" t="str">
        <f aca="false">IF($C317="","",IFERROR(INDEX(PRODUCTOS!$B$6:$B$105,MATCH($C317,PRODUCTOS!$A$6:$A$105,0)),"¿Código?"))</f>
        <v/>
      </c>
      <c r="E317" s="42"/>
      <c r="F317" s="35" t="str">
        <f aca="false">IF($C317="","",IFERROR(INDEX(PRODUCTOS!$D$6:$D$105,MATCH($C317,PRODUCTOS!$A$6:$A$105,0)),0))</f>
        <v/>
      </c>
      <c r="G317" s="40"/>
      <c r="H317" s="35" t="str">
        <f aca="false">IF($C317="","",N($E317)*$F317-N($G317))</f>
        <v/>
      </c>
      <c r="I317" s="35" t="str">
        <f aca="false">IF($C317="","",$H317-$H317/(1+IFERROR(INDEX(PRODUCTOS!$E$6:$E$105,MATCH($C317,PRODUCTOS!$A$6:$A$105,0)),IVA_VENTAS)))</f>
        <v/>
      </c>
      <c r="J317" s="35" t="str">
        <f aca="false">IF($C317="","",$H317-$I317)</f>
        <v/>
      </c>
      <c r="K317" s="35" t="str">
        <f aca="false">IF($C317="","",N($E317)*IFERROR(INDEX(PRODUCTOS!$H$6:$H$105,MATCH($C317,PRODUCTOS!$A$6:$A$105,0)),0))</f>
        <v/>
      </c>
      <c r="L317" s="35" t="str">
        <f aca="false">IF($C317="","",$J317-$K317)</f>
        <v/>
      </c>
      <c r="M317" s="6"/>
      <c r="N317" s="6"/>
      <c r="O317" s="46" t="str">
        <f aca="false">IF($A317="","",DATE(YEAR($A317),MONTH($A317),1))</f>
        <v/>
      </c>
    </row>
    <row r="318" customFormat="false" ht="15" hidden="false" customHeight="false" outlineLevel="0" collapsed="false">
      <c r="A318" s="44"/>
      <c r="B318" s="6"/>
      <c r="C318" s="6"/>
      <c r="D318" s="8" t="str">
        <f aca="false">IF($C318="","",IFERROR(INDEX(PRODUCTOS!$B$6:$B$105,MATCH($C318,PRODUCTOS!$A$6:$A$105,0)),"¿Código?"))</f>
        <v/>
      </c>
      <c r="E318" s="42"/>
      <c r="F318" s="35" t="str">
        <f aca="false">IF($C318="","",IFERROR(INDEX(PRODUCTOS!$D$6:$D$105,MATCH($C318,PRODUCTOS!$A$6:$A$105,0)),0))</f>
        <v/>
      </c>
      <c r="G318" s="40"/>
      <c r="H318" s="35" t="str">
        <f aca="false">IF($C318="","",N($E318)*$F318-N($G318))</f>
        <v/>
      </c>
      <c r="I318" s="35" t="str">
        <f aca="false">IF($C318="","",$H318-$H318/(1+IFERROR(INDEX(PRODUCTOS!$E$6:$E$105,MATCH($C318,PRODUCTOS!$A$6:$A$105,0)),IVA_VENTAS)))</f>
        <v/>
      </c>
      <c r="J318" s="35" t="str">
        <f aca="false">IF($C318="","",$H318-$I318)</f>
        <v/>
      </c>
      <c r="K318" s="35" t="str">
        <f aca="false">IF($C318="","",N($E318)*IFERROR(INDEX(PRODUCTOS!$H$6:$H$105,MATCH($C318,PRODUCTOS!$A$6:$A$105,0)),0))</f>
        <v/>
      </c>
      <c r="L318" s="35" t="str">
        <f aca="false">IF($C318="","",$J318-$K318)</f>
        <v/>
      </c>
      <c r="M318" s="6"/>
      <c r="N318" s="6"/>
      <c r="O318" s="46" t="str">
        <f aca="false">IF($A318="","",DATE(YEAR($A318),MONTH($A318),1))</f>
        <v/>
      </c>
    </row>
    <row r="319" customFormat="false" ht="15" hidden="false" customHeight="false" outlineLevel="0" collapsed="false">
      <c r="A319" s="44"/>
      <c r="B319" s="6"/>
      <c r="C319" s="6"/>
      <c r="D319" s="8" t="str">
        <f aca="false">IF($C319="","",IFERROR(INDEX(PRODUCTOS!$B$6:$B$105,MATCH($C319,PRODUCTOS!$A$6:$A$105,0)),"¿Código?"))</f>
        <v/>
      </c>
      <c r="E319" s="42"/>
      <c r="F319" s="35" t="str">
        <f aca="false">IF($C319="","",IFERROR(INDEX(PRODUCTOS!$D$6:$D$105,MATCH($C319,PRODUCTOS!$A$6:$A$105,0)),0))</f>
        <v/>
      </c>
      <c r="G319" s="40"/>
      <c r="H319" s="35" t="str">
        <f aca="false">IF($C319="","",N($E319)*$F319-N($G319))</f>
        <v/>
      </c>
      <c r="I319" s="35" t="str">
        <f aca="false">IF($C319="","",$H319-$H319/(1+IFERROR(INDEX(PRODUCTOS!$E$6:$E$105,MATCH($C319,PRODUCTOS!$A$6:$A$105,0)),IVA_VENTAS)))</f>
        <v/>
      </c>
      <c r="J319" s="35" t="str">
        <f aca="false">IF($C319="","",$H319-$I319)</f>
        <v/>
      </c>
      <c r="K319" s="35" t="str">
        <f aca="false">IF($C319="","",N($E319)*IFERROR(INDEX(PRODUCTOS!$H$6:$H$105,MATCH($C319,PRODUCTOS!$A$6:$A$105,0)),0))</f>
        <v/>
      </c>
      <c r="L319" s="35" t="str">
        <f aca="false">IF($C319="","",$J319-$K319)</f>
        <v/>
      </c>
      <c r="M319" s="6"/>
      <c r="N319" s="6"/>
      <c r="O319" s="46" t="str">
        <f aca="false">IF($A319="","",DATE(YEAR($A319),MONTH($A319),1))</f>
        <v/>
      </c>
    </row>
    <row r="320" customFormat="false" ht="15" hidden="false" customHeight="false" outlineLevel="0" collapsed="false">
      <c r="A320" s="44"/>
      <c r="B320" s="6"/>
      <c r="C320" s="6"/>
      <c r="D320" s="8" t="str">
        <f aca="false">IF($C320="","",IFERROR(INDEX(PRODUCTOS!$B$6:$B$105,MATCH($C320,PRODUCTOS!$A$6:$A$105,0)),"¿Código?"))</f>
        <v/>
      </c>
      <c r="E320" s="42"/>
      <c r="F320" s="35" t="str">
        <f aca="false">IF($C320="","",IFERROR(INDEX(PRODUCTOS!$D$6:$D$105,MATCH($C320,PRODUCTOS!$A$6:$A$105,0)),0))</f>
        <v/>
      </c>
      <c r="G320" s="40"/>
      <c r="H320" s="35" t="str">
        <f aca="false">IF($C320="","",N($E320)*$F320-N($G320))</f>
        <v/>
      </c>
      <c r="I320" s="35" t="str">
        <f aca="false">IF($C320="","",$H320-$H320/(1+IFERROR(INDEX(PRODUCTOS!$E$6:$E$105,MATCH($C320,PRODUCTOS!$A$6:$A$105,0)),IVA_VENTAS)))</f>
        <v/>
      </c>
      <c r="J320" s="35" t="str">
        <f aca="false">IF($C320="","",$H320-$I320)</f>
        <v/>
      </c>
      <c r="K320" s="35" t="str">
        <f aca="false">IF($C320="","",N($E320)*IFERROR(INDEX(PRODUCTOS!$H$6:$H$105,MATCH($C320,PRODUCTOS!$A$6:$A$105,0)),0))</f>
        <v/>
      </c>
      <c r="L320" s="35" t="str">
        <f aca="false">IF($C320="","",$J320-$K320)</f>
        <v/>
      </c>
      <c r="M320" s="6"/>
      <c r="N320" s="6"/>
      <c r="O320" s="46" t="str">
        <f aca="false">IF($A320="","",DATE(YEAR($A320),MONTH($A320),1))</f>
        <v/>
      </c>
    </row>
    <row r="321" customFormat="false" ht="15" hidden="false" customHeight="false" outlineLevel="0" collapsed="false">
      <c r="A321" s="44"/>
      <c r="B321" s="6"/>
      <c r="C321" s="6"/>
      <c r="D321" s="8" t="str">
        <f aca="false">IF($C321="","",IFERROR(INDEX(PRODUCTOS!$B$6:$B$105,MATCH($C321,PRODUCTOS!$A$6:$A$105,0)),"¿Código?"))</f>
        <v/>
      </c>
      <c r="E321" s="42"/>
      <c r="F321" s="35" t="str">
        <f aca="false">IF($C321="","",IFERROR(INDEX(PRODUCTOS!$D$6:$D$105,MATCH($C321,PRODUCTOS!$A$6:$A$105,0)),0))</f>
        <v/>
      </c>
      <c r="G321" s="40"/>
      <c r="H321" s="35" t="str">
        <f aca="false">IF($C321="","",N($E321)*$F321-N($G321))</f>
        <v/>
      </c>
      <c r="I321" s="35" t="str">
        <f aca="false">IF($C321="","",$H321-$H321/(1+IFERROR(INDEX(PRODUCTOS!$E$6:$E$105,MATCH($C321,PRODUCTOS!$A$6:$A$105,0)),IVA_VENTAS)))</f>
        <v/>
      </c>
      <c r="J321" s="35" t="str">
        <f aca="false">IF($C321="","",$H321-$I321)</f>
        <v/>
      </c>
      <c r="K321" s="35" t="str">
        <f aca="false">IF($C321="","",N($E321)*IFERROR(INDEX(PRODUCTOS!$H$6:$H$105,MATCH($C321,PRODUCTOS!$A$6:$A$105,0)),0))</f>
        <v/>
      </c>
      <c r="L321" s="35" t="str">
        <f aca="false">IF($C321="","",$J321-$K321)</f>
        <v/>
      </c>
      <c r="M321" s="6"/>
      <c r="N321" s="6"/>
      <c r="O321" s="46" t="str">
        <f aca="false">IF($A321="","",DATE(YEAR($A321),MONTH($A321),1))</f>
        <v/>
      </c>
    </row>
    <row r="322" customFormat="false" ht="15" hidden="false" customHeight="false" outlineLevel="0" collapsed="false">
      <c r="A322" s="44"/>
      <c r="B322" s="6"/>
      <c r="C322" s="6"/>
      <c r="D322" s="8" t="str">
        <f aca="false">IF($C322="","",IFERROR(INDEX(PRODUCTOS!$B$6:$B$105,MATCH($C322,PRODUCTOS!$A$6:$A$105,0)),"¿Código?"))</f>
        <v/>
      </c>
      <c r="E322" s="42"/>
      <c r="F322" s="35" t="str">
        <f aca="false">IF($C322="","",IFERROR(INDEX(PRODUCTOS!$D$6:$D$105,MATCH($C322,PRODUCTOS!$A$6:$A$105,0)),0))</f>
        <v/>
      </c>
      <c r="G322" s="40"/>
      <c r="H322" s="35" t="str">
        <f aca="false">IF($C322="","",N($E322)*$F322-N($G322))</f>
        <v/>
      </c>
      <c r="I322" s="35" t="str">
        <f aca="false">IF($C322="","",$H322-$H322/(1+IFERROR(INDEX(PRODUCTOS!$E$6:$E$105,MATCH($C322,PRODUCTOS!$A$6:$A$105,0)),IVA_VENTAS)))</f>
        <v/>
      </c>
      <c r="J322" s="35" t="str">
        <f aca="false">IF($C322="","",$H322-$I322)</f>
        <v/>
      </c>
      <c r="K322" s="35" t="str">
        <f aca="false">IF($C322="","",N($E322)*IFERROR(INDEX(PRODUCTOS!$H$6:$H$105,MATCH($C322,PRODUCTOS!$A$6:$A$105,0)),0))</f>
        <v/>
      </c>
      <c r="L322" s="35" t="str">
        <f aca="false">IF($C322="","",$J322-$K322)</f>
        <v/>
      </c>
      <c r="M322" s="6"/>
      <c r="N322" s="6"/>
      <c r="O322" s="46" t="str">
        <f aca="false">IF($A322="","",DATE(YEAR($A322),MONTH($A322),1))</f>
        <v/>
      </c>
    </row>
    <row r="323" customFormat="false" ht="15" hidden="false" customHeight="false" outlineLevel="0" collapsed="false">
      <c r="A323" s="44"/>
      <c r="B323" s="6"/>
      <c r="C323" s="6"/>
      <c r="D323" s="8" t="str">
        <f aca="false">IF($C323="","",IFERROR(INDEX(PRODUCTOS!$B$6:$B$105,MATCH($C323,PRODUCTOS!$A$6:$A$105,0)),"¿Código?"))</f>
        <v/>
      </c>
      <c r="E323" s="42"/>
      <c r="F323" s="35" t="str">
        <f aca="false">IF($C323="","",IFERROR(INDEX(PRODUCTOS!$D$6:$D$105,MATCH($C323,PRODUCTOS!$A$6:$A$105,0)),0))</f>
        <v/>
      </c>
      <c r="G323" s="40"/>
      <c r="H323" s="35" t="str">
        <f aca="false">IF($C323="","",N($E323)*$F323-N($G323))</f>
        <v/>
      </c>
      <c r="I323" s="35" t="str">
        <f aca="false">IF($C323="","",$H323-$H323/(1+IFERROR(INDEX(PRODUCTOS!$E$6:$E$105,MATCH($C323,PRODUCTOS!$A$6:$A$105,0)),IVA_VENTAS)))</f>
        <v/>
      </c>
      <c r="J323" s="35" t="str">
        <f aca="false">IF($C323="","",$H323-$I323)</f>
        <v/>
      </c>
      <c r="K323" s="35" t="str">
        <f aca="false">IF($C323="","",N($E323)*IFERROR(INDEX(PRODUCTOS!$H$6:$H$105,MATCH($C323,PRODUCTOS!$A$6:$A$105,0)),0))</f>
        <v/>
      </c>
      <c r="L323" s="35" t="str">
        <f aca="false">IF($C323="","",$J323-$K323)</f>
        <v/>
      </c>
      <c r="M323" s="6"/>
      <c r="N323" s="6"/>
      <c r="O323" s="46" t="str">
        <f aca="false">IF($A323="","",DATE(YEAR($A323),MONTH($A323),1))</f>
        <v/>
      </c>
    </row>
    <row r="324" customFormat="false" ht="15" hidden="false" customHeight="false" outlineLevel="0" collapsed="false">
      <c r="A324" s="44"/>
      <c r="B324" s="6"/>
      <c r="C324" s="6"/>
      <c r="D324" s="8" t="str">
        <f aca="false">IF($C324="","",IFERROR(INDEX(PRODUCTOS!$B$6:$B$105,MATCH($C324,PRODUCTOS!$A$6:$A$105,0)),"¿Código?"))</f>
        <v/>
      </c>
      <c r="E324" s="42"/>
      <c r="F324" s="35" t="str">
        <f aca="false">IF($C324="","",IFERROR(INDEX(PRODUCTOS!$D$6:$D$105,MATCH($C324,PRODUCTOS!$A$6:$A$105,0)),0))</f>
        <v/>
      </c>
      <c r="G324" s="40"/>
      <c r="H324" s="35" t="str">
        <f aca="false">IF($C324="","",N($E324)*$F324-N($G324))</f>
        <v/>
      </c>
      <c r="I324" s="35" t="str">
        <f aca="false">IF($C324="","",$H324-$H324/(1+IFERROR(INDEX(PRODUCTOS!$E$6:$E$105,MATCH($C324,PRODUCTOS!$A$6:$A$105,0)),IVA_VENTAS)))</f>
        <v/>
      </c>
      <c r="J324" s="35" t="str">
        <f aca="false">IF($C324="","",$H324-$I324)</f>
        <v/>
      </c>
      <c r="K324" s="35" t="str">
        <f aca="false">IF($C324="","",N($E324)*IFERROR(INDEX(PRODUCTOS!$H$6:$H$105,MATCH($C324,PRODUCTOS!$A$6:$A$105,0)),0))</f>
        <v/>
      </c>
      <c r="L324" s="35" t="str">
        <f aca="false">IF($C324="","",$J324-$K324)</f>
        <v/>
      </c>
      <c r="M324" s="6"/>
      <c r="N324" s="6"/>
      <c r="O324" s="46" t="str">
        <f aca="false">IF($A324="","",DATE(YEAR($A324),MONTH($A324),1))</f>
        <v/>
      </c>
    </row>
    <row r="325" customFormat="false" ht="15" hidden="false" customHeight="false" outlineLevel="0" collapsed="false">
      <c r="A325" s="44"/>
      <c r="B325" s="6"/>
      <c r="C325" s="6"/>
      <c r="D325" s="8" t="str">
        <f aca="false">IF($C325="","",IFERROR(INDEX(PRODUCTOS!$B$6:$B$105,MATCH($C325,PRODUCTOS!$A$6:$A$105,0)),"¿Código?"))</f>
        <v/>
      </c>
      <c r="E325" s="42"/>
      <c r="F325" s="35" t="str">
        <f aca="false">IF($C325="","",IFERROR(INDEX(PRODUCTOS!$D$6:$D$105,MATCH($C325,PRODUCTOS!$A$6:$A$105,0)),0))</f>
        <v/>
      </c>
      <c r="G325" s="40"/>
      <c r="H325" s="35" t="str">
        <f aca="false">IF($C325="","",N($E325)*$F325-N($G325))</f>
        <v/>
      </c>
      <c r="I325" s="35" t="str">
        <f aca="false">IF($C325="","",$H325-$H325/(1+IFERROR(INDEX(PRODUCTOS!$E$6:$E$105,MATCH($C325,PRODUCTOS!$A$6:$A$105,0)),IVA_VENTAS)))</f>
        <v/>
      </c>
      <c r="J325" s="35" t="str">
        <f aca="false">IF($C325="","",$H325-$I325)</f>
        <v/>
      </c>
      <c r="K325" s="35" t="str">
        <f aca="false">IF($C325="","",N($E325)*IFERROR(INDEX(PRODUCTOS!$H$6:$H$105,MATCH($C325,PRODUCTOS!$A$6:$A$105,0)),0))</f>
        <v/>
      </c>
      <c r="L325" s="35" t="str">
        <f aca="false">IF($C325="","",$J325-$K325)</f>
        <v/>
      </c>
      <c r="M325" s="6"/>
      <c r="N325" s="6"/>
      <c r="O325" s="46" t="str">
        <f aca="false">IF($A325="","",DATE(YEAR($A325),MONTH($A325),1))</f>
        <v/>
      </c>
    </row>
    <row r="326" customFormat="false" ht="15" hidden="false" customHeight="false" outlineLevel="0" collapsed="false">
      <c r="A326" s="44"/>
      <c r="B326" s="6"/>
      <c r="C326" s="6"/>
      <c r="D326" s="8" t="str">
        <f aca="false">IF($C326="","",IFERROR(INDEX(PRODUCTOS!$B$6:$B$105,MATCH($C326,PRODUCTOS!$A$6:$A$105,0)),"¿Código?"))</f>
        <v/>
      </c>
      <c r="E326" s="42"/>
      <c r="F326" s="35" t="str">
        <f aca="false">IF($C326="","",IFERROR(INDEX(PRODUCTOS!$D$6:$D$105,MATCH($C326,PRODUCTOS!$A$6:$A$105,0)),0))</f>
        <v/>
      </c>
      <c r="G326" s="40"/>
      <c r="H326" s="35" t="str">
        <f aca="false">IF($C326="","",N($E326)*$F326-N($G326))</f>
        <v/>
      </c>
      <c r="I326" s="35" t="str">
        <f aca="false">IF($C326="","",$H326-$H326/(1+IFERROR(INDEX(PRODUCTOS!$E$6:$E$105,MATCH($C326,PRODUCTOS!$A$6:$A$105,0)),IVA_VENTAS)))</f>
        <v/>
      </c>
      <c r="J326" s="35" t="str">
        <f aca="false">IF($C326="","",$H326-$I326)</f>
        <v/>
      </c>
      <c r="K326" s="35" t="str">
        <f aca="false">IF($C326="","",N($E326)*IFERROR(INDEX(PRODUCTOS!$H$6:$H$105,MATCH($C326,PRODUCTOS!$A$6:$A$105,0)),0))</f>
        <v/>
      </c>
      <c r="L326" s="35" t="str">
        <f aca="false">IF($C326="","",$J326-$K326)</f>
        <v/>
      </c>
      <c r="M326" s="6"/>
      <c r="N326" s="6"/>
      <c r="O326" s="46" t="str">
        <f aca="false">IF($A326="","",DATE(YEAR($A326),MONTH($A326),1))</f>
        <v/>
      </c>
    </row>
    <row r="327" customFormat="false" ht="15" hidden="false" customHeight="false" outlineLevel="0" collapsed="false">
      <c r="A327" s="44"/>
      <c r="B327" s="6"/>
      <c r="C327" s="6"/>
      <c r="D327" s="8" t="str">
        <f aca="false">IF($C327="","",IFERROR(INDEX(PRODUCTOS!$B$6:$B$105,MATCH($C327,PRODUCTOS!$A$6:$A$105,0)),"¿Código?"))</f>
        <v/>
      </c>
      <c r="E327" s="42"/>
      <c r="F327" s="35" t="str">
        <f aca="false">IF($C327="","",IFERROR(INDEX(PRODUCTOS!$D$6:$D$105,MATCH($C327,PRODUCTOS!$A$6:$A$105,0)),0))</f>
        <v/>
      </c>
      <c r="G327" s="40"/>
      <c r="H327" s="35" t="str">
        <f aca="false">IF($C327="","",N($E327)*$F327-N($G327))</f>
        <v/>
      </c>
      <c r="I327" s="35" t="str">
        <f aca="false">IF($C327="","",$H327-$H327/(1+IFERROR(INDEX(PRODUCTOS!$E$6:$E$105,MATCH($C327,PRODUCTOS!$A$6:$A$105,0)),IVA_VENTAS)))</f>
        <v/>
      </c>
      <c r="J327" s="35" t="str">
        <f aca="false">IF($C327="","",$H327-$I327)</f>
        <v/>
      </c>
      <c r="K327" s="35" t="str">
        <f aca="false">IF($C327="","",N($E327)*IFERROR(INDEX(PRODUCTOS!$H$6:$H$105,MATCH($C327,PRODUCTOS!$A$6:$A$105,0)),0))</f>
        <v/>
      </c>
      <c r="L327" s="35" t="str">
        <f aca="false">IF($C327="","",$J327-$K327)</f>
        <v/>
      </c>
      <c r="M327" s="6"/>
      <c r="N327" s="6"/>
      <c r="O327" s="46" t="str">
        <f aca="false">IF($A327="","",DATE(YEAR($A327),MONTH($A327),1))</f>
        <v/>
      </c>
    </row>
    <row r="328" customFormat="false" ht="15" hidden="false" customHeight="false" outlineLevel="0" collapsed="false">
      <c r="A328" s="44"/>
      <c r="B328" s="6"/>
      <c r="C328" s="6"/>
      <c r="D328" s="8" t="str">
        <f aca="false">IF($C328="","",IFERROR(INDEX(PRODUCTOS!$B$6:$B$105,MATCH($C328,PRODUCTOS!$A$6:$A$105,0)),"¿Código?"))</f>
        <v/>
      </c>
      <c r="E328" s="42"/>
      <c r="F328" s="35" t="str">
        <f aca="false">IF($C328="","",IFERROR(INDEX(PRODUCTOS!$D$6:$D$105,MATCH($C328,PRODUCTOS!$A$6:$A$105,0)),0))</f>
        <v/>
      </c>
      <c r="G328" s="40"/>
      <c r="H328" s="35" t="str">
        <f aca="false">IF($C328="","",N($E328)*$F328-N($G328))</f>
        <v/>
      </c>
      <c r="I328" s="35" t="str">
        <f aca="false">IF($C328="","",$H328-$H328/(1+IFERROR(INDEX(PRODUCTOS!$E$6:$E$105,MATCH($C328,PRODUCTOS!$A$6:$A$105,0)),IVA_VENTAS)))</f>
        <v/>
      </c>
      <c r="J328" s="35" t="str">
        <f aca="false">IF($C328="","",$H328-$I328)</f>
        <v/>
      </c>
      <c r="K328" s="35" t="str">
        <f aca="false">IF($C328="","",N($E328)*IFERROR(INDEX(PRODUCTOS!$H$6:$H$105,MATCH($C328,PRODUCTOS!$A$6:$A$105,0)),0))</f>
        <v/>
      </c>
      <c r="L328" s="35" t="str">
        <f aca="false">IF($C328="","",$J328-$K328)</f>
        <v/>
      </c>
      <c r="M328" s="6"/>
      <c r="N328" s="6"/>
      <c r="O328" s="46" t="str">
        <f aca="false">IF($A328="","",DATE(YEAR($A328),MONTH($A328),1))</f>
        <v/>
      </c>
    </row>
    <row r="329" customFormat="false" ht="15" hidden="false" customHeight="false" outlineLevel="0" collapsed="false">
      <c r="A329" s="44"/>
      <c r="B329" s="6"/>
      <c r="C329" s="6"/>
      <c r="D329" s="8" t="str">
        <f aca="false">IF($C329="","",IFERROR(INDEX(PRODUCTOS!$B$6:$B$105,MATCH($C329,PRODUCTOS!$A$6:$A$105,0)),"¿Código?"))</f>
        <v/>
      </c>
      <c r="E329" s="42"/>
      <c r="F329" s="35" t="str">
        <f aca="false">IF($C329="","",IFERROR(INDEX(PRODUCTOS!$D$6:$D$105,MATCH($C329,PRODUCTOS!$A$6:$A$105,0)),0))</f>
        <v/>
      </c>
      <c r="G329" s="40"/>
      <c r="H329" s="35" t="str">
        <f aca="false">IF($C329="","",N($E329)*$F329-N($G329))</f>
        <v/>
      </c>
      <c r="I329" s="35" t="str">
        <f aca="false">IF($C329="","",$H329-$H329/(1+IFERROR(INDEX(PRODUCTOS!$E$6:$E$105,MATCH($C329,PRODUCTOS!$A$6:$A$105,0)),IVA_VENTAS)))</f>
        <v/>
      </c>
      <c r="J329" s="35" t="str">
        <f aca="false">IF($C329="","",$H329-$I329)</f>
        <v/>
      </c>
      <c r="K329" s="35" t="str">
        <f aca="false">IF($C329="","",N($E329)*IFERROR(INDEX(PRODUCTOS!$H$6:$H$105,MATCH($C329,PRODUCTOS!$A$6:$A$105,0)),0))</f>
        <v/>
      </c>
      <c r="L329" s="35" t="str">
        <f aca="false">IF($C329="","",$J329-$K329)</f>
        <v/>
      </c>
      <c r="M329" s="6"/>
      <c r="N329" s="6"/>
      <c r="O329" s="46" t="str">
        <f aca="false">IF($A329="","",DATE(YEAR($A329),MONTH($A329),1))</f>
        <v/>
      </c>
    </row>
    <row r="330" customFormat="false" ht="15" hidden="false" customHeight="false" outlineLevel="0" collapsed="false">
      <c r="A330" s="44"/>
      <c r="B330" s="6"/>
      <c r="C330" s="6"/>
      <c r="D330" s="8" t="str">
        <f aca="false">IF($C330="","",IFERROR(INDEX(PRODUCTOS!$B$6:$B$105,MATCH($C330,PRODUCTOS!$A$6:$A$105,0)),"¿Código?"))</f>
        <v/>
      </c>
      <c r="E330" s="42"/>
      <c r="F330" s="35" t="str">
        <f aca="false">IF($C330="","",IFERROR(INDEX(PRODUCTOS!$D$6:$D$105,MATCH($C330,PRODUCTOS!$A$6:$A$105,0)),0))</f>
        <v/>
      </c>
      <c r="G330" s="40"/>
      <c r="H330" s="35" t="str">
        <f aca="false">IF($C330="","",N($E330)*$F330-N($G330))</f>
        <v/>
      </c>
      <c r="I330" s="35" t="str">
        <f aca="false">IF($C330="","",$H330-$H330/(1+IFERROR(INDEX(PRODUCTOS!$E$6:$E$105,MATCH($C330,PRODUCTOS!$A$6:$A$105,0)),IVA_VENTAS)))</f>
        <v/>
      </c>
      <c r="J330" s="35" t="str">
        <f aca="false">IF($C330="","",$H330-$I330)</f>
        <v/>
      </c>
      <c r="K330" s="35" t="str">
        <f aca="false">IF($C330="","",N($E330)*IFERROR(INDEX(PRODUCTOS!$H$6:$H$105,MATCH($C330,PRODUCTOS!$A$6:$A$105,0)),0))</f>
        <v/>
      </c>
      <c r="L330" s="35" t="str">
        <f aca="false">IF($C330="","",$J330-$K330)</f>
        <v/>
      </c>
      <c r="M330" s="6"/>
      <c r="N330" s="6"/>
      <c r="O330" s="46" t="str">
        <f aca="false">IF($A330="","",DATE(YEAR($A330),MONTH($A330),1))</f>
        <v/>
      </c>
    </row>
    <row r="331" customFormat="false" ht="15" hidden="false" customHeight="false" outlineLevel="0" collapsed="false">
      <c r="A331" s="44"/>
      <c r="B331" s="6"/>
      <c r="C331" s="6"/>
      <c r="D331" s="8" t="str">
        <f aca="false">IF($C331="","",IFERROR(INDEX(PRODUCTOS!$B$6:$B$105,MATCH($C331,PRODUCTOS!$A$6:$A$105,0)),"¿Código?"))</f>
        <v/>
      </c>
      <c r="E331" s="42"/>
      <c r="F331" s="35" t="str">
        <f aca="false">IF($C331="","",IFERROR(INDEX(PRODUCTOS!$D$6:$D$105,MATCH($C331,PRODUCTOS!$A$6:$A$105,0)),0))</f>
        <v/>
      </c>
      <c r="G331" s="40"/>
      <c r="H331" s="35" t="str">
        <f aca="false">IF($C331="","",N($E331)*$F331-N($G331))</f>
        <v/>
      </c>
      <c r="I331" s="35" t="str">
        <f aca="false">IF($C331="","",$H331-$H331/(1+IFERROR(INDEX(PRODUCTOS!$E$6:$E$105,MATCH($C331,PRODUCTOS!$A$6:$A$105,0)),IVA_VENTAS)))</f>
        <v/>
      </c>
      <c r="J331" s="35" t="str">
        <f aca="false">IF($C331="","",$H331-$I331)</f>
        <v/>
      </c>
      <c r="K331" s="35" t="str">
        <f aca="false">IF($C331="","",N($E331)*IFERROR(INDEX(PRODUCTOS!$H$6:$H$105,MATCH($C331,PRODUCTOS!$A$6:$A$105,0)),0))</f>
        <v/>
      </c>
      <c r="L331" s="35" t="str">
        <f aca="false">IF($C331="","",$J331-$K331)</f>
        <v/>
      </c>
      <c r="M331" s="6"/>
      <c r="N331" s="6"/>
      <c r="O331" s="46" t="str">
        <f aca="false">IF($A331="","",DATE(YEAR($A331),MONTH($A331),1))</f>
        <v/>
      </c>
    </row>
    <row r="332" customFormat="false" ht="15" hidden="false" customHeight="false" outlineLevel="0" collapsed="false">
      <c r="A332" s="44"/>
      <c r="B332" s="6"/>
      <c r="C332" s="6"/>
      <c r="D332" s="8" t="str">
        <f aca="false">IF($C332="","",IFERROR(INDEX(PRODUCTOS!$B$6:$B$105,MATCH($C332,PRODUCTOS!$A$6:$A$105,0)),"¿Código?"))</f>
        <v/>
      </c>
      <c r="E332" s="42"/>
      <c r="F332" s="35" t="str">
        <f aca="false">IF($C332="","",IFERROR(INDEX(PRODUCTOS!$D$6:$D$105,MATCH($C332,PRODUCTOS!$A$6:$A$105,0)),0))</f>
        <v/>
      </c>
      <c r="G332" s="40"/>
      <c r="H332" s="35" t="str">
        <f aca="false">IF($C332="","",N($E332)*$F332-N($G332))</f>
        <v/>
      </c>
      <c r="I332" s="35" t="str">
        <f aca="false">IF($C332="","",$H332-$H332/(1+IFERROR(INDEX(PRODUCTOS!$E$6:$E$105,MATCH($C332,PRODUCTOS!$A$6:$A$105,0)),IVA_VENTAS)))</f>
        <v/>
      </c>
      <c r="J332" s="35" t="str">
        <f aca="false">IF($C332="","",$H332-$I332)</f>
        <v/>
      </c>
      <c r="K332" s="35" t="str">
        <f aca="false">IF($C332="","",N($E332)*IFERROR(INDEX(PRODUCTOS!$H$6:$H$105,MATCH($C332,PRODUCTOS!$A$6:$A$105,0)),0))</f>
        <v/>
      </c>
      <c r="L332" s="35" t="str">
        <f aca="false">IF($C332="","",$J332-$K332)</f>
        <v/>
      </c>
      <c r="M332" s="6"/>
      <c r="N332" s="6"/>
      <c r="O332" s="46" t="str">
        <f aca="false">IF($A332="","",DATE(YEAR($A332),MONTH($A332),1))</f>
        <v/>
      </c>
    </row>
    <row r="333" customFormat="false" ht="15" hidden="false" customHeight="false" outlineLevel="0" collapsed="false">
      <c r="A333" s="44"/>
      <c r="B333" s="6"/>
      <c r="C333" s="6"/>
      <c r="D333" s="8" t="str">
        <f aca="false">IF($C333="","",IFERROR(INDEX(PRODUCTOS!$B$6:$B$105,MATCH($C333,PRODUCTOS!$A$6:$A$105,0)),"¿Código?"))</f>
        <v/>
      </c>
      <c r="E333" s="42"/>
      <c r="F333" s="35" t="str">
        <f aca="false">IF($C333="","",IFERROR(INDEX(PRODUCTOS!$D$6:$D$105,MATCH($C333,PRODUCTOS!$A$6:$A$105,0)),0))</f>
        <v/>
      </c>
      <c r="G333" s="40"/>
      <c r="H333" s="35" t="str">
        <f aca="false">IF($C333="","",N($E333)*$F333-N($G333))</f>
        <v/>
      </c>
      <c r="I333" s="35" t="str">
        <f aca="false">IF($C333="","",$H333-$H333/(1+IFERROR(INDEX(PRODUCTOS!$E$6:$E$105,MATCH($C333,PRODUCTOS!$A$6:$A$105,0)),IVA_VENTAS)))</f>
        <v/>
      </c>
      <c r="J333" s="35" t="str">
        <f aca="false">IF($C333="","",$H333-$I333)</f>
        <v/>
      </c>
      <c r="K333" s="35" t="str">
        <f aca="false">IF($C333="","",N($E333)*IFERROR(INDEX(PRODUCTOS!$H$6:$H$105,MATCH($C333,PRODUCTOS!$A$6:$A$105,0)),0))</f>
        <v/>
      </c>
      <c r="L333" s="35" t="str">
        <f aca="false">IF($C333="","",$J333-$K333)</f>
        <v/>
      </c>
      <c r="M333" s="6"/>
      <c r="N333" s="6"/>
      <c r="O333" s="46" t="str">
        <f aca="false">IF($A333="","",DATE(YEAR($A333),MONTH($A333),1))</f>
        <v/>
      </c>
    </row>
    <row r="334" customFormat="false" ht="15" hidden="false" customHeight="false" outlineLevel="0" collapsed="false">
      <c r="A334" s="44"/>
      <c r="B334" s="6"/>
      <c r="C334" s="6"/>
      <c r="D334" s="8" t="str">
        <f aca="false">IF($C334="","",IFERROR(INDEX(PRODUCTOS!$B$6:$B$105,MATCH($C334,PRODUCTOS!$A$6:$A$105,0)),"¿Código?"))</f>
        <v/>
      </c>
      <c r="E334" s="42"/>
      <c r="F334" s="35" t="str">
        <f aca="false">IF($C334="","",IFERROR(INDEX(PRODUCTOS!$D$6:$D$105,MATCH($C334,PRODUCTOS!$A$6:$A$105,0)),0))</f>
        <v/>
      </c>
      <c r="G334" s="40"/>
      <c r="H334" s="35" t="str">
        <f aca="false">IF($C334="","",N($E334)*$F334-N($G334))</f>
        <v/>
      </c>
      <c r="I334" s="35" t="str">
        <f aca="false">IF($C334="","",$H334-$H334/(1+IFERROR(INDEX(PRODUCTOS!$E$6:$E$105,MATCH($C334,PRODUCTOS!$A$6:$A$105,0)),IVA_VENTAS)))</f>
        <v/>
      </c>
      <c r="J334" s="35" t="str">
        <f aca="false">IF($C334="","",$H334-$I334)</f>
        <v/>
      </c>
      <c r="K334" s="35" t="str">
        <f aca="false">IF($C334="","",N($E334)*IFERROR(INDEX(PRODUCTOS!$H$6:$H$105,MATCH($C334,PRODUCTOS!$A$6:$A$105,0)),0))</f>
        <v/>
      </c>
      <c r="L334" s="35" t="str">
        <f aca="false">IF($C334="","",$J334-$K334)</f>
        <v/>
      </c>
      <c r="M334" s="6"/>
      <c r="N334" s="6"/>
      <c r="O334" s="46" t="str">
        <f aca="false">IF($A334="","",DATE(YEAR($A334),MONTH($A334),1))</f>
        <v/>
      </c>
    </row>
    <row r="335" customFormat="false" ht="15" hidden="false" customHeight="false" outlineLevel="0" collapsed="false">
      <c r="A335" s="44"/>
      <c r="B335" s="6"/>
      <c r="C335" s="6"/>
      <c r="D335" s="8" t="str">
        <f aca="false">IF($C335="","",IFERROR(INDEX(PRODUCTOS!$B$6:$B$105,MATCH($C335,PRODUCTOS!$A$6:$A$105,0)),"¿Código?"))</f>
        <v/>
      </c>
      <c r="E335" s="42"/>
      <c r="F335" s="35" t="str">
        <f aca="false">IF($C335="","",IFERROR(INDEX(PRODUCTOS!$D$6:$D$105,MATCH($C335,PRODUCTOS!$A$6:$A$105,0)),0))</f>
        <v/>
      </c>
      <c r="G335" s="40"/>
      <c r="H335" s="35" t="str">
        <f aca="false">IF($C335="","",N($E335)*$F335-N($G335))</f>
        <v/>
      </c>
      <c r="I335" s="35" t="str">
        <f aca="false">IF($C335="","",$H335-$H335/(1+IFERROR(INDEX(PRODUCTOS!$E$6:$E$105,MATCH($C335,PRODUCTOS!$A$6:$A$105,0)),IVA_VENTAS)))</f>
        <v/>
      </c>
      <c r="J335" s="35" t="str">
        <f aca="false">IF($C335="","",$H335-$I335)</f>
        <v/>
      </c>
      <c r="K335" s="35" t="str">
        <f aca="false">IF($C335="","",N($E335)*IFERROR(INDEX(PRODUCTOS!$H$6:$H$105,MATCH($C335,PRODUCTOS!$A$6:$A$105,0)),0))</f>
        <v/>
      </c>
      <c r="L335" s="35" t="str">
        <f aca="false">IF($C335="","",$J335-$K335)</f>
        <v/>
      </c>
      <c r="M335" s="6"/>
      <c r="N335" s="6"/>
      <c r="O335" s="46" t="str">
        <f aca="false">IF($A335="","",DATE(YEAR($A335),MONTH($A335),1))</f>
        <v/>
      </c>
    </row>
    <row r="336" customFormat="false" ht="15" hidden="false" customHeight="false" outlineLevel="0" collapsed="false">
      <c r="A336" s="44"/>
      <c r="B336" s="6"/>
      <c r="C336" s="6"/>
      <c r="D336" s="8" t="str">
        <f aca="false">IF($C336="","",IFERROR(INDEX(PRODUCTOS!$B$6:$B$105,MATCH($C336,PRODUCTOS!$A$6:$A$105,0)),"¿Código?"))</f>
        <v/>
      </c>
      <c r="E336" s="42"/>
      <c r="F336" s="35" t="str">
        <f aca="false">IF($C336="","",IFERROR(INDEX(PRODUCTOS!$D$6:$D$105,MATCH($C336,PRODUCTOS!$A$6:$A$105,0)),0))</f>
        <v/>
      </c>
      <c r="G336" s="40"/>
      <c r="H336" s="35" t="str">
        <f aca="false">IF($C336="","",N($E336)*$F336-N($G336))</f>
        <v/>
      </c>
      <c r="I336" s="35" t="str">
        <f aca="false">IF($C336="","",$H336-$H336/(1+IFERROR(INDEX(PRODUCTOS!$E$6:$E$105,MATCH($C336,PRODUCTOS!$A$6:$A$105,0)),IVA_VENTAS)))</f>
        <v/>
      </c>
      <c r="J336" s="35" t="str">
        <f aca="false">IF($C336="","",$H336-$I336)</f>
        <v/>
      </c>
      <c r="K336" s="35" t="str">
        <f aca="false">IF($C336="","",N($E336)*IFERROR(INDEX(PRODUCTOS!$H$6:$H$105,MATCH($C336,PRODUCTOS!$A$6:$A$105,0)),0))</f>
        <v/>
      </c>
      <c r="L336" s="35" t="str">
        <f aca="false">IF($C336="","",$J336-$K336)</f>
        <v/>
      </c>
      <c r="M336" s="6"/>
      <c r="N336" s="6"/>
      <c r="O336" s="46" t="str">
        <f aca="false">IF($A336="","",DATE(YEAR($A336),MONTH($A336),1))</f>
        <v/>
      </c>
    </row>
    <row r="337" customFormat="false" ht="15" hidden="false" customHeight="false" outlineLevel="0" collapsed="false">
      <c r="A337" s="44"/>
      <c r="B337" s="6"/>
      <c r="C337" s="6"/>
      <c r="D337" s="8" t="str">
        <f aca="false">IF($C337="","",IFERROR(INDEX(PRODUCTOS!$B$6:$B$105,MATCH($C337,PRODUCTOS!$A$6:$A$105,0)),"¿Código?"))</f>
        <v/>
      </c>
      <c r="E337" s="42"/>
      <c r="F337" s="35" t="str">
        <f aca="false">IF($C337="","",IFERROR(INDEX(PRODUCTOS!$D$6:$D$105,MATCH($C337,PRODUCTOS!$A$6:$A$105,0)),0))</f>
        <v/>
      </c>
      <c r="G337" s="40"/>
      <c r="H337" s="35" t="str">
        <f aca="false">IF($C337="","",N($E337)*$F337-N($G337))</f>
        <v/>
      </c>
      <c r="I337" s="35" t="str">
        <f aca="false">IF($C337="","",$H337-$H337/(1+IFERROR(INDEX(PRODUCTOS!$E$6:$E$105,MATCH($C337,PRODUCTOS!$A$6:$A$105,0)),IVA_VENTAS)))</f>
        <v/>
      </c>
      <c r="J337" s="35" t="str">
        <f aca="false">IF($C337="","",$H337-$I337)</f>
        <v/>
      </c>
      <c r="K337" s="35" t="str">
        <f aca="false">IF($C337="","",N($E337)*IFERROR(INDEX(PRODUCTOS!$H$6:$H$105,MATCH($C337,PRODUCTOS!$A$6:$A$105,0)),0))</f>
        <v/>
      </c>
      <c r="L337" s="35" t="str">
        <f aca="false">IF($C337="","",$J337-$K337)</f>
        <v/>
      </c>
      <c r="M337" s="6"/>
      <c r="N337" s="6"/>
      <c r="O337" s="46" t="str">
        <f aca="false">IF($A337="","",DATE(YEAR($A337),MONTH($A337),1))</f>
        <v/>
      </c>
    </row>
    <row r="338" customFormat="false" ht="15" hidden="false" customHeight="false" outlineLevel="0" collapsed="false">
      <c r="A338" s="44"/>
      <c r="B338" s="6"/>
      <c r="C338" s="6"/>
      <c r="D338" s="8" t="str">
        <f aca="false">IF($C338="","",IFERROR(INDEX(PRODUCTOS!$B$6:$B$105,MATCH($C338,PRODUCTOS!$A$6:$A$105,0)),"¿Código?"))</f>
        <v/>
      </c>
      <c r="E338" s="42"/>
      <c r="F338" s="35" t="str">
        <f aca="false">IF($C338="","",IFERROR(INDEX(PRODUCTOS!$D$6:$D$105,MATCH($C338,PRODUCTOS!$A$6:$A$105,0)),0))</f>
        <v/>
      </c>
      <c r="G338" s="40"/>
      <c r="H338" s="35" t="str">
        <f aca="false">IF($C338="","",N($E338)*$F338-N($G338))</f>
        <v/>
      </c>
      <c r="I338" s="35" t="str">
        <f aca="false">IF($C338="","",$H338-$H338/(1+IFERROR(INDEX(PRODUCTOS!$E$6:$E$105,MATCH($C338,PRODUCTOS!$A$6:$A$105,0)),IVA_VENTAS)))</f>
        <v/>
      </c>
      <c r="J338" s="35" t="str">
        <f aca="false">IF($C338="","",$H338-$I338)</f>
        <v/>
      </c>
      <c r="K338" s="35" t="str">
        <f aca="false">IF($C338="","",N($E338)*IFERROR(INDEX(PRODUCTOS!$H$6:$H$105,MATCH($C338,PRODUCTOS!$A$6:$A$105,0)),0))</f>
        <v/>
      </c>
      <c r="L338" s="35" t="str">
        <f aca="false">IF($C338="","",$J338-$K338)</f>
        <v/>
      </c>
      <c r="M338" s="6"/>
      <c r="N338" s="6"/>
      <c r="O338" s="46" t="str">
        <f aca="false">IF($A338="","",DATE(YEAR($A338),MONTH($A338),1))</f>
        <v/>
      </c>
    </row>
    <row r="339" customFormat="false" ht="15" hidden="false" customHeight="false" outlineLevel="0" collapsed="false">
      <c r="A339" s="44"/>
      <c r="B339" s="6"/>
      <c r="C339" s="6"/>
      <c r="D339" s="8" t="str">
        <f aca="false">IF($C339="","",IFERROR(INDEX(PRODUCTOS!$B$6:$B$105,MATCH($C339,PRODUCTOS!$A$6:$A$105,0)),"¿Código?"))</f>
        <v/>
      </c>
      <c r="E339" s="42"/>
      <c r="F339" s="35" t="str">
        <f aca="false">IF($C339="","",IFERROR(INDEX(PRODUCTOS!$D$6:$D$105,MATCH($C339,PRODUCTOS!$A$6:$A$105,0)),0))</f>
        <v/>
      </c>
      <c r="G339" s="40"/>
      <c r="H339" s="35" t="str">
        <f aca="false">IF($C339="","",N($E339)*$F339-N($G339))</f>
        <v/>
      </c>
      <c r="I339" s="35" t="str">
        <f aca="false">IF($C339="","",$H339-$H339/(1+IFERROR(INDEX(PRODUCTOS!$E$6:$E$105,MATCH($C339,PRODUCTOS!$A$6:$A$105,0)),IVA_VENTAS)))</f>
        <v/>
      </c>
      <c r="J339" s="35" t="str">
        <f aca="false">IF($C339="","",$H339-$I339)</f>
        <v/>
      </c>
      <c r="K339" s="35" t="str">
        <f aca="false">IF($C339="","",N($E339)*IFERROR(INDEX(PRODUCTOS!$H$6:$H$105,MATCH($C339,PRODUCTOS!$A$6:$A$105,0)),0))</f>
        <v/>
      </c>
      <c r="L339" s="35" t="str">
        <f aca="false">IF($C339="","",$J339-$K339)</f>
        <v/>
      </c>
      <c r="M339" s="6"/>
      <c r="N339" s="6"/>
      <c r="O339" s="46" t="str">
        <f aca="false">IF($A339="","",DATE(YEAR($A339),MONTH($A339),1))</f>
        <v/>
      </c>
    </row>
    <row r="340" customFormat="false" ht="15" hidden="false" customHeight="false" outlineLevel="0" collapsed="false">
      <c r="A340" s="44"/>
      <c r="B340" s="6"/>
      <c r="C340" s="6"/>
      <c r="D340" s="8" t="str">
        <f aca="false">IF($C340="","",IFERROR(INDEX(PRODUCTOS!$B$6:$B$105,MATCH($C340,PRODUCTOS!$A$6:$A$105,0)),"¿Código?"))</f>
        <v/>
      </c>
      <c r="E340" s="42"/>
      <c r="F340" s="35" t="str">
        <f aca="false">IF($C340="","",IFERROR(INDEX(PRODUCTOS!$D$6:$D$105,MATCH($C340,PRODUCTOS!$A$6:$A$105,0)),0))</f>
        <v/>
      </c>
      <c r="G340" s="40"/>
      <c r="H340" s="35" t="str">
        <f aca="false">IF($C340="","",N($E340)*$F340-N($G340))</f>
        <v/>
      </c>
      <c r="I340" s="35" t="str">
        <f aca="false">IF($C340="","",$H340-$H340/(1+IFERROR(INDEX(PRODUCTOS!$E$6:$E$105,MATCH($C340,PRODUCTOS!$A$6:$A$105,0)),IVA_VENTAS)))</f>
        <v/>
      </c>
      <c r="J340" s="35" t="str">
        <f aca="false">IF($C340="","",$H340-$I340)</f>
        <v/>
      </c>
      <c r="K340" s="35" t="str">
        <f aca="false">IF($C340="","",N($E340)*IFERROR(INDEX(PRODUCTOS!$H$6:$H$105,MATCH($C340,PRODUCTOS!$A$6:$A$105,0)),0))</f>
        <v/>
      </c>
      <c r="L340" s="35" t="str">
        <f aca="false">IF($C340="","",$J340-$K340)</f>
        <v/>
      </c>
      <c r="M340" s="6"/>
      <c r="N340" s="6"/>
      <c r="O340" s="46" t="str">
        <f aca="false">IF($A340="","",DATE(YEAR($A340),MONTH($A340),1))</f>
        <v/>
      </c>
    </row>
    <row r="341" customFormat="false" ht="15" hidden="false" customHeight="false" outlineLevel="0" collapsed="false">
      <c r="A341" s="44"/>
      <c r="B341" s="6"/>
      <c r="C341" s="6"/>
      <c r="D341" s="8" t="str">
        <f aca="false">IF($C341="","",IFERROR(INDEX(PRODUCTOS!$B$6:$B$105,MATCH($C341,PRODUCTOS!$A$6:$A$105,0)),"¿Código?"))</f>
        <v/>
      </c>
      <c r="E341" s="42"/>
      <c r="F341" s="35" t="str">
        <f aca="false">IF($C341="","",IFERROR(INDEX(PRODUCTOS!$D$6:$D$105,MATCH($C341,PRODUCTOS!$A$6:$A$105,0)),0))</f>
        <v/>
      </c>
      <c r="G341" s="40"/>
      <c r="H341" s="35" t="str">
        <f aca="false">IF($C341="","",N($E341)*$F341-N($G341))</f>
        <v/>
      </c>
      <c r="I341" s="35" t="str">
        <f aca="false">IF($C341="","",$H341-$H341/(1+IFERROR(INDEX(PRODUCTOS!$E$6:$E$105,MATCH($C341,PRODUCTOS!$A$6:$A$105,0)),IVA_VENTAS)))</f>
        <v/>
      </c>
      <c r="J341" s="35" t="str">
        <f aca="false">IF($C341="","",$H341-$I341)</f>
        <v/>
      </c>
      <c r="K341" s="35" t="str">
        <f aca="false">IF($C341="","",N($E341)*IFERROR(INDEX(PRODUCTOS!$H$6:$H$105,MATCH($C341,PRODUCTOS!$A$6:$A$105,0)),0))</f>
        <v/>
      </c>
      <c r="L341" s="35" t="str">
        <f aca="false">IF($C341="","",$J341-$K341)</f>
        <v/>
      </c>
      <c r="M341" s="6"/>
      <c r="N341" s="6"/>
      <c r="O341" s="46" t="str">
        <f aca="false">IF($A341="","",DATE(YEAR($A341),MONTH($A341),1))</f>
        <v/>
      </c>
    </row>
    <row r="342" customFormat="false" ht="15" hidden="false" customHeight="false" outlineLevel="0" collapsed="false">
      <c r="A342" s="44"/>
      <c r="B342" s="6"/>
      <c r="C342" s="6"/>
      <c r="D342" s="8" t="str">
        <f aca="false">IF($C342="","",IFERROR(INDEX(PRODUCTOS!$B$6:$B$105,MATCH($C342,PRODUCTOS!$A$6:$A$105,0)),"¿Código?"))</f>
        <v/>
      </c>
      <c r="E342" s="42"/>
      <c r="F342" s="35" t="str">
        <f aca="false">IF($C342="","",IFERROR(INDEX(PRODUCTOS!$D$6:$D$105,MATCH($C342,PRODUCTOS!$A$6:$A$105,0)),0))</f>
        <v/>
      </c>
      <c r="G342" s="40"/>
      <c r="H342" s="35" t="str">
        <f aca="false">IF($C342="","",N($E342)*$F342-N($G342))</f>
        <v/>
      </c>
      <c r="I342" s="35" t="str">
        <f aca="false">IF($C342="","",$H342-$H342/(1+IFERROR(INDEX(PRODUCTOS!$E$6:$E$105,MATCH($C342,PRODUCTOS!$A$6:$A$105,0)),IVA_VENTAS)))</f>
        <v/>
      </c>
      <c r="J342" s="35" t="str">
        <f aca="false">IF($C342="","",$H342-$I342)</f>
        <v/>
      </c>
      <c r="K342" s="35" t="str">
        <f aca="false">IF($C342="","",N($E342)*IFERROR(INDEX(PRODUCTOS!$H$6:$H$105,MATCH($C342,PRODUCTOS!$A$6:$A$105,0)),0))</f>
        <v/>
      </c>
      <c r="L342" s="35" t="str">
        <f aca="false">IF($C342="","",$J342-$K342)</f>
        <v/>
      </c>
      <c r="M342" s="6"/>
      <c r="N342" s="6"/>
      <c r="O342" s="46" t="str">
        <f aca="false">IF($A342="","",DATE(YEAR($A342),MONTH($A342),1))</f>
        <v/>
      </c>
    </row>
    <row r="343" customFormat="false" ht="15" hidden="false" customHeight="false" outlineLevel="0" collapsed="false">
      <c r="A343" s="44"/>
      <c r="B343" s="6"/>
      <c r="C343" s="6"/>
      <c r="D343" s="8" t="str">
        <f aca="false">IF($C343="","",IFERROR(INDEX(PRODUCTOS!$B$6:$B$105,MATCH($C343,PRODUCTOS!$A$6:$A$105,0)),"¿Código?"))</f>
        <v/>
      </c>
      <c r="E343" s="42"/>
      <c r="F343" s="35" t="str">
        <f aca="false">IF($C343="","",IFERROR(INDEX(PRODUCTOS!$D$6:$D$105,MATCH($C343,PRODUCTOS!$A$6:$A$105,0)),0))</f>
        <v/>
      </c>
      <c r="G343" s="40"/>
      <c r="H343" s="35" t="str">
        <f aca="false">IF($C343="","",N($E343)*$F343-N($G343))</f>
        <v/>
      </c>
      <c r="I343" s="35" t="str">
        <f aca="false">IF($C343="","",$H343-$H343/(1+IFERROR(INDEX(PRODUCTOS!$E$6:$E$105,MATCH($C343,PRODUCTOS!$A$6:$A$105,0)),IVA_VENTAS)))</f>
        <v/>
      </c>
      <c r="J343" s="35" t="str">
        <f aca="false">IF($C343="","",$H343-$I343)</f>
        <v/>
      </c>
      <c r="K343" s="35" t="str">
        <f aca="false">IF($C343="","",N($E343)*IFERROR(INDEX(PRODUCTOS!$H$6:$H$105,MATCH($C343,PRODUCTOS!$A$6:$A$105,0)),0))</f>
        <v/>
      </c>
      <c r="L343" s="35" t="str">
        <f aca="false">IF($C343="","",$J343-$K343)</f>
        <v/>
      </c>
      <c r="M343" s="6"/>
      <c r="N343" s="6"/>
      <c r="O343" s="46" t="str">
        <f aca="false">IF($A343="","",DATE(YEAR($A343),MONTH($A343),1))</f>
        <v/>
      </c>
    </row>
    <row r="344" customFormat="false" ht="15" hidden="false" customHeight="false" outlineLevel="0" collapsed="false">
      <c r="A344" s="44"/>
      <c r="B344" s="6"/>
      <c r="C344" s="6"/>
      <c r="D344" s="8" t="str">
        <f aca="false">IF($C344="","",IFERROR(INDEX(PRODUCTOS!$B$6:$B$105,MATCH($C344,PRODUCTOS!$A$6:$A$105,0)),"¿Código?"))</f>
        <v/>
      </c>
      <c r="E344" s="42"/>
      <c r="F344" s="35" t="str">
        <f aca="false">IF($C344="","",IFERROR(INDEX(PRODUCTOS!$D$6:$D$105,MATCH($C344,PRODUCTOS!$A$6:$A$105,0)),0))</f>
        <v/>
      </c>
      <c r="G344" s="40"/>
      <c r="H344" s="35" t="str">
        <f aca="false">IF($C344="","",N($E344)*$F344-N($G344))</f>
        <v/>
      </c>
      <c r="I344" s="35" t="str">
        <f aca="false">IF($C344="","",$H344-$H344/(1+IFERROR(INDEX(PRODUCTOS!$E$6:$E$105,MATCH($C344,PRODUCTOS!$A$6:$A$105,0)),IVA_VENTAS)))</f>
        <v/>
      </c>
      <c r="J344" s="35" t="str">
        <f aca="false">IF($C344="","",$H344-$I344)</f>
        <v/>
      </c>
      <c r="K344" s="35" t="str">
        <f aca="false">IF($C344="","",N($E344)*IFERROR(INDEX(PRODUCTOS!$H$6:$H$105,MATCH($C344,PRODUCTOS!$A$6:$A$105,0)),0))</f>
        <v/>
      </c>
      <c r="L344" s="35" t="str">
        <f aca="false">IF($C344="","",$J344-$K344)</f>
        <v/>
      </c>
      <c r="M344" s="6"/>
      <c r="N344" s="6"/>
      <c r="O344" s="46" t="str">
        <f aca="false">IF($A344="","",DATE(YEAR($A344),MONTH($A344),1))</f>
        <v/>
      </c>
    </row>
    <row r="345" customFormat="false" ht="15" hidden="false" customHeight="false" outlineLevel="0" collapsed="false">
      <c r="A345" s="44"/>
      <c r="B345" s="6"/>
      <c r="C345" s="6"/>
      <c r="D345" s="8" t="str">
        <f aca="false">IF($C345="","",IFERROR(INDEX(PRODUCTOS!$B$6:$B$105,MATCH($C345,PRODUCTOS!$A$6:$A$105,0)),"¿Código?"))</f>
        <v/>
      </c>
      <c r="E345" s="42"/>
      <c r="F345" s="35" t="str">
        <f aca="false">IF($C345="","",IFERROR(INDEX(PRODUCTOS!$D$6:$D$105,MATCH($C345,PRODUCTOS!$A$6:$A$105,0)),0))</f>
        <v/>
      </c>
      <c r="G345" s="40"/>
      <c r="H345" s="35" t="str">
        <f aca="false">IF($C345="","",N($E345)*$F345-N($G345))</f>
        <v/>
      </c>
      <c r="I345" s="35" t="str">
        <f aca="false">IF($C345="","",$H345-$H345/(1+IFERROR(INDEX(PRODUCTOS!$E$6:$E$105,MATCH($C345,PRODUCTOS!$A$6:$A$105,0)),IVA_VENTAS)))</f>
        <v/>
      </c>
      <c r="J345" s="35" t="str">
        <f aca="false">IF($C345="","",$H345-$I345)</f>
        <v/>
      </c>
      <c r="K345" s="35" t="str">
        <f aca="false">IF($C345="","",N($E345)*IFERROR(INDEX(PRODUCTOS!$H$6:$H$105,MATCH($C345,PRODUCTOS!$A$6:$A$105,0)),0))</f>
        <v/>
      </c>
      <c r="L345" s="35" t="str">
        <f aca="false">IF($C345="","",$J345-$K345)</f>
        <v/>
      </c>
      <c r="M345" s="6"/>
      <c r="N345" s="6"/>
      <c r="O345" s="46" t="str">
        <f aca="false">IF($A345="","",DATE(YEAR($A345),MONTH($A345),1))</f>
        <v/>
      </c>
    </row>
    <row r="346" customFormat="false" ht="15" hidden="false" customHeight="false" outlineLevel="0" collapsed="false">
      <c r="A346" s="44"/>
      <c r="B346" s="6"/>
      <c r="C346" s="6"/>
      <c r="D346" s="8" t="str">
        <f aca="false">IF($C346="","",IFERROR(INDEX(PRODUCTOS!$B$6:$B$105,MATCH($C346,PRODUCTOS!$A$6:$A$105,0)),"¿Código?"))</f>
        <v/>
      </c>
      <c r="E346" s="42"/>
      <c r="F346" s="35" t="str">
        <f aca="false">IF($C346="","",IFERROR(INDEX(PRODUCTOS!$D$6:$D$105,MATCH($C346,PRODUCTOS!$A$6:$A$105,0)),0))</f>
        <v/>
      </c>
      <c r="G346" s="40"/>
      <c r="H346" s="35" t="str">
        <f aca="false">IF($C346="","",N($E346)*$F346-N($G346))</f>
        <v/>
      </c>
      <c r="I346" s="35" t="str">
        <f aca="false">IF($C346="","",$H346-$H346/(1+IFERROR(INDEX(PRODUCTOS!$E$6:$E$105,MATCH($C346,PRODUCTOS!$A$6:$A$105,0)),IVA_VENTAS)))</f>
        <v/>
      </c>
      <c r="J346" s="35" t="str">
        <f aca="false">IF($C346="","",$H346-$I346)</f>
        <v/>
      </c>
      <c r="K346" s="35" t="str">
        <f aca="false">IF($C346="","",N($E346)*IFERROR(INDEX(PRODUCTOS!$H$6:$H$105,MATCH($C346,PRODUCTOS!$A$6:$A$105,0)),0))</f>
        <v/>
      </c>
      <c r="L346" s="35" t="str">
        <f aca="false">IF($C346="","",$J346-$K346)</f>
        <v/>
      </c>
      <c r="M346" s="6"/>
      <c r="N346" s="6"/>
      <c r="O346" s="46" t="str">
        <f aca="false">IF($A346="","",DATE(YEAR($A346),MONTH($A346),1))</f>
        <v/>
      </c>
    </row>
    <row r="347" customFormat="false" ht="15" hidden="false" customHeight="false" outlineLevel="0" collapsed="false">
      <c r="A347" s="44"/>
      <c r="B347" s="6"/>
      <c r="C347" s="6"/>
      <c r="D347" s="8" t="str">
        <f aca="false">IF($C347="","",IFERROR(INDEX(PRODUCTOS!$B$6:$B$105,MATCH($C347,PRODUCTOS!$A$6:$A$105,0)),"¿Código?"))</f>
        <v/>
      </c>
      <c r="E347" s="42"/>
      <c r="F347" s="35" t="str">
        <f aca="false">IF($C347="","",IFERROR(INDEX(PRODUCTOS!$D$6:$D$105,MATCH($C347,PRODUCTOS!$A$6:$A$105,0)),0))</f>
        <v/>
      </c>
      <c r="G347" s="40"/>
      <c r="H347" s="35" t="str">
        <f aca="false">IF($C347="","",N($E347)*$F347-N($G347))</f>
        <v/>
      </c>
      <c r="I347" s="35" t="str">
        <f aca="false">IF($C347="","",$H347-$H347/(1+IFERROR(INDEX(PRODUCTOS!$E$6:$E$105,MATCH($C347,PRODUCTOS!$A$6:$A$105,0)),IVA_VENTAS)))</f>
        <v/>
      </c>
      <c r="J347" s="35" t="str">
        <f aca="false">IF($C347="","",$H347-$I347)</f>
        <v/>
      </c>
      <c r="K347" s="35" t="str">
        <f aca="false">IF($C347="","",N($E347)*IFERROR(INDEX(PRODUCTOS!$H$6:$H$105,MATCH($C347,PRODUCTOS!$A$6:$A$105,0)),0))</f>
        <v/>
      </c>
      <c r="L347" s="35" t="str">
        <f aca="false">IF($C347="","",$J347-$K347)</f>
        <v/>
      </c>
      <c r="M347" s="6"/>
      <c r="N347" s="6"/>
      <c r="O347" s="46" t="str">
        <f aca="false">IF($A347="","",DATE(YEAR($A347),MONTH($A347),1))</f>
        <v/>
      </c>
    </row>
    <row r="348" customFormat="false" ht="15" hidden="false" customHeight="false" outlineLevel="0" collapsed="false">
      <c r="A348" s="44"/>
      <c r="B348" s="6"/>
      <c r="C348" s="6"/>
      <c r="D348" s="8" t="str">
        <f aca="false">IF($C348="","",IFERROR(INDEX(PRODUCTOS!$B$6:$B$105,MATCH($C348,PRODUCTOS!$A$6:$A$105,0)),"¿Código?"))</f>
        <v/>
      </c>
      <c r="E348" s="42"/>
      <c r="F348" s="35" t="str">
        <f aca="false">IF($C348="","",IFERROR(INDEX(PRODUCTOS!$D$6:$D$105,MATCH($C348,PRODUCTOS!$A$6:$A$105,0)),0))</f>
        <v/>
      </c>
      <c r="G348" s="40"/>
      <c r="H348" s="35" t="str">
        <f aca="false">IF($C348="","",N($E348)*$F348-N($G348))</f>
        <v/>
      </c>
      <c r="I348" s="35" t="str">
        <f aca="false">IF($C348="","",$H348-$H348/(1+IFERROR(INDEX(PRODUCTOS!$E$6:$E$105,MATCH($C348,PRODUCTOS!$A$6:$A$105,0)),IVA_VENTAS)))</f>
        <v/>
      </c>
      <c r="J348" s="35" t="str">
        <f aca="false">IF($C348="","",$H348-$I348)</f>
        <v/>
      </c>
      <c r="K348" s="35" t="str">
        <f aca="false">IF($C348="","",N($E348)*IFERROR(INDEX(PRODUCTOS!$H$6:$H$105,MATCH($C348,PRODUCTOS!$A$6:$A$105,0)),0))</f>
        <v/>
      </c>
      <c r="L348" s="35" t="str">
        <f aca="false">IF($C348="","",$J348-$K348)</f>
        <v/>
      </c>
      <c r="M348" s="6"/>
      <c r="N348" s="6"/>
      <c r="O348" s="46" t="str">
        <f aca="false">IF($A348="","",DATE(YEAR($A348),MONTH($A348),1))</f>
        <v/>
      </c>
    </row>
    <row r="349" customFormat="false" ht="15" hidden="false" customHeight="false" outlineLevel="0" collapsed="false">
      <c r="A349" s="44"/>
      <c r="B349" s="6"/>
      <c r="C349" s="6"/>
      <c r="D349" s="8" t="str">
        <f aca="false">IF($C349="","",IFERROR(INDEX(PRODUCTOS!$B$6:$B$105,MATCH($C349,PRODUCTOS!$A$6:$A$105,0)),"¿Código?"))</f>
        <v/>
      </c>
      <c r="E349" s="42"/>
      <c r="F349" s="35" t="str">
        <f aca="false">IF($C349="","",IFERROR(INDEX(PRODUCTOS!$D$6:$D$105,MATCH($C349,PRODUCTOS!$A$6:$A$105,0)),0))</f>
        <v/>
      </c>
      <c r="G349" s="40"/>
      <c r="H349" s="35" t="str">
        <f aca="false">IF($C349="","",N($E349)*$F349-N($G349))</f>
        <v/>
      </c>
      <c r="I349" s="35" t="str">
        <f aca="false">IF($C349="","",$H349-$H349/(1+IFERROR(INDEX(PRODUCTOS!$E$6:$E$105,MATCH($C349,PRODUCTOS!$A$6:$A$105,0)),IVA_VENTAS)))</f>
        <v/>
      </c>
      <c r="J349" s="35" t="str">
        <f aca="false">IF($C349="","",$H349-$I349)</f>
        <v/>
      </c>
      <c r="K349" s="35" t="str">
        <f aca="false">IF($C349="","",N($E349)*IFERROR(INDEX(PRODUCTOS!$H$6:$H$105,MATCH($C349,PRODUCTOS!$A$6:$A$105,0)),0))</f>
        <v/>
      </c>
      <c r="L349" s="35" t="str">
        <f aca="false">IF($C349="","",$J349-$K349)</f>
        <v/>
      </c>
      <c r="M349" s="6"/>
      <c r="N349" s="6"/>
      <c r="O349" s="46" t="str">
        <f aca="false">IF($A349="","",DATE(YEAR($A349),MONTH($A349),1))</f>
        <v/>
      </c>
    </row>
    <row r="350" customFormat="false" ht="15" hidden="false" customHeight="false" outlineLevel="0" collapsed="false">
      <c r="A350" s="44"/>
      <c r="B350" s="6"/>
      <c r="C350" s="6"/>
      <c r="D350" s="8" t="str">
        <f aca="false">IF($C350="","",IFERROR(INDEX(PRODUCTOS!$B$6:$B$105,MATCH($C350,PRODUCTOS!$A$6:$A$105,0)),"¿Código?"))</f>
        <v/>
      </c>
      <c r="E350" s="42"/>
      <c r="F350" s="35" t="str">
        <f aca="false">IF($C350="","",IFERROR(INDEX(PRODUCTOS!$D$6:$D$105,MATCH($C350,PRODUCTOS!$A$6:$A$105,0)),0))</f>
        <v/>
      </c>
      <c r="G350" s="40"/>
      <c r="H350" s="35" t="str">
        <f aca="false">IF($C350="","",N($E350)*$F350-N($G350))</f>
        <v/>
      </c>
      <c r="I350" s="35" t="str">
        <f aca="false">IF($C350="","",$H350-$H350/(1+IFERROR(INDEX(PRODUCTOS!$E$6:$E$105,MATCH($C350,PRODUCTOS!$A$6:$A$105,0)),IVA_VENTAS)))</f>
        <v/>
      </c>
      <c r="J350" s="35" t="str">
        <f aca="false">IF($C350="","",$H350-$I350)</f>
        <v/>
      </c>
      <c r="K350" s="35" t="str">
        <f aca="false">IF($C350="","",N($E350)*IFERROR(INDEX(PRODUCTOS!$H$6:$H$105,MATCH($C350,PRODUCTOS!$A$6:$A$105,0)),0))</f>
        <v/>
      </c>
      <c r="L350" s="35" t="str">
        <f aca="false">IF($C350="","",$J350-$K350)</f>
        <v/>
      </c>
      <c r="M350" s="6"/>
      <c r="N350" s="6"/>
      <c r="O350" s="46" t="str">
        <f aca="false">IF($A350="","",DATE(YEAR($A350),MONTH($A350),1))</f>
        <v/>
      </c>
    </row>
    <row r="351" customFormat="false" ht="15" hidden="false" customHeight="false" outlineLevel="0" collapsed="false">
      <c r="A351" s="44"/>
      <c r="B351" s="6"/>
      <c r="C351" s="6"/>
      <c r="D351" s="8" t="str">
        <f aca="false">IF($C351="","",IFERROR(INDEX(PRODUCTOS!$B$6:$B$105,MATCH($C351,PRODUCTOS!$A$6:$A$105,0)),"¿Código?"))</f>
        <v/>
      </c>
      <c r="E351" s="42"/>
      <c r="F351" s="35" t="str">
        <f aca="false">IF($C351="","",IFERROR(INDEX(PRODUCTOS!$D$6:$D$105,MATCH($C351,PRODUCTOS!$A$6:$A$105,0)),0))</f>
        <v/>
      </c>
      <c r="G351" s="40"/>
      <c r="H351" s="35" t="str">
        <f aca="false">IF($C351="","",N($E351)*$F351-N($G351))</f>
        <v/>
      </c>
      <c r="I351" s="35" t="str">
        <f aca="false">IF($C351="","",$H351-$H351/(1+IFERROR(INDEX(PRODUCTOS!$E$6:$E$105,MATCH($C351,PRODUCTOS!$A$6:$A$105,0)),IVA_VENTAS)))</f>
        <v/>
      </c>
      <c r="J351" s="35" t="str">
        <f aca="false">IF($C351="","",$H351-$I351)</f>
        <v/>
      </c>
      <c r="K351" s="35" t="str">
        <f aca="false">IF($C351="","",N($E351)*IFERROR(INDEX(PRODUCTOS!$H$6:$H$105,MATCH($C351,PRODUCTOS!$A$6:$A$105,0)),0))</f>
        <v/>
      </c>
      <c r="L351" s="35" t="str">
        <f aca="false">IF($C351="","",$J351-$K351)</f>
        <v/>
      </c>
      <c r="M351" s="6"/>
      <c r="N351" s="6"/>
      <c r="O351" s="46" t="str">
        <f aca="false">IF($A351="","",DATE(YEAR($A351),MONTH($A351),1))</f>
        <v/>
      </c>
    </row>
    <row r="352" customFormat="false" ht="15" hidden="false" customHeight="false" outlineLevel="0" collapsed="false">
      <c r="A352" s="44"/>
      <c r="B352" s="6"/>
      <c r="C352" s="6"/>
      <c r="D352" s="8" t="str">
        <f aca="false">IF($C352="","",IFERROR(INDEX(PRODUCTOS!$B$6:$B$105,MATCH($C352,PRODUCTOS!$A$6:$A$105,0)),"¿Código?"))</f>
        <v/>
      </c>
      <c r="E352" s="42"/>
      <c r="F352" s="35" t="str">
        <f aca="false">IF($C352="","",IFERROR(INDEX(PRODUCTOS!$D$6:$D$105,MATCH($C352,PRODUCTOS!$A$6:$A$105,0)),0))</f>
        <v/>
      </c>
      <c r="G352" s="40"/>
      <c r="H352" s="35" t="str">
        <f aca="false">IF($C352="","",N($E352)*$F352-N($G352))</f>
        <v/>
      </c>
      <c r="I352" s="35" t="str">
        <f aca="false">IF($C352="","",$H352-$H352/(1+IFERROR(INDEX(PRODUCTOS!$E$6:$E$105,MATCH($C352,PRODUCTOS!$A$6:$A$105,0)),IVA_VENTAS)))</f>
        <v/>
      </c>
      <c r="J352" s="35" t="str">
        <f aca="false">IF($C352="","",$H352-$I352)</f>
        <v/>
      </c>
      <c r="K352" s="35" t="str">
        <f aca="false">IF($C352="","",N($E352)*IFERROR(INDEX(PRODUCTOS!$H$6:$H$105,MATCH($C352,PRODUCTOS!$A$6:$A$105,0)),0))</f>
        <v/>
      </c>
      <c r="L352" s="35" t="str">
        <f aca="false">IF($C352="","",$J352-$K352)</f>
        <v/>
      </c>
      <c r="M352" s="6"/>
      <c r="N352" s="6"/>
      <c r="O352" s="46" t="str">
        <f aca="false">IF($A352="","",DATE(YEAR($A352),MONTH($A352),1))</f>
        <v/>
      </c>
    </row>
    <row r="353" customFormat="false" ht="15" hidden="false" customHeight="false" outlineLevel="0" collapsed="false">
      <c r="A353" s="44"/>
      <c r="B353" s="6"/>
      <c r="C353" s="6"/>
      <c r="D353" s="8" t="str">
        <f aca="false">IF($C353="","",IFERROR(INDEX(PRODUCTOS!$B$6:$B$105,MATCH($C353,PRODUCTOS!$A$6:$A$105,0)),"¿Código?"))</f>
        <v/>
      </c>
      <c r="E353" s="42"/>
      <c r="F353" s="35" t="str">
        <f aca="false">IF($C353="","",IFERROR(INDEX(PRODUCTOS!$D$6:$D$105,MATCH($C353,PRODUCTOS!$A$6:$A$105,0)),0))</f>
        <v/>
      </c>
      <c r="G353" s="40"/>
      <c r="H353" s="35" t="str">
        <f aca="false">IF($C353="","",N($E353)*$F353-N($G353))</f>
        <v/>
      </c>
      <c r="I353" s="35" t="str">
        <f aca="false">IF($C353="","",$H353-$H353/(1+IFERROR(INDEX(PRODUCTOS!$E$6:$E$105,MATCH($C353,PRODUCTOS!$A$6:$A$105,0)),IVA_VENTAS)))</f>
        <v/>
      </c>
      <c r="J353" s="35" t="str">
        <f aca="false">IF($C353="","",$H353-$I353)</f>
        <v/>
      </c>
      <c r="K353" s="35" t="str">
        <f aca="false">IF($C353="","",N($E353)*IFERROR(INDEX(PRODUCTOS!$H$6:$H$105,MATCH($C353,PRODUCTOS!$A$6:$A$105,0)),0))</f>
        <v/>
      </c>
      <c r="L353" s="35" t="str">
        <f aca="false">IF($C353="","",$J353-$K353)</f>
        <v/>
      </c>
      <c r="M353" s="6"/>
      <c r="N353" s="6"/>
      <c r="O353" s="46" t="str">
        <f aca="false">IF($A353="","",DATE(YEAR($A353),MONTH($A353),1))</f>
        <v/>
      </c>
    </row>
    <row r="354" customFormat="false" ht="15" hidden="false" customHeight="false" outlineLevel="0" collapsed="false">
      <c r="A354" s="44"/>
      <c r="B354" s="6"/>
      <c r="C354" s="6"/>
      <c r="D354" s="8" t="str">
        <f aca="false">IF($C354="","",IFERROR(INDEX(PRODUCTOS!$B$6:$B$105,MATCH($C354,PRODUCTOS!$A$6:$A$105,0)),"¿Código?"))</f>
        <v/>
      </c>
      <c r="E354" s="42"/>
      <c r="F354" s="35" t="str">
        <f aca="false">IF($C354="","",IFERROR(INDEX(PRODUCTOS!$D$6:$D$105,MATCH($C354,PRODUCTOS!$A$6:$A$105,0)),0))</f>
        <v/>
      </c>
      <c r="G354" s="40"/>
      <c r="H354" s="35" t="str">
        <f aca="false">IF($C354="","",N($E354)*$F354-N($G354))</f>
        <v/>
      </c>
      <c r="I354" s="35" t="str">
        <f aca="false">IF($C354="","",$H354-$H354/(1+IFERROR(INDEX(PRODUCTOS!$E$6:$E$105,MATCH($C354,PRODUCTOS!$A$6:$A$105,0)),IVA_VENTAS)))</f>
        <v/>
      </c>
      <c r="J354" s="35" t="str">
        <f aca="false">IF($C354="","",$H354-$I354)</f>
        <v/>
      </c>
      <c r="K354" s="35" t="str">
        <f aca="false">IF($C354="","",N($E354)*IFERROR(INDEX(PRODUCTOS!$H$6:$H$105,MATCH($C354,PRODUCTOS!$A$6:$A$105,0)),0))</f>
        <v/>
      </c>
      <c r="L354" s="35" t="str">
        <f aca="false">IF($C354="","",$J354-$K354)</f>
        <v/>
      </c>
      <c r="M354" s="6"/>
      <c r="N354" s="6"/>
      <c r="O354" s="46" t="str">
        <f aca="false">IF($A354="","",DATE(YEAR($A354),MONTH($A354),1))</f>
        <v/>
      </c>
    </row>
    <row r="355" customFormat="false" ht="15" hidden="false" customHeight="false" outlineLevel="0" collapsed="false">
      <c r="A355" s="44"/>
      <c r="B355" s="6"/>
      <c r="C355" s="6"/>
      <c r="D355" s="8" t="str">
        <f aca="false">IF($C355="","",IFERROR(INDEX(PRODUCTOS!$B$6:$B$105,MATCH($C355,PRODUCTOS!$A$6:$A$105,0)),"¿Código?"))</f>
        <v/>
      </c>
      <c r="E355" s="42"/>
      <c r="F355" s="35" t="str">
        <f aca="false">IF($C355="","",IFERROR(INDEX(PRODUCTOS!$D$6:$D$105,MATCH($C355,PRODUCTOS!$A$6:$A$105,0)),0))</f>
        <v/>
      </c>
      <c r="G355" s="40"/>
      <c r="H355" s="35" t="str">
        <f aca="false">IF($C355="","",N($E355)*$F355-N($G355))</f>
        <v/>
      </c>
      <c r="I355" s="35" t="str">
        <f aca="false">IF($C355="","",$H355-$H355/(1+IFERROR(INDEX(PRODUCTOS!$E$6:$E$105,MATCH($C355,PRODUCTOS!$A$6:$A$105,0)),IVA_VENTAS)))</f>
        <v/>
      </c>
      <c r="J355" s="35" t="str">
        <f aca="false">IF($C355="","",$H355-$I355)</f>
        <v/>
      </c>
      <c r="K355" s="35" t="str">
        <f aca="false">IF($C355="","",N($E355)*IFERROR(INDEX(PRODUCTOS!$H$6:$H$105,MATCH($C355,PRODUCTOS!$A$6:$A$105,0)),0))</f>
        <v/>
      </c>
      <c r="L355" s="35" t="str">
        <f aca="false">IF($C355="","",$J355-$K355)</f>
        <v/>
      </c>
      <c r="M355" s="6"/>
      <c r="N355" s="6"/>
      <c r="O355" s="46" t="str">
        <f aca="false">IF($A355="","",DATE(YEAR($A355),MONTH($A355),1))</f>
        <v/>
      </c>
    </row>
    <row r="356" customFormat="false" ht="15" hidden="false" customHeight="false" outlineLevel="0" collapsed="false">
      <c r="A356" s="44"/>
      <c r="B356" s="6"/>
      <c r="C356" s="6"/>
      <c r="D356" s="8" t="str">
        <f aca="false">IF($C356="","",IFERROR(INDEX(PRODUCTOS!$B$6:$B$105,MATCH($C356,PRODUCTOS!$A$6:$A$105,0)),"¿Código?"))</f>
        <v/>
      </c>
      <c r="E356" s="42"/>
      <c r="F356" s="35" t="str">
        <f aca="false">IF($C356="","",IFERROR(INDEX(PRODUCTOS!$D$6:$D$105,MATCH($C356,PRODUCTOS!$A$6:$A$105,0)),0))</f>
        <v/>
      </c>
      <c r="G356" s="40"/>
      <c r="H356" s="35" t="str">
        <f aca="false">IF($C356="","",N($E356)*$F356-N($G356))</f>
        <v/>
      </c>
      <c r="I356" s="35" t="str">
        <f aca="false">IF($C356="","",$H356-$H356/(1+IFERROR(INDEX(PRODUCTOS!$E$6:$E$105,MATCH($C356,PRODUCTOS!$A$6:$A$105,0)),IVA_VENTAS)))</f>
        <v/>
      </c>
      <c r="J356" s="35" t="str">
        <f aca="false">IF($C356="","",$H356-$I356)</f>
        <v/>
      </c>
      <c r="K356" s="35" t="str">
        <f aca="false">IF($C356="","",N($E356)*IFERROR(INDEX(PRODUCTOS!$H$6:$H$105,MATCH($C356,PRODUCTOS!$A$6:$A$105,0)),0))</f>
        <v/>
      </c>
      <c r="L356" s="35" t="str">
        <f aca="false">IF($C356="","",$J356-$K356)</f>
        <v/>
      </c>
      <c r="M356" s="6"/>
      <c r="N356" s="6"/>
      <c r="O356" s="46" t="str">
        <f aca="false">IF($A356="","",DATE(YEAR($A356),MONTH($A356),1))</f>
        <v/>
      </c>
    </row>
    <row r="357" customFormat="false" ht="15" hidden="false" customHeight="false" outlineLevel="0" collapsed="false">
      <c r="A357" s="44"/>
      <c r="B357" s="6"/>
      <c r="C357" s="6"/>
      <c r="D357" s="8" t="str">
        <f aca="false">IF($C357="","",IFERROR(INDEX(PRODUCTOS!$B$6:$B$105,MATCH($C357,PRODUCTOS!$A$6:$A$105,0)),"¿Código?"))</f>
        <v/>
      </c>
      <c r="E357" s="42"/>
      <c r="F357" s="35" t="str">
        <f aca="false">IF($C357="","",IFERROR(INDEX(PRODUCTOS!$D$6:$D$105,MATCH($C357,PRODUCTOS!$A$6:$A$105,0)),0))</f>
        <v/>
      </c>
      <c r="G357" s="40"/>
      <c r="H357" s="35" t="str">
        <f aca="false">IF($C357="","",N($E357)*$F357-N($G357))</f>
        <v/>
      </c>
      <c r="I357" s="35" t="str">
        <f aca="false">IF($C357="","",$H357-$H357/(1+IFERROR(INDEX(PRODUCTOS!$E$6:$E$105,MATCH($C357,PRODUCTOS!$A$6:$A$105,0)),IVA_VENTAS)))</f>
        <v/>
      </c>
      <c r="J357" s="35" t="str">
        <f aca="false">IF($C357="","",$H357-$I357)</f>
        <v/>
      </c>
      <c r="K357" s="35" t="str">
        <f aca="false">IF($C357="","",N($E357)*IFERROR(INDEX(PRODUCTOS!$H$6:$H$105,MATCH($C357,PRODUCTOS!$A$6:$A$105,0)),0))</f>
        <v/>
      </c>
      <c r="L357" s="35" t="str">
        <f aca="false">IF($C357="","",$J357-$K357)</f>
        <v/>
      </c>
      <c r="M357" s="6"/>
      <c r="N357" s="6"/>
      <c r="O357" s="46" t="str">
        <f aca="false">IF($A357="","",DATE(YEAR($A357),MONTH($A357),1))</f>
        <v/>
      </c>
    </row>
    <row r="358" customFormat="false" ht="15" hidden="false" customHeight="false" outlineLevel="0" collapsed="false">
      <c r="A358" s="44"/>
      <c r="B358" s="6"/>
      <c r="C358" s="6"/>
      <c r="D358" s="8" t="str">
        <f aca="false">IF($C358="","",IFERROR(INDEX(PRODUCTOS!$B$6:$B$105,MATCH($C358,PRODUCTOS!$A$6:$A$105,0)),"¿Código?"))</f>
        <v/>
      </c>
      <c r="E358" s="42"/>
      <c r="F358" s="35" t="str">
        <f aca="false">IF($C358="","",IFERROR(INDEX(PRODUCTOS!$D$6:$D$105,MATCH($C358,PRODUCTOS!$A$6:$A$105,0)),0))</f>
        <v/>
      </c>
      <c r="G358" s="40"/>
      <c r="H358" s="35" t="str">
        <f aca="false">IF($C358="","",N($E358)*$F358-N($G358))</f>
        <v/>
      </c>
      <c r="I358" s="35" t="str">
        <f aca="false">IF($C358="","",$H358-$H358/(1+IFERROR(INDEX(PRODUCTOS!$E$6:$E$105,MATCH($C358,PRODUCTOS!$A$6:$A$105,0)),IVA_VENTAS)))</f>
        <v/>
      </c>
      <c r="J358" s="35" t="str">
        <f aca="false">IF($C358="","",$H358-$I358)</f>
        <v/>
      </c>
      <c r="K358" s="35" t="str">
        <f aca="false">IF($C358="","",N($E358)*IFERROR(INDEX(PRODUCTOS!$H$6:$H$105,MATCH($C358,PRODUCTOS!$A$6:$A$105,0)),0))</f>
        <v/>
      </c>
      <c r="L358" s="35" t="str">
        <f aca="false">IF($C358="","",$J358-$K358)</f>
        <v/>
      </c>
      <c r="M358" s="6"/>
      <c r="N358" s="6"/>
      <c r="O358" s="46" t="str">
        <f aca="false">IF($A358="","",DATE(YEAR($A358),MONTH($A358),1))</f>
        <v/>
      </c>
    </row>
    <row r="359" customFormat="false" ht="15" hidden="false" customHeight="false" outlineLevel="0" collapsed="false">
      <c r="A359" s="44"/>
      <c r="B359" s="6"/>
      <c r="C359" s="6"/>
      <c r="D359" s="8" t="str">
        <f aca="false">IF($C359="","",IFERROR(INDEX(PRODUCTOS!$B$6:$B$105,MATCH($C359,PRODUCTOS!$A$6:$A$105,0)),"¿Código?"))</f>
        <v/>
      </c>
      <c r="E359" s="42"/>
      <c r="F359" s="35" t="str">
        <f aca="false">IF($C359="","",IFERROR(INDEX(PRODUCTOS!$D$6:$D$105,MATCH($C359,PRODUCTOS!$A$6:$A$105,0)),0))</f>
        <v/>
      </c>
      <c r="G359" s="40"/>
      <c r="H359" s="35" t="str">
        <f aca="false">IF($C359="","",N($E359)*$F359-N($G359))</f>
        <v/>
      </c>
      <c r="I359" s="35" t="str">
        <f aca="false">IF($C359="","",$H359-$H359/(1+IFERROR(INDEX(PRODUCTOS!$E$6:$E$105,MATCH($C359,PRODUCTOS!$A$6:$A$105,0)),IVA_VENTAS)))</f>
        <v/>
      </c>
      <c r="J359" s="35" t="str">
        <f aca="false">IF($C359="","",$H359-$I359)</f>
        <v/>
      </c>
      <c r="K359" s="35" t="str">
        <f aca="false">IF($C359="","",N($E359)*IFERROR(INDEX(PRODUCTOS!$H$6:$H$105,MATCH($C359,PRODUCTOS!$A$6:$A$105,0)),0))</f>
        <v/>
      </c>
      <c r="L359" s="35" t="str">
        <f aca="false">IF($C359="","",$J359-$K359)</f>
        <v/>
      </c>
      <c r="M359" s="6"/>
      <c r="N359" s="6"/>
      <c r="O359" s="46" t="str">
        <f aca="false">IF($A359="","",DATE(YEAR($A359),MONTH($A359),1))</f>
        <v/>
      </c>
    </row>
    <row r="360" customFormat="false" ht="15" hidden="false" customHeight="false" outlineLevel="0" collapsed="false">
      <c r="A360" s="44"/>
      <c r="B360" s="6"/>
      <c r="C360" s="6"/>
      <c r="D360" s="8" t="str">
        <f aca="false">IF($C360="","",IFERROR(INDEX(PRODUCTOS!$B$6:$B$105,MATCH($C360,PRODUCTOS!$A$6:$A$105,0)),"¿Código?"))</f>
        <v/>
      </c>
      <c r="E360" s="42"/>
      <c r="F360" s="35" t="str">
        <f aca="false">IF($C360="","",IFERROR(INDEX(PRODUCTOS!$D$6:$D$105,MATCH($C360,PRODUCTOS!$A$6:$A$105,0)),0))</f>
        <v/>
      </c>
      <c r="G360" s="40"/>
      <c r="H360" s="35" t="str">
        <f aca="false">IF($C360="","",N($E360)*$F360-N($G360))</f>
        <v/>
      </c>
      <c r="I360" s="35" t="str">
        <f aca="false">IF($C360="","",$H360-$H360/(1+IFERROR(INDEX(PRODUCTOS!$E$6:$E$105,MATCH($C360,PRODUCTOS!$A$6:$A$105,0)),IVA_VENTAS)))</f>
        <v/>
      </c>
      <c r="J360" s="35" t="str">
        <f aca="false">IF($C360="","",$H360-$I360)</f>
        <v/>
      </c>
      <c r="K360" s="35" t="str">
        <f aca="false">IF($C360="","",N($E360)*IFERROR(INDEX(PRODUCTOS!$H$6:$H$105,MATCH($C360,PRODUCTOS!$A$6:$A$105,0)),0))</f>
        <v/>
      </c>
      <c r="L360" s="35" t="str">
        <f aca="false">IF($C360="","",$J360-$K360)</f>
        <v/>
      </c>
      <c r="M360" s="6"/>
      <c r="N360" s="6"/>
      <c r="O360" s="46" t="str">
        <f aca="false">IF($A360="","",DATE(YEAR($A360),MONTH($A360),1))</f>
        <v/>
      </c>
    </row>
    <row r="361" customFormat="false" ht="15" hidden="false" customHeight="false" outlineLevel="0" collapsed="false">
      <c r="A361" s="44"/>
      <c r="B361" s="6"/>
      <c r="C361" s="6"/>
      <c r="D361" s="8" t="str">
        <f aca="false">IF($C361="","",IFERROR(INDEX(PRODUCTOS!$B$6:$B$105,MATCH($C361,PRODUCTOS!$A$6:$A$105,0)),"¿Código?"))</f>
        <v/>
      </c>
      <c r="E361" s="42"/>
      <c r="F361" s="35" t="str">
        <f aca="false">IF($C361="","",IFERROR(INDEX(PRODUCTOS!$D$6:$D$105,MATCH($C361,PRODUCTOS!$A$6:$A$105,0)),0))</f>
        <v/>
      </c>
      <c r="G361" s="40"/>
      <c r="H361" s="35" t="str">
        <f aca="false">IF($C361="","",N($E361)*$F361-N($G361))</f>
        <v/>
      </c>
      <c r="I361" s="35" t="str">
        <f aca="false">IF($C361="","",$H361-$H361/(1+IFERROR(INDEX(PRODUCTOS!$E$6:$E$105,MATCH($C361,PRODUCTOS!$A$6:$A$105,0)),IVA_VENTAS)))</f>
        <v/>
      </c>
      <c r="J361" s="35" t="str">
        <f aca="false">IF($C361="","",$H361-$I361)</f>
        <v/>
      </c>
      <c r="K361" s="35" t="str">
        <f aca="false">IF($C361="","",N($E361)*IFERROR(INDEX(PRODUCTOS!$H$6:$H$105,MATCH($C361,PRODUCTOS!$A$6:$A$105,0)),0))</f>
        <v/>
      </c>
      <c r="L361" s="35" t="str">
        <f aca="false">IF($C361="","",$J361-$K361)</f>
        <v/>
      </c>
      <c r="M361" s="6"/>
      <c r="N361" s="6"/>
      <c r="O361" s="46" t="str">
        <f aca="false">IF($A361="","",DATE(YEAR($A361),MONTH($A361),1))</f>
        <v/>
      </c>
    </row>
    <row r="362" customFormat="false" ht="15" hidden="false" customHeight="false" outlineLevel="0" collapsed="false">
      <c r="A362" s="44"/>
      <c r="B362" s="6"/>
      <c r="C362" s="6"/>
      <c r="D362" s="8" t="str">
        <f aca="false">IF($C362="","",IFERROR(INDEX(PRODUCTOS!$B$6:$B$105,MATCH($C362,PRODUCTOS!$A$6:$A$105,0)),"¿Código?"))</f>
        <v/>
      </c>
      <c r="E362" s="42"/>
      <c r="F362" s="35" t="str">
        <f aca="false">IF($C362="","",IFERROR(INDEX(PRODUCTOS!$D$6:$D$105,MATCH($C362,PRODUCTOS!$A$6:$A$105,0)),0))</f>
        <v/>
      </c>
      <c r="G362" s="40"/>
      <c r="H362" s="35" t="str">
        <f aca="false">IF($C362="","",N($E362)*$F362-N($G362))</f>
        <v/>
      </c>
      <c r="I362" s="35" t="str">
        <f aca="false">IF($C362="","",$H362-$H362/(1+IFERROR(INDEX(PRODUCTOS!$E$6:$E$105,MATCH($C362,PRODUCTOS!$A$6:$A$105,0)),IVA_VENTAS)))</f>
        <v/>
      </c>
      <c r="J362" s="35" t="str">
        <f aca="false">IF($C362="","",$H362-$I362)</f>
        <v/>
      </c>
      <c r="K362" s="35" t="str">
        <f aca="false">IF($C362="","",N($E362)*IFERROR(INDEX(PRODUCTOS!$H$6:$H$105,MATCH($C362,PRODUCTOS!$A$6:$A$105,0)),0))</f>
        <v/>
      </c>
      <c r="L362" s="35" t="str">
        <f aca="false">IF($C362="","",$J362-$K362)</f>
        <v/>
      </c>
      <c r="M362" s="6"/>
      <c r="N362" s="6"/>
      <c r="O362" s="46" t="str">
        <f aca="false">IF($A362="","",DATE(YEAR($A362),MONTH($A362),1))</f>
        <v/>
      </c>
    </row>
    <row r="363" customFormat="false" ht="15" hidden="false" customHeight="false" outlineLevel="0" collapsed="false">
      <c r="A363" s="44"/>
      <c r="B363" s="6"/>
      <c r="C363" s="6"/>
      <c r="D363" s="8" t="str">
        <f aca="false">IF($C363="","",IFERROR(INDEX(PRODUCTOS!$B$6:$B$105,MATCH($C363,PRODUCTOS!$A$6:$A$105,0)),"¿Código?"))</f>
        <v/>
      </c>
      <c r="E363" s="42"/>
      <c r="F363" s="35" t="str">
        <f aca="false">IF($C363="","",IFERROR(INDEX(PRODUCTOS!$D$6:$D$105,MATCH($C363,PRODUCTOS!$A$6:$A$105,0)),0))</f>
        <v/>
      </c>
      <c r="G363" s="40"/>
      <c r="H363" s="35" t="str">
        <f aca="false">IF($C363="","",N($E363)*$F363-N($G363))</f>
        <v/>
      </c>
      <c r="I363" s="35" t="str">
        <f aca="false">IF($C363="","",$H363-$H363/(1+IFERROR(INDEX(PRODUCTOS!$E$6:$E$105,MATCH($C363,PRODUCTOS!$A$6:$A$105,0)),IVA_VENTAS)))</f>
        <v/>
      </c>
      <c r="J363" s="35" t="str">
        <f aca="false">IF($C363="","",$H363-$I363)</f>
        <v/>
      </c>
      <c r="K363" s="35" t="str">
        <f aca="false">IF($C363="","",N($E363)*IFERROR(INDEX(PRODUCTOS!$H$6:$H$105,MATCH($C363,PRODUCTOS!$A$6:$A$105,0)),0))</f>
        <v/>
      </c>
      <c r="L363" s="35" t="str">
        <f aca="false">IF($C363="","",$J363-$K363)</f>
        <v/>
      </c>
      <c r="M363" s="6"/>
      <c r="N363" s="6"/>
      <c r="O363" s="46" t="str">
        <f aca="false">IF($A363="","",DATE(YEAR($A363),MONTH($A363),1))</f>
        <v/>
      </c>
    </row>
    <row r="364" customFormat="false" ht="15" hidden="false" customHeight="false" outlineLevel="0" collapsed="false">
      <c r="A364" s="44"/>
      <c r="B364" s="6"/>
      <c r="C364" s="6"/>
      <c r="D364" s="8" t="str">
        <f aca="false">IF($C364="","",IFERROR(INDEX(PRODUCTOS!$B$6:$B$105,MATCH($C364,PRODUCTOS!$A$6:$A$105,0)),"¿Código?"))</f>
        <v/>
      </c>
      <c r="E364" s="42"/>
      <c r="F364" s="35" t="str">
        <f aca="false">IF($C364="","",IFERROR(INDEX(PRODUCTOS!$D$6:$D$105,MATCH($C364,PRODUCTOS!$A$6:$A$105,0)),0))</f>
        <v/>
      </c>
      <c r="G364" s="40"/>
      <c r="H364" s="35" t="str">
        <f aca="false">IF($C364="","",N($E364)*$F364-N($G364))</f>
        <v/>
      </c>
      <c r="I364" s="35" t="str">
        <f aca="false">IF($C364="","",$H364-$H364/(1+IFERROR(INDEX(PRODUCTOS!$E$6:$E$105,MATCH($C364,PRODUCTOS!$A$6:$A$105,0)),IVA_VENTAS)))</f>
        <v/>
      </c>
      <c r="J364" s="35" t="str">
        <f aca="false">IF($C364="","",$H364-$I364)</f>
        <v/>
      </c>
      <c r="K364" s="35" t="str">
        <f aca="false">IF($C364="","",N($E364)*IFERROR(INDEX(PRODUCTOS!$H$6:$H$105,MATCH($C364,PRODUCTOS!$A$6:$A$105,0)),0))</f>
        <v/>
      </c>
      <c r="L364" s="35" t="str">
        <f aca="false">IF($C364="","",$J364-$K364)</f>
        <v/>
      </c>
      <c r="M364" s="6"/>
      <c r="N364" s="6"/>
      <c r="O364" s="46" t="str">
        <f aca="false">IF($A364="","",DATE(YEAR($A364),MONTH($A364),1))</f>
        <v/>
      </c>
    </row>
    <row r="365" customFormat="false" ht="15" hidden="false" customHeight="false" outlineLevel="0" collapsed="false">
      <c r="A365" s="44"/>
      <c r="B365" s="6"/>
      <c r="C365" s="6"/>
      <c r="D365" s="8" t="str">
        <f aca="false">IF($C365="","",IFERROR(INDEX(PRODUCTOS!$B$6:$B$105,MATCH($C365,PRODUCTOS!$A$6:$A$105,0)),"¿Código?"))</f>
        <v/>
      </c>
      <c r="E365" s="42"/>
      <c r="F365" s="35" t="str">
        <f aca="false">IF($C365="","",IFERROR(INDEX(PRODUCTOS!$D$6:$D$105,MATCH($C365,PRODUCTOS!$A$6:$A$105,0)),0))</f>
        <v/>
      </c>
      <c r="G365" s="40"/>
      <c r="H365" s="35" t="str">
        <f aca="false">IF($C365="","",N($E365)*$F365-N($G365))</f>
        <v/>
      </c>
      <c r="I365" s="35" t="str">
        <f aca="false">IF($C365="","",$H365-$H365/(1+IFERROR(INDEX(PRODUCTOS!$E$6:$E$105,MATCH($C365,PRODUCTOS!$A$6:$A$105,0)),IVA_VENTAS)))</f>
        <v/>
      </c>
      <c r="J365" s="35" t="str">
        <f aca="false">IF($C365="","",$H365-$I365)</f>
        <v/>
      </c>
      <c r="K365" s="35" t="str">
        <f aca="false">IF($C365="","",N($E365)*IFERROR(INDEX(PRODUCTOS!$H$6:$H$105,MATCH($C365,PRODUCTOS!$A$6:$A$105,0)),0))</f>
        <v/>
      </c>
      <c r="L365" s="35" t="str">
        <f aca="false">IF($C365="","",$J365-$K365)</f>
        <v/>
      </c>
      <c r="M365" s="6"/>
      <c r="N365" s="6"/>
      <c r="O365" s="46" t="str">
        <f aca="false">IF($A365="","",DATE(YEAR($A365),MONTH($A365),1))</f>
        <v/>
      </c>
    </row>
    <row r="366" customFormat="false" ht="15" hidden="false" customHeight="false" outlineLevel="0" collapsed="false">
      <c r="A366" s="44"/>
      <c r="B366" s="6"/>
      <c r="C366" s="6"/>
      <c r="D366" s="8" t="str">
        <f aca="false">IF($C366="","",IFERROR(INDEX(PRODUCTOS!$B$6:$B$105,MATCH($C366,PRODUCTOS!$A$6:$A$105,0)),"¿Código?"))</f>
        <v/>
      </c>
      <c r="E366" s="42"/>
      <c r="F366" s="35" t="str">
        <f aca="false">IF($C366="","",IFERROR(INDEX(PRODUCTOS!$D$6:$D$105,MATCH($C366,PRODUCTOS!$A$6:$A$105,0)),0))</f>
        <v/>
      </c>
      <c r="G366" s="40"/>
      <c r="H366" s="35" t="str">
        <f aca="false">IF($C366="","",N($E366)*$F366-N($G366))</f>
        <v/>
      </c>
      <c r="I366" s="35" t="str">
        <f aca="false">IF($C366="","",$H366-$H366/(1+IFERROR(INDEX(PRODUCTOS!$E$6:$E$105,MATCH($C366,PRODUCTOS!$A$6:$A$105,0)),IVA_VENTAS)))</f>
        <v/>
      </c>
      <c r="J366" s="35" t="str">
        <f aca="false">IF($C366="","",$H366-$I366)</f>
        <v/>
      </c>
      <c r="K366" s="35" t="str">
        <f aca="false">IF($C366="","",N($E366)*IFERROR(INDEX(PRODUCTOS!$H$6:$H$105,MATCH($C366,PRODUCTOS!$A$6:$A$105,0)),0))</f>
        <v/>
      </c>
      <c r="L366" s="35" t="str">
        <f aca="false">IF($C366="","",$J366-$K366)</f>
        <v/>
      </c>
      <c r="M366" s="6"/>
      <c r="N366" s="6"/>
      <c r="O366" s="46" t="str">
        <f aca="false">IF($A366="","",DATE(YEAR($A366),MONTH($A366),1))</f>
        <v/>
      </c>
    </row>
    <row r="367" customFormat="false" ht="15" hidden="false" customHeight="false" outlineLevel="0" collapsed="false">
      <c r="A367" s="44"/>
      <c r="B367" s="6"/>
      <c r="C367" s="6"/>
      <c r="D367" s="8" t="str">
        <f aca="false">IF($C367="","",IFERROR(INDEX(PRODUCTOS!$B$6:$B$105,MATCH($C367,PRODUCTOS!$A$6:$A$105,0)),"¿Código?"))</f>
        <v/>
      </c>
      <c r="E367" s="42"/>
      <c r="F367" s="35" t="str">
        <f aca="false">IF($C367="","",IFERROR(INDEX(PRODUCTOS!$D$6:$D$105,MATCH($C367,PRODUCTOS!$A$6:$A$105,0)),0))</f>
        <v/>
      </c>
      <c r="G367" s="40"/>
      <c r="H367" s="35" t="str">
        <f aca="false">IF($C367="","",N($E367)*$F367-N($G367))</f>
        <v/>
      </c>
      <c r="I367" s="35" t="str">
        <f aca="false">IF($C367="","",$H367-$H367/(1+IFERROR(INDEX(PRODUCTOS!$E$6:$E$105,MATCH($C367,PRODUCTOS!$A$6:$A$105,0)),IVA_VENTAS)))</f>
        <v/>
      </c>
      <c r="J367" s="35" t="str">
        <f aca="false">IF($C367="","",$H367-$I367)</f>
        <v/>
      </c>
      <c r="K367" s="35" t="str">
        <f aca="false">IF($C367="","",N($E367)*IFERROR(INDEX(PRODUCTOS!$H$6:$H$105,MATCH($C367,PRODUCTOS!$A$6:$A$105,0)),0))</f>
        <v/>
      </c>
      <c r="L367" s="35" t="str">
        <f aca="false">IF($C367="","",$J367-$K367)</f>
        <v/>
      </c>
      <c r="M367" s="6"/>
      <c r="N367" s="6"/>
      <c r="O367" s="46" t="str">
        <f aca="false">IF($A367="","",DATE(YEAR($A367),MONTH($A367),1))</f>
        <v/>
      </c>
    </row>
    <row r="368" customFormat="false" ht="15" hidden="false" customHeight="false" outlineLevel="0" collapsed="false">
      <c r="A368" s="44"/>
      <c r="B368" s="6"/>
      <c r="C368" s="6"/>
      <c r="D368" s="8" t="str">
        <f aca="false">IF($C368="","",IFERROR(INDEX(PRODUCTOS!$B$6:$B$105,MATCH($C368,PRODUCTOS!$A$6:$A$105,0)),"¿Código?"))</f>
        <v/>
      </c>
      <c r="E368" s="42"/>
      <c r="F368" s="35" t="str">
        <f aca="false">IF($C368="","",IFERROR(INDEX(PRODUCTOS!$D$6:$D$105,MATCH($C368,PRODUCTOS!$A$6:$A$105,0)),0))</f>
        <v/>
      </c>
      <c r="G368" s="40"/>
      <c r="H368" s="35" t="str">
        <f aca="false">IF($C368="","",N($E368)*$F368-N($G368))</f>
        <v/>
      </c>
      <c r="I368" s="35" t="str">
        <f aca="false">IF($C368="","",$H368-$H368/(1+IFERROR(INDEX(PRODUCTOS!$E$6:$E$105,MATCH($C368,PRODUCTOS!$A$6:$A$105,0)),IVA_VENTAS)))</f>
        <v/>
      </c>
      <c r="J368" s="35" t="str">
        <f aca="false">IF($C368="","",$H368-$I368)</f>
        <v/>
      </c>
      <c r="K368" s="35" t="str">
        <f aca="false">IF($C368="","",N($E368)*IFERROR(INDEX(PRODUCTOS!$H$6:$H$105,MATCH($C368,PRODUCTOS!$A$6:$A$105,0)),0))</f>
        <v/>
      </c>
      <c r="L368" s="35" t="str">
        <f aca="false">IF($C368="","",$J368-$K368)</f>
        <v/>
      </c>
      <c r="M368" s="6"/>
      <c r="N368" s="6"/>
      <c r="O368" s="46" t="str">
        <f aca="false">IF($A368="","",DATE(YEAR($A368),MONTH($A368),1))</f>
        <v/>
      </c>
    </row>
    <row r="369" customFormat="false" ht="15" hidden="false" customHeight="false" outlineLevel="0" collapsed="false">
      <c r="A369" s="44"/>
      <c r="B369" s="6"/>
      <c r="C369" s="6"/>
      <c r="D369" s="8" t="str">
        <f aca="false">IF($C369="","",IFERROR(INDEX(PRODUCTOS!$B$6:$B$105,MATCH($C369,PRODUCTOS!$A$6:$A$105,0)),"¿Código?"))</f>
        <v/>
      </c>
      <c r="E369" s="42"/>
      <c r="F369" s="35" t="str">
        <f aca="false">IF($C369="","",IFERROR(INDEX(PRODUCTOS!$D$6:$D$105,MATCH($C369,PRODUCTOS!$A$6:$A$105,0)),0))</f>
        <v/>
      </c>
      <c r="G369" s="40"/>
      <c r="H369" s="35" t="str">
        <f aca="false">IF($C369="","",N($E369)*$F369-N($G369))</f>
        <v/>
      </c>
      <c r="I369" s="35" t="str">
        <f aca="false">IF($C369="","",$H369-$H369/(1+IFERROR(INDEX(PRODUCTOS!$E$6:$E$105,MATCH($C369,PRODUCTOS!$A$6:$A$105,0)),IVA_VENTAS)))</f>
        <v/>
      </c>
      <c r="J369" s="35" t="str">
        <f aca="false">IF($C369="","",$H369-$I369)</f>
        <v/>
      </c>
      <c r="K369" s="35" t="str">
        <f aca="false">IF($C369="","",N($E369)*IFERROR(INDEX(PRODUCTOS!$H$6:$H$105,MATCH($C369,PRODUCTOS!$A$6:$A$105,0)),0))</f>
        <v/>
      </c>
      <c r="L369" s="35" t="str">
        <f aca="false">IF($C369="","",$J369-$K369)</f>
        <v/>
      </c>
      <c r="M369" s="6"/>
      <c r="N369" s="6"/>
      <c r="O369" s="46" t="str">
        <f aca="false">IF($A369="","",DATE(YEAR($A369),MONTH($A369),1))</f>
        <v/>
      </c>
    </row>
    <row r="370" customFormat="false" ht="15" hidden="false" customHeight="false" outlineLevel="0" collapsed="false">
      <c r="A370" s="44"/>
      <c r="B370" s="6"/>
      <c r="C370" s="6"/>
      <c r="D370" s="8" t="str">
        <f aca="false">IF($C370="","",IFERROR(INDEX(PRODUCTOS!$B$6:$B$105,MATCH($C370,PRODUCTOS!$A$6:$A$105,0)),"¿Código?"))</f>
        <v/>
      </c>
      <c r="E370" s="42"/>
      <c r="F370" s="35" t="str">
        <f aca="false">IF($C370="","",IFERROR(INDEX(PRODUCTOS!$D$6:$D$105,MATCH($C370,PRODUCTOS!$A$6:$A$105,0)),0))</f>
        <v/>
      </c>
      <c r="G370" s="40"/>
      <c r="H370" s="35" t="str">
        <f aca="false">IF($C370="","",N($E370)*$F370-N($G370))</f>
        <v/>
      </c>
      <c r="I370" s="35" t="str">
        <f aca="false">IF($C370="","",$H370-$H370/(1+IFERROR(INDEX(PRODUCTOS!$E$6:$E$105,MATCH($C370,PRODUCTOS!$A$6:$A$105,0)),IVA_VENTAS)))</f>
        <v/>
      </c>
      <c r="J370" s="35" t="str">
        <f aca="false">IF($C370="","",$H370-$I370)</f>
        <v/>
      </c>
      <c r="K370" s="35" t="str">
        <f aca="false">IF($C370="","",N($E370)*IFERROR(INDEX(PRODUCTOS!$H$6:$H$105,MATCH($C370,PRODUCTOS!$A$6:$A$105,0)),0))</f>
        <v/>
      </c>
      <c r="L370" s="35" t="str">
        <f aca="false">IF($C370="","",$J370-$K370)</f>
        <v/>
      </c>
      <c r="M370" s="6"/>
      <c r="N370" s="6"/>
      <c r="O370" s="46" t="str">
        <f aca="false">IF($A370="","",DATE(YEAR($A370),MONTH($A370),1))</f>
        <v/>
      </c>
    </row>
    <row r="371" customFormat="false" ht="15" hidden="false" customHeight="false" outlineLevel="0" collapsed="false">
      <c r="A371" s="44"/>
      <c r="B371" s="6"/>
      <c r="C371" s="6"/>
      <c r="D371" s="8" t="str">
        <f aca="false">IF($C371="","",IFERROR(INDEX(PRODUCTOS!$B$6:$B$105,MATCH($C371,PRODUCTOS!$A$6:$A$105,0)),"¿Código?"))</f>
        <v/>
      </c>
      <c r="E371" s="42"/>
      <c r="F371" s="35" t="str">
        <f aca="false">IF($C371="","",IFERROR(INDEX(PRODUCTOS!$D$6:$D$105,MATCH($C371,PRODUCTOS!$A$6:$A$105,0)),0))</f>
        <v/>
      </c>
      <c r="G371" s="40"/>
      <c r="H371" s="35" t="str">
        <f aca="false">IF($C371="","",N($E371)*$F371-N($G371))</f>
        <v/>
      </c>
      <c r="I371" s="35" t="str">
        <f aca="false">IF($C371="","",$H371-$H371/(1+IFERROR(INDEX(PRODUCTOS!$E$6:$E$105,MATCH($C371,PRODUCTOS!$A$6:$A$105,0)),IVA_VENTAS)))</f>
        <v/>
      </c>
      <c r="J371" s="35" t="str">
        <f aca="false">IF($C371="","",$H371-$I371)</f>
        <v/>
      </c>
      <c r="K371" s="35" t="str">
        <f aca="false">IF($C371="","",N($E371)*IFERROR(INDEX(PRODUCTOS!$H$6:$H$105,MATCH($C371,PRODUCTOS!$A$6:$A$105,0)),0))</f>
        <v/>
      </c>
      <c r="L371" s="35" t="str">
        <f aca="false">IF($C371="","",$J371-$K371)</f>
        <v/>
      </c>
      <c r="M371" s="6"/>
      <c r="N371" s="6"/>
      <c r="O371" s="46" t="str">
        <f aca="false">IF($A371="","",DATE(YEAR($A371),MONTH($A371),1))</f>
        <v/>
      </c>
    </row>
    <row r="372" customFormat="false" ht="15" hidden="false" customHeight="false" outlineLevel="0" collapsed="false">
      <c r="A372" s="44"/>
      <c r="B372" s="6"/>
      <c r="C372" s="6"/>
      <c r="D372" s="8" t="str">
        <f aca="false">IF($C372="","",IFERROR(INDEX(PRODUCTOS!$B$6:$B$105,MATCH($C372,PRODUCTOS!$A$6:$A$105,0)),"¿Código?"))</f>
        <v/>
      </c>
      <c r="E372" s="42"/>
      <c r="F372" s="35" t="str">
        <f aca="false">IF($C372="","",IFERROR(INDEX(PRODUCTOS!$D$6:$D$105,MATCH($C372,PRODUCTOS!$A$6:$A$105,0)),0))</f>
        <v/>
      </c>
      <c r="G372" s="40"/>
      <c r="H372" s="35" t="str">
        <f aca="false">IF($C372="","",N($E372)*$F372-N($G372))</f>
        <v/>
      </c>
      <c r="I372" s="35" t="str">
        <f aca="false">IF($C372="","",$H372-$H372/(1+IFERROR(INDEX(PRODUCTOS!$E$6:$E$105,MATCH($C372,PRODUCTOS!$A$6:$A$105,0)),IVA_VENTAS)))</f>
        <v/>
      </c>
      <c r="J372" s="35" t="str">
        <f aca="false">IF($C372="","",$H372-$I372)</f>
        <v/>
      </c>
      <c r="K372" s="35" t="str">
        <f aca="false">IF($C372="","",N($E372)*IFERROR(INDEX(PRODUCTOS!$H$6:$H$105,MATCH($C372,PRODUCTOS!$A$6:$A$105,0)),0))</f>
        <v/>
      </c>
      <c r="L372" s="35" t="str">
        <f aca="false">IF($C372="","",$J372-$K372)</f>
        <v/>
      </c>
      <c r="M372" s="6"/>
      <c r="N372" s="6"/>
      <c r="O372" s="46" t="str">
        <f aca="false">IF($A372="","",DATE(YEAR($A372),MONTH($A372),1))</f>
        <v/>
      </c>
    </row>
    <row r="373" customFormat="false" ht="15" hidden="false" customHeight="false" outlineLevel="0" collapsed="false">
      <c r="A373" s="44"/>
      <c r="B373" s="6"/>
      <c r="C373" s="6"/>
      <c r="D373" s="8" t="str">
        <f aca="false">IF($C373="","",IFERROR(INDEX(PRODUCTOS!$B$6:$B$105,MATCH($C373,PRODUCTOS!$A$6:$A$105,0)),"¿Código?"))</f>
        <v/>
      </c>
      <c r="E373" s="42"/>
      <c r="F373" s="35" t="str">
        <f aca="false">IF($C373="","",IFERROR(INDEX(PRODUCTOS!$D$6:$D$105,MATCH($C373,PRODUCTOS!$A$6:$A$105,0)),0))</f>
        <v/>
      </c>
      <c r="G373" s="40"/>
      <c r="H373" s="35" t="str">
        <f aca="false">IF($C373="","",N($E373)*$F373-N($G373))</f>
        <v/>
      </c>
      <c r="I373" s="35" t="str">
        <f aca="false">IF($C373="","",$H373-$H373/(1+IFERROR(INDEX(PRODUCTOS!$E$6:$E$105,MATCH($C373,PRODUCTOS!$A$6:$A$105,0)),IVA_VENTAS)))</f>
        <v/>
      </c>
      <c r="J373" s="35" t="str">
        <f aca="false">IF($C373="","",$H373-$I373)</f>
        <v/>
      </c>
      <c r="K373" s="35" t="str">
        <f aca="false">IF($C373="","",N($E373)*IFERROR(INDEX(PRODUCTOS!$H$6:$H$105,MATCH($C373,PRODUCTOS!$A$6:$A$105,0)),0))</f>
        <v/>
      </c>
      <c r="L373" s="35" t="str">
        <f aca="false">IF($C373="","",$J373-$K373)</f>
        <v/>
      </c>
      <c r="M373" s="6"/>
      <c r="N373" s="6"/>
      <c r="O373" s="46" t="str">
        <f aca="false">IF($A373="","",DATE(YEAR($A373),MONTH($A373),1))</f>
        <v/>
      </c>
    </row>
    <row r="374" customFormat="false" ht="15" hidden="false" customHeight="false" outlineLevel="0" collapsed="false">
      <c r="A374" s="44"/>
      <c r="B374" s="6"/>
      <c r="C374" s="6"/>
      <c r="D374" s="8" t="str">
        <f aca="false">IF($C374="","",IFERROR(INDEX(PRODUCTOS!$B$6:$B$105,MATCH($C374,PRODUCTOS!$A$6:$A$105,0)),"¿Código?"))</f>
        <v/>
      </c>
      <c r="E374" s="42"/>
      <c r="F374" s="35" t="str">
        <f aca="false">IF($C374="","",IFERROR(INDEX(PRODUCTOS!$D$6:$D$105,MATCH($C374,PRODUCTOS!$A$6:$A$105,0)),0))</f>
        <v/>
      </c>
      <c r="G374" s="40"/>
      <c r="H374" s="35" t="str">
        <f aca="false">IF($C374="","",N($E374)*$F374-N($G374))</f>
        <v/>
      </c>
      <c r="I374" s="35" t="str">
        <f aca="false">IF($C374="","",$H374-$H374/(1+IFERROR(INDEX(PRODUCTOS!$E$6:$E$105,MATCH($C374,PRODUCTOS!$A$6:$A$105,0)),IVA_VENTAS)))</f>
        <v/>
      </c>
      <c r="J374" s="35" t="str">
        <f aca="false">IF($C374="","",$H374-$I374)</f>
        <v/>
      </c>
      <c r="K374" s="35" t="str">
        <f aca="false">IF($C374="","",N($E374)*IFERROR(INDEX(PRODUCTOS!$H$6:$H$105,MATCH($C374,PRODUCTOS!$A$6:$A$105,0)),0))</f>
        <v/>
      </c>
      <c r="L374" s="35" t="str">
        <f aca="false">IF($C374="","",$J374-$K374)</f>
        <v/>
      </c>
      <c r="M374" s="6"/>
      <c r="N374" s="6"/>
      <c r="O374" s="46" t="str">
        <f aca="false">IF($A374="","",DATE(YEAR($A374),MONTH($A374),1))</f>
        <v/>
      </c>
    </row>
    <row r="375" customFormat="false" ht="15" hidden="false" customHeight="false" outlineLevel="0" collapsed="false">
      <c r="A375" s="44"/>
      <c r="B375" s="6"/>
      <c r="C375" s="6"/>
      <c r="D375" s="8" t="str">
        <f aca="false">IF($C375="","",IFERROR(INDEX(PRODUCTOS!$B$6:$B$105,MATCH($C375,PRODUCTOS!$A$6:$A$105,0)),"¿Código?"))</f>
        <v/>
      </c>
      <c r="E375" s="42"/>
      <c r="F375" s="35" t="str">
        <f aca="false">IF($C375="","",IFERROR(INDEX(PRODUCTOS!$D$6:$D$105,MATCH($C375,PRODUCTOS!$A$6:$A$105,0)),0))</f>
        <v/>
      </c>
      <c r="G375" s="40"/>
      <c r="H375" s="35" t="str">
        <f aca="false">IF($C375="","",N($E375)*$F375-N($G375))</f>
        <v/>
      </c>
      <c r="I375" s="35" t="str">
        <f aca="false">IF($C375="","",$H375-$H375/(1+IFERROR(INDEX(PRODUCTOS!$E$6:$E$105,MATCH($C375,PRODUCTOS!$A$6:$A$105,0)),IVA_VENTAS)))</f>
        <v/>
      </c>
      <c r="J375" s="35" t="str">
        <f aca="false">IF($C375="","",$H375-$I375)</f>
        <v/>
      </c>
      <c r="K375" s="35" t="str">
        <f aca="false">IF($C375="","",N($E375)*IFERROR(INDEX(PRODUCTOS!$H$6:$H$105,MATCH($C375,PRODUCTOS!$A$6:$A$105,0)),0))</f>
        <v/>
      </c>
      <c r="L375" s="35" t="str">
        <f aca="false">IF($C375="","",$J375-$K375)</f>
        <v/>
      </c>
      <c r="M375" s="6"/>
      <c r="N375" s="6"/>
      <c r="O375" s="46" t="str">
        <f aca="false">IF($A375="","",DATE(YEAR($A375),MONTH($A375),1))</f>
        <v/>
      </c>
    </row>
    <row r="376" customFormat="false" ht="15" hidden="false" customHeight="false" outlineLevel="0" collapsed="false">
      <c r="A376" s="44"/>
      <c r="B376" s="6"/>
      <c r="C376" s="6"/>
      <c r="D376" s="8" t="str">
        <f aca="false">IF($C376="","",IFERROR(INDEX(PRODUCTOS!$B$6:$B$105,MATCH($C376,PRODUCTOS!$A$6:$A$105,0)),"¿Código?"))</f>
        <v/>
      </c>
      <c r="E376" s="42"/>
      <c r="F376" s="35" t="str">
        <f aca="false">IF($C376="","",IFERROR(INDEX(PRODUCTOS!$D$6:$D$105,MATCH($C376,PRODUCTOS!$A$6:$A$105,0)),0))</f>
        <v/>
      </c>
      <c r="G376" s="40"/>
      <c r="H376" s="35" t="str">
        <f aca="false">IF($C376="","",N($E376)*$F376-N($G376))</f>
        <v/>
      </c>
      <c r="I376" s="35" t="str">
        <f aca="false">IF($C376="","",$H376-$H376/(1+IFERROR(INDEX(PRODUCTOS!$E$6:$E$105,MATCH($C376,PRODUCTOS!$A$6:$A$105,0)),IVA_VENTAS)))</f>
        <v/>
      </c>
      <c r="J376" s="35" t="str">
        <f aca="false">IF($C376="","",$H376-$I376)</f>
        <v/>
      </c>
      <c r="K376" s="35" t="str">
        <f aca="false">IF($C376="","",N($E376)*IFERROR(INDEX(PRODUCTOS!$H$6:$H$105,MATCH($C376,PRODUCTOS!$A$6:$A$105,0)),0))</f>
        <v/>
      </c>
      <c r="L376" s="35" t="str">
        <f aca="false">IF($C376="","",$J376-$K376)</f>
        <v/>
      </c>
      <c r="M376" s="6"/>
      <c r="N376" s="6"/>
      <c r="O376" s="46" t="str">
        <f aca="false">IF($A376="","",DATE(YEAR($A376),MONTH($A376),1))</f>
        <v/>
      </c>
    </row>
    <row r="377" customFormat="false" ht="15" hidden="false" customHeight="false" outlineLevel="0" collapsed="false">
      <c r="A377" s="44"/>
      <c r="B377" s="6"/>
      <c r="C377" s="6"/>
      <c r="D377" s="8" t="str">
        <f aca="false">IF($C377="","",IFERROR(INDEX(PRODUCTOS!$B$6:$B$105,MATCH($C377,PRODUCTOS!$A$6:$A$105,0)),"¿Código?"))</f>
        <v/>
      </c>
      <c r="E377" s="42"/>
      <c r="F377" s="35" t="str">
        <f aca="false">IF($C377="","",IFERROR(INDEX(PRODUCTOS!$D$6:$D$105,MATCH($C377,PRODUCTOS!$A$6:$A$105,0)),0))</f>
        <v/>
      </c>
      <c r="G377" s="40"/>
      <c r="H377" s="35" t="str">
        <f aca="false">IF($C377="","",N($E377)*$F377-N($G377))</f>
        <v/>
      </c>
      <c r="I377" s="35" t="str">
        <f aca="false">IF($C377="","",$H377-$H377/(1+IFERROR(INDEX(PRODUCTOS!$E$6:$E$105,MATCH($C377,PRODUCTOS!$A$6:$A$105,0)),IVA_VENTAS)))</f>
        <v/>
      </c>
      <c r="J377" s="35" t="str">
        <f aca="false">IF($C377="","",$H377-$I377)</f>
        <v/>
      </c>
      <c r="K377" s="35" t="str">
        <f aca="false">IF($C377="","",N($E377)*IFERROR(INDEX(PRODUCTOS!$H$6:$H$105,MATCH($C377,PRODUCTOS!$A$6:$A$105,0)),0))</f>
        <v/>
      </c>
      <c r="L377" s="35" t="str">
        <f aca="false">IF($C377="","",$J377-$K377)</f>
        <v/>
      </c>
      <c r="M377" s="6"/>
      <c r="N377" s="6"/>
      <c r="O377" s="46" t="str">
        <f aca="false">IF($A377="","",DATE(YEAR($A377),MONTH($A377),1))</f>
        <v/>
      </c>
    </row>
    <row r="378" customFormat="false" ht="15" hidden="false" customHeight="false" outlineLevel="0" collapsed="false">
      <c r="A378" s="44"/>
      <c r="B378" s="6"/>
      <c r="C378" s="6"/>
      <c r="D378" s="8" t="str">
        <f aca="false">IF($C378="","",IFERROR(INDEX(PRODUCTOS!$B$6:$B$105,MATCH($C378,PRODUCTOS!$A$6:$A$105,0)),"¿Código?"))</f>
        <v/>
      </c>
      <c r="E378" s="42"/>
      <c r="F378" s="35" t="str">
        <f aca="false">IF($C378="","",IFERROR(INDEX(PRODUCTOS!$D$6:$D$105,MATCH($C378,PRODUCTOS!$A$6:$A$105,0)),0))</f>
        <v/>
      </c>
      <c r="G378" s="40"/>
      <c r="H378" s="35" t="str">
        <f aca="false">IF($C378="","",N($E378)*$F378-N($G378))</f>
        <v/>
      </c>
      <c r="I378" s="35" t="str">
        <f aca="false">IF($C378="","",$H378-$H378/(1+IFERROR(INDEX(PRODUCTOS!$E$6:$E$105,MATCH($C378,PRODUCTOS!$A$6:$A$105,0)),IVA_VENTAS)))</f>
        <v/>
      </c>
      <c r="J378" s="35" t="str">
        <f aca="false">IF($C378="","",$H378-$I378)</f>
        <v/>
      </c>
      <c r="K378" s="35" t="str">
        <f aca="false">IF($C378="","",N($E378)*IFERROR(INDEX(PRODUCTOS!$H$6:$H$105,MATCH($C378,PRODUCTOS!$A$6:$A$105,0)),0))</f>
        <v/>
      </c>
      <c r="L378" s="35" t="str">
        <f aca="false">IF($C378="","",$J378-$K378)</f>
        <v/>
      </c>
      <c r="M378" s="6"/>
      <c r="N378" s="6"/>
      <c r="O378" s="46" t="str">
        <f aca="false">IF($A378="","",DATE(YEAR($A378),MONTH($A378),1))</f>
        <v/>
      </c>
    </row>
    <row r="379" customFormat="false" ht="15" hidden="false" customHeight="false" outlineLevel="0" collapsed="false">
      <c r="A379" s="44"/>
      <c r="B379" s="6"/>
      <c r="C379" s="6"/>
      <c r="D379" s="8" t="str">
        <f aca="false">IF($C379="","",IFERROR(INDEX(PRODUCTOS!$B$6:$B$105,MATCH($C379,PRODUCTOS!$A$6:$A$105,0)),"¿Código?"))</f>
        <v/>
      </c>
      <c r="E379" s="42"/>
      <c r="F379" s="35" t="str">
        <f aca="false">IF($C379="","",IFERROR(INDEX(PRODUCTOS!$D$6:$D$105,MATCH($C379,PRODUCTOS!$A$6:$A$105,0)),0))</f>
        <v/>
      </c>
      <c r="G379" s="40"/>
      <c r="H379" s="35" t="str">
        <f aca="false">IF($C379="","",N($E379)*$F379-N($G379))</f>
        <v/>
      </c>
      <c r="I379" s="35" t="str">
        <f aca="false">IF($C379="","",$H379-$H379/(1+IFERROR(INDEX(PRODUCTOS!$E$6:$E$105,MATCH($C379,PRODUCTOS!$A$6:$A$105,0)),IVA_VENTAS)))</f>
        <v/>
      </c>
      <c r="J379" s="35" t="str">
        <f aca="false">IF($C379="","",$H379-$I379)</f>
        <v/>
      </c>
      <c r="K379" s="35" t="str">
        <f aca="false">IF($C379="","",N($E379)*IFERROR(INDEX(PRODUCTOS!$H$6:$H$105,MATCH($C379,PRODUCTOS!$A$6:$A$105,0)),0))</f>
        <v/>
      </c>
      <c r="L379" s="35" t="str">
        <f aca="false">IF($C379="","",$J379-$K379)</f>
        <v/>
      </c>
      <c r="M379" s="6"/>
      <c r="N379" s="6"/>
      <c r="O379" s="46" t="str">
        <f aca="false">IF($A379="","",DATE(YEAR($A379),MONTH($A379),1))</f>
        <v/>
      </c>
    </row>
    <row r="380" customFormat="false" ht="15" hidden="false" customHeight="false" outlineLevel="0" collapsed="false">
      <c r="A380" s="44"/>
      <c r="B380" s="6"/>
      <c r="C380" s="6"/>
      <c r="D380" s="8" t="str">
        <f aca="false">IF($C380="","",IFERROR(INDEX(PRODUCTOS!$B$6:$B$105,MATCH($C380,PRODUCTOS!$A$6:$A$105,0)),"¿Código?"))</f>
        <v/>
      </c>
      <c r="E380" s="42"/>
      <c r="F380" s="35" t="str">
        <f aca="false">IF($C380="","",IFERROR(INDEX(PRODUCTOS!$D$6:$D$105,MATCH($C380,PRODUCTOS!$A$6:$A$105,0)),0))</f>
        <v/>
      </c>
      <c r="G380" s="40"/>
      <c r="H380" s="35" t="str">
        <f aca="false">IF($C380="","",N($E380)*$F380-N($G380))</f>
        <v/>
      </c>
      <c r="I380" s="35" t="str">
        <f aca="false">IF($C380="","",$H380-$H380/(1+IFERROR(INDEX(PRODUCTOS!$E$6:$E$105,MATCH($C380,PRODUCTOS!$A$6:$A$105,0)),IVA_VENTAS)))</f>
        <v/>
      </c>
      <c r="J380" s="35" t="str">
        <f aca="false">IF($C380="","",$H380-$I380)</f>
        <v/>
      </c>
      <c r="K380" s="35" t="str">
        <f aca="false">IF($C380="","",N($E380)*IFERROR(INDEX(PRODUCTOS!$H$6:$H$105,MATCH($C380,PRODUCTOS!$A$6:$A$105,0)),0))</f>
        <v/>
      </c>
      <c r="L380" s="35" t="str">
        <f aca="false">IF($C380="","",$J380-$K380)</f>
        <v/>
      </c>
      <c r="M380" s="6"/>
      <c r="N380" s="6"/>
      <c r="O380" s="46" t="str">
        <f aca="false">IF($A380="","",DATE(YEAR($A380),MONTH($A380),1))</f>
        <v/>
      </c>
    </row>
    <row r="381" customFormat="false" ht="15" hidden="false" customHeight="false" outlineLevel="0" collapsed="false">
      <c r="A381" s="44"/>
      <c r="B381" s="6"/>
      <c r="C381" s="6"/>
      <c r="D381" s="8" t="str">
        <f aca="false">IF($C381="","",IFERROR(INDEX(PRODUCTOS!$B$6:$B$105,MATCH($C381,PRODUCTOS!$A$6:$A$105,0)),"¿Código?"))</f>
        <v/>
      </c>
      <c r="E381" s="42"/>
      <c r="F381" s="35" t="str">
        <f aca="false">IF($C381="","",IFERROR(INDEX(PRODUCTOS!$D$6:$D$105,MATCH($C381,PRODUCTOS!$A$6:$A$105,0)),0))</f>
        <v/>
      </c>
      <c r="G381" s="40"/>
      <c r="H381" s="35" t="str">
        <f aca="false">IF($C381="","",N($E381)*$F381-N($G381))</f>
        <v/>
      </c>
      <c r="I381" s="35" t="str">
        <f aca="false">IF($C381="","",$H381-$H381/(1+IFERROR(INDEX(PRODUCTOS!$E$6:$E$105,MATCH($C381,PRODUCTOS!$A$6:$A$105,0)),IVA_VENTAS)))</f>
        <v/>
      </c>
      <c r="J381" s="35" t="str">
        <f aca="false">IF($C381="","",$H381-$I381)</f>
        <v/>
      </c>
      <c r="K381" s="35" t="str">
        <f aca="false">IF($C381="","",N($E381)*IFERROR(INDEX(PRODUCTOS!$H$6:$H$105,MATCH($C381,PRODUCTOS!$A$6:$A$105,0)),0))</f>
        <v/>
      </c>
      <c r="L381" s="35" t="str">
        <f aca="false">IF($C381="","",$J381-$K381)</f>
        <v/>
      </c>
      <c r="M381" s="6"/>
      <c r="N381" s="6"/>
      <c r="O381" s="46" t="str">
        <f aca="false">IF($A381="","",DATE(YEAR($A381),MONTH($A381),1))</f>
        <v/>
      </c>
    </row>
    <row r="382" customFormat="false" ht="15" hidden="false" customHeight="false" outlineLevel="0" collapsed="false">
      <c r="A382" s="44"/>
      <c r="B382" s="6"/>
      <c r="C382" s="6"/>
      <c r="D382" s="8" t="str">
        <f aca="false">IF($C382="","",IFERROR(INDEX(PRODUCTOS!$B$6:$B$105,MATCH($C382,PRODUCTOS!$A$6:$A$105,0)),"¿Código?"))</f>
        <v/>
      </c>
      <c r="E382" s="42"/>
      <c r="F382" s="35" t="str">
        <f aca="false">IF($C382="","",IFERROR(INDEX(PRODUCTOS!$D$6:$D$105,MATCH($C382,PRODUCTOS!$A$6:$A$105,0)),0))</f>
        <v/>
      </c>
      <c r="G382" s="40"/>
      <c r="H382" s="35" t="str">
        <f aca="false">IF($C382="","",N($E382)*$F382-N($G382))</f>
        <v/>
      </c>
      <c r="I382" s="35" t="str">
        <f aca="false">IF($C382="","",$H382-$H382/(1+IFERROR(INDEX(PRODUCTOS!$E$6:$E$105,MATCH($C382,PRODUCTOS!$A$6:$A$105,0)),IVA_VENTAS)))</f>
        <v/>
      </c>
      <c r="J382" s="35" t="str">
        <f aca="false">IF($C382="","",$H382-$I382)</f>
        <v/>
      </c>
      <c r="K382" s="35" t="str">
        <f aca="false">IF($C382="","",N($E382)*IFERROR(INDEX(PRODUCTOS!$H$6:$H$105,MATCH($C382,PRODUCTOS!$A$6:$A$105,0)),0))</f>
        <v/>
      </c>
      <c r="L382" s="35" t="str">
        <f aca="false">IF($C382="","",$J382-$K382)</f>
        <v/>
      </c>
      <c r="M382" s="6"/>
      <c r="N382" s="6"/>
      <c r="O382" s="46" t="str">
        <f aca="false">IF($A382="","",DATE(YEAR($A382),MONTH($A382),1))</f>
        <v/>
      </c>
    </row>
    <row r="383" customFormat="false" ht="15" hidden="false" customHeight="false" outlineLevel="0" collapsed="false">
      <c r="A383" s="44"/>
      <c r="B383" s="6"/>
      <c r="C383" s="6"/>
      <c r="D383" s="8" t="str">
        <f aca="false">IF($C383="","",IFERROR(INDEX(PRODUCTOS!$B$6:$B$105,MATCH($C383,PRODUCTOS!$A$6:$A$105,0)),"¿Código?"))</f>
        <v/>
      </c>
      <c r="E383" s="42"/>
      <c r="F383" s="35" t="str">
        <f aca="false">IF($C383="","",IFERROR(INDEX(PRODUCTOS!$D$6:$D$105,MATCH($C383,PRODUCTOS!$A$6:$A$105,0)),0))</f>
        <v/>
      </c>
      <c r="G383" s="40"/>
      <c r="H383" s="35" t="str">
        <f aca="false">IF($C383="","",N($E383)*$F383-N($G383))</f>
        <v/>
      </c>
      <c r="I383" s="35" t="str">
        <f aca="false">IF($C383="","",$H383-$H383/(1+IFERROR(INDEX(PRODUCTOS!$E$6:$E$105,MATCH($C383,PRODUCTOS!$A$6:$A$105,0)),IVA_VENTAS)))</f>
        <v/>
      </c>
      <c r="J383" s="35" t="str">
        <f aca="false">IF($C383="","",$H383-$I383)</f>
        <v/>
      </c>
      <c r="K383" s="35" t="str">
        <f aca="false">IF($C383="","",N($E383)*IFERROR(INDEX(PRODUCTOS!$H$6:$H$105,MATCH($C383,PRODUCTOS!$A$6:$A$105,0)),0))</f>
        <v/>
      </c>
      <c r="L383" s="35" t="str">
        <f aca="false">IF($C383="","",$J383-$K383)</f>
        <v/>
      </c>
      <c r="M383" s="6"/>
      <c r="N383" s="6"/>
      <c r="O383" s="46" t="str">
        <f aca="false">IF($A383="","",DATE(YEAR($A383),MONTH($A383),1))</f>
        <v/>
      </c>
    </row>
    <row r="384" customFormat="false" ht="15" hidden="false" customHeight="false" outlineLevel="0" collapsed="false">
      <c r="A384" s="44"/>
      <c r="B384" s="6"/>
      <c r="C384" s="6"/>
      <c r="D384" s="8" t="str">
        <f aca="false">IF($C384="","",IFERROR(INDEX(PRODUCTOS!$B$6:$B$105,MATCH($C384,PRODUCTOS!$A$6:$A$105,0)),"¿Código?"))</f>
        <v/>
      </c>
      <c r="E384" s="42"/>
      <c r="F384" s="35" t="str">
        <f aca="false">IF($C384="","",IFERROR(INDEX(PRODUCTOS!$D$6:$D$105,MATCH($C384,PRODUCTOS!$A$6:$A$105,0)),0))</f>
        <v/>
      </c>
      <c r="G384" s="40"/>
      <c r="H384" s="35" t="str">
        <f aca="false">IF($C384="","",N($E384)*$F384-N($G384))</f>
        <v/>
      </c>
      <c r="I384" s="35" t="str">
        <f aca="false">IF($C384="","",$H384-$H384/(1+IFERROR(INDEX(PRODUCTOS!$E$6:$E$105,MATCH($C384,PRODUCTOS!$A$6:$A$105,0)),IVA_VENTAS)))</f>
        <v/>
      </c>
      <c r="J384" s="35" t="str">
        <f aca="false">IF($C384="","",$H384-$I384)</f>
        <v/>
      </c>
      <c r="K384" s="35" t="str">
        <f aca="false">IF($C384="","",N($E384)*IFERROR(INDEX(PRODUCTOS!$H$6:$H$105,MATCH($C384,PRODUCTOS!$A$6:$A$105,0)),0))</f>
        <v/>
      </c>
      <c r="L384" s="35" t="str">
        <f aca="false">IF($C384="","",$J384-$K384)</f>
        <v/>
      </c>
      <c r="M384" s="6"/>
      <c r="N384" s="6"/>
      <c r="O384" s="46" t="str">
        <f aca="false">IF($A384="","",DATE(YEAR($A384),MONTH($A384),1))</f>
        <v/>
      </c>
    </row>
    <row r="385" customFormat="false" ht="15" hidden="false" customHeight="false" outlineLevel="0" collapsed="false">
      <c r="A385" s="44"/>
      <c r="B385" s="6"/>
      <c r="C385" s="6"/>
      <c r="D385" s="8" t="str">
        <f aca="false">IF($C385="","",IFERROR(INDEX(PRODUCTOS!$B$6:$B$105,MATCH($C385,PRODUCTOS!$A$6:$A$105,0)),"¿Código?"))</f>
        <v/>
      </c>
      <c r="E385" s="42"/>
      <c r="F385" s="35" t="str">
        <f aca="false">IF($C385="","",IFERROR(INDEX(PRODUCTOS!$D$6:$D$105,MATCH($C385,PRODUCTOS!$A$6:$A$105,0)),0))</f>
        <v/>
      </c>
      <c r="G385" s="40"/>
      <c r="H385" s="35" t="str">
        <f aca="false">IF($C385="","",N($E385)*$F385-N($G385))</f>
        <v/>
      </c>
      <c r="I385" s="35" t="str">
        <f aca="false">IF($C385="","",$H385-$H385/(1+IFERROR(INDEX(PRODUCTOS!$E$6:$E$105,MATCH($C385,PRODUCTOS!$A$6:$A$105,0)),IVA_VENTAS)))</f>
        <v/>
      </c>
      <c r="J385" s="35" t="str">
        <f aca="false">IF($C385="","",$H385-$I385)</f>
        <v/>
      </c>
      <c r="K385" s="35" t="str">
        <f aca="false">IF($C385="","",N($E385)*IFERROR(INDEX(PRODUCTOS!$H$6:$H$105,MATCH($C385,PRODUCTOS!$A$6:$A$105,0)),0))</f>
        <v/>
      </c>
      <c r="L385" s="35" t="str">
        <f aca="false">IF($C385="","",$J385-$K385)</f>
        <v/>
      </c>
      <c r="M385" s="6"/>
      <c r="N385" s="6"/>
      <c r="O385" s="46" t="str">
        <f aca="false">IF($A385="","",DATE(YEAR($A385),MONTH($A385),1))</f>
        <v/>
      </c>
    </row>
    <row r="386" customFormat="false" ht="15" hidden="false" customHeight="false" outlineLevel="0" collapsed="false">
      <c r="A386" s="44"/>
      <c r="B386" s="6"/>
      <c r="C386" s="6"/>
      <c r="D386" s="8" t="str">
        <f aca="false">IF($C386="","",IFERROR(INDEX(PRODUCTOS!$B$6:$B$105,MATCH($C386,PRODUCTOS!$A$6:$A$105,0)),"¿Código?"))</f>
        <v/>
      </c>
      <c r="E386" s="42"/>
      <c r="F386" s="35" t="str">
        <f aca="false">IF($C386="","",IFERROR(INDEX(PRODUCTOS!$D$6:$D$105,MATCH($C386,PRODUCTOS!$A$6:$A$105,0)),0))</f>
        <v/>
      </c>
      <c r="G386" s="40"/>
      <c r="H386" s="35" t="str">
        <f aca="false">IF($C386="","",N($E386)*$F386-N($G386))</f>
        <v/>
      </c>
      <c r="I386" s="35" t="str">
        <f aca="false">IF($C386="","",$H386-$H386/(1+IFERROR(INDEX(PRODUCTOS!$E$6:$E$105,MATCH($C386,PRODUCTOS!$A$6:$A$105,0)),IVA_VENTAS)))</f>
        <v/>
      </c>
      <c r="J386" s="35" t="str">
        <f aca="false">IF($C386="","",$H386-$I386)</f>
        <v/>
      </c>
      <c r="K386" s="35" t="str">
        <f aca="false">IF($C386="","",N($E386)*IFERROR(INDEX(PRODUCTOS!$H$6:$H$105,MATCH($C386,PRODUCTOS!$A$6:$A$105,0)),0))</f>
        <v/>
      </c>
      <c r="L386" s="35" t="str">
        <f aca="false">IF($C386="","",$J386-$K386)</f>
        <v/>
      </c>
      <c r="M386" s="6"/>
      <c r="N386" s="6"/>
      <c r="O386" s="46" t="str">
        <f aca="false">IF($A386="","",DATE(YEAR($A386),MONTH($A386),1))</f>
        <v/>
      </c>
    </row>
    <row r="387" customFormat="false" ht="15" hidden="false" customHeight="false" outlineLevel="0" collapsed="false">
      <c r="A387" s="44"/>
      <c r="B387" s="6"/>
      <c r="C387" s="6"/>
      <c r="D387" s="8" t="str">
        <f aca="false">IF($C387="","",IFERROR(INDEX(PRODUCTOS!$B$6:$B$105,MATCH($C387,PRODUCTOS!$A$6:$A$105,0)),"¿Código?"))</f>
        <v/>
      </c>
      <c r="E387" s="42"/>
      <c r="F387" s="35" t="str">
        <f aca="false">IF($C387="","",IFERROR(INDEX(PRODUCTOS!$D$6:$D$105,MATCH($C387,PRODUCTOS!$A$6:$A$105,0)),0))</f>
        <v/>
      </c>
      <c r="G387" s="40"/>
      <c r="H387" s="35" t="str">
        <f aca="false">IF($C387="","",N($E387)*$F387-N($G387))</f>
        <v/>
      </c>
      <c r="I387" s="35" t="str">
        <f aca="false">IF($C387="","",$H387-$H387/(1+IFERROR(INDEX(PRODUCTOS!$E$6:$E$105,MATCH($C387,PRODUCTOS!$A$6:$A$105,0)),IVA_VENTAS)))</f>
        <v/>
      </c>
      <c r="J387" s="35" t="str">
        <f aca="false">IF($C387="","",$H387-$I387)</f>
        <v/>
      </c>
      <c r="K387" s="35" t="str">
        <f aca="false">IF($C387="","",N($E387)*IFERROR(INDEX(PRODUCTOS!$H$6:$H$105,MATCH($C387,PRODUCTOS!$A$6:$A$105,0)),0))</f>
        <v/>
      </c>
      <c r="L387" s="35" t="str">
        <f aca="false">IF($C387="","",$J387-$K387)</f>
        <v/>
      </c>
      <c r="M387" s="6"/>
      <c r="N387" s="6"/>
      <c r="O387" s="46" t="str">
        <f aca="false">IF($A387="","",DATE(YEAR($A387),MONTH($A387),1))</f>
        <v/>
      </c>
    </row>
    <row r="388" customFormat="false" ht="15" hidden="false" customHeight="false" outlineLevel="0" collapsed="false">
      <c r="A388" s="44"/>
      <c r="B388" s="6"/>
      <c r="C388" s="6"/>
      <c r="D388" s="8" t="str">
        <f aca="false">IF($C388="","",IFERROR(INDEX(PRODUCTOS!$B$6:$B$105,MATCH($C388,PRODUCTOS!$A$6:$A$105,0)),"¿Código?"))</f>
        <v/>
      </c>
      <c r="E388" s="42"/>
      <c r="F388" s="35" t="str">
        <f aca="false">IF($C388="","",IFERROR(INDEX(PRODUCTOS!$D$6:$D$105,MATCH($C388,PRODUCTOS!$A$6:$A$105,0)),0))</f>
        <v/>
      </c>
      <c r="G388" s="40"/>
      <c r="H388" s="35" t="str">
        <f aca="false">IF($C388="","",N($E388)*$F388-N($G388))</f>
        <v/>
      </c>
      <c r="I388" s="35" t="str">
        <f aca="false">IF($C388="","",$H388-$H388/(1+IFERROR(INDEX(PRODUCTOS!$E$6:$E$105,MATCH($C388,PRODUCTOS!$A$6:$A$105,0)),IVA_VENTAS)))</f>
        <v/>
      </c>
      <c r="J388" s="35" t="str">
        <f aca="false">IF($C388="","",$H388-$I388)</f>
        <v/>
      </c>
      <c r="K388" s="35" t="str">
        <f aca="false">IF($C388="","",N($E388)*IFERROR(INDEX(PRODUCTOS!$H$6:$H$105,MATCH($C388,PRODUCTOS!$A$6:$A$105,0)),0))</f>
        <v/>
      </c>
      <c r="L388" s="35" t="str">
        <f aca="false">IF($C388="","",$J388-$K388)</f>
        <v/>
      </c>
      <c r="M388" s="6"/>
      <c r="N388" s="6"/>
      <c r="O388" s="46" t="str">
        <f aca="false">IF($A388="","",DATE(YEAR($A388),MONTH($A388),1))</f>
        <v/>
      </c>
    </row>
    <row r="389" customFormat="false" ht="15" hidden="false" customHeight="false" outlineLevel="0" collapsed="false">
      <c r="A389" s="44"/>
      <c r="B389" s="6"/>
      <c r="C389" s="6"/>
      <c r="D389" s="8" t="str">
        <f aca="false">IF($C389="","",IFERROR(INDEX(PRODUCTOS!$B$6:$B$105,MATCH($C389,PRODUCTOS!$A$6:$A$105,0)),"¿Código?"))</f>
        <v/>
      </c>
      <c r="E389" s="42"/>
      <c r="F389" s="35" t="str">
        <f aca="false">IF($C389="","",IFERROR(INDEX(PRODUCTOS!$D$6:$D$105,MATCH($C389,PRODUCTOS!$A$6:$A$105,0)),0))</f>
        <v/>
      </c>
      <c r="G389" s="40"/>
      <c r="H389" s="35" t="str">
        <f aca="false">IF($C389="","",N($E389)*$F389-N($G389))</f>
        <v/>
      </c>
      <c r="I389" s="35" t="str">
        <f aca="false">IF($C389="","",$H389-$H389/(1+IFERROR(INDEX(PRODUCTOS!$E$6:$E$105,MATCH($C389,PRODUCTOS!$A$6:$A$105,0)),IVA_VENTAS)))</f>
        <v/>
      </c>
      <c r="J389" s="35" t="str">
        <f aca="false">IF($C389="","",$H389-$I389)</f>
        <v/>
      </c>
      <c r="K389" s="35" t="str">
        <f aca="false">IF($C389="","",N($E389)*IFERROR(INDEX(PRODUCTOS!$H$6:$H$105,MATCH($C389,PRODUCTOS!$A$6:$A$105,0)),0))</f>
        <v/>
      </c>
      <c r="L389" s="35" t="str">
        <f aca="false">IF($C389="","",$J389-$K389)</f>
        <v/>
      </c>
      <c r="M389" s="6"/>
      <c r="N389" s="6"/>
      <c r="O389" s="46" t="str">
        <f aca="false">IF($A389="","",DATE(YEAR($A389),MONTH($A389),1))</f>
        <v/>
      </c>
    </row>
    <row r="390" customFormat="false" ht="15" hidden="false" customHeight="false" outlineLevel="0" collapsed="false">
      <c r="A390" s="44"/>
      <c r="B390" s="6"/>
      <c r="C390" s="6"/>
      <c r="D390" s="8" t="str">
        <f aca="false">IF($C390="","",IFERROR(INDEX(PRODUCTOS!$B$6:$B$105,MATCH($C390,PRODUCTOS!$A$6:$A$105,0)),"¿Código?"))</f>
        <v/>
      </c>
      <c r="E390" s="42"/>
      <c r="F390" s="35" t="str">
        <f aca="false">IF($C390="","",IFERROR(INDEX(PRODUCTOS!$D$6:$D$105,MATCH($C390,PRODUCTOS!$A$6:$A$105,0)),0))</f>
        <v/>
      </c>
      <c r="G390" s="40"/>
      <c r="H390" s="35" t="str">
        <f aca="false">IF($C390="","",N($E390)*$F390-N($G390))</f>
        <v/>
      </c>
      <c r="I390" s="35" t="str">
        <f aca="false">IF($C390="","",$H390-$H390/(1+IFERROR(INDEX(PRODUCTOS!$E$6:$E$105,MATCH($C390,PRODUCTOS!$A$6:$A$105,0)),IVA_VENTAS)))</f>
        <v/>
      </c>
      <c r="J390" s="35" t="str">
        <f aca="false">IF($C390="","",$H390-$I390)</f>
        <v/>
      </c>
      <c r="K390" s="35" t="str">
        <f aca="false">IF($C390="","",N($E390)*IFERROR(INDEX(PRODUCTOS!$H$6:$H$105,MATCH($C390,PRODUCTOS!$A$6:$A$105,0)),0))</f>
        <v/>
      </c>
      <c r="L390" s="35" t="str">
        <f aca="false">IF($C390="","",$J390-$K390)</f>
        <v/>
      </c>
      <c r="M390" s="6"/>
      <c r="N390" s="6"/>
      <c r="O390" s="46" t="str">
        <f aca="false">IF($A390="","",DATE(YEAR($A390),MONTH($A390),1))</f>
        <v/>
      </c>
    </row>
    <row r="391" customFormat="false" ht="15" hidden="false" customHeight="false" outlineLevel="0" collapsed="false">
      <c r="A391" s="44"/>
      <c r="B391" s="6"/>
      <c r="C391" s="6"/>
      <c r="D391" s="8" t="str">
        <f aca="false">IF($C391="","",IFERROR(INDEX(PRODUCTOS!$B$6:$B$105,MATCH($C391,PRODUCTOS!$A$6:$A$105,0)),"¿Código?"))</f>
        <v/>
      </c>
      <c r="E391" s="42"/>
      <c r="F391" s="35" t="str">
        <f aca="false">IF($C391="","",IFERROR(INDEX(PRODUCTOS!$D$6:$D$105,MATCH($C391,PRODUCTOS!$A$6:$A$105,0)),0))</f>
        <v/>
      </c>
      <c r="G391" s="40"/>
      <c r="H391" s="35" t="str">
        <f aca="false">IF($C391="","",N($E391)*$F391-N($G391))</f>
        <v/>
      </c>
      <c r="I391" s="35" t="str">
        <f aca="false">IF($C391="","",$H391-$H391/(1+IFERROR(INDEX(PRODUCTOS!$E$6:$E$105,MATCH($C391,PRODUCTOS!$A$6:$A$105,0)),IVA_VENTAS)))</f>
        <v/>
      </c>
      <c r="J391" s="35" t="str">
        <f aca="false">IF($C391="","",$H391-$I391)</f>
        <v/>
      </c>
      <c r="K391" s="35" t="str">
        <f aca="false">IF($C391="","",N($E391)*IFERROR(INDEX(PRODUCTOS!$H$6:$H$105,MATCH($C391,PRODUCTOS!$A$6:$A$105,0)),0))</f>
        <v/>
      </c>
      <c r="L391" s="35" t="str">
        <f aca="false">IF($C391="","",$J391-$K391)</f>
        <v/>
      </c>
      <c r="M391" s="6"/>
      <c r="N391" s="6"/>
      <c r="O391" s="46" t="str">
        <f aca="false">IF($A391="","",DATE(YEAR($A391),MONTH($A391),1))</f>
        <v/>
      </c>
    </row>
    <row r="392" customFormat="false" ht="15" hidden="false" customHeight="false" outlineLevel="0" collapsed="false">
      <c r="A392" s="44"/>
      <c r="B392" s="6"/>
      <c r="C392" s="6"/>
      <c r="D392" s="8" t="str">
        <f aca="false">IF($C392="","",IFERROR(INDEX(PRODUCTOS!$B$6:$B$105,MATCH($C392,PRODUCTOS!$A$6:$A$105,0)),"¿Código?"))</f>
        <v/>
      </c>
      <c r="E392" s="42"/>
      <c r="F392" s="35" t="str">
        <f aca="false">IF($C392="","",IFERROR(INDEX(PRODUCTOS!$D$6:$D$105,MATCH($C392,PRODUCTOS!$A$6:$A$105,0)),0))</f>
        <v/>
      </c>
      <c r="G392" s="40"/>
      <c r="H392" s="35" t="str">
        <f aca="false">IF($C392="","",N($E392)*$F392-N($G392))</f>
        <v/>
      </c>
      <c r="I392" s="35" t="str">
        <f aca="false">IF($C392="","",$H392-$H392/(1+IFERROR(INDEX(PRODUCTOS!$E$6:$E$105,MATCH($C392,PRODUCTOS!$A$6:$A$105,0)),IVA_VENTAS)))</f>
        <v/>
      </c>
      <c r="J392" s="35" t="str">
        <f aca="false">IF($C392="","",$H392-$I392)</f>
        <v/>
      </c>
      <c r="K392" s="35" t="str">
        <f aca="false">IF($C392="","",N($E392)*IFERROR(INDEX(PRODUCTOS!$H$6:$H$105,MATCH($C392,PRODUCTOS!$A$6:$A$105,0)),0))</f>
        <v/>
      </c>
      <c r="L392" s="35" t="str">
        <f aca="false">IF($C392="","",$J392-$K392)</f>
        <v/>
      </c>
      <c r="M392" s="6"/>
      <c r="N392" s="6"/>
      <c r="O392" s="46" t="str">
        <f aca="false">IF($A392="","",DATE(YEAR($A392),MONTH($A392),1))</f>
        <v/>
      </c>
    </row>
    <row r="393" customFormat="false" ht="15" hidden="false" customHeight="false" outlineLevel="0" collapsed="false">
      <c r="A393" s="44"/>
      <c r="B393" s="6"/>
      <c r="C393" s="6"/>
      <c r="D393" s="8" t="str">
        <f aca="false">IF($C393="","",IFERROR(INDEX(PRODUCTOS!$B$6:$B$105,MATCH($C393,PRODUCTOS!$A$6:$A$105,0)),"¿Código?"))</f>
        <v/>
      </c>
      <c r="E393" s="42"/>
      <c r="F393" s="35" t="str">
        <f aca="false">IF($C393="","",IFERROR(INDEX(PRODUCTOS!$D$6:$D$105,MATCH($C393,PRODUCTOS!$A$6:$A$105,0)),0))</f>
        <v/>
      </c>
      <c r="G393" s="40"/>
      <c r="H393" s="35" t="str">
        <f aca="false">IF($C393="","",N($E393)*$F393-N($G393))</f>
        <v/>
      </c>
      <c r="I393" s="35" t="str">
        <f aca="false">IF($C393="","",$H393-$H393/(1+IFERROR(INDEX(PRODUCTOS!$E$6:$E$105,MATCH($C393,PRODUCTOS!$A$6:$A$105,0)),IVA_VENTAS)))</f>
        <v/>
      </c>
      <c r="J393" s="35" t="str">
        <f aca="false">IF($C393="","",$H393-$I393)</f>
        <v/>
      </c>
      <c r="K393" s="35" t="str">
        <f aca="false">IF($C393="","",N($E393)*IFERROR(INDEX(PRODUCTOS!$H$6:$H$105,MATCH($C393,PRODUCTOS!$A$6:$A$105,0)),0))</f>
        <v/>
      </c>
      <c r="L393" s="35" t="str">
        <f aca="false">IF($C393="","",$J393-$K393)</f>
        <v/>
      </c>
      <c r="M393" s="6"/>
      <c r="N393" s="6"/>
      <c r="O393" s="46" t="str">
        <f aca="false">IF($A393="","",DATE(YEAR($A393),MONTH($A393),1))</f>
        <v/>
      </c>
    </row>
    <row r="394" customFormat="false" ht="15" hidden="false" customHeight="false" outlineLevel="0" collapsed="false">
      <c r="A394" s="44"/>
      <c r="B394" s="6"/>
      <c r="C394" s="6"/>
      <c r="D394" s="8" t="str">
        <f aca="false">IF($C394="","",IFERROR(INDEX(PRODUCTOS!$B$6:$B$105,MATCH($C394,PRODUCTOS!$A$6:$A$105,0)),"¿Código?"))</f>
        <v/>
      </c>
      <c r="E394" s="42"/>
      <c r="F394" s="35" t="str">
        <f aca="false">IF($C394="","",IFERROR(INDEX(PRODUCTOS!$D$6:$D$105,MATCH($C394,PRODUCTOS!$A$6:$A$105,0)),0))</f>
        <v/>
      </c>
      <c r="G394" s="40"/>
      <c r="H394" s="35" t="str">
        <f aca="false">IF($C394="","",N($E394)*$F394-N($G394))</f>
        <v/>
      </c>
      <c r="I394" s="35" t="str">
        <f aca="false">IF($C394="","",$H394-$H394/(1+IFERROR(INDEX(PRODUCTOS!$E$6:$E$105,MATCH($C394,PRODUCTOS!$A$6:$A$105,0)),IVA_VENTAS)))</f>
        <v/>
      </c>
      <c r="J394" s="35" t="str">
        <f aca="false">IF($C394="","",$H394-$I394)</f>
        <v/>
      </c>
      <c r="K394" s="35" t="str">
        <f aca="false">IF($C394="","",N($E394)*IFERROR(INDEX(PRODUCTOS!$H$6:$H$105,MATCH($C394,PRODUCTOS!$A$6:$A$105,0)),0))</f>
        <v/>
      </c>
      <c r="L394" s="35" t="str">
        <f aca="false">IF($C394="","",$J394-$K394)</f>
        <v/>
      </c>
      <c r="M394" s="6"/>
      <c r="N394" s="6"/>
      <c r="O394" s="46" t="str">
        <f aca="false">IF($A394="","",DATE(YEAR($A394),MONTH($A394),1))</f>
        <v/>
      </c>
    </row>
    <row r="395" customFormat="false" ht="15" hidden="false" customHeight="false" outlineLevel="0" collapsed="false">
      <c r="A395" s="44"/>
      <c r="B395" s="6"/>
      <c r="C395" s="6"/>
      <c r="D395" s="8" t="str">
        <f aca="false">IF($C395="","",IFERROR(INDEX(PRODUCTOS!$B$6:$B$105,MATCH($C395,PRODUCTOS!$A$6:$A$105,0)),"¿Código?"))</f>
        <v/>
      </c>
      <c r="E395" s="42"/>
      <c r="F395" s="35" t="str">
        <f aca="false">IF($C395="","",IFERROR(INDEX(PRODUCTOS!$D$6:$D$105,MATCH($C395,PRODUCTOS!$A$6:$A$105,0)),0))</f>
        <v/>
      </c>
      <c r="G395" s="40"/>
      <c r="H395" s="35" t="str">
        <f aca="false">IF($C395="","",N($E395)*$F395-N($G395))</f>
        <v/>
      </c>
      <c r="I395" s="35" t="str">
        <f aca="false">IF($C395="","",$H395-$H395/(1+IFERROR(INDEX(PRODUCTOS!$E$6:$E$105,MATCH($C395,PRODUCTOS!$A$6:$A$105,0)),IVA_VENTAS)))</f>
        <v/>
      </c>
      <c r="J395" s="35" t="str">
        <f aca="false">IF($C395="","",$H395-$I395)</f>
        <v/>
      </c>
      <c r="K395" s="35" t="str">
        <f aca="false">IF($C395="","",N($E395)*IFERROR(INDEX(PRODUCTOS!$H$6:$H$105,MATCH($C395,PRODUCTOS!$A$6:$A$105,0)),0))</f>
        <v/>
      </c>
      <c r="L395" s="35" t="str">
        <f aca="false">IF($C395="","",$J395-$K395)</f>
        <v/>
      </c>
      <c r="M395" s="6"/>
      <c r="N395" s="6"/>
      <c r="O395" s="46" t="str">
        <f aca="false">IF($A395="","",DATE(YEAR($A395),MONTH($A395),1))</f>
        <v/>
      </c>
    </row>
    <row r="396" customFormat="false" ht="15" hidden="false" customHeight="false" outlineLevel="0" collapsed="false">
      <c r="A396" s="44"/>
      <c r="B396" s="6"/>
      <c r="C396" s="6"/>
      <c r="D396" s="8" t="str">
        <f aca="false">IF($C396="","",IFERROR(INDEX(PRODUCTOS!$B$6:$B$105,MATCH($C396,PRODUCTOS!$A$6:$A$105,0)),"¿Código?"))</f>
        <v/>
      </c>
      <c r="E396" s="42"/>
      <c r="F396" s="35" t="str">
        <f aca="false">IF($C396="","",IFERROR(INDEX(PRODUCTOS!$D$6:$D$105,MATCH($C396,PRODUCTOS!$A$6:$A$105,0)),0))</f>
        <v/>
      </c>
      <c r="G396" s="40"/>
      <c r="H396" s="35" t="str">
        <f aca="false">IF($C396="","",N($E396)*$F396-N($G396))</f>
        <v/>
      </c>
      <c r="I396" s="35" t="str">
        <f aca="false">IF($C396="","",$H396-$H396/(1+IFERROR(INDEX(PRODUCTOS!$E$6:$E$105,MATCH($C396,PRODUCTOS!$A$6:$A$105,0)),IVA_VENTAS)))</f>
        <v/>
      </c>
      <c r="J396" s="35" t="str">
        <f aca="false">IF($C396="","",$H396-$I396)</f>
        <v/>
      </c>
      <c r="K396" s="35" t="str">
        <f aca="false">IF($C396="","",N($E396)*IFERROR(INDEX(PRODUCTOS!$H$6:$H$105,MATCH($C396,PRODUCTOS!$A$6:$A$105,0)),0))</f>
        <v/>
      </c>
      <c r="L396" s="35" t="str">
        <f aca="false">IF($C396="","",$J396-$K396)</f>
        <v/>
      </c>
      <c r="M396" s="6"/>
      <c r="N396" s="6"/>
      <c r="O396" s="46" t="str">
        <f aca="false">IF($A396="","",DATE(YEAR($A396),MONTH($A396),1))</f>
        <v/>
      </c>
    </row>
    <row r="397" customFormat="false" ht="15" hidden="false" customHeight="false" outlineLevel="0" collapsed="false">
      <c r="A397" s="44"/>
      <c r="B397" s="6"/>
      <c r="C397" s="6"/>
      <c r="D397" s="8" t="str">
        <f aca="false">IF($C397="","",IFERROR(INDEX(PRODUCTOS!$B$6:$B$105,MATCH($C397,PRODUCTOS!$A$6:$A$105,0)),"¿Código?"))</f>
        <v/>
      </c>
      <c r="E397" s="42"/>
      <c r="F397" s="35" t="str">
        <f aca="false">IF($C397="","",IFERROR(INDEX(PRODUCTOS!$D$6:$D$105,MATCH($C397,PRODUCTOS!$A$6:$A$105,0)),0))</f>
        <v/>
      </c>
      <c r="G397" s="40"/>
      <c r="H397" s="35" t="str">
        <f aca="false">IF($C397="","",N($E397)*$F397-N($G397))</f>
        <v/>
      </c>
      <c r="I397" s="35" t="str">
        <f aca="false">IF($C397="","",$H397-$H397/(1+IFERROR(INDEX(PRODUCTOS!$E$6:$E$105,MATCH($C397,PRODUCTOS!$A$6:$A$105,0)),IVA_VENTAS)))</f>
        <v/>
      </c>
      <c r="J397" s="35" t="str">
        <f aca="false">IF($C397="","",$H397-$I397)</f>
        <v/>
      </c>
      <c r="K397" s="35" t="str">
        <f aca="false">IF($C397="","",N($E397)*IFERROR(INDEX(PRODUCTOS!$H$6:$H$105,MATCH($C397,PRODUCTOS!$A$6:$A$105,0)),0))</f>
        <v/>
      </c>
      <c r="L397" s="35" t="str">
        <f aca="false">IF($C397="","",$J397-$K397)</f>
        <v/>
      </c>
      <c r="M397" s="6"/>
      <c r="N397" s="6"/>
      <c r="O397" s="46" t="str">
        <f aca="false">IF($A397="","",DATE(YEAR($A397),MONTH($A397),1))</f>
        <v/>
      </c>
    </row>
    <row r="398" customFormat="false" ht="15" hidden="false" customHeight="false" outlineLevel="0" collapsed="false">
      <c r="A398" s="44"/>
      <c r="B398" s="6"/>
      <c r="C398" s="6"/>
      <c r="D398" s="8" t="str">
        <f aca="false">IF($C398="","",IFERROR(INDEX(PRODUCTOS!$B$6:$B$105,MATCH($C398,PRODUCTOS!$A$6:$A$105,0)),"¿Código?"))</f>
        <v/>
      </c>
      <c r="E398" s="42"/>
      <c r="F398" s="35" t="str">
        <f aca="false">IF($C398="","",IFERROR(INDEX(PRODUCTOS!$D$6:$D$105,MATCH($C398,PRODUCTOS!$A$6:$A$105,0)),0))</f>
        <v/>
      </c>
      <c r="G398" s="40"/>
      <c r="H398" s="35" t="str">
        <f aca="false">IF($C398="","",N($E398)*$F398-N($G398))</f>
        <v/>
      </c>
      <c r="I398" s="35" t="str">
        <f aca="false">IF($C398="","",$H398-$H398/(1+IFERROR(INDEX(PRODUCTOS!$E$6:$E$105,MATCH($C398,PRODUCTOS!$A$6:$A$105,0)),IVA_VENTAS)))</f>
        <v/>
      </c>
      <c r="J398" s="35" t="str">
        <f aca="false">IF($C398="","",$H398-$I398)</f>
        <v/>
      </c>
      <c r="K398" s="35" t="str">
        <f aca="false">IF($C398="","",N($E398)*IFERROR(INDEX(PRODUCTOS!$H$6:$H$105,MATCH($C398,PRODUCTOS!$A$6:$A$105,0)),0))</f>
        <v/>
      </c>
      <c r="L398" s="35" t="str">
        <f aca="false">IF($C398="","",$J398-$K398)</f>
        <v/>
      </c>
      <c r="M398" s="6"/>
      <c r="N398" s="6"/>
      <c r="O398" s="46" t="str">
        <f aca="false">IF($A398="","",DATE(YEAR($A398),MONTH($A398),1))</f>
        <v/>
      </c>
    </row>
    <row r="399" customFormat="false" ht="15" hidden="false" customHeight="false" outlineLevel="0" collapsed="false">
      <c r="A399" s="44"/>
      <c r="B399" s="6"/>
      <c r="C399" s="6"/>
      <c r="D399" s="8" t="str">
        <f aca="false">IF($C399="","",IFERROR(INDEX(PRODUCTOS!$B$6:$B$105,MATCH($C399,PRODUCTOS!$A$6:$A$105,0)),"¿Código?"))</f>
        <v/>
      </c>
      <c r="E399" s="42"/>
      <c r="F399" s="35" t="str">
        <f aca="false">IF($C399="","",IFERROR(INDEX(PRODUCTOS!$D$6:$D$105,MATCH($C399,PRODUCTOS!$A$6:$A$105,0)),0))</f>
        <v/>
      </c>
      <c r="G399" s="40"/>
      <c r="H399" s="35" t="str">
        <f aca="false">IF($C399="","",N($E399)*$F399-N($G399))</f>
        <v/>
      </c>
      <c r="I399" s="35" t="str">
        <f aca="false">IF($C399="","",$H399-$H399/(1+IFERROR(INDEX(PRODUCTOS!$E$6:$E$105,MATCH($C399,PRODUCTOS!$A$6:$A$105,0)),IVA_VENTAS)))</f>
        <v/>
      </c>
      <c r="J399" s="35" t="str">
        <f aca="false">IF($C399="","",$H399-$I399)</f>
        <v/>
      </c>
      <c r="K399" s="35" t="str">
        <f aca="false">IF($C399="","",N($E399)*IFERROR(INDEX(PRODUCTOS!$H$6:$H$105,MATCH($C399,PRODUCTOS!$A$6:$A$105,0)),0))</f>
        <v/>
      </c>
      <c r="L399" s="35" t="str">
        <f aca="false">IF($C399="","",$J399-$K399)</f>
        <v/>
      </c>
      <c r="M399" s="6"/>
      <c r="N399" s="6"/>
      <c r="O399" s="46" t="str">
        <f aca="false">IF($A399="","",DATE(YEAR($A399),MONTH($A399),1))</f>
        <v/>
      </c>
    </row>
    <row r="400" customFormat="false" ht="15" hidden="false" customHeight="false" outlineLevel="0" collapsed="false">
      <c r="A400" s="44"/>
      <c r="B400" s="6"/>
      <c r="C400" s="6"/>
      <c r="D400" s="8" t="str">
        <f aca="false">IF($C400="","",IFERROR(INDEX(PRODUCTOS!$B$6:$B$105,MATCH($C400,PRODUCTOS!$A$6:$A$105,0)),"¿Código?"))</f>
        <v/>
      </c>
      <c r="E400" s="42"/>
      <c r="F400" s="35" t="str">
        <f aca="false">IF($C400="","",IFERROR(INDEX(PRODUCTOS!$D$6:$D$105,MATCH($C400,PRODUCTOS!$A$6:$A$105,0)),0))</f>
        <v/>
      </c>
      <c r="G400" s="40"/>
      <c r="H400" s="35" t="str">
        <f aca="false">IF($C400="","",N($E400)*$F400-N($G400))</f>
        <v/>
      </c>
      <c r="I400" s="35" t="str">
        <f aca="false">IF($C400="","",$H400-$H400/(1+IFERROR(INDEX(PRODUCTOS!$E$6:$E$105,MATCH($C400,PRODUCTOS!$A$6:$A$105,0)),IVA_VENTAS)))</f>
        <v/>
      </c>
      <c r="J400" s="35" t="str">
        <f aca="false">IF($C400="","",$H400-$I400)</f>
        <v/>
      </c>
      <c r="K400" s="35" t="str">
        <f aca="false">IF($C400="","",N($E400)*IFERROR(INDEX(PRODUCTOS!$H$6:$H$105,MATCH($C400,PRODUCTOS!$A$6:$A$105,0)),0))</f>
        <v/>
      </c>
      <c r="L400" s="35" t="str">
        <f aca="false">IF($C400="","",$J400-$K400)</f>
        <v/>
      </c>
      <c r="M400" s="6"/>
      <c r="N400" s="6"/>
      <c r="O400" s="46" t="str">
        <f aca="false">IF($A400="","",DATE(YEAR($A400),MONTH($A400),1))</f>
        <v/>
      </c>
    </row>
    <row r="401" customFormat="false" ht="15" hidden="false" customHeight="false" outlineLevel="0" collapsed="false">
      <c r="A401" s="44"/>
      <c r="B401" s="6"/>
      <c r="C401" s="6"/>
      <c r="D401" s="8" t="str">
        <f aca="false">IF($C401="","",IFERROR(INDEX(PRODUCTOS!$B$6:$B$105,MATCH($C401,PRODUCTOS!$A$6:$A$105,0)),"¿Código?"))</f>
        <v/>
      </c>
      <c r="E401" s="42"/>
      <c r="F401" s="35" t="str">
        <f aca="false">IF($C401="","",IFERROR(INDEX(PRODUCTOS!$D$6:$D$105,MATCH($C401,PRODUCTOS!$A$6:$A$105,0)),0))</f>
        <v/>
      </c>
      <c r="G401" s="40"/>
      <c r="H401" s="35" t="str">
        <f aca="false">IF($C401="","",N($E401)*$F401-N($G401))</f>
        <v/>
      </c>
      <c r="I401" s="35" t="str">
        <f aca="false">IF($C401="","",$H401-$H401/(1+IFERROR(INDEX(PRODUCTOS!$E$6:$E$105,MATCH($C401,PRODUCTOS!$A$6:$A$105,0)),IVA_VENTAS)))</f>
        <v/>
      </c>
      <c r="J401" s="35" t="str">
        <f aca="false">IF($C401="","",$H401-$I401)</f>
        <v/>
      </c>
      <c r="K401" s="35" t="str">
        <f aca="false">IF($C401="","",N($E401)*IFERROR(INDEX(PRODUCTOS!$H$6:$H$105,MATCH($C401,PRODUCTOS!$A$6:$A$105,0)),0))</f>
        <v/>
      </c>
      <c r="L401" s="35" t="str">
        <f aca="false">IF($C401="","",$J401-$K401)</f>
        <v/>
      </c>
      <c r="M401" s="6"/>
      <c r="N401" s="6"/>
      <c r="O401" s="46" t="str">
        <f aca="false">IF($A401="","",DATE(YEAR($A401),MONTH($A401),1))</f>
        <v/>
      </c>
    </row>
    <row r="402" customFormat="false" ht="15" hidden="false" customHeight="false" outlineLevel="0" collapsed="false">
      <c r="A402" s="44"/>
      <c r="B402" s="6"/>
      <c r="C402" s="6"/>
      <c r="D402" s="8" t="str">
        <f aca="false">IF($C402="","",IFERROR(INDEX(PRODUCTOS!$B$6:$B$105,MATCH($C402,PRODUCTOS!$A$6:$A$105,0)),"¿Código?"))</f>
        <v/>
      </c>
      <c r="E402" s="42"/>
      <c r="F402" s="35" t="str">
        <f aca="false">IF($C402="","",IFERROR(INDEX(PRODUCTOS!$D$6:$D$105,MATCH($C402,PRODUCTOS!$A$6:$A$105,0)),0))</f>
        <v/>
      </c>
      <c r="G402" s="40"/>
      <c r="H402" s="35" t="str">
        <f aca="false">IF($C402="","",N($E402)*$F402-N($G402))</f>
        <v/>
      </c>
      <c r="I402" s="35" t="str">
        <f aca="false">IF($C402="","",$H402-$H402/(1+IFERROR(INDEX(PRODUCTOS!$E$6:$E$105,MATCH($C402,PRODUCTOS!$A$6:$A$105,0)),IVA_VENTAS)))</f>
        <v/>
      </c>
      <c r="J402" s="35" t="str">
        <f aca="false">IF($C402="","",$H402-$I402)</f>
        <v/>
      </c>
      <c r="K402" s="35" t="str">
        <f aca="false">IF($C402="","",N($E402)*IFERROR(INDEX(PRODUCTOS!$H$6:$H$105,MATCH($C402,PRODUCTOS!$A$6:$A$105,0)),0))</f>
        <v/>
      </c>
      <c r="L402" s="35" t="str">
        <f aca="false">IF($C402="","",$J402-$K402)</f>
        <v/>
      </c>
      <c r="M402" s="6"/>
      <c r="N402" s="6"/>
      <c r="O402" s="46" t="str">
        <f aca="false">IF($A402="","",DATE(YEAR($A402),MONTH($A402),1))</f>
        <v/>
      </c>
    </row>
    <row r="403" customFormat="false" ht="15" hidden="false" customHeight="false" outlineLevel="0" collapsed="false">
      <c r="A403" s="44"/>
      <c r="B403" s="6"/>
      <c r="C403" s="6"/>
      <c r="D403" s="8" t="str">
        <f aca="false">IF($C403="","",IFERROR(INDEX(PRODUCTOS!$B$6:$B$105,MATCH($C403,PRODUCTOS!$A$6:$A$105,0)),"¿Código?"))</f>
        <v/>
      </c>
      <c r="E403" s="42"/>
      <c r="F403" s="35" t="str">
        <f aca="false">IF($C403="","",IFERROR(INDEX(PRODUCTOS!$D$6:$D$105,MATCH($C403,PRODUCTOS!$A$6:$A$105,0)),0))</f>
        <v/>
      </c>
      <c r="G403" s="40"/>
      <c r="H403" s="35" t="str">
        <f aca="false">IF($C403="","",N($E403)*$F403-N($G403))</f>
        <v/>
      </c>
      <c r="I403" s="35" t="str">
        <f aca="false">IF($C403="","",$H403-$H403/(1+IFERROR(INDEX(PRODUCTOS!$E$6:$E$105,MATCH($C403,PRODUCTOS!$A$6:$A$105,0)),IVA_VENTAS)))</f>
        <v/>
      </c>
      <c r="J403" s="35" t="str">
        <f aca="false">IF($C403="","",$H403-$I403)</f>
        <v/>
      </c>
      <c r="K403" s="35" t="str">
        <f aca="false">IF($C403="","",N($E403)*IFERROR(INDEX(PRODUCTOS!$H$6:$H$105,MATCH($C403,PRODUCTOS!$A$6:$A$105,0)),0))</f>
        <v/>
      </c>
      <c r="L403" s="35" t="str">
        <f aca="false">IF($C403="","",$J403-$K403)</f>
        <v/>
      </c>
      <c r="M403" s="6"/>
      <c r="N403" s="6"/>
      <c r="O403" s="46" t="str">
        <f aca="false">IF($A403="","",DATE(YEAR($A403),MONTH($A403),1))</f>
        <v/>
      </c>
    </row>
    <row r="404" customFormat="false" ht="15" hidden="false" customHeight="false" outlineLevel="0" collapsed="false">
      <c r="A404" s="44"/>
      <c r="B404" s="6"/>
      <c r="C404" s="6"/>
      <c r="D404" s="8" t="str">
        <f aca="false">IF($C404="","",IFERROR(INDEX(PRODUCTOS!$B$6:$B$105,MATCH($C404,PRODUCTOS!$A$6:$A$105,0)),"¿Código?"))</f>
        <v/>
      </c>
      <c r="E404" s="42"/>
      <c r="F404" s="35" t="str">
        <f aca="false">IF($C404="","",IFERROR(INDEX(PRODUCTOS!$D$6:$D$105,MATCH($C404,PRODUCTOS!$A$6:$A$105,0)),0))</f>
        <v/>
      </c>
      <c r="G404" s="40"/>
      <c r="H404" s="35" t="str">
        <f aca="false">IF($C404="","",N($E404)*$F404-N($G404))</f>
        <v/>
      </c>
      <c r="I404" s="35" t="str">
        <f aca="false">IF($C404="","",$H404-$H404/(1+IFERROR(INDEX(PRODUCTOS!$E$6:$E$105,MATCH($C404,PRODUCTOS!$A$6:$A$105,0)),IVA_VENTAS)))</f>
        <v/>
      </c>
      <c r="J404" s="35" t="str">
        <f aca="false">IF($C404="","",$H404-$I404)</f>
        <v/>
      </c>
      <c r="K404" s="35" t="str">
        <f aca="false">IF($C404="","",N($E404)*IFERROR(INDEX(PRODUCTOS!$H$6:$H$105,MATCH($C404,PRODUCTOS!$A$6:$A$105,0)),0))</f>
        <v/>
      </c>
      <c r="L404" s="35" t="str">
        <f aca="false">IF($C404="","",$J404-$K404)</f>
        <v/>
      </c>
      <c r="M404" s="6"/>
      <c r="N404" s="6"/>
      <c r="O404" s="46" t="str">
        <f aca="false">IF($A404="","",DATE(YEAR($A404),MONTH($A404),1))</f>
        <v/>
      </c>
    </row>
    <row r="405" customFormat="false" ht="15" hidden="false" customHeight="false" outlineLevel="0" collapsed="false">
      <c r="A405" s="44"/>
      <c r="B405" s="6"/>
      <c r="C405" s="6"/>
      <c r="D405" s="8" t="str">
        <f aca="false">IF($C405="","",IFERROR(INDEX(PRODUCTOS!$B$6:$B$105,MATCH($C405,PRODUCTOS!$A$6:$A$105,0)),"¿Código?"))</f>
        <v/>
      </c>
      <c r="E405" s="42"/>
      <c r="F405" s="35" t="str">
        <f aca="false">IF($C405="","",IFERROR(INDEX(PRODUCTOS!$D$6:$D$105,MATCH($C405,PRODUCTOS!$A$6:$A$105,0)),0))</f>
        <v/>
      </c>
      <c r="G405" s="40"/>
      <c r="H405" s="35" t="str">
        <f aca="false">IF($C405="","",N($E405)*$F405-N($G405))</f>
        <v/>
      </c>
      <c r="I405" s="35" t="str">
        <f aca="false">IF($C405="","",$H405-$H405/(1+IFERROR(INDEX(PRODUCTOS!$E$6:$E$105,MATCH($C405,PRODUCTOS!$A$6:$A$105,0)),IVA_VENTAS)))</f>
        <v/>
      </c>
      <c r="J405" s="35" t="str">
        <f aca="false">IF($C405="","",$H405-$I405)</f>
        <v/>
      </c>
      <c r="K405" s="35" t="str">
        <f aca="false">IF($C405="","",N($E405)*IFERROR(INDEX(PRODUCTOS!$H$6:$H$105,MATCH($C405,PRODUCTOS!$A$6:$A$105,0)),0))</f>
        <v/>
      </c>
      <c r="L405" s="35" t="str">
        <f aca="false">IF($C405="","",$J405-$K405)</f>
        <v/>
      </c>
      <c r="M405" s="6"/>
      <c r="N405" s="6"/>
      <c r="O405" s="46" t="str">
        <f aca="false">IF($A405="","",DATE(YEAR($A405),MONTH($A405),1))</f>
        <v/>
      </c>
    </row>
    <row r="406" customFormat="false" ht="15" hidden="false" customHeight="false" outlineLevel="0" collapsed="false">
      <c r="A406" s="44"/>
      <c r="B406" s="6"/>
      <c r="C406" s="6"/>
      <c r="D406" s="8" t="str">
        <f aca="false">IF($C406="","",IFERROR(INDEX(PRODUCTOS!$B$6:$B$105,MATCH($C406,PRODUCTOS!$A$6:$A$105,0)),"¿Código?"))</f>
        <v/>
      </c>
      <c r="E406" s="42"/>
      <c r="F406" s="35" t="str">
        <f aca="false">IF($C406="","",IFERROR(INDEX(PRODUCTOS!$D$6:$D$105,MATCH($C406,PRODUCTOS!$A$6:$A$105,0)),0))</f>
        <v/>
      </c>
      <c r="G406" s="40"/>
      <c r="H406" s="35" t="str">
        <f aca="false">IF($C406="","",N($E406)*$F406-N($G406))</f>
        <v/>
      </c>
      <c r="I406" s="35" t="str">
        <f aca="false">IF($C406="","",$H406-$H406/(1+IFERROR(INDEX(PRODUCTOS!$E$6:$E$105,MATCH($C406,PRODUCTOS!$A$6:$A$105,0)),IVA_VENTAS)))</f>
        <v/>
      </c>
      <c r="J406" s="35" t="str">
        <f aca="false">IF($C406="","",$H406-$I406)</f>
        <v/>
      </c>
      <c r="K406" s="35" t="str">
        <f aca="false">IF($C406="","",N($E406)*IFERROR(INDEX(PRODUCTOS!$H$6:$H$105,MATCH($C406,PRODUCTOS!$A$6:$A$105,0)),0))</f>
        <v/>
      </c>
      <c r="L406" s="35" t="str">
        <f aca="false">IF($C406="","",$J406-$K406)</f>
        <v/>
      </c>
      <c r="M406" s="6"/>
      <c r="N406" s="6"/>
      <c r="O406" s="46" t="str">
        <f aca="false">IF($A406="","",DATE(YEAR($A406),MONTH($A406),1))</f>
        <v/>
      </c>
    </row>
    <row r="407" customFormat="false" ht="15" hidden="false" customHeight="false" outlineLevel="0" collapsed="false">
      <c r="A407" s="44"/>
      <c r="B407" s="6"/>
      <c r="C407" s="6"/>
      <c r="D407" s="8" t="str">
        <f aca="false">IF($C407="","",IFERROR(INDEX(PRODUCTOS!$B$6:$B$105,MATCH($C407,PRODUCTOS!$A$6:$A$105,0)),"¿Código?"))</f>
        <v/>
      </c>
      <c r="E407" s="42"/>
      <c r="F407" s="35" t="str">
        <f aca="false">IF($C407="","",IFERROR(INDEX(PRODUCTOS!$D$6:$D$105,MATCH($C407,PRODUCTOS!$A$6:$A$105,0)),0))</f>
        <v/>
      </c>
      <c r="G407" s="40"/>
      <c r="H407" s="35" t="str">
        <f aca="false">IF($C407="","",N($E407)*$F407-N($G407))</f>
        <v/>
      </c>
      <c r="I407" s="35" t="str">
        <f aca="false">IF($C407="","",$H407-$H407/(1+IFERROR(INDEX(PRODUCTOS!$E$6:$E$105,MATCH($C407,PRODUCTOS!$A$6:$A$105,0)),IVA_VENTAS)))</f>
        <v/>
      </c>
      <c r="J407" s="35" t="str">
        <f aca="false">IF($C407="","",$H407-$I407)</f>
        <v/>
      </c>
      <c r="K407" s="35" t="str">
        <f aca="false">IF($C407="","",N($E407)*IFERROR(INDEX(PRODUCTOS!$H$6:$H$105,MATCH($C407,PRODUCTOS!$A$6:$A$105,0)),0))</f>
        <v/>
      </c>
      <c r="L407" s="35" t="str">
        <f aca="false">IF($C407="","",$J407-$K407)</f>
        <v/>
      </c>
      <c r="M407" s="6"/>
      <c r="N407" s="6"/>
      <c r="O407" s="46" t="str">
        <f aca="false">IF($A407="","",DATE(YEAR($A407),MONTH($A407),1))</f>
        <v/>
      </c>
    </row>
    <row r="408" customFormat="false" ht="15" hidden="false" customHeight="false" outlineLevel="0" collapsed="false">
      <c r="A408" s="44"/>
      <c r="B408" s="6"/>
      <c r="C408" s="6"/>
      <c r="D408" s="8" t="str">
        <f aca="false">IF($C408="","",IFERROR(INDEX(PRODUCTOS!$B$6:$B$105,MATCH($C408,PRODUCTOS!$A$6:$A$105,0)),"¿Código?"))</f>
        <v/>
      </c>
      <c r="E408" s="42"/>
      <c r="F408" s="35" t="str">
        <f aca="false">IF($C408="","",IFERROR(INDEX(PRODUCTOS!$D$6:$D$105,MATCH($C408,PRODUCTOS!$A$6:$A$105,0)),0))</f>
        <v/>
      </c>
      <c r="G408" s="40"/>
      <c r="H408" s="35" t="str">
        <f aca="false">IF($C408="","",N($E408)*$F408-N($G408))</f>
        <v/>
      </c>
      <c r="I408" s="35" t="str">
        <f aca="false">IF($C408="","",$H408-$H408/(1+IFERROR(INDEX(PRODUCTOS!$E$6:$E$105,MATCH($C408,PRODUCTOS!$A$6:$A$105,0)),IVA_VENTAS)))</f>
        <v/>
      </c>
      <c r="J408" s="35" t="str">
        <f aca="false">IF($C408="","",$H408-$I408)</f>
        <v/>
      </c>
      <c r="K408" s="35" t="str">
        <f aca="false">IF($C408="","",N($E408)*IFERROR(INDEX(PRODUCTOS!$H$6:$H$105,MATCH($C408,PRODUCTOS!$A$6:$A$105,0)),0))</f>
        <v/>
      </c>
      <c r="L408" s="35" t="str">
        <f aca="false">IF($C408="","",$J408-$K408)</f>
        <v/>
      </c>
      <c r="M408" s="6"/>
      <c r="N408" s="6"/>
      <c r="O408" s="46" t="str">
        <f aca="false">IF($A408="","",DATE(YEAR($A408),MONTH($A408),1))</f>
        <v/>
      </c>
    </row>
    <row r="409" customFormat="false" ht="15" hidden="false" customHeight="false" outlineLevel="0" collapsed="false">
      <c r="A409" s="44"/>
      <c r="B409" s="6"/>
      <c r="C409" s="6"/>
      <c r="D409" s="8" t="str">
        <f aca="false">IF($C409="","",IFERROR(INDEX(PRODUCTOS!$B$6:$B$105,MATCH($C409,PRODUCTOS!$A$6:$A$105,0)),"¿Código?"))</f>
        <v/>
      </c>
      <c r="E409" s="42"/>
      <c r="F409" s="35" t="str">
        <f aca="false">IF($C409="","",IFERROR(INDEX(PRODUCTOS!$D$6:$D$105,MATCH($C409,PRODUCTOS!$A$6:$A$105,0)),0))</f>
        <v/>
      </c>
      <c r="G409" s="40"/>
      <c r="H409" s="35" t="str">
        <f aca="false">IF($C409="","",N($E409)*$F409-N($G409))</f>
        <v/>
      </c>
      <c r="I409" s="35" t="str">
        <f aca="false">IF($C409="","",$H409-$H409/(1+IFERROR(INDEX(PRODUCTOS!$E$6:$E$105,MATCH($C409,PRODUCTOS!$A$6:$A$105,0)),IVA_VENTAS)))</f>
        <v/>
      </c>
      <c r="J409" s="35" t="str">
        <f aca="false">IF($C409="","",$H409-$I409)</f>
        <v/>
      </c>
      <c r="K409" s="35" t="str">
        <f aca="false">IF($C409="","",N($E409)*IFERROR(INDEX(PRODUCTOS!$H$6:$H$105,MATCH($C409,PRODUCTOS!$A$6:$A$105,0)),0))</f>
        <v/>
      </c>
      <c r="L409" s="35" t="str">
        <f aca="false">IF($C409="","",$J409-$K409)</f>
        <v/>
      </c>
      <c r="M409" s="6"/>
      <c r="N409" s="6"/>
      <c r="O409" s="46" t="str">
        <f aca="false">IF($A409="","",DATE(YEAR($A409),MONTH($A409),1))</f>
        <v/>
      </c>
    </row>
    <row r="410" customFormat="false" ht="15" hidden="false" customHeight="false" outlineLevel="0" collapsed="false">
      <c r="A410" s="44"/>
      <c r="B410" s="6"/>
      <c r="C410" s="6"/>
      <c r="D410" s="8" t="str">
        <f aca="false">IF($C410="","",IFERROR(INDEX(PRODUCTOS!$B$6:$B$105,MATCH($C410,PRODUCTOS!$A$6:$A$105,0)),"¿Código?"))</f>
        <v/>
      </c>
      <c r="E410" s="42"/>
      <c r="F410" s="35" t="str">
        <f aca="false">IF($C410="","",IFERROR(INDEX(PRODUCTOS!$D$6:$D$105,MATCH($C410,PRODUCTOS!$A$6:$A$105,0)),0))</f>
        <v/>
      </c>
      <c r="G410" s="40"/>
      <c r="H410" s="35" t="str">
        <f aca="false">IF($C410="","",N($E410)*$F410-N($G410))</f>
        <v/>
      </c>
      <c r="I410" s="35" t="str">
        <f aca="false">IF($C410="","",$H410-$H410/(1+IFERROR(INDEX(PRODUCTOS!$E$6:$E$105,MATCH($C410,PRODUCTOS!$A$6:$A$105,0)),IVA_VENTAS)))</f>
        <v/>
      </c>
      <c r="J410" s="35" t="str">
        <f aca="false">IF($C410="","",$H410-$I410)</f>
        <v/>
      </c>
      <c r="K410" s="35" t="str">
        <f aca="false">IF($C410="","",N($E410)*IFERROR(INDEX(PRODUCTOS!$H$6:$H$105,MATCH($C410,PRODUCTOS!$A$6:$A$105,0)),0))</f>
        <v/>
      </c>
      <c r="L410" s="35" t="str">
        <f aca="false">IF($C410="","",$J410-$K410)</f>
        <v/>
      </c>
      <c r="M410" s="6"/>
      <c r="N410" s="6"/>
      <c r="O410" s="46" t="str">
        <f aca="false">IF($A410="","",DATE(YEAR($A410),MONTH($A410),1))</f>
        <v/>
      </c>
    </row>
    <row r="411" customFormat="false" ht="15" hidden="false" customHeight="false" outlineLevel="0" collapsed="false">
      <c r="A411" s="44"/>
      <c r="B411" s="6"/>
      <c r="C411" s="6"/>
      <c r="D411" s="8" t="str">
        <f aca="false">IF($C411="","",IFERROR(INDEX(PRODUCTOS!$B$6:$B$105,MATCH($C411,PRODUCTOS!$A$6:$A$105,0)),"¿Código?"))</f>
        <v/>
      </c>
      <c r="E411" s="42"/>
      <c r="F411" s="35" t="str">
        <f aca="false">IF($C411="","",IFERROR(INDEX(PRODUCTOS!$D$6:$D$105,MATCH($C411,PRODUCTOS!$A$6:$A$105,0)),0))</f>
        <v/>
      </c>
      <c r="G411" s="40"/>
      <c r="H411" s="35" t="str">
        <f aca="false">IF($C411="","",N($E411)*$F411-N($G411))</f>
        <v/>
      </c>
      <c r="I411" s="35" t="str">
        <f aca="false">IF($C411="","",$H411-$H411/(1+IFERROR(INDEX(PRODUCTOS!$E$6:$E$105,MATCH($C411,PRODUCTOS!$A$6:$A$105,0)),IVA_VENTAS)))</f>
        <v/>
      </c>
      <c r="J411" s="35" t="str">
        <f aca="false">IF($C411="","",$H411-$I411)</f>
        <v/>
      </c>
      <c r="K411" s="35" t="str">
        <f aca="false">IF($C411="","",N($E411)*IFERROR(INDEX(PRODUCTOS!$H$6:$H$105,MATCH($C411,PRODUCTOS!$A$6:$A$105,0)),0))</f>
        <v/>
      </c>
      <c r="L411" s="35" t="str">
        <f aca="false">IF($C411="","",$J411-$K411)</f>
        <v/>
      </c>
      <c r="M411" s="6"/>
      <c r="N411" s="6"/>
      <c r="O411" s="46" t="str">
        <f aca="false">IF($A411="","",DATE(YEAR($A411),MONTH($A411),1))</f>
        <v/>
      </c>
    </row>
    <row r="412" customFormat="false" ht="15" hidden="false" customHeight="false" outlineLevel="0" collapsed="false">
      <c r="A412" s="44"/>
      <c r="B412" s="6"/>
      <c r="C412" s="6"/>
      <c r="D412" s="8" t="str">
        <f aca="false">IF($C412="","",IFERROR(INDEX(PRODUCTOS!$B$6:$B$105,MATCH($C412,PRODUCTOS!$A$6:$A$105,0)),"¿Código?"))</f>
        <v/>
      </c>
      <c r="E412" s="42"/>
      <c r="F412" s="35" t="str">
        <f aca="false">IF($C412="","",IFERROR(INDEX(PRODUCTOS!$D$6:$D$105,MATCH($C412,PRODUCTOS!$A$6:$A$105,0)),0))</f>
        <v/>
      </c>
      <c r="G412" s="40"/>
      <c r="H412" s="35" t="str">
        <f aca="false">IF($C412="","",N($E412)*$F412-N($G412))</f>
        <v/>
      </c>
      <c r="I412" s="35" t="str">
        <f aca="false">IF($C412="","",$H412-$H412/(1+IFERROR(INDEX(PRODUCTOS!$E$6:$E$105,MATCH($C412,PRODUCTOS!$A$6:$A$105,0)),IVA_VENTAS)))</f>
        <v/>
      </c>
      <c r="J412" s="35" t="str">
        <f aca="false">IF($C412="","",$H412-$I412)</f>
        <v/>
      </c>
      <c r="K412" s="35" t="str">
        <f aca="false">IF($C412="","",N($E412)*IFERROR(INDEX(PRODUCTOS!$H$6:$H$105,MATCH($C412,PRODUCTOS!$A$6:$A$105,0)),0))</f>
        <v/>
      </c>
      <c r="L412" s="35" t="str">
        <f aca="false">IF($C412="","",$J412-$K412)</f>
        <v/>
      </c>
      <c r="M412" s="6"/>
      <c r="N412" s="6"/>
      <c r="O412" s="46" t="str">
        <f aca="false">IF($A412="","",DATE(YEAR($A412),MONTH($A412),1))</f>
        <v/>
      </c>
    </row>
    <row r="413" customFormat="false" ht="15" hidden="false" customHeight="false" outlineLevel="0" collapsed="false">
      <c r="A413" s="44"/>
      <c r="B413" s="6"/>
      <c r="C413" s="6"/>
      <c r="D413" s="8" t="str">
        <f aca="false">IF($C413="","",IFERROR(INDEX(PRODUCTOS!$B$6:$B$105,MATCH($C413,PRODUCTOS!$A$6:$A$105,0)),"¿Código?"))</f>
        <v/>
      </c>
      <c r="E413" s="42"/>
      <c r="F413" s="35" t="str">
        <f aca="false">IF($C413="","",IFERROR(INDEX(PRODUCTOS!$D$6:$D$105,MATCH($C413,PRODUCTOS!$A$6:$A$105,0)),0))</f>
        <v/>
      </c>
      <c r="G413" s="40"/>
      <c r="H413" s="35" t="str">
        <f aca="false">IF($C413="","",N($E413)*$F413-N($G413))</f>
        <v/>
      </c>
      <c r="I413" s="35" t="str">
        <f aca="false">IF($C413="","",$H413-$H413/(1+IFERROR(INDEX(PRODUCTOS!$E$6:$E$105,MATCH($C413,PRODUCTOS!$A$6:$A$105,0)),IVA_VENTAS)))</f>
        <v/>
      </c>
      <c r="J413" s="35" t="str">
        <f aca="false">IF($C413="","",$H413-$I413)</f>
        <v/>
      </c>
      <c r="K413" s="35" t="str">
        <f aca="false">IF($C413="","",N($E413)*IFERROR(INDEX(PRODUCTOS!$H$6:$H$105,MATCH($C413,PRODUCTOS!$A$6:$A$105,0)),0))</f>
        <v/>
      </c>
      <c r="L413" s="35" t="str">
        <f aca="false">IF($C413="","",$J413-$K413)</f>
        <v/>
      </c>
      <c r="M413" s="6"/>
      <c r="N413" s="6"/>
      <c r="O413" s="46" t="str">
        <f aca="false">IF($A413="","",DATE(YEAR($A413),MONTH($A413),1))</f>
        <v/>
      </c>
    </row>
    <row r="414" customFormat="false" ht="15" hidden="false" customHeight="false" outlineLevel="0" collapsed="false">
      <c r="A414" s="44"/>
      <c r="B414" s="6"/>
      <c r="C414" s="6"/>
      <c r="D414" s="8" t="str">
        <f aca="false">IF($C414="","",IFERROR(INDEX(PRODUCTOS!$B$6:$B$105,MATCH($C414,PRODUCTOS!$A$6:$A$105,0)),"¿Código?"))</f>
        <v/>
      </c>
      <c r="E414" s="42"/>
      <c r="F414" s="35" t="str">
        <f aca="false">IF($C414="","",IFERROR(INDEX(PRODUCTOS!$D$6:$D$105,MATCH($C414,PRODUCTOS!$A$6:$A$105,0)),0))</f>
        <v/>
      </c>
      <c r="G414" s="40"/>
      <c r="H414" s="35" t="str">
        <f aca="false">IF($C414="","",N($E414)*$F414-N($G414))</f>
        <v/>
      </c>
      <c r="I414" s="35" t="str">
        <f aca="false">IF($C414="","",$H414-$H414/(1+IFERROR(INDEX(PRODUCTOS!$E$6:$E$105,MATCH($C414,PRODUCTOS!$A$6:$A$105,0)),IVA_VENTAS)))</f>
        <v/>
      </c>
      <c r="J414" s="35" t="str">
        <f aca="false">IF($C414="","",$H414-$I414)</f>
        <v/>
      </c>
      <c r="K414" s="35" t="str">
        <f aca="false">IF($C414="","",N($E414)*IFERROR(INDEX(PRODUCTOS!$H$6:$H$105,MATCH($C414,PRODUCTOS!$A$6:$A$105,0)),0))</f>
        <v/>
      </c>
      <c r="L414" s="35" t="str">
        <f aca="false">IF($C414="","",$J414-$K414)</f>
        <v/>
      </c>
      <c r="M414" s="6"/>
      <c r="N414" s="6"/>
      <c r="O414" s="46" t="str">
        <f aca="false">IF($A414="","",DATE(YEAR($A414),MONTH($A414),1))</f>
        <v/>
      </c>
    </row>
    <row r="415" customFormat="false" ht="15" hidden="false" customHeight="false" outlineLevel="0" collapsed="false">
      <c r="A415" s="44"/>
      <c r="B415" s="6"/>
      <c r="C415" s="6"/>
      <c r="D415" s="8" t="str">
        <f aca="false">IF($C415="","",IFERROR(INDEX(PRODUCTOS!$B$6:$B$105,MATCH($C415,PRODUCTOS!$A$6:$A$105,0)),"¿Código?"))</f>
        <v/>
      </c>
      <c r="E415" s="42"/>
      <c r="F415" s="35" t="str">
        <f aca="false">IF($C415="","",IFERROR(INDEX(PRODUCTOS!$D$6:$D$105,MATCH($C415,PRODUCTOS!$A$6:$A$105,0)),0))</f>
        <v/>
      </c>
      <c r="G415" s="40"/>
      <c r="H415" s="35" t="str">
        <f aca="false">IF($C415="","",N($E415)*$F415-N($G415))</f>
        <v/>
      </c>
      <c r="I415" s="35" t="str">
        <f aca="false">IF($C415="","",$H415-$H415/(1+IFERROR(INDEX(PRODUCTOS!$E$6:$E$105,MATCH($C415,PRODUCTOS!$A$6:$A$105,0)),IVA_VENTAS)))</f>
        <v/>
      </c>
      <c r="J415" s="35" t="str">
        <f aca="false">IF($C415="","",$H415-$I415)</f>
        <v/>
      </c>
      <c r="K415" s="35" t="str">
        <f aca="false">IF($C415="","",N($E415)*IFERROR(INDEX(PRODUCTOS!$H$6:$H$105,MATCH($C415,PRODUCTOS!$A$6:$A$105,0)),0))</f>
        <v/>
      </c>
      <c r="L415" s="35" t="str">
        <f aca="false">IF($C415="","",$J415-$K415)</f>
        <v/>
      </c>
      <c r="M415" s="6"/>
      <c r="N415" s="6"/>
      <c r="O415" s="46" t="str">
        <f aca="false">IF($A415="","",DATE(YEAR($A415),MONTH($A415),1))</f>
        <v/>
      </c>
    </row>
    <row r="416" customFormat="false" ht="15" hidden="false" customHeight="false" outlineLevel="0" collapsed="false">
      <c r="A416" s="44"/>
      <c r="B416" s="6"/>
      <c r="C416" s="6"/>
      <c r="D416" s="8" t="str">
        <f aca="false">IF($C416="","",IFERROR(INDEX(PRODUCTOS!$B$6:$B$105,MATCH($C416,PRODUCTOS!$A$6:$A$105,0)),"¿Código?"))</f>
        <v/>
      </c>
      <c r="E416" s="42"/>
      <c r="F416" s="35" t="str">
        <f aca="false">IF($C416="","",IFERROR(INDEX(PRODUCTOS!$D$6:$D$105,MATCH($C416,PRODUCTOS!$A$6:$A$105,0)),0))</f>
        <v/>
      </c>
      <c r="G416" s="40"/>
      <c r="H416" s="35" t="str">
        <f aca="false">IF($C416="","",N($E416)*$F416-N($G416))</f>
        <v/>
      </c>
      <c r="I416" s="35" t="str">
        <f aca="false">IF($C416="","",$H416-$H416/(1+IFERROR(INDEX(PRODUCTOS!$E$6:$E$105,MATCH($C416,PRODUCTOS!$A$6:$A$105,0)),IVA_VENTAS)))</f>
        <v/>
      </c>
      <c r="J416" s="35" t="str">
        <f aca="false">IF($C416="","",$H416-$I416)</f>
        <v/>
      </c>
      <c r="K416" s="35" t="str">
        <f aca="false">IF($C416="","",N($E416)*IFERROR(INDEX(PRODUCTOS!$H$6:$H$105,MATCH($C416,PRODUCTOS!$A$6:$A$105,0)),0))</f>
        <v/>
      </c>
      <c r="L416" s="35" t="str">
        <f aca="false">IF($C416="","",$J416-$K416)</f>
        <v/>
      </c>
      <c r="M416" s="6"/>
      <c r="N416" s="6"/>
      <c r="O416" s="46" t="str">
        <f aca="false">IF($A416="","",DATE(YEAR($A416),MONTH($A416),1))</f>
        <v/>
      </c>
    </row>
    <row r="417" customFormat="false" ht="15" hidden="false" customHeight="false" outlineLevel="0" collapsed="false">
      <c r="A417" s="44"/>
      <c r="B417" s="6"/>
      <c r="C417" s="6"/>
      <c r="D417" s="8" t="str">
        <f aca="false">IF($C417="","",IFERROR(INDEX(PRODUCTOS!$B$6:$B$105,MATCH($C417,PRODUCTOS!$A$6:$A$105,0)),"¿Código?"))</f>
        <v/>
      </c>
      <c r="E417" s="42"/>
      <c r="F417" s="35" t="str">
        <f aca="false">IF($C417="","",IFERROR(INDEX(PRODUCTOS!$D$6:$D$105,MATCH($C417,PRODUCTOS!$A$6:$A$105,0)),0))</f>
        <v/>
      </c>
      <c r="G417" s="40"/>
      <c r="H417" s="35" t="str">
        <f aca="false">IF($C417="","",N($E417)*$F417-N($G417))</f>
        <v/>
      </c>
      <c r="I417" s="35" t="str">
        <f aca="false">IF($C417="","",$H417-$H417/(1+IFERROR(INDEX(PRODUCTOS!$E$6:$E$105,MATCH($C417,PRODUCTOS!$A$6:$A$105,0)),IVA_VENTAS)))</f>
        <v/>
      </c>
      <c r="J417" s="35" t="str">
        <f aca="false">IF($C417="","",$H417-$I417)</f>
        <v/>
      </c>
      <c r="K417" s="35" t="str">
        <f aca="false">IF($C417="","",N($E417)*IFERROR(INDEX(PRODUCTOS!$H$6:$H$105,MATCH($C417,PRODUCTOS!$A$6:$A$105,0)),0))</f>
        <v/>
      </c>
      <c r="L417" s="35" t="str">
        <f aca="false">IF($C417="","",$J417-$K417)</f>
        <v/>
      </c>
      <c r="M417" s="6"/>
      <c r="N417" s="6"/>
      <c r="O417" s="46" t="str">
        <f aca="false">IF($A417="","",DATE(YEAR($A417),MONTH($A417),1))</f>
        <v/>
      </c>
    </row>
    <row r="418" customFormat="false" ht="15" hidden="false" customHeight="false" outlineLevel="0" collapsed="false">
      <c r="A418" s="44"/>
      <c r="B418" s="6"/>
      <c r="C418" s="6"/>
      <c r="D418" s="8" t="str">
        <f aca="false">IF($C418="","",IFERROR(INDEX(PRODUCTOS!$B$6:$B$105,MATCH($C418,PRODUCTOS!$A$6:$A$105,0)),"¿Código?"))</f>
        <v/>
      </c>
      <c r="E418" s="42"/>
      <c r="F418" s="35" t="str">
        <f aca="false">IF($C418="","",IFERROR(INDEX(PRODUCTOS!$D$6:$D$105,MATCH($C418,PRODUCTOS!$A$6:$A$105,0)),0))</f>
        <v/>
      </c>
      <c r="G418" s="40"/>
      <c r="H418" s="35" t="str">
        <f aca="false">IF($C418="","",N($E418)*$F418-N($G418))</f>
        <v/>
      </c>
      <c r="I418" s="35" t="str">
        <f aca="false">IF($C418="","",$H418-$H418/(1+IFERROR(INDEX(PRODUCTOS!$E$6:$E$105,MATCH($C418,PRODUCTOS!$A$6:$A$105,0)),IVA_VENTAS)))</f>
        <v/>
      </c>
      <c r="J418" s="35" t="str">
        <f aca="false">IF($C418="","",$H418-$I418)</f>
        <v/>
      </c>
      <c r="K418" s="35" t="str">
        <f aca="false">IF($C418="","",N($E418)*IFERROR(INDEX(PRODUCTOS!$H$6:$H$105,MATCH($C418,PRODUCTOS!$A$6:$A$105,0)),0))</f>
        <v/>
      </c>
      <c r="L418" s="35" t="str">
        <f aca="false">IF($C418="","",$J418-$K418)</f>
        <v/>
      </c>
      <c r="M418" s="6"/>
      <c r="N418" s="6"/>
      <c r="O418" s="46" t="str">
        <f aca="false">IF($A418="","",DATE(YEAR($A418),MONTH($A418),1))</f>
        <v/>
      </c>
    </row>
    <row r="419" customFormat="false" ht="15" hidden="false" customHeight="false" outlineLevel="0" collapsed="false">
      <c r="A419" s="44"/>
      <c r="B419" s="6"/>
      <c r="C419" s="6"/>
      <c r="D419" s="8" t="str">
        <f aca="false">IF($C419="","",IFERROR(INDEX(PRODUCTOS!$B$6:$B$105,MATCH($C419,PRODUCTOS!$A$6:$A$105,0)),"¿Código?"))</f>
        <v/>
      </c>
      <c r="E419" s="42"/>
      <c r="F419" s="35" t="str">
        <f aca="false">IF($C419="","",IFERROR(INDEX(PRODUCTOS!$D$6:$D$105,MATCH($C419,PRODUCTOS!$A$6:$A$105,0)),0))</f>
        <v/>
      </c>
      <c r="G419" s="40"/>
      <c r="H419" s="35" t="str">
        <f aca="false">IF($C419="","",N($E419)*$F419-N($G419))</f>
        <v/>
      </c>
      <c r="I419" s="35" t="str">
        <f aca="false">IF($C419="","",$H419-$H419/(1+IFERROR(INDEX(PRODUCTOS!$E$6:$E$105,MATCH($C419,PRODUCTOS!$A$6:$A$105,0)),IVA_VENTAS)))</f>
        <v/>
      </c>
      <c r="J419" s="35" t="str">
        <f aca="false">IF($C419="","",$H419-$I419)</f>
        <v/>
      </c>
      <c r="K419" s="35" t="str">
        <f aca="false">IF($C419="","",N($E419)*IFERROR(INDEX(PRODUCTOS!$H$6:$H$105,MATCH($C419,PRODUCTOS!$A$6:$A$105,0)),0))</f>
        <v/>
      </c>
      <c r="L419" s="35" t="str">
        <f aca="false">IF($C419="","",$J419-$K419)</f>
        <v/>
      </c>
      <c r="M419" s="6"/>
      <c r="N419" s="6"/>
      <c r="O419" s="46" t="str">
        <f aca="false">IF($A419="","",DATE(YEAR($A419),MONTH($A419),1))</f>
        <v/>
      </c>
    </row>
    <row r="420" customFormat="false" ht="15" hidden="false" customHeight="false" outlineLevel="0" collapsed="false">
      <c r="A420" s="44"/>
      <c r="B420" s="6"/>
      <c r="C420" s="6"/>
      <c r="D420" s="8" t="str">
        <f aca="false">IF($C420="","",IFERROR(INDEX(PRODUCTOS!$B$6:$B$105,MATCH($C420,PRODUCTOS!$A$6:$A$105,0)),"¿Código?"))</f>
        <v/>
      </c>
      <c r="E420" s="42"/>
      <c r="F420" s="35" t="str">
        <f aca="false">IF($C420="","",IFERROR(INDEX(PRODUCTOS!$D$6:$D$105,MATCH($C420,PRODUCTOS!$A$6:$A$105,0)),0))</f>
        <v/>
      </c>
      <c r="G420" s="40"/>
      <c r="H420" s="35" t="str">
        <f aca="false">IF($C420="","",N($E420)*$F420-N($G420))</f>
        <v/>
      </c>
      <c r="I420" s="35" t="str">
        <f aca="false">IF($C420="","",$H420-$H420/(1+IFERROR(INDEX(PRODUCTOS!$E$6:$E$105,MATCH($C420,PRODUCTOS!$A$6:$A$105,0)),IVA_VENTAS)))</f>
        <v/>
      </c>
      <c r="J420" s="35" t="str">
        <f aca="false">IF($C420="","",$H420-$I420)</f>
        <v/>
      </c>
      <c r="K420" s="35" t="str">
        <f aca="false">IF($C420="","",N($E420)*IFERROR(INDEX(PRODUCTOS!$H$6:$H$105,MATCH($C420,PRODUCTOS!$A$6:$A$105,0)),0))</f>
        <v/>
      </c>
      <c r="L420" s="35" t="str">
        <f aca="false">IF($C420="","",$J420-$K420)</f>
        <v/>
      </c>
      <c r="M420" s="6"/>
      <c r="N420" s="6"/>
      <c r="O420" s="46" t="str">
        <f aca="false">IF($A420="","",DATE(YEAR($A420),MONTH($A420),1))</f>
        <v/>
      </c>
    </row>
    <row r="421" customFormat="false" ht="15" hidden="false" customHeight="false" outlineLevel="0" collapsed="false">
      <c r="A421" s="44"/>
      <c r="B421" s="6"/>
      <c r="C421" s="6"/>
      <c r="D421" s="8" t="str">
        <f aca="false">IF($C421="","",IFERROR(INDEX(PRODUCTOS!$B$6:$B$105,MATCH($C421,PRODUCTOS!$A$6:$A$105,0)),"¿Código?"))</f>
        <v/>
      </c>
      <c r="E421" s="42"/>
      <c r="F421" s="35" t="str">
        <f aca="false">IF($C421="","",IFERROR(INDEX(PRODUCTOS!$D$6:$D$105,MATCH($C421,PRODUCTOS!$A$6:$A$105,0)),0))</f>
        <v/>
      </c>
      <c r="G421" s="40"/>
      <c r="H421" s="35" t="str">
        <f aca="false">IF($C421="","",N($E421)*$F421-N($G421))</f>
        <v/>
      </c>
      <c r="I421" s="35" t="str">
        <f aca="false">IF($C421="","",$H421-$H421/(1+IFERROR(INDEX(PRODUCTOS!$E$6:$E$105,MATCH($C421,PRODUCTOS!$A$6:$A$105,0)),IVA_VENTAS)))</f>
        <v/>
      </c>
      <c r="J421" s="35" t="str">
        <f aca="false">IF($C421="","",$H421-$I421)</f>
        <v/>
      </c>
      <c r="K421" s="35" t="str">
        <f aca="false">IF($C421="","",N($E421)*IFERROR(INDEX(PRODUCTOS!$H$6:$H$105,MATCH($C421,PRODUCTOS!$A$6:$A$105,0)),0))</f>
        <v/>
      </c>
      <c r="L421" s="35" t="str">
        <f aca="false">IF($C421="","",$J421-$K421)</f>
        <v/>
      </c>
      <c r="M421" s="6"/>
      <c r="N421" s="6"/>
      <c r="O421" s="46" t="str">
        <f aca="false">IF($A421="","",DATE(YEAR($A421),MONTH($A421),1))</f>
        <v/>
      </c>
    </row>
    <row r="422" customFormat="false" ht="15" hidden="false" customHeight="false" outlineLevel="0" collapsed="false">
      <c r="A422" s="44"/>
      <c r="B422" s="6"/>
      <c r="C422" s="6"/>
      <c r="D422" s="8" t="str">
        <f aca="false">IF($C422="","",IFERROR(INDEX(PRODUCTOS!$B$6:$B$105,MATCH($C422,PRODUCTOS!$A$6:$A$105,0)),"¿Código?"))</f>
        <v/>
      </c>
      <c r="E422" s="42"/>
      <c r="F422" s="35" t="str">
        <f aca="false">IF($C422="","",IFERROR(INDEX(PRODUCTOS!$D$6:$D$105,MATCH($C422,PRODUCTOS!$A$6:$A$105,0)),0))</f>
        <v/>
      </c>
      <c r="G422" s="40"/>
      <c r="H422" s="35" t="str">
        <f aca="false">IF($C422="","",N($E422)*$F422-N($G422))</f>
        <v/>
      </c>
      <c r="I422" s="35" t="str">
        <f aca="false">IF($C422="","",$H422-$H422/(1+IFERROR(INDEX(PRODUCTOS!$E$6:$E$105,MATCH($C422,PRODUCTOS!$A$6:$A$105,0)),IVA_VENTAS)))</f>
        <v/>
      </c>
      <c r="J422" s="35" t="str">
        <f aca="false">IF($C422="","",$H422-$I422)</f>
        <v/>
      </c>
      <c r="K422" s="35" t="str">
        <f aca="false">IF($C422="","",N($E422)*IFERROR(INDEX(PRODUCTOS!$H$6:$H$105,MATCH($C422,PRODUCTOS!$A$6:$A$105,0)),0))</f>
        <v/>
      </c>
      <c r="L422" s="35" t="str">
        <f aca="false">IF($C422="","",$J422-$K422)</f>
        <v/>
      </c>
      <c r="M422" s="6"/>
      <c r="N422" s="6"/>
      <c r="O422" s="46" t="str">
        <f aca="false">IF($A422="","",DATE(YEAR($A422),MONTH($A422),1))</f>
        <v/>
      </c>
    </row>
    <row r="423" customFormat="false" ht="15" hidden="false" customHeight="false" outlineLevel="0" collapsed="false">
      <c r="A423" s="44"/>
      <c r="B423" s="6"/>
      <c r="C423" s="6"/>
      <c r="D423" s="8" t="str">
        <f aca="false">IF($C423="","",IFERROR(INDEX(PRODUCTOS!$B$6:$B$105,MATCH($C423,PRODUCTOS!$A$6:$A$105,0)),"¿Código?"))</f>
        <v/>
      </c>
      <c r="E423" s="42"/>
      <c r="F423" s="35" t="str">
        <f aca="false">IF($C423="","",IFERROR(INDEX(PRODUCTOS!$D$6:$D$105,MATCH($C423,PRODUCTOS!$A$6:$A$105,0)),0))</f>
        <v/>
      </c>
      <c r="G423" s="40"/>
      <c r="H423" s="35" t="str">
        <f aca="false">IF($C423="","",N($E423)*$F423-N($G423))</f>
        <v/>
      </c>
      <c r="I423" s="35" t="str">
        <f aca="false">IF($C423="","",$H423-$H423/(1+IFERROR(INDEX(PRODUCTOS!$E$6:$E$105,MATCH($C423,PRODUCTOS!$A$6:$A$105,0)),IVA_VENTAS)))</f>
        <v/>
      </c>
      <c r="J423" s="35" t="str">
        <f aca="false">IF($C423="","",$H423-$I423)</f>
        <v/>
      </c>
      <c r="K423" s="35" t="str">
        <f aca="false">IF($C423="","",N($E423)*IFERROR(INDEX(PRODUCTOS!$H$6:$H$105,MATCH($C423,PRODUCTOS!$A$6:$A$105,0)),0))</f>
        <v/>
      </c>
      <c r="L423" s="35" t="str">
        <f aca="false">IF($C423="","",$J423-$K423)</f>
        <v/>
      </c>
      <c r="M423" s="6"/>
      <c r="N423" s="6"/>
      <c r="O423" s="46" t="str">
        <f aca="false">IF($A423="","",DATE(YEAR($A423),MONTH($A423),1))</f>
        <v/>
      </c>
    </row>
    <row r="424" customFormat="false" ht="15" hidden="false" customHeight="false" outlineLevel="0" collapsed="false">
      <c r="A424" s="44"/>
      <c r="B424" s="6"/>
      <c r="C424" s="6"/>
      <c r="D424" s="8" t="str">
        <f aca="false">IF($C424="","",IFERROR(INDEX(PRODUCTOS!$B$6:$B$105,MATCH($C424,PRODUCTOS!$A$6:$A$105,0)),"¿Código?"))</f>
        <v/>
      </c>
      <c r="E424" s="42"/>
      <c r="F424" s="35" t="str">
        <f aca="false">IF($C424="","",IFERROR(INDEX(PRODUCTOS!$D$6:$D$105,MATCH($C424,PRODUCTOS!$A$6:$A$105,0)),0))</f>
        <v/>
      </c>
      <c r="G424" s="40"/>
      <c r="H424" s="35" t="str">
        <f aca="false">IF($C424="","",N($E424)*$F424-N($G424))</f>
        <v/>
      </c>
      <c r="I424" s="35" t="str">
        <f aca="false">IF($C424="","",$H424-$H424/(1+IFERROR(INDEX(PRODUCTOS!$E$6:$E$105,MATCH($C424,PRODUCTOS!$A$6:$A$105,0)),IVA_VENTAS)))</f>
        <v/>
      </c>
      <c r="J424" s="35" t="str">
        <f aca="false">IF($C424="","",$H424-$I424)</f>
        <v/>
      </c>
      <c r="K424" s="35" t="str">
        <f aca="false">IF($C424="","",N($E424)*IFERROR(INDEX(PRODUCTOS!$H$6:$H$105,MATCH($C424,PRODUCTOS!$A$6:$A$105,0)),0))</f>
        <v/>
      </c>
      <c r="L424" s="35" t="str">
        <f aca="false">IF($C424="","",$J424-$K424)</f>
        <v/>
      </c>
      <c r="M424" s="6"/>
      <c r="N424" s="6"/>
      <c r="O424" s="46" t="str">
        <f aca="false">IF($A424="","",DATE(YEAR($A424),MONTH($A424),1))</f>
        <v/>
      </c>
    </row>
    <row r="425" customFormat="false" ht="15" hidden="false" customHeight="false" outlineLevel="0" collapsed="false">
      <c r="A425" s="44"/>
      <c r="B425" s="6"/>
      <c r="C425" s="6"/>
      <c r="D425" s="8" t="str">
        <f aca="false">IF($C425="","",IFERROR(INDEX(PRODUCTOS!$B$6:$B$105,MATCH($C425,PRODUCTOS!$A$6:$A$105,0)),"¿Código?"))</f>
        <v/>
      </c>
      <c r="E425" s="42"/>
      <c r="F425" s="35" t="str">
        <f aca="false">IF($C425="","",IFERROR(INDEX(PRODUCTOS!$D$6:$D$105,MATCH($C425,PRODUCTOS!$A$6:$A$105,0)),0))</f>
        <v/>
      </c>
      <c r="G425" s="40"/>
      <c r="H425" s="35" t="str">
        <f aca="false">IF($C425="","",N($E425)*$F425-N($G425))</f>
        <v/>
      </c>
      <c r="I425" s="35" t="str">
        <f aca="false">IF($C425="","",$H425-$H425/(1+IFERROR(INDEX(PRODUCTOS!$E$6:$E$105,MATCH($C425,PRODUCTOS!$A$6:$A$105,0)),IVA_VENTAS)))</f>
        <v/>
      </c>
      <c r="J425" s="35" t="str">
        <f aca="false">IF($C425="","",$H425-$I425)</f>
        <v/>
      </c>
      <c r="K425" s="35" t="str">
        <f aca="false">IF($C425="","",N($E425)*IFERROR(INDEX(PRODUCTOS!$H$6:$H$105,MATCH($C425,PRODUCTOS!$A$6:$A$105,0)),0))</f>
        <v/>
      </c>
      <c r="L425" s="35" t="str">
        <f aca="false">IF($C425="","",$J425-$K425)</f>
        <v/>
      </c>
      <c r="M425" s="6"/>
      <c r="N425" s="6"/>
      <c r="O425" s="46" t="str">
        <f aca="false">IF($A425="","",DATE(YEAR($A425),MONTH($A425),1))</f>
        <v/>
      </c>
    </row>
    <row r="426" customFormat="false" ht="15" hidden="false" customHeight="false" outlineLevel="0" collapsed="false">
      <c r="A426" s="44"/>
      <c r="B426" s="6"/>
      <c r="C426" s="6"/>
      <c r="D426" s="8" t="str">
        <f aca="false">IF($C426="","",IFERROR(INDEX(PRODUCTOS!$B$6:$B$105,MATCH($C426,PRODUCTOS!$A$6:$A$105,0)),"¿Código?"))</f>
        <v/>
      </c>
      <c r="E426" s="42"/>
      <c r="F426" s="35" t="str">
        <f aca="false">IF($C426="","",IFERROR(INDEX(PRODUCTOS!$D$6:$D$105,MATCH($C426,PRODUCTOS!$A$6:$A$105,0)),0))</f>
        <v/>
      </c>
      <c r="G426" s="40"/>
      <c r="H426" s="35" t="str">
        <f aca="false">IF($C426="","",N($E426)*$F426-N($G426))</f>
        <v/>
      </c>
      <c r="I426" s="35" t="str">
        <f aca="false">IF($C426="","",$H426-$H426/(1+IFERROR(INDEX(PRODUCTOS!$E$6:$E$105,MATCH($C426,PRODUCTOS!$A$6:$A$105,0)),IVA_VENTAS)))</f>
        <v/>
      </c>
      <c r="J426" s="35" t="str">
        <f aca="false">IF($C426="","",$H426-$I426)</f>
        <v/>
      </c>
      <c r="K426" s="35" t="str">
        <f aca="false">IF($C426="","",N($E426)*IFERROR(INDEX(PRODUCTOS!$H$6:$H$105,MATCH($C426,PRODUCTOS!$A$6:$A$105,0)),0))</f>
        <v/>
      </c>
      <c r="L426" s="35" t="str">
        <f aca="false">IF($C426="","",$J426-$K426)</f>
        <v/>
      </c>
      <c r="M426" s="6"/>
      <c r="N426" s="6"/>
      <c r="O426" s="46" t="str">
        <f aca="false">IF($A426="","",DATE(YEAR($A426),MONTH($A426),1))</f>
        <v/>
      </c>
    </row>
    <row r="427" customFormat="false" ht="15" hidden="false" customHeight="false" outlineLevel="0" collapsed="false">
      <c r="A427" s="44"/>
      <c r="B427" s="6"/>
      <c r="C427" s="6"/>
      <c r="D427" s="8" t="str">
        <f aca="false">IF($C427="","",IFERROR(INDEX(PRODUCTOS!$B$6:$B$105,MATCH($C427,PRODUCTOS!$A$6:$A$105,0)),"¿Código?"))</f>
        <v/>
      </c>
      <c r="E427" s="42"/>
      <c r="F427" s="35" t="str">
        <f aca="false">IF($C427="","",IFERROR(INDEX(PRODUCTOS!$D$6:$D$105,MATCH($C427,PRODUCTOS!$A$6:$A$105,0)),0))</f>
        <v/>
      </c>
      <c r="G427" s="40"/>
      <c r="H427" s="35" t="str">
        <f aca="false">IF($C427="","",N($E427)*$F427-N($G427))</f>
        <v/>
      </c>
      <c r="I427" s="35" t="str">
        <f aca="false">IF($C427="","",$H427-$H427/(1+IFERROR(INDEX(PRODUCTOS!$E$6:$E$105,MATCH($C427,PRODUCTOS!$A$6:$A$105,0)),IVA_VENTAS)))</f>
        <v/>
      </c>
      <c r="J427" s="35" t="str">
        <f aca="false">IF($C427="","",$H427-$I427)</f>
        <v/>
      </c>
      <c r="K427" s="35" t="str">
        <f aca="false">IF($C427="","",N($E427)*IFERROR(INDEX(PRODUCTOS!$H$6:$H$105,MATCH($C427,PRODUCTOS!$A$6:$A$105,0)),0))</f>
        <v/>
      </c>
      <c r="L427" s="35" t="str">
        <f aca="false">IF($C427="","",$J427-$K427)</f>
        <v/>
      </c>
      <c r="M427" s="6"/>
      <c r="N427" s="6"/>
      <c r="O427" s="46" t="str">
        <f aca="false">IF($A427="","",DATE(YEAR($A427),MONTH($A427),1))</f>
        <v/>
      </c>
    </row>
    <row r="428" customFormat="false" ht="15" hidden="false" customHeight="false" outlineLevel="0" collapsed="false">
      <c r="A428" s="44"/>
      <c r="B428" s="6"/>
      <c r="C428" s="6"/>
      <c r="D428" s="8" t="str">
        <f aca="false">IF($C428="","",IFERROR(INDEX(PRODUCTOS!$B$6:$B$105,MATCH($C428,PRODUCTOS!$A$6:$A$105,0)),"¿Código?"))</f>
        <v/>
      </c>
      <c r="E428" s="42"/>
      <c r="F428" s="35" t="str">
        <f aca="false">IF($C428="","",IFERROR(INDEX(PRODUCTOS!$D$6:$D$105,MATCH($C428,PRODUCTOS!$A$6:$A$105,0)),0))</f>
        <v/>
      </c>
      <c r="G428" s="40"/>
      <c r="H428" s="35" t="str">
        <f aca="false">IF($C428="","",N($E428)*$F428-N($G428))</f>
        <v/>
      </c>
      <c r="I428" s="35" t="str">
        <f aca="false">IF($C428="","",$H428-$H428/(1+IFERROR(INDEX(PRODUCTOS!$E$6:$E$105,MATCH($C428,PRODUCTOS!$A$6:$A$105,0)),IVA_VENTAS)))</f>
        <v/>
      </c>
      <c r="J428" s="35" t="str">
        <f aca="false">IF($C428="","",$H428-$I428)</f>
        <v/>
      </c>
      <c r="K428" s="35" t="str">
        <f aca="false">IF($C428="","",N($E428)*IFERROR(INDEX(PRODUCTOS!$H$6:$H$105,MATCH($C428,PRODUCTOS!$A$6:$A$105,0)),0))</f>
        <v/>
      </c>
      <c r="L428" s="35" t="str">
        <f aca="false">IF($C428="","",$J428-$K428)</f>
        <v/>
      </c>
      <c r="M428" s="6"/>
      <c r="N428" s="6"/>
      <c r="O428" s="46" t="str">
        <f aca="false">IF($A428="","",DATE(YEAR($A428),MONTH($A428),1))</f>
        <v/>
      </c>
    </row>
    <row r="429" customFormat="false" ht="15" hidden="false" customHeight="false" outlineLevel="0" collapsed="false">
      <c r="A429" s="44"/>
      <c r="B429" s="6"/>
      <c r="C429" s="6"/>
      <c r="D429" s="8" t="str">
        <f aca="false">IF($C429="","",IFERROR(INDEX(PRODUCTOS!$B$6:$B$105,MATCH($C429,PRODUCTOS!$A$6:$A$105,0)),"¿Código?"))</f>
        <v/>
      </c>
      <c r="E429" s="42"/>
      <c r="F429" s="35" t="str">
        <f aca="false">IF($C429="","",IFERROR(INDEX(PRODUCTOS!$D$6:$D$105,MATCH($C429,PRODUCTOS!$A$6:$A$105,0)),0))</f>
        <v/>
      </c>
      <c r="G429" s="40"/>
      <c r="H429" s="35" t="str">
        <f aca="false">IF($C429="","",N($E429)*$F429-N($G429))</f>
        <v/>
      </c>
      <c r="I429" s="35" t="str">
        <f aca="false">IF($C429="","",$H429-$H429/(1+IFERROR(INDEX(PRODUCTOS!$E$6:$E$105,MATCH($C429,PRODUCTOS!$A$6:$A$105,0)),IVA_VENTAS)))</f>
        <v/>
      </c>
      <c r="J429" s="35" t="str">
        <f aca="false">IF($C429="","",$H429-$I429)</f>
        <v/>
      </c>
      <c r="K429" s="35" t="str">
        <f aca="false">IF($C429="","",N($E429)*IFERROR(INDEX(PRODUCTOS!$H$6:$H$105,MATCH($C429,PRODUCTOS!$A$6:$A$105,0)),0))</f>
        <v/>
      </c>
      <c r="L429" s="35" t="str">
        <f aca="false">IF($C429="","",$J429-$K429)</f>
        <v/>
      </c>
      <c r="M429" s="6"/>
      <c r="N429" s="6"/>
      <c r="O429" s="46" t="str">
        <f aca="false">IF($A429="","",DATE(YEAR($A429),MONTH($A429),1))</f>
        <v/>
      </c>
    </row>
    <row r="430" customFormat="false" ht="15" hidden="false" customHeight="false" outlineLevel="0" collapsed="false">
      <c r="A430" s="44"/>
      <c r="B430" s="6"/>
      <c r="C430" s="6"/>
      <c r="D430" s="8" t="str">
        <f aca="false">IF($C430="","",IFERROR(INDEX(PRODUCTOS!$B$6:$B$105,MATCH($C430,PRODUCTOS!$A$6:$A$105,0)),"¿Código?"))</f>
        <v/>
      </c>
      <c r="E430" s="42"/>
      <c r="F430" s="35" t="str">
        <f aca="false">IF($C430="","",IFERROR(INDEX(PRODUCTOS!$D$6:$D$105,MATCH($C430,PRODUCTOS!$A$6:$A$105,0)),0))</f>
        <v/>
      </c>
      <c r="G430" s="40"/>
      <c r="H430" s="35" t="str">
        <f aca="false">IF($C430="","",N($E430)*$F430-N($G430))</f>
        <v/>
      </c>
      <c r="I430" s="35" t="str">
        <f aca="false">IF($C430="","",$H430-$H430/(1+IFERROR(INDEX(PRODUCTOS!$E$6:$E$105,MATCH($C430,PRODUCTOS!$A$6:$A$105,0)),IVA_VENTAS)))</f>
        <v/>
      </c>
      <c r="J430" s="35" t="str">
        <f aca="false">IF($C430="","",$H430-$I430)</f>
        <v/>
      </c>
      <c r="K430" s="35" t="str">
        <f aca="false">IF($C430="","",N($E430)*IFERROR(INDEX(PRODUCTOS!$H$6:$H$105,MATCH($C430,PRODUCTOS!$A$6:$A$105,0)),0))</f>
        <v/>
      </c>
      <c r="L430" s="35" t="str">
        <f aca="false">IF($C430="","",$J430-$K430)</f>
        <v/>
      </c>
      <c r="M430" s="6"/>
      <c r="N430" s="6"/>
      <c r="O430" s="46" t="str">
        <f aca="false">IF($A430="","",DATE(YEAR($A430),MONTH($A430),1))</f>
        <v/>
      </c>
    </row>
    <row r="431" customFormat="false" ht="15" hidden="false" customHeight="false" outlineLevel="0" collapsed="false">
      <c r="A431" s="44"/>
      <c r="B431" s="6"/>
      <c r="C431" s="6"/>
      <c r="D431" s="8" t="str">
        <f aca="false">IF($C431="","",IFERROR(INDEX(PRODUCTOS!$B$6:$B$105,MATCH($C431,PRODUCTOS!$A$6:$A$105,0)),"¿Código?"))</f>
        <v/>
      </c>
      <c r="E431" s="42"/>
      <c r="F431" s="35" t="str">
        <f aca="false">IF($C431="","",IFERROR(INDEX(PRODUCTOS!$D$6:$D$105,MATCH($C431,PRODUCTOS!$A$6:$A$105,0)),0))</f>
        <v/>
      </c>
      <c r="G431" s="40"/>
      <c r="H431" s="35" t="str">
        <f aca="false">IF($C431="","",N($E431)*$F431-N($G431))</f>
        <v/>
      </c>
      <c r="I431" s="35" t="str">
        <f aca="false">IF($C431="","",$H431-$H431/(1+IFERROR(INDEX(PRODUCTOS!$E$6:$E$105,MATCH($C431,PRODUCTOS!$A$6:$A$105,0)),IVA_VENTAS)))</f>
        <v/>
      </c>
      <c r="J431" s="35" t="str">
        <f aca="false">IF($C431="","",$H431-$I431)</f>
        <v/>
      </c>
      <c r="K431" s="35" t="str">
        <f aca="false">IF($C431="","",N($E431)*IFERROR(INDEX(PRODUCTOS!$H$6:$H$105,MATCH($C431,PRODUCTOS!$A$6:$A$105,0)),0))</f>
        <v/>
      </c>
      <c r="L431" s="35" t="str">
        <f aca="false">IF($C431="","",$J431-$K431)</f>
        <v/>
      </c>
      <c r="M431" s="6"/>
      <c r="N431" s="6"/>
      <c r="O431" s="46" t="str">
        <f aca="false">IF($A431="","",DATE(YEAR($A431),MONTH($A431),1))</f>
        <v/>
      </c>
    </row>
    <row r="432" customFormat="false" ht="15" hidden="false" customHeight="false" outlineLevel="0" collapsed="false">
      <c r="A432" s="44"/>
      <c r="B432" s="6"/>
      <c r="C432" s="6"/>
      <c r="D432" s="8" t="str">
        <f aca="false">IF($C432="","",IFERROR(INDEX(PRODUCTOS!$B$6:$B$105,MATCH($C432,PRODUCTOS!$A$6:$A$105,0)),"¿Código?"))</f>
        <v/>
      </c>
      <c r="E432" s="42"/>
      <c r="F432" s="35" t="str">
        <f aca="false">IF($C432="","",IFERROR(INDEX(PRODUCTOS!$D$6:$D$105,MATCH($C432,PRODUCTOS!$A$6:$A$105,0)),0))</f>
        <v/>
      </c>
      <c r="G432" s="40"/>
      <c r="H432" s="35" t="str">
        <f aca="false">IF($C432="","",N($E432)*$F432-N($G432))</f>
        <v/>
      </c>
      <c r="I432" s="35" t="str">
        <f aca="false">IF($C432="","",$H432-$H432/(1+IFERROR(INDEX(PRODUCTOS!$E$6:$E$105,MATCH($C432,PRODUCTOS!$A$6:$A$105,0)),IVA_VENTAS)))</f>
        <v/>
      </c>
      <c r="J432" s="35" t="str">
        <f aca="false">IF($C432="","",$H432-$I432)</f>
        <v/>
      </c>
      <c r="K432" s="35" t="str">
        <f aca="false">IF($C432="","",N($E432)*IFERROR(INDEX(PRODUCTOS!$H$6:$H$105,MATCH($C432,PRODUCTOS!$A$6:$A$105,0)),0))</f>
        <v/>
      </c>
      <c r="L432" s="35" t="str">
        <f aca="false">IF($C432="","",$J432-$K432)</f>
        <v/>
      </c>
      <c r="M432" s="6"/>
      <c r="N432" s="6"/>
      <c r="O432" s="46" t="str">
        <f aca="false">IF($A432="","",DATE(YEAR($A432),MONTH($A432),1))</f>
        <v/>
      </c>
    </row>
    <row r="433" customFormat="false" ht="15" hidden="false" customHeight="false" outlineLevel="0" collapsed="false">
      <c r="A433" s="44"/>
      <c r="B433" s="6"/>
      <c r="C433" s="6"/>
      <c r="D433" s="8" t="str">
        <f aca="false">IF($C433="","",IFERROR(INDEX(PRODUCTOS!$B$6:$B$105,MATCH($C433,PRODUCTOS!$A$6:$A$105,0)),"¿Código?"))</f>
        <v/>
      </c>
      <c r="E433" s="42"/>
      <c r="F433" s="35" t="str">
        <f aca="false">IF($C433="","",IFERROR(INDEX(PRODUCTOS!$D$6:$D$105,MATCH($C433,PRODUCTOS!$A$6:$A$105,0)),0))</f>
        <v/>
      </c>
      <c r="G433" s="40"/>
      <c r="H433" s="35" t="str">
        <f aca="false">IF($C433="","",N($E433)*$F433-N($G433))</f>
        <v/>
      </c>
      <c r="I433" s="35" t="str">
        <f aca="false">IF($C433="","",$H433-$H433/(1+IFERROR(INDEX(PRODUCTOS!$E$6:$E$105,MATCH($C433,PRODUCTOS!$A$6:$A$105,0)),IVA_VENTAS)))</f>
        <v/>
      </c>
      <c r="J433" s="35" t="str">
        <f aca="false">IF($C433="","",$H433-$I433)</f>
        <v/>
      </c>
      <c r="K433" s="35" t="str">
        <f aca="false">IF($C433="","",N($E433)*IFERROR(INDEX(PRODUCTOS!$H$6:$H$105,MATCH($C433,PRODUCTOS!$A$6:$A$105,0)),0))</f>
        <v/>
      </c>
      <c r="L433" s="35" t="str">
        <f aca="false">IF($C433="","",$J433-$K433)</f>
        <v/>
      </c>
      <c r="M433" s="6"/>
      <c r="N433" s="6"/>
      <c r="O433" s="46" t="str">
        <f aca="false">IF($A433="","",DATE(YEAR($A433),MONTH($A433),1))</f>
        <v/>
      </c>
    </row>
    <row r="434" customFormat="false" ht="15" hidden="false" customHeight="false" outlineLevel="0" collapsed="false">
      <c r="A434" s="44"/>
      <c r="B434" s="6"/>
      <c r="C434" s="6"/>
      <c r="D434" s="8" t="str">
        <f aca="false">IF($C434="","",IFERROR(INDEX(PRODUCTOS!$B$6:$B$105,MATCH($C434,PRODUCTOS!$A$6:$A$105,0)),"¿Código?"))</f>
        <v/>
      </c>
      <c r="E434" s="42"/>
      <c r="F434" s="35" t="str">
        <f aca="false">IF($C434="","",IFERROR(INDEX(PRODUCTOS!$D$6:$D$105,MATCH($C434,PRODUCTOS!$A$6:$A$105,0)),0))</f>
        <v/>
      </c>
      <c r="G434" s="40"/>
      <c r="H434" s="35" t="str">
        <f aca="false">IF($C434="","",N($E434)*$F434-N($G434))</f>
        <v/>
      </c>
      <c r="I434" s="35" t="str">
        <f aca="false">IF($C434="","",$H434-$H434/(1+IFERROR(INDEX(PRODUCTOS!$E$6:$E$105,MATCH($C434,PRODUCTOS!$A$6:$A$105,0)),IVA_VENTAS)))</f>
        <v/>
      </c>
      <c r="J434" s="35" t="str">
        <f aca="false">IF($C434="","",$H434-$I434)</f>
        <v/>
      </c>
      <c r="K434" s="35" t="str">
        <f aca="false">IF($C434="","",N($E434)*IFERROR(INDEX(PRODUCTOS!$H$6:$H$105,MATCH($C434,PRODUCTOS!$A$6:$A$105,0)),0))</f>
        <v/>
      </c>
      <c r="L434" s="35" t="str">
        <f aca="false">IF($C434="","",$J434-$K434)</f>
        <v/>
      </c>
      <c r="M434" s="6"/>
      <c r="N434" s="6"/>
      <c r="O434" s="46" t="str">
        <f aca="false">IF($A434="","",DATE(YEAR($A434),MONTH($A434),1))</f>
        <v/>
      </c>
    </row>
    <row r="435" customFormat="false" ht="15" hidden="false" customHeight="false" outlineLevel="0" collapsed="false">
      <c r="A435" s="44"/>
      <c r="B435" s="6"/>
      <c r="C435" s="6"/>
      <c r="D435" s="8" t="str">
        <f aca="false">IF($C435="","",IFERROR(INDEX(PRODUCTOS!$B$6:$B$105,MATCH($C435,PRODUCTOS!$A$6:$A$105,0)),"¿Código?"))</f>
        <v/>
      </c>
      <c r="E435" s="42"/>
      <c r="F435" s="35" t="str">
        <f aca="false">IF($C435="","",IFERROR(INDEX(PRODUCTOS!$D$6:$D$105,MATCH($C435,PRODUCTOS!$A$6:$A$105,0)),0))</f>
        <v/>
      </c>
      <c r="G435" s="40"/>
      <c r="H435" s="35" t="str">
        <f aca="false">IF($C435="","",N($E435)*$F435-N($G435))</f>
        <v/>
      </c>
      <c r="I435" s="35" t="str">
        <f aca="false">IF($C435="","",$H435-$H435/(1+IFERROR(INDEX(PRODUCTOS!$E$6:$E$105,MATCH($C435,PRODUCTOS!$A$6:$A$105,0)),IVA_VENTAS)))</f>
        <v/>
      </c>
      <c r="J435" s="35" t="str">
        <f aca="false">IF($C435="","",$H435-$I435)</f>
        <v/>
      </c>
      <c r="K435" s="35" t="str">
        <f aca="false">IF($C435="","",N($E435)*IFERROR(INDEX(PRODUCTOS!$H$6:$H$105,MATCH($C435,PRODUCTOS!$A$6:$A$105,0)),0))</f>
        <v/>
      </c>
      <c r="L435" s="35" t="str">
        <f aca="false">IF($C435="","",$J435-$K435)</f>
        <v/>
      </c>
      <c r="M435" s="6"/>
      <c r="N435" s="6"/>
      <c r="O435" s="46" t="str">
        <f aca="false">IF($A435="","",DATE(YEAR($A435),MONTH($A435),1))</f>
        <v/>
      </c>
    </row>
    <row r="436" customFormat="false" ht="15" hidden="false" customHeight="false" outlineLevel="0" collapsed="false">
      <c r="A436" s="44"/>
      <c r="B436" s="6"/>
      <c r="C436" s="6"/>
      <c r="D436" s="8" t="str">
        <f aca="false">IF($C436="","",IFERROR(INDEX(PRODUCTOS!$B$6:$B$105,MATCH($C436,PRODUCTOS!$A$6:$A$105,0)),"¿Código?"))</f>
        <v/>
      </c>
      <c r="E436" s="42"/>
      <c r="F436" s="35" t="str">
        <f aca="false">IF($C436="","",IFERROR(INDEX(PRODUCTOS!$D$6:$D$105,MATCH($C436,PRODUCTOS!$A$6:$A$105,0)),0))</f>
        <v/>
      </c>
      <c r="G436" s="40"/>
      <c r="H436" s="35" t="str">
        <f aca="false">IF($C436="","",N($E436)*$F436-N($G436))</f>
        <v/>
      </c>
      <c r="I436" s="35" t="str">
        <f aca="false">IF($C436="","",$H436-$H436/(1+IFERROR(INDEX(PRODUCTOS!$E$6:$E$105,MATCH($C436,PRODUCTOS!$A$6:$A$105,0)),IVA_VENTAS)))</f>
        <v/>
      </c>
      <c r="J436" s="35" t="str">
        <f aca="false">IF($C436="","",$H436-$I436)</f>
        <v/>
      </c>
      <c r="K436" s="35" t="str">
        <f aca="false">IF($C436="","",N($E436)*IFERROR(INDEX(PRODUCTOS!$H$6:$H$105,MATCH($C436,PRODUCTOS!$A$6:$A$105,0)),0))</f>
        <v/>
      </c>
      <c r="L436" s="35" t="str">
        <f aca="false">IF($C436="","",$J436-$K436)</f>
        <v/>
      </c>
      <c r="M436" s="6"/>
      <c r="N436" s="6"/>
      <c r="O436" s="46" t="str">
        <f aca="false">IF($A436="","",DATE(YEAR($A436),MONTH($A436),1))</f>
        <v/>
      </c>
    </row>
    <row r="437" customFormat="false" ht="15" hidden="false" customHeight="false" outlineLevel="0" collapsed="false">
      <c r="A437" s="44"/>
      <c r="B437" s="6"/>
      <c r="C437" s="6"/>
      <c r="D437" s="8" t="str">
        <f aca="false">IF($C437="","",IFERROR(INDEX(PRODUCTOS!$B$6:$B$105,MATCH($C437,PRODUCTOS!$A$6:$A$105,0)),"¿Código?"))</f>
        <v/>
      </c>
      <c r="E437" s="42"/>
      <c r="F437" s="35" t="str">
        <f aca="false">IF($C437="","",IFERROR(INDEX(PRODUCTOS!$D$6:$D$105,MATCH($C437,PRODUCTOS!$A$6:$A$105,0)),0))</f>
        <v/>
      </c>
      <c r="G437" s="40"/>
      <c r="H437" s="35" t="str">
        <f aca="false">IF($C437="","",N($E437)*$F437-N($G437))</f>
        <v/>
      </c>
      <c r="I437" s="35" t="str">
        <f aca="false">IF($C437="","",$H437-$H437/(1+IFERROR(INDEX(PRODUCTOS!$E$6:$E$105,MATCH($C437,PRODUCTOS!$A$6:$A$105,0)),IVA_VENTAS)))</f>
        <v/>
      </c>
      <c r="J437" s="35" t="str">
        <f aca="false">IF($C437="","",$H437-$I437)</f>
        <v/>
      </c>
      <c r="K437" s="35" t="str">
        <f aca="false">IF($C437="","",N($E437)*IFERROR(INDEX(PRODUCTOS!$H$6:$H$105,MATCH($C437,PRODUCTOS!$A$6:$A$105,0)),0))</f>
        <v/>
      </c>
      <c r="L437" s="35" t="str">
        <f aca="false">IF($C437="","",$J437-$K437)</f>
        <v/>
      </c>
      <c r="M437" s="6"/>
      <c r="N437" s="6"/>
      <c r="O437" s="46" t="str">
        <f aca="false">IF($A437="","",DATE(YEAR($A437),MONTH($A437),1))</f>
        <v/>
      </c>
    </row>
    <row r="438" customFormat="false" ht="15" hidden="false" customHeight="false" outlineLevel="0" collapsed="false">
      <c r="A438" s="44"/>
      <c r="B438" s="6"/>
      <c r="C438" s="6"/>
      <c r="D438" s="8" t="str">
        <f aca="false">IF($C438="","",IFERROR(INDEX(PRODUCTOS!$B$6:$B$105,MATCH($C438,PRODUCTOS!$A$6:$A$105,0)),"¿Código?"))</f>
        <v/>
      </c>
      <c r="E438" s="42"/>
      <c r="F438" s="35" t="str">
        <f aca="false">IF($C438="","",IFERROR(INDEX(PRODUCTOS!$D$6:$D$105,MATCH($C438,PRODUCTOS!$A$6:$A$105,0)),0))</f>
        <v/>
      </c>
      <c r="G438" s="40"/>
      <c r="H438" s="35" t="str">
        <f aca="false">IF($C438="","",N($E438)*$F438-N($G438))</f>
        <v/>
      </c>
      <c r="I438" s="35" t="str">
        <f aca="false">IF($C438="","",$H438-$H438/(1+IFERROR(INDEX(PRODUCTOS!$E$6:$E$105,MATCH($C438,PRODUCTOS!$A$6:$A$105,0)),IVA_VENTAS)))</f>
        <v/>
      </c>
      <c r="J438" s="35" t="str">
        <f aca="false">IF($C438="","",$H438-$I438)</f>
        <v/>
      </c>
      <c r="K438" s="35" t="str">
        <f aca="false">IF($C438="","",N($E438)*IFERROR(INDEX(PRODUCTOS!$H$6:$H$105,MATCH($C438,PRODUCTOS!$A$6:$A$105,0)),0))</f>
        <v/>
      </c>
      <c r="L438" s="35" t="str">
        <f aca="false">IF($C438="","",$J438-$K438)</f>
        <v/>
      </c>
      <c r="M438" s="6"/>
      <c r="N438" s="6"/>
      <c r="O438" s="46" t="str">
        <f aca="false">IF($A438="","",DATE(YEAR($A438),MONTH($A438),1))</f>
        <v/>
      </c>
    </row>
    <row r="439" customFormat="false" ht="15" hidden="false" customHeight="false" outlineLevel="0" collapsed="false">
      <c r="A439" s="44"/>
      <c r="B439" s="6"/>
      <c r="C439" s="6"/>
      <c r="D439" s="8" t="str">
        <f aca="false">IF($C439="","",IFERROR(INDEX(PRODUCTOS!$B$6:$B$105,MATCH($C439,PRODUCTOS!$A$6:$A$105,0)),"¿Código?"))</f>
        <v/>
      </c>
      <c r="E439" s="42"/>
      <c r="F439" s="35" t="str">
        <f aca="false">IF($C439="","",IFERROR(INDEX(PRODUCTOS!$D$6:$D$105,MATCH($C439,PRODUCTOS!$A$6:$A$105,0)),0))</f>
        <v/>
      </c>
      <c r="G439" s="40"/>
      <c r="H439" s="35" t="str">
        <f aca="false">IF($C439="","",N($E439)*$F439-N($G439))</f>
        <v/>
      </c>
      <c r="I439" s="35" t="str">
        <f aca="false">IF($C439="","",$H439-$H439/(1+IFERROR(INDEX(PRODUCTOS!$E$6:$E$105,MATCH($C439,PRODUCTOS!$A$6:$A$105,0)),IVA_VENTAS)))</f>
        <v/>
      </c>
      <c r="J439" s="35" t="str">
        <f aca="false">IF($C439="","",$H439-$I439)</f>
        <v/>
      </c>
      <c r="K439" s="35" t="str">
        <f aca="false">IF($C439="","",N($E439)*IFERROR(INDEX(PRODUCTOS!$H$6:$H$105,MATCH($C439,PRODUCTOS!$A$6:$A$105,0)),0))</f>
        <v/>
      </c>
      <c r="L439" s="35" t="str">
        <f aca="false">IF($C439="","",$J439-$K439)</f>
        <v/>
      </c>
      <c r="M439" s="6"/>
      <c r="N439" s="6"/>
      <c r="O439" s="46" t="str">
        <f aca="false">IF($A439="","",DATE(YEAR($A439),MONTH($A439),1))</f>
        <v/>
      </c>
    </row>
    <row r="440" customFormat="false" ht="15" hidden="false" customHeight="false" outlineLevel="0" collapsed="false">
      <c r="A440" s="44"/>
      <c r="B440" s="6"/>
      <c r="C440" s="6"/>
      <c r="D440" s="8" t="str">
        <f aca="false">IF($C440="","",IFERROR(INDEX(PRODUCTOS!$B$6:$B$105,MATCH($C440,PRODUCTOS!$A$6:$A$105,0)),"¿Código?"))</f>
        <v/>
      </c>
      <c r="E440" s="42"/>
      <c r="F440" s="35" t="str">
        <f aca="false">IF($C440="","",IFERROR(INDEX(PRODUCTOS!$D$6:$D$105,MATCH($C440,PRODUCTOS!$A$6:$A$105,0)),0))</f>
        <v/>
      </c>
      <c r="G440" s="40"/>
      <c r="H440" s="35" t="str">
        <f aca="false">IF($C440="","",N($E440)*$F440-N($G440))</f>
        <v/>
      </c>
      <c r="I440" s="35" t="str">
        <f aca="false">IF($C440="","",$H440-$H440/(1+IFERROR(INDEX(PRODUCTOS!$E$6:$E$105,MATCH($C440,PRODUCTOS!$A$6:$A$105,0)),IVA_VENTAS)))</f>
        <v/>
      </c>
      <c r="J440" s="35" t="str">
        <f aca="false">IF($C440="","",$H440-$I440)</f>
        <v/>
      </c>
      <c r="K440" s="35" t="str">
        <f aca="false">IF($C440="","",N($E440)*IFERROR(INDEX(PRODUCTOS!$H$6:$H$105,MATCH($C440,PRODUCTOS!$A$6:$A$105,0)),0))</f>
        <v/>
      </c>
      <c r="L440" s="35" t="str">
        <f aca="false">IF($C440="","",$J440-$K440)</f>
        <v/>
      </c>
      <c r="M440" s="6"/>
      <c r="N440" s="6"/>
      <c r="O440" s="46" t="str">
        <f aca="false">IF($A440="","",DATE(YEAR($A440),MONTH($A440),1))</f>
        <v/>
      </c>
    </row>
    <row r="441" customFormat="false" ht="15" hidden="false" customHeight="false" outlineLevel="0" collapsed="false">
      <c r="A441" s="44"/>
      <c r="B441" s="6"/>
      <c r="C441" s="6"/>
      <c r="D441" s="8" t="str">
        <f aca="false">IF($C441="","",IFERROR(INDEX(PRODUCTOS!$B$6:$B$105,MATCH($C441,PRODUCTOS!$A$6:$A$105,0)),"¿Código?"))</f>
        <v/>
      </c>
      <c r="E441" s="42"/>
      <c r="F441" s="35" t="str">
        <f aca="false">IF($C441="","",IFERROR(INDEX(PRODUCTOS!$D$6:$D$105,MATCH($C441,PRODUCTOS!$A$6:$A$105,0)),0))</f>
        <v/>
      </c>
      <c r="G441" s="40"/>
      <c r="H441" s="35" t="str">
        <f aca="false">IF($C441="","",N($E441)*$F441-N($G441))</f>
        <v/>
      </c>
      <c r="I441" s="35" t="str">
        <f aca="false">IF($C441="","",$H441-$H441/(1+IFERROR(INDEX(PRODUCTOS!$E$6:$E$105,MATCH($C441,PRODUCTOS!$A$6:$A$105,0)),IVA_VENTAS)))</f>
        <v/>
      </c>
      <c r="J441" s="35" t="str">
        <f aca="false">IF($C441="","",$H441-$I441)</f>
        <v/>
      </c>
      <c r="K441" s="35" t="str">
        <f aca="false">IF($C441="","",N($E441)*IFERROR(INDEX(PRODUCTOS!$H$6:$H$105,MATCH($C441,PRODUCTOS!$A$6:$A$105,0)),0))</f>
        <v/>
      </c>
      <c r="L441" s="35" t="str">
        <f aca="false">IF($C441="","",$J441-$K441)</f>
        <v/>
      </c>
      <c r="M441" s="6"/>
      <c r="N441" s="6"/>
      <c r="O441" s="46" t="str">
        <f aca="false">IF($A441="","",DATE(YEAR($A441),MONTH($A441),1))</f>
        <v/>
      </c>
    </row>
    <row r="442" customFormat="false" ht="15" hidden="false" customHeight="false" outlineLevel="0" collapsed="false">
      <c r="A442" s="44"/>
      <c r="B442" s="6"/>
      <c r="C442" s="6"/>
      <c r="D442" s="8" t="str">
        <f aca="false">IF($C442="","",IFERROR(INDEX(PRODUCTOS!$B$6:$B$105,MATCH($C442,PRODUCTOS!$A$6:$A$105,0)),"¿Código?"))</f>
        <v/>
      </c>
      <c r="E442" s="42"/>
      <c r="F442" s="35" t="str">
        <f aca="false">IF($C442="","",IFERROR(INDEX(PRODUCTOS!$D$6:$D$105,MATCH($C442,PRODUCTOS!$A$6:$A$105,0)),0))</f>
        <v/>
      </c>
      <c r="G442" s="40"/>
      <c r="H442" s="35" t="str">
        <f aca="false">IF($C442="","",N($E442)*$F442-N($G442))</f>
        <v/>
      </c>
      <c r="I442" s="35" t="str">
        <f aca="false">IF($C442="","",$H442-$H442/(1+IFERROR(INDEX(PRODUCTOS!$E$6:$E$105,MATCH($C442,PRODUCTOS!$A$6:$A$105,0)),IVA_VENTAS)))</f>
        <v/>
      </c>
      <c r="J442" s="35" t="str">
        <f aca="false">IF($C442="","",$H442-$I442)</f>
        <v/>
      </c>
      <c r="K442" s="35" t="str">
        <f aca="false">IF($C442="","",N($E442)*IFERROR(INDEX(PRODUCTOS!$H$6:$H$105,MATCH($C442,PRODUCTOS!$A$6:$A$105,0)),0))</f>
        <v/>
      </c>
      <c r="L442" s="35" t="str">
        <f aca="false">IF($C442="","",$J442-$K442)</f>
        <v/>
      </c>
      <c r="M442" s="6"/>
      <c r="N442" s="6"/>
      <c r="O442" s="46" t="str">
        <f aca="false">IF($A442="","",DATE(YEAR($A442),MONTH($A442),1))</f>
        <v/>
      </c>
    </row>
    <row r="443" customFormat="false" ht="15" hidden="false" customHeight="false" outlineLevel="0" collapsed="false">
      <c r="A443" s="44"/>
      <c r="B443" s="6"/>
      <c r="C443" s="6"/>
      <c r="D443" s="8" t="str">
        <f aca="false">IF($C443="","",IFERROR(INDEX(PRODUCTOS!$B$6:$B$105,MATCH($C443,PRODUCTOS!$A$6:$A$105,0)),"¿Código?"))</f>
        <v/>
      </c>
      <c r="E443" s="42"/>
      <c r="F443" s="35" t="str">
        <f aca="false">IF($C443="","",IFERROR(INDEX(PRODUCTOS!$D$6:$D$105,MATCH($C443,PRODUCTOS!$A$6:$A$105,0)),0))</f>
        <v/>
      </c>
      <c r="G443" s="40"/>
      <c r="H443" s="35" t="str">
        <f aca="false">IF($C443="","",N($E443)*$F443-N($G443))</f>
        <v/>
      </c>
      <c r="I443" s="35" t="str">
        <f aca="false">IF($C443="","",$H443-$H443/(1+IFERROR(INDEX(PRODUCTOS!$E$6:$E$105,MATCH($C443,PRODUCTOS!$A$6:$A$105,0)),IVA_VENTAS)))</f>
        <v/>
      </c>
      <c r="J443" s="35" t="str">
        <f aca="false">IF($C443="","",$H443-$I443)</f>
        <v/>
      </c>
      <c r="K443" s="35" t="str">
        <f aca="false">IF($C443="","",N($E443)*IFERROR(INDEX(PRODUCTOS!$H$6:$H$105,MATCH($C443,PRODUCTOS!$A$6:$A$105,0)),0))</f>
        <v/>
      </c>
      <c r="L443" s="35" t="str">
        <f aca="false">IF($C443="","",$J443-$K443)</f>
        <v/>
      </c>
      <c r="M443" s="6"/>
      <c r="N443" s="6"/>
      <c r="O443" s="46" t="str">
        <f aca="false">IF($A443="","",DATE(YEAR($A443),MONTH($A443),1))</f>
        <v/>
      </c>
    </row>
    <row r="444" customFormat="false" ht="15" hidden="false" customHeight="false" outlineLevel="0" collapsed="false">
      <c r="A444" s="44"/>
      <c r="B444" s="6"/>
      <c r="C444" s="6"/>
      <c r="D444" s="8" t="str">
        <f aca="false">IF($C444="","",IFERROR(INDEX(PRODUCTOS!$B$6:$B$105,MATCH($C444,PRODUCTOS!$A$6:$A$105,0)),"¿Código?"))</f>
        <v/>
      </c>
      <c r="E444" s="42"/>
      <c r="F444" s="35" t="str">
        <f aca="false">IF($C444="","",IFERROR(INDEX(PRODUCTOS!$D$6:$D$105,MATCH($C444,PRODUCTOS!$A$6:$A$105,0)),0))</f>
        <v/>
      </c>
      <c r="G444" s="40"/>
      <c r="H444" s="35" t="str">
        <f aca="false">IF($C444="","",N($E444)*$F444-N($G444))</f>
        <v/>
      </c>
      <c r="I444" s="35" t="str">
        <f aca="false">IF($C444="","",$H444-$H444/(1+IFERROR(INDEX(PRODUCTOS!$E$6:$E$105,MATCH($C444,PRODUCTOS!$A$6:$A$105,0)),IVA_VENTAS)))</f>
        <v/>
      </c>
      <c r="J444" s="35" t="str">
        <f aca="false">IF($C444="","",$H444-$I444)</f>
        <v/>
      </c>
      <c r="K444" s="35" t="str">
        <f aca="false">IF($C444="","",N($E444)*IFERROR(INDEX(PRODUCTOS!$H$6:$H$105,MATCH($C444,PRODUCTOS!$A$6:$A$105,0)),0))</f>
        <v/>
      </c>
      <c r="L444" s="35" t="str">
        <f aca="false">IF($C444="","",$J444-$K444)</f>
        <v/>
      </c>
      <c r="M444" s="6"/>
      <c r="N444" s="6"/>
      <c r="O444" s="46" t="str">
        <f aca="false">IF($A444="","",DATE(YEAR($A444),MONTH($A444),1))</f>
        <v/>
      </c>
    </row>
    <row r="445" customFormat="false" ht="15" hidden="false" customHeight="false" outlineLevel="0" collapsed="false">
      <c r="A445" s="44"/>
      <c r="B445" s="6"/>
      <c r="C445" s="6"/>
      <c r="D445" s="8" t="str">
        <f aca="false">IF($C445="","",IFERROR(INDEX(PRODUCTOS!$B$6:$B$105,MATCH($C445,PRODUCTOS!$A$6:$A$105,0)),"¿Código?"))</f>
        <v/>
      </c>
      <c r="E445" s="42"/>
      <c r="F445" s="35" t="str">
        <f aca="false">IF($C445="","",IFERROR(INDEX(PRODUCTOS!$D$6:$D$105,MATCH($C445,PRODUCTOS!$A$6:$A$105,0)),0))</f>
        <v/>
      </c>
      <c r="G445" s="40"/>
      <c r="H445" s="35" t="str">
        <f aca="false">IF($C445="","",N($E445)*$F445-N($G445))</f>
        <v/>
      </c>
      <c r="I445" s="35" t="str">
        <f aca="false">IF($C445="","",$H445-$H445/(1+IFERROR(INDEX(PRODUCTOS!$E$6:$E$105,MATCH($C445,PRODUCTOS!$A$6:$A$105,0)),IVA_VENTAS)))</f>
        <v/>
      </c>
      <c r="J445" s="35" t="str">
        <f aca="false">IF($C445="","",$H445-$I445)</f>
        <v/>
      </c>
      <c r="K445" s="35" t="str">
        <f aca="false">IF($C445="","",N($E445)*IFERROR(INDEX(PRODUCTOS!$H$6:$H$105,MATCH($C445,PRODUCTOS!$A$6:$A$105,0)),0))</f>
        <v/>
      </c>
      <c r="L445" s="35" t="str">
        <f aca="false">IF($C445="","",$J445-$K445)</f>
        <v/>
      </c>
      <c r="M445" s="6"/>
      <c r="N445" s="6"/>
      <c r="O445" s="46" t="str">
        <f aca="false">IF($A445="","",DATE(YEAR($A445),MONTH($A445),1))</f>
        <v/>
      </c>
    </row>
    <row r="446" customFormat="false" ht="15" hidden="false" customHeight="false" outlineLevel="0" collapsed="false">
      <c r="A446" s="44"/>
      <c r="B446" s="6"/>
      <c r="C446" s="6"/>
      <c r="D446" s="8" t="str">
        <f aca="false">IF($C446="","",IFERROR(INDEX(PRODUCTOS!$B$6:$B$105,MATCH($C446,PRODUCTOS!$A$6:$A$105,0)),"¿Código?"))</f>
        <v/>
      </c>
      <c r="E446" s="42"/>
      <c r="F446" s="35" t="str">
        <f aca="false">IF($C446="","",IFERROR(INDEX(PRODUCTOS!$D$6:$D$105,MATCH($C446,PRODUCTOS!$A$6:$A$105,0)),0))</f>
        <v/>
      </c>
      <c r="G446" s="40"/>
      <c r="H446" s="35" t="str">
        <f aca="false">IF($C446="","",N($E446)*$F446-N($G446))</f>
        <v/>
      </c>
      <c r="I446" s="35" t="str">
        <f aca="false">IF($C446="","",$H446-$H446/(1+IFERROR(INDEX(PRODUCTOS!$E$6:$E$105,MATCH($C446,PRODUCTOS!$A$6:$A$105,0)),IVA_VENTAS)))</f>
        <v/>
      </c>
      <c r="J446" s="35" t="str">
        <f aca="false">IF($C446="","",$H446-$I446)</f>
        <v/>
      </c>
      <c r="K446" s="35" t="str">
        <f aca="false">IF($C446="","",N($E446)*IFERROR(INDEX(PRODUCTOS!$H$6:$H$105,MATCH($C446,PRODUCTOS!$A$6:$A$105,0)),0))</f>
        <v/>
      </c>
      <c r="L446" s="35" t="str">
        <f aca="false">IF($C446="","",$J446-$K446)</f>
        <v/>
      </c>
      <c r="M446" s="6"/>
      <c r="N446" s="6"/>
      <c r="O446" s="46" t="str">
        <f aca="false">IF($A446="","",DATE(YEAR($A446),MONTH($A446),1))</f>
        <v/>
      </c>
    </row>
    <row r="447" customFormat="false" ht="15" hidden="false" customHeight="false" outlineLevel="0" collapsed="false">
      <c r="A447" s="44"/>
      <c r="B447" s="6"/>
      <c r="C447" s="6"/>
      <c r="D447" s="8" t="str">
        <f aca="false">IF($C447="","",IFERROR(INDEX(PRODUCTOS!$B$6:$B$105,MATCH($C447,PRODUCTOS!$A$6:$A$105,0)),"¿Código?"))</f>
        <v/>
      </c>
      <c r="E447" s="42"/>
      <c r="F447" s="35" t="str">
        <f aca="false">IF($C447="","",IFERROR(INDEX(PRODUCTOS!$D$6:$D$105,MATCH($C447,PRODUCTOS!$A$6:$A$105,0)),0))</f>
        <v/>
      </c>
      <c r="G447" s="40"/>
      <c r="H447" s="35" t="str">
        <f aca="false">IF($C447="","",N($E447)*$F447-N($G447))</f>
        <v/>
      </c>
      <c r="I447" s="35" t="str">
        <f aca="false">IF($C447="","",$H447-$H447/(1+IFERROR(INDEX(PRODUCTOS!$E$6:$E$105,MATCH($C447,PRODUCTOS!$A$6:$A$105,0)),IVA_VENTAS)))</f>
        <v/>
      </c>
      <c r="J447" s="35" t="str">
        <f aca="false">IF($C447="","",$H447-$I447)</f>
        <v/>
      </c>
      <c r="K447" s="35" t="str">
        <f aca="false">IF($C447="","",N($E447)*IFERROR(INDEX(PRODUCTOS!$H$6:$H$105,MATCH($C447,PRODUCTOS!$A$6:$A$105,0)),0))</f>
        <v/>
      </c>
      <c r="L447" s="35" t="str">
        <f aca="false">IF($C447="","",$J447-$K447)</f>
        <v/>
      </c>
      <c r="M447" s="6"/>
      <c r="N447" s="6"/>
      <c r="O447" s="46" t="str">
        <f aca="false">IF($A447="","",DATE(YEAR($A447),MONTH($A447),1))</f>
        <v/>
      </c>
    </row>
    <row r="448" customFormat="false" ht="15" hidden="false" customHeight="false" outlineLevel="0" collapsed="false">
      <c r="A448" s="44"/>
      <c r="B448" s="6"/>
      <c r="C448" s="6"/>
      <c r="D448" s="8" t="str">
        <f aca="false">IF($C448="","",IFERROR(INDEX(PRODUCTOS!$B$6:$B$105,MATCH($C448,PRODUCTOS!$A$6:$A$105,0)),"¿Código?"))</f>
        <v/>
      </c>
      <c r="E448" s="42"/>
      <c r="F448" s="35" t="str">
        <f aca="false">IF($C448="","",IFERROR(INDEX(PRODUCTOS!$D$6:$D$105,MATCH($C448,PRODUCTOS!$A$6:$A$105,0)),0))</f>
        <v/>
      </c>
      <c r="G448" s="40"/>
      <c r="H448" s="35" t="str">
        <f aca="false">IF($C448="","",N($E448)*$F448-N($G448))</f>
        <v/>
      </c>
      <c r="I448" s="35" t="str">
        <f aca="false">IF($C448="","",$H448-$H448/(1+IFERROR(INDEX(PRODUCTOS!$E$6:$E$105,MATCH($C448,PRODUCTOS!$A$6:$A$105,0)),IVA_VENTAS)))</f>
        <v/>
      </c>
      <c r="J448" s="35" t="str">
        <f aca="false">IF($C448="","",$H448-$I448)</f>
        <v/>
      </c>
      <c r="K448" s="35" t="str">
        <f aca="false">IF($C448="","",N($E448)*IFERROR(INDEX(PRODUCTOS!$H$6:$H$105,MATCH($C448,PRODUCTOS!$A$6:$A$105,0)),0))</f>
        <v/>
      </c>
      <c r="L448" s="35" t="str">
        <f aca="false">IF($C448="","",$J448-$K448)</f>
        <v/>
      </c>
      <c r="M448" s="6"/>
      <c r="N448" s="6"/>
      <c r="O448" s="46" t="str">
        <f aca="false">IF($A448="","",DATE(YEAR($A448),MONTH($A448),1))</f>
        <v/>
      </c>
    </row>
    <row r="449" customFormat="false" ht="15" hidden="false" customHeight="false" outlineLevel="0" collapsed="false">
      <c r="A449" s="44"/>
      <c r="B449" s="6"/>
      <c r="C449" s="6"/>
      <c r="D449" s="8" t="str">
        <f aca="false">IF($C449="","",IFERROR(INDEX(PRODUCTOS!$B$6:$B$105,MATCH($C449,PRODUCTOS!$A$6:$A$105,0)),"¿Código?"))</f>
        <v/>
      </c>
      <c r="E449" s="42"/>
      <c r="F449" s="35" t="str">
        <f aca="false">IF($C449="","",IFERROR(INDEX(PRODUCTOS!$D$6:$D$105,MATCH($C449,PRODUCTOS!$A$6:$A$105,0)),0))</f>
        <v/>
      </c>
      <c r="G449" s="40"/>
      <c r="H449" s="35" t="str">
        <f aca="false">IF($C449="","",N($E449)*$F449-N($G449))</f>
        <v/>
      </c>
      <c r="I449" s="35" t="str">
        <f aca="false">IF($C449="","",$H449-$H449/(1+IFERROR(INDEX(PRODUCTOS!$E$6:$E$105,MATCH($C449,PRODUCTOS!$A$6:$A$105,0)),IVA_VENTAS)))</f>
        <v/>
      </c>
      <c r="J449" s="35" t="str">
        <f aca="false">IF($C449="","",$H449-$I449)</f>
        <v/>
      </c>
      <c r="K449" s="35" t="str">
        <f aca="false">IF($C449="","",N($E449)*IFERROR(INDEX(PRODUCTOS!$H$6:$H$105,MATCH($C449,PRODUCTOS!$A$6:$A$105,0)),0))</f>
        <v/>
      </c>
      <c r="L449" s="35" t="str">
        <f aca="false">IF($C449="","",$J449-$K449)</f>
        <v/>
      </c>
      <c r="M449" s="6"/>
      <c r="N449" s="6"/>
      <c r="O449" s="46" t="str">
        <f aca="false">IF($A449="","",DATE(YEAR($A449),MONTH($A449),1))</f>
        <v/>
      </c>
    </row>
    <row r="450" customFormat="false" ht="15" hidden="false" customHeight="false" outlineLevel="0" collapsed="false">
      <c r="A450" s="44"/>
      <c r="B450" s="6"/>
      <c r="C450" s="6"/>
      <c r="D450" s="8" t="str">
        <f aca="false">IF($C450="","",IFERROR(INDEX(PRODUCTOS!$B$6:$B$105,MATCH($C450,PRODUCTOS!$A$6:$A$105,0)),"¿Código?"))</f>
        <v/>
      </c>
      <c r="E450" s="42"/>
      <c r="F450" s="35" t="str">
        <f aca="false">IF($C450="","",IFERROR(INDEX(PRODUCTOS!$D$6:$D$105,MATCH($C450,PRODUCTOS!$A$6:$A$105,0)),0))</f>
        <v/>
      </c>
      <c r="G450" s="40"/>
      <c r="H450" s="35" t="str">
        <f aca="false">IF($C450="","",N($E450)*$F450-N($G450))</f>
        <v/>
      </c>
      <c r="I450" s="35" t="str">
        <f aca="false">IF($C450="","",$H450-$H450/(1+IFERROR(INDEX(PRODUCTOS!$E$6:$E$105,MATCH($C450,PRODUCTOS!$A$6:$A$105,0)),IVA_VENTAS)))</f>
        <v/>
      </c>
      <c r="J450" s="35" t="str">
        <f aca="false">IF($C450="","",$H450-$I450)</f>
        <v/>
      </c>
      <c r="K450" s="35" t="str">
        <f aca="false">IF($C450="","",N($E450)*IFERROR(INDEX(PRODUCTOS!$H$6:$H$105,MATCH($C450,PRODUCTOS!$A$6:$A$105,0)),0))</f>
        <v/>
      </c>
      <c r="L450" s="35" t="str">
        <f aca="false">IF($C450="","",$J450-$K450)</f>
        <v/>
      </c>
      <c r="M450" s="6"/>
      <c r="N450" s="6"/>
      <c r="O450" s="46" t="str">
        <f aca="false">IF($A450="","",DATE(YEAR($A450),MONTH($A450),1))</f>
        <v/>
      </c>
    </row>
    <row r="451" customFormat="false" ht="15" hidden="false" customHeight="false" outlineLevel="0" collapsed="false">
      <c r="A451" s="44"/>
      <c r="B451" s="6"/>
      <c r="C451" s="6"/>
      <c r="D451" s="8" t="str">
        <f aca="false">IF($C451="","",IFERROR(INDEX(PRODUCTOS!$B$6:$B$105,MATCH($C451,PRODUCTOS!$A$6:$A$105,0)),"¿Código?"))</f>
        <v/>
      </c>
      <c r="E451" s="42"/>
      <c r="F451" s="35" t="str">
        <f aca="false">IF($C451="","",IFERROR(INDEX(PRODUCTOS!$D$6:$D$105,MATCH($C451,PRODUCTOS!$A$6:$A$105,0)),0))</f>
        <v/>
      </c>
      <c r="G451" s="40"/>
      <c r="H451" s="35" t="str">
        <f aca="false">IF($C451="","",N($E451)*$F451-N($G451))</f>
        <v/>
      </c>
      <c r="I451" s="35" t="str">
        <f aca="false">IF($C451="","",$H451-$H451/(1+IFERROR(INDEX(PRODUCTOS!$E$6:$E$105,MATCH($C451,PRODUCTOS!$A$6:$A$105,0)),IVA_VENTAS)))</f>
        <v/>
      </c>
      <c r="J451" s="35" t="str">
        <f aca="false">IF($C451="","",$H451-$I451)</f>
        <v/>
      </c>
      <c r="K451" s="35" t="str">
        <f aca="false">IF($C451="","",N($E451)*IFERROR(INDEX(PRODUCTOS!$H$6:$H$105,MATCH($C451,PRODUCTOS!$A$6:$A$105,0)),0))</f>
        <v/>
      </c>
      <c r="L451" s="35" t="str">
        <f aca="false">IF($C451="","",$J451-$K451)</f>
        <v/>
      </c>
      <c r="M451" s="6"/>
      <c r="N451" s="6"/>
      <c r="O451" s="46" t="str">
        <f aca="false">IF($A451="","",DATE(YEAR($A451),MONTH($A451),1))</f>
        <v/>
      </c>
    </row>
    <row r="452" customFormat="false" ht="15" hidden="false" customHeight="false" outlineLevel="0" collapsed="false">
      <c r="A452" s="44"/>
      <c r="B452" s="6"/>
      <c r="C452" s="6"/>
      <c r="D452" s="8" t="str">
        <f aca="false">IF($C452="","",IFERROR(INDEX(PRODUCTOS!$B$6:$B$105,MATCH($C452,PRODUCTOS!$A$6:$A$105,0)),"¿Código?"))</f>
        <v/>
      </c>
      <c r="E452" s="42"/>
      <c r="F452" s="35" t="str">
        <f aca="false">IF($C452="","",IFERROR(INDEX(PRODUCTOS!$D$6:$D$105,MATCH($C452,PRODUCTOS!$A$6:$A$105,0)),0))</f>
        <v/>
      </c>
      <c r="G452" s="40"/>
      <c r="H452" s="35" t="str">
        <f aca="false">IF($C452="","",N($E452)*$F452-N($G452))</f>
        <v/>
      </c>
      <c r="I452" s="35" t="str">
        <f aca="false">IF($C452="","",$H452-$H452/(1+IFERROR(INDEX(PRODUCTOS!$E$6:$E$105,MATCH($C452,PRODUCTOS!$A$6:$A$105,0)),IVA_VENTAS)))</f>
        <v/>
      </c>
      <c r="J452" s="35" t="str">
        <f aca="false">IF($C452="","",$H452-$I452)</f>
        <v/>
      </c>
      <c r="K452" s="35" t="str">
        <f aca="false">IF($C452="","",N($E452)*IFERROR(INDEX(PRODUCTOS!$H$6:$H$105,MATCH($C452,PRODUCTOS!$A$6:$A$105,0)),0))</f>
        <v/>
      </c>
      <c r="L452" s="35" t="str">
        <f aca="false">IF($C452="","",$J452-$K452)</f>
        <v/>
      </c>
      <c r="M452" s="6"/>
      <c r="N452" s="6"/>
      <c r="O452" s="46" t="str">
        <f aca="false">IF($A452="","",DATE(YEAR($A452),MONTH($A452),1))</f>
        <v/>
      </c>
    </row>
    <row r="453" customFormat="false" ht="15" hidden="false" customHeight="false" outlineLevel="0" collapsed="false">
      <c r="A453" s="44"/>
      <c r="B453" s="6"/>
      <c r="C453" s="6"/>
      <c r="D453" s="8" t="str">
        <f aca="false">IF($C453="","",IFERROR(INDEX(PRODUCTOS!$B$6:$B$105,MATCH($C453,PRODUCTOS!$A$6:$A$105,0)),"¿Código?"))</f>
        <v/>
      </c>
      <c r="E453" s="42"/>
      <c r="F453" s="35" t="str">
        <f aca="false">IF($C453="","",IFERROR(INDEX(PRODUCTOS!$D$6:$D$105,MATCH($C453,PRODUCTOS!$A$6:$A$105,0)),0))</f>
        <v/>
      </c>
      <c r="G453" s="40"/>
      <c r="H453" s="35" t="str">
        <f aca="false">IF($C453="","",N($E453)*$F453-N($G453))</f>
        <v/>
      </c>
      <c r="I453" s="35" t="str">
        <f aca="false">IF($C453="","",$H453-$H453/(1+IFERROR(INDEX(PRODUCTOS!$E$6:$E$105,MATCH($C453,PRODUCTOS!$A$6:$A$105,0)),IVA_VENTAS)))</f>
        <v/>
      </c>
      <c r="J453" s="35" t="str">
        <f aca="false">IF($C453="","",$H453-$I453)</f>
        <v/>
      </c>
      <c r="K453" s="35" t="str">
        <f aca="false">IF($C453="","",N($E453)*IFERROR(INDEX(PRODUCTOS!$H$6:$H$105,MATCH($C453,PRODUCTOS!$A$6:$A$105,0)),0))</f>
        <v/>
      </c>
      <c r="L453" s="35" t="str">
        <f aca="false">IF($C453="","",$J453-$K453)</f>
        <v/>
      </c>
      <c r="M453" s="6"/>
      <c r="N453" s="6"/>
      <c r="O453" s="46" t="str">
        <f aca="false">IF($A453="","",DATE(YEAR($A453),MONTH($A453),1))</f>
        <v/>
      </c>
    </row>
    <row r="454" customFormat="false" ht="15" hidden="false" customHeight="false" outlineLevel="0" collapsed="false">
      <c r="A454" s="44"/>
      <c r="B454" s="6"/>
      <c r="C454" s="6"/>
      <c r="D454" s="8" t="str">
        <f aca="false">IF($C454="","",IFERROR(INDEX(PRODUCTOS!$B$6:$B$105,MATCH($C454,PRODUCTOS!$A$6:$A$105,0)),"¿Código?"))</f>
        <v/>
      </c>
      <c r="E454" s="42"/>
      <c r="F454" s="35" t="str">
        <f aca="false">IF($C454="","",IFERROR(INDEX(PRODUCTOS!$D$6:$D$105,MATCH($C454,PRODUCTOS!$A$6:$A$105,0)),0))</f>
        <v/>
      </c>
      <c r="G454" s="40"/>
      <c r="H454" s="35" t="str">
        <f aca="false">IF($C454="","",N($E454)*$F454-N($G454))</f>
        <v/>
      </c>
      <c r="I454" s="35" t="str">
        <f aca="false">IF($C454="","",$H454-$H454/(1+IFERROR(INDEX(PRODUCTOS!$E$6:$E$105,MATCH($C454,PRODUCTOS!$A$6:$A$105,0)),IVA_VENTAS)))</f>
        <v/>
      </c>
      <c r="J454" s="35" t="str">
        <f aca="false">IF($C454="","",$H454-$I454)</f>
        <v/>
      </c>
      <c r="K454" s="35" t="str">
        <f aca="false">IF($C454="","",N($E454)*IFERROR(INDEX(PRODUCTOS!$H$6:$H$105,MATCH($C454,PRODUCTOS!$A$6:$A$105,0)),0))</f>
        <v/>
      </c>
      <c r="L454" s="35" t="str">
        <f aca="false">IF($C454="","",$J454-$K454)</f>
        <v/>
      </c>
      <c r="M454" s="6"/>
      <c r="N454" s="6"/>
      <c r="O454" s="46" t="str">
        <f aca="false">IF($A454="","",DATE(YEAR($A454),MONTH($A454),1))</f>
        <v/>
      </c>
    </row>
    <row r="455" customFormat="false" ht="15" hidden="false" customHeight="false" outlineLevel="0" collapsed="false">
      <c r="A455" s="44"/>
      <c r="B455" s="6"/>
      <c r="C455" s="6"/>
      <c r="D455" s="8" t="str">
        <f aca="false">IF($C455="","",IFERROR(INDEX(PRODUCTOS!$B$6:$B$105,MATCH($C455,PRODUCTOS!$A$6:$A$105,0)),"¿Código?"))</f>
        <v/>
      </c>
      <c r="E455" s="42"/>
      <c r="F455" s="35" t="str">
        <f aca="false">IF($C455="","",IFERROR(INDEX(PRODUCTOS!$D$6:$D$105,MATCH($C455,PRODUCTOS!$A$6:$A$105,0)),0))</f>
        <v/>
      </c>
      <c r="G455" s="40"/>
      <c r="H455" s="35" t="str">
        <f aca="false">IF($C455="","",N($E455)*$F455-N($G455))</f>
        <v/>
      </c>
      <c r="I455" s="35" t="str">
        <f aca="false">IF($C455="","",$H455-$H455/(1+IFERROR(INDEX(PRODUCTOS!$E$6:$E$105,MATCH($C455,PRODUCTOS!$A$6:$A$105,0)),IVA_VENTAS)))</f>
        <v/>
      </c>
      <c r="J455" s="35" t="str">
        <f aca="false">IF($C455="","",$H455-$I455)</f>
        <v/>
      </c>
      <c r="K455" s="35" t="str">
        <f aca="false">IF($C455="","",N($E455)*IFERROR(INDEX(PRODUCTOS!$H$6:$H$105,MATCH($C455,PRODUCTOS!$A$6:$A$105,0)),0))</f>
        <v/>
      </c>
      <c r="L455" s="35" t="str">
        <f aca="false">IF($C455="","",$J455-$K455)</f>
        <v/>
      </c>
      <c r="M455" s="6"/>
      <c r="N455" s="6"/>
      <c r="O455" s="46" t="str">
        <f aca="false">IF($A455="","",DATE(YEAR($A455),MONTH($A455),1))</f>
        <v/>
      </c>
    </row>
    <row r="456" customFormat="false" ht="15" hidden="false" customHeight="false" outlineLevel="0" collapsed="false">
      <c r="A456" s="44"/>
      <c r="B456" s="6"/>
      <c r="C456" s="6"/>
      <c r="D456" s="8" t="str">
        <f aca="false">IF($C456="","",IFERROR(INDEX(PRODUCTOS!$B$6:$B$105,MATCH($C456,PRODUCTOS!$A$6:$A$105,0)),"¿Código?"))</f>
        <v/>
      </c>
      <c r="E456" s="42"/>
      <c r="F456" s="35" t="str">
        <f aca="false">IF($C456="","",IFERROR(INDEX(PRODUCTOS!$D$6:$D$105,MATCH($C456,PRODUCTOS!$A$6:$A$105,0)),0))</f>
        <v/>
      </c>
      <c r="G456" s="40"/>
      <c r="H456" s="35" t="str">
        <f aca="false">IF($C456="","",N($E456)*$F456-N($G456))</f>
        <v/>
      </c>
      <c r="I456" s="35" t="str">
        <f aca="false">IF($C456="","",$H456-$H456/(1+IFERROR(INDEX(PRODUCTOS!$E$6:$E$105,MATCH($C456,PRODUCTOS!$A$6:$A$105,0)),IVA_VENTAS)))</f>
        <v/>
      </c>
      <c r="J456" s="35" t="str">
        <f aca="false">IF($C456="","",$H456-$I456)</f>
        <v/>
      </c>
      <c r="K456" s="35" t="str">
        <f aca="false">IF($C456="","",N($E456)*IFERROR(INDEX(PRODUCTOS!$H$6:$H$105,MATCH($C456,PRODUCTOS!$A$6:$A$105,0)),0))</f>
        <v/>
      </c>
      <c r="L456" s="35" t="str">
        <f aca="false">IF($C456="","",$J456-$K456)</f>
        <v/>
      </c>
      <c r="M456" s="6"/>
      <c r="N456" s="6"/>
      <c r="O456" s="46" t="str">
        <f aca="false">IF($A456="","",DATE(YEAR($A456),MONTH($A456),1))</f>
        <v/>
      </c>
    </row>
    <row r="457" customFormat="false" ht="15" hidden="false" customHeight="false" outlineLevel="0" collapsed="false">
      <c r="A457" s="44"/>
      <c r="B457" s="6"/>
      <c r="C457" s="6"/>
      <c r="D457" s="8" t="str">
        <f aca="false">IF($C457="","",IFERROR(INDEX(PRODUCTOS!$B$6:$B$105,MATCH($C457,PRODUCTOS!$A$6:$A$105,0)),"¿Código?"))</f>
        <v/>
      </c>
      <c r="E457" s="42"/>
      <c r="F457" s="35" t="str">
        <f aca="false">IF($C457="","",IFERROR(INDEX(PRODUCTOS!$D$6:$D$105,MATCH($C457,PRODUCTOS!$A$6:$A$105,0)),0))</f>
        <v/>
      </c>
      <c r="G457" s="40"/>
      <c r="H457" s="35" t="str">
        <f aca="false">IF($C457="","",N($E457)*$F457-N($G457))</f>
        <v/>
      </c>
      <c r="I457" s="35" t="str">
        <f aca="false">IF($C457="","",$H457-$H457/(1+IFERROR(INDEX(PRODUCTOS!$E$6:$E$105,MATCH($C457,PRODUCTOS!$A$6:$A$105,0)),IVA_VENTAS)))</f>
        <v/>
      </c>
      <c r="J457" s="35" t="str">
        <f aca="false">IF($C457="","",$H457-$I457)</f>
        <v/>
      </c>
      <c r="K457" s="35" t="str">
        <f aca="false">IF($C457="","",N($E457)*IFERROR(INDEX(PRODUCTOS!$H$6:$H$105,MATCH($C457,PRODUCTOS!$A$6:$A$105,0)),0))</f>
        <v/>
      </c>
      <c r="L457" s="35" t="str">
        <f aca="false">IF($C457="","",$J457-$K457)</f>
        <v/>
      </c>
      <c r="M457" s="6"/>
      <c r="N457" s="6"/>
      <c r="O457" s="46" t="str">
        <f aca="false">IF($A457="","",DATE(YEAR($A457),MONTH($A457),1))</f>
        <v/>
      </c>
    </row>
    <row r="458" customFormat="false" ht="15" hidden="false" customHeight="false" outlineLevel="0" collapsed="false">
      <c r="A458" s="44"/>
      <c r="B458" s="6"/>
      <c r="C458" s="6"/>
      <c r="D458" s="8" t="str">
        <f aca="false">IF($C458="","",IFERROR(INDEX(PRODUCTOS!$B$6:$B$105,MATCH($C458,PRODUCTOS!$A$6:$A$105,0)),"¿Código?"))</f>
        <v/>
      </c>
      <c r="E458" s="42"/>
      <c r="F458" s="35" t="str">
        <f aca="false">IF($C458="","",IFERROR(INDEX(PRODUCTOS!$D$6:$D$105,MATCH($C458,PRODUCTOS!$A$6:$A$105,0)),0))</f>
        <v/>
      </c>
      <c r="G458" s="40"/>
      <c r="H458" s="35" t="str">
        <f aca="false">IF($C458="","",N($E458)*$F458-N($G458))</f>
        <v/>
      </c>
      <c r="I458" s="35" t="str">
        <f aca="false">IF($C458="","",$H458-$H458/(1+IFERROR(INDEX(PRODUCTOS!$E$6:$E$105,MATCH($C458,PRODUCTOS!$A$6:$A$105,0)),IVA_VENTAS)))</f>
        <v/>
      </c>
      <c r="J458" s="35" t="str">
        <f aca="false">IF($C458="","",$H458-$I458)</f>
        <v/>
      </c>
      <c r="K458" s="35" t="str">
        <f aca="false">IF($C458="","",N($E458)*IFERROR(INDEX(PRODUCTOS!$H$6:$H$105,MATCH($C458,PRODUCTOS!$A$6:$A$105,0)),0))</f>
        <v/>
      </c>
      <c r="L458" s="35" t="str">
        <f aca="false">IF($C458="","",$J458-$K458)</f>
        <v/>
      </c>
      <c r="M458" s="6"/>
      <c r="N458" s="6"/>
      <c r="O458" s="46" t="str">
        <f aca="false">IF($A458="","",DATE(YEAR($A458),MONTH($A458),1))</f>
        <v/>
      </c>
    </row>
    <row r="459" customFormat="false" ht="15" hidden="false" customHeight="false" outlineLevel="0" collapsed="false">
      <c r="A459" s="44"/>
      <c r="B459" s="6"/>
      <c r="C459" s="6"/>
      <c r="D459" s="8" t="str">
        <f aca="false">IF($C459="","",IFERROR(INDEX(PRODUCTOS!$B$6:$B$105,MATCH($C459,PRODUCTOS!$A$6:$A$105,0)),"¿Código?"))</f>
        <v/>
      </c>
      <c r="E459" s="42"/>
      <c r="F459" s="35" t="str">
        <f aca="false">IF($C459="","",IFERROR(INDEX(PRODUCTOS!$D$6:$D$105,MATCH($C459,PRODUCTOS!$A$6:$A$105,0)),0))</f>
        <v/>
      </c>
      <c r="G459" s="40"/>
      <c r="H459" s="35" t="str">
        <f aca="false">IF($C459="","",N($E459)*$F459-N($G459))</f>
        <v/>
      </c>
      <c r="I459" s="35" t="str">
        <f aca="false">IF($C459="","",$H459-$H459/(1+IFERROR(INDEX(PRODUCTOS!$E$6:$E$105,MATCH($C459,PRODUCTOS!$A$6:$A$105,0)),IVA_VENTAS)))</f>
        <v/>
      </c>
      <c r="J459" s="35" t="str">
        <f aca="false">IF($C459="","",$H459-$I459)</f>
        <v/>
      </c>
      <c r="K459" s="35" t="str">
        <f aca="false">IF($C459="","",N($E459)*IFERROR(INDEX(PRODUCTOS!$H$6:$H$105,MATCH($C459,PRODUCTOS!$A$6:$A$105,0)),0))</f>
        <v/>
      </c>
      <c r="L459" s="35" t="str">
        <f aca="false">IF($C459="","",$J459-$K459)</f>
        <v/>
      </c>
      <c r="M459" s="6"/>
      <c r="N459" s="6"/>
      <c r="O459" s="46" t="str">
        <f aca="false">IF($A459="","",DATE(YEAR($A459),MONTH($A459),1))</f>
        <v/>
      </c>
    </row>
    <row r="460" customFormat="false" ht="15" hidden="false" customHeight="false" outlineLevel="0" collapsed="false">
      <c r="A460" s="44"/>
      <c r="B460" s="6"/>
      <c r="C460" s="6"/>
      <c r="D460" s="8" t="str">
        <f aca="false">IF($C460="","",IFERROR(INDEX(PRODUCTOS!$B$6:$B$105,MATCH($C460,PRODUCTOS!$A$6:$A$105,0)),"¿Código?"))</f>
        <v/>
      </c>
      <c r="E460" s="42"/>
      <c r="F460" s="35" t="str">
        <f aca="false">IF($C460="","",IFERROR(INDEX(PRODUCTOS!$D$6:$D$105,MATCH($C460,PRODUCTOS!$A$6:$A$105,0)),0))</f>
        <v/>
      </c>
      <c r="G460" s="40"/>
      <c r="H460" s="35" t="str">
        <f aca="false">IF($C460="","",N($E460)*$F460-N($G460))</f>
        <v/>
      </c>
      <c r="I460" s="35" t="str">
        <f aca="false">IF($C460="","",$H460-$H460/(1+IFERROR(INDEX(PRODUCTOS!$E$6:$E$105,MATCH($C460,PRODUCTOS!$A$6:$A$105,0)),IVA_VENTAS)))</f>
        <v/>
      </c>
      <c r="J460" s="35" t="str">
        <f aca="false">IF($C460="","",$H460-$I460)</f>
        <v/>
      </c>
      <c r="K460" s="35" t="str">
        <f aca="false">IF($C460="","",N($E460)*IFERROR(INDEX(PRODUCTOS!$H$6:$H$105,MATCH($C460,PRODUCTOS!$A$6:$A$105,0)),0))</f>
        <v/>
      </c>
      <c r="L460" s="35" t="str">
        <f aca="false">IF($C460="","",$J460-$K460)</f>
        <v/>
      </c>
      <c r="M460" s="6"/>
      <c r="N460" s="6"/>
      <c r="O460" s="46" t="str">
        <f aca="false">IF($A460="","",DATE(YEAR($A460),MONTH($A460),1))</f>
        <v/>
      </c>
    </row>
    <row r="461" customFormat="false" ht="15" hidden="false" customHeight="false" outlineLevel="0" collapsed="false">
      <c r="A461" s="44"/>
      <c r="B461" s="6"/>
      <c r="C461" s="6"/>
      <c r="D461" s="8" t="str">
        <f aca="false">IF($C461="","",IFERROR(INDEX(PRODUCTOS!$B$6:$B$105,MATCH($C461,PRODUCTOS!$A$6:$A$105,0)),"¿Código?"))</f>
        <v/>
      </c>
      <c r="E461" s="42"/>
      <c r="F461" s="35" t="str">
        <f aca="false">IF($C461="","",IFERROR(INDEX(PRODUCTOS!$D$6:$D$105,MATCH($C461,PRODUCTOS!$A$6:$A$105,0)),0))</f>
        <v/>
      </c>
      <c r="G461" s="40"/>
      <c r="H461" s="35" t="str">
        <f aca="false">IF($C461="","",N($E461)*$F461-N($G461))</f>
        <v/>
      </c>
      <c r="I461" s="35" t="str">
        <f aca="false">IF($C461="","",$H461-$H461/(1+IFERROR(INDEX(PRODUCTOS!$E$6:$E$105,MATCH($C461,PRODUCTOS!$A$6:$A$105,0)),IVA_VENTAS)))</f>
        <v/>
      </c>
      <c r="J461" s="35" t="str">
        <f aca="false">IF($C461="","",$H461-$I461)</f>
        <v/>
      </c>
      <c r="K461" s="35" t="str">
        <f aca="false">IF($C461="","",N($E461)*IFERROR(INDEX(PRODUCTOS!$H$6:$H$105,MATCH($C461,PRODUCTOS!$A$6:$A$105,0)),0))</f>
        <v/>
      </c>
      <c r="L461" s="35" t="str">
        <f aca="false">IF($C461="","",$J461-$K461)</f>
        <v/>
      </c>
      <c r="M461" s="6"/>
      <c r="N461" s="6"/>
      <c r="O461" s="46" t="str">
        <f aca="false">IF($A461="","",DATE(YEAR($A461),MONTH($A461),1))</f>
        <v/>
      </c>
    </row>
    <row r="462" customFormat="false" ht="15" hidden="false" customHeight="false" outlineLevel="0" collapsed="false">
      <c r="A462" s="44"/>
      <c r="B462" s="6"/>
      <c r="C462" s="6"/>
      <c r="D462" s="8" t="str">
        <f aca="false">IF($C462="","",IFERROR(INDEX(PRODUCTOS!$B$6:$B$105,MATCH($C462,PRODUCTOS!$A$6:$A$105,0)),"¿Código?"))</f>
        <v/>
      </c>
      <c r="E462" s="42"/>
      <c r="F462" s="35" t="str">
        <f aca="false">IF($C462="","",IFERROR(INDEX(PRODUCTOS!$D$6:$D$105,MATCH($C462,PRODUCTOS!$A$6:$A$105,0)),0))</f>
        <v/>
      </c>
      <c r="G462" s="40"/>
      <c r="H462" s="35" t="str">
        <f aca="false">IF($C462="","",N($E462)*$F462-N($G462))</f>
        <v/>
      </c>
      <c r="I462" s="35" t="str">
        <f aca="false">IF($C462="","",$H462-$H462/(1+IFERROR(INDEX(PRODUCTOS!$E$6:$E$105,MATCH($C462,PRODUCTOS!$A$6:$A$105,0)),IVA_VENTAS)))</f>
        <v/>
      </c>
      <c r="J462" s="35" t="str">
        <f aca="false">IF($C462="","",$H462-$I462)</f>
        <v/>
      </c>
      <c r="K462" s="35" t="str">
        <f aca="false">IF($C462="","",N($E462)*IFERROR(INDEX(PRODUCTOS!$H$6:$H$105,MATCH($C462,PRODUCTOS!$A$6:$A$105,0)),0))</f>
        <v/>
      </c>
      <c r="L462" s="35" t="str">
        <f aca="false">IF($C462="","",$J462-$K462)</f>
        <v/>
      </c>
      <c r="M462" s="6"/>
      <c r="N462" s="6"/>
      <c r="O462" s="46" t="str">
        <f aca="false">IF($A462="","",DATE(YEAR($A462),MONTH($A462),1))</f>
        <v/>
      </c>
    </row>
    <row r="463" customFormat="false" ht="15" hidden="false" customHeight="false" outlineLevel="0" collapsed="false">
      <c r="A463" s="44"/>
      <c r="B463" s="6"/>
      <c r="C463" s="6"/>
      <c r="D463" s="8" t="str">
        <f aca="false">IF($C463="","",IFERROR(INDEX(PRODUCTOS!$B$6:$B$105,MATCH($C463,PRODUCTOS!$A$6:$A$105,0)),"¿Código?"))</f>
        <v/>
      </c>
      <c r="E463" s="42"/>
      <c r="F463" s="35" t="str">
        <f aca="false">IF($C463="","",IFERROR(INDEX(PRODUCTOS!$D$6:$D$105,MATCH($C463,PRODUCTOS!$A$6:$A$105,0)),0))</f>
        <v/>
      </c>
      <c r="G463" s="40"/>
      <c r="H463" s="35" t="str">
        <f aca="false">IF($C463="","",N($E463)*$F463-N($G463))</f>
        <v/>
      </c>
      <c r="I463" s="35" t="str">
        <f aca="false">IF($C463="","",$H463-$H463/(1+IFERROR(INDEX(PRODUCTOS!$E$6:$E$105,MATCH($C463,PRODUCTOS!$A$6:$A$105,0)),IVA_VENTAS)))</f>
        <v/>
      </c>
      <c r="J463" s="35" t="str">
        <f aca="false">IF($C463="","",$H463-$I463)</f>
        <v/>
      </c>
      <c r="K463" s="35" t="str">
        <f aca="false">IF($C463="","",N($E463)*IFERROR(INDEX(PRODUCTOS!$H$6:$H$105,MATCH($C463,PRODUCTOS!$A$6:$A$105,0)),0))</f>
        <v/>
      </c>
      <c r="L463" s="35" t="str">
        <f aca="false">IF($C463="","",$J463-$K463)</f>
        <v/>
      </c>
      <c r="M463" s="6"/>
      <c r="N463" s="6"/>
      <c r="O463" s="46" t="str">
        <f aca="false">IF($A463="","",DATE(YEAR($A463),MONTH($A463),1))</f>
        <v/>
      </c>
    </row>
    <row r="464" customFormat="false" ht="15" hidden="false" customHeight="false" outlineLevel="0" collapsed="false">
      <c r="A464" s="44"/>
      <c r="B464" s="6"/>
      <c r="C464" s="6"/>
      <c r="D464" s="8" t="str">
        <f aca="false">IF($C464="","",IFERROR(INDEX(PRODUCTOS!$B$6:$B$105,MATCH($C464,PRODUCTOS!$A$6:$A$105,0)),"¿Código?"))</f>
        <v/>
      </c>
      <c r="E464" s="42"/>
      <c r="F464" s="35" t="str">
        <f aca="false">IF($C464="","",IFERROR(INDEX(PRODUCTOS!$D$6:$D$105,MATCH($C464,PRODUCTOS!$A$6:$A$105,0)),0))</f>
        <v/>
      </c>
      <c r="G464" s="40"/>
      <c r="H464" s="35" t="str">
        <f aca="false">IF($C464="","",N($E464)*$F464-N($G464))</f>
        <v/>
      </c>
      <c r="I464" s="35" t="str">
        <f aca="false">IF($C464="","",$H464-$H464/(1+IFERROR(INDEX(PRODUCTOS!$E$6:$E$105,MATCH($C464,PRODUCTOS!$A$6:$A$105,0)),IVA_VENTAS)))</f>
        <v/>
      </c>
      <c r="J464" s="35" t="str">
        <f aca="false">IF($C464="","",$H464-$I464)</f>
        <v/>
      </c>
      <c r="K464" s="35" t="str">
        <f aca="false">IF($C464="","",N($E464)*IFERROR(INDEX(PRODUCTOS!$H$6:$H$105,MATCH($C464,PRODUCTOS!$A$6:$A$105,0)),0))</f>
        <v/>
      </c>
      <c r="L464" s="35" t="str">
        <f aca="false">IF($C464="","",$J464-$K464)</f>
        <v/>
      </c>
      <c r="M464" s="6"/>
      <c r="N464" s="6"/>
      <c r="O464" s="46" t="str">
        <f aca="false">IF($A464="","",DATE(YEAR($A464),MONTH($A464),1))</f>
        <v/>
      </c>
    </row>
    <row r="465" customFormat="false" ht="15" hidden="false" customHeight="false" outlineLevel="0" collapsed="false">
      <c r="A465" s="44"/>
      <c r="B465" s="6"/>
      <c r="C465" s="6"/>
      <c r="D465" s="8" t="str">
        <f aca="false">IF($C465="","",IFERROR(INDEX(PRODUCTOS!$B$6:$B$105,MATCH($C465,PRODUCTOS!$A$6:$A$105,0)),"¿Código?"))</f>
        <v/>
      </c>
      <c r="E465" s="42"/>
      <c r="F465" s="35" t="str">
        <f aca="false">IF($C465="","",IFERROR(INDEX(PRODUCTOS!$D$6:$D$105,MATCH($C465,PRODUCTOS!$A$6:$A$105,0)),0))</f>
        <v/>
      </c>
      <c r="G465" s="40"/>
      <c r="H465" s="35" t="str">
        <f aca="false">IF($C465="","",N($E465)*$F465-N($G465))</f>
        <v/>
      </c>
      <c r="I465" s="35" t="str">
        <f aca="false">IF($C465="","",$H465-$H465/(1+IFERROR(INDEX(PRODUCTOS!$E$6:$E$105,MATCH($C465,PRODUCTOS!$A$6:$A$105,0)),IVA_VENTAS)))</f>
        <v/>
      </c>
      <c r="J465" s="35" t="str">
        <f aca="false">IF($C465="","",$H465-$I465)</f>
        <v/>
      </c>
      <c r="K465" s="35" t="str">
        <f aca="false">IF($C465="","",N($E465)*IFERROR(INDEX(PRODUCTOS!$H$6:$H$105,MATCH($C465,PRODUCTOS!$A$6:$A$105,0)),0))</f>
        <v/>
      </c>
      <c r="L465" s="35" t="str">
        <f aca="false">IF($C465="","",$J465-$K465)</f>
        <v/>
      </c>
      <c r="M465" s="6"/>
      <c r="N465" s="6"/>
      <c r="O465" s="46" t="str">
        <f aca="false">IF($A465="","",DATE(YEAR($A465),MONTH($A465),1))</f>
        <v/>
      </c>
    </row>
    <row r="466" customFormat="false" ht="15" hidden="false" customHeight="false" outlineLevel="0" collapsed="false">
      <c r="A466" s="44"/>
      <c r="B466" s="6"/>
      <c r="C466" s="6"/>
      <c r="D466" s="8" t="str">
        <f aca="false">IF($C466="","",IFERROR(INDEX(PRODUCTOS!$B$6:$B$105,MATCH($C466,PRODUCTOS!$A$6:$A$105,0)),"¿Código?"))</f>
        <v/>
      </c>
      <c r="E466" s="42"/>
      <c r="F466" s="35" t="str">
        <f aca="false">IF($C466="","",IFERROR(INDEX(PRODUCTOS!$D$6:$D$105,MATCH($C466,PRODUCTOS!$A$6:$A$105,0)),0))</f>
        <v/>
      </c>
      <c r="G466" s="40"/>
      <c r="H466" s="35" t="str">
        <f aca="false">IF($C466="","",N($E466)*$F466-N($G466))</f>
        <v/>
      </c>
      <c r="I466" s="35" t="str">
        <f aca="false">IF($C466="","",$H466-$H466/(1+IFERROR(INDEX(PRODUCTOS!$E$6:$E$105,MATCH($C466,PRODUCTOS!$A$6:$A$105,0)),IVA_VENTAS)))</f>
        <v/>
      </c>
      <c r="J466" s="35" t="str">
        <f aca="false">IF($C466="","",$H466-$I466)</f>
        <v/>
      </c>
      <c r="K466" s="35" t="str">
        <f aca="false">IF($C466="","",N($E466)*IFERROR(INDEX(PRODUCTOS!$H$6:$H$105,MATCH($C466,PRODUCTOS!$A$6:$A$105,0)),0))</f>
        <v/>
      </c>
      <c r="L466" s="35" t="str">
        <f aca="false">IF($C466="","",$J466-$K466)</f>
        <v/>
      </c>
      <c r="M466" s="6"/>
      <c r="N466" s="6"/>
      <c r="O466" s="46" t="str">
        <f aca="false">IF($A466="","",DATE(YEAR($A466),MONTH($A466),1))</f>
        <v/>
      </c>
    </row>
    <row r="467" customFormat="false" ht="15" hidden="false" customHeight="false" outlineLevel="0" collapsed="false">
      <c r="A467" s="44"/>
      <c r="B467" s="6"/>
      <c r="C467" s="6"/>
      <c r="D467" s="8" t="str">
        <f aca="false">IF($C467="","",IFERROR(INDEX(PRODUCTOS!$B$6:$B$105,MATCH($C467,PRODUCTOS!$A$6:$A$105,0)),"¿Código?"))</f>
        <v/>
      </c>
      <c r="E467" s="42"/>
      <c r="F467" s="35" t="str">
        <f aca="false">IF($C467="","",IFERROR(INDEX(PRODUCTOS!$D$6:$D$105,MATCH($C467,PRODUCTOS!$A$6:$A$105,0)),0))</f>
        <v/>
      </c>
      <c r="G467" s="40"/>
      <c r="H467" s="35" t="str">
        <f aca="false">IF($C467="","",N($E467)*$F467-N($G467))</f>
        <v/>
      </c>
      <c r="I467" s="35" t="str">
        <f aca="false">IF($C467="","",$H467-$H467/(1+IFERROR(INDEX(PRODUCTOS!$E$6:$E$105,MATCH($C467,PRODUCTOS!$A$6:$A$105,0)),IVA_VENTAS)))</f>
        <v/>
      </c>
      <c r="J467" s="35" t="str">
        <f aca="false">IF($C467="","",$H467-$I467)</f>
        <v/>
      </c>
      <c r="K467" s="35" t="str">
        <f aca="false">IF($C467="","",N($E467)*IFERROR(INDEX(PRODUCTOS!$H$6:$H$105,MATCH($C467,PRODUCTOS!$A$6:$A$105,0)),0))</f>
        <v/>
      </c>
      <c r="L467" s="35" t="str">
        <f aca="false">IF($C467="","",$J467-$K467)</f>
        <v/>
      </c>
      <c r="M467" s="6"/>
      <c r="N467" s="6"/>
      <c r="O467" s="46" t="str">
        <f aca="false">IF($A467="","",DATE(YEAR($A467),MONTH($A467),1))</f>
        <v/>
      </c>
    </row>
    <row r="468" customFormat="false" ht="15" hidden="false" customHeight="false" outlineLevel="0" collapsed="false">
      <c r="A468" s="44"/>
      <c r="B468" s="6"/>
      <c r="C468" s="6"/>
      <c r="D468" s="8" t="str">
        <f aca="false">IF($C468="","",IFERROR(INDEX(PRODUCTOS!$B$6:$B$105,MATCH($C468,PRODUCTOS!$A$6:$A$105,0)),"¿Código?"))</f>
        <v/>
      </c>
      <c r="E468" s="42"/>
      <c r="F468" s="35" t="str">
        <f aca="false">IF($C468="","",IFERROR(INDEX(PRODUCTOS!$D$6:$D$105,MATCH($C468,PRODUCTOS!$A$6:$A$105,0)),0))</f>
        <v/>
      </c>
      <c r="G468" s="40"/>
      <c r="H468" s="35" t="str">
        <f aca="false">IF($C468="","",N($E468)*$F468-N($G468))</f>
        <v/>
      </c>
      <c r="I468" s="35" t="str">
        <f aca="false">IF($C468="","",$H468-$H468/(1+IFERROR(INDEX(PRODUCTOS!$E$6:$E$105,MATCH($C468,PRODUCTOS!$A$6:$A$105,0)),IVA_VENTAS)))</f>
        <v/>
      </c>
      <c r="J468" s="35" t="str">
        <f aca="false">IF($C468="","",$H468-$I468)</f>
        <v/>
      </c>
      <c r="K468" s="35" t="str">
        <f aca="false">IF($C468="","",N($E468)*IFERROR(INDEX(PRODUCTOS!$H$6:$H$105,MATCH($C468,PRODUCTOS!$A$6:$A$105,0)),0))</f>
        <v/>
      </c>
      <c r="L468" s="35" t="str">
        <f aca="false">IF($C468="","",$J468-$K468)</f>
        <v/>
      </c>
      <c r="M468" s="6"/>
      <c r="N468" s="6"/>
      <c r="O468" s="46" t="str">
        <f aca="false">IF($A468="","",DATE(YEAR($A468),MONTH($A468),1))</f>
        <v/>
      </c>
    </row>
    <row r="469" customFormat="false" ht="15" hidden="false" customHeight="false" outlineLevel="0" collapsed="false">
      <c r="A469" s="44"/>
      <c r="B469" s="6"/>
      <c r="C469" s="6"/>
      <c r="D469" s="8" t="str">
        <f aca="false">IF($C469="","",IFERROR(INDEX(PRODUCTOS!$B$6:$B$105,MATCH($C469,PRODUCTOS!$A$6:$A$105,0)),"¿Código?"))</f>
        <v/>
      </c>
      <c r="E469" s="42"/>
      <c r="F469" s="35" t="str">
        <f aca="false">IF($C469="","",IFERROR(INDEX(PRODUCTOS!$D$6:$D$105,MATCH($C469,PRODUCTOS!$A$6:$A$105,0)),0))</f>
        <v/>
      </c>
      <c r="G469" s="40"/>
      <c r="H469" s="35" t="str">
        <f aca="false">IF($C469="","",N($E469)*$F469-N($G469))</f>
        <v/>
      </c>
      <c r="I469" s="35" t="str">
        <f aca="false">IF($C469="","",$H469-$H469/(1+IFERROR(INDEX(PRODUCTOS!$E$6:$E$105,MATCH($C469,PRODUCTOS!$A$6:$A$105,0)),IVA_VENTAS)))</f>
        <v/>
      </c>
      <c r="J469" s="35" t="str">
        <f aca="false">IF($C469="","",$H469-$I469)</f>
        <v/>
      </c>
      <c r="K469" s="35" t="str">
        <f aca="false">IF($C469="","",N($E469)*IFERROR(INDEX(PRODUCTOS!$H$6:$H$105,MATCH($C469,PRODUCTOS!$A$6:$A$105,0)),0))</f>
        <v/>
      </c>
      <c r="L469" s="35" t="str">
        <f aca="false">IF($C469="","",$J469-$K469)</f>
        <v/>
      </c>
      <c r="M469" s="6"/>
      <c r="N469" s="6"/>
      <c r="O469" s="46" t="str">
        <f aca="false">IF($A469="","",DATE(YEAR($A469),MONTH($A469),1))</f>
        <v/>
      </c>
    </row>
    <row r="470" customFormat="false" ht="15" hidden="false" customHeight="false" outlineLevel="0" collapsed="false">
      <c r="A470" s="44"/>
      <c r="B470" s="6"/>
      <c r="C470" s="6"/>
      <c r="D470" s="8" t="str">
        <f aca="false">IF($C470="","",IFERROR(INDEX(PRODUCTOS!$B$6:$B$105,MATCH($C470,PRODUCTOS!$A$6:$A$105,0)),"¿Código?"))</f>
        <v/>
      </c>
      <c r="E470" s="42"/>
      <c r="F470" s="35" t="str">
        <f aca="false">IF($C470="","",IFERROR(INDEX(PRODUCTOS!$D$6:$D$105,MATCH($C470,PRODUCTOS!$A$6:$A$105,0)),0))</f>
        <v/>
      </c>
      <c r="G470" s="40"/>
      <c r="H470" s="35" t="str">
        <f aca="false">IF($C470="","",N($E470)*$F470-N($G470))</f>
        <v/>
      </c>
      <c r="I470" s="35" t="str">
        <f aca="false">IF($C470="","",$H470-$H470/(1+IFERROR(INDEX(PRODUCTOS!$E$6:$E$105,MATCH($C470,PRODUCTOS!$A$6:$A$105,0)),IVA_VENTAS)))</f>
        <v/>
      </c>
      <c r="J470" s="35" t="str">
        <f aca="false">IF($C470="","",$H470-$I470)</f>
        <v/>
      </c>
      <c r="K470" s="35" t="str">
        <f aca="false">IF($C470="","",N($E470)*IFERROR(INDEX(PRODUCTOS!$H$6:$H$105,MATCH($C470,PRODUCTOS!$A$6:$A$105,0)),0))</f>
        <v/>
      </c>
      <c r="L470" s="35" t="str">
        <f aca="false">IF($C470="","",$J470-$K470)</f>
        <v/>
      </c>
      <c r="M470" s="6"/>
      <c r="N470" s="6"/>
      <c r="O470" s="46" t="str">
        <f aca="false">IF($A470="","",DATE(YEAR($A470),MONTH($A470),1))</f>
        <v/>
      </c>
    </row>
    <row r="471" customFormat="false" ht="15" hidden="false" customHeight="false" outlineLevel="0" collapsed="false">
      <c r="A471" s="44"/>
      <c r="B471" s="6"/>
      <c r="C471" s="6"/>
      <c r="D471" s="8" t="str">
        <f aca="false">IF($C471="","",IFERROR(INDEX(PRODUCTOS!$B$6:$B$105,MATCH($C471,PRODUCTOS!$A$6:$A$105,0)),"¿Código?"))</f>
        <v/>
      </c>
      <c r="E471" s="42"/>
      <c r="F471" s="35" t="str">
        <f aca="false">IF($C471="","",IFERROR(INDEX(PRODUCTOS!$D$6:$D$105,MATCH($C471,PRODUCTOS!$A$6:$A$105,0)),0))</f>
        <v/>
      </c>
      <c r="G471" s="40"/>
      <c r="H471" s="35" t="str">
        <f aca="false">IF($C471="","",N($E471)*$F471-N($G471))</f>
        <v/>
      </c>
      <c r="I471" s="35" t="str">
        <f aca="false">IF($C471="","",$H471-$H471/(1+IFERROR(INDEX(PRODUCTOS!$E$6:$E$105,MATCH($C471,PRODUCTOS!$A$6:$A$105,0)),IVA_VENTAS)))</f>
        <v/>
      </c>
      <c r="J471" s="35" t="str">
        <f aca="false">IF($C471="","",$H471-$I471)</f>
        <v/>
      </c>
      <c r="K471" s="35" t="str">
        <f aca="false">IF($C471="","",N($E471)*IFERROR(INDEX(PRODUCTOS!$H$6:$H$105,MATCH($C471,PRODUCTOS!$A$6:$A$105,0)),0))</f>
        <v/>
      </c>
      <c r="L471" s="35" t="str">
        <f aca="false">IF($C471="","",$J471-$K471)</f>
        <v/>
      </c>
      <c r="M471" s="6"/>
      <c r="N471" s="6"/>
      <c r="O471" s="46" t="str">
        <f aca="false">IF($A471="","",DATE(YEAR($A471),MONTH($A471),1))</f>
        <v/>
      </c>
    </row>
    <row r="472" customFormat="false" ht="15" hidden="false" customHeight="false" outlineLevel="0" collapsed="false">
      <c r="A472" s="44"/>
      <c r="B472" s="6"/>
      <c r="C472" s="6"/>
      <c r="D472" s="8" t="str">
        <f aca="false">IF($C472="","",IFERROR(INDEX(PRODUCTOS!$B$6:$B$105,MATCH($C472,PRODUCTOS!$A$6:$A$105,0)),"¿Código?"))</f>
        <v/>
      </c>
      <c r="E472" s="42"/>
      <c r="F472" s="35" t="str">
        <f aca="false">IF($C472="","",IFERROR(INDEX(PRODUCTOS!$D$6:$D$105,MATCH($C472,PRODUCTOS!$A$6:$A$105,0)),0))</f>
        <v/>
      </c>
      <c r="G472" s="40"/>
      <c r="H472" s="35" t="str">
        <f aca="false">IF($C472="","",N($E472)*$F472-N($G472))</f>
        <v/>
      </c>
      <c r="I472" s="35" t="str">
        <f aca="false">IF($C472="","",$H472-$H472/(1+IFERROR(INDEX(PRODUCTOS!$E$6:$E$105,MATCH($C472,PRODUCTOS!$A$6:$A$105,0)),IVA_VENTAS)))</f>
        <v/>
      </c>
      <c r="J472" s="35" t="str">
        <f aca="false">IF($C472="","",$H472-$I472)</f>
        <v/>
      </c>
      <c r="K472" s="35" t="str">
        <f aca="false">IF($C472="","",N($E472)*IFERROR(INDEX(PRODUCTOS!$H$6:$H$105,MATCH($C472,PRODUCTOS!$A$6:$A$105,0)),0))</f>
        <v/>
      </c>
      <c r="L472" s="35" t="str">
        <f aca="false">IF($C472="","",$J472-$K472)</f>
        <v/>
      </c>
      <c r="M472" s="6"/>
      <c r="N472" s="6"/>
      <c r="O472" s="46" t="str">
        <f aca="false">IF($A472="","",DATE(YEAR($A472),MONTH($A472),1))</f>
        <v/>
      </c>
    </row>
    <row r="473" customFormat="false" ht="15" hidden="false" customHeight="false" outlineLevel="0" collapsed="false">
      <c r="A473" s="44"/>
      <c r="B473" s="6"/>
      <c r="C473" s="6"/>
      <c r="D473" s="8" t="str">
        <f aca="false">IF($C473="","",IFERROR(INDEX(PRODUCTOS!$B$6:$B$105,MATCH($C473,PRODUCTOS!$A$6:$A$105,0)),"¿Código?"))</f>
        <v/>
      </c>
      <c r="E473" s="42"/>
      <c r="F473" s="35" t="str">
        <f aca="false">IF($C473="","",IFERROR(INDEX(PRODUCTOS!$D$6:$D$105,MATCH($C473,PRODUCTOS!$A$6:$A$105,0)),0))</f>
        <v/>
      </c>
      <c r="G473" s="40"/>
      <c r="H473" s="35" t="str">
        <f aca="false">IF($C473="","",N($E473)*$F473-N($G473))</f>
        <v/>
      </c>
      <c r="I473" s="35" t="str">
        <f aca="false">IF($C473="","",$H473-$H473/(1+IFERROR(INDEX(PRODUCTOS!$E$6:$E$105,MATCH($C473,PRODUCTOS!$A$6:$A$105,0)),IVA_VENTAS)))</f>
        <v/>
      </c>
      <c r="J473" s="35" t="str">
        <f aca="false">IF($C473="","",$H473-$I473)</f>
        <v/>
      </c>
      <c r="K473" s="35" t="str">
        <f aca="false">IF($C473="","",N($E473)*IFERROR(INDEX(PRODUCTOS!$H$6:$H$105,MATCH($C473,PRODUCTOS!$A$6:$A$105,0)),0))</f>
        <v/>
      </c>
      <c r="L473" s="35" t="str">
        <f aca="false">IF($C473="","",$J473-$K473)</f>
        <v/>
      </c>
      <c r="M473" s="6"/>
      <c r="N473" s="6"/>
      <c r="O473" s="46" t="str">
        <f aca="false">IF($A473="","",DATE(YEAR($A473),MONTH($A473),1))</f>
        <v/>
      </c>
    </row>
    <row r="474" customFormat="false" ht="15" hidden="false" customHeight="false" outlineLevel="0" collapsed="false">
      <c r="A474" s="44"/>
      <c r="B474" s="6"/>
      <c r="C474" s="6"/>
      <c r="D474" s="8" t="str">
        <f aca="false">IF($C474="","",IFERROR(INDEX(PRODUCTOS!$B$6:$B$105,MATCH($C474,PRODUCTOS!$A$6:$A$105,0)),"¿Código?"))</f>
        <v/>
      </c>
      <c r="E474" s="42"/>
      <c r="F474" s="35" t="str">
        <f aca="false">IF($C474="","",IFERROR(INDEX(PRODUCTOS!$D$6:$D$105,MATCH($C474,PRODUCTOS!$A$6:$A$105,0)),0))</f>
        <v/>
      </c>
      <c r="G474" s="40"/>
      <c r="H474" s="35" t="str">
        <f aca="false">IF($C474="","",N($E474)*$F474-N($G474))</f>
        <v/>
      </c>
      <c r="I474" s="35" t="str">
        <f aca="false">IF($C474="","",$H474-$H474/(1+IFERROR(INDEX(PRODUCTOS!$E$6:$E$105,MATCH($C474,PRODUCTOS!$A$6:$A$105,0)),IVA_VENTAS)))</f>
        <v/>
      </c>
      <c r="J474" s="35" t="str">
        <f aca="false">IF($C474="","",$H474-$I474)</f>
        <v/>
      </c>
      <c r="K474" s="35" t="str">
        <f aca="false">IF($C474="","",N($E474)*IFERROR(INDEX(PRODUCTOS!$H$6:$H$105,MATCH($C474,PRODUCTOS!$A$6:$A$105,0)),0))</f>
        <v/>
      </c>
      <c r="L474" s="35" t="str">
        <f aca="false">IF($C474="","",$J474-$K474)</f>
        <v/>
      </c>
      <c r="M474" s="6"/>
      <c r="N474" s="6"/>
      <c r="O474" s="46" t="str">
        <f aca="false">IF($A474="","",DATE(YEAR($A474),MONTH($A474),1))</f>
        <v/>
      </c>
    </row>
    <row r="475" customFormat="false" ht="15" hidden="false" customHeight="false" outlineLevel="0" collapsed="false">
      <c r="A475" s="44"/>
      <c r="B475" s="6"/>
      <c r="C475" s="6"/>
      <c r="D475" s="8" t="str">
        <f aca="false">IF($C475="","",IFERROR(INDEX(PRODUCTOS!$B$6:$B$105,MATCH($C475,PRODUCTOS!$A$6:$A$105,0)),"¿Código?"))</f>
        <v/>
      </c>
      <c r="E475" s="42"/>
      <c r="F475" s="35" t="str">
        <f aca="false">IF($C475="","",IFERROR(INDEX(PRODUCTOS!$D$6:$D$105,MATCH($C475,PRODUCTOS!$A$6:$A$105,0)),0))</f>
        <v/>
      </c>
      <c r="G475" s="40"/>
      <c r="H475" s="35" t="str">
        <f aca="false">IF($C475="","",N($E475)*$F475-N($G475))</f>
        <v/>
      </c>
      <c r="I475" s="35" t="str">
        <f aca="false">IF($C475="","",$H475-$H475/(1+IFERROR(INDEX(PRODUCTOS!$E$6:$E$105,MATCH($C475,PRODUCTOS!$A$6:$A$105,0)),IVA_VENTAS)))</f>
        <v/>
      </c>
      <c r="J475" s="35" t="str">
        <f aca="false">IF($C475="","",$H475-$I475)</f>
        <v/>
      </c>
      <c r="K475" s="35" t="str">
        <f aca="false">IF($C475="","",N($E475)*IFERROR(INDEX(PRODUCTOS!$H$6:$H$105,MATCH($C475,PRODUCTOS!$A$6:$A$105,0)),0))</f>
        <v/>
      </c>
      <c r="L475" s="35" t="str">
        <f aca="false">IF($C475="","",$J475-$K475)</f>
        <v/>
      </c>
      <c r="M475" s="6"/>
      <c r="N475" s="6"/>
      <c r="O475" s="46" t="str">
        <f aca="false">IF($A475="","",DATE(YEAR($A475),MONTH($A475),1))</f>
        <v/>
      </c>
    </row>
    <row r="476" customFormat="false" ht="15" hidden="false" customHeight="false" outlineLevel="0" collapsed="false">
      <c r="A476" s="44"/>
      <c r="B476" s="6"/>
      <c r="C476" s="6"/>
      <c r="D476" s="8" t="str">
        <f aca="false">IF($C476="","",IFERROR(INDEX(PRODUCTOS!$B$6:$B$105,MATCH($C476,PRODUCTOS!$A$6:$A$105,0)),"¿Código?"))</f>
        <v/>
      </c>
      <c r="E476" s="42"/>
      <c r="F476" s="35" t="str">
        <f aca="false">IF($C476="","",IFERROR(INDEX(PRODUCTOS!$D$6:$D$105,MATCH($C476,PRODUCTOS!$A$6:$A$105,0)),0))</f>
        <v/>
      </c>
      <c r="G476" s="40"/>
      <c r="H476" s="35" t="str">
        <f aca="false">IF($C476="","",N($E476)*$F476-N($G476))</f>
        <v/>
      </c>
      <c r="I476" s="35" t="str">
        <f aca="false">IF($C476="","",$H476-$H476/(1+IFERROR(INDEX(PRODUCTOS!$E$6:$E$105,MATCH($C476,PRODUCTOS!$A$6:$A$105,0)),IVA_VENTAS)))</f>
        <v/>
      </c>
      <c r="J476" s="35" t="str">
        <f aca="false">IF($C476="","",$H476-$I476)</f>
        <v/>
      </c>
      <c r="K476" s="35" t="str">
        <f aca="false">IF($C476="","",N($E476)*IFERROR(INDEX(PRODUCTOS!$H$6:$H$105,MATCH($C476,PRODUCTOS!$A$6:$A$105,0)),0))</f>
        <v/>
      </c>
      <c r="L476" s="35" t="str">
        <f aca="false">IF($C476="","",$J476-$K476)</f>
        <v/>
      </c>
      <c r="M476" s="6"/>
      <c r="N476" s="6"/>
      <c r="O476" s="46" t="str">
        <f aca="false">IF($A476="","",DATE(YEAR($A476),MONTH($A476),1))</f>
        <v/>
      </c>
    </row>
    <row r="477" customFormat="false" ht="15" hidden="false" customHeight="false" outlineLevel="0" collapsed="false">
      <c r="A477" s="44"/>
      <c r="B477" s="6"/>
      <c r="C477" s="6"/>
      <c r="D477" s="8" t="str">
        <f aca="false">IF($C477="","",IFERROR(INDEX(PRODUCTOS!$B$6:$B$105,MATCH($C477,PRODUCTOS!$A$6:$A$105,0)),"¿Código?"))</f>
        <v/>
      </c>
      <c r="E477" s="42"/>
      <c r="F477" s="35" t="str">
        <f aca="false">IF($C477="","",IFERROR(INDEX(PRODUCTOS!$D$6:$D$105,MATCH($C477,PRODUCTOS!$A$6:$A$105,0)),0))</f>
        <v/>
      </c>
      <c r="G477" s="40"/>
      <c r="H477" s="35" t="str">
        <f aca="false">IF($C477="","",N($E477)*$F477-N($G477))</f>
        <v/>
      </c>
      <c r="I477" s="35" t="str">
        <f aca="false">IF($C477="","",$H477-$H477/(1+IFERROR(INDEX(PRODUCTOS!$E$6:$E$105,MATCH($C477,PRODUCTOS!$A$6:$A$105,0)),IVA_VENTAS)))</f>
        <v/>
      </c>
      <c r="J477" s="35" t="str">
        <f aca="false">IF($C477="","",$H477-$I477)</f>
        <v/>
      </c>
      <c r="K477" s="35" t="str">
        <f aca="false">IF($C477="","",N($E477)*IFERROR(INDEX(PRODUCTOS!$H$6:$H$105,MATCH($C477,PRODUCTOS!$A$6:$A$105,0)),0))</f>
        <v/>
      </c>
      <c r="L477" s="35" t="str">
        <f aca="false">IF($C477="","",$J477-$K477)</f>
        <v/>
      </c>
      <c r="M477" s="6"/>
      <c r="N477" s="6"/>
      <c r="O477" s="46" t="str">
        <f aca="false">IF($A477="","",DATE(YEAR($A477),MONTH($A477),1))</f>
        <v/>
      </c>
    </row>
    <row r="478" customFormat="false" ht="15" hidden="false" customHeight="false" outlineLevel="0" collapsed="false">
      <c r="A478" s="44"/>
      <c r="B478" s="6"/>
      <c r="C478" s="6"/>
      <c r="D478" s="8" t="str">
        <f aca="false">IF($C478="","",IFERROR(INDEX(PRODUCTOS!$B$6:$B$105,MATCH($C478,PRODUCTOS!$A$6:$A$105,0)),"¿Código?"))</f>
        <v/>
      </c>
      <c r="E478" s="42"/>
      <c r="F478" s="35" t="str">
        <f aca="false">IF($C478="","",IFERROR(INDEX(PRODUCTOS!$D$6:$D$105,MATCH($C478,PRODUCTOS!$A$6:$A$105,0)),0))</f>
        <v/>
      </c>
      <c r="G478" s="40"/>
      <c r="H478" s="35" t="str">
        <f aca="false">IF($C478="","",N($E478)*$F478-N($G478))</f>
        <v/>
      </c>
      <c r="I478" s="35" t="str">
        <f aca="false">IF($C478="","",$H478-$H478/(1+IFERROR(INDEX(PRODUCTOS!$E$6:$E$105,MATCH($C478,PRODUCTOS!$A$6:$A$105,0)),IVA_VENTAS)))</f>
        <v/>
      </c>
      <c r="J478" s="35" t="str">
        <f aca="false">IF($C478="","",$H478-$I478)</f>
        <v/>
      </c>
      <c r="K478" s="35" t="str">
        <f aca="false">IF($C478="","",N($E478)*IFERROR(INDEX(PRODUCTOS!$H$6:$H$105,MATCH($C478,PRODUCTOS!$A$6:$A$105,0)),0))</f>
        <v/>
      </c>
      <c r="L478" s="35" t="str">
        <f aca="false">IF($C478="","",$J478-$K478)</f>
        <v/>
      </c>
      <c r="M478" s="6"/>
      <c r="N478" s="6"/>
      <c r="O478" s="46" t="str">
        <f aca="false">IF($A478="","",DATE(YEAR($A478),MONTH($A478),1))</f>
        <v/>
      </c>
    </row>
    <row r="479" customFormat="false" ht="15" hidden="false" customHeight="false" outlineLevel="0" collapsed="false">
      <c r="A479" s="44"/>
      <c r="B479" s="6"/>
      <c r="C479" s="6"/>
      <c r="D479" s="8" t="str">
        <f aca="false">IF($C479="","",IFERROR(INDEX(PRODUCTOS!$B$6:$B$105,MATCH($C479,PRODUCTOS!$A$6:$A$105,0)),"¿Código?"))</f>
        <v/>
      </c>
      <c r="E479" s="42"/>
      <c r="F479" s="35" t="str">
        <f aca="false">IF($C479="","",IFERROR(INDEX(PRODUCTOS!$D$6:$D$105,MATCH($C479,PRODUCTOS!$A$6:$A$105,0)),0))</f>
        <v/>
      </c>
      <c r="G479" s="40"/>
      <c r="H479" s="35" t="str">
        <f aca="false">IF($C479="","",N($E479)*$F479-N($G479))</f>
        <v/>
      </c>
      <c r="I479" s="35" t="str">
        <f aca="false">IF($C479="","",$H479-$H479/(1+IFERROR(INDEX(PRODUCTOS!$E$6:$E$105,MATCH($C479,PRODUCTOS!$A$6:$A$105,0)),IVA_VENTAS)))</f>
        <v/>
      </c>
      <c r="J479" s="35" t="str">
        <f aca="false">IF($C479="","",$H479-$I479)</f>
        <v/>
      </c>
      <c r="K479" s="35" t="str">
        <f aca="false">IF($C479="","",N($E479)*IFERROR(INDEX(PRODUCTOS!$H$6:$H$105,MATCH($C479,PRODUCTOS!$A$6:$A$105,0)),0))</f>
        <v/>
      </c>
      <c r="L479" s="35" t="str">
        <f aca="false">IF($C479="","",$J479-$K479)</f>
        <v/>
      </c>
      <c r="M479" s="6"/>
      <c r="N479" s="6"/>
      <c r="O479" s="46" t="str">
        <f aca="false">IF($A479="","",DATE(YEAR($A479),MONTH($A479),1))</f>
        <v/>
      </c>
    </row>
    <row r="480" customFormat="false" ht="15" hidden="false" customHeight="false" outlineLevel="0" collapsed="false">
      <c r="A480" s="44"/>
      <c r="B480" s="6"/>
      <c r="C480" s="6"/>
      <c r="D480" s="8" t="str">
        <f aca="false">IF($C480="","",IFERROR(INDEX(PRODUCTOS!$B$6:$B$105,MATCH($C480,PRODUCTOS!$A$6:$A$105,0)),"¿Código?"))</f>
        <v/>
      </c>
      <c r="E480" s="42"/>
      <c r="F480" s="35" t="str">
        <f aca="false">IF($C480="","",IFERROR(INDEX(PRODUCTOS!$D$6:$D$105,MATCH($C480,PRODUCTOS!$A$6:$A$105,0)),0))</f>
        <v/>
      </c>
      <c r="G480" s="40"/>
      <c r="H480" s="35" t="str">
        <f aca="false">IF($C480="","",N($E480)*$F480-N($G480))</f>
        <v/>
      </c>
      <c r="I480" s="35" t="str">
        <f aca="false">IF($C480="","",$H480-$H480/(1+IFERROR(INDEX(PRODUCTOS!$E$6:$E$105,MATCH($C480,PRODUCTOS!$A$6:$A$105,0)),IVA_VENTAS)))</f>
        <v/>
      </c>
      <c r="J480" s="35" t="str">
        <f aca="false">IF($C480="","",$H480-$I480)</f>
        <v/>
      </c>
      <c r="K480" s="35" t="str">
        <f aca="false">IF($C480="","",N($E480)*IFERROR(INDEX(PRODUCTOS!$H$6:$H$105,MATCH($C480,PRODUCTOS!$A$6:$A$105,0)),0))</f>
        <v/>
      </c>
      <c r="L480" s="35" t="str">
        <f aca="false">IF($C480="","",$J480-$K480)</f>
        <v/>
      </c>
      <c r="M480" s="6"/>
      <c r="N480" s="6"/>
      <c r="O480" s="46" t="str">
        <f aca="false">IF($A480="","",DATE(YEAR($A480),MONTH($A480),1))</f>
        <v/>
      </c>
    </row>
    <row r="481" customFormat="false" ht="15" hidden="false" customHeight="false" outlineLevel="0" collapsed="false">
      <c r="A481" s="44"/>
      <c r="B481" s="6"/>
      <c r="C481" s="6"/>
      <c r="D481" s="8" t="str">
        <f aca="false">IF($C481="","",IFERROR(INDEX(PRODUCTOS!$B$6:$B$105,MATCH($C481,PRODUCTOS!$A$6:$A$105,0)),"¿Código?"))</f>
        <v/>
      </c>
      <c r="E481" s="42"/>
      <c r="F481" s="35" t="str">
        <f aca="false">IF($C481="","",IFERROR(INDEX(PRODUCTOS!$D$6:$D$105,MATCH($C481,PRODUCTOS!$A$6:$A$105,0)),0))</f>
        <v/>
      </c>
      <c r="G481" s="40"/>
      <c r="H481" s="35" t="str">
        <f aca="false">IF($C481="","",N($E481)*$F481-N($G481))</f>
        <v/>
      </c>
      <c r="I481" s="35" t="str">
        <f aca="false">IF($C481="","",$H481-$H481/(1+IFERROR(INDEX(PRODUCTOS!$E$6:$E$105,MATCH($C481,PRODUCTOS!$A$6:$A$105,0)),IVA_VENTAS)))</f>
        <v/>
      </c>
      <c r="J481" s="35" t="str">
        <f aca="false">IF($C481="","",$H481-$I481)</f>
        <v/>
      </c>
      <c r="K481" s="35" t="str">
        <f aca="false">IF($C481="","",N($E481)*IFERROR(INDEX(PRODUCTOS!$H$6:$H$105,MATCH($C481,PRODUCTOS!$A$6:$A$105,0)),0))</f>
        <v/>
      </c>
      <c r="L481" s="35" t="str">
        <f aca="false">IF($C481="","",$J481-$K481)</f>
        <v/>
      </c>
      <c r="M481" s="6"/>
      <c r="N481" s="6"/>
      <c r="O481" s="46" t="str">
        <f aca="false">IF($A481="","",DATE(YEAR($A481),MONTH($A481),1))</f>
        <v/>
      </c>
    </row>
    <row r="482" customFormat="false" ht="15" hidden="false" customHeight="false" outlineLevel="0" collapsed="false">
      <c r="A482" s="44"/>
      <c r="B482" s="6"/>
      <c r="C482" s="6"/>
      <c r="D482" s="8" t="str">
        <f aca="false">IF($C482="","",IFERROR(INDEX(PRODUCTOS!$B$6:$B$105,MATCH($C482,PRODUCTOS!$A$6:$A$105,0)),"¿Código?"))</f>
        <v/>
      </c>
      <c r="E482" s="42"/>
      <c r="F482" s="35" t="str">
        <f aca="false">IF($C482="","",IFERROR(INDEX(PRODUCTOS!$D$6:$D$105,MATCH($C482,PRODUCTOS!$A$6:$A$105,0)),0))</f>
        <v/>
      </c>
      <c r="G482" s="40"/>
      <c r="H482" s="35" t="str">
        <f aca="false">IF($C482="","",N($E482)*$F482-N($G482))</f>
        <v/>
      </c>
      <c r="I482" s="35" t="str">
        <f aca="false">IF($C482="","",$H482-$H482/(1+IFERROR(INDEX(PRODUCTOS!$E$6:$E$105,MATCH($C482,PRODUCTOS!$A$6:$A$105,0)),IVA_VENTAS)))</f>
        <v/>
      </c>
      <c r="J482" s="35" t="str">
        <f aca="false">IF($C482="","",$H482-$I482)</f>
        <v/>
      </c>
      <c r="K482" s="35" t="str">
        <f aca="false">IF($C482="","",N($E482)*IFERROR(INDEX(PRODUCTOS!$H$6:$H$105,MATCH($C482,PRODUCTOS!$A$6:$A$105,0)),0))</f>
        <v/>
      </c>
      <c r="L482" s="35" t="str">
        <f aca="false">IF($C482="","",$J482-$K482)</f>
        <v/>
      </c>
      <c r="M482" s="6"/>
      <c r="N482" s="6"/>
      <c r="O482" s="46" t="str">
        <f aca="false">IF($A482="","",DATE(YEAR($A482),MONTH($A482),1))</f>
        <v/>
      </c>
    </row>
    <row r="483" customFormat="false" ht="15" hidden="false" customHeight="false" outlineLevel="0" collapsed="false">
      <c r="A483" s="44"/>
      <c r="B483" s="6"/>
      <c r="C483" s="6"/>
      <c r="D483" s="8" t="str">
        <f aca="false">IF($C483="","",IFERROR(INDEX(PRODUCTOS!$B$6:$B$105,MATCH($C483,PRODUCTOS!$A$6:$A$105,0)),"¿Código?"))</f>
        <v/>
      </c>
      <c r="E483" s="42"/>
      <c r="F483" s="35" t="str">
        <f aca="false">IF($C483="","",IFERROR(INDEX(PRODUCTOS!$D$6:$D$105,MATCH($C483,PRODUCTOS!$A$6:$A$105,0)),0))</f>
        <v/>
      </c>
      <c r="G483" s="40"/>
      <c r="H483" s="35" t="str">
        <f aca="false">IF($C483="","",N($E483)*$F483-N($G483))</f>
        <v/>
      </c>
      <c r="I483" s="35" t="str">
        <f aca="false">IF($C483="","",$H483-$H483/(1+IFERROR(INDEX(PRODUCTOS!$E$6:$E$105,MATCH($C483,PRODUCTOS!$A$6:$A$105,0)),IVA_VENTAS)))</f>
        <v/>
      </c>
      <c r="J483" s="35" t="str">
        <f aca="false">IF($C483="","",$H483-$I483)</f>
        <v/>
      </c>
      <c r="K483" s="35" t="str">
        <f aca="false">IF($C483="","",N($E483)*IFERROR(INDEX(PRODUCTOS!$H$6:$H$105,MATCH($C483,PRODUCTOS!$A$6:$A$105,0)),0))</f>
        <v/>
      </c>
      <c r="L483" s="35" t="str">
        <f aca="false">IF($C483="","",$J483-$K483)</f>
        <v/>
      </c>
      <c r="M483" s="6"/>
      <c r="N483" s="6"/>
      <c r="O483" s="46" t="str">
        <f aca="false">IF($A483="","",DATE(YEAR($A483),MONTH($A483),1))</f>
        <v/>
      </c>
    </row>
    <row r="484" customFormat="false" ht="15" hidden="false" customHeight="false" outlineLevel="0" collapsed="false">
      <c r="A484" s="44"/>
      <c r="B484" s="6"/>
      <c r="C484" s="6"/>
      <c r="D484" s="8" t="str">
        <f aca="false">IF($C484="","",IFERROR(INDEX(PRODUCTOS!$B$6:$B$105,MATCH($C484,PRODUCTOS!$A$6:$A$105,0)),"¿Código?"))</f>
        <v/>
      </c>
      <c r="E484" s="42"/>
      <c r="F484" s="35" t="str">
        <f aca="false">IF($C484="","",IFERROR(INDEX(PRODUCTOS!$D$6:$D$105,MATCH($C484,PRODUCTOS!$A$6:$A$105,0)),0))</f>
        <v/>
      </c>
      <c r="G484" s="40"/>
      <c r="H484" s="35" t="str">
        <f aca="false">IF($C484="","",N($E484)*$F484-N($G484))</f>
        <v/>
      </c>
      <c r="I484" s="35" t="str">
        <f aca="false">IF($C484="","",$H484-$H484/(1+IFERROR(INDEX(PRODUCTOS!$E$6:$E$105,MATCH($C484,PRODUCTOS!$A$6:$A$105,0)),IVA_VENTAS)))</f>
        <v/>
      </c>
      <c r="J484" s="35" t="str">
        <f aca="false">IF($C484="","",$H484-$I484)</f>
        <v/>
      </c>
      <c r="K484" s="35" t="str">
        <f aca="false">IF($C484="","",N($E484)*IFERROR(INDEX(PRODUCTOS!$H$6:$H$105,MATCH($C484,PRODUCTOS!$A$6:$A$105,0)),0))</f>
        <v/>
      </c>
      <c r="L484" s="35" t="str">
        <f aca="false">IF($C484="","",$J484-$K484)</f>
        <v/>
      </c>
      <c r="M484" s="6"/>
      <c r="N484" s="6"/>
      <c r="O484" s="46" t="str">
        <f aca="false">IF($A484="","",DATE(YEAR($A484),MONTH($A484),1))</f>
        <v/>
      </c>
    </row>
    <row r="485" customFormat="false" ht="15" hidden="false" customHeight="false" outlineLevel="0" collapsed="false">
      <c r="A485" s="44"/>
      <c r="B485" s="6"/>
      <c r="C485" s="6"/>
      <c r="D485" s="8" t="str">
        <f aca="false">IF($C485="","",IFERROR(INDEX(PRODUCTOS!$B$6:$B$105,MATCH($C485,PRODUCTOS!$A$6:$A$105,0)),"¿Código?"))</f>
        <v/>
      </c>
      <c r="E485" s="42"/>
      <c r="F485" s="35" t="str">
        <f aca="false">IF($C485="","",IFERROR(INDEX(PRODUCTOS!$D$6:$D$105,MATCH($C485,PRODUCTOS!$A$6:$A$105,0)),0))</f>
        <v/>
      </c>
      <c r="G485" s="40"/>
      <c r="H485" s="35" t="str">
        <f aca="false">IF($C485="","",N($E485)*$F485-N($G485))</f>
        <v/>
      </c>
      <c r="I485" s="35" t="str">
        <f aca="false">IF($C485="","",$H485-$H485/(1+IFERROR(INDEX(PRODUCTOS!$E$6:$E$105,MATCH($C485,PRODUCTOS!$A$6:$A$105,0)),IVA_VENTAS)))</f>
        <v/>
      </c>
      <c r="J485" s="35" t="str">
        <f aca="false">IF($C485="","",$H485-$I485)</f>
        <v/>
      </c>
      <c r="K485" s="35" t="str">
        <f aca="false">IF($C485="","",N($E485)*IFERROR(INDEX(PRODUCTOS!$H$6:$H$105,MATCH($C485,PRODUCTOS!$A$6:$A$105,0)),0))</f>
        <v/>
      </c>
      <c r="L485" s="35" t="str">
        <f aca="false">IF($C485="","",$J485-$K485)</f>
        <v/>
      </c>
      <c r="M485" s="6"/>
      <c r="N485" s="6"/>
      <c r="O485" s="46" t="str">
        <f aca="false">IF($A485="","",DATE(YEAR($A485),MONTH($A485),1))</f>
        <v/>
      </c>
    </row>
    <row r="486" customFormat="false" ht="15" hidden="false" customHeight="false" outlineLevel="0" collapsed="false">
      <c r="A486" s="44"/>
      <c r="B486" s="6"/>
      <c r="C486" s="6"/>
      <c r="D486" s="8" t="str">
        <f aca="false">IF($C486="","",IFERROR(INDEX(PRODUCTOS!$B$6:$B$105,MATCH($C486,PRODUCTOS!$A$6:$A$105,0)),"¿Código?"))</f>
        <v/>
      </c>
      <c r="E486" s="42"/>
      <c r="F486" s="35" t="str">
        <f aca="false">IF($C486="","",IFERROR(INDEX(PRODUCTOS!$D$6:$D$105,MATCH($C486,PRODUCTOS!$A$6:$A$105,0)),0))</f>
        <v/>
      </c>
      <c r="G486" s="40"/>
      <c r="H486" s="35" t="str">
        <f aca="false">IF($C486="","",N($E486)*$F486-N($G486))</f>
        <v/>
      </c>
      <c r="I486" s="35" t="str">
        <f aca="false">IF($C486="","",$H486-$H486/(1+IFERROR(INDEX(PRODUCTOS!$E$6:$E$105,MATCH($C486,PRODUCTOS!$A$6:$A$105,0)),IVA_VENTAS)))</f>
        <v/>
      </c>
      <c r="J486" s="35" t="str">
        <f aca="false">IF($C486="","",$H486-$I486)</f>
        <v/>
      </c>
      <c r="K486" s="35" t="str">
        <f aca="false">IF($C486="","",N($E486)*IFERROR(INDEX(PRODUCTOS!$H$6:$H$105,MATCH($C486,PRODUCTOS!$A$6:$A$105,0)),0))</f>
        <v/>
      </c>
      <c r="L486" s="35" t="str">
        <f aca="false">IF($C486="","",$J486-$K486)</f>
        <v/>
      </c>
      <c r="M486" s="6"/>
      <c r="N486" s="6"/>
      <c r="O486" s="46" t="str">
        <f aca="false">IF($A486="","",DATE(YEAR($A486),MONTH($A486),1))</f>
        <v/>
      </c>
    </row>
    <row r="487" customFormat="false" ht="15" hidden="false" customHeight="false" outlineLevel="0" collapsed="false">
      <c r="A487" s="44"/>
      <c r="B487" s="6"/>
      <c r="C487" s="6"/>
      <c r="D487" s="8" t="str">
        <f aca="false">IF($C487="","",IFERROR(INDEX(PRODUCTOS!$B$6:$B$105,MATCH($C487,PRODUCTOS!$A$6:$A$105,0)),"¿Código?"))</f>
        <v/>
      </c>
      <c r="E487" s="42"/>
      <c r="F487" s="35" t="str">
        <f aca="false">IF($C487="","",IFERROR(INDEX(PRODUCTOS!$D$6:$D$105,MATCH($C487,PRODUCTOS!$A$6:$A$105,0)),0))</f>
        <v/>
      </c>
      <c r="G487" s="40"/>
      <c r="H487" s="35" t="str">
        <f aca="false">IF($C487="","",N($E487)*$F487-N($G487))</f>
        <v/>
      </c>
      <c r="I487" s="35" t="str">
        <f aca="false">IF($C487="","",$H487-$H487/(1+IFERROR(INDEX(PRODUCTOS!$E$6:$E$105,MATCH($C487,PRODUCTOS!$A$6:$A$105,0)),IVA_VENTAS)))</f>
        <v/>
      </c>
      <c r="J487" s="35" t="str">
        <f aca="false">IF($C487="","",$H487-$I487)</f>
        <v/>
      </c>
      <c r="K487" s="35" t="str">
        <f aca="false">IF($C487="","",N($E487)*IFERROR(INDEX(PRODUCTOS!$H$6:$H$105,MATCH($C487,PRODUCTOS!$A$6:$A$105,0)),0))</f>
        <v/>
      </c>
      <c r="L487" s="35" t="str">
        <f aca="false">IF($C487="","",$J487-$K487)</f>
        <v/>
      </c>
      <c r="M487" s="6"/>
      <c r="N487" s="6"/>
      <c r="O487" s="46" t="str">
        <f aca="false">IF($A487="","",DATE(YEAR($A487),MONTH($A487),1))</f>
        <v/>
      </c>
    </row>
    <row r="488" customFormat="false" ht="15" hidden="false" customHeight="false" outlineLevel="0" collapsed="false">
      <c r="A488" s="44"/>
      <c r="B488" s="6"/>
      <c r="C488" s="6"/>
      <c r="D488" s="8" t="str">
        <f aca="false">IF($C488="","",IFERROR(INDEX(PRODUCTOS!$B$6:$B$105,MATCH($C488,PRODUCTOS!$A$6:$A$105,0)),"¿Código?"))</f>
        <v/>
      </c>
      <c r="E488" s="42"/>
      <c r="F488" s="35" t="str">
        <f aca="false">IF($C488="","",IFERROR(INDEX(PRODUCTOS!$D$6:$D$105,MATCH($C488,PRODUCTOS!$A$6:$A$105,0)),0))</f>
        <v/>
      </c>
      <c r="G488" s="40"/>
      <c r="H488" s="35" t="str">
        <f aca="false">IF($C488="","",N($E488)*$F488-N($G488))</f>
        <v/>
      </c>
      <c r="I488" s="35" t="str">
        <f aca="false">IF($C488="","",$H488-$H488/(1+IFERROR(INDEX(PRODUCTOS!$E$6:$E$105,MATCH($C488,PRODUCTOS!$A$6:$A$105,0)),IVA_VENTAS)))</f>
        <v/>
      </c>
      <c r="J488" s="35" t="str">
        <f aca="false">IF($C488="","",$H488-$I488)</f>
        <v/>
      </c>
      <c r="K488" s="35" t="str">
        <f aca="false">IF($C488="","",N($E488)*IFERROR(INDEX(PRODUCTOS!$H$6:$H$105,MATCH($C488,PRODUCTOS!$A$6:$A$105,0)),0))</f>
        <v/>
      </c>
      <c r="L488" s="35" t="str">
        <f aca="false">IF($C488="","",$J488-$K488)</f>
        <v/>
      </c>
      <c r="M488" s="6"/>
      <c r="N488" s="6"/>
      <c r="O488" s="46" t="str">
        <f aca="false">IF($A488="","",DATE(YEAR($A488),MONTH($A488),1))</f>
        <v/>
      </c>
    </row>
    <row r="489" customFormat="false" ht="15" hidden="false" customHeight="false" outlineLevel="0" collapsed="false">
      <c r="A489" s="44"/>
      <c r="B489" s="6"/>
      <c r="C489" s="6"/>
      <c r="D489" s="8" t="str">
        <f aca="false">IF($C489="","",IFERROR(INDEX(PRODUCTOS!$B$6:$B$105,MATCH($C489,PRODUCTOS!$A$6:$A$105,0)),"¿Código?"))</f>
        <v/>
      </c>
      <c r="E489" s="42"/>
      <c r="F489" s="35" t="str">
        <f aca="false">IF($C489="","",IFERROR(INDEX(PRODUCTOS!$D$6:$D$105,MATCH($C489,PRODUCTOS!$A$6:$A$105,0)),0))</f>
        <v/>
      </c>
      <c r="G489" s="40"/>
      <c r="H489" s="35" t="str">
        <f aca="false">IF($C489="","",N($E489)*$F489-N($G489))</f>
        <v/>
      </c>
      <c r="I489" s="35" t="str">
        <f aca="false">IF($C489="","",$H489-$H489/(1+IFERROR(INDEX(PRODUCTOS!$E$6:$E$105,MATCH($C489,PRODUCTOS!$A$6:$A$105,0)),IVA_VENTAS)))</f>
        <v/>
      </c>
      <c r="J489" s="35" t="str">
        <f aca="false">IF($C489="","",$H489-$I489)</f>
        <v/>
      </c>
      <c r="K489" s="35" t="str">
        <f aca="false">IF($C489="","",N($E489)*IFERROR(INDEX(PRODUCTOS!$H$6:$H$105,MATCH($C489,PRODUCTOS!$A$6:$A$105,0)),0))</f>
        <v/>
      </c>
      <c r="L489" s="35" t="str">
        <f aca="false">IF($C489="","",$J489-$K489)</f>
        <v/>
      </c>
      <c r="M489" s="6"/>
      <c r="N489" s="6"/>
      <c r="O489" s="46" t="str">
        <f aca="false">IF($A489="","",DATE(YEAR($A489),MONTH($A489),1))</f>
        <v/>
      </c>
    </row>
    <row r="490" customFormat="false" ht="15" hidden="false" customHeight="false" outlineLevel="0" collapsed="false">
      <c r="A490" s="44"/>
      <c r="B490" s="6"/>
      <c r="C490" s="6"/>
      <c r="D490" s="8" t="str">
        <f aca="false">IF($C490="","",IFERROR(INDEX(PRODUCTOS!$B$6:$B$105,MATCH($C490,PRODUCTOS!$A$6:$A$105,0)),"¿Código?"))</f>
        <v/>
      </c>
      <c r="E490" s="42"/>
      <c r="F490" s="35" t="str">
        <f aca="false">IF($C490="","",IFERROR(INDEX(PRODUCTOS!$D$6:$D$105,MATCH($C490,PRODUCTOS!$A$6:$A$105,0)),0))</f>
        <v/>
      </c>
      <c r="G490" s="40"/>
      <c r="H490" s="35" t="str">
        <f aca="false">IF($C490="","",N($E490)*$F490-N($G490))</f>
        <v/>
      </c>
      <c r="I490" s="35" t="str">
        <f aca="false">IF($C490="","",$H490-$H490/(1+IFERROR(INDEX(PRODUCTOS!$E$6:$E$105,MATCH($C490,PRODUCTOS!$A$6:$A$105,0)),IVA_VENTAS)))</f>
        <v/>
      </c>
      <c r="J490" s="35" t="str">
        <f aca="false">IF($C490="","",$H490-$I490)</f>
        <v/>
      </c>
      <c r="K490" s="35" t="str">
        <f aca="false">IF($C490="","",N($E490)*IFERROR(INDEX(PRODUCTOS!$H$6:$H$105,MATCH($C490,PRODUCTOS!$A$6:$A$105,0)),0))</f>
        <v/>
      </c>
      <c r="L490" s="35" t="str">
        <f aca="false">IF($C490="","",$J490-$K490)</f>
        <v/>
      </c>
      <c r="M490" s="6"/>
      <c r="N490" s="6"/>
      <c r="O490" s="46" t="str">
        <f aca="false">IF($A490="","",DATE(YEAR($A490),MONTH($A490),1))</f>
        <v/>
      </c>
    </row>
    <row r="491" customFormat="false" ht="15" hidden="false" customHeight="false" outlineLevel="0" collapsed="false">
      <c r="A491" s="44"/>
      <c r="B491" s="6"/>
      <c r="C491" s="6"/>
      <c r="D491" s="8" t="str">
        <f aca="false">IF($C491="","",IFERROR(INDEX(PRODUCTOS!$B$6:$B$105,MATCH($C491,PRODUCTOS!$A$6:$A$105,0)),"¿Código?"))</f>
        <v/>
      </c>
      <c r="E491" s="42"/>
      <c r="F491" s="35" t="str">
        <f aca="false">IF($C491="","",IFERROR(INDEX(PRODUCTOS!$D$6:$D$105,MATCH($C491,PRODUCTOS!$A$6:$A$105,0)),0))</f>
        <v/>
      </c>
      <c r="G491" s="40"/>
      <c r="H491" s="35" t="str">
        <f aca="false">IF($C491="","",N($E491)*$F491-N($G491))</f>
        <v/>
      </c>
      <c r="I491" s="35" t="str">
        <f aca="false">IF($C491="","",$H491-$H491/(1+IFERROR(INDEX(PRODUCTOS!$E$6:$E$105,MATCH($C491,PRODUCTOS!$A$6:$A$105,0)),IVA_VENTAS)))</f>
        <v/>
      </c>
      <c r="J491" s="35" t="str">
        <f aca="false">IF($C491="","",$H491-$I491)</f>
        <v/>
      </c>
      <c r="K491" s="35" t="str">
        <f aca="false">IF($C491="","",N($E491)*IFERROR(INDEX(PRODUCTOS!$H$6:$H$105,MATCH($C491,PRODUCTOS!$A$6:$A$105,0)),0))</f>
        <v/>
      </c>
      <c r="L491" s="35" t="str">
        <f aca="false">IF($C491="","",$J491-$K491)</f>
        <v/>
      </c>
      <c r="M491" s="6"/>
      <c r="N491" s="6"/>
      <c r="O491" s="46" t="str">
        <f aca="false">IF($A491="","",DATE(YEAR($A491),MONTH($A491),1))</f>
        <v/>
      </c>
    </row>
    <row r="492" customFormat="false" ht="15" hidden="false" customHeight="false" outlineLevel="0" collapsed="false">
      <c r="A492" s="44"/>
      <c r="B492" s="6"/>
      <c r="C492" s="6"/>
      <c r="D492" s="8" t="str">
        <f aca="false">IF($C492="","",IFERROR(INDEX(PRODUCTOS!$B$6:$B$105,MATCH($C492,PRODUCTOS!$A$6:$A$105,0)),"¿Código?"))</f>
        <v/>
      </c>
      <c r="E492" s="42"/>
      <c r="F492" s="35" t="str">
        <f aca="false">IF($C492="","",IFERROR(INDEX(PRODUCTOS!$D$6:$D$105,MATCH($C492,PRODUCTOS!$A$6:$A$105,0)),0))</f>
        <v/>
      </c>
      <c r="G492" s="40"/>
      <c r="H492" s="35" t="str">
        <f aca="false">IF($C492="","",N($E492)*$F492-N($G492))</f>
        <v/>
      </c>
      <c r="I492" s="35" t="str">
        <f aca="false">IF($C492="","",$H492-$H492/(1+IFERROR(INDEX(PRODUCTOS!$E$6:$E$105,MATCH($C492,PRODUCTOS!$A$6:$A$105,0)),IVA_VENTAS)))</f>
        <v/>
      </c>
      <c r="J492" s="35" t="str">
        <f aca="false">IF($C492="","",$H492-$I492)</f>
        <v/>
      </c>
      <c r="K492" s="35" t="str">
        <f aca="false">IF($C492="","",N($E492)*IFERROR(INDEX(PRODUCTOS!$H$6:$H$105,MATCH($C492,PRODUCTOS!$A$6:$A$105,0)),0))</f>
        <v/>
      </c>
      <c r="L492" s="35" t="str">
        <f aca="false">IF($C492="","",$J492-$K492)</f>
        <v/>
      </c>
      <c r="M492" s="6"/>
      <c r="N492" s="6"/>
      <c r="O492" s="46" t="str">
        <f aca="false">IF($A492="","",DATE(YEAR($A492),MONTH($A492),1))</f>
        <v/>
      </c>
    </row>
    <row r="493" customFormat="false" ht="15" hidden="false" customHeight="false" outlineLevel="0" collapsed="false">
      <c r="A493" s="44"/>
      <c r="B493" s="6"/>
      <c r="C493" s="6"/>
      <c r="D493" s="8" t="str">
        <f aca="false">IF($C493="","",IFERROR(INDEX(PRODUCTOS!$B$6:$B$105,MATCH($C493,PRODUCTOS!$A$6:$A$105,0)),"¿Código?"))</f>
        <v/>
      </c>
      <c r="E493" s="42"/>
      <c r="F493" s="35" t="str">
        <f aca="false">IF($C493="","",IFERROR(INDEX(PRODUCTOS!$D$6:$D$105,MATCH($C493,PRODUCTOS!$A$6:$A$105,0)),0))</f>
        <v/>
      </c>
      <c r="G493" s="40"/>
      <c r="H493" s="35" t="str">
        <f aca="false">IF($C493="","",N($E493)*$F493-N($G493))</f>
        <v/>
      </c>
      <c r="I493" s="35" t="str">
        <f aca="false">IF($C493="","",$H493-$H493/(1+IFERROR(INDEX(PRODUCTOS!$E$6:$E$105,MATCH($C493,PRODUCTOS!$A$6:$A$105,0)),IVA_VENTAS)))</f>
        <v/>
      </c>
      <c r="J493" s="35" t="str">
        <f aca="false">IF($C493="","",$H493-$I493)</f>
        <v/>
      </c>
      <c r="K493" s="35" t="str">
        <f aca="false">IF($C493="","",N($E493)*IFERROR(INDEX(PRODUCTOS!$H$6:$H$105,MATCH($C493,PRODUCTOS!$A$6:$A$105,0)),0))</f>
        <v/>
      </c>
      <c r="L493" s="35" t="str">
        <f aca="false">IF($C493="","",$J493-$K493)</f>
        <v/>
      </c>
      <c r="M493" s="6"/>
      <c r="N493" s="6"/>
      <c r="O493" s="46" t="str">
        <f aca="false">IF($A493="","",DATE(YEAR($A493),MONTH($A493),1))</f>
        <v/>
      </c>
    </row>
    <row r="494" customFormat="false" ht="15" hidden="false" customHeight="false" outlineLevel="0" collapsed="false">
      <c r="A494" s="44"/>
      <c r="B494" s="6"/>
      <c r="C494" s="6"/>
      <c r="D494" s="8" t="str">
        <f aca="false">IF($C494="","",IFERROR(INDEX(PRODUCTOS!$B$6:$B$105,MATCH($C494,PRODUCTOS!$A$6:$A$105,0)),"¿Código?"))</f>
        <v/>
      </c>
      <c r="E494" s="42"/>
      <c r="F494" s="35" t="str">
        <f aca="false">IF($C494="","",IFERROR(INDEX(PRODUCTOS!$D$6:$D$105,MATCH($C494,PRODUCTOS!$A$6:$A$105,0)),0))</f>
        <v/>
      </c>
      <c r="G494" s="40"/>
      <c r="H494" s="35" t="str">
        <f aca="false">IF($C494="","",N($E494)*$F494-N($G494))</f>
        <v/>
      </c>
      <c r="I494" s="35" t="str">
        <f aca="false">IF($C494="","",$H494-$H494/(1+IFERROR(INDEX(PRODUCTOS!$E$6:$E$105,MATCH($C494,PRODUCTOS!$A$6:$A$105,0)),IVA_VENTAS)))</f>
        <v/>
      </c>
      <c r="J494" s="35" t="str">
        <f aca="false">IF($C494="","",$H494-$I494)</f>
        <v/>
      </c>
      <c r="K494" s="35" t="str">
        <f aca="false">IF($C494="","",N($E494)*IFERROR(INDEX(PRODUCTOS!$H$6:$H$105,MATCH($C494,PRODUCTOS!$A$6:$A$105,0)),0))</f>
        <v/>
      </c>
      <c r="L494" s="35" t="str">
        <f aca="false">IF($C494="","",$J494-$K494)</f>
        <v/>
      </c>
      <c r="M494" s="6"/>
      <c r="N494" s="6"/>
      <c r="O494" s="46" t="str">
        <f aca="false">IF($A494="","",DATE(YEAR($A494),MONTH($A494),1))</f>
        <v/>
      </c>
    </row>
    <row r="495" customFormat="false" ht="15" hidden="false" customHeight="false" outlineLevel="0" collapsed="false">
      <c r="A495" s="44"/>
      <c r="B495" s="6"/>
      <c r="C495" s="6"/>
      <c r="D495" s="8" t="str">
        <f aca="false">IF($C495="","",IFERROR(INDEX(PRODUCTOS!$B$6:$B$105,MATCH($C495,PRODUCTOS!$A$6:$A$105,0)),"¿Código?"))</f>
        <v/>
      </c>
      <c r="E495" s="42"/>
      <c r="F495" s="35" t="str">
        <f aca="false">IF($C495="","",IFERROR(INDEX(PRODUCTOS!$D$6:$D$105,MATCH($C495,PRODUCTOS!$A$6:$A$105,0)),0))</f>
        <v/>
      </c>
      <c r="G495" s="40"/>
      <c r="H495" s="35" t="str">
        <f aca="false">IF($C495="","",N($E495)*$F495-N($G495))</f>
        <v/>
      </c>
      <c r="I495" s="35" t="str">
        <f aca="false">IF($C495="","",$H495-$H495/(1+IFERROR(INDEX(PRODUCTOS!$E$6:$E$105,MATCH($C495,PRODUCTOS!$A$6:$A$105,0)),IVA_VENTAS)))</f>
        <v/>
      </c>
      <c r="J495" s="35" t="str">
        <f aca="false">IF($C495="","",$H495-$I495)</f>
        <v/>
      </c>
      <c r="K495" s="35" t="str">
        <f aca="false">IF($C495="","",N($E495)*IFERROR(INDEX(PRODUCTOS!$H$6:$H$105,MATCH($C495,PRODUCTOS!$A$6:$A$105,0)),0))</f>
        <v/>
      </c>
      <c r="L495" s="35" t="str">
        <f aca="false">IF($C495="","",$J495-$K495)</f>
        <v/>
      </c>
      <c r="M495" s="6"/>
      <c r="N495" s="6"/>
      <c r="O495" s="46" t="str">
        <f aca="false">IF($A495="","",DATE(YEAR($A495),MONTH($A495),1))</f>
        <v/>
      </c>
    </row>
    <row r="496" customFormat="false" ht="15" hidden="false" customHeight="false" outlineLevel="0" collapsed="false">
      <c r="A496" s="44"/>
      <c r="B496" s="6"/>
      <c r="C496" s="6"/>
      <c r="D496" s="8" t="str">
        <f aca="false">IF($C496="","",IFERROR(INDEX(PRODUCTOS!$B$6:$B$105,MATCH($C496,PRODUCTOS!$A$6:$A$105,0)),"¿Código?"))</f>
        <v/>
      </c>
      <c r="E496" s="42"/>
      <c r="F496" s="35" t="str">
        <f aca="false">IF($C496="","",IFERROR(INDEX(PRODUCTOS!$D$6:$D$105,MATCH($C496,PRODUCTOS!$A$6:$A$105,0)),0))</f>
        <v/>
      </c>
      <c r="G496" s="40"/>
      <c r="H496" s="35" t="str">
        <f aca="false">IF($C496="","",N($E496)*$F496-N($G496))</f>
        <v/>
      </c>
      <c r="I496" s="35" t="str">
        <f aca="false">IF($C496="","",$H496-$H496/(1+IFERROR(INDEX(PRODUCTOS!$E$6:$E$105,MATCH($C496,PRODUCTOS!$A$6:$A$105,0)),IVA_VENTAS)))</f>
        <v/>
      </c>
      <c r="J496" s="35" t="str">
        <f aca="false">IF($C496="","",$H496-$I496)</f>
        <v/>
      </c>
      <c r="K496" s="35" t="str">
        <f aca="false">IF($C496="","",N($E496)*IFERROR(INDEX(PRODUCTOS!$H$6:$H$105,MATCH($C496,PRODUCTOS!$A$6:$A$105,0)),0))</f>
        <v/>
      </c>
      <c r="L496" s="35" t="str">
        <f aca="false">IF($C496="","",$J496-$K496)</f>
        <v/>
      </c>
      <c r="M496" s="6"/>
      <c r="N496" s="6"/>
      <c r="O496" s="46" t="str">
        <f aca="false">IF($A496="","",DATE(YEAR($A496),MONTH($A496),1))</f>
        <v/>
      </c>
    </row>
    <row r="497" customFormat="false" ht="15" hidden="false" customHeight="false" outlineLevel="0" collapsed="false">
      <c r="A497" s="44"/>
      <c r="B497" s="6"/>
      <c r="C497" s="6"/>
      <c r="D497" s="8" t="str">
        <f aca="false">IF($C497="","",IFERROR(INDEX(PRODUCTOS!$B$6:$B$105,MATCH($C497,PRODUCTOS!$A$6:$A$105,0)),"¿Código?"))</f>
        <v/>
      </c>
      <c r="E497" s="42"/>
      <c r="F497" s="35" t="str">
        <f aca="false">IF($C497="","",IFERROR(INDEX(PRODUCTOS!$D$6:$D$105,MATCH($C497,PRODUCTOS!$A$6:$A$105,0)),0))</f>
        <v/>
      </c>
      <c r="G497" s="40"/>
      <c r="H497" s="35" t="str">
        <f aca="false">IF($C497="","",N($E497)*$F497-N($G497))</f>
        <v/>
      </c>
      <c r="I497" s="35" t="str">
        <f aca="false">IF($C497="","",$H497-$H497/(1+IFERROR(INDEX(PRODUCTOS!$E$6:$E$105,MATCH($C497,PRODUCTOS!$A$6:$A$105,0)),IVA_VENTAS)))</f>
        <v/>
      </c>
      <c r="J497" s="35" t="str">
        <f aca="false">IF($C497="","",$H497-$I497)</f>
        <v/>
      </c>
      <c r="K497" s="35" t="str">
        <f aca="false">IF($C497="","",N($E497)*IFERROR(INDEX(PRODUCTOS!$H$6:$H$105,MATCH($C497,PRODUCTOS!$A$6:$A$105,0)),0))</f>
        <v/>
      </c>
      <c r="L497" s="35" t="str">
        <f aca="false">IF($C497="","",$J497-$K497)</f>
        <v/>
      </c>
      <c r="M497" s="6"/>
      <c r="N497" s="6"/>
      <c r="O497" s="46" t="str">
        <f aca="false">IF($A497="","",DATE(YEAR($A497),MONTH($A497),1))</f>
        <v/>
      </c>
    </row>
    <row r="498" customFormat="false" ht="15" hidden="false" customHeight="false" outlineLevel="0" collapsed="false">
      <c r="A498" s="44"/>
      <c r="B498" s="6"/>
      <c r="C498" s="6"/>
      <c r="D498" s="8" t="str">
        <f aca="false">IF($C498="","",IFERROR(INDEX(PRODUCTOS!$B$6:$B$105,MATCH($C498,PRODUCTOS!$A$6:$A$105,0)),"¿Código?"))</f>
        <v/>
      </c>
      <c r="E498" s="42"/>
      <c r="F498" s="35" t="str">
        <f aca="false">IF($C498="","",IFERROR(INDEX(PRODUCTOS!$D$6:$D$105,MATCH($C498,PRODUCTOS!$A$6:$A$105,0)),0))</f>
        <v/>
      </c>
      <c r="G498" s="40"/>
      <c r="H498" s="35" t="str">
        <f aca="false">IF($C498="","",N($E498)*$F498-N($G498))</f>
        <v/>
      </c>
      <c r="I498" s="35" t="str">
        <f aca="false">IF($C498="","",$H498-$H498/(1+IFERROR(INDEX(PRODUCTOS!$E$6:$E$105,MATCH($C498,PRODUCTOS!$A$6:$A$105,0)),IVA_VENTAS)))</f>
        <v/>
      </c>
      <c r="J498" s="35" t="str">
        <f aca="false">IF($C498="","",$H498-$I498)</f>
        <v/>
      </c>
      <c r="K498" s="35" t="str">
        <f aca="false">IF($C498="","",N($E498)*IFERROR(INDEX(PRODUCTOS!$H$6:$H$105,MATCH($C498,PRODUCTOS!$A$6:$A$105,0)),0))</f>
        <v/>
      </c>
      <c r="L498" s="35" t="str">
        <f aca="false">IF($C498="","",$J498-$K498)</f>
        <v/>
      </c>
      <c r="M498" s="6"/>
      <c r="N498" s="6"/>
      <c r="O498" s="46" t="str">
        <f aca="false">IF($A498="","",DATE(YEAR($A498),MONTH($A498),1))</f>
        <v/>
      </c>
    </row>
    <row r="499" customFormat="false" ht="15" hidden="false" customHeight="false" outlineLevel="0" collapsed="false">
      <c r="A499" s="44"/>
      <c r="B499" s="6"/>
      <c r="C499" s="6"/>
      <c r="D499" s="8" t="str">
        <f aca="false">IF($C499="","",IFERROR(INDEX(PRODUCTOS!$B$6:$B$105,MATCH($C499,PRODUCTOS!$A$6:$A$105,0)),"¿Código?"))</f>
        <v/>
      </c>
      <c r="E499" s="42"/>
      <c r="F499" s="35" t="str">
        <f aca="false">IF($C499="","",IFERROR(INDEX(PRODUCTOS!$D$6:$D$105,MATCH($C499,PRODUCTOS!$A$6:$A$105,0)),0))</f>
        <v/>
      </c>
      <c r="G499" s="40"/>
      <c r="H499" s="35" t="str">
        <f aca="false">IF($C499="","",N($E499)*$F499-N($G499))</f>
        <v/>
      </c>
      <c r="I499" s="35" t="str">
        <f aca="false">IF($C499="","",$H499-$H499/(1+IFERROR(INDEX(PRODUCTOS!$E$6:$E$105,MATCH($C499,PRODUCTOS!$A$6:$A$105,0)),IVA_VENTAS)))</f>
        <v/>
      </c>
      <c r="J499" s="35" t="str">
        <f aca="false">IF($C499="","",$H499-$I499)</f>
        <v/>
      </c>
      <c r="K499" s="35" t="str">
        <f aca="false">IF($C499="","",N($E499)*IFERROR(INDEX(PRODUCTOS!$H$6:$H$105,MATCH($C499,PRODUCTOS!$A$6:$A$105,0)),0))</f>
        <v/>
      </c>
      <c r="L499" s="35" t="str">
        <f aca="false">IF($C499="","",$J499-$K499)</f>
        <v/>
      </c>
      <c r="M499" s="6"/>
      <c r="N499" s="6"/>
      <c r="O499" s="46" t="str">
        <f aca="false">IF($A499="","",DATE(YEAR($A499),MONTH($A499),1))</f>
        <v/>
      </c>
    </row>
    <row r="500" customFormat="false" ht="15" hidden="false" customHeight="false" outlineLevel="0" collapsed="false">
      <c r="A500" s="44"/>
      <c r="B500" s="6"/>
      <c r="C500" s="6"/>
      <c r="D500" s="8" t="str">
        <f aca="false">IF($C500="","",IFERROR(INDEX(PRODUCTOS!$B$6:$B$105,MATCH($C500,PRODUCTOS!$A$6:$A$105,0)),"¿Código?"))</f>
        <v/>
      </c>
      <c r="E500" s="42"/>
      <c r="F500" s="35" t="str">
        <f aca="false">IF($C500="","",IFERROR(INDEX(PRODUCTOS!$D$6:$D$105,MATCH($C500,PRODUCTOS!$A$6:$A$105,0)),0))</f>
        <v/>
      </c>
      <c r="G500" s="40"/>
      <c r="H500" s="35" t="str">
        <f aca="false">IF($C500="","",N($E500)*$F500-N($G500))</f>
        <v/>
      </c>
      <c r="I500" s="35" t="str">
        <f aca="false">IF($C500="","",$H500-$H500/(1+IFERROR(INDEX(PRODUCTOS!$E$6:$E$105,MATCH($C500,PRODUCTOS!$A$6:$A$105,0)),IVA_VENTAS)))</f>
        <v/>
      </c>
      <c r="J500" s="35" t="str">
        <f aca="false">IF($C500="","",$H500-$I500)</f>
        <v/>
      </c>
      <c r="K500" s="35" t="str">
        <f aca="false">IF($C500="","",N($E500)*IFERROR(INDEX(PRODUCTOS!$H$6:$H$105,MATCH($C500,PRODUCTOS!$A$6:$A$105,0)),0))</f>
        <v/>
      </c>
      <c r="L500" s="35" t="str">
        <f aca="false">IF($C500="","",$J500-$K500)</f>
        <v/>
      </c>
      <c r="M500" s="6"/>
      <c r="N500" s="6"/>
      <c r="O500" s="46" t="str">
        <f aca="false">IF($A500="","",DATE(YEAR($A500),MONTH($A500),1))</f>
        <v/>
      </c>
    </row>
    <row r="501" customFormat="false" ht="15" hidden="false" customHeight="false" outlineLevel="0" collapsed="false">
      <c r="A501" s="44"/>
      <c r="B501" s="6"/>
      <c r="C501" s="6"/>
      <c r="D501" s="8" t="str">
        <f aca="false">IF($C501="","",IFERROR(INDEX(PRODUCTOS!$B$6:$B$105,MATCH($C501,PRODUCTOS!$A$6:$A$105,0)),"¿Código?"))</f>
        <v/>
      </c>
      <c r="E501" s="42"/>
      <c r="F501" s="35" t="str">
        <f aca="false">IF($C501="","",IFERROR(INDEX(PRODUCTOS!$D$6:$D$105,MATCH($C501,PRODUCTOS!$A$6:$A$105,0)),0))</f>
        <v/>
      </c>
      <c r="G501" s="40"/>
      <c r="H501" s="35" t="str">
        <f aca="false">IF($C501="","",N($E501)*$F501-N($G501))</f>
        <v/>
      </c>
      <c r="I501" s="35" t="str">
        <f aca="false">IF($C501="","",$H501-$H501/(1+IFERROR(INDEX(PRODUCTOS!$E$6:$E$105,MATCH($C501,PRODUCTOS!$A$6:$A$105,0)),IVA_VENTAS)))</f>
        <v/>
      </c>
      <c r="J501" s="35" t="str">
        <f aca="false">IF($C501="","",$H501-$I501)</f>
        <v/>
      </c>
      <c r="K501" s="35" t="str">
        <f aca="false">IF($C501="","",N($E501)*IFERROR(INDEX(PRODUCTOS!$H$6:$H$105,MATCH($C501,PRODUCTOS!$A$6:$A$105,0)),0))</f>
        <v/>
      </c>
      <c r="L501" s="35" t="str">
        <f aca="false">IF($C501="","",$J501-$K501)</f>
        <v/>
      </c>
      <c r="M501" s="6"/>
      <c r="N501" s="6"/>
      <c r="O501" s="46" t="str">
        <f aca="false">IF($A501="","",DATE(YEAR($A501),MONTH($A501),1))</f>
        <v/>
      </c>
    </row>
    <row r="502" customFormat="false" ht="15" hidden="false" customHeight="false" outlineLevel="0" collapsed="false">
      <c r="A502" s="44"/>
      <c r="B502" s="6"/>
      <c r="C502" s="6"/>
      <c r="D502" s="8" t="str">
        <f aca="false">IF($C502="","",IFERROR(INDEX(PRODUCTOS!$B$6:$B$105,MATCH($C502,PRODUCTOS!$A$6:$A$105,0)),"¿Código?"))</f>
        <v/>
      </c>
      <c r="E502" s="42"/>
      <c r="F502" s="35" t="str">
        <f aca="false">IF($C502="","",IFERROR(INDEX(PRODUCTOS!$D$6:$D$105,MATCH($C502,PRODUCTOS!$A$6:$A$105,0)),0))</f>
        <v/>
      </c>
      <c r="G502" s="40"/>
      <c r="H502" s="35" t="str">
        <f aca="false">IF($C502="","",N($E502)*$F502-N($G502))</f>
        <v/>
      </c>
      <c r="I502" s="35" t="str">
        <f aca="false">IF($C502="","",$H502-$H502/(1+IFERROR(INDEX(PRODUCTOS!$E$6:$E$105,MATCH($C502,PRODUCTOS!$A$6:$A$105,0)),IVA_VENTAS)))</f>
        <v/>
      </c>
      <c r="J502" s="35" t="str">
        <f aca="false">IF($C502="","",$H502-$I502)</f>
        <v/>
      </c>
      <c r="K502" s="35" t="str">
        <f aca="false">IF($C502="","",N($E502)*IFERROR(INDEX(PRODUCTOS!$H$6:$H$105,MATCH($C502,PRODUCTOS!$A$6:$A$105,0)),0))</f>
        <v/>
      </c>
      <c r="L502" s="35" t="str">
        <f aca="false">IF($C502="","",$J502-$K502)</f>
        <v/>
      </c>
      <c r="M502" s="6"/>
      <c r="N502" s="6"/>
      <c r="O502" s="46" t="str">
        <f aca="false">IF($A502="","",DATE(YEAR($A502),MONTH($A502),1))</f>
        <v/>
      </c>
    </row>
    <row r="503" customFormat="false" ht="15" hidden="false" customHeight="false" outlineLevel="0" collapsed="false">
      <c r="A503" s="44"/>
      <c r="B503" s="6"/>
      <c r="C503" s="6"/>
      <c r="D503" s="8" t="str">
        <f aca="false">IF($C503="","",IFERROR(INDEX(PRODUCTOS!$B$6:$B$105,MATCH($C503,PRODUCTOS!$A$6:$A$105,0)),"¿Código?"))</f>
        <v/>
      </c>
      <c r="E503" s="42"/>
      <c r="F503" s="35" t="str">
        <f aca="false">IF($C503="","",IFERROR(INDEX(PRODUCTOS!$D$6:$D$105,MATCH($C503,PRODUCTOS!$A$6:$A$105,0)),0))</f>
        <v/>
      </c>
      <c r="G503" s="40"/>
      <c r="H503" s="35" t="str">
        <f aca="false">IF($C503="","",N($E503)*$F503-N($G503))</f>
        <v/>
      </c>
      <c r="I503" s="35" t="str">
        <f aca="false">IF($C503="","",$H503-$H503/(1+IFERROR(INDEX(PRODUCTOS!$E$6:$E$105,MATCH($C503,PRODUCTOS!$A$6:$A$105,0)),IVA_VENTAS)))</f>
        <v/>
      </c>
      <c r="J503" s="35" t="str">
        <f aca="false">IF($C503="","",$H503-$I503)</f>
        <v/>
      </c>
      <c r="K503" s="35" t="str">
        <f aca="false">IF($C503="","",N($E503)*IFERROR(INDEX(PRODUCTOS!$H$6:$H$105,MATCH($C503,PRODUCTOS!$A$6:$A$105,0)),0))</f>
        <v/>
      </c>
      <c r="L503" s="35" t="str">
        <f aca="false">IF($C503="","",$J503-$K503)</f>
        <v/>
      </c>
      <c r="M503" s="6"/>
      <c r="N503" s="6"/>
      <c r="O503" s="46" t="str">
        <f aca="false">IF($A503="","",DATE(YEAR($A503),MONTH($A503),1))</f>
        <v/>
      </c>
    </row>
    <row r="504" customFormat="false" ht="15" hidden="false" customHeight="false" outlineLevel="0" collapsed="false">
      <c r="A504" s="44"/>
      <c r="B504" s="6"/>
      <c r="C504" s="6"/>
      <c r="D504" s="8" t="str">
        <f aca="false">IF($C504="","",IFERROR(INDEX(PRODUCTOS!$B$6:$B$105,MATCH($C504,PRODUCTOS!$A$6:$A$105,0)),"¿Código?"))</f>
        <v/>
      </c>
      <c r="E504" s="42"/>
      <c r="F504" s="35" t="str">
        <f aca="false">IF($C504="","",IFERROR(INDEX(PRODUCTOS!$D$6:$D$105,MATCH($C504,PRODUCTOS!$A$6:$A$105,0)),0))</f>
        <v/>
      </c>
      <c r="G504" s="40"/>
      <c r="H504" s="35" t="str">
        <f aca="false">IF($C504="","",N($E504)*$F504-N($G504))</f>
        <v/>
      </c>
      <c r="I504" s="35" t="str">
        <f aca="false">IF($C504="","",$H504-$H504/(1+IFERROR(INDEX(PRODUCTOS!$E$6:$E$105,MATCH($C504,PRODUCTOS!$A$6:$A$105,0)),IVA_VENTAS)))</f>
        <v/>
      </c>
      <c r="J504" s="35" t="str">
        <f aca="false">IF($C504="","",$H504-$I504)</f>
        <v/>
      </c>
      <c r="K504" s="35" t="str">
        <f aca="false">IF($C504="","",N($E504)*IFERROR(INDEX(PRODUCTOS!$H$6:$H$105,MATCH($C504,PRODUCTOS!$A$6:$A$105,0)),0))</f>
        <v/>
      </c>
      <c r="L504" s="35" t="str">
        <f aca="false">IF($C504="","",$J504-$K504)</f>
        <v/>
      </c>
      <c r="M504" s="6"/>
      <c r="N504" s="6"/>
      <c r="O504" s="46" t="str">
        <f aca="false">IF($A504="","",DATE(YEAR($A504),MONTH($A504),1))</f>
        <v/>
      </c>
    </row>
    <row r="505" customFormat="false" ht="15" hidden="false" customHeight="false" outlineLevel="0" collapsed="false">
      <c r="A505" s="44"/>
      <c r="B505" s="6"/>
      <c r="C505" s="6"/>
      <c r="D505" s="8" t="str">
        <f aca="false">IF($C505="","",IFERROR(INDEX(PRODUCTOS!$B$6:$B$105,MATCH($C505,PRODUCTOS!$A$6:$A$105,0)),"¿Código?"))</f>
        <v/>
      </c>
      <c r="E505" s="42"/>
      <c r="F505" s="35" t="str">
        <f aca="false">IF($C505="","",IFERROR(INDEX(PRODUCTOS!$D$6:$D$105,MATCH($C505,PRODUCTOS!$A$6:$A$105,0)),0))</f>
        <v/>
      </c>
      <c r="G505" s="40"/>
      <c r="H505" s="35" t="str">
        <f aca="false">IF($C505="","",N($E505)*$F505-N($G505))</f>
        <v/>
      </c>
      <c r="I505" s="35" t="str">
        <f aca="false">IF($C505="","",$H505-$H505/(1+IFERROR(INDEX(PRODUCTOS!$E$6:$E$105,MATCH($C505,PRODUCTOS!$A$6:$A$105,0)),IVA_VENTAS)))</f>
        <v/>
      </c>
      <c r="J505" s="35" t="str">
        <f aca="false">IF($C505="","",$H505-$I505)</f>
        <v/>
      </c>
      <c r="K505" s="35" t="str">
        <f aca="false">IF($C505="","",N($E505)*IFERROR(INDEX(PRODUCTOS!$H$6:$H$105,MATCH($C505,PRODUCTOS!$A$6:$A$105,0)),0))</f>
        <v/>
      </c>
      <c r="L505" s="35" t="str">
        <f aca="false">IF($C505="","",$J505-$K505)</f>
        <v/>
      </c>
      <c r="M505" s="6"/>
      <c r="N505" s="6"/>
      <c r="O505" s="46" t="str">
        <f aca="false">IF($A505="","",DATE(YEAR($A505),MONTH($A505),1))</f>
        <v/>
      </c>
    </row>
    <row r="506" customFormat="false" ht="15" hidden="false" customHeight="false" outlineLevel="0" collapsed="false">
      <c r="A506" s="44"/>
      <c r="B506" s="6"/>
      <c r="C506" s="6"/>
      <c r="D506" s="8" t="str">
        <f aca="false">IF($C506="","",IFERROR(INDEX(PRODUCTOS!$B$6:$B$105,MATCH($C506,PRODUCTOS!$A$6:$A$105,0)),"¿Código?"))</f>
        <v/>
      </c>
      <c r="E506" s="42"/>
      <c r="F506" s="35" t="str">
        <f aca="false">IF($C506="","",IFERROR(INDEX(PRODUCTOS!$D$6:$D$105,MATCH($C506,PRODUCTOS!$A$6:$A$105,0)),0))</f>
        <v/>
      </c>
      <c r="G506" s="40"/>
      <c r="H506" s="35" t="str">
        <f aca="false">IF($C506="","",N($E506)*$F506-N($G506))</f>
        <v/>
      </c>
      <c r="I506" s="35" t="str">
        <f aca="false">IF($C506="","",$H506-$H506/(1+IFERROR(INDEX(PRODUCTOS!$E$6:$E$105,MATCH($C506,PRODUCTOS!$A$6:$A$105,0)),IVA_VENTAS)))</f>
        <v/>
      </c>
      <c r="J506" s="35" t="str">
        <f aca="false">IF($C506="","",$H506-$I506)</f>
        <v/>
      </c>
      <c r="K506" s="35" t="str">
        <f aca="false">IF($C506="","",N($E506)*IFERROR(INDEX(PRODUCTOS!$H$6:$H$105,MATCH($C506,PRODUCTOS!$A$6:$A$105,0)),0))</f>
        <v/>
      </c>
      <c r="L506" s="35" t="str">
        <f aca="false">IF($C506="","",$J506-$K506)</f>
        <v/>
      </c>
      <c r="M506" s="6"/>
      <c r="N506" s="6"/>
      <c r="O506" s="46" t="str">
        <f aca="false">IF($A506="","",DATE(YEAR($A506),MONTH($A506),1))</f>
        <v/>
      </c>
    </row>
    <row r="507" customFormat="false" ht="15" hidden="false" customHeight="false" outlineLevel="0" collapsed="false">
      <c r="A507" s="44"/>
      <c r="B507" s="6"/>
      <c r="C507" s="6"/>
      <c r="D507" s="8" t="str">
        <f aca="false">IF($C507="","",IFERROR(INDEX(PRODUCTOS!$B$6:$B$105,MATCH($C507,PRODUCTOS!$A$6:$A$105,0)),"¿Código?"))</f>
        <v/>
      </c>
      <c r="E507" s="42"/>
      <c r="F507" s="35" t="str">
        <f aca="false">IF($C507="","",IFERROR(INDEX(PRODUCTOS!$D$6:$D$105,MATCH($C507,PRODUCTOS!$A$6:$A$105,0)),0))</f>
        <v/>
      </c>
      <c r="G507" s="40"/>
      <c r="H507" s="35" t="str">
        <f aca="false">IF($C507="","",N($E507)*$F507-N($G507))</f>
        <v/>
      </c>
      <c r="I507" s="35" t="str">
        <f aca="false">IF($C507="","",$H507-$H507/(1+IFERROR(INDEX(PRODUCTOS!$E$6:$E$105,MATCH($C507,PRODUCTOS!$A$6:$A$105,0)),IVA_VENTAS)))</f>
        <v/>
      </c>
      <c r="J507" s="35" t="str">
        <f aca="false">IF($C507="","",$H507-$I507)</f>
        <v/>
      </c>
      <c r="K507" s="35" t="str">
        <f aca="false">IF($C507="","",N($E507)*IFERROR(INDEX(PRODUCTOS!$H$6:$H$105,MATCH($C507,PRODUCTOS!$A$6:$A$105,0)),0))</f>
        <v/>
      </c>
      <c r="L507" s="35" t="str">
        <f aca="false">IF($C507="","",$J507-$K507)</f>
        <v/>
      </c>
      <c r="M507" s="6"/>
      <c r="N507" s="6"/>
      <c r="O507" s="46" t="str">
        <f aca="false">IF($A507="","",DATE(YEAR($A507),MONTH($A507),1))</f>
        <v/>
      </c>
    </row>
    <row r="508" customFormat="false" ht="15" hidden="false" customHeight="false" outlineLevel="0" collapsed="false">
      <c r="A508" s="44"/>
      <c r="B508" s="6"/>
      <c r="C508" s="6"/>
      <c r="D508" s="8" t="str">
        <f aca="false">IF($C508="","",IFERROR(INDEX(PRODUCTOS!$B$6:$B$105,MATCH($C508,PRODUCTOS!$A$6:$A$105,0)),"¿Código?"))</f>
        <v/>
      </c>
      <c r="E508" s="42"/>
      <c r="F508" s="35" t="str">
        <f aca="false">IF($C508="","",IFERROR(INDEX(PRODUCTOS!$D$6:$D$105,MATCH($C508,PRODUCTOS!$A$6:$A$105,0)),0))</f>
        <v/>
      </c>
      <c r="G508" s="40"/>
      <c r="H508" s="35" t="str">
        <f aca="false">IF($C508="","",N($E508)*$F508-N($G508))</f>
        <v/>
      </c>
      <c r="I508" s="35" t="str">
        <f aca="false">IF($C508="","",$H508-$H508/(1+IFERROR(INDEX(PRODUCTOS!$E$6:$E$105,MATCH($C508,PRODUCTOS!$A$6:$A$105,0)),IVA_VENTAS)))</f>
        <v/>
      </c>
      <c r="J508" s="35" t="str">
        <f aca="false">IF($C508="","",$H508-$I508)</f>
        <v/>
      </c>
      <c r="K508" s="35" t="str">
        <f aca="false">IF($C508="","",N($E508)*IFERROR(INDEX(PRODUCTOS!$H$6:$H$105,MATCH($C508,PRODUCTOS!$A$6:$A$105,0)),0))</f>
        <v/>
      </c>
      <c r="L508" s="35" t="str">
        <f aca="false">IF($C508="","",$J508-$K508)</f>
        <v/>
      </c>
      <c r="M508" s="6"/>
      <c r="N508" s="6"/>
      <c r="O508" s="46" t="str">
        <f aca="false">IF($A508="","",DATE(YEAR($A508),MONTH($A508),1))</f>
        <v/>
      </c>
    </row>
    <row r="509" customFormat="false" ht="15" hidden="false" customHeight="false" outlineLevel="0" collapsed="false">
      <c r="A509" s="44"/>
      <c r="B509" s="6"/>
      <c r="C509" s="6"/>
      <c r="D509" s="8" t="str">
        <f aca="false">IF($C509="","",IFERROR(INDEX(PRODUCTOS!$B$6:$B$105,MATCH($C509,PRODUCTOS!$A$6:$A$105,0)),"¿Código?"))</f>
        <v/>
      </c>
      <c r="E509" s="42"/>
      <c r="F509" s="35" t="str">
        <f aca="false">IF($C509="","",IFERROR(INDEX(PRODUCTOS!$D$6:$D$105,MATCH($C509,PRODUCTOS!$A$6:$A$105,0)),0))</f>
        <v/>
      </c>
      <c r="G509" s="40"/>
      <c r="H509" s="35" t="str">
        <f aca="false">IF($C509="","",N($E509)*$F509-N($G509))</f>
        <v/>
      </c>
      <c r="I509" s="35" t="str">
        <f aca="false">IF($C509="","",$H509-$H509/(1+IFERROR(INDEX(PRODUCTOS!$E$6:$E$105,MATCH($C509,PRODUCTOS!$A$6:$A$105,0)),IVA_VENTAS)))</f>
        <v/>
      </c>
      <c r="J509" s="35" t="str">
        <f aca="false">IF($C509="","",$H509-$I509)</f>
        <v/>
      </c>
      <c r="K509" s="35" t="str">
        <f aca="false">IF($C509="","",N($E509)*IFERROR(INDEX(PRODUCTOS!$H$6:$H$105,MATCH($C509,PRODUCTOS!$A$6:$A$105,0)),0))</f>
        <v/>
      </c>
      <c r="L509" s="35" t="str">
        <f aca="false">IF($C509="","",$J509-$K509)</f>
        <v/>
      </c>
      <c r="M509" s="6"/>
      <c r="N509" s="6"/>
      <c r="O509" s="46" t="str">
        <f aca="false">IF($A509="","",DATE(YEAR($A509),MONTH($A509),1))</f>
        <v/>
      </c>
    </row>
    <row r="510" customFormat="false" ht="15" hidden="false" customHeight="false" outlineLevel="0" collapsed="false">
      <c r="A510" s="44"/>
      <c r="B510" s="6"/>
      <c r="C510" s="6"/>
      <c r="D510" s="8" t="str">
        <f aca="false">IF($C510="","",IFERROR(INDEX(PRODUCTOS!$B$6:$B$105,MATCH($C510,PRODUCTOS!$A$6:$A$105,0)),"¿Código?"))</f>
        <v/>
      </c>
      <c r="E510" s="42"/>
      <c r="F510" s="35" t="str">
        <f aca="false">IF($C510="","",IFERROR(INDEX(PRODUCTOS!$D$6:$D$105,MATCH($C510,PRODUCTOS!$A$6:$A$105,0)),0))</f>
        <v/>
      </c>
      <c r="G510" s="40"/>
      <c r="H510" s="35" t="str">
        <f aca="false">IF($C510="","",N($E510)*$F510-N($G510))</f>
        <v/>
      </c>
      <c r="I510" s="35" t="str">
        <f aca="false">IF($C510="","",$H510-$H510/(1+IFERROR(INDEX(PRODUCTOS!$E$6:$E$105,MATCH($C510,PRODUCTOS!$A$6:$A$105,0)),IVA_VENTAS)))</f>
        <v/>
      </c>
      <c r="J510" s="35" t="str">
        <f aca="false">IF($C510="","",$H510-$I510)</f>
        <v/>
      </c>
      <c r="K510" s="35" t="str">
        <f aca="false">IF($C510="","",N($E510)*IFERROR(INDEX(PRODUCTOS!$H$6:$H$105,MATCH($C510,PRODUCTOS!$A$6:$A$105,0)),0))</f>
        <v/>
      </c>
      <c r="L510" s="35" t="str">
        <f aca="false">IF($C510="","",$J510-$K510)</f>
        <v/>
      </c>
      <c r="M510" s="6"/>
      <c r="N510" s="6"/>
      <c r="O510" s="46" t="str">
        <f aca="false">IF($A510="","",DATE(YEAR($A510),MONTH($A510),1))</f>
        <v/>
      </c>
    </row>
    <row r="511" customFormat="false" ht="15" hidden="false" customHeight="false" outlineLevel="0" collapsed="false">
      <c r="A511" s="44"/>
      <c r="B511" s="6"/>
      <c r="C511" s="6"/>
      <c r="D511" s="8" t="str">
        <f aca="false">IF($C511="","",IFERROR(INDEX(PRODUCTOS!$B$6:$B$105,MATCH($C511,PRODUCTOS!$A$6:$A$105,0)),"¿Código?"))</f>
        <v/>
      </c>
      <c r="E511" s="42"/>
      <c r="F511" s="35" t="str">
        <f aca="false">IF($C511="","",IFERROR(INDEX(PRODUCTOS!$D$6:$D$105,MATCH($C511,PRODUCTOS!$A$6:$A$105,0)),0))</f>
        <v/>
      </c>
      <c r="G511" s="40"/>
      <c r="H511" s="35" t="str">
        <f aca="false">IF($C511="","",N($E511)*$F511-N($G511))</f>
        <v/>
      </c>
      <c r="I511" s="35" t="str">
        <f aca="false">IF($C511="","",$H511-$H511/(1+IFERROR(INDEX(PRODUCTOS!$E$6:$E$105,MATCH($C511,PRODUCTOS!$A$6:$A$105,0)),IVA_VENTAS)))</f>
        <v/>
      </c>
      <c r="J511" s="35" t="str">
        <f aca="false">IF($C511="","",$H511-$I511)</f>
        <v/>
      </c>
      <c r="K511" s="35" t="str">
        <f aca="false">IF($C511="","",N($E511)*IFERROR(INDEX(PRODUCTOS!$H$6:$H$105,MATCH($C511,PRODUCTOS!$A$6:$A$105,0)),0))</f>
        <v/>
      </c>
      <c r="L511" s="35" t="str">
        <f aca="false">IF($C511="","",$J511-$K511)</f>
        <v/>
      </c>
      <c r="M511" s="6"/>
      <c r="N511" s="6"/>
      <c r="O511" s="46" t="str">
        <f aca="false">IF($A511="","",DATE(YEAR($A511),MONTH($A511),1))</f>
        <v/>
      </c>
    </row>
    <row r="512" customFormat="false" ht="15" hidden="false" customHeight="false" outlineLevel="0" collapsed="false">
      <c r="A512" s="44"/>
      <c r="B512" s="6"/>
      <c r="C512" s="6"/>
      <c r="D512" s="8" t="str">
        <f aca="false">IF($C512="","",IFERROR(INDEX(PRODUCTOS!$B$6:$B$105,MATCH($C512,PRODUCTOS!$A$6:$A$105,0)),"¿Código?"))</f>
        <v/>
      </c>
      <c r="E512" s="42"/>
      <c r="F512" s="35" t="str">
        <f aca="false">IF($C512="","",IFERROR(INDEX(PRODUCTOS!$D$6:$D$105,MATCH($C512,PRODUCTOS!$A$6:$A$105,0)),0))</f>
        <v/>
      </c>
      <c r="G512" s="40"/>
      <c r="H512" s="35" t="str">
        <f aca="false">IF($C512="","",N($E512)*$F512-N($G512))</f>
        <v/>
      </c>
      <c r="I512" s="35" t="str">
        <f aca="false">IF($C512="","",$H512-$H512/(1+IFERROR(INDEX(PRODUCTOS!$E$6:$E$105,MATCH($C512,PRODUCTOS!$A$6:$A$105,0)),IVA_VENTAS)))</f>
        <v/>
      </c>
      <c r="J512" s="35" t="str">
        <f aca="false">IF($C512="","",$H512-$I512)</f>
        <v/>
      </c>
      <c r="K512" s="35" t="str">
        <f aca="false">IF($C512="","",N($E512)*IFERROR(INDEX(PRODUCTOS!$H$6:$H$105,MATCH($C512,PRODUCTOS!$A$6:$A$105,0)),0))</f>
        <v/>
      </c>
      <c r="L512" s="35" t="str">
        <f aca="false">IF($C512="","",$J512-$K512)</f>
        <v/>
      </c>
      <c r="M512" s="6"/>
      <c r="N512" s="6"/>
      <c r="O512" s="46" t="str">
        <f aca="false">IF($A512="","",DATE(YEAR($A512),MONTH($A512),1))</f>
        <v/>
      </c>
    </row>
    <row r="513" customFormat="false" ht="15" hidden="false" customHeight="false" outlineLevel="0" collapsed="false">
      <c r="A513" s="44"/>
      <c r="B513" s="6"/>
      <c r="C513" s="6"/>
      <c r="D513" s="8" t="str">
        <f aca="false">IF($C513="","",IFERROR(INDEX(PRODUCTOS!$B$6:$B$105,MATCH($C513,PRODUCTOS!$A$6:$A$105,0)),"¿Código?"))</f>
        <v/>
      </c>
      <c r="E513" s="42"/>
      <c r="F513" s="35" t="str">
        <f aca="false">IF($C513="","",IFERROR(INDEX(PRODUCTOS!$D$6:$D$105,MATCH($C513,PRODUCTOS!$A$6:$A$105,0)),0))</f>
        <v/>
      </c>
      <c r="G513" s="40"/>
      <c r="H513" s="35" t="str">
        <f aca="false">IF($C513="","",N($E513)*$F513-N($G513))</f>
        <v/>
      </c>
      <c r="I513" s="35" t="str">
        <f aca="false">IF($C513="","",$H513-$H513/(1+IFERROR(INDEX(PRODUCTOS!$E$6:$E$105,MATCH($C513,PRODUCTOS!$A$6:$A$105,0)),IVA_VENTAS)))</f>
        <v/>
      </c>
      <c r="J513" s="35" t="str">
        <f aca="false">IF($C513="","",$H513-$I513)</f>
        <v/>
      </c>
      <c r="K513" s="35" t="str">
        <f aca="false">IF($C513="","",N($E513)*IFERROR(INDEX(PRODUCTOS!$H$6:$H$105,MATCH($C513,PRODUCTOS!$A$6:$A$105,0)),0))</f>
        <v/>
      </c>
      <c r="L513" s="35" t="str">
        <f aca="false">IF($C513="","",$J513-$K513)</f>
        <v/>
      </c>
      <c r="M513" s="6"/>
      <c r="N513" s="6"/>
      <c r="O513" s="46" t="str">
        <f aca="false">IF($A513="","",DATE(YEAR($A513),MONTH($A513),1))</f>
        <v/>
      </c>
    </row>
    <row r="514" customFormat="false" ht="15" hidden="false" customHeight="false" outlineLevel="0" collapsed="false">
      <c r="A514" s="44"/>
      <c r="B514" s="6"/>
      <c r="C514" s="6"/>
      <c r="D514" s="8" t="str">
        <f aca="false">IF($C514="","",IFERROR(INDEX(PRODUCTOS!$B$6:$B$105,MATCH($C514,PRODUCTOS!$A$6:$A$105,0)),"¿Código?"))</f>
        <v/>
      </c>
      <c r="E514" s="42"/>
      <c r="F514" s="35" t="str">
        <f aca="false">IF($C514="","",IFERROR(INDEX(PRODUCTOS!$D$6:$D$105,MATCH($C514,PRODUCTOS!$A$6:$A$105,0)),0))</f>
        <v/>
      </c>
      <c r="G514" s="40"/>
      <c r="H514" s="35" t="str">
        <f aca="false">IF($C514="","",N($E514)*$F514-N($G514))</f>
        <v/>
      </c>
      <c r="I514" s="35" t="str">
        <f aca="false">IF($C514="","",$H514-$H514/(1+IFERROR(INDEX(PRODUCTOS!$E$6:$E$105,MATCH($C514,PRODUCTOS!$A$6:$A$105,0)),IVA_VENTAS)))</f>
        <v/>
      </c>
      <c r="J514" s="35" t="str">
        <f aca="false">IF($C514="","",$H514-$I514)</f>
        <v/>
      </c>
      <c r="K514" s="35" t="str">
        <f aca="false">IF($C514="","",N($E514)*IFERROR(INDEX(PRODUCTOS!$H$6:$H$105,MATCH($C514,PRODUCTOS!$A$6:$A$105,0)),0))</f>
        <v/>
      </c>
      <c r="L514" s="35" t="str">
        <f aca="false">IF($C514="","",$J514-$K514)</f>
        <v/>
      </c>
      <c r="M514" s="6"/>
      <c r="N514" s="6"/>
      <c r="O514" s="46" t="str">
        <f aca="false">IF($A514="","",DATE(YEAR($A514),MONTH($A514),1))</f>
        <v/>
      </c>
    </row>
    <row r="515" customFormat="false" ht="15" hidden="false" customHeight="false" outlineLevel="0" collapsed="false">
      <c r="A515" s="44"/>
      <c r="B515" s="6"/>
      <c r="C515" s="6"/>
      <c r="D515" s="8" t="str">
        <f aca="false">IF($C515="","",IFERROR(INDEX(PRODUCTOS!$B$6:$B$105,MATCH($C515,PRODUCTOS!$A$6:$A$105,0)),"¿Código?"))</f>
        <v/>
      </c>
      <c r="E515" s="42"/>
      <c r="F515" s="35" t="str">
        <f aca="false">IF($C515="","",IFERROR(INDEX(PRODUCTOS!$D$6:$D$105,MATCH($C515,PRODUCTOS!$A$6:$A$105,0)),0))</f>
        <v/>
      </c>
      <c r="G515" s="40"/>
      <c r="H515" s="35" t="str">
        <f aca="false">IF($C515="","",N($E515)*$F515-N($G515))</f>
        <v/>
      </c>
      <c r="I515" s="35" t="str">
        <f aca="false">IF($C515="","",$H515-$H515/(1+IFERROR(INDEX(PRODUCTOS!$E$6:$E$105,MATCH($C515,PRODUCTOS!$A$6:$A$105,0)),IVA_VENTAS)))</f>
        <v/>
      </c>
      <c r="J515" s="35" t="str">
        <f aca="false">IF($C515="","",$H515-$I515)</f>
        <v/>
      </c>
      <c r="K515" s="35" t="str">
        <f aca="false">IF($C515="","",N($E515)*IFERROR(INDEX(PRODUCTOS!$H$6:$H$105,MATCH($C515,PRODUCTOS!$A$6:$A$105,0)),0))</f>
        <v/>
      </c>
      <c r="L515" s="35" t="str">
        <f aca="false">IF($C515="","",$J515-$K515)</f>
        <v/>
      </c>
      <c r="M515" s="6"/>
      <c r="N515" s="6"/>
      <c r="O515" s="46" t="str">
        <f aca="false">IF($A515="","",DATE(YEAR($A515),MONTH($A515),1))</f>
        <v/>
      </c>
    </row>
    <row r="516" customFormat="false" ht="15" hidden="false" customHeight="false" outlineLevel="0" collapsed="false">
      <c r="A516" s="44"/>
      <c r="B516" s="6"/>
      <c r="C516" s="6"/>
      <c r="D516" s="8" t="str">
        <f aca="false">IF($C516="","",IFERROR(INDEX(PRODUCTOS!$B$6:$B$105,MATCH($C516,PRODUCTOS!$A$6:$A$105,0)),"¿Código?"))</f>
        <v/>
      </c>
      <c r="E516" s="42"/>
      <c r="F516" s="35" t="str">
        <f aca="false">IF($C516="","",IFERROR(INDEX(PRODUCTOS!$D$6:$D$105,MATCH($C516,PRODUCTOS!$A$6:$A$105,0)),0))</f>
        <v/>
      </c>
      <c r="G516" s="40"/>
      <c r="H516" s="35" t="str">
        <f aca="false">IF($C516="","",N($E516)*$F516-N($G516))</f>
        <v/>
      </c>
      <c r="I516" s="35" t="str">
        <f aca="false">IF($C516="","",$H516-$H516/(1+IFERROR(INDEX(PRODUCTOS!$E$6:$E$105,MATCH($C516,PRODUCTOS!$A$6:$A$105,0)),IVA_VENTAS)))</f>
        <v/>
      </c>
      <c r="J516" s="35" t="str">
        <f aca="false">IF($C516="","",$H516-$I516)</f>
        <v/>
      </c>
      <c r="K516" s="35" t="str">
        <f aca="false">IF($C516="","",N($E516)*IFERROR(INDEX(PRODUCTOS!$H$6:$H$105,MATCH($C516,PRODUCTOS!$A$6:$A$105,0)),0))</f>
        <v/>
      </c>
      <c r="L516" s="35" t="str">
        <f aca="false">IF($C516="","",$J516-$K516)</f>
        <v/>
      </c>
      <c r="M516" s="6"/>
      <c r="N516" s="6"/>
      <c r="O516" s="46" t="str">
        <f aca="false">IF($A516="","",DATE(YEAR($A516),MONTH($A516),1))</f>
        <v/>
      </c>
    </row>
    <row r="517" customFormat="false" ht="15" hidden="false" customHeight="false" outlineLevel="0" collapsed="false">
      <c r="A517" s="44"/>
      <c r="B517" s="6"/>
      <c r="C517" s="6"/>
      <c r="D517" s="8" t="str">
        <f aca="false">IF($C517="","",IFERROR(INDEX(PRODUCTOS!$B$6:$B$105,MATCH($C517,PRODUCTOS!$A$6:$A$105,0)),"¿Código?"))</f>
        <v/>
      </c>
      <c r="E517" s="42"/>
      <c r="F517" s="35" t="str">
        <f aca="false">IF($C517="","",IFERROR(INDEX(PRODUCTOS!$D$6:$D$105,MATCH($C517,PRODUCTOS!$A$6:$A$105,0)),0))</f>
        <v/>
      </c>
      <c r="G517" s="40"/>
      <c r="H517" s="35" t="str">
        <f aca="false">IF($C517="","",N($E517)*$F517-N($G517))</f>
        <v/>
      </c>
      <c r="I517" s="35" t="str">
        <f aca="false">IF($C517="","",$H517-$H517/(1+IFERROR(INDEX(PRODUCTOS!$E$6:$E$105,MATCH($C517,PRODUCTOS!$A$6:$A$105,0)),IVA_VENTAS)))</f>
        <v/>
      </c>
      <c r="J517" s="35" t="str">
        <f aca="false">IF($C517="","",$H517-$I517)</f>
        <v/>
      </c>
      <c r="K517" s="35" t="str">
        <f aca="false">IF($C517="","",N($E517)*IFERROR(INDEX(PRODUCTOS!$H$6:$H$105,MATCH($C517,PRODUCTOS!$A$6:$A$105,0)),0))</f>
        <v/>
      </c>
      <c r="L517" s="35" t="str">
        <f aca="false">IF($C517="","",$J517-$K517)</f>
        <v/>
      </c>
      <c r="M517" s="6"/>
      <c r="N517" s="6"/>
      <c r="O517" s="46" t="str">
        <f aca="false">IF($A517="","",DATE(YEAR($A517),MONTH($A517),1))</f>
        <v/>
      </c>
    </row>
    <row r="518" customFormat="false" ht="15" hidden="false" customHeight="false" outlineLevel="0" collapsed="false">
      <c r="A518" s="44"/>
      <c r="B518" s="6"/>
      <c r="C518" s="6"/>
      <c r="D518" s="8" t="str">
        <f aca="false">IF($C518="","",IFERROR(INDEX(PRODUCTOS!$B$6:$B$105,MATCH($C518,PRODUCTOS!$A$6:$A$105,0)),"¿Código?"))</f>
        <v/>
      </c>
      <c r="E518" s="42"/>
      <c r="F518" s="35" t="str">
        <f aca="false">IF($C518="","",IFERROR(INDEX(PRODUCTOS!$D$6:$D$105,MATCH($C518,PRODUCTOS!$A$6:$A$105,0)),0))</f>
        <v/>
      </c>
      <c r="G518" s="40"/>
      <c r="H518" s="35" t="str">
        <f aca="false">IF($C518="","",N($E518)*$F518-N($G518))</f>
        <v/>
      </c>
      <c r="I518" s="35" t="str">
        <f aca="false">IF($C518="","",$H518-$H518/(1+IFERROR(INDEX(PRODUCTOS!$E$6:$E$105,MATCH($C518,PRODUCTOS!$A$6:$A$105,0)),IVA_VENTAS)))</f>
        <v/>
      </c>
      <c r="J518" s="35" t="str">
        <f aca="false">IF($C518="","",$H518-$I518)</f>
        <v/>
      </c>
      <c r="K518" s="35" t="str">
        <f aca="false">IF($C518="","",N($E518)*IFERROR(INDEX(PRODUCTOS!$H$6:$H$105,MATCH($C518,PRODUCTOS!$A$6:$A$105,0)),0))</f>
        <v/>
      </c>
      <c r="L518" s="35" t="str">
        <f aca="false">IF($C518="","",$J518-$K518)</f>
        <v/>
      </c>
      <c r="M518" s="6"/>
      <c r="N518" s="6"/>
      <c r="O518" s="46" t="str">
        <f aca="false">IF($A518="","",DATE(YEAR($A518),MONTH($A518),1))</f>
        <v/>
      </c>
    </row>
    <row r="519" customFormat="false" ht="15" hidden="false" customHeight="false" outlineLevel="0" collapsed="false">
      <c r="A519" s="44"/>
      <c r="B519" s="6"/>
      <c r="C519" s="6"/>
      <c r="D519" s="8" t="str">
        <f aca="false">IF($C519="","",IFERROR(INDEX(PRODUCTOS!$B$6:$B$105,MATCH($C519,PRODUCTOS!$A$6:$A$105,0)),"¿Código?"))</f>
        <v/>
      </c>
      <c r="E519" s="42"/>
      <c r="F519" s="35" t="str">
        <f aca="false">IF($C519="","",IFERROR(INDEX(PRODUCTOS!$D$6:$D$105,MATCH($C519,PRODUCTOS!$A$6:$A$105,0)),0))</f>
        <v/>
      </c>
      <c r="G519" s="40"/>
      <c r="H519" s="35" t="str">
        <f aca="false">IF($C519="","",N($E519)*$F519-N($G519))</f>
        <v/>
      </c>
      <c r="I519" s="35" t="str">
        <f aca="false">IF($C519="","",$H519-$H519/(1+IFERROR(INDEX(PRODUCTOS!$E$6:$E$105,MATCH($C519,PRODUCTOS!$A$6:$A$105,0)),IVA_VENTAS)))</f>
        <v/>
      </c>
      <c r="J519" s="35" t="str">
        <f aca="false">IF($C519="","",$H519-$I519)</f>
        <v/>
      </c>
      <c r="K519" s="35" t="str">
        <f aca="false">IF($C519="","",N($E519)*IFERROR(INDEX(PRODUCTOS!$H$6:$H$105,MATCH($C519,PRODUCTOS!$A$6:$A$105,0)),0))</f>
        <v/>
      </c>
      <c r="L519" s="35" t="str">
        <f aca="false">IF($C519="","",$J519-$K519)</f>
        <v/>
      </c>
      <c r="M519" s="6"/>
      <c r="N519" s="6"/>
      <c r="O519" s="46" t="str">
        <f aca="false">IF($A519="","",DATE(YEAR($A519),MONTH($A519),1))</f>
        <v/>
      </c>
    </row>
    <row r="520" customFormat="false" ht="15" hidden="false" customHeight="false" outlineLevel="0" collapsed="false">
      <c r="A520" s="44"/>
      <c r="B520" s="6"/>
      <c r="C520" s="6"/>
      <c r="D520" s="8" t="str">
        <f aca="false">IF($C520="","",IFERROR(INDEX(PRODUCTOS!$B$6:$B$105,MATCH($C520,PRODUCTOS!$A$6:$A$105,0)),"¿Código?"))</f>
        <v/>
      </c>
      <c r="E520" s="42"/>
      <c r="F520" s="35" t="str">
        <f aca="false">IF($C520="","",IFERROR(INDEX(PRODUCTOS!$D$6:$D$105,MATCH($C520,PRODUCTOS!$A$6:$A$105,0)),0))</f>
        <v/>
      </c>
      <c r="G520" s="40"/>
      <c r="H520" s="35" t="str">
        <f aca="false">IF($C520="","",N($E520)*$F520-N($G520))</f>
        <v/>
      </c>
      <c r="I520" s="35" t="str">
        <f aca="false">IF($C520="","",$H520-$H520/(1+IFERROR(INDEX(PRODUCTOS!$E$6:$E$105,MATCH($C520,PRODUCTOS!$A$6:$A$105,0)),IVA_VENTAS)))</f>
        <v/>
      </c>
      <c r="J520" s="35" t="str">
        <f aca="false">IF($C520="","",$H520-$I520)</f>
        <v/>
      </c>
      <c r="K520" s="35" t="str">
        <f aca="false">IF($C520="","",N($E520)*IFERROR(INDEX(PRODUCTOS!$H$6:$H$105,MATCH($C520,PRODUCTOS!$A$6:$A$105,0)),0))</f>
        <v/>
      </c>
      <c r="L520" s="35" t="str">
        <f aca="false">IF($C520="","",$J520-$K520)</f>
        <v/>
      </c>
      <c r="M520" s="6"/>
      <c r="N520" s="6"/>
      <c r="O520" s="46" t="str">
        <f aca="false">IF($A520="","",DATE(YEAR($A520),MONTH($A520),1))</f>
        <v/>
      </c>
    </row>
    <row r="521" customFormat="false" ht="15" hidden="false" customHeight="false" outlineLevel="0" collapsed="false">
      <c r="A521" s="44"/>
      <c r="B521" s="6"/>
      <c r="C521" s="6"/>
      <c r="D521" s="8" t="str">
        <f aca="false">IF($C521="","",IFERROR(INDEX(PRODUCTOS!$B$6:$B$105,MATCH($C521,PRODUCTOS!$A$6:$A$105,0)),"¿Código?"))</f>
        <v/>
      </c>
      <c r="E521" s="42"/>
      <c r="F521" s="35" t="str">
        <f aca="false">IF($C521="","",IFERROR(INDEX(PRODUCTOS!$D$6:$D$105,MATCH($C521,PRODUCTOS!$A$6:$A$105,0)),0))</f>
        <v/>
      </c>
      <c r="G521" s="40"/>
      <c r="H521" s="35" t="str">
        <f aca="false">IF($C521="","",N($E521)*$F521-N($G521))</f>
        <v/>
      </c>
      <c r="I521" s="35" t="str">
        <f aca="false">IF($C521="","",$H521-$H521/(1+IFERROR(INDEX(PRODUCTOS!$E$6:$E$105,MATCH($C521,PRODUCTOS!$A$6:$A$105,0)),IVA_VENTAS)))</f>
        <v/>
      </c>
      <c r="J521" s="35" t="str">
        <f aca="false">IF($C521="","",$H521-$I521)</f>
        <v/>
      </c>
      <c r="K521" s="35" t="str">
        <f aca="false">IF($C521="","",N($E521)*IFERROR(INDEX(PRODUCTOS!$H$6:$H$105,MATCH($C521,PRODUCTOS!$A$6:$A$105,0)),0))</f>
        <v/>
      </c>
      <c r="L521" s="35" t="str">
        <f aca="false">IF($C521="","",$J521-$K521)</f>
        <v/>
      </c>
      <c r="M521" s="6"/>
      <c r="N521" s="6"/>
      <c r="O521" s="46" t="str">
        <f aca="false">IF($A521="","",DATE(YEAR($A521),MONTH($A521),1))</f>
        <v/>
      </c>
    </row>
    <row r="522" customFormat="false" ht="15" hidden="false" customHeight="false" outlineLevel="0" collapsed="false">
      <c r="A522" s="44"/>
      <c r="B522" s="6"/>
      <c r="C522" s="6"/>
      <c r="D522" s="8" t="str">
        <f aca="false">IF($C522="","",IFERROR(INDEX(PRODUCTOS!$B$6:$B$105,MATCH($C522,PRODUCTOS!$A$6:$A$105,0)),"¿Código?"))</f>
        <v/>
      </c>
      <c r="E522" s="42"/>
      <c r="F522" s="35" t="str">
        <f aca="false">IF($C522="","",IFERROR(INDEX(PRODUCTOS!$D$6:$D$105,MATCH($C522,PRODUCTOS!$A$6:$A$105,0)),0))</f>
        <v/>
      </c>
      <c r="G522" s="40"/>
      <c r="H522" s="35" t="str">
        <f aca="false">IF($C522="","",N($E522)*$F522-N($G522))</f>
        <v/>
      </c>
      <c r="I522" s="35" t="str">
        <f aca="false">IF($C522="","",$H522-$H522/(1+IFERROR(INDEX(PRODUCTOS!$E$6:$E$105,MATCH($C522,PRODUCTOS!$A$6:$A$105,0)),IVA_VENTAS)))</f>
        <v/>
      </c>
      <c r="J522" s="35" t="str">
        <f aca="false">IF($C522="","",$H522-$I522)</f>
        <v/>
      </c>
      <c r="K522" s="35" t="str">
        <f aca="false">IF($C522="","",N($E522)*IFERROR(INDEX(PRODUCTOS!$H$6:$H$105,MATCH($C522,PRODUCTOS!$A$6:$A$105,0)),0))</f>
        <v/>
      </c>
      <c r="L522" s="35" t="str">
        <f aca="false">IF($C522="","",$J522-$K522)</f>
        <v/>
      </c>
      <c r="M522" s="6"/>
      <c r="N522" s="6"/>
      <c r="O522" s="46" t="str">
        <f aca="false">IF($A522="","",DATE(YEAR($A522),MONTH($A522),1))</f>
        <v/>
      </c>
    </row>
    <row r="523" customFormat="false" ht="15" hidden="false" customHeight="false" outlineLevel="0" collapsed="false">
      <c r="A523" s="44"/>
      <c r="B523" s="6"/>
      <c r="C523" s="6"/>
      <c r="D523" s="8" t="str">
        <f aca="false">IF($C523="","",IFERROR(INDEX(PRODUCTOS!$B$6:$B$105,MATCH($C523,PRODUCTOS!$A$6:$A$105,0)),"¿Código?"))</f>
        <v/>
      </c>
      <c r="E523" s="42"/>
      <c r="F523" s="35" t="str">
        <f aca="false">IF($C523="","",IFERROR(INDEX(PRODUCTOS!$D$6:$D$105,MATCH($C523,PRODUCTOS!$A$6:$A$105,0)),0))</f>
        <v/>
      </c>
      <c r="G523" s="40"/>
      <c r="H523" s="35" t="str">
        <f aca="false">IF($C523="","",N($E523)*$F523-N($G523))</f>
        <v/>
      </c>
      <c r="I523" s="35" t="str">
        <f aca="false">IF($C523="","",$H523-$H523/(1+IFERROR(INDEX(PRODUCTOS!$E$6:$E$105,MATCH($C523,PRODUCTOS!$A$6:$A$105,0)),IVA_VENTAS)))</f>
        <v/>
      </c>
      <c r="J523" s="35" t="str">
        <f aca="false">IF($C523="","",$H523-$I523)</f>
        <v/>
      </c>
      <c r="K523" s="35" t="str">
        <f aca="false">IF($C523="","",N($E523)*IFERROR(INDEX(PRODUCTOS!$H$6:$H$105,MATCH($C523,PRODUCTOS!$A$6:$A$105,0)),0))</f>
        <v/>
      </c>
      <c r="L523" s="35" t="str">
        <f aca="false">IF($C523="","",$J523-$K523)</f>
        <v/>
      </c>
      <c r="M523" s="6"/>
      <c r="N523" s="6"/>
      <c r="O523" s="46" t="str">
        <f aca="false">IF($A523="","",DATE(YEAR($A523),MONTH($A523),1))</f>
        <v/>
      </c>
    </row>
    <row r="524" customFormat="false" ht="15" hidden="false" customHeight="false" outlineLevel="0" collapsed="false">
      <c r="A524" s="44"/>
      <c r="B524" s="6"/>
      <c r="C524" s="6"/>
      <c r="D524" s="8" t="str">
        <f aca="false">IF($C524="","",IFERROR(INDEX(PRODUCTOS!$B$6:$B$105,MATCH($C524,PRODUCTOS!$A$6:$A$105,0)),"¿Código?"))</f>
        <v/>
      </c>
      <c r="E524" s="42"/>
      <c r="F524" s="35" t="str">
        <f aca="false">IF($C524="","",IFERROR(INDEX(PRODUCTOS!$D$6:$D$105,MATCH($C524,PRODUCTOS!$A$6:$A$105,0)),0))</f>
        <v/>
      </c>
      <c r="G524" s="40"/>
      <c r="H524" s="35" t="str">
        <f aca="false">IF($C524="","",N($E524)*$F524-N($G524))</f>
        <v/>
      </c>
      <c r="I524" s="35" t="str">
        <f aca="false">IF($C524="","",$H524-$H524/(1+IFERROR(INDEX(PRODUCTOS!$E$6:$E$105,MATCH($C524,PRODUCTOS!$A$6:$A$105,0)),IVA_VENTAS)))</f>
        <v/>
      </c>
      <c r="J524" s="35" t="str">
        <f aca="false">IF($C524="","",$H524-$I524)</f>
        <v/>
      </c>
      <c r="K524" s="35" t="str">
        <f aca="false">IF($C524="","",N($E524)*IFERROR(INDEX(PRODUCTOS!$H$6:$H$105,MATCH($C524,PRODUCTOS!$A$6:$A$105,0)),0))</f>
        <v/>
      </c>
      <c r="L524" s="35" t="str">
        <f aca="false">IF($C524="","",$J524-$K524)</f>
        <v/>
      </c>
      <c r="M524" s="6"/>
      <c r="N524" s="6"/>
      <c r="O524" s="46" t="str">
        <f aca="false">IF($A524="","",DATE(YEAR($A524),MONTH($A524),1))</f>
        <v/>
      </c>
    </row>
    <row r="525" customFormat="false" ht="15" hidden="false" customHeight="false" outlineLevel="0" collapsed="false">
      <c r="A525" s="44"/>
      <c r="B525" s="6"/>
      <c r="C525" s="6"/>
      <c r="D525" s="8" t="str">
        <f aca="false">IF($C525="","",IFERROR(INDEX(PRODUCTOS!$B$6:$B$105,MATCH($C525,PRODUCTOS!$A$6:$A$105,0)),"¿Código?"))</f>
        <v/>
      </c>
      <c r="E525" s="42"/>
      <c r="F525" s="35" t="str">
        <f aca="false">IF($C525="","",IFERROR(INDEX(PRODUCTOS!$D$6:$D$105,MATCH($C525,PRODUCTOS!$A$6:$A$105,0)),0))</f>
        <v/>
      </c>
      <c r="G525" s="40"/>
      <c r="H525" s="35" t="str">
        <f aca="false">IF($C525="","",N($E525)*$F525-N($G525))</f>
        <v/>
      </c>
      <c r="I525" s="35" t="str">
        <f aca="false">IF($C525="","",$H525-$H525/(1+IFERROR(INDEX(PRODUCTOS!$E$6:$E$105,MATCH($C525,PRODUCTOS!$A$6:$A$105,0)),IVA_VENTAS)))</f>
        <v/>
      </c>
      <c r="J525" s="35" t="str">
        <f aca="false">IF($C525="","",$H525-$I525)</f>
        <v/>
      </c>
      <c r="K525" s="35" t="str">
        <f aca="false">IF($C525="","",N($E525)*IFERROR(INDEX(PRODUCTOS!$H$6:$H$105,MATCH($C525,PRODUCTOS!$A$6:$A$105,0)),0))</f>
        <v/>
      </c>
      <c r="L525" s="35" t="str">
        <f aca="false">IF($C525="","",$J525-$K525)</f>
        <v/>
      </c>
      <c r="M525" s="6"/>
      <c r="N525" s="6"/>
      <c r="O525" s="46" t="str">
        <f aca="false">IF($A525="","",DATE(YEAR($A525),MONTH($A525),1))</f>
        <v/>
      </c>
    </row>
    <row r="526" customFormat="false" ht="15" hidden="false" customHeight="false" outlineLevel="0" collapsed="false">
      <c r="A526" s="44"/>
      <c r="B526" s="6"/>
      <c r="C526" s="6"/>
      <c r="D526" s="8" t="str">
        <f aca="false">IF($C526="","",IFERROR(INDEX(PRODUCTOS!$B$6:$B$105,MATCH($C526,PRODUCTOS!$A$6:$A$105,0)),"¿Código?"))</f>
        <v/>
      </c>
      <c r="E526" s="42"/>
      <c r="F526" s="35" t="str">
        <f aca="false">IF($C526="","",IFERROR(INDEX(PRODUCTOS!$D$6:$D$105,MATCH($C526,PRODUCTOS!$A$6:$A$105,0)),0))</f>
        <v/>
      </c>
      <c r="G526" s="40"/>
      <c r="H526" s="35" t="str">
        <f aca="false">IF($C526="","",N($E526)*$F526-N($G526))</f>
        <v/>
      </c>
      <c r="I526" s="35" t="str">
        <f aca="false">IF($C526="","",$H526-$H526/(1+IFERROR(INDEX(PRODUCTOS!$E$6:$E$105,MATCH($C526,PRODUCTOS!$A$6:$A$105,0)),IVA_VENTAS)))</f>
        <v/>
      </c>
      <c r="J526" s="35" t="str">
        <f aca="false">IF($C526="","",$H526-$I526)</f>
        <v/>
      </c>
      <c r="K526" s="35" t="str">
        <f aca="false">IF($C526="","",N($E526)*IFERROR(INDEX(PRODUCTOS!$H$6:$H$105,MATCH($C526,PRODUCTOS!$A$6:$A$105,0)),0))</f>
        <v/>
      </c>
      <c r="L526" s="35" t="str">
        <f aca="false">IF($C526="","",$J526-$K526)</f>
        <v/>
      </c>
      <c r="M526" s="6"/>
      <c r="N526" s="6"/>
      <c r="O526" s="46" t="str">
        <f aca="false">IF($A526="","",DATE(YEAR($A526),MONTH($A526),1))</f>
        <v/>
      </c>
    </row>
    <row r="527" customFormat="false" ht="15" hidden="false" customHeight="false" outlineLevel="0" collapsed="false">
      <c r="A527" s="44"/>
      <c r="B527" s="6"/>
      <c r="C527" s="6"/>
      <c r="D527" s="8" t="str">
        <f aca="false">IF($C527="","",IFERROR(INDEX(PRODUCTOS!$B$6:$B$105,MATCH($C527,PRODUCTOS!$A$6:$A$105,0)),"¿Código?"))</f>
        <v/>
      </c>
      <c r="E527" s="42"/>
      <c r="F527" s="35" t="str">
        <f aca="false">IF($C527="","",IFERROR(INDEX(PRODUCTOS!$D$6:$D$105,MATCH($C527,PRODUCTOS!$A$6:$A$105,0)),0))</f>
        <v/>
      </c>
      <c r="G527" s="40"/>
      <c r="H527" s="35" t="str">
        <f aca="false">IF($C527="","",N($E527)*$F527-N($G527))</f>
        <v/>
      </c>
      <c r="I527" s="35" t="str">
        <f aca="false">IF($C527="","",$H527-$H527/(1+IFERROR(INDEX(PRODUCTOS!$E$6:$E$105,MATCH($C527,PRODUCTOS!$A$6:$A$105,0)),IVA_VENTAS)))</f>
        <v/>
      </c>
      <c r="J527" s="35" t="str">
        <f aca="false">IF($C527="","",$H527-$I527)</f>
        <v/>
      </c>
      <c r="K527" s="35" t="str">
        <f aca="false">IF($C527="","",N($E527)*IFERROR(INDEX(PRODUCTOS!$H$6:$H$105,MATCH($C527,PRODUCTOS!$A$6:$A$105,0)),0))</f>
        <v/>
      </c>
      <c r="L527" s="35" t="str">
        <f aca="false">IF($C527="","",$J527-$K527)</f>
        <v/>
      </c>
      <c r="M527" s="6"/>
      <c r="N527" s="6"/>
      <c r="O527" s="46" t="str">
        <f aca="false">IF($A527="","",DATE(YEAR($A527),MONTH($A527),1))</f>
        <v/>
      </c>
    </row>
    <row r="528" customFormat="false" ht="15" hidden="false" customHeight="false" outlineLevel="0" collapsed="false">
      <c r="A528" s="44"/>
      <c r="B528" s="6"/>
      <c r="C528" s="6"/>
      <c r="D528" s="8" t="str">
        <f aca="false">IF($C528="","",IFERROR(INDEX(PRODUCTOS!$B$6:$B$105,MATCH($C528,PRODUCTOS!$A$6:$A$105,0)),"¿Código?"))</f>
        <v/>
      </c>
      <c r="E528" s="42"/>
      <c r="F528" s="35" t="str">
        <f aca="false">IF($C528="","",IFERROR(INDEX(PRODUCTOS!$D$6:$D$105,MATCH($C528,PRODUCTOS!$A$6:$A$105,0)),0))</f>
        <v/>
      </c>
      <c r="G528" s="40"/>
      <c r="H528" s="35" t="str">
        <f aca="false">IF($C528="","",N($E528)*$F528-N($G528))</f>
        <v/>
      </c>
      <c r="I528" s="35" t="str">
        <f aca="false">IF($C528="","",$H528-$H528/(1+IFERROR(INDEX(PRODUCTOS!$E$6:$E$105,MATCH($C528,PRODUCTOS!$A$6:$A$105,0)),IVA_VENTAS)))</f>
        <v/>
      </c>
      <c r="J528" s="35" t="str">
        <f aca="false">IF($C528="","",$H528-$I528)</f>
        <v/>
      </c>
      <c r="K528" s="35" t="str">
        <f aca="false">IF($C528="","",N($E528)*IFERROR(INDEX(PRODUCTOS!$H$6:$H$105,MATCH($C528,PRODUCTOS!$A$6:$A$105,0)),0))</f>
        <v/>
      </c>
      <c r="L528" s="35" t="str">
        <f aca="false">IF($C528="","",$J528-$K528)</f>
        <v/>
      </c>
      <c r="M528" s="6"/>
      <c r="N528" s="6"/>
      <c r="O528" s="46" t="str">
        <f aca="false">IF($A528="","",DATE(YEAR($A528),MONTH($A528),1))</f>
        <v/>
      </c>
    </row>
    <row r="529" customFormat="false" ht="15" hidden="false" customHeight="false" outlineLevel="0" collapsed="false">
      <c r="A529" s="44"/>
      <c r="B529" s="6"/>
      <c r="C529" s="6"/>
      <c r="D529" s="8" t="str">
        <f aca="false">IF($C529="","",IFERROR(INDEX(PRODUCTOS!$B$6:$B$105,MATCH($C529,PRODUCTOS!$A$6:$A$105,0)),"¿Código?"))</f>
        <v/>
      </c>
      <c r="E529" s="42"/>
      <c r="F529" s="35" t="str">
        <f aca="false">IF($C529="","",IFERROR(INDEX(PRODUCTOS!$D$6:$D$105,MATCH($C529,PRODUCTOS!$A$6:$A$105,0)),0))</f>
        <v/>
      </c>
      <c r="G529" s="40"/>
      <c r="H529" s="35" t="str">
        <f aca="false">IF($C529="","",N($E529)*$F529-N($G529))</f>
        <v/>
      </c>
      <c r="I529" s="35" t="str">
        <f aca="false">IF($C529="","",$H529-$H529/(1+IFERROR(INDEX(PRODUCTOS!$E$6:$E$105,MATCH($C529,PRODUCTOS!$A$6:$A$105,0)),IVA_VENTAS)))</f>
        <v/>
      </c>
      <c r="J529" s="35" t="str">
        <f aca="false">IF($C529="","",$H529-$I529)</f>
        <v/>
      </c>
      <c r="K529" s="35" t="str">
        <f aca="false">IF($C529="","",N($E529)*IFERROR(INDEX(PRODUCTOS!$H$6:$H$105,MATCH($C529,PRODUCTOS!$A$6:$A$105,0)),0))</f>
        <v/>
      </c>
      <c r="L529" s="35" t="str">
        <f aca="false">IF($C529="","",$J529-$K529)</f>
        <v/>
      </c>
      <c r="M529" s="6"/>
      <c r="N529" s="6"/>
      <c r="O529" s="46" t="str">
        <f aca="false">IF($A529="","",DATE(YEAR($A529),MONTH($A529),1))</f>
        <v/>
      </c>
    </row>
    <row r="530" customFormat="false" ht="15" hidden="false" customHeight="false" outlineLevel="0" collapsed="false">
      <c r="A530" s="44"/>
      <c r="B530" s="6"/>
      <c r="C530" s="6"/>
      <c r="D530" s="8" t="str">
        <f aca="false">IF($C530="","",IFERROR(INDEX(PRODUCTOS!$B$6:$B$105,MATCH($C530,PRODUCTOS!$A$6:$A$105,0)),"¿Código?"))</f>
        <v/>
      </c>
      <c r="E530" s="42"/>
      <c r="F530" s="35" t="str">
        <f aca="false">IF($C530="","",IFERROR(INDEX(PRODUCTOS!$D$6:$D$105,MATCH($C530,PRODUCTOS!$A$6:$A$105,0)),0))</f>
        <v/>
      </c>
      <c r="G530" s="40"/>
      <c r="H530" s="35" t="str">
        <f aca="false">IF($C530="","",N($E530)*$F530-N($G530))</f>
        <v/>
      </c>
      <c r="I530" s="35" t="str">
        <f aca="false">IF($C530="","",$H530-$H530/(1+IFERROR(INDEX(PRODUCTOS!$E$6:$E$105,MATCH($C530,PRODUCTOS!$A$6:$A$105,0)),IVA_VENTAS)))</f>
        <v/>
      </c>
      <c r="J530" s="35" t="str">
        <f aca="false">IF($C530="","",$H530-$I530)</f>
        <v/>
      </c>
      <c r="K530" s="35" t="str">
        <f aca="false">IF($C530="","",N($E530)*IFERROR(INDEX(PRODUCTOS!$H$6:$H$105,MATCH($C530,PRODUCTOS!$A$6:$A$105,0)),0))</f>
        <v/>
      </c>
      <c r="L530" s="35" t="str">
        <f aca="false">IF($C530="","",$J530-$K530)</f>
        <v/>
      </c>
      <c r="M530" s="6"/>
      <c r="N530" s="6"/>
      <c r="O530" s="46" t="str">
        <f aca="false">IF($A530="","",DATE(YEAR($A530),MONTH($A530),1))</f>
        <v/>
      </c>
    </row>
    <row r="531" customFormat="false" ht="15" hidden="false" customHeight="false" outlineLevel="0" collapsed="false">
      <c r="A531" s="44"/>
      <c r="B531" s="6"/>
      <c r="C531" s="6"/>
      <c r="D531" s="8" t="str">
        <f aca="false">IF($C531="","",IFERROR(INDEX(PRODUCTOS!$B$6:$B$105,MATCH($C531,PRODUCTOS!$A$6:$A$105,0)),"¿Código?"))</f>
        <v/>
      </c>
      <c r="E531" s="42"/>
      <c r="F531" s="35" t="str">
        <f aca="false">IF($C531="","",IFERROR(INDEX(PRODUCTOS!$D$6:$D$105,MATCH($C531,PRODUCTOS!$A$6:$A$105,0)),0))</f>
        <v/>
      </c>
      <c r="G531" s="40"/>
      <c r="H531" s="35" t="str">
        <f aca="false">IF($C531="","",N($E531)*$F531-N($G531))</f>
        <v/>
      </c>
      <c r="I531" s="35" t="str">
        <f aca="false">IF($C531="","",$H531-$H531/(1+IFERROR(INDEX(PRODUCTOS!$E$6:$E$105,MATCH($C531,PRODUCTOS!$A$6:$A$105,0)),IVA_VENTAS)))</f>
        <v/>
      </c>
      <c r="J531" s="35" t="str">
        <f aca="false">IF($C531="","",$H531-$I531)</f>
        <v/>
      </c>
      <c r="K531" s="35" t="str">
        <f aca="false">IF($C531="","",N($E531)*IFERROR(INDEX(PRODUCTOS!$H$6:$H$105,MATCH($C531,PRODUCTOS!$A$6:$A$105,0)),0))</f>
        <v/>
      </c>
      <c r="L531" s="35" t="str">
        <f aca="false">IF($C531="","",$J531-$K531)</f>
        <v/>
      </c>
      <c r="M531" s="6"/>
      <c r="N531" s="6"/>
      <c r="O531" s="46" t="str">
        <f aca="false">IF($A531="","",DATE(YEAR($A531),MONTH($A531),1))</f>
        <v/>
      </c>
    </row>
    <row r="532" customFormat="false" ht="15" hidden="false" customHeight="false" outlineLevel="0" collapsed="false">
      <c r="A532" s="44"/>
      <c r="B532" s="6"/>
      <c r="C532" s="6"/>
      <c r="D532" s="8" t="str">
        <f aca="false">IF($C532="","",IFERROR(INDEX(PRODUCTOS!$B$6:$B$105,MATCH($C532,PRODUCTOS!$A$6:$A$105,0)),"¿Código?"))</f>
        <v/>
      </c>
      <c r="E532" s="42"/>
      <c r="F532" s="35" t="str">
        <f aca="false">IF($C532="","",IFERROR(INDEX(PRODUCTOS!$D$6:$D$105,MATCH($C532,PRODUCTOS!$A$6:$A$105,0)),0))</f>
        <v/>
      </c>
      <c r="G532" s="40"/>
      <c r="H532" s="35" t="str">
        <f aca="false">IF($C532="","",N($E532)*$F532-N($G532))</f>
        <v/>
      </c>
      <c r="I532" s="35" t="str">
        <f aca="false">IF($C532="","",$H532-$H532/(1+IFERROR(INDEX(PRODUCTOS!$E$6:$E$105,MATCH($C532,PRODUCTOS!$A$6:$A$105,0)),IVA_VENTAS)))</f>
        <v/>
      </c>
      <c r="J532" s="35" t="str">
        <f aca="false">IF($C532="","",$H532-$I532)</f>
        <v/>
      </c>
      <c r="K532" s="35" t="str">
        <f aca="false">IF($C532="","",N($E532)*IFERROR(INDEX(PRODUCTOS!$H$6:$H$105,MATCH($C532,PRODUCTOS!$A$6:$A$105,0)),0))</f>
        <v/>
      </c>
      <c r="L532" s="35" t="str">
        <f aca="false">IF($C532="","",$J532-$K532)</f>
        <v/>
      </c>
      <c r="M532" s="6"/>
      <c r="N532" s="6"/>
      <c r="O532" s="46" t="str">
        <f aca="false">IF($A532="","",DATE(YEAR($A532),MONTH($A532),1))</f>
        <v/>
      </c>
    </row>
    <row r="533" customFormat="false" ht="15" hidden="false" customHeight="false" outlineLevel="0" collapsed="false">
      <c r="A533" s="44"/>
      <c r="B533" s="6"/>
      <c r="C533" s="6"/>
      <c r="D533" s="8" t="str">
        <f aca="false">IF($C533="","",IFERROR(INDEX(PRODUCTOS!$B$6:$B$105,MATCH($C533,PRODUCTOS!$A$6:$A$105,0)),"¿Código?"))</f>
        <v/>
      </c>
      <c r="E533" s="42"/>
      <c r="F533" s="35" t="str">
        <f aca="false">IF($C533="","",IFERROR(INDEX(PRODUCTOS!$D$6:$D$105,MATCH($C533,PRODUCTOS!$A$6:$A$105,0)),0))</f>
        <v/>
      </c>
      <c r="G533" s="40"/>
      <c r="H533" s="35" t="str">
        <f aca="false">IF($C533="","",N($E533)*$F533-N($G533))</f>
        <v/>
      </c>
      <c r="I533" s="35" t="str">
        <f aca="false">IF($C533="","",$H533-$H533/(1+IFERROR(INDEX(PRODUCTOS!$E$6:$E$105,MATCH($C533,PRODUCTOS!$A$6:$A$105,0)),IVA_VENTAS)))</f>
        <v/>
      </c>
      <c r="J533" s="35" t="str">
        <f aca="false">IF($C533="","",$H533-$I533)</f>
        <v/>
      </c>
      <c r="K533" s="35" t="str">
        <f aca="false">IF($C533="","",N($E533)*IFERROR(INDEX(PRODUCTOS!$H$6:$H$105,MATCH($C533,PRODUCTOS!$A$6:$A$105,0)),0))</f>
        <v/>
      </c>
      <c r="L533" s="35" t="str">
        <f aca="false">IF($C533="","",$J533-$K533)</f>
        <v/>
      </c>
      <c r="M533" s="6"/>
      <c r="N533" s="6"/>
      <c r="O533" s="46" t="str">
        <f aca="false">IF($A533="","",DATE(YEAR($A533),MONTH($A533),1))</f>
        <v/>
      </c>
    </row>
    <row r="534" customFormat="false" ht="15" hidden="false" customHeight="false" outlineLevel="0" collapsed="false">
      <c r="A534" s="44"/>
      <c r="B534" s="6"/>
      <c r="C534" s="6"/>
      <c r="D534" s="8" t="str">
        <f aca="false">IF($C534="","",IFERROR(INDEX(PRODUCTOS!$B$6:$B$105,MATCH($C534,PRODUCTOS!$A$6:$A$105,0)),"¿Código?"))</f>
        <v/>
      </c>
      <c r="E534" s="42"/>
      <c r="F534" s="35" t="str">
        <f aca="false">IF($C534="","",IFERROR(INDEX(PRODUCTOS!$D$6:$D$105,MATCH($C534,PRODUCTOS!$A$6:$A$105,0)),0))</f>
        <v/>
      </c>
      <c r="G534" s="40"/>
      <c r="H534" s="35" t="str">
        <f aca="false">IF($C534="","",N($E534)*$F534-N($G534))</f>
        <v/>
      </c>
      <c r="I534" s="35" t="str">
        <f aca="false">IF($C534="","",$H534-$H534/(1+IFERROR(INDEX(PRODUCTOS!$E$6:$E$105,MATCH($C534,PRODUCTOS!$A$6:$A$105,0)),IVA_VENTAS)))</f>
        <v/>
      </c>
      <c r="J534" s="35" t="str">
        <f aca="false">IF($C534="","",$H534-$I534)</f>
        <v/>
      </c>
      <c r="K534" s="35" t="str">
        <f aca="false">IF($C534="","",N($E534)*IFERROR(INDEX(PRODUCTOS!$H$6:$H$105,MATCH($C534,PRODUCTOS!$A$6:$A$105,0)),0))</f>
        <v/>
      </c>
      <c r="L534" s="35" t="str">
        <f aca="false">IF($C534="","",$J534-$K534)</f>
        <v/>
      </c>
      <c r="M534" s="6"/>
      <c r="N534" s="6"/>
      <c r="O534" s="46" t="str">
        <f aca="false">IF($A534="","",DATE(YEAR($A534),MONTH($A534),1))</f>
        <v/>
      </c>
    </row>
    <row r="535" customFormat="false" ht="15" hidden="false" customHeight="false" outlineLevel="0" collapsed="false">
      <c r="A535" s="44"/>
      <c r="B535" s="6"/>
      <c r="C535" s="6"/>
      <c r="D535" s="8" t="str">
        <f aca="false">IF($C535="","",IFERROR(INDEX(PRODUCTOS!$B$6:$B$105,MATCH($C535,PRODUCTOS!$A$6:$A$105,0)),"¿Código?"))</f>
        <v/>
      </c>
      <c r="E535" s="42"/>
      <c r="F535" s="35" t="str">
        <f aca="false">IF($C535="","",IFERROR(INDEX(PRODUCTOS!$D$6:$D$105,MATCH($C535,PRODUCTOS!$A$6:$A$105,0)),0))</f>
        <v/>
      </c>
      <c r="G535" s="40"/>
      <c r="H535" s="35" t="str">
        <f aca="false">IF($C535="","",N($E535)*$F535-N($G535))</f>
        <v/>
      </c>
      <c r="I535" s="35" t="str">
        <f aca="false">IF($C535="","",$H535-$H535/(1+IFERROR(INDEX(PRODUCTOS!$E$6:$E$105,MATCH($C535,PRODUCTOS!$A$6:$A$105,0)),IVA_VENTAS)))</f>
        <v/>
      </c>
      <c r="J535" s="35" t="str">
        <f aca="false">IF($C535="","",$H535-$I535)</f>
        <v/>
      </c>
      <c r="K535" s="35" t="str">
        <f aca="false">IF($C535="","",N($E535)*IFERROR(INDEX(PRODUCTOS!$H$6:$H$105,MATCH($C535,PRODUCTOS!$A$6:$A$105,0)),0))</f>
        <v/>
      </c>
      <c r="L535" s="35" t="str">
        <f aca="false">IF($C535="","",$J535-$K535)</f>
        <v/>
      </c>
      <c r="M535" s="6"/>
      <c r="N535" s="6"/>
      <c r="O535" s="46" t="str">
        <f aca="false">IF($A535="","",DATE(YEAR($A535),MONTH($A535),1))</f>
        <v/>
      </c>
    </row>
    <row r="536" customFormat="false" ht="15" hidden="false" customHeight="false" outlineLevel="0" collapsed="false">
      <c r="A536" s="44"/>
      <c r="B536" s="6"/>
      <c r="C536" s="6"/>
      <c r="D536" s="8" t="str">
        <f aca="false">IF($C536="","",IFERROR(INDEX(PRODUCTOS!$B$6:$B$105,MATCH($C536,PRODUCTOS!$A$6:$A$105,0)),"¿Código?"))</f>
        <v/>
      </c>
      <c r="E536" s="42"/>
      <c r="F536" s="35" t="str">
        <f aca="false">IF($C536="","",IFERROR(INDEX(PRODUCTOS!$D$6:$D$105,MATCH($C536,PRODUCTOS!$A$6:$A$105,0)),0))</f>
        <v/>
      </c>
      <c r="G536" s="40"/>
      <c r="H536" s="35" t="str">
        <f aca="false">IF($C536="","",N($E536)*$F536-N($G536))</f>
        <v/>
      </c>
      <c r="I536" s="35" t="str">
        <f aca="false">IF($C536="","",$H536-$H536/(1+IFERROR(INDEX(PRODUCTOS!$E$6:$E$105,MATCH($C536,PRODUCTOS!$A$6:$A$105,0)),IVA_VENTAS)))</f>
        <v/>
      </c>
      <c r="J536" s="35" t="str">
        <f aca="false">IF($C536="","",$H536-$I536)</f>
        <v/>
      </c>
      <c r="K536" s="35" t="str">
        <f aca="false">IF($C536="","",N($E536)*IFERROR(INDEX(PRODUCTOS!$H$6:$H$105,MATCH($C536,PRODUCTOS!$A$6:$A$105,0)),0))</f>
        <v/>
      </c>
      <c r="L536" s="35" t="str">
        <f aca="false">IF($C536="","",$J536-$K536)</f>
        <v/>
      </c>
      <c r="M536" s="6"/>
      <c r="N536" s="6"/>
      <c r="O536" s="46" t="str">
        <f aca="false">IF($A536="","",DATE(YEAR($A536),MONTH($A536),1))</f>
        <v/>
      </c>
    </row>
    <row r="537" customFormat="false" ht="15" hidden="false" customHeight="false" outlineLevel="0" collapsed="false">
      <c r="A537" s="44"/>
      <c r="B537" s="6"/>
      <c r="C537" s="6"/>
      <c r="D537" s="8" t="str">
        <f aca="false">IF($C537="","",IFERROR(INDEX(PRODUCTOS!$B$6:$B$105,MATCH($C537,PRODUCTOS!$A$6:$A$105,0)),"¿Código?"))</f>
        <v/>
      </c>
      <c r="E537" s="42"/>
      <c r="F537" s="35" t="str">
        <f aca="false">IF($C537="","",IFERROR(INDEX(PRODUCTOS!$D$6:$D$105,MATCH($C537,PRODUCTOS!$A$6:$A$105,0)),0))</f>
        <v/>
      </c>
      <c r="G537" s="40"/>
      <c r="H537" s="35" t="str">
        <f aca="false">IF($C537="","",N($E537)*$F537-N($G537))</f>
        <v/>
      </c>
      <c r="I537" s="35" t="str">
        <f aca="false">IF($C537="","",$H537-$H537/(1+IFERROR(INDEX(PRODUCTOS!$E$6:$E$105,MATCH($C537,PRODUCTOS!$A$6:$A$105,0)),IVA_VENTAS)))</f>
        <v/>
      </c>
      <c r="J537" s="35" t="str">
        <f aca="false">IF($C537="","",$H537-$I537)</f>
        <v/>
      </c>
      <c r="K537" s="35" t="str">
        <f aca="false">IF($C537="","",N($E537)*IFERROR(INDEX(PRODUCTOS!$H$6:$H$105,MATCH($C537,PRODUCTOS!$A$6:$A$105,0)),0))</f>
        <v/>
      </c>
      <c r="L537" s="35" t="str">
        <f aca="false">IF($C537="","",$J537-$K537)</f>
        <v/>
      </c>
      <c r="M537" s="6"/>
      <c r="N537" s="6"/>
      <c r="O537" s="46" t="str">
        <f aca="false">IF($A537="","",DATE(YEAR($A537),MONTH($A537),1))</f>
        <v/>
      </c>
    </row>
    <row r="538" customFormat="false" ht="15" hidden="false" customHeight="false" outlineLevel="0" collapsed="false">
      <c r="A538" s="44"/>
      <c r="B538" s="6"/>
      <c r="C538" s="6"/>
      <c r="D538" s="8" t="str">
        <f aca="false">IF($C538="","",IFERROR(INDEX(PRODUCTOS!$B$6:$B$105,MATCH($C538,PRODUCTOS!$A$6:$A$105,0)),"¿Código?"))</f>
        <v/>
      </c>
      <c r="E538" s="42"/>
      <c r="F538" s="35" t="str">
        <f aca="false">IF($C538="","",IFERROR(INDEX(PRODUCTOS!$D$6:$D$105,MATCH($C538,PRODUCTOS!$A$6:$A$105,0)),0))</f>
        <v/>
      </c>
      <c r="G538" s="40"/>
      <c r="H538" s="35" t="str">
        <f aca="false">IF($C538="","",N($E538)*$F538-N($G538))</f>
        <v/>
      </c>
      <c r="I538" s="35" t="str">
        <f aca="false">IF($C538="","",$H538-$H538/(1+IFERROR(INDEX(PRODUCTOS!$E$6:$E$105,MATCH($C538,PRODUCTOS!$A$6:$A$105,0)),IVA_VENTAS)))</f>
        <v/>
      </c>
      <c r="J538" s="35" t="str">
        <f aca="false">IF($C538="","",$H538-$I538)</f>
        <v/>
      </c>
      <c r="K538" s="35" t="str">
        <f aca="false">IF($C538="","",N($E538)*IFERROR(INDEX(PRODUCTOS!$H$6:$H$105,MATCH($C538,PRODUCTOS!$A$6:$A$105,0)),0))</f>
        <v/>
      </c>
      <c r="L538" s="35" t="str">
        <f aca="false">IF($C538="","",$J538-$K538)</f>
        <v/>
      </c>
      <c r="M538" s="6"/>
      <c r="N538" s="6"/>
      <c r="O538" s="46" t="str">
        <f aca="false">IF($A538="","",DATE(YEAR($A538),MONTH($A538),1))</f>
        <v/>
      </c>
    </row>
    <row r="539" customFormat="false" ht="15" hidden="false" customHeight="false" outlineLevel="0" collapsed="false">
      <c r="A539" s="44"/>
      <c r="B539" s="6"/>
      <c r="C539" s="6"/>
      <c r="D539" s="8" t="str">
        <f aca="false">IF($C539="","",IFERROR(INDEX(PRODUCTOS!$B$6:$B$105,MATCH($C539,PRODUCTOS!$A$6:$A$105,0)),"¿Código?"))</f>
        <v/>
      </c>
      <c r="E539" s="42"/>
      <c r="F539" s="35" t="str">
        <f aca="false">IF($C539="","",IFERROR(INDEX(PRODUCTOS!$D$6:$D$105,MATCH($C539,PRODUCTOS!$A$6:$A$105,0)),0))</f>
        <v/>
      </c>
      <c r="G539" s="40"/>
      <c r="H539" s="35" t="str">
        <f aca="false">IF($C539="","",N($E539)*$F539-N($G539))</f>
        <v/>
      </c>
      <c r="I539" s="35" t="str">
        <f aca="false">IF($C539="","",$H539-$H539/(1+IFERROR(INDEX(PRODUCTOS!$E$6:$E$105,MATCH($C539,PRODUCTOS!$A$6:$A$105,0)),IVA_VENTAS)))</f>
        <v/>
      </c>
      <c r="J539" s="35" t="str">
        <f aca="false">IF($C539="","",$H539-$I539)</f>
        <v/>
      </c>
      <c r="K539" s="35" t="str">
        <f aca="false">IF($C539="","",N($E539)*IFERROR(INDEX(PRODUCTOS!$H$6:$H$105,MATCH($C539,PRODUCTOS!$A$6:$A$105,0)),0))</f>
        <v/>
      </c>
      <c r="L539" s="35" t="str">
        <f aca="false">IF($C539="","",$J539-$K539)</f>
        <v/>
      </c>
      <c r="M539" s="6"/>
      <c r="N539" s="6"/>
      <c r="O539" s="46" t="str">
        <f aca="false">IF($A539="","",DATE(YEAR($A539),MONTH($A539),1))</f>
        <v/>
      </c>
    </row>
    <row r="540" customFormat="false" ht="15" hidden="false" customHeight="false" outlineLevel="0" collapsed="false">
      <c r="A540" s="44"/>
      <c r="B540" s="6"/>
      <c r="C540" s="6"/>
      <c r="D540" s="8" t="str">
        <f aca="false">IF($C540="","",IFERROR(INDEX(PRODUCTOS!$B$6:$B$105,MATCH($C540,PRODUCTOS!$A$6:$A$105,0)),"¿Código?"))</f>
        <v/>
      </c>
      <c r="E540" s="42"/>
      <c r="F540" s="35" t="str">
        <f aca="false">IF($C540="","",IFERROR(INDEX(PRODUCTOS!$D$6:$D$105,MATCH($C540,PRODUCTOS!$A$6:$A$105,0)),0))</f>
        <v/>
      </c>
      <c r="G540" s="40"/>
      <c r="H540" s="35" t="str">
        <f aca="false">IF($C540="","",N($E540)*$F540-N($G540))</f>
        <v/>
      </c>
      <c r="I540" s="35" t="str">
        <f aca="false">IF($C540="","",$H540-$H540/(1+IFERROR(INDEX(PRODUCTOS!$E$6:$E$105,MATCH($C540,PRODUCTOS!$A$6:$A$105,0)),IVA_VENTAS)))</f>
        <v/>
      </c>
      <c r="J540" s="35" t="str">
        <f aca="false">IF($C540="","",$H540-$I540)</f>
        <v/>
      </c>
      <c r="K540" s="35" t="str">
        <f aca="false">IF($C540="","",N($E540)*IFERROR(INDEX(PRODUCTOS!$H$6:$H$105,MATCH($C540,PRODUCTOS!$A$6:$A$105,0)),0))</f>
        <v/>
      </c>
      <c r="L540" s="35" t="str">
        <f aca="false">IF($C540="","",$J540-$K540)</f>
        <v/>
      </c>
      <c r="M540" s="6"/>
      <c r="N540" s="6"/>
      <c r="O540" s="46" t="str">
        <f aca="false">IF($A540="","",DATE(YEAR($A540),MONTH($A540),1))</f>
        <v/>
      </c>
    </row>
    <row r="541" customFormat="false" ht="15" hidden="false" customHeight="false" outlineLevel="0" collapsed="false">
      <c r="A541" s="44"/>
      <c r="B541" s="6"/>
      <c r="C541" s="6"/>
      <c r="D541" s="8" t="str">
        <f aca="false">IF($C541="","",IFERROR(INDEX(PRODUCTOS!$B$6:$B$105,MATCH($C541,PRODUCTOS!$A$6:$A$105,0)),"¿Código?"))</f>
        <v/>
      </c>
      <c r="E541" s="42"/>
      <c r="F541" s="35" t="str">
        <f aca="false">IF($C541="","",IFERROR(INDEX(PRODUCTOS!$D$6:$D$105,MATCH($C541,PRODUCTOS!$A$6:$A$105,0)),0))</f>
        <v/>
      </c>
      <c r="G541" s="40"/>
      <c r="H541" s="35" t="str">
        <f aca="false">IF($C541="","",N($E541)*$F541-N($G541))</f>
        <v/>
      </c>
      <c r="I541" s="35" t="str">
        <f aca="false">IF($C541="","",$H541-$H541/(1+IFERROR(INDEX(PRODUCTOS!$E$6:$E$105,MATCH($C541,PRODUCTOS!$A$6:$A$105,0)),IVA_VENTAS)))</f>
        <v/>
      </c>
      <c r="J541" s="35" t="str">
        <f aca="false">IF($C541="","",$H541-$I541)</f>
        <v/>
      </c>
      <c r="K541" s="35" t="str">
        <f aca="false">IF($C541="","",N($E541)*IFERROR(INDEX(PRODUCTOS!$H$6:$H$105,MATCH($C541,PRODUCTOS!$A$6:$A$105,0)),0))</f>
        <v/>
      </c>
      <c r="L541" s="35" t="str">
        <f aca="false">IF($C541="","",$J541-$K541)</f>
        <v/>
      </c>
      <c r="M541" s="6"/>
      <c r="N541" s="6"/>
      <c r="O541" s="46" t="str">
        <f aca="false">IF($A541="","",DATE(YEAR($A541),MONTH($A541),1))</f>
        <v/>
      </c>
    </row>
    <row r="542" customFormat="false" ht="15" hidden="false" customHeight="false" outlineLevel="0" collapsed="false">
      <c r="A542" s="44"/>
      <c r="B542" s="6"/>
      <c r="C542" s="6"/>
      <c r="D542" s="8" t="str">
        <f aca="false">IF($C542="","",IFERROR(INDEX(PRODUCTOS!$B$6:$B$105,MATCH($C542,PRODUCTOS!$A$6:$A$105,0)),"¿Código?"))</f>
        <v/>
      </c>
      <c r="E542" s="42"/>
      <c r="F542" s="35" t="str">
        <f aca="false">IF($C542="","",IFERROR(INDEX(PRODUCTOS!$D$6:$D$105,MATCH($C542,PRODUCTOS!$A$6:$A$105,0)),0))</f>
        <v/>
      </c>
      <c r="G542" s="40"/>
      <c r="H542" s="35" t="str">
        <f aca="false">IF($C542="","",N($E542)*$F542-N($G542))</f>
        <v/>
      </c>
      <c r="I542" s="35" t="str">
        <f aca="false">IF($C542="","",$H542-$H542/(1+IFERROR(INDEX(PRODUCTOS!$E$6:$E$105,MATCH($C542,PRODUCTOS!$A$6:$A$105,0)),IVA_VENTAS)))</f>
        <v/>
      </c>
      <c r="J542" s="35" t="str">
        <f aca="false">IF($C542="","",$H542-$I542)</f>
        <v/>
      </c>
      <c r="K542" s="35" t="str">
        <f aca="false">IF($C542="","",N($E542)*IFERROR(INDEX(PRODUCTOS!$H$6:$H$105,MATCH($C542,PRODUCTOS!$A$6:$A$105,0)),0))</f>
        <v/>
      </c>
      <c r="L542" s="35" t="str">
        <f aca="false">IF($C542="","",$J542-$K542)</f>
        <v/>
      </c>
      <c r="M542" s="6"/>
      <c r="N542" s="6"/>
      <c r="O542" s="46" t="str">
        <f aca="false">IF($A542="","",DATE(YEAR($A542),MONTH($A542),1))</f>
        <v/>
      </c>
    </row>
    <row r="543" customFormat="false" ht="15" hidden="false" customHeight="false" outlineLevel="0" collapsed="false">
      <c r="A543" s="44"/>
      <c r="B543" s="6"/>
      <c r="C543" s="6"/>
      <c r="D543" s="8" t="str">
        <f aca="false">IF($C543="","",IFERROR(INDEX(PRODUCTOS!$B$6:$B$105,MATCH($C543,PRODUCTOS!$A$6:$A$105,0)),"¿Código?"))</f>
        <v/>
      </c>
      <c r="E543" s="42"/>
      <c r="F543" s="35" t="str">
        <f aca="false">IF($C543="","",IFERROR(INDEX(PRODUCTOS!$D$6:$D$105,MATCH($C543,PRODUCTOS!$A$6:$A$105,0)),0))</f>
        <v/>
      </c>
      <c r="G543" s="40"/>
      <c r="H543" s="35" t="str">
        <f aca="false">IF($C543="","",N($E543)*$F543-N($G543))</f>
        <v/>
      </c>
      <c r="I543" s="35" t="str">
        <f aca="false">IF($C543="","",$H543-$H543/(1+IFERROR(INDEX(PRODUCTOS!$E$6:$E$105,MATCH($C543,PRODUCTOS!$A$6:$A$105,0)),IVA_VENTAS)))</f>
        <v/>
      </c>
      <c r="J543" s="35" t="str">
        <f aca="false">IF($C543="","",$H543-$I543)</f>
        <v/>
      </c>
      <c r="K543" s="35" t="str">
        <f aca="false">IF($C543="","",N($E543)*IFERROR(INDEX(PRODUCTOS!$H$6:$H$105,MATCH($C543,PRODUCTOS!$A$6:$A$105,0)),0))</f>
        <v/>
      </c>
      <c r="L543" s="35" t="str">
        <f aca="false">IF($C543="","",$J543-$K543)</f>
        <v/>
      </c>
      <c r="M543" s="6"/>
      <c r="N543" s="6"/>
      <c r="O543" s="46" t="str">
        <f aca="false">IF($A543="","",DATE(YEAR($A543),MONTH($A543),1))</f>
        <v/>
      </c>
    </row>
    <row r="544" customFormat="false" ht="15" hidden="false" customHeight="false" outlineLevel="0" collapsed="false">
      <c r="A544" s="44"/>
      <c r="B544" s="6"/>
      <c r="C544" s="6"/>
      <c r="D544" s="8" t="str">
        <f aca="false">IF($C544="","",IFERROR(INDEX(PRODUCTOS!$B$6:$B$105,MATCH($C544,PRODUCTOS!$A$6:$A$105,0)),"¿Código?"))</f>
        <v/>
      </c>
      <c r="E544" s="42"/>
      <c r="F544" s="35" t="str">
        <f aca="false">IF($C544="","",IFERROR(INDEX(PRODUCTOS!$D$6:$D$105,MATCH($C544,PRODUCTOS!$A$6:$A$105,0)),0))</f>
        <v/>
      </c>
      <c r="G544" s="40"/>
      <c r="H544" s="35" t="str">
        <f aca="false">IF($C544="","",N($E544)*$F544-N($G544))</f>
        <v/>
      </c>
      <c r="I544" s="35" t="str">
        <f aca="false">IF($C544="","",$H544-$H544/(1+IFERROR(INDEX(PRODUCTOS!$E$6:$E$105,MATCH($C544,PRODUCTOS!$A$6:$A$105,0)),IVA_VENTAS)))</f>
        <v/>
      </c>
      <c r="J544" s="35" t="str">
        <f aca="false">IF($C544="","",$H544-$I544)</f>
        <v/>
      </c>
      <c r="K544" s="35" t="str">
        <f aca="false">IF($C544="","",N($E544)*IFERROR(INDEX(PRODUCTOS!$H$6:$H$105,MATCH($C544,PRODUCTOS!$A$6:$A$105,0)),0))</f>
        <v/>
      </c>
      <c r="L544" s="35" t="str">
        <f aca="false">IF($C544="","",$J544-$K544)</f>
        <v/>
      </c>
      <c r="M544" s="6"/>
      <c r="N544" s="6"/>
      <c r="O544" s="46" t="str">
        <f aca="false">IF($A544="","",DATE(YEAR($A544),MONTH($A544),1))</f>
        <v/>
      </c>
    </row>
    <row r="545" customFormat="false" ht="15" hidden="false" customHeight="false" outlineLevel="0" collapsed="false">
      <c r="A545" s="44"/>
      <c r="B545" s="6"/>
      <c r="C545" s="6"/>
      <c r="D545" s="8" t="str">
        <f aca="false">IF($C545="","",IFERROR(INDEX(PRODUCTOS!$B$6:$B$105,MATCH($C545,PRODUCTOS!$A$6:$A$105,0)),"¿Código?"))</f>
        <v/>
      </c>
      <c r="E545" s="42"/>
      <c r="F545" s="35" t="str">
        <f aca="false">IF($C545="","",IFERROR(INDEX(PRODUCTOS!$D$6:$D$105,MATCH($C545,PRODUCTOS!$A$6:$A$105,0)),0))</f>
        <v/>
      </c>
      <c r="G545" s="40"/>
      <c r="H545" s="35" t="str">
        <f aca="false">IF($C545="","",N($E545)*$F545-N($G545))</f>
        <v/>
      </c>
      <c r="I545" s="35" t="str">
        <f aca="false">IF($C545="","",$H545-$H545/(1+IFERROR(INDEX(PRODUCTOS!$E$6:$E$105,MATCH($C545,PRODUCTOS!$A$6:$A$105,0)),IVA_VENTAS)))</f>
        <v/>
      </c>
      <c r="J545" s="35" t="str">
        <f aca="false">IF($C545="","",$H545-$I545)</f>
        <v/>
      </c>
      <c r="K545" s="35" t="str">
        <f aca="false">IF($C545="","",N($E545)*IFERROR(INDEX(PRODUCTOS!$H$6:$H$105,MATCH($C545,PRODUCTOS!$A$6:$A$105,0)),0))</f>
        <v/>
      </c>
      <c r="L545" s="35" t="str">
        <f aca="false">IF($C545="","",$J545-$K545)</f>
        <v/>
      </c>
      <c r="M545" s="6"/>
      <c r="N545" s="6"/>
      <c r="O545" s="46" t="str">
        <f aca="false">IF($A545="","",DATE(YEAR($A545),MONTH($A545),1))</f>
        <v/>
      </c>
    </row>
    <row r="546" customFormat="false" ht="15" hidden="false" customHeight="false" outlineLevel="0" collapsed="false">
      <c r="A546" s="44"/>
      <c r="B546" s="6"/>
      <c r="C546" s="6"/>
      <c r="D546" s="8" t="str">
        <f aca="false">IF($C546="","",IFERROR(INDEX(PRODUCTOS!$B$6:$B$105,MATCH($C546,PRODUCTOS!$A$6:$A$105,0)),"¿Código?"))</f>
        <v/>
      </c>
      <c r="E546" s="42"/>
      <c r="F546" s="35" t="str">
        <f aca="false">IF($C546="","",IFERROR(INDEX(PRODUCTOS!$D$6:$D$105,MATCH($C546,PRODUCTOS!$A$6:$A$105,0)),0))</f>
        <v/>
      </c>
      <c r="G546" s="40"/>
      <c r="H546" s="35" t="str">
        <f aca="false">IF($C546="","",N($E546)*$F546-N($G546))</f>
        <v/>
      </c>
      <c r="I546" s="35" t="str">
        <f aca="false">IF($C546="","",$H546-$H546/(1+IFERROR(INDEX(PRODUCTOS!$E$6:$E$105,MATCH($C546,PRODUCTOS!$A$6:$A$105,0)),IVA_VENTAS)))</f>
        <v/>
      </c>
      <c r="J546" s="35" t="str">
        <f aca="false">IF($C546="","",$H546-$I546)</f>
        <v/>
      </c>
      <c r="K546" s="35" t="str">
        <f aca="false">IF($C546="","",N($E546)*IFERROR(INDEX(PRODUCTOS!$H$6:$H$105,MATCH($C546,PRODUCTOS!$A$6:$A$105,0)),0))</f>
        <v/>
      </c>
      <c r="L546" s="35" t="str">
        <f aca="false">IF($C546="","",$J546-$K546)</f>
        <v/>
      </c>
      <c r="M546" s="6"/>
      <c r="N546" s="6"/>
      <c r="O546" s="46" t="str">
        <f aca="false">IF($A546="","",DATE(YEAR($A546),MONTH($A546),1))</f>
        <v/>
      </c>
    </row>
    <row r="547" customFormat="false" ht="15" hidden="false" customHeight="false" outlineLevel="0" collapsed="false">
      <c r="A547" s="44"/>
      <c r="B547" s="6"/>
      <c r="C547" s="6"/>
      <c r="D547" s="8" t="str">
        <f aca="false">IF($C547="","",IFERROR(INDEX(PRODUCTOS!$B$6:$B$105,MATCH($C547,PRODUCTOS!$A$6:$A$105,0)),"¿Código?"))</f>
        <v/>
      </c>
      <c r="E547" s="42"/>
      <c r="F547" s="35" t="str">
        <f aca="false">IF($C547="","",IFERROR(INDEX(PRODUCTOS!$D$6:$D$105,MATCH($C547,PRODUCTOS!$A$6:$A$105,0)),0))</f>
        <v/>
      </c>
      <c r="G547" s="40"/>
      <c r="H547" s="35" t="str">
        <f aca="false">IF($C547="","",N($E547)*$F547-N($G547))</f>
        <v/>
      </c>
      <c r="I547" s="35" t="str">
        <f aca="false">IF($C547="","",$H547-$H547/(1+IFERROR(INDEX(PRODUCTOS!$E$6:$E$105,MATCH($C547,PRODUCTOS!$A$6:$A$105,0)),IVA_VENTAS)))</f>
        <v/>
      </c>
      <c r="J547" s="35" t="str">
        <f aca="false">IF($C547="","",$H547-$I547)</f>
        <v/>
      </c>
      <c r="K547" s="35" t="str">
        <f aca="false">IF($C547="","",N($E547)*IFERROR(INDEX(PRODUCTOS!$H$6:$H$105,MATCH($C547,PRODUCTOS!$A$6:$A$105,0)),0))</f>
        <v/>
      </c>
      <c r="L547" s="35" t="str">
        <f aca="false">IF($C547="","",$J547-$K547)</f>
        <v/>
      </c>
      <c r="M547" s="6"/>
      <c r="N547" s="6"/>
      <c r="O547" s="46" t="str">
        <f aca="false">IF($A547="","",DATE(YEAR($A547),MONTH($A547),1))</f>
        <v/>
      </c>
    </row>
    <row r="548" customFormat="false" ht="15" hidden="false" customHeight="false" outlineLevel="0" collapsed="false">
      <c r="A548" s="44"/>
      <c r="B548" s="6"/>
      <c r="C548" s="6"/>
      <c r="D548" s="8" t="str">
        <f aca="false">IF($C548="","",IFERROR(INDEX(PRODUCTOS!$B$6:$B$105,MATCH($C548,PRODUCTOS!$A$6:$A$105,0)),"¿Código?"))</f>
        <v/>
      </c>
      <c r="E548" s="42"/>
      <c r="F548" s="35" t="str">
        <f aca="false">IF($C548="","",IFERROR(INDEX(PRODUCTOS!$D$6:$D$105,MATCH($C548,PRODUCTOS!$A$6:$A$105,0)),0))</f>
        <v/>
      </c>
      <c r="G548" s="40"/>
      <c r="H548" s="35" t="str">
        <f aca="false">IF($C548="","",N($E548)*$F548-N($G548))</f>
        <v/>
      </c>
      <c r="I548" s="35" t="str">
        <f aca="false">IF($C548="","",$H548-$H548/(1+IFERROR(INDEX(PRODUCTOS!$E$6:$E$105,MATCH($C548,PRODUCTOS!$A$6:$A$105,0)),IVA_VENTAS)))</f>
        <v/>
      </c>
      <c r="J548" s="35" t="str">
        <f aca="false">IF($C548="","",$H548-$I548)</f>
        <v/>
      </c>
      <c r="K548" s="35" t="str">
        <f aca="false">IF($C548="","",N($E548)*IFERROR(INDEX(PRODUCTOS!$H$6:$H$105,MATCH($C548,PRODUCTOS!$A$6:$A$105,0)),0))</f>
        <v/>
      </c>
      <c r="L548" s="35" t="str">
        <f aca="false">IF($C548="","",$J548-$K548)</f>
        <v/>
      </c>
      <c r="M548" s="6"/>
      <c r="N548" s="6"/>
      <c r="O548" s="46" t="str">
        <f aca="false">IF($A548="","",DATE(YEAR($A548),MONTH($A548),1))</f>
        <v/>
      </c>
    </row>
    <row r="549" customFormat="false" ht="15" hidden="false" customHeight="false" outlineLevel="0" collapsed="false">
      <c r="A549" s="44"/>
      <c r="B549" s="6"/>
      <c r="C549" s="6"/>
      <c r="D549" s="8" t="str">
        <f aca="false">IF($C549="","",IFERROR(INDEX(PRODUCTOS!$B$6:$B$105,MATCH($C549,PRODUCTOS!$A$6:$A$105,0)),"¿Código?"))</f>
        <v/>
      </c>
      <c r="E549" s="42"/>
      <c r="F549" s="35" t="str">
        <f aca="false">IF($C549="","",IFERROR(INDEX(PRODUCTOS!$D$6:$D$105,MATCH($C549,PRODUCTOS!$A$6:$A$105,0)),0))</f>
        <v/>
      </c>
      <c r="G549" s="40"/>
      <c r="H549" s="35" t="str">
        <f aca="false">IF($C549="","",N($E549)*$F549-N($G549))</f>
        <v/>
      </c>
      <c r="I549" s="35" t="str">
        <f aca="false">IF($C549="","",$H549-$H549/(1+IFERROR(INDEX(PRODUCTOS!$E$6:$E$105,MATCH($C549,PRODUCTOS!$A$6:$A$105,0)),IVA_VENTAS)))</f>
        <v/>
      </c>
      <c r="J549" s="35" t="str">
        <f aca="false">IF($C549="","",$H549-$I549)</f>
        <v/>
      </c>
      <c r="K549" s="35" t="str">
        <f aca="false">IF($C549="","",N($E549)*IFERROR(INDEX(PRODUCTOS!$H$6:$H$105,MATCH($C549,PRODUCTOS!$A$6:$A$105,0)),0))</f>
        <v/>
      </c>
      <c r="L549" s="35" t="str">
        <f aca="false">IF($C549="","",$J549-$K549)</f>
        <v/>
      </c>
      <c r="M549" s="6"/>
      <c r="N549" s="6"/>
      <c r="O549" s="46" t="str">
        <f aca="false">IF($A549="","",DATE(YEAR($A549),MONTH($A549),1))</f>
        <v/>
      </c>
    </row>
    <row r="550" customFormat="false" ht="15" hidden="false" customHeight="false" outlineLevel="0" collapsed="false">
      <c r="A550" s="44"/>
      <c r="B550" s="6"/>
      <c r="C550" s="6"/>
      <c r="D550" s="8" t="str">
        <f aca="false">IF($C550="","",IFERROR(INDEX(PRODUCTOS!$B$6:$B$105,MATCH($C550,PRODUCTOS!$A$6:$A$105,0)),"¿Código?"))</f>
        <v/>
      </c>
      <c r="E550" s="42"/>
      <c r="F550" s="35" t="str">
        <f aca="false">IF($C550="","",IFERROR(INDEX(PRODUCTOS!$D$6:$D$105,MATCH($C550,PRODUCTOS!$A$6:$A$105,0)),0))</f>
        <v/>
      </c>
      <c r="G550" s="40"/>
      <c r="H550" s="35" t="str">
        <f aca="false">IF($C550="","",N($E550)*$F550-N($G550))</f>
        <v/>
      </c>
      <c r="I550" s="35" t="str">
        <f aca="false">IF($C550="","",$H550-$H550/(1+IFERROR(INDEX(PRODUCTOS!$E$6:$E$105,MATCH($C550,PRODUCTOS!$A$6:$A$105,0)),IVA_VENTAS)))</f>
        <v/>
      </c>
      <c r="J550" s="35" t="str">
        <f aca="false">IF($C550="","",$H550-$I550)</f>
        <v/>
      </c>
      <c r="K550" s="35" t="str">
        <f aca="false">IF($C550="","",N($E550)*IFERROR(INDEX(PRODUCTOS!$H$6:$H$105,MATCH($C550,PRODUCTOS!$A$6:$A$105,0)),0))</f>
        <v/>
      </c>
      <c r="L550" s="35" t="str">
        <f aca="false">IF($C550="","",$J550-$K550)</f>
        <v/>
      </c>
      <c r="M550" s="6"/>
      <c r="N550" s="6"/>
      <c r="O550" s="46" t="str">
        <f aca="false">IF($A550="","",DATE(YEAR($A550),MONTH($A550),1))</f>
        <v/>
      </c>
    </row>
    <row r="551" customFormat="false" ht="15" hidden="false" customHeight="false" outlineLevel="0" collapsed="false">
      <c r="A551" s="44"/>
      <c r="B551" s="6"/>
      <c r="C551" s="6"/>
      <c r="D551" s="8" t="str">
        <f aca="false">IF($C551="","",IFERROR(INDEX(PRODUCTOS!$B$6:$B$105,MATCH($C551,PRODUCTOS!$A$6:$A$105,0)),"¿Código?"))</f>
        <v/>
      </c>
      <c r="E551" s="42"/>
      <c r="F551" s="35" t="str">
        <f aca="false">IF($C551="","",IFERROR(INDEX(PRODUCTOS!$D$6:$D$105,MATCH($C551,PRODUCTOS!$A$6:$A$105,0)),0))</f>
        <v/>
      </c>
      <c r="G551" s="40"/>
      <c r="H551" s="35" t="str">
        <f aca="false">IF($C551="","",N($E551)*$F551-N($G551))</f>
        <v/>
      </c>
      <c r="I551" s="35" t="str">
        <f aca="false">IF($C551="","",$H551-$H551/(1+IFERROR(INDEX(PRODUCTOS!$E$6:$E$105,MATCH($C551,PRODUCTOS!$A$6:$A$105,0)),IVA_VENTAS)))</f>
        <v/>
      </c>
      <c r="J551" s="35" t="str">
        <f aca="false">IF($C551="","",$H551-$I551)</f>
        <v/>
      </c>
      <c r="K551" s="35" t="str">
        <f aca="false">IF($C551="","",N($E551)*IFERROR(INDEX(PRODUCTOS!$H$6:$H$105,MATCH($C551,PRODUCTOS!$A$6:$A$105,0)),0))</f>
        <v/>
      </c>
      <c r="L551" s="35" t="str">
        <f aca="false">IF($C551="","",$J551-$K551)</f>
        <v/>
      </c>
      <c r="M551" s="6"/>
      <c r="N551" s="6"/>
      <c r="O551" s="46" t="str">
        <f aca="false">IF($A551="","",DATE(YEAR($A551),MONTH($A551),1))</f>
        <v/>
      </c>
    </row>
    <row r="552" customFormat="false" ht="15" hidden="false" customHeight="false" outlineLevel="0" collapsed="false">
      <c r="A552" s="44"/>
      <c r="B552" s="6"/>
      <c r="C552" s="6"/>
      <c r="D552" s="8" t="str">
        <f aca="false">IF($C552="","",IFERROR(INDEX(PRODUCTOS!$B$6:$B$105,MATCH($C552,PRODUCTOS!$A$6:$A$105,0)),"¿Código?"))</f>
        <v/>
      </c>
      <c r="E552" s="42"/>
      <c r="F552" s="35" t="str">
        <f aca="false">IF($C552="","",IFERROR(INDEX(PRODUCTOS!$D$6:$D$105,MATCH($C552,PRODUCTOS!$A$6:$A$105,0)),0))</f>
        <v/>
      </c>
      <c r="G552" s="40"/>
      <c r="H552" s="35" t="str">
        <f aca="false">IF($C552="","",N($E552)*$F552-N($G552))</f>
        <v/>
      </c>
      <c r="I552" s="35" t="str">
        <f aca="false">IF($C552="","",$H552-$H552/(1+IFERROR(INDEX(PRODUCTOS!$E$6:$E$105,MATCH($C552,PRODUCTOS!$A$6:$A$105,0)),IVA_VENTAS)))</f>
        <v/>
      </c>
      <c r="J552" s="35" t="str">
        <f aca="false">IF($C552="","",$H552-$I552)</f>
        <v/>
      </c>
      <c r="K552" s="35" t="str">
        <f aca="false">IF($C552="","",N($E552)*IFERROR(INDEX(PRODUCTOS!$H$6:$H$105,MATCH($C552,PRODUCTOS!$A$6:$A$105,0)),0))</f>
        <v/>
      </c>
      <c r="L552" s="35" t="str">
        <f aca="false">IF($C552="","",$J552-$K552)</f>
        <v/>
      </c>
      <c r="M552" s="6"/>
      <c r="N552" s="6"/>
      <c r="O552" s="46" t="str">
        <f aca="false">IF($A552="","",DATE(YEAR($A552),MONTH($A552),1))</f>
        <v/>
      </c>
    </row>
    <row r="553" customFormat="false" ht="15" hidden="false" customHeight="false" outlineLevel="0" collapsed="false">
      <c r="A553" s="44"/>
      <c r="B553" s="6"/>
      <c r="C553" s="6"/>
      <c r="D553" s="8" t="str">
        <f aca="false">IF($C553="","",IFERROR(INDEX(PRODUCTOS!$B$6:$B$105,MATCH($C553,PRODUCTOS!$A$6:$A$105,0)),"¿Código?"))</f>
        <v/>
      </c>
      <c r="E553" s="42"/>
      <c r="F553" s="35" t="str">
        <f aca="false">IF($C553="","",IFERROR(INDEX(PRODUCTOS!$D$6:$D$105,MATCH($C553,PRODUCTOS!$A$6:$A$105,0)),0))</f>
        <v/>
      </c>
      <c r="G553" s="40"/>
      <c r="H553" s="35" t="str">
        <f aca="false">IF($C553="","",N($E553)*$F553-N($G553))</f>
        <v/>
      </c>
      <c r="I553" s="35" t="str">
        <f aca="false">IF($C553="","",$H553-$H553/(1+IFERROR(INDEX(PRODUCTOS!$E$6:$E$105,MATCH($C553,PRODUCTOS!$A$6:$A$105,0)),IVA_VENTAS)))</f>
        <v/>
      </c>
      <c r="J553" s="35" t="str">
        <f aca="false">IF($C553="","",$H553-$I553)</f>
        <v/>
      </c>
      <c r="K553" s="35" t="str">
        <f aca="false">IF($C553="","",N($E553)*IFERROR(INDEX(PRODUCTOS!$H$6:$H$105,MATCH($C553,PRODUCTOS!$A$6:$A$105,0)),0))</f>
        <v/>
      </c>
      <c r="L553" s="35" t="str">
        <f aca="false">IF($C553="","",$J553-$K553)</f>
        <v/>
      </c>
      <c r="M553" s="6"/>
      <c r="N553" s="6"/>
      <c r="O553" s="46" t="str">
        <f aca="false">IF($A553="","",DATE(YEAR($A553),MONTH($A553),1))</f>
        <v/>
      </c>
    </row>
    <row r="554" customFormat="false" ht="15" hidden="false" customHeight="false" outlineLevel="0" collapsed="false">
      <c r="A554" s="44"/>
      <c r="B554" s="6"/>
      <c r="C554" s="6"/>
      <c r="D554" s="8" t="str">
        <f aca="false">IF($C554="","",IFERROR(INDEX(PRODUCTOS!$B$6:$B$105,MATCH($C554,PRODUCTOS!$A$6:$A$105,0)),"¿Código?"))</f>
        <v/>
      </c>
      <c r="E554" s="42"/>
      <c r="F554" s="35" t="str">
        <f aca="false">IF($C554="","",IFERROR(INDEX(PRODUCTOS!$D$6:$D$105,MATCH($C554,PRODUCTOS!$A$6:$A$105,0)),0))</f>
        <v/>
      </c>
      <c r="G554" s="40"/>
      <c r="H554" s="35" t="str">
        <f aca="false">IF($C554="","",N($E554)*$F554-N($G554))</f>
        <v/>
      </c>
      <c r="I554" s="35" t="str">
        <f aca="false">IF($C554="","",$H554-$H554/(1+IFERROR(INDEX(PRODUCTOS!$E$6:$E$105,MATCH($C554,PRODUCTOS!$A$6:$A$105,0)),IVA_VENTAS)))</f>
        <v/>
      </c>
      <c r="J554" s="35" t="str">
        <f aca="false">IF($C554="","",$H554-$I554)</f>
        <v/>
      </c>
      <c r="K554" s="35" t="str">
        <f aca="false">IF($C554="","",N($E554)*IFERROR(INDEX(PRODUCTOS!$H$6:$H$105,MATCH($C554,PRODUCTOS!$A$6:$A$105,0)),0))</f>
        <v/>
      </c>
      <c r="L554" s="35" t="str">
        <f aca="false">IF($C554="","",$J554-$K554)</f>
        <v/>
      </c>
      <c r="M554" s="6"/>
      <c r="N554" s="6"/>
      <c r="O554" s="46" t="str">
        <f aca="false">IF($A554="","",DATE(YEAR($A554),MONTH($A554),1))</f>
        <v/>
      </c>
    </row>
    <row r="555" customFormat="false" ht="15" hidden="false" customHeight="false" outlineLevel="0" collapsed="false">
      <c r="A555" s="44"/>
      <c r="B555" s="6"/>
      <c r="C555" s="6"/>
      <c r="D555" s="8" t="str">
        <f aca="false">IF($C555="","",IFERROR(INDEX(PRODUCTOS!$B$6:$B$105,MATCH($C555,PRODUCTOS!$A$6:$A$105,0)),"¿Código?"))</f>
        <v/>
      </c>
      <c r="E555" s="42"/>
      <c r="F555" s="35" t="str">
        <f aca="false">IF($C555="","",IFERROR(INDEX(PRODUCTOS!$D$6:$D$105,MATCH($C555,PRODUCTOS!$A$6:$A$105,0)),0))</f>
        <v/>
      </c>
      <c r="G555" s="40"/>
      <c r="H555" s="35" t="str">
        <f aca="false">IF($C555="","",N($E555)*$F555-N($G555))</f>
        <v/>
      </c>
      <c r="I555" s="35" t="str">
        <f aca="false">IF($C555="","",$H555-$H555/(1+IFERROR(INDEX(PRODUCTOS!$E$6:$E$105,MATCH($C555,PRODUCTOS!$A$6:$A$105,0)),IVA_VENTAS)))</f>
        <v/>
      </c>
      <c r="J555" s="35" t="str">
        <f aca="false">IF($C555="","",$H555-$I555)</f>
        <v/>
      </c>
      <c r="K555" s="35" t="str">
        <f aca="false">IF($C555="","",N($E555)*IFERROR(INDEX(PRODUCTOS!$H$6:$H$105,MATCH($C555,PRODUCTOS!$A$6:$A$105,0)),0))</f>
        <v/>
      </c>
      <c r="L555" s="35" t="str">
        <f aca="false">IF($C555="","",$J555-$K555)</f>
        <v/>
      </c>
      <c r="M555" s="6"/>
      <c r="N555" s="6"/>
      <c r="O555" s="46" t="str">
        <f aca="false">IF($A555="","",DATE(YEAR($A555),MONTH($A555),1))</f>
        <v/>
      </c>
    </row>
    <row r="556" customFormat="false" ht="15" hidden="false" customHeight="false" outlineLevel="0" collapsed="false">
      <c r="A556" s="44"/>
      <c r="B556" s="6"/>
      <c r="C556" s="6"/>
      <c r="D556" s="8" t="str">
        <f aca="false">IF($C556="","",IFERROR(INDEX(PRODUCTOS!$B$6:$B$105,MATCH($C556,PRODUCTOS!$A$6:$A$105,0)),"¿Código?"))</f>
        <v/>
      </c>
      <c r="E556" s="42"/>
      <c r="F556" s="35" t="str">
        <f aca="false">IF($C556="","",IFERROR(INDEX(PRODUCTOS!$D$6:$D$105,MATCH($C556,PRODUCTOS!$A$6:$A$105,0)),0))</f>
        <v/>
      </c>
      <c r="G556" s="40"/>
      <c r="H556" s="35" t="str">
        <f aca="false">IF($C556="","",N($E556)*$F556-N($G556))</f>
        <v/>
      </c>
      <c r="I556" s="35" t="str">
        <f aca="false">IF($C556="","",$H556-$H556/(1+IFERROR(INDEX(PRODUCTOS!$E$6:$E$105,MATCH($C556,PRODUCTOS!$A$6:$A$105,0)),IVA_VENTAS)))</f>
        <v/>
      </c>
      <c r="J556" s="35" t="str">
        <f aca="false">IF($C556="","",$H556-$I556)</f>
        <v/>
      </c>
      <c r="K556" s="35" t="str">
        <f aca="false">IF($C556="","",N($E556)*IFERROR(INDEX(PRODUCTOS!$H$6:$H$105,MATCH($C556,PRODUCTOS!$A$6:$A$105,0)),0))</f>
        <v/>
      </c>
      <c r="L556" s="35" t="str">
        <f aca="false">IF($C556="","",$J556-$K556)</f>
        <v/>
      </c>
      <c r="M556" s="6"/>
      <c r="N556" s="6"/>
      <c r="O556" s="46" t="str">
        <f aca="false">IF($A556="","",DATE(YEAR($A556),MONTH($A556),1))</f>
        <v/>
      </c>
    </row>
    <row r="557" customFormat="false" ht="15" hidden="false" customHeight="false" outlineLevel="0" collapsed="false">
      <c r="A557" s="44"/>
      <c r="B557" s="6"/>
      <c r="C557" s="6"/>
      <c r="D557" s="8" t="str">
        <f aca="false">IF($C557="","",IFERROR(INDEX(PRODUCTOS!$B$6:$B$105,MATCH($C557,PRODUCTOS!$A$6:$A$105,0)),"¿Código?"))</f>
        <v/>
      </c>
      <c r="E557" s="42"/>
      <c r="F557" s="35" t="str">
        <f aca="false">IF($C557="","",IFERROR(INDEX(PRODUCTOS!$D$6:$D$105,MATCH($C557,PRODUCTOS!$A$6:$A$105,0)),0))</f>
        <v/>
      </c>
      <c r="G557" s="40"/>
      <c r="H557" s="35" t="str">
        <f aca="false">IF($C557="","",N($E557)*$F557-N($G557))</f>
        <v/>
      </c>
      <c r="I557" s="35" t="str">
        <f aca="false">IF($C557="","",$H557-$H557/(1+IFERROR(INDEX(PRODUCTOS!$E$6:$E$105,MATCH($C557,PRODUCTOS!$A$6:$A$105,0)),IVA_VENTAS)))</f>
        <v/>
      </c>
      <c r="J557" s="35" t="str">
        <f aca="false">IF($C557="","",$H557-$I557)</f>
        <v/>
      </c>
      <c r="K557" s="35" t="str">
        <f aca="false">IF($C557="","",N($E557)*IFERROR(INDEX(PRODUCTOS!$H$6:$H$105,MATCH($C557,PRODUCTOS!$A$6:$A$105,0)),0))</f>
        <v/>
      </c>
      <c r="L557" s="35" t="str">
        <f aca="false">IF($C557="","",$J557-$K557)</f>
        <v/>
      </c>
      <c r="M557" s="6"/>
      <c r="N557" s="6"/>
      <c r="O557" s="46" t="str">
        <f aca="false">IF($A557="","",DATE(YEAR($A557),MONTH($A557),1))</f>
        <v/>
      </c>
    </row>
    <row r="558" customFormat="false" ht="15" hidden="false" customHeight="false" outlineLevel="0" collapsed="false">
      <c r="A558" s="44"/>
      <c r="B558" s="6"/>
      <c r="C558" s="6"/>
      <c r="D558" s="8" t="str">
        <f aca="false">IF($C558="","",IFERROR(INDEX(PRODUCTOS!$B$6:$B$105,MATCH($C558,PRODUCTOS!$A$6:$A$105,0)),"¿Código?"))</f>
        <v/>
      </c>
      <c r="E558" s="42"/>
      <c r="F558" s="35" t="str">
        <f aca="false">IF($C558="","",IFERROR(INDEX(PRODUCTOS!$D$6:$D$105,MATCH($C558,PRODUCTOS!$A$6:$A$105,0)),0))</f>
        <v/>
      </c>
      <c r="G558" s="40"/>
      <c r="H558" s="35" t="str">
        <f aca="false">IF($C558="","",N($E558)*$F558-N($G558))</f>
        <v/>
      </c>
      <c r="I558" s="35" t="str">
        <f aca="false">IF($C558="","",$H558-$H558/(1+IFERROR(INDEX(PRODUCTOS!$E$6:$E$105,MATCH($C558,PRODUCTOS!$A$6:$A$105,0)),IVA_VENTAS)))</f>
        <v/>
      </c>
      <c r="J558" s="35" t="str">
        <f aca="false">IF($C558="","",$H558-$I558)</f>
        <v/>
      </c>
      <c r="K558" s="35" t="str">
        <f aca="false">IF($C558="","",N($E558)*IFERROR(INDEX(PRODUCTOS!$H$6:$H$105,MATCH($C558,PRODUCTOS!$A$6:$A$105,0)),0))</f>
        <v/>
      </c>
      <c r="L558" s="35" t="str">
        <f aca="false">IF($C558="","",$J558-$K558)</f>
        <v/>
      </c>
      <c r="M558" s="6"/>
      <c r="N558" s="6"/>
      <c r="O558" s="46" t="str">
        <f aca="false">IF($A558="","",DATE(YEAR($A558),MONTH($A558),1))</f>
        <v/>
      </c>
    </row>
    <row r="559" customFormat="false" ht="15" hidden="false" customHeight="false" outlineLevel="0" collapsed="false">
      <c r="A559" s="44"/>
      <c r="B559" s="6"/>
      <c r="C559" s="6"/>
      <c r="D559" s="8" t="str">
        <f aca="false">IF($C559="","",IFERROR(INDEX(PRODUCTOS!$B$6:$B$105,MATCH($C559,PRODUCTOS!$A$6:$A$105,0)),"¿Código?"))</f>
        <v/>
      </c>
      <c r="E559" s="42"/>
      <c r="F559" s="35" t="str">
        <f aca="false">IF($C559="","",IFERROR(INDEX(PRODUCTOS!$D$6:$D$105,MATCH($C559,PRODUCTOS!$A$6:$A$105,0)),0))</f>
        <v/>
      </c>
      <c r="G559" s="40"/>
      <c r="H559" s="35" t="str">
        <f aca="false">IF($C559="","",N($E559)*$F559-N($G559))</f>
        <v/>
      </c>
      <c r="I559" s="35" t="str">
        <f aca="false">IF($C559="","",$H559-$H559/(1+IFERROR(INDEX(PRODUCTOS!$E$6:$E$105,MATCH($C559,PRODUCTOS!$A$6:$A$105,0)),IVA_VENTAS)))</f>
        <v/>
      </c>
      <c r="J559" s="35" t="str">
        <f aca="false">IF($C559="","",$H559-$I559)</f>
        <v/>
      </c>
      <c r="K559" s="35" t="str">
        <f aca="false">IF($C559="","",N($E559)*IFERROR(INDEX(PRODUCTOS!$H$6:$H$105,MATCH($C559,PRODUCTOS!$A$6:$A$105,0)),0))</f>
        <v/>
      </c>
      <c r="L559" s="35" t="str">
        <f aca="false">IF($C559="","",$J559-$K559)</f>
        <v/>
      </c>
      <c r="M559" s="6"/>
      <c r="N559" s="6"/>
      <c r="O559" s="46" t="str">
        <f aca="false">IF($A559="","",DATE(YEAR($A559),MONTH($A559),1))</f>
        <v/>
      </c>
    </row>
    <row r="560" customFormat="false" ht="15" hidden="false" customHeight="false" outlineLevel="0" collapsed="false">
      <c r="A560" s="44"/>
      <c r="B560" s="6"/>
      <c r="C560" s="6"/>
      <c r="D560" s="8" t="str">
        <f aca="false">IF($C560="","",IFERROR(INDEX(PRODUCTOS!$B$6:$B$105,MATCH($C560,PRODUCTOS!$A$6:$A$105,0)),"¿Código?"))</f>
        <v/>
      </c>
      <c r="E560" s="42"/>
      <c r="F560" s="35" t="str">
        <f aca="false">IF($C560="","",IFERROR(INDEX(PRODUCTOS!$D$6:$D$105,MATCH($C560,PRODUCTOS!$A$6:$A$105,0)),0))</f>
        <v/>
      </c>
      <c r="G560" s="40"/>
      <c r="H560" s="35" t="str">
        <f aca="false">IF($C560="","",N($E560)*$F560-N($G560))</f>
        <v/>
      </c>
      <c r="I560" s="35" t="str">
        <f aca="false">IF($C560="","",$H560-$H560/(1+IFERROR(INDEX(PRODUCTOS!$E$6:$E$105,MATCH($C560,PRODUCTOS!$A$6:$A$105,0)),IVA_VENTAS)))</f>
        <v/>
      </c>
      <c r="J560" s="35" t="str">
        <f aca="false">IF($C560="","",$H560-$I560)</f>
        <v/>
      </c>
      <c r="K560" s="35" t="str">
        <f aca="false">IF($C560="","",N($E560)*IFERROR(INDEX(PRODUCTOS!$H$6:$H$105,MATCH($C560,PRODUCTOS!$A$6:$A$105,0)),0))</f>
        <v/>
      </c>
      <c r="L560" s="35" t="str">
        <f aca="false">IF($C560="","",$J560-$K560)</f>
        <v/>
      </c>
      <c r="M560" s="6"/>
      <c r="N560" s="6"/>
      <c r="O560" s="46" t="str">
        <f aca="false">IF($A560="","",DATE(YEAR($A560),MONTH($A560),1))</f>
        <v/>
      </c>
    </row>
    <row r="561" customFormat="false" ht="15" hidden="false" customHeight="false" outlineLevel="0" collapsed="false">
      <c r="A561" s="44"/>
      <c r="B561" s="6"/>
      <c r="C561" s="6"/>
      <c r="D561" s="8" t="str">
        <f aca="false">IF($C561="","",IFERROR(INDEX(PRODUCTOS!$B$6:$B$105,MATCH($C561,PRODUCTOS!$A$6:$A$105,0)),"¿Código?"))</f>
        <v/>
      </c>
      <c r="E561" s="42"/>
      <c r="F561" s="35" t="str">
        <f aca="false">IF($C561="","",IFERROR(INDEX(PRODUCTOS!$D$6:$D$105,MATCH($C561,PRODUCTOS!$A$6:$A$105,0)),0))</f>
        <v/>
      </c>
      <c r="G561" s="40"/>
      <c r="H561" s="35" t="str">
        <f aca="false">IF($C561="","",N($E561)*$F561-N($G561))</f>
        <v/>
      </c>
      <c r="I561" s="35" t="str">
        <f aca="false">IF($C561="","",$H561-$H561/(1+IFERROR(INDEX(PRODUCTOS!$E$6:$E$105,MATCH($C561,PRODUCTOS!$A$6:$A$105,0)),IVA_VENTAS)))</f>
        <v/>
      </c>
      <c r="J561" s="35" t="str">
        <f aca="false">IF($C561="","",$H561-$I561)</f>
        <v/>
      </c>
      <c r="K561" s="35" t="str">
        <f aca="false">IF($C561="","",N($E561)*IFERROR(INDEX(PRODUCTOS!$H$6:$H$105,MATCH($C561,PRODUCTOS!$A$6:$A$105,0)),0))</f>
        <v/>
      </c>
      <c r="L561" s="35" t="str">
        <f aca="false">IF($C561="","",$J561-$K561)</f>
        <v/>
      </c>
      <c r="M561" s="6"/>
      <c r="N561" s="6"/>
      <c r="O561" s="46" t="str">
        <f aca="false">IF($A561="","",DATE(YEAR($A561),MONTH($A561),1))</f>
        <v/>
      </c>
    </row>
    <row r="562" customFormat="false" ht="15" hidden="false" customHeight="false" outlineLevel="0" collapsed="false">
      <c r="A562" s="44"/>
      <c r="B562" s="6"/>
      <c r="C562" s="6"/>
      <c r="D562" s="8" t="str">
        <f aca="false">IF($C562="","",IFERROR(INDEX(PRODUCTOS!$B$6:$B$105,MATCH($C562,PRODUCTOS!$A$6:$A$105,0)),"¿Código?"))</f>
        <v/>
      </c>
      <c r="E562" s="42"/>
      <c r="F562" s="35" t="str">
        <f aca="false">IF($C562="","",IFERROR(INDEX(PRODUCTOS!$D$6:$D$105,MATCH($C562,PRODUCTOS!$A$6:$A$105,0)),0))</f>
        <v/>
      </c>
      <c r="G562" s="40"/>
      <c r="H562" s="35" t="str">
        <f aca="false">IF($C562="","",N($E562)*$F562-N($G562))</f>
        <v/>
      </c>
      <c r="I562" s="35" t="str">
        <f aca="false">IF($C562="","",$H562-$H562/(1+IFERROR(INDEX(PRODUCTOS!$E$6:$E$105,MATCH($C562,PRODUCTOS!$A$6:$A$105,0)),IVA_VENTAS)))</f>
        <v/>
      </c>
      <c r="J562" s="35" t="str">
        <f aca="false">IF($C562="","",$H562-$I562)</f>
        <v/>
      </c>
      <c r="K562" s="35" t="str">
        <f aca="false">IF($C562="","",N($E562)*IFERROR(INDEX(PRODUCTOS!$H$6:$H$105,MATCH($C562,PRODUCTOS!$A$6:$A$105,0)),0))</f>
        <v/>
      </c>
      <c r="L562" s="35" t="str">
        <f aca="false">IF($C562="","",$J562-$K562)</f>
        <v/>
      </c>
      <c r="M562" s="6"/>
      <c r="N562" s="6"/>
      <c r="O562" s="46" t="str">
        <f aca="false">IF($A562="","",DATE(YEAR($A562),MONTH($A562),1))</f>
        <v/>
      </c>
    </row>
    <row r="563" customFormat="false" ht="15" hidden="false" customHeight="false" outlineLevel="0" collapsed="false">
      <c r="A563" s="44"/>
      <c r="B563" s="6"/>
      <c r="C563" s="6"/>
      <c r="D563" s="8" t="str">
        <f aca="false">IF($C563="","",IFERROR(INDEX(PRODUCTOS!$B$6:$B$105,MATCH($C563,PRODUCTOS!$A$6:$A$105,0)),"¿Código?"))</f>
        <v/>
      </c>
      <c r="E563" s="42"/>
      <c r="F563" s="35" t="str">
        <f aca="false">IF($C563="","",IFERROR(INDEX(PRODUCTOS!$D$6:$D$105,MATCH($C563,PRODUCTOS!$A$6:$A$105,0)),0))</f>
        <v/>
      </c>
      <c r="G563" s="40"/>
      <c r="H563" s="35" t="str">
        <f aca="false">IF($C563="","",N($E563)*$F563-N($G563))</f>
        <v/>
      </c>
      <c r="I563" s="35" t="str">
        <f aca="false">IF($C563="","",$H563-$H563/(1+IFERROR(INDEX(PRODUCTOS!$E$6:$E$105,MATCH($C563,PRODUCTOS!$A$6:$A$105,0)),IVA_VENTAS)))</f>
        <v/>
      </c>
      <c r="J563" s="35" t="str">
        <f aca="false">IF($C563="","",$H563-$I563)</f>
        <v/>
      </c>
      <c r="K563" s="35" t="str">
        <f aca="false">IF($C563="","",N($E563)*IFERROR(INDEX(PRODUCTOS!$H$6:$H$105,MATCH($C563,PRODUCTOS!$A$6:$A$105,0)),0))</f>
        <v/>
      </c>
      <c r="L563" s="35" t="str">
        <f aca="false">IF($C563="","",$J563-$K563)</f>
        <v/>
      </c>
      <c r="M563" s="6"/>
      <c r="N563" s="6"/>
      <c r="O563" s="46" t="str">
        <f aca="false">IF($A563="","",DATE(YEAR($A563),MONTH($A563),1))</f>
        <v/>
      </c>
    </row>
    <row r="564" customFormat="false" ht="15" hidden="false" customHeight="false" outlineLevel="0" collapsed="false">
      <c r="A564" s="44"/>
      <c r="B564" s="6"/>
      <c r="C564" s="6"/>
      <c r="D564" s="8" t="str">
        <f aca="false">IF($C564="","",IFERROR(INDEX(PRODUCTOS!$B$6:$B$105,MATCH($C564,PRODUCTOS!$A$6:$A$105,0)),"¿Código?"))</f>
        <v/>
      </c>
      <c r="E564" s="42"/>
      <c r="F564" s="35" t="str">
        <f aca="false">IF($C564="","",IFERROR(INDEX(PRODUCTOS!$D$6:$D$105,MATCH($C564,PRODUCTOS!$A$6:$A$105,0)),0))</f>
        <v/>
      </c>
      <c r="G564" s="40"/>
      <c r="H564" s="35" t="str">
        <f aca="false">IF($C564="","",N($E564)*$F564-N($G564))</f>
        <v/>
      </c>
      <c r="I564" s="35" t="str">
        <f aca="false">IF($C564="","",$H564-$H564/(1+IFERROR(INDEX(PRODUCTOS!$E$6:$E$105,MATCH($C564,PRODUCTOS!$A$6:$A$105,0)),IVA_VENTAS)))</f>
        <v/>
      </c>
      <c r="J564" s="35" t="str">
        <f aca="false">IF($C564="","",$H564-$I564)</f>
        <v/>
      </c>
      <c r="K564" s="35" t="str">
        <f aca="false">IF($C564="","",N($E564)*IFERROR(INDEX(PRODUCTOS!$H$6:$H$105,MATCH($C564,PRODUCTOS!$A$6:$A$105,0)),0))</f>
        <v/>
      </c>
      <c r="L564" s="35" t="str">
        <f aca="false">IF($C564="","",$J564-$K564)</f>
        <v/>
      </c>
      <c r="M564" s="6"/>
      <c r="N564" s="6"/>
      <c r="O564" s="46" t="str">
        <f aca="false">IF($A564="","",DATE(YEAR($A564),MONTH($A564),1))</f>
        <v/>
      </c>
    </row>
    <row r="565" customFormat="false" ht="15" hidden="false" customHeight="false" outlineLevel="0" collapsed="false">
      <c r="A565" s="44"/>
      <c r="B565" s="6"/>
      <c r="C565" s="6"/>
      <c r="D565" s="8" t="str">
        <f aca="false">IF($C565="","",IFERROR(INDEX(PRODUCTOS!$B$6:$B$105,MATCH($C565,PRODUCTOS!$A$6:$A$105,0)),"¿Código?"))</f>
        <v/>
      </c>
      <c r="E565" s="42"/>
      <c r="F565" s="35" t="str">
        <f aca="false">IF($C565="","",IFERROR(INDEX(PRODUCTOS!$D$6:$D$105,MATCH($C565,PRODUCTOS!$A$6:$A$105,0)),0))</f>
        <v/>
      </c>
      <c r="G565" s="40"/>
      <c r="H565" s="35" t="str">
        <f aca="false">IF($C565="","",N($E565)*$F565-N($G565))</f>
        <v/>
      </c>
      <c r="I565" s="35" t="str">
        <f aca="false">IF($C565="","",$H565-$H565/(1+IFERROR(INDEX(PRODUCTOS!$E$6:$E$105,MATCH($C565,PRODUCTOS!$A$6:$A$105,0)),IVA_VENTAS)))</f>
        <v/>
      </c>
      <c r="J565" s="35" t="str">
        <f aca="false">IF($C565="","",$H565-$I565)</f>
        <v/>
      </c>
      <c r="K565" s="35" t="str">
        <f aca="false">IF($C565="","",N($E565)*IFERROR(INDEX(PRODUCTOS!$H$6:$H$105,MATCH($C565,PRODUCTOS!$A$6:$A$105,0)),0))</f>
        <v/>
      </c>
      <c r="L565" s="35" t="str">
        <f aca="false">IF($C565="","",$J565-$K565)</f>
        <v/>
      </c>
      <c r="M565" s="6"/>
      <c r="N565" s="6"/>
      <c r="O565" s="46" t="str">
        <f aca="false">IF($A565="","",DATE(YEAR($A565),MONTH($A565),1))</f>
        <v/>
      </c>
    </row>
    <row r="566" customFormat="false" ht="15" hidden="false" customHeight="false" outlineLevel="0" collapsed="false">
      <c r="A566" s="44"/>
      <c r="B566" s="6"/>
      <c r="C566" s="6"/>
      <c r="D566" s="8" t="str">
        <f aca="false">IF($C566="","",IFERROR(INDEX(PRODUCTOS!$B$6:$B$105,MATCH($C566,PRODUCTOS!$A$6:$A$105,0)),"¿Código?"))</f>
        <v/>
      </c>
      <c r="E566" s="42"/>
      <c r="F566" s="35" t="str">
        <f aca="false">IF($C566="","",IFERROR(INDEX(PRODUCTOS!$D$6:$D$105,MATCH($C566,PRODUCTOS!$A$6:$A$105,0)),0))</f>
        <v/>
      </c>
      <c r="G566" s="40"/>
      <c r="H566" s="35" t="str">
        <f aca="false">IF($C566="","",N($E566)*$F566-N($G566))</f>
        <v/>
      </c>
      <c r="I566" s="35" t="str">
        <f aca="false">IF($C566="","",$H566-$H566/(1+IFERROR(INDEX(PRODUCTOS!$E$6:$E$105,MATCH($C566,PRODUCTOS!$A$6:$A$105,0)),IVA_VENTAS)))</f>
        <v/>
      </c>
      <c r="J566" s="35" t="str">
        <f aca="false">IF($C566="","",$H566-$I566)</f>
        <v/>
      </c>
      <c r="K566" s="35" t="str">
        <f aca="false">IF($C566="","",N($E566)*IFERROR(INDEX(PRODUCTOS!$H$6:$H$105,MATCH($C566,PRODUCTOS!$A$6:$A$105,0)),0))</f>
        <v/>
      </c>
      <c r="L566" s="35" t="str">
        <f aca="false">IF($C566="","",$J566-$K566)</f>
        <v/>
      </c>
      <c r="M566" s="6"/>
      <c r="N566" s="6"/>
      <c r="O566" s="46" t="str">
        <f aca="false">IF($A566="","",DATE(YEAR($A566),MONTH($A566),1))</f>
        <v/>
      </c>
    </row>
    <row r="567" customFormat="false" ht="15" hidden="false" customHeight="false" outlineLevel="0" collapsed="false">
      <c r="A567" s="44"/>
      <c r="B567" s="6"/>
      <c r="C567" s="6"/>
      <c r="D567" s="8" t="str">
        <f aca="false">IF($C567="","",IFERROR(INDEX(PRODUCTOS!$B$6:$B$105,MATCH($C567,PRODUCTOS!$A$6:$A$105,0)),"¿Código?"))</f>
        <v/>
      </c>
      <c r="E567" s="42"/>
      <c r="F567" s="35" t="str">
        <f aca="false">IF($C567="","",IFERROR(INDEX(PRODUCTOS!$D$6:$D$105,MATCH($C567,PRODUCTOS!$A$6:$A$105,0)),0))</f>
        <v/>
      </c>
      <c r="G567" s="40"/>
      <c r="H567" s="35" t="str">
        <f aca="false">IF($C567="","",N($E567)*$F567-N($G567))</f>
        <v/>
      </c>
      <c r="I567" s="35" t="str">
        <f aca="false">IF($C567="","",$H567-$H567/(1+IFERROR(INDEX(PRODUCTOS!$E$6:$E$105,MATCH($C567,PRODUCTOS!$A$6:$A$105,0)),IVA_VENTAS)))</f>
        <v/>
      </c>
      <c r="J567" s="35" t="str">
        <f aca="false">IF($C567="","",$H567-$I567)</f>
        <v/>
      </c>
      <c r="K567" s="35" t="str">
        <f aca="false">IF($C567="","",N($E567)*IFERROR(INDEX(PRODUCTOS!$H$6:$H$105,MATCH($C567,PRODUCTOS!$A$6:$A$105,0)),0))</f>
        <v/>
      </c>
      <c r="L567" s="35" t="str">
        <f aca="false">IF($C567="","",$J567-$K567)</f>
        <v/>
      </c>
      <c r="M567" s="6"/>
      <c r="N567" s="6"/>
      <c r="O567" s="46" t="str">
        <f aca="false">IF($A567="","",DATE(YEAR($A567),MONTH($A567),1))</f>
        <v/>
      </c>
    </row>
    <row r="568" customFormat="false" ht="15" hidden="false" customHeight="false" outlineLevel="0" collapsed="false">
      <c r="A568" s="44"/>
      <c r="B568" s="6"/>
      <c r="C568" s="6"/>
      <c r="D568" s="8" t="str">
        <f aca="false">IF($C568="","",IFERROR(INDEX(PRODUCTOS!$B$6:$B$105,MATCH($C568,PRODUCTOS!$A$6:$A$105,0)),"¿Código?"))</f>
        <v/>
      </c>
      <c r="E568" s="42"/>
      <c r="F568" s="35" t="str">
        <f aca="false">IF($C568="","",IFERROR(INDEX(PRODUCTOS!$D$6:$D$105,MATCH($C568,PRODUCTOS!$A$6:$A$105,0)),0))</f>
        <v/>
      </c>
      <c r="G568" s="40"/>
      <c r="H568" s="35" t="str">
        <f aca="false">IF($C568="","",N($E568)*$F568-N($G568))</f>
        <v/>
      </c>
      <c r="I568" s="35" t="str">
        <f aca="false">IF($C568="","",$H568-$H568/(1+IFERROR(INDEX(PRODUCTOS!$E$6:$E$105,MATCH($C568,PRODUCTOS!$A$6:$A$105,0)),IVA_VENTAS)))</f>
        <v/>
      </c>
      <c r="J568" s="35" t="str">
        <f aca="false">IF($C568="","",$H568-$I568)</f>
        <v/>
      </c>
      <c r="K568" s="35" t="str">
        <f aca="false">IF($C568="","",N($E568)*IFERROR(INDEX(PRODUCTOS!$H$6:$H$105,MATCH($C568,PRODUCTOS!$A$6:$A$105,0)),0))</f>
        <v/>
      </c>
      <c r="L568" s="35" t="str">
        <f aca="false">IF($C568="","",$J568-$K568)</f>
        <v/>
      </c>
      <c r="M568" s="6"/>
      <c r="N568" s="6"/>
      <c r="O568" s="46" t="str">
        <f aca="false">IF($A568="","",DATE(YEAR($A568),MONTH($A568),1))</f>
        <v/>
      </c>
    </row>
    <row r="569" customFormat="false" ht="15" hidden="false" customHeight="false" outlineLevel="0" collapsed="false">
      <c r="A569" s="44"/>
      <c r="B569" s="6"/>
      <c r="C569" s="6"/>
      <c r="D569" s="8" t="str">
        <f aca="false">IF($C569="","",IFERROR(INDEX(PRODUCTOS!$B$6:$B$105,MATCH($C569,PRODUCTOS!$A$6:$A$105,0)),"¿Código?"))</f>
        <v/>
      </c>
      <c r="E569" s="42"/>
      <c r="F569" s="35" t="str">
        <f aca="false">IF($C569="","",IFERROR(INDEX(PRODUCTOS!$D$6:$D$105,MATCH($C569,PRODUCTOS!$A$6:$A$105,0)),0))</f>
        <v/>
      </c>
      <c r="G569" s="40"/>
      <c r="H569" s="35" t="str">
        <f aca="false">IF($C569="","",N($E569)*$F569-N($G569))</f>
        <v/>
      </c>
      <c r="I569" s="35" t="str">
        <f aca="false">IF($C569="","",$H569-$H569/(1+IFERROR(INDEX(PRODUCTOS!$E$6:$E$105,MATCH($C569,PRODUCTOS!$A$6:$A$105,0)),IVA_VENTAS)))</f>
        <v/>
      </c>
      <c r="J569" s="35" t="str">
        <f aca="false">IF($C569="","",$H569-$I569)</f>
        <v/>
      </c>
      <c r="K569" s="35" t="str">
        <f aca="false">IF($C569="","",N($E569)*IFERROR(INDEX(PRODUCTOS!$H$6:$H$105,MATCH($C569,PRODUCTOS!$A$6:$A$105,0)),0))</f>
        <v/>
      </c>
      <c r="L569" s="35" t="str">
        <f aca="false">IF($C569="","",$J569-$K569)</f>
        <v/>
      </c>
      <c r="M569" s="6"/>
      <c r="N569" s="6"/>
      <c r="O569" s="46" t="str">
        <f aca="false">IF($A569="","",DATE(YEAR($A569),MONTH($A569),1))</f>
        <v/>
      </c>
    </row>
    <row r="570" customFormat="false" ht="15" hidden="false" customHeight="false" outlineLevel="0" collapsed="false">
      <c r="A570" s="44"/>
      <c r="B570" s="6"/>
      <c r="C570" s="6"/>
      <c r="D570" s="8" t="str">
        <f aca="false">IF($C570="","",IFERROR(INDEX(PRODUCTOS!$B$6:$B$105,MATCH($C570,PRODUCTOS!$A$6:$A$105,0)),"¿Código?"))</f>
        <v/>
      </c>
      <c r="E570" s="42"/>
      <c r="F570" s="35" t="str">
        <f aca="false">IF($C570="","",IFERROR(INDEX(PRODUCTOS!$D$6:$D$105,MATCH($C570,PRODUCTOS!$A$6:$A$105,0)),0))</f>
        <v/>
      </c>
      <c r="G570" s="40"/>
      <c r="H570" s="35" t="str">
        <f aca="false">IF($C570="","",N($E570)*$F570-N($G570))</f>
        <v/>
      </c>
      <c r="I570" s="35" t="str">
        <f aca="false">IF($C570="","",$H570-$H570/(1+IFERROR(INDEX(PRODUCTOS!$E$6:$E$105,MATCH($C570,PRODUCTOS!$A$6:$A$105,0)),IVA_VENTAS)))</f>
        <v/>
      </c>
      <c r="J570" s="35" t="str">
        <f aca="false">IF($C570="","",$H570-$I570)</f>
        <v/>
      </c>
      <c r="K570" s="35" t="str">
        <f aca="false">IF($C570="","",N($E570)*IFERROR(INDEX(PRODUCTOS!$H$6:$H$105,MATCH($C570,PRODUCTOS!$A$6:$A$105,0)),0))</f>
        <v/>
      </c>
      <c r="L570" s="35" t="str">
        <f aca="false">IF($C570="","",$J570-$K570)</f>
        <v/>
      </c>
      <c r="M570" s="6"/>
      <c r="N570" s="6"/>
      <c r="O570" s="46" t="str">
        <f aca="false">IF($A570="","",DATE(YEAR($A570),MONTH($A570),1))</f>
        <v/>
      </c>
    </row>
    <row r="571" customFormat="false" ht="15" hidden="false" customHeight="false" outlineLevel="0" collapsed="false">
      <c r="A571" s="44"/>
      <c r="B571" s="6"/>
      <c r="C571" s="6"/>
      <c r="D571" s="8" t="str">
        <f aca="false">IF($C571="","",IFERROR(INDEX(PRODUCTOS!$B$6:$B$105,MATCH($C571,PRODUCTOS!$A$6:$A$105,0)),"¿Código?"))</f>
        <v/>
      </c>
      <c r="E571" s="42"/>
      <c r="F571" s="35" t="str">
        <f aca="false">IF($C571="","",IFERROR(INDEX(PRODUCTOS!$D$6:$D$105,MATCH($C571,PRODUCTOS!$A$6:$A$105,0)),0))</f>
        <v/>
      </c>
      <c r="G571" s="40"/>
      <c r="H571" s="35" t="str">
        <f aca="false">IF($C571="","",N($E571)*$F571-N($G571))</f>
        <v/>
      </c>
      <c r="I571" s="35" t="str">
        <f aca="false">IF($C571="","",$H571-$H571/(1+IFERROR(INDEX(PRODUCTOS!$E$6:$E$105,MATCH($C571,PRODUCTOS!$A$6:$A$105,0)),IVA_VENTAS)))</f>
        <v/>
      </c>
      <c r="J571" s="35" t="str">
        <f aca="false">IF($C571="","",$H571-$I571)</f>
        <v/>
      </c>
      <c r="K571" s="35" t="str">
        <f aca="false">IF($C571="","",N($E571)*IFERROR(INDEX(PRODUCTOS!$H$6:$H$105,MATCH($C571,PRODUCTOS!$A$6:$A$105,0)),0))</f>
        <v/>
      </c>
      <c r="L571" s="35" t="str">
        <f aca="false">IF($C571="","",$J571-$K571)</f>
        <v/>
      </c>
      <c r="M571" s="6"/>
      <c r="N571" s="6"/>
      <c r="O571" s="46" t="str">
        <f aca="false">IF($A571="","",DATE(YEAR($A571),MONTH($A571),1))</f>
        <v/>
      </c>
    </row>
    <row r="572" customFormat="false" ht="15" hidden="false" customHeight="false" outlineLevel="0" collapsed="false">
      <c r="A572" s="44"/>
      <c r="B572" s="6"/>
      <c r="C572" s="6"/>
      <c r="D572" s="8" t="str">
        <f aca="false">IF($C572="","",IFERROR(INDEX(PRODUCTOS!$B$6:$B$105,MATCH($C572,PRODUCTOS!$A$6:$A$105,0)),"¿Código?"))</f>
        <v/>
      </c>
      <c r="E572" s="42"/>
      <c r="F572" s="35" t="str">
        <f aca="false">IF($C572="","",IFERROR(INDEX(PRODUCTOS!$D$6:$D$105,MATCH($C572,PRODUCTOS!$A$6:$A$105,0)),0))</f>
        <v/>
      </c>
      <c r="G572" s="40"/>
      <c r="H572" s="35" t="str">
        <f aca="false">IF($C572="","",N($E572)*$F572-N($G572))</f>
        <v/>
      </c>
      <c r="I572" s="35" t="str">
        <f aca="false">IF($C572="","",$H572-$H572/(1+IFERROR(INDEX(PRODUCTOS!$E$6:$E$105,MATCH($C572,PRODUCTOS!$A$6:$A$105,0)),IVA_VENTAS)))</f>
        <v/>
      </c>
      <c r="J572" s="35" t="str">
        <f aca="false">IF($C572="","",$H572-$I572)</f>
        <v/>
      </c>
      <c r="K572" s="35" t="str">
        <f aca="false">IF($C572="","",N($E572)*IFERROR(INDEX(PRODUCTOS!$H$6:$H$105,MATCH($C572,PRODUCTOS!$A$6:$A$105,0)),0))</f>
        <v/>
      </c>
      <c r="L572" s="35" t="str">
        <f aca="false">IF($C572="","",$J572-$K572)</f>
        <v/>
      </c>
      <c r="M572" s="6"/>
      <c r="N572" s="6"/>
      <c r="O572" s="46" t="str">
        <f aca="false">IF($A572="","",DATE(YEAR($A572),MONTH($A572),1))</f>
        <v/>
      </c>
    </row>
    <row r="573" customFormat="false" ht="15" hidden="false" customHeight="false" outlineLevel="0" collapsed="false">
      <c r="A573" s="44"/>
      <c r="B573" s="6"/>
      <c r="C573" s="6"/>
      <c r="D573" s="8" t="str">
        <f aca="false">IF($C573="","",IFERROR(INDEX(PRODUCTOS!$B$6:$B$105,MATCH($C573,PRODUCTOS!$A$6:$A$105,0)),"¿Código?"))</f>
        <v/>
      </c>
      <c r="E573" s="42"/>
      <c r="F573" s="35" t="str">
        <f aca="false">IF($C573="","",IFERROR(INDEX(PRODUCTOS!$D$6:$D$105,MATCH($C573,PRODUCTOS!$A$6:$A$105,0)),0))</f>
        <v/>
      </c>
      <c r="G573" s="40"/>
      <c r="H573" s="35" t="str">
        <f aca="false">IF($C573="","",N($E573)*$F573-N($G573))</f>
        <v/>
      </c>
      <c r="I573" s="35" t="str">
        <f aca="false">IF($C573="","",$H573-$H573/(1+IFERROR(INDEX(PRODUCTOS!$E$6:$E$105,MATCH($C573,PRODUCTOS!$A$6:$A$105,0)),IVA_VENTAS)))</f>
        <v/>
      </c>
      <c r="J573" s="35" t="str">
        <f aca="false">IF($C573="","",$H573-$I573)</f>
        <v/>
      </c>
      <c r="K573" s="35" t="str">
        <f aca="false">IF($C573="","",N($E573)*IFERROR(INDEX(PRODUCTOS!$H$6:$H$105,MATCH($C573,PRODUCTOS!$A$6:$A$105,0)),0))</f>
        <v/>
      </c>
      <c r="L573" s="35" t="str">
        <f aca="false">IF($C573="","",$J573-$K573)</f>
        <v/>
      </c>
      <c r="M573" s="6"/>
      <c r="N573" s="6"/>
      <c r="O573" s="46" t="str">
        <f aca="false">IF($A573="","",DATE(YEAR($A573),MONTH($A573),1))</f>
        <v/>
      </c>
    </row>
    <row r="574" customFormat="false" ht="15" hidden="false" customHeight="false" outlineLevel="0" collapsed="false">
      <c r="A574" s="44"/>
      <c r="B574" s="6"/>
      <c r="C574" s="6"/>
      <c r="D574" s="8" t="str">
        <f aca="false">IF($C574="","",IFERROR(INDEX(PRODUCTOS!$B$6:$B$105,MATCH($C574,PRODUCTOS!$A$6:$A$105,0)),"¿Código?"))</f>
        <v/>
      </c>
      <c r="E574" s="42"/>
      <c r="F574" s="35" t="str">
        <f aca="false">IF($C574="","",IFERROR(INDEX(PRODUCTOS!$D$6:$D$105,MATCH($C574,PRODUCTOS!$A$6:$A$105,0)),0))</f>
        <v/>
      </c>
      <c r="G574" s="40"/>
      <c r="H574" s="35" t="str">
        <f aca="false">IF($C574="","",N($E574)*$F574-N($G574))</f>
        <v/>
      </c>
      <c r="I574" s="35" t="str">
        <f aca="false">IF($C574="","",$H574-$H574/(1+IFERROR(INDEX(PRODUCTOS!$E$6:$E$105,MATCH($C574,PRODUCTOS!$A$6:$A$105,0)),IVA_VENTAS)))</f>
        <v/>
      </c>
      <c r="J574" s="35" t="str">
        <f aca="false">IF($C574="","",$H574-$I574)</f>
        <v/>
      </c>
      <c r="K574" s="35" t="str">
        <f aca="false">IF($C574="","",N($E574)*IFERROR(INDEX(PRODUCTOS!$H$6:$H$105,MATCH($C574,PRODUCTOS!$A$6:$A$105,0)),0))</f>
        <v/>
      </c>
      <c r="L574" s="35" t="str">
        <f aca="false">IF($C574="","",$J574-$K574)</f>
        <v/>
      </c>
      <c r="M574" s="6"/>
      <c r="N574" s="6"/>
      <c r="O574" s="46" t="str">
        <f aca="false">IF($A574="","",DATE(YEAR($A574),MONTH($A574),1))</f>
        <v/>
      </c>
    </row>
    <row r="575" customFormat="false" ht="15" hidden="false" customHeight="false" outlineLevel="0" collapsed="false">
      <c r="A575" s="44"/>
      <c r="B575" s="6"/>
      <c r="C575" s="6"/>
      <c r="D575" s="8" t="str">
        <f aca="false">IF($C575="","",IFERROR(INDEX(PRODUCTOS!$B$6:$B$105,MATCH($C575,PRODUCTOS!$A$6:$A$105,0)),"¿Código?"))</f>
        <v/>
      </c>
      <c r="E575" s="42"/>
      <c r="F575" s="35" t="str">
        <f aca="false">IF($C575="","",IFERROR(INDEX(PRODUCTOS!$D$6:$D$105,MATCH($C575,PRODUCTOS!$A$6:$A$105,0)),0))</f>
        <v/>
      </c>
      <c r="G575" s="40"/>
      <c r="H575" s="35" t="str">
        <f aca="false">IF($C575="","",N($E575)*$F575-N($G575))</f>
        <v/>
      </c>
      <c r="I575" s="35" t="str">
        <f aca="false">IF($C575="","",$H575-$H575/(1+IFERROR(INDEX(PRODUCTOS!$E$6:$E$105,MATCH($C575,PRODUCTOS!$A$6:$A$105,0)),IVA_VENTAS)))</f>
        <v/>
      </c>
      <c r="J575" s="35" t="str">
        <f aca="false">IF($C575="","",$H575-$I575)</f>
        <v/>
      </c>
      <c r="K575" s="35" t="str">
        <f aca="false">IF($C575="","",N($E575)*IFERROR(INDEX(PRODUCTOS!$H$6:$H$105,MATCH($C575,PRODUCTOS!$A$6:$A$105,0)),0))</f>
        <v/>
      </c>
      <c r="L575" s="35" t="str">
        <f aca="false">IF($C575="","",$J575-$K575)</f>
        <v/>
      </c>
      <c r="M575" s="6"/>
      <c r="N575" s="6"/>
      <c r="O575" s="46" t="str">
        <f aca="false">IF($A575="","",DATE(YEAR($A575),MONTH($A575),1))</f>
        <v/>
      </c>
    </row>
    <row r="576" customFormat="false" ht="15" hidden="false" customHeight="false" outlineLevel="0" collapsed="false">
      <c r="A576" s="44"/>
      <c r="B576" s="6"/>
      <c r="C576" s="6"/>
      <c r="D576" s="8" t="str">
        <f aca="false">IF($C576="","",IFERROR(INDEX(PRODUCTOS!$B$6:$B$105,MATCH($C576,PRODUCTOS!$A$6:$A$105,0)),"¿Código?"))</f>
        <v/>
      </c>
      <c r="E576" s="42"/>
      <c r="F576" s="35" t="str">
        <f aca="false">IF($C576="","",IFERROR(INDEX(PRODUCTOS!$D$6:$D$105,MATCH($C576,PRODUCTOS!$A$6:$A$105,0)),0))</f>
        <v/>
      </c>
      <c r="G576" s="40"/>
      <c r="H576" s="35" t="str">
        <f aca="false">IF($C576="","",N($E576)*$F576-N($G576))</f>
        <v/>
      </c>
      <c r="I576" s="35" t="str">
        <f aca="false">IF($C576="","",$H576-$H576/(1+IFERROR(INDEX(PRODUCTOS!$E$6:$E$105,MATCH($C576,PRODUCTOS!$A$6:$A$105,0)),IVA_VENTAS)))</f>
        <v/>
      </c>
      <c r="J576" s="35" t="str">
        <f aca="false">IF($C576="","",$H576-$I576)</f>
        <v/>
      </c>
      <c r="K576" s="35" t="str">
        <f aca="false">IF($C576="","",N($E576)*IFERROR(INDEX(PRODUCTOS!$H$6:$H$105,MATCH($C576,PRODUCTOS!$A$6:$A$105,0)),0))</f>
        <v/>
      </c>
      <c r="L576" s="35" t="str">
        <f aca="false">IF($C576="","",$J576-$K576)</f>
        <v/>
      </c>
      <c r="M576" s="6"/>
      <c r="N576" s="6"/>
      <c r="O576" s="46" t="str">
        <f aca="false">IF($A576="","",DATE(YEAR($A576),MONTH($A576),1))</f>
        <v/>
      </c>
    </row>
    <row r="577" customFormat="false" ht="15" hidden="false" customHeight="false" outlineLevel="0" collapsed="false">
      <c r="A577" s="44"/>
      <c r="B577" s="6"/>
      <c r="C577" s="6"/>
      <c r="D577" s="8" t="str">
        <f aca="false">IF($C577="","",IFERROR(INDEX(PRODUCTOS!$B$6:$B$105,MATCH($C577,PRODUCTOS!$A$6:$A$105,0)),"¿Código?"))</f>
        <v/>
      </c>
      <c r="E577" s="42"/>
      <c r="F577" s="35" t="str">
        <f aca="false">IF($C577="","",IFERROR(INDEX(PRODUCTOS!$D$6:$D$105,MATCH($C577,PRODUCTOS!$A$6:$A$105,0)),0))</f>
        <v/>
      </c>
      <c r="G577" s="40"/>
      <c r="H577" s="35" t="str">
        <f aca="false">IF($C577="","",N($E577)*$F577-N($G577))</f>
        <v/>
      </c>
      <c r="I577" s="35" t="str">
        <f aca="false">IF($C577="","",$H577-$H577/(1+IFERROR(INDEX(PRODUCTOS!$E$6:$E$105,MATCH($C577,PRODUCTOS!$A$6:$A$105,0)),IVA_VENTAS)))</f>
        <v/>
      </c>
      <c r="J577" s="35" t="str">
        <f aca="false">IF($C577="","",$H577-$I577)</f>
        <v/>
      </c>
      <c r="K577" s="35" t="str">
        <f aca="false">IF($C577="","",N($E577)*IFERROR(INDEX(PRODUCTOS!$H$6:$H$105,MATCH($C577,PRODUCTOS!$A$6:$A$105,0)),0))</f>
        <v/>
      </c>
      <c r="L577" s="35" t="str">
        <f aca="false">IF($C577="","",$J577-$K577)</f>
        <v/>
      </c>
      <c r="M577" s="6"/>
      <c r="N577" s="6"/>
      <c r="O577" s="46" t="str">
        <f aca="false">IF($A577="","",DATE(YEAR($A577),MONTH($A577),1))</f>
        <v/>
      </c>
    </row>
    <row r="578" customFormat="false" ht="15" hidden="false" customHeight="false" outlineLevel="0" collapsed="false">
      <c r="A578" s="44"/>
      <c r="B578" s="6"/>
      <c r="C578" s="6"/>
      <c r="D578" s="8" t="str">
        <f aca="false">IF($C578="","",IFERROR(INDEX(PRODUCTOS!$B$6:$B$105,MATCH($C578,PRODUCTOS!$A$6:$A$105,0)),"¿Código?"))</f>
        <v/>
      </c>
      <c r="E578" s="42"/>
      <c r="F578" s="35" t="str">
        <f aca="false">IF($C578="","",IFERROR(INDEX(PRODUCTOS!$D$6:$D$105,MATCH($C578,PRODUCTOS!$A$6:$A$105,0)),0))</f>
        <v/>
      </c>
      <c r="G578" s="40"/>
      <c r="H578" s="35" t="str">
        <f aca="false">IF($C578="","",N($E578)*$F578-N($G578))</f>
        <v/>
      </c>
      <c r="I578" s="35" t="str">
        <f aca="false">IF($C578="","",$H578-$H578/(1+IFERROR(INDEX(PRODUCTOS!$E$6:$E$105,MATCH($C578,PRODUCTOS!$A$6:$A$105,0)),IVA_VENTAS)))</f>
        <v/>
      </c>
      <c r="J578" s="35" t="str">
        <f aca="false">IF($C578="","",$H578-$I578)</f>
        <v/>
      </c>
      <c r="K578" s="35" t="str">
        <f aca="false">IF($C578="","",N($E578)*IFERROR(INDEX(PRODUCTOS!$H$6:$H$105,MATCH($C578,PRODUCTOS!$A$6:$A$105,0)),0))</f>
        <v/>
      </c>
      <c r="L578" s="35" t="str">
        <f aca="false">IF($C578="","",$J578-$K578)</f>
        <v/>
      </c>
      <c r="M578" s="6"/>
      <c r="N578" s="6"/>
      <c r="O578" s="46" t="str">
        <f aca="false">IF($A578="","",DATE(YEAR($A578),MONTH($A578),1))</f>
        <v/>
      </c>
    </row>
    <row r="579" customFormat="false" ht="15" hidden="false" customHeight="false" outlineLevel="0" collapsed="false">
      <c r="A579" s="44"/>
      <c r="B579" s="6"/>
      <c r="C579" s="6"/>
      <c r="D579" s="8" t="str">
        <f aca="false">IF($C579="","",IFERROR(INDEX(PRODUCTOS!$B$6:$B$105,MATCH($C579,PRODUCTOS!$A$6:$A$105,0)),"¿Código?"))</f>
        <v/>
      </c>
      <c r="E579" s="42"/>
      <c r="F579" s="35" t="str">
        <f aca="false">IF($C579="","",IFERROR(INDEX(PRODUCTOS!$D$6:$D$105,MATCH($C579,PRODUCTOS!$A$6:$A$105,0)),0))</f>
        <v/>
      </c>
      <c r="G579" s="40"/>
      <c r="H579" s="35" t="str">
        <f aca="false">IF($C579="","",N($E579)*$F579-N($G579))</f>
        <v/>
      </c>
      <c r="I579" s="35" t="str">
        <f aca="false">IF($C579="","",$H579-$H579/(1+IFERROR(INDEX(PRODUCTOS!$E$6:$E$105,MATCH($C579,PRODUCTOS!$A$6:$A$105,0)),IVA_VENTAS)))</f>
        <v/>
      </c>
      <c r="J579" s="35" t="str">
        <f aca="false">IF($C579="","",$H579-$I579)</f>
        <v/>
      </c>
      <c r="K579" s="35" t="str">
        <f aca="false">IF($C579="","",N($E579)*IFERROR(INDEX(PRODUCTOS!$H$6:$H$105,MATCH($C579,PRODUCTOS!$A$6:$A$105,0)),0))</f>
        <v/>
      </c>
      <c r="L579" s="35" t="str">
        <f aca="false">IF($C579="","",$J579-$K579)</f>
        <v/>
      </c>
      <c r="M579" s="6"/>
      <c r="N579" s="6"/>
      <c r="O579" s="46" t="str">
        <f aca="false">IF($A579="","",DATE(YEAR($A579),MONTH($A579),1))</f>
        <v/>
      </c>
    </row>
    <row r="580" customFormat="false" ht="15" hidden="false" customHeight="false" outlineLevel="0" collapsed="false">
      <c r="A580" s="44"/>
      <c r="B580" s="6"/>
      <c r="C580" s="6"/>
      <c r="D580" s="8" t="str">
        <f aca="false">IF($C580="","",IFERROR(INDEX(PRODUCTOS!$B$6:$B$105,MATCH($C580,PRODUCTOS!$A$6:$A$105,0)),"¿Código?"))</f>
        <v/>
      </c>
      <c r="E580" s="42"/>
      <c r="F580" s="35" t="str">
        <f aca="false">IF($C580="","",IFERROR(INDEX(PRODUCTOS!$D$6:$D$105,MATCH($C580,PRODUCTOS!$A$6:$A$105,0)),0))</f>
        <v/>
      </c>
      <c r="G580" s="40"/>
      <c r="H580" s="35" t="str">
        <f aca="false">IF($C580="","",N($E580)*$F580-N($G580))</f>
        <v/>
      </c>
      <c r="I580" s="35" t="str">
        <f aca="false">IF($C580="","",$H580-$H580/(1+IFERROR(INDEX(PRODUCTOS!$E$6:$E$105,MATCH($C580,PRODUCTOS!$A$6:$A$105,0)),IVA_VENTAS)))</f>
        <v/>
      </c>
      <c r="J580" s="35" t="str">
        <f aca="false">IF($C580="","",$H580-$I580)</f>
        <v/>
      </c>
      <c r="K580" s="35" t="str">
        <f aca="false">IF($C580="","",N($E580)*IFERROR(INDEX(PRODUCTOS!$H$6:$H$105,MATCH($C580,PRODUCTOS!$A$6:$A$105,0)),0))</f>
        <v/>
      </c>
      <c r="L580" s="35" t="str">
        <f aca="false">IF($C580="","",$J580-$K580)</f>
        <v/>
      </c>
      <c r="M580" s="6"/>
      <c r="N580" s="6"/>
      <c r="O580" s="46" t="str">
        <f aca="false">IF($A580="","",DATE(YEAR($A580),MONTH($A580),1))</f>
        <v/>
      </c>
    </row>
    <row r="581" customFormat="false" ht="15" hidden="false" customHeight="false" outlineLevel="0" collapsed="false">
      <c r="A581" s="44"/>
      <c r="B581" s="6"/>
      <c r="C581" s="6"/>
      <c r="D581" s="8" t="str">
        <f aca="false">IF($C581="","",IFERROR(INDEX(PRODUCTOS!$B$6:$B$105,MATCH($C581,PRODUCTOS!$A$6:$A$105,0)),"¿Código?"))</f>
        <v/>
      </c>
      <c r="E581" s="42"/>
      <c r="F581" s="35" t="str">
        <f aca="false">IF($C581="","",IFERROR(INDEX(PRODUCTOS!$D$6:$D$105,MATCH($C581,PRODUCTOS!$A$6:$A$105,0)),0))</f>
        <v/>
      </c>
      <c r="G581" s="40"/>
      <c r="H581" s="35" t="str">
        <f aca="false">IF($C581="","",N($E581)*$F581-N($G581))</f>
        <v/>
      </c>
      <c r="I581" s="35" t="str">
        <f aca="false">IF($C581="","",$H581-$H581/(1+IFERROR(INDEX(PRODUCTOS!$E$6:$E$105,MATCH($C581,PRODUCTOS!$A$6:$A$105,0)),IVA_VENTAS)))</f>
        <v/>
      </c>
      <c r="J581" s="35" t="str">
        <f aca="false">IF($C581="","",$H581-$I581)</f>
        <v/>
      </c>
      <c r="K581" s="35" t="str">
        <f aca="false">IF($C581="","",N($E581)*IFERROR(INDEX(PRODUCTOS!$H$6:$H$105,MATCH($C581,PRODUCTOS!$A$6:$A$105,0)),0))</f>
        <v/>
      </c>
      <c r="L581" s="35" t="str">
        <f aca="false">IF($C581="","",$J581-$K581)</f>
        <v/>
      </c>
      <c r="M581" s="6"/>
      <c r="N581" s="6"/>
      <c r="O581" s="46" t="str">
        <f aca="false">IF($A581="","",DATE(YEAR($A581),MONTH($A581),1))</f>
        <v/>
      </c>
    </row>
    <row r="582" customFormat="false" ht="15" hidden="false" customHeight="false" outlineLevel="0" collapsed="false">
      <c r="A582" s="44"/>
      <c r="B582" s="6"/>
      <c r="C582" s="6"/>
      <c r="D582" s="8" t="str">
        <f aca="false">IF($C582="","",IFERROR(INDEX(PRODUCTOS!$B$6:$B$105,MATCH($C582,PRODUCTOS!$A$6:$A$105,0)),"¿Código?"))</f>
        <v/>
      </c>
      <c r="E582" s="42"/>
      <c r="F582" s="35" t="str">
        <f aca="false">IF($C582="","",IFERROR(INDEX(PRODUCTOS!$D$6:$D$105,MATCH($C582,PRODUCTOS!$A$6:$A$105,0)),0))</f>
        <v/>
      </c>
      <c r="G582" s="40"/>
      <c r="H582" s="35" t="str">
        <f aca="false">IF($C582="","",N($E582)*$F582-N($G582))</f>
        <v/>
      </c>
      <c r="I582" s="35" t="str">
        <f aca="false">IF($C582="","",$H582-$H582/(1+IFERROR(INDEX(PRODUCTOS!$E$6:$E$105,MATCH($C582,PRODUCTOS!$A$6:$A$105,0)),IVA_VENTAS)))</f>
        <v/>
      </c>
      <c r="J582" s="35" t="str">
        <f aca="false">IF($C582="","",$H582-$I582)</f>
        <v/>
      </c>
      <c r="K582" s="35" t="str">
        <f aca="false">IF($C582="","",N($E582)*IFERROR(INDEX(PRODUCTOS!$H$6:$H$105,MATCH($C582,PRODUCTOS!$A$6:$A$105,0)),0))</f>
        <v/>
      </c>
      <c r="L582" s="35" t="str">
        <f aca="false">IF($C582="","",$J582-$K582)</f>
        <v/>
      </c>
      <c r="M582" s="6"/>
      <c r="N582" s="6"/>
      <c r="O582" s="46" t="str">
        <f aca="false">IF($A582="","",DATE(YEAR($A582),MONTH($A582),1))</f>
        <v/>
      </c>
    </row>
    <row r="583" customFormat="false" ht="15" hidden="false" customHeight="false" outlineLevel="0" collapsed="false">
      <c r="A583" s="44"/>
      <c r="B583" s="6"/>
      <c r="C583" s="6"/>
      <c r="D583" s="8" t="str">
        <f aca="false">IF($C583="","",IFERROR(INDEX(PRODUCTOS!$B$6:$B$105,MATCH($C583,PRODUCTOS!$A$6:$A$105,0)),"¿Código?"))</f>
        <v/>
      </c>
      <c r="E583" s="42"/>
      <c r="F583" s="35" t="str">
        <f aca="false">IF($C583="","",IFERROR(INDEX(PRODUCTOS!$D$6:$D$105,MATCH($C583,PRODUCTOS!$A$6:$A$105,0)),0))</f>
        <v/>
      </c>
      <c r="G583" s="40"/>
      <c r="H583" s="35" t="str">
        <f aca="false">IF($C583="","",N($E583)*$F583-N($G583))</f>
        <v/>
      </c>
      <c r="I583" s="35" t="str">
        <f aca="false">IF($C583="","",$H583-$H583/(1+IFERROR(INDEX(PRODUCTOS!$E$6:$E$105,MATCH($C583,PRODUCTOS!$A$6:$A$105,0)),IVA_VENTAS)))</f>
        <v/>
      </c>
      <c r="J583" s="35" t="str">
        <f aca="false">IF($C583="","",$H583-$I583)</f>
        <v/>
      </c>
      <c r="K583" s="35" t="str">
        <f aca="false">IF($C583="","",N($E583)*IFERROR(INDEX(PRODUCTOS!$H$6:$H$105,MATCH($C583,PRODUCTOS!$A$6:$A$105,0)),0))</f>
        <v/>
      </c>
      <c r="L583" s="35" t="str">
        <f aca="false">IF($C583="","",$J583-$K583)</f>
        <v/>
      </c>
      <c r="M583" s="6"/>
      <c r="N583" s="6"/>
      <c r="O583" s="46" t="str">
        <f aca="false">IF($A583="","",DATE(YEAR($A583),MONTH($A583),1))</f>
        <v/>
      </c>
    </row>
    <row r="584" customFormat="false" ht="15" hidden="false" customHeight="false" outlineLevel="0" collapsed="false">
      <c r="A584" s="44"/>
      <c r="B584" s="6"/>
      <c r="C584" s="6"/>
      <c r="D584" s="8" t="str">
        <f aca="false">IF($C584="","",IFERROR(INDEX(PRODUCTOS!$B$6:$B$105,MATCH($C584,PRODUCTOS!$A$6:$A$105,0)),"¿Código?"))</f>
        <v/>
      </c>
      <c r="E584" s="42"/>
      <c r="F584" s="35" t="str">
        <f aca="false">IF($C584="","",IFERROR(INDEX(PRODUCTOS!$D$6:$D$105,MATCH($C584,PRODUCTOS!$A$6:$A$105,0)),0))</f>
        <v/>
      </c>
      <c r="G584" s="40"/>
      <c r="H584" s="35" t="str">
        <f aca="false">IF($C584="","",N($E584)*$F584-N($G584))</f>
        <v/>
      </c>
      <c r="I584" s="35" t="str">
        <f aca="false">IF($C584="","",$H584-$H584/(1+IFERROR(INDEX(PRODUCTOS!$E$6:$E$105,MATCH($C584,PRODUCTOS!$A$6:$A$105,0)),IVA_VENTAS)))</f>
        <v/>
      </c>
      <c r="J584" s="35" t="str">
        <f aca="false">IF($C584="","",$H584-$I584)</f>
        <v/>
      </c>
      <c r="K584" s="35" t="str">
        <f aca="false">IF($C584="","",N($E584)*IFERROR(INDEX(PRODUCTOS!$H$6:$H$105,MATCH($C584,PRODUCTOS!$A$6:$A$105,0)),0))</f>
        <v/>
      </c>
      <c r="L584" s="35" t="str">
        <f aca="false">IF($C584="","",$J584-$K584)</f>
        <v/>
      </c>
      <c r="M584" s="6"/>
      <c r="N584" s="6"/>
      <c r="O584" s="46" t="str">
        <f aca="false">IF($A584="","",DATE(YEAR($A584),MONTH($A584),1))</f>
        <v/>
      </c>
    </row>
    <row r="585" customFormat="false" ht="15" hidden="false" customHeight="false" outlineLevel="0" collapsed="false">
      <c r="A585" s="44"/>
      <c r="B585" s="6"/>
      <c r="C585" s="6"/>
      <c r="D585" s="8" t="str">
        <f aca="false">IF($C585="","",IFERROR(INDEX(PRODUCTOS!$B$6:$B$105,MATCH($C585,PRODUCTOS!$A$6:$A$105,0)),"¿Código?"))</f>
        <v/>
      </c>
      <c r="E585" s="42"/>
      <c r="F585" s="35" t="str">
        <f aca="false">IF($C585="","",IFERROR(INDEX(PRODUCTOS!$D$6:$D$105,MATCH($C585,PRODUCTOS!$A$6:$A$105,0)),0))</f>
        <v/>
      </c>
      <c r="G585" s="40"/>
      <c r="H585" s="35" t="str">
        <f aca="false">IF($C585="","",N($E585)*$F585-N($G585))</f>
        <v/>
      </c>
      <c r="I585" s="35" t="str">
        <f aca="false">IF($C585="","",$H585-$H585/(1+IFERROR(INDEX(PRODUCTOS!$E$6:$E$105,MATCH($C585,PRODUCTOS!$A$6:$A$105,0)),IVA_VENTAS)))</f>
        <v/>
      </c>
      <c r="J585" s="35" t="str">
        <f aca="false">IF($C585="","",$H585-$I585)</f>
        <v/>
      </c>
      <c r="K585" s="35" t="str">
        <f aca="false">IF($C585="","",N($E585)*IFERROR(INDEX(PRODUCTOS!$H$6:$H$105,MATCH($C585,PRODUCTOS!$A$6:$A$105,0)),0))</f>
        <v/>
      </c>
      <c r="L585" s="35" t="str">
        <f aca="false">IF($C585="","",$J585-$K585)</f>
        <v/>
      </c>
      <c r="M585" s="6"/>
      <c r="N585" s="6"/>
      <c r="O585" s="46" t="str">
        <f aca="false">IF($A585="","",DATE(YEAR($A585),MONTH($A585),1))</f>
        <v/>
      </c>
    </row>
    <row r="586" customFormat="false" ht="15" hidden="false" customHeight="false" outlineLevel="0" collapsed="false">
      <c r="A586" s="44"/>
      <c r="B586" s="6"/>
      <c r="C586" s="6"/>
      <c r="D586" s="8" t="str">
        <f aca="false">IF($C586="","",IFERROR(INDEX(PRODUCTOS!$B$6:$B$105,MATCH($C586,PRODUCTOS!$A$6:$A$105,0)),"¿Código?"))</f>
        <v/>
      </c>
      <c r="E586" s="42"/>
      <c r="F586" s="35" t="str">
        <f aca="false">IF($C586="","",IFERROR(INDEX(PRODUCTOS!$D$6:$D$105,MATCH($C586,PRODUCTOS!$A$6:$A$105,0)),0))</f>
        <v/>
      </c>
      <c r="G586" s="40"/>
      <c r="H586" s="35" t="str">
        <f aca="false">IF($C586="","",N($E586)*$F586-N($G586))</f>
        <v/>
      </c>
      <c r="I586" s="35" t="str">
        <f aca="false">IF($C586="","",$H586-$H586/(1+IFERROR(INDEX(PRODUCTOS!$E$6:$E$105,MATCH($C586,PRODUCTOS!$A$6:$A$105,0)),IVA_VENTAS)))</f>
        <v/>
      </c>
      <c r="J586" s="35" t="str">
        <f aca="false">IF($C586="","",$H586-$I586)</f>
        <v/>
      </c>
      <c r="K586" s="35" t="str">
        <f aca="false">IF($C586="","",N($E586)*IFERROR(INDEX(PRODUCTOS!$H$6:$H$105,MATCH($C586,PRODUCTOS!$A$6:$A$105,0)),0))</f>
        <v/>
      </c>
      <c r="L586" s="35" t="str">
        <f aca="false">IF($C586="","",$J586-$K586)</f>
        <v/>
      </c>
      <c r="M586" s="6"/>
      <c r="N586" s="6"/>
      <c r="O586" s="46" t="str">
        <f aca="false">IF($A586="","",DATE(YEAR($A586),MONTH($A586),1))</f>
        <v/>
      </c>
    </row>
    <row r="587" customFormat="false" ht="15" hidden="false" customHeight="false" outlineLevel="0" collapsed="false">
      <c r="A587" s="44"/>
      <c r="B587" s="6"/>
      <c r="C587" s="6"/>
      <c r="D587" s="8" t="str">
        <f aca="false">IF($C587="","",IFERROR(INDEX(PRODUCTOS!$B$6:$B$105,MATCH($C587,PRODUCTOS!$A$6:$A$105,0)),"¿Código?"))</f>
        <v/>
      </c>
      <c r="E587" s="42"/>
      <c r="F587" s="35" t="str">
        <f aca="false">IF($C587="","",IFERROR(INDEX(PRODUCTOS!$D$6:$D$105,MATCH($C587,PRODUCTOS!$A$6:$A$105,0)),0))</f>
        <v/>
      </c>
      <c r="G587" s="40"/>
      <c r="H587" s="35" t="str">
        <f aca="false">IF($C587="","",N($E587)*$F587-N($G587))</f>
        <v/>
      </c>
      <c r="I587" s="35" t="str">
        <f aca="false">IF($C587="","",$H587-$H587/(1+IFERROR(INDEX(PRODUCTOS!$E$6:$E$105,MATCH($C587,PRODUCTOS!$A$6:$A$105,0)),IVA_VENTAS)))</f>
        <v/>
      </c>
      <c r="J587" s="35" t="str">
        <f aca="false">IF($C587="","",$H587-$I587)</f>
        <v/>
      </c>
      <c r="K587" s="35" t="str">
        <f aca="false">IF($C587="","",N($E587)*IFERROR(INDEX(PRODUCTOS!$H$6:$H$105,MATCH($C587,PRODUCTOS!$A$6:$A$105,0)),0))</f>
        <v/>
      </c>
      <c r="L587" s="35" t="str">
        <f aca="false">IF($C587="","",$J587-$K587)</f>
        <v/>
      </c>
      <c r="M587" s="6"/>
      <c r="N587" s="6"/>
      <c r="O587" s="46" t="str">
        <f aca="false">IF($A587="","",DATE(YEAR($A587),MONTH($A587),1))</f>
        <v/>
      </c>
    </row>
    <row r="588" customFormat="false" ht="15" hidden="false" customHeight="false" outlineLevel="0" collapsed="false">
      <c r="A588" s="44"/>
      <c r="B588" s="6"/>
      <c r="C588" s="6"/>
      <c r="D588" s="8" t="str">
        <f aca="false">IF($C588="","",IFERROR(INDEX(PRODUCTOS!$B$6:$B$105,MATCH($C588,PRODUCTOS!$A$6:$A$105,0)),"¿Código?"))</f>
        <v/>
      </c>
      <c r="E588" s="42"/>
      <c r="F588" s="35" t="str">
        <f aca="false">IF($C588="","",IFERROR(INDEX(PRODUCTOS!$D$6:$D$105,MATCH($C588,PRODUCTOS!$A$6:$A$105,0)),0))</f>
        <v/>
      </c>
      <c r="G588" s="40"/>
      <c r="H588" s="35" t="str">
        <f aca="false">IF($C588="","",N($E588)*$F588-N($G588))</f>
        <v/>
      </c>
      <c r="I588" s="35" t="str">
        <f aca="false">IF($C588="","",$H588-$H588/(1+IFERROR(INDEX(PRODUCTOS!$E$6:$E$105,MATCH($C588,PRODUCTOS!$A$6:$A$105,0)),IVA_VENTAS)))</f>
        <v/>
      </c>
      <c r="J588" s="35" t="str">
        <f aca="false">IF($C588="","",$H588-$I588)</f>
        <v/>
      </c>
      <c r="K588" s="35" t="str">
        <f aca="false">IF($C588="","",N($E588)*IFERROR(INDEX(PRODUCTOS!$H$6:$H$105,MATCH($C588,PRODUCTOS!$A$6:$A$105,0)),0))</f>
        <v/>
      </c>
      <c r="L588" s="35" t="str">
        <f aca="false">IF($C588="","",$J588-$K588)</f>
        <v/>
      </c>
      <c r="M588" s="6"/>
      <c r="N588" s="6"/>
      <c r="O588" s="46" t="str">
        <f aca="false">IF($A588="","",DATE(YEAR($A588),MONTH($A588),1))</f>
        <v/>
      </c>
    </row>
    <row r="589" customFormat="false" ht="15" hidden="false" customHeight="false" outlineLevel="0" collapsed="false">
      <c r="A589" s="44"/>
      <c r="B589" s="6"/>
      <c r="C589" s="6"/>
      <c r="D589" s="8" t="str">
        <f aca="false">IF($C589="","",IFERROR(INDEX(PRODUCTOS!$B$6:$B$105,MATCH($C589,PRODUCTOS!$A$6:$A$105,0)),"¿Código?"))</f>
        <v/>
      </c>
      <c r="E589" s="42"/>
      <c r="F589" s="35" t="str">
        <f aca="false">IF($C589="","",IFERROR(INDEX(PRODUCTOS!$D$6:$D$105,MATCH($C589,PRODUCTOS!$A$6:$A$105,0)),0))</f>
        <v/>
      </c>
      <c r="G589" s="40"/>
      <c r="H589" s="35" t="str">
        <f aca="false">IF($C589="","",N($E589)*$F589-N($G589))</f>
        <v/>
      </c>
      <c r="I589" s="35" t="str">
        <f aca="false">IF($C589="","",$H589-$H589/(1+IFERROR(INDEX(PRODUCTOS!$E$6:$E$105,MATCH($C589,PRODUCTOS!$A$6:$A$105,0)),IVA_VENTAS)))</f>
        <v/>
      </c>
      <c r="J589" s="35" t="str">
        <f aca="false">IF($C589="","",$H589-$I589)</f>
        <v/>
      </c>
      <c r="K589" s="35" t="str">
        <f aca="false">IF($C589="","",N($E589)*IFERROR(INDEX(PRODUCTOS!$H$6:$H$105,MATCH($C589,PRODUCTOS!$A$6:$A$105,0)),0))</f>
        <v/>
      </c>
      <c r="L589" s="35" t="str">
        <f aca="false">IF($C589="","",$J589-$K589)</f>
        <v/>
      </c>
      <c r="M589" s="6"/>
      <c r="N589" s="6"/>
      <c r="O589" s="46" t="str">
        <f aca="false">IF($A589="","",DATE(YEAR($A589),MONTH($A589),1))</f>
        <v/>
      </c>
    </row>
    <row r="590" customFormat="false" ht="15" hidden="false" customHeight="false" outlineLevel="0" collapsed="false">
      <c r="A590" s="44"/>
      <c r="B590" s="6"/>
      <c r="C590" s="6"/>
      <c r="D590" s="8" t="str">
        <f aca="false">IF($C590="","",IFERROR(INDEX(PRODUCTOS!$B$6:$B$105,MATCH($C590,PRODUCTOS!$A$6:$A$105,0)),"¿Código?"))</f>
        <v/>
      </c>
      <c r="E590" s="42"/>
      <c r="F590" s="35" t="str">
        <f aca="false">IF($C590="","",IFERROR(INDEX(PRODUCTOS!$D$6:$D$105,MATCH($C590,PRODUCTOS!$A$6:$A$105,0)),0))</f>
        <v/>
      </c>
      <c r="G590" s="40"/>
      <c r="H590" s="35" t="str">
        <f aca="false">IF($C590="","",N($E590)*$F590-N($G590))</f>
        <v/>
      </c>
      <c r="I590" s="35" t="str">
        <f aca="false">IF($C590="","",$H590-$H590/(1+IFERROR(INDEX(PRODUCTOS!$E$6:$E$105,MATCH($C590,PRODUCTOS!$A$6:$A$105,0)),IVA_VENTAS)))</f>
        <v/>
      </c>
      <c r="J590" s="35" t="str">
        <f aca="false">IF($C590="","",$H590-$I590)</f>
        <v/>
      </c>
      <c r="K590" s="35" t="str">
        <f aca="false">IF($C590="","",N($E590)*IFERROR(INDEX(PRODUCTOS!$H$6:$H$105,MATCH($C590,PRODUCTOS!$A$6:$A$105,0)),0))</f>
        <v/>
      </c>
      <c r="L590" s="35" t="str">
        <f aca="false">IF($C590="","",$J590-$K590)</f>
        <v/>
      </c>
      <c r="M590" s="6"/>
      <c r="N590" s="6"/>
      <c r="O590" s="46" t="str">
        <f aca="false">IF($A590="","",DATE(YEAR($A590),MONTH($A590),1))</f>
        <v/>
      </c>
    </row>
    <row r="591" customFormat="false" ht="15" hidden="false" customHeight="false" outlineLevel="0" collapsed="false">
      <c r="A591" s="44"/>
      <c r="B591" s="6"/>
      <c r="C591" s="6"/>
      <c r="D591" s="8" t="str">
        <f aca="false">IF($C591="","",IFERROR(INDEX(PRODUCTOS!$B$6:$B$105,MATCH($C591,PRODUCTOS!$A$6:$A$105,0)),"¿Código?"))</f>
        <v/>
      </c>
      <c r="E591" s="42"/>
      <c r="F591" s="35" t="str">
        <f aca="false">IF($C591="","",IFERROR(INDEX(PRODUCTOS!$D$6:$D$105,MATCH($C591,PRODUCTOS!$A$6:$A$105,0)),0))</f>
        <v/>
      </c>
      <c r="G591" s="40"/>
      <c r="H591" s="35" t="str">
        <f aca="false">IF($C591="","",N($E591)*$F591-N($G591))</f>
        <v/>
      </c>
      <c r="I591" s="35" t="str">
        <f aca="false">IF($C591="","",$H591-$H591/(1+IFERROR(INDEX(PRODUCTOS!$E$6:$E$105,MATCH($C591,PRODUCTOS!$A$6:$A$105,0)),IVA_VENTAS)))</f>
        <v/>
      </c>
      <c r="J591" s="35" t="str">
        <f aca="false">IF($C591="","",$H591-$I591)</f>
        <v/>
      </c>
      <c r="K591" s="35" t="str">
        <f aca="false">IF($C591="","",N($E591)*IFERROR(INDEX(PRODUCTOS!$H$6:$H$105,MATCH($C591,PRODUCTOS!$A$6:$A$105,0)),0))</f>
        <v/>
      </c>
      <c r="L591" s="35" t="str">
        <f aca="false">IF($C591="","",$J591-$K591)</f>
        <v/>
      </c>
      <c r="M591" s="6"/>
      <c r="N591" s="6"/>
      <c r="O591" s="46" t="str">
        <f aca="false">IF($A591="","",DATE(YEAR($A591),MONTH($A591),1))</f>
        <v/>
      </c>
    </row>
    <row r="592" customFormat="false" ht="15" hidden="false" customHeight="false" outlineLevel="0" collapsed="false">
      <c r="A592" s="44"/>
      <c r="B592" s="6"/>
      <c r="C592" s="6"/>
      <c r="D592" s="8" t="str">
        <f aca="false">IF($C592="","",IFERROR(INDEX(PRODUCTOS!$B$6:$B$105,MATCH($C592,PRODUCTOS!$A$6:$A$105,0)),"¿Código?"))</f>
        <v/>
      </c>
      <c r="E592" s="42"/>
      <c r="F592" s="35" t="str">
        <f aca="false">IF($C592="","",IFERROR(INDEX(PRODUCTOS!$D$6:$D$105,MATCH($C592,PRODUCTOS!$A$6:$A$105,0)),0))</f>
        <v/>
      </c>
      <c r="G592" s="40"/>
      <c r="H592" s="35" t="str">
        <f aca="false">IF($C592="","",N($E592)*$F592-N($G592))</f>
        <v/>
      </c>
      <c r="I592" s="35" t="str">
        <f aca="false">IF($C592="","",$H592-$H592/(1+IFERROR(INDEX(PRODUCTOS!$E$6:$E$105,MATCH($C592,PRODUCTOS!$A$6:$A$105,0)),IVA_VENTAS)))</f>
        <v/>
      </c>
      <c r="J592" s="35" t="str">
        <f aca="false">IF($C592="","",$H592-$I592)</f>
        <v/>
      </c>
      <c r="K592" s="35" t="str">
        <f aca="false">IF($C592="","",N($E592)*IFERROR(INDEX(PRODUCTOS!$H$6:$H$105,MATCH($C592,PRODUCTOS!$A$6:$A$105,0)),0))</f>
        <v/>
      </c>
      <c r="L592" s="35" t="str">
        <f aca="false">IF($C592="","",$J592-$K592)</f>
        <v/>
      </c>
      <c r="M592" s="6"/>
      <c r="N592" s="6"/>
      <c r="O592" s="46" t="str">
        <f aca="false">IF($A592="","",DATE(YEAR($A592),MONTH($A592),1))</f>
        <v/>
      </c>
    </row>
    <row r="593" customFormat="false" ht="15" hidden="false" customHeight="false" outlineLevel="0" collapsed="false">
      <c r="A593" s="44"/>
      <c r="B593" s="6"/>
      <c r="C593" s="6"/>
      <c r="D593" s="8" t="str">
        <f aca="false">IF($C593="","",IFERROR(INDEX(PRODUCTOS!$B$6:$B$105,MATCH($C593,PRODUCTOS!$A$6:$A$105,0)),"¿Código?"))</f>
        <v/>
      </c>
      <c r="E593" s="42"/>
      <c r="F593" s="35" t="str">
        <f aca="false">IF($C593="","",IFERROR(INDEX(PRODUCTOS!$D$6:$D$105,MATCH($C593,PRODUCTOS!$A$6:$A$105,0)),0))</f>
        <v/>
      </c>
      <c r="G593" s="40"/>
      <c r="H593" s="35" t="str">
        <f aca="false">IF($C593="","",N($E593)*$F593-N($G593))</f>
        <v/>
      </c>
      <c r="I593" s="35" t="str">
        <f aca="false">IF($C593="","",$H593-$H593/(1+IFERROR(INDEX(PRODUCTOS!$E$6:$E$105,MATCH($C593,PRODUCTOS!$A$6:$A$105,0)),IVA_VENTAS)))</f>
        <v/>
      </c>
      <c r="J593" s="35" t="str">
        <f aca="false">IF($C593="","",$H593-$I593)</f>
        <v/>
      </c>
      <c r="K593" s="35" t="str">
        <f aca="false">IF($C593="","",N($E593)*IFERROR(INDEX(PRODUCTOS!$H$6:$H$105,MATCH($C593,PRODUCTOS!$A$6:$A$105,0)),0))</f>
        <v/>
      </c>
      <c r="L593" s="35" t="str">
        <f aca="false">IF($C593="","",$J593-$K593)</f>
        <v/>
      </c>
      <c r="M593" s="6"/>
      <c r="N593" s="6"/>
      <c r="O593" s="46" t="str">
        <f aca="false">IF($A593="","",DATE(YEAR($A593),MONTH($A593),1))</f>
        <v/>
      </c>
    </row>
    <row r="594" customFormat="false" ht="15" hidden="false" customHeight="false" outlineLevel="0" collapsed="false">
      <c r="A594" s="44"/>
      <c r="B594" s="6"/>
      <c r="C594" s="6"/>
      <c r="D594" s="8" t="str">
        <f aca="false">IF($C594="","",IFERROR(INDEX(PRODUCTOS!$B$6:$B$105,MATCH($C594,PRODUCTOS!$A$6:$A$105,0)),"¿Código?"))</f>
        <v/>
      </c>
      <c r="E594" s="42"/>
      <c r="F594" s="35" t="str">
        <f aca="false">IF($C594="","",IFERROR(INDEX(PRODUCTOS!$D$6:$D$105,MATCH($C594,PRODUCTOS!$A$6:$A$105,0)),0))</f>
        <v/>
      </c>
      <c r="G594" s="40"/>
      <c r="H594" s="35" t="str">
        <f aca="false">IF($C594="","",N($E594)*$F594-N($G594))</f>
        <v/>
      </c>
      <c r="I594" s="35" t="str">
        <f aca="false">IF($C594="","",$H594-$H594/(1+IFERROR(INDEX(PRODUCTOS!$E$6:$E$105,MATCH($C594,PRODUCTOS!$A$6:$A$105,0)),IVA_VENTAS)))</f>
        <v/>
      </c>
      <c r="J594" s="35" t="str">
        <f aca="false">IF($C594="","",$H594-$I594)</f>
        <v/>
      </c>
      <c r="K594" s="35" t="str">
        <f aca="false">IF($C594="","",N($E594)*IFERROR(INDEX(PRODUCTOS!$H$6:$H$105,MATCH($C594,PRODUCTOS!$A$6:$A$105,0)),0))</f>
        <v/>
      </c>
      <c r="L594" s="35" t="str">
        <f aca="false">IF($C594="","",$J594-$K594)</f>
        <v/>
      </c>
      <c r="M594" s="6"/>
      <c r="N594" s="6"/>
      <c r="O594" s="46" t="str">
        <f aca="false">IF($A594="","",DATE(YEAR($A594),MONTH($A594),1))</f>
        <v/>
      </c>
    </row>
    <row r="595" customFormat="false" ht="15" hidden="false" customHeight="false" outlineLevel="0" collapsed="false">
      <c r="A595" s="44"/>
      <c r="B595" s="6"/>
      <c r="C595" s="6"/>
      <c r="D595" s="8" t="str">
        <f aca="false">IF($C595="","",IFERROR(INDEX(PRODUCTOS!$B$6:$B$105,MATCH($C595,PRODUCTOS!$A$6:$A$105,0)),"¿Código?"))</f>
        <v/>
      </c>
      <c r="E595" s="42"/>
      <c r="F595" s="35" t="str">
        <f aca="false">IF($C595="","",IFERROR(INDEX(PRODUCTOS!$D$6:$D$105,MATCH($C595,PRODUCTOS!$A$6:$A$105,0)),0))</f>
        <v/>
      </c>
      <c r="G595" s="40"/>
      <c r="H595" s="35" t="str">
        <f aca="false">IF($C595="","",N($E595)*$F595-N($G595))</f>
        <v/>
      </c>
      <c r="I595" s="35" t="str">
        <f aca="false">IF($C595="","",$H595-$H595/(1+IFERROR(INDEX(PRODUCTOS!$E$6:$E$105,MATCH($C595,PRODUCTOS!$A$6:$A$105,0)),IVA_VENTAS)))</f>
        <v/>
      </c>
      <c r="J595" s="35" t="str">
        <f aca="false">IF($C595="","",$H595-$I595)</f>
        <v/>
      </c>
      <c r="K595" s="35" t="str">
        <f aca="false">IF($C595="","",N($E595)*IFERROR(INDEX(PRODUCTOS!$H$6:$H$105,MATCH($C595,PRODUCTOS!$A$6:$A$105,0)),0))</f>
        <v/>
      </c>
      <c r="L595" s="35" t="str">
        <f aca="false">IF($C595="","",$J595-$K595)</f>
        <v/>
      </c>
      <c r="M595" s="6"/>
      <c r="N595" s="6"/>
      <c r="O595" s="46" t="str">
        <f aca="false">IF($A595="","",DATE(YEAR($A595),MONTH($A595),1))</f>
        <v/>
      </c>
    </row>
    <row r="596" customFormat="false" ht="15" hidden="false" customHeight="false" outlineLevel="0" collapsed="false">
      <c r="A596" s="44"/>
      <c r="B596" s="6"/>
      <c r="C596" s="6"/>
      <c r="D596" s="8" t="str">
        <f aca="false">IF($C596="","",IFERROR(INDEX(PRODUCTOS!$B$6:$B$105,MATCH($C596,PRODUCTOS!$A$6:$A$105,0)),"¿Código?"))</f>
        <v/>
      </c>
      <c r="E596" s="42"/>
      <c r="F596" s="35" t="str">
        <f aca="false">IF($C596="","",IFERROR(INDEX(PRODUCTOS!$D$6:$D$105,MATCH($C596,PRODUCTOS!$A$6:$A$105,0)),0))</f>
        <v/>
      </c>
      <c r="G596" s="40"/>
      <c r="H596" s="35" t="str">
        <f aca="false">IF($C596="","",N($E596)*$F596-N($G596))</f>
        <v/>
      </c>
      <c r="I596" s="35" t="str">
        <f aca="false">IF($C596="","",$H596-$H596/(1+IFERROR(INDEX(PRODUCTOS!$E$6:$E$105,MATCH($C596,PRODUCTOS!$A$6:$A$105,0)),IVA_VENTAS)))</f>
        <v/>
      </c>
      <c r="J596" s="35" t="str">
        <f aca="false">IF($C596="","",$H596-$I596)</f>
        <v/>
      </c>
      <c r="K596" s="35" t="str">
        <f aca="false">IF($C596="","",N($E596)*IFERROR(INDEX(PRODUCTOS!$H$6:$H$105,MATCH($C596,PRODUCTOS!$A$6:$A$105,0)),0))</f>
        <v/>
      </c>
      <c r="L596" s="35" t="str">
        <f aca="false">IF($C596="","",$J596-$K596)</f>
        <v/>
      </c>
      <c r="M596" s="6"/>
      <c r="N596" s="6"/>
      <c r="O596" s="46" t="str">
        <f aca="false">IF($A596="","",DATE(YEAR($A596),MONTH($A596),1))</f>
        <v/>
      </c>
    </row>
    <row r="597" customFormat="false" ht="15" hidden="false" customHeight="false" outlineLevel="0" collapsed="false">
      <c r="A597" s="44"/>
      <c r="B597" s="6"/>
      <c r="C597" s="6"/>
      <c r="D597" s="8" t="str">
        <f aca="false">IF($C597="","",IFERROR(INDEX(PRODUCTOS!$B$6:$B$105,MATCH($C597,PRODUCTOS!$A$6:$A$105,0)),"¿Código?"))</f>
        <v/>
      </c>
      <c r="E597" s="42"/>
      <c r="F597" s="35" t="str">
        <f aca="false">IF($C597="","",IFERROR(INDEX(PRODUCTOS!$D$6:$D$105,MATCH($C597,PRODUCTOS!$A$6:$A$105,0)),0))</f>
        <v/>
      </c>
      <c r="G597" s="40"/>
      <c r="H597" s="35" t="str">
        <f aca="false">IF($C597="","",N($E597)*$F597-N($G597))</f>
        <v/>
      </c>
      <c r="I597" s="35" t="str">
        <f aca="false">IF($C597="","",$H597-$H597/(1+IFERROR(INDEX(PRODUCTOS!$E$6:$E$105,MATCH($C597,PRODUCTOS!$A$6:$A$105,0)),IVA_VENTAS)))</f>
        <v/>
      </c>
      <c r="J597" s="35" t="str">
        <f aca="false">IF($C597="","",$H597-$I597)</f>
        <v/>
      </c>
      <c r="K597" s="35" t="str">
        <f aca="false">IF($C597="","",N($E597)*IFERROR(INDEX(PRODUCTOS!$H$6:$H$105,MATCH($C597,PRODUCTOS!$A$6:$A$105,0)),0))</f>
        <v/>
      </c>
      <c r="L597" s="35" t="str">
        <f aca="false">IF($C597="","",$J597-$K597)</f>
        <v/>
      </c>
      <c r="M597" s="6"/>
      <c r="N597" s="6"/>
      <c r="O597" s="46" t="str">
        <f aca="false">IF($A597="","",DATE(YEAR($A597),MONTH($A597),1))</f>
        <v/>
      </c>
    </row>
    <row r="598" customFormat="false" ht="15" hidden="false" customHeight="false" outlineLevel="0" collapsed="false">
      <c r="A598" s="44"/>
      <c r="B598" s="6"/>
      <c r="C598" s="6"/>
      <c r="D598" s="8" t="str">
        <f aca="false">IF($C598="","",IFERROR(INDEX(PRODUCTOS!$B$6:$B$105,MATCH($C598,PRODUCTOS!$A$6:$A$105,0)),"¿Código?"))</f>
        <v/>
      </c>
      <c r="E598" s="42"/>
      <c r="F598" s="35" t="str">
        <f aca="false">IF($C598="","",IFERROR(INDEX(PRODUCTOS!$D$6:$D$105,MATCH($C598,PRODUCTOS!$A$6:$A$105,0)),0))</f>
        <v/>
      </c>
      <c r="G598" s="40"/>
      <c r="H598" s="35" t="str">
        <f aca="false">IF($C598="","",N($E598)*$F598-N($G598))</f>
        <v/>
      </c>
      <c r="I598" s="35" t="str">
        <f aca="false">IF($C598="","",$H598-$H598/(1+IFERROR(INDEX(PRODUCTOS!$E$6:$E$105,MATCH($C598,PRODUCTOS!$A$6:$A$105,0)),IVA_VENTAS)))</f>
        <v/>
      </c>
      <c r="J598" s="35" t="str">
        <f aca="false">IF($C598="","",$H598-$I598)</f>
        <v/>
      </c>
      <c r="K598" s="35" t="str">
        <f aca="false">IF($C598="","",N($E598)*IFERROR(INDEX(PRODUCTOS!$H$6:$H$105,MATCH($C598,PRODUCTOS!$A$6:$A$105,0)),0))</f>
        <v/>
      </c>
      <c r="L598" s="35" t="str">
        <f aca="false">IF($C598="","",$J598-$K598)</f>
        <v/>
      </c>
      <c r="M598" s="6"/>
      <c r="N598" s="6"/>
      <c r="O598" s="46" t="str">
        <f aca="false">IF($A598="","",DATE(YEAR($A598),MONTH($A598),1))</f>
        <v/>
      </c>
    </row>
    <row r="599" customFormat="false" ht="15" hidden="false" customHeight="false" outlineLevel="0" collapsed="false">
      <c r="A599" s="44"/>
      <c r="B599" s="6"/>
      <c r="C599" s="6"/>
      <c r="D599" s="8" t="str">
        <f aca="false">IF($C599="","",IFERROR(INDEX(PRODUCTOS!$B$6:$B$105,MATCH($C599,PRODUCTOS!$A$6:$A$105,0)),"¿Código?"))</f>
        <v/>
      </c>
      <c r="E599" s="42"/>
      <c r="F599" s="35" t="str">
        <f aca="false">IF($C599="","",IFERROR(INDEX(PRODUCTOS!$D$6:$D$105,MATCH($C599,PRODUCTOS!$A$6:$A$105,0)),0))</f>
        <v/>
      </c>
      <c r="G599" s="40"/>
      <c r="H599" s="35" t="str">
        <f aca="false">IF($C599="","",N($E599)*$F599-N($G599))</f>
        <v/>
      </c>
      <c r="I599" s="35" t="str">
        <f aca="false">IF($C599="","",$H599-$H599/(1+IFERROR(INDEX(PRODUCTOS!$E$6:$E$105,MATCH($C599,PRODUCTOS!$A$6:$A$105,0)),IVA_VENTAS)))</f>
        <v/>
      </c>
      <c r="J599" s="35" t="str">
        <f aca="false">IF($C599="","",$H599-$I599)</f>
        <v/>
      </c>
      <c r="K599" s="35" t="str">
        <f aca="false">IF($C599="","",N($E599)*IFERROR(INDEX(PRODUCTOS!$H$6:$H$105,MATCH($C599,PRODUCTOS!$A$6:$A$105,0)),0))</f>
        <v/>
      </c>
      <c r="L599" s="35" t="str">
        <f aca="false">IF($C599="","",$J599-$K599)</f>
        <v/>
      </c>
      <c r="M599" s="6"/>
      <c r="N599" s="6"/>
      <c r="O599" s="46" t="str">
        <f aca="false">IF($A599="","",DATE(YEAR($A599),MONTH($A599),1))</f>
        <v/>
      </c>
    </row>
    <row r="600" customFormat="false" ht="15" hidden="false" customHeight="false" outlineLevel="0" collapsed="false">
      <c r="A600" s="44"/>
      <c r="B600" s="6"/>
      <c r="C600" s="6"/>
      <c r="D600" s="8" t="str">
        <f aca="false">IF($C600="","",IFERROR(INDEX(PRODUCTOS!$B$6:$B$105,MATCH($C600,PRODUCTOS!$A$6:$A$105,0)),"¿Código?"))</f>
        <v/>
      </c>
      <c r="E600" s="42"/>
      <c r="F600" s="35" t="str">
        <f aca="false">IF($C600="","",IFERROR(INDEX(PRODUCTOS!$D$6:$D$105,MATCH($C600,PRODUCTOS!$A$6:$A$105,0)),0))</f>
        <v/>
      </c>
      <c r="G600" s="40"/>
      <c r="H600" s="35" t="str">
        <f aca="false">IF($C600="","",N($E600)*$F600-N($G600))</f>
        <v/>
      </c>
      <c r="I600" s="35" t="str">
        <f aca="false">IF($C600="","",$H600-$H600/(1+IFERROR(INDEX(PRODUCTOS!$E$6:$E$105,MATCH($C600,PRODUCTOS!$A$6:$A$105,0)),IVA_VENTAS)))</f>
        <v/>
      </c>
      <c r="J600" s="35" t="str">
        <f aca="false">IF($C600="","",$H600-$I600)</f>
        <v/>
      </c>
      <c r="K600" s="35" t="str">
        <f aca="false">IF($C600="","",N($E600)*IFERROR(INDEX(PRODUCTOS!$H$6:$H$105,MATCH($C600,PRODUCTOS!$A$6:$A$105,0)),0))</f>
        <v/>
      </c>
      <c r="L600" s="35" t="str">
        <f aca="false">IF($C600="","",$J600-$K600)</f>
        <v/>
      </c>
      <c r="M600" s="6"/>
      <c r="N600" s="6"/>
      <c r="O600" s="46" t="str">
        <f aca="false">IF($A600="","",DATE(YEAR($A600),MONTH($A600),1))</f>
        <v/>
      </c>
    </row>
    <row r="601" customFormat="false" ht="15" hidden="false" customHeight="false" outlineLevel="0" collapsed="false">
      <c r="A601" s="44"/>
      <c r="B601" s="6"/>
      <c r="C601" s="6"/>
      <c r="D601" s="8" t="str">
        <f aca="false">IF($C601="","",IFERROR(INDEX(PRODUCTOS!$B$6:$B$105,MATCH($C601,PRODUCTOS!$A$6:$A$105,0)),"¿Código?"))</f>
        <v/>
      </c>
      <c r="E601" s="42"/>
      <c r="F601" s="35" t="str">
        <f aca="false">IF($C601="","",IFERROR(INDEX(PRODUCTOS!$D$6:$D$105,MATCH($C601,PRODUCTOS!$A$6:$A$105,0)),0))</f>
        <v/>
      </c>
      <c r="G601" s="40"/>
      <c r="H601" s="35" t="str">
        <f aca="false">IF($C601="","",N($E601)*$F601-N($G601))</f>
        <v/>
      </c>
      <c r="I601" s="35" t="str">
        <f aca="false">IF($C601="","",$H601-$H601/(1+IFERROR(INDEX(PRODUCTOS!$E$6:$E$105,MATCH($C601,PRODUCTOS!$A$6:$A$105,0)),IVA_VENTAS)))</f>
        <v/>
      </c>
      <c r="J601" s="35" t="str">
        <f aca="false">IF($C601="","",$H601-$I601)</f>
        <v/>
      </c>
      <c r="K601" s="35" t="str">
        <f aca="false">IF($C601="","",N($E601)*IFERROR(INDEX(PRODUCTOS!$H$6:$H$105,MATCH($C601,PRODUCTOS!$A$6:$A$105,0)),0))</f>
        <v/>
      </c>
      <c r="L601" s="35" t="str">
        <f aca="false">IF($C601="","",$J601-$K601)</f>
        <v/>
      </c>
      <c r="M601" s="6"/>
      <c r="N601" s="6"/>
      <c r="O601" s="46" t="str">
        <f aca="false">IF($A601="","",DATE(YEAR($A601),MONTH($A601),1))</f>
        <v/>
      </c>
    </row>
    <row r="602" customFormat="false" ht="15" hidden="false" customHeight="false" outlineLevel="0" collapsed="false">
      <c r="A602" s="44"/>
      <c r="B602" s="6"/>
      <c r="C602" s="6"/>
      <c r="D602" s="8" t="str">
        <f aca="false">IF($C602="","",IFERROR(INDEX(PRODUCTOS!$B$6:$B$105,MATCH($C602,PRODUCTOS!$A$6:$A$105,0)),"¿Código?"))</f>
        <v/>
      </c>
      <c r="E602" s="42"/>
      <c r="F602" s="35" t="str">
        <f aca="false">IF($C602="","",IFERROR(INDEX(PRODUCTOS!$D$6:$D$105,MATCH($C602,PRODUCTOS!$A$6:$A$105,0)),0))</f>
        <v/>
      </c>
      <c r="G602" s="40"/>
      <c r="H602" s="35" t="str">
        <f aca="false">IF($C602="","",N($E602)*$F602-N($G602))</f>
        <v/>
      </c>
      <c r="I602" s="35" t="str">
        <f aca="false">IF($C602="","",$H602-$H602/(1+IFERROR(INDEX(PRODUCTOS!$E$6:$E$105,MATCH($C602,PRODUCTOS!$A$6:$A$105,0)),IVA_VENTAS)))</f>
        <v/>
      </c>
      <c r="J602" s="35" t="str">
        <f aca="false">IF($C602="","",$H602-$I602)</f>
        <v/>
      </c>
      <c r="K602" s="35" t="str">
        <f aca="false">IF($C602="","",N($E602)*IFERROR(INDEX(PRODUCTOS!$H$6:$H$105,MATCH($C602,PRODUCTOS!$A$6:$A$105,0)),0))</f>
        <v/>
      </c>
      <c r="L602" s="35" t="str">
        <f aca="false">IF($C602="","",$J602-$K602)</f>
        <v/>
      </c>
      <c r="M602" s="6"/>
      <c r="N602" s="6"/>
      <c r="O602" s="46" t="str">
        <f aca="false">IF($A602="","",DATE(YEAR($A602),MONTH($A602),1))</f>
        <v/>
      </c>
    </row>
    <row r="603" customFormat="false" ht="15" hidden="false" customHeight="false" outlineLevel="0" collapsed="false">
      <c r="A603" s="44"/>
      <c r="B603" s="6"/>
      <c r="C603" s="6"/>
      <c r="D603" s="8" t="str">
        <f aca="false">IF($C603="","",IFERROR(INDEX(PRODUCTOS!$B$6:$B$105,MATCH($C603,PRODUCTOS!$A$6:$A$105,0)),"¿Código?"))</f>
        <v/>
      </c>
      <c r="E603" s="42"/>
      <c r="F603" s="35" t="str">
        <f aca="false">IF($C603="","",IFERROR(INDEX(PRODUCTOS!$D$6:$D$105,MATCH($C603,PRODUCTOS!$A$6:$A$105,0)),0))</f>
        <v/>
      </c>
      <c r="G603" s="40"/>
      <c r="H603" s="35" t="str">
        <f aca="false">IF($C603="","",N($E603)*$F603-N($G603))</f>
        <v/>
      </c>
      <c r="I603" s="35" t="str">
        <f aca="false">IF($C603="","",$H603-$H603/(1+IFERROR(INDEX(PRODUCTOS!$E$6:$E$105,MATCH($C603,PRODUCTOS!$A$6:$A$105,0)),IVA_VENTAS)))</f>
        <v/>
      </c>
      <c r="J603" s="35" t="str">
        <f aca="false">IF($C603="","",$H603-$I603)</f>
        <v/>
      </c>
      <c r="K603" s="35" t="str">
        <f aca="false">IF($C603="","",N($E603)*IFERROR(INDEX(PRODUCTOS!$H$6:$H$105,MATCH($C603,PRODUCTOS!$A$6:$A$105,0)),0))</f>
        <v/>
      </c>
      <c r="L603" s="35" t="str">
        <f aca="false">IF($C603="","",$J603-$K603)</f>
        <v/>
      </c>
      <c r="M603" s="6"/>
      <c r="N603" s="6"/>
      <c r="O603" s="46" t="str">
        <f aca="false">IF($A603="","",DATE(YEAR($A603),MONTH($A603),1))</f>
        <v/>
      </c>
    </row>
    <row r="604" customFormat="false" ht="15" hidden="false" customHeight="false" outlineLevel="0" collapsed="false">
      <c r="A604" s="44"/>
      <c r="B604" s="6"/>
      <c r="C604" s="6"/>
      <c r="D604" s="8" t="str">
        <f aca="false">IF($C604="","",IFERROR(INDEX(PRODUCTOS!$B$6:$B$105,MATCH($C604,PRODUCTOS!$A$6:$A$105,0)),"¿Código?"))</f>
        <v/>
      </c>
      <c r="E604" s="42"/>
      <c r="F604" s="35" t="str">
        <f aca="false">IF($C604="","",IFERROR(INDEX(PRODUCTOS!$D$6:$D$105,MATCH($C604,PRODUCTOS!$A$6:$A$105,0)),0))</f>
        <v/>
      </c>
      <c r="G604" s="40"/>
      <c r="H604" s="35" t="str">
        <f aca="false">IF($C604="","",N($E604)*$F604-N($G604))</f>
        <v/>
      </c>
      <c r="I604" s="35" t="str">
        <f aca="false">IF($C604="","",$H604-$H604/(1+IFERROR(INDEX(PRODUCTOS!$E$6:$E$105,MATCH($C604,PRODUCTOS!$A$6:$A$105,0)),IVA_VENTAS)))</f>
        <v/>
      </c>
      <c r="J604" s="35" t="str">
        <f aca="false">IF($C604="","",$H604-$I604)</f>
        <v/>
      </c>
      <c r="K604" s="35" t="str">
        <f aca="false">IF($C604="","",N($E604)*IFERROR(INDEX(PRODUCTOS!$H$6:$H$105,MATCH($C604,PRODUCTOS!$A$6:$A$105,0)),0))</f>
        <v/>
      </c>
      <c r="L604" s="35" t="str">
        <f aca="false">IF($C604="","",$J604-$K604)</f>
        <v/>
      </c>
      <c r="M604" s="6"/>
      <c r="N604" s="6"/>
      <c r="O604" s="46" t="str">
        <f aca="false">IF($A604="","",DATE(YEAR($A604),MONTH($A604),1))</f>
        <v/>
      </c>
    </row>
    <row r="605" customFormat="false" ht="15" hidden="false" customHeight="false" outlineLevel="0" collapsed="false">
      <c r="A605" s="44"/>
      <c r="B605" s="6"/>
      <c r="C605" s="6"/>
      <c r="D605" s="8" t="str">
        <f aca="false">IF($C605="","",IFERROR(INDEX(PRODUCTOS!$B$6:$B$105,MATCH($C605,PRODUCTOS!$A$6:$A$105,0)),"¿Código?"))</f>
        <v/>
      </c>
      <c r="E605" s="42"/>
      <c r="F605" s="35" t="str">
        <f aca="false">IF($C605="","",IFERROR(INDEX(PRODUCTOS!$D$6:$D$105,MATCH($C605,PRODUCTOS!$A$6:$A$105,0)),0))</f>
        <v/>
      </c>
      <c r="G605" s="40"/>
      <c r="H605" s="35" t="str">
        <f aca="false">IF($C605="","",N($E605)*$F605-N($G605))</f>
        <v/>
      </c>
      <c r="I605" s="35" t="str">
        <f aca="false">IF($C605="","",$H605-$H605/(1+IFERROR(INDEX(PRODUCTOS!$E$6:$E$105,MATCH($C605,PRODUCTOS!$A$6:$A$105,0)),IVA_VENTAS)))</f>
        <v/>
      </c>
      <c r="J605" s="35" t="str">
        <f aca="false">IF($C605="","",$H605-$I605)</f>
        <v/>
      </c>
      <c r="K605" s="35" t="str">
        <f aca="false">IF($C605="","",N($E605)*IFERROR(INDEX(PRODUCTOS!$H$6:$H$105,MATCH($C605,PRODUCTOS!$A$6:$A$105,0)),0))</f>
        <v/>
      </c>
      <c r="L605" s="35" t="str">
        <f aca="false">IF($C605="","",$J605-$K605)</f>
        <v/>
      </c>
      <c r="M605" s="6"/>
      <c r="N605" s="6"/>
      <c r="O605" s="46" t="str">
        <f aca="false">IF($A605="","",DATE(YEAR($A605),MONTH($A605),1))</f>
        <v/>
      </c>
    </row>
    <row r="606" customFormat="false" ht="15" hidden="false" customHeight="false" outlineLevel="0" collapsed="false">
      <c r="A606" s="44"/>
      <c r="B606" s="6"/>
      <c r="C606" s="6"/>
      <c r="D606" s="8" t="str">
        <f aca="false">IF($C606="","",IFERROR(INDEX(PRODUCTOS!$B$6:$B$105,MATCH($C606,PRODUCTOS!$A$6:$A$105,0)),"¿Código?"))</f>
        <v/>
      </c>
      <c r="E606" s="42"/>
      <c r="F606" s="35" t="str">
        <f aca="false">IF($C606="","",IFERROR(INDEX(PRODUCTOS!$D$6:$D$105,MATCH($C606,PRODUCTOS!$A$6:$A$105,0)),0))</f>
        <v/>
      </c>
      <c r="G606" s="40"/>
      <c r="H606" s="35" t="str">
        <f aca="false">IF($C606="","",N($E606)*$F606-N($G606))</f>
        <v/>
      </c>
      <c r="I606" s="35" t="str">
        <f aca="false">IF($C606="","",$H606-$H606/(1+IFERROR(INDEX(PRODUCTOS!$E$6:$E$105,MATCH($C606,PRODUCTOS!$A$6:$A$105,0)),IVA_VENTAS)))</f>
        <v/>
      </c>
      <c r="J606" s="35" t="str">
        <f aca="false">IF($C606="","",$H606-$I606)</f>
        <v/>
      </c>
      <c r="K606" s="35" t="str">
        <f aca="false">IF($C606="","",N($E606)*IFERROR(INDEX(PRODUCTOS!$H$6:$H$105,MATCH($C606,PRODUCTOS!$A$6:$A$105,0)),0))</f>
        <v/>
      </c>
      <c r="L606" s="35" t="str">
        <f aca="false">IF($C606="","",$J606-$K606)</f>
        <v/>
      </c>
      <c r="M606" s="6"/>
      <c r="N606" s="6"/>
      <c r="O606" s="46" t="str">
        <f aca="false">IF($A606="","",DATE(YEAR($A606),MONTH($A606),1))</f>
        <v/>
      </c>
    </row>
    <row r="607" customFormat="false" ht="15" hidden="false" customHeight="false" outlineLevel="0" collapsed="false">
      <c r="A607" s="44"/>
      <c r="B607" s="6"/>
      <c r="C607" s="6"/>
      <c r="D607" s="8" t="str">
        <f aca="false">IF($C607="","",IFERROR(INDEX(PRODUCTOS!$B$6:$B$105,MATCH($C607,PRODUCTOS!$A$6:$A$105,0)),"¿Código?"))</f>
        <v/>
      </c>
      <c r="E607" s="42"/>
      <c r="F607" s="35" t="str">
        <f aca="false">IF($C607="","",IFERROR(INDEX(PRODUCTOS!$D$6:$D$105,MATCH($C607,PRODUCTOS!$A$6:$A$105,0)),0))</f>
        <v/>
      </c>
      <c r="G607" s="40"/>
      <c r="H607" s="35" t="str">
        <f aca="false">IF($C607="","",N($E607)*$F607-N($G607))</f>
        <v/>
      </c>
      <c r="I607" s="35" t="str">
        <f aca="false">IF($C607="","",$H607-$H607/(1+IFERROR(INDEX(PRODUCTOS!$E$6:$E$105,MATCH($C607,PRODUCTOS!$A$6:$A$105,0)),IVA_VENTAS)))</f>
        <v/>
      </c>
      <c r="J607" s="35" t="str">
        <f aca="false">IF($C607="","",$H607-$I607)</f>
        <v/>
      </c>
      <c r="K607" s="35" t="str">
        <f aca="false">IF($C607="","",N($E607)*IFERROR(INDEX(PRODUCTOS!$H$6:$H$105,MATCH($C607,PRODUCTOS!$A$6:$A$105,0)),0))</f>
        <v/>
      </c>
      <c r="L607" s="35" t="str">
        <f aca="false">IF($C607="","",$J607-$K607)</f>
        <v/>
      </c>
      <c r="M607" s="6"/>
      <c r="N607" s="6"/>
      <c r="O607" s="46" t="str">
        <f aca="false">IF($A607="","",DATE(YEAR($A607),MONTH($A607),1))</f>
        <v/>
      </c>
    </row>
    <row r="608" customFormat="false" ht="15" hidden="false" customHeight="false" outlineLevel="0" collapsed="false">
      <c r="A608" s="44"/>
      <c r="B608" s="6"/>
      <c r="C608" s="6"/>
      <c r="D608" s="8" t="str">
        <f aca="false">IF($C608="","",IFERROR(INDEX(PRODUCTOS!$B$6:$B$105,MATCH($C608,PRODUCTOS!$A$6:$A$105,0)),"¿Código?"))</f>
        <v/>
      </c>
      <c r="E608" s="42"/>
      <c r="F608" s="35" t="str">
        <f aca="false">IF($C608="","",IFERROR(INDEX(PRODUCTOS!$D$6:$D$105,MATCH($C608,PRODUCTOS!$A$6:$A$105,0)),0))</f>
        <v/>
      </c>
      <c r="G608" s="40"/>
      <c r="H608" s="35" t="str">
        <f aca="false">IF($C608="","",N($E608)*$F608-N($G608))</f>
        <v/>
      </c>
      <c r="I608" s="35" t="str">
        <f aca="false">IF($C608="","",$H608-$H608/(1+IFERROR(INDEX(PRODUCTOS!$E$6:$E$105,MATCH($C608,PRODUCTOS!$A$6:$A$105,0)),IVA_VENTAS)))</f>
        <v/>
      </c>
      <c r="J608" s="35" t="str">
        <f aca="false">IF($C608="","",$H608-$I608)</f>
        <v/>
      </c>
      <c r="K608" s="35" t="str">
        <f aca="false">IF($C608="","",N($E608)*IFERROR(INDEX(PRODUCTOS!$H$6:$H$105,MATCH($C608,PRODUCTOS!$A$6:$A$105,0)),0))</f>
        <v/>
      </c>
      <c r="L608" s="35" t="str">
        <f aca="false">IF($C608="","",$J608-$K608)</f>
        <v/>
      </c>
      <c r="M608" s="6"/>
      <c r="N608" s="6"/>
      <c r="O608" s="46" t="str">
        <f aca="false">IF($A608="","",DATE(YEAR($A608),MONTH($A608),1))</f>
        <v/>
      </c>
    </row>
    <row r="609" customFormat="false" ht="15" hidden="false" customHeight="false" outlineLevel="0" collapsed="false">
      <c r="A609" s="44"/>
      <c r="B609" s="6"/>
      <c r="C609" s="6"/>
      <c r="D609" s="8" t="str">
        <f aca="false">IF($C609="","",IFERROR(INDEX(PRODUCTOS!$B$6:$B$105,MATCH($C609,PRODUCTOS!$A$6:$A$105,0)),"¿Código?"))</f>
        <v/>
      </c>
      <c r="E609" s="42"/>
      <c r="F609" s="35" t="str">
        <f aca="false">IF($C609="","",IFERROR(INDEX(PRODUCTOS!$D$6:$D$105,MATCH($C609,PRODUCTOS!$A$6:$A$105,0)),0))</f>
        <v/>
      </c>
      <c r="G609" s="40"/>
      <c r="H609" s="35" t="str">
        <f aca="false">IF($C609="","",N($E609)*$F609-N($G609))</f>
        <v/>
      </c>
      <c r="I609" s="35" t="str">
        <f aca="false">IF($C609="","",$H609-$H609/(1+IFERROR(INDEX(PRODUCTOS!$E$6:$E$105,MATCH($C609,PRODUCTOS!$A$6:$A$105,0)),IVA_VENTAS)))</f>
        <v/>
      </c>
      <c r="J609" s="35" t="str">
        <f aca="false">IF($C609="","",$H609-$I609)</f>
        <v/>
      </c>
      <c r="K609" s="35" t="str">
        <f aca="false">IF($C609="","",N($E609)*IFERROR(INDEX(PRODUCTOS!$H$6:$H$105,MATCH($C609,PRODUCTOS!$A$6:$A$105,0)),0))</f>
        <v/>
      </c>
      <c r="L609" s="35" t="str">
        <f aca="false">IF($C609="","",$J609-$K609)</f>
        <v/>
      </c>
      <c r="M609" s="6"/>
      <c r="N609" s="6"/>
      <c r="O609" s="46" t="str">
        <f aca="false">IF($A609="","",DATE(YEAR($A609),MONTH($A609),1))</f>
        <v/>
      </c>
    </row>
    <row r="610" customFormat="false" ht="15" hidden="false" customHeight="false" outlineLevel="0" collapsed="false">
      <c r="A610" s="44"/>
      <c r="B610" s="6"/>
      <c r="C610" s="6"/>
      <c r="D610" s="8" t="str">
        <f aca="false">IF($C610="","",IFERROR(INDEX(PRODUCTOS!$B$6:$B$105,MATCH($C610,PRODUCTOS!$A$6:$A$105,0)),"¿Código?"))</f>
        <v/>
      </c>
      <c r="E610" s="42"/>
      <c r="F610" s="35" t="str">
        <f aca="false">IF($C610="","",IFERROR(INDEX(PRODUCTOS!$D$6:$D$105,MATCH($C610,PRODUCTOS!$A$6:$A$105,0)),0))</f>
        <v/>
      </c>
      <c r="G610" s="40"/>
      <c r="H610" s="35" t="str">
        <f aca="false">IF($C610="","",N($E610)*$F610-N($G610))</f>
        <v/>
      </c>
      <c r="I610" s="35" t="str">
        <f aca="false">IF($C610="","",$H610-$H610/(1+IFERROR(INDEX(PRODUCTOS!$E$6:$E$105,MATCH($C610,PRODUCTOS!$A$6:$A$105,0)),IVA_VENTAS)))</f>
        <v/>
      </c>
      <c r="J610" s="35" t="str">
        <f aca="false">IF($C610="","",$H610-$I610)</f>
        <v/>
      </c>
      <c r="K610" s="35" t="str">
        <f aca="false">IF($C610="","",N($E610)*IFERROR(INDEX(PRODUCTOS!$H$6:$H$105,MATCH($C610,PRODUCTOS!$A$6:$A$105,0)),0))</f>
        <v/>
      </c>
      <c r="L610" s="35" t="str">
        <f aca="false">IF($C610="","",$J610-$K610)</f>
        <v/>
      </c>
      <c r="M610" s="6"/>
      <c r="N610" s="6"/>
      <c r="O610" s="46" t="str">
        <f aca="false">IF($A610="","",DATE(YEAR($A610),MONTH($A610),1))</f>
        <v/>
      </c>
    </row>
    <row r="611" customFormat="false" ht="15" hidden="false" customHeight="false" outlineLevel="0" collapsed="false">
      <c r="A611" s="44"/>
      <c r="B611" s="6"/>
      <c r="C611" s="6"/>
      <c r="D611" s="8" t="str">
        <f aca="false">IF($C611="","",IFERROR(INDEX(PRODUCTOS!$B$6:$B$105,MATCH($C611,PRODUCTOS!$A$6:$A$105,0)),"¿Código?"))</f>
        <v/>
      </c>
      <c r="E611" s="42"/>
      <c r="F611" s="35" t="str">
        <f aca="false">IF($C611="","",IFERROR(INDEX(PRODUCTOS!$D$6:$D$105,MATCH($C611,PRODUCTOS!$A$6:$A$105,0)),0))</f>
        <v/>
      </c>
      <c r="G611" s="40"/>
      <c r="H611" s="35" t="str">
        <f aca="false">IF($C611="","",N($E611)*$F611-N($G611))</f>
        <v/>
      </c>
      <c r="I611" s="35" t="str">
        <f aca="false">IF($C611="","",$H611-$H611/(1+IFERROR(INDEX(PRODUCTOS!$E$6:$E$105,MATCH($C611,PRODUCTOS!$A$6:$A$105,0)),IVA_VENTAS)))</f>
        <v/>
      </c>
      <c r="J611" s="35" t="str">
        <f aca="false">IF($C611="","",$H611-$I611)</f>
        <v/>
      </c>
      <c r="K611" s="35" t="str">
        <f aca="false">IF($C611="","",N($E611)*IFERROR(INDEX(PRODUCTOS!$H$6:$H$105,MATCH($C611,PRODUCTOS!$A$6:$A$105,0)),0))</f>
        <v/>
      </c>
      <c r="L611" s="35" t="str">
        <f aca="false">IF($C611="","",$J611-$K611)</f>
        <v/>
      </c>
      <c r="M611" s="6"/>
      <c r="N611" s="6"/>
      <c r="O611" s="46" t="str">
        <f aca="false">IF($A611="","",DATE(YEAR($A611),MONTH($A611),1))</f>
        <v/>
      </c>
    </row>
    <row r="612" customFormat="false" ht="15" hidden="false" customHeight="false" outlineLevel="0" collapsed="false">
      <c r="A612" s="44"/>
      <c r="B612" s="6"/>
      <c r="C612" s="6"/>
      <c r="D612" s="8" t="str">
        <f aca="false">IF($C612="","",IFERROR(INDEX(PRODUCTOS!$B$6:$B$105,MATCH($C612,PRODUCTOS!$A$6:$A$105,0)),"¿Código?"))</f>
        <v/>
      </c>
      <c r="E612" s="42"/>
      <c r="F612" s="35" t="str">
        <f aca="false">IF($C612="","",IFERROR(INDEX(PRODUCTOS!$D$6:$D$105,MATCH($C612,PRODUCTOS!$A$6:$A$105,0)),0))</f>
        <v/>
      </c>
      <c r="G612" s="40"/>
      <c r="H612" s="35" t="str">
        <f aca="false">IF($C612="","",N($E612)*$F612-N($G612))</f>
        <v/>
      </c>
      <c r="I612" s="35" t="str">
        <f aca="false">IF($C612="","",$H612-$H612/(1+IFERROR(INDEX(PRODUCTOS!$E$6:$E$105,MATCH($C612,PRODUCTOS!$A$6:$A$105,0)),IVA_VENTAS)))</f>
        <v/>
      </c>
      <c r="J612" s="35" t="str">
        <f aca="false">IF($C612="","",$H612-$I612)</f>
        <v/>
      </c>
      <c r="K612" s="35" t="str">
        <f aca="false">IF($C612="","",N($E612)*IFERROR(INDEX(PRODUCTOS!$H$6:$H$105,MATCH($C612,PRODUCTOS!$A$6:$A$105,0)),0))</f>
        <v/>
      </c>
      <c r="L612" s="35" t="str">
        <f aca="false">IF($C612="","",$J612-$K612)</f>
        <v/>
      </c>
      <c r="M612" s="6"/>
      <c r="N612" s="6"/>
      <c r="O612" s="46" t="str">
        <f aca="false">IF($A612="","",DATE(YEAR($A612),MONTH($A612),1))</f>
        <v/>
      </c>
    </row>
    <row r="613" customFormat="false" ht="15" hidden="false" customHeight="false" outlineLevel="0" collapsed="false">
      <c r="A613" s="44"/>
      <c r="B613" s="6"/>
      <c r="C613" s="6"/>
      <c r="D613" s="8" t="str">
        <f aca="false">IF($C613="","",IFERROR(INDEX(PRODUCTOS!$B$6:$B$105,MATCH($C613,PRODUCTOS!$A$6:$A$105,0)),"¿Código?"))</f>
        <v/>
      </c>
      <c r="E613" s="42"/>
      <c r="F613" s="35" t="str">
        <f aca="false">IF($C613="","",IFERROR(INDEX(PRODUCTOS!$D$6:$D$105,MATCH($C613,PRODUCTOS!$A$6:$A$105,0)),0))</f>
        <v/>
      </c>
      <c r="G613" s="40"/>
      <c r="H613" s="35" t="str">
        <f aca="false">IF($C613="","",N($E613)*$F613-N($G613))</f>
        <v/>
      </c>
      <c r="I613" s="35" t="str">
        <f aca="false">IF($C613="","",$H613-$H613/(1+IFERROR(INDEX(PRODUCTOS!$E$6:$E$105,MATCH($C613,PRODUCTOS!$A$6:$A$105,0)),IVA_VENTAS)))</f>
        <v/>
      </c>
      <c r="J613" s="35" t="str">
        <f aca="false">IF($C613="","",$H613-$I613)</f>
        <v/>
      </c>
      <c r="K613" s="35" t="str">
        <f aca="false">IF($C613="","",N($E613)*IFERROR(INDEX(PRODUCTOS!$H$6:$H$105,MATCH($C613,PRODUCTOS!$A$6:$A$105,0)),0))</f>
        <v/>
      </c>
      <c r="L613" s="35" t="str">
        <f aca="false">IF($C613="","",$J613-$K613)</f>
        <v/>
      </c>
      <c r="M613" s="6"/>
      <c r="N613" s="6"/>
      <c r="O613" s="46" t="str">
        <f aca="false">IF($A613="","",DATE(YEAR($A613),MONTH($A613),1))</f>
        <v/>
      </c>
    </row>
    <row r="614" customFormat="false" ht="15" hidden="false" customHeight="false" outlineLevel="0" collapsed="false">
      <c r="A614" s="44"/>
      <c r="B614" s="6"/>
      <c r="C614" s="6"/>
      <c r="D614" s="8" t="str">
        <f aca="false">IF($C614="","",IFERROR(INDEX(PRODUCTOS!$B$6:$B$105,MATCH($C614,PRODUCTOS!$A$6:$A$105,0)),"¿Código?"))</f>
        <v/>
      </c>
      <c r="E614" s="42"/>
      <c r="F614" s="35" t="str">
        <f aca="false">IF($C614="","",IFERROR(INDEX(PRODUCTOS!$D$6:$D$105,MATCH($C614,PRODUCTOS!$A$6:$A$105,0)),0))</f>
        <v/>
      </c>
      <c r="G614" s="40"/>
      <c r="H614" s="35" t="str">
        <f aca="false">IF($C614="","",N($E614)*$F614-N($G614))</f>
        <v/>
      </c>
      <c r="I614" s="35" t="str">
        <f aca="false">IF($C614="","",$H614-$H614/(1+IFERROR(INDEX(PRODUCTOS!$E$6:$E$105,MATCH($C614,PRODUCTOS!$A$6:$A$105,0)),IVA_VENTAS)))</f>
        <v/>
      </c>
      <c r="J614" s="35" t="str">
        <f aca="false">IF($C614="","",$H614-$I614)</f>
        <v/>
      </c>
      <c r="K614" s="35" t="str">
        <f aca="false">IF($C614="","",N($E614)*IFERROR(INDEX(PRODUCTOS!$H$6:$H$105,MATCH($C614,PRODUCTOS!$A$6:$A$105,0)),0))</f>
        <v/>
      </c>
      <c r="L614" s="35" t="str">
        <f aca="false">IF($C614="","",$J614-$K614)</f>
        <v/>
      </c>
      <c r="M614" s="6"/>
      <c r="N614" s="6"/>
      <c r="O614" s="46" t="str">
        <f aca="false">IF($A614="","",DATE(YEAR($A614),MONTH($A614),1))</f>
        <v/>
      </c>
    </row>
    <row r="615" customFormat="false" ht="15" hidden="false" customHeight="false" outlineLevel="0" collapsed="false">
      <c r="A615" s="44"/>
      <c r="B615" s="6"/>
      <c r="C615" s="6"/>
      <c r="D615" s="8" t="str">
        <f aca="false">IF($C615="","",IFERROR(INDEX(PRODUCTOS!$B$6:$B$105,MATCH($C615,PRODUCTOS!$A$6:$A$105,0)),"¿Código?"))</f>
        <v/>
      </c>
      <c r="E615" s="42"/>
      <c r="F615" s="35" t="str">
        <f aca="false">IF($C615="","",IFERROR(INDEX(PRODUCTOS!$D$6:$D$105,MATCH($C615,PRODUCTOS!$A$6:$A$105,0)),0))</f>
        <v/>
      </c>
      <c r="G615" s="40"/>
      <c r="H615" s="35" t="str">
        <f aca="false">IF($C615="","",N($E615)*$F615-N($G615))</f>
        <v/>
      </c>
      <c r="I615" s="35" t="str">
        <f aca="false">IF($C615="","",$H615-$H615/(1+IFERROR(INDEX(PRODUCTOS!$E$6:$E$105,MATCH($C615,PRODUCTOS!$A$6:$A$105,0)),IVA_VENTAS)))</f>
        <v/>
      </c>
      <c r="J615" s="35" t="str">
        <f aca="false">IF($C615="","",$H615-$I615)</f>
        <v/>
      </c>
      <c r="K615" s="35" t="str">
        <f aca="false">IF($C615="","",N($E615)*IFERROR(INDEX(PRODUCTOS!$H$6:$H$105,MATCH($C615,PRODUCTOS!$A$6:$A$105,0)),0))</f>
        <v/>
      </c>
      <c r="L615" s="35" t="str">
        <f aca="false">IF($C615="","",$J615-$K615)</f>
        <v/>
      </c>
      <c r="M615" s="6"/>
      <c r="N615" s="6"/>
      <c r="O615" s="46" t="str">
        <f aca="false">IF($A615="","",DATE(YEAR($A615),MONTH($A615),1))</f>
        <v/>
      </c>
    </row>
    <row r="616" customFormat="false" ht="15" hidden="false" customHeight="false" outlineLevel="0" collapsed="false">
      <c r="A616" s="44"/>
      <c r="B616" s="6"/>
      <c r="C616" s="6"/>
      <c r="D616" s="8" t="str">
        <f aca="false">IF($C616="","",IFERROR(INDEX(PRODUCTOS!$B$6:$B$105,MATCH($C616,PRODUCTOS!$A$6:$A$105,0)),"¿Código?"))</f>
        <v/>
      </c>
      <c r="E616" s="42"/>
      <c r="F616" s="35" t="str">
        <f aca="false">IF($C616="","",IFERROR(INDEX(PRODUCTOS!$D$6:$D$105,MATCH($C616,PRODUCTOS!$A$6:$A$105,0)),0))</f>
        <v/>
      </c>
      <c r="G616" s="40"/>
      <c r="H616" s="35" t="str">
        <f aca="false">IF($C616="","",N($E616)*$F616-N($G616))</f>
        <v/>
      </c>
      <c r="I616" s="35" t="str">
        <f aca="false">IF($C616="","",$H616-$H616/(1+IFERROR(INDEX(PRODUCTOS!$E$6:$E$105,MATCH($C616,PRODUCTOS!$A$6:$A$105,0)),IVA_VENTAS)))</f>
        <v/>
      </c>
      <c r="J616" s="35" t="str">
        <f aca="false">IF($C616="","",$H616-$I616)</f>
        <v/>
      </c>
      <c r="K616" s="35" t="str">
        <f aca="false">IF($C616="","",N($E616)*IFERROR(INDEX(PRODUCTOS!$H$6:$H$105,MATCH($C616,PRODUCTOS!$A$6:$A$105,0)),0))</f>
        <v/>
      </c>
      <c r="L616" s="35" t="str">
        <f aca="false">IF($C616="","",$J616-$K616)</f>
        <v/>
      </c>
      <c r="M616" s="6"/>
      <c r="N616" s="6"/>
      <c r="O616" s="46" t="str">
        <f aca="false">IF($A616="","",DATE(YEAR($A616),MONTH($A616),1))</f>
        <v/>
      </c>
    </row>
    <row r="617" customFormat="false" ht="15" hidden="false" customHeight="false" outlineLevel="0" collapsed="false">
      <c r="A617" s="44"/>
      <c r="B617" s="6"/>
      <c r="C617" s="6"/>
      <c r="D617" s="8" t="str">
        <f aca="false">IF($C617="","",IFERROR(INDEX(PRODUCTOS!$B$6:$B$105,MATCH($C617,PRODUCTOS!$A$6:$A$105,0)),"¿Código?"))</f>
        <v/>
      </c>
      <c r="E617" s="42"/>
      <c r="F617" s="35" t="str">
        <f aca="false">IF($C617="","",IFERROR(INDEX(PRODUCTOS!$D$6:$D$105,MATCH($C617,PRODUCTOS!$A$6:$A$105,0)),0))</f>
        <v/>
      </c>
      <c r="G617" s="40"/>
      <c r="H617" s="35" t="str">
        <f aca="false">IF($C617="","",N($E617)*$F617-N($G617))</f>
        <v/>
      </c>
      <c r="I617" s="35" t="str">
        <f aca="false">IF($C617="","",$H617-$H617/(1+IFERROR(INDEX(PRODUCTOS!$E$6:$E$105,MATCH($C617,PRODUCTOS!$A$6:$A$105,0)),IVA_VENTAS)))</f>
        <v/>
      </c>
      <c r="J617" s="35" t="str">
        <f aca="false">IF($C617="","",$H617-$I617)</f>
        <v/>
      </c>
      <c r="K617" s="35" t="str">
        <f aca="false">IF($C617="","",N($E617)*IFERROR(INDEX(PRODUCTOS!$H$6:$H$105,MATCH($C617,PRODUCTOS!$A$6:$A$105,0)),0))</f>
        <v/>
      </c>
      <c r="L617" s="35" t="str">
        <f aca="false">IF($C617="","",$J617-$K617)</f>
        <v/>
      </c>
      <c r="M617" s="6"/>
      <c r="N617" s="6"/>
      <c r="O617" s="46" t="str">
        <f aca="false">IF($A617="","",DATE(YEAR($A617),MONTH($A617),1))</f>
        <v/>
      </c>
    </row>
    <row r="618" customFormat="false" ht="15" hidden="false" customHeight="false" outlineLevel="0" collapsed="false">
      <c r="A618" s="44"/>
      <c r="B618" s="6"/>
      <c r="C618" s="6"/>
      <c r="D618" s="8" t="str">
        <f aca="false">IF($C618="","",IFERROR(INDEX(PRODUCTOS!$B$6:$B$105,MATCH($C618,PRODUCTOS!$A$6:$A$105,0)),"¿Código?"))</f>
        <v/>
      </c>
      <c r="E618" s="42"/>
      <c r="F618" s="35" t="str">
        <f aca="false">IF($C618="","",IFERROR(INDEX(PRODUCTOS!$D$6:$D$105,MATCH($C618,PRODUCTOS!$A$6:$A$105,0)),0))</f>
        <v/>
      </c>
      <c r="G618" s="40"/>
      <c r="H618" s="35" t="str">
        <f aca="false">IF($C618="","",N($E618)*$F618-N($G618))</f>
        <v/>
      </c>
      <c r="I618" s="35" t="str">
        <f aca="false">IF($C618="","",$H618-$H618/(1+IFERROR(INDEX(PRODUCTOS!$E$6:$E$105,MATCH($C618,PRODUCTOS!$A$6:$A$105,0)),IVA_VENTAS)))</f>
        <v/>
      </c>
      <c r="J618" s="35" t="str">
        <f aca="false">IF($C618="","",$H618-$I618)</f>
        <v/>
      </c>
      <c r="K618" s="35" t="str">
        <f aca="false">IF($C618="","",N($E618)*IFERROR(INDEX(PRODUCTOS!$H$6:$H$105,MATCH($C618,PRODUCTOS!$A$6:$A$105,0)),0))</f>
        <v/>
      </c>
      <c r="L618" s="35" t="str">
        <f aca="false">IF($C618="","",$J618-$K618)</f>
        <v/>
      </c>
      <c r="M618" s="6"/>
      <c r="N618" s="6"/>
      <c r="O618" s="46" t="str">
        <f aca="false">IF($A618="","",DATE(YEAR($A618),MONTH($A618),1))</f>
        <v/>
      </c>
    </row>
    <row r="619" customFormat="false" ht="15" hidden="false" customHeight="false" outlineLevel="0" collapsed="false">
      <c r="A619" s="44"/>
      <c r="B619" s="6"/>
      <c r="C619" s="6"/>
      <c r="D619" s="8" t="str">
        <f aca="false">IF($C619="","",IFERROR(INDEX(PRODUCTOS!$B$6:$B$105,MATCH($C619,PRODUCTOS!$A$6:$A$105,0)),"¿Código?"))</f>
        <v/>
      </c>
      <c r="E619" s="42"/>
      <c r="F619" s="35" t="str">
        <f aca="false">IF($C619="","",IFERROR(INDEX(PRODUCTOS!$D$6:$D$105,MATCH($C619,PRODUCTOS!$A$6:$A$105,0)),0))</f>
        <v/>
      </c>
      <c r="G619" s="40"/>
      <c r="H619" s="35" t="str">
        <f aca="false">IF($C619="","",N($E619)*$F619-N($G619))</f>
        <v/>
      </c>
      <c r="I619" s="35" t="str">
        <f aca="false">IF($C619="","",$H619-$H619/(1+IFERROR(INDEX(PRODUCTOS!$E$6:$E$105,MATCH($C619,PRODUCTOS!$A$6:$A$105,0)),IVA_VENTAS)))</f>
        <v/>
      </c>
      <c r="J619" s="35" t="str">
        <f aca="false">IF($C619="","",$H619-$I619)</f>
        <v/>
      </c>
      <c r="K619" s="35" t="str">
        <f aca="false">IF($C619="","",N($E619)*IFERROR(INDEX(PRODUCTOS!$H$6:$H$105,MATCH($C619,PRODUCTOS!$A$6:$A$105,0)),0))</f>
        <v/>
      </c>
      <c r="L619" s="35" t="str">
        <f aca="false">IF($C619="","",$J619-$K619)</f>
        <v/>
      </c>
      <c r="M619" s="6"/>
      <c r="N619" s="6"/>
      <c r="O619" s="46" t="str">
        <f aca="false">IF($A619="","",DATE(YEAR($A619),MONTH($A619),1))</f>
        <v/>
      </c>
    </row>
    <row r="620" customFormat="false" ht="15" hidden="false" customHeight="false" outlineLevel="0" collapsed="false">
      <c r="A620" s="44"/>
      <c r="B620" s="6"/>
      <c r="C620" s="6"/>
      <c r="D620" s="8" t="str">
        <f aca="false">IF($C620="","",IFERROR(INDEX(PRODUCTOS!$B$6:$B$105,MATCH($C620,PRODUCTOS!$A$6:$A$105,0)),"¿Código?"))</f>
        <v/>
      </c>
      <c r="E620" s="42"/>
      <c r="F620" s="35" t="str">
        <f aca="false">IF($C620="","",IFERROR(INDEX(PRODUCTOS!$D$6:$D$105,MATCH($C620,PRODUCTOS!$A$6:$A$105,0)),0))</f>
        <v/>
      </c>
      <c r="G620" s="40"/>
      <c r="H620" s="35" t="str">
        <f aca="false">IF($C620="","",N($E620)*$F620-N($G620))</f>
        <v/>
      </c>
      <c r="I620" s="35" t="str">
        <f aca="false">IF($C620="","",$H620-$H620/(1+IFERROR(INDEX(PRODUCTOS!$E$6:$E$105,MATCH($C620,PRODUCTOS!$A$6:$A$105,0)),IVA_VENTAS)))</f>
        <v/>
      </c>
      <c r="J620" s="35" t="str">
        <f aca="false">IF($C620="","",$H620-$I620)</f>
        <v/>
      </c>
      <c r="K620" s="35" t="str">
        <f aca="false">IF($C620="","",N($E620)*IFERROR(INDEX(PRODUCTOS!$H$6:$H$105,MATCH($C620,PRODUCTOS!$A$6:$A$105,0)),0))</f>
        <v/>
      </c>
      <c r="L620" s="35" t="str">
        <f aca="false">IF($C620="","",$J620-$K620)</f>
        <v/>
      </c>
      <c r="M620" s="6"/>
      <c r="N620" s="6"/>
      <c r="O620" s="46" t="str">
        <f aca="false">IF($A620="","",DATE(YEAR($A620),MONTH($A620),1))</f>
        <v/>
      </c>
    </row>
    <row r="621" customFormat="false" ht="15" hidden="false" customHeight="false" outlineLevel="0" collapsed="false">
      <c r="A621" s="44"/>
      <c r="B621" s="6"/>
      <c r="C621" s="6"/>
      <c r="D621" s="8" t="str">
        <f aca="false">IF($C621="","",IFERROR(INDEX(PRODUCTOS!$B$6:$B$105,MATCH($C621,PRODUCTOS!$A$6:$A$105,0)),"¿Código?"))</f>
        <v/>
      </c>
      <c r="E621" s="42"/>
      <c r="F621" s="35" t="str">
        <f aca="false">IF($C621="","",IFERROR(INDEX(PRODUCTOS!$D$6:$D$105,MATCH($C621,PRODUCTOS!$A$6:$A$105,0)),0))</f>
        <v/>
      </c>
      <c r="G621" s="40"/>
      <c r="H621" s="35" t="str">
        <f aca="false">IF($C621="","",N($E621)*$F621-N($G621))</f>
        <v/>
      </c>
      <c r="I621" s="35" t="str">
        <f aca="false">IF($C621="","",$H621-$H621/(1+IFERROR(INDEX(PRODUCTOS!$E$6:$E$105,MATCH($C621,PRODUCTOS!$A$6:$A$105,0)),IVA_VENTAS)))</f>
        <v/>
      </c>
      <c r="J621" s="35" t="str">
        <f aca="false">IF($C621="","",$H621-$I621)</f>
        <v/>
      </c>
      <c r="K621" s="35" t="str">
        <f aca="false">IF($C621="","",N($E621)*IFERROR(INDEX(PRODUCTOS!$H$6:$H$105,MATCH($C621,PRODUCTOS!$A$6:$A$105,0)),0))</f>
        <v/>
      </c>
      <c r="L621" s="35" t="str">
        <f aca="false">IF($C621="","",$J621-$K621)</f>
        <v/>
      </c>
      <c r="M621" s="6"/>
      <c r="N621" s="6"/>
      <c r="O621" s="46" t="str">
        <f aca="false">IF($A621="","",DATE(YEAR($A621),MONTH($A621),1))</f>
        <v/>
      </c>
    </row>
    <row r="622" customFormat="false" ht="15" hidden="false" customHeight="false" outlineLevel="0" collapsed="false">
      <c r="A622" s="44"/>
      <c r="B622" s="6"/>
      <c r="C622" s="6"/>
      <c r="D622" s="8" t="str">
        <f aca="false">IF($C622="","",IFERROR(INDEX(PRODUCTOS!$B$6:$B$105,MATCH($C622,PRODUCTOS!$A$6:$A$105,0)),"¿Código?"))</f>
        <v/>
      </c>
      <c r="E622" s="42"/>
      <c r="F622" s="35" t="str">
        <f aca="false">IF($C622="","",IFERROR(INDEX(PRODUCTOS!$D$6:$D$105,MATCH($C622,PRODUCTOS!$A$6:$A$105,0)),0))</f>
        <v/>
      </c>
      <c r="G622" s="40"/>
      <c r="H622" s="35" t="str">
        <f aca="false">IF($C622="","",N($E622)*$F622-N($G622))</f>
        <v/>
      </c>
      <c r="I622" s="35" t="str">
        <f aca="false">IF($C622="","",$H622-$H622/(1+IFERROR(INDEX(PRODUCTOS!$E$6:$E$105,MATCH($C622,PRODUCTOS!$A$6:$A$105,0)),IVA_VENTAS)))</f>
        <v/>
      </c>
      <c r="J622" s="35" t="str">
        <f aca="false">IF($C622="","",$H622-$I622)</f>
        <v/>
      </c>
      <c r="K622" s="35" t="str">
        <f aca="false">IF($C622="","",N($E622)*IFERROR(INDEX(PRODUCTOS!$H$6:$H$105,MATCH($C622,PRODUCTOS!$A$6:$A$105,0)),0))</f>
        <v/>
      </c>
      <c r="L622" s="35" t="str">
        <f aca="false">IF($C622="","",$J622-$K622)</f>
        <v/>
      </c>
      <c r="M622" s="6"/>
      <c r="N622" s="6"/>
      <c r="O622" s="46" t="str">
        <f aca="false">IF($A622="","",DATE(YEAR($A622),MONTH($A622),1))</f>
        <v/>
      </c>
    </row>
    <row r="623" customFormat="false" ht="15" hidden="false" customHeight="false" outlineLevel="0" collapsed="false">
      <c r="A623" s="44"/>
      <c r="B623" s="6"/>
      <c r="C623" s="6"/>
      <c r="D623" s="8" t="str">
        <f aca="false">IF($C623="","",IFERROR(INDEX(PRODUCTOS!$B$6:$B$105,MATCH($C623,PRODUCTOS!$A$6:$A$105,0)),"¿Código?"))</f>
        <v/>
      </c>
      <c r="E623" s="42"/>
      <c r="F623" s="35" t="str">
        <f aca="false">IF($C623="","",IFERROR(INDEX(PRODUCTOS!$D$6:$D$105,MATCH($C623,PRODUCTOS!$A$6:$A$105,0)),0))</f>
        <v/>
      </c>
      <c r="G623" s="40"/>
      <c r="H623" s="35" t="str">
        <f aca="false">IF($C623="","",N($E623)*$F623-N($G623))</f>
        <v/>
      </c>
      <c r="I623" s="35" t="str">
        <f aca="false">IF($C623="","",$H623-$H623/(1+IFERROR(INDEX(PRODUCTOS!$E$6:$E$105,MATCH($C623,PRODUCTOS!$A$6:$A$105,0)),IVA_VENTAS)))</f>
        <v/>
      </c>
      <c r="J623" s="35" t="str">
        <f aca="false">IF($C623="","",$H623-$I623)</f>
        <v/>
      </c>
      <c r="K623" s="35" t="str">
        <f aca="false">IF($C623="","",N($E623)*IFERROR(INDEX(PRODUCTOS!$H$6:$H$105,MATCH($C623,PRODUCTOS!$A$6:$A$105,0)),0))</f>
        <v/>
      </c>
      <c r="L623" s="35" t="str">
        <f aca="false">IF($C623="","",$J623-$K623)</f>
        <v/>
      </c>
      <c r="M623" s="6"/>
      <c r="N623" s="6"/>
      <c r="O623" s="46" t="str">
        <f aca="false">IF($A623="","",DATE(YEAR($A623),MONTH($A623),1))</f>
        <v/>
      </c>
    </row>
    <row r="624" customFormat="false" ht="15" hidden="false" customHeight="false" outlineLevel="0" collapsed="false">
      <c r="A624" s="44"/>
      <c r="B624" s="6"/>
      <c r="C624" s="6"/>
      <c r="D624" s="8" t="str">
        <f aca="false">IF($C624="","",IFERROR(INDEX(PRODUCTOS!$B$6:$B$105,MATCH($C624,PRODUCTOS!$A$6:$A$105,0)),"¿Código?"))</f>
        <v/>
      </c>
      <c r="E624" s="42"/>
      <c r="F624" s="35" t="str">
        <f aca="false">IF($C624="","",IFERROR(INDEX(PRODUCTOS!$D$6:$D$105,MATCH($C624,PRODUCTOS!$A$6:$A$105,0)),0))</f>
        <v/>
      </c>
      <c r="G624" s="40"/>
      <c r="H624" s="35" t="str">
        <f aca="false">IF($C624="","",N($E624)*$F624-N($G624))</f>
        <v/>
      </c>
      <c r="I624" s="35" t="str">
        <f aca="false">IF($C624="","",$H624-$H624/(1+IFERROR(INDEX(PRODUCTOS!$E$6:$E$105,MATCH($C624,PRODUCTOS!$A$6:$A$105,0)),IVA_VENTAS)))</f>
        <v/>
      </c>
      <c r="J624" s="35" t="str">
        <f aca="false">IF($C624="","",$H624-$I624)</f>
        <v/>
      </c>
      <c r="K624" s="35" t="str">
        <f aca="false">IF($C624="","",N($E624)*IFERROR(INDEX(PRODUCTOS!$H$6:$H$105,MATCH($C624,PRODUCTOS!$A$6:$A$105,0)),0))</f>
        <v/>
      </c>
      <c r="L624" s="35" t="str">
        <f aca="false">IF($C624="","",$J624-$K624)</f>
        <v/>
      </c>
      <c r="M624" s="6"/>
      <c r="N624" s="6"/>
      <c r="O624" s="46" t="str">
        <f aca="false">IF($A624="","",DATE(YEAR($A624),MONTH($A624),1))</f>
        <v/>
      </c>
    </row>
    <row r="625" customFormat="false" ht="15" hidden="false" customHeight="false" outlineLevel="0" collapsed="false">
      <c r="A625" s="44"/>
      <c r="B625" s="6"/>
      <c r="C625" s="6"/>
      <c r="D625" s="8" t="str">
        <f aca="false">IF($C625="","",IFERROR(INDEX(PRODUCTOS!$B$6:$B$105,MATCH($C625,PRODUCTOS!$A$6:$A$105,0)),"¿Código?"))</f>
        <v/>
      </c>
      <c r="E625" s="42"/>
      <c r="F625" s="35" t="str">
        <f aca="false">IF($C625="","",IFERROR(INDEX(PRODUCTOS!$D$6:$D$105,MATCH($C625,PRODUCTOS!$A$6:$A$105,0)),0))</f>
        <v/>
      </c>
      <c r="G625" s="40"/>
      <c r="H625" s="35" t="str">
        <f aca="false">IF($C625="","",N($E625)*$F625-N($G625))</f>
        <v/>
      </c>
      <c r="I625" s="35" t="str">
        <f aca="false">IF($C625="","",$H625-$H625/(1+IFERROR(INDEX(PRODUCTOS!$E$6:$E$105,MATCH($C625,PRODUCTOS!$A$6:$A$105,0)),IVA_VENTAS)))</f>
        <v/>
      </c>
      <c r="J625" s="35" t="str">
        <f aca="false">IF($C625="","",$H625-$I625)</f>
        <v/>
      </c>
      <c r="K625" s="35" t="str">
        <f aca="false">IF($C625="","",N($E625)*IFERROR(INDEX(PRODUCTOS!$H$6:$H$105,MATCH($C625,PRODUCTOS!$A$6:$A$105,0)),0))</f>
        <v/>
      </c>
      <c r="L625" s="35" t="str">
        <f aca="false">IF($C625="","",$J625-$K625)</f>
        <v/>
      </c>
      <c r="M625" s="6"/>
      <c r="N625" s="6"/>
      <c r="O625" s="46" t="str">
        <f aca="false">IF($A625="","",DATE(YEAR($A625),MONTH($A625),1))</f>
        <v/>
      </c>
    </row>
    <row r="626" customFormat="false" ht="15" hidden="false" customHeight="false" outlineLevel="0" collapsed="false">
      <c r="A626" s="44"/>
      <c r="B626" s="6"/>
      <c r="C626" s="6"/>
      <c r="D626" s="8" t="str">
        <f aca="false">IF($C626="","",IFERROR(INDEX(PRODUCTOS!$B$6:$B$105,MATCH($C626,PRODUCTOS!$A$6:$A$105,0)),"¿Código?"))</f>
        <v/>
      </c>
      <c r="E626" s="42"/>
      <c r="F626" s="35" t="str">
        <f aca="false">IF($C626="","",IFERROR(INDEX(PRODUCTOS!$D$6:$D$105,MATCH($C626,PRODUCTOS!$A$6:$A$105,0)),0))</f>
        <v/>
      </c>
      <c r="G626" s="40"/>
      <c r="H626" s="35" t="str">
        <f aca="false">IF($C626="","",N($E626)*$F626-N($G626))</f>
        <v/>
      </c>
      <c r="I626" s="35" t="str">
        <f aca="false">IF($C626="","",$H626-$H626/(1+IFERROR(INDEX(PRODUCTOS!$E$6:$E$105,MATCH($C626,PRODUCTOS!$A$6:$A$105,0)),IVA_VENTAS)))</f>
        <v/>
      </c>
      <c r="J626" s="35" t="str">
        <f aca="false">IF($C626="","",$H626-$I626)</f>
        <v/>
      </c>
      <c r="K626" s="35" t="str">
        <f aca="false">IF($C626="","",N($E626)*IFERROR(INDEX(PRODUCTOS!$H$6:$H$105,MATCH($C626,PRODUCTOS!$A$6:$A$105,0)),0))</f>
        <v/>
      </c>
      <c r="L626" s="35" t="str">
        <f aca="false">IF($C626="","",$J626-$K626)</f>
        <v/>
      </c>
      <c r="M626" s="6"/>
      <c r="N626" s="6"/>
      <c r="O626" s="46" t="str">
        <f aca="false">IF($A626="","",DATE(YEAR($A626),MONTH($A626),1))</f>
        <v/>
      </c>
    </row>
    <row r="627" customFormat="false" ht="15" hidden="false" customHeight="false" outlineLevel="0" collapsed="false">
      <c r="A627" s="44"/>
      <c r="B627" s="6"/>
      <c r="C627" s="6"/>
      <c r="D627" s="8" t="str">
        <f aca="false">IF($C627="","",IFERROR(INDEX(PRODUCTOS!$B$6:$B$105,MATCH($C627,PRODUCTOS!$A$6:$A$105,0)),"¿Código?"))</f>
        <v/>
      </c>
      <c r="E627" s="42"/>
      <c r="F627" s="35" t="str">
        <f aca="false">IF($C627="","",IFERROR(INDEX(PRODUCTOS!$D$6:$D$105,MATCH($C627,PRODUCTOS!$A$6:$A$105,0)),0))</f>
        <v/>
      </c>
      <c r="G627" s="40"/>
      <c r="H627" s="35" t="str">
        <f aca="false">IF($C627="","",N($E627)*$F627-N($G627))</f>
        <v/>
      </c>
      <c r="I627" s="35" t="str">
        <f aca="false">IF($C627="","",$H627-$H627/(1+IFERROR(INDEX(PRODUCTOS!$E$6:$E$105,MATCH($C627,PRODUCTOS!$A$6:$A$105,0)),IVA_VENTAS)))</f>
        <v/>
      </c>
      <c r="J627" s="35" t="str">
        <f aca="false">IF($C627="","",$H627-$I627)</f>
        <v/>
      </c>
      <c r="K627" s="35" t="str">
        <f aca="false">IF($C627="","",N($E627)*IFERROR(INDEX(PRODUCTOS!$H$6:$H$105,MATCH($C627,PRODUCTOS!$A$6:$A$105,0)),0))</f>
        <v/>
      </c>
      <c r="L627" s="35" t="str">
        <f aca="false">IF($C627="","",$J627-$K627)</f>
        <v/>
      </c>
      <c r="M627" s="6"/>
      <c r="N627" s="6"/>
      <c r="O627" s="46" t="str">
        <f aca="false">IF($A627="","",DATE(YEAR($A627),MONTH($A627),1))</f>
        <v/>
      </c>
    </row>
    <row r="628" customFormat="false" ht="15" hidden="false" customHeight="false" outlineLevel="0" collapsed="false">
      <c r="A628" s="44"/>
      <c r="B628" s="6"/>
      <c r="C628" s="6"/>
      <c r="D628" s="8" t="str">
        <f aca="false">IF($C628="","",IFERROR(INDEX(PRODUCTOS!$B$6:$B$105,MATCH($C628,PRODUCTOS!$A$6:$A$105,0)),"¿Código?"))</f>
        <v/>
      </c>
      <c r="E628" s="42"/>
      <c r="F628" s="35" t="str">
        <f aca="false">IF($C628="","",IFERROR(INDEX(PRODUCTOS!$D$6:$D$105,MATCH($C628,PRODUCTOS!$A$6:$A$105,0)),0))</f>
        <v/>
      </c>
      <c r="G628" s="40"/>
      <c r="H628" s="35" t="str">
        <f aca="false">IF($C628="","",N($E628)*$F628-N($G628))</f>
        <v/>
      </c>
      <c r="I628" s="35" t="str">
        <f aca="false">IF($C628="","",$H628-$H628/(1+IFERROR(INDEX(PRODUCTOS!$E$6:$E$105,MATCH($C628,PRODUCTOS!$A$6:$A$105,0)),IVA_VENTAS)))</f>
        <v/>
      </c>
      <c r="J628" s="35" t="str">
        <f aca="false">IF($C628="","",$H628-$I628)</f>
        <v/>
      </c>
      <c r="K628" s="35" t="str">
        <f aca="false">IF($C628="","",N($E628)*IFERROR(INDEX(PRODUCTOS!$H$6:$H$105,MATCH($C628,PRODUCTOS!$A$6:$A$105,0)),0))</f>
        <v/>
      </c>
      <c r="L628" s="35" t="str">
        <f aca="false">IF($C628="","",$J628-$K628)</f>
        <v/>
      </c>
      <c r="M628" s="6"/>
      <c r="N628" s="6"/>
      <c r="O628" s="46" t="str">
        <f aca="false">IF($A628="","",DATE(YEAR($A628),MONTH($A628),1))</f>
        <v/>
      </c>
    </row>
    <row r="629" customFormat="false" ht="15" hidden="false" customHeight="false" outlineLevel="0" collapsed="false">
      <c r="A629" s="44"/>
      <c r="B629" s="6"/>
      <c r="C629" s="6"/>
      <c r="D629" s="8" t="str">
        <f aca="false">IF($C629="","",IFERROR(INDEX(PRODUCTOS!$B$6:$B$105,MATCH($C629,PRODUCTOS!$A$6:$A$105,0)),"¿Código?"))</f>
        <v/>
      </c>
      <c r="E629" s="42"/>
      <c r="F629" s="35" t="str">
        <f aca="false">IF($C629="","",IFERROR(INDEX(PRODUCTOS!$D$6:$D$105,MATCH($C629,PRODUCTOS!$A$6:$A$105,0)),0))</f>
        <v/>
      </c>
      <c r="G629" s="40"/>
      <c r="H629" s="35" t="str">
        <f aca="false">IF($C629="","",N($E629)*$F629-N($G629))</f>
        <v/>
      </c>
      <c r="I629" s="35" t="str">
        <f aca="false">IF($C629="","",$H629-$H629/(1+IFERROR(INDEX(PRODUCTOS!$E$6:$E$105,MATCH($C629,PRODUCTOS!$A$6:$A$105,0)),IVA_VENTAS)))</f>
        <v/>
      </c>
      <c r="J629" s="35" t="str">
        <f aca="false">IF($C629="","",$H629-$I629)</f>
        <v/>
      </c>
      <c r="K629" s="35" t="str">
        <f aca="false">IF($C629="","",N($E629)*IFERROR(INDEX(PRODUCTOS!$H$6:$H$105,MATCH($C629,PRODUCTOS!$A$6:$A$105,0)),0))</f>
        <v/>
      </c>
      <c r="L629" s="35" t="str">
        <f aca="false">IF($C629="","",$J629-$K629)</f>
        <v/>
      </c>
      <c r="M629" s="6"/>
      <c r="N629" s="6"/>
      <c r="O629" s="46" t="str">
        <f aca="false">IF($A629="","",DATE(YEAR($A629),MONTH($A629),1))</f>
        <v/>
      </c>
    </row>
    <row r="630" customFormat="false" ht="15" hidden="false" customHeight="false" outlineLevel="0" collapsed="false">
      <c r="A630" s="44"/>
      <c r="B630" s="6"/>
      <c r="C630" s="6"/>
      <c r="D630" s="8" t="str">
        <f aca="false">IF($C630="","",IFERROR(INDEX(PRODUCTOS!$B$6:$B$105,MATCH($C630,PRODUCTOS!$A$6:$A$105,0)),"¿Código?"))</f>
        <v/>
      </c>
      <c r="E630" s="42"/>
      <c r="F630" s="35" t="str">
        <f aca="false">IF($C630="","",IFERROR(INDEX(PRODUCTOS!$D$6:$D$105,MATCH($C630,PRODUCTOS!$A$6:$A$105,0)),0))</f>
        <v/>
      </c>
      <c r="G630" s="40"/>
      <c r="H630" s="35" t="str">
        <f aca="false">IF($C630="","",N($E630)*$F630-N($G630))</f>
        <v/>
      </c>
      <c r="I630" s="35" t="str">
        <f aca="false">IF($C630="","",$H630-$H630/(1+IFERROR(INDEX(PRODUCTOS!$E$6:$E$105,MATCH($C630,PRODUCTOS!$A$6:$A$105,0)),IVA_VENTAS)))</f>
        <v/>
      </c>
      <c r="J630" s="35" t="str">
        <f aca="false">IF($C630="","",$H630-$I630)</f>
        <v/>
      </c>
      <c r="K630" s="35" t="str">
        <f aca="false">IF($C630="","",N($E630)*IFERROR(INDEX(PRODUCTOS!$H$6:$H$105,MATCH($C630,PRODUCTOS!$A$6:$A$105,0)),0))</f>
        <v/>
      </c>
      <c r="L630" s="35" t="str">
        <f aca="false">IF($C630="","",$J630-$K630)</f>
        <v/>
      </c>
      <c r="M630" s="6"/>
      <c r="N630" s="6"/>
      <c r="O630" s="46" t="str">
        <f aca="false">IF($A630="","",DATE(YEAR($A630),MONTH($A630),1))</f>
        <v/>
      </c>
    </row>
    <row r="631" customFormat="false" ht="15" hidden="false" customHeight="false" outlineLevel="0" collapsed="false">
      <c r="A631" s="44"/>
      <c r="B631" s="6"/>
      <c r="C631" s="6"/>
      <c r="D631" s="8" t="str">
        <f aca="false">IF($C631="","",IFERROR(INDEX(PRODUCTOS!$B$6:$B$105,MATCH($C631,PRODUCTOS!$A$6:$A$105,0)),"¿Código?"))</f>
        <v/>
      </c>
      <c r="E631" s="42"/>
      <c r="F631" s="35" t="str">
        <f aca="false">IF($C631="","",IFERROR(INDEX(PRODUCTOS!$D$6:$D$105,MATCH($C631,PRODUCTOS!$A$6:$A$105,0)),0))</f>
        <v/>
      </c>
      <c r="G631" s="40"/>
      <c r="H631" s="35" t="str">
        <f aca="false">IF($C631="","",N($E631)*$F631-N($G631))</f>
        <v/>
      </c>
      <c r="I631" s="35" t="str">
        <f aca="false">IF($C631="","",$H631-$H631/(1+IFERROR(INDEX(PRODUCTOS!$E$6:$E$105,MATCH($C631,PRODUCTOS!$A$6:$A$105,0)),IVA_VENTAS)))</f>
        <v/>
      </c>
      <c r="J631" s="35" t="str">
        <f aca="false">IF($C631="","",$H631-$I631)</f>
        <v/>
      </c>
      <c r="K631" s="35" t="str">
        <f aca="false">IF($C631="","",N($E631)*IFERROR(INDEX(PRODUCTOS!$H$6:$H$105,MATCH($C631,PRODUCTOS!$A$6:$A$105,0)),0))</f>
        <v/>
      </c>
      <c r="L631" s="35" t="str">
        <f aca="false">IF($C631="","",$J631-$K631)</f>
        <v/>
      </c>
      <c r="M631" s="6"/>
      <c r="N631" s="6"/>
      <c r="O631" s="46" t="str">
        <f aca="false">IF($A631="","",DATE(YEAR($A631),MONTH($A631),1))</f>
        <v/>
      </c>
    </row>
    <row r="632" customFormat="false" ht="15" hidden="false" customHeight="false" outlineLevel="0" collapsed="false">
      <c r="A632" s="44"/>
      <c r="B632" s="6"/>
      <c r="C632" s="6"/>
      <c r="D632" s="8" t="str">
        <f aca="false">IF($C632="","",IFERROR(INDEX(PRODUCTOS!$B$6:$B$105,MATCH($C632,PRODUCTOS!$A$6:$A$105,0)),"¿Código?"))</f>
        <v/>
      </c>
      <c r="E632" s="42"/>
      <c r="F632" s="35" t="str">
        <f aca="false">IF($C632="","",IFERROR(INDEX(PRODUCTOS!$D$6:$D$105,MATCH($C632,PRODUCTOS!$A$6:$A$105,0)),0))</f>
        <v/>
      </c>
      <c r="G632" s="40"/>
      <c r="H632" s="35" t="str">
        <f aca="false">IF($C632="","",N($E632)*$F632-N($G632))</f>
        <v/>
      </c>
      <c r="I632" s="35" t="str">
        <f aca="false">IF($C632="","",$H632-$H632/(1+IFERROR(INDEX(PRODUCTOS!$E$6:$E$105,MATCH($C632,PRODUCTOS!$A$6:$A$105,0)),IVA_VENTAS)))</f>
        <v/>
      </c>
      <c r="J632" s="35" t="str">
        <f aca="false">IF($C632="","",$H632-$I632)</f>
        <v/>
      </c>
      <c r="K632" s="35" t="str">
        <f aca="false">IF($C632="","",N($E632)*IFERROR(INDEX(PRODUCTOS!$H$6:$H$105,MATCH($C632,PRODUCTOS!$A$6:$A$105,0)),0))</f>
        <v/>
      </c>
      <c r="L632" s="35" t="str">
        <f aca="false">IF($C632="","",$J632-$K632)</f>
        <v/>
      </c>
      <c r="M632" s="6"/>
      <c r="N632" s="6"/>
      <c r="O632" s="46" t="str">
        <f aca="false">IF($A632="","",DATE(YEAR($A632),MONTH($A632),1))</f>
        <v/>
      </c>
    </row>
    <row r="633" customFormat="false" ht="15" hidden="false" customHeight="false" outlineLevel="0" collapsed="false">
      <c r="A633" s="44"/>
      <c r="B633" s="6"/>
      <c r="C633" s="6"/>
      <c r="D633" s="8" t="str">
        <f aca="false">IF($C633="","",IFERROR(INDEX(PRODUCTOS!$B$6:$B$105,MATCH($C633,PRODUCTOS!$A$6:$A$105,0)),"¿Código?"))</f>
        <v/>
      </c>
      <c r="E633" s="42"/>
      <c r="F633" s="35" t="str">
        <f aca="false">IF($C633="","",IFERROR(INDEX(PRODUCTOS!$D$6:$D$105,MATCH($C633,PRODUCTOS!$A$6:$A$105,0)),0))</f>
        <v/>
      </c>
      <c r="G633" s="40"/>
      <c r="H633" s="35" t="str">
        <f aca="false">IF($C633="","",N($E633)*$F633-N($G633))</f>
        <v/>
      </c>
      <c r="I633" s="35" t="str">
        <f aca="false">IF($C633="","",$H633-$H633/(1+IFERROR(INDEX(PRODUCTOS!$E$6:$E$105,MATCH($C633,PRODUCTOS!$A$6:$A$105,0)),IVA_VENTAS)))</f>
        <v/>
      </c>
      <c r="J633" s="35" t="str">
        <f aca="false">IF($C633="","",$H633-$I633)</f>
        <v/>
      </c>
      <c r="K633" s="35" t="str">
        <f aca="false">IF($C633="","",N($E633)*IFERROR(INDEX(PRODUCTOS!$H$6:$H$105,MATCH($C633,PRODUCTOS!$A$6:$A$105,0)),0))</f>
        <v/>
      </c>
      <c r="L633" s="35" t="str">
        <f aca="false">IF($C633="","",$J633-$K633)</f>
        <v/>
      </c>
      <c r="M633" s="6"/>
      <c r="N633" s="6"/>
      <c r="O633" s="46" t="str">
        <f aca="false">IF($A633="","",DATE(YEAR($A633),MONTH($A633),1))</f>
        <v/>
      </c>
    </row>
    <row r="634" customFormat="false" ht="15" hidden="false" customHeight="false" outlineLevel="0" collapsed="false">
      <c r="A634" s="44"/>
      <c r="B634" s="6"/>
      <c r="C634" s="6"/>
      <c r="D634" s="8" t="str">
        <f aca="false">IF($C634="","",IFERROR(INDEX(PRODUCTOS!$B$6:$B$105,MATCH($C634,PRODUCTOS!$A$6:$A$105,0)),"¿Código?"))</f>
        <v/>
      </c>
      <c r="E634" s="42"/>
      <c r="F634" s="35" t="str">
        <f aca="false">IF($C634="","",IFERROR(INDEX(PRODUCTOS!$D$6:$D$105,MATCH($C634,PRODUCTOS!$A$6:$A$105,0)),0))</f>
        <v/>
      </c>
      <c r="G634" s="40"/>
      <c r="H634" s="35" t="str">
        <f aca="false">IF($C634="","",N($E634)*$F634-N($G634))</f>
        <v/>
      </c>
      <c r="I634" s="35" t="str">
        <f aca="false">IF($C634="","",$H634-$H634/(1+IFERROR(INDEX(PRODUCTOS!$E$6:$E$105,MATCH($C634,PRODUCTOS!$A$6:$A$105,0)),IVA_VENTAS)))</f>
        <v/>
      </c>
      <c r="J634" s="35" t="str">
        <f aca="false">IF($C634="","",$H634-$I634)</f>
        <v/>
      </c>
      <c r="K634" s="35" t="str">
        <f aca="false">IF($C634="","",N($E634)*IFERROR(INDEX(PRODUCTOS!$H$6:$H$105,MATCH($C634,PRODUCTOS!$A$6:$A$105,0)),0))</f>
        <v/>
      </c>
      <c r="L634" s="35" t="str">
        <f aca="false">IF($C634="","",$J634-$K634)</f>
        <v/>
      </c>
      <c r="M634" s="6"/>
      <c r="N634" s="6"/>
      <c r="O634" s="46" t="str">
        <f aca="false">IF($A634="","",DATE(YEAR($A634),MONTH($A634),1))</f>
        <v/>
      </c>
    </row>
    <row r="635" customFormat="false" ht="15" hidden="false" customHeight="false" outlineLevel="0" collapsed="false">
      <c r="A635" s="44"/>
      <c r="B635" s="6"/>
      <c r="C635" s="6"/>
      <c r="D635" s="8" t="str">
        <f aca="false">IF($C635="","",IFERROR(INDEX(PRODUCTOS!$B$6:$B$105,MATCH($C635,PRODUCTOS!$A$6:$A$105,0)),"¿Código?"))</f>
        <v/>
      </c>
      <c r="E635" s="42"/>
      <c r="F635" s="35" t="str">
        <f aca="false">IF($C635="","",IFERROR(INDEX(PRODUCTOS!$D$6:$D$105,MATCH($C635,PRODUCTOS!$A$6:$A$105,0)),0))</f>
        <v/>
      </c>
      <c r="G635" s="40"/>
      <c r="H635" s="35" t="str">
        <f aca="false">IF($C635="","",N($E635)*$F635-N($G635))</f>
        <v/>
      </c>
      <c r="I635" s="35" t="str">
        <f aca="false">IF($C635="","",$H635-$H635/(1+IFERROR(INDEX(PRODUCTOS!$E$6:$E$105,MATCH($C635,PRODUCTOS!$A$6:$A$105,0)),IVA_VENTAS)))</f>
        <v/>
      </c>
      <c r="J635" s="35" t="str">
        <f aca="false">IF($C635="","",$H635-$I635)</f>
        <v/>
      </c>
      <c r="K635" s="35" t="str">
        <f aca="false">IF($C635="","",N($E635)*IFERROR(INDEX(PRODUCTOS!$H$6:$H$105,MATCH($C635,PRODUCTOS!$A$6:$A$105,0)),0))</f>
        <v/>
      </c>
      <c r="L635" s="35" t="str">
        <f aca="false">IF($C635="","",$J635-$K635)</f>
        <v/>
      </c>
      <c r="M635" s="6"/>
      <c r="N635" s="6"/>
      <c r="O635" s="46" t="str">
        <f aca="false">IF($A635="","",DATE(YEAR($A635),MONTH($A635),1))</f>
        <v/>
      </c>
    </row>
    <row r="636" customFormat="false" ht="15" hidden="false" customHeight="false" outlineLevel="0" collapsed="false">
      <c r="A636" s="44"/>
      <c r="B636" s="6"/>
      <c r="C636" s="6"/>
      <c r="D636" s="8" t="str">
        <f aca="false">IF($C636="","",IFERROR(INDEX(PRODUCTOS!$B$6:$B$105,MATCH($C636,PRODUCTOS!$A$6:$A$105,0)),"¿Código?"))</f>
        <v/>
      </c>
      <c r="E636" s="42"/>
      <c r="F636" s="35" t="str">
        <f aca="false">IF($C636="","",IFERROR(INDEX(PRODUCTOS!$D$6:$D$105,MATCH($C636,PRODUCTOS!$A$6:$A$105,0)),0))</f>
        <v/>
      </c>
      <c r="G636" s="40"/>
      <c r="H636" s="35" t="str">
        <f aca="false">IF($C636="","",N($E636)*$F636-N($G636))</f>
        <v/>
      </c>
      <c r="I636" s="35" t="str">
        <f aca="false">IF($C636="","",$H636-$H636/(1+IFERROR(INDEX(PRODUCTOS!$E$6:$E$105,MATCH($C636,PRODUCTOS!$A$6:$A$105,0)),IVA_VENTAS)))</f>
        <v/>
      </c>
      <c r="J636" s="35" t="str">
        <f aca="false">IF($C636="","",$H636-$I636)</f>
        <v/>
      </c>
      <c r="K636" s="35" t="str">
        <f aca="false">IF($C636="","",N($E636)*IFERROR(INDEX(PRODUCTOS!$H$6:$H$105,MATCH($C636,PRODUCTOS!$A$6:$A$105,0)),0))</f>
        <v/>
      </c>
      <c r="L636" s="35" t="str">
        <f aca="false">IF($C636="","",$J636-$K636)</f>
        <v/>
      </c>
      <c r="M636" s="6"/>
      <c r="N636" s="6"/>
      <c r="O636" s="46" t="str">
        <f aca="false">IF($A636="","",DATE(YEAR($A636),MONTH($A636),1))</f>
        <v/>
      </c>
    </row>
    <row r="637" customFormat="false" ht="15" hidden="false" customHeight="false" outlineLevel="0" collapsed="false">
      <c r="A637" s="44"/>
      <c r="B637" s="6"/>
      <c r="C637" s="6"/>
      <c r="D637" s="8" t="str">
        <f aca="false">IF($C637="","",IFERROR(INDEX(PRODUCTOS!$B$6:$B$105,MATCH($C637,PRODUCTOS!$A$6:$A$105,0)),"¿Código?"))</f>
        <v/>
      </c>
      <c r="E637" s="42"/>
      <c r="F637" s="35" t="str">
        <f aca="false">IF($C637="","",IFERROR(INDEX(PRODUCTOS!$D$6:$D$105,MATCH($C637,PRODUCTOS!$A$6:$A$105,0)),0))</f>
        <v/>
      </c>
      <c r="G637" s="40"/>
      <c r="H637" s="35" t="str">
        <f aca="false">IF($C637="","",N($E637)*$F637-N($G637))</f>
        <v/>
      </c>
      <c r="I637" s="35" t="str">
        <f aca="false">IF($C637="","",$H637-$H637/(1+IFERROR(INDEX(PRODUCTOS!$E$6:$E$105,MATCH($C637,PRODUCTOS!$A$6:$A$105,0)),IVA_VENTAS)))</f>
        <v/>
      </c>
      <c r="J637" s="35" t="str">
        <f aca="false">IF($C637="","",$H637-$I637)</f>
        <v/>
      </c>
      <c r="K637" s="35" t="str">
        <f aca="false">IF($C637="","",N($E637)*IFERROR(INDEX(PRODUCTOS!$H$6:$H$105,MATCH($C637,PRODUCTOS!$A$6:$A$105,0)),0))</f>
        <v/>
      </c>
      <c r="L637" s="35" t="str">
        <f aca="false">IF($C637="","",$J637-$K637)</f>
        <v/>
      </c>
      <c r="M637" s="6"/>
      <c r="N637" s="6"/>
      <c r="O637" s="46" t="str">
        <f aca="false">IF($A637="","",DATE(YEAR($A637),MONTH($A637),1))</f>
        <v/>
      </c>
    </row>
    <row r="638" customFormat="false" ht="15" hidden="false" customHeight="false" outlineLevel="0" collapsed="false">
      <c r="A638" s="44"/>
      <c r="B638" s="6"/>
      <c r="C638" s="6"/>
      <c r="D638" s="8" t="str">
        <f aca="false">IF($C638="","",IFERROR(INDEX(PRODUCTOS!$B$6:$B$105,MATCH($C638,PRODUCTOS!$A$6:$A$105,0)),"¿Código?"))</f>
        <v/>
      </c>
      <c r="E638" s="42"/>
      <c r="F638" s="35" t="str">
        <f aca="false">IF($C638="","",IFERROR(INDEX(PRODUCTOS!$D$6:$D$105,MATCH($C638,PRODUCTOS!$A$6:$A$105,0)),0))</f>
        <v/>
      </c>
      <c r="G638" s="40"/>
      <c r="H638" s="35" t="str">
        <f aca="false">IF($C638="","",N($E638)*$F638-N($G638))</f>
        <v/>
      </c>
      <c r="I638" s="35" t="str">
        <f aca="false">IF($C638="","",$H638-$H638/(1+IFERROR(INDEX(PRODUCTOS!$E$6:$E$105,MATCH($C638,PRODUCTOS!$A$6:$A$105,0)),IVA_VENTAS)))</f>
        <v/>
      </c>
      <c r="J638" s="35" t="str">
        <f aca="false">IF($C638="","",$H638-$I638)</f>
        <v/>
      </c>
      <c r="K638" s="35" t="str">
        <f aca="false">IF($C638="","",N($E638)*IFERROR(INDEX(PRODUCTOS!$H$6:$H$105,MATCH($C638,PRODUCTOS!$A$6:$A$105,0)),0))</f>
        <v/>
      </c>
      <c r="L638" s="35" t="str">
        <f aca="false">IF($C638="","",$J638-$K638)</f>
        <v/>
      </c>
      <c r="M638" s="6"/>
      <c r="N638" s="6"/>
      <c r="O638" s="46" t="str">
        <f aca="false">IF($A638="","",DATE(YEAR($A638),MONTH($A638),1))</f>
        <v/>
      </c>
    </row>
    <row r="639" customFormat="false" ht="15" hidden="false" customHeight="false" outlineLevel="0" collapsed="false">
      <c r="A639" s="44"/>
      <c r="B639" s="6"/>
      <c r="C639" s="6"/>
      <c r="D639" s="8" t="str">
        <f aca="false">IF($C639="","",IFERROR(INDEX(PRODUCTOS!$B$6:$B$105,MATCH($C639,PRODUCTOS!$A$6:$A$105,0)),"¿Código?"))</f>
        <v/>
      </c>
      <c r="E639" s="42"/>
      <c r="F639" s="35" t="str">
        <f aca="false">IF($C639="","",IFERROR(INDEX(PRODUCTOS!$D$6:$D$105,MATCH($C639,PRODUCTOS!$A$6:$A$105,0)),0))</f>
        <v/>
      </c>
      <c r="G639" s="40"/>
      <c r="H639" s="35" t="str">
        <f aca="false">IF($C639="","",N($E639)*$F639-N($G639))</f>
        <v/>
      </c>
      <c r="I639" s="35" t="str">
        <f aca="false">IF($C639="","",$H639-$H639/(1+IFERROR(INDEX(PRODUCTOS!$E$6:$E$105,MATCH($C639,PRODUCTOS!$A$6:$A$105,0)),IVA_VENTAS)))</f>
        <v/>
      </c>
      <c r="J639" s="35" t="str">
        <f aca="false">IF($C639="","",$H639-$I639)</f>
        <v/>
      </c>
      <c r="K639" s="35" t="str">
        <f aca="false">IF($C639="","",N($E639)*IFERROR(INDEX(PRODUCTOS!$H$6:$H$105,MATCH($C639,PRODUCTOS!$A$6:$A$105,0)),0))</f>
        <v/>
      </c>
      <c r="L639" s="35" t="str">
        <f aca="false">IF($C639="","",$J639-$K639)</f>
        <v/>
      </c>
      <c r="M639" s="6"/>
      <c r="N639" s="6"/>
      <c r="O639" s="46" t="str">
        <f aca="false">IF($A639="","",DATE(YEAR($A639),MONTH($A639),1))</f>
        <v/>
      </c>
    </row>
    <row r="640" customFormat="false" ht="15" hidden="false" customHeight="false" outlineLevel="0" collapsed="false">
      <c r="A640" s="44"/>
      <c r="B640" s="6"/>
      <c r="C640" s="6"/>
      <c r="D640" s="8" t="str">
        <f aca="false">IF($C640="","",IFERROR(INDEX(PRODUCTOS!$B$6:$B$105,MATCH($C640,PRODUCTOS!$A$6:$A$105,0)),"¿Código?"))</f>
        <v/>
      </c>
      <c r="E640" s="42"/>
      <c r="F640" s="35" t="str">
        <f aca="false">IF($C640="","",IFERROR(INDEX(PRODUCTOS!$D$6:$D$105,MATCH($C640,PRODUCTOS!$A$6:$A$105,0)),0))</f>
        <v/>
      </c>
      <c r="G640" s="40"/>
      <c r="H640" s="35" t="str">
        <f aca="false">IF($C640="","",N($E640)*$F640-N($G640))</f>
        <v/>
      </c>
      <c r="I640" s="35" t="str">
        <f aca="false">IF($C640="","",$H640-$H640/(1+IFERROR(INDEX(PRODUCTOS!$E$6:$E$105,MATCH($C640,PRODUCTOS!$A$6:$A$105,0)),IVA_VENTAS)))</f>
        <v/>
      </c>
      <c r="J640" s="35" t="str">
        <f aca="false">IF($C640="","",$H640-$I640)</f>
        <v/>
      </c>
      <c r="K640" s="35" t="str">
        <f aca="false">IF($C640="","",N($E640)*IFERROR(INDEX(PRODUCTOS!$H$6:$H$105,MATCH($C640,PRODUCTOS!$A$6:$A$105,0)),0))</f>
        <v/>
      </c>
      <c r="L640" s="35" t="str">
        <f aca="false">IF($C640="","",$J640-$K640)</f>
        <v/>
      </c>
      <c r="M640" s="6"/>
      <c r="N640" s="6"/>
      <c r="O640" s="46" t="str">
        <f aca="false">IF($A640="","",DATE(YEAR($A640),MONTH($A640),1))</f>
        <v/>
      </c>
    </row>
    <row r="641" customFormat="false" ht="15" hidden="false" customHeight="false" outlineLevel="0" collapsed="false">
      <c r="A641" s="44"/>
      <c r="B641" s="6"/>
      <c r="C641" s="6"/>
      <c r="D641" s="8" t="str">
        <f aca="false">IF($C641="","",IFERROR(INDEX(PRODUCTOS!$B$6:$B$105,MATCH($C641,PRODUCTOS!$A$6:$A$105,0)),"¿Código?"))</f>
        <v/>
      </c>
      <c r="E641" s="42"/>
      <c r="F641" s="35" t="str">
        <f aca="false">IF($C641="","",IFERROR(INDEX(PRODUCTOS!$D$6:$D$105,MATCH($C641,PRODUCTOS!$A$6:$A$105,0)),0))</f>
        <v/>
      </c>
      <c r="G641" s="40"/>
      <c r="H641" s="35" t="str">
        <f aca="false">IF($C641="","",N($E641)*$F641-N($G641))</f>
        <v/>
      </c>
      <c r="I641" s="35" t="str">
        <f aca="false">IF($C641="","",$H641-$H641/(1+IFERROR(INDEX(PRODUCTOS!$E$6:$E$105,MATCH($C641,PRODUCTOS!$A$6:$A$105,0)),IVA_VENTAS)))</f>
        <v/>
      </c>
      <c r="J641" s="35" t="str">
        <f aca="false">IF($C641="","",$H641-$I641)</f>
        <v/>
      </c>
      <c r="K641" s="35" t="str">
        <f aca="false">IF($C641="","",N($E641)*IFERROR(INDEX(PRODUCTOS!$H$6:$H$105,MATCH($C641,PRODUCTOS!$A$6:$A$105,0)),0))</f>
        <v/>
      </c>
      <c r="L641" s="35" t="str">
        <f aca="false">IF($C641="","",$J641-$K641)</f>
        <v/>
      </c>
      <c r="M641" s="6"/>
      <c r="N641" s="6"/>
      <c r="O641" s="46" t="str">
        <f aca="false">IF($A641="","",DATE(YEAR($A641),MONTH($A641),1))</f>
        <v/>
      </c>
    </row>
    <row r="642" customFormat="false" ht="15" hidden="false" customHeight="false" outlineLevel="0" collapsed="false">
      <c r="A642" s="44"/>
      <c r="B642" s="6"/>
      <c r="C642" s="6"/>
      <c r="D642" s="8" t="str">
        <f aca="false">IF($C642="","",IFERROR(INDEX(PRODUCTOS!$B$6:$B$105,MATCH($C642,PRODUCTOS!$A$6:$A$105,0)),"¿Código?"))</f>
        <v/>
      </c>
      <c r="E642" s="42"/>
      <c r="F642" s="35" t="str">
        <f aca="false">IF($C642="","",IFERROR(INDEX(PRODUCTOS!$D$6:$D$105,MATCH($C642,PRODUCTOS!$A$6:$A$105,0)),0))</f>
        <v/>
      </c>
      <c r="G642" s="40"/>
      <c r="H642" s="35" t="str">
        <f aca="false">IF($C642="","",N($E642)*$F642-N($G642))</f>
        <v/>
      </c>
      <c r="I642" s="35" t="str">
        <f aca="false">IF($C642="","",$H642-$H642/(1+IFERROR(INDEX(PRODUCTOS!$E$6:$E$105,MATCH($C642,PRODUCTOS!$A$6:$A$105,0)),IVA_VENTAS)))</f>
        <v/>
      </c>
      <c r="J642" s="35" t="str">
        <f aca="false">IF($C642="","",$H642-$I642)</f>
        <v/>
      </c>
      <c r="K642" s="35" t="str">
        <f aca="false">IF($C642="","",N($E642)*IFERROR(INDEX(PRODUCTOS!$H$6:$H$105,MATCH($C642,PRODUCTOS!$A$6:$A$105,0)),0))</f>
        <v/>
      </c>
      <c r="L642" s="35" t="str">
        <f aca="false">IF($C642="","",$J642-$K642)</f>
        <v/>
      </c>
      <c r="M642" s="6"/>
      <c r="N642" s="6"/>
      <c r="O642" s="46" t="str">
        <f aca="false">IF($A642="","",DATE(YEAR($A642),MONTH($A642),1))</f>
        <v/>
      </c>
    </row>
    <row r="643" customFormat="false" ht="15" hidden="false" customHeight="false" outlineLevel="0" collapsed="false">
      <c r="A643" s="44"/>
      <c r="B643" s="6"/>
      <c r="C643" s="6"/>
      <c r="D643" s="8" t="str">
        <f aca="false">IF($C643="","",IFERROR(INDEX(PRODUCTOS!$B$6:$B$105,MATCH($C643,PRODUCTOS!$A$6:$A$105,0)),"¿Código?"))</f>
        <v/>
      </c>
      <c r="E643" s="42"/>
      <c r="F643" s="35" t="str">
        <f aca="false">IF($C643="","",IFERROR(INDEX(PRODUCTOS!$D$6:$D$105,MATCH($C643,PRODUCTOS!$A$6:$A$105,0)),0))</f>
        <v/>
      </c>
      <c r="G643" s="40"/>
      <c r="H643" s="35" t="str">
        <f aca="false">IF($C643="","",N($E643)*$F643-N($G643))</f>
        <v/>
      </c>
      <c r="I643" s="35" t="str">
        <f aca="false">IF($C643="","",$H643-$H643/(1+IFERROR(INDEX(PRODUCTOS!$E$6:$E$105,MATCH($C643,PRODUCTOS!$A$6:$A$105,0)),IVA_VENTAS)))</f>
        <v/>
      </c>
      <c r="J643" s="35" t="str">
        <f aca="false">IF($C643="","",$H643-$I643)</f>
        <v/>
      </c>
      <c r="K643" s="35" t="str">
        <f aca="false">IF($C643="","",N($E643)*IFERROR(INDEX(PRODUCTOS!$H$6:$H$105,MATCH($C643,PRODUCTOS!$A$6:$A$105,0)),0))</f>
        <v/>
      </c>
      <c r="L643" s="35" t="str">
        <f aca="false">IF($C643="","",$J643-$K643)</f>
        <v/>
      </c>
      <c r="M643" s="6"/>
      <c r="N643" s="6"/>
      <c r="O643" s="46" t="str">
        <f aca="false">IF($A643="","",DATE(YEAR($A643),MONTH($A643),1))</f>
        <v/>
      </c>
    </row>
    <row r="644" customFormat="false" ht="15" hidden="false" customHeight="false" outlineLevel="0" collapsed="false">
      <c r="A644" s="44"/>
      <c r="B644" s="6"/>
      <c r="C644" s="6"/>
      <c r="D644" s="8" t="str">
        <f aca="false">IF($C644="","",IFERROR(INDEX(PRODUCTOS!$B$6:$B$105,MATCH($C644,PRODUCTOS!$A$6:$A$105,0)),"¿Código?"))</f>
        <v/>
      </c>
      <c r="E644" s="42"/>
      <c r="F644" s="35" t="str">
        <f aca="false">IF($C644="","",IFERROR(INDEX(PRODUCTOS!$D$6:$D$105,MATCH($C644,PRODUCTOS!$A$6:$A$105,0)),0))</f>
        <v/>
      </c>
      <c r="G644" s="40"/>
      <c r="H644" s="35" t="str">
        <f aca="false">IF($C644="","",N($E644)*$F644-N($G644))</f>
        <v/>
      </c>
      <c r="I644" s="35" t="str">
        <f aca="false">IF($C644="","",$H644-$H644/(1+IFERROR(INDEX(PRODUCTOS!$E$6:$E$105,MATCH($C644,PRODUCTOS!$A$6:$A$105,0)),IVA_VENTAS)))</f>
        <v/>
      </c>
      <c r="J644" s="35" t="str">
        <f aca="false">IF($C644="","",$H644-$I644)</f>
        <v/>
      </c>
      <c r="K644" s="35" t="str">
        <f aca="false">IF($C644="","",N($E644)*IFERROR(INDEX(PRODUCTOS!$H$6:$H$105,MATCH($C644,PRODUCTOS!$A$6:$A$105,0)),0))</f>
        <v/>
      </c>
      <c r="L644" s="35" t="str">
        <f aca="false">IF($C644="","",$J644-$K644)</f>
        <v/>
      </c>
      <c r="M644" s="6"/>
      <c r="N644" s="6"/>
      <c r="O644" s="46" t="str">
        <f aca="false">IF($A644="","",DATE(YEAR($A644),MONTH($A644),1))</f>
        <v/>
      </c>
    </row>
    <row r="645" customFormat="false" ht="15" hidden="false" customHeight="false" outlineLevel="0" collapsed="false">
      <c r="A645" s="44"/>
      <c r="B645" s="6"/>
      <c r="C645" s="6"/>
      <c r="D645" s="8" t="str">
        <f aca="false">IF($C645="","",IFERROR(INDEX(PRODUCTOS!$B$6:$B$105,MATCH($C645,PRODUCTOS!$A$6:$A$105,0)),"¿Código?"))</f>
        <v/>
      </c>
      <c r="E645" s="42"/>
      <c r="F645" s="35" t="str">
        <f aca="false">IF($C645="","",IFERROR(INDEX(PRODUCTOS!$D$6:$D$105,MATCH($C645,PRODUCTOS!$A$6:$A$105,0)),0))</f>
        <v/>
      </c>
      <c r="G645" s="40"/>
      <c r="H645" s="35" t="str">
        <f aca="false">IF($C645="","",N($E645)*$F645-N($G645))</f>
        <v/>
      </c>
      <c r="I645" s="35" t="str">
        <f aca="false">IF($C645="","",$H645-$H645/(1+IFERROR(INDEX(PRODUCTOS!$E$6:$E$105,MATCH($C645,PRODUCTOS!$A$6:$A$105,0)),IVA_VENTAS)))</f>
        <v/>
      </c>
      <c r="J645" s="35" t="str">
        <f aca="false">IF($C645="","",$H645-$I645)</f>
        <v/>
      </c>
      <c r="K645" s="35" t="str">
        <f aca="false">IF($C645="","",N($E645)*IFERROR(INDEX(PRODUCTOS!$H$6:$H$105,MATCH($C645,PRODUCTOS!$A$6:$A$105,0)),0))</f>
        <v/>
      </c>
      <c r="L645" s="35" t="str">
        <f aca="false">IF($C645="","",$J645-$K645)</f>
        <v/>
      </c>
      <c r="M645" s="6"/>
      <c r="N645" s="6"/>
      <c r="O645" s="46" t="str">
        <f aca="false">IF($A645="","",DATE(YEAR($A645),MONTH($A645),1))</f>
        <v/>
      </c>
    </row>
    <row r="646" customFormat="false" ht="15" hidden="false" customHeight="false" outlineLevel="0" collapsed="false">
      <c r="A646" s="44"/>
      <c r="B646" s="6"/>
      <c r="C646" s="6"/>
      <c r="D646" s="8" t="str">
        <f aca="false">IF($C646="","",IFERROR(INDEX(PRODUCTOS!$B$6:$B$105,MATCH($C646,PRODUCTOS!$A$6:$A$105,0)),"¿Código?"))</f>
        <v/>
      </c>
      <c r="E646" s="42"/>
      <c r="F646" s="35" t="str">
        <f aca="false">IF($C646="","",IFERROR(INDEX(PRODUCTOS!$D$6:$D$105,MATCH($C646,PRODUCTOS!$A$6:$A$105,0)),0))</f>
        <v/>
      </c>
      <c r="G646" s="40"/>
      <c r="H646" s="35" t="str">
        <f aca="false">IF($C646="","",N($E646)*$F646-N($G646))</f>
        <v/>
      </c>
      <c r="I646" s="35" t="str">
        <f aca="false">IF($C646="","",$H646-$H646/(1+IFERROR(INDEX(PRODUCTOS!$E$6:$E$105,MATCH($C646,PRODUCTOS!$A$6:$A$105,0)),IVA_VENTAS)))</f>
        <v/>
      </c>
      <c r="J646" s="35" t="str">
        <f aca="false">IF($C646="","",$H646-$I646)</f>
        <v/>
      </c>
      <c r="K646" s="35" t="str">
        <f aca="false">IF($C646="","",N($E646)*IFERROR(INDEX(PRODUCTOS!$H$6:$H$105,MATCH($C646,PRODUCTOS!$A$6:$A$105,0)),0))</f>
        <v/>
      </c>
      <c r="L646" s="35" t="str">
        <f aca="false">IF($C646="","",$J646-$K646)</f>
        <v/>
      </c>
      <c r="M646" s="6"/>
      <c r="N646" s="6"/>
      <c r="O646" s="46" t="str">
        <f aca="false">IF($A646="","",DATE(YEAR($A646),MONTH($A646),1))</f>
        <v/>
      </c>
    </row>
    <row r="647" customFormat="false" ht="15" hidden="false" customHeight="false" outlineLevel="0" collapsed="false">
      <c r="A647" s="44"/>
      <c r="B647" s="6"/>
      <c r="C647" s="6"/>
      <c r="D647" s="8" t="str">
        <f aca="false">IF($C647="","",IFERROR(INDEX(PRODUCTOS!$B$6:$B$105,MATCH($C647,PRODUCTOS!$A$6:$A$105,0)),"¿Código?"))</f>
        <v/>
      </c>
      <c r="E647" s="42"/>
      <c r="F647" s="35" t="str">
        <f aca="false">IF($C647="","",IFERROR(INDEX(PRODUCTOS!$D$6:$D$105,MATCH($C647,PRODUCTOS!$A$6:$A$105,0)),0))</f>
        <v/>
      </c>
      <c r="G647" s="40"/>
      <c r="H647" s="35" t="str">
        <f aca="false">IF($C647="","",N($E647)*$F647-N($G647))</f>
        <v/>
      </c>
      <c r="I647" s="35" t="str">
        <f aca="false">IF($C647="","",$H647-$H647/(1+IFERROR(INDEX(PRODUCTOS!$E$6:$E$105,MATCH($C647,PRODUCTOS!$A$6:$A$105,0)),IVA_VENTAS)))</f>
        <v/>
      </c>
      <c r="J647" s="35" t="str">
        <f aca="false">IF($C647="","",$H647-$I647)</f>
        <v/>
      </c>
      <c r="K647" s="35" t="str">
        <f aca="false">IF($C647="","",N($E647)*IFERROR(INDEX(PRODUCTOS!$H$6:$H$105,MATCH($C647,PRODUCTOS!$A$6:$A$105,0)),0))</f>
        <v/>
      </c>
      <c r="L647" s="35" t="str">
        <f aca="false">IF($C647="","",$J647-$K647)</f>
        <v/>
      </c>
      <c r="M647" s="6"/>
      <c r="N647" s="6"/>
      <c r="O647" s="46" t="str">
        <f aca="false">IF($A647="","",DATE(YEAR($A647),MONTH($A647),1))</f>
        <v/>
      </c>
    </row>
    <row r="648" customFormat="false" ht="15" hidden="false" customHeight="false" outlineLevel="0" collapsed="false">
      <c r="A648" s="44"/>
      <c r="B648" s="6"/>
      <c r="C648" s="6"/>
      <c r="D648" s="8" t="str">
        <f aca="false">IF($C648="","",IFERROR(INDEX(PRODUCTOS!$B$6:$B$105,MATCH($C648,PRODUCTOS!$A$6:$A$105,0)),"¿Código?"))</f>
        <v/>
      </c>
      <c r="E648" s="42"/>
      <c r="F648" s="35" t="str">
        <f aca="false">IF($C648="","",IFERROR(INDEX(PRODUCTOS!$D$6:$D$105,MATCH($C648,PRODUCTOS!$A$6:$A$105,0)),0))</f>
        <v/>
      </c>
      <c r="G648" s="40"/>
      <c r="H648" s="35" t="str">
        <f aca="false">IF($C648="","",N($E648)*$F648-N($G648))</f>
        <v/>
      </c>
      <c r="I648" s="35" t="str">
        <f aca="false">IF($C648="","",$H648-$H648/(1+IFERROR(INDEX(PRODUCTOS!$E$6:$E$105,MATCH($C648,PRODUCTOS!$A$6:$A$105,0)),IVA_VENTAS)))</f>
        <v/>
      </c>
      <c r="J648" s="35" t="str">
        <f aca="false">IF($C648="","",$H648-$I648)</f>
        <v/>
      </c>
      <c r="K648" s="35" t="str">
        <f aca="false">IF($C648="","",N($E648)*IFERROR(INDEX(PRODUCTOS!$H$6:$H$105,MATCH($C648,PRODUCTOS!$A$6:$A$105,0)),0))</f>
        <v/>
      </c>
      <c r="L648" s="35" t="str">
        <f aca="false">IF($C648="","",$J648-$K648)</f>
        <v/>
      </c>
      <c r="M648" s="6"/>
      <c r="N648" s="6"/>
      <c r="O648" s="46" t="str">
        <f aca="false">IF($A648="","",DATE(YEAR($A648),MONTH($A648),1))</f>
        <v/>
      </c>
    </row>
    <row r="649" customFormat="false" ht="15" hidden="false" customHeight="false" outlineLevel="0" collapsed="false">
      <c r="A649" s="44"/>
      <c r="B649" s="6"/>
      <c r="C649" s="6"/>
      <c r="D649" s="8" t="str">
        <f aca="false">IF($C649="","",IFERROR(INDEX(PRODUCTOS!$B$6:$B$105,MATCH($C649,PRODUCTOS!$A$6:$A$105,0)),"¿Código?"))</f>
        <v/>
      </c>
      <c r="E649" s="42"/>
      <c r="F649" s="35" t="str">
        <f aca="false">IF($C649="","",IFERROR(INDEX(PRODUCTOS!$D$6:$D$105,MATCH($C649,PRODUCTOS!$A$6:$A$105,0)),0))</f>
        <v/>
      </c>
      <c r="G649" s="40"/>
      <c r="H649" s="35" t="str">
        <f aca="false">IF($C649="","",N($E649)*$F649-N($G649))</f>
        <v/>
      </c>
      <c r="I649" s="35" t="str">
        <f aca="false">IF($C649="","",$H649-$H649/(1+IFERROR(INDEX(PRODUCTOS!$E$6:$E$105,MATCH($C649,PRODUCTOS!$A$6:$A$105,0)),IVA_VENTAS)))</f>
        <v/>
      </c>
      <c r="J649" s="35" t="str">
        <f aca="false">IF($C649="","",$H649-$I649)</f>
        <v/>
      </c>
      <c r="K649" s="35" t="str">
        <f aca="false">IF($C649="","",N($E649)*IFERROR(INDEX(PRODUCTOS!$H$6:$H$105,MATCH($C649,PRODUCTOS!$A$6:$A$105,0)),0))</f>
        <v/>
      </c>
      <c r="L649" s="35" t="str">
        <f aca="false">IF($C649="","",$J649-$K649)</f>
        <v/>
      </c>
      <c r="M649" s="6"/>
      <c r="N649" s="6"/>
      <c r="O649" s="46" t="str">
        <f aca="false">IF($A649="","",DATE(YEAR($A649),MONTH($A649),1))</f>
        <v/>
      </c>
    </row>
    <row r="650" customFormat="false" ht="15" hidden="false" customHeight="false" outlineLevel="0" collapsed="false">
      <c r="A650" s="44"/>
      <c r="B650" s="6"/>
      <c r="C650" s="6"/>
      <c r="D650" s="8" t="str">
        <f aca="false">IF($C650="","",IFERROR(INDEX(PRODUCTOS!$B$6:$B$105,MATCH($C650,PRODUCTOS!$A$6:$A$105,0)),"¿Código?"))</f>
        <v/>
      </c>
      <c r="E650" s="42"/>
      <c r="F650" s="35" t="str">
        <f aca="false">IF($C650="","",IFERROR(INDEX(PRODUCTOS!$D$6:$D$105,MATCH($C650,PRODUCTOS!$A$6:$A$105,0)),0))</f>
        <v/>
      </c>
      <c r="G650" s="40"/>
      <c r="H650" s="35" t="str">
        <f aca="false">IF($C650="","",N($E650)*$F650-N($G650))</f>
        <v/>
      </c>
      <c r="I650" s="35" t="str">
        <f aca="false">IF($C650="","",$H650-$H650/(1+IFERROR(INDEX(PRODUCTOS!$E$6:$E$105,MATCH($C650,PRODUCTOS!$A$6:$A$105,0)),IVA_VENTAS)))</f>
        <v/>
      </c>
      <c r="J650" s="35" t="str">
        <f aca="false">IF($C650="","",$H650-$I650)</f>
        <v/>
      </c>
      <c r="K650" s="35" t="str">
        <f aca="false">IF($C650="","",N($E650)*IFERROR(INDEX(PRODUCTOS!$H$6:$H$105,MATCH($C650,PRODUCTOS!$A$6:$A$105,0)),0))</f>
        <v/>
      </c>
      <c r="L650" s="35" t="str">
        <f aca="false">IF($C650="","",$J650-$K650)</f>
        <v/>
      </c>
      <c r="M650" s="6"/>
      <c r="N650" s="6"/>
      <c r="O650" s="46" t="str">
        <f aca="false">IF($A650="","",DATE(YEAR($A650),MONTH($A650),1))</f>
        <v/>
      </c>
    </row>
    <row r="651" customFormat="false" ht="15" hidden="false" customHeight="false" outlineLevel="0" collapsed="false">
      <c r="A651" s="44"/>
      <c r="B651" s="6"/>
      <c r="C651" s="6"/>
      <c r="D651" s="8" t="str">
        <f aca="false">IF($C651="","",IFERROR(INDEX(PRODUCTOS!$B$6:$B$105,MATCH($C651,PRODUCTOS!$A$6:$A$105,0)),"¿Código?"))</f>
        <v/>
      </c>
      <c r="E651" s="42"/>
      <c r="F651" s="35" t="str">
        <f aca="false">IF($C651="","",IFERROR(INDEX(PRODUCTOS!$D$6:$D$105,MATCH($C651,PRODUCTOS!$A$6:$A$105,0)),0))</f>
        <v/>
      </c>
      <c r="G651" s="40"/>
      <c r="H651" s="35" t="str">
        <f aca="false">IF($C651="","",N($E651)*$F651-N($G651))</f>
        <v/>
      </c>
      <c r="I651" s="35" t="str">
        <f aca="false">IF($C651="","",$H651-$H651/(1+IFERROR(INDEX(PRODUCTOS!$E$6:$E$105,MATCH($C651,PRODUCTOS!$A$6:$A$105,0)),IVA_VENTAS)))</f>
        <v/>
      </c>
      <c r="J651" s="35" t="str">
        <f aca="false">IF($C651="","",$H651-$I651)</f>
        <v/>
      </c>
      <c r="K651" s="35" t="str">
        <f aca="false">IF($C651="","",N($E651)*IFERROR(INDEX(PRODUCTOS!$H$6:$H$105,MATCH($C651,PRODUCTOS!$A$6:$A$105,0)),0))</f>
        <v/>
      </c>
      <c r="L651" s="35" t="str">
        <f aca="false">IF($C651="","",$J651-$K651)</f>
        <v/>
      </c>
      <c r="M651" s="6"/>
      <c r="N651" s="6"/>
      <c r="O651" s="46" t="str">
        <f aca="false">IF($A651="","",DATE(YEAR($A651),MONTH($A651),1))</f>
        <v/>
      </c>
    </row>
    <row r="652" customFormat="false" ht="15" hidden="false" customHeight="false" outlineLevel="0" collapsed="false">
      <c r="A652" s="44"/>
      <c r="B652" s="6"/>
      <c r="C652" s="6"/>
      <c r="D652" s="8" t="str">
        <f aca="false">IF($C652="","",IFERROR(INDEX(PRODUCTOS!$B$6:$B$105,MATCH($C652,PRODUCTOS!$A$6:$A$105,0)),"¿Código?"))</f>
        <v/>
      </c>
      <c r="E652" s="42"/>
      <c r="F652" s="35" t="str">
        <f aca="false">IF($C652="","",IFERROR(INDEX(PRODUCTOS!$D$6:$D$105,MATCH($C652,PRODUCTOS!$A$6:$A$105,0)),0))</f>
        <v/>
      </c>
      <c r="G652" s="40"/>
      <c r="H652" s="35" t="str">
        <f aca="false">IF($C652="","",N($E652)*$F652-N($G652))</f>
        <v/>
      </c>
      <c r="I652" s="35" t="str">
        <f aca="false">IF($C652="","",$H652-$H652/(1+IFERROR(INDEX(PRODUCTOS!$E$6:$E$105,MATCH($C652,PRODUCTOS!$A$6:$A$105,0)),IVA_VENTAS)))</f>
        <v/>
      </c>
      <c r="J652" s="35" t="str">
        <f aca="false">IF($C652="","",$H652-$I652)</f>
        <v/>
      </c>
      <c r="K652" s="35" t="str">
        <f aca="false">IF($C652="","",N($E652)*IFERROR(INDEX(PRODUCTOS!$H$6:$H$105,MATCH($C652,PRODUCTOS!$A$6:$A$105,0)),0))</f>
        <v/>
      </c>
      <c r="L652" s="35" t="str">
        <f aca="false">IF($C652="","",$J652-$K652)</f>
        <v/>
      </c>
      <c r="M652" s="6"/>
      <c r="N652" s="6"/>
      <c r="O652" s="46" t="str">
        <f aca="false">IF($A652="","",DATE(YEAR($A652),MONTH($A652),1))</f>
        <v/>
      </c>
    </row>
    <row r="653" customFormat="false" ht="15" hidden="false" customHeight="false" outlineLevel="0" collapsed="false">
      <c r="A653" s="44"/>
      <c r="B653" s="6"/>
      <c r="C653" s="6"/>
      <c r="D653" s="8" t="str">
        <f aca="false">IF($C653="","",IFERROR(INDEX(PRODUCTOS!$B$6:$B$105,MATCH($C653,PRODUCTOS!$A$6:$A$105,0)),"¿Código?"))</f>
        <v/>
      </c>
      <c r="E653" s="42"/>
      <c r="F653" s="35" t="str">
        <f aca="false">IF($C653="","",IFERROR(INDEX(PRODUCTOS!$D$6:$D$105,MATCH($C653,PRODUCTOS!$A$6:$A$105,0)),0))</f>
        <v/>
      </c>
      <c r="G653" s="40"/>
      <c r="H653" s="35" t="str">
        <f aca="false">IF($C653="","",N($E653)*$F653-N($G653))</f>
        <v/>
      </c>
      <c r="I653" s="35" t="str">
        <f aca="false">IF($C653="","",$H653-$H653/(1+IFERROR(INDEX(PRODUCTOS!$E$6:$E$105,MATCH($C653,PRODUCTOS!$A$6:$A$105,0)),IVA_VENTAS)))</f>
        <v/>
      </c>
      <c r="J653" s="35" t="str">
        <f aca="false">IF($C653="","",$H653-$I653)</f>
        <v/>
      </c>
      <c r="K653" s="35" t="str">
        <f aca="false">IF($C653="","",N($E653)*IFERROR(INDEX(PRODUCTOS!$H$6:$H$105,MATCH($C653,PRODUCTOS!$A$6:$A$105,0)),0))</f>
        <v/>
      </c>
      <c r="L653" s="35" t="str">
        <f aca="false">IF($C653="","",$J653-$K653)</f>
        <v/>
      </c>
      <c r="M653" s="6"/>
      <c r="N653" s="6"/>
      <c r="O653" s="46" t="str">
        <f aca="false">IF($A653="","",DATE(YEAR($A653),MONTH($A653),1))</f>
        <v/>
      </c>
    </row>
    <row r="654" customFormat="false" ht="15" hidden="false" customHeight="false" outlineLevel="0" collapsed="false">
      <c r="A654" s="44"/>
      <c r="B654" s="6"/>
      <c r="C654" s="6"/>
      <c r="D654" s="8" t="str">
        <f aca="false">IF($C654="","",IFERROR(INDEX(PRODUCTOS!$B$6:$B$105,MATCH($C654,PRODUCTOS!$A$6:$A$105,0)),"¿Código?"))</f>
        <v/>
      </c>
      <c r="E654" s="42"/>
      <c r="F654" s="35" t="str">
        <f aca="false">IF($C654="","",IFERROR(INDEX(PRODUCTOS!$D$6:$D$105,MATCH($C654,PRODUCTOS!$A$6:$A$105,0)),0))</f>
        <v/>
      </c>
      <c r="G654" s="40"/>
      <c r="H654" s="35" t="str">
        <f aca="false">IF($C654="","",N($E654)*$F654-N($G654))</f>
        <v/>
      </c>
      <c r="I654" s="35" t="str">
        <f aca="false">IF($C654="","",$H654-$H654/(1+IFERROR(INDEX(PRODUCTOS!$E$6:$E$105,MATCH($C654,PRODUCTOS!$A$6:$A$105,0)),IVA_VENTAS)))</f>
        <v/>
      </c>
      <c r="J654" s="35" t="str">
        <f aca="false">IF($C654="","",$H654-$I654)</f>
        <v/>
      </c>
      <c r="K654" s="35" t="str">
        <f aca="false">IF($C654="","",N($E654)*IFERROR(INDEX(PRODUCTOS!$H$6:$H$105,MATCH($C654,PRODUCTOS!$A$6:$A$105,0)),0))</f>
        <v/>
      </c>
      <c r="L654" s="35" t="str">
        <f aca="false">IF($C654="","",$J654-$K654)</f>
        <v/>
      </c>
      <c r="M654" s="6"/>
      <c r="N654" s="6"/>
      <c r="O654" s="46" t="str">
        <f aca="false">IF($A654="","",DATE(YEAR($A654),MONTH($A654),1))</f>
        <v/>
      </c>
    </row>
    <row r="655" customFormat="false" ht="15" hidden="false" customHeight="false" outlineLevel="0" collapsed="false">
      <c r="A655" s="44"/>
      <c r="B655" s="6"/>
      <c r="C655" s="6"/>
      <c r="D655" s="8" t="str">
        <f aca="false">IF($C655="","",IFERROR(INDEX(PRODUCTOS!$B$6:$B$105,MATCH($C655,PRODUCTOS!$A$6:$A$105,0)),"¿Código?"))</f>
        <v/>
      </c>
      <c r="E655" s="42"/>
      <c r="F655" s="35" t="str">
        <f aca="false">IF($C655="","",IFERROR(INDEX(PRODUCTOS!$D$6:$D$105,MATCH($C655,PRODUCTOS!$A$6:$A$105,0)),0))</f>
        <v/>
      </c>
      <c r="G655" s="40"/>
      <c r="H655" s="35" t="str">
        <f aca="false">IF($C655="","",N($E655)*$F655-N($G655))</f>
        <v/>
      </c>
      <c r="I655" s="35" t="str">
        <f aca="false">IF($C655="","",$H655-$H655/(1+IFERROR(INDEX(PRODUCTOS!$E$6:$E$105,MATCH($C655,PRODUCTOS!$A$6:$A$105,0)),IVA_VENTAS)))</f>
        <v/>
      </c>
      <c r="J655" s="35" t="str">
        <f aca="false">IF($C655="","",$H655-$I655)</f>
        <v/>
      </c>
      <c r="K655" s="35" t="str">
        <f aca="false">IF($C655="","",N($E655)*IFERROR(INDEX(PRODUCTOS!$H$6:$H$105,MATCH($C655,PRODUCTOS!$A$6:$A$105,0)),0))</f>
        <v/>
      </c>
      <c r="L655" s="35" t="str">
        <f aca="false">IF($C655="","",$J655-$K655)</f>
        <v/>
      </c>
      <c r="M655" s="6"/>
      <c r="N655" s="6"/>
      <c r="O655" s="46" t="str">
        <f aca="false">IF($A655="","",DATE(YEAR($A655),MONTH($A655),1))</f>
        <v/>
      </c>
    </row>
    <row r="656" customFormat="false" ht="15" hidden="false" customHeight="false" outlineLevel="0" collapsed="false">
      <c r="A656" s="44"/>
      <c r="B656" s="6"/>
      <c r="C656" s="6"/>
      <c r="D656" s="8" t="str">
        <f aca="false">IF($C656="","",IFERROR(INDEX(PRODUCTOS!$B$6:$B$105,MATCH($C656,PRODUCTOS!$A$6:$A$105,0)),"¿Código?"))</f>
        <v/>
      </c>
      <c r="E656" s="42"/>
      <c r="F656" s="35" t="str">
        <f aca="false">IF($C656="","",IFERROR(INDEX(PRODUCTOS!$D$6:$D$105,MATCH($C656,PRODUCTOS!$A$6:$A$105,0)),0))</f>
        <v/>
      </c>
      <c r="G656" s="40"/>
      <c r="H656" s="35" t="str">
        <f aca="false">IF($C656="","",N($E656)*$F656-N($G656))</f>
        <v/>
      </c>
      <c r="I656" s="35" t="str">
        <f aca="false">IF($C656="","",$H656-$H656/(1+IFERROR(INDEX(PRODUCTOS!$E$6:$E$105,MATCH($C656,PRODUCTOS!$A$6:$A$105,0)),IVA_VENTAS)))</f>
        <v/>
      </c>
      <c r="J656" s="35" t="str">
        <f aca="false">IF($C656="","",$H656-$I656)</f>
        <v/>
      </c>
      <c r="K656" s="35" t="str">
        <f aca="false">IF($C656="","",N($E656)*IFERROR(INDEX(PRODUCTOS!$H$6:$H$105,MATCH($C656,PRODUCTOS!$A$6:$A$105,0)),0))</f>
        <v/>
      </c>
      <c r="L656" s="35" t="str">
        <f aca="false">IF($C656="","",$J656-$K656)</f>
        <v/>
      </c>
      <c r="M656" s="6"/>
      <c r="N656" s="6"/>
      <c r="O656" s="46" t="str">
        <f aca="false">IF($A656="","",DATE(YEAR($A656),MONTH($A656),1))</f>
        <v/>
      </c>
    </row>
    <row r="657" customFormat="false" ht="15" hidden="false" customHeight="false" outlineLevel="0" collapsed="false">
      <c r="A657" s="44"/>
      <c r="B657" s="6"/>
      <c r="C657" s="6"/>
      <c r="D657" s="8" t="str">
        <f aca="false">IF($C657="","",IFERROR(INDEX(PRODUCTOS!$B$6:$B$105,MATCH($C657,PRODUCTOS!$A$6:$A$105,0)),"¿Código?"))</f>
        <v/>
      </c>
      <c r="E657" s="42"/>
      <c r="F657" s="35" t="str">
        <f aca="false">IF($C657="","",IFERROR(INDEX(PRODUCTOS!$D$6:$D$105,MATCH($C657,PRODUCTOS!$A$6:$A$105,0)),0))</f>
        <v/>
      </c>
      <c r="G657" s="40"/>
      <c r="H657" s="35" t="str">
        <f aca="false">IF($C657="","",N($E657)*$F657-N($G657))</f>
        <v/>
      </c>
      <c r="I657" s="35" t="str">
        <f aca="false">IF($C657="","",$H657-$H657/(1+IFERROR(INDEX(PRODUCTOS!$E$6:$E$105,MATCH($C657,PRODUCTOS!$A$6:$A$105,0)),IVA_VENTAS)))</f>
        <v/>
      </c>
      <c r="J657" s="35" t="str">
        <f aca="false">IF($C657="","",$H657-$I657)</f>
        <v/>
      </c>
      <c r="K657" s="35" t="str">
        <f aca="false">IF($C657="","",N($E657)*IFERROR(INDEX(PRODUCTOS!$H$6:$H$105,MATCH($C657,PRODUCTOS!$A$6:$A$105,0)),0))</f>
        <v/>
      </c>
      <c r="L657" s="35" t="str">
        <f aca="false">IF($C657="","",$J657-$K657)</f>
        <v/>
      </c>
      <c r="M657" s="6"/>
      <c r="N657" s="6"/>
      <c r="O657" s="46" t="str">
        <f aca="false">IF($A657="","",DATE(YEAR($A657),MONTH($A657),1))</f>
        <v/>
      </c>
    </row>
    <row r="658" customFormat="false" ht="15" hidden="false" customHeight="false" outlineLevel="0" collapsed="false">
      <c r="A658" s="44"/>
      <c r="B658" s="6"/>
      <c r="C658" s="6"/>
      <c r="D658" s="8" t="str">
        <f aca="false">IF($C658="","",IFERROR(INDEX(PRODUCTOS!$B$6:$B$105,MATCH($C658,PRODUCTOS!$A$6:$A$105,0)),"¿Código?"))</f>
        <v/>
      </c>
      <c r="E658" s="42"/>
      <c r="F658" s="35" t="str">
        <f aca="false">IF($C658="","",IFERROR(INDEX(PRODUCTOS!$D$6:$D$105,MATCH($C658,PRODUCTOS!$A$6:$A$105,0)),0))</f>
        <v/>
      </c>
      <c r="G658" s="40"/>
      <c r="H658" s="35" t="str">
        <f aca="false">IF($C658="","",N($E658)*$F658-N($G658))</f>
        <v/>
      </c>
      <c r="I658" s="35" t="str">
        <f aca="false">IF($C658="","",$H658-$H658/(1+IFERROR(INDEX(PRODUCTOS!$E$6:$E$105,MATCH($C658,PRODUCTOS!$A$6:$A$105,0)),IVA_VENTAS)))</f>
        <v/>
      </c>
      <c r="J658" s="35" t="str">
        <f aca="false">IF($C658="","",$H658-$I658)</f>
        <v/>
      </c>
      <c r="K658" s="35" t="str">
        <f aca="false">IF($C658="","",N($E658)*IFERROR(INDEX(PRODUCTOS!$H$6:$H$105,MATCH($C658,PRODUCTOS!$A$6:$A$105,0)),0))</f>
        <v/>
      </c>
      <c r="L658" s="35" t="str">
        <f aca="false">IF($C658="","",$J658-$K658)</f>
        <v/>
      </c>
      <c r="M658" s="6"/>
      <c r="N658" s="6"/>
      <c r="O658" s="46" t="str">
        <f aca="false">IF($A658="","",DATE(YEAR($A658),MONTH($A658),1))</f>
        <v/>
      </c>
    </row>
    <row r="659" customFormat="false" ht="15" hidden="false" customHeight="false" outlineLevel="0" collapsed="false">
      <c r="A659" s="44"/>
      <c r="B659" s="6"/>
      <c r="C659" s="6"/>
      <c r="D659" s="8" t="str">
        <f aca="false">IF($C659="","",IFERROR(INDEX(PRODUCTOS!$B$6:$B$105,MATCH($C659,PRODUCTOS!$A$6:$A$105,0)),"¿Código?"))</f>
        <v/>
      </c>
      <c r="E659" s="42"/>
      <c r="F659" s="35" t="str">
        <f aca="false">IF($C659="","",IFERROR(INDEX(PRODUCTOS!$D$6:$D$105,MATCH($C659,PRODUCTOS!$A$6:$A$105,0)),0))</f>
        <v/>
      </c>
      <c r="G659" s="40"/>
      <c r="H659" s="35" t="str">
        <f aca="false">IF($C659="","",N($E659)*$F659-N($G659))</f>
        <v/>
      </c>
      <c r="I659" s="35" t="str">
        <f aca="false">IF($C659="","",$H659-$H659/(1+IFERROR(INDEX(PRODUCTOS!$E$6:$E$105,MATCH($C659,PRODUCTOS!$A$6:$A$105,0)),IVA_VENTAS)))</f>
        <v/>
      </c>
      <c r="J659" s="35" t="str">
        <f aca="false">IF($C659="","",$H659-$I659)</f>
        <v/>
      </c>
      <c r="K659" s="35" t="str">
        <f aca="false">IF($C659="","",N($E659)*IFERROR(INDEX(PRODUCTOS!$H$6:$H$105,MATCH($C659,PRODUCTOS!$A$6:$A$105,0)),0))</f>
        <v/>
      </c>
      <c r="L659" s="35" t="str">
        <f aca="false">IF($C659="","",$J659-$K659)</f>
        <v/>
      </c>
      <c r="M659" s="6"/>
      <c r="N659" s="6"/>
      <c r="O659" s="46" t="str">
        <f aca="false">IF($A659="","",DATE(YEAR($A659),MONTH($A659),1))</f>
        <v/>
      </c>
    </row>
    <row r="660" customFormat="false" ht="15" hidden="false" customHeight="false" outlineLevel="0" collapsed="false">
      <c r="A660" s="44"/>
      <c r="B660" s="6"/>
      <c r="C660" s="6"/>
      <c r="D660" s="8" t="str">
        <f aca="false">IF($C660="","",IFERROR(INDEX(PRODUCTOS!$B$6:$B$105,MATCH($C660,PRODUCTOS!$A$6:$A$105,0)),"¿Código?"))</f>
        <v/>
      </c>
      <c r="E660" s="42"/>
      <c r="F660" s="35" t="str">
        <f aca="false">IF($C660="","",IFERROR(INDEX(PRODUCTOS!$D$6:$D$105,MATCH($C660,PRODUCTOS!$A$6:$A$105,0)),0))</f>
        <v/>
      </c>
      <c r="G660" s="40"/>
      <c r="H660" s="35" t="str">
        <f aca="false">IF($C660="","",N($E660)*$F660-N($G660))</f>
        <v/>
      </c>
      <c r="I660" s="35" t="str">
        <f aca="false">IF($C660="","",$H660-$H660/(1+IFERROR(INDEX(PRODUCTOS!$E$6:$E$105,MATCH($C660,PRODUCTOS!$A$6:$A$105,0)),IVA_VENTAS)))</f>
        <v/>
      </c>
      <c r="J660" s="35" t="str">
        <f aca="false">IF($C660="","",$H660-$I660)</f>
        <v/>
      </c>
      <c r="K660" s="35" t="str">
        <f aca="false">IF($C660="","",N($E660)*IFERROR(INDEX(PRODUCTOS!$H$6:$H$105,MATCH($C660,PRODUCTOS!$A$6:$A$105,0)),0))</f>
        <v/>
      </c>
      <c r="L660" s="35" t="str">
        <f aca="false">IF($C660="","",$J660-$K660)</f>
        <v/>
      </c>
      <c r="M660" s="6"/>
      <c r="N660" s="6"/>
      <c r="O660" s="46" t="str">
        <f aca="false">IF($A660="","",DATE(YEAR($A660),MONTH($A660),1))</f>
        <v/>
      </c>
    </row>
    <row r="661" customFormat="false" ht="15" hidden="false" customHeight="false" outlineLevel="0" collapsed="false">
      <c r="A661" s="44"/>
      <c r="B661" s="6"/>
      <c r="C661" s="6"/>
      <c r="D661" s="8" t="str">
        <f aca="false">IF($C661="","",IFERROR(INDEX(PRODUCTOS!$B$6:$B$105,MATCH($C661,PRODUCTOS!$A$6:$A$105,0)),"¿Código?"))</f>
        <v/>
      </c>
      <c r="E661" s="42"/>
      <c r="F661" s="35" t="str">
        <f aca="false">IF($C661="","",IFERROR(INDEX(PRODUCTOS!$D$6:$D$105,MATCH($C661,PRODUCTOS!$A$6:$A$105,0)),0))</f>
        <v/>
      </c>
      <c r="G661" s="40"/>
      <c r="H661" s="35" t="str">
        <f aca="false">IF($C661="","",N($E661)*$F661-N($G661))</f>
        <v/>
      </c>
      <c r="I661" s="35" t="str">
        <f aca="false">IF($C661="","",$H661-$H661/(1+IFERROR(INDEX(PRODUCTOS!$E$6:$E$105,MATCH($C661,PRODUCTOS!$A$6:$A$105,0)),IVA_VENTAS)))</f>
        <v/>
      </c>
      <c r="J661" s="35" t="str">
        <f aca="false">IF($C661="","",$H661-$I661)</f>
        <v/>
      </c>
      <c r="K661" s="35" t="str">
        <f aca="false">IF($C661="","",N($E661)*IFERROR(INDEX(PRODUCTOS!$H$6:$H$105,MATCH($C661,PRODUCTOS!$A$6:$A$105,0)),0))</f>
        <v/>
      </c>
      <c r="L661" s="35" t="str">
        <f aca="false">IF($C661="","",$J661-$K661)</f>
        <v/>
      </c>
      <c r="M661" s="6"/>
      <c r="N661" s="6"/>
      <c r="O661" s="46" t="str">
        <f aca="false">IF($A661="","",DATE(YEAR($A661),MONTH($A661),1))</f>
        <v/>
      </c>
    </row>
    <row r="662" customFormat="false" ht="15" hidden="false" customHeight="false" outlineLevel="0" collapsed="false">
      <c r="A662" s="44"/>
      <c r="B662" s="6"/>
      <c r="C662" s="6"/>
      <c r="D662" s="8" t="str">
        <f aca="false">IF($C662="","",IFERROR(INDEX(PRODUCTOS!$B$6:$B$105,MATCH($C662,PRODUCTOS!$A$6:$A$105,0)),"¿Código?"))</f>
        <v/>
      </c>
      <c r="E662" s="42"/>
      <c r="F662" s="35" t="str">
        <f aca="false">IF($C662="","",IFERROR(INDEX(PRODUCTOS!$D$6:$D$105,MATCH($C662,PRODUCTOS!$A$6:$A$105,0)),0))</f>
        <v/>
      </c>
      <c r="G662" s="40"/>
      <c r="H662" s="35" t="str">
        <f aca="false">IF($C662="","",N($E662)*$F662-N($G662))</f>
        <v/>
      </c>
      <c r="I662" s="35" t="str">
        <f aca="false">IF($C662="","",$H662-$H662/(1+IFERROR(INDEX(PRODUCTOS!$E$6:$E$105,MATCH($C662,PRODUCTOS!$A$6:$A$105,0)),IVA_VENTAS)))</f>
        <v/>
      </c>
      <c r="J662" s="35" t="str">
        <f aca="false">IF($C662="","",$H662-$I662)</f>
        <v/>
      </c>
      <c r="K662" s="35" t="str">
        <f aca="false">IF($C662="","",N($E662)*IFERROR(INDEX(PRODUCTOS!$H$6:$H$105,MATCH($C662,PRODUCTOS!$A$6:$A$105,0)),0))</f>
        <v/>
      </c>
      <c r="L662" s="35" t="str">
        <f aca="false">IF($C662="","",$J662-$K662)</f>
        <v/>
      </c>
      <c r="M662" s="6"/>
      <c r="N662" s="6"/>
      <c r="O662" s="46" t="str">
        <f aca="false">IF($A662="","",DATE(YEAR($A662),MONTH($A662),1))</f>
        <v/>
      </c>
    </row>
    <row r="663" customFormat="false" ht="15" hidden="false" customHeight="false" outlineLevel="0" collapsed="false">
      <c r="A663" s="44"/>
      <c r="B663" s="6"/>
      <c r="C663" s="6"/>
      <c r="D663" s="8" t="str">
        <f aca="false">IF($C663="","",IFERROR(INDEX(PRODUCTOS!$B$6:$B$105,MATCH($C663,PRODUCTOS!$A$6:$A$105,0)),"¿Código?"))</f>
        <v/>
      </c>
      <c r="E663" s="42"/>
      <c r="F663" s="35" t="str">
        <f aca="false">IF($C663="","",IFERROR(INDEX(PRODUCTOS!$D$6:$D$105,MATCH($C663,PRODUCTOS!$A$6:$A$105,0)),0))</f>
        <v/>
      </c>
      <c r="G663" s="40"/>
      <c r="H663" s="35" t="str">
        <f aca="false">IF($C663="","",N($E663)*$F663-N($G663))</f>
        <v/>
      </c>
      <c r="I663" s="35" t="str">
        <f aca="false">IF($C663="","",$H663-$H663/(1+IFERROR(INDEX(PRODUCTOS!$E$6:$E$105,MATCH($C663,PRODUCTOS!$A$6:$A$105,0)),IVA_VENTAS)))</f>
        <v/>
      </c>
      <c r="J663" s="35" t="str">
        <f aca="false">IF($C663="","",$H663-$I663)</f>
        <v/>
      </c>
      <c r="K663" s="35" t="str">
        <f aca="false">IF($C663="","",N($E663)*IFERROR(INDEX(PRODUCTOS!$H$6:$H$105,MATCH($C663,PRODUCTOS!$A$6:$A$105,0)),0))</f>
        <v/>
      </c>
      <c r="L663" s="35" t="str">
        <f aca="false">IF($C663="","",$J663-$K663)</f>
        <v/>
      </c>
      <c r="M663" s="6"/>
      <c r="N663" s="6"/>
      <c r="O663" s="46" t="str">
        <f aca="false">IF($A663="","",DATE(YEAR($A663),MONTH($A663),1))</f>
        <v/>
      </c>
    </row>
    <row r="664" customFormat="false" ht="15" hidden="false" customHeight="false" outlineLevel="0" collapsed="false">
      <c r="A664" s="44"/>
      <c r="B664" s="6"/>
      <c r="C664" s="6"/>
      <c r="D664" s="8" t="str">
        <f aca="false">IF($C664="","",IFERROR(INDEX(PRODUCTOS!$B$6:$B$105,MATCH($C664,PRODUCTOS!$A$6:$A$105,0)),"¿Código?"))</f>
        <v/>
      </c>
      <c r="E664" s="42"/>
      <c r="F664" s="35" t="str">
        <f aca="false">IF($C664="","",IFERROR(INDEX(PRODUCTOS!$D$6:$D$105,MATCH($C664,PRODUCTOS!$A$6:$A$105,0)),0))</f>
        <v/>
      </c>
      <c r="G664" s="40"/>
      <c r="H664" s="35" t="str">
        <f aca="false">IF($C664="","",N($E664)*$F664-N($G664))</f>
        <v/>
      </c>
      <c r="I664" s="35" t="str">
        <f aca="false">IF($C664="","",$H664-$H664/(1+IFERROR(INDEX(PRODUCTOS!$E$6:$E$105,MATCH($C664,PRODUCTOS!$A$6:$A$105,0)),IVA_VENTAS)))</f>
        <v/>
      </c>
      <c r="J664" s="35" t="str">
        <f aca="false">IF($C664="","",$H664-$I664)</f>
        <v/>
      </c>
      <c r="K664" s="35" t="str">
        <f aca="false">IF($C664="","",N($E664)*IFERROR(INDEX(PRODUCTOS!$H$6:$H$105,MATCH($C664,PRODUCTOS!$A$6:$A$105,0)),0))</f>
        <v/>
      </c>
      <c r="L664" s="35" t="str">
        <f aca="false">IF($C664="","",$J664-$K664)</f>
        <v/>
      </c>
      <c r="M664" s="6"/>
      <c r="N664" s="6"/>
      <c r="O664" s="46" t="str">
        <f aca="false">IF($A664="","",DATE(YEAR($A664),MONTH($A664),1))</f>
        <v/>
      </c>
    </row>
    <row r="665" customFormat="false" ht="15" hidden="false" customHeight="false" outlineLevel="0" collapsed="false">
      <c r="A665" s="44"/>
      <c r="B665" s="6"/>
      <c r="C665" s="6"/>
      <c r="D665" s="8" t="str">
        <f aca="false">IF($C665="","",IFERROR(INDEX(PRODUCTOS!$B$6:$B$105,MATCH($C665,PRODUCTOS!$A$6:$A$105,0)),"¿Código?"))</f>
        <v/>
      </c>
      <c r="E665" s="42"/>
      <c r="F665" s="35" t="str">
        <f aca="false">IF($C665="","",IFERROR(INDEX(PRODUCTOS!$D$6:$D$105,MATCH($C665,PRODUCTOS!$A$6:$A$105,0)),0))</f>
        <v/>
      </c>
      <c r="G665" s="40"/>
      <c r="H665" s="35" t="str">
        <f aca="false">IF($C665="","",N($E665)*$F665-N($G665))</f>
        <v/>
      </c>
      <c r="I665" s="35" t="str">
        <f aca="false">IF($C665="","",$H665-$H665/(1+IFERROR(INDEX(PRODUCTOS!$E$6:$E$105,MATCH($C665,PRODUCTOS!$A$6:$A$105,0)),IVA_VENTAS)))</f>
        <v/>
      </c>
      <c r="J665" s="35" t="str">
        <f aca="false">IF($C665="","",$H665-$I665)</f>
        <v/>
      </c>
      <c r="K665" s="35" t="str">
        <f aca="false">IF($C665="","",N($E665)*IFERROR(INDEX(PRODUCTOS!$H$6:$H$105,MATCH($C665,PRODUCTOS!$A$6:$A$105,0)),0))</f>
        <v/>
      </c>
      <c r="L665" s="35" t="str">
        <f aca="false">IF($C665="","",$J665-$K665)</f>
        <v/>
      </c>
      <c r="M665" s="6"/>
      <c r="N665" s="6"/>
      <c r="O665" s="46" t="str">
        <f aca="false">IF($A665="","",DATE(YEAR($A665),MONTH($A665),1))</f>
        <v/>
      </c>
    </row>
    <row r="666" customFormat="false" ht="15" hidden="false" customHeight="false" outlineLevel="0" collapsed="false">
      <c r="A666" s="44"/>
      <c r="B666" s="6"/>
      <c r="C666" s="6"/>
      <c r="D666" s="8" t="str">
        <f aca="false">IF($C666="","",IFERROR(INDEX(PRODUCTOS!$B$6:$B$105,MATCH($C666,PRODUCTOS!$A$6:$A$105,0)),"¿Código?"))</f>
        <v/>
      </c>
      <c r="E666" s="42"/>
      <c r="F666" s="35" t="str">
        <f aca="false">IF($C666="","",IFERROR(INDEX(PRODUCTOS!$D$6:$D$105,MATCH($C666,PRODUCTOS!$A$6:$A$105,0)),0))</f>
        <v/>
      </c>
      <c r="G666" s="40"/>
      <c r="H666" s="35" t="str">
        <f aca="false">IF($C666="","",N($E666)*$F666-N($G666))</f>
        <v/>
      </c>
      <c r="I666" s="35" t="str">
        <f aca="false">IF($C666="","",$H666-$H666/(1+IFERROR(INDEX(PRODUCTOS!$E$6:$E$105,MATCH($C666,PRODUCTOS!$A$6:$A$105,0)),IVA_VENTAS)))</f>
        <v/>
      </c>
      <c r="J666" s="35" t="str">
        <f aca="false">IF($C666="","",$H666-$I666)</f>
        <v/>
      </c>
      <c r="K666" s="35" t="str">
        <f aca="false">IF($C666="","",N($E666)*IFERROR(INDEX(PRODUCTOS!$H$6:$H$105,MATCH($C666,PRODUCTOS!$A$6:$A$105,0)),0))</f>
        <v/>
      </c>
      <c r="L666" s="35" t="str">
        <f aca="false">IF($C666="","",$J666-$K666)</f>
        <v/>
      </c>
      <c r="M666" s="6"/>
      <c r="N666" s="6"/>
      <c r="O666" s="46" t="str">
        <f aca="false">IF($A666="","",DATE(YEAR($A666),MONTH($A666),1))</f>
        <v/>
      </c>
    </row>
    <row r="667" customFormat="false" ht="15" hidden="false" customHeight="false" outlineLevel="0" collapsed="false">
      <c r="A667" s="44"/>
      <c r="B667" s="6"/>
      <c r="C667" s="6"/>
      <c r="D667" s="8" t="str">
        <f aca="false">IF($C667="","",IFERROR(INDEX(PRODUCTOS!$B$6:$B$105,MATCH($C667,PRODUCTOS!$A$6:$A$105,0)),"¿Código?"))</f>
        <v/>
      </c>
      <c r="E667" s="42"/>
      <c r="F667" s="35" t="str">
        <f aca="false">IF($C667="","",IFERROR(INDEX(PRODUCTOS!$D$6:$D$105,MATCH($C667,PRODUCTOS!$A$6:$A$105,0)),0))</f>
        <v/>
      </c>
      <c r="G667" s="40"/>
      <c r="H667" s="35" t="str">
        <f aca="false">IF($C667="","",N($E667)*$F667-N($G667))</f>
        <v/>
      </c>
      <c r="I667" s="35" t="str">
        <f aca="false">IF($C667="","",$H667-$H667/(1+IFERROR(INDEX(PRODUCTOS!$E$6:$E$105,MATCH($C667,PRODUCTOS!$A$6:$A$105,0)),IVA_VENTAS)))</f>
        <v/>
      </c>
      <c r="J667" s="35" t="str">
        <f aca="false">IF($C667="","",$H667-$I667)</f>
        <v/>
      </c>
      <c r="K667" s="35" t="str">
        <f aca="false">IF($C667="","",N($E667)*IFERROR(INDEX(PRODUCTOS!$H$6:$H$105,MATCH($C667,PRODUCTOS!$A$6:$A$105,0)),0))</f>
        <v/>
      </c>
      <c r="L667" s="35" t="str">
        <f aca="false">IF($C667="","",$J667-$K667)</f>
        <v/>
      </c>
      <c r="M667" s="6"/>
      <c r="N667" s="6"/>
      <c r="O667" s="46" t="str">
        <f aca="false">IF($A667="","",DATE(YEAR($A667),MONTH($A667),1))</f>
        <v/>
      </c>
    </row>
    <row r="668" customFormat="false" ht="15" hidden="false" customHeight="false" outlineLevel="0" collapsed="false">
      <c r="A668" s="44"/>
      <c r="B668" s="6"/>
      <c r="C668" s="6"/>
      <c r="D668" s="8" t="str">
        <f aca="false">IF($C668="","",IFERROR(INDEX(PRODUCTOS!$B$6:$B$105,MATCH($C668,PRODUCTOS!$A$6:$A$105,0)),"¿Código?"))</f>
        <v/>
      </c>
      <c r="E668" s="42"/>
      <c r="F668" s="35" t="str">
        <f aca="false">IF($C668="","",IFERROR(INDEX(PRODUCTOS!$D$6:$D$105,MATCH($C668,PRODUCTOS!$A$6:$A$105,0)),0))</f>
        <v/>
      </c>
      <c r="G668" s="40"/>
      <c r="H668" s="35" t="str">
        <f aca="false">IF($C668="","",N($E668)*$F668-N($G668))</f>
        <v/>
      </c>
      <c r="I668" s="35" t="str">
        <f aca="false">IF($C668="","",$H668-$H668/(1+IFERROR(INDEX(PRODUCTOS!$E$6:$E$105,MATCH($C668,PRODUCTOS!$A$6:$A$105,0)),IVA_VENTAS)))</f>
        <v/>
      </c>
      <c r="J668" s="35" t="str">
        <f aca="false">IF($C668="","",$H668-$I668)</f>
        <v/>
      </c>
      <c r="K668" s="35" t="str">
        <f aca="false">IF($C668="","",N($E668)*IFERROR(INDEX(PRODUCTOS!$H$6:$H$105,MATCH($C668,PRODUCTOS!$A$6:$A$105,0)),0))</f>
        <v/>
      </c>
      <c r="L668" s="35" t="str">
        <f aca="false">IF($C668="","",$J668-$K668)</f>
        <v/>
      </c>
      <c r="M668" s="6"/>
      <c r="N668" s="6"/>
      <c r="O668" s="46" t="str">
        <f aca="false">IF($A668="","",DATE(YEAR($A668),MONTH($A668),1))</f>
        <v/>
      </c>
    </row>
    <row r="669" customFormat="false" ht="15" hidden="false" customHeight="false" outlineLevel="0" collapsed="false">
      <c r="A669" s="44"/>
      <c r="B669" s="6"/>
      <c r="C669" s="6"/>
      <c r="D669" s="8" t="str">
        <f aca="false">IF($C669="","",IFERROR(INDEX(PRODUCTOS!$B$6:$B$105,MATCH($C669,PRODUCTOS!$A$6:$A$105,0)),"¿Código?"))</f>
        <v/>
      </c>
      <c r="E669" s="42"/>
      <c r="F669" s="35" t="str">
        <f aca="false">IF($C669="","",IFERROR(INDEX(PRODUCTOS!$D$6:$D$105,MATCH($C669,PRODUCTOS!$A$6:$A$105,0)),0))</f>
        <v/>
      </c>
      <c r="G669" s="40"/>
      <c r="H669" s="35" t="str">
        <f aca="false">IF($C669="","",N($E669)*$F669-N($G669))</f>
        <v/>
      </c>
      <c r="I669" s="35" t="str">
        <f aca="false">IF($C669="","",$H669-$H669/(1+IFERROR(INDEX(PRODUCTOS!$E$6:$E$105,MATCH($C669,PRODUCTOS!$A$6:$A$105,0)),IVA_VENTAS)))</f>
        <v/>
      </c>
      <c r="J669" s="35" t="str">
        <f aca="false">IF($C669="","",$H669-$I669)</f>
        <v/>
      </c>
      <c r="K669" s="35" t="str">
        <f aca="false">IF($C669="","",N($E669)*IFERROR(INDEX(PRODUCTOS!$H$6:$H$105,MATCH($C669,PRODUCTOS!$A$6:$A$105,0)),0))</f>
        <v/>
      </c>
      <c r="L669" s="35" t="str">
        <f aca="false">IF($C669="","",$J669-$K669)</f>
        <v/>
      </c>
      <c r="M669" s="6"/>
      <c r="N669" s="6"/>
      <c r="O669" s="46" t="str">
        <f aca="false">IF($A669="","",DATE(YEAR($A669),MONTH($A669),1))</f>
        <v/>
      </c>
    </row>
    <row r="670" customFormat="false" ht="15" hidden="false" customHeight="false" outlineLevel="0" collapsed="false">
      <c r="A670" s="44"/>
      <c r="B670" s="6"/>
      <c r="C670" s="6"/>
      <c r="D670" s="8" t="str">
        <f aca="false">IF($C670="","",IFERROR(INDEX(PRODUCTOS!$B$6:$B$105,MATCH($C670,PRODUCTOS!$A$6:$A$105,0)),"¿Código?"))</f>
        <v/>
      </c>
      <c r="E670" s="42"/>
      <c r="F670" s="35" t="str">
        <f aca="false">IF($C670="","",IFERROR(INDEX(PRODUCTOS!$D$6:$D$105,MATCH($C670,PRODUCTOS!$A$6:$A$105,0)),0))</f>
        <v/>
      </c>
      <c r="G670" s="40"/>
      <c r="H670" s="35" t="str">
        <f aca="false">IF($C670="","",N($E670)*$F670-N($G670))</f>
        <v/>
      </c>
      <c r="I670" s="35" t="str">
        <f aca="false">IF($C670="","",$H670-$H670/(1+IFERROR(INDEX(PRODUCTOS!$E$6:$E$105,MATCH($C670,PRODUCTOS!$A$6:$A$105,0)),IVA_VENTAS)))</f>
        <v/>
      </c>
      <c r="J670" s="35" t="str">
        <f aca="false">IF($C670="","",$H670-$I670)</f>
        <v/>
      </c>
      <c r="K670" s="35" t="str">
        <f aca="false">IF($C670="","",N($E670)*IFERROR(INDEX(PRODUCTOS!$H$6:$H$105,MATCH($C670,PRODUCTOS!$A$6:$A$105,0)),0))</f>
        <v/>
      </c>
      <c r="L670" s="35" t="str">
        <f aca="false">IF($C670="","",$J670-$K670)</f>
        <v/>
      </c>
      <c r="M670" s="6"/>
      <c r="N670" s="6"/>
      <c r="O670" s="46" t="str">
        <f aca="false">IF($A670="","",DATE(YEAR($A670),MONTH($A670),1))</f>
        <v/>
      </c>
    </row>
    <row r="671" customFormat="false" ht="15" hidden="false" customHeight="false" outlineLevel="0" collapsed="false">
      <c r="A671" s="44"/>
      <c r="B671" s="6"/>
      <c r="C671" s="6"/>
      <c r="D671" s="8" t="str">
        <f aca="false">IF($C671="","",IFERROR(INDEX(PRODUCTOS!$B$6:$B$105,MATCH($C671,PRODUCTOS!$A$6:$A$105,0)),"¿Código?"))</f>
        <v/>
      </c>
      <c r="E671" s="42"/>
      <c r="F671" s="35" t="str">
        <f aca="false">IF($C671="","",IFERROR(INDEX(PRODUCTOS!$D$6:$D$105,MATCH($C671,PRODUCTOS!$A$6:$A$105,0)),0))</f>
        <v/>
      </c>
      <c r="G671" s="40"/>
      <c r="H671" s="35" t="str">
        <f aca="false">IF($C671="","",N($E671)*$F671-N($G671))</f>
        <v/>
      </c>
      <c r="I671" s="35" t="str">
        <f aca="false">IF($C671="","",$H671-$H671/(1+IFERROR(INDEX(PRODUCTOS!$E$6:$E$105,MATCH($C671,PRODUCTOS!$A$6:$A$105,0)),IVA_VENTAS)))</f>
        <v/>
      </c>
      <c r="J671" s="35" t="str">
        <f aca="false">IF($C671="","",$H671-$I671)</f>
        <v/>
      </c>
      <c r="K671" s="35" t="str">
        <f aca="false">IF($C671="","",N($E671)*IFERROR(INDEX(PRODUCTOS!$H$6:$H$105,MATCH($C671,PRODUCTOS!$A$6:$A$105,0)),0))</f>
        <v/>
      </c>
      <c r="L671" s="35" t="str">
        <f aca="false">IF($C671="","",$J671-$K671)</f>
        <v/>
      </c>
      <c r="M671" s="6"/>
      <c r="N671" s="6"/>
      <c r="O671" s="46" t="str">
        <f aca="false">IF($A671="","",DATE(YEAR($A671),MONTH($A671),1))</f>
        <v/>
      </c>
    </row>
    <row r="672" customFormat="false" ht="15" hidden="false" customHeight="false" outlineLevel="0" collapsed="false">
      <c r="A672" s="44"/>
      <c r="B672" s="6"/>
      <c r="C672" s="6"/>
      <c r="D672" s="8" t="str">
        <f aca="false">IF($C672="","",IFERROR(INDEX(PRODUCTOS!$B$6:$B$105,MATCH($C672,PRODUCTOS!$A$6:$A$105,0)),"¿Código?"))</f>
        <v/>
      </c>
      <c r="E672" s="42"/>
      <c r="F672" s="35" t="str">
        <f aca="false">IF($C672="","",IFERROR(INDEX(PRODUCTOS!$D$6:$D$105,MATCH($C672,PRODUCTOS!$A$6:$A$105,0)),0))</f>
        <v/>
      </c>
      <c r="G672" s="40"/>
      <c r="H672" s="35" t="str">
        <f aca="false">IF($C672="","",N($E672)*$F672-N($G672))</f>
        <v/>
      </c>
      <c r="I672" s="35" t="str">
        <f aca="false">IF($C672="","",$H672-$H672/(1+IFERROR(INDEX(PRODUCTOS!$E$6:$E$105,MATCH($C672,PRODUCTOS!$A$6:$A$105,0)),IVA_VENTAS)))</f>
        <v/>
      </c>
      <c r="J672" s="35" t="str">
        <f aca="false">IF($C672="","",$H672-$I672)</f>
        <v/>
      </c>
      <c r="K672" s="35" t="str">
        <f aca="false">IF($C672="","",N($E672)*IFERROR(INDEX(PRODUCTOS!$H$6:$H$105,MATCH($C672,PRODUCTOS!$A$6:$A$105,0)),0))</f>
        <v/>
      </c>
      <c r="L672" s="35" t="str">
        <f aca="false">IF($C672="","",$J672-$K672)</f>
        <v/>
      </c>
      <c r="M672" s="6"/>
      <c r="N672" s="6"/>
      <c r="O672" s="46" t="str">
        <f aca="false">IF($A672="","",DATE(YEAR($A672),MONTH($A672),1))</f>
        <v/>
      </c>
    </row>
    <row r="673" customFormat="false" ht="15" hidden="false" customHeight="false" outlineLevel="0" collapsed="false">
      <c r="A673" s="44"/>
      <c r="B673" s="6"/>
      <c r="C673" s="6"/>
      <c r="D673" s="8" t="str">
        <f aca="false">IF($C673="","",IFERROR(INDEX(PRODUCTOS!$B$6:$B$105,MATCH($C673,PRODUCTOS!$A$6:$A$105,0)),"¿Código?"))</f>
        <v/>
      </c>
      <c r="E673" s="42"/>
      <c r="F673" s="35" t="str">
        <f aca="false">IF($C673="","",IFERROR(INDEX(PRODUCTOS!$D$6:$D$105,MATCH($C673,PRODUCTOS!$A$6:$A$105,0)),0))</f>
        <v/>
      </c>
      <c r="G673" s="40"/>
      <c r="H673" s="35" t="str">
        <f aca="false">IF($C673="","",N($E673)*$F673-N($G673))</f>
        <v/>
      </c>
      <c r="I673" s="35" t="str">
        <f aca="false">IF($C673="","",$H673-$H673/(1+IFERROR(INDEX(PRODUCTOS!$E$6:$E$105,MATCH($C673,PRODUCTOS!$A$6:$A$105,0)),IVA_VENTAS)))</f>
        <v/>
      </c>
      <c r="J673" s="35" t="str">
        <f aca="false">IF($C673="","",$H673-$I673)</f>
        <v/>
      </c>
      <c r="K673" s="35" t="str">
        <f aca="false">IF($C673="","",N($E673)*IFERROR(INDEX(PRODUCTOS!$H$6:$H$105,MATCH($C673,PRODUCTOS!$A$6:$A$105,0)),0))</f>
        <v/>
      </c>
      <c r="L673" s="35" t="str">
        <f aca="false">IF($C673="","",$J673-$K673)</f>
        <v/>
      </c>
      <c r="M673" s="6"/>
      <c r="N673" s="6"/>
      <c r="O673" s="46" t="str">
        <f aca="false">IF($A673="","",DATE(YEAR($A673),MONTH($A673),1))</f>
        <v/>
      </c>
    </row>
    <row r="674" customFormat="false" ht="15" hidden="false" customHeight="false" outlineLevel="0" collapsed="false">
      <c r="A674" s="44"/>
      <c r="B674" s="6"/>
      <c r="C674" s="6"/>
      <c r="D674" s="8" t="str">
        <f aca="false">IF($C674="","",IFERROR(INDEX(PRODUCTOS!$B$6:$B$105,MATCH($C674,PRODUCTOS!$A$6:$A$105,0)),"¿Código?"))</f>
        <v/>
      </c>
      <c r="E674" s="42"/>
      <c r="F674" s="35" t="str">
        <f aca="false">IF($C674="","",IFERROR(INDEX(PRODUCTOS!$D$6:$D$105,MATCH($C674,PRODUCTOS!$A$6:$A$105,0)),0))</f>
        <v/>
      </c>
      <c r="G674" s="40"/>
      <c r="H674" s="35" t="str">
        <f aca="false">IF($C674="","",N($E674)*$F674-N($G674))</f>
        <v/>
      </c>
      <c r="I674" s="35" t="str">
        <f aca="false">IF($C674="","",$H674-$H674/(1+IFERROR(INDEX(PRODUCTOS!$E$6:$E$105,MATCH($C674,PRODUCTOS!$A$6:$A$105,0)),IVA_VENTAS)))</f>
        <v/>
      </c>
      <c r="J674" s="35" t="str">
        <f aca="false">IF($C674="","",$H674-$I674)</f>
        <v/>
      </c>
      <c r="K674" s="35" t="str">
        <f aca="false">IF($C674="","",N($E674)*IFERROR(INDEX(PRODUCTOS!$H$6:$H$105,MATCH($C674,PRODUCTOS!$A$6:$A$105,0)),0))</f>
        <v/>
      </c>
      <c r="L674" s="35" t="str">
        <f aca="false">IF($C674="","",$J674-$K674)</f>
        <v/>
      </c>
      <c r="M674" s="6"/>
      <c r="N674" s="6"/>
      <c r="O674" s="46" t="str">
        <f aca="false">IF($A674="","",DATE(YEAR($A674),MONTH($A674),1))</f>
        <v/>
      </c>
    </row>
    <row r="675" customFormat="false" ht="15" hidden="false" customHeight="false" outlineLevel="0" collapsed="false">
      <c r="A675" s="44"/>
      <c r="B675" s="6"/>
      <c r="C675" s="6"/>
      <c r="D675" s="8" t="str">
        <f aca="false">IF($C675="","",IFERROR(INDEX(PRODUCTOS!$B$6:$B$105,MATCH($C675,PRODUCTOS!$A$6:$A$105,0)),"¿Código?"))</f>
        <v/>
      </c>
      <c r="E675" s="42"/>
      <c r="F675" s="35" t="str">
        <f aca="false">IF($C675="","",IFERROR(INDEX(PRODUCTOS!$D$6:$D$105,MATCH($C675,PRODUCTOS!$A$6:$A$105,0)),0))</f>
        <v/>
      </c>
      <c r="G675" s="40"/>
      <c r="H675" s="35" t="str">
        <f aca="false">IF($C675="","",N($E675)*$F675-N($G675))</f>
        <v/>
      </c>
      <c r="I675" s="35" t="str">
        <f aca="false">IF($C675="","",$H675-$H675/(1+IFERROR(INDEX(PRODUCTOS!$E$6:$E$105,MATCH($C675,PRODUCTOS!$A$6:$A$105,0)),IVA_VENTAS)))</f>
        <v/>
      </c>
      <c r="J675" s="35" t="str">
        <f aca="false">IF($C675="","",$H675-$I675)</f>
        <v/>
      </c>
      <c r="K675" s="35" t="str">
        <f aca="false">IF($C675="","",N($E675)*IFERROR(INDEX(PRODUCTOS!$H$6:$H$105,MATCH($C675,PRODUCTOS!$A$6:$A$105,0)),0))</f>
        <v/>
      </c>
      <c r="L675" s="35" t="str">
        <f aca="false">IF($C675="","",$J675-$K675)</f>
        <v/>
      </c>
      <c r="M675" s="6"/>
      <c r="N675" s="6"/>
      <c r="O675" s="46" t="str">
        <f aca="false">IF($A675="","",DATE(YEAR($A675),MONTH($A675),1))</f>
        <v/>
      </c>
    </row>
    <row r="676" customFormat="false" ht="15" hidden="false" customHeight="false" outlineLevel="0" collapsed="false">
      <c r="A676" s="44"/>
      <c r="B676" s="6"/>
      <c r="C676" s="6"/>
      <c r="D676" s="8" t="str">
        <f aca="false">IF($C676="","",IFERROR(INDEX(PRODUCTOS!$B$6:$B$105,MATCH($C676,PRODUCTOS!$A$6:$A$105,0)),"¿Código?"))</f>
        <v/>
      </c>
      <c r="E676" s="42"/>
      <c r="F676" s="35" t="str">
        <f aca="false">IF($C676="","",IFERROR(INDEX(PRODUCTOS!$D$6:$D$105,MATCH($C676,PRODUCTOS!$A$6:$A$105,0)),0))</f>
        <v/>
      </c>
      <c r="G676" s="40"/>
      <c r="H676" s="35" t="str">
        <f aca="false">IF($C676="","",N($E676)*$F676-N($G676))</f>
        <v/>
      </c>
      <c r="I676" s="35" t="str">
        <f aca="false">IF($C676="","",$H676-$H676/(1+IFERROR(INDEX(PRODUCTOS!$E$6:$E$105,MATCH($C676,PRODUCTOS!$A$6:$A$105,0)),IVA_VENTAS)))</f>
        <v/>
      </c>
      <c r="J676" s="35" t="str">
        <f aca="false">IF($C676="","",$H676-$I676)</f>
        <v/>
      </c>
      <c r="K676" s="35" t="str">
        <f aca="false">IF($C676="","",N($E676)*IFERROR(INDEX(PRODUCTOS!$H$6:$H$105,MATCH($C676,PRODUCTOS!$A$6:$A$105,0)),0))</f>
        <v/>
      </c>
      <c r="L676" s="35" t="str">
        <f aca="false">IF($C676="","",$J676-$K676)</f>
        <v/>
      </c>
      <c r="M676" s="6"/>
      <c r="N676" s="6"/>
      <c r="O676" s="46" t="str">
        <f aca="false">IF($A676="","",DATE(YEAR($A676),MONTH($A676),1))</f>
        <v/>
      </c>
    </row>
    <row r="677" customFormat="false" ht="15" hidden="false" customHeight="false" outlineLevel="0" collapsed="false">
      <c r="A677" s="44"/>
      <c r="B677" s="6"/>
      <c r="C677" s="6"/>
      <c r="D677" s="8" t="str">
        <f aca="false">IF($C677="","",IFERROR(INDEX(PRODUCTOS!$B$6:$B$105,MATCH($C677,PRODUCTOS!$A$6:$A$105,0)),"¿Código?"))</f>
        <v/>
      </c>
      <c r="E677" s="42"/>
      <c r="F677" s="35" t="str">
        <f aca="false">IF($C677="","",IFERROR(INDEX(PRODUCTOS!$D$6:$D$105,MATCH($C677,PRODUCTOS!$A$6:$A$105,0)),0))</f>
        <v/>
      </c>
      <c r="G677" s="40"/>
      <c r="H677" s="35" t="str">
        <f aca="false">IF($C677="","",N($E677)*$F677-N($G677))</f>
        <v/>
      </c>
      <c r="I677" s="35" t="str">
        <f aca="false">IF($C677="","",$H677-$H677/(1+IFERROR(INDEX(PRODUCTOS!$E$6:$E$105,MATCH($C677,PRODUCTOS!$A$6:$A$105,0)),IVA_VENTAS)))</f>
        <v/>
      </c>
      <c r="J677" s="35" t="str">
        <f aca="false">IF($C677="","",$H677-$I677)</f>
        <v/>
      </c>
      <c r="K677" s="35" t="str">
        <f aca="false">IF($C677="","",N($E677)*IFERROR(INDEX(PRODUCTOS!$H$6:$H$105,MATCH($C677,PRODUCTOS!$A$6:$A$105,0)),0))</f>
        <v/>
      </c>
      <c r="L677" s="35" t="str">
        <f aca="false">IF($C677="","",$J677-$K677)</f>
        <v/>
      </c>
      <c r="M677" s="6"/>
      <c r="N677" s="6"/>
      <c r="O677" s="46" t="str">
        <f aca="false">IF($A677="","",DATE(YEAR($A677),MONTH($A677),1))</f>
        <v/>
      </c>
    </row>
    <row r="678" customFormat="false" ht="15" hidden="false" customHeight="false" outlineLevel="0" collapsed="false">
      <c r="A678" s="44"/>
      <c r="B678" s="6"/>
      <c r="C678" s="6"/>
      <c r="D678" s="8" t="str">
        <f aca="false">IF($C678="","",IFERROR(INDEX(PRODUCTOS!$B$6:$B$105,MATCH($C678,PRODUCTOS!$A$6:$A$105,0)),"¿Código?"))</f>
        <v/>
      </c>
      <c r="E678" s="42"/>
      <c r="F678" s="35" t="str">
        <f aca="false">IF($C678="","",IFERROR(INDEX(PRODUCTOS!$D$6:$D$105,MATCH($C678,PRODUCTOS!$A$6:$A$105,0)),0))</f>
        <v/>
      </c>
      <c r="G678" s="40"/>
      <c r="H678" s="35" t="str">
        <f aca="false">IF($C678="","",N($E678)*$F678-N($G678))</f>
        <v/>
      </c>
      <c r="I678" s="35" t="str">
        <f aca="false">IF($C678="","",$H678-$H678/(1+IFERROR(INDEX(PRODUCTOS!$E$6:$E$105,MATCH($C678,PRODUCTOS!$A$6:$A$105,0)),IVA_VENTAS)))</f>
        <v/>
      </c>
      <c r="J678" s="35" t="str">
        <f aca="false">IF($C678="","",$H678-$I678)</f>
        <v/>
      </c>
      <c r="K678" s="35" t="str">
        <f aca="false">IF($C678="","",N($E678)*IFERROR(INDEX(PRODUCTOS!$H$6:$H$105,MATCH($C678,PRODUCTOS!$A$6:$A$105,0)),0))</f>
        <v/>
      </c>
      <c r="L678" s="35" t="str">
        <f aca="false">IF($C678="","",$J678-$K678)</f>
        <v/>
      </c>
      <c r="M678" s="6"/>
      <c r="N678" s="6"/>
      <c r="O678" s="46" t="str">
        <f aca="false">IF($A678="","",DATE(YEAR($A678),MONTH($A678),1))</f>
        <v/>
      </c>
    </row>
    <row r="679" customFormat="false" ht="15" hidden="false" customHeight="false" outlineLevel="0" collapsed="false">
      <c r="A679" s="44"/>
      <c r="B679" s="6"/>
      <c r="C679" s="6"/>
      <c r="D679" s="8" t="str">
        <f aca="false">IF($C679="","",IFERROR(INDEX(PRODUCTOS!$B$6:$B$105,MATCH($C679,PRODUCTOS!$A$6:$A$105,0)),"¿Código?"))</f>
        <v/>
      </c>
      <c r="E679" s="42"/>
      <c r="F679" s="35" t="str">
        <f aca="false">IF($C679="","",IFERROR(INDEX(PRODUCTOS!$D$6:$D$105,MATCH($C679,PRODUCTOS!$A$6:$A$105,0)),0))</f>
        <v/>
      </c>
      <c r="G679" s="40"/>
      <c r="H679" s="35" t="str">
        <f aca="false">IF($C679="","",N($E679)*$F679-N($G679))</f>
        <v/>
      </c>
      <c r="I679" s="35" t="str">
        <f aca="false">IF($C679="","",$H679-$H679/(1+IFERROR(INDEX(PRODUCTOS!$E$6:$E$105,MATCH($C679,PRODUCTOS!$A$6:$A$105,0)),IVA_VENTAS)))</f>
        <v/>
      </c>
      <c r="J679" s="35" t="str">
        <f aca="false">IF($C679="","",$H679-$I679)</f>
        <v/>
      </c>
      <c r="K679" s="35" t="str">
        <f aca="false">IF($C679="","",N($E679)*IFERROR(INDEX(PRODUCTOS!$H$6:$H$105,MATCH($C679,PRODUCTOS!$A$6:$A$105,0)),0))</f>
        <v/>
      </c>
      <c r="L679" s="35" t="str">
        <f aca="false">IF($C679="","",$J679-$K679)</f>
        <v/>
      </c>
      <c r="M679" s="6"/>
      <c r="N679" s="6"/>
      <c r="O679" s="46" t="str">
        <f aca="false">IF($A679="","",DATE(YEAR($A679),MONTH($A679),1))</f>
        <v/>
      </c>
    </row>
    <row r="680" customFormat="false" ht="15" hidden="false" customHeight="false" outlineLevel="0" collapsed="false">
      <c r="A680" s="44"/>
      <c r="B680" s="6"/>
      <c r="C680" s="6"/>
      <c r="D680" s="8" t="str">
        <f aca="false">IF($C680="","",IFERROR(INDEX(PRODUCTOS!$B$6:$B$105,MATCH($C680,PRODUCTOS!$A$6:$A$105,0)),"¿Código?"))</f>
        <v/>
      </c>
      <c r="E680" s="42"/>
      <c r="F680" s="35" t="str">
        <f aca="false">IF($C680="","",IFERROR(INDEX(PRODUCTOS!$D$6:$D$105,MATCH($C680,PRODUCTOS!$A$6:$A$105,0)),0))</f>
        <v/>
      </c>
      <c r="G680" s="40"/>
      <c r="H680" s="35" t="str">
        <f aca="false">IF($C680="","",N($E680)*$F680-N($G680))</f>
        <v/>
      </c>
      <c r="I680" s="35" t="str">
        <f aca="false">IF($C680="","",$H680-$H680/(1+IFERROR(INDEX(PRODUCTOS!$E$6:$E$105,MATCH($C680,PRODUCTOS!$A$6:$A$105,0)),IVA_VENTAS)))</f>
        <v/>
      </c>
      <c r="J680" s="35" t="str">
        <f aca="false">IF($C680="","",$H680-$I680)</f>
        <v/>
      </c>
      <c r="K680" s="35" t="str">
        <f aca="false">IF($C680="","",N($E680)*IFERROR(INDEX(PRODUCTOS!$H$6:$H$105,MATCH($C680,PRODUCTOS!$A$6:$A$105,0)),0))</f>
        <v/>
      </c>
      <c r="L680" s="35" t="str">
        <f aca="false">IF($C680="","",$J680-$K680)</f>
        <v/>
      </c>
      <c r="M680" s="6"/>
      <c r="N680" s="6"/>
      <c r="O680" s="46" t="str">
        <f aca="false">IF($A680="","",DATE(YEAR($A680),MONTH($A680),1))</f>
        <v/>
      </c>
    </row>
    <row r="681" customFormat="false" ht="15" hidden="false" customHeight="false" outlineLevel="0" collapsed="false">
      <c r="A681" s="44"/>
      <c r="B681" s="6"/>
      <c r="C681" s="6"/>
      <c r="D681" s="8" t="str">
        <f aca="false">IF($C681="","",IFERROR(INDEX(PRODUCTOS!$B$6:$B$105,MATCH($C681,PRODUCTOS!$A$6:$A$105,0)),"¿Código?"))</f>
        <v/>
      </c>
      <c r="E681" s="42"/>
      <c r="F681" s="35" t="str">
        <f aca="false">IF($C681="","",IFERROR(INDEX(PRODUCTOS!$D$6:$D$105,MATCH($C681,PRODUCTOS!$A$6:$A$105,0)),0))</f>
        <v/>
      </c>
      <c r="G681" s="40"/>
      <c r="H681" s="35" t="str">
        <f aca="false">IF($C681="","",N($E681)*$F681-N($G681))</f>
        <v/>
      </c>
      <c r="I681" s="35" t="str">
        <f aca="false">IF($C681="","",$H681-$H681/(1+IFERROR(INDEX(PRODUCTOS!$E$6:$E$105,MATCH($C681,PRODUCTOS!$A$6:$A$105,0)),IVA_VENTAS)))</f>
        <v/>
      </c>
      <c r="J681" s="35" t="str">
        <f aca="false">IF($C681="","",$H681-$I681)</f>
        <v/>
      </c>
      <c r="K681" s="35" t="str">
        <f aca="false">IF($C681="","",N($E681)*IFERROR(INDEX(PRODUCTOS!$H$6:$H$105,MATCH($C681,PRODUCTOS!$A$6:$A$105,0)),0))</f>
        <v/>
      </c>
      <c r="L681" s="35" t="str">
        <f aca="false">IF($C681="","",$J681-$K681)</f>
        <v/>
      </c>
      <c r="M681" s="6"/>
      <c r="N681" s="6"/>
      <c r="O681" s="46" t="str">
        <f aca="false">IF($A681="","",DATE(YEAR($A681),MONTH($A681),1))</f>
        <v/>
      </c>
    </row>
    <row r="682" customFormat="false" ht="15" hidden="false" customHeight="false" outlineLevel="0" collapsed="false">
      <c r="A682" s="44"/>
      <c r="B682" s="6"/>
      <c r="C682" s="6"/>
      <c r="D682" s="8" t="str">
        <f aca="false">IF($C682="","",IFERROR(INDEX(PRODUCTOS!$B$6:$B$105,MATCH($C682,PRODUCTOS!$A$6:$A$105,0)),"¿Código?"))</f>
        <v/>
      </c>
      <c r="E682" s="42"/>
      <c r="F682" s="35" t="str">
        <f aca="false">IF($C682="","",IFERROR(INDEX(PRODUCTOS!$D$6:$D$105,MATCH($C682,PRODUCTOS!$A$6:$A$105,0)),0))</f>
        <v/>
      </c>
      <c r="G682" s="40"/>
      <c r="H682" s="35" t="str">
        <f aca="false">IF($C682="","",N($E682)*$F682-N($G682))</f>
        <v/>
      </c>
      <c r="I682" s="35" t="str">
        <f aca="false">IF($C682="","",$H682-$H682/(1+IFERROR(INDEX(PRODUCTOS!$E$6:$E$105,MATCH($C682,PRODUCTOS!$A$6:$A$105,0)),IVA_VENTAS)))</f>
        <v/>
      </c>
      <c r="J682" s="35" t="str">
        <f aca="false">IF($C682="","",$H682-$I682)</f>
        <v/>
      </c>
      <c r="K682" s="35" t="str">
        <f aca="false">IF($C682="","",N($E682)*IFERROR(INDEX(PRODUCTOS!$H$6:$H$105,MATCH($C682,PRODUCTOS!$A$6:$A$105,0)),0))</f>
        <v/>
      </c>
      <c r="L682" s="35" t="str">
        <f aca="false">IF($C682="","",$J682-$K682)</f>
        <v/>
      </c>
      <c r="M682" s="6"/>
      <c r="N682" s="6"/>
      <c r="O682" s="46" t="str">
        <f aca="false">IF($A682="","",DATE(YEAR($A682),MONTH($A682),1))</f>
        <v/>
      </c>
    </row>
    <row r="683" customFormat="false" ht="15" hidden="false" customHeight="false" outlineLevel="0" collapsed="false">
      <c r="A683" s="44"/>
      <c r="B683" s="6"/>
      <c r="C683" s="6"/>
      <c r="D683" s="8" t="str">
        <f aca="false">IF($C683="","",IFERROR(INDEX(PRODUCTOS!$B$6:$B$105,MATCH($C683,PRODUCTOS!$A$6:$A$105,0)),"¿Código?"))</f>
        <v/>
      </c>
      <c r="E683" s="42"/>
      <c r="F683" s="35" t="str">
        <f aca="false">IF($C683="","",IFERROR(INDEX(PRODUCTOS!$D$6:$D$105,MATCH($C683,PRODUCTOS!$A$6:$A$105,0)),0))</f>
        <v/>
      </c>
      <c r="G683" s="40"/>
      <c r="H683" s="35" t="str">
        <f aca="false">IF($C683="","",N($E683)*$F683-N($G683))</f>
        <v/>
      </c>
      <c r="I683" s="35" t="str">
        <f aca="false">IF($C683="","",$H683-$H683/(1+IFERROR(INDEX(PRODUCTOS!$E$6:$E$105,MATCH($C683,PRODUCTOS!$A$6:$A$105,0)),IVA_VENTAS)))</f>
        <v/>
      </c>
      <c r="J683" s="35" t="str">
        <f aca="false">IF($C683="","",$H683-$I683)</f>
        <v/>
      </c>
      <c r="K683" s="35" t="str">
        <f aca="false">IF($C683="","",N($E683)*IFERROR(INDEX(PRODUCTOS!$H$6:$H$105,MATCH($C683,PRODUCTOS!$A$6:$A$105,0)),0))</f>
        <v/>
      </c>
      <c r="L683" s="35" t="str">
        <f aca="false">IF($C683="","",$J683-$K683)</f>
        <v/>
      </c>
      <c r="M683" s="6"/>
      <c r="N683" s="6"/>
      <c r="O683" s="46" t="str">
        <f aca="false">IF($A683="","",DATE(YEAR($A683),MONTH($A683),1))</f>
        <v/>
      </c>
    </row>
    <row r="684" customFormat="false" ht="15" hidden="false" customHeight="false" outlineLevel="0" collapsed="false">
      <c r="A684" s="44"/>
      <c r="B684" s="6"/>
      <c r="C684" s="6"/>
      <c r="D684" s="8" t="str">
        <f aca="false">IF($C684="","",IFERROR(INDEX(PRODUCTOS!$B$6:$B$105,MATCH($C684,PRODUCTOS!$A$6:$A$105,0)),"¿Código?"))</f>
        <v/>
      </c>
      <c r="E684" s="42"/>
      <c r="F684" s="35" t="str">
        <f aca="false">IF($C684="","",IFERROR(INDEX(PRODUCTOS!$D$6:$D$105,MATCH($C684,PRODUCTOS!$A$6:$A$105,0)),0))</f>
        <v/>
      </c>
      <c r="G684" s="40"/>
      <c r="H684" s="35" t="str">
        <f aca="false">IF($C684="","",N($E684)*$F684-N($G684))</f>
        <v/>
      </c>
      <c r="I684" s="35" t="str">
        <f aca="false">IF($C684="","",$H684-$H684/(1+IFERROR(INDEX(PRODUCTOS!$E$6:$E$105,MATCH($C684,PRODUCTOS!$A$6:$A$105,0)),IVA_VENTAS)))</f>
        <v/>
      </c>
      <c r="J684" s="35" t="str">
        <f aca="false">IF($C684="","",$H684-$I684)</f>
        <v/>
      </c>
      <c r="K684" s="35" t="str">
        <f aca="false">IF($C684="","",N($E684)*IFERROR(INDEX(PRODUCTOS!$H$6:$H$105,MATCH($C684,PRODUCTOS!$A$6:$A$105,0)),0))</f>
        <v/>
      </c>
      <c r="L684" s="35" t="str">
        <f aca="false">IF($C684="","",$J684-$K684)</f>
        <v/>
      </c>
      <c r="M684" s="6"/>
      <c r="N684" s="6"/>
      <c r="O684" s="46" t="str">
        <f aca="false">IF($A684="","",DATE(YEAR($A684),MONTH($A684),1))</f>
        <v/>
      </c>
    </row>
    <row r="685" customFormat="false" ht="15" hidden="false" customHeight="false" outlineLevel="0" collapsed="false">
      <c r="A685" s="44"/>
      <c r="B685" s="6"/>
      <c r="C685" s="6"/>
      <c r="D685" s="8" t="str">
        <f aca="false">IF($C685="","",IFERROR(INDEX(PRODUCTOS!$B$6:$B$105,MATCH($C685,PRODUCTOS!$A$6:$A$105,0)),"¿Código?"))</f>
        <v/>
      </c>
      <c r="E685" s="42"/>
      <c r="F685" s="35" t="str">
        <f aca="false">IF($C685="","",IFERROR(INDEX(PRODUCTOS!$D$6:$D$105,MATCH($C685,PRODUCTOS!$A$6:$A$105,0)),0))</f>
        <v/>
      </c>
      <c r="G685" s="40"/>
      <c r="H685" s="35" t="str">
        <f aca="false">IF($C685="","",N($E685)*$F685-N($G685))</f>
        <v/>
      </c>
      <c r="I685" s="35" t="str">
        <f aca="false">IF($C685="","",$H685-$H685/(1+IFERROR(INDEX(PRODUCTOS!$E$6:$E$105,MATCH($C685,PRODUCTOS!$A$6:$A$105,0)),IVA_VENTAS)))</f>
        <v/>
      </c>
      <c r="J685" s="35" t="str">
        <f aca="false">IF($C685="","",$H685-$I685)</f>
        <v/>
      </c>
      <c r="K685" s="35" t="str">
        <f aca="false">IF($C685="","",N($E685)*IFERROR(INDEX(PRODUCTOS!$H$6:$H$105,MATCH($C685,PRODUCTOS!$A$6:$A$105,0)),0))</f>
        <v/>
      </c>
      <c r="L685" s="35" t="str">
        <f aca="false">IF($C685="","",$J685-$K685)</f>
        <v/>
      </c>
      <c r="M685" s="6"/>
      <c r="N685" s="6"/>
      <c r="O685" s="46" t="str">
        <f aca="false">IF($A685="","",DATE(YEAR($A685),MONTH($A685),1))</f>
        <v/>
      </c>
    </row>
    <row r="686" customFormat="false" ht="15" hidden="false" customHeight="false" outlineLevel="0" collapsed="false">
      <c r="A686" s="44"/>
      <c r="B686" s="6"/>
      <c r="C686" s="6"/>
      <c r="D686" s="8" t="str">
        <f aca="false">IF($C686="","",IFERROR(INDEX(PRODUCTOS!$B$6:$B$105,MATCH($C686,PRODUCTOS!$A$6:$A$105,0)),"¿Código?"))</f>
        <v/>
      </c>
      <c r="E686" s="42"/>
      <c r="F686" s="35" t="str">
        <f aca="false">IF($C686="","",IFERROR(INDEX(PRODUCTOS!$D$6:$D$105,MATCH($C686,PRODUCTOS!$A$6:$A$105,0)),0))</f>
        <v/>
      </c>
      <c r="G686" s="40"/>
      <c r="H686" s="35" t="str">
        <f aca="false">IF($C686="","",N($E686)*$F686-N($G686))</f>
        <v/>
      </c>
      <c r="I686" s="35" t="str">
        <f aca="false">IF($C686="","",$H686-$H686/(1+IFERROR(INDEX(PRODUCTOS!$E$6:$E$105,MATCH($C686,PRODUCTOS!$A$6:$A$105,0)),IVA_VENTAS)))</f>
        <v/>
      </c>
      <c r="J686" s="35" t="str">
        <f aca="false">IF($C686="","",$H686-$I686)</f>
        <v/>
      </c>
      <c r="K686" s="35" t="str">
        <f aca="false">IF($C686="","",N($E686)*IFERROR(INDEX(PRODUCTOS!$H$6:$H$105,MATCH($C686,PRODUCTOS!$A$6:$A$105,0)),0))</f>
        <v/>
      </c>
      <c r="L686" s="35" t="str">
        <f aca="false">IF($C686="","",$J686-$K686)</f>
        <v/>
      </c>
      <c r="M686" s="6"/>
      <c r="N686" s="6"/>
      <c r="O686" s="46" t="str">
        <f aca="false">IF($A686="","",DATE(YEAR($A686),MONTH($A686),1))</f>
        <v/>
      </c>
    </row>
    <row r="687" customFormat="false" ht="15" hidden="false" customHeight="false" outlineLevel="0" collapsed="false">
      <c r="A687" s="44"/>
      <c r="B687" s="6"/>
      <c r="C687" s="6"/>
      <c r="D687" s="8" t="str">
        <f aca="false">IF($C687="","",IFERROR(INDEX(PRODUCTOS!$B$6:$B$105,MATCH($C687,PRODUCTOS!$A$6:$A$105,0)),"¿Código?"))</f>
        <v/>
      </c>
      <c r="E687" s="42"/>
      <c r="F687" s="35" t="str">
        <f aca="false">IF($C687="","",IFERROR(INDEX(PRODUCTOS!$D$6:$D$105,MATCH($C687,PRODUCTOS!$A$6:$A$105,0)),0))</f>
        <v/>
      </c>
      <c r="G687" s="40"/>
      <c r="H687" s="35" t="str">
        <f aca="false">IF($C687="","",N($E687)*$F687-N($G687))</f>
        <v/>
      </c>
      <c r="I687" s="35" t="str">
        <f aca="false">IF($C687="","",$H687-$H687/(1+IFERROR(INDEX(PRODUCTOS!$E$6:$E$105,MATCH($C687,PRODUCTOS!$A$6:$A$105,0)),IVA_VENTAS)))</f>
        <v/>
      </c>
      <c r="J687" s="35" t="str">
        <f aca="false">IF($C687="","",$H687-$I687)</f>
        <v/>
      </c>
      <c r="K687" s="35" t="str">
        <f aca="false">IF($C687="","",N($E687)*IFERROR(INDEX(PRODUCTOS!$H$6:$H$105,MATCH($C687,PRODUCTOS!$A$6:$A$105,0)),0))</f>
        <v/>
      </c>
      <c r="L687" s="35" t="str">
        <f aca="false">IF($C687="","",$J687-$K687)</f>
        <v/>
      </c>
      <c r="M687" s="6"/>
      <c r="N687" s="6"/>
      <c r="O687" s="46" t="str">
        <f aca="false">IF($A687="","",DATE(YEAR($A687),MONTH($A687),1))</f>
        <v/>
      </c>
    </row>
    <row r="688" customFormat="false" ht="15" hidden="false" customHeight="false" outlineLevel="0" collapsed="false">
      <c r="A688" s="44"/>
      <c r="B688" s="6"/>
      <c r="C688" s="6"/>
      <c r="D688" s="8" t="str">
        <f aca="false">IF($C688="","",IFERROR(INDEX(PRODUCTOS!$B$6:$B$105,MATCH($C688,PRODUCTOS!$A$6:$A$105,0)),"¿Código?"))</f>
        <v/>
      </c>
      <c r="E688" s="42"/>
      <c r="F688" s="35" t="str">
        <f aca="false">IF($C688="","",IFERROR(INDEX(PRODUCTOS!$D$6:$D$105,MATCH($C688,PRODUCTOS!$A$6:$A$105,0)),0))</f>
        <v/>
      </c>
      <c r="G688" s="40"/>
      <c r="H688" s="35" t="str">
        <f aca="false">IF($C688="","",N($E688)*$F688-N($G688))</f>
        <v/>
      </c>
      <c r="I688" s="35" t="str">
        <f aca="false">IF($C688="","",$H688-$H688/(1+IFERROR(INDEX(PRODUCTOS!$E$6:$E$105,MATCH($C688,PRODUCTOS!$A$6:$A$105,0)),IVA_VENTAS)))</f>
        <v/>
      </c>
      <c r="J688" s="35" t="str">
        <f aca="false">IF($C688="","",$H688-$I688)</f>
        <v/>
      </c>
      <c r="K688" s="35" t="str">
        <f aca="false">IF($C688="","",N($E688)*IFERROR(INDEX(PRODUCTOS!$H$6:$H$105,MATCH($C688,PRODUCTOS!$A$6:$A$105,0)),0))</f>
        <v/>
      </c>
      <c r="L688" s="35" t="str">
        <f aca="false">IF($C688="","",$J688-$K688)</f>
        <v/>
      </c>
      <c r="M688" s="6"/>
      <c r="N688" s="6"/>
      <c r="O688" s="46" t="str">
        <f aca="false">IF($A688="","",DATE(YEAR($A688),MONTH($A688),1))</f>
        <v/>
      </c>
    </row>
    <row r="689" customFormat="false" ht="15" hidden="false" customHeight="false" outlineLevel="0" collapsed="false">
      <c r="A689" s="44"/>
      <c r="B689" s="6"/>
      <c r="C689" s="6"/>
      <c r="D689" s="8" t="str">
        <f aca="false">IF($C689="","",IFERROR(INDEX(PRODUCTOS!$B$6:$B$105,MATCH($C689,PRODUCTOS!$A$6:$A$105,0)),"¿Código?"))</f>
        <v/>
      </c>
      <c r="E689" s="42"/>
      <c r="F689" s="35" t="str">
        <f aca="false">IF($C689="","",IFERROR(INDEX(PRODUCTOS!$D$6:$D$105,MATCH($C689,PRODUCTOS!$A$6:$A$105,0)),0))</f>
        <v/>
      </c>
      <c r="G689" s="40"/>
      <c r="H689" s="35" t="str">
        <f aca="false">IF($C689="","",N($E689)*$F689-N($G689))</f>
        <v/>
      </c>
      <c r="I689" s="35" t="str">
        <f aca="false">IF($C689="","",$H689-$H689/(1+IFERROR(INDEX(PRODUCTOS!$E$6:$E$105,MATCH($C689,PRODUCTOS!$A$6:$A$105,0)),IVA_VENTAS)))</f>
        <v/>
      </c>
      <c r="J689" s="35" t="str">
        <f aca="false">IF($C689="","",$H689-$I689)</f>
        <v/>
      </c>
      <c r="K689" s="35" t="str">
        <f aca="false">IF($C689="","",N($E689)*IFERROR(INDEX(PRODUCTOS!$H$6:$H$105,MATCH($C689,PRODUCTOS!$A$6:$A$105,0)),0))</f>
        <v/>
      </c>
      <c r="L689" s="35" t="str">
        <f aca="false">IF($C689="","",$J689-$K689)</f>
        <v/>
      </c>
      <c r="M689" s="6"/>
      <c r="N689" s="6"/>
      <c r="O689" s="46" t="str">
        <f aca="false">IF($A689="","",DATE(YEAR($A689),MONTH($A689),1))</f>
        <v/>
      </c>
    </row>
    <row r="690" customFormat="false" ht="15" hidden="false" customHeight="false" outlineLevel="0" collapsed="false">
      <c r="A690" s="44"/>
      <c r="B690" s="6"/>
      <c r="C690" s="6"/>
      <c r="D690" s="8" t="str">
        <f aca="false">IF($C690="","",IFERROR(INDEX(PRODUCTOS!$B$6:$B$105,MATCH($C690,PRODUCTOS!$A$6:$A$105,0)),"¿Código?"))</f>
        <v/>
      </c>
      <c r="E690" s="42"/>
      <c r="F690" s="35" t="str">
        <f aca="false">IF($C690="","",IFERROR(INDEX(PRODUCTOS!$D$6:$D$105,MATCH($C690,PRODUCTOS!$A$6:$A$105,0)),0))</f>
        <v/>
      </c>
      <c r="G690" s="40"/>
      <c r="H690" s="35" t="str">
        <f aca="false">IF($C690="","",N($E690)*$F690-N($G690))</f>
        <v/>
      </c>
      <c r="I690" s="35" t="str">
        <f aca="false">IF($C690="","",$H690-$H690/(1+IFERROR(INDEX(PRODUCTOS!$E$6:$E$105,MATCH($C690,PRODUCTOS!$A$6:$A$105,0)),IVA_VENTAS)))</f>
        <v/>
      </c>
      <c r="J690" s="35" t="str">
        <f aca="false">IF($C690="","",$H690-$I690)</f>
        <v/>
      </c>
      <c r="K690" s="35" t="str">
        <f aca="false">IF($C690="","",N($E690)*IFERROR(INDEX(PRODUCTOS!$H$6:$H$105,MATCH($C690,PRODUCTOS!$A$6:$A$105,0)),0))</f>
        <v/>
      </c>
      <c r="L690" s="35" t="str">
        <f aca="false">IF($C690="","",$J690-$K690)</f>
        <v/>
      </c>
      <c r="M690" s="6"/>
      <c r="N690" s="6"/>
      <c r="O690" s="46" t="str">
        <f aca="false">IF($A690="","",DATE(YEAR($A690),MONTH($A690),1))</f>
        <v/>
      </c>
    </row>
    <row r="691" customFormat="false" ht="15" hidden="false" customHeight="false" outlineLevel="0" collapsed="false">
      <c r="A691" s="44"/>
      <c r="B691" s="6"/>
      <c r="C691" s="6"/>
      <c r="D691" s="8" t="str">
        <f aca="false">IF($C691="","",IFERROR(INDEX(PRODUCTOS!$B$6:$B$105,MATCH($C691,PRODUCTOS!$A$6:$A$105,0)),"¿Código?"))</f>
        <v/>
      </c>
      <c r="E691" s="42"/>
      <c r="F691" s="35" t="str">
        <f aca="false">IF($C691="","",IFERROR(INDEX(PRODUCTOS!$D$6:$D$105,MATCH($C691,PRODUCTOS!$A$6:$A$105,0)),0))</f>
        <v/>
      </c>
      <c r="G691" s="40"/>
      <c r="H691" s="35" t="str">
        <f aca="false">IF($C691="","",N($E691)*$F691-N($G691))</f>
        <v/>
      </c>
      <c r="I691" s="35" t="str">
        <f aca="false">IF($C691="","",$H691-$H691/(1+IFERROR(INDEX(PRODUCTOS!$E$6:$E$105,MATCH($C691,PRODUCTOS!$A$6:$A$105,0)),IVA_VENTAS)))</f>
        <v/>
      </c>
      <c r="J691" s="35" t="str">
        <f aca="false">IF($C691="","",$H691-$I691)</f>
        <v/>
      </c>
      <c r="K691" s="35" t="str">
        <f aca="false">IF($C691="","",N($E691)*IFERROR(INDEX(PRODUCTOS!$H$6:$H$105,MATCH($C691,PRODUCTOS!$A$6:$A$105,0)),0))</f>
        <v/>
      </c>
      <c r="L691" s="35" t="str">
        <f aca="false">IF($C691="","",$J691-$K691)</f>
        <v/>
      </c>
      <c r="M691" s="6"/>
      <c r="N691" s="6"/>
      <c r="O691" s="46" t="str">
        <f aca="false">IF($A691="","",DATE(YEAR($A691),MONTH($A691),1))</f>
        <v/>
      </c>
    </row>
    <row r="692" customFormat="false" ht="15" hidden="false" customHeight="false" outlineLevel="0" collapsed="false">
      <c r="A692" s="44"/>
      <c r="B692" s="6"/>
      <c r="C692" s="6"/>
      <c r="D692" s="8" t="str">
        <f aca="false">IF($C692="","",IFERROR(INDEX(PRODUCTOS!$B$6:$B$105,MATCH($C692,PRODUCTOS!$A$6:$A$105,0)),"¿Código?"))</f>
        <v/>
      </c>
      <c r="E692" s="42"/>
      <c r="F692" s="35" t="str">
        <f aca="false">IF($C692="","",IFERROR(INDEX(PRODUCTOS!$D$6:$D$105,MATCH($C692,PRODUCTOS!$A$6:$A$105,0)),0))</f>
        <v/>
      </c>
      <c r="G692" s="40"/>
      <c r="H692" s="35" t="str">
        <f aca="false">IF($C692="","",N($E692)*$F692-N($G692))</f>
        <v/>
      </c>
      <c r="I692" s="35" t="str">
        <f aca="false">IF($C692="","",$H692-$H692/(1+IFERROR(INDEX(PRODUCTOS!$E$6:$E$105,MATCH($C692,PRODUCTOS!$A$6:$A$105,0)),IVA_VENTAS)))</f>
        <v/>
      </c>
      <c r="J692" s="35" t="str">
        <f aca="false">IF($C692="","",$H692-$I692)</f>
        <v/>
      </c>
      <c r="K692" s="35" t="str">
        <f aca="false">IF($C692="","",N($E692)*IFERROR(INDEX(PRODUCTOS!$H$6:$H$105,MATCH($C692,PRODUCTOS!$A$6:$A$105,0)),0))</f>
        <v/>
      </c>
      <c r="L692" s="35" t="str">
        <f aca="false">IF($C692="","",$J692-$K692)</f>
        <v/>
      </c>
      <c r="M692" s="6"/>
      <c r="N692" s="6"/>
      <c r="O692" s="46" t="str">
        <f aca="false">IF($A692="","",DATE(YEAR($A692),MONTH($A692),1))</f>
        <v/>
      </c>
    </row>
    <row r="693" customFormat="false" ht="15" hidden="false" customHeight="false" outlineLevel="0" collapsed="false">
      <c r="A693" s="44"/>
      <c r="B693" s="6"/>
      <c r="C693" s="6"/>
      <c r="D693" s="8" t="str">
        <f aca="false">IF($C693="","",IFERROR(INDEX(PRODUCTOS!$B$6:$B$105,MATCH($C693,PRODUCTOS!$A$6:$A$105,0)),"¿Código?"))</f>
        <v/>
      </c>
      <c r="E693" s="42"/>
      <c r="F693" s="35" t="str">
        <f aca="false">IF($C693="","",IFERROR(INDEX(PRODUCTOS!$D$6:$D$105,MATCH($C693,PRODUCTOS!$A$6:$A$105,0)),0))</f>
        <v/>
      </c>
      <c r="G693" s="40"/>
      <c r="H693" s="35" t="str">
        <f aca="false">IF($C693="","",N($E693)*$F693-N($G693))</f>
        <v/>
      </c>
      <c r="I693" s="35" t="str">
        <f aca="false">IF($C693="","",$H693-$H693/(1+IFERROR(INDEX(PRODUCTOS!$E$6:$E$105,MATCH($C693,PRODUCTOS!$A$6:$A$105,0)),IVA_VENTAS)))</f>
        <v/>
      </c>
      <c r="J693" s="35" t="str">
        <f aca="false">IF($C693="","",$H693-$I693)</f>
        <v/>
      </c>
      <c r="K693" s="35" t="str">
        <f aca="false">IF($C693="","",N($E693)*IFERROR(INDEX(PRODUCTOS!$H$6:$H$105,MATCH($C693,PRODUCTOS!$A$6:$A$105,0)),0))</f>
        <v/>
      </c>
      <c r="L693" s="35" t="str">
        <f aca="false">IF($C693="","",$J693-$K693)</f>
        <v/>
      </c>
      <c r="M693" s="6"/>
      <c r="N693" s="6"/>
      <c r="O693" s="46" t="str">
        <f aca="false">IF($A693="","",DATE(YEAR($A693),MONTH($A693),1))</f>
        <v/>
      </c>
    </row>
    <row r="694" customFormat="false" ht="15" hidden="false" customHeight="false" outlineLevel="0" collapsed="false">
      <c r="A694" s="44"/>
      <c r="B694" s="6"/>
      <c r="C694" s="6"/>
      <c r="D694" s="8" t="str">
        <f aca="false">IF($C694="","",IFERROR(INDEX(PRODUCTOS!$B$6:$B$105,MATCH($C694,PRODUCTOS!$A$6:$A$105,0)),"¿Código?"))</f>
        <v/>
      </c>
      <c r="E694" s="42"/>
      <c r="F694" s="35" t="str">
        <f aca="false">IF($C694="","",IFERROR(INDEX(PRODUCTOS!$D$6:$D$105,MATCH($C694,PRODUCTOS!$A$6:$A$105,0)),0))</f>
        <v/>
      </c>
      <c r="G694" s="40"/>
      <c r="H694" s="35" t="str">
        <f aca="false">IF($C694="","",N($E694)*$F694-N($G694))</f>
        <v/>
      </c>
      <c r="I694" s="35" t="str">
        <f aca="false">IF($C694="","",$H694-$H694/(1+IFERROR(INDEX(PRODUCTOS!$E$6:$E$105,MATCH($C694,PRODUCTOS!$A$6:$A$105,0)),IVA_VENTAS)))</f>
        <v/>
      </c>
      <c r="J694" s="35" t="str">
        <f aca="false">IF($C694="","",$H694-$I694)</f>
        <v/>
      </c>
      <c r="K694" s="35" t="str">
        <f aca="false">IF($C694="","",N($E694)*IFERROR(INDEX(PRODUCTOS!$H$6:$H$105,MATCH($C694,PRODUCTOS!$A$6:$A$105,0)),0))</f>
        <v/>
      </c>
      <c r="L694" s="35" t="str">
        <f aca="false">IF($C694="","",$J694-$K694)</f>
        <v/>
      </c>
      <c r="M694" s="6"/>
      <c r="N694" s="6"/>
      <c r="O694" s="46" t="str">
        <f aca="false">IF($A694="","",DATE(YEAR($A694),MONTH($A694),1))</f>
        <v/>
      </c>
    </row>
    <row r="695" customFormat="false" ht="15" hidden="false" customHeight="false" outlineLevel="0" collapsed="false">
      <c r="A695" s="44"/>
      <c r="B695" s="6"/>
      <c r="C695" s="6"/>
      <c r="D695" s="8" t="str">
        <f aca="false">IF($C695="","",IFERROR(INDEX(PRODUCTOS!$B$6:$B$105,MATCH($C695,PRODUCTOS!$A$6:$A$105,0)),"¿Código?"))</f>
        <v/>
      </c>
      <c r="E695" s="42"/>
      <c r="F695" s="35" t="str">
        <f aca="false">IF($C695="","",IFERROR(INDEX(PRODUCTOS!$D$6:$D$105,MATCH($C695,PRODUCTOS!$A$6:$A$105,0)),0))</f>
        <v/>
      </c>
      <c r="G695" s="40"/>
      <c r="H695" s="35" t="str">
        <f aca="false">IF($C695="","",N($E695)*$F695-N($G695))</f>
        <v/>
      </c>
      <c r="I695" s="35" t="str">
        <f aca="false">IF($C695="","",$H695-$H695/(1+IFERROR(INDEX(PRODUCTOS!$E$6:$E$105,MATCH($C695,PRODUCTOS!$A$6:$A$105,0)),IVA_VENTAS)))</f>
        <v/>
      </c>
      <c r="J695" s="35" t="str">
        <f aca="false">IF($C695="","",$H695-$I695)</f>
        <v/>
      </c>
      <c r="K695" s="35" t="str">
        <f aca="false">IF($C695="","",N($E695)*IFERROR(INDEX(PRODUCTOS!$H$6:$H$105,MATCH($C695,PRODUCTOS!$A$6:$A$105,0)),0))</f>
        <v/>
      </c>
      <c r="L695" s="35" t="str">
        <f aca="false">IF($C695="","",$J695-$K695)</f>
        <v/>
      </c>
      <c r="M695" s="6"/>
      <c r="N695" s="6"/>
      <c r="O695" s="46" t="str">
        <f aca="false">IF($A695="","",DATE(YEAR($A695),MONTH($A695),1))</f>
        <v/>
      </c>
    </row>
    <row r="696" customFormat="false" ht="15" hidden="false" customHeight="false" outlineLevel="0" collapsed="false">
      <c r="A696" s="44"/>
      <c r="B696" s="6"/>
      <c r="C696" s="6"/>
      <c r="D696" s="8" t="str">
        <f aca="false">IF($C696="","",IFERROR(INDEX(PRODUCTOS!$B$6:$B$105,MATCH($C696,PRODUCTOS!$A$6:$A$105,0)),"¿Código?"))</f>
        <v/>
      </c>
      <c r="E696" s="42"/>
      <c r="F696" s="35" t="str">
        <f aca="false">IF($C696="","",IFERROR(INDEX(PRODUCTOS!$D$6:$D$105,MATCH($C696,PRODUCTOS!$A$6:$A$105,0)),0))</f>
        <v/>
      </c>
      <c r="G696" s="40"/>
      <c r="H696" s="35" t="str">
        <f aca="false">IF($C696="","",N($E696)*$F696-N($G696))</f>
        <v/>
      </c>
      <c r="I696" s="35" t="str">
        <f aca="false">IF($C696="","",$H696-$H696/(1+IFERROR(INDEX(PRODUCTOS!$E$6:$E$105,MATCH($C696,PRODUCTOS!$A$6:$A$105,0)),IVA_VENTAS)))</f>
        <v/>
      </c>
      <c r="J696" s="35" t="str">
        <f aca="false">IF($C696="","",$H696-$I696)</f>
        <v/>
      </c>
      <c r="K696" s="35" t="str">
        <f aca="false">IF($C696="","",N($E696)*IFERROR(INDEX(PRODUCTOS!$H$6:$H$105,MATCH($C696,PRODUCTOS!$A$6:$A$105,0)),0))</f>
        <v/>
      </c>
      <c r="L696" s="35" t="str">
        <f aca="false">IF($C696="","",$J696-$K696)</f>
        <v/>
      </c>
      <c r="M696" s="6"/>
      <c r="N696" s="6"/>
      <c r="O696" s="46" t="str">
        <f aca="false">IF($A696="","",DATE(YEAR($A696),MONTH($A696),1))</f>
        <v/>
      </c>
    </row>
    <row r="697" customFormat="false" ht="15" hidden="false" customHeight="false" outlineLevel="0" collapsed="false">
      <c r="A697" s="44"/>
      <c r="B697" s="6"/>
      <c r="C697" s="6"/>
      <c r="D697" s="8" t="str">
        <f aca="false">IF($C697="","",IFERROR(INDEX(PRODUCTOS!$B$6:$B$105,MATCH($C697,PRODUCTOS!$A$6:$A$105,0)),"¿Código?"))</f>
        <v/>
      </c>
      <c r="E697" s="42"/>
      <c r="F697" s="35" t="str">
        <f aca="false">IF($C697="","",IFERROR(INDEX(PRODUCTOS!$D$6:$D$105,MATCH($C697,PRODUCTOS!$A$6:$A$105,0)),0))</f>
        <v/>
      </c>
      <c r="G697" s="40"/>
      <c r="H697" s="35" t="str">
        <f aca="false">IF($C697="","",N($E697)*$F697-N($G697))</f>
        <v/>
      </c>
      <c r="I697" s="35" t="str">
        <f aca="false">IF($C697="","",$H697-$H697/(1+IFERROR(INDEX(PRODUCTOS!$E$6:$E$105,MATCH($C697,PRODUCTOS!$A$6:$A$105,0)),IVA_VENTAS)))</f>
        <v/>
      </c>
      <c r="J697" s="35" t="str">
        <f aca="false">IF($C697="","",$H697-$I697)</f>
        <v/>
      </c>
      <c r="K697" s="35" t="str">
        <f aca="false">IF($C697="","",N($E697)*IFERROR(INDEX(PRODUCTOS!$H$6:$H$105,MATCH($C697,PRODUCTOS!$A$6:$A$105,0)),0))</f>
        <v/>
      </c>
      <c r="L697" s="35" t="str">
        <f aca="false">IF($C697="","",$J697-$K697)</f>
        <v/>
      </c>
      <c r="M697" s="6"/>
      <c r="N697" s="6"/>
      <c r="O697" s="46" t="str">
        <f aca="false">IF($A697="","",DATE(YEAR($A697),MONTH($A697),1))</f>
        <v/>
      </c>
    </row>
    <row r="698" customFormat="false" ht="15" hidden="false" customHeight="false" outlineLevel="0" collapsed="false">
      <c r="A698" s="44"/>
      <c r="B698" s="6"/>
      <c r="C698" s="6"/>
      <c r="D698" s="8" t="str">
        <f aca="false">IF($C698="","",IFERROR(INDEX(PRODUCTOS!$B$6:$B$105,MATCH($C698,PRODUCTOS!$A$6:$A$105,0)),"¿Código?"))</f>
        <v/>
      </c>
      <c r="E698" s="42"/>
      <c r="F698" s="35" t="str">
        <f aca="false">IF($C698="","",IFERROR(INDEX(PRODUCTOS!$D$6:$D$105,MATCH($C698,PRODUCTOS!$A$6:$A$105,0)),0))</f>
        <v/>
      </c>
      <c r="G698" s="40"/>
      <c r="H698" s="35" t="str">
        <f aca="false">IF($C698="","",N($E698)*$F698-N($G698))</f>
        <v/>
      </c>
      <c r="I698" s="35" t="str">
        <f aca="false">IF($C698="","",$H698-$H698/(1+IFERROR(INDEX(PRODUCTOS!$E$6:$E$105,MATCH($C698,PRODUCTOS!$A$6:$A$105,0)),IVA_VENTAS)))</f>
        <v/>
      </c>
      <c r="J698" s="35" t="str">
        <f aca="false">IF($C698="","",$H698-$I698)</f>
        <v/>
      </c>
      <c r="K698" s="35" t="str">
        <f aca="false">IF($C698="","",N($E698)*IFERROR(INDEX(PRODUCTOS!$H$6:$H$105,MATCH($C698,PRODUCTOS!$A$6:$A$105,0)),0))</f>
        <v/>
      </c>
      <c r="L698" s="35" t="str">
        <f aca="false">IF($C698="","",$J698-$K698)</f>
        <v/>
      </c>
      <c r="M698" s="6"/>
      <c r="N698" s="6"/>
      <c r="O698" s="46" t="str">
        <f aca="false">IF($A698="","",DATE(YEAR($A698),MONTH($A698),1))</f>
        <v/>
      </c>
    </row>
    <row r="699" customFormat="false" ht="15" hidden="false" customHeight="false" outlineLevel="0" collapsed="false">
      <c r="A699" s="44"/>
      <c r="B699" s="6"/>
      <c r="C699" s="6"/>
      <c r="D699" s="8" t="str">
        <f aca="false">IF($C699="","",IFERROR(INDEX(PRODUCTOS!$B$6:$B$105,MATCH($C699,PRODUCTOS!$A$6:$A$105,0)),"¿Código?"))</f>
        <v/>
      </c>
      <c r="E699" s="42"/>
      <c r="F699" s="35" t="str">
        <f aca="false">IF($C699="","",IFERROR(INDEX(PRODUCTOS!$D$6:$D$105,MATCH($C699,PRODUCTOS!$A$6:$A$105,0)),0))</f>
        <v/>
      </c>
      <c r="G699" s="40"/>
      <c r="H699" s="35" t="str">
        <f aca="false">IF($C699="","",N($E699)*$F699-N($G699))</f>
        <v/>
      </c>
      <c r="I699" s="35" t="str">
        <f aca="false">IF($C699="","",$H699-$H699/(1+IFERROR(INDEX(PRODUCTOS!$E$6:$E$105,MATCH($C699,PRODUCTOS!$A$6:$A$105,0)),IVA_VENTAS)))</f>
        <v/>
      </c>
      <c r="J699" s="35" t="str">
        <f aca="false">IF($C699="","",$H699-$I699)</f>
        <v/>
      </c>
      <c r="K699" s="35" t="str">
        <f aca="false">IF($C699="","",N($E699)*IFERROR(INDEX(PRODUCTOS!$H$6:$H$105,MATCH($C699,PRODUCTOS!$A$6:$A$105,0)),0))</f>
        <v/>
      </c>
      <c r="L699" s="35" t="str">
        <f aca="false">IF($C699="","",$J699-$K699)</f>
        <v/>
      </c>
      <c r="M699" s="6"/>
      <c r="N699" s="6"/>
      <c r="O699" s="46" t="str">
        <f aca="false">IF($A699="","",DATE(YEAR($A699),MONTH($A699),1))</f>
        <v/>
      </c>
    </row>
    <row r="700" customFormat="false" ht="15" hidden="false" customHeight="false" outlineLevel="0" collapsed="false">
      <c r="A700" s="44"/>
      <c r="B700" s="6"/>
      <c r="C700" s="6"/>
      <c r="D700" s="8" t="str">
        <f aca="false">IF($C700="","",IFERROR(INDEX(PRODUCTOS!$B$6:$B$105,MATCH($C700,PRODUCTOS!$A$6:$A$105,0)),"¿Código?"))</f>
        <v/>
      </c>
      <c r="E700" s="42"/>
      <c r="F700" s="35" t="str">
        <f aca="false">IF($C700="","",IFERROR(INDEX(PRODUCTOS!$D$6:$D$105,MATCH($C700,PRODUCTOS!$A$6:$A$105,0)),0))</f>
        <v/>
      </c>
      <c r="G700" s="40"/>
      <c r="H700" s="35" t="str">
        <f aca="false">IF($C700="","",N($E700)*$F700-N($G700))</f>
        <v/>
      </c>
      <c r="I700" s="35" t="str">
        <f aca="false">IF($C700="","",$H700-$H700/(1+IFERROR(INDEX(PRODUCTOS!$E$6:$E$105,MATCH($C700,PRODUCTOS!$A$6:$A$105,0)),IVA_VENTAS)))</f>
        <v/>
      </c>
      <c r="J700" s="35" t="str">
        <f aca="false">IF($C700="","",$H700-$I700)</f>
        <v/>
      </c>
      <c r="K700" s="35" t="str">
        <f aca="false">IF($C700="","",N($E700)*IFERROR(INDEX(PRODUCTOS!$H$6:$H$105,MATCH($C700,PRODUCTOS!$A$6:$A$105,0)),0))</f>
        <v/>
      </c>
      <c r="L700" s="35" t="str">
        <f aca="false">IF($C700="","",$J700-$K700)</f>
        <v/>
      </c>
      <c r="M700" s="6"/>
      <c r="N700" s="6"/>
      <c r="O700" s="46" t="str">
        <f aca="false">IF($A700="","",DATE(YEAR($A700),MONTH($A700),1))</f>
        <v/>
      </c>
    </row>
    <row r="701" customFormat="false" ht="15" hidden="false" customHeight="false" outlineLevel="0" collapsed="false">
      <c r="A701" s="44"/>
      <c r="B701" s="6"/>
      <c r="C701" s="6"/>
      <c r="D701" s="8" t="str">
        <f aca="false">IF($C701="","",IFERROR(INDEX(PRODUCTOS!$B$6:$B$105,MATCH($C701,PRODUCTOS!$A$6:$A$105,0)),"¿Código?"))</f>
        <v/>
      </c>
      <c r="E701" s="42"/>
      <c r="F701" s="35" t="str">
        <f aca="false">IF($C701="","",IFERROR(INDEX(PRODUCTOS!$D$6:$D$105,MATCH($C701,PRODUCTOS!$A$6:$A$105,0)),0))</f>
        <v/>
      </c>
      <c r="G701" s="40"/>
      <c r="H701" s="35" t="str">
        <f aca="false">IF($C701="","",N($E701)*$F701-N($G701))</f>
        <v/>
      </c>
      <c r="I701" s="35" t="str">
        <f aca="false">IF($C701="","",$H701-$H701/(1+IFERROR(INDEX(PRODUCTOS!$E$6:$E$105,MATCH($C701,PRODUCTOS!$A$6:$A$105,0)),IVA_VENTAS)))</f>
        <v/>
      </c>
      <c r="J701" s="35" t="str">
        <f aca="false">IF($C701="","",$H701-$I701)</f>
        <v/>
      </c>
      <c r="K701" s="35" t="str">
        <f aca="false">IF($C701="","",N($E701)*IFERROR(INDEX(PRODUCTOS!$H$6:$H$105,MATCH($C701,PRODUCTOS!$A$6:$A$105,0)),0))</f>
        <v/>
      </c>
      <c r="L701" s="35" t="str">
        <f aca="false">IF($C701="","",$J701-$K701)</f>
        <v/>
      </c>
      <c r="M701" s="6"/>
      <c r="N701" s="6"/>
      <c r="O701" s="46" t="str">
        <f aca="false">IF($A701="","",DATE(YEAR($A701),MONTH($A701),1))</f>
        <v/>
      </c>
    </row>
    <row r="702" customFormat="false" ht="15" hidden="false" customHeight="false" outlineLevel="0" collapsed="false">
      <c r="A702" s="44"/>
      <c r="B702" s="6"/>
      <c r="C702" s="6"/>
      <c r="D702" s="8" t="str">
        <f aca="false">IF($C702="","",IFERROR(INDEX(PRODUCTOS!$B$6:$B$105,MATCH($C702,PRODUCTOS!$A$6:$A$105,0)),"¿Código?"))</f>
        <v/>
      </c>
      <c r="E702" s="42"/>
      <c r="F702" s="35" t="str">
        <f aca="false">IF($C702="","",IFERROR(INDEX(PRODUCTOS!$D$6:$D$105,MATCH($C702,PRODUCTOS!$A$6:$A$105,0)),0))</f>
        <v/>
      </c>
      <c r="G702" s="40"/>
      <c r="H702" s="35" t="str">
        <f aca="false">IF($C702="","",N($E702)*$F702-N($G702))</f>
        <v/>
      </c>
      <c r="I702" s="35" t="str">
        <f aca="false">IF($C702="","",$H702-$H702/(1+IFERROR(INDEX(PRODUCTOS!$E$6:$E$105,MATCH($C702,PRODUCTOS!$A$6:$A$105,0)),IVA_VENTAS)))</f>
        <v/>
      </c>
      <c r="J702" s="35" t="str">
        <f aca="false">IF($C702="","",$H702-$I702)</f>
        <v/>
      </c>
      <c r="K702" s="35" t="str">
        <f aca="false">IF($C702="","",N($E702)*IFERROR(INDEX(PRODUCTOS!$H$6:$H$105,MATCH($C702,PRODUCTOS!$A$6:$A$105,0)),0))</f>
        <v/>
      </c>
      <c r="L702" s="35" t="str">
        <f aca="false">IF($C702="","",$J702-$K702)</f>
        <v/>
      </c>
      <c r="M702" s="6"/>
      <c r="N702" s="6"/>
      <c r="O702" s="46" t="str">
        <f aca="false">IF($A702="","",DATE(YEAR($A702),MONTH($A702),1))</f>
        <v/>
      </c>
    </row>
    <row r="703" customFormat="false" ht="15" hidden="false" customHeight="false" outlineLevel="0" collapsed="false">
      <c r="A703" s="44"/>
      <c r="B703" s="6"/>
      <c r="C703" s="6"/>
      <c r="D703" s="8" t="str">
        <f aca="false">IF($C703="","",IFERROR(INDEX(PRODUCTOS!$B$6:$B$105,MATCH($C703,PRODUCTOS!$A$6:$A$105,0)),"¿Código?"))</f>
        <v/>
      </c>
      <c r="E703" s="42"/>
      <c r="F703" s="35" t="str">
        <f aca="false">IF($C703="","",IFERROR(INDEX(PRODUCTOS!$D$6:$D$105,MATCH($C703,PRODUCTOS!$A$6:$A$105,0)),0))</f>
        <v/>
      </c>
      <c r="G703" s="40"/>
      <c r="H703" s="35" t="str">
        <f aca="false">IF($C703="","",N($E703)*$F703-N($G703))</f>
        <v/>
      </c>
      <c r="I703" s="35" t="str">
        <f aca="false">IF($C703="","",$H703-$H703/(1+IFERROR(INDEX(PRODUCTOS!$E$6:$E$105,MATCH($C703,PRODUCTOS!$A$6:$A$105,0)),IVA_VENTAS)))</f>
        <v/>
      </c>
      <c r="J703" s="35" t="str">
        <f aca="false">IF($C703="","",$H703-$I703)</f>
        <v/>
      </c>
      <c r="K703" s="35" t="str">
        <f aca="false">IF($C703="","",N($E703)*IFERROR(INDEX(PRODUCTOS!$H$6:$H$105,MATCH($C703,PRODUCTOS!$A$6:$A$105,0)),0))</f>
        <v/>
      </c>
      <c r="L703" s="35" t="str">
        <f aca="false">IF($C703="","",$J703-$K703)</f>
        <v/>
      </c>
      <c r="M703" s="6"/>
      <c r="N703" s="6"/>
      <c r="O703" s="46" t="str">
        <f aca="false">IF($A703="","",DATE(YEAR($A703),MONTH($A703),1))</f>
        <v/>
      </c>
    </row>
    <row r="704" customFormat="false" ht="15" hidden="false" customHeight="false" outlineLevel="0" collapsed="false">
      <c r="A704" s="44"/>
      <c r="B704" s="6"/>
      <c r="C704" s="6"/>
      <c r="D704" s="8" t="str">
        <f aca="false">IF($C704="","",IFERROR(INDEX(PRODUCTOS!$B$6:$B$105,MATCH($C704,PRODUCTOS!$A$6:$A$105,0)),"¿Código?"))</f>
        <v/>
      </c>
      <c r="E704" s="42"/>
      <c r="F704" s="35" t="str">
        <f aca="false">IF($C704="","",IFERROR(INDEX(PRODUCTOS!$D$6:$D$105,MATCH($C704,PRODUCTOS!$A$6:$A$105,0)),0))</f>
        <v/>
      </c>
      <c r="G704" s="40"/>
      <c r="H704" s="35" t="str">
        <f aca="false">IF($C704="","",N($E704)*$F704-N($G704))</f>
        <v/>
      </c>
      <c r="I704" s="35" t="str">
        <f aca="false">IF($C704="","",$H704-$H704/(1+IFERROR(INDEX(PRODUCTOS!$E$6:$E$105,MATCH($C704,PRODUCTOS!$A$6:$A$105,0)),IVA_VENTAS)))</f>
        <v/>
      </c>
      <c r="J704" s="35" t="str">
        <f aca="false">IF($C704="","",$H704-$I704)</f>
        <v/>
      </c>
      <c r="K704" s="35" t="str">
        <f aca="false">IF($C704="","",N($E704)*IFERROR(INDEX(PRODUCTOS!$H$6:$H$105,MATCH($C704,PRODUCTOS!$A$6:$A$105,0)),0))</f>
        <v/>
      </c>
      <c r="L704" s="35" t="str">
        <f aca="false">IF($C704="","",$J704-$K704)</f>
        <v/>
      </c>
      <c r="M704" s="6"/>
      <c r="N704" s="6"/>
      <c r="O704" s="46" t="str">
        <f aca="false">IF($A704="","",DATE(YEAR($A704),MONTH($A704),1))</f>
        <v/>
      </c>
    </row>
    <row r="705" customFormat="false" ht="15" hidden="false" customHeight="false" outlineLevel="0" collapsed="false">
      <c r="A705" s="44"/>
      <c r="B705" s="6"/>
      <c r="C705" s="6"/>
      <c r="D705" s="8" t="str">
        <f aca="false">IF($C705="","",IFERROR(INDEX(PRODUCTOS!$B$6:$B$105,MATCH($C705,PRODUCTOS!$A$6:$A$105,0)),"¿Código?"))</f>
        <v/>
      </c>
      <c r="E705" s="42"/>
      <c r="F705" s="35" t="str">
        <f aca="false">IF($C705="","",IFERROR(INDEX(PRODUCTOS!$D$6:$D$105,MATCH($C705,PRODUCTOS!$A$6:$A$105,0)),0))</f>
        <v/>
      </c>
      <c r="G705" s="40"/>
      <c r="H705" s="35" t="str">
        <f aca="false">IF($C705="","",N($E705)*$F705-N($G705))</f>
        <v/>
      </c>
      <c r="I705" s="35" t="str">
        <f aca="false">IF($C705="","",$H705-$H705/(1+IFERROR(INDEX(PRODUCTOS!$E$6:$E$105,MATCH($C705,PRODUCTOS!$A$6:$A$105,0)),IVA_VENTAS)))</f>
        <v/>
      </c>
      <c r="J705" s="35" t="str">
        <f aca="false">IF($C705="","",$H705-$I705)</f>
        <v/>
      </c>
      <c r="K705" s="35" t="str">
        <f aca="false">IF($C705="","",N($E705)*IFERROR(INDEX(PRODUCTOS!$H$6:$H$105,MATCH($C705,PRODUCTOS!$A$6:$A$105,0)),0))</f>
        <v/>
      </c>
      <c r="L705" s="35" t="str">
        <f aca="false">IF($C705="","",$J705-$K705)</f>
        <v/>
      </c>
      <c r="M705" s="6"/>
      <c r="N705" s="6"/>
      <c r="O705" s="46" t="str">
        <f aca="false">IF($A705="","",DATE(YEAR($A705),MONTH($A705),1))</f>
        <v/>
      </c>
    </row>
    <row r="706" customFormat="false" ht="15" hidden="false" customHeight="false" outlineLevel="0" collapsed="false">
      <c r="A706" s="44"/>
      <c r="B706" s="6"/>
      <c r="C706" s="6"/>
      <c r="D706" s="8" t="str">
        <f aca="false">IF($C706="","",IFERROR(INDEX(PRODUCTOS!$B$6:$B$105,MATCH($C706,PRODUCTOS!$A$6:$A$105,0)),"¿Código?"))</f>
        <v/>
      </c>
      <c r="E706" s="42"/>
      <c r="F706" s="35" t="str">
        <f aca="false">IF($C706="","",IFERROR(INDEX(PRODUCTOS!$D$6:$D$105,MATCH($C706,PRODUCTOS!$A$6:$A$105,0)),0))</f>
        <v/>
      </c>
      <c r="G706" s="40"/>
      <c r="H706" s="35" t="str">
        <f aca="false">IF($C706="","",N($E706)*$F706-N($G706))</f>
        <v/>
      </c>
      <c r="I706" s="35" t="str">
        <f aca="false">IF($C706="","",$H706-$H706/(1+IFERROR(INDEX(PRODUCTOS!$E$6:$E$105,MATCH($C706,PRODUCTOS!$A$6:$A$105,0)),IVA_VENTAS)))</f>
        <v/>
      </c>
      <c r="J706" s="35" t="str">
        <f aca="false">IF($C706="","",$H706-$I706)</f>
        <v/>
      </c>
      <c r="K706" s="35" t="str">
        <f aca="false">IF($C706="","",N($E706)*IFERROR(INDEX(PRODUCTOS!$H$6:$H$105,MATCH($C706,PRODUCTOS!$A$6:$A$105,0)),0))</f>
        <v/>
      </c>
      <c r="L706" s="35" t="str">
        <f aca="false">IF($C706="","",$J706-$K706)</f>
        <v/>
      </c>
      <c r="M706" s="6"/>
      <c r="N706" s="6"/>
      <c r="O706" s="46" t="str">
        <f aca="false">IF($A706="","",DATE(YEAR($A706),MONTH($A706),1))</f>
        <v/>
      </c>
    </row>
    <row r="707" customFormat="false" ht="15" hidden="false" customHeight="false" outlineLevel="0" collapsed="false">
      <c r="A707" s="44"/>
      <c r="B707" s="6"/>
      <c r="C707" s="6"/>
      <c r="D707" s="8" t="str">
        <f aca="false">IF($C707="","",IFERROR(INDEX(PRODUCTOS!$B$6:$B$105,MATCH($C707,PRODUCTOS!$A$6:$A$105,0)),"¿Código?"))</f>
        <v/>
      </c>
      <c r="E707" s="42"/>
      <c r="F707" s="35" t="str">
        <f aca="false">IF($C707="","",IFERROR(INDEX(PRODUCTOS!$D$6:$D$105,MATCH($C707,PRODUCTOS!$A$6:$A$105,0)),0))</f>
        <v/>
      </c>
      <c r="G707" s="40"/>
      <c r="H707" s="35" t="str">
        <f aca="false">IF($C707="","",N($E707)*$F707-N($G707))</f>
        <v/>
      </c>
      <c r="I707" s="35" t="str">
        <f aca="false">IF($C707="","",$H707-$H707/(1+IFERROR(INDEX(PRODUCTOS!$E$6:$E$105,MATCH($C707,PRODUCTOS!$A$6:$A$105,0)),IVA_VENTAS)))</f>
        <v/>
      </c>
      <c r="J707" s="35" t="str">
        <f aca="false">IF($C707="","",$H707-$I707)</f>
        <v/>
      </c>
      <c r="K707" s="35" t="str">
        <f aca="false">IF($C707="","",N($E707)*IFERROR(INDEX(PRODUCTOS!$H$6:$H$105,MATCH($C707,PRODUCTOS!$A$6:$A$105,0)),0))</f>
        <v/>
      </c>
      <c r="L707" s="35" t="str">
        <f aca="false">IF($C707="","",$J707-$K707)</f>
        <v/>
      </c>
      <c r="M707" s="6"/>
      <c r="N707" s="6"/>
      <c r="O707" s="46" t="str">
        <f aca="false">IF($A707="","",DATE(YEAR($A707),MONTH($A707),1))</f>
        <v/>
      </c>
    </row>
    <row r="708" customFormat="false" ht="15" hidden="false" customHeight="false" outlineLevel="0" collapsed="false">
      <c r="A708" s="44"/>
      <c r="B708" s="6"/>
      <c r="C708" s="6"/>
      <c r="D708" s="8" t="str">
        <f aca="false">IF($C708="","",IFERROR(INDEX(PRODUCTOS!$B$6:$B$105,MATCH($C708,PRODUCTOS!$A$6:$A$105,0)),"¿Código?"))</f>
        <v/>
      </c>
      <c r="E708" s="42"/>
      <c r="F708" s="35" t="str">
        <f aca="false">IF($C708="","",IFERROR(INDEX(PRODUCTOS!$D$6:$D$105,MATCH($C708,PRODUCTOS!$A$6:$A$105,0)),0))</f>
        <v/>
      </c>
      <c r="G708" s="40"/>
      <c r="H708" s="35" t="str">
        <f aca="false">IF($C708="","",N($E708)*$F708-N($G708))</f>
        <v/>
      </c>
      <c r="I708" s="35" t="str">
        <f aca="false">IF($C708="","",$H708-$H708/(1+IFERROR(INDEX(PRODUCTOS!$E$6:$E$105,MATCH($C708,PRODUCTOS!$A$6:$A$105,0)),IVA_VENTAS)))</f>
        <v/>
      </c>
      <c r="J708" s="35" t="str">
        <f aca="false">IF($C708="","",$H708-$I708)</f>
        <v/>
      </c>
      <c r="K708" s="35" t="str">
        <f aca="false">IF($C708="","",N($E708)*IFERROR(INDEX(PRODUCTOS!$H$6:$H$105,MATCH($C708,PRODUCTOS!$A$6:$A$105,0)),0))</f>
        <v/>
      </c>
      <c r="L708" s="35" t="str">
        <f aca="false">IF($C708="","",$J708-$K708)</f>
        <v/>
      </c>
      <c r="M708" s="6"/>
      <c r="N708" s="6"/>
      <c r="O708" s="46" t="str">
        <f aca="false">IF($A708="","",DATE(YEAR($A708),MONTH($A708),1))</f>
        <v/>
      </c>
    </row>
    <row r="709" customFormat="false" ht="15" hidden="false" customHeight="false" outlineLevel="0" collapsed="false">
      <c r="A709" s="44"/>
      <c r="B709" s="6"/>
      <c r="C709" s="6"/>
      <c r="D709" s="8" t="str">
        <f aca="false">IF($C709="","",IFERROR(INDEX(PRODUCTOS!$B$6:$B$105,MATCH($C709,PRODUCTOS!$A$6:$A$105,0)),"¿Código?"))</f>
        <v/>
      </c>
      <c r="E709" s="42"/>
      <c r="F709" s="35" t="str">
        <f aca="false">IF($C709="","",IFERROR(INDEX(PRODUCTOS!$D$6:$D$105,MATCH($C709,PRODUCTOS!$A$6:$A$105,0)),0))</f>
        <v/>
      </c>
      <c r="G709" s="40"/>
      <c r="H709" s="35" t="str">
        <f aca="false">IF($C709="","",N($E709)*$F709-N($G709))</f>
        <v/>
      </c>
      <c r="I709" s="35" t="str">
        <f aca="false">IF($C709="","",$H709-$H709/(1+IFERROR(INDEX(PRODUCTOS!$E$6:$E$105,MATCH($C709,PRODUCTOS!$A$6:$A$105,0)),IVA_VENTAS)))</f>
        <v/>
      </c>
      <c r="J709" s="35" t="str">
        <f aca="false">IF($C709="","",$H709-$I709)</f>
        <v/>
      </c>
      <c r="K709" s="35" t="str">
        <f aca="false">IF($C709="","",N($E709)*IFERROR(INDEX(PRODUCTOS!$H$6:$H$105,MATCH($C709,PRODUCTOS!$A$6:$A$105,0)),0))</f>
        <v/>
      </c>
      <c r="L709" s="35" t="str">
        <f aca="false">IF($C709="","",$J709-$K709)</f>
        <v/>
      </c>
      <c r="M709" s="6"/>
      <c r="N709" s="6"/>
      <c r="O709" s="46" t="str">
        <f aca="false">IF($A709="","",DATE(YEAR($A709),MONTH($A709),1))</f>
        <v/>
      </c>
    </row>
    <row r="710" customFormat="false" ht="15" hidden="false" customHeight="false" outlineLevel="0" collapsed="false">
      <c r="A710" s="44"/>
      <c r="B710" s="6"/>
      <c r="C710" s="6"/>
      <c r="D710" s="8" t="str">
        <f aca="false">IF($C710="","",IFERROR(INDEX(PRODUCTOS!$B$6:$B$105,MATCH($C710,PRODUCTOS!$A$6:$A$105,0)),"¿Código?"))</f>
        <v/>
      </c>
      <c r="E710" s="42"/>
      <c r="F710" s="35" t="str">
        <f aca="false">IF($C710="","",IFERROR(INDEX(PRODUCTOS!$D$6:$D$105,MATCH($C710,PRODUCTOS!$A$6:$A$105,0)),0))</f>
        <v/>
      </c>
      <c r="G710" s="40"/>
      <c r="H710" s="35" t="str">
        <f aca="false">IF($C710="","",N($E710)*$F710-N($G710))</f>
        <v/>
      </c>
      <c r="I710" s="35" t="str">
        <f aca="false">IF($C710="","",$H710-$H710/(1+IFERROR(INDEX(PRODUCTOS!$E$6:$E$105,MATCH($C710,PRODUCTOS!$A$6:$A$105,0)),IVA_VENTAS)))</f>
        <v/>
      </c>
      <c r="J710" s="35" t="str">
        <f aca="false">IF($C710="","",$H710-$I710)</f>
        <v/>
      </c>
      <c r="K710" s="35" t="str">
        <f aca="false">IF($C710="","",N($E710)*IFERROR(INDEX(PRODUCTOS!$H$6:$H$105,MATCH($C710,PRODUCTOS!$A$6:$A$105,0)),0))</f>
        <v/>
      </c>
      <c r="L710" s="35" t="str">
        <f aca="false">IF($C710="","",$J710-$K710)</f>
        <v/>
      </c>
      <c r="M710" s="6"/>
      <c r="N710" s="6"/>
      <c r="O710" s="46" t="str">
        <f aca="false">IF($A710="","",DATE(YEAR($A710),MONTH($A710),1))</f>
        <v/>
      </c>
    </row>
    <row r="711" customFormat="false" ht="15" hidden="false" customHeight="false" outlineLevel="0" collapsed="false">
      <c r="A711" s="44"/>
      <c r="B711" s="6"/>
      <c r="C711" s="6"/>
      <c r="D711" s="8" t="str">
        <f aca="false">IF($C711="","",IFERROR(INDEX(PRODUCTOS!$B$6:$B$105,MATCH($C711,PRODUCTOS!$A$6:$A$105,0)),"¿Código?"))</f>
        <v/>
      </c>
      <c r="E711" s="42"/>
      <c r="F711" s="35" t="str">
        <f aca="false">IF($C711="","",IFERROR(INDEX(PRODUCTOS!$D$6:$D$105,MATCH($C711,PRODUCTOS!$A$6:$A$105,0)),0))</f>
        <v/>
      </c>
      <c r="G711" s="40"/>
      <c r="H711" s="35" t="str">
        <f aca="false">IF($C711="","",N($E711)*$F711-N($G711))</f>
        <v/>
      </c>
      <c r="I711" s="35" t="str">
        <f aca="false">IF($C711="","",$H711-$H711/(1+IFERROR(INDEX(PRODUCTOS!$E$6:$E$105,MATCH($C711,PRODUCTOS!$A$6:$A$105,0)),IVA_VENTAS)))</f>
        <v/>
      </c>
      <c r="J711" s="35" t="str">
        <f aca="false">IF($C711="","",$H711-$I711)</f>
        <v/>
      </c>
      <c r="K711" s="35" t="str">
        <f aca="false">IF($C711="","",N($E711)*IFERROR(INDEX(PRODUCTOS!$H$6:$H$105,MATCH($C711,PRODUCTOS!$A$6:$A$105,0)),0))</f>
        <v/>
      </c>
      <c r="L711" s="35" t="str">
        <f aca="false">IF($C711="","",$J711-$K711)</f>
        <v/>
      </c>
      <c r="M711" s="6"/>
      <c r="N711" s="6"/>
      <c r="O711" s="46" t="str">
        <f aca="false">IF($A711="","",DATE(YEAR($A711),MONTH($A711),1))</f>
        <v/>
      </c>
    </row>
    <row r="712" customFormat="false" ht="15" hidden="false" customHeight="false" outlineLevel="0" collapsed="false">
      <c r="A712" s="44"/>
      <c r="B712" s="6"/>
      <c r="C712" s="6"/>
      <c r="D712" s="8" t="str">
        <f aca="false">IF($C712="","",IFERROR(INDEX(PRODUCTOS!$B$6:$B$105,MATCH($C712,PRODUCTOS!$A$6:$A$105,0)),"¿Código?"))</f>
        <v/>
      </c>
      <c r="E712" s="42"/>
      <c r="F712" s="35" t="str">
        <f aca="false">IF($C712="","",IFERROR(INDEX(PRODUCTOS!$D$6:$D$105,MATCH($C712,PRODUCTOS!$A$6:$A$105,0)),0))</f>
        <v/>
      </c>
      <c r="G712" s="40"/>
      <c r="H712" s="35" t="str">
        <f aca="false">IF($C712="","",N($E712)*$F712-N($G712))</f>
        <v/>
      </c>
      <c r="I712" s="35" t="str">
        <f aca="false">IF($C712="","",$H712-$H712/(1+IFERROR(INDEX(PRODUCTOS!$E$6:$E$105,MATCH($C712,PRODUCTOS!$A$6:$A$105,0)),IVA_VENTAS)))</f>
        <v/>
      </c>
      <c r="J712" s="35" t="str">
        <f aca="false">IF($C712="","",$H712-$I712)</f>
        <v/>
      </c>
      <c r="K712" s="35" t="str">
        <f aca="false">IF($C712="","",N($E712)*IFERROR(INDEX(PRODUCTOS!$H$6:$H$105,MATCH($C712,PRODUCTOS!$A$6:$A$105,0)),0))</f>
        <v/>
      </c>
      <c r="L712" s="35" t="str">
        <f aca="false">IF($C712="","",$J712-$K712)</f>
        <v/>
      </c>
      <c r="M712" s="6"/>
      <c r="N712" s="6"/>
      <c r="O712" s="46" t="str">
        <f aca="false">IF($A712="","",DATE(YEAR($A712),MONTH($A712),1))</f>
        <v/>
      </c>
    </row>
    <row r="713" customFormat="false" ht="15" hidden="false" customHeight="false" outlineLevel="0" collapsed="false">
      <c r="A713" s="44"/>
      <c r="B713" s="6"/>
      <c r="C713" s="6"/>
      <c r="D713" s="8" t="str">
        <f aca="false">IF($C713="","",IFERROR(INDEX(PRODUCTOS!$B$6:$B$105,MATCH($C713,PRODUCTOS!$A$6:$A$105,0)),"¿Código?"))</f>
        <v/>
      </c>
      <c r="E713" s="42"/>
      <c r="F713" s="35" t="str">
        <f aca="false">IF($C713="","",IFERROR(INDEX(PRODUCTOS!$D$6:$D$105,MATCH($C713,PRODUCTOS!$A$6:$A$105,0)),0))</f>
        <v/>
      </c>
      <c r="G713" s="40"/>
      <c r="H713" s="35" t="str">
        <f aca="false">IF($C713="","",N($E713)*$F713-N($G713))</f>
        <v/>
      </c>
      <c r="I713" s="35" t="str">
        <f aca="false">IF($C713="","",$H713-$H713/(1+IFERROR(INDEX(PRODUCTOS!$E$6:$E$105,MATCH($C713,PRODUCTOS!$A$6:$A$105,0)),IVA_VENTAS)))</f>
        <v/>
      </c>
      <c r="J713" s="35" t="str">
        <f aca="false">IF($C713="","",$H713-$I713)</f>
        <v/>
      </c>
      <c r="K713" s="35" t="str">
        <f aca="false">IF($C713="","",N($E713)*IFERROR(INDEX(PRODUCTOS!$H$6:$H$105,MATCH($C713,PRODUCTOS!$A$6:$A$105,0)),0))</f>
        <v/>
      </c>
      <c r="L713" s="35" t="str">
        <f aca="false">IF($C713="","",$J713-$K713)</f>
        <v/>
      </c>
      <c r="M713" s="6"/>
      <c r="N713" s="6"/>
      <c r="O713" s="46" t="str">
        <f aca="false">IF($A713="","",DATE(YEAR($A713),MONTH($A713),1))</f>
        <v/>
      </c>
    </row>
    <row r="714" customFormat="false" ht="15" hidden="false" customHeight="false" outlineLevel="0" collapsed="false">
      <c r="A714" s="44"/>
      <c r="B714" s="6"/>
      <c r="C714" s="6"/>
      <c r="D714" s="8" t="str">
        <f aca="false">IF($C714="","",IFERROR(INDEX(PRODUCTOS!$B$6:$B$105,MATCH($C714,PRODUCTOS!$A$6:$A$105,0)),"¿Código?"))</f>
        <v/>
      </c>
      <c r="E714" s="42"/>
      <c r="F714" s="35" t="str">
        <f aca="false">IF($C714="","",IFERROR(INDEX(PRODUCTOS!$D$6:$D$105,MATCH($C714,PRODUCTOS!$A$6:$A$105,0)),0))</f>
        <v/>
      </c>
      <c r="G714" s="40"/>
      <c r="H714" s="35" t="str">
        <f aca="false">IF($C714="","",N($E714)*$F714-N($G714))</f>
        <v/>
      </c>
      <c r="I714" s="35" t="str">
        <f aca="false">IF($C714="","",$H714-$H714/(1+IFERROR(INDEX(PRODUCTOS!$E$6:$E$105,MATCH($C714,PRODUCTOS!$A$6:$A$105,0)),IVA_VENTAS)))</f>
        <v/>
      </c>
      <c r="J714" s="35" t="str">
        <f aca="false">IF($C714="","",$H714-$I714)</f>
        <v/>
      </c>
      <c r="K714" s="35" t="str">
        <f aca="false">IF($C714="","",N($E714)*IFERROR(INDEX(PRODUCTOS!$H$6:$H$105,MATCH($C714,PRODUCTOS!$A$6:$A$105,0)),0))</f>
        <v/>
      </c>
      <c r="L714" s="35" t="str">
        <f aca="false">IF($C714="","",$J714-$K714)</f>
        <v/>
      </c>
      <c r="M714" s="6"/>
      <c r="N714" s="6"/>
      <c r="O714" s="46" t="str">
        <f aca="false">IF($A714="","",DATE(YEAR($A714),MONTH($A714),1))</f>
        <v/>
      </c>
    </row>
    <row r="715" customFormat="false" ht="15" hidden="false" customHeight="false" outlineLevel="0" collapsed="false">
      <c r="A715" s="44"/>
      <c r="B715" s="6"/>
      <c r="C715" s="6"/>
      <c r="D715" s="8" t="str">
        <f aca="false">IF($C715="","",IFERROR(INDEX(PRODUCTOS!$B$6:$B$105,MATCH($C715,PRODUCTOS!$A$6:$A$105,0)),"¿Código?"))</f>
        <v/>
      </c>
      <c r="E715" s="42"/>
      <c r="F715" s="35" t="str">
        <f aca="false">IF($C715="","",IFERROR(INDEX(PRODUCTOS!$D$6:$D$105,MATCH($C715,PRODUCTOS!$A$6:$A$105,0)),0))</f>
        <v/>
      </c>
      <c r="G715" s="40"/>
      <c r="H715" s="35" t="str">
        <f aca="false">IF($C715="","",N($E715)*$F715-N($G715))</f>
        <v/>
      </c>
      <c r="I715" s="35" t="str">
        <f aca="false">IF($C715="","",$H715-$H715/(1+IFERROR(INDEX(PRODUCTOS!$E$6:$E$105,MATCH($C715,PRODUCTOS!$A$6:$A$105,0)),IVA_VENTAS)))</f>
        <v/>
      </c>
      <c r="J715" s="35" t="str">
        <f aca="false">IF($C715="","",$H715-$I715)</f>
        <v/>
      </c>
      <c r="K715" s="35" t="str">
        <f aca="false">IF($C715="","",N($E715)*IFERROR(INDEX(PRODUCTOS!$H$6:$H$105,MATCH($C715,PRODUCTOS!$A$6:$A$105,0)),0))</f>
        <v/>
      </c>
      <c r="L715" s="35" t="str">
        <f aca="false">IF($C715="","",$J715-$K715)</f>
        <v/>
      </c>
      <c r="M715" s="6"/>
      <c r="N715" s="6"/>
      <c r="O715" s="46" t="str">
        <f aca="false">IF($A715="","",DATE(YEAR($A715),MONTH($A715),1))</f>
        <v/>
      </c>
    </row>
    <row r="716" customFormat="false" ht="15" hidden="false" customHeight="false" outlineLevel="0" collapsed="false">
      <c r="A716" s="44"/>
      <c r="B716" s="6"/>
      <c r="C716" s="6"/>
      <c r="D716" s="8" t="str">
        <f aca="false">IF($C716="","",IFERROR(INDEX(PRODUCTOS!$B$6:$B$105,MATCH($C716,PRODUCTOS!$A$6:$A$105,0)),"¿Código?"))</f>
        <v/>
      </c>
      <c r="E716" s="42"/>
      <c r="F716" s="35" t="str">
        <f aca="false">IF($C716="","",IFERROR(INDEX(PRODUCTOS!$D$6:$D$105,MATCH($C716,PRODUCTOS!$A$6:$A$105,0)),0))</f>
        <v/>
      </c>
      <c r="G716" s="40"/>
      <c r="H716" s="35" t="str">
        <f aca="false">IF($C716="","",N($E716)*$F716-N($G716))</f>
        <v/>
      </c>
      <c r="I716" s="35" t="str">
        <f aca="false">IF($C716="","",$H716-$H716/(1+IFERROR(INDEX(PRODUCTOS!$E$6:$E$105,MATCH($C716,PRODUCTOS!$A$6:$A$105,0)),IVA_VENTAS)))</f>
        <v/>
      </c>
      <c r="J716" s="35" t="str">
        <f aca="false">IF($C716="","",$H716-$I716)</f>
        <v/>
      </c>
      <c r="K716" s="35" t="str">
        <f aca="false">IF($C716="","",N($E716)*IFERROR(INDEX(PRODUCTOS!$H$6:$H$105,MATCH($C716,PRODUCTOS!$A$6:$A$105,0)),0))</f>
        <v/>
      </c>
      <c r="L716" s="35" t="str">
        <f aca="false">IF($C716="","",$J716-$K716)</f>
        <v/>
      </c>
      <c r="M716" s="6"/>
      <c r="N716" s="6"/>
      <c r="O716" s="46" t="str">
        <f aca="false">IF($A716="","",DATE(YEAR($A716),MONTH($A716),1))</f>
        <v/>
      </c>
    </row>
    <row r="717" customFormat="false" ht="15" hidden="false" customHeight="false" outlineLevel="0" collapsed="false">
      <c r="A717" s="44"/>
      <c r="B717" s="6"/>
      <c r="C717" s="6"/>
      <c r="D717" s="8" t="str">
        <f aca="false">IF($C717="","",IFERROR(INDEX(PRODUCTOS!$B$6:$B$105,MATCH($C717,PRODUCTOS!$A$6:$A$105,0)),"¿Código?"))</f>
        <v/>
      </c>
      <c r="E717" s="42"/>
      <c r="F717" s="35" t="str">
        <f aca="false">IF($C717="","",IFERROR(INDEX(PRODUCTOS!$D$6:$D$105,MATCH($C717,PRODUCTOS!$A$6:$A$105,0)),0))</f>
        <v/>
      </c>
      <c r="G717" s="40"/>
      <c r="H717" s="35" t="str">
        <f aca="false">IF($C717="","",N($E717)*$F717-N($G717))</f>
        <v/>
      </c>
      <c r="I717" s="35" t="str">
        <f aca="false">IF($C717="","",$H717-$H717/(1+IFERROR(INDEX(PRODUCTOS!$E$6:$E$105,MATCH($C717,PRODUCTOS!$A$6:$A$105,0)),IVA_VENTAS)))</f>
        <v/>
      </c>
      <c r="J717" s="35" t="str">
        <f aca="false">IF($C717="","",$H717-$I717)</f>
        <v/>
      </c>
      <c r="K717" s="35" t="str">
        <f aca="false">IF($C717="","",N($E717)*IFERROR(INDEX(PRODUCTOS!$H$6:$H$105,MATCH($C717,PRODUCTOS!$A$6:$A$105,0)),0))</f>
        <v/>
      </c>
      <c r="L717" s="35" t="str">
        <f aca="false">IF($C717="","",$J717-$K717)</f>
        <v/>
      </c>
      <c r="M717" s="6"/>
      <c r="N717" s="6"/>
      <c r="O717" s="46" t="str">
        <f aca="false">IF($A717="","",DATE(YEAR($A717),MONTH($A717),1))</f>
        <v/>
      </c>
    </row>
    <row r="718" customFormat="false" ht="15" hidden="false" customHeight="false" outlineLevel="0" collapsed="false">
      <c r="A718" s="44"/>
      <c r="B718" s="6"/>
      <c r="C718" s="6"/>
      <c r="D718" s="8" t="str">
        <f aca="false">IF($C718="","",IFERROR(INDEX(PRODUCTOS!$B$6:$B$105,MATCH($C718,PRODUCTOS!$A$6:$A$105,0)),"¿Código?"))</f>
        <v/>
      </c>
      <c r="E718" s="42"/>
      <c r="F718" s="35" t="str">
        <f aca="false">IF($C718="","",IFERROR(INDEX(PRODUCTOS!$D$6:$D$105,MATCH($C718,PRODUCTOS!$A$6:$A$105,0)),0))</f>
        <v/>
      </c>
      <c r="G718" s="40"/>
      <c r="H718" s="35" t="str">
        <f aca="false">IF($C718="","",N($E718)*$F718-N($G718))</f>
        <v/>
      </c>
      <c r="I718" s="35" t="str">
        <f aca="false">IF($C718="","",$H718-$H718/(1+IFERROR(INDEX(PRODUCTOS!$E$6:$E$105,MATCH($C718,PRODUCTOS!$A$6:$A$105,0)),IVA_VENTAS)))</f>
        <v/>
      </c>
      <c r="J718" s="35" t="str">
        <f aca="false">IF($C718="","",$H718-$I718)</f>
        <v/>
      </c>
      <c r="K718" s="35" t="str">
        <f aca="false">IF($C718="","",N($E718)*IFERROR(INDEX(PRODUCTOS!$H$6:$H$105,MATCH($C718,PRODUCTOS!$A$6:$A$105,0)),0))</f>
        <v/>
      </c>
      <c r="L718" s="35" t="str">
        <f aca="false">IF($C718="","",$J718-$K718)</f>
        <v/>
      </c>
      <c r="M718" s="6"/>
      <c r="N718" s="6"/>
      <c r="O718" s="46" t="str">
        <f aca="false">IF($A718="","",DATE(YEAR($A718),MONTH($A718),1))</f>
        <v/>
      </c>
    </row>
    <row r="719" customFormat="false" ht="15" hidden="false" customHeight="false" outlineLevel="0" collapsed="false">
      <c r="A719" s="44"/>
      <c r="B719" s="6"/>
      <c r="C719" s="6"/>
      <c r="D719" s="8" t="str">
        <f aca="false">IF($C719="","",IFERROR(INDEX(PRODUCTOS!$B$6:$B$105,MATCH($C719,PRODUCTOS!$A$6:$A$105,0)),"¿Código?"))</f>
        <v/>
      </c>
      <c r="E719" s="42"/>
      <c r="F719" s="35" t="str">
        <f aca="false">IF($C719="","",IFERROR(INDEX(PRODUCTOS!$D$6:$D$105,MATCH($C719,PRODUCTOS!$A$6:$A$105,0)),0))</f>
        <v/>
      </c>
      <c r="G719" s="40"/>
      <c r="H719" s="35" t="str">
        <f aca="false">IF($C719="","",N($E719)*$F719-N($G719))</f>
        <v/>
      </c>
      <c r="I719" s="35" t="str">
        <f aca="false">IF($C719="","",$H719-$H719/(1+IFERROR(INDEX(PRODUCTOS!$E$6:$E$105,MATCH($C719,PRODUCTOS!$A$6:$A$105,0)),IVA_VENTAS)))</f>
        <v/>
      </c>
      <c r="J719" s="35" t="str">
        <f aca="false">IF($C719="","",$H719-$I719)</f>
        <v/>
      </c>
      <c r="K719" s="35" t="str">
        <f aca="false">IF($C719="","",N($E719)*IFERROR(INDEX(PRODUCTOS!$H$6:$H$105,MATCH($C719,PRODUCTOS!$A$6:$A$105,0)),0))</f>
        <v/>
      </c>
      <c r="L719" s="35" t="str">
        <f aca="false">IF($C719="","",$J719-$K719)</f>
        <v/>
      </c>
      <c r="M719" s="6"/>
      <c r="N719" s="6"/>
      <c r="O719" s="46" t="str">
        <f aca="false">IF($A719="","",DATE(YEAR($A719),MONTH($A719),1))</f>
        <v/>
      </c>
    </row>
    <row r="720" customFormat="false" ht="15" hidden="false" customHeight="false" outlineLevel="0" collapsed="false">
      <c r="A720" s="44"/>
      <c r="B720" s="6"/>
      <c r="C720" s="6"/>
      <c r="D720" s="8" t="str">
        <f aca="false">IF($C720="","",IFERROR(INDEX(PRODUCTOS!$B$6:$B$105,MATCH($C720,PRODUCTOS!$A$6:$A$105,0)),"¿Código?"))</f>
        <v/>
      </c>
      <c r="E720" s="42"/>
      <c r="F720" s="35" t="str">
        <f aca="false">IF($C720="","",IFERROR(INDEX(PRODUCTOS!$D$6:$D$105,MATCH($C720,PRODUCTOS!$A$6:$A$105,0)),0))</f>
        <v/>
      </c>
      <c r="G720" s="40"/>
      <c r="H720" s="35" t="str">
        <f aca="false">IF($C720="","",N($E720)*$F720-N($G720))</f>
        <v/>
      </c>
      <c r="I720" s="35" t="str">
        <f aca="false">IF($C720="","",$H720-$H720/(1+IFERROR(INDEX(PRODUCTOS!$E$6:$E$105,MATCH($C720,PRODUCTOS!$A$6:$A$105,0)),IVA_VENTAS)))</f>
        <v/>
      </c>
      <c r="J720" s="35" t="str">
        <f aca="false">IF($C720="","",$H720-$I720)</f>
        <v/>
      </c>
      <c r="K720" s="35" t="str">
        <f aca="false">IF($C720="","",N($E720)*IFERROR(INDEX(PRODUCTOS!$H$6:$H$105,MATCH($C720,PRODUCTOS!$A$6:$A$105,0)),0))</f>
        <v/>
      </c>
      <c r="L720" s="35" t="str">
        <f aca="false">IF($C720="","",$J720-$K720)</f>
        <v/>
      </c>
      <c r="M720" s="6"/>
      <c r="N720" s="6"/>
      <c r="O720" s="46" t="str">
        <f aca="false">IF($A720="","",DATE(YEAR($A720),MONTH($A720),1))</f>
        <v/>
      </c>
    </row>
    <row r="721" customFormat="false" ht="15" hidden="false" customHeight="false" outlineLevel="0" collapsed="false">
      <c r="A721" s="44"/>
      <c r="B721" s="6"/>
      <c r="C721" s="6"/>
      <c r="D721" s="8" t="str">
        <f aca="false">IF($C721="","",IFERROR(INDEX(PRODUCTOS!$B$6:$B$105,MATCH($C721,PRODUCTOS!$A$6:$A$105,0)),"¿Código?"))</f>
        <v/>
      </c>
      <c r="E721" s="42"/>
      <c r="F721" s="35" t="str">
        <f aca="false">IF($C721="","",IFERROR(INDEX(PRODUCTOS!$D$6:$D$105,MATCH($C721,PRODUCTOS!$A$6:$A$105,0)),0))</f>
        <v/>
      </c>
      <c r="G721" s="40"/>
      <c r="H721" s="35" t="str">
        <f aca="false">IF($C721="","",N($E721)*$F721-N($G721))</f>
        <v/>
      </c>
      <c r="I721" s="35" t="str">
        <f aca="false">IF($C721="","",$H721-$H721/(1+IFERROR(INDEX(PRODUCTOS!$E$6:$E$105,MATCH($C721,PRODUCTOS!$A$6:$A$105,0)),IVA_VENTAS)))</f>
        <v/>
      </c>
      <c r="J721" s="35" t="str">
        <f aca="false">IF($C721="","",$H721-$I721)</f>
        <v/>
      </c>
      <c r="K721" s="35" t="str">
        <f aca="false">IF($C721="","",N($E721)*IFERROR(INDEX(PRODUCTOS!$H$6:$H$105,MATCH($C721,PRODUCTOS!$A$6:$A$105,0)),0))</f>
        <v/>
      </c>
      <c r="L721" s="35" t="str">
        <f aca="false">IF($C721="","",$J721-$K721)</f>
        <v/>
      </c>
      <c r="M721" s="6"/>
      <c r="N721" s="6"/>
      <c r="O721" s="46" t="str">
        <f aca="false">IF($A721="","",DATE(YEAR($A721),MONTH($A721),1))</f>
        <v/>
      </c>
    </row>
    <row r="722" customFormat="false" ht="15" hidden="false" customHeight="false" outlineLevel="0" collapsed="false">
      <c r="A722" s="44"/>
      <c r="B722" s="6"/>
      <c r="C722" s="6"/>
      <c r="D722" s="8" t="str">
        <f aca="false">IF($C722="","",IFERROR(INDEX(PRODUCTOS!$B$6:$B$105,MATCH($C722,PRODUCTOS!$A$6:$A$105,0)),"¿Código?"))</f>
        <v/>
      </c>
      <c r="E722" s="42"/>
      <c r="F722" s="35" t="str">
        <f aca="false">IF($C722="","",IFERROR(INDEX(PRODUCTOS!$D$6:$D$105,MATCH($C722,PRODUCTOS!$A$6:$A$105,0)),0))</f>
        <v/>
      </c>
      <c r="G722" s="40"/>
      <c r="H722" s="35" t="str">
        <f aca="false">IF($C722="","",N($E722)*$F722-N($G722))</f>
        <v/>
      </c>
      <c r="I722" s="35" t="str">
        <f aca="false">IF($C722="","",$H722-$H722/(1+IFERROR(INDEX(PRODUCTOS!$E$6:$E$105,MATCH($C722,PRODUCTOS!$A$6:$A$105,0)),IVA_VENTAS)))</f>
        <v/>
      </c>
      <c r="J722" s="35" t="str">
        <f aca="false">IF($C722="","",$H722-$I722)</f>
        <v/>
      </c>
      <c r="K722" s="35" t="str">
        <f aca="false">IF($C722="","",N($E722)*IFERROR(INDEX(PRODUCTOS!$H$6:$H$105,MATCH($C722,PRODUCTOS!$A$6:$A$105,0)),0))</f>
        <v/>
      </c>
      <c r="L722" s="35" t="str">
        <f aca="false">IF($C722="","",$J722-$K722)</f>
        <v/>
      </c>
      <c r="M722" s="6"/>
      <c r="N722" s="6"/>
      <c r="O722" s="46" t="str">
        <f aca="false">IF($A722="","",DATE(YEAR($A722),MONTH($A722),1))</f>
        <v/>
      </c>
    </row>
    <row r="723" customFormat="false" ht="15" hidden="false" customHeight="false" outlineLevel="0" collapsed="false">
      <c r="A723" s="44"/>
      <c r="B723" s="6"/>
      <c r="C723" s="6"/>
      <c r="D723" s="8" t="str">
        <f aca="false">IF($C723="","",IFERROR(INDEX(PRODUCTOS!$B$6:$B$105,MATCH($C723,PRODUCTOS!$A$6:$A$105,0)),"¿Código?"))</f>
        <v/>
      </c>
      <c r="E723" s="42"/>
      <c r="F723" s="35" t="str">
        <f aca="false">IF($C723="","",IFERROR(INDEX(PRODUCTOS!$D$6:$D$105,MATCH($C723,PRODUCTOS!$A$6:$A$105,0)),0))</f>
        <v/>
      </c>
      <c r="G723" s="40"/>
      <c r="H723" s="35" t="str">
        <f aca="false">IF($C723="","",N($E723)*$F723-N($G723))</f>
        <v/>
      </c>
      <c r="I723" s="35" t="str">
        <f aca="false">IF($C723="","",$H723-$H723/(1+IFERROR(INDEX(PRODUCTOS!$E$6:$E$105,MATCH($C723,PRODUCTOS!$A$6:$A$105,0)),IVA_VENTAS)))</f>
        <v/>
      </c>
      <c r="J723" s="35" t="str">
        <f aca="false">IF($C723="","",$H723-$I723)</f>
        <v/>
      </c>
      <c r="K723" s="35" t="str">
        <f aca="false">IF($C723="","",N($E723)*IFERROR(INDEX(PRODUCTOS!$H$6:$H$105,MATCH($C723,PRODUCTOS!$A$6:$A$105,0)),0))</f>
        <v/>
      </c>
      <c r="L723" s="35" t="str">
        <f aca="false">IF($C723="","",$J723-$K723)</f>
        <v/>
      </c>
      <c r="M723" s="6"/>
      <c r="N723" s="6"/>
      <c r="O723" s="46" t="str">
        <f aca="false">IF($A723="","",DATE(YEAR($A723),MONTH($A723),1))</f>
        <v/>
      </c>
    </row>
    <row r="724" customFormat="false" ht="15" hidden="false" customHeight="false" outlineLevel="0" collapsed="false">
      <c r="A724" s="44"/>
      <c r="B724" s="6"/>
      <c r="C724" s="6"/>
      <c r="D724" s="8" t="str">
        <f aca="false">IF($C724="","",IFERROR(INDEX(PRODUCTOS!$B$6:$B$105,MATCH($C724,PRODUCTOS!$A$6:$A$105,0)),"¿Código?"))</f>
        <v/>
      </c>
      <c r="E724" s="42"/>
      <c r="F724" s="35" t="str">
        <f aca="false">IF($C724="","",IFERROR(INDEX(PRODUCTOS!$D$6:$D$105,MATCH($C724,PRODUCTOS!$A$6:$A$105,0)),0))</f>
        <v/>
      </c>
      <c r="G724" s="40"/>
      <c r="H724" s="35" t="str">
        <f aca="false">IF($C724="","",N($E724)*$F724-N($G724))</f>
        <v/>
      </c>
      <c r="I724" s="35" t="str">
        <f aca="false">IF($C724="","",$H724-$H724/(1+IFERROR(INDEX(PRODUCTOS!$E$6:$E$105,MATCH($C724,PRODUCTOS!$A$6:$A$105,0)),IVA_VENTAS)))</f>
        <v/>
      </c>
      <c r="J724" s="35" t="str">
        <f aca="false">IF($C724="","",$H724-$I724)</f>
        <v/>
      </c>
      <c r="K724" s="35" t="str">
        <f aca="false">IF($C724="","",N($E724)*IFERROR(INDEX(PRODUCTOS!$H$6:$H$105,MATCH($C724,PRODUCTOS!$A$6:$A$105,0)),0))</f>
        <v/>
      </c>
      <c r="L724" s="35" t="str">
        <f aca="false">IF($C724="","",$J724-$K724)</f>
        <v/>
      </c>
      <c r="M724" s="6"/>
      <c r="N724" s="6"/>
      <c r="O724" s="46" t="str">
        <f aca="false">IF($A724="","",DATE(YEAR($A724),MONTH($A724),1))</f>
        <v/>
      </c>
    </row>
    <row r="725" customFormat="false" ht="15" hidden="false" customHeight="false" outlineLevel="0" collapsed="false">
      <c r="A725" s="44"/>
      <c r="B725" s="6"/>
      <c r="C725" s="6"/>
      <c r="D725" s="8" t="str">
        <f aca="false">IF($C725="","",IFERROR(INDEX(PRODUCTOS!$B$6:$B$105,MATCH($C725,PRODUCTOS!$A$6:$A$105,0)),"¿Código?"))</f>
        <v/>
      </c>
      <c r="E725" s="42"/>
      <c r="F725" s="35" t="str">
        <f aca="false">IF($C725="","",IFERROR(INDEX(PRODUCTOS!$D$6:$D$105,MATCH($C725,PRODUCTOS!$A$6:$A$105,0)),0))</f>
        <v/>
      </c>
      <c r="G725" s="40"/>
      <c r="H725" s="35" t="str">
        <f aca="false">IF($C725="","",N($E725)*$F725-N($G725))</f>
        <v/>
      </c>
      <c r="I725" s="35" t="str">
        <f aca="false">IF($C725="","",$H725-$H725/(1+IFERROR(INDEX(PRODUCTOS!$E$6:$E$105,MATCH($C725,PRODUCTOS!$A$6:$A$105,0)),IVA_VENTAS)))</f>
        <v/>
      </c>
      <c r="J725" s="35" t="str">
        <f aca="false">IF($C725="","",$H725-$I725)</f>
        <v/>
      </c>
      <c r="K725" s="35" t="str">
        <f aca="false">IF($C725="","",N($E725)*IFERROR(INDEX(PRODUCTOS!$H$6:$H$105,MATCH($C725,PRODUCTOS!$A$6:$A$105,0)),0))</f>
        <v/>
      </c>
      <c r="L725" s="35" t="str">
        <f aca="false">IF($C725="","",$J725-$K725)</f>
        <v/>
      </c>
      <c r="M725" s="6"/>
      <c r="N725" s="6"/>
      <c r="O725" s="46" t="str">
        <f aca="false">IF($A725="","",DATE(YEAR($A725),MONTH($A725),1))</f>
        <v/>
      </c>
    </row>
    <row r="726" customFormat="false" ht="15" hidden="false" customHeight="false" outlineLevel="0" collapsed="false">
      <c r="A726" s="44"/>
      <c r="B726" s="6"/>
      <c r="C726" s="6"/>
      <c r="D726" s="8" t="str">
        <f aca="false">IF($C726="","",IFERROR(INDEX(PRODUCTOS!$B$6:$B$105,MATCH($C726,PRODUCTOS!$A$6:$A$105,0)),"¿Código?"))</f>
        <v/>
      </c>
      <c r="E726" s="42"/>
      <c r="F726" s="35" t="str">
        <f aca="false">IF($C726="","",IFERROR(INDEX(PRODUCTOS!$D$6:$D$105,MATCH($C726,PRODUCTOS!$A$6:$A$105,0)),0))</f>
        <v/>
      </c>
      <c r="G726" s="40"/>
      <c r="H726" s="35" t="str">
        <f aca="false">IF($C726="","",N($E726)*$F726-N($G726))</f>
        <v/>
      </c>
      <c r="I726" s="35" t="str">
        <f aca="false">IF($C726="","",$H726-$H726/(1+IFERROR(INDEX(PRODUCTOS!$E$6:$E$105,MATCH($C726,PRODUCTOS!$A$6:$A$105,0)),IVA_VENTAS)))</f>
        <v/>
      </c>
      <c r="J726" s="35" t="str">
        <f aca="false">IF($C726="","",$H726-$I726)</f>
        <v/>
      </c>
      <c r="K726" s="35" t="str">
        <f aca="false">IF($C726="","",N($E726)*IFERROR(INDEX(PRODUCTOS!$H$6:$H$105,MATCH($C726,PRODUCTOS!$A$6:$A$105,0)),0))</f>
        <v/>
      </c>
      <c r="L726" s="35" t="str">
        <f aca="false">IF($C726="","",$J726-$K726)</f>
        <v/>
      </c>
      <c r="M726" s="6"/>
      <c r="N726" s="6"/>
      <c r="O726" s="46" t="str">
        <f aca="false">IF($A726="","",DATE(YEAR($A726),MONTH($A726),1))</f>
        <v/>
      </c>
    </row>
    <row r="727" customFormat="false" ht="15" hidden="false" customHeight="false" outlineLevel="0" collapsed="false">
      <c r="A727" s="44"/>
      <c r="B727" s="6"/>
      <c r="C727" s="6"/>
      <c r="D727" s="8" t="str">
        <f aca="false">IF($C727="","",IFERROR(INDEX(PRODUCTOS!$B$6:$B$105,MATCH($C727,PRODUCTOS!$A$6:$A$105,0)),"¿Código?"))</f>
        <v/>
      </c>
      <c r="E727" s="42"/>
      <c r="F727" s="35" t="str">
        <f aca="false">IF($C727="","",IFERROR(INDEX(PRODUCTOS!$D$6:$D$105,MATCH($C727,PRODUCTOS!$A$6:$A$105,0)),0))</f>
        <v/>
      </c>
      <c r="G727" s="40"/>
      <c r="H727" s="35" t="str">
        <f aca="false">IF($C727="","",N($E727)*$F727-N($G727))</f>
        <v/>
      </c>
      <c r="I727" s="35" t="str">
        <f aca="false">IF($C727="","",$H727-$H727/(1+IFERROR(INDEX(PRODUCTOS!$E$6:$E$105,MATCH($C727,PRODUCTOS!$A$6:$A$105,0)),IVA_VENTAS)))</f>
        <v/>
      </c>
      <c r="J727" s="35" t="str">
        <f aca="false">IF($C727="","",$H727-$I727)</f>
        <v/>
      </c>
      <c r="K727" s="35" t="str">
        <f aca="false">IF($C727="","",N($E727)*IFERROR(INDEX(PRODUCTOS!$H$6:$H$105,MATCH($C727,PRODUCTOS!$A$6:$A$105,0)),0))</f>
        <v/>
      </c>
      <c r="L727" s="35" t="str">
        <f aca="false">IF($C727="","",$J727-$K727)</f>
        <v/>
      </c>
      <c r="M727" s="6"/>
      <c r="N727" s="6"/>
      <c r="O727" s="46" t="str">
        <f aca="false">IF($A727="","",DATE(YEAR($A727),MONTH($A727),1))</f>
        <v/>
      </c>
    </row>
    <row r="728" customFormat="false" ht="15" hidden="false" customHeight="false" outlineLevel="0" collapsed="false">
      <c r="A728" s="44"/>
      <c r="B728" s="6"/>
      <c r="C728" s="6"/>
      <c r="D728" s="8" t="str">
        <f aca="false">IF($C728="","",IFERROR(INDEX(PRODUCTOS!$B$6:$B$105,MATCH($C728,PRODUCTOS!$A$6:$A$105,0)),"¿Código?"))</f>
        <v/>
      </c>
      <c r="E728" s="42"/>
      <c r="F728" s="35" t="str">
        <f aca="false">IF($C728="","",IFERROR(INDEX(PRODUCTOS!$D$6:$D$105,MATCH($C728,PRODUCTOS!$A$6:$A$105,0)),0))</f>
        <v/>
      </c>
      <c r="G728" s="40"/>
      <c r="H728" s="35" t="str">
        <f aca="false">IF($C728="","",N($E728)*$F728-N($G728))</f>
        <v/>
      </c>
      <c r="I728" s="35" t="str">
        <f aca="false">IF($C728="","",$H728-$H728/(1+IFERROR(INDEX(PRODUCTOS!$E$6:$E$105,MATCH($C728,PRODUCTOS!$A$6:$A$105,0)),IVA_VENTAS)))</f>
        <v/>
      </c>
      <c r="J728" s="35" t="str">
        <f aca="false">IF($C728="","",$H728-$I728)</f>
        <v/>
      </c>
      <c r="K728" s="35" t="str">
        <f aca="false">IF($C728="","",N($E728)*IFERROR(INDEX(PRODUCTOS!$H$6:$H$105,MATCH($C728,PRODUCTOS!$A$6:$A$105,0)),0))</f>
        <v/>
      </c>
      <c r="L728" s="35" t="str">
        <f aca="false">IF($C728="","",$J728-$K728)</f>
        <v/>
      </c>
      <c r="M728" s="6"/>
      <c r="N728" s="6"/>
      <c r="O728" s="46" t="str">
        <f aca="false">IF($A728="","",DATE(YEAR($A728),MONTH($A728),1))</f>
        <v/>
      </c>
    </row>
    <row r="729" customFormat="false" ht="15" hidden="false" customHeight="false" outlineLevel="0" collapsed="false">
      <c r="A729" s="44"/>
      <c r="B729" s="6"/>
      <c r="C729" s="6"/>
      <c r="D729" s="8" t="str">
        <f aca="false">IF($C729="","",IFERROR(INDEX(PRODUCTOS!$B$6:$B$105,MATCH($C729,PRODUCTOS!$A$6:$A$105,0)),"¿Código?"))</f>
        <v/>
      </c>
      <c r="E729" s="42"/>
      <c r="F729" s="35" t="str">
        <f aca="false">IF($C729="","",IFERROR(INDEX(PRODUCTOS!$D$6:$D$105,MATCH($C729,PRODUCTOS!$A$6:$A$105,0)),0))</f>
        <v/>
      </c>
      <c r="G729" s="40"/>
      <c r="H729" s="35" t="str">
        <f aca="false">IF($C729="","",N($E729)*$F729-N($G729))</f>
        <v/>
      </c>
      <c r="I729" s="35" t="str">
        <f aca="false">IF($C729="","",$H729-$H729/(1+IFERROR(INDEX(PRODUCTOS!$E$6:$E$105,MATCH($C729,PRODUCTOS!$A$6:$A$105,0)),IVA_VENTAS)))</f>
        <v/>
      </c>
      <c r="J729" s="35" t="str">
        <f aca="false">IF($C729="","",$H729-$I729)</f>
        <v/>
      </c>
      <c r="K729" s="35" t="str">
        <f aca="false">IF($C729="","",N($E729)*IFERROR(INDEX(PRODUCTOS!$H$6:$H$105,MATCH($C729,PRODUCTOS!$A$6:$A$105,0)),0))</f>
        <v/>
      </c>
      <c r="L729" s="35" t="str">
        <f aca="false">IF($C729="","",$J729-$K729)</f>
        <v/>
      </c>
      <c r="M729" s="6"/>
      <c r="N729" s="6"/>
      <c r="O729" s="46" t="str">
        <f aca="false">IF($A729="","",DATE(YEAR($A729),MONTH($A729),1))</f>
        <v/>
      </c>
    </row>
    <row r="730" customFormat="false" ht="15" hidden="false" customHeight="false" outlineLevel="0" collapsed="false">
      <c r="A730" s="44"/>
      <c r="B730" s="6"/>
      <c r="C730" s="6"/>
      <c r="D730" s="8" t="str">
        <f aca="false">IF($C730="","",IFERROR(INDEX(PRODUCTOS!$B$6:$B$105,MATCH($C730,PRODUCTOS!$A$6:$A$105,0)),"¿Código?"))</f>
        <v/>
      </c>
      <c r="E730" s="42"/>
      <c r="F730" s="35" t="str">
        <f aca="false">IF($C730="","",IFERROR(INDEX(PRODUCTOS!$D$6:$D$105,MATCH($C730,PRODUCTOS!$A$6:$A$105,0)),0))</f>
        <v/>
      </c>
      <c r="G730" s="40"/>
      <c r="H730" s="35" t="str">
        <f aca="false">IF($C730="","",N($E730)*$F730-N($G730))</f>
        <v/>
      </c>
      <c r="I730" s="35" t="str">
        <f aca="false">IF($C730="","",$H730-$H730/(1+IFERROR(INDEX(PRODUCTOS!$E$6:$E$105,MATCH($C730,PRODUCTOS!$A$6:$A$105,0)),IVA_VENTAS)))</f>
        <v/>
      </c>
      <c r="J730" s="35" t="str">
        <f aca="false">IF($C730="","",$H730-$I730)</f>
        <v/>
      </c>
      <c r="K730" s="35" t="str">
        <f aca="false">IF($C730="","",N($E730)*IFERROR(INDEX(PRODUCTOS!$H$6:$H$105,MATCH($C730,PRODUCTOS!$A$6:$A$105,0)),0))</f>
        <v/>
      </c>
      <c r="L730" s="35" t="str">
        <f aca="false">IF($C730="","",$J730-$K730)</f>
        <v/>
      </c>
      <c r="M730" s="6"/>
      <c r="N730" s="6"/>
      <c r="O730" s="46" t="str">
        <f aca="false">IF($A730="","",DATE(YEAR($A730),MONTH($A730),1))</f>
        <v/>
      </c>
    </row>
    <row r="731" customFormat="false" ht="15" hidden="false" customHeight="false" outlineLevel="0" collapsed="false">
      <c r="A731" s="44"/>
      <c r="B731" s="6"/>
      <c r="C731" s="6"/>
      <c r="D731" s="8" t="str">
        <f aca="false">IF($C731="","",IFERROR(INDEX(PRODUCTOS!$B$6:$B$105,MATCH($C731,PRODUCTOS!$A$6:$A$105,0)),"¿Código?"))</f>
        <v/>
      </c>
      <c r="E731" s="42"/>
      <c r="F731" s="35" t="str">
        <f aca="false">IF($C731="","",IFERROR(INDEX(PRODUCTOS!$D$6:$D$105,MATCH($C731,PRODUCTOS!$A$6:$A$105,0)),0))</f>
        <v/>
      </c>
      <c r="G731" s="40"/>
      <c r="H731" s="35" t="str">
        <f aca="false">IF($C731="","",N($E731)*$F731-N($G731))</f>
        <v/>
      </c>
      <c r="I731" s="35" t="str">
        <f aca="false">IF($C731="","",$H731-$H731/(1+IFERROR(INDEX(PRODUCTOS!$E$6:$E$105,MATCH($C731,PRODUCTOS!$A$6:$A$105,0)),IVA_VENTAS)))</f>
        <v/>
      </c>
      <c r="J731" s="35" t="str">
        <f aca="false">IF($C731="","",$H731-$I731)</f>
        <v/>
      </c>
      <c r="K731" s="35" t="str">
        <f aca="false">IF($C731="","",N($E731)*IFERROR(INDEX(PRODUCTOS!$H$6:$H$105,MATCH($C731,PRODUCTOS!$A$6:$A$105,0)),0))</f>
        <v/>
      </c>
      <c r="L731" s="35" t="str">
        <f aca="false">IF($C731="","",$J731-$K731)</f>
        <v/>
      </c>
      <c r="M731" s="6"/>
      <c r="N731" s="6"/>
      <c r="O731" s="46" t="str">
        <f aca="false">IF($A731="","",DATE(YEAR($A731),MONTH($A731),1))</f>
        <v/>
      </c>
    </row>
    <row r="732" customFormat="false" ht="15" hidden="false" customHeight="false" outlineLevel="0" collapsed="false">
      <c r="A732" s="44"/>
      <c r="B732" s="6"/>
      <c r="C732" s="6"/>
      <c r="D732" s="8" t="str">
        <f aca="false">IF($C732="","",IFERROR(INDEX(PRODUCTOS!$B$6:$B$105,MATCH($C732,PRODUCTOS!$A$6:$A$105,0)),"¿Código?"))</f>
        <v/>
      </c>
      <c r="E732" s="42"/>
      <c r="F732" s="35" t="str">
        <f aca="false">IF($C732="","",IFERROR(INDEX(PRODUCTOS!$D$6:$D$105,MATCH($C732,PRODUCTOS!$A$6:$A$105,0)),0))</f>
        <v/>
      </c>
      <c r="G732" s="40"/>
      <c r="H732" s="35" t="str">
        <f aca="false">IF($C732="","",N($E732)*$F732-N($G732))</f>
        <v/>
      </c>
      <c r="I732" s="35" t="str">
        <f aca="false">IF($C732="","",$H732-$H732/(1+IFERROR(INDEX(PRODUCTOS!$E$6:$E$105,MATCH($C732,PRODUCTOS!$A$6:$A$105,0)),IVA_VENTAS)))</f>
        <v/>
      </c>
      <c r="J732" s="35" t="str">
        <f aca="false">IF($C732="","",$H732-$I732)</f>
        <v/>
      </c>
      <c r="K732" s="35" t="str">
        <f aca="false">IF($C732="","",N($E732)*IFERROR(INDEX(PRODUCTOS!$H$6:$H$105,MATCH($C732,PRODUCTOS!$A$6:$A$105,0)),0))</f>
        <v/>
      </c>
      <c r="L732" s="35" t="str">
        <f aca="false">IF($C732="","",$J732-$K732)</f>
        <v/>
      </c>
      <c r="M732" s="6"/>
      <c r="N732" s="6"/>
      <c r="O732" s="46" t="str">
        <f aca="false">IF($A732="","",DATE(YEAR($A732),MONTH($A732),1))</f>
        <v/>
      </c>
    </row>
    <row r="733" customFormat="false" ht="15" hidden="false" customHeight="false" outlineLevel="0" collapsed="false">
      <c r="A733" s="44"/>
      <c r="B733" s="6"/>
      <c r="C733" s="6"/>
      <c r="D733" s="8" t="str">
        <f aca="false">IF($C733="","",IFERROR(INDEX(PRODUCTOS!$B$6:$B$105,MATCH($C733,PRODUCTOS!$A$6:$A$105,0)),"¿Código?"))</f>
        <v/>
      </c>
      <c r="E733" s="42"/>
      <c r="F733" s="35" t="str">
        <f aca="false">IF($C733="","",IFERROR(INDEX(PRODUCTOS!$D$6:$D$105,MATCH($C733,PRODUCTOS!$A$6:$A$105,0)),0))</f>
        <v/>
      </c>
      <c r="G733" s="40"/>
      <c r="H733" s="35" t="str">
        <f aca="false">IF($C733="","",N($E733)*$F733-N($G733))</f>
        <v/>
      </c>
      <c r="I733" s="35" t="str">
        <f aca="false">IF($C733="","",$H733-$H733/(1+IFERROR(INDEX(PRODUCTOS!$E$6:$E$105,MATCH($C733,PRODUCTOS!$A$6:$A$105,0)),IVA_VENTAS)))</f>
        <v/>
      </c>
      <c r="J733" s="35" t="str">
        <f aca="false">IF($C733="","",$H733-$I733)</f>
        <v/>
      </c>
      <c r="K733" s="35" t="str">
        <f aca="false">IF($C733="","",N($E733)*IFERROR(INDEX(PRODUCTOS!$H$6:$H$105,MATCH($C733,PRODUCTOS!$A$6:$A$105,0)),0))</f>
        <v/>
      </c>
      <c r="L733" s="35" t="str">
        <f aca="false">IF($C733="","",$J733-$K733)</f>
        <v/>
      </c>
      <c r="M733" s="6"/>
      <c r="N733" s="6"/>
      <c r="O733" s="46" t="str">
        <f aca="false">IF($A733="","",DATE(YEAR($A733),MONTH($A733),1))</f>
        <v/>
      </c>
    </row>
    <row r="734" customFormat="false" ht="15" hidden="false" customHeight="false" outlineLevel="0" collapsed="false">
      <c r="A734" s="44"/>
      <c r="B734" s="6"/>
      <c r="C734" s="6"/>
      <c r="D734" s="8" t="str">
        <f aca="false">IF($C734="","",IFERROR(INDEX(PRODUCTOS!$B$6:$B$105,MATCH($C734,PRODUCTOS!$A$6:$A$105,0)),"¿Código?"))</f>
        <v/>
      </c>
      <c r="E734" s="42"/>
      <c r="F734" s="35" t="str">
        <f aca="false">IF($C734="","",IFERROR(INDEX(PRODUCTOS!$D$6:$D$105,MATCH($C734,PRODUCTOS!$A$6:$A$105,0)),0))</f>
        <v/>
      </c>
      <c r="G734" s="40"/>
      <c r="H734" s="35" t="str">
        <f aca="false">IF($C734="","",N($E734)*$F734-N($G734))</f>
        <v/>
      </c>
      <c r="I734" s="35" t="str">
        <f aca="false">IF($C734="","",$H734-$H734/(1+IFERROR(INDEX(PRODUCTOS!$E$6:$E$105,MATCH($C734,PRODUCTOS!$A$6:$A$105,0)),IVA_VENTAS)))</f>
        <v/>
      </c>
      <c r="J734" s="35" t="str">
        <f aca="false">IF($C734="","",$H734-$I734)</f>
        <v/>
      </c>
      <c r="K734" s="35" t="str">
        <f aca="false">IF($C734="","",N($E734)*IFERROR(INDEX(PRODUCTOS!$H$6:$H$105,MATCH($C734,PRODUCTOS!$A$6:$A$105,0)),0))</f>
        <v/>
      </c>
      <c r="L734" s="35" t="str">
        <f aca="false">IF($C734="","",$J734-$K734)</f>
        <v/>
      </c>
      <c r="M734" s="6"/>
      <c r="N734" s="6"/>
      <c r="O734" s="46" t="str">
        <f aca="false">IF($A734="","",DATE(YEAR($A734),MONTH($A734),1))</f>
        <v/>
      </c>
    </row>
    <row r="735" customFormat="false" ht="15" hidden="false" customHeight="false" outlineLevel="0" collapsed="false">
      <c r="A735" s="44"/>
      <c r="B735" s="6"/>
      <c r="C735" s="6"/>
      <c r="D735" s="8" t="str">
        <f aca="false">IF($C735="","",IFERROR(INDEX(PRODUCTOS!$B$6:$B$105,MATCH($C735,PRODUCTOS!$A$6:$A$105,0)),"¿Código?"))</f>
        <v/>
      </c>
      <c r="E735" s="42"/>
      <c r="F735" s="35" t="str">
        <f aca="false">IF($C735="","",IFERROR(INDEX(PRODUCTOS!$D$6:$D$105,MATCH($C735,PRODUCTOS!$A$6:$A$105,0)),0))</f>
        <v/>
      </c>
      <c r="G735" s="40"/>
      <c r="H735" s="35" t="str">
        <f aca="false">IF($C735="","",N($E735)*$F735-N($G735))</f>
        <v/>
      </c>
      <c r="I735" s="35" t="str">
        <f aca="false">IF($C735="","",$H735-$H735/(1+IFERROR(INDEX(PRODUCTOS!$E$6:$E$105,MATCH($C735,PRODUCTOS!$A$6:$A$105,0)),IVA_VENTAS)))</f>
        <v/>
      </c>
      <c r="J735" s="35" t="str">
        <f aca="false">IF($C735="","",$H735-$I735)</f>
        <v/>
      </c>
      <c r="K735" s="35" t="str">
        <f aca="false">IF($C735="","",N($E735)*IFERROR(INDEX(PRODUCTOS!$H$6:$H$105,MATCH($C735,PRODUCTOS!$A$6:$A$105,0)),0))</f>
        <v/>
      </c>
      <c r="L735" s="35" t="str">
        <f aca="false">IF($C735="","",$J735-$K735)</f>
        <v/>
      </c>
      <c r="M735" s="6"/>
      <c r="N735" s="6"/>
      <c r="O735" s="46" t="str">
        <f aca="false">IF($A735="","",DATE(YEAR($A735),MONTH($A735),1))</f>
        <v/>
      </c>
    </row>
    <row r="736" customFormat="false" ht="15" hidden="false" customHeight="false" outlineLevel="0" collapsed="false">
      <c r="A736" s="44"/>
      <c r="B736" s="6"/>
      <c r="C736" s="6"/>
      <c r="D736" s="8" t="str">
        <f aca="false">IF($C736="","",IFERROR(INDEX(PRODUCTOS!$B$6:$B$105,MATCH($C736,PRODUCTOS!$A$6:$A$105,0)),"¿Código?"))</f>
        <v/>
      </c>
      <c r="E736" s="42"/>
      <c r="F736" s="35" t="str">
        <f aca="false">IF($C736="","",IFERROR(INDEX(PRODUCTOS!$D$6:$D$105,MATCH($C736,PRODUCTOS!$A$6:$A$105,0)),0))</f>
        <v/>
      </c>
      <c r="G736" s="40"/>
      <c r="H736" s="35" t="str">
        <f aca="false">IF($C736="","",N($E736)*$F736-N($G736))</f>
        <v/>
      </c>
      <c r="I736" s="35" t="str">
        <f aca="false">IF($C736="","",$H736-$H736/(1+IFERROR(INDEX(PRODUCTOS!$E$6:$E$105,MATCH($C736,PRODUCTOS!$A$6:$A$105,0)),IVA_VENTAS)))</f>
        <v/>
      </c>
      <c r="J736" s="35" t="str">
        <f aca="false">IF($C736="","",$H736-$I736)</f>
        <v/>
      </c>
      <c r="K736" s="35" t="str">
        <f aca="false">IF($C736="","",N($E736)*IFERROR(INDEX(PRODUCTOS!$H$6:$H$105,MATCH($C736,PRODUCTOS!$A$6:$A$105,0)),0))</f>
        <v/>
      </c>
      <c r="L736" s="35" t="str">
        <f aca="false">IF($C736="","",$J736-$K736)</f>
        <v/>
      </c>
      <c r="M736" s="6"/>
      <c r="N736" s="6"/>
      <c r="O736" s="46" t="str">
        <f aca="false">IF($A736="","",DATE(YEAR($A736),MONTH($A736),1))</f>
        <v/>
      </c>
    </row>
    <row r="737" customFormat="false" ht="15" hidden="false" customHeight="false" outlineLevel="0" collapsed="false">
      <c r="A737" s="44"/>
      <c r="B737" s="6"/>
      <c r="C737" s="6"/>
      <c r="D737" s="8" t="str">
        <f aca="false">IF($C737="","",IFERROR(INDEX(PRODUCTOS!$B$6:$B$105,MATCH($C737,PRODUCTOS!$A$6:$A$105,0)),"¿Código?"))</f>
        <v/>
      </c>
      <c r="E737" s="42"/>
      <c r="F737" s="35" t="str">
        <f aca="false">IF($C737="","",IFERROR(INDEX(PRODUCTOS!$D$6:$D$105,MATCH($C737,PRODUCTOS!$A$6:$A$105,0)),0))</f>
        <v/>
      </c>
      <c r="G737" s="40"/>
      <c r="H737" s="35" t="str">
        <f aca="false">IF($C737="","",N($E737)*$F737-N($G737))</f>
        <v/>
      </c>
      <c r="I737" s="35" t="str">
        <f aca="false">IF($C737="","",$H737-$H737/(1+IFERROR(INDEX(PRODUCTOS!$E$6:$E$105,MATCH($C737,PRODUCTOS!$A$6:$A$105,0)),IVA_VENTAS)))</f>
        <v/>
      </c>
      <c r="J737" s="35" t="str">
        <f aca="false">IF($C737="","",$H737-$I737)</f>
        <v/>
      </c>
      <c r="K737" s="35" t="str">
        <f aca="false">IF($C737="","",N($E737)*IFERROR(INDEX(PRODUCTOS!$H$6:$H$105,MATCH($C737,PRODUCTOS!$A$6:$A$105,0)),0))</f>
        <v/>
      </c>
      <c r="L737" s="35" t="str">
        <f aca="false">IF($C737="","",$J737-$K737)</f>
        <v/>
      </c>
      <c r="M737" s="6"/>
      <c r="N737" s="6"/>
      <c r="O737" s="46" t="str">
        <f aca="false">IF($A737="","",DATE(YEAR($A737),MONTH($A737),1))</f>
        <v/>
      </c>
    </row>
    <row r="738" customFormat="false" ht="15" hidden="false" customHeight="false" outlineLevel="0" collapsed="false">
      <c r="A738" s="44"/>
      <c r="B738" s="6"/>
      <c r="C738" s="6"/>
      <c r="D738" s="8" t="str">
        <f aca="false">IF($C738="","",IFERROR(INDEX(PRODUCTOS!$B$6:$B$105,MATCH($C738,PRODUCTOS!$A$6:$A$105,0)),"¿Código?"))</f>
        <v/>
      </c>
      <c r="E738" s="42"/>
      <c r="F738" s="35" t="str">
        <f aca="false">IF($C738="","",IFERROR(INDEX(PRODUCTOS!$D$6:$D$105,MATCH($C738,PRODUCTOS!$A$6:$A$105,0)),0))</f>
        <v/>
      </c>
      <c r="G738" s="40"/>
      <c r="H738" s="35" t="str">
        <f aca="false">IF($C738="","",N($E738)*$F738-N($G738))</f>
        <v/>
      </c>
      <c r="I738" s="35" t="str">
        <f aca="false">IF($C738="","",$H738-$H738/(1+IFERROR(INDEX(PRODUCTOS!$E$6:$E$105,MATCH($C738,PRODUCTOS!$A$6:$A$105,0)),IVA_VENTAS)))</f>
        <v/>
      </c>
      <c r="J738" s="35" t="str">
        <f aca="false">IF($C738="","",$H738-$I738)</f>
        <v/>
      </c>
      <c r="K738" s="35" t="str">
        <f aca="false">IF($C738="","",N($E738)*IFERROR(INDEX(PRODUCTOS!$H$6:$H$105,MATCH($C738,PRODUCTOS!$A$6:$A$105,0)),0))</f>
        <v/>
      </c>
      <c r="L738" s="35" t="str">
        <f aca="false">IF($C738="","",$J738-$K738)</f>
        <v/>
      </c>
      <c r="M738" s="6"/>
      <c r="N738" s="6"/>
      <c r="O738" s="46" t="str">
        <f aca="false">IF($A738="","",DATE(YEAR($A738),MONTH($A738),1))</f>
        <v/>
      </c>
    </row>
    <row r="739" customFormat="false" ht="15" hidden="false" customHeight="false" outlineLevel="0" collapsed="false">
      <c r="A739" s="44"/>
      <c r="B739" s="6"/>
      <c r="C739" s="6"/>
      <c r="D739" s="8" t="str">
        <f aca="false">IF($C739="","",IFERROR(INDEX(PRODUCTOS!$B$6:$B$105,MATCH($C739,PRODUCTOS!$A$6:$A$105,0)),"¿Código?"))</f>
        <v/>
      </c>
      <c r="E739" s="42"/>
      <c r="F739" s="35" t="str">
        <f aca="false">IF($C739="","",IFERROR(INDEX(PRODUCTOS!$D$6:$D$105,MATCH($C739,PRODUCTOS!$A$6:$A$105,0)),0))</f>
        <v/>
      </c>
      <c r="G739" s="40"/>
      <c r="H739" s="35" t="str">
        <f aca="false">IF($C739="","",N($E739)*$F739-N($G739))</f>
        <v/>
      </c>
      <c r="I739" s="35" t="str">
        <f aca="false">IF($C739="","",$H739-$H739/(1+IFERROR(INDEX(PRODUCTOS!$E$6:$E$105,MATCH($C739,PRODUCTOS!$A$6:$A$105,0)),IVA_VENTAS)))</f>
        <v/>
      </c>
      <c r="J739" s="35" t="str">
        <f aca="false">IF($C739="","",$H739-$I739)</f>
        <v/>
      </c>
      <c r="K739" s="35" t="str">
        <f aca="false">IF($C739="","",N($E739)*IFERROR(INDEX(PRODUCTOS!$H$6:$H$105,MATCH($C739,PRODUCTOS!$A$6:$A$105,0)),0))</f>
        <v/>
      </c>
      <c r="L739" s="35" t="str">
        <f aca="false">IF($C739="","",$J739-$K739)</f>
        <v/>
      </c>
      <c r="M739" s="6"/>
      <c r="N739" s="6"/>
      <c r="O739" s="46" t="str">
        <f aca="false">IF($A739="","",DATE(YEAR($A739),MONTH($A739),1))</f>
        <v/>
      </c>
    </row>
    <row r="740" customFormat="false" ht="15" hidden="false" customHeight="false" outlineLevel="0" collapsed="false">
      <c r="A740" s="44"/>
      <c r="B740" s="6"/>
      <c r="C740" s="6"/>
      <c r="D740" s="8" t="str">
        <f aca="false">IF($C740="","",IFERROR(INDEX(PRODUCTOS!$B$6:$B$105,MATCH($C740,PRODUCTOS!$A$6:$A$105,0)),"¿Código?"))</f>
        <v/>
      </c>
      <c r="E740" s="42"/>
      <c r="F740" s="35" t="str">
        <f aca="false">IF($C740="","",IFERROR(INDEX(PRODUCTOS!$D$6:$D$105,MATCH($C740,PRODUCTOS!$A$6:$A$105,0)),0))</f>
        <v/>
      </c>
      <c r="G740" s="40"/>
      <c r="H740" s="35" t="str">
        <f aca="false">IF($C740="","",N($E740)*$F740-N($G740))</f>
        <v/>
      </c>
      <c r="I740" s="35" t="str">
        <f aca="false">IF($C740="","",$H740-$H740/(1+IFERROR(INDEX(PRODUCTOS!$E$6:$E$105,MATCH($C740,PRODUCTOS!$A$6:$A$105,0)),IVA_VENTAS)))</f>
        <v/>
      </c>
      <c r="J740" s="35" t="str">
        <f aca="false">IF($C740="","",$H740-$I740)</f>
        <v/>
      </c>
      <c r="K740" s="35" t="str">
        <f aca="false">IF($C740="","",N($E740)*IFERROR(INDEX(PRODUCTOS!$H$6:$H$105,MATCH($C740,PRODUCTOS!$A$6:$A$105,0)),0))</f>
        <v/>
      </c>
      <c r="L740" s="35" t="str">
        <f aca="false">IF($C740="","",$J740-$K740)</f>
        <v/>
      </c>
      <c r="M740" s="6"/>
      <c r="N740" s="6"/>
      <c r="O740" s="46" t="str">
        <f aca="false">IF($A740="","",DATE(YEAR($A740),MONTH($A740),1))</f>
        <v/>
      </c>
    </row>
    <row r="741" customFormat="false" ht="15" hidden="false" customHeight="false" outlineLevel="0" collapsed="false">
      <c r="A741" s="44"/>
      <c r="B741" s="6"/>
      <c r="C741" s="6"/>
      <c r="D741" s="8" t="str">
        <f aca="false">IF($C741="","",IFERROR(INDEX(PRODUCTOS!$B$6:$B$105,MATCH($C741,PRODUCTOS!$A$6:$A$105,0)),"¿Código?"))</f>
        <v/>
      </c>
      <c r="E741" s="42"/>
      <c r="F741" s="35" t="str">
        <f aca="false">IF($C741="","",IFERROR(INDEX(PRODUCTOS!$D$6:$D$105,MATCH($C741,PRODUCTOS!$A$6:$A$105,0)),0))</f>
        <v/>
      </c>
      <c r="G741" s="40"/>
      <c r="H741" s="35" t="str">
        <f aca="false">IF($C741="","",N($E741)*$F741-N($G741))</f>
        <v/>
      </c>
      <c r="I741" s="35" t="str">
        <f aca="false">IF($C741="","",$H741-$H741/(1+IFERROR(INDEX(PRODUCTOS!$E$6:$E$105,MATCH($C741,PRODUCTOS!$A$6:$A$105,0)),IVA_VENTAS)))</f>
        <v/>
      </c>
      <c r="J741" s="35" t="str">
        <f aca="false">IF($C741="","",$H741-$I741)</f>
        <v/>
      </c>
      <c r="K741" s="35" t="str">
        <f aca="false">IF($C741="","",N($E741)*IFERROR(INDEX(PRODUCTOS!$H$6:$H$105,MATCH($C741,PRODUCTOS!$A$6:$A$105,0)),0))</f>
        <v/>
      </c>
      <c r="L741" s="35" t="str">
        <f aca="false">IF($C741="","",$J741-$K741)</f>
        <v/>
      </c>
      <c r="M741" s="6"/>
      <c r="N741" s="6"/>
      <c r="O741" s="46" t="str">
        <f aca="false">IF($A741="","",DATE(YEAR($A741),MONTH($A741),1))</f>
        <v/>
      </c>
    </row>
    <row r="742" customFormat="false" ht="15" hidden="false" customHeight="false" outlineLevel="0" collapsed="false">
      <c r="A742" s="44"/>
      <c r="B742" s="6"/>
      <c r="C742" s="6"/>
      <c r="D742" s="8" t="str">
        <f aca="false">IF($C742="","",IFERROR(INDEX(PRODUCTOS!$B$6:$B$105,MATCH($C742,PRODUCTOS!$A$6:$A$105,0)),"¿Código?"))</f>
        <v/>
      </c>
      <c r="E742" s="42"/>
      <c r="F742" s="35" t="str">
        <f aca="false">IF($C742="","",IFERROR(INDEX(PRODUCTOS!$D$6:$D$105,MATCH($C742,PRODUCTOS!$A$6:$A$105,0)),0))</f>
        <v/>
      </c>
      <c r="G742" s="40"/>
      <c r="H742" s="35" t="str">
        <f aca="false">IF($C742="","",N($E742)*$F742-N($G742))</f>
        <v/>
      </c>
      <c r="I742" s="35" t="str">
        <f aca="false">IF($C742="","",$H742-$H742/(1+IFERROR(INDEX(PRODUCTOS!$E$6:$E$105,MATCH($C742,PRODUCTOS!$A$6:$A$105,0)),IVA_VENTAS)))</f>
        <v/>
      </c>
      <c r="J742" s="35" t="str">
        <f aca="false">IF($C742="","",$H742-$I742)</f>
        <v/>
      </c>
      <c r="K742" s="35" t="str">
        <f aca="false">IF($C742="","",N($E742)*IFERROR(INDEX(PRODUCTOS!$H$6:$H$105,MATCH($C742,PRODUCTOS!$A$6:$A$105,0)),0))</f>
        <v/>
      </c>
      <c r="L742" s="35" t="str">
        <f aca="false">IF($C742="","",$J742-$K742)</f>
        <v/>
      </c>
      <c r="M742" s="6"/>
      <c r="N742" s="6"/>
      <c r="O742" s="46" t="str">
        <f aca="false">IF($A742="","",DATE(YEAR($A742),MONTH($A742),1))</f>
        <v/>
      </c>
    </row>
    <row r="743" customFormat="false" ht="15" hidden="false" customHeight="false" outlineLevel="0" collapsed="false">
      <c r="A743" s="44"/>
      <c r="B743" s="6"/>
      <c r="C743" s="6"/>
      <c r="D743" s="8" t="str">
        <f aca="false">IF($C743="","",IFERROR(INDEX(PRODUCTOS!$B$6:$B$105,MATCH($C743,PRODUCTOS!$A$6:$A$105,0)),"¿Código?"))</f>
        <v/>
      </c>
      <c r="E743" s="42"/>
      <c r="F743" s="35" t="str">
        <f aca="false">IF($C743="","",IFERROR(INDEX(PRODUCTOS!$D$6:$D$105,MATCH($C743,PRODUCTOS!$A$6:$A$105,0)),0))</f>
        <v/>
      </c>
      <c r="G743" s="40"/>
      <c r="H743" s="35" t="str">
        <f aca="false">IF($C743="","",N($E743)*$F743-N($G743))</f>
        <v/>
      </c>
      <c r="I743" s="35" t="str">
        <f aca="false">IF($C743="","",$H743-$H743/(1+IFERROR(INDEX(PRODUCTOS!$E$6:$E$105,MATCH($C743,PRODUCTOS!$A$6:$A$105,0)),IVA_VENTAS)))</f>
        <v/>
      </c>
      <c r="J743" s="35" t="str">
        <f aca="false">IF($C743="","",$H743-$I743)</f>
        <v/>
      </c>
      <c r="K743" s="35" t="str">
        <f aca="false">IF($C743="","",N($E743)*IFERROR(INDEX(PRODUCTOS!$H$6:$H$105,MATCH($C743,PRODUCTOS!$A$6:$A$105,0)),0))</f>
        <v/>
      </c>
      <c r="L743" s="35" t="str">
        <f aca="false">IF($C743="","",$J743-$K743)</f>
        <v/>
      </c>
      <c r="M743" s="6"/>
      <c r="N743" s="6"/>
      <c r="O743" s="46" t="str">
        <f aca="false">IF($A743="","",DATE(YEAR($A743),MONTH($A743),1))</f>
        <v/>
      </c>
    </row>
    <row r="744" customFormat="false" ht="15" hidden="false" customHeight="false" outlineLevel="0" collapsed="false">
      <c r="A744" s="44"/>
      <c r="B744" s="6"/>
      <c r="C744" s="6"/>
      <c r="D744" s="8" t="str">
        <f aca="false">IF($C744="","",IFERROR(INDEX(PRODUCTOS!$B$6:$B$105,MATCH($C744,PRODUCTOS!$A$6:$A$105,0)),"¿Código?"))</f>
        <v/>
      </c>
      <c r="E744" s="42"/>
      <c r="F744" s="35" t="str">
        <f aca="false">IF($C744="","",IFERROR(INDEX(PRODUCTOS!$D$6:$D$105,MATCH($C744,PRODUCTOS!$A$6:$A$105,0)),0))</f>
        <v/>
      </c>
      <c r="G744" s="40"/>
      <c r="H744" s="35" t="str">
        <f aca="false">IF($C744="","",N($E744)*$F744-N($G744))</f>
        <v/>
      </c>
      <c r="I744" s="35" t="str">
        <f aca="false">IF($C744="","",$H744-$H744/(1+IFERROR(INDEX(PRODUCTOS!$E$6:$E$105,MATCH($C744,PRODUCTOS!$A$6:$A$105,0)),IVA_VENTAS)))</f>
        <v/>
      </c>
      <c r="J744" s="35" t="str">
        <f aca="false">IF($C744="","",$H744-$I744)</f>
        <v/>
      </c>
      <c r="K744" s="35" t="str">
        <f aca="false">IF($C744="","",N($E744)*IFERROR(INDEX(PRODUCTOS!$H$6:$H$105,MATCH($C744,PRODUCTOS!$A$6:$A$105,0)),0))</f>
        <v/>
      </c>
      <c r="L744" s="35" t="str">
        <f aca="false">IF($C744="","",$J744-$K744)</f>
        <v/>
      </c>
      <c r="M744" s="6"/>
      <c r="N744" s="6"/>
      <c r="O744" s="46" t="str">
        <f aca="false">IF($A744="","",DATE(YEAR($A744),MONTH($A744),1))</f>
        <v/>
      </c>
    </row>
    <row r="745" customFormat="false" ht="15" hidden="false" customHeight="false" outlineLevel="0" collapsed="false">
      <c r="A745" s="44"/>
      <c r="B745" s="6"/>
      <c r="C745" s="6"/>
      <c r="D745" s="8" t="str">
        <f aca="false">IF($C745="","",IFERROR(INDEX(PRODUCTOS!$B$6:$B$105,MATCH($C745,PRODUCTOS!$A$6:$A$105,0)),"¿Código?"))</f>
        <v/>
      </c>
      <c r="E745" s="42"/>
      <c r="F745" s="35" t="str">
        <f aca="false">IF($C745="","",IFERROR(INDEX(PRODUCTOS!$D$6:$D$105,MATCH($C745,PRODUCTOS!$A$6:$A$105,0)),0))</f>
        <v/>
      </c>
      <c r="G745" s="40"/>
      <c r="H745" s="35" t="str">
        <f aca="false">IF($C745="","",N($E745)*$F745-N($G745))</f>
        <v/>
      </c>
      <c r="I745" s="35" t="str">
        <f aca="false">IF($C745="","",$H745-$H745/(1+IFERROR(INDEX(PRODUCTOS!$E$6:$E$105,MATCH($C745,PRODUCTOS!$A$6:$A$105,0)),IVA_VENTAS)))</f>
        <v/>
      </c>
      <c r="J745" s="35" t="str">
        <f aca="false">IF($C745="","",$H745-$I745)</f>
        <v/>
      </c>
      <c r="K745" s="35" t="str">
        <f aca="false">IF($C745="","",N($E745)*IFERROR(INDEX(PRODUCTOS!$H$6:$H$105,MATCH($C745,PRODUCTOS!$A$6:$A$105,0)),0))</f>
        <v/>
      </c>
      <c r="L745" s="35" t="str">
        <f aca="false">IF($C745="","",$J745-$K745)</f>
        <v/>
      </c>
      <c r="M745" s="6"/>
      <c r="N745" s="6"/>
      <c r="O745" s="46" t="str">
        <f aca="false">IF($A745="","",DATE(YEAR($A745),MONTH($A745),1))</f>
        <v/>
      </c>
    </row>
    <row r="746" customFormat="false" ht="15" hidden="false" customHeight="false" outlineLevel="0" collapsed="false">
      <c r="A746" s="44"/>
      <c r="B746" s="6"/>
      <c r="C746" s="6"/>
      <c r="D746" s="8" t="str">
        <f aca="false">IF($C746="","",IFERROR(INDEX(PRODUCTOS!$B$6:$B$105,MATCH($C746,PRODUCTOS!$A$6:$A$105,0)),"¿Código?"))</f>
        <v/>
      </c>
      <c r="E746" s="42"/>
      <c r="F746" s="35" t="str">
        <f aca="false">IF($C746="","",IFERROR(INDEX(PRODUCTOS!$D$6:$D$105,MATCH($C746,PRODUCTOS!$A$6:$A$105,0)),0))</f>
        <v/>
      </c>
      <c r="G746" s="40"/>
      <c r="H746" s="35" t="str">
        <f aca="false">IF($C746="","",N($E746)*$F746-N($G746))</f>
        <v/>
      </c>
      <c r="I746" s="35" t="str">
        <f aca="false">IF($C746="","",$H746-$H746/(1+IFERROR(INDEX(PRODUCTOS!$E$6:$E$105,MATCH($C746,PRODUCTOS!$A$6:$A$105,0)),IVA_VENTAS)))</f>
        <v/>
      </c>
      <c r="J746" s="35" t="str">
        <f aca="false">IF($C746="","",$H746-$I746)</f>
        <v/>
      </c>
      <c r="K746" s="35" t="str">
        <f aca="false">IF($C746="","",N($E746)*IFERROR(INDEX(PRODUCTOS!$H$6:$H$105,MATCH($C746,PRODUCTOS!$A$6:$A$105,0)),0))</f>
        <v/>
      </c>
      <c r="L746" s="35" t="str">
        <f aca="false">IF($C746="","",$J746-$K746)</f>
        <v/>
      </c>
      <c r="M746" s="6"/>
      <c r="N746" s="6"/>
      <c r="O746" s="46" t="str">
        <f aca="false">IF($A746="","",DATE(YEAR($A746),MONTH($A746),1))</f>
        <v/>
      </c>
    </row>
    <row r="747" customFormat="false" ht="15" hidden="false" customHeight="false" outlineLevel="0" collapsed="false">
      <c r="A747" s="44"/>
      <c r="B747" s="6"/>
      <c r="C747" s="6"/>
      <c r="D747" s="8" t="str">
        <f aca="false">IF($C747="","",IFERROR(INDEX(PRODUCTOS!$B$6:$B$105,MATCH($C747,PRODUCTOS!$A$6:$A$105,0)),"¿Código?"))</f>
        <v/>
      </c>
      <c r="E747" s="42"/>
      <c r="F747" s="35" t="str">
        <f aca="false">IF($C747="","",IFERROR(INDEX(PRODUCTOS!$D$6:$D$105,MATCH($C747,PRODUCTOS!$A$6:$A$105,0)),0))</f>
        <v/>
      </c>
      <c r="G747" s="40"/>
      <c r="H747" s="35" t="str">
        <f aca="false">IF($C747="","",N($E747)*$F747-N($G747))</f>
        <v/>
      </c>
      <c r="I747" s="35" t="str">
        <f aca="false">IF($C747="","",$H747-$H747/(1+IFERROR(INDEX(PRODUCTOS!$E$6:$E$105,MATCH($C747,PRODUCTOS!$A$6:$A$105,0)),IVA_VENTAS)))</f>
        <v/>
      </c>
      <c r="J747" s="35" t="str">
        <f aca="false">IF($C747="","",$H747-$I747)</f>
        <v/>
      </c>
      <c r="K747" s="35" t="str">
        <f aca="false">IF($C747="","",N($E747)*IFERROR(INDEX(PRODUCTOS!$H$6:$H$105,MATCH($C747,PRODUCTOS!$A$6:$A$105,0)),0))</f>
        <v/>
      </c>
      <c r="L747" s="35" t="str">
        <f aca="false">IF($C747="","",$J747-$K747)</f>
        <v/>
      </c>
      <c r="M747" s="6"/>
      <c r="N747" s="6"/>
      <c r="O747" s="46" t="str">
        <f aca="false">IF($A747="","",DATE(YEAR($A747),MONTH($A747),1))</f>
        <v/>
      </c>
    </row>
    <row r="748" customFormat="false" ht="15" hidden="false" customHeight="false" outlineLevel="0" collapsed="false">
      <c r="A748" s="44"/>
      <c r="B748" s="6"/>
      <c r="C748" s="6"/>
      <c r="D748" s="8" t="str">
        <f aca="false">IF($C748="","",IFERROR(INDEX(PRODUCTOS!$B$6:$B$105,MATCH($C748,PRODUCTOS!$A$6:$A$105,0)),"¿Código?"))</f>
        <v/>
      </c>
      <c r="E748" s="42"/>
      <c r="F748" s="35" t="str">
        <f aca="false">IF($C748="","",IFERROR(INDEX(PRODUCTOS!$D$6:$D$105,MATCH($C748,PRODUCTOS!$A$6:$A$105,0)),0))</f>
        <v/>
      </c>
      <c r="G748" s="40"/>
      <c r="H748" s="35" t="str">
        <f aca="false">IF($C748="","",N($E748)*$F748-N($G748))</f>
        <v/>
      </c>
      <c r="I748" s="35" t="str">
        <f aca="false">IF($C748="","",$H748-$H748/(1+IFERROR(INDEX(PRODUCTOS!$E$6:$E$105,MATCH($C748,PRODUCTOS!$A$6:$A$105,0)),IVA_VENTAS)))</f>
        <v/>
      </c>
      <c r="J748" s="35" t="str">
        <f aca="false">IF($C748="","",$H748-$I748)</f>
        <v/>
      </c>
      <c r="K748" s="35" t="str">
        <f aca="false">IF($C748="","",N($E748)*IFERROR(INDEX(PRODUCTOS!$H$6:$H$105,MATCH($C748,PRODUCTOS!$A$6:$A$105,0)),0))</f>
        <v/>
      </c>
      <c r="L748" s="35" t="str">
        <f aca="false">IF($C748="","",$J748-$K748)</f>
        <v/>
      </c>
      <c r="M748" s="6"/>
      <c r="N748" s="6"/>
      <c r="O748" s="46" t="str">
        <f aca="false">IF($A748="","",DATE(YEAR($A748),MONTH($A748),1))</f>
        <v/>
      </c>
    </row>
    <row r="749" customFormat="false" ht="15" hidden="false" customHeight="false" outlineLevel="0" collapsed="false">
      <c r="A749" s="44"/>
      <c r="B749" s="6"/>
      <c r="C749" s="6"/>
      <c r="D749" s="8" t="str">
        <f aca="false">IF($C749="","",IFERROR(INDEX(PRODUCTOS!$B$6:$B$105,MATCH($C749,PRODUCTOS!$A$6:$A$105,0)),"¿Código?"))</f>
        <v/>
      </c>
      <c r="E749" s="42"/>
      <c r="F749" s="35" t="str">
        <f aca="false">IF($C749="","",IFERROR(INDEX(PRODUCTOS!$D$6:$D$105,MATCH($C749,PRODUCTOS!$A$6:$A$105,0)),0))</f>
        <v/>
      </c>
      <c r="G749" s="40"/>
      <c r="H749" s="35" t="str">
        <f aca="false">IF($C749="","",N($E749)*$F749-N($G749))</f>
        <v/>
      </c>
      <c r="I749" s="35" t="str">
        <f aca="false">IF($C749="","",$H749-$H749/(1+IFERROR(INDEX(PRODUCTOS!$E$6:$E$105,MATCH($C749,PRODUCTOS!$A$6:$A$105,0)),IVA_VENTAS)))</f>
        <v/>
      </c>
      <c r="J749" s="35" t="str">
        <f aca="false">IF($C749="","",$H749-$I749)</f>
        <v/>
      </c>
      <c r="K749" s="35" t="str">
        <f aca="false">IF($C749="","",N($E749)*IFERROR(INDEX(PRODUCTOS!$H$6:$H$105,MATCH($C749,PRODUCTOS!$A$6:$A$105,0)),0))</f>
        <v/>
      </c>
      <c r="L749" s="35" t="str">
        <f aca="false">IF($C749="","",$J749-$K749)</f>
        <v/>
      </c>
      <c r="M749" s="6"/>
      <c r="N749" s="6"/>
      <c r="O749" s="46" t="str">
        <f aca="false">IF($A749="","",DATE(YEAR($A749),MONTH($A749),1))</f>
        <v/>
      </c>
    </row>
    <row r="750" customFormat="false" ht="15" hidden="false" customHeight="false" outlineLevel="0" collapsed="false">
      <c r="A750" s="44"/>
      <c r="B750" s="6"/>
      <c r="C750" s="6"/>
      <c r="D750" s="8" t="str">
        <f aca="false">IF($C750="","",IFERROR(INDEX(PRODUCTOS!$B$6:$B$105,MATCH($C750,PRODUCTOS!$A$6:$A$105,0)),"¿Código?"))</f>
        <v/>
      </c>
      <c r="E750" s="42"/>
      <c r="F750" s="35" t="str">
        <f aca="false">IF($C750="","",IFERROR(INDEX(PRODUCTOS!$D$6:$D$105,MATCH($C750,PRODUCTOS!$A$6:$A$105,0)),0))</f>
        <v/>
      </c>
      <c r="G750" s="40"/>
      <c r="H750" s="35" t="str">
        <f aca="false">IF($C750="","",N($E750)*$F750-N($G750))</f>
        <v/>
      </c>
      <c r="I750" s="35" t="str">
        <f aca="false">IF($C750="","",$H750-$H750/(1+IFERROR(INDEX(PRODUCTOS!$E$6:$E$105,MATCH($C750,PRODUCTOS!$A$6:$A$105,0)),IVA_VENTAS)))</f>
        <v/>
      </c>
      <c r="J750" s="35" t="str">
        <f aca="false">IF($C750="","",$H750-$I750)</f>
        <v/>
      </c>
      <c r="K750" s="35" t="str">
        <f aca="false">IF($C750="","",N($E750)*IFERROR(INDEX(PRODUCTOS!$H$6:$H$105,MATCH($C750,PRODUCTOS!$A$6:$A$105,0)),0))</f>
        <v/>
      </c>
      <c r="L750" s="35" t="str">
        <f aca="false">IF($C750="","",$J750-$K750)</f>
        <v/>
      </c>
      <c r="M750" s="6"/>
      <c r="N750" s="6"/>
      <c r="O750" s="46" t="str">
        <f aca="false">IF($A750="","",DATE(YEAR($A750),MONTH($A750),1))</f>
        <v/>
      </c>
    </row>
    <row r="751" customFormat="false" ht="15" hidden="false" customHeight="false" outlineLevel="0" collapsed="false">
      <c r="A751" s="44"/>
      <c r="B751" s="6"/>
      <c r="C751" s="6"/>
      <c r="D751" s="8" t="str">
        <f aca="false">IF($C751="","",IFERROR(INDEX(PRODUCTOS!$B$6:$B$105,MATCH($C751,PRODUCTOS!$A$6:$A$105,0)),"¿Código?"))</f>
        <v/>
      </c>
      <c r="E751" s="42"/>
      <c r="F751" s="35" t="str">
        <f aca="false">IF($C751="","",IFERROR(INDEX(PRODUCTOS!$D$6:$D$105,MATCH($C751,PRODUCTOS!$A$6:$A$105,0)),0))</f>
        <v/>
      </c>
      <c r="G751" s="40"/>
      <c r="H751" s="35" t="str">
        <f aca="false">IF($C751="","",N($E751)*$F751-N($G751))</f>
        <v/>
      </c>
      <c r="I751" s="35" t="str">
        <f aca="false">IF($C751="","",$H751-$H751/(1+IFERROR(INDEX(PRODUCTOS!$E$6:$E$105,MATCH($C751,PRODUCTOS!$A$6:$A$105,0)),IVA_VENTAS)))</f>
        <v/>
      </c>
      <c r="J751" s="35" t="str">
        <f aca="false">IF($C751="","",$H751-$I751)</f>
        <v/>
      </c>
      <c r="K751" s="35" t="str">
        <f aca="false">IF($C751="","",N($E751)*IFERROR(INDEX(PRODUCTOS!$H$6:$H$105,MATCH($C751,PRODUCTOS!$A$6:$A$105,0)),0))</f>
        <v/>
      </c>
      <c r="L751" s="35" t="str">
        <f aca="false">IF($C751="","",$J751-$K751)</f>
        <v/>
      </c>
      <c r="M751" s="6"/>
      <c r="N751" s="6"/>
      <c r="O751" s="46" t="str">
        <f aca="false">IF($A751="","",DATE(YEAR($A751),MONTH($A751),1))</f>
        <v/>
      </c>
    </row>
    <row r="752" customFormat="false" ht="15" hidden="false" customHeight="false" outlineLevel="0" collapsed="false">
      <c r="A752" s="44"/>
      <c r="B752" s="6"/>
      <c r="C752" s="6"/>
      <c r="D752" s="8" t="str">
        <f aca="false">IF($C752="","",IFERROR(INDEX(PRODUCTOS!$B$6:$B$105,MATCH($C752,PRODUCTOS!$A$6:$A$105,0)),"¿Código?"))</f>
        <v/>
      </c>
      <c r="E752" s="42"/>
      <c r="F752" s="35" t="str">
        <f aca="false">IF($C752="","",IFERROR(INDEX(PRODUCTOS!$D$6:$D$105,MATCH($C752,PRODUCTOS!$A$6:$A$105,0)),0))</f>
        <v/>
      </c>
      <c r="G752" s="40"/>
      <c r="H752" s="35" t="str">
        <f aca="false">IF($C752="","",N($E752)*$F752-N($G752))</f>
        <v/>
      </c>
      <c r="I752" s="35" t="str">
        <f aca="false">IF($C752="","",$H752-$H752/(1+IFERROR(INDEX(PRODUCTOS!$E$6:$E$105,MATCH($C752,PRODUCTOS!$A$6:$A$105,0)),IVA_VENTAS)))</f>
        <v/>
      </c>
      <c r="J752" s="35" t="str">
        <f aca="false">IF($C752="","",$H752-$I752)</f>
        <v/>
      </c>
      <c r="K752" s="35" t="str">
        <f aca="false">IF($C752="","",N($E752)*IFERROR(INDEX(PRODUCTOS!$H$6:$H$105,MATCH($C752,PRODUCTOS!$A$6:$A$105,0)),0))</f>
        <v/>
      </c>
      <c r="L752" s="35" t="str">
        <f aca="false">IF($C752="","",$J752-$K752)</f>
        <v/>
      </c>
      <c r="M752" s="6"/>
      <c r="N752" s="6"/>
      <c r="O752" s="46" t="str">
        <f aca="false">IF($A752="","",DATE(YEAR($A752),MONTH($A752),1))</f>
        <v/>
      </c>
    </row>
    <row r="753" customFormat="false" ht="15" hidden="false" customHeight="false" outlineLevel="0" collapsed="false">
      <c r="A753" s="44"/>
      <c r="B753" s="6"/>
      <c r="C753" s="6"/>
      <c r="D753" s="8" t="str">
        <f aca="false">IF($C753="","",IFERROR(INDEX(PRODUCTOS!$B$6:$B$105,MATCH($C753,PRODUCTOS!$A$6:$A$105,0)),"¿Código?"))</f>
        <v/>
      </c>
      <c r="E753" s="42"/>
      <c r="F753" s="35" t="str">
        <f aca="false">IF($C753="","",IFERROR(INDEX(PRODUCTOS!$D$6:$D$105,MATCH($C753,PRODUCTOS!$A$6:$A$105,0)),0))</f>
        <v/>
      </c>
      <c r="G753" s="40"/>
      <c r="H753" s="35" t="str">
        <f aca="false">IF($C753="","",N($E753)*$F753-N($G753))</f>
        <v/>
      </c>
      <c r="I753" s="35" t="str">
        <f aca="false">IF($C753="","",$H753-$H753/(1+IFERROR(INDEX(PRODUCTOS!$E$6:$E$105,MATCH($C753,PRODUCTOS!$A$6:$A$105,0)),IVA_VENTAS)))</f>
        <v/>
      </c>
      <c r="J753" s="35" t="str">
        <f aca="false">IF($C753="","",$H753-$I753)</f>
        <v/>
      </c>
      <c r="K753" s="35" t="str">
        <f aca="false">IF($C753="","",N($E753)*IFERROR(INDEX(PRODUCTOS!$H$6:$H$105,MATCH($C753,PRODUCTOS!$A$6:$A$105,0)),0))</f>
        <v/>
      </c>
      <c r="L753" s="35" t="str">
        <f aca="false">IF($C753="","",$J753-$K753)</f>
        <v/>
      </c>
      <c r="M753" s="6"/>
      <c r="N753" s="6"/>
      <c r="O753" s="46" t="str">
        <f aca="false">IF($A753="","",DATE(YEAR($A753),MONTH($A753),1))</f>
        <v/>
      </c>
    </row>
    <row r="754" customFormat="false" ht="15" hidden="false" customHeight="false" outlineLevel="0" collapsed="false">
      <c r="A754" s="44"/>
      <c r="B754" s="6"/>
      <c r="C754" s="6"/>
      <c r="D754" s="8" t="str">
        <f aca="false">IF($C754="","",IFERROR(INDEX(PRODUCTOS!$B$6:$B$105,MATCH($C754,PRODUCTOS!$A$6:$A$105,0)),"¿Código?"))</f>
        <v/>
      </c>
      <c r="E754" s="42"/>
      <c r="F754" s="35" t="str">
        <f aca="false">IF($C754="","",IFERROR(INDEX(PRODUCTOS!$D$6:$D$105,MATCH($C754,PRODUCTOS!$A$6:$A$105,0)),0))</f>
        <v/>
      </c>
      <c r="G754" s="40"/>
      <c r="H754" s="35" t="str">
        <f aca="false">IF($C754="","",N($E754)*$F754-N($G754))</f>
        <v/>
      </c>
      <c r="I754" s="35" t="str">
        <f aca="false">IF($C754="","",$H754-$H754/(1+IFERROR(INDEX(PRODUCTOS!$E$6:$E$105,MATCH($C754,PRODUCTOS!$A$6:$A$105,0)),IVA_VENTAS)))</f>
        <v/>
      </c>
      <c r="J754" s="35" t="str">
        <f aca="false">IF($C754="","",$H754-$I754)</f>
        <v/>
      </c>
      <c r="K754" s="35" t="str">
        <f aca="false">IF($C754="","",N($E754)*IFERROR(INDEX(PRODUCTOS!$H$6:$H$105,MATCH($C754,PRODUCTOS!$A$6:$A$105,0)),0))</f>
        <v/>
      </c>
      <c r="L754" s="35" t="str">
        <f aca="false">IF($C754="","",$J754-$K754)</f>
        <v/>
      </c>
      <c r="M754" s="6"/>
      <c r="N754" s="6"/>
      <c r="O754" s="46" t="str">
        <f aca="false">IF($A754="","",DATE(YEAR($A754),MONTH($A754),1))</f>
        <v/>
      </c>
    </row>
    <row r="755" customFormat="false" ht="15" hidden="false" customHeight="false" outlineLevel="0" collapsed="false">
      <c r="A755" s="44"/>
      <c r="B755" s="6"/>
      <c r="C755" s="6"/>
      <c r="D755" s="8" t="str">
        <f aca="false">IF($C755="","",IFERROR(INDEX(PRODUCTOS!$B$6:$B$105,MATCH($C755,PRODUCTOS!$A$6:$A$105,0)),"¿Código?"))</f>
        <v/>
      </c>
      <c r="E755" s="42"/>
      <c r="F755" s="35" t="str">
        <f aca="false">IF($C755="","",IFERROR(INDEX(PRODUCTOS!$D$6:$D$105,MATCH($C755,PRODUCTOS!$A$6:$A$105,0)),0))</f>
        <v/>
      </c>
      <c r="G755" s="40"/>
      <c r="H755" s="35" t="str">
        <f aca="false">IF($C755="","",N($E755)*$F755-N($G755))</f>
        <v/>
      </c>
      <c r="I755" s="35" t="str">
        <f aca="false">IF($C755="","",$H755-$H755/(1+IFERROR(INDEX(PRODUCTOS!$E$6:$E$105,MATCH($C755,PRODUCTOS!$A$6:$A$105,0)),IVA_VENTAS)))</f>
        <v/>
      </c>
      <c r="J755" s="35" t="str">
        <f aca="false">IF($C755="","",$H755-$I755)</f>
        <v/>
      </c>
      <c r="K755" s="35" t="str">
        <f aca="false">IF($C755="","",N($E755)*IFERROR(INDEX(PRODUCTOS!$H$6:$H$105,MATCH($C755,PRODUCTOS!$A$6:$A$105,0)),0))</f>
        <v/>
      </c>
      <c r="L755" s="35" t="str">
        <f aca="false">IF($C755="","",$J755-$K755)</f>
        <v/>
      </c>
      <c r="M755" s="6"/>
      <c r="N755" s="6"/>
      <c r="O755" s="46" t="str">
        <f aca="false">IF($A755="","",DATE(YEAR($A755),MONTH($A755),1))</f>
        <v/>
      </c>
    </row>
    <row r="756" customFormat="false" ht="15" hidden="false" customHeight="false" outlineLevel="0" collapsed="false">
      <c r="A756" s="44"/>
      <c r="B756" s="6"/>
      <c r="C756" s="6"/>
      <c r="D756" s="8" t="str">
        <f aca="false">IF($C756="","",IFERROR(INDEX(PRODUCTOS!$B$6:$B$105,MATCH($C756,PRODUCTOS!$A$6:$A$105,0)),"¿Código?"))</f>
        <v/>
      </c>
      <c r="E756" s="42"/>
      <c r="F756" s="35" t="str">
        <f aca="false">IF($C756="","",IFERROR(INDEX(PRODUCTOS!$D$6:$D$105,MATCH($C756,PRODUCTOS!$A$6:$A$105,0)),0))</f>
        <v/>
      </c>
      <c r="G756" s="40"/>
      <c r="H756" s="35" t="str">
        <f aca="false">IF($C756="","",N($E756)*$F756-N($G756))</f>
        <v/>
      </c>
      <c r="I756" s="35" t="str">
        <f aca="false">IF($C756="","",$H756-$H756/(1+IFERROR(INDEX(PRODUCTOS!$E$6:$E$105,MATCH($C756,PRODUCTOS!$A$6:$A$105,0)),IVA_VENTAS)))</f>
        <v/>
      </c>
      <c r="J756" s="35" t="str">
        <f aca="false">IF($C756="","",$H756-$I756)</f>
        <v/>
      </c>
      <c r="K756" s="35" t="str">
        <f aca="false">IF($C756="","",N($E756)*IFERROR(INDEX(PRODUCTOS!$H$6:$H$105,MATCH($C756,PRODUCTOS!$A$6:$A$105,0)),0))</f>
        <v/>
      </c>
      <c r="L756" s="35" t="str">
        <f aca="false">IF($C756="","",$J756-$K756)</f>
        <v/>
      </c>
      <c r="M756" s="6"/>
      <c r="N756" s="6"/>
      <c r="O756" s="46" t="str">
        <f aca="false">IF($A756="","",DATE(YEAR($A756),MONTH($A756),1))</f>
        <v/>
      </c>
    </row>
    <row r="757" customFormat="false" ht="15" hidden="false" customHeight="false" outlineLevel="0" collapsed="false">
      <c r="A757" s="44"/>
      <c r="B757" s="6"/>
      <c r="C757" s="6"/>
      <c r="D757" s="8" t="str">
        <f aca="false">IF($C757="","",IFERROR(INDEX(PRODUCTOS!$B$6:$B$105,MATCH($C757,PRODUCTOS!$A$6:$A$105,0)),"¿Código?"))</f>
        <v/>
      </c>
      <c r="E757" s="42"/>
      <c r="F757" s="35" t="str">
        <f aca="false">IF($C757="","",IFERROR(INDEX(PRODUCTOS!$D$6:$D$105,MATCH($C757,PRODUCTOS!$A$6:$A$105,0)),0))</f>
        <v/>
      </c>
      <c r="G757" s="40"/>
      <c r="H757" s="35" t="str">
        <f aca="false">IF($C757="","",N($E757)*$F757-N($G757))</f>
        <v/>
      </c>
      <c r="I757" s="35" t="str">
        <f aca="false">IF($C757="","",$H757-$H757/(1+IFERROR(INDEX(PRODUCTOS!$E$6:$E$105,MATCH($C757,PRODUCTOS!$A$6:$A$105,0)),IVA_VENTAS)))</f>
        <v/>
      </c>
      <c r="J757" s="35" t="str">
        <f aca="false">IF($C757="","",$H757-$I757)</f>
        <v/>
      </c>
      <c r="K757" s="35" t="str">
        <f aca="false">IF($C757="","",N($E757)*IFERROR(INDEX(PRODUCTOS!$H$6:$H$105,MATCH($C757,PRODUCTOS!$A$6:$A$105,0)),0))</f>
        <v/>
      </c>
      <c r="L757" s="35" t="str">
        <f aca="false">IF($C757="","",$J757-$K757)</f>
        <v/>
      </c>
      <c r="M757" s="6"/>
      <c r="N757" s="6"/>
      <c r="O757" s="46" t="str">
        <f aca="false">IF($A757="","",DATE(YEAR($A757),MONTH($A757),1))</f>
        <v/>
      </c>
    </row>
    <row r="758" customFormat="false" ht="15" hidden="false" customHeight="false" outlineLevel="0" collapsed="false">
      <c r="A758" s="44"/>
      <c r="B758" s="6"/>
      <c r="C758" s="6"/>
      <c r="D758" s="8" t="str">
        <f aca="false">IF($C758="","",IFERROR(INDEX(PRODUCTOS!$B$6:$B$105,MATCH($C758,PRODUCTOS!$A$6:$A$105,0)),"¿Código?"))</f>
        <v/>
      </c>
      <c r="E758" s="42"/>
      <c r="F758" s="35" t="str">
        <f aca="false">IF($C758="","",IFERROR(INDEX(PRODUCTOS!$D$6:$D$105,MATCH($C758,PRODUCTOS!$A$6:$A$105,0)),0))</f>
        <v/>
      </c>
      <c r="G758" s="40"/>
      <c r="H758" s="35" t="str">
        <f aca="false">IF($C758="","",N($E758)*$F758-N($G758))</f>
        <v/>
      </c>
      <c r="I758" s="35" t="str">
        <f aca="false">IF($C758="","",$H758-$H758/(1+IFERROR(INDEX(PRODUCTOS!$E$6:$E$105,MATCH($C758,PRODUCTOS!$A$6:$A$105,0)),IVA_VENTAS)))</f>
        <v/>
      </c>
      <c r="J758" s="35" t="str">
        <f aca="false">IF($C758="","",$H758-$I758)</f>
        <v/>
      </c>
      <c r="K758" s="35" t="str">
        <f aca="false">IF($C758="","",N($E758)*IFERROR(INDEX(PRODUCTOS!$H$6:$H$105,MATCH($C758,PRODUCTOS!$A$6:$A$105,0)),0))</f>
        <v/>
      </c>
      <c r="L758" s="35" t="str">
        <f aca="false">IF($C758="","",$J758-$K758)</f>
        <v/>
      </c>
      <c r="M758" s="6"/>
      <c r="N758" s="6"/>
      <c r="O758" s="46" t="str">
        <f aca="false">IF($A758="","",DATE(YEAR($A758),MONTH($A758),1))</f>
        <v/>
      </c>
    </row>
    <row r="759" customFormat="false" ht="15" hidden="false" customHeight="false" outlineLevel="0" collapsed="false">
      <c r="A759" s="44"/>
      <c r="B759" s="6"/>
      <c r="C759" s="6"/>
      <c r="D759" s="8" t="str">
        <f aca="false">IF($C759="","",IFERROR(INDEX(PRODUCTOS!$B$6:$B$105,MATCH($C759,PRODUCTOS!$A$6:$A$105,0)),"¿Código?"))</f>
        <v/>
      </c>
      <c r="E759" s="42"/>
      <c r="F759" s="35" t="str">
        <f aca="false">IF($C759="","",IFERROR(INDEX(PRODUCTOS!$D$6:$D$105,MATCH($C759,PRODUCTOS!$A$6:$A$105,0)),0))</f>
        <v/>
      </c>
      <c r="G759" s="40"/>
      <c r="H759" s="35" t="str">
        <f aca="false">IF($C759="","",N($E759)*$F759-N($G759))</f>
        <v/>
      </c>
      <c r="I759" s="35" t="str">
        <f aca="false">IF($C759="","",$H759-$H759/(1+IFERROR(INDEX(PRODUCTOS!$E$6:$E$105,MATCH($C759,PRODUCTOS!$A$6:$A$105,0)),IVA_VENTAS)))</f>
        <v/>
      </c>
      <c r="J759" s="35" t="str">
        <f aca="false">IF($C759="","",$H759-$I759)</f>
        <v/>
      </c>
      <c r="K759" s="35" t="str">
        <f aca="false">IF($C759="","",N($E759)*IFERROR(INDEX(PRODUCTOS!$H$6:$H$105,MATCH($C759,PRODUCTOS!$A$6:$A$105,0)),0))</f>
        <v/>
      </c>
      <c r="L759" s="35" t="str">
        <f aca="false">IF($C759="","",$J759-$K759)</f>
        <v/>
      </c>
      <c r="M759" s="6"/>
      <c r="N759" s="6"/>
      <c r="O759" s="46" t="str">
        <f aca="false">IF($A759="","",DATE(YEAR($A759),MONTH($A759),1))</f>
        <v/>
      </c>
    </row>
    <row r="760" customFormat="false" ht="15" hidden="false" customHeight="false" outlineLevel="0" collapsed="false">
      <c r="A760" s="44"/>
      <c r="B760" s="6"/>
      <c r="C760" s="6"/>
      <c r="D760" s="8" t="str">
        <f aca="false">IF($C760="","",IFERROR(INDEX(PRODUCTOS!$B$6:$B$105,MATCH($C760,PRODUCTOS!$A$6:$A$105,0)),"¿Código?"))</f>
        <v/>
      </c>
      <c r="E760" s="42"/>
      <c r="F760" s="35" t="str">
        <f aca="false">IF($C760="","",IFERROR(INDEX(PRODUCTOS!$D$6:$D$105,MATCH($C760,PRODUCTOS!$A$6:$A$105,0)),0))</f>
        <v/>
      </c>
      <c r="G760" s="40"/>
      <c r="H760" s="35" t="str">
        <f aca="false">IF($C760="","",N($E760)*$F760-N($G760))</f>
        <v/>
      </c>
      <c r="I760" s="35" t="str">
        <f aca="false">IF($C760="","",$H760-$H760/(1+IFERROR(INDEX(PRODUCTOS!$E$6:$E$105,MATCH($C760,PRODUCTOS!$A$6:$A$105,0)),IVA_VENTAS)))</f>
        <v/>
      </c>
      <c r="J760" s="35" t="str">
        <f aca="false">IF($C760="","",$H760-$I760)</f>
        <v/>
      </c>
      <c r="K760" s="35" t="str">
        <f aca="false">IF($C760="","",N($E760)*IFERROR(INDEX(PRODUCTOS!$H$6:$H$105,MATCH($C760,PRODUCTOS!$A$6:$A$105,0)),0))</f>
        <v/>
      </c>
      <c r="L760" s="35" t="str">
        <f aca="false">IF($C760="","",$J760-$K760)</f>
        <v/>
      </c>
      <c r="M760" s="6"/>
      <c r="N760" s="6"/>
      <c r="O760" s="46" t="str">
        <f aca="false">IF($A760="","",DATE(YEAR($A760),MONTH($A760),1))</f>
        <v/>
      </c>
    </row>
    <row r="761" customFormat="false" ht="15" hidden="false" customHeight="false" outlineLevel="0" collapsed="false">
      <c r="A761" s="44"/>
      <c r="B761" s="6"/>
      <c r="C761" s="6"/>
      <c r="D761" s="8" t="str">
        <f aca="false">IF($C761="","",IFERROR(INDEX(PRODUCTOS!$B$6:$B$105,MATCH($C761,PRODUCTOS!$A$6:$A$105,0)),"¿Código?"))</f>
        <v/>
      </c>
      <c r="E761" s="42"/>
      <c r="F761" s="35" t="str">
        <f aca="false">IF($C761="","",IFERROR(INDEX(PRODUCTOS!$D$6:$D$105,MATCH($C761,PRODUCTOS!$A$6:$A$105,0)),0))</f>
        <v/>
      </c>
      <c r="G761" s="40"/>
      <c r="H761" s="35" t="str">
        <f aca="false">IF($C761="","",N($E761)*$F761-N($G761))</f>
        <v/>
      </c>
      <c r="I761" s="35" t="str">
        <f aca="false">IF($C761="","",$H761-$H761/(1+IFERROR(INDEX(PRODUCTOS!$E$6:$E$105,MATCH($C761,PRODUCTOS!$A$6:$A$105,0)),IVA_VENTAS)))</f>
        <v/>
      </c>
      <c r="J761" s="35" t="str">
        <f aca="false">IF($C761="","",$H761-$I761)</f>
        <v/>
      </c>
      <c r="K761" s="35" t="str">
        <f aca="false">IF($C761="","",N($E761)*IFERROR(INDEX(PRODUCTOS!$H$6:$H$105,MATCH($C761,PRODUCTOS!$A$6:$A$105,0)),0))</f>
        <v/>
      </c>
      <c r="L761" s="35" t="str">
        <f aca="false">IF($C761="","",$J761-$K761)</f>
        <v/>
      </c>
      <c r="M761" s="6"/>
      <c r="N761" s="6"/>
      <c r="O761" s="46" t="str">
        <f aca="false">IF($A761="","",DATE(YEAR($A761),MONTH($A761),1))</f>
        <v/>
      </c>
    </row>
    <row r="762" customFormat="false" ht="15" hidden="false" customHeight="false" outlineLevel="0" collapsed="false">
      <c r="A762" s="44"/>
      <c r="B762" s="6"/>
      <c r="C762" s="6"/>
      <c r="D762" s="8" t="str">
        <f aca="false">IF($C762="","",IFERROR(INDEX(PRODUCTOS!$B$6:$B$105,MATCH($C762,PRODUCTOS!$A$6:$A$105,0)),"¿Código?"))</f>
        <v/>
      </c>
      <c r="E762" s="42"/>
      <c r="F762" s="35" t="str">
        <f aca="false">IF($C762="","",IFERROR(INDEX(PRODUCTOS!$D$6:$D$105,MATCH($C762,PRODUCTOS!$A$6:$A$105,0)),0))</f>
        <v/>
      </c>
      <c r="G762" s="40"/>
      <c r="H762" s="35" t="str">
        <f aca="false">IF($C762="","",N($E762)*$F762-N($G762))</f>
        <v/>
      </c>
      <c r="I762" s="35" t="str">
        <f aca="false">IF($C762="","",$H762-$H762/(1+IFERROR(INDEX(PRODUCTOS!$E$6:$E$105,MATCH($C762,PRODUCTOS!$A$6:$A$105,0)),IVA_VENTAS)))</f>
        <v/>
      </c>
      <c r="J762" s="35" t="str">
        <f aca="false">IF($C762="","",$H762-$I762)</f>
        <v/>
      </c>
      <c r="K762" s="35" t="str">
        <f aca="false">IF($C762="","",N($E762)*IFERROR(INDEX(PRODUCTOS!$H$6:$H$105,MATCH($C762,PRODUCTOS!$A$6:$A$105,0)),0))</f>
        <v/>
      </c>
      <c r="L762" s="35" t="str">
        <f aca="false">IF($C762="","",$J762-$K762)</f>
        <v/>
      </c>
      <c r="M762" s="6"/>
      <c r="N762" s="6"/>
      <c r="O762" s="46" t="str">
        <f aca="false">IF($A762="","",DATE(YEAR($A762),MONTH($A762),1))</f>
        <v/>
      </c>
    </row>
    <row r="763" customFormat="false" ht="15" hidden="false" customHeight="false" outlineLevel="0" collapsed="false">
      <c r="A763" s="44"/>
      <c r="B763" s="6"/>
      <c r="C763" s="6"/>
      <c r="D763" s="8" t="str">
        <f aca="false">IF($C763="","",IFERROR(INDEX(PRODUCTOS!$B$6:$B$105,MATCH($C763,PRODUCTOS!$A$6:$A$105,0)),"¿Código?"))</f>
        <v/>
      </c>
      <c r="E763" s="42"/>
      <c r="F763" s="35" t="str">
        <f aca="false">IF($C763="","",IFERROR(INDEX(PRODUCTOS!$D$6:$D$105,MATCH($C763,PRODUCTOS!$A$6:$A$105,0)),0))</f>
        <v/>
      </c>
      <c r="G763" s="40"/>
      <c r="H763" s="35" t="str">
        <f aca="false">IF($C763="","",N($E763)*$F763-N($G763))</f>
        <v/>
      </c>
      <c r="I763" s="35" t="str">
        <f aca="false">IF($C763="","",$H763-$H763/(1+IFERROR(INDEX(PRODUCTOS!$E$6:$E$105,MATCH($C763,PRODUCTOS!$A$6:$A$105,0)),IVA_VENTAS)))</f>
        <v/>
      </c>
      <c r="J763" s="35" t="str">
        <f aca="false">IF($C763="","",$H763-$I763)</f>
        <v/>
      </c>
      <c r="K763" s="35" t="str">
        <f aca="false">IF($C763="","",N($E763)*IFERROR(INDEX(PRODUCTOS!$H$6:$H$105,MATCH($C763,PRODUCTOS!$A$6:$A$105,0)),0))</f>
        <v/>
      </c>
      <c r="L763" s="35" t="str">
        <f aca="false">IF($C763="","",$J763-$K763)</f>
        <v/>
      </c>
      <c r="M763" s="6"/>
      <c r="N763" s="6"/>
      <c r="O763" s="46" t="str">
        <f aca="false">IF($A763="","",DATE(YEAR($A763),MONTH($A763),1))</f>
        <v/>
      </c>
    </row>
    <row r="764" customFormat="false" ht="15" hidden="false" customHeight="false" outlineLevel="0" collapsed="false">
      <c r="A764" s="44"/>
      <c r="B764" s="6"/>
      <c r="C764" s="6"/>
      <c r="D764" s="8" t="str">
        <f aca="false">IF($C764="","",IFERROR(INDEX(PRODUCTOS!$B$6:$B$105,MATCH($C764,PRODUCTOS!$A$6:$A$105,0)),"¿Código?"))</f>
        <v/>
      </c>
      <c r="E764" s="42"/>
      <c r="F764" s="35" t="str">
        <f aca="false">IF($C764="","",IFERROR(INDEX(PRODUCTOS!$D$6:$D$105,MATCH($C764,PRODUCTOS!$A$6:$A$105,0)),0))</f>
        <v/>
      </c>
      <c r="G764" s="40"/>
      <c r="H764" s="35" t="str">
        <f aca="false">IF($C764="","",N($E764)*$F764-N($G764))</f>
        <v/>
      </c>
      <c r="I764" s="35" t="str">
        <f aca="false">IF($C764="","",$H764-$H764/(1+IFERROR(INDEX(PRODUCTOS!$E$6:$E$105,MATCH($C764,PRODUCTOS!$A$6:$A$105,0)),IVA_VENTAS)))</f>
        <v/>
      </c>
      <c r="J764" s="35" t="str">
        <f aca="false">IF($C764="","",$H764-$I764)</f>
        <v/>
      </c>
      <c r="K764" s="35" t="str">
        <f aca="false">IF($C764="","",N($E764)*IFERROR(INDEX(PRODUCTOS!$H$6:$H$105,MATCH($C764,PRODUCTOS!$A$6:$A$105,0)),0))</f>
        <v/>
      </c>
      <c r="L764" s="35" t="str">
        <f aca="false">IF($C764="","",$J764-$K764)</f>
        <v/>
      </c>
      <c r="M764" s="6"/>
      <c r="N764" s="6"/>
      <c r="O764" s="46" t="str">
        <f aca="false">IF($A764="","",DATE(YEAR($A764),MONTH($A764),1))</f>
        <v/>
      </c>
    </row>
    <row r="765" customFormat="false" ht="15" hidden="false" customHeight="false" outlineLevel="0" collapsed="false">
      <c r="A765" s="44"/>
      <c r="B765" s="6"/>
      <c r="C765" s="6"/>
      <c r="D765" s="8" t="str">
        <f aca="false">IF($C765="","",IFERROR(INDEX(PRODUCTOS!$B$6:$B$105,MATCH($C765,PRODUCTOS!$A$6:$A$105,0)),"¿Código?"))</f>
        <v/>
      </c>
      <c r="E765" s="42"/>
      <c r="F765" s="35" t="str">
        <f aca="false">IF($C765="","",IFERROR(INDEX(PRODUCTOS!$D$6:$D$105,MATCH($C765,PRODUCTOS!$A$6:$A$105,0)),0))</f>
        <v/>
      </c>
      <c r="G765" s="40"/>
      <c r="H765" s="35" t="str">
        <f aca="false">IF($C765="","",N($E765)*$F765-N($G765))</f>
        <v/>
      </c>
      <c r="I765" s="35" t="str">
        <f aca="false">IF($C765="","",$H765-$H765/(1+IFERROR(INDEX(PRODUCTOS!$E$6:$E$105,MATCH($C765,PRODUCTOS!$A$6:$A$105,0)),IVA_VENTAS)))</f>
        <v/>
      </c>
      <c r="J765" s="35" t="str">
        <f aca="false">IF($C765="","",$H765-$I765)</f>
        <v/>
      </c>
      <c r="K765" s="35" t="str">
        <f aca="false">IF($C765="","",N($E765)*IFERROR(INDEX(PRODUCTOS!$H$6:$H$105,MATCH($C765,PRODUCTOS!$A$6:$A$105,0)),0))</f>
        <v/>
      </c>
      <c r="L765" s="35" t="str">
        <f aca="false">IF($C765="","",$J765-$K765)</f>
        <v/>
      </c>
      <c r="M765" s="6"/>
      <c r="N765" s="6"/>
      <c r="O765" s="46" t="str">
        <f aca="false">IF($A765="","",DATE(YEAR($A765),MONTH($A765),1))</f>
        <v/>
      </c>
    </row>
    <row r="766" customFormat="false" ht="15" hidden="false" customHeight="false" outlineLevel="0" collapsed="false">
      <c r="A766" s="44"/>
      <c r="B766" s="6"/>
      <c r="C766" s="6"/>
      <c r="D766" s="8" t="str">
        <f aca="false">IF($C766="","",IFERROR(INDEX(PRODUCTOS!$B$6:$B$105,MATCH($C766,PRODUCTOS!$A$6:$A$105,0)),"¿Código?"))</f>
        <v/>
      </c>
      <c r="E766" s="42"/>
      <c r="F766" s="35" t="str">
        <f aca="false">IF($C766="","",IFERROR(INDEX(PRODUCTOS!$D$6:$D$105,MATCH($C766,PRODUCTOS!$A$6:$A$105,0)),0))</f>
        <v/>
      </c>
      <c r="G766" s="40"/>
      <c r="H766" s="35" t="str">
        <f aca="false">IF($C766="","",N($E766)*$F766-N($G766))</f>
        <v/>
      </c>
      <c r="I766" s="35" t="str">
        <f aca="false">IF($C766="","",$H766-$H766/(1+IFERROR(INDEX(PRODUCTOS!$E$6:$E$105,MATCH($C766,PRODUCTOS!$A$6:$A$105,0)),IVA_VENTAS)))</f>
        <v/>
      </c>
      <c r="J766" s="35" t="str">
        <f aca="false">IF($C766="","",$H766-$I766)</f>
        <v/>
      </c>
      <c r="K766" s="35" t="str">
        <f aca="false">IF($C766="","",N($E766)*IFERROR(INDEX(PRODUCTOS!$H$6:$H$105,MATCH($C766,PRODUCTOS!$A$6:$A$105,0)),0))</f>
        <v/>
      </c>
      <c r="L766" s="35" t="str">
        <f aca="false">IF($C766="","",$J766-$K766)</f>
        <v/>
      </c>
      <c r="M766" s="6"/>
      <c r="N766" s="6"/>
      <c r="O766" s="46" t="str">
        <f aca="false">IF($A766="","",DATE(YEAR($A766),MONTH($A766),1))</f>
        <v/>
      </c>
    </row>
    <row r="767" customFormat="false" ht="15" hidden="false" customHeight="false" outlineLevel="0" collapsed="false">
      <c r="A767" s="44"/>
      <c r="B767" s="6"/>
      <c r="C767" s="6"/>
      <c r="D767" s="8" t="str">
        <f aca="false">IF($C767="","",IFERROR(INDEX(PRODUCTOS!$B$6:$B$105,MATCH($C767,PRODUCTOS!$A$6:$A$105,0)),"¿Código?"))</f>
        <v/>
      </c>
      <c r="E767" s="42"/>
      <c r="F767" s="35" t="str">
        <f aca="false">IF($C767="","",IFERROR(INDEX(PRODUCTOS!$D$6:$D$105,MATCH($C767,PRODUCTOS!$A$6:$A$105,0)),0))</f>
        <v/>
      </c>
      <c r="G767" s="40"/>
      <c r="H767" s="35" t="str">
        <f aca="false">IF($C767="","",N($E767)*$F767-N($G767))</f>
        <v/>
      </c>
      <c r="I767" s="35" t="str">
        <f aca="false">IF($C767="","",$H767-$H767/(1+IFERROR(INDEX(PRODUCTOS!$E$6:$E$105,MATCH($C767,PRODUCTOS!$A$6:$A$105,0)),IVA_VENTAS)))</f>
        <v/>
      </c>
      <c r="J767" s="35" t="str">
        <f aca="false">IF($C767="","",$H767-$I767)</f>
        <v/>
      </c>
      <c r="K767" s="35" t="str">
        <f aca="false">IF($C767="","",N($E767)*IFERROR(INDEX(PRODUCTOS!$H$6:$H$105,MATCH($C767,PRODUCTOS!$A$6:$A$105,0)),0))</f>
        <v/>
      </c>
      <c r="L767" s="35" t="str">
        <f aca="false">IF($C767="","",$J767-$K767)</f>
        <v/>
      </c>
      <c r="M767" s="6"/>
      <c r="N767" s="6"/>
      <c r="O767" s="46" t="str">
        <f aca="false">IF($A767="","",DATE(YEAR($A767),MONTH($A767),1))</f>
        <v/>
      </c>
    </row>
    <row r="768" customFormat="false" ht="15" hidden="false" customHeight="false" outlineLevel="0" collapsed="false">
      <c r="A768" s="44"/>
      <c r="B768" s="6"/>
      <c r="C768" s="6"/>
      <c r="D768" s="8" t="str">
        <f aca="false">IF($C768="","",IFERROR(INDEX(PRODUCTOS!$B$6:$B$105,MATCH($C768,PRODUCTOS!$A$6:$A$105,0)),"¿Código?"))</f>
        <v/>
      </c>
      <c r="E768" s="42"/>
      <c r="F768" s="35" t="str">
        <f aca="false">IF($C768="","",IFERROR(INDEX(PRODUCTOS!$D$6:$D$105,MATCH($C768,PRODUCTOS!$A$6:$A$105,0)),0))</f>
        <v/>
      </c>
      <c r="G768" s="40"/>
      <c r="H768" s="35" t="str">
        <f aca="false">IF($C768="","",N($E768)*$F768-N($G768))</f>
        <v/>
      </c>
      <c r="I768" s="35" t="str">
        <f aca="false">IF($C768="","",$H768-$H768/(1+IFERROR(INDEX(PRODUCTOS!$E$6:$E$105,MATCH($C768,PRODUCTOS!$A$6:$A$105,0)),IVA_VENTAS)))</f>
        <v/>
      </c>
      <c r="J768" s="35" t="str">
        <f aca="false">IF($C768="","",$H768-$I768)</f>
        <v/>
      </c>
      <c r="K768" s="35" t="str">
        <f aca="false">IF($C768="","",N($E768)*IFERROR(INDEX(PRODUCTOS!$H$6:$H$105,MATCH($C768,PRODUCTOS!$A$6:$A$105,0)),0))</f>
        <v/>
      </c>
      <c r="L768" s="35" t="str">
        <f aca="false">IF($C768="","",$J768-$K768)</f>
        <v/>
      </c>
      <c r="M768" s="6"/>
      <c r="N768" s="6"/>
      <c r="O768" s="46" t="str">
        <f aca="false">IF($A768="","",DATE(YEAR($A768),MONTH($A768),1))</f>
        <v/>
      </c>
    </row>
    <row r="769" customFormat="false" ht="15" hidden="false" customHeight="false" outlineLevel="0" collapsed="false">
      <c r="A769" s="44"/>
      <c r="B769" s="6"/>
      <c r="C769" s="6"/>
      <c r="D769" s="8" t="str">
        <f aca="false">IF($C769="","",IFERROR(INDEX(PRODUCTOS!$B$6:$B$105,MATCH($C769,PRODUCTOS!$A$6:$A$105,0)),"¿Código?"))</f>
        <v/>
      </c>
      <c r="E769" s="42"/>
      <c r="F769" s="35" t="str">
        <f aca="false">IF($C769="","",IFERROR(INDEX(PRODUCTOS!$D$6:$D$105,MATCH($C769,PRODUCTOS!$A$6:$A$105,0)),0))</f>
        <v/>
      </c>
      <c r="G769" s="40"/>
      <c r="H769" s="35" t="str">
        <f aca="false">IF($C769="","",N($E769)*$F769-N($G769))</f>
        <v/>
      </c>
      <c r="I769" s="35" t="str">
        <f aca="false">IF($C769="","",$H769-$H769/(1+IFERROR(INDEX(PRODUCTOS!$E$6:$E$105,MATCH($C769,PRODUCTOS!$A$6:$A$105,0)),IVA_VENTAS)))</f>
        <v/>
      </c>
      <c r="J769" s="35" t="str">
        <f aca="false">IF($C769="","",$H769-$I769)</f>
        <v/>
      </c>
      <c r="K769" s="35" t="str">
        <f aca="false">IF($C769="","",N($E769)*IFERROR(INDEX(PRODUCTOS!$H$6:$H$105,MATCH($C769,PRODUCTOS!$A$6:$A$105,0)),0))</f>
        <v/>
      </c>
      <c r="L769" s="35" t="str">
        <f aca="false">IF($C769="","",$J769-$K769)</f>
        <v/>
      </c>
      <c r="M769" s="6"/>
      <c r="N769" s="6"/>
      <c r="O769" s="46" t="str">
        <f aca="false">IF($A769="","",DATE(YEAR($A769),MONTH($A769),1))</f>
        <v/>
      </c>
    </row>
    <row r="770" customFormat="false" ht="15" hidden="false" customHeight="false" outlineLevel="0" collapsed="false">
      <c r="A770" s="44"/>
      <c r="B770" s="6"/>
      <c r="C770" s="6"/>
      <c r="D770" s="8" t="str">
        <f aca="false">IF($C770="","",IFERROR(INDEX(PRODUCTOS!$B$6:$B$105,MATCH($C770,PRODUCTOS!$A$6:$A$105,0)),"¿Código?"))</f>
        <v/>
      </c>
      <c r="E770" s="42"/>
      <c r="F770" s="35" t="str">
        <f aca="false">IF($C770="","",IFERROR(INDEX(PRODUCTOS!$D$6:$D$105,MATCH($C770,PRODUCTOS!$A$6:$A$105,0)),0))</f>
        <v/>
      </c>
      <c r="G770" s="40"/>
      <c r="H770" s="35" t="str">
        <f aca="false">IF($C770="","",N($E770)*$F770-N($G770))</f>
        <v/>
      </c>
      <c r="I770" s="35" t="str">
        <f aca="false">IF($C770="","",$H770-$H770/(1+IFERROR(INDEX(PRODUCTOS!$E$6:$E$105,MATCH($C770,PRODUCTOS!$A$6:$A$105,0)),IVA_VENTAS)))</f>
        <v/>
      </c>
      <c r="J770" s="35" t="str">
        <f aca="false">IF($C770="","",$H770-$I770)</f>
        <v/>
      </c>
      <c r="K770" s="35" t="str">
        <f aca="false">IF($C770="","",N($E770)*IFERROR(INDEX(PRODUCTOS!$H$6:$H$105,MATCH($C770,PRODUCTOS!$A$6:$A$105,0)),0))</f>
        <v/>
      </c>
      <c r="L770" s="35" t="str">
        <f aca="false">IF($C770="","",$J770-$K770)</f>
        <v/>
      </c>
      <c r="M770" s="6"/>
      <c r="N770" s="6"/>
      <c r="O770" s="46" t="str">
        <f aca="false">IF($A770="","",DATE(YEAR($A770),MONTH($A770),1))</f>
        <v/>
      </c>
    </row>
    <row r="771" customFormat="false" ht="15" hidden="false" customHeight="false" outlineLevel="0" collapsed="false">
      <c r="A771" s="44"/>
      <c r="B771" s="6"/>
      <c r="C771" s="6"/>
      <c r="D771" s="8" t="str">
        <f aca="false">IF($C771="","",IFERROR(INDEX(PRODUCTOS!$B$6:$B$105,MATCH($C771,PRODUCTOS!$A$6:$A$105,0)),"¿Código?"))</f>
        <v/>
      </c>
      <c r="E771" s="42"/>
      <c r="F771" s="35" t="str">
        <f aca="false">IF($C771="","",IFERROR(INDEX(PRODUCTOS!$D$6:$D$105,MATCH($C771,PRODUCTOS!$A$6:$A$105,0)),0))</f>
        <v/>
      </c>
      <c r="G771" s="40"/>
      <c r="H771" s="35" t="str">
        <f aca="false">IF($C771="","",N($E771)*$F771-N($G771))</f>
        <v/>
      </c>
      <c r="I771" s="35" t="str">
        <f aca="false">IF($C771="","",$H771-$H771/(1+IFERROR(INDEX(PRODUCTOS!$E$6:$E$105,MATCH($C771,PRODUCTOS!$A$6:$A$105,0)),IVA_VENTAS)))</f>
        <v/>
      </c>
      <c r="J771" s="35" t="str">
        <f aca="false">IF($C771="","",$H771-$I771)</f>
        <v/>
      </c>
      <c r="K771" s="35" t="str">
        <f aca="false">IF($C771="","",N($E771)*IFERROR(INDEX(PRODUCTOS!$H$6:$H$105,MATCH($C771,PRODUCTOS!$A$6:$A$105,0)),0))</f>
        <v/>
      </c>
      <c r="L771" s="35" t="str">
        <f aca="false">IF($C771="","",$J771-$K771)</f>
        <v/>
      </c>
      <c r="M771" s="6"/>
      <c r="N771" s="6"/>
      <c r="O771" s="46" t="str">
        <f aca="false">IF($A771="","",DATE(YEAR($A771),MONTH($A771),1))</f>
        <v/>
      </c>
    </row>
    <row r="772" customFormat="false" ht="15" hidden="false" customHeight="false" outlineLevel="0" collapsed="false">
      <c r="A772" s="44"/>
      <c r="B772" s="6"/>
      <c r="C772" s="6"/>
      <c r="D772" s="8" t="str">
        <f aca="false">IF($C772="","",IFERROR(INDEX(PRODUCTOS!$B$6:$B$105,MATCH($C772,PRODUCTOS!$A$6:$A$105,0)),"¿Código?"))</f>
        <v/>
      </c>
      <c r="E772" s="42"/>
      <c r="F772" s="35" t="str">
        <f aca="false">IF($C772="","",IFERROR(INDEX(PRODUCTOS!$D$6:$D$105,MATCH($C772,PRODUCTOS!$A$6:$A$105,0)),0))</f>
        <v/>
      </c>
      <c r="G772" s="40"/>
      <c r="H772" s="35" t="str">
        <f aca="false">IF($C772="","",N($E772)*$F772-N($G772))</f>
        <v/>
      </c>
      <c r="I772" s="35" t="str">
        <f aca="false">IF($C772="","",$H772-$H772/(1+IFERROR(INDEX(PRODUCTOS!$E$6:$E$105,MATCH($C772,PRODUCTOS!$A$6:$A$105,0)),IVA_VENTAS)))</f>
        <v/>
      </c>
      <c r="J772" s="35" t="str">
        <f aca="false">IF($C772="","",$H772-$I772)</f>
        <v/>
      </c>
      <c r="K772" s="35" t="str">
        <f aca="false">IF($C772="","",N($E772)*IFERROR(INDEX(PRODUCTOS!$H$6:$H$105,MATCH($C772,PRODUCTOS!$A$6:$A$105,0)),0))</f>
        <v/>
      </c>
      <c r="L772" s="35" t="str">
        <f aca="false">IF($C772="","",$J772-$K772)</f>
        <v/>
      </c>
      <c r="M772" s="6"/>
      <c r="N772" s="6"/>
      <c r="O772" s="46" t="str">
        <f aca="false">IF($A772="","",DATE(YEAR($A772),MONTH($A772),1))</f>
        <v/>
      </c>
    </row>
    <row r="773" customFormat="false" ht="15" hidden="false" customHeight="false" outlineLevel="0" collapsed="false">
      <c r="A773" s="44"/>
      <c r="B773" s="6"/>
      <c r="C773" s="6"/>
      <c r="D773" s="8" t="str">
        <f aca="false">IF($C773="","",IFERROR(INDEX(PRODUCTOS!$B$6:$B$105,MATCH($C773,PRODUCTOS!$A$6:$A$105,0)),"¿Código?"))</f>
        <v/>
      </c>
      <c r="E773" s="42"/>
      <c r="F773" s="35" t="str">
        <f aca="false">IF($C773="","",IFERROR(INDEX(PRODUCTOS!$D$6:$D$105,MATCH($C773,PRODUCTOS!$A$6:$A$105,0)),0))</f>
        <v/>
      </c>
      <c r="G773" s="40"/>
      <c r="H773" s="35" t="str">
        <f aca="false">IF($C773="","",N($E773)*$F773-N($G773))</f>
        <v/>
      </c>
      <c r="I773" s="35" t="str">
        <f aca="false">IF($C773="","",$H773-$H773/(1+IFERROR(INDEX(PRODUCTOS!$E$6:$E$105,MATCH($C773,PRODUCTOS!$A$6:$A$105,0)),IVA_VENTAS)))</f>
        <v/>
      </c>
      <c r="J773" s="35" t="str">
        <f aca="false">IF($C773="","",$H773-$I773)</f>
        <v/>
      </c>
      <c r="K773" s="35" t="str">
        <f aca="false">IF($C773="","",N($E773)*IFERROR(INDEX(PRODUCTOS!$H$6:$H$105,MATCH($C773,PRODUCTOS!$A$6:$A$105,0)),0))</f>
        <v/>
      </c>
      <c r="L773" s="35" t="str">
        <f aca="false">IF($C773="","",$J773-$K773)</f>
        <v/>
      </c>
      <c r="M773" s="6"/>
      <c r="N773" s="6"/>
      <c r="O773" s="46" t="str">
        <f aca="false">IF($A773="","",DATE(YEAR($A773),MONTH($A773),1))</f>
        <v/>
      </c>
    </row>
    <row r="774" customFormat="false" ht="15" hidden="false" customHeight="false" outlineLevel="0" collapsed="false">
      <c r="A774" s="44"/>
      <c r="B774" s="6"/>
      <c r="C774" s="6"/>
      <c r="D774" s="8" t="str">
        <f aca="false">IF($C774="","",IFERROR(INDEX(PRODUCTOS!$B$6:$B$105,MATCH($C774,PRODUCTOS!$A$6:$A$105,0)),"¿Código?"))</f>
        <v/>
      </c>
      <c r="E774" s="42"/>
      <c r="F774" s="35" t="str">
        <f aca="false">IF($C774="","",IFERROR(INDEX(PRODUCTOS!$D$6:$D$105,MATCH($C774,PRODUCTOS!$A$6:$A$105,0)),0))</f>
        <v/>
      </c>
      <c r="G774" s="40"/>
      <c r="H774" s="35" t="str">
        <f aca="false">IF($C774="","",N($E774)*$F774-N($G774))</f>
        <v/>
      </c>
      <c r="I774" s="35" t="str">
        <f aca="false">IF($C774="","",$H774-$H774/(1+IFERROR(INDEX(PRODUCTOS!$E$6:$E$105,MATCH($C774,PRODUCTOS!$A$6:$A$105,0)),IVA_VENTAS)))</f>
        <v/>
      </c>
      <c r="J774" s="35" t="str">
        <f aca="false">IF($C774="","",$H774-$I774)</f>
        <v/>
      </c>
      <c r="K774" s="35" t="str">
        <f aca="false">IF($C774="","",N($E774)*IFERROR(INDEX(PRODUCTOS!$H$6:$H$105,MATCH($C774,PRODUCTOS!$A$6:$A$105,0)),0))</f>
        <v/>
      </c>
      <c r="L774" s="35" t="str">
        <f aca="false">IF($C774="","",$J774-$K774)</f>
        <v/>
      </c>
      <c r="M774" s="6"/>
      <c r="N774" s="6"/>
      <c r="O774" s="46" t="str">
        <f aca="false">IF($A774="","",DATE(YEAR($A774),MONTH($A774),1))</f>
        <v/>
      </c>
    </row>
    <row r="775" customFormat="false" ht="15" hidden="false" customHeight="false" outlineLevel="0" collapsed="false">
      <c r="A775" s="44"/>
      <c r="B775" s="6"/>
      <c r="C775" s="6"/>
      <c r="D775" s="8" t="str">
        <f aca="false">IF($C775="","",IFERROR(INDEX(PRODUCTOS!$B$6:$B$105,MATCH($C775,PRODUCTOS!$A$6:$A$105,0)),"¿Código?"))</f>
        <v/>
      </c>
      <c r="E775" s="42"/>
      <c r="F775" s="35" t="str">
        <f aca="false">IF($C775="","",IFERROR(INDEX(PRODUCTOS!$D$6:$D$105,MATCH($C775,PRODUCTOS!$A$6:$A$105,0)),0))</f>
        <v/>
      </c>
      <c r="G775" s="40"/>
      <c r="H775" s="35" t="str">
        <f aca="false">IF($C775="","",N($E775)*$F775-N($G775))</f>
        <v/>
      </c>
      <c r="I775" s="35" t="str">
        <f aca="false">IF($C775="","",$H775-$H775/(1+IFERROR(INDEX(PRODUCTOS!$E$6:$E$105,MATCH($C775,PRODUCTOS!$A$6:$A$105,0)),IVA_VENTAS)))</f>
        <v/>
      </c>
      <c r="J775" s="35" t="str">
        <f aca="false">IF($C775="","",$H775-$I775)</f>
        <v/>
      </c>
      <c r="K775" s="35" t="str">
        <f aca="false">IF($C775="","",N($E775)*IFERROR(INDEX(PRODUCTOS!$H$6:$H$105,MATCH($C775,PRODUCTOS!$A$6:$A$105,0)),0))</f>
        <v/>
      </c>
      <c r="L775" s="35" t="str">
        <f aca="false">IF($C775="","",$J775-$K775)</f>
        <v/>
      </c>
      <c r="M775" s="6"/>
      <c r="N775" s="6"/>
      <c r="O775" s="46" t="str">
        <f aca="false">IF($A775="","",DATE(YEAR($A775),MONTH($A775),1))</f>
        <v/>
      </c>
    </row>
    <row r="776" customFormat="false" ht="15" hidden="false" customHeight="false" outlineLevel="0" collapsed="false">
      <c r="A776" s="44"/>
      <c r="B776" s="6"/>
      <c r="C776" s="6"/>
      <c r="D776" s="8" t="str">
        <f aca="false">IF($C776="","",IFERROR(INDEX(PRODUCTOS!$B$6:$B$105,MATCH($C776,PRODUCTOS!$A$6:$A$105,0)),"¿Código?"))</f>
        <v/>
      </c>
      <c r="E776" s="42"/>
      <c r="F776" s="35" t="str">
        <f aca="false">IF($C776="","",IFERROR(INDEX(PRODUCTOS!$D$6:$D$105,MATCH($C776,PRODUCTOS!$A$6:$A$105,0)),0))</f>
        <v/>
      </c>
      <c r="G776" s="40"/>
      <c r="H776" s="35" t="str">
        <f aca="false">IF($C776="","",N($E776)*$F776-N($G776))</f>
        <v/>
      </c>
      <c r="I776" s="35" t="str">
        <f aca="false">IF($C776="","",$H776-$H776/(1+IFERROR(INDEX(PRODUCTOS!$E$6:$E$105,MATCH($C776,PRODUCTOS!$A$6:$A$105,0)),IVA_VENTAS)))</f>
        <v/>
      </c>
      <c r="J776" s="35" t="str">
        <f aca="false">IF($C776="","",$H776-$I776)</f>
        <v/>
      </c>
      <c r="K776" s="35" t="str">
        <f aca="false">IF($C776="","",N($E776)*IFERROR(INDEX(PRODUCTOS!$H$6:$H$105,MATCH($C776,PRODUCTOS!$A$6:$A$105,0)),0))</f>
        <v/>
      </c>
      <c r="L776" s="35" t="str">
        <f aca="false">IF($C776="","",$J776-$K776)</f>
        <v/>
      </c>
      <c r="M776" s="6"/>
      <c r="N776" s="6"/>
      <c r="O776" s="46" t="str">
        <f aca="false">IF($A776="","",DATE(YEAR($A776),MONTH($A776),1))</f>
        <v/>
      </c>
    </row>
    <row r="777" customFormat="false" ht="15" hidden="false" customHeight="false" outlineLevel="0" collapsed="false">
      <c r="A777" s="44"/>
      <c r="B777" s="6"/>
      <c r="C777" s="6"/>
      <c r="D777" s="8" t="str">
        <f aca="false">IF($C777="","",IFERROR(INDEX(PRODUCTOS!$B$6:$B$105,MATCH($C777,PRODUCTOS!$A$6:$A$105,0)),"¿Código?"))</f>
        <v/>
      </c>
      <c r="E777" s="42"/>
      <c r="F777" s="35" t="str">
        <f aca="false">IF($C777="","",IFERROR(INDEX(PRODUCTOS!$D$6:$D$105,MATCH($C777,PRODUCTOS!$A$6:$A$105,0)),0))</f>
        <v/>
      </c>
      <c r="G777" s="40"/>
      <c r="H777" s="35" t="str">
        <f aca="false">IF($C777="","",N($E777)*$F777-N($G777))</f>
        <v/>
      </c>
      <c r="I777" s="35" t="str">
        <f aca="false">IF($C777="","",$H777-$H777/(1+IFERROR(INDEX(PRODUCTOS!$E$6:$E$105,MATCH($C777,PRODUCTOS!$A$6:$A$105,0)),IVA_VENTAS)))</f>
        <v/>
      </c>
      <c r="J777" s="35" t="str">
        <f aca="false">IF($C777="","",$H777-$I777)</f>
        <v/>
      </c>
      <c r="K777" s="35" t="str">
        <f aca="false">IF($C777="","",N($E777)*IFERROR(INDEX(PRODUCTOS!$H$6:$H$105,MATCH($C777,PRODUCTOS!$A$6:$A$105,0)),0))</f>
        <v/>
      </c>
      <c r="L777" s="35" t="str">
        <f aca="false">IF($C777="","",$J777-$K777)</f>
        <v/>
      </c>
      <c r="M777" s="6"/>
      <c r="N777" s="6"/>
      <c r="O777" s="46" t="str">
        <f aca="false">IF($A777="","",DATE(YEAR($A777),MONTH($A777),1))</f>
        <v/>
      </c>
    </row>
    <row r="778" customFormat="false" ht="15" hidden="false" customHeight="false" outlineLevel="0" collapsed="false">
      <c r="A778" s="44"/>
      <c r="B778" s="6"/>
      <c r="C778" s="6"/>
      <c r="D778" s="8" t="str">
        <f aca="false">IF($C778="","",IFERROR(INDEX(PRODUCTOS!$B$6:$B$105,MATCH($C778,PRODUCTOS!$A$6:$A$105,0)),"¿Código?"))</f>
        <v/>
      </c>
      <c r="E778" s="42"/>
      <c r="F778" s="35" t="str">
        <f aca="false">IF($C778="","",IFERROR(INDEX(PRODUCTOS!$D$6:$D$105,MATCH($C778,PRODUCTOS!$A$6:$A$105,0)),0))</f>
        <v/>
      </c>
      <c r="G778" s="40"/>
      <c r="H778" s="35" t="str">
        <f aca="false">IF($C778="","",N($E778)*$F778-N($G778))</f>
        <v/>
      </c>
      <c r="I778" s="35" t="str">
        <f aca="false">IF($C778="","",$H778-$H778/(1+IFERROR(INDEX(PRODUCTOS!$E$6:$E$105,MATCH($C778,PRODUCTOS!$A$6:$A$105,0)),IVA_VENTAS)))</f>
        <v/>
      </c>
      <c r="J778" s="35" t="str">
        <f aca="false">IF($C778="","",$H778-$I778)</f>
        <v/>
      </c>
      <c r="K778" s="35" t="str">
        <f aca="false">IF($C778="","",N($E778)*IFERROR(INDEX(PRODUCTOS!$H$6:$H$105,MATCH($C778,PRODUCTOS!$A$6:$A$105,0)),0))</f>
        <v/>
      </c>
      <c r="L778" s="35" t="str">
        <f aca="false">IF($C778="","",$J778-$K778)</f>
        <v/>
      </c>
      <c r="M778" s="6"/>
      <c r="N778" s="6"/>
      <c r="O778" s="46" t="str">
        <f aca="false">IF($A778="","",DATE(YEAR($A778),MONTH($A778),1))</f>
        <v/>
      </c>
    </row>
    <row r="779" customFormat="false" ht="15" hidden="false" customHeight="false" outlineLevel="0" collapsed="false">
      <c r="A779" s="44"/>
      <c r="B779" s="6"/>
      <c r="C779" s="6"/>
      <c r="D779" s="8" t="str">
        <f aca="false">IF($C779="","",IFERROR(INDEX(PRODUCTOS!$B$6:$B$105,MATCH($C779,PRODUCTOS!$A$6:$A$105,0)),"¿Código?"))</f>
        <v/>
      </c>
      <c r="E779" s="42"/>
      <c r="F779" s="35" t="str">
        <f aca="false">IF($C779="","",IFERROR(INDEX(PRODUCTOS!$D$6:$D$105,MATCH($C779,PRODUCTOS!$A$6:$A$105,0)),0))</f>
        <v/>
      </c>
      <c r="G779" s="40"/>
      <c r="H779" s="35" t="str">
        <f aca="false">IF($C779="","",N($E779)*$F779-N($G779))</f>
        <v/>
      </c>
      <c r="I779" s="35" t="str">
        <f aca="false">IF($C779="","",$H779-$H779/(1+IFERROR(INDEX(PRODUCTOS!$E$6:$E$105,MATCH($C779,PRODUCTOS!$A$6:$A$105,0)),IVA_VENTAS)))</f>
        <v/>
      </c>
      <c r="J779" s="35" t="str">
        <f aca="false">IF($C779="","",$H779-$I779)</f>
        <v/>
      </c>
      <c r="K779" s="35" t="str">
        <f aca="false">IF($C779="","",N($E779)*IFERROR(INDEX(PRODUCTOS!$H$6:$H$105,MATCH($C779,PRODUCTOS!$A$6:$A$105,0)),0))</f>
        <v/>
      </c>
      <c r="L779" s="35" t="str">
        <f aca="false">IF($C779="","",$J779-$K779)</f>
        <v/>
      </c>
      <c r="M779" s="6"/>
      <c r="N779" s="6"/>
      <c r="O779" s="46" t="str">
        <f aca="false">IF($A779="","",DATE(YEAR($A779),MONTH($A779),1))</f>
        <v/>
      </c>
    </row>
    <row r="780" customFormat="false" ht="15" hidden="false" customHeight="false" outlineLevel="0" collapsed="false">
      <c r="A780" s="44"/>
      <c r="B780" s="6"/>
      <c r="C780" s="6"/>
      <c r="D780" s="8" t="str">
        <f aca="false">IF($C780="","",IFERROR(INDEX(PRODUCTOS!$B$6:$B$105,MATCH($C780,PRODUCTOS!$A$6:$A$105,0)),"¿Código?"))</f>
        <v/>
      </c>
      <c r="E780" s="42"/>
      <c r="F780" s="35" t="str">
        <f aca="false">IF($C780="","",IFERROR(INDEX(PRODUCTOS!$D$6:$D$105,MATCH($C780,PRODUCTOS!$A$6:$A$105,0)),0))</f>
        <v/>
      </c>
      <c r="G780" s="40"/>
      <c r="H780" s="35" t="str">
        <f aca="false">IF($C780="","",N($E780)*$F780-N($G780))</f>
        <v/>
      </c>
      <c r="I780" s="35" t="str">
        <f aca="false">IF($C780="","",$H780-$H780/(1+IFERROR(INDEX(PRODUCTOS!$E$6:$E$105,MATCH($C780,PRODUCTOS!$A$6:$A$105,0)),IVA_VENTAS)))</f>
        <v/>
      </c>
      <c r="J780" s="35" t="str">
        <f aca="false">IF($C780="","",$H780-$I780)</f>
        <v/>
      </c>
      <c r="K780" s="35" t="str">
        <f aca="false">IF($C780="","",N($E780)*IFERROR(INDEX(PRODUCTOS!$H$6:$H$105,MATCH($C780,PRODUCTOS!$A$6:$A$105,0)),0))</f>
        <v/>
      </c>
      <c r="L780" s="35" t="str">
        <f aca="false">IF($C780="","",$J780-$K780)</f>
        <v/>
      </c>
      <c r="M780" s="6"/>
      <c r="N780" s="6"/>
      <c r="O780" s="46" t="str">
        <f aca="false">IF($A780="","",DATE(YEAR($A780),MONTH($A780),1))</f>
        <v/>
      </c>
    </row>
    <row r="781" customFormat="false" ht="15" hidden="false" customHeight="false" outlineLevel="0" collapsed="false">
      <c r="A781" s="44"/>
      <c r="B781" s="6"/>
      <c r="C781" s="6"/>
      <c r="D781" s="8" t="str">
        <f aca="false">IF($C781="","",IFERROR(INDEX(PRODUCTOS!$B$6:$B$105,MATCH($C781,PRODUCTOS!$A$6:$A$105,0)),"¿Código?"))</f>
        <v/>
      </c>
      <c r="E781" s="42"/>
      <c r="F781" s="35" t="str">
        <f aca="false">IF($C781="","",IFERROR(INDEX(PRODUCTOS!$D$6:$D$105,MATCH($C781,PRODUCTOS!$A$6:$A$105,0)),0))</f>
        <v/>
      </c>
      <c r="G781" s="40"/>
      <c r="H781" s="35" t="str">
        <f aca="false">IF($C781="","",N($E781)*$F781-N($G781))</f>
        <v/>
      </c>
      <c r="I781" s="35" t="str">
        <f aca="false">IF($C781="","",$H781-$H781/(1+IFERROR(INDEX(PRODUCTOS!$E$6:$E$105,MATCH($C781,PRODUCTOS!$A$6:$A$105,0)),IVA_VENTAS)))</f>
        <v/>
      </c>
      <c r="J781" s="35" t="str">
        <f aca="false">IF($C781="","",$H781-$I781)</f>
        <v/>
      </c>
      <c r="K781" s="35" t="str">
        <f aca="false">IF($C781="","",N($E781)*IFERROR(INDEX(PRODUCTOS!$H$6:$H$105,MATCH($C781,PRODUCTOS!$A$6:$A$105,0)),0))</f>
        <v/>
      </c>
      <c r="L781" s="35" t="str">
        <f aca="false">IF($C781="","",$J781-$K781)</f>
        <v/>
      </c>
      <c r="M781" s="6"/>
      <c r="N781" s="6"/>
      <c r="O781" s="46" t="str">
        <f aca="false">IF($A781="","",DATE(YEAR($A781),MONTH($A781),1))</f>
        <v/>
      </c>
    </row>
    <row r="782" customFormat="false" ht="15" hidden="false" customHeight="false" outlineLevel="0" collapsed="false">
      <c r="A782" s="44"/>
      <c r="B782" s="6"/>
      <c r="C782" s="6"/>
      <c r="D782" s="8" t="str">
        <f aca="false">IF($C782="","",IFERROR(INDEX(PRODUCTOS!$B$6:$B$105,MATCH($C782,PRODUCTOS!$A$6:$A$105,0)),"¿Código?"))</f>
        <v/>
      </c>
      <c r="E782" s="42"/>
      <c r="F782" s="35" t="str">
        <f aca="false">IF($C782="","",IFERROR(INDEX(PRODUCTOS!$D$6:$D$105,MATCH($C782,PRODUCTOS!$A$6:$A$105,0)),0))</f>
        <v/>
      </c>
      <c r="G782" s="40"/>
      <c r="H782" s="35" t="str">
        <f aca="false">IF($C782="","",N($E782)*$F782-N($G782))</f>
        <v/>
      </c>
      <c r="I782" s="35" t="str">
        <f aca="false">IF($C782="","",$H782-$H782/(1+IFERROR(INDEX(PRODUCTOS!$E$6:$E$105,MATCH($C782,PRODUCTOS!$A$6:$A$105,0)),IVA_VENTAS)))</f>
        <v/>
      </c>
      <c r="J782" s="35" t="str">
        <f aca="false">IF($C782="","",$H782-$I782)</f>
        <v/>
      </c>
      <c r="K782" s="35" t="str">
        <f aca="false">IF($C782="","",N($E782)*IFERROR(INDEX(PRODUCTOS!$H$6:$H$105,MATCH($C782,PRODUCTOS!$A$6:$A$105,0)),0))</f>
        <v/>
      </c>
      <c r="L782" s="35" t="str">
        <f aca="false">IF($C782="","",$J782-$K782)</f>
        <v/>
      </c>
      <c r="M782" s="6"/>
      <c r="N782" s="6"/>
      <c r="O782" s="46" t="str">
        <f aca="false">IF($A782="","",DATE(YEAR($A782),MONTH($A782),1))</f>
        <v/>
      </c>
    </row>
    <row r="783" customFormat="false" ht="15" hidden="false" customHeight="false" outlineLevel="0" collapsed="false">
      <c r="A783" s="44"/>
      <c r="B783" s="6"/>
      <c r="C783" s="6"/>
      <c r="D783" s="8" t="str">
        <f aca="false">IF($C783="","",IFERROR(INDEX(PRODUCTOS!$B$6:$B$105,MATCH($C783,PRODUCTOS!$A$6:$A$105,0)),"¿Código?"))</f>
        <v/>
      </c>
      <c r="E783" s="42"/>
      <c r="F783" s="35" t="str">
        <f aca="false">IF($C783="","",IFERROR(INDEX(PRODUCTOS!$D$6:$D$105,MATCH($C783,PRODUCTOS!$A$6:$A$105,0)),0))</f>
        <v/>
      </c>
      <c r="G783" s="40"/>
      <c r="H783" s="35" t="str">
        <f aca="false">IF($C783="","",N($E783)*$F783-N($G783))</f>
        <v/>
      </c>
      <c r="I783" s="35" t="str">
        <f aca="false">IF($C783="","",$H783-$H783/(1+IFERROR(INDEX(PRODUCTOS!$E$6:$E$105,MATCH($C783,PRODUCTOS!$A$6:$A$105,0)),IVA_VENTAS)))</f>
        <v/>
      </c>
      <c r="J783" s="35" t="str">
        <f aca="false">IF($C783="","",$H783-$I783)</f>
        <v/>
      </c>
      <c r="K783" s="35" t="str">
        <f aca="false">IF($C783="","",N($E783)*IFERROR(INDEX(PRODUCTOS!$H$6:$H$105,MATCH($C783,PRODUCTOS!$A$6:$A$105,0)),0))</f>
        <v/>
      </c>
      <c r="L783" s="35" t="str">
        <f aca="false">IF($C783="","",$J783-$K783)</f>
        <v/>
      </c>
      <c r="M783" s="6"/>
      <c r="N783" s="6"/>
      <c r="O783" s="46" t="str">
        <f aca="false">IF($A783="","",DATE(YEAR($A783),MONTH($A783),1))</f>
        <v/>
      </c>
    </row>
    <row r="784" customFormat="false" ht="15" hidden="false" customHeight="false" outlineLevel="0" collapsed="false">
      <c r="A784" s="44"/>
      <c r="B784" s="6"/>
      <c r="C784" s="6"/>
      <c r="D784" s="8" t="str">
        <f aca="false">IF($C784="","",IFERROR(INDEX(PRODUCTOS!$B$6:$B$105,MATCH($C784,PRODUCTOS!$A$6:$A$105,0)),"¿Código?"))</f>
        <v/>
      </c>
      <c r="E784" s="42"/>
      <c r="F784" s="35" t="str">
        <f aca="false">IF($C784="","",IFERROR(INDEX(PRODUCTOS!$D$6:$D$105,MATCH($C784,PRODUCTOS!$A$6:$A$105,0)),0))</f>
        <v/>
      </c>
      <c r="G784" s="40"/>
      <c r="H784" s="35" t="str">
        <f aca="false">IF($C784="","",N($E784)*$F784-N($G784))</f>
        <v/>
      </c>
      <c r="I784" s="35" t="str">
        <f aca="false">IF($C784="","",$H784-$H784/(1+IFERROR(INDEX(PRODUCTOS!$E$6:$E$105,MATCH($C784,PRODUCTOS!$A$6:$A$105,0)),IVA_VENTAS)))</f>
        <v/>
      </c>
      <c r="J784" s="35" t="str">
        <f aca="false">IF($C784="","",$H784-$I784)</f>
        <v/>
      </c>
      <c r="K784" s="35" t="str">
        <f aca="false">IF($C784="","",N($E784)*IFERROR(INDEX(PRODUCTOS!$H$6:$H$105,MATCH($C784,PRODUCTOS!$A$6:$A$105,0)),0))</f>
        <v/>
      </c>
      <c r="L784" s="35" t="str">
        <f aca="false">IF($C784="","",$J784-$K784)</f>
        <v/>
      </c>
      <c r="M784" s="6"/>
      <c r="N784" s="6"/>
      <c r="O784" s="46" t="str">
        <f aca="false">IF($A784="","",DATE(YEAR($A784),MONTH($A784),1))</f>
        <v/>
      </c>
    </row>
    <row r="785" customFormat="false" ht="15" hidden="false" customHeight="false" outlineLevel="0" collapsed="false">
      <c r="A785" s="44"/>
      <c r="B785" s="6"/>
      <c r="C785" s="6"/>
      <c r="D785" s="8" t="str">
        <f aca="false">IF($C785="","",IFERROR(INDEX(PRODUCTOS!$B$6:$B$105,MATCH($C785,PRODUCTOS!$A$6:$A$105,0)),"¿Código?"))</f>
        <v/>
      </c>
      <c r="E785" s="42"/>
      <c r="F785" s="35" t="str">
        <f aca="false">IF($C785="","",IFERROR(INDEX(PRODUCTOS!$D$6:$D$105,MATCH($C785,PRODUCTOS!$A$6:$A$105,0)),0))</f>
        <v/>
      </c>
      <c r="G785" s="40"/>
      <c r="H785" s="35" t="str">
        <f aca="false">IF($C785="","",N($E785)*$F785-N($G785))</f>
        <v/>
      </c>
      <c r="I785" s="35" t="str">
        <f aca="false">IF($C785="","",$H785-$H785/(1+IFERROR(INDEX(PRODUCTOS!$E$6:$E$105,MATCH($C785,PRODUCTOS!$A$6:$A$105,0)),IVA_VENTAS)))</f>
        <v/>
      </c>
      <c r="J785" s="35" t="str">
        <f aca="false">IF($C785="","",$H785-$I785)</f>
        <v/>
      </c>
      <c r="K785" s="35" t="str">
        <f aca="false">IF($C785="","",N($E785)*IFERROR(INDEX(PRODUCTOS!$H$6:$H$105,MATCH($C785,PRODUCTOS!$A$6:$A$105,0)),0))</f>
        <v/>
      </c>
      <c r="L785" s="35" t="str">
        <f aca="false">IF($C785="","",$J785-$K785)</f>
        <v/>
      </c>
      <c r="M785" s="6"/>
      <c r="N785" s="6"/>
      <c r="O785" s="46" t="str">
        <f aca="false">IF($A785="","",DATE(YEAR($A785),MONTH($A785),1))</f>
        <v/>
      </c>
    </row>
    <row r="786" customFormat="false" ht="15" hidden="false" customHeight="false" outlineLevel="0" collapsed="false">
      <c r="A786" s="44"/>
      <c r="B786" s="6"/>
      <c r="C786" s="6"/>
      <c r="D786" s="8" t="str">
        <f aca="false">IF($C786="","",IFERROR(INDEX(PRODUCTOS!$B$6:$B$105,MATCH($C786,PRODUCTOS!$A$6:$A$105,0)),"¿Código?"))</f>
        <v/>
      </c>
      <c r="E786" s="42"/>
      <c r="F786" s="35" t="str">
        <f aca="false">IF($C786="","",IFERROR(INDEX(PRODUCTOS!$D$6:$D$105,MATCH($C786,PRODUCTOS!$A$6:$A$105,0)),0))</f>
        <v/>
      </c>
      <c r="G786" s="40"/>
      <c r="H786" s="35" t="str">
        <f aca="false">IF($C786="","",N($E786)*$F786-N($G786))</f>
        <v/>
      </c>
      <c r="I786" s="35" t="str">
        <f aca="false">IF($C786="","",$H786-$H786/(1+IFERROR(INDEX(PRODUCTOS!$E$6:$E$105,MATCH($C786,PRODUCTOS!$A$6:$A$105,0)),IVA_VENTAS)))</f>
        <v/>
      </c>
      <c r="J786" s="35" t="str">
        <f aca="false">IF($C786="","",$H786-$I786)</f>
        <v/>
      </c>
      <c r="K786" s="35" t="str">
        <f aca="false">IF($C786="","",N($E786)*IFERROR(INDEX(PRODUCTOS!$H$6:$H$105,MATCH($C786,PRODUCTOS!$A$6:$A$105,0)),0))</f>
        <v/>
      </c>
      <c r="L786" s="35" t="str">
        <f aca="false">IF($C786="","",$J786-$K786)</f>
        <v/>
      </c>
      <c r="M786" s="6"/>
      <c r="N786" s="6"/>
      <c r="O786" s="46" t="str">
        <f aca="false">IF($A786="","",DATE(YEAR($A786),MONTH($A786),1))</f>
        <v/>
      </c>
    </row>
    <row r="787" customFormat="false" ht="15" hidden="false" customHeight="false" outlineLevel="0" collapsed="false">
      <c r="A787" s="44"/>
      <c r="B787" s="6"/>
      <c r="C787" s="6"/>
      <c r="D787" s="8" t="str">
        <f aca="false">IF($C787="","",IFERROR(INDEX(PRODUCTOS!$B$6:$B$105,MATCH($C787,PRODUCTOS!$A$6:$A$105,0)),"¿Código?"))</f>
        <v/>
      </c>
      <c r="E787" s="42"/>
      <c r="F787" s="35" t="str">
        <f aca="false">IF($C787="","",IFERROR(INDEX(PRODUCTOS!$D$6:$D$105,MATCH($C787,PRODUCTOS!$A$6:$A$105,0)),0))</f>
        <v/>
      </c>
      <c r="G787" s="40"/>
      <c r="H787" s="35" t="str">
        <f aca="false">IF($C787="","",N($E787)*$F787-N($G787))</f>
        <v/>
      </c>
      <c r="I787" s="35" t="str">
        <f aca="false">IF($C787="","",$H787-$H787/(1+IFERROR(INDEX(PRODUCTOS!$E$6:$E$105,MATCH($C787,PRODUCTOS!$A$6:$A$105,0)),IVA_VENTAS)))</f>
        <v/>
      </c>
      <c r="J787" s="35" t="str">
        <f aca="false">IF($C787="","",$H787-$I787)</f>
        <v/>
      </c>
      <c r="K787" s="35" t="str">
        <f aca="false">IF($C787="","",N($E787)*IFERROR(INDEX(PRODUCTOS!$H$6:$H$105,MATCH($C787,PRODUCTOS!$A$6:$A$105,0)),0))</f>
        <v/>
      </c>
      <c r="L787" s="35" t="str">
        <f aca="false">IF($C787="","",$J787-$K787)</f>
        <v/>
      </c>
      <c r="M787" s="6"/>
      <c r="N787" s="6"/>
      <c r="O787" s="46" t="str">
        <f aca="false">IF($A787="","",DATE(YEAR($A787),MONTH($A787),1))</f>
        <v/>
      </c>
    </row>
    <row r="788" customFormat="false" ht="15" hidden="false" customHeight="false" outlineLevel="0" collapsed="false">
      <c r="A788" s="44"/>
      <c r="B788" s="6"/>
      <c r="C788" s="6"/>
      <c r="D788" s="8" t="str">
        <f aca="false">IF($C788="","",IFERROR(INDEX(PRODUCTOS!$B$6:$B$105,MATCH($C788,PRODUCTOS!$A$6:$A$105,0)),"¿Código?"))</f>
        <v/>
      </c>
      <c r="E788" s="42"/>
      <c r="F788" s="35" t="str">
        <f aca="false">IF($C788="","",IFERROR(INDEX(PRODUCTOS!$D$6:$D$105,MATCH($C788,PRODUCTOS!$A$6:$A$105,0)),0))</f>
        <v/>
      </c>
      <c r="G788" s="40"/>
      <c r="H788" s="35" t="str">
        <f aca="false">IF($C788="","",N($E788)*$F788-N($G788))</f>
        <v/>
      </c>
      <c r="I788" s="35" t="str">
        <f aca="false">IF($C788="","",$H788-$H788/(1+IFERROR(INDEX(PRODUCTOS!$E$6:$E$105,MATCH($C788,PRODUCTOS!$A$6:$A$105,0)),IVA_VENTAS)))</f>
        <v/>
      </c>
      <c r="J788" s="35" t="str">
        <f aca="false">IF($C788="","",$H788-$I788)</f>
        <v/>
      </c>
      <c r="K788" s="35" t="str">
        <f aca="false">IF($C788="","",N($E788)*IFERROR(INDEX(PRODUCTOS!$H$6:$H$105,MATCH($C788,PRODUCTOS!$A$6:$A$105,0)),0))</f>
        <v/>
      </c>
      <c r="L788" s="35" t="str">
        <f aca="false">IF($C788="","",$J788-$K788)</f>
        <v/>
      </c>
      <c r="M788" s="6"/>
      <c r="N788" s="6"/>
      <c r="O788" s="46" t="str">
        <f aca="false">IF($A788="","",DATE(YEAR($A788),MONTH($A788),1))</f>
        <v/>
      </c>
    </row>
    <row r="789" customFormat="false" ht="15" hidden="false" customHeight="false" outlineLevel="0" collapsed="false">
      <c r="A789" s="44"/>
      <c r="B789" s="6"/>
      <c r="C789" s="6"/>
      <c r="D789" s="8" t="str">
        <f aca="false">IF($C789="","",IFERROR(INDEX(PRODUCTOS!$B$6:$B$105,MATCH($C789,PRODUCTOS!$A$6:$A$105,0)),"¿Código?"))</f>
        <v/>
      </c>
      <c r="E789" s="42"/>
      <c r="F789" s="35" t="str">
        <f aca="false">IF($C789="","",IFERROR(INDEX(PRODUCTOS!$D$6:$D$105,MATCH($C789,PRODUCTOS!$A$6:$A$105,0)),0))</f>
        <v/>
      </c>
      <c r="G789" s="40"/>
      <c r="H789" s="35" t="str">
        <f aca="false">IF($C789="","",N($E789)*$F789-N($G789))</f>
        <v/>
      </c>
      <c r="I789" s="35" t="str">
        <f aca="false">IF($C789="","",$H789-$H789/(1+IFERROR(INDEX(PRODUCTOS!$E$6:$E$105,MATCH($C789,PRODUCTOS!$A$6:$A$105,0)),IVA_VENTAS)))</f>
        <v/>
      </c>
      <c r="J789" s="35" t="str">
        <f aca="false">IF($C789="","",$H789-$I789)</f>
        <v/>
      </c>
      <c r="K789" s="35" t="str">
        <f aca="false">IF($C789="","",N($E789)*IFERROR(INDEX(PRODUCTOS!$H$6:$H$105,MATCH($C789,PRODUCTOS!$A$6:$A$105,0)),0))</f>
        <v/>
      </c>
      <c r="L789" s="35" t="str">
        <f aca="false">IF($C789="","",$J789-$K789)</f>
        <v/>
      </c>
      <c r="M789" s="6"/>
      <c r="N789" s="6"/>
      <c r="O789" s="46" t="str">
        <f aca="false">IF($A789="","",DATE(YEAR($A789),MONTH($A789),1))</f>
        <v/>
      </c>
    </row>
    <row r="790" customFormat="false" ht="15" hidden="false" customHeight="false" outlineLevel="0" collapsed="false">
      <c r="A790" s="44"/>
      <c r="B790" s="6"/>
      <c r="C790" s="6"/>
      <c r="D790" s="8" t="str">
        <f aca="false">IF($C790="","",IFERROR(INDEX(PRODUCTOS!$B$6:$B$105,MATCH($C790,PRODUCTOS!$A$6:$A$105,0)),"¿Código?"))</f>
        <v/>
      </c>
      <c r="E790" s="42"/>
      <c r="F790" s="35" t="str">
        <f aca="false">IF($C790="","",IFERROR(INDEX(PRODUCTOS!$D$6:$D$105,MATCH($C790,PRODUCTOS!$A$6:$A$105,0)),0))</f>
        <v/>
      </c>
      <c r="G790" s="40"/>
      <c r="H790" s="35" t="str">
        <f aca="false">IF($C790="","",N($E790)*$F790-N($G790))</f>
        <v/>
      </c>
      <c r="I790" s="35" t="str">
        <f aca="false">IF($C790="","",$H790-$H790/(1+IFERROR(INDEX(PRODUCTOS!$E$6:$E$105,MATCH($C790,PRODUCTOS!$A$6:$A$105,0)),IVA_VENTAS)))</f>
        <v/>
      </c>
      <c r="J790" s="35" t="str">
        <f aca="false">IF($C790="","",$H790-$I790)</f>
        <v/>
      </c>
      <c r="K790" s="35" t="str">
        <f aca="false">IF($C790="","",N($E790)*IFERROR(INDEX(PRODUCTOS!$H$6:$H$105,MATCH($C790,PRODUCTOS!$A$6:$A$105,0)),0))</f>
        <v/>
      </c>
      <c r="L790" s="35" t="str">
        <f aca="false">IF($C790="","",$J790-$K790)</f>
        <v/>
      </c>
      <c r="M790" s="6"/>
      <c r="N790" s="6"/>
      <c r="O790" s="46" t="str">
        <f aca="false">IF($A790="","",DATE(YEAR($A790),MONTH($A790),1))</f>
        <v/>
      </c>
    </row>
    <row r="791" customFormat="false" ht="15" hidden="false" customHeight="false" outlineLevel="0" collapsed="false">
      <c r="A791" s="44"/>
      <c r="B791" s="6"/>
      <c r="C791" s="6"/>
      <c r="D791" s="8" t="str">
        <f aca="false">IF($C791="","",IFERROR(INDEX(PRODUCTOS!$B$6:$B$105,MATCH($C791,PRODUCTOS!$A$6:$A$105,0)),"¿Código?"))</f>
        <v/>
      </c>
      <c r="E791" s="42"/>
      <c r="F791" s="35" t="str">
        <f aca="false">IF($C791="","",IFERROR(INDEX(PRODUCTOS!$D$6:$D$105,MATCH($C791,PRODUCTOS!$A$6:$A$105,0)),0))</f>
        <v/>
      </c>
      <c r="G791" s="40"/>
      <c r="H791" s="35" t="str">
        <f aca="false">IF($C791="","",N($E791)*$F791-N($G791))</f>
        <v/>
      </c>
      <c r="I791" s="35" t="str">
        <f aca="false">IF($C791="","",$H791-$H791/(1+IFERROR(INDEX(PRODUCTOS!$E$6:$E$105,MATCH($C791,PRODUCTOS!$A$6:$A$105,0)),IVA_VENTAS)))</f>
        <v/>
      </c>
      <c r="J791" s="35" t="str">
        <f aca="false">IF($C791="","",$H791-$I791)</f>
        <v/>
      </c>
      <c r="K791" s="35" t="str">
        <f aca="false">IF($C791="","",N($E791)*IFERROR(INDEX(PRODUCTOS!$H$6:$H$105,MATCH($C791,PRODUCTOS!$A$6:$A$105,0)),0))</f>
        <v/>
      </c>
      <c r="L791" s="35" t="str">
        <f aca="false">IF($C791="","",$J791-$K791)</f>
        <v/>
      </c>
      <c r="M791" s="6"/>
      <c r="N791" s="6"/>
      <c r="O791" s="46" t="str">
        <f aca="false">IF($A791="","",DATE(YEAR($A791),MONTH($A791),1))</f>
        <v/>
      </c>
    </row>
    <row r="792" customFormat="false" ht="15" hidden="false" customHeight="false" outlineLevel="0" collapsed="false">
      <c r="A792" s="44"/>
      <c r="B792" s="6"/>
      <c r="C792" s="6"/>
      <c r="D792" s="8" t="str">
        <f aca="false">IF($C792="","",IFERROR(INDEX(PRODUCTOS!$B$6:$B$105,MATCH($C792,PRODUCTOS!$A$6:$A$105,0)),"¿Código?"))</f>
        <v/>
      </c>
      <c r="E792" s="42"/>
      <c r="F792" s="35" t="str">
        <f aca="false">IF($C792="","",IFERROR(INDEX(PRODUCTOS!$D$6:$D$105,MATCH($C792,PRODUCTOS!$A$6:$A$105,0)),0))</f>
        <v/>
      </c>
      <c r="G792" s="40"/>
      <c r="H792" s="35" t="str">
        <f aca="false">IF($C792="","",N($E792)*$F792-N($G792))</f>
        <v/>
      </c>
      <c r="I792" s="35" t="str">
        <f aca="false">IF($C792="","",$H792-$H792/(1+IFERROR(INDEX(PRODUCTOS!$E$6:$E$105,MATCH($C792,PRODUCTOS!$A$6:$A$105,0)),IVA_VENTAS)))</f>
        <v/>
      </c>
      <c r="J792" s="35" t="str">
        <f aca="false">IF($C792="","",$H792-$I792)</f>
        <v/>
      </c>
      <c r="K792" s="35" t="str">
        <f aca="false">IF($C792="","",N($E792)*IFERROR(INDEX(PRODUCTOS!$H$6:$H$105,MATCH($C792,PRODUCTOS!$A$6:$A$105,0)),0))</f>
        <v/>
      </c>
      <c r="L792" s="35" t="str">
        <f aca="false">IF($C792="","",$J792-$K792)</f>
        <v/>
      </c>
      <c r="M792" s="6"/>
      <c r="N792" s="6"/>
      <c r="O792" s="46" t="str">
        <f aca="false">IF($A792="","",DATE(YEAR($A792),MONTH($A792),1))</f>
        <v/>
      </c>
    </row>
    <row r="793" customFormat="false" ht="15" hidden="false" customHeight="false" outlineLevel="0" collapsed="false">
      <c r="A793" s="44"/>
      <c r="B793" s="6"/>
      <c r="C793" s="6"/>
      <c r="D793" s="8" t="str">
        <f aca="false">IF($C793="","",IFERROR(INDEX(PRODUCTOS!$B$6:$B$105,MATCH($C793,PRODUCTOS!$A$6:$A$105,0)),"¿Código?"))</f>
        <v/>
      </c>
      <c r="E793" s="42"/>
      <c r="F793" s="35" t="str">
        <f aca="false">IF($C793="","",IFERROR(INDEX(PRODUCTOS!$D$6:$D$105,MATCH($C793,PRODUCTOS!$A$6:$A$105,0)),0))</f>
        <v/>
      </c>
      <c r="G793" s="40"/>
      <c r="H793" s="35" t="str">
        <f aca="false">IF($C793="","",N($E793)*$F793-N($G793))</f>
        <v/>
      </c>
      <c r="I793" s="35" t="str">
        <f aca="false">IF($C793="","",$H793-$H793/(1+IFERROR(INDEX(PRODUCTOS!$E$6:$E$105,MATCH($C793,PRODUCTOS!$A$6:$A$105,0)),IVA_VENTAS)))</f>
        <v/>
      </c>
      <c r="J793" s="35" t="str">
        <f aca="false">IF($C793="","",$H793-$I793)</f>
        <v/>
      </c>
      <c r="K793" s="35" t="str">
        <f aca="false">IF($C793="","",N($E793)*IFERROR(INDEX(PRODUCTOS!$H$6:$H$105,MATCH($C793,PRODUCTOS!$A$6:$A$105,0)),0))</f>
        <v/>
      </c>
      <c r="L793" s="35" t="str">
        <f aca="false">IF($C793="","",$J793-$K793)</f>
        <v/>
      </c>
      <c r="M793" s="6"/>
      <c r="N793" s="6"/>
      <c r="O793" s="46" t="str">
        <f aca="false">IF($A793="","",DATE(YEAR($A793),MONTH($A793),1))</f>
        <v/>
      </c>
    </row>
    <row r="794" customFormat="false" ht="15" hidden="false" customHeight="false" outlineLevel="0" collapsed="false">
      <c r="A794" s="44"/>
      <c r="B794" s="6"/>
      <c r="C794" s="6"/>
      <c r="D794" s="8" t="str">
        <f aca="false">IF($C794="","",IFERROR(INDEX(PRODUCTOS!$B$6:$B$105,MATCH($C794,PRODUCTOS!$A$6:$A$105,0)),"¿Código?"))</f>
        <v/>
      </c>
      <c r="E794" s="42"/>
      <c r="F794" s="35" t="str">
        <f aca="false">IF($C794="","",IFERROR(INDEX(PRODUCTOS!$D$6:$D$105,MATCH($C794,PRODUCTOS!$A$6:$A$105,0)),0))</f>
        <v/>
      </c>
      <c r="G794" s="40"/>
      <c r="H794" s="35" t="str">
        <f aca="false">IF($C794="","",N($E794)*$F794-N($G794))</f>
        <v/>
      </c>
      <c r="I794" s="35" t="str">
        <f aca="false">IF($C794="","",$H794-$H794/(1+IFERROR(INDEX(PRODUCTOS!$E$6:$E$105,MATCH($C794,PRODUCTOS!$A$6:$A$105,0)),IVA_VENTAS)))</f>
        <v/>
      </c>
      <c r="J794" s="35" t="str">
        <f aca="false">IF($C794="","",$H794-$I794)</f>
        <v/>
      </c>
      <c r="K794" s="35" t="str">
        <f aca="false">IF($C794="","",N($E794)*IFERROR(INDEX(PRODUCTOS!$H$6:$H$105,MATCH($C794,PRODUCTOS!$A$6:$A$105,0)),0))</f>
        <v/>
      </c>
      <c r="L794" s="35" t="str">
        <f aca="false">IF($C794="","",$J794-$K794)</f>
        <v/>
      </c>
      <c r="M794" s="6"/>
      <c r="N794" s="6"/>
      <c r="O794" s="46" t="str">
        <f aca="false">IF($A794="","",DATE(YEAR($A794),MONTH($A794),1))</f>
        <v/>
      </c>
    </row>
    <row r="795" customFormat="false" ht="15" hidden="false" customHeight="false" outlineLevel="0" collapsed="false">
      <c r="A795" s="44"/>
      <c r="B795" s="6"/>
      <c r="C795" s="6"/>
      <c r="D795" s="8" t="str">
        <f aca="false">IF($C795="","",IFERROR(INDEX(PRODUCTOS!$B$6:$B$105,MATCH($C795,PRODUCTOS!$A$6:$A$105,0)),"¿Código?"))</f>
        <v/>
      </c>
      <c r="E795" s="42"/>
      <c r="F795" s="35" t="str">
        <f aca="false">IF($C795="","",IFERROR(INDEX(PRODUCTOS!$D$6:$D$105,MATCH($C795,PRODUCTOS!$A$6:$A$105,0)),0))</f>
        <v/>
      </c>
      <c r="G795" s="40"/>
      <c r="H795" s="35" t="str">
        <f aca="false">IF($C795="","",N($E795)*$F795-N($G795))</f>
        <v/>
      </c>
      <c r="I795" s="35" t="str">
        <f aca="false">IF($C795="","",$H795-$H795/(1+IFERROR(INDEX(PRODUCTOS!$E$6:$E$105,MATCH($C795,PRODUCTOS!$A$6:$A$105,0)),IVA_VENTAS)))</f>
        <v/>
      </c>
      <c r="J795" s="35" t="str">
        <f aca="false">IF($C795="","",$H795-$I795)</f>
        <v/>
      </c>
      <c r="K795" s="35" t="str">
        <f aca="false">IF($C795="","",N($E795)*IFERROR(INDEX(PRODUCTOS!$H$6:$H$105,MATCH($C795,PRODUCTOS!$A$6:$A$105,0)),0))</f>
        <v/>
      </c>
      <c r="L795" s="35" t="str">
        <f aca="false">IF($C795="","",$J795-$K795)</f>
        <v/>
      </c>
      <c r="M795" s="6"/>
      <c r="N795" s="6"/>
      <c r="O795" s="46" t="str">
        <f aca="false">IF($A795="","",DATE(YEAR($A795),MONTH($A795),1))</f>
        <v/>
      </c>
    </row>
    <row r="796" customFormat="false" ht="15" hidden="false" customHeight="false" outlineLevel="0" collapsed="false">
      <c r="A796" s="44"/>
      <c r="B796" s="6"/>
      <c r="C796" s="6"/>
      <c r="D796" s="8" t="str">
        <f aca="false">IF($C796="","",IFERROR(INDEX(PRODUCTOS!$B$6:$B$105,MATCH($C796,PRODUCTOS!$A$6:$A$105,0)),"¿Código?"))</f>
        <v/>
      </c>
      <c r="E796" s="42"/>
      <c r="F796" s="35" t="str">
        <f aca="false">IF($C796="","",IFERROR(INDEX(PRODUCTOS!$D$6:$D$105,MATCH($C796,PRODUCTOS!$A$6:$A$105,0)),0))</f>
        <v/>
      </c>
      <c r="G796" s="40"/>
      <c r="H796" s="35" t="str">
        <f aca="false">IF($C796="","",N($E796)*$F796-N($G796))</f>
        <v/>
      </c>
      <c r="I796" s="35" t="str">
        <f aca="false">IF($C796="","",$H796-$H796/(1+IFERROR(INDEX(PRODUCTOS!$E$6:$E$105,MATCH($C796,PRODUCTOS!$A$6:$A$105,0)),IVA_VENTAS)))</f>
        <v/>
      </c>
      <c r="J796" s="35" t="str">
        <f aca="false">IF($C796="","",$H796-$I796)</f>
        <v/>
      </c>
      <c r="K796" s="35" t="str">
        <f aca="false">IF($C796="","",N($E796)*IFERROR(INDEX(PRODUCTOS!$H$6:$H$105,MATCH($C796,PRODUCTOS!$A$6:$A$105,0)),0))</f>
        <v/>
      </c>
      <c r="L796" s="35" t="str">
        <f aca="false">IF($C796="","",$J796-$K796)</f>
        <v/>
      </c>
      <c r="M796" s="6"/>
      <c r="N796" s="6"/>
      <c r="O796" s="46" t="str">
        <f aca="false">IF($A796="","",DATE(YEAR($A796),MONTH($A796),1))</f>
        <v/>
      </c>
    </row>
    <row r="797" customFormat="false" ht="15" hidden="false" customHeight="false" outlineLevel="0" collapsed="false">
      <c r="A797" s="44"/>
      <c r="B797" s="6"/>
      <c r="C797" s="6"/>
      <c r="D797" s="8" t="str">
        <f aca="false">IF($C797="","",IFERROR(INDEX(PRODUCTOS!$B$6:$B$105,MATCH($C797,PRODUCTOS!$A$6:$A$105,0)),"¿Código?"))</f>
        <v/>
      </c>
      <c r="E797" s="42"/>
      <c r="F797" s="35" t="str">
        <f aca="false">IF($C797="","",IFERROR(INDEX(PRODUCTOS!$D$6:$D$105,MATCH($C797,PRODUCTOS!$A$6:$A$105,0)),0))</f>
        <v/>
      </c>
      <c r="G797" s="40"/>
      <c r="H797" s="35" t="str">
        <f aca="false">IF($C797="","",N($E797)*$F797-N($G797))</f>
        <v/>
      </c>
      <c r="I797" s="35" t="str">
        <f aca="false">IF($C797="","",$H797-$H797/(1+IFERROR(INDEX(PRODUCTOS!$E$6:$E$105,MATCH($C797,PRODUCTOS!$A$6:$A$105,0)),IVA_VENTAS)))</f>
        <v/>
      </c>
      <c r="J797" s="35" t="str">
        <f aca="false">IF($C797="","",$H797-$I797)</f>
        <v/>
      </c>
      <c r="K797" s="35" t="str">
        <f aca="false">IF($C797="","",N($E797)*IFERROR(INDEX(PRODUCTOS!$H$6:$H$105,MATCH($C797,PRODUCTOS!$A$6:$A$105,0)),0))</f>
        <v/>
      </c>
      <c r="L797" s="35" t="str">
        <f aca="false">IF($C797="","",$J797-$K797)</f>
        <v/>
      </c>
      <c r="M797" s="6"/>
      <c r="N797" s="6"/>
      <c r="O797" s="46" t="str">
        <f aca="false">IF($A797="","",DATE(YEAR($A797),MONTH($A797),1))</f>
        <v/>
      </c>
    </row>
    <row r="798" customFormat="false" ht="15" hidden="false" customHeight="false" outlineLevel="0" collapsed="false">
      <c r="A798" s="44"/>
      <c r="B798" s="6"/>
      <c r="C798" s="6"/>
      <c r="D798" s="8" t="str">
        <f aca="false">IF($C798="","",IFERROR(INDEX(PRODUCTOS!$B$6:$B$105,MATCH($C798,PRODUCTOS!$A$6:$A$105,0)),"¿Código?"))</f>
        <v/>
      </c>
      <c r="E798" s="42"/>
      <c r="F798" s="35" t="str">
        <f aca="false">IF($C798="","",IFERROR(INDEX(PRODUCTOS!$D$6:$D$105,MATCH($C798,PRODUCTOS!$A$6:$A$105,0)),0))</f>
        <v/>
      </c>
      <c r="G798" s="40"/>
      <c r="H798" s="35" t="str">
        <f aca="false">IF($C798="","",N($E798)*$F798-N($G798))</f>
        <v/>
      </c>
      <c r="I798" s="35" t="str">
        <f aca="false">IF($C798="","",$H798-$H798/(1+IFERROR(INDEX(PRODUCTOS!$E$6:$E$105,MATCH($C798,PRODUCTOS!$A$6:$A$105,0)),IVA_VENTAS)))</f>
        <v/>
      </c>
      <c r="J798" s="35" t="str">
        <f aca="false">IF($C798="","",$H798-$I798)</f>
        <v/>
      </c>
      <c r="K798" s="35" t="str">
        <f aca="false">IF($C798="","",N($E798)*IFERROR(INDEX(PRODUCTOS!$H$6:$H$105,MATCH($C798,PRODUCTOS!$A$6:$A$105,0)),0))</f>
        <v/>
      </c>
      <c r="L798" s="35" t="str">
        <f aca="false">IF($C798="","",$J798-$K798)</f>
        <v/>
      </c>
      <c r="M798" s="6"/>
      <c r="N798" s="6"/>
      <c r="O798" s="46" t="str">
        <f aca="false">IF($A798="","",DATE(YEAR($A798),MONTH($A798),1))</f>
        <v/>
      </c>
    </row>
    <row r="799" customFormat="false" ht="15" hidden="false" customHeight="false" outlineLevel="0" collapsed="false">
      <c r="A799" s="44"/>
      <c r="B799" s="6"/>
      <c r="C799" s="6"/>
      <c r="D799" s="8" t="str">
        <f aca="false">IF($C799="","",IFERROR(INDEX(PRODUCTOS!$B$6:$B$105,MATCH($C799,PRODUCTOS!$A$6:$A$105,0)),"¿Código?"))</f>
        <v/>
      </c>
      <c r="E799" s="42"/>
      <c r="F799" s="35" t="str">
        <f aca="false">IF($C799="","",IFERROR(INDEX(PRODUCTOS!$D$6:$D$105,MATCH($C799,PRODUCTOS!$A$6:$A$105,0)),0))</f>
        <v/>
      </c>
      <c r="G799" s="40"/>
      <c r="H799" s="35" t="str">
        <f aca="false">IF($C799="","",N($E799)*$F799-N($G799))</f>
        <v/>
      </c>
      <c r="I799" s="35" t="str">
        <f aca="false">IF($C799="","",$H799-$H799/(1+IFERROR(INDEX(PRODUCTOS!$E$6:$E$105,MATCH($C799,PRODUCTOS!$A$6:$A$105,0)),IVA_VENTAS)))</f>
        <v/>
      </c>
      <c r="J799" s="35" t="str">
        <f aca="false">IF($C799="","",$H799-$I799)</f>
        <v/>
      </c>
      <c r="K799" s="35" t="str">
        <f aca="false">IF($C799="","",N($E799)*IFERROR(INDEX(PRODUCTOS!$H$6:$H$105,MATCH($C799,PRODUCTOS!$A$6:$A$105,0)),0))</f>
        <v/>
      </c>
      <c r="L799" s="35" t="str">
        <f aca="false">IF($C799="","",$J799-$K799)</f>
        <v/>
      </c>
      <c r="M799" s="6"/>
      <c r="N799" s="6"/>
      <c r="O799" s="46" t="str">
        <f aca="false">IF($A799="","",DATE(YEAR($A799),MONTH($A799),1))</f>
        <v/>
      </c>
    </row>
    <row r="800" customFormat="false" ht="15" hidden="false" customHeight="false" outlineLevel="0" collapsed="false">
      <c r="A800" s="44"/>
      <c r="B800" s="6"/>
      <c r="C800" s="6"/>
      <c r="D800" s="8" t="str">
        <f aca="false">IF($C800="","",IFERROR(INDEX(PRODUCTOS!$B$6:$B$105,MATCH($C800,PRODUCTOS!$A$6:$A$105,0)),"¿Código?"))</f>
        <v/>
      </c>
      <c r="E800" s="42"/>
      <c r="F800" s="35" t="str">
        <f aca="false">IF($C800="","",IFERROR(INDEX(PRODUCTOS!$D$6:$D$105,MATCH($C800,PRODUCTOS!$A$6:$A$105,0)),0))</f>
        <v/>
      </c>
      <c r="G800" s="40"/>
      <c r="H800" s="35" t="str">
        <f aca="false">IF($C800="","",N($E800)*$F800-N($G800))</f>
        <v/>
      </c>
      <c r="I800" s="35" t="str">
        <f aca="false">IF($C800="","",$H800-$H800/(1+IFERROR(INDEX(PRODUCTOS!$E$6:$E$105,MATCH($C800,PRODUCTOS!$A$6:$A$105,0)),IVA_VENTAS)))</f>
        <v/>
      </c>
      <c r="J800" s="35" t="str">
        <f aca="false">IF($C800="","",$H800-$I800)</f>
        <v/>
      </c>
      <c r="K800" s="35" t="str">
        <f aca="false">IF($C800="","",N($E800)*IFERROR(INDEX(PRODUCTOS!$H$6:$H$105,MATCH($C800,PRODUCTOS!$A$6:$A$105,0)),0))</f>
        <v/>
      </c>
      <c r="L800" s="35" t="str">
        <f aca="false">IF($C800="","",$J800-$K800)</f>
        <v/>
      </c>
      <c r="M800" s="6"/>
      <c r="N800" s="6"/>
      <c r="O800" s="46" t="str">
        <f aca="false">IF($A800="","",DATE(YEAR($A800),MONTH($A800),1))</f>
        <v/>
      </c>
    </row>
    <row r="801" customFormat="false" ht="15" hidden="false" customHeight="false" outlineLevel="0" collapsed="false">
      <c r="A801" s="44"/>
      <c r="B801" s="6"/>
      <c r="C801" s="6"/>
      <c r="D801" s="8" t="str">
        <f aca="false">IF($C801="","",IFERROR(INDEX(PRODUCTOS!$B$6:$B$105,MATCH($C801,PRODUCTOS!$A$6:$A$105,0)),"¿Código?"))</f>
        <v/>
      </c>
      <c r="E801" s="42"/>
      <c r="F801" s="35" t="str">
        <f aca="false">IF($C801="","",IFERROR(INDEX(PRODUCTOS!$D$6:$D$105,MATCH($C801,PRODUCTOS!$A$6:$A$105,0)),0))</f>
        <v/>
      </c>
      <c r="G801" s="40"/>
      <c r="H801" s="35" t="str">
        <f aca="false">IF($C801="","",N($E801)*$F801-N($G801))</f>
        <v/>
      </c>
      <c r="I801" s="35" t="str">
        <f aca="false">IF($C801="","",$H801-$H801/(1+IFERROR(INDEX(PRODUCTOS!$E$6:$E$105,MATCH($C801,PRODUCTOS!$A$6:$A$105,0)),IVA_VENTAS)))</f>
        <v/>
      </c>
      <c r="J801" s="35" t="str">
        <f aca="false">IF($C801="","",$H801-$I801)</f>
        <v/>
      </c>
      <c r="K801" s="35" t="str">
        <f aca="false">IF($C801="","",N($E801)*IFERROR(INDEX(PRODUCTOS!$H$6:$H$105,MATCH($C801,PRODUCTOS!$A$6:$A$105,0)),0))</f>
        <v/>
      </c>
      <c r="L801" s="35" t="str">
        <f aca="false">IF($C801="","",$J801-$K801)</f>
        <v/>
      </c>
      <c r="M801" s="6"/>
      <c r="N801" s="6"/>
      <c r="O801" s="46" t="str">
        <f aca="false">IF($A801="","",DATE(YEAR($A801),MONTH($A801),1))</f>
        <v/>
      </c>
    </row>
    <row r="802" customFormat="false" ht="15" hidden="false" customHeight="false" outlineLevel="0" collapsed="false">
      <c r="A802" s="44"/>
      <c r="B802" s="6"/>
      <c r="C802" s="6"/>
      <c r="D802" s="8" t="str">
        <f aca="false">IF($C802="","",IFERROR(INDEX(PRODUCTOS!$B$6:$B$105,MATCH($C802,PRODUCTOS!$A$6:$A$105,0)),"¿Código?"))</f>
        <v/>
      </c>
      <c r="E802" s="42"/>
      <c r="F802" s="35" t="str">
        <f aca="false">IF($C802="","",IFERROR(INDEX(PRODUCTOS!$D$6:$D$105,MATCH($C802,PRODUCTOS!$A$6:$A$105,0)),0))</f>
        <v/>
      </c>
      <c r="G802" s="40"/>
      <c r="H802" s="35" t="str">
        <f aca="false">IF($C802="","",N($E802)*$F802-N($G802))</f>
        <v/>
      </c>
      <c r="I802" s="35" t="str">
        <f aca="false">IF($C802="","",$H802-$H802/(1+IFERROR(INDEX(PRODUCTOS!$E$6:$E$105,MATCH($C802,PRODUCTOS!$A$6:$A$105,0)),IVA_VENTAS)))</f>
        <v/>
      </c>
      <c r="J802" s="35" t="str">
        <f aca="false">IF($C802="","",$H802-$I802)</f>
        <v/>
      </c>
      <c r="K802" s="35" t="str">
        <f aca="false">IF($C802="","",N($E802)*IFERROR(INDEX(PRODUCTOS!$H$6:$H$105,MATCH($C802,PRODUCTOS!$A$6:$A$105,0)),0))</f>
        <v/>
      </c>
      <c r="L802" s="35" t="str">
        <f aca="false">IF($C802="","",$J802-$K802)</f>
        <v/>
      </c>
      <c r="M802" s="6"/>
      <c r="N802" s="6"/>
      <c r="O802" s="46" t="str">
        <f aca="false">IF($A802="","",DATE(YEAR($A802),MONTH($A802),1))</f>
        <v/>
      </c>
    </row>
    <row r="803" customFormat="false" ht="15" hidden="false" customHeight="false" outlineLevel="0" collapsed="false">
      <c r="A803" s="44"/>
      <c r="B803" s="6"/>
      <c r="C803" s="6"/>
      <c r="D803" s="8" t="str">
        <f aca="false">IF($C803="","",IFERROR(INDEX(PRODUCTOS!$B$6:$B$105,MATCH($C803,PRODUCTOS!$A$6:$A$105,0)),"¿Código?"))</f>
        <v/>
      </c>
      <c r="E803" s="42"/>
      <c r="F803" s="35" t="str">
        <f aca="false">IF($C803="","",IFERROR(INDEX(PRODUCTOS!$D$6:$D$105,MATCH($C803,PRODUCTOS!$A$6:$A$105,0)),0))</f>
        <v/>
      </c>
      <c r="G803" s="40"/>
      <c r="H803" s="35" t="str">
        <f aca="false">IF($C803="","",N($E803)*$F803-N($G803))</f>
        <v/>
      </c>
      <c r="I803" s="35" t="str">
        <f aca="false">IF($C803="","",$H803-$H803/(1+IFERROR(INDEX(PRODUCTOS!$E$6:$E$105,MATCH($C803,PRODUCTOS!$A$6:$A$105,0)),IVA_VENTAS)))</f>
        <v/>
      </c>
      <c r="J803" s="35" t="str">
        <f aca="false">IF($C803="","",$H803-$I803)</f>
        <v/>
      </c>
      <c r="K803" s="35" t="str">
        <f aca="false">IF($C803="","",N($E803)*IFERROR(INDEX(PRODUCTOS!$H$6:$H$105,MATCH($C803,PRODUCTOS!$A$6:$A$105,0)),0))</f>
        <v/>
      </c>
      <c r="L803" s="35" t="str">
        <f aca="false">IF($C803="","",$J803-$K803)</f>
        <v/>
      </c>
      <c r="M803" s="6"/>
      <c r="N803" s="6"/>
      <c r="O803" s="46" t="str">
        <f aca="false">IF($A803="","",DATE(YEAR($A803),MONTH($A803),1))</f>
        <v/>
      </c>
    </row>
    <row r="804" customFormat="false" ht="15" hidden="false" customHeight="false" outlineLevel="0" collapsed="false">
      <c r="A804" s="44"/>
      <c r="B804" s="6"/>
      <c r="C804" s="6"/>
      <c r="D804" s="8" t="str">
        <f aca="false">IF($C804="","",IFERROR(INDEX(PRODUCTOS!$B$6:$B$105,MATCH($C804,PRODUCTOS!$A$6:$A$105,0)),"¿Código?"))</f>
        <v/>
      </c>
      <c r="E804" s="42"/>
      <c r="F804" s="35" t="str">
        <f aca="false">IF($C804="","",IFERROR(INDEX(PRODUCTOS!$D$6:$D$105,MATCH($C804,PRODUCTOS!$A$6:$A$105,0)),0))</f>
        <v/>
      </c>
      <c r="G804" s="40"/>
      <c r="H804" s="35" t="str">
        <f aca="false">IF($C804="","",N($E804)*$F804-N($G804))</f>
        <v/>
      </c>
      <c r="I804" s="35" t="str">
        <f aca="false">IF($C804="","",$H804-$H804/(1+IFERROR(INDEX(PRODUCTOS!$E$6:$E$105,MATCH($C804,PRODUCTOS!$A$6:$A$105,0)),IVA_VENTAS)))</f>
        <v/>
      </c>
      <c r="J804" s="35" t="str">
        <f aca="false">IF($C804="","",$H804-$I804)</f>
        <v/>
      </c>
      <c r="K804" s="35" t="str">
        <f aca="false">IF($C804="","",N($E804)*IFERROR(INDEX(PRODUCTOS!$H$6:$H$105,MATCH($C804,PRODUCTOS!$A$6:$A$105,0)),0))</f>
        <v/>
      </c>
      <c r="L804" s="35" t="str">
        <f aca="false">IF($C804="","",$J804-$K804)</f>
        <v/>
      </c>
      <c r="M804" s="6"/>
      <c r="N804" s="6"/>
      <c r="O804" s="46" t="str">
        <f aca="false">IF($A804="","",DATE(YEAR($A804),MONTH($A804),1))</f>
        <v/>
      </c>
    </row>
    <row r="805" customFormat="false" ht="15" hidden="false" customHeight="false" outlineLevel="0" collapsed="false">
      <c r="A805" s="44"/>
      <c r="B805" s="6"/>
      <c r="C805" s="6"/>
      <c r="D805" s="8" t="str">
        <f aca="false">IF($C805="","",IFERROR(INDEX(PRODUCTOS!$B$6:$B$105,MATCH($C805,PRODUCTOS!$A$6:$A$105,0)),"¿Código?"))</f>
        <v/>
      </c>
      <c r="E805" s="42"/>
      <c r="F805" s="35" t="str">
        <f aca="false">IF($C805="","",IFERROR(INDEX(PRODUCTOS!$D$6:$D$105,MATCH($C805,PRODUCTOS!$A$6:$A$105,0)),0))</f>
        <v/>
      </c>
      <c r="G805" s="40"/>
      <c r="H805" s="35" t="str">
        <f aca="false">IF($C805="","",N($E805)*$F805-N($G805))</f>
        <v/>
      </c>
      <c r="I805" s="35" t="str">
        <f aca="false">IF($C805="","",$H805-$H805/(1+IFERROR(INDEX(PRODUCTOS!$E$6:$E$105,MATCH($C805,PRODUCTOS!$A$6:$A$105,0)),IVA_VENTAS)))</f>
        <v/>
      </c>
      <c r="J805" s="35" t="str">
        <f aca="false">IF($C805="","",$H805-$I805)</f>
        <v/>
      </c>
      <c r="K805" s="35" t="str">
        <f aca="false">IF($C805="","",N($E805)*IFERROR(INDEX(PRODUCTOS!$H$6:$H$105,MATCH($C805,PRODUCTOS!$A$6:$A$105,0)),0))</f>
        <v/>
      </c>
      <c r="L805" s="35" t="str">
        <f aca="false">IF($C805="","",$J805-$K805)</f>
        <v/>
      </c>
      <c r="M805" s="6"/>
      <c r="N805" s="6"/>
      <c r="O805" s="46" t="str">
        <f aca="false">IF($A805="","",DATE(YEAR($A805),MONTH($A805),1))</f>
        <v/>
      </c>
    </row>
    <row r="806" customFormat="false" ht="15" hidden="false" customHeight="false" outlineLevel="0" collapsed="false">
      <c r="A806" s="44"/>
      <c r="B806" s="6"/>
      <c r="C806" s="6"/>
      <c r="D806" s="8" t="str">
        <f aca="false">IF($C806="","",IFERROR(INDEX(PRODUCTOS!$B$6:$B$105,MATCH($C806,PRODUCTOS!$A$6:$A$105,0)),"¿Código?"))</f>
        <v/>
      </c>
      <c r="E806" s="42"/>
      <c r="F806" s="35" t="str">
        <f aca="false">IF($C806="","",IFERROR(INDEX(PRODUCTOS!$D$6:$D$105,MATCH($C806,PRODUCTOS!$A$6:$A$105,0)),0))</f>
        <v/>
      </c>
      <c r="G806" s="40"/>
      <c r="H806" s="35" t="str">
        <f aca="false">IF($C806="","",N($E806)*$F806-N($G806))</f>
        <v/>
      </c>
      <c r="I806" s="35" t="str">
        <f aca="false">IF($C806="","",$H806-$H806/(1+IFERROR(INDEX(PRODUCTOS!$E$6:$E$105,MATCH($C806,PRODUCTOS!$A$6:$A$105,0)),IVA_VENTAS)))</f>
        <v/>
      </c>
      <c r="J806" s="35" t="str">
        <f aca="false">IF($C806="","",$H806-$I806)</f>
        <v/>
      </c>
      <c r="K806" s="35" t="str">
        <f aca="false">IF($C806="","",N($E806)*IFERROR(INDEX(PRODUCTOS!$H$6:$H$105,MATCH($C806,PRODUCTOS!$A$6:$A$105,0)),0))</f>
        <v/>
      </c>
      <c r="L806" s="35" t="str">
        <f aca="false">IF($C806="","",$J806-$K806)</f>
        <v/>
      </c>
      <c r="M806" s="6"/>
      <c r="N806" s="6"/>
      <c r="O806" s="46" t="str">
        <f aca="false">IF($A806="","",DATE(YEAR($A806),MONTH($A806),1))</f>
        <v/>
      </c>
    </row>
    <row r="807" customFormat="false" ht="15" hidden="false" customHeight="false" outlineLevel="0" collapsed="false">
      <c r="A807" s="44"/>
      <c r="B807" s="6"/>
      <c r="C807" s="6"/>
      <c r="D807" s="8" t="str">
        <f aca="false">IF($C807="","",IFERROR(INDEX(PRODUCTOS!$B$6:$B$105,MATCH($C807,PRODUCTOS!$A$6:$A$105,0)),"¿Código?"))</f>
        <v/>
      </c>
      <c r="E807" s="42"/>
      <c r="F807" s="35" t="str">
        <f aca="false">IF($C807="","",IFERROR(INDEX(PRODUCTOS!$D$6:$D$105,MATCH($C807,PRODUCTOS!$A$6:$A$105,0)),0))</f>
        <v/>
      </c>
      <c r="G807" s="40"/>
      <c r="H807" s="35" t="str">
        <f aca="false">IF($C807="","",N($E807)*$F807-N($G807))</f>
        <v/>
      </c>
      <c r="I807" s="35" t="str">
        <f aca="false">IF($C807="","",$H807-$H807/(1+IFERROR(INDEX(PRODUCTOS!$E$6:$E$105,MATCH($C807,PRODUCTOS!$A$6:$A$105,0)),IVA_VENTAS)))</f>
        <v/>
      </c>
      <c r="J807" s="35" t="str">
        <f aca="false">IF($C807="","",$H807-$I807)</f>
        <v/>
      </c>
      <c r="K807" s="35" t="str">
        <f aca="false">IF($C807="","",N($E807)*IFERROR(INDEX(PRODUCTOS!$H$6:$H$105,MATCH($C807,PRODUCTOS!$A$6:$A$105,0)),0))</f>
        <v/>
      </c>
      <c r="L807" s="35" t="str">
        <f aca="false">IF($C807="","",$J807-$K807)</f>
        <v/>
      </c>
      <c r="M807" s="6"/>
      <c r="N807" s="6"/>
      <c r="O807" s="46" t="str">
        <f aca="false">IF($A807="","",DATE(YEAR($A807),MONTH($A807),1))</f>
        <v/>
      </c>
    </row>
    <row r="808" customFormat="false" ht="15" hidden="false" customHeight="false" outlineLevel="0" collapsed="false">
      <c r="A808" s="44"/>
      <c r="B808" s="6"/>
      <c r="C808" s="6"/>
      <c r="D808" s="8" t="str">
        <f aca="false">IF($C808="","",IFERROR(INDEX(PRODUCTOS!$B$6:$B$105,MATCH($C808,PRODUCTOS!$A$6:$A$105,0)),"¿Código?"))</f>
        <v/>
      </c>
      <c r="E808" s="42"/>
      <c r="F808" s="35" t="str">
        <f aca="false">IF($C808="","",IFERROR(INDEX(PRODUCTOS!$D$6:$D$105,MATCH($C808,PRODUCTOS!$A$6:$A$105,0)),0))</f>
        <v/>
      </c>
      <c r="G808" s="40"/>
      <c r="H808" s="35" t="str">
        <f aca="false">IF($C808="","",N($E808)*$F808-N($G808))</f>
        <v/>
      </c>
      <c r="I808" s="35" t="str">
        <f aca="false">IF($C808="","",$H808-$H808/(1+IFERROR(INDEX(PRODUCTOS!$E$6:$E$105,MATCH($C808,PRODUCTOS!$A$6:$A$105,0)),IVA_VENTAS)))</f>
        <v/>
      </c>
      <c r="J808" s="35" t="str">
        <f aca="false">IF($C808="","",$H808-$I808)</f>
        <v/>
      </c>
      <c r="K808" s="35" t="str">
        <f aca="false">IF($C808="","",N($E808)*IFERROR(INDEX(PRODUCTOS!$H$6:$H$105,MATCH($C808,PRODUCTOS!$A$6:$A$105,0)),0))</f>
        <v/>
      </c>
      <c r="L808" s="35" t="str">
        <f aca="false">IF($C808="","",$J808-$K808)</f>
        <v/>
      </c>
      <c r="M808" s="6"/>
      <c r="N808" s="6"/>
      <c r="O808" s="46" t="str">
        <f aca="false">IF($A808="","",DATE(YEAR($A808),MONTH($A808),1))</f>
        <v/>
      </c>
    </row>
    <row r="809" customFormat="false" ht="15" hidden="false" customHeight="false" outlineLevel="0" collapsed="false">
      <c r="A809" s="44"/>
      <c r="B809" s="6"/>
      <c r="C809" s="6"/>
      <c r="D809" s="8" t="str">
        <f aca="false">IF($C809="","",IFERROR(INDEX(PRODUCTOS!$B$6:$B$105,MATCH($C809,PRODUCTOS!$A$6:$A$105,0)),"¿Código?"))</f>
        <v/>
      </c>
      <c r="E809" s="42"/>
      <c r="F809" s="35" t="str">
        <f aca="false">IF($C809="","",IFERROR(INDEX(PRODUCTOS!$D$6:$D$105,MATCH($C809,PRODUCTOS!$A$6:$A$105,0)),0))</f>
        <v/>
      </c>
      <c r="G809" s="40"/>
      <c r="H809" s="35" t="str">
        <f aca="false">IF($C809="","",N($E809)*$F809-N($G809))</f>
        <v/>
      </c>
      <c r="I809" s="35" t="str">
        <f aca="false">IF($C809="","",$H809-$H809/(1+IFERROR(INDEX(PRODUCTOS!$E$6:$E$105,MATCH($C809,PRODUCTOS!$A$6:$A$105,0)),IVA_VENTAS)))</f>
        <v/>
      </c>
      <c r="J809" s="35" t="str">
        <f aca="false">IF($C809="","",$H809-$I809)</f>
        <v/>
      </c>
      <c r="K809" s="35" t="str">
        <f aca="false">IF($C809="","",N($E809)*IFERROR(INDEX(PRODUCTOS!$H$6:$H$105,MATCH($C809,PRODUCTOS!$A$6:$A$105,0)),0))</f>
        <v/>
      </c>
      <c r="L809" s="35" t="str">
        <f aca="false">IF($C809="","",$J809-$K809)</f>
        <v/>
      </c>
      <c r="M809" s="6"/>
      <c r="N809" s="6"/>
      <c r="O809" s="46" t="str">
        <f aca="false">IF($A809="","",DATE(YEAR($A809),MONTH($A809),1))</f>
        <v/>
      </c>
    </row>
    <row r="810" customFormat="false" ht="15" hidden="false" customHeight="false" outlineLevel="0" collapsed="false">
      <c r="A810" s="44"/>
      <c r="B810" s="6"/>
      <c r="C810" s="6"/>
      <c r="D810" s="8" t="str">
        <f aca="false">IF($C810="","",IFERROR(INDEX(PRODUCTOS!$B$6:$B$105,MATCH($C810,PRODUCTOS!$A$6:$A$105,0)),"¿Código?"))</f>
        <v/>
      </c>
      <c r="E810" s="42"/>
      <c r="F810" s="35" t="str">
        <f aca="false">IF($C810="","",IFERROR(INDEX(PRODUCTOS!$D$6:$D$105,MATCH($C810,PRODUCTOS!$A$6:$A$105,0)),0))</f>
        <v/>
      </c>
      <c r="G810" s="40"/>
      <c r="H810" s="35" t="str">
        <f aca="false">IF($C810="","",N($E810)*$F810-N($G810))</f>
        <v/>
      </c>
      <c r="I810" s="35" t="str">
        <f aca="false">IF($C810="","",$H810-$H810/(1+IFERROR(INDEX(PRODUCTOS!$E$6:$E$105,MATCH($C810,PRODUCTOS!$A$6:$A$105,0)),IVA_VENTAS)))</f>
        <v/>
      </c>
      <c r="J810" s="35" t="str">
        <f aca="false">IF($C810="","",$H810-$I810)</f>
        <v/>
      </c>
      <c r="K810" s="35" t="str">
        <f aca="false">IF($C810="","",N($E810)*IFERROR(INDEX(PRODUCTOS!$H$6:$H$105,MATCH($C810,PRODUCTOS!$A$6:$A$105,0)),0))</f>
        <v/>
      </c>
      <c r="L810" s="35" t="str">
        <f aca="false">IF($C810="","",$J810-$K810)</f>
        <v/>
      </c>
      <c r="M810" s="6"/>
      <c r="N810" s="6"/>
      <c r="O810" s="46" t="str">
        <f aca="false">IF($A810="","",DATE(YEAR($A810),MONTH($A810),1))</f>
        <v/>
      </c>
    </row>
    <row r="811" customFormat="false" ht="15" hidden="false" customHeight="false" outlineLevel="0" collapsed="false">
      <c r="A811" s="44"/>
      <c r="B811" s="6"/>
      <c r="C811" s="6"/>
      <c r="D811" s="8" t="str">
        <f aca="false">IF($C811="","",IFERROR(INDEX(PRODUCTOS!$B$6:$B$105,MATCH($C811,PRODUCTOS!$A$6:$A$105,0)),"¿Código?"))</f>
        <v/>
      </c>
      <c r="E811" s="42"/>
      <c r="F811" s="35" t="str">
        <f aca="false">IF($C811="","",IFERROR(INDEX(PRODUCTOS!$D$6:$D$105,MATCH($C811,PRODUCTOS!$A$6:$A$105,0)),0))</f>
        <v/>
      </c>
      <c r="G811" s="40"/>
      <c r="H811" s="35" t="str">
        <f aca="false">IF($C811="","",N($E811)*$F811-N($G811))</f>
        <v/>
      </c>
      <c r="I811" s="35" t="str">
        <f aca="false">IF($C811="","",$H811-$H811/(1+IFERROR(INDEX(PRODUCTOS!$E$6:$E$105,MATCH($C811,PRODUCTOS!$A$6:$A$105,0)),IVA_VENTAS)))</f>
        <v/>
      </c>
      <c r="J811" s="35" t="str">
        <f aca="false">IF($C811="","",$H811-$I811)</f>
        <v/>
      </c>
      <c r="K811" s="35" t="str">
        <f aca="false">IF($C811="","",N($E811)*IFERROR(INDEX(PRODUCTOS!$H$6:$H$105,MATCH($C811,PRODUCTOS!$A$6:$A$105,0)),0))</f>
        <v/>
      </c>
      <c r="L811" s="35" t="str">
        <f aca="false">IF($C811="","",$J811-$K811)</f>
        <v/>
      </c>
      <c r="M811" s="6"/>
      <c r="N811" s="6"/>
      <c r="O811" s="46" t="str">
        <f aca="false">IF($A811="","",DATE(YEAR($A811),MONTH($A811),1))</f>
        <v/>
      </c>
    </row>
    <row r="812" customFormat="false" ht="15" hidden="false" customHeight="false" outlineLevel="0" collapsed="false">
      <c r="A812" s="44"/>
      <c r="B812" s="6"/>
      <c r="C812" s="6"/>
      <c r="D812" s="8" t="str">
        <f aca="false">IF($C812="","",IFERROR(INDEX(PRODUCTOS!$B$6:$B$105,MATCH($C812,PRODUCTOS!$A$6:$A$105,0)),"¿Código?"))</f>
        <v/>
      </c>
      <c r="E812" s="42"/>
      <c r="F812" s="35" t="str">
        <f aca="false">IF($C812="","",IFERROR(INDEX(PRODUCTOS!$D$6:$D$105,MATCH($C812,PRODUCTOS!$A$6:$A$105,0)),0))</f>
        <v/>
      </c>
      <c r="G812" s="40"/>
      <c r="H812" s="35" t="str">
        <f aca="false">IF($C812="","",N($E812)*$F812-N($G812))</f>
        <v/>
      </c>
      <c r="I812" s="35" t="str">
        <f aca="false">IF($C812="","",$H812-$H812/(1+IFERROR(INDEX(PRODUCTOS!$E$6:$E$105,MATCH($C812,PRODUCTOS!$A$6:$A$105,0)),IVA_VENTAS)))</f>
        <v/>
      </c>
      <c r="J812" s="35" t="str">
        <f aca="false">IF($C812="","",$H812-$I812)</f>
        <v/>
      </c>
      <c r="K812" s="35" t="str">
        <f aca="false">IF($C812="","",N($E812)*IFERROR(INDEX(PRODUCTOS!$H$6:$H$105,MATCH($C812,PRODUCTOS!$A$6:$A$105,0)),0))</f>
        <v/>
      </c>
      <c r="L812" s="35" t="str">
        <f aca="false">IF($C812="","",$J812-$K812)</f>
        <v/>
      </c>
      <c r="M812" s="6"/>
      <c r="N812" s="6"/>
      <c r="O812" s="46" t="str">
        <f aca="false">IF($A812="","",DATE(YEAR($A812),MONTH($A812),1))</f>
        <v/>
      </c>
    </row>
    <row r="813" customFormat="false" ht="15" hidden="false" customHeight="false" outlineLevel="0" collapsed="false">
      <c r="A813" s="44"/>
      <c r="B813" s="6"/>
      <c r="C813" s="6"/>
      <c r="D813" s="8" t="str">
        <f aca="false">IF($C813="","",IFERROR(INDEX(PRODUCTOS!$B$6:$B$105,MATCH($C813,PRODUCTOS!$A$6:$A$105,0)),"¿Código?"))</f>
        <v/>
      </c>
      <c r="E813" s="42"/>
      <c r="F813" s="35" t="str">
        <f aca="false">IF($C813="","",IFERROR(INDEX(PRODUCTOS!$D$6:$D$105,MATCH($C813,PRODUCTOS!$A$6:$A$105,0)),0))</f>
        <v/>
      </c>
      <c r="G813" s="40"/>
      <c r="H813" s="35" t="str">
        <f aca="false">IF($C813="","",N($E813)*$F813-N($G813))</f>
        <v/>
      </c>
      <c r="I813" s="35" t="str">
        <f aca="false">IF($C813="","",$H813-$H813/(1+IFERROR(INDEX(PRODUCTOS!$E$6:$E$105,MATCH($C813,PRODUCTOS!$A$6:$A$105,0)),IVA_VENTAS)))</f>
        <v/>
      </c>
      <c r="J813" s="35" t="str">
        <f aca="false">IF($C813="","",$H813-$I813)</f>
        <v/>
      </c>
      <c r="K813" s="35" t="str">
        <f aca="false">IF($C813="","",N($E813)*IFERROR(INDEX(PRODUCTOS!$H$6:$H$105,MATCH($C813,PRODUCTOS!$A$6:$A$105,0)),0))</f>
        <v/>
      </c>
      <c r="L813" s="35" t="str">
        <f aca="false">IF($C813="","",$J813-$K813)</f>
        <v/>
      </c>
      <c r="M813" s="6"/>
      <c r="N813" s="6"/>
      <c r="O813" s="46" t="str">
        <f aca="false">IF($A813="","",DATE(YEAR($A813),MONTH($A813),1))</f>
        <v/>
      </c>
    </row>
    <row r="814" customFormat="false" ht="15" hidden="false" customHeight="false" outlineLevel="0" collapsed="false">
      <c r="A814" s="44"/>
      <c r="B814" s="6"/>
      <c r="C814" s="6"/>
      <c r="D814" s="8" t="str">
        <f aca="false">IF($C814="","",IFERROR(INDEX(PRODUCTOS!$B$6:$B$105,MATCH($C814,PRODUCTOS!$A$6:$A$105,0)),"¿Código?"))</f>
        <v/>
      </c>
      <c r="E814" s="42"/>
      <c r="F814" s="35" t="str">
        <f aca="false">IF($C814="","",IFERROR(INDEX(PRODUCTOS!$D$6:$D$105,MATCH($C814,PRODUCTOS!$A$6:$A$105,0)),0))</f>
        <v/>
      </c>
      <c r="G814" s="40"/>
      <c r="H814" s="35" t="str">
        <f aca="false">IF($C814="","",N($E814)*$F814-N($G814))</f>
        <v/>
      </c>
      <c r="I814" s="35" t="str">
        <f aca="false">IF($C814="","",$H814-$H814/(1+IFERROR(INDEX(PRODUCTOS!$E$6:$E$105,MATCH($C814,PRODUCTOS!$A$6:$A$105,0)),IVA_VENTAS)))</f>
        <v/>
      </c>
      <c r="J814" s="35" t="str">
        <f aca="false">IF($C814="","",$H814-$I814)</f>
        <v/>
      </c>
      <c r="K814" s="35" t="str">
        <f aca="false">IF($C814="","",N($E814)*IFERROR(INDEX(PRODUCTOS!$H$6:$H$105,MATCH($C814,PRODUCTOS!$A$6:$A$105,0)),0))</f>
        <v/>
      </c>
      <c r="L814" s="35" t="str">
        <f aca="false">IF($C814="","",$J814-$K814)</f>
        <v/>
      </c>
      <c r="M814" s="6"/>
      <c r="N814" s="6"/>
      <c r="O814" s="46" t="str">
        <f aca="false">IF($A814="","",DATE(YEAR($A814),MONTH($A814),1))</f>
        <v/>
      </c>
    </row>
    <row r="815" customFormat="false" ht="15" hidden="false" customHeight="false" outlineLevel="0" collapsed="false">
      <c r="A815" s="44"/>
      <c r="B815" s="6"/>
      <c r="C815" s="6"/>
      <c r="D815" s="8" t="str">
        <f aca="false">IF($C815="","",IFERROR(INDEX(PRODUCTOS!$B$6:$B$105,MATCH($C815,PRODUCTOS!$A$6:$A$105,0)),"¿Código?"))</f>
        <v/>
      </c>
      <c r="E815" s="42"/>
      <c r="F815" s="35" t="str">
        <f aca="false">IF($C815="","",IFERROR(INDEX(PRODUCTOS!$D$6:$D$105,MATCH($C815,PRODUCTOS!$A$6:$A$105,0)),0))</f>
        <v/>
      </c>
      <c r="G815" s="40"/>
      <c r="H815" s="35" t="str">
        <f aca="false">IF($C815="","",N($E815)*$F815-N($G815))</f>
        <v/>
      </c>
      <c r="I815" s="35" t="str">
        <f aca="false">IF($C815="","",$H815-$H815/(1+IFERROR(INDEX(PRODUCTOS!$E$6:$E$105,MATCH($C815,PRODUCTOS!$A$6:$A$105,0)),IVA_VENTAS)))</f>
        <v/>
      </c>
      <c r="J815" s="35" t="str">
        <f aca="false">IF($C815="","",$H815-$I815)</f>
        <v/>
      </c>
      <c r="K815" s="35" t="str">
        <f aca="false">IF($C815="","",N($E815)*IFERROR(INDEX(PRODUCTOS!$H$6:$H$105,MATCH($C815,PRODUCTOS!$A$6:$A$105,0)),0))</f>
        <v/>
      </c>
      <c r="L815" s="35" t="str">
        <f aca="false">IF($C815="","",$J815-$K815)</f>
        <v/>
      </c>
      <c r="M815" s="6"/>
      <c r="N815" s="6"/>
      <c r="O815" s="46" t="str">
        <f aca="false">IF($A815="","",DATE(YEAR($A815),MONTH($A815),1))</f>
        <v/>
      </c>
    </row>
    <row r="816" customFormat="false" ht="15" hidden="false" customHeight="false" outlineLevel="0" collapsed="false">
      <c r="A816" s="44"/>
      <c r="B816" s="6"/>
      <c r="C816" s="6"/>
      <c r="D816" s="8" t="str">
        <f aca="false">IF($C816="","",IFERROR(INDEX(PRODUCTOS!$B$6:$B$105,MATCH($C816,PRODUCTOS!$A$6:$A$105,0)),"¿Código?"))</f>
        <v/>
      </c>
      <c r="E816" s="42"/>
      <c r="F816" s="35" t="str">
        <f aca="false">IF($C816="","",IFERROR(INDEX(PRODUCTOS!$D$6:$D$105,MATCH($C816,PRODUCTOS!$A$6:$A$105,0)),0))</f>
        <v/>
      </c>
      <c r="G816" s="40"/>
      <c r="H816" s="35" t="str">
        <f aca="false">IF($C816="","",N($E816)*$F816-N($G816))</f>
        <v/>
      </c>
      <c r="I816" s="35" t="str">
        <f aca="false">IF($C816="","",$H816-$H816/(1+IFERROR(INDEX(PRODUCTOS!$E$6:$E$105,MATCH($C816,PRODUCTOS!$A$6:$A$105,0)),IVA_VENTAS)))</f>
        <v/>
      </c>
      <c r="J816" s="35" t="str">
        <f aca="false">IF($C816="","",$H816-$I816)</f>
        <v/>
      </c>
      <c r="K816" s="35" t="str">
        <f aca="false">IF($C816="","",N($E816)*IFERROR(INDEX(PRODUCTOS!$H$6:$H$105,MATCH($C816,PRODUCTOS!$A$6:$A$105,0)),0))</f>
        <v/>
      </c>
      <c r="L816" s="35" t="str">
        <f aca="false">IF($C816="","",$J816-$K816)</f>
        <v/>
      </c>
      <c r="M816" s="6"/>
      <c r="N816" s="6"/>
      <c r="O816" s="46" t="str">
        <f aca="false">IF($A816="","",DATE(YEAR($A816),MONTH($A816),1))</f>
        <v/>
      </c>
    </row>
    <row r="817" customFormat="false" ht="15" hidden="false" customHeight="false" outlineLevel="0" collapsed="false">
      <c r="A817" s="44"/>
      <c r="B817" s="6"/>
      <c r="C817" s="6"/>
      <c r="D817" s="8" t="str">
        <f aca="false">IF($C817="","",IFERROR(INDEX(PRODUCTOS!$B$6:$B$105,MATCH($C817,PRODUCTOS!$A$6:$A$105,0)),"¿Código?"))</f>
        <v/>
      </c>
      <c r="E817" s="42"/>
      <c r="F817" s="35" t="str">
        <f aca="false">IF($C817="","",IFERROR(INDEX(PRODUCTOS!$D$6:$D$105,MATCH($C817,PRODUCTOS!$A$6:$A$105,0)),0))</f>
        <v/>
      </c>
      <c r="G817" s="40"/>
      <c r="H817" s="35" t="str">
        <f aca="false">IF($C817="","",N($E817)*$F817-N($G817))</f>
        <v/>
      </c>
      <c r="I817" s="35" t="str">
        <f aca="false">IF($C817="","",$H817-$H817/(1+IFERROR(INDEX(PRODUCTOS!$E$6:$E$105,MATCH($C817,PRODUCTOS!$A$6:$A$105,0)),IVA_VENTAS)))</f>
        <v/>
      </c>
      <c r="J817" s="35" t="str">
        <f aca="false">IF($C817="","",$H817-$I817)</f>
        <v/>
      </c>
      <c r="K817" s="35" t="str">
        <f aca="false">IF($C817="","",N($E817)*IFERROR(INDEX(PRODUCTOS!$H$6:$H$105,MATCH($C817,PRODUCTOS!$A$6:$A$105,0)),0))</f>
        <v/>
      </c>
      <c r="L817" s="35" t="str">
        <f aca="false">IF($C817="","",$J817-$K817)</f>
        <v/>
      </c>
      <c r="M817" s="6"/>
      <c r="N817" s="6"/>
      <c r="O817" s="46" t="str">
        <f aca="false">IF($A817="","",DATE(YEAR($A817),MONTH($A817),1))</f>
        <v/>
      </c>
    </row>
    <row r="818" customFormat="false" ht="15" hidden="false" customHeight="false" outlineLevel="0" collapsed="false">
      <c r="A818" s="44"/>
      <c r="B818" s="6"/>
      <c r="C818" s="6"/>
      <c r="D818" s="8" t="str">
        <f aca="false">IF($C818="","",IFERROR(INDEX(PRODUCTOS!$B$6:$B$105,MATCH($C818,PRODUCTOS!$A$6:$A$105,0)),"¿Código?"))</f>
        <v/>
      </c>
      <c r="E818" s="42"/>
      <c r="F818" s="35" t="str">
        <f aca="false">IF($C818="","",IFERROR(INDEX(PRODUCTOS!$D$6:$D$105,MATCH($C818,PRODUCTOS!$A$6:$A$105,0)),0))</f>
        <v/>
      </c>
      <c r="G818" s="40"/>
      <c r="H818" s="35" t="str">
        <f aca="false">IF($C818="","",N($E818)*$F818-N($G818))</f>
        <v/>
      </c>
      <c r="I818" s="35" t="str">
        <f aca="false">IF($C818="","",$H818-$H818/(1+IFERROR(INDEX(PRODUCTOS!$E$6:$E$105,MATCH($C818,PRODUCTOS!$A$6:$A$105,0)),IVA_VENTAS)))</f>
        <v/>
      </c>
      <c r="J818" s="35" t="str">
        <f aca="false">IF($C818="","",$H818-$I818)</f>
        <v/>
      </c>
      <c r="K818" s="35" t="str">
        <f aca="false">IF($C818="","",N($E818)*IFERROR(INDEX(PRODUCTOS!$H$6:$H$105,MATCH($C818,PRODUCTOS!$A$6:$A$105,0)),0))</f>
        <v/>
      </c>
      <c r="L818" s="35" t="str">
        <f aca="false">IF($C818="","",$J818-$K818)</f>
        <v/>
      </c>
      <c r="M818" s="6"/>
      <c r="N818" s="6"/>
      <c r="O818" s="46" t="str">
        <f aca="false">IF($A818="","",DATE(YEAR($A818),MONTH($A818),1))</f>
        <v/>
      </c>
    </row>
    <row r="819" customFormat="false" ht="15" hidden="false" customHeight="false" outlineLevel="0" collapsed="false">
      <c r="A819" s="44"/>
      <c r="B819" s="6"/>
      <c r="C819" s="6"/>
      <c r="D819" s="8" t="str">
        <f aca="false">IF($C819="","",IFERROR(INDEX(PRODUCTOS!$B$6:$B$105,MATCH($C819,PRODUCTOS!$A$6:$A$105,0)),"¿Código?"))</f>
        <v/>
      </c>
      <c r="E819" s="42"/>
      <c r="F819" s="35" t="str">
        <f aca="false">IF($C819="","",IFERROR(INDEX(PRODUCTOS!$D$6:$D$105,MATCH($C819,PRODUCTOS!$A$6:$A$105,0)),0))</f>
        <v/>
      </c>
      <c r="G819" s="40"/>
      <c r="H819" s="35" t="str">
        <f aca="false">IF($C819="","",N($E819)*$F819-N($G819))</f>
        <v/>
      </c>
      <c r="I819" s="35" t="str">
        <f aca="false">IF($C819="","",$H819-$H819/(1+IFERROR(INDEX(PRODUCTOS!$E$6:$E$105,MATCH($C819,PRODUCTOS!$A$6:$A$105,0)),IVA_VENTAS)))</f>
        <v/>
      </c>
      <c r="J819" s="35" t="str">
        <f aca="false">IF($C819="","",$H819-$I819)</f>
        <v/>
      </c>
      <c r="K819" s="35" t="str">
        <f aca="false">IF($C819="","",N($E819)*IFERROR(INDEX(PRODUCTOS!$H$6:$H$105,MATCH($C819,PRODUCTOS!$A$6:$A$105,0)),0))</f>
        <v/>
      </c>
      <c r="L819" s="35" t="str">
        <f aca="false">IF($C819="","",$J819-$K819)</f>
        <v/>
      </c>
      <c r="M819" s="6"/>
      <c r="N819" s="6"/>
      <c r="O819" s="46" t="str">
        <f aca="false">IF($A819="","",DATE(YEAR($A819),MONTH($A819),1))</f>
        <v/>
      </c>
    </row>
    <row r="820" customFormat="false" ht="15" hidden="false" customHeight="false" outlineLevel="0" collapsed="false">
      <c r="A820" s="44"/>
      <c r="B820" s="6"/>
      <c r="C820" s="6"/>
      <c r="D820" s="8" t="str">
        <f aca="false">IF($C820="","",IFERROR(INDEX(PRODUCTOS!$B$6:$B$105,MATCH($C820,PRODUCTOS!$A$6:$A$105,0)),"¿Código?"))</f>
        <v/>
      </c>
      <c r="E820" s="42"/>
      <c r="F820" s="35" t="str">
        <f aca="false">IF($C820="","",IFERROR(INDEX(PRODUCTOS!$D$6:$D$105,MATCH($C820,PRODUCTOS!$A$6:$A$105,0)),0))</f>
        <v/>
      </c>
      <c r="G820" s="40"/>
      <c r="H820" s="35" t="str">
        <f aca="false">IF($C820="","",N($E820)*$F820-N($G820))</f>
        <v/>
      </c>
      <c r="I820" s="35" t="str">
        <f aca="false">IF($C820="","",$H820-$H820/(1+IFERROR(INDEX(PRODUCTOS!$E$6:$E$105,MATCH($C820,PRODUCTOS!$A$6:$A$105,0)),IVA_VENTAS)))</f>
        <v/>
      </c>
      <c r="J820" s="35" t="str">
        <f aca="false">IF($C820="","",$H820-$I820)</f>
        <v/>
      </c>
      <c r="K820" s="35" t="str">
        <f aca="false">IF($C820="","",N($E820)*IFERROR(INDEX(PRODUCTOS!$H$6:$H$105,MATCH($C820,PRODUCTOS!$A$6:$A$105,0)),0))</f>
        <v/>
      </c>
      <c r="L820" s="35" t="str">
        <f aca="false">IF($C820="","",$J820-$K820)</f>
        <v/>
      </c>
      <c r="M820" s="6"/>
      <c r="N820" s="6"/>
      <c r="O820" s="46" t="str">
        <f aca="false">IF($A820="","",DATE(YEAR($A820),MONTH($A820),1))</f>
        <v/>
      </c>
    </row>
    <row r="821" customFormat="false" ht="15" hidden="false" customHeight="false" outlineLevel="0" collapsed="false">
      <c r="A821" s="44"/>
      <c r="B821" s="6"/>
      <c r="C821" s="6"/>
      <c r="D821" s="8" t="str">
        <f aca="false">IF($C821="","",IFERROR(INDEX(PRODUCTOS!$B$6:$B$105,MATCH($C821,PRODUCTOS!$A$6:$A$105,0)),"¿Código?"))</f>
        <v/>
      </c>
      <c r="E821" s="42"/>
      <c r="F821" s="35" t="str">
        <f aca="false">IF($C821="","",IFERROR(INDEX(PRODUCTOS!$D$6:$D$105,MATCH($C821,PRODUCTOS!$A$6:$A$105,0)),0))</f>
        <v/>
      </c>
      <c r="G821" s="40"/>
      <c r="H821" s="35" t="str">
        <f aca="false">IF($C821="","",N($E821)*$F821-N($G821))</f>
        <v/>
      </c>
      <c r="I821" s="35" t="str">
        <f aca="false">IF($C821="","",$H821-$H821/(1+IFERROR(INDEX(PRODUCTOS!$E$6:$E$105,MATCH($C821,PRODUCTOS!$A$6:$A$105,0)),IVA_VENTAS)))</f>
        <v/>
      </c>
      <c r="J821" s="35" t="str">
        <f aca="false">IF($C821="","",$H821-$I821)</f>
        <v/>
      </c>
      <c r="K821" s="35" t="str">
        <f aca="false">IF($C821="","",N($E821)*IFERROR(INDEX(PRODUCTOS!$H$6:$H$105,MATCH($C821,PRODUCTOS!$A$6:$A$105,0)),0))</f>
        <v/>
      </c>
      <c r="L821" s="35" t="str">
        <f aca="false">IF($C821="","",$J821-$K821)</f>
        <v/>
      </c>
      <c r="M821" s="6"/>
      <c r="N821" s="6"/>
      <c r="O821" s="46" t="str">
        <f aca="false">IF($A821="","",DATE(YEAR($A821),MONTH($A821),1))</f>
        <v/>
      </c>
    </row>
    <row r="822" customFormat="false" ht="15" hidden="false" customHeight="false" outlineLevel="0" collapsed="false">
      <c r="A822" s="44"/>
      <c r="B822" s="6"/>
      <c r="C822" s="6"/>
      <c r="D822" s="8" t="str">
        <f aca="false">IF($C822="","",IFERROR(INDEX(PRODUCTOS!$B$6:$B$105,MATCH($C822,PRODUCTOS!$A$6:$A$105,0)),"¿Código?"))</f>
        <v/>
      </c>
      <c r="E822" s="42"/>
      <c r="F822" s="35" t="str">
        <f aca="false">IF($C822="","",IFERROR(INDEX(PRODUCTOS!$D$6:$D$105,MATCH($C822,PRODUCTOS!$A$6:$A$105,0)),0))</f>
        <v/>
      </c>
      <c r="G822" s="40"/>
      <c r="H822" s="35" t="str">
        <f aca="false">IF($C822="","",N($E822)*$F822-N($G822))</f>
        <v/>
      </c>
      <c r="I822" s="35" t="str">
        <f aca="false">IF($C822="","",$H822-$H822/(1+IFERROR(INDEX(PRODUCTOS!$E$6:$E$105,MATCH($C822,PRODUCTOS!$A$6:$A$105,0)),IVA_VENTAS)))</f>
        <v/>
      </c>
      <c r="J822" s="35" t="str">
        <f aca="false">IF($C822="","",$H822-$I822)</f>
        <v/>
      </c>
      <c r="K822" s="35" t="str">
        <f aca="false">IF($C822="","",N($E822)*IFERROR(INDEX(PRODUCTOS!$H$6:$H$105,MATCH($C822,PRODUCTOS!$A$6:$A$105,0)),0))</f>
        <v/>
      </c>
      <c r="L822" s="35" t="str">
        <f aca="false">IF($C822="","",$J822-$K822)</f>
        <v/>
      </c>
      <c r="M822" s="6"/>
      <c r="N822" s="6"/>
      <c r="O822" s="46" t="str">
        <f aca="false">IF($A822="","",DATE(YEAR($A822),MONTH($A822),1))</f>
        <v/>
      </c>
    </row>
    <row r="823" customFormat="false" ht="15" hidden="false" customHeight="false" outlineLevel="0" collapsed="false">
      <c r="A823" s="44"/>
      <c r="B823" s="6"/>
      <c r="C823" s="6"/>
      <c r="D823" s="8" t="str">
        <f aca="false">IF($C823="","",IFERROR(INDEX(PRODUCTOS!$B$6:$B$105,MATCH($C823,PRODUCTOS!$A$6:$A$105,0)),"¿Código?"))</f>
        <v/>
      </c>
      <c r="E823" s="42"/>
      <c r="F823" s="35" t="str">
        <f aca="false">IF($C823="","",IFERROR(INDEX(PRODUCTOS!$D$6:$D$105,MATCH($C823,PRODUCTOS!$A$6:$A$105,0)),0))</f>
        <v/>
      </c>
      <c r="G823" s="40"/>
      <c r="H823" s="35" t="str">
        <f aca="false">IF($C823="","",N($E823)*$F823-N($G823))</f>
        <v/>
      </c>
      <c r="I823" s="35" t="str">
        <f aca="false">IF($C823="","",$H823-$H823/(1+IFERROR(INDEX(PRODUCTOS!$E$6:$E$105,MATCH($C823,PRODUCTOS!$A$6:$A$105,0)),IVA_VENTAS)))</f>
        <v/>
      </c>
      <c r="J823" s="35" t="str">
        <f aca="false">IF($C823="","",$H823-$I823)</f>
        <v/>
      </c>
      <c r="K823" s="35" t="str">
        <f aca="false">IF($C823="","",N($E823)*IFERROR(INDEX(PRODUCTOS!$H$6:$H$105,MATCH($C823,PRODUCTOS!$A$6:$A$105,0)),0))</f>
        <v/>
      </c>
      <c r="L823" s="35" t="str">
        <f aca="false">IF($C823="","",$J823-$K823)</f>
        <v/>
      </c>
      <c r="M823" s="6"/>
      <c r="N823" s="6"/>
      <c r="O823" s="46" t="str">
        <f aca="false">IF($A823="","",DATE(YEAR($A823),MONTH($A823),1))</f>
        <v/>
      </c>
    </row>
    <row r="824" customFormat="false" ht="15" hidden="false" customHeight="false" outlineLevel="0" collapsed="false">
      <c r="A824" s="44"/>
      <c r="B824" s="6"/>
      <c r="C824" s="6"/>
      <c r="D824" s="8" t="str">
        <f aca="false">IF($C824="","",IFERROR(INDEX(PRODUCTOS!$B$6:$B$105,MATCH($C824,PRODUCTOS!$A$6:$A$105,0)),"¿Código?"))</f>
        <v/>
      </c>
      <c r="E824" s="42"/>
      <c r="F824" s="35" t="str">
        <f aca="false">IF($C824="","",IFERROR(INDEX(PRODUCTOS!$D$6:$D$105,MATCH($C824,PRODUCTOS!$A$6:$A$105,0)),0))</f>
        <v/>
      </c>
      <c r="G824" s="40"/>
      <c r="H824" s="35" t="str">
        <f aca="false">IF($C824="","",N($E824)*$F824-N($G824))</f>
        <v/>
      </c>
      <c r="I824" s="35" t="str">
        <f aca="false">IF($C824="","",$H824-$H824/(1+IFERROR(INDEX(PRODUCTOS!$E$6:$E$105,MATCH($C824,PRODUCTOS!$A$6:$A$105,0)),IVA_VENTAS)))</f>
        <v/>
      </c>
      <c r="J824" s="35" t="str">
        <f aca="false">IF($C824="","",$H824-$I824)</f>
        <v/>
      </c>
      <c r="K824" s="35" t="str">
        <f aca="false">IF($C824="","",N($E824)*IFERROR(INDEX(PRODUCTOS!$H$6:$H$105,MATCH($C824,PRODUCTOS!$A$6:$A$105,0)),0))</f>
        <v/>
      </c>
      <c r="L824" s="35" t="str">
        <f aca="false">IF($C824="","",$J824-$K824)</f>
        <v/>
      </c>
      <c r="M824" s="6"/>
      <c r="N824" s="6"/>
      <c r="O824" s="46" t="str">
        <f aca="false">IF($A824="","",DATE(YEAR($A824),MONTH($A824),1))</f>
        <v/>
      </c>
    </row>
    <row r="825" customFormat="false" ht="15" hidden="false" customHeight="false" outlineLevel="0" collapsed="false">
      <c r="A825" s="44"/>
      <c r="B825" s="6"/>
      <c r="C825" s="6"/>
      <c r="D825" s="8" t="str">
        <f aca="false">IF($C825="","",IFERROR(INDEX(PRODUCTOS!$B$6:$B$105,MATCH($C825,PRODUCTOS!$A$6:$A$105,0)),"¿Código?"))</f>
        <v/>
      </c>
      <c r="E825" s="42"/>
      <c r="F825" s="35" t="str">
        <f aca="false">IF($C825="","",IFERROR(INDEX(PRODUCTOS!$D$6:$D$105,MATCH($C825,PRODUCTOS!$A$6:$A$105,0)),0))</f>
        <v/>
      </c>
      <c r="G825" s="40"/>
      <c r="H825" s="35" t="str">
        <f aca="false">IF($C825="","",N($E825)*$F825-N($G825))</f>
        <v/>
      </c>
      <c r="I825" s="35" t="str">
        <f aca="false">IF($C825="","",$H825-$H825/(1+IFERROR(INDEX(PRODUCTOS!$E$6:$E$105,MATCH($C825,PRODUCTOS!$A$6:$A$105,0)),IVA_VENTAS)))</f>
        <v/>
      </c>
      <c r="J825" s="35" t="str">
        <f aca="false">IF($C825="","",$H825-$I825)</f>
        <v/>
      </c>
      <c r="K825" s="35" t="str">
        <f aca="false">IF($C825="","",N($E825)*IFERROR(INDEX(PRODUCTOS!$H$6:$H$105,MATCH($C825,PRODUCTOS!$A$6:$A$105,0)),0))</f>
        <v/>
      </c>
      <c r="L825" s="35" t="str">
        <f aca="false">IF($C825="","",$J825-$K825)</f>
        <v/>
      </c>
      <c r="M825" s="6"/>
      <c r="N825" s="6"/>
      <c r="O825" s="46" t="str">
        <f aca="false">IF($A825="","",DATE(YEAR($A825),MONTH($A825),1))</f>
        <v/>
      </c>
    </row>
    <row r="826" customFormat="false" ht="15" hidden="false" customHeight="false" outlineLevel="0" collapsed="false">
      <c r="A826" s="44"/>
      <c r="B826" s="6"/>
      <c r="C826" s="6"/>
      <c r="D826" s="8" t="str">
        <f aca="false">IF($C826="","",IFERROR(INDEX(PRODUCTOS!$B$6:$B$105,MATCH($C826,PRODUCTOS!$A$6:$A$105,0)),"¿Código?"))</f>
        <v/>
      </c>
      <c r="E826" s="42"/>
      <c r="F826" s="35" t="str">
        <f aca="false">IF($C826="","",IFERROR(INDEX(PRODUCTOS!$D$6:$D$105,MATCH($C826,PRODUCTOS!$A$6:$A$105,0)),0))</f>
        <v/>
      </c>
      <c r="G826" s="40"/>
      <c r="H826" s="35" t="str">
        <f aca="false">IF($C826="","",N($E826)*$F826-N($G826))</f>
        <v/>
      </c>
      <c r="I826" s="35" t="str">
        <f aca="false">IF($C826="","",$H826-$H826/(1+IFERROR(INDEX(PRODUCTOS!$E$6:$E$105,MATCH($C826,PRODUCTOS!$A$6:$A$105,0)),IVA_VENTAS)))</f>
        <v/>
      </c>
      <c r="J826" s="35" t="str">
        <f aca="false">IF($C826="","",$H826-$I826)</f>
        <v/>
      </c>
      <c r="K826" s="35" t="str">
        <f aca="false">IF($C826="","",N($E826)*IFERROR(INDEX(PRODUCTOS!$H$6:$H$105,MATCH($C826,PRODUCTOS!$A$6:$A$105,0)),0))</f>
        <v/>
      </c>
      <c r="L826" s="35" t="str">
        <f aca="false">IF($C826="","",$J826-$K826)</f>
        <v/>
      </c>
      <c r="M826" s="6"/>
      <c r="N826" s="6"/>
      <c r="O826" s="46" t="str">
        <f aca="false">IF($A826="","",DATE(YEAR($A826),MONTH($A826),1))</f>
        <v/>
      </c>
    </row>
    <row r="827" customFormat="false" ht="15" hidden="false" customHeight="false" outlineLevel="0" collapsed="false">
      <c r="A827" s="44"/>
      <c r="B827" s="6"/>
      <c r="C827" s="6"/>
      <c r="D827" s="8" t="str">
        <f aca="false">IF($C827="","",IFERROR(INDEX(PRODUCTOS!$B$6:$B$105,MATCH($C827,PRODUCTOS!$A$6:$A$105,0)),"¿Código?"))</f>
        <v/>
      </c>
      <c r="E827" s="42"/>
      <c r="F827" s="35" t="str">
        <f aca="false">IF($C827="","",IFERROR(INDEX(PRODUCTOS!$D$6:$D$105,MATCH($C827,PRODUCTOS!$A$6:$A$105,0)),0))</f>
        <v/>
      </c>
      <c r="G827" s="40"/>
      <c r="H827" s="35" t="str">
        <f aca="false">IF($C827="","",N($E827)*$F827-N($G827))</f>
        <v/>
      </c>
      <c r="I827" s="35" t="str">
        <f aca="false">IF($C827="","",$H827-$H827/(1+IFERROR(INDEX(PRODUCTOS!$E$6:$E$105,MATCH($C827,PRODUCTOS!$A$6:$A$105,0)),IVA_VENTAS)))</f>
        <v/>
      </c>
      <c r="J827" s="35" t="str">
        <f aca="false">IF($C827="","",$H827-$I827)</f>
        <v/>
      </c>
      <c r="K827" s="35" t="str">
        <f aca="false">IF($C827="","",N($E827)*IFERROR(INDEX(PRODUCTOS!$H$6:$H$105,MATCH($C827,PRODUCTOS!$A$6:$A$105,0)),0))</f>
        <v/>
      </c>
      <c r="L827" s="35" t="str">
        <f aca="false">IF($C827="","",$J827-$K827)</f>
        <v/>
      </c>
      <c r="M827" s="6"/>
      <c r="N827" s="6"/>
      <c r="O827" s="46" t="str">
        <f aca="false">IF($A827="","",DATE(YEAR($A827),MONTH($A827),1))</f>
        <v/>
      </c>
    </row>
    <row r="828" customFormat="false" ht="15" hidden="false" customHeight="false" outlineLevel="0" collapsed="false">
      <c r="A828" s="44"/>
      <c r="B828" s="6"/>
      <c r="C828" s="6"/>
      <c r="D828" s="8" t="str">
        <f aca="false">IF($C828="","",IFERROR(INDEX(PRODUCTOS!$B$6:$B$105,MATCH($C828,PRODUCTOS!$A$6:$A$105,0)),"¿Código?"))</f>
        <v/>
      </c>
      <c r="E828" s="42"/>
      <c r="F828" s="35" t="str">
        <f aca="false">IF($C828="","",IFERROR(INDEX(PRODUCTOS!$D$6:$D$105,MATCH($C828,PRODUCTOS!$A$6:$A$105,0)),0))</f>
        <v/>
      </c>
      <c r="G828" s="40"/>
      <c r="H828" s="35" t="str">
        <f aca="false">IF($C828="","",N($E828)*$F828-N($G828))</f>
        <v/>
      </c>
      <c r="I828" s="35" t="str">
        <f aca="false">IF($C828="","",$H828-$H828/(1+IFERROR(INDEX(PRODUCTOS!$E$6:$E$105,MATCH($C828,PRODUCTOS!$A$6:$A$105,0)),IVA_VENTAS)))</f>
        <v/>
      </c>
      <c r="J828" s="35" t="str">
        <f aca="false">IF($C828="","",$H828-$I828)</f>
        <v/>
      </c>
      <c r="K828" s="35" t="str">
        <f aca="false">IF($C828="","",N($E828)*IFERROR(INDEX(PRODUCTOS!$H$6:$H$105,MATCH($C828,PRODUCTOS!$A$6:$A$105,0)),0))</f>
        <v/>
      </c>
      <c r="L828" s="35" t="str">
        <f aca="false">IF($C828="","",$J828-$K828)</f>
        <v/>
      </c>
      <c r="M828" s="6"/>
      <c r="N828" s="6"/>
      <c r="O828" s="46" t="str">
        <f aca="false">IF($A828="","",DATE(YEAR($A828),MONTH($A828),1))</f>
        <v/>
      </c>
    </row>
    <row r="829" customFormat="false" ht="15" hidden="false" customHeight="false" outlineLevel="0" collapsed="false">
      <c r="A829" s="44"/>
      <c r="B829" s="6"/>
      <c r="C829" s="6"/>
      <c r="D829" s="8" t="str">
        <f aca="false">IF($C829="","",IFERROR(INDEX(PRODUCTOS!$B$6:$B$105,MATCH($C829,PRODUCTOS!$A$6:$A$105,0)),"¿Código?"))</f>
        <v/>
      </c>
      <c r="E829" s="42"/>
      <c r="F829" s="35" t="str">
        <f aca="false">IF($C829="","",IFERROR(INDEX(PRODUCTOS!$D$6:$D$105,MATCH($C829,PRODUCTOS!$A$6:$A$105,0)),0))</f>
        <v/>
      </c>
      <c r="G829" s="40"/>
      <c r="H829" s="35" t="str">
        <f aca="false">IF($C829="","",N($E829)*$F829-N($G829))</f>
        <v/>
      </c>
      <c r="I829" s="35" t="str">
        <f aca="false">IF($C829="","",$H829-$H829/(1+IFERROR(INDEX(PRODUCTOS!$E$6:$E$105,MATCH($C829,PRODUCTOS!$A$6:$A$105,0)),IVA_VENTAS)))</f>
        <v/>
      </c>
      <c r="J829" s="35" t="str">
        <f aca="false">IF($C829="","",$H829-$I829)</f>
        <v/>
      </c>
      <c r="K829" s="35" t="str">
        <f aca="false">IF($C829="","",N($E829)*IFERROR(INDEX(PRODUCTOS!$H$6:$H$105,MATCH($C829,PRODUCTOS!$A$6:$A$105,0)),0))</f>
        <v/>
      </c>
      <c r="L829" s="35" t="str">
        <f aca="false">IF($C829="","",$J829-$K829)</f>
        <v/>
      </c>
      <c r="M829" s="6"/>
      <c r="N829" s="6"/>
      <c r="O829" s="46" t="str">
        <f aca="false">IF($A829="","",DATE(YEAR($A829),MONTH($A829),1))</f>
        <v/>
      </c>
    </row>
    <row r="830" customFormat="false" ht="15" hidden="false" customHeight="false" outlineLevel="0" collapsed="false">
      <c r="A830" s="44"/>
      <c r="B830" s="6"/>
      <c r="C830" s="6"/>
      <c r="D830" s="8" t="str">
        <f aca="false">IF($C830="","",IFERROR(INDEX(PRODUCTOS!$B$6:$B$105,MATCH($C830,PRODUCTOS!$A$6:$A$105,0)),"¿Código?"))</f>
        <v/>
      </c>
      <c r="E830" s="42"/>
      <c r="F830" s="35" t="str">
        <f aca="false">IF($C830="","",IFERROR(INDEX(PRODUCTOS!$D$6:$D$105,MATCH($C830,PRODUCTOS!$A$6:$A$105,0)),0))</f>
        <v/>
      </c>
      <c r="G830" s="40"/>
      <c r="H830" s="35" t="str">
        <f aca="false">IF($C830="","",N($E830)*$F830-N($G830))</f>
        <v/>
      </c>
      <c r="I830" s="35" t="str">
        <f aca="false">IF($C830="","",$H830-$H830/(1+IFERROR(INDEX(PRODUCTOS!$E$6:$E$105,MATCH($C830,PRODUCTOS!$A$6:$A$105,0)),IVA_VENTAS)))</f>
        <v/>
      </c>
      <c r="J830" s="35" t="str">
        <f aca="false">IF($C830="","",$H830-$I830)</f>
        <v/>
      </c>
      <c r="K830" s="35" t="str">
        <f aca="false">IF($C830="","",N($E830)*IFERROR(INDEX(PRODUCTOS!$H$6:$H$105,MATCH($C830,PRODUCTOS!$A$6:$A$105,0)),0))</f>
        <v/>
      </c>
      <c r="L830" s="35" t="str">
        <f aca="false">IF($C830="","",$J830-$K830)</f>
        <v/>
      </c>
      <c r="M830" s="6"/>
      <c r="N830" s="6"/>
      <c r="O830" s="46" t="str">
        <f aca="false">IF($A830="","",DATE(YEAR($A830),MONTH($A830),1))</f>
        <v/>
      </c>
    </row>
    <row r="831" customFormat="false" ht="15" hidden="false" customHeight="false" outlineLevel="0" collapsed="false">
      <c r="A831" s="44"/>
      <c r="B831" s="6"/>
      <c r="C831" s="6"/>
      <c r="D831" s="8" t="str">
        <f aca="false">IF($C831="","",IFERROR(INDEX(PRODUCTOS!$B$6:$B$105,MATCH($C831,PRODUCTOS!$A$6:$A$105,0)),"¿Código?"))</f>
        <v/>
      </c>
      <c r="E831" s="42"/>
      <c r="F831" s="35" t="str">
        <f aca="false">IF($C831="","",IFERROR(INDEX(PRODUCTOS!$D$6:$D$105,MATCH($C831,PRODUCTOS!$A$6:$A$105,0)),0))</f>
        <v/>
      </c>
      <c r="G831" s="40"/>
      <c r="H831" s="35" t="str">
        <f aca="false">IF($C831="","",N($E831)*$F831-N($G831))</f>
        <v/>
      </c>
      <c r="I831" s="35" t="str">
        <f aca="false">IF($C831="","",$H831-$H831/(1+IFERROR(INDEX(PRODUCTOS!$E$6:$E$105,MATCH($C831,PRODUCTOS!$A$6:$A$105,0)),IVA_VENTAS)))</f>
        <v/>
      </c>
      <c r="J831" s="35" t="str">
        <f aca="false">IF($C831="","",$H831-$I831)</f>
        <v/>
      </c>
      <c r="K831" s="35" t="str">
        <f aca="false">IF($C831="","",N($E831)*IFERROR(INDEX(PRODUCTOS!$H$6:$H$105,MATCH($C831,PRODUCTOS!$A$6:$A$105,0)),0))</f>
        <v/>
      </c>
      <c r="L831" s="35" t="str">
        <f aca="false">IF($C831="","",$J831-$K831)</f>
        <v/>
      </c>
      <c r="M831" s="6"/>
      <c r="N831" s="6"/>
      <c r="O831" s="46" t="str">
        <f aca="false">IF($A831="","",DATE(YEAR($A831),MONTH($A831),1))</f>
        <v/>
      </c>
    </row>
    <row r="832" customFormat="false" ht="15" hidden="false" customHeight="false" outlineLevel="0" collapsed="false">
      <c r="A832" s="44"/>
      <c r="B832" s="6"/>
      <c r="C832" s="6"/>
      <c r="D832" s="8" t="str">
        <f aca="false">IF($C832="","",IFERROR(INDEX(PRODUCTOS!$B$6:$B$105,MATCH($C832,PRODUCTOS!$A$6:$A$105,0)),"¿Código?"))</f>
        <v/>
      </c>
      <c r="E832" s="42"/>
      <c r="F832" s="35" t="str">
        <f aca="false">IF($C832="","",IFERROR(INDEX(PRODUCTOS!$D$6:$D$105,MATCH($C832,PRODUCTOS!$A$6:$A$105,0)),0))</f>
        <v/>
      </c>
      <c r="G832" s="40"/>
      <c r="H832" s="35" t="str">
        <f aca="false">IF($C832="","",N($E832)*$F832-N($G832))</f>
        <v/>
      </c>
      <c r="I832" s="35" t="str">
        <f aca="false">IF($C832="","",$H832-$H832/(1+IFERROR(INDEX(PRODUCTOS!$E$6:$E$105,MATCH($C832,PRODUCTOS!$A$6:$A$105,0)),IVA_VENTAS)))</f>
        <v/>
      </c>
      <c r="J832" s="35" t="str">
        <f aca="false">IF($C832="","",$H832-$I832)</f>
        <v/>
      </c>
      <c r="K832" s="35" t="str">
        <f aca="false">IF($C832="","",N($E832)*IFERROR(INDEX(PRODUCTOS!$H$6:$H$105,MATCH($C832,PRODUCTOS!$A$6:$A$105,0)),0))</f>
        <v/>
      </c>
      <c r="L832" s="35" t="str">
        <f aca="false">IF($C832="","",$J832-$K832)</f>
        <v/>
      </c>
      <c r="M832" s="6"/>
      <c r="N832" s="6"/>
      <c r="O832" s="46" t="str">
        <f aca="false">IF($A832="","",DATE(YEAR($A832),MONTH($A832),1))</f>
        <v/>
      </c>
    </row>
    <row r="833" customFormat="false" ht="15" hidden="false" customHeight="false" outlineLevel="0" collapsed="false">
      <c r="A833" s="44"/>
      <c r="B833" s="6"/>
      <c r="C833" s="6"/>
      <c r="D833" s="8" t="str">
        <f aca="false">IF($C833="","",IFERROR(INDEX(PRODUCTOS!$B$6:$B$105,MATCH($C833,PRODUCTOS!$A$6:$A$105,0)),"¿Código?"))</f>
        <v/>
      </c>
      <c r="E833" s="42"/>
      <c r="F833" s="35" t="str">
        <f aca="false">IF($C833="","",IFERROR(INDEX(PRODUCTOS!$D$6:$D$105,MATCH($C833,PRODUCTOS!$A$6:$A$105,0)),0))</f>
        <v/>
      </c>
      <c r="G833" s="40"/>
      <c r="H833" s="35" t="str">
        <f aca="false">IF($C833="","",N($E833)*$F833-N($G833))</f>
        <v/>
      </c>
      <c r="I833" s="35" t="str">
        <f aca="false">IF($C833="","",$H833-$H833/(1+IFERROR(INDEX(PRODUCTOS!$E$6:$E$105,MATCH($C833,PRODUCTOS!$A$6:$A$105,0)),IVA_VENTAS)))</f>
        <v/>
      </c>
      <c r="J833" s="35" t="str">
        <f aca="false">IF($C833="","",$H833-$I833)</f>
        <v/>
      </c>
      <c r="K833" s="35" t="str">
        <f aca="false">IF($C833="","",N($E833)*IFERROR(INDEX(PRODUCTOS!$H$6:$H$105,MATCH($C833,PRODUCTOS!$A$6:$A$105,0)),0))</f>
        <v/>
      </c>
      <c r="L833" s="35" t="str">
        <f aca="false">IF($C833="","",$J833-$K833)</f>
        <v/>
      </c>
      <c r="M833" s="6"/>
      <c r="N833" s="6"/>
      <c r="O833" s="46" t="str">
        <f aca="false">IF($A833="","",DATE(YEAR($A833),MONTH($A833),1))</f>
        <v/>
      </c>
    </row>
    <row r="834" customFormat="false" ht="15" hidden="false" customHeight="false" outlineLevel="0" collapsed="false">
      <c r="A834" s="44"/>
      <c r="B834" s="6"/>
      <c r="C834" s="6"/>
      <c r="D834" s="8" t="str">
        <f aca="false">IF($C834="","",IFERROR(INDEX(PRODUCTOS!$B$6:$B$105,MATCH($C834,PRODUCTOS!$A$6:$A$105,0)),"¿Código?"))</f>
        <v/>
      </c>
      <c r="E834" s="42"/>
      <c r="F834" s="35" t="str">
        <f aca="false">IF($C834="","",IFERROR(INDEX(PRODUCTOS!$D$6:$D$105,MATCH($C834,PRODUCTOS!$A$6:$A$105,0)),0))</f>
        <v/>
      </c>
      <c r="G834" s="40"/>
      <c r="H834" s="35" t="str">
        <f aca="false">IF($C834="","",N($E834)*$F834-N($G834))</f>
        <v/>
      </c>
      <c r="I834" s="35" t="str">
        <f aca="false">IF($C834="","",$H834-$H834/(1+IFERROR(INDEX(PRODUCTOS!$E$6:$E$105,MATCH($C834,PRODUCTOS!$A$6:$A$105,0)),IVA_VENTAS)))</f>
        <v/>
      </c>
      <c r="J834" s="35" t="str">
        <f aca="false">IF($C834="","",$H834-$I834)</f>
        <v/>
      </c>
      <c r="K834" s="35" t="str">
        <f aca="false">IF($C834="","",N($E834)*IFERROR(INDEX(PRODUCTOS!$H$6:$H$105,MATCH($C834,PRODUCTOS!$A$6:$A$105,0)),0))</f>
        <v/>
      </c>
      <c r="L834" s="35" t="str">
        <f aca="false">IF($C834="","",$J834-$K834)</f>
        <v/>
      </c>
      <c r="M834" s="6"/>
      <c r="N834" s="6"/>
      <c r="O834" s="46" t="str">
        <f aca="false">IF($A834="","",DATE(YEAR($A834),MONTH($A834),1))</f>
        <v/>
      </c>
    </row>
    <row r="835" customFormat="false" ht="15" hidden="false" customHeight="false" outlineLevel="0" collapsed="false">
      <c r="A835" s="44"/>
      <c r="B835" s="6"/>
      <c r="C835" s="6"/>
      <c r="D835" s="8" t="str">
        <f aca="false">IF($C835="","",IFERROR(INDEX(PRODUCTOS!$B$6:$B$105,MATCH($C835,PRODUCTOS!$A$6:$A$105,0)),"¿Código?"))</f>
        <v/>
      </c>
      <c r="E835" s="42"/>
      <c r="F835" s="35" t="str">
        <f aca="false">IF($C835="","",IFERROR(INDEX(PRODUCTOS!$D$6:$D$105,MATCH($C835,PRODUCTOS!$A$6:$A$105,0)),0))</f>
        <v/>
      </c>
      <c r="G835" s="40"/>
      <c r="H835" s="35" t="str">
        <f aca="false">IF($C835="","",N($E835)*$F835-N($G835))</f>
        <v/>
      </c>
      <c r="I835" s="35" t="str">
        <f aca="false">IF($C835="","",$H835-$H835/(1+IFERROR(INDEX(PRODUCTOS!$E$6:$E$105,MATCH($C835,PRODUCTOS!$A$6:$A$105,0)),IVA_VENTAS)))</f>
        <v/>
      </c>
      <c r="J835" s="35" t="str">
        <f aca="false">IF($C835="","",$H835-$I835)</f>
        <v/>
      </c>
      <c r="K835" s="35" t="str">
        <f aca="false">IF($C835="","",N($E835)*IFERROR(INDEX(PRODUCTOS!$H$6:$H$105,MATCH($C835,PRODUCTOS!$A$6:$A$105,0)),0))</f>
        <v/>
      </c>
      <c r="L835" s="35" t="str">
        <f aca="false">IF($C835="","",$J835-$K835)</f>
        <v/>
      </c>
      <c r="M835" s="6"/>
      <c r="N835" s="6"/>
      <c r="O835" s="46" t="str">
        <f aca="false">IF($A835="","",DATE(YEAR($A835),MONTH($A835),1))</f>
        <v/>
      </c>
    </row>
    <row r="836" customFormat="false" ht="15" hidden="false" customHeight="false" outlineLevel="0" collapsed="false">
      <c r="A836" s="44"/>
      <c r="B836" s="6"/>
      <c r="C836" s="6"/>
      <c r="D836" s="8" t="str">
        <f aca="false">IF($C836="","",IFERROR(INDEX(PRODUCTOS!$B$6:$B$105,MATCH($C836,PRODUCTOS!$A$6:$A$105,0)),"¿Código?"))</f>
        <v/>
      </c>
      <c r="E836" s="42"/>
      <c r="F836" s="35" t="str">
        <f aca="false">IF($C836="","",IFERROR(INDEX(PRODUCTOS!$D$6:$D$105,MATCH($C836,PRODUCTOS!$A$6:$A$105,0)),0))</f>
        <v/>
      </c>
      <c r="G836" s="40"/>
      <c r="H836" s="35" t="str">
        <f aca="false">IF($C836="","",N($E836)*$F836-N($G836))</f>
        <v/>
      </c>
      <c r="I836" s="35" t="str">
        <f aca="false">IF($C836="","",$H836-$H836/(1+IFERROR(INDEX(PRODUCTOS!$E$6:$E$105,MATCH($C836,PRODUCTOS!$A$6:$A$105,0)),IVA_VENTAS)))</f>
        <v/>
      </c>
      <c r="J836" s="35" t="str">
        <f aca="false">IF($C836="","",$H836-$I836)</f>
        <v/>
      </c>
      <c r="K836" s="35" t="str">
        <f aca="false">IF($C836="","",N($E836)*IFERROR(INDEX(PRODUCTOS!$H$6:$H$105,MATCH($C836,PRODUCTOS!$A$6:$A$105,0)),0))</f>
        <v/>
      </c>
      <c r="L836" s="35" t="str">
        <f aca="false">IF($C836="","",$J836-$K836)</f>
        <v/>
      </c>
      <c r="M836" s="6"/>
      <c r="N836" s="6"/>
      <c r="O836" s="46" t="str">
        <f aca="false">IF($A836="","",DATE(YEAR($A836),MONTH($A836),1))</f>
        <v/>
      </c>
    </row>
    <row r="837" customFormat="false" ht="15" hidden="false" customHeight="false" outlineLevel="0" collapsed="false">
      <c r="A837" s="44"/>
      <c r="B837" s="6"/>
      <c r="C837" s="6"/>
      <c r="D837" s="8" t="str">
        <f aca="false">IF($C837="","",IFERROR(INDEX(PRODUCTOS!$B$6:$B$105,MATCH($C837,PRODUCTOS!$A$6:$A$105,0)),"¿Código?"))</f>
        <v/>
      </c>
      <c r="E837" s="42"/>
      <c r="F837" s="35" t="str">
        <f aca="false">IF($C837="","",IFERROR(INDEX(PRODUCTOS!$D$6:$D$105,MATCH($C837,PRODUCTOS!$A$6:$A$105,0)),0))</f>
        <v/>
      </c>
      <c r="G837" s="40"/>
      <c r="H837" s="35" t="str">
        <f aca="false">IF($C837="","",N($E837)*$F837-N($G837))</f>
        <v/>
      </c>
      <c r="I837" s="35" t="str">
        <f aca="false">IF($C837="","",$H837-$H837/(1+IFERROR(INDEX(PRODUCTOS!$E$6:$E$105,MATCH($C837,PRODUCTOS!$A$6:$A$105,0)),IVA_VENTAS)))</f>
        <v/>
      </c>
      <c r="J837" s="35" t="str">
        <f aca="false">IF($C837="","",$H837-$I837)</f>
        <v/>
      </c>
      <c r="K837" s="35" t="str">
        <f aca="false">IF($C837="","",N($E837)*IFERROR(INDEX(PRODUCTOS!$H$6:$H$105,MATCH($C837,PRODUCTOS!$A$6:$A$105,0)),0))</f>
        <v/>
      </c>
      <c r="L837" s="35" t="str">
        <f aca="false">IF($C837="","",$J837-$K837)</f>
        <v/>
      </c>
      <c r="M837" s="6"/>
      <c r="N837" s="6"/>
      <c r="O837" s="46" t="str">
        <f aca="false">IF($A837="","",DATE(YEAR($A837),MONTH($A837),1))</f>
        <v/>
      </c>
    </row>
    <row r="838" customFormat="false" ht="15" hidden="false" customHeight="false" outlineLevel="0" collapsed="false">
      <c r="A838" s="44"/>
      <c r="B838" s="6"/>
      <c r="C838" s="6"/>
      <c r="D838" s="8" t="str">
        <f aca="false">IF($C838="","",IFERROR(INDEX(PRODUCTOS!$B$6:$B$105,MATCH($C838,PRODUCTOS!$A$6:$A$105,0)),"¿Código?"))</f>
        <v/>
      </c>
      <c r="E838" s="42"/>
      <c r="F838" s="35" t="str">
        <f aca="false">IF($C838="","",IFERROR(INDEX(PRODUCTOS!$D$6:$D$105,MATCH($C838,PRODUCTOS!$A$6:$A$105,0)),0))</f>
        <v/>
      </c>
      <c r="G838" s="40"/>
      <c r="H838" s="35" t="str">
        <f aca="false">IF($C838="","",N($E838)*$F838-N($G838))</f>
        <v/>
      </c>
      <c r="I838" s="35" t="str">
        <f aca="false">IF($C838="","",$H838-$H838/(1+IFERROR(INDEX(PRODUCTOS!$E$6:$E$105,MATCH($C838,PRODUCTOS!$A$6:$A$105,0)),IVA_VENTAS)))</f>
        <v/>
      </c>
      <c r="J838" s="35" t="str">
        <f aca="false">IF($C838="","",$H838-$I838)</f>
        <v/>
      </c>
      <c r="K838" s="35" t="str">
        <f aca="false">IF($C838="","",N($E838)*IFERROR(INDEX(PRODUCTOS!$H$6:$H$105,MATCH($C838,PRODUCTOS!$A$6:$A$105,0)),0))</f>
        <v/>
      </c>
      <c r="L838" s="35" t="str">
        <f aca="false">IF($C838="","",$J838-$K838)</f>
        <v/>
      </c>
      <c r="M838" s="6"/>
      <c r="N838" s="6"/>
      <c r="O838" s="46" t="str">
        <f aca="false">IF($A838="","",DATE(YEAR($A838),MONTH($A838),1))</f>
        <v/>
      </c>
    </row>
    <row r="839" customFormat="false" ht="15" hidden="false" customHeight="false" outlineLevel="0" collapsed="false">
      <c r="A839" s="44"/>
      <c r="B839" s="6"/>
      <c r="C839" s="6"/>
      <c r="D839" s="8" t="str">
        <f aca="false">IF($C839="","",IFERROR(INDEX(PRODUCTOS!$B$6:$B$105,MATCH($C839,PRODUCTOS!$A$6:$A$105,0)),"¿Código?"))</f>
        <v/>
      </c>
      <c r="E839" s="42"/>
      <c r="F839" s="35" t="str">
        <f aca="false">IF($C839="","",IFERROR(INDEX(PRODUCTOS!$D$6:$D$105,MATCH($C839,PRODUCTOS!$A$6:$A$105,0)),0))</f>
        <v/>
      </c>
      <c r="G839" s="40"/>
      <c r="H839" s="35" t="str">
        <f aca="false">IF($C839="","",N($E839)*$F839-N($G839))</f>
        <v/>
      </c>
      <c r="I839" s="35" t="str">
        <f aca="false">IF($C839="","",$H839-$H839/(1+IFERROR(INDEX(PRODUCTOS!$E$6:$E$105,MATCH($C839,PRODUCTOS!$A$6:$A$105,0)),IVA_VENTAS)))</f>
        <v/>
      </c>
      <c r="J839" s="35" t="str">
        <f aca="false">IF($C839="","",$H839-$I839)</f>
        <v/>
      </c>
      <c r="K839" s="35" t="str">
        <f aca="false">IF($C839="","",N($E839)*IFERROR(INDEX(PRODUCTOS!$H$6:$H$105,MATCH($C839,PRODUCTOS!$A$6:$A$105,0)),0))</f>
        <v/>
      </c>
      <c r="L839" s="35" t="str">
        <f aca="false">IF($C839="","",$J839-$K839)</f>
        <v/>
      </c>
      <c r="M839" s="6"/>
      <c r="N839" s="6"/>
      <c r="O839" s="46" t="str">
        <f aca="false">IF($A839="","",DATE(YEAR($A839),MONTH($A839),1))</f>
        <v/>
      </c>
    </row>
    <row r="840" customFormat="false" ht="15" hidden="false" customHeight="false" outlineLevel="0" collapsed="false">
      <c r="A840" s="44"/>
      <c r="B840" s="6"/>
      <c r="C840" s="6"/>
      <c r="D840" s="8" t="str">
        <f aca="false">IF($C840="","",IFERROR(INDEX(PRODUCTOS!$B$6:$B$105,MATCH($C840,PRODUCTOS!$A$6:$A$105,0)),"¿Código?"))</f>
        <v/>
      </c>
      <c r="E840" s="42"/>
      <c r="F840" s="35" t="str">
        <f aca="false">IF($C840="","",IFERROR(INDEX(PRODUCTOS!$D$6:$D$105,MATCH($C840,PRODUCTOS!$A$6:$A$105,0)),0))</f>
        <v/>
      </c>
      <c r="G840" s="40"/>
      <c r="H840" s="35" t="str">
        <f aca="false">IF($C840="","",N($E840)*$F840-N($G840))</f>
        <v/>
      </c>
      <c r="I840" s="35" t="str">
        <f aca="false">IF($C840="","",$H840-$H840/(1+IFERROR(INDEX(PRODUCTOS!$E$6:$E$105,MATCH($C840,PRODUCTOS!$A$6:$A$105,0)),IVA_VENTAS)))</f>
        <v/>
      </c>
      <c r="J840" s="35" t="str">
        <f aca="false">IF($C840="","",$H840-$I840)</f>
        <v/>
      </c>
      <c r="K840" s="35" t="str">
        <f aca="false">IF($C840="","",N($E840)*IFERROR(INDEX(PRODUCTOS!$H$6:$H$105,MATCH($C840,PRODUCTOS!$A$6:$A$105,0)),0))</f>
        <v/>
      </c>
      <c r="L840" s="35" t="str">
        <f aca="false">IF($C840="","",$J840-$K840)</f>
        <v/>
      </c>
      <c r="M840" s="6"/>
      <c r="N840" s="6"/>
      <c r="O840" s="46" t="str">
        <f aca="false">IF($A840="","",DATE(YEAR($A840),MONTH($A840),1))</f>
        <v/>
      </c>
    </row>
    <row r="841" customFormat="false" ht="15" hidden="false" customHeight="false" outlineLevel="0" collapsed="false">
      <c r="A841" s="44"/>
      <c r="B841" s="6"/>
      <c r="C841" s="6"/>
      <c r="D841" s="8" t="str">
        <f aca="false">IF($C841="","",IFERROR(INDEX(PRODUCTOS!$B$6:$B$105,MATCH($C841,PRODUCTOS!$A$6:$A$105,0)),"¿Código?"))</f>
        <v/>
      </c>
      <c r="E841" s="42"/>
      <c r="F841" s="35" t="str">
        <f aca="false">IF($C841="","",IFERROR(INDEX(PRODUCTOS!$D$6:$D$105,MATCH($C841,PRODUCTOS!$A$6:$A$105,0)),0))</f>
        <v/>
      </c>
      <c r="G841" s="40"/>
      <c r="H841" s="35" t="str">
        <f aca="false">IF($C841="","",N($E841)*$F841-N($G841))</f>
        <v/>
      </c>
      <c r="I841" s="35" t="str">
        <f aca="false">IF($C841="","",$H841-$H841/(1+IFERROR(INDEX(PRODUCTOS!$E$6:$E$105,MATCH($C841,PRODUCTOS!$A$6:$A$105,0)),IVA_VENTAS)))</f>
        <v/>
      </c>
      <c r="J841" s="35" t="str">
        <f aca="false">IF($C841="","",$H841-$I841)</f>
        <v/>
      </c>
      <c r="K841" s="35" t="str">
        <f aca="false">IF($C841="","",N($E841)*IFERROR(INDEX(PRODUCTOS!$H$6:$H$105,MATCH($C841,PRODUCTOS!$A$6:$A$105,0)),0))</f>
        <v/>
      </c>
      <c r="L841" s="35" t="str">
        <f aca="false">IF($C841="","",$J841-$K841)</f>
        <v/>
      </c>
      <c r="M841" s="6"/>
      <c r="N841" s="6"/>
      <c r="O841" s="46" t="str">
        <f aca="false">IF($A841="","",DATE(YEAR($A841),MONTH($A841),1))</f>
        <v/>
      </c>
    </row>
    <row r="842" customFormat="false" ht="15" hidden="false" customHeight="false" outlineLevel="0" collapsed="false">
      <c r="A842" s="44"/>
      <c r="B842" s="6"/>
      <c r="C842" s="6"/>
      <c r="D842" s="8" t="str">
        <f aca="false">IF($C842="","",IFERROR(INDEX(PRODUCTOS!$B$6:$B$105,MATCH($C842,PRODUCTOS!$A$6:$A$105,0)),"¿Código?"))</f>
        <v/>
      </c>
      <c r="E842" s="42"/>
      <c r="F842" s="35" t="str">
        <f aca="false">IF($C842="","",IFERROR(INDEX(PRODUCTOS!$D$6:$D$105,MATCH($C842,PRODUCTOS!$A$6:$A$105,0)),0))</f>
        <v/>
      </c>
      <c r="G842" s="40"/>
      <c r="H842" s="35" t="str">
        <f aca="false">IF($C842="","",N($E842)*$F842-N($G842))</f>
        <v/>
      </c>
      <c r="I842" s="35" t="str">
        <f aca="false">IF($C842="","",$H842-$H842/(1+IFERROR(INDEX(PRODUCTOS!$E$6:$E$105,MATCH($C842,PRODUCTOS!$A$6:$A$105,0)),IVA_VENTAS)))</f>
        <v/>
      </c>
      <c r="J842" s="35" t="str">
        <f aca="false">IF($C842="","",$H842-$I842)</f>
        <v/>
      </c>
      <c r="K842" s="35" t="str">
        <f aca="false">IF($C842="","",N($E842)*IFERROR(INDEX(PRODUCTOS!$H$6:$H$105,MATCH($C842,PRODUCTOS!$A$6:$A$105,0)),0))</f>
        <v/>
      </c>
      <c r="L842" s="35" t="str">
        <f aca="false">IF($C842="","",$J842-$K842)</f>
        <v/>
      </c>
      <c r="M842" s="6"/>
      <c r="N842" s="6"/>
      <c r="O842" s="46" t="str">
        <f aca="false">IF($A842="","",DATE(YEAR($A842),MONTH($A842),1))</f>
        <v/>
      </c>
    </row>
    <row r="843" customFormat="false" ht="15" hidden="false" customHeight="false" outlineLevel="0" collapsed="false">
      <c r="A843" s="44"/>
      <c r="B843" s="6"/>
      <c r="C843" s="6"/>
      <c r="D843" s="8" t="str">
        <f aca="false">IF($C843="","",IFERROR(INDEX(PRODUCTOS!$B$6:$B$105,MATCH($C843,PRODUCTOS!$A$6:$A$105,0)),"¿Código?"))</f>
        <v/>
      </c>
      <c r="E843" s="42"/>
      <c r="F843" s="35" t="str">
        <f aca="false">IF($C843="","",IFERROR(INDEX(PRODUCTOS!$D$6:$D$105,MATCH($C843,PRODUCTOS!$A$6:$A$105,0)),0))</f>
        <v/>
      </c>
      <c r="G843" s="40"/>
      <c r="H843" s="35" t="str">
        <f aca="false">IF($C843="","",N($E843)*$F843-N($G843))</f>
        <v/>
      </c>
      <c r="I843" s="35" t="str">
        <f aca="false">IF($C843="","",$H843-$H843/(1+IFERROR(INDEX(PRODUCTOS!$E$6:$E$105,MATCH($C843,PRODUCTOS!$A$6:$A$105,0)),IVA_VENTAS)))</f>
        <v/>
      </c>
      <c r="J843" s="35" t="str">
        <f aca="false">IF($C843="","",$H843-$I843)</f>
        <v/>
      </c>
      <c r="K843" s="35" t="str">
        <f aca="false">IF($C843="","",N($E843)*IFERROR(INDEX(PRODUCTOS!$H$6:$H$105,MATCH($C843,PRODUCTOS!$A$6:$A$105,0)),0))</f>
        <v/>
      </c>
      <c r="L843" s="35" t="str">
        <f aca="false">IF($C843="","",$J843-$K843)</f>
        <v/>
      </c>
      <c r="M843" s="6"/>
      <c r="N843" s="6"/>
      <c r="O843" s="46" t="str">
        <f aca="false">IF($A843="","",DATE(YEAR($A843),MONTH($A843),1))</f>
        <v/>
      </c>
    </row>
    <row r="844" customFormat="false" ht="15" hidden="false" customHeight="false" outlineLevel="0" collapsed="false">
      <c r="A844" s="44"/>
      <c r="B844" s="6"/>
      <c r="C844" s="6"/>
      <c r="D844" s="8" t="str">
        <f aca="false">IF($C844="","",IFERROR(INDEX(PRODUCTOS!$B$6:$B$105,MATCH($C844,PRODUCTOS!$A$6:$A$105,0)),"¿Código?"))</f>
        <v/>
      </c>
      <c r="E844" s="42"/>
      <c r="F844" s="35" t="str">
        <f aca="false">IF($C844="","",IFERROR(INDEX(PRODUCTOS!$D$6:$D$105,MATCH($C844,PRODUCTOS!$A$6:$A$105,0)),0))</f>
        <v/>
      </c>
      <c r="G844" s="40"/>
      <c r="H844" s="35" t="str">
        <f aca="false">IF($C844="","",N($E844)*$F844-N($G844))</f>
        <v/>
      </c>
      <c r="I844" s="35" t="str">
        <f aca="false">IF($C844="","",$H844-$H844/(1+IFERROR(INDEX(PRODUCTOS!$E$6:$E$105,MATCH($C844,PRODUCTOS!$A$6:$A$105,0)),IVA_VENTAS)))</f>
        <v/>
      </c>
      <c r="J844" s="35" t="str">
        <f aca="false">IF($C844="","",$H844-$I844)</f>
        <v/>
      </c>
      <c r="K844" s="35" t="str">
        <f aca="false">IF($C844="","",N($E844)*IFERROR(INDEX(PRODUCTOS!$H$6:$H$105,MATCH($C844,PRODUCTOS!$A$6:$A$105,0)),0))</f>
        <v/>
      </c>
      <c r="L844" s="35" t="str">
        <f aca="false">IF($C844="","",$J844-$K844)</f>
        <v/>
      </c>
      <c r="M844" s="6"/>
      <c r="N844" s="6"/>
      <c r="O844" s="46" t="str">
        <f aca="false">IF($A844="","",DATE(YEAR($A844),MONTH($A844),1))</f>
        <v/>
      </c>
    </row>
    <row r="845" customFormat="false" ht="15" hidden="false" customHeight="false" outlineLevel="0" collapsed="false">
      <c r="A845" s="44"/>
      <c r="B845" s="6"/>
      <c r="C845" s="6"/>
      <c r="D845" s="8" t="str">
        <f aca="false">IF($C845="","",IFERROR(INDEX(PRODUCTOS!$B$6:$B$105,MATCH($C845,PRODUCTOS!$A$6:$A$105,0)),"¿Código?"))</f>
        <v/>
      </c>
      <c r="E845" s="42"/>
      <c r="F845" s="35" t="str">
        <f aca="false">IF($C845="","",IFERROR(INDEX(PRODUCTOS!$D$6:$D$105,MATCH($C845,PRODUCTOS!$A$6:$A$105,0)),0))</f>
        <v/>
      </c>
      <c r="G845" s="40"/>
      <c r="H845" s="35" t="str">
        <f aca="false">IF($C845="","",N($E845)*$F845-N($G845))</f>
        <v/>
      </c>
      <c r="I845" s="35" t="str">
        <f aca="false">IF($C845="","",$H845-$H845/(1+IFERROR(INDEX(PRODUCTOS!$E$6:$E$105,MATCH($C845,PRODUCTOS!$A$6:$A$105,0)),IVA_VENTAS)))</f>
        <v/>
      </c>
      <c r="J845" s="35" t="str">
        <f aca="false">IF($C845="","",$H845-$I845)</f>
        <v/>
      </c>
      <c r="K845" s="35" t="str">
        <f aca="false">IF($C845="","",N($E845)*IFERROR(INDEX(PRODUCTOS!$H$6:$H$105,MATCH($C845,PRODUCTOS!$A$6:$A$105,0)),0))</f>
        <v/>
      </c>
      <c r="L845" s="35" t="str">
        <f aca="false">IF($C845="","",$J845-$K845)</f>
        <v/>
      </c>
      <c r="M845" s="6"/>
      <c r="N845" s="6"/>
      <c r="O845" s="46" t="str">
        <f aca="false">IF($A845="","",DATE(YEAR($A845),MONTH($A845),1))</f>
        <v/>
      </c>
    </row>
    <row r="846" customFormat="false" ht="15" hidden="false" customHeight="false" outlineLevel="0" collapsed="false">
      <c r="A846" s="44"/>
      <c r="B846" s="6"/>
      <c r="C846" s="6"/>
      <c r="D846" s="8" t="str">
        <f aca="false">IF($C846="","",IFERROR(INDEX(PRODUCTOS!$B$6:$B$105,MATCH($C846,PRODUCTOS!$A$6:$A$105,0)),"¿Código?"))</f>
        <v/>
      </c>
      <c r="E846" s="42"/>
      <c r="F846" s="35" t="str">
        <f aca="false">IF($C846="","",IFERROR(INDEX(PRODUCTOS!$D$6:$D$105,MATCH($C846,PRODUCTOS!$A$6:$A$105,0)),0))</f>
        <v/>
      </c>
      <c r="G846" s="40"/>
      <c r="H846" s="35" t="str">
        <f aca="false">IF($C846="","",N($E846)*$F846-N($G846))</f>
        <v/>
      </c>
      <c r="I846" s="35" t="str">
        <f aca="false">IF($C846="","",$H846-$H846/(1+IFERROR(INDEX(PRODUCTOS!$E$6:$E$105,MATCH($C846,PRODUCTOS!$A$6:$A$105,0)),IVA_VENTAS)))</f>
        <v/>
      </c>
      <c r="J846" s="35" t="str">
        <f aca="false">IF($C846="","",$H846-$I846)</f>
        <v/>
      </c>
      <c r="K846" s="35" t="str">
        <f aca="false">IF($C846="","",N($E846)*IFERROR(INDEX(PRODUCTOS!$H$6:$H$105,MATCH($C846,PRODUCTOS!$A$6:$A$105,0)),0))</f>
        <v/>
      </c>
      <c r="L846" s="35" t="str">
        <f aca="false">IF($C846="","",$J846-$K846)</f>
        <v/>
      </c>
      <c r="M846" s="6"/>
      <c r="N846" s="6"/>
      <c r="O846" s="46" t="str">
        <f aca="false">IF($A846="","",DATE(YEAR($A846),MONTH($A846),1))</f>
        <v/>
      </c>
    </row>
    <row r="847" customFormat="false" ht="15" hidden="false" customHeight="false" outlineLevel="0" collapsed="false">
      <c r="A847" s="44"/>
      <c r="B847" s="6"/>
      <c r="C847" s="6"/>
      <c r="D847" s="8" t="str">
        <f aca="false">IF($C847="","",IFERROR(INDEX(PRODUCTOS!$B$6:$B$105,MATCH($C847,PRODUCTOS!$A$6:$A$105,0)),"¿Código?"))</f>
        <v/>
      </c>
      <c r="E847" s="42"/>
      <c r="F847" s="35" t="str">
        <f aca="false">IF($C847="","",IFERROR(INDEX(PRODUCTOS!$D$6:$D$105,MATCH($C847,PRODUCTOS!$A$6:$A$105,0)),0))</f>
        <v/>
      </c>
      <c r="G847" s="40"/>
      <c r="H847" s="35" t="str">
        <f aca="false">IF($C847="","",N($E847)*$F847-N($G847))</f>
        <v/>
      </c>
      <c r="I847" s="35" t="str">
        <f aca="false">IF($C847="","",$H847-$H847/(1+IFERROR(INDEX(PRODUCTOS!$E$6:$E$105,MATCH($C847,PRODUCTOS!$A$6:$A$105,0)),IVA_VENTAS)))</f>
        <v/>
      </c>
      <c r="J847" s="35" t="str">
        <f aca="false">IF($C847="","",$H847-$I847)</f>
        <v/>
      </c>
      <c r="K847" s="35" t="str">
        <f aca="false">IF($C847="","",N($E847)*IFERROR(INDEX(PRODUCTOS!$H$6:$H$105,MATCH($C847,PRODUCTOS!$A$6:$A$105,0)),0))</f>
        <v/>
      </c>
      <c r="L847" s="35" t="str">
        <f aca="false">IF($C847="","",$J847-$K847)</f>
        <v/>
      </c>
      <c r="M847" s="6"/>
      <c r="N847" s="6"/>
      <c r="O847" s="46" t="str">
        <f aca="false">IF($A847="","",DATE(YEAR($A847),MONTH($A847),1))</f>
        <v/>
      </c>
    </row>
    <row r="848" customFormat="false" ht="15" hidden="false" customHeight="false" outlineLevel="0" collapsed="false">
      <c r="A848" s="44"/>
      <c r="B848" s="6"/>
      <c r="C848" s="6"/>
      <c r="D848" s="8" t="str">
        <f aca="false">IF($C848="","",IFERROR(INDEX(PRODUCTOS!$B$6:$B$105,MATCH($C848,PRODUCTOS!$A$6:$A$105,0)),"¿Código?"))</f>
        <v/>
      </c>
      <c r="E848" s="42"/>
      <c r="F848" s="35" t="str">
        <f aca="false">IF($C848="","",IFERROR(INDEX(PRODUCTOS!$D$6:$D$105,MATCH($C848,PRODUCTOS!$A$6:$A$105,0)),0))</f>
        <v/>
      </c>
      <c r="G848" s="40"/>
      <c r="H848" s="35" t="str">
        <f aca="false">IF($C848="","",N($E848)*$F848-N($G848))</f>
        <v/>
      </c>
      <c r="I848" s="35" t="str">
        <f aca="false">IF($C848="","",$H848-$H848/(1+IFERROR(INDEX(PRODUCTOS!$E$6:$E$105,MATCH($C848,PRODUCTOS!$A$6:$A$105,0)),IVA_VENTAS)))</f>
        <v/>
      </c>
      <c r="J848" s="35" t="str">
        <f aca="false">IF($C848="","",$H848-$I848)</f>
        <v/>
      </c>
      <c r="K848" s="35" t="str">
        <f aca="false">IF($C848="","",N($E848)*IFERROR(INDEX(PRODUCTOS!$H$6:$H$105,MATCH($C848,PRODUCTOS!$A$6:$A$105,0)),0))</f>
        <v/>
      </c>
      <c r="L848" s="35" t="str">
        <f aca="false">IF($C848="","",$J848-$K848)</f>
        <v/>
      </c>
      <c r="M848" s="6"/>
      <c r="N848" s="6"/>
      <c r="O848" s="46" t="str">
        <f aca="false">IF($A848="","",DATE(YEAR($A848),MONTH($A848),1))</f>
        <v/>
      </c>
    </row>
    <row r="849" customFormat="false" ht="15" hidden="false" customHeight="false" outlineLevel="0" collapsed="false">
      <c r="A849" s="44"/>
      <c r="B849" s="6"/>
      <c r="C849" s="6"/>
      <c r="D849" s="8" t="str">
        <f aca="false">IF($C849="","",IFERROR(INDEX(PRODUCTOS!$B$6:$B$105,MATCH($C849,PRODUCTOS!$A$6:$A$105,0)),"¿Código?"))</f>
        <v/>
      </c>
      <c r="E849" s="42"/>
      <c r="F849" s="35" t="str">
        <f aca="false">IF($C849="","",IFERROR(INDEX(PRODUCTOS!$D$6:$D$105,MATCH($C849,PRODUCTOS!$A$6:$A$105,0)),0))</f>
        <v/>
      </c>
      <c r="G849" s="40"/>
      <c r="H849" s="35" t="str">
        <f aca="false">IF($C849="","",N($E849)*$F849-N($G849))</f>
        <v/>
      </c>
      <c r="I849" s="35" t="str">
        <f aca="false">IF($C849="","",$H849-$H849/(1+IFERROR(INDEX(PRODUCTOS!$E$6:$E$105,MATCH($C849,PRODUCTOS!$A$6:$A$105,0)),IVA_VENTAS)))</f>
        <v/>
      </c>
      <c r="J849" s="35" t="str">
        <f aca="false">IF($C849="","",$H849-$I849)</f>
        <v/>
      </c>
      <c r="K849" s="35" t="str">
        <f aca="false">IF($C849="","",N($E849)*IFERROR(INDEX(PRODUCTOS!$H$6:$H$105,MATCH($C849,PRODUCTOS!$A$6:$A$105,0)),0))</f>
        <v/>
      </c>
      <c r="L849" s="35" t="str">
        <f aca="false">IF($C849="","",$J849-$K849)</f>
        <v/>
      </c>
      <c r="M849" s="6"/>
      <c r="N849" s="6"/>
      <c r="O849" s="46" t="str">
        <f aca="false">IF($A849="","",DATE(YEAR($A849),MONTH($A849),1))</f>
        <v/>
      </c>
    </row>
    <row r="850" customFormat="false" ht="15" hidden="false" customHeight="false" outlineLevel="0" collapsed="false">
      <c r="A850" s="44"/>
      <c r="B850" s="6"/>
      <c r="C850" s="6"/>
      <c r="D850" s="8" t="str">
        <f aca="false">IF($C850="","",IFERROR(INDEX(PRODUCTOS!$B$6:$B$105,MATCH($C850,PRODUCTOS!$A$6:$A$105,0)),"¿Código?"))</f>
        <v/>
      </c>
      <c r="E850" s="42"/>
      <c r="F850" s="35" t="str">
        <f aca="false">IF($C850="","",IFERROR(INDEX(PRODUCTOS!$D$6:$D$105,MATCH($C850,PRODUCTOS!$A$6:$A$105,0)),0))</f>
        <v/>
      </c>
      <c r="G850" s="40"/>
      <c r="H850" s="35" t="str">
        <f aca="false">IF($C850="","",N($E850)*$F850-N($G850))</f>
        <v/>
      </c>
      <c r="I850" s="35" t="str">
        <f aca="false">IF($C850="","",$H850-$H850/(1+IFERROR(INDEX(PRODUCTOS!$E$6:$E$105,MATCH($C850,PRODUCTOS!$A$6:$A$105,0)),IVA_VENTAS)))</f>
        <v/>
      </c>
      <c r="J850" s="35" t="str">
        <f aca="false">IF($C850="","",$H850-$I850)</f>
        <v/>
      </c>
      <c r="K850" s="35" t="str">
        <f aca="false">IF($C850="","",N($E850)*IFERROR(INDEX(PRODUCTOS!$H$6:$H$105,MATCH($C850,PRODUCTOS!$A$6:$A$105,0)),0))</f>
        <v/>
      </c>
      <c r="L850" s="35" t="str">
        <f aca="false">IF($C850="","",$J850-$K850)</f>
        <v/>
      </c>
      <c r="M850" s="6"/>
      <c r="N850" s="6"/>
      <c r="O850" s="46" t="str">
        <f aca="false">IF($A850="","",DATE(YEAR($A850),MONTH($A850),1))</f>
        <v/>
      </c>
    </row>
    <row r="851" customFormat="false" ht="15" hidden="false" customHeight="false" outlineLevel="0" collapsed="false">
      <c r="A851" s="44"/>
      <c r="B851" s="6"/>
      <c r="C851" s="6"/>
      <c r="D851" s="8" t="str">
        <f aca="false">IF($C851="","",IFERROR(INDEX(PRODUCTOS!$B$6:$B$105,MATCH($C851,PRODUCTOS!$A$6:$A$105,0)),"¿Código?"))</f>
        <v/>
      </c>
      <c r="E851" s="42"/>
      <c r="F851" s="35" t="str">
        <f aca="false">IF($C851="","",IFERROR(INDEX(PRODUCTOS!$D$6:$D$105,MATCH($C851,PRODUCTOS!$A$6:$A$105,0)),0))</f>
        <v/>
      </c>
      <c r="G851" s="40"/>
      <c r="H851" s="35" t="str">
        <f aca="false">IF($C851="","",N($E851)*$F851-N($G851))</f>
        <v/>
      </c>
      <c r="I851" s="35" t="str">
        <f aca="false">IF($C851="","",$H851-$H851/(1+IFERROR(INDEX(PRODUCTOS!$E$6:$E$105,MATCH($C851,PRODUCTOS!$A$6:$A$105,0)),IVA_VENTAS)))</f>
        <v/>
      </c>
      <c r="J851" s="35" t="str">
        <f aca="false">IF($C851="","",$H851-$I851)</f>
        <v/>
      </c>
      <c r="K851" s="35" t="str">
        <f aca="false">IF($C851="","",N($E851)*IFERROR(INDEX(PRODUCTOS!$H$6:$H$105,MATCH($C851,PRODUCTOS!$A$6:$A$105,0)),0))</f>
        <v/>
      </c>
      <c r="L851" s="35" t="str">
        <f aca="false">IF($C851="","",$J851-$K851)</f>
        <v/>
      </c>
      <c r="M851" s="6"/>
      <c r="N851" s="6"/>
      <c r="O851" s="46" t="str">
        <f aca="false">IF($A851="","",DATE(YEAR($A851),MONTH($A851),1))</f>
        <v/>
      </c>
    </row>
    <row r="852" customFormat="false" ht="15" hidden="false" customHeight="false" outlineLevel="0" collapsed="false">
      <c r="A852" s="44"/>
      <c r="B852" s="6"/>
      <c r="C852" s="6"/>
      <c r="D852" s="8" t="str">
        <f aca="false">IF($C852="","",IFERROR(INDEX(PRODUCTOS!$B$6:$B$105,MATCH($C852,PRODUCTOS!$A$6:$A$105,0)),"¿Código?"))</f>
        <v/>
      </c>
      <c r="E852" s="42"/>
      <c r="F852" s="35" t="str">
        <f aca="false">IF($C852="","",IFERROR(INDEX(PRODUCTOS!$D$6:$D$105,MATCH($C852,PRODUCTOS!$A$6:$A$105,0)),0))</f>
        <v/>
      </c>
      <c r="G852" s="40"/>
      <c r="H852" s="35" t="str">
        <f aca="false">IF($C852="","",N($E852)*$F852-N($G852))</f>
        <v/>
      </c>
      <c r="I852" s="35" t="str">
        <f aca="false">IF($C852="","",$H852-$H852/(1+IFERROR(INDEX(PRODUCTOS!$E$6:$E$105,MATCH($C852,PRODUCTOS!$A$6:$A$105,0)),IVA_VENTAS)))</f>
        <v/>
      </c>
      <c r="J852" s="35" t="str">
        <f aca="false">IF($C852="","",$H852-$I852)</f>
        <v/>
      </c>
      <c r="K852" s="35" t="str">
        <f aca="false">IF($C852="","",N($E852)*IFERROR(INDEX(PRODUCTOS!$H$6:$H$105,MATCH($C852,PRODUCTOS!$A$6:$A$105,0)),0))</f>
        <v/>
      </c>
      <c r="L852" s="35" t="str">
        <f aca="false">IF($C852="","",$J852-$K852)</f>
        <v/>
      </c>
      <c r="M852" s="6"/>
      <c r="N852" s="6"/>
      <c r="O852" s="46" t="str">
        <f aca="false">IF($A852="","",DATE(YEAR($A852),MONTH($A852),1))</f>
        <v/>
      </c>
    </row>
    <row r="853" customFormat="false" ht="15" hidden="false" customHeight="false" outlineLevel="0" collapsed="false">
      <c r="A853" s="44"/>
      <c r="B853" s="6"/>
      <c r="C853" s="6"/>
      <c r="D853" s="8" t="str">
        <f aca="false">IF($C853="","",IFERROR(INDEX(PRODUCTOS!$B$6:$B$105,MATCH($C853,PRODUCTOS!$A$6:$A$105,0)),"¿Código?"))</f>
        <v/>
      </c>
      <c r="E853" s="42"/>
      <c r="F853" s="35" t="str">
        <f aca="false">IF($C853="","",IFERROR(INDEX(PRODUCTOS!$D$6:$D$105,MATCH($C853,PRODUCTOS!$A$6:$A$105,0)),0))</f>
        <v/>
      </c>
      <c r="G853" s="40"/>
      <c r="H853" s="35" t="str">
        <f aca="false">IF($C853="","",N($E853)*$F853-N($G853))</f>
        <v/>
      </c>
      <c r="I853" s="35" t="str">
        <f aca="false">IF($C853="","",$H853-$H853/(1+IFERROR(INDEX(PRODUCTOS!$E$6:$E$105,MATCH($C853,PRODUCTOS!$A$6:$A$105,0)),IVA_VENTAS)))</f>
        <v/>
      </c>
      <c r="J853" s="35" t="str">
        <f aca="false">IF($C853="","",$H853-$I853)</f>
        <v/>
      </c>
      <c r="K853" s="35" t="str">
        <f aca="false">IF($C853="","",N($E853)*IFERROR(INDEX(PRODUCTOS!$H$6:$H$105,MATCH($C853,PRODUCTOS!$A$6:$A$105,0)),0))</f>
        <v/>
      </c>
      <c r="L853" s="35" t="str">
        <f aca="false">IF($C853="","",$J853-$K853)</f>
        <v/>
      </c>
      <c r="M853" s="6"/>
      <c r="N853" s="6"/>
      <c r="O853" s="46" t="str">
        <f aca="false">IF($A853="","",DATE(YEAR($A853),MONTH($A853),1))</f>
        <v/>
      </c>
    </row>
    <row r="854" customFormat="false" ht="15" hidden="false" customHeight="false" outlineLevel="0" collapsed="false">
      <c r="A854" s="44"/>
      <c r="B854" s="6"/>
      <c r="C854" s="6"/>
      <c r="D854" s="8" t="str">
        <f aca="false">IF($C854="","",IFERROR(INDEX(PRODUCTOS!$B$6:$B$105,MATCH($C854,PRODUCTOS!$A$6:$A$105,0)),"¿Código?"))</f>
        <v/>
      </c>
      <c r="E854" s="42"/>
      <c r="F854" s="35" t="str">
        <f aca="false">IF($C854="","",IFERROR(INDEX(PRODUCTOS!$D$6:$D$105,MATCH($C854,PRODUCTOS!$A$6:$A$105,0)),0))</f>
        <v/>
      </c>
      <c r="G854" s="40"/>
      <c r="H854" s="35" t="str">
        <f aca="false">IF($C854="","",N($E854)*$F854-N($G854))</f>
        <v/>
      </c>
      <c r="I854" s="35" t="str">
        <f aca="false">IF($C854="","",$H854-$H854/(1+IFERROR(INDEX(PRODUCTOS!$E$6:$E$105,MATCH($C854,PRODUCTOS!$A$6:$A$105,0)),IVA_VENTAS)))</f>
        <v/>
      </c>
      <c r="J854" s="35" t="str">
        <f aca="false">IF($C854="","",$H854-$I854)</f>
        <v/>
      </c>
      <c r="K854" s="35" t="str">
        <f aca="false">IF($C854="","",N($E854)*IFERROR(INDEX(PRODUCTOS!$H$6:$H$105,MATCH($C854,PRODUCTOS!$A$6:$A$105,0)),0))</f>
        <v/>
      </c>
      <c r="L854" s="35" t="str">
        <f aca="false">IF($C854="","",$J854-$K854)</f>
        <v/>
      </c>
      <c r="M854" s="6"/>
      <c r="N854" s="6"/>
      <c r="O854" s="46" t="str">
        <f aca="false">IF($A854="","",DATE(YEAR($A854),MONTH($A854),1))</f>
        <v/>
      </c>
    </row>
    <row r="855" customFormat="false" ht="15" hidden="false" customHeight="false" outlineLevel="0" collapsed="false">
      <c r="A855" s="44"/>
      <c r="B855" s="6"/>
      <c r="C855" s="6"/>
      <c r="D855" s="8" t="str">
        <f aca="false">IF($C855="","",IFERROR(INDEX(PRODUCTOS!$B$6:$B$105,MATCH($C855,PRODUCTOS!$A$6:$A$105,0)),"¿Código?"))</f>
        <v/>
      </c>
      <c r="E855" s="42"/>
      <c r="F855" s="35" t="str">
        <f aca="false">IF($C855="","",IFERROR(INDEX(PRODUCTOS!$D$6:$D$105,MATCH($C855,PRODUCTOS!$A$6:$A$105,0)),0))</f>
        <v/>
      </c>
      <c r="G855" s="40"/>
      <c r="H855" s="35" t="str">
        <f aca="false">IF($C855="","",N($E855)*$F855-N($G855))</f>
        <v/>
      </c>
      <c r="I855" s="35" t="str">
        <f aca="false">IF($C855="","",$H855-$H855/(1+IFERROR(INDEX(PRODUCTOS!$E$6:$E$105,MATCH($C855,PRODUCTOS!$A$6:$A$105,0)),IVA_VENTAS)))</f>
        <v/>
      </c>
      <c r="J855" s="35" t="str">
        <f aca="false">IF($C855="","",$H855-$I855)</f>
        <v/>
      </c>
      <c r="K855" s="35" t="str">
        <f aca="false">IF($C855="","",N($E855)*IFERROR(INDEX(PRODUCTOS!$H$6:$H$105,MATCH($C855,PRODUCTOS!$A$6:$A$105,0)),0))</f>
        <v/>
      </c>
      <c r="L855" s="35" t="str">
        <f aca="false">IF($C855="","",$J855-$K855)</f>
        <v/>
      </c>
      <c r="M855" s="6"/>
      <c r="N855" s="6"/>
      <c r="O855" s="46" t="str">
        <f aca="false">IF($A855="","",DATE(YEAR($A855),MONTH($A855),1))</f>
        <v/>
      </c>
    </row>
    <row r="856" customFormat="false" ht="15" hidden="false" customHeight="false" outlineLevel="0" collapsed="false">
      <c r="A856" s="44"/>
      <c r="B856" s="6"/>
      <c r="C856" s="6"/>
      <c r="D856" s="8" t="str">
        <f aca="false">IF($C856="","",IFERROR(INDEX(PRODUCTOS!$B$6:$B$105,MATCH($C856,PRODUCTOS!$A$6:$A$105,0)),"¿Código?"))</f>
        <v/>
      </c>
      <c r="E856" s="42"/>
      <c r="F856" s="35" t="str">
        <f aca="false">IF($C856="","",IFERROR(INDEX(PRODUCTOS!$D$6:$D$105,MATCH($C856,PRODUCTOS!$A$6:$A$105,0)),0))</f>
        <v/>
      </c>
      <c r="G856" s="40"/>
      <c r="H856" s="35" t="str">
        <f aca="false">IF($C856="","",N($E856)*$F856-N($G856))</f>
        <v/>
      </c>
      <c r="I856" s="35" t="str">
        <f aca="false">IF($C856="","",$H856-$H856/(1+IFERROR(INDEX(PRODUCTOS!$E$6:$E$105,MATCH($C856,PRODUCTOS!$A$6:$A$105,0)),IVA_VENTAS)))</f>
        <v/>
      </c>
      <c r="J856" s="35" t="str">
        <f aca="false">IF($C856="","",$H856-$I856)</f>
        <v/>
      </c>
      <c r="K856" s="35" t="str">
        <f aca="false">IF($C856="","",N($E856)*IFERROR(INDEX(PRODUCTOS!$H$6:$H$105,MATCH($C856,PRODUCTOS!$A$6:$A$105,0)),0))</f>
        <v/>
      </c>
      <c r="L856" s="35" t="str">
        <f aca="false">IF($C856="","",$J856-$K856)</f>
        <v/>
      </c>
      <c r="M856" s="6"/>
      <c r="N856" s="6"/>
      <c r="O856" s="46" t="str">
        <f aca="false">IF($A856="","",DATE(YEAR($A856),MONTH($A856),1))</f>
        <v/>
      </c>
    </row>
    <row r="857" customFormat="false" ht="15" hidden="false" customHeight="false" outlineLevel="0" collapsed="false">
      <c r="A857" s="44"/>
      <c r="B857" s="6"/>
      <c r="C857" s="6"/>
      <c r="D857" s="8" t="str">
        <f aca="false">IF($C857="","",IFERROR(INDEX(PRODUCTOS!$B$6:$B$105,MATCH($C857,PRODUCTOS!$A$6:$A$105,0)),"¿Código?"))</f>
        <v/>
      </c>
      <c r="E857" s="42"/>
      <c r="F857" s="35" t="str">
        <f aca="false">IF($C857="","",IFERROR(INDEX(PRODUCTOS!$D$6:$D$105,MATCH($C857,PRODUCTOS!$A$6:$A$105,0)),0))</f>
        <v/>
      </c>
      <c r="G857" s="40"/>
      <c r="H857" s="35" t="str">
        <f aca="false">IF($C857="","",N($E857)*$F857-N($G857))</f>
        <v/>
      </c>
      <c r="I857" s="35" t="str">
        <f aca="false">IF($C857="","",$H857-$H857/(1+IFERROR(INDEX(PRODUCTOS!$E$6:$E$105,MATCH($C857,PRODUCTOS!$A$6:$A$105,0)),IVA_VENTAS)))</f>
        <v/>
      </c>
      <c r="J857" s="35" t="str">
        <f aca="false">IF($C857="","",$H857-$I857)</f>
        <v/>
      </c>
      <c r="K857" s="35" t="str">
        <f aca="false">IF($C857="","",N($E857)*IFERROR(INDEX(PRODUCTOS!$H$6:$H$105,MATCH($C857,PRODUCTOS!$A$6:$A$105,0)),0))</f>
        <v/>
      </c>
      <c r="L857" s="35" t="str">
        <f aca="false">IF($C857="","",$J857-$K857)</f>
        <v/>
      </c>
      <c r="M857" s="6"/>
      <c r="N857" s="6"/>
      <c r="O857" s="46" t="str">
        <f aca="false">IF($A857="","",DATE(YEAR($A857),MONTH($A857),1))</f>
        <v/>
      </c>
    </row>
    <row r="858" customFormat="false" ht="15" hidden="false" customHeight="false" outlineLevel="0" collapsed="false">
      <c r="A858" s="44"/>
      <c r="B858" s="6"/>
      <c r="C858" s="6"/>
      <c r="D858" s="8" t="str">
        <f aca="false">IF($C858="","",IFERROR(INDEX(PRODUCTOS!$B$6:$B$105,MATCH($C858,PRODUCTOS!$A$6:$A$105,0)),"¿Código?"))</f>
        <v/>
      </c>
      <c r="E858" s="42"/>
      <c r="F858" s="35" t="str">
        <f aca="false">IF($C858="","",IFERROR(INDEX(PRODUCTOS!$D$6:$D$105,MATCH($C858,PRODUCTOS!$A$6:$A$105,0)),0))</f>
        <v/>
      </c>
      <c r="G858" s="40"/>
      <c r="H858" s="35" t="str">
        <f aca="false">IF($C858="","",N($E858)*$F858-N($G858))</f>
        <v/>
      </c>
      <c r="I858" s="35" t="str">
        <f aca="false">IF($C858="","",$H858-$H858/(1+IFERROR(INDEX(PRODUCTOS!$E$6:$E$105,MATCH($C858,PRODUCTOS!$A$6:$A$105,0)),IVA_VENTAS)))</f>
        <v/>
      </c>
      <c r="J858" s="35" t="str">
        <f aca="false">IF($C858="","",$H858-$I858)</f>
        <v/>
      </c>
      <c r="K858" s="35" t="str">
        <f aca="false">IF($C858="","",N($E858)*IFERROR(INDEX(PRODUCTOS!$H$6:$H$105,MATCH($C858,PRODUCTOS!$A$6:$A$105,0)),0))</f>
        <v/>
      </c>
      <c r="L858" s="35" t="str">
        <f aca="false">IF($C858="","",$J858-$K858)</f>
        <v/>
      </c>
      <c r="M858" s="6"/>
      <c r="N858" s="6"/>
      <c r="O858" s="46" t="str">
        <f aca="false">IF($A858="","",DATE(YEAR($A858),MONTH($A858),1))</f>
        <v/>
      </c>
    </row>
    <row r="859" customFormat="false" ht="15" hidden="false" customHeight="false" outlineLevel="0" collapsed="false">
      <c r="A859" s="44"/>
      <c r="B859" s="6"/>
      <c r="C859" s="6"/>
      <c r="D859" s="8" t="str">
        <f aca="false">IF($C859="","",IFERROR(INDEX(PRODUCTOS!$B$6:$B$105,MATCH($C859,PRODUCTOS!$A$6:$A$105,0)),"¿Código?"))</f>
        <v/>
      </c>
      <c r="E859" s="42"/>
      <c r="F859" s="35" t="str">
        <f aca="false">IF($C859="","",IFERROR(INDEX(PRODUCTOS!$D$6:$D$105,MATCH($C859,PRODUCTOS!$A$6:$A$105,0)),0))</f>
        <v/>
      </c>
      <c r="G859" s="40"/>
      <c r="H859" s="35" t="str">
        <f aca="false">IF($C859="","",N($E859)*$F859-N($G859))</f>
        <v/>
      </c>
      <c r="I859" s="35" t="str">
        <f aca="false">IF($C859="","",$H859-$H859/(1+IFERROR(INDEX(PRODUCTOS!$E$6:$E$105,MATCH($C859,PRODUCTOS!$A$6:$A$105,0)),IVA_VENTAS)))</f>
        <v/>
      </c>
      <c r="J859" s="35" t="str">
        <f aca="false">IF($C859="","",$H859-$I859)</f>
        <v/>
      </c>
      <c r="K859" s="35" t="str">
        <f aca="false">IF($C859="","",N($E859)*IFERROR(INDEX(PRODUCTOS!$H$6:$H$105,MATCH($C859,PRODUCTOS!$A$6:$A$105,0)),0))</f>
        <v/>
      </c>
      <c r="L859" s="35" t="str">
        <f aca="false">IF($C859="","",$J859-$K859)</f>
        <v/>
      </c>
      <c r="M859" s="6"/>
      <c r="N859" s="6"/>
      <c r="O859" s="46" t="str">
        <f aca="false">IF($A859="","",DATE(YEAR($A859),MONTH($A859),1))</f>
        <v/>
      </c>
    </row>
    <row r="860" customFormat="false" ht="15" hidden="false" customHeight="false" outlineLevel="0" collapsed="false">
      <c r="A860" s="44"/>
      <c r="B860" s="6"/>
      <c r="C860" s="6"/>
      <c r="D860" s="8" t="str">
        <f aca="false">IF($C860="","",IFERROR(INDEX(PRODUCTOS!$B$6:$B$105,MATCH($C860,PRODUCTOS!$A$6:$A$105,0)),"¿Código?"))</f>
        <v/>
      </c>
      <c r="E860" s="42"/>
      <c r="F860" s="35" t="str">
        <f aca="false">IF($C860="","",IFERROR(INDEX(PRODUCTOS!$D$6:$D$105,MATCH($C860,PRODUCTOS!$A$6:$A$105,0)),0))</f>
        <v/>
      </c>
      <c r="G860" s="40"/>
      <c r="H860" s="35" t="str">
        <f aca="false">IF($C860="","",N($E860)*$F860-N($G860))</f>
        <v/>
      </c>
      <c r="I860" s="35" t="str">
        <f aca="false">IF($C860="","",$H860-$H860/(1+IFERROR(INDEX(PRODUCTOS!$E$6:$E$105,MATCH($C860,PRODUCTOS!$A$6:$A$105,0)),IVA_VENTAS)))</f>
        <v/>
      </c>
      <c r="J860" s="35" t="str">
        <f aca="false">IF($C860="","",$H860-$I860)</f>
        <v/>
      </c>
      <c r="K860" s="35" t="str">
        <f aca="false">IF($C860="","",N($E860)*IFERROR(INDEX(PRODUCTOS!$H$6:$H$105,MATCH($C860,PRODUCTOS!$A$6:$A$105,0)),0))</f>
        <v/>
      </c>
      <c r="L860" s="35" t="str">
        <f aca="false">IF($C860="","",$J860-$K860)</f>
        <v/>
      </c>
      <c r="M860" s="6"/>
      <c r="N860" s="6"/>
      <c r="O860" s="46" t="str">
        <f aca="false">IF($A860="","",DATE(YEAR($A860),MONTH($A860),1))</f>
        <v/>
      </c>
    </row>
    <row r="861" customFormat="false" ht="15" hidden="false" customHeight="false" outlineLevel="0" collapsed="false">
      <c r="A861" s="44"/>
      <c r="B861" s="6"/>
      <c r="C861" s="6"/>
      <c r="D861" s="8" t="str">
        <f aca="false">IF($C861="","",IFERROR(INDEX(PRODUCTOS!$B$6:$B$105,MATCH($C861,PRODUCTOS!$A$6:$A$105,0)),"¿Código?"))</f>
        <v/>
      </c>
      <c r="E861" s="42"/>
      <c r="F861" s="35" t="str">
        <f aca="false">IF($C861="","",IFERROR(INDEX(PRODUCTOS!$D$6:$D$105,MATCH($C861,PRODUCTOS!$A$6:$A$105,0)),0))</f>
        <v/>
      </c>
      <c r="G861" s="40"/>
      <c r="H861" s="35" t="str">
        <f aca="false">IF($C861="","",N($E861)*$F861-N($G861))</f>
        <v/>
      </c>
      <c r="I861" s="35" t="str">
        <f aca="false">IF($C861="","",$H861-$H861/(1+IFERROR(INDEX(PRODUCTOS!$E$6:$E$105,MATCH($C861,PRODUCTOS!$A$6:$A$105,0)),IVA_VENTAS)))</f>
        <v/>
      </c>
      <c r="J861" s="35" t="str">
        <f aca="false">IF($C861="","",$H861-$I861)</f>
        <v/>
      </c>
      <c r="K861" s="35" t="str">
        <f aca="false">IF($C861="","",N($E861)*IFERROR(INDEX(PRODUCTOS!$H$6:$H$105,MATCH($C861,PRODUCTOS!$A$6:$A$105,0)),0))</f>
        <v/>
      </c>
      <c r="L861" s="35" t="str">
        <f aca="false">IF($C861="","",$J861-$K861)</f>
        <v/>
      </c>
      <c r="M861" s="6"/>
      <c r="N861" s="6"/>
      <c r="O861" s="46" t="str">
        <f aca="false">IF($A861="","",DATE(YEAR($A861),MONTH($A861),1))</f>
        <v/>
      </c>
    </row>
    <row r="862" customFormat="false" ht="15" hidden="false" customHeight="false" outlineLevel="0" collapsed="false">
      <c r="A862" s="44"/>
      <c r="B862" s="6"/>
      <c r="C862" s="6"/>
      <c r="D862" s="8" t="str">
        <f aca="false">IF($C862="","",IFERROR(INDEX(PRODUCTOS!$B$6:$B$105,MATCH($C862,PRODUCTOS!$A$6:$A$105,0)),"¿Código?"))</f>
        <v/>
      </c>
      <c r="E862" s="42"/>
      <c r="F862" s="35" t="str">
        <f aca="false">IF($C862="","",IFERROR(INDEX(PRODUCTOS!$D$6:$D$105,MATCH($C862,PRODUCTOS!$A$6:$A$105,0)),0))</f>
        <v/>
      </c>
      <c r="G862" s="40"/>
      <c r="H862" s="35" t="str">
        <f aca="false">IF($C862="","",N($E862)*$F862-N($G862))</f>
        <v/>
      </c>
      <c r="I862" s="35" t="str">
        <f aca="false">IF($C862="","",$H862-$H862/(1+IFERROR(INDEX(PRODUCTOS!$E$6:$E$105,MATCH($C862,PRODUCTOS!$A$6:$A$105,0)),IVA_VENTAS)))</f>
        <v/>
      </c>
      <c r="J862" s="35" t="str">
        <f aca="false">IF($C862="","",$H862-$I862)</f>
        <v/>
      </c>
      <c r="K862" s="35" t="str">
        <f aca="false">IF($C862="","",N($E862)*IFERROR(INDEX(PRODUCTOS!$H$6:$H$105,MATCH($C862,PRODUCTOS!$A$6:$A$105,0)),0))</f>
        <v/>
      </c>
      <c r="L862" s="35" t="str">
        <f aca="false">IF($C862="","",$J862-$K862)</f>
        <v/>
      </c>
      <c r="M862" s="6"/>
      <c r="N862" s="6"/>
      <c r="O862" s="46" t="str">
        <f aca="false">IF($A862="","",DATE(YEAR($A862),MONTH($A862),1))</f>
        <v/>
      </c>
    </row>
    <row r="863" customFormat="false" ht="15" hidden="false" customHeight="false" outlineLevel="0" collapsed="false">
      <c r="A863" s="44"/>
      <c r="B863" s="6"/>
      <c r="C863" s="6"/>
      <c r="D863" s="8" t="str">
        <f aca="false">IF($C863="","",IFERROR(INDEX(PRODUCTOS!$B$6:$B$105,MATCH($C863,PRODUCTOS!$A$6:$A$105,0)),"¿Código?"))</f>
        <v/>
      </c>
      <c r="E863" s="42"/>
      <c r="F863" s="35" t="str">
        <f aca="false">IF($C863="","",IFERROR(INDEX(PRODUCTOS!$D$6:$D$105,MATCH($C863,PRODUCTOS!$A$6:$A$105,0)),0))</f>
        <v/>
      </c>
      <c r="G863" s="40"/>
      <c r="H863" s="35" t="str">
        <f aca="false">IF($C863="","",N($E863)*$F863-N($G863))</f>
        <v/>
      </c>
      <c r="I863" s="35" t="str">
        <f aca="false">IF($C863="","",$H863-$H863/(1+IFERROR(INDEX(PRODUCTOS!$E$6:$E$105,MATCH($C863,PRODUCTOS!$A$6:$A$105,0)),IVA_VENTAS)))</f>
        <v/>
      </c>
      <c r="J863" s="35" t="str">
        <f aca="false">IF($C863="","",$H863-$I863)</f>
        <v/>
      </c>
      <c r="K863" s="35" t="str">
        <f aca="false">IF($C863="","",N($E863)*IFERROR(INDEX(PRODUCTOS!$H$6:$H$105,MATCH($C863,PRODUCTOS!$A$6:$A$105,0)),0))</f>
        <v/>
      </c>
      <c r="L863" s="35" t="str">
        <f aca="false">IF($C863="","",$J863-$K863)</f>
        <v/>
      </c>
      <c r="M863" s="6"/>
      <c r="N863" s="6"/>
      <c r="O863" s="46" t="str">
        <f aca="false">IF($A863="","",DATE(YEAR($A863),MONTH($A863),1))</f>
        <v/>
      </c>
    </row>
    <row r="864" customFormat="false" ht="15" hidden="false" customHeight="false" outlineLevel="0" collapsed="false">
      <c r="A864" s="44"/>
      <c r="B864" s="6"/>
      <c r="C864" s="6"/>
      <c r="D864" s="8" t="str">
        <f aca="false">IF($C864="","",IFERROR(INDEX(PRODUCTOS!$B$6:$B$105,MATCH($C864,PRODUCTOS!$A$6:$A$105,0)),"¿Código?"))</f>
        <v/>
      </c>
      <c r="E864" s="42"/>
      <c r="F864" s="35" t="str">
        <f aca="false">IF($C864="","",IFERROR(INDEX(PRODUCTOS!$D$6:$D$105,MATCH($C864,PRODUCTOS!$A$6:$A$105,0)),0))</f>
        <v/>
      </c>
      <c r="G864" s="40"/>
      <c r="H864" s="35" t="str">
        <f aca="false">IF($C864="","",N($E864)*$F864-N($G864))</f>
        <v/>
      </c>
      <c r="I864" s="35" t="str">
        <f aca="false">IF($C864="","",$H864-$H864/(1+IFERROR(INDEX(PRODUCTOS!$E$6:$E$105,MATCH($C864,PRODUCTOS!$A$6:$A$105,0)),IVA_VENTAS)))</f>
        <v/>
      </c>
      <c r="J864" s="35" t="str">
        <f aca="false">IF($C864="","",$H864-$I864)</f>
        <v/>
      </c>
      <c r="K864" s="35" t="str">
        <f aca="false">IF($C864="","",N($E864)*IFERROR(INDEX(PRODUCTOS!$H$6:$H$105,MATCH($C864,PRODUCTOS!$A$6:$A$105,0)),0))</f>
        <v/>
      </c>
      <c r="L864" s="35" t="str">
        <f aca="false">IF($C864="","",$J864-$K864)</f>
        <v/>
      </c>
      <c r="M864" s="6"/>
      <c r="N864" s="6"/>
      <c r="O864" s="46" t="str">
        <f aca="false">IF($A864="","",DATE(YEAR($A864),MONTH($A864),1))</f>
        <v/>
      </c>
    </row>
    <row r="865" customFormat="false" ht="15" hidden="false" customHeight="false" outlineLevel="0" collapsed="false">
      <c r="A865" s="44"/>
      <c r="B865" s="6"/>
      <c r="C865" s="6"/>
      <c r="D865" s="8" t="str">
        <f aca="false">IF($C865="","",IFERROR(INDEX(PRODUCTOS!$B$6:$B$105,MATCH($C865,PRODUCTOS!$A$6:$A$105,0)),"¿Código?"))</f>
        <v/>
      </c>
      <c r="E865" s="42"/>
      <c r="F865" s="35" t="str">
        <f aca="false">IF($C865="","",IFERROR(INDEX(PRODUCTOS!$D$6:$D$105,MATCH($C865,PRODUCTOS!$A$6:$A$105,0)),0))</f>
        <v/>
      </c>
      <c r="G865" s="40"/>
      <c r="H865" s="35" t="str">
        <f aca="false">IF($C865="","",N($E865)*$F865-N($G865))</f>
        <v/>
      </c>
      <c r="I865" s="35" t="str">
        <f aca="false">IF($C865="","",$H865-$H865/(1+IFERROR(INDEX(PRODUCTOS!$E$6:$E$105,MATCH($C865,PRODUCTOS!$A$6:$A$105,0)),IVA_VENTAS)))</f>
        <v/>
      </c>
      <c r="J865" s="35" t="str">
        <f aca="false">IF($C865="","",$H865-$I865)</f>
        <v/>
      </c>
      <c r="K865" s="35" t="str">
        <f aca="false">IF($C865="","",N($E865)*IFERROR(INDEX(PRODUCTOS!$H$6:$H$105,MATCH($C865,PRODUCTOS!$A$6:$A$105,0)),0))</f>
        <v/>
      </c>
      <c r="L865" s="35" t="str">
        <f aca="false">IF($C865="","",$J865-$K865)</f>
        <v/>
      </c>
      <c r="M865" s="6"/>
      <c r="N865" s="6"/>
      <c r="O865" s="46" t="str">
        <f aca="false">IF($A865="","",DATE(YEAR($A865),MONTH($A865),1))</f>
        <v/>
      </c>
    </row>
    <row r="866" customFormat="false" ht="15" hidden="false" customHeight="false" outlineLevel="0" collapsed="false">
      <c r="A866" s="44"/>
      <c r="B866" s="6"/>
      <c r="C866" s="6"/>
      <c r="D866" s="8" t="str">
        <f aca="false">IF($C866="","",IFERROR(INDEX(PRODUCTOS!$B$6:$B$105,MATCH($C866,PRODUCTOS!$A$6:$A$105,0)),"¿Código?"))</f>
        <v/>
      </c>
      <c r="E866" s="42"/>
      <c r="F866" s="35" t="str">
        <f aca="false">IF($C866="","",IFERROR(INDEX(PRODUCTOS!$D$6:$D$105,MATCH($C866,PRODUCTOS!$A$6:$A$105,0)),0))</f>
        <v/>
      </c>
      <c r="G866" s="40"/>
      <c r="H866" s="35" t="str">
        <f aca="false">IF($C866="","",N($E866)*$F866-N($G866))</f>
        <v/>
      </c>
      <c r="I866" s="35" t="str">
        <f aca="false">IF($C866="","",$H866-$H866/(1+IFERROR(INDEX(PRODUCTOS!$E$6:$E$105,MATCH($C866,PRODUCTOS!$A$6:$A$105,0)),IVA_VENTAS)))</f>
        <v/>
      </c>
      <c r="J866" s="35" t="str">
        <f aca="false">IF($C866="","",$H866-$I866)</f>
        <v/>
      </c>
      <c r="K866" s="35" t="str">
        <f aca="false">IF($C866="","",N($E866)*IFERROR(INDEX(PRODUCTOS!$H$6:$H$105,MATCH($C866,PRODUCTOS!$A$6:$A$105,0)),0))</f>
        <v/>
      </c>
      <c r="L866" s="35" t="str">
        <f aca="false">IF($C866="","",$J866-$K866)</f>
        <v/>
      </c>
      <c r="M866" s="6"/>
      <c r="N866" s="6"/>
      <c r="O866" s="46" t="str">
        <f aca="false">IF($A866="","",DATE(YEAR($A866),MONTH($A866),1))</f>
        <v/>
      </c>
    </row>
    <row r="867" customFormat="false" ht="15" hidden="false" customHeight="false" outlineLevel="0" collapsed="false">
      <c r="A867" s="44"/>
      <c r="B867" s="6"/>
      <c r="C867" s="6"/>
      <c r="D867" s="8" t="str">
        <f aca="false">IF($C867="","",IFERROR(INDEX(PRODUCTOS!$B$6:$B$105,MATCH($C867,PRODUCTOS!$A$6:$A$105,0)),"¿Código?"))</f>
        <v/>
      </c>
      <c r="E867" s="42"/>
      <c r="F867" s="35" t="str">
        <f aca="false">IF($C867="","",IFERROR(INDEX(PRODUCTOS!$D$6:$D$105,MATCH($C867,PRODUCTOS!$A$6:$A$105,0)),0))</f>
        <v/>
      </c>
      <c r="G867" s="40"/>
      <c r="H867" s="35" t="str">
        <f aca="false">IF($C867="","",N($E867)*$F867-N($G867))</f>
        <v/>
      </c>
      <c r="I867" s="35" t="str">
        <f aca="false">IF($C867="","",$H867-$H867/(1+IFERROR(INDEX(PRODUCTOS!$E$6:$E$105,MATCH($C867,PRODUCTOS!$A$6:$A$105,0)),IVA_VENTAS)))</f>
        <v/>
      </c>
      <c r="J867" s="35" t="str">
        <f aca="false">IF($C867="","",$H867-$I867)</f>
        <v/>
      </c>
      <c r="K867" s="35" t="str">
        <f aca="false">IF($C867="","",N($E867)*IFERROR(INDEX(PRODUCTOS!$H$6:$H$105,MATCH($C867,PRODUCTOS!$A$6:$A$105,0)),0))</f>
        <v/>
      </c>
      <c r="L867" s="35" t="str">
        <f aca="false">IF($C867="","",$J867-$K867)</f>
        <v/>
      </c>
      <c r="M867" s="6"/>
      <c r="N867" s="6"/>
      <c r="O867" s="46" t="str">
        <f aca="false">IF($A867="","",DATE(YEAR($A867),MONTH($A867),1))</f>
        <v/>
      </c>
    </row>
    <row r="868" customFormat="false" ht="15" hidden="false" customHeight="false" outlineLevel="0" collapsed="false">
      <c r="A868" s="44"/>
      <c r="B868" s="6"/>
      <c r="C868" s="6"/>
      <c r="D868" s="8" t="str">
        <f aca="false">IF($C868="","",IFERROR(INDEX(PRODUCTOS!$B$6:$B$105,MATCH($C868,PRODUCTOS!$A$6:$A$105,0)),"¿Código?"))</f>
        <v/>
      </c>
      <c r="E868" s="42"/>
      <c r="F868" s="35" t="str">
        <f aca="false">IF($C868="","",IFERROR(INDEX(PRODUCTOS!$D$6:$D$105,MATCH($C868,PRODUCTOS!$A$6:$A$105,0)),0))</f>
        <v/>
      </c>
      <c r="G868" s="40"/>
      <c r="H868" s="35" t="str">
        <f aca="false">IF($C868="","",N($E868)*$F868-N($G868))</f>
        <v/>
      </c>
      <c r="I868" s="35" t="str">
        <f aca="false">IF($C868="","",$H868-$H868/(1+IFERROR(INDEX(PRODUCTOS!$E$6:$E$105,MATCH($C868,PRODUCTOS!$A$6:$A$105,0)),IVA_VENTAS)))</f>
        <v/>
      </c>
      <c r="J868" s="35" t="str">
        <f aca="false">IF($C868="","",$H868-$I868)</f>
        <v/>
      </c>
      <c r="K868" s="35" t="str">
        <f aca="false">IF($C868="","",N($E868)*IFERROR(INDEX(PRODUCTOS!$H$6:$H$105,MATCH($C868,PRODUCTOS!$A$6:$A$105,0)),0))</f>
        <v/>
      </c>
      <c r="L868" s="35" t="str">
        <f aca="false">IF($C868="","",$J868-$K868)</f>
        <v/>
      </c>
      <c r="M868" s="6"/>
      <c r="N868" s="6"/>
      <c r="O868" s="46" t="str">
        <f aca="false">IF($A868="","",DATE(YEAR($A868),MONTH($A868),1))</f>
        <v/>
      </c>
    </row>
    <row r="869" customFormat="false" ht="15" hidden="false" customHeight="false" outlineLevel="0" collapsed="false">
      <c r="A869" s="44"/>
      <c r="B869" s="6"/>
      <c r="C869" s="6"/>
      <c r="D869" s="8" t="str">
        <f aca="false">IF($C869="","",IFERROR(INDEX(PRODUCTOS!$B$6:$B$105,MATCH($C869,PRODUCTOS!$A$6:$A$105,0)),"¿Código?"))</f>
        <v/>
      </c>
      <c r="E869" s="42"/>
      <c r="F869" s="35" t="str">
        <f aca="false">IF($C869="","",IFERROR(INDEX(PRODUCTOS!$D$6:$D$105,MATCH($C869,PRODUCTOS!$A$6:$A$105,0)),0))</f>
        <v/>
      </c>
      <c r="G869" s="40"/>
      <c r="H869" s="35" t="str">
        <f aca="false">IF($C869="","",N($E869)*$F869-N($G869))</f>
        <v/>
      </c>
      <c r="I869" s="35" t="str">
        <f aca="false">IF($C869="","",$H869-$H869/(1+IFERROR(INDEX(PRODUCTOS!$E$6:$E$105,MATCH($C869,PRODUCTOS!$A$6:$A$105,0)),IVA_VENTAS)))</f>
        <v/>
      </c>
      <c r="J869" s="35" t="str">
        <f aca="false">IF($C869="","",$H869-$I869)</f>
        <v/>
      </c>
      <c r="K869" s="35" t="str">
        <f aca="false">IF($C869="","",N($E869)*IFERROR(INDEX(PRODUCTOS!$H$6:$H$105,MATCH($C869,PRODUCTOS!$A$6:$A$105,0)),0))</f>
        <v/>
      </c>
      <c r="L869" s="35" t="str">
        <f aca="false">IF($C869="","",$J869-$K869)</f>
        <v/>
      </c>
      <c r="M869" s="6"/>
      <c r="N869" s="6"/>
      <c r="O869" s="46" t="str">
        <f aca="false">IF($A869="","",DATE(YEAR($A869),MONTH($A869),1))</f>
        <v/>
      </c>
    </row>
    <row r="870" customFormat="false" ht="15" hidden="false" customHeight="false" outlineLevel="0" collapsed="false">
      <c r="A870" s="44"/>
      <c r="B870" s="6"/>
      <c r="C870" s="6"/>
      <c r="D870" s="8" t="str">
        <f aca="false">IF($C870="","",IFERROR(INDEX(PRODUCTOS!$B$6:$B$105,MATCH($C870,PRODUCTOS!$A$6:$A$105,0)),"¿Código?"))</f>
        <v/>
      </c>
      <c r="E870" s="42"/>
      <c r="F870" s="35" t="str">
        <f aca="false">IF($C870="","",IFERROR(INDEX(PRODUCTOS!$D$6:$D$105,MATCH($C870,PRODUCTOS!$A$6:$A$105,0)),0))</f>
        <v/>
      </c>
      <c r="G870" s="40"/>
      <c r="H870" s="35" t="str">
        <f aca="false">IF($C870="","",N($E870)*$F870-N($G870))</f>
        <v/>
      </c>
      <c r="I870" s="35" t="str">
        <f aca="false">IF($C870="","",$H870-$H870/(1+IFERROR(INDEX(PRODUCTOS!$E$6:$E$105,MATCH($C870,PRODUCTOS!$A$6:$A$105,0)),IVA_VENTAS)))</f>
        <v/>
      </c>
      <c r="J870" s="35" t="str">
        <f aca="false">IF($C870="","",$H870-$I870)</f>
        <v/>
      </c>
      <c r="K870" s="35" t="str">
        <f aca="false">IF($C870="","",N($E870)*IFERROR(INDEX(PRODUCTOS!$H$6:$H$105,MATCH($C870,PRODUCTOS!$A$6:$A$105,0)),0))</f>
        <v/>
      </c>
      <c r="L870" s="35" t="str">
        <f aca="false">IF($C870="","",$J870-$K870)</f>
        <v/>
      </c>
      <c r="M870" s="6"/>
      <c r="N870" s="6"/>
      <c r="O870" s="46" t="str">
        <f aca="false">IF($A870="","",DATE(YEAR($A870),MONTH($A870),1))</f>
        <v/>
      </c>
    </row>
    <row r="871" customFormat="false" ht="15" hidden="false" customHeight="false" outlineLevel="0" collapsed="false">
      <c r="A871" s="44"/>
      <c r="B871" s="6"/>
      <c r="C871" s="6"/>
      <c r="D871" s="8" t="str">
        <f aca="false">IF($C871="","",IFERROR(INDEX(PRODUCTOS!$B$6:$B$105,MATCH($C871,PRODUCTOS!$A$6:$A$105,0)),"¿Código?"))</f>
        <v/>
      </c>
      <c r="E871" s="42"/>
      <c r="F871" s="35" t="str">
        <f aca="false">IF($C871="","",IFERROR(INDEX(PRODUCTOS!$D$6:$D$105,MATCH($C871,PRODUCTOS!$A$6:$A$105,0)),0))</f>
        <v/>
      </c>
      <c r="G871" s="40"/>
      <c r="H871" s="35" t="str">
        <f aca="false">IF($C871="","",N($E871)*$F871-N($G871))</f>
        <v/>
      </c>
      <c r="I871" s="35" t="str">
        <f aca="false">IF($C871="","",$H871-$H871/(1+IFERROR(INDEX(PRODUCTOS!$E$6:$E$105,MATCH($C871,PRODUCTOS!$A$6:$A$105,0)),IVA_VENTAS)))</f>
        <v/>
      </c>
      <c r="J871" s="35" t="str">
        <f aca="false">IF($C871="","",$H871-$I871)</f>
        <v/>
      </c>
      <c r="K871" s="35" t="str">
        <f aca="false">IF($C871="","",N($E871)*IFERROR(INDEX(PRODUCTOS!$H$6:$H$105,MATCH($C871,PRODUCTOS!$A$6:$A$105,0)),0))</f>
        <v/>
      </c>
      <c r="L871" s="35" t="str">
        <f aca="false">IF($C871="","",$J871-$K871)</f>
        <v/>
      </c>
      <c r="M871" s="6"/>
      <c r="N871" s="6"/>
      <c r="O871" s="46" t="str">
        <f aca="false">IF($A871="","",DATE(YEAR($A871),MONTH($A871),1))</f>
        <v/>
      </c>
    </row>
    <row r="872" customFormat="false" ht="15" hidden="false" customHeight="false" outlineLevel="0" collapsed="false">
      <c r="A872" s="44"/>
      <c r="B872" s="6"/>
      <c r="C872" s="6"/>
      <c r="D872" s="8" t="str">
        <f aca="false">IF($C872="","",IFERROR(INDEX(PRODUCTOS!$B$6:$B$105,MATCH($C872,PRODUCTOS!$A$6:$A$105,0)),"¿Código?"))</f>
        <v/>
      </c>
      <c r="E872" s="42"/>
      <c r="F872" s="35" t="str">
        <f aca="false">IF($C872="","",IFERROR(INDEX(PRODUCTOS!$D$6:$D$105,MATCH($C872,PRODUCTOS!$A$6:$A$105,0)),0))</f>
        <v/>
      </c>
      <c r="G872" s="40"/>
      <c r="H872" s="35" t="str">
        <f aca="false">IF($C872="","",N($E872)*$F872-N($G872))</f>
        <v/>
      </c>
      <c r="I872" s="35" t="str">
        <f aca="false">IF($C872="","",$H872-$H872/(1+IFERROR(INDEX(PRODUCTOS!$E$6:$E$105,MATCH($C872,PRODUCTOS!$A$6:$A$105,0)),IVA_VENTAS)))</f>
        <v/>
      </c>
      <c r="J872" s="35" t="str">
        <f aca="false">IF($C872="","",$H872-$I872)</f>
        <v/>
      </c>
      <c r="K872" s="35" t="str">
        <f aca="false">IF($C872="","",N($E872)*IFERROR(INDEX(PRODUCTOS!$H$6:$H$105,MATCH($C872,PRODUCTOS!$A$6:$A$105,0)),0))</f>
        <v/>
      </c>
      <c r="L872" s="35" t="str">
        <f aca="false">IF($C872="","",$J872-$K872)</f>
        <v/>
      </c>
      <c r="M872" s="6"/>
      <c r="N872" s="6"/>
      <c r="O872" s="46" t="str">
        <f aca="false">IF($A872="","",DATE(YEAR($A872),MONTH($A872),1))</f>
        <v/>
      </c>
    </row>
    <row r="873" customFormat="false" ht="15" hidden="false" customHeight="false" outlineLevel="0" collapsed="false">
      <c r="A873" s="44"/>
      <c r="B873" s="6"/>
      <c r="C873" s="6"/>
      <c r="D873" s="8" t="str">
        <f aca="false">IF($C873="","",IFERROR(INDEX(PRODUCTOS!$B$6:$B$105,MATCH($C873,PRODUCTOS!$A$6:$A$105,0)),"¿Código?"))</f>
        <v/>
      </c>
      <c r="E873" s="42"/>
      <c r="F873" s="35" t="str">
        <f aca="false">IF($C873="","",IFERROR(INDEX(PRODUCTOS!$D$6:$D$105,MATCH($C873,PRODUCTOS!$A$6:$A$105,0)),0))</f>
        <v/>
      </c>
      <c r="G873" s="40"/>
      <c r="H873" s="35" t="str">
        <f aca="false">IF($C873="","",N($E873)*$F873-N($G873))</f>
        <v/>
      </c>
      <c r="I873" s="35" t="str">
        <f aca="false">IF($C873="","",$H873-$H873/(1+IFERROR(INDEX(PRODUCTOS!$E$6:$E$105,MATCH($C873,PRODUCTOS!$A$6:$A$105,0)),IVA_VENTAS)))</f>
        <v/>
      </c>
      <c r="J873" s="35" t="str">
        <f aca="false">IF($C873="","",$H873-$I873)</f>
        <v/>
      </c>
      <c r="K873" s="35" t="str">
        <f aca="false">IF($C873="","",N($E873)*IFERROR(INDEX(PRODUCTOS!$H$6:$H$105,MATCH($C873,PRODUCTOS!$A$6:$A$105,0)),0))</f>
        <v/>
      </c>
      <c r="L873" s="35" t="str">
        <f aca="false">IF($C873="","",$J873-$K873)</f>
        <v/>
      </c>
      <c r="M873" s="6"/>
      <c r="N873" s="6"/>
      <c r="O873" s="46" t="str">
        <f aca="false">IF($A873="","",DATE(YEAR($A873),MONTH($A873),1))</f>
        <v/>
      </c>
    </row>
    <row r="874" customFormat="false" ht="15" hidden="false" customHeight="false" outlineLevel="0" collapsed="false">
      <c r="A874" s="44"/>
      <c r="B874" s="6"/>
      <c r="C874" s="6"/>
      <c r="D874" s="8" t="str">
        <f aca="false">IF($C874="","",IFERROR(INDEX(PRODUCTOS!$B$6:$B$105,MATCH($C874,PRODUCTOS!$A$6:$A$105,0)),"¿Código?"))</f>
        <v/>
      </c>
      <c r="E874" s="42"/>
      <c r="F874" s="35" t="str">
        <f aca="false">IF($C874="","",IFERROR(INDEX(PRODUCTOS!$D$6:$D$105,MATCH($C874,PRODUCTOS!$A$6:$A$105,0)),0))</f>
        <v/>
      </c>
      <c r="G874" s="40"/>
      <c r="H874" s="35" t="str">
        <f aca="false">IF($C874="","",N($E874)*$F874-N($G874))</f>
        <v/>
      </c>
      <c r="I874" s="35" t="str">
        <f aca="false">IF($C874="","",$H874-$H874/(1+IFERROR(INDEX(PRODUCTOS!$E$6:$E$105,MATCH($C874,PRODUCTOS!$A$6:$A$105,0)),IVA_VENTAS)))</f>
        <v/>
      </c>
      <c r="J874" s="35" t="str">
        <f aca="false">IF($C874="","",$H874-$I874)</f>
        <v/>
      </c>
      <c r="K874" s="35" t="str">
        <f aca="false">IF($C874="","",N($E874)*IFERROR(INDEX(PRODUCTOS!$H$6:$H$105,MATCH($C874,PRODUCTOS!$A$6:$A$105,0)),0))</f>
        <v/>
      </c>
      <c r="L874" s="35" t="str">
        <f aca="false">IF($C874="","",$J874-$K874)</f>
        <v/>
      </c>
      <c r="M874" s="6"/>
      <c r="N874" s="6"/>
      <c r="O874" s="46" t="str">
        <f aca="false">IF($A874="","",DATE(YEAR($A874),MONTH($A874),1))</f>
        <v/>
      </c>
    </row>
    <row r="875" customFormat="false" ht="15" hidden="false" customHeight="false" outlineLevel="0" collapsed="false">
      <c r="A875" s="44"/>
      <c r="B875" s="6"/>
      <c r="C875" s="6"/>
      <c r="D875" s="8" t="str">
        <f aca="false">IF($C875="","",IFERROR(INDEX(PRODUCTOS!$B$6:$B$105,MATCH($C875,PRODUCTOS!$A$6:$A$105,0)),"¿Código?"))</f>
        <v/>
      </c>
      <c r="E875" s="42"/>
      <c r="F875" s="35" t="str">
        <f aca="false">IF($C875="","",IFERROR(INDEX(PRODUCTOS!$D$6:$D$105,MATCH($C875,PRODUCTOS!$A$6:$A$105,0)),0))</f>
        <v/>
      </c>
      <c r="G875" s="40"/>
      <c r="H875" s="35" t="str">
        <f aca="false">IF($C875="","",N($E875)*$F875-N($G875))</f>
        <v/>
      </c>
      <c r="I875" s="35" t="str">
        <f aca="false">IF($C875="","",$H875-$H875/(1+IFERROR(INDEX(PRODUCTOS!$E$6:$E$105,MATCH($C875,PRODUCTOS!$A$6:$A$105,0)),IVA_VENTAS)))</f>
        <v/>
      </c>
      <c r="J875" s="35" t="str">
        <f aca="false">IF($C875="","",$H875-$I875)</f>
        <v/>
      </c>
      <c r="K875" s="35" t="str">
        <f aca="false">IF($C875="","",N($E875)*IFERROR(INDEX(PRODUCTOS!$H$6:$H$105,MATCH($C875,PRODUCTOS!$A$6:$A$105,0)),0))</f>
        <v/>
      </c>
      <c r="L875" s="35" t="str">
        <f aca="false">IF($C875="","",$J875-$K875)</f>
        <v/>
      </c>
      <c r="M875" s="6"/>
      <c r="N875" s="6"/>
      <c r="O875" s="46" t="str">
        <f aca="false">IF($A875="","",DATE(YEAR($A875),MONTH($A875),1))</f>
        <v/>
      </c>
    </row>
    <row r="876" customFormat="false" ht="15" hidden="false" customHeight="false" outlineLevel="0" collapsed="false">
      <c r="A876" s="44"/>
      <c r="B876" s="6"/>
      <c r="C876" s="6"/>
      <c r="D876" s="8" t="str">
        <f aca="false">IF($C876="","",IFERROR(INDEX(PRODUCTOS!$B$6:$B$105,MATCH($C876,PRODUCTOS!$A$6:$A$105,0)),"¿Código?"))</f>
        <v/>
      </c>
      <c r="E876" s="42"/>
      <c r="F876" s="35" t="str">
        <f aca="false">IF($C876="","",IFERROR(INDEX(PRODUCTOS!$D$6:$D$105,MATCH($C876,PRODUCTOS!$A$6:$A$105,0)),0))</f>
        <v/>
      </c>
      <c r="G876" s="40"/>
      <c r="H876" s="35" t="str">
        <f aca="false">IF($C876="","",N($E876)*$F876-N($G876))</f>
        <v/>
      </c>
      <c r="I876" s="35" t="str">
        <f aca="false">IF($C876="","",$H876-$H876/(1+IFERROR(INDEX(PRODUCTOS!$E$6:$E$105,MATCH($C876,PRODUCTOS!$A$6:$A$105,0)),IVA_VENTAS)))</f>
        <v/>
      </c>
      <c r="J876" s="35" t="str">
        <f aca="false">IF($C876="","",$H876-$I876)</f>
        <v/>
      </c>
      <c r="K876" s="35" t="str">
        <f aca="false">IF($C876="","",N($E876)*IFERROR(INDEX(PRODUCTOS!$H$6:$H$105,MATCH($C876,PRODUCTOS!$A$6:$A$105,0)),0))</f>
        <v/>
      </c>
      <c r="L876" s="35" t="str">
        <f aca="false">IF($C876="","",$J876-$K876)</f>
        <v/>
      </c>
      <c r="M876" s="6"/>
      <c r="N876" s="6"/>
      <c r="O876" s="46" t="str">
        <f aca="false">IF($A876="","",DATE(YEAR($A876),MONTH($A876),1))</f>
        <v/>
      </c>
    </row>
    <row r="877" customFormat="false" ht="15" hidden="false" customHeight="false" outlineLevel="0" collapsed="false">
      <c r="A877" s="44"/>
      <c r="B877" s="6"/>
      <c r="C877" s="6"/>
      <c r="D877" s="8" t="str">
        <f aca="false">IF($C877="","",IFERROR(INDEX(PRODUCTOS!$B$6:$B$105,MATCH($C877,PRODUCTOS!$A$6:$A$105,0)),"¿Código?"))</f>
        <v/>
      </c>
      <c r="E877" s="42"/>
      <c r="F877" s="35" t="str">
        <f aca="false">IF($C877="","",IFERROR(INDEX(PRODUCTOS!$D$6:$D$105,MATCH($C877,PRODUCTOS!$A$6:$A$105,0)),0))</f>
        <v/>
      </c>
      <c r="G877" s="40"/>
      <c r="H877" s="35" t="str">
        <f aca="false">IF($C877="","",N($E877)*$F877-N($G877))</f>
        <v/>
      </c>
      <c r="I877" s="35" t="str">
        <f aca="false">IF($C877="","",$H877-$H877/(1+IFERROR(INDEX(PRODUCTOS!$E$6:$E$105,MATCH($C877,PRODUCTOS!$A$6:$A$105,0)),IVA_VENTAS)))</f>
        <v/>
      </c>
      <c r="J877" s="35" t="str">
        <f aca="false">IF($C877="","",$H877-$I877)</f>
        <v/>
      </c>
      <c r="K877" s="35" t="str">
        <f aca="false">IF($C877="","",N($E877)*IFERROR(INDEX(PRODUCTOS!$H$6:$H$105,MATCH($C877,PRODUCTOS!$A$6:$A$105,0)),0))</f>
        <v/>
      </c>
      <c r="L877" s="35" t="str">
        <f aca="false">IF($C877="","",$J877-$K877)</f>
        <v/>
      </c>
      <c r="M877" s="6"/>
      <c r="N877" s="6"/>
      <c r="O877" s="46" t="str">
        <f aca="false">IF($A877="","",DATE(YEAR($A877),MONTH($A877),1))</f>
        <v/>
      </c>
    </row>
    <row r="878" customFormat="false" ht="15" hidden="false" customHeight="false" outlineLevel="0" collapsed="false">
      <c r="A878" s="44"/>
      <c r="B878" s="6"/>
      <c r="C878" s="6"/>
      <c r="D878" s="8" t="str">
        <f aca="false">IF($C878="","",IFERROR(INDEX(PRODUCTOS!$B$6:$B$105,MATCH($C878,PRODUCTOS!$A$6:$A$105,0)),"¿Código?"))</f>
        <v/>
      </c>
      <c r="E878" s="42"/>
      <c r="F878" s="35" t="str">
        <f aca="false">IF($C878="","",IFERROR(INDEX(PRODUCTOS!$D$6:$D$105,MATCH($C878,PRODUCTOS!$A$6:$A$105,0)),0))</f>
        <v/>
      </c>
      <c r="G878" s="40"/>
      <c r="H878" s="35" t="str">
        <f aca="false">IF($C878="","",N($E878)*$F878-N($G878))</f>
        <v/>
      </c>
      <c r="I878" s="35" t="str">
        <f aca="false">IF($C878="","",$H878-$H878/(1+IFERROR(INDEX(PRODUCTOS!$E$6:$E$105,MATCH($C878,PRODUCTOS!$A$6:$A$105,0)),IVA_VENTAS)))</f>
        <v/>
      </c>
      <c r="J878" s="35" t="str">
        <f aca="false">IF($C878="","",$H878-$I878)</f>
        <v/>
      </c>
      <c r="K878" s="35" t="str">
        <f aca="false">IF($C878="","",N($E878)*IFERROR(INDEX(PRODUCTOS!$H$6:$H$105,MATCH($C878,PRODUCTOS!$A$6:$A$105,0)),0))</f>
        <v/>
      </c>
      <c r="L878" s="35" t="str">
        <f aca="false">IF($C878="","",$J878-$K878)</f>
        <v/>
      </c>
      <c r="M878" s="6"/>
      <c r="N878" s="6"/>
      <c r="O878" s="46" t="str">
        <f aca="false">IF($A878="","",DATE(YEAR($A878),MONTH($A878),1))</f>
        <v/>
      </c>
    </row>
    <row r="879" customFormat="false" ht="15" hidden="false" customHeight="false" outlineLevel="0" collapsed="false">
      <c r="A879" s="44"/>
      <c r="B879" s="6"/>
      <c r="C879" s="6"/>
      <c r="D879" s="8" t="str">
        <f aca="false">IF($C879="","",IFERROR(INDEX(PRODUCTOS!$B$6:$B$105,MATCH($C879,PRODUCTOS!$A$6:$A$105,0)),"¿Código?"))</f>
        <v/>
      </c>
      <c r="E879" s="42"/>
      <c r="F879" s="35" t="str">
        <f aca="false">IF($C879="","",IFERROR(INDEX(PRODUCTOS!$D$6:$D$105,MATCH($C879,PRODUCTOS!$A$6:$A$105,0)),0))</f>
        <v/>
      </c>
      <c r="G879" s="40"/>
      <c r="H879" s="35" t="str">
        <f aca="false">IF($C879="","",N($E879)*$F879-N($G879))</f>
        <v/>
      </c>
      <c r="I879" s="35" t="str">
        <f aca="false">IF($C879="","",$H879-$H879/(1+IFERROR(INDEX(PRODUCTOS!$E$6:$E$105,MATCH($C879,PRODUCTOS!$A$6:$A$105,0)),IVA_VENTAS)))</f>
        <v/>
      </c>
      <c r="J879" s="35" t="str">
        <f aca="false">IF($C879="","",$H879-$I879)</f>
        <v/>
      </c>
      <c r="K879" s="35" t="str">
        <f aca="false">IF($C879="","",N($E879)*IFERROR(INDEX(PRODUCTOS!$H$6:$H$105,MATCH($C879,PRODUCTOS!$A$6:$A$105,0)),0))</f>
        <v/>
      </c>
      <c r="L879" s="35" t="str">
        <f aca="false">IF($C879="","",$J879-$K879)</f>
        <v/>
      </c>
      <c r="M879" s="6"/>
      <c r="N879" s="6"/>
      <c r="O879" s="46" t="str">
        <f aca="false">IF($A879="","",DATE(YEAR($A879),MONTH($A879),1))</f>
        <v/>
      </c>
    </row>
    <row r="880" customFormat="false" ht="15" hidden="false" customHeight="false" outlineLevel="0" collapsed="false">
      <c r="A880" s="44"/>
      <c r="B880" s="6"/>
      <c r="C880" s="6"/>
      <c r="D880" s="8" t="str">
        <f aca="false">IF($C880="","",IFERROR(INDEX(PRODUCTOS!$B$6:$B$105,MATCH($C880,PRODUCTOS!$A$6:$A$105,0)),"¿Código?"))</f>
        <v/>
      </c>
      <c r="E880" s="42"/>
      <c r="F880" s="35" t="str">
        <f aca="false">IF($C880="","",IFERROR(INDEX(PRODUCTOS!$D$6:$D$105,MATCH($C880,PRODUCTOS!$A$6:$A$105,0)),0))</f>
        <v/>
      </c>
      <c r="G880" s="40"/>
      <c r="H880" s="35" t="str">
        <f aca="false">IF($C880="","",N($E880)*$F880-N($G880))</f>
        <v/>
      </c>
      <c r="I880" s="35" t="str">
        <f aca="false">IF($C880="","",$H880-$H880/(1+IFERROR(INDEX(PRODUCTOS!$E$6:$E$105,MATCH($C880,PRODUCTOS!$A$6:$A$105,0)),IVA_VENTAS)))</f>
        <v/>
      </c>
      <c r="J880" s="35" t="str">
        <f aca="false">IF($C880="","",$H880-$I880)</f>
        <v/>
      </c>
      <c r="K880" s="35" t="str">
        <f aca="false">IF($C880="","",N($E880)*IFERROR(INDEX(PRODUCTOS!$H$6:$H$105,MATCH($C880,PRODUCTOS!$A$6:$A$105,0)),0))</f>
        <v/>
      </c>
      <c r="L880" s="35" t="str">
        <f aca="false">IF($C880="","",$J880-$K880)</f>
        <v/>
      </c>
      <c r="M880" s="6"/>
      <c r="N880" s="6"/>
      <c r="O880" s="46" t="str">
        <f aca="false">IF($A880="","",DATE(YEAR($A880),MONTH($A880),1))</f>
        <v/>
      </c>
    </row>
    <row r="881" customFormat="false" ht="15" hidden="false" customHeight="false" outlineLevel="0" collapsed="false">
      <c r="A881" s="44"/>
      <c r="B881" s="6"/>
      <c r="C881" s="6"/>
      <c r="D881" s="8" t="str">
        <f aca="false">IF($C881="","",IFERROR(INDEX(PRODUCTOS!$B$6:$B$105,MATCH($C881,PRODUCTOS!$A$6:$A$105,0)),"¿Código?"))</f>
        <v/>
      </c>
      <c r="E881" s="42"/>
      <c r="F881" s="35" t="str">
        <f aca="false">IF($C881="","",IFERROR(INDEX(PRODUCTOS!$D$6:$D$105,MATCH($C881,PRODUCTOS!$A$6:$A$105,0)),0))</f>
        <v/>
      </c>
      <c r="G881" s="40"/>
      <c r="H881" s="35" t="str">
        <f aca="false">IF($C881="","",N($E881)*$F881-N($G881))</f>
        <v/>
      </c>
      <c r="I881" s="35" t="str">
        <f aca="false">IF($C881="","",$H881-$H881/(1+IFERROR(INDEX(PRODUCTOS!$E$6:$E$105,MATCH($C881,PRODUCTOS!$A$6:$A$105,0)),IVA_VENTAS)))</f>
        <v/>
      </c>
      <c r="J881" s="35" t="str">
        <f aca="false">IF($C881="","",$H881-$I881)</f>
        <v/>
      </c>
      <c r="K881" s="35" t="str">
        <f aca="false">IF($C881="","",N($E881)*IFERROR(INDEX(PRODUCTOS!$H$6:$H$105,MATCH($C881,PRODUCTOS!$A$6:$A$105,0)),0))</f>
        <v/>
      </c>
      <c r="L881" s="35" t="str">
        <f aca="false">IF($C881="","",$J881-$K881)</f>
        <v/>
      </c>
      <c r="M881" s="6"/>
      <c r="N881" s="6"/>
      <c r="O881" s="46" t="str">
        <f aca="false">IF($A881="","",DATE(YEAR($A881),MONTH($A881),1))</f>
        <v/>
      </c>
    </row>
    <row r="882" customFormat="false" ht="15" hidden="false" customHeight="false" outlineLevel="0" collapsed="false">
      <c r="A882" s="44"/>
      <c r="B882" s="6"/>
      <c r="C882" s="6"/>
      <c r="D882" s="8" t="str">
        <f aca="false">IF($C882="","",IFERROR(INDEX(PRODUCTOS!$B$6:$B$105,MATCH($C882,PRODUCTOS!$A$6:$A$105,0)),"¿Código?"))</f>
        <v/>
      </c>
      <c r="E882" s="42"/>
      <c r="F882" s="35" t="str">
        <f aca="false">IF($C882="","",IFERROR(INDEX(PRODUCTOS!$D$6:$D$105,MATCH($C882,PRODUCTOS!$A$6:$A$105,0)),0))</f>
        <v/>
      </c>
      <c r="G882" s="40"/>
      <c r="H882" s="35" t="str">
        <f aca="false">IF($C882="","",N($E882)*$F882-N($G882))</f>
        <v/>
      </c>
      <c r="I882" s="35" t="str">
        <f aca="false">IF($C882="","",$H882-$H882/(1+IFERROR(INDEX(PRODUCTOS!$E$6:$E$105,MATCH($C882,PRODUCTOS!$A$6:$A$105,0)),IVA_VENTAS)))</f>
        <v/>
      </c>
      <c r="J882" s="35" t="str">
        <f aca="false">IF($C882="","",$H882-$I882)</f>
        <v/>
      </c>
      <c r="K882" s="35" t="str">
        <f aca="false">IF($C882="","",N($E882)*IFERROR(INDEX(PRODUCTOS!$H$6:$H$105,MATCH($C882,PRODUCTOS!$A$6:$A$105,0)),0))</f>
        <v/>
      </c>
      <c r="L882" s="35" t="str">
        <f aca="false">IF($C882="","",$J882-$K882)</f>
        <v/>
      </c>
      <c r="M882" s="6"/>
      <c r="N882" s="6"/>
      <c r="O882" s="46" t="str">
        <f aca="false">IF($A882="","",DATE(YEAR($A882),MONTH($A882),1))</f>
        <v/>
      </c>
    </row>
    <row r="883" customFormat="false" ht="15" hidden="false" customHeight="false" outlineLevel="0" collapsed="false">
      <c r="A883" s="44"/>
      <c r="B883" s="6"/>
      <c r="C883" s="6"/>
      <c r="D883" s="8" t="str">
        <f aca="false">IF($C883="","",IFERROR(INDEX(PRODUCTOS!$B$6:$B$105,MATCH($C883,PRODUCTOS!$A$6:$A$105,0)),"¿Código?"))</f>
        <v/>
      </c>
      <c r="E883" s="42"/>
      <c r="F883" s="35" t="str">
        <f aca="false">IF($C883="","",IFERROR(INDEX(PRODUCTOS!$D$6:$D$105,MATCH($C883,PRODUCTOS!$A$6:$A$105,0)),0))</f>
        <v/>
      </c>
      <c r="G883" s="40"/>
      <c r="H883" s="35" t="str">
        <f aca="false">IF($C883="","",N($E883)*$F883-N($G883))</f>
        <v/>
      </c>
      <c r="I883" s="35" t="str">
        <f aca="false">IF($C883="","",$H883-$H883/(1+IFERROR(INDEX(PRODUCTOS!$E$6:$E$105,MATCH($C883,PRODUCTOS!$A$6:$A$105,0)),IVA_VENTAS)))</f>
        <v/>
      </c>
      <c r="J883" s="35" t="str">
        <f aca="false">IF($C883="","",$H883-$I883)</f>
        <v/>
      </c>
      <c r="K883" s="35" t="str">
        <f aca="false">IF($C883="","",N($E883)*IFERROR(INDEX(PRODUCTOS!$H$6:$H$105,MATCH($C883,PRODUCTOS!$A$6:$A$105,0)),0))</f>
        <v/>
      </c>
      <c r="L883" s="35" t="str">
        <f aca="false">IF($C883="","",$J883-$K883)</f>
        <v/>
      </c>
      <c r="M883" s="6"/>
      <c r="N883" s="6"/>
      <c r="O883" s="46" t="str">
        <f aca="false">IF($A883="","",DATE(YEAR($A883),MONTH($A883),1))</f>
        <v/>
      </c>
    </row>
    <row r="884" customFormat="false" ht="15" hidden="false" customHeight="false" outlineLevel="0" collapsed="false">
      <c r="A884" s="44"/>
      <c r="B884" s="6"/>
      <c r="C884" s="6"/>
      <c r="D884" s="8" t="str">
        <f aca="false">IF($C884="","",IFERROR(INDEX(PRODUCTOS!$B$6:$B$105,MATCH($C884,PRODUCTOS!$A$6:$A$105,0)),"¿Código?"))</f>
        <v/>
      </c>
      <c r="E884" s="42"/>
      <c r="F884" s="35" t="str">
        <f aca="false">IF($C884="","",IFERROR(INDEX(PRODUCTOS!$D$6:$D$105,MATCH($C884,PRODUCTOS!$A$6:$A$105,0)),0))</f>
        <v/>
      </c>
      <c r="G884" s="40"/>
      <c r="H884" s="35" t="str">
        <f aca="false">IF($C884="","",N($E884)*$F884-N($G884))</f>
        <v/>
      </c>
      <c r="I884" s="35" t="str">
        <f aca="false">IF($C884="","",$H884-$H884/(1+IFERROR(INDEX(PRODUCTOS!$E$6:$E$105,MATCH($C884,PRODUCTOS!$A$6:$A$105,0)),IVA_VENTAS)))</f>
        <v/>
      </c>
      <c r="J884" s="35" t="str">
        <f aca="false">IF($C884="","",$H884-$I884)</f>
        <v/>
      </c>
      <c r="K884" s="35" t="str">
        <f aca="false">IF($C884="","",N($E884)*IFERROR(INDEX(PRODUCTOS!$H$6:$H$105,MATCH($C884,PRODUCTOS!$A$6:$A$105,0)),0))</f>
        <v/>
      </c>
      <c r="L884" s="35" t="str">
        <f aca="false">IF($C884="","",$J884-$K884)</f>
        <v/>
      </c>
      <c r="M884" s="6"/>
      <c r="N884" s="6"/>
      <c r="O884" s="46" t="str">
        <f aca="false">IF($A884="","",DATE(YEAR($A884),MONTH($A884),1))</f>
        <v/>
      </c>
    </row>
    <row r="885" customFormat="false" ht="15" hidden="false" customHeight="false" outlineLevel="0" collapsed="false">
      <c r="A885" s="44"/>
      <c r="B885" s="6"/>
      <c r="C885" s="6"/>
      <c r="D885" s="8" t="str">
        <f aca="false">IF($C885="","",IFERROR(INDEX(PRODUCTOS!$B$6:$B$105,MATCH($C885,PRODUCTOS!$A$6:$A$105,0)),"¿Código?"))</f>
        <v/>
      </c>
      <c r="E885" s="42"/>
      <c r="F885" s="35" t="str">
        <f aca="false">IF($C885="","",IFERROR(INDEX(PRODUCTOS!$D$6:$D$105,MATCH($C885,PRODUCTOS!$A$6:$A$105,0)),0))</f>
        <v/>
      </c>
      <c r="G885" s="40"/>
      <c r="H885" s="35" t="str">
        <f aca="false">IF($C885="","",N($E885)*$F885-N($G885))</f>
        <v/>
      </c>
      <c r="I885" s="35" t="str">
        <f aca="false">IF($C885="","",$H885-$H885/(1+IFERROR(INDEX(PRODUCTOS!$E$6:$E$105,MATCH($C885,PRODUCTOS!$A$6:$A$105,0)),IVA_VENTAS)))</f>
        <v/>
      </c>
      <c r="J885" s="35" t="str">
        <f aca="false">IF($C885="","",$H885-$I885)</f>
        <v/>
      </c>
      <c r="K885" s="35" t="str">
        <f aca="false">IF($C885="","",N($E885)*IFERROR(INDEX(PRODUCTOS!$H$6:$H$105,MATCH($C885,PRODUCTOS!$A$6:$A$105,0)),0))</f>
        <v/>
      </c>
      <c r="L885" s="35" t="str">
        <f aca="false">IF($C885="","",$J885-$K885)</f>
        <v/>
      </c>
      <c r="M885" s="6"/>
      <c r="N885" s="6"/>
      <c r="O885" s="46" t="str">
        <f aca="false">IF($A885="","",DATE(YEAR($A885),MONTH($A885),1))</f>
        <v/>
      </c>
    </row>
    <row r="886" customFormat="false" ht="15" hidden="false" customHeight="false" outlineLevel="0" collapsed="false">
      <c r="A886" s="44"/>
      <c r="B886" s="6"/>
      <c r="C886" s="6"/>
      <c r="D886" s="8" t="str">
        <f aca="false">IF($C886="","",IFERROR(INDEX(PRODUCTOS!$B$6:$B$105,MATCH($C886,PRODUCTOS!$A$6:$A$105,0)),"¿Código?"))</f>
        <v/>
      </c>
      <c r="E886" s="42"/>
      <c r="F886" s="35" t="str">
        <f aca="false">IF($C886="","",IFERROR(INDEX(PRODUCTOS!$D$6:$D$105,MATCH($C886,PRODUCTOS!$A$6:$A$105,0)),0))</f>
        <v/>
      </c>
      <c r="G886" s="40"/>
      <c r="H886" s="35" t="str">
        <f aca="false">IF($C886="","",N($E886)*$F886-N($G886))</f>
        <v/>
      </c>
      <c r="I886" s="35" t="str">
        <f aca="false">IF($C886="","",$H886-$H886/(1+IFERROR(INDEX(PRODUCTOS!$E$6:$E$105,MATCH($C886,PRODUCTOS!$A$6:$A$105,0)),IVA_VENTAS)))</f>
        <v/>
      </c>
      <c r="J886" s="35" t="str">
        <f aca="false">IF($C886="","",$H886-$I886)</f>
        <v/>
      </c>
      <c r="K886" s="35" t="str">
        <f aca="false">IF($C886="","",N($E886)*IFERROR(INDEX(PRODUCTOS!$H$6:$H$105,MATCH($C886,PRODUCTOS!$A$6:$A$105,0)),0))</f>
        <v/>
      </c>
      <c r="L886" s="35" t="str">
        <f aca="false">IF($C886="","",$J886-$K886)</f>
        <v/>
      </c>
      <c r="M886" s="6"/>
      <c r="N886" s="6"/>
      <c r="O886" s="46" t="str">
        <f aca="false">IF($A886="","",DATE(YEAR($A886),MONTH($A886),1))</f>
        <v/>
      </c>
    </row>
    <row r="887" customFormat="false" ht="15" hidden="false" customHeight="false" outlineLevel="0" collapsed="false">
      <c r="A887" s="44"/>
      <c r="B887" s="6"/>
      <c r="C887" s="6"/>
      <c r="D887" s="8" t="str">
        <f aca="false">IF($C887="","",IFERROR(INDEX(PRODUCTOS!$B$6:$B$105,MATCH($C887,PRODUCTOS!$A$6:$A$105,0)),"¿Código?"))</f>
        <v/>
      </c>
      <c r="E887" s="42"/>
      <c r="F887" s="35" t="str">
        <f aca="false">IF($C887="","",IFERROR(INDEX(PRODUCTOS!$D$6:$D$105,MATCH($C887,PRODUCTOS!$A$6:$A$105,0)),0))</f>
        <v/>
      </c>
      <c r="G887" s="40"/>
      <c r="H887" s="35" t="str">
        <f aca="false">IF($C887="","",N($E887)*$F887-N($G887))</f>
        <v/>
      </c>
      <c r="I887" s="35" t="str">
        <f aca="false">IF($C887="","",$H887-$H887/(1+IFERROR(INDEX(PRODUCTOS!$E$6:$E$105,MATCH($C887,PRODUCTOS!$A$6:$A$105,0)),IVA_VENTAS)))</f>
        <v/>
      </c>
      <c r="J887" s="35" t="str">
        <f aca="false">IF($C887="","",$H887-$I887)</f>
        <v/>
      </c>
      <c r="K887" s="35" t="str">
        <f aca="false">IF($C887="","",N($E887)*IFERROR(INDEX(PRODUCTOS!$H$6:$H$105,MATCH($C887,PRODUCTOS!$A$6:$A$105,0)),0))</f>
        <v/>
      </c>
      <c r="L887" s="35" t="str">
        <f aca="false">IF($C887="","",$J887-$K887)</f>
        <v/>
      </c>
      <c r="M887" s="6"/>
      <c r="N887" s="6"/>
      <c r="O887" s="46" t="str">
        <f aca="false">IF($A887="","",DATE(YEAR($A887),MONTH($A887),1))</f>
        <v/>
      </c>
    </row>
    <row r="888" customFormat="false" ht="15" hidden="false" customHeight="false" outlineLevel="0" collapsed="false">
      <c r="A888" s="44"/>
      <c r="B888" s="6"/>
      <c r="C888" s="6"/>
      <c r="D888" s="8" t="str">
        <f aca="false">IF($C888="","",IFERROR(INDEX(PRODUCTOS!$B$6:$B$105,MATCH($C888,PRODUCTOS!$A$6:$A$105,0)),"¿Código?"))</f>
        <v/>
      </c>
      <c r="E888" s="42"/>
      <c r="F888" s="35" t="str">
        <f aca="false">IF($C888="","",IFERROR(INDEX(PRODUCTOS!$D$6:$D$105,MATCH($C888,PRODUCTOS!$A$6:$A$105,0)),0))</f>
        <v/>
      </c>
      <c r="G888" s="40"/>
      <c r="H888" s="35" t="str">
        <f aca="false">IF($C888="","",N($E888)*$F888-N($G888))</f>
        <v/>
      </c>
      <c r="I888" s="35" t="str">
        <f aca="false">IF($C888="","",$H888-$H888/(1+IFERROR(INDEX(PRODUCTOS!$E$6:$E$105,MATCH($C888,PRODUCTOS!$A$6:$A$105,0)),IVA_VENTAS)))</f>
        <v/>
      </c>
      <c r="J888" s="35" t="str">
        <f aca="false">IF($C888="","",$H888-$I888)</f>
        <v/>
      </c>
      <c r="K888" s="35" t="str">
        <f aca="false">IF($C888="","",N($E888)*IFERROR(INDEX(PRODUCTOS!$H$6:$H$105,MATCH($C888,PRODUCTOS!$A$6:$A$105,0)),0))</f>
        <v/>
      </c>
      <c r="L888" s="35" t="str">
        <f aca="false">IF($C888="","",$J888-$K888)</f>
        <v/>
      </c>
      <c r="M888" s="6"/>
      <c r="N888" s="6"/>
      <c r="O888" s="46" t="str">
        <f aca="false">IF($A888="","",DATE(YEAR($A888),MONTH($A888),1))</f>
        <v/>
      </c>
    </row>
    <row r="889" customFormat="false" ht="15" hidden="false" customHeight="false" outlineLevel="0" collapsed="false">
      <c r="A889" s="44"/>
      <c r="B889" s="6"/>
      <c r="C889" s="6"/>
      <c r="D889" s="8" t="str">
        <f aca="false">IF($C889="","",IFERROR(INDEX(PRODUCTOS!$B$6:$B$105,MATCH($C889,PRODUCTOS!$A$6:$A$105,0)),"¿Código?"))</f>
        <v/>
      </c>
      <c r="E889" s="42"/>
      <c r="F889" s="35" t="str">
        <f aca="false">IF($C889="","",IFERROR(INDEX(PRODUCTOS!$D$6:$D$105,MATCH($C889,PRODUCTOS!$A$6:$A$105,0)),0))</f>
        <v/>
      </c>
      <c r="G889" s="40"/>
      <c r="H889" s="35" t="str">
        <f aca="false">IF($C889="","",N($E889)*$F889-N($G889))</f>
        <v/>
      </c>
      <c r="I889" s="35" t="str">
        <f aca="false">IF($C889="","",$H889-$H889/(1+IFERROR(INDEX(PRODUCTOS!$E$6:$E$105,MATCH($C889,PRODUCTOS!$A$6:$A$105,0)),IVA_VENTAS)))</f>
        <v/>
      </c>
      <c r="J889" s="35" t="str">
        <f aca="false">IF($C889="","",$H889-$I889)</f>
        <v/>
      </c>
      <c r="K889" s="35" t="str">
        <f aca="false">IF($C889="","",N($E889)*IFERROR(INDEX(PRODUCTOS!$H$6:$H$105,MATCH($C889,PRODUCTOS!$A$6:$A$105,0)),0))</f>
        <v/>
      </c>
      <c r="L889" s="35" t="str">
        <f aca="false">IF($C889="","",$J889-$K889)</f>
        <v/>
      </c>
      <c r="M889" s="6"/>
      <c r="N889" s="6"/>
      <c r="O889" s="46" t="str">
        <f aca="false">IF($A889="","",DATE(YEAR($A889),MONTH($A889),1))</f>
        <v/>
      </c>
    </row>
    <row r="890" customFormat="false" ht="15" hidden="false" customHeight="false" outlineLevel="0" collapsed="false">
      <c r="A890" s="44"/>
      <c r="B890" s="6"/>
      <c r="C890" s="6"/>
      <c r="D890" s="8" t="str">
        <f aca="false">IF($C890="","",IFERROR(INDEX(PRODUCTOS!$B$6:$B$105,MATCH($C890,PRODUCTOS!$A$6:$A$105,0)),"¿Código?"))</f>
        <v/>
      </c>
      <c r="E890" s="42"/>
      <c r="F890" s="35" t="str">
        <f aca="false">IF($C890="","",IFERROR(INDEX(PRODUCTOS!$D$6:$D$105,MATCH($C890,PRODUCTOS!$A$6:$A$105,0)),0))</f>
        <v/>
      </c>
      <c r="G890" s="40"/>
      <c r="H890" s="35" t="str">
        <f aca="false">IF($C890="","",N($E890)*$F890-N($G890))</f>
        <v/>
      </c>
      <c r="I890" s="35" t="str">
        <f aca="false">IF($C890="","",$H890-$H890/(1+IFERROR(INDEX(PRODUCTOS!$E$6:$E$105,MATCH($C890,PRODUCTOS!$A$6:$A$105,0)),IVA_VENTAS)))</f>
        <v/>
      </c>
      <c r="J890" s="35" t="str">
        <f aca="false">IF($C890="","",$H890-$I890)</f>
        <v/>
      </c>
      <c r="K890" s="35" t="str">
        <f aca="false">IF($C890="","",N($E890)*IFERROR(INDEX(PRODUCTOS!$H$6:$H$105,MATCH($C890,PRODUCTOS!$A$6:$A$105,0)),0))</f>
        <v/>
      </c>
      <c r="L890" s="35" t="str">
        <f aca="false">IF($C890="","",$J890-$K890)</f>
        <v/>
      </c>
      <c r="M890" s="6"/>
      <c r="N890" s="6"/>
      <c r="O890" s="46" t="str">
        <f aca="false">IF($A890="","",DATE(YEAR($A890),MONTH($A890),1))</f>
        <v/>
      </c>
    </row>
    <row r="891" customFormat="false" ht="15" hidden="false" customHeight="false" outlineLevel="0" collapsed="false">
      <c r="A891" s="44"/>
      <c r="B891" s="6"/>
      <c r="C891" s="6"/>
      <c r="D891" s="8" t="str">
        <f aca="false">IF($C891="","",IFERROR(INDEX(PRODUCTOS!$B$6:$B$105,MATCH($C891,PRODUCTOS!$A$6:$A$105,0)),"¿Código?"))</f>
        <v/>
      </c>
      <c r="E891" s="42"/>
      <c r="F891" s="35" t="str">
        <f aca="false">IF($C891="","",IFERROR(INDEX(PRODUCTOS!$D$6:$D$105,MATCH($C891,PRODUCTOS!$A$6:$A$105,0)),0))</f>
        <v/>
      </c>
      <c r="G891" s="40"/>
      <c r="H891" s="35" t="str">
        <f aca="false">IF($C891="","",N($E891)*$F891-N($G891))</f>
        <v/>
      </c>
      <c r="I891" s="35" t="str">
        <f aca="false">IF($C891="","",$H891-$H891/(1+IFERROR(INDEX(PRODUCTOS!$E$6:$E$105,MATCH($C891,PRODUCTOS!$A$6:$A$105,0)),IVA_VENTAS)))</f>
        <v/>
      </c>
      <c r="J891" s="35" t="str">
        <f aca="false">IF($C891="","",$H891-$I891)</f>
        <v/>
      </c>
      <c r="K891" s="35" t="str">
        <f aca="false">IF($C891="","",N($E891)*IFERROR(INDEX(PRODUCTOS!$H$6:$H$105,MATCH($C891,PRODUCTOS!$A$6:$A$105,0)),0))</f>
        <v/>
      </c>
      <c r="L891" s="35" t="str">
        <f aca="false">IF($C891="","",$J891-$K891)</f>
        <v/>
      </c>
      <c r="M891" s="6"/>
      <c r="N891" s="6"/>
      <c r="O891" s="46" t="str">
        <f aca="false">IF($A891="","",DATE(YEAR($A891),MONTH($A891),1))</f>
        <v/>
      </c>
    </row>
    <row r="892" customFormat="false" ht="15" hidden="false" customHeight="false" outlineLevel="0" collapsed="false">
      <c r="A892" s="44"/>
      <c r="B892" s="6"/>
      <c r="C892" s="6"/>
      <c r="D892" s="8" t="str">
        <f aca="false">IF($C892="","",IFERROR(INDEX(PRODUCTOS!$B$6:$B$105,MATCH($C892,PRODUCTOS!$A$6:$A$105,0)),"¿Código?"))</f>
        <v/>
      </c>
      <c r="E892" s="42"/>
      <c r="F892" s="35" t="str">
        <f aca="false">IF($C892="","",IFERROR(INDEX(PRODUCTOS!$D$6:$D$105,MATCH($C892,PRODUCTOS!$A$6:$A$105,0)),0))</f>
        <v/>
      </c>
      <c r="G892" s="40"/>
      <c r="H892" s="35" t="str">
        <f aca="false">IF($C892="","",N($E892)*$F892-N($G892))</f>
        <v/>
      </c>
      <c r="I892" s="35" t="str">
        <f aca="false">IF($C892="","",$H892-$H892/(1+IFERROR(INDEX(PRODUCTOS!$E$6:$E$105,MATCH($C892,PRODUCTOS!$A$6:$A$105,0)),IVA_VENTAS)))</f>
        <v/>
      </c>
      <c r="J892" s="35" t="str">
        <f aca="false">IF($C892="","",$H892-$I892)</f>
        <v/>
      </c>
      <c r="K892" s="35" t="str">
        <f aca="false">IF($C892="","",N($E892)*IFERROR(INDEX(PRODUCTOS!$H$6:$H$105,MATCH($C892,PRODUCTOS!$A$6:$A$105,0)),0))</f>
        <v/>
      </c>
      <c r="L892" s="35" t="str">
        <f aca="false">IF($C892="","",$J892-$K892)</f>
        <v/>
      </c>
      <c r="M892" s="6"/>
      <c r="N892" s="6"/>
      <c r="O892" s="46" t="str">
        <f aca="false">IF($A892="","",DATE(YEAR($A892),MONTH($A892),1))</f>
        <v/>
      </c>
    </row>
    <row r="893" customFormat="false" ht="15" hidden="false" customHeight="false" outlineLevel="0" collapsed="false">
      <c r="A893" s="44"/>
      <c r="B893" s="6"/>
      <c r="C893" s="6"/>
      <c r="D893" s="8" t="str">
        <f aca="false">IF($C893="","",IFERROR(INDEX(PRODUCTOS!$B$6:$B$105,MATCH($C893,PRODUCTOS!$A$6:$A$105,0)),"¿Código?"))</f>
        <v/>
      </c>
      <c r="E893" s="42"/>
      <c r="F893" s="35" t="str">
        <f aca="false">IF($C893="","",IFERROR(INDEX(PRODUCTOS!$D$6:$D$105,MATCH($C893,PRODUCTOS!$A$6:$A$105,0)),0))</f>
        <v/>
      </c>
      <c r="G893" s="40"/>
      <c r="H893" s="35" t="str">
        <f aca="false">IF($C893="","",N($E893)*$F893-N($G893))</f>
        <v/>
      </c>
      <c r="I893" s="35" t="str">
        <f aca="false">IF($C893="","",$H893-$H893/(1+IFERROR(INDEX(PRODUCTOS!$E$6:$E$105,MATCH($C893,PRODUCTOS!$A$6:$A$105,0)),IVA_VENTAS)))</f>
        <v/>
      </c>
      <c r="J893" s="35" t="str">
        <f aca="false">IF($C893="","",$H893-$I893)</f>
        <v/>
      </c>
      <c r="K893" s="35" t="str">
        <f aca="false">IF($C893="","",N($E893)*IFERROR(INDEX(PRODUCTOS!$H$6:$H$105,MATCH($C893,PRODUCTOS!$A$6:$A$105,0)),0))</f>
        <v/>
      </c>
      <c r="L893" s="35" t="str">
        <f aca="false">IF($C893="","",$J893-$K893)</f>
        <v/>
      </c>
      <c r="M893" s="6"/>
      <c r="N893" s="6"/>
      <c r="O893" s="46" t="str">
        <f aca="false">IF($A893="","",DATE(YEAR($A893),MONTH($A893),1))</f>
        <v/>
      </c>
    </row>
    <row r="894" customFormat="false" ht="15" hidden="false" customHeight="false" outlineLevel="0" collapsed="false">
      <c r="A894" s="44"/>
      <c r="B894" s="6"/>
      <c r="C894" s="6"/>
      <c r="D894" s="8" t="str">
        <f aca="false">IF($C894="","",IFERROR(INDEX(PRODUCTOS!$B$6:$B$105,MATCH($C894,PRODUCTOS!$A$6:$A$105,0)),"¿Código?"))</f>
        <v/>
      </c>
      <c r="E894" s="42"/>
      <c r="F894" s="35" t="str">
        <f aca="false">IF($C894="","",IFERROR(INDEX(PRODUCTOS!$D$6:$D$105,MATCH($C894,PRODUCTOS!$A$6:$A$105,0)),0))</f>
        <v/>
      </c>
      <c r="G894" s="40"/>
      <c r="H894" s="35" t="str">
        <f aca="false">IF($C894="","",N($E894)*$F894-N($G894))</f>
        <v/>
      </c>
      <c r="I894" s="35" t="str">
        <f aca="false">IF($C894="","",$H894-$H894/(1+IFERROR(INDEX(PRODUCTOS!$E$6:$E$105,MATCH($C894,PRODUCTOS!$A$6:$A$105,0)),IVA_VENTAS)))</f>
        <v/>
      </c>
      <c r="J894" s="35" t="str">
        <f aca="false">IF($C894="","",$H894-$I894)</f>
        <v/>
      </c>
      <c r="K894" s="35" t="str">
        <f aca="false">IF($C894="","",N($E894)*IFERROR(INDEX(PRODUCTOS!$H$6:$H$105,MATCH($C894,PRODUCTOS!$A$6:$A$105,0)),0))</f>
        <v/>
      </c>
      <c r="L894" s="35" t="str">
        <f aca="false">IF($C894="","",$J894-$K894)</f>
        <v/>
      </c>
      <c r="M894" s="6"/>
      <c r="N894" s="6"/>
      <c r="O894" s="46" t="str">
        <f aca="false">IF($A894="","",DATE(YEAR($A894),MONTH($A894),1))</f>
        <v/>
      </c>
    </row>
    <row r="895" customFormat="false" ht="15" hidden="false" customHeight="false" outlineLevel="0" collapsed="false">
      <c r="A895" s="44"/>
      <c r="B895" s="6"/>
      <c r="C895" s="6"/>
      <c r="D895" s="8" t="str">
        <f aca="false">IF($C895="","",IFERROR(INDEX(PRODUCTOS!$B$6:$B$105,MATCH($C895,PRODUCTOS!$A$6:$A$105,0)),"¿Código?"))</f>
        <v/>
      </c>
      <c r="E895" s="42"/>
      <c r="F895" s="35" t="str">
        <f aca="false">IF($C895="","",IFERROR(INDEX(PRODUCTOS!$D$6:$D$105,MATCH($C895,PRODUCTOS!$A$6:$A$105,0)),0))</f>
        <v/>
      </c>
      <c r="G895" s="40"/>
      <c r="H895" s="35" t="str">
        <f aca="false">IF($C895="","",N($E895)*$F895-N($G895))</f>
        <v/>
      </c>
      <c r="I895" s="35" t="str">
        <f aca="false">IF($C895="","",$H895-$H895/(1+IFERROR(INDEX(PRODUCTOS!$E$6:$E$105,MATCH($C895,PRODUCTOS!$A$6:$A$105,0)),IVA_VENTAS)))</f>
        <v/>
      </c>
      <c r="J895" s="35" t="str">
        <f aca="false">IF($C895="","",$H895-$I895)</f>
        <v/>
      </c>
      <c r="K895" s="35" t="str">
        <f aca="false">IF($C895="","",N($E895)*IFERROR(INDEX(PRODUCTOS!$H$6:$H$105,MATCH($C895,PRODUCTOS!$A$6:$A$105,0)),0))</f>
        <v/>
      </c>
      <c r="L895" s="35" t="str">
        <f aca="false">IF($C895="","",$J895-$K895)</f>
        <v/>
      </c>
      <c r="M895" s="6"/>
      <c r="N895" s="6"/>
      <c r="O895" s="46" t="str">
        <f aca="false">IF($A895="","",DATE(YEAR($A895),MONTH($A895),1))</f>
        <v/>
      </c>
    </row>
    <row r="896" customFormat="false" ht="15" hidden="false" customHeight="false" outlineLevel="0" collapsed="false">
      <c r="A896" s="44"/>
      <c r="B896" s="6"/>
      <c r="C896" s="6"/>
      <c r="D896" s="8" t="str">
        <f aca="false">IF($C896="","",IFERROR(INDEX(PRODUCTOS!$B$6:$B$105,MATCH($C896,PRODUCTOS!$A$6:$A$105,0)),"¿Código?"))</f>
        <v/>
      </c>
      <c r="E896" s="42"/>
      <c r="F896" s="35" t="str">
        <f aca="false">IF($C896="","",IFERROR(INDEX(PRODUCTOS!$D$6:$D$105,MATCH($C896,PRODUCTOS!$A$6:$A$105,0)),0))</f>
        <v/>
      </c>
      <c r="G896" s="40"/>
      <c r="H896" s="35" t="str">
        <f aca="false">IF($C896="","",N($E896)*$F896-N($G896))</f>
        <v/>
      </c>
      <c r="I896" s="35" t="str">
        <f aca="false">IF($C896="","",$H896-$H896/(1+IFERROR(INDEX(PRODUCTOS!$E$6:$E$105,MATCH($C896,PRODUCTOS!$A$6:$A$105,0)),IVA_VENTAS)))</f>
        <v/>
      </c>
      <c r="J896" s="35" t="str">
        <f aca="false">IF($C896="","",$H896-$I896)</f>
        <v/>
      </c>
      <c r="K896" s="35" t="str">
        <f aca="false">IF($C896="","",N($E896)*IFERROR(INDEX(PRODUCTOS!$H$6:$H$105,MATCH($C896,PRODUCTOS!$A$6:$A$105,0)),0))</f>
        <v/>
      </c>
      <c r="L896" s="35" t="str">
        <f aca="false">IF($C896="","",$J896-$K896)</f>
        <v/>
      </c>
      <c r="M896" s="6"/>
      <c r="N896" s="6"/>
      <c r="O896" s="46" t="str">
        <f aca="false">IF($A896="","",DATE(YEAR($A896),MONTH($A896),1))</f>
        <v/>
      </c>
    </row>
    <row r="897" customFormat="false" ht="15" hidden="false" customHeight="false" outlineLevel="0" collapsed="false">
      <c r="A897" s="44"/>
      <c r="B897" s="6"/>
      <c r="C897" s="6"/>
      <c r="D897" s="8" t="str">
        <f aca="false">IF($C897="","",IFERROR(INDEX(PRODUCTOS!$B$6:$B$105,MATCH($C897,PRODUCTOS!$A$6:$A$105,0)),"¿Código?"))</f>
        <v/>
      </c>
      <c r="E897" s="42"/>
      <c r="F897" s="35" t="str">
        <f aca="false">IF($C897="","",IFERROR(INDEX(PRODUCTOS!$D$6:$D$105,MATCH($C897,PRODUCTOS!$A$6:$A$105,0)),0))</f>
        <v/>
      </c>
      <c r="G897" s="40"/>
      <c r="H897" s="35" t="str">
        <f aca="false">IF($C897="","",N($E897)*$F897-N($G897))</f>
        <v/>
      </c>
      <c r="I897" s="35" t="str">
        <f aca="false">IF($C897="","",$H897-$H897/(1+IFERROR(INDEX(PRODUCTOS!$E$6:$E$105,MATCH($C897,PRODUCTOS!$A$6:$A$105,0)),IVA_VENTAS)))</f>
        <v/>
      </c>
      <c r="J897" s="35" t="str">
        <f aca="false">IF($C897="","",$H897-$I897)</f>
        <v/>
      </c>
      <c r="K897" s="35" t="str">
        <f aca="false">IF($C897="","",N($E897)*IFERROR(INDEX(PRODUCTOS!$H$6:$H$105,MATCH($C897,PRODUCTOS!$A$6:$A$105,0)),0))</f>
        <v/>
      </c>
      <c r="L897" s="35" t="str">
        <f aca="false">IF($C897="","",$J897-$K897)</f>
        <v/>
      </c>
      <c r="M897" s="6"/>
      <c r="N897" s="6"/>
      <c r="O897" s="46" t="str">
        <f aca="false">IF($A897="","",DATE(YEAR($A897),MONTH($A897),1))</f>
        <v/>
      </c>
    </row>
    <row r="898" customFormat="false" ht="15" hidden="false" customHeight="false" outlineLevel="0" collapsed="false">
      <c r="A898" s="44"/>
      <c r="B898" s="6"/>
      <c r="C898" s="6"/>
      <c r="D898" s="8" t="str">
        <f aca="false">IF($C898="","",IFERROR(INDEX(PRODUCTOS!$B$6:$B$105,MATCH($C898,PRODUCTOS!$A$6:$A$105,0)),"¿Código?"))</f>
        <v/>
      </c>
      <c r="E898" s="42"/>
      <c r="F898" s="35" t="str">
        <f aca="false">IF($C898="","",IFERROR(INDEX(PRODUCTOS!$D$6:$D$105,MATCH($C898,PRODUCTOS!$A$6:$A$105,0)),0))</f>
        <v/>
      </c>
      <c r="G898" s="40"/>
      <c r="H898" s="35" t="str">
        <f aca="false">IF($C898="","",N($E898)*$F898-N($G898))</f>
        <v/>
      </c>
      <c r="I898" s="35" t="str">
        <f aca="false">IF($C898="","",$H898-$H898/(1+IFERROR(INDEX(PRODUCTOS!$E$6:$E$105,MATCH($C898,PRODUCTOS!$A$6:$A$105,0)),IVA_VENTAS)))</f>
        <v/>
      </c>
      <c r="J898" s="35" t="str">
        <f aca="false">IF($C898="","",$H898-$I898)</f>
        <v/>
      </c>
      <c r="K898" s="35" t="str">
        <f aca="false">IF($C898="","",N($E898)*IFERROR(INDEX(PRODUCTOS!$H$6:$H$105,MATCH($C898,PRODUCTOS!$A$6:$A$105,0)),0))</f>
        <v/>
      </c>
      <c r="L898" s="35" t="str">
        <f aca="false">IF($C898="","",$J898-$K898)</f>
        <v/>
      </c>
      <c r="M898" s="6"/>
      <c r="N898" s="6"/>
      <c r="O898" s="46" t="str">
        <f aca="false">IF($A898="","",DATE(YEAR($A898),MONTH($A898),1))</f>
        <v/>
      </c>
    </row>
    <row r="899" customFormat="false" ht="15" hidden="false" customHeight="false" outlineLevel="0" collapsed="false">
      <c r="A899" s="44"/>
      <c r="B899" s="6"/>
      <c r="C899" s="6"/>
      <c r="D899" s="8" t="str">
        <f aca="false">IF($C899="","",IFERROR(INDEX(PRODUCTOS!$B$6:$B$105,MATCH($C899,PRODUCTOS!$A$6:$A$105,0)),"¿Código?"))</f>
        <v/>
      </c>
      <c r="E899" s="42"/>
      <c r="F899" s="35" t="str">
        <f aca="false">IF($C899="","",IFERROR(INDEX(PRODUCTOS!$D$6:$D$105,MATCH($C899,PRODUCTOS!$A$6:$A$105,0)),0))</f>
        <v/>
      </c>
      <c r="G899" s="40"/>
      <c r="H899" s="35" t="str">
        <f aca="false">IF($C899="","",N($E899)*$F899-N($G899))</f>
        <v/>
      </c>
      <c r="I899" s="35" t="str">
        <f aca="false">IF($C899="","",$H899-$H899/(1+IFERROR(INDEX(PRODUCTOS!$E$6:$E$105,MATCH($C899,PRODUCTOS!$A$6:$A$105,0)),IVA_VENTAS)))</f>
        <v/>
      </c>
      <c r="J899" s="35" t="str">
        <f aca="false">IF($C899="","",$H899-$I899)</f>
        <v/>
      </c>
      <c r="K899" s="35" t="str">
        <f aca="false">IF($C899="","",N($E899)*IFERROR(INDEX(PRODUCTOS!$H$6:$H$105,MATCH($C899,PRODUCTOS!$A$6:$A$105,0)),0))</f>
        <v/>
      </c>
      <c r="L899" s="35" t="str">
        <f aca="false">IF($C899="","",$J899-$K899)</f>
        <v/>
      </c>
      <c r="M899" s="6"/>
      <c r="N899" s="6"/>
      <c r="O899" s="46" t="str">
        <f aca="false">IF($A899="","",DATE(YEAR($A899),MONTH($A899),1))</f>
        <v/>
      </c>
    </row>
    <row r="900" customFormat="false" ht="15" hidden="false" customHeight="false" outlineLevel="0" collapsed="false">
      <c r="A900" s="44"/>
      <c r="B900" s="6"/>
      <c r="C900" s="6"/>
      <c r="D900" s="8" t="str">
        <f aca="false">IF($C900="","",IFERROR(INDEX(PRODUCTOS!$B$6:$B$105,MATCH($C900,PRODUCTOS!$A$6:$A$105,0)),"¿Código?"))</f>
        <v/>
      </c>
      <c r="E900" s="42"/>
      <c r="F900" s="35" t="str">
        <f aca="false">IF($C900="","",IFERROR(INDEX(PRODUCTOS!$D$6:$D$105,MATCH($C900,PRODUCTOS!$A$6:$A$105,0)),0))</f>
        <v/>
      </c>
      <c r="G900" s="40"/>
      <c r="H900" s="35" t="str">
        <f aca="false">IF($C900="","",N($E900)*$F900-N($G900))</f>
        <v/>
      </c>
      <c r="I900" s="35" t="str">
        <f aca="false">IF($C900="","",$H900-$H900/(1+IFERROR(INDEX(PRODUCTOS!$E$6:$E$105,MATCH($C900,PRODUCTOS!$A$6:$A$105,0)),IVA_VENTAS)))</f>
        <v/>
      </c>
      <c r="J900" s="35" t="str">
        <f aca="false">IF($C900="","",$H900-$I900)</f>
        <v/>
      </c>
      <c r="K900" s="35" t="str">
        <f aca="false">IF($C900="","",N($E900)*IFERROR(INDEX(PRODUCTOS!$H$6:$H$105,MATCH($C900,PRODUCTOS!$A$6:$A$105,0)),0))</f>
        <v/>
      </c>
      <c r="L900" s="35" t="str">
        <f aca="false">IF($C900="","",$J900-$K900)</f>
        <v/>
      </c>
      <c r="M900" s="6"/>
      <c r="N900" s="6"/>
      <c r="O900" s="46" t="str">
        <f aca="false">IF($A900="","",DATE(YEAR($A900),MONTH($A900),1))</f>
        <v/>
      </c>
    </row>
    <row r="901" customFormat="false" ht="15" hidden="false" customHeight="false" outlineLevel="0" collapsed="false">
      <c r="A901" s="44"/>
      <c r="B901" s="6"/>
      <c r="C901" s="6"/>
      <c r="D901" s="8" t="str">
        <f aca="false">IF($C901="","",IFERROR(INDEX(PRODUCTOS!$B$6:$B$105,MATCH($C901,PRODUCTOS!$A$6:$A$105,0)),"¿Código?"))</f>
        <v/>
      </c>
      <c r="E901" s="42"/>
      <c r="F901" s="35" t="str">
        <f aca="false">IF($C901="","",IFERROR(INDEX(PRODUCTOS!$D$6:$D$105,MATCH($C901,PRODUCTOS!$A$6:$A$105,0)),0))</f>
        <v/>
      </c>
      <c r="G901" s="40"/>
      <c r="H901" s="35" t="str">
        <f aca="false">IF($C901="","",N($E901)*$F901-N($G901))</f>
        <v/>
      </c>
      <c r="I901" s="35" t="str">
        <f aca="false">IF($C901="","",$H901-$H901/(1+IFERROR(INDEX(PRODUCTOS!$E$6:$E$105,MATCH($C901,PRODUCTOS!$A$6:$A$105,0)),IVA_VENTAS)))</f>
        <v/>
      </c>
      <c r="J901" s="35" t="str">
        <f aca="false">IF($C901="","",$H901-$I901)</f>
        <v/>
      </c>
      <c r="K901" s="35" t="str">
        <f aca="false">IF($C901="","",N($E901)*IFERROR(INDEX(PRODUCTOS!$H$6:$H$105,MATCH($C901,PRODUCTOS!$A$6:$A$105,0)),0))</f>
        <v/>
      </c>
      <c r="L901" s="35" t="str">
        <f aca="false">IF($C901="","",$J901-$K901)</f>
        <v/>
      </c>
      <c r="M901" s="6"/>
      <c r="N901" s="6"/>
      <c r="O901" s="46" t="str">
        <f aca="false">IF($A901="","",DATE(YEAR($A901),MONTH($A901),1))</f>
        <v/>
      </c>
    </row>
    <row r="902" customFormat="false" ht="15" hidden="false" customHeight="false" outlineLevel="0" collapsed="false">
      <c r="A902" s="44"/>
      <c r="B902" s="6"/>
      <c r="C902" s="6"/>
      <c r="D902" s="8" t="str">
        <f aca="false">IF($C902="","",IFERROR(INDEX(PRODUCTOS!$B$6:$B$105,MATCH($C902,PRODUCTOS!$A$6:$A$105,0)),"¿Código?"))</f>
        <v/>
      </c>
      <c r="E902" s="42"/>
      <c r="F902" s="35" t="str">
        <f aca="false">IF($C902="","",IFERROR(INDEX(PRODUCTOS!$D$6:$D$105,MATCH($C902,PRODUCTOS!$A$6:$A$105,0)),0))</f>
        <v/>
      </c>
      <c r="G902" s="40"/>
      <c r="H902" s="35" t="str">
        <f aca="false">IF($C902="","",N($E902)*$F902-N($G902))</f>
        <v/>
      </c>
      <c r="I902" s="35" t="str">
        <f aca="false">IF($C902="","",$H902-$H902/(1+IFERROR(INDEX(PRODUCTOS!$E$6:$E$105,MATCH($C902,PRODUCTOS!$A$6:$A$105,0)),IVA_VENTAS)))</f>
        <v/>
      </c>
      <c r="J902" s="35" t="str">
        <f aca="false">IF($C902="","",$H902-$I902)</f>
        <v/>
      </c>
      <c r="K902" s="35" t="str">
        <f aca="false">IF($C902="","",N($E902)*IFERROR(INDEX(PRODUCTOS!$H$6:$H$105,MATCH($C902,PRODUCTOS!$A$6:$A$105,0)),0))</f>
        <v/>
      </c>
      <c r="L902" s="35" t="str">
        <f aca="false">IF($C902="","",$J902-$K902)</f>
        <v/>
      </c>
      <c r="M902" s="6"/>
      <c r="N902" s="6"/>
      <c r="O902" s="46" t="str">
        <f aca="false">IF($A902="","",DATE(YEAR($A902),MONTH($A902),1))</f>
        <v/>
      </c>
    </row>
    <row r="903" customFormat="false" ht="15" hidden="false" customHeight="false" outlineLevel="0" collapsed="false">
      <c r="A903" s="44"/>
      <c r="B903" s="6"/>
      <c r="C903" s="6"/>
      <c r="D903" s="8" t="str">
        <f aca="false">IF($C903="","",IFERROR(INDEX(PRODUCTOS!$B$6:$B$105,MATCH($C903,PRODUCTOS!$A$6:$A$105,0)),"¿Código?"))</f>
        <v/>
      </c>
      <c r="E903" s="42"/>
      <c r="F903" s="35" t="str">
        <f aca="false">IF($C903="","",IFERROR(INDEX(PRODUCTOS!$D$6:$D$105,MATCH($C903,PRODUCTOS!$A$6:$A$105,0)),0))</f>
        <v/>
      </c>
      <c r="G903" s="40"/>
      <c r="H903" s="35" t="str">
        <f aca="false">IF($C903="","",N($E903)*$F903-N($G903))</f>
        <v/>
      </c>
      <c r="I903" s="35" t="str">
        <f aca="false">IF($C903="","",$H903-$H903/(1+IFERROR(INDEX(PRODUCTOS!$E$6:$E$105,MATCH($C903,PRODUCTOS!$A$6:$A$105,0)),IVA_VENTAS)))</f>
        <v/>
      </c>
      <c r="J903" s="35" t="str">
        <f aca="false">IF($C903="","",$H903-$I903)</f>
        <v/>
      </c>
      <c r="K903" s="35" t="str">
        <f aca="false">IF($C903="","",N($E903)*IFERROR(INDEX(PRODUCTOS!$H$6:$H$105,MATCH($C903,PRODUCTOS!$A$6:$A$105,0)),0))</f>
        <v/>
      </c>
      <c r="L903" s="35" t="str">
        <f aca="false">IF($C903="","",$J903-$K903)</f>
        <v/>
      </c>
      <c r="M903" s="6"/>
      <c r="N903" s="6"/>
      <c r="O903" s="46" t="str">
        <f aca="false">IF($A903="","",DATE(YEAR($A903),MONTH($A903),1))</f>
        <v/>
      </c>
    </row>
    <row r="904" customFormat="false" ht="15" hidden="false" customHeight="false" outlineLevel="0" collapsed="false">
      <c r="A904" s="44"/>
      <c r="B904" s="6"/>
      <c r="C904" s="6"/>
      <c r="D904" s="8" t="str">
        <f aca="false">IF($C904="","",IFERROR(INDEX(PRODUCTOS!$B$6:$B$105,MATCH($C904,PRODUCTOS!$A$6:$A$105,0)),"¿Código?"))</f>
        <v/>
      </c>
      <c r="E904" s="42"/>
      <c r="F904" s="35" t="str">
        <f aca="false">IF($C904="","",IFERROR(INDEX(PRODUCTOS!$D$6:$D$105,MATCH($C904,PRODUCTOS!$A$6:$A$105,0)),0))</f>
        <v/>
      </c>
      <c r="G904" s="40"/>
      <c r="H904" s="35" t="str">
        <f aca="false">IF($C904="","",N($E904)*$F904-N($G904))</f>
        <v/>
      </c>
      <c r="I904" s="35" t="str">
        <f aca="false">IF($C904="","",$H904-$H904/(1+IFERROR(INDEX(PRODUCTOS!$E$6:$E$105,MATCH($C904,PRODUCTOS!$A$6:$A$105,0)),IVA_VENTAS)))</f>
        <v/>
      </c>
      <c r="J904" s="35" t="str">
        <f aca="false">IF($C904="","",$H904-$I904)</f>
        <v/>
      </c>
      <c r="K904" s="35" t="str">
        <f aca="false">IF($C904="","",N($E904)*IFERROR(INDEX(PRODUCTOS!$H$6:$H$105,MATCH($C904,PRODUCTOS!$A$6:$A$105,0)),0))</f>
        <v/>
      </c>
      <c r="L904" s="35" t="str">
        <f aca="false">IF($C904="","",$J904-$K904)</f>
        <v/>
      </c>
      <c r="M904" s="6"/>
      <c r="N904" s="6"/>
      <c r="O904" s="46" t="str">
        <f aca="false">IF($A904="","",DATE(YEAR($A904),MONTH($A904),1))</f>
        <v/>
      </c>
    </row>
    <row r="905" customFormat="false" ht="15" hidden="false" customHeight="false" outlineLevel="0" collapsed="false">
      <c r="A905" s="44"/>
      <c r="B905" s="6"/>
      <c r="C905" s="6"/>
      <c r="D905" s="8" t="str">
        <f aca="false">IF($C905="","",IFERROR(INDEX(PRODUCTOS!$B$6:$B$105,MATCH($C905,PRODUCTOS!$A$6:$A$105,0)),"¿Código?"))</f>
        <v/>
      </c>
      <c r="E905" s="42"/>
      <c r="F905" s="35" t="str">
        <f aca="false">IF($C905="","",IFERROR(INDEX(PRODUCTOS!$D$6:$D$105,MATCH($C905,PRODUCTOS!$A$6:$A$105,0)),0))</f>
        <v/>
      </c>
      <c r="G905" s="40"/>
      <c r="H905" s="35" t="str">
        <f aca="false">IF($C905="","",N($E905)*$F905-N($G905))</f>
        <v/>
      </c>
      <c r="I905" s="35" t="str">
        <f aca="false">IF($C905="","",$H905-$H905/(1+IFERROR(INDEX(PRODUCTOS!$E$6:$E$105,MATCH($C905,PRODUCTOS!$A$6:$A$105,0)),IVA_VENTAS)))</f>
        <v/>
      </c>
      <c r="J905" s="35" t="str">
        <f aca="false">IF($C905="","",$H905-$I905)</f>
        <v/>
      </c>
      <c r="K905" s="35" t="str">
        <f aca="false">IF($C905="","",N($E905)*IFERROR(INDEX(PRODUCTOS!$H$6:$H$105,MATCH($C905,PRODUCTOS!$A$6:$A$105,0)),0))</f>
        <v/>
      </c>
      <c r="L905" s="35" t="str">
        <f aca="false">IF($C905="","",$J905-$K905)</f>
        <v/>
      </c>
      <c r="M905" s="6"/>
      <c r="N905" s="6"/>
      <c r="O905" s="46" t="str">
        <f aca="false">IF($A905="","",DATE(YEAR($A905),MONTH($A905),1))</f>
        <v/>
      </c>
    </row>
    <row r="906" customFormat="false" ht="15" hidden="false" customHeight="false" outlineLevel="0" collapsed="false">
      <c r="A906" s="44"/>
      <c r="B906" s="6"/>
      <c r="C906" s="6"/>
      <c r="D906" s="8" t="str">
        <f aca="false">IF($C906="","",IFERROR(INDEX(PRODUCTOS!$B$6:$B$105,MATCH($C906,PRODUCTOS!$A$6:$A$105,0)),"¿Código?"))</f>
        <v/>
      </c>
      <c r="E906" s="42"/>
      <c r="F906" s="35" t="str">
        <f aca="false">IF($C906="","",IFERROR(INDEX(PRODUCTOS!$D$6:$D$105,MATCH($C906,PRODUCTOS!$A$6:$A$105,0)),0))</f>
        <v/>
      </c>
      <c r="G906" s="40"/>
      <c r="H906" s="35" t="str">
        <f aca="false">IF($C906="","",N($E906)*$F906-N($G906))</f>
        <v/>
      </c>
      <c r="I906" s="35" t="str">
        <f aca="false">IF($C906="","",$H906-$H906/(1+IFERROR(INDEX(PRODUCTOS!$E$6:$E$105,MATCH($C906,PRODUCTOS!$A$6:$A$105,0)),IVA_VENTAS)))</f>
        <v/>
      </c>
      <c r="J906" s="35" t="str">
        <f aca="false">IF($C906="","",$H906-$I906)</f>
        <v/>
      </c>
      <c r="K906" s="35" t="str">
        <f aca="false">IF($C906="","",N($E906)*IFERROR(INDEX(PRODUCTOS!$H$6:$H$105,MATCH($C906,PRODUCTOS!$A$6:$A$105,0)),0))</f>
        <v/>
      </c>
      <c r="L906" s="35" t="str">
        <f aca="false">IF($C906="","",$J906-$K906)</f>
        <v/>
      </c>
      <c r="M906" s="6"/>
      <c r="N906" s="6"/>
      <c r="O906" s="46" t="str">
        <f aca="false">IF($A906="","",DATE(YEAR($A906),MONTH($A906),1))</f>
        <v/>
      </c>
    </row>
    <row r="907" customFormat="false" ht="15" hidden="false" customHeight="false" outlineLevel="0" collapsed="false">
      <c r="A907" s="44"/>
      <c r="B907" s="6"/>
      <c r="C907" s="6"/>
      <c r="D907" s="8" t="str">
        <f aca="false">IF($C907="","",IFERROR(INDEX(PRODUCTOS!$B$6:$B$105,MATCH($C907,PRODUCTOS!$A$6:$A$105,0)),"¿Código?"))</f>
        <v/>
      </c>
      <c r="E907" s="42"/>
      <c r="F907" s="35" t="str">
        <f aca="false">IF($C907="","",IFERROR(INDEX(PRODUCTOS!$D$6:$D$105,MATCH($C907,PRODUCTOS!$A$6:$A$105,0)),0))</f>
        <v/>
      </c>
      <c r="G907" s="40"/>
      <c r="H907" s="35" t="str">
        <f aca="false">IF($C907="","",N($E907)*$F907-N($G907))</f>
        <v/>
      </c>
      <c r="I907" s="35" t="str">
        <f aca="false">IF($C907="","",$H907-$H907/(1+IFERROR(INDEX(PRODUCTOS!$E$6:$E$105,MATCH($C907,PRODUCTOS!$A$6:$A$105,0)),IVA_VENTAS)))</f>
        <v/>
      </c>
      <c r="J907" s="35" t="str">
        <f aca="false">IF($C907="","",$H907-$I907)</f>
        <v/>
      </c>
      <c r="K907" s="35" t="str">
        <f aca="false">IF($C907="","",N($E907)*IFERROR(INDEX(PRODUCTOS!$H$6:$H$105,MATCH($C907,PRODUCTOS!$A$6:$A$105,0)),0))</f>
        <v/>
      </c>
      <c r="L907" s="35" t="str">
        <f aca="false">IF($C907="","",$J907-$K907)</f>
        <v/>
      </c>
      <c r="M907" s="6"/>
      <c r="N907" s="6"/>
      <c r="O907" s="46" t="str">
        <f aca="false">IF($A907="","",DATE(YEAR($A907),MONTH($A907),1))</f>
        <v/>
      </c>
    </row>
    <row r="908" customFormat="false" ht="15" hidden="false" customHeight="false" outlineLevel="0" collapsed="false">
      <c r="A908" s="44"/>
      <c r="B908" s="6"/>
      <c r="C908" s="6"/>
      <c r="D908" s="8" t="str">
        <f aca="false">IF($C908="","",IFERROR(INDEX(PRODUCTOS!$B$6:$B$105,MATCH($C908,PRODUCTOS!$A$6:$A$105,0)),"¿Código?"))</f>
        <v/>
      </c>
      <c r="E908" s="42"/>
      <c r="F908" s="35" t="str">
        <f aca="false">IF($C908="","",IFERROR(INDEX(PRODUCTOS!$D$6:$D$105,MATCH($C908,PRODUCTOS!$A$6:$A$105,0)),0))</f>
        <v/>
      </c>
      <c r="G908" s="40"/>
      <c r="H908" s="35" t="str">
        <f aca="false">IF($C908="","",N($E908)*$F908-N($G908))</f>
        <v/>
      </c>
      <c r="I908" s="35" t="str">
        <f aca="false">IF($C908="","",$H908-$H908/(1+IFERROR(INDEX(PRODUCTOS!$E$6:$E$105,MATCH($C908,PRODUCTOS!$A$6:$A$105,0)),IVA_VENTAS)))</f>
        <v/>
      </c>
      <c r="J908" s="35" t="str">
        <f aca="false">IF($C908="","",$H908-$I908)</f>
        <v/>
      </c>
      <c r="K908" s="35" t="str">
        <f aca="false">IF($C908="","",N($E908)*IFERROR(INDEX(PRODUCTOS!$H$6:$H$105,MATCH($C908,PRODUCTOS!$A$6:$A$105,0)),0))</f>
        <v/>
      </c>
      <c r="L908" s="35" t="str">
        <f aca="false">IF($C908="","",$J908-$K908)</f>
        <v/>
      </c>
      <c r="M908" s="6"/>
      <c r="N908" s="6"/>
      <c r="O908" s="46" t="str">
        <f aca="false">IF($A908="","",DATE(YEAR($A908),MONTH($A908),1))</f>
        <v/>
      </c>
    </row>
    <row r="909" customFormat="false" ht="15" hidden="false" customHeight="false" outlineLevel="0" collapsed="false">
      <c r="A909" s="44"/>
      <c r="B909" s="6"/>
      <c r="C909" s="6"/>
      <c r="D909" s="8" t="str">
        <f aca="false">IF($C909="","",IFERROR(INDEX(PRODUCTOS!$B$6:$B$105,MATCH($C909,PRODUCTOS!$A$6:$A$105,0)),"¿Código?"))</f>
        <v/>
      </c>
      <c r="E909" s="42"/>
      <c r="F909" s="35" t="str">
        <f aca="false">IF($C909="","",IFERROR(INDEX(PRODUCTOS!$D$6:$D$105,MATCH($C909,PRODUCTOS!$A$6:$A$105,0)),0))</f>
        <v/>
      </c>
      <c r="G909" s="40"/>
      <c r="H909" s="35" t="str">
        <f aca="false">IF($C909="","",N($E909)*$F909-N($G909))</f>
        <v/>
      </c>
      <c r="I909" s="35" t="str">
        <f aca="false">IF($C909="","",$H909-$H909/(1+IFERROR(INDEX(PRODUCTOS!$E$6:$E$105,MATCH($C909,PRODUCTOS!$A$6:$A$105,0)),IVA_VENTAS)))</f>
        <v/>
      </c>
      <c r="J909" s="35" t="str">
        <f aca="false">IF($C909="","",$H909-$I909)</f>
        <v/>
      </c>
      <c r="K909" s="35" t="str">
        <f aca="false">IF($C909="","",N($E909)*IFERROR(INDEX(PRODUCTOS!$H$6:$H$105,MATCH($C909,PRODUCTOS!$A$6:$A$105,0)),0))</f>
        <v/>
      </c>
      <c r="L909" s="35" t="str">
        <f aca="false">IF($C909="","",$J909-$K909)</f>
        <v/>
      </c>
      <c r="M909" s="6"/>
      <c r="N909" s="6"/>
      <c r="O909" s="46" t="str">
        <f aca="false">IF($A909="","",DATE(YEAR($A909),MONTH($A909),1))</f>
        <v/>
      </c>
    </row>
    <row r="910" customFormat="false" ht="15" hidden="false" customHeight="false" outlineLevel="0" collapsed="false">
      <c r="A910" s="44"/>
      <c r="B910" s="6"/>
      <c r="C910" s="6"/>
      <c r="D910" s="8" t="str">
        <f aca="false">IF($C910="","",IFERROR(INDEX(PRODUCTOS!$B$6:$B$105,MATCH($C910,PRODUCTOS!$A$6:$A$105,0)),"¿Código?"))</f>
        <v/>
      </c>
      <c r="E910" s="42"/>
      <c r="F910" s="35" t="str">
        <f aca="false">IF($C910="","",IFERROR(INDEX(PRODUCTOS!$D$6:$D$105,MATCH($C910,PRODUCTOS!$A$6:$A$105,0)),0))</f>
        <v/>
      </c>
      <c r="G910" s="40"/>
      <c r="H910" s="35" t="str">
        <f aca="false">IF($C910="","",N($E910)*$F910-N($G910))</f>
        <v/>
      </c>
      <c r="I910" s="35" t="str">
        <f aca="false">IF($C910="","",$H910-$H910/(1+IFERROR(INDEX(PRODUCTOS!$E$6:$E$105,MATCH($C910,PRODUCTOS!$A$6:$A$105,0)),IVA_VENTAS)))</f>
        <v/>
      </c>
      <c r="J910" s="35" t="str">
        <f aca="false">IF($C910="","",$H910-$I910)</f>
        <v/>
      </c>
      <c r="K910" s="35" t="str">
        <f aca="false">IF($C910="","",N($E910)*IFERROR(INDEX(PRODUCTOS!$H$6:$H$105,MATCH($C910,PRODUCTOS!$A$6:$A$105,0)),0))</f>
        <v/>
      </c>
      <c r="L910" s="35" t="str">
        <f aca="false">IF($C910="","",$J910-$K910)</f>
        <v/>
      </c>
      <c r="M910" s="6"/>
      <c r="N910" s="6"/>
      <c r="O910" s="46" t="str">
        <f aca="false">IF($A910="","",DATE(YEAR($A910),MONTH($A910),1))</f>
        <v/>
      </c>
    </row>
    <row r="911" customFormat="false" ht="15" hidden="false" customHeight="false" outlineLevel="0" collapsed="false">
      <c r="A911" s="44"/>
      <c r="B911" s="6"/>
      <c r="C911" s="6"/>
      <c r="D911" s="8" t="str">
        <f aca="false">IF($C911="","",IFERROR(INDEX(PRODUCTOS!$B$6:$B$105,MATCH($C911,PRODUCTOS!$A$6:$A$105,0)),"¿Código?"))</f>
        <v/>
      </c>
      <c r="E911" s="42"/>
      <c r="F911" s="35" t="str">
        <f aca="false">IF($C911="","",IFERROR(INDEX(PRODUCTOS!$D$6:$D$105,MATCH($C911,PRODUCTOS!$A$6:$A$105,0)),0))</f>
        <v/>
      </c>
      <c r="G911" s="40"/>
      <c r="H911" s="35" t="str">
        <f aca="false">IF($C911="","",N($E911)*$F911-N($G911))</f>
        <v/>
      </c>
      <c r="I911" s="35" t="str">
        <f aca="false">IF($C911="","",$H911-$H911/(1+IFERROR(INDEX(PRODUCTOS!$E$6:$E$105,MATCH($C911,PRODUCTOS!$A$6:$A$105,0)),IVA_VENTAS)))</f>
        <v/>
      </c>
      <c r="J911" s="35" t="str">
        <f aca="false">IF($C911="","",$H911-$I911)</f>
        <v/>
      </c>
      <c r="K911" s="35" t="str">
        <f aca="false">IF($C911="","",N($E911)*IFERROR(INDEX(PRODUCTOS!$H$6:$H$105,MATCH($C911,PRODUCTOS!$A$6:$A$105,0)),0))</f>
        <v/>
      </c>
      <c r="L911" s="35" t="str">
        <f aca="false">IF($C911="","",$J911-$K911)</f>
        <v/>
      </c>
      <c r="M911" s="6"/>
      <c r="N911" s="6"/>
      <c r="O911" s="46" t="str">
        <f aca="false">IF($A911="","",DATE(YEAR($A911),MONTH($A911),1))</f>
        <v/>
      </c>
    </row>
    <row r="912" customFormat="false" ht="15" hidden="false" customHeight="false" outlineLevel="0" collapsed="false">
      <c r="A912" s="44"/>
      <c r="B912" s="6"/>
      <c r="C912" s="6"/>
      <c r="D912" s="8" t="str">
        <f aca="false">IF($C912="","",IFERROR(INDEX(PRODUCTOS!$B$6:$B$105,MATCH($C912,PRODUCTOS!$A$6:$A$105,0)),"¿Código?"))</f>
        <v/>
      </c>
      <c r="E912" s="42"/>
      <c r="F912" s="35" t="str">
        <f aca="false">IF($C912="","",IFERROR(INDEX(PRODUCTOS!$D$6:$D$105,MATCH($C912,PRODUCTOS!$A$6:$A$105,0)),0))</f>
        <v/>
      </c>
      <c r="G912" s="40"/>
      <c r="H912" s="35" t="str">
        <f aca="false">IF($C912="","",N($E912)*$F912-N($G912))</f>
        <v/>
      </c>
      <c r="I912" s="35" t="str">
        <f aca="false">IF($C912="","",$H912-$H912/(1+IFERROR(INDEX(PRODUCTOS!$E$6:$E$105,MATCH($C912,PRODUCTOS!$A$6:$A$105,0)),IVA_VENTAS)))</f>
        <v/>
      </c>
      <c r="J912" s="35" t="str">
        <f aca="false">IF($C912="","",$H912-$I912)</f>
        <v/>
      </c>
      <c r="K912" s="35" t="str">
        <f aca="false">IF($C912="","",N($E912)*IFERROR(INDEX(PRODUCTOS!$H$6:$H$105,MATCH($C912,PRODUCTOS!$A$6:$A$105,0)),0))</f>
        <v/>
      </c>
      <c r="L912" s="35" t="str">
        <f aca="false">IF($C912="","",$J912-$K912)</f>
        <v/>
      </c>
      <c r="M912" s="6"/>
      <c r="N912" s="6"/>
      <c r="O912" s="46" t="str">
        <f aca="false">IF($A912="","",DATE(YEAR($A912),MONTH($A912),1))</f>
        <v/>
      </c>
    </row>
    <row r="913" customFormat="false" ht="15" hidden="false" customHeight="false" outlineLevel="0" collapsed="false">
      <c r="A913" s="44"/>
      <c r="B913" s="6"/>
      <c r="C913" s="6"/>
      <c r="D913" s="8" t="str">
        <f aca="false">IF($C913="","",IFERROR(INDEX(PRODUCTOS!$B$6:$B$105,MATCH($C913,PRODUCTOS!$A$6:$A$105,0)),"¿Código?"))</f>
        <v/>
      </c>
      <c r="E913" s="42"/>
      <c r="F913" s="35" t="str">
        <f aca="false">IF($C913="","",IFERROR(INDEX(PRODUCTOS!$D$6:$D$105,MATCH($C913,PRODUCTOS!$A$6:$A$105,0)),0))</f>
        <v/>
      </c>
      <c r="G913" s="40"/>
      <c r="H913" s="35" t="str">
        <f aca="false">IF($C913="","",N($E913)*$F913-N($G913))</f>
        <v/>
      </c>
      <c r="I913" s="35" t="str">
        <f aca="false">IF($C913="","",$H913-$H913/(1+IFERROR(INDEX(PRODUCTOS!$E$6:$E$105,MATCH($C913,PRODUCTOS!$A$6:$A$105,0)),IVA_VENTAS)))</f>
        <v/>
      </c>
      <c r="J913" s="35" t="str">
        <f aca="false">IF($C913="","",$H913-$I913)</f>
        <v/>
      </c>
      <c r="K913" s="35" t="str">
        <f aca="false">IF($C913="","",N($E913)*IFERROR(INDEX(PRODUCTOS!$H$6:$H$105,MATCH($C913,PRODUCTOS!$A$6:$A$105,0)),0))</f>
        <v/>
      </c>
      <c r="L913" s="35" t="str">
        <f aca="false">IF($C913="","",$J913-$K913)</f>
        <v/>
      </c>
      <c r="M913" s="6"/>
      <c r="N913" s="6"/>
      <c r="O913" s="46" t="str">
        <f aca="false">IF($A913="","",DATE(YEAR($A913),MONTH($A913),1))</f>
        <v/>
      </c>
    </row>
    <row r="914" customFormat="false" ht="15" hidden="false" customHeight="false" outlineLevel="0" collapsed="false">
      <c r="A914" s="44"/>
      <c r="B914" s="6"/>
      <c r="C914" s="6"/>
      <c r="D914" s="8" t="str">
        <f aca="false">IF($C914="","",IFERROR(INDEX(PRODUCTOS!$B$6:$B$105,MATCH($C914,PRODUCTOS!$A$6:$A$105,0)),"¿Código?"))</f>
        <v/>
      </c>
      <c r="E914" s="42"/>
      <c r="F914" s="35" t="str">
        <f aca="false">IF($C914="","",IFERROR(INDEX(PRODUCTOS!$D$6:$D$105,MATCH($C914,PRODUCTOS!$A$6:$A$105,0)),0))</f>
        <v/>
      </c>
      <c r="G914" s="40"/>
      <c r="H914" s="35" t="str">
        <f aca="false">IF($C914="","",N($E914)*$F914-N($G914))</f>
        <v/>
      </c>
      <c r="I914" s="35" t="str">
        <f aca="false">IF($C914="","",$H914-$H914/(1+IFERROR(INDEX(PRODUCTOS!$E$6:$E$105,MATCH($C914,PRODUCTOS!$A$6:$A$105,0)),IVA_VENTAS)))</f>
        <v/>
      </c>
      <c r="J914" s="35" t="str">
        <f aca="false">IF($C914="","",$H914-$I914)</f>
        <v/>
      </c>
      <c r="K914" s="35" t="str">
        <f aca="false">IF($C914="","",N($E914)*IFERROR(INDEX(PRODUCTOS!$H$6:$H$105,MATCH($C914,PRODUCTOS!$A$6:$A$105,0)),0))</f>
        <v/>
      </c>
      <c r="L914" s="35" t="str">
        <f aca="false">IF($C914="","",$J914-$K914)</f>
        <v/>
      </c>
      <c r="M914" s="6"/>
      <c r="N914" s="6"/>
      <c r="O914" s="46" t="str">
        <f aca="false">IF($A914="","",DATE(YEAR($A914),MONTH($A914),1))</f>
        <v/>
      </c>
    </row>
    <row r="915" customFormat="false" ht="15" hidden="false" customHeight="false" outlineLevel="0" collapsed="false">
      <c r="A915" s="44"/>
      <c r="B915" s="6"/>
      <c r="C915" s="6"/>
      <c r="D915" s="8" t="str">
        <f aca="false">IF($C915="","",IFERROR(INDEX(PRODUCTOS!$B$6:$B$105,MATCH($C915,PRODUCTOS!$A$6:$A$105,0)),"¿Código?"))</f>
        <v/>
      </c>
      <c r="E915" s="42"/>
      <c r="F915" s="35" t="str">
        <f aca="false">IF($C915="","",IFERROR(INDEX(PRODUCTOS!$D$6:$D$105,MATCH($C915,PRODUCTOS!$A$6:$A$105,0)),0))</f>
        <v/>
      </c>
      <c r="G915" s="40"/>
      <c r="H915" s="35" t="str">
        <f aca="false">IF($C915="","",N($E915)*$F915-N($G915))</f>
        <v/>
      </c>
      <c r="I915" s="35" t="str">
        <f aca="false">IF($C915="","",$H915-$H915/(1+IFERROR(INDEX(PRODUCTOS!$E$6:$E$105,MATCH($C915,PRODUCTOS!$A$6:$A$105,0)),IVA_VENTAS)))</f>
        <v/>
      </c>
      <c r="J915" s="35" t="str">
        <f aca="false">IF($C915="","",$H915-$I915)</f>
        <v/>
      </c>
      <c r="K915" s="35" t="str">
        <f aca="false">IF($C915="","",N($E915)*IFERROR(INDEX(PRODUCTOS!$H$6:$H$105,MATCH($C915,PRODUCTOS!$A$6:$A$105,0)),0))</f>
        <v/>
      </c>
      <c r="L915" s="35" t="str">
        <f aca="false">IF($C915="","",$J915-$K915)</f>
        <v/>
      </c>
      <c r="M915" s="6"/>
      <c r="N915" s="6"/>
      <c r="O915" s="46" t="str">
        <f aca="false">IF($A915="","",DATE(YEAR($A915),MONTH($A915),1))</f>
        <v/>
      </c>
    </row>
    <row r="916" customFormat="false" ht="15" hidden="false" customHeight="false" outlineLevel="0" collapsed="false">
      <c r="A916" s="44"/>
      <c r="B916" s="6"/>
      <c r="C916" s="6"/>
      <c r="D916" s="8" t="str">
        <f aca="false">IF($C916="","",IFERROR(INDEX(PRODUCTOS!$B$6:$B$105,MATCH($C916,PRODUCTOS!$A$6:$A$105,0)),"¿Código?"))</f>
        <v/>
      </c>
      <c r="E916" s="42"/>
      <c r="F916" s="35" t="str">
        <f aca="false">IF($C916="","",IFERROR(INDEX(PRODUCTOS!$D$6:$D$105,MATCH($C916,PRODUCTOS!$A$6:$A$105,0)),0))</f>
        <v/>
      </c>
      <c r="G916" s="40"/>
      <c r="H916" s="35" t="str">
        <f aca="false">IF($C916="","",N($E916)*$F916-N($G916))</f>
        <v/>
      </c>
      <c r="I916" s="35" t="str">
        <f aca="false">IF($C916="","",$H916-$H916/(1+IFERROR(INDEX(PRODUCTOS!$E$6:$E$105,MATCH($C916,PRODUCTOS!$A$6:$A$105,0)),IVA_VENTAS)))</f>
        <v/>
      </c>
      <c r="J916" s="35" t="str">
        <f aca="false">IF($C916="","",$H916-$I916)</f>
        <v/>
      </c>
      <c r="K916" s="35" t="str">
        <f aca="false">IF($C916="","",N($E916)*IFERROR(INDEX(PRODUCTOS!$H$6:$H$105,MATCH($C916,PRODUCTOS!$A$6:$A$105,0)),0))</f>
        <v/>
      </c>
      <c r="L916" s="35" t="str">
        <f aca="false">IF($C916="","",$J916-$K916)</f>
        <v/>
      </c>
      <c r="M916" s="6"/>
      <c r="N916" s="6"/>
      <c r="O916" s="46" t="str">
        <f aca="false">IF($A916="","",DATE(YEAR($A916),MONTH($A916),1))</f>
        <v/>
      </c>
    </row>
    <row r="917" customFormat="false" ht="15" hidden="false" customHeight="false" outlineLevel="0" collapsed="false">
      <c r="A917" s="44"/>
      <c r="B917" s="6"/>
      <c r="C917" s="6"/>
      <c r="D917" s="8" t="str">
        <f aca="false">IF($C917="","",IFERROR(INDEX(PRODUCTOS!$B$6:$B$105,MATCH($C917,PRODUCTOS!$A$6:$A$105,0)),"¿Código?"))</f>
        <v/>
      </c>
      <c r="E917" s="42"/>
      <c r="F917" s="35" t="str">
        <f aca="false">IF($C917="","",IFERROR(INDEX(PRODUCTOS!$D$6:$D$105,MATCH($C917,PRODUCTOS!$A$6:$A$105,0)),0))</f>
        <v/>
      </c>
      <c r="G917" s="40"/>
      <c r="H917" s="35" t="str">
        <f aca="false">IF($C917="","",N($E917)*$F917-N($G917))</f>
        <v/>
      </c>
      <c r="I917" s="35" t="str">
        <f aca="false">IF($C917="","",$H917-$H917/(1+IFERROR(INDEX(PRODUCTOS!$E$6:$E$105,MATCH($C917,PRODUCTOS!$A$6:$A$105,0)),IVA_VENTAS)))</f>
        <v/>
      </c>
      <c r="J917" s="35" t="str">
        <f aca="false">IF($C917="","",$H917-$I917)</f>
        <v/>
      </c>
      <c r="K917" s="35" t="str">
        <f aca="false">IF($C917="","",N($E917)*IFERROR(INDEX(PRODUCTOS!$H$6:$H$105,MATCH($C917,PRODUCTOS!$A$6:$A$105,0)),0))</f>
        <v/>
      </c>
      <c r="L917" s="35" t="str">
        <f aca="false">IF($C917="","",$J917-$K917)</f>
        <v/>
      </c>
      <c r="M917" s="6"/>
      <c r="N917" s="6"/>
      <c r="O917" s="46" t="str">
        <f aca="false">IF($A917="","",DATE(YEAR($A917),MONTH($A917),1))</f>
        <v/>
      </c>
    </row>
    <row r="918" customFormat="false" ht="15" hidden="false" customHeight="false" outlineLevel="0" collapsed="false">
      <c r="A918" s="44"/>
      <c r="B918" s="6"/>
      <c r="C918" s="6"/>
      <c r="D918" s="8" t="str">
        <f aca="false">IF($C918="","",IFERROR(INDEX(PRODUCTOS!$B$6:$B$105,MATCH($C918,PRODUCTOS!$A$6:$A$105,0)),"¿Código?"))</f>
        <v/>
      </c>
      <c r="E918" s="42"/>
      <c r="F918" s="35" t="str">
        <f aca="false">IF($C918="","",IFERROR(INDEX(PRODUCTOS!$D$6:$D$105,MATCH($C918,PRODUCTOS!$A$6:$A$105,0)),0))</f>
        <v/>
      </c>
      <c r="G918" s="40"/>
      <c r="H918" s="35" t="str">
        <f aca="false">IF($C918="","",N($E918)*$F918-N($G918))</f>
        <v/>
      </c>
      <c r="I918" s="35" t="str">
        <f aca="false">IF($C918="","",$H918-$H918/(1+IFERROR(INDEX(PRODUCTOS!$E$6:$E$105,MATCH($C918,PRODUCTOS!$A$6:$A$105,0)),IVA_VENTAS)))</f>
        <v/>
      </c>
      <c r="J918" s="35" t="str">
        <f aca="false">IF($C918="","",$H918-$I918)</f>
        <v/>
      </c>
      <c r="K918" s="35" t="str">
        <f aca="false">IF($C918="","",N($E918)*IFERROR(INDEX(PRODUCTOS!$H$6:$H$105,MATCH($C918,PRODUCTOS!$A$6:$A$105,0)),0))</f>
        <v/>
      </c>
      <c r="L918" s="35" t="str">
        <f aca="false">IF($C918="","",$J918-$K918)</f>
        <v/>
      </c>
      <c r="M918" s="6"/>
      <c r="N918" s="6"/>
      <c r="O918" s="46" t="str">
        <f aca="false">IF($A918="","",DATE(YEAR($A918),MONTH($A918),1))</f>
        <v/>
      </c>
    </row>
    <row r="919" customFormat="false" ht="15" hidden="false" customHeight="false" outlineLevel="0" collapsed="false">
      <c r="A919" s="44"/>
      <c r="B919" s="6"/>
      <c r="C919" s="6"/>
      <c r="D919" s="8" t="str">
        <f aca="false">IF($C919="","",IFERROR(INDEX(PRODUCTOS!$B$6:$B$105,MATCH($C919,PRODUCTOS!$A$6:$A$105,0)),"¿Código?"))</f>
        <v/>
      </c>
      <c r="E919" s="42"/>
      <c r="F919" s="35" t="str">
        <f aca="false">IF($C919="","",IFERROR(INDEX(PRODUCTOS!$D$6:$D$105,MATCH($C919,PRODUCTOS!$A$6:$A$105,0)),0))</f>
        <v/>
      </c>
      <c r="G919" s="40"/>
      <c r="H919" s="35" t="str">
        <f aca="false">IF($C919="","",N($E919)*$F919-N($G919))</f>
        <v/>
      </c>
      <c r="I919" s="35" t="str">
        <f aca="false">IF($C919="","",$H919-$H919/(1+IFERROR(INDEX(PRODUCTOS!$E$6:$E$105,MATCH($C919,PRODUCTOS!$A$6:$A$105,0)),IVA_VENTAS)))</f>
        <v/>
      </c>
      <c r="J919" s="35" t="str">
        <f aca="false">IF($C919="","",$H919-$I919)</f>
        <v/>
      </c>
      <c r="K919" s="35" t="str">
        <f aca="false">IF($C919="","",N($E919)*IFERROR(INDEX(PRODUCTOS!$H$6:$H$105,MATCH($C919,PRODUCTOS!$A$6:$A$105,0)),0))</f>
        <v/>
      </c>
      <c r="L919" s="35" t="str">
        <f aca="false">IF($C919="","",$J919-$K919)</f>
        <v/>
      </c>
      <c r="M919" s="6"/>
      <c r="N919" s="6"/>
      <c r="O919" s="46" t="str">
        <f aca="false">IF($A919="","",DATE(YEAR($A919),MONTH($A919),1))</f>
        <v/>
      </c>
    </row>
    <row r="920" customFormat="false" ht="15" hidden="false" customHeight="false" outlineLevel="0" collapsed="false">
      <c r="A920" s="44"/>
      <c r="B920" s="6"/>
      <c r="C920" s="6"/>
      <c r="D920" s="8" t="str">
        <f aca="false">IF($C920="","",IFERROR(INDEX(PRODUCTOS!$B$6:$B$105,MATCH($C920,PRODUCTOS!$A$6:$A$105,0)),"¿Código?"))</f>
        <v/>
      </c>
      <c r="E920" s="42"/>
      <c r="F920" s="35" t="str">
        <f aca="false">IF($C920="","",IFERROR(INDEX(PRODUCTOS!$D$6:$D$105,MATCH($C920,PRODUCTOS!$A$6:$A$105,0)),0))</f>
        <v/>
      </c>
      <c r="G920" s="40"/>
      <c r="H920" s="35" t="str">
        <f aca="false">IF($C920="","",N($E920)*$F920-N($G920))</f>
        <v/>
      </c>
      <c r="I920" s="35" t="str">
        <f aca="false">IF($C920="","",$H920-$H920/(1+IFERROR(INDEX(PRODUCTOS!$E$6:$E$105,MATCH($C920,PRODUCTOS!$A$6:$A$105,0)),IVA_VENTAS)))</f>
        <v/>
      </c>
      <c r="J920" s="35" t="str">
        <f aca="false">IF($C920="","",$H920-$I920)</f>
        <v/>
      </c>
      <c r="K920" s="35" t="str">
        <f aca="false">IF($C920="","",N($E920)*IFERROR(INDEX(PRODUCTOS!$H$6:$H$105,MATCH($C920,PRODUCTOS!$A$6:$A$105,0)),0))</f>
        <v/>
      </c>
      <c r="L920" s="35" t="str">
        <f aca="false">IF($C920="","",$J920-$K920)</f>
        <v/>
      </c>
      <c r="M920" s="6"/>
      <c r="N920" s="6"/>
      <c r="O920" s="46" t="str">
        <f aca="false">IF($A920="","",DATE(YEAR($A920),MONTH($A920),1))</f>
        <v/>
      </c>
    </row>
    <row r="921" customFormat="false" ht="15" hidden="false" customHeight="false" outlineLevel="0" collapsed="false">
      <c r="A921" s="44"/>
      <c r="B921" s="6"/>
      <c r="C921" s="6"/>
      <c r="D921" s="8" t="str">
        <f aca="false">IF($C921="","",IFERROR(INDEX(PRODUCTOS!$B$6:$B$105,MATCH($C921,PRODUCTOS!$A$6:$A$105,0)),"¿Código?"))</f>
        <v/>
      </c>
      <c r="E921" s="42"/>
      <c r="F921" s="35" t="str">
        <f aca="false">IF($C921="","",IFERROR(INDEX(PRODUCTOS!$D$6:$D$105,MATCH($C921,PRODUCTOS!$A$6:$A$105,0)),0))</f>
        <v/>
      </c>
      <c r="G921" s="40"/>
      <c r="H921" s="35" t="str">
        <f aca="false">IF($C921="","",N($E921)*$F921-N($G921))</f>
        <v/>
      </c>
      <c r="I921" s="35" t="str">
        <f aca="false">IF($C921="","",$H921-$H921/(1+IFERROR(INDEX(PRODUCTOS!$E$6:$E$105,MATCH($C921,PRODUCTOS!$A$6:$A$105,0)),IVA_VENTAS)))</f>
        <v/>
      </c>
      <c r="J921" s="35" t="str">
        <f aca="false">IF($C921="","",$H921-$I921)</f>
        <v/>
      </c>
      <c r="K921" s="35" t="str">
        <f aca="false">IF($C921="","",N($E921)*IFERROR(INDEX(PRODUCTOS!$H$6:$H$105,MATCH($C921,PRODUCTOS!$A$6:$A$105,0)),0))</f>
        <v/>
      </c>
      <c r="L921" s="35" t="str">
        <f aca="false">IF($C921="","",$J921-$K921)</f>
        <v/>
      </c>
      <c r="M921" s="6"/>
      <c r="N921" s="6"/>
      <c r="O921" s="46" t="str">
        <f aca="false">IF($A921="","",DATE(YEAR($A921),MONTH($A921),1))</f>
        <v/>
      </c>
    </row>
    <row r="922" customFormat="false" ht="15" hidden="false" customHeight="false" outlineLevel="0" collapsed="false">
      <c r="A922" s="44"/>
      <c r="B922" s="6"/>
      <c r="C922" s="6"/>
      <c r="D922" s="8" t="str">
        <f aca="false">IF($C922="","",IFERROR(INDEX(PRODUCTOS!$B$6:$B$105,MATCH($C922,PRODUCTOS!$A$6:$A$105,0)),"¿Código?"))</f>
        <v/>
      </c>
      <c r="E922" s="42"/>
      <c r="F922" s="35" t="str">
        <f aca="false">IF($C922="","",IFERROR(INDEX(PRODUCTOS!$D$6:$D$105,MATCH($C922,PRODUCTOS!$A$6:$A$105,0)),0))</f>
        <v/>
      </c>
      <c r="G922" s="40"/>
      <c r="H922" s="35" t="str">
        <f aca="false">IF($C922="","",N($E922)*$F922-N($G922))</f>
        <v/>
      </c>
      <c r="I922" s="35" t="str">
        <f aca="false">IF($C922="","",$H922-$H922/(1+IFERROR(INDEX(PRODUCTOS!$E$6:$E$105,MATCH($C922,PRODUCTOS!$A$6:$A$105,0)),IVA_VENTAS)))</f>
        <v/>
      </c>
      <c r="J922" s="35" t="str">
        <f aca="false">IF($C922="","",$H922-$I922)</f>
        <v/>
      </c>
      <c r="K922" s="35" t="str">
        <f aca="false">IF($C922="","",N($E922)*IFERROR(INDEX(PRODUCTOS!$H$6:$H$105,MATCH($C922,PRODUCTOS!$A$6:$A$105,0)),0))</f>
        <v/>
      </c>
      <c r="L922" s="35" t="str">
        <f aca="false">IF($C922="","",$J922-$K922)</f>
        <v/>
      </c>
      <c r="M922" s="6"/>
      <c r="N922" s="6"/>
      <c r="O922" s="46" t="str">
        <f aca="false">IF($A922="","",DATE(YEAR($A922),MONTH($A922),1))</f>
        <v/>
      </c>
    </row>
    <row r="923" customFormat="false" ht="15" hidden="false" customHeight="false" outlineLevel="0" collapsed="false">
      <c r="A923" s="44"/>
      <c r="B923" s="6"/>
      <c r="C923" s="6"/>
      <c r="D923" s="8" t="str">
        <f aca="false">IF($C923="","",IFERROR(INDEX(PRODUCTOS!$B$6:$B$105,MATCH($C923,PRODUCTOS!$A$6:$A$105,0)),"¿Código?"))</f>
        <v/>
      </c>
      <c r="E923" s="42"/>
      <c r="F923" s="35" t="str">
        <f aca="false">IF($C923="","",IFERROR(INDEX(PRODUCTOS!$D$6:$D$105,MATCH($C923,PRODUCTOS!$A$6:$A$105,0)),0))</f>
        <v/>
      </c>
      <c r="G923" s="40"/>
      <c r="H923" s="35" t="str">
        <f aca="false">IF($C923="","",N($E923)*$F923-N($G923))</f>
        <v/>
      </c>
      <c r="I923" s="35" t="str">
        <f aca="false">IF($C923="","",$H923-$H923/(1+IFERROR(INDEX(PRODUCTOS!$E$6:$E$105,MATCH($C923,PRODUCTOS!$A$6:$A$105,0)),IVA_VENTAS)))</f>
        <v/>
      </c>
      <c r="J923" s="35" t="str">
        <f aca="false">IF($C923="","",$H923-$I923)</f>
        <v/>
      </c>
      <c r="K923" s="35" t="str">
        <f aca="false">IF($C923="","",N($E923)*IFERROR(INDEX(PRODUCTOS!$H$6:$H$105,MATCH($C923,PRODUCTOS!$A$6:$A$105,0)),0))</f>
        <v/>
      </c>
      <c r="L923" s="35" t="str">
        <f aca="false">IF($C923="","",$J923-$K923)</f>
        <v/>
      </c>
      <c r="M923" s="6"/>
      <c r="N923" s="6"/>
      <c r="O923" s="46" t="str">
        <f aca="false">IF($A923="","",DATE(YEAR($A923),MONTH($A923),1))</f>
        <v/>
      </c>
    </row>
    <row r="924" customFormat="false" ht="15" hidden="false" customHeight="false" outlineLevel="0" collapsed="false">
      <c r="A924" s="44"/>
      <c r="B924" s="6"/>
      <c r="C924" s="6"/>
      <c r="D924" s="8" t="str">
        <f aca="false">IF($C924="","",IFERROR(INDEX(PRODUCTOS!$B$6:$B$105,MATCH($C924,PRODUCTOS!$A$6:$A$105,0)),"¿Código?"))</f>
        <v/>
      </c>
      <c r="E924" s="42"/>
      <c r="F924" s="35" t="str">
        <f aca="false">IF($C924="","",IFERROR(INDEX(PRODUCTOS!$D$6:$D$105,MATCH($C924,PRODUCTOS!$A$6:$A$105,0)),0))</f>
        <v/>
      </c>
      <c r="G924" s="40"/>
      <c r="H924" s="35" t="str">
        <f aca="false">IF($C924="","",N($E924)*$F924-N($G924))</f>
        <v/>
      </c>
      <c r="I924" s="35" t="str">
        <f aca="false">IF($C924="","",$H924-$H924/(1+IFERROR(INDEX(PRODUCTOS!$E$6:$E$105,MATCH($C924,PRODUCTOS!$A$6:$A$105,0)),IVA_VENTAS)))</f>
        <v/>
      </c>
      <c r="J924" s="35" t="str">
        <f aca="false">IF($C924="","",$H924-$I924)</f>
        <v/>
      </c>
      <c r="K924" s="35" t="str">
        <f aca="false">IF($C924="","",N($E924)*IFERROR(INDEX(PRODUCTOS!$H$6:$H$105,MATCH($C924,PRODUCTOS!$A$6:$A$105,0)),0))</f>
        <v/>
      </c>
      <c r="L924" s="35" t="str">
        <f aca="false">IF($C924="","",$J924-$K924)</f>
        <v/>
      </c>
      <c r="M924" s="6"/>
      <c r="N924" s="6"/>
      <c r="O924" s="46" t="str">
        <f aca="false">IF($A924="","",DATE(YEAR($A924),MONTH($A924),1))</f>
        <v/>
      </c>
    </row>
    <row r="925" customFormat="false" ht="15" hidden="false" customHeight="false" outlineLevel="0" collapsed="false">
      <c r="A925" s="44"/>
      <c r="B925" s="6"/>
      <c r="C925" s="6"/>
      <c r="D925" s="8" t="str">
        <f aca="false">IF($C925="","",IFERROR(INDEX(PRODUCTOS!$B$6:$B$105,MATCH($C925,PRODUCTOS!$A$6:$A$105,0)),"¿Código?"))</f>
        <v/>
      </c>
      <c r="E925" s="42"/>
      <c r="F925" s="35" t="str">
        <f aca="false">IF($C925="","",IFERROR(INDEX(PRODUCTOS!$D$6:$D$105,MATCH($C925,PRODUCTOS!$A$6:$A$105,0)),0))</f>
        <v/>
      </c>
      <c r="G925" s="40"/>
      <c r="H925" s="35" t="str">
        <f aca="false">IF($C925="","",N($E925)*$F925-N($G925))</f>
        <v/>
      </c>
      <c r="I925" s="35" t="str">
        <f aca="false">IF($C925="","",$H925-$H925/(1+IFERROR(INDEX(PRODUCTOS!$E$6:$E$105,MATCH($C925,PRODUCTOS!$A$6:$A$105,0)),IVA_VENTAS)))</f>
        <v/>
      </c>
      <c r="J925" s="35" t="str">
        <f aca="false">IF($C925="","",$H925-$I925)</f>
        <v/>
      </c>
      <c r="K925" s="35" t="str">
        <f aca="false">IF($C925="","",N($E925)*IFERROR(INDEX(PRODUCTOS!$H$6:$H$105,MATCH($C925,PRODUCTOS!$A$6:$A$105,0)),0))</f>
        <v/>
      </c>
      <c r="L925" s="35" t="str">
        <f aca="false">IF($C925="","",$J925-$K925)</f>
        <v/>
      </c>
      <c r="M925" s="6"/>
      <c r="N925" s="6"/>
      <c r="O925" s="46" t="str">
        <f aca="false">IF($A925="","",DATE(YEAR($A925),MONTH($A925),1))</f>
        <v/>
      </c>
    </row>
    <row r="926" customFormat="false" ht="15" hidden="false" customHeight="false" outlineLevel="0" collapsed="false">
      <c r="A926" s="44"/>
      <c r="B926" s="6"/>
      <c r="C926" s="6"/>
      <c r="D926" s="8" t="str">
        <f aca="false">IF($C926="","",IFERROR(INDEX(PRODUCTOS!$B$6:$B$105,MATCH($C926,PRODUCTOS!$A$6:$A$105,0)),"¿Código?"))</f>
        <v/>
      </c>
      <c r="E926" s="42"/>
      <c r="F926" s="35" t="str">
        <f aca="false">IF($C926="","",IFERROR(INDEX(PRODUCTOS!$D$6:$D$105,MATCH($C926,PRODUCTOS!$A$6:$A$105,0)),0))</f>
        <v/>
      </c>
      <c r="G926" s="40"/>
      <c r="H926" s="35" t="str">
        <f aca="false">IF($C926="","",N($E926)*$F926-N($G926))</f>
        <v/>
      </c>
      <c r="I926" s="35" t="str">
        <f aca="false">IF($C926="","",$H926-$H926/(1+IFERROR(INDEX(PRODUCTOS!$E$6:$E$105,MATCH($C926,PRODUCTOS!$A$6:$A$105,0)),IVA_VENTAS)))</f>
        <v/>
      </c>
      <c r="J926" s="35" t="str">
        <f aca="false">IF($C926="","",$H926-$I926)</f>
        <v/>
      </c>
      <c r="K926" s="35" t="str">
        <f aca="false">IF($C926="","",N($E926)*IFERROR(INDEX(PRODUCTOS!$H$6:$H$105,MATCH($C926,PRODUCTOS!$A$6:$A$105,0)),0))</f>
        <v/>
      </c>
      <c r="L926" s="35" t="str">
        <f aca="false">IF($C926="","",$J926-$K926)</f>
        <v/>
      </c>
      <c r="M926" s="6"/>
      <c r="N926" s="6"/>
      <c r="O926" s="46" t="str">
        <f aca="false">IF($A926="","",DATE(YEAR($A926),MONTH($A926),1))</f>
        <v/>
      </c>
    </row>
    <row r="927" customFormat="false" ht="15" hidden="false" customHeight="false" outlineLevel="0" collapsed="false">
      <c r="A927" s="44"/>
      <c r="B927" s="6"/>
      <c r="C927" s="6"/>
      <c r="D927" s="8" t="str">
        <f aca="false">IF($C927="","",IFERROR(INDEX(PRODUCTOS!$B$6:$B$105,MATCH($C927,PRODUCTOS!$A$6:$A$105,0)),"¿Código?"))</f>
        <v/>
      </c>
      <c r="E927" s="42"/>
      <c r="F927" s="35" t="str">
        <f aca="false">IF($C927="","",IFERROR(INDEX(PRODUCTOS!$D$6:$D$105,MATCH($C927,PRODUCTOS!$A$6:$A$105,0)),0))</f>
        <v/>
      </c>
      <c r="G927" s="40"/>
      <c r="H927" s="35" t="str">
        <f aca="false">IF($C927="","",N($E927)*$F927-N($G927))</f>
        <v/>
      </c>
      <c r="I927" s="35" t="str">
        <f aca="false">IF($C927="","",$H927-$H927/(1+IFERROR(INDEX(PRODUCTOS!$E$6:$E$105,MATCH($C927,PRODUCTOS!$A$6:$A$105,0)),IVA_VENTAS)))</f>
        <v/>
      </c>
      <c r="J927" s="35" t="str">
        <f aca="false">IF($C927="","",$H927-$I927)</f>
        <v/>
      </c>
      <c r="K927" s="35" t="str">
        <f aca="false">IF($C927="","",N($E927)*IFERROR(INDEX(PRODUCTOS!$H$6:$H$105,MATCH($C927,PRODUCTOS!$A$6:$A$105,0)),0))</f>
        <v/>
      </c>
      <c r="L927" s="35" t="str">
        <f aca="false">IF($C927="","",$J927-$K927)</f>
        <v/>
      </c>
      <c r="M927" s="6"/>
      <c r="N927" s="6"/>
      <c r="O927" s="46" t="str">
        <f aca="false">IF($A927="","",DATE(YEAR($A927),MONTH($A927),1))</f>
        <v/>
      </c>
    </row>
    <row r="928" customFormat="false" ht="15" hidden="false" customHeight="false" outlineLevel="0" collapsed="false">
      <c r="A928" s="44"/>
      <c r="B928" s="6"/>
      <c r="C928" s="6"/>
      <c r="D928" s="8" t="str">
        <f aca="false">IF($C928="","",IFERROR(INDEX(PRODUCTOS!$B$6:$B$105,MATCH($C928,PRODUCTOS!$A$6:$A$105,0)),"¿Código?"))</f>
        <v/>
      </c>
      <c r="E928" s="42"/>
      <c r="F928" s="35" t="str">
        <f aca="false">IF($C928="","",IFERROR(INDEX(PRODUCTOS!$D$6:$D$105,MATCH($C928,PRODUCTOS!$A$6:$A$105,0)),0))</f>
        <v/>
      </c>
      <c r="G928" s="40"/>
      <c r="H928" s="35" t="str">
        <f aca="false">IF($C928="","",N($E928)*$F928-N($G928))</f>
        <v/>
      </c>
      <c r="I928" s="35" t="str">
        <f aca="false">IF($C928="","",$H928-$H928/(1+IFERROR(INDEX(PRODUCTOS!$E$6:$E$105,MATCH($C928,PRODUCTOS!$A$6:$A$105,0)),IVA_VENTAS)))</f>
        <v/>
      </c>
      <c r="J928" s="35" t="str">
        <f aca="false">IF($C928="","",$H928-$I928)</f>
        <v/>
      </c>
      <c r="K928" s="35" t="str">
        <f aca="false">IF($C928="","",N($E928)*IFERROR(INDEX(PRODUCTOS!$H$6:$H$105,MATCH($C928,PRODUCTOS!$A$6:$A$105,0)),0))</f>
        <v/>
      </c>
      <c r="L928" s="35" t="str">
        <f aca="false">IF($C928="","",$J928-$K928)</f>
        <v/>
      </c>
      <c r="M928" s="6"/>
      <c r="N928" s="6"/>
      <c r="O928" s="46" t="str">
        <f aca="false">IF($A928="","",DATE(YEAR($A928),MONTH($A928),1))</f>
        <v/>
      </c>
    </row>
    <row r="929" customFormat="false" ht="15" hidden="false" customHeight="false" outlineLevel="0" collapsed="false">
      <c r="A929" s="44"/>
      <c r="B929" s="6"/>
      <c r="C929" s="6"/>
      <c r="D929" s="8" t="str">
        <f aca="false">IF($C929="","",IFERROR(INDEX(PRODUCTOS!$B$6:$B$105,MATCH($C929,PRODUCTOS!$A$6:$A$105,0)),"¿Código?"))</f>
        <v/>
      </c>
      <c r="E929" s="42"/>
      <c r="F929" s="35" t="str">
        <f aca="false">IF($C929="","",IFERROR(INDEX(PRODUCTOS!$D$6:$D$105,MATCH($C929,PRODUCTOS!$A$6:$A$105,0)),0))</f>
        <v/>
      </c>
      <c r="G929" s="40"/>
      <c r="H929" s="35" t="str">
        <f aca="false">IF($C929="","",N($E929)*$F929-N($G929))</f>
        <v/>
      </c>
      <c r="I929" s="35" t="str">
        <f aca="false">IF($C929="","",$H929-$H929/(1+IFERROR(INDEX(PRODUCTOS!$E$6:$E$105,MATCH($C929,PRODUCTOS!$A$6:$A$105,0)),IVA_VENTAS)))</f>
        <v/>
      </c>
      <c r="J929" s="35" t="str">
        <f aca="false">IF($C929="","",$H929-$I929)</f>
        <v/>
      </c>
      <c r="K929" s="35" t="str">
        <f aca="false">IF($C929="","",N($E929)*IFERROR(INDEX(PRODUCTOS!$H$6:$H$105,MATCH($C929,PRODUCTOS!$A$6:$A$105,0)),0))</f>
        <v/>
      </c>
      <c r="L929" s="35" t="str">
        <f aca="false">IF($C929="","",$J929-$K929)</f>
        <v/>
      </c>
      <c r="M929" s="6"/>
      <c r="N929" s="6"/>
      <c r="O929" s="46" t="str">
        <f aca="false">IF($A929="","",DATE(YEAR($A929),MONTH($A929),1))</f>
        <v/>
      </c>
    </row>
    <row r="930" customFormat="false" ht="15" hidden="false" customHeight="false" outlineLevel="0" collapsed="false">
      <c r="A930" s="44"/>
      <c r="B930" s="6"/>
      <c r="C930" s="6"/>
      <c r="D930" s="8" t="str">
        <f aca="false">IF($C930="","",IFERROR(INDEX(PRODUCTOS!$B$6:$B$105,MATCH($C930,PRODUCTOS!$A$6:$A$105,0)),"¿Código?"))</f>
        <v/>
      </c>
      <c r="E930" s="42"/>
      <c r="F930" s="35" t="str">
        <f aca="false">IF($C930="","",IFERROR(INDEX(PRODUCTOS!$D$6:$D$105,MATCH($C930,PRODUCTOS!$A$6:$A$105,0)),0))</f>
        <v/>
      </c>
      <c r="G930" s="40"/>
      <c r="H930" s="35" t="str">
        <f aca="false">IF($C930="","",N($E930)*$F930-N($G930))</f>
        <v/>
      </c>
      <c r="I930" s="35" t="str">
        <f aca="false">IF($C930="","",$H930-$H930/(1+IFERROR(INDEX(PRODUCTOS!$E$6:$E$105,MATCH($C930,PRODUCTOS!$A$6:$A$105,0)),IVA_VENTAS)))</f>
        <v/>
      </c>
      <c r="J930" s="35" t="str">
        <f aca="false">IF($C930="","",$H930-$I930)</f>
        <v/>
      </c>
      <c r="K930" s="35" t="str">
        <f aca="false">IF($C930="","",N($E930)*IFERROR(INDEX(PRODUCTOS!$H$6:$H$105,MATCH($C930,PRODUCTOS!$A$6:$A$105,0)),0))</f>
        <v/>
      </c>
      <c r="L930" s="35" t="str">
        <f aca="false">IF($C930="","",$J930-$K930)</f>
        <v/>
      </c>
      <c r="M930" s="6"/>
      <c r="N930" s="6"/>
      <c r="O930" s="46" t="str">
        <f aca="false">IF($A930="","",DATE(YEAR($A930),MONTH($A930),1))</f>
        <v/>
      </c>
    </row>
    <row r="931" customFormat="false" ht="15" hidden="false" customHeight="false" outlineLevel="0" collapsed="false">
      <c r="A931" s="44"/>
      <c r="B931" s="6"/>
      <c r="C931" s="6"/>
      <c r="D931" s="8" t="str">
        <f aca="false">IF($C931="","",IFERROR(INDEX(PRODUCTOS!$B$6:$B$105,MATCH($C931,PRODUCTOS!$A$6:$A$105,0)),"¿Código?"))</f>
        <v/>
      </c>
      <c r="E931" s="42"/>
      <c r="F931" s="35" t="str">
        <f aca="false">IF($C931="","",IFERROR(INDEX(PRODUCTOS!$D$6:$D$105,MATCH($C931,PRODUCTOS!$A$6:$A$105,0)),0))</f>
        <v/>
      </c>
      <c r="G931" s="40"/>
      <c r="H931" s="35" t="str">
        <f aca="false">IF($C931="","",N($E931)*$F931-N($G931))</f>
        <v/>
      </c>
      <c r="I931" s="35" t="str">
        <f aca="false">IF($C931="","",$H931-$H931/(1+IFERROR(INDEX(PRODUCTOS!$E$6:$E$105,MATCH($C931,PRODUCTOS!$A$6:$A$105,0)),IVA_VENTAS)))</f>
        <v/>
      </c>
      <c r="J931" s="35" t="str">
        <f aca="false">IF($C931="","",$H931-$I931)</f>
        <v/>
      </c>
      <c r="K931" s="35" t="str">
        <f aca="false">IF($C931="","",N($E931)*IFERROR(INDEX(PRODUCTOS!$H$6:$H$105,MATCH($C931,PRODUCTOS!$A$6:$A$105,0)),0))</f>
        <v/>
      </c>
      <c r="L931" s="35" t="str">
        <f aca="false">IF($C931="","",$J931-$K931)</f>
        <v/>
      </c>
      <c r="M931" s="6"/>
      <c r="N931" s="6"/>
      <c r="O931" s="46" t="str">
        <f aca="false">IF($A931="","",DATE(YEAR($A931),MONTH($A931),1))</f>
        <v/>
      </c>
    </row>
    <row r="932" customFormat="false" ht="15" hidden="false" customHeight="false" outlineLevel="0" collapsed="false">
      <c r="A932" s="44"/>
      <c r="B932" s="6"/>
      <c r="C932" s="6"/>
      <c r="D932" s="8" t="str">
        <f aca="false">IF($C932="","",IFERROR(INDEX(PRODUCTOS!$B$6:$B$105,MATCH($C932,PRODUCTOS!$A$6:$A$105,0)),"¿Código?"))</f>
        <v/>
      </c>
      <c r="E932" s="42"/>
      <c r="F932" s="35" t="str">
        <f aca="false">IF($C932="","",IFERROR(INDEX(PRODUCTOS!$D$6:$D$105,MATCH($C932,PRODUCTOS!$A$6:$A$105,0)),0))</f>
        <v/>
      </c>
      <c r="G932" s="40"/>
      <c r="H932" s="35" t="str">
        <f aca="false">IF($C932="","",N($E932)*$F932-N($G932))</f>
        <v/>
      </c>
      <c r="I932" s="35" t="str">
        <f aca="false">IF($C932="","",$H932-$H932/(1+IFERROR(INDEX(PRODUCTOS!$E$6:$E$105,MATCH($C932,PRODUCTOS!$A$6:$A$105,0)),IVA_VENTAS)))</f>
        <v/>
      </c>
      <c r="J932" s="35" t="str">
        <f aca="false">IF($C932="","",$H932-$I932)</f>
        <v/>
      </c>
      <c r="K932" s="35" t="str">
        <f aca="false">IF($C932="","",N($E932)*IFERROR(INDEX(PRODUCTOS!$H$6:$H$105,MATCH($C932,PRODUCTOS!$A$6:$A$105,0)),0))</f>
        <v/>
      </c>
      <c r="L932" s="35" t="str">
        <f aca="false">IF($C932="","",$J932-$K932)</f>
        <v/>
      </c>
      <c r="M932" s="6"/>
      <c r="N932" s="6"/>
      <c r="O932" s="46" t="str">
        <f aca="false">IF($A932="","",DATE(YEAR($A932),MONTH($A932),1))</f>
        <v/>
      </c>
    </row>
    <row r="933" customFormat="false" ht="15" hidden="false" customHeight="false" outlineLevel="0" collapsed="false">
      <c r="A933" s="44"/>
      <c r="B933" s="6"/>
      <c r="C933" s="6"/>
      <c r="D933" s="8" t="str">
        <f aca="false">IF($C933="","",IFERROR(INDEX(PRODUCTOS!$B$6:$B$105,MATCH($C933,PRODUCTOS!$A$6:$A$105,0)),"¿Código?"))</f>
        <v/>
      </c>
      <c r="E933" s="42"/>
      <c r="F933" s="35" t="str">
        <f aca="false">IF($C933="","",IFERROR(INDEX(PRODUCTOS!$D$6:$D$105,MATCH($C933,PRODUCTOS!$A$6:$A$105,0)),0))</f>
        <v/>
      </c>
      <c r="G933" s="40"/>
      <c r="H933" s="35" t="str">
        <f aca="false">IF($C933="","",N($E933)*$F933-N($G933))</f>
        <v/>
      </c>
      <c r="I933" s="35" t="str">
        <f aca="false">IF($C933="","",$H933-$H933/(1+IFERROR(INDEX(PRODUCTOS!$E$6:$E$105,MATCH($C933,PRODUCTOS!$A$6:$A$105,0)),IVA_VENTAS)))</f>
        <v/>
      </c>
      <c r="J933" s="35" t="str">
        <f aca="false">IF($C933="","",$H933-$I933)</f>
        <v/>
      </c>
      <c r="K933" s="35" t="str">
        <f aca="false">IF($C933="","",N($E933)*IFERROR(INDEX(PRODUCTOS!$H$6:$H$105,MATCH($C933,PRODUCTOS!$A$6:$A$105,0)),0))</f>
        <v/>
      </c>
      <c r="L933" s="35" t="str">
        <f aca="false">IF($C933="","",$J933-$K933)</f>
        <v/>
      </c>
      <c r="M933" s="6"/>
      <c r="N933" s="6"/>
      <c r="O933" s="46" t="str">
        <f aca="false">IF($A933="","",DATE(YEAR($A933),MONTH($A933),1))</f>
        <v/>
      </c>
    </row>
    <row r="934" customFormat="false" ht="15" hidden="false" customHeight="false" outlineLevel="0" collapsed="false">
      <c r="A934" s="44"/>
      <c r="B934" s="6"/>
      <c r="C934" s="6"/>
      <c r="D934" s="8" t="str">
        <f aca="false">IF($C934="","",IFERROR(INDEX(PRODUCTOS!$B$6:$B$105,MATCH($C934,PRODUCTOS!$A$6:$A$105,0)),"¿Código?"))</f>
        <v/>
      </c>
      <c r="E934" s="42"/>
      <c r="F934" s="35" t="str">
        <f aca="false">IF($C934="","",IFERROR(INDEX(PRODUCTOS!$D$6:$D$105,MATCH($C934,PRODUCTOS!$A$6:$A$105,0)),0))</f>
        <v/>
      </c>
      <c r="G934" s="40"/>
      <c r="H934" s="35" t="str">
        <f aca="false">IF($C934="","",N($E934)*$F934-N($G934))</f>
        <v/>
      </c>
      <c r="I934" s="35" t="str">
        <f aca="false">IF($C934="","",$H934-$H934/(1+IFERROR(INDEX(PRODUCTOS!$E$6:$E$105,MATCH($C934,PRODUCTOS!$A$6:$A$105,0)),IVA_VENTAS)))</f>
        <v/>
      </c>
      <c r="J934" s="35" t="str">
        <f aca="false">IF($C934="","",$H934-$I934)</f>
        <v/>
      </c>
      <c r="K934" s="35" t="str">
        <f aca="false">IF($C934="","",N($E934)*IFERROR(INDEX(PRODUCTOS!$H$6:$H$105,MATCH($C934,PRODUCTOS!$A$6:$A$105,0)),0))</f>
        <v/>
      </c>
      <c r="L934" s="35" t="str">
        <f aca="false">IF($C934="","",$J934-$K934)</f>
        <v/>
      </c>
      <c r="M934" s="6"/>
      <c r="N934" s="6"/>
      <c r="O934" s="46" t="str">
        <f aca="false">IF($A934="","",DATE(YEAR($A934),MONTH($A934),1))</f>
        <v/>
      </c>
    </row>
    <row r="935" customFormat="false" ht="15" hidden="false" customHeight="false" outlineLevel="0" collapsed="false">
      <c r="A935" s="44"/>
      <c r="B935" s="6"/>
      <c r="C935" s="6"/>
      <c r="D935" s="8" t="str">
        <f aca="false">IF($C935="","",IFERROR(INDEX(PRODUCTOS!$B$6:$B$105,MATCH($C935,PRODUCTOS!$A$6:$A$105,0)),"¿Código?"))</f>
        <v/>
      </c>
      <c r="E935" s="42"/>
      <c r="F935" s="35" t="str">
        <f aca="false">IF($C935="","",IFERROR(INDEX(PRODUCTOS!$D$6:$D$105,MATCH($C935,PRODUCTOS!$A$6:$A$105,0)),0))</f>
        <v/>
      </c>
      <c r="G935" s="40"/>
      <c r="H935" s="35" t="str">
        <f aca="false">IF($C935="","",N($E935)*$F935-N($G935))</f>
        <v/>
      </c>
      <c r="I935" s="35" t="str">
        <f aca="false">IF($C935="","",$H935-$H935/(1+IFERROR(INDEX(PRODUCTOS!$E$6:$E$105,MATCH($C935,PRODUCTOS!$A$6:$A$105,0)),IVA_VENTAS)))</f>
        <v/>
      </c>
      <c r="J935" s="35" t="str">
        <f aca="false">IF($C935="","",$H935-$I935)</f>
        <v/>
      </c>
      <c r="K935" s="35" t="str">
        <f aca="false">IF($C935="","",N($E935)*IFERROR(INDEX(PRODUCTOS!$H$6:$H$105,MATCH($C935,PRODUCTOS!$A$6:$A$105,0)),0))</f>
        <v/>
      </c>
      <c r="L935" s="35" t="str">
        <f aca="false">IF($C935="","",$J935-$K935)</f>
        <v/>
      </c>
      <c r="M935" s="6"/>
      <c r="N935" s="6"/>
      <c r="O935" s="46" t="str">
        <f aca="false">IF($A935="","",DATE(YEAR($A935),MONTH($A935),1))</f>
        <v/>
      </c>
    </row>
    <row r="936" customFormat="false" ht="15" hidden="false" customHeight="false" outlineLevel="0" collapsed="false">
      <c r="A936" s="44"/>
      <c r="B936" s="6"/>
      <c r="C936" s="6"/>
      <c r="D936" s="8" t="str">
        <f aca="false">IF($C936="","",IFERROR(INDEX(PRODUCTOS!$B$6:$B$105,MATCH($C936,PRODUCTOS!$A$6:$A$105,0)),"¿Código?"))</f>
        <v/>
      </c>
      <c r="E936" s="42"/>
      <c r="F936" s="35" t="str">
        <f aca="false">IF($C936="","",IFERROR(INDEX(PRODUCTOS!$D$6:$D$105,MATCH($C936,PRODUCTOS!$A$6:$A$105,0)),0))</f>
        <v/>
      </c>
      <c r="G936" s="40"/>
      <c r="H936" s="35" t="str">
        <f aca="false">IF($C936="","",N($E936)*$F936-N($G936))</f>
        <v/>
      </c>
      <c r="I936" s="35" t="str">
        <f aca="false">IF($C936="","",$H936-$H936/(1+IFERROR(INDEX(PRODUCTOS!$E$6:$E$105,MATCH($C936,PRODUCTOS!$A$6:$A$105,0)),IVA_VENTAS)))</f>
        <v/>
      </c>
      <c r="J936" s="35" t="str">
        <f aca="false">IF($C936="","",$H936-$I936)</f>
        <v/>
      </c>
      <c r="K936" s="35" t="str">
        <f aca="false">IF($C936="","",N($E936)*IFERROR(INDEX(PRODUCTOS!$H$6:$H$105,MATCH($C936,PRODUCTOS!$A$6:$A$105,0)),0))</f>
        <v/>
      </c>
      <c r="L936" s="35" t="str">
        <f aca="false">IF($C936="","",$J936-$K936)</f>
        <v/>
      </c>
      <c r="M936" s="6"/>
      <c r="N936" s="6"/>
      <c r="O936" s="46" t="str">
        <f aca="false">IF($A936="","",DATE(YEAR($A936),MONTH($A936),1))</f>
        <v/>
      </c>
    </row>
    <row r="937" customFormat="false" ht="15" hidden="false" customHeight="false" outlineLevel="0" collapsed="false">
      <c r="A937" s="44"/>
      <c r="B937" s="6"/>
      <c r="C937" s="6"/>
      <c r="D937" s="8" t="str">
        <f aca="false">IF($C937="","",IFERROR(INDEX(PRODUCTOS!$B$6:$B$105,MATCH($C937,PRODUCTOS!$A$6:$A$105,0)),"¿Código?"))</f>
        <v/>
      </c>
      <c r="E937" s="42"/>
      <c r="F937" s="35" t="str">
        <f aca="false">IF($C937="","",IFERROR(INDEX(PRODUCTOS!$D$6:$D$105,MATCH($C937,PRODUCTOS!$A$6:$A$105,0)),0))</f>
        <v/>
      </c>
      <c r="G937" s="40"/>
      <c r="H937" s="35" t="str">
        <f aca="false">IF($C937="","",N($E937)*$F937-N($G937))</f>
        <v/>
      </c>
      <c r="I937" s="35" t="str">
        <f aca="false">IF($C937="","",$H937-$H937/(1+IFERROR(INDEX(PRODUCTOS!$E$6:$E$105,MATCH($C937,PRODUCTOS!$A$6:$A$105,0)),IVA_VENTAS)))</f>
        <v/>
      </c>
      <c r="J937" s="35" t="str">
        <f aca="false">IF($C937="","",$H937-$I937)</f>
        <v/>
      </c>
      <c r="K937" s="35" t="str">
        <f aca="false">IF($C937="","",N($E937)*IFERROR(INDEX(PRODUCTOS!$H$6:$H$105,MATCH($C937,PRODUCTOS!$A$6:$A$105,0)),0))</f>
        <v/>
      </c>
      <c r="L937" s="35" t="str">
        <f aca="false">IF($C937="","",$J937-$K937)</f>
        <v/>
      </c>
      <c r="M937" s="6"/>
      <c r="N937" s="6"/>
      <c r="O937" s="46" t="str">
        <f aca="false">IF($A937="","",DATE(YEAR($A937),MONTH($A937),1))</f>
        <v/>
      </c>
    </row>
    <row r="938" customFormat="false" ht="15" hidden="false" customHeight="false" outlineLevel="0" collapsed="false">
      <c r="A938" s="44"/>
      <c r="B938" s="6"/>
      <c r="C938" s="6"/>
      <c r="D938" s="8" t="str">
        <f aca="false">IF($C938="","",IFERROR(INDEX(PRODUCTOS!$B$6:$B$105,MATCH($C938,PRODUCTOS!$A$6:$A$105,0)),"¿Código?"))</f>
        <v/>
      </c>
      <c r="E938" s="42"/>
      <c r="F938" s="35" t="str">
        <f aca="false">IF($C938="","",IFERROR(INDEX(PRODUCTOS!$D$6:$D$105,MATCH($C938,PRODUCTOS!$A$6:$A$105,0)),0))</f>
        <v/>
      </c>
      <c r="G938" s="40"/>
      <c r="H938" s="35" t="str">
        <f aca="false">IF($C938="","",N($E938)*$F938-N($G938))</f>
        <v/>
      </c>
      <c r="I938" s="35" t="str">
        <f aca="false">IF($C938="","",$H938-$H938/(1+IFERROR(INDEX(PRODUCTOS!$E$6:$E$105,MATCH($C938,PRODUCTOS!$A$6:$A$105,0)),IVA_VENTAS)))</f>
        <v/>
      </c>
      <c r="J938" s="35" t="str">
        <f aca="false">IF($C938="","",$H938-$I938)</f>
        <v/>
      </c>
      <c r="K938" s="35" t="str">
        <f aca="false">IF($C938="","",N($E938)*IFERROR(INDEX(PRODUCTOS!$H$6:$H$105,MATCH($C938,PRODUCTOS!$A$6:$A$105,0)),0))</f>
        <v/>
      </c>
      <c r="L938" s="35" t="str">
        <f aca="false">IF($C938="","",$J938-$K938)</f>
        <v/>
      </c>
      <c r="M938" s="6"/>
      <c r="N938" s="6"/>
      <c r="O938" s="46" t="str">
        <f aca="false">IF($A938="","",DATE(YEAR($A938),MONTH($A938),1))</f>
        <v/>
      </c>
    </row>
    <row r="939" customFormat="false" ht="15" hidden="false" customHeight="false" outlineLevel="0" collapsed="false">
      <c r="A939" s="44"/>
      <c r="B939" s="6"/>
      <c r="C939" s="6"/>
      <c r="D939" s="8" t="str">
        <f aca="false">IF($C939="","",IFERROR(INDEX(PRODUCTOS!$B$6:$B$105,MATCH($C939,PRODUCTOS!$A$6:$A$105,0)),"¿Código?"))</f>
        <v/>
      </c>
      <c r="E939" s="42"/>
      <c r="F939" s="35" t="str">
        <f aca="false">IF($C939="","",IFERROR(INDEX(PRODUCTOS!$D$6:$D$105,MATCH($C939,PRODUCTOS!$A$6:$A$105,0)),0))</f>
        <v/>
      </c>
      <c r="G939" s="40"/>
      <c r="H939" s="35" t="str">
        <f aca="false">IF($C939="","",N($E939)*$F939-N($G939))</f>
        <v/>
      </c>
      <c r="I939" s="35" t="str">
        <f aca="false">IF($C939="","",$H939-$H939/(1+IFERROR(INDEX(PRODUCTOS!$E$6:$E$105,MATCH($C939,PRODUCTOS!$A$6:$A$105,0)),IVA_VENTAS)))</f>
        <v/>
      </c>
      <c r="J939" s="35" t="str">
        <f aca="false">IF($C939="","",$H939-$I939)</f>
        <v/>
      </c>
      <c r="K939" s="35" t="str">
        <f aca="false">IF($C939="","",N($E939)*IFERROR(INDEX(PRODUCTOS!$H$6:$H$105,MATCH($C939,PRODUCTOS!$A$6:$A$105,0)),0))</f>
        <v/>
      </c>
      <c r="L939" s="35" t="str">
        <f aca="false">IF($C939="","",$J939-$K939)</f>
        <v/>
      </c>
      <c r="M939" s="6"/>
      <c r="N939" s="6"/>
      <c r="O939" s="46" t="str">
        <f aca="false">IF($A939="","",DATE(YEAR($A939),MONTH($A939),1))</f>
        <v/>
      </c>
    </row>
    <row r="940" customFormat="false" ht="15" hidden="false" customHeight="false" outlineLevel="0" collapsed="false">
      <c r="A940" s="44"/>
      <c r="B940" s="6"/>
      <c r="C940" s="6"/>
      <c r="D940" s="8" t="str">
        <f aca="false">IF($C940="","",IFERROR(INDEX(PRODUCTOS!$B$6:$B$105,MATCH($C940,PRODUCTOS!$A$6:$A$105,0)),"¿Código?"))</f>
        <v/>
      </c>
      <c r="E940" s="42"/>
      <c r="F940" s="35" t="str">
        <f aca="false">IF($C940="","",IFERROR(INDEX(PRODUCTOS!$D$6:$D$105,MATCH($C940,PRODUCTOS!$A$6:$A$105,0)),0))</f>
        <v/>
      </c>
      <c r="G940" s="40"/>
      <c r="H940" s="35" t="str">
        <f aca="false">IF($C940="","",N($E940)*$F940-N($G940))</f>
        <v/>
      </c>
      <c r="I940" s="35" t="str">
        <f aca="false">IF($C940="","",$H940-$H940/(1+IFERROR(INDEX(PRODUCTOS!$E$6:$E$105,MATCH($C940,PRODUCTOS!$A$6:$A$105,0)),IVA_VENTAS)))</f>
        <v/>
      </c>
      <c r="J940" s="35" t="str">
        <f aca="false">IF($C940="","",$H940-$I940)</f>
        <v/>
      </c>
      <c r="K940" s="35" t="str">
        <f aca="false">IF($C940="","",N($E940)*IFERROR(INDEX(PRODUCTOS!$H$6:$H$105,MATCH($C940,PRODUCTOS!$A$6:$A$105,0)),0))</f>
        <v/>
      </c>
      <c r="L940" s="35" t="str">
        <f aca="false">IF($C940="","",$J940-$K940)</f>
        <v/>
      </c>
      <c r="M940" s="6"/>
      <c r="N940" s="6"/>
      <c r="O940" s="46" t="str">
        <f aca="false">IF($A940="","",DATE(YEAR($A940),MONTH($A940),1))</f>
        <v/>
      </c>
    </row>
    <row r="941" customFormat="false" ht="15" hidden="false" customHeight="false" outlineLevel="0" collapsed="false">
      <c r="A941" s="44"/>
      <c r="B941" s="6"/>
      <c r="C941" s="6"/>
      <c r="D941" s="8" t="str">
        <f aca="false">IF($C941="","",IFERROR(INDEX(PRODUCTOS!$B$6:$B$105,MATCH($C941,PRODUCTOS!$A$6:$A$105,0)),"¿Código?"))</f>
        <v/>
      </c>
      <c r="E941" s="42"/>
      <c r="F941" s="35" t="str">
        <f aca="false">IF($C941="","",IFERROR(INDEX(PRODUCTOS!$D$6:$D$105,MATCH($C941,PRODUCTOS!$A$6:$A$105,0)),0))</f>
        <v/>
      </c>
      <c r="G941" s="40"/>
      <c r="H941" s="35" t="str">
        <f aca="false">IF($C941="","",N($E941)*$F941-N($G941))</f>
        <v/>
      </c>
      <c r="I941" s="35" t="str">
        <f aca="false">IF($C941="","",$H941-$H941/(1+IFERROR(INDEX(PRODUCTOS!$E$6:$E$105,MATCH($C941,PRODUCTOS!$A$6:$A$105,0)),IVA_VENTAS)))</f>
        <v/>
      </c>
      <c r="J941" s="35" t="str">
        <f aca="false">IF($C941="","",$H941-$I941)</f>
        <v/>
      </c>
      <c r="K941" s="35" t="str">
        <f aca="false">IF($C941="","",N($E941)*IFERROR(INDEX(PRODUCTOS!$H$6:$H$105,MATCH($C941,PRODUCTOS!$A$6:$A$105,0)),0))</f>
        <v/>
      </c>
      <c r="L941" s="35" t="str">
        <f aca="false">IF($C941="","",$J941-$K941)</f>
        <v/>
      </c>
      <c r="M941" s="6"/>
      <c r="N941" s="6"/>
      <c r="O941" s="46" t="str">
        <f aca="false">IF($A941="","",DATE(YEAR($A941),MONTH($A941),1))</f>
        <v/>
      </c>
    </row>
    <row r="942" customFormat="false" ht="15" hidden="false" customHeight="false" outlineLevel="0" collapsed="false">
      <c r="A942" s="44"/>
      <c r="B942" s="6"/>
      <c r="C942" s="6"/>
      <c r="D942" s="8" t="str">
        <f aca="false">IF($C942="","",IFERROR(INDEX(PRODUCTOS!$B$6:$B$105,MATCH($C942,PRODUCTOS!$A$6:$A$105,0)),"¿Código?"))</f>
        <v/>
      </c>
      <c r="E942" s="42"/>
      <c r="F942" s="35" t="str">
        <f aca="false">IF($C942="","",IFERROR(INDEX(PRODUCTOS!$D$6:$D$105,MATCH($C942,PRODUCTOS!$A$6:$A$105,0)),0))</f>
        <v/>
      </c>
      <c r="G942" s="40"/>
      <c r="H942" s="35" t="str">
        <f aca="false">IF($C942="","",N($E942)*$F942-N($G942))</f>
        <v/>
      </c>
      <c r="I942" s="35" t="str">
        <f aca="false">IF($C942="","",$H942-$H942/(1+IFERROR(INDEX(PRODUCTOS!$E$6:$E$105,MATCH($C942,PRODUCTOS!$A$6:$A$105,0)),IVA_VENTAS)))</f>
        <v/>
      </c>
      <c r="J942" s="35" t="str">
        <f aca="false">IF($C942="","",$H942-$I942)</f>
        <v/>
      </c>
      <c r="K942" s="35" t="str">
        <f aca="false">IF($C942="","",N($E942)*IFERROR(INDEX(PRODUCTOS!$H$6:$H$105,MATCH($C942,PRODUCTOS!$A$6:$A$105,0)),0))</f>
        <v/>
      </c>
      <c r="L942" s="35" t="str">
        <f aca="false">IF($C942="","",$J942-$K942)</f>
        <v/>
      </c>
      <c r="M942" s="6"/>
      <c r="N942" s="6"/>
      <c r="O942" s="46" t="str">
        <f aca="false">IF($A942="","",DATE(YEAR($A942),MONTH($A942),1))</f>
        <v/>
      </c>
    </row>
    <row r="943" customFormat="false" ht="15" hidden="false" customHeight="false" outlineLevel="0" collapsed="false">
      <c r="A943" s="44"/>
      <c r="B943" s="6"/>
      <c r="C943" s="6"/>
      <c r="D943" s="8" t="str">
        <f aca="false">IF($C943="","",IFERROR(INDEX(PRODUCTOS!$B$6:$B$105,MATCH($C943,PRODUCTOS!$A$6:$A$105,0)),"¿Código?"))</f>
        <v/>
      </c>
      <c r="E943" s="42"/>
      <c r="F943" s="35" t="str">
        <f aca="false">IF($C943="","",IFERROR(INDEX(PRODUCTOS!$D$6:$D$105,MATCH($C943,PRODUCTOS!$A$6:$A$105,0)),0))</f>
        <v/>
      </c>
      <c r="G943" s="40"/>
      <c r="H943" s="35" t="str">
        <f aca="false">IF($C943="","",N($E943)*$F943-N($G943))</f>
        <v/>
      </c>
      <c r="I943" s="35" t="str">
        <f aca="false">IF($C943="","",$H943-$H943/(1+IFERROR(INDEX(PRODUCTOS!$E$6:$E$105,MATCH($C943,PRODUCTOS!$A$6:$A$105,0)),IVA_VENTAS)))</f>
        <v/>
      </c>
      <c r="J943" s="35" t="str">
        <f aca="false">IF($C943="","",$H943-$I943)</f>
        <v/>
      </c>
      <c r="K943" s="35" t="str">
        <f aca="false">IF($C943="","",N($E943)*IFERROR(INDEX(PRODUCTOS!$H$6:$H$105,MATCH($C943,PRODUCTOS!$A$6:$A$105,0)),0))</f>
        <v/>
      </c>
      <c r="L943" s="35" t="str">
        <f aca="false">IF($C943="","",$J943-$K943)</f>
        <v/>
      </c>
      <c r="M943" s="6"/>
      <c r="N943" s="6"/>
      <c r="O943" s="46" t="str">
        <f aca="false">IF($A943="","",DATE(YEAR($A943),MONTH($A943),1))</f>
        <v/>
      </c>
    </row>
    <row r="944" customFormat="false" ht="15" hidden="false" customHeight="false" outlineLevel="0" collapsed="false">
      <c r="A944" s="44"/>
      <c r="B944" s="6"/>
      <c r="C944" s="6"/>
      <c r="D944" s="8" t="str">
        <f aca="false">IF($C944="","",IFERROR(INDEX(PRODUCTOS!$B$6:$B$105,MATCH($C944,PRODUCTOS!$A$6:$A$105,0)),"¿Código?"))</f>
        <v/>
      </c>
      <c r="E944" s="42"/>
      <c r="F944" s="35" t="str">
        <f aca="false">IF($C944="","",IFERROR(INDEX(PRODUCTOS!$D$6:$D$105,MATCH($C944,PRODUCTOS!$A$6:$A$105,0)),0))</f>
        <v/>
      </c>
      <c r="G944" s="40"/>
      <c r="H944" s="35" t="str">
        <f aca="false">IF($C944="","",N($E944)*$F944-N($G944))</f>
        <v/>
      </c>
      <c r="I944" s="35" t="str">
        <f aca="false">IF($C944="","",$H944-$H944/(1+IFERROR(INDEX(PRODUCTOS!$E$6:$E$105,MATCH($C944,PRODUCTOS!$A$6:$A$105,0)),IVA_VENTAS)))</f>
        <v/>
      </c>
      <c r="J944" s="35" t="str">
        <f aca="false">IF($C944="","",$H944-$I944)</f>
        <v/>
      </c>
      <c r="K944" s="35" t="str">
        <f aca="false">IF($C944="","",N($E944)*IFERROR(INDEX(PRODUCTOS!$H$6:$H$105,MATCH($C944,PRODUCTOS!$A$6:$A$105,0)),0))</f>
        <v/>
      </c>
      <c r="L944" s="35" t="str">
        <f aca="false">IF($C944="","",$J944-$K944)</f>
        <v/>
      </c>
      <c r="M944" s="6"/>
      <c r="N944" s="6"/>
      <c r="O944" s="46" t="str">
        <f aca="false">IF($A944="","",DATE(YEAR($A944),MONTH($A944),1))</f>
        <v/>
      </c>
    </row>
    <row r="945" customFormat="false" ht="15" hidden="false" customHeight="false" outlineLevel="0" collapsed="false">
      <c r="A945" s="44"/>
      <c r="B945" s="6"/>
      <c r="C945" s="6"/>
      <c r="D945" s="8" t="str">
        <f aca="false">IF($C945="","",IFERROR(INDEX(PRODUCTOS!$B$6:$B$105,MATCH($C945,PRODUCTOS!$A$6:$A$105,0)),"¿Código?"))</f>
        <v/>
      </c>
      <c r="E945" s="42"/>
      <c r="F945" s="35" t="str">
        <f aca="false">IF($C945="","",IFERROR(INDEX(PRODUCTOS!$D$6:$D$105,MATCH($C945,PRODUCTOS!$A$6:$A$105,0)),0))</f>
        <v/>
      </c>
      <c r="G945" s="40"/>
      <c r="H945" s="35" t="str">
        <f aca="false">IF($C945="","",N($E945)*$F945-N($G945))</f>
        <v/>
      </c>
      <c r="I945" s="35" t="str">
        <f aca="false">IF($C945="","",$H945-$H945/(1+IFERROR(INDEX(PRODUCTOS!$E$6:$E$105,MATCH($C945,PRODUCTOS!$A$6:$A$105,0)),IVA_VENTAS)))</f>
        <v/>
      </c>
      <c r="J945" s="35" t="str">
        <f aca="false">IF($C945="","",$H945-$I945)</f>
        <v/>
      </c>
      <c r="K945" s="35" t="str">
        <f aca="false">IF($C945="","",N($E945)*IFERROR(INDEX(PRODUCTOS!$H$6:$H$105,MATCH($C945,PRODUCTOS!$A$6:$A$105,0)),0))</f>
        <v/>
      </c>
      <c r="L945" s="35" t="str">
        <f aca="false">IF($C945="","",$J945-$K945)</f>
        <v/>
      </c>
      <c r="M945" s="6"/>
      <c r="N945" s="6"/>
      <c r="O945" s="46" t="str">
        <f aca="false">IF($A945="","",DATE(YEAR($A945),MONTH($A945),1))</f>
        <v/>
      </c>
    </row>
    <row r="946" customFormat="false" ht="15" hidden="false" customHeight="false" outlineLevel="0" collapsed="false">
      <c r="A946" s="44"/>
      <c r="B946" s="6"/>
      <c r="C946" s="6"/>
      <c r="D946" s="8" t="str">
        <f aca="false">IF($C946="","",IFERROR(INDEX(PRODUCTOS!$B$6:$B$105,MATCH($C946,PRODUCTOS!$A$6:$A$105,0)),"¿Código?"))</f>
        <v/>
      </c>
      <c r="E946" s="42"/>
      <c r="F946" s="35" t="str">
        <f aca="false">IF($C946="","",IFERROR(INDEX(PRODUCTOS!$D$6:$D$105,MATCH($C946,PRODUCTOS!$A$6:$A$105,0)),0))</f>
        <v/>
      </c>
      <c r="G946" s="40"/>
      <c r="H946" s="35" t="str">
        <f aca="false">IF($C946="","",N($E946)*$F946-N($G946))</f>
        <v/>
      </c>
      <c r="I946" s="35" t="str">
        <f aca="false">IF($C946="","",$H946-$H946/(1+IFERROR(INDEX(PRODUCTOS!$E$6:$E$105,MATCH($C946,PRODUCTOS!$A$6:$A$105,0)),IVA_VENTAS)))</f>
        <v/>
      </c>
      <c r="J946" s="35" t="str">
        <f aca="false">IF($C946="","",$H946-$I946)</f>
        <v/>
      </c>
      <c r="K946" s="35" t="str">
        <f aca="false">IF($C946="","",N($E946)*IFERROR(INDEX(PRODUCTOS!$H$6:$H$105,MATCH($C946,PRODUCTOS!$A$6:$A$105,0)),0))</f>
        <v/>
      </c>
      <c r="L946" s="35" t="str">
        <f aca="false">IF($C946="","",$J946-$K946)</f>
        <v/>
      </c>
      <c r="M946" s="6"/>
      <c r="N946" s="6"/>
      <c r="O946" s="46" t="str">
        <f aca="false">IF($A946="","",DATE(YEAR($A946),MONTH($A946),1))</f>
        <v/>
      </c>
    </row>
    <row r="947" customFormat="false" ht="15" hidden="false" customHeight="false" outlineLevel="0" collapsed="false">
      <c r="A947" s="44"/>
      <c r="B947" s="6"/>
      <c r="C947" s="6"/>
      <c r="D947" s="8" t="str">
        <f aca="false">IF($C947="","",IFERROR(INDEX(PRODUCTOS!$B$6:$B$105,MATCH($C947,PRODUCTOS!$A$6:$A$105,0)),"¿Código?"))</f>
        <v/>
      </c>
      <c r="E947" s="42"/>
      <c r="F947" s="35" t="str">
        <f aca="false">IF($C947="","",IFERROR(INDEX(PRODUCTOS!$D$6:$D$105,MATCH($C947,PRODUCTOS!$A$6:$A$105,0)),0))</f>
        <v/>
      </c>
      <c r="G947" s="40"/>
      <c r="H947" s="35" t="str">
        <f aca="false">IF($C947="","",N($E947)*$F947-N($G947))</f>
        <v/>
      </c>
      <c r="I947" s="35" t="str">
        <f aca="false">IF($C947="","",$H947-$H947/(1+IFERROR(INDEX(PRODUCTOS!$E$6:$E$105,MATCH($C947,PRODUCTOS!$A$6:$A$105,0)),IVA_VENTAS)))</f>
        <v/>
      </c>
      <c r="J947" s="35" t="str">
        <f aca="false">IF($C947="","",$H947-$I947)</f>
        <v/>
      </c>
      <c r="K947" s="35" t="str">
        <f aca="false">IF($C947="","",N($E947)*IFERROR(INDEX(PRODUCTOS!$H$6:$H$105,MATCH($C947,PRODUCTOS!$A$6:$A$105,0)),0))</f>
        <v/>
      </c>
      <c r="L947" s="35" t="str">
        <f aca="false">IF($C947="","",$J947-$K947)</f>
        <v/>
      </c>
      <c r="M947" s="6"/>
      <c r="N947" s="6"/>
      <c r="O947" s="46" t="str">
        <f aca="false">IF($A947="","",DATE(YEAR($A947),MONTH($A947),1))</f>
        <v/>
      </c>
    </row>
    <row r="948" customFormat="false" ht="15" hidden="false" customHeight="false" outlineLevel="0" collapsed="false">
      <c r="A948" s="44"/>
      <c r="B948" s="6"/>
      <c r="C948" s="6"/>
      <c r="D948" s="8" t="str">
        <f aca="false">IF($C948="","",IFERROR(INDEX(PRODUCTOS!$B$6:$B$105,MATCH($C948,PRODUCTOS!$A$6:$A$105,0)),"¿Código?"))</f>
        <v/>
      </c>
      <c r="E948" s="42"/>
      <c r="F948" s="35" t="str">
        <f aca="false">IF($C948="","",IFERROR(INDEX(PRODUCTOS!$D$6:$D$105,MATCH($C948,PRODUCTOS!$A$6:$A$105,0)),0))</f>
        <v/>
      </c>
      <c r="G948" s="40"/>
      <c r="H948" s="35" t="str">
        <f aca="false">IF($C948="","",N($E948)*$F948-N($G948))</f>
        <v/>
      </c>
      <c r="I948" s="35" t="str">
        <f aca="false">IF($C948="","",$H948-$H948/(1+IFERROR(INDEX(PRODUCTOS!$E$6:$E$105,MATCH($C948,PRODUCTOS!$A$6:$A$105,0)),IVA_VENTAS)))</f>
        <v/>
      </c>
      <c r="J948" s="35" t="str">
        <f aca="false">IF($C948="","",$H948-$I948)</f>
        <v/>
      </c>
      <c r="K948" s="35" t="str">
        <f aca="false">IF($C948="","",N($E948)*IFERROR(INDEX(PRODUCTOS!$H$6:$H$105,MATCH($C948,PRODUCTOS!$A$6:$A$105,0)),0))</f>
        <v/>
      </c>
      <c r="L948" s="35" t="str">
        <f aca="false">IF($C948="","",$J948-$K948)</f>
        <v/>
      </c>
      <c r="M948" s="6"/>
      <c r="N948" s="6"/>
      <c r="O948" s="46" t="str">
        <f aca="false">IF($A948="","",DATE(YEAR($A948),MONTH($A948),1))</f>
        <v/>
      </c>
    </row>
    <row r="949" customFormat="false" ht="15" hidden="false" customHeight="false" outlineLevel="0" collapsed="false">
      <c r="A949" s="44"/>
      <c r="B949" s="6"/>
      <c r="C949" s="6"/>
      <c r="D949" s="8" t="str">
        <f aca="false">IF($C949="","",IFERROR(INDEX(PRODUCTOS!$B$6:$B$105,MATCH($C949,PRODUCTOS!$A$6:$A$105,0)),"¿Código?"))</f>
        <v/>
      </c>
      <c r="E949" s="42"/>
      <c r="F949" s="35" t="str">
        <f aca="false">IF($C949="","",IFERROR(INDEX(PRODUCTOS!$D$6:$D$105,MATCH($C949,PRODUCTOS!$A$6:$A$105,0)),0))</f>
        <v/>
      </c>
      <c r="G949" s="40"/>
      <c r="H949" s="35" t="str">
        <f aca="false">IF($C949="","",N($E949)*$F949-N($G949))</f>
        <v/>
      </c>
      <c r="I949" s="35" t="str">
        <f aca="false">IF($C949="","",$H949-$H949/(1+IFERROR(INDEX(PRODUCTOS!$E$6:$E$105,MATCH($C949,PRODUCTOS!$A$6:$A$105,0)),IVA_VENTAS)))</f>
        <v/>
      </c>
      <c r="J949" s="35" t="str">
        <f aca="false">IF($C949="","",$H949-$I949)</f>
        <v/>
      </c>
      <c r="K949" s="35" t="str">
        <f aca="false">IF($C949="","",N($E949)*IFERROR(INDEX(PRODUCTOS!$H$6:$H$105,MATCH($C949,PRODUCTOS!$A$6:$A$105,0)),0))</f>
        <v/>
      </c>
      <c r="L949" s="35" t="str">
        <f aca="false">IF($C949="","",$J949-$K949)</f>
        <v/>
      </c>
      <c r="M949" s="6"/>
      <c r="N949" s="6"/>
      <c r="O949" s="46" t="str">
        <f aca="false">IF($A949="","",DATE(YEAR($A949),MONTH($A949),1))</f>
        <v/>
      </c>
    </row>
    <row r="950" customFormat="false" ht="15" hidden="false" customHeight="false" outlineLevel="0" collapsed="false">
      <c r="A950" s="44"/>
      <c r="B950" s="6"/>
      <c r="C950" s="6"/>
      <c r="D950" s="8" t="str">
        <f aca="false">IF($C950="","",IFERROR(INDEX(PRODUCTOS!$B$6:$B$105,MATCH($C950,PRODUCTOS!$A$6:$A$105,0)),"¿Código?"))</f>
        <v/>
      </c>
      <c r="E950" s="42"/>
      <c r="F950" s="35" t="str">
        <f aca="false">IF($C950="","",IFERROR(INDEX(PRODUCTOS!$D$6:$D$105,MATCH($C950,PRODUCTOS!$A$6:$A$105,0)),0))</f>
        <v/>
      </c>
      <c r="G950" s="40"/>
      <c r="H950" s="35" t="str">
        <f aca="false">IF($C950="","",N($E950)*$F950-N($G950))</f>
        <v/>
      </c>
      <c r="I950" s="35" t="str">
        <f aca="false">IF($C950="","",$H950-$H950/(1+IFERROR(INDEX(PRODUCTOS!$E$6:$E$105,MATCH($C950,PRODUCTOS!$A$6:$A$105,0)),IVA_VENTAS)))</f>
        <v/>
      </c>
      <c r="J950" s="35" t="str">
        <f aca="false">IF($C950="","",$H950-$I950)</f>
        <v/>
      </c>
      <c r="K950" s="35" t="str">
        <f aca="false">IF($C950="","",N($E950)*IFERROR(INDEX(PRODUCTOS!$H$6:$H$105,MATCH($C950,PRODUCTOS!$A$6:$A$105,0)),0))</f>
        <v/>
      </c>
      <c r="L950" s="35" t="str">
        <f aca="false">IF($C950="","",$J950-$K950)</f>
        <v/>
      </c>
      <c r="M950" s="6"/>
      <c r="N950" s="6"/>
      <c r="O950" s="46" t="str">
        <f aca="false">IF($A950="","",DATE(YEAR($A950),MONTH($A950),1))</f>
        <v/>
      </c>
    </row>
    <row r="951" customFormat="false" ht="15" hidden="false" customHeight="false" outlineLevel="0" collapsed="false">
      <c r="A951" s="44"/>
      <c r="B951" s="6"/>
      <c r="C951" s="6"/>
      <c r="D951" s="8" t="str">
        <f aca="false">IF($C951="","",IFERROR(INDEX(PRODUCTOS!$B$6:$B$105,MATCH($C951,PRODUCTOS!$A$6:$A$105,0)),"¿Código?"))</f>
        <v/>
      </c>
      <c r="E951" s="42"/>
      <c r="F951" s="35" t="str">
        <f aca="false">IF($C951="","",IFERROR(INDEX(PRODUCTOS!$D$6:$D$105,MATCH($C951,PRODUCTOS!$A$6:$A$105,0)),0))</f>
        <v/>
      </c>
      <c r="G951" s="40"/>
      <c r="H951" s="35" t="str">
        <f aca="false">IF($C951="","",N($E951)*$F951-N($G951))</f>
        <v/>
      </c>
      <c r="I951" s="35" t="str">
        <f aca="false">IF($C951="","",$H951-$H951/(1+IFERROR(INDEX(PRODUCTOS!$E$6:$E$105,MATCH($C951,PRODUCTOS!$A$6:$A$105,0)),IVA_VENTAS)))</f>
        <v/>
      </c>
      <c r="J951" s="35" t="str">
        <f aca="false">IF($C951="","",$H951-$I951)</f>
        <v/>
      </c>
      <c r="K951" s="35" t="str">
        <f aca="false">IF($C951="","",N($E951)*IFERROR(INDEX(PRODUCTOS!$H$6:$H$105,MATCH($C951,PRODUCTOS!$A$6:$A$105,0)),0))</f>
        <v/>
      </c>
      <c r="L951" s="35" t="str">
        <f aca="false">IF($C951="","",$J951-$K951)</f>
        <v/>
      </c>
      <c r="M951" s="6"/>
      <c r="N951" s="6"/>
      <c r="O951" s="46" t="str">
        <f aca="false">IF($A951="","",DATE(YEAR($A951),MONTH($A951),1))</f>
        <v/>
      </c>
    </row>
    <row r="952" customFormat="false" ht="15" hidden="false" customHeight="false" outlineLevel="0" collapsed="false">
      <c r="A952" s="44"/>
      <c r="B952" s="6"/>
      <c r="C952" s="6"/>
      <c r="D952" s="8" t="str">
        <f aca="false">IF($C952="","",IFERROR(INDEX(PRODUCTOS!$B$6:$B$105,MATCH($C952,PRODUCTOS!$A$6:$A$105,0)),"¿Código?"))</f>
        <v/>
      </c>
      <c r="E952" s="42"/>
      <c r="F952" s="35" t="str">
        <f aca="false">IF($C952="","",IFERROR(INDEX(PRODUCTOS!$D$6:$D$105,MATCH($C952,PRODUCTOS!$A$6:$A$105,0)),0))</f>
        <v/>
      </c>
      <c r="G952" s="40"/>
      <c r="H952" s="35" t="str">
        <f aca="false">IF($C952="","",N($E952)*$F952-N($G952))</f>
        <v/>
      </c>
      <c r="I952" s="35" t="str">
        <f aca="false">IF($C952="","",$H952-$H952/(1+IFERROR(INDEX(PRODUCTOS!$E$6:$E$105,MATCH($C952,PRODUCTOS!$A$6:$A$105,0)),IVA_VENTAS)))</f>
        <v/>
      </c>
      <c r="J952" s="35" t="str">
        <f aca="false">IF($C952="","",$H952-$I952)</f>
        <v/>
      </c>
      <c r="K952" s="35" t="str">
        <f aca="false">IF($C952="","",N($E952)*IFERROR(INDEX(PRODUCTOS!$H$6:$H$105,MATCH($C952,PRODUCTOS!$A$6:$A$105,0)),0))</f>
        <v/>
      </c>
      <c r="L952" s="35" t="str">
        <f aca="false">IF($C952="","",$J952-$K952)</f>
        <v/>
      </c>
      <c r="M952" s="6"/>
      <c r="N952" s="6"/>
      <c r="O952" s="46" t="str">
        <f aca="false">IF($A952="","",DATE(YEAR($A952),MONTH($A952),1))</f>
        <v/>
      </c>
    </row>
    <row r="953" customFormat="false" ht="15" hidden="false" customHeight="false" outlineLevel="0" collapsed="false">
      <c r="A953" s="44"/>
      <c r="B953" s="6"/>
      <c r="C953" s="6"/>
      <c r="D953" s="8" t="str">
        <f aca="false">IF($C953="","",IFERROR(INDEX(PRODUCTOS!$B$6:$B$105,MATCH($C953,PRODUCTOS!$A$6:$A$105,0)),"¿Código?"))</f>
        <v/>
      </c>
      <c r="E953" s="42"/>
      <c r="F953" s="35" t="str">
        <f aca="false">IF($C953="","",IFERROR(INDEX(PRODUCTOS!$D$6:$D$105,MATCH($C953,PRODUCTOS!$A$6:$A$105,0)),0))</f>
        <v/>
      </c>
      <c r="G953" s="40"/>
      <c r="H953" s="35" t="str">
        <f aca="false">IF($C953="","",N($E953)*$F953-N($G953))</f>
        <v/>
      </c>
      <c r="I953" s="35" t="str">
        <f aca="false">IF($C953="","",$H953-$H953/(1+IFERROR(INDEX(PRODUCTOS!$E$6:$E$105,MATCH($C953,PRODUCTOS!$A$6:$A$105,0)),IVA_VENTAS)))</f>
        <v/>
      </c>
      <c r="J953" s="35" t="str">
        <f aca="false">IF($C953="","",$H953-$I953)</f>
        <v/>
      </c>
      <c r="K953" s="35" t="str">
        <f aca="false">IF($C953="","",N($E953)*IFERROR(INDEX(PRODUCTOS!$H$6:$H$105,MATCH($C953,PRODUCTOS!$A$6:$A$105,0)),0))</f>
        <v/>
      </c>
      <c r="L953" s="35" t="str">
        <f aca="false">IF($C953="","",$J953-$K953)</f>
        <v/>
      </c>
      <c r="M953" s="6"/>
      <c r="N953" s="6"/>
      <c r="O953" s="46" t="str">
        <f aca="false">IF($A953="","",DATE(YEAR($A953),MONTH($A953),1))</f>
        <v/>
      </c>
    </row>
    <row r="954" customFormat="false" ht="15" hidden="false" customHeight="false" outlineLevel="0" collapsed="false">
      <c r="A954" s="44"/>
      <c r="B954" s="6"/>
      <c r="C954" s="6"/>
      <c r="D954" s="8" t="str">
        <f aca="false">IF($C954="","",IFERROR(INDEX(PRODUCTOS!$B$6:$B$105,MATCH($C954,PRODUCTOS!$A$6:$A$105,0)),"¿Código?"))</f>
        <v/>
      </c>
      <c r="E954" s="42"/>
      <c r="F954" s="35" t="str">
        <f aca="false">IF($C954="","",IFERROR(INDEX(PRODUCTOS!$D$6:$D$105,MATCH($C954,PRODUCTOS!$A$6:$A$105,0)),0))</f>
        <v/>
      </c>
      <c r="G954" s="40"/>
      <c r="H954" s="35" t="str">
        <f aca="false">IF($C954="","",N($E954)*$F954-N($G954))</f>
        <v/>
      </c>
      <c r="I954" s="35" t="str">
        <f aca="false">IF($C954="","",$H954-$H954/(1+IFERROR(INDEX(PRODUCTOS!$E$6:$E$105,MATCH($C954,PRODUCTOS!$A$6:$A$105,0)),IVA_VENTAS)))</f>
        <v/>
      </c>
      <c r="J954" s="35" t="str">
        <f aca="false">IF($C954="","",$H954-$I954)</f>
        <v/>
      </c>
      <c r="K954" s="35" t="str">
        <f aca="false">IF($C954="","",N($E954)*IFERROR(INDEX(PRODUCTOS!$H$6:$H$105,MATCH($C954,PRODUCTOS!$A$6:$A$105,0)),0))</f>
        <v/>
      </c>
      <c r="L954" s="35" t="str">
        <f aca="false">IF($C954="","",$J954-$K954)</f>
        <v/>
      </c>
      <c r="M954" s="6"/>
      <c r="N954" s="6"/>
      <c r="O954" s="46" t="str">
        <f aca="false">IF($A954="","",DATE(YEAR($A954),MONTH($A954),1))</f>
        <v/>
      </c>
    </row>
    <row r="955" customFormat="false" ht="15" hidden="false" customHeight="false" outlineLevel="0" collapsed="false">
      <c r="A955" s="44"/>
      <c r="B955" s="6"/>
      <c r="C955" s="6"/>
      <c r="D955" s="8" t="str">
        <f aca="false">IF($C955="","",IFERROR(INDEX(PRODUCTOS!$B$6:$B$105,MATCH($C955,PRODUCTOS!$A$6:$A$105,0)),"¿Código?"))</f>
        <v/>
      </c>
      <c r="E955" s="42"/>
      <c r="F955" s="35" t="str">
        <f aca="false">IF($C955="","",IFERROR(INDEX(PRODUCTOS!$D$6:$D$105,MATCH($C955,PRODUCTOS!$A$6:$A$105,0)),0))</f>
        <v/>
      </c>
      <c r="G955" s="40"/>
      <c r="H955" s="35" t="str">
        <f aca="false">IF($C955="","",N($E955)*$F955-N($G955))</f>
        <v/>
      </c>
      <c r="I955" s="35" t="str">
        <f aca="false">IF($C955="","",$H955-$H955/(1+IFERROR(INDEX(PRODUCTOS!$E$6:$E$105,MATCH($C955,PRODUCTOS!$A$6:$A$105,0)),IVA_VENTAS)))</f>
        <v/>
      </c>
      <c r="J955" s="35" t="str">
        <f aca="false">IF($C955="","",$H955-$I955)</f>
        <v/>
      </c>
      <c r="K955" s="35" t="str">
        <f aca="false">IF($C955="","",N($E955)*IFERROR(INDEX(PRODUCTOS!$H$6:$H$105,MATCH($C955,PRODUCTOS!$A$6:$A$105,0)),0))</f>
        <v/>
      </c>
      <c r="L955" s="35" t="str">
        <f aca="false">IF($C955="","",$J955-$K955)</f>
        <v/>
      </c>
      <c r="M955" s="6"/>
      <c r="N955" s="6"/>
      <c r="O955" s="46" t="str">
        <f aca="false">IF($A955="","",DATE(YEAR($A955),MONTH($A955),1))</f>
        <v/>
      </c>
    </row>
    <row r="956" customFormat="false" ht="15" hidden="false" customHeight="false" outlineLevel="0" collapsed="false">
      <c r="A956" s="44"/>
      <c r="B956" s="6"/>
      <c r="C956" s="6"/>
      <c r="D956" s="8" t="str">
        <f aca="false">IF($C956="","",IFERROR(INDEX(PRODUCTOS!$B$6:$B$105,MATCH($C956,PRODUCTOS!$A$6:$A$105,0)),"¿Código?"))</f>
        <v/>
      </c>
      <c r="E956" s="42"/>
      <c r="F956" s="35" t="str">
        <f aca="false">IF($C956="","",IFERROR(INDEX(PRODUCTOS!$D$6:$D$105,MATCH($C956,PRODUCTOS!$A$6:$A$105,0)),0))</f>
        <v/>
      </c>
      <c r="G956" s="40"/>
      <c r="H956" s="35" t="str">
        <f aca="false">IF($C956="","",N($E956)*$F956-N($G956))</f>
        <v/>
      </c>
      <c r="I956" s="35" t="str">
        <f aca="false">IF($C956="","",$H956-$H956/(1+IFERROR(INDEX(PRODUCTOS!$E$6:$E$105,MATCH($C956,PRODUCTOS!$A$6:$A$105,0)),IVA_VENTAS)))</f>
        <v/>
      </c>
      <c r="J956" s="35" t="str">
        <f aca="false">IF($C956="","",$H956-$I956)</f>
        <v/>
      </c>
      <c r="K956" s="35" t="str">
        <f aca="false">IF($C956="","",N($E956)*IFERROR(INDEX(PRODUCTOS!$H$6:$H$105,MATCH($C956,PRODUCTOS!$A$6:$A$105,0)),0))</f>
        <v/>
      </c>
      <c r="L956" s="35" t="str">
        <f aca="false">IF($C956="","",$J956-$K956)</f>
        <v/>
      </c>
      <c r="M956" s="6"/>
      <c r="N956" s="6"/>
      <c r="O956" s="46" t="str">
        <f aca="false">IF($A956="","",DATE(YEAR($A956),MONTH($A956),1))</f>
        <v/>
      </c>
    </row>
    <row r="957" customFormat="false" ht="15" hidden="false" customHeight="false" outlineLevel="0" collapsed="false">
      <c r="A957" s="44"/>
      <c r="B957" s="6"/>
      <c r="C957" s="6"/>
      <c r="D957" s="8" t="str">
        <f aca="false">IF($C957="","",IFERROR(INDEX(PRODUCTOS!$B$6:$B$105,MATCH($C957,PRODUCTOS!$A$6:$A$105,0)),"¿Código?"))</f>
        <v/>
      </c>
      <c r="E957" s="42"/>
      <c r="F957" s="35" t="str">
        <f aca="false">IF($C957="","",IFERROR(INDEX(PRODUCTOS!$D$6:$D$105,MATCH($C957,PRODUCTOS!$A$6:$A$105,0)),0))</f>
        <v/>
      </c>
      <c r="G957" s="40"/>
      <c r="H957" s="35" t="str">
        <f aca="false">IF($C957="","",N($E957)*$F957-N($G957))</f>
        <v/>
      </c>
      <c r="I957" s="35" t="str">
        <f aca="false">IF($C957="","",$H957-$H957/(1+IFERROR(INDEX(PRODUCTOS!$E$6:$E$105,MATCH($C957,PRODUCTOS!$A$6:$A$105,0)),IVA_VENTAS)))</f>
        <v/>
      </c>
      <c r="J957" s="35" t="str">
        <f aca="false">IF($C957="","",$H957-$I957)</f>
        <v/>
      </c>
      <c r="K957" s="35" t="str">
        <f aca="false">IF($C957="","",N($E957)*IFERROR(INDEX(PRODUCTOS!$H$6:$H$105,MATCH($C957,PRODUCTOS!$A$6:$A$105,0)),0))</f>
        <v/>
      </c>
      <c r="L957" s="35" t="str">
        <f aca="false">IF($C957="","",$J957-$K957)</f>
        <v/>
      </c>
      <c r="M957" s="6"/>
      <c r="N957" s="6"/>
      <c r="O957" s="46" t="str">
        <f aca="false">IF($A957="","",DATE(YEAR($A957),MONTH($A957),1))</f>
        <v/>
      </c>
    </row>
    <row r="958" customFormat="false" ht="15" hidden="false" customHeight="false" outlineLevel="0" collapsed="false">
      <c r="A958" s="44"/>
      <c r="B958" s="6"/>
      <c r="C958" s="6"/>
      <c r="D958" s="8" t="str">
        <f aca="false">IF($C958="","",IFERROR(INDEX(PRODUCTOS!$B$6:$B$105,MATCH($C958,PRODUCTOS!$A$6:$A$105,0)),"¿Código?"))</f>
        <v/>
      </c>
      <c r="E958" s="42"/>
      <c r="F958" s="35" t="str">
        <f aca="false">IF($C958="","",IFERROR(INDEX(PRODUCTOS!$D$6:$D$105,MATCH($C958,PRODUCTOS!$A$6:$A$105,0)),0))</f>
        <v/>
      </c>
      <c r="G958" s="40"/>
      <c r="H958" s="35" t="str">
        <f aca="false">IF($C958="","",N($E958)*$F958-N($G958))</f>
        <v/>
      </c>
      <c r="I958" s="35" t="str">
        <f aca="false">IF($C958="","",$H958-$H958/(1+IFERROR(INDEX(PRODUCTOS!$E$6:$E$105,MATCH($C958,PRODUCTOS!$A$6:$A$105,0)),IVA_VENTAS)))</f>
        <v/>
      </c>
      <c r="J958" s="35" t="str">
        <f aca="false">IF($C958="","",$H958-$I958)</f>
        <v/>
      </c>
      <c r="K958" s="35" t="str">
        <f aca="false">IF($C958="","",N($E958)*IFERROR(INDEX(PRODUCTOS!$H$6:$H$105,MATCH($C958,PRODUCTOS!$A$6:$A$105,0)),0))</f>
        <v/>
      </c>
      <c r="L958" s="35" t="str">
        <f aca="false">IF($C958="","",$J958-$K958)</f>
        <v/>
      </c>
      <c r="M958" s="6"/>
      <c r="N958" s="6"/>
      <c r="O958" s="46" t="str">
        <f aca="false">IF($A958="","",DATE(YEAR($A958),MONTH($A958),1))</f>
        <v/>
      </c>
    </row>
    <row r="959" customFormat="false" ht="15" hidden="false" customHeight="false" outlineLevel="0" collapsed="false">
      <c r="A959" s="44"/>
      <c r="B959" s="6"/>
      <c r="C959" s="6"/>
      <c r="D959" s="8" t="str">
        <f aca="false">IF($C959="","",IFERROR(INDEX(PRODUCTOS!$B$6:$B$105,MATCH($C959,PRODUCTOS!$A$6:$A$105,0)),"¿Código?"))</f>
        <v/>
      </c>
      <c r="E959" s="42"/>
      <c r="F959" s="35" t="str">
        <f aca="false">IF($C959="","",IFERROR(INDEX(PRODUCTOS!$D$6:$D$105,MATCH($C959,PRODUCTOS!$A$6:$A$105,0)),0))</f>
        <v/>
      </c>
      <c r="G959" s="40"/>
      <c r="H959" s="35" t="str">
        <f aca="false">IF($C959="","",N($E959)*$F959-N($G959))</f>
        <v/>
      </c>
      <c r="I959" s="35" t="str">
        <f aca="false">IF($C959="","",$H959-$H959/(1+IFERROR(INDEX(PRODUCTOS!$E$6:$E$105,MATCH($C959,PRODUCTOS!$A$6:$A$105,0)),IVA_VENTAS)))</f>
        <v/>
      </c>
      <c r="J959" s="35" t="str">
        <f aca="false">IF($C959="","",$H959-$I959)</f>
        <v/>
      </c>
      <c r="K959" s="35" t="str">
        <f aca="false">IF($C959="","",N($E959)*IFERROR(INDEX(PRODUCTOS!$H$6:$H$105,MATCH($C959,PRODUCTOS!$A$6:$A$105,0)),0))</f>
        <v/>
      </c>
      <c r="L959" s="35" t="str">
        <f aca="false">IF($C959="","",$J959-$K959)</f>
        <v/>
      </c>
      <c r="M959" s="6"/>
      <c r="N959" s="6"/>
      <c r="O959" s="46" t="str">
        <f aca="false">IF($A959="","",DATE(YEAR($A959),MONTH($A959),1))</f>
        <v/>
      </c>
    </row>
    <row r="960" customFormat="false" ht="15" hidden="false" customHeight="false" outlineLevel="0" collapsed="false">
      <c r="A960" s="44"/>
      <c r="B960" s="6"/>
      <c r="C960" s="6"/>
      <c r="D960" s="8" t="str">
        <f aca="false">IF($C960="","",IFERROR(INDEX(PRODUCTOS!$B$6:$B$105,MATCH($C960,PRODUCTOS!$A$6:$A$105,0)),"¿Código?"))</f>
        <v/>
      </c>
      <c r="E960" s="42"/>
      <c r="F960" s="35" t="str">
        <f aca="false">IF($C960="","",IFERROR(INDEX(PRODUCTOS!$D$6:$D$105,MATCH($C960,PRODUCTOS!$A$6:$A$105,0)),0))</f>
        <v/>
      </c>
      <c r="G960" s="40"/>
      <c r="H960" s="35" t="str">
        <f aca="false">IF($C960="","",N($E960)*$F960-N($G960))</f>
        <v/>
      </c>
      <c r="I960" s="35" t="str">
        <f aca="false">IF($C960="","",$H960-$H960/(1+IFERROR(INDEX(PRODUCTOS!$E$6:$E$105,MATCH($C960,PRODUCTOS!$A$6:$A$105,0)),IVA_VENTAS)))</f>
        <v/>
      </c>
      <c r="J960" s="35" t="str">
        <f aca="false">IF($C960="","",$H960-$I960)</f>
        <v/>
      </c>
      <c r="K960" s="35" t="str">
        <f aca="false">IF($C960="","",N($E960)*IFERROR(INDEX(PRODUCTOS!$H$6:$H$105,MATCH($C960,PRODUCTOS!$A$6:$A$105,0)),0))</f>
        <v/>
      </c>
      <c r="L960" s="35" t="str">
        <f aca="false">IF($C960="","",$J960-$K960)</f>
        <v/>
      </c>
      <c r="M960" s="6"/>
      <c r="N960" s="6"/>
      <c r="O960" s="46" t="str">
        <f aca="false">IF($A960="","",DATE(YEAR($A960),MONTH($A960),1))</f>
        <v/>
      </c>
    </row>
    <row r="961" customFormat="false" ht="15" hidden="false" customHeight="false" outlineLevel="0" collapsed="false">
      <c r="A961" s="44"/>
      <c r="B961" s="6"/>
      <c r="C961" s="6"/>
      <c r="D961" s="8" t="str">
        <f aca="false">IF($C961="","",IFERROR(INDEX(PRODUCTOS!$B$6:$B$105,MATCH($C961,PRODUCTOS!$A$6:$A$105,0)),"¿Código?"))</f>
        <v/>
      </c>
      <c r="E961" s="42"/>
      <c r="F961" s="35" t="str">
        <f aca="false">IF($C961="","",IFERROR(INDEX(PRODUCTOS!$D$6:$D$105,MATCH($C961,PRODUCTOS!$A$6:$A$105,0)),0))</f>
        <v/>
      </c>
      <c r="G961" s="40"/>
      <c r="H961" s="35" t="str">
        <f aca="false">IF($C961="","",N($E961)*$F961-N($G961))</f>
        <v/>
      </c>
      <c r="I961" s="35" t="str">
        <f aca="false">IF($C961="","",$H961-$H961/(1+IFERROR(INDEX(PRODUCTOS!$E$6:$E$105,MATCH($C961,PRODUCTOS!$A$6:$A$105,0)),IVA_VENTAS)))</f>
        <v/>
      </c>
      <c r="J961" s="35" t="str">
        <f aca="false">IF($C961="","",$H961-$I961)</f>
        <v/>
      </c>
      <c r="K961" s="35" t="str">
        <f aca="false">IF($C961="","",N($E961)*IFERROR(INDEX(PRODUCTOS!$H$6:$H$105,MATCH($C961,PRODUCTOS!$A$6:$A$105,0)),0))</f>
        <v/>
      </c>
      <c r="L961" s="35" t="str">
        <f aca="false">IF($C961="","",$J961-$K961)</f>
        <v/>
      </c>
      <c r="M961" s="6"/>
      <c r="N961" s="6"/>
      <c r="O961" s="46" t="str">
        <f aca="false">IF($A961="","",DATE(YEAR($A961),MONTH($A961),1))</f>
        <v/>
      </c>
    </row>
    <row r="962" customFormat="false" ht="15" hidden="false" customHeight="false" outlineLevel="0" collapsed="false">
      <c r="A962" s="44"/>
      <c r="B962" s="6"/>
      <c r="C962" s="6"/>
      <c r="D962" s="8" t="str">
        <f aca="false">IF($C962="","",IFERROR(INDEX(PRODUCTOS!$B$6:$B$105,MATCH($C962,PRODUCTOS!$A$6:$A$105,0)),"¿Código?"))</f>
        <v/>
      </c>
      <c r="E962" s="42"/>
      <c r="F962" s="35" t="str">
        <f aca="false">IF($C962="","",IFERROR(INDEX(PRODUCTOS!$D$6:$D$105,MATCH($C962,PRODUCTOS!$A$6:$A$105,0)),0))</f>
        <v/>
      </c>
      <c r="G962" s="40"/>
      <c r="H962" s="35" t="str">
        <f aca="false">IF($C962="","",N($E962)*$F962-N($G962))</f>
        <v/>
      </c>
      <c r="I962" s="35" t="str">
        <f aca="false">IF($C962="","",$H962-$H962/(1+IFERROR(INDEX(PRODUCTOS!$E$6:$E$105,MATCH($C962,PRODUCTOS!$A$6:$A$105,0)),IVA_VENTAS)))</f>
        <v/>
      </c>
      <c r="J962" s="35" t="str">
        <f aca="false">IF($C962="","",$H962-$I962)</f>
        <v/>
      </c>
      <c r="K962" s="35" t="str">
        <f aca="false">IF($C962="","",N($E962)*IFERROR(INDEX(PRODUCTOS!$H$6:$H$105,MATCH($C962,PRODUCTOS!$A$6:$A$105,0)),0))</f>
        <v/>
      </c>
      <c r="L962" s="35" t="str">
        <f aca="false">IF($C962="","",$J962-$K962)</f>
        <v/>
      </c>
      <c r="M962" s="6"/>
      <c r="N962" s="6"/>
      <c r="O962" s="46" t="str">
        <f aca="false">IF($A962="","",DATE(YEAR($A962),MONTH($A962),1))</f>
        <v/>
      </c>
    </row>
    <row r="963" customFormat="false" ht="15" hidden="false" customHeight="false" outlineLevel="0" collapsed="false">
      <c r="A963" s="44"/>
      <c r="B963" s="6"/>
      <c r="C963" s="6"/>
      <c r="D963" s="8" t="str">
        <f aca="false">IF($C963="","",IFERROR(INDEX(PRODUCTOS!$B$6:$B$105,MATCH($C963,PRODUCTOS!$A$6:$A$105,0)),"¿Código?"))</f>
        <v/>
      </c>
      <c r="E963" s="42"/>
      <c r="F963" s="35" t="str">
        <f aca="false">IF($C963="","",IFERROR(INDEX(PRODUCTOS!$D$6:$D$105,MATCH($C963,PRODUCTOS!$A$6:$A$105,0)),0))</f>
        <v/>
      </c>
      <c r="G963" s="40"/>
      <c r="H963" s="35" t="str">
        <f aca="false">IF($C963="","",N($E963)*$F963-N($G963))</f>
        <v/>
      </c>
      <c r="I963" s="35" t="str">
        <f aca="false">IF($C963="","",$H963-$H963/(1+IFERROR(INDEX(PRODUCTOS!$E$6:$E$105,MATCH($C963,PRODUCTOS!$A$6:$A$105,0)),IVA_VENTAS)))</f>
        <v/>
      </c>
      <c r="J963" s="35" t="str">
        <f aca="false">IF($C963="","",$H963-$I963)</f>
        <v/>
      </c>
      <c r="K963" s="35" t="str">
        <f aca="false">IF($C963="","",N($E963)*IFERROR(INDEX(PRODUCTOS!$H$6:$H$105,MATCH($C963,PRODUCTOS!$A$6:$A$105,0)),0))</f>
        <v/>
      </c>
      <c r="L963" s="35" t="str">
        <f aca="false">IF($C963="","",$J963-$K963)</f>
        <v/>
      </c>
      <c r="M963" s="6"/>
      <c r="N963" s="6"/>
      <c r="O963" s="46" t="str">
        <f aca="false">IF($A963="","",DATE(YEAR($A963),MONTH($A963),1))</f>
        <v/>
      </c>
    </row>
    <row r="964" customFormat="false" ht="15" hidden="false" customHeight="false" outlineLevel="0" collapsed="false">
      <c r="A964" s="44"/>
      <c r="B964" s="6"/>
      <c r="C964" s="6"/>
      <c r="D964" s="8" t="str">
        <f aca="false">IF($C964="","",IFERROR(INDEX(PRODUCTOS!$B$6:$B$105,MATCH($C964,PRODUCTOS!$A$6:$A$105,0)),"¿Código?"))</f>
        <v/>
      </c>
      <c r="E964" s="42"/>
      <c r="F964" s="35" t="str">
        <f aca="false">IF($C964="","",IFERROR(INDEX(PRODUCTOS!$D$6:$D$105,MATCH($C964,PRODUCTOS!$A$6:$A$105,0)),0))</f>
        <v/>
      </c>
      <c r="G964" s="40"/>
      <c r="H964" s="35" t="str">
        <f aca="false">IF($C964="","",N($E964)*$F964-N($G964))</f>
        <v/>
      </c>
      <c r="I964" s="35" t="str">
        <f aca="false">IF($C964="","",$H964-$H964/(1+IFERROR(INDEX(PRODUCTOS!$E$6:$E$105,MATCH($C964,PRODUCTOS!$A$6:$A$105,0)),IVA_VENTAS)))</f>
        <v/>
      </c>
      <c r="J964" s="35" t="str">
        <f aca="false">IF($C964="","",$H964-$I964)</f>
        <v/>
      </c>
      <c r="K964" s="35" t="str">
        <f aca="false">IF($C964="","",N($E964)*IFERROR(INDEX(PRODUCTOS!$H$6:$H$105,MATCH($C964,PRODUCTOS!$A$6:$A$105,0)),0))</f>
        <v/>
      </c>
      <c r="L964" s="35" t="str">
        <f aca="false">IF($C964="","",$J964-$K964)</f>
        <v/>
      </c>
      <c r="M964" s="6"/>
      <c r="N964" s="6"/>
      <c r="O964" s="46" t="str">
        <f aca="false">IF($A964="","",DATE(YEAR($A964),MONTH($A964),1))</f>
        <v/>
      </c>
    </row>
    <row r="965" customFormat="false" ht="15" hidden="false" customHeight="false" outlineLevel="0" collapsed="false">
      <c r="A965" s="44"/>
      <c r="B965" s="6"/>
      <c r="C965" s="6"/>
      <c r="D965" s="8" t="str">
        <f aca="false">IF($C965="","",IFERROR(INDEX(PRODUCTOS!$B$6:$B$105,MATCH($C965,PRODUCTOS!$A$6:$A$105,0)),"¿Código?"))</f>
        <v/>
      </c>
      <c r="E965" s="42"/>
      <c r="F965" s="35" t="str">
        <f aca="false">IF($C965="","",IFERROR(INDEX(PRODUCTOS!$D$6:$D$105,MATCH($C965,PRODUCTOS!$A$6:$A$105,0)),0))</f>
        <v/>
      </c>
      <c r="G965" s="40"/>
      <c r="H965" s="35" t="str">
        <f aca="false">IF($C965="","",N($E965)*$F965-N($G965))</f>
        <v/>
      </c>
      <c r="I965" s="35" t="str">
        <f aca="false">IF($C965="","",$H965-$H965/(1+IFERROR(INDEX(PRODUCTOS!$E$6:$E$105,MATCH($C965,PRODUCTOS!$A$6:$A$105,0)),IVA_VENTAS)))</f>
        <v/>
      </c>
      <c r="J965" s="35" t="str">
        <f aca="false">IF($C965="","",$H965-$I965)</f>
        <v/>
      </c>
      <c r="K965" s="35" t="str">
        <f aca="false">IF($C965="","",N($E965)*IFERROR(INDEX(PRODUCTOS!$H$6:$H$105,MATCH($C965,PRODUCTOS!$A$6:$A$105,0)),0))</f>
        <v/>
      </c>
      <c r="L965" s="35" t="str">
        <f aca="false">IF($C965="","",$J965-$K965)</f>
        <v/>
      </c>
      <c r="M965" s="6"/>
      <c r="N965" s="6"/>
      <c r="O965" s="46" t="str">
        <f aca="false">IF($A965="","",DATE(YEAR($A965),MONTH($A965),1))</f>
        <v/>
      </c>
    </row>
    <row r="966" customFormat="false" ht="15" hidden="false" customHeight="false" outlineLevel="0" collapsed="false">
      <c r="A966" s="44"/>
      <c r="B966" s="6"/>
      <c r="C966" s="6"/>
      <c r="D966" s="8" t="str">
        <f aca="false">IF($C966="","",IFERROR(INDEX(PRODUCTOS!$B$6:$B$105,MATCH($C966,PRODUCTOS!$A$6:$A$105,0)),"¿Código?"))</f>
        <v/>
      </c>
      <c r="E966" s="42"/>
      <c r="F966" s="35" t="str">
        <f aca="false">IF($C966="","",IFERROR(INDEX(PRODUCTOS!$D$6:$D$105,MATCH($C966,PRODUCTOS!$A$6:$A$105,0)),0))</f>
        <v/>
      </c>
      <c r="G966" s="40"/>
      <c r="H966" s="35" t="str">
        <f aca="false">IF($C966="","",N($E966)*$F966-N($G966))</f>
        <v/>
      </c>
      <c r="I966" s="35" t="str">
        <f aca="false">IF($C966="","",$H966-$H966/(1+IFERROR(INDEX(PRODUCTOS!$E$6:$E$105,MATCH($C966,PRODUCTOS!$A$6:$A$105,0)),IVA_VENTAS)))</f>
        <v/>
      </c>
      <c r="J966" s="35" t="str">
        <f aca="false">IF($C966="","",$H966-$I966)</f>
        <v/>
      </c>
      <c r="K966" s="35" t="str">
        <f aca="false">IF($C966="","",N($E966)*IFERROR(INDEX(PRODUCTOS!$H$6:$H$105,MATCH($C966,PRODUCTOS!$A$6:$A$105,0)),0))</f>
        <v/>
      </c>
      <c r="L966" s="35" t="str">
        <f aca="false">IF($C966="","",$J966-$K966)</f>
        <v/>
      </c>
      <c r="M966" s="6"/>
      <c r="N966" s="6"/>
      <c r="O966" s="46" t="str">
        <f aca="false">IF($A966="","",DATE(YEAR($A966),MONTH($A966),1))</f>
        <v/>
      </c>
    </row>
    <row r="967" customFormat="false" ht="15" hidden="false" customHeight="false" outlineLevel="0" collapsed="false">
      <c r="A967" s="44"/>
      <c r="B967" s="6"/>
      <c r="C967" s="6"/>
      <c r="D967" s="8" t="str">
        <f aca="false">IF($C967="","",IFERROR(INDEX(PRODUCTOS!$B$6:$B$105,MATCH($C967,PRODUCTOS!$A$6:$A$105,0)),"¿Código?"))</f>
        <v/>
      </c>
      <c r="E967" s="42"/>
      <c r="F967" s="35" t="str">
        <f aca="false">IF($C967="","",IFERROR(INDEX(PRODUCTOS!$D$6:$D$105,MATCH($C967,PRODUCTOS!$A$6:$A$105,0)),0))</f>
        <v/>
      </c>
      <c r="G967" s="40"/>
      <c r="H967" s="35" t="str">
        <f aca="false">IF($C967="","",N($E967)*$F967-N($G967))</f>
        <v/>
      </c>
      <c r="I967" s="35" t="str">
        <f aca="false">IF($C967="","",$H967-$H967/(1+IFERROR(INDEX(PRODUCTOS!$E$6:$E$105,MATCH($C967,PRODUCTOS!$A$6:$A$105,0)),IVA_VENTAS)))</f>
        <v/>
      </c>
      <c r="J967" s="35" t="str">
        <f aca="false">IF($C967="","",$H967-$I967)</f>
        <v/>
      </c>
      <c r="K967" s="35" t="str">
        <f aca="false">IF($C967="","",N($E967)*IFERROR(INDEX(PRODUCTOS!$H$6:$H$105,MATCH($C967,PRODUCTOS!$A$6:$A$105,0)),0))</f>
        <v/>
      </c>
      <c r="L967" s="35" t="str">
        <f aca="false">IF($C967="","",$J967-$K967)</f>
        <v/>
      </c>
      <c r="M967" s="6"/>
      <c r="N967" s="6"/>
      <c r="O967" s="46" t="str">
        <f aca="false">IF($A967="","",DATE(YEAR($A967),MONTH($A967),1))</f>
        <v/>
      </c>
    </row>
    <row r="968" customFormat="false" ht="15" hidden="false" customHeight="false" outlineLevel="0" collapsed="false">
      <c r="A968" s="44"/>
      <c r="B968" s="6"/>
      <c r="C968" s="6"/>
      <c r="D968" s="8" t="str">
        <f aca="false">IF($C968="","",IFERROR(INDEX(PRODUCTOS!$B$6:$B$105,MATCH($C968,PRODUCTOS!$A$6:$A$105,0)),"¿Código?"))</f>
        <v/>
      </c>
      <c r="E968" s="42"/>
      <c r="F968" s="35" t="str">
        <f aca="false">IF($C968="","",IFERROR(INDEX(PRODUCTOS!$D$6:$D$105,MATCH($C968,PRODUCTOS!$A$6:$A$105,0)),0))</f>
        <v/>
      </c>
      <c r="G968" s="40"/>
      <c r="H968" s="35" t="str">
        <f aca="false">IF($C968="","",N($E968)*$F968-N($G968))</f>
        <v/>
      </c>
      <c r="I968" s="35" t="str">
        <f aca="false">IF($C968="","",$H968-$H968/(1+IFERROR(INDEX(PRODUCTOS!$E$6:$E$105,MATCH($C968,PRODUCTOS!$A$6:$A$105,0)),IVA_VENTAS)))</f>
        <v/>
      </c>
      <c r="J968" s="35" t="str">
        <f aca="false">IF($C968="","",$H968-$I968)</f>
        <v/>
      </c>
      <c r="K968" s="35" t="str">
        <f aca="false">IF($C968="","",N($E968)*IFERROR(INDEX(PRODUCTOS!$H$6:$H$105,MATCH($C968,PRODUCTOS!$A$6:$A$105,0)),0))</f>
        <v/>
      </c>
      <c r="L968" s="35" t="str">
        <f aca="false">IF($C968="","",$J968-$K968)</f>
        <v/>
      </c>
      <c r="M968" s="6"/>
      <c r="N968" s="6"/>
      <c r="O968" s="46" t="str">
        <f aca="false">IF($A968="","",DATE(YEAR($A968),MONTH($A968),1))</f>
        <v/>
      </c>
    </row>
    <row r="969" customFormat="false" ht="15" hidden="false" customHeight="false" outlineLevel="0" collapsed="false">
      <c r="A969" s="44"/>
      <c r="B969" s="6"/>
      <c r="C969" s="6"/>
      <c r="D969" s="8" t="str">
        <f aca="false">IF($C969="","",IFERROR(INDEX(PRODUCTOS!$B$6:$B$105,MATCH($C969,PRODUCTOS!$A$6:$A$105,0)),"¿Código?"))</f>
        <v/>
      </c>
      <c r="E969" s="42"/>
      <c r="F969" s="35" t="str">
        <f aca="false">IF($C969="","",IFERROR(INDEX(PRODUCTOS!$D$6:$D$105,MATCH($C969,PRODUCTOS!$A$6:$A$105,0)),0))</f>
        <v/>
      </c>
      <c r="G969" s="40"/>
      <c r="H969" s="35" t="str">
        <f aca="false">IF($C969="","",N($E969)*$F969-N($G969))</f>
        <v/>
      </c>
      <c r="I969" s="35" t="str">
        <f aca="false">IF($C969="","",$H969-$H969/(1+IFERROR(INDEX(PRODUCTOS!$E$6:$E$105,MATCH($C969,PRODUCTOS!$A$6:$A$105,0)),IVA_VENTAS)))</f>
        <v/>
      </c>
      <c r="J969" s="35" t="str">
        <f aca="false">IF($C969="","",$H969-$I969)</f>
        <v/>
      </c>
      <c r="K969" s="35" t="str">
        <f aca="false">IF($C969="","",N($E969)*IFERROR(INDEX(PRODUCTOS!$H$6:$H$105,MATCH($C969,PRODUCTOS!$A$6:$A$105,0)),0))</f>
        <v/>
      </c>
      <c r="L969" s="35" t="str">
        <f aca="false">IF($C969="","",$J969-$K969)</f>
        <v/>
      </c>
      <c r="M969" s="6"/>
      <c r="N969" s="6"/>
      <c r="O969" s="46" t="str">
        <f aca="false">IF($A969="","",DATE(YEAR($A969),MONTH($A969),1))</f>
        <v/>
      </c>
    </row>
    <row r="970" customFormat="false" ht="15" hidden="false" customHeight="false" outlineLevel="0" collapsed="false">
      <c r="A970" s="44"/>
      <c r="B970" s="6"/>
      <c r="C970" s="6"/>
      <c r="D970" s="8" t="str">
        <f aca="false">IF($C970="","",IFERROR(INDEX(PRODUCTOS!$B$6:$B$105,MATCH($C970,PRODUCTOS!$A$6:$A$105,0)),"¿Código?"))</f>
        <v/>
      </c>
      <c r="E970" s="42"/>
      <c r="F970" s="35" t="str">
        <f aca="false">IF($C970="","",IFERROR(INDEX(PRODUCTOS!$D$6:$D$105,MATCH($C970,PRODUCTOS!$A$6:$A$105,0)),0))</f>
        <v/>
      </c>
      <c r="G970" s="40"/>
      <c r="H970" s="35" t="str">
        <f aca="false">IF($C970="","",N($E970)*$F970-N($G970))</f>
        <v/>
      </c>
      <c r="I970" s="35" t="str">
        <f aca="false">IF($C970="","",$H970-$H970/(1+IFERROR(INDEX(PRODUCTOS!$E$6:$E$105,MATCH($C970,PRODUCTOS!$A$6:$A$105,0)),IVA_VENTAS)))</f>
        <v/>
      </c>
      <c r="J970" s="35" t="str">
        <f aca="false">IF($C970="","",$H970-$I970)</f>
        <v/>
      </c>
      <c r="K970" s="35" t="str">
        <f aca="false">IF($C970="","",N($E970)*IFERROR(INDEX(PRODUCTOS!$H$6:$H$105,MATCH($C970,PRODUCTOS!$A$6:$A$105,0)),0))</f>
        <v/>
      </c>
      <c r="L970" s="35" t="str">
        <f aca="false">IF($C970="","",$J970-$K970)</f>
        <v/>
      </c>
      <c r="M970" s="6"/>
      <c r="N970" s="6"/>
      <c r="O970" s="46" t="str">
        <f aca="false">IF($A970="","",DATE(YEAR($A970),MONTH($A970),1))</f>
        <v/>
      </c>
    </row>
    <row r="971" customFormat="false" ht="15" hidden="false" customHeight="false" outlineLevel="0" collapsed="false">
      <c r="A971" s="44"/>
      <c r="B971" s="6"/>
      <c r="C971" s="6"/>
      <c r="D971" s="8" t="str">
        <f aca="false">IF($C971="","",IFERROR(INDEX(PRODUCTOS!$B$6:$B$105,MATCH($C971,PRODUCTOS!$A$6:$A$105,0)),"¿Código?"))</f>
        <v/>
      </c>
      <c r="E971" s="42"/>
      <c r="F971" s="35" t="str">
        <f aca="false">IF($C971="","",IFERROR(INDEX(PRODUCTOS!$D$6:$D$105,MATCH($C971,PRODUCTOS!$A$6:$A$105,0)),0))</f>
        <v/>
      </c>
      <c r="G971" s="40"/>
      <c r="H971" s="35" t="str">
        <f aca="false">IF($C971="","",N($E971)*$F971-N($G971))</f>
        <v/>
      </c>
      <c r="I971" s="35" t="str">
        <f aca="false">IF($C971="","",$H971-$H971/(1+IFERROR(INDEX(PRODUCTOS!$E$6:$E$105,MATCH($C971,PRODUCTOS!$A$6:$A$105,0)),IVA_VENTAS)))</f>
        <v/>
      </c>
      <c r="J971" s="35" t="str">
        <f aca="false">IF($C971="","",$H971-$I971)</f>
        <v/>
      </c>
      <c r="K971" s="35" t="str">
        <f aca="false">IF($C971="","",N($E971)*IFERROR(INDEX(PRODUCTOS!$H$6:$H$105,MATCH($C971,PRODUCTOS!$A$6:$A$105,0)),0))</f>
        <v/>
      </c>
      <c r="L971" s="35" t="str">
        <f aca="false">IF($C971="","",$J971-$K971)</f>
        <v/>
      </c>
      <c r="M971" s="6"/>
      <c r="N971" s="6"/>
      <c r="O971" s="46" t="str">
        <f aca="false">IF($A971="","",DATE(YEAR($A971),MONTH($A971),1))</f>
        <v/>
      </c>
    </row>
    <row r="972" customFormat="false" ht="15" hidden="false" customHeight="false" outlineLevel="0" collapsed="false">
      <c r="A972" s="44"/>
      <c r="B972" s="6"/>
      <c r="C972" s="6"/>
      <c r="D972" s="8" t="str">
        <f aca="false">IF($C972="","",IFERROR(INDEX(PRODUCTOS!$B$6:$B$105,MATCH($C972,PRODUCTOS!$A$6:$A$105,0)),"¿Código?"))</f>
        <v/>
      </c>
      <c r="E972" s="42"/>
      <c r="F972" s="35" t="str">
        <f aca="false">IF($C972="","",IFERROR(INDEX(PRODUCTOS!$D$6:$D$105,MATCH($C972,PRODUCTOS!$A$6:$A$105,0)),0))</f>
        <v/>
      </c>
      <c r="G972" s="40"/>
      <c r="H972" s="35" t="str">
        <f aca="false">IF($C972="","",N($E972)*$F972-N($G972))</f>
        <v/>
      </c>
      <c r="I972" s="35" t="str">
        <f aca="false">IF($C972="","",$H972-$H972/(1+IFERROR(INDEX(PRODUCTOS!$E$6:$E$105,MATCH($C972,PRODUCTOS!$A$6:$A$105,0)),IVA_VENTAS)))</f>
        <v/>
      </c>
      <c r="J972" s="35" t="str">
        <f aca="false">IF($C972="","",$H972-$I972)</f>
        <v/>
      </c>
      <c r="K972" s="35" t="str">
        <f aca="false">IF($C972="","",N($E972)*IFERROR(INDEX(PRODUCTOS!$H$6:$H$105,MATCH($C972,PRODUCTOS!$A$6:$A$105,0)),0))</f>
        <v/>
      </c>
      <c r="L972" s="35" t="str">
        <f aca="false">IF($C972="","",$J972-$K972)</f>
        <v/>
      </c>
      <c r="M972" s="6"/>
      <c r="N972" s="6"/>
      <c r="O972" s="46" t="str">
        <f aca="false">IF($A972="","",DATE(YEAR($A972),MONTH($A972),1))</f>
        <v/>
      </c>
    </row>
    <row r="973" customFormat="false" ht="15" hidden="false" customHeight="false" outlineLevel="0" collapsed="false">
      <c r="A973" s="44"/>
      <c r="B973" s="6"/>
      <c r="C973" s="6"/>
      <c r="D973" s="8" t="str">
        <f aca="false">IF($C973="","",IFERROR(INDEX(PRODUCTOS!$B$6:$B$105,MATCH($C973,PRODUCTOS!$A$6:$A$105,0)),"¿Código?"))</f>
        <v/>
      </c>
      <c r="E973" s="42"/>
      <c r="F973" s="35" t="str">
        <f aca="false">IF($C973="","",IFERROR(INDEX(PRODUCTOS!$D$6:$D$105,MATCH($C973,PRODUCTOS!$A$6:$A$105,0)),0))</f>
        <v/>
      </c>
      <c r="G973" s="40"/>
      <c r="H973" s="35" t="str">
        <f aca="false">IF($C973="","",N($E973)*$F973-N($G973))</f>
        <v/>
      </c>
      <c r="I973" s="35" t="str">
        <f aca="false">IF($C973="","",$H973-$H973/(1+IFERROR(INDEX(PRODUCTOS!$E$6:$E$105,MATCH($C973,PRODUCTOS!$A$6:$A$105,0)),IVA_VENTAS)))</f>
        <v/>
      </c>
      <c r="J973" s="35" t="str">
        <f aca="false">IF($C973="","",$H973-$I973)</f>
        <v/>
      </c>
      <c r="K973" s="35" t="str">
        <f aca="false">IF($C973="","",N($E973)*IFERROR(INDEX(PRODUCTOS!$H$6:$H$105,MATCH($C973,PRODUCTOS!$A$6:$A$105,0)),0))</f>
        <v/>
      </c>
      <c r="L973" s="35" t="str">
        <f aca="false">IF($C973="","",$J973-$K973)</f>
        <v/>
      </c>
      <c r="M973" s="6"/>
      <c r="N973" s="6"/>
      <c r="O973" s="46" t="str">
        <f aca="false">IF($A973="","",DATE(YEAR($A973),MONTH($A973),1))</f>
        <v/>
      </c>
    </row>
    <row r="974" customFormat="false" ht="15" hidden="false" customHeight="false" outlineLevel="0" collapsed="false">
      <c r="A974" s="44"/>
      <c r="B974" s="6"/>
      <c r="C974" s="6"/>
      <c r="D974" s="8" t="str">
        <f aca="false">IF($C974="","",IFERROR(INDEX(PRODUCTOS!$B$6:$B$105,MATCH($C974,PRODUCTOS!$A$6:$A$105,0)),"¿Código?"))</f>
        <v/>
      </c>
      <c r="E974" s="42"/>
      <c r="F974" s="35" t="str">
        <f aca="false">IF($C974="","",IFERROR(INDEX(PRODUCTOS!$D$6:$D$105,MATCH($C974,PRODUCTOS!$A$6:$A$105,0)),0))</f>
        <v/>
      </c>
      <c r="G974" s="40"/>
      <c r="H974" s="35" t="str">
        <f aca="false">IF($C974="","",N($E974)*$F974-N($G974))</f>
        <v/>
      </c>
      <c r="I974" s="35" t="str">
        <f aca="false">IF($C974="","",$H974-$H974/(1+IFERROR(INDEX(PRODUCTOS!$E$6:$E$105,MATCH($C974,PRODUCTOS!$A$6:$A$105,0)),IVA_VENTAS)))</f>
        <v/>
      </c>
      <c r="J974" s="35" t="str">
        <f aca="false">IF($C974="","",$H974-$I974)</f>
        <v/>
      </c>
      <c r="K974" s="35" t="str">
        <f aca="false">IF($C974="","",N($E974)*IFERROR(INDEX(PRODUCTOS!$H$6:$H$105,MATCH($C974,PRODUCTOS!$A$6:$A$105,0)),0))</f>
        <v/>
      </c>
      <c r="L974" s="35" t="str">
        <f aca="false">IF($C974="","",$J974-$K974)</f>
        <v/>
      </c>
      <c r="M974" s="6"/>
      <c r="N974" s="6"/>
      <c r="O974" s="46" t="str">
        <f aca="false">IF($A974="","",DATE(YEAR($A974),MONTH($A974),1))</f>
        <v/>
      </c>
    </row>
    <row r="975" customFormat="false" ht="15" hidden="false" customHeight="false" outlineLevel="0" collapsed="false">
      <c r="A975" s="44"/>
      <c r="B975" s="6"/>
      <c r="C975" s="6"/>
      <c r="D975" s="8" t="str">
        <f aca="false">IF($C975="","",IFERROR(INDEX(PRODUCTOS!$B$6:$B$105,MATCH($C975,PRODUCTOS!$A$6:$A$105,0)),"¿Código?"))</f>
        <v/>
      </c>
      <c r="E975" s="42"/>
      <c r="F975" s="35" t="str">
        <f aca="false">IF($C975="","",IFERROR(INDEX(PRODUCTOS!$D$6:$D$105,MATCH($C975,PRODUCTOS!$A$6:$A$105,0)),0))</f>
        <v/>
      </c>
      <c r="G975" s="40"/>
      <c r="H975" s="35" t="str">
        <f aca="false">IF($C975="","",N($E975)*$F975-N($G975))</f>
        <v/>
      </c>
      <c r="I975" s="35" t="str">
        <f aca="false">IF($C975="","",$H975-$H975/(1+IFERROR(INDEX(PRODUCTOS!$E$6:$E$105,MATCH($C975,PRODUCTOS!$A$6:$A$105,0)),IVA_VENTAS)))</f>
        <v/>
      </c>
      <c r="J975" s="35" t="str">
        <f aca="false">IF($C975="","",$H975-$I975)</f>
        <v/>
      </c>
      <c r="K975" s="35" t="str">
        <f aca="false">IF($C975="","",N($E975)*IFERROR(INDEX(PRODUCTOS!$H$6:$H$105,MATCH($C975,PRODUCTOS!$A$6:$A$105,0)),0))</f>
        <v/>
      </c>
      <c r="L975" s="35" t="str">
        <f aca="false">IF($C975="","",$J975-$K975)</f>
        <v/>
      </c>
      <c r="M975" s="6"/>
      <c r="N975" s="6"/>
      <c r="O975" s="46" t="str">
        <f aca="false">IF($A975="","",DATE(YEAR($A975),MONTH($A975),1))</f>
        <v/>
      </c>
    </row>
    <row r="976" customFormat="false" ht="15" hidden="false" customHeight="false" outlineLevel="0" collapsed="false">
      <c r="A976" s="44"/>
      <c r="B976" s="6"/>
      <c r="C976" s="6"/>
      <c r="D976" s="8" t="str">
        <f aca="false">IF($C976="","",IFERROR(INDEX(PRODUCTOS!$B$6:$B$105,MATCH($C976,PRODUCTOS!$A$6:$A$105,0)),"¿Código?"))</f>
        <v/>
      </c>
      <c r="E976" s="42"/>
      <c r="F976" s="35" t="str">
        <f aca="false">IF($C976="","",IFERROR(INDEX(PRODUCTOS!$D$6:$D$105,MATCH($C976,PRODUCTOS!$A$6:$A$105,0)),0))</f>
        <v/>
      </c>
      <c r="G976" s="40"/>
      <c r="H976" s="35" t="str">
        <f aca="false">IF($C976="","",N($E976)*$F976-N($G976))</f>
        <v/>
      </c>
      <c r="I976" s="35" t="str">
        <f aca="false">IF($C976="","",$H976-$H976/(1+IFERROR(INDEX(PRODUCTOS!$E$6:$E$105,MATCH($C976,PRODUCTOS!$A$6:$A$105,0)),IVA_VENTAS)))</f>
        <v/>
      </c>
      <c r="J976" s="35" t="str">
        <f aca="false">IF($C976="","",$H976-$I976)</f>
        <v/>
      </c>
      <c r="K976" s="35" t="str">
        <f aca="false">IF($C976="","",N($E976)*IFERROR(INDEX(PRODUCTOS!$H$6:$H$105,MATCH($C976,PRODUCTOS!$A$6:$A$105,0)),0))</f>
        <v/>
      </c>
      <c r="L976" s="35" t="str">
        <f aca="false">IF($C976="","",$J976-$K976)</f>
        <v/>
      </c>
      <c r="M976" s="6"/>
      <c r="N976" s="6"/>
      <c r="O976" s="46" t="str">
        <f aca="false">IF($A976="","",DATE(YEAR($A976),MONTH($A976),1))</f>
        <v/>
      </c>
    </row>
    <row r="977" customFormat="false" ht="15" hidden="false" customHeight="false" outlineLevel="0" collapsed="false">
      <c r="A977" s="44"/>
      <c r="B977" s="6"/>
      <c r="C977" s="6"/>
      <c r="D977" s="8" t="str">
        <f aca="false">IF($C977="","",IFERROR(INDEX(PRODUCTOS!$B$6:$B$105,MATCH($C977,PRODUCTOS!$A$6:$A$105,0)),"¿Código?"))</f>
        <v/>
      </c>
      <c r="E977" s="42"/>
      <c r="F977" s="35" t="str">
        <f aca="false">IF($C977="","",IFERROR(INDEX(PRODUCTOS!$D$6:$D$105,MATCH($C977,PRODUCTOS!$A$6:$A$105,0)),0))</f>
        <v/>
      </c>
      <c r="G977" s="40"/>
      <c r="H977" s="35" t="str">
        <f aca="false">IF($C977="","",N($E977)*$F977-N($G977))</f>
        <v/>
      </c>
      <c r="I977" s="35" t="str">
        <f aca="false">IF($C977="","",$H977-$H977/(1+IFERROR(INDEX(PRODUCTOS!$E$6:$E$105,MATCH($C977,PRODUCTOS!$A$6:$A$105,0)),IVA_VENTAS)))</f>
        <v/>
      </c>
      <c r="J977" s="35" t="str">
        <f aca="false">IF($C977="","",$H977-$I977)</f>
        <v/>
      </c>
      <c r="K977" s="35" t="str">
        <f aca="false">IF($C977="","",N($E977)*IFERROR(INDEX(PRODUCTOS!$H$6:$H$105,MATCH($C977,PRODUCTOS!$A$6:$A$105,0)),0))</f>
        <v/>
      </c>
      <c r="L977" s="35" t="str">
        <f aca="false">IF($C977="","",$J977-$K977)</f>
        <v/>
      </c>
      <c r="M977" s="6"/>
      <c r="N977" s="6"/>
      <c r="O977" s="46" t="str">
        <f aca="false">IF($A977="","",DATE(YEAR($A977),MONTH($A977),1))</f>
        <v/>
      </c>
    </row>
    <row r="978" customFormat="false" ht="15" hidden="false" customHeight="false" outlineLevel="0" collapsed="false">
      <c r="A978" s="44"/>
      <c r="B978" s="6"/>
      <c r="C978" s="6"/>
      <c r="D978" s="8" t="str">
        <f aca="false">IF($C978="","",IFERROR(INDEX(PRODUCTOS!$B$6:$B$105,MATCH($C978,PRODUCTOS!$A$6:$A$105,0)),"¿Código?"))</f>
        <v/>
      </c>
      <c r="E978" s="42"/>
      <c r="F978" s="35" t="str">
        <f aca="false">IF($C978="","",IFERROR(INDEX(PRODUCTOS!$D$6:$D$105,MATCH($C978,PRODUCTOS!$A$6:$A$105,0)),0))</f>
        <v/>
      </c>
      <c r="G978" s="40"/>
      <c r="H978" s="35" t="str">
        <f aca="false">IF($C978="","",N($E978)*$F978-N($G978))</f>
        <v/>
      </c>
      <c r="I978" s="35" t="str">
        <f aca="false">IF($C978="","",$H978-$H978/(1+IFERROR(INDEX(PRODUCTOS!$E$6:$E$105,MATCH($C978,PRODUCTOS!$A$6:$A$105,0)),IVA_VENTAS)))</f>
        <v/>
      </c>
      <c r="J978" s="35" t="str">
        <f aca="false">IF($C978="","",$H978-$I978)</f>
        <v/>
      </c>
      <c r="K978" s="35" t="str">
        <f aca="false">IF($C978="","",N($E978)*IFERROR(INDEX(PRODUCTOS!$H$6:$H$105,MATCH($C978,PRODUCTOS!$A$6:$A$105,0)),0))</f>
        <v/>
      </c>
      <c r="L978" s="35" t="str">
        <f aca="false">IF($C978="","",$J978-$K978)</f>
        <v/>
      </c>
      <c r="M978" s="6"/>
      <c r="N978" s="6"/>
      <c r="O978" s="46" t="str">
        <f aca="false">IF($A978="","",DATE(YEAR($A978),MONTH($A978),1))</f>
        <v/>
      </c>
    </row>
    <row r="979" customFormat="false" ht="15" hidden="false" customHeight="false" outlineLevel="0" collapsed="false">
      <c r="A979" s="44"/>
      <c r="B979" s="6"/>
      <c r="C979" s="6"/>
      <c r="D979" s="8" t="str">
        <f aca="false">IF($C979="","",IFERROR(INDEX(PRODUCTOS!$B$6:$B$105,MATCH($C979,PRODUCTOS!$A$6:$A$105,0)),"¿Código?"))</f>
        <v/>
      </c>
      <c r="E979" s="42"/>
      <c r="F979" s="35" t="str">
        <f aca="false">IF($C979="","",IFERROR(INDEX(PRODUCTOS!$D$6:$D$105,MATCH($C979,PRODUCTOS!$A$6:$A$105,0)),0))</f>
        <v/>
      </c>
      <c r="G979" s="40"/>
      <c r="H979" s="35" t="str">
        <f aca="false">IF($C979="","",N($E979)*$F979-N($G979))</f>
        <v/>
      </c>
      <c r="I979" s="35" t="str">
        <f aca="false">IF($C979="","",$H979-$H979/(1+IFERROR(INDEX(PRODUCTOS!$E$6:$E$105,MATCH($C979,PRODUCTOS!$A$6:$A$105,0)),IVA_VENTAS)))</f>
        <v/>
      </c>
      <c r="J979" s="35" t="str">
        <f aca="false">IF($C979="","",$H979-$I979)</f>
        <v/>
      </c>
      <c r="K979" s="35" t="str">
        <f aca="false">IF($C979="","",N($E979)*IFERROR(INDEX(PRODUCTOS!$H$6:$H$105,MATCH($C979,PRODUCTOS!$A$6:$A$105,0)),0))</f>
        <v/>
      </c>
      <c r="L979" s="35" t="str">
        <f aca="false">IF($C979="","",$J979-$K979)</f>
        <v/>
      </c>
      <c r="M979" s="6"/>
      <c r="N979" s="6"/>
      <c r="O979" s="46" t="str">
        <f aca="false">IF($A979="","",DATE(YEAR($A979),MONTH($A979),1))</f>
        <v/>
      </c>
    </row>
    <row r="980" customFormat="false" ht="15" hidden="false" customHeight="false" outlineLevel="0" collapsed="false">
      <c r="A980" s="44"/>
      <c r="B980" s="6"/>
      <c r="C980" s="6"/>
      <c r="D980" s="8" t="str">
        <f aca="false">IF($C980="","",IFERROR(INDEX(PRODUCTOS!$B$6:$B$105,MATCH($C980,PRODUCTOS!$A$6:$A$105,0)),"¿Código?"))</f>
        <v/>
      </c>
      <c r="E980" s="42"/>
      <c r="F980" s="35" t="str">
        <f aca="false">IF($C980="","",IFERROR(INDEX(PRODUCTOS!$D$6:$D$105,MATCH($C980,PRODUCTOS!$A$6:$A$105,0)),0))</f>
        <v/>
      </c>
      <c r="G980" s="40"/>
      <c r="H980" s="35" t="str">
        <f aca="false">IF($C980="","",N($E980)*$F980-N($G980))</f>
        <v/>
      </c>
      <c r="I980" s="35" t="str">
        <f aca="false">IF($C980="","",$H980-$H980/(1+IFERROR(INDEX(PRODUCTOS!$E$6:$E$105,MATCH($C980,PRODUCTOS!$A$6:$A$105,0)),IVA_VENTAS)))</f>
        <v/>
      </c>
      <c r="J980" s="35" t="str">
        <f aca="false">IF($C980="","",$H980-$I980)</f>
        <v/>
      </c>
      <c r="K980" s="35" t="str">
        <f aca="false">IF($C980="","",N($E980)*IFERROR(INDEX(PRODUCTOS!$H$6:$H$105,MATCH($C980,PRODUCTOS!$A$6:$A$105,0)),0))</f>
        <v/>
      </c>
      <c r="L980" s="35" t="str">
        <f aca="false">IF($C980="","",$J980-$K980)</f>
        <v/>
      </c>
      <c r="M980" s="6"/>
      <c r="N980" s="6"/>
      <c r="O980" s="46" t="str">
        <f aca="false">IF($A980="","",DATE(YEAR($A980),MONTH($A980),1))</f>
        <v/>
      </c>
    </row>
    <row r="981" customFormat="false" ht="15" hidden="false" customHeight="false" outlineLevel="0" collapsed="false">
      <c r="A981" s="44"/>
      <c r="B981" s="6"/>
      <c r="C981" s="6"/>
      <c r="D981" s="8" t="str">
        <f aca="false">IF($C981="","",IFERROR(INDEX(PRODUCTOS!$B$6:$B$105,MATCH($C981,PRODUCTOS!$A$6:$A$105,0)),"¿Código?"))</f>
        <v/>
      </c>
      <c r="E981" s="42"/>
      <c r="F981" s="35" t="str">
        <f aca="false">IF($C981="","",IFERROR(INDEX(PRODUCTOS!$D$6:$D$105,MATCH($C981,PRODUCTOS!$A$6:$A$105,0)),0))</f>
        <v/>
      </c>
      <c r="G981" s="40"/>
      <c r="H981" s="35" t="str">
        <f aca="false">IF($C981="","",N($E981)*$F981-N($G981))</f>
        <v/>
      </c>
      <c r="I981" s="35" t="str">
        <f aca="false">IF($C981="","",$H981-$H981/(1+IFERROR(INDEX(PRODUCTOS!$E$6:$E$105,MATCH($C981,PRODUCTOS!$A$6:$A$105,0)),IVA_VENTAS)))</f>
        <v/>
      </c>
      <c r="J981" s="35" t="str">
        <f aca="false">IF($C981="","",$H981-$I981)</f>
        <v/>
      </c>
      <c r="K981" s="35" t="str">
        <f aca="false">IF($C981="","",N($E981)*IFERROR(INDEX(PRODUCTOS!$H$6:$H$105,MATCH($C981,PRODUCTOS!$A$6:$A$105,0)),0))</f>
        <v/>
      </c>
      <c r="L981" s="35" t="str">
        <f aca="false">IF($C981="","",$J981-$K981)</f>
        <v/>
      </c>
      <c r="M981" s="6"/>
      <c r="N981" s="6"/>
      <c r="O981" s="46" t="str">
        <f aca="false">IF($A981="","",DATE(YEAR($A981),MONTH($A981),1))</f>
        <v/>
      </c>
    </row>
    <row r="982" customFormat="false" ht="15" hidden="false" customHeight="false" outlineLevel="0" collapsed="false">
      <c r="A982" s="44"/>
      <c r="B982" s="6"/>
      <c r="C982" s="6"/>
      <c r="D982" s="8" t="str">
        <f aca="false">IF($C982="","",IFERROR(INDEX(PRODUCTOS!$B$6:$B$105,MATCH($C982,PRODUCTOS!$A$6:$A$105,0)),"¿Código?"))</f>
        <v/>
      </c>
      <c r="E982" s="42"/>
      <c r="F982" s="35" t="str">
        <f aca="false">IF($C982="","",IFERROR(INDEX(PRODUCTOS!$D$6:$D$105,MATCH($C982,PRODUCTOS!$A$6:$A$105,0)),0))</f>
        <v/>
      </c>
      <c r="G982" s="40"/>
      <c r="H982" s="35" t="str">
        <f aca="false">IF($C982="","",N($E982)*$F982-N($G982))</f>
        <v/>
      </c>
      <c r="I982" s="35" t="str">
        <f aca="false">IF($C982="","",$H982-$H982/(1+IFERROR(INDEX(PRODUCTOS!$E$6:$E$105,MATCH($C982,PRODUCTOS!$A$6:$A$105,0)),IVA_VENTAS)))</f>
        <v/>
      </c>
      <c r="J982" s="35" t="str">
        <f aca="false">IF($C982="","",$H982-$I982)</f>
        <v/>
      </c>
      <c r="K982" s="35" t="str">
        <f aca="false">IF($C982="","",N($E982)*IFERROR(INDEX(PRODUCTOS!$H$6:$H$105,MATCH($C982,PRODUCTOS!$A$6:$A$105,0)),0))</f>
        <v/>
      </c>
      <c r="L982" s="35" t="str">
        <f aca="false">IF($C982="","",$J982-$K982)</f>
        <v/>
      </c>
      <c r="M982" s="6"/>
      <c r="N982" s="6"/>
      <c r="O982" s="46" t="str">
        <f aca="false">IF($A982="","",DATE(YEAR($A982),MONTH($A982),1))</f>
        <v/>
      </c>
    </row>
    <row r="983" customFormat="false" ht="15" hidden="false" customHeight="false" outlineLevel="0" collapsed="false">
      <c r="A983" s="44"/>
      <c r="B983" s="6"/>
      <c r="C983" s="6"/>
      <c r="D983" s="8" t="str">
        <f aca="false">IF($C983="","",IFERROR(INDEX(PRODUCTOS!$B$6:$B$105,MATCH($C983,PRODUCTOS!$A$6:$A$105,0)),"¿Código?"))</f>
        <v/>
      </c>
      <c r="E983" s="42"/>
      <c r="F983" s="35" t="str">
        <f aca="false">IF($C983="","",IFERROR(INDEX(PRODUCTOS!$D$6:$D$105,MATCH($C983,PRODUCTOS!$A$6:$A$105,0)),0))</f>
        <v/>
      </c>
      <c r="G983" s="40"/>
      <c r="H983" s="35" t="str">
        <f aca="false">IF($C983="","",N($E983)*$F983-N($G983))</f>
        <v/>
      </c>
      <c r="I983" s="35" t="str">
        <f aca="false">IF($C983="","",$H983-$H983/(1+IFERROR(INDEX(PRODUCTOS!$E$6:$E$105,MATCH($C983,PRODUCTOS!$A$6:$A$105,0)),IVA_VENTAS)))</f>
        <v/>
      </c>
      <c r="J983" s="35" t="str">
        <f aca="false">IF($C983="","",$H983-$I983)</f>
        <v/>
      </c>
      <c r="K983" s="35" t="str">
        <f aca="false">IF($C983="","",N($E983)*IFERROR(INDEX(PRODUCTOS!$H$6:$H$105,MATCH($C983,PRODUCTOS!$A$6:$A$105,0)),0))</f>
        <v/>
      </c>
      <c r="L983" s="35" t="str">
        <f aca="false">IF($C983="","",$J983-$K983)</f>
        <v/>
      </c>
      <c r="M983" s="6"/>
      <c r="N983" s="6"/>
      <c r="O983" s="46" t="str">
        <f aca="false">IF($A983="","",DATE(YEAR($A983),MONTH($A983),1))</f>
        <v/>
      </c>
    </row>
    <row r="984" customFormat="false" ht="15" hidden="false" customHeight="false" outlineLevel="0" collapsed="false">
      <c r="A984" s="44"/>
      <c r="B984" s="6"/>
      <c r="C984" s="6"/>
      <c r="D984" s="8" t="str">
        <f aca="false">IF($C984="","",IFERROR(INDEX(PRODUCTOS!$B$6:$B$105,MATCH($C984,PRODUCTOS!$A$6:$A$105,0)),"¿Código?"))</f>
        <v/>
      </c>
      <c r="E984" s="42"/>
      <c r="F984" s="35" t="str">
        <f aca="false">IF($C984="","",IFERROR(INDEX(PRODUCTOS!$D$6:$D$105,MATCH($C984,PRODUCTOS!$A$6:$A$105,0)),0))</f>
        <v/>
      </c>
      <c r="G984" s="40"/>
      <c r="H984" s="35" t="str">
        <f aca="false">IF($C984="","",N($E984)*$F984-N($G984))</f>
        <v/>
      </c>
      <c r="I984" s="35" t="str">
        <f aca="false">IF($C984="","",$H984-$H984/(1+IFERROR(INDEX(PRODUCTOS!$E$6:$E$105,MATCH($C984,PRODUCTOS!$A$6:$A$105,0)),IVA_VENTAS)))</f>
        <v/>
      </c>
      <c r="J984" s="35" t="str">
        <f aca="false">IF($C984="","",$H984-$I984)</f>
        <v/>
      </c>
      <c r="K984" s="35" t="str">
        <f aca="false">IF($C984="","",N($E984)*IFERROR(INDEX(PRODUCTOS!$H$6:$H$105,MATCH($C984,PRODUCTOS!$A$6:$A$105,0)),0))</f>
        <v/>
      </c>
      <c r="L984" s="35" t="str">
        <f aca="false">IF($C984="","",$J984-$K984)</f>
        <v/>
      </c>
      <c r="M984" s="6"/>
      <c r="N984" s="6"/>
      <c r="O984" s="46" t="str">
        <f aca="false">IF($A984="","",DATE(YEAR($A984),MONTH($A984),1))</f>
        <v/>
      </c>
    </row>
    <row r="985" customFormat="false" ht="15" hidden="false" customHeight="false" outlineLevel="0" collapsed="false">
      <c r="A985" s="44"/>
      <c r="B985" s="6"/>
      <c r="C985" s="6"/>
      <c r="D985" s="8" t="str">
        <f aca="false">IF($C985="","",IFERROR(INDEX(PRODUCTOS!$B$6:$B$105,MATCH($C985,PRODUCTOS!$A$6:$A$105,0)),"¿Código?"))</f>
        <v/>
      </c>
      <c r="E985" s="42"/>
      <c r="F985" s="35" t="str">
        <f aca="false">IF($C985="","",IFERROR(INDEX(PRODUCTOS!$D$6:$D$105,MATCH($C985,PRODUCTOS!$A$6:$A$105,0)),0))</f>
        <v/>
      </c>
      <c r="G985" s="40"/>
      <c r="H985" s="35" t="str">
        <f aca="false">IF($C985="","",N($E985)*$F985-N($G985))</f>
        <v/>
      </c>
      <c r="I985" s="35" t="str">
        <f aca="false">IF($C985="","",$H985-$H985/(1+IFERROR(INDEX(PRODUCTOS!$E$6:$E$105,MATCH($C985,PRODUCTOS!$A$6:$A$105,0)),IVA_VENTAS)))</f>
        <v/>
      </c>
      <c r="J985" s="35" t="str">
        <f aca="false">IF($C985="","",$H985-$I985)</f>
        <v/>
      </c>
      <c r="K985" s="35" t="str">
        <f aca="false">IF($C985="","",N($E985)*IFERROR(INDEX(PRODUCTOS!$H$6:$H$105,MATCH($C985,PRODUCTOS!$A$6:$A$105,0)),0))</f>
        <v/>
      </c>
      <c r="L985" s="35" t="str">
        <f aca="false">IF($C985="","",$J985-$K985)</f>
        <v/>
      </c>
      <c r="M985" s="6"/>
      <c r="N985" s="6"/>
      <c r="O985" s="46" t="str">
        <f aca="false">IF($A985="","",DATE(YEAR($A985),MONTH($A985),1))</f>
        <v/>
      </c>
    </row>
    <row r="986" customFormat="false" ht="15" hidden="false" customHeight="false" outlineLevel="0" collapsed="false">
      <c r="A986" s="44"/>
      <c r="B986" s="6"/>
      <c r="C986" s="6"/>
      <c r="D986" s="8" t="str">
        <f aca="false">IF($C986="","",IFERROR(INDEX(PRODUCTOS!$B$6:$B$105,MATCH($C986,PRODUCTOS!$A$6:$A$105,0)),"¿Código?"))</f>
        <v/>
      </c>
      <c r="E986" s="42"/>
      <c r="F986" s="35" t="str">
        <f aca="false">IF($C986="","",IFERROR(INDEX(PRODUCTOS!$D$6:$D$105,MATCH($C986,PRODUCTOS!$A$6:$A$105,0)),0))</f>
        <v/>
      </c>
      <c r="G986" s="40"/>
      <c r="H986" s="35" t="str">
        <f aca="false">IF($C986="","",N($E986)*$F986-N($G986))</f>
        <v/>
      </c>
      <c r="I986" s="35" t="str">
        <f aca="false">IF($C986="","",$H986-$H986/(1+IFERROR(INDEX(PRODUCTOS!$E$6:$E$105,MATCH($C986,PRODUCTOS!$A$6:$A$105,0)),IVA_VENTAS)))</f>
        <v/>
      </c>
      <c r="J986" s="35" t="str">
        <f aca="false">IF($C986="","",$H986-$I986)</f>
        <v/>
      </c>
      <c r="K986" s="35" t="str">
        <f aca="false">IF($C986="","",N($E986)*IFERROR(INDEX(PRODUCTOS!$H$6:$H$105,MATCH($C986,PRODUCTOS!$A$6:$A$105,0)),0))</f>
        <v/>
      </c>
      <c r="L986" s="35" t="str">
        <f aca="false">IF($C986="","",$J986-$K986)</f>
        <v/>
      </c>
      <c r="M986" s="6"/>
      <c r="N986" s="6"/>
      <c r="O986" s="46" t="str">
        <f aca="false">IF($A986="","",DATE(YEAR($A986),MONTH($A986),1))</f>
        <v/>
      </c>
    </row>
    <row r="987" customFormat="false" ht="15" hidden="false" customHeight="false" outlineLevel="0" collapsed="false">
      <c r="A987" s="44"/>
      <c r="B987" s="6"/>
      <c r="C987" s="6"/>
      <c r="D987" s="8" t="str">
        <f aca="false">IF($C987="","",IFERROR(INDEX(PRODUCTOS!$B$6:$B$105,MATCH($C987,PRODUCTOS!$A$6:$A$105,0)),"¿Código?"))</f>
        <v/>
      </c>
      <c r="E987" s="42"/>
      <c r="F987" s="35" t="str">
        <f aca="false">IF($C987="","",IFERROR(INDEX(PRODUCTOS!$D$6:$D$105,MATCH($C987,PRODUCTOS!$A$6:$A$105,0)),0))</f>
        <v/>
      </c>
      <c r="G987" s="40"/>
      <c r="H987" s="35" t="str">
        <f aca="false">IF($C987="","",N($E987)*$F987-N($G987))</f>
        <v/>
      </c>
      <c r="I987" s="35" t="str">
        <f aca="false">IF($C987="","",$H987-$H987/(1+IFERROR(INDEX(PRODUCTOS!$E$6:$E$105,MATCH($C987,PRODUCTOS!$A$6:$A$105,0)),IVA_VENTAS)))</f>
        <v/>
      </c>
      <c r="J987" s="35" t="str">
        <f aca="false">IF($C987="","",$H987-$I987)</f>
        <v/>
      </c>
      <c r="K987" s="35" t="str">
        <f aca="false">IF($C987="","",N($E987)*IFERROR(INDEX(PRODUCTOS!$H$6:$H$105,MATCH($C987,PRODUCTOS!$A$6:$A$105,0)),0))</f>
        <v/>
      </c>
      <c r="L987" s="35" t="str">
        <f aca="false">IF($C987="","",$J987-$K987)</f>
        <v/>
      </c>
      <c r="M987" s="6"/>
      <c r="N987" s="6"/>
      <c r="O987" s="46" t="str">
        <f aca="false">IF($A987="","",DATE(YEAR($A987),MONTH($A987),1))</f>
        <v/>
      </c>
    </row>
    <row r="988" customFormat="false" ht="15" hidden="false" customHeight="false" outlineLevel="0" collapsed="false">
      <c r="A988" s="44"/>
      <c r="B988" s="6"/>
      <c r="C988" s="6"/>
      <c r="D988" s="8" t="str">
        <f aca="false">IF($C988="","",IFERROR(INDEX(PRODUCTOS!$B$6:$B$105,MATCH($C988,PRODUCTOS!$A$6:$A$105,0)),"¿Código?"))</f>
        <v/>
      </c>
      <c r="E988" s="42"/>
      <c r="F988" s="35" t="str">
        <f aca="false">IF($C988="","",IFERROR(INDEX(PRODUCTOS!$D$6:$D$105,MATCH($C988,PRODUCTOS!$A$6:$A$105,0)),0))</f>
        <v/>
      </c>
      <c r="G988" s="40"/>
      <c r="H988" s="35" t="str">
        <f aca="false">IF($C988="","",N($E988)*$F988-N($G988))</f>
        <v/>
      </c>
      <c r="I988" s="35" t="str">
        <f aca="false">IF($C988="","",$H988-$H988/(1+IFERROR(INDEX(PRODUCTOS!$E$6:$E$105,MATCH($C988,PRODUCTOS!$A$6:$A$105,0)),IVA_VENTAS)))</f>
        <v/>
      </c>
      <c r="J988" s="35" t="str">
        <f aca="false">IF($C988="","",$H988-$I988)</f>
        <v/>
      </c>
      <c r="K988" s="35" t="str">
        <f aca="false">IF($C988="","",N($E988)*IFERROR(INDEX(PRODUCTOS!$H$6:$H$105,MATCH($C988,PRODUCTOS!$A$6:$A$105,0)),0))</f>
        <v/>
      </c>
      <c r="L988" s="35" t="str">
        <f aca="false">IF($C988="","",$J988-$K988)</f>
        <v/>
      </c>
      <c r="M988" s="6"/>
      <c r="N988" s="6"/>
      <c r="O988" s="46" t="str">
        <f aca="false">IF($A988="","",DATE(YEAR($A988),MONTH($A988),1))</f>
        <v/>
      </c>
    </row>
    <row r="989" customFormat="false" ht="15" hidden="false" customHeight="false" outlineLevel="0" collapsed="false">
      <c r="A989" s="44"/>
      <c r="B989" s="6"/>
      <c r="C989" s="6"/>
      <c r="D989" s="8" t="str">
        <f aca="false">IF($C989="","",IFERROR(INDEX(PRODUCTOS!$B$6:$B$105,MATCH($C989,PRODUCTOS!$A$6:$A$105,0)),"¿Código?"))</f>
        <v/>
      </c>
      <c r="E989" s="42"/>
      <c r="F989" s="35" t="str">
        <f aca="false">IF($C989="","",IFERROR(INDEX(PRODUCTOS!$D$6:$D$105,MATCH($C989,PRODUCTOS!$A$6:$A$105,0)),0))</f>
        <v/>
      </c>
      <c r="G989" s="40"/>
      <c r="H989" s="35" t="str">
        <f aca="false">IF($C989="","",N($E989)*$F989-N($G989))</f>
        <v/>
      </c>
      <c r="I989" s="35" t="str">
        <f aca="false">IF($C989="","",$H989-$H989/(1+IFERROR(INDEX(PRODUCTOS!$E$6:$E$105,MATCH($C989,PRODUCTOS!$A$6:$A$105,0)),IVA_VENTAS)))</f>
        <v/>
      </c>
      <c r="J989" s="35" t="str">
        <f aca="false">IF($C989="","",$H989-$I989)</f>
        <v/>
      </c>
      <c r="K989" s="35" t="str">
        <f aca="false">IF($C989="","",N($E989)*IFERROR(INDEX(PRODUCTOS!$H$6:$H$105,MATCH($C989,PRODUCTOS!$A$6:$A$105,0)),0))</f>
        <v/>
      </c>
      <c r="L989" s="35" t="str">
        <f aca="false">IF($C989="","",$J989-$K989)</f>
        <v/>
      </c>
      <c r="M989" s="6"/>
      <c r="N989" s="6"/>
      <c r="O989" s="46" t="str">
        <f aca="false">IF($A989="","",DATE(YEAR($A989),MONTH($A989),1))</f>
        <v/>
      </c>
    </row>
    <row r="990" customFormat="false" ht="15" hidden="false" customHeight="false" outlineLevel="0" collapsed="false">
      <c r="A990" s="44"/>
      <c r="B990" s="6"/>
      <c r="C990" s="6"/>
      <c r="D990" s="8" t="str">
        <f aca="false">IF($C990="","",IFERROR(INDEX(PRODUCTOS!$B$6:$B$105,MATCH($C990,PRODUCTOS!$A$6:$A$105,0)),"¿Código?"))</f>
        <v/>
      </c>
      <c r="E990" s="42"/>
      <c r="F990" s="35" t="str">
        <f aca="false">IF($C990="","",IFERROR(INDEX(PRODUCTOS!$D$6:$D$105,MATCH($C990,PRODUCTOS!$A$6:$A$105,0)),0))</f>
        <v/>
      </c>
      <c r="G990" s="40"/>
      <c r="H990" s="35" t="str">
        <f aca="false">IF($C990="","",N($E990)*$F990-N($G990))</f>
        <v/>
      </c>
      <c r="I990" s="35" t="str">
        <f aca="false">IF($C990="","",$H990-$H990/(1+IFERROR(INDEX(PRODUCTOS!$E$6:$E$105,MATCH($C990,PRODUCTOS!$A$6:$A$105,0)),IVA_VENTAS)))</f>
        <v/>
      </c>
      <c r="J990" s="35" t="str">
        <f aca="false">IF($C990="","",$H990-$I990)</f>
        <v/>
      </c>
      <c r="K990" s="35" t="str">
        <f aca="false">IF($C990="","",N($E990)*IFERROR(INDEX(PRODUCTOS!$H$6:$H$105,MATCH($C990,PRODUCTOS!$A$6:$A$105,0)),0))</f>
        <v/>
      </c>
      <c r="L990" s="35" t="str">
        <f aca="false">IF($C990="","",$J990-$K990)</f>
        <v/>
      </c>
      <c r="M990" s="6"/>
      <c r="N990" s="6"/>
      <c r="O990" s="46" t="str">
        <f aca="false">IF($A990="","",DATE(YEAR($A990),MONTH($A990),1))</f>
        <v/>
      </c>
    </row>
    <row r="991" customFormat="false" ht="15" hidden="false" customHeight="false" outlineLevel="0" collapsed="false">
      <c r="A991" s="44"/>
      <c r="B991" s="6"/>
      <c r="C991" s="6"/>
      <c r="D991" s="8" t="str">
        <f aca="false">IF($C991="","",IFERROR(INDEX(PRODUCTOS!$B$6:$B$105,MATCH($C991,PRODUCTOS!$A$6:$A$105,0)),"¿Código?"))</f>
        <v/>
      </c>
      <c r="E991" s="42"/>
      <c r="F991" s="35" t="str">
        <f aca="false">IF($C991="","",IFERROR(INDEX(PRODUCTOS!$D$6:$D$105,MATCH($C991,PRODUCTOS!$A$6:$A$105,0)),0))</f>
        <v/>
      </c>
      <c r="G991" s="40"/>
      <c r="H991" s="35" t="str">
        <f aca="false">IF($C991="","",N($E991)*$F991-N($G991))</f>
        <v/>
      </c>
      <c r="I991" s="35" t="str">
        <f aca="false">IF($C991="","",$H991-$H991/(1+IFERROR(INDEX(PRODUCTOS!$E$6:$E$105,MATCH($C991,PRODUCTOS!$A$6:$A$105,0)),IVA_VENTAS)))</f>
        <v/>
      </c>
      <c r="J991" s="35" t="str">
        <f aca="false">IF($C991="","",$H991-$I991)</f>
        <v/>
      </c>
      <c r="K991" s="35" t="str">
        <f aca="false">IF($C991="","",N($E991)*IFERROR(INDEX(PRODUCTOS!$H$6:$H$105,MATCH($C991,PRODUCTOS!$A$6:$A$105,0)),0))</f>
        <v/>
      </c>
      <c r="L991" s="35" t="str">
        <f aca="false">IF($C991="","",$J991-$K991)</f>
        <v/>
      </c>
      <c r="M991" s="6"/>
      <c r="N991" s="6"/>
      <c r="O991" s="46" t="str">
        <f aca="false">IF($A991="","",DATE(YEAR($A991),MONTH($A991),1))</f>
        <v/>
      </c>
    </row>
    <row r="992" customFormat="false" ht="15" hidden="false" customHeight="false" outlineLevel="0" collapsed="false">
      <c r="A992" s="44"/>
      <c r="B992" s="6"/>
      <c r="C992" s="6"/>
      <c r="D992" s="8" t="str">
        <f aca="false">IF($C992="","",IFERROR(INDEX(PRODUCTOS!$B$6:$B$105,MATCH($C992,PRODUCTOS!$A$6:$A$105,0)),"¿Código?"))</f>
        <v/>
      </c>
      <c r="E992" s="42"/>
      <c r="F992" s="35" t="str">
        <f aca="false">IF($C992="","",IFERROR(INDEX(PRODUCTOS!$D$6:$D$105,MATCH($C992,PRODUCTOS!$A$6:$A$105,0)),0))</f>
        <v/>
      </c>
      <c r="G992" s="40"/>
      <c r="H992" s="35" t="str">
        <f aca="false">IF($C992="","",N($E992)*$F992-N($G992))</f>
        <v/>
      </c>
      <c r="I992" s="35" t="str">
        <f aca="false">IF($C992="","",$H992-$H992/(1+IFERROR(INDEX(PRODUCTOS!$E$6:$E$105,MATCH($C992,PRODUCTOS!$A$6:$A$105,0)),IVA_VENTAS)))</f>
        <v/>
      </c>
      <c r="J992" s="35" t="str">
        <f aca="false">IF($C992="","",$H992-$I992)</f>
        <v/>
      </c>
      <c r="K992" s="35" t="str">
        <f aca="false">IF($C992="","",N($E992)*IFERROR(INDEX(PRODUCTOS!$H$6:$H$105,MATCH($C992,PRODUCTOS!$A$6:$A$105,0)),0))</f>
        <v/>
      </c>
      <c r="L992" s="35" t="str">
        <f aca="false">IF($C992="","",$J992-$K992)</f>
        <v/>
      </c>
      <c r="M992" s="6"/>
      <c r="N992" s="6"/>
      <c r="O992" s="46" t="str">
        <f aca="false">IF($A992="","",DATE(YEAR($A992),MONTH($A992),1))</f>
        <v/>
      </c>
    </row>
    <row r="993" customFormat="false" ht="15" hidden="false" customHeight="false" outlineLevel="0" collapsed="false">
      <c r="A993" s="44"/>
      <c r="B993" s="6"/>
      <c r="C993" s="6"/>
      <c r="D993" s="8" t="str">
        <f aca="false">IF($C993="","",IFERROR(INDEX(PRODUCTOS!$B$6:$B$105,MATCH($C993,PRODUCTOS!$A$6:$A$105,0)),"¿Código?"))</f>
        <v/>
      </c>
      <c r="E993" s="42"/>
      <c r="F993" s="35" t="str">
        <f aca="false">IF($C993="","",IFERROR(INDEX(PRODUCTOS!$D$6:$D$105,MATCH($C993,PRODUCTOS!$A$6:$A$105,0)),0))</f>
        <v/>
      </c>
      <c r="G993" s="40"/>
      <c r="H993" s="35" t="str">
        <f aca="false">IF($C993="","",N($E993)*$F993-N($G993))</f>
        <v/>
      </c>
      <c r="I993" s="35" t="str">
        <f aca="false">IF($C993="","",$H993-$H993/(1+IFERROR(INDEX(PRODUCTOS!$E$6:$E$105,MATCH($C993,PRODUCTOS!$A$6:$A$105,0)),IVA_VENTAS)))</f>
        <v/>
      </c>
      <c r="J993" s="35" t="str">
        <f aca="false">IF($C993="","",$H993-$I993)</f>
        <v/>
      </c>
      <c r="K993" s="35" t="str">
        <f aca="false">IF($C993="","",N($E993)*IFERROR(INDEX(PRODUCTOS!$H$6:$H$105,MATCH($C993,PRODUCTOS!$A$6:$A$105,0)),0))</f>
        <v/>
      </c>
      <c r="L993" s="35" t="str">
        <f aca="false">IF($C993="","",$J993-$K993)</f>
        <v/>
      </c>
      <c r="M993" s="6"/>
      <c r="N993" s="6"/>
      <c r="O993" s="46" t="str">
        <f aca="false">IF($A993="","",DATE(YEAR($A993),MONTH($A993),1))</f>
        <v/>
      </c>
    </row>
    <row r="994" customFormat="false" ht="15" hidden="false" customHeight="false" outlineLevel="0" collapsed="false">
      <c r="A994" s="44"/>
      <c r="B994" s="6"/>
      <c r="C994" s="6"/>
      <c r="D994" s="8" t="str">
        <f aca="false">IF($C994="","",IFERROR(INDEX(PRODUCTOS!$B$6:$B$105,MATCH($C994,PRODUCTOS!$A$6:$A$105,0)),"¿Código?"))</f>
        <v/>
      </c>
      <c r="E994" s="42"/>
      <c r="F994" s="35" t="str">
        <f aca="false">IF($C994="","",IFERROR(INDEX(PRODUCTOS!$D$6:$D$105,MATCH($C994,PRODUCTOS!$A$6:$A$105,0)),0))</f>
        <v/>
      </c>
      <c r="G994" s="40"/>
      <c r="H994" s="35" t="str">
        <f aca="false">IF($C994="","",N($E994)*$F994-N($G994))</f>
        <v/>
      </c>
      <c r="I994" s="35" t="str">
        <f aca="false">IF($C994="","",$H994-$H994/(1+IFERROR(INDEX(PRODUCTOS!$E$6:$E$105,MATCH($C994,PRODUCTOS!$A$6:$A$105,0)),IVA_VENTAS)))</f>
        <v/>
      </c>
      <c r="J994" s="35" t="str">
        <f aca="false">IF($C994="","",$H994-$I994)</f>
        <v/>
      </c>
      <c r="K994" s="35" t="str">
        <f aca="false">IF($C994="","",N($E994)*IFERROR(INDEX(PRODUCTOS!$H$6:$H$105,MATCH($C994,PRODUCTOS!$A$6:$A$105,0)),0))</f>
        <v/>
      </c>
      <c r="L994" s="35" t="str">
        <f aca="false">IF($C994="","",$J994-$K994)</f>
        <v/>
      </c>
      <c r="M994" s="6"/>
      <c r="N994" s="6"/>
      <c r="O994" s="46" t="str">
        <f aca="false">IF($A994="","",DATE(YEAR($A994),MONTH($A994),1))</f>
        <v/>
      </c>
    </row>
    <row r="995" customFormat="false" ht="15" hidden="false" customHeight="false" outlineLevel="0" collapsed="false">
      <c r="A995" s="44"/>
      <c r="B995" s="6"/>
      <c r="C995" s="6"/>
      <c r="D995" s="8" t="str">
        <f aca="false">IF($C995="","",IFERROR(INDEX(PRODUCTOS!$B$6:$B$105,MATCH($C995,PRODUCTOS!$A$6:$A$105,0)),"¿Código?"))</f>
        <v/>
      </c>
      <c r="E995" s="42"/>
      <c r="F995" s="35" t="str">
        <f aca="false">IF($C995="","",IFERROR(INDEX(PRODUCTOS!$D$6:$D$105,MATCH($C995,PRODUCTOS!$A$6:$A$105,0)),0))</f>
        <v/>
      </c>
      <c r="G995" s="40"/>
      <c r="H995" s="35" t="str">
        <f aca="false">IF($C995="","",N($E995)*$F995-N($G995))</f>
        <v/>
      </c>
      <c r="I995" s="35" t="str">
        <f aca="false">IF($C995="","",$H995-$H995/(1+IFERROR(INDEX(PRODUCTOS!$E$6:$E$105,MATCH($C995,PRODUCTOS!$A$6:$A$105,0)),IVA_VENTAS)))</f>
        <v/>
      </c>
      <c r="J995" s="35" t="str">
        <f aca="false">IF($C995="","",$H995-$I995)</f>
        <v/>
      </c>
      <c r="K995" s="35" t="str">
        <f aca="false">IF($C995="","",N($E995)*IFERROR(INDEX(PRODUCTOS!$H$6:$H$105,MATCH($C995,PRODUCTOS!$A$6:$A$105,0)),0))</f>
        <v/>
      </c>
      <c r="L995" s="35" t="str">
        <f aca="false">IF($C995="","",$J995-$K995)</f>
        <v/>
      </c>
      <c r="M995" s="6"/>
      <c r="N995" s="6"/>
      <c r="O995" s="46" t="str">
        <f aca="false">IF($A995="","",DATE(YEAR($A995),MONTH($A995),1))</f>
        <v/>
      </c>
    </row>
    <row r="996" customFormat="false" ht="15" hidden="false" customHeight="false" outlineLevel="0" collapsed="false">
      <c r="A996" s="44"/>
      <c r="B996" s="6"/>
      <c r="C996" s="6"/>
      <c r="D996" s="8" t="str">
        <f aca="false">IF($C996="","",IFERROR(INDEX(PRODUCTOS!$B$6:$B$105,MATCH($C996,PRODUCTOS!$A$6:$A$105,0)),"¿Código?"))</f>
        <v/>
      </c>
      <c r="E996" s="42"/>
      <c r="F996" s="35" t="str">
        <f aca="false">IF($C996="","",IFERROR(INDEX(PRODUCTOS!$D$6:$D$105,MATCH($C996,PRODUCTOS!$A$6:$A$105,0)),0))</f>
        <v/>
      </c>
      <c r="G996" s="40"/>
      <c r="H996" s="35" t="str">
        <f aca="false">IF($C996="","",N($E996)*$F996-N($G996))</f>
        <v/>
      </c>
      <c r="I996" s="35" t="str">
        <f aca="false">IF($C996="","",$H996-$H996/(1+IFERROR(INDEX(PRODUCTOS!$E$6:$E$105,MATCH($C996,PRODUCTOS!$A$6:$A$105,0)),IVA_VENTAS)))</f>
        <v/>
      </c>
      <c r="J996" s="35" t="str">
        <f aca="false">IF($C996="","",$H996-$I996)</f>
        <v/>
      </c>
      <c r="K996" s="35" t="str">
        <f aca="false">IF($C996="","",N($E996)*IFERROR(INDEX(PRODUCTOS!$H$6:$H$105,MATCH($C996,PRODUCTOS!$A$6:$A$105,0)),0))</f>
        <v/>
      </c>
      <c r="L996" s="35" t="str">
        <f aca="false">IF($C996="","",$J996-$K996)</f>
        <v/>
      </c>
      <c r="M996" s="6"/>
      <c r="N996" s="6"/>
      <c r="O996" s="46" t="str">
        <f aca="false">IF($A996="","",DATE(YEAR($A996),MONTH($A996),1))</f>
        <v/>
      </c>
    </row>
    <row r="997" customFormat="false" ht="15" hidden="false" customHeight="false" outlineLevel="0" collapsed="false">
      <c r="A997" s="44"/>
      <c r="B997" s="6"/>
      <c r="C997" s="6"/>
      <c r="D997" s="8" t="str">
        <f aca="false">IF($C997="","",IFERROR(INDEX(PRODUCTOS!$B$6:$B$105,MATCH($C997,PRODUCTOS!$A$6:$A$105,0)),"¿Código?"))</f>
        <v/>
      </c>
      <c r="E997" s="42"/>
      <c r="F997" s="35" t="str">
        <f aca="false">IF($C997="","",IFERROR(INDEX(PRODUCTOS!$D$6:$D$105,MATCH($C997,PRODUCTOS!$A$6:$A$105,0)),0))</f>
        <v/>
      </c>
      <c r="G997" s="40"/>
      <c r="H997" s="35" t="str">
        <f aca="false">IF($C997="","",N($E997)*$F997-N($G997))</f>
        <v/>
      </c>
      <c r="I997" s="35" t="str">
        <f aca="false">IF($C997="","",$H997-$H997/(1+IFERROR(INDEX(PRODUCTOS!$E$6:$E$105,MATCH($C997,PRODUCTOS!$A$6:$A$105,0)),IVA_VENTAS)))</f>
        <v/>
      </c>
      <c r="J997" s="35" t="str">
        <f aca="false">IF($C997="","",$H997-$I997)</f>
        <v/>
      </c>
      <c r="K997" s="35" t="str">
        <f aca="false">IF($C997="","",N($E997)*IFERROR(INDEX(PRODUCTOS!$H$6:$H$105,MATCH($C997,PRODUCTOS!$A$6:$A$105,0)),0))</f>
        <v/>
      </c>
      <c r="L997" s="35" t="str">
        <f aca="false">IF($C997="","",$J997-$K997)</f>
        <v/>
      </c>
      <c r="M997" s="6"/>
      <c r="N997" s="6"/>
      <c r="O997" s="46" t="str">
        <f aca="false">IF($A997="","",DATE(YEAR($A997),MONTH($A997),1))</f>
        <v/>
      </c>
    </row>
    <row r="998" customFormat="false" ht="15" hidden="false" customHeight="false" outlineLevel="0" collapsed="false">
      <c r="A998" s="44"/>
      <c r="B998" s="6"/>
      <c r="C998" s="6"/>
      <c r="D998" s="8" t="str">
        <f aca="false">IF($C998="","",IFERROR(INDEX(PRODUCTOS!$B$6:$B$105,MATCH($C998,PRODUCTOS!$A$6:$A$105,0)),"¿Código?"))</f>
        <v/>
      </c>
      <c r="E998" s="42"/>
      <c r="F998" s="35" t="str">
        <f aca="false">IF($C998="","",IFERROR(INDEX(PRODUCTOS!$D$6:$D$105,MATCH($C998,PRODUCTOS!$A$6:$A$105,0)),0))</f>
        <v/>
      </c>
      <c r="G998" s="40"/>
      <c r="H998" s="35" t="str">
        <f aca="false">IF($C998="","",N($E998)*$F998-N($G998))</f>
        <v/>
      </c>
      <c r="I998" s="35" t="str">
        <f aca="false">IF($C998="","",$H998-$H998/(1+IFERROR(INDEX(PRODUCTOS!$E$6:$E$105,MATCH($C998,PRODUCTOS!$A$6:$A$105,0)),IVA_VENTAS)))</f>
        <v/>
      </c>
      <c r="J998" s="35" t="str">
        <f aca="false">IF($C998="","",$H998-$I998)</f>
        <v/>
      </c>
      <c r="K998" s="35" t="str">
        <f aca="false">IF($C998="","",N($E998)*IFERROR(INDEX(PRODUCTOS!$H$6:$H$105,MATCH($C998,PRODUCTOS!$A$6:$A$105,0)),0))</f>
        <v/>
      </c>
      <c r="L998" s="35" t="str">
        <f aca="false">IF($C998="","",$J998-$K998)</f>
        <v/>
      </c>
      <c r="M998" s="6"/>
      <c r="N998" s="6"/>
      <c r="O998" s="46" t="str">
        <f aca="false">IF($A998="","",DATE(YEAR($A998),MONTH($A998),1))</f>
        <v/>
      </c>
    </row>
    <row r="999" customFormat="false" ht="15" hidden="false" customHeight="false" outlineLevel="0" collapsed="false">
      <c r="A999" s="44"/>
      <c r="B999" s="6"/>
      <c r="C999" s="6"/>
      <c r="D999" s="8" t="str">
        <f aca="false">IF($C999="","",IFERROR(INDEX(PRODUCTOS!$B$6:$B$105,MATCH($C999,PRODUCTOS!$A$6:$A$105,0)),"¿Código?"))</f>
        <v/>
      </c>
      <c r="E999" s="42"/>
      <c r="F999" s="35" t="str">
        <f aca="false">IF($C999="","",IFERROR(INDEX(PRODUCTOS!$D$6:$D$105,MATCH($C999,PRODUCTOS!$A$6:$A$105,0)),0))</f>
        <v/>
      </c>
      <c r="G999" s="40"/>
      <c r="H999" s="35" t="str">
        <f aca="false">IF($C999="","",N($E999)*$F999-N($G999))</f>
        <v/>
      </c>
      <c r="I999" s="35" t="str">
        <f aca="false">IF($C999="","",$H999-$H999/(1+IFERROR(INDEX(PRODUCTOS!$E$6:$E$105,MATCH($C999,PRODUCTOS!$A$6:$A$105,0)),IVA_VENTAS)))</f>
        <v/>
      </c>
      <c r="J999" s="35" t="str">
        <f aca="false">IF($C999="","",$H999-$I999)</f>
        <v/>
      </c>
      <c r="K999" s="35" t="str">
        <f aca="false">IF($C999="","",N($E999)*IFERROR(INDEX(PRODUCTOS!$H$6:$H$105,MATCH($C999,PRODUCTOS!$A$6:$A$105,0)),0))</f>
        <v/>
      </c>
      <c r="L999" s="35" t="str">
        <f aca="false">IF($C999="","",$J999-$K999)</f>
        <v/>
      </c>
      <c r="M999" s="6"/>
      <c r="N999" s="6"/>
      <c r="O999" s="46" t="str">
        <f aca="false">IF($A999="","",DATE(YEAR($A999),MONTH($A999),1))</f>
        <v/>
      </c>
    </row>
    <row r="1000" customFormat="false" ht="15" hidden="false" customHeight="false" outlineLevel="0" collapsed="false">
      <c r="A1000" s="44"/>
      <c r="B1000" s="6"/>
      <c r="C1000" s="6"/>
      <c r="D1000" s="8" t="str">
        <f aca="false">IF($C1000="","",IFERROR(INDEX(PRODUCTOS!$B$6:$B$105,MATCH($C1000,PRODUCTOS!$A$6:$A$105,0)),"¿Código?"))</f>
        <v/>
      </c>
      <c r="E1000" s="42"/>
      <c r="F1000" s="35" t="str">
        <f aca="false">IF($C1000="","",IFERROR(INDEX(PRODUCTOS!$D$6:$D$105,MATCH($C1000,PRODUCTOS!$A$6:$A$105,0)),0))</f>
        <v/>
      </c>
      <c r="G1000" s="40"/>
      <c r="H1000" s="35" t="str">
        <f aca="false">IF($C1000="","",N($E1000)*$F1000-N($G1000))</f>
        <v/>
      </c>
      <c r="I1000" s="35" t="str">
        <f aca="false">IF($C1000="","",$H1000-$H1000/(1+IFERROR(INDEX(PRODUCTOS!$E$6:$E$105,MATCH($C1000,PRODUCTOS!$A$6:$A$105,0)),IVA_VENTAS)))</f>
        <v/>
      </c>
      <c r="J1000" s="35" t="str">
        <f aca="false">IF($C1000="","",$H1000-$I1000)</f>
        <v/>
      </c>
      <c r="K1000" s="35" t="str">
        <f aca="false">IF($C1000="","",N($E1000)*IFERROR(INDEX(PRODUCTOS!$H$6:$H$105,MATCH($C1000,PRODUCTOS!$A$6:$A$105,0)),0))</f>
        <v/>
      </c>
      <c r="L1000" s="35" t="str">
        <f aca="false">IF($C1000="","",$J1000-$K1000)</f>
        <v/>
      </c>
      <c r="M1000" s="6"/>
      <c r="N1000" s="6"/>
      <c r="O1000" s="46" t="str">
        <f aca="false">IF($A1000="","",DATE(YEAR($A1000),MONTH($A1000),1))</f>
        <v/>
      </c>
    </row>
    <row r="1001" customFormat="false" ht="15" hidden="false" customHeight="false" outlineLevel="0" collapsed="false">
      <c r="A1001" s="44"/>
      <c r="B1001" s="6"/>
      <c r="C1001" s="6"/>
      <c r="D1001" s="8" t="str">
        <f aca="false">IF($C1001="","",IFERROR(INDEX(PRODUCTOS!$B$6:$B$105,MATCH($C1001,PRODUCTOS!$A$6:$A$105,0)),"¿Código?"))</f>
        <v/>
      </c>
      <c r="E1001" s="42"/>
      <c r="F1001" s="35" t="str">
        <f aca="false">IF($C1001="","",IFERROR(INDEX(PRODUCTOS!$D$6:$D$105,MATCH($C1001,PRODUCTOS!$A$6:$A$105,0)),0))</f>
        <v/>
      </c>
      <c r="G1001" s="40"/>
      <c r="H1001" s="35" t="str">
        <f aca="false">IF($C1001="","",N($E1001)*$F1001-N($G1001))</f>
        <v/>
      </c>
      <c r="I1001" s="35" t="str">
        <f aca="false">IF($C1001="","",$H1001-$H1001/(1+IFERROR(INDEX(PRODUCTOS!$E$6:$E$105,MATCH($C1001,PRODUCTOS!$A$6:$A$105,0)),IVA_VENTAS)))</f>
        <v/>
      </c>
      <c r="J1001" s="35" t="str">
        <f aca="false">IF($C1001="","",$H1001-$I1001)</f>
        <v/>
      </c>
      <c r="K1001" s="35" t="str">
        <f aca="false">IF($C1001="","",N($E1001)*IFERROR(INDEX(PRODUCTOS!$H$6:$H$105,MATCH($C1001,PRODUCTOS!$A$6:$A$105,0)),0))</f>
        <v/>
      </c>
      <c r="L1001" s="35" t="str">
        <f aca="false">IF($C1001="","",$J1001-$K1001)</f>
        <v/>
      </c>
      <c r="M1001" s="6"/>
      <c r="N1001" s="6"/>
      <c r="O1001" s="46" t="str">
        <f aca="false">IF($A1001="","",DATE(YEAR($A1001),MONTH($A1001),1))</f>
        <v/>
      </c>
    </row>
    <row r="1002" customFormat="false" ht="15" hidden="false" customHeight="false" outlineLevel="0" collapsed="false">
      <c r="A1002" s="44"/>
      <c r="B1002" s="6"/>
      <c r="C1002" s="6"/>
      <c r="D1002" s="8" t="str">
        <f aca="false">IF($C1002="","",IFERROR(INDEX(PRODUCTOS!$B$6:$B$105,MATCH($C1002,PRODUCTOS!$A$6:$A$105,0)),"¿Código?"))</f>
        <v/>
      </c>
      <c r="E1002" s="42"/>
      <c r="F1002" s="35" t="str">
        <f aca="false">IF($C1002="","",IFERROR(INDEX(PRODUCTOS!$D$6:$D$105,MATCH($C1002,PRODUCTOS!$A$6:$A$105,0)),0))</f>
        <v/>
      </c>
      <c r="G1002" s="40"/>
      <c r="H1002" s="35" t="str">
        <f aca="false">IF($C1002="","",N($E1002)*$F1002-N($G1002))</f>
        <v/>
      </c>
      <c r="I1002" s="35" t="str">
        <f aca="false">IF($C1002="","",$H1002-$H1002/(1+IFERROR(INDEX(PRODUCTOS!$E$6:$E$105,MATCH($C1002,PRODUCTOS!$A$6:$A$105,0)),IVA_VENTAS)))</f>
        <v/>
      </c>
      <c r="J1002" s="35" t="str">
        <f aca="false">IF($C1002="","",$H1002-$I1002)</f>
        <v/>
      </c>
      <c r="K1002" s="35" t="str">
        <f aca="false">IF($C1002="","",N($E1002)*IFERROR(INDEX(PRODUCTOS!$H$6:$H$105,MATCH($C1002,PRODUCTOS!$A$6:$A$105,0)),0))</f>
        <v/>
      </c>
      <c r="L1002" s="35" t="str">
        <f aca="false">IF($C1002="","",$J1002-$K1002)</f>
        <v/>
      </c>
      <c r="M1002" s="6"/>
      <c r="N1002" s="6"/>
      <c r="O1002" s="46" t="str">
        <f aca="false">IF($A1002="","",DATE(YEAR($A1002),MONTH($A1002),1))</f>
        <v/>
      </c>
    </row>
    <row r="1003" customFormat="false" ht="15" hidden="false" customHeight="false" outlineLevel="0" collapsed="false">
      <c r="A1003" s="44"/>
      <c r="B1003" s="6"/>
      <c r="C1003" s="6"/>
      <c r="D1003" s="8" t="str">
        <f aca="false">IF($C1003="","",IFERROR(INDEX(PRODUCTOS!$B$6:$B$105,MATCH($C1003,PRODUCTOS!$A$6:$A$105,0)),"¿Código?"))</f>
        <v/>
      </c>
      <c r="E1003" s="42"/>
      <c r="F1003" s="35" t="str">
        <f aca="false">IF($C1003="","",IFERROR(INDEX(PRODUCTOS!$D$6:$D$105,MATCH($C1003,PRODUCTOS!$A$6:$A$105,0)),0))</f>
        <v/>
      </c>
      <c r="G1003" s="40"/>
      <c r="H1003" s="35" t="str">
        <f aca="false">IF($C1003="","",N($E1003)*$F1003-N($G1003))</f>
        <v/>
      </c>
      <c r="I1003" s="35" t="str">
        <f aca="false">IF($C1003="","",$H1003-$H1003/(1+IFERROR(INDEX(PRODUCTOS!$E$6:$E$105,MATCH($C1003,PRODUCTOS!$A$6:$A$105,0)),IVA_VENTAS)))</f>
        <v/>
      </c>
      <c r="J1003" s="35" t="str">
        <f aca="false">IF($C1003="","",$H1003-$I1003)</f>
        <v/>
      </c>
      <c r="K1003" s="35" t="str">
        <f aca="false">IF($C1003="","",N($E1003)*IFERROR(INDEX(PRODUCTOS!$H$6:$H$105,MATCH($C1003,PRODUCTOS!$A$6:$A$105,0)),0))</f>
        <v/>
      </c>
      <c r="L1003" s="35" t="str">
        <f aca="false">IF($C1003="","",$J1003-$K1003)</f>
        <v/>
      </c>
      <c r="M1003" s="6"/>
      <c r="N1003" s="6"/>
      <c r="O1003" s="46" t="str">
        <f aca="false">IF($A1003="","",DATE(YEAR($A1003),MONTH($A1003),1))</f>
        <v/>
      </c>
    </row>
    <row r="1004" customFormat="false" ht="15" hidden="false" customHeight="false" outlineLevel="0" collapsed="false">
      <c r="A1004" s="44"/>
      <c r="B1004" s="6"/>
      <c r="C1004" s="6"/>
      <c r="D1004" s="8" t="str">
        <f aca="false">IF($C1004="","",IFERROR(INDEX(PRODUCTOS!$B$6:$B$105,MATCH($C1004,PRODUCTOS!$A$6:$A$105,0)),"¿Código?"))</f>
        <v/>
      </c>
      <c r="E1004" s="42"/>
      <c r="F1004" s="35" t="str">
        <f aca="false">IF($C1004="","",IFERROR(INDEX(PRODUCTOS!$D$6:$D$105,MATCH($C1004,PRODUCTOS!$A$6:$A$105,0)),0))</f>
        <v/>
      </c>
      <c r="G1004" s="40"/>
      <c r="H1004" s="35" t="str">
        <f aca="false">IF($C1004="","",N($E1004)*$F1004-N($G1004))</f>
        <v/>
      </c>
      <c r="I1004" s="35" t="str">
        <f aca="false">IF($C1004="","",$H1004-$H1004/(1+IFERROR(INDEX(PRODUCTOS!$E$6:$E$105,MATCH($C1004,PRODUCTOS!$A$6:$A$105,0)),IVA_VENTAS)))</f>
        <v/>
      </c>
      <c r="J1004" s="35" t="str">
        <f aca="false">IF($C1004="","",$H1004-$I1004)</f>
        <v/>
      </c>
      <c r="K1004" s="35" t="str">
        <f aca="false">IF($C1004="","",N($E1004)*IFERROR(INDEX(PRODUCTOS!$H$6:$H$105,MATCH($C1004,PRODUCTOS!$A$6:$A$105,0)),0))</f>
        <v/>
      </c>
      <c r="L1004" s="35" t="str">
        <f aca="false">IF($C1004="","",$J1004-$K1004)</f>
        <v/>
      </c>
      <c r="M1004" s="6"/>
      <c r="N1004" s="6"/>
      <c r="O1004" s="46" t="str">
        <f aca="false">IF($A1004="","",DATE(YEAR($A1004),MONTH($A1004),1))</f>
        <v/>
      </c>
    </row>
    <row r="1005" customFormat="false" ht="15" hidden="false" customHeight="false" outlineLevel="0" collapsed="false">
      <c r="A1005" s="44"/>
      <c r="B1005" s="6"/>
      <c r="C1005" s="6"/>
      <c r="D1005" s="8" t="str">
        <f aca="false">IF($C1005="","",IFERROR(INDEX(PRODUCTOS!$B$6:$B$105,MATCH($C1005,PRODUCTOS!$A$6:$A$105,0)),"¿Código?"))</f>
        <v/>
      </c>
      <c r="E1005" s="42"/>
      <c r="F1005" s="35" t="str">
        <f aca="false">IF($C1005="","",IFERROR(INDEX(PRODUCTOS!$D$6:$D$105,MATCH($C1005,PRODUCTOS!$A$6:$A$105,0)),0))</f>
        <v/>
      </c>
      <c r="G1005" s="40"/>
      <c r="H1005" s="35" t="str">
        <f aca="false">IF($C1005="","",N($E1005)*$F1005-N($G1005))</f>
        <v/>
      </c>
      <c r="I1005" s="35" t="str">
        <f aca="false">IF($C1005="","",$H1005-$H1005/(1+IFERROR(INDEX(PRODUCTOS!$E$6:$E$105,MATCH($C1005,PRODUCTOS!$A$6:$A$105,0)),IVA_VENTAS)))</f>
        <v/>
      </c>
      <c r="J1005" s="35" t="str">
        <f aca="false">IF($C1005="","",$H1005-$I1005)</f>
        <v/>
      </c>
      <c r="K1005" s="35" t="str">
        <f aca="false">IF($C1005="","",N($E1005)*IFERROR(INDEX(PRODUCTOS!$H$6:$H$105,MATCH($C1005,PRODUCTOS!$A$6:$A$105,0)),0))</f>
        <v/>
      </c>
      <c r="L1005" s="35" t="str">
        <f aca="false">IF($C1005="","",$J1005-$K1005)</f>
        <v/>
      </c>
      <c r="M1005" s="6"/>
      <c r="N1005" s="6"/>
      <c r="O1005" s="46" t="str">
        <f aca="false">IF($A1005="","",DATE(YEAR($A1005),MONTH($A1005),1))</f>
        <v/>
      </c>
    </row>
    <row r="1006" customFormat="false" ht="15" hidden="false" customHeight="false" outlineLevel="0" collapsed="false">
      <c r="A1006" s="44"/>
      <c r="B1006" s="6"/>
      <c r="C1006" s="6"/>
      <c r="D1006" s="8" t="str">
        <f aca="false">IF($C1006="","",IFERROR(INDEX(PRODUCTOS!$B$6:$B$105,MATCH($C1006,PRODUCTOS!$A$6:$A$105,0)),"¿Código?"))</f>
        <v/>
      </c>
      <c r="E1006" s="42"/>
      <c r="F1006" s="35" t="str">
        <f aca="false">IF($C1006="","",IFERROR(INDEX(PRODUCTOS!$D$6:$D$105,MATCH($C1006,PRODUCTOS!$A$6:$A$105,0)),0))</f>
        <v/>
      </c>
      <c r="G1006" s="40"/>
      <c r="H1006" s="35" t="str">
        <f aca="false">IF($C1006="","",N($E1006)*$F1006-N($G1006))</f>
        <v/>
      </c>
      <c r="I1006" s="35" t="str">
        <f aca="false">IF($C1006="","",$H1006-$H1006/(1+IFERROR(INDEX(PRODUCTOS!$E$6:$E$105,MATCH($C1006,PRODUCTOS!$A$6:$A$105,0)),IVA_VENTAS)))</f>
        <v/>
      </c>
      <c r="J1006" s="35" t="str">
        <f aca="false">IF($C1006="","",$H1006-$I1006)</f>
        <v/>
      </c>
      <c r="K1006" s="35" t="str">
        <f aca="false">IF($C1006="","",N($E1006)*IFERROR(INDEX(PRODUCTOS!$H$6:$H$105,MATCH($C1006,PRODUCTOS!$A$6:$A$105,0)),0))</f>
        <v/>
      </c>
      <c r="L1006" s="35" t="str">
        <f aca="false">IF($C1006="","",$J1006-$K1006)</f>
        <v/>
      </c>
      <c r="M1006" s="6"/>
      <c r="N1006" s="6"/>
      <c r="O1006" s="46" t="str">
        <f aca="false">IF($A1006="","",DATE(YEAR($A1006),MONTH($A1006),1))</f>
        <v/>
      </c>
    </row>
    <row r="1007" customFormat="false" ht="15" hidden="false" customHeight="false" outlineLevel="0" collapsed="false">
      <c r="A1007" s="44"/>
      <c r="B1007" s="6"/>
      <c r="C1007" s="6"/>
      <c r="D1007" s="8" t="str">
        <f aca="false">IF($C1007="","",IFERROR(INDEX(PRODUCTOS!$B$6:$B$105,MATCH($C1007,PRODUCTOS!$A$6:$A$105,0)),"¿Código?"))</f>
        <v/>
      </c>
      <c r="E1007" s="42"/>
      <c r="F1007" s="35" t="str">
        <f aca="false">IF($C1007="","",IFERROR(INDEX(PRODUCTOS!$D$6:$D$105,MATCH($C1007,PRODUCTOS!$A$6:$A$105,0)),0))</f>
        <v/>
      </c>
      <c r="G1007" s="40"/>
      <c r="H1007" s="35" t="str">
        <f aca="false">IF($C1007="","",N($E1007)*$F1007-N($G1007))</f>
        <v/>
      </c>
      <c r="I1007" s="35" t="str">
        <f aca="false">IF($C1007="","",$H1007-$H1007/(1+IFERROR(INDEX(PRODUCTOS!$E$6:$E$105,MATCH($C1007,PRODUCTOS!$A$6:$A$105,0)),IVA_VENTAS)))</f>
        <v/>
      </c>
      <c r="J1007" s="35" t="str">
        <f aca="false">IF($C1007="","",$H1007-$I1007)</f>
        <v/>
      </c>
      <c r="K1007" s="35" t="str">
        <f aca="false">IF($C1007="","",N($E1007)*IFERROR(INDEX(PRODUCTOS!$H$6:$H$105,MATCH($C1007,PRODUCTOS!$A$6:$A$105,0)),0))</f>
        <v/>
      </c>
      <c r="L1007" s="35" t="str">
        <f aca="false">IF($C1007="","",$J1007-$K1007)</f>
        <v/>
      </c>
      <c r="M1007" s="6"/>
      <c r="N1007" s="6"/>
      <c r="O1007" s="46" t="str">
        <f aca="false">IF($A1007="","",DATE(YEAR($A1007),MONTH($A1007),1))</f>
        <v/>
      </c>
    </row>
    <row r="1008" customFormat="false" ht="15" hidden="false" customHeight="false" outlineLevel="0" collapsed="false">
      <c r="A1008" s="44"/>
      <c r="B1008" s="6"/>
      <c r="C1008" s="6"/>
      <c r="D1008" s="8" t="str">
        <f aca="false">IF($C1008="","",IFERROR(INDEX(PRODUCTOS!$B$6:$B$105,MATCH($C1008,PRODUCTOS!$A$6:$A$105,0)),"¿Código?"))</f>
        <v/>
      </c>
      <c r="E1008" s="42"/>
      <c r="F1008" s="35" t="str">
        <f aca="false">IF($C1008="","",IFERROR(INDEX(PRODUCTOS!$D$6:$D$105,MATCH($C1008,PRODUCTOS!$A$6:$A$105,0)),0))</f>
        <v/>
      </c>
      <c r="G1008" s="40"/>
      <c r="H1008" s="35" t="str">
        <f aca="false">IF($C1008="","",N($E1008)*$F1008-N($G1008))</f>
        <v/>
      </c>
      <c r="I1008" s="35" t="str">
        <f aca="false">IF($C1008="","",$H1008-$H1008/(1+IFERROR(INDEX(PRODUCTOS!$E$6:$E$105,MATCH($C1008,PRODUCTOS!$A$6:$A$105,0)),IVA_VENTAS)))</f>
        <v/>
      </c>
      <c r="J1008" s="35" t="str">
        <f aca="false">IF($C1008="","",$H1008-$I1008)</f>
        <v/>
      </c>
      <c r="K1008" s="35" t="str">
        <f aca="false">IF($C1008="","",N($E1008)*IFERROR(INDEX(PRODUCTOS!$H$6:$H$105,MATCH($C1008,PRODUCTOS!$A$6:$A$105,0)),0))</f>
        <v/>
      </c>
      <c r="L1008" s="35" t="str">
        <f aca="false">IF($C1008="","",$J1008-$K1008)</f>
        <v/>
      </c>
      <c r="M1008" s="6"/>
      <c r="N1008" s="6"/>
      <c r="O1008" s="46" t="str">
        <f aca="false">IF($A1008="","",DATE(YEAR($A1008),MONTH($A1008),1))</f>
        <v/>
      </c>
    </row>
    <row r="1009" customFormat="false" ht="15" hidden="false" customHeight="false" outlineLevel="0" collapsed="false">
      <c r="A1009" s="44"/>
      <c r="B1009" s="6"/>
      <c r="C1009" s="6"/>
      <c r="D1009" s="8" t="str">
        <f aca="false">IF($C1009="","",IFERROR(INDEX(PRODUCTOS!$B$6:$B$105,MATCH($C1009,PRODUCTOS!$A$6:$A$105,0)),"¿Código?"))</f>
        <v/>
      </c>
      <c r="E1009" s="42"/>
      <c r="F1009" s="35" t="str">
        <f aca="false">IF($C1009="","",IFERROR(INDEX(PRODUCTOS!$D$6:$D$105,MATCH($C1009,PRODUCTOS!$A$6:$A$105,0)),0))</f>
        <v/>
      </c>
      <c r="G1009" s="40"/>
      <c r="H1009" s="35" t="str">
        <f aca="false">IF($C1009="","",N($E1009)*$F1009-N($G1009))</f>
        <v/>
      </c>
      <c r="I1009" s="35" t="str">
        <f aca="false">IF($C1009="","",$H1009-$H1009/(1+IFERROR(INDEX(PRODUCTOS!$E$6:$E$105,MATCH($C1009,PRODUCTOS!$A$6:$A$105,0)),IVA_VENTAS)))</f>
        <v/>
      </c>
      <c r="J1009" s="35" t="str">
        <f aca="false">IF($C1009="","",$H1009-$I1009)</f>
        <v/>
      </c>
      <c r="K1009" s="35" t="str">
        <f aca="false">IF($C1009="","",N($E1009)*IFERROR(INDEX(PRODUCTOS!$H$6:$H$105,MATCH($C1009,PRODUCTOS!$A$6:$A$105,0)),0))</f>
        <v/>
      </c>
      <c r="L1009" s="35" t="str">
        <f aca="false">IF($C1009="","",$J1009-$K1009)</f>
        <v/>
      </c>
      <c r="M1009" s="6"/>
      <c r="N1009" s="6"/>
      <c r="O1009" s="46" t="str">
        <f aca="false">IF($A1009="","",DATE(YEAR($A1009),MONTH($A1009),1))</f>
        <v/>
      </c>
    </row>
    <row r="1010" customFormat="false" ht="15" hidden="false" customHeight="false" outlineLevel="0" collapsed="false">
      <c r="A1010" s="44"/>
      <c r="B1010" s="6"/>
      <c r="C1010" s="6"/>
      <c r="D1010" s="8" t="str">
        <f aca="false">IF($C1010="","",IFERROR(INDEX(PRODUCTOS!$B$6:$B$105,MATCH($C1010,PRODUCTOS!$A$6:$A$105,0)),"¿Código?"))</f>
        <v/>
      </c>
      <c r="E1010" s="42"/>
      <c r="F1010" s="35" t="str">
        <f aca="false">IF($C1010="","",IFERROR(INDEX(PRODUCTOS!$D$6:$D$105,MATCH($C1010,PRODUCTOS!$A$6:$A$105,0)),0))</f>
        <v/>
      </c>
      <c r="G1010" s="40"/>
      <c r="H1010" s="35" t="str">
        <f aca="false">IF($C1010="","",N($E1010)*$F1010-N($G1010))</f>
        <v/>
      </c>
      <c r="I1010" s="35" t="str">
        <f aca="false">IF($C1010="","",$H1010-$H1010/(1+IFERROR(INDEX(PRODUCTOS!$E$6:$E$105,MATCH($C1010,PRODUCTOS!$A$6:$A$105,0)),IVA_VENTAS)))</f>
        <v/>
      </c>
      <c r="J1010" s="35" t="str">
        <f aca="false">IF($C1010="","",$H1010-$I1010)</f>
        <v/>
      </c>
      <c r="K1010" s="35" t="str">
        <f aca="false">IF($C1010="","",N($E1010)*IFERROR(INDEX(PRODUCTOS!$H$6:$H$105,MATCH($C1010,PRODUCTOS!$A$6:$A$105,0)),0))</f>
        <v/>
      </c>
      <c r="L1010" s="35" t="str">
        <f aca="false">IF($C1010="","",$J1010-$K1010)</f>
        <v/>
      </c>
      <c r="M1010" s="6"/>
      <c r="N1010" s="6"/>
      <c r="O1010" s="46" t="str">
        <f aca="false">IF($A1010="","",DATE(YEAR($A1010),MONTH($A1010),1))</f>
        <v/>
      </c>
    </row>
    <row r="1011" customFormat="false" ht="15" hidden="false" customHeight="false" outlineLevel="0" collapsed="false">
      <c r="A1011" s="44"/>
      <c r="B1011" s="6"/>
      <c r="C1011" s="6"/>
      <c r="D1011" s="8" t="str">
        <f aca="false">IF($C1011="","",IFERROR(INDEX(PRODUCTOS!$B$6:$B$105,MATCH($C1011,PRODUCTOS!$A$6:$A$105,0)),"¿Código?"))</f>
        <v/>
      </c>
      <c r="E1011" s="42"/>
      <c r="F1011" s="35" t="str">
        <f aca="false">IF($C1011="","",IFERROR(INDEX(PRODUCTOS!$D$6:$D$105,MATCH($C1011,PRODUCTOS!$A$6:$A$105,0)),0))</f>
        <v/>
      </c>
      <c r="G1011" s="40"/>
      <c r="H1011" s="35" t="str">
        <f aca="false">IF($C1011="","",N($E1011)*$F1011-N($G1011))</f>
        <v/>
      </c>
      <c r="I1011" s="35" t="str">
        <f aca="false">IF($C1011="","",$H1011-$H1011/(1+IFERROR(INDEX(PRODUCTOS!$E$6:$E$105,MATCH($C1011,PRODUCTOS!$A$6:$A$105,0)),IVA_VENTAS)))</f>
        <v/>
      </c>
      <c r="J1011" s="35" t="str">
        <f aca="false">IF($C1011="","",$H1011-$I1011)</f>
        <v/>
      </c>
      <c r="K1011" s="35" t="str">
        <f aca="false">IF($C1011="","",N($E1011)*IFERROR(INDEX(PRODUCTOS!$H$6:$H$105,MATCH($C1011,PRODUCTOS!$A$6:$A$105,0)),0))</f>
        <v/>
      </c>
      <c r="L1011" s="35" t="str">
        <f aca="false">IF($C1011="","",$J1011-$K1011)</f>
        <v/>
      </c>
      <c r="M1011" s="6"/>
      <c r="N1011" s="6"/>
      <c r="O1011" s="46" t="str">
        <f aca="false">IF($A1011="","",DATE(YEAR($A1011),MONTH($A1011),1))</f>
        <v/>
      </c>
    </row>
    <row r="1012" customFormat="false" ht="15" hidden="false" customHeight="false" outlineLevel="0" collapsed="false">
      <c r="A1012" s="44"/>
      <c r="B1012" s="6"/>
      <c r="C1012" s="6"/>
      <c r="D1012" s="8" t="str">
        <f aca="false">IF($C1012="","",IFERROR(INDEX(PRODUCTOS!$B$6:$B$105,MATCH($C1012,PRODUCTOS!$A$6:$A$105,0)),"¿Código?"))</f>
        <v/>
      </c>
      <c r="E1012" s="42"/>
      <c r="F1012" s="35" t="str">
        <f aca="false">IF($C1012="","",IFERROR(INDEX(PRODUCTOS!$D$6:$D$105,MATCH($C1012,PRODUCTOS!$A$6:$A$105,0)),0))</f>
        <v/>
      </c>
      <c r="G1012" s="40"/>
      <c r="H1012" s="35" t="str">
        <f aca="false">IF($C1012="","",N($E1012)*$F1012-N($G1012))</f>
        <v/>
      </c>
      <c r="I1012" s="35" t="str">
        <f aca="false">IF($C1012="","",$H1012-$H1012/(1+IFERROR(INDEX(PRODUCTOS!$E$6:$E$105,MATCH($C1012,PRODUCTOS!$A$6:$A$105,0)),IVA_VENTAS)))</f>
        <v/>
      </c>
      <c r="J1012" s="35" t="str">
        <f aca="false">IF($C1012="","",$H1012-$I1012)</f>
        <v/>
      </c>
      <c r="K1012" s="35" t="str">
        <f aca="false">IF($C1012="","",N($E1012)*IFERROR(INDEX(PRODUCTOS!$H$6:$H$105,MATCH($C1012,PRODUCTOS!$A$6:$A$105,0)),0))</f>
        <v/>
      </c>
      <c r="L1012" s="35" t="str">
        <f aca="false">IF($C1012="","",$J1012-$K1012)</f>
        <v/>
      </c>
      <c r="M1012" s="6"/>
      <c r="N1012" s="6"/>
      <c r="O1012" s="46" t="str">
        <f aca="false">IF($A1012="","",DATE(YEAR($A1012),MONTH($A1012),1))</f>
        <v/>
      </c>
    </row>
    <row r="1013" customFormat="false" ht="15" hidden="false" customHeight="false" outlineLevel="0" collapsed="false">
      <c r="A1013" s="44"/>
      <c r="B1013" s="6"/>
      <c r="C1013" s="6"/>
      <c r="D1013" s="8" t="str">
        <f aca="false">IF($C1013="","",IFERROR(INDEX(PRODUCTOS!$B$6:$B$105,MATCH($C1013,PRODUCTOS!$A$6:$A$105,0)),"¿Código?"))</f>
        <v/>
      </c>
      <c r="E1013" s="42"/>
      <c r="F1013" s="35" t="str">
        <f aca="false">IF($C1013="","",IFERROR(INDEX(PRODUCTOS!$D$6:$D$105,MATCH($C1013,PRODUCTOS!$A$6:$A$105,0)),0))</f>
        <v/>
      </c>
      <c r="G1013" s="40"/>
      <c r="H1013" s="35" t="str">
        <f aca="false">IF($C1013="","",N($E1013)*$F1013-N($G1013))</f>
        <v/>
      </c>
      <c r="I1013" s="35" t="str">
        <f aca="false">IF($C1013="","",$H1013-$H1013/(1+IFERROR(INDEX(PRODUCTOS!$E$6:$E$105,MATCH($C1013,PRODUCTOS!$A$6:$A$105,0)),IVA_VENTAS)))</f>
        <v/>
      </c>
      <c r="J1013" s="35" t="str">
        <f aca="false">IF($C1013="","",$H1013-$I1013)</f>
        <v/>
      </c>
      <c r="K1013" s="35" t="str">
        <f aca="false">IF($C1013="","",N($E1013)*IFERROR(INDEX(PRODUCTOS!$H$6:$H$105,MATCH($C1013,PRODUCTOS!$A$6:$A$105,0)),0))</f>
        <v/>
      </c>
      <c r="L1013" s="35" t="str">
        <f aca="false">IF($C1013="","",$J1013-$K1013)</f>
        <v/>
      </c>
      <c r="M1013" s="6"/>
      <c r="N1013" s="6"/>
      <c r="O1013" s="46" t="str">
        <f aca="false">IF($A1013="","",DATE(YEAR($A1013),MONTH($A1013),1))</f>
        <v/>
      </c>
    </row>
    <row r="1014" customFormat="false" ht="15" hidden="false" customHeight="false" outlineLevel="0" collapsed="false">
      <c r="A1014" s="44"/>
      <c r="B1014" s="6"/>
      <c r="C1014" s="6"/>
      <c r="D1014" s="8" t="str">
        <f aca="false">IF($C1014="","",IFERROR(INDEX(PRODUCTOS!$B$6:$B$105,MATCH($C1014,PRODUCTOS!$A$6:$A$105,0)),"¿Código?"))</f>
        <v/>
      </c>
      <c r="E1014" s="42"/>
      <c r="F1014" s="35" t="str">
        <f aca="false">IF($C1014="","",IFERROR(INDEX(PRODUCTOS!$D$6:$D$105,MATCH($C1014,PRODUCTOS!$A$6:$A$105,0)),0))</f>
        <v/>
      </c>
      <c r="G1014" s="40"/>
      <c r="H1014" s="35" t="str">
        <f aca="false">IF($C1014="","",N($E1014)*$F1014-N($G1014))</f>
        <v/>
      </c>
      <c r="I1014" s="35" t="str">
        <f aca="false">IF($C1014="","",$H1014-$H1014/(1+IFERROR(INDEX(PRODUCTOS!$E$6:$E$105,MATCH($C1014,PRODUCTOS!$A$6:$A$105,0)),IVA_VENTAS)))</f>
        <v/>
      </c>
      <c r="J1014" s="35" t="str">
        <f aca="false">IF($C1014="","",$H1014-$I1014)</f>
        <v/>
      </c>
      <c r="K1014" s="35" t="str">
        <f aca="false">IF($C1014="","",N($E1014)*IFERROR(INDEX(PRODUCTOS!$H$6:$H$105,MATCH($C1014,PRODUCTOS!$A$6:$A$105,0)),0))</f>
        <v/>
      </c>
      <c r="L1014" s="35" t="str">
        <f aca="false">IF($C1014="","",$J1014-$K1014)</f>
        <v/>
      </c>
      <c r="M1014" s="6"/>
      <c r="N1014" s="6"/>
      <c r="O1014" s="46" t="str">
        <f aca="false">IF($A1014="","",DATE(YEAR($A1014),MONTH($A1014),1))</f>
        <v/>
      </c>
    </row>
    <row r="1015" customFormat="false" ht="15" hidden="false" customHeight="false" outlineLevel="0" collapsed="false">
      <c r="A1015" s="44"/>
      <c r="B1015" s="6"/>
      <c r="C1015" s="6"/>
      <c r="D1015" s="8" t="str">
        <f aca="false">IF($C1015="","",IFERROR(INDEX(PRODUCTOS!$B$6:$B$105,MATCH($C1015,PRODUCTOS!$A$6:$A$105,0)),"¿Código?"))</f>
        <v/>
      </c>
      <c r="E1015" s="42"/>
      <c r="F1015" s="35" t="str">
        <f aca="false">IF($C1015="","",IFERROR(INDEX(PRODUCTOS!$D$6:$D$105,MATCH($C1015,PRODUCTOS!$A$6:$A$105,0)),0))</f>
        <v/>
      </c>
      <c r="G1015" s="40"/>
      <c r="H1015" s="35" t="str">
        <f aca="false">IF($C1015="","",N($E1015)*$F1015-N($G1015))</f>
        <v/>
      </c>
      <c r="I1015" s="35" t="str">
        <f aca="false">IF($C1015="","",$H1015-$H1015/(1+IFERROR(INDEX(PRODUCTOS!$E$6:$E$105,MATCH($C1015,PRODUCTOS!$A$6:$A$105,0)),IVA_VENTAS)))</f>
        <v/>
      </c>
      <c r="J1015" s="35" t="str">
        <f aca="false">IF($C1015="","",$H1015-$I1015)</f>
        <v/>
      </c>
      <c r="K1015" s="35" t="str">
        <f aca="false">IF($C1015="","",N($E1015)*IFERROR(INDEX(PRODUCTOS!$H$6:$H$105,MATCH($C1015,PRODUCTOS!$A$6:$A$105,0)),0))</f>
        <v/>
      </c>
      <c r="L1015" s="35" t="str">
        <f aca="false">IF($C1015="","",$J1015-$K1015)</f>
        <v/>
      </c>
      <c r="M1015" s="6"/>
      <c r="N1015" s="6"/>
      <c r="O1015" s="46" t="str">
        <f aca="false">IF($A1015="","",DATE(YEAR($A1015),MONTH($A1015),1))</f>
        <v/>
      </c>
    </row>
    <row r="1016" customFormat="false" ht="15" hidden="false" customHeight="false" outlineLevel="0" collapsed="false">
      <c r="A1016" s="44"/>
      <c r="B1016" s="6"/>
      <c r="C1016" s="6"/>
      <c r="D1016" s="8" t="str">
        <f aca="false">IF($C1016="","",IFERROR(INDEX(PRODUCTOS!$B$6:$B$105,MATCH($C1016,PRODUCTOS!$A$6:$A$105,0)),"¿Código?"))</f>
        <v/>
      </c>
      <c r="E1016" s="42"/>
      <c r="F1016" s="35" t="str">
        <f aca="false">IF($C1016="","",IFERROR(INDEX(PRODUCTOS!$D$6:$D$105,MATCH($C1016,PRODUCTOS!$A$6:$A$105,0)),0))</f>
        <v/>
      </c>
      <c r="G1016" s="40"/>
      <c r="H1016" s="35" t="str">
        <f aca="false">IF($C1016="","",N($E1016)*$F1016-N($G1016))</f>
        <v/>
      </c>
      <c r="I1016" s="35" t="str">
        <f aca="false">IF($C1016="","",$H1016-$H1016/(1+IFERROR(INDEX(PRODUCTOS!$E$6:$E$105,MATCH($C1016,PRODUCTOS!$A$6:$A$105,0)),IVA_VENTAS)))</f>
        <v/>
      </c>
      <c r="J1016" s="35" t="str">
        <f aca="false">IF($C1016="","",$H1016-$I1016)</f>
        <v/>
      </c>
      <c r="K1016" s="35" t="str">
        <f aca="false">IF($C1016="","",N($E1016)*IFERROR(INDEX(PRODUCTOS!$H$6:$H$105,MATCH($C1016,PRODUCTOS!$A$6:$A$105,0)),0))</f>
        <v/>
      </c>
      <c r="L1016" s="35" t="str">
        <f aca="false">IF($C1016="","",$J1016-$K1016)</f>
        <v/>
      </c>
      <c r="M1016" s="6"/>
      <c r="N1016" s="6"/>
      <c r="O1016" s="46" t="str">
        <f aca="false">IF($A1016="","",DATE(YEAR($A1016),MONTH($A1016),1))</f>
        <v/>
      </c>
    </row>
    <row r="1017" customFormat="false" ht="15" hidden="false" customHeight="false" outlineLevel="0" collapsed="false">
      <c r="A1017" s="44"/>
      <c r="B1017" s="6"/>
      <c r="C1017" s="6"/>
      <c r="D1017" s="8" t="str">
        <f aca="false">IF($C1017="","",IFERROR(INDEX(PRODUCTOS!$B$6:$B$105,MATCH($C1017,PRODUCTOS!$A$6:$A$105,0)),"¿Código?"))</f>
        <v/>
      </c>
      <c r="E1017" s="42"/>
      <c r="F1017" s="35" t="str">
        <f aca="false">IF($C1017="","",IFERROR(INDEX(PRODUCTOS!$D$6:$D$105,MATCH($C1017,PRODUCTOS!$A$6:$A$105,0)),0))</f>
        <v/>
      </c>
      <c r="G1017" s="40"/>
      <c r="H1017" s="35" t="str">
        <f aca="false">IF($C1017="","",N($E1017)*$F1017-N($G1017))</f>
        <v/>
      </c>
      <c r="I1017" s="35" t="str">
        <f aca="false">IF($C1017="","",$H1017-$H1017/(1+IFERROR(INDEX(PRODUCTOS!$E$6:$E$105,MATCH($C1017,PRODUCTOS!$A$6:$A$105,0)),IVA_VENTAS)))</f>
        <v/>
      </c>
      <c r="J1017" s="35" t="str">
        <f aca="false">IF($C1017="","",$H1017-$I1017)</f>
        <v/>
      </c>
      <c r="K1017" s="35" t="str">
        <f aca="false">IF($C1017="","",N($E1017)*IFERROR(INDEX(PRODUCTOS!$H$6:$H$105,MATCH($C1017,PRODUCTOS!$A$6:$A$105,0)),0))</f>
        <v/>
      </c>
      <c r="L1017" s="35" t="str">
        <f aca="false">IF($C1017="","",$J1017-$K1017)</f>
        <v/>
      </c>
      <c r="M1017" s="6"/>
      <c r="N1017" s="6"/>
      <c r="O1017" s="46" t="str">
        <f aca="false">IF($A1017="","",DATE(YEAR($A1017),MONTH($A1017),1))</f>
        <v/>
      </c>
    </row>
    <row r="1018" customFormat="false" ht="15" hidden="false" customHeight="false" outlineLevel="0" collapsed="false">
      <c r="A1018" s="44"/>
      <c r="B1018" s="6"/>
      <c r="C1018" s="6"/>
      <c r="D1018" s="8" t="str">
        <f aca="false">IF($C1018="","",IFERROR(INDEX(PRODUCTOS!$B$6:$B$105,MATCH($C1018,PRODUCTOS!$A$6:$A$105,0)),"¿Código?"))</f>
        <v/>
      </c>
      <c r="E1018" s="42"/>
      <c r="F1018" s="35" t="str">
        <f aca="false">IF($C1018="","",IFERROR(INDEX(PRODUCTOS!$D$6:$D$105,MATCH($C1018,PRODUCTOS!$A$6:$A$105,0)),0))</f>
        <v/>
      </c>
      <c r="G1018" s="40"/>
      <c r="H1018" s="35" t="str">
        <f aca="false">IF($C1018="","",N($E1018)*$F1018-N($G1018))</f>
        <v/>
      </c>
      <c r="I1018" s="35" t="str">
        <f aca="false">IF($C1018="","",$H1018-$H1018/(1+IFERROR(INDEX(PRODUCTOS!$E$6:$E$105,MATCH($C1018,PRODUCTOS!$A$6:$A$105,0)),IVA_VENTAS)))</f>
        <v/>
      </c>
      <c r="J1018" s="35" t="str">
        <f aca="false">IF($C1018="","",$H1018-$I1018)</f>
        <v/>
      </c>
      <c r="K1018" s="35" t="str">
        <f aca="false">IF($C1018="","",N($E1018)*IFERROR(INDEX(PRODUCTOS!$H$6:$H$105,MATCH($C1018,PRODUCTOS!$A$6:$A$105,0)),0))</f>
        <v/>
      </c>
      <c r="L1018" s="35" t="str">
        <f aca="false">IF($C1018="","",$J1018-$K1018)</f>
        <v/>
      </c>
      <c r="M1018" s="6"/>
      <c r="N1018" s="6"/>
      <c r="O1018" s="46" t="str">
        <f aca="false">IF($A1018="","",DATE(YEAR($A1018),MONTH($A1018),1))</f>
        <v/>
      </c>
    </row>
    <row r="1019" customFormat="false" ht="15" hidden="false" customHeight="false" outlineLevel="0" collapsed="false">
      <c r="A1019" s="44"/>
      <c r="B1019" s="6"/>
      <c r="C1019" s="6"/>
      <c r="D1019" s="8" t="str">
        <f aca="false">IF($C1019="","",IFERROR(INDEX(PRODUCTOS!$B$6:$B$105,MATCH($C1019,PRODUCTOS!$A$6:$A$105,0)),"¿Código?"))</f>
        <v/>
      </c>
      <c r="E1019" s="42"/>
      <c r="F1019" s="35" t="str">
        <f aca="false">IF($C1019="","",IFERROR(INDEX(PRODUCTOS!$D$6:$D$105,MATCH($C1019,PRODUCTOS!$A$6:$A$105,0)),0))</f>
        <v/>
      </c>
      <c r="G1019" s="40"/>
      <c r="H1019" s="35" t="str">
        <f aca="false">IF($C1019="","",N($E1019)*$F1019-N($G1019))</f>
        <v/>
      </c>
      <c r="I1019" s="35" t="str">
        <f aca="false">IF($C1019="","",$H1019-$H1019/(1+IFERROR(INDEX(PRODUCTOS!$E$6:$E$105,MATCH($C1019,PRODUCTOS!$A$6:$A$105,0)),IVA_VENTAS)))</f>
        <v/>
      </c>
      <c r="J1019" s="35" t="str">
        <f aca="false">IF($C1019="","",$H1019-$I1019)</f>
        <v/>
      </c>
      <c r="K1019" s="35" t="str">
        <f aca="false">IF($C1019="","",N($E1019)*IFERROR(INDEX(PRODUCTOS!$H$6:$H$105,MATCH($C1019,PRODUCTOS!$A$6:$A$105,0)),0))</f>
        <v/>
      </c>
      <c r="L1019" s="35" t="str">
        <f aca="false">IF($C1019="","",$J1019-$K1019)</f>
        <v/>
      </c>
      <c r="M1019" s="6"/>
      <c r="N1019" s="6"/>
      <c r="O1019" s="46" t="str">
        <f aca="false">IF($A1019="","",DATE(YEAR($A1019),MONTH($A1019),1))</f>
        <v/>
      </c>
    </row>
    <row r="1020" customFormat="false" ht="15" hidden="false" customHeight="false" outlineLevel="0" collapsed="false">
      <c r="A1020" s="44"/>
      <c r="B1020" s="6"/>
      <c r="C1020" s="6"/>
      <c r="D1020" s="8" t="str">
        <f aca="false">IF($C1020="","",IFERROR(INDEX(PRODUCTOS!$B$6:$B$105,MATCH($C1020,PRODUCTOS!$A$6:$A$105,0)),"¿Código?"))</f>
        <v/>
      </c>
      <c r="E1020" s="42"/>
      <c r="F1020" s="35" t="str">
        <f aca="false">IF($C1020="","",IFERROR(INDEX(PRODUCTOS!$D$6:$D$105,MATCH($C1020,PRODUCTOS!$A$6:$A$105,0)),0))</f>
        <v/>
      </c>
      <c r="G1020" s="40"/>
      <c r="H1020" s="35" t="str">
        <f aca="false">IF($C1020="","",N($E1020)*$F1020-N($G1020))</f>
        <v/>
      </c>
      <c r="I1020" s="35" t="str">
        <f aca="false">IF($C1020="","",$H1020-$H1020/(1+IFERROR(INDEX(PRODUCTOS!$E$6:$E$105,MATCH($C1020,PRODUCTOS!$A$6:$A$105,0)),IVA_VENTAS)))</f>
        <v/>
      </c>
      <c r="J1020" s="35" t="str">
        <f aca="false">IF($C1020="","",$H1020-$I1020)</f>
        <v/>
      </c>
      <c r="K1020" s="35" t="str">
        <f aca="false">IF($C1020="","",N($E1020)*IFERROR(INDEX(PRODUCTOS!$H$6:$H$105,MATCH($C1020,PRODUCTOS!$A$6:$A$105,0)),0))</f>
        <v/>
      </c>
      <c r="L1020" s="35" t="str">
        <f aca="false">IF($C1020="","",$J1020-$K1020)</f>
        <v/>
      </c>
      <c r="M1020" s="6"/>
      <c r="N1020" s="6"/>
      <c r="O1020" s="46" t="str">
        <f aca="false">IF($A1020="","",DATE(YEAR($A1020),MONTH($A1020),1))</f>
        <v/>
      </c>
    </row>
    <row r="1021" customFormat="false" ht="15" hidden="false" customHeight="false" outlineLevel="0" collapsed="false">
      <c r="A1021" s="44"/>
      <c r="B1021" s="6"/>
      <c r="C1021" s="6"/>
      <c r="D1021" s="8" t="str">
        <f aca="false">IF($C1021="","",IFERROR(INDEX(PRODUCTOS!$B$6:$B$105,MATCH($C1021,PRODUCTOS!$A$6:$A$105,0)),"¿Código?"))</f>
        <v/>
      </c>
      <c r="E1021" s="42"/>
      <c r="F1021" s="35" t="str">
        <f aca="false">IF($C1021="","",IFERROR(INDEX(PRODUCTOS!$D$6:$D$105,MATCH($C1021,PRODUCTOS!$A$6:$A$105,0)),0))</f>
        <v/>
      </c>
      <c r="G1021" s="40"/>
      <c r="H1021" s="35" t="str">
        <f aca="false">IF($C1021="","",N($E1021)*$F1021-N($G1021))</f>
        <v/>
      </c>
      <c r="I1021" s="35" t="str">
        <f aca="false">IF($C1021="","",$H1021-$H1021/(1+IFERROR(INDEX(PRODUCTOS!$E$6:$E$105,MATCH($C1021,PRODUCTOS!$A$6:$A$105,0)),IVA_VENTAS)))</f>
        <v/>
      </c>
      <c r="J1021" s="35" t="str">
        <f aca="false">IF($C1021="","",$H1021-$I1021)</f>
        <v/>
      </c>
      <c r="K1021" s="35" t="str">
        <f aca="false">IF($C1021="","",N($E1021)*IFERROR(INDEX(PRODUCTOS!$H$6:$H$105,MATCH($C1021,PRODUCTOS!$A$6:$A$105,0)),0))</f>
        <v/>
      </c>
      <c r="L1021" s="35" t="str">
        <f aca="false">IF($C1021="","",$J1021-$K1021)</f>
        <v/>
      </c>
      <c r="M1021" s="6"/>
      <c r="N1021" s="6"/>
      <c r="O1021" s="46" t="str">
        <f aca="false">IF($A1021="","",DATE(YEAR($A1021),MONTH($A1021),1))</f>
        <v/>
      </c>
    </row>
    <row r="1022" customFormat="false" ht="15" hidden="false" customHeight="false" outlineLevel="0" collapsed="false">
      <c r="A1022" s="44"/>
      <c r="B1022" s="6"/>
      <c r="C1022" s="6"/>
      <c r="D1022" s="8" t="str">
        <f aca="false">IF($C1022="","",IFERROR(INDEX(PRODUCTOS!$B$6:$B$105,MATCH($C1022,PRODUCTOS!$A$6:$A$105,0)),"¿Código?"))</f>
        <v/>
      </c>
      <c r="E1022" s="42"/>
      <c r="F1022" s="35" t="str">
        <f aca="false">IF($C1022="","",IFERROR(INDEX(PRODUCTOS!$D$6:$D$105,MATCH($C1022,PRODUCTOS!$A$6:$A$105,0)),0))</f>
        <v/>
      </c>
      <c r="G1022" s="40"/>
      <c r="H1022" s="35" t="str">
        <f aca="false">IF($C1022="","",N($E1022)*$F1022-N($G1022))</f>
        <v/>
      </c>
      <c r="I1022" s="35" t="str">
        <f aca="false">IF($C1022="","",$H1022-$H1022/(1+IFERROR(INDEX(PRODUCTOS!$E$6:$E$105,MATCH($C1022,PRODUCTOS!$A$6:$A$105,0)),IVA_VENTAS)))</f>
        <v/>
      </c>
      <c r="J1022" s="35" t="str">
        <f aca="false">IF($C1022="","",$H1022-$I1022)</f>
        <v/>
      </c>
      <c r="K1022" s="35" t="str">
        <f aca="false">IF($C1022="","",N($E1022)*IFERROR(INDEX(PRODUCTOS!$H$6:$H$105,MATCH($C1022,PRODUCTOS!$A$6:$A$105,0)),0))</f>
        <v/>
      </c>
      <c r="L1022" s="35" t="str">
        <f aca="false">IF($C1022="","",$J1022-$K1022)</f>
        <v/>
      </c>
      <c r="M1022" s="6"/>
      <c r="N1022" s="6"/>
      <c r="O1022" s="46" t="str">
        <f aca="false">IF($A1022="","",DATE(YEAR($A1022),MONTH($A1022),1))</f>
        <v/>
      </c>
    </row>
    <row r="1023" customFormat="false" ht="15" hidden="false" customHeight="false" outlineLevel="0" collapsed="false">
      <c r="A1023" s="44"/>
      <c r="B1023" s="6"/>
      <c r="C1023" s="6"/>
      <c r="D1023" s="8" t="str">
        <f aca="false">IF($C1023="","",IFERROR(INDEX(PRODUCTOS!$B$6:$B$105,MATCH($C1023,PRODUCTOS!$A$6:$A$105,0)),"¿Código?"))</f>
        <v/>
      </c>
      <c r="E1023" s="42"/>
      <c r="F1023" s="35" t="str">
        <f aca="false">IF($C1023="","",IFERROR(INDEX(PRODUCTOS!$D$6:$D$105,MATCH($C1023,PRODUCTOS!$A$6:$A$105,0)),0))</f>
        <v/>
      </c>
      <c r="G1023" s="40"/>
      <c r="H1023" s="35" t="str">
        <f aca="false">IF($C1023="","",N($E1023)*$F1023-N($G1023))</f>
        <v/>
      </c>
      <c r="I1023" s="35" t="str">
        <f aca="false">IF($C1023="","",$H1023-$H1023/(1+IFERROR(INDEX(PRODUCTOS!$E$6:$E$105,MATCH($C1023,PRODUCTOS!$A$6:$A$105,0)),IVA_VENTAS)))</f>
        <v/>
      </c>
      <c r="J1023" s="35" t="str">
        <f aca="false">IF($C1023="","",$H1023-$I1023)</f>
        <v/>
      </c>
      <c r="K1023" s="35" t="str">
        <f aca="false">IF($C1023="","",N($E1023)*IFERROR(INDEX(PRODUCTOS!$H$6:$H$105,MATCH($C1023,PRODUCTOS!$A$6:$A$105,0)),0))</f>
        <v/>
      </c>
      <c r="L1023" s="35" t="str">
        <f aca="false">IF($C1023="","",$J1023-$K1023)</f>
        <v/>
      </c>
      <c r="M1023" s="6"/>
      <c r="N1023" s="6"/>
      <c r="O1023" s="46" t="str">
        <f aca="false">IF($A1023="","",DATE(YEAR($A1023),MONTH($A1023),1))</f>
        <v/>
      </c>
    </row>
    <row r="1024" customFormat="false" ht="15" hidden="false" customHeight="false" outlineLevel="0" collapsed="false">
      <c r="A1024" s="44"/>
      <c r="B1024" s="6"/>
      <c r="C1024" s="6"/>
      <c r="D1024" s="8" t="str">
        <f aca="false">IF($C1024="","",IFERROR(INDEX(PRODUCTOS!$B$6:$B$105,MATCH($C1024,PRODUCTOS!$A$6:$A$105,0)),"¿Código?"))</f>
        <v/>
      </c>
      <c r="E1024" s="42"/>
      <c r="F1024" s="35" t="str">
        <f aca="false">IF($C1024="","",IFERROR(INDEX(PRODUCTOS!$D$6:$D$105,MATCH($C1024,PRODUCTOS!$A$6:$A$105,0)),0))</f>
        <v/>
      </c>
      <c r="G1024" s="40"/>
      <c r="H1024" s="35" t="str">
        <f aca="false">IF($C1024="","",N($E1024)*$F1024-N($G1024))</f>
        <v/>
      </c>
      <c r="I1024" s="35" t="str">
        <f aca="false">IF($C1024="","",$H1024-$H1024/(1+IFERROR(INDEX(PRODUCTOS!$E$6:$E$105,MATCH($C1024,PRODUCTOS!$A$6:$A$105,0)),IVA_VENTAS)))</f>
        <v/>
      </c>
      <c r="J1024" s="35" t="str">
        <f aca="false">IF($C1024="","",$H1024-$I1024)</f>
        <v/>
      </c>
      <c r="K1024" s="35" t="str">
        <f aca="false">IF($C1024="","",N($E1024)*IFERROR(INDEX(PRODUCTOS!$H$6:$H$105,MATCH($C1024,PRODUCTOS!$A$6:$A$105,0)),0))</f>
        <v/>
      </c>
      <c r="L1024" s="35" t="str">
        <f aca="false">IF($C1024="","",$J1024-$K1024)</f>
        <v/>
      </c>
      <c r="M1024" s="6"/>
      <c r="N1024" s="6"/>
      <c r="O1024" s="46" t="str">
        <f aca="false">IF($A1024="","",DATE(YEAR($A1024),MONTH($A1024),1))</f>
        <v/>
      </c>
    </row>
    <row r="1025" customFormat="false" ht="15" hidden="false" customHeight="false" outlineLevel="0" collapsed="false">
      <c r="A1025" s="44"/>
      <c r="B1025" s="6"/>
      <c r="C1025" s="6"/>
      <c r="D1025" s="8" t="str">
        <f aca="false">IF($C1025="","",IFERROR(INDEX(PRODUCTOS!$B$6:$B$105,MATCH($C1025,PRODUCTOS!$A$6:$A$105,0)),"¿Código?"))</f>
        <v/>
      </c>
      <c r="E1025" s="42"/>
      <c r="F1025" s="35" t="str">
        <f aca="false">IF($C1025="","",IFERROR(INDEX(PRODUCTOS!$D$6:$D$105,MATCH($C1025,PRODUCTOS!$A$6:$A$105,0)),0))</f>
        <v/>
      </c>
      <c r="G1025" s="40"/>
      <c r="H1025" s="35" t="str">
        <f aca="false">IF($C1025="","",N($E1025)*$F1025-N($G1025))</f>
        <v/>
      </c>
      <c r="I1025" s="35" t="str">
        <f aca="false">IF($C1025="","",$H1025-$H1025/(1+IFERROR(INDEX(PRODUCTOS!$E$6:$E$105,MATCH($C1025,PRODUCTOS!$A$6:$A$105,0)),IVA_VENTAS)))</f>
        <v/>
      </c>
      <c r="J1025" s="35" t="str">
        <f aca="false">IF($C1025="","",$H1025-$I1025)</f>
        <v/>
      </c>
      <c r="K1025" s="35" t="str">
        <f aca="false">IF($C1025="","",N($E1025)*IFERROR(INDEX(PRODUCTOS!$H$6:$H$105,MATCH($C1025,PRODUCTOS!$A$6:$A$105,0)),0))</f>
        <v/>
      </c>
      <c r="L1025" s="35" t="str">
        <f aca="false">IF($C1025="","",$J1025-$K1025)</f>
        <v/>
      </c>
      <c r="M1025" s="6"/>
      <c r="N1025" s="6"/>
      <c r="O1025" s="46" t="str">
        <f aca="false">IF($A1025="","",DATE(YEAR($A1025),MONTH($A1025),1))</f>
        <v/>
      </c>
    </row>
    <row r="1026" customFormat="false" ht="15" hidden="false" customHeight="false" outlineLevel="0" collapsed="false">
      <c r="A1026" s="44"/>
      <c r="B1026" s="6"/>
      <c r="C1026" s="6"/>
      <c r="D1026" s="8" t="str">
        <f aca="false">IF($C1026="","",IFERROR(INDEX(PRODUCTOS!$B$6:$B$105,MATCH($C1026,PRODUCTOS!$A$6:$A$105,0)),"¿Código?"))</f>
        <v/>
      </c>
      <c r="E1026" s="42"/>
      <c r="F1026" s="35" t="str">
        <f aca="false">IF($C1026="","",IFERROR(INDEX(PRODUCTOS!$D$6:$D$105,MATCH($C1026,PRODUCTOS!$A$6:$A$105,0)),0))</f>
        <v/>
      </c>
      <c r="G1026" s="40"/>
      <c r="H1026" s="35" t="str">
        <f aca="false">IF($C1026="","",N($E1026)*$F1026-N($G1026))</f>
        <v/>
      </c>
      <c r="I1026" s="35" t="str">
        <f aca="false">IF($C1026="","",$H1026-$H1026/(1+IFERROR(INDEX(PRODUCTOS!$E$6:$E$105,MATCH($C1026,PRODUCTOS!$A$6:$A$105,0)),IVA_VENTAS)))</f>
        <v/>
      </c>
      <c r="J1026" s="35" t="str">
        <f aca="false">IF($C1026="","",$H1026-$I1026)</f>
        <v/>
      </c>
      <c r="K1026" s="35" t="str">
        <f aca="false">IF($C1026="","",N($E1026)*IFERROR(INDEX(PRODUCTOS!$H$6:$H$105,MATCH($C1026,PRODUCTOS!$A$6:$A$105,0)),0))</f>
        <v/>
      </c>
      <c r="L1026" s="35" t="str">
        <f aca="false">IF($C1026="","",$J1026-$K1026)</f>
        <v/>
      </c>
      <c r="M1026" s="6"/>
      <c r="N1026" s="6"/>
      <c r="O1026" s="46" t="str">
        <f aca="false">IF($A1026="","",DATE(YEAR($A1026),MONTH($A1026),1))</f>
        <v/>
      </c>
    </row>
    <row r="1027" customFormat="false" ht="15" hidden="false" customHeight="false" outlineLevel="0" collapsed="false">
      <c r="A1027" s="44"/>
      <c r="B1027" s="6"/>
      <c r="C1027" s="6"/>
      <c r="D1027" s="8" t="str">
        <f aca="false">IF($C1027="","",IFERROR(INDEX(PRODUCTOS!$B$6:$B$105,MATCH($C1027,PRODUCTOS!$A$6:$A$105,0)),"¿Código?"))</f>
        <v/>
      </c>
      <c r="E1027" s="42"/>
      <c r="F1027" s="35" t="str">
        <f aca="false">IF($C1027="","",IFERROR(INDEX(PRODUCTOS!$D$6:$D$105,MATCH($C1027,PRODUCTOS!$A$6:$A$105,0)),0))</f>
        <v/>
      </c>
      <c r="G1027" s="40"/>
      <c r="H1027" s="35" t="str">
        <f aca="false">IF($C1027="","",N($E1027)*$F1027-N($G1027))</f>
        <v/>
      </c>
      <c r="I1027" s="35" t="str">
        <f aca="false">IF($C1027="","",$H1027-$H1027/(1+IFERROR(INDEX(PRODUCTOS!$E$6:$E$105,MATCH($C1027,PRODUCTOS!$A$6:$A$105,0)),IVA_VENTAS)))</f>
        <v/>
      </c>
      <c r="J1027" s="35" t="str">
        <f aca="false">IF($C1027="","",$H1027-$I1027)</f>
        <v/>
      </c>
      <c r="K1027" s="35" t="str">
        <f aca="false">IF($C1027="","",N($E1027)*IFERROR(INDEX(PRODUCTOS!$H$6:$H$105,MATCH($C1027,PRODUCTOS!$A$6:$A$105,0)),0))</f>
        <v/>
      </c>
      <c r="L1027" s="35" t="str">
        <f aca="false">IF($C1027="","",$J1027-$K1027)</f>
        <v/>
      </c>
      <c r="M1027" s="6"/>
      <c r="N1027" s="6"/>
      <c r="O1027" s="46" t="str">
        <f aca="false">IF($A1027="","",DATE(YEAR($A1027),MONTH($A1027),1))</f>
        <v/>
      </c>
    </row>
    <row r="1028" customFormat="false" ht="15" hidden="false" customHeight="false" outlineLevel="0" collapsed="false">
      <c r="A1028" s="44"/>
      <c r="B1028" s="6"/>
      <c r="C1028" s="6"/>
      <c r="D1028" s="8" t="str">
        <f aca="false">IF($C1028="","",IFERROR(INDEX(PRODUCTOS!$B$6:$B$105,MATCH($C1028,PRODUCTOS!$A$6:$A$105,0)),"¿Código?"))</f>
        <v/>
      </c>
      <c r="E1028" s="42"/>
      <c r="F1028" s="35" t="str">
        <f aca="false">IF($C1028="","",IFERROR(INDEX(PRODUCTOS!$D$6:$D$105,MATCH($C1028,PRODUCTOS!$A$6:$A$105,0)),0))</f>
        <v/>
      </c>
      <c r="G1028" s="40"/>
      <c r="H1028" s="35" t="str">
        <f aca="false">IF($C1028="","",N($E1028)*$F1028-N($G1028))</f>
        <v/>
      </c>
      <c r="I1028" s="35" t="str">
        <f aca="false">IF($C1028="","",$H1028-$H1028/(1+IFERROR(INDEX(PRODUCTOS!$E$6:$E$105,MATCH($C1028,PRODUCTOS!$A$6:$A$105,0)),IVA_VENTAS)))</f>
        <v/>
      </c>
      <c r="J1028" s="35" t="str">
        <f aca="false">IF($C1028="","",$H1028-$I1028)</f>
        <v/>
      </c>
      <c r="K1028" s="35" t="str">
        <f aca="false">IF($C1028="","",N($E1028)*IFERROR(INDEX(PRODUCTOS!$H$6:$H$105,MATCH($C1028,PRODUCTOS!$A$6:$A$105,0)),0))</f>
        <v/>
      </c>
      <c r="L1028" s="35" t="str">
        <f aca="false">IF($C1028="","",$J1028-$K1028)</f>
        <v/>
      </c>
      <c r="M1028" s="6"/>
      <c r="N1028" s="6"/>
      <c r="O1028" s="46" t="str">
        <f aca="false">IF($A1028="","",DATE(YEAR($A1028),MONTH($A1028),1))</f>
        <v/>
      </c>
    </row>
    <row r="1029" customFormat="false" ht="15" hidden="false" customHeight="false" outlineLevel="0" collapsed="false">
      <c r="A1029" s="44"/>
      <c r="B1029" s="6"/>
      <c r="C1029" s="6"/>
      <c r="D1029" s="8" t="str">
        <f aca="false">IF($C1029="","",IFERROR(INDEX(PRODUCTOS!$B$6:$B$105,MATCH($C1029,PRODUCTOS!$A$6:$A$105,0)),"¿Código?"))</f>
        <v/>
      </c>
      <c r="E1029" s="42"/>
      <c r="F1029" s="35" t="str">
        <f aca="false">IF($C1029="","",IFERROR(INDEX(PRODUCTOS!$D$6:$D$105,MATCH($C1029,PRODUCTOS!$A$6:$A$105,0)),0))</f>
        <v/>
      </c>
      <c r="G1029" s="40"/>
      <c r="H1029" s="35" t="str">
        <f aca="false">IF($C1029="","",N($E1029)*$F1029-N($G1029))</f>
        <v/>
      </c>
      <c r="I1029" s="35" t="str">
        <f aca="false">IF($C1029="","",$H1029-$H1029/(1+IFERROR(INDEX(PRODUCTOS!$E$6:$E$105,MATCH($C1029,PRODUCTOS!$A$6:$A$105,0)),IVA_VENTAS)))</f>
        <v/>
      </c>
      <c r="J1029" s="35" t="str">
        <f aca="false">IF($C1029="","",$H1029-$I1029)</f>
        <v/>
      </c>
      <c r="K1029" s="35" t="str">
        <f aca="false">IF($C1029="","",N($E1029)*IFERROR(INDEX(PRODUCTOS!$H$6:$H$105,MATCH($C1029,PRODUCTOS!$A$6:$A$105,0)),0))</f>
        <v/>
      </c>
      <c r="L1029" s="35" t="str">
        <f aca="false">IF($C1029="","",$J1029-$K1029)</f>
        <v/>
      </c>
      <c r="M1029" s="6"/>
      <c r="N1029" s="6"/>
      <c r="O1029" s="46" t="str">
        <f aca="false">IF($A1029="","",DATE(YEAR($A1029),MONTH($A1029),1))</f>
        <v/>
      </c>
    </row>
    <row r="1030" customFormat="false" ht="15" hidden="false" customHeight="false" outlineLevel="0" collapsed="false">
      <c r="A1030" s="44"/>
      <c r="B1030" s="6"/>
      <c r="C1030" s="6"/>
      <c r="D1030" s="8" t="str">
        <f aca="false">IF($C1030="","",IFERROR(INDEX(PRODUCTOS!$B$6:$B$105,MATCH($C1030,PRODUCTOS!$A$6:$A$105,0)),"¿Código?"))</f>
        <v/>
      </c>
      <c r="E1030" s="42"/>
      <c r="F1030" s="35" t="str">
        <f aca="false">IF($C1030="","",IFERROR(INDEX(PRODUCTOS!$D$6:$D$105,MATCH($C1030,PRODUCTOS!$A$6:$A$105,0)),0))</f>
        <v/>
      </c>
      <c r="G1030" s="40"/>
      <c r="H1030" s="35" t="str">
        <f aca="false">IF($C1030="","",N($E1030)*$F1030-N($G1030))</f>
        <v/>
      </c>
      <c r="I1030" s="35" t="str">
        <f aca="false">IF($C1030="","",$H1030-$H1030/(1+IFERROR(INDEX(PRODUCTOS!$E$6:$E$105,MATCH($C1030,PRODUCTOS!$A$6:$A$105,0)),IVA_VENTAS)))</f>
        <v/>
      </c>
      <c r="J1030" s="35" t="str">
        <f aca="false">IF($C1030="","",$H1030-$I1030)</f>
        <v/>
      </c>
      <c r="K1030" s="35" t="str">
        <f aca="false">IF($C1030="","",N($E1030)*IFERROR(INDEX(PRODUCTOS!$H$6:$H$105,MATCH($C1030,PRODUCTOS!$A$6:$A$105,0)),0))</f>
        <v/>
      </c>
      <c r="L1030" s="35" t="str">
        <f aca="false">IF($C1030="","",$J1030-$K1030)</f>
        <v/>
      </c>
      <c r="M1030" s="6"/>
      <c r="N1030" s="6"/>
      <c r="O1030" s="46" t="str">
        <f aca="false">IF($A1030="","",DATE(YEAR($A1030),MONTH($A1030),1))</f>
        <v/>
      </c>
    </row>
    <row r="1031" customFormat="false" ht="15" hidden="false" customHeight="false" outlineLevel="0" collapsed="false">
      <c r="A1031" s="44"/>
      <c r="B1031" s="6"/>
      <c r="C1031" s="6"/>
      <c r="D1031" s="8" t="str">
        <f aca="false">IF($C1031="","",IFERROR(INDEX(PRODUCTOS!$B$6:$B$105,MATCH($C1031,PRODUCTOS!$A$6:$A$105,0)),"¿Código?"))</f>
        <v/>
      </c>
      <c r="E1031" s="42"/>
      <c r="F1031" s="35" t="str">
        <f aca="false">IF($C1031="","",IFERROR(INDEX(PRODUCTOS!$D$6:$D$105,MATCH($C1031,PRODUCTOS!$A$6:$A$105,0)),0))</f>
        <v/>
      </c>
      <c r="G1031" s="40"/>
      <c r="H1031" s="35" t="str">
        <f aca="false">IF($C1031="","",N($E1031)*$F1031-N($G1031))</f>
        <v/>
      </c>
      <c r="I1031" s="35" t="str">
        <f aca="false">IF($C1031="","",$H1031-$H1031/(1+IFERROR(INDEX(PRODUCTOS!$E$6:$E$105,MATCH($C1031,PRODUCTOS!$A$6:$A$105,0)),IVA_VENTAS)))</f>
        <v/>
      </c>
      <c r="J1031" s="35" t="str">
        <f aca="false">IF($C1031="","",$H1031-$I1031)</f>
        <v/>
      </c>
      <c r="K1031" s="35" t="str">
        <f aca="false">IF($C1031="","",N($E1031)*IFERROR(INDEX(PRODUCTOS!$H$6:$H$105,MATCH($C1031,PRODUCTOS!$A$6:$A$105,0)),0))</f>
        <v/>
      </c>
      <c r="L1031" s="35" t="str">
        <f aca="false">IF($C1031="","",$J1031-$K1031)</f>
        <v/>
      </c>
      <c r="M1031" s="6"/>
      <c r="N1031" s="6"/>
      <c r="O1031" s="46" t="str">
        <f aca="false">IF($A1031="","",DATE(YEAR($A1031),MONTH($A1031),1))</f>
        <v/>
      </c>
    </row>
    <row r="1032" customFormat="false" ht="15" hidden="false" customHeight="false" outlineLevel="0" collapsed="false">
      <c r="A1032" s="44"/>
      <c r="B1032" s="6"/>
      <c r="C1032" s="6"/>
      <c r="D1032" s="8" t="str">
        <f aca="false">IF($C1032="","",IFERROR(INDEX(PRODUCTOS!$B$6:$B$105,MATCH($C1032,PRODUCTOS!$A$6:$A$105,0)),"¿Código?"))</f>
        <v/>
      </c>
      <c r="E1032" s="42"/>
      <c r="F1032" s="35" t="str">
        <f aca="false">IF($C1032="","",IFERROR(INDEX(PRODUCTOS!$D$6:$D$105,MATCH($C1032,PRODUCTOS!$A$6:$A$105,0)),0))</f>
        <v/>
      </c>
      <c r="G1032" s="40"/>
      <c r="H1032" s="35" t="str">
        <f aca="false">IF($C1032="","",N($E1032)*$F1032-N($G1032))</f>
        <v/>
      </c>
      <c r="I1032" s="35" t="str">
        <f aca="false">IF($C1032="","",$H1032-$H1032/(1+IFERROR(INDEX(PRODUCTOS!$E$6:$E$105,MATCH($C1032,PRODUCTOS!$A$6:$A$105,0)),IVA_VENTAS)))</f>
        <v/>
      </c>
      <c r="J1032" s="35" t="str">
        <f aca="false">IF($C1032="","",$H1032-$I1032)</f>
        <v/>
      </c>
      <c r="K1032" s="35" t="str">
        <f aca="false">IF($C1032="","",N($E1032)*IFERROR(INDEX(PRODUCTOS!$H$6:$H$105,MATCH($C1032,PRODUCTOS!$A$6:$A$105,0)),0))</f>
        <v/>
      </c>
      <c r="L1032" s="35" t="str">
        <f aca="false">IF($C1032="","",$J1032-$K1032)</f>
        <v/>
      </c>
      <c r="M1032" s="6"/>
      <c r="N1032" s="6"/>
      <c r="O1032" s="46" t="str">
        <f aca="false">IF($A1032="","",DATE(YEAR($A1032),MONTH($A1032),1))</f>
        <v/>
      </c>
    </row>
    <row r="1033" customFormat="false" ht="15" hidden="false" customHeight="false" outlineLevel="0" collapsed="false">
      <c r="A1033" s="44"/>
      <c r="B1033" s="6"/>
      <c r="C1033" s="6"/>
      <c r="D1033" s="8" t="str">
        <f aca="false">IF($C1033="","",IFERROR(INDEX(PRODUCTOS!$B$6:$B$105,MATCH($C1033,PRODUCTOS!$A$6:$A$105,0)),"¿Código?"))</f>
        <v/>
      </c>
      <c r="E1033" s="42"/>
      <c r="F1033" s="35" t="str">
        <f aca="false">IF($C1033="","",IFERROR(INDEX(PRODUCTOS!$D$6:$D$105,MATCH($C1033,PRODUCTOS!$A$6:$A$105,0)),0))</f>
        <v/>
      </c>
      <c r="G1033" s="40"/>
      <c r="H1033" s="35" t="str">
        <f aca="false">IF($C1033="","",N($E1033)*$F1033-N($G1033))</f>
        <v/>
      </c>
      <c r="I1033" s="35" t="str">
        <f aca="false">IF($C1033="","",$H1033-$H1033/(1+IFERROR(INDEX(PRODUCTOS!$E$6:$E$105,MATCH($C1033,PRODUCTOS!$A$6:$A$105,0)),IVA_VENTAS)))</f>
        <v/>
      </c>
      <c r="J1033" s="35" t="str">
        <f aca="false">IF($C1033="","",$H1033-$I1033)</f>
        <v/>
      </c>
      <c r="K1033" s="35" t="str">
        <f aca="false">IF($C1033="","",N($E1033)*IFERROR(INDEX(PRODUCTOS!$H$6:$H$105,MATCH($C1033,PRODUCTOS!$A$6:$A$105,0)),0))</f>
        <v/>
      </c>
      <c r="L1033" s="35" t="str">
        <f aca="false">IF($C1033="","",$J1033-$K1033)</f>
        <v/>
      </c>
      <c r="M1033" s="6"/>
      <c r="N1033" s="6"/>
      <c r="O1033" s="46" t="str">
        <f aca="false">IF($A1033="","",DATE(YEAR($A1033),MONTH($A1033),1))</f>
        <v/>
      </c>
    </row>
    <row r="1034" customFormat="false" ht="15" hidden="false" customHeight="false" outlineLevel="0" collapsed="false">
      <c r="A1034" s="44"/>
      <c r="B1034" s="6"/>
      <c r="C1034" s="6"/>
      <c r="D1034" s="8" t="str">
        <f aca="false">IF($C1034="","",IFERROR(INDEX(PRODUCTOS!$B$6:$B$105,MATCH($C1034,PRODUCTOS!$A$6:$A$105,0)),"¿Código?"))</f>
        <v/>
      </c>
      <c r="E1034" s="42"/>
      <c r="F1034" s="35" t="str">
        <f aca="false">IF($C1034="","",IFERROR(INDEX(PRODUCTOS!$D$6:$D$105,MATCH($C1034,PRODUCTOS!$A$6:$A$105,0)),0))</f>
        <v/>
      </c>
      <c r="G1034" s="40"/>
      <c r="H1034" s="35" t="str">
        <f aca="false">IF($C1034="","",N($E1034)*$F1034-N($G1034))</f>
        <v/>
      </c>
      <c r="I1034" s="35" t="str">
        <f aca="false">IF($C1034="","",$H1034-$H1034/(1+IFERROR(INDEX(PRODUCTOS!$E$6:$E$105,MATCH($C1034,PRODUCTOS!$A$6:$A$105,0)),IVA_VENTAS)))</f>
        <v/>
      </c>
      <c r="J1034" s="35" t="str">
        <f aca="false">IF($C1034="","",$H1034-$I1034)</f>
        <v/>
      </c>
      <c r="K1034" s="35" t="str">
        <f aca="false">IF($C1034="","",N($E1034)*IFERROR(INDEX(PRODUCTOS!$H$6:$H$105,MATCH($C1034,PRODUCTOS!$A$6:$A$105,0)),0))</f>
        <v/>
      </c>
      <c r="L1034" s="35" t="str">
        <f aca="false">IF($C1034="","",$J1034-$K1034)</f>
        <v/>
      </c>
      <c r="M1034" s="6"/>
      <c r="N1034" s="6"/>
      <c r="O1034" s="46" t="str">
        <f aca="false">IF($A1034="","",DATE(YEAR($A1034),MONTH($A1034),1))</f>
        <v/>
      </c>
    </row>
    <row r="1035" customFormat="false" ht="15" hidden="false" customHeight="false" outlineLevel="0" collapsed="false">
      <c r="A1035" s="44"/>
      <c r="B1035" s="6"/>
      <c r="C1035" s="6"/>
      <c r="D1035" s="8" t="str">
        <f aca="false">IF($C1035="","",IFERROR(INDEX(PRODUCTOS!$B$6:$B$105,MATCH($C1035,PRODUCTOS!$A$6:$A$105,0)),"¿Código?"))</f>
        <v/>
      </c>
      <c r="E1035" s="42"/>
      <c r="F1035" s="35" t="str">
        <f aca="false">IF($C1035="","",IFERROR(INDEX(PRODUCTOS!$D$6:$D$105,MATCH($C1035,PRODUCTOS!$A$6:$A$105,0)),0))</f>
        <v/>
      </c>
      <c r="G1035" s="40"/>
      <c r="H1035" s="35" t="str">
        <f aca="false">IF($C1035="","",N($E1035)*$F1035-N($G1035))</f>
        <v/>
      </c>
      <c r="I1035" s="35" t="str">
        <f aca="false">IF($C1035="","",$H1035-$H1035/(1+IFERROR(INDEX(PRODUCTOS!$E$6:$E$105,MATCH($C1035,PRODUCTOS!$A$6:$A$105,0)),IVA_VENTAS)))</f>
        <v/>
      </c>
      <c r="J1035" s="35" t="str">
        <f aca="false">IF($C1035="","",$H1035-$I1035)</f>
        <v/>
      </c>
      <c r="K1035" s="35" t="str">
        <f aca="false">IF($C1035="","",N($E1035)*IFERROR(INDEX(PRODUCTOS!$H$6:$H$105,MATCH($C1035,PRODUCTOS!$A$6:$A$105,0)),0))</f>
        <v/>
      </c>
      <c r="L1035" s="35" t="str">
        <f aca="false">IF($C1035="","",$J1035-$K1035)</f>
        <v/>
      </c>
      <c r="M1035" s="6"/>
      <c r="N1035" s="6"/>
      <c r="O1035" s="46" t="str">
        <f aca="false">IF($A1035="","",DATE(YEAR($A1035),MONTH($A1035),1))</f>
        <v/>
      </c>
    </row>
    <row r="1036" customFormat="false" ht="15" hidden="false" customHeight="false" outlineLevel="0" collapsed="false">
      <c r="A1036" s="44"/>
      <c r="B1036" s="6"/>
      <c r="C1036" s="6"/>
      <c r="D1036" s="8" t="str">
        <f aca="false">IF($C1036="","",IFERROR(INDEX(PRODUCTOS!$B$6:$B$105,MATCH($C1036,PRODUCTOS!$A$6:$A$105,0)),"¿Código?"))</f>
        <v/>
      </c>
      <c r="E1036" s="42"/>
      <c r="F1036" s="35" t="str">
        <f aca="false">IF($C1036="","",IFERROR(INDEX(PRODUCTOS!$D$6:$D$105,MATCH($C1036,PRODUCTOS!$A$6:$A$105,0)),0))</f>
        <v/>
      </c>
      <c r="G1036" s="40"/>
      <c r="H1036" s="35" t="str">
        <f aca="false">IF($C1036="","",N($E1036)*$F1036-N($G1036))</f>
        <v/>
      </c>
      <c r="I1036" s="35" t="str">
        <f aca="false">IF($C1036="","",$H1036-$H1036/(1+IFERROR(INDEX(PRODUCTOS!$E$6:$E$105,MATCH($C1036,PRODUCTOS!$A$6:$A$105,0)),IVA_VENTAS)))</f>
        <v/>
      </c>
      <c r="J1036" s="35" t="str">
        <f aca="false">IF($C1036="","",$H1036-$I1036)</f>
        <v/>
      </c>
      <c r="K1036" s="35" t="str">
        <f aca="false">IF($C1036="","",N($E1036)*IFERROR(INDEX(PRODUCTOS!$H$6:$H$105,MATCH($C1036,PRODUCTOS!$A$6:$A$105,0)),0))</f>
        <v/>
      </c>
      <c r="L1036" s="35" t="str">
        <f aca="false">IF($C1036="","",$J1036-$K1036)</f>
        <v/>
      </c>
      <c r="M1036" s="6"/>
      <c r="N1036" s="6"/>
      <c r="O1036" s="46" t="str">
        <f aca="false">IF($A1036="","",DATE(YEAR($A1036),MONTH($A1036),1))</f>
        <v/>
      </c>
    </row>
    <row r="1037" customFormat="false" ht="15" hidden="false" customHeight="false" outlineLevel="0" collapsed="false">
      <c r="A1037" s="44"/>
      <c r="B1037" s="6"/>
      <c r="C1037" s="6"/>
      <c r="D1037" s="8" t="str">
        <f aca="false">IF($C1037="","",IFERROR(INDEX(PRODUCTOS!$B$6:$B$105,MATCH($C1037,PRODUCTOS!$A$6:$A$105,0)),"¿Código?"))</f>
        <v/>
      </c>
      <c r="E1037" s="42"/>
      <c r="F1037" s="35" t="str">
        <f aca="false">IF($C1037="","",IFERROR(INDEX(PRODUCTOS!$D$6:$D$105,MATCH($C1037,PRODUCTOS!$A$6:$A$105,0)),0))</f>
        <v/>
      </c>
      <c r="G1037" s="40"/>
      <c r="H1037" s="35" t="str">
        <f aca="false">IF($C1037="","",N($E1037)*$F1037-N($G1037))</f>
        <v/>
      </c>
      <c r="I1037" s="35" t="str">
        <f aca="false">IF($C1037="","",$H1037-$H1037/(1+IFERROR(INDEX(PRODUCTOS!$E$6:$E$105,MATCH($C1037,PRODUCTOS!$A$6:$A$105,0)),IVA_VENTAS)))</f>
        <v/>
      </c>
      <c r="J1037" s="35" t="str">
        <f aca="false">IF($C1037="","",$H1037-$I1037)</f>
        <v/>
      </c>
      <c r="K1037" s="35" t="str">
        <f aca="false">IF($C1037="","",N($E1037)*IFERROR(INDEX(PRODUCTOS!$H$6:$H$105,MATCH($C1037,PRODUCTOS!$A$6:$A$105,0)),0))</f>
        <v/>
      </c>
      <c r="L1037" s="35" t="str">
        <f aca="false">IF($C1037="","",$J1037-$K1037)</f>
        <v/>
      </c>
      <c r="M1037" s="6"/>
      <c r="N1037" s="6"/>
      <c r="O1037" s="46" t="str">
        <f aca="false">IF($A1037="","",DATE(YEAR($A1037),MONTH($A1037),1))</f>
        <v/>
      </c>
    </row>
    <row r="1038" customFormat="false" ht="15" hidden="false" customHeight="false" outlineLevel="0" collapsed="false">
      <c r="A1038" s="44"/>
      <c r="B1038" s="6"/>
      <c r="C1038" s="6"/>
      <c r="D1038" s="8" t="str">
        <f aca="false">IF($C1038="","",IFERROR(INDEX(PRODUCTOS!$B$6:$B$105,MATCH($C1038,PRODUCTOS!$A$6:$A$105,0)),"¿Código?"))</f>
        <v/>
      </c>
      <c r="E1038" s="42"/>
      <c r="F1038" s="35" t="str">
        <f aca="false">IF($C1038="","",IFERROR(INDEX(PRODUCTOS!$D$6:$D$105,MATCH($C1038,PRODUCTOS!$A$6:$A$105,0)),0))</f>
        <v/>
      </c>
      <c r="G1038" s="40"/>
      <c r="H1038" s="35" t="str">
        <f aca="false">IF($C1038="","",N($E1038)*$F1038-N($G1038))</f>
        <v/>
      </c>
      <c r="I1038" s="35" t="str">
        <f aca="false">IF($C1038="","",$H1038-$H1038/(1+IFERROR(INDEX(PRODUCTOS!$E$6:$E$105,MATCH($C1038,PRODUCTOS!$A$6:$A$105,0)),IVA_VENTAS)))</f>
        <v/>
      </c>
      <c r="J1038" s="35" t="str">
        <f aca="false">IF($C1038="","",$H1038-$I1038)</f>
        <v/>
      </c>
      <c r="K1038" s="35" t="str">
        <f aca="false">IF($C1038="","",N($E1038)*IFERROR(INDEX(PRODUCTOS!$H$6:$H$105,MATCH($C1038,PRODUCTOS!$A$6:$A$105,0)),0))</f>
        <v/>
      </c>
      <c r="L1038" s="35" t="str">
        <f aca="false">IF($C1038="","",$J1038-$K1038)</f>
        <v/>
      </c>
      <c r="M1038" s="6"/>
      <c r="N1038" s="6"/>
      <c r="O1038" s="46" t="str">
        <f aca="false">IF($A1038="","",DATE(YEAR($A1038),MONTH($A1038),1))</f>
        <v/>
      </c>
    </row>
    <row r="1039" customFormat="false" ht="15" hidden="false" customHeight="false" outlineLevel="0" collapsed="false">
      <c r="A1039" s="44"/>
      <c r="B1039" s="6"/>
      <c r="C1039" s="6"/>
      <c r="D1039" s="8" t="str">
        <f aca="false">IF($C1039="","",IFERROR(INDEX(PRODUCTOS!$B$6:$B$105,MATCH($C1039,PRODUCTOS!$A$6:$A$105,0)),"¿Código?"))</f>
        <v/>
      </c>
      <c r="E1039" s="42"/>
      <c r="F1039" s="35" t="str">
        <f aca="false">IF($C1039="","",IFERROR(INDEX(PRODUCTOS!$D$6:$D$105,MATCH($C1039,PRODUCTOS!$A$6:$A$105,0)),0))</f>
        <v/>
      </c>
      <c r="G1039" s="40"/>
      <c r="H1039" s="35" t="str">
        <f aca="false">IF($C1039="","",N($E1039)*$F1039-N($G1039))</f>
        <v/>
      </c>
      <c r="I1039" s="35" t="str">
        <f aca="false">IF($C1039="","",$H1039-$H1039/(1+IFERROR(INDEX(PRODUCTOS!$E$6:$E$105,MATCH($C1039,PRODUCTOS!$A$6:$A$105,0)),IVA_VENTAS)))</f>
        <v/>
      </c>
      <c r="J1039" s="35" t="str">
        <f aca="false">IF($C1039="","",$H1039-$I1039)</f>
        <v/>
      </c>
      <c r="K1039" s="35" t="str">
        <f aca="false">IF($C1039="","",N($E1039)*IFERROR(INDEX(PRODUCTOS!$H$6:$H$105,MATCH($C1039,PRODUCTOS!$A$6:$A$105,0)),0))</f>
        <v/>
      </c>
      <c r="L1039" s="35" t="str">
        <f aca="false">IF($C1039="","",$J1039-$K1039)</f>
        <v/>
      </c>
      <c r="M1039" s="6"/>
      <c r="N1039" s="6"/>
      <c r="O1039" s="46" t="str">
        <f aca="false">IF($A1039="","",DATE(YEAR($A1039),MONTH($A1039),1))</f>
        <v/>
      </c>
    </row>
    <row r="1040" customFormat="false" ht="15" hidden="false" customHeight="false" outlineLevel="0" collapsed="false">
      <c r="A1040" s="44"/>
      <c r="B1040" s="6"/>
      <c r="C1040" s="6"/>
      <c r="D1040" s="8" t="str">
        <f aca="false">IF($C1040="","",IFERROR(INDEX(PRODUCTOS!$B$6:$B$105,MATCH($C1040,PRODUCTOS!$A$6:$A$105,0)),"¿Código?"))</f>
        <v/>
      </c>
      <c r="E1040" s="42"/>
      <c r="F1040" s="35" t="str">
        <f aca="false">IF($C1040="","",IFERROR(INDEX(PRODUCTOS!$D$6:$D$105,MATCH($C1040,PRODUCTOS!$A$6:$A$105,0)),0))</f>
        <v/>
      </c>
      <c r="G1040" s="40"/>
      <c r="H1040" s="35" t="str">
        <f aca="false">IF($C1040="","",N($E1040)*$F1040-N($G1040))</f>
        <v/>
      </c>
      <c r="I1040" s="35" t="str">
        <f aca="false">IF($C1040="","",$H1040-$H1040/(1+IFERROR(INDEX(PRODUCTOS!$E$6:$E$105,MATCH($C1040,PRODUCTOS!$A$6:$A$105,0)),IVA_VENTAS)))</f>
        <v/>
      </c>
      <c r="J1040" s="35" t="str">
        <f aca="false">IF($C1040="","",$H1040-$I1040)</f>
        <v/>
      </c>
      <c r="K1040" s="35" t="str">
        <f aca="false">IF($C1040="","",N($E1040)*IFERROR(INDEX(PRODUCTOS!$H$6:$H$105,MATCH($C1040,PRODUCTOS!$A$6:$A$105,0)),0))</f>
        <v/>
      </c>
      <c r="L1040" s="35" t="str">
        <f aca="false">IF($C1040="","",$J1040-$K1040)</f>
        <v/>
      </c>
      <c r="M1040" s="6"/>
      <c r="N1040" s="6"/>
      <c r="O1040" s="46" t="str">
        <f aca="false">IF($A1040="","",DATE(YEAR($A1040),MONTH($A1040),1))</f>
        <v/>
      </c>
    </row>
    <row r="1041" customFormat="false" ht="15" hidden="false" customHeight="false" outlineLevel="0" collapsed="false">
      <c r="A1041" s="44"/>
      <c r="B1041" s="6"/>
      <c r="C1041" s="6"/>
      <c r="D1041" s="8" t="str">
        <f aca="false">IF($C1041="","",IFERROR(INDEX(PRODUCTOS!$B$6:$B$105,MATCH($C1041,PRODUCTOS!$A$6:$A$105,0)),"¿Código?"))</f>
        <v/>
      </c>
      <c r="E1041" s="42"/>
      <c r="F1041" s="35" t="str">
        <f aca="false">IF($C1041="","",IFERROR(INDEX(PRODUCTOS!$D$6:$D$105,MATCH($C1041,PRODUCTOS!$A$6:$A$105,0)),0))</f>
        <v/>
      </c>
      <c r="G1041" s="40"/>
      <c r="H1041" s="35" t="str">
        <f aca="false">IF($C1041="","",N($E1041)*$F1041-N($G1041))</f>
        <v/>
      </c>
      <c r="I1041" s="35" t="str">
        <f aca="false">IF($C1041="","",$H1041-$H1041/(1+IFERROR(INDEX(PRODUCTOS!$E$6:$E$105,MATCH($C1041,PRODUCTOS!$A$6:$A$105,0)),IVA_VENTAS)))</f>
        <v/>
      </c>
      <c r="J1041" s="35" t="str">
        <f aca="false">IF($C1041="","",$H1041-$I1041)</f>
        <v/>
      </c>
      <c r="K1041" s="35" t="str">
        <f aca="false">IF($C1041="","",N($E1041)*IFERROR(INDEX(PRODUCTOS!$H$6:$H$105,MATCH($C1041,PRODUCTOS!$A$6:$A$105,0)),0))</f>
        <v/>
      </c>
      <c r="L1041" s="35" t="str">
        <f aca="false">IF($C1041="","",$J1041-$K1041)</f>
        <v/>
      </c>
      <c r="M1041" s="6"/>
      <c r="N1041" s="6"/>
      <c r="O1041" s="46" t="str">
        <f aca="false">IF($A1041="","",DATE(YEAR($A1041),MONTH($A1041),1))</f>
        <v/>
      </c>
    </row>
    <row r="1042" customFormat="false" ht="15" hidden="false" customHeight="false" outlineLevel="0" collapsed="false">
      <c r="A1042" s="44"/>
      <c r="B1042" s="6"/>
      <c r="C1042" s="6"/>
      <c r="D1042" s="8" t="str">
        <f aca="false">IF($C1042="","",IFERROR(INDEX(PRODUCTOS!$B$6:$B$105,MATCH($C1042,PRODUCTOS!$A$6:$A$105,0)),"¿Código?"))</f>
        <v/>
      </c>
      <c r="E1042" s="42"/>
      <c r="F1042" s="35" t="str">
        <f aca="false">IF($C1042="","",IFERROR(INDEX(PRODUCTOS!$D$6:$D$105,MATCH($C1042,PRODUCTOS!$A$6:$A$105,0)),0))</f>
        <v/>
      </c>
      <c r="G1042" s="40"/>
      <c r="H1042" s="35" t="str">
        <f aca="false">IF($C1042="","",N($E1042)*$F1042-N($G1042))</f>
        <v/>
      </c>
      <c r="I1042" s="35" t="str">
        <f aca="false">IF($C1042="","",$H1042-$H1042/(1+IFERROR(INDEX(PRODUCTOS!$E$6:$E$105,MATCH($C1042,PRODUCTOS!$A$6:$A$105,0)),IVA_VENTAS)))</f>
        <v/>
      </c>
      <c r="J1042" s="35" t="str">
        <f aca="false">IF($C1042="","",$H1042-$I1042)</f>
        <v/>
      </c>
      <c r="K1042" s="35" t="str">
        <f aca="false">IF($C1042="","",N($E1042)*IFERROR(INDEX(PRODUCTOS!$H$6:$H$105,MATCH($C1042,PRODUCTOS!$A$6:$A$105,0)),0))</f>
        <v/>
      </c>
      <c r="L1042" s="35" t="str">
        <f aca="false">IF($C1042="","",$J1042-$K1042)</f>
        <v/>
      </c>
      <c r="M1042" s="6"/>
      <c r="N1042" s="6"/>
      <c r="O1042" s="46" t="str">
        <f aca="false">IF($A1042="","",DATE(YEAR($A1042),MONTH($A1042),1))</f>
        <v/>
      </c>
    </row>
    <row r="1043" customFormat="false" ht="15" hidden="false" customHeight="false" outlineLevel="0" collapsed="false">
      <c r="A1043" s="44"/>
      <c r="B1043" s="6"/>
      <c r="C1043" s="6"/>
      <c r="D1043" s="8" t="str">
        <f aca="false">IF($C1043="","",IFERROR(INDEX(PRODUCTOS!$B$6:$B$105,MATCH($C1043,PRODUCTOS!$A$6:$A$105,0)),"¿Código?"))</f>
        <v/>
      </c>
      <c r="E1043" s="42"/>
      <c r="F1043" s="35" t="str">
        <f aca="false">IF($C1043="","",IFERROR(INDEX(PRODUCTOS!$D$6:$D$105,MATCH($C1043,PRODUCTOS!$A$6:$A$105,0)),0))</f>
        <v/>
      </c>
      <c r="G1043" s="40"/>
      <c r="H1043" s="35" t="str">
        <f aca="false">IF($C1043="","",N($E1043)*$F1043-N($G1043))</f>
        <v/>
      </c>
      <c r="I1043" s="35" t="str">
        <f aca="false">IF($C1043="","",$H1043-$H1043/(1+IFERROR(INDEX(PRODUCTOS!$E$6:$E$105,MATCH($C1043,PRODUCTOS!$A$6:$A$105,0)),IVA_VENTAS)))</f>
        <v/>
      </c>
      <c r="J1043" s="35" t="str">
        <f aca="false">IF($C1043="","",$H1043-$I1043)</f>
        <v/>
      </c>
      <c r="K1043" s="35" t="str">
        <f aca="false">IF($C1043="","",N($E1043)*IFERROR(INDEX(PRODUCTOS!$H$6:$H$105,MATCH($C1043,PRODUCTOS!$A$6:$A$105,0)),0))</f>
        <v/>
      </c>
      <c r="L1043" s="35" t="str">
        <f aca="false">IF($C1043="","",$J1043-$K1043)</f>
        <v/>
      </c>
      <c r="M1043" s="6"/>
      <c r="N1043" s="6"/>
      <c r="O1043" s="46" t="str">
        <f aca="false">IF($A1043="","",DATE(YEAR($A1043),MONTH($A1043),1))</f>
        <v/>
      </c>
    </row>
    <row r="1044" customFormat="false" ht="15" hidden="false" customHeight="false" outlineLevel="0" collapsed="false">
      <c r="A1044" s="44"/>
      <c r="B1044" s="6"/>
      <c r="C1044" s="6"/>
      <c r="D1044" s="8" t="str">
        <f aca="false">IF($C1044="","",IFERROR(INDEX(PRODUCTOS!$B$6:$B$105,MATCH($C1044,PRODUCTOS!$A$6:$A$105,0)),"¿Código?"))</f>
        <v/>
      </c>
      <c r="E1044" s="42"/>
      <c r="F1044" s="35" t="str">
        <f aca="false">IF($C1044="","",IFERROR(INDEX(PRODUCTOS!$D$6:$D$105,MATCH($C1044,PRODUCTOS!$A$6:$A$105,0)),0))</f>
        <v/>
      </c>
      <c r="G1044" s="40"/>
      <c r="H1044" s="35" t="str">
        <f aca="false">IF($C1044="","",N($E1044)*$F1044-N($G1044))</f>
        <v/>
      </c>
      <c r="I1044" s="35" t="str">
        <f aca="false">IF($C1044="","",$H1044-$H1044/(1+IFERROR(INDEX(PRODUCTOS!$E$6:$E$105,MATCH($C1044,PRODUCTOS!$A$6:$A$105,0)),IVA_VENTAS)))</f>
        <v/>
      </c>
      <c r="J1044" s="35" t="str">
        <f aca="false">IF($C1044="","",$H1044-$I1044)</f>
        <v/>
      </c>
      <c r="K1044" s="35" t="str">
        <f aca="false">IF($C1044="","",N($E1044)*IFERROR(INDEX(PRODUCTOS!$H$6:$H$105,MATCH($C1044,PRODUCTOS!$A$6:$A$105,0)),0))</f>
        <v/>
      </c>
      <c r="L1044" s="35" t="str">
        <f aca="false">IF($C1044="","",$J1044-$K1044)</f>
        <v/>
      </c>
      <c r="M1044" s="6"/>
      <c r="N1044" s="6"/>
      <c r="O1044" s="46" t="str">
        <f aca="false">IF($A1044="","",DATE(YEAR($A1044),MONTH($A1044),1))</f>
        <v/>
      </c>
    </row>
    <row r="1045" customFormat="false" ht="15" hidden="false" customHeight="false" outlineLevel="0" collapsed="false">
      <c r="A1045" s="44"/>
      <c r="B1045" s="6"/>
      <c r="C1045" s="6"/>
      <c r="D1045" s="8" t="str">
        <f aca="false">IF($C1045="","",IFERROR(INDEX(PRODUCTOS!$B$6:$B$105,MATCH($C1045,PRODUCTOS!$A$6:$A$105,0)),"¿Código?"))</f>
        <v/>
      </c>
      <c r="E1045" s="42"/>
      <c r="F1045" s="35" t="str">
        <f aca="false">IF($C1045="","",IFERROR(INDEX(PRODUCTOS!$D$6:$D$105,MATCH($C1045,PRODUCTOS!$A$6:$A$105,0)),0))</f>
        <v/>
      </c>
      <c r="G1045" s="40"/>
      <c r="H1045" s="35" t="str">
        <f aca="false">IF($C1045="","",N($E1045)*$F1045-N($G1045))</f>
        <v/>
      </c>
      <c r="I1045" s="35" t="str">
        <f aca="false">IF($C1045="","",$H1045-$H1045/(1+IFERROR(INDEX(PRODUCTOS!$E$6:$E$105,MATCH($C1045,PRODUCTOS!$A$6:$A$105,0)),IVA_VENTAS)))</f>
        <v/>
      </c>
      <c r="J1045" s="35" t="str">
        <f aca="false">IF($C1045="","",$H1045-$I1045)</f>
        <v/>
      </c>
      <c r="K1045" s="35" t="str">
        <f aca="false">IF($C1045="","",N($E1045)*IFERROR(INDEX(PRODUCTOS!$H$6:$H$105,MATCH($C1045,PRODUCTOS!$A$6:$A$105,0)),0))</f>
        <v/>
      </c>
      <c r="L1045" s="35" t="str">
        <f aca="false">IF($C1045="","",$J1045-$K1045)</f>
        <v/>
      </c>
      <c r="M1045" s="6"/>
      <c r="N1045" s="6"/>
      <c r="O1045" s="46" t="str">
        <f aca="false">IF($A1045="","",DATE(YEAR($A1045),MONTH($A1045),1))</f>
        <v/>
      </c>
    </row>
    <row r="1046" customFormat="false" ht="15" hidden="false" customHeight="false" outlineLevel="0" collapsed="false">
      <c r="A1046" s="44"/>
      <c r="B1046" s="6"/>
      <c r="C1046" s="6"/>
      <c r="D1046" s="8" t="str">
        <f aca="false">IF($C1046="","",IFERROR(INDEX(PRODUCTOS!$B$6:$B$105,MATCH($C1046,PRODUCTOS!$A$6:$A$105,0)),"¿Código?"))</f>
        <v/>
      </c>
      <c r="E1046" s="42"/>
      <c r="F1046" s="35" t="str">
        <f aca="false">IF($C1046="","",IFERROR(INDEX(PRODUCTOS!$D$6:$D$105,MATCH($C1046,PRODUCTOS!$A$6:$A$105,0)),0))</f>
        <v/>
      </c>
      <c r="G1046" s="40"/>
      <c r="H1046" s="35" t="str">
        <f aca="false">IF($C1046="","",N($E1046)*$F1046-N($G1046))</f>
        <v/>
      </c>
      <c r="I1046" s="35" t="str">
        <f aca="false">IF($C1046="","",$H1046-$H1046/(1+IFERROR(INDEX(PRODUCTOS!$E$6:$E$105,MATCH($C1046,PRODUCTOS!$A$6:$A$105,0)),IVA_VENTAS)))</f>
        <v/>
      </c>
      <c r="J1046" s="35" t="str">
        <f aca="false">IF($C1046="","",$H1046-$I1046)</f>
        <v/>
      </c>
      <c r="K1046" s="35" t="str">
        <f aca="false">IF($C1046="","",N($E1046)*IFERROR(INDEX(PRODUCTOS!$H$6:$H$105,MATCH($C1046,PRODUCTOS!$A$6:$A$105,0)),0))</f>
        <v/>
      </c>
      <c r="L1046" s="35" t="str">
        <f aca="false">IF($C1046="","",$J1046-$K1046)</f>
        <v/>
      </c>
      <c r="M1046" s="6"/>
      <c r="N1046" s="6"/>
      <c r="O1046" s="46" t="str">
        <f aca="false">IF($A1046="","",DATE(YEAR($A1046),MONTH($A1046),1))</f>
        <v/>
      </c>
    </row>
    <row r="1047" customFormat="false" ht="15" hidden="false" customHeight="false" outlineLevel="0" collapsed="false">
      <c r="A1047" s="44"/>
      <c r="B1047" s="6"/>
      <c r="C1047" s="6"/>
      <c r="D1047" s="8" t="str">
        <f aca="false">IF($C1047="","",IFERROR(INDEX(PRODUCTOS!$B$6:$B$105,MATCH($C1047,PRODUCTOS!$A$6:$A$105,0)),"¿Código?"))</f>
        <v/>
      </c>
      <c r="E1047" s="42"/>
      <c r="F1047" s="35" t="str">
        <f aca="false">IF($C1047="","",IFERROR(INDEX(PRODUCTOS!$D$6:$D$105,MATCH($C1047,PRODUCTOS!$A$6:$A$105,0)),0))</f>
        <v/>
      </c>
      <c r="G1047" s="40"/>
      <c r="H1047" s="35" t="str">
        <f aca="false">IF($C1047="","",N($E1047)*$F1047-N($G1047))</f>
        <v/>
      </c>
      <c r="I1047" s="35" t="str">
        <f aca="false">IF($C1047="","",$H1047-$H1047/(1+IFERROR(INDEX(PRODUCTOS!$E$6:$E$105,MATCH($C1047,PRODUCTOS!$A$6:$A$105,0)),IVA_VENTAS)))</f>
        <v/>
      </c>
      <c r="J1047" s="35" t="str">
        <f aca="false">IF($C1047="","",$H1047-$I1047)</f>
        <v/>
      </c>
      <c r="K1047" s="35" t="str">
        <f aca="false">IF($C1047="","",N($E1047)*IFERROR(INDEX(PRODUCTOS!$H$6:$H$105,MATCH($C1047,PRODUCTOS!$A$6:$A$105,0)),0))</f>
        <v/>
      </c>
      <c r="L1047" s="35" t="str">
        <f aca="false">IF($C1047="","",$J1047-$K1047)</f>
        <v/>
      </c>
      <c r="M1047" s="6"/>
      <c r="N1047" s="6"/>
      <c r="O1047" s="46" t="str">
        <f aca="false">IF($A1047="","",DATE(YEAR($A1047),MONTH($A1047),1))</f>
        <v/>
      </c>
    </row>
    <row r="1048" customFormat="false" ht="15" hidden="false" customHeight="false" outlineLevel="0" collapsed="false">
      <c r="A1048" s="44"/>
      <c r="B1048" s="6"/>
      <c r="C1048" s="6"/>
      <c r="D1048" s="8" t="str">
        <f aca="false">IF($C1048="","",IFERROR(INDEX(PRODUCTOS!$B$6:$B$105,MATCH($C1048,PRODUCTOS!$A$6:$A$105,0)),"¿Código?"))</f>
        <v/>
      </c>
      <c r="E1048" s="42"/>
      <c r="F1048" s="35" t="str">
        <f aca="false">IF($C1048="","",IFERROR(INDEX(PRODUCTOS!$D$6:$D$105,MATCH($C1048,PRODUCTOS!$A$6:$A$105,0)),0))</f>
        <v/>
      </c>
      <c r="G1048" s="40"/>
      <c r="H1048" s="35" t="str">
        <f aca="false">IF($C1048="","",N($E1048)*$F1048-N($G1048))</f>
        <v/>
      </c>
      <c r="I1048" s="35" t="str">
        <f aca="false">IF($C1048="","",$H1048-$H1048/(1+IFERROR(INDEX(PRODUCTOS!$E$6:$E$105,MATCH($C1048,PRODUCTOS!$A$6:$A$105,0)),IVA_VENTAS)))</f>
        <v/>
      </c>
      <c r="J1048" s="35" t="str">
        <f aca="false">IF($C1048="","",$H1048-$I1048)</f>
        <v/>
      </c>
      <c r="K1048" s="35" t="str">
        <f aca="false">IF($C1048="","",N($E1048)*IFERROR(INDEX(PRODUCTOS!$H$6:$H$105,MATCH($C1048,PRODUCTOS!$A$6:$A$105,0)),0))</f>
        <v/>
      </c>
      <c r="L1048" s="35" t="str">
        <f aca="false">IF($C1048="","",$J1048-$K1048)</f>
        <v/>
      </c>
      <c r="M1048" s="6"/>
      <c r="N1048" s="6"/>
      <c r="O1048" s="46" t="str">
        <f aca="false">IF($A1048="","",DATE(YEAR($A1048),MONTH($A1048),1))</f>
        <v/>
      </c>
    </row>
    <row r="1049" customFormat="false" ht="15" hidden="false" customHeight="false" outlineLevel="0" collapsed="false">
      <c r="A1049" s="44"/>
      <c r="B1049" s="6"/>
      <c r="C1049" s="6"/>
      <c r="D1049" s="8" t="str">
        <f aca="false">IF($C1049="","",IFERROR(INDEX(PRODUCTOS!$B$6:$B$105,MATCH($C1049,PRODUCTOS!$A$6:$A$105,0)),"¿Código?"))</f>
        <v/>
      </c>
      <c r="E1049" s="42"/>
      <c r="F1049" s="35" t="str">
        <f aca="false">IF($C1049="","",IFERROR(INDEX(PRODUCTOS!$D$6:$D$105,MATCH($C1049,PRODUCTOS!$A$6:$A$105,0)),0))</f>
        <v/>
      </c>
      <c r="G1049" s="40"/>
      <c r="H1049" s="35" t="str">
        <f aca="false">IF($C1049="","",N($E1049)*$F1049-N($G1049))</f>
        <v/>
      </c>
      <c r="I1049" s="35" t="str">
        <f aca="false">IF($C1049="","",$H1049-$H1049/(1+IFERROR(INDEX(PRODUCTOS!$E$6:$E$105,MATCH($C1049,PRODUCTOS!$A$6:$A$105,0)),IVA_VENTAS)))</f>
        <v/>
      </c>
      <c r="J1049" s="35" t="str">
        <f aca="false">IF($C1049="","",$H1049-$I1049)</f>
        <v/>
      </c>
      <c r="K1049" s="35" t="str">
        <f aca="false">IF($C1049="","",N($E1049)*IFERROR(INDEX(PRODUCTOS!$H$6:$H$105,MATCH($C1049,PRODUCTOS!$A$6:$A$105,0)),0))</f>
        <v/>
      </c>
      <c r="L1049" s="35" t="str">
        <f aca="false">IF($C1049="","",$J1049-$K1049)</f>
        <v/>
      </c>
      <c r="M1049" s="6"/>
      <c r="N1049" s="6"/>
      <c r="O1049" s="46" t="str">
        <f aca="false">IF($A1049="","",DATE(YEAR($A1049),MONTH($A1049),1))</f>
        <v/>
      </c>
    </row>
    <row r="1050" customFormat="false" ht="15" hidden="false" customHeight="false" outlineLevel="0" collapsed="false">
      <c r="A1050" s="44"/>
      <c r="B1050" s="6"/>
      <c r="C1050" s="6"/>
      <c r="D1050" s="8" t="str">
        <f aca="false">IF($C1050="","",IFERROR(INDEX(PRODUCTOS!$B$6:$B$105,MATCH($C1050,PRODUCTOS!$A$6:$A$105,0)),"¿Código?"))</f>
        <v/>
      </c>
      <c r="E1050" s="42"/>
      <c r="F1050" s="35" t="str">
        <f aca="false">IF($C1050="","",IFERROR(INDEX(PRODUCTOS!$D$6:$D$105,MATCH($C1050,PRODUCTOS!$A$6:$A$105,0)),0))</f>
        <v/>
      </c>
      <c r="G1050" s="40"/>
      <c r="H1050" s="35" t="str">
        <f aca="false">IF($C1050="","",N($E1050)*$F1050-N($G1050))</f>
        <v/>
      </c>
      <c r="I1050" s="35" t="str">
        <f aca="false">IF($C1050="","",$H1050-$H1050/(1+IFERROR(INDEX(PRODUCTOS!$E$6:$E$105,MATCH($C1050,PRODUCTOS!$A$6:$A$105,0)),IVA_VENTAS)))</f>
        <v/>
      </c>
      <c r="J1050" s="35" t="str">
        <f aca="false">IF($C1050="","",$H1050-$I1050)</f>
        <v/>
      </c>
      <c r="K1050" s="35" t="str">
        <f aca="false">IF($C1050="","",N($E1050)*IFERROR(INDEX(PRODUCTOS!$H$6:$H$105,MATCH($C1050,PRODUCTOS!$A$6:$A$105,0)),0))</f>
        <v/>
      </c>
      <c r="L1050" s="35" t="str">
        <f aca="false">IF($C1050="","",$J1050-$K1050)</f>
        <v/>
      </c>
      <c r="M1050" s="6"/>
      <c r="N1050" s="6"/>
      <c r="O1050" s="46" t="str">
        <f aca="false">IF($A1050="","",DATE(YEAR($A1050),MONTH($A1050),1))</f>
        <v/>
      </c>
    </row>
    <row r="1051" customFormat="false" ht="15" hidden="false" customHeight="false" outlineLevel="0" collapsed="false">
      <c r="A1051" s="44"/>
      <c r="B1051" s="6"/>
      <c r="C1051" s="6"/>
      <c r="D1051" s="8" t="str">
        <f aca="false">IF($C1051="","",IFERROR(INDEX(PRODUCTOS!$B$6:$B$105,MATCH($C1051,PRODUCTOS!$A$6:$A$105,0)),"¿Código?"))</f>
        <v/>
      </c>
      <c r="E1051" s="42"/>
      <c r="F1051" s="35" t="str">
        <f aca="false">IF($C1051="","",IFERROR(INDEX(PRODUCTOS!$D$6:$D$105,MATCH($C1051,PRODUCTOS!$A$6:$A$105,0)),0))</f>
        <v/>
      </c>
      <c r="G1051" s="40"/>
      <c r="H1051" s="35" t="str">
        <f aca="false">IF($C1051="","",N($E1051)*$F1051-N($G1051))</f>
        <v/>
      </c>
      <c r="I1051" s="35" t="str">
        <f aca="false">IF($C1051="","",$H1051-$H1051/(1+IFERROR(INDEX(PRODUCTOS!$E$6:$E$105,MATCH($C1051,PRODUCTOS!$A$6:$A$105,0)),IVA_VENTAS)))</f>
        <v/>
      </c>
      <c r="J1051" s="35" t="str">
        <f aca="false">IF($C1051="","",$H1051-$I1051)</f>
        <v/>
      </c>
      <c r="K1051" s="35" t="str">
        <f aca="false">IF($C1051="","",N($E1051)*IFERROR(INDEX(PRODUCTOS!$H$6:$H$105,MATCH($C1051,PRODUCTOS!$A$6:$A$105,0)),0))</f>
        <v/>
      </c>
      <c r="L1051" s="35" t="str">
        <f aca="false">IF($C1051="","",$J1051-$K1051)</f>
        <v/>
      </c>
      <c r="M1051" s="6"/>
      <c r="N1051" s="6"/>
      <c r="O1051" s="46" t="str">
        <f aca="false">IF($A1051="","",DATE(YEAR($A1051),MONTH($A1051),1))</f>
        <v/>
      </c>
    </row>
    <row r="1052" customFormat="false" ht="15" hidden="false" customHeight="false" outlineLevel="0" collapsed="false">
      <c r="A1052" s="44"/>
      <c r="B1052" s="6"/>
      <c r="C1052" s="6"/>
      <c r="D1052" s="8" t="str">
        <f aca="false">IF($C1052="","",IFERROR(INDEX(PRODUCTOS!$B$6:$B$105,MATCH($C1052,PRODUCTOS!$A$6:$A$105,0)),"¿Código?"))</f>
        <v/>
      </c>
      <c r="E1052" s="42"/>
      <c r="F1052" s="35" t="str">
        <f aca="false">IF($C1052="","",IFERROR(INDEX(PRODUCTOS!$D$6:$D$105,MATCH($C1052,PRODUCTOS!$A$6:$A$105,0)),0))</f>
        <v/>
      </c>
      <c r="G1052" s="40"/>
      <c r="H1052" s="35" t="str">
        <f aca="false">IF($C1052="","",N($E1052)*$F1052-N($G1052))</f>
        <v/>
      </c>
      <c r="I1052" s="35" t="str">
        <f aca="false">IF($C1052="","",$H1052-$H1052/(1+IFERROR(INDEX(PRODUCTOS!$E$6:$E$105,MATCH($C1052,PRODUCTOS!$A$6:$A$105,0)),IVA_VENTAS)))</f>
        <v/>
      </c>
      <c r="J1052" s="35" t="str">
        <f aca="false">IF($C1052="","",$H1052-$I1052)</f>
        <v/>
      </c>
      <c r="K1052" s="35" t="str">
        <f aca="false">IF($C1052="","",N($E1052)*IFERROR(INDEX(PRODUCTOS!$H$6:$H$105,MATCH($C1052,PRODUCTOS!$A$6:$A$105,0)),0))</f>
        <v/>
      </c>
      <c r="L1052" s="35" t="str">
        <f aca="false">IF($C1052="","",$J1052-$K1052)</f>
        <v/>
      </c>
      <c r="M1052" s="6"/>
      <c r="N1052" s="6"/>
      <c r="O1052" s="46" t="str">
        <f aca="false">IF($A1052="","",DATE(YEAR($A1052),MONTH($A1052),1))</f>
        <v/>
      </c>
    </row>
    <row r="1053" customFormat="false" ht="15" hidden="false" customHeight="false" outlineLevel="0" collapsed="false">
      <c r="A1053" s="44"/>
      <c r="B1053" s="6"/>
      <c r="C1053" s="6"/>
      <c r="D1053" s="8" t="str">
        <f aca="false">IF($C1053="","",IFERROR(INDEX(PRODUCTOS!$B$6:$B$105,MATCH($C1053,PRODUCTOS!$A$6:$A$105,0)),"¿Código?"))</f>
        <v/>
      </c>
      <c r="E1053" s="42"/>
      <c r="F1053" s="35" t="str">
        <f aca="false">IF($C1053="","",IFERROR(INDEX(PRODUCTOS!$D$6:$D$105,MATCH($C1053,PRODUCTOS!$A$6:$A$105,0)),0))</f>
        <v/>
      </c>
      <c r="G1053" s="40"/>
      <c r="H1053" s="35" t="str">
        <f aca="false">IF($C1053="","",N($E1053)*$F1053-N($G1053))</f>
        <v/>
      </c>
      <c r="I1053" s="35" t="str">
        <f aca="false">IF($C1053="","",$H1053-$H1053/(1+IFERROR(INDEX(PRODUCTOS!$E$6:$E$105,MATCH($C1053,PRODUCTOS!$A$6:$A$105,0)),IVA_VENTAS)))</f>
        <v/>
      </c>
      <c r="J1053" s="35" t="str">
        <f aca="false">IF($C1053="","",$H1053-$I1053)</f>
        <v/>
      </c>
      <c r="K1053" s="35" t="str">
        <f aca="false">IF($C1053="","",N($E1053)*IFERROR(INDEX(PRODUCTOS!$H$6:$H$105,MATCH($C1053,PRODUCTOS!$A$6:$A$105,0)),0))</f>
        <v/>
      </c>
      <c r="L1053" s="35" t="str">
        <f aca="false">IF($C1053="","",$J1053-$K1053)</f>
        <v/>
      </c>
      <c r="M1053" s="6"/>
      <c r="N1053" s="6"/>
      <c r="O1053" s="46" t="str">
        <f aca="false">IF($A1053="","",DATE(YEAR($A1053),MONTH($A1053),1))</f>
        <v/>
      </c>
    </row>
    <row r="1054" customFormat="false" ht="15" hidden="false" customHeight="false" outlineLevel="0" collapsed="false">
      <c r="A1054" s="44"/>
      <c r="B1054" s="6"/>
      <c r="C1054" s="6"/>
      <c r="D1054" s="8" t="str">
        <f aca="false">IF($C1054="","",IFERROR(INDEX(PRODUCTOS!$B$6:$B$105,MATCH($C1054,PRODUCTOS!$A$6:$A$105,0)),"¿Código?"))</f>
        <v/>
      </c>
      <c r="E1054" s="42"/>
      <c r="F1054" s="35" t="str">
        <f aca="false">IF($C1054="","",IFERROR(INDEX(PRODUCTOS!$D$6:$D$105,MATCH($C1054,PRODUCTOS!$A$6:$A$105,0)),0))</f>
        <v/>
      </c>
      <c r="G1054" s="40"/>
      <c r="H1054" s="35" t="str">
        <f aca="false">IF($C1054="","",N($E1054)*$F1054-N($G1054))</f>
        <v/>
      </c>
      <c r="I1054" s="35" t="str">
        <f aca="false">IF($C1054="","",$H1054-$H1054/(1+IFERROR(INDEX(PRODUCTOS!$E$6:$E$105,MATCH($C1054,PRODUCTOS!$A$6:$A$105,0)),IVA_VENTAS)))</f>
        <v/>
      </c>
      <c r="J1054" s="35" t="str">
        <f aca="false">IF($C1054="","",$H1054-$I1054)</f>
        <v/>
      </c>
      <c r="K1054" s="35" t="str">
        <f aca="false">IF($C1054="","",N($E1054)*IFERROR(INDEX(PRODUCTOS!$H$6:$H$105,MATCH($C1054,PRODUCTOS!$A$6:$A$105,0)),0))</f>
        <v/>
      </c>
      <c r="L1054" s="35" t="str">
        <f aca="false">IF($C1054="","",$J1054-$K1054)</f>
        <v/>
      </c>
      <c r="M1054" s="6"/>
      <c r="N1054" s="6"/>
      <c r="O1054" s="46" t="str">
        <f aca="false">IF($A1054="","",DATE(YEAR($A1054),MONTH($A1054),1))</f>
        <v/>
      </c>
    </row>
    <row r="1055" customFormat="false" ht="15" hidden="false" customHeight="false" outlineLevel="0" collapsed="false">
      <c r="A1055" s="44"/>
      <c r="B1055" s="6"/>
      <c r="C1055" s="6"/>
      <c r="D1055" s="8" t="str">
        <f aca="false">IF($C1055="","",IFERROR(INDEX(PRODUCTOS!$B$6:$B$105,MATCH($C1055,PRODUCTOS!$A$6:$A$105,0)),"¿Código?"))</f>
        <v/>
      </c>
      <c r="E1055" s="42"/>
      <c r="F1055" s="35" t="str">
        <f aca="false">IF($C1055="","",IFERROR(INDEX(PRODUCTOS!$D$6:$D$105,MATCH($C1055,PRODUCTOS!$A$6:$A$105,0)),0))</f>
        <v/>
      </c>
      <c r="G1055" s="40"/>
      <c r="H1055" s="35" t="str">
        <f aca="false">IF($C1055="","",N($E1055)*$F1055-N($G1055))</f>
        <v/>
      </c>
      <c r="I1055" s="35" t="str">
        <f aca="false">IF($C1055="","",$H1055-$H1055/(1+IFERROR(INDEX(PRODUCTOS!$E$6:$E$105,MATCH($C1055,PRODUCTOS!$A$6:$A$105,0)),IVA_VENTAS)))</f>
        <v/>
      </c>
      <c r="J1055" s="35" t="str">
        <f aca="false">IF($C1055="","",$H1055-$I1055)</f>
        <v/>
      </c>
      <c r="K1055" s="35" t="str">
        <f aca="false">IF($C1055="","",N($E1055)*IFERROR(INDEX(PRODUCTOS!$H$6:$H$105,MATCH($C1055,PRODUCTOS!$A$6:$A$105,0)),0))</f>
        <v/>
      </c>
      <c r="L1055" s="35" t="str">
        <f aca="false">IF($C1055="","",$J1055-$K1055)</f>
        <v/>
      </c>
      <c r="M1055" s="6"/>
      <c r="N1055" s="6"/>
      <c r="O1055" s="46" t="str">
        <f aca="false">IF($A1055="","",DATE(YEAR($A1055),MONTH($A1055),1))</f>
        <v/>
      </c>
    </row>
    <row r="1056" customFormat="false" ht="15" hidden="false" customHeight="false" outlineLevel="0" collapsed="false">
      <c r="A1056" s="44"/>
      <c r="B1056" s="6"/>
      <c r="C1056" s="6"/>
      <c r="D1056" s="8" t="str">
        <f aca="false">IF($C1056="","",IFERROR(INDEX(PRODUCTOS!$B$6:$B$105,MATCH($C1056,PRODUCTOS!$A$6:$A$105,0)),"¿Código?"))</f>
        <v/>
      </c>
      <c r="E1056" s="42"/>
      <c r="F1056" s="35" t="str">
        <f aca="false">IF($C1056="","",IFERROR(INDEX(PRODUCTOS!$D$6:$D$105,MATCH($C1056,PRODUCTOS!$A$6:$A$105,0)),0))</f>
        <v/>
      </c>
      <c r="G1056" s="40"/>
      <c r="H1056" s="35" t="str">
        <f aca="false">IF($C1056="","",N($E1056)*$F1056-N($G1056))</f>
        <v/>
      </c>
      <c r="I1056" s="35" t="str">
        <f aca="false">IF($C1056="","",$H1056-$H1056/(1+IFERROR(INDEX(PRODUCTOS!$E$6:$E$105,MATCH($C1056,PRODUCTOS!$A$6:$A$105,0)),IVA_VENTAS)))</f>
        <v/>
      </c>
      <c r="J1056" s="35" t="str">
        <f aca="false">IF($C1056="","",$H1056-$I1056)</f>
        <v/>
      </c>
      <c r="K1056" s="35" t="str">
        <f aca="false">IF($C1056="","",N($E1056)*IFERROR(INDEX(PRODUCTOS!$H$6:$H$105,MATCH($C1056,PRODUCTOS!$A$6:$A$105,0)),0))</f>
        <v/>
      </c>
      <c r="L1056" s="35" t="str">
        <f aca="false">IF($C1056="","",$J1056-$K1056)</f>
        <v/>
      </c>
      <c r="M1056" s="6"/>
      <c r="N1056" s="6"/>
      <c r="O1056" s="46" t="str">
        <f aca="false">IF($A1056="","",DATE(YEAR($A1056),MONTH($A1056),1))</f>
        <v/>
      </c>
    </row>
    <row r="1057" customFormat="false" ht="15" hidden="false" customHeight="false" outlineLevel="0" collapsed="false">
      <c r="A1057" s="44"/>
      <c r="B1057" s="6"/>
      <c r="C1057" s="6"/>
      <c r="D1057" s="8" t="str">
        <f aca="false">IF($C1057="","",IFERROR(INDEX(PRODUCTOS!$B$6:$B$105,MATCH($C1057,PRODUCTOS!$A$6:$A$105,0)),"¿Código?"))</f>
        <v/>
      </c>
      <c r="E1057" s="42"/>
      <c r="F1057" s="35" t="str">
        <f aca="false">IF($C1057="","",IFERROR(INDEX(PRODUCTOS!$D$6:$D$105,MATCH($C1057,PRODUCTOS!$A$6:$A$105,0)),0))</f>
        <v/>
      </c>
      <c r="G1057" s="40"/>
      <c r="H1057" s="35" t="str">
        <f aca="false">IF($C1057="","",N($E1057)*$F1057-N($G1057))</f>
        <v/>
      </c>
      <c r="I1057" s="35" t="str">
        <f aca="false">IF($C1057="","",$H1057-$H1057/(1+IFERROR(INDEX(PRODUCTOS!$E$6:$E$105,MATCH($C1057,PRODUCTOS!$A$6:$A$105,0)),IVA_VENTAS)))</f>
        <v/>
      </c>
      <c r="J1057" s="35" t="str">
        <f aca="false">IF($C1057="","",$H1057-$I1057)</f>
        <v/>
      </c>
      <c r="K1057" s="35" t="str">
        <f aca="false">IF($C1057="","",N($E1057)*IFERROR(INDEX(PRODUCTOS!$H$6:$H$105,MATCH($C1057,PRODUCTOS!$A$6:$A$105,0)),0))</f>
        <v/>
      </c>
      <c r="L1057" s="35" t="str">
        <f aca="false">IF($C1057="","",$J1057-$K1057)</f>
        <v/>
      </c>
      <c r="M1057" s="6"/>
      <c r="N1057" s="6"/>
      <c r="O1057" s="46" t="str">
        <f aca="false">IF($A1057="","",DATE(YEAR($A1057),MONTH($A1057),1))</f>
        <v/>
      </c>
    </row>
    <row r="1058" customFormat="false" ht="15" hidden="false" customHeight="false" outlineLevel="0" collapsed="false">
      <c r="A1058" s="44"/>
      <c r="B1058" s="6"/>
      <c r="C1058" s="6"/>
      <c r="D1058" s="8" t="str">
        <f aca="false">IF($C1058="","",IFERROR(INDEX(PRODUCTOS!$B$6:$B$105,MATCH($C1058,PRODUCTOS!$A$6:$A$105,0)),"¿Código?"))</f>
        <v/>
      </c>
      <c r="E1058" s="42"/>
      <c r="F1058" s="35" t="str">
        <f aca="false">IF($C1058="","",IFERROR(INDEX(PRODUCTOS!$D$6:$D$105,MATCH($C1058,PRODUCTOS!$A$6:$A$105,0)),0))</f>
        <v/>
      </c>
      <c r="G1058" s="40"/>
      <c r="H1058" s="35" t="str">
        <f aca="false">IF($C1058="","",N($E1058)*$F1058-N($G1058))</f>
        <v/>
      </c>
      <c r="I1058" s="35" t="str">
        <f aca="false">IF($C1058="","",$H1058-$H1058/(1+IFERROR(INDEX(PRODUCTOS!$E$6:$E$105,MATCH($C1058,PRODUCTOS!$A$6:$A$105,0)),IVA_VENTAS)))</f>
        <v/>
      </c>
      <c r="J1058" s="35" t="str">
        <f aca="false">IF($C1058="","",$H1058-$I1058)</f>
        <v/>
      </c>
      <c r="K1058" s="35" t="str">
        <f aca="false">IF($C1058="","",N($E1058)*IFERROR(INDEX(PRODUCTOS!$H$6:$H$105,MATCH($C1058,PRODUCTOS!$A$6:$A$105,0)),0))</f>
        <v/>
      </c>
      <c r="L1058" s="35" t="str">
        <f aca="false">IF($C1058="","",$J1058-$K1058)</f>
        <v/>
      </c>
      <c r="M1058" s="6"/>
      <c r="N1058" s="6"/>
      <c r="O1058" s="46" t="str">
        <f aca="false">IF($A1058="","",DATE(YEAR($A1058),MONTH($A1058),1))</f>
        <v/>
      </c>
    </row>
    <row r="1059" customFormat="false" ht="15" hidden="false" customHeight="false" outlineLevel="0" collapsed="false">
      <c r="A1059" s="44"/>
      <c r="B1059" s="6"/>
      <c r="C1059" s="6"/>
      <c r="D1059" s="8" t="str">
        <f aca="false">IF($C1059="","",IFERROR(INDEX(PRODUCTOS!$B$6:$B$105,MATCH($C1059,PRODUCTOS!$A$6:$A$105,0)),"¿Código?"))</f>
        <v/>
      </c>
      <c r="E1059" s="42"/>
      <c r="F1059" s="35" t="str">
        <f aca="false">IF($C1059="","",IFERROR(INDEX(PRODUCTOS!$D$6:$D$105,MATCH($C1059,PRODUCTOS!$A$6:$A$105,0)),0))</f>
        <v/>
      </c>
      <c r="G1059" s="40"/>
      <c r="H1059" s="35" t="str">
        <f aca="false">IF($C1059="","",N($E1059)*$F1059-N($G1059))</f>
        <v/>
      </c>
      <c r="I1059" s="35" t="str">
        <f aca="false">IF($C1059="","",$H1059-$H1059/(1+IFERROR(INDEX(PRODUCTOS!$E$6:$E$105,MATCH($C1059,PRODUCTOS!$A$6:$A$105,0)),IVA_VENTAS)))</f>
        <v/>
      </c>
      <c r="J1059" s="35" t="str">
        <f aca="false">IF($C1059="","",$H1059-$I1059)</f>
        <v/>
      </c>
      <c r="K1059" s="35" t="str">
        <f aca="false">IF($C1059="","",N($E1059)*IFERROR(INDEX(PRODUCTOS!$H$6:$H$105,MATCH($C1059,PRODUCTOS!$A$6:$A$105,0)),0))</f>
        <v/>
      </c>
      <c r="L1059" s="35" t="str">
        <f aca="false">IF($C1059="","",$J1059-$K1059)</f>
        <v/>
      </c>
      <c r="M1059" s="6"/>
      <c r="N1059" s="6"/>
      <c r="O1059" s="46" t="str">
        <f aca="false">IF($A1059="","",DATE(YEAR($A1059),MONTH($A1059),1))</f>
        <v/>
      </c>
    </row>
    <row r="1060" customFormat="false" ht="15" hidden="false" customHeight="false" outlineLevel="0" collapsed="false">
      <c r="A1060" s="44"/>
      <c r="B1060" s="6"/>
      <c r="C1060" s="6"/>
      <c r="D1060" s="8" t="str">
        <f aca="false">IF($C1060="","",IFERROR(INDEX(PRODUCTOS!$B$6:$B$105,MATCH($C1060,PRODUCTOS!$A$6:$A$105,0)),"¿Código?"))</f>
        <v/>
      </c>
      <c r="E1060" s="42"/>
      <c r="F1060" s="35" t="str">
        <f aca="false">IF($C1060="","",IFERROR(INDEX(PRODUCTOS!$D$6:$D$105,MATCH($C1060,PRODUCTOS!$A$6:$A$105,0)),0))</f>
        <v/>
      </c>
      <c r="G1060" s="40"/>
      <c r="H1060" s="35" t="str">
        <f aca="false">IF($C1060="","",N($E1060)*$F1060-N($G1060))</f>
        <v/>
      </c>
      <c r="I1060" s="35" t="str">
        <f aca="false">IF($C1060="","",$H1060-$H1060/(1+IFERROR(INDEX(PRODUCTOS!$E$6:$E$105,MATCH($C1060,PRODUCTOS!$A$6:$A$105,0)),IVA_VENTAS)))</f>
        <v/>
      </c>
      <c r="J1060" s="35" t="str">
        <f aca="false">IF($C1060="","",$H1060-$I1060)</f>
        <v/>
      </c>
      <c r="K1060" s="35" t="str">
        <f aca="false">IF($C1060="","",N($E1060)*IFERROR(INDEX(PRODUCTOS!$H$6:$H$105,MATCH($C1060,PRODUCTOS!$A$6:$A$105,0)),0))</f>
        <v/>
      </c>
      <c r="L1060" s="35" t="str">
        <f aca="false">IF($C1060="","",$J1060-$K1060)</f>
        <v/>
      </c>
      <c r="M1060" s="6"/>
      <c r="N1060" s="6"/>
      <c r="O1060" s="46" t="str">
        <f aca="false">IF($A1060="","",DATE(YEAR($A1060),MONTH($A1060),1))</f>
        <v/>
      </c>
    </row>
    <row r="1061" customFormat="false" ht="15" hidden="false" customHeight="false" outlineLevel="0" collapsed="false">
      <c r="A1061" s="44"/>
      <c r="B1061" s="6"/>
      <c r="C1061" s="6"/>
      <c r="D1061" s="8" t="str">
        <f aca="false">IF($C1061="","",IFERROR(INDEX(PRODUCTOS!$B$6:$B$105,MATCH($C1061,PRODUCTOS!$A$6:$A$105,0)),"¿Código?"))</f>
        <v/>
      </c>
      <c r="E1061" s="42"/>
      <c r="F1061" s="35" t="str">
        <f aca="false">IF($C1061="","",IFERROR(INDEX(PRODUCTOS!$D$6:$D$105,MATCH($C1061,PRODUCTOS!$A$6:$A$105,0)),0))</f>
        <v/>
      </c>
      <c r="G1061" s="40"/>
      <c r="H1061" s="35" t="str">
        <f aca="false">IF($C1061="","",N($E1061)*$F1061-N($G1061))</f>
        <v/>
      </c>
      <c r="I1061" s="35" t="str">
        <f aca="false">IF($C1061="","",$H1061-$H1061/(1+IFERROR(INDEX(PRODUCTOS!$E$6:$E$105,MATCH($C1061,PRODUCTOS!$A$6:$A$105,0)),IVA_VENTAS)))</f>
        <v/>
      </c>
      <c r="J1061" s="35" t="str">
        <f aca="false">IF($C1061="","",$H1061-$I1061)</f>
        <v/>
      </c>
      <c r="K1061" s="35" t="str">
        <f aca="false">IF($C1061="","",N($E1061)*IFERROR(INDEX(PRODUCTOS!$H$6:$H$105,MATCH($C1061,PRODUCTOS!$A$6:$A$105,0)),0))</f>
        <v/>
      </c>
      <c r="L1061" s="35" t="str">
        <f aca="false">IF($C1061="","",$J1061-$K1061)</f>
        <v/>
      </c>
      <c r="M1061" s="6"/>
      <c r="N1061" s="6"/>
      <c r="O1061" s="46" t="str">
        <f aca="false">IF($A1061="","",DATE(YEAR($A1061),MONTH($A1061),1))</f>
        <v/>
      </c>
    </row>
    <row r="1062" customFormat="false" ht="15" hidden="false" customHeight="false" outlineLevel="0" collapsed="false">
      <c r="A1062" s="44"/>
      <c r="B1062" s="6"/>
      <c r="C1062" s="6"/>
      <c r="D1062" s="8" t="str">
        <f aca="false">IF($C1062="","",IFERROR(INDEX(PRODUCTOS!$B$6:$B$105,MATCH($C1062,PRODUCTOS!$A$6:$A$105,0)),"¿Código?"))</f>
        <v/>
      </c>
      <c r="E1062" s="42"/>
      <c r="F1062" s="35" t="str">
        <f aca="false">IF($C1062="","",IFERROR(INDEX(PRODUCTOS!$D$6:$D$105,MATCH($C1062,PRODUCTOS!$A$6:$A$105,0)),0))</f>
        <v/>
      </c>
      <c r="G1062" s="40"/>
      <c r="H1062" s="35" t="str">
        <f aca="false">IF($C1062="","",N($E1062)*$F1062-N($G1062))</f>
        <v/>
      </c>
      <c r="I1062" s="35" t="str">
        <f aca="false">IF($C1062="","",$H1062-$H1062/(1+IFERROR(INDEX(PRODUCTOS!$E$6:$E$105,MATCH($C1062,PRODUCTOS!$A$6:$A$105,0)),IVA_VENTAS)))</f>
        <v/>
      </c>
      <c r="J1062" s="35" t="str">
        <f aca="false">IF($C1062="","",$H1062-$I1062)</f>
        <v/>
      </c>
      <c r="K1062" s="35" t="str">
        <f aca="false">IF($C1062="","",N($E1062)*IFERROR(INDEX(PRODUCTOS!$H$6:$H$105,MATCH($C1062,PRODUCTOS!$A$6:$A$105,0)),0))</f>
        <v/>
      </c>
      <c r="L1062" s="35" t="str">
        <f aca="false">IF($C1062="","",$J1062-$K1062)</f>
        <v/>
      </c>
      <c r="M1062" s="6"/>
      <c r="N1062" s="6"/>
      <c r="O1062" s="46" t="str">
        <f aca="false">IF($A1062="","",DATE(YEAR($A1062),MONTH($A1062),1))</f>
        <v/>
      </c>
    </row>
    <row r="1063" customFormat="false" ht="15" hidden="false" customHeight="false" outlineLevel="0" collapsed="false">
      <c r="A1063" s="44"/>
      <c r="B1063" s="6"/>
      <c r="C1063" s="6"/>
      <c r="D1063" s="8" t="str">
        <f aca="false">IF($C1063="","",IFERROR(INDEX(PRODUCTOS!$B$6:$B$105,MATCH($C1063,PRODUCTOS!$A$6:$A$105,0)),"¿Código?"))</f>
        <v/>
      </c>
      <c r="E1063" s="42"/>
      <c r="F1063" s="35" t="str">
        <f aca="false">IF($C1063="","",IFERROR(INDEX(PRODUCTOS!$D$6:$D$105,MATCH($C1063,PRODUCTOS!$A$6:$A$105,0)),0))</f>
        <v/>
      </c>
      <c r="G1063" s="40"/>
      <c r="H1063" s="35" t="str">
        <f aca="false">IF($C1063="","",N($E1063)*$F1063-N($G1063))</f>
        <v/>
      </c>
      <c r="I1063" s="35" t="str">
        <f aca="false">IF($C1063="","",$H1063-$H1063/(1+IFERROR(INDEX(PRODUCTOS!$E$6:$E$105,MATCH($C1063,PRODUCTOS!$A$6:$A$105,0)),IVA_VENTAS)))</f>
        <v/>
      </c>
      <c r="J1063" s="35" t="str">
        <f aca="false">IF($C1063="","",$H1063-$I1063)</f>
        <v/>
      </c>
      <c r="K1063" s="35" t="str">
        <f aca="false">IF($C1063="","",N($E1063)*IFERROR(INDEX(PRODUCTOS!$H$6:$H$105,MATCH($C1063,PRODUCTOS!$A$6:$A$105,0)),0))</f>
        <v/>
      </c>
      <c r="L1063" s="35" t="str">
        <f aca="false">IF($C1063="","",$J1063-$K1063)</f>
        <v/>
      </c>
      <c r="M1063" s="6"/>
      <c r="N1063" s="6"/>
      <c r="O1063" s="46" t="str">
        <f aca="false">IF($A1063="","",DATE(YEAR($A1063),MONTH($A1063),1))</f>
        <v/>
      </c>
    </row>
    <row r="1064" customFormat="false" ht="15" hidden="false" customHeight="false" outlineLevel="0" collapsed="false">
      <c r="A1064" s="44"/>
      <c r="B1064" s="6"/>
      <c r="C1064" s="6"/>
      <c r="D1064" s="8" t="str">
        <f aca="false">IF($C1064="","",IFERROR(INDEX(PRODUCTOS!$B$6:$B$105,MATCH($C1064,PRODUCTOS!$A$6:$A$105,0)),"¿Código?"))</f>
        <v/>
      </c>
      <c r="E1064" s="42"/>
      <c r="F1064" s="35" t="str">
        <f aca="false">IF($C1064="","",IFERROR(INDEX(PRODUCTOS!$D$6:$D$105,MATCH($C1064,PRODUCTOS!$A$6:$A$105,0)),0))</f>
        <v/>
      </c>
      <c r="G1064" s="40"/>
      <c r="H1064" s="35" t="str">
        <f aca="false">IF($C1064="","",N($E1064)*$F1064-N($G1064))</f>
        <v/>
      </c>
      <c r="I1064" s="35" t="str">
        <f aca="false">IF($C1064="","",$H1064-$H1064/(1+IFERROR(INDEX(PRODUCTOS!$E$6:$E$105,MATCH($C1064,PRODUCTOS!$A$6:$A$105,0)),IVA_VENTAS)))</f>
        <v/>
      </c>
      <c r="J1064" s="35" t="str">
        <f aca="false">IF($C1064="","",$H1064-$I1064)</f>
        <v/>
      </c>
      <c r="K1064" s="35" t="str">
        <f aca="false">IF($C1064="","",N($E1064)*IFERROR(INDEX(PRODUCTOS!$H$6:$H$105,MATCH($C1064,PRODUCTOS!$A$6:$A$105,0)),0))</f>
        <v/>
      </c>
      <c r="L1064" s="35" t="str">
        <f aca="false">IF($C1064="","",$J1064-$K1064)</f>
        <v/>
      </c>
      <c r="M1064" s="6"/>
      <c r="N1064" s="6"/>
      <c r="O1064" s="46" t="str">
        <f aca="false">IF($A1064="","",DATE(YEAR($A1064),MONTH($A1064),1))</f>
        <v/>
      </c>
    </row>
    <row r="1065" customFormat="false" ht="15" hidden="false" customHeight="false" outlineLevel="0" collapsed="false">
      <c r="A1065" s="44"/>
      <c r="B1065" s="6"/>
      <c r="C1065" s="6"/>
      <c r="D1065" s="8" t="str">
        <f aca="false">IF($C1065="","",IFERROR(INDEX(PRODUCTOS!$B$6:$B$105,MATCH($C1065,PRODUCTOS!$A$6:$A$105,0)),"¿Código?"))</f>
        <v/>
      </c>
      <c r="E1065" s="42"/>
      <c r="F1065" s="35" t="str">
        <f aca="false">IF($C1065="","",IFERROR(INDEX(PRODUCTOS!$D$6:$D$105,MATCH($C1065,PRODUCTOS!$A$6:$A$105,0)),0))</f>
        <v/>
      </c>
      <c r="G1065" s="40"/>
      <c r="H1065" s="35" t="str">
        <f aca="false">IF($C1065="","",N($E1065)*$F1065-N($G1065))</f>
        <v/>
      </c>
      <c r="I1065" s="35" t="str">
        <f aca="false">IF($C1065="","",$H1065-$H1065/(1+IFERROR(INDEX(PRODUCTOS!$E$6:$E$105,MATCH($C1065,PRODUCTOS!$A$6:$A$105,0)),IVA_VENTAS)))</f>
        <v/>
      </c>
      <c r="J1065" s="35" t="str">
        <f aca="false">IF($C1065="","",$H1065-$I1065)</f>
        <v/>
      </c>
      <c r="K1065" s="35" t="str">
        <f aca="false">IF($C1065="","",N($E1065)*IFERROR(INDEX(PRODUCTOS!$H$6:$H$105,MATCH($C1065,PRODUCTOS!$A$6:$A$105,0)),0))</f>
        <v/>
      </c>
      <c r="L1065" s="35" t="str">
        <f aca="false">IF($C1065="","",$J1065-$K1065)</f>
        <v/>
      </c>
      <c r="M1065" s="6"/>
      <c r="N1065" s="6"/>
      <c r="O1065" s="46" t="str">
        <f aca="false">IF($A1065="","",DATE(YEAR($A1065),MONTH($A1065),1))</f>
        <v/>
      </c>
    </row>
    <row r="1066" customFormat="false" ht="15" hidden="false" customHeight="false" outlineLevel="0" collapsed="false">
      <c r="A1066" s="44"/>
      <c r="B1066" s="6"/>
      <c r="C1066" s="6"/>
      <c r="D1066" s="8" t="str">
        <f aca="false">IF($C1066="","",IFERROR(INDEX(PRODUCTOS!$B$6:$B$105,MATCH($C1066,PRODUCTOS!$A$6:$A$105,0)),"¿Código?"))</f>
        <v/>
      </c>
      <c r="E1066" s="42"/>
      <c r="F1066" s="35" t="str">
        <f aca="false">IF($C1066="","",IFERROR(INDEX(PRODUCTOS!$D$6:$D$105,MATCH($C1066,PRODUCTOS!$A$6:$A$105,0)),0))</f>
        <v/>
      </c>
      <c r="G1066" s="40"/>
      <c r="H1066" s="35" t="str">
        <f aca="false">IF($C1066="","",N($E1066)*$F1066-N($G1066))</f>
        <v/>
      </c>
      <c r="I1066" s="35" t="str">
        <f aca="false">IF($C1066="","",$H1066-$H1066/(1+IFERROR(INDEX(PRODUCTOS!$E$6:$E$105,MATCH($C1066,PRODUCTOS!$A$6:$A$105,0)),IVA_VENTAS)))</f>
        <v/>
      </c>
      <c r="J1066" s="35" t="str">
        <f aca="false">IF($C1066="","",$H1066-$I1066)</f>
        <v/>
      </c>
      <c r="K1066" s="35" t="str">
        <f aca="false">IF($C1066="","",N($E1066)*IFERROR(INDEX(PRODUCTOS!$H$6:$H$105,MATCH($C1066,PRODUCTOS!$A$6:$A$105,0)),0))</f>
        <v/>
      </c>
      <c r="L1066" s="35" t="str">
        <f aca="false">IF($C1066="","",$J1066-$K1066)</f>
        <v/>
      </c>
      <c r="M1066" s="6"/>
      <c r="N1066" s="6"/>
      <c r="O1066" s="46" t="str">
        <f aca="false">IF($A1066="","",DATE(YEAR($A1066),MONTH($A1066),1))</f>
        <v/>
      </c>
    </row>
    <row r="1067" customFormat="false" ht="15" hidden="false" customHeight="false" outlineLevel="0" collapsed="false">
      <c r="A1067" s="44"/>
      <c r="B1067" s="6"/>
      <c r="C1067" s="6"/>
      <c r="D1067" s="8" t="str">
        <f aca="false">IF($C1067="","",IFERROR(INDEX(PRODUCTOS!$B$6:$B$105,MATCH($C1067,PRODUCTOS!$A$6:$A$105,0)),"¿Código?"))</f>
        <v/>
      </c>
      <c r="E1067" s="42"/>
      <c r="F1067" s="35" t="str">
        <f aca="false">IF($C1067="","",IFERROR(INDEX(PRODUCTOS!$D$6:$D$105,MATCH($C1067,PRODUCTOS!$A$6:$A$105,0)),0))</f>
        <v/>
      </c>
      <c r="G1067" s="40"/>
      <c r="H1067" s="35" t="str">
        <f aca="false">IF($C1067="","",N($E1067)*$F1067-N($G1067))</f>
        <v/>
      </c>
      <c r="I1067" s="35" t="str">
        <f aca="false">IF($C1067="","",$H1067-$H1067/(1+IFERROR(INDEX(PRODUCTOS!$E$6:$E$105,MATCH($C1067,PRODUCTOS!$A$6:$A$105,0)),IVA_VENTAS)))</f>
        <v/>
      </c>
      <c r="J1067" s="35" t="str">
        <f aca="false">IF($C1067="","",$H1067-$I1067)</f>
        <v/>
      </c>
      <c r="K1067" s="35" t="str">
        <f aca="false">IF($C1067="","",N($E1067)*IFERROR(INDEX(PRODUCTOS!$H$6:$H$105,MATCH($C1067,PRODUCTOS!$A$6:$A$105,0)),0))</f>
        <v/>
      </c>
      <c r="L1067" s="35" t="str">
        <f aca="false">IF($C1067="","",$J1067-$K1067)</f>
        <v/>
      </c>
      <c r="M1067" s="6"/>
      <c r="N1067" s="6"/>
      <c r="O1067" s="46" t="str">
        <f aca="false">IF($A1067="","",DATE(YEAR($A1067),MONTH($A1067),1))</f>
        <v/>
      </c>
    </row>
    <row r="1068" customFormat="false" ht="15" hidden="false" customHeight="false" outlineLevel="0" collapsed="false">
      <c r="A1068" s="44"/>
      <c r="B1068" s="6"/>
      <c r="C1068" s="6"/>
      <c r="D1068" s="8" t="str">
        <f aca="false">IF($C1068="","",IFERROR(INDEX(PRODUCTOS!$B$6:$B$105,MATCH($C1068,PRODUCTOS!$A$6:$A$105,0)),"¿Código?"))</f>
        <v/>
      </c>
      <c r="E1068" s="42"/>
      <c r="F1068" s="35" t="str">
        <f aca="false">IF($C1068="","",IFERROR(INDEX(PRODUCTOS!$D$6:$D$105,MATCH($C1068,PRODUCTOS!$A$6:$A$105,0)),0))</f>
        <v/>
      </c>
      <c r="G1068" s="40"/>
      <c r="H1068" s="35" t="str">
        <f aca="false">IF($C1068="","",N($E1068)*$F1068-N($G1068))</f>
        <v/>
      </c>
      <c r="I1068" s="35" t="str">
        <f aca="false">IF($C1068="","",$H1068-$H1068/(1+IFERROR(INDEX(PRODUCTOS!$E$6:$E$105,MATCH($C1068,PRODUCTOS!$A$6:$A$105,0)),IVA_VENTAS)))</f>
        <v/>
      </c>
      <c r="J1068" s="35" t="str">
        <f aca="false">IF($C1068="","",$H1068-$I1068)</f>
        <v/>
      </c>
      <c r="K1068" s="35" t="str">
        <f aca="false">IF($C1068="","",N($E1068)*IFERROR(INDEX(PRODUCTOS!$H$6:$H$105,MATCH($C1068,PRODUCTOS!$A$6:$A$105,0)),0))</f>
        <v/>
      </c>
      <c r="L1068" s="35" t="str">
        <f aca="false">IF($C1068="","",$J1068-$K1068)</f>
        <v/>
      </c>
      <c r="M1068" s="6"/>
      <c r="N1068" s="6"/>
      <c r="O1068" s="46" t="str">
        <f aca="false">IF($A1068="","",DATE(YEAR($A1068),MONTH($A1068),1))</f>
        <v/>
      </c>
    </row>
    <row r="1069" customFormat="false" ht="15" hidden="false" customHeight="false" outlineLevel="0" collapsed="false">
      <c r="A1069" s="44"/>
      <c r="B1069" s="6"/>
      <c r="C1069" s="6"/>
      <c r="D1069" s="8" t="str">
        <f aca="false">IF($C1069="","",IFERROR(INDEX(PRODUCTOS!$B$6:$B$105,MATCH($C1069,PRODUCTOS!$A$6:$A$105,0)),"¿Código?"))</f>
        <v/>
      </c>
      <c r="E1069" s="42"/>
      <c r="F1069" s="35" t="str">
        <f aca="false">IF($C1069="","",IFERROR(INDEX(PRODUCTOS!$D$6:$D$105,MATCH($C1069,PRODUCTOS!$A$6:$A$105,0)),0))</f>
        <v/>
      </c>
      <c r="G1069" s="40"/>
      <c r="H1069" s="35" t="str">
        <f aca="false">IF($C1069="","",N($E1069)*$F1069-N($G1069))</f>
        <v/>
      </c>
      <c r="I1069" s="35" t="str">
        <f aca="false">IF($C1069="","",$H1069-$H1069/(1+IFERROR(INDEX(PRODUCTOS!$E$6:$E$105,MATCH($C1069,PRODUCTOS!$A$6:$A$105,0)),IVA_VENTAS)))</f>
        <v/>
      </c>
      <c r="J1069" s="35" t="str">
        <f aca="false">IF($C1069="","",$H1069-$I1069)</f>
        <v/>
      </c>
      <c r="K1069" s="35" t="str">
        <f aca="false">IF($C1069="","",N($E1069)*IFERROR(INDEX(PRODUCTOS!$H$6:$H$105,MATCH($C1069,PRODUCTOS!$A$6:$A$105,0)),0))</f>
        <v/>
      </c>
      <c r="L1069" s="35" t="str">
        <f aca="false">IF($C1069="","",$J1069-$K1069)</f>
        <v/>
      </c>
      <c r="M1069" s="6"/>
      <c r="N1069" s="6"/>
      <c r="O1069" s="46" t="str">
        <f aca="false">IF($A1069="","",DATE(YEAR($A1069),MONTH($A1069),1))</f>
        <v/>
      </c>
    </row>
    <row r="1070" customFormat="false" ht="15" hidden="false" customHeight="false" outlineLevel="0" collapsed="false">
      <c r="A1070" s="44"/>
      <c r="B1070" s="6"/>
      <c r="C1070" s="6"/>
      <c r="D1070" s="8" t="str">
        <f aca="false">IF($C1070="","",IFERROR(INDEX(PRODUCTOS!$B$6:$B$105,MATCH($C1070,PRODUCTOS!$A$6:$A$105,0)),"¿Código?"))</f>
        <v/>
      </c>
      <c r="E1070" s="42"/>
      <c r="F1070" s="35" t="str">
        <f aca="false">IF($C1070="","",IFERROR(INDEX(PRODUCTOS!$D$6:$D$105,MATCH($C1070,PRODUCTOS!$A$6:$A$105,0)),0))</f>
        <v/>
      </c>
      <c r="G1070" s="40"/>
      <c r="H1070" s="35" t="str">
        <f aca="false">IF($C1070="","",N($E1070)*$F1070-N($G1070))</f>
        <v/>
      </c>
      <c r="I1070" s="35" t="str">
        <f aca="false">IF($C1070="","",$H1070-$H1070/(1+IFERROR(INDEX(PRODUCTOS!$E$6:$E$105,MATCH($C1070,PRODUCTOS!$A$6:$A$105,0)),IVA_VENTAS)))</f>
        <v/>
      </c>
      <c r="J1070" s="35" t="str">
        <f aca="false">IF($C1070="","",$H1070-$I1070)</f>
        <v/>
      </c>
      <c r="K1070" s="35" t="str">
        <f aca="false">IF($C1070="","",N($E1070)*IFERROR(INDEX(PRODUCTOS!$H$6:$H$105,MATCH($C1070,PRODUCTOS!$A$6:$A$105,0)),0))</f>
        <v/>
      </c>
      <c r="L1070" s="35" t="str">
        <f aca="false">IF($C1070="","",$J1070-$K1070)</f>
        <v/>
      </c>
      <c r="M1070" s="6"/>
      <c r="N1070" s="6"/>
      <c r="O1070" s="46" t="str">
        <f aca="false">IF($A1070="","",DATE(YEAR($A1070),MONTH($A1070),1))</f>
        <v/>
      </c>
    </row>
    <row r="1071" customFormat="false" ht="15" hidden="false" customHeight="false" outlineLevel="0" collapsed="false">
      <c r="A1071" s="44"/>
      <c r="B1071" s="6"/>
      <c r="C1071" s="6"/>
      <c r="D1071" s="8" t="str">
        <f aca="false">IF($C1071="","",IFERROR(INDEX(PRODUCTOS!$B$6:$B$105,MATCH($C1071,PRODUCTOS!$A$6:$A$105,0)),"¿Código?"))</f>
        <v/>
      </c>
      <c r="E1071" s="42"/>
      <c r="F1071" s="35" t="str">
        <f aca="false">IF($C1071="","",IFERROR(INDEX(PRODUCTOS!$D$6:$D$105,MATCH($C1071,PRODUCTOS!$A$6:$A$105,0)),0))</f>
        <v/>
      </c>
      <c r="G1071" s="40"/>
      <c r="H1071" s="35" t="str">
        <f aca="false">IF($C1071="","",N($E1071)*$F1071-N($G1071))</f>
        <v/>
      </c>
      <c r="I1071" s="35" t="str">
        <f aca="false">IF($C1071="","",$H1071-$H1071/(1+IFERROR(INDEX(PRODUCTOS!$E$6:$E$105,MATCH($C1071,PRODUCTOS!$A$6:$A$105,0)),IVA_VENTAS)))</f>
        <v/>
      </c>
      <c r="J1071" s="35" t="str">
        <f aca="false">IF($C1071="","",$H1071-$I1071)</f>
        <v/>
      </c>
      <c r="K1071" s="35" t="str">
        <f aca="false">IF($C1071="","",N($E1071)*IFERROR(INDEX(PRODUCTOS!$H$6:$H$105,MATCH($C1071,PRODUCTOS!$A$6:$A$105,0)),0))</f>
        <v/>
      </c>
      <c r="L1071" s="35" t="str">
        <f aca="false">IF($C1071="","",$J1071-$K1071)</f>
        <v/>
      </c>
      <c r="M1071" s="6"/>
      <c r="N1071" s="6"/>
      <c r="O1071" s="46" t="str">
        <f aca="false">IF($A1071="","",DATE(YEAR($A1071),MONTH($A1071),1))</f>
        <v/>
      </c>
    </row>
    <row r="1072" customFormat="false" ht="15" hidden="false" customHeight="false" outlineLevel="0" collapsed="false">
      <c r="A1072" s="44"/>
      <c r="B1072" s="6"/>
      <c r="C1072" s="6"/>
      <c r="D1072" s="8" t="str">
        <f aca="false">IF($C1072="","",IFERROR(INDEX(PRODUCTOS!$B$6:$B$105,MATCH($C1072,PRODUCTOS!$A$6:$A$105,0)),"¿Código?"))</f>
        <v/>
      </c>
      <c r="E1072" s="42"/>
      <c r="F1072" s="35" t="str">
        <f aca="false">IF($C1072="","",IFERROR(INDEX(PRODUCTOS!$D$6:$D$105,MATCH($C1072,PRODUCTOS!$A$6:$A$105,0)),0))</f>
        <v/>
      </c>
      <c r="G1072" s="40"/>
      <c r="H1072" s="35" t="str">
        <f aca="false">IF($C1072="","",N($E1072)*$F1072-N($G1072))</f>
        <v/>
      </c>
      <c r="I1072" s="35" t="str">
        <f aca="false">IF($C1072="","",$H1072-$H1072/(1+IFERROR(INDEX(PRODUCTOS!$E$6:$E$105,MATCH($C1072,PRODUCTOS!$A$6:$A$105,0)),IVA_VENTAS)))</f>
        <v/>
      </c>
      <c r="J1072" s="35" t="str">
        <f aca="false">IF($C1072="","",$H1072-$I1072)</f>
        <v/>
      </c>
      <c r="K1072" s="35" t="str">
        <f aca="false">IF($C1072="","",N($E1072)*IFERROR(INDEX(PRODUCTOS!$H$6:$H$105,MATCH($C1072,PRODUCTOS!$A$6:$A$105,0)),0))</f>
        <v/>
      </c>
      <c r="L1072" s="35" t="str">
        <f aca="false">IF($C1072="","",$J1072-$K1072)</f>
        <v/>
      </c>
      <c r="M1072" s="6"/>
      <c r="N1072" s="6"/>
      <c r="O1072" s="46" t="str">
        <f aca="false">IF($A1072="","",DATE(YEAR($A1072),MONTH($A1072),1))</f>
        <v/>
      </c>
    </row>
    <row r="1073" customFormat="false" ht="15" hidden="false" customHeight="false" outlineLevel="0" collapsed="false">
      <c r="A1073" s="44"/>
      <c r="B1073" s="6"/>
      <c r="C1073" s="6"/>
      <c r="D1073" s="8" t="str">
        <f aca="false">IF($C1073="","",IFERROR(INDEX(PRODUCTOS!$B$6:$B$105,MATCH($C1073,PRODUCTOS!$A$6:$A$105,0)),"¿Código?"))</f>
        <v/>
      </c>
      <c r="E1073" s="42"/>
      <c r="F1073" s="35" t="str">
        <f aca="false">IF($C1073="","",IFERROR(INDEX(PRODUCTOS!$D$6:$D$105,MATCH($C1073,PRODUCTOS!$A$6:$A$105,0)),0))</f>
        <v/>
      </c>
      <c r="G1073" s="40"/>
      <c r="H1073" s="35" t="str">
        <f aca="false">IF($C1073="","",N($E1073)*$F1073-N($G1073))</f>
        <v/>
      </c>
      <c r="I1073" s="35" t="str">
        <f aca="false">IF($C1073="","",$H1073-$H1073/(1+IFERROR(INDEX(PRODUCTOS!$E$6:$E$105,MATCH($C1073,PRODUCTOS!$A$6:$A$105,0)),IVA_VENTAS)))</f>
        <v/>
      </c>
      <c r="J1073" s="35" t="str">
        <f aca="false">IF($C1073="","",$H1073-$I1073)</f>
        <v/>
      </c>
      <c r="K1073" s="35" t="str">
        <f aca="false">IF($C1073="","",N($E1073)*IFERROR(INDEX(PRODUCTOS!$H$6:$H$105,MATCH($C1073,PRODUCTOS!$A$6:$A$105,0)),0))</f>
        <v/>
      </c>
      <c r="L1073" s="35" t="str">
        <f aca="false">IF($C1073="","",$J1073-$K1073)</f>
        <v/>
      </c>
      <c r="M1073" s="6"/>
      <c r="N1073" s="6"/>
      <c r="O1073" s="46" t="str">
        <f aca="false">IF($A1073="","",DATE(YEAR($A1073),MONTH($A1073),1))</f>
        <v/>
      </c>
    </row>
    <row r="1074" customFormat="false" ht="15" hidden="false" customHeight="false" outlineLevel="0" collapsed="false">
      <c r="A1074" s="44"/>
      <c r="B1074" s="6"/>
      <c r="C1074" s="6"/>
      <c r="D1074" s="8" t="str">
        <f aca="false">IF($C1074="","",IFERROR(INDEX(PRODUCTOS!$B$6:$B$105,MATCH($C1074,PRODUCTOS!$A$6:$A$105,0)),"¿Código?"))</f>
        <v/>
      </c>
      <c r="E1074" s="42"/>
      <c r="F1074" s="35" t="str">
        <f aca="false">IF($C1074="","",IFERROR(INDEX(PRODUCTOS!$D$6:$D$105,MATCH($C1074,PRODUCTOS!$A$6:$A$105,0)),0))</f>
        <v/>
      </c>
      <c r="G1074" s="40"/>
      <c r="H1074" s="35" t="str">
        <f aca="false">IF($C1074="","",N($E1074)*$F1074-N($G1074))</f>
        <v/>
      </c>
      <c r="I1074" s="35" t="str">
        <f aca="false">IF($C1074="","",$H1074-$H1074/(1+IFERROR(INDEX(PRODUCTOS!$E$6:$E$105,MATCH($C1074,PRODUCTOS!$A$6:$A$105,0)),IVA_VENTAS)))</f>
        <v/>
      </c>
      <c r="J1074" s="35" t="str">
        <f aca="false">IF($C1074="","",$H1074-$I1074)</f>
        <v/>
      </c>
      <c r="K1074" s="35" t="str">
        <f aca="false">IF($C1074="","",N($E1074)*IFERROR(INDEX(PRODUCTOS!$H$6:$H$105,MATCH($C1074,PRODUCTOS!$A$6:$A$105,0)),0))</f>
        <v/>
      </c>
      <c r="L1074" s="35" t="str">
        <f aca="false">IF($C1074="","",$J1074-$K1074)</f>
        <v/>
      </c>
      <c r="M1074" s="6"/>
      <c r="N1074" s="6"/>
      <c r="O1074" s="46" t="str">
        <f aca="false">IF($A1074="","",DATE(YEAR($A1074),MONTH($A1074),1))</f>
        <v/>
      </c>
    </row>
    <row r="1075" customFormat="false" ht="15" hidden="false" customHeight="false" outlineLevel="0" collapsed="false">
      <c r="A1075" s="44"/>
      <c r="B1075" s="6"/>
      <c r="C1075" s="6"/>
      <c r="D1075" s="8" t="str">
        <f aca="false">IF($C1075="","",IFERROR(INDEX(PRODUCTOS!$B$6:$B$105,MATCH($C1075,PRODUCTOS!$A$6:$A$105,0)),"¿Código?"))</f>
        <v/>
      </c>
      <c r="E1075" s="42"/>
      <c r="F1075" s="35" t="str">
        <f aca="false">IF($C1075="","",IFERROR(INDEX(PRODUCTOS!$D$6:$D$105,MATCH($C1075,PRODUCTOS!$A$6:$A$105,0)),0))</f>
        <v/>
      </c>
      <c r="G1075" s="40"/>
      <c r="H1075" s="35" t="str">
        <f aca="false">IF($C1075="","",N($E1075)*$F1075-N($G1075))</f>
        <v/>
      </c>
      <c r="I1075" s="35" t="str">
        <f aca="false">IF($C1075="","",$H1075-$H1075/(1+IFERROR(INDEX(PRODUCTOS!$E$6:$E$105,MATCH($C1075,PRODUCTOS!$A$6:$A$105,0)),IVA_VENTAS)))</f>
        <v/>
      </c>
      <c r="J1075" s="35" t="str">
        <f aca="false">IF($C1075="","",$H1075-$I1075)</f>
        <v/>
      </c>
      <c r="K1075" s="35" t="str">
        <f aca="false">IF($C1075="","",N($E1075)*IFERROR(INDEX(PRODUCTOS!$H$6:$H$105,MATCH($C1075,PRODUCTOS!$A$6:$A$105,0)),0))</f>
        <v/>
      </c>
      <c r="L1075" s="35" t="str">
        <f aca="false">IF($C1075="","",$J1075-$K1075)</f>
        <v/>
      </c>
      <c r="M1075" s="6"/>
      <c r="N1075" s="6"/>
      <c r="O1075" s="46" t="str">
        <f aca="false">IF($A1075="","",DATE(YEAR($A1075),MONTH($A1075),1))</f>
        <v/>
      </c>
    </row>
    <row r="1076" customFormat="false" ht="15" hidden="false" customHeight="false" outlineLevel="0" collapsed="false">
      <c r="A1076" s="44"/>
      <c r="B1076" s="6"/>
      <c r="C1076" s="6"/>
      <c r="D1076" s="8" t="str">
        <f aca="false">IF($C1076="","",IFERROR(INDEX(PRODUCTOS!$B$6:$B$105,MATCH($C1076,PRODUCTOS!$A$6:$A$105,0)),"¿Código?"))</f>
        <v/>
      </c>
      <c r="E1076" s="42"/>
      <c r="F1076" s="35" t="str">
        <f aca="false">IF($C1076="","",IFERROR(INDEX(PRODUCTOS!$D$6:$D$105,MATCH($C1076,PRODUCTOS!$A$6:$A$105,0)),0))</f>
        <v/>
      </c>
      <c r="G1076" s="40"/>
      <c r="H1076" s="35" t="str">
        <f aca="false">IF($C1076="","",N($E1076)*$F1076-N($G1076))</f>
        <v/>
      </c>
      <c r="I1076" s="35" t="str">
        <f aca="false">IF($C1076="","",$H1076-$H1076/(1+IFERROR(INDEX(PRODUCTOS!$E$6:$E$105,MATCH($C1076,PRODUCTOS!$A$6:$A$105,0)),IVA_VENTAS)))</f>
        <v/>
      </c>
      <c r="J1076" s="35" t="str">
        <f aca="false">IF($C1076="","",$H1076-$I1076)</f>
        <v/>
      </c>
      <c r="K1076" s="35" t="str">
        <f aca="false">IF($C1076="","",N($E1076)*IFERROR(INDEX(PRODUCTOS!$H$6:$H$105,MATCH($C1076,PRODUCTOS!$A$6:$A$105,0)),0))</f>
        <v/>
      </c>
      <c r="L1076" s="35" t="str">
        <f aca="false">IF($C1076="","",$J1076-$K1076)</f>
        <v/>
      </c>
      <c r="M1076" s="6"/>
      <c r="N1076" s="6"/>
      <c r="O1076" s="46" t="str">
        <f aca="false">IF($A1076="","",DATE(YEAR($A1076),MONTH($A1076),1))</f>
        <v/>
      </c>
    </row>
    <row r="1077" customFormat="false" ht="15" hidden="false" customHeight="false" outlineLevel="0" collapsed="false">
      <c r="A1077" s="44"/>
      <c r="B1077" s="6"/>
      <c r="C1077" s="6"/>
      <c r="D1077" s="8" t="str">
        <f aca="false">IF($C1077="","",IFERROR(INDEX(PRODUCTOS!$B$6:$B$105,MATCH($C1077,PRODUCTOS!$A$6:$A$105,0)),"¿Código?"))</f>
        <v/>
      </c>
      <c r="E1077" s="42"/>
      <c r="F1077" s="35" t="str">
        <f aca="false">IF($C1077="","",IFERROR(INDEX(PRODUCTOS!$D$6:$D$105,MATCH($C1077,PRODUCTOS!$A$6:$A$105,0)),0))</f>
        <v/>
      </c>
      <c r="G1077" s="40"/>
      <c r="H1077" s="35" t="str">
        <f aca="false">IF($C1077="","",N($E1077)*$F1077-N($G1077))</f>
        <v/>
      </c>
      <c r="I1077" s="35" t="str">
        <f aca="false">IF($C1077="","",$H1077-$H1077/(1+IFERROR(INDEX(PRODUCTOS!$E$6:$E$105,MATCH($C1077,PRODUCTOS!$A$6:$A$105,0)),IVA_VENTAS)))</f>
        <v/>
      </c>
      <c r="J1077" s="35" t="str">
        <f aca="false">IF($C1077="","",$H1077-$I1077)</f>
        <v/>
      </c>
      <c r="K1077" s="35" t="str">
        <f aca="false">IF($C1077="","",N($E1077)*IFERROR(INDEX(PRODUCTOS!$H$6:$H$105,MATCH($C1077,PRODUCTOS!$A$6:$A$105,0)),0))</f>
        <v/>
      </c>
      <c r="L1077" s="35" t="str">
        <f aca="false">IF($C1077="","",$J1077-$K1077)</f>
        <v/>
      </c>
      <c r="M1077" s="6"/>
      <c r="N1077" s="6"/>
      <c r="O1077" s="46" t="str">
        <f aca="false">IF($A1077="","",DATE(YEAR($A1077),MONTH($A1077),1))</f>
        <v/>
      </c>
    </row>
    <row r="1078" customFormat="false" ht="15" hidden="false" customHeight="false" outlineLevel="0" collapsed="false">
      <c r="A1078" s="44"/>
      <c r="B1078" s="6"/>
      <c r="C1078" s="6"/>
      <c r="D1078" s="8" t="str">
        <f aca="false">IF($C1078="","",IFERROR(INDEX(PRODUCTOS!$B$6:$B$105,MATCH($C1078,PRODUCTOS!$A$6:$A$105,0)),"¿Código?"))</f>
        <v/>
      </c>
      <c r="E1078" s="42"/>
      <c r="F1078" s="35" t="str">
        <f aca="false">IF($C1078="","",IFERROR(INDEX(PRODUCTOS!$D$6:$D$105,MATCH($C1078,PRODUCTOS!$A$6:$A$105,0)),0))</f>
        <v/>
      </c>
      <c r="G1078" s="40"/>
      <c r="H1078" s="35" t="str">
        <f aca="false">IF($C1078="","",N($E1078)*$F1078-N($G1078))</f>
        <v/>
      </c>
      <c r="I1078" s="35" t="str">
        <f aca="false">IF($C1078="","",$H1078-$H1078/(1+IFERROR(INDEX(PRODUCTOS!$E$6:$E$105,MATCH($C1078,PRODUCTOS!$A$6:$A$105,0)),IVA_VENTAS)))</f>
        <v/>
      </c>
      <c r="J1078" s="35" t="str">
        <f aca="false">IF($C1078="","",$H1078-$I1078)</f>
        <v/>
      </c>
      <c r="K1078" s="35" t="str">
        <f aca="false">IF($C1078="","",N($E1078)*IFERROR(INDEX(PRODUCTOS!$H$6:$H$105,MATCH($C1078,PRODUCTOS!$A$6:$A$105,0)),0))</f>
        <v/>
      </c>
      <c r="L1078" s="35" t="str">
        <f aca="false">IF($C1078="","",$J1078-$K1078)</f>
        <v/>
      </c>
      <c r="M1078" s="6"/>
      <c r="N1078" s="6"/>
      <c r="O1078" s="46" t="str">
        <f aca="false">IF($A1078="","",DATE(YEAR($A1078),MONTH($A1078),1))</f>
        <v/>
      </c>
    </row>
    <row r="1079" customFormat="false" ht="15" hidden="false" customHeight="false" outlineLevel="0" collapsed="false">
      <c r="A1079" s="44"/>
      <c r="B1079" s="6"/>
      <c r="C1079" s="6"/>
      <c r="D1079" s="8" t="str">
        <f aca="false">IF($C1079="","",IFERROR(INDEX(PRODUCTOS!$B$6:$B$105,MATCH($C1079,PRODUCTOS!$A$6:$A$105,0)),"¿Código?"))</f>
        <v/>
      </c>
      <c r="E1079" s="42"/>
      <c r="F1079" s="35" t="str">
        <f aca="false">IF($C1079="","",IFERROR(INDEX(PRODUCTOS!$D$6:$D$105,MATCH($C1079,PRODUCTOS!$A$6:$A$105,0)),0))</f>
        <v/>
      </c>
      <c r="G1079" s="40"/>
      <c r="H1079" s="35" t="str">
        <f aca="false">IF($C1079="","",N($E1079)*$F1079-N($G1079))</f>
        <v/>
      </c>
      <c r="I1079" s="35" t="str">
        <f aca="false">IF($C1079="","",$H1079-$H1079/(1+IFERROR(INDEX(PRODUCTOS!$E$6:$E$105,MATCH($C1079,PRODUCTOS!$A$6:$A$105,0)),IVA_VENTAS)))</f>
        <v/>
      </c>
      <c r="J1079" s="35" t="str">
        <f aca="false">IF($C1079="","",$H1079-$I1079)</f>
        <v/>
      </c>
      <c r="K1079" s="35" t="str">
        <f aca="false">IF($C1079="","",N($E1079)*IFERROR(INDEX(PRODUCTOS!$H$6:$H$105,MATCH($C1079,PRODUCTOS!$A$6:$A$105,0)),0))</f>
        <v/>
      </c>
      <c r="L1079" s="35" t="str">
        <f aca="false">IF($C1079="","",$J1079-$K1079)</f>
        <v/>
      </c>
      <c r="M1079" s="6"/>
      <c r="N1079" s="6"/>
      <c r="O1079" s="46" t="str">
        <f aca="false">IF($A1079="","",DATE(YEAR($A1079),MONTH($A1079),1))</f>
        <v/>
      </c>
    </row>
    <row r="1080" customFormat="false" ht="15" hidden="false" customHeight="false" outlineLevel="0" collapsed="false">
      <c r="A1080" s="44"/>
      <c r="B1080" s="6"/>
      <c r="C1080" s="6"/>
      <c r="D1080" s="8" t="str">
        <f aca="false">IF($C1080="","",IFERROR(INDEX(PRODUCTOS!$B$6:$B$105,MATCH($C1080,PRODUCTOS!$A$6:$A$105,0)),"¿Código?"))</f>
        <v/>
      </c>
      <c r="E1080" s="42"/>
      <c r="F1080" s="35" t="str">
        <f aca="false">IF($C1080="","",IFERROR(INDEX(PRODUCTOS!$D$6:$D$105,MATCH($C1080,PRODUCTOS!$A$6:$A$105,0)),0))</f>
        <v/>
      </c>
      <c r="G1080" s="40"/>
      <c r="H1080" s="35" t="str">
        <f aca="false">IF($C1080="","",N($E1080)*$F1080-N($G1080))</f>
        <v/>
      </c>
      <c r="I1080" s="35" t="str">
        <f aca="false">IF($C1080="","",$H1080-$H1080/(1+IFERROR(INDEX(PRODUCTOS!$E$6:$E$105,MATCH($C1080,PRODUCTOS!$A$6:$A$105,0)),IVA_VENTAS)))</f>
        <v/>
      </c>
      <c r="J1080" s="35" t="str">
        <f aca="false">IF($C1080="","",$H1080-$I1080)</f>
        <v/>
      </c>
      <c r="K1080" s="35" t="str">
        <f aca="false">IF($C1080="","",N($E1080)*IFERROR(INDEX(PRODUCTOS!$H$6:$H$105,MATCH($C1080,PRODUCTOS!$A$6:$A$105,0)),0))</f>
        <v/>
      </c>
      <c r="L1080" s="35" t="str">
        <f aca="false">IF($C1080="","",$J1080-$K1080)</f>
        <v/>
      </c>
      <c r="M1080" s="6"/>
      <c r="N1080" s="6"/>
      <c r="O1080" s="46" t="str">
        <f aca="false">IF($A1080="","",DATE(YEAR($A1080),MONTH($A1080),1))</f>
        <v/>
      </c>
    </row>
    <row r="1081" customFormat="false" ht="15" hidden="false" customHeight="false" outlineLevel="0" collapsed="false">
      <c r="A1081" s="44"/>
      <c r="B1081" s="6"/>
      <c r="C1081" s="6"/>
      <c r="D1081" s="8" t="str">
        <f aca="false">IF($C1081="","",IFERROR(INDEX(PRODUCTOS!$B$6:$B$105,MATCH($C1081,PRODUCTOS!$A$6:$A$105,0)),"¿Código?"))</f>
        <v/>
      </c>
      <c r="E1081" s="42"/>
      <c r="F1081" s="35" t="str">
        <f aca="false">IF($C1081="","",IFERROR(INDEX(PRODUCTOS!$D$6:$D$105,MATCH($C1081,PRODUCTOS!$A$6:$A$105,0)),0))</f>
        <v/>
      </c>
      <c r="G1081" s="40"/>
      <c r="H1081" s="35" t="str">
        <f aca="false">IF($C1081="","",N($E1081)*$F1081-N($G1081))</f>
        <v/>
      </c>
      <c r="I1081" s="35" t="str">
        <f aca="false">IF($C1081="","",$H1081-$H1081/(1+IFERROR(INDEX(PRODUCTOS!$E$6:$E$105,MATCH($C1081,PRODUCTOS!$A$6:$A$105,0)),IVA_VENTAS)))</f>
        <v/>
      </c>
      <c r="J1081" s="35" t="str">
        <f aca="false">IF($C1081="","",$H1081-$I1081)</f>
        <v/>
      </c>
      <c r="K1081" s="35" t="str">
        <f aca="false">IF($C1081="","",N($E1081)*IFERROR(INDEX(PRODUCTOS!$H$6:$H$105,MATCH($C1081,PRODUCTOS!$A$6:$A$105,0)),0))</f>
        <v/>
      </c>
      <c r="L1081" s="35" t="str">
        <f aca="false">IF($C1081="","",$J1081-$K1081)</f>
        <v/>
      </c>
      <c r="M1081" s="6"/>
      <c r="N1081" s="6"/>
      <c r="O1081" s="46" t="str">
        <f aca="false">IF($A1081="","",DATE(YEAR($A1081),MONTH($A1081),1))</f>
        <v/>
      </c>
    </row>
    <row r="1082" customFormat="false" ht="15" hidden="false" customHeight="false" outlineLevel="0" collapsed="false">
      <c r="A1082" s="44"/>
      <c r="B1082" s="6"/>
      <c r="C1082" s="6"/>
      <c r="D1082" s="8" t="str">
        <f aca="false">IF($C1082="","",IFERROR(INDEX(PRODUCTOS!$B$6:$B$105,MATCH($C1082,PRODUCTOS!$A$6:$A$105,0)),"¿Código?"))</f>
        <v/>
      </c>
      <c r="E1082" s="42"/>
      <c r="F1082" s="35" t="str">
        <f aca="false">IF($C1082="","",IFERROR(INDEX(PRODUCTOS!$D$6:$D$105,MATCH($C1082,PRODUCTOS!$A$6:$A$105,0)),0))</f>
        <v/>
      </c>
      <c r="G1082" s="40"/>
      <c r="H1082" s="35" t="str">
        <f aca="false">IF($C1082="","",N($E1082)*$F1082-N($G1082))</f>
        <v/>
      </c>
      <c r="I1082" s="35" t="str">
        <f aca="false">IF($C1082="","",$H1082-$H1082/(1+IFERROR(INDEX(PRODUCTOS!$E$6:$E$105,MATCH($C1082,PRODUCTOS!$A$6:$A$105,0)),IVA_VENTAS)))</f>
        <v/>
      </c>
      <c r="J1082" s="35" t="str">
        <f aca="false">IF($C1082="","",$H1082-$I1082)</f>
        <v/>
      </c>
      <c r="K1082" s="35" t="str">
        <f aca="false">IF($C1082="","",N($E1082)*IFERROR(INDEX(PRODUCTOS!$H$6:$H$105,MATCH($C1082,PRODUCTOS!$A$6:$A$105,0)),0))</f>
        <v/>
      </c>
      <c r="L1082" s="35" t="str">
        <f aca="false">IF($C1082="","",$J1082-$K1082)</f>
        <v/>
      </c>
      <c r="M1082" s="6"/>
      <c r="N1082" s="6"/>
      <c r="O1082" s="46" t="str">
        <f aca="false">IF($A1082="","",DATE(YEAR($A1082),MONTH($A1082),1))</f>
        <v/>
      </c>
    </row>
    <row r="1083" customFormat="false" ht="15" hidden="false" customHeight="false" outlineLevel="0" collapsed="false">
      <c r="A1083" s="44"/>
      <c r="B1083" s="6"/>
      <c r="C1083" s="6"/>
      <c r="D1083" s="8" t="str">
        <f aca="false">IF($C1083="","",IFERROR(INDEX(PRODUCTOS!$B$6:$B$105,MATCH($C1083,PRODUCTOS!$A$6:$A$105,0)),"¿Código?"))</f>
        <v/>
      </c>
      <c r="E1083" s="42"/>
      <c r="F1083" s="35" t="str">
        <f aca="false">IF($C1083="","",IFERROR(INDEX(PRODUCTOS!$D$6:$D$105,MATCH($C1083,PRODUCTOS!$A$6:$A$105,0)),0))</f>
        <v/>
      </c>
      <c r="G1083" s="40"/>
      <c r="H1083" s="35" t="str">
        <f aca="false">IF($C1083="","",N($E1083)*$F1083-N($G1083))</f>
        <v/>
      </c>
      <c r="I1083" s="35" t="str">
        <f aca="false">IF($C1083="","",$H1083-$H1083/(1+IFERROR(INDEX(PRODUCTOS!$E$6:$E$105,MATCH($C1083,PRODUCTOS!$A$6:$A$105,0)),IVA_VENTAS)))</f>
        <v/>
      </c>
      <c r="J1083" s="35" t="str">
        <f aca="false">IF($C1083="","",$H1083-$I1083)</f>
        <v/>
      </c>
      <c r="K1083" s="35" t="str">
        <f aca="false">IF($C1083="","",N($E1083)*IFERROR(INDEX(PRODUCTOS!$H$6:$H$105,MATCH($C1083,PRODUCTOS!$A$6:$A$105,0)),0))</f>
        <v/>
      </c>
      <c r="L1083" s="35" t="str">
        <f aca="false">IF($C1083="","",$J1083-$K1083)</f>
        <v/>
      </c>
      <c r="M1083" s="6"/>
      <c r="N1083" s="6"/>
      <c r="O1083" s="46" t="str">
        <f aca="false">IF($A1083="","",DATE(YEAR($A1083),MONTH($A1083),1))</f>
        <v/>
      </c>
    </row>
    <row r="1084" customFormat="false" ht="15" hidden="false" customHeight="false" outlineLevel="0" collapsed="false">
      <c r="A1084" s="44"/>
      <c r="B1084" s="6"/>
      <c r="C1084" s="6"/>
      <c r="D1084" s="8" t="str">
        <f aca="false">IF($C1084="","",IFERROR(INDEX(PRODUCTOS!$B$6:$B$105,MATCH($C1084,PRODUCTOS!$A$6:$A$105,0)),"¿Código?"))</f>
        <v/>
      </c>
      <c r="E1084" s="42"/>
      <c r="F1084" s="35" t="str">
        <f aca="false">IF($C1084="","",IFERROR(INDEX(PRODUCTOS!$D$6:$D$105,MATCH($C1084,PRODUCTOS!$A$6:$A$105,0)),0))</f>
        <v/>
      </c>
      <c r="G1084" s="40"/>
      <c r="H1084" s="35" t="str">
        <f aca="false">IF($C1084="","",N($E1084)*$F1084-N($G1084))</f>
        <v/>
      </c>
      <c r="I1084" s="35" t="str">
        <f aca="false">IF($C1084="","",$H1084-$H1084/(1+IFERROR(INDEX(PRODUCTOS!$E$6:$E$105,MATCH($C1084,PRODUCTOS!$A$6:$A$105,0)),IVA_VENTAS)))</f>
        <v/>
      </c>
      <c r="J1084" s="35" t="str">
        <f aca="false">IF($C1084="","",$H1084-$I1084)</f>
        <v/>
      </c>
      <c r="K1084" s="35" t="str">
        <f aca="false">IF($C1084="","",N($E1084)*IFERROR(INDEX(PRODUCTOS!$H$6:$H$105,MATCH($C1084,PRODUCTOS!$A$6:$A$105,0)),0))</f>
        <v/>
      </c>
      <c r="L1084" s="35" t="str">
        <f aca="false">IF($C1084="","",$J1084-$K1084)</f>
        <v/>
      </c>
      <c r="M1084" s="6"/>
      <c r="N1084" s="6"/>
      <c r="O1084" s="46" t="str">
        <f aca="false">IF($A1084="","",DATE(YEAR($A1084),MONTH($A1084),1))</f>
        <v/>
      </c>
    </row>
    <row r="1085" customFormat="false" ht="15" hidden="false" customHeight="false" outlineLevel="0" collapsed="false">
      <c r="A1085" s="44"/>
      <c r="B1085" s="6"/>
      <c r="C1085" s="6"/>
      <c r="D1085" s="8" t="str">
        <f aca="false">IF($C1085="","",IFERROR(INDEX(PRODUCTOS!$B$6:$B$105,MATCH($C1085,PRODUCTOS!$A$6:$A$105,0)),"¿Código?"))</f>
        <v/>
      </c>
      <c r="E1085" s="42"/>
      <c r="F1085" s="35" t="str">
        <f aca="false">IF($C1085="","",IFERROR(INDEX(PRODUCTOS!$D$6:$D$105,MATCH($C1085,PRODUCTOS!$A$6:$A$105,0)),0))</f>
        <v/>
      </c>
      <c r="G1085" s="40"/>
      <c r="H1085" s="35" t="str">
        <f aca="false">IF($C1085="","",N($E1085)*$F1085-N($G1085))</f>
        <v/>
      </c>
      <c r="I1085" s="35" t="str">
        <f aca="false">IF($C1085="","",$H1085-$H1085/(1+IFERROR(INDEX(PRODUCTOS!$E$6:$E$105,MATCH($C1085,PRODUCTOS!$A$6:$A$105,0)),IVA_VENTAS)))</f>
        <v/>
      </c>
      <c r="J1085" s="35" t="str">
        <f aca="false">IF($C1085="","",$H1085-$I1085)</f>
        <v/>
      </c>
      <c r="K1085" s="35" t="str">
        <f aca="false">IF($C1085="","",N($E1085)*IFERROR(INDEX(PRODUCTOS!$H$6:$H$105,MATCH($C1085,PRODUCTOS!$A$6:$A$105,0)),0))</f>
        <v/>
      </c>
      <c r="L1085" s="35" t="str">
        <f aca="false">IF($C1085="","",$J1085-$K1085)</f>
        <v/>
      </c>
      <c r="M1085" s="6"/>
      <c r="N1085" s="6"/>
      <c r="O1085" s="46" t="str">
        <f aca="false">IF($A1085="","",DATE(YEAR($A1085),MONTH($A1085),1))</f>
        <v/>
      </c>
    </row>
    <row r="1086" customFormat="false" ht="15" hidden="false" customHeight="false" outlineLevel="0" collapsed="false">
      <c r="A1086" s="44"/>
      <c r="B1086" s="6"/>
      <c r="C1086" s="6"/>
      <c r="D1086" s="8" t="str">
        <f aca="false">IF($C1086="","",IFERROR(INDEX(PRODUCTOS!$B$6:$B$105,MATCH($C1086,PRODUCTOS!$A$6:$A$105,0)),"¿Código?"))</f>
        <v/>
      </c>
      <c r="E1086" s="42"/>
      <c r="F1086" s="35" t="str">
        <f aca="false">IF($C1086="","",IFERROR(INDEX(PRODUCTOS!$D$6:$D$105,MATCH($C1086,PRODUCTOS!$A$6:$A$105,0)),0))</f>
        <v/>
      </c>
      <c r="G1086" s="40"/>
      <c r="H1086" s="35" t="str">
        <f aca="false">IF($C1086="","",N($E1086)*$F1086-N($G1086))</f>
        <v/>
      </c>
      <c r="I1086" s="35" t="str">
        <f aca="false">IF($C1086="","",$H1086-$H1086/(1+IFERROR(INDEX(PRODUCTOS!$E$6:$E$105,MATCH($C1086,PRODUCTOS!$A$6:$A$105,0)),IVA_VENTAS)))</f>
        <v/>
      </c>
      <c r="J1086" s="35" t="str">
        <f aca="false">IF($C1086="","",$H1086-$I1086)</f>
        <v/>
      </c>
      <c r="K1086" s="35" t="str">
        <f aca="false">IF($C1086="","",N($E1086)*IFERROR(INDEX(PRODUCTOS!$H$6:$H$105,MATCH($C1086,PRODUCTOS!$A$6:$A$105,0)),0))</f>
        <v/>
      </c>
      <c r="L1086" s="35" t="str">
        <f aca="false">IF($C1086="","",$J1086-$K1086)</f>
        <v/>
      </c>
      <c r="M1086" s="6"/>
      <c r="N1086" s="6"/>
      <c r="O1086" s="46" t="str">
        <f aca="false">IF($A1086="","",DATE(YEAR($A1086),MONTH($A1086),1))</f>
        <v/>
      </c>
    </row>
    <row r="1087" customFormat="false" ht="15" hidden="false" customHeight="false" outlineLevel="0" collapsed="false">
      <c r="A1087" s="44"/>
      <c r="B1087" s="6"/>
      <c r="C1087" s="6"/>
      <c r="D1087" s="8" t="str">
        <f aca="false">IF($C1087="","",IFERROR(INDEX(PRODUCTOS!$B$6:$B$105,MATCH($C1087,PRODUCTOS!$A$6:$A$105,0)),"¿Código?"))</f>
        <v/>
      </c>
      <c r="E1087" s="42"/>
      <c r="F1087" s="35" t="str">
        <f aca="false">IF($C1087="","",IFERROR(INDEX(PRODUCTOS!$D$6:$D$105,MATCH($C1087,PRODUCTOS!$A$6:$A$105,0)),0))</f>
        <v/>
      </c>
      <c r="G1087" s="40"/>
      <c r="H1087" s="35" t="str">
        <f aca="false">IF($C1087="","",N($E1087)*$F1087-N($G1087))</f>
        <v/>
      </c>
      <c r="I1087" s="35" t="str">
        <f aca="false">IF($C1087="","",$H1087-$H1087/(1+IFERROR(INDEX(PRODUCTOS!$E$6:$E$105,MATCH($C1087,PRODUCTOS!$A$6:$A$105,0)),IVA_VENTAS)))</f>
        <v/>
      </c>
      <c r="J1087" s="35" t="str">
        <f aca="false">IF($C1087="","",$H1087-$I1087)</f>
        <v/>
      </c>
      <c r="K1087" s="35" t="str">
        <f aca="false">IF($C1087="","",N($E1087)*IFERROR(INDEX(PRODUCTOS!$H$6:$H$105,MATCH($C1087,PRODUCTOS!$A$6:$A$105,0)),0))</f>
        <v/>
      </c>
      <c r="L1087" s="35" t="str">
        <f aca="false">IF($C1087="","",$J1087-$K1087)</f>
        <v/>
      </c>
      <c r="M1087" s="6"/>
      <c r="N1087" s="6"/>
      <c r="O1087" s="46" t="str">
        <f aca="false">IF($A1087="","",DATE(YEAR($A1087),MONTH($A1087),1))</f>
        <v/>
      </c>
    </row>
    <row r="1088" customFormat="false" ht="15" hidden="false" customHeight="false" outlineLevel="0" collapsed="false">
      <c r="A1088" s="44"/>
      <c r="B1088" s="6"/>
      <c r="C1088" s="6"/>
      <c r="D1088" s="8" t="str">
        <f aca="false">IF($C1088="","",IFERROR(INDEX(PRODUCTOS!$B$6:$B$105,MATCH($C1088,PRODUCTOS!$A$6:$A$105,0)),"¿Código?"))</f>
        <v/>
      </c>
      <c r="E1088" s="42"/>
      <c r="F1088" s="35" t="str">
        <f aca="false">IF($C1088="","",IFERROR(INDEX(PRODUCTOS!$D$6:$D$105,MATCH($C1088,PRODUCTOS!$A$6:$A$105,0)),0))</f>
        <v/>
      </c>
      <c r="G1088" s="40"/>
      <c r="H1088" s="35" t="str">
        <f aca="false">IF($C1088="","",N($E1088)*$F1088-N($G1088))</f>
        <v/>
      </c>
      <c r="I1088" s="35" t="str">
        <f aca="false">IF($C1088="","",$H1088-$H1088/(1+IFERROR(INDEX(PRODUCTOS!$E$6:$E$105,MATCH($C1088,PRODUCTOS!$A$6:$A$105,0)),IVA_VENTAS)))</f>
        <v/>
      </c>
      <c r="J1088" s="35" t="str">
        <f aca="false">IF($C1088="","",$H1088-$I1088)</f>
        <v/>
      </c>
      <c r="K1088" s="35" t="str">
        <f aca="false">IF($C1088="","",N($E1088)*IFERROR(INDEX(PRODUCTOS!$H$6:$H$105,MATCH($C1088,PRODUCTOS!$A$6:$A$105,0)),0))</f>
        <v/>
      </c>
      <c r="L1088" s="35" t="str">
        <f aca="false">IF($C1088="","",$J1088-$K1088)</f>
        <v/>
      </c>
      <c r="M1088" s="6"/>
      <c r="N1088" s="6"/>
      <c r="O1088" s="46" t="str">
        <f aca="false">IF($A1088="","",DATE(YEAR($A1088),MONTH($A1088),1))</f>
        <v/>
      </c>
    </row>
    <row r="1089" customFormat="false" ht="15" hidden="false" customHeight="false" outlineLevel="0" collapsed="false">
      <c r="A1089" s="44"/>
      <c r="B1089" s="6"/>
      <c r="C1089" s="6"/>
      <c r="D1089" s="8" t="str">
        <f aca="false">IF($C1089="","",IFERROR(INDEX(PRODUCTOS!$B$6:$B$105,MATCH($C1089,PRODUCTOS!$A$6:$A$105,0)),"¿Código?"))</f>
        <v/>
      </c>
      <c r="E1089" s="42"/>
      <c r="F1089" s="35" t="str">
        <f aca="false">IF($C1089="","",IFERROR(INDEX(PRODUCTOS!$D$6:$D$105,MATCH($C1089,PRODUCTOS!$A$6:$A$105,0)),0))</f>
        <v/>
      </c>
      <c r="G1089" s="40"/>
      <c r="H1089" s="35" t="str">
        <f aca="false">IF($C1089="","",N($E1089)*$F1089-N($G1089))</f>
        <v/>
      </c>
      <c r="I1089" s="35" t="str">
        <f aca="false">IF($C1089="","",$H1089-$H1089/(1+IFERROR(INDEX(PRODUCTOS!$E$6:$E$105,MATCH($C1089,PRODUCTOS!$A$6:$A$105,0)),IVA_VENTAS)))</f>
        <v/>
      </c>
      <c r="J1089" s="35" t="str">
        <f aca="false">IF($C1089="","",$H1089-$I1089)</f>
        <v/>
      </c>
      <c r="K1089" s="35" t="str">
        <f aca="false">IF($C1089="","",N($E1089)*IFERROR(INDEX(PRODUCTOS!$H$6:$H$105,MATCH($C1089,PRODUCTOS!$A$6:$A$105,0)),0))</f>
        <v/>
      </c>
      <c r="L1089" s="35" t="str">
        <f aca="false">IF($C1089="","",$J1089-$K1089)</f>
        <v/>
      </c>
      <c r="M1089" s="6"/>
      <c r="N1089" s="6"/>
      <c r="O1089" s="46" t="str">
        <f aca="false">IF($A1089="","",DATE(YEAR($A1089),MONTH($A1089),1))</f>
        <v/>
      </c>
    </row>
    <row r="1090" customFormat="false" ht="15" hidden="false" customHeight="false" outlineLevel="0" collapsed="false">
      <c r="A1090" s="44"/>
      <c r="B1090" s="6"/>
      <c r="C1090" s="6"/>
      <c r="D1090" s="8" t="str">
        <f aca="false">IF($C1090="","",IFERROR(INDEX(PRODUCTOS!$B$6:$B$105,MATCH($C1090,PRODUCTOS!$A$6:$A$105,0)),"¿Código?"))</f>
        <v/>
      </c>
      <c r="E1090" s="42"/>
      <c r="F1090" s="35" t="str">
        <f aca="false">IF($C1090="","",IFERROR(INDEX(PRODUCTOS!$D$6:$D$105,MATCH($C1090,PRODUCTOS!$A$6:$A$105,0)),0))</f>
        <v/>
      </c>
      <c r="G1090" s="40"/>
      <c r="H1090" s="35" t="str">
        <f aca="false">IF($C1090="","",N($E1090)*$F1090-N($G1090))</f>
        <v/>
      </c>
      <c r="I1090" s="35" t="str">
        <f aca="false">IF($C1090="","",$H1090-$H1090/(1+IFERROR(INDEX(PRODUCTOS!$E$6:$E$105,MATCH($C1090,PRODUCTOS!$A$6:$A$105,0)),IVA_VENTAS)))</f>
        <v/>
      </c>
      <c r="J1090" s="35" t="str">
        <f aca="false">IF($C1090="","",$H1090-$I1090)</f>
        <v/>
      </c>
      <c r="K1090" s="35" t="str">
        <f aca="false">IF($C1090="","",N($E1090)*IFERROR(INDEX(PRODUCTOS!$H$6:$H$105,MATCH($C1090,PRODUCTOS!$A$6:$A$105,0)),0))</f>
        <v/>
      </c>
      <c r="L1090" s="35" t="str">
        <f aca="false">IF($C1090="","",$J1090-$K1090)</f>
        <v/>
      </c>
      <c r="M1090" s="6"/>
      <c r="N1090" s="6"/>
      <c r="O1090" s="46" t="str">
        <f aca="false">IF($A1090="","",DATE(YEAR($A1090),MONTH($A1090),1))</f>
        <v/>
      </c>
    </row>
    <row r="1091" customFormat="false" ht="15" hidden="false" customHeight="false" outlineLevel="0" collapsed="false">
      <c r="A1091" s="44"/>
      <c r="B1091" s="6"/>
      <c r="C1091" s="6"/>
      <c r="D1091" s="8" t="str">
        <f aca="false">IF($C1091="","",IFERROR(INDEX(PRODUCTOS!$B$6:$B$105,MATCH($C1091,PRODUCTOS!$A$6:$A$105,0)),"¿Código?"))</f>
        <v/>
      </c>
      <c r="E1091" s="42"/>
      <c r="F1091" s="35" t="str">
        <f aca="false">IF($C1091="","",IFERROR(INDEX(PRODUCTOS!$D$6:$D$105,MATCH($C1091,PRODUCTOS!$A$6:$A$105,0)),0))</f>
        <v/>
      </c>
      <c r="G1091" s="40"/>
      <c r="H1091" s="35" t="str">
        <f aca="false">IF($C1091="","",N($E1091)*$F1091-N($G1091))</f>
        <v/>
      </c>
      <c r="I1091" s="35" t="str">
        <f aca="false">IF($C1091="","",$H1091-$H1091/(1+IFERROR(INDEX(PRODUCTOS!$E$6:$E$105,MATCH($C1091,PRODUCTOS!$A$6:$A$105,0)),IVA_VENTAS)))</f>
        <v/>
      </c>
      <c r="J1091" s="35" t="str">
        <f aca="false">IF($C1091="","",$H1091-$I1091)</f>
        <v/>
      </c>
      <c r="K1091" s="35" t="str">
        <f aca="false">IF($C1091="","",N($E1091)*IFERROR(INDEX(PRODUCTOS!$H$6:$H$105,MATCH($C1091,PRODUCTOS!$A$6:$A$105,0)),0))</f>
        <v/>
      </c>
      <c r="L1091" s="35" t="str">
        <f aca="false">IF($C1091="","",$J1091-$K1091)</f>
        <v/>
      </c>
      <c r="M1091" s="6"/>
      <c r="N1091" s="6"/>
      <c r="O1091" s="46" t="str">
        <f aca="false">IF($A1091="","",DATE(YEAR($A1091),MONTH($A1091),1))</f>
        <v/>
      </c>
    </row>
    <row r="1092" customFormat="false" ht="15" hidden="false" customHeight="false" outlineLevel="0" collapsed="false">
      <c r="A1092" s="44"/>
      <c r="B1092" s="6"/>
      <c r="C1092" s="6"/>
      <c r="D1092" s="8" t="str">
        <f aca="false">IF($C1092="","",IFERROR(INDEX(PRODUCTOS!$B$6:$B$105,MATCH($C1092,PRODUCTOS!$A$6:$A$105,0)),"¿Código?"))</f>
        <v/>
      </c>
      <c r="E1092" s="42"/>
      <c r="F1092" s="35" t="str">
        <f aca="false">IF($C1092="","",IFERROR(INDEX(PRODUCTOS!$D$6:$D$105,MATCH($C1092,PRODUCTOS!$A$6:$A$105,0)),0))</f>
        <v/>
      </c>
      <c r="G1092" s="40"/>
      <c r="H1092" s="35" t="str">
        <f aca="false">IF($C1092="","",N($E1092)*$F1092-N($G1092))</f>
        <v/>
      </c>
      <c r="I1092" s="35" t="str">
        <f aca="false">IF($C1092="","",$H1092-$H1092/(1+IFERROR(INDEX(PRODUCTOS!$E$6:$E$105,MATCH($C1092,PRODUCTOS!$A$6:$A$105,0)),IVA_VENTAS)))</f>
        <v/>
      </c>
      <c r="J1092" s="35" t="str">
        <f aca="false">IF($C1092="","",$H1092-$I1092)</f>
        <v/>
      </c>
      <c r="K1092" s="35" t="str">
        <f aca="false">IF($C1092="","",N($E1092)*IFERROR(INDEX(PRODUCTOS!$H$6:$H$105,MATCH($C1092,PRODUCTOS!$A$6:$A$105,0)),0))</f>
        <v/>
      </c>
      <c r="L1092" s="35" t="str">
        <f aca="false">IF($C1092="","",$J1092-$K1092)</f>
        <v/>
      </c>
      <c r="M1092" s="6"/>
      <c r="N1092" s="6"/>
      <c r="O1092" s="46" t="str">
        <f aca="false">IF($A1092="","",DATE(YEAR($A1092),MONTH($A1092),1))</f>
        <v/>
      </c>
    </row>
    <row r="1093" customFormat="false" ht="15" hidden="false" customHeight="false" outlineLevel="0" collapsed="false">
      <c r="A1093" s="44"/>
      <c r="B1093" s="6"/>
      <c r="C1093" s="6"/>
      <c r="D1093" s="8" t="str">
        <f aca="false">IF($C1093="","",IFERROR(INDEX(PRODUCTOS!$B$6:$B$105,MATCH($C1093,PRODUCTOS!$A$6:$A$105,0)),"¿Código?"))</f>
        <v/>
      </c>
      <c r="E1093" s="42"/>
      <c r="F1093" s="35" t="str">
        <f aca="false">IF($C1093="","",IFERROR(INDEX(PRODUCTOS!$D$6:$D$105,MATCH($C1093,PRODUCTOS!$A$6:$A$105,0)),0))</f>
        <v/>
      </c>
      <c r="G1093" s="40"/>
      <c r="H1093" s="35" t="str">
        <f aca="false">IF($C1093="","",N($E1093)*$F1093-N($G1093))</f>
        <v/>
      </c>
      <c r="I1093" s="35" t="str">
        <f aca="false">IF($C1093="","",$H1093-$H1093/(1+IFERROR(INDEX(PRODUCTOS!$E$6:$E$105,MATCH($C1093,PRODUCTOS!$A$6:$A$105,0)),IVA_VENTAS)))</f>
        <v/>
      </c>
      <c r="J1093" s="35" t="str">
        <f aca="false">IF($C1093="","",$H1093-$I1093)</f>
        <v/>
      </c>
      <c r="K1093" s="35" t="str">
        <f aca="false">IF($C1093="","",N($E1093)*IFERROR(INDEX(PRODUCTOS!$H$6:$H$105,MATCH($C1093,PRODUCTOS!$A$6:$A$105,0)),0))</f>
        <v/>
      </c>
      <c r="L1093" s="35" t="str">
        <f aca="false">IF($C1093="","",$J1093-$K1093)</f>
        <v/>
      </c>
      <c r="M1093" s="6"/>
      <c r="N1093" s="6"/>
      <c r="O1093" s="46" t="str">
        <f aca="false">IF($A1093="","",DATE(YEAR($A1093),MONTH($A1093),1))</f>
        <v/>
      </c>
    </row>
    <row r="1094" customFormat="false" ht="15" hidden="false" customHeight="false" outlineLevel="0" collapsed="false">
      <c r="A1094" s="44"/>
      <c r="B1094" s="6"/>
      <c r="C1094" s="6"/>
      <c r="D1094" s="8" t="str">
        <f aca="false">IF($C1094="","",IFERROR(INDEX(PRODUCTOS!$B$6:$B$105,MATCH($C1094,PRODUCTOS!$A$6:$A$105,0)),"¿Código?"))</f>
        <v/>
      </c>
      <c r="E1094" s="42"/>
      <c r="F1094" s="35" t="str">
        <f aca="false">IF($C1094="","",IFERROR(INDEX(PRODUCTOS!$D$6:$D$105,MATCH($C1094,PRODUCTOS!$A$6:$A$105,0)),0))</f>
        <v/>
      </c>
      <c r="G1094" s="40"/>
      <c r="H1094" s="35" t="str">
        <f aca="false">IF($C1094="","",N($E1094)*$F1094-N($G1094))</f>
        <v/>
      </c>
      <c r="I1094" s="35" t="str">
        <f aca="false">IF($C1094="","",$H1094-$H1094/(1+IFERROR(INDEX(PRODUCTOS!$E$6:$E$105,MATCH($C1094,PRODUCTOS!$A$6:$A$105,0)),IVA_VENTAS)))</f>
        <v/>
      </c>
      <c r="J1094" s="35" t="str">
        <f aca="false">IF($C1094="","",$H1094-$I1094)</f>
        <v/>
      </c>
      <c r="K1094" s="35" t="str">
        <f aca="false">IF($C1094="","",N($E1094)*IFERROR(INDEX(PRODUCTOS!$H$6:$H$105,MATCH($C1094,PRODUCTOS!$A$6:$A$105,0)),0))</f>
        <v/>
      </c>
      <c r="L1094" s="35" t="str">
        <f aca="false">IF($C1094="","",$J1094-$K1094)</f>
        <v/>
      </c>
      <c r="M1094" s="6"/>
      <c r="N1094" s="6"/>
      <c r="O1094" s="46" t="str">
        <f aca="false">IF($A1094="","",DATE(YEAR($A1094),MONTH($A1094),1))</f>
        <v/>
      </c>
    </row>
    <row r="1095" customFormat="false" ht="15" hidden="false" customHeight="false" outlineLevel="0" collapsed="false">
      <c r="A1095" s="44"/>
      <c r="B1095" s="6"/>
      <c r="C1095" s="6"/>
      <c r="D1095" s="8" t="str">
        <f aca="false">IF($C1095="","",IFERROR(INDEX(PRODUCTOS!$B$6:$B$105,MATCH($C1095,PRODUCTOS!$A$6:$A$105,0)),"¿Código?"))</f>
        <v/>
      </c>
      <c r="E1095" s="42"/>
      <c r="F1095" s="35" t="str">
        <f aca="false">IF($C1095="","",IFERROR(INDEX(PRODUCTOS!$D$6:$D$105,MATCH($C1095,PRODUCTOS!$A$6:$A$105,0)),0))</f>
        <v/>
      </c>
      <c r="G1095" s="40"/>
      <c r="H1095" s="35" t="str">
        <f aca="false">IF($C1095="","",N($E1095)*$F1095-N($G1095))</f>
        <v/>
      </c>
      <c r="I1095" s="35" t="str">
        <f aca="false">IF($C1095="","",$H1095-$H1095/(1+IFERROR(INDEX(PRODUCTOS!$E$6:$E$105,MATCH($C1095,PRODUCTOS!$A$6:$A$105,0)),IVA_VENTAS)))</f>
        <v/>
      </c>
      <c r="J1095" s="35" t="str">
        <f aca="false">IF($C1095="","",$H1095-$I1095)</f>
        <v/>
      </c>
      <c r="K1095" s="35" t="str">
        <f aca="false">IF($C1095="","",N($E1095)*IFERROR(INDEX(PRODUCTOS!$H$6:$H$105,MATCH($C1095,PRODUCTOS!$A$6:$A$105,0)),0))</f>
        <v/>
      </c>
      <c r="L1095" s="35" t="str">
        <f aca="false">IF($C1095="","",$J1095-$K1095)</f>
        <v/>
      </c>
      <c r="M1095" s="6"/>
      <c r="N1095" s="6"/>
      <c r="O1095" s="46" t="str">
        <f aca="false">IF($A1095="","",DATE(YEAR($A1095),MONTH($A1095),1))</f>
        <v/>
      </c>
    </row>
    <row r="1096" customFormat="false" ht="15" hidden="false" customHeight="false" outlineLevel="0" collapsed="false">
      <c r="A1096" s="44"/>
      <c r="B1096" s="6"/>
      <c r="C1096" s="6"/>
      <c r="D1096" s="8" t="str">
        <f aca="false">IF($C1096="","",IFERROR(INDEX(PRODUCTOS!$B$6:$B$105,MATCH($C1096,PRODUCTOS!$A$6:$A$105,0)),"¿Código?"))</f>
        <v/>
      </c>
      <c r="E1096" s="42"/>
      <c r="F1096" s="35" t="str">
        <f aca="false">IF($C1096="","",IFERROR(INDEX(PRODUCTOS!$D$6:$D$105,MATCH($C1096,PRODUCTOS!$A$6:$A$105,0)),0))</f>
        <v/>
      </c>
      <c r="G1096" s="40"/>
      <c r="H1096" s="35" t="str">
        <f aca="false">IF($C1096="","",N($E1096)*$F1096-N($G1096))</f>
        <v/>
      </c>
      <c r="I1096" s="35" t="str">
        <f aca="false">IF($C1096="","",$H1096-$H1096/(1+IFERROR(INDEX(PRODUCTOS!$E$6:$E$105,MATCH($C1096,PRODUCTOS!$A$6:$A$105,0)),IVA_VENTAS)))</f>
        <v/>
      </c>
      <c r="J1096" s="35" t="str">
        <f aca="false">IF($C1096="","",$H1096-$I1096)</f>
        <v/>
      </c>
      <c r="K1096" s="35" t="str">
        <f aca="false">IF($C1096="","",N($E1096)*IFERROR(INDEX(PRODUCTOS!$H$6:$H$105,MATCH($C1096,PRODUCTOS!$A$6:$A$105,0)),0))</f>
        <v/>
      </c>
      <c r="L1096" s="35" t="str">
        <f aca="false">IF($C1096="","",$J1096-$K1096)</f>
        <v/>
      </c>
      <c r="M1096" s="6"/>
      <c r="N1096" s="6"/>
      <c r="O1096" s="46" t="str">
        <f aca="false">IF($A1096="","",DATE(YEAR($A1096),MONTH($A1096),1))</f>
        <v/>
      </c>
    </row>
    <row r="1097" customFormat="false" ht="15" hidden="false" customHeight="false" outlineLevel="0" collapsed="false">
      <c r="A1097" s="44"/>
      <c r="B1097" s="6"/>
      <c r="C1097" s="6"/>
      <c r="D1097" s="8" t="str">
        <f aca="false">IF($C1097="","",IFERROR(INDEX(PRODUCTOS!$B$6:$B$105,MATCH($C1097,PRODUCTOS!$A$6:$A$105,0)),"¿Código?"))</f>
        <v/>
      </c>
      <c r="E1097" s="42"/>
      <c r="F1097" s="35" t="str">
        <f aca="false">IF($C1097="","",IFERROR(INDEX(PRODUCTOS!$D$6:$D$105,MATCH($C1097,PRODUCTOS!$A$6:$A$105,0)),0))</f>
        <v/>
      </c>
      <c r="G1097" s="40"/>
      <c r="H1097" s="35" t="str">
        <f aca="false">IF($C1097="","",N($E1097)*$F1097-N($G1097))</f>
        <v/>
      </c>
      <c r="I1097" s="35" t="str">
        <f aca="false">IF($C1097="","",$H1097-$H1097/(1+IFERROR(INDEX(PRODUCTOS!$E$6:$E$105,MATCH($C1097,PRODUCTOS!$A$6:$A$105,0)),IVA_VENTAS)))</f>
        <v/>
      </c>
      <c r="J1097" s="35" t="str">
        <f aca="false">IF($C1097="","",$H1097-$I1097)</f>
        <v/>
      </c>
      <c r="K1097" s="35" t="str">
        <f aca="false">IF($C1097="","",N($E1097)*IFERROR(INDEX(PRODUCTOS!$H$6:$H$105,MATCH($C1097,PRODUCTOS!$A$6:$A$105,0)),0))</f>
        <v/>
      </c>
      <c r="L1097" s="35" t="str">
        <f aca="false">IF($C1097="","",$J1097-$K1097)</f>
        <v/>
      </c>
      <c r="M1097" s="6"/>
      <c r="N1097" s="6"/>
      <c r="O1097" s="46" t="str">
        <f aca="false">IF($A1097="","",DATE(YEAR($A1097),MONTH($A1097),1))</f>
        <v/>
      </c>
    </row>
    <row r="1098" customFormat="false" ht="15" hidden="false" customHeight="false" outlineLevel="0" collapsed="false">
      <c r="A1098" s="44"/>
      <c r="B1098" s="6"/>
      <c r="C1098" s="6"/>
      <c r="D1098" s="8" t="str">
        <f aca="false">IF($C1098="","",IFERROR(INDEX(PRODUCTOS!$B$6:$B$105,MATCH($C1098,PRODUCTOS!$A$6:$A$105,0)),"¿Código?"))</f>
        <v/>
      </c>
      <c r="E1098" s="42"/>
      <c r="F1098" s="35" t="str">
        <f aca="false">IF($C1098="","",IFERROR(INDEX(PRODUCTOS!$D$6:$D$105,MATCH($C1098,PRODUCTOS!$A$6:$A$105,0)),0))</f>
        <v/>
      </c>
      <c r="G1098" s="40"/>
      <c r="H1098" s="35" t="str">
        <f aca="false">IF($C1098="","",N($E1098)*$F1098-N($G1098))</f>
        <v/>
      </c>
      <c r="I1098" s="35" t="str">
        <f aca="false">IF($C1098="","",$H1098-$H1098/(1+IFERROR(INDEX(PRODUCTOS!$E$6:$E$105,MATCH($C1098,PRODUCTOS!$A$6:$A$105,0)),IVA_VENTAS)))</f>
        <v/>
      </c>
      <c r="J1098" s="35" t="str">
        <f aca="false">IF($C1098="","",$H1098-$I1098)</f>
        <v/>
      </c>
      <c r="K1098" s="35" t="str">
        <f aca="false">IF($C1098="","",N($E1098)*IFERROR(INDEX(PRODUCTOS!$H$6:$H$105,MATCH($C1098,PRODUCTOS!$A$6:$A$105,0)),0))</f>
        <v/>
      </c>
      <c r="L1098" s="35" t="str">
        <f aca="false">IF($C1098="","",$J1098-$K1098)</f>
        <v/>
      </c>
      <c r="M1098" s="6"/>
      <c r="N1098" s="6"/>
      <c r="O1098" s="46" t="str">
        <f aca="false">IF($A1098="","",DATE(YEAR($A1098),MONTH($A1098),1))</f>
        <v/>
      </c>
    </row>
    <row r="1099" customFormat="false" ht="15" hidden="false" customHeight="false" outlineLevel="0" collapsed="false">
      <c r="A1099" s="44"/>
      <c r="B1099" s="6"/>
      <c r="C1099" s="6"/>
      <c r="D1099" s="8" t="str">
        <f aca="false">IF($C1099="","",IFERROR(INDEX(PRODUCTOS!$B$6:$B$105,MATCH($C1099,PRODUCTOS!$A$6:$A$105,0)),"¿Código?"))</f>
        <v/>
      </c>
      <c r="E1099" s="42"/>
      <c r="F1099" s="35" t="str">
        <f aca="false">IF($C1099="","",IFERROR(INDEX(PRODUCTOS!$D$6:$D$105,MATCH($C1099,PRODUCTOS!$A$6:$A$105,0)),0))</f>
        <v/>
      </c>
      <c r="G1099" s="40"/>
      <c r="H1099" s="35" t="str">
        <f aca="false">IF($C1099="","",N($E1099)*$F1099-N($G1099))</f>
        <v/>
      </c>
      <c r="I1099" s="35" t="str">
        <f aca="false">IF($C1099="","",$H1099-$H1099/(1+IFERROR(INDEX(PRODUCTOS!$E$6:$E$105,MATCH($C1099,PRODUCTOS!$A$6:$A$105,0)),IVA_VENTAS)))</f>
        <v/>
      </c>
      <c r="J1099" s="35" t="str">
        <f aca="false">IF($C1099="","",$H1099-$I1099)</f>
        <v/>
      </c>
      <c r="K1099" s="35" t="str">
        <f aca="false">IF($C1099="","",N($E1099)*IFERROR(INDEX(PRODUCTOS!$H$6:$H$105,MATCH($C1099,PRODUCTOS!$A$6:$A$105,0)),0))</f>
        <v/>
      </c>
      <c r="L1099" s="35" t="str">
        <f aca="false">IF($C1099="","",$J1099-$K1099)</f>
        <v/>
      </c>
      <c r="M1099" s="6"/>
      <c r="N1099" s="6"/>
      <c r="O1099" s="46" t="str">
        <f aca="false">IF($A1099="","",DATE(YEAR($A1099),MONTH($A1099),1))</f>
        <v/>
      </c>
    </row>
    <row r="1100" customFormat="false" ht="15" hidden="false" customHeight="false" outlineLevel="0" collapsed="false">
      <c r="A1100" s="44"/>
      <c r="B1100" s="6"/>
      <c r="C1100" s="6"/>
      <c r="D1100" s="8" t="str">
        <f aca="false">IF($C1100="","",IFERROR(INDEX(PRODUCTOS!$B$6:$B$105,MATCH($C1100,PRODUCTOS!$A$6:$A$105,0)),"¿Código?"))</f>
        <v/>
      </c>
      <c r="E1100" s="42"/>
      <c r="F1100" s="35" t="str">
        <f aca="false">IF($C1100="","",IFERROR(INDEX(PRODUCTOS!$D$6:$D$105,MATCH($C1100,PRODUCTOS!$A$6:$A$105,0)),0))</f>
        <v/>
      </c>
      <c r="G1100" s="40"/>
      <c r="H1100" s="35" t="str">
        <f aca="false">IF($C1100="","",N($E1100)*$F1100-N($G1100))</f>
        <v/>
      </c>
      <c r="I1100" s="35" t="str">
        <f aca="false">IF($C1100="","",$H1100-$H1100/(1+IFERROR(INDEX(PRODUCTOS!$E$6:$E$105,MATCH($C1100,PRODUCTOS!$A$6:$A$105,0)),IVA_VENTAS)))</f>
        <v/>
      </c>
      <c r="J1100" s="35" t="str">
        <f aca="false">IF($C1100="","",$H1100-$I1100)</f>
        <v/>
      </c>
      <c r="K1100" s="35" t="str">
        <f aca="false">IF($C1100="","",N($E1100)*IFERROR(INDEX(PRODUCTOS!$H$6:$H$105,MATCH($C1100,PRODUCTOS!$A$6:$A$105,0)),0))</f>
        <v/>
      </c>
      <c r="L1100" s="35" t="str">
        <f aca="false">IF($C1100="","",$J1100-$K1100)</f>
        <v/>
      </c>
      <c r="M1100" s="6"/>
      <c r="N1100" s="6"/>
      <c r="O1100" s="46" t="str">
        <f aca="false">IF($A1100="","",DATE(YEAR($A1100),MONTH($A1100),1))</f>
        <v/>
      </c>
    </row>
    <row r="1101" customFormat="false" ht="15" hidden="false" customHeight="false" outlineLevel="0" collapsed="false">
      <c r="A1101" s="44"/>
      <c r="B1101" s="6"/>
      <c r="C1101" s="6"/>
      <c r="D1101" s="8" t="str">
        <f aca="false">IF($C1101="","",IFERROR(INDEX(PRODUCTOS!$B$6:$B$105,MATCH($C1101,PRODUCTOS!$A$6:$A$105,0)),"¿Código?"))</f>
        <v/>
      </c>
      <c r="E1101" s="42"/>
      <c r="F1101" s="35" t="str">
        <f aca="false">IF($C1101="","",IFERROR(INDEX(PRODUCTOS!$D$6:$D$105,MATCH($C1101,PRODUCTOS!$A$6:$A$105,0)),0))</f>
        <v/>
      </c>
      <c r="G1101" s="40"/>
      <c r="H1101" s="35" t="str">
        <f aca="false">IF($C1101="","",N($E1101)*$F1101-N($G1101))</f>
        <v/>
      </c>
      <c r="I1101" s="35" t="str">
        <f aca="false">IF($C1101="","",$H1101-$H1101/(1+IFERROR(INDEX(PRODUCTOS!$E$6:$E$105,MATCH($C1101,PRODUCTOS!$A$6:$A$105,0)),IVA_VENTAS)))</f>
        <v/>
      </c>
      <c r="J1101" s="35" t="str">
        <f aca="false">IF($C1101="","",$H1101-$I1101)</f>
        <v/>
      </c>
      <c r="K1101" s="35" t="str">
        <f aca="false">IF($C1101="","",N($E1101)*IFERROR(INDEX(PRODUCTOS!$H$6:$H$105,MATCH($C1101,PRODUCTOS!$A$6:$A$105,0)),0))</f>
        <v/>
      </c>
      <c r="L1101" s="35" t="str">
        <f aca="false">IF($C1101="","",$J1101-$K1101)</f>
        <v/>
      </c>
      <c r="M1101" s="6"/>
      <c r="N1101" s="6"/>
      <c r="O1101" s="46" t="str">
        <f aca="false">IF($A1101="","",DATE(YEAR($A1101),MONTH($A1101),1))</f>
        <v/>
      </c>
    </row>
    <row r="1102" customFormat="false" ht="15" hidden="false" customHeight="false" outlineLevel="0" collapsed="false">
      <c r="A1102" s="44"/>
      <c r="B1102" s="6"/>
      <c r="C1102" s="6"/>
      <c r="D1102" s="8" t="str">
        <f aca="false">IF($C1102="","",IFERROR(INDEX(PRODUCTOS!$B$6:$B$105,MATCH($C1102,PRODUCTOS!$A$6:$A$105,0)),"¿Código?"))</f>
        <v/>
      </c>
      <c r="E1102" s="42"/>
      <c r="F1102" s="35" t="str">
        <f aca="false">IF($C1102="","",IFERROR(INDEX(PRODUCTOS!$D$6:$D$105,MATCH($C1102,PRODUCTOS!$A$6:$A$105,0)),0))</f>
        <v/>
      </c>
      <c r="G1102" s="40"/>
      <c r="H1102" s="35" t="str">
        <f aca="false">IF($C1102="","",N($E1102)*$F1102-N($G1102))</f>
        <v/>
      </c>
      <c r="I1102" s="35" t="str">
        <f aca="false">IF($C1102="","",$H1102-$H1102/(1+IFERROR(INDEX(PRODUCTOS!$E$6:$E$105,MATCH($C1102,PRODUCTOS!$A$6:$A$105,0)),IVA_VENTAS)))</f>
        <v/>
      </c>
      <c r="J1102" s="35" t="str">
        <f aca="false">IF($C1102="","",$H1102-$I1102)</f>
        <v/>
      </c>
      <c r="K1102" s="35" t="str">
        <f aca="false">IF($C1102="","",N($E1102)*IFERROR(INDEX(PRODUCTOS!$H$6:$H$105,MATCH($C1102,PRODUCTOS!$A$6:$A$105,0)),0))</f>
        <v/>
      </c>
      <c r="L1102" s="35" t="str">
        <f aca="false">IF($C1102="","",$J1102-$K1102)</f>
        <v/>
      </c>
      <c r="M1102" s="6"/>
      <c r="N1102" s="6"/>
      <c r="O1102" s="46" t="str">
        <f aca="false">IF($A1102="","",DATE(YEAR($A1102),MONTH($A1102),1))</f>
        <v/>
      </c>
    </row>
    <row r="1103" customFormat="false" ht="15" hidden="false" customHeight="false" outlineLevel="0" collapsed="false">
      <c r="A1103" s="44"/>
      <c r="B1103" s="6"/>
      <c r="C1103" s="6"/>
      <c r="D1103" s="8" t="str">
        <f aca="false">IF($C1103="","",IFERROR(INDEX(PRODUCTOS!$B$6:$B$105,MATCH($C1103,PRODUCTOS!$A$6:$A$105,0)),"¿Código?"))</f>
        <v/>
      </c>
      <c r="E1103" s="42"/>
      <c r="F1103" s="35" t="str">
        <f aca="false">IF($C1103="","",IFERROR(INDEX(PRODUCTOS!$D$6:$D$105,MATCH($C1103,PRODUCTOS!$A$6:$A$105,0)),0))</f>
        <v/>
      </c>
      <c r="G1103" s="40"/>
      <c r="H1103" s="35" t="str">
        <f aca="false">IF($C1103="","",N($E1103)*$F1103-N($G1103))</f>
        <v/>
      </c>
      <c r="I1103" s="35" t="str">
        <f aca="false">IF($C1103="","",$H1103-$H1103/(1+IFERROR(INDEX(PRODUCTOS!$E$6:$E$105,MATCH($C1103,PRODUCTOS!$A$6:$A$105,0)),IVA_VENTAS)))</f>
        <v/>
      </c>
      <c r="J1103" s="35" t="str">
        <f aca="false">IF($C1103="","",$H1103-$I1103)</f>
        <v/>
      </c>
      <c r="K1103" s="35" t="str">
        <f aca="false">IF($C1103="","",N($E1103)*IFERROR(INDEX(PRODUCTOS!$H$6:$H$105,MATCH($C1103,PRODUCTOS!$A$6:$A$105,0)),0))</f>
        <v/>
      </c>
      <c r="L1103" s="35" t="str">
        <f aca="false">IF($C1103="","",$J1103-$K1103)</f>
        <v/>
      </c>
      <c r="M1103" s="6"/>
      <c r="N1103" s="6"/>
      <c r="O1103" s="46" t="str">
        <f aca="false">IF($A1103="","",DATE(YEAR($A1103),MONTH($A1103),1))</f>
        <v/>
      </c>
    </row>
    <row r="1104" customFormat="false" ht="15" hidden="false" customHeight="false" outlineLevel="0" collapsed="false">
      <c r="A1104" s="44"/>
      <c r="B1104" s="6"/>
      <c r="C1104" s="6"/>
      <c r="D1104" s="8" t="str">
        <f aca="false">IF($C1104="","",IFERROR(INDEX(PRODUCTOS!$B$6:$B$105,MATCH($C1104,PRODUCTOS!$A$6:$A$105,0)),"¿Código?"))</f>
        <v/>
      </c>
      <c r="E1104" s="42"/>
      <c r="F1104" s="35" t="str">
        <f aca="false">IF($C1104="","",IFERROR(INDEX(PRODUCTOS!$D$6:$D$105,MATCH($C1104,PRODUCTOS!$A$6:$A$105,0)),0))</f>
        <v/>
      </c>
      <c r="G1104" s="40"/>
      <c r="H1104" s="35" t="str">
        <f aca="false">IF($C1104="","",N($E1104)*$F1104-N($G1104))</f>
        <v/>
      </c>
      <c r="I1104" s="35" t="str">
        <f aca="false">IF($C1104="","",$H1104-$H1104/(1+IFERROR(INDEX(PRODUCTOS!$E$6:$E$105,MATCH($C1104,PRODUCTOS!$A$6:$A$105,0)),IVA_VENTAS)))</f>
        <v/>
      </c>
      <c r="J1104" s="35" t="str">
        <f aca="false">IF($C1104="","",$H1104-$I1104)</f>
        <v/>
      </c>
      <c r="K1104" s="35" t="str">
        <f aca="false">IF($C1104="","",N($E1104)*IFERROR(INDEX(PRODUCTOS!$H$6:$H$105,MATCH($C1104,PRODUCTOS!$A$6:$A$105,0)),0))</f>
        <v/>
      </c>
      <c r="L1104" s="35" t="str">
        <f aca="false">IF($C1104="","",$J1104-$K1104)</f>
        <v/>
      </c>
      <c r="M1104" s="6"/>
      <c r="N1104" s="6"/>
      <c r="O1104" s="46" t="str">
        <f aca="false">IF($A1104="","",DATE(YEAR($A1104),MONTH($A1104),1))</f>
        <v/>
      </c>
    </row>
    <row r="1105" customFormat="false" ht="15" hidden="false" customHeight="false" outlineLevel="0" collapsed="false">
      <c r="A1105" s="44"/>
      <c r="B1105" s="6"/>
      <c r="C1105" s="6"/>
      <c r="D1105" s="8" t="str">
        <f aca="false">IF($C1105="","",IFERROR(INDEX(PRODUCTOS!$B$6:$B$105,MATCH($C1105,PRODUCTOS!$A$6:$A$105,0)),"¿Código?"))</f>
        <v/>
      </c>
      <c r="E1105" s="42"/>
      <c r="F1105" s="35" t="str">
        <f aca="false">IF($C1105="","",IFERROR(INDEX(PRODUCTOS!$D$6:$D$105,MATCH($C1105,PRODUCTOS!$A$6:$A$105,0)),0))</f>
        <v/>
      </c>
      <c r="G1105" s="40"/>
      <c r="H1105" s="35" t="str">
        <f aca="false">IF($C1105="","",N($E1105)*$F1105-N($G1105))</f>
        <v/>
      </c>
      <c r="I1105" s="35" t="str">
        <f aca="false">IF($C1105="","",$H1105-$H1105/(1+IFERROR(INDEX(PRODUCTOS!$E$6:$E$105,MATCH($C1105,PRODUCTOS!$A$6:$A$105,0)),IVA_VENTAS)))</f>
        <v/>
      </c>
      <c r="J1105" s="35" t="str">
        <f aca="false">IF($C1105="","",$H1105-$I1105)</f>
        <v/>
      </c>
      <c r="K1105" s="35" t="str">
        <f aca="false">IF($C1105="","",N($E1105)*IFERROR(INDEX(PRODUCTOS!$H$6:$H$105,MATCH($C1105,PRODUCTOS!$A$6:$A$105,0)),0))</f>
        <v/>
      </c>
      <c r="L1105" s="35" t="str">
        <f aca="false">IF($C1105="","",$J1105-$K1105)</f>
        <v/>
      </c>
      <c r="M1105" s="6"/>
      <c r="N1105" s="6"/>
      <c r="O1105" s="46" t="str">
        <f aca="false">IF($A1105="","",DATE(YEAR($A1105),MONTH($A1105),1))</f>
        <v/>
      </c>
    </row>
    <row r="1106" customFormat="false" ht="15" hidden="false" customHeight="false" outlineLevel="0" collapsed="false">
      <c r="A1106" s="44"/>
      <c r="B1106" s="6"/>
      <c r="C1106" s="6"/>
      <c r="D1106" s="8" t="str">
        <f aca="false">IF($C1106="","",IFERROR(INDEX(PRODUCTOS!$B$6:$B$105,MATCH($C1106,PRODUCTOS!$A$6:$A$105,0)),"¿Código?"))</f>
        <v/>
      </c>
      <c r="E1106" s="42"/>
      <c r="F1106" s="35" t="str">
        <f aca="false">IF($C1106="","",IFERROR(INDEX(PRODUCTOS!$D$6:$D$105,MATCH($C1106,PRODUCTOS!$A$6:$A$105,0)),0))</f>
        <v/>
      </c>
      <c r="G1106" s="40"/>
      <c r="H1106" s="35" t="str">
        <f aca="false">IF($C1106="","",N($E1106)*$F1106-N($G1106))</f>
        <v/>
      </c>
      <c r="I1106" s="35" t="str">
        <f aca="false">IF($C1106="","",$H1106-$H1106/(1+IFERROR(INDEX(PRODUCTOS!$E$6:$E$105,MATCH($C1106,PRODUCTOS!$A$6:$A$105,0)),IVA_VENTAS)))</f>
        <v/>
      </c>
      <c r="J1106" s="35" t="str">
        <f aca="false">IF($C1106="","",$H1106-$I1106)</f>
        <v/>
      </c>
      <c r="K1106" s="35" t="str">
        <f aca="false">IF($C1106="","",N($E1106)*IFERROR(INDEX(PRODUCTOS!$H$6:$H$105,MATCH($C1106,PRODUCTOS!$A$6:$A$105,0)),0))</f>
        <v/>
      </c>
      <c r="L1106" s="35" t="str">
        <f aca="false">IF($C1106="","",$J1106-$K1106)</f>
        <v/>
      </c>
      <c r="M1106" s="6"/>
      <c r="N1106" s="6"/>
      <c r="O1106" s="46" t="str">
        <f aca="false">IF($A1106="","",DATE(YEAR($A1106),MONTH($A1106),1))</f>
        <v/>
      </c>
    </row>
    <row r="1107" customFormat="false" ht="15" hidden="false" customHeight="false" outlineLevel="0" collapsed="false">
      <c r="A1107" s="44"/>
      <c r="B1107" s="6"/>
      <c r="C1107" s="6"/>
      <c r="D1107" s="8" t="str">
        <f aca="false">IF($C1107="","",IFERROR(INDEX(PRODUCTOS!$B$6:$B$105,MATCH($C1107,PRODUCTOS!$A$6:$A$105,0)),"¿Código?"))</f>
        <v/>
      </c>
      <c r="E1107" s="42"/>
      <c r="F1107" s="35" t="str">
        <f aca="false">IF($C1107="","",IFERROR(INDEX(PRODUCTOS!$D$6:$D$105,MATCH($C1107,PRODUCTOS!$A$6:$A$105,0)),0))</f>
        <v/>
      </c>
      <c r="G1107" s="40"/>
      <c r="H1107" s="35" t="str">
        <f aca="false">IF($C1107="","",N($E1107)*$F1107-N($G1107))</f>
        <v/>
      </c>
      <c r="I1107" s="35" t="str">
        <f aca="false">IF($C1107="","",$H1107-$H1107/(1+IFERROR(INDEX(PRODUCTOS!$E$6:$E$105,MATCH($C1107,PRODUCTOS!$A$6:$A$105,0)),IVA_VENTAS)))</f>
        <v/>
      </c>
      <c r="J1107" s="35" t="str">
        <f aca="false">IF($C1107="","",$H1107-$I1107)</f>
        <v/>
      </c>
      <c r="K1107" s="35" t="str">
        <f aca="false">IF($C1107="","",N($E1107)*IFERROR(INDEX(PRODUCTOS!$H$6:$H$105,MATCH($C1107,PRODUCTOS!$A$6:$A$105,0)),0))</f>
        <v/>
      </c>
      <c r="L1107" s="35" t="str">
        <f aca="false">IF($C1107="","",$J1107-$K1107)</f>
        <v/>
      </c>
      <c r="M1107" s="6"/>
      <c r="N1107" s="6"/>
      <c r="O1107" s="46" t="str">
        <f aca="false">IF($A1107="","",DATE(YEAR($A1107),MONTH($A1107),1))</f>
        <v/>
      </c>
    </row>
    <row r="1108" customFormat="false" ht="15" hidden="false" customHeight="false" outlineLevel="0" collapsed="false">
      <c r="A1108" s="44"/>
      <c r="B1108" s="6"/>
      <c r="C1108" s="6"/>
      <c r="D1108" s="8" t="str">
        <f aca="false">IF($C1108="","",IFERROR(INDEX(PRODUCTOS!$B$6:$B$105,MATCH($C1108,PRODUCTOS!$A$6:$A$105,0)),"¿Código?"))</f>
        <v/>
      </c>
      <c r="E1108" s="42"/>
      <c r="F1108" s="35" t="str">
        <f aca="false">IF($C1108="","",IFERROR(INDEX(PRODUCTOS!$D$6:$D$105,MATCH($C1108,PRODUCTOS!$A$6:$A$105,0)),0))</f>
        <v/>
      </c>
      <c r="G1108" s="40"/>
      <c r="H1108" s="35" t="str">
        <f aca="false">IF($C1108="","",N($E1108)*$F1108-N($G1108))</f>
        <v/>
      </c>
      <c r="I1108" s="35" t="str">
        <f aca="false">IF($C1108="","",$H1108-$H1108/(1+IFERROR(INDEX(PRODUCTOS!$E$6:$E$105,MATCH($C1108,PRODUCTOS!$A$6:$A$105,0)),IVA_VENTAS)))</f>
        <v/>
      </c>
      <c r="J1108" s="35" t="str">
        <f aca="false">IF($C1108="","",$H1108-$I1108)</f>
        <v/>
      </c>
      <c r="K1108" s="35" t="str">
        <f aca="false">IF($C1108="","",N($E1108)*IFERROR(INDEX(PRODUCTOS!$H$6:$H$105,MATCH($C1108,PRODUCTOS!$A$6:$A$105,0)),0))</f>
        <v/>
      </c>
      <c r="L1108" s="35" t="str">
        <f aca="false">IF($C1108="","",$J1108-$K1108)</f>
        <v/>
      </c>
      <c r="M1108" s="6"/>
      <c r="N1108" s="6"/>
      <c r="O1108" s="46" t="str">
        <f aca="false">IF($A1108="","",DATE(YEAR($A1108),MONTH($A1108),1))</f>
        <v/>
      </c>
    </row>
    <row r="1109" customFormat="false" ht="15" hidden="false" customHeight="false" outlineLevel="0" collapsed="false">
      <c r="A1109" s="44"/>
      <c r="B1109" s="6"/>
      <c r="C1109" s="6"/>
      <c r="D1109" s="8" t="str">
        <f aca="false">IF($C1109="","",IFERROR(INDEX(PRODUCTOS!$B$6:$B$105,MATCH($C1109,PRODUCTOS!$A$6:$A$105,0)),"¿Código?"))</f>
        <v/>
      </c>
      <c r="E1109" s="42"/>
      <c r="F1109" s="35" t="str">
        <f aca="false">IF($C1109="","",IFERROR(INDEX(PRODUCTOS!$D$6:$D$105,MATCH($C1109,PRODUCTOS!$A$6:$A$105,0)),0))</f>
        <v/>
      </c>
      <c r="G1109" s="40"/>
      <c r="H1109" s="35" t="str">
        <f aca="false">IF($C1109="","",N($E1109)*$F1109-N($G1109))</f>
        <v/>
      </c>
      <c r="I1109" s="35" t="str">
        <f aca="false">IF($C1109="","",$H1109-$H1109/(1+IFERROR(INDEX(PRODUCTOS!$E$6:$E$105,MATCH($C1109,PRODUCTOS!$A$6:$A$105,0)),IVA_VENTAS)))</f>
        <v/>
      </c>
      <c r="J1109" s="35" t="str">
        <f aca="false">IF($C1109="","",$H1109-$I1109)</f>
        <v/>
      </c>
      <c r="K1109" s="35" t="str">
        <f aca="false">IF($C1109="","",N($E1109)*IFERROR(INDEX(PRODUCTOS!$H$6:$H$105,MATCH($C1109,PRODUCTOS!$A$6:$A$105,0)),0))</f>
        <v/>
      </c>
      <c r="L1109" s="35" t="str">
        <f aca="false">IF($C1109="","",$J1109-$K1109)</f>
        <v/>
      </c>
      <c r="M1109" s="6"/>
      <c r="N1109" s="6"/>
      <c r="O1109" s="46" t="str">
        <f aca="false">IF($A1109="","",DATE(YEAR($A1109),MONTH($A1109),1))</f>
        <v/>
      </c>
    </row>
    <row r="1110" customFormat="false" ht="15" hidden="false" customHeight="false" outlineLevel="0" collapsed="false">
      <c r="A1110" s="44"/>
      <c r="B1110" s="6"/>
      <c r="C1110" s="6"/>
      <c r="D1110" s="8" t="str">
        <f aca="false">IF($C1110="","",IFERROR(INDEX(PRODUCTOS!$B$6:$B$105,MATCH($C1110,PRODUCTOS!$A$6:$A$105,0)),"¿Código?"))</f>
        <v/>
      </c>
      <c r="E1110" s="42"/>
      <c r="F1110" s="35" t="str">
        <f aca="false">IF($C1110="","",IFERROR(INDEX(PRODUCTOS!$D$6:$D$105,MATCH($C1110,PRODUCTOS!$A$6:$A$105,0)),0))</f>
        <v/>
      </c>
      <c r="G1110" s="40"/>
      <c r="H1110" s="35" t="str">
        <f aca="false">IF($C1110="","",N($E1110)*$F1110-N($G1110))</f>
        <v/>
      </c>
      <c r="I1110" s="35" t="str">
        <f aca="false">IF($C1110="","",$H1110-$H1110/(1+IFERROR(INDEX(PRODUCTOS!$E$6:$E$105,MATCH($C1110,PRODUCTOS!$A$6:$A$105,0)),IVA_VENTAS)))</f>
        <v/>
      </c>
      <c r="J1110" s="35" t="str">
        <f aca="false">IF($C1110="","",$H1110-$I1110)</f>
        <v/>
      </c>
      <c r="K1110" s="35" t="str">
        <f aca="false">IF($C1110="","",N($E1110)*IFERROR(INDEX(PRODUCTOS!$H$6:$H$105,MATCH($C1110,PRODUCTOS!$A$6:$A$105,0)),0))</f>
        <v/>
      </c>
      <c r="L1110" s="35" t="str">
        <f aca="false">IF($C1110="","",$J1110-$K1110)</f>
        <v/>
      </c>
      <c r="M1110" s="6"/>
      <c r="N1110" s="6"/>
      <c r="O1110" s="46" t="str">
        <f aca="false">IF($A1110="","",DATE(YEAR($A1110),MONTH($A1110),1))</f>
        <v/>
      </c>
    </row>
    <row r="1111" customFormat="false" ht="15" hidden="false" customHeight="false" outlineLevel="0" collapsed="false">
      <c r="A1111" s="44"/>
      <c r="B1111" s="6"/>
      <c r="C1111" s="6"/>
      <c r="D1111" s="8" t="str">
        <f aca="false">IF($C1111="","",IFERROR(INDEX(PRODUCTOS!$B$6:$B$105,MATCH($C1111,PRODUCTOS!$A$6:$A$105,0)),"¿Código?"))</f>
        <v/>
      </c>
      <c r="E1111" s="42"/>
      <c r="F1111" s="35" t="str">
        <f aca="false">IF($C1111="","",IFERROR(INDEX(PRODUCTOS!$D$6:$D$105,MATCH($C1111,PRODUCTOS!$A$6:$A$105,0)),0))</f>
        <v/>
      </c>
      <c r="G1111" s="40"/>
      <c r="H1111" s="35" t="str">
        <f aca="false">IF($C1111="","",N($E1111)*$F1111-N($G1111))</f>
        <v/>
      </c>
      <c r="I1111" s="35" t="str">
        <f aca="false">IF($C1111="","",$H1111-$H1111/(1+IFERROR(INDEX(PRODUCTOS!$E$6:$E$105,MATCH($C1111,PRODUCTOS!$A$6:$A$105,0)),IVA_VENTAS)))</f>
        <v/>
      </c>
      <c r="J1111" s="35" t="str">
        <f aca="false">IF($C1111="","",$H1111-$I1111)</f>
        <v/>
      </c>
      <c r="K1111" s="35" t="str">
        <f aca="false">IF($C1111="","",N($E1111)*IFERROR(INDEX(PRODUCTOS!$H$6:$H$105,MATCH($C1111,PRODUCTOS!$A$6:$A$105,0)),0))</f>
        <v/>
      </c>
      <c r="L1111" s="35" t="str">
        <f aca="false">IF($C1111="","",$J1111-$K1111)</f>
        <v/>
      </c>
      <c r="M1111" s="6"/>
      <c r="N1111" s="6"/>
      <c r="O1111" s="46" t="str">
        <f aca="false">IF($A1111="","",DATE(YEAR($A1111),MONTH($A1111),1))</f>
        <v/>
      </c>
    </row>
    <row r="1112" customFormat="false" ht="15" hidden="false" customHeight="false" outlineLevel="0" collapsed="false">
      <c r="A1112" s="44"/>
      <c r="B1112" s="6"/>
      <c r="C1112" s="6"/>
      <c r="D1112" s="8" t="str">
        <f aca="false">IF($C1112="","",IFERROR(INDEX(PRODUCTOS!$B$6:$B$105,MATCH($C1112,PRODUCTOS!$A$6:$A$105,0)),"¿Código?"))</f>
        <v/>
      </c>
      <c r="E1112" s="42"/>
      <c r="F1112" s="35" t="str">
        <f aca="false">IF($C1112="","",IFERROR(INDEX(PRODUCTOS!$D$6:$D$105,MATCH($C1112,PRODUCTOS!$A$6:$A$105,0)),0))</f>
        <v/>
      </c>
      <c r="G1112" s="40"/>
      <c r="H1112" s="35" t="str">
        <f aca="false">IF($C1112="","",N($E1112)*$F1112-N($G1112))</f>
        <v/>
      </c>
      <c r="I1112" s="35" t="str">
        <f aca="false">IF($C1112="","",$H1112-$H1112/(1+IFERROR(INDEX(PRODUCTOS!$E$6:$E$105,MATCH($C1112,PRODUCTOS!$A$6:$A$105,0)),IVA_VENTAS)))</f>
        <v/>
      </c>
      <c r="J1112" s="35" t="str">
        <f aca="false">IF($C1112="","",$H1112-$I1112)</f>
        <v/>
      </c>
      <c r="K1112" s="35" t="str">
        <f aca="false">IF($C1112="","",N($E1112)*IFERROR(INDEX(PRODUCTOS!$H$6:$H$105,MATCH($C1112,PRODUCTOS!$A$6:$A$105,0)),0))</f>
        <v/>
      </c>
      <c r="L1112" s="35" t="str">
        <f aca="false">IF($C1112="","",$J1112-$K1112)</f>
        <v/>
      </c>
      <c r="M1112" s="6"/>
      <c r="N1112" s="6"/>
      <c r="O1112" s="46" t="str">
        <f aca="false">IF($A1112="","",DATE(YEAR($A1112),MONTH($A1112),1))</f>
        <v/>
      </c>
    </row>
    <row r="1113" customFormat="false" ht="15" hidden="false" customHeight="false" outlineLevel="0" collapsed="false">
      <c r="A1113" s="44"/>
      <c r="B1113" s="6"/>
      <c r="C1113" s="6"/>
      <c r="D1113" s="8" t="str">
        <f aca="false">IF($C1113="","",IFERROR(INDEX(PRODUCTOS!$B$6:$B$105,MATCH($C1113,PRODUCTOS!$A$6:$A$105,0)),"¿Código?"))</f>
        <v/>
      </c>
      <c r="E1113" s="42"/>
      <c r="F1113" s="35" t="str">
        <f aca="false">IF($C1113="","",IFERROR(INDEX(PRODUCTOS!$D$6:$D$105,MATCH($C1113,PRODUCTOS!$A$6:$A$105,0)),0))</f>
        <v/>
      </c>
      <c r="G1113" s="40"/>
      <c r="H1113" s="35" t="str">
        <f aca="false">IF($C1113="","",N($E1113)*$F1113-N($G1113))</f>
        <v/>
      </c>
      <c r="I1113" s="35" t="str">
        <f aca="false">IF($C1113="","",$H1113-$H1113/(1+IFERROR(INDEX(PRODUCTOS!$E$6:$E$105,MATCH($C1113,PRODUCTOS!$A$6:$A$105,0)),IVA_VENTAS)))</f>
        <v/>
      </c>
      <c r="J1113" s="35" t="str">
        <f aca="false">IF($C1113="","",$H1113-$I1113)</f>
        <v/>
      </c>
      <c r="K1113" s="35" t="str">
        <f aca="false">IF($C1113="","",N($E1113)*IFERROR(INDEX(PRODUCTOS!$H$6:$H$105,MATCH($C1113,PRODUCTOS!$A$6:$A$105,0)),0))</f>
        <v/>
      </c>
      <c r="L1113" s="35" t="str">
        <f aca="false">IF($C1113="","",$J1113-$K1113)</f>
        <v/>
      </c>
      <c r="M1113" s="6"/>
      <c r="N1113" s="6"/>
      <c r="O1113" s="46" t="str">
        <f aca="false">IF($A1113="","",DATE(YEAR($A1113),MONTH($A1113),1))</f>
        <v/>
      </c>
    </row>
    <row r="1114" customFormat="false" ht="15" hidden="false" customHeight="false" outlineLevel="0" collapsed="false">
      <c r="A1114" s="44"/>
      <c r="B1114" s="6"/>
      <c r="C1114" s="6"/>
      <c r="D1114" s="8" t="str">
        <f aca="false">IF($C1114="","",IFERROR(INDEX(PRODUCTOS!$B$6:$B$105,MATCH($C1114,PRODUCTOS!$A$6:$A$105,0)),"¿Código?"))</f>
        <v/>
      </c>
      <c r="E1114" s="42"/>
      <c r="F1114" s="35" t="str">
        <f aca="false">IF($C1114="","",IFERROR(INDEX(PRODUCTOS!$D$6:$D$105,MATCH($C1114,PRODUCTOS!$A$6:$A$105,0)),0))</f>
        <v/>
      </c>
      <c r="G1114" s="40"/>
      <c r="H1114" s="35" t="str">
        <f aca="false">IF($C1114="","",N($E1114)*$F1114-N($G1114))</f>
        <v/>
      </c>
      <c r="I1114" s="35" t="str">
        <f aca="false">IF($C1114="","",$H1114-$H1114/(1+IFERROR(INDEX(PRODUCTOS!$E$6:$E$105,MATCH($C1114,PRODUCTOS!$A$6:$A$105,0)),IVA_VENTAS)))</f>
        <v/>
      </c>
      <c r="J1114" s="35" t="str">
        <f aca="false">IF($C1114="","",$H1114-$I1114)</f>
        <v/>
      </c>
      <c r="K1114" s="35" t="str">
        <f aca="false">IF($C1114="","",N($E1114)*IFERROR(INDEX(PRODUCTOS!$H$6:$H$105,MATCH($C1114,PRODUCTOS!$A$6:$A$105,0)),0))</f>
        <v/>
      </c>
      <c r="L1114" s="35" t="str">
        <f aca="false">IF($C1114="","",$J1114-$K1114)</f>
        <v/>
      </c>
      <c r="M1114" s="6"/>
      <c r="N1114" s="6"/>
      <c r="O1114" s="46" t="str">
        <f aca="false">IF($A1114="","",DATE(YEAR($A1114),MONTH($A1114),1))</f>
        <v/>
      </c>
    </row>
    <row r="1115" customFormat="false" ht="15" hidden="false" customHeight="false" outlineLevel="0" collapsed="false">
      <c r="A1115" s="44"/>
      <c r="B1115" s="6"/>
      <c r="C1115" s="6"/>
      <c r="D1115" s="8" t="str">
        <f aca="false">IF($C1115="","",IFERROR(INDEX(PRODUCTOS!$B$6:$B$105,MATCH($C1115,PRODUCTOS!$A$6:$A$105,0)),"¿Código?"))</f>
        <v/>
      </c>
      <c r="E1115" s="42"/>
      <c r="F1115" s="35" t="str">
        <f aca="false">IF($C1115="","",IFERROR(INDEX(PRODUCTOS!$D$6:$D$105,MATCH($C1115,PRODUCTOS!$A$6:$A$105,0)),0))</f>
        <v/>
      </c>
      <c r="G1115" s="40"/>
      <c r="H1115" s="35" t="str">
        <f aca="false">IF($C1115="","",N($E1115)*$F1115-N($G1115))</f>
        <v/>
      </c>
      <c r="I1115" s="35" t="str">
        <f aca="false">IF($C1115="","",$H1115-$H1115/(1+IFERROR(INDEX(PRODUCTOS!$E$6:$E$105,MATCH($C1115,PRODUCTOS!$A$6:$A$105,0)),IVA_VENTAS)))</f>
        <v/>
      </c>
      <c r="J1115" s="35" t="str">
        <f aca="false">IF($C1115="","",$H1115-$I1115)</f>
        <v/>
      </c>
      <c r="K1115" s="35" t="str">
        <f aca="false">IF($C1115="","",N($E1115)*IFERROR(INDEX(PRODUCTOS!$H$6:$H$105,MATCH($C1115,PRODUCTOS!$A$6:$A$105,0)),0))</f>
        <v/>
      </c>
      <c r="L1115" s="35" t="str">
        <f aca="false">IF($C1115="","",$J1115-$K1115)</f>
        <v/>
      </c>
      <c r="M1115" s="6"/>
      <c r="N1115" s="6"/>
      <c r="O1115" s="46" t="str">
        <f aca="false">IF($A1115="","",DATE(YEAR($A1115),MONTH($A1115),1))</f>
        <v/>
      </c>
    </row>
    <row r="1116" customFormat="false" ht="15" hidden="false" customHeight="false" outlineLevel="0" collapsed="false">
      <c r="A1116" s="44"/>
      <c r="B1116" s="6"/>
      <c r="C1116" s="6"/>
      <c r="D1116" s="8" t="str">
        <f aca="false">IF($C1116="","",IFERROR(INDEX(PRODUCTOS!$B$6:$B$105,MATCH($C1116,PRODUCTOS!$A$6:$A$105,0)),"¿Código?"))</f>
        <v/>
      </c>
      <c r="E1116" s="42"/>
      <c r="F1116" s="35" t="str">
        <f aca="false">IF($C1116="","",IFERROR(INDEX(PRODUCTOS!$D$6:$D$105,MATCH($C1116,PRODUCTOS!$A$6:$A$105,0)),0))</f>
        <v/>
      </c>
      <c r="G1116" s="40"/>
      <c r="H1116" s="35" t="str">
        <f aca="false">IF($C1116="","",N($E1116)*$F1116-N($G1116))</f>
        <v/>
      </c>
      <c r="I1116" s="35" t="str">
        <f aca="false">IF($C1116="","",$H1116-$H1116/(1+IFERROR(INDEX(PRODUCTOS!$E$6:$E$105,MATCH($C1116,PRODUCTOS!$A$6:$A$105,0)),IVA_VENTAS)))</f>
        <v/>
      </c>
      <c r="J1116" s="35" t="str">
        <f aca="false">IF($C1116="","",$H1116-$I1116)</f>
        <v/>
      </c>
      <c r="K1116" s="35" t="str">
        <f aca="false">IF($C1116="","",N($E1116)*IFERROR(INDEX(PRODUCTOS!$H$6:$H$105,MATCH($C1116,PRODUCTOS!$A$6:$A$105,0)),0))</f>
        <v/>
      </c>
      <c r="L1116" s="35" t="str">
        <f aca="false">IF($C1116="","",$J1116-$K1116)</f>
        <v/>
      </c>
      <c r="M1116" s="6"/>
      <c r="N1116" s="6"/>
      <c r="O1116" s="46" t="str">
        <f aca="false">IF($A1116="","",DATE(YEAR($A1116),MONTH($A1116),1))</f>
        <v/>
      </c>
    </row>
    <row r="1117" customFormat="false" ht="15" hidden="false" customHeight="false" outlineLevel="0" collapsed="false">
      <c r="A1117" s="44"/>
      <c r="B1117" s="6"/>
      <c r="C1117" s="6"/>
      <c r="D1117" s="8" t="str">
        <f aca="false">IF($C1117="","",IFERROR(INDEX(PRODUCTOS!$B$6:$B$105,MATCH($C1117,PRODUCTOS!$A$6:$A$105,0)),"¿Código?"))</f>
        <v/>
      </c>
      <c r="E1117" s="42"/>
      <c r="F1117" s="35" t="str">
        <f aca="false">IF($C1117="","",IFERROR(INDEX(PRODUCTOS!$D$6:$D$105,MATCH($C1117,PRODUCTOS!$A$6:$A$105,0)),0))</f>
        <v/>
      </c>
      <c r="G1117" s="40"/>
      <c r="H1117" s="35" t="str">
        <f aca="false">IF($C1117="","",N($E1117)*$F1117-N($G1117))</f>
        <v/>
      </c>
      <c r="I1117" s="35" t="str">
        <f aca="false">IF($C1117="","",$H1117-$H1117/(1+IFERROR(INDEX(PRODUCTOS!$E$6:$E$105,MATCH($C1117,PRODUCTOS!$A$6:$A$105,0)),IVA_VENTAS)))</f>
        <v/>
      </c>
      <c r="J1117" s="35" t="str">
        <f aca="false">IF($C1117="","",$H1117-$I1117)</f>
        <v/>
      </c>
      <c r="K1117" s="35" t="str">
        <f aca="false">IF($C1117="","",N($E1117)*IFERROR(INDEX(PRODUCTOS!$H$6:$H$105,MATCH($C1117,PRODUCTOS!$A$6:$A$105,0)),0))</f>
        <v/>
      </c>
      <c r="L1117" s="35" t="str">
        <f aca="false">IF($C1117="","",$J1117-$K1117)</f>
        <v/>
      </c>
      <c r="M1117" s="6"/>
      <c r="N1117" s="6"/>
      <c r="O1117" s="46" t="str">
        <f aca="false">IF($A1117="","",DATE(YEAR($A1117),MONTH($A1117),1))</f>
        <v/>
      </c>
    </row>
    <row r="1118" customFormat="false" ht="15" hidden="false" customHeight="false" outlineLevel="0" collapsed="false">
      <c r="A1118" s="44"/>
      <c r="B1118" s="6"/>
      <c r="C1118" s="6"/>
      <c r="D1118" s="8" t="str">
        <f aca="false">IF($C1118="","",IFERROR(INDEX(PRODUCTOS!$B$6:$B$105,MATCH($C1118,PRODUCTOS!$A$6:$A$105,0)),"¿Código?"))</f>
        <v/>
      </c>
      <c r="E1118" s="42"/>
      <c r="F1118" s="35" t="str">
        <f aca="false">IF($C1118="","",IFERROR(INDEX(PRODUCTOS!$D$6:$D$105,MATCH($C1118,PRODUCTOS!$A$6:$A$105,0)),0))</f>
        <v/>
      </c>
      <c r="G1118" s="40"/>
      <c r="H1118" s="35" t="str">
        <f aca="false">IF($C1118="","",N($E1118)*$F1118-N($G1118))</f>
        <v/>
      </c>
      <c r="I1118" s="35" t="str">
        <f aca="false">IF($C1118="","",$H1118-$H1118/(1+IFERROR(INDEX(PRODUCTOS!$E$6:$E$105,MATCH($C1118,PRODUCTOS!$A$6:$A$105,0)),IVA_VENTAS)))</f>
        <v/>
      </c>
      <c r="J1118" s="35" t="str">
        <f aca="false">IF($C1118="","",$H1118-$I1118)</f>
        <v/>
      </c>
      <c r="K1118" s="35" t="str">
        <f aca="false">IF($C1118="","",N($E1118)*IFERROR(INDEX(PRODUCTOS!$H$6:$H$105,MATCH($C1118,PRODUCTOS!$A$6:$A$105,0)),0))</f>
        <v/>
      </c>
      <c r="L1118" s="35" t="str">
        <f aca="false">IF($C1118="","",$J1118-$K1118)</f>
        <v/>
      </c>
      <c r="M1118" s="6"/>
      <c r="N1118" s="6"/>
      <c r="O1118" s="46" t="str">
        <f aca="false">IF($A1118="","",DATE(YEAR($A1118),MONTH($A1118),1))</f>
        <v/>
      </c>
    </row>
    <row r="1119" customFormat="false" ht="15" hidden="false" customHeight="false" outlineLevel="0" collapsed="false">
      <c r="A1119" s="44"/>
      <c r="B1119" s="6"/>
      <c r="C1119" s="6"/>
      <c r="D1119" s="8" t="str">
        <f aca="false">IF($C1119="","",IFERROR(INDEX(PRODUCTOS!$B$6:$B$105,MATCH($C1119,PRODUCTOS!$A$6:$A$105,0)),"¿Código?"))</f>
        <v/>
      </c>
      <c r="E1119" s="42"/>
      <c r="F1119" s="35" t="str">
        <f aca="false">IF($C1119="","",IFERROR(INDEX(PRODUCTOS!$D$6:$D$105,MATCH($C1119,PRODUCTOS!$A$6:$A$105,0)),0))</f>
        <v/>
      </c>
      <c r="G1119" s="40"/>
      <c r="H1119" s="35" t="str">
        <f aca="false">IF($C1119="","",N($E1119)*$F1119-N($G1119))</f>
        <v/>
      </c>
      <c r="I1119" s="35" t="str">
        <f aca="false">IF($C1119="","",$H1119-$H1119/(1+IFERROR(INDEX(PRODUCTOS!$E$6:$E$105,MATCH($C1119,PRODUCTOS!$A$6:$A$105,0)),IVA_VENTAS)))</f>
        <v/>
      </c>
      <c r="J1119" s="35" t="str">
        <f aca="false">IF($C1119="","",$H1119-$I1119)</f>
        <v/>
      </c>
      <c r="K1119" s="35" t="str">
        <f aca="false">IF($C1119="","",N($E1119)*IFERROR(INDEX(PRODUCTOS!$H$6:$H$105,MATCH($C1119,PRODUCTOS!$A$6:$A$105,0)),0))</f>
        <v/>
      </c>
      <c r="L1119" s="35" t="str">
        <f aca="false">IF($C1119="","",$J1119-$K1119)</f>
        <v/>
      </c>
      <c r="M1119" s="6"/>
      <c r="N1119" s="6"/>
      <c r="O1119" s="46" t="str">
        <f aca="false">IF($A1119="","",DATE(YEAR($A1119),MONTH($A1119),1))</f>
        <v/>
      </c>
    </row>
    <row r="1120" customFormat="false" ht="15" hidden="false" customHeight="false" outlineLevel="0" collapsed="false">
      <c r="A1120" s="44"/>
      <c r="B1120" s="6"/>
      <c r="C1120" s="6"/>
      <c r="D1120" s="8" t="str">
        <f aca="false">IF($C1120="","",IFERROR(INDEX(PRODUCTOS!$B$6:$B$105,MATCH($C1120,PRODUCTOS!$A$6:$A$105,0)),"¿Código?"))</f>
        <v/>
      </c>
      <c r="E1120" s="42"/>
      <c r="F1120" s="35" t="str">
        <f aca="false">IF($C1120="","",IFERROR(INDEX(PRODUCTOS!$D$6:$D$105,MATCH($C1120,PRODUCTOS!$A$6:$A$105,0)),0))</f>
        <v/>
      </c>
      <c r="G1120" s="40"/>
      <c r="H1120" s="35" t="str">
        <f aca="false">IF($C1120="","",N($E1120)*$F1120-N($G1120))</f>
        <v/>
      </c>
      <c r="I1120" s="35" t="str">
        <f aca="false">IF($C1120="","",$H1120-$H1120/(1+IFERROR(INDEX(PRODUCTOS!$E$6:$E$105,MATCH($C1120,PRODUCTOS!$A$6:$A$105,0)),IVA_VENTAS)))</f>
        <v/>
      </c>
      <c r="J1120" s="35" t="str">
        <f aca="false">IF($C1120="","",$H1120-$I1120)</f>
        <v/>
      </c>
      <c r="K1120" s="35" t="str">
        <f aca="false">IF($C1120="","",N($E1120)*IFERROR(INDEX(PRODUCTOS!$H$6:$H$105,MATCH($C1120,PRODUCTOS!$A$6:$A$105,0)),0))</f>
        <v/>
      </c>
      <c r="L1120" s="35" t="str">
        <f aca="false">IF($C1120="","",$J1120-$K1120)</f>
        <v/>
      </c>
      <c r="M1120" s="6"/>
      <c r="N1120" s="6"/>
      <c r="O1120" s="46" t="str">
        <f aca="false">IF($A1120="","",DATE(YEAR($A1120),MONTH($A1120),1))</f>
        <v/>
      </c>
    </row>
    <row r="1121" customFormat="false" ht="15" hidden="false" customHeight="false" outlineLevel="0" collapsed="false">
      <c r="A1121" s="44"/>
      <c r="B1121" s="6"/>
      <c r="C1121" s="6"/>
      <c r="D1121" s="8" t="str">
        <f aca="false">IF($C1121="","",IFERROR(INDEX(PRODUCTOS!$B$6:$B$105,MATCH($C1121,PRODUCTOS!$A$6:$A$105,0)),"¿Código?"))</f>
        <v/>
      </c>
      <c r="E1121" s="42"/>
      <c r="F1121" s="35" t="str">
        <f aca="false">IF($C1121="","",IFERROR(INDEX(PRODUCTOS!$D$6:$D$105,MATCH($C1121,PRODUCTOS!$A$6:$A$105,0)),0))</f>
        <v/>
      </c>
      <c r="G1121" s="40"/>
      <c r="H1121" s="35" t="str">
        <f aca="false">IF($C1121="","",N($E1121)*$F1121-N($G1121))</f>
        <v/>
      </c>
      <c r="I1121" s="35" t="str">
        <f aca="false">IF($C1121="","",$H1121-$H1121/(1+IFERROR(INDEX(PRODUCTOS!$E$6:$E$105,MATCH($C1121,PRODUCTOS!$A$6:$A$105,0)),IVA_VENTAS)))</f>
        <v/>
      </c>
      <c r="J1121" s="35" t="str">
        <f aca="false">IF($C1121="","",$H1121-$I1121)</f>
        <v/>
      </c>
      <c r="K1121" s="35" t="str">
        <f aca="false">IF($C1121="","",N($E1121)*IFERROR(INDEX(PRODUCTOS!$H$6:$H$105,MATCH($C1121,PRODUCTOS!$A$6:$A$105,0)),0))</f>
        <v/>
      </c>
      <c r="L1121" s="35" t="str">
        <f aca="false">IF($C1121="","",$J1121-$K1121)</f>
        <v/>
      </c>
      <c r="M1121" s="6"/>
      <c r="N1121" s="6"/>
      <c r="O1121" s="46" t="str">
        <f aca="false">IF($A1121="","",DATE(YEAR($A1121),MONTH($A1121),1))</f>
        <v/>
      </c>
    </row>
    <row r="1122" customFormat="false" ht="15" hidden="false" customHeight="false" outlineLevel="0" collapsed="false">
      <c r="A1122" s="44"/>
      <c r="B1122" s="6"/>
      <c r="C1122" s="6"/>
      <c r="D1122" s="8" t="str">
        <f aca="false">IF($C1122="","",IFERROR(INDEX(PRODUCTOS!$B$6:$B$105,MATCH($C1122,PRODUCTOS!$A$6:$A$105,0)),"¿Código?"))</f>
        <v/>
      </c>
      <c r="E1122" s="42"/>
      <c r="F1122" s="35" t="str">
        <f aca="false">IF($C1122="","",IFERROR(INDEX(PRODUCTOS!$D$6:$D$105,MATCH($C1122,PRODUCTOS!$A$6:$A$105,0)),0))</f>
        <v/>
      </c>
      <c r="G1122" s="40"/>
      <c r="H1122" s="35" t="str">
        <f aca="false">IF($C1122="","",N($E1122)*$F1122-N($G1122))</f>
        <v/>
      </c>
      <c r="I1122" s="35" t="str">
        <f aca="false">IF($C1122="","",$H1122-$H1122/(1+IFERROR(INDEX(PRODUCTOS!$E$6:$E$105,MATCH($C1122,PRODUCTOS!$A$6:$A$105,0)),IVA_VENTAS)))</f>
        <v/>
      </c>
      <c r="J1122" s="35" t="str">
        <f aca="false">IF($C1122="","",$H1122-$I1122)</f>
        <v/>
      </c>
      <c r="K1122" s="35" t="str">
        <f aca="false">IF($C1122="","",N($E1122)*IFERROR(INDEX(PRODUCTOS!$H$6:$H$105,MATCH($C1122,PRODUCTOS!$A$6:$A$105,0)),0))</f>
        <v/>
      </c>
      <c r="L1122" s="35" t="str">
        <f aca="false">IF($C1122="","",$J1122-$K1122)</f>
        <v/>
      </c>
      <c r="M1122" s="6"/>
      <c r="N1122" s="6"/>
      <c r="O1122" s="46" t="str">
        <f aca="false">IF($A1122="","",DATE(YEAR($A1122),MONTH($A1122),1))</f>
        <v/>
      </c>
    </row>
    <row r="1123" customFormat="false" ht="15" hidden="false" customHeight="false" outlineLevel="0" collapsed="false">
      <c r="A1123" s="44"/>
      <c r="B1123" s="6"/>
      <c r="C1123" s="6"/>
      <c r="D1123" s="8" t="str">
        <f aca="false">IF($C1123="","",IFERROR(INDEX(PRODUCTOS!$B$6:$B$105,MATCH($C1123,PRODUCTOS!$A$6:$A$105,0)),"¿Código?"))</f>
        <v/>
      </c>
      <c r="E1123" s="42"/>
      <c r="F1123" s="35" t="str">
        <f aca="false">IF($C1123="","",IFERROR(INDEX(PRODUCTOS!$D$6:$D$105,MATCH($C1123,PRODUCTOS!$A$6:$A$105,0)),0))</f>
        <v/>
      </c>
      <c r="G1123" s="40"/>
      <c r="H1123" s="35" t="str">
        <f aca="false">IF($C1123="","",N($E1123)*$F1123-N($G1123))</f>
        <v/>
      </c>
      <c r="I1123" s="35" t="str">
        <f aca="false">IF($C1123="","",$H1123-$H1123/(1+IFERROR(INDEX(PRODUCTOS!$E$6:$E$105,MATCH($C1123,PRODUCTOS!$A$6:$A$105,0)),IVA_VENTAS)))</f>
        <v/>
      </c>
      <c r="J1123" s="35" t="str">
        <f aca="false">IF($C1123="","",$H1123-$I1123)</f>
        <v/>
      </c>
      <c r="K1123" s="35" t="str">
        <f aca="false">IF($C1123="","",N($E1123)*IFERROR(INDEX(PRODUCTOS!$H$6:$H$105,MATCH($C1123,PRODUCTOS!$A$6:$A$105,0)),0))</f>
        <v/>
      </c>
      <c r="L1123" s="35" t="str">
        <f aca="false">IF($C1123="","",$J1123-$K1123)</f>
        <v/>
      </c>
      <c r="M1123" s="6"/>
      <c r="N1123" s="6"/>
      <c r="O1123" s="46" t="str">
        <f aca="false">IF($A1123="","",DATE(YEAR($A1123),MONTH($A1123),1))</f>
        <v/>
      </c>
    </row>
    <row r="1124" customFormat="false" ht="15" hidden="false" customHeight="false" outlineLevel="0" collapsed="false">
      <c r="A1124" s="44"/>
      <c r="B1124" s="6"/>
      <c r="C1124" s="6"/>
      <c r="D1124" s="8" t="str">
        <f aca="false">IF($C1124="","",IFERROR(INDEX(PRODUCTOS!$B$6:$B$105,MATCH($C1124,PRODUCTOS!$A$6:$A$105,0)),"¿Código?"))</f>
        <v/>
      </c>
      <c r="E1124" s="42"/>
      <c r="F1124" s="35" t="str">
        <f aca="false">IF($C1124="","",IFERROR(INDEX(PRODUCTOS!$D$6:$D$105,MATCH($C1124,PRODUCTOS!$A$6:$A$105,0)),0))</f>
        <v/>
      </c>
      <c r="G1124" s="40"/>
      <c r="H1124" s="35" t="str">
        <f aca="false">IF($C1124="","",N($E1124)*$F1124-N($G1124))</f>
        <v/>
      </c>
      <c r="I1124" s="35" t="str">
        <f aca="false">IF($C1124="","",$H1124-$H1124/(1+IFERROR(INDEX(PRODUCTOS!$E$6:$E$105,MATCH($C1124,PRODUCTOS!$A$6:$A$105,0)),IVA_VENTAS)))</f>
        <v/>
      </c>
      <c r="J1124" s="35" t="str">
        <f aca="false">IF($C1124="","",$H1124-$I1124)</f>
        <v/>
      </c>
      <c r="K1124" s="35" t="str">
        <f aca="false">IF($C1124="","",N($E1124)*IFERROR(INDEX(PRODUCTOS!$H$6:$H$105,MATCH($C1124,PRODUCTOS!$A$6:$A$105,0)),0))</f>
        <v/>
      </c>
      <c r="L1124" s="35" t="str">
        <f aca="false">IF($C1124="","",$J1124-$K1124)</f>
        <v/>
      </c>
      <c r="M1124" s="6"/>
      <c r="N1124" s="6"/>
      <c r="O1124" s="46" t="str">
        <f aca="false">IF($A1124="","",DATE(YEAR($A1124),MONTH($A1124),1))</f>
        <v/>
      </c>
    </row>
    <row r="1125" customFormat="false" ht="15" hidden="false" customHeight="false" outlineLevel="0" collapsed="false">
      <c r="A1125" s="44"/>
      <c r="B1125" s="6"/>
      <c r="C1125" s="6"/>
      <c r="D1125" s="8" t="str">
        <f aca="false">IF($C1125="","",IFERROR(INDEX(PRODUCTOS!$B$6:$B$105,MATCH($C1125,PRODUCTOS!$A$6:$A$105,0)),"¿Código?"))</f>
        <v/>
      </c>
      <c r="E1125" s="42"/>
      <c r="F1125" s="35" t="str">
        <f aca="false">IF($C1125="","",IFERROR(INDEX(PRODUCTOS!$D$6:$D$105,MATCH($C1125,PRODUCTOS!$A$6:$A$105,0)),0))</f>
        <v/>
      </c>
      <c r="G1125" s="40"/>
      <c r="H1125" s="35" t="str">
        <f aca="false">IF($C1125="","",N($E1125)*$F1125-N($G1125))</f>
        <v/>
      </c>
      <c r="I1125" s="35" t="str">
        <f aca="false">IF($C1125="","",$H1125-$H1125/(1+IFERROR(INDEX(PRODUCTOS!$E$6:$E$105,MATCH($C1125,PRODUCTOS!$A$6:$A$105,0)),IVA_VENTAS)))</f>
        <v/>
      </c>
      <c r="J1125" s="35" t="str">
        <f aca="false">IF($C1125="","",$H1125-$I1125)</f>
        <v/>
      </c>
      <c r="K1125" s="35" t="str">
        <f aca="false">IF($C1125="","",N($E1125)*IFERROR(INDEX(PRODUCTOS!$H$6:$H$105,MATCH($C1125,PRODUCTOS!$A$6:$A$105,0)),0))</f>
        <v/>
      </c>
      <c r="L1125" s="35" t="str">
        <f aca="false">IF($C1125="","",$J1125-$K1125)</f>
        <v/>
      </c>
      <c r="M1125" s="6"/>
      <c r="N1125" s="6"/>
      <c r="O1125" s="46" t="str">
        <f aca="false">IF($A1125="","",DATE(YEAR($A1125),MONTH($A1125),1))</f>
        <v/>
      </c>
    </row>
    <row r="1126" customFormat="false" ht="15" hidden="false" customHeight="false" outlineLevel="0" collapsed="false">
      <c r="A1126" s="44"/>
      <c r="B1126" s="6"/>
      <c r="C1126" s="6"/>
      <c r="D1126" s="8" t="str">
        <f aca="false">IF($C1126="","",IFERROR(INDEX(PRODUCTOS!$B$6:$B$105,MATCH($C1126,PRODUCTOS!$A$6:$A$105,0)),"¿Código?"))</f>
        <v/>
      </c>
      <c r="E1126" s="42"/>
      <c r="F1126" s="35" t="str">
        <f aca="false">IF($C1126="","",IFERROR(INDEX(PRODUCTOS!$D$6:$D$105,MATCH($C1126,PRODUCTOS!$A$6:$A$105,0)),0))</f>
        <v/>
      </c>
      <c r="G1126" s="40"/>
      <c r="H1126" s="35" t="str">
        <f aca="false">IF($C1126="","",N($E1126)*$F1126-N($G1126))</f>
        <v/>
      </c>
      <c r="I1126" s="35" t="str">
        <f aca="false">IF($C1126="","",$H1126-$H1126/(1+IFERROR(INDEX(PRODUCTOS!$E$6:$E$105,MATCH($C1126,PRODUCTOS!$A$6:$A$105,0)),IVA_VENTAS)))</f>
        <v/>
      </c>
      <c r="J1126" s="35" t="str">
        <f aca="false">IF($C1126="","",$H1126-$I1126)</f>
        <v/>
      </c>
      <c r="K1126" s="35" t="str">
        <f aca="false">IF($C1126="","",N($E1126)*IFERROR(INDEX(PRODUCTOS!$H$6:$H$105,MATCH($C1126,PRODUCTOS!$A$6:$A$105,0)),0))</f>
        <v/>
      </c>
      <c r="L1126" s="35" t="str">
        <f aca="false">IF($C1126="","",$J1126-$K1126)</f>
        <v/>
      </c>
      <c r="M1126" s="6"/>
      <c r="N1126" s="6"/>
      <c r="O1126" s="46" t="str">
        <f aca="false">IF($A1126="","",DATE(YEAR($A1126),MONTH($A1126),1))</f>
        <v/>
      </c>
    </row>
    <row r="1127" customFormat="false" ht="15" hidden="false" customHeight="false" outlineLevel="0" collapsed="false">
      <c r="A1127" s="44"/>
      <c r="B1127" s="6"/>
      <c r="C1127" s="6"/>
      <c r="D1127" s="8" t="str">
        <f aca="false">IF($C1127="","",IFERROR(INDEX(PRODUCTOS!$B$6:$B$105,MATCH($C1127,PRODUCTOS!$A$6:$A$105,0)),"¿Código?"))</f>
        <v/>
      </c>
      <c r="E1127" s="42"/>
      <c r="F1127" s="35" t="str">
        <f aca="false">IF($C1127="","",IFERROR(INDEX(PRODUCTOS!$D$6:$D$105,MATCH($C1127,PRODUCTOS!$A$6:$A$105,0)),0))</f>
        <v/>
      </c>
      <c r="G1127" s="40"/>
      <c r="H1127" s="35" t="str">
        <f aca="false">IF($C1127="","",N($E1127)*$F1127-N($G1127))</f>
        <v/>
      </c>
      <c r="I1127" s="35" t="str">
        <f aca="false">IF($C1127="","",$H1127-$H1127/(1+IFERROR(INDEX(PRODUCTOS!$E$6:$E$105,MATCH($C1127,PRODUCTOS!$A$6:$A$105,0)),IVA_VENTAS)))</f>
        <v/>
      </c>
      <c r="J1127" s="35" t="str">
        <f aca="false">IF($C1127="","",$H1127-$I1127)</f>
        <v/>
      </c>
      <c r="K1127" s="35" t="str">
        <f aca="false">IF($C1127="","",N($E1127)*IFERROR(INDEX(PRODUCTOS!$H$6:$H$105,MATCH($C1127,PRODUCTOS!$A$6:$A$105,0)),0))</f>
        <v/>
      </c>
      <c r="L1127" s="35" t="str">
        <f aca="false">IF($C1127="","",$J1127-$K1127)</f>
        <v/>
      </c>
      <c r="M1127" s="6"/>
      <c r="N1127" s="6"/>
      <c r="O1127" s="46" t="str">
        <f aca="false">IF($A1127="","",DATE(YEAR($A1127),MONTH($A1127),1))</f>
        <v/>
      </c>
    </row>
    <row r="1128" customFormat="false" ht="15" hidden="false" customHeight="false" outlineLevel="0" collapsed="false">
      <c r="A1128" s="44"/>
      <c r="B1128" s="6"/>
      <c r="C1128" s="6"/>
      <c r="D1128" s="8" t="str">
        <f aca="false">IF($C1128="","",IFERROR(INDEX(PRODUCTOS!$B$6:$B$105,MATCH($C1128,PRODUCTOS!$A$6:$A$105,0)),"¿Código?"))</f>
        <v/>
      </c>
      <c r="E1128" s="42"/>
      <c r="F1128" s="35" t="str">
        <f aca="false">IF($C1128="","",IFERROR(INDEX(PRODUCTOS!$D$6:$D$105,MATCH($C1128,PRODUCTOS!$A$6:$A$105,0)),0))</f>
        <v/>
      </c>
      <c r="G1128" s="40"/>
      <c r="H1128" s="35" t="str">
        <f aca="false">IF($C1128="","",N($E1128)*$F1128-N($G1128))</f>
        <v/>
      </c>
      <c r="I1128" s="35" t="str">
        <f aca="false">IF($C1128="","",$H1128-$H1128/(1+IFERROR(INDEX(PRODUCTOS!$E$6:$E$105,MATCH($C1128,PRODUCTOS!$A$6:$A$105,0)),IVA_VENTAS)))</f>
        <v/>
      </c>
      <c r="J1128" s="35" t="str">
        <f aca="false">IF($C1128="","",$H1128-$I1128)</f>
        <v/>
      </c>
      <c r="K1128" s="35" t="str">
        <f aca="false">IF($C1128="","",N($E1128)*IFERROR(INDEX(PRODUCTOS!$H$6:$H$105,MATCH($C1128,PRODUCTOS!$A$6:$A$105,0)),0))</f>
        <v/>
      </c>
      <c r="L1128" s="35" t="str">
        <f aca="false">IF($C1128="","",$J1128-$K1128)</f>
        <v/>
      </c>
      <c r="M1128" s="6"/>
      <c r="N1128" s="6"/>
      <c r="O1128" s="46" t="str">
        <f aca="false">IF($A1128="","",DATE(YEAR($A1128),MONTH($A1128),1))</f>
        <v/>
      </c>
    </row>
    <row r="1129" customFormat="false" ht="15" hidden="false" customHeight="false" outlineLevel="0" collapsed="false">
      <c r="A1129" s="44"/>
      <c r="B1129" s="6"/>
      <c r="C1129" s="6"/>
      <c r="D1129" s="8" t="str">
        <f aca="false">IF($C1129="","",IFERROR(INDEX(PRODUCTOS!$B$6:$B$105,MATCH($C1129,PRODUCTOS!$A$6:$A$105,0)),"¿Código?"))</f>
        <v/>
      </c>
      <c r="E1129" s="42"/>
      <c r="F1129" s="35" t="str">
        <f aca="false">IF($C1129="","",IFERROR(INDEX(PRODUCTOS!$D$6:$D$105,MATCH($C1129,PRODUCTOS!$A$6:$A$105,0)),0))</f>
        <v/>
      </c>
      <c r="G1129" s="40"/>
      <c r="H1129" s="35" t="str">
        <f aca="false">IF($C1129="","",N($E1129)*$F1129-N($G1129))</f>
        <v/>
      </c>
      <c r="I1129" s="35" t="str">
        <f aca="false">IF($C1129="","",$H1129-$H1129/(1+IFERROR(INDEX(PRODUCTOS!$E$6:$E$105,MATCH($C1129,PRODUCTOS!$A$6:$A$105,0)),IVA_VENTAS)))</f>
        <v/>
      </c>
      <c r="J1129" s="35" t="str">
        <f aca="false">IF($C1129="","",$H1129-$I1129)</f>
        <v/>
      </c>
      <c r="K1129" s="35" t="str">
        <f aca="false">IF($C1129="","",N($E1129)*IFERROR(INDEX(PRODUCTOS!$H$6:$H$105,MATCH($C1129,PRODUCTOS!$A$6:$A$105,0)),0))</f>
        <v/>
      </c>
      <c r="L1129" s="35" t="str">
        <f aca="false">IF($C1129="","",$J1129-$K1129)</f>
        <v/>
      </c>
      <c r="M1129" s="6"/>
      <c r="N1129" s="6"/>
      <c r="O1129" s="46" t="str">
        <f aca="false">IF($A1129="","",DATE(YEAR($A1129),MONTH($A1129),1))</f>
        <v/>
      </c>
    </row>
    <row r="1130" customFormat="false" ht="15" hidden="false" customHeight="false" outlineLevel="0" collapsed="false">
      <c r="A1130" s="44"/>
      <c r="B1130" s="6"/>
      <c r="C1130" s="6"/>
      <c r="D1130" s="8" t="str">
        <f aca="false">IF($C1130="","",IFERROR(INDEX(PRODUCTOS!$B$6:$B$105,MATCH($C1130,PRODUCTOS!$A$6:$A$105,0)),"¿Código?"))</f>
        <v/>
      </c>
      <c r="E1130" s="42"/>
      <c r="F1130" s="35" t="str">
        <f aca="false">IF($C1130="","",IFERROR(INDEX(PRODUCTOS!$D$6:$D$105,MATCH($C1130,PRODUCTOS!$A$6:$A$105,0)),0))</f>
        <v/>
      </c>
      <c r="G1130" s="40"/>
      <c r="H1130" s="35" t="str">
        <f aca="false">IF($C1130="","",N($E1130)*$F1130-N($G1130))</f>
        <v/>
      </c>
      <c r="I1130" s="35" t="str">
        <f aca="false">IF($C1130="","",$H1130-$H1130/(1+IFERROR(INDEX(PRODUCTOS!$E$6:$E$105,MATCH($C1130,PRODUCTOS!$A$6:$A$105,0)),IVA_VENTAS)))</f>
        <v/>
      </c>
      <c r="J1130" s="35" t="str">
        <f aca="false">IF($C1130="","",$H1130-$I1130)</f>
        <v/>
      </c>
      <c r="K1130" s="35" t="str">
        <f aca="false">IF($C1130="","",N($E1130)*IFERROR(INDEX(PRODUCTOS!$H$6:$H$105,MATCH($C1130,PRODUCTOS!$A$6:$A$105,0)),0))</f>
        <v/>
      </c>
      <c r="L1130" s="35" t="str">
        <f aca="false">IF($C1130="","",$J1130-$K1130)</f>
        <v/>
      </c>
      <c r="M1130" s="6"/>
      <c r="N1130" s="6"/>
      <c r="O1130" s="46" t="str">
        <f aca="false">IF($A1130="","",DATE(YEAR($A1130),MONTH($A1130),1))</f>
        <v/>
      </c>
    </row>
    <row r="1131" customFormat="false" ht="15" hidden="false" customHeight="false" outlineLevel="0" collapsed="false">
      <c r="A1131" s="44"/>
      <c r="B1131" s="6"/>
      <c r="C1131" s="6"/>
      <c r="D1131" s="8" t="str">
        <f aca="false">IF($C1131="","",IFERROR(INDEX(PRODUCTOS!$B$6:$B$105,MATCH($C1131,PRODUCTOS!$A$6:$A$105,0)),"¿Código?"))</f>
        <v/>
      </c>
      <c r="E1131" s="42"/>
      <c r="F1131" s="35" t="str">
        <f aca="false">IF($C1131="","",IFERROR(INDEX(PRODUCTOS!$D$6:$D$105,MATCH($C1131,PRODUCTOS!$A$6:$A$105,0)),0))</f>
        <v/>
      </c>
      <c r="G1131" s="40"/>
      <c r="H1131" s="35" t="str">
        <f aca="false">IF($C1131="","",N($E1131)*$F1131-N($G1131))</f>
        <v/>
      </c>
      <c r="I1131" s="35" t="str">
        <f aca="false">IF($C1131="","",$H1131-$H1131/(1+IFERROR(INDEX(PRODUCTOS!$E$6:$E$105,MATCH($C1131,PRODUCTOS!$A$6:$A$105,0)),IVA_VENTAS)))</f>
        <v/>
      </c>
      <c r="J1131" s="35" t="str">
        <f aca="false">IF($C1131="","",$H1131-$I1131)</f>
        <v/>
      </c>
      <c r="K1131" s="35" t="str">
        <f aca="false">IF($C1131="","",N($E1131)*IFERROR(INDEX(PRODUCTOS!$H$6:$H$105,MATCH($C1131,PRODUCTOS!$A$6:$A$105,0)),0))</f>
        <v/>
      </c>
      <c r="L1131" s="35" t="str">
        <f aca="false">IF($C1131="","",$J1131-$K1131)</f>
        <v/>
      </c>
      <c r="M1131" s="6"/>
      <c r="N1131" s="6"/>
      <c r="O1131" s="46" t="str">
        <f aca="false">IF($A1131="","",DATE(YEAR($A1131),MONTH($A1131),1))</f>
        <v/>
      </c>
    </row>
    <row r="1132" customFormat="false" ht="15" hidden="false" customHeight="false" outlineLevel="0" collapsed="false">
      <c r="A1132" s="44"/>
      <c r="B1132" s="6"/>
      <c r="C1132" s="6"/>
      <c r="D1132" s="8" t="str">
        <f aca="false">IF($C1132="","",IFERROR(INDEX(PRODUCTOS!$B$6:$B$105,MATCH($C1132,PRODUCTOS!$A$6:$A$105,0)),"¿Código?"))</f>
        <v/>
      </c>
      <c r="E1132" s="42"/>
      <c r="F1132" s="35" t="str">
        <f aca="false">IF($C1132="","",IFERROR(INDEX(PRODUCTOS!$D$6:$D$105,MATCH($C1132,PRODUCTOS!$A$6:$A$105,0)),0))</f>
        <v/>
      </c>
      <c r="G1132" s="40"/>
      <c r="H1132" s="35" t="str">
        <f aca="false">IF($C1132="","",N($E1132)*$F1132-N($G1132))</f>
        <v/>
      </c>
      <c r="I1132" s="35" t="str">
        <f aca="false">IF($C1132="","",$H1132-$H1132/(1+IFERROR(INDEX(PRODUCTOS!$E$6:$E$105,MATCH($C1132,PRODUCTOS!$A$6:$A$105,0)),IVA_VENTAS)))</f>
        <v/>
      </c>
      <c r="J1132" s="35" t="str">
        <f aca="false">IF($C1132="","",$H1132-$I1132)</f>
        <v/>
      </c>
      <c r="K1132" s="35" t="str">
        <f aca="false">IF($C1132="","",N($E1132)*IFERROR(INDEX(PRODUCTOS!$H$6:$H$105,MATCH($C1132,PRODUCTOS!$A$6:$A$105,0)),0))</f>
        <v/>
      </c>
      <c r="L1132" s="35" t="str">
        <f aca="false">IF($C1132="","",$J1132-$K1132)</f>
        <v/>
      </c>
      <c r="M1132" s="6"/>
      <c r="N1132" s="6"/>
      <c r="O1132" s="46" t="str">
        <f aca="false">IF($A1132="","",DATE(YEAR($A1132),MONTH($A1132),1))</f>
        <v/>
      </c>
    </row>
    <row r="1133" customFormat="false" ht="15" hidden="false" customHeight="false" outlineLevel="0" collapsed="false">
      <c r="A1133" s="44"/>
      <c r="B1133" s="6"/>
      <c r="C1133" s="6"/>
      <c r="D1133" s="8" t="str">
        <f aca="false">IF($C1133="","",IFERROR(INDEX(PRODUCTOS!$B$6:$B$105,MATCH($C1133,PRODUCTOS!$A$6:$A$105,0)),"¿Código?"))</f>
        <v/>
      </c>
      <c r="E1133" s="42"/>
      <c r="F1133" s="35" t="str">
        <f aca="false">IF($C1133="","",IFERROR(INDEX(PRODUCTOS!$D$6:$D$105,MATCH($C1133,PRODUCTOS!$A$6:$A$105,0)),0))</f>
        <v/>
      </c>
      <c r="G1133" s="40"/>
      <c r="H1133" s="35" t="str">
        <f aca="false">IF($C1133="","",N($E1133)*$F1133-N($G1133))</f>
        <v/>
      </c>
      <c r="I1133" s="35" t="str">
        <f aca="false">IF($C1133="","",$H1133-$H1133/(1+IFERROR(INDEX(PRODUCTOS!$E$6:$E$105,MATCH($C1133,PRODUCTOS!$A$6:$A$105,0)),IVA_VENTAS)))</f>
        <v/>
      </c>
      <c r="J1133" s="35" t="str">
        <f aca="false">IF($C1133="","",$H1133-$I1133)</f>
        <v/>
      </c>
      <c r="K1133" s="35" t="str">
        <f aca="false">IF($C1133="","",N($E1133)*IFERROR(INDEX(PRODUCTOS!$H$6:$H$105,MATCH($C1133,PRODUCTOS!$A$6:$A$105,0)),0))</f>
        <v/>
      </c>
      <c r="L1133" s="35" t="str">
        <f aca="false">IF($C1133="","",$J1133-$K1133)</f>
        <v/>
      </c>
      <c r="M1133" s="6"/>
      <c r="N1133" s="6"/>
      <c r="O1133" s="46" t="str">
        <f aca="false">IF($A1133="","",DATE(YEAR($A1133),MONTH($A1133),1))</f>
        <v/>
      </c>
    </row>
    <row r="1134" customFormat="false" ht="15" hidden="false" customHeight="false" outlineLevel="0" collapsed="false">
      <c r="A1134" s="44"/>
      <c r="B1134" s="6"/>
      <c r="C1134" s="6"/>
      <c r="D1134" s="8" t="str">
        <f aca="false">IF($C1134="","",IFERROR(INDEX(PRODUCTOS!$B$6:$B$105,MATCH($C1134,PRODUCTOS!$A$6:$A$105,0)),"¿Código?"))</f>
        <v/>
      </c>
      <c r="E1134" s="42"/>
      <c r="F1134" s="35" t="str">
        <f aca="false">IF($C1134="","",IFERROR(INDEX(PRODUCTOS!$D$6:$D$105,MATCH($C1134,PRODUCTOS!$A$6:$A$105,0)),0))</f>
        <v/>
      </c>
      <c r="G1134" s="40"/>
      <c r="H1134" s="35" t="str">
        <f aca="false">IF($C1134="","",N($E1134)*$F1134-N($G1134))</f>
        <v/>
      </c>
      <c r="I1134" s="35" t="str">
        <f aca="false">IF($C1134="","",$H1134-$H1134/(1+IFERROR(INDEX(PRODUCTOS!$E$6:$E$105,MATCH($C1134,PRODUCTOS!$A$6:$A$105,0)),IVA_VENTAS)))</f>
        <v/>
      </c>
      <c r="J1134" s="35" t="str">
        <f aca="false">IF($C1134="","",$H1134-$I1134)</f>
        <v/>
      </c>
      <c r="K1134" s="35" t="str">
        <f aca="false">IF($C1134="","",N($E1134)*IFERROR(INDEX(PRODUCTOS!$H$6:$H$105,MATCH($C1134,PRODUCTOS!$A$6:$A$105,0)),0))</f>
        <v/>
      </c>
      <c r="L1134" s="35" t="str">
        <f aca="false">IF($C1134="","",$J1134-$K1134)</f>
        <v/>
      </c>
      <c r="M1134" s="6"/>
      <c r="N1134" s="6"/>
      <c r="O1134" s="46" t="str">
        <f aca="false">IF($A1134="","",DATE(YEAR($A1134),MONTH($A1134),1))</f>
        <v/>
      </c>
    </row>
    <row r="1135" customFormat="false" ht="15" hidden="false" customHeight="false" outlineLevel="0" collapsed="false">
      <c r="A1135" s="44"/>
      <c r="B1135" s="6"/>
      <c r="C1135" s="6"/>
      <c r="D1135" s="8" t="str">
        <f aca="false">IF($C1135="","",IFERROR(INDEX(PRODUCTOS!$B$6:$B$105,MATCH($C1135,PRODUCTOS!$A$6:$A$105,0)),"¿Código?"))</f>
        <v/>
      </c>
      <c r="E1135" s="42"/>
      <c r="F1135" s="35" t="str">
        <f aca="false">IF($C1135="","",IFERROR(INDEX(PRODUCTOS!$D$6:$D$105,MATCH($C1135,PRODUCTOS!$A$6:$A$105,0)),0))</f>
        <v/>
      </c>
      <c r="G1135" s="40"/>
      <c r="H1135" s="35" t="str">
        <f aca="false">IF($C1135="","",N($E1135)*$F1135-N($G1135))</f>
        <v/>
      </c>
      <c r="I1135" s="35" t="str">
        <f aca="false">IF($C1135="","",$H1135-$H1135/(1+IFERROR(INDEX(PRODUCTOS!$E$6:$E$105,MATCH($C1135,PRODUCTOS!$A$6:$A$105,0)),IVA_VENTAS)))</f>
        <v/>
      </c>
      <c r="J1135" s="35" t="str">
        <f aca="false">IF($C1135="","",$H1135-$I1135)</f>
        <v/>
      </c>
      <c r="K1135" s="35" t="str">
        <f aca="false">IF($C1135="","",N($E1135)*IFERROR(INDEX(PRODUCTOS!$H$6:$H$105,MATCH($C1135,PRODUCTOS!$A$6:$A$105,0)),0))</f>
        <v/>
      </c>
      <c r="L1135" s="35" t="str">
        <f aca="false">IF($C1135="","",$J1135-$K1135)</f>
        <v/>
      </c>
      <c r="M1135" s="6"/>
      <c r="N1135" s="6"/>
      <c r="O1135" s="46" t="str">
        <f aca="false">IF($A1135="","",DATE(YEAR($A1135),MONTH($A1135),1))</f>
        <v/>
      </c>
    </row>
    <row r="1136" customFormat="false" ht="15" hidden="false" customHeight="false" outlineLevel="0" collapsed="false">
      <c r="A1136" s="44"/>
      <c r="B1136" s="6"/>
      <c r="C1136" s="6"/>
      <c r="D1136" s="8" t="str">
        <f aca="false">IF($C1136="","",IFERROR(INDEX(PRODUCTOS!$B$6:$B$105,MATCH($C1136,PRODUCTOS!$A$6:$A$105,0)),"¿Código?"))</f>
        <v/>
      </c>
      <c r="E1136" s="42"/>
      <c r="F1136" s="35" t="str">
        <f aca="false">IF($C1136="","",IFERROR(INDEX(PRODUCTOS!$D$6:$D$105,MATCH($C1136,PRODUCTOS!$A$6:$A$105,0)),0))</f>
        <v/>
      </c>
      <c r="G1136" s="40"/>
      <c r="H1136" s="35" t="str">
        <f aca="false">IF($C1136="","",N($E1136)*$F1136-N($G1136))</f>
        <v/>
      </c>
      <c r="I1136" s="35" t="str">
        <f aca="false">IF($C1136="","",$H1136-$H1136/(1+IFERROR(INDEX(PRODUCTOS!$E$6:$E$105,MATCH($C1136,PRODUCTOS!$A$6:$A$105,0)),IVA_VENTAS)))</f>
        <v/>
      </c>
      <c r="J1136" s="35" t="str">
        <f aca="false">IF($C1136="","",$H1136-$I1136)</f>
        <v/>
      </c>
      <c r="K1136" s="35" t="str">
        <f aca="false">IF($C1136="","",N($E1136)*IFERROR(INDEX(PRODUCTOS!$H$6:$H$105,MATCH($C1136,PRODUCTOS!$A$6:$A$105,0)),0))</f>
        <v/>
      </c>
      <c r="L1136" s="35" t="str">
        <f aca="false">IF($C1136="","",$J1136-$K1136)</f>
        <v/>
      </c>
      <c r="M1136" s="6"/>
      <c r="N1136" s="6"/>
      <c r="O1136" s="46" t="str">
        <f aca="false">IF($A1136="","",DATE(YEAR($A1136),MONTH($A1136),1))</f>
        <v/>
      </c>
    </row>
    <row r="1137" customFormat="false" ht="15" hidden="false" customHeight="false" outlineLevel="0" collapsed="false">
      <c r="A1137" s="44"/>
      <c r="B1137" s="6"/>
      <c r="C1137" s="6"/>
      <c r="D1137" s="8" t="str">
        <f aca="false">IF($C1137="","",IFERROR(INDEX(PRODUCTOS!$B$6:$B$105,MATCH($C1137,PRODUCTOS!$A$6:$A$105,0)),"¿Código?"))</f>
        <v/>
      </c>
      <c r="E1137" s="42"/>
      <c r="F1137" s="35" t="str">
        <f aca="false">IF($C1137="","",IFERROR(INDEX(PRODUCTOS!$D$6:$D$105,MATCH($C1137,PRODUCTOS!$A$6:$A$105,0)),0))</f>
        <v/>
      </c>
      <c r="G1137" s="40"/>
      <c r="H1137" s="35" t="str">
        <f aca="false">IF($C1137="","",N($E1137)*$F1137-N($G1137))</f>
        <v/>
      </c>
      <c r="I1137" s="35" t="str">
        <f aca="false">IF($C1137="","",$H1137-$H1137/(1+IFERROR(INDEX(PRODUCTOS!$E$6:$E$105,MATCH($C1137,PRODUCTOS!$A$6:$A$105,0)),IVA_VENTAS)))</f>
        <v/>
      </c>
      <c r="J1137" s="35" t="str">
        <f aca="false">IF($C1137="","",$H1137-$I1137)</f>
        <v/>
      </c>
      <c r="K1137" s="35" t="str">
        <f aca="false">IF($C1137="","",N($E1137)*IFERROR(INDEX(PRODUCTOS!$H$6:$H$105,MATCH($C1137,PRODUCTOS!$A$6:$A$105,0)),0))</f>
        <v/>
      </c>
      <c r="L1137" s="35" t="str">
        <f aca="false">IF($C1137="","",$J1137-$K1137)</f>
        <v/>
      </c>
      <c r="M1137" s="6"/>
      <c r="N1137" s="6"/>
      <c r="O1137" s="46" t="str">
        <f aca="false">IF($A1137="","",DATE(YEAR($A1137),MONTH($A1137),1))</f>
        <v/>
      </c>
    </row>
    <row r="1138" customFormat="false" ht="15" hidden="false" customHeight="false" outlineLevel="0" collapsed="false">
      <c r="A1138" s="44"/>
      <c r="B1138" s="6"/>
      <c r="C1138" s="6"/>
      <c r="D1138" s="8" t="str">
        <f aca="false">IF($C1138="","",IFERROR(INDEX(PRODUCTOS!$B$6:$B$105,MATCH($C1138,PRODUCTOS!$A$6:$A$105,0)),"¿Código?"))</f>
        <v/>
      </c>
      <c r="E1138" s="42"/>
      <c r="F1138" s="35" t="str">
        <f aca="false">IF($C1138="","",IFERROR(INDEX(PRODUCTOS!$D$6:$D$105,MATCH($C1138,PRODUCTOS!$A$6:$A$105,0)),0))</f>
        <v/>
      </c>
      <c r="G1138" s="40"/>
      <c r="H1138" s="35" t="str">
        <f aca="false">IF($C1138="","",N($E1138)*$F1138-N($G1138))</f>
        <v/>
      </c>
      <c r="I1138" s="35" t="str">
        <f aca="false">IF($C1138="","",$H1138-$H1138/(1+IFERROR(INDEX(PRODUCTOS!$E$6:$E$105,MATCH($C1138,PRODUCTOS!$A$6:$A$105,0)),IVA_VENTAS)))</f>
        <v/>
      </c>
      <c r="J1138" s="35" t="str">
        <f aca="false">IF($C1138="","",$H1138-$I1138)</f>
        <v/>
      </c>
      <c r="K1138" s="35" t="str">
        <f aca="false">IF($C1138="","",N($E1138)*IFERROR(INDEX(PRODUCTOS!$H$6:$H$105,MATCH($C1138,PRODUCTOS!$A$6:$A$105,0)),0))</f>
        <v/>
      </c>
      <c r="L1138" s="35" t="str">
        <f aca="false">IF($C1138="","",$J1138-$K1138)</f>
        <v/>
      </c>
      <c r="M1138" s="6"/>
      <c r="N1138" s="6"/>
      <c r="O1138" s="46" t="str">
        <f aca="false">IF($A1138="","",DATE(YEAR($A1138),MONTH($A1138),1))</f>
        <v/>
      </c>
    </row>
    <row r="1139" customFormat="false" ht="15" hidden="false" customHeight="false" outlineLevel="0" collapsed="false">
      <c r="A1139" s="44"/>
      <c r="B1139" s="6"/>
      <c r="C1139" s="6"/>
      <c r="D1139" s="8" t="str">
        <f aca="false">IF($C1139="","",IFERROR(INDEX(PRODUCTOS!$B$6:$B$105,MATCH($C1139,PRODUCTOS!$A$6:$A$105,0)),"¿Código?"))</f>
        <v/>
      </c>
      <c r="E1139" s="42"/>
      <c r="F1139" s="35" t="str">
        <f aca="false">IF($C1139="","",IFERROR(INDEX(PRODUCTOS!$D$6:$D$105,MATCH($C1139,PRODUCTOS!$A$6:$A$105,0)),0))</f>
        <v/>
      </c>
      <c r="G1139" s="40"/>
      <c r="H1139" s="35" t="str">
        <f aca="false">IF($C1139="","",N($E1139)*$F1139-N($G1139))</f>
        <v/>
      </c>
      <c r="I1139" s="35" t="str">
        <f aca="false">IF($C1139="","",$H1139-$H1139/(1+IFERROR(INDEX(PRODUCTOS!$E$6:$E$105,MATCH($C1139,PRODUCTOS!$A$6:$A$105,0)),IVA_VENTAS)))</f>
        <v/>
      </c>
      <c r="J1139" s="35" t="str">
        <f aca="false">IF($C1139="","",$H1139-$I1139)</f>
        <v/>
      </c>
      <c r="K1139" s="35" t="str">
        <f aca="false">IF($C1139="","",N($E1139)*IFERROR(INDEX(PRODUCTOS!$H$6:$H$105,MATCH($C1139,PRODUCTOS!$A$6:$A$105,0)),0))</f>
        <v/>
      </c>
      <c r="L1139" s="35" t="str">
        <f aca="false">IF($C1139="","",$J1139-$K1139)</f>
        <v/>
      </c>
      <c r="M1139" s="6"/>
      <c r="N1139" s="6"/>
      <c r="O1139" s="46" t="str">
        <f aca="false">IF($A1139="","",DATE(YEAR($A1139),MONTH($A1139),1))</f>
        <v/>
      </c>
    </row>
    <row r="1140" customFormat="false" ht="15" hidden="false" customHeight="false" outlineLevel="0" collapsed="false">
      <c r="A1140" s="44"/>
      <c r="B1140" s="6"/>
      <c r="C1140" s="6"/>
      <c r="D1140" s="8" t="str">
        <f aca="false">IF($C1140="","",IFERROR(INDEX(PRODUCTOS!$B$6:$B$105,MATCH($C1140,PRODUCTOS!$A$6:$A$105,0)),"¿Código?"))</f>
        <v/>
      </c>
      <c r="E1140" s="42"/>
      <c r="F1140" s="35" t="str">
        <f aca="false">IF($C1140="","",IFERROR(INDEX(PRODUCTOS!$D$6:$D$105,MATCH($C1140,PRODUCTOS!$A$6:$A$105,0)),0))</f>
        <v/>
      </c>
      <c r="G1140" s="40"/>
      <c r="H1140" s="35" t="str">
        <f aca="false">IF($C1140="","",N($E1140)*$F1140-N($G1140))</f>
        <v/>
      </c>
      <c r="I1140" s="35" t="str">
        <f aca="false">IF($C1140="","",$H1140-$H1140/(1+IFERROR(INDEX(PRODUCTOS!$E$6:$E$105,MATCH($C1140,PRODUCTOS!$A$6:$A$105,0)),IVA_VENTAS)))</f>
        <v/>
      </c>
      <c r="J1140" s="35" t="str">
        <f aca="false">IF($C1140="","",$H1140-$I1140)</f>
        <v/>
      </c>
      <c r="K1140" s="35" t="str">
        <f aca="false">IF($C1140="","",N($E1140)*IFERROR(INDEX(PRODUCTOS!$H$6:$H$105,MATCH($C1140,PRODUCTOS!$A$6:$A$105,0)),0))</f>
        <v/>
      </c>
      <c r="L1140" s="35" t="str">
        <f aca="false">IF($C1140="","",$J1140-$K1140)</f>
        <v/>
      </c>
      <c r="M1140" s="6"/>
      <c r="N1140" s="6"/>
      <c r="O1140" s="46" t="str">
        <f aca="false">IF($A1140="","",DATE(YEAR($A1140),MONTH($A1140),1))</f>
        <v/>
      </c>
    </row>
    <row r="1141" customFormat="false" ht="15" hidden="false" customHeight="false" outlineLevel="0" collapsed="false">
      <c r="A1141" s="44"/>
      <c r="B1141" s="6"/>
      <c r="C1141" s="6"/>
      <c r="D1141" s="8" t="str">
        <f aca="false">IF($C1141="","",IFERROR(INDEX(PRODUCTOS!$B$6:$B$105,MATCH($C1141,PRODUCTOS!$A$6:$A$105,0)),"¿Código?"))</f>
        <v/>
      </c>
      <c r="E1141" s="42"/>
      <c r="F1141" s="35" t="str">
        <f aca="false">IF($C1141="","",IFERROR(INDEX(PRODUCTOS!$D$6:$D$105,MATCH($C1141,PRODUCTOS!$A$6:$A$105,0)),0))</f>
        <v/>
      </c>
      <c r="G1141" s="40"/>
      <c r="H1141" s="35" t="str">
        <f aca="false">IF($C1141="","",N($E1141)*$F1141-N($G1141))</f>
        <v/>
      </c>
      <c r="I1141" s="35" t="str">
        <f aca="false">IF($C1141="","",$H1141-$H1141/(1+IFERROR(INDEX(PRODUCTOS!$E$6:$E$105,MATCH($C1141,PRODUCTOS!$A$6:$A$105,0)),IVA_VENTAS)))</f>
        <v/>
      </c>
      <c r="J1141" s="35" t="str">
        <f aca="false">IF($C1141="","",$H1141-$I1141)</f>
        <v/>
      </c>
      <c r="K1141" s="35" t="str">
        <f aca="false">IF($C1141="","",N($E1141)*IFERROR(INDEX(PRODUCTOS!$H$6:$H$105,MATCH($C1141,PRODUCTOS!$A$6:$A$105,0)),0))</f>
        <v/>
      </c>
      <c r="L1141" s="35" t="str">
        <f aca="false">IF($C1141="","",$J1141-$K1141)</f>
        <v/>
      </c>
      <c r="M1141" s="6"/>
      <c r="N1141" s="6"/>
      <c r="O1141" s="46" t="str">
        <f aca="false">IF($A1141="","",DATE(YEAR($A1141),MONTH($A1141),1))</f>
        <v/>
      </c>
    </row>
    <row r="1142" customFormat="false" ht="15" hidden="false" customHeight="false" outlineLevel="0" collapsed="false">
      <c r="A1142" s="44"/>
      <c r="B1142" s="6"/>
      <c r="C1142" s="6"/>
      <c r="D1142" s="8" t="str">
        <f aca="false">IF($C1142="","",IFERROR(INDEX(PRODUCTOS!$B$6:$B$105,MATCH($C1142,PRODUCTOS!$A$6:$A$105,0)),"¿Código?"))</f>
        <v/>
      </c>
      <c r="E1142" s="42"/>
      <c r="F1142" s="35" t="str">
        <f aca="false">IF($C1142="","",IFERROR(INDEX(PRODUCTOS!$D$6:$D$105,MATCH($C1142,PRODUCTOS!$A$6:$A$105,0)),0))</f>
        <v/>
      </c>
      <c r="G1142" s="40"/>
      <c r="H1142" s="35" t="str">
        <f aca="false">IF($C1142="","",N($E1142)*$F1142-N($G1142))</f>
        <v/>
      </c>
      <c r="I1142" s="35" t="str">
        <f aca="false">IF($C1142="","",$H1142-$H1142/(1+IFERROR(INDEX(PRODUCTOS!$E$6:$E$105,MATCH($C1142,PRODUCTOS!$A$6:$A$105,0)),IVA_VENTAS)))</f>
        <v/>
      </c>
      <c r="J1142" s="35" t="str">
        <f aca="false">IF($C1142="","",$H1142-$I1142)</f>
        <v/>
      </c>
      <c r="K1142" s="35" t="str">
        <f aca="false">IF($C1142="","",N($E1142)*IFERROR(INDEX(PRODUCTOS!$H$6:$H$105,MATCH($C1142,PRODUCTOS!$A$6:$A$105,0)),0))</f>
        <v/>
      </c>
      <c r="L1142" s="35" t="str">
        <f aca="false">IF($C1142="","",$J1142-$K1142)</f>
        <v/>
      </c>
      <c r="M1142" s="6"/>
      <c r="N1142" s="6"/>
      <c r="O1142" s="46" t="str">
        <f aca="false">IF($A1142="","",DATE(YEAR($A1142),MONTH($A1142),1))</f>
        <v/>
      </c>
    </row>
    <row r="1143" customFormat="false" ht="15" hidden="false" customHeight="false" outlineLevel="0" collapsed="false">
      <c r="A1143" s="44"/>
      <c r="B1143" s="6"/>
      <c r="C1143" s="6"/>
      <c r="D1143" s="8" t="str">
        <f aca="false">IF($C1143="","",IFERROR(INDEX(PRODUCTOS!$B$6:$B$105,MATCH($C1143,PRODUCTOS!$A$6:$A$105,0)),"¿Código?"))</f>
        <v/>
      </c>
      <c r="E1143" s="42"/>
      <c r="F1143" s="35" t="str">
        <f aca="false">IF($C1143="","",IFERROR(INDEX(PRODUCTOS!$D$6:$D$105,MATCH($C1143,PRODUCTOS!$A$6:$A$105,0)),0))</f>
        <v/>
      </c>
      <c r="G1143" s="40"/>
      <c r="H1143" s="35" t="str">
        <f aca="false">IF($C1143="","",N($E1143)*$F1143-N($G1143))</f>
        <v/>
      </c>
      <c r="I1143" s="35" t="str">
        <f aca="false">IF($C1143="","",$H1143-$H1143/(1+IFERROR(INDEX(PRODUCTOS!$E$6:$E$105,MATCH($C1143,PRODUCTOS!$A$6:$A$105,0)),IVA_VENTAS)))</f>
        <v/>
      </c>
      <c r="J1143" s="35" t="str">
        <f aca="false">IF($C1143="","",$H1143-$I1143)</f>
        <v/>
      </c>
      <c r="K1143" s="35" t="str">
        <f aca="false">IF($C1143="","",N($E1143)*IFERROR(INDEX(PRODUCTOS!$H$6:$H$105,MATCH($C1143,PRODUCTOS!$A$6:$A$105,0)),0))</f>
        <v/>
      </c>
      <c r="L1143" s="35" t="str">
        <f aca="false">IF($C1143="","",$J1143-$K1143)</f>
        <v/>
      </c>
      <c r="M1143" s="6"/>
      <c r="N1143" s="6"/>
      <c r="O1143" s="46" t="str">
        <f aca="false">IF($A1143="","",DATE(YEAR($A1143),MONTH($A1143),1))</f>
        <v/>
      </c>
    </row>
    <row r="1144" customFormat="false" ht="15" hidden="false" customHeight="false" outlineLevel="0" collapsed="false">
      <c r="A1144" s="44"/>
      <c r="B1144" s="6"/>
      <c r="C1144" s="6"/>
      <c r="D1144" s="8" t="str">
        <f aca="false">IF($C1144="","",IFERROR(INDEX(PRODUCTOS!$B$6:$B$105,MATCH($C1144,PRODUCTOS!$A$6:$A$105,0)),"¿Código?"))</f>
        <v/>
      </c>
      <c r="E1144" s="42"/>
      <c r="F1144" s="35" t="str">
        <f aca="false">IF($C1144="","",IFERROR(INDEX(PRODUCTOS!$D$6:$D$105,MATCH($C1144,PRODUCTOS!$A$6:$A$105,0)),0))</f>
        <v/>
      </c>
      <c r="G1144" s="40"/>
      <c r="H1144" s="35" t="str">
        <f aca="false">IF($C1144="","",N($E1144)*$F1144-N($G1144))</f>
        <v/>
      </c>
      <c r="I1144" s="35" t="str">
        <f aca="false">IF($C1144="","",$H1144-$H1144/(1+IFERROR(INDEX(PRODUCTOS!$E$6:$E$105,MATCH($C1144,PRODUCTOS!$A$6:$A$105,0)),IVA_VENTAS)))</f>
        <v/>
      </c>
      <c r="J1144" s="35" t="str">
        <f aca="false">IF($C1144="","",$H1144-$I1144)</f>
        <v/>
      </c>
      <c r="K1144" s="35" t="str">
        <f aca="false">IF($C1144="","",N($E1144)*IFERROR(INDEX(PRODUCTOS!$H$6:$H$105,MATCH($C1144,PRODUCTOS!$A$6:$A$105,0)),0))</f>
        <v/>
      </c>
      <c r="L1144" s="35" t="str">
        <f aca="false">IF($C1144="","",$J1144-$K1144)</f>
        <v/>
      </c>
      <c r="M1144" s="6"/>
      <c r="N1144" s="6"/>
      <c r="O1144" s="46" t="str">
        <f aca="false">IF($A1144="","",DATE(YEAR($A1144),MONTH($A1144),1))</f>
        <v/>
      </c>
    </row>
    <row r="1145" customFormat="false" ht="15" hidden="false" customHeight="false" outlineLevel="0" collapsed="false">
      <c r="A1145" s="44"/>
      <c r="B1145" s="6"/>
      <c r="C1145" s="6"/>
      <c r="D1145" s="8" t="str">
        <f aca="false">IF($C1145="","",IFERROR(INDEX(PRODUCTOS!$B$6:$B$105,MATCH($C1145,PRODUCTOS!$A$6:$A$105,0)),"¿Código?"))</f>
        <v/>
      </c>
      <c r="E1145" s="42"/>
      <c r="F1145" s="35" t="str">
        <f aca="false">IF($C1145="","",IFERROR(INDEX(PRODUCTOS!$D$6:$D$105,MATCH($C1145,PRODUCTOS!$A$6:$A$105,0)),0))</f>
        <v/>
      </c>
      <c r="G1145" s="40"/>
      <c r="H1145" s="35" t="str">
        <f aca="false">IF($C1145="","",N($E1145)*$F1145-N($G1145))</f>
        <v/>
      </c>
      <c r="I1145" s="35" t="str">
        <f aca="false">IF($C1145="","",$H1145-$H1145/(1+IFERROR(INDEX(PRODUCTOS!$E$6:$E$105,MATCH($C1145,PRODUCTOS!$A$6:$A$105,0)),IVA_VENTAS)))</f>
        <v/>
      </c>
      <c r="J1145" s="35" t="str">
        <f aca="false">IF($C1145="","",$H1145-$I1145)</f>
        <v/>
      </c>
      <c r="K1145" s="35" t="str">
        <f aca="false">IF($C1145="","",N($E1145)*IFERROR(INDEX(PRODUCTOS!$H$6:$H$105,MATCH($C1145,PRODUCTOS!$A$6:$A$105,0)),0))</f>
        <v/>
      </c>
      <c r="L1145" s="35" t="str">
        <f aca="false">IF($C1145="","",$J1145-$K1145)</f>
        <v/>
      </c>
      <c r="M1145" s="6"/>
      <c r="N1145" s="6"/>
      <c r="O1145" s="46" t="str">
        <f aca="false">IF($A1145="","",DATE(YEAR($A1145),MONTH($A1145),1))</f>
        <v/>
      </c>
    </row>
    <row r="1146" customFormat="false" ht="15" hidden="false" customHeight="false" outlineLevel="0" collapsed="false">
      <c r="A1146" s="44"/>
      <c r="B1146" s="6"/>
      <c r="C1146" s="6"/>
      <c r="D1146" s="8" t="str">
        <f aca="false">IF($C1146="","",IFERROR(INDEX(PRODUCTOS!$B$6:$B$105,MATCH($C1146,PRODUCTOS!$A$6:$A$105,0)),"¿Código?"))</f>
        <v/>
      </c>
      <c r="E1146" s="42"/>
      <c r="F1146" s="35" t="str">
        <f aca="false">IF($C1146="","",IFERROR(INDEX(PRODUCTOS!$D$6:$D$105,MATCH($C1146,PRODUCTOS!$A$6:$A$105,0)),0))</f>
        <v/>
      </c>
      <c r="G1146" s="40"/>
      <c r="H1146" s="35" t="str">
        <f aca="false">IF($C1146="","",N($E1146)*$F1146-N($G1146))</f>
        <v/>
      </c>
      <c r="I1146" s="35" t="str">
        <f aca="false">IF($C1146="","",$H1146-$H1146/(1+IFERROR(INDEX(PRODUCTOS!$E$6:$E$105,MATCH($C1146,PRODUCTOS!$A$6:$A$105,0)),IVA_VENTAS)))</f>
        <v/>
      </c>
      <c r="J1146" s="35" t="str">
        <f aca="false">IF($C1146="","",$H1146-$I1146)</f>
        <v/>
      </c>
      <c r="K1146" s="35" t="str">
        <f aca="false">IF($C1146="","",N($E1146)*IFERROR(INDEX(PRODUCTOS!$H$6:$H$105,MATCH($C1146,PRODUCTOS!$A$6:$A$105,0)),0))</f>
        <v/>
      </c>
      <c r="L1146" s="35" t="str">
        <f aca="false">IF($C1146="","",$J1146-$K1146)</f>
        <v/>
      </c>
      <c r="M1146" s="6"/>
      <c r="N1146" s="6"/>
      <c r="O1146" s="46" t="str">
        <f aca="false">IF($A1146="","",DATE(YEAR($A1146),MONTH($A1146),1))</f>
        <v/>
      </c>
    </row>
    <row r="1147" customFormat="false" ht="15" hidden="false" customHeight="false" outlineLevel="0" collapsed="false">
      <c r="A1147" s="44"/>
      <c r="B1147" s="6"/>
      <c r="C1147" s="6"/>
      <c r="D1147" s="8" t="str">
        <f aca="false">IF($C1147="","",IFERROR(INDEX(PRODUCTOS!$B$6:$B$105,MATCH($C1147,PRODUCTOS!$A$6:$A$105,0)),"¿Código?"))</f>
        <v/>
      </c>
      <c r="E1147" s="42"/>
      <c r="F1147" s="35" t="str">
        <f aca="false">IF($C1147="","",IFERROR(INDEX(PRODUCTOS!$D$6:$D$105,MATCH($C1147,PRODUCTOS!$A$6:$A$105,0)),0))</f>
        <v/>
      </c>
      <c r="G1147" s="40"/>
      <c r="H1147" s="35" t="str">
        <f aca="false">IF($C1147="","",N($E1147)*$F1147-N($G1147))</f>
        <v/>
      </c>
      <c r="I1147" s="35" t="str">
        <f aca="false">IF($C1147="","",$H1147-$H1147/(1+IFERROR(INDEX(PRODUCTOS!$E$6:$E$105,MATCH($C1147,PRODUCTOS!$A$6:$A$105,0)),IVA_VENTAS)))</f>
        <v/>
      </c>
      <c r="J1147" s="35" t="str">
        <f aca="false">IF($C1147="","",$H1147-$I1147)</f>
        <v/>
      </c>
      <c r="K1147" s="35" t="str">
        <f aca="false">IF($C1147="","",N($E1147)*IFERROR(INDEX(PRODUCTOS!$H$6:$H$105,MATCH($C1147,PRODUCTOS!$A$6:$A$105,0)),0))</f>
        <v/>
      </c>
      <c r="L1147" s="35" t="str">
        <f aca="false">IF($C1147="","",$J1147-$K1147)</f>
        <v/>
      </c>
      <c r="M1147" s="6"/>
      <c r="N1147" s="6"/>
      <c r="O1147" s="46" t="str">
        <f aca="false">IF($A1147="","",DATE(YEAR($A1147),MONTH($A1147),1))</f>
        <v/>
      </c>
    </row>
    <row r="1148" customFormat="false" ht="15" hidden="false" customHeight="false" outlineLevel="0" collapsed="false">
      <c r="A1148" s="44"/>
      <c r="B1148" s="6"/>
      <c r="C1148" s="6"/>
      <c r="D1148" s="8" t="str">
        <f aca="false">IF($C1148="","",IFERROR(INDEX(PRODUCTOS!$B$6:$B$105,MATCH($C1148,PRODUCTOS!$A$6:$A$105,0)),"¿Código?"))</f>
        <v/>
      </c>
      <c r="E1148" s="42"/>
      <c r="F1148" s="35" t="str">
        <f aca="false">IF($C1148="","",IFERROR(INDEX(PRODUCTOS!$D$6:$D$105,MATCH($C1148,PRODUCTOS!$A$6:$A$105,0)),0))</f>
        <v/>
      </c>
      <c r="G1148" s="40"/>
      <c r="H1148" s="35" t="str">
        <f aca="false">IF($C1148="","",N($E1148)*$F1148-N($G1148))</f>
        <v/>
      </c>
      <c r="I1148" s="35" t="str">
        <f aca="false">IF($C1148="","",$H1148-$H1148/(1+IFERROR(INDEX(PRODUCTOS!$E$6:$E$105,MATCH($C1148,PRODUCTOS!$A$6:$A$105,0)),IVA_VENTAS)))</f>
        <v/>
      </c>
      <c r="J1148" s="35" t="str">
        <f aca="false">IF($C1148="","",$H1148-$I1148)</f>
        <v/>
      </c>
      <c r="K1148" s="35" t="str">
        <f aca="false">IF($C1148="","",N($E1148)*IFERROR(INDEX(PRODUCTOS!$H$6:$H$105,MATCH($C1148,PRODUCTOS!$A$6:$A$105,0)),0))</f>
        <v/>
      </c>
      <c r="L1148" s="35" t="str">
        <f aca="false">IF($C1148="","",$J1148-$K1148)</f>
        <v/>
      </c>
      <c r="M1148" s="6"/>
      <c r="N1148" s="6"/>
      <c r="O1148" s="46" t="str">
        <f aca="false">IF($A1148="","",DATE(YEAR($A1148),MONTH($A1148),1))</f>
        <v/>
      </c>
    </row>
    <row r="1149" customFormat="false" ht="15" hidden="false" customHeight="false" outlineLevel="0" collapsed="false">
      <c r="A1149" s="44"/>
      <c r="B1149" s="6"/>
      <c r="C1149" s="6"/>
      <c r="D1149" s="8" t="str">
        <f aca="false">IF($C1149="","",IFERROR(INDEX(PRODUCTOS!$B$6:$B$105,MATCH($C1149,PRODUCTOS!$A$6:$A$105,0)),"¿Código?"))</f>
        <v/>
      </c>
      <c r="E1149" s="42"/>
      <c r="F1149" s="35" t="str">
        <f aca="false">IF($C1149="","",IFERROR(INDEX(PRODUCTOS!$D$6:$D$105,MATCH($C1149,PRODUCTOS!$A$6:$A$105,0)),0))</f>
        <v/>
      </c>
      <c r="G1149" s="40"/>
      <c r="H1149" s="35" t="str">
        <f aca="false">IF($C1149="","",N($E1149)*$F1149-N($G1149))</f>
        <v/>
      </c>
      <c r="I1149" s="35" t="str">
        <f aca="false">IF($C1149="","",$H1149-$H1149/(1+IFERROR(INDEX(PRODUCTOS!$E$6:$E$105,MATCH($C1149,PRODUCTOS!$A$6:$A$105,0)),IVA_VENTAS)))</f>
        <v/>
      </c>
      <c r="J1149" s="35" t="str">
        <f aca="false">IF($C1149="","",$H1149-$I1149)</f>
        <v/>
      </c>
      <c r="K1149" s="35" t="str">
        <f aca="false">IF($C1149="","",N($E1149)*IFERROR(INDEX(PRODUCTOS!$H$6:$H$105,MATCH($C1149,PRODUCTOS!$A$6:$A$105,0)),0))</f>
        <v/>
      </c>
      <c r="L1149" s="35" t="str">
        <f aca="false">IF($C1149="","",$J1149-$K1149)</f>
        <v/>
      </c>
      <c r="M1149" s="6"/>
      <c r="N1149" s="6"/>
      <c r="O1149" s="46" t="str">
        <f aca="false">IF($A1149="","",DATE(YEAR($A1149),MONTH($A1149),1))</f>
        <v/>
      </c>
    </row>
    <row r="1150" customFormat="false" ht="15" hidden="false" customHeight="false" outlineLevel="0" collapsed="false">
      <c r="A1150" s="44"/>
      <c r="B1150" s="6"/>
      <c r="C1150" s="6"/>
      <c r="D1150" s="8" t="str">
        <f aca="false">IF($C1150="","",IFERROR(INDEX(PRODUCTOS!$B$6:$B$105,MATCH($C1150,PRODUCTOS!$A$6:$A$105,0)),"¿Código?"))</f>
        <v/>
      </c>
      <c r="E1150" s="42"/>
      <c r="F1150" s="35" t="str">
        <f aca="false">IF($C1150="","",IFERROR(INDEX(PRODUCTOS!$D$6:$D$105,MATCH($C1150,PRODUCTOS!$A$6:$A$105,0)),0))</f>
        <v/>
      </c>
      <c r="G1150" s="40"/>
      <c r="H1150" s="35" t="str">
        <f aca="false">IF($C1150="","",N($E1150)*$F1150-N($G1150))</f>
        <v/>
      </c>
      <c r="I1150" s="35" t="str">
        <f aca="false">IF($C1150="","",$H1150-$H1150/(1+IFERROR(INDEX(PRODUCTOS!$E$6:$E$105,MATCH($C1150,PRODUCTOS!$A$6:$A$105,0)),IVA_VENTAS)))</f>
        <v/>
      </c>
      <c r="J1150" s="35" t="str">
        <f aca="false">IF($C1150="","",$H1150-$I1150)</f>
        <v/>
      </c>
      <c r="K1150" s="35" t="str">
        <f aca="false">IF($C1150="","",N($E1150)*IFERROR(INDEX(PRODUCTOS!$H$6:$H$105,MATCH($C1150,PRODUCTOS!$A$6:$A$105,0)),0))</f>
        <v/>
      </c>
      <c r="L1150" s="35" t="str">
        <f aca="false">IF($C1150="","",$J1150-$K1150)</f>
        <v/>
      </c>
      <c r="M1150" s="6"/>
      <c r="N1150" s="6"/>
      <c r="O1150" s="46" t="str">
        <f aca="false">IF($A1150="","",DATE(YEAR($A1150),MONTH($A1150),1))</f>
        <v/>
      </c>
    </row>
    <row r="1151" customFormat="false" ht="15" hidden="false" customHeight="false" outlineLevel="0" collapsed="false">
      <c r="A1151" s="44"/>
      <c r="B1151" s="6"/>
      <c r="C1151" s="6"/>
      <c r="D1151" s="8" t="str">
        <f aca="false">IF($C1151="","",IFERROR(INDEX(PRODUCTOS!$B$6:$B$105,MATCH($C1151,PRODUCTOS!$A$6:$A$105,0)),"¿Código?"))</f>
        <v/>
      </c>
      <c r="E1151" s="42"/>
      <c r="F1151" s="35" t="str">
        <f aca="false">IF($C1151="","",IFERROR(INDEX(PRODUCTOS!$D$6:$D$105,MATCH($C1151,PRODUCTOS!$A$6:$A$105,0)),0))</f>
        <v/>
      </c>
      <c r="G1151" s="40"/>
      <c r="H1151" s="35" t="str">
        <f aca="false">IF($C1151="","",N($E1151)*$F1151-N($G1151))</f>
        <v/>
      </c>
      <c r="I1151" s="35" t="str">
        <f aca="false">IF($C1151="","",$H1151-$H1151/(1+IFERROR(INDEX(PRODUCTOS!$E$6:$E$105,MATCH($C1151,PRODUCTOS!$A$6:$A$105,0)),IVA_VENTAS)))</f>
        <v/>
      </c>
      <c r="J1151" s="35" t="str">
        <f aca="false">IF($C1151="","",$H1151-$I1151)</f>
        <v/>
      </c>
      <c r="K1151" s="35" t="str">
        <f aca="false">IF($C1151="","",N($E1151)*IFERROR(INDEX(PRODUCTOS!$H$6:$H$105,MATCH($C1151,PRODUCTOS!$A$6:$A$105,0)),0))</f>
        <v/>
      </c>
      <c r="L1151" s="35" t="str">
        <f aca="false">IF($C1151="","",$J1151-$K1151)</f>
        <v/>
      </c>
      <c r="M1151" s="6"/>
      <c r="N1151" s="6"/>
      <c r="O1151" s="46" t="str">
        <f aca="false">IF($A1151="","",DATE(YEAR($A1151),MONTH($A1151),1))</f>
        <v/>
      </c>
    </row>
    <row r="1152" customFormat="false" ht="15" hidden="false" customHeight="false" outlineLevel="0" collapsed="false">
      <c r="A1152" s="44"/>
      <c r="B1152" s="6"/>
      <c r="C1152" s="6"/>
      <c r="D1152" s="8" t="str">
        <f aca="false">IF($C1152="","",IFERROR(INDEX(PRODUCTOS!$B$6:$B$105,MATCH($C1152,PRODUCTOS!$A$6:$A$105,0)),"¿Código?"))</f>
        <v/>
      </c>
      <c r="E1152" s="42"/>
      <c r="F1152" s="35" t="str">
        <f aca="false">IF($C1152="","",IFERROR(INDEX(PRODUCTOS!$D$6:$D$105,MATCH($C1152,PRODUCTOS!$A$6:$A$105,0)),0))</f>
        <v/>
      </c>
      <c r="G1152" s="40"/>
      <c r="H1152" s="35" t="str">
        <f aca="false">IF($C1152="","",N($E1152)*$F1152-N($G1152))</f>
        <v/>
      </c>
      <c r="I1152" s="35" t="str">
        <f aca="false">IF($C1152="","",$H1152-$H1152/(1+IFERROR(INDEX(PRODUCTOS!$E$6:$E$105,MATCH($C1152,PRODUCTOS!$A$6:$A$105,0)),IVA_VENTAS)))</f>
        <v/>
      </c>
      <c r="J1152" s="35" t="str">
        <f aca="false">IF($C1152="","",$H1152-$I1152)</f>
        <v/>
      </c>
      <c r="K1152" s="35" t="str">
        <f aca="false">IF($C1152="","",N($E1152)*IFERROR(INDEX(PRODUCTOS!$H$6:$H$105,MATCH($C1152,PRODUCTOS!$A$6:$A$105,0)),0))</f>
        <v/>
      </c>
      <c r="L1152" s="35" t="str">
        <f aca="false">IF($C1152="","",$J1152-$K1152)</f>
        <v/>
      </c>
      <c r="M1152" s="6"/>
      <c r="N1152" s="6"/>
      <c r="O1152" s="46" t="str">
        <f aca="false">IF($A1152="","",DATE(YEAR($A1152),MONTH($A1152),1))</f>
        <v/>
      </c>
    </row>
    <row r="1153" customFormat="false" ht="15" hidden="false" customHeight="false" outlineLevel="0" collapsed="false">
      <c r="A1153" s="44"/>
      <c r="B1153" s="6"/>
      <c r="C1153" s="6"/>
      <c r="D1153" s="8" t="str">
        <f aca="false">IF($C1153="","",IFERROR(INDEX(PRODUCTOS!$B$6:$B$105,MATCH($C1153,PRODUCTOS!$A$6:$A$105,0)),"¿Código?"))</f>
        <v/>
      </c>
      <c r="E1153" s="42"/>
      <c r="F1153" s="35" t="str">
        <f aca="false">IF($C1153="","",IFERROR(INDEX(PRODUCTOS!$D$6:$D$105,MATCH($C1153,PRODUCTOS!$A$6:$A$105,0)),0))</f>
        <v/>
      </c>
      <c r="G1153" s="40"/>
      <c r="H1153" s="35" t="str">
        <f aca="false">IF($C1153="","",N($E1153)*$F1153-N($G1153))</f>
        <v/>
      </c>
      <c r="I1153" s="35" t="str">
        <f aca="false">IF($C1153="","",$H1153-$H1153/(1+IFERROR(INDEX(PRODUCTOS!$E$6:$E$105,MATCH($C1153,PRODUCTOS!$A$6:$A$105,0)),IVA_VENTAS)))</f>
        <v/>
      </c>
      <c r="J1153" s="35" t="str">
        <f aca="false">IF($C1153="","",$H1153-$I1153)</f>
        <v/>
      </c>
      <c r="K1153" s="35" t="str">
        <f aca="false">IF($C1153="","",N($E1153)*IFERROR(INDEX(PRODUCTOS!$H$6:$H$105,MATCH($C1153,PRODUCTOS!$A$6:$A$105,0)),0))</f>
        <v/>
      </c>
      <c r="L1153" s="35" t="str">
        <f aca="false">IF($C1153="","",$J1153-$K1153)</f>
        <v/>
      </c>
      <c r="M1153" s="6"/>
      <c r="N1153" s="6"/>
      <c r="O1153" s="46" t="str">
        <f aca="false">IF($A1153="","",DATE(YEAR($A1153),MONTH($A1153),1))</f>
        <v/>
      </c>
    </row>
    <row r="1154" customFormat="false" ht="15" hidden="false" customHeight="false" outlineLevel="0" collapsed="false">
      <c r="A1154" s="44"/>
      <c r="B1154" s="6"/>
      <c r="C1154" s="6"/>
      <c r="D1154" s="8" t="str">
        <f aca="false">IF($C1154="","",IFERROR(INDEX(PRODUCTOS!$B$6:$B$105,MATCH($C1154,PRODUCTOS!$A$6:$A$105,0)),"¿Código?"))</f>
        <v/>
      </c>
      <c r="E1154" s="42"/>
      <c r="F1154" s="35" t="str">
        <f aca="false">IF($C1154="","",IFERROR(INDEX(PRODUCTOS!$D$6:$D$105,MATCH($C1154,PRODUCTOS!$A$6:$A$105,0)),0))</f>
        <v/>
      </c>
      <c r="G1154" s="40"/>
      <c r="H1154" s="35" t="str">
        <f aca="false">IF($C1154="","",N($E1154)*$F1154-N($G1154))</f>
        <v/>
      </c>
      <c r="I1154" s="35" t="str">
        <f aca="false">IF($C1154="","",$H1154-$H1154/(1+IFERROR(INDEX(PRODUCTOS!$E$6:$E$105,MATCH($C1154,PRODUCTOS!$A$6:$A$105,0)),IVA_VENTAS)))</f>
        <v/>
      </c>
      <c r="J1154" s="35" t="str">
        <f aca="false">IF($C1154="","",$H1154-$I1154)</f>
        <v/>
      </c>
      <c r="K1154" s="35" t="str">
        <f aca="false">IF($C1154="","",N($E1154)*IFERROR(INDEX(PRODUCTOS!$H$6:$H$105,MATCH($C1154,PRODUCTOS!$A$6:$A$105,0)),0))</f>
        <v/>
      </c>
      <c r="L1154" s="35" t="str">
        <f aca="false">IF($C1154="","",$J1154-$K1154)</f>
        <v/>
      </c>
      <c r="M1154" s="6"/>
      <c r="N1154" s="6"/>
      <c r="O1154" s="46" t="str">
        <f aca="false">IF($A1154="","",DATE(YEAR($A1154),MONTH($A1154),1))</f>
        <v/>
      </c>
    </row>
    <row r="1155" customFormat="false" ht="15" hidden="false" customHeight="false" outlineLevel="0" collapsed="false">
      <c r="A1155" s="44"/>
      <c r="B1155" s="6"/>
      <c r="C1155" s="6"/>
      <c r="D1155" s="8" t="str">
        <f aca="false">IF($C1155="","",IFERROR(INDEX(PRODUCTOS!$B$6:$B$105,MATCH($C1155,PRODUCTOS!$A$6:$A$105,0)),"¿Código?"))</f>
        <v/>
      </c>
      <c r="E1155" s="42"/>
      <c r="F1155" s="35" t="str">
        <f aca="false">IF($C1155="","",IFERROR(INDEX(PRODUCTOS!$D$6:$D$105,MATCH($C1155,PRODUCTOS!$A$6:$A$105,0)),0))</f>
        <v/>
      </c>
      <c r="G1155" s="40"/>
      <c r="H1155" s="35" t="str">
        <f aca="false">IF($C1155="","",N($E1155)*$F1155-N($G1155))</f>
        <v/>
      </c>
      <c r="I1155" s="35" t="str">
        <f aca="false">IF($C1155="","",$H1155-$H1155/(1+IFERROR(INDEX(PRODUCTOS!$E$6:$E$105,MATCH($C1155,PRODUCTOS!$A$6:$A$105,0)),IVA_VENTAS)))</f>
        <v/>
      </c>
      <c r="J1155" s="35" t="str">
        <f aca="false">IF($C1155="","",$H1155-$I1155)</f>
        <v/>
      </c>
      <c r="K1155" s="35" t="str">
        <f aca="false">IF($C1155="","",N($E1155)*IFERROR(INDEX(PRODUCTOS!$H$6:$H$105,MATCH($C1155,PRODUCTOS!$A$6:$A$105,0)),0))</f>
        <v/>
      </c>
      <c r="L1155" s="35" t="str">
        <f aca="false">IF($C1155="","",$J1155-$K1155)</f>
        <v/>
      </c>
      <c r="M1155" s="6"/>
      <c r="N1155" s="6"/>
      <c r="O1155" s="46" t="str">
        <f aca="false">IF($A1155="","",DATE(YEAR($A1155),MONTH($A1155),1))</f>
        <v/>
      </c>
    </row>
    <row r="1156" customFormat="false" ht="15" hidden="false" customHeight="false" outlineLevel="0" collapsed="false">
      <c r="A1156" s="44"/>
      <c r="B1156" s="6"/>
      <c r="C1156" s="6"/>
      <c r="D1156" s="8" t="str">
        <f aca="false">IF($C1156="","",IFERROR(INDEX(PRODUCTOS!$B$6:$B$105,MATCH($C1156,PRODUCTOS!$A$6:$A$105,0)),"¿Código?"))</f>
        <v/>
      </c>
      <c r="E1156" s="42"/>
      <c r="F1156" s="35" t="str">
        <f aca="false">IF($C1156="","",IFERROR(INDEX(PRODUCTOS!$D$6:$D$105,MATCH($C1156,PRODUCTOS!$A$6:$A$105,0)),0))</f>
        <v/>
      </c>
      <c r="G1156" s="40"/>
      <c r="H1156" s="35" t="str">
        <f aca="false">IF($C1156="","",N($E1156)*$F1156-N($G1156))</f>
        <v/>
      </c>
      <c r="I1156" s="35" t="str">
        <f aca="false">IF($C1156="","",$H1156-$H1156/(1+IFERROR(INDEX(PRODUCTOS!$E$6:$E$105,MATCH($C1156,PRODUCTOS!$A$6:$A$105,0)),IVA_VENTAS)))</f>
        <v/>
      </c>
      <c r="J1156" s="35" t="str">
        <f aca="false">IF($C1156="","",$H1156-$I1156)</f>
        <v/>
      </c>
      <c r="K1156" s="35" t="str">
        <f aca="false">IF($C1156="","",N($E1156)*IFERROR(INDEX(PRODUCTOS!$H$6:$H$105,MATCH($C1156,PRODUCTOS!$A$6:$A$105,0)),0))</f>
        <v/>
      </c>
      <c r="L1156" s="35" t="str">
        <f aca="false">IF($C1156="","",$J1156-$K1156)</f>
        <v/>
      </c>
      <c r="M1156" s="6"/>
      <c r="N1156" s="6"/>
      <c r="O1156" s="46" t="str">
        <f aca="false">IF($A1156="","",DATE(YEAR($A1156),MONTH($A1156),1))</f>
        <v/>
      </c>
    </row>
    <row r="1157" customFormat="false" ht="15" hidden="false" customHeight="false" outlineLevel="0" collapsed="false">
      <c r="A1157" s="44"/>
      <c r="B1157" s="6"/>
      <c r="C1157" s="6"/>
      <c r="D1157" s="8" t="str">
        <f aca="false">IF($C1157="","",IFERROR(INDEX(PRODUCTOS!$B$6:$B$105,MATCH($C1157,PRODUCTOS!$A$6:$A$105,0)),"¿Código?"))</f>
        <v/>
      </c>
      <c r="E1157" s="42"/>
      <c r="F1157" s="35" t="str">
        <f aca="false">IF($C1157="","",IFERROR(INDEX(PRODUCTOS!$D$6:$D$105,MATCH($C1157,PRODUCTOS!$A$6:$A$105,0)),0))</f>
        <v/>
      </c>
      <c r="G1157" s="40"/>
      <c r="H1157" s="35" t="str">
        <f aca="false">IF($C1157="","",N($E1157)*$F1157-N($G1157))</f>
        <v/>
      </c>
      <c r="I1157" s="35" t="str">
        <f aca="false">IF($C1157="","",$H1157-$H1157/(1+IFERROR(INDEX(PRODUCTOS!$E$6:$E$105,MATCH($C1157,PRODUCTOS!$A$6:$A$105,0)),IVA_VENTAS)))</f>
        <v/>
      </c>
      <c r="J1157" s="35" t="str">
        <f aca="false">IF($C1157="","",$H1157-$I1157)</f>
        <v/>
      </c>
      <c r="K1157" s="35" t="str">
        <f aca="false">IF($C1157="","",N($E1157)*IFERROR(INDEX(PRODUCTOS!$H$6:$H$105,MATCH($C1157,PRODUCTOS!$A$6:$A$105,0)),0))</f>
        <v/>
      </c>
      <c r="L1157" s="35" t="str">
        <f aca="false">IF($C1157="","",$J1157-$K1157)</f>
        <v/>
      </c>
      <c r="M1157" s="6"/>
      <c r="N1157" s="6"/>
      <c r="O1157" s="46" t="str">
        <f aca="false">IF($A1157="","",DATE(YEAR($A1157),MONTH($A1157),1))</f>
        <v/>
      </c>
    </row>
    <row r="1158" customFormat="false" ht="15" hidden="false" customHeight="false" outlineLevel="0" collapsed="false">
      <c r="A1158" s="44"/>
      <c r="B1158" s="6"/>
      <c r="C1158" s="6"/>
      <c r="D1158" s="8" t="str">
        <f aca="false">IF($C1158="","",IFERROR(INDEX(PRODUCTOS!$B$6:$B$105,MATCH($C1158,PRODUCTOS!$A$6:$A$105,0)),"¿Código?"))</f>
        <v/>
      </c>
      <c r="E1158" s="42"/>
      <c r="F1158" s="35" t="str">
        <f aca="false">IF($C1158="","",IFERROR(INDEX(PRODUCTOS!$D$6:$D$105,MATCH($C1158,PRODUCTOS!$A$6:$A$105,0)),0))</f>
        <v/>
      </c>
      <c r="G1158" s="40"/>
      <c r="H1158" s="35" t="str">
        <f aca="false">IF($C1158="","",N($E1158)*$F1158-N($G1158))</f>
        <v/>
      </c>
      <c r="I1158" s="35" t="str">
        <f aca="false">IF($C1158="","",$H1158-$H1158/(1+IFERROR(INDEX(PRODUCTOS!$E$6:$E$105,MATCH($C1158,PRODUCTOS!$A$6:$A$105,0)),IVA_VENTAS)))</f>
        <v/>
      </c>
      <c r="J1158" s="35" t="str">
        <f aca="false">IF($C1158="","",$H1158-$I1158)</f>
        <v/>
      </c>
      <c r="K1158" s="35" t="str">
        <f aca="false">IF($C1158="","",N($E1158)*IFERROR(INDEX(PRODUCTOS!$H$6:$H$105,MATCH($C1158,PRODUCTOS!$A$6:$A$105,0)),0))</f>
        <v/>
      </c>
      <c r="L1158" s="35" t="str">
        <f aca="false">IF($C1158="","",$J1158-$K1158)</f>
        <v/>
      </c>
      <c r="M1158" s="6"/>
      <c r="N1158" s="6"/>
      <c r="O1158" s="46" t="str">
        <f aca="false">IF($A1158="","",DATE(YEAR($A1158),MONTH($A1158),1))</f>
        <v/>
      </c>
    </row>
    <row r="1159" customFormat="false" ht="15" hidden="false" customHeight="false" outlineLevel="0" collapsed="false">
      <c r="A1159" s="44"/>
      <c r="B1159" s="6"/>
      <c r="C1159" s="6"/>
      <c r="D1159" s="8" t="str">
        <f aca="false">IF($C1159="","",IFERROR(INDEX(PRODUCTOS!$B$6:$B$105,MATCH($C1159,PRODUCTOS!$A$6:$A$105,0)),"¿Código?"))</f>
        <v/>
      </c>
      <c r="E1159" s="42"/>
      <c r="F1159" s="35" t="str">
        <f aca="false">IF($C1159="","",IFERROR(INDEX(PRODUCTOS!$D$6:$D$105,MATCH($C1159,PRODUCTOS!$A$6:$A$105,0)),0))</f>
        <v/>
      </c>
      <c r="G1159" s="40"/>
      <c r="H1159" s="35" t="str">
        <f aca="false">IF($C1159="","",N($E1159)*$F1159-N($G1159))</f>
        <v/>
      </c>
      <c r="I1159" s="35" t="str">
        <f aca="false">IF($C1159="","",$H1159-$H1159/(1+IFERROR(INDEX(PRODUCTOS!$E$6:$E$105,MATCH($C1159,PRODUCTOS!$A$6:$A$105,0)),IVA_VENTAS)))</f>
        <v/>
      </c>
      <c r="J1159" s="35" t="str">
        <f aca="false">IF($C1159="","",$H1159-$I1159)</f>
        <v/>
      </c>
      <c r="K1159" s="35" t="str">
        <f aca="false">IF($C1159="","",N($E1159)*IFERROR(INDEX(PRODUCTOS!$H$6:$H$105,MATCH($C1159,PRODUCTOS!$A$6:$A$105,0)),0))</f>
        <v/>
      </c>
      <c r="L1159" s="35" t="str">
        <f aca="false">IF($C1159="","",$J1159-$K1159)</f>
        <v/>
      </c>
      <c r="M1159" s="6"/>
      <c r="N1159" s="6"/>
      <c r="O1159" s="46" t="str">
        <f aca="false">IF($A1159="","",DATE(YEAR($A1159),MONTH($A1159),1))</f>
        <v/>
      </c>
    </row>
    <row r="1160" customFormat="false" ht="15" hidden="false" customHeight="false" outlineLevel="0" collapsed="false">
      <c r="A1160" s="44"/>
      <c r="B1160" s="6"/>
      <c r="C1160" s="6"/>
      <c r="D1160" s="8" t="str">
        <f aca="false">IF($C1160="","",IFERROR(INDEX(PRODUCTOS!$B$6:$B$105,MATCH($C1160,PRODUCTOS!$A$6:$A$105,0)),"¿Código?"))</f>
        <v/>
      </c>
      <c r="E1160" s="42"/>
      <c r="F1160" s="35" t="str">
        <f aca="false">IF($C1160="","",IFERROR(INDEX(PRODUCTOS!$D$6:$D$105,MATCH($C1160,PRODUCTOS!$A$6:$A$105,0)),0))</f>
        <v/>
      </c>
      <c r="G1160" s="40"/>
      <c r="H1160" s="35" t="str">
        <f aca="false">IF($C1160="","",N($E1160)*$F1160-N($G1160))</f>
        <v/>
      </c>
      <c r="I1160" s="35" t="str">
        <f aca="false">IF($C1160="","",$H1160-$H1160/(1+IFERROR(INDEX(PRODUCTOS!$E$6:$E$105,MATCH($C1160,PRODUCTOS!$A$6:$A$105,0)),IVA_VENTAS)))</f>
        <v/>
      </c>
      <c r="J1160" s="35" t="str">
        <f aca="false">IF($C1160="","",$H1160-$I1160)</f>
        <v/>
      </c>
      <c r="K1160" s="35" t="str">
        <f aca="false">IF($C1160="","",N($E1160)*IFERROR(INDEX(PRODUCTOS!$H$6:$H$105,MATCH($C1160,PRODUCTOS!$A$6:$A$105,0)),0))</f>
        <v/>
      </c>
      <c r="L1160" s="35" t="str">
        <f aca="false">IF($C1160="","",$J1160-$K1160)</f>
        <v/>
      </c>
      <c r="M1160" s="6"/>
      <c r="N1160" s="6"/>
      <c r="O1160" s="46" t="str">
        <f aca="false">IF($A1160="","",DATE(YEAR($A1160),MONTH($A1160),1))</f>
        <v/>
      </c>
    </row>
    <row r="1161" customFormat="false" ht="15" hidden="false" customHeight="false" outlineLevel="0" collapsed="false">
      <c r="A1161" s="44"/>
      <c r="B1161" s="6"/>
      <c r="C1161" s="6"/>
      <c r="D1161" s="8" t="str">
        <f aca="false">IF($C1161="","",IFERROR(INDEX(PRODUCTOS!$B$6:$B$105,MATCH($C1161,PRODUCTOS!$A$6:$A$105,0)),"¿Código?"))</f>
        <v/>
      </c>
      <c r="E1161" s="42"/>
      <c r="F1161" s="35" t="str">
        <f aca="false">IF($C1161="","",IFERROR(INDEX(PRODUCTOS!$D$6:$D$105,MATCH($C1161,PRODUCTOS!$A$6:$A$105,0)),0))</f>
        <v/>
      </c>
      <c r="G1161" s="40"/>
      <c r="H1161" s="35" t="str">
        <f aca="false">IF($C1161="","",N($E1161)*$F1161-N($G1161))</f>
        <v/>
      </c>
      <c r="I1161" s="35" t="str">
        <f aca="false">IF($C1161="","",$H1161-$H1161/(1+IFERROR(INDEX(PRODUCTOS!$E$6:$E$105,MATCH($C1161,PRODUCTOS!$A$6:$A$105,0)),IVA_VENTAS)))</f>
        <v/>
      </c>
      <c r="J1161" s="35" t="str">
        <f aca="false">IF($C1161="","",$H1161-$I1161)</f>
        <v/>
      </c>
      <c r="K1161" s="35" t="str">
        <f aca="false">IF($C1161="","",N($E1161)*IFERROR(INDEX(PRODUCTOS!$H$6:$H$105,MATCH($C1161,PRODUCTOS!$A$6:$A$105,0)),0))</f>
        <v/>
      </c>
      <c r="L1161" s="35" t="str">
        <f aca="false">IF($C1161="","",$J1161-$K1161)</f>
        <v/>
      </c>
      <c r="M1161" s="6"/>
      <c r="N1161" s="6"/>
      <c r="O1161" s="46" t="str">
        <f aca="false">IF($A1161="","",DATE(YEAR($A1161),MONTH($A1161),1))</f>
        <v/>
      </c>
    </row>
    <row r="1162" customFormat="false" ht="15" hidden="false" customHeight="false" outlineLevel="0" collapsed="false">
      <c r="A1162" s="44"/>
      <c r="B1162" s="6"/>
      <c r="C1162" s="6"/>
      <c r="D1162" s="8" t="str">
        <f aca="false">IF($C1162="","",IFERROR(INDEX(PRODUCTOS!$B$6:$B$105,MATCH($C1162,PRODUCTOS!$A$6:$A$105,0)),"¿Código?"))</f>
        <v/>
      </c>
      <c r="E1162" s="42"/>
      <c r="F1162" s="35" t="str">
        <f aca="false">IF($C1162="","",IFERROR(INDEX(PRODUCTOS!$D$6:$D$105,MATCH($C1162,PRODUCTOS!$A$6:$A$105,0)),0))</f>
        <v/>
      </c>
      <c r="G1162" s="40"/>
      <c r="H1162" s="35" t="str">
        <f aca="false">IF($C1162="","",N($E1162)*$F1162-N($G1162))</f>
        <v/>
      </c>
      <c r="I1162" s="35" t="str">
        <f aca="false">IF($C1162="","",$H1162-$H1162/(1+IFERROR(INDEX(PRODUCTOS!$E$6:$E$105,MATCH($C1162,PRODUCTOS!$A$6:$A$105,0)),IVA_VENTAS)))</f>
        <v/>
      </c>
      <c r="J1162" s="35" t="str">
        <f aca="false">IF($C1162="","",$H1162-$I1162)</f>
        <v/>
      </c>
      <c r="K1162" s="35" t="str">
        <f aca="false">IF($C1162="","",N($E1162)*IFERROR(INDEX(PRODUCTOS!$H$6:$H$105,MATCH($C1162,PRODUCTOS!$A$6:$A$105,0)),0))</f>
        <v/>
      </c>
      <c r="L1162" s="35" t="str">
        <f aca="false">IF($C1162="","",$J1162-$K1162)</f>
        <v/>
      </c>
      <c r="M1162" s="6"/>
      <c r="N1162" s="6"/>
      <c r="O1162" s="46" t="str">
        <f aca="false">IF($A1162="","",DATE(YEAR($A1162),MONTH($A1162),1))</f>
        <v/>
      </c>
    </row>
    <row r="1163" customFormat="false" ht="15" hidden="false" customHeight="false" outlineLevel="0" collapsed="false">
      <c r="A1163" s="44"/>
      <c r="B1163" s="6"/>
      <c r="C1163" s="6"/>
      <c r="D1163" s="8" t="str">
        <f aca="false">IF($C1163="","",IFERROR(INDEX(PRODUCTOS!$B$6:$B$105,MATCH($C1163,PRODUCTOS!$A$6:$A$105,0)),"¿Código?"))</f>
        <v/>
      </c>
      <c r="E1163" s="42"/>
      <c r="F1163" s="35" t="str">
        <f aca="false">IF($C1163="","",IFERROR(INDEX(PRODUCTOS!$D$6:$D$105,MATCH($C1163,PRODUCTOS!$A$6:$A$105,0)),0))</f>
        <v/>
      </c>
      <c r="G1163" s="40"/>
      <c r="H1163" s="35" t="str">
        <f aca="false">IF($C1163="","",N($E1163)*$F1163-N($G1163))</f>
        <v/>
      </c>
      <c r="I1163" s="35" t="str">
        <f aca="false">IF($C1163="","",$H1163-$H1163/(1+IFERROR(INDEX(PRODUCTOS!$E$6:$E$105,MATCH($C1163,PRODUCTOS!$A$6:$A$105,0)),IVA_VENTAS)))</f>
        <v/>
      </c>
      <c r="J1163" s="35" t="str">
        <f aca="false">IF($C1163="","",$H1163-$I1163)</f>
        <v/>
      </c>
      <c r="K1163" s="35" t="str">
        <f aca="false">IF($C1163="","",N($E1163)*IFERROR(INDEX(PRODUCTOS!$H$6:$H$105,MATCH($C1163,PRODUCTOS!$A$6:$A$105,0)),0))</f>
        <v/>
      </c>
      <c r="L1163" s="35" t="str">
        <f aca="false">IF($C1163="","",$J1163-$K1163)</f>
        <v/>
      </c>
      <c r="M1163" s="6"/>
      <c r="N1163" s="6"/>
      <c r="O1163" s="46" t="str">
        <f aca="false">IF($A1163="","",DATE(YEAR($A1163),MONTH($A1163),1))</f>
        <v/>
      </c>
    </row>
    <row r="1164" customFormat="false" ht="15" hidden="false" customHeight="false" outlineLevel="0" collapsed="false">
      <c r="A1164" s="44"/>
      <c r="B1164" s="6"/>
      <c r="C1164" s="6"/>
      <c r="D1164" s="8" t="str">
        <f aca="false">IF($C1164="","",IFERROR(INDEX(PRODUCTOS!$B$6:$B$105,MATCH($C1164,PRODUCTOS!$A$6:$A$105,0)),"¿Código?"))</f>
        <v/>
      </c>
      <c r="E1164" s="42"/>
      <c r="F1164" s="35" t="str">
        <f aca="false">IF($C1164="","",IFERROR(INDEX(PRODUCTOS!$D$6:$D$105,MATCH($C1164,PRODUCTOS!$A$6:$A$105,0)),0))</f>
        <v/>
      </c>
      <c r="G1164" s="40"/>
      <c r="H1164" s="35" t="str">
        <f aca="false">IF($C1164="","",N($E1164)*$F1164-N($G1164))</f>
        <v/>
      </c>
      <c r="I1164" s="35" t="str">
        <f aca="false">IF($C1164="","",$H1164-$H1164/(1+IFERROR(INDEX(PRODUCTOS!$E$6:$E$105,MATCH($C1164,PRODUCTOS!$A$6:$A$105,0)),IVA_VENTAS)))</f>
        <v/>
      </c>
      <c r="J1164" s="35" t="str">
        <f aca="false">IF($C1164="","",$H1164-$I1164)</f>
        <v/>
      </c>
      <c r="K1164" s="35" t="str">
        <f aca="false">IF($C1164="","",N($E1164)*IFERROR(INDEX(PRODUCTOS!$H$6:$H$105,MATCH($C1164,PRODUCTOS!$A$6:$A$105,0)),0))</f>
        <v/>
      </c>
      <c r="L1164" s="35" t="str">
        <f aca="false">IF($C1164="","",$J1164-$K1164)</f>
        <v/>
      </c>
      <c r="M1164" s="6"/>
      <c r="N1164" s="6"/>
      <c r="O1164" s="46" t="str">
        <f aca="false">IF($A1164="","",DATE(YEAR($A1164),MONTH($A1164),1))</f>
        <v/>
      </c>
    </row>
    <row r="1165" customFormat="false" ht="15" hidden="false" customHeight="false" outlineLevel="0" collapsed="false">
      <c r="A1165" s="44"/>
      <c r="B1165" s="6"/>
      <c r="C1165" s="6"/>
      <c r="D1165" s="8" t="str">
        <f aca="false">IF($C1165="","",IFERROR(INDEX(PRODUCTOS!$B$6:$B$105,MATCH($C1165,PRODUCTOS!$A$6:$A$105,0)),"¿Código?"))</f>
        <v/>
      </c>
      <c r="E1165" s="42"/>
      <c r="F1165" s="35" t="str">
        <f aca="false">IF($C1165="","",IFERROR(INDEX(PRODUCTOS!$D$6:$D$105,MATCH($C1165,PRODUCTOS!$A$6:$A$105,0)),0))</f>
        <v/>
      </c>
      <c r="G1165" s="40"/>
      <c r="H1165" s="35" t="str">
        <f aca="false">IF($C1165="","",N($E1165)*$F1165-N($G1165))</f>
        <v/>
      </c>
      <c r="I1165" s="35" t="str">
        <f aca="false">IF($C1165="","",$H1165-$H1165/(1+IFERROR(INDEX(PRODUCTOS!$E$6:$E$105,MATCH($C1165,PRODUCTOS!$A$6:$A$105,0)),IVA_VENTAS)))</f>
        <v/>
      </c>
      <c r="J1165" s="35" t="str">
        <f aca="false">IF($C1165="","",$H1165-$I1165)</f>
        <v/>
      </c>
      <c r="K1165" s="35" t="str">
        <f aca="false">IF($C1165="","",N($E1165)*IFERROR(INDEX(PRODUCTOS!$H$6:$H$105,MATCH($C1165,PRODUCTOS!$A$6:$A$105,0)),0))</f>
        <v/>
      </c>
      <c r="L1165" s="35" t="str">
        <f aca="false">IF($C1165="","",$J1165-$K1165)</f>
        <v/>
      </c>
      <c r="M1165" s="6"/>
      <c r="N1165" s="6"/>
      <c r="O1165" s="46" t="str">
        <f aca="false">IF($A1165="","",DATE(YEAR($A1165),MONTH($A1165),1))</f>
        <v/>
      </c>
    </row>
    <row r="1166" customFormat="false" ht="15" hidden="false" customHeight="false" outlineLevel="0" collapsed="false">
      <c r="A1166" s="44"/>
      <c r="B1166" s="6"/>
      <c r="C1166" s="6"/>
      <c r="D1166" s="8" t="str">
        <f aca="false">IF($C1166="","",IFERROR(INDEX(PRODUCTOS!$B$6:$B$105,MATCH($C1166,PRODUCTOS!$A$6:$A$105,0)),"¿Código?"))</f>
        <v/>
      </c>
      <c r="E1166" s="42"/>
      <c r="F1166" s="35" t="str">
        <f aca="false">IF($C1166="","",IFERROR(INDEX(PRODUCTOS!$D$6:$D$105,MATCH($C1166,PRODUCTOS!$A$6:$A$105,0)),0))</f>
        <v/>
      </c>
      <c r="G1166" s="40"/>
      <c r="H1166" s="35" t="str">
        <f aca="false">IF($C1166="","",N($E1166)*$F1166-N($G1166))</f>
        <v/>
      </c>
      <c r="I1166" s="35" t="str">
        <f aca="false">IF($C1166="","",$H1166-$H1166/(1+IFERROR(INDEX(PRODUCTOS!$E$6:$E$105,MATCH($C1166,PRODUCTOS!$A$6:$A$105,0)),IVA_VENTAS)))</f>
        <v/>
      </c>
      <c r="J1166" s="35" t="str">
        <f aca="false">IF($C1166="","",$H1166-$I1166)</f>
        <v/>
      </c>
      <c r="K1166" s="35" t="str">
        <f aca="false">IF($C1166="","",N($E1166)*IFERROR(INDEX(PRODUCTOS!$H$6:$H$105,MATCH($C1166,PRODUCTOS!$A$6:$A$105,0)),0))</f>
        <v/>
      </c>
      <c r="L1166" s="35" t="str">
        <f aca="false">IF($C1166="","",$J1166-$K1166)</f>
        <v/>
      </c>
      <c r="M1166" s="6"/>
      <c r="N1166" s="6"/>
      <c r="O1166" s="46" t="str">
        <f aca="false">IF($A1166="","",DATE(YEAR($A1166),MONTH($A1166),1))</f>
        <v/>
      </c>
    </row>
    <row r="1167" customFormat="false" ht="15" hidden="false" customHeight="false" outlineLevel="0" collapsed="false">
      <c r="A1167" s="44"/>
      <c r="B1167" s="6"/>
      <c r="C1167" s="6"/>
      <c r="D1167" s="8" t="str">
        <f aca="false">IF($C1167="","",IFERROR(INDEX(PRODUCTOS!$B$6:$B$105,MATCH($C1167,PRODUCTOS!$A$6:$A$105,0)),"¿Código?"))</f>
        <v/>
      </c>
      <c r="E1167" s="42"/>
      <c r="F1167" s="35" t="str">
        <f aca="false">IF($C1167="","",IFERROR(INDEX(PRODUCTOS!$D$6:$D$105,MATCH($C1167,PRODUCTOS!$A$6:$A$105,0)),0))</f>
        <v/>
      </c>
      <c r="G1167" s="40"/>
      <c r="H1167" s="35" t="str">
        <f aca="false">IF($C1167="","",N($E1167)*$F1167-N($G1167))</f>
        <v/>
      </c>
      <c r="I1167" s="35" t="str">
        <f aca="false">IF($C1167="","",$H1167-$H1167/(1+IFERROR(INDEX(PRODUCTOS!$E$6:$E$105,MATCH($C1167,PRODUCTOS!$A$6:$A$105,0)),IVA_VENTAS)))</f>
        <v/>
      </c>
      <c r="J1167" s="35" t="str">
        <f aca="false">IF($C1167="","",$H1167-$I1167)</f>
        <v/>
      </c>
      <c r="K1167" s="35" t="str">
        <f aca="false">IF($C1167="","",N($E1167)*IFERROR(INDEX(PRODUCTOS!$H$6:$H$105,MATCH($C1167,PRODUCTOS!$A$6:$A$105,0)),0))</f>
        <v/>
      </c>
      <c r="L1167" s="35" t="str">
        <f aca="false">IF($C1167="","",$J1167-$K1167)</f>
        <v/>
      </c>
      <c r="M1167" s="6"/>
      <c r="N1167" s="6"/>
      <c r="O1167" s="46" t="str">
        <f aca="false">IF($A1167="","",DATE(YEAR($A1167),MONTH($A1167),1))</f>
        <v/>
      </c>
    </row>
    <row r="1168" customFormat="false" ht="15" hidden="false" customHeight="false" outlineLevel="0" collapsed="false">
      <c r="A1168" s="44"/>
      <c r="B1168" s="6"/>
      <c r="C1168" s="6"/>
      <c r="D1168" s="8" t="str">
        <f aca="false">IF($C1168="","",IFERROR(INDEX(PRODUCTOS!$B$6:$B$105,MATCH($C1168,PRODUCTOS!$A$6:$A$105,0)),"¿Código?"))</f>
        <v/>
      </c>
      <c r="E1168" s="42"/>
      <c r="F1168" s="35" t="str">
        <f aca="false">IF($C1168="","",IFERROR(INDEX(PRODUCTOS!$D$6:$D$105,MATCH($C1168,PRODUCTOS!$A$6:$A$105,0)),0))</f>
        <v/>
      </c>
      <c r="G1168" s="40"/>
      <c r="H1168" s="35" t="str">
        <f aca="false">IF($C1168="","",N($E1168)*$F1168-N($G1168))</f>
        <v/>
      </c>
      <c r="I1168" s="35" t="str">
        <f aca="false">IF($C1168="","",$H1168-$H1168/(1+IFERROR(INDEX(PRODUCTOS!$E$6:$E$105,MATCH($C1168,PRODUCTOS!$A$6:$A$105,0)),IVA_VENTAS)))</f>
        <v/>
      </c>
      <c r="J1168" s="35" t="str">
        <f aca="false">IF($C1168="","",$H1168-$I1168)</f>
        <v/>
      </c>
      <c r="K1168" s="35" t="str">
        <f aca="false">IF($C1168="","",N($E1168)*IFERROR(INDEX(PRODUCTOS!$H$6:$H$105,MATCH($C1168,PRODUCTOS!$A$6:$A$105,0)),0))</f>
        <v/>
      </c>
      <c r="L1168" s="35" t="str">
        <f aca="false">IF($C1168="","",$J1168-$K1168)</f>
        <v/>
      </c>
      <c r="M1168" s="6"/>
      <c r="N1168" s="6"/>
      <c r="O1168" s="46" t="str">
        <f aca="false">IF($A1168="","",DATE(YEAR($A1168),MONTH($A1168),1))</f>
        <v/>
      </c>
    </row>
    <row r="1169" customFormat="false" ht="15" hidden="false" customHeight="false" outlineLevel="0" collapsed="false">
      <c r="A1169" s="44"/>
      <c r="B1169" s="6"/>
      <c r="C1169" s="6"/>
      <c r="D1169" s="8" t="str">
        <f aca="false">IF($C1169="","",IFERROR(INDEX(PRODUCTOS!$B$6:$B$105,MATCH($C1169,PRODUCTOS!$A$6:$A$105,0)),"¿Código?"))</f>
        <v/>
      </c>
      <c r="E1169" s="42"/>
      <c r="F1169" s="35" t="str">
        <f aca="false">IF($C1169="","",IFERROR(INDEX(PRODUCTOS!$D$6:$D$105,MATCH($C1169,PRODUCTOS!$A$6:$A$105,0)),0))</f>
        <v/>
      </c>
      <c r="G1169" s="40"/>
      <c r="H1169" s="35" t="str">
        <f aca="false">IF($C1169="","",N($E1169)*$F1169-N($G1169))</f>
        <v/>
      </c>
      <c r="I1169" s="35" t="str">
        <f aca="false">IF($C1169="","",$H1169-$H1169/(1+IFERROR(INDEX(PRODUCTOS!$E$6:$E$105,MATCH($C1169,PRODUCTOS!$A$6:$A$105,0)),IVA_VENTAS)))</f>
        <v/>
      </c>
      <c r="J1169" s="35" t="str">
        <f aca="false">IF($C1169="","",$H1169-$I1169)</f>
        <v/>
      </c>
      <c r="K1169" s="35" t="str">
        <f aca="false">IF($C1169="","",N($E1169)*IFERROR(INDEX(PRODUCTOS!$H$6:$H$105,MATCH($C1169,PRODUCTOS!$A$6:$A$105,0)),0))</f>
        <v/>
      </c>
      <c r="L1169" s="35" t="str">
        <f aca="false">IF($C1169="","",$J1169-$K1169)</f>
        <v/>
      </c>
      <c r="M1169" s="6"/>
      <c r="N1169" s="6"/>
      <c r="O1169" s="46" t="str">
        <f aca="false">IF($A1169="","",DATE(YEAR($A1169),MONTH($A1169),1))</f>
        <v/>
      </c>
    </row>
    <row r="1170" customFormat="false" ht="15" hidden="false" customHeight="false" outlineLevel="0" collapsed="false">
      <c r="A1170" s="44"/>
      <c r="B1170" s="6"/>
      <c r="C1170" s="6"/>
      <c r="D1170" s="8" t="str">
        <f aca="false">IF($C1170="","",IFERROR(INDEX(PRODUCTOS!$B$6:$B$105,MATCH($C1170,PRODUCTOS!$A$6:$A$105,0)),"¿Código?"))</f>
        <v/>
      </c>
      <c r="E1170" s="42"/>
      <c r="F1170" s="35" t="str">
        <f aca="false">IF($C1170="","",IFERROR(INDEX(PRODUCTOS!$D$6:$D$105,MATCH($C1170,PRODUCTOS!$A$6:$A$105,0)),0))</f>
        <v/>
      </c>
      <c r="G1170" s="40"/>
      <c r="H1170" s="35" t="str">
        <f aca="false">IF($C1170="","",N($E1170)*$F1170-N($G1170))</f>
        <v/>
      </c>
      <c r="I1170" s="35" t="str">
        <f aca="false">IF($C1170="","",$H1170-$H1170/(1+IFERROR(INDEX(PRODUCTOS!$E$6:$E$105,MATCH($C1170,PRODUCTOS!$A$6:$A$105,0)),IVA_VENTAS)))</f>
        <v/>
      </c>
      <c r="J1170" s="35" t="str">
        <f aca="false">IF($C1170="","",$H1170-$I1170)</f>
        <v/>
      </c>
      <c r="K1170" s="35" t="str">
        <f aca="false">IF($C1170="","",N($E1170)*IFERROR(INDEX(PRODUCTOS!$H$6:$H$105,MATCH($C1170,PRODUCTOS!$A$6:$A$105,0)),0))</f>
        <v/>
      </c>
      <c r="L1170" s="35" t="str">
        <f aca="false">IF($C1170="","",$J1170-$K1170)</f>
        <v/>
      </c>
      <c r="M1170" s="6"/>
      <c r="N1170" s="6"/>
      <c r="O1170" s="46" t="str">
        <f aca="false">IF($A1170="","",DATE(YEAR($A1170),MONTH($A1170),1))</f>
        <v/>
      </c>
    </row>
    <row r="1171" customFormat="false" ht="15" hidden="false" customHeight="false" outlineLevel="0" collapsed="false">
      <c r="A1171" s="44"/>
      <c r="B1171" s="6"/>
      <c r="C1171" s="6"/>
      <c r="D1171" s="8" t="str">
        <f aca="false">IF($C1171="","",IFERROR(INDEX(PRODUCTOS!$B$6:$B$105,MATCH($C1171,PRODUCTOS!$A$6:$A$105,0)),"¿Código?"))</f>
        <v/>
      </c>
      <c r="E1171" s="42"/>
      <c r="F1171" s="35" t="str">
        <f aca="false">IF($C1171="","",IFERROR(INDEX(PRODUCTOS!$D$6:$D$105,MATCH($C1171,PRODUCTOS!$A$6:$A$105,0)),0))</f>
        <v/>
      </c>
      <c r="G1171" s="40"/>
      <c r="H1171" s="35" t="str">
        <f aca="false">IF($C1171="","",N($E1171)*$F1171-N($G1171))</f>
        <v/>
      </c>
      <c r="I1171" s="35" t="str">
        <f aca="false">IF($C1171="","",$H1171-$H1171/(1+IFERROR(INDEX(PRODUCTOS!$E$6:$E$105,MATCH($C1171,PRODUCTOS!$A$6:$A$105,0)),IVA_VENTAS)))</f>
        <v/>
      </c>
      <c r="J1171" s="35" t="str">
        <f aca="false">IF($C1171="","",$H1171-$I1171)</f>
        <v/>
      </c>
      <c r="K1171" s="35" t="str">
        <f aca="false">IF($C1171="","",N($E1171)*IFERROR(INDEX(PRODUCTOS!$H$6:$H$105,MATCH($C1171,PRODUCTOS!$A$6:$A$105,0)),0))</f>
        <v/>
      </c>
      <c r="L1171" s="35" t="str">
        <f aca="false">IF($C1171="","",$J1171-$K1171)</f>
        <v/>
      </c>
      <c r="M1171" s="6"/>
      <c r="N1171" s="6"/>
      <c r="O1171" s="46" t="str">
        <f aca="false">IF($A1171="","",DATE(YEAR($A1171),MONTH($A1171),1))</f>
        <v/>
      </c>
    </row>
    <row r="1172" customFormat="false" ht="15" hidden="false" customHeight="false" outlineLevel="0" collapsed="false">
      <c r="A1172" s="44"/>
      <c r="B1172" s="6"/>
      <c r="C1172" s="6"/>
      <c r="D1172" s="8" t="str">
        <f aca="false">IF($C1172="","",IFERROR(INDEX(PRODUCTOS!$B$6:$B$105,MATCH($C1172,PRODUCTOS!$A$6:$A$105,0)),"¿Código?"))</f>
        <v/>
      </c>
      <c r="E1172" s="42"/>
      <c r="F1172" s="35" t="str">
        <f aca="false">IF($C1172="","",IFERROR(INDEX(PRODUCTOS!$D$6:$D$105,MATCH($C1172,PRODUCTOS!$A$6:$A$105,0)),0))</f>
        <v/>
      </c>
      <c r="G1172" s="40"/>
      <c r="H1172" s="35" t="str">
        <f aca="false">IF($C1172="","",N($E1172)*$F1172-N($G1172))</f>
        <v/>
      </c>
      <c r="I1172" s="35" t="str">
        <f aca="false">IF($C1172="","",$H1172-$H1172/(1+IFERROR(INDEX(PRODUCTOS!$E$6:$E$105,MATCH($C1172,PRODUCTOS!$A$6:$A$105,0)),IVA_VENTAS)))</f>
        <v/>
      </c>
      <c r="J1172" s="35" t="str">
        <f aca="false">IF($C1172="","",$H1172-$I1172)</f>
        <v/>
      </c>
      <c r="K1172" s="35" t="str">
        <f aca="false">IF($C1172="","",N($E1172)*IFERROR(INDEX(PRODUCTOS!$H$6:$H$105,MATCH($C1172,PRODUCTOS!$A$6:$A$105,0)),0))</f>
        <v/>
      </c>
      <c r="L1172" s="35" t="str">
        <f aca="false">IF($C1172="","",$J1172-$K1172)</f>
        <v/>
      </c>
      <c r="M1172" s="6"/>
      <c r="N1172" s="6"/>
      <c r="O1172" s="46" t="str">
        <f aca="false">IF($A1172="","",DATE(YEAR($A1172),MONTH($A1172),1))</f>
        <v/>
      </c>
    </row>
    <row r="1173" customFormat="false" ht="15" hidden="false" customHeight="false" outlineLevel="0" collapsed="false">
      <c r="A1173" s="44"/>
      <c r="B1173" s="6"/>
      <c r="C1173" s="6"/>
      <c r="D1173" s="8" t="str">
        <f aca="false">IF($C1173="","",IFERROR(INDEX(PRODUCTOS!$B$6:$B$105,MATCH($C1173,PRODUCTOS!$A$6:$A$105,0)),"¿Código?"))</f>
        <v/>
      </c>
      <c r="E1173" s="42"/>
      <c r="F1173" s="35" t="str">
        <f aca="false">IF($C1173="","",IFERROR(INDEX(PRODUCTOS!$D$6:$D$105,MATCH($C1173,PRODUCTOS!$A$6:$A$105,0)),0))</f>
        <v/>
      </c>
      <c r="G1173" s="40"/>
      <c r="H1173" s="35" t="str">
        <f aca="false">IF($C1173="","",N($E1173)*$F1173-N($G1173))</f>
        <v/>
      </c>
      <c r="I1173" s="35" t="str">
        <f aca="false">IF($C1173="","",$H1173-$H1173/(1+IFERROR(INDEX(PRODUCTOS!$E$6:$E$105,MATCH($C1173,PRODUCTOS!$A$6:$A$105,0)),IVA_VENTAS)))</f>
        <v/>
      </c>
      <c r="J1173" s="35" t="str">
        <f aca="false">IF($C1173="","",$H1173-$I1173)</f>
        <v/>
      </c>
      <c r="K1173" s="35" t="str">
        <f aca="false">IF($C1173="","",N($E1173)*IFERROR(INDEX(PRODUCTOS!$H$6:$H$105,MATCH($C1173,PRODUCTOS!$A$6:$A$105,0)),0))</f>
        <v/>
      </c>
      <c r="L1173" s="35" t="str">
        <f aca="false">IF($C1173="","",$J1173-$K1173)</f>
        <v/>
      </c>
      <c r="M1173" s="6"/>
      <c r="N1173" s="6"/>
      <c r="O1173" s="46" t="str">
        <f aca="false">IF($A1173="","",DATE(YEAR($A1173),MONTH($A1173),1))</f>
        <v/>
      </c>
    </row>
    <row r="1174" customFormat="false" ht="15" hidden="false" customHeight="false" outlineLevel="0" collapsed="false">
      <c r="A1174" s="44"/>
      <c r="B1174" s="6"/>
      <c r="C1174" s="6"/>
      <c r="D1174" s="8" t="str">
        <f aca="false">IF($C1174="","",IFERROR(INDEX(PRODUCTOS!$B$6:$B$105,MATCH($C1174,PRODUCTOS!$A$6:$A$105,0)),"¿Código?"))</f>
        <v/>
      </c>
      <c r="E1174" s="42"/>
      <c r="F1174" s="35" t="str">
        <f aca="false">IF($C1174="","",IFERROR(INDEX(PRODUCTOS!$D$6:$D$105,MATCH($C1174,PRODUCTOS!$A$6:$A$105,0)),0))</f>
        <v/>
      </c>
      <c r="G1174" s="40"/>
      <c r="H1174" s="35" t="str">
        <f aca="false">IF($C1174="","",N($E1174)*$F1174-N($G1174))</f>
        <v/>
      </c>
      <c r="I1174" s="35" t="str">
        <f aca="false">IF($C1174="","",$H1174-$H1174/(1+IFERROR(INDEX(PRODUCTOS!$E$6:$E$105,MATCH($C1174,PRODUCTOS!$A$6:$A$105,0)),IVA_VENTAS)))</f>
        <v/>
      </c>
      <c r="J1174" s="35" t="str">
        <f aca="false">IF($C1174="","",$H1174-$I1174)</f>
        <v/>
      </c>
      <c r="K1174" s="35" t="str">
        <f aca="false">IF($C1174="","",N($E1174)*IFERROR(INDEX(PRODUCTOS!$H$6:$H$105,MATCH($C1174,PRODUCTOS!$A$6:$A$105,0)),0))</f>
        <v/>
      </c>
      <c r="L1174" s="35" t="str">
        <f aca="false">IF($C1174="","",$J1174-$K1174)</f>
        <v/>
      </c>
      <c r="M1174" s="6"/>
      <c r="N1174" s="6"/>
      <c r="O1174" s="46" t="str">
        <f aca="false">IF($A1174="","",DATE(YEAR($A1174),MONTH($A1174),1))</f>
        <v/>
      </c>
    </row>
    <row r="1175" customFormat="false" ht="15" hidden="false" customHeight="false" outlineLevel="0" collapsed="false">
      <c r="A1175" s="44"/>
      <c r="B1175" s="6"/>
      <c r="C1175" s="6"/>
      <c r="D1175" s="8" t="str">
        <f aca="false">IF($C1175="","",IFERROR(INDEX(PRODUCTOS!$B$6:$B$105,MATCH($C1175,PRODUCTOS!$A$6:$A$105,0)),"¿Código?"))</f>
        <v/>
      </c>
      <c r="E1175" s="42"/>
      <c r="F1175" s="35" t="str">
        <f aca="false">IF($C1175="","",IFERROR(INDEX(PRODUCTOS!$D$6:$D$105,MATCH($C1175,PRODUCTOS!$A$6:$A$105,0)),0))</f>
        <v/>
      </c>
      <c r="G1175" s="40"/>
      <c r="H1175" s="35" t="str">
        <f aca="false">IF($C1175="","",N($E1175)*$F1175-N($G1175))</f>
        <v/>
      </c>
      <c r="I1175" s="35" t="str">
        <f aca="false">IF($C1175="","",$H1175-$H1175/(1+IFERROR(INDEX(PRODUCTOS!$E$6:$E$105,MATCH($C1175,PRODUCTOS!$A$6:$A$105,0)),IVA_VENTAS)))</f>
        <v/>
      </c>
      <c r="J1175" s="35" t="str">
        <f aca="false">IF($C1175="","",$H1175-$I1175)</f>
        <v/>
      </c>
      <c r="K1175" s="35" t="str">
        <f aca="false">IF($C1175="","",N($E1175)*IFERROR(INDEX(PRODUCTOS!$H$6:$H$105,MATCH($C1175,PRODUCTOS!$A$6:$A$105,0)),0))</f>
        <v/>
      </c>
      <c r="L1175" s="35" t="str">
        <f aca="false">IF($C1175="","",$J1175-$K1175)</f>
        <v/>
      </c>
      <c r="M1175" s="6"/>
      <c r="N1175" s="6"/>
      <c r="O1175" s="46" t="str">
        <f aca="false">IF($A1175="","",DATE(YEAR($A1175),MONTH($A1175),1))</f>
        <v/>
      </c>
    </row>
    <row r="1176" customFormat="false" ht="15" hidden="false" customHeight="false" outlineLevel="0" collapsed="false">
      <c r="A1176" s="44"/>
      <c r="B1176" s="6"/>
      <c r="C1176" s="6"/>
      <c r="D1176" s="8" t="str">
        <f aca="false">IF($C1176="","",IFERROR(INDEX(PRODUCTOS!$B$6:$B$105,MATCH($C1176,PRODUCTOS!$A$6:$A$105,0)),"¿Código?"))</f>
        <v/>
      </c>
      <c r="E1176" s="42"/>
      <c r="F1176" s="35" t="str">
        <f aca="false">IF($C1176="","",IFERROR(INDEX(PRODUCTOS!$D$6:$D$105,MATCH($C1176,PRODUCTOS!$A$6:$A$105,0)),0))</f>
        <v/>
      </c>
      <c r="G1176" s="40"/>
      <c r="H1176" s="35" t="str">
        <f aca="false">IF($C1176="","",N($E1176)*$F1176-N($G1176))</f>
        <v/>
      </c>
      <c r="I1176" s="35" t="str">
        <f aca="false">IF($C1176="","",$H1176-$H1176/(1+IFERROR(INDEX(PRODUCTOS!$E$6:$E$105,MATCH($C1176,PRODUCTOS!$A$6:$A$105,0)),IVA_VENTAS)))</f>
        <v/>
      </c>
      <c r="J1176" s="35" t="str">
        <f aca="false">IF($C1176="","",$H1176-$I1176)</f>
        <v/>
      </c>
      <c r="K1176" s="35" t="str">
        <f aca="false">IF($C1176="","",N($E1176)*IFERROR(INDEX(PRODUCTOS!$H$6:$H$105,MATCH($C1176,PRODUCTOS!$A$6:$A$105,0)),0))</f>
        <v/>
      </c>
      <c r="L1176" s="35" t="str">
        <f aca="false">IF($C1176="","",$J1176-$K1176)</f>
        <v/>
      </c>
      <c r="M1176" s="6"/>
      <c r="N1176" s="6"/>
      <c r="O1176" s="46" t="str">
        <f aca="false">IF($A1176="","",DATE(YEAR($A1176),MONTH($A1176),1))</f>
        <v/>
      </c>
    </row>
    <row r="1177" customFormat="false" ht="15" hidden="false" customHeight="false" outlineLevel="0" collapsed="false">
      <c r="A1177" s="44"/>
      <c r="B1177" s="6"/>
      <c r="C1177" s="6"/>
      <c r="D1177" s="8" t="str">
        <f aca="false">IF($C1177="","",IFERROR(INDEX(PRODUCTOS!$B$6:$B$105,MATCH($C1177,PRODUCTOS!$A$6:$A$105,0)),"¿Código?"))</f>
        <v/>
      </c>
      <c r="E1177" s="42"/>
      <c r="F1177" s="35" t="str">
        <f aca="false">IF($C1177="","",IFERROR(INDEX(PRODUCTOS!$D$6:$D$105,MATCH($C1177,PRODUCTOS!$A$6:$A$105,0)),0))</f>
        <v/>
      </c>
      <c r="G1177" s="40"/>
      <c r="H1177" s="35" t="str">
        <f aca="false">IF($C1177="","",N($E1177)*$F1177-N($G1177))</f>
        <v/>
      </c>
      <c r="I1177" s="35" t="str">
        <f aca="false">IF($C1177="","",$H1177-$H1177/(1+IFERROR(INDEX(PRODUCTOS!$E$6:$E$105,MATCH($C1177,PRODUCTOS!$A$6:$A$105,0)),IVA_VENTAS)))</f>
        <v/>
      </c>
      <c r="J1177" s="35" t="str">
        <f aca="false">IF($C1177="","",$H1177-$I1177)</f>
        <v/>
      </c>
      <c r="K1177" s="35" t="str">
        <f aca="false">IF($C1177="","",N($E1177)*IFERROR(INDEX(PRODUCTOS!$H$6:$H$105,MATCH($C1177,PRODUCTOS!$A$6:$A$105,0)),0))</f>
        <v/>
      </c>
      <c r="L1177" s="35" t="str">
        <f aca="false">IF($C1177="","",$J1177-$K1177)</f>
        <v/>
      </c>
      <c r="M1177" s="6"/>
      <c r="N1177" s="6"/>
      <c r="O1177" s="46" t="str">
        <f aca="false">IF($A1177="","",DATE(YEAR($A1177),MONTH($A1177),1))</f>
        <v/>
      </c>
    </row>
    <row r="1178" customFormat="false" ht="15" hidden="false" customHeight="false" outlineLevel="0" collapsed="false">
      <c r="A1178" s="44"/>
      <c r="B1178" s="6"/>
      <c r="C1178" s="6"/>
      <c r="D1178" s="8" t="str">
        <f aca="false">IF($C1178="","",IFERROR(INDEX(PRODUCTOS!$B$6:$B$105,MATCH($C1178,PRODUCTOS!$A$6:$A$105,0)),"¿Código?"))</f>
        <v/>
      </c>
      <c r="E1178" s="42"/>
      <c r="F1178" s="35" t="str">
        <f aca="false">IF($C1178="","",IFERROR(INDEX(PRODUCTOS!$D$6:$D$105,MATCH($C1178,PRODUCTOS!$A$6:$A$105,0)),0))</f>
        <v/>
      </c>
      <c r="G1178" s="40"/>
      <c r="H1178" s="35" t="str">
        <f aca="false">IF($C1178="","",N($E1178)*$F1178-N($G1178))</f>
        <v/>
      </c>
      <c r="I1178" s="35" t="str">
        <f aca="false">IF($C1178="","",$H1178-$H1178/(1+IFERROR(INDEX(PRODUCTOS!$E$6:$E$105,MATCH($C1178,PRODUCTOS!$A$6:$A$105,0)),IVA_VENTAS)))</f>
        <v/>
      </c>
      <c r="J1178" s="35" t="str">
        <f aca="false">IF($C1178="","",$H1178-$I1178)</f>
        <v/>
      </c>
      <c r="K1178" s="35" t="str">
        <f aca="false">IF($C1178="","",N($E1178)*IFERROR(INDEX(PRODUCTOS!$H$6:$H$105,MATCH($C1178,PRODUCTOS!$A$6:$A$105,0)),0))</f>
        <v/>
      </c>
      <c r="L1178" s="35" t="str">
        <f aca="false">IF($C1178="","",$J1178-$K1178)</f>
        <v/>
      </c>
      <c r="M1178" s="6"/>
      <c r="N1178" s="6"/>
      <c r="O1178" s="46" t="str">
        <f aca="false">IF($A1178="","",DATE(YEAR($A1178),MONTH($A1178),1))</f>
        <v/>
      </c>
    </row>
    <row r="1179" customFormat="false" ht="15" hidden="false" customHeight="false" outlineLevel="0" collapsed="false">
      <c r="A1179" s="44"/>
      <c r="B1179" s="6"/>
      <c r="C1179" s="6"/>
      <c r="D1179" s="8" t="str">
        <f aca="false">IF($C1179="","",IFERROR(INDEX(PRODUCTOS!$B$6:$B$105,MATCH($C1179,PRODUCTOS!$A$6:$A$105,0)),"¿Código?"))</f>
        <v/>
      </c>
      <c r="E1179" s="42"/>
      <c r="F1179" s="35" t="str">
        <f aca="false">IF($C1179="","",IFERROR(INDEX(PRODUCTOS!$D$6:$D$105,MATCH($C1179,PRODUCTOS!$A$6:$A$105,0)),0))</f>
        <v/>
      </c>
      <c r="G1179" s="40"/>
      <c r="H1179" s="35" t="str">
        <f aca="false">IF($C1179="","",N($E1179)*$F1179-N($G1179))</f>
        <v/>
      </c>
      <c r="I1179" s="35" t="str">
        <f aca="false">IF($C1179="","",$H1179-$H1179/(1+IFERROR(INDEX(PRODUCTOS!$E$6:$E$105,MATCH($C1179,PRODUCTOS!$A$6:$A$105,0)),IVA_VENTAS)))</f>
        <v/>
      </c>
      <c r="J1179" s="35" t="str">
        <f aca="false">IF($C1179="","",$H1179-$I1179)</f>
        <v/>
      </c>
      <c r="K1179" s="35" t="str">
        <f aca="false">IF($C1179="","",N($E1179)*IFERROR(INDEX(PRODUCTOS!$H$6:$H$105,MATCH($C1179,PRODUCTOS!$A$6:$A$105,0)),0))</f>
        <v/>
      </c>
      <c r="L1179" s="35" t="str">
        <f aca="false">IF($C1179="","",$J1179-$K1179)</f>
        <v/>
      </c>
      <c r="M1179" s="6"/>
      <c r="N1179" s="6"/>
      <c r="O1179" s="46" t="str">
        <f aca="false">IF($A1179="","",DATE(YEAR($A1179),MONTH($A1179),1))</f>
        <v/>
      </c>
    </row>
    <row r="1180" customFormat="false" ht="15" hidden="false" customHeight="false" outlineLevel="0" collapsed="false">
      <c r="A1180" s="44"/>
      <c r="B1180" s="6"/>
      <c r="C1180" s="6"/>
      <c r="D1180" s="8" t="str">
        <f aca="false">IF($C1180="","",IFERROR(INDEX(PRODUCTOS!$B$6:$B$105,MATCH($C1180,PRODUCTOS!$A$6:$A$105,0)),"¿Código?"))</f>
        <v/>
      </c>
      <c r="E1180" s="42"/>
      <c r="F1180" s="35" t="str">
        <f aca="false">IF($C1180="","",IFERROR(INDEX(PRODUCTOS!$D$6:$D$105,MATCH($C1180,PRODUCTOS!$A$6:$A$105,0)),0))</f>
        <v/>
      </c>
      <c r="G1180" s="40"/>
      <c r="H1180" s="35" t="str">
        <f aca="false">IF($C1180="","",N($E1180)*$F1180-N($G1180))</f>
        <v/>
      </c>
      <c r="I1180" s="35" t="str">
        <f aca="false">IF($C1180="","",$H1180-$H1180/(1+IFERROR(INDEX(PRODUCTOS!$E$6:$E$105,MATCH($C1180,PRODUCTOS!$A$6:$A$105,0)),IVA_VENTAS)))</f>
        <v/>
      </c>
      <c r="J1180" s="35" t="str">
        <f aca="false">IF($C1180="","",$H1180-$I1180)</f>
        <v/>
      </c>
      <c r="K1180" s="35" t="str">
        <f aca="false">IF($C1180="","",N($E1180)*IFERROR(INDEX(PRODUCTOS!$H$6:$H$105,MATCH($C1180,PRODUCTOS!$A$6:$A$105,0)),0))</f>
        <v/>
      </c>
      <c r="L1180" s="35" t="str">
        <f aca="false">IF($C1180="","",$J1180-$K1180)</f>
        <v/>
      </c>
      <c r="M1180" s="6"/>
      <c r="N1180" s="6"/>
      <c r="O1180" s="46" t="str">
        <f aca="false">IF($A1180="","",DATE(YEAR($A1180),MONTH($A1180),1))</f>
        <v/>
      </c>
    </row>
    <row r="1181" customFormat="false" ht="15" hidden="false" customHeight="false" outlineLevel="0" collapsed="false">
      <c r="A1181" s="44"/>
      <c r="B1181" s="6"/>
      <c r="C1181" s="6"/>
      <c r="D1181" s="8" t="str">
        <f aca="false">IF($C1181="","",IFERROR(INDEX(PRODUCTOS!$B$6:$B$105,MATCH($C1181,PRODUCTOS!$A$6:$A$105,0)),"¿Código?"))</f>
        <v/>
      </c>
      <c r="E1181" s="42"/>
      <c r="F1181" s="35" t="str">
        <f aca="false">IF($C1181="","",IFERROR(INDEX(PRODUCTOS!$D$6:$D$105,MATCH($C1181,PRODUCTOS!$A$6:$A$105,0)),0))</f>
        <v/>
      </c>
      <c r="G1181" s="40"/>
      <c r="H1181" s="35" t="str">
        <f aca="false">IF($C1181="","",N($E1181)*$F1181-N($G1181))</f>
        <v/>
      </c>
      <c r="I1181" s="35" t="str">
        <f aca="false">IF($C1181="","",$H1181-$H1181/(1+IFERROR(INDEX(PRODUCTOS!$E$6:$E$105,MATCH($C1181,PRODUCTOS!$A$6:$A$105,0)),IVA_VENTAS)))</f>
        <v/>
      </c>
      <c r="J1181" s="35" t="str">
        <f aca="false">IF($C1181="","",$H1181-$I1181)</f>
        <v/>
      </c>
      <c r="K1181" s="35" t="str">
        <f aca="false">IF($C1181="","",N($E1181)*IFERROR(INDEX(PRODUCTOS!$H$6:$H$105,MATCH($C1181,PRODUCTOS!$A$6:$A$105,0)),0))</f>
        <v/>
      </c>
      <c r="L1181" s="35" t="str">
        <f aca="false">IF($C1181="","",$J1181-$K1181)</f>
        <v/>
      </c>
      <c r="M1181" s="6"/>
      <c r="N1181" s="6"/>
      <c r="O1181" s="46" t="str">
        <f aca="false">IF($A1181="","",DATE(YEAR($A1181),MONTH($A1181),1))</f>
        <v/>
      </c>
    </row>
    <row r="1182" customFormat="false" ht="15" hidden="false" customHeight="false" outlineLevel="0" collapsed="false">
      <c r="A1182" s="44"/>
      <c r="B1182" s="6"/>
      <c r="C1182" s="6"/>
      <c r="D1182" s="8" t="str">
        <f aca="false">IF($C1182="","",IFERROR(INDEX(PRODUCTOS!$B$6:$B$105,MATCH($C1182,PRODUCTOS!$A$6:$A$105,0)),"¿Código?"))</f>
        <v/>
      </c>
      <c r="E1182" s="42"/>
      <c r="F1182" s="35" t="str">
        <f aca="false">IF($C1182="","",IFERROR(INDEX(PRODUCTOS!$D$6:$D$105,MATCH($C1182,PRODUCTOS!$A$6:$A$105,0)),0))</f>
        <v/>
      </c>
      <c r="G1182" s="40"/>
      <c r="H1182" s="35" t="str">
        <f aca="false">IF($C1182="","",N($E1182)*$F1182-N($G1182))</f>
        <v/>
      </c>
      <c r="I1182" s="35" t="str">
        <f aca="false">IF($C1182="","",$H1182-$H1182/(1+IFERROR(INDEX(PRODUCTOS!$E$6:$E$105,MATCH($C1182,PRODUCTOS!$A$6:$A$105,0)),IVA_VENTAS)))</f>
        <v/>
      </c>
      <c r="J1182" s="35" t="str">
        <f aca="false">IF($C1182="","",$H1182-$I1182)</f>
        <v/>
      </c>
      <c r="K1182" s="35" t="str">
        <f aca="false">IF($C1182="","",N($E1182)*IFERROR(INDEX(PRODUCTOS!$H$6:$H$105,MATCH($C1182,PRODUCTOS!$A$6:$A$105,0)),0))</f>
        <v/>
      </c>
      <c r="L1182" s="35" t="str">
        <f aca="false">IF($C1182="","",$J1182-$K1182)</f>
        <v/>
      </c>
      <c r="M1182" s="6"/>
      <c r="N1182" s="6"/>
      <c r="O1182" s="46" t="str">
        <f aca="false">IF($A1182="","",DATE(YEAR($A1182),MONTH($A1182),1))</f>
        <v/>
      </c>
    </row>
    <row r="1183" customFormat="false" ht="15" hidden="false" customHeight="false" outlineLevel="0" collapsed="false">
      <c r="A1183" s="44"/>
      <c r="B1183" s="6"/>
      <c r="C1183" s="6"/>
      <c r="D1183" s="8" t="str">
        <f aca="false">IF($C1183="","",IFERROR(INDEX(PRODUCTOS!$B$6:$B$105,MATCH($C1183,PRODUCTOS!$A$6:$A$105,0)),"¿Código?"))</f>
        <v/>
      </c>
      <c r="E1183" s="42"/>
      <c r="F1183" s="35" t="str">
        <f aca="false">IF($C1183="","",IFERROR(INDEX(PRODUCTOS!$D$6:$D$105,MATCH($C1183,PRODUCTOS!$A$6:$A$105,0)),0))</f>
        <v/>
      </c>
      <c r="G1183" s="40"/>
      <c r="H1183" s="35" t="str">
        <f aca="false">IF($C1183="","",N($E1183)*$F1183-N($G1183))</f>
        <v/>
      </c>
      <c r="I1183" s="35" t="str">
        <f aca="false">IF($C1183="","",$H1183-$H1183/(1+IFERROR(INDEX(PRODUCTOS!$E$6:$E$105,MATCH($C1183,PRODUCTOS!$A$6:$A$105,0)),IVA_VENTAS)))</f>
        <v/>
      </c>
      <c r="J1183" s="35" t="str">
        <f aca="false">IF($C1183="","",$H1183-$I1183)</f>
        <v/>
      </c>
      <c r="K1183" s="35" t="str">
        <f aca="false">IF($C1183="","",N($E1183)*IFERROR(INDEX(PRODUCTOS!$H$6:$H$105,MATCH($C1183,PRODUCTOS!$A$6:$A$105,0)),0))</f>
        <v/>
      </c>
      <c r="L1183" s="35" t="str">
        <f aca="false">IF($C1183="","",$J1183-$K1183)</f>
        <v/>
      </c>
      <c r="M1183" s="6"/>
      <c r="N1183" s="6"/>
      <c r="O1183" s="46" t="str">
        <f aca="false">IF($A1183="","",DATE(YEAR($A1183),MONTH($A1183),1))</f>
        <v/>
      </c>
    </row>
    <row r="1184" customFormat="false" ht="15" hidden="false" customHeight="false" outlineLevel="0" collapsed="false">
      <c r="A1184" s="44"/>
      <c r="B1184" s="6"/>
      <c r="C1184" s="6"/>
      <c r="D1184" s="8" t="str">
        <f aca="false">IF($C1184="","",IFERROR(INDEX(PRODUCTOS!$B$6:$B$105,MATCH($C1184,PRODUCTOS!$A$6:$A$105,0)),"¿Código?"))</f>
        <v/>
      </c>
      <c r="E1184" s="42"/>
      <c r="F1184" s="35" t="str">
        <f aca="false">IF($C1184="","",IFERROR(INDEX(PRODUCTOS!$D$6:$D$105,MATCH($C1184,PRODUCTOS!$A$6:$A$105,0)),0))</f>
        <v/>
      </c>
      <c r="G1184" s="40"/>
      <c r="H1184" s="35" t="str">
        <f aca="false">IF($C1184="","",N($E1184)*$F1184-N($G1184))</f>
        <v/>
      </c>
      <c r="I1184" s="35" t="str">
        <f aca="false">IF($C1184="","",$H1184-$H1184/(1+IFERROR(INDEX(PRODUCTOS!$E$6:$E$105,MATCH($C1184,PRODUCTOS!$A$6:$A$105,0)),IVA_VENTAS)))</f>
        <v/>
      </c>
      <c r="J1184" s="35" t="str">
        <f aca="false">IF($C1184="","",$H1184-$I1184)</f>
        <v/>
      </c>
      <c r="K1184" s="35" t="str">
        <f aca="false">IF($C1184="","",N($E1184)*IFERROR(INDEX(PRODUCTOS!$H$6:$H$105,MATCH($C1184,PRODUCTOS!$A$6:$A$105,0)),0))</f>
        <v/>
      </c>
      <c r="L1184" s="35" t="str">
        <f aca="false">IF($C1184="","",$J1184-$K1184)</f>
        <v/>
      </c>
      <c r="M1184" s="6"/>
      <c r="N1184" s="6"/>
      <c r="O1184" s="46" t="str">
        <f aca="false">IF($A1184="","",DATE(YEAR($A1184),MONTH($A1184),1))</f>
        <v/>
      </c>
    </row>
    <row r="1185" customFormat="false" ht="15" hidden="false" customHeight="false" outlineLevel="0" collapsed="false">
      <c r="A1185" s="44"/>
      <c r="B1185" s="6"/>
      <c r="C1185" s="6"/>
      <c r="D1185" s="8" t="str">
        <f aca="false">IF($C1185="","",IFERROR(INDEX(PRODUCTOS!$B$6:$B$105,MATCH($C1185,PRODUCTOS!$A$6:$A$105,0)),"¿Código?"))</f>
        <v/>
      </c>
      <c r="E1185" s="42"/>
      <c r="F1185" s="35" t="str">
        <f aca="false">IF($C1185="","",IFERROR(INDEX(PRODUCTOS!$D$6:$D$105,MATCH($C1185,PRODUCTOS!$A$6:$A$105,0)),0))</f>
        <v/>
      </c>
      <c r="G1185" s="40"/>
      <c r="H1185" s="35" t="str">
        <f aca="false">IF($C1185="","",N($E1185)*$F1185-N($G1185))</f>
        <v/>
      </c>
      <c r="I1185" s="35" t="str">
        <f aca="false">IF($C1185="","",$H1185-$H1185/(1+IFERROR(INDEX(PRODUCTOS!$E$6:$E$105,MATCH($C1185,PRODUCTOS!$A$6:$A$105,0)),IVA_VENTAS)))</f>
        <v/>
      </c>
      <c r="J1185" s="35" t="str">
        <f aca="false">IF($C1185="","",$H1185-$I1185)</f>
        <v/>
      </c>
      <c r="K1185" s="35" t="str">
        <f aca="false">IF($C1185="","",N($E1185)*IFERROR(INDEX(PRODUCTOS!$H$6:$H$105,MATCH($C1185,PRODUCTOS!$A$6:$A$105,0)),0))</f>
        <v/>
      </c>
      <c r="L1185" s="35" t="str">
        <f aca="false">IF($C1185="","",$J1185-$K1185)</f>
        <v/>
      </c>
      <c r="M1185" s="6"/>
      <c r="N1185" s="6"/>
      <c r="O1185" s="46" t="str">
        <f aca="false">IF($A1185="","",DATE(YEAR($A1185),MONTH($A1185),1))</f>
        <v/>
      </c>
    </row>
    <row r="1186" customFormat="false" ht="15" hidden="false" customHeight="false" outlineLevel="0" collapsed="false">
      <c r="A1186" s="44"/>
      <c r="B1186" s="6"/>
      <c r="C1186" s="6"/>
      <c r="D1186" s="8" t="str">
        <f aca="false">IF($C1186="","",IFERROR(INDEX(PRODUCTOS!$B$6:$B$105,MATCH($C1186,PRODUCTOS!$A$6:$A$105,0)),"¿Código?"))</f>
        <v/>
      </c>
      <c r="E1186" s="42"/>
      <c r="F1186" s="35" t="str">
        <f aca="false">IF($C1186="","",IFERROR(INDEX(PRODUCTOS!$D$6:$D$105,MATCH($C1186,PRODUCTOS!$A$6:$A$105,0)),0))</f>
        <v/>
      </c>
      <c r="G1186" s="40"/>
      <c r="H1186" s="35" t="str">
        <f aca="false">IF($C1186="","",N($E1186)*$F1186-N($G1186))</f>
        <v/>
      </c>
      <c r="I1186" s="35" t="str">
        <f aca="false">IF($C1186="","",$H1186-$H1186/(1+IFERROR(INDEX(PRODUCTOS!$E$6:$E$105,MATCH($C1186,PRODUCTOS!$A$6:$A$105,0)),IVA_VENTAS)))</f>
        <v/>
      </c>
      <c r="J1186" s="35" t="str">
        <f aca="false">IF($C1186="","",$H1186-$I1186)</f>
        <v/>
      </c>
      <c r="K1186" s="35" t="str">
        <f aca="false">IF($C1186="","",N($E1186)*IFERROR(INDEX(PRODUCTOS!$H$6:$H$105,MATCH($C1186,PRODUCTOS!$A$6:$A$105,0)),0))</f>
        <v/>
      </c>
      <c r="L1186" s="35" t="str">
        <f aca="false">IF($C1186="","",$J1186-$K1186)</f>
        <v/>
      </c>
      <c r="M1186" s="6"/>
      <c r="N1186" s="6"/>
      <c r="O1186" s="46" t="str">
        <f aca="false">IF($A1186="","",DATE(YEAR($A1186),MONTH($A1186),1))</f>
        <v/>
      </c>
    </row>
    <row r="1187" customFormat="false" ht="15" hidden="false" customHeight="false" outlineLevel="0" collapsed="false">
      <c r="A1187" s="44"/>
      <c r="B1187" s="6"/>
      <c r="C1187" s="6"/>
      <c r="D1187" s="8" t="str">
        <f aca="false">IF($C1187="","",IFERROR(INDEX(PRODUCTOS!$B$6:$B$105,MATCH($C1187,PRODUCTOS!$A$6:$A$105,0)),"¿Código?"))</f>
        <v/>
      </c>
      <c r="E1187" s="42"/>
      <c r="F1187" s="35" t="str">
        <f aca="false">IF($C1187="","",IFERROR(INDEX(PRODUCTOS!$D$6:$D$105,MATCH($C1187,PRODUCTOS!$A$6:$A$105,0)),0))</f>
        <v/>
      </c>
      <c r="G1187" s="40"/>
      <c r="H1187" s="35" t="str">
        <f aca="false">IF($C1187="","",N($E1187)*$F1187-N($G1187))</f>
        <v/>
      </c>
      <c r="I1187" s="35" t="str">
        <f aca="false">IF($C1187="","",$H1187-$H1187/(1+IFERROR(INDEX(PRODUCTOS!$E$6:$E$105,MATCH($C1187,PRODUCTOS!$A$6:$A$105,0)),IVA_VENTAS)))</f>
        <v/>
      </c>
      <c r="J1187" s="35" t="str">
        <f aca="false">IF($C1187="","",$H1187-$I1187)</f>
        <v/>
      </c>
      <c r="K1187" s="35" t="str">
        <f aca="false">IF($C1187="","",N($E1187)*IFERROR(INDEX(PRODUCTOS!$H$6:$H$105,MATCH($C1187,PRODUCTOS!$A$6:$A$105,0)),0))</f>
        <v/>
      </c>
      <c r="L1187" s="35" t="str">
        <f aca="false">IF($C1187="","",$J1187-$K1187)</f>
        <v/>
      </c>
      <c r="M1187" s="6"/>
      <c r="N1187" s="6"/>
      <c r="O1187" s="46" t="str">
        <f aca="false">IF($A1187="","",DATE(YEAR($A1187),MONTH($A1187),1))</f>
        <v/>
      </c>
    </row>
    <row r="1188" customFormat="false" ht="15" hidden="false" customHeight="false" outlineLevel="0" collapsed="false">
      <c r="A1188" s="44"/>
      <c r="B1188" s="6"/>
      <c r="C1188" s="6"/>
      <c r="D1188" s="8" t="str">
        <f aca="false">IF($C1188="","",IFERROR(INDEX(PRODUCTOS!$B$6:$B$105,MATCH($C1188,PRODUCTOS!$A$6:$A$105,0)),"¿Código?"))</f>
        <v/>
      </c>
      <c r="E1188" s="42"/>
      <c r="F1188" s="35" t="str">
        <f aca="false">IF($C1188="","",IFERROR(INDEX(PRODUCTOS!$D$6:$D$105,MATCH($C1188,PRODUCTOS!$A$6:$A$105,0)),0))</f>
        <v/>
      </c>
      <c r="G1188" s="40"/>
      <c r="H1188" s="35" t="str">
        <f aca="false">IF($C1188="","",N($E1188)*$F1188-N($G1188))</f>
        <v/>
      </c>
      <c r="I1188" s="35" t="str">
        <f aca="false">IF($C1188="","",$H1188-$H1188/(1+IFERROR(INDEX(PRODUCTOS!$E$6:$E$105,MATCH($C1188,PRODUCTOS!$A$6:$A$105,0)),IVA_VENTAS)))</f>
        <v/>
      </c>
      <c r="J1188" s="35" t="str">
        <f aca="false">IF($C1188="","",$H1188-$I1188)</f>
        <v/>
      </c>
      <c r="K1188" s="35" t="str">
        <f aca="false">IF($C1188="","",N($E1188)*IFERROR(INDEX(PRODUCTOS!$H$6:$H$105,MATCH($C1188,PRODUCTOS!$A$6:$A$105,0)),0))</f>
        <v/>
      </c>
      <c r="L1188" s="35" t="str">
        <f aca="false">IF($C1188="","",$J1188-$K1188)</f>
        <v/>
      </c>
      <c r="M1188" s="6"/>
      <c r="N1188" s="6"/>
      <c r="O1188" s="46" t="str">
        <f aca="false">IF($A1188="","",DATE(YEAR($A1188),MONTH($A1188),1))</f>
        <v/>
      </c>
    </row>
    <row r="1189" customFormat="false" ht="15" hidden="false" customHeight="false" outlineLevel="0" collapsed="false">
      <c r="A1189" s="44"/>
      <c r="B1189" s="6"/>
      <c r="C1189" s="6"/>
      <c r="D1189" s="8" t="str">
        <f aca="false">IF($C1189="","",IFERROR(INDEX(PRODUCTOS!$B$6:$B$105,MATCH($C1189,PRODUCTOS!$A$6:$A$105,0)),"¿Código?"))</f>
        <v/>
      </c>
      <c r="E1189" s="42"/>
      <c r="F1189" s="35" t="str">
        <f aca="false">IF($C1189="","",IFERROR(INDEX(PRODUCTOS!$D$6:$D$105,MATCH($C1189,PRODUCTOS!$A$6:$A$105,0)),0))</f>
        <v/>
      </c>
      <c r="G1189" s="40"/>
      <c r="H1189" s="35" t="str">
        <f aca="false">IF($C1189="","",N($E1189)*$F1189-N($G1189))</f>
        <v/>
      </c>
      <c r="I1189" s="35" t="str">
        <f aca="false">IF($C1189="","",$H1189-$H1189/(1+IFERROR(INDEX(PRODUCTOS!$E$6:$E$105,MATCH($C1189,PRODUCTOS!$A$6:$A$105,0)),IVA_VENTAS)))</f>
        <v/>
      </c>
      <c r="J1189" s="35" t="str">
        <f aca="false">IF($C1189="","",$H1189-$I1189)</f>
        <v/>
      </c>
      <c r="K1189" s="35" t="str">
        <f aca="false">IF($C1189="","",N($E1189)*IFERROR(INDEX(PRODUCTOS!$H$6:$H$105,MATCH($C1189,PRODUCTOS!$A$6:$A$105,0)),0))</f>
        <v/>
      </c>
      <c r="L1189" s="35" t="str">
        <f aca="false">IF($C1189="","",$J1189-$K1189)</f>
        <v/>
      </c>
      <c r="M1189" s="6"/>
      <c r="N1189" s="6"/>
      <c r="O1189" s="46" t="str">
        <f aca="false">IF($A1189="","",DATE(YEAR($A1189),MONTH($A1189),1))</f>
        <v/>
      </c>
    </row>
    <row r="1190" customFormat="false" ht="15" hidden="false" customHeight="false" outlineLevel="0" collapsed="false">
      <c r="A1190" s="44"/>
      <c r="B1190" s="6"/>
      <c r="C1190" s="6"/>
      <c r="D1190" s="8" t="str">
        <f aca="false">IF($C1190="","",IFERROR(INDEX(PRODUCTOS!$B$6:$B$105,MATCH($C1190,PRODUCTOS!$A$6:$A$105,0)),"¿Código?"))</f>
        <v/>
      </c>
      <c r="E1190" s="42"/>
      <c r="F1190" s="35" t="str">
        <f aca="false">IF($C1190="","",IFERROR(INDEX(PRODUCTOS!$D$6:$D$105,MATCH($C1190,PRODUCTOS!$A$6:$A$105,0)),0))</f>
        <v/>
      </c>
      <c r="G1190" s="40"/>
      <c r="H1190" s="35" t="str">
        <f aca="false">IF($C1190="","",N($E1190)*$F1190-N($G1190))</f>
        <v/>
      </c>
      <c r="I1190" s="35" t="str">
        <f aca="false">IF($C1190="","",$H1190-$H1190/(1+IFERROR(INDEX(PRODUCTOS!$E$6:$E$105,MATCH($C1190,PRODUCTOS!$A$6:$A$105,0)),IVA_VENTAS)))</f>
        <v/>
      </c>
      <c r="J1190" s="35" t="str">
        <f aca="false">IF($C1190="","",$H1190-$I1190)</f>
        <v/>
      </c>
      <c r="K1190" s="35" t="str">
        <f aca="false">IF($C1190="","",N($E1190)*IFERROR(INDEX(PRODUCTOS!$H$6:$H$105,MATCH($C1190,PRODUCTOS!$A$6:$A$105,0)),0))</f>
        <v/>
      </c>
      <c r="L1190" s="35" t="str">
        <f aca="false">IF($C1190="","",$J1190-$K1190)</f>
        <v/>
      </c>
      <c r="M1190" s="6"/>
      <c r="N1190" s="6"/>
      <c r="O1190" s="46" t="str">
        <f aca="false">IF($A1190="","",DATE(YEAR($A1190),MONTH($A1190),1))</f>
        <v/>
      </c>
    </row>
    <row r="1191" customFormat="false" ht="15" hidden="false" customHeight="false" outlineLevel="0" collapsed="false">
      <c r="A1191" s="44"/>
      <c r="B1191" s="6"/>
      <c r="C1191" s="6"/>
      <c r="D1191" s="8" t="str">
        <f aca="false">IF($C1191="","",IFERROR(INDEX(PRODUCTOS!$B$6:$B$105,MATCH($C1191,PRODUCTOS!$A$6:$A$105,0)),"¿Código?"))</f>
        <v/>
      </c>
      <c r="E1191" s="42"/>
      <c r="F1191" s="35" t="str">
        <f aca="false">IF($C1191="","",IFERROR(INDEX(PRODUCTOS!$D$6:$D$105,MATCH($C1191,PRODUCTOS!$A$6:$A$105,0)),0))</f>
        <v/>
      </c>
      <c r="G1191" s="40"/>
      <c r="H1191" s="35" t="str">
        <f aca="false">IF($C1191="","",N($E1191)*$F1191-N($G1191))</f>
        <v/>
      </c>
      <c r="I1191" s="35" t="str">
        <f aca="false">IF($C1191="","",$H1191-$H1191/(1+IFERROR(INDEX(PRODUCTOS!$E$6:$E$105,MATCH($C1191,PRODUCTOS!$A$6:$A$105,0)),IVA_VENTAS)))</f>
        <v/>
      </c>
      <c r="J1191" s="35" t="str">
        <f aca="false">IF($C1191="","",$H1191-$I1191)</f>
        <v/>
      </c>
      <c r="K1191" s="35" t="str">
        <f aca="false">IF($C1191="","",N($E1191)*IFERROR(INDEX(PRODUCTOS!$H$6:$H$105,MATCH($C1191,PRODUCTOS!$A$6:$A$105,0)),0))</f>
        <v/>
      </c>
      <c r="L1191" s="35" t="str">
        <f aca="false">IF($C1191="","",$J1191-$K1191)</f>
        <v/>
      </c>
      <c r="M1191" s="6"/>
      <c r="N1191" s="6"/>
      <c r="O1191" s="46" t="str">
        <f aca="false">IF($A1191="","",DATE(YEAR($A1191),MONTH($A1191),1))</f>
        <v/>
      </c>
    </row>
    <row r="1192" customFormat="false" ht="15" hidden="false" customHeight="false" outlineLevel="0" collapsed="false">
      <c r="A1192" s="44"/>
      <c r="B1192" s="6"/>
      <c r="C1192" s="6"/>
      <c r="D1192" s="8" t="str">
        <f aca="false">IF($C1192="","",IFERROR(INDEX(PRODUCTOS!$B$6:$B$105,MATCH($C1192,PRODUCTOS!$A$6:$A$105,0)),"¿Código?"))</f>
        <v/>
      </c>
      <c r="E1192" s="42"/>
      <c r="F1192" s="35" t="str">
        <f aca="false">IF($C1192="","",IFERROR(INDEX(PRODUCTOS!$D$6:$D$105,MATCH($C1192,PRODUCTOS!$A$6:$A$105,0)),0))</f>
        <v/>
      </c>
      <c r="G1192" s="40"/>
      <c r="H1192" s="35" t="str">
        <f aca="false">IF($C1192="","",N($E1192)*$F1192-N($G1192))</f>
        <v/>
      </c>
      <c r="I1192" s="35" t="str">
        <f aca="false">IF($C1192="","",$H1192-$H1192/(1+IFERROR(INDEX(PRODUCTOS!$E$6:$E$105,MATCH($C1192,PRODUCTOS!$A$6:$A$105,0)),IVA_VENTAS)))</f>
        <v/>
      </c>
      <c r="J1192" s="35" t="str">
        <f aca="false">IF($C1192="","",$H1192-$I1192)</f>
        <v/>
      </c>
      <c r="K1192" s="35" t="str">
        <f aca="false">IF($C1192="","",N($E1192)*IFERROR(INDEX(PRODUCTOS!$H$6:$H$105,MATCH($C1192,PRODUCTOS!$A$6:$A$105,0)),0))</f>
        <v/>
      </c>
      <c r="L1192" s="35" t="str">
        <f aca="false">IF($C1192="","",$J1192-$K1192)</f>
        <v/>
      </c>
      <c r="M1192" s="6"/>
      <c r="N1192" s="6"/>
      <c r="O1192" s="46" t="str">
        <f aca="false">IF($A1192="","",DATE(YEAR($A1192),MONTH($A1192),1))</f>
        <v/>
      </c>
    </row>
    <row r="1193" customFormat="false" ht="15" hidden="false" customHeight="false" outlineLevel="0" collapsed="false">
      <c r="A1193" s="44"/>
      <c r="B1193" s="6"/>
      <c r="C1193" s="6"/>
      <c r="D1193" s="8" t="str">
        <f aca="false">IF($C1193="","",IFERROR(INDEX(PRODUCTOS!$B$6:$B$105,MATCH($C1193,PRODUCTOS!$A$6:$A$105,0)),"¿Código?"))</f>
        <v/>
      </c>
      <c r="E1193" s="42"/>
      <c r="F1193" s="35" t="str">
        <f aca="false">IF($C1193="","",IFERROR(INDEX(PRODUCTOS!$D$6:$D$105,MATCH($C1193,PRODUCTOS!$A$6:$A$105,0)),0))</f>
        <v/>
      </c>
      <c r="G1193" s="40"/>
      <c r="H1193" s="35" t="str">
        <f aca="false">IF($C1193="","",N($E1193)*$F1193-N($G1193))</f>
        <v/>
      </c>
      <c r="I1193" s="35" t="str">
        <f aca="false">IF($C1193="","",$H1193-$H1193/(1+IFERROR(INDEX(PRODUCTOS!$E$6:$E$105,MATCH($C1193,PRODUCTOS!$A$6:$A$105,0)),IVA_VENTAS)))</f>
        <v/>
      </c>
      <c r="J1193" s="35" t="str">
        <f aca="false">IF($C1193="","",$H1193-$I1193)</f>
        <v/>
      </c>
      <c r="K1193" s="35" t="str">
        <f aca="false">IF($C1193="","",N($E1193)*IFERROR(INDEX(PRODUCTOS!$H$6:$H$105,MATCH($C1193,PRODUCTOS!$A$6:$A$105,0)),0))</f>
        <v/>
      </c>
      <c r="L1193" s="35" t="str">
        <f aca="false">IF($C1193="","",$J1193-$K1193)</f>
        <v/>
      </c>
      <c r="M1193" s="6"/>
      <c r="N1193" s="6"/>
      <c r="O1193" s="46" t="str">
        <f aca="false">IF($A1193="","",DATE(YEAR($A1193),MONTH($A1193),1))</f>
        <v/>
      </c>
    </row>
    <row r="1194" customFormat="false" ht="15" hidden="false" customHeight="false" outlineLevel="0" collapsed="false">
      <c r="A1194" s="44"/>
      <c r="B1194" s="6"/>
      <c r="C1194" s="6"/>
      <c r="D1194" s="8" t="str">
        <f aca="false">IF($C1194="","",IFERROR(INDEX(PRODUCTOS!$B$6:$B$105,MATCH($C1194,PRODUCTOS!$A$6:$A$105,0)),"¿Código?"))</f>
        <v/>
      </c>
      <c r="E1194" s="42"/>
      <c r="F1194" s="35" t="str">
        <f aca="false">IF($C1194="","",IFERROR(INDEX(PRODUCTOS!$D$6:$D$105,MATCH($C1194,PRODUCTOS!$A$6:$A$105,0)),0))</f>
        <v/>
      </c>
      <c r="G1194" s="40"/>
      <c r="H1194" s="35" t="str">
        <f aca="false">IF($C1194="","",N($E1194)*$F1194-N($G1194))</f>
        <v/>
      </c>
      <c r="I1194" s="35" t="str">
        <f aca="false">IF($C1194="","",$H1194-$H1194/(1+IFERROR(INDEX(PRODUCTOS!$E$6:$E$105,MATCH($C1194,PRODUCTOS!$A$6:$A$105,0)),IVA_VENTAS)))</f>
        <v/>
      </c>
      <c r="J1194" s="35" t="str">
        <f aca="false">IF($C1194="","",$H1194-$I1194)</f>
        <v/>
      </c>
      <c r="K1194" s="35" t="str">
        <f aca="false">IF($C1194="","",N($E1194)*IFERROR(INDEX(PRODUCTOS!$H$6:$H$105,MATCH($C1194,PRODUCTOS!$A$6:$A$105,0)),0))</f>
        <v/>
      </c>
      <c r="L1194" s="35" t="str">
        <f aca="false">IF($C1194="","",$J1194-$K1194)</f>
        <v/>
      </c>
      <c r="M1194" s="6"/>
      <c r="N1194" s="6"/>
      <c r="O1194" s="46" t="str">
        <f aca="false">IF($A1194="","",DATE(YEAR($A1194),MONTH($A1194),1))</f>
        <v/>
      </c>
    </row>
    <row r="1195" customFormat="false" ht="15" hidden="false" customHeight="false" outlineLevel="0" collapsed="false">
      <c r="A1195" s="44"/>
      <c r="B1195" s="6"/>
      <c r="C1195" s="6"/>
      <c r="D1195" s="8" t="str">
        <f aca="false">IF($C1195="","",IFERROR(INDEX(PRODUCTOS!$B$6:$B$105,MATCH($C1195,PRODUCTOS!$A$6:$A$105,0)),"¿Código?"))</f>
        <v/>
      </c>
      <c r="E1195" s="42"/>
      <c r="F1195" s="35" t="str">
        <f aca="false">IF($C1195="","",IFERROR(INDEX(PRODUCTOS!$D$6:$D$105,MATCH($C1195,PRODUCTOS!$A$6:$A$105,0)),0))</f>
        <v/>
      </c>
      <c r="G1195" s="40"/>
      <c r="H1195" s="35" t="str">
        <f aca="false">IF($C1195="","",N($E1195)*$F1195-N($G1195))</f>
        <v/>
      </c>
      <c r="I1195" s="35" t="str">
        <f aca="false">IF($C1195="","",$H1195-$H1195/(1+IFERROR(INDEX(PRODUCTOS!$E$6:$E$105,MATCH($C1195,PRODUCTOS!$A$6:$A$105,0)),IVA_VENTAS)))</f>
        <v/>
      </c>
      <c r="J1195" s="35" t="str">
        <f aca="false">IF($C1195="","",$H1195-$I1195)</f>
        <v/>
      </c>
      <c r="K1195" s="35" t="str">
        <f aca="false">IF($C1195="","",N($E1195)*IFERROR(INDEX(PRODUCTOS!$H$6:$H$105,MATCH($C1195,PRODUCTOS!$A$6:$A$105,0)),0))</f>
        <v/>
      </c>
      <c r="L1195" s="35" t="str">
        <f aca="false">IF($C1195="","",$J1195-$K1195)</f>
        <v/>
      </c>
      <c r="M1195" s="6"/>
      <c r="N1195" s="6"/>
      <c r="O1195" s="46" t="str">
        <f aca="false">IF($A1195="","",DATE(YEAR($A1195),MONTH($A1195),1))</f>
        <v/>
      </c>
    </row>
    <row r="1196" customFormat="false" ht="15" hidden="false" customHeight="false" outlineLevel="0" collapsed="false">
      <c r="A1196" s="44"/>
      <c r="B1196" s="6"/>
      <c r="C1196" s="6"/>
      <c r="D1196" s="8" t="str">
        <f aca="false">IF($C1196="","",IFERROR(INDEX(PRODUCTOS!$B$6:$B$105,MATCH($C1196,PRODUCTOS!$A$6:$A$105,0)),"¿Código?"))</f>
        <v/>
      </c>
      <c r="E1196" s="42"/>
      <c r="F1196" s="35" t="str">
        <f aca="false">IF($C1196="","",IFERROR(INDEX(PRODUCTOS!$D$6:$D$105,MATCH($C1196,PRODUCTOS!$A$6:$A$105,0)),0))</f>
        <v/>
      </c>
      <c r="G1196" s="40"/>
      <c r="H1196" s="35" t="str">
        <f aca="false">IF($C1196="","",N($E1196)*$F1196-N($G1196))</f>
        <v/>
      </c>
      <c r="I1196" s="35" t="str">
        <f aca="false">IF($C1196="","",$H1196-$H1196/(1+IFERROR(INDEX(PRODUCTOS!$E$6:$E$105,MATCH($C1196,PRODUCTOS!$A$6:$A$105,0)),IVA_VENTAS)))</f>
        <v/>
      </c>
      <c r="J1196" s="35" t="str">
        <f aca="false">IF($C1196="","",$H1196-$I1196)</f>
        <v/>
      </c>
      <c r="K1196" s="35" t="str">
        <f aca="false">IF($C1196="","",N($E1196)*IFERROR(INDEX(PRODUCTOS!$H$6:$H$105,MATCH($C1196,PRODUCTOS!$A$6:$A$105,0)),0))</f>
        <v/>
      </c>
      <c r="L1196" s="35" t="str">
        <f aca="false">IF($C1196="","",$J1196-$K1196)</f>
        <v/>
      </c>
      <c r="M1196" s="6"/>
      <c r="N1196" s="6"/>
      <c r="O1196" s="46" t="str">
        <f aca="false">IF($A1196="","",DATE(YEAR($A1196),MONTH($A1196),1))</f>
        <v/>
      </c>
    </row>
    <row r="1197" customFormat="false" ht="15" hidden="false" customHeight="false" outlineLevel="0" collapsed="false">
      <c r="A1197" s="44"/>
      <c r="B1197" s="6"/>
      <c r="C1197" s="6"/>
      <c r="D1197" s="8" t="str">
        <f aca="false">IF($C1197="","",IFERROR(INDEX(PRODUCTOS!$B$6:$B$105,MATCH($C1197,PRODUCTOS!$A$6:$A$105,0)),"¿Código?"))</f>
        <v/>
      </c>
      <c r="E1197" s="42"/>
      <c r="F1197" s="35" t="str">
        <f aca="false">IF($C1197="","",IFERROR(INDEX(PRODUCTOS!$D$6:$D$105,MATCH($C1197,PRODUCTOS!$A$6:$A$105,0)),0))</f>
        <v/>
      </c>
      <c r="G1197" s="40"/>
      <c r="H1197" s="35" t="str">
        <f aca="false">IF($C1197="","",N($E1197)*$F1197-N($G1197))</f>
        <v/>
      </c>
      <c r="I1197" s="35" t="str">
        <f aca="false">IF($C1197="","",$H1197-$H1197/(1+IFERROR(INDEX(PRODUCTOS!$E$6:$E$105,MATCH($C1197,PRODUCTOS!$A$6:$A$105,0)),IVA_VENTAS)))</f>
        <v/>
      </c>
      <c r="J1197" s="35" t="str">
        <f aca="false">IF($C1197="","",$H1197-$I1197)</f>
        <v/>
      </c>
      <c r="K1197" s="35" t="str">
        <f aca="false">IF($C1197="","",N($E1197)*IFERROR(INDEX(PRODUCTOS!$H$6:$H$105,MATCH($C1197,PRODUCTOS!$A$6:$A$105,0)),0))</f>
        <v/>
      </c>
      <c r="L1197" s="35" t="str">
        <f aca="false">IF($C1197="","",$J1197-$K1197)</f>
        <v/>
      </c>
      <c r="M1197" s="6"/>
      <c r="N1197" s="6"/>
      <c r="O1197" s="46" t="str">
        <f aca="false">IF($A1197="","",DATE(YEAR($A1197),MONTH($A1197),1))</f>
        <v/>
      </c>
    </row>
    <row r="1198" customFormat="false" ht="15" hidden="false" customHeight="false" outlineLevel="0" collapsed="false">
      <c r="A1198" s="44"/>
      <c r="B1198" s="6"/>
      <c r="C1198" s="6"/>
      <c r="D1198" s="8" t="str">
        <f aca="false">IF($C1198="","",IFERROR(INDEX(PRODUCTOS!$B$6:$B$105,MATCH($C1198,PRODUCTOS!$A$6:$A$105,0)),"¿Código?"))</f>
        <v/>
      </c>
      <c r="E1198" s="42"/>
      <c r="F1198" s="35" t="str">
        <f aca="false">IF($C1198="","",IFERROR(INDEX(PRODUCTOS!$D$6:$D$105,MATCH($C1198,PRODUCTOS!$A$6:$A$105,0)),0))</f>
        <v/>
      </c>
      <c r="G1198" s="40"/>
      <c r="H1198" s="35" t="str">
        <f aca="false">IF($C1198="","",N($E1198)*$F1198-N($G1198))</f>
        <v/>
      </c>
      <c r="I1198" s="35" t="str">
        <f aca="false">IF($C1198="","",$H1198-$H1198/(1+IFERROR(INDEX(PRODUCTOS!$E$6:$E$105,MATCH($C1198,PRODUCTOS!$A$6:$A$105,0)),IVA_VENTAS)))</f>
        <v/>
      </c>
      <c r="J1198" s="35" t="str">
        <f aca="false">IF($C1198="","",$H1198-$I1198)</f>
        <v/>
      </c>
      <c r="K1198" s="35" t="str">
        <f aca="false">IF($C1198="","",N($E1198)*IFERROR(INDEX(PRODUCTOS!$H$6:$H$105,MATCH($C1198,PRODUCTOS!$A$6:$A$105,0)),0))</f>
        <v/>
      </c>
      <c r="L1198" s="35" t="str">
        <f aca="false">IF($C1198="","",$J1198-$K1198)</f>
        <v/>
      </c>
      <c r="M1198" s="6"/>
      <c r="N1198" s="6"/>
      <c r="O1198" s="46" t="str">
        <f aca="false">IF($A1198="","",DATE(YEAR($A1198),MONTH($A1198),1))</f>
        <v/>
      </c>
    </row>
    <row r="1199" customFormat="false" ht="15" hidden="false" customHeight="false" outlineLevel="0" collapsed="false">
      <c r="A1199" s="44"/>
      <c r="B1199" s="6"/>
      <c r="C1199" s="6"/>
      <c r="D1199" s="8" t="str">
        <f aca="false">IF($C1199="","",IFERROR(INDEX(PRODUCTOS!$B$6:$B$105,MATCH($C1199,PRODUCTOS!$A$6:$A$105,0)),"¿Código?"))</f>
        <v/>
      </c>
      <c r="E1199" s="42"/>
      <c r="F1199" s="35" t="str">
        <f aca="false">IF($C1199="","",IFERROR(INDEX(PRODUCTOS!$D$6:$D$105,MATCH($C1199,PRODUCTOS!$A$6:$A$105,0)),0))</f>
        <v/>
      </c>
      <c r="G1199" s="40"/>
      <c r="H1199" s="35" t="str">
        <f aca="false">IF($C1199="","",N($E1199)*$F1199-N($G1199))</f>
        <v/>
      </c>
      <c r="I1199" s="35" t="str">
        <f aca="false">IF($C1199="","",$H1199-$H1199/(1+IFERROR(INDEX(PRODUCTOS!$E$6:$E$105,MATCH($C1199,PRODUCTOS!$A$6:$A$105,0)),IVA_VENTAS)))</f>
        <v/>
      </c>
      <c r="J1199" s="35" t="str">
        <f aca="false">IF($C1199="","",$H1199-$I1199)</f>
        <v/>
      </c>
      <c r="K1199" s="35" t="str">
        <f aca="false">IF($C1199="","",N($E1199)*IFERROR(INDEX(PRODUCTOS!$H$6:$H$105,MATCH($C1199,PRODUCTOS!$A$6:$A$105,0)),0))</f>
        <v/>
      </c>
      <c r="L1199" s="35" t="str">
        <f aca="false">IF($C1199="","",$J1199-$K1199)</f>
        <v/>
      </c>
      <c r="M1199" s="6"/>
      <c r="N1199" s="6"/>
      <c r="O1199" s="46" t="str">
        <f aca="false">IF($A1199="","",DATE(YEAR($A1199),MONTH($A1199),1))</f>
        <v/>
      </c>
    </row>
    <row r="1200" customFormat="false" ht="15" hidden="false" customHeight="false" outlineLevel="0" collapsed="false">
      <c r="A1200" s="44"/>
      <c r="B1200" s="6"/>
      <c r="C1200" s="6"/>
      <c r="D1200" s="8" t="str">
        <f aca="false">IF($C1200="","",IFERROR(INDEX(PRODUCTOS!$B$6:$B$105,MATCH($C1200,PRODUCTOS!$A$6:$A$105,0)),"¿Código?"))</f>
        <v/>
      </c>
      <c r="E1200" s="42"/>
      <c r="F1200" s="35" t="str">
        <f aca="false">IF($C1200="","",IFERROR(INDEX(PRODUCTOS!$D$6:$D$105,MATCH($C1200,PRODUCTOS!$A$6:$A$105,0)),0))</f>
        <v/>
      </c>
      <c r="G1200" s="40"/>
      <c r="H1200" s="35" t="str">
        <f aca="false">IF($C1200="","",N($E1200)*$F1200-N($G1200))</f>
        <v/>
      </c>
      <c r="I1200" s="35" t="str">
        <f aca="false">IF($C1200="","",$H1200-$H1200/(1+IFERROR(INDEX(PRODUCTOS!$E$6:$E$105,MATCH($C1200,PRODUCTOS!$A$6:$A$105,0)),IVA_VENTAS)))</f>
        <v/>
      </c>
      <c r="J1200" s="35" t="str">
        <f aca="false">IF($C1200="","",$H1200-$I1200)</f>
        <v/>
      </c>
      <c r="K1200" s="35" t="str">
        <f aca="false">IF($C1200="","",N($E1200)*IFERROR(INDEX(PRODUCTOS!$H$6:$H$105,MATCH($C1200,PRODUCTOS!$A$6:$A$105,0)),0))</f>
        <v/>
      </c>
      <c r="L1200" s="35" t="str">
        <f aca="false">IF($C1200="","",$J1200-$K1200)</f>
        <v/>
      </c>
      <c r="M1200" s="6"/>
      <c r="N1200" s="6"/>
      <c r="O1200" s="46" t="str">
        <f aca="false">IF($A1200="","",DATE(YEAR($A1200),MONTH($A1200),1))</f>
        <v/>
      </c>
    </row>
    <row r="1201" customFormat="false" ht="15" hidden="false" customHeight="false" outlineLevel="0" collapsed="false">
      <c r="A1201" s="44"/>
      <c r="B1201" s="6"/>
      <c r="C1201" s="6"/>
      <c r="D1201" s="8" t="str">
        <f aca="false">IF($C1201="","",IFERROR(INDEX(PRODUCTOS!$B$6:$B$105,MATCH($C1201,PRODUCTOS!$A$6:$A$105,0)),"¿Código?"))</f>
        <v/>
      </c>
      <c r="E1201" s="42"/>
      <c r="F1201" s="35" t="str">
        <f aca="false">IF($C1201="","",IFERROR(INDEX(PRODUCTOS!$D$6:$D$105,MATCH($C1201,PRODUCTOS!$A$6:$A$105,0)),0))</f>
        <v/>
      </c>
      <c r="G1201" s="40"/>
      <c r="H1201" s="35" t="str">
        <f aca="false">IF($C1201="","",N($E1201)*$F1201-N($G1201))</f>
        <v/>
      </c>
      <c r="I1201" s="35" t="str">
        <f aca="false">IF($C1201="","",$H1201-$H1201/(1+IFERROR(INDEX(PRODUCTOS!$E$6:$E$105,MATCH($C1201,PRODUCTOS!$A$6:$A$105,0)),IVA_VENTAS)))</f>
        <v/>
      </c>
      <c r="J1201" s="35" t="str">
        <f aca="false">IF($C1201="","",$H1201-$I1201)</f>
        <v/>
      </c>
      <c r="K1201" s="35" t="str">
        <f aca="false">IF($C1201="","",N($E1201)*IFERROR(INDEX(PRODUCTOS!$H$6:$H$105,MATCH($C1201,PRODUCTOS!$A$6:$A$105,0)),0))</f>
        <v/>
      </c>
      <c r="L1201" s="35" t="str">
        <f aca="false">IF($C1201="","",$J1201-$K1201)</f>
        <v/>
      </c>
      <c r="M1201" s="6"/>
      <c r="N1201" s="6"/>
      <c r="O1201" s="46" t="str">
        <f aca="false">IF($A1201="","",DATE(YEAR($A1201),MONTH($A1201),1))</f>
        <v/>
      </c>
    </row>
    <row r="1202" customFormat="false" ht="15" hidden="false" customHeight="false" outlineLevel="0" collapsed="false">
      <c r="A1202" s="44"/>
      <c r="B1202" s="6"/>
      <c r="C1202" s="6"/>
      <c r="D1202" s="8" t="str">
        <f aca="false">IF($C1202="","",IFERROR(INDEX(PRODUCTOS!$B$6:$B$105,MATCH($C1202,PRODUCTOS!$A$6:$A$105,0)),"¿Código?"))</f>
        <v/>
      </c>
      <c r="E1202" s="42"/>
      <c r="F1202" s="35" t="str">
        <f aca="false">IF($C1202="","",IFERROR(INDEX(PRODUCTOS!$D$6:$D$105,MATCH($C1202,PRODUCTOS!$A$6:$A$105,0)),0))</f>
        <v/>
      </c>
      <c r="G1202" s="40"/>
      <c r="H1202" s="35" t="str">
        <f aca="false">IF($C1202="","",N($E1202)*$F1202-N($G1202))</f>
        <v/>
      </c>
      <c r="I1202" s="35" t="str">
        <f aca="false">IF($C1202="","",$H1202-$H1202/(1+IFERROR(INDEX(PRODUCTOS!$E$6:$E$105,MATCH($C1202,PRODUCTOS!$A$6:$A$105,0)),IVA_VENTAS)))</f>
        <v/>
      </c>
      <c r="J1202" s="35" t="str">
        <f aca="false">IF($C1202="","",$H1202-$I1202)</f>
        <v/>
      </c>
      <c r="K1202" s="35" t="str">
        <f aca="false">IF($C1202="","",N($E1202)*IFERROR(INDEX(PRODUCTOS!$H$6:$H$105,MATCH($C1202,PRODUCTOS!$A$6:$A$105,0)),0))</f>
        <v/>
      </c>
      <c r="L1202" s="35" t="str">
        <f aca="false">IF($C1202="","",$J1202-$K1202)</f>
        <v/>
      </c>
      <c r="M1202" s="6"/>
      <c r="N1202" s="6"/>
      <c r="O1202" s="46" t="str">
        <f aca="false">IF($A1202="","",DATE(YEAR($A1202),MONTH($A1202),1))</f>
        <v/>
      </c>
    </row>
    <row r="1203" customFormat="false" ht="15" hidden="false" customHeight="false" outlineLevel="0" collapsed="false">
      <c r="A1203" s="44"/>
      <c r="B1203" s="6"/>
      <c r="C1203" s="6"/>
      <c r="D1203" s="8" t="str">
        <f aca="false">IF($C1203="","",IFERROR(INDEX(PRODUCTOS!$B$6:$B$105,MATCH($C1203,PRODUCTOS!$A$6:$A$105,0)),"¿Código?"))</f>
        <v/>
      </c>
      <c r="E1203" s="42"/>
      <c r="F1203" s="35" t="str">
        <f aca="false">IF($C1203="","",IFERROR(INDEX(PRODUCTOS!$D$6:$D$105,MATCH($C1203,PRODUCTOS!$A$6:$A$105,0)),0))</f>
        <v/>
      </c>
      <c r="G1203" s="40"/>
      <c r="H1203" s="35" t="str">
        <f aca="false">IF($C1203="","",N($E1203)*$F1203-N($G1203))</f>
        <v/>
      </c>
      <c r="I1203" s="35" t="str">
        <f aca="false">IF($C1203="","",$H1203-$H1203/(1+IFERROR(INDEX(PRODUCTOS!$E$6:$E$105,MATCH($C1203,PRODUCTOS!$A$6:$A$105,0)),IVA_VENTAS)))</f>
        <v/>
      </c>
      <c r="J1203" s="35" t="str">
        <f aca="false">IF($C1203="","",$H1203-$I1203)</f>
        <v/>
      </c>
      <c r="K1203" s="35" t="str">
        <f aca="false">IF($C1203="","",N($E1203)*IFERROR(INDEX(PRODUCTOS!$H$6:$H$105,MATCH($C1203,PRODUCTOS!$A$6:$A$105,0)),0))</f>
        <v/>
      </c>
      <c r="L1203" s="35" t="str">
        <f aca="false">IF($C1203="","",$J1203-$K1203)</f>
        <v/>
      </c>
      <c r="M1203" s="6"/>
      <c r="N1203" s="6"/>
      <c r="O1203" s="46" t="str">
        <f aca="false">IF($A1203="","",DATE(YEAR($A1203),MONTH($A1203),1))</f>
        <v/>
      </c>
    </row>
    <row r="1204" customFormat="false" ht="15" hidden="false" customHeight="false" outlineLevel="0" collapsed="false">
      <c r="A1204" s="44"/>
      <c r="B1204" s="6"/>
      <c r="C1204" s="6"/>
      <c r="D1204" s="8" t="str">
        <f aca="false">IF($C1204="","",IFERROR(INDEX(PRODUCTOS!$B$6:$B$105,MATCH($C1204,PRODUCTOS!$A$6:$A$105,0)),"¿Código?"))</f>
        <v/>
      </c>
      <c r="E1204" s="42"/>
      <c r="F1204" s="35" t="str">
        <f aca="false">IF($C1204="","",IFERROR(INDEX(PRODUCTOS!$D$6:$D$105,MATCH($C1204,PRODUCTOS!$A$6:$A$105,0)),0))</f>
        <v/>
      </c>
      <c r="G1204" s="40"/>
      <c r="H1204" s="35" t="str">
        <f aca="false">IF($C1204="","",N($E1204)*$F1204-N($G1204))</f>
        <v/>
      </c>
      <c r="I1204" s="35" t="str">
        <f aca="false">IF($C1204="","",$H1204-$H1204/(1+IFERROR(INDEX(PRODUCTOS!$E$6:$E$105,MATCH($C1204,PRODUCTOS!$A$6:$A$105,0)),IVA_VENTAS)))</f>
        <v/>
      </c>
      <c r="J1204" s="35" t="str">
        <f aca="false">IF($C1204="","",$H1204-$I1204)</f>
        <v/>
      </c>
      <c r="K1204" s="35" t="str">
        <f aca="false">IF($C1204="","",N($E1204)*IFERROR(INDEX(PRODUCTOS!$H$6:$H$105,MATCH($C1204,PRODUCTOS!$A$6:$A$105,0)),0))</f>
        <v/>
      </c>
      <c r="L1204" s="35" t="str">
        <f aca="false">IF($C1204="","",$J1204-$K1204)</f>
        <v/>
      </c>
      <c r="M1204" s="6"/>
      <c r="N1204" s="6"/>
      <c r="O1204" s="46" t="str">
        <f aca="false">IF($A1204="","",DATE(YEAR($A1204),MONTH($A1204),1))</f>
        <v/>
      </c>
    </row>
    <row r="1205" customFormat="false" ht="15" hidden="false" customHeight="false" outlineLevel="0" collapsed="false">
      <c r="A1205" s="44"/>
      <c r="B1205" s="6"/>
      <c r="C1205" s="6"/>
      <c r="D1205" s="8" t="str">
        <f aca="false">IF($C1205="","",IFERROR(INDEX(PRODUCTOS!$B$6:$B$105,MATCH($C1205,PRODUCTOS!$A$6:$A$105,0)),"¿Código?"))</f>
        <v/>
      </c>
      <c r="E1205" s="42"/>
      <c r="F1205" s="35" t="str">
        <f aca="false">IF($C1205="","",IFERROR(INDEX(PRODUCTOS!$D$6:$D$105,MATCH($C1205,PRODUCTOS!$A$6:$A$105,0)),0))</f>
        <v/>
      </c>
      <c r="G1205" s="40"/>
      <c r="H1205" s="35" t="str">
        <f aca="false">IF($C1205="","",N($E1205)*$F1205-N($G1205))</f>
        <v/>
      </c>
      <c r="I1205" s="35" t="str">
        <f aca="false">IF($C1205="","",$H1205-$H1205/(1+IFERROR(INDEX(PRODUCTOS!$E$6:$E$105,MATCH($C1205,PRODUCTOS!$A$6:$A$105,0)),IVA_VENTAS)))</f>
        <v/>
      </c>
      <c r="J1205" s="35" t="str">
        <f aca="false">IF($C1205="","",$H1205-$I1205)</f>
        <v/>
      </c>
      <c r="K1205" s="35" t="str">
        <f aca="false">IF($C1205="","",N($E1205)*IFERROR(INDEX(PRODUCTOS!$H$6:$H$105,MATCH($C1205,PRODUCTOS!$A$6:$A$105,0)),0))</f>
        <v/>
      </c>
      <c r="L1205" s="35" t="str">
        <f aca="false">IF($C1205="","",$J1205-$K1205)</f>
        <v/>
      </c>
      <c r="M1205" s="6"/>
      <c r="N1205" s="6"/>
      <c r="O1205" s="46" t="str">
        <f aca="false">IF($A1205="","",DATE(YEAR($A1205),MONTH($A1205),1))</f>
        <v/>
      </c>
    </row>
    <row r="1206" customFormat="false" ht="15" hidden="false" customHeight="false" outlineLevel="0" collapsed="false">
      <c r="A1206" s="44"/>
      <c r="B1206" s="6"/>
      <c r="C1206" s="6"/>
      <c r="D1206" s="8" t="str">
        <f aca="false">IF($C1206="","",IFERROR(INDEX(PRODUCTOS!$B$6:$B$105,MATCH($C1206,PRODUCTOS!$A$6:$A$105,0)),"¿Código?"))</f>
        <v/>
      </c>
      <c r="E1206" s="42"/>
      <c r="F1206" s="35" t="str">
        <f aca="false">IF($C1206="","",IFERROR(INDEX(PRODUCTOS!$D$6:$D$105,MATCH($C1206,PRODUCTOS!$A$6:$A$105,0)),0))</f>
        <v/>
      </c>
      <c r="G1206" s="40"/>
      <c r="H1206" s="35" t="str">
        <f aca="false">IF($C1206="","",N($E1206)*$F1206-N($G1206))</f>
        <v/>
      </c>
      <c r="I1206" s="35" t="str">
        <f aca="false">IF($C1206="","",$H1206-$H1206/(1+IFERROR(INDEX(PRODUCTOS!$E$6:$E$105,MATCH($C1206,PRODUCTOS!$A$6:$A$105,0)),IVA_VENTAS)))</f>
        <v/>
      </c>
      <c r="J1206" s="35" t="str">
        <f aca="false">IF($C1206="","",$H1206-$I1206)</f>
        <v/>
      </c>
      <c r="K1206" s="35" t="str">
        <f aca="false">IF($C1206="","",N($E1206)*IFERROR(INDEX(PRODUCTOS!$H$6:$H$105,MATCH($C1206,PRODUCTOS!$A$6:$A$105,0)),0))</f>
        <v/>
      </c>
      <c r="L1206" s="35" t="str">
        <f aca="false">IF($C1206="","",$J1206-$K1206)</f>
        <v/>
      </c>
      <c r="M1206" s="6"/>
      <c r="N1206" s="6"/>
      <c r="O1206" s="46" t="str">
        <f aca="false">IF($A1206="","",DATE(YEAR($A1206),MONTH($A1206),1))</f>
        <v/>
      </c>
    </row>
    <row r="1207" customFormat="false" ht="15" hidden="false" customHeight="false" outlineLevel="0" collapsed="false">
      <c r="A1207" s="44"/>
      <c r="B1207" s="6"/>
      <c r="C1207" s="6"/>
      <c r="D1207" s="8" t="str">
        <f aca="false">IF($C1207="","",IFERROR(INDEX(PRODUCTOS!$B$6:$B$105,MATCH($C1207,PRODUCTOS!$A$6:$A$105,0)),"¿Código?"))</f>
        <v/>
      </c>
      <c r="E1207" s="42"/>
      <c r="F1207" s="35" t="str">
        <f aca="false">IF($C1207="","",IFERROR(INDEX(PRODUCTOS!$D$6:$D$105,MATCH($C1207,PRODUCTOS!$A$6:$A$105,0)),0))</f>
        <v/>
      </c>
      <c r="G1207" s="40"/>
      <c r="H1207" s="35" t="str">
        <f aca="false">IF($C1207="","",N($E1207)*$F1207-N($G1207))</f>
        <v/>
      </c>
      <c r="I1207" s="35" t="str">
        <f aca="false">IF($C1207="","",$H1207-$H1207/(1+IFERROR(INDEX(PRODUCTOS!$E$6:$E$105,MATCH($C1207,PRODUCTOS!$A$6:$A$105,0)),IVA_VENTAS)))</f>
        <v/>
      </c>
      <c r="J1207" s="35" t="str">
        <f aca="false">IF($C1207="","",$H1207-$I1207)</f>
        <v/>
      </c>
      <c r="K1207" s="35" t="str">
        <f aca="false">IF($C1207="","",N($E1207)*IFERROR(INDEX(PRODUCTOS!$H$6:$H$105,MATCH($C1207,PRODUCTOS!$A$6:$A$105,0)),0))</f>
        <v/>
      </c>
      <c r="L1207" s="35" t="str">
        <f aca="false">IF($C1207="","",$J1207-$K1207)</f>
        <v/>
      </c>
      <c r="M1207" s="6"/>
      <c r="N1207" s="6"/>
      <c r="O1207" s="46" t="str">
        <f aca="false">IF($A1207="","",DATE(YEAR($A1207),MONTH($A1207),1))</f>
        <v/>
      </c>
    </row>
    <row r="1208" customFormat="false" ht="15" hidden="false" customHeight="false" outlineLevel="0" collapsed="false">
      <c r="A1208" s="44"/>
      <c r="B1208" s="6"/>
      <c r="C1208" s="6"/>
      <c r="D1208" s="8" t="str">
        <f aca="false">IF($C1208="","",IFERROR(INDEX(PRODUCTOS!$B$6:$B$105,MATCH($C1208,PRODUCTOS!$A$6:$A$105,0)),"¿Código?"))</f>
        <v/>
      </c>
      <c r="E1208" s="42"/>
      <c r="F1208" s="35" t="str">
        <f aca="false">IF($C1208="","",IFERROR(INDEX(PRODUCTOS!$D$6:$D$105,MATCH($C1208,PRODUCTOS!$A$6:$A$105,0)),0))</f>
        <v/>
      </c>
      <c r="G1208" s="40"/>
      <c r="H1208" s="35" t="str">
        <f aca="false">IF($C1208="","",N($E1208)*$F1208-N($G1208))</f>
        <v/>
      </c>
      <c r="I1208" s="35" t="str">
        <f aca="false">IF($C1208="","",$H1208-$H1208/(1+IFERROR(INDEX(PRODUCTOS!$E$6:$E$105,MATCH($C1208,PRODUCTOS!$A$6:$A$105,0)),IVA_VENTAS)))</f>
        <v/>
      </c>
      <c r="J1208" s="35" t="str">
        <f aca="false">IF($C1208="","",$H1208-$I1208)</f>
        <v/>
      </c>
      <c r="K1208" s="35" t="str">
        <f aca="false">IF($C1208="","",N($E1208)*IFERROR(INDEX(PRODUCTOS!$H$6:$H$105,MATCH($C1208,PRODUCTOS!$A$6:$A$105,0)),0))</f>
        <v/>
      </c>
      <c r="L1208" s="35" t="str">
        <f aca="false">IF($C1208="","",$J1208-$K1208)</f>
        <v/>
      </c>
      <c r="M1208" s="6"/>
      <c r="N1208" s="6"/>
      <c r="O1208" s="46" t="str">
        <f aca="false">IF($A1208="","",DATE(YEAR($A1208),MONTH($A1208),1))</f>
        <v/>
      </c>
    </row>
    <row r="1209" customFormat="false" ht="15" hidden="false" customHeight="false" outlineLevel="0" collapsed="false">
      <c r="A1209" s="44"/>
      <c r="B1209" s="6"/>
      <c r="C1209" s="6"/>
      <c r="D1209" s="8" t="str">
        <f aca="false">IF($C1209="","",IFERROR(INDEX(PRODUCTOS!$B$6:$B$105,MATCH($C1209,PRODUCTOS!$A$6:$A$105,0)),"¿Código?"))</f>
        <v/>
      </c>
      <c r="E1209" s="42"/>
      <c r="F1209" s="35" t="str">
        <f aca="false">IF($C1209="","",IFERROR(INDEX(PRODUCTOS!$D$6:$D$105,MATCH($C1209,PRODUCTOS!$A$6:$A$105,0)),0))</f>
        <v/>
      </c>
      <c r="G1209" s="40"/>
      <c r="H1209" s="35" t="str">
        <f aca="false">IF($C1209="","",N($E1209)*$F1209-N($G1209))</f>
        <v/>
      </c>
      <c r="I1209" s="35" t="str">
        <f aca="false">IF($C1209="","",$H1209-$H1209/(1+IFERROR(INDEX(PRODUCTOS!$E$6:$E$105,MATCH($C1209,PRODUCTOS!$A$6:$A$105,0)),IVA_VENTAS)))</f>
        <v/>
      </c>
      <c r="J1209" s="35" t="str">
        <f aca="false">IF($C1209="","",$H1209-$I1209)</f>
        <v/>
      </c>
      <c r="K1209" s="35" t="str">
        <f aca="false">IF($C1209="","",N($E1209)*IFERROR(INDEX(PRODUCTOS!$H$6:$H$105,MATCH($C1209,PRODUCTOS!$A$6:$A$105,0)),0))</f>
        <v/>
      </c>
      <c r="L1209" s="35" t="str">
        <f aca="false">IF($C1209="","",$J1209-$K1209)</f>
        <v/>
      </c>
      <c r="M1209" s="6"/>
      <c r="N1209" s="6"/>
      <c r="O1209" s="46" t="str">
        <f aca="false">IF($A1209="","",DATE(YEAR($A1209),MONTH($A1209),1))</f>
        <v/>
      </c>
    </row>
    <row r="1210" customFormat="false" ht="15" hidden="false" customHeight="false" outlineLevel="0" collapsed="false">
      <c r="A1210" s="44"/>
      <c r="B1210" s="6"/>
      <c r="C1210" s="6"/>
      <c r="D1210" s="8" t="str">
        <f aca="false">IF($C1210="","",IFERROR(INDEX(PRODUCTOS!$B$6:$B$105,MATCH($C1210,PRODUCTOS!$A$6:$A$105,0)),"¿Código?"))</f>
        <v/>
      </c>
      <c r="E1210" s="42"/>
      <c r="F1210" s="35" t="str">
        <f aca="false">IF($C1210="","",IFERROR(INDEX(PRODUCTOS!$D$6:$D$105,MATCH($C1210,PRODUCTOS!$A$6:$A$105,0)),0))</f>
        <v/>
      </c>
      <c r="G1210" s="40"/>
      <c r="H1210" s="35" t="str">
        <f aca="false">IF($C1210="","",N($E1210)*$F1210-N($G1210))</f>
        <v/>
      </c>
      <c r="I1210" s="35" t="str">
        <f aca="false">IF($C1210="","",$H1210-$H1210/(1+IFERROR(INDEX(PRODUCTOS!$E$6:$E$105,MATCH($C1210,PRODUCTOS!$A$6:$A$105,0)),IVA_VENTAS)))</f>
        <v/>
      </c>
      <c r="J1210" s="35" t="str">
        <f aca="false">IF($C1210="","",$H1210-$I1210)</f>
        <v/>
      </c>
      <c r="K1210" s="35" t="str">
        <f aca="false">IF($C1210="","",N($E1210)*IFERROR(INDEX(PRODUCTOS!$H$6:$H$105,MATCH($C1210,PRODUCTOS!$A$6:$A$105,0)),0))</f>
        <v/>
      </c>
      <c r="L1210" s="35" t="str">
        <f aca="false">IF($C1210="","",$J1210-$K1210)</f>
        <v/>
      </c>
      <c r="M1210" s="6"/>
      <c r="N1210" s="6"/>
      <c r="O1210" s="46" t="str">
        <f aca="false">IF($A1210="","",DATE(YEAR($A1210),MONTH($A1210),1))</f>
        <v/>
      </c>
    </row>
    <row r="1211" customFormat="false" ht="15" hidden="false" customHeight="false" outlineLevel="0" collapsed="false">
      <c r="A1211" s="44"/>
      <c r="B1211" s="6"/>
      <c r="C1211" s="6"/>
      <c r="D1211" s="8" t="str">
        <f aca="false">IF($C1211="","",IFERROR(INDEX(PRODUCTOS!$B$6:$B$105,MATCH($C1211,PRODUCTOS!$A$6:$A$105,0)),"¿Código?"))</f>
        <v/>
      </c>
      <c r="E1211" s="42"/>
      <c r="F1211" s="35" t="str">
        <f aca="false">IF($C1211="","",IFERROR(INDEX(PRODUCTOS!$D$6:$D$105,MATCH($C1211,PRODUCTOS!$A$6:$A$105,0)),0))</f>
        <v/>
      </c>
      <c r="G1211" s="40"/>
      <c r="H1211" s="35" t="str">
        <f aca="false">IF($C1211="","",N($E1211)*$F1211-N($G1211))</f>
        <v/>
      </c>
      <c r="I1211" s="35" t="str">
        <f aca="false">IF($C1211="","",$H1211-$H1211/(1+IFERROR(INDEX(PRODUCTOS!$E$6:$E$105,MATCH($C1211,PRODUCTOS!$A$6:$A$105,0)),IVA_VENTAS)))</f>
        <v/>
      </c>
      <c r="J1211" s="35" t="str">
        <f aca="false">IF($C1211="","",$H1211-$I1211)</f>
        <v/>
      </c>
      <c r="K1211" s="35" t="str">
        <f aca="false">IF($C1211="","",N($E1211)*IFERROR(INDEX(PRODUCTOS!$H$6:$H$105,MATCH($C1211,PRODUCTOS!$A$6:$A$105,0)),0))</f>
        <v/>
      </c>
      <c r="L1211" s="35" t="str">
        <f aca="false">IF($C1211="","",$J1211-$K1211)</f>
        <v/>
      </c>
      <c r="M1211" s="6"/>
      <c r="N1211" s="6"/>
      <c r="O1211" s="46" t="str">
        <f aca="false">IF($A1211="","",DATE(YEAR($A1211),MONTH($A1211),1))</f>
        <v/>
      </c>
    </row>
    <row r="1212" customFormat="false" ht="15" hidden="false" customHeight="false" outlineLevel="0" collapsed="false">
      <c r="A1212" s="44"/>
      <c r="B1212" s="6"/>
      <c r="C1212" s="6"/>
      <c r="D1212" s="8" t="str">
        <f aca="false">IF($C1212="","",IFERROR(INDEX(PRODUCTOS!$B$6:$B$105,MATCH($C1212,PRODUCTOS!$A$6:$A$105,0)),"¿Código?"))</f>
        <v/>
      </c>
      <c r="E1212" s="42"/>
      <c r="F1212" s="35" t="str">
        <f aca="false">IF($C1212="","",IFERROR(INDEX(PRODUCTOS!$D$6:$D$105,MATCH($C1212,PRODUCTOS!$A$6:$A$105,0)),0))</f>
        <v/>
      </c>
      <c r="G1212" s="40"/>
      <c r="H1212" s="35" t="str">
        <f aca="false">IF($C1212="","",N($E1212)*$F1212-N($G1212))</f>
        <v/>
      </c>
      <c r="I1212" s="35" t="str">
        <f aca="false">IF($C1212="","",$H1212-$H1212/(1+IFERROR(INDEX(PRODUCTOS!$E$6:$E$105,MATCH($C1212,PRODUCTOS!$A$6:$A$105,0)),IVA_VENTAS)))</f>
        <v/>
      </c>
      <c r="J1212" s="35" t="str">
        <f aca="false">IF($C1212="","",$H1212-$I1212)</f>
        <v/>
      </c>
      <c r="K1212" s="35" t="str">
        <f aca="false">IF($C1212="","",N($E1212)*IFERROR(INDEX(PRODUCTOS!$H$6:$H$105,MATCH($C1212,PRODUCTOS!$A$6:$A$105,0)),0))</f>
        <v/>
      </c>
      <c r="L1212" s="35" t="str">
        <f aca="false">IF($C1212="","",$J1212-$K1212)</f>
        <v/>
      </c>
      <c r="M1212" s="6"/>
      <c r="N1212" s="6"/>
      <c r="O1212" s="46" t="str">
        <f aca="false">IF($A1212="","",DATE(YEAR($A1212),MONTH($A1212),1))</f>
        <v/>
      </c>
    </row>
    <row r="1213" customFormat="false" ht="15" hidden="false" customHeight="false" outlineLevel="0" collapsed="false">
      <c r="A1213" s="44"/>
      <c r="B1213" s="6"/>
      <c r="C1213" s="6"/>
      <c r="D1213" s="8" t="str">
        <f aca="false">IF($C1213="","",IFERROR(INDEX(PRODUCTOS!$B$6:$B$105,MATCH($C1213,PRODUCTOS!$A$6:$A$105,0)),"¿Código?"))</f>
        <v/>
      </c>
      <c r="E1213" s="42"/>
      <c r="F1213" s="35" t="str">
        <f aca="false">IF($C1213="","",IFERROR(INDEX(PRODUCTOS!$D$6:$D$105,MATCH($C1213,PRODUCTOS!$A$6:$A$105,0)),0))</f>
        <v/>
      </c>
      <c r="G1213" s="40"/>
      <c r="H1213" s="35" t="str">
        <f aca="false">IF($C1213="","",N($E1213)*$F1213-N($G1213))</f>
        <v/>
      </c>
      <c r="I1213" s="35" t="str">
        <f aca="false">IF($C1213="","",$H1213-$H1213/(1+IFERROR(INDEX(PRODUCTOS!$E$6:$E$105,MATCH($C1213,PRODUCTOS!$A$6:$A$105,0)),IVA_VENTAS)))</f>
        <v/>
      </c>
      <c r="J1213" s="35" t="str">
        <f aca="false">IF($C1213="","",$H1213-$I1213)</f>
        <v/>
      </c>
      <c r="K1213" s="35" t="str">
        <f aca="false">IF($C1213="","",N($E1213)*IFERROR(INDEX(PRODUCTOS!$H$6:$H$105,MATCH($C1213,PRODUCTOS!$A$6:$A$105,0)),0))</f>
        <v/>
      </c>
      <c r="L1213" s="35" t="str">
        <f aca="false">IF($C1213="","",$J1213-$K1213)</f>
        <v/>
      </c>
      <c r="M1213" s="6"/>
      <c r="N1213" s="6"/>
      <c r="O1213" s="46" t="str">
        <f aca="false">IF($A1213="","",DATE(YEAR($A1213),MONTH($A1213),1))</f>
        <v/>
      </c>
    </row>
    <row r="1214" customFormat="false" ht="15" hidden="false" customHeight="false" outlineLevel="0" collapsed="false">
      <c r="A1214" s="44"/>
      <c r="B1214" s="6"/>
      <c r="C1214" s="6"/>
      <c r="D1214" s="8" t="str">
        <f aca="false">IF($C1214="","",IFERROR(INDEX(PRODUCTOS!$B$6:$B$105,MATCH($C1214,PRODUCTOS!$A$6:$A$105,0)),"¿Código?"))</f>
        <v/>
      </c>
      <c r="E1214" s="42"/>
      <c r="F1214" s="35" t="str">
        <f aca="false">IF($C1214="","",IFERROR(INDEX(PRODUCTOS!$D$6:$D$105,MATCH($C1214,PRODUCTOS!$A$6:$A$105,0)),0))</f>
        <v/>
      </c>
      <c r="G1214" s="40"/>
      <c r="H1214" s="35" t="str">
        <f aca="false">IF($C1214="","",N($E1214)*$F1214-N($G1214))</f>
        <v/>
      </c>
      <c r="I1214" s="35" t="str">
        <f aca="false">IF($C1214="","",$H1214-$H1214/(1+IFERROR(INDEX(PRODUCTOS!$E$6:$E$105,MATCH($C1214,PRODUCTOS!$A$6:$A$105,0)),IVA_VENTAS)))</f>
        <v/>
      </c>
      <c r="J1214" s="35" t="str">
        <f aca="false">IF($C1214="","",$H1214-$I1214)</f>
        <v/>
      </c>
      <c r="K1214" s="35" t="str">
        <f aca="false">IF($C1214="","",N($E1214)*IFERROR(INDEX(PRODUCTOS!$H$6:$H$105,MATCH($C1214,PRODUCTOS!$A$6:$A$105,0)),0))</f>
        <v/>
      </c>
      <c r="L1214" s="35" t="str">
        <f aca="false">IF($C1214="","",$J1214-$K1214)</f>
        <v/>
      </c>
      <c r="M1214" s="6"/>
      <c r="N1214" s="6"/>
      <c r="O1214" s="46" t="str">
        <f aca="false">IF($A1214="","",DATE(YEAR($A1214),MONTH($A1214),1))</f>
        <v/>
      </c>
    </row>
    <row r="1215" customFormat="false" ht="15" hidden="false" customHeight="false" outlineLevel="0" collapsed="false">
      <c r="A1215" s="44"/>
      <c r="B1215" s="6"/>
      <c r="C1215" s="6"/>
      <c r="D1215" s="8" t="str">
        <f aca="false">IF($C1215="","",IFERROR(INDEX(PRODUCTOS!$B$6:$B$105,MATCH($C1215,PRODUCTOS!$A$6:$A$105,0)),"¿Código?"))</f>
        <v/>
      </c>
      <c r="E1215" s="42"/>
      <c r="F1215" s="35" t="str">
        <f aca="false">IF($C1215="","",IFERROR(INDEX(PRODUCTOS!$D$6:$D$105,MATCH($C1215,PRODUCTOS!$A$6:$A$105,0)),0))</f>
        <v/>
      </c>
      <c r="G1215" s="40"/>
      <c r="H1215" s="35" t="str">
        <f aca="false">IF($C1215="","",N($E1215)*$F1215-N($G1215))</f>
        <v/>
      </c>
      <c r="I1215" s="35" t="str">
        <f aca="false">IF($C1215="","",$H1215-$H1215/(1+IFERROR(INDEX(PRODUCTOS!$E$6:$E$105,MATCH($C1215,PRODUCTOS!$A$6:$A$105,0)),IVA_VENTAS)))</f>
        <v/>
      </c>
      <c r="J1215" s="35" t="str">
        <f aca="false">IF($C1215="","",$H1215-$I1215)</f>
        <v/>
      </c>
      <c r="K1215" s="35" t="str">
        <f aca="false">IF($C1215="","",N($E1215)*IFERROR(INDEX(PRODUCTOS!$H$6:$H$105,MATCH($C1215,PRODUCTOS!$A$6:$A$105,0)),0))</f>
        <v/>
      </c>
      <c r="L1215" s="35" t="str">
        <f aca="false">IF($C1215="","",$J1215-$K1215)</f>
        <v/>
      </c>
      <c r="M1215" s="6"/>
      <c r="N1215" s="6"/>
      <c r="O1215" s="46" t="str">
        <f aca="false">IF($A1215="","",DATE(YEAR($A1215),MONTH($A1215),1))</f>
        <v/>
      </c>
    </row>
    <row r="1216" customFormat="false" ht="15" hidden="false" customHeight="false" outlineLevel="0" collapsed="false">
      <c r="A1216" s="44"/>
      <c r="B1216" s="6"/>
      <c r="C1216" s="6"/>
      <c r="D1216" s="8" t="str">
        <f aca="false">IF($C1216="","",IFERROR(INDEX(PRODUCTOS!$B$6:$B$105,MATCH($C1216,PRODUCTOS!$A$6:$A$105,0)),"¿Código?"))</f>
        <v/>
      </c>
      <c r="E1216" s="42"/>
      <c r="F1216" s="35" t="str">
        <f aca="false">IF($C1216="","",IFERROR(INDEX(PRODUCTOS!$D$6:$D$105,MATCH($C1216,PRODUCTOS!$A$6:$A$105,0)),0))</f>
        <v/>
      </c>
      <c r="G1216" s="40"/>
      <c r="H1216" s="35" t="str">
        <f aca="false">IF($C1216="","",N($E1216)*$F1216-N($G1216))</f>
        <v/>
      </c>
      <c r="I1216" s="35" t="str">
        <f aca="false">IF($C1216="","",$H1216-$H1216/(1+IFERROR(INDEX(PRODUCTOS!$E$6:$E$105,MATCH($C1216,PRODUCTOS!$A$6:$A$105,0)),IVA_VENTAS)))</f>
        <v/>
      </c>
      <c r="J1216" s="35" t="str">
        <f aca="false">IF($C1216="","",$H1216-$I1216)</f>
        <v/>
      </c>
      <c r="K1216" s="35" t="str">
        <f aca="false">IF($C1216="","",N($E1216)*IFERROR(INDEX(PRODUCTOS!$H$6:$H$105,MATCH($C1216,PRODUCTOS!$A$6:$A$105,0)),0))</f>
        <v/>
      </c>
      <c r="L1216" s="35" t="str">
        <f aca="false">IF($C1216="","",$J1216-$K1216)</f>
        <v/>
      </c>
      <c r="M1216" s="6"/>
      <c r="N1216" s="6"/>
      <c r="O1216" s="46" t="str">
        <f aca="false">IF($A1216="","",DATE(YEAR($A1216),MONTH($A1216),1))</f>
        <v/>
      </c>
    </row>
    <row r="1217" customFormat="false" ht="15" hidden="false" customHeight="false" outlineLevel="0" collapsed="false">
      <c r="A1217" s="44"/>
      <c r="B1217" s="6"/>
      <c r="C1217" s="6"/>
      <c r="D1217" s="8" t="str">
        <f aca="false">IF($C1217="","",IFERROR(INDEX(PRODUCTOS!$B$6:$B$105,MATCH($C1217,PRODUCTOS!$A$6:$A$105,0)),"¿Código?"))</f>
        <v/>
      </c>
      <c r="E1217" s="42"/>
      <c r="F1217" s="35" t="str">
        <f aca="false">IF($C1217="","",IFERROR(INDEX(PRODUCTOS!$D$6:$D$105,MATCH($C1217,PRODUCTOS!$A$6:$A$105,0)),0))</f>
        <v/>
      </c>
      <c r="G1217" s="40"/>
      <c r="H1217" s="35" t="str">
        <f aca="false">IF($C1217="","",N($E1217)*$F1217-N($G1217))</f>
        <v/>
      </c>
      <c r="I1217" s="35" t="str">
        <f aca="false">IF($C1217="","",$H1217-$H1217/(1+IFERROR(INDEX(PRODUCTOS!$E$6:$E$105,MATCH($C1217,PRODUCTOS!$A$6:$A$105,0)),IVA_VENTAS)))</f>
        <v/>
      </c>
      <c r="J1217" s="35" t="str">
        <f aca="false">IF($C1217="","",$H1217-$I1217)</f>
        <v/>
      </c>
      <c r="K1217" s="35" t="str">
        <f aca="false">IF($C1217="","",N($E1217)*IFERROR(INDEX(PRODUCTOS!$H$6:$H$105,MATCH($C1217,PRODUCTOS!$A$6:$A$105,0)),0))</f>
        <v/>
      </c>
      <c r="L1217" s="35" t="str">
        <f aca="false">IF($C1217="","",$J1217-$K1217)</f>
        <v/>
      </c>
      <c r="M1217" s="6"/>
      <c r="N1217" s="6"/>
      <c r="O1217" s="46" t="str">
        <f aca="false">IF($A1217="","",DATE(YEAR($A1217),MONTH($A1217),1))</f>
        <v/>
      </c>
    </row>
    <row r="1218" customFormat="false" ht="15" hidden="false" customHeight="false" outlineLevel="0" collapsed="false">
      <c r="A1218" s="44"/>
      <c r="B1218" s="6"/>
      <c r="C1218" s="6"/>
      <c r="D1218" s="8" t="str">
        <f aca="false">IF($C1218="","",IFERROR(INDEX(PRODUCTOS!$B$6:$B$105,MATCH($C1218,PRODUCTOS!$A$6:$A$105,0)),"¿Código?"))</f>
        <v/>
      </c>
      <c r="E1218" s="42"/>
      <c r="F1218" s="35" t="str">
        <f aca="false">IF($C1218="","",IFERROR(INDEX(PRODUCTOS!$D$6:$D$105,MATCH($C1218,PRODUCTOS!$A$6:$A$105,0)),0))</f>
        <v/>
      </c>
      <c r="G1218" s="40"/>
      <c r="H1218" s="35" t="str">
        <f aca="false">IF($C1218="","",N($E1218)*$F1218-N($G1218))</f>
        <v/>
      </c>
      <c r="I1218" s="35" t="str">
        <f aca="false">IF($C1218="","",$H1218-$H1218/(1+IFERROR(INDEX(PRODUCTOS!$E$6:$E$105,MATCH($C1218,PRODUCTOS!$A$6:$A$105,0)),IVA_VENTAS)))</f>
        <v/>
      </c>
      <c r="J1218" s="35" t="str">
        <f aca="false">IF($C1218="","",$H1218-$I1218)</f>
        <v/>
      </c>
      <c r="K1218" s="35" t="str">
        <f aca="false">IF($C1218="","",N($E1218)*IFERROR(INDEX(PRODUCTOS!$H$6:$H$105,MATCH($C1218,PRODUCTOS!$A$6:$A$105,0)),0))</f>
        <v/>
      </c>
      <c r="L1218" s="35" t="str">
        <f aca="false">IF($C1218="","",$J1218-$K1218)</f>
        <v/>
      </c>
      <c r="M1218" s="6"/>
      <c r="N1218" s="6"/>
      <c r="O1218" s="46" t="str">
        <f aca="false">IF($A1218="","",DATE(YEAR($A1218),MONTH($A1218),1))</f>
        <v/>
      </c>
    </row>
    <row r="1219" customFormat="false" ht="15" hidden="false" customHeight="false" outlineLevel="0" collapsed="false">
      <c r="A1219" s="44"/>
      <c r="B1219" s="6"/>
      <c r="C1219" s="6"/>
      <c r="D1219" s="8" t="str">
        <f aca="false">IF($C1219="","",IFERROR(INDEX(PRODUCTOS!$B$6:$B$105,MATCH($C1219,PRODUCTOS!$A$6:$A$105,0)),"¿Código?"))</f>
        <v/>
      </c>
      <c r="E1219" s="42"/>
      <c r="F1219" s="35" t="str">
        <f aca="false">IF($C1219="","",IFERROR(INDEX(PRODUCTOS!$D$6:$D$105,MATCH($C1219,PRODUCTOS!$A$6:$A$105,0)),0))</f>
        <v/>
      </c>
      <c r="G1219" s="40"/>
      <c r="H1219" s="35" t="str">
        <f aca="false">IF($C1219="","",N($E1219)*$F1219-N($G1219))</f>
        <v/>
      </c>
      <c r="I1219" s="35" t="str">
        <f aca="false">IF($C1219="","",$H1219-$H1219/(1+IFERROR(INDEX(PRODUCTOS!$E$6:$E$105,MATCH($C1219,PRODUCTOS!$A$6:$A$105,0)),IVA_VENTAS)))</f>
        <v/>
      </c>
      <c r="J1219" s="35" t="str">
        <f aca="false">IF($C1219="","",$H1219-$I1219)</f>
        <v/>
      </c>
      <c r="K1219" s="35" t="str">
        <f aca="false">IF($C1219="","",N($E1219)*IFERROR(INDEX(PRODUCTOS!$H$6:$H$105,MATCH($C1219,PRODUCTOS!$A$6:$A$105,0)),0))</f>
        <v/>
      </c>
      <c r="L1219" s="35" t="str">
        <f aca="false">IF($C1219="","",$J1219-$K1219)</f>
        <v/>
      </c>
      <c r="M1219" s="6"/>
      <c r="N1219" s="6"/>
      <c r="O1219" s="46" t="str">
        <f aca="false">IF($A1219="","",DATE(YEAR($A1219),MONTH($A1219),1))</f>
        <v/>
      </c>
    </row>
    <row r="1220" customFormat="false" ht="15" hidden="false" customHeight="false" outlineLevel="0" collapsed="false">
      <c r="A1220" s="44"/>
      <c r="B1220" s="6"/>
      <c r="C1220" s="6"/>
      <c r="D1220" s="8" t="str">
        <f aca="false">IF($C1220="","",IFERROR(INDEX(PRODUCTOS!$B$6:$B$105,MATCH($C1220,PRODUCTOS!$A$6:$A$105,0)),"¿Código?"))</f>
        <v/>
      </c>
      <c r="E1220" s="42"/>
      <c r="F1220" s="35" t="str">
        <f aca="false">IF($C1220="","",IFERROR(INDEX(PRODUCTOS!$D$6:$D$105,MATCH($C1220,PRODUCTOS!$A$6:$A$105,0)),0))</f>
        <v/>
      </c>
      <c r="G1220" s="40"/>
      <c r="H1220" s="35" t="str">
        <f aca="false">IF($C1220="","",N($E1220)*$F1220-N($G1220))</f>
        <v/>
      </c>
      <c r="I1220" s="35" t="str">
        <f aca="false">IF($C1220="","",$H1220-$H1220/(1+IFERROR(INDEX(PRODUCTOS!$E$6:$E$105,MATCH($C1220,PRODUCTOS!$A$6:$A$105,0)),IVA_VENTAS)))</f>
        <v/>
      </c>
      <c r="J1220" s="35" t="str">
        <f aca="false">IF($C1220="","",$H1220-$I1220)</f>
        <v/>
      </c>
      <c r="K1220" s="35" t="str">
        <f aca="false">IF($C1220="","",N($E1220)*IFERROR(INDEX(PRODUCTOS!$H$6:$H$105,MATCH($C1220,PRODUCTOS!$A$6:$A$105,0)),0))</f>
        <v/>
      </c>
      <c r="L1220" s="35" t="str">
        <f aca="false">IF($C1220="","",$J1220-$K1220)</f>
        <v/>
      </c>
      <c r="M1220" s="6"/>
      <c r="N1220" s="6"/>
      <c r="O1220" s="46" t="str">
        <f aca="false">IF($A1220="","",DATE(YEAR($A1220),MONTH($A1220),1))</f>
        <v/>
      </c>
    </row>
    <row r="1221" customFormat="false" ht="15" hidden="false" customHeight="false" outlineLevel="0" collapsed="false">
      <c r="A1221" s="44"/>
      <c r="B1221" s="6"/>
      <c r="C1221" s="6"/>
      <c r="D1221" s="8" t="str">
        <f aca="false">IF($C1221="","",IFERROR(INDEX(PRODUCTOS!$B$6:$B$105,MATCH($C1221,PRODUCTOS!$A$6:$A$105,0)),"¿Código?"))</f>
        <v/>
      </c>
      <c r="E1221" s="42"/>
      <c r="F1221" s="35" t="str">
        <f aca="false">IF($C1221="","",IFERROR(INDEX(PRODUCTOS!$D$6:$D$105,MATCH($C1221,PRODUCTOS!$A$6:$A$105,0)),0))</f>
        <v/>
      </c>
      <c r="G1221" s="40"/>
      <c r="H1221" s="35" t="str">
        <f aca="false">IF($C1221="","",N($E1221)*$F1221-N($G1221))</f>
        <v/>
      </c>
      <c r="I1221" s="35" t="str">
        <f aca="false">IF($C1221="","",$H1221-$H1221/(1+IFERROR(INDEX(PRODUCTOS!$E$6:$E$105,MATCH($C1221,PRODUCTOS!$A$6:$A$105,0)),IVA_VENTAS)))</f>
        <v/>
      </c>
      <c r="J1221" s="35" t="str">
        <f aca="false">IF($C1221="","",$H1221-$I1221)</f>
        <v/>
      </c>
      <c r="K1221" s="35" t="str">
        <f aca="false">IF($C1221="","",N($E1221)*IFERROR(INDEX(PRODUCTOS!$H$6:$H$105,MATCH($C1221,PRODUCTOS!$A$6:$A$105,0)),0))</f>
        <v/>
      </c>
      <c r="L1221" s="35" t="str">
        <f aca="false">IF($C1221="","",$J1221-$K1221)</f>
        <v/>
      </c>
      <c r="M1221" s="6"/>
      <c r="N1221" s="6"/>
      <c r="O1221" s="46" t="str">
        <f aca="false">IF($A1221="","",DATE(YEAR($A1221),MONTH($A1221),1))</f>
        <v/>
      </c>
    </row>
    <row r="1222" customFormat="false" ht="15" hidden="false" customHeight="false" outlineLevel="0" collapsed="false">
      <c r="A1222" s="44"/>
      <c r="B1222" s="6"/>
      <c r="C1222" s="6"/>
      <c r="D1222" s="8" t="str">
        <f aca="false">IF($C1222="","",IFERROR(INDEX(PRODUCTOS!$B$6:$B$105,MATCH($C1222,PRODUCTOS!$A$6:$A$105,0)),"¿Código?"))</f>
        <v/>
      </c>
      <c r="E1222" s="42"/>
      <c r="F1222" s="35" t="str">
        <f aca="false">IF($C1222="","",IFERROR(INDEX(PRODUCTOS!$D$6:$D$105,MATCH($C1222,PRODUCTOS!$A$6:$A$105,0)),0))</f>
        <v/>
      </c>
      <c r="G1222" s="40"/>
      <c r="H1222" s="35" t="str">
        <f aca="false">IF($C1222="","",N($E1222)*$F1222-N($G1222))</f>
        <v/>
      </c>
      <c r="I1222" s="35" t="str">
        <f aca="false">IF($C1222="","",$H1222-$H1222/(1+IFERROR(INDEX(PRODUCTOS!$E$6:$E$105,MATCH($C1222,PRODUCTOS!$A$6:$A$105,0)),IVA_VENTAS)))</f>
        <v/>
      </c>
      <c r="J1222" s="35" t="str">
        <f aca="false">IF($C1222="","",$H1222-$I1222)</f>
        <v/>
      </c>
      <c r="K1222" s="35" t="str">
        <f aca="false">IF($C1222="","",N($E1222)*IFERROR(INDEX(PRODUCTOS!$H$6:$H$105,MATCH($C1222,PRODUCTOS!$A$6:$A$105,0)),0))</f>
        <v/>
      </c>
      <c r="L1222" s="35" t="str">
        <f aca="false">IF($C1222="","",$J1222-$K1222)</f>
        <v/>
      </c>
      <c r="M1222" s="6"/>
      <c r="N1222" s="6"/>
      <c r="O1222" s="46" t="str">
        <f aca="false">IF($A1222="","",DATE(YEAR($A1222),MONTH($A1222),1))</f>
        <v/>
      </c>
    </row>
    <row r="1223" customFormat="false" ht="15" hidden="false" customHeight="false" outlineLevel="0" collapsed="false">
      <c r="A1223" s="44"/>
      <c r="B1223" s="6"/>
      <c r="C1223" s="6"/>
      <c r="D1223" s="8" t="str">
        <f aca="false">IF($C1223="","",IFERROR(INDEX(PRODUCTOS!$B$6:$B$105,MATCH($C1223,PRODUCTOS!$A$6:$A$105,0)),"¿Código?"))</f>
        <v/>
      </c>
      <c r="E1223" s="42"/>
      <c r="F1223" s="35" t="str">
        <f aca="false">IF($C1223="","",IFERROR(INDEX(PRODUCTOS!$D$6:$D$105,MATCH($C1223,PRODUCTOS!$A$6:$A$105,0)),0))</f>
        <v/>
      </c>
      <c r="G1223" s="40"/>
      <c r="H1223" s="35" t="str">
        <f aca="false">IF($C1223="","",N($E1223)*$F1223-N($G1223))</f>
        <v/>
      </c>
      <c r="I1223" s="35" t="str">
        <f aca="false">IF($C1223="","",$H1223-$H1223/(1+IFERROR(INDEX(PRODUCTOS!$E$6:$E$105,MATCH($C1223,PRODUCTOS!$A$6:$A$105,0)),IVA_VENTAS)))</f>
        <v/>
      </c>
      <c r="J1223" s="35" t="str">
        <f aca="false">IF($C1223="","",$H1223-$I1223)</f>
        <v/>
      </c>
      <c r="K1223" s="35" t="str">
        <f aca="false">IF($C1223="","",N($E1223)*IFERROR(INDEX(PRODUCTOS!$H$6:$H$105,MATCH($C1223,PRODUCTOS!$A$6:$A$105,0)),0))</f>
        <v/>
      </c>
      <c r="L1223" s="35" t="str">
        <f aca="false">IF($C1223="","",$J1223-$K1223)</f>
        <v/>
      </c>
      <c r="M1223" s="6"/>
      <c r="N1223" s="6"/>
      <c r="O1223" s="46" t="str">
        <f aca="false">IF($A1223="","",DATE(YEAR($A1223),MONTH($A1223),1))</f>
        <v/>
      </c>
    </row>
    <row r="1224" customFormat="false" ht="15" hidden="false" customHeight="false" outlineLevel="0" collapsed="false">
      <c r="A1224" s="44"/>
      <c r="B1224" s="6"/>
      <c r="C1224" s="6"/>
      <c r="D1224" s="8" t="str">
        <f aca="false">IF($C1224="","",IFERROR(INDEX(PRODUCTOS!$B$6:$B$105,MATCH($C1224,PRODUCTOS!$A$6:$A$105,0)),"¿Código?"))</f>
        <v/>
      </c>
      <c r="E1224" s="42"/>
      <c r="F1224" s="35" t="str">
        <f aca="false">IF($C1224="","",IFERROR(INDEX(PRODUCTOS!$D$6:$D$105,MATCH($C1224,PRODUCTOS!$A$6:$A$105,0)),0))</f>
        <v/>
      </c>
      <c r="G1224" s="40"/>
      <c r="H1224" s="35" t="str">
        <f aca="false">IF($C1224="","",N($E1224)*$F1224-N($G1224))</f>
        <v/>
      </c>
      <c r="I1224" s="35" t="str">
        <f aca="false">IF($C1224="","",$H1224-$H1224/(1+IFERROR(INDEX(PRODUCTOS!$E$6:$E$105,MATCH($C1224,PRODUCTOS!$A$6:$A$105,0)),IVA_VENTAS)))</f>
        <v/>
      </c>
      <c r="J1224" s="35" t="str">
        <f aca="false">IF($C1224="","",$H1224-$I1224)</f>
        <v/>
      </c>
      <c r="K1224" s="35" t="str">
        <f aca="false">IF($C1224="","",N($E1224)*IFERROR(INDEX(PRODUCTOS!$H$6:$H$105,MATCH($C1224,PRODUCTOS!$A$6:$A$105,0)),0))</f>
        <v/>
      </c>
      <c r="L1224" s="35" t="str">
        <f aca="false">IF($C1224="","",$J1224-$K1224)</f>
        <v/>
      </c>
      <c r="M1224" s="6"/>
      <c r="N1224" s="6"/>
      <c r="O1224" s="46" t="str">
        <f aca="false">IF($A1224="","",DATE(YEAR($A1224),MONTH($A1224),1))</f>
        <v/>
      </c>
    </row>
    <row r="1225" customFormat="false" ht="15" hidden="false" customHeight="false" outlineLevel="0" collapsed="false">
      <c r="A1225" s="44"/>
      <c r="B1225" s="6"/>
      <c r="C1225" s="6"/>
      <c r="D1225" s="8" t="str">
        <f aca="false">IF($C1225="","",IFERROR(INDEX(PRODUCTOS!$B$6:$B$105,MATCH($C1225,PRODUCTOS!$A$6:$A$105,0)),"¿Código?"))</f>
        <v/>
      </c>
      <c r="E1225" s="42"/>
      <c r="F1225" s="35" t="str">
        <f aca="false">IF($C1225="","",IFERROR(INDEX(PRODUCTOS!$D$6:$D$105,MATCH($C1225,PRODUCTOS!$A$6:$A$105,0)),0))</f>
        <v/>
      </c>
      <c r="G1225" s="40"/>
      <c r="H1225" s="35" t="str">
        <f aca="false">IF($C1225="","",N($E1225)*$F1225-N($G1225))</f>
        <v/>
      </c>
      <c r="I1225" s="35" t="str">
        <f aca="false">IF($C1225="","",$H1225-$H1225/(1+IFERROR(INDEX(PRODUCTOS!$E$6:$E$105,MATCH($C1225,PRODUCTOS!$A$6:$A$105,0)),IVA_VENTAS)))</f>
        <v/>
      </c>
      <c r="J1225" s="35" t="str">
        <f aca="false">IF($C1225="","",$H1225-$I1225)</f>
        <v/>
      </c>
      <c r="K1225" s="35" t="str">
        <f aca="false">IF($C1225="","",N($E1225)*IFERROR(INDEX(PRODUCTOS!$H$6:$H$105,MATCH($C1225,PRODUCTOS!$A$6:$A$105,0)),0))</f>
        <v/>
      </c>
      <c r="L1225" s="35" t="str">
        <f aca="false">IF($C1225="","",$J1225-$K1225)</f>
        <v/>
      </c>
      <c r="M1225" s="6"/>
      <c r="N1225" s="6"/>
      <c r="O1225" s="46" t="str">
        <f aca="false">IF($A1225="","",DATE(YEAR($A1225),MONTH($A1225),1))</f>
        <v/>
      </c>
    </row>
    <row r="1226" customFormat="false" ht="15" hidden="false" customHeight="false" outlineLevel="0" collapsed="false">
      <c r="A1226" s="44"/>
      <c r="B1226" s="6"/>
      <c r="C1226" s="6"/>
      <c r="D1226" s="8" t="str">
        <f aca="false">IF($C1226="","",IFERROR(INDEX(PRODUCTOS!$B$6:$B$105,MATCH($C1226,PRODUCTOS!$A$6:$A$105,0)),"¿Código?"))</f>
        <v/>
      </c>
      <c r="E1226" s="42"/>
      <c r="F1226" s="35" t="str">
        <f aca="false">IF($C1226="","",IFERROR(INDEX(PRODUCTOS!$D$6:$D$105,MATCH($C1226,PRODUCTOS!$A$6:$A$105,0)),0))</f>
        <v/>
      </c>
      <c r="G1226" s="40"/>
      <c r="H1226" s="35" t="str">
        <f aca="false">IF($C1226="","",N($E1226)*$F1226-N($G1226))</f>
        <v/>
      </c>
      <c r="I1226" s="35" t="str">
        <f aca="false">IF($C1226="","",$H1226-$H1226/(1+IFERROR(INDEX(PRODUCTOS!$E$6:$E$105,MATCH($C1226,PRODUCTOS!$A$6:$A$105,0)),IVA_VENTAS)))</f>
        <v/>
      </c>
      <c r="J1226" s="35" t="str">
        <f aca="false">IF($C1226="","",$H1226-$I1226)</f>
        <v/>
      </c>
      <c r="K1226" s="35" t="str">
        <f aca="false">IF($C1226="","",N($E1226)*IFERROR(INDEX(PRODUCTOS!$H$6:$H$105,MATCH($C1226,PRODUCTOS!$A$6:$A$105,0)),0))</f>
        <v/>
      </c>
      <c r="L1226" s="35" t="str">
        <f aca="false">IF($C1226="","",$J1226-$K1226)</f>
        <v/>
      </c>
      <c r="M1226" s="6"/>
      <c r="N1226" s="6"/>
      <c r="O1226" s="46" t="str">
        <f aca="false">IF($A1226="","",DATE(YEAR($A1226),MONTH($A1226),1))</f>
        <v/>
      </c>
    </row>
    <row r="1227" customFormat="false" ht="15" hidden="false" customHeight="false" outlineLevel="0" collapsed="false">
      <c r="A1227" s="44"/>
      <c r="B1227" s="6"/>
      <c r="C1227" s="6"/>
      <c r="D1227" s="8" t="str">
        <f aca="false">IF($C1227="","",IFERROR(INDEX(PRODUCTOS!$B$6:$B$105,MATCH($C1227,PRODUCTOS!$A$6:$A$105,0)),"¿Código?"))</f>
        <v/>
      </c>
      <c r="E1227" s="42"/>
      <c r="F1227" s="35" t="str">
        <f aca="false">IF($C1227="","",IFERROR(INDEX(PRODUCTOS!$D$6:$D$105,MATCH($C1227,PRODUCTOS!$A$6:$A$105,0)),0))</f>
        <v/>
      </c>
      <c r="G1227" s="40"/>
      <c r="H1227" s="35" t="str">
        <f aca="false">IF($C1227="","",N($E1227)*$F1227-N($G1227))</f>
        <v/>
      </c>
      <c r="I1227" s="35" t="str">
        <f aca="false">IF($C1227="","",$H1227-$H1227/(1+IFERROR(INDEX(PRODUCTOS!$E$6:$E$105,MATCH($C1227,PRODUCTOS!$A$6:$A$105,0)),IVA_VENTAS)))</f>
        <v/>
      </c>
      <c r="J1227" s="35" t="str">
        <f aca="false">IF($C1227="","",$H1227-$I1227)</f>
        <v/>
      </c>
      <c r="K1227" s="35" t="str">
        <f aca="false">IF($C1227="","",N($E1227)*IFERROR(INDEX(PRODUCTOS!$H$6:$H$105,MATCH($C1227,PRODUCTOS!$A$6:$A$105,0)),0))</f>
        <v/>
      </c>
      <c r="L1227" s="35" t="str">
        <f aca="false">IF($C1227="","",$J1227-$K1227)</f>
        <v/>
      </c>
      <c r="M1227" s="6"/>
      <c r="N1227" s="6"/>
      <c r="O1227" s="46" t="str">
        <f aca="false">IF($A1227="","",DATE(YEAR($A1227),MONTH($A1227),1))</f>
        <v/>
      </c>
    </row>
    <row r="1228" customFormat="false" ht="15" hidden="false" customHeight="false" outlineLevel="0" collapsed="false">
      <c r="A1228" s="44"/>
      <c r="B1228" s="6"/>
      <c r="C1228" s="6"/>
      <c r="D1228" s="8" t="str">
        <f aca="false">IF($C1228="","",IFERROR(INDEX(PRODUCTOS!$B$6:$B$105,MATCH($C1228,PRODUCTOS!$A$6:$A$105,0)),"¿Código?"))</f>
        <v/>
      </c>
      <c r="E1228" s="42"/>
      <c r="F1228" s="35" t="str">
        <f aca="false">IF($C1228="","",IFERROR(INDEX(PRODUCTOS!$D$6:$D$105,MATCH($C1228,PRODUCTOS!$A$6:$A$105,0)),0))</f>
        <v/>
      </c>
      <c r="G1228" s="40"/>
      <c r="H1228" s="35" t="str">
        <f aca="false">IF($C1228="","",N($E1228)*$F1228-N($G1228))</f>
        <v/>
      </c>
      <c r="I1228" s="35" t="str">
        <f aca="false">IF($C1228="","",$H1228-$H1228/(1+IFERROR(INDEX(PRODUCTOS!$E$6:$E$105,MATCH($C1228,PRODUCTOS!$A$6:$A$105,0)),IVA_VENTAS)))</f>
        <v/>
      </c>
      <c r="J1228" s="35" t="str">
        <f aca="false">IF($C1228="","",$H1228-$I1228)</f>
        <v/>
      </c>
      <c r="K1228" s="35" t="str">
        <f aca="false">IF($C1228="","",N($E1228)*IFERROR(INDEX(PRODUCTOS!$H$6:$H$105,MATCH($C1228,PRODUCTOS!$A$6:$A$105,0)),0))</f>
        <v/>
      </c>
      <c r="L1228" s="35" t="str">
        <f aca="false">IF($C1228="","",$J1228-$K1228)</f>
        <v/>
      </c>
      <c r="M1228" s="6"/>
      <c r="N1228" s="6"/>
      <c r="O1228" s="46" t="str">
        <f aca="false">IF($A1228="","",DATE(YEAR($A1228),MONTH($A1228),1))</f>
        <v/>
      </c>
    </row>
    <row r="1229" customFormat="false" ht="15" hidden="false" customHeight="false" outlineLevel="0" collapsed="false">
      <c r="A1229" s="44"/>
      <c r="B1229" s="6"/>
      <c r="C1229" s="6"/>
      <c r="D1229" s="8" t="str">
        <f aca="false">IF($C1229="","",IFERROR(INDEX(PRODUCTOS!$B$6:$B$105,MATCH($C1229,PRODUCTOS!$A$6:$A$105,0)),"¿Código?"))</f>
        <v/>
      </c>
      <c r="E1229" s="42"/>
      <c r="F1229" s="35" t="str">
        <f aca="false">IF($C1229="","",IFERROR(INDEX(PRODUCTOS!$D$6:$D$105,MATCH($C1229,PRODUCTOS!$A$6:$A$105,0)),0))</f>
        <v/>
      </c>
      <c r="G1229" s="40"/>
      <c r="H1229" s="35" t="str">
        <f aca="false">IF($C1229="","",N($E1229)*$F1229-N($G1229))</f>
        <v/>
      </c>
      <c r="I1229" s="35" t="str">
        <f aca="false">IF($C1229="","",$H1229-$H1229/(1+IFERROR(INDEX(PRODUCTOS!$E$6:$E$105,MATCH($C1229,PRODUCTOS!$A$6:$A$105,0)),IVA_VENTAS)))</f>
        <v/>
      </c>
      <c r="J1229" s="35" t="str">
        <f aca="false">IF($C1229="","",$H1229-$I1229)</f>
        <v/>
      </c>
      <c r="K1229" s="35" t="str">
        <f aca="false">IF($C1229="","",N($E1229)*IFERROR(INDEX(PRODUCTOS!$H$6:$H$105,MATCH($C1229,PRODUCTOS!$A$6:$A$105,0)),0))</f>
        <v/>
      </c>
      <c r="L1229" s="35" t="str">
        <f aca="false">IF($C1229="","",$J1229-$K1229)</f>
        <v/>
      </c>
      <c r="M1229" s="6"/>
      <c r="N1229" s="6"/>
      <c r="O1229" s="46" t="str">
        <f aca="false">IF($A1229="","",DATE(YEAR($A1229),MONTH($A1229),1))</f>
        <v/>
      </c>
    </row>
    <row r="1230" customFormat="false" ht="15" hidden="false" customHeight="false" outlineLevel="0" collapsed="false">
      <c r="A1230" s="44"/>
      <c r="B1230" s="6"/>
      <c r="C1230" s="6"/>
      <c r="D1230" s="8" t="str">
        <f aca="false">IF($C1230="","",IFERROR(INDEX(PRODUCTOS!$B$6:$B$105,MATCH($C1230,PRODUCTOS!$A$6:$A$105,0)),"¿Código?"))</f>
        <v/>
      </c>
      <c r="E1230" s="42"/>
      <c r="F1230" s="35" t="str">
        <f aca="false">IF($C1230="","",IFERROR(INDEX(PRODUCTOS!$D$6:$D$105,MATCH($C1230,PRODUCTOS!$A$6:$A$105,0)),0))</f>
        <v/>
      </c>
      <c r="G1230" s="40"/>
      <c r="H1230" s="35" t="str">
        <f aca="false">IF($C1230="","",N($E1230)*$F1230-N($G1230))</f>
        <v/>
      </c>
      <c r="I1230" s="35" t="str">
        <f aca="false">IF($C1230="","",$H1230-$H1230/(1+IFERROR(INDEX(PRODUCTOS!$E$6:$E$105,MATCH($C1230,PRODUCTOS!$A$6:$A$105,0)),IVA_VENTAS)))</f>
        <v/>
      </c>
      <c r="J1230" s="35" t="str">
        <f aca="false">IF($C1230="","",$H1230-$I1230)</f>
        <v/>
      </c>
      <c r="K1230" s="35" t="str">
        <f aca="false">IF($C1230="","",N($E1230)*IFERROR(INDEX(PRODUCTOS!$H$6:$H$105,MATCH($C1230,PRODUCTOS!$A$6:$A$105,0)),0))</f>
        <v/>
      </c>
      <c r="L1230" s="35" t="str">
        <f aca="false">IF($C1230="","",$J1230-$K1230)</f>
        <v/>
      </c>
      <c r="M1230" s="6"/>
      <c r="N1230" s="6"/>
      <c r="O1230" s="46" t="str">
        <f aca="false">IF($A1230="","",DATE(YEAR($A1230),MONTH($A1230),1))</f>
        <v/>
      </c>
    </row>
    <row r="1231" customFormat="false" ht="15" hidden="false" customHeight="false" outlineLevel="0" collapsed="false">
      <c r="A1231" s="44"/>
      <c r="B1231" s="6"/>
      <c r="C1231" s="6"/>
      <c r="D1231" s="8" t="str">
        <f aca="false">IF($C1231="","",IFERROR(INDEX(PRODUCTOS!$B$6:$B$105,MATCH($C1231,PRODUCTOS!$A$6:$A$105,0)),"¿Código?"))</f>
        <v/>
      </c>
      <c r="E1231" s="42"/>
      <c r="F1231" s="35" t="str">
        <f aca="false">IF($C1231="","",IFERROR(INDEX(PRODUCTOS!$D$6:$D$105,MATCH($C1231,PRODUCTOS!$A$6:$A$105,0)),0))</f>
        <v/>
      </c>
      <c r="G1231" s="40"/>
      <c r="H1231" s="35" t="str">
        <f aca="false">IF($C1231="","",N($E1231)*$F1231-N($G1231))</f>
        <v/>
      </c>
      <c r="I1231" s="35" t="str">
        <f aca="false">IF($C1231="","",$H1231-$H1231/(1+IFERROR(INDEX(PRODUCTOS!$E$6:$E$105,MATCH($C1231,PRODUCTOS!$A$6:$A$105,0)),IVA_VENTAS)))</f>
        <v/>
      </c>
      <c r="J1231" s="35" t="str">
        <f aca="false">IF($C1231="","",$H1231-$I1231)</f>
        <v/>
      </c>
      <c r="K1231" s="35" t="str">
        <f aca="false">IF($C1231="","",N($E1231)*IFERROR(INDEX(PRODUCTOS!$H$6:$H$105,MATCH($C1231,PRODUCTOS!$A$6:$A$105,0)),0))</f>
        <v/>
      </c>
      <c r="L1231" s="35" t="str">
        <f aca="false">IF($C1231="","",$J1231-$K1231)</f>
        <v/>
      </c>
      <c r="M1231" s="6"/>
      <c r="N1231" s="6"/>
      <c r="O1231" s="46" t="str">
        <f aca="false">IF($A1231="","",DATE(YEAR($A1231),MONTH($A1231),1))</f>
        <v/>
      </c>
    </row>
    <row r="1232" customFormat="false" ht="15" hidden="false" customHeight="false" outlineLevel="0" collapsed="false">
      <c r="A1232" s="44"/>
      <c r="B1232" s="6"/>
      <c r="C1232" s="6"/>
      <c r="D1232" s="8" t="str">
        <f aca="false">IF($C1232="","",IFERROR(INDEX(PRODUCTOS!$B$6:$B$105,MATCH($C1232,PRODUCTOS!$A$6:$A$105,0)),"¿Código?"))</f>
        <v/>
      </c>
      <c r="E1232" s="42"/>
      <c r="F1232" s="35" t="str">
        <f aca="false">IF($C1232="","",IFERROR(INDEX(PRODUCTOS!$D$6:$D$105,MATCH($C1232,PRODUCTOS!$A$6:$A$105,0)),0))</f>
        <v/>
      </c>
      <c r="G1232" s="40"/>
      <c r="H1232" s="35" t="str">
        <f aca="false">IF($C1232="","",N($E1232)*$F1232-N($G1232))</f>
        <v/>
      </c>
      <c r="I1232" s="35" t="str">
        <f aca="false">IF($C1232="","",$H1232-$H1232/(1+IFERROR(INDEX(PRODUCTOS!$E$6:$E$105,MATCH($C1232,PRODUCTOS!$A$6:$A$105,0)),IVA_VENTAS)))</f>
        <v/>
      </c>
      <c r="J1232" s="35" t="str">
        <f aca="false">IF($C1232="","",$H1232-$I1232)</f>
        <v/>
      </c>
      <c r="K1232" s="35" t="str">
        <f aca="false">IF($C1232="","",N($E1232)*IFERROR(INDEX(PRODUCTOS!$H$6:$H$105,MATCH($C1232,PRODUCTOS!$A$6:$A$105,0)),0))</f>
        <v/>
      </c>
      <c r="L1232" s="35" t="str">
        <f aca="false">IF($C1232="","",$J1232-$K1232)</f>
        <v/>
      </c>
      <c r="M1232" s="6"/>
      <c r="N1232" s="6"/>
      <c r="O1232" s="46" t="str">
        <f aca="false">IF($A1232="","",DATE(YEAR($A1232),MONTH($A1232),1))</f>
        <v/>
      </c>
    </row>
    <row r="1233" customFormat="false" ht="15" hidden="false" customHeight="false" outlineLevel="0" collapsed="false">
      <c r="A1233" s="44"/>
      <c r="B1233" s="6"/>
      <c r="C1233" s="6"/>
      <c r="D1233" s="8" t="str">
        <f aca="false">IF($C1233="","",IFERROR(INDEX(PRODUCTOS!$B$6:$B$105,MATCH($C1233,PRODUCTOS!$A$6:$A$105,0)),"¿Código?"))</f>
        <v/>
      </c>
      <c r="E1233" s="42"/>
      <c r="F1233" s="35" t="str">
        <f aca="false">IF($C1233="","",IFERROR(INDEX(PRODUCTOS!$D$6:$D$105,MATCH($C1233,PRODUCTOS!$A$6:$A$105,0)),0))</f>
        <v/>
      </c>
      <c r="G1233" s="40"/>
      <c r="H1233" s="35" t="str">
        <f aca="false">IF($C1233="","",N($E1233)*$F1233-N($G1233))</f>
        <v/>
      </c>
      <c r="I1233" s="35" t="str">
        <f aca="false">IF($C1233="","",$H1233-$H1233/(1+IFERROR(INDEX(PRODUCTOS!$E$6:$E$105,MATCH($C1233,PRODUCTOS!$A$6:$A$105,0)),IVA_VENTAS)))</f>
        <v/>
      </c>
      <c r="J1233" s="35" t="str">
        <f aca="false">IF($C1233="","",$H1233-$I1233)</f>
        <v/>
      </c>
      <c r="K1233" s="35" t="str">
        <f aca="false">IF($C1233="","",N($E1233)*IFERROR(INDEX(PRODUCTOS!$H$6:$H$105,MATCH($C1233,PRODUCTOS!$A$6:$A$105,0)),0))</f>
        <v/>
      </c>
      <c r="L1233" s="35" t="str">
        <f aca="false">IF($C1233="","",$J1233-$K1233)</f>
        <v/>
      </c>
      <c r="M1233" s="6"/>
      <c r="N1233" s="6"/>
      <c r="O1233" s="46" t="str">
        <f aca="false">IF($A1233="","",DATE(YEAR($A1233),MONTH($A1233),1))</f>
        <v/>
      </c>
    </row>
    <row r="1234" customFormat="false" ht="15" hidden="false" customHeight="false" outlineLevel="0" collapsed="false">
      <c r="A1234" s="44"/>
      <c r="B1234" s="6"/>
      <c r="C1234" s="6"/>
      <c r="D1234" s="8" t="str">
        <f aca="false">IF($C1234="","",IFERROR(INDEX(PRODUCTOS!$B$6:$B$105,MATCH($C1234,PRODUCTOS!$A$6:$A$105,0)),"¿Código?"))</f>
        <v/>
      </c>
      <c r="E1234" s="42"/>
      <c r="F1234" s="35" t="str">
        <f aca="false">IF($C1234="","",IFERROR(INDEX(PRODUCTOS!$D$6:$D$105,MATCH($C1234,PRODUCTOS!$A$6:$A$105,0)),0))</f>
        <v/>
      </c>
      <c r="G1234" s="40"/>
      <c r="H1234" s="35" t="str">
        <f aca="false">IF($C1234="","",N($E1234)*$F1234-N($G1234))</f>
        <v/>
      </c>
      <c r="I1234" s="35" t="str">
        <f aca="false">IF($C1234="","",$H1234-$H1234/(1+IFERROR(INDEX(PRODUCTOS!$E$6:$E$105,MATCH($C1234,PRODUCTOS!$A$6:$A$105,0)),IVA_VENTAS)))</f>
        <v/>
      </c>
      <c r="J1234" s="35" t="str">
        <f aca="false">IF($C1234="","",$H1234-$I1234)</f>
        <v/>
      </c>
      <c r="K1234" s="35" t="str">
        <f aca="false">IF($C1234="","",N($E1234)*IFERROR(INDEX(PRODUCTOS!$H$6:$H$105,MATCH($C1234,PRODUCTOS!$A$6:$A$105,0)),0))</f>
        <v/>
      </c>
      <c r="L1234" s="35" t="str">
        <f aca="false">IF($C1234="","",$J1234-$K1234)</f>
        <v/>
      </c>
      <c r="M1234" s="6"/>
      <c r="N1234" s="6"/>
      <c r="O1234" s="46" t="str">
        <f aca="false">IF($A1234="","",DATE(YEAR($A1234),MONTH($A1234),1))</f>
        <v/>
      </c>
    </row>
    <row r="1235" customFormat="false" ht="15" hidden="false" customHeight="false" outlineLevel="0" collapsed="false">
      <c r="A1235" s="44"/>
      <c r="B1235" s="6"/>
      <c r="C1235" s="6"/>
      <c r="D1235" s="8" t="str">
        <f aca="false">IF($C1235="","",IFERROR(INDEX(PRODUCTOS!$B$6:$B$105,MATCH($C1235,PRODUCTOS!$A$6:$A$105,0)),"¿Código?"))</f>
        <v/>
      </c>
      <c r="E1235" s="42"/>
      <c r="F1235" s="35" t="str">
        <f aca="false">IF($C1235="","",IFERROR(INDEX(PRODUCTOS!$D$6:$D$105,MATCH($C1235,PRODUCTOS!$A$6:$A$105,0)),0))</f>
        <v/>
      </c>
      <c r="G1235" s="40"/>
      <c r="H1235" s="35" t="str">
        <f aca="false">IF($C1235="","",N($E1235)*$F1235-N($G1235))</f>
        <v/>
      </c>
      <c r="I1235" s="35" t="str">
        <f aca="false">IF($C1235="","",$H1235-$H1235/(1+IFERROR(INDEX(PRODUCTOS!$E$6:$E$105,MATCH($C1235,PRODUCTOS!$A$6:$A$105,0)),IVA_VENTAS)))</f>
        <v/>
      </c>
      <c r="J1235" s="35" t="str">
        <f aca="false">IF($C1235="","",$H1235-$I1235)</f>
        <v/>
      </c>
      <c r="K1235" s="35" t="str">
        <f aca="false">IF($C1235="","",N($E1235)*IFERROR(INDEX(PRODUCTOS!$H$6:$H$105,MATCH($C1235,PRODUCTOS!$A$6:$A$105,0)),0))</f>
        <v/>
      </c>
      <c r="L1235" s="35" t="str">
        <f aca="false">IF($C1235="","",$J1235-$K1235)</f>
        <v/>
      </c>
      <c r="M1235" s="6"/>
      <c r="N1235" s="6"/>
      <c r="O1235" s="46" t="str">
        <f aca="false">IF($A1235="","",DATE(YEAR($A1235),MONTH($A1235),1))</f>
        <v/>
      </c>
    </row>
    <row r="1236" customFormat="false" ht="15" hidden="false" customHeight="false" outlineLevel="0" collapsed="false">
      <c r="A1236" s="44"/>
      <c r="B1236" s="6"/>
      <c r="C1236" s="6"/>
      <c r="D1236" s="8" t="str">
        <f aca="false">IF($C1236="","",IFERROR(INDEX(PRODUCTOS!$B$6:$B$105,MATCH($C1236,PRODUCTOS!$A$6:$A$105,0)),"¿Código?"))</f>
        <v/>
      </c>
      <c r="E1236" s="42"/>
      <c r="F1236" s="35" t="str">
        <f aca="false">IF($C1236="","",IFERROR(INDEX(PRODUCTOS!$D$6:$D$105,MATCH($C1236,PRODUCTOS!$A$6:$A$105,0)),0))</f>
        <v/>
      </c>
      <c r="G1236" s="40"/>
      <c r="H1236" s="35" t="str">
        <f aca="false">IF($C1236="","",N($E1236)*$F1236-N($G1236))</f>
        <v/>
      </c>
      <c r="I1236" s="35" t="str">
        <f aca="false">IF($C1236="","",$H1236-$H1236/(1+IFERROR(INDEX(PRODUCTOS!$E$6:$E$105,MATCH($C1236,PRODUCTOS!$A$6:$A$105,0)),IVA_VENTAS)))</f>
        <v/>
      </c>
      <c r="J1236" s="35" t="str">
        <f aca="false">IF($C1236="","",$H1236-$I1236)</f>
        <v/>
      </c>
      <c r="K1236" s="35" t="str">
        <f aca="false">IF($C1236="","",N($E1236)*IFERROR(INDEX(PRODUCTOS!$H$6:$H$105,MATCH($C1236,PRODUCTOS!$A$6:$A$105,0)),0))</f>
        <v/>
      </c>
      <c r="L1236" s="35" t="str">
        <f aca="false">IF($C1236="","",$J1236-$K1236)</f>
        <v/>
      </c>
      <c r="M1236" s="6"/>
      <c r="N1236" s="6"/>
      <c r="O1236" s="46" t="str">
        <f aca="false">IF($A1236="","",DATE(YEAR($A1236),MONTH($A1236),1))</f>
        <v/>
      </c>
    </row>
    <row r="1237" customFormat="false" ht="15" hidden="false" customHeight="false" outlineLevel="0" collapsed="false">
      <c r="A1237" s="44"/>
      <c r="B1237" s="6"/>
      <c r="C1237" s="6"/>
      <c r="D1237" s="8" t="str">
        <f aca="false">IF($C1237="","",IFERROR(INDEX(PRODUCTOS!$B$6:$B$105,MATCH($C1237,PRODUCTOS!$A$6:$A$105,0)),"¿Código?"))</f>
        <v/>
      </c>
      <c r="E1237" s="42"/>
      <c r="F1237" s="35" t="str">
        <f aca="false">IF($C1237="","",IFERROR(INDEX(PRODUCTOS!$D$6:$D$105,MATCH($C1237,PRODUCTOS!$A$6:$A$105,0)),0))</f>
        <v/>
      </c>
      <c r="G1237" s="40"/>
      <c r="H1237" s="35" t="str">
        <f aca="false">IF($C1237="","",N($E1237)*$F1237-N($G1237))</f>
        <v/>
      </c>
      <c r="I1237" s="35" t="str">
        <f aca="false">IF($C1237="","",$H1237-$H1237/(1+IFERROR(INDEX(PRODUCTOS!$E$6:$E$105,MATCH($C1237,PRODUCTOS!$A$6:$A$105,0)),IVA_VENTAS)))</f>
        <v/>
      </c>
      <c r="J1237" s="35" t="str">
        <f aca="false">IF($C1237="","",$H1237-$I1237)</f>
        <v/>
      </c>
      <c r="K1237" s="35" t="str">
        <f aca="false">IF($C1237="","",N($E1237)*IFERROR(INDEX(PRODUCTOS!$H$6:$H$105,MATCH($C1237,PRODUCTOS!$A$6:$A$105,0)),0))</f>
        <v/>
      </c>
      <c r="L1237" s="35" t="str">
        <f aca="false">IF($C1237="","",$J1237-$K1237)</f>
        <v/>
      </c>
      <c r="M1237" s="6"/>
      <c r="N1237" s="6"/>
      <c r="O1237" s="46" t="str">
        <f aca="false">IF($A1237="","",DATE(YEAR($A1237),MONTH($A1237),1))</f>
        <v/>
      </c>
    </row>
    <row r="1238" customFormat="false" ht="15" hidden="false" customHeight="false" outlineLevel="0" collapsed="false">
      <c r="A1238" s="44"/>
      <c r="B1238" s="6"/>
      <c r="C1238" s="6"/>
      <c r="D1238" s="8" t="str">
        <f aca="false">IF($C1238="","",IFERROR(INDEX(PRODUCTOS!$B$6:$B$105,MATCH($C1238,PRODUCTOS!$A$6:$A$105,0)),"¿Código?"))</f>
        <v/>
      </c>
      <c r="E1238" s="42"/>
      <c r="F1238" s="35" t="str">
        <f aca="false">IF($C1238="","",IFERROR(INDEX(PRODUCTOS!$D$6:$D$105,MATCH($C1238,PRODUCTOS!$A$6:$A$105,0)),0))</f>
        <v/>
      </c>
      <c r="G1238" s="40"/>
      <c r="H1238" s="35" t="str">
        <f aca="false">IF($C1238="","",N($E1238)*$F1238-N($G1238))</f>
        <v/>
      </c>
      <c r="I1238" s="35" t="str">
        <f aca="false">IF($C1238="","",$H1238-$H1238/(1+IFERROR(INDEX(PRODUCTOS!$E$6:$E$105,MATCH($C1238,PRODUCTOS!$A$6:$A$105,0)),IVA_VENTAS)))</f>
        <v/>
      </c>
      <c r="J1238" s="35" t="str">
        <f aca="false">IF($C1238="","",$H1238-$I1238)</f>
        <v/>
      </c>
      <c r="K1238" s="35" t="str">
        <f aca="false">IF($C1238="","",N($E1238)*IFERROR(INDEX(PRODUCTOS!$H$6:$H$105,MATCH($C1238,PRODUCTOS!$A$6:$A$105,0)),0))</f>
        <v/>
      </c>
      <c r="L1238" s="35" t="str">
        <f aca="false">IF($C1238="","",$J1238-$K1238)</f>
        <v/>
      </c>
      <c r="M1238" s="6"/>
      <c r="N1238" s="6"/>
      <c r="O1238" s="46" t="str">
        <f aca="false">IF($A1238="","",DATE(YEAR($A1238),MONTH($A1238),1))</f>
        <v/>
      </c>
    </row>
    <row r="1239" customFormat="false" ht="15" hidden="false" customHeight="false" outlineLevel="0" collapsed="false">
      <c r="A1239" s="44"/>
      <c r="B1239" s="6"/>
      <c r="C1239" s="6"/>
      <c r="D1239" s="8" t="str">
        <f aca="false">IF($C1239="","",IFERROR(INDEX(PRODUCTOS!$B$6:$B$105,MATCH($C1239,PRODUCTOS!$A$6:$A$105,0)),"¿Código?"))</f>
        <v/>
      </c>
      <c r="E1239" s="42"/>
      <c r="F1239" s="35" t="str">
        <f aca="false">IF($C1239="","",IFERROR(INDEX(PRODUCTOS!$D$6:$D$105,MATCH($C1239,PRODUCTOS!$A$6:$A$105,0)),0))</f>
        <v/>
      </c>
      <c r="G1239" s="40"/>
      <c r="H1239" s="35" t="str">
        <f aca="false">IF($C1239="","",N($E1239)*$F1239-N($G1239))</f>
        <v/>
      </c>
      <c r="I1239" s="35" t="str">
        <f aca="false">IF($C1239="","",$H1239-$H1239/(1+IFERROR(INDEX(PRODUCTOS!$E$6:$E$105,MATCH($C1239,PRODUCTOS!$A$6:$A$105,0)),IVA_VENTAS)))</f>
        <v/>
      </c>
      <c r="J1239" s="35" t="str">
        <f aca="false">IF($C1239="","",$H1239-$I1239)</f>
        <v/>
      </c>
      <c r="K1239" s="35" t="str">
        <f aca="false">IF($C1239="","",N($E1239)*IFERROR(INDEX(PRODUCTOS!$H$6:$H$105,MATCH($C1239,PRODUCTOS!$A$6:$A$105,0)),0))</f>
        <v/>
      </c>
      <c r="L1239" s="35" t="str">
        <f aca="false">IF($C1239="","",$J1239-$K1239)</f>
        <v/>
      </c>
      <c r="M1239" s="6"/>
      <c r="N1239" s="6"/>
      <c r="O1239" s="46" t="str">
        <f aca="false">IF($A1239="","",DATE(YEAR($A1239),MONTH($A1239),1))</f>
        <v/>
      </c>
    </row>
    <row r="1240" customFormat="false" ht="15" hidden="false" customHeight="false" outlineLevel="0" collapsed="false">
      <c r="A1240" s="44"/>
      <c r="B1240" s="6"/>
      <c r="C1240" s="6"/>
      <c r="D1240" s="8" t="str">
        <f aca="false">IF($C1240="","",IFERROR(INDEX(PRODUCTOS!$B$6:$B$105,MATCH($C1240,PRODUCTOS!$A$6:$A$105,0)),"¿Código?"))</f>
        <v/>
      </c>
      <c r="E1240" s="42"/>
      <c r="F1240" s="35" t="str">
        <f aca="false">IF($C1240="","",IFERROR(INDEX(PRODUCTOS!$D$6:$D$105,MATCH($C1240,PRODUCTOS!$A$6:$A$105,0)),0))</f>
        <v/>
      </c>
      <c r="G1240" s="40"/>
      <c r="H1240" s="35" t="str">
        <f aca="false">IF($C1240="","",N($E1240)*$F1240-N($G1240))</f>
        <v/>
      </c>
      <c r="I1240" s="35" t="str">
        <f aca="false">IF($C1240="","",$H1240-$H1240/(1+IFERROR(INDEX(PRODUCTOS!$E$6:$E$105,MATCH($C1240,PRODUCTOS!$A$6:$A$105,0)),IVA_VENTAS)))</f>
        <v/>
      </c>
      <c r="J1240" s="35" t="str">
        <f aca="false">IF($C1240="","",$H1240-$I1240)</f>
        <v/>
      </c>
      <c r="K1240" s="35" t="str">
        <f aca="false">IF($C1240="","",N($E1240)*IFERROR(INDEX(PRODUCTOS!$H$6:$H$105,MATCH($C1240,PRODUCTOS!$A$6:$A$105,0)),0))</f>
        <v/>
      </c>
      <c r="L1240" s="35" t="str">
        <f aca="false">IF($C1240="","",$J1240-$K1240)</f>
        <v/>
      </c>
      <c r="M1240" s="6"/>
      <c r="N1240" s="6"/>
      <c r="O1240" s="46" t="str">
        <f aca="false">IF($A1240="","",DATE(YEAR($A1240),MONTH($A1240),1))</f>
        <v/>
      </c>
    </row>
    <row r="1241" customFormat="false" ht="15" hidden="false" customHeight="false" outlineLevel="0" collapsed="false">
      <c r="A1241" s="44"/>
      <c r="B1241" s="6"/>
      <c r="C1241" s="6"/>
      <c r="D1241" s="8" t="str">
        <f aca="false">IF($C1241="","",IFERROR(INDEX(PRODUCTOS!$B$6:$B$105,MATCH($C1241,PRODUCTOS!$A$6:$A$105,0)),"¿Código?"))</f>
        <v/>
      </c>
      <c r="E1241" s="42"/>
      <c r="F1241" s="35" t="str">
        <f aca="false">IF($C1241="","",IFERROR(INDEX(PRODUCTOS!$D$6:$D$105,MATCH($C1241,PRODUCTOS!$A$6:$A$105,0)),0))</f>
        <v/>
      </c>
      <c r="G1241" s="40"/>
      <c r="H1241" s="35" t="str">
        <f aca="false">IF($C1241="","",N($E1241)*$F1241-N($G1241))</f>
        <v/>
      </c>
      <c r="I1241" s="35" t="str">
        <f aca="false">IF($C1241="","",$H1241-$H1241/(1+IFERROR(INDEX(PRODUCTOS!$E$6:$E$105,MATCH($C1241,PRODUCTOS!$A$6:$A$105,0)),IVA_VENTAS)))</f>
        <v/>
      </c>
      <c r="J1241" s="35" t="str">
        <f aca="false">IF($C1241="","",$H1241-$I1241)</f>
        <v/>
      </c>
      <c r="K1241" s="35" t="str">
        <f aca="false">IF($C1241="","",N($E1241)*IFERROR(INDEX(PRODUCTOS!$H$6:$H$105,MATCH($C1241,PRODUCTOS!$A$6:$A$105,0)),0))</f>
        <v/>
      </c>
      <c r="L1241" s="35" t="str">
        <f aca="false">IF($C1241="","",$J1241-$K1241)</f>
        <v/>
      </c>
      <c r="M1241" s="6"/>
      <c r="N1241" s="6"/>
      <c r="O1241" s="46" t="str">
        <f aca="false">IF($A1241="","",DATE(YEAR($A1241),MONTH($A1241),1))</f>
        <v/>
      </c>
    </row>
    <row r="1242" customFormat="false" ht="15" hidden="false" customHeight="false" outlineLevel="0" collapsed="false">
      <c r="A1242" s="44"/>
      <c r="B1242" s="6"/>
      <c r="C1242" s="6"/>
      <c r="D1242" s="8" t="str">
        <f aca="false">IF($C1242="","",IFERROR(INDEX(PRODUCTOS!$B$6:$B$105,MATCH($C1242,PRODUCTOS!$A$6:$A$105,0)),"¿Código?"))</f>
        <v/>
      </c>
      <c r="E1242" s="42"/>
      <c r="F1242" s="35" t="str">
        <f aca="false">IF($C1242="","",IFERROR(INDEX(PRODUCTOS!$D$6:$D$105,MATCH($C1242,PRODUCTOS!$A$6:$A$105,0)),0))</f>
        <v/>
      </c>
      <c r="G1242" s="40"/>
      <c r="H1242" s="35" t="str">
        <f aca="false">IF($C1242="","",N($E1242)*$F1242-N($G1242))</f>
        <v/>
      </c>
      <c r="I1242" s="35" t="str">
        <f aca="false">IF($C1242="","",$H1242-$H1242/(1+IFERROR(INDEX(PRODUCTOS!$E$6:$E$105,MATCH($C1242,PRODUCTOS!$A$6:$A$105,0)),IVA_VENTAS)))</f>
        <v/>
      </c>
      <c r="J1242" s="35" t="str">
        <f aca="false">IF($C1242="","",$H1242-$I1242)</f>
        <v/>
      </c>
      <c r="K1242" s="35" t="str">
        <f aca="false">IF($C1242="","",N($E1242)*IFERROR(INDEX(PRODUCTOS!$H$6:$H$105,MATCH($C1242,PRODUCTOS!$A$6:$A$105,0)),0))</f>
        <v/>
      </c>
      <c r="L1242" s="35" t="str">
        <f aca="false">IF($C1242="","",$J1242-$K1242)</f>
        <v/>
      </c>
      <c r="M1242" s="6"/>
      <c r="N1242" s="6"/>
      <c r="O1242" s="46" t="str">
        <f aca="false">IF($A1242="","",DATE(YEAR($A1242),MONTH($A1242),1))</f>
        <v/>
      </c>
    </row>
    <row r="1243" customFormat="false" ht="15" hidden="false" customHeight="false" outlineLevel="0" collapsed="false">
      <c r="A1243" s="44"/>
      <c r="B1243" s="6"/>
      <c r="C1243" s="6"/>
      <c r="D1243" s="8" t="str">
        <f aca="false">IF($C1243="","",IFERROR(INDEX(PRODUCTOS!$B$6:$B$105,MATCH($C1243,PRODUCTOS!$A$6:$A$105,0)),"¿Código?"))</f>
        <v/>
      </c>
      <c r="E1243" s="42"/>
      <c r="F1243" s="35" t="str">
        <f aca="false">IF($C1243="","",IFERROR(INDEX(PRODUCTOS!$D$6:$D$105,MATCH($C1243,PRODUCTOS!$A$6:$A$105,0)),0))</f>
        <v/>
      </c>
      <c r="G1243" s="40"/>
      <c r="H1243" s="35" t="str">
        <f aca="false">IF($C1243="","",N($E1243)*$F1243-N($G1243))</f>
        <v/>
      </c>
      <c r="I1243" s="35" t="str">
        <f aca="false">IF($C1243="","",$H1243-$H1243/(1+IFERROR(INDEX(PRODUCTOS!$E$6:$E$105,MATCH($C1243,PRODUCTOS!$A$6:$A$105,0)),IVA_VENTAS)))</f>
        <v/>
      </c>
      <c r="J1243" s="35" t="str">
        <f aca="false">IF($C1243="","",$H1243-$I1243)</f>
        <v/>
      </c>
      <c r="K1243" s="35" t="str">
        <f aca="false">IF($C1243="","",N($E1243)*IFERROR(INDEX(PRODUCTOS!$H$6:$H$105,MATCH($C1243,PRODUCTOS!$A$6:$A$105,0)),0))</f>
        <v/>
      </c>
      <c r="L1243" s="35" t="str">
        <f aca="false">IF($C1243="","",$J1243-$K1243)</f>
        <v/>
      </c>
      <c r="M1243" s="6"/>
      <c r="N1243" s="6"/>
      <c r="O1243" s="46" t="str">
        <f aca="false">IF($A1243="","",DATE(YEAR($A1243),MONTH($A1243),1))</f>
        <v/>
      </c>
    </row>
    <row r="1244" customFormat="false" ht="15" hidden="false" customHeight="false" outlineLevel="0" collapsed="false">
      <c r="A1244" s="44"/>
      <c r="B1244" s="6"/>
      <c r="C1244" s="6"/>
      <c r="D1244" s="8" t="str">
        <f aca="false">IF($C1244="","",IFERROR(INDEX(PRODUCTOS!$B$6:$B$105,MATCH($C1244,PRODUCTOS!$A$6:$A$105,0)),"¿Código?"))</f>
        <v/>
      </c>
      <c r="E1244" s="42"/>
      <c r="F1244" s="35" t="str">
        <f aca="false">IF($C1244="","",IFERROR(INDEX(PRODUCTOS!$D$6:$D$105,MATCH($C1244,PRODUCTOS!$A$6:$A$105,0)),0))</f>
        <v/>
      </c>
      <c r="G1244" s="40"/>
      <c r="H1244" s="35" t="str">
        <f aca="false">IF($C1244="","",N($E1244)*$F1244-N($G1244))</f>
        <v/>
      </c>
      <c r="I1244" s="35" t="str">
        <f aca="false">IF($C1244="","",$H1244-$H1244/(1+IFERROR(INDEX(PRODUCTOS!$E$6:$E$105,MATCH($C1244,PRODUCTOS!$A$6:$A$105,0)),IVA_VENTAS)))</f>
        <v/>
      </c>
      <c r="J1244" s="35" t="str">
        <f aca="false">IF($C1244="","",$H1244-$I1244)</f>
        <v/>
      </c>
      <c r="K1244" s="35" t="str">
        <f aca="false">IF($C1244="","",N($E1244)*IFERROR(INDEX(PRODUCTOS!$H$6:$H$105,MATCH($C1244,PRODUCTOS!$A$6:$A$105,0)),0))</f>
        <v/>
      </c>
      <c r="L1244" s="35" t="str">
        <f aca="false">IF($C1244="","",$J1244-$K1244)</f>
        <v/>
      </c>
      <c r="M1244" s="6"/>
      <c r="N1244" s="6"/>
      <c r="O1244" s="46" t="str">
        <f aca="false">IF($A1244="","",DATE(YEAR($A1244),MONTH($A1244),1))</f>
        <v/>
      </c>
    </row>
    <row r="1245" customFormat="false" ht="15" hidden="false" customHeight="false" outlineLevel="0" collapsed="false">
      <c r="A1245" s="44"/>
      <c r="B1245" s="6"/>
      <c r="C1245" s="6"/>
      <c r="D1245" s="8" t="str">
        <f aca="false">IF($C1245="","",IFERROR(INDEX(PRODUCTOS!$B$6:$B$105,MATCH($C1245,PRODUCTOS!$A$6:$A$105,0)),"¿Código?"))</f>
        <v/>
      </c>
      <c r="E1245" s="42"/>
      <c r="F1245" s="35" t="str">
        <f aca="false">IF($C1245="","",IFERROR(INDEX(PRODUCTOS!$D$6:$D$105,MATCH($C1245,PRODUCTOS!$A$6:$A$105,0)),0))</f>
        <v/>
      </c>
      <c r="G1245" s="40"/>
      <c r="H1245" s="35" t="str">
        <f aca="false">IF($C1245="","",N($E1245)*$F1245-N($G1245))</f>
        <v/>
      </c>
      <c r="I1245" s="35" t="str">
        <f aca="false">IF($C1245="","",$H1245-$H1245/(1+IFERROR(INDEX(PRODUCTOS!$E$6:$E$105,MATCH($C1245,PRODUCTOS!$A$6:$A$105,0)),IVA_VENTAS)))</f>
        <v/>
      </c>
      <c r="J1245" s="35" t="str">
        <f aca="false">IF($C1245="","",$H1245-$I1245)</f>
        <v/>
      </c>
      <c r="K1245" s="35" t="str">
        <f aca="false">IF($C1245="","",N($E1245)*IFERROR(INDEX(PRODUCTOS!$H$6:$H$105,MATCH($C1245,PRODUCTOS!$A$6:$A$105,0)),0))</f>
        <v/>
      </c>
      <c r="L1245" s="35" t="str">
        <f aca="false">IF($C1245="","",$J1245-$K1245)</f>
        <v/>
      </c>
      <c r="M1245" s="6"/>
      <c r="N1245" s="6"/>
      <c r="O1245" s="46" t="str">
        <f aca="false">IF($A1245="","",DATE(YEAR($A1245),MONTH($A1245),1))</f>
        <v/>
      </c>
    </row>
    <row r="1246" customFormat="false" ht="15" hidden="false" customHeight="false" outlineLevel="0" collapsed="false">
      <c r="A1246" s="44"/>
      <c r="B1246" s="6"/>
      <c r="C1246" s="6"/>
      <c r="D1246" s="8" t="str">
        <f aca="false">IF($C1246="","",IFERROR(INDEX(PRODUCTOS!$B$6:$B$105,MATCH($C1246,PRODUCTOS!$A$6:$A$105,0)),"¿Código?"))</f>
        <v/>
      </c>
      <c r="E1246" s="42"/>
      <c r="F1246" s="35" t="str">
        <f aca="false">IF($C1246="","",IFERROR(INDEX(PRODUCTOS!$D$6:$D$105,MATCH($C1246,PRODUCTOS!$A$6:$A$105,0)),0))</f>
        <v/>
      </c>
      <c r="G1246" s="40"/>
      <c r="H1246" s="35" t="str">
        <f aca="false">IF($C1246="","",N($E1246)*$F1246-N($G1246))</f>
        <v/>
      </c>
      <c r="I1246" s="35" t="str">
        <f aca="false">IF($C1246="","",$H1246-$H1246/(1+IFERROR(INDEX(PRODUCTOS!$E$6:$E$105,MATCH($C1246,PRODUCTOS!$A$6:$A$105,0)),IVA_VENTAS)))</f>
        <v/>
      </c>
      <c r="J1246" s="35" t="str">
        <f aca="false">IF($C1246="","",$H1246-$I1246)</f>
        <v/>
      </c>
      <c r="K1246" s="35" t="str">
        <f aca="false">IF($C1246="","",N($E1246)*IFERROR(INDEX(PRODUCTOS!$H$6:$H$105,MATCH($C1246,PRODUCTOS!$A$6:$A$105,0)),0))</f>
        <v/>
      </c>
      <c r="L1246" s="35" t="str">
        <f aca="false">IF($C1246="","",$J1246-$K1246)</f>
        <v/>
      </c>
      <c r="M1246" s="6"/>
      <c r="N1246" s="6"/>
      <c r="O1246" s="46" t="str">
        <f aca="false">IF($A1246="","",DATE(YEAR($A1246),MONTH($A1246),1))</f>
        <v/>
      </c>
    </row>
    <row r="1247" customFormat="false" ht="15" hidden="false" customHeight="false" outlineLevel="0" collapsed="false">
      <c r="A1247" s="44"/>
      <c r="B1247" s="6"/>
      <c r="C1247" s="6"/>
      <c r="D1247" s="8" t="str">
        <f aca="false">IF($C1247="","",IFERROR(INDEX(PRODUCTOS!$B$6:$B$105,MATCH($C1247,PRODUCTOS!$A$6:$A$105,0)),"¿Código?"))</f>
        <v/>
      </c>
      <c r="E1247" s="42"/>
      <c r="F1247" s="35" t="str">
        <f aca="false">IF($C1247="","",IFERROR(INDEX(PRODUCTOS!$D$6:$D$105,MATCH($C1247,PRODUCTOS!$A$6:$A$105,0)),0))</f>
        <v/>
      </c>
      <c r="G1247" s="40"/>
      <c r="H1247" s="35" t="str">
        <f aca="false">IF($C1247="","",N($E1247)*$F1247-N($G1247))</f>
        <v/>
      </c>
      <c r="I1247" s="35" t="str">
        <f aca="false">IF($C1247="","",$H1247-$H1247/(1+IFERROR(INDEX(PRODUCTOS!$E$6:$E$105,MATCH($C1247,PRODUCTOS!$A$6:$A$105,0)),IVA_VENTAS)))</f>
        <v/>
      </c>
      <c r="J1247" s="35" t="str">
        <f aca="false">IF($C1247="","",$H1247-$I1247)</f>
        <v/>
      </c>
      <c r="K1247" s="35" t="str">
        <f aca="false">IF($C1247="","",N($E1247)*IFERROR(INDEX(PRODUCTOS!$H$6:$H$105,MATCH($C1247,PRODUCTOS!$A$6:$A$105,0)),0))</f>
        <v/>
      </c>
      <c r="L1247" s="35" t="str">
        <f aca="false">IF($C1247="","",$J1247-$K1247)</f>
        <v/>
      </c>
      <c r="M1247" s="6"/>
      <c r="N1247" s="6"/>
      <c r="O1247" s="46" t="str">
        <f aca="false">IF($A1247="","",DATE(YEAR($A1247),MONTH($A1247),1))</f>
        <v/>
      </c>
    </row>
    <row r="1248" customFormat="false" ht="15" hidden="false" customHeight="false" outlineLevel="0" collapsed="false">
      <c r="A1248" s="44"/>
      <c r="B1248" s="6"/>
      <c r="C1248" s="6"/>
      <c r="D1248" s="8" t="str">
        <f aca="false">IF($C1248="","",IFERROR(INDEX(PRODUCTOS!$B$6:$B$105,MATCH($C1248,PRODUCTOS!$A$6:$A$105,0)),"¿Código?"))</f>
        <v/>
      </c>
      <c r="E1248" s="42"/>
      <c r="F1248" s="35" t="str">
        <f aca="false">IF($C1248="","",IFERROR(INDEX(PRODUCTOS!$D$6:$D$105,MATCH($C1248,PRODUCTOS!$A$6:$A$105,0)),0))</f>
        <v/>
      </c>
      <c r="G1248" s="40"/>
      <c r="H1248" s="35" t="str">
        <f aca="false">IF($C1248="","",N($E1248)*$F1248-N($G1248))</f>
        <v/>
      </c>
      <c r="I1248" s="35" t="str">
        <f aca="false">IF($C1248="","",$H1248-$H1248/(1+IFERROR(INDEX(PRODUCTOS!$E$6:$E$105,MATCH($C1248,PRODUCTOS!$A$6:$A$105,0)),IVA_VENTAS)))</f>
        <v/>
      </c>
      <c r="J1248" s="35" t="str">
        <f aca="false">IF($C1248="","",$H1248-$I1248)</f>
        <v/>
      </c>
      <c r="K1248" s="35" t="str">
        <f aca="false">IF($C1248="","",N($E1248)*IFERROR(INDEX(PRODUCTOS!$H$6:$H$105,MATCH($C1248,PRODUCTOS!$A$6:$A$105,0)),0))</f>
        <v/>
      </c>
      <c r="L1248" s="35" t="str">
        <f aca="false">IF($C1248="","",$J1248-$K1248)</f>
        <v/>
      </c>
      <c r="M1248" s="6"/>
      <c r="N1248" s="6"/>
      <c r="O1248" s="46" t="str">
        <f aca="false">IF($A1248="","",DATE(YEAR($A1248),MONTH($A1248),1))</f>
        <v/>
      </c>
    </row>
    <row r="1249" customFormat="false" ht="15" hidden="false" customHeight="false" outlineLevel="0" collapsed="false">
      <c r="A1249" s="44"/>
      <c r="B1249" s="6"/>
      <c r="C1249" s="6"/>
      <c r="D1249" s="8" t="str">
        <f aca="false">IF($C1249="","",IFERROR(INDEX(PRODUCTOS!$B$6:$B$105,MATCH($C1249,PRODUCTOS!$A$6:$A$105,0)),"¿Código?"))</f>
        <v/>
      </c>
      <c r="E1249" s="42"/>
      <c r="F1249" s="35" t="str">
        <f aca="false">IF($C1249="","",IFERROR(INDEX(PRODUCTOS!$D$6:$D$105,MATCH($C1249,PRODUCTOS!$A$6:$A$105,0)),0))</f>
        <v/>
      </c>
      <c r="G1249" s="40"/>
      <c r="H1249" s="35" t="str">
        <f aca="false">IF($C1249="","",N($E1249)*$F1249-N($G1249))</f>
        <v/>
      </c>
      <c r="I1249" s="35" t="str">
        <f aca="false">IF($C1249="","",$H1249-$H1249/(1+IFERROR(INDEX(PRODUCTOS!$E$6:$E$105,MATCH($C1249,PRODUCTOS!$A$6:$A$105,0)),IVA_VENTAS)))</f>
        <v/>
      </c>
      <c r="J1249" s="35" t="str">
        <f aca="false">IF($C1249="","",$H1249-$I1249)</f>
        <v/>
      </c>
      <c r="K1249" s="35" t="str">
        <f aca="false">IF($C1249="","",N($E1249)*IFERROR(INDEX(PRODUCTOS!$H$6:$H$105,MATCH($C1249,PRODUCTOS!$A$6:$A$105,0)),0))</f>
        <v/>
      </c>
      <c r="L1249" s="35" t="str">
        <f aca="false">IF($C1249="","",$J1249-$K1249)</f>
        <v/>
      </c>
      <c r="M1249" s="6"/>
      <c r="N1249" s="6"/>
      <c r="O1249" s="46" t="str">
        <f aca="false">IF($A1249="","",DATE(YEAR($A1249),MONTH($A1249),1))</f>
        <v/>
      </c>
    </row>
    <row r="1250" customFormat="false" ht="15" hidden="false" customHeight="false" outlineLevel="0" collapsed="false">
      <c r="A1250" s="44"/>
      <c r="B1250" s="6"/>
      <c r="C1250" s="6"/>
      <c r="D1250" s="8" t="str">
        <f aca="false">IF($C1250="","",IFERROR(INDEX(PRODUCTOS!$B$6:$B$105,MATCH($C1250,PRODUCTOS!$A$6:$A$105,0)),"¿Código?"))</f>
        <v/>
      </c>
      <c r="E1250" s="42"/>
      <c r="F1250" s="35" t="str">
        <f aca="false">IF($C1250="","",IFERROR(INDEX(PRODUCTOS!$D$6:$D$105,MATCH($C1250,PRODUCTOS!$A$6:$A$105,0)),0))</f>
        <v/>
      </c>
      <c r="G1250" s="40"/>
      <c r="H1250" s="35" t="str">
        <f aca="false">IF($C1250="","",N($E1250)*$F1250-N($G1250))</f>
        <v/>
      </c>
      <c r="I1250" s="35" t="str">
        <f aca="false">IF($C1250="","",$H1250-$H1250/(1+IFERROR(INDEX(PRODUCTOS!$E$6:$E$105,MATCH($C1250,PRODUCTOS!$A$6:$A$105,0)),IVA_VENTAS)))</f>
        <v/>
      </c>
      <c r="J1250" s="35" t="str">
        <f aca="false">IF($C1250="","",$H1250-$I1250)</f>
        <v/>
      </c>
      <c r="K1250" s="35" t="str">
        <f aca="false">IF($C1250="","",N($E1250)*IFERROR(INDEX(PRODUCTOS!$H$6:$H$105,MATCH($C1250,PRODUCTOS!$A$6:$A$105,0)),0))</f>
        <v/>
      </c>
      <c r="L1250" s="35" t="str">
        <f aca="false">IF($C1250="","",$J1250-$K1250)</f>
        <v/>
      </c>
      <c r="M1250" s="6"/>
      <c r="N1250" s="6"/>
      <c r="O1250" s="46" t="str">
        <f aca="false">IF($A1250="","",DATE(YEAR($A1250),MONTH($A1250),1))</f>
        <v/>
      </c>
    </row>
    <row r="1251" customFormat="false" ht="15" hidden="false" customHeight="false" outlineLevel="0" collapsed="false">
      <c r="A1251" s="44"/>
      <c r="B1251" s="6"/>
      <c r="C1251" s="6"/>
      <c r="D1251" s="8" t="str">
        <f aca="false">IF($C1251="","",IFERROR(INDEX(PRODUCTOS!$B$6:$B$105,MATCH($C1251,PRODUCTOS!$A$6:$A$105,0)),"¿Código?"))</f>
        <v/>
      </c>
      <c r="E1251" s="42"/>
      <c r="F1251" s="35" t="str">
        <f aca="false">IF($C1251="","",IFERROR(INDEX(PRODUCTOS!$D$6:$D$105,MATCH($C1251,PRODUCTOS!$A$6:$A$105,0)),0))</f>
        <v/>
      </c>
      <c r="G1251" s="40"/>
      <c r="H1251" s="35" t="str">
        <f aca="false">IF($C1251="","",N($E1251)*$F1251-N($G1251))</f>
        <v/>
      </c>
      <c r="I1251" s="35" t="str">
        <f aca="false">IF($C1251="","",$H1251-$H1251/(1+IFERROR(INDEX(PRODUCTOS!$E$6:$E$105,MATCH($C1251,PRODUCTOS!$A$6:$A$105,0)),IVA_VENTAS)))</f>
        <v/>
      </c>
      <c r="J1251" s="35" t="str">
        <f aca="false">IF($C1251="","",$H1251-$I1251)</f>
        <v/>
      </c>
      <c r="K1251" s="35" t="str">
        <f aca="false">IF($C1251="","",N($E1251)*IFERROR(INDEX(PRODUCTOS!$H$6:$H$105,MATCH($C1251,PRODUCTOS!$A$6:$A$105,0)),0))</f>
        <v/>
      </c>
      <c r="L1251" s="35" t="str">
        <f aca="false">IF($C1251="","",$J1251-$K1251)</f>
        <v/>
      </c>
      <c r="M1251" s="6"/>
      <c r="N1251" s="6"/>
      <c r="O1251" s="46" t="str">
        <f aca="false">IF($A1251="","",DATE(YEAR($A1251),MONTH($A1251),1))</f>
        <v/>
      </c>
    </row>
    <row r="1252" customFormat="false" ht="15" hidden="false" customHeight="false" outlineLevel="0" collapsed="false">
      <c r="A1252" s="44"/>
      <c r="B1252" s="6"/>
      <c r="C1252" s="6"/>
      <c r="D1252" s="8" t="str">
        <f aca="false">IF($C1252="","",IFERROR(INDEX(PRODUCTOS!$B$6:$B$105,MATCH($C1252,PRODUCTOS!$A$6:$A$105,0)),"¿Código?"))</f>
        <v/>
      </c>
      <c r="E1252" s="42"/>
      <c r="F1252" s="35" t="str">
        <f aca="false">IF($C1252="","",IFERROR(INDEX(PRODUCTOS!$D$6:$D$105,MATCH($C1252,PRODUCTOS!$A$6:$A$105,0)),0))</f>
        <v/>
      </c>
      <c r="G1252" s="40"/>
      <c r="H1252" s="35" t="str">
        <f aca="false">IF($C1252="","",N($E1252)*$F1252-N($G1252))</f>
        <v/>
      </c>
      <c r="I1252" s="35" t="str">
        <f aca="false">IF($C1252="","",$H1252-$H1252/(1+IFERROR(INDEX(PRODUCTOS!$E$6:$E$105,MATCH($C1252,PRODUCTOS!$A$6:$A$105,0)),IVA_VENTAS)))</f>
        <v/>
      </c>
      <c r="J1252" s="35" t="str">
        <f aca="false">IF($C1252="","",$H1252-$I1252)</f>
        <v/>
      </c>
      <c r="K1252" s="35" t="str">
        <f aca="false">IF($C1252="","",N($E1252)*IFERROR(INDEX(PRODUCTOS!$H$6:$H$105,MATCH($C1252,PRODUCTOS!$A$6:$A$105,0)),0))</f>
        <v/>
      </c>
      <c r="L1252" s="35" t="str">
        <f aca="false">IF($C1252="","",$J1252-$K1252)</f>
        <v/>
      </c>
      <c r="M1252" s="6"/>
      <c r="N1252" s="6"/>
      <c r="O1252" s="46" t="str">
        <f aca="false">IF($A1252="","",DATE(YEAR($A1252),MONTH($A1252),1))</f>
        <v/>
      </c>
    </row>
    <row r="1253" customFormat="false" ht="15" hidden="false" customHeight="false" outlineLevel="0" collapsed="false">
      <c r="A1253" s="44"/>
      <c r="B1253" s="6"/>
      <c r="C1253" s="6"/>
      <c r="D1253" s="8" t="str">
        <f aca="false">IF($C1253="","",IFERROR(INDEX(PRODUCTOS!$B$6:$B$105,MATCH($C1253,PRODUCTOS!$A$6:$A$105,0)),"¿Código?"))</f>
        <v/>
      </c>
      <c r="E1253" s="42"/>
      <c r="F1253" s="35" t="str">
        <f aca="false">IF($C1253="","",IFERROR(INDEX(PRODUCTOS!$D$6:$D$105,MATCH($C1253,PRODUCTOS!$A$6:$A$105,0)),0))</f>
        <v/>
      </c>
      <c r="G1253" s="40"/>
      <c r="H1253" s="35" t="str">
        <f aca="false">IF($C1253="","",N($E1253)*$F1253-N($G1253))</f>
        <v/>
      </c>
      <c r="I1253" s="35" t="str">
        <f aca="false">IF($C1253="","",$H1253-$H1253/(1+IFERROR(INDEX(PRODUCTOS!$E$6:$E$105,MATCH($C1253,PRODUCTOS!$A$6:$A$105,0)),IVA_VENTAS)))</f>
        <v/>
      </c>
      <c r="J1253" s="35" t="str">
        <f aca="false">IF($C1253="","",$H1253-$I1253)</f>
        <v/>
      </c>
      <c r="K1253" s="35" t="str">
        <f aca="false">IF($C1253="","",N($E1253)*IFERROR(INDEX(PRODUCTOS!$H$6:$H$105,MATCH($C1253,PRODUCTOS!$A$6:$A$105,0)),0))</f>
        <v/>
      </c>
      <c r="L1253" s="35" t="str">
        <f aca="false">IF($C1253="","",$J1253-$K1253)</f>
        <v/>
      </c>
      <c r="M1253" s="6"/>
      <c r="N1253" s="6"/>
      <c r="O1253" s="46" t="str">
        <f aca="false">IF($A1253="","",DATE(YEAR($A1253),MONTH($A1253),1))</f>
        <v/>
      </c>
    </row>
    <row r="1254" customFormat="false" ht="15" hidden="false" customHeight="false" outlineLevel="0" collapsed="false">
      <c r="A1254" s="44"/>
      <c r="B1254" s="6"/>
      <c r="C1254" s="6"/>
      <c r="D1254" s="8" t="str">
        <f aca="false">IF($C1254="","",IFERROR(INDEX(PRODUCTOS!$B$6:$B$105,MATCH($C1254,PRODUCTOS!$A$6:$A$105,0)),"¿Código?"))</f>
        <v/>
      </c>
      <c r="E1254" s="42"/>
      <c r="F1254" s="35" t="str">
        <f aca="false">IF($C1254="","",IFERROR(INDEX(PRODUCTOS!$D$6:$D$105,MATCH($C1254,PRODUCTOS!$A$6:$A$105,0)),0))</f>
        <v/>
      </c>
      <c r="G1254" s="40"/>
      <c r="H1254" s="35" t="str">
        <f aca="false">IF($C1254="","",N($E1254)*$F1254-N($G1254))</f>
        <v/>
      </c>
      <c r="I1254" s="35" t="str">
        <f aca="false">IF($C1254="","",$H1254-$H1254/(1+IFERROR(INDEX(PRODUCTOS!$E$6:$E$105,MATCH($C1254,PRODUCTOS!$A$6:$A$105,0)),IVA_VENTAS)))</f>
        <v/>
      </c>
      <c r="J1254" s="35" t="str">
        <f aca="false">IF($C1254="","",$H1254-$I1254)</f>
        <v/>
      </c>
      <c r="K1254" s="35" t="str">
        <f aca="false">IF($C1254="","",N($E1254)*IFERROR(INDEX(PRODUCTOS!$H$6:$H$105,MATCH($C1254,PRODUCTOS!$A$6:$A$105,0)),0))</f>
        <v/>
      </c>
      <c r="L1254" s="35" t="str">
        <f aca="false">IF($C1254="","",$J1254-$K1254)</f>
        <v/>
      </c>
      <c r="M1254" s="6"/>
      <c r="N1254" s="6"/>
      <c r="O1254" s="46" t="str">
        <f aca="false">IF($A1254="","",DATE(YEAR($A1254),MONTH($A1254),1))</f>
        <v/>
      </c>
    </row>
    <row r="1255" customFormat="false" ht="15" hidden="false" customHeight="false" outlineLevel="0" collapsed="false">
      <c r="A1255" s="44"/>
      <c r="B1255" s="6"/>
      <c r="C1255" s="6"/>
      <c r="D1255" s="8" t="str">
        <f aca="false">IF($C1255="","",IFERROR(INDEX(PRODUCTOS!$B$6:$B$105,MATCH($C1255,PRODUCTOS!$A$6:$A$105,0)),"¿Código?"))</f>
        <v/>
      </c>
      <c r="E1255" s="42"/>
      <c r="F1255" s="35" t="str">
        <f aca="false">IF($C1255="","",IFERROR(INDEX(PRODUCTOS!$D$6:$D$105,MATCH($C1255,PRODUCTOS!$A$6:$A$105,0)),0))</f>
        <v/>
      </c>
      <c r="G1255" s="40"/>
      <c r="H1255" s="35" t="str">
        <f aca="false">IF($C1255="","",N($E1255)*$F1255-N($G1255))</f>
        <v/>
      </c>
      <c r="I1255" s="35" t="str">
        <f aca="false">IF($C1255="","",$H1255-$H1255/(1+IFERROR(INDEX(PRODUCTOS!$E$6:$E$105,MATCH($C1255,PRODUCTOS!$A$6:$A$105,0)),IVA_VENTAS)))</f>
        <v/>
      </c>
      <c r="J1255" s="35" t="str">
        <f aca="false">IF($C1255="","",$H1255-$I1255)</f>
        <v/>
      </c>
      <c r="K1255" s="35" t="str">
        <f aca="false">IF($C1255="","",N($E1255)*IFERROR(INDEX(PRODUCTOS!$H$6:$H$105,MATCH($C1255,PRODUCTOS!$A$6:$A$105,0)),0))</f>
        <v/>
      </c>
      <c r="L1255" s="35" t="str">
        <f aca="false">IF($C1255="","",$J1255-$K1255)</f>
        <v/>
      </c>
      <c r="M1255" s="6"/>
      <c r="N1255" s="6"/>
      <c r="O1255" s="46" t="str">
        <f aca="false">IF($A1255="","",DATE(YEAR($A1255),MONTH($A1255),1))</f>
        <v/>
      </c>
    </row>
    <row r="1256" customFormat="false" ht="15" hidden="false" customHeight="false" outlineLevel="0" collapsed="false">
      <c r="A1256" s="44"/>
      <c r="B1256" s="6"/>
      <c r="C1256" s="6"/>
      <c r="D1256" s="8" t="str">
        <f aca="false">IF($C1256="","",IFERROR(INDEX(PRODUCTOS!$B$6:$B$105,MATCH($C1256,PRODUCTOS!$A$6:$A$105,0)),"¿Código?"))</f>
        <v/>
      </c>
      <c r="E1256" s="42"/>
      <c r="F1256" s="35" t="str">
        <f aca="false">IF($C1256="","",IFERROR(INDEX(PRODUCTOS!$D$6:$D$105,MATCH($C1256,PRODUCTOS!$A$6:$A$105,0)),0))</f>
        <v/>
      </c>
      <c r="G1256" s="40"/>
      <c r="H1256" s="35" t="str">
        <f aca="false">IF($C1256="","",N($E1256)*$F1256-N($G1256))</f>
        <v/>
      </c>
      <c r="I1256" s="35" t="str">
        <f aca="false">IF($C1256="","",$H1256-$H1256/(1+IFERROR(INDEX(PRODUCTOS!$E$6:$E$105,MATCH($C1256,PRODUCTOS!$A$6:$A$105,0)),IVA_VENTAS)))</f>
        <v/>
      </c>
      <c r="J1256" s="35" t="str">
        <f aca="false">IF($C1256="","",$H1256-$I1256)</f>
        <v/>
      </c>
      <c r="K1256" s="35" t="str">
        <f aca="false">IF($C1256="","",N($E1256)*IFERROR(INDEX(PRODUCTOS!$H$6:$H$105,MATCH($C1256,PRODUCTOS!$A$6:$A$105,0)),0))</f>
        <v/>
      </c>
      <c r="L1256" s="35" t="str">
        <f aca="false">IF($C1256="","",$J1256-$K1256)</f>
        <v/>
      </c>
      <c r="M1256" s="6"/>
      <c r="N1256" s="6"/>
      <c r="O1256" s="46" t="str">
        <f aca="false">IF($A1256="","",DATE(YEAR($A1256),MONTH($A1256),1))</f>
        <v/>
      </c>
    </row>
    <row r="1257" customFormat="false" ht="15" hidden="false" customHeight="false" outlineLevel="0" collapsed="false">
      <c r="A1257" s="44"/>
      <c r="B1257" s="6"/>
      <c r="C1257" s="6"/>
      <c r="D1257" s="8" t="str">
        <f aca="false">IF($C1257="","",IFERROR(INDEX(PRODUCTOS!$B$6:$B$105,MATCH($C1257,PRODUCTOS!$A$6:$A$105,0)),"¿Código?"))</f>
        <v/>
      </c>
      <c r="E1257" s="42"/>
      <c r="F1257" s="35" t="str">
        <f aca="false">IF($C1257="","",IFERROR(INDEX(PRODUCTOS!$D$6:$D$105,MATCH($C1257,PRODUCTOS!$A$6:$A$105,0)),0))</f>
        <v/>
      </c>
      <c r="G1257" s="40"/>
      <c r="H1257" s="35" t="str">
        <f aca="false">IF($C1257="","",N($E1257)*$F1257-N($G1257))</f>
        <v/>
      </c>
      <c r="I1257" s="35" t="str">
        <f aca="false">IF($C1257="","",$H1257-$H1257/(1+IFERROR(INDEX(PRODUCTOS!$E$6:$E$105,MATCH($C1257,PRODUCTOS!$A$6:$A$105,0)),IVA_VENTAS)))</f>
        <v/>
      </c>
      <c r="J1257" s="35" t="str">
        <f aca="false">IF($C1257="","",$H1257-$I1257)</f>
        <v/>
      </c>
      <c r="K1257" s="35" t="str">
        <f aca="false">IF($C1257="","",N($E1257)*IFERROR(INDEX(PRODUCTOS!$H$6:$H$105,MATCH($C1257,PRODUCTOS!$A$6:$A$105,0)),0))</f>
        <v/>
      </c>
      <c r="L1257" s="35" t="str">
        <f aca="false">IF($C1257="","",$J1257-$K1257)</f>
        <v/>
      </c>
      <c r="M1257" s="6"/>
      <c r="N1257" s="6"/>
      <c r="O1257" s="46" t="str">
        <f aca="false">IF($A1257="","",DATE(YEAR($A1257),MONTH($A1257),1))</f>
        <v/>
      </c>
    </row>
    <row r="1258" customFormat="false" ht="15" hidden="false" customHeight="false" outlineLevel="0" collapsed="false">
      <c r="A1258" s="44"/>
      <c r="B1258" s="6"/>
      <c r="C1258" s="6"/>
      <c r="D1258" s="8" t="str">
        <f aca="false">IF($C1258="","",IFERROR(INDEX(PRODUCTOS!$B$6:$B$105,MATCH($C1258,PRODUCTOS!$A$6:$A$105,0)),"¿Código?"))</f>
        <v/>
      </c>
      <c r="E1258" s="42"/>
      <c r="F1258" s="35" t="str">
        <f aca="false">IF($C1258="","",IFERROR(INDEX(PRODUCTOS!$D$6:$D$105,MATCH($C1258,PRODUCTOS!$A$6:$A$105,0)),0))</f>
        <v/>
      </c>
      <c r="G1258" s="40"/>
      <c r="H1258" s="35" t="str">
        <f aca="false">IF($C1258="","",N($E1258)*$F1258-N($G1258))</f>
        <v/>
      </c>
      <c r="I1258" s="35" t="str">
        <f aca="false">IF($C1258="","",$H1258-$H1258/(1+IFERROR(INDEX(PRODUCTOS!$E$6:$E$105,MATCH($C1258,PRODUCTOS!$A$6:$A$105,0)),IVA_VENTAS)))</f>
        <v/>
      </c>
      <c r="J1258" s="35" t="str">
        <f aca="false">IF($C1258="","",$H1258-$I1258)</f>
        <v/>
      </c>
      <c r="K1258" s="35" t="str">
        <f aca="false">IF($C1258="","",N($E1258)*IFERROR(INDEX(PRODUCTOS!$H$6:$H$105,MATCH($C1258,PRODUCTOS!$A$6:$A$105,0)),0))</f>
        <v/>
      </c>
      <c r="L1258" s="35" t="str">
        <f aca="false">IF($C1258="","",$J1258-$K1258)</f>
        <v/>
      </c>
      <c r="M1258" s="6"/>
      <c r="N1258" s="6"/>
      <c r="O1258" s="46" t="str">
        <f aca="false">IF($A1258="","",DATE(YEAR($A1258),MONTH($A1258),1))</f>
        <v/>
      </c>
    </row>
    <row r="1259" customFormat="false" ht="15" hidden="false" customHeight="false" outlineLevel="0" collapsed="false">
      <c r="A1259" s="44"/>
      <c r="B1259" s="6"/>
      <c r="C1259" s="6"/>
      <c r="D1259" s="8" t="str">
        <f aca="false">IF($C1259="","",IFERROR(INDEX(PRODUCTOS!$B$6:$B$105,MATCH($C1259,PRODUCTOS!$A$6:$A$105,0)),"¿Código?"))</f>
        <v/>
      </c>
      <c r="E1259" s="42"/>
      <c r="F1259" s="35" t="str">
        <f aca="false">IF($C1259="","",IFERROR(INDEX(PRODUCTOS!$D$6:$D$105,MATCH($C1259,PRODUCTOS!$A$6:$A$105,0)),0))</f>
        <v/>
      </c>
      <c r="G1259" s="40"/>
      <c r="H1259" s="35" t="str">
        <f aca="false">IF($C1259="","",N($E1259)*$F1259-N($G1259))</f>
        <v/>
      </c>
      <c r="I1259" s="35" t="str">
        <f aca="false">IF($C1259="","",$H1259-$H1259/(1+IFERROR(INDEX(PRODUCTOS!$E$6:$E$105,MATCH($C1259,PRODUCTOS!$A$6:$A$105,0)),IVA_VENTAS)))</f>
        <v/>
      </c>
      <c r="J1259" s="35" t="str">
        <f aca="false">IF($C1259="","",$H1259-$I1259)</f>
        <v/>
      </c>
      <c r="K1259" s="35" t="str">
        <f aca="false">IF($C1259="","",N($E1259)*IFERROR(INDEX(PRODUCTOS!$H$6:$H$105,MATCH($C1259,PRODUCTOS!$A$6:$A$105,0)),0))</f>
        <v/>
      </c>
      <c r="L1259" s="35" t="str">
        <f aca="false">IF($C1259="","",$J1259-$K1259)</f>
        <v/>
      </c>
      <c r="M1259" s="6"/>
      <c r="N1259" s="6"/>
      <c r="O1259" s="46" t="str">
        <f aca="false">IF($A1259="","",DATE(YEAR($A1259),MONTH($A1259),1))</f>
        <v/>
      </c>
    </row>
    <row r="1260" customFormat="false" ht="15" hidden="false" customHeight="false" outlineLevel="0" collapsed="false">
      <c r="A1260" s="44"/>
      <c r="B1260" s="6"/>
      <c r="C1260" s="6"/>
      <c r="D1260" s="8" t="str">
        <f aca="false">IF($C1260="","",IFERROR(INDEX(PRODUCTOS!$B$6:$B$105,MATCH($C1260,PRODUCTOS!$A$6:$A$105,0)),"¿Código?"))</f>
        <v/>
      </c>
      <c r="E1260" s="42"/>
      <c r="F1260" s="35" t="str">
        <f aca="false">IF($C1260="","",IFERROR(INDEX(PRODUCTOS!$D$6:$D$105,MATCH($C1260,PRODUCTOS!$A$6:$A$105,0)),0))</f>
        <v/>
      </c>
      <c r="G1260" s="40"/>
      <c r="H1260" s="35" t="str">
        <f aca="false">IF($C1260="","",N($E1260)*$F1260-N($G1260))</f>
        <v/>
      </c>
      <c r="I1260" s="35" t="str">
        <f aca="false">IF($C1260="","",$H1260-$H1260/(1+IFERROR(INDEX(PRODUCTOS!$E$6:$E$105,MATCH($C1260,PRODUCTOS!$A$6:$A$105,0)),IVA_VENTAS)))</f>
        <v/>
      </c>
      <c r="J1260" s="35" t="str">
        <f aca="false">IF($C1260="","",$H1260-$I1260)</f>
        <v/>
      </c>
      <c r="K1260" s="35" t="str">
        <f aca="false">IF($C1260="","",N($E1260)*IFERROR(INDEX(PRODUCTOS!$H$6:$H$105,MATCH($C1260,PRODUCTOS!$A$6:$A$105,0)),0))</f>
        <v/>
      </c>
      <c r="L1260" s="35" t="str">
        <f aca="false">IF($C1260="","",$J1260-$K1260)</f>
        <v/>
      </c>
      <c r="M1260" s="6"/>
      <c r="N1260" s="6"/>
      <c r="O1260" s="46" t="str">
        <f aca="false">IF($A1260="","",DATE(YEAR($A1260),MONTH($A1260),1))</f>
        <v/>
      </c>
    </row>
    <row r="1261" customFormat="false" ht="15" hidden="false" customHeight="false" outlineLevel="0" collapsed="false">
      <c r="A1261" s="44"/>
      <c r="B1261" s="6"/>
      <c r="C1261" s="6"/>
      <c r="D1261" s="8" t="str">
        <f aca="false">IF($C1261="","",IFERROR(INDEX(PRODUCTOS!$B$6:$B$105,MATCH($C1261,PRODUCTOS!$A$6:$A$105,0)),"¿Código?"))</f>
        <v/>
      </c>
      <c r="E1261" s="42"/>
      <c r="F1261" s="35" t="str">
        <f aca="false">IF($C1261="","",IFERROR(INDEX(PRODUCTOS!$D$6:$D$105,MATCH($C1261,PRODUCTOS!$A$6:$A$105,0)),0))</f>
        <v/>
      </c>
      <c r="G1261" s="40"/>
      <c r="H1261" s="35" t="str">
        <f aca="false">IF($C1261="","",N($E1261)*$F1261-N($G1261))</f>
        <v/>
      </c>
      <c r="I1261" s="35" t="str">
        <f aca="false">IF($C1261="","",$H1261-$H1261/(1+IFERROR(INDEX(PRODUCTOS!$E$6:$E$105,MATCH($C1261,PRODUCTOS!$A$6:$A$105,0)),IVA_VENTAS)))</f>
        <v/>
      </c>
      <c r="J1261" s="35" t="str">
        <f aca="false">IF($C1261="","",$H1261-$I1261)</f>
        <v/>
      </c>
      <c r="K1261" s="35" t="str">
        <f aca="false">IF($C1261="","",N($E1261)*IFERROR(INDEX(PRODUCTOS!$H$6:$H$105,MATCH($C1261,PRODUCTOS!$A$6:$A$105,0)),0))</f>
        <v/>
      </c>
      <c r="L1261" s="35" t="str">
        <f aca="false">IF($C1261="","",$J1261-$K1261)</f>
        <v/>
      </c>
      <c r="M1261" s="6"/>
      <c r="N1261" s="6"/>
      <c r="O1261" s="46" t="str">
        <f aca="false">IF($A1261="","",DATE(YEAR($A1261),MONTH($A1261),1))</f>
        <v/>
      </c>
    </row>
    <row r="1262" customFormat="false" ht="15" hidden="false" customHeight="false" outlineLevel="0" collapsed="false">
      <c r="A1262" s="44"/>
      <c r="B1262" s="6"/>
      <c r="C1262" s="6"/>
      <c r="D1262" s="8" t="str">
        <f aca="false">IF($C1262="","",IFERROR(INDEX(PRODUCTOS!$B$6:$B$105,MATCH($C1262,PRODUCTOS!$A$6:$A$105,0)),"¿Código?"))</f>
        <v/>
      </c>
      <c r="E1262" s="42"/>
      <c r="F1262" s="35" t="str">
        <f aca="false">IF($C1262="","",IFERROR(INDEX(PRODUCTOS!$D$6:$D$105,MATCH($C1262,PRODUCTOS!$A$6:$A$105,0)),0))</f>
        <v/>
      </c>
      <c r="G1262" s="40"/>
      <c r="H1262" s="35" t="str">
        <f aca="false">IF($C1262="","",N($E1262)*$F1262-N($G1262))</f>
        <v/>
      </c>
      <c r="I1262" s="35" t="str">
        <f aca="false">IF($C1262="","",$H1262-$H1262/(1+IFERROR(INDEX(PRODUCTOS!$E$6:$E$105,MATCH($C1262,PRODUCTOS!$A$6:$A$105,0)),IVA_VENTAS)))</f>
        <v/>
      </c>
      <c r="J1262" s="35" t="str">
        <f aca="false">IF($C1262="","",$H1262-$I1262)</f>
        <v/>
      </c>
      <c r="K1262" s="35" t="str">
        <f aca="false">IF($C1262="","",N($E1262)*IFERROR(INDEX(PRODUCTOS!$H$6:$H$105,MATCH($C1262,PRODUCTOS!$A$6:$A$105,0)),0))</f>
        <v/>
      </c>
      <c r="L1262" s="35" t="str">
        <f aca="false">IF($C1262="","",$J1262-$K1262)</f>
        <v/>
      </c>
      <c r="M1262" s="6"/>
      <c r="N1262" s="6"/>
      <c r="O1262" s="46" t="str">
        <f aca="false">IF($A1262="","",DATE(YEAR($A1262),MONTH($A1262),1))</f>
        <v/>
      </c>
    </row>
    <row r="1263" customFormat="false" ht="15" hidden="false" customHeight="false" outlineLevel="0" collapsed="false">
      <c r="A1263" s="44"/>
      <c r="B1263" s="6"/>
      <c r="C1263" s="6"/>
      <c r="D1263" s="8" t="str">
        <f aca="false">IF($C1263="","",IFERROR(INDEX(PRODUCTOS!$B$6:$B$105,MATCH($C1263,PRODUCTOS!$A$6:$A$105,0)),"¿Código?"))</f>
        <v/>
      </c>
      <c r="E1263" s="42"/>
      <c r="F1263" s="35" t="str">
        <f aca="false">IF($C1263="","",IFERROR(INDEX(PRODUCTOS!$D$6:$D$105,MATCH($C1263,PRODUCTOS!$A$6:$A$105,0)),0))</f>
        <v/>
      </c>
      <c r="G1263" s="40"/>
      <c r="H1263" s="35" t="str">
        <f aca="false">IF($C1263="","",N($E1263)*$F1263-N($G1263))</f>
        <v/>
      </c>
      <c r="I1263" s="35" t="str">
        <f aca="false">IF($C1263="","",$H1263-$H1263/(1+IFERROR(INDEX(PRODUCTOS!$E$6:$E$105,MATCH($C1263,PRODUCTOS!$A$6:$A$105,0)),IVA_VENTAS)))</f>
        <v/>
      </c>
      <c r="J1263" s="35" t="str">
        <f aca="false">IF($C1263="","",$H1263-$I1263)</f>
        <v/>
      </c>
      <c r="K1263" s="35" t="str">
        <f aca="false">IF($C1263="","",N($E1263)*IFERROR(INDEX(PRODUCTOS!$H$6:$H$105,MATCH($C1263,PRODUCTOS!$A$6:$A$105,0)),0))</f>
        <v/>
      </c>
      <c r="L1263" s="35" t="str">
        <f aca="false">IF($C1263="","",$J1263-$K1263)</f>
        <v/>
      </c>
      <c r="M1263" s="6"/>
      <c r="N1263" s="6"/>
      <c r="O1263" s="46" t="str">
        <f aca="false">IF($A1263="","",DATE(YEAR($A1263),MONTH($A1263),1))</f>
        <v/>
      </c>
    </row>
    <row r="1264" customFormat="false" ht="15" hidden="false" customHeight="false" outlineLevel="0" collapsed="false">
      <c r="A1264" s="44"/>
      <c r="B1264" s="6"/>
      <c r="C1264" s="6"/>
      <c r="D1264" s="8" t="str">
        <f aca="false">IF($C1264="","",IFERROR(INDEX(PRODUCTOS!$B$6:$B$105,MATCH($C1264,PRODUCTOS!$A$6:$A$105,0)),"¿Código?"))</f>
        <v/>
      </c>
      <c r="E1264" s="42"/>
      <c r="F1264" s="35" t="str">
        <f aca="false">IF($C1264="","",IFERROR(INDEX(PRODUCTOS!$D$6:$D$105,MATCH($C1264,PRODUCTOS!$A$6:$A$105,0)),0))</f>
        <v/>
      </c>
      <c r="G1264" s="40"/>
      <c r="H1264" s="35" t="str">
        <f aca="false">IF($C1264="","",N($E1264)*$F1264-N($G1264))</f>
        <v/>
      </c>
      <c r="I1264" s="35" t="str">
        <f aca="false">IF($C1264="","",$H1264-$H1264/(1+IFERROR(INDEX(PRODUCTOS!$E$6:$E$105,MATCH($C1264,PRODUCTOS!$A$6:$A$105,0)),IVA_VENTAS)))</f>
        <v/>
      </c>
      <c r="J1264" s="35" t="str">
        <f aca="false">IF($C1264="","",$H1264-$I1264)</f>
        <v/>
      </c>
      <c r="K1264" s="35" t="str">
        <f aca="false">IF($C1264="","",N($E1264)*IFERROR(INDEX(PRODUCTOS!$H$6:$H$105,MATCH($C1264,PRODUCTOS!$A$6:$A$105,0)),0))</f>
        <v/>
      </c>
      <c r="L1264" s="35" t="str">
        <f aca="false">IF($C1264="","",$J1264-$K1264)</f>
        <v/>
      </c>
      <c r="M1264" s="6"/>
      <c r="N1264" s="6"/>
      <c r="O1264" s="46" t="str">
        <f aca="false">IF($A1264="","",DATE(YEAR($A1264),MONTH($A1264),1))</f>
        <v/>
      </c>
    </row>
    <row r="1265" customFormat="false" ht="15" hidden="false" customHeight="false" outlineLevel="0" collapsed="false">
      <c r="A1265" s="44"/>
      <c r="B1265" s="6"/>
      <c r="C1265" s="6"/>
      <c r="D1265" s="8" t="str">
        <f aca="false">IF($C1265="","",IFERROR(INDEX(PRODUCTOS!$B$6:$B$105,MATCH($C1265,PRODUCTOS!$A$6:$A$105,0)),"¿Código?"))</f>
        <v/>
      </c>
      <c r="E1265" s="42"/>
      <c r="F1265" s="35" t="str">
        <f aca="false">IF($C1265="","",IFERROR(INDEX(PRODUCTOS!$D$6:$D$105,MATCH($C1265,PRODUCTOS!$A$6:$A$105,0)),0))</f>
        <v/>
      </c>
      <c r="G1265" s="40"/>
      <c r="H1265" s="35" t="str">
        <f aca="false">IF($C1265="","",N($E1265)*$F1265-N($G1265))</f>
        <v/>
      </c>
      <c r="I1265" s="35" t="str">
        <f aca="false">IF($C1265="","",$H1265-$H1265/(1+IFERROR(INDEX(PRODUCTOS!$E$6:$E$105,MATCH($C1265,PRODUCTOS!$A$6:$A$105,0)),IVA_VENTAS)))</f>
        <v/>
      </c>
      <c r="J1265" s="35" t="str">
        <f aca="false">IF($C1265="","",$H1265-$I1265)</f>
        <v/>
      </c>
      <c r="K1265" s="35" t="str">
        <f aca="false">IF($C1265="","",N($E1265)*IFERROR(INDEX(PRODUCTOS!$H$6:$H$105,MATCH($C1265,PRODUCTOS!$A$6:$A$105,0)),0))</f>
        <v/>
      </c>
      <c r="L1265" s="35" t="str">
        <f aca="false">IF($C1265="","",$J1265-$K1265)</f>
        <v/>
      </c>
      <c r="M1265" s="6"/>
      <c r="N1265" s="6"/>
      <c r="O1265" s="46" t="str">
        <f aca="false">IF($A1265="","",DATE(YEAR($A1265),MONTH($A1265),1))</f>
        <v/>
      </c>
    </row>
    <row r="1266" customFormat="false" ht="15" hidden="false" customHeight="false" outlineLevel="0" collapsed="false">
      <c r="A1266" s="44"/>
      <c r="B1266" s="6"/>
      <c r="C1266" s="6"/>
      <c r="D1266" s="8" t="str">
        <f aca="false">IF($C1266="","",IFERROR(INDEX(PRODUCTOS!$B$6:$B$105,MATCH($C1266,PRODUCTOS!$A$6:$A$105,0)),"¿Código?"))</f>
        <v/>
      </c>
      <c r="E1266" s="42"/>
      <c r="F1266" s="35" t="str">
        <f aca="false">IF($C1266="","",IFERROR(INDEX(PRODUCTOS!$D$6:$D$105,MATCH($C1266,PRODUCTOS!$A$6:$A$105,0)),0))</f>
        <v/>
      </c>
      <c r="G1266" s="40"/>
      <c r="H1266" s="35" t="str">
        <f aca="false">IF($C1266="","",N($E1266)*$F1266-N($G1266))</f>
        <v/>
      </c>
      <c r="I1266" s="35" t="str">
        <f aca="false">IF($C1266="","",$H1266-$H1266/(1+IFERROR(INDEX(PRODUCTOS!$E$6:$E$105,MATCH($C1266,PRODUCTOS!$A$6:$A$105,0)),IVA_VENTAS)))</f>
        <v/>
      </c>
      <c r="J1266" s="35" t="str">
        <f aca="false">IF($C1266="","",$H1266-$I1266)</f>
        <v/>
      </c>
      <c r="K1266" s="35" t="str">
        <f aca="false">IF($C1266="","",N($E1266)*IFERROR(INDEX(PRODUCTOS!$H$6:$H$105,MATCH($C1266,PRODUCTOS!$A$6:$A$105,0)),0))</f>
        <v/>
      </c>
      <c r="L1266" s="35" t="str">
        <f aca="false">IF($C1266="","",$J1266-$K1266)</f>
        <v/>
      </c>
      <c r="M1266" s="6"/>
      <c r="N1266" s="6"/>
      <c r="O1266" s="46" t="str">
        <f aca="false">IF($A1266="","",DATE(YEAR($A1266),MONTH($A1266),1))</f>
        <v/>
      </c>
    </row>
    <row r="1267" customFormat="false" ht="15" hidden="false" customHeight="false" outlineLevel="0" collapsed="false">
      <c r="A1267" s="44"/>
      <c r="B1267" s="6"/>
      <c r="C1267" s="6"/>
      <c r="D1267" s="8" t="str">
        <f aca="false">IF($C1267="","",IFERROR(INDEX(PRODUCTOS!$B$6:$B$105,MATCH($C1267,PRODUCTOS!$A$6:$A$105,0)),"¿Código?"))</f>
        <v/>
      </c>
      <c r="E1267" s="42"/>
      <c r="F1267" s="35" t="str">
        <f aca="false">IF($C1267="","",IFERROR(INDEX(PRODUCTOS!$D$6:$D$105,MATCH($C1267,PRODUCTOS!$A$6:$A$105,0)),0))</f>
        <v/>
      </c>
      <c r="G1267" s="40"/>
      <c r="H1267" s="35" t="str">
        <f aca="false">IF($C1267="","",N($E1267)*$F1267-N($G1267))</f>
        <v/>
      </c>
      <c r="I1267" s="35" t="str">
        <f aca="false">IF($C1267="","",$H1267-$H1267/(1+IFERROR(INDEX(PRODUCTOS!$E$6:$E$105,MATCH($C1267,PRODUCTOS!$A$6:$A$105,0)),IVA_VENTAS)))</f>
        <v/>
      </c>
      <c r="J1267" s="35" t="str">
        <f aca="false">IF($C1267="","",$H1267-$I1267)</f>
        <v/>
      </c>
      <c r="K1267" s="35" t="str">
        <f aca="false">IF($C1267="","",N($E1267)*IFERROR(INDEX(PRODUCTOS!$H$6:$H$105,MATCH($C1267,PRODUCTOS!$A$6:$A$105,0)),0))</f>
        <v/>
      </c>
      <c r="L1267" s="35" t="str">
        <f aca="false">IF($C1267="","",$J1267-$K1267)</f>
        <v/>
      </c>
      <c r="M1267" s="6"/>
      <c r="N1267" s="6"/>
      <c r="O1267" s="46" t="str">
        <f aca="false">IF($A1267="","",DATE(YEAR($A1267),MONTH($A1267),1))</f>
        <v/>
      </c>
    </row>
    <row r="1268" customFormat="false" ht="15" hidden="false" customHeight="false" outlineLevel="0" collapsed="false">
      <c r="A1268" s="44"/>
      <c r="B1268" s="6"/>
      <c r="C1268" s="6"/>
      <c r="D1268" s="8" t="str">
        <f aca="false">IF($C1268="","",IFERROR(INDEX(PRODUCTOS!$B$6:$B$105,MATCH($C1268,PRODUCTOS!$A$6:$A$105,0)),"¿Código?"))</f>
        <v/>
      </c>
      <c r="E1268" s="42"/>
      <c r="F1268" s="35" t="str">
        <f aca="false">IF($C1268="","",IFERROR(INDEX(PRODUCTOS!$D$6:$D$105,MATCH($C1268,PRODUCTOS!$A$6:$A$105,0)),0))</f>
        <v/>
      </c>
      <c r="G1268" s="40"/>
      <c r="H1268" s="35" t="str">
        <f aca="false">IF($C1268="","",N($E1268)*$F1268-N($G1268))</f>
        <v/>
      </c>
      <c r="I1268" s="35" t="str">
        <f aca="false">IF($C1268="","",$H1268-$H1268/(1+IFERROR(INDEX(PRODUCTOS!$E$6:$E$105,MATCH($C1268,PRODUCTOS!$A$6:$A$105,0)),IVA_VENTAS)))</f>
        <v/>
      </c>
      <c r="J1268" s="35" t="str">
        <f aca="false">IF($C1268="","",$H1268-$I1268)</f>
        <v/>
      </c>
      <c r="K1268" s="35" t="str">
        <f aca="false">IF($C1268="","",N($E1268)*IFERROR(INDEX(PRODUCTOS!$H$6:$H$105,MATCH($C1268,PRODUCTOS!$A$6:$A$105,0)),0))</f>
        <v/>
      </c>
      <c r="L1268" s="35" t="str">
        <f aca="false">IF($C1268="","",$J1268-$K1268)</f>
        <v/>
      </c>
      <c r="M1268" s="6"/>
      <c r="N1268" s="6"/>
      <c r="O1268" s="46" t="str">
        <f aca="false">IF($A1268="","",DATE(YEAR($A1268),MONTH($A1268),1))</f>
        <v/>
      </c>
    </row>
    <row r="1269" customFormat="false" ht="15" hidden="false" customHeight="false" outlineLevel="0" collapsed="false">
      <c r="A1269" s="44"/>
      <c r="B1269" s="6"/>
      <c r="C1269" s="6"/>
      <c r="D1269" s="8" t="str">
        <f aca="false">IF($C1269="","",IFERROR(INDEX(PRODUCTOS!$B$6:$B$105,MATCH($C1269,PRODUCTOS!$A$6:$A$105,0)),"¿Código?"))</f>
        <v/>
      </c>
      <c r="E1269" s="42"/>
      <c r="F1269" s="35" t="str">
        <f aca="false">IF($C1269="","",IFERROR(INDEX(PRODUCTOS!$D$6:$D$105,MATCH($C1269,PRODUCTOS!$A$6:$A$105,0)),0))</f>
        <v/>
      </c>
      <c r="G1269" s="40"/>
      <c r="H1269" s="35" t="str">
        <f aca="false">IF($C1269="","",N($E1269)*$F1269-N($G1269))</f>
        <v/>
      </c>
      <c r="I1269" s="35" t="str">
        <f aca="false">IF($C1269="","",$H1269-$H1269/(1+IFERROR(INDEX(PRODUCTOS!$E$6:$E$105,MATCH($C1269,PRODUCTOS!$A$6:$A$105,0)),IVA_VENTAS)))</f>
        <v/>
      </c>
      <c r="J1269" s="35" t="str">
        <f aca="false">IF($C1269="","",$H1269-$I1269)</f>
        <v/>
      </c>
      <c r="K1269" s="35" t="str">
        <f aca="false">IF($C1269="","",N($E1269)*IFERROR(INDEX(PRODUCTOS!$H$6:$H$105,MATCH($C1269,PRODUCTOS!$A$6:$A$105,0)),0))</f>
        <v/>
      </c>
      <c r="L1269" s="35" t="str">
        <f aca="false">IF($C1269="","",$J1269-$K1269)</f>
        <v/>
      </c>
      <c r="M1269" s="6"/>
      <c r="N1269" s="6"/>
      <c r="O1269" s="46" t="str">
        <f aca="false">IF($A1269="","",DATE(YEAR($A1269),MONTH($A1269),1))</f>
        <v/>
      </c>
    </row>
    <row r="1270" customFormat="false" ht="15" hidden="false" customHeight="false" outlineLevel="0" collapsed="false">
      <c r="A1270" s="44"/>
      <c r="B1270" s="6"/>
      <c r="C1270" s="6"/>
      <c r="D1270" s="8" t="str">
        <f aca="false">IF($C1270="","",IFERROR(INDEX(PRODUCTOS!$B$6:$B$105,MATCH($C1270,PRODUCTOS!$A$6:$A$105,0)),"¿Código?"))</f>
        <v/>
      </c>
      <c r="E1270" s="42"/>
      <c r="F1270" s="35" t="str">
        <f aca="false">IF($C1270="","",IFERROR(INDEX(PRODUCTOS!$D$6:$D$105,MATCH($C1270,PRODUCTOS!$A$6:$A$105,0)),0))</f>
        <v/>
      </c>
      <c r="G1270" s="40"/>
      <c r="H1270" s="35" t="str">
        <f aca="false">IF($C1270="","",N($E1270)*$F1270-N($G1270))</f>
        <v/>
      </c>
      <c r="I1270" s="35" t="str">
        <f aca="false">IF($C1270="","",$H1270-$H1270/(1+IFERROR(INDEX(PRODUCTOS!$E$6:$E$105,MATCH($C1270,PRODUCTOS!$A$6:$A$105,0)),IVA_VENTAS)))</f>
        <v/>
      </c>
      <c r="J1270" s="35" t="str">
        <f aca="false">IF($C1270="","",$H1270-$I1270)</f>
        <v/>
      </c>
      <c r="K1270" s="35" t="str">
        <f aca="false">IF($C1270="","",N($E1270)*IFERROR(INDEX(PRODUCTOS!$H$6:$H$105,MATCH($C1270,PRODUCTOS!$A$6:$A$105,0)),0))</f>
        <v/>
      </c>
      <c r="L1270" s="35" t="str">
        <f aca="false">IF($C1270="","",$J1270-$K1270)</f>
        <v/>
      </c>
      <c r="M1270" s="6"/>
      <c r="N1270" s="6"/>
      <c r="O1270" s="46" t="str">
        <f aca="false">IF($A1270="","",DATE(YEAR($A1270),MONTH($A1270),1))</f>
        <v/>
      </c>
    </row>
    <row r="1271" customFormat="false" ht="15" hidden="false" customHeight="false" outlineLevel="0" collapsed="false">
      <c r="A1271" s="44"/>
      <c r="B1271" s="6"/>
      <c r="C1271" s="6"/>
      <c r="D1271" s="8" t="str">
        <f aca="false">IF($C1271="","",IFERROR(INDEX(PRODUCTOS!$B$6:$B$105,MATCH($C1271,PRODUCTOS!$A$6:$A$105,0)),"¿Código?"))</f>
        <v/>
      </c>
      <c r="E1271" s="42"/>
      <c r="F1271" s="35" t="str">
        <f aca="false">IF($C1271="","",IFERROR(INDEX(PRODUCTOS!$D$6:$D$105,MATCH($C1271,PRODUCTOS!$A$6:$A$105,0)),0))</f>
        <v/>
      </c>
      <c r="G1271" s="40"/>
      <c r="H1271" s="35" t="str">
        <f aca="false">IF($C1271="","",N($E1271)*$F1271-N($G1271))</f>
        <v/>
      </c>
      <c r="I1271" s="35" t="str">
        <f aca="false">IF($C1271="","",$H1271-$H1271/(1+IFERROR(INDEX(PRODUCTOS!$E$6:$E$105,MATCH($C1271,PRODUCTOS!$A$6:$A$105,0)),IVA_VENTAS)))</f>
        <v/>
      </c>
      <c r="J1271" s="35" t="str">
        <f aca="false">IF($C1271="","",$H1271-$I1271)</f>
        <v/>
      </c>
      <c r="K1271" s="35" t="str">
        <f aca="false">IF($C1271="","",N($E1271)*IFERROR(INDEX(PRODUCTOS!$H$6:$H$105,MATCH($C1271,PRODUCTOS!$A$6:$A$105,0)),0))</f>
        <v/>
      </c>
      <c r="L1271" s="35" t="str">
        <f aca="false">IF($C1271="","",$J1271-$K1271)</f>
        <v/>
      </c>
      <c r="M1271" s="6"/>
      <c r="N1271" s="6"/>
      <c r="O1271" s="46" t="str">
        <f aca="false">IF($A1271="","",DATE(YEAR($A1271),MONTH($A1271),1))</f>
        <v/>
      </c>
    </row>
    <row r="1272" customFormat="false" ht="15" hidden="false" customHeight="false" outlineLevel="0" collapsed="false">
      <c r="A1272" s="44"/>
      <c r="B1272" s="6"/>
      <c r="C1272" s="6"/>
      <c r="D1272" s="8" t="str">
        <f aca="false">IF($C1272="","",IFERROR(INDEX(PRODUCTOS!$B$6:$B$105,MATCH($C1272,PRODUCTOS!$A$6:$A$105,0)),"¿Código?"))</f>
        <v/>
      </c>
      <c r="E1272" s="42"/>
      <c r="F1272" s="35" t="str">
        <f aca="false">IF($C1272="","",IFERROR(INDEX(PRODUCTOS!$D$6:$D$105,MATCH($C1272,PRODUCTOS!$A$6:$A$105,0)),0))</f>
        <v/>
      </c>
      <c r="G1272" s="40"/>
      <c r="H1272" s="35" t="str">
        <f aca="false">IF($C1272="","",N($E1272)*$F1272-N($G1272))</f>
        <v/>
      </c>
      <c r="I1272" s="35" t="str">
        <f aca="false">IF($C1272="","",$H1272-$H1272/(1+IFERROR(INDEX(PRODUCTOS!$E$6:$E$105,MATCH($C1272,PRODUCTOS!$A$6:$A$105,0)),IVA_VENTAS)))</f>
        <v/>
      </c>
      <c r="J1272" s="35" t="str">
        <f aca="false">IF($C1272="","",$H1272-$I1272)</f>
        <v/>
      </c>
      <c r="K1272" s="35" t="str">
        <f aca="false">IF($C1272="","",N($E1272)*IFERROR(INDEX(PRODUCTOS!$H$6:$H$105,MATCH($C1272,PRODUCTOS!$A$6:$A$105,0)),0))</f>
        <v/>
      </c>
      <c r="L1272" s="35" t="str">
        <f aca="false">IF($C1272="","",$J1272-$K1272)</f>
        <v/>
      </c>
      <c r="M1272" s="6"/>
      <c r="N1272" s="6"/>
      <c r="O1272" s="46" t="str">
        <f aca="false">IF($A1272="","",DATE(YEAR($A1272),MONTH($A1272),1))</f>
        <v/>
      </c>
    </row>
    <row r="1273" customFormat="false" ht="15" hidden="false" customHeight="false" outlineLevel="0" collapsed="false">
      <c r="A1273" s="44"/>
      <c r="B1273" s="6"/>
      <c r="C1273" s="6"/>
      <c r="D1273" s="8" t="str">
        <f aca="false">IF($C1273="","",IFERROR(INDEX(PRODUCTOS!$B$6:$B$105,MATCH($C1273,PRODUCTOS!$A$6:$A$105,0)),"¿Código?"))</f>
        <v/>
      </c>
      <c r="E1273" s="42"/>
      <c r="F1273" s="35" t="str">
        <f aca="false">IF($C1273="","",IFERROR(INDEX(PRODUCTOS!$D$6:$D$105,MATCH($C1273,PRODUCTOS!$A$6:$A$105,0)),0))</f>
        <v/>
      </c>
      <c r="G1273" s="40"/>
      <c r="H1273" s="35" t="str">
        <f aca="false">IF($C1273="","",N($E1273)*$F1273-N($G1273))</f>
        <v/>
      </c>
      <c r="I1273" s="35" t="str">
        <f aca="false">IF($C1273="","",$H1273-$H1273/(1+IFERROR(INDEX(PRODUCTOS!$E$6:$E$105,MATCH($C1273,PRODUCTOS!$A$6:$A$105,0)),IVA_VENTAS)))</f>
        <v/>
      </c>
      <c r="J1273" s="35" t="str">
        <f aca="false">IF($C1273="","",$H1273-$I1273)</f>
        <v/>
      </c>
      <c r="K1273" s="35" t="str">
        <f aca="false">IF($C1273="","",N($E1273)*IFERROR(INDEX(PRODUCTOS!$H$6:$H$105,MATCH($C1273,PRODUCTOS!$A$6:$A$105,0)),0))</f>
        <v/>
      </c>
      <c r="L1273" s="35" t="str">
        <f aca="false">IF($C1273="","",$J1273-$K1273)</f>
        <v/>
      </c>
      <c r="M1273" s="6"/>
      <c r="N1273" s="6"/>
      <c r="O1273" s="46" t="str">
        <f aca="false">IF($A1273="","",DATE(YEAR($A1273),MONTH($A1273),1))</f>
        <v/>
      </c>
    </row>
    <row r="1274" customFormat="false" ht="15" hidden="false" customHeight="false" outlineLevel="0" collapsed="false">
      <c r="A1274" s="44"/>
      <c r="B1274" s="6"/>
      <c r="C1274" s="6"/>
      <c r="D1274" s="8" t="str">
        <f aca="false">IF($C1274="","",IFERROR(INDEX(PRODUCTOS!$B$6:$B$105,MATCH($C1274,PRODUCTOS!$A$6:$A$105,0)),"¿Código?"))</f>
        <v/>
      </c>
      <c r="E1274" s="42"/>
      <c r="F1274" s="35" t="str">
        <f aca="false">IF($C1274="","",IFERROR(INDEX(PRODUCTOS!$D$6:$D$105,MATCH($C1274,PRODUCTOS!$A$6:$A$105,0)),0))</f>
        <v/>
      </c>
      <c r="G1274" s="40"/>
      <c r="H1274" s="35" t="str">
        <f aca="false">IF($C1274="","",N($E1274)*$F1274-N($G1274))</f>
        <v/>
      </c>
      <c r="I1274" s="35" t="str">
        <f aca="false">IF($C1274="","",$H1274-$H1274/(1+IFERROR(INDEX(PRODUCTOS!$E$6:$E$105,MATCH($C1274,PRODUCTOS!$A$6:$A$105,0)),IVA_VENTAS)))</f>
        <v/>
      </c>
      <c r="J1274" s="35" t="str">
        <f aca="false">IF($C1274="","",$H1274-$I1274)</f>
        <v/>
      </c>
      <c r="K1274" s="35" t="str">
        <f aca="false">IF($C1274="","",N($E1274)*IFERROR(INDEX(PRODUCTOS!$H$6:$H$105,MATCH($C1274,PRODUCTOS!$A$6:$A$105,0)),0))</f>
        <v/>
      </c>
      <c r="L1274" s="35" t="str">
        <f aca="false">IF($C1274="","",$J1274-$K1274)</f>
        <v/>
      </c>
      <c r="M1274" s="6"/>
      <c r="N1274" s="6"/>
      <c r="O1274" s="46" t="str">
        <f aca="false">IF($A1274="","",DATE(YEAR($A1274),MONTH($A1274),1))</f>
        <v/>
      </c>
    </row>
    <row r="1275" customFormat="false" ht="15" hidden="false" customHeight="false" outlineLevel="0" collapsed="false">
      <c r="A1275" s="44"/>
      <c r="B1275" s="6"/>
      <c r="C1275" s="6"/>
      <c r="D1275" s="8" t="str">
        <f aca="false">IF($C1275="","",IFERROR(INDEX(PRODUCTOS!$B$6:$B$105,MATCH($C1275,PRODUCTOS!$A$6:$A$105,0)),"¿Código?"))</f>
        <v/>
      </c>
      <c r="E1275" s="42"/>
      <c r="F1275" s="35" t="str">
        <f aca="false">IF($C1275="","",IFERROR(INDEX(PRODUCTOS!$D$6:$D$105,MATCH($C1275,PRODUCTOS!$A$6:$A$105,0)),0))</f>
        <v/>
      </c>
      <c r="G1275" s="40"/>
      <c r="H1275" s="35" t="str">
        <f aca="false">IF($C1275="","",N($E1275)*$F1275-N($G1275))</f>
        <v/>
      </c>
      <c r="I1275" s="35" t="str">
        <f aca="false">IF($C1275="","",$H1275-$H1275/(1+IFERROR(INDEX(PRODUCTOS!$E$6:$E$105,MATCH($C1275,PRODUCTOS!$A$6:$A$105,0)),IVA_VENTAS)))</f>
        <v/>
      </c>
      <c r="J1275" s="35" t="str">
        <f aca="false">IF($C1275="","",$H1275-$I1275)</f>
        <v/>
      </c>
      <c r="K1275" s="35" t="str">
        <f aca="false">IF($C1275="","",N($E1275)*IFERROR(INDEX(PRODUCTOS!$H$6:$H$105,MATCH($C1275,PRODUCTOS!$A$6:$A$105,0)),0))</f>
        <v/>
      </c>
      <c r="L1275" s="35" t="str">
        <f aca="false">IF($C1275="","",$J1275-$K1275)</f>
        <v/>
      </c>
      <c r="M1275" s="6"/>
      <c r="N1275" s="6"/>
      <c r="O1275" s="46" t="str">
        <f aca="false">IF($A1275="","",DATE(YEAR($A1275),MONTH($A1275),1))</f>
        <v/>
      </c>
    </row>
    <row r="1276" customFormat="false" ht="15" hidden="false" customHeight="false" outlineLevel="0" collapsed="false">
      <c r="A1276" s="44"/>
      <c r="B1276" s="6"/>
      <c r="C1276" s="6"/>
      <c r="D1276" s="8" t="str">
        <f aca="false">IF($C1276="","",IFERROR(INDEX(PRODUCTOS!$B$6:$B$105,MATCH($C1276,PRODUCTOS!$A$6:$A$105,0)),"¿Código?"))</f>
        <v/>
      </c>
      <c r="E1276" s="42"/>
      <c r="F1276" s="35" t="str">
        <f aca="false">IF($C1276="","",IFERROR(INDEX(PRODUCTOS!$D$6:$D$105,MATCH($C1276,PRODUCTOS!$A$6:$A$105,0)),0))</f>
        <v/>
      </c>
      <c r="G1276" s="40"/>
      <c r="H1276" s="35" t="str">
        <f aca="false">IF($C1276="","",N($E1276)*$F1276-N($G1276))</f>
        <v/>
      </c>
      <c r="I1276" s="35" t="str">
        <f aca="false">IF($C1276="","",$H1276-$H1276/(1+IFERROR(INDEX(PRODUCTOS!$E$6:$E$105,MATCH($C1276,PRODUCTOS!$A$6:$A$105,0)),IVA_VENTAS)))</f>
        <v/>
      </c>
      <c r="J1276" s="35" t="str">
        <f aca="false">IF($C1276="","",$H1276-$I1276)</f>
        <v/>
      </c>
      <c r="K1276" s="35" t="str">
        <f aca="false">IF($C1276="","",N($E1276)*IFERROR(INDEX(PRODUCTOS!$H$6:$H$105,MATCH($C1276,PRODUCTOS!$A$6:$A$105,0)),0))</f>
        <v/>
      </c>
      <c r="L1276" s="35" t="str">
        <f aca="false">IF($C1276="","",$J1276-$K1276)</f>
        <v/>
      </c>
      <c r="M1276" s="6"/>
      <c r="N1276" s="6"/>
      <c r="O1276" s="46" t="str">
        <f aca="false">IF($A1276="","",DATE(YEAR($A1276),MONTH($A1276),1))</f>
        <v/>
      </c>
    </row>
    <row r="1277" customFormat="false" ht="15" hidden="false" customHeight="false" outlineLevel="0" collapsed="false">
      <c r="A1277" s="44"/>
      <c r="B1277" s="6"/>
      <c r="C1277" s="6"/>
      <c r="D1277" s="8" t="str">
        <f aca="false">IF($C1277="","",IFERROR(INDEX(PRODUCTOS!$B$6:$B$105,MATCH($C1277,PRODUCTOS!$A$6:$A$105,0)),"¿Código?"))</f>
        <v/>
      </c>
      <c r="E1277" s="42"/>
      <c r="F1277" s="35" t="str">
        <f aca="false">IF($C1277="","",IFERROR(INDEX(PRODUCTOS!$D$6:$D$105,MATCH($C1277,PRODUCTOS!$A$6:$A$105,0)),0))</f>
        <v/>
      </c>
      <c r="G1277" s="40"/>
      <c r="H1277" s="35" t="str">
        <f aca="false">IF($C1277="","",N($E1277)*$F1277-N($G1277))</f>
        <v/>
      </c>
      <c r="I1277" s="35" t="str">
        <f aca="false">IF($C1277="","",$H1277-$H1277/(1+IFERROR(INDEX(PRODUCTOS!$E$6:$E$105,MATCH($C1277,PRODUCTOS!$A$6:$A$105,0)),IVA_VENTAS)))</f>
        <v/>
      </c>
      <c r="J1277" s="35" t="str">
        <f aca="false">IF($C1277="","",$H1277-$I1277)</f>
        <v/>
      </c>
      <c r="K1277" s="35" t="str">
        <f aca="false">IF($C1277="","",N($E1277)*IFERROR(INDEX(PRODUCTOS!$H$6:$H$105,MATCH($C1277,PRODUCTOS!$A$6:$A$105,0)),0))</f>
        <v/>
      </c>
      <c r="L1277" s="35" t="str">
        <f aca="false">IF($C1277="","",$J1277-$K1277)</f>
        <v/>
      </c>
      <c r="M1277" s="6"/>
      <c r="N1277" s="6"/>
      <c r="O1277" s="46" t="str">
        <f aca="false">IF($A1277="","",DATE(YEAR($A1277),MONTH($A1277),1))</f>
        <v/>
      </c>
    </row>
    <row r="1278" customFormat="false" ht="15" hidden="false" customHeight="false" outlineLevel="0" collapsed="false">
      <c r="A1278" s="44"/>
      <c r="B1278" s="6"/>
      <c r="C1278" s="6"/>
      <c r="D1278" s="8" t="str">
        <f aca="false">IF($C1278="","",IFERROR(INDEX(PRODUCTOS!$B$6:$B$105,MATCH($C1278,PRODUCTOS!$A$6:$A$105,0)),"¿Código?"))</f>
        <v/>
      </c>
      <c r="E1278" s="42"/>
      <c r="F1278" s="35" t="str">
        <f aca="false">IF($C1278="","",IFERROR(INDEX(PRODUCTOS!$D$6:$D$105,MATCH($C1278,PRODUCTOS!$A$6:$A$105,0)),0))</f>
        <v/>
      </c>
      <c r="G1278" s="40"/>
      <c r="H1278" s="35" t="str">
        <f aca="false">IF($C1278="","",N($E1278)*$F1278-N($G1278))</f>
        <v/>
      </c>
      <c r="I1278" s="35" t="str">
        <f aca="false">IF($C1278="","",$H1278-$H1278/(1+IFERROR(INDEX(PRODUCTOS!$E$6:$E$105,MATCH($C1278,PRODUCTOS!$A$6:$A$105,0)),IVA_VENTAS)))</f>
        <v/>
      </c>
      <c r="J1278" s="35" t="str">
        <f aca="false">IF($C1278="","",$H1278-$I1278)</f>
        <v/>
      </c>
      <c r="K1278" s="35" t="str">
        <f aca="false">IF($C1278="","",N($E1278)*IFERROR(INDEX(PRODUCTOS!$H$6:$H$105,MATCH($C1278,PRODUCTOS!$A$6:$A$105,0)),0))</f>
        <v/>
      </c>
      <c r="L1278" s="35" t="str">
        <f aca="false">IF($C1278="","",$J1278-$K1278)</f>
        <v/>
      </c>
      <c r="M1278" s="6"/>
      <c r="N1278" s="6"/>
      <c r="O1278" s="46" t="str">
        <f aca="false">IF($A1278="","",DATE(YEAR($A1278),MONTH($A1278),1))</f>
        <v/>
      </c>
    </row>
    <row r="1279" customFormat="false" ht="15" hidden="false" customHeight="false" outlineLevel="0" collapsed="false">
      <c r="A1279" s="44"/>
      <c r="B1279" s="6"/>
      <c r="C1279" s="6"/>
      <c r="D1279" s="8" t="str">
        <f aca="false">IF($C1279="","",IFERROR(INDEX(PRODUCTOS!$B$6:$B$105,MATCH($C1279,PRODUCTOS!$A$6:$A$105,0)),"¿Código?"))</f>
        <v/>
      </c>
      <c r="E1279" s="42"/>
      <c r="F1279" s="35" t="str">
        <f aca="false">IF($C1279="","",IFERROR(INDEX(PRODUCTOS!$D$6:$D$105,MATCH($C1279,PRODUCTOS!$A$6:$A$105,0)),0))</f>
        <v/>
      </c>
      <c r="G1279" s="40"/>
      <c r="H1279" s="35" t="str">
        <f aca="false">IF($C1279="","",N($E1279)*$F1279-N($G1279))</f>
        <v/>
      </c>
      <c r="I1279" s="35" t="str">
        <f aca="false">IF($C1279="","",$H1279-$H1279/(1+IFERROR(INDEX(PRODUCTOS!$E$6:$E$105,MATCH($C1279,PRODUCTOS!$A$6:$A$105,0)),IVA_VENTAS)))</f>
        <v/>
      </c>
      <c r="J1279" s="35" t="str">
        <f aca="false">IF($C1279="","",$H1279-$I1279)</f>
        <v/>
      </c>
      <c r="K1279" s="35" t="str">
        <f aca="false">IF($C1279="","",N($E1279)*IFERROR(INDEX(PRODUCTOS!$H$6:$H$105,MATCH($C1279,PRODUCTOS!$A$6:$A$105,0)),0))</f>
        <v/>
      </c>
      <c r="L1279" s="35" t="str">
        <f aca="false">IF($C1279="","",$J1279-$K1279)</f>
        <v/>
      </c>
      <c r="M1279" s="6"/>
      <c r="N1279" s="6"/>
      <c r="O1279" s="46" t="str">
        <f aca="false">IF($A1279="","",DATE(YEAR($A1279),MONTH($A1279),1))</f>
        <v/>
      </c>
    </row>
    <row r="1280" customFormat="false" ht="15" hidden="false" customHeight="false" outlineLevel="0" collapsed="false">
      <c r="A1280" s="44"/>
      <c r="B1280" s="6"/>
      <c r="C1280" s="6"/>
      <c r="D1280" s="8" t="str">
        <f aca="false">IF($C1280="","",IFERROR(INDEX(PRODUCTOS!$B$6:$B$105,MATCH($C1280,PRODUCTOS!$A$6:$A$105,0)),"¿Código?"))</f>
        <v/>
      </c>
      <c r="E1280" s="42"/>
      <c r="F1280" s="35" t="str">
        <f aca="false">IF($C1280="","",IFERROR(INDEX(PRODUCTOS!$D$6:$D$105,MATCH($C1280,PRODUCTOS!$A$6:$A$105,0)),0))</f>
        <v/>
      </c>
      <c r="G1280" s="40"/>
      <c r="H1280" s="35" t="str">
        <f aca="false">IF($C1280="","",N($E1280)*$F1280-N($G1280))</f>
        <v/>
      </c>
      <c r="I1280" s="35" t="str">
        <f aca="false">IF($C1280="","",$H1280-$H1280/(1+IFERROR(INDEX(PRODUCTOS!$E$6:$E$105,MATCH($C1280,PRODUCTOS!$A$6:$A$105,0)),IVA_VENTAS)))</f>
        <v/>
      </c>
      <c r="J1280" s="35" t="str">
        <f aca="false">IF($C1280="","",$H1280-$I1280)</f>
        <v/>
      </c>
      <c r="K1280" s="35" t="str">
        <f aca="false">IF($C1280="","",N($E1280)*IFERROR(INDEX(PRODUCTOS!$H$6:$H$105,MATCH($C1280,PRODUCTOS!$A$6:$A$105,0)),0))</f>
        <v/>
      </c>
      <c r="L1280" s="35" t="str">
        <f aca="false">IF($C1280="","",$J1280-$K1280)</f>
        <v/>
      </c>
      <c r="M1280" s="6"/>
      <c r="N1280" s="6"/>
      <c r="O1280" s="46" t="str">
        <f aca="false">IF($A1280="","",DATE(YEAR($A1280),MONTH($A1280),1))</f>
        <v/>
      </c>
    </row>
    <row r="1281" customFormat="false" ht="15" hidden="false" customHeight="false" outlineLevel="0" collapsed="false">
      <c r="A1281" s="44"/>
      <c r="B1281" s="6"/>
      <c r="C1281" s="6"/>
      <c r="D1281" s="8" t="str">
        <f aca="false">IF($C1281="","",IFERROR(INDEX(PRODUCTOS!$B$6:$B$105,MATCH($C1281,PRODUCTOS!$A$6:$A$105,0)),"¿Código?"))</f>
        <v/>
      </c>
      <c r="E1281" s="42"/>
      <c r="F1281" s="35" t="str">
        <f aca="false">IF($C1281="","",IFERROR(INDEX(PRODUCTOS!$D$6:$D$105,MATCH($C1281,PRODUCTOS!$A$6:$A$105,0)),0))</f>
        <v/>
      </c>
      <c r="G1281" s="40"/>
      <c r="H1281" s="35" t="str">
        <f aca="false">IF($C1281="","",N($E1281)*$F1281-N($G1281))</f>
        <v/>
      </c>
      <c r="I1281" s="35" t="str">
        <f aca="false">IF($C1281="","",$H1281-$H1281/(1+IFERROR(INDEX(PRODUCTOS!$E$6:$E$105,MATCH($C1281,PRODUCTOS!$A$6:$A$105,0)),IVA_VENTAS)))</f>
        <v/>
      </c>
      <c r="J1281" s="35" t="str">
        <f aca="false">IF($C1281="","",$H1281-$I1281)</f>
        <v/>
      </c>
      <c r="K1281" s="35" t="str">
        <f aca="false">IF($C1281="","",N($E1281)*IFERROR(INDEX(PRODUCTOS!$H$6:$H$105,MATCH($C1281,PRODUCTOS!$A$6:$A$105,0)),0))</f>
        <v/>
      </c>
      <c r="L1281" s="35" t="str">
        <f aca="false">IF($C1281="","",$J1281-$K1281)</f>
        <v/>
      </c>
      <c r="M1281" s="6"/>
      <c r="N1281" s="6"/>
      <c r="O1281" s="46" t="str">
        <f aca="false">IF($A1281="","",DATE(YEAR($A1281),MONTH($A1281),1))</f>
        <v/>
      </c>
    </row>
    <row r="1282" customFormat="false" ht="15" hidden="false" customHeight="false" outlineLevel="0" collapsed="false">
      <c r="A1282" s="44"/>
      <c r="B1282" s="6"/>
      <c r="C1282" s="6"/>
      <c r="D1282" s="8" t="str">
        <f aca="false">IF($C1282="","",IFERROR(INDEX(PRODUCTOS!$B$6:$B$105,MATCH($C1282,PRODUCTOS!$A$6:$A$105,0)),"¿Código?"))</f>
        <v/>
      </c>
      <c r="E1282" s="42"/>
      <c r="F1282" s="35" t="str">
        <f aca="false">IF($C1282="","",IFERROR(INDEX(PRODUCTOS!$D$6:$D$105,MATCH($C1282,PRODUCTOS!$A$6:$A$105,0)),0))</f>
        <v/>
      </c>
      <c r="G1282" s="40"/>
      <c r="H1282" s="35" t="str">
        <f aca="false">IF($C1282="","",N($E1282)*$F1282-N($G1282))</f>
        <v/>
      </c>
      <c r="I1282" s="35" t="str">
        <f aca="false">IF($C1282="","",$H1282-$H1282/(1+IFERROR(INDEX(PRODUCTOS!$E$6:$E$105,MATCH($C1282,PRODUCTOS!$A$6:$A$105,0)),IVA_VENTAS)))</f>
        <v/>
      </c>
      <c r="J1282" s="35" t="str">
        <f aca="false">IF($C1282="","",$H1282-$I1282)</f>
        <v/>
      </c>
      <c r="K1282" s="35" t="str">
        <f aca="false">IF($C1282="","",N($E1282)*IFERROR(INDEX(PRODUCTOS!$H$6:$H$105,MATCH($C1282,PRODUCTOS!$A$6:$A$105,0)),0))</f>
        <v/>
      </c>
      <c r="L1282" s="35" t="str">
        <f aca="false">IF($C1282="","",$J1282-$K1282)</f>
        <v/>
      </c>
      <c r="M1282" s="6"/>
      <c r="N1282" s="6"/>
      <c r="O1282" s="46" t="str">
        <f aca="false">IF($A1282="","",DATE(YEAR($A1282),MONTH($A1282),1))</f>
        <v/>
      </c>
    </row>
    <row r="1283" customFormat="false" ht="15" hidden="false" customHeight="false" outlineLevel="0" collapsed="false">
      <c r="A1283" s="44"/>
      <c r="B1283" s="6"/>
      <c r="C1283" s="6"/>
      <c r="D1283" s="8" t="str">
        <f aca="false">IF($C1283="","",IFERROR(INDEX(PRODUCTOS!$B$6:$B$105,MATCH($C1283,PRODUCTOS!$A$6:$A$105,0)),"¿Código?"))</f>
        <v/>
      </c>
      <c r="E1283" s="42"/>
      <c r="F1283" s="35" t="str">
        <f aca="false">IF($C1283="","",IFERROR(INDEX(PRODUCTOS!$D$6:$D$105,MATCH($C1283,PRODUCTOS!$A$6:$A$105,0)),0))</f>
        <v/>
      </c>
      <c r="G1283" s="40"/>
      <c r="H1283" s="35" t="str">
        <f aca="false">IF($C1283="","",N($E1283)*$F1283-N($G1283))</f>
        <v/>
      </c>
      <c r="I1283" s="35" t="str">
        <f aca="false">IF($C1283="","",$H1283-$H1283/(1+IFERROR(INDEX(PRODUCTOS!$E$6:$E$105,MATCH($C1283,PRODUCTOS!$A$6:$A$105,0)),IVA_VENTAS)))</f>
        <v/>
      </c>
      <c r="J1283" s="35" t="str">
        <f aca="false">IF($C1283="","",$H1283-$I1283)</f>
        <v/>
      </c>
      <c r="K1283" s="35" t="str">
        <f aca="false">IF($C1283="","",N($E1283)*IFERROR(INDEX(PRODUCTOS!$H$6:$H$105,MATCH($C1283,PRODUCTOS!$A$6:$A$105,0)),0))</f>
        <v/>
      </c>
      <c r="L1283" s="35" t="str">
        <f aca="false">IF($C1283="","",$J1283-$K1283)</f>
        <v/>
      </c>
      <c r="M1283" s="6"/>
      <c r="N1283" s="6"/>
      <c r="O1283" s="46" t="str">
        <f aca="false">IF($A1283="","",DATE(YEAR($A1283),MONTH($A1283),1))</f>
        <v/>
      </c>
    </row>
    <row r="1284" customFormat="false" ht="15" hidden="false" customHeight="false" outlineLevel="0" collapsed="false">
      <c r="A1284" s="44"/>
      <c r="B1284" s="6"/>
      <c r="C1284" s="6"/>
      <c r="D1284" s="8" t="str">
        <f aca="false">IF($C1284="","",IFERROR(INDEX(PRODUCTOS!$B$6:$B$105,MATCH($C1284,PRODUCTOS!$A$6:$A$105,0)),"¿Código?"))</f>
        <v/>
      </c>
      <c r="E1284" s="42"/>
      <c r="F1284" s="35" t="str">
        <f aca="false">IF($C1284="","",IFERROR(INDEX(PRODUCTOS!$D$6:$D$105,MATCH($C1284,PRODUCTOS!$A$6:$A$105,0)),0))</f>
        <v/>
      </c>
      <c r="G1284" s="40"/>
      <c r="H1284" s="35" t="str">
        <f aca="false">IF($C1284="","",N($E1284)*$F1284-N($G1284))</f>
        <v/>
      </c>
      <c r="I1284" s="35" t="str">
        <f aca="false">IF($C1284="","",$H1284-$H1284/(1+IFERROR(INDEX(PRODUCTOS!$E$6:$E$105,MATCH($C1284,PRODUCTOS!$A$6:$A$105,0)),IVA_VENTAS)))</f>
        <v/>
      </c>
      <c r="J1284" s="35" t="str">
        <f aca="false">IF($C1284="","",$H1284-$I1284)</f>
        <v/>
      </c>
      <c r="K1284" s="35" t="str">
        <f aca="false">IF($C1284="","",N($E1284)*IFERROR(INDEX(PRODUCTOS!$H$6:$H$105,MATCH($C1284,PRODUCTOS!$A$6:$A$105,0)),0))</f>
        <v/>
      </c>
      <c r="L1284" s="35" t="str">
        <f aca="false">IF($C1284="","",$J1284-$K1284)</f>
        <v/>
      </c>
      <c r="M1284" s="6"/>
      <c r="N1284" s="6"/>
      <c r="O1284" s="46" t="str">
        <f aca="false">IF($A1284="","",DATE(YEAR($A1284),MONTH($A1284),1))</f>
        <v/>
      </c>
    </row>
    <row r="1285" customFormat="false" ht="15" hidden="false" customHeight="false" outlineLevel="0" collapsed="false">
      <c r="A1285" s="44"/>
      <c r="B1285" s="6"/>
      <c r="C1285" s="6"/>
      <c r="D1285" s="8" t="str">
        <f aca="false">IF($C1285="","",IFERROR(INDEX(PRODUCTOS!$B$6:$B$105,MATCH($C1285,PRODUCTOS!$A$6:$A$105,0)),"¿Código?"))</f>
        <v/>
      </c>
      <c r="E1285" s="42"/>
      <c r="F1285" s="35" t="str">
        <f aca="false">IF($C1285="","",IFERROR(INDEX(PRODUCTOS!$D$6:$D$105,MATCH($C1285,PRODUCTOS!$A$6:$A$105,0)),0))</f>
        <v/>
      </c>
      <c r="G1285" s="40"/>
      <c r="H1285" s="35" t="str">
        <f aca="false">IF($C1285="","",N($E1285)*$F1285-N($G1285))</f>
        <v/>
      </c>
      <c r="I1285" s="35" t="str">
        <f aca="false">IF($C1285="","",$H1285-$H1285/(1+IFERROR(INDEX(PRODUCTOS!$E$6:$E$105,MATCH($C1285,PRODUCTOS!$A$6:$A$105,0)),IVA_VENTAS)))</f>
        <v/>
      </c>
      <c r="J1285" s="35" t="str">
        <f aca="false">IF($C1285="","",$H1285-$I1285)</f>
        <v/>
      </c>
      <c r="K1285" s="35" t="str">
        <f aca="false">IF($C1285="","",N($E1285)*IFERROR(INDEX(PRODUCTOS!$H$6:$H$105,MATCH($C1285,PRODUCTOS!$A$6:$A$105,0)),0))</f>
        <v/>
      </c>
      <c r="L1285" s="35" t="str">
        <f aca="false">IF($C1285="","",$J1285-$K1285)</f>
        <v/>
      </c>
      <c r="M1285" s="6"/>
      <c r="N1285" s="6"/>
      <c r="O1285" s="46" t="str">
        <f aca="false">IF($A1285="","",DATE(YEAR($A1285),MONTH($A1285),1))</f>
        <v/>
      </c>
    </row>
    <row r="1286" customFormat="false" ht="15" hidden="false" customHeight="false" outlineLevel="0" collapsed="false">
      <c r="A1286" s="44"/>
      <c r="B1286" s="6"/>
      <c r="C1286" s="6"/>
      <c r="D1286" s="8" t="str">
        <f aca="false">IF($C1286="","",IFERROR(INDEX(PRODUCTOS!$B$6:$B$105,MATCH($C1286,PRODUCTOS!$A$6:$A$105,0)),"¿Código?"))</f>
        <v/>
      </c>
      <c r="E1286" s="42"/>
      <c r="F1286" s="35" t="str">
        <f aca="false">IF($C1286="","",IFERROR(INDEX(PRODUCTOS!$D$6:$D$105,MATCH($C1286,PRODUCTOS!$A$6:$A$105,0)),0))</f>
        <v/>
      </c>
      <c r="G1286" s="40"/>
      <c r="H1286" s="35" t="str">
        <f aca="false">IF($C1286="","",N($E1286)*$F1286-N($G1286))</f>
        <v/>
      </c>
      <c r="I1286" s="35" t="str">
        <f aca="false">IF($C1286="","",$H1286-$H1286/(1+IFERROR(INDEX(PRODUCTOS!$E$6:$E$105,MATCH($C1286,PRODUCTOS!$A$6:$A$105,0)),IVA_VENTAS)))</f>
        <v/>
      </c>
      <c r="J1286" s="35" t="str">
        <f aca="false">IF($C1286="","",$H1286-$I1286)</f>
        <v/>
      </c>
      <c r="K1286" s="35" t="str">
        <f aca="false">IF($C1286="","",N($E1286)*IFERROR(INDEX(PRODUCTOS!$H$6:$H$105,MATCH($C1286,PRODUCTOS!$A$6:$A$105,0)),0))</f>
        <v/>
      </c>
      <c r="L1286" s="35" t="str">
        <f aca="false">IF($C1286="","",$J1286-$K1286)</f>
        <v/>
      </c>
      <c r="M1286" s="6"/>
      <c r="N1286" s="6"/>
      <c r="O1286" s="46" t="str">
        <f aca="false">IF($A1286="","",DATE(YEAR($A1286),MONTH($A1286),1))</f>
        <v/>
      </c>
    </row>
    <row r="1287" customFormat="false" ht="15" hidden="false" customHeight="false" outlineLevel="0" collapsed="false">
      <c r="A1287" s="44"/>
      <c r="B1287" s="6"/>
      <c r="C1287" s="6"/>
      <c r="D1287" s="8" t="str">
        <f aca="false">IF($C1287="","",IFERROR(INDEX(PRODUCTOS!$B$6:$B$105,MATCH($C1287,PRODUCTOS!$A$6:$A$105,0)),"¿Código?"))</f>
        <v/>
      </c>
      <c r="E1287" s="42"/>
      <c r="F1287" s="35" t="str">
        <f aca="false">IF($C1287="","",IFERROR(INDEX(PRODUCTOS!$D$6:$D$105,MATCH($C1287,PRODUCTOS!$A$6:$A$105,0)),0))</f>
        <v/>
      </c>
      <c r="G1287" s="40"/>
      <c r="H1287" s="35" t="str">
        <f aca="false">IF($C1287="","",N($E1287)*$F1287-N($G1287))</f>
        <v/>
      </c>
      <c r="I1287" s="35" t="str">
        <f aca="false">IF($C1287="","",$H1287-$H1287/(1+IFERROR(INDEX(PRODUCTOS!$E$6:$E$105,MATCH($C1287,PRODUCTOS!$A$6:$A$105,0)),IVA_VENTAS)))</f>
        <v/>
      </c>
      <c r="J1287" s="35" t="str">
        <f aca="false">IF($C1287="","",$H1287-$I1287)</f>
        <v/>
      </c>
      <c r="K1287" s="35" t="str">
        <f aca="false">IF($C1287="","",N($E1287)*IFERROR(INDEX(PRODUCTOS!$H$6:$H$105,MATCH($C1287,PRODUCTOS!$A$6:$A$105,0)),0))</f>
        <v/>
      </c>
      <c r="L1287" s="35" t="str">
        <f aca="false">IF($C1287="","",$J1287-$K1287)</f>
        <v/>
      </c>
      <c r="M1287" s="6"/>
      <c r="N1287" s="6"/>
      <c r="O1287" s="46" t="str">
        <f aca="false">IF($A1287="","",DATE(YEAR($A1287),MONTH($A1287),1))</f>
        <v/>
      </c>
    </row>
    <row r="1288" customFormat="false" ht="15" hidden="false" customHeight="false" outlineLevel="0" collapsed="false">
      <c r="A1288" s="44"/>
      <c r="B1288" s="6"/>
      <c r="C1288" s="6"/>
      <c r="D1288" s="8" t="str">
        <f aca="false">IF($C1288="","",IFERROR(INDEX(PRODUCTOS!$B$6:$B$105,MATCH($C1288,PRODUCTOS!$A$6:$A$105,0)),"¿Código?"))</f>
        <v/>
      </c>
      <c r="E1288" s="42"/>
      <c r="F1288" s="35" t="str">
        <f aca="false">IF($C1288="","",IFERROR(INDEX(PRODUCTOS!$D$6:$D$105,MATCH($C1288,PRODUCTOS!$A$6:$A$105,0)),0))</f>
        <v/>
      </c>
      <c r="G1288" s="40"/>
      <c r="H1288" s="35" t="str">
        <f aca="false">IF($C1288="","",N($E1288)*$F1288-N($G1288))</f>
        <v/>
      </c>
      <c r="I1288" s="35" t="str">
        <f aca="false">IF($C1288="","",$H1288-$H1288/(1+IFERROR(INDEX(PRODUCTOS!$E$6:$E$105,MATCH($C1288,PRODUCTOS!$A$6:$A$105,0)),IVA_VENTAS)))</f>
        <v/>
      </c>
      <c r="J1288" s="35" t="str">
        <f aca="false">IF($C1288="","",$H1288-$I1288)</f>
        <v/>
      </c>
      <c r="K1288" s="35" t="str">
        <f aca="false">IF($C1288="","",N($E1288)*IFERROR(INDEX(PRODUCTOS!$H$6:$H$105,MATCH($C1288,PRODUCTOS!$A$6:$A$105,0)),0))</f>
        <v/>
      </c>
      <c r="L1288" s="35" t="str">
        <f aca="false">IF($C1288="","",$J1288-$K1288)</f>
        <v/>
      </c>
      <c r="M1288" s="6"/>
      <c r="N1288" s="6"/>
      <c r="O1288" s="46" t="str">
        <f aca="false">IF($A1288="","",DATE(YEAR($A1288),MONTH($A1288),1))</f>
        <v/>
      </c>
    </row>
    <row r="1289" customFormat="false" ht="15" hidden="false" customHeight="false" outlineLevel="0" collapsed="false">
      <c r="A1289" s="44"/>
      <c r="B1289" s="6"/>
      <c r="C1289" s="6"/>
      <c r="D1289" s="8" t="str">
        <f aca="false">IF($C1289="","",IFERROR(INDEX(PRODUCTOS!$B$6:$B$105,MATCH($C1289,PRODUCTOS!$A$6:$A$105,0)),"¿Código?"))</f>
        <v/>
      </c>
      <c r="E1289" s="42"/>
      <c r="F1289" s="35" t="str">
        <f aca="false">IF($C1289="","",IFERROR(INDEX(PRODUCTOS!$D$6:$D$105,MATCH($C1289,PRODUCTOS!$A$6:$A$105,0)),0))</f>
        <v/>
      </c>
      <c r="G1289" s="40"/>
      <c r="H1289" s="35" t="str">
        <f aca="false">IF($C1289="","",N($E1289)*$F1289-N($G1289))</f>
        <v/>
      </c>
      <c r="I1289" s="35" t="str">
        <f aca="false">IF($C1289="","",$H1289-$H1289/(1+IFERROR(INDEX(PRODUCTOS!$E$6:$E$105,MATCH($C1289,PRODUCTOS!$A$6:$A$105,0)),IVA_VENTAS)))</f>
        <v/>
      </c>
      <c r="J1289" s="35" t="str">
        <f aca="false">IF($C1289="","",$H1289-$I1289)</f>
        <v/>
      </c>
      <c r="K1289" s="35" t="str">
        <f aca="false">IF($C1289="","",N($E1289)*IFERROR(INDEX(PRODUCTOS!$H$6:$H$105,MATCH($C1289,PRODUCTOS!$A$6:$A$105,0)),0))</f>
        <v/>
      </c>
      <c r="L1289" s="35" t="str">
        <f aca="false">IF($C1289="","",$J1289-$K1289)</f>
        <v/>
      </c>
      <c r="M1289" s="6"/>
      <c r="N1289" s="6"/>
      <c r="O1289" s="46" t="str">
        <f aca="false">IF($A1289="","",DATE(YEAR($A1289),MONTH($A1289),1))</f>
        <v/>
      </c>
    </row>
    <row r="1290" customFormat="false" ht="15" hidden="false" customHeight="false" outlineLevel="0" collapsed="false">
      <c r="A1290" s="44"/>
      <c r="B1290" s="6"/>
      <c r="C1290" s="6"/>
      <c r="D1290" s="8" t="str">
        <f aca="false">IF($C1290="","",IFERROR(INDEX(PRODUCTOS!$B$6:$B$105,MATCH($C1290,PRODUCTOS!$A$6:$A$105,0)),"¿Código?"))</f>
        <v/>
      </c>
      <c r="E1290" s="42"/>
      <c r="F1290" s="35" t="str">
        <f aca="false">IF($C1290="","",IFERROR(INDEX(PRODUCTOS!$D$6:$D$105,MATCH($C1290,PRODUCTOS!$A$6:$A$105,0)),0))</f>
        <v/>
      </c>
      <c r="G1290" s="40"/>
      <c r="H1290" s="35" t="str">
        <f aca="false">IF($C1290="","",N($E1290)*$F1290-N($G1290))</f>
        <v/>
      </c>
      <c r="I1290" s="35" t="str">
        <f aca="false">IF($C1290="","",$H1290-$H1290/(1+IFERROR(INDEX(PRODUCTOS!$E$6:$E$105,MATCH($C1290,PRODUCTOS!$A$6:$A$105,0)),IVA_VENTAS)))</f>
        <v/>
      </c>
      <c r="J1290" s="35" t="str">
        <f aca="false">IF($C1290="","",$H1290-$I1290)</f>
        <v/>
      </c>
      <c r="K1290" s="35" t="str">
        <f aca="false">IF($C1290="","",N($E1290)*IFERROR(INDEX(PRODUCTOS!$H$6:$H$105,MATCH($C1290,PRODUCTOS!$A$6:$A$105,0)),0))</f>
        <v/>
      </c>
      <c r="L1290" s="35" t="str">
        <f aca="false">IF($C1290="","",$J1290-$K1290)</f>
        <v/>
      </c>
      <c r="M1290" s="6"/>
      <c r="N1290" s="6"/>
      <c r="O1290" s="46" t="str">
        <f aca="false">IF($A1290="","",DATE(YEAR($A1290),MONTH($A1290),1))</f>
        <v/>
      </c>
    </row>
    <row r="1291" customFormat="false" ht="15" hidden="false" customHeight="false" outlineLevel="0" collapsed="false">
      <c r="A1291" s="44"/>
      <c r="B1291" s="6"/>
      <c r="C1291" s="6"/>
      <c r="D1291" s="8" t="str">
        <f aca="false">IF($C1291="","",IFERROR(INDEX(PRODUCTOS!$B$6:$B$105,MATCH($C1291,PRODUCTOS!$A$6:$A$105,0)),"¿Código?"))</f>
        <v/>
      </c>
      <c r="E1291" s="42"/>
      <c r="F1291" s="35" t="str">
        <f aca="false">IF($C1291="","",IFERROR(INDEX(PRODUCTOS!$D$6:$D$105,MATCH($C1291,PRODUCTOS!$A$6:$A$105,0)),0))</f>
        <v/>
      </c>
      <c r="G1291" s="40"/>
      <c r="H1291" s="35" t="str">
        <f aca="false">IF($C1291="","",N($E1291)*$F1291-N($G1291))</f>
        <v/>
      </c>
      <c r="I1291" s="35" t="str">
        <f aca="false">IF($C1291="","",$H1291-$H1291/(1+IFERROR(INDEX(PRODUCTOS!$E$6:$E$105,MATCH($C1291,PRODUCTOS!$A$6:$A$105,0)),IVA_VENTAS)))</f>
        <v/>
      </c>
      <c r="J1291" s="35" t="str">
        <f aca="false">IF($C1291="","",$H1291-$I1291)</f>
        <v/>
      </c>
      <c r="K1291" s="35" t="str">
        <f aca="false">IF($C1291="","",N($E1291)*IFERROR(INDEX(PRODUCTOS!$H$6:$H$105,MATCH($C1291,PRODUCTOS!$A$6:$A$105,0)),0))</f>
        <v/>
      </c>
      <c r="L1291" s="35" t="str">
        <f aca="false">IF($C1291="","",$J1291-$K1291)</f>
        <v/>
      </c>
      <c r="M1291" s="6"/>
      <c r="N1291" s="6"/>
      <c r="O1291" s="46" t="str">
        <f aca="false">IF($A1291="","",DATE(YEAR($A1291),MONTH($A1291),1))</f>
        <v/>
      </c>
    </row>
    <row r="1292" customFormat="false" ht="15" hidden="false" customHeight="false" outlineLevel="0" collapsed="false">
      <c r="A1292" s="44"/>
      <c r="B1292" s="6"/>
      <c r="C1292" s="6"/>
      <c r="D1292" s="8" t="str">
        <f aca="false">IF($C1292="","",IFERROR(INDEX(PRODUCTOS!$B$6:$B$105,MATCH($C1292,PRODUCTOS!$A$6:$A$105,0)),"¿Código?"))</f>
        <v/>
      </c>
      <c r="E1292" s="42"/>
      <c r="F1292" s="35" t="str">
        <f aca="false">IF($C1292="","",IFERROR(INDEX(PRODUCTOS!$D$6:$D$105,MATCH($C1292,PRODUCTOS!$A$6:$A$105,0)),0))</f>
        <v/>
      </c>
      <c r="G1292" s="40"/>
      <c r="H1292" s="35" t="str">
        <f aca="false">IF($C1292="","",N($E1292)*$F1292-N($G1292))</f>
        <v/>
      </c>
      <c r="I1292" s="35" t="str">
        <f aca="false">IF($C1292="","",$H1292-$H1292/(1+IFERROR(INDEX(PRODUCTOS!$E$6:$E$105,MATCH($C1292,PRODUCTOS!$A$6:$A$105,0)),IVA_VENTAS)))</f>
        <v/>
      </c>
      <c r="J1292" s="35" t="str">
        <f aca="false">IF($C1292="","",$H1292-$I1292)</f>
        <v/>
      </c>
      <c r="K1292" s="35" t="str">
        <f aca="false">IF($C1292="","",N($E1292)*IFERROR(INDEX(PRODUCTOS!$H$6:$H$105,MATCH($C1292,PRODUCTOS!$A$6:$A$105,0)),0))</f>
        <v/>
      </c>
      <c r="L1292" s="35" t="str">
        <f aca="false">IF($C1292="","",$J1292-$K1292)</f>
        <v/>
      </c>
      <c r="M1292" s="6"/>
      <c r="N1292" s="6"/>
      <c r="O1292" s="46" t="str">
        <f aca="false">IF($A1292="","",DATE(YEAR($A1292),MONTH($A1292),1))</f>
        <v/>
      </c>
    </row>
    <row r="1293" customFormat="false" ht="15" hidden="false" customHeight="false" outlineLevel="0" collapsed="false">
      <c r="A1293" s="44"/>
      <c r="B1293" s="6"/>
      <c r="C1293" s="6"/>
      <c r="D1293" s="8" t="str">
        <f aca="false">IF($C1293="","",IFERROR(INDEX(PRODUCTOS!$B$6:$B$105,MATCH($C1293,PRODUCTOS!$A$6:$A$105,0)),"¿Código?"))</f>
        <v/>
      </c>
      <c r="E1293" s="42"/>
      <c r="F1293" s="35" t="str">
        <f aca="false">IF($C1293="","",IFERROR(INDEX(PRODUCTOS!$D$6:$D$105,MATCH($C1293,PRODUCTOS!$A$6:$A$105,0)),0))</f>
        <v/>
      </c>
      <c r="G1293" s="40"/>
      <c r="H1293" s="35" t="str">
        <f aca="false">IF($C1293="","",N($E1293)*$F1293-N($G1293))</f>
        <v/>
      </c>
      <c r="I1293" s="35" t="str">
        <f aca="false">IF($C1293="","",$H1293-$H1293/(1+IFERROR(INDEX(PRODUCTOS!$E$6:$E$105,MATCH($C1293,PRODUCTOS!$A$6:$A$105,0)),IVA_VENTAS)))</f>
        <v/>
      </c>
      <c r="J1293" s="35" t="str">
        <f aca="false">IF($C1293="","",$H1293-$I1293)</f>
        <v/>
      </c>
      <c r="K1293" s="35" t="str">
        <f aca="false">IF($C1293="","",N($E1293)*IFERROR(INDEX(PRODUCTOS!$H$6:$H$105,MATCH($C1293,PRODUCTOS!$A$6:$A$105,0)),0))</f>
        <v/>
      </c>
      <c r="L1293" s="35" t="str">
        <f aca="false">IF($C1293="","",$J1293-$K1293)</f>
        <v/>
      </c>
      <c r="M1293" s="6"/>
      <c r="N1293" s="6"/>
      <c r="O1293" s="46" t="str">
        <f aca="false">IF($A1293="","",DATE(YEAR($A1293),MONTH($A1293),1))</f>
        <v/>
      </c>
    </row>
    <row r="1294" customFormat="false" ht="15" hidden="false" customHeight="false" outlineLevel="0" collapsed="false">
      <c r="A1294" s="44"/>
      <c r="B1294" s="6"/>
      <c r="C1294" s="6"/>
      <c r="D1294" s="8" t="str">
        <f aca="false">IF($C1294="","",IFERROR(INDEX(PRODUCTOS!$B$6:$B$105,MATCH($C1294,PRODUCTOS!$A$6:$A$105,0)),"¿Código?"))</f>
        <v/>
      </c>
      <c r="E1294" s="42"/>
      <c r="F1294" s="35" t="str">
        <f aca="false">IF($C1294="","",IFERROR(INDEX(PRODUCTOS!$D$6:$D$105,MATCH($C1294,PRODUCTOS!$A$6:$A$105,0)),0))</f>
        <v/>
      </c>
      <c r="G1294" s="40"/>
      <c r="H1294" s="35" t="str">
        <f aca="false">IF($C1294="","",N($E1294)*$F1294-N($G1294))</f>
        <v/>
      </c>
      <c r="I1294" s="35" t="str">
        <f aca="false">IF($C1294="","",$H1294-$H1294/(1+IFERROR(INDEX(PRODUCTOS!$E$6:$E$105,MATCH($C1294,PRODUCTOS!$A$6:$A$105,0)),IVA_VENTAS)))</f>
        <v/>
      </c>
      <c r="J1294" s="35" t="str">
        <f aca="false">IF($C1294="","",$H1294-$I1294)</f>
        <v/>
      </c>
      <c r="K1294" s="35" t="str">
        <f aca="false">IF($C1294="","",N($E1294)*IFERROR(INDEX(PRODUCTOS!$H$6:$H$105,MATCH($C1294,PRODUCTOS!$A$6:$A$105,0)),0))</f>
        <v/>
      </c>
      <c r="L1294" s="35" t="str">
        <f aca="false">IF($C1294="","",$J1294-$K1294)</f>
        <v/>
      </c>
      <c r="M1294" s="6"/>
      <c r="N1294" s="6"/>
      <c r="O1294" s="46" t="str">
        <f aca="false">IF($A1294="","",DATE(YEAR($A1294),MONTH($A1294),1))</f>
        <v/>
      </c>
    </row>
    <row r="1295" customFormat="false" ht="15" hidden="false" customHeight="false" outlineLevel="0" collapsed="false">
      <c r="A1295" s="44"/>
      <c r="B1295" s="6"/>
      <c r="C1295" s="6"/>
      <c r="D1295" s="8" t="str">
        <f aca="false">IF($C1295="","",IFERROR(INDEX(PRODUCTOS!$B$6:$B$105,MATCH($C1295,PRODUCTOS!$A$6:$A$105,0)),"¿Código?"))</f>
        <v/>
      </c>
      <c r="E1295" s="42"/>
      <c r="F1295" s="35" t="str">
        <f aca="false">IF($C1295="","",IFERROR(INDEX(PRODUCTOS!$D$6:$D$105,MATCH($C1295,PRODUCTOS!$A$6:$A$105,0)),0))</f>
        <v/>
      </c>
      <c r="G1295" s="40"/>
      <c r="H1295" s="35" t="str">
        <f aca="false">IF($C1295="","",N($E1295)*$F1295-N($G1295))</f>
        <v/>
      </c>
      <c r="I1295" s="35" t="str">
        <f aca="false">IF($C1295="","",$H1295-$H1295/(1+IFERROR(INDEX(PRODUCTOS!$E$6:$E$105,MATCH($C1295,PRODUCTOS!$A$6:$A$105,0)),IVA_VENTAS)))</f>
        <v/>
      </c>
      <c r="J1295" s="35" t="str">
        <f aca="false">IF($C1295="","",$H1295-$I1295)</f>
        <v/>
      </c>
      <c r="K1295" s="35" t="str">
        <f aca="false">IF($C1295="","",N($E1295)*IFERROR(INDEX(PRODUCTOS!$H$6:$H$105,MATCH($C1295,PRODUCTOS!$A$6:$A$105,0)),0))</f>
        <v/>
      </c>
      <c r="L1295" s="35" t="str">
        <f aca="false">IF($C1295="","",$J1295-$K1295)</f>
        <v/>
      </c>
      <c r="M1295" s="6"/>
      <c r="N1295" s="6"/>
      <c r="O1295" s="46" t="str">
        <f aca="false">IF($A1295="","",DATE(YEAR($A1295),MONTH($A1295),1))</f>
        <v/>
      </c>
    </row>
    <row r="1296" customFormat="false" ht="15" hidden="false" customHeight="false" outlineLevel="0" collapsed="false">
      <c r="A1296" s="44"/>
      <c r="B1296" s="6"/>
      <c r="C1296" s="6"/>
      <c r="D1296" s="8" t="str">
        <f aca="false">IF($C1296="","",IFERROR(INDEX(PRODUCTOS!$B$6:$B$105,MATCH($C1296,PRODUCTOS!$A$6:$A$105,0)),"¿Código?"))</f>
        <v/>
      </c>
      <c r="E1296" s="42"/>
      <c r="F1296" s="35" t="str">
        <f aca="false">IF($C1296="","",IFERROR(INDEX(PRODUCTOS!$D$6:$D$105,MATCH($C1296,PRODUCTOS!$A$6:$A$105,0)),0))</f>
        <v/>
      </c>
      <c r="G1296" s="40"/>
      <c r="H1296" s="35" t="str">
        <f aca="false">IF($C1296="","",N($E1296)*$F1296-N($G1296))</f>
        <v/>
      </c>
      <c r="I1296" s="35" t="str">
        <f aca="false">IF($C1296="","",$H1296-$H1296/(1+IFERROR(INDEX(PRODUCTOS!$E$6:$E$105,MATCH($C1296,PRODUCTOS!$A$6:$A$105,0)),IVA_VENTAS)))</f>
        <v/>
      </c>
      <c r="J1296" s="35" t="str">
        <f aca="false">IF($C1296="","",$H1296-$I1296)</f>
        <v/>
      </c>
      <c r="K1296" s="35" t="str">
        <f aca="false">IF($C1296="","",N($E1296)*IFERROR(INDEX(PRODUCTOS!$H$6:$H$105,MATCH($C1296,PRODUCTOS!$A$6:$A$105,0)),0))</f>
        <v/>
      </c>
      <c r="L1296" s="35" t="str">
        <f aca="false">IF($C1296="","",$J1296-$K1296)</f>
        <v/>
      </c>
      <c r="M1296" s="6"/>
      <c r="N1296" s="6"/>
      <c r="O1296" s="46" t="str">
        <f aca="false">IF($A1296="","",DATE(YEAR($A1296),MONTH($A1296),1))</f>
        <v/>
      </c>
    </row>
    <row r="1297" customFormat="false" ht="15" hidden="false" customHeight="false" outlineLevel="0" collapsed="false">
      <c r="A1297" s="44"/>
      <c r="B1297" s="6"/>
      <c r="C1297" s="6"/>
      <c r="D1297" s="8" t="str">
        <f aca="false">IF($C1297="","",IFERROR(INDEX(PRODUCTOS!$B$6:$B$105,MATCH($C1297,PRODUCTOS!$A$6:$A$105,0)),"¿Código?"))</f>
        <v/>
      </c>
      <c r="E1297" s="42"/>
      <c r="F1297" s="35" t="str">
        <f aca="false">IF($C1297="","",IFERROR(INDEX(PRODUCTOS!$D$6:$D$105,MATCH($C1297,PRODUCTOS!$A$6:$A$105,0)),0))</f>
        <v/>
      </c>
      <c r="G1297" s="40"/>
      <c r="H1297" s="35" t="str">
        <f aca="false">IF($C1297="","",N($E1297)*$F1297-N($G1297))</f>
        <v/>
      </c>
      <c r="I1297" s="35" t="str">
        <f aca="false">IF($C1297="","",$H1297-$H1297/(1+IFERROR(INDEX(PRODUCTOS!$E$6:$E$105,MATCH($C1297,PRODUCTOS!$A$6:$A$105,0)),IVA_VENTAS)))</f>
        <v/>
      </c>
      <c r="J1297" s="35" t="str">
        <f aca="false">IF($C1297="","",$H1297-$I1297)</f>
        <v/>
      </c>
      <c r="K1297" s="35" t="str">
        <f aca="false">IF($C1297="","",N($E1297)*IFERROR(INDEX(PRODUCTOS!$H$6:$H$105,MATCH($C1297,PRODUCTOS!$A$6:$A$105,0)),0))</f>
        <v/>
      </c>
      <c r="L1297" s="35" t="str">
        <f aca="false">IF($C1297="","",$J1297-$K1297)</f>
        <v/>
      </c>
      <c r="M1297" s="6"/>
      <c r="N1297" s="6"/>
      <c r="O1297" s="46" t="str">
        <f aca="false">IF($A1297="","",DATE(YEAR($A1297),MONTH($A1297),1))</f>
        <v/>
      </c>
    </row>
    <row r="1298" customFormat="false" ht="15" hidden="false" customHeight="false" outlineLevel="0" collapsed="false">
      <c r="A1298" s="44"/>
      <c r="B1298" s="6"/>
      <c r="C1298" s="6"/>
      <c r="D1298" s="8" t="str">
        <f aca="false">IF($C1298="","",IFERROR(INDEX(PRODUCTOS!$B$6:$B$105,MATCH($C1298,PRODUCTOS!$A$6:$A$105,0)),"¿Código?"))</f>
        <v/>
      </c>
      <c r="E1298" s="42"/>
      <c r="F1298" s="35" t="str">
        <f aca="false">IF($C1298="","",IFERROR(INDEX(PRODUCTOS!$D$6:$D$105,MATCH($C1298,PRODUCTOS!$A$6:$A$105,0)),0))</f>
        <v/>
      </c>
      <c r="G1298" s="40"/>
      <c r="H1298" s="35" t="str">
        <f aca="false">IF($C1298="","",N($E1298)*$F1298-N($G1298))</f>
        <v/>
      </c>
      <c r="I1298" s="35" t="str">
        <f aca="false">IF($C1298="","",$H1298-$H1298/(1+IFERROR(INDEX(PRODUCTOS!$E$6:$E$105,MATCH($C1298,PRODUCTOS!$A$6:$A$105,0)),IVA_VENTAS)))</f>
        <v/>
      </c>
      <c r="J1298" s="35" t="str">
        <f aca="false">IF($C1298="","",$H1298-$I1298)</f>
        <v/>
      </c>
      <c r="K1298" s="35" t="str">
        <f aca="false">IF($C1298="","",N($E1298)*IFERROR(INDEX(PRODUCTOS!$H$6:$H$105,MATCH($C1298,PRODUCTOS!$A$6:$A$105,0)),0))</f>
        <v/>
      </c>
      <c r="L1298" s="35" t="str">
        <f aca="false">IF($C1298="","",$J1298-$K1298)</f>
        <v/>
      </c>
      <c r="M1298" s="6"/>
      <c r="N1298" s="6"/>
      <c r="O1298" s="46" t="str">
        <f aca="false">IF($A1298="","",DATE(YEAR($A1298),MONTH($A1298),1))</f>
        <v/>
      </c>
    </row>
    <row r="1299" customFormat="false" ht="15" hidden="false" customHeight="false" outlineLevel="0" collapsed="false">
      <c r="A1299" s="44"/>
      <c r="B1299" s="6"/>
      <c r="C1299" s="6"/>
      <c r="D1299" s="8" t="str">
        <f aca="false">IF($C1299="","",IFERROR(INDEX(PRODUCTOS!$B$6:$B$105,MATCH($C1299,PRODUCTOS!$A$6:$A$105,0)),"¿Código?"))</f>
        <v/>
      </c>
      <c r="E1299" s="42"/>
      <c r="F1299" s="35" t="str">
        <f aca="false">IF($C1299="","",IFERROR(INDEX(PRODUCTOS!$D$6:$D$105,MATCH($C1299,PRODUCTOS!$A$6:$A$105,0)),0))</f>
        <v/>
      </c>
      <c r="G1299" s="40"/>
      <c r="H1299" s="35" t="str">
        <f aca="false">IF($C1299="","",N($E1299)*$F1299-N($G1299))</f>
        <v/>
      </c>
      <c r="I1299" s="35" t="str">
        <f aca="false">IF($C1299="","",$H1299-$H1299/(1+IFERROR(INDEX(PRODUCTOS!$E$6:$E$105,MATCH($C1299,PRODUCTOS!$A$6:$A$105,0)),IVA_VENTAS)))</f>
        <v/>
      </c>
      <c r="J1299" s="35" t="str">
        <f aca="false">IF($C1299="","",$H1299-$I1299)</f>
        <v/>
      </c>
      <c r="K1299" s="35" t="str">
        <f aca="false">IF($C1299="","",N($E1299)*IFERROR(INDEX(PRODUCTOS!$H$6:$H$105,MATCH($C1299,PRODUCTOS!$A$6:$A$105,0)),0))</f>
        <v/>
      </c>
      <c r="L1299" s="35" t="str">
        <f aca="false">IF($C1299="","",$J1299-$K1299)</f>
        <v/>
      </c>
      <c r="M1299" s="6"/>
      <c r="N1299" s="6"/>
      <c r="O1299" s="46" t="str">
        <f aca="false">IF($A1299="","",DATE(YEAR($A1299),MONTH($A1299),1))</f>
        <v/>
      </c>
    </row>
    <row r="1300" customFormat="false" ht="15" hidden="false" customHeight="false" outlineLevel="0" collapsed="false">
      <c r="A1300" s="44"/>
      <c r="B1300" s="6"/>
      <c r="C1300" s="6"/>
      <c r="D1300" s="8" t="str">
        <f aca="false">IF($C1300="","",IFERROR(INDEX(PRODUCTOS!$B$6:$B$105,MATCH($C1300,PRODUCTOS!$A$6:$A$105,0)),"¿Código?"))</f>
        <v/>
      </c>
      <c r="E1300" s="42"/>
      <c r="F1300" s="35" t="str">
        <f aca="false">IF($C1300="","",IFERROR(INDEX(PRODUCTOS!$D$6:$D$105,MATCH($C1300,PRODUCTOS!$A$6:$A$105,0)),0))</f>
        <v/>
      </c>
      <c r="G1300" s="40"/>
      <c r="H1300" s="35" t="str">
        <f aca="false">IF($C1300="","",N($E1300)*$F1300-N($G1300))</f>
        <v/>
      </c>
      <c r="I1300" s="35" t="str">
        <f aca="false">IF($C1300="","",$H1300-$H1300/(1+IFERROR(INDEX(PRODUCTOS!$E$6:$E$105,MATCH($C1300,PRODUCTOS!$A$6:$A$105,0)),IVA_VENTAS)))</f>
        <v/>
      </c>
      <c r="J1300" s="35" t="str">
        <f aca="false">IF($C1300="","",$H1300-$I1300)</f>
        <v/>
      </c>
      <c r="K1300" s="35" t="str">
        <f aca="false">IF($C1300="","",N($E1300)*IFERROR(INDEX(PRODUCTOS!$H$6:$H$105,MATCH($C1300,PRODUCTOS!$A$6:$A$105,0)),0))</f>
        <v/>
      </c>
      <c r="L1300" s="35" t="str">
        <f aca="false">IF($C1300="","",$J1300-$K1300)</f>
        <v/>
      </c>
      <c r="M1300" s="6"/>
      <c r="N1300" s="6"/>
      <c r="O1300" s="46" t="str">
        <f aca="false">IF($A1300="","",DATE(YEAR($A1300),MONTH($A1300),1))</f>
        <v/>
      </c>
    </row>
    <row r="1301" customFormat="false" ht="15" hidden="false" customHeight="false" outlineLevel="0" collapsed="false">
      <c r="A1301" s="44"/>
      <c r="B1301" s="6"/>
      <c r="C1301" s="6"/>
      <c r="D1301" s="8" t="str">
        <f aca="false">IF($C1301="","",IFERROR(INDEX(PRODUCTOS!$B$6:$B$105,MATCH($C1301,PRODUCTOS!$A$6:$A$105,0)),"¿Código?"))</f>
        <v/>
      </c>
      <c r="E1301" s="42"/>
      <c r="F1301" s="35" t="str">
        <f aca="false">IF($C1301="","",IFERROR(INDEX(PRODUCTOS!$D$6:$D$105,MATCH($C1301,PRODUCTOS!$A$6:$A$105,0)),0))</f>
        <v/>
      </c>
      <c r="G1301" s="40"/>
      <c r="H1301" s="35" t="str">
        <f aca="false">IF($C1301="","",N($E1301)*$F1301-N($G1301))</f>
        <v/>
      </c>
      <c r="I1301" s="35" t="str">
        <f aca="false">IF($C1301="","",$H1301-$H1301/(1+IFERROR(INDEX(PRODUCTOS!$E$6:$E$105,MATCH($C1301,PRODUCTOS!$A$6:$A$105,0)),IVA_VENTAS)))</f>
        <v/>
      </c>
      <c r="J1301" s="35" t="str">
        <f aca="false">IF($C1301="","",$H1301-$I1301)</f>
        <v/>
      </c>
      <c r="K1301" s="35" t="str">
        <f aca="false">IF($C1301="","",N($E1301)*IFERROR(INDEX(PRODUCTOS!$H$6:$H$105,MATCH($C1301,PRODUCTOS!$A$6:$A$105,0)),0))</f>
        <v/>
      </c>
      <c r="L1301" s="35" t="str">
        <f aca="false">IF($C1301="","",$J1301-$K1301)</f>
        <v/>
      </c>
      <c r="M1301" s="6"/>
      <c r="N1301" s="6"/>
      <c r="O1301" s="46" t="str">
        <f aca="false">IF($A1301="","",DATE(YEAR($A1301),MONTH($A1301),1))</f>
        <v/>
      </c>
    </row>
    <row r="1302" customFormat="false" ht="15" hidden="false" customHeight="false" outlineLevel="0" collapsed="false">
      <c r="A1302" s="44"/>
      <c r="B1302" s="6"/>
      <c r="C1302" s="6"/>
      <c r="D1302" s="8" t="str">
        <f aca="false">IF($C1302="","",IFERROR(INDEX(PRODUCTOS!$B$6:$B$105,MATCH($C1302,PRODUCTOS!$A$6:$A$105,0)),"¿Código?"))</f>
        <v/>
      </c>
      <c r="E1302" s="42"/>
      <c r="F1302" s="35" t="str">
        <f aca="false">IF($C1302="","",IFERROR(INDEX(PRODUCTOS!$D$6:$D$105,MATCH($C1302,PRODUCTOS!$A$6:$A$105,0)),0))</f>
        <v/>
      </c>
      <c r="G1302" s="40"/>
      <c r="H1302" s="35" t="str">
        <f aca="false">IF($C1302="","",N($E1302)*$F1302-N($G1302))</f>
        <v/>
      </c>
      <c r="I1302" s="35" t="str">
        <f aca="false">IF($C1302="","",$H1302-$H1302/(1+IFERROR(INDEX(PRODUCTOS!$E$6:$E$105,MATCH($C1302,PRODUCTOS!$A$6:$A$105,0)),IVA_VENTAS)))</f>
        <v/>
      </c>
      <c r="J1302" s="35" t="str">
        <f aca="false">IF($C1302="","",$H1302-$I1302)</f>
        <v/>
      </c>
      <c r="K1302" s="35" t="str">
        <f aca="false">IF($C1302="","",N($E1302)*IFERROR(INDEX(PRODUCTOS!$H$6:$H$105,MATCH($C1302,PRODUCTOS!$A$6:$A$105,0)),0))</f>
        <v/>
      </c>
      <c r="L1302" s="35" t="str">
        <f aca="false">IF($C1302="","",$J1302-$K1302)</f>
        <v/>
      </c>
      <c r="M1302" s="6"/>
      <c r="N1302" s="6"/>
      <c r="O1302" s="46" t="str">
        <f aca="false">IF($A1302="","",DATE(YEAR($A1302),MONTH($A1302),1))</f>
        <v/>
      </c>
    </row>
    <row r="1303" customFormat="false" ht="15" hidden="false" customHeight="false" outlineLevel="0" collapsed="false">
      <c r="A1303" s="44"/>
      <c r="B1303" s="6"/>
      <c r="C1303" s="6"/>
      <c r="D1303" s="8" t="str">
        <f aca="false">IF($C1303="","",IFERROR(INDEX(PRODUCTOS!$B$6:$B$105,MATCH($C1303,PRODUCTOS!$A$6:$A$105,0)),"¿Código?"))</f>
        <v/>
      </c>
      <c r="E1303" s="42"/>
      <c r="F1303" s="35" t="str">
        <f aca="false">IF($C1303="","",IFERROR(INDEX(PRODUCTOS!$D$6:$D$105,MATCH($C1303,PRODUCTOS!$A$6:$A$105,0)),0))</f>
        <v/>
      </c>
      <c r="G1303" s="40"/>
      <c r="H1303" s="35" t="str">
        <f aca="false">IF($C1303="","",N($E1303)*$F1303-N($G1303))</f>
        <v/>
      </c>
      <c r="I1303" s="35" t="str">
        <f aca="false">IF($C1303="","",$H1303-$H1303/(1+IFERROR(INDEX(PRODUCTOS!$E$6:$E$105,MATCH($C1303,PRODUCTOS!$A$6:$A$105,0)),IVA_VENTAS)))</f>
        <v/>
      </c>
      <c r="J1303" s="35" t="str">
        <f aca="false">IF($C1303="","",$H1303-$I1303)</f>
        <v/>
      </c>
      <c r="K1303" s="35" t="str">
        <f aca="false">IF($C1303="","",N($E1303)*IFERROR(INDEX(PRODUCTOS!$H$6:$H$105,MATCH($C1303,PRODUCTOS!$A$6:$A$105,0)),0))</f>
        <v/>
      </c>
      <c r="L1303" s="35" t="str">
        <f aca="false">IF($C1303="","",$J1303-$K1303)</f>
        <v/>
      </c>
      <c r="M1303" s="6"/>
      <c r="N1303" s="6"/>
      <c r="O1303" s="46" t="str">
        <f aca="false">IF($A1303="","",DATE(YEAR($A1303),MONTH($A1303),1))</f>
        <v/>
      </c>
    </row>
    <row r="1304" customFormat="false" ht="15" hidden="false" customHeight="false" outlineLevel="0" collapsed="false">
      <c r="A1304" s="44"/>
      <c r="B1304" s="6"/>
      <c r="C1304" s="6"/>
      <c r="D1304" s="8" t="str">
        <f aca="false">IF($C1304="","",IFERROR(INDEX(PRODUCTOS!$B$6:$B$105,MATCH($C1304,PRODUCTOS!$A$6:$A$105,0)),"¿Código?"))</f>
        <v/>
      </c>
      <c r="E1304" s="42"/>
      <c r="F1304" s="35" t="str">
        <f aca="false">IF($C1304="","",IFERROR(INDEX(PRODUCTOS!$D$6:$D$105,MATCH($C1304,PRODUCTOS!$A$6:$A$105,0)),0))</f>
        <v/>
      </c>
      <c r="G1304" s="40"/>
      <c r="H1304" s="35" t="str">
        <f aca="false">IF($C1304="","",N($E1304)*$F1304-N($G1304))</f>
        <v/>
      </c>
      <c r="I1304" s="35" t="str">
        <f aca="false">IF($C1304="","",$H1304-$H1304/(1+IFERROR(INDEX(PRODUCTOS!$E$6:$E$105,MATCH($C1304,PRODUCTOS!$A$6:$A$105,0)),IVA_VENTAS)))</f>
        <v/>
      </c>
      <c r="J1304" s="35" t="str">
        <f aca="false">IF($C1304="","",$H1304-$I1304)</f>
        <v/>
      </c>
      <c r="K1304" s="35" t="str">
        <f aca="false">IF($C1304="","",N($E1304)*IFERROR(INDEX(PRODUCTOS!$H$6:$H$105,MATCH($C1304,PRODUCTOS!$A$6:$A$105,0)),0))</f>
        <v/>
      </c>
      <c r="L1304" s="35" t="str">
        <f aca="false">IF($C1304="","",$J1304-$K1304)</f>
        <v/>
      </c>
      <c r="M1304" s="6"/>
      <c r="N1304" s="6"/>
      <c r="O1304" s="46" t="str">
        <f aca="false">IF($A1304="","",DATE(YEAR($A1304),MONTH($A1304),1))</f>
        <v/>
      </c>
    </row>
    <row r="1305" customFormat="false" ht="15" hidden="false" customHeight="false" outlineLevel="0" collapsed="false">
      <c r="A1305" s="44"/>
      <c r="B1305" s="6"/>
      <c r="C1305" s="6"/>
      <c r="D1305" s="8" t="str">
        <f aca="false">IF($C1305="","",IFERROR(INDEX(PRODUCTOS!$B$6:$B$105,MATCH($C1305,PRODUCTOS!$A$6:$A$105,0)),"¿Código?"))</f>
        <v/>
      </c>
      <c r="E1305" s="42"/>
      <c r="F1305" s="35" t="str">
        <f aca="false">IF($C1305="","",IFERROR(INDEX(PRODUCTOS!$D$6:$D$105,MATCH($C1305,PRODUCTOS!$A$6:$A$105,0)),0))</f>
        <v/>
      </c>
      <c r="G1305" s="40"/>
      <c r="H1305" s="35" t="str">
        <f aca="false">IF($C1305="","",N($E1305)*$F1305-N($G1305))</f>
        <v/>
      </c>
      <c r="I1305" s="35" t="str">
        <f aca="false">IF($C1305="","",$H1305-$H1305/(1+IFERROR(INDEX(PRODUCTOS!$E$6:$E$105,MATCH($C1305,PRODUCTOS!$A$6:$A$105,0)),IVA_VENTAS)))</f>
        <v/>
      </c>
      <c r="J1305" s="35" t="str">
        <f aca="false">IF($C1305="","",$H1305-$I1305)</f>
        <v/>
      </c>
      <c r="K1305" s="35" t="str">
        <f aca="false">IF($C1305="","",N($E1305)*IFERROR(INDEX(PRODUCTOS!$H$6:$H$105,MATCH($C1305,PRODUCTOS!$A$6:$A$105,0)),0))</f>
        <v/>
      </c>
      <c r="L1305" s="35" t="str">
        <f aca="false">IF($C1305="","",$J1305-$K1305)</f>
        <v/>
      </c>
      <c r="M1305" s="6"/>
      <c r="N1305" s="6"/>
      <c r="O1305" s="46" t="str">
        <f aca="false">IF($A1305="","",DATE(YEAR($A1305),MONTH($A1305),1))</f>
        <v/>
      </c>
    </row>
    <row r="1306" customFormat="false" ht="15" hidden="false" customHeight="false" outlineLevel="0" collapsed="false">
      <c r="A1306" s="44"/>
      <c r="B1306" s="6"/>
      <c r="C1306" s="6"/>
      <c r="D1306" s="8" t="str">
        <f aca="false">IF($C1306="","",IFERROR(INDEX(PRODUCTOS!$B$6:$B$105,MATCH($C1306,PRODUCTOS!$A$6:$A$105,0)),"¿Código?"))</f>
        <v/>
      </c>
      <c r="E1306" s="42"/>
      <c r="F1306" s="35" t="str">
        <f aca="false">IF($C1306="","",IFERROR(INDEX(PRODUCTOS!$D$6:$D$105,MATCH($C1306,PRODUCTOS!$A$6:$A$105,0)),0))</f>
        <v/>
      </c>
      <c r="G1306" s="40"/>
      <c r="H1306" s="35" t="str">
        <f aca="false">IF($C1306="","",N($E1306)*$F1306-N($G1306))</f>
        <v/>
      </c>
      <c r="I1306" s="35" t="str">
        <f aca="false">IF($C1306="","",$H1306-$H1306/(1+IFERROR(INDEX(PRODUCTOS!$E$6:$E$105,MATCH($C1306,PRODUCTOS!$A$6:$A$105,0)),IVA_VENTAS)))</f>
        <v/>
      </c>
      <c r="J1306" s="35" t="str">
        <f aca="false">IF($C1306="","",$H1306-$I1306)</f>
        <v/>
      </c>
      <c r="K1306" s="35" t="str">
        <f aca="false">IF($C1306="","",N($E1306)*IFERROR(INDEX(PRODUCTOS!$H$6:$H$105,MATCH($C1306,PRODUCTOS!$A$6:$A$105,0)),0))</f>
        <v/>
      </c>
      <c r="L1306" s="35" t="str">
        <f aca="false">IF($C1306="","",$J1306-$K1306)</f>
        <v/>
      </c>
      <c r="M1306" s="6"/>
      <c r="N1306" s="6"/>
      <c r="O1306" s="46" t="str">
        <f aca="false">IF($A1306="","",DATE(YEAR($A1306),MONTH($A1306),1))</f>
        <v/>
      </c>
    </row>
    <row r="1307" customFormat="false" ht="15" hidden="false" customHeight="false" outlineLevel="0" collapsed="false">
      <c r="A1307" s="44"/>
      <c r="B1307" s="6"/>
      <c r="C1307" s="6"/>
      <c r="D1307" s="8" t="str">
        <f aca="false">IF($C1307="","",IFERROR(INDEX(PRODUCTOS!$B$6:$B$105,MATCH($C1307,PRODUCTOS!$A$6:$A$105,0)),"¿Código?"))</f>
        <v/>
      </c>
      <c r="E1307" s="42"/>
      <c r="F1307" s="35" t="str">
        <f aca="false">IF($C1307="","",IFERROR(INDEX(PRODUCTOS!$D$6:$D$105,MATCH($C1307,PRODUCTOS!$A$6:$A$105,0)),0))</f>
        <v/>
      </c>
      <c r="G1307" s="40"/>
      <c r="H1307" s="35" t="str">
        <f aca="false">IF($C1307="","",N($E1307)*$F1307-N($G1307))</f>
        <v/>
      </c>
      <c r="I1307" s="35" t="str">
        <f aca="false">IF($C1307="","",$H1307-$H1307/(1+IFERROR(INDEX(PRODUCTOS!$E$6:$E$105,MATCH($C1307,PRODUCTOS!$A$6:$A$105,0)),IVA_VENTAS)))</f>
        <v/>
      </c>
      <c r="J1307" s="35" t="str">
        <f aca="false">IF($C1307="","",$H1307-$I1307)</f>
        <v/>
      </c>
      <c r="K1307" s="35" t="str">
        <f aca="false">IF($C1307="","",N($E1307)*IFERROR(INDEX(PRODUCTOS!$H$6:$H$105,MATCH($C1307,PRODUCTOS!$A$6:$A$105,0)),0))</f>
        <v/>
      </c>
      <c r="L1307" s="35" t="str">
        <f aca="false">IF($C1307="","",$J1307-$K1307)</f>
        <v/>
      </c>
      <c r="M1307" s="6"/>
      <c r="N1307" s="6"/>
      <c r="O1307" s="46" t="str">
        <f aca="false">IF($A1307="","",DATE(YEAR($A1307),MONTH($A1307),1))</f>
        <v/>
      </c>
    </row>
    <row r="1308" customFormat="false" ht="15" hidden="false" customHeight="false" outlineLevel="0" collapsed="false">
      <c r="A1308" s="44"/>
      <c r="B1308" s="6"/>
      <c r="C1308" s="6"/>
      <c r="D1308" s="8" t="str">
        <f aca="false">IF($C1308="","",IFERROR(INDEX(PRODUCTOS!$B$6:$B$105,MATCH($C1308,PRODUCTOS!$A$6:$A$105,0)),"¿Código?"))</f>
        <v/>
      </c>
      <c r="E1308" s="42"/>
      <c r="F1308" s="35" t="str">
        <f aca="false">IF($C1308="","",IFERROR(INDEX(PRODUCTOS!$D$6:$D$105,MATCH($C1308,PRODUCTOS!$A$6:$A$105,0)),0))</f>
        <v/>
      </c>
      <c r="G1308" s="40"/>
      <c r="H1308" s="35" t="str">
        <f aca="false">IF($C1308="","",N($E1308)*$F1308-N($G1308))</f>
        <v/>
      </c>
      <c r="I1308" s="35" t="str">
        <f aca="false">IF($C1308="","",$H1308-$H1308/(1+IFERROR(INDEX(PRODUCTOS!$E$6:$E$105,MATCH($C1308,PRODUCTOS!$A$6:$A$105,0)),IVA_VENTAS)))</f>
        <v/>
      </c>
      <c r="J1308" s="35" t="str">
        <f aca="false">IF($C1308="","",$H1308-$I1308)</f>
        <v/>
      </c>
      <c r="K1308" s="35" t="str">
        <f aca="false">IF($C1308="","",N($E1308)*IFERROR(INDEX(PRODUCTOS!$H$6:$H$105,MATCH($C1308,PRODUCTOS!$A$6:$A$105,0)),0))</f>
        <v/>
      </c>
      <c r="L1308" s="35" t="str">
        <f aca="false">IF($C1308="","",$J1308-$K1308)</f>
        <v/>
      </c>
      <c r="M1308" s="6"/>
      <c r="N1308" s="6"/>
      <c r="O1308" s="46" t="str">
        <f aca="false">IF($A1308="","",DATE(YEAR($A1308),MONTH($A1308),1))</f>
        <v/>
      </c>
    </row>
    <row r="1309" customFormat="false" ht="15" hidden="false" customHeight="false" outlineLevel="0" collapsed="false">
      <c r="A1309" s="44"/>
      <c r="B1309" s="6"/>
      <c r="C1309" s="6"/>
      <c r="D1309" s="8" t="str">
        <f aca="false">IF($C1309="","",IFERROR(INDEX(PRODUCTOS!$B$6:$B$105,MATCH($C1309,PRODUCTOS!$A$6:$A$105,0)),"¿Código?"))</f>
        <v/>
      </c>
      <c r="E1309" s="42"/>
      <c r="F1309" s="35" t="str">
        <f aca="false">IF($C1309="","",IFERROR(INDEX(PRODUCTOS!$D$6:$D$105,MATCH($C1309,PRODUCTOS!$A$6:$A$105,0)),0))</f>
        <v/>
      </c>
      <c r="G1309" s="40"/>
      <c r="H1309" s="35" t="str">
        <f aca="false">IF($C1309="","",N($E1309)*$F1309-N($G1309))</f>
        <v/>
      </c>
      <c r="I1309" s="35" t="str">
        <f aca="false">IF($C1309="","",$H1309-$H1309/(1+IFERROR(INDEX(PRODUCTOS!$E$6:$E$105,MATCH($C1309,PRODUCTOS!$A$6:$A$105,0)),IVA_VENTAS)))</f>
        <v/>
      </c>
      <c r="J1309" s="35" t="str">
        <f aca="false">IF($C1309="","",$H1309-$I1309)</f>
        <v/>
      </c>
      <c r="K1309" s="35" t="str">
        <f aca="false">IF($C1309="","",N($E1309)*IFERROR(INDEX(PRODUCTOS!$H$6:$H$105,MATCH($C1309,PRODUCTOS!$A$6:$A$105,0)),0))</f>
        <v/>
      </c>
      <c r="L1309" s="35" t="str">
        <f aca="false">IF($C1309="","",$J1309-$K1309)</f>
        <v/>
      </c>
      <c r="M1309" s="6"/>
      <c r="N1309" s="6"/>
      <c r="O1309" s="46" t="str">
        <f aca="false">IF($A1309="","",DATE(YEAR($A1309),MONTH($A1309),1))</f>
        <v/>
      </c>
    </row>
    <row r="1310" customFormat="false" ht="15" hidden="false" customHeight="false" outlineLevel="0" collapsed="false">
      <c r="A1310" s="44"/>
      <c r="B1310" s="6"/>
      <c r="C1310" s="6"/>
      <c r="D1310" s="8" t="str">
        <f aca="false">IF($C1310="","",IFERROR(INDEX(PRODUCTOS!$B$6:$B$105,MATCH($C1310,PRODUCTOS!$A$6:$A$105,0)),"¿Código?"))</f>
        <v/>
      </c>
      <c r="E1310" s="42"/>
      <c r="F1310" s="35" t="str">
        <f aca="false">IF($C1310="","",IFERROR(INDEX(PRODUCTOS!$D$6:$D$105,MATCH($C1310,PRODUCTOS!$A$6:$A$105,0)),0))</f>
        <v/>
      </c>
      <c r="G1310" s="40"/>
      <c r="H1310" s="35" t="str">
        <f aca="false">IF($C1310="","",N($E1310)*$F1310-N($G1310))</f>
        <v/>
      </c>
      <c r="I1310" s="35" t="str">
        <f aca="false">IF($C1310="","",$H1310-$H1310/(1+IFERROR(INDEX(PRODUCTOS!$E$6:$E$105,MATCH($C1310,PRODUCTOS!$A$6:$A$105,0)),IVA_VENTAS)))</f>
        <v/>
      </c>
      <c r="J1310" s="35" t="str">
        <f aca="false">IF($C1310="","",$H1310-$I1310)</f>
        <v/>
      </c>
      <c r="K1310" s="35" t="str">
        <f aca="false">IF($C1310="","",N($E1310)*IFERROR(INDEX(PRODUCTOS!$H$6:$H$105,MATCH($C1310,PRODUCTOS!$A$6:$A$105,0)),0))</f>
        <v/>
      </c>
      <c r="L1310" s="35" t="str">
        <f aca="false">IF($C1310="","",$J1310-$K1310)</f>
        <v/>
      </c>
      <c r="M1310" s="6"/>
      <c r="N1310" s="6"/>
      <c r="O1310" s="46" t="str">
        <f aca="false">IF($A1310="","",DATE(YEAR($A1310),MONTH($A1310),1))</f>
        <v/>
      </c>
    </row>
    <row r="1311" customFormat="false" ht="15" hidden="false" customHeight="false" outlineLevel="0" collapsed="false">
      <c r="A1311" s="44"/>
      <c r="B1311" s="6"/>
      <c r="C1311" s="6"/>
      <c r="D1311" s="8" t="str">
        <f aca="false">IF($C1311="","",IFERROR(INDEX(PRODUCTOS!$B$6:$B$105,MATCH($C1311,PRODUCTOS!$A$6:$A$105,0)),"¿Código?"))</f>
        <v/>
      </c>
      <c r="E1311" s="42"/>
      <c r="F1311" s="35" t="str">
        <f aca="false">IF($C1311="","",IFERROR(INDEX(PRODUCTOS!$D$6:$D$105,MATCH($C1311,PRODUCTOS!$A$6:$A$105,0)),0))</f>
        <v/>
      </c>
      <c r="G1311" s="40"/>
      <c r="H1311" s="35" t="str">
        <f aca="false">IF($C1311="","",N($E1311)*$F1311-N($G1311))</f>
        <v/>
      </c>
      <c r="I1311" s="35" t="str">
        <f aca="false">IF($C1311="","",$H1311-$H1311/(1+IFERROR(INDEX(PRODUCTOS!$E$6:$E$105,MATCH($C1311,PRODUCTOS!$A$6:$A$105,0)),IVA_VENTAS)))</f>
        <v/>
      </c>
      <c r="J1311" s="35" t="str">
        <f aca="false">IF($C1311="","",$H1311-$I1311)</f>
        <v/>
      </c>
      <c r="K1311" s="35" t="str">
        <f aca="false">IF($C1311="","",N($E1311)*IFERROR(INDEX(PRODUCTOS!$H$6:$H$105,MATCH($C1311,PRODUCTOS!$A$6:$A$105,0)),0))</f>
        <v/>
      </c>
      <c r="L1311" s="35" t="str">
        <f aca="false">IF($C1311="","",$J1311-$K1311)</f>
        <v/>
      </c>
      <c r="M1311" s="6"/>
      <c r="N1311" s="6"/>
      <c r="O1311" s="46" t="str">
        <f aca="false">IF($A1311="","",DATE(YEAR($A1311),MONTH($A1311),1))</f>
        <v/>
      </c>
    </row>
    <row r="1312" customFormat="false" ht="15" hidden="false" customHeight="false" outlineLevel="0" collapsed="false">
      <c r="A1312" s="44"/>
      <c r="B1312" s="6"/>
      <c r="C1312" s="6"/>
      <c r="D1312" s="8" t="str">
        <f aca="false">IF($C1312="","",IFERROR(INDEX(PRODUCTOS!$B$6:$B$105,MATCH($C1312,PRODUCTOS!$A$6:$A$105,0)),"¿Código?"))</f>
        <v/>
      </c>
      <c r="E1312" s="42"/>
      <c r="F1312" s="35" t="str">
        <f aca="false">IF($C1312="","",IFERROR(INDEX(PRODUCTOS!$D$6:$D$105,MATCH($C1312,PRODUCTOS!$A$6:$A$105,0)),0))</f>
        <v/>
      </c>
      <c r="G1312" s="40"/>
      <c r="H1312" s="35" t="str">
        <f aca="false">IF($C1312="","",N($E1312)*$F1312-N($G1312))</f>
        <v/>
      </c>
      <c r="I1312" s="35" t="str">
        <f aca="false">IF($C1312="","",$H1312-$H1312/(1+IFERROR(INDEX(PRODUCTOS!$E$6:$E$105,MATCH($C1312,PRODUCTOS!$A$6:$A$105,0)),IVA_VENTAS)))</f>
        <v/>
      </c>
      <c r="J1312" s="35" t="str">
        <f aca="false">IF($C1312="","",$H1312-$I1312)</f>
        <v/>
      </c>
      <c r="K1312" s="35" t="str">
        <f aca="false">IF($C1312="","",N($E1312)*IFERROR(INDEX(PRODUCTOS!$H$6:$H$105,MATCH($C1312,PRODUCTOS!$A$6:$A$105,0)),0))</f>
        <v/>
      </c>
      <c r="L1312" s="35" t="str">
        <f aca="false">IF($C1312="","",$J1312-$K1312)</f>
        <v/>
      </c>
      <c r="M1312" s="6"/>
      <c r="N1312" s="6"/>
      <c r="O1312" s="46" t="str">
        <f aca="false">IF($A1312="","",DATE(YEAR($A1312),MONTH($A1312),1))</f>
        <v/>
      </c>
    </row>
    <row r="1313" customFormat="false" ht="15" hidden="false" customHeight="false" outlineLevel="0" collapsed="false">
      <c r="A1313" s="44"/>
      <c r="B1313" s="6"/>
      <c r="C1313" s="6"/>
      <c r="D1313" s="8" t="str">
        <f aca="false">IF($C1313="","",IFERROR(INDEX(PRODUCTOS!$B$6:$B$105,MATCH($C1313,PRODUCTOS!$A$6:$A$105,0)),"¿Código?"))</f>
        <v/>
      </c>
      <c r="E1313" s="42"/>
      <c r="F1313" s="35" t="str">
        <f aca="false">IF($C1313="","",IFERROR(INDEX(PRODUCTOS!$D$6:$D$105,MATCH($C1313,PRODUCTOS!$A$6:$A$105,0)),0))</f>
        <v/>
      </c>
      <c r="G1313" s="40"/>
      <c r="H1313" s="35" t="str">
        <f aca="false">IF($C1313="","",N($E1313)*$F1313-N($G1313))</f>
        <v/>
      </c>
      <c r="I1313" s="35" t="str">
        <f aca="false">IF($C1313="","",$H1313-$H1313/(1+IFERROR(INDEX(PRODUCTOS!$E$6:$E$105,MATCH($C1313,PRODUCTOS!$A$6:$A$105,0)),IVA_VENTAS)))</f>
        <v/>
      </c>
      <c r="J1313" s="35" t="str">
        <f aca="false">IF($C1313="","",$H1313-$I1313)</f>
        <v/>
      </c>
      <c r="K1313" s="35" t="str">
        <f aca="false">IF($C1313="","",N($E1313)*IFERROR(INDEX(PRODUCTOS!$H$6:$H$105,MATCH($C1313,PRODUCTOS!$A$6:$A$105,0)),0))</f>
        <v/>
      </c>
      <c r="L1313" s="35" t="str">
        <f aca="false">IF($C1313="","",$J1313-$K1313)</f>
        <v/>
      </c>
      <c r="M1313" s="6"/>
      <c r="N1313" s="6"/>
      <c r="O1313" s="46" t="str">
        <f aca="false">IF($A1313="","",DATE(YEAR($A1313),MONTH($A1313),1))</f>
        <v/>
      </c>
    </row>
    <row r="1314" customFormat="false" ht="15" hidden="false" customHeight="false" outlineLevel="0" collapsed="false">
      <c r="A1314" s="44"/>
      <c r="B1314" s="6"/>
      <c r="C1314" s="6"/>
      <c r="D1314" s="8" t="str">
        <f aca="false">IF($C1314="","",IFERROR(INDEX(PRODUCTOS!$B$6:$B$105,MATCH($C1314,PRODUCTOS!$A$6:$A$105,0)),"¿Código?"))</f>
        <v/>
      </c>
      <c r="E1314" s="42"/>
      <c r="F1314" s="35" t="str">
        <f aca="false">IF($C1314="","",IFERROR(INDEX(PRODUCTOS!$D$6:$D$105,MATCH($C1314,PRODUCTOS!$A$6:$A$105,0)),0))</f>
        <v/>
      </c>
      <c r="G1314" s="40"/>
      <c r="H1314" s="35" t="str">
        <f aca="false">IF($C1314="","",N($E1314)*$F1314-N($G1314))</f>
        <v/>
      </c>
      <c r="I1314" s="35" t="str">
        <f aca="false">IF($C1314="","",$H1314-$H1314/(1+IFERROR(INDEX(PRODUCTOS!$E$6:$E$105,MATCH($C1314,PRODUCTOS!$A$6:$A$105,0)),IVA_VENTAS)))</f>
        <v/>
      </c>
      <c r="J1314" s="35" t="str">
        <f aca="false">IF($C1314="","",$H1314-$I1314)</f>
        <v/>
      </c>
      <c r="K1314" s="35" t="str">
        <f aca="false">IF($C1314="","",N($E1314)*IFERROR(INDEX(PRODUCTOS!$H$6:$H$105,MATCH($C1314,PRODUCTOS!$A$6:$A$105,0)),0))</f>
        <v/>
      </c>
      <c r="L1314" s="35" t="str">
        <f aca="false">IF($C1314="","",$J1314-$K1314)</f>
        <v/>
      </c>
      <c r="M1314" s="6"/>
      <c r="N1314" s="6"/>
      <c r="O1314" s="46" t="str">
        <f aca="false">IF($A1314="","",DATE(YEAR($A1314),MONTH($A1314),1))</f>
        <v/>
      </c>
    </row>
    <row r="1315" customFormat="false" ht="15" hidden="false" customHeight="false" outlineLevel="0" collapsed="false">
      <c r="A1315" s="44"/>
      <c r="B1315" s="6"/>
      <c r="C1315" s="6"/>
      <c r="D1315" s="8" t="str">
        <f aca="false">IF($C1315="","",IFERROR(INDEX(PRODUCTOS!$B$6:$B$105,MATCH($C1315,PRODUCTOS!$A$6:$A$105,0)),"¿Código?"))</f>
        <v/>
      </c>
      <c r="E1315" s="42"/>
      <c r="F1315" s="35" t="str">
        <f aca="false">IF($C1315="","",IFERROR(INDEX(PRODUCTOS!$D$6:$D$105,MATCH($C1315,PRODUCTOS!$A$6:$A$105,0)),0))</f>
        <v/>
      </c>
      <c r="G1315" s="40"/>
      <c r="H1315" s="35" t="str">
        <f aca="false">IF($C1315="","",N($E1315)*$F1315-N($G1315))</f>
        <v/>
      </c>
      <c r="I1315" s="35" t="str">
        <f aca="false">IF($C1315="","",$H1315-$H1315/(1+IFERROR(INDEX(PRODUCTOS!$E$6:$E$105,MATCH($C1315,PRODUCTOS!$A$6:$A$105,0)),IVA_VENTAS)))</f>
        <v/>
      </c>
      <c r="J1315" s="35" t="str">
        <f aca="false">IF($C1315="","",$H1315-$I1315)</f>
        <v/>
      </c>
      <c r="K1315" s="35" t="str">
        <f aca="false">IF($C1315="","",N($E1315)*IFERROR(INDEX(PRODUCTOS!$H$6:$H$105,MATCH($C1315,PRODUCTOS!$A$6:$A$105,0)),0))</f>
        <v/>
      </c>
      <c r="L1315" s="35" t="str">
        <f aca="false">IF($C1315="","",$J1315-$K1315)</f>
        <v/>
      </c>
      <c r="M1315" s="6"/>
      <c r="N1315" s="6"/>
      <c r="O1315" s="46" t="str">
        <f aca="false">IF($A1315="","",DATE(YEAR($A1315),MONTH($A1315),1))</f>
        <v/>
      </c>
    </row>
    <row r="1316" customFormat="false" ht="15" hidden="false" customHeight="false" outlineLevel="0" collapsed="false">
      <c r="A1316" s="44"/>
      <c r="B1316" s="6"/>
      <c r="C1316" s="6"/>
      <c r="D1316" s="8" t="str">
        <f aca="false">IF($C1316="","",IFERROR(INDEX(PRODUCTOS!$B$6:$B$105,MATCH($C1316,PRODUCTOS!$A$6:$A$105,0)),"¿Código?"))</f>
        <v/>
      </c>
      <c r="E1316" s="42"/>
      <c r="F1316" s="35" t="str">
        <f aca="false">IF($C1316="","",IFERROR(INDEX(PRODUCTOS!$D$6:$D$105,MATCH($C1316,PRODUCTOS!$A$6:$A$105,0)),0))</f>
        <v/>
      </c>
      <c r="G1316" s="40"/>
      <c r="H1316" s="35" t="str">
        <f aca="false">IF($C1316="","",N($E1316)*$F1316-N($G1316))</f>
        <v/>
      </c>
      <c r="I1316" s="35" t="str">
        <f aca="false">IF($C1316="","",$H1316-$H1316/(1+IFERROR(INDEX(PRODUCTOS!$E$6:$E$105,MATCH($C1316,PRODUCTOS!$A$6:$A$105,0)),IVA_VENTAS)))</f>
        <v/>
      </c>
      <c r="J1316" s="35" t="str">
        <f aca="false">IF($C1316="","",$H1316-$I1316)</f>
        <v/>
      </c>
      <c r="K1316" s="35" t="str">
        <f aca="false">IF($C1316="","",N($E1316)*IFERROR(INDEX(PRODUCTOS!$H$6:$H$105,MATCH($C1316,PRODUCTOS!$A$6:$A$105,0)),0))</f>
        <v/>
      </c>
      <c r="L1316" s="35" t="str">
        <f aca="false">IF($C1316="","",$J1316-$K1316)</f>
        <v/>
      </c>
      <c r="M1316" s="6"/>
      <c r="N1316" s="6"/>
      <c r="O1316" s="46" t="str">
        <f aca="false">IF($A1316="","",DATE(YEAR($A1316),MONTH($A1316),1))</f>
        <v/>
      </c>
    </row>
    <row r="1317" customFormat="false" ht="15" hidden="false" customHeight="false" outlineLevel="0" collapsed="false">
      <c r="A1317" s="44"/>
      <c r="B1317" s="6"/>
      <c r="C1317" s="6"/>
      <c r="D1317" s="8" t="str">
        <f aca="false">IF($C1317="","",IFERROR(INDEX(PRODUCTOS!$B$6:$B$105,MATCH($C1317,PRODUCTOS!$A$6:$A$105,0)),"¿Código?"))</f>
        <v/>
      </c>
      <c r="E1317" s="42"/>
      <c r="F1317" s="35" t="str">
        <f aca="false">IF($C1317="","",IFERROR(INDEX(PRODUCTOS!$D$6:$D$105,MATCH($C1317,PRODUCTOS!$A$6:$A$105,0)),0))</f>
        <v/>
      </c>
      <c r="G1317" s="40"/>
      <c r="H1317" s="35" t="str">
        <f aca="false">IF($C1317="","",N($E1317)*$F1317-N($G1317))</f>
        <v/>
      </c>
      <c r="I1317" s="35" t="str">
        <f aca="false">IF($C1317="","",$H1317-$H1317/(1+IFERROR(INDEX(PRODUCTOS!$E$6:$E$105,MATCH($C1317,PRODUCTOS!$A$6:$A$105,0)),IVA_VENTAS)))</f>
        <v/>
      </c>
      <c r="J1317" s="35" t="str">
        <f aca="false">IF($C1317="","",$H1317-$I1317)</f>
        <v/>
      </c>
      <c r="K1317" s="35" t="str">
        <f aca="false">IF($C1317="","",N($E1317)*IFERROR(INDEX(PRODUCTOS!$H$6:$H$105,MATCH($C1317,PRODUCTOS!$A$6:$A$105,0)),0))</f>
        <v/>
      </c>
      <c r="L1317" s="35" t="str">
        <f aca="false">IF($C1317="","",$J1317-$K1317)</f>
        <v/>
      </c>
      <c r="M1317" s="6"/>
      <c r="N1317" s="6"/>
      <c r="O1317" s="46" t="str">
        <f aca="false">IF($A1317="","",DATE(YEAR($A1317),MONTH($A1317),1))</f>
        <v/>
      </c>
    </row>
    <row r="1318" customFormat="false" ht="15" hidden="false" customHeight="false" outlineLevel="0" collapsed="false">
      <c r="A1318" s="44"/>
      <c r="B1318" s="6"/>
      <c r="C1318" s="6"/>
      <c r="D1318" s="8" t="str">
        <f aca="false">IF($C1318="","",IFERROR(INDEX(PRODUCTOS!$B$6:$B$105,MATCH($C1318,PRODUCTOS!$A$6:$A$105,0)),"¿Código?"))</f>
        <v/>
      </c>
      <c r="E1318" s="42"/>
      <c r="F1318" s="35" t="str">
        <f aca="false">IF($C1318="","",IFERROR(INDEX(PRODUCTOS!$D$6:$D$105,MATCH($C1318,PRODUCTOS!$A$6:$A$105,0)),0))</f>
        <v/>
      </c>
      <c r="G1318" s="40"/>
      <c r="H1318" s="35" t="str">
        <f aca="false">IF($C1318="","",N($E1318)*$F1318-N($G1318))</f>
        <v/>
      </c>
      <c r="I1318" s="35" t="str">
        <f aca="false">IF($C1318="","",$H1318-$H1318/(1+IFERROR(INDEX(PRODUCTOS!$E$6:$E$105,MATCH($C1318,PRODUCTOS!$A$6:$A$105,0)),IVA_VENTAS)))</f>
        <v/>
      </c>
      <c r="J1318" s="35" t="str">
        <f aca="false">IF($C1318="","",$H1318-$I1318)</f>
        <v/>
      </c>
      <c r="K1318" s="35" t="str">
        <f aca="false">IF($C1318="","",N($E1318)*IFERROR(INDEX(PRODUCTOS!$H$6:$H$105,MATCH($C1318,PRODUCTOS!$A$6:$A$105,0)),0))</f>
        <v/>
      </c>
      <c r="L1318" s="35" t="str">
        <f aca="false">IF($C1318="","",$J1318-$K1318)</f>
        <v/>
      </c>
      <c r="M1318" s="6"/>
      <c r="N1318" s="6"/>
      <c r="O1318" s="46" t="str">
        <f aca="false">IF($A1318="","",DATE(YEAR($A1318),MONTH($A1318),1))</f>
        <v/>
      </c>
    </row>
    <row r="1319" customFormat="false" ht="15" hidden="false" customHeight="false" outlineLevel="0" collapsed="false">
      <c r="A1319" s="44"/>
      <c r="B1319" s="6"/>
      <c r="C1319" s="6"/>
      <c r="D1319" s="8" t="str">
        <f aca="false">IF($C1319="","",IFERROR(INDEX(PRODUCTOS!$B$6:$B$105,MATCH($C1319,PRODUCTOS!$A$6:$A$105,0)),"¿Código?"))</f>
        <v/>
      </c>
      <c r="E1319" s="42"/>
      <c r="F1319" s="35" t="str">
        <f aca="false">IF($C1319="","",IFERROR(INDEX(PRODUCTOS!$D$6:$D$105,MATCH($C1319,PRODUCTOS!$A$6:$A$105,0)),0))</f>
        <v/>
      </c>
      <c r="G1319" s="40"/>
      <c r="H1319" s="35" t="str">
        <f aca="false">IF($C1319="","",N($E1319)*$F1319-N($G1319))</f>
        <v/>
      </c>
      <c r="I1319" s="35" t="str">
        <f aca="false">IF($C1319="","",$H1319-$H1319/(1+IFERROR(INDEX(PRODUCTOS!$E$6:$E$105,MATCH($C1319,PRODUCTOS!$A$6:$A$105,0)),IVA_VENTAS)))</f>
        <v/>
      </c>
      <c r="J1319" s="35" t="str">
        <f aca="false">IF($C1319="","",$H1319-$I1319)</f>
        <v/>
      </c>
      <c r="K1319" s="35" t="str">
        <f aca="false">IF($C1319="","",N($E1319)*IFERROR(INDEX(PRODUCTOS!$H$6:$H$105,MATCH($C1319,PRODUCTOS!$A$6:$A$105,0)),0))</f>
        <v/>
      </c>
      <c r="L1319" s="35" t="str">
        <f aca="false">IF($C1319="","",$J1319-$K1319)</f>
        <v/>
      </c>
      <c r="M1319" s="6"/>
      <c r="N1319" s="6"/>
      <c r="O1319" s="46" t="str">
        <f aca="false">IF($A1319="","",DATE(YEAR($A1319),MONTH($A1319),1))</f>
        <v/>
      </c>
    </row>
    <row r="1320" customFormat="false" ht="15" hidden="false" customHeight="false" outlineLevel="0" collapsed="false">
      <c r="A1320" s="44"/>
      <c r="B1320" s="6"/>
      <c r="C1320" s="6"/>
      <c r="D1320" s="8" t="str">
        <f aca="false">IF($C1320="","",IFERROR(INDEX(PRODUCTOS!$B$6:$B$105,MATCH($C1320,PRODUCTOS!$A$6:$A$105,0)),"¿Código?"))</f>
        <v/>
      </c>
      <c r="E1320" s="42"/>
      <c r="F1320" s="35" t="str">
        <f aca="false">IF($C1320="","",IFERROR(INDEX(PRODUCTOS!$D$6:$D$105,MATCH($C1320,PRODUCTOS!$A$6:$A$105,0)),0))</f>
        <v/>
      </c>
      <c r="G1320" s="40"/>
      <c r="H1320" s="35" t="str">
        <f aca="false">IF($C1320="","",N($E1320)*$F1320-N($G1320))</f>
        <v/>
      </c>
      <c r="I1320" s="35" t="str">
        <f aca="false">IF($C1320="","",$H1320-$H1320/(1+IFERROR(INDEX(PRODUCTOS!$E$6:$E$105,MATCH($C1320,PRODUCTOS!$A$6:$A$105,0)),IVA_VENTAS)))</f>
        <v/>
      </c>
      <c r="J1320" s="35" t="str">
        <f aca="false">IF($C1320="","",$H1320-$I1320)</f>
        <v/>
      </c>
      <c r="K1320" s="35" t="str">
        <f aca="false">IF($C1320="","",N($E1320)*IFERROR(INDEX(PRODUCTOS!$H$6:$H$105,MATCH($C1320,PRODUCTOS!$A$6:$A$105,0)),0))</f>
        <v/>
      </c>
      <c r="L1320" s="35" t="str">
        <f aca="false">IF($C1320="","",$J1320-$K1320)</f>
        <v/>
      </c>
      <c r="M1320" s="6"/>
      <c r="N1320" s="6"/>
      <c r="O1320" s="46" t="str">
        <f aca="false">IF($A1320="","",DATE(YEAR($A1320),MONTH($A1320),1))</f>
        <v/>
      </c>
    </row>
    <row r="1321" customFormat="false" ht="15" hidden="false" customHeight="false" outlineLevel="0" collapsed="false">
      <c r="A1321" s="44"/>
      <c r="B1321" s="6"/>
      <c r="C1321" s="6"/>
      <c r="D1321" s="8" t="str">
        <f aca="false">IF($C1321="","",IFERROR(INDEX(PRODUCTOS!$B$6:$B$105,MATCH($C1321,PRODUCTOS!$A$6:$A$105,0)),"¿Código?"))</f>
        <v/>
      </c>
      <c r="E1321" s="42"/>
      <c r="F1321" s="35" t="str">
        <f aca="false">IF($C1321="","",IFERROR(INDEX(PRODUCTOS!$D$6:$D$105,MATCH($C1321,PRODUCTOS!$A$6:$A$105,0)),0))</f>
        <v/>
      </c>
      <c r="G1321" s="40"/>
      <c r="H1321" s="35" t="str">
        <f aca="false">IF($C1321="","",N($E1321)*$F1321-N($G1321))</f>
        <v/>
      </c>
      <c r="I1321" s="35" t="str">
        <f aca="false">IF($C1321="","",$H1321-$H1321/(1+IFERROR(INDEX(PRODUCTOS!$E$6:$E$105,MATCH($C1321,PRODUCTOS!$A$6:$A$105,0)),IVA_VENTAS)))</f>
        <v/>
      </c>
      <c r="J1321" s="35" t="str">
        <f aca="false">IF($C1321="","",$H1321-$I1321)</f>
        <v/>
      </c>
      <c r="K1321" s="35" t="str">
        <f aca="false">IF($C1321="","",N($E1321)*IFERROR(INDEX(PRODUCTOS!$H$6:$H$105,MATCH($C1321,PRODUCTOS!$A$6:$A$105,0)),0))</f>
        <v/>
      </c>
      <c r="L1321" s="35" t="str">
        <f aca="false">IF($C1321="","",$J1321-$K1321)</f>
        <v/>
      </c>
      <c r="M1321" s="6"/>
      <c r="N1321" s="6"/>
      <c r="O1321" s="46" t="str">
        <f aca="false">IF($A1321="","",DATE(YEAR($A1321),MONTH($A1321),1))</f>
        <v/>
      </c>
    </row>
    <row r="1322" customFormat="false" ht="15" hidden="false" customHeight="false" outlineLevel="0" collapsed="false">
      <c r="A1322" s="44"/>
      <c r="B1322" s="6"/>
      <c r="C1322" s="6"/>
      <c r="D1322" s="8" t="str">
        <f aca="false">IF($C1322="","",IFERROR(INDEX(PRODUCTOS!$B$6:$B$105,MATCH($C1322,PRODUCTOS!$A$6:$A$105,0)),"¿Código?"))</f>
        <v/>
      </c>
      <c r="E1322" s="42"/>
      <c r="F1322" s="35" t="str">
        <f aca="false">IF($C1322="","",IFERROR(INDEX(PRODUCTOS!$D$6:$D$105,MATCH($C1322,PRODUCTOS!$A$6:$A$105,0)),0))</f>
        <v/>
      </c>
      <c r="G1322" s="40"/>
      <c r="H1322" s="35" t="str">
        <f aca="false">IF($C1322="","",N($E1322)*$F1322-N($G1322))</f>
        <v/>
      </c>
      <c r="I1322" s="35" t="str">
        <f aca="false">IF($C1322="","",$H1322-$H1322/(1+IFERROR(INDEX(PRODUCTOS!$E$6:$E$105,MATCH($C1322,PRODUCTOS!$A$6:$A$105,0)),IVA_VENTAS)))</f>
        <v/>
      </c>
      <c r="J1322" s="35" t="str">
        <f aca="false">IF($C1322="","",$H1322-$I1322)</f>
        <v/>
      </c>
      <c r="K1322" s="35" t="str">
        <f aca="false">IF($C1322="","",N($E1322)*IFERROR(INDEX(PRODUCTOS!$H$6:$H$105,MATCH($C1322,PRODUCTOS!$A$6:$A$105,0)),0))</f>
        <v/>
      </c>
      <c r="L1322" s="35" t="str">
        <f aca="false">IF($C1322="","",$J1322-$K1322)</f>
        <v/>
      </c>
      <c r="M1322" s="6"/>
      <c r="N1322" s="6"/>
      <c r="O1322" s="46" t="str">
        <f aca="false">IF($A1322="","",DATE(YEAR($A1322),MONTH($A1322),1))</f>
        <v/>
      </c>
    </row>
    <row r="1323" customFormat="false" ht="15" hidden="false" customHeight="false" outlineLevel="0" collapsed="false">
      <c r="A1323" s="44"/>
      <c r="B1323" s="6"/>
      <c r="C1323" s="6"/>
      <c r="D1323" s="8" t="str">
        <f aca="false">IF($C1323="","",IFERROR(INDEX(PRODUCTOS!$B$6:$B$105,MATCH($C1323,PRODUCTOS!$A$6:$A$105,0)),"¿Código?"))</f>
        <v/>
      </c>
      <c r="E1323" s="42"/>
      <c r="F1323" s="35" t="str">
        <f aca="false">IF($C1323="","",IFERROR(INDEX(PRODUCTOS!$D$6:$D$105,MATCH($C1323,PRODUCTOS!$A$6:$A$105,0)),0))</f>
        <v/>
      </c>
      <c r="G1323" s="40"/>
      <c r="H1323" s="35" t="str">
        <f aca="false">IF($C1323="","",N($E1323)*$F1323-N($G1323))</f>
        <v/>
      </c>
      <c r="I1323" s="35" t="str">
        <f aca="false">IF($C1323="","",$H1323-$H1323/(1+IFERROR(INDEX(PRODUCTOS!$E$6:$E$105,MATCH($C1323,PRODUCTOS!$A$6:$A$105,0)),IVA_VENTAS)))</f>
        <v/>
      </c>
      <c r="J1323" s="35" t="str">
        <f aca="false">IF($C1323="","",$H1323-$I1323)</f>
        <v/>
      </c>
      <c r="K1323" s="35" t="str">
        <f aca="false">IF($C1323="","",N($E1323)*IFERROR(INDEX(PRODUCTOS!$H$6:$H$105,MATCH($C1323,PRODUCTOS!$A$6:$A$105,0)),0))</f>
        <v/>
      </c>
      <c r="L1323" s="35" t="str">
        <f aca="false">IF($C1323="","",$J1323-$K1323)</f>
        <v/>
      </c>
      <c r="M1323" s="6"/>
      <c r="N1323" s="6"/>
      <c r="O1323" s="46" t="str">
        <f aca="false">IF($A1323="","",DATE(YEAR($A1323),MONTH($A1323),1))</f>
        <v/>
      </c>
    </row>
    <row r="1324" customFormat="false" ht="15" hidden="false" customHeight="false" outlineLevel="0" collapsed="false">
      <c r="A1324" s="44"/>
      <c r="B1324" s="6"/>
      <c r="C1324" s="6"/>
      <c r="D1324" s="8" t="str">
        <f aca="false">IF($C1324="","",IFERROR(INDEX(PRODUCTOS!$B$6:$B$105,MATCH($C1324,PRODUCTOS!$A$6:$A$105,0)),"¿Código?"))</f>
        <v/>
      </c>
      <c r="E1324" s="42"/>
      <c r="F1324" s="35" t="str">
        <f aca="false">IF($C1324="","",IFERROR(INDEX(PRODUCTOS!$D$6:$D$105,MATCH($C1324,PRODUCTOS!$A$6:$A$105,0)),0))</f>
        <v/>
      </c>
      <c r="G1324" s="40"/>
      <c r="H1324" s="35" t="str">
        <f aca="false">IF($C1324="","",N($E1324)*$F1324-N($G1324))</f>
        <v/>
      </c>
      <c r="I1324" s="35" t="str">
        <f aca="false">IF($C1324="","",$H1324-$H1324/(1+IFERROR(INDEX(PRODUCTOS!$E$6:$E$105,MATCH($C1324,PRODUCTOS!$A$6:$A$105,0)),IVA_VENTAS)))</f>
        <v/>
      </c>
      <c r="J1324" s="35" t="str">
        <f aca="false">IF($C1324="","",$H1324-$I1324)</f>
        <v/>
      </c>
      <c r="K1324" s="35" t="str">
        <f aca="false">IF($C1324="","",N($E1324)*IFERROR(INDEX(PRODUCTOS!$H$6:$H$105,MATCH($C1324,PRODUCTOS!$A$6:$A$105,0)),0))</f>
        <v/>
      </c>
      <c r="L1324" s="35" t="str">
        <f aca="false">IF($C1324="","",$J1324-$K1324)</f>
        <v/>
      </c>
      <c r="M1324" s="6"/>
      <c r="N1324" s="6"/>
      <c r="O1324" s="46" t="str">
        <f aca="false">IF($A1324="","",DATE(YEAR($A1324),MONTH($A1324),1))</f>
        <v/>
      </c>
    </row>
    <row r="1325" customFormat="false" ht="15" hidden="false" customHeight="false" outlineLevel="0" collapsed="false">
      <c r="A1325" s="44"/>
      <c r="B1325" s="6"/>
      <c r="C1325" s="6"/>
      <c r="D1325" s="8" t="str">
        <f aca="false">IF($C1325="","",IFERROR(INDEX(PRODUCTOS!$B$6:$B$105,MATCH($C1325,PRODUCTOS!$A$6:$A$105,0)),"¿Código?"))</f>
        <v/>
      </c>
      <c r="E1325" s="42"/>
      <c r="F1325" s="35" t="str">
        <f aca="false">IF($C1325="","",IFERROR(INDEX(PRODUCTOS!$D$6:$D$105,MATCH($C1325,PRODUCTOS!$A$6:$A$105,0)),0))</f>
        <v/>
      </c>
      <c r="G1325" s="40"/>
      <c r="H1325" s="35" t="str">
        <f aca="false">IF($C1325="","",N($E1325)*$F1325-N($G1325))</f>
        <v/>
      </c>
      <c r="I1325" s="35" t="str">
        <f aca="false">IF($C1325="","",$H1325-$H1325/(1+IFERROR(INDEX(PRODUCTOS!$E$6:$E$105,MATCH($C1325,PRODUCTOS!$A$6:$A$105,0)),IVA_VENTAS)))</f>
        <v/>
      </c>
      <c r="J1325" s="35" t="str">
        <f aca="false">IF($C1325="","",$H1325-$I1325)</f>
        <v/>
      </c>
      <c r="K1325" s="35" t="str">
        <f aca="false">IF($C1325="","",N($E1325)*IFERROR(INDEX(PRODUCTOS!$H$6:$H$105,MATCH($C1325,PRODUCTOS!$A$6:$A$105,0)),0))</f>
        <v/>
      </c>
      <c r="L1325" s="35" t="str">
        <f aca="false">IF($C1325="","",$J1325-$K1325)</f>
        <v/>
      </c>
      <c r="M1325" s="6"/>
      <c r="N1325" s="6"/>
      <c r="O1325" s="46" t="str">
        <f aca="false">IF($A1325="","",DATE(YEAR($A1325),MONTH($A1325),1))</f>
        <v/>
      </c>
    </row>
    <row r="1326" customFormat="false" ht="15" hidden="false" customHeight="false" outlineLevel="0" collapsed="false">
      <c r="A1326" s="44"/>
      <c r="B1326" s="6"/>
      <c r="C1326" s="6"/>
      <c r="D1326" s="8" t="str">
        <f aca="false">IF($C1326="","",IFERROR(INDEX(PRODUCTOS!$B$6:$B$105,MATCH($C1326,PRODUCTOS!$A$6:$A$105,0)),"¿Código?"))</f>
        <v/>
      </c>
      <c r="E1326" s="42"/>
      <c r="F1326" s="35" t="str">
        <f aca="false">IF($C1326="","",IFERROR(INDEX(PRODUCTOS!$D$6:$D$105,MATCH($C1326,PRODUCTOS!$A$6:$A$105,0)),0))</f>
        <v/>
      </c>
      <c r="G1326" s="40"/>
      <c r="H1326" s="35" t="str">
        <f aca="false">IF($C1326="","",N($E1326)*$F1326-N($G1326))</f>
        <v/>
      </c>
      <c r="I1326" s="35" t="str">
        <f aca="false">IF($C1326="","",$H1326-$H1326/(1+IFERROR(INDEX(PRODUCTOS!$E$6:$E$105,MATCH($C1326,PRODUCTOS!$A$6:$A$105,0)),IVA_VENTAS)))</f>
        <v/>
      </c>
      <c r="J1326" s="35" t="str">
        <f aca="false">IF($C1326="","",$H1326-$I1326)</f>
        <v/>
      </c>
      <c r="K1326" s="35" t="str">
        <f aca="false">IF($C1326="","",N($E1326)*IFERROR(INDEX(PRODUCTOS!$H$6:$H$105,MATCH($C1326,PRODUCTOS!$A$6:$A$105,0)),0))</f>
        <v/>
      </c>
      <c r="L1326" s="35" t="str">
        <f aca="false">IF($C1326="","",$J1326-$K1326)</f>
        <v/>
      </c>
      <c r="M1326" s="6"/>
      <c r="N1326" s="6"/>
      <c r="O1326" s="46" t="str">
        <f aca="false">IF($A1326="","",DATE(YEAR($A1326),MONTH($A1326),1))</f>
        <v/>
      </c>
    </row>
    <row r="1327" customFormat="false" ht="15" hidden="false" customHeight="false" outlineLevel="0" collapsed="false">
      <c r="A1327" s="44"/>
      <c r="B1327" s="6"/>
      <c r="C1327" s="6"/>
      <c r="D1327" s="8" t="str">
        <f aca="false">IF($C1327="","",IFERROR(INDEX(PRODUCTOS!$B$6:$B$105,MATCH($C1327,PRODUCTOS!$A$6:$A$105,0)),"¿Código?"))</f>
        <v/>
      </c>
      <c r="E1327" s="42"/>
      <c r="F1327" s="35" t="str">
        <f aca="false">IF($C1327="","",IFERROR(INDEX(PRODUCTOS!$D$6:$D$105,MATCH($C1327,PRODUCTOS!$A$6:$A$105,0)),0))</f>
        <v/>
      </c>
      <c r="G1327" s="40"/>
      <c r="H1327" s="35" t="str">
        <f aca="false">IF($C1327="","",N($E1327)*$F1327-N($G1327))</f>
        <v/>
      </c>
      <c r="I1327" s="35" t="str">
        <f aca="false">IF($C1327="","",$H1327-$H1327/(1+IFERROR(INDEX(PRODUCTOS!$E$6:$E$105,MATCH($C1327,PRODUCTOS!$A$6:$A$105,0)),IVA_VENTAS)))</f>
        <v/>
      </c>
      <c r="J1327" s="35" t="str">
        <f aca="false">IF($C1327="","",$H1327-$I1327)</f>
        <v/>
      </c>
      <c r="K1327" s="35" t="str">
        <f aca="false">IF($C1327="","",N($E1327)*IFERROR(INDEX(PRODUCTOS!$H$6:$H$105,MATCH($C1327,PRODUCTOS!$A$6:$A$105,0)),0))</f>
        <v/>
      </c>
      <c r="L1327" s="35" t="str">
        <f aca="false">IF($C1327="","",$J1327-$K1327)</f>
        <v/>
      </c>
      <c r="M1327" s="6"/>
      <c r="N1327" s="6"/>
      <c r="O1327" s="46" t="str">
        <f aca="false">IF($A1327="","",DATE(YEAR($A1327),MONTH($A1327),1))</f>
        <v/>
      </c>
    </row>
    <row r="1328" customFormat="false" ht="15" hidden="false" customHeight="false" outlineLevel="0" collapsed="false">
      <c r="A1328" s="44"/>
      <c r="B1328" s="6"/>
      <c r="C1328" s="6"/>
      <c r="D1328" s="8" t="str">
        <f aca="false">IF($C1328="","",IFERROR(INDEX(PRODUCTOS!$B$6:$B$105,MATCH($C1328,PRODUCTOS!$A$6:$A$105,0)),"¿Código?"))</f>
        <v/>
      </c>
      <c r="E1328" s="42"/>
      <c r="F1328" s="35" t="str">
        <f aca="false">IF($C1328="","",IFERROR(INDEX(PRODUCTOS!$D$6:$D$105,MATCH($C1328,PRODUCTOS!$A$6:$A$105,0)),0))</f>
        <v/>
      </c>
      <c r="G1328" s="40"/>
      <c r="H1328" s="35" t="str">
        <f aca="false">IF($C1328="","",N($E1328)*$F1328-N($G1328))</f>
        <v/>
      </c>
      <c r="I1328" s="35" t="str">
        <f aca="false">IF($C1328="","",$H1328-$H1328/(1+IFERROR(INDEX(PRODUCTOS!$E$6:$E$105,MATCH($C1328,PRODUCTOS!$A$6:$A$105,0)),IVA_VENTAS)))</f>
        <v/>
      </c>
      <c r="J1328" s="35" t="str">
        <f aca="false">IF($C1328="","",$H1328-$I1328)</f>
        <v/>
      </c>
      <c r="K1328" s="35" t="str">
        <f aca="false">IF($C1328="","",N($E1328)*IFERROR(INDEX(PRODUCTOS!$H$6:$H$105,MATCH($C1328,PRODUCTOS!$A$6:$A$105,0)),0))</f>
        <v/>
      </c>
      <c r="L1328" s="35" t="str">
        <f aca="false">IF($C1328="","",$J1328-$K1328)</f>
        <v/>
      </c>
      <c r="M1328" s="6"/>
      <c r="N1328" s="6"/>
      <c r="O1328" s="46" t="str">
        <f aca="false">IF($A1328="","",DATE(YEAR($A1328),MONTH($A1328),1))</f>
        <v/>
      </c>
    </row>
    <row r="1329" customFormat="false" ht="15" hidden="false" customHeight="false" outlineLevel="0" collapsed="false">
      <c r="A1329" s="44"/>
      <c r="B1329" s="6"/>
      <c r="C1329" s="6"/>
      <c r="D1329" s="8" t="str">
        <f aca="false">IF($C1329="","",IFERROR(INDEX(PRODUCTOS!$B$6:$B$105,MATCH($C1329,PRODUCTOS!$A$6:$A$105,0)),"¿Código?"))</f>
        <v/>
      </c>
      <c r="E1329" s="42"/>
      <c r="F1329" s="35" t="str">
        <f aca="false">IF($C1329="","",IFERROR(INDEX(PRODUCTOS!$D$6:$D$105,MATCH($C1329,PRODUCTOS!$A$6:$A$105,0)),0))</f>
        <v/>
      </c>
      <c r="G1329" s="40"/>
      <c r="H1329" s="35" t="str">
        <f aca="false">IF($C1329="","",N($E1329)*$F1329-N($G1329))</f>
        <v/>
      </c>
      <c r="I1329" s="35" t="str">
        <f aca="false">IF($C1329="","",$H1329-$H1329/(1+IFERROR(INDEX(PRODUCTOS!$E$6:$E$105,MATCH($C1329,PRODUCTOS!$A$6:$A$105,0)),IVA_VENTAS)))</f>
        <v/>
      </c>
      <c r="J1329" s="35" t="str">
        <f aca="false">IF($C1329="","",$H1329-$I1329)</f>
        <v/>
      </c>
      <c r="K1329" s="35" t="str">
        <f aca="false">IF($C1329="","",N($E1329)*IFERROR(INDEX(PRODUCTOS!$H$6:$H$105,MATCH($C1329,PRODUCTOS!$A$6:$A$105,0)),0))</f>
        <v/>
      </c>
      <c r="L1329" s="35" t="str">
        <f aca="false">IF($C1329="","",$J1329-$K1329)</f>
        <v/>
      </c>
      <c r="M1329" s="6"/>
      <c r="N1329" s="6"/>
      <c r="O1329" s="46" t="str">
        <f aca="false">IF($A1329="","",DATE(YEAR($A1329),MONTH($A1329),1))</f>
        <v/>
      </c>
    </row>
    <row r="1330" customFormat="false" ht="15" hidden="false" customHeight="false" outlineLevel="0" collapsed="false">
      <c r="A1330" s="44"/>
      <c r="B1330" s="6"/>
      <c r="C1330" s="6"/>
      <c r="D1330" s="8" t="str">
        <f aca="false">IF($C1330="","",IFERROR(INDEX(PRODUCTOS!$B$6:$B$105,MATCH($C1330,PRODUCTOS!$A$6:$A$105,0)),"¿Código?"))</f>
        <v/>
      </c>
      <c r="E1330" s="42"/>
      <c r="F1330" s="35" t="str">
        <f aca="false">IF($C1330="","",IFERROR(INDEX(PRODUCTOS!$D$6:$D$105,MATCH($C1330,PRODUCTOS!$A$6:$A$105,0)),0))</f>
        <v/>
      </c>
      <c r="G1330" s="40"/>
      <c r="H1330" s="35" t="str">
        <f aca="false">IF($C1330="","",N($E1330)*$F1330-N($G1330))</f>
        <v/>
      </c>
      <c r="I1330" s="35" t="str">
        <f aca="false">IF($C1330="","",$H1330-$H1330/(1+IFERROR(INDEX(PRODUCTOS!$E$6:$E$105,MATCH($C1330,PRODUCTOS!$A$6:$A$105,0)),IVA_VENTAS)))</f>
        <v/>
      </c>
      <c r="J1330" s="35" t="str">
        <f aca="false">IF($C1330="","",$H1330-$I1330)</f>
        <v/>
      </c>
      <c r="K1330" s="35" t="str">
        <f aca="false">IF($C1330="","",N($E1330)*IFERROR(INDEX(PRODUCTOS!$H$6:$H$105,MATCH($C1330,PRODUCTOS!$A$6:$A$105,0)),0))</f>
        <v/>
      </c>
      <c r="L1330" s="35" t="str">
        <f aca="false">IF($C1330="","",$J1330-$K1330)</f>
        <v/>
      </c>
      <c r="M1330" s="6"/>
      <c r="N1330" s="6"/>
      <c r="O1330" s="46" t="str">
        <f aca="false">IF($A1330="","",DATE(YEAR($A1330),MONTH($A1330),1))</f>
        <v/>
      </c>
    </row>
    <row r="1331" customFormat="false" ht="15" hidden="false" customHeight="false" outlineLevel="0" collapsed="false">
      <c r="A1331" s="44"/>
      <c r="B1331" s="6"/>
      <c r="C1331" s="6"/>
      <c r="D1331" s="8" t="str">
        <f aca="false">IF($C1331="","",IFERROR(INDEX(PRODUCTOS!$B$6:$B$105,MATCH($C1331,PRODUCTOS!$A$6:$A$105,0)),"¿Código?"))</f>
        <v/>
      </c>
      <c r="E1331" s="42"/>
      <c r="F1331" s="35" t="str">
        <f aca="false">IF($C1331="","",IFERROR(INDEX(PRODUCTOS!$D$6:$D$105,MATCH($C1331,PRODUCTOS!$A$6:$A$105,0)),0))</f>
        <v/>
      </c>
      <c r="G1331" s="40"/>
      <c r="H1331" s="35" t="str">
        <f aca="false">IF($C1331="","",N($E1331)*$F1331-N($G1331))</f>
        <v/>
      </c>
      <c r="I1331" s="35" t="str">
        <f aca="false">IF($C1331="","",$H1331-$H1331/(1+IFERROR(INDEX(PRODUCTOS!$E$6:$E$105,MATCH($C1331,PRODUCTOS!$A$6:$A$105,0)),IVA_VENTAS)))</f>
        <v/>
      </c>
      <c r="J1331" s="35" t="str">
        <f aca="false">IF($C1331="","",$H1331-$I1331)</f>
        <v/>
      </c>
      <c r="K1331" s="35" t="str">
        <f aca="false">IF($C1331="","",N($E1331)*IFERROR(INDEX(PRODUCTOS!$H$6:$H$105,MATCH($C1331,PRODUCTOS!$A$6:$A$105,0)),0))</f>
        <v/>
      </c>
      <c r="L1331" s="35" t="str">
        <f aca="false">IF($C1331="","",$J1331-$K1331)</f>
        <v/>
      </c>
      <c r="M1331" s="6"/>
      <c r="N1331" s="6"/>
      <c r="O1331" s="46" t="str">
        <f aca="false">IF($A1331="","",DATE(YEAR($A1331),MONTH($A1331),1))</f>
        <v/>
      </c>
    </row>
    <row r="1332" customFormat="false" ht="15" hidden="false" customHeight="false" outlineLevel="0" collapsed="false">
      <c r="A1332" s="44"/>
      <c r="B1332" s="6"/>
      <c r="C1332" s="6"/>
      <c r="D1332" s="8" t="str">
        <f aca="false">IF($C1332="","",IFERROR(INDEX(PRODUCTOS!$B$6:$B$105,MATCH($C1332,PRODUCTOS!$A$6:$A$105,0)),"¿Código?"))</f>
        <v/>
      </c>
      <c r="E1332" s="42"/>
      <c r="F1332" s="35" t="str">
        <f aca="false">IF($C1332="","",IFERROR(INDEX(PRODUCTOS!$D$6:$D$105,MATCH($C1332,PRODUCTOS!$A$6:$A$105,0)),0))</f>
        <v/>
      </c>
      <c r="G1332" s="40"/>
      <c r="H1332" s="35" t="str">
        <f aca="false">IF($C1332="","",N($E1332)*$F1332-N($G1332))</f>
        <v/>
      </c>
      <c r="I1332" s="35" t="str">
        <f aca="false">IF($C1332="","",$H1332-$H1332/(1+IFERROR(INDEX(PRODUCTOS!$E$6:$E$105,MATCH($C1332,PRODUCTOS!$A$6:$A$105,0)),IVA_VENTAS)))</f>
        <v/>
      </c>
      <c r="J1332" s="35" t="str">
        <f aca="false">IF($C1332="","",$H1332-$I1332)</f>
        <v/>
      </c>
      <c r="K1332" s="35" t="str">
        <f aca="false">IF($C1332="","",N($E1332)*IFERROR(INDEX(PRODUCTOS!$H$6:$H$105,MATCH($C1332,PRODUCTOS!$A$6:$A$105,0)),0))</f>
        <v/>
      </c>
      <c r="L1332" s="35" t="str">
        <f aca="false">IF($C1332="","",$J1332-$K1332)</f>
        <v/>
      </c>
      <c r="M1332" s="6"/>
      <c r="N1332" s="6"/>
      <c r="O1332" s="46" t="str">
        <f aca="false">IF($A1332="","",DATE(YEAR($A1332),MONTH($A1332),1))</f>
        <v/>
      </c>
    </row>
    <row r="1333" customFormat="false" ht="15" hidden="false" customHeight="false" outlineLevel="0" collapsed="false">
      <c r="A1333" s="44"/>
      <c r="B1333" s="6"/>
      <c r="C1333" s="6"/>
      <c r="D1333" s="8" t="str">
        <f aca="false">IF($C1333="","",IFERROR(INDEX(PRODUCTOS!$B$6:$B$105,MATCH($C1333,PRODUCTOS!$A$6:$A$105,0)),"¿Código?"))</f>
        <v/>
      </c>
      <c r="E1333" s="42"/>
      <c r="F1333" s="35" t="str">
        <f aca="false">IF($C1333="","",IFERROR(INDEX(PRODUCTOS!$D$6:$D$105,MATCH($C1333,PRODUCTOS!$A$6:$A$105,0)),0))</f>
        <v/>
      </c>
      <c r="G1333" s="40"/>
      <c r="H1333" s="35" t="str">
        <f aca="false">IF($C1333="","",N($E1333)*$F1333-N($G1333))</f>
        <v/>
      </c>
      <c r="I1333" s="35" t="str">
        <f aca="false">IF($C1333="","",$H1333-$H1333/(1+IFERROR(INDEX(PRODUCTOS!$E$6:$E$105,MATCH($C1333,PRODUCTOS!$A$6:$A$105,0)),IVA_VENTAS)))</f>
        <v/>
      </c>
      <c r="J1333" s="35" t="str">
        <f aca="false">IF($C1333="","",$H1333-$I1333)</f>
        <v/>
      </c>
      <c r="K1333" s="35" t="str">
        <f aca="false">IF($C1333="","",N($E1333)*IFERROR(INDEX(PRODUCTOS!$H$6:$H$105,MATCH($C1333,PRODUCTOS!$A$6:$A$105,0)),0))</f>
        <v/>
      </c>
      <c r="L1333" s="35" t="str">
        <f aca="false">IF($C1333="","",$J1333-$K1333)</f>
        <v/>
      </c>
      <c r="M1333" s="6"/>
      <c r="N1333" s="6"/>
      <c r="O1333" s="46" t="str">
        <f aca="false">IF($A1333="","",DATE(YEAR($A1333),MONTH($A1333),1))</f>
        <v/>
      </c>
    </row>
    <row r="1334" customFormat="false" ht="15" hidden="false" customHeight="false" outlineLevel="0" collapsed="false">
      <c r="A1334" s="44"/>
      <c r="B1334" s="6"/>
      <c r="C1334" s="6"/>
      <c r="D1334" s="8" t="str">
        <f aca="false">IF($C1334="","",IFERROR(INDEX(PRODUCTOS!$B$6:$B$105,MATCH($C1334,PRODUCTOS!$A$6:$A$105,0)),"¿Código?"))</f>
        <v/>
      </c>
      <c r="E1334" s="42"/>
      <c r="F1334" s="35" t="str">
        <f aca="false">IF($C1334="","",IFERROR(INDEX(PRODUCTOS!$D$6:$D$105,MATCH($C1334,PRODUCTOS!$A$6:$A$105,0)),0))</f>
        <v/>
      </c>
      <c r="G1334" s="40"/>
      <c r="H1334" s="35" t="str">
        <f aca="false">IF($C1334="","",N($E1334)*$F1334-N($G1334))</f>
        <v/>
      </c>
      <c r="I1334" s="35" t="str">
        <f aca="false">IF($C1334="","",$H1334-$H1334/(1+IFERROR(INDEX(PRODUCTOS!$E$6:$E$105,MATCH($C1334,PRODUCTOS!$A$6:$A$105,0)),IVA_VENTAS)))</f>
        <v/>
      </c>
      <c r="J1334" s="35" t="str">
        <f aca="false">IF($C1334="","",$H1334-$I1334)</f>
        <v/>
      </c>
      <c r="K1334" s="35" t="str">
        <f aca="false">IF($C1334="","",N($E1334)*IFERROR(INDEX(PRODUCTOS!$H$6:$H$105,MATCH($C1334,PRODUCTOS!$A$6:$A$105,0)),0))</f>
        <v/>
      </c>
      <c r="L1334" s="35" t="str">
        <f aca="false">IF($C1334="","",$J1334-$K1334)</f>
        <v/>
      </c>
      <c r="M1334" s="6"/>
      <c r="N1334" s="6"/>
      <c r="O1334" s="46" t="str">
        <f aca="false">IF($A1334="","",DATE(YEAR($A1334),MONTH($A1334),1))</f>
        <v/>
      </c>
    </row>
    <row r="1335" customFormat="false" ht="15" hidden="false" customHeight="false" outlineLevel="0" collapsed="false">
      <c r="A1335" s="44"/>
      <c r="B1335" s="6"/>
      <c r="C1335" s="6"/>
      <c r="D1335" s="8" t="str">
        <f aca="false">IF($C1335="","",IFERROR(INDEX(PRODUCTOS!$B$6:$B$105,MATCH($C1335,PRODUCTOS!$A$6:$A$105,0)),"¿Código?"))</f>
        <v/>
      </c>
      <c r="E1335" s="42"/>
      <c r="F1335" s="35" t="str">
        <f aca="false">IF($C1335="","",IFERROR(INDEX(PRODUCTOS!$D$6:$D$105,MATCH($C1335,PRODUCTOS!$A$6:$A$105,0)),0))</f>
        <v/>
      </c>
      <c r="G1335" s="40"/>
      <c r="H1335" s="35" t="str">
        <f aca="false">IF($C1335="","",N($E1335)*$F1335-N($G1335))</f>
        <v/>
      </c>
      <c r="I1335" s="35" t="str">
        <f aca="false">IF($C1335="","",$H1335-$H1335/(1+IFERROR(INDEX(PRODUCTOS!$E$6:$E$105,MATCH($C1335,PRODUCTOS!$A$6:$A$105,0)),IVA_VENTAS)))</f>
        <v/>
      </c>
      <c r="J1335" s="35" t="str">
        <f aca="false">IF($C1335="","",$H1335-$I1335)</f>
        <v/>
      </c>
      <c r="K1335" s="35" t="str">
        <f aca="false">IF($C1335="","",N($E1335)*IFERROR(INDEX(PRODUCTOS!$H$6:$H$105,MATCH($C1335,PRODUCTOS!$A$6:$A$105,0)),0))</f>
        <v/>
      </c>
      <c r="L1335" s="35" t="str">
        <f aca="false">IF($C1335="","",$J1335-$K1335)</f>
        <v/>
      </c>
      <c r="M1335" s="6"/>
      <c r="N1335" s="6"/>
      <c r="O1335" s="46" t="str">
        <f aca="false">IF($A1335="","",DATE(YEAR($A1335),MONTH($A1335),1))</f>
        <v/>
      </c>
    </row>
    <row r="1336" customFormat="false" ht="15" hidden="false" customHeight="false" outlineLevel="0" collapsed="false">
      <c r="A1336" s="44"/>
      <c r="B1336" s="6"/>
      <c r="C1336" s="6"/>
      <c r="D1336" s="8" t="str">
        <f aca="false">IF($C1336="","",IFERROR(INDEX(PRODUCTOS!$B$6:$B$105,MATCH($C1336,PRODUCTOS!$A$6:$A$105,0)),"¿Código?"))</f>
        <v/>
      </c>
      <c r="E1336" s="42"/>
      <c r="F1336" s="35" t="str">
        <f aca="false">IF($C1336="","",IFERROR(INDEX(PRODUCTOS!$D$6:$D$105,MATCH($C1336,PRODUCTOS!$A$6:$A$105,0)),0))</f>
        <v/>
      </c>
      <c r="G1336" s="40"/>
      <c r="H1336" s="35" t="str">
        <f aca="false">IF($C1336="","",N($E1336)*$F1336-N($G1336))</f>
        <v/>
      </c>
      <c r="I1336" s="35" t="str">
        <f aca="false">IF($C1336="","",$H1336-$H1336/(1+IFERROR(INDEX(PRODUCTOS!$E$6:$E$105,MATCH($C1336,PRODUCTOS!$A$6:$A$105,0)),IVA_VENTAS)))</f>
        <v/>
      </c>
      <c r="J1336" s="35" t="str">
        <f aca="false">IF($C1336="","",$H1336-$I1336)</f>
        <v/>
      </c>
      <c r="K1336" s="35" t="str">
        <f aca="false">IF($C1336="","",N($E1336)*IFERROR(INDEX(PRODUCTOS!$H$6:$H$105,MATCH($C1336,PRODUCTOS!$A$6:$A$105,0)),0))</f>
        <v/>
      </c>
      <c r="L1336" s="35" t="str">
        <f aca="false">IF($C1336="","",$J1336-$K1336)</f>
        <v/>
      </c>
      <c r="M1336" s="6"/>
      <c r="N1336" s="6"/>
      <c r="O1336" s="46" t="str">
        <f aca="false">IF($A1336="","",DATE(YEAR($A1336),MONTH($A1336),1))</f>
        <v/>
      </c>
    </row>
    <row r="1337" customFormat="false" ht="15" hidden="false" customHeight="false" outlineLevel="0" collapsed="false">
      <c r="A1337" s="44"/>
      <c r="B1337" s="6"/>
      <c r="C1337" s="6"/>
      <c r="D1337" s="8" t="str">
        <f aca="false">IF($C1337="","",IFERROR(INDEX(PRODUCTOS!$B$6:$B$105,MATCH($C1337,PRODUCTOS!$A$6:$A$105,0)),"¿Código?"))</f>
        <v/>
      </c>
      <c r="E1337" s="42"/>
      <c r="F1337" s="35" t="str">
        <f aca="false">IF($C1337="","",IFERROR(INDEX(PRODUCTOS!$D$6:$D$105,MATCH($C1337,PRODUCTOS!$A$6:$A$105,0)),0))</f>
        <v/>
      </c>
      <c r="G1337" s="40"/>
      <c r="H1337" s="35" t="str">
        <f aca="false">IF($C1337="","",N($E1337)*$F1337-N($G1337))</f>
        <v/>
      </c>
      <c r="I1337" s="35" t="str">
        <f aca="false">IF($C1337="","",$H1337-$H1337/(1+IFERROR(INDEX(PRODUCTOS!$E$6:$E$105,MATCH($C1337,PRODUCTOS!$A$6:$A$105,0)),IVA_VENTAS)))</f>
        <v/>
      </c>
      <c r="J1337" s="35" t="str">
        <f aca="false">IF($C1337="","",$H1337-$I1337)</f>
        <v/>
      </c>
      <c r="K1337" s="35" t="str">
        <f aca="false">IF($C1337="","",N($E1337)*IFERROR(INDEX(PRODUCTOS!$H$6:$H$105,MATCH($C1337,PRODUCTOS!$A$6:$A$105,0)),0))</f>
        <v/>
      </c>
      <c r="L1337" s="35" t="str">
        <f aca="false">IF($C1337="","",$J1337-$K1337)</f>
        <v/>
      </c>
      <c r="M1337" s="6"/>
      <c r="N1337" s="6"/>
      <c r="O1337" s="46" t="str">
        <f aca="false">IF($A1337="","",DATE(YEAR($A1337),MONTH($A1337),1))</f>
        <v/>
      </c>
    </row>
    <row r="1338" customFormat="false" ht="15" hidden="false" customHeight="false" outlineLevel="0" collapsed="false">
      <c r="A1338" s="44"/>
      <c r="B1338" s="6"/>
      <c r="C1338" s="6"/>
      <c r="D1338" s="8" t="str">
        <f aca="false">IF($C1338="","",IFERROR(INDEX(PRODUCTOS!$B$6:$B$105,MATCH($C1338,PRODUCTOS!$A$6:$A$105,0)),"¿Código?"))</f>
        <v/>
      </c>
      <c r="E1338" s="42"/>
      <c r="F1338" s="35" t="str">
        <f aca="false">IF($C1338="","",IFERROR(INDEX(PRODUCTOS!$D$6:$D$105,MATCH($C1338,PRODUCTOS!$A$6:$A$105,0)),0))</f>
        <v/>
      </c>
      <c r="G1338" s="40"/>
      <c r="H1338" s="35" t="str">
        <f aca="false">IF($C1338="","",N($E1338)*$F1338-N($G1338))</f>
        <v/>
      </c>
      <c r="I1338" s="35" t="str">
        <f aca="false">IF($C1338="","",$H1338-$H1338/(1+IFERROR(INDEX(PRODUCTOS!$E$6:$E$105,MATCH($C1338,PRODUCTOS!$A$6:$A$105,0)),IVA_VENTAS)))</f>
        <v/>
      </c>
      <c r="J1338" s="35" t="str">
        <f aca="false">IF($C1338="","",$H1338-$I1338)</f>
        <v/>
      </c>
      <c r="K1338" s="35" t="str">
        <f aca="false">IF($C1338="","",N($E1338)*IFERROR(INDEX(PRODUCTOS!$H$6:$H$105,MATCH($C1338,PRODUCTOS!$A$6:$A$105,0)),0))</f>
        <v/>
      </c>
      <c r="L1338" s="35" t="str">
        <f aca="false">IF($C1338="","",$J1338-$K1338)</f>
        <v/>
      </c>
      <c r="M1338" s="6"/>
      <c r="N1338" s="6"/>
      <c r="O1338" s="46" t="str">
        <f aca="false">IF($A1338="","",DATE(YEAR($A1338),MONTH($A1338),1))</f>
        <v/>
      </c>
    </row>
    <row r="1339" customFormat="false" ht="15" hidden="false" customHeight="false" outlineLevel="0" collapsed="false">
      <c r="A1339" s="44"/>
      <c r="B1339" s="6"/>
      <c r="C1339" s="6"/>
      <c r="D1339" s="8" t="str">
        <f aca="false">IF($C1339="","",IFERROR(INDEX(PRODUCTOS!$B$6:$B$105,MATCH($C1339,PRODUCTOS!$A$6:$A$105,0)),"¿Código?"))</f>
        <v/>
      </c>
      <c r="E1339" s="42"/>
      <c r="F1339" s="35" t="str">
        <f aca="false">IF($C1339="","",IFERROR(INDEX(PRODUCTOS!$D$6:$D$105,MATCH($C1339,PRODUCTOS!$A$6:$A$105,0)),0))</f>
        <v/>
      </c>
      <c r="G1339" s="40"/>
      <c r="H1339" s="35" t="str">
        <f aca="false">IF($C1339="","",N($E1339)*$F1339-N($G1339))</f>
        <v/>
      </c>
      <c r="I1339" s="35" t="str">
        <f aca="false">IF($C1339="","",$H1339-$H1339/(1+IFERROR(INDEX(PRODUCTOS!$E$6:$E$105,MATCH($C1339,PRODUCTOS!$A$6:$A$105,0)),IVA_VENTAS)))</f>
        <v/>
      </c>
      <c r="J1339" s="35" t="str">
        <f aca="false">IF($C1339="","",$H1339-$I1339)</f>
        <v/>
      </c>
      <c r="K1339" s="35" t="str">
        <f aca="false">IF($C1339="","",N($E1339)*IFERROR(INDEX(PRODUCTOS!$H$6:$H$105,MATCH($C1339,PRODUCTOS!$A$6:$A$105,0)),0))</f>
        <v/>
      </c>
      <c r="L1339" s="35" t="str">
        <f aca="false">IF($C1339="","",$J1339-$K1339)</f>
        <v/>
      </c>
      <c r="M1339" s="6"/>
      <c r="N1339" s="6"/>
      <c r="O1339" s="46" t="str">
        <f aca="false">IF($A1339="","",DATE(YEAR($A1339),MONTH($A1339),1))</f>
        <v/>
      </c>
    </row>
    <row r="1340" customFormat="false" ht="15" hidden="false" customHeight="false" outlineLevel="0" collapsed="false">
      <c r="A1340" s="44"/>
      <c r="B1340" s="6"/>
      <c r="C1340" s="6"/>
      <c r="D1340" s="8" t="str">
        <f aca="false">IF($C1340="","",IFERROR(INDEX(PRODUCTOS!$B$6:$B$105,MATCH($C1340,PRODUCTOS!$A$6:$A$105,0)),"¿Código?"))</f>
        <v/>
      </c>
      <c r="E1340" s="42"/>
      <c r="F1340" s="35" t="str">
        <f aca="false">IF($C1340="","",IFERROR(INDEX(PRODUCTOS!$D$6:$D$105,MATCH($C1340,PRODUCTOS!$A$6:$A$105,0)),0))</f>
        <v/>
      </c>
      <c r="G1340" s="40"/>
      <c r="H1340" s="35" t="str">
        <f aca="false">IF($C1340="","",N($E1340)*$F1340-N($G1340))</f>
        <v/>
      </c>
      <c r="I1340" s="35" t="str">
        <f aca="false">IF($C1340="","",$H1340-$H1340/(1+IFERROR(INDEX(PRODUCTOS!$E$6:$E$105,MATCH($C1340,PRODUCTOS!$A$6:$A$105,0)),IVA_VENTAS)))</f>
        <v/>
      </c>
      <c r="J1340" s="35" t="str">
        <f aca="false">IF($C1340="","",$H1340-$I1340)</f>
        <v/>
      </c>
      <c r="K1340" s="35" t="str">
        <f aca="false">IF($C1340="","",N($E1340)*IFERROR(INDEX(PRODUCTOS!$H$6:$H$105,MATCH($C1340,PRODUCTOS!$A$6:$A$105,0)),0))</f>
        <v/>
      </c>
      <c r="L1340" s="35" t="str">
        <f aca="false">IF($C1340="","",$J1340-$K1340)</f>
        <v/>
      </c>
      <c r="M1340" s="6"/>
      <c r="N1340" s="6"/>
      <c r="O1340" s="46" t="str">
        <f aca="false">IF($A1340="","",DATE(YEAR($A1340),MONTH($A1340),1))</f>
        <v/>
      </c>
    </row>
    <row r="1341" customFormat="false" ht="15" hidden="false" customHeight="false" outlineLevel="0" collapsed="false">
      <c r="A1341" s="44"/>
      <c r="B1341" s="6"/>
      <c r="C1341" s="6"/>
      <c r="D1341" s="8" t="str">
        <f aca="false">IF($C1341="","",IFERROR(INDEX(PRODUCTOS!$B$6:$B$105,MATCH($C1341,PRODUCTOS!$A$6:$A$105,0)),"¿Código?"))</f>
        <v/>
      </c>
      <c r="E1341" s="42"/>
      <c r="F1341" s="35" t="str">
        <f aca="false">IF($C1341="","",IFERROR(INDEX(PRODUCTOS!$D$6:$D$105,MATCH($C1341,PRODUCTOS!$A$6:$A$105,0)),0))</f>
        <v/>
      </c>
      <c r="G1341" s="40"/>
      <c r="H1341" s="35" t="str">
        <f aca="false">IF($C1341="","",N($E1341)*$F1341-N($G1341))</f>
        <v/>
      </c>
      <c r="I1341" s="35" t="str">
        <f aca="false">IF($C1341="","",$H1341-$H1341/(1+IFERROR(INDEX(PRODUCTOS!$E$6:$E$105,MATCH($C1341,PRODUCTOS!$A$6:$A$105,0)),IVA_VENTAS)))</f>
        <v/>
      </c>
      <c r="J1341" s="35" t="str">
        <f aca="false">IF($C1341="","",$H1341-$I1341)</f>
        <v/>
      </c>
      <c r="K1341" s="35" t="str">
        <f aca="false">IF($C1341="","",N($E1341)*IFERROR(INDEX(PRODUCTOS!$H$6:$H$105,MATCH($C1341,PRODUCTOS!$A$6:$A$105,0)),0))</f>
        <v/>
      </c>
      <c r="L1341" s="35" t="str">
        <f aca="false">IF($C1341="","",$J1341-$K1341)</f>
        <v/>
      </c>
      <c r="M1341" s="6"/>
      <c r="N1341" s="6"/>
      <c r="O1341" s="46" t="str">
        <f aca="false">IF($A1341="","",DATE(YEAR($A1341),MONTH($A1341),1))</f>
        <v/>
      </c>
    </row>
    <row r="1342" customFormat="false" ht="15" hidden="false" customHeight="false" outlineLevel="0" collapsed="false">
      <c r="A1342" s="44"/>
      <c r="B1342" s="6"/>
      <c r="C1342" s="6"/>
      <c r="D1342" s="8" t="str">
        <f aca="false">IF($C1342="","",IFERROR(INDEX(PRODUCTOS!$B$6:$B$105,MATCH($C1342,PRODUCTOS!$A$6:$A$105,0)),"¿Código?"))</f>
        <v/>
      </c>
      <c r="E1342" s="42"/>
      <c r="F1342" s="35" t="str">
        <f aca="false">IF($C1342="","",IFERROR(INDEX(PRODUCTOS!$D$6:$D$105,MATCH($C1342,PRODUCTOS!$A$6:$A$105,0)),0))</f>
        <v/>
      </c>
      <c r="G1342" s="40"/>
      <c r="H1342" s="35" t="str">
        <f aca="false">IF($C1342="","",N($E1342)*$F1342-N($G1342))</f>
        <v/>
      </c>
      <c r="I1342" s="35" t="str">
        <f aca="false">IF($C1342="","",$H1342-$H1342/(1+IFERROR(INDEX(PRODUCTOS!$E$6:$E$105,MATCH($C1342,PRODUCTOS!$A$6:$A$105,0)),IVA_VENTAS)))</f>
        <v/>
      </c>
      <c r="J1342" s="35" t="str">
        <f aca="false">IF($C1342="","",$H1342-$I1342)</f>
        <v/>
      </c>
      <c r="K1342" s="35" t="str">
        <f aca="false">IF($C1342="","",N($E1342)*IFERROR(INDEX(PRODUCTOS!$H$6:$H$105,MATCH($C1342,PRODUCTOS!$A$6:$A$105,0)),0))</f>
        <v/>
      </c>
      <c r="L1342" s="35" t="str">
        <f aca="false">IF($C1342="","",$J1342-$K1342)</f>
        <v/>
      </c>
      <c r="M1342" s="6"/>
      <c r="N1342" s="6"/>
      <c r="O1342" s="46" t="str">
        <f aca="false">IF($A1342="","",DATE(YEAR($A1342),MONTH($A1342),1))</f>
        <v/>
      </c>
    </row>
    <row r="1343" customFormat="false" ht="15" hidden="false" customHeight="false" outlineLevel="0" collapsed="false">
      <c r="A1343" s="44"/>
      <c r="B1343" s="6"/>
      <c r="C1343" s="6"/>
      <c r="D1343" s="8" t="str">
        <f aca="false">IF($C1343="","",IFERROR(INDEX(PRODUCTOS!$B$6:$B$105,MATCH($C1343,PRODUCTOS!$A$6:$A$105,0)),"¿Código?"))</f>
        <v/>
      </c>
      <c r="E1343" s="42"/>
      <c r="F1343" s="35" t="str">
        <f aca="false">IF($C1343="","",IFERROR(INDEX(PRODUCTOS!$D$6:$D$105,MATCH($C1343,PRODUCTOS!$A$6:$A$105,0)),0))</f>
        <v/>
      </c>
      <c r="G1343" s="40"/>
      <c r="H1343" s="35" t="str">
        <f aca="false">IF($C1343="","",N($E1343)*$F1343-N($G1343))</f>
        <v/>
      </c>
      <c r="I1343" s="35" t="str">
        <f aca="false">IF($C1343="","",$H1343-$H1343/(1+IFERROR(INDEX(PRODUCTOS!$E$6:$E$105,MATCH($C1343,PRODUCTOS!$A$6:$A$105,0)),IVA_VENTAS)))</f>
        <v/>
      </c>
      <c r="J1343" s="35" t="str">
        <f aca="false">IF($C1343="","",$H1343-$I1343)</f>
        <v/>
      </c>
      <c r="K1343" s="35" t="str">
        <f aca="false">IF($C1343="","",N($E1343)*IFERROR(INDEX(PRODUCTOS!$H$6:$H$105,MATCH($C1343,PRODUCTOS!$A$6:$A$105,0)),0))</f>
        <v/>
      </c>
      <c r="L1343" s="35" t="str">
        <f aca="false">IF($C1343="","",$J1343-$K1343)</f>
        <v/>
      </c>
      <c r="M1343" s="6"/>
      <c r="N1343" s="6"/>
      <c r="O1343" s="46" t="str">
        <f aca="false">IF($A1343="","",DATE(YEAR($A1343),MONTH($A1343),1))</f>
        <v/>
      </c>
    </row>
    <row r="1344" customFormat="false" ht="15" hidden="false" customHeight="false" outlineLevel="0" collapsed="false">
      <c r="A1344" s="44"/>
      <c r="B1344" s="6"/>
      <c r="C1344" s="6"/>
      <c r="D1344" s="8" t="str">
        <f aca="false">IF($C1344="","",IFERROR(INDEX(PRODUCTOS!$B$6:$B$105,MATCH($C1344,PRODUCTOS!$A$6:$A$105,0)),"¿Código?"))</f>
        <v/>
      </c>
      <c r="E1344" s="42"/>
      <c r="F1344" s="35" t="str">
        <f aca="false">IF($C1344="","",IFERROR(INDEX(PRODUCTOS!$D$6:$D$105,MATCH($C1344,PRODUCTOS!$A$6:$A$105,0)),0))</f>
        <v/>
      </c>
      <c r="G1344" s="40"/>
      <c r="H1344" s="35" t="str">
        <f aca="false">IF($C1344="","",N($E1344)*$F1344-N($G1344))</f>
        <v/>
      </c>
      <c r="I1344" s="35" t="str">
        <f aca="false">IF($C1344="","",$H1344-$H1344/(1+IFERROR(INDEX(PRODUCTOS!$E$6:$E$105,MATCH($C1344,PRODUCTOS!$A$6:$A$105,0)),IVA_VENTAS)))</f>
        <v/>
      </c>
      <c r="J1344" s="35" t="str">
        <f aca="false">IF($C1344="","",$H1344-$I1344)</f>
        <v/>
      </c>
      <c r="K1344" s="35" t="str">
        <f aca="false">IF($C1344="","",N($E1344)*IFERROR(INDEX(PRODUCTOS!$H$6:$H$105,MATCH($C1344,PRODUCTOS!$A$6:$A$105,0)),0))</f>
        <v/>
      </c>
      <c r="L1344" s="35" t="str">
        <f aca="false">IF($C1344="","",$J1344-$K1344)</f>
        <v/>
      </c>
      <c r="M1344" s="6"/>
      <c r="N1344" s="6"/>
      <c r="O1344" s="46" t="str">
        <f aca="false">IF($A1344="","",DATE(YEAR($A1344),MONTH($A1344),1))</f>
        <v/>
      </c>
    </row>
    <row r="1345" customFormat="false" ht="15" hidden="false" customHeight="false" outlineLevel="0" collapsed="false">
      <c r="A1345" s="44"/>
      <c r="B1345" s="6"/>
      <c r="C1345" s="6"/>
      <c r="D1345" s="8" t="str">
        <f aca="false">IF($C1345="","",IFERROR(INDEX(PRODUCTOS!$B$6:$B$105,MATCH($C1345,PRODUCTOS!$A$6:$A$105,0)),"¿Código?"))</f>
        <v/>
      </c>
      <c r="E1345" s="42"/>
      <c r="F1345" s="35" t="str">
        <f aca="false">IF($C1345="","",IFERROR(INDEX(PRODUCTOS!$D$6:$D$105,MATCH($C1345,PRODUCTOS!$A$6:$A$105,0)),0))</f>
        <v/>
      </c>
      <c r="G1345" s="40"/>
      <c r="H1345" s="35" t="str">
        <f aca="false">IF($C1345="","",N($E1345)*$F1345-N($G1345))</f>
        <v/>
      </c>
      <c r="I1345" s="35" t="str">
        <f aca="false">IF($C1345="","",$H1345-$H1345/(1+IFERROR(INDEX(PRODUCTOS!$E$6:$E$105,MATCH($C1345,PRODUCTOS!$A$6:$A$105,0)),IVA_VENTAS)))</f>
        <v/>
      </c>
      <c r="J1345" s="35" t="str">
        <f aca="false">IF($C1345="","",$H1345-$I1345)</f>
        <v/>
      </c>
      <c r="K1345" s="35" t="str">
        <f aca="false">IF($C1345="","",N($E1345)*IFERROR(INDEX(PRODUCTOS!$H$6:$H$105,MATCH($C1345,PRODUCTOS!$A$6:$A$105,0)),0))</f>
        <v/>
      </c>
      <c r="L1345" s="35" t="str">
        <f aca="false">IF($C1345="","",$J1345-$K1345)</f>
        <v/>
      </c>
      <c r="M1345" s="6"/>
      <c r="N1345" s="6"/>
      <c r="O1345" s="46" t="str">
        <f aca="false">IF($A1345="","",DATE(YEAR($A1345),MONTH($A1345),1))</f>
        <v/>
      </c>
    </row>
    <row r="1346" customFormat="false" ht="15" hidden="false" customHeight="false" outlineLevel="0" collapsed="false">
      <c r="A1346" s="44"/>
      <c r="B1346" s="6"/>
      <c r="C1346" s="6"/>
      <c r="D1346" s="8" t="str">
        <f aca="false">IF($C1346="","",IFERROR(INDEX(PRODUCTOS!$B$6:$B$105,MATCH($C1346,PRODUCTOS!$A$6:$A$105,0)),"¿Código?"))</f>
        <v/>
      </c>
      <c r="E1346" s="42"/>
      <c r="F1346" s="35" t="str">
        <f aca="false">IF($C1346="","",IFERROR(INDEX(PRODUCTOS!$D$6:$D$105,MATCH($C1346,PRODUCTOS!$A$6:$A$105,0)),0))</f>
        <v/>
      </c>
      <c r="G1346" s="40"/>
      <c r="H1346" s="35" t="str">
        <f aca="false">IF($C1346="","",N($E1346)*$F1346-N($G1346))</f>
        <v/>
      </c>
      <c r="I1346" s="35" t="str">
        <f aca="false">IF($C1346="","",$H1346-$H1346/(1+IFERROR(INDEX(PRODUCTOS!$E$6:$E$105,MATCH($C1346,PRODUCTOS!$A$6:$A$105,0)),IVA_VENTAS)))</f>
        <v/>
      </c>
      <c r="J1346" s="35" t="str">
        <f aca="false">IF($C1346="","",$H1346-$I1346)</f>
        <v/>
      </c>
      <c r="K1346" s="35" t="str">
        <f aca="false">IF($C1346="","",N($E1346)*IFERROR(INDEX(PRODUCTOS!$H$6:$H$105,MATCH($C1346,PRODUCTOS!$A$6:$A$105,0)),0))</f>
        <v/>
      </c>
      <c r="L1346" s="35" t="str">
        <f aca="false">IF($C1346="","",$J1346-$K1346)</f>
        <v/>
      </c>
      <c r="M1346" s="6"/>
      <c r="N1346" s="6"/>
      <c r="O1346" s="46" t="str">
        <f aca="false">IF($A1346="","",DATE(YEAR($A1346),MONTH($A1346),1))</f>
        <v/>
      </c>
    </row>
    <row r="1347" customFormat="false" ht="15" hidden="false" customHeight="false" outlineLevel="0" collapsed="false">
      <c r="A1347" s="44"/>
      <c r="B1347" s="6"/>
      <c r="C1347" s="6"/>
      <c r="D1347" s="8" t="str">
        <f aca="false">IF($C1347="","",IFERROR(INDEX(PRODUCTOS!$B$6:$B$105,MATCH($C1347,PRODUCTOS!$A$6:$A$105,0)),"¿Código?"))</f>
        <v/>
      </c>
      <c r="E1347" s="42"/>
      <c r="F1347" s="35" t="str">
        <f aca="false">IF($C1347="","",IFERROR(INDEX(PRODUCTOS!$D$6:$D$105,MATCH($C1347,PRODUCTOS!$A$6:$A$105,0)),0))</f>
        <v/>
      </c>
      <c r="G1347" s="40"/>
      <c r="H1347" s="35" t="str">
        <f aca="false">IF($C1347="","",N($E1347)*$F1347-N($G1347))</f>
        <v/>
      </c>
      <c r="I1347" s="35" t="str">
        <f aca="false">IF($C1347="","",$H1347-$H1347/(1+IFERROR(INDEX(PRODUCTOS!$E$6:$E$105,MATCH($C1347,PRODUCTOS!$A$6:$A$105,0)),IVA_VENTAS)))</f>
        <v/>
      </c>
      <c r="J1347" s="35" t="str">
        <f aca="false">IF($C1347="","",$H1347-$I1347)</f>
        <v/>
      </c>
      <c r="K1347" s="35" t="str">
        <f aca="false">IF($C1347="","",N($E1347)*IFERROR(INDEX(PRODUCTOS!$H$6:$H$105,MATCH($C1347,PRODUCTOS!$A$6:$A$105,0)),0))</f>
        <v/>
      </c>
      <c r="L1347" s="35" t="str">
        <f aca="false">IF($C1347="","",$J1347-$K1347)</f>
        <v/>
      </c>
      <c r="M1347" s="6"/>
      <c r="N1347" s="6"/>
      <c r="O1347" s="46" t="str">
        <f aca="false">IF($A1347="","",DATE(YEAR($A1347),MONTH($A1347),1))</f>
        <v/>
      </c>
    </row>
    <row r="1348" customFormat="false" ht="15" hidden="false" customHeight="false" outlineLevel="0" collapsed="false">
      <c r="A1348" s="44"/>
      <c r="B1348" s="6"/>
      <c r="C1348" s="6"/>
      <c r="D1348" s="8" t="str">
        <f aca="false">IF($C1348="","",IFERROR(INDEX(PRODUCTOS!$B$6:$B$105,MATCH($C1348,PRODUCTOS!$A$6:$A$105,0)),"¿Código?"))</f>
        <v/>
      </c>
      <c r="E1348" s="42"/>
      <c r="F1348" s="35" t="str">
        <f aca="false">IF($C1348="","",IFERROR(INDEX(PRODUCTOS!$D$6:$D$105,MATCH($C1348,PRODUCTOS!$A$6:$A$105,0)),0))</f>
        <v/>
      </c>
      <c r="G1348" s="40"/>
      <c r="H1348" s="35" t="str">
        <f aca="false">IF($C1348="","",N($E1348)*$F1348-N($G1348))</f>
        <v/>
      </c>
      <c r="I1348" s="35" t="str">
        <f aca="false">IF($C1348="","",$H1348-$H1348/(1+IFERROR(INDEX(PRODUCTOS!$E$6:$E$105,MATCH($C1348,PRODUCTOS!$A$6:$A$105,0)),IVA_VENTAS)))</f>
        <v/>
      </c>
      <c r="J1348" s="35" t="str">
        <f aca="false">IF($C1348="","",$H1348-$I1348)</f>
        <v/>
      </c>
      <c r="K1348" s="35" t="str">
        <f aca="false">IF($C1348="","",N($E1348)*IFERROR(INDEX(PRODUCTOS!$H$6:$H$105,MATCH($C1348,PRODUCTOS!$A$6:$A$105,0)),0))</f>
        <v/>
      </c>
      <c r="L1348" s="35" t="str">
        <f aca="false">IF($C1348="","",$J1348-$K1348)</f>
        <v/>
      </c>
      <c r="M1348" s="6"/>
      <c r="N1348" s="6"/>
      <c r="O1348" s="46" t="str">
        <f aca="false">IF($A1348="","",DATE(YEAR($A1348),MONTH($A1348),1))</f>
        <v/>
      </c>
    </row>
    <row r="1349" customFormat="false" ht="15" hidden="false" customHeight="false" outlineLevel="0" collapsed="false">
      <c r="A1349" s="44"/>
      <c r="B1349" s="6"/>
      <c r="C1349" s="6"/>
      <c r="D1349" s="8" t="str">
        <f aca="false">IF($C1349="","",IFERROR(INDEX(PRODUCTOS!$B$6:$B$105,MATCH($C1349,PRODUCTOS!$A$6:$A$105,0)),"¿Código?"))</f>
        <v/>
      </c>
      <c r="E1349" s="42"/>
      <c r="F1349" s="35" t="str">
        <f aca="false">IF($C1349="","",IFERROR(INDEX(PRODUCTOS!$D$6:$D$105,MATCH($C1349,PRODUCTOS!$A$6:$A$105,0)),0))</f>
        <v/>
      </c>
      <c r="G1349" s="40"/>
      <c r="H1349" s="35" t="str">
        <f aca="false">IF($C1349="","",N($E1349)*$F1349-N($G1349))</f>
        <v/>
      </c>
      <c r="I1349" s="35" t="str">
        <f aca="false">IF($C1349="","",$H1349-$H1349/(1+IFERROR(INDEX(PRODUCTOS!$E$6:$E$105,MATCH($C1349,PRODUCTOS!$A$6:$A$105,0)),IVA_VENTAS)))</f>
        <v/>
      </c>
      <c r="J1349" s="35" t="str">
        <f aca="false">IF($C1349="","",$H1349-$I1349)</f>
        <v/>
      </c>
      <c r="K1349" s="35" t="str">
        <f aca="false">IF($C1349="","",N($E1349)*IFERROR(INDEX(PRODUCTOS!$H$6:$H$105,MATCH($C1349,PRODUCTOS!$A$6:$A$105,0)),0))</f>
        <v/>
      </c>
      <c r="L1349" s="35" t="str">
        <f aca="false">IF($C1349="","",$J1349-$K1349)</f>
        <v/>
      </c>
      <c r="M1349" s="6"/>
      <c r="N1349" s="6"/>
      <c r="O1349" s="46" t="str">
        <f aca="false">IF($A1349="","",DATE(YEAR($A1349),MONTH($A1349),1))</f>
        <v/>
      </c>
    </row>
    <row r="1350" customFormat="false" ht="15" hidden="false" customHeight="false" outlineLevel="0" collapsed="false">
      <c r="A1350" s="44"/>
      <c r="B1350" s="6"/>
      <c r="C1350" s="6"/>
      <c r="D1350" s="8" t="str">
        <f aca="false">IF($C1350="","",IFERROR(INDEX(PRODUCTOS!$B$6:$B$105,MATCH($C1350,PRODUCTOS!$A$6:$A$105,0)),"¿Código?"))</f>
        <v/>
      </c>
      <c r="E1350" s="42"/>
      <c r="F1350" s="35" t="str">
        <f aca="false">IF($C1350="","",IFERROR(INDEX(PRODUCTOS!$D$6:$D$105,MATCH($C1350,PRODUCTOS!$A$6:$A$105,0)),0))</f>
        <v/>
      </c>
      <c r="G1350" s="40"/>
      <c r="H1350" s="35" t="str">
        <f aca="false">IF($C1350="","",N($E1350)*$F1350-N($G1350))</f>
        <v/>
      </c>
      <c r="I1350" s="35" t="str">
        <f aca="false">IF($C1350="","",$H1350-$H1350/(1+IFERROR(INDEX(PRODUCTOS!$E$6:$E$105,MATCH($C1350,PRODUCTOS!$A$6:$A$105,0)),IVA_VENTAS)))</f>
        <v/>
      </c>
      <c r="J1350" s="35" t="str">
        <f aca="false">IF($C1350="","",$H1350-$I1350)</f>
        <v/>
      </c>
      <c r="K1350" s="35" t="str">
        <f aca="false">IF($C1350="","",N($E1350)*IFERROR(INDEX(PRODUCTOS!$H$6:$H$105,MATCH($C1350,PRODUCTOS!$A$6:$A$105,0)),0))</f>
        <v/>
      </c>
      <c r="L1350" s="35" t="str">
        <f aca="false">IF($C1350="","",$J1350-$K1350)</f>
        <v/>
      </c>
      <c r="M1350" s="6"/>
      <c r="N1350" s="6"/>
      <c r="O1350" s="46" t="str">
        <f aca="false">IF($A1350="","",DATE(YEAR($A1350),MONTH($A1350),1))</f>
        <v/>
      </c>
    </row>
    <row r="1351" customFormat="false" ht="15" hidden="false" customHeight="false" outlineLevel="0" collapsed="false">
      <c r="A1351" s="44"/>
      <c r="B1351" s="6"/>
      <c r="C1351" s="6"/>
      <c r="D1351" s="8" t="str">
        <f aca="false">IF($C1351="","",IFERROR(INDEX(PRODUCTOS!$B$6:$B$105,MATCH($C1351,PRODUCTOS!$A$6:$A$105,0)),"¿Código?"))</f>
        <v/>
      </c>
      <c r="E1351" s="42"/>
      <c r="F1351" s="35" t="str">
        <f aca="false">IF($C1351="","",IFERROR(INDEX(PRODUCTOS!$D$6:$D$105,MATCH($C1351,PRODUCTOS!$A$6:$A$105,0)),0))</f>
        <v/>
      </c>
      <c r="G1351" s="40"/>
      <c r="H1351" s="35" t="str">
        <f aca="false">IF($C1351="","",N($E1351)*$F1351-N($G1351))</f>
        <v/>
      </c>
      <c r="I1351" s="35" t="str">
        <f aca="false">IF($C1351="","",$H1351-$H1351/(1+IFERROR(INDEX(PRODUCTOS!$E$6:$E$105,MATCH($C1351,PRODUCTOS!$A$6:$A$105,0)),IVA_VENTAS)))</f>
        <v/>
      </c>
      <c r="J1351" s="35" t="str">
        <f aca="false">IF($C1351="","",$H1351-$I1351)</f>
        <v/>
      </c>
      <c r="K1351" s="35" t="str">
        <f aca="false">IF($C1351="","",N($E1351)*IFERROR(INDEX(PRODUCTOS!$H$6:$H$105,MATCH($C1351,PRODUCTOS!$A$6:$A$105,0)),0))</f>
        <v/>
      </c>
      <c r="L1351" s="35" t="str">
        <f aca="false">IF($C1351="","",$J1351-$K1351)</f>
        <v/>
      </c>
      <c r="M1351" s="6"/>
      <c r="N1351" s="6"/>
      <c r="O1351" s="46" t="str">
        <f aca="false">IF($A1351="","",DATE(YEAR($A1351),MONTH($A1351),1))</f>
        <v/>
      </c>
    </row>
    <row r="1352" customFormat="false" ht="15" hidden="false" customHeight="false" outlineLevel="0" collapsed="false">
      <c r="A1352" s="44"/>
      <c r="B1352" s="6"/>
      <c r="C1352" s="6"/>
      <c r="D1352" s="8" t="str">
        <f aca="false">IF($C1352="","",IFERROR(INDEX(PRODUCTOS!$B$6:$B$105,MATCH($C1352,PRODUCTOS!$A$6:$A$105,0)),"¿Código?"))</f>
        <v/>
      </c>
      <c r="E1352" s="42"/>
      <c r="F1352" s="35" t="str">
        <f aca="false">IF($C1352="","",IFERROR(INDEX(PRODUCTOS!$D$6:$D$105,MATCH($C1352,PRODUCTOS!$A$6:$A$105,0)),0))</f>
        <v/>
      </c>
      <c r="G1352" s="40"/>
      <c r="H1352" s="35" t="str">
        <f aca="false">IF($C1352="","",N($E1352)*$F1352-N($G1352))</f>
        <v/>
      </c>
      <c r="I1352" s="35" t="str">
        <f aca="false">IF($C1352="","",$H1352-$H1352/(1+IFERROR(INDEX(PRODUCTOS!$E$6:$E$105,MATCH($C1352,PRODUCTOS!$A$6:$A$105,0)),IVA_VENTAS)))</f>
        <v/>
      </c>
      <c r="J1352" s="35" t="str">
        <f aca="false">IF($C1352="","",$H1352-$I1352)</f>
        <v/>
      </c>
      <c r="K1352" s="35" t="str">
        <f aca="false">IF($C1352="","",N($E1352)*IFERROR(INDEX(PRODUCTOS!$H$6:$H$105,MATCH($C1352,PRODUCTOS!$A$6:$A$105,0)),0))</f>
        <v/>
      </c>
      <c r="L1352" s="35" t="str">
        <f aca="false">IF($C1352="","",$J1352-$K1352)</f>
        <v/>
      </c>
      <c r="M1352" s="6"/>
      <c r="N1352" s="6"/>
      <c r="O1352" s="46" t="str">
        <f aca="false">IF($A1352="","",DATE(YEAR($A1352),MONTH($A1352),1))</f>
        <v/>
      </c>
    </row>
    <row r="1353" customFormat="false" ht="15" hidden="false" customHeight="false" outlineLevel="0" collapsed="false">
      <c r="A1353" s="44"/>
      <c r="B1353" s="6"/>
      <c r="C1353" s="6"/>
      <c r="D1353" s="8" t="str">
        <f aca="false">IF($C1353="","",IFERROR(INDEX(PRODUCTOS!$B$6:$B$105,MATCH($C1353,PRODUCTOS!$A$6:$A$105,0)),"¿Código?"))</f>
        <v/>
      </c>
      <c r="E1353" s="42"/>
      <c r="F1353" s="35" t="str">
        <f aca="false">IF($C1353="","",IFERROR(INDEX(PRODUCTOS!$D$6:$D$105,MATCH($C1353,PRODUCTOS!$A$6:$A$105,0)),0))</f>
        <v/>
      </c>
      <c r="G1353" s="40"/>
      <c r="H1353" s="35" t="str">
        <f aca="false">IF($C1353="","",N($E1353)*$F1353-N($G1353))</f>
        <v/>
      </c>
      <c r="I1353" s="35" t="str">
        <f aca="false">IF($C1353="","",$H1353-$H1353/(1+IFERROR(INDEX(PRODUCTOS!$E$6:$E$105,MATCH($C1353,PRODUCTOS!$A$6:$A$105,0)),IVA_VENTAS)))</f>
        <v/>
      </c>
      <c r="J1353" s="35" t="str">
        <f aca="false">IF($C1353="","",$H1353-$I1353)</f>
        <v/>
      </c>
      <c r="K1353" s="35" t="str">
        <f aca="false">IF($C1353="","",N($E1353)*IFERROR(INDEX(PRODUCTOS!$H$6:$H$105,MATCH($C1353,PRODUCTOS!$A$6:$A$105,0)),0))</f>
        <v/>
      </c>
      <c r="L1353" s="35" t="str">
        <f aca="false">IF($C1353="","",$J1353-$K1353)</f>
        <v/>
      </c>
      <c r="M1353" s="6"/>
      <c r="N1353" s="6"/>
      <c r="O1353" s="46" t="str">
        <f aca="false">IF($A1353="","",DATE(YEAR($A1353),MONTH($A1353),1))</f>
        <v/>
      </c>
    </row>
    <row r="1354" customFormat="false" ht="15" hidden="false" customHeight="false" outlineLevel="0" collapsed="false">
      <c r="A1354" s="44"/>
      <c r="B1354" s="6"/>
      <c r="C1354" s="6"/>
      <c r="D1354" s="8" t="str">
        <f aca="false">IF($C1354="","",IFERROR(INDEX(PRODUCTOS!$B$6:$B$105,MATCH($C1354,PRODUCTOS!$A$6:$A$105,0)),"¿Código?"))</f>
        <v/>
      </c>
      <c r="E1354" s="42"/>
      <c r="F1354" s="35" t="str">
        <f aca="false">IF($C1354="","",IFERROR(INDEX(PRODUCTOS!$D$6:$D$105,MATCH($C1354,PRODUCTOS!$A$6:$A$105,0)),0))</f>
        <v/>
      </c>
      <c r="G1354" s="40"/>
      <c r="H1354" s="35" t="str">
        <f aca="false">IF($C1354="","",N($E1354)*$F1354-N($G1354))</f>
        <v/>
      </c>
      <c r="I1354" s="35" t="str">
        <f aca="false">IF($C1354="","",$H1354-$H1354/(1+IFERROR(INDEX(PRODUCTOS!$E$6:$E$105,MATCH($C1354,PRODUCTOS!$A$6:$A$105,0)),IVA_VENTAS)))</f>
        <v/>
      </c>
      <c r="J1354" s="35" t="str">
        <f aca="false">IF($C1354="","",$H1354-$I1354)</f>
        <v/>
      </c>
      <c r="K1354" s="35" t="str">
        <f aca="false">IF($C1354="","",N($E1354)*IFERROR(INDEX(PRODUCTOS!$H$6:$H$105,MATCH($C1354,PRODUCTOS!$A$6:$A$105,0)),0))</f>
        <v/>
      </c>
      <c r="L1354" s="35" t="str">
        <f aca="false">IF($C1354="","",$J1354-$K1354)</f>
        <v/>
      </c>
      <c r="M1354" s="6"/>
      <c r="N1354" s="6"/>
      <c r="O1354" s="46" t="str">
        <f aca="false">IF($A1354="","",DATE(YEAR($A1354),MONTH($A1354),1))</f>
        <v/>
      </c>
    </row>
    <row r="1355" customFormat="false" ht="15" hidden="false" customHeight="false" outlineLevel="0" collapsed="false">
      <c r="A1355" s="44"/>
      <c r="B1355" s="6"/>
      <c r="C1355" s="6"/>
      <c r="D1355" s="8" t="str">
        <f aca="false">IF($C1355="","",IFERROR(INDEX(PRODUCTOS!$B$6:$B$105,MATCH($C1355,PRODUCTOS!$A$6:$A$105,0)),"¿Código?"))</f>
        <v/>
      </c>
      <c r="E1355" s="42"/>
      <c r="F1355" s="35" t="str">
        <f aca="false">IF($C1355="","",IFERROR(INDEX(PRODUCTOS!$D$6:$D$105,MATCH($C1355,PRODUCTOS!$A$6:$A$105,0)),0))</f>
        <v/>
      </c>
      <c r="G1355" s="40"/>
      <c r="H1355" s="35" t="str">
        <f aca="false">IF($C1355="","",N($E1355)*$F1355-N($G1355))</f>
        <v/>
      </c>
      <c r="I1355" s="35" t="str">
        <f aca="false">IF($C1355="","",$H1355-$H1355/(1+IFERROR(INDEX(PRODUCTOS!$E$6:$E$105,MATCH($C1355,PRODUCTOS!$A$6:$A$105,0)),IVA_VENTAS)))</f>
        <v/>
      </c>
      <c r="J1355" s="35" t="str">
        <f aca="false">IF($C1355="","",$H1355-$I1355)</f>
        <v/>
      </c>
      <c r="K1355" s="35" t="str">
        <f aca="false">IF($C1355="","",N($E1355)*IFERROR(INDEX(PRODUCTOS!$H$6:$H$105,MATCH($C1355,PRODUCTOS!$A$6:$A$105,0)),0))</f>
        <v/>
      </c>
      <c r="L1355" s="35" t="str">
        <f aca="false">IF($C1355="","",$J1355-$K1355)</f>
        <v/>
      </c>
      <c r="M1355" s="6"/>
      <c r="N1355" s="6"/>
      <c r="O1355" s="46" t="str">
        <f aca="false">IF($A1355="","",DATE(YEAR($A1355),MONTH($A1355),1))</f>
        <v/>
      </c>
    </row>
    <row r="1356" customFormat="false" ht="15" hidden="false" customHeight="false" outlineLevel="0" collapsed="false">
      <c r="A1356" s="44"/>
      <c r="B1356" s="6"/>
      <c r="C1356" s="6"/>
      <c r="D1356" s="8" t="str">
        <f aca="false">IF($C1356="","",IFERROR(INDEX(PRODUCTOS!$B$6:$B$105,MATCH($C1356,PRODUCTOS!$A$6:$A$105,0)),"¿Código?"))</f>
        <v/>
      </c>
      <c r="E1356" s="42"/>
      <c r="F1356" s="35" t="str">
        <f aca="false">IF($C1356="","",IFERROR(INDEX(PRODUCTOS!$D$6:$D$105,MATCH($C1356,PRODUCTOS!$A$6:$A$105,0)),0))</f>
        <v/>
      </c>
      <c r="G1356" s="40"/>
      <c r="H1356" s="35" t="str">
        <f aca="false">IF($C1356="","",N($E1356)*$F1356-N($G1356))</f>
        <v/>
      </c>
      <c r="I1356" s="35" t="str">
        <f aca="false">IF($C1356="","",$H1356-$H1356/(1+IFERROR(INDEX(PRODUCTOS!$E$6:$E$105,MATCH($C1356,PRODUCTOS!$A$6:$A$105,0)),IVA_VENTAS)))</f>
        <v/>
      </c>
      <c r="J1356" s="35" t="str">
        <f aca="false">IF($C1356="","",$H1356-$I1356)</f>
        <v/>
      </c>
      <c r="K1356" s="35" t="str">
        <f aca="false">IF($C1356="","",N($E1356)*IFERROR(INDEX(PRODUCTOS!$H$6:$H$105,MATCH($C1356,PRODUCTOS!$A$6:$A$105,0)),0))</f>
        <v/>
      </c>
      <c r="L1356" s="35" t="str">
        <f aca="false">IF($C1356="","",$J1356-$K1356)</f>
        <v/>
      </c>
      <c r="M1356" s="6"/>
      <c r="N1356" s="6"/>
      <c r="O1356" s="46" t="str">
        <f aca="false">IF($A1356="","",DATE(YEAR($A1356),MONTH($A1356),1))</f>
        <v/>
      </c>
    </row>
    <row r="1357" customFormat="false" ht="15" hidden="false" customHeight="false" outlineLevel="0" collapsed="false">
      <c r="A1357" s="44"/>
      <c r="B1357" s="6"/>
      <c r="C1357" s="6"/>
      <c r="D1357" s="8" t="str">
        <f aca="false">IF($C1357="","",IFERROR(INDEX(PRODUCTOS!$B$6:$B$105,MATCH($C1357,PRODUCTOS!$A$6:$A$105,0)),"¿Código?"))</f>
        <v/>
      </c>
      <c r="E1357" s="42"/>
      <c r="F1357" s="35" t="str">
        <f aca="false">IF($C1357="","",IFERROR(INDEX(PRODUCTOS!$D$6:$D$105,MATCH($C1357,PRODUCTOS!$A$6:$A$105,0)),0))</f>
        <v/>
      </c>
      <c r="G1357" s="40"/>
      <c r="H1357" s="35" t="str">
        <f aca="false">IF($C1357="","",N($E1357)*$F1357-N($G1357))</f>
        <v/>
      </c>
      <c r="I1357" s="35" t="str">
        <f aca="false">IF($C1357="","",$H1357-$H1357/(1+IFERROR(INDEX(PRODUCTOS!$E$6:$E$105,MATCH($C1357,PRODUCTOS!$A$6:$A$105,0)),IVA_VENTAS)))</f>
        <v/>
      </c>
      <c r="J1357" s="35" t="str">
        <f aca="false">IF($C1357="","",$H1357-$I1357)</f>
        <v/>
      </c>
      <c r="K1357" s="35" t="str">
        <f aca="false">IF($C1357="","",N($E1357)*IFERROR(INDEX(PRODUCTOS!$H$6:$H$105,MATCH($C1357,PRODUCTOS!$A$6:$A$105,0)),0))</f>
        <v/>
      </c>
      <c r="L1357" s="35" t="str">
        <f aca="false">IF($C1357="","",$J1357-$K1357)</f>
        <v/>
      </c>
      <c r="M1357" s="6"/>
      <c r="N1357" s="6"/>
      <c r="O1357" s="46" t="str">
        <f aca="false">IF($A1357="","",DATE(YEAR($A1357),MONTH($A1357),1))</f>
        <v/>
      </c>
    </row>
    <row r="1358" customFormat="false" ht="15" hidden="false" customHeight="false" outlineLevel="0" collapsed="false">
      <c r="A1358" s="44"/>
      <c r="B1358" s="6"/>
      <c r="C1358" s="6"/>
      <c r="D1358" s="8" t="str">
        <f aca="false">IF($C1358="","",IFERROR(INDEX(PRODUCTOS!$B$6:$B$105,MATCH($C1358,PRODUCTOS!$A$6:$A$105,0)),"¿Código?"))</f>
        <v/>
      </c>
      <c r="E1358" s="42"/>
      <c r="F1358" s="35" t="str">
        <f aca="false">IF($C1358="","",IFERROR(INDEX(PRODUCTOS!$D$6:$D$105,MATCH($C1358,PRODUCTOS!$A$6:$A$105,0)),0))</f>
        <v/>
      </c>
      <c r="G1358" s="40"/>
      <c r="H1358" s="35" t="str">
        <f aca="false">IF($C1358="","",N($E1358)*$F1358-N($G1358))</f>
        <v/>
      </c>
      <c r="I1358" s="35" t="str">
        <f aca="false">IF($C1358="","",$H1358-$H1358/(1+IFERROR(INDEX(PRODUCTOS!$E$6:$E$105,MATCH($C1358,PRODUCTOS!$A$6:$A$105,0)),IVA_VENTAS)))</f>
        <v/>
      </c>
      <c r="J1358" s="35" t="str">
        <f aca="false">IF($C1358="","",$H1358-$I1358)</f>
        <v/>
      </c>
      <c r="K1358" s="35" t="str">
        <f aca="false">IF($C1358="","",N($E1358)*IFERROR(INDEX(PRODUCTOS!$H$6:$H$105,MATCH($C1358,PRODUCTOS!$A$6:$A$105,0)),0))</f>
        <v/>
      </c>
      <c r="L1358" s="35" t="str">
        <f aca="false">IF($C1358="","",$J1358-$K1358)</f>
        <v/>
      </c>
      <c r="M1358" s="6"/>
      <c r="N1358" s="6"/>
      <c r="O1358" s="46" t="str">
        <f aca="false">IF($A1358="","",DATE(YEAR($A1358),MONTH($A1358),1))</f>
        <v/>
      </c>
    </row>
    <row r="1359" customFormat="false" ht="15" hidden="false" customHeight="false" outlineLevel="0" collapsed="false">
      <c r="A1359" s="44"/>
      <c r="B1359" s="6"/>
      <c r="C1359" s="6"/>
      <c r="D1359" s="8" t="str">
        <f aca="false">IF($C1359="","",IFERROR(INDEX(PRODUCTOS!$B$6:$B$105,MATCH($C1359,PRODUCTOS!$A$6:$A$105,0)),"¿Código?"))</f>
        <v/>
      </c>
      <c r="E1359" s="42"/>
      <c r="F1359" s="35" t="str">
        <f aca="false">IF($C1359="","",IFERROR(INDEX(PRODUCTOS!$D$6:$D$105,MATCH($C1359,PRODUCTOS!$A$6:$A$105,0)),0))</f>
        <v/>
      </c>
      <c r="G1359" s="40"/>
      <c r="H1359" s="35" t="str">
        <f aca="false">IF($C1359="","",N($E1359)*$F1359-N($G1359))</f>
        <v/>
      </c>
      <c r="I1359" s="35" t="str">
        <f aca="false">IF($C1359="","",$H1359-$H1359/(1+IFERROR(INDEX(PRODUCTOS!$E$6:$E$105,MATCH($C1359,PRODUCTOS!$A$6:$A$105,0)),IVA_VENTAS)))</f>
        <v/>
      </c>
      <c r="J1359" s="35" t="str">
        <f aca="false">IF($C1359="","",$H1359-$I1359)</f>
        <v/>
      </c>
      <c r="K1359" s="35" t="str">
        <f aca="false">IF($C1359="","",N($E1359)*IFERROR(INDEX(PRODUCTOS!$H$6:$H$105,MATCH($C1359,PRODUCTOS!$A$6:$A$105,0)),0))</f>
        <v/>
      </c>
      <c r="L1359" s="35" t="str">
        <f aca="false">IF($C1359="","",$J1359-$K1359)</f>
        <v/>
      </c>
      <c r="M1359" s="6"/>
      <c r="N1359" s="6"/>
      <c r="O1359" s="46" t="str">
        <f aca="false">IF($A1359="","",DATE(YEAR($A1359),MONTH($A1359),1))</f>
        <v/>
      </c>
    </row>
    <row r="1360" customFormat="false" ht="15" hidden="false" customHeight="false" outlineLevel="0" collapsed="false">
      <c r="A1360" s="44"/>
      <c r="B1360" s="6"/>
      <c r="C1360" s="6"/>
      <c r="D1360" s="8" t="str">
        <f aca="false">IF($C1360="","",IFERROR(INDEX(PRODUCTOS!$B$6:$B$105,MATCH($C1360,PRODUCTOS!$A$6:$A$105,0)),"¿Código?"))</f>
        <v/>
      </c>
      <c r="E1360" s="42"/>
      <c r="F1360" s="35" t="str">
        <f aca="false">IF($C1360="","",IFERROR(INDEX(PRODUCTOS!$D$6:$D$105,MATCH($C1360,PRODUCTOS!$A$6:$A$105,0)),0))</f>
        <v/>
      </c>
      <c r="G1360" s="40"/>
      <c r="H1360" s="35" t="str">
        <f aca="false">IF($C1360="","",N($E1360)*$F1360-N($G1360))</f>
        <v/>
      </c>
      <c r="I1360" s="35" t="str">
        <f aca="false">IF($C1360="","",$H1360-$H1360/(1+IFERROR(INDEX(PRODUCTOS!$E$6:$E$105,MATCH($C1360,PRODUCTOS!$A$6:$A$105,0)),IVA_VENTAS)))</f>
        <v/>
      </c>
      <c r="J1360" s="35" t="str">
        <f aca="false">IF($C1360="","",$H1360-$I1360)</f>
        <v/>
      </c>
      <c r="K1360" s="35" t="str">
        <f aca="false">IF($C1360="","",N($E1360)*IFERROR(INDEX(PRODUCTOS!$H$6:$H$105,MATCH($C1360,PRODUCTOS!$A$6:$A$105,0)),0))</f>
        <v/>
      </c>
      <c r="L1360" s="35" t="str">
        <f aca="false">IF($C1360="","",$J1360-$K1360)</f>
        <v/>
      </c>
      <c r="M1360" s="6"/>
      <c r="N1360" s="6"/>
      <c r="O1360" s="46" t="str">
        <f aca="false">IF($A1360="","",DATE(YEAR($A1360),MONTH($A1360),1))</f>
        <v/>
      </c>
    </row>
    <row r="1361" customFormat="false" ht="15" hidden="false" customHeight="false" outlineLevel="0" collapsed="false">
      <c r="A1361" s="44"/>
      <c r="B1361" s="6"/>
      <c r="C1361" s="6"/>
      <c r="D1361" s="8" t="str">
        <f aca="false">IF($C1361="","",IFERROR(INDEX(PRODUCTOS!$B$6:$B$105,MATCH($C1361,PRODUCTOS!$A$6:$A$105,0)),"¿Código?"))</f>
        <v/>
      </c>
      <c r="E1361" s="42"/>
      <c r="F1361" s="35" t="str">
        <f aca="false">IF($C1361="","",IFERROR(INDEX(PRODUCTOS!$D$6:$D$105,MATCH($C1361,PRODUCTOS!$A$6:$A$105,0)),0))</f>
        <v/>
      </c>
      <c r="G1361" s="40"/>
      <c r="H1361" s="35" t="str">
        <f aca="false">IF($C1361="","",N($E1361)*$F1361-N($G1361))</f>
        <v/>
      </c>
      <c r="I1361" s="35" t="str">
        <f aca="false">IF($C1361="","",$H1361-$H1361/(1+IFERROR(INDEX(PRODUCTOS!$E$6:$E$105,MATCH($C1361,PRODUCTOS!$A$6:$A$105,0)),IVA_VENTAS)))</f>
        <v/>
      </c>
      <c r="J1361" s="35" t="str">
        <f aca="false">IF($C1361="","",$H1361-$I1361)</f>
        <v/>
      </c>
      <c r="K1361" s="35" t="str">
        <f aca="false">IF($C1361="","",N($E1361)*IFERROR(INDEX(PRODUCTOS!$H$6:$H$105,MATCH($C1361,PRODUCTOS!$A$6:$A$105,0)),0))</f>
        <v/>
      </c>
      <c r="L1361" s="35" t="str">
        <f aca="false">IF($C1361="","",$J1361-$K1361)</f>
        <v/>
      </c>
      <c r="M1361" s="6"/>
      <c r="N1361" s="6"/>
      <c r="O1361" s="46" t="str">
        <f aca="false">IF($A1361="","",DATE(YEAR($A1361),MONTH($A1361),1))</f>
        <v/>
      </c>
    </row>
    <row r="1362" customFormat="false" ht="15" hidden="false" customHeight="false" outlineLevel="0" collapsed="false">
      <c r="A1362" s="44"/>
      <c r="B1362" s="6"/>
      <c r="C1362" s="6"/>
      <c r="D1362" s="8" t="str">
        <f aca="false">IF($C1362="","",IFERROR(INDEX(PRODUCTOS!$B$6:$B$105,MATCH($C1362,PRODUCTOS!$A$6:$A$105,0)),"¿Código?"))</f>
        <v/>
      </c>
      <c r="E1362" s="42"/>
      <c r="F1362" s="35" t="str">
        <f aca="false">IF($C1362="","",IFERROR(INDEX(PRODUCTOS!$D$6:$D$105,MATCH($C1362,PRODUCTOS!$A$6:$A$105,0)),0))</f>
        <v/>
      </c>
      <c r="G1362" s="40"/>
      <c r="H1362" s="35" t="str">
        <f aca="false">IF($C1362="","",N($E1362)*$F1362-N($G1362))</f>
        <v/>
      </c>
      <c r="I1362" s="35" t="str">
        <f aca="false">IF($C1362="","",$H1362-$H1362/(1+IFERROR(INDEX(PRODUCTOS!$E$6:$E$105,MATCH($C1362,PRODUCTOS!$A$6:$A$105,0)),IVA_VENTAS)))</f>
        <v/>
      </c>
      <c r="J1362" s="35" t="str">
        <f aca="false">IF($C1362="","",$H1362-$I1362)</f>
        <v/>
      </c>
      <c r="K1362" s="35" t="str">
        <f aca="false">IF($C1362="","",N($E1362)*IFERROR(INDEX(PRODUCTOS!$H$6:$H$105,MATCH($C1362,PRODUCTOS!$A$6:$A$105,0)),0))</f>
        <v/>
      </c>
      <c r="L1362" s="35" t="str">
        <f aca="false">IF($C1362="","",$J1362-$K1362)</f>
        <v/>
      </c>
      <c r="M1362" s="6"/>
      <c r="N1362" s="6"/>
      <c r="O1362" s="46" t="str">
        <f aca="false">IF($A1362="","",DATE(YEAR($A1362),MONTH($A1362),1))</f>
        <v/>
      </c>
    </row>
    <row r="1363" customFormat="false" ht="15" hidden="false" customHeight="false" outlineLevel="0" collapsed="false">
      <c r="A1363" s="44"/>
      <c r="B1363" s="6"/>
      <c r="C1363" s="6"/>
      <c r="D1363" s="8" t="str">
        <f aca="false">IF($C1363="","",IFERROR(INDEX(PRODUCTOS!$B$6:$B$105,MATCH($C1363,PRODUCTOS!$A$6:$A$105,0)),"¿Código?"))</f>
        <v/>
      </c>
      <c r="E1363" s="42"/>
      <c r="F1363" s="35" t="str">
        <f aca="false">IF($C1363="","",IFERROR(INDEX(PRODUCTOS!$D$6:$D$105,MATCH($C1363,PRODUCTOS!$A$6:$A$105,0)),0))</f>
        <v/>
      </c>
      <c r="G1363" s="40"/>
      <c r="H1363" s="35" t="str">
        <f aca="false">IF($C1363="","",N($E1363)*$F1363-N($G1363))</f>
        <v/>
      </c>
      <c r="I1363" s="35" t="str">
        <f aca="false">IF($C1363="","",$H1363-$H1363/(1+IFERROR(INDEX(PRODUCTOS!$E$6:$E$105,MATCH($C1363,PRODUCTOS!$A$6:$A$105,0)),IVA_VENTAS)))</f>
        <v/>
      </c>
      <c r="J1363" s="35" t="str">
        <f aca="false">IF($C1363="","",$H1363-$I1363)</f>
        <v/>
      </c>
      <c r="K1363" s="35" t="str">
        <f aca="false">IF($C1363="","",N($E1363)*IFERROR(INDEX(PRODUCTOS!$H$6:$H$105,MATCH($C1363,PRODUCTOS!$A$6:$A$105,0)),0))</f>
        <v/>
      </c>
      <c r="L1363" s="35" t="str">
        <f aca="false">IF($C1363="","",$J1363-$K1363)</f>
        <v/>
      </c>
      <c r="M1363" s="6"/>
      <c r="N1363" s="6"/>
      <c r="O1363" s="46" t="str">
        <f aca="false">IF($A1363="","",DATE(YEAR($A1363),MONTH($A1363),1))</f>
        <v/>
      </c>
    </row>
    <row r="1364" customFormat="false" ht="15" hidden="false" customHeight="false" outlineLevel="0" collapsed="false">
      <c r="A1364" s="44"/>
      <c r="B1364" s="6"/>
      <c r="C1364" s="6"/>
      <c r="D1364" s="8" t="str">
        <f aca="false">IF($C1364="","",IFERROR(INDEX(PRODUCTOS!$B$6:$B$105,MATCH($C1364,PRODUCTOS!$A$6:$A$105,0)),"¿Código?"))</f>
        <v/>
      </c>
      <c r="E1364" s="42"/>
      <c r="F1364" s="35" t="str">
        <f aca="false">IF($C1364="","",IFERROR(INDEX(PRODUCTOS!$D$6:$D$105,MATCH($C1364,PRODUCTOS!$A$6:$A$105,0)),0))</f>
        <v/>
      </c>
      <c r="G1364" s="40"/>
      <c r="H1364" s="35" t="str">
        <f aca="false">IF($C1364="","",N($E1364)*$F1364-N($G1364))</f>
        <v/>
      </c>
      <c r="I1364" s="35" t="str">
        <f aca="false">IF($C1364="","",$H1364-$H1364/(1+IFERROR(INDEX(PRODUCTOS!$E$6:$E$105,MATCH($C1364,PRODUCTOS!$A$6:$A$105,0)),IVA_VENTAS)))</f>
        <v/>
      </c>
      <c r="J1364" s="35" t="str">
        <f aca="false">IF($C1364="","",$H1364-$I1364)</f>
        <v/>
      </c>
      <c r="K1364" s="35" t="str">
        <f aca="false">IF($C1364="","",N($E1364)*IFERROR(INDEX(PRODUCTOS!$H$6:$H$105,MATCH($C1364,PRODUCTOS!$A$6:$A$105,0)),0))</f>
        <v/>
      </c>
      <c r="L1364" s="35" t="str">
        <f aca="false">IF($C1364="","",$J1364-$K1364)</f>
        <v/>
      </c>
      <c r="M1364" s="6"/>
      <c r="N1364" s="6"/>
      <c r="O1364" s="46" t="str">
        <f aca="false">IF($A1364="","",DATE(YEAR($A1364),MONTH($A1364),1))</f>
        <v/>
      </c>
    </row>
    <row r="1365" customFormat="false" ht="15" hidden="false" customHeight="false" outlineLevel="0" collapsed="false">
      <c r="A1365" s="44"/>
      <c r="B1365" s="6"/>
      <c r="C1365" s="6"/>
      <c r="D1365" s="8" t="str">
        <f aca="false">IF($C1365="","",IFERROR(INDEX(PRODUCTOS!$B$6:$B$105,MATCH($C1365,PRODUCTOS!$A$6:$A$105,0)),"¿Código?"))</f>
        <v/>
      </c>
      <c r="E1365" s="42"/>
      <c r="F1365" s="35" t="str">
        <f aca="false">IF($C1365="","",IFERROR(INDEX(PRODUCTOS!$D$6:$D$105,MATCH($C1365,PRODUCTOS!$A$6:$A$105,0)),0))</f>
        <v/>
      </c>
      <c r="G1365" s="40"/>
      <c r="H1365" s="35" t="str">
        <f aca="false">IF($C1365="","",N($E1365)*$F1365-N($G1365))</f>
        <v/>
      </c>
      <c r="I1365" s="35" t="str">
        <f aca="false">IF($C1365="","",$H1365-$H1365/(1+IFERROR(INDEX(PRODUCTOS!$E$6:$E$105,MATCH($C1365,PRODUCTOS!$A$6:$A$105,0)),IVA_VENTAS)))</f>
        <v/>
      </c>
      <c r="J1365" s="35" t="str">
        <f aca="false">IF($C1365="","",$H1365-$I1365)</f>
        <v/>
      </c>
      <c r="K1365" s="35" t="str">
        <f aca="false">IF($C1365="","",N($E1365)*IFERROR(INDEX(PRODUCTOS!$H$6:$H$105,MATCH($C1365,PRODUCTOS!$A$6:$A$105,0)),0))</f>
        <v/>
      </c>
      <c r="L1365" s="35" t="str">
        <f aca="false">IF($C1365="","",$J1365-$K1365)</f>
        <v/>
      </c>
      <c r="M1365" s="6"/>
      <c r="N1365" s="6"/>
      <c r="O1365" s="46" t="str">
        <f aca="false">IF($A1365="","",DATE(YEAR($A1365),MONTH($A1365),1))</f>
        <v/>
      </c>
    </row>
    <row r="1366" customFormat="false" ht="15" hidden="false" customHeight="false" outlineLevel="0" collapsed="false">
      <c r="A1366" s="44"/>
      <c r="B1366" s="6"/>
      <c r="C1366" s="6"/>
      <c r="D1366" s="8" t="str">
        <f aca="false">IF($C1366="","",IFERROR(INDEX(PRODUCTOS!$B$6:$B$105,MATCH($C1366,PRODUCTOS!$A$6:$A$105,0)),"¿Código?"))</f>
        <v/>
      </c>
      <c r="E1366" s="42"/>
      <c r="F1366" s="35" t="str">
        <f aca="false">IF($C1366="","",IFERROR(INDEX(PRODUCTOS!$D$6:$D$105,MATCH($C1366,PRODUCTOS!$A$6:$A$105,0)),0))</f>
        <v/>
      </c>
      <c r="G1366" s="40"/>
      <c r="H1366" s="35" t="str">
        <f aca="false">IF($C1366="","",N($E1366)*$F1366-N($G1366))</f>
        <v/>
      </c>
      <c r="I1366" s="35" t="str">
        <f aca="false">IF($C1366="","",$H1366-$H1366/(1+IFERROR(INDEX(PRODUCTOS!$E$6:$E$105,MATCH($C1366,PRODUCTOS!$A$6:$A$105,0)),IVA_VENTAS)))</f>
        <v/>
      </c>
      <c r="J1366" s="35" t="str">
        <f aca="false">IF($C1366="","",$H1366-$I1366)</f>
        <v/>
      </c>
      <c r="K1366" s="35" t="str">
        <f aca="false">IF($C1366="","",N($E1366)*IFERROR(INDEX(PRODUCTOS!$H$6:$H$105,MATCH($C1366,PRODUCTOS!$A$6:$A$105,0)),0))</f>
        <v/>
      </c>
      <c r="L1366" s="35" t="str">
        <f aca="false">IF($C1366="","",$J1366-$K1366)</f>
        <v/>
      </c>
      <c r="M1366" s="6"/>
      <c r="N1366" s="6"/>
      <c r="O1366" s="46" t="str">
        <f aca="false">IF($A1366="","",DATE(YEAR($A1366),MONTH($A1366),1))</f>
        <v/>
      </c>
    </row>
    <row r="1367" customFormat="false" ht="15" hidden="false" customHeight="false" outlineLevel="0" collapsed="false">
      <c r="A1367" s="44"/>
      <c r="B1367" s="6"/>
      <c r="C1367" s="6"/>
      <c r="D1367" s="8" t="str">
        <f aca="false">IF($C1367="","",IFERROR(INDEX(PRODUCTOS!$B$6:$B$105,MATCH($C1367,PRODUCTOS!$A$6:$A$105,0)),"¿Código?"))</f>
        <v/>
      </c>
      <c r="E1367" s="42"/>
      <c r="F1367" s="35" t="str">
        <f aca="false">IF($C1367="","",IFERROR(INDEX(PRODUCTOS!$D$6:$D$105,MATCH($C1367,PRODUCTOS!$A$6:$A$105,0)),0))</f>
        <v/>
      </c>
      <c r="G1367" s="40"/>
      <c r="H1367" s="35" t="str">
        <f aca="false">IF($C1367="","",N($E1367)*$F1367-N($G1367))</f>
        <v/>
      </c>
      <c r="I1367" s="35" t="str">
        <f aca="false">IF($C1367="","",$H1367-$H1367/(1+IFERROR(INDEX(PRODUCTOS!$E$6:$E$105,MATCH($C1367,PRODUCTOS!$A$6:$A$105,0)),IVA_VENTAS)))</f>
        <v/>
      </c>
      <c r="J1367" s="35" t="str">
        <f aca="false">IF($C1367="","",$H1367-$I1367)</f>
        <v/>
      </c>
      <c r="K1367" s="35" t="str">
        <f aca="false">IF($C1367="","",N($E1367)*IFERROR(INDEX(PRODUCTOS!$H$6:$H$105,MATCH($C1367,PRODUCTOS!$A$6:$A$105,0)),0))</f>
        <v/>
      </c>
      <c r="L1367" s="35" t="str">
        <f aca="false">IF($C1367="","",$J1367-$K1367)</f>
        <v/>
      </c>
      <c r="M1367" s="6"/>
      <c r="N1367" s="6"/>
      <c r="O1367" s="46" t="str">
        <f aca="false">IF($A1367="","",DATE(YEAR($A1367),MONTH($A1367),1))</f>
        <v/>
      </c>
    </row>
    <row r="1368" customFormat="false" ht="15" hidden="false" customHeight="false" outlineLevel="0" collapsed="false">
      <c r="A1368" s="44"/>
      <c r="B1368" s="6"/>
      <c r="C1368" s="6"/>
      <c r="D1368" s="8" t="str">
        <f aca="false">IF($C1368="","",IFERROR(INDEX(PRODUCTOS!$B$6:$B$105,MATCH($C1368,PRODUCTOS!$A$6:$A$105,0)),"¿Código?"))</f>
        <v/>
      </c>
      <c r="E1368" s="42"/>
      <c r="F1368" s="35" t="str">
        <f aca="false">IF($C1368="","",IFERROR(INDEX(PRODUCTOS!$D$6:$D$105,MATCH($C1368,PRODUCTOS!$A$6:$A$105,0)),0))</f>
        <v/>
      </c>
      <c r="G1368" s="40"/>
      <c r="H1368" s="35" t="str">
        <f aca="false">IF($C1368="","",N($E1368)*$F1368-N($G1368))</f>
        <v/>
      </c>
      <c r="I1368" s="35" t="str">
        <f aca="false">IF($C1368="","",$H1368-$H1368/(1+IFERROR(INDEX(PRODUCTOS!$E$6:$E$105,MATCH($C1368,PRODUCTOS!$A$6:$A$105,0)),IVA_VENTAS)))</f>
        <v/>
      </c>
      <c r="J1368" s="35" t="str">
        <f aca="false">IF($C1368="","",$H1368-$I1368)</f>
        <v/>
      </c>
      <c r="K1368" s="35" t="str">
        <f aca="false">IF($C1368="","",N($E1368)*IFERROR(INDEX(PRODUCTOS!$H$6:$H$105,MATCH($C1368,PRODUCTOS!$A$6:$A$105,0)),0))</f>
        <v/>
      </c>
      <c r="L1368" s="35" t="str">
        <f aca="false">IF($C1368="","",$J1368-$K1368)</f>
        <v/>
      </c>
      <c r="M1368" s="6"/>
      <c r="N1368" s="6"/>
      <c r="O1368" s="46" t="str">
        <f aca="false">IF($A1368="","",DATE(YEAR($A1368),MONTH($A1368),1))</f>
        <v/>
      </c>
    </row>
    <row r="1369" customFormat="false" ht="15" hidden="false" customHeight="false" outlineLevel="0" collapsed="false">
      <c r="A1369" s="44"/>
      <c r="B1369" s="6"/>
      <c r="C1369" s="6"/>
      <c r="D1369" s="8" t="str">
        <f aca="false">IF($C1369="","",IFERROR(INDEX(PRODUCTOS!$B$6:$B$105,MATCH($C1369,PRODUCTOS!$A$6:$A$105,0)),"¿Código?"))</f>
        <v/>
      </c>
      <c r="E1369" s="42"/>
      <c r="F1369" s="35" t="str">
        <f aca="false">IF($C1369="","",IFERROR(INDEX(PRODUCTOS!$D$6:$D$105,MATCH($C1369,PRODUCTOS!$A$6:$A$105,0)),0))</f>
        <v/>
      </c>
      <c r="G1369" s="40"/>
      <c r="H1369" s="35" t="str">
        <f aca="false">IF($C1369="","",N($E1369)*$F1369-N($G1369))</f>
        <v/>
      </c>
      <c r="I1369" s="35" t="str">
        <f aca="false">IF($C1369="","",$H1369-$H1369/(1+IFERROR(INDEX(PRODUCTOS!$E$6:$E$105,MATCH($C1369,PRODUCTOS!$A$6:$A$105,0)),IVA_VENTAS)))</f>
        <v/>
      </c>
      <c r="J1369" s="35" t="str">
        <f aca="false">IF($C1369="","",$H1369-$I1369)</f>
        <v/>
      </c>
      <c r="K1369" s="35" t="str">
        <f aca="false">IF($C1369="","",N($E1369)*IFERROR(INDEX(PRODUCTOS!$H$6:$H$105,MATCH($C1369,PRODUCTOS!$A$6:$A$105,0)),0))</f>
        <v/>
      </c>
      <c r="L1369" s="35" t="str">
        <f aca="false">IF($C1369="","",$J1369-$K1369)</f>
        <v/>
      </c>
      <c r="M1369" s="6"/>
      <c r="N1369" s="6"/>
      <c r="O1369" s="46" t="str">
        <f aca="false">IF($A1369="","",DATE(YEAR($A1369),MONTH($A1369),1))</f>
        <v/>
      </c>
    </row>
    <row r="1370" customFormat="false" ht="15" hidden="false" customHeight="false" outlineLevel="0" collapsed="false">
      <c r="A1370" s="44"/>
      <c r="B1370" s="6"/>
      <c r="C1370" s="6"/>
      <c r="D1370" s="8" t="str">
        <f aca="false">IF($C1370="","",IFERROR(INDEX(PRODUCTOS!$B$6:$B$105,MATCH($C1370,PRODUCTOS!$A$6:$A$105,0)),"¿Código?"))</f>
        <v/>
      </c>
      <c r="E1370" s="42"/>
      <c r="F1370" s="35" t="str">
        <f aca="false">IF($C1370="","",IFERROR(INDEX(PRODUCTOS!$D$6:$D$105,MATCH($C1370,PRODUCTOS!$A$6:$A$105,0)),0))</f>
        <v/>
      </c>
      <c r="G1370" s="40"/>
      <c r="H1370" s="35" t="str">
        <f aca="false">IF($C1370="","",N($E1370)*$F1370-N($G1370))</f>
        <v/>
      </c>
      <c r="I1370" s="35" t="str">
        <f aca="false">IF($C1370="","",$H1370-$H1370/(1+IFERROR(INDEX(PRODUCTOS!$E$6:$E$105,MATCH($C1370,PRODUCTOS!$A$6:$A$105,0)),IVA_VENTAS)))</f>
        <v/>
      </c>
      <c r="J1370" s="35" t="str">
        <f aca="false">IF($C1370="","",$H1370-$I1370)</f>
        <v/>
      </c>
      <c r="K1370" s="35" t="str">
        <f aca="false">IF($C1370="","",N($E1370)*IFERROR(INDEX(PRODUCTOS!$H$6:$H$105,MATCH($C1370,PRODUCTOS!$A$6:$A$105,0)),0))</f>
        <v/>
      </c>
      <c r="L1370" s="35" t="str">
        <f aca="false">IF($C1370="","",$J1370-$K1370)</f>
        <v/>
      </c>
      <c r="M1370" s="6"/>
      <c r="N1370" s="6"/>
      <c r="O1370" s="46" t="str">
        <f aca="false">IF($A1370="","",DATE(YEAR($A1370),MONTH($A1370),1))</f>
        <v/>
      </c>
    </row>
    <row r="1371" customFormat="false" ht="15" hidden="false" customHeight="false" outlineLevel="0" collapsed="false">
      <c r="A1371" s="44"/>
      <c r="B1371" s="6"/>
      <c r="C1371" s="6"/>
      <c r="D1371" s="8" t="str">
        <f aca="false">IF($C1371="","",IFERROR(INDEX(PRODUCTOS!$B$6:$B$105,MATCH($C1371,PRODUCTOS!$A$6:$A$105,0)),"¿Código?"))</f>
        <v/>
      </c>
      <c r="E1371" s="42"/>
      <c r="F1371" s="35" t="str">
        <f aca="false">IF($C1371="","",IFERROR(INDEX(PRODUCTOS!$D$6:$D$105,MATCH($C1371,PRODUCTOS!$A$6:$A$105,0)),0))</f>
        <v/>
      </c>
      <c r="G1371" s="40"/>
      <c r="H1371" s="35" t="str">
        <f aca="false">IF($C1371="","",N($E1371)*$F1371-N($G1371))</f>
        <v/>
      </c>
      <c r="I1371" s="35" t="str">
        <f aca="false">IF($C1371="","",$H1371-$H1371/(1+IFERROR(INDEX(PRODUCTOS!$E$6:$E$105,MATCH($C1371,PRODUCTOS!$A$6:$A$105,0)),IVA_VENTAS)))</f>
        <v/>
      </c>
      <c r="J1371" s="35" t="str">
        <f aca="false">IF($C1371="","",$H1371-$I1371)</f>
        <v/>
      </c>
      <c r="K1371" s="35" t="str">
        <f aca="false">IF($C1371="","",N($E1371)*IFERROR(INDEX(PRODUCTOS!$H$6:$H$105,MATCH($C1371,PRODUCTOS!$A$6:$A$105,0)),0))</f>
        <v/>
      </c>
      <c r="L1371" s="35" t="str">
        <f aca="false">IF($C1371="","",$J1371-$K1371)</f>
        <v/>
      </c>
      <c r="M1371" s="6"/>
      <c r="N1371" s="6"/>
      <c r="O1371" s="46" t="str">
        <f aca="false">IF($A1371="","",DATE(YEAR($A1371),MONTH($A1371),1))</f>
        <v/>
      </c>
    </row>
    <row r="1372" customFormat="false" ht="15" hidden="false" customHeight="false" outlineLevel="0" collapsed="false">
      <c r="A1372" s="44"/>
      <c r="B1372" s="6"/>
      <c r="C1372" s="6"/>
      <c r="D1372" s="8" t="str">
        <f aca="false">IF($C1372="","",IFERROR(INDEX(PRODUCTOS!$B$6:$B$105,MATCH($C1372,PRODUCTOS!$A$6:$A$105,0)),"¿Código?"))</f>
        <v/>
      </c>
      <c r="E1372" s="42"/>
      <c r="F1372" s="35" t="str">
        <f aca="false">IF($C1372="","",IFERROR(INDEX(PRODUCTOS!$D$6:$D$105,MATCH($C1372,PRODUCTOS!$A$6:$A$105,0)),0))</f>
        <v/>
      </c>
      <c r="G1372" s="40"/>
      <c r="H1372" s="35" t="str">
        <f aca="false">IF($C1372="","",N($E1372)*$F1372-N($G1372))</f>
        <v/>
      </c>
      <c r="I1372" s="35" t="str">
        <f aca="false">IF($C1372="","",$H1372-$H1372/(1+IFERROR(INDEX(PRODUCTOS!$E$6:$E$105,MATCH($C1372,PRODUCTOS!$A$6:$A$105,0)),IVA_VENTAS)))</f>
        <v/>
      </c>
      <c r="J1372" s="35" t="str">
        <f aca="false">IF($C1372="","",$H1372-$I1372)</f>
        <v/>
      </c>
      <c r="K1372" s="35" t="str">
        <f aca="false">IF($C1372="","",N($E1372)*IFERROR(INDEX(PRODUCTOS!$H$6:$H$105,MATCH($C1372,PRODUCTOS!$A$6:$A$105,0)),0))</f>
        <v/>
      </c>
      <c r="L1372" s="35" t="str">
        <f aca="false">IF($C1372="","",$J1372-$K1372)</f>
        <v/>
      </c>
      <c r="M1372" s="6"/>
      <c r="N1372" s="6"/>
      <c r="O1372" s="46" t="str">
        <f aca="false">IF($A1372="","",DATE(YEAR($A1372),MONTH($A1372),1))</f>
        <v/>
      </c>
    </row>
    <row r="1373" customFormat="false" ht="15" hidden="false" customHeight="false" outlineLevel="0" collapsed="false">
      <c r="A1373" s="44"/>
      <c r="B1373" s="6"/>
      <c r="C1373" s="6"/>
      <c r="D1373" s="8" t="str">
        <f aca="false">IF($C1373="","",IFERROR(INDEX(PRODUCTOS!$B$6:$B$105,MATCH($C1373,PRODUCTOS!$A$6:$A$105,0)),"¿Código?"))</f>
        <v/>
      </c>
      <c r="E1373" s="42"/>
      <c r="F1373" s="35" t="str">
        <f aca="false">IF($C1373="","",IFERROR(INDEX(PRODUCTOS!$D$6:$D$105,MATCH($C1373,PRODUCTOS!$A$6:$A$105,0)),0))</f>
        <v/>
      </c>
      <c r="G1373" s="40"/>
      <c r="H1373" s="35" t="str">
        <f aca="false">IF($C1373="","",N($E1373)*$F1373-N($G1373))</f>
        <v/>
      </c>
      <c r="I1373" s="35" t="str">
        <f aca="false">IF($C1373="","",$H1373-$H1373/(1+IFERROR(INDEX(PRODUCTOS!$E$6:$E$105,MATCH($C1373,PRODUCTOS!$A$6:$A$105,0)),IVA_VENTAS)))</f>
        <v/>
      </c>
      <c r="J1373" s="35" t="str">
        <f aca="false">IF($C1373="","",$H1373-$I1373)</f>
        <v/>
      </c>
      <c r="K1373" s="35" t="str">
        <f aca="false">IF($C1373="","",N($E1373)*IFERROR(INDEX(PRODUCTOS!$H$6:$H$105,MATCH($C1373,PRODUCTOS!$A$6:$A$105,0)),0))</f>
        <v/>
      </c>
      <c r="L1373" s="35" t="str">
        <f aca="false">IF($C1373="","",$J1373-$K1373)</f>
        <v/>
      </c>
      <c r="M1373" s="6"/>
      <c r="N1373" s="6"/>
      <c r="O1373" s="46" t="str">
        <f aca="false">IF($A1373="","",DATE(YEAR($A1373),MONTH($A1373),1))</f>
        <v/>
      </c>
    </row>
    <row r="1374" customFormat="false" ht="15" hidden="false" customHeight="false" outlineLevel="0" collapsed="false">
      <c r="A1374" s="44"/>
      <c r="B1374" s="6"/>
      <c r="C1374" s="6"/>
      <c r="D1374" s="8" t="str">
        <f aca="false">IF($C1374="","",IFERROR(INDEX(PRODUCTOS!$B$6:$B$105,MATCH($C1374,PRODUCTOS!$A$6:$A$105,0)),"¿Código?"))</f>
        <v/>
      </c>
      <c r="E1374" s="42"/>
      <c r="F1374" s="35" t="str">
        <f aca="false">IF($C1374="","",IFERROR(INDEX(PRODUCTOS!$D$6:$D$105,MATCH($C1374,PRODUCTOS!$A$6:$A$105,0)),0))</f>
        <v/>
      </c>
      <c r="G1374" s="40"/>
      <c r="H1374" s="35" t="str">
        <f aca="false">IF($C1374="","",N($E1374)*$F1374-N($G1374))</f>
        <v/>
      </c>
      <c r="I1374" s="35" t="str">
        <f aca="false">IF($C1374="","",$H1374-$H1374/(1+IFERROR(INDEX(PRODUCTOS!$E$6:$E$105,MATCH($C1374,PRODUCTOS!$A$6:$A$105,0)),IVA_VENTAS)))</f>
        <v/>
      </c>
      <c r="J1374" s="35" t="str">
        <f aca="false">IF($C1374="","",$H1374-$I1374)</f>
        <v/>
      </c>
      <c r="K1374" s="35" t="str">
        <f aca="false">IF($C1374="","",N($E1374)*IFERROR(INDEX(PRODUCTOS!$H$6:$H$105,MATCH($C1374,PRODUCTOS!$A$6:$A$105,0)),0))</f>
        <v/>
      </c>
      <c r="L1374" s="35" t="str">
        <f aca="false">IF($C1374="","",$J1374-$K1374)</f>
        <v/>
      </c>
      <c r="M1374" s="6"/>
      <c r="N1374" s="6"/>
      <c r="O1374" s="46" t="str">
        <f aca="false">IF($A1374="","",DATE(YEAR($A1374),MONTH($A1374),1))</f>
        <v/>
      </c>
    </row>
    <row r="1375" customFormat="false" ht="15" hidden="false" customHeight="false" outlineLevel="0" collapsed="false">
      <c r="A1375" s="44"/>
      <c r="B1375" s="6"/>
      <c r="C1375" s="6"/>
      <c r="D1375" s="8" t="str">
        <f aca="false">IF($C1375="","",IFERROR(INDEX(PRODUCTOS!$B$6:$B$105,MATCH($C1375,PRODUCTOS!$A$6:$A$105,0)),"¿Código?"))</f>
        <v/>
      </c>
      <c r="E1375" s="42"/>
      <c r="F1375" s="35" t="str">
        <f aca="false">IF($C1375="","",IFERROR(INDEX(PRODUCTOS!$D$6:$D$105,MATCH($C1375,PRODUCTOS!$A$6:$A$105,0)),0))</f>
        <v/>
      </c>
      <c r="G1375" s="40"/>
      <c r="H1375" s="35" t="str">
        <f aca="false">IF($C1375="","",N($E1375)*$F1375-N($G1375))</f>
        <v/>
      </c>
      <c r="I1375" s="35" t="str">
        <f aca="false">IF($C1375="","",$H1375-$H1375/(1+IFERROR(INDEX(PRODUCTOS!$E$6:$E$105,MATCH($C1375,PRODUCTOS!$A$6:$A$105,0)),IVA_VENTAS)))</f>
        <v/>
      </c>
      <c r="J1375" s="35" t="str">
        <f aca="false">IF($C1375="","",$H1375-$I1375)</f>
        <v/>
      </c>
      <c r="K1375" s="35" t="str">
        <f aca="false">IF($C1375="","",N($E1375)*IFERROR(INDEX(PRODUCTOS!$H$6:$H$105,MATCH($C1375,PRODUCTOS!$A$6:$A$105,0)),0))</f>
        <v/>
      </c>
      <c r="L1375" s="35" t="str">
        <f aca="false">IF($C1375="","",$J1375-$K1375)</f>
        <v/>
      </c>
      <c r="M1375" s="6"/>
      <c r="N1375" s="6"/>
      <c r="O1375" s="46" t="str">
        <f aca="false">IF($A1375="","",DATE(YEAR($A1375),MONTH($A1375),1))</f>
        <v/>
      </c>
    </row>
    <row r="1376" customFormat="false" ht="15" hidden="false" customHeight="false" outlineLevel="0" collapsed="false">
      <c r="A1376" s="44"/>
      <c r="B1376" s="6"/>
      <c r="C1376" s="6"/>
      <c r="D1376" s="8" t="str">
        <f aca="false">IF($C1376="","",IFERROR(INDEX(PRODUCTOS!$B$6:$B$105,MATCH($C1376,PRODUCTOS!$A$6:$A$105,0)),"¿Código?"))</f>
        <v/>
      </c>
      <c r="E1376" s="42"/>
      <c r="F1376" s="35" t="str">
        <f aca="false">IF($C1376="","",IFERROR(INDEX(PRODUCTOS!$D$6:$D$105,MATCH($C1376,PRODUCTOS!$A$6:$A$105,0)),0))</f>
        <v/>
      </c>
      <c r="G1376" s="40"/>
      <c r="H1376" s="35" t="str">
        <f aca="false">IF($C1376="","",N($E1376)*$F1376-N($G1376))</f>
        <v/>
      </c>
      <c r="I1376" s="35" t="str">
        <f aca="false">IF($C1376="","",$H1376-$H1376/(1+IFERROR(INDEX(PRODUCTOS!$E$6:$E$105,MATCH($C1376,PRODUCTOS!$A$6:$A$105,0)),IVA_VENTAS)))</f>
        <v/>
      </c>
      <c r="J1376" s="35" t="str">
        <f aca="false">IF($C1376="","",$H1376-$I1376)</f>
        <v/>
      </c>
      <c r="K1376" s="35" t="str">
        <f aca="false">IF($C1376="","",N($E1376)*IFERROR(INDEX(PRODUCTOS!$H$6:$H$105,MATCH($C1376,PRODUCTOS!$A$6:$A$105,0)),0))</f>
        <v/>
      </c>
      <c r="L1376" s="35" t="str">
        <f aca="false">IF($C1376="","",$J1376-$K1376)</f>
        <v/>
      </c>
      <c r="M1376" s="6"/>
      <c r="N1376" s="6"/>
      <c r="O1376" s="46" t="str">
        <f aca="false">IF($A1376="","",DATE(YEAR($A1376),MONTH($A1376),1))</f>
        <v/>
      </c>
    </row>
    <row r="1377" customFormat="false" ht="15" hidden="false" customHeight="false" outlineLevel="0" collapsed="false">
      <c r="A1377" s="44"/>
      <c r="B1377" s="6"/>
      <c r="C1377" s="6"/>
      <c r="D1377" s="8" t="str">
        <f aca="false">IF($C1377="","",IFERROR(INDEX(PRODUCTOS!$B$6:$B$105,MATCH($C1377,PRODUCTOS!$A$6:$A$105,0)),"¿Código?"))</f>
        <v/>
      </c>
      <c r="E1377" s="42"/>
      <c r="F1377" s="35" t="str">
        <f aca="false">IF($C1377="","",IFERROR(INDEX(PRODUCTOS!$D$6:$D$105,MATCH($C1377,PRODUCTOS!$A$6:$A$105,0)),0))</f>
        <v/>
      </c>
      <c r="G1377" s="40"/>
      <c r="H1377" s="35" t="str">
        <f aca="false">IF($C1377="","",N($E1377)*$F1377-N($G1377))</f>
        <v/>
      </c>
      <c r="I1377" s="35" t="str">
        <f aca="false">IF($C1377="","",$H1377-$H1377/(1+IFERROR(INDEX(PRODUCTOS!$E$6:$E$105,MATCH($C1377,PRODUCTOS!$A$6:$A$105,0)),IVA_VENTAS)))</f>
        <v/>
      </c>
      <c r="J1377" s="35" t="str">
        <f aca="false">IF($C1377="","",$H1377-$I1377)</f>
        <v/>
      </c>
      <c r="K1377" s="35" t="str">
        <f aca="false">IF($C1377="","",N($E1377)*IFERROR(INDEX(PRODUCTOS!$H$6:$H$105,MATCH($C1377,PRODUCTOS!$A$6:$A$105,0)),0))</f>
        <v/>
      </c>
      <c r="L1377" s="35" t="str">
        <f aca="false">IF($C1377="","",$J1377-$K1377)</f>
        <v/>
      </c>
      <c r="M1377" s="6"/>
      <c r="N1377" s="6"/>
      <c r="O1377" s="46" t="str">
        <f aca="false">IF($A1377="","",DATE(YEAR($A1377),MONTH($A1377),1))</f>
        <v/>
      </c>
    </row>
    <row r="1378" customFormat="false" ht="15" hidden="false" customHeight="false" outlineLevel="0" collapsed="false">
      <c r="A1378" s="44"/>
      <c r="B1378" s="6"/>
      <c r="C1378" s="6"/>
      <c r="D1378" s="8" t="str">
        <f aca="false">IF($C1378="","",IFERROR(INDEX(PRODUCTOS!$B$6:$B$105,MATCH($C1378,PRODUCTOS!$A$6:$A$105,0)),"¿Código?"))</f>
        <v/>
      </c>
      <c r="E1378" s="42"/>
      <c r="F1378" s="35" t="str">
        <f aca="false">IF($C1378="","",IFERROR(INDEX(PRODUCTOS!$D$6:$D$105,MATCH($C1378,PRODUCTOS!$A$6:$A$105,0)),0))</f>
        <v/>
      </c>
      <c r="G1378" s="40"/>
      <c r="H1378" s="35" t="str">
        <f aca="false">IF($C1378="","",N($E1378)*$F1378-N($G1378))</f>
        <v/>
      </c>
      <c r="I1378" s="35" t="str">
        <f aca="false">IF($C1378="","",$H1378-$H1378/(1+IFERROR(INDEX(PRODUCTOS!$E$6:$E$105,MATCH($C1378,PRODUCTOS!$A$6:$A$105,0)),IVA_VENTAS)))</f>
        <v/>
      </c>
      <c r="J1378" s="35" t="str">
        <f aca="false">IF($C1378="","",$H1378-$I1378)</f>
        <v/>
      </c>
      <c r="K1378" s="35" t="str">
        <f aca="false">IF($C1378="","",N($E1378)*IFERROR(INDEX(PRODUCTOS!$H$6:$H$105,MATCH($C1378,PRODUCTOS!$A$6:$A$105,0)),0))</f>
        <v/>
      </c>
      <c r="L1378" s="35" t="str">
        <f aca="false">IF($C1378="","",$J1378-$K1378)</f>
        <v/>
      </c>
      <c r="M1378" s="6"/>
      <c r="N1378" s="6"/>
      <c r="O1378" s="46" t="str">
        <f aca="false">IF($A1378="","",DATE(YEAR($A1378),MONTH($A1378),1))</f>
        <v/>
      </c>
    </row>
    <row r="1379" customFormat="false" ht="15" hidden="false" customHeight="false" outlineLevel="0" collapsed="false">
      <c r="A1379" s="44"/>
      <c r="B1379" s="6"/>
      <c r="C1379" s="6"/>
      <c r="D1379" s="8" t="str">
        <f aca="false">IF($C1379="","",IFERROR(INDEX(PRODUCTOS!$B$6:$B$105,MATCH($C1379,PRODUCTOS!$A$6:$A$105,0)),"¿Código?"))</f>
        <v/>
      </c>
      <c r="E1379" s="42"/>
      <c r="F1379" s="35" t="str">
        <f aca="false">IF($C1379="","",IFERROR(INDEX(PRODUCTOS!$D$6:$D$105,MATCH($C1379,PRODUCTOS!$A$6:$A$105,0)),0))</f>
        <v/>
      </c>
      <c r="G1379" s="40"/>
      <c r="H1379" s="35" t="str">
        <f aca="false">IF($C1379="","",N($E1379)*$F1379-N($G1379))</f>
        <v/>
      </c>
      <c r="I1379" s="35" t="str">
        <f aca="false">IF($C1379="","",$H1379-$H1379/(1+IFERROR(INDEX(PRODUCTOS!$E$6:$E$105,MATCH($C1379,PRODUCTOS!$A$6:$A$105,0)),IVA_VENTAS)))</f>
        <v/>
      </c>
      <c r="J1379" s="35" t="str">
        <f aca="false">IF($C1379="","",$H1379-$I1379)</f>
        <v/>
      </c>
      <c r="K1379" s="35" t="str">
        <f aca="false">IF($C1379="","",N($E1379)*IFERROR(INDEX(PRODUCTOS!$H$6:$H$105,MATCH($C1379,PRODUCTOS!$A$6:$A$105,0)),0))</f>
        <v/>
      </c>
      <c r="L1379" s="35" t="str">
        <f aca="false">IF($C1379="","",$J1379-$K1379)</f>
        <v/>
      </c>
      <c r="M1379" s="6"/>
      <c r="N1379" s="6"/>
      <c r="O1379" s="46" t="str">
        <f aca="false">IF($A1379="","",DATE(YEAR($A1379),MONTH($A1379),1))</f>
        <v/>
      </c>
    </row>
    <row r="1380" customFormat="false" ht="15" hidden="false" customHeight="false" outlineLevel="0" collapsed="false">
      <c r="A1380" s="44"/>
      <c r="B1380" s="6"/>
      <c r="C1380" s="6"/>
      <c r="D1380" s="8" t="str">
        <f aca="false">IF($C1380="","",IFERROR(INDEX(PRODUCTOS!$B$6:$B$105,MATCH($C1380,PRODUCTOS!$A$6:$A$105,0)),"¿Código?"))</f>
        <v/>
      </c>
      <c r="E1380" s="42"/>
      <c r="F1380" s="35" t="str">
        <f aca="false">IF($C1380="","",IFERROR(INDEX(PRODUCTOS!$D$6:$D$105,MATCH($C1380,PRODUCTOS!$A$6:$A$105,0)),0))</f>
        <v/>
      </c>
      <c r="G1380" s="40"/>
      <c r="H1380" s="35" t="str">
        <f aca="false">IF($C1380="","",N($E1380)*$F1380-N($G1380))</f>
        <v/>
      </c>
      <c r="I1380" s="35" t="str">
        <f aca="false">IF($C1380="","",$H1380-$H1380/(1+IFERROR(INDEX(PRODUCTOS!$E$6:$E$105,MATCH($C1380,PRODUCTOS!$A$6:$A$105,0)),IVA_VENTAS)))</f>
        <v/>
      </c>
      <c r="J1380" s="35" t="str">
        <f aca="false">IF($C1380="","",$H1380-$I1380)</f>
        <v/>
      </c>
      <c r="K1380" s="35" t="str">
        <f aca="false">IF($C1380="","",N($E1380)*IFERROR(INDEX(PRODUCTOS!$H$6:$H$105,MATCH($C1380,PRODUCTOS!$A$6:$A$105,0)),0))</f>
        <v/>
      </c>
      <c r="L1380" s="35" t="str">
        <f aca="false">IF($C1380="","",$J1380-$K1380)</f>
        <v/>
      </c>
      <c r="M1380" s="6"/>
      <c r="N1380" s="6"/>
      <c r="O1380" s="46" t="str">
        <f aca="false">IF($A1380="","",DATE(YEAR($A1380),MONTH($A1380),1))</f>
        <v/>
      </c>
    </row>
    <row r="1381" customFormat="false" ht="15" hidden="false" customHeight="false" outlineLevel="0" collapsed="false">
      <c r="A1381" s="44"/>
      <c r="B1381" s="6"/>
      <c r="C1381" s="6"/>
      <c r="D1381" s="8" t="str">
        <f aca="false">IF($C1381="","",IFERROR(INDEX(PRODUCTOS!$B$6:$B$105,MATCH($C1381,PRODUCTOS!$A$6:$A$105,0)),"¿Código?"))</f>
        <v/>
      </c>
      <c r="E1381" s="42"/>
      <c r="F1381" s="35" t="str">
        <f aca="false">IF($C1381="","",IFERROR(INDEX(PRODUCTOS!$D$6:$D$105,MATCH($C1381,PRODUCTOS!$A$6:$A$105,0)),0))</f>
        <v/>
      </c>
      <c r="G1381" s="40"/>
      <c r="H1381" s="35" t="str">
        <f aca="false">IF($C1381="","",N($E1381)*$F1381-N($G1381))</f>
        <v/>
      </c>
      <c r="I1381" s="35" t="str">
        <f aca="false">IF($C1381="","",$H1381-$H1381/(1+IFERROR(INDEX(PRODUCTOS!$E$6:$E$105,MATCH($C1381,PRODUCTOS!$A$6:$A$105,0)),IVA_VENTAS)))</f>
        <v/>
      </c>
      <c r="J1381" s="35" t="str">
        <f aca="false">IF($C1381="","",$H1381-$I1381)</f>
        <v/>
      </c>
      <c r="K1381" s="35" t="str">
        <f aca="false">IF($C1381="","",N($E1381)*IFERROR(INDEX(PRODUCTOS!$H$6:$H$105,MATCH($C1381,PRODUCTOS!$A$6:$A$105,0)),0))</f>
        <v/>
      </c>
      <c r="L1381" s="35" t="str">
        <f aca="false">IF($C1381="","",$J1381-$K1381)</f>
        <v/>
      </c>
      <c r="M1381" s="6"/>
      <c r="N1381" s="6"/>
      <c r="O1381" s="46" t="str">
        <f aca="false">IF($A1381="","",DATE(YEAR($A1381),MONTH($A1381),1))</f>
        <v/>
      </c>
    </row>
    <row r="1382" customFormat="false" ht="15" hidden="false" customHeight="false" outlineLevel="0" collapsed="false">
      <c r="A1382" s="44"/>
      <c r="B1382" s="6"/>
      <c r="C1382" s="6"/>
      <c r="D1382" s="8" t="str">
        <f aca="false">IF($C1382="","",IFERROR(INDEX(PRODUCTOS!$B$6:$B$105,MATCH($C1382,PRODUCTOS!$A$6:$A$105,0)),"¿Código?"))</f>
        <v/>
      </c>
      <c r="E1382" s="42"/>
      <c r="F1382" s="35" t="str">
        <f aca="false">IF($C1382="","",IFERROR(INDEX(PRODUCTOS!$D$6:$D$105,MATCH($C1382,PRODUCTOS!$A$6:$A$105,0)),0))</f>
        <v/>
      </c>
      <c r="G1382" s="40"/>
      <c r="H1382" s="35" t="str">
        <f aca="false">IF($C1382="","",N($E1382)*$F1382-N($G1382))</f>
        <v/>
      </c>
      <c r="I1382" s="35" t="str">
        <f aca="false">IF($C1382="","",$H1382-$H1382/(1+IFERROR(INDEX(PRODUCTOS!$E$6:$E$105,MATCH($C1382,PRODUCTOS!$A$6:$A$105,0)),IVA_VENTAS)))</f>
        <v/>
      </c>
      <c r="J1382" s="35" t="str">
        <f aca="false">IF($C1382="","",$H1382-$I1382)</f>
        <v/>
      </c>
      <c r="K1382" s="35" t="str">
        <f aca="false">IF($C1382="","",N($E1382)*IFERROR(INDEX(PRODUCTOS!$H$6:$H$105,MATCH($C1382,PRODUCTOS!$A$6:$A$105,0)),0))</f>
        <v/>
      </c>
      <c r="L1382" s="35" t="str">
        <f aca="false">IF($C1382="","",$J1382-$K1382)</f>
        <v/>
      </c>
      <c r="M1382" s="6"/>
      <c r="N1382" s="6"/>
      <c r="O1382" s="46" t="str">
        <f aca="false">IF($A1382="","",DATE(YEAR($A1382),MONTH($A1382),1))</f>
        <v/>
      </c>
    </row>
    <row r="1383" customFormat="false" ht="15" hidden="false" customHeight="false" outlineLevel="0" collapsed="false">
      <c r="A1383" s="44"/>
      <c r="B1383" s="6"/>
      <c r="C1383" s="6"/>
      <c r="D1383" s="8" t="str">
        <f aca="false">IF($C1383="","",IFERROR(INDEX(PRODUCTOS!$B$6:$B$105,MATCH($C1383,PRODUCTOS!$A$6:$A$105,0)),"¿Código?"))</f>
        <v/>
      </c>
      <c r="E1383" s="42"/>
      <c r="F1383" s="35" t="str">
        <f aca="false">IF($C1383="","",IFERROR(INDEX(PRODUCTOS!$D$6:$D$105,MATCH($C1383,PRODUCTOS!$A$6:$A$105,0)),0))</f>
        <v/>
      </c>
      <c r="G1383" s="40"/>
      <c r="H1383" s="35" t="str">
        <f aca="false">IF($C1383="","",N($E1383)*$F1383-N($G1383))</f>
        <v/>
      </c>
      <c r="I1383" s="35" t="str">
        <f aca="false">IF($C1383="","",$H1383-$H1383/(1+IFERROR(INDEX(PRODUCTOS!$E$6:$E$105,MATCH($C1383,PRODUCTOS!$A$6:$A$105,0)),IVA_VENTAS)))</f>
        <v/>
      </c>
      <c r="J1383" s="35" t="str">
        <f aca="false">IF($C1383="","",$H1383-$I1383)</f>
        <v/>
      </c>
      <c r="K1383" s="35" t="str">
        <f aca="false">IF($C1383="","",N($E1383)*IFERROR(INDEX(PRODUCTOS!$H$6:$H$105,MATCH($C1383,PRODUCTOS!$A$6:$A$105,0)),0))</f>
        <v/>
      </c>
      <c r="L1383" s="35" t="str">
        <f aca="false">IF($C1383="","",$J1383-$K1383)</f>
        <v/>
      </c>
      <c r="M1383" s="6"/>
      <c r="N1383" s="6"/>
      <c r="O1383" s="46" t="str">
        <f aca="false">IF($A1383="","",DATE(YEAR($A1383),MONTH($A1383),1))</f>
        <v/>
      </c>
    </row>
    <row r="1384" customFormat="false" ht="15" hidden="false" customHeight="false" outlineLevel="0" collapsed="false">
      <c r="A1384" s="44"/>
      <c r="B1384" s="6"/>
      <c r="C1384" s="6"/>
      <c r="D1384" s="8" t="str">
        <f aca="false">IF($C1384="","",IFERROR(INDEX(PRODUCTOS!$B$6:$B$105,MATCH($C1384,PRODUCTOS!$A$6:$A$105,0)),"¿Código?"))</f>
        <v/>
      </c>
      <c r="E1384" s="42"/>
      <c r="F1384" s="35" t="str">
        <f aca="false">IF($C1384="","",IFERROR(INDEX(PRODUCTOS!$D$6:$D$105,MATCH($C1384,PRODUCTOS!$A$6:$A$105,0)),0))</f>
        <v/>
      </c>
      <c r="G1384" s="40"/>
      <c r="H1384" s="35" t="str">
        <f aca="false">IF($C1384="","",N($E1384)*$F1384-N($G1384))</f>
        <v/>
      </c>
      <c r="I1384" s="35" t="str">
        <f aca="false">IF($C1384="","",$H1384-$H1384/(1+IFERROR(INDEX(PRODUCTOS!$E$6:$E$105,MATCH($C1384,PRODUCTOS!$A$6:$A$105,0)),IVA_VENTAS)))</f>
        <v/>
      </c>
      <c r="J1384" s="35" t="str">
        <f aca="false">IF($C1384="","",$H1384-$I1384)</f>
        <v/>
      </c>
      <c r="K1384" s="35" t="str">
        <f aca="false">IF($C1384="","",N($E1384)*IFERROR(INDEX(PRODUCTOS!$H$6:$H$105,MATCH($C1384,PRODUCTOS!$A$6:$A$105,0)),0))</f>
        <v/>
      </c>
      <c r="L1384" s="35" t="str">
        <f aca="false">IF($C1384="","",$J1384-$K1384)</f>
        <v/>
      </c>
      <c r="M1384" s="6"/>
      <c r="N1384" s="6"/>
      <c r="O1384" s="46" t="str">
        <f aca="false">IF($A1384="","",DATE(YEAR($A1384),MONTH($A1384),1))</f>
        <v/>
      </c>
    </row>
    <row r="1385" customFormat="false" ht="15" hidden="false" customHeight="false" outlineLevel="0" collapsed="false">
      <c r="A1385" s="44"/>
      <c r="B1385" s="6"/>
      <c r="C1385" s="6"/>
      <c r="D1385" s="8" t="str">
        <f aca="false">IF($C1385="","",IFERROR(INDEX(PRODUCTOS!$B$6:$B$105,MATCH($C1385,PRODUCTOS!$A$6:$A$105,0)),"¿Código?"))</f>
        <v/>
      </c>
      <c r="E1385" s="42"/>
      <c r="F1385" s="35" t="str">
        <f aca="false">IF($C1385="","",IFERROR(INDEX(PRODUCTOS!$D$6:$D$105,MATCH($C1385,PRODUCTOS!$A$6:$A$105,0)),0))</f>
        <v/>
      </c>
      <c r="G1385" s="40"/>
      <c r="H1385" s="35" t="str">
        <f aca="false">IF($C1385="","",N($E1385)*$F1385-N($G1385))</f>
        <v/>
      </c>
      <c r="I1385" s="35" t="str">
        <f aca="false">IF($C1385="","",$H1385-$H1385/(1+IFERROR(INDEX(PRODUCTOS!$E$6:$E$105,MATCH($C1385,PRODUCTOS!$A$6:$A$105,0)),IVA_VENTAS)))</f>
        <v/>
      </c>
      <c r="J1385" s="35" t="str">
        <f aca="false">IF($C1385="","",$H1385-$I1385)</f>
        <v/>
      </c>
      <c r="K1385" s="35" t="str">
        <f aca="false">IF($C1385="","",N($E1385)*IFERROR(INDEX(PRODUCTOS!$H$6:$H$105,MATCH($C1385,PRODUCTOS!$A$6:$A$105,0)),0))</f>
        <v/>
      </c>
      <c r="L1385" s="35" t="str">
        <f aca="false">IF($C1385="","",$J1385-$K1385)</f>
        <v/>
      </c>
      <c r="M1385" s="6"/>
      <c r="N1385" s="6"/>
      <c r="O1385" s="46" t="str">
        <f aca="false">IF($A1385="","",DATE(YEAR($A1385),MONTH($A1385),1))</f>
        <v/>
      </c>
    </row>
    <row r="1386" customFormat="false" ht="15" hidden="false" customHeight="false" outlineLevel="0" collapsed="false">
      <c r="A1386" s="44"/>
      <c r="B1386" s="6"/>
      <c r="C1386" s="6"/>
      <c r="D1386" s="8" t="str">
        <f aca="false">IF($C1386="","",IFERROR(INDEX(PRODUCTOS!$B$6:$B$105,MATCH($C1386,PRODUCTOS!$A$6:$A$105,0)),"¿Código?"))</f>
        <v/>
      </c>
      <c r="E1386" s="42"/>
      <c r="F1386" s="35" t="str">
        <f aca="false">IF($C1386="","",IFERROR(INDEX(PRODUCTOS!$D$6:$D$105,MATCH($C1386,PRODUCTOS!$A$6:$A$105,0)),0))</f>
        <v/>
      </c>
      <c r="G1386" s="40"/>
      <c r="H1386" s="35" t="str">
        <f aca="false">IF($C1386="","",N($E1386)*$F1386-N($G1386))</f>
        <v/>
      </c>
      <c r="I1386" s="35" t="str">
        <f aca="false">IF($C1386="","",$H1386-$H1386/(1+IFERROR(INDEX(PRODUCTOS!$E$6:$E$105,MATCH($C1386,PRODUCTOS!$A$6:$A$105,0)),IVA_VENTAS)))</f>
        <v/>
      </c>
      <c r="J1386" s="35" t="str">
        <f aca="false">IF($C1386="","",$H1386-$I1386)</f>
        <v/>
      </c>
      <c r="K1386" s="35" t="str">
        <f aca="false">IF($C1386="","",N($E1386)*IFERROR(INDEX(PRODUCTOS!$H$6:$H$105,MATCH($C1386,PRODUCTOS!$A$6:$A$105,0)),0))</f>
        <v/>
      </c>
      <c r="L1386" s="35" t="str">
        <f aca="false">IF($C1386="","",$J1386-$K1386)</f>
        <v/>
      </c>
      <c r="M1386" s="6"/>
      <c r="N1386" s="6"/>
      <c r="O1386" s="46" t="str">
        <f aca="false">IF($A1386="","",DATE(YEAR($A1386),MONTH($A1386),1))</f>
        <v/>
      </c>
    </row>
    <row r="1387" customFormat="false" ht="15" hidden="false" customHeight="false" outlineLevel="0" collapsed="false">
      <c r="A1387" s="44"/>
      <c r="B1387" s="6"/>
      <c r="C1387" s="6"/>
      <c r="D1387" s="8" t="str">
        <f aca="false">IF($C1387="","",IFERROR(INDEX(PRODUCTOS!$B$6:$B$105,MATCH($C1387,PRODUCTOS!$A$6:$A$105,0)),"¿Código?"))</f>
        <v/>
      </c>
      <c r="E1387" s="42"/>
      <c r="F1387" s="35" t="str">
        <f aca="false">IF($C1387="","",IFERROR(INDEX(PRODUCTOS!$D$6:$D$105,MATCH($C1387,PRODUCTOS!$A$6:$A$105,0)),0))</f>
        <v/>
      </c>
      <c r="G1387" s="40"/>
      <c r="H1387" s="35" t="str">
        <f aca="false">IF($C1387="","",N($E1387)*$F1387-N($G1387))</f>
        <v/>
      </c>
      <c r="I1387" s="35" t="str">
        <f aca="false">IF($C1387="","",$H1387-$H1387/(1+IFERROR(INDEX(PRODUCTOS!$E$6:$E$105,MATCH($C1387,PRODUCTOS!$A$6:$A$105,0)),IVA_VENTAS)))</f>
        <v/>
      </c>
      <c r="J1387" s="35" t="str">
        <f aca="false">IF($C1387="","",$H1387-$I1387)</f>
        <v/>
      </c>
      <c r="K1387" s="35" t="str">
        <f aca="false">IF($C1387="","",N($E1387)*IFERROR(INDEX(PRODUCTOS!$H$6:$H$105,MATCH($C1387,PRODUCTOS!$A$6:$A$105,0)),0))</f>
        <v/>
      </c>
      <c r="L1387" s="35" t="str">
        <f aca="false">IF($C1387="","",$J1387-$K1387)</f>
        <v/>
      </c>
      <c r="M1387" s="6"/>
      <c r="N1387" s="6"/>
      <c r="O1387" s="46" t="str">
        <f aca="false">IF($A1387="","",DATE(YEAR($A1387),MONTH($A1387),1))</f>
        <v/>
      </c>
    </row>
    <row r="1388" customFormat="false" ht="15" hidden="false" customHeight="false" outlineLevel="0" collapsed="false">
      <c r="A1388" s="44"/>
      <c r="B1388" s="6"/>
      <c r="C1388" s="6"/>
      <c r="D1388" s="8" t="str">
        <f aca="false">IF($C1388="","",IFERROR(INDEX(PRODUCTOS!$B$6:$B$105,MATCH($C1388,PRODUCTOS!$A$6:$A$105,0)),"¿Código?"))</f>
        <v/>
      </c>
      <c r="E1388" s="42"/>
      <c r="F1388" s="35" t="str">
        <f aca="false">IF($C1388="","",IFERROR(INDEX(PRODUCTOS!$D$6:$D$105,MATCH($C1388,PRODUCTOS!$A$6:$A$105,0)),0))</f>
        <v/>
      </c>
      <c r="G1388" s="40"/>
      <c r="H1388" s="35" t="str">
        <f aca="false">IF($C1388="","",N($E1388)*$F1388-N($G1388))</f>
        <v/>
      </c>
      <c r="I1388" s="35" t="str">
        <f aca="false">IF($C1388="","",$H1388-$H1388/(1+IFERROR(INDEX(PRODUCTOS!$E$6:$E$105,MATCH($C1388,PRODUCTOS!$A$6:$A$105,0)),IVA_VENTAS)))</f>
        <v/>
      </c>
      <c r="J1388" s="35" t="str">
        <f aca="false">IF($C1388="","",$H1388-$I1388)</f>
        <v/>
      </c>
      <c r="K1388" s="35" t="str">
        <f aca="false">IF($C1388="","",N($E1388)*IFERROR(INDEX(PRODUCTOS!$H$6:$H$105,MATCH($C1388,PRODUCTOS!$A$6:$A$105,0)),0))</f>
        <v/>
      </c>
      <c r="L1388" s="35" t="str">
        <f aca="false">IF($C1388="","",$J1388-$K1388)</f>
        <v/>
      </c>
      <c r="M1388" s="6"/>
      <c r="N1388" s="6"/>
      <c r="O1388" s="46" t="str">
        <f aca="false">IF($A1388="","",DATE(YEAR($A1388),MONTH($A1388),1))</f>
        <v/>
      </c>
    </row>
    <row r="1389" customFormat="false" ht="15" hidden="false" customHeight="false" outlineLevel="0" collapsed="false">
      <c r="A1389" s="44"/>
      <c r="B1389" s="6"/>
      <c r="C1389" s="6"/>
      <c r="D1389" s="8" t="str">
        <f aca="false">IF($C1389="","",IFERROR(INDEX(PRODUCTOS!$B$6:$B$105,MATCH($C1389,PRODUCTOS!$A$6:$A$105,0)),"¿Código?"))</f>
        <v/>
      </c>
      <c r="E1389" s="42"/>
      <c r="F1389" s="35" t="str">
        <f aca="false">IF($C1389="","",IFERROR(INDEX(PRODUCTOS!$D$6:$D$105,MATCH($C1389,PRODUCTOS!$A$6:$A$105,0)),0))</f>
        <v/>
      </c>
      <c r="G1389" s="40"/>
      <c r="H1389" s="35" t="str">
        <f aca="false">IF($C1389="","",N($E1389)*$F1389-N($G1389))</f>
        <v/>
      </c>
      <c r="I1389" s="35" t="str">
        <f aca="false">IF($C1389="","",$H1389-$H1389/(1+IFERROR(INDEX(PRODUCTOS!$E$6:$E$105,MATCH($C1389,PRODUCTOS!$A$6:$A$105,0)),IVA_VENTAS)))</f>
        <v/>
      </c>
      <c r="J1389" s="35" t="str">
        <f aca="false">IF($C1389="","",$H1389-$I1389)</f>
        <v/>
      </c>
      <c r="K1389" s="35" t="str">
        <f aca="false">IF($C1389="","",N($E1389)*IFERROR(INDEX(PRODUCTOS!$H$6:$H$105,MATCH($C1389,PRODUCTOS!$A$6:$A$105,0)),0))</f>
        <v/>
      </c>
      <c r="L1389" s="35" t="str">
        <f aca="false">IF($C1389="","",$J1389-$K1389)</f>
        <v/>
      </c>
      <c r="M1389" s="6"/>
      <c r="N1389" s="6"/>
      <c r="O1389" s="46" t="str">
        <f aca="false">IF($A1389="","",DATE(YEAR($A1389),MONTH($A1389),1))</f>
        <v/>
      </c>
    </row>
    <row r="1390" customFormat="false" ht="15" hidden="false" customHeight="false" outlineLevel="0" collapsed="false">
      <c r="A1390" s="44"/>
      <c r="B1390" s="6"/>
      <c r="C1390" s="6"/>
      <c r="D1390" s="8" t="str">
        <f aca="false">IF($C1390="","",IFERROR(INDEX(PRODUCTOS!$B$6:$B$105,MATCH($C1390,PRODUCTOS!$A$6:$A$105,0)),"¿Código?"))</f>
        <v/>
      </c>
      <c r="E1390" s="42"/>
      <c r="F1390" s="35" t="str">
        <f aca="false">IF($C1390="","",IFERROR(INDEX(PRODUCTOS!$D$6:$D$105,MATCH($C1390,PRODUCTOS!$A$6:$A$105,0)),0))</f>
        <v/>
      </c>
      <c r="G1390" s="40"/>
      <c r="H1390" s="35" t="str">
        <f aca="false">IF($C1390="","",N($E1390)*$F1390-N($G1390))</f>
        <v/>
      </c>
      <c r="I1390" s="35" t="str">
        <f aca="false">IF($C1390="","",$H1390-$H1390/(1+IFERROR(INDEX(PRODUCTOS!$E$6:$E$105,MATCH($C1390,PRODUCTOS!$A$6:$A$105,0)),IVA_VENTAS)))</f>
        <v/>
      </c>
      <c r="J1390" s="35" t="str">
        <f aca="false">IF($C1390="","",$H1390-$I1390)</f>
        <v/>
      </c>
      <c r="K1390" s="35" t="str">
        <f aca="false">IF($C1390="","",N($E1390)*IFERROR(INDEX(PRODUCTOS!$H$6:$H$105,MATCH($C1390,PRODUCTOS!$A$6:$A$105,0)),0))</f>
        <v/>
      </c>
      <c r="L1390" s="35" t="str">
        <f aca="false">IF($C1390="","",$J1390-$K1390)</f>
        <v/>
      </c>
      <c r="M1390" s="6"/>
      <c r="N1390" s="6"/>
      <c r="O1390" s="46" t="str">
        <f aca="false">IF($A1390="","",DATE(YEAR($A1390),MONTH($A1390),1))</f>
        <v/>
      </c>
    </row>
    <row r="1391" customFormat="false" ht="15" hidden="false" customHeight="false" outlineLevel="0" collapsed="false">
      <c r="A1391" s="44"/>
      <c r="B1391" s="6"/>
      <c r="C1391" s="6"/>
      <c r="D1391" s="8" t="str">
        <f aca="false">IF($C1391="","",IFERROR(INDEX(PRODUCTOS!$B$6:$B$105,MATCH($C1391,PRODUCTOS!$A$6:$A$105,0)),"¿Código?"))</f>
        <v/>
      </c>
      <c r="E1391" s="42"/>
      <c r="F1391" s="35" t="str">
        <f aca="false">IF($C1391="","",IFERROR(INDEX(PRODUCTOS!$D$6:$D$105,MATCH($C1391,PRODUCTOS!$A$6:$A$105,0)),0))</f>
        <v/>
      </c>
      <c r="G1391" s="40"/>
      <c r="H1391" s="35" t="str">
        <f aca="false">IF($C1391="","",N($E1391)*$F1391-N($G1391))</f>
        <v/>
      </c>
      <c r="I1391" s="35" t="str">
        <f aca="false">IF($C1391="","",$H1391-$H1391/(1+IFERROR(INDEX(PRODUCTOS!$E$6:$E$105,MATCH($C1391,PRODUCTOS!$A$6:$A$105,0)),IVA_VENTAS)))</f>
        <v/>
      </c>
      <c r="J1391" s="35" t="str">
        <f aca="false">IF($C1391="","",$H1391-$I1391)</f>
        <v/>
      </c>
      <c r="K1391" s="35" t="str">
        <f aca="false">IF($C1391="","",N($E1391)*IFERROR(INDEX(PRODUCTOS!$H$6:$H$105,MATCH($C1391,PRODUCTOS!$A$6:$A$105,0)),0))</f>
        <v/>
      </c>
      <c r="L1391" s="35" t="str">
        <f aca="false">IF($C1391="","",$J1391-$K1391)</f>
        <v/>
      </c>
      <c r="M1391" s="6"/>
      <c r="N1391" s="6"/>
      <c r="O1391" s="46" t="str">
        <f aca="false">IF($A1391="","",DATE(YEAR($A1391),MONTH($A1391),1))</f>
        <v/>
      </c>
    </row>
    <row r="1392" customFormat="false" ht="15" hidden="false" customHeight="false" outlineLevel="0" collapsed="false">
      <c r="A1392" s="44"/>
      <c r="B1392" s="6"/>
      <c r="C1392" s="6"/>
      <c r="D1392" s="8" t="str">
        <f aca="false">IF($C1392="","",IFERROR(INDEX(PRODUCTOS!$B$6:$B$105,MATCH($C1392,PRODUCTOS!$A$6:$A$105,0)),"¿Código?"))</f>
        <v/>
      </c>
      <c r="E1392" s="42"/>
      <c r="F1392" s="35" t="str">
        <f aca="false">IF($C1392="","",IFERROR(INDEX(PRODUCTOS!$D$6:$D$105,MATCH($C1392,PRODUCTOS!$A$6:$A$105,0)),0))</f>
        <v/>
      </c>
      <c r="G1392" s="40"/>
      <c r="H1392" s="35" t="str">
        <f aca="false">IF($C1392="","",N($E1392)*$F1392-N($G1392))</f>
        <v/>
      </c>
      <c r="I1392" s="35" t="str">
        <f aca="false">IF($C1392="","",$H1392-$H1392/(1+IFERROR(INDEX(PRODUCTOS!$E$6:$E$105,MATCH($C1392,PRODUCTOS!$A$6:$A$105,0)),IVA_VENTAS)))</f>
        <v/>
      </c>
      <c r="J1392" s="35" t="str">
        <f aca="false">IF($C1392="","",$H1392-$I1392)</f>
        <v/>
      </c>
      <c r="K1392" s="35" t="str">
        <f aca="false">IF($C1392="","",N($E1392)*IFERROR(INDEX(PRODUCTOS!$H$6:$H$105,MATCH($C1392,PRODUCTOS!$A$6:$A$105,0)),0))</f>
        <v/>
      </c>
      <c r="L1392" s="35" t="str">
        <f aca="false">IF($C1392="","",$J1392-$K1392)</f>
        <v/>
      </c>
      <c r="M1392" s="6"/>
      <c r="N1392" s="6"/>
      <c r="O1392" s="46" t="str">
        <f aca="false">IF($A1392="","",DATE(YEAR($A1392),MONTH($A1392),1))</f>
        <v/>
      </c>
    </row>
    <row r="1393" customFormat="false" ht="15" hidden="false" customHeight="false" outlineLevel="0" collapsed="false">
      <c r="A1393" s="44"/>
      <c r="B1393" s="6"/>
      <c r="C1393" s="6"/>
      <c r="D1393" s="8" t="str">
        <f aca="false">IF($C1393="","",IFERROR(INDEX(PRODUCTOS!$B$6:$B$105,MATCH($C1393,PRODUCTOS!$A$6:$A$105,0)),"¿Código?"))</f>
        <v/>
      </c>
      <c r="E1393" s="42"/>
      <c r="F1393" s="35" t="str">
        <f aca="false">IF($C1393="","",IFERROR(INDEX(PRODUCTOS!$D$6:$D$105,MATCH($C1393,PRODUCTOS!$A$6:$A$105,0)),0))</f>
        <v/>
      </c>
      <c r="G1393" s="40"/>
      <c r="H1393" s="35" t="str">
        <f aca="false">IF($C1393="","",N($E1393)*$F1393-N($G1393))</f>
        <v/>
      </c>
      <c r="I1393" s="35" t="str">
        <f aca="false">IF($C1393="","",$H1393-$H1393/(1+IFERROR(INDEX(PRODUCTOS!$E$6:$E$105,MATCH($C1393,PRODUCTOS!$A$6:$A$105,0)),IVA_VENTAS)))</f>
        <v/>
      </c>
      <c r="J1393" s="35" t="str">
        <f aca="false">IF($C1393="","",$H1393-$I1393)</f>
        <v/>
      </c>
      <c r="K1393" s="35" t="str">
        <f aca="false">IF($C1393="","",N($E1393)*IFERROR(INDEX(PRODUCTOS!$H$6:$H$105,MATCH($C1393,PRODUCTOS!$A$6:$A$105,0)),0))</f>
        <v/>
      </c>
      <c r="L1393" s="35" t="str">
        <f aca="false">IF($C1393="","",$J1393-$K1393)</f>
        <v/>
      </c>
      <c r="M1393" s="6"/>
      <c r="N1393" s="6"/>
      <c r="O1393" s="46" t="str">
        <f aca="false">IF($A1393="","",DATE(YEAR($A1393),MONTH($A1393),1))</f>
        <v/>
      </c>
    </row>
    <row r="1394" customFormat="false" ht="15" hidden="false" customHeight="false" outlineLevel="0" collapsed="false">
      <c r="A1394" s="44"/>
      <c r="B1394" s="6"/>
      <c r="C1394" s="6"/>
      <c r="D1394" s="8" t="str">
        <f aca="false">IF($C1394="","",IFERROR(INDEX(PRODUCTOS!$B$6:$B$105,MATCH($C1394,PRODUCTOS!$A$6:$A$105,0)),"¿Código?"))</f>
        <v/>
      </c>
      <c r="E1394" s="42"/>
      <c r="F1394" s="35" t="str">
        <f aca="false">IF($C1394="","",IFERROR(INDEX(PRODUCTOS!$D$6:$D$105,MATCH($C1394,PRODUCTOS!$A$6:$A$105,0)),0))</f>
        <v/>
      </c>
      <c r="G1394" s="40"/>
      <c r="H1394" s="35" t="str">
        <f aca="false">IF($C1394="","",N($E1394)*$F1394-N($G1394))</f>
        <v/>
      </c>
      <c r="I1394" s="35" t="str">
        <f aca="false">IF($C1394="","",$H1394-$H1394/(1+IFERROR(INDEX(PRODUCTOS!$E$6:$E$105,MATCH($C1394,PRODUCTOS!$A$6:$A$105,0)),IVA_VENTAS)))</f>
        <v/>
      </c>
      <c r="J1394" s="35" t="str">
        <f aca="false">IF($C1394="","",$H1394-$I1394)</f>
        <v/>
      </c>
      <c r="K1394" s="35" t="str">
        <f aca="false">IF($C1394="","",N($E1394)*IFERROR(INDEX(PRODUCTOS!$H$6:$H$105,MATCH($C1394,PRODUCTOS!$A$6:$A$105,0)),0))</f>
        <v/>
      </c>
      <c r="L1394" s="35" t="str">
        <f aca="false">IF($C1394="","",$J1394-$K1394)</f>
        <v/>
      </c>
      <c r="M1394" s="6"/>
      <c r="N1394" s="6"/>
      <c r="O1394" s="46" t="str">
        <f aca="false">IF($A1394="","",DATE(YEAR($A1394),MONTH($A1394),1))</f>
        <v/>
      </c>
    </row>
    <row r="1395" customFormat="false" ht="15" hidden="false" customHeight="false" outlineLevel="0" collapsed="false">
      <c r="A1395" s="44"/>
      <c r="B1395" s="6"/>
      <c r="C1395" s="6"/>
      <c r="D1395" s="8" t="str">
        <f aca="false">IF($C1395="","",IFERROR(INDEX(PRODUCTOS!$B$6:$B$105,MATCH($C1395,PRODUCTOS!$A$6:$A$105,0)),"¿Código?"))</f>
        <v/>
      </c>
      <c r="E1395" s="42"/>
      <c r="F1395" s="35" t="str">
        <f aca="false">IF($C1395="","",IFERROR(INDEX(PRODUCTOS!$D$6:$D$105,MATCH($C1395,PRODUCTOS!$A$6:$A$105,0)),0))</f>
        <v/>
      </c>
      <c r="G1395" s="40"/>
      <c r="H1395" s="35" t="str">
        <f aca="false">IF($C1395="","",N($E1395)*$F1395-N($G1395))</f>
        <v/>
      </c>
      <c r="I1395" s="35" t="str">
        <f aca="false">IF($C1395="","",$H1395-$H1395/(1+IFERROR(INDEX(PRODUCTOS!$E$6:$E$105,MATCH($C1395,PRODUCTOS!$A$6:$A$105,0)),IVA_VENTAS)))</f>
        <v/>
      </c>
      <c r="J1395" s="35" t="str">
        <f aca="false">IF($C1395="","",$H1395-$I1395)</f>
        <v/>
      </c>
      <c r="K1395" s="35" t="str">
        <f aca="false">IF($C1395="","",N($E1395)*IFERROR(INDEX(PRODUCTOS!$H$6:$H$105,MATCH($C1395,PRODUCTOS!$A$6:$A$105,0)),0))</f>
        <v/>
      </c>
      <c r="L1395" s="35" t="str">
        <f aca="false">IF($C1395="","",$J1395-$K1395)</f>
        <v/>
      </c>
      <c r="M1395" s="6"/>
      <c r="N1395" s="6"/>
      <c r="O1395" s="46" t="str">
        <f aca="false">IF($A1395="","",DATE(YEAR($A1395),MONTH($A1395),1))</f>
        <v/>
      </c>
    </row>
    <row r="1396" customFormat="false" ht="15" hidden="false" customHeight="false" outlineLevel="0" collapsed="false">
      <c r="A1396" s="44"/>
      <c r="B1396" s="6"/>
      <c r="C1396" s="6"/>
      <c r="D1396" s="8" t="str">
        <f aca="false">IF($C1396="","",IFERROR(INDEX(PRODUCTOS!$B$6:$B$105,MATCH($C1396,PRODUCTOS!$A$6:$A$105,0)),"¿Código?"))</f>
        <v/>
      </c>
      <c r="E1396" s="42"/>
      <c r="F1396" s="35" t="str">
        <f aca="false">IF($C1396="","",IFERROR(INDEX(PRODUCTOS!$D$6:$D$105,MATCH($C1396,PRODUCTOS!$A$6:$A$105,0)),0))</f>
        <v/>
      </c>
      <c r="G1396" s="40"/>
      <c r="H1396" s="35" t="str">
        <f aca="false">IF($C1396="","",N($E1396)*$F1396-N($G1396))</f>
        <v/>
      </c>
      <c r="I1396" s="35" t="str">
        <f aca="false">IF($C1396="","",$H1396-$H1396/(1+IFERROR(INDEX(PRODUCTOS!$E$6:$E$105,MATCH($C1396,PRODUCTOS!$A$6:$A$105,0)),IVA_VENTAS)))</f>
        <v/>
      </c>
      <c r="J1396" s="35" t="str">
        <f aca="false">IF($C1396="","",$H1396-$I1396)</f>
        <v/>
      </c>
      <c r="K1396" s="35" t="str">
        <f aca="false">IF($C1396="","",N($E1396)*IFERROR(INDEX(PRODUCTOS!$H$6:$H$105,MATCH($C1396,PRODUCTOS!$A$6:$A$105,0)),0))</f>
        <v/>
      </c>
      <c r="L1396" s="35" t="str">
        <f aca="false">IF($C1396="","",$J1396-$K1396)</f>
        <v/>
      </c>
      <c r="M1396" s="6"/>
      <c r="N1396" s="6"/>
      <c r="O1396" s="46" t="str">
        <f aca="false">IF($A1396="","",DATE(YEAR($A1396),MONTH($A1396),1))</f>
        <v/>
      </c>
    </row>
    <row r="1397" customFormat="false" ht="15" hidden="false" customHeight="false" outlineLevel="0" collapsed="false">
      <c r="A1397" s="44"/>
      <c r="B1397" s="6"/>
      <c r="C1397" s="6"/>
      <c r="D1397" s="8" t="str">
        <f aca="false">IF($C1397="","",IFERROR(INDEX(PRODUCTOS!$B$6:$B$105,MATCH($C1397,PRODUCTOS!$A$6:$A$105,0)),"¿Código?"))</f>
        <v/>
      </c>
      <c r="E1397" s="42"/>
      <c r="F1397" s="35" t="str">
        <f aca="false">IF($C1397="","",IFERROR(INDEX(PRODUCTOS!$D$6:$D$105,MATCH($C1397,PRODUCTOS!$A$6:$A$105,0)),0))</f>
        <v/>
      </c>
      <c r="G1397" s="40"/>
      <c r="H1397" s="35" t="str">
        <f aca="false">IF($C1397="","",N($E1397)*$F1397-N($G1397))</f>
        <v/>
      </c>
      <c r="I1397" s="35" t="str">
        <f aca="false">IF($C1397="","",$H1397-$H1397/(1+IFERROR(INDEX(PRODUCTOS!$E$6:$E$105,MATCH($C1397,PRODUCTOS!$A$6:$A$105,0)),IVA_VENTAS)))</f>
        <v/>
      </c>
      <c r="J1397" s="35" t="str">
        <f aca="false">IF($C1397="","",$H1397-$I1397)</f>
        <v/>
      </c>
      <c r="K1397" s="35" t="str">
        <f aca="false">IF($C1397="","",N($E1397)*IFERROR(INDEX(PRODUCTOS!$H$6:$H$105,MATCH($C1397,PRODUCTOS!$A$6:$A$105,0)),0))</f>
        <v/>
      </c>
      <c r="L1397" s="35" t="str">
        <f aca="false">IF($C1397="","",$J1397-$K1397)</f>
        <v/>
      </c>
      <c r="M1397" s="6"/>
      <c r="N1397" s="6"/>
      <c r="O1397" s="46" t="str">
        <f aca="false">IF($A1397="","",DATE(YEAR($A1397),MONTH($A1397),1))</f>
        <v/>
      </c>
    </row>
    <row r="1398" customFormat="false" ht="15" hidden="false" customHeight="false" outlineLevel="0" collapsed="false">
      <c r="A1398" s="44"/>
      <c r="B1398" s="6"/>
      <c r="C1398" s="6"/>
      <c r="D1398" s="8" t="str">
        <f aca="false">IF($C1398="","",IFERROR(INDEX(PRODUCTOS!$B$6:$B$105,MATCH($C1398,PRODUCTOS!$A$6:$A$105,0)),"¿Código?"))</f>
        <v/>
      </c>
      <c r="E1398" s="42"/>
      <c r="F1398" s="35" t="str">
        <f aca="false">IF($C1398="","",IFERROR(INDEX(PRODUCTOS!$D$6:$D$105,MATCH($C1398,PRODUCTOS!$A$6:$A$105,0)),0))</f>
        <v/>
      </c>
      <c r="G1398" s="40"/>
      <c r="H1398" s="35" t="str">
        <f aca="false">IF($C1398="","",N($E1398)*$F1398-N($G1398))</f>
        <v/>
      </c>
      <c r="I1398" s="35" t="str">
        <f aca="false">IF($C1398="","",$H1398-$H1398/(1+IFERROR(INDEX(PRODUCTOS!$E$6:$E$105,MATCH($C1398,PRODUCTOS!$A$6:$A$105,0)),IVA_VENTAS)))</f>
        <v/>
      </c>
      <c r="J1398" s="35" t="str">
        <f aca="false">IF($C1398="","",$H1398-$I1398)</f>
        <v/>
      </c>
      <c r="K1398" s="35" t="str">
        <f aca="false">IF($C1398="","",N($E1398)*IFERROR(INDEX(PRODUCTOS!$H$6:$H$105,MATCH($C1398,PRODUCTOS!$A$6:$A$105,0)),0))</f>
        <v/>
      </c>
      <c r="L1398" s="35" t="str">
        <f aca="false">IF($C1398="","",$J1398-$K1398)</f>
        <v/>
      </c>
      <c r="M1398" s="6"/>
      <c r="N1398" s="6"/>
      <c r="O1398" s="46" t="str">
        <f aca="false">IF($A1398="","",DATE(YEAR($A1398),MONTH($A1398),1))</f>
        <v/>
      </c>
    </row>
    <row r="1399" customFormat="false" ht="15" hidden="false" customHeight="false" outlineLevel="0" collapsed="false">
      <c r="A1399" s="44"/>
      <c r="B1399" s="6"/>
      <c r="C1399" s="6"/>
      <c r="D1399" s="8" t="str">
        <f aca="false">IF($C1399="","",IFERROR(INDEX(PRODUCTOS!$B$6:$B$105,MATCH($C1399,PRODUCTOS!$A$6:$A$105,0)),"¿Código?"))</f>
        <v/>
      </c>
      <c r="E1399" s="42"/>
      <c r="F1399" s="35" t="str">
        <f aca="false">IF($C1399="","",IFERROR(INDEX(PRODUCTOS!$D$6:$D$105,MATCH($C1399,PRODUCTOS!$A$6:$A$105,0)),0))</f>
        <v/>
      </c>
      <c r="G1399" s="40"/>
      <c r="H1399" s="35" t="str">
        <f aca="false">IF($C1399="","",N($E1399)*$F1399-N($G1399))</f>
        <v/>
      </c>
      <c r="I1399" s="35" t="str">
        <f aca="false">IF($C1399="","",$H1399-$H1399/(1+IFERROR(INDEX(PRODUCTOS!$E$6:$E$105,MATCH($C1399,PRODUCTOS!$A$6:$A$105,0)),IVA_VENTAS)))</f>
        <v/>
      </c>
      <c r="J1399" s="35" t="str">
        <f aca="false">IF($C1399="","",$H1399-$I1399)</f>
        <v/>
      </c>
      <c r="K1399" s="35" t="str">
        <f aca="false">IF($C1399="","",N($E1399)*IFERROR(INDEX(PRODUCTOS!$H$6:$H$105,MATCH($C1399,PRODUCTOS!$A$6:$A$105,0)),0))</f>
        <v/>
      </c>
      <c r="L1399" s="35" t="str">
        <f aca="false">IF($C1399="","",$J1399-$K1399)</f>
        <v/>
      </c>
      <c r="M1399" s="6"/>
      <c r="N1399" s="6"/>
      <c r="O1399" s="46" t="str">
        <f aca="false">IF($A1399="","",DATE(YEAR($A1399),MONTH($A1399),1))</f>
        <v/>
      </c>
    </row>
    <row r="1400" customFormat="false" ht="15" hidden="false" customHeight="false" outlineLevel="0" collapsed="false">
      <c r="A1400" s="44"/>
      <c r="B1400" s="6"/>
      <c r="C1400" s="6"/>
      <c r="D1400" s="8" t="str">
        <f aca="false">IF($C1400="","",IFERROR(INDEX(PRODUCTOS!$B$6:$B$105,MATCH($C1400,PRODUCTOS!$A$6:$A$105,0)),"¿Código?"))</f>
        <v/>
      </c>
      <c r="E1400" s="42"/>
      <c r="F1400" s="35" t="str">
        <f aca="false">IF($C1400="","",IFERROR(INDEX(PRODUCTOS!$D$6:$D$105,MATCH($C1400,PRODUCTOS!$A$6:$A$105,0)),0))</f>
        <v/>
      </c>
      <c r="G1400" s="40"/>
      <c r="H1400" s="35" t="str">
        <f aca="false">IF($C1400="","",N($E1400)*$F1400-N($G1400))</f>
        <v/>
      </c>
      <c r="I1400" s="35" t="str">
        <f aca="false">IF($C1400="","",$H1400-$H1400/(1+IFERROR(INDEX(PRODUCTOS!$E$6:$E$105,MATCH($C1400,PRODUCTOS!$A$6:$A$105,0)),IVA_VENTAS)))</f>
        <v/>
      </c>
      <c r="J1400" s="35" t="str">
        <f aca="false">IF($C1400="","",$H1400-$I1400)</f>
        <v/>
      </c>
      <c r="K1400" s="35" t="str">
        <f aca="false">IF($C1400="","",N($E1400)*IFERROR(INDEX(PRODUCTOS!$H$6:$H$105,MATCH($C1400,PRODUCTOS!$A$6:$A$105,0)),0))</f>
        <v/>
      </c>
      <c r="L1400" s="35" t="str">
        <f aca="false">IF($C1400="","",$J1400-$K1400)</f>
        <v/>
      </c>
      <c r="M1400" s="6"/>
      <c r="N1400" s="6"/>
      <c r="O1400" s="46" t="str">
        <f aca="false">IF($A1400="","",DATE(YEAR($A1400),MONTH($A1400),1))</f>
        <v/>
      </c>
    </row>
    <row r="1401" customFormat="false" ht="15" hidden="false" customHeight="false" outlineLevel="0" collapsed="false">
      <c r="A1401" s="44"/>
      <c r="B1401" s="6"/>
      <c r="C1401" s="6"/>
      <c r="D1401" s="8" t="str">
        <f aca="false">IF($C1401="","",IFERROR(INDEX(PRODUCTOS!$B$6:$B$105,MATCH($C1401,PRODUCTOS!$A$6:$A$105,0)),"¿Código?"))</f>
        <v/>
      </c>
      <c r="E1401" s="42"/>
      <c r="F1401" s="35" t="str">
        <f aca="false">IF($C1401="","",IFERROR(INDEX(PRODUCTOS!$D$6:$D$105,MATCH($C1401,PRODUCTOS!$A$6:$A$105,0)),0))</f>
        <v/>
      </c>
      <c r="G1401" s="40"/>
      <c r="H1401" s="35" t="str">
        <f aca="false">IF($C1401="","",N($E1401)*$F1401-N($G1401))</f>
        <v/>
      </c>
      <c r="I1401" s="35" t="str">
        <f aca="false">IF($C1401="","",$H1401-$H1401/(1+IFERROR(INDEX(PRODUCTOS!$E$6:$E$105,MATCH($C1401,PRODUCTOS!$A$6:$A$105,0)),IVA_VENTAS)))</f>
        <v/>
      </c>
      <c r="J1401" s="35" t="str">
        <f aca="false">IF($C1401="","",$H1401-$I1401)</f>
        <v/>
      </c>
      <c r="K1401" s="35" t="str">
        <f aca="false">IF($C1401="","",N($E1401)*IFERROR(INDEX(PRODUCTOS!$H$6:$H$105,MATCH($C1401,PRODUCTOS!$A$6:$A$105,0)),0))</f>
        <v/>
      </c>
      <c r="L1401" s="35" t="str">
        <f aca="false">IF($C1401="","",$J1401-$K1401)</f>
        <v/>
      </c>
      <c r="M1401" s="6"/>
      <c r="N1401" s="6"/>
      <c r="O1401" s="46" t="str">
        <f aca="false">IF($A1401="","",DATE(YEAR($A1401),MONTH($A1401),1))</f>
        <v/>
      </c>
    </row>
    <row r="1402" customFormat="false" ht="15" hidden="false" customHeight="false" outlineLevel="0" collapsed="false">
      <c r="A1402" s="44"/>
      <c r="B1402" s="6"/>
      <c r="C1402" s="6"/>
      <c r="D1402" s="8" t="str">
        <f aca="false">IF($C1402="","",IFERROR(INDEX(PRODUCTOS!$B$6:$B$105,MATCH($C1402,PRODUCTOS!$A$6:$A$105,0)),"¿Código?"))</f>
        <v/>
      </c>
      <c r="E1402" s="42"/>
      <c r="F1402" s="35" t="str">
        <f aca="false">IF($C1402="","",IFERROR(INDEX(PRODUCTOS!$D$6:$D$105,MATCH($C1402,PRODUCTOS!$A$6:$A$105,0)),0))</f>
        <v/>
      </c>
      <c r="G1402" s="40"/>
      <c r="H1402" s="35" t="str">
        <f aca="false">IF($C1402="","",N($E1402)*$F1402-N($G1402))</f>
        <v/>
      </c>
      <c r="I1402" s="35" t="str">
        <f aca="false">IF($C1402="","",$H1402-$H1402/(1+IFERROR(INDEX(PRODUCTOS!$E$6:$E$105,MATCH($C1402,PRODUCTOS!$A$6:$A$105,0)),IVA_VENTAS)))</f>
        <v/>
      </c>
      <c r="J1402" s="35" t="str">
        <f aca="false">IF($C1402="","",$H1402-$I1402)</f>
        <v/>
      </c>
      <c r="K1402" s="35" t="str">
        <f aca="false">IF($C1402="","",N($E1402)*IFERROR(INDEX(PRODUCTOS!$H$6:$H$105,MATCH($C1402,PRODUCTOS!$A$6:$A$105,0)),0))</f>
        <v/>
      </c>
      <c r="L1402" s="35" t="str">
        <f aca="false">IF($C1402="","",$J1402-$K1402)</f>
        <v/>
      </c>
      <c r="M1402" s="6"/>
      <c r="N1402" s="6"/>
      <c r="O1402" s="46" t="str">
        <f aca="false">IF($A1402="","",DATE(YEAR($A1402),MONTH($A1402),1))</f>
        <v/>
      </c>
    </row>
    <row r="1403" customFormat="false" ht="15" hidden="false" customHeight="false" outlineLevel="0" collapsed="false">
      <c r="A1403" s="44"/>
      <c r="B1403" s="6"/>
      <c r="C1403" s="6"/>
      <c r="D1403" s="8" t="str">
        <f aca="false">IF($C1403="","",IFERROR(INDEX(PRODUCTOS!$B$6:$B$105,MATCH($C1403,PRODUCTOS!$A$6:$A$105,0)),"¿Código?"))</f>
        <v/>
      </c>
      <c r="E1403" s="42"/>
      <c r="F1403" s="35" t="str">
        <f aca="false">IF($C1403="","",IFERROR(INDEX(PRODUCTOS!$D$6:$D$105,MATCH($C1403,PRODUCTOS!$A$6:$A$105,0)),0))</f>
        <v/>
      </c>
      <c r="G1403" s="40"/>
      <c r="H1403" s="35" t="str">
        <f aca="false">IF($C1403="","",N($E1403)*$F1403-N($G1403))</f>
        <v/>
      </c>
      <c r="I1403" s="35" t="str">
        <f aca="false">IF($C1403="","",$H1403-$H1403/(1+IFERROR(INDEX(PRODUCTOS!$E$6:$E$105,MATCH($C1403,PRODUCTOS!$A$6:$A$105,0)),IVA_VENTAS)))</f>
        <v/>
      </c>
      <c r="J1403" s="35" t="str">
        <f aca="false">IF($C1403="","",$H1403-$I1403)</f>
        <v/>
      </c>
      <c r="K1403" s="35" t="str">
        <f aca="false">IF($C1403="","",N($E1403)*IFERROR(INDEX(PRODUCTOS!$H$6:$H$105,MATCH($C1403,PRODUCTOS!$A$6:$A$105,0)),0))</f>
        <v/>
      </c>
      <c r="L1403" s="35" t="str">
        <f aca="false">IF($C1403="","",$J1403-$K1403)</f>
        <v/>
      </c>
      <c r="M1403" s="6"/>
      <c r="N1403" s="6"/>
      <c r="O1403" s="46" t="str">
        <f aca="false">IF($A1403="","",DATE(YEAR($A1403),MONTH($A1403),1))</f>
        <v/>
      </c>
    </row>
    <row r="1404" customFormat="false" ht="15" hidden="false" customHeight="false" outlineLevel="0" collapsed="false">
      <c r="A1404" s="44"/>
      <c r="B1404" s="6"/>
      <c r="C1404" s="6"/>
      <c r="D1404" s="8" t="str">
        <f aca="false">IF($C1404="","",IFERROR(INDEX(PRODUCTOS!$B$6:$B$105,MATCH($C1404,PRODUCTOS!$A$6:$A$105,0)),"¿Código?"))</f>
        <v/>
      </c>
      <c r="E1404" s="42"/>
      <c r="F1404" s="35" t="str">
        <f aca="false">IF($C1404="","",IFERROR(INDEX(PRODUCTOS!$D$6:$D$105,MATCH($C1404,PRODUCTOS!$A$6:$A$105,0)),0))</f>
        <v/>
      </c>
      <c r="G1404" s="40"/>
      <c r="H1404" s="35" t="str">
        <f aca="false">IF($C1404="","",N($E1404)*$F1404-N($G1404))</f>
        <v/>
      </c>
      <c r="I1404" s="35" t="str">
        <f aca="false">IF($C1404="","",$H1404-$H1404/(1+IFERROR(INDEX(PRODUCTOS!$E$6:$E$105,MATCH($C1404,PRODUCTOS!$A$6:$A$105,0)),IVA_VENTAS)))</f>
        <v/>
      </c>
      <c r="J1404" s="35" t="str">
        <f aca="false">IF($C1404="","",$H1404-$I1404)</f>
        <v/>
      </c>
      <c r="K1404" s="35" t="str">
        <f aca="false">IF($C1404="","",N($E1404)*IFERROR(INDEX(PRODUCTOS!$H$6:$H$105,MATCH($C1404,PRODUCTOS!$A$6:$A$105,0)),0))</f>
        <v/>
      </c>
      <c r="L1404" s="35" t="str">
        <f aca="false">IF($C1404="","",$J1404-$K1404)</f>
        <v/>
      </c>
      <c r="M1404" s="6"/>
      <c r="N1404" s="6"/>
      <c r="O1404" s="46" t="str">
        <f aca="false">IF($A1404="","",DATE(YEAR($A1404),MONTH($A1404),1))</f>
        <v/>
      </c>
    </row>
    <row r="1405" customFormat="false" ht="15" hidden="false" customHeight="false" outlineLevel="0" collapsed="false">
      <c r="A1405" s="44"/>
      <c r="B1405" s="6"/>
      <c r="C1405" s="6"/>
      <c r="D1405" s="8" t="str">
        <f aca="false">IF($C1405="","",IFERROR(INDEX(PRODUCTOS!$B$6:$B$105,MATCH($C1405,PRODUCTOS!$A$6:$A$105,0)),"¿Código?"))</f>
        <v/>
      </c>
      <c r="E1405" s="42"/>
      <c r="F1405" s="35" t="str">
        <f aca="false">IF($C1405="","",IFERROR(INDEX(PRODUCTOS!$D$6:$D$105,MATCH($C1405,PRODUCTOS!$A$6:$A$105,0)),0))</f>
        <v/>
      </c>
      <c r="G1405" s="40"/>
      <c r="H1405" s="35" t="str">
        <f aca="false">IF($C1405="","",N($E1405)*$F1405-N($G1405))</f>
        <v/>
      </c>
      <c r="I1405" s="35" t="str">
        <f aca="false">IF($C1405="","",$H1405-$H1405/(1+IFERROR(INDEX(PRODUCTOS!$E$6:$E$105,MATCH($C1405,PRODUCTOS!$A$6:$A$105,0)),IVA_VENTAS)))</f>
        <v/>
      </c>
      <c r="J1405" s="35" t="str">
        <f aca="false">IF($C1405="","",$H1405-$I1405)</f>
        <v/>
      </c>
      <c r="K1405" s="35" t="str">
        <f aca="false">IF($C1405="","",N($E1405)*IFERROR(INDEX(PRODUCTOS!$H$6:$H$105,MATCH($C1405,PRODUCTOS!$A$6:$A$105,0)),0))</f>
        <v/>
      </c>
      <c r="L1405" s="35" t="str">
        <f aca="false">IF($C1405="","",$J1405-$K1405)</f>
        <v/>
      </c>
      <c r="M1405" s="6"/>
      <c r="N1405" s="6"/>
      <c r="O1405" s="46" t="str">
        <f aca="false">IF($A1405="","",DATE(YEAR($A1405),MONTH($A1405),1))</f>
        <v/>
      </c>
    </row>
    <row r="1406" customFormat="false" ht="15" hidden="false" customHeight="false" outlineLevel="0" collapsed="false">
      <c r="A1406" s="44"/>
      <c r="B1406" s="6"/>
      <c r="C1406" s="6"/>
      <c r="D1406" s="8" t="str">
        <f aca="false">IF($C1406="","",IFERROR(INDEX(PRODUCTOS!$B$6:$B$105,MATCH($C1406,PRODUCTOS!$A$6:$A$105,0)),"¿Código?"))</f>
        <v/>
      </c>
      <c r="E1406" s="42"/>
      <c r="F1406" s="35" t="str">
        <f aca="false">IF($C1406="","",IFERROR(INDEX(PRODUCTOS!$D$6:$D$105,MATCH($C1406,PRODUCTOS!$A$6:$A$105,0)),0))</f>
        <v/>
      </c>
      <c r="G1406" s="40"/>
      <c r="H1406" s="35" t="str">
        <f aca="false">IF($C1406="","",N($E1406)*$F1406-N($G1406))</f>
        <v/>
      </c>
      <c r="I1406" s="35" t="str">
        <f aca="false">IF($C1406="","",$H1406-$H1406/(1+IFERROR(INDEX(PRODUCTOS!$E$6:$E$105,MATCH($C1406,PRODUCTOS!$A$6:$A$105,0)),IVA_VENTAS)))</f>
        <v/>
      </c>
      <c r="J1406" s="35" t="str">
        <f aca="false">IF($C1406="","",$H1406-$I1406)</f>
        <v/>
      </c>
      <c r="K1406" s="35" t="str">
        <f aca="false">IF($C1406="","",N($E1406)*IFERROR(INDEX(PRODUCTOS!$H$6:$H$105,MATCH($C1406,PRODUCTOS!$A$6:$A$105,0)),0))</f>
        <v/>
      </c>
      <c r="L1406" s="35" t="str">
        <f aca="false">IF($C1406="","",$J1406-$K1406)</f>
        <v/>
      </c>
      <c r="M1406" s="6"/>
      <c r="N1406" s="6"/>
      <c r="O1406" s="46" t="str">
        <f aca="false">IF($A1406="","",DATE(YEAR($A1406),MONTH($A1406),1))</f>
        <v/>
      </c>
    </row>
    <row r="1407" customFormat="false" ht="15" hidden="false" customHeight="false" outlineLevel="0" collapsed="false">
      <c r="A1407" s="44"/>
      <c r="B1407" s="6"/>
      <c r="C1407" s="6"/>
      <c r="D1407" s="8" t="str">
        <f aca="false">IF($C1407="","",IFERROR(INDEX(PRODUCTOS!$B$6:$B$105,MATCH($C1407,PRODUCTOS!$A$6:$A$105,0)),"¿Código?"))</f>
        <v/>
      </c>
      <c r="E1407" s="42"/>
      <c r="F1407" s="35" t="str">
        <f aca="false">IF($C1407="","",IFERROR(INDEX(PRODUCTOS!$D$6:$D$105,MATCH($C1407,PRODUCTOS!$A$6:$A$105,0)),0))</f>
        <v/>
      </c>
      <c r="G1407" s="40"/>
      <c r="H1407" s="35" t="str">
        <f aca="false">IF($C1407="","",N($E1407)*$F1407-N($G1407))</f>
        <v/>
      </c>
      <c r="I1407" s="35" t="str">
        <f aca="false">IF($C1407="","",$H1407-$H1407/(1+IFERROR(INDEX(PRODUCTOS!$E$6:$E$105,MATCH($C1407,PRODUCTOS!$A$6:$A$105,0)),IVA_VENTAS)))</f>
        <v/>
      </c>
      <c r="J1407" s="35" t="str">
        <f aca="false">IF($C1407="","",$H1407-$I1407)</f>
        <v/>
      </c>
      <c r="K1407" s="35" t="str">
        <f aca="false">IF($C1407="","",N($E1407)*IFERROR(INDEX(PRODUCTOS!$H$6:$H$105,MATCH($C1407,PRODUCTOS!$A$6:$A$105,0)),0))</f>
        <v/>
      </c>
      <c r="L1407" s="35" t="str">
        <f aca="false">IF($C1407="","",$J1407-$K1407)</f>
        <v/>
      </c>
      <c r="M1407" s="6"/>
      <c r="N1407" s="6"/>
      <c r="O1407" s="46" t="str">
        <f aca="false">IF($A1407="","",DATE(YEAR($A1407),MONTH($A1407),1))</f>
        <v/>
      </c>
    </row>
    <row r="1408" customFormat="false" ht="15" hidden="false" customHeight="false" outlineLevel="0" collapsed="false">
      <c r="A1408" s="44"/>
      <c r="B1408" s="6"/>
      <c r="C1408" s="6"/>
      <c r="D1408" s="8" t="str">
        <f aca="false">IF($C1408="","",IFERROR(INDEX(PRODUCTOS!$B$6:$B$105,MATCH($C1408,PRODUCTOS!$A$6:$A$105,0)),"¿Código?"))</f>
        <v/>
      </c>
      <c r="E1408" s="42"/>
      <c r="F1408" s="35" t="str">
        <f aca="false">IF($C1408="","",IFERROR(INDEX(PRODUCTOS!$D$6:$D$105,MATCH($C1408,PRODUCTOS!$A$6:$A$105,0)),0))</f>
        <v/>
      </c>
      <c r="G1408" s="40"/>
      <c r="H1408" s="35" t="str">
        <f aca="false">IF($C1408="","",N($E1408)*$F1408-N($G1408))</f>
        <v/>
      </c>
      <c r="I1408" s="35" t="str">
        <f aca="false">IF($C1408="","",$H1408-$H1408/(1+IFERROR(INDEX(PRODUCTOS!$E$6:$E$105,MATCH($C1408,PRODUCTOS!$A$6:$A$105,0)),IVA_VENTAS)))</f>
        <v/>
      </c>
      <c r="J1408" s="35" t="str">
        <f aca="false">IF($C1408="","",$H1408-$I1408)</f>
        <v/>
      </c>
      <c r="K1408" s="35" t="str">
        <f aca="false">IF($C1408="","",N($E1408)*IFERROR(INDEX(PRODUCTOS!$H$6:$H$105,MATCH($C1408,PRODUCTOS!$A$6:$A$105,0)),0))</f>
        <v/>
      </c>
      <c r="L1408" s="35" t="str">
        <f aca="false">IF($C1408="","",$J1408-$K1408)</f>
        <v/>
      </c>
      <c r="M1408" s="6"/>
      <c r="N1408" s="6"/>
      <c r="O1408" s="46" t="str">
        <f aca="false">IF($A1408="","",DATE(YEAR($A1408),MONTH($A1408),1))</f>
        <v/>
      </c>
    </row>
    <row r="1409" customFormat="false" ht="15" hidden="false" customHeight="false" outlineLevel="0" collapsed="false">
      <c r="A1409" s="44"/>
      <c r="B1409" s="6"/>
      <c r="C1409" s="6"/>
      <c r="D1409" s="8" t="str">
        <f aca="false">IF($C1409="","",IFERROR(INDEX(PRODUCTOS!$B$6:$B$105,MATCH($C1409,PRODUCTOS!$A$6:$A$105,0)),"¿Código?"))</f>
        <v/>
      </c>
      <c r="E1409" s="42"/>
      <c r="F1409" s="35" t="str">
        <f aca="false">IF($C1409="","",IFERROR(INDEX(PRODUCTOS!$D$6:$D$105,MATCH($C1409,PRODUCTOS!$A$6:$A$105,0)),0))</f>
        <v/>
      </c>
      <c r="G1409" s="40"/>
      <c r="H1409" s="35" t="str">
        <f aca="false">IF($C1409="","",N($E1409)*$F1409-N($G1409))</f>
        <v/>
      </c>
      <c r="I1409" s="35" t="str">
        <f aca="false">IF($C1409="","",$H1409-$H1409/(1+IFERROR(INDEX(PRODUCTOS!$E$6:$E$105,MATCH($C1409,PRODUCTOS!$A$6:$A$105,0)),IVA_VENTAS)))</f>
        <v/>
      </c>
      <c r="J1409" s="35" t="str">
        <f aca="false">IF($C1409="","",$H1409-$I1409)</f>
        <v/>
      </c>
      <c r="K1409" s="35" t="str">
        <f aca="false">IF($C1409="","",N($E1409)*IFERROR(INDEX(PRODUCTOS!$H$6:$H$105,MATCH($C1409,PRODUCTOS!$A$6:$A$105,0)),0))</f>
        <v/>
      </c>
      <c r="L1409" s="35" t="str">
        <f aca="false">IF($C1409="","",$J1409-$K1409)</f>
        <v/>
      </c>
      <c r="M1409" s="6"/>
      <c r="N1409" s="6"/>
      <c r="O1409" s="46" t="str">
        <f aca="false">IF($A1409="","",DATE(YEAR($A1409),MONTH($A1409),1))</f>
        <v/>
      </c>
    </row>
    <row r="1410" customFormat="false" ht="15" hidden="false" customHeight="false" outlineLevel="0" collapsed="false">
      <c r="A1410" s="44"/>
      <c r="B1410" s="6"/>
      <c r="C1410" s="6"/>
      <c r="D1410" s="8" t="str">
        <f aca="false">IF($C1410="","",IFERROR(INDEX(PRODUCTOS!$B$6:$B$105,MATCH($C1410,PRODUCTOS!$A$6:$A$105,0)),"¿Código?"))</f>
        <v/>
      </c>
      <c r="E1410" s="42"/>
      <c r="F1410" s="35" t="str">
        <f aca="false">IF($C1410="","",IFERROR(INDEX(PRODUCTOS!$D$6:$D$105,MATCH($C1410,PRODUCTOS!$A$6:$A$105,0)),0))</f>
        <v/>
      </c>
      <c r="G1410" s="40"/>
      <c r="H1410" s="35" t="str">
        <f aca="false">IF($C1410="","",N($E1410)*$F1410-N($G1410))</f>
        <v/>
      </c>
      <c r="I1410" s="35" t="str">
        <f aca="false">IF($C1410="","",$H1410-$H1410/(1+IFERROR(INDEX(PRODUCTOS!$E$6:$E$105,MATCH($C1410,PRODUCTOS!$A$6:$A$105,0)),IVA_VENTAS)))</f>
        <v/>
      </c>
      <c r="J1410" s="35" t="str">
        <f aca="false">IF($C1410="","",$H1410-$I1410)</f>
        <v/>
      </c>
      <c r="K1410" s="35" t="str">
        <f aca="false">IF($C1410="","",N($E1410)*IFERROR(INDEX(PRODUCTOS!$H$6:$H$105,MATCH($C1410,PRODUCTOS!$A$6:$A$105,0)),0))</f>
        <v/>
      </c>
      <c r="L1410" s="35" t="str">
        <f aca="false">IF($C1410="","",$J1410-$K1410)</f>
        <v/>
      </c>
      <c r="M1410" s="6"/>
      <c r="N1410" s="6"/>
      <c r="O1410" s="46" t="str">
        <f aca="false">IF($A1410="","",DATE(YEAR($A1410),MONTH($A1410),1))</f>
        <v/>
      </c>
    </row>
    <row r="1411" customFormat="false" ht="15" hidden="false" customHeight="false" outlineLevel="0" collapsed="false">
      <c r="A1411" s="44"/>
      <c r="B1411" s="6"/>
      <c r="C1411" s="6"/>
      <c r="D1411" s="8" t="str">
        <f aca="false">IF($C1411="","",IFERROR(INDEX(PRODUCTOS!$B$6:$B$105,MATCH($C1411,PRODUCTOS!$A$6:$A$105,0)),"¿Código?"))</f>
        <v/>
      </c>
      <c r="E1411" s="42"/>
      <c r="F1411" s="35" t="str">
        <f aca="false">IF($C1411="","",IFERROR(INDEX(PRODUCTOS!$D$6:$D$105,MATCH($C1411,PRODUCTOS!$A$6:$A$105,0)),0))</f>
        <v/>
      </c>
      <c r="G1411" s="40"/>
      <c r="H1411" s="35" t="str">
        <f aca="false">IF($C1411="","",N($E1411)*$F1411-N($G1411))</f>
        <v/>
      </c>
      <c r="I1411" s="35" t="str">
        <f aca="false">IF($C1411="","",$H1411-$H1411/(1+IFERROR(INDEX(PRODUCTOS!$E$6:$E$105,MATCH($C1411,PRODUCTOS!$A$6:$A$105,0)),IVA_VENTAS)))</f>
        <v/>
      </c>
      <c r="J1411" s="35" t="str">
        <f aca="false">IF($C1411="","",$H1411-$I1411)</f>
        <v/>
      </c>
      <c r="K1411" s="35" t="str">
        <f aca="false">IF($C1411="","",N($E1411)*IFERROR(INDEX(PRODUCTOS!$H$6:$H$105,MATCH($C1411,PRODUCTOS!$A$6:$A$105,0)),0))</f>
        <v/>
      </c>
      <c r="L1411" s="35" t="str">
        <f aca="false">IF($C1411="","",$J1411-$K1411)</f>
        <v/>
      </c>
      <c r="M1411" s="6"/>
      <c r="N1411" s="6"/>
      <c r="O1411" s="46" t="str">
        <f aca="false">IF($A1411="","",DATE(YEAR($A1411),MONTH($A1411),1))</f>
        <v/>
      </c>
    </row>
    <row r="1412" customFormat="false" ht="15" hidden="false" customHeight="false" outlineLevel="0" collapsed="false">
      <c r="A1412" s="44"/>
      <c r="B1412" s="6"/>
      <c r="C1412" s="6"/>
      <c r="D1412" s="8" t="str">
        <f aca="false">IF($C1412="","",IFERROR(INDEX(PRODUCTOS!$B$6:$B$105,MATCH($C1412,PRODUCTOS!$A$6:$A$105,0)),"¿Código?"))</f>
        <v/>
      </c>
      <c r="E1412" s="42"/>
      <c r="F1412" s="35" t="str">
        <f aca="false">IF($C1412="","",IFERROR(INDEX(PRODUCTOS!$D$6:$D$105,MATCH($C1412,PRODUCTOS!$A$6:$A$105,0)),0))</f>
        <v/>
      </c>
      <c r="G1412" s="40"/>
      <c r="H1412" s="35" t="str">
        <f aca="false">IF($C1412="","",N($E1412)*$F1412-N($G1412))</f>
        <v/>
      </c>
      <c r="I1412" s="35" t="str">
        <f aca="false">IF($C1412="","",$H1412-$H1412/(1+IFERROR(INDEX(PRODUCTOS!$E$6:$E$105,MATCH($C1412,PRODUCTOS!$A$6:$A$105,0)),IVA_VENTAS)))</f>
        <v/>
      </c>
      <c r="J1412" s="35" t="str">
        <f aca="false">IF($C1412="","",$H1412-$I1412)</f>
        <v/>
      </c>
      <c r="K1412" s="35" t="str">
        <f aca="false">IF($C1412="","",N($E1412)*IFERROR(INDEX(PRODUCTOS!$H$6:$H$105,MATCH($C1412,PRODUCTOS!$A$6:$A$105,0)),0))</f>
        <v/>
      </c>
      <c r="L1412" s="35" t="str">
        <f aca="false">IF($C1412="","",$J1412-$K1412)</f>
        <v/>
      </c>
      <c r="M1412" s="6"/>
      <c r="N1412" s="6"/>
      <c r="O1412" s="46" t="str">
        <f aca="false">IF($A1412="","",DATE(YEAR($A1412),MONTH($A1412),1))</f>
        <v/>
      </c>
    </row>
    <row r="1413" customFormat="false" ht="15" hidden="false" customHeight="false" outlineLevel="0" collapsed="false">
      <c r="A1413" s="44"/>
      <c r="B1413" s="6"/>
      <c r="C1413" s="6"/>
      <c r="D1413" s="8" t="str">
        <f aca="false">IF($C1413="","",IFERROR(INDEX(PRODUCTOS!$B$6:$B$105,MATCH($C1413,PRODUCTOS!$A$6:$A$105,0)),"¿Código?"))</f>
        <v/>
      </c>
      <c r="E1413" s="42"/>
      <c r="F1413" s="35" t="str">
        <f aca="false">IF($C1413="","",IFERROR(INDEX(PRODUCTOS!$D$6:$D$105,MATCH($C1413,PRODUCTOS!$A$6:$A$105,0)),0))</f>
        <v/>
      </c>
      <c r="G1413" s="40"/>
      <c r="H1413" s="35" t="str">
        <f aca="false">IF($C1413="","",N($E1413)*$F1413-N($G1413))</f>
        <v/>
      </c>
      <c r="I1413" s="35" t="str">
        <f aca="false">IF($C1413="","",$H1413-$H1413/(1+IFERROR(INDEX(PRODUCTOS!$E$6:$E$105,MATCH($C1413,PRODUCTOS!$A$6:$A$105,0)),IVA_VENTAS)))</f>
        <v/>
      </c>
      <c r="J1413" s="35" t="str">
        <f aca="false">IF($C1413="","",$H1413-$I1413)</f>
        <v/>
      </c>
      <c r="K1413" s="35" t="str">
        <f aca="false">IF($C1413="","",N($E1413)*IFERROR(INDEX(PRODUCTOS!$H$6:$H$105,MATCH($C1413,PRODUCTOS!$A$6:$A$105,0)),0))</f>
        <v/>
      </c>
      <c r="L1413" s="35" t="str">
        <f aca="false">IF($C1413="","",$J1413-$K1413)</f>
        <v/>
      </c>
      <c r="M1413" s="6"/>
      <c r="N1413" s="6"/>
      <c r="O1413" s="46" t="str">
        <f aca="false">IF($A1413="","",DATE(YEAR($A1413),MONTH($A1413),1))</f>
        <v/>
      </c>
    </row>
    <row r="1414" customFormat="false" ht="15" hidden="false" customHeight="false" outlineLevel="0" collapsed="false">
      <c r="A1414" s="44"/>
      <c r="B1414" s="6"/>
      <c r="C1414" s="6"/>
      <c r="D1414" s="8" t="str">
        <f aca="false">IF($C1414="","",IFERROR(INDEX(PRODUCTOS!$B$6:$B$105,MATCH($C1414,PRODUCTOS!$A$6:$A$105,0)),"¿Código?"))</f>
        <v/>
      </c>
      <c r="E1414" s="42"/>
      <c r="F1414" s="35" t="str">
        <f aca="false">IF($C1414="","",IFERROR(INDEX(PRODUCTOS!$D$6:$D$105,MATCH($C1414,PRODUCTOS!$A$6:$A$105,0)),0))</f>
        <v/>
      </c>
      <c r="G1414" s="40"/>
      <c r="H1414" s="35" t="str">
        <f aca="false">IF($C1414="","",N($E1414)*$F1414-N($G1414))</f>
        <v/>
      </c>
      <c r="I1414" s="35" t="str">
        <f aca="false">IF($C1414="","",$H1414-$H1414/(1+IFERROR(INDEX(PRODUCTOS!$E$6:$E$105,MATCH($C1414,PRODUCTOS!$A$6:$A$105,0)),IVA_VENTAS)))</f>
        <v/>
      </c>
      <c r="J1414" s="35" t="str">
        <f aca="false">IF($C1414="","",$H1414-$I1414)</f>
        <v/>
      </c>
      <c r="K1414" s="35" t="str">
        <f aca="false">IF($C1414="","",N($E1414)*IFERROR(INDEX(PRODUCTOS!$H$6:$H$105,MATCH($C1414,PRODUCTOS!$A$6:$A$105,0)),0))</f>
        <v/>
      </c>
      <c r="L1414" s="35" t="str">
        <f aca="false">IF($C1414="","",$J1414-$K1414)</f>
        <v/>
      </c>
      <c r="M1414" s="6"/>
      <c r="N1414" s="6"/>
      <c r="O1414" s="46" t="str">
        <f aca="false">IF($A1414="","",DATE(YEAR($A1414),MONTH($A1414),1))</f>
        <v/>
      </c>
    </row>
    <row r="1415" customFormat="false" ht="15" hidden="false" customHeight="false" outlineLevel="0" collapsed="false">
      <c r="A1415" s="44"/>
      <c r="B1415" s="6"/>
      <c r="C1415" s="6"/>
      <c r="D1415" s="8" t="str">
        <f aca="false">IF($C1415="","",IFERROR(INDEX(PRODUCTOS!$B$6:$B$105,MATCH($C1415,PRODUCTOS!$A$6:$A$105,0)),"¿Código?"))</f>
        <v/>
      </c>
      <c r="E1415" s="42"/>
      <c r="F1415" s="35" t="str">
        <f aca="false">IF($C1415="","",IFERROR(INDEX(PRODUCTOS!$D$6:$D$105,MATCH($C1415,PRODUCTOS!$A$6:$A$105,0)),0))</f>
        <v/>
      </c>
      <c r="G1415" s="40"/>
      <c r="H1415" s="35" t="str">
        <f aca="false">IF($C1415="","",N($E1415)*$F1415-N($G1415))</f>
        <v/>
      </c>
      <c r="I1415" s="35" t="str">
        <f aca="false">IF($C1415="","",$H1415-$H1415/(1+IFERROR(INDEX(PRODUCTOS!$E$6:$E$105,MATCH($C1415,PRODUCTOS!$A$6:$A$105,0)),IVA_VENTAS)))</f>
        <v/>
      </c>
      <c r="J1415" s="35" t="str">
        <f aca="false">IF($C1415="","",$H1415-$I1415)</f>
        <v/>
      </c>
      <c r="K1415" s="35" t="str">
        <f aca="false">IF($C1415="","",N($E1415)*IFERROR(INDEX(PRODUCTOS!$H$6:$H$105,MATCH($C1415,PRODUCTOS!$A$6:$A$105,0)),0))</f>
        <v/>
      </c>
      <c r="L1415" s="35" t="str">
        <f aca="false">IF($C1415="","",$J1415-$K1415)</f>
        <v/>
      </c>
      <c r="M1415" s="6"/>
      <c r="N1415" s="6"/>
      <c r="O1415" s="46" t="str">
        <f aca="false">IF($A1415="","",DATE(YEAR($A1415),MONTH($A1415),1))</f>
        <v/>
      </c>
    </row>
    <row r="1416" customFormat="false" ht="15" hidden="false" customHeight="false" outlineLevel="0" collapsed="false">
      <c r="A1416" s="44"/>
      <c r="B1416" s="6"/>
      <c r="C1416" s="6"/>
      <c r="D1416" s="8" t="str">
        <f aca="false">IF($C1416="","",IFERROR(INDEX(PRODUCTOS!$B$6:$B$105,MATCH($C1416,PRODUCTOS!$A$6:$A$105,0)),"¿Código?"))</f>
        <v/>
      </c>
      <c r="E1416" s="42"/>
      <c r="F1416" s="35" t="str">
        <f aca="false">IF($C1416="","",IFERROR(INDEX(PRODUCTOS!$D$6:$D$105,MATCH($C1416,PRODUCTOS!$A$6:$A$105,0)),0))</f>
        <v/>
      </c>
      <c r="G1416" s="40"/>
      <c r="H1416" s="35" t="str">
        <f aca="false">IF($C1416="","",N($E1416)*$F1416-N($G1416))</f>
        <v/>
      </c>
      <c r="I1416" s="35" t="str">
        <f aca="false">IF($C1416="","",$H1416-$H1416/(1+IFERROR(INDEX(PRODUCTOS!$E$6:$E$105,MATCH($C1416,PRODUCTOS!$A$6:$A$105,0)),IVA_VENTAS)))</f>
        <v/>
      </c>
      <c r="J1416" s="35" t="str">
        <f aca="false">IF($C1416="","",$H1416-$I1416)</f>
        <v/>
      </c>
      <c r="K1416" s="35" t="str">
        <f aca="false">IF($C1416="","",N($E1416)*IFERROR(INDEX(PRODUCTOS!$H$6:$H$105,MATCH($C1416,PRODUCTOS!$A$6:$A$105,0)),0))</f>
        <v/>
      </c>
      <c r="L1416" s="35" t="str">
        <f aca="false">IF($C1416="","",$J1416-$K1416)</f>
        <v/>
      </c>
      <c r="M1416" s="6"/>
      <c r="N1416" s="6"/>
      <c r="O1416" s="46" t="str">
        <f aca="false">IF($A1416="","",DATE(YEAR($A1416),MONTH($A1416),1))</f>
        <v/>
      </c>
    </row>
    <row r="1417" customFormat="false" ht="15" hidden="false" customHeight="false" outlineLevel="0" collapsed="false">
      <c r="A1417" s="44"/>
      <c r="B1417" s="6"/>
      <c r="C1417" s="6"/>
      <c r="D1417" s="8" t="str">
        <f aca="false">IF($C1417="","",IFERROR(INDEX(PRODUCTOS!$B$6:$B$105,MATCH($C1417,PRODUCTOS!$A$6:$A$105,0)),"¿Código?"))</f>
        <v/>
      </c>
      <c r="E1417" s="42"/>
      <c r="F1417" s="35" t="str">
        <f aca="false">IF($C1417="","",IFERROR(INDEX(PRODUCTOS!$D$6:$D$105,MATCH($C1417,PRODUCTOS!$A$6:$A$105,0)),0))</f>
        <v/>
      </c>
      <c r="G1417" s="40"/>
      <c r="H1417" s="35" t="str">
        <f aca="false">IF($C1417="","",N($E1417)*$F1417-N($G1417))</f>
        <v/>
      </c>
      <c r="I1417" s="35" t="str">
        <f aca="false">IF($C1417="","",$H1417-$H1417/(1+IFERROR(INDEX(PRODUCTOS!$E$6:$E$105,MATCH($C1417,PRODUCTOS!$A$6:$A$105,0)),IVA_VENTAS)))</f>
        <v/>
      </c>
      <c r="J1417" s="35" t="str">
        <f aca="false">IF($C1417="","",$H1417-$I1417)</f>
        <v/>
      </c>
      <c r="K1417" s="35" t="str">
        <f aca="false">IF($C1417="","",N($E1417)*IFERROR(INDEX(PRODUCTOS!$H$6:$H$105,MATCH($C1417,PRODUCTOS!$A$6:$A$105,0)),0))</f>
        <v/>
      </c>
      <c r="L1417" s="35" t="str">
        <f aca="false">IF($C1417="","",$J1417-$K1417)</f>
        <v/>
      </c>
      <c r="M1417" s="6"/>
      <c r="N1417" s="6"/>
      <c r="O1417" s="46" t="str">
        <f aca="false">IF($A1417="","",DATE(YEAR($A1417),MONTH($A1417),1))</f>
        <v/>
      </c>
    </row>
    <row r="1418" customFormat="false" ht="15" hidden="false" customHeight="false" outlineLevel="0" collapsed="false">
      <c r="A1418" s="44"/>
      <c r="B1418" s="6"/>
      <c r="C1418" s="6"/>
      <c r="D1418" s="8" t="str">
        <f aca="false">IF($C1418="","",IFERROR(INDEX(PRODUCTOS!$B$6:$B$105,MATCH($C1418,PRODUCTOS!$A$6:$A$105,0)),"¿Código?"))</f>
        <v/>
      </c>
      <c r="E1418" s="42"/>
      <c r="F1418" s="35" t="str">
        <f aca="false">IF($C1418="","",IFERROR(INDEX(PRODUCTOS!$D$6:$D$105,MATCH($C1418,PRODUCTOS!$A$6:$A$105,0)),0))</f>
        <v/>
      </c>
      <c r="G1418" s="40"/>
      <c r="H1418" s="35" t="str">
        <f aca="false">IF($C1418="","",N($E1418)*$F1418-N($G1418))</f>
        <v/>
      </c>
      <c r="I1418" s="35" t="str">
        <f aca="false">IF($C1418="","",$H1418-$H1418/(1+IFERROR(INDEX(PRODUCTOS!$E$6:$E$105,MATCH($C1418,PRODUCTOS!$A$6:$A$105,0)),IVA_VENTAS)))</f>
        <v/>
      </c>
      <c r="J1418" s="35" t="str">
        <f aca="false">IF($C1418="","",$H1418-$I1418)</f>
        <v/>
      </c>
      <c r="K1418" s="35" t="str">
        <f aca="false">IF($C1418="","",N($E1418)*IFERROR(INDEX(PRODUCTOS!$H$6:$H$105,MATCH($C1418,PRODUCTOS!$A$6:$A$105,0)),0))</f>
        <v/>
      </c>
      <c r="L1418" s="35" t="str">
        <f aca="false">IF($C1418="","",$J1418-$K1418)</f>
        <v/>
      </c>
      <c r="M1418" s="6"/>
      <c r="N1418" s="6"/>
      <c r="O1418" s="46" t="str">
        <f aca="false">IF($A1418="","",DATE(YEAR($A1418),MONTH($A1418),1))</f>
        <v/>
      </c>
    </row>
    <row r="1419" customFormat="false" ht="15" hidden="false" customHeight="false" outlineLevel="0" collapsed="false">
      <c r="A1419" s="44"/>
      <c r="B1419" s="6"/>
      <c r="C1419" s="6"/>
      <c r="D1419" s="8" t="str">
        <f aca="false">IF($C1419="","",IFERROR(INDEX(PRODUCTOS!$B$6:$B$105,MATCH($C1419,PRODUCTOS!$A$6:$A$105,0)),"¿Código?"))</f>
        <v/>
      </c>
      <c r="E1419" s="42"/>
      <c r="F1419" s="35" t="str">
        <f aca="false">IF($C1419="","",IFERROR(INDEX(PRODUCTOS!$D$6:$D$105,MATCH($C1419,PRODUCTOS!$A$6:$A$105,0)),0))</f>
        <v/>
      </c>
      <c r="G1419" s="40"/>
      <c r="H1419" s="35" t="str">
        <f aca="false">IF($C1419="","",N($E1419)*$F1419-N($G1419))</f>
        <v/>
      </c>
      <c r="I1419" s="35" t="str">
        <f aca="false">IF($C1419="","",$H1419-$H1419/(1+IFERROR(INDEX(PRODUCTOS!$E$6:$E$105,MATCH($C1419,PRODUCTOS!$A$6:$A$105,0)),IVA_VENTAS)))</f>
        <v/>
      </c>
      <c r="J1419" s="35" t="str">
        <f aca="false">IF($C1419="","",$H1419-$I1419)</f>
        <v/>
      </c>
      <c r="K1419" s="35" t="str">
        <f aca="false">IF($C1419="","",N($E1419)*IFERROR(INDEX(PRODUCTOS!$H$6:$H$105,MATCH($C1419,PRODUCTOS!$A$6:$A$105,0)),0))</f>
        <v/>
      </c>
      <c r="L1419" s="35" t="str">
        <f aca="false">IF($C1419="","",$J1419-$K1419)</f>
        <v/>
      </c>
      <c r="M1419" s="6"/>
      <c r="N1419" s="6"/>
      <c r="O1419" s="46" t="str">
        <f aca="false">IF($A1419="","",DATE(YEAR($A1419),MONTH($A1419),1))</f>
        <v/>
      </c>
    </row>
    <row r="1420" customFormat="false" ht="15" hidden="false" customHeight="false" outlineLevel="0" collapsed="false">
      <c r="A1420" s="44"/>
      <c r="B1420" s="6"/>
      <c r="C1420" s="6"/>
      <c r="D1420" s="8" t="str">
        <f aca="false">IF($C1420="","",IFERROR(INDEX(PRODUCTOS!$B$6:$B$105,MATCH($C1420,PRODUCTOS!$A$6:$A$105,0)),"¿Código?"))</f>
        <v/>
      </c>
      <c r="E1420" s="42"/>
      <c r="F1420" s="35" t="str">
        <f aca="false">IF($C1420="","",IFERROR(INDEX(PRODUCTOS!$D$6:$D$105,MATCH($C1420,PRODUCTOS!$A$6:$A$105,0)),0))</f>
        <v/>
      </c>
      <c r="G1420" s="40"/>
      <c r="H1420" s="35" t="str">
        <f aca="false">IF($C1420="","",N($E1420)*$F1420-N($G1420))</f>
        <v/>
      </c>
      <c r="I1420" s="35" t="str">
        <f aca="false">IF($C1420="","",$H1420-$H1420/(1+IFERROR(INDEX(PRODUCTOS!$E$6:$E$105,MATCH($C1420,PRODUCTOS!$A$6:$A$105,0)),IVA_VENTAS)))</f>
        <v/>
      </c>
      <c r="J1420" s="35" t="str">
        <f aca="false">IF($C1420="","",$H1420-$I1420)</f>
        <v/>
      </c>
      <c r="K1420" s="35" t="str">
        <f aca="false">IF($C1420="","",N($E1420)*IFERROR(INDEX(PRODUCTOS!$H$6:$H$105,MATCH($C1420,PRODUCTOS!$A$6:$A$105,0)),0))</f>
        <v/>
      </c>
      <c r="L1420" s="35" t="str">
        <f aca="false">IF($C1420="","",$J1420-$K1420)</f>
        <v/>
      </c>
      <c r="M1420" s="6"/>
      <c r="N1420" s="6"/>
      <c r="O1420" s="46" t="str">
        <f aca="false">IF($A1420="","",DATE(YEAR($A1420),MONTH($A1420),1))</f>
        <v/>
      </c>
    </row>
    <row r="1421" customFormat="false" ht="15" hidden="false" customHeight="false" outlineLevel="0" collapsed="false">
      <c r="A1421" s="44"/>
      <c r="B1421" s="6"/>
      <c r="C1421" s="6"/>
      <c r="D1421" s="8" t="str">
        <f aca="false">IF($C1421="","",IFERROR(INDEX(PRODUCTOS!$B$6:$B$105,MATCH($C1421,PRODUCTOS!$A$6:$A$105,0)),"¿Código?"))</f>
        <v/>
      </c>
      <c r="E1421" s="42"/>
      <c r="F1421" s="35" t="str">
        <f aca="false">IF($C1421="","",IFERROR(INDEX(PRODUCTOS!$D$6:$D$105,MATCH($C1421,PRODUCTOS!$A$6:$A$105,0)),0))</f>
        <v/>
      </c>
      <c r="G1421" s="40"/>
      <c r="H1421" s="35" t="str">
        <f aca="false">IF($C1421="","",N($E1421)*$F1421-N($G1421))</f>
        <v/>
      </c>
      <c r="I1421" s="35" t="str">
        <f aca="false">IF($C1421="","",$H1421-$H1421/(1+IFERROR(INDEX(PRODUCTOS!$E$6:$E$105,MATCH($C1421,PRODUCTOS!$A$6:$A$105,0)),IVA_VENTAS)))</f>
        <v/>
      </c>
      <c r="J1421" s="35" t="str">
        <f aca="false">IF($C1421="","",$H1421-$I1421)</f>
        <v/>
      </c>
      <c r="K1421" s="35" t="str">
        <f aca="false">IF($C1421="","",N($E1421)*IFERROR(INDEX(PRODUCTOS!$H$6:$H$105,MATCH($C1421,PRODUCTOS!$A$6:$A$105,0)),0))</f>
        <v/>
      </c>
      <c r="L1421" s="35" t="str">
        <f aca="false">IF($C1421="","",$J1421-$K1421)</f>
        <v/>
      </c>
      <c r="M1421" s="6"/>
      <c r="N1421" s="6"/>
      <c r="O1421" s="46" t="str">
        <f aca="false">IF($A1421="","",DATE(YEAR($A1421),MONTH($A1421),1))</f>
        <v/>
      </c>
    </row>
    <row r="1422" customFormat="false" ht="15" hidden="false" customHeight="false" outlineLevel="0" collapsed="false">
      <c r="A1422" s="44"/>
      <c r="B1422" s="6"/>
      <c r="C1422" s="6"/>
      <c r="D1422" s="8" t="str">
        <f aca="false">IF($C1422="","",IFERROR(INDEX(PRODUCTOS!$B$6:$B$105,MATCH($C1422,PRODUCTOS!$A$6:$A$105,0)),"¿Código?"))</f>
        <v/>
      </c>
      <c r="E1422" s="42"/>
      <c r="F1422" s="35" t="str">
        <f aca="false">IF($C1422="","",IFERROR(INDEX(PRODUCTOS!$D$6:$D$105,MATCH($C1422,PRODUCTOS!$A$6:$A$105,0)),0))</f>
        <v/>
      </c>
      <c r="G1422" s="40"/>
      <c r="H1422" s="35" t="str">
        <f aca="false">IF($C1422="","",N($E1422)*$F1422-N($G1422))</f>
        <v/>
      </c>
      <c r="I1422" s="35" t="str">
        <f aca="false">IF($C1422="","",$H1422-$H1422/(1+IFERROR(INDEX(PRODUCTOS!$E$6:$E$105,MATCH($C1422,PRODUCTOS!$A$6:$A$105,0)),IVA_VENTAS)))</f>
        <v/>
      </c>
      <c r="J1422" s="35" t="str">
        <f aca="false">IF($C1422="","",$H1422-$I1422)</f>
        <v/>
      </c>
      <c r="K1422" s="35" t="str">
        <f aca="false">IF($C1422="","",N($E1422)*IFERROR(INDEX(PRODUCTOS!$H$6:$H$105,MATCH($C1422,PRODUCTOS!$A$6:$A$105,0)),0))</f>
        <v/>
      </c>
      <c r="L1422" s="35" t="str">
        <f aca="false">IF($C1422="","",$J1422-$K1422)</f>
        <v/>
      </c>
      <c r="M1422" s="6"/>
      <c r="N1422" s="6"/>
      <c r="O1422" s="46" t="str">
        <f aca="false">IF($A1422="","",DATE(YEAR($A1422),MONTH($A1422),1))</f>
        <v/>
      </c>
    </row>
    <row r="1423" customFormat="false" ht="15" hidden="false" customHeight="false" outlineLevel="0" collapsed="false">
      <c r="A1423" s="44"/>
      <c r="B1423" s="6"/>
      <c r="C1423" s="6"/>
      <c r="D1423" s="8" t="str">
        <f aca="false">IF($C1423="","",IFERROR(INDEX(PRODUCTOS!$B$6:$B$105,MATCH($C1423,PRODUCTOS!$A$6:$A$105,0)),"¿Código?"))</f>
        <v/>
      </c>
      <c r="E1423" s="42"/>
      <c r="F1423" s="35" t="str">
        <f aca="false">IF($C1423="","",IFERROR(INDEX(PRODUCTOS!$D$6:$D$105,MATCH($C1423,PRODUCTOS!$A$6:$A$105,0)),0))</f>
        <v/>
      </c>
      <c r="G1423" s="40"/>
      <c r="H1423" s="35" t="str">
        <f aca="false">IF($C1423="","",N($E1423)*$F1423-N($G1423))</f>
        <v/>
      </c>
      <c r="I1423" s="35" t="str">
        <f aca="false">IF($C1423="","",$H1423-$H1423/(1+IFERROR(INDEX(PRODUCTOS!$E$6:$E$105,MATCH($C1423,PRODUCTOS!$A$6:$A$105,0)),IVA_VENTAS)))</f>
        <v/>
      </c>
      <c r="J1423" s="35" t="str">
        <f aca="false">IF($C1423="","",$H1423-$I1423)</f>
        <v/>
      </c>
      <c r="K1423" s="35" t="str">
        <f aca="false">IF($C1423="","",N($E1423)*IFERROR(INDEX(PRODUCTOS!$H$6:$H$105,MATCH($C1423,PRODUCTOS!$A$6:$A$105,0)),0))</f>
        <v/>
      </c>
      <c r="L1423" s="35" t="str">
        <f aca="false">IF($C1423="","",$J1423-$K1423)</f>
        <v/>
      </c>
      <c r="M1423" s="6"/>
      <c r="N1423" s="6"/>
      <c r="O1423" s="46" t="str">
        <f aca="false">IF($A1423="","",DATE(YEAR($A1423),MONTH($A1423),1))</f>
        <v/>
      </c>
    </row>
    <row r="1424" customFormat="false" ht="15" hidden="false" customHeight="false" outlineLevel="0" collapsed="false">
      <c r="A1424" s="44"/>
      <c r="B1424" s="6"/>
      <c r="C1424" s="6"/>
      <c r="D1424" s="8" t="str">
        <f aca="false">IF($C1424="","",IFERROR(INDEX(PRODUCTOS!$B$6:$B$105,MATCH($C1424,PRODUCTOS!$A$6:$A$105,0)),"¿Código?"))</f>
        <v/>
      </c>
      <c r="E1424" s="42"/>
      <c r="F1424" s="35" t="str">
        <f aca="false">IF($C1424="","",IFERROR(INDEX(PRODUCTOS!$D$6:$D$105,MATCH($C1424,PRODUCTOS!$A$6:$A$105,0)),0))</f>
        <v/>
      </c>
      <c r="G1424" s="40"/>
      <c r="H1424" s="35" t="str">
        <f aca="false">IF($C1424="","",N($E1424)*$F1424-N($G1424))</f>
        <v/>
      </c>
      <c r="I1424" s="35" t="str">
        <f aca="false">IF($C1424="","",$H1424-$H1424/(1+IFERROR(INDEX(PRODUCTOS!$E$6:$E$105,MATCH($C1424,PRODUCTOS!$A$6:$A$105,0)),IVA_VENTAS)))</f>
        <v/>
      </c>
      <c r="J1424" s="35" t="str">
        <f aca="false">IF($C1424="","",$H1424-$I1424)</f>
        <v/>
      </c>
      <c r="K1424" s="35" t="str">
        <f aca="false">IF($C1424="","",N($E1424)*IFERROR(INDEX(PRODUCTOS!$H$6:$H$105,MATCH($C1424,PRODUCTOS!$A$6:$A$105,0)),0))</f>
        <v/>
      </c>
      <c r="L1424" s="35" t="str">
        <f aca="false">IF($C1424="","",$J1424-$K1424)</f>
        <v/>
      </c>
      <c r="M1424" s="6"/>
      <c r="N1424" s="6"/>
      <c r="O1424" s="46" t="str">
        <f aca="false">IF($A1424="","",DATE(YEAR($A1424),MONTH($A1424),1))</f>
        <v/>
      </c>
    </row>
    <row r="1425" customFormat="false" ht="15" hidden="false" customHeight="false" outlineLevel="0" collapsed="false">
      <c r="A1425" s="44"/>
      <c r="B1425" s="6"/>
      <c r="C1425" s="6"/>
      <c r="D1425" s="8" t="str">
        <f aca="false">IF($C1425="","",IFERROR(INDEX(PRODUCTOS!$B$6:$B$105,MATCH($C1425,PRODUCTOS!$A$6:$A$105,0)),"¿Código?"))</f>
        <v/>
      </c>
      <c r="E1425" s="42"/>
      <c r="F1425" s="35" t="str">
        <f aca="false">IF($C1425="","",IFERROR(INDEX(PRODUCTOS!$D$6:$D$105,MATCH($C1425,PRODUCTOS!$A$6:$A$105,0)),0))</f>
        <v/>
      </c>
      <c r="G1425" s="40"/>
      <c r="H1425" s="35" t="str">
        <f aca="false">IF($C1425="","",N($E1425)*$F1425-N($G1425))</f>
        <v/>
      </c>
      <c r="I1425" s="35" t="str">
        <f aca="false">IF($C1425="","",$H1425-$H1425/(1+IFERROR(INDEX(PRODUCTOS!$E$6:$E$105,MATCH($C1425,PRODUCTOS!$A$6:$A$105,0)),IVA_VENTAS)))</f>
        <v/>
      </c>
      <c r="J1425" s="35" t="str">
        <f aca="false">IF($C1425="","",$H1425-$I1425)</f>
        <v/>
      </c>
      <c r="K1425" s="35" t="str">
        <f aca="false">IF($C1425="","",N($E1425)*IFERROR(INDEX(PRODUCTOS!$H$6:$H$105,MATCH($C1425,PRODUCTOS!$A$6:$A$105,0)),0))</f>
        <v/>
      </c>
      <c r="L1425" s="35" t="str">
        <f aca="false">IF($C1425="","",$J1425-$K1425)</f>
        <v/>
      </c>
      <c r="M1425" s="6"/>
      <c r="N1425" s="6"/>
      <c r="O1425" s="46" t="str">
        <f aca="false">IF($A1425="","",DATE(YEAR($A1425),MONTH($A1425),1))</f>
        <v/>
      </c>
    </row>
    <row r="1426" customFormat="false" ht="15" hidden="false" customHeight="false" outlineLevel="0" collapsed="false">
      <c r="A1426" s="44"/>
      <c r="B1426" s="6"/>
      <c r="C1426" s="6"/>
      <c r="D1426" s="8" t="str">
        <f aca="false">IF($C1426="","",IFERROR(INDEX(PRODUCTOS!$B$6:$B$105,MATCH($C1426,PRODUCTOS!$A$6:$A$105,0)),"¿Código?"))</f>
        <v/>
      </c>
      <c r="E1426" s="42"/>
      <c r="F1426" s="35" t="str">
        <f aca="false">IF($C1426="","",IFERROR(INDEX(PRODUCTOS!$D$6:$D$105,MATCH($C1426,PRODUCTOS!$A$6:$A$105,0)),0))</f>
        <v/>
      </c>
      <c r="G1426" s="40"/>
      <c r="H1426" s="35" t="str">
        <f aca="false">IF($C1426="","",N($E1426)*$F1426-N($G1426))</f>
        <v/>
      </c>
      <c r="I1426" s="35" t="str">
        <f aca="false">IF($C1426="","",$H1426-$H1426/(1+IFERROR(INDEX(PRODUCTOS!$E$6:$E$105,MATCH($C1426,PRODUCTOS!$A$6:$A$105,0)),IVA_VENTAS)))</f>
        <v/>
      </c>
      <c r="J1426" s="35" t="str">
        <f aca="false">IF($C1426="","",$H1426-$I1426)</f>
        <v/>
      </c>
      <c r="K1426" s="35" t="str">
        <f aca="false">IF($C1426="","",N($E1426)*IFERROR(INDEX(PRODUCTOS!$H$6:$H$105,MATCH($C1426,PRODUCTOS!$A$6:$A$105,0)),0))</f>
        <v/>
      </c>
      <c r="L1426" s="35" t="str">
        <f aca="false">IF($C1426="","",$J1426-$K1426)</f>
        <v/>
      </c>
      <c r="M1426" s="6"/>
      <c r="N1426" s="6"/>
      <c r="O1426" s="46" t="str">
        <f aca="false">IF($A1426="","",DATE(YEAR($A1426),MONTH($A1426),1))</f>
        <v/>
      </c>
    </row>
    <row r="1427" customFormat="false" ht="15" hidden="false" customHeight="false" outlineLevel="0" collapsed="false">
      <c r="A1427" s="44"/>
      <c r="B1427" s="6"/>
      <c r="C1427" s="6"/>
      <c r="D1427" s="8" t="str">
        <f aca="false">IF($C1427="","",IFERROR(INDEX(PRODUCTOS!$B$6:$B$105,MATCH($C1427,PRODUCTOS!$A$6:$A$105,0)),"¿Código?"))</f>
        <v/>
      </c>
      <c r="E1427" s="42"/>
      <c r="F1427" s="35" t="str">
        <f aca="false">IF($C1427="","",IFERROR(INDEX(PRODUCTOS!$D$6:$D$105,MATCH($C1427,PRODUCTOS!$A$6:$A$105,0)),0))</f>
        <v/>
      </c>
      <c r="G1427" s="40"/>
      <c r="H1427" s="35" t="str">
        <f aca="false">IF($C1427="","",N($E1427)*$F1427-N($G1427))</f>
        <v/>
      </c>
      <c r="I1427" s="35" t="str">
        <f aca="false">IF($C1427="","",$H1427-$H1427/(1+IFERROR(INDEX(PRODUCTOS!$E$6:$E$105,MATCH($C1427,PRODUCTOS!$A$6:$A$105,0)),IVA_VENTAS)))</f>
        <v/>
      </c>
      <c r="J1427" s="35" t="str">
        <f aca="false">IF($C1427="","",$H1427-$I1427)</f>
        <v/>
      </c>
      <c r="K1427" s="35" t="str">
        <f aca="false">IF($C1427="","",N($E1427)*IFERROR(INDEX(PRODUCTOS!$H$6:$H$105,MATCH($C1427,PRODUCTOS!$A$6:$A$105,0)),0))</f>
        <v/>
      </c>
      <c r="L1427" s="35" t="str">
        <f aca="false">IF($C1427="","",$J1427-$K1427)</f>
        <v/>
      </c>
      <c r="M1427" s="6"/>
      <c r="N1427" s="6"/>
      <c r="O1427" s="46" t="str">
        <f aca="false">IF($A1427="","",DATE(YEAR($A1427),MONTH($A1427),1))</f>
        <v/>
      </c>
    </row>
    <row r="1428" customFormat="false" ht="15" hidden="false" customHeight="false" outlineLevel="0" collapsed="false">
      <c r="A1428" s="44"/>
      <c r="B1428" s="6"/>
      <c r="C1428" s="6"/>
      <c r="D1428" s="8" t="str">
        <f aca="false">IF($C1428="","",IFERROR(INDEX(PRODUCTOS!$B$6:$B$105,MATCH($C1428,PRODUCTOS!$A$6:$A$105,0)),"¿Código?"))</f>
        <v/>
      </c>
      <c r="E1428" s="42"/>
      <c r="F1428" s="35" t="str">
        <f aca="false">IF($C1428="","",IFERROR(INDEX(PRODUCTOS!$D$6:$D$105,MATCH($C1428,PRODUCTOS!$A$6:$A$105,0)),0))</f>
        <v/>
      </c>
      <c r="G1428" s="40"/>
      <c r="H1428" s="35" t="str">
        <f aca="false">IF($C1428="","",N($E1428)*$F1428-N($G1428))</f>
        <v/>
      </c>
      <c r="I1428" s="35" t="str">
        <f aca="false">IF($C1428="","",$H1428-$H1428/(1+IFERROR(INDEX(PRODUCTOS!$E$6:$E$105,MATCH($C1428,PRODUCTOS!$A$6:$A$105,0)),IVA_VENTAS)))</f>
        <v/>
      </c>
      <c r="J1428" s="35" t="str">
        <f aca="false">IF($C1428="","",$H1428-$I1428)</f>
        <v/>
      </c>
      <c r="K1428" s="35" t="str">
        <f aca="false">IF($C1428="","",N($E1428)*IFERROR(INDEX(PRODUCTOS!$H$6:$H$105,MATCH($C1428,PRODUCTOS!$A$6:$A$105,0)),0))</f>
        <v/>
      </c>
      <c r="L1428" s="35" t="str">
        <f aca="false">IF($C1428="","",$J1428-$K1428)</f>
        <v/>
      </c>
      <c r="M1428" s="6"/>
      <c r="N1428" s="6"/>
      <c r="O1428" s="46" t="str">
        <f aca="false">IF($A1428="","",DATE(YEAR($A1428),MONTH($A1428),1))</f>
        <v/>
      </c>
    </row>
    <row r="1429" customFormat="false" ht="15" hidden="false" customHeight="false" outlineLevel="0" collapsed="false">
      <c r="A1429" s="44"/>
      <c r="B1429" s="6"/>
      <c r="C1429" s="6"/>
      <c r="D1429" s="8" t="str">
        <f aca="false">IF($C1429="","",IFERROR(INDEX(PRODUCTOS!$B$6:$B$105,MATCH($C1429,PRODUCTOS!$A$6:$A$105,0)),"¿Código?"))</f>
        <v/>
      </c>
      <c r="E1429" s="42"/>
      <c r="F1429" s="35" t="str">
        <f aca="false">IF($C1429="","",IFERROR(INDEX(PRODUCTOS!$D$6:$D$105,MATCH($C1429,PRODUCTOS!$A$6:$A$105,0)),0))</f>
        <v/>
      </c>
      <c r="G1429" s="40"/>
      <c r="H1429" s="35" t="str">
        <f aca="false">IF($C1429="","",N($E1429)*$F1429-N($G1429))</f>
        <v/>
      </c>
      <c r="I1429" s="35" t="str">
        <f aca="false">IF($C1429="","",$H1429-$H1429/(1+IFERROR(INDEX(PRODUCTOS!$E$6:$E$105,MATCH($C1429,PRODUCTOS!$A$6:$A$105,0)),IVA_VENTAS)))</f>
        <v/>
      </c>
      <c r="J1429" s="35" t="str">
        <f aca="false">IF($C1429="","",$H1429-$I1429)</f>
        <v/>
      </c>
      <c r="K1429" s="35" t="str">
        <f aca="false">IF($C1429="","",N($E1429)*IFERROR(INDEX(PRODUCTOS!$H$6:$H$105,MATCH($C1429,PRODUCTOS!$A$6:$A$105,0)),0))</f>
        <v/>
      </c>
      <c r="L1429" s="35" t="str">
        <f aca="false">IF($C1429="","",$J1429-$K1429)</f>
        <v/>
      </c>
      <c r="M1429" s="6"/>
      <c r="N1429" s="6"/>
      <c r="O1429" s="46" t="str">
        <f aca="false">IF($A1429="","",DATE(YEAR($A1429),MONTH($A1429),1))</f>
        <v/>
      </c>
    </row>
    <row r="1430" customFormat="false" ht="15" hidden="false" customHeight="false" outlineLevel="0" collapsed="false">
      <c r="A1430" s="44"/>
      <c r="B1430" s="6"/>
      <c r="C1430" s="6"/>
      <c r="D1430" s="8" t="str">
        <f aca="false">IF($C1430="","",IFERROR(INDEX(PRODUCTOS!$B$6:$B$105,MATCH($C1430,PRODUCTOS!$A$6:$A$105,0)),"¿Código?"))</f>
        <v/>
      </c>
      <c r="E1430" s="42"/>
      <c r="F1430" s="35" t="str">
        <f aca="false">IF($C1430="","",IFERROR(INDEX(PRODUCTOS!$D$6:$D$105,MATCH($C1430,PRODUCTOS!$A$6:$A$105,0)),0))</f>
        <v/>
      </c>
      <c r="G1430" s="40"/>
      <c r="H1430" s="35" t="str">
        <f aca="false">IF($C1430="","",N($E1430)*$F1430-N($G1430))</f>
        <v/>
      </c>
      <c r="I1430" s="35" t="str">
        <f aca="false">IF($C1430="","",$H1430-$H1430/(1+IFERROR(INDEX(PRODUCTOS!$E$6:$E$105,MATCH($C1430,PRODUCTOS!$A$6:$A$105,0)),IVA_VENTAS)))</f>
        <v/>
      </c>
      <c r="J1430" s="35" t="str">
        <f aca="false">IF($C1430="","",$H1430-$I1430)</f>
        <v/>
      </c>
      <c r="K1430" s="35" t="str">
        <f aca="false">IF($C1430="","",N($E1430)*IFERROR(INDEX(PRODUCTOS!$H$6:$H$105,MATCH($C1430,PRODUCTOS!$A$6:$A$105,0)),0))</f>
        <v/>
      </c>
      <c r="L1430" s="35" t="str">
        <f aca="false">IF($C1430="","",$J1430-$K1430)</f>
        <v/>
      </c>
      <c r="M1430" s="6"/>
      <c r="N1430" s="6"/>
      <c r="O1430" s="46" t="str">
        <f aca="false">IF($A1430="","",DATE(YEAR($A1430),MONTH($A1430),1))</f>
        <v/>
      </c>
    </row>
    <row r="1431" customFormat="false" ht="15" hidden="false" customHeight="false" outlineLevel="0" collapsed="false">
      <c r="A1431" s="44"/>
      <c r="B1431" s="6"/>
      <c r="C1431" s="6"/>
      <c r="D1431" s="8" t="str">
        <f aca="false">IF($C1431="","",IFERROR(INDEX(PRODUCTOS!$B$6:$B$105,MATCH($C1431,PRODUCTOS!$A$6:$A$105,0)),"¿Código?"))</f>
        <v/>
      </c>
      <c r="E1431" s="42"/>
      <c r="F1431" s="35" t="str">
        <f aca="false">IF($C1431="","",IFERROR(INDEX(PRODUCTOS!$D$6:$D$105,MATCH($C1431,PRODUCTOS!$A$6:$A$105,0)),0))</f>
        <v/>
      </c>
      <c r="G1431" s="40"/>
      <c r="H1431" s="35" t="str">
        <f aca="false">IF($C1431="","",N($E1431)*$F1431-N($G1431))</f>
        <v/>
      </c>
      <c r="I1431" s="35" t="str">
        <f aca="false">IF($C1431="","",$H1431-$H1431/(1+IFERROR(INDEX(PRODUCTOS!$E$6:$E$105,MATCH($C1431,PRODUCTOS!$A$6:$A$105,0)),IVA_VENTAS)))</f>
        <v/>
      </c>
      <c r="J1431" s="35" t="str">
        <f aca="false">IF($C1431="","",$H1431-$I1431)</f>
        <v/>
      </c>
      <c r="K1431" s="35" t="str">
        <f aca="false">IF($C1431="","",N($E1431)*IFERROR(INDEX(PRODUCTOS!$H$6:$H$105,MATCH($C1431,PRODUCTOS!$A$6:$A$105,0)),0))</f>
        <v/>
      </c>
      <c r="L1431" s="35" t="str">
        <f aca="false">IF($C1431="","",$J1431-$K1431)</f>
        <v/>
      </c>
      <c r="M1431" s="6"/>
      <c r="N1431" s="6"/>
      <c r="O1431" s="46" t="str">
        <f aca="false">IF($A1431="","",DATE(YEAR($A1431),MONTH($A1431),1))</f>
        <v/>
      </c>
    </row>
    <row r="1432" customFormat="false" ht="15" hidden="false" customHeight="false" outlineLevel="0" collapsed="false">
      <c r="A1432" s="44"/>
      <c r="B1432" s="6"/>
      <c r="C1432" s="6"/>
      <c r="D1432" s="8" t="str">
        <f aca="false">IF($C1432="","",IFERROR(INDEX(PRODUCTOS!$B$6:$B$105,MATCH($C1432,PRODUCTOS!$A$6:$A$105,0)),"¿Código?"))</f>
        <v/>
      </c>
      <c r="E1432" s="42"/>
      <c r="F1432" s="35" t="str">
        <f aca="false">IF($C1432="","",IFERROR(INDEX(PRODUCTOS!$D$6:$D$105,MATCH($C1432,PRODUCTOS!$A$6:$A$105,0)),0))</f>
        <v/>
      </c>
      <c r="G1432" s="40"/>
      <c r="H1432" s="35" t="str">
        <f aca="false">IF($C1432="","",N($E1432)*$F1432-N($G1432))</f>
        <v/>
      </c>
      <c r="I1432" s="35" t="str">
        <f aca="false">IF($C1432="","",$H1432-$H1432/(1+IFERROR(INDEX(PRODUCTOS!$E$6:$E$105,MATCH($C1432,PRODUCTOS!$A$6:$A$105,0)),IVA_VENTAS)))</f>
        <v/>
      </c>
      <c r="J1432" s="35" t="str">
        <f aca="false">IF($C1432="","",$H1432-$I1432)</f>
        <v/>
      </c>
      <c r="K1432" s="35" t="str">
        <f aca="false">IF($C1432="","",N($E1432)*IFERROR(INDEX(PRODUCTOS!$H$6:$H$105,MATCH($C1432,PRODUCTOS!$A$6:$A$105,0)),0))</f>
        <v/>
      </c>
      <c r="L1432" s="35" t="str">
        <f aca="false">IF($C1432="","",$J1432-$K1432)</f>
        <v/>
      </c>
      <c r="M1432" s="6"/>
      <c r="N1432" s="6"/>
      <c r="O1432" s="46" t="str">
        <f aca="false">IF($A1432="","",DATE(YEAR($A1432),MONTH($A1432),1))</f>
        <v/>
      </c>
    </row>
    <row r="1433" customFormat="false" ht="15" hidden="false" customHeight="false" outlineLevel="0" collapsed="false">
      <c r="A1433" s="44"/>
      <c r="B1433" s="6"/>
      <c r="C1433" s="6"/>
      <c r="D1433" s="8" t="str">
        <f aca="false">IF($C1433="","",IFERROR(INDEX(PRODUCTOS!$B$6:$B$105,MATCH($C1433,PRODUCTOS!$A$6:$A$105,0)),"¿Código?"))</f>
        <v/>
      </c>
      <c r="E1433" s="42"/>
      <c r="F1433" s="35" t="str">
        <f aca="false">IF($C1433="","",IFERROR(INDEX(PRODUCTOS!$D$6:$D$105,MATCH($C1433,PRODUCTOS!$A$6:$A$105,0)),0))</f>
        <v/>
      </c>
      <c r="G1433" s="40"/>
      <c r="H1433" s="35" t="str">
        <f aca="false">IF($C1433="","",N($E1433)*$F1433-N($G1433))</f>
        <v/>
      </c>
      <c r="I1433" s="35" t="str">
        <f aca="false">IF($C1433="","",$H1433-$H1433/(1+IFERROR(INDEX(PRODUCTOS!$E$6:$E$105,MATCH($C1433,PRODUCTOS!$A$6:$A$105,0)),IVA_VENTAS)))</f>
        <v/>
      </c>
      <c r="J1433" s="35" t="str">
        <f aca="false">IF($C1433="","",$H1433-$I1433)</f>
        <v/>
      </c>
      <c r="K1433" s="35" t="str">
        <f aca="false">IF($C1433="","",N($E1433)*IFERROR(INDEX(PRODUCTOS!$H$6:$H$105,MATCH($C1433,PRODUCTOS!$A$6:$A$105,0)),0))</f>
        <v/>
      </c>
      <c r="L1433" s="35" t="str">
        <f aca="false">IF($C1433="","",$J1433-$K1433)</f>
        <v/>
      </c>
      <c r="M1433" s="6"/>
      <c r="N1433" s="6"/>
      <c r="O1433" s="46" t="str">
        <f aca="false">IF($A1433="","",DATE(YEAR($A1433),MONTH($A1433),1))</f>
        <v/>
      </c>
    </row>
    <row r="1434" customFormat="false" ht="15" hidden="false" customHeight="false" outlineLevel="0" collapsed="false">
      <c r="A1434" s="44"/>
      <c r="B1434" s="6"/>
      <c r="C1434" s="6"/>
      <c r="D1434" s="8" t="str">
        <f aca="false">IF($C1434="","",IFERROR(INDEX(PRODUCTOS!$B$6:$B$105,MATCH($C1434,PRODUCTOS!$A$6:$A$105,0)),"¿Código?"))</f>
        <v/>
      </c>
      <c r="E1434" s="42"/>
      <c r="F1434" s="35" t="str">
        <f aca="false">IF($C1434="","",IFERROR(INDEX(PRODUCTOS!$D$6:$D$105,MATCH($C1434,PRODUCTOS!$A$6:$A$105,0)),0))</f>
        <v/>
      </c>
      <c r="G1434" s="40"/>
      <c r="H1434" s="35" t="str">
        <f aca="false">IF($C1434="","",N($E1434)*$F1434-N($G1434))</f>
        <v/>
      </c>
      <c r="I1434" s="35" t="str">
        <f aca="false">IF($C1434="","",$H1434-$H1434/(1+IFERROR(INDEX(PRODUCTOS!$E$6:$E$105,MATCH($C1434,PRODUCTOS!$A$6:$A$105,0)),IVA_VENTAS)))</f>
        <v/>
      </c>
      <c r="J1434" s="35" t="str">
        <f aca="false">IF($C1434="","",$H1434-$I1434)</f>
        <v/>
      </c>
      <c r="K1434" s="35" t="str">
        <f aca="false">IF($C1434="","",N($E1434)*IFERROR(INDEX(PRODUCTOS!$H$6:$H$105,MATCH($C1434,PRODUCTOS!$A$6:$A$105,0)),0))</f>
        <v/>
      </c>
      <c r="L1434" s="35" t="str">
        <f aca="false">IF($C1434="","",$J1434-$K1434)</f>
        <v/>
      </c>
      <c r="M1434" s="6"/>
      <c r="N1434" s="6"/>
      <c r="O1434" s="46" t="str">
        <f aca="false">IF($A1434="","",DATE(YEAR($A1434),MONTH($A1434),1))</f>
        <v/>
      </c>
    </row>
    <row r="1435" customFormat="false" ht="15" hidden="false" customHeight="false" outlineLevel="0" collapsed="false">
      <c r="A1435" s="44"/>
      <c r="B1435" s="6"/>
      <c r="C1435" s="6"/>
      <c r="D1435" s="8" t="str">
        <f aca="false">IF($C1435="","",IFERROR(INDEX(PRODUCTOS!$B$6:$B$105,MATCH($C1435,PRODUCTOS!$A$6:$A$105,0)),"¿Código?"))</f>
        <v/>
      </c>
      <c r="E1435" s="42"/>
      <c r="F1435" s="35" t="str">
        <f aca="false">IF($C1435="","",IFERROR(INDEX(PRODUCTOS!$D$6:$D$105,MATCH($C1435,PRODUCTOS!$A$6:$A$105,0)),0))</f>
        <v/>
      </c>
      <c r="G1435" s="40"/>
      <c r="H1435" s="35" t="str">
        <f aca="false">IF($C1435="","",N($E1435)*$F1435-N($G1435))</f>
        <v/>
      </c>
      <c r="I1435" s="35" t="str">
        <f aca="false">IF($C1435="","",$H1435-$H1435/(1+IFERROR(INDEX(PRODUCTOS!$E$6:$E$105,MATCH($C1435,PRODUCTOS!$A$6:$A$105,0)),IVA_VENTAS)))</f>
        <v/>
      </c>
      <c r="J1435" s="35" t="str">
        <f aca="false">IF($C1435="","",$H1435-$I1435)</f>
        <v/>
      </c>
      <c r="K1435" s="35" t="str">
        <f aca="false">IF($C1435="","",N($E1435)*IFERROR(INDEX(PRODUCTOS!$H$6:$H$105,MATCH($C1435,PRODUCTOS!$A$6:$A$105,0)),0))</f>
        <v/>
      </c>
      <c r="L1435" s="35" t="str">
        <f aca="false">IF($C1435="","",$J1435-$K1435)</f>
        <v/>
      </c>
      <c r="M1435" s="6"/>
      <c r="N1435" s="6"/>
      <c r="O1435" s="46" t="str">
        <f aca="false">IF($A1435="","",DATE(YEAR($A1435),MONTH($A1435),1))</f>
        <v/>
      </c>
    </row>
    <row r="1436" customFormat="false" ht="15" hidden="false" customHeight="false" outlineLevel="0" collapsed="false">
      <c r="A1436" s="44"/>
      <c r="B1436" s="6"/>
      <c r="C1436" s="6"/>
      <c r="D1436" s="8" t="str">
        <f aca="false">IF($C1436="","",IFERROR(INDEX(PRODUCTOS!$B$6:$B$105,MATCH($C1436,PRODUCTOS!$A$6:$A$105,0)),"¿Código?"))</f>
        <v/>
      </c>
      <c r="E1436" s="42"/>
      <c r="F1436" s="35" t="str">
        <f aca="false">IF($C1436="","",IFERROR(INDEX(PRODUCTOS!$D$6:$D$105,MATCH($C1436,PRODUCTOS!$A$6:$A$105,0)),0))</f>
        <v/>
      </c>
      <c r="G1436" s="40"/>
      <c r="H1436" s="35" t="str">
        <f aca="false">IF($C1436="","",N($E1436)*$F1436-N($G1436))</f>
        <v/>
      </c>
      <c r="I1436" s="35" t="str">
        <f aca="false">IF($C1436="","",$H1436-$H1436/(1+IFERROR(INDEX(PRODUCTOS!$E$6:$E$105,MATCH($C1436,PRODUCTOS!$A$6:$A$105,0)),IVA_VENTAS)))</f>
        <v/>
      </c>
      <c r="J1436" s="35" t="str">
        <f aca="false">IF($C1436="","",$H1436-$I1436)</f>
        <v/>
      </c>
      <c r="K1436" s="35" t="str">
        <f aca="false">IF($C1436="","",N($E1436)*IFERROR(INDEX(PRODUCTOS!$H$6:$H$105,MATCH($C1436,PRODUCTOS!$A$6:$A$105,0)),0))</f>
        <v/>
      </c>
      <c r="L1436" s="35" t="str">
        <f aca="false">IF($C1436="","",$J1436-$K1436)</f>
        <v/>
      </c>
      <c r="M1436" s="6"/>
      <c r="N1436" s="6"/>
      <c r="O1436" s="46" t="str">
        <f aca="false">IF($A1436="","",DATE(YEAR($A1436),MONTH($A1436),1))</f>
        <v/>
      </c>
    </row>
    <row r="1437" customFormat="false" ht="15" hidden="false" customHeight="false" outlineLevel="0" collapsed="false">
      <c r="A1437" s="44"/>
      <c r="B1437" s="6"/>
      <c r="C1437" s="6"/>
      <c r="D1437" s="8" t="str">
        <f aca="false">IF($C1437="","",IFERROR(INDEX(PRODUCTOS!$B$6:$B$105,MATCH($C1437,PRODUCTOS!$A$6:$A$105,0)),"¿Código?"))</f>
        <v/>
      </c>
      <c r="E1437" s="42"/>
      <c r="F1437" s="35" t="str">
        <f aca="false">IF($C1437="","",IFERROR(INDEX(PRODUCTOS!$D$6:$D$105,MATCH($C1437,PRODUCTOS!$A$6:$A$105,0)),0))</f>
        <v/>
      </c>
      <c r="G1437" s="40"/>
      <c r="H1437" s="35" t="str">
        <f aca="false">IF($C1437="","",N($E1437)*$F1437-N($G1437))</f>
        <v/>
      </c>
      <c r="I1437" s="35" t="str">
        <f aca="false">IF($C1437="","",$H1437-$H1437/(1+IFERROR(INDEX(PRODUCTOS!$E$6:$E$105,MATCH($C1437,PRODUCTOS!$A$6:$A$105,0)),IVA_VENTAS)))</f>
        <v/>
      </c>
      <c r="J1437" s="35" t="str">
        <f aca="false">IF($C1437="","",$H1437-$I1437)</f>
        <v/>
      </c>
      <c r="K1437" s="35" t="str">
        <f aca="false">IF($C1437="","",N($E1437)*IFERROR(INDEX(PRODUCTOS!$H$6:$H$105,MATCH($C1437,PRODUCTOS!$A$6:$A$105,0)),0))</f>
        <v/>
      </c>
      <c r="L1437" s="35" t="str">
        <f aca="false">IF($C1437="","",$J1437-$K1437)</f>
        <v/>
      </c>
      <c r="M1437" s="6"/>
      <c r="N1437" s="6"/>
      <c r="O1437" s="46" t="str">
        <f aca="false">IF($A1437="","",DATE(YEAR($A1437),MONTH($A1437),1))</f>
        <v/>
      </c>
    </row>
    <row r="1438" customFormat="false" ht="15" hidden="false" customHeight="false" outlineLevel="0" collapsed="false">
      <c r="A1438" s="44"/>
      <c r="B1438" s="6"/>
      <c r="C1438" s="6"/>
      <c r="D1438" s="8" t="str">
        <f aca="false">IF($C1438="","",IFERROR(INDEX(PRODUCTOS!$B$6:$B$105,MATCH($C1438,PRODUCTOS!$A$6:$A$105,0)),"¿Código?"))</f>
        <v/>
      </c>
      <c r="E1438" s="42"/>
      <c r="F1438" s="35" t="str">
        <f aca="false">IF($C1438="","",IFERROR(INDEX(PRODUCTOS!$D$6:$D$105,MATCH($C1438,PRODUCTOS!$A$6:$A$105,0)),0))</f>
        <v/>
      </c>
      <c r="G1438" s="40"/>
      <c r="H1438" s="35" t="str">
        <f aca="false">IF($C1438="","",N($E1438)*$F1438-N($G1438))</f>
        <v/>
      </c>
      <c r="I1438" s="35" t="str">
        <f aca="false">IF($C1438="","",$H1438-$H1438/(1+IFERROR(INDEX(PRODUCTOS!$E$6:$E$105,MATCH($C1438,PRODUCTOS!$A$6:$A$105,0)),IVA_VENTAS)))</f>
        <v/>
      </c>
      <c r="J1438" s="35" t="str">
        <f aca="false">IF($C1438="","",$H1438-$I1438)</f>
        <v/>
      </c>
      <c r="K1438" s="35" t="str">
        <f aca="false">IF($C1438="","",N($E1438)*IFERROR(INDEX(PRODUCTOS!$H$6:$H$105,MATCH($C1438,PRODUCTOS!$A$6:$A$105,0)),0))</f>
        <v/>
      </c>
      <c r="L1438" s="35" t="str">
        <f aca="false">IF($C1438="","",$J1438-$K1438)</f>
        <v/>
      </c>
      <c r="M1438" s="6"/>
      <c r="N1438" s="6"/>
      <c r="O1438" s="46" t="str">
        <f aca="false">IF($A1438="","",DATE(YEAR($A1438),MONTH($A1438),1))</f>
        <v/>
      </c>
    </row>
    <row r="1439" customFormat="false" ht="15" hidden="false" customHeight="false" outlineLevel="0" collapsed="false">
      <c r="A1439" s="44"/>
      <c r="B1439" s="6"/>
      <c r="C1439" s="6"/>
      <c r="D1439" s="8" t="str">
        <f aca="false">IF($C1439="","",IFERROR(INDEX(PRODUCTOS!$B$6:$B$105,MATCH($C1439,PRODUCTOS!$A$6:$A$105,0)),"¿Código?"))</f>
        <v/>
      </c>
      <c r="E1439" s="42"/>
      <c r="F1439" s="35" t="str">
        <f aca="false">IF($C1439="","",IFERROR(INDEX(PRODUCTOS!$D$6:$D$105,MATCH($C1439,PRODUCTOS!$A$6:$A$105,0)),0))</f>
        <v/>
      </c>
      <c r="G1439" s="40"/>
      <c r="H1439" s="35" t="str">
        <f aca="false">IF($C1439="","",N($E1439)*$F1439-N($G1439))</f>
        <v/>
      </c>
      <c r="I1439" s="35" t="str">
        <f aca="false">IF($C1439="","",$H1439-$H1439/(1+IFERROR(INDEX(PRODUCTOS!$E$6:$E$105,MATCH($C1439,PRODUCTOS!$A$6:$A$105,0)),IVA_VENTAS)))</f>
        <v/>
      </c>
      <c r="J1439" s="35" t="str">
        <f aca="false">IF($C1439="","",$H1439-$I1439)</f>
        <v/>
      </c>
      <c r="K1439" s="35" t="str">
        <f aca="false">IF($C1439="","",N($E1439)*IFERROR(INDEX(PRODUCTOS!$H$6:$H$105,MATCH($C1439,PRODUCTOS!$A$6:$A$105,0)),0))</f>
        <v/>
      </c>
      <c r="L1439" s="35" t="str">
        <f aca="false">IF($C1439="","",$J1439-$K1439)</f>
        <v/>
      </c>
      <c r="M1439" s="6"/>
      <c r="N1439" s="6"/>
      <c r="O1439" s="46" t="str">
        <f aca="false">IF($A1439="","",DATE(YEAR($A1439),MONTH($A1439),1))</f>
        <v/>
      </c>
    </row>
    <row r="1440" customFormat="false" ht="15" hidden="false" customHeight="false" outlineLevel="0" collapsed="false">
      <c r="A1440" s="44"/>
      <c r="B1440" s="6"/>
      <c r="C1440" s="6"/>
      <c r="D1440" s="8" t="str">
        <f aca="false">IF($C1440="","",IFERROR(INDEX(PRODUCTOS!$B$6:$B$105,MATCH($C1440,PRODUCTOS!$A$6:$A$105,0)),"¿Código?"))</f>
        <v/>
      </c>
      <c r="E1440" s="42"/>
      <c r="F1440" s="35" t="str">
        <f aca="false">IF($C1440="","",IFERROR(INDEX(PRODUCTOS!$D$6:$D$105,MATCH($C1440,PRODUCTOS!$A$6:$A$105,0)),0))</f>
        <v/>
      </c>
      <c r="G1440" s="40"/>
      <c r="H1440" s="35" t="str">
        <f aca="false">IF($C1440="","",N($E1440)*$F1440-N($G1440))</f>
        <v/>
      </c>
      <c r="I1440" s="35" t="str">
        <f aca="false">IF($C1440="","",$H1440-$H1440/(1+IFERROR(INDEX(PRODUCTOS!$E$6:$E$105,MATCH($C1440,PRODUCTOS!$A$6:$A$105,0)),IVA_VENTAS)))</f>
        <v/>
      </c>
      <c r="J1440" s="35" t="str">
        <f aca="false">IF($C1440="","",$H1440-$I1440)</f>
        <v/>
      </c>
      <c r="K1440" s="35" t="str">
        <f aca="false">IF($C1440="","",N($E1440)*IFERROR(INDEX(PRODUCTOS!$H$6:$H$105,MATCH($C1440,PRODUCTOS!$A$6:$A$105,0)),0))</f>
        <v/>
      </c>
      <c r="L1440" s="35" t="str">
        <f aca="false">IF($C1440="","",$J1440-$K1440)</f>
        <v/>
      </c>
      <c r="M1440" s="6"/>
      <c r="N1440" s="6"/>
      <c r="O1440" s="46" t="str">
        <f aca="false">IF($A1440="","",DATE(YEAR($A1440),MONTH($A1440),1))</f>
        <v/>
      </c>
    </row>
    <row r="1441" customFormat="false" ht="15" hidden="false" customHeight="false" outlineLevel="0" collapsed="false">
      <c r="A1441" s="44"/>
      <c r="B1441" s="6"/>
      <c r="C1441" s="6"/>
      <c r="D1441" s="8" t="str">
        <f aca="false">IF($C1441="","",IFERROR(INDEX(PRODUCTOS!$B$6:$B$105,MATCH($C1441,PRODUCTOS!$A$6:$A$105,0)),"¿Código?"))</f>
        <v/>
      </c>
      <c r="E1441" s="42"/>
      <c r="F1441" s="35" t="str">
        <f aca="false">IF($C1441="","",IFERROR(INDEX(PRODUCTOS!$D$6:$D$105,MATCH($C1441,PRODUCTOS!$A$6:$A$105,0)),0))</f>
        <v/>
      </c>
      <c r="G1441" s="40"/>
      <c r="H1441" s="35" t="str">
        <f aca="false">IF($C1441="","",N($E1441)*$F1441-N($G1441))</f>
        <v/>
      </c>
      <c r="I1441" s="35" t="str">
        <f aca="false">IF($C1441="","",$H1441-$H1441/(1+IFERROR(INDEX(PRODUCTOS!$E$6:$E$105,MATCH($C1441,PRODUCTOS!$A$6:$A$105,0)),IVA_VENTAS)))</f>
        <v/>
      </c>
      <c r="J1441" s="35" t="str">
        <f aca="false">IF($C1441="","",$H1441-$I1441)</f>
        <v/>
      </c>
      <c r="K1441" s="35" t="str">
        <f aca="false">IF($C1441="","",N($E1441)*IFERROR(INDEX(PRODUCTOS!$H$6:$H$105,MATCH($C1441,PRODUCTOS!$A$6:$A$105,0)),0))</f>
        <v/>
      </c>
      <c r="L1441" s="35" t="str">
        <f aca="false">IF($C1441="","",$J1441-$K1441)</f>
        <v/>
      </c>
      <c r="M1441" s="6"/>
      <c r="N1441" s="6"/>
      <c r="O1441" s="46" t="str">
        <f aca="false">IF($A1441="","",DATE(YEAR($A1441),MONTH($A1441),1))</f>
        <v/>
      </c>
    </row>
    <row r="1442" customFormat="false" ht="15" hidden="false" customHeight="false" outlineLevel="0" collapsed="false">
      <c r="A1442" s="44"/>
      <c r="B1442" s="6"/>
      <c r="C1442" s="6"/>
      <c r="D1442" s="8" t="str">
        <f aca="false">IF($C1442="","",IFERROR(INDEX(PRODUCTOS!$B$6:$B$105,MATCH($C1442,PRODUCTOS!$A$6:$A$105,0)),"¿Código?"))</f>
        <v/>
      </c>
      <c r="E1442" s="42"/>
      <c r="F1442" s="35" t="str">
        <f aca="false">IF($C1442="","",IFERROR(INDEX(PRODUCTOS!$D$6:$D$105,MATCH($C1442,PRODUCTOS!$A$6:$A$105,0)),0))</f>
        <v/>
      </c>
      <c r="G1442" s="40"/>
      <c r="H1442" s="35" t="str">
        <f aca="false">IF($C1442="","",N($E1442)*$F1442-N($G1442))</f>
        <v/>
      </c>
      <c r="I1442" s="35" t="str">
        <f aca="false">IF($C1442="","",$H1442-$H1442/(1+IFERROR(INDEX(PRODUCTOS!$E$6:$E$105,MATCH($C1442,PRODUCTOS!$A$6:$A$105,0)),IVA_VENTAS)))</f>
        <v/>
      </c>
      <c r="J1442" s="35" t="str">
        <f aca="false">IF($C1442="","",$H1442-$I1442)</f>
        <v/>
      </c>
      <c r="K1442" s="35" t="str">
        <f aca="false">IF($C1442="","",N($E1442)*IFERROR(INDEX(PRODUCTOS!$H$6:$H$105,MATCH($C1442,PRODUCTOS!$A$6:$A$105,0)),0))</f>
        <v/>
      </c>
      <c r="L1442" s="35" t="str">
        <f aca="false">IF($C1442="","",$J1442-$K1442)</f>
        <v/>
      </c>
      <c r="M1442" s="6"/>
      <c r="N1442" s="6"/>
      <c r="O1442" s="46" t="str">
        <f aca="false">IF($A1442="","",DATE(YEAR($A1442),MONTH($A1442),1))</f>
        <v/>
      </c>
    </row>
    <row r="1443" customFormat="false" ht="15" hidden="false" customHeight="false" outlineLevel="0" collapsed="false">
      <c r="A1443" s="44"/>
      <c r="B1443" s="6"/>
      <c r="C1443" s="6"/>
      <c r="D1443" s="8" t="str">
        <f aca="false">IF($C1443="","",IFERROR(INDEX(PRODUCTOS!$B$6:$B$105,MATCH($C1443,PRODUCTOS!$A$6:$A$105,0)),"¿Código?"))</f>
        <v/>
      </c>
      <c r="E1443" s="42"/>
      <c r="F1443" s="35" t="str">
        <f aca="false">IF($C1443="","",IFERROR(INDEX(PRODUCTOS!$D$6:$D$105,MATCH($C1443,PRODUCTOS!$A$6:$A$105,0)),0))</f>
        <v/>
      </c>
      <c r="G1443" s="40"/>
      <c r="H1443" s="35" t="str">
        <f aca="false">IF($C1443="","",N($E1443)*$F1443-N($G1443))</f>
        <v/>
      </c>
      <c r="I1443" s="35" t="str">
        <f aca="false">IF($C1443="","",$H1443-$H1443/(1+IFERROR(INDEX(PRODUCTOS!$E$6:$E$105,MATCH($C1443,PRODUCTOS!$A$6:$A$105,0)),IVA_VENTAS)))</f>
        <v/>
      </c>
      <c r="J1443" s="35" t="str">
        <f aca="false">IF($C1443="","",$H1443-$I1443)</f>
        <v/>
      </c>
      <c r="K1443" s="35" t="str">
        <f aca="false">IF($C1443="","",N($E1443)*IFERROR(INDEX(PRODUCTOS!$H$6:$H$105,MATCH($C1443,PRODUCTOS!$A$6:$A$105,0)),0))</f>
        <v/>
      </c>
      <c r="L1443" s="35" t="str">
        <f aca="false">IF($C1443="","",$J1443-$K1443)</f>
        <v/>
      </c>
      <c r="M1443" s="6"/>
      <c r="N1443" s="6"/>
      <c r="O1443" s="46" t="str">
        <f aca="false">IF($A1443="","",DATE(YEAR($A1443),MONTH($A1443),1))</f>
        <v/>
      </c>
    </row>
    <row r="1444" customFormat="false" ht="15" hidden="false" customHeight="false" outlineLevel="0" collapsed="false">
      <c r="A1444" s="44"/>
      <c r="B1444" s="6"/>
      <c r="C1444" s="6"/>
      <c r="D1444" s="8" t="str">
        <f aca="false">IF($C1444="","",IFERROR(INDEX(PRODUCTOS!$B$6:$B$105,MATCH($C1444,PRODUCTOS!$A$6:$A$105,0)),"¿Código?"))</f>
        <v/>
      </c>
      <c r="E1444" s="42"/>
      <c r="F1444" s="35" t="str">
        <f aca="false">IF($C1444="","",IFERROR(INDEX(PRODUCTOS!$D$6:$D$105,MATCH($C1444,PRODUCTOS!$A$6:$A$105,0)),0))</f>
        <v/>
      </c>
      <c r="G1444" s="40"/>
      <c r="H1444" s="35" t="str">
        <f aca="false">IF($C1444="","",N($E1444)*$F1444-N($G1444))</f>
        <v/>
      </c>
      <c r="I1444" s="35" t="str">
        <f aca="false">IF($C1444="","",$H1444-$H1444/(1+IFERROR(INDEX(PRODUCTOS!$E$6:$E$105,MATCH($C1444,PRODUCTOS!$A$6:$A$105,0)),IVA_VENTAS)))</f>
        <v/>
      </c>
      <c r="J1444" s="35" t="str">
        <f aca="false">IF($C1444="","",$H1444-$I1444)</f>
        <v/>
      </c>
      <c r="K1444" s="35" t="str">
        <f aca="false">IF($C1444="","",N($E1444)*IFERROR(INDEX(PRODUCTOS!$H$6:$H$105,MATCH($C1444,PRODUCTOS!$A$6:$A$105,0)),0))</f>
        <v/>
      </c>
      <c r="L1444" s="35" t="str">
        <f aca="false">IF($C1444="","",$J1444-$K1444)</f>
        <v/>
      </c>
      <c r="M1444" s="6"/>
      <c r="N1444" s="6"/>
      <c r="O1444" s="46" t="str">
        <f aca="false">IF($A1444="","",DATE(YEAR($A1444),MONTH($A1444),1))</f>
        <v/>
      </c>
    </row>
    <row r="1445" customFormat="false" ht="15" hidden="false" customHeight="false" outlineLevel="0" collapsed="false">
      <c r="A1445" s="44"/>
      <c r="B1445" s="6"/>
      <c r="C1445" s="6"/>
      <c r="D1445" s="8" t="str">
        <f aca="false">IF($C1445="","",IFERROR(INDEX(PRODUCTOS!$B$6:$B$105,MATCH($C1445,PRODUCTOS!$A$6:$A$105,0)),"¿Código?"))</f>
        <v/>
      </c>
      <c r="E1445" s="42"/>
      <c r="F1445" s="35" t="str">
        <f aca="false">IF($C1445="","",IFERROR(INDEX(PRODUCTOS!$D$6:$D$105,MATCH($C1445,PRODUCTOS!$A$6:$A$105,0)),0))</f>
        <v/>
      </c>
      <c r="G1445" s="40"/>
      <c r="H1445" s="35" t="str">
        <f aca="false">IF($C1445="","",N($E1445)*$F1445-N($G1445))</f>
        <v/>
      </c>
      <c r="I1445" s="35" t="str">
        <f aca="false">IF($C1445="","",$H1445-$H1445/(1+IFERROR(INDEX(PRODUCTOS!$E$6:$E$105,MATCH($C1445,PRODUCTOS!$A$6:$A$105,0)),IVA_VENTAS)))</f>
        <v/>
      </c>
      <c r="J1445" s="35" t="str">
        <f aca="false">IF($C1445="","",$H1445-$I1445)</f>
        <v/>
      </c>
      <c r="K1445" s="35" t="str">
        <f aca="false">IF($C1445="","",N($E1445)*IFERROR(INDEX(PRODUCTOS!$H$6:$H$105,MATCH($C1445,PRODUCTOS!$A$6:$A$105,0)),0))</f>
        <v/>
      </c>
      <c r="L1445" s="35" t="str">
        <f aca="false">IF($C1445="","",$J1445-$K1445)</f>
        <v/>
      </c>
      <c r="M1445" s="6"/>
      <c r="N1445" s="6"/>
      <c r="O1445" s="46" t="str">
        <f aca="false">IF($A1445="","",DATE(YEAR($A1445),MONTH($A1445),1))</f>
        <v/>
      </c>
    </row>
    <row r="1446" customFormat="false" ht="15" hidden="false" customHeight="false" outlineLevel="0" collapsed="false">
      <c r="A1446" s="44"/>
      <c r="B1446" s="6"/>
      <c r="C1446" s="6"/>
      <c r="D1446" s="8" t="str">
        <f aca="false">IF($C1446="","",IFERROR(INDEX(PRODUCTOS!$B$6:$B$105,MATCH($C1446,PRODUCTOS!$A$6:$A$105,0)),"¿Código?"))</f>
        <v/>
      </c>
      <c r="E1446" s="42"/>
      <c r="F1446" s="35" t="str">
        <f aca="false">IF($C1446="","",IFERROR(INDEX(PRODUCTOS!$D$6:$D$105,MATCH($C1446,PRODUCTOS!$A$6:$A$105,0)),0))</f>
        <v/>
      </c>
      <c r="G1446" s="40"/>
      <c r="H1446" s="35" t="str">
        <f aca="false">IF($C1446="","",N($E1446)*$F1446-N($G1446))</f>
        <v/>
      </c>
      <c r="I1446" s="35" t="str">
        <f aca="false">IF($C1446="","",$H1446-$H1446/(1+IFERROR(INDEX(PRODUCTOS!$E$6:$E$105,MATCH($C1446,PRODUCTOS!$A$6:$A$105,0)),IVA_VENTAS)))</f>
        <v/>
      </c>
      <c r="J1446" s="35" t="str">
        <f aca="false">IF($C1446="","",$H1446-$I1446)</f>
        <v/>
      </c>
      <c r="K1446" s="35" t="str">
        <f aca="false">IF($C1446="","",N($E1446)*IFERROR(INDEX(PRODUCTOS!$H$6:$H$105,MATCH($C1446,PRODUCTOS!$A$6:$A$105,0)),0))</f>
        <v/>
      </c>
      <c r="L1446" s="35" t="str">
        <f aca="false">IF($C1446="","",$J1446-$K1446)</f>
        <v/>
      </c>
      <c r="M1446" s="6"/>
      <c r="N1446" s="6"/>
      <c r="O1446" s="46" t="str">
        <f aca="false">IF($A1446="","",DATE(YEAR($A1446),MONTH($A1446),1))</f>
        <v/>
      </c>
    </row>
    <row r="1447" customFormat="false" ht="15" hidden="false" customHeight="false" outlineLevel="0" collapsed="false">
      <c r="A1447" s="44"/>
      <c r="B1447" s="6"/>
      <c r="C1447" s="6"/>
      <c r="D1447" s="8" t="str">
        <f aca="false">IF($C1447="","",IFERROR(INDEX(PRODUCTOS!$B$6:$B$105,MATCH($C1447,PRODUCTOS!$A$6:$A$105,0)),"¿Código?"))</f>
        <v/>
      </c>
      <c r="E1447" s="42"/>
      <c r="F1447" s="35" t="str">
        <f aca="false">IF($C1447="","",IFERROR(INDEX(PRODUCTOS!$D$6:$D$105,MATCH($C1447,PRODUCTOS!$A$6:$A$105,0)),0))</f>
        <v/>
      </c>
      <c r="G1447" s="40"/>
      <c r="H1447" s="35" t="str">
        <f aca="false">IF($C1447="","",N($E1447)*$F1447-N($G1447))</f>
        <v/>
      </c>
      <c r="I1447" s="35" t="str">
        <f aca="false">IF($C1447="","",$H1447-$H1447/(1+IFERROR(INDEX(PRODUCTOS!$E$6:$E$105,MATCH($C1447,PRODUCTOS!$A$6:$A$105,0)),IVA_VENTAS)))</f>
        <v/>
      </c>
      <c r="J1447" s="35" t="str">
        <f aca="false">IF($C1447="","",$H1447-$I1447)</f>
        <v/>
      </c>
      <c r="K1447" s="35" t="str">
        <f aca="false">IF($C1447="","",N($E1447)*IFERROR(INDEX(PRODUCTOS!$H$6:$H$105,MATCH($C1447,PRODUCTOS!$A$6:$A$105,0)),0))</f>
        <v/>
      </c>
      <c r="L1447" s="35" t="str">
        <f aca="false">IF($C1447="","",$J1447-$K1447)</f>
        <v/>
      </c>
      <c r="M1447" s="6"/>
      <c r="N1447" s="6"/>
      <c r="O1447" s="46" t="str">
        <f aca="false">IF($A1447="","",DATE(YEAR($A1447),MONTH($A1447),1))</f>
        <v/>
      </c>
    </row>
    <row r="1448" customFormat="false" ht="15" hidden="false" customHeight="false" outlineLevel="0" collapsed="false">
      <c r="A1448" s="44"/>
      <c r="B1448" s="6"/>
      <c r="C1448" s="6"/>
      <c r="D1448" s="8" t="str">
        <f aca="false">IF($C1448="","",IFERROR(INDEX(PRODUCTOS!$B$6:$B$105,MATCH($C1448,PRODUCTOS!$A$6:$A$105,0)),"¿Código?"))</f>
        <v/>
      </c>
      <c r="E1448" s="42"/>
      <c r="F1448" s="35" t="str">
        <f aca="false">IF($C1448="","",IFERROR(INDEX(PRODUCTOS!$D$6:$D$105,MATCH($C1448,PRODUCTOS!$A$6:$A$105,0)),0))</f>
        <v/>
      </c>
      <c r="G1448" s="40"/>
      <c r="H1448" s="35" t="str">
        <f aca="false">IF($C1448="","",N($E1448)*$F1448-N($G1448))</f>
        <v/>
      </c>
      <c r="I1448" s="35" t="str">
        <f aca="false">IF($C1448="","",$H1448-$H1448/(1+IFERROR(INDEX(PRODUCTOS!$E$6:$E$105,MATCH($C1448,PRODUCTOS!$A$6:$A$105,0)),IVA_VENTAS)))</f>
        <v/>
      </c>
      <c r="J1448" s="35" t="str">
        <f aca="false">IF($C1448="","",$H1448-$I1448)</f>
        <v/>
      </c>
      <c r="K1448" s="35" t="str">
        <f aca="false">IF($C1448="","",N($E1448)*IFERROR(INDEX(PRODUCTOS!$H$6:$H$105,MATCH($C1448,PRODUCTOS!$A$6:$A$105,0)),0))</f>
        <v/>
      </c>
      <c r="L1448" s="35" t="str">
        <f aca="false">IF($C1448="","",$J1448-$K1448)</f>
        <v/>
      </c>
      <c r="M1448" s="6"/>
      <c r="N1448" s="6"/>
      <c r="O1448" s="46" t="str">
        <f aca="false">IF($A1448="","",DATE(YEAR($A1448),MONTH($A1448),1))</f>
        <v/>
      </c>
    </row>
    <row r="1449" customFormat="false" ht="15" hidden="false" customHeight="false" outlineLevel="0" collapsed="false">
      <c r="A1449" s="44"/>
      <c r="B1449" s="6"/>
      <c r="C1449" s="6"/>
      <c r="D1449" s="8" t="str">
        <f aca="false">IF($C1449="","",IFERROR(INDEX(PRODUCTOS!$B$6:$B$105,MATCH($C1449,PRODUCTOS!$A$6:$A$105,0)),"¿Código?"))</f>
        <v/>
      </c>
      <c r="E1449" s="42"/>
      <c r="F1449" s="35" t="str">
        <f aca="false">IF($C1449="","",IFERROR(INDEX(PRODUCTOS!$D$6:$D$105,MATCH($C1449,PRODUCTOS!$A$6:$A$105,0)),0))</f>
        <v/>
      </c>
      <c r="G1449" s="40"/>
      <c r="H1449" s="35" t="str">
        <f aca="false">IF($C1449="","",N($E1449)*$F1449-N($G1449))</f>
        <v/>
      </c>
      <c r="I1449" s="35" t="str">
        <f aca="false">IF($C1449="","",$H1449-$H1449/(1+IFERROR(INDEX(PRODUCTOS!$E$6:$E$105,MATCH($C1449,PRODUCTOS!$A$6:$A$105,0)),IVA_VENTAS)))</f>
        <v/>
      </c>
      <c r="J1449" s="35" t="str">
        <f aca="false">IF($C1449="","",$H1449-$I1449)</f>
        <v/>
      </c>
      <c r="K1449" s="35" t="str">
        <f aca="false">IF($C1449="","",N($E1449)*IFERROR(INDEX(PRODUCTOS!$H$6:$H$105,MATCH($C1449,PRODUCTOS!$A$6:$A$105,0)),0))</f>
        <v/>
      </c>
      <c r="L1449" s="35" t="str">
        <f aca="false">IF($C1449="","",$J1449-$K1449)</f>
        <v/>
      </c>
      <c r="M1449" s="6"/>
      <c r="N1449" s="6"/>
      <c r="O1449" s="46" t="str">
        <f aca="false">IF($A1449="","",DATE(YEAR($A1449),MONTH($A1449),1))</f>
        <v/>
      </c>
    </row>
    <row r="1450" customFormat="false" ht="15" hidden="false" customHeight="false" outlineLevel="0" collapsed="false">
      <c r="A1450" s="44"/>
      <c r="B1450" s="6"/>
      <c r="C1450" s="6"/>
      <c r="D1450" s="8" t="str">
        <f aca="false">IF($C1450="","",IFERROR(INDEX(PRODUCTOS!$B$6:$B$105,MATCH($C1450,PRODUCTOS!$A$6:$A$105,0)),"¿Código?"))</f>
        <v/>
      </c>
      <c r="E1450" s="42"/>
      <c r="F1450" s="35" t="str">
        <f aca="false">IF($C1450="","",IFERROR(INDEX(PRODUCTOS!$D$6:$D$105,MATCH($C1450,PRODUCTOS!$A$6:$A$105,0)),0))</f>
        <v/>
      </c>
      <c r="G1450" s="40"/>
      <c r="H1450" s="35" t="str">
        <f aca="false">IF($C1450="","",N($E1450)*$F1450-N($G1450))</f>
        <v/>
      </c>
      <c r="I1450" s="35" t="str">
        <f aca="false">IF($C1450="","",$H1450-$H1450/(1+IFERROR(INDEX(PRODUCTOS!$E$6:$E$105,MATCH($C1450,PRODUCTOS!$A$6:$A$105,0)),IVA_VENTAS)))</f>
        <v/>
      </c>
      <c r="J1450" s="35" t="str">
        <f aca="false">IF($C1450="","",$H1450-$I1450)</f>
        <v/>
      </c>
      <c r="K1450" s="35" t="str">
        <f aca="false">IF($C1450="","",N($E1450)*IFERROR(INDEX(PRODUCTOS!$H$6:$H$105,MATCH($C1450,PRODUCTOS!$A$6:$A$105,0)),0))</f>
        <v/>
      </c>
      <c r="L1450" s="35" t="str">
        <f aca="false">IF($C1450="","",$J1450-$K1450)</f>
        <v/>
      </c>
      <c r="M1450" s="6"/>
      <c r="N1450" s="6"/>
      <c r="O1450" s="46" t="str">
        <f aca="false">IF($A1450="","",DATE(YEAR($A1450),MONTH($A1450),1))</f>
        <v/>
      </c>
    </row>
    <row r="1451" customFormat="false" ht="15" hidden="false" customHeight="false" outlineLevel="0" collapsed="false">
      <c r="A1451" s="44"/>
      <c r="B1451" s="6"/>
      <c r="C1451" s="6"/>
      <c r="D1451" s="8" t="str">
        <f aca="false">IF($C1451="","",IFERROR(INDEX(PRODUCTOS!$B$6:$B$105,MATCH($C1451,PRODUCTOS!$A$6:$A$105,0)),"¿Código?"))</f>
        <v/>
      </c>
      <c r="E1451" s="42"/>
      <c r="F1451" s="35" t="str">
        <f aca="false">IF($C1451="","",IFERROR(INDEX(PRODUCTOS!$D$6:$D$105,MATCH($C1451,PRODUCTOS!$A$6:$A$105,0)),0))</f>
        <v/>
      </c>
      <c r="G1451" s="40"/>
      <c r="H1451" s="35" t="str">
        <f aca="false">IF($C1451="","",N($E1451)*$F1451-N($G1451))</f>
        <v/>
      </c>
      <c r="I1451" s="35" t="str">
        <f aca="false">IF($C1451="","",$H1451-$H1451/(1+IFERROR(INDEX(PRODUCTOS!$E$6:$E$105,MATCH($C1451,PRODUCTOS!$A$6:$A$105,0)),IVA_VENTAS)))</f>
        <v/>
      </c>
      <c r="J1451" s="35" t="str">
        <f aca="false">IF($C1451="","",$H1451-$I1451)</f>
        <v/>
      </c>
      <c r="K1451" s="35" t="str">
        <f aca="false">IF($C1451="","",N($E1451)*IFERROR(INDEX(PRODUCTOS!$H$6:$H$105,MATCH($C1451,PRODUCTOS!$A$6:$A$105,0)),0))</f>
        <v/>
      </c>
      <c r="L1451" s="35" t="str">
        <f aca="false">IF($C1451="","",$J1451-$K1451)</f>
        <v/>
      </c>
      <c r="M1451" s="6"/>
      <c r="N1451" s="6"/>
      <c r="O1451" s="46" t="str">
        <f aca="false">IF($A1451="","",DATE(YEAR($A1451),MONTH($A1451),1))</f>
        <v/>
      </c>
    </row>
    <row r="1452" customFormat="false" ht="15" hidden="false" customHeight="false" outlineLevel="0" collapsed="false">
      <c r="A1452" s="44"/>
      <c r="B1452" s="6"/>
      <c r="C1452" s="6"/>
      <c r="D1452" s="8" t="str">
        <f aca="false">IF($C1452="","",IFERROR(INDEX(PRODUCTOS!$B$6:$B$105,MATCH($C1452,PRODUCTOS!$A$6:$A$105,0)),"¿Código?"))</f>
        <v/>
      </c>
      <c r="E1452" s="42"/>
      <c r="F1452" s="35" t="str">
        <f aca="false">IF($C1452="","",IFERROR(INDEX(PRODUCTOS!$D$6:$D$105,MATCH($C1452,PRODUCTOS!$A$6:$A$105,0)),0))</f>
        <v/>
      </c>
      <c r="G1452" s="40"/>
      <c r="H1452" s="35" t="str">
        <f aca="false">IF($C1452="","",N($E1452)*$F1452-N($G1452))</f>
        <v/>
      </c>
      <c r="I1452" s="35" t="str">
        <f aca="false">IF($C1452="","",$H1452-$H1452/(1+IFERROR(INDEX(PRODUCTOS!$E$6:$E$105,MATCH($C1452,PRODUCTOS!$A$6:$A$105,0)),IVA_VENTAS)))</f>
        <v/>
      </c>
      <c r="J1452" s="35" t="str">
        <f aca="false">IF($C1452="","",$H1452-$I1452)</f>
        <v/>
      </c>
      <c r="K1452" s="35" t="str">
        <f aca="false">IF($C1452="","",N($E1452)*IFERROR(INDEX(PRODUCTOS!$H$6:$H$105,MATCH($C1452,PRODUCTOS!$A$6:$A$105,0)),0))</f>
        <v/>
      </c>
      <c r="L1452" s="35" t="str">
        <f aca="false">IF($C1452="","",$J1452-$K1452)</f>
        <v/>
      </c>
      <c r="M1452" s="6"/>
      <c r="N1452" s="6"/>
      <c r="O1452" s="46" t="str">
        <f aca="false">IF($A1452="","",DATE(YEAR($A1452),MONTH($A1452),1))</f>
        <v/>
      </c>
    </row>
    <row r="1453" customFormat="false" ht="15" hidden="false" customHeight="false" outlineLevel="0" collapsed="false">
      <c r="A1453" s="44"/>
      <c r="B1453" s="6"/>
      <c r="C1453" s="6"/>
      <c r="D1453" s="8" t="str">
        <f aca="false">IF($C1453="","",IFERROR(INDEX(PRODUCTOS!$B$6:$B$105,MATCH($C1453,PRODUCTOS!$A$6:$A$105,0)),"¿Código?"))</f>
        <v/>
      </c>
      <c r="E1453" s="42"/>
      <c r="F1453" s="35" t="str">
        <f aca="false">IF($C1453="","",IFERROR(INDEX(PRODUCTOS!$D$6:$D$105,MATCH($C1453,PRODUCTOS!$A$6:$A$105,0)),0))</f>
        <v/>
      </c>
      <c r="G1453" s="40"/>
      <c r="H1453" s="35" t="str">
        <f aca="false">IF($C1453="","",N($E1453)*$F1453-N($G1453))</f>
        <v/>
      </c>
      <c r="I1453" s="35" t="str">
        <f aca="false">IF($C1453="","",$H1453-$H1453/(1+IFERROR(INDEX(PRODUCTOS!$E$6:$E$105,MATCH($C1453,PRODUCTOS!$A$6:$A$105,0)),IVA_VENTAS)))</f>
        <v/>
      </c>
      <c r="J1453" s="35" t="str">
        <f aca="false">IF($C1453="","",$H1453-$I1453)</f>
        <v/>
      </c>
      <c r="K1453" s="35" t="str">
        <f aca="false">IF($C1453="","",N($E1453)*IFERROR(INDEX(PRODUCTOS!$H$6:$H$105,MATCH($C1453,PRODUCTOS!$A$6:$A$105,0)),0))</f>
        <v/>
      </c>
      <c r="L1453" s="35" t="str">
        <f aca="false">IF($C1453="","",$J1453-$K1453)</f>
        <v/>
      </c>
      <c r="M1453" s="6"/>
      <c r="N1453" s="6"/>
      <c r="O1453" s="46" t="str">
        <f aca="false">IF($A1453="","",DATE(YEAR($A1453),MONTH($A1453),1))</f>
        <v/>
      </c>
    </row>
    <row r="1454" customFormat="false" ht="15" hidden="false" customHeight="false" outlineLevel="0" collapsed="false">
      <c r="A1454" s="44"/>
      <c r="B1454" s="6"/>
      <c r="C1454" s="6"/>
      <c r="D1454" s="8" t="str">
        <f aca="false">IF($C1454="","",IFERROR(INDEX(PRODUCTOS!$B$6:$B$105,MATCH($C1454,PRODUCTOS!$A$6:$A$105,0)),"¿Código?"))</f>
        <v/>
      </c>
      <c r="E1454" s="42"/>
      <c r="F1454" s="35" t="str">
        <f aca="false">IF($C1454="","",IFERROR(INDEX(PRODUCTOS!$D$6:$D$105,MATCH($C1454,PRODUCTOS!$A$6:$A$105,0)),0))</f>
        <v/>
      </c>
      <c r="G1454" s="40"/>
      <c r="H1454" s="35" t="str">
        <f aca="false">IF($C1454="","",N($E1454)*$F1454-N($G1454))</f>
        <v/>
      </c>
      <c r="I1454" s="35" t="str">
        <f aca="false">IF($C1454="","",$H1454-$H1454/(1+IFERROR(INDEX(PRODUCTOS!$E$6:$E$105,MATCH($C1454,PRODUCTOS!$A$6:$A$105,0)),IVA_VENTAS)))</f>
        <v/>
      </c>
      <c r="J1454" s="35" t="str">
        <f aca="false">IF($C1454="","",$H1454-$I1454)</f>
        <v/>
      </c>
      <c r="K1454" s="35" t="str">
        <f aca="false">IF($C1454="","",N($E1454)*IFERROR(INDEX(PRODUCTOS!$H$6:$H$105,MATCH($C1454,PRODUCTOS!$A$6:$A$105,0)),0))</f>
        <v/>
      </c>
      <c r="L1454" s="35" t="str">
        <f aca="false">IF($C1454="","",$J1454-$K1454)</f>
        <v/>
      </c>
      <c r="M1454" s="6"/>
      <c r="N1454" s="6"/>
      <c r="O1454" s="46" t="str">
        <f aca="false">IF($A1454="","",DATE(YEAR($A1454),MONTH($A1454),1))</f>
        <v/>
      </c>
    </row>
    <row r="1455" customFormat="false" ht="15" hidden="false" customHeight="false" outlineLevel="0" collapsed="false">
      <c r="A1455" s="44"/>
      <c r="B1455" s="6"/>
      <c r="C1455" s="6"/>
      <c r="D1455" s="8" t="str">
        <f aca="false">IF($C1455="","",IFERROR(INDEX(PRODUCTOS!$B$6:$B$105,MATCH($C1455,PRODUCTOS!$A$6:$A$105,0)),"¿Código?"))</f>
        <v/>
      </c>
      <c r="E1455" s="42"/>
      <c r="F1455" s="35" t="str">
        <f aca="false">IF($C1455="","",IFERROR(INDEX(PRODUCTOS!$D$6:$D$105,MATCH($C1455,PRODUCTOS!$A$6:$A$105,0)),0))</f>
        <v/>
      </c>
      <c r="G1455" s="40"/>
      <c r="H1455" s="35" t="str">
        <f aca="false">IF($C1455="","",N($E1455)*$F1455-N($G1455))</f>
        <v/>
      </c>
      <c r="I1455" s="35" t="str">
        <f aca="false">IF($C1455="","",$H1455-$H1455/(1+IFERROR(INDEX(PRODUCTOS!$E$6:$E$105,MATCH($C1455,PRODUCTOS!$A$6:$A$105,0)),IVA_VENTAS)))</f>
        <v/>
      </c>
      <c r="J1455" s="35" t="str">
        <f aca="false">IF($C1455="","",$H1455-$I1455)</f>
        <v/>
      </c>
      <c r="K1455" s="35" t="str">
        <f aca="false">IF($C1455="","",N($E1455)*IFERROR(INDEX(PRODUCTOS!$H$6:$H$105,MATCH($C1455,PRODUCTOS!$A$6:$A$105,0)),0))</f>
        <v/>
      </c>
      <c r="L1455" s="35" t="str">
        <f aca="false">IF($C1455="","",$J1455-$K1455)</f>
        <v/>
      </c>
      <c r="M1455" s="6"/>
      <c r="N1455" s="6"/>
      <c r="O1455" s="46" t="str">
        <f aca="false">IF($A1455="","",DATE(YEAR($A1455),MONTH($A1455),1))</f>
        <v/>
      </c>
    </row>
    <row r="1456" customFormat="false" ht="15" hidden="false" customHeight="false" outlineLevel="0" collapsed="false">
      <c r="A1456" s="44"/>
      <c r="B1456" s="6"/>
      <c r="C1456" s="6"/>
      <c r="D1456" s="8" t="str">
        <f aca="false">IF($C1456="","",IFERROR(INDEX(PRODUCTOS!$B$6:$B$105,MATCH($C1456,PRODUCTOS!$A$6:$A$105,0)),"¿Código?"))</f>
        <v/>
      </c>
      <c r="E1456" s="42"/>
      <c r="F1456" s="35" t="str">
        <f aca="false">IF($C1456="","",IFERROR(INDEX(PRODUCTOS!$D$6:$D$105,MATCH($C1456,PRODUCTOS!$A$6:$A$105,0)),0))</f>
        <v/>
      </c>
      <c r="G1456" s="40"/>
      <c r="H1456" s="35" t="str">
        <f aca="false">IF($C1456="","",N($E1456)*$F1456-N($G1456))</f>
        <v/>
      </c>
      <c r="I1456" s="35" t="str">
        <f aca="false">IF($C1456="","",$H1456-$H1456/(1+IFERROR(INDEX(PRODUCTOS!$E$6:$E$105,MATCH($C1456,PRODUCTOS!$A$6:$A$105,0)),IVA_VENTAS)))</f>
        <v/>
      </c>
      <c r="J1456" s="35" t="str">
        <f aca="false">IF($C1456="","",$H1456-$I1456)</f>
        <v/>
      </c>
      <c r="K1456" s="35" t="str">
        <f aca="false">IF($C1456="","",N($E1456)*IFERROR(INDEX(PRODUCTOS!$H$6:$H$105,MATCH($C1456,PRODUCTOS!$A$6:$A$105,0)),0))</f>
        <v/>
      </c>
      <c r="L1456" s="35" t="str">
        <f aca="false">IF($C1456="","",$J1456-$K1456)</f>
        <v/>
      </c>
      <c r="M1456" s="6"/>
      <c r="N1456" s="6"/>
      <c r="O1456" s="46" t="str">
        <f aca="false">IF($A1456="","",DATE(YEAR($A1456),MONTH($A1456),1))</f>
        <v/>
      </c>
    </row>
    <row r="1457" customFormat="false" ht="15" hidden="false" customHeight="false" outlineLevel="0" collapsed="false">
      <c r="A1457" s="44"/>
      <c r="B1457" s="6"/>
      <c r="C1457" s="6"/>
      <c r="D1457" s="8" t="str">
        <f aca="false">IF($C1457="","",IFERROR(INDEX(PRODUCTOS!$B$6:$B$105,MATCH($C1457,PRODUCTOS!$A$6:$A$105,0)),"¿Código?"))</f>
        <v/>
      </c>
      <c r="E1457" s="42"/>
      <c r="F1457" s="35" t="str">
        <f aca="false">IF($C1457="","",IFERROR(INDEX(PRODUCTOS!$D$6:$D$105,MATCH($C1457,PRODUCTOS!$A$6:$A$105,0)),0))</f>
        <v/>
      </c>
      <c r="G1457" s="40"/>
      <c r="H1457" s="35" t="str">
        <f aca="false">IF($C1457="","",N($E1457)*$F1457-N($G1457))</f>
        <v/>
      </c>
      <c r="I1457" s="35" t="str">
        <f aca="false">IF($C1457="","",$H1457-$H1457/(1+IFERROR(INDEX(PRODUCTOS!$E$6:$E$105,MATCH($C1457,PRODUCTOS!$A$6:$A$105,0)),IVA_VENTAS)))</f>
        <v/>
      </c>
      <c r="J1457" s="35" t="str">
        <f aca="false">IF($C1457="","",$H1457-$I1457)</f>
        <v/>
      </c>
      <c r="K1457" s="35" t="str">
        <f aca="false">IF($C1457="","",N($E1457)*IFERROR(INDEX(PRODUCTOS!$H$6:$H$105,MATCH($C1457,PRODUCTOS!$A$6:$A$105,0)),0))</f>
        <v/>
      </c>
      <c r="L1457" s="35" t="str">
        <f aca="false">IF($C1457="","",$J1457-$K1457)</f>
        <v/>
      </c>
      <c r="M1457" s="6"/>
      <c r="N1457" s="6"/>
      <c r="O1457" s="46" t="str">
        <f aca="false">IF($A1457="","",DATE(YEAR($A1457),MONTH($A1457),1))</f>
        <v/>
      </c>
    </row>
    <row r="1458" customFormat="false" ht="15" hidden="false" customHeight="false" outlineLevel="0" collapsed="false">
      <c r="A1458" s="44"/>
      <c r="B1458" s="6"/>
      <c r="C1458" s="6"/>
      <c r="D1458" s="8" t="str">
        <f aca="false">IF($C1458="","",IFERROR(INDEX(PRODUCTOS!$B$6:$B$105,MATCH($C1458,PRODUCTOS!$A$6:$A$105,0)),"¿Código?"))</f>
        <v/>
      </c>
      <c r="E1458" s="42"/>
      <c r="F1458" s="35" t="str">
        <f aca="false">IF($C1458="","",IFERROR(INDEX(PRODUCTOS!$D$6:$D$105,MATCH($C1458,PRODUCTOS!$A$6:$A$105,0)),0))</f>
        <v/>
      </c>
      <c r="G1458" s="40"/>
      <c r="H1458" s="35" t="str">
        <f aca="false">IF($C1458="","",N($E1458)*$F1458-N($G1458))</f>
        <v/>
      </c>
      <c r="I1458" s="35" t="str">
        <f aca="false">IF($C1458="","",$H1458-$H1458/(1+IFERROR(INDEX(PRODUCTOS!$E$6:$E$105,MATCH($C1458,PRODUCTOS!$A$6:$A$105,0)),IVA_VENTAS)))</f>
        <v/>
      </c>
      <c r="J1458" s="35" t="str">
        <f aca="false">IF($C1458="","",$H1458-$I1458)</f>
        <v/>
      </c>
      <c r="K1458" s="35" t="str">
        <f aca="false">IF($C1458="","",N($E1458)*IFERROR(INDEX(PRODUCTOS!$H$6:$H$105,MATCH($C1458,PRODUCTOS!$A$6:$A$105,0)),0))</f>
        <v/>
      </c>
      <c r="L1458" s="35" t="str">
        <f aca="false">IF($C1458="","",$J1458-$K1458)</f>
        <v/>
      </c>
      <c r="M1458" s="6"/>
      <c r="N1458" s="6"/>
      <c r="O1458" s="46" t="str">
        <f aca="false">IF($A1458="","",DATE(YEAR($A1458),MONTH($A1458),1))</f>
        <v/>
      </c>
    </row>
    <row r="1459" customFormat="false" ht="15" hidden="false" customHeight="false" outlineLevel="0" collapsed="false">
      <c r="A1459" s="44"/>
      <c r="B1459" s="6"/>
      <c r="C1459" s="6"/>
      <c r="D1459" s="8" t="str">
        <f aca="false">IF($C1459="","",IFERROR(INDEX(PRODUCTOS!$B$6:$B$105,MATCH($C1459,PRODUCTOS!$A$6:$A$105,0)),"¿Código?"))</f>
        <v/>
      </c>
      <c r="E1459" s="42"/>
      <c r="F1459" s="35" t="str">
        <f aca="false">IF($C1459="","",IFERROR(INDEX(PRODUCTOS!$D$6:$D$105,MATCH($C1459,PRODUCTOS!$A$6:$A$105,0)),0))</f>
        <v/>
      </c>
      <c r="G1459" s="40"/>
      <c r="H1459" s="35" t="str">
        <f aca="false">IF($C1459="","",N($E1459)*$F1459-N($G1459))</f>
        <v/>
      </c>
      <c r="I1459" s="35" t="str">
        <f aca="false">IF($C1459="","",$H1459-$H1459/(1+IFERROR(INDEX(PRODUCTOS!$E$6:$E$105,MATCH($C1459,PRODUCTOS!$A$6:$A$105,0)),IVA_VENTAS)))</f>
        <v/>
      </c>
      <c r="J1459" s="35" t="str">
        <f aca="false">IF($C1459="","",$H1459-$I1459)</f>
        <v/>
      </c>
      <c r="K1459" s="35" t="str">
        <f aca="false">IF($C1459="","",N($E1459)*IFERROR(INDEX(PRODUCTOS!$H$6:$H$105,MATCH($C1459,PRODUCTOS!$A$6:$A$105,0)),0))</f>
        <v/>
      </c>
      <c r="L1459" s="35" t="str">
        <f aca="false">IF($C1459="","",$J1459-$K1459)</f>
        <v/>
      </c>
      <c r="M1459" s="6"/>
      <c r="N1459" s="6"/>
      <c r="O1459" s="46" t="str">
        <f aca="false">IF($A1459="","",DATE(YEAR($A1459),MONTH($A1459),1))</f>
        <v/>
      </c>
    </row>
    <row r="1460" customFormat="false" ht="15" hidden="false" customHeight="false" outlineLevel="0" collapsed="false">
      <c r="A1460" s="44"/>
      <c r="B1460" s="6"/>
      <c r="C1460" s="6"/>
      <c r="D1460" s="8" t="str">
        <f aca="false">IF($C1460="","",IFERROR(INDEX(PRODUCTOS!$B$6:$B$105,MATCH($C1460,PRODUCTOS!$A$6:$A$105,0)),"¿Código?"))</f>
        <v/>
      </c>
      <c r="E1460" s="42"/>
      <c r="F1460" s="35" t="str">
        <f aca="false">IF($C1460="","",IFERROR(INDEX(PRODUCTOS!$D$6:$D$105,MATCH($C1460,PRODUCTOS!$A$6:$A$105,0)),0))</f>
        <v/>
      </c>
      <c r="G1460" s="40"/>
      <c r="H1460" s="35" t="str">
        <f aca="false">IF($C1460="","",N($E1460)*$F1460-N($G1460))</f>
        <v/>
      </c>
      <c r="I1460" s="35" t="str">
        <f aca="false">IF($C1460="","",$H1460-$H1460/(1+IFERROR(INDEX(PRODUCTOS!$E$6:$E$105,MATCH($C1460,PRODUCTOS!$A$6:$A$105,0)),IVA_VENTAS)))</f>
        <v/>
      </c>
      <c r="J1460" s="35" t="str">
        <f aca="false">IF($C1460="","",$H1460-$I1460)</f>
        <v/>
      </c>
      <c r="K1460" s="35" t="str">
        <f aca="false">IF($C1460="","",N($E1460)*IFERROR(INDEX(PRODUCTOS!$H$6:$H$105,MATCH($C1460,PRODUCTOS!$A$6:$A$105,0)),0))</f>
        <v/>
      </c>
      <c r="L1460" s="35" t="str">
        <f aca="false">IF($C1460="","",$J1460-$K1460)</f>
        <v/>
      </c>
      <c r="M1460" s="6"/>
      <c r="N1460" s="6"/>
      <c r="O1460" s="46" t="str">
        <f aca="false">IF($A1460="","",DATE(YEAR($A1460),MONTH($A1460),1))</f>
        <v/>
      </c>
    </row>
    <row r="1461" customFormat="false" ht="15" hidden="false" customHeight="false" outlineLevel="0" collapsed="false">
      <c r="A1461" s="44"/>
      <c r="B1461" s="6"/>
      <c r="C1461" s="6"/>
      <c r="D1461" s="8" t="str">
        <f aca="false">IF($C1461="","",IFERROR(INDEX(PRODUCTOS!$B$6:$B$105,MATCH($C1461,PRODUCTOS!$A$6:$A$105,0)),"¿Código?"))</f>
        <v/>
      </c>
      <c r="E1461" s="42"/>
      <c r="F1461" s="35" t="str">
        <f aca="false">IF($C1461="","",IFERROR(INDEX(PRODUCTOS!$D$6:$D$105,MATCH($C1461,PRODUCTOS!$A$6:$A$105,0)),0))</f>
        <v/>
      </c>
      <c r="G1461" s="40"/>
      <c r="H1461" s="35" t="str">
        <f aca="false">IF($C1461="","",N($E1461)*$F1461-N($G1461))</f>
        <v/>
      </c>
      <c r="I1461" s="35" t="str">
        <f aca="false">IF($C1461="","",$H1461-$H1461/(1+IFERROR(INDEX(PRODUCTOS!$E$6:$E$105,MATCH($C1461,PRODUCTOS!$A$6:$A$105,0)),IVA_VENTAS)))</f>
        <v/>
      </c>
      <c r="J1461" s="35" t="str">
        <f aca="false">IF($C1461="","",$H1461-$I1461)</f>
        <v/>
      </c>
      <c r="K1461" s="35" t="str">
        <f aca="false">IF($C1461="","",N($E1461)*IFERROR(INDEX(PRODUCTOS!$H$6:$H$105,MATCH($C1461,PRODUCTOS!$A$6:$A$105,0)),0))</f>
        <v/>
      </c>
      <c r="L1461" s="35" t="str">
        <f aca="false">IF($C1461="","",$J1461-$K1461)</f>
        <v/>
      </c>
      <c r="M1461" s="6"/>
      <c r="N1461" s="6"/>
      <c r="O1461" s="46" t="str">
        <f aca="false">IF($A1461="","",DATE(YEAR($A1461),MONTH($A1461),1))</f>
        <v/>
      </c>
    </row>
    <row r="1462" customFormat="false" ht="15" hidden="false" customHeight="false" outlineLevel="0" collapsed="false">
      <c r="A1462" s="44"/>
      <c r="B1462" s="6"/>
      <c r="C1462" s="6"/>
      <c r="D1462" s="8" t="str">
        <f aca="false">IF($C1462="","",IFERROR(INDEX(PRODUCTOS!$B$6:$B$105,MATCH($C1462,PRODUCTOS!$A$6:$A$105,0)),"¿Código?"))</f>
        <v/>
      </c>
      <c r="E1462" s="42"/>
      <c r="F1462" s="35" t="str">
        <f aca="false">IF($C1462="","",IFERROR(INDEX(PRODUCTOS!$D$6:$D$105,MATCH($C1462,PRODUCTOS!$A$6:$A$105,0)),0))</f>
        <v/>
      </c>
      <c r="G1462" s="40"/>
      <c r="H1462" s="35" t="str">
        <f aca="false">IF($C1462="","",N($E1462)*$F1462-N($G1462))</f>
        <v/>
      </c>
      <c r="I1462" s="35" t="str">
        <f aca="false">IF($C1462="","",$H1462-$H1462/(1+IFERROR(INDEX(PRODUCTOS!$E$6:$E$105,MATCH($C1462,PRODUCTOS!$A$6:$A$105,0)),IVA_VENTAS)))</f>
        <v/>
      </c>
      <c r="J1462" s="35" t="str">
        <f aca="false">IF($C1462="","",$H1462-$I1462)</f>
        <v/>
      </c>
      <c r="K1462" s="35" t="str">
        <f aca="false">IF($C1462="","",N($E1462)*IFERROR(INDEX(PRODUCTOS!$H$6:$H$105,MATCH($C1462,PRODUCTOS!$A$6:$A$105,0)),0))</f>
        <v/>
      </c>
      <c r="L1462" s="35" t="str">
        <f aca="false">IF($C1462="","",$J1462-$K1462)</f>
        <v/>
      </c>
      <c r="M1462" s="6"/>
      <c r="N1462" s="6"/>
      <c r="O1462" s="46" t="str">
        <f aca="false">IF($A1462="","",DATE(YEAR($A1462),MONTH($A1462),1))</f>
        <v/>
      </c>
    </row>
    <row r="1463" customFormat="false" ht="15" hidden="false" customHeight="false" outlineLevel="0" collapsed="false">
      <c r="A1463" s="44"/>
      <c r="B1463" s="6"/>
      <c r="C1463" s="6"/>
      <c r="D1463" s="8" t="str">
        <f aca="false">IF($C1463="","",IFERROR(INDEX(PRODUCTOS!$B$6:$B$105,MATCH($C1463,PRODUCTOS!$A$6:$A$105,0)),"¿Código?"))</f>
        <v/>
      </c>
      <c r="E1463" s="42"/>
      <c r="F1463" s="35" t="str">
        <f aca="false">IF($C1463="","",IFERROR(INDEX(PRODUCTOS!$D$6:$D$105,MATCH($C1463,PRODUCTOS!$A$6:$A$105,0)),0))</f>
        <v/>
      </c>
      <c r="G1463" s="40"/>
      <c r="H1463" s="35" t="str">
        <f aca="false">IF($C1463="","",N($E1463)*$F1463-N($G1463))</f>
        <v/>
      </c>
      <c r="I1463" s="35" t="str">
        <f aca="false">IF($C1463="","",$H1463-$H1463/(1+IFERROR(INDEX(PRODUCTOS!$E$6:$E$105,MATCH($C1463,PRODUCTOS!$A$6:$A$105,0)),IVA_VENTAS)))</f>
        <v/>
      </c>
      <c r="J1463" s="35" t="str">
        <f aca="false">IF($C1463="","",$H1463-$I1463)</f>
        <v/>
      </c>
      <c r="K1463" s="35" t="str">
        <f aca="false">IF($C1463="","",N($E1463)*IFERROR(INDEX(PRODUCTOS!$H$6:$H$105,MATCH($C1463,PRODUCTOS!$A$6:$A$105,0)),0))</f>
        <v/>
      </c>
      <c r="L1463" s="35" t="str">
        <f aca="false">IF($C1463="","",$J1463-$K1463)</f>
        <v/>
      </c>
      <c r="M1463" s="6"/>
      <c r="N1463" s="6"/>
      <c r="O1463" s="46" t="str">
        <f aca="false">IF($A1463="","",DATE(YEAR($A1463),MONTH($A1463),1))</f>
        <v/>
      </c>
    </row>
    <row r="1464" customFormat="false" ht="15" hidden="false" customHeight="false" outlineLevel="0" collapsed="false">
      <c r="A1464" s="44"/>
      <c r="B1464" s="6"/>
      <c r="C1464" s="6"/>
      <c r="D1464" s="8" t="str">
        <f aca="false">IF($C1464="","",IFERROR(INDEX(PRODUCTOS!$B$6:$B$105,MATCH($C1464,PRODUCTOS!$A$6:$A$105,0)),"¿Código?"))</f>
        <v/>
      </c>
      <c r="E1464" s="42"/>
      <c r="F1464" s="35" t="str">
        <f aca="false">IF($C1464="","",IFERROR(INDEX(PRODUCTOS!$D$6:$D$105,MATCH($C1464,PRODUCTOS!$A$6:$A$105,0)),0))</f>
        <v/>
      </c>
      <c r="G1464" s="40"/>
      <c r="H1464" s="35" t="str">
        <f aca="false">IF($C1464="","",N($E1464)*$F1464-N($G1464))</f>
        <v/>
      </c>
      <c r="I1464" s="35" t="str">
        <f aca="false">IF($C1464="","",$H1464-$H1464/(1+IFERROR(INDEX(PRODUCTOS!$E$6:$E$105,MATCH($C1464,PRODUCTOS!$A$6:$A$105,0)),IVA_VENTAS)))</f>
        <v/>
      </c>
      <c r="J1464" s="35" t="str">
        <f aca="false">IF($C1464="","",$H1464-$I1464)</f>
        <v/>
      </c>
      <c r="K1464" s="35" t="str">
        <f aca="false">IF($C1464="","",N($E1464)*IFERROR(INDEX(PRODUCTOS!$H$6:$H$105,MATCH($C1464,PRODUCTOS!$A$6:$A$105,0)),0))</f>
        <v/>
      </c>
      <c r="L1464" s="35" t="str">
        <f aca="false">IF($C1464="","",$J1464-$K1464)</f>
        <v/>
      </c>
      <c r="M1464" s="6"/>
      <c r="N1464" s="6"/>
      <c r="O1464" s="46" t="str">
        <f aca="false">IF($A1464="","",DATE(YEAR($A1464),MONTH($A1464),1))</f>
        <v/>
      </c>
    </row>
    <row r="1465" customFormat="false" ht="15" hidden="false" customHeight="false" outlineLevel="0" collapsed="false">
      <c r="A1465" s="44"/>
      <c r="B1465" s="6"/>
      <c r="C1465" s="6"/>
      <c r="D1465" s="8" t="str">
        <f aca="false">IF($C1465="","",IFERROR(INDEX(PRODUCTOS!$B$6:$B$105,MATCH($C1465,PRODUCTOS!$A$6:$A$105,0)),"¿Código?"))</f>
        <v/>
      </c>
      <c r="E1465" s="42"/>
      <c r="F1465" s="35" t="str">
        <f aca="false">IF($C1465="","",IFERROR(INDEX(PRODUCTOS!$D$6:$D$105,MATCH($C1465,PRODUCTOS!$A$6:$A$105,0)),0))</f>
        <v/>
      </c>
      <c r="G1465" s="40"/>
      <c r="H1465" s="35" t="str">
        <f aca="false">IF($C1465="","",N($E1465)*$F1465-N($G1465))</f>
        <v/>
      </c>
      <c r="I1465" s="35" t="str">
        <f aca="false">IF($C1465="","",$H1465-$H1465/(1+IFERROR(INDEX(PRODUCTOS!$E$6:$E$105,MATCH($C1465,PRODUCTOS!$A$6:$A$105,0)),IVA_VENTAS)))</f>
        <v/>
      </c>
      <c r="J1465" s="35" t="str">
        <f aca="false">IF($C1465="","",$H1465-$I1465)</f>
        <v/>
      </c>
      <c r="K1465" s="35" t="str">
        <f aca="false">IF($C1465="","",N($E1465)*IFERROR(INDEX(PRODUCTOS!$H$6:$H$105,MATCH($C1465,PRODUCTOS!$A$6:$A$105,0)),0))</f>
        <v/>
      </c>
      <c r="L1465" s="35" t="str">
        <f aca="false">IF($C1465="","",$J1465-$K1465)</f>
        <v/>
      </c>
      <c r="M1465" s="6"/>
      <c r="N1465" s="6"/>
      <c r="O1465" s="46" t="str">
        <f aca="false">IF($A1465="","",DATE(YEAR($A1465),MONTH($A1465),1))</f>
        <v/>
      </c>
    </row>
    <row r="1466" customFormat="false" ht="15" hidden="false" customHeight="false" outlineLevel="0" collapsed="false">
      <c r="A1466" s="44"/>
      <c r="B1466" s="6"/>
      <c r="C1466" s="6"/>
      <c r="D1466" s="8" t="str">
        <f aca="false">IF($C1466="","",IFERROR(INDEX(PRODUCTOS!$B$6:$B$105,MATCH($C1466,PRODUCTOS!$A$6:$A$105,0)),"¿Código?"))</f>
        <v/>
      </c>
      <c r="E1466" s="42"/>
      <c r="F1466" s="35" t="str">
        <f aca="false">IF($C1466="","",IFERROR(INDEX(PRODUCTOS!$D$6:$D$105,MATCH($C1466,PRODUCTOS!$A$6:$A$105,0)),0))</f>
        <v/>
      </c>
      <c r="G1466" s="40"/>
      <c r="H1466" s="35" t="str">
        <f aca="false">IF($C1466="","",N($E1466)*$F1466-N($G1466))</f>
        <v/>
      </c>
      <c r="I1466" s="35" t="str">
        <f aca="false">IF($C1466="","",$H1466-$H1466/(1+IFERROR(INDEX(PRODUCTOS!$E$6:$E$105,MATCH($C1466,PRODUCTOS!$A$6:$A$105,0)),IVA_VENTAS)))</f>
        <v/>
      </c>
      <c r="J1466" s="35" t="str">
        <f aca="false">IF($C1466="","",$H1466-$I1466)</f>
        <v/>
      </c>
      <c r="K1466" s="35" t="str">
        <f aca="false">IF($C1466="","",N($E1466)*IFERROR(INDEX(PRODUCTOS!$H$6:$H$105,MATCH($C1466,PRODUCTOS!$A$6:$A$105,0)),0))</f>
        <v/>
      </c>
      <c r="L1466" s="35" t="str">
        <f aca="false">IF($C1466="","",$J1466-$K1466)</f>
        <v/>
      </c>
      <c r="M1466" s="6"/>
      <c r="N1466" s="6"/>
      <c r="O1466" s="46" t="str">
        <f aca="false">IF($A1466="","",DATE(YEAR($A1466),MONTH($A1466),1))</f>
        <v/>
      </c>
    </row>
    <row r="1467" customFormat="false" ht="15" hidden="false" customHeight="false" outlineLevel="0" collapsed="false">
      <c r="A1467" s="44"/>
      <c r="B1467" s="6"/>
      <c r="C1467" s="6"/>
      <c r="D1467" s="8" t="str">
        <f aca="false">IF($C1467="","",IFERROR(INDEX(PRODUCTOS!$B$6:$B$105,MATCH($C1467,PRODUCTOS!$A$6:$A$105,0)),"¿Código?"))</f>
        <v/>
      </c>
      <c r="E1467" s="42"/>
      <c r="F1467" s="35" t="str">
        <f aca="false">IF($C1467="","",IFERROR(INDEX(PRODUCTOS!$D$6:$D$105,MATCH($C1467,PRODUCTOS!$A$6:$A$105,0)),0))</f>
        <v/>
      </c>
      <c r="G1467" s="40"/>
      <c r="H1467" s="35" t="str">
        <f aca="false">IF($C1467="","",N($E1467)*$F1467-N($G1467))</f>
        <v/>
      </c>
      <c r="I1467" s="35" t="str">
        <f aca="false">IF($C1467="","",$H1467-$H1467/(1+IFERROR(INDEX(PRODUCTOS!$E$6:$E$105,MATCH($C1467,PRODUCTOS!$A$6:$A$105,0)),IVA_VENTAS)))</f>
        <v/>
      </c>
      <c r="J1467" s="35" t="str">
        <f aca="false">IF($C1467="","",$H1467-$I1467)</f>
        <v/>
      </c>
      <c r="K1467" s="35" t="str">
        <f aca="false">IF($C1467="","",N($E1467)*IFERROR(INDEX(PRODUCTOS!$H$6:$H$105,MATCH($C1467,PRODUCTOS!$A$6:$A$105,0)),0))</f>
        <v/>
      </c>
      <c r="L1467" s="35" t="str">
        <f aca="false">IF($C1467="","",$J1467-$K1467)</f>
        <v/>
      </c>
      <c r="M1467" s="6"/>
      <c r="N1467" s="6"/>
      <c r="O1467" s="46" t="str">
        <f aca="false">IF($A1467="","",DATE(YEAR($A1467),MONTH($A1467),1))</f>
        <v/>
      </c>
    </row>
    <row r="1468" customFormat="false" ht="15" hidden="false" customHeight="false" outlineLevel="0" collapsed="false">
      <c r="A1468" s="44"/>
      <c r="B1468" s="6"/>
      <c r="C1468" s="6"/>
      <c r="D1468" s="8" t="str">
        <f aca="false">IF($C1468="","",IFERROR(INDEX(PRODUCTOS!$B$6:$B$105,MATCH($C1468,PRODUCTOS!$A$6:$A$105,0)),"¿Código?"))</f>
        <v/>
      </c>
      <c r="E1468" s="42"/>
      <c r="F1468" s="35" t="str">
        <f aca="false">IF($C1468="","",IFERROR(INDEX(PRODUCTOS!$D$6:$D$105,MATCH($C1468,PRODUCTOS!$A$6:$A$105,0)),0))</f>
        <v/>
      </c>
      <c r="G1468" s="40"/>
      <c r="H1468" s="35" t="str">
        <f aca="false">IF($C1468="","",N($E1468)*$F1468-N($G1468))</f>
        <v/>
      </c>
      <c r="I1468" s="35" t="str">
        <f aca="false">IF($C1468="","",$H1468-$H1468/(1+IFERROR(INDEX(PRODUCTOS!$E$6:$E$105,MATCH($C1468,PRODUCTOS!$A$6:$A$105,0)),IVA_VENTAS)))</f>
        <v/>
      </c>
      <c r="J1468" s="35" t="str">
        <f aca="false">IF($C1468="","",$H1468-$I1468)</f>
        <v/>
      </c>
      <c r="K1468" s="35" t="str">
        <f aca="false">IF($C1468="","",N($E1468)*IFERROR(INDEX(PRODUCTOS!$H$6:$H$105,MATCH($C1468,PRODUCTOS!$A$6:$A$105,0)),0))</f>
        <v/>
      </c>
      <c r="L1468" s="35" t="str">
        <f aca="false">IF($C1468="","",$J1468-$K1468)</f>
        <v/>
      </c>
      <c r="M1468" s="6"/>
      <c r="N1468" s="6"/>
      <c r="O1468" s="46" t="str">
        <f aca="false">IF($A1468="","",DATE(YEAR($A1468),MONTH($A1468),1))</f>
        <v/>
      </c>
    </row>
    <row r="1469" customFormat="false" ht="15" hidden="false" customHeight="false" outlineLevel="0" collapsed="false">
      <c r="A1469" s="44"/>
      <c r="B1469" s="6"/>
      <c r="C1469" s="6"/>
      <c r="D1469" s="8" t="str">
        <f aca="false">IF($C1469="","",IFERROR(INDEX(PRODUCTOS!$B$6:$B$105,MATCH($C1469,PRODUCTOS!$A$6:$A$105,0)),"¿Código?"))</f>
        <v/>
      </c>
      <c r="E1469" s="42"/>
      <c r="F1469" s="35" t="str">
        <f aca="false">IF($C1469="","",IFERROR(INDEX(PRODUCTOS!$D$6:$D$105,MATCH($C1469,PRODUCTOS!$A$6:$A$105,0)),0))</f>
        <v/>
      </c>
      <c r="G1469" s="40"/>
      <c r="H1469" s="35" t="str">
        <f aca="false">IF($C1469="","",N($E1469)*$F1469-N($G1469))</f>
        <v/>
      </c>
      <c r="I1469" s="35" t="str">
        <f aca="false">IF($C1469="","",$H1469-$H1469/(1+IFERROR(INDEX(PRODUCTOS!$E$6:$E$105,MATCH($C1469,PRODUCTOS!$A$6:$A$105,0)),IVA_VENTAS)))</f>
        <v/>
      </c>
      <c r="J1469" s="35" t="str">
        <f aca="false">IF($C1469="","",$H1469-$I1469)</f>
        <v/>
      </c>
      <c r="K1469" s="35" t="str">
        <f aca="false">IF($C1469="","",N($E1469)*IFERROR(INDEX(PRODUCTOS!$H$6:$H$105,MATCH($C1469,PRODUCTOS!$A$6:$A$105,0)),0))</f>
        <v/>
      </c>
      <c r="L1469" s="35" t="str">
        <f aca="false">IF($C1469="","",$J1469-$K1469)</f>
        <v/>
      </c>
      <c r="M1469" s="6"/>
      <c r="N1469" s="6"/>
      <c r="O1469" s="46" t="str">
        <f aca="false">IF($A1469="","",DATE(YEAR($A1469),MONTH($A1469),1))</f>
        <v/>
      </c>
    </row>
    <row r="1470" customFormat="false" ht="15" hidden="false" customHeight="false" outlineLevel="0" collapsed="false">
      <c r="A1470" s="44"/>
      <c r="B1470" s="6"/>
      <c r="C1470" s="6"/>
      <c r="D1470" s="8" t="str">
        <f aca="false">IF($C1470="","",IFERROR(INDEX(PRODUCTOS!$B$6:$B$105,MATCH($C1470,PRODUCTOS!$A$6:$A$105,0)),"¿Código?"))</f>
        <v/>
      </c>
      <c r="E1470" s="42"/>
      <c r="F1470" s="35" t="str">
        <f aca="false">IF($C1470="","",IFERROR(INDEX(PRODUCTOS!$D$6:$D$105,MATCH($C1470,PRODUCTOS!$A$6:$A$105,0)),0))</f>
        <v/>
      </c>
      <c r="G1470" s="40"/>
      <c r="H1470" s="35" t="str">
        <f aca="false">IF($C1470="","",N($E1470)*$F1470-N($G1470))</f>
        <v/>
      </c>
      <c r="I1470" s="35" t="str">
        <f aca="false">IF($C1470="","",$H1470-$H1470/(1+IFERROR(INDEX(PRODUCTOS!$E$6:$E$105,MATCH($C1470,PRODUCTOS!$A$6:$A$105,0)),IVA_VENTAS)))</f>
        <v/>
      </c>
      <c r="J1470" s="35" t="str">
        <f aca="false">IF($C1470="","",$H1470-$I1470)</f>
        <v/>
      </c>
      <c r="K1470" s="35" t="str">
        <f aca="false">IF($C1470="","",N($E1470)*IFERROR(INDEX(PRODUCTOS!$H$6:$H$105,MATCH($C1470,PRODUCTOS!$A$6:$A$105,0)),0))</f>
        <v/>
      </c>
      <c r="L1470" s="35" t="str">
        <f aca="false">IF($C1470="","",$J1470-$K1470)</f>
        <v/>
      </c>
      <c r="M1470" s="6"/>
      <c r="N1470" s="6"/>
      <c r="O1470" s="46" t="str">
        <f aca="false">IF($A1470="","",DATE(YEAR($A1470),MONTH($A1470),1))</f>
        <v/>
      </c>
    </row>
    <row r="1471" customFormat="false" ht="15" hidden="false" customHeight="false" outlineLevel="0" collapsed="false">
      <c r="A1471" s="44"/>
      <c r="B1471" s="6"/>
      <c r="C1471" s="6"/>
      <c r="D1471" s="8" t="str">
        <f aca="false">IF($C1471="","",IFERROR(INDEX(PRODUCTOS!$B$6:$B$105,MATCH($C1471,PRODUCTOS!$A$6:$A$105,0)),"¿Código?"))</f>
        <v/>
      </c>
      <c r="E1471" s="42"/>
      <c r="F1471" s="35" t="str">
        <f aca="false">IF($C1471="","",IFERROR(INDEX(PRODUCTOS!$D$6:$D$105,MATCH($C1471,PRODUCTOS!$A$6:$A$105,0)),0))</f>
        <v/>
      </c>
      <c r="G1471" s="40"/>
      <c r="H1471" s="35" t="str">
        <f aca="false">IF($C1471="","",N($E1471)*$F1471-N($G1471))</f>
        <v/>
      </c>
      <c r="I1471" s="35" t="str">
        <f aca="false">IF($C1471="","",$H1471-$H1471/(1+IFERROR(INDEX(PRODUCTOS!$E$6:$E$105,MATCH($C1471,PRODUCTOS!$A$6:$A$105,0)),IVA_VENTAS)))</f>
        <v/>
      </c>
      <c r="J1471" s="35" t="str">
        <f aca="false">IF($C1471="","",$H1471-$I1471)</f>
        <v/>
      </c>
      <c r="K1471" s="35" t="str">
        <f aca="false">IF($C1471="","",N($E1471)*IFERROR(INDEX(PRODUCTOS!$H$6:$H$105,MATCH($C1471,PRODUCTOS!$A$6:$A$105,0)),0))</f>
        <v/>
      </c>
      <c r="L1471" s="35" t="str">
        <f aca="false">IF($C1471="","",$J1471-$K1471)</f>
        <v/>
      </c>
      <c r="M1471" s="6"/>
      <c r="N1471" s="6"/>
      <c r="O1471" s="46" t="str">
        <f aca="false">IF($A1471="","",DATE(YEAR($A1471),MONTH($A1471),1))</f>
        <v/>
      </c>
    </row>
    <row r="1472" customFormat="false" ht="15" hidden="false" customHeight="false" outlineLevel="0" collapsed="false">
      <c r="A1472" s="44"/>
      <c r="B1472" s="6"/>
      <c r="C1472" s="6"/>
      <c r="D1472" s="8" t="str">
        <f aca="false">IF($C1472="","",IFERROR(INDEX(PRODUCTOS!$B$6:$B$105,MATCH($C1472,PRODUCTOS!$A$6:$A$105,0)),"¿Código?"))</f>
        <v/>
      </c>
      <c r="E1472" s="42"/>
      <c r="F1472" s="35" t="str">
        <f aca="false">IF($C1472="","",IFERROR(INDEX(PRODUCTOS!$D$6:$D$105,MATCH($C1472,PRODUCTOS!$A$6:$A$105,0)),0))</f>
        <v/>
      </c>
      <c r="G1472" s="40"/>
      <c r="H1472" s="35" t="str">
        <f aca="false">IF($C1472="","",N($E1472)*$F1472-N($G1472))</f>
        <v/>
      </c>
      <c r="I1472" s="35" t="str">
        <f aca="false">IF($C1472="","",$H1472-$H1472/(1+IFERROR(INDEX(PRODUCTOS!$E$6:$E$105,MATCH($C1472,PRODUCTOS!$A$6:$A$105,0)),IVA_VENTAS)))</f>
        <v/>
      </c>
      <c r="J1472" s="35" t="str">
        <f aca="false">IF($C1472="","",$H1472-$I1472)</f>
        <v/>
      </c>
      <c r="K1472" s="35" t="str">
        <f aca="false">IF($C1472="","",N($E1472)*IFERROR(INDEX(PRODUCTOS!$H$6:$H$105,MATCH($C1472,PRODUCTOS!$A$6:$A$105,0)),0))</f>
        <v/>
      </c>
      <c r="L1472" s="35" t="str">
        <f aca="false">IF($C1472="","",$J1472-$K1472)</f>
        <v/>
      </c>
      <c r="M1472" s="6"/>
      <c r="N1472" s="6"/>
      <c r="O1472" s="46" t="str">
        <f aca="false">IF($A1472="","",DATE(YEAR($A1472),MONTH($A1472),1))</f>
        <v/>
      </c>
    </row>
    <row r="1473" customFormat="false" ht="15" hidden="false" customHeight="false" outlineLevel="0" collapsed="false">
      <c r="A1473" s="44"/>
      <c r="B1473" s="6"/>
      <c r="C1473" s="6"/>
      <c r="D1473" s="8" t="str">
        <f aca="false">IF($C1473="","",IFERROR(INDEX(PRODUCTOS!$B$6:$B$105,MATCH($C1473,PRODUCTOS!$A$6:$A$105,0)),"¿Código?"))</f>
        <v/>
      </c>
      <c r="E1473" s="42"/>
      <c r="F1473" s="35" t="str">
        <f aca="false">IF($C1473="","",IFERROR(INDEX(PRODUCTOS!$D$6:$D$105,MATCH($C1473,PRODUCTOS!$A$6:$A$105,0)),0))</f>
        <v/>
      </c>
      <c r="G1473" s="40"/>
      <c r="H1473" s="35" t="str">
        <f aca="false">IF($C1473="","",N($E1473)*$F1473-N($G1473))</f>
        <v/>
      </c>
      <c r="I1473" s="35" t="str">
        <f aca="false">IF($C1473="","",$H1473-$H1473/(1+IFERROR(INDEX(PRODUCTOS!$E$6:$E$105,MATCH($C1473,PRODUCTOS!$A$6:$A$105,0)),IVA_VENTAS)))</f>
        <v/>
      </c>
      <c r="J1473" s="35" t="str">
        <f aca="false">IF($C1473="","",$H1473-$I1473)</f>
        <v/>
      </c>
      <c r="K1473" s="35" t="str">
        <f aca="false">IF($C1473="","",N($E1473)*IFERROR(INDEX(PRODUCTOS!$H$6:$H$105,MATCH($C1473,PRODUCTOS!$A$6:$A$105,0)),0))</f>
        <v/>
      </c>
      <c r="L1473" s="35" t="str">
        <f aca="false">IF($C1473="","",$J1473-$K1473)</f>
        <v/>
      </c>
      <c r="M1473" s="6"/>
      <c r="N1473" s="6"/>
      <c r="O1473" s="46" t="str">
        <f aca="false">IF($A1473="","",DATE(YEAR($A1473),MONTH($A1473),1))</f>
        <v/>
      </c>
    </row>
    <row r="1474" customFormat="false" ht="15" hidden="false" customHeight="false" outlineLevel="0" collapsed="false">
      <c r="A1474" s="44"/>
      <c r="B1474" s="6"/>
      <c r="C1474" s="6"/>
      <c r="D1474" s="8" t="str">
        <f aca="false">IF($C1474="","",IFERROR(INDEX(PRODUCTOS!$B$6:$B$105,MATCH($C1474,PRODUCTOS!$A$6:$A$105,0)),"¿Código?"))</f>
        <v/>
      </c>
      <c r="E1474" s="42"/>
      <c r="F1474" s="35" t="str">
        <f aca="false">IF($C1474="","",IFERROR(INDEX(PRODUCTOS!$D$6:$D$105,MATCH($C1474,PRODUCTOS!$A$6:$A$105,0)),0))</f>
        <v/>
      </c>
      <c r="G1474" s="40"/>
      <c r="H1474" s="35" t="str">
        <f aca="false">IF($C1474="","",N($E1474)*$F1474-N($G1474))</f>
        <v/>
      </c>
      <c r="I1474" s="35" t="str">
        <f aca="false">IF($C1474="","",$H1474-$H1474/(1+IFERROR(INDEX(PRODUCTOS!$E$6:$E$105,MATCH($C1474,PRODUCTOS!$A$6:$A$105,0)),IVA_VENTAS)))</f>
        <v/>
      </c>
      <c r="J1474" s="35" t="str">
        <f aca="false">IF($C1474="","",$H1474-$I1474)</f>
        <v/>
      </c>
      <c r="K1474" s="35" t="str">
        <f aca="false">IF($C1474="","",N($E1474)*IFERROR(INDEX(PRODUCTOS!$H$6:$H$105,MATCH($C1474,PRODUCTOS!$A$6:$A$105,0)),0))</f>
        <v/>
      </c>
      <c r="L1474" s="35" t="str">
        <f aca="false">IF($C1474="","",$J1474-$K1474)</f>
        <v/>
      </c>
      <c r="M1474" s="6"/>
      <c r="N1474" s="6"/>
      <c r="O1474" s="46" t="str">
        <f aca="false">IF($A1474="","",DATE(YEAR($A1474),MONTH($A1474),1))</f>
        <v/>
      </c>
    </row>
    <row r="1475" customFormat="false" ht="15" hidden="false" customHeight="false" outlineLevel="0" collapsed="false">
      <c r="A1475" s="44"/>
      <c r="B1475" s="6"/>
      <c r="C1475" s="6"/>
      <c r="D1475" s="8" t="str">
        <f aca="false">IF($C1475="","",IFERROR(INDEX(PRODUCTOS!$B$6:$B$105,MATCH($C1475,PRODUCTOS!$A$6:$A$105,0)),"¿Código?"))</f>
        <v/>
      </c>
      <c r="E1475" s="42"/>
      <c r="F1475" s="35" t="str">
        <f aca="false">IF($C1475="","",IFERROR(INDEX(PRODUCTOS!$D$6:$D$105,MATCH($C1475,PRODUCTOS!$A$6:$A$105,0)),0))</f>
        <v/>
      </c>
      <c r="G1475" s="40"/>
      <c r="H1475" s="35" t="str">
        <f aca="false">IF($C1475="","",N($E1475)*$F1475-N($G1475))</f>
        <v/>
      </c>
      <c r="I1475" s="35" t="str">
        <f aca="false">IF($C1475="","",$H1475-$H1475/(1+IFERROR(INDEX(PRODUCTOS!$E$6:$E$105,MATCH($C1475,PRODUCTOS!$A$6:$A$105,0)),IVA_VENTAS)))</f>
        <v/>
      </c>
      <c r="J1475" s="35" t="str">
        <f aca="false">IF($C1475="","",$H1475-$I1475)</f>
        <v/>
      </c>
      <c r="K1475" s="35" t="str">
        <f aca="false">IF($C1475="","",N($E1475)*IFERROR(INDEX(PRODUCTOS!$H$6:$H$105,MATCH($C1475,PRODUCTOS!$A$6:$A$105,0)),0))</f>
        <v/>
      </c>
      <c r="L1475" s="35" t="str">
        <f aca="false">IF($C1475="","",$J1475-$K1475)</f>
        <v/>
      </c>
      <c r="M1475" s="6"/>
      <c r="N1475" s="6"/>
      <c r="O1475" s="46" t="str">
        <f aca="false">IF($A1475="","",DATE(YEAR($A1475),MONTH($A1475),1))</f>
        <v/>
      </c>
    </row>
    <row r="1476" customFormat="false" ht="15" hidden="false" customHeight="false" outlineLevel="0" collapsed="false">
      <c r="A1476" s="44"/>
      <c r="B1476" s="6"/>
      <c r="C1476" s="6"/>
      <c r="D1476" s="8" t="str">
        <f aca="false">IF($C1476="","",IFERROR(INDEX(PRODUCTOS!$B$6:$B$105,MATCH($C1476,PRODUCTOS!$A$6:$A$105,0)),"¿Código?"))</f>
        <v/>
      </c>
      <c r="E1476" s="42"/>
      <c r="F1476" s="35" t="str">
        <f aca="false">IF($C1476="","",IFERROR(INDEX(PRODUCTOS!$D$6:$D$105,MATCH($C1476,PRODUCTOS!$A$6:$A$105,0)),0))</f>
        <v/>
      </c>
      <c r="G1476" s="40"/>
      <c r="H1476" s="35" t="str">
        <f aca="false">IF($C1476="","",N($E1476)*$F1476-N($G1476))</f>
        <v/>
      </c>
      <c r="I1476" s="35" t="str">
        <f aca="false">IF($C1476="","",$H1476-$H1476/(1+IFERROR(INDEX(PRODUCTOS!$E$6:$E$105,MATCH($C1476,PRODUCTOS!$A$6:$A$105,0)),IVA_VENTAS)))</f>
        <v/>
      </c>
      <c r="J1476" s="35" t="str">
        <f aca="false">IF($C1476="","",$H1476-$I1476)</f>
        <v/>
      </c>
      <c r="K1476" s="35" t="str">
        <f aca="false">IF($C1476="","",N($E1476)*IFERROR(INDEX(PRODUCTOS!$H$6:$H$105,MATCH($C1476,PRODUCTOS!$A$6:$A$105,0)),0))</f>
        <v/>
      </c>
      <c r="L1476" s="35" t="str">
        <f aca="false">IF($C1476="","",$J1476-$K1476)</f>
        <v/>
      </c>
      <c r="M1476" s="6"/>
      <c r="N1476" s="6"/>
      <c r="O1476" s="46" t="str">
        <f aca="false">IF($A1476="","",DATE(YEAR($A1476),MONTH($A1476),1))</f>
        <v/>
      </c>
    </row>
    <row r="1477" customFormat="false" ht="15" hidden="false" customHeight="false" outlineLevel="0" collapsed="false">
      <c r="A1477" s="44"/>
      <c r="B1477" s="6"/>
      <c r="C1477" s="6"/>
      <c r="D1477" s="8" t="str">
        <f aca="false">IF($C1477="","",IFERROR(INDEX(PRODUCTOS!$B$6:$B$105,MATCH($C1477,PRODUCTOS!$A$6:$A$105,0)),"¿Código?"))</f>
        <v/>
      </c>
      <c r="E1477" s="42"/>
      <c r="F1477" s="35" t="str">
        <f aca="false">IF($C1477="","",IFERROR(INDEX(PRODUCTOS!$D$6:$D$105,MATCH($C1477,PRODUCTOS!$A$6:$A$105,0)),0))</f>
        <v/>
      </c>
      <c r="G1477" s="40"/>
      <c r="H1477" s="35" t="str">
        <f aca="false">IF($C1477="","",N($E1477)*$F1477-N($G1477))</f>
        <v/>
      </c>
      <c r="I1477" s="35" t="str">
        <f aca="false">IF($C1477="","",$H1477-$H1477/(1+IFERROR(INDEX(PRODUCTOS!$E$6:$E$105,MATCH($C1477,PRODUCTOS!$A$6:$A$105,0)),IVA_VENTAS)))</f>
        <v/>
      </c>
      <c r="J1477" s="35" t="str">
        <f aca="false">IF($C1477="","",$H1477-$I1477)</f>
        <v/>
      </c>
      <c r="K1477" s="35" t="str">
        <f aca="false">IF($C1477="","",N($E1477)*IFERROR(INDEX(PRODUCTOS!$H$6:$H$105,MATCH($C1477,PRODUCTOS!$A$6:$A$105,0)),0))</f>
        <v/>
      </c>
      <c r="L1477" s="35" t="str">
        <f aca="false">IF($C1477="","",$J1477-$K1477)</f>
        <v/>
      </c>
      <c r="M1477" s="6"/>
      <c r="N1477" s="6"/>
      <c r="O1477" s="46" t="str">
        <f aca="false">IF($A1477="","",DATE(YEAR($A1477),MONTH($A1477),1))</f>
        <v/>
      </c>
    </row>
    <row r="1478" customFormat="false" ht="15" hidden="false" customHeight="false" outlineLevel="0" collapsed="false">
      <c r="A1478" s="44"/>
      <c r="B1478" s="6"/>
      <c r="C1478" s="6"/>
      <c r="D1478" s="8" t="str">
        <f aca="false">IF($C1478="","",IFERROR(INDEX(PRODUCTOS!$B$6:$B$105,MATCH($C1478,PRODUCTOS!$A$6:$A$105,0)),"¿Código?"))</f>
        <v/>
      </c>
      <c r="E1478" s="42"/>
      <c r="F1478" s="35" t="str">
        <f aca="false">IF($C1478="","",IFERROR(INDEX(PRODUCTOS!$D$6:$D$105,MATCH($C1478,PRODUCTOS!$A$6:$A$105,0)),0))</f>
        <v/>
      </c>
      <c r="G1478" s="40"/>
      <c r="H1478" s="35" t="str">
        <f aca="false">IF($C1478="","",N($E1478)*$F1478-N($G1478))</f>
        <v/>
      </c>
      <c r="I1478" s="35" t="str">
        <f aca="false">IF($C1478="","",$H1478-$H1478/(1+IFERROR(INDEX(PRODUCTOS!$E$6:$E$105,MATCH($C1478,PRODUCTOS!$A$6:$A$105,0)),IVA_VENTAS)))</f>
        <v/>
      </c>
      <c r="J1478" s="35" t="str">
        <f aca="false">IF($C1478="","",$H1478-$I1478)</f>
        <v/>
      </c>
      <c r="K1478" s="35" t="str">
        <f aca="false">IF($C1478="","",N($E1478)*IFERROR(INDEX(PRODUCTOS!$H$6:$H$105,MATCH($C1478,PRODUCTOS!$A$6:$A$105,0)),0))</f>
        <v/>
      </c>
      <c r="L1478" s="35" t="str">
        <f aca="false">IF($C1478="","",$J1478-$K1478)</f>
        <v/>
      </c>
      <c r="M1478" s="6"/>
      <c r="N1478" s="6"/>
      <c r="O1478" s="46" t="str">
        <f aca="false">IF($A1478="","",DATE(YEAR($A1478),MONTH($A1478),1))</f>
        <v/>
      </c>
    </row>
    <row r="1479" customFormat="false" ht="15" hidden="false" customHeight="false" outlineLevel="0" collapsed="false">
      <c r="A1479" s="44"/>
      <c r="B1479" s="6"/>
      <c r="C1479" s="6"/>
      <c r="D1479" s="8" t="str">
        <f aca="false">IF($C1479="","",IFERROR(INDEX(PRODUCTOS!$B$6:$B$105,MATCH($C1479,PRODUCTOS!$A$6:$A$105,0)),"¿Código?"))</f>
        <v/>
      </c>
      <c r="E1479" s="42"/>
      <c r="F1479" s="35" t="str">
        <f aca="false">IF($C1479="","",IFERROR(INDEX(PRODUCTOS!$D$6:$D$105,MATCH($C1479,PRODUCTOS!$A$6:$A$105,0)),0))</f>
        <v/>
      </c>
      <c r="G1479" s="40"/>
      <c r="H1479" s="35" t="str">
        <f aca="false">IF($C1479="","",N($E1479)*$F1479-N($G1479))</f>
        <v/>
      </c>
      <c r="I1479" s="35" t="str">
        <f aca="false">IF($C1479="","",$H1479-$H1479/(1+IFERROR(INDEX(PRODUCTOS!$E$6:$E$105,MATCH($C1479,PRODUCTOS!$A$6:$A$105,0)),IVA_VENTAS)))</f>
        <v/>
      </c>
      <c r="J1479" s="35" t="str">
        <f aca="false">IF($C1479="","",$H1479-$I1479)</f>
        <v/>
      </c>
      <c r="K1479" s="35" t="str">
        <f aca="false">IF($C1479="","",N($E1479)*IFERROR(INDEX(PRODUCTOS!$H$6:$H$105,MATCH($C1479,PRODUCTOS!$A$6:$A$105,0)),0))</f>
        <v/>
      </c>
      <c r="L1479" s="35" t="str">
        <f aca="false">IF($C1479="","",$J1479-$K1479)</f>
        <v/>
      </c>
      <c r="M1479" s="6"/>
      <c r="N1479" s="6"/>
      <c r="O1479" s="46" t="str">
        <f aca="false">IF($A1479="","",DATE(YEAR($A1479),MONTH($A1479),1))</f>
        <v/>
      </c>
    </row>
    <row r="1480" customFormat="false" ht="15" hidden="false" customHeight="false" outlineLevel="0" collapsed="false">
      <c r="A1480" s="44"/>
      <c r="B1480" s="6"/>
      <c r="C1480" s="6"/>
      <c r="D1480" s="8" t="str">
        <f aca="false">IF($C1480="","",IFERROR(INDEX(PRODUCTOS!$B$6:$B$105,MATCH($C1480,PRODUCTOS!$A$6:$A$105,0)),"¿Código?"))</f>
        <v/>
      </c>
      <c r="E1480" s="42"/>
      <c r="F1480" s="35" t="str">
        <f aca="false">IF($C1480="","",IFERROR(INDEX(PRODUCTOS!$D$6:$D$105,MATCH($C1480,PRODUCTOS!$A$6:$A$105,0)),0))</f>
        <v/>
      </c>
      <c r="G1480" s="40"/>
      <c r="H1480" s="35" t="str">
        <f aca="false">IF($C1480="","",N($E1480)*$F1480-N($G1480))</f>
        <v/>
      </c>
      <c r="I1480" s="35" t="str">
        <f aca="false">IF($C1480="","",$H1480-$H1480/(1+IFERROR(INDEX(PRODUCTOS!$E$6:$E$105,MATCH($C1480,PRODUCTOS!$A$6:$A$105,0)),IVA_VENTAS)))</f>
        <v/>
      </c>
      <c r="J1480" s="35" t="str">
        <f aca="false">IF($C1480="","",$H1480-$I1480)</f>
        <v/>
      </c>
      <c r="K1480" s="35" t="str">
        <f aca="false">IF($C1480="","",N($E1480)*IFERROR(INDEX(PRODUCTOS!$H$6:$H$105,MATCH($C1480,PRODUCTOS!$A$6:$A$105,0)),0))</f>
        <v/>
      </c>
      <c r="L1480" s="35" t="str">
        <f aca="false">IF($C1480="","",$J1480-$K1480)</f>
        <v/>
      </c>
      <c r="M1480" s="6"/>
      <c r="N1480" s="6"/>
      <c r="O1480" s="46" t="str">
        <f aca="false">IF($A1480="","",DATE(YEAR($A1480),MONTH($A1480),1))</f>
        <v/>
      </c>
    </row>
    <row r="1481" customFormat="false" ht="15" hidden="false" customHeight="false" outlineLevel="0" collapsed="false">
      <c r="A1481" s="44"/>
      <c r="B1481" s="6"/>
      <c r="C1481" s="6"/>
      <c r="D1481" s="8" t="str">
        <f aca="false">IF($C1481="","",IFERROR(INDEX(PRODUCTOS!$B$6:$B$105,MATCH($C1481,PRODUCTOS!$A$6:$A$105,0)),"¿Código?"))</f>
        <v/>
      </c>
      <c r="E1481" s="42"/>
      <c r="F1481" s="35" t="str">
        <f aca="false">IF($C1481="","",IFERROR(INDEX(PRODUCTOS!$D$6:$D$105,MATCH($C1481,PRODUCTOS!$A$6:$A$105,0)),0))</f>
        <v/>
      </c>
      <c r="G1481" s="40"/>
      <c r="H1481" s="35" t="str">
        <f aca="false">IF($C1481="","",N($E1481)*$F1481-N($G1481))</f>
        <v/>
      </c>
      <c r="I1481" s="35" t="str">
        <f aca="false">IF($C1481="","",$H1481-$H1481/(1+IFERROR(INDEX(PRODUCTOS!$E$6:$E$105,MATCH($C1481,PRODUCTOS!$A$6:$A$105,0)),IVA_VENTAS)))</f>
        <v/>
      </c>
      <c r="J1481" s="35" t="str">
        <f aca="false">IF($C1481="","",$H1481-$I1481)</f>
        <v/>
      </c>
      <c r="K1481" s="35" t="str">
        <f aca="false">IF($C1481="","",N($E1481)*IFERROR(INDEX(PRODUCTOS!$H$6:$H$105,MATCH($C1481,PRODUCTOS!$A$6:$A$105,0)),0))</f>
        <v/>
      </c>
      <c r="L1481" s="35" t="str">
        <f aca="false">IF($C1481="","",$J1481-$K1481)</f>
        <v/>
      </c>
      <c r="M1481" s="6"/>
      <c r="N1481" s="6"/>
      <c r="O1481" s="46" t="str">
        <f aca="false">IF($A1481="","",DATE(YEAR($A1481),MONTH($A1481),1))</f>
        <v/>
      </c>
    </row>
    <row r="1482" customFormat="false" ht="15" hidden="false" customHeight="false" outlineLevel="0" collapsed="false">
      <c r="A1482" s="44"/>
      <c r="B1482" s="6"/>
      <c r="C1482" s="6"/>
      <c r="D1482" s="8" t="str">
        <f aca="false">IF($C1482="","",IFERROR(INDEX(PRODUCTOS!$B$6:$B$105,MATCH($C1482,PRODUCTOS!$A$6:$A$105,0)),"¿Código?"))</f>
        <v/>
      </c>
      <c r="E1482" s="42"/>
      <c r="F1482" s="35" t="str">
        <f aca="false">IF($C1482="","",IFERROR(INDEX(PRODUCTOS!$D$6:$D$105,MATCH($C1482,PRODUCTOS!$A$6:$A$105,0)),0))</f>
        <v/>
      </c>
      <c r="G1482" s="40"/>
      <c r="H1482" s="35" t="str">
        <f aca="false">IF($C1482="","",N($E1482)*$F1482-N($G1482))</f>
        <v/>
      </c>
      <c r="I1482" s="35" t="str">
        <f aca="false">IF($C1482="","",$H1482-$H1482/(1+IFERROR(INDEX(PRODUCTOS!$E$6:$E$105,MATCH($C1482,PRODUCTOS!$A$6:$A$105,0)),IVA_VENTAS)))</f>
        <v/>
      </c>
      <c r="J1482" s="35" t="str">
        <f aca="false">IF($C1482="","",$H1482-$I1482)</f>
        <v/>
      </c>
      <c r="K1482" s="35" t="str">
        <f aca="false">IF($C1482="","",N($E1482)*IFERROR(INDEX(PRODUCTOS!$H$6:$H$105,MATCH($C1482,PRODUCTOS!$A$6:$A$105,0)),0))</f>
        <v/>
      </c>
      <c r="L1482" s="35" t="str">
        <f aca="false">IF($C1482="","",$J1482-$K1482)</f>
        <v/>
      </c>
      <c r="M1482" s="6"/>
      <c r="N1482" s="6"/>
      <c r="O1482" s="46" t="str">
        <f aca="false">IF($A1482="","",DATE(YEAR($A1482),MONTH($A1482),1))</f>
        <v/>
      </c>
    </row>
    <row r="1483" customFormat="false" ht="15" hidden="false" customHeight="false" outlineLevel="0" collapsed="false">
      <c r="A1483" s="44"/>
      <c r="B1483" s="6"/>
      <c r="C1483" s="6"/>
      <c r="D1483" s="8" t="str">
        <f aca="false">IF($C1483="","",IFERROR(INDEX(PRODUCTOS!$B$6:$B$105,MATCH($C1483,PRODUCTOS!$A$6:$A$105,0)),"¿Código?"))</f>
        <v/>
      </c>
      <c r="E1483" s="42"/>
      <c r="F1483" s="35" t="str">
        <f aca="false">IF($C1483="","",IFERROR(INDEX(PRODUCTOS!$D$6:$D$105,MATCH($C1483,PRODUCTOS!$A$6:$A$105,0)),0))</f>
        <v/>
      </c>
      <c r="G1483" s="40"/>
      <c r="H1483" s="35" t="str">
        <f aca="false">IF($C1483="","",N($E1483)*$F1483-N($G1483))</f>
        <v/>
      </c>
      <c r="I1483" s="35" t="str">
        <f aca="false">IF($C1483="","",$H1483-$H1483/(1+IFERROR(INDEX(PRODUCTOS!$E$6:$E$105,MATCH($C1483,PRODUCTOS!$A$6:$A$105,0)),IVA_VENTAS)))</f>
        <v/>
      </c>
      <c r="J1483" s="35" t="str">
        <f aca="false">IF($C1483="","",$H1483-$I1483)</f>
        <v/>
      </c>
      <c r="K1483" s="35" t="str">
        <f aca="false">IF($C1483="","",N($E1483)*IFERROR(INDEX(PRODUCTOS!$H$6:$H$105,MATCH($C1483,PRODUCTOS!$A$6:$A$105,0)),0))</f>
        <v/>
      </c>
      <c r="L1483" s="35" t="str">
        <f aca="false">IF($C1483="","",$J1483-$K1483)</f>
        <v/>
      </c>
      <c r="M1483" s="6"/>
      <c r="N1483" s="6"/>
      <c r="O1483" s="46" t="str">
        <f aca="false">IF($A1483="","",DATE(YEAR($A1483),MONTH($A1483),1))</f>
        <v/>
      </c>
    </row>
    <row r="1484" customFormat="false" ht="15" hidden="false" customHeight="false" outlineLevel="0" collapsed="false">
      <c r="A1484" s="44"/>
      <c r="B1484" s="6"/>
      <c r="C1484" s="6"/>
      <c r="D1484" s="8" t="str">
        <f aca="false">IF($C1484="","",IFERROR(INDEX(PRODUCTOS!$B$6:$B$105,MATCH($C1484,PRODUCTOS!$A$6:$A$105,0)),"¿Código?"))</f>
        <v/>
      </c>
      <c r="E1484" s="42"/>
      <c r="F1484" s="35" t="str">
        <f aca="false">IF($C1484="","",IFERROR(INDEX(PRODUCTOS!$D$6:$D$105,MATCH($C1484,PRODUCTOS!$A$6:$A$105,0)),0))</f>
        <v/>
      </c>
      <c r="G1484" s="40"/>
      <c r="H1484" s="35" t="str">
        <f aca="false">IF($C1484="","",N($E1484)*$F1484-N($G1484))</f>
        <v/>
      </c>
      <c r="I1484" s="35" t="str">
        <f aca="false">IF($C1484="","",$H1484-$H1484/(1+IFERROR(INDEX(PRODUCTOS!$E$6:$E$105,MATCH($C1484,PRODUCTOS!$A$6:$A$105,0)),IVA_VENTAS)))</f>
        <v/>
      </c>
      <c r="J1484" s="35" t="str">
        <f aca="false">IF($C1484="","",$H1484-$I1484)</f>
        <v/>
      </c>
      <c r="K1484" s="35" t="str">
        <f aca="false">IF($C1484="","",N($E1484)*IFERROR(INDEX(PRODUCTOS!$H$6:$H$105,MATCH($C1484,PRODUCTOS!$A$6:$A$105,0)),0))</f>
        <v/>
      </c>
      <c r="L1484" s="35" t="str">
        <f aca="false">IF($C1484="","",$J1484-$K1484)</f>
        <v/>
      </c>
      <c r="M1484" s="6"/>
      <c r="N1484" s="6"/>
      <c r="O1484" s="46" t="str">
        <f aca="false">IF($A1484="","",DATE(YEAR($A1484),MONTH($A1484),1))</f>
        <v/>
      </c>
    </row>
    <row r="1485" customFormat="false" ht="15" hidden="false" customHeight="false" outlineLevel="0" collapsed="false">
      <c r="A1485" s="44"/>
      <c r="B1485" s="6"/>
      <c r="C1485" s="6"/>
      <c r="D1485" s="8" t="str">
        <f aca="false">IF($C1485="","",IFERROR(INDEX(PRODUCTOS!$B$6:$B$105,MATCH($C1485,PRODUCTOS!$A$6:$A$105,0)),"¿Código?"))</f>
        <v/>
      </c>
      <c r="E1485" s="42"/>
      <c r="F1485" s="35" t="str">
        <f aca="false">IF($C1485="","",IFERROR(INDEX(PRODUCTOS!$D$6:$D$105,MATCH($C1485,PRODUCTOS!$A$6:$A$105,0)),0))</f>
        <v/>
      </c>
      <c r="G1485" s="40"/>
      <c r="H1485" s="35" t="str">
        <f aca="false">IF($C1485="","",N($E1485)*$F1485-N($G1485))</f>
        <v/>
      </c>
      <c r="I1485" s="35" t="str">
        <f aca="false">IF($C1485="","",$H1485-$H1485/(1+IFERROR(INDEX(PRODUCTOS!$E$6:$E$105,MATCH($C1485,PRODUCTOS!$A$6:$A$105,0)),IVA_VENTAS)))</f>
        <v/>
      </c>
      <c r="J1485" s="35" t="str">
        <f aca="false">IF($C1485="","",$H1485-$I1485)</f>
        <v/>
      </c>
      <c r="K1485" s="35" t="str">
        <f aca="false">IF($C1485="","",N($E1485)*IFERROR(INDEX(PRODUCTOS!$H$6:$H$105,MATCH($C1485,PRODUCTOS!$A$6:$A$105,0)),0))</f>
        <v/>
      </c>
      <c r="L1485" s="35" t="str">
        <f aca="false">IF($C1485="","",$J1485-$K1485)</f>
        <v/>
      </c>
      <c r="M1485" s="6"/>
      <c r="N1485" s="6"/>
      <c r="O1485" s="46" t="str">
        <f aca="false">IF($A1485="","",DATE(YEAR($A1485),MONTH($A1485),1))</f>
        <v/>
      </c>
    </row>
    <row r="1486" customFormat="false" ht="15" hidden="false" customHeight="false" outlineLevel="0" collapsed="false">
      <c r="A1486" s="44"/>
      <c r="B1486" s="6"/>
      <c r="C1486" s="6"/>
      <c r="D1486" s="8" t="str">
        <f aca="false">IF($C1486="","",IFERROR(INDEX(PRODUCTOS!$B$6:$B$105,MATCH($C1486,PRODUCTOS!$A$6:$A$105,0)),"¿Código?"))</f>
        <v/>
      </c>
      <c r="E1486" s="42"/>
      <c r="F1486" s="35" t="str">
        <f aca="false">IF($C1486="","",IFERROR(INDEX(PRODUCTOS!$D$6:$D$105,MATCH($C1486,PRODUCTOS!$A$6:$A$105,0)),0))</f>
        <v/>
      </c>
      <c r="G1486" s="40"/>
      <c r="H1486" s="35" t="str">
        <f aca="false">IF($C1486="","",N($E1486)*$F1486-N($G1486))</f>
        <v/>
      </c>
      <c r="I1486" s="35" t="str">
        <f aca="false">IF($C1486="","",$H1486-$H1486/(1+IFERROR(INDEX(PRODUCTOS!$E$6:$E$105,MATCH($C1486,PRODUCTOS!$A$6:$A$105,0)),IVA_VENTAS)))</f>
        <v/>
      </c>
      <c r="J1486" s="35" t="str">
        <f aca="false">IF($C1486="","",$H1486-$I1486)</f>
        <v/>
      </c>
      <c r="K1486" s="35" t="str">
        <f aca="false">IF($C1486="","",N($E1486)*IFERROR(INDEX(PRODUCTOS!$H$6:$H$105,MATCH($C1486,PRODUCTOS!$A$6:$A$105,0)),0))</f>
        <v/>
      </c>
      <c r="L1486" s="35" t="str">
        <f aca="false">IF($C1486="","",$J1486-$K1486)</f>
        <v/>
      </c>
      <c r="M1486" s="6"/>
      <c r="N1486" s="6"/>
      <c r="O1486" s="46" t="str">
        <f aca="false">IF($A1486="","",DATE(YEAR($A1486),MONTH($A1486),1))</f>
        <v/>
      </c>
    </row>
    <row r="1487" customFormat="false" ht="15" hidden="false" customHeight="false" outlineLevel="0" collapsed="false">
      <c r="A1487" s="44"/>
      <c r="B1487" s="6"/>
      <c r="C1487" s="6"/>
      <c r="D1487" s="8" t="str">
        <f aca="false">IF($C1487="","",IFERROR(INDEX(PRODUCTOS!$B$6:$B$105,MATCH($C1487,PRODUCTOS!$A$6:$A$105,0)),"¿Código?"))</f>
        <v/>
      </c>
      <c r="E1487" s="42"/>
      <c r="F1487" s="35" t="str">
        <f aca="false">IF($C1487="","",IFERROR(INDEX(PRODUCTOS!$D$6:$D$105,MATCH($C1487,PRODUCTOS!$A$6:$A$105,0)),0))</f>
        <v/>
      </c>
      <c r="G1487" s="40"/>
      <c r="H1487" s="35" t="str">
        <f aca="false">IF($C1487="","",N($E1487)*$F1487-N($G1487))</f>
        <v/>
      </c>
      <c r="I1487" s="35" t="str">
        <f aca="false">IF($C1487="","",$H1487-$H1487/(1+IFERROR(INDEX(PRODUCTOS!$E$6:$E$105,MATCH($C1487,PRODUCTOS!$A$6:$A$105,0)),IVA_VENTAS)))</f>
        <v/>
      </c>
      <c r="J1487" s="35" t="str">
        <f aca="false">IF($C1487="","",$H1487-$I1487)</f>
        <v/>
      </c>
      <c r="K1487" s="35" t="str">
        <f aca="false">IF($C1487="","",N($E1487)*IFERROR(INDEX(PRODUCTOS!$H$6:$H$105,MATCH($C1487,PRODUCTOS!$A$6:$A$105,0)),0))</f>
        <v/>
      </c>
      <c r="L1487" s="35" t="str">
        <f aca="false">IF($C1487="","",$J1487-$K1487)</f>
        <v/>
      </c>
      <c r="M1487" s="6"/>
      <c r="N1487" s="6"/>
      <c r="O1487" s="46" t="str">
        <f aca="false">IF($A1487="","",DATE(YEAR($A1487),MONTH($A1487),1))</f>
        <v/>
      </c>
    </row>
    <row r="1488" customFormat="false" ht="15" hidden="false" customHeight="false" outlineLevel="0" collapsed="false">
      <c r="A1488" s="44"/>
      <c r="B1488" s="6"/>
      <c r="C1488" s="6"/>
      <c r="D1488" s="8" t="str">
        <f aca="false">IF($C1488="","",IFERROR(INDEX(PRODUCTOS!$B$6:$B$105,MATCH($C1488,PRODUCTOS!$A$6:$A$105,0)),"¿Código?"))</f>
        <v/>
      </c>
      <c r="E1488" s="42"/>
      <c r="F1488" s="35" t="str">
        <f aca="false">IF($C1488="","",IFERROR(INDEX(PRODUCTOS!$D$6:$D$105,MATCH($C1488,PRODUCTOS!$A$6:$A$105,0)),0))</f>
        <v/>
      </c>
      <c r="G1488" s="40"/>
      <c r="H1488" s="35" t="str">
        <f aca="false">IF($C1488="","",N($E1488)*$F1488-N($G1488))</f>
        <v/>
      </c>
      <c r="I1488" s="35" t="str">
        <f aca="false">IF($C1488="","",$H1488-$H1488/(1+IFERROR(INDEX(PRODUCTOS!$E$6:$E$105,MATCH($C1488,PRODUCTOS!$A$6:$A$105,0)),IVA_VENTAS)))</f>
        <v/>
      </c>
      <c r="J1488" s="35" t="str">
        <f aca="false">IF($C1488="","",$H1488-$I1488)</f>
        <v/>
      </c>
      <c r="K1488" s="35" t="str">
        <f aca="false">IF($C1488="","",N($E1488)*IFERROR(INDEX(PRODUCTOS!$H$6:$H$105,MATCH($C1488,PRODUCTOS!$A$6:$A$105,0)),0))</f>
        <v/>
      </c>
      <c r="L1488" s="35" t="str">
        <f aca="false">IF($C1488="","",$J1488-$K1488)</f>
        <v/>
      </c>
      <c r="M1488" s="6"/>
      <c r="N1488" s="6"/>
      <c r="O1488" s="46" t="str">
        <f aca="false">IF($A1488="","",DATE(YEAR($A1488),MONTH($A1488),1))</f>
        <v/>
      </c>
    </row>
    <row r="1489" customFormat="false" ht="15" hidden="false" customHeight="false" outlineLevel="0" collapsed="false">
      <c r="A1489" s="44"/>
      <c r="B1489" s="6"/>
      <c r="C1489" s="6"/>
      <c r="D1489" s="8" t="str">
        <f aca="false">IF($C1489="","",IFERROR(INDEX(PRODUCTOS!$B$6:$B$105,MATCH($C1489,PRODUCTOS!$A$6:$A$105,0)),"¿Código?"))</f>
        <v/>
      </c>
      <c r="E1489" s="42"/>
      <c r="F1489" s="35" t="str">
        <f aca="false">IF($C1489="","",IFERROR(INDEX(PRODUCTOS!$D$6:$D$105,MATCH($C1489,PRODUCTOS!$A$6:$A$105,0)),0))</f>
        <v/>
      </c>
      <c r="G1489" s="40"/>
      <c r="H1489" s="35" t="str">
        <f aca="false">IF($C1489="","",N($E1489)*$F1489-N($G1489))</f>
        <v/>
      </c>
      <c r="I1489" s="35" t="str">
        <f aca="false">IF($C1489="","",$H1489-$H1489/(1+IFERROR(INDEX(PRODUCTOS!$E$6:$E$105,MATCH($C1489,PRODUCTOS!$A$6:$A$105,0)),IVA_VENTAS)))</f>
        <v/>
      </c>
      <c r="J1489" s="35" t="str">
        <f aca="false">IF($C1489="","",$H1489-$I1489)</f>
        <v/>
      </c>
      <c r="K1489" s="35" t="str">
        <f aca="false">IF($C1489="","",N($E1489)*IFERROR(INDEX(PRODUCTOS!$H$6:$H$105,MATCH($C1489,PRODUCTOS!$A$6:$A$105,0)),0))</f>
        <v/>
      </c>
      <c r="L1489" s="35" t="str">
        <f aca="false">IF($C1489="","",$J1489-$K1489)</f>
        <v/>
      </c>
      <c r="M1489" s="6"/>
      <c r="N1489" s="6"/>
      <c r="O1489" s="46" t="str">
        <f aca="false">IF($A1489="","",DATE(YEAR($A1489),MONTH($A1489),1))</f>
        <v/>
      </c>
    </row>
    <row r="1490" customFormat="false" ht="15" hidden="false" customHeight="false" outlineLevel="0" collapsed="false">
      <c r="A1490" s="44"/>
      <c r="B1490" s="6"/>
      <c r="C1490" s="6"/>
      <c r="D1490" s="8" t="str">
        <f aca="false">IF($C1490="","",IFERROR(INDEX(PRODUCTOS!$B$6:$B$105,MATCH($C1490,PRODUCTOS!$A$6:$A$105,0)),"¿Código?"))</f>
        <v/>
      </c>
      <c r="E1490" s="42"/>
      <c r="F1490" s="35" t="str">
        <f aca="false">IF($C1490="","",IFERROR(INDEX(PRODUCTOS!$D$6:$D$105,MATCH($C1490,PRODUCTOS!$A$6:$A$105,0)),0))</f>
        <v/>
      </c>
      <c r="G1490" s="40"/>
      <c r="H1490" s="35" t="str">
        <f aca="false">IF($C1490="","",N($E1490)*$F1490-N($G1490))</f>
        <v/>
      </c>
      <c r="I1490" s="35" t="str">
        <f aca="false">IF($C1490="","",$H1490-$H1490/(1+IFERROR(INDEX(PRODUCTOS!$E$6:$E$105,MATCH($C1490,PRODUCTOS!$A$6:$A$105,0)),IVA_VENTAS)))</f>
        <v/>
      </c>
      <c r="J1490" s="35" t="str">
        <f aca="false">IF($C1490="","",$H1490-$I1490)</f>
        <v/>
      </c>
      <c r="K1490" s="35" t="str">
        <f aca="false">IF($C1490="","",N($E1490)*IFERROR(INDEX(PRODUCTOS!$H$6:$H$105,MATCH($C1490,PRODUCTOS!$A$6:$A$105,0)),0))</f>
        <v/>
      </c>
      <c r="L1490" s="35" t="str">
        <f aca="false">IF($C1490="","",$J1490-$K1490)</f>
        <v/>
      </c>
      <c r="M1490" s="6"/>
      <c r="N1490" s="6"/>
      <c r="O1490" s="46" t="str">
        <f aca="false">IF($A1490="","",DATE(YEAR($A1490),MONTH($A1490),1))</f>
        <v/>
      </c>
    </row>
    <row r="1491" customFormat="false" ht="15" hidden="false" customHeight="false" outlineLevel="0" collapsed="false">
      <c r="A1491" s="44"/>
      <c r="B1491" s="6"/>
      <c r="C1491" s="6"/>
      <c r="D1491" s="8" t="str">
        <f aca="false">IF($C1491="","",IFERROR(INDEX(PRODUCTOS!$B$6:$B$105,MATCH($C1491,PRODUCTOS!$A$6:$A$105,0)),"¿Código?"))</f>
        <v/>
      </c>
      <c r="E1491" s="42"/>
      <c r="F1491" s="35" t="str">
        <f aca="false">IF($C1491="","",IFERROR(INDEX(PRODUCTOS!$D$6:$D$105,MATCH($C1491,PRODUCTOS!$A$6:$A$105,0)),0))</f>
        <v/>
      </c>
      <c r="G1491" s="40"/>
      <c r="H1491" s="35" t="str">
        <f aca="false">IF($C1491="","",N($E1491)*$F1491-N($G1491))</f>
        <v/>
      </c>
      <c r="I1491" s="35" t="str">
        <f aca="false">IF($C1491="","",$H1491-$H1491/(1+IFERROR(INDEX(PRODUCTOS!$E$6:$E$105,MATCH($C1491,PRODUCTOS!$A$6:$A$105,0)),IVA_VENTAS)))</f>
        <v/>
      </c>
      <c r="J1491" s="35" t="str">
        <f aca="false">IF($C1491="","",$H1491-$I1491)</f>
        <v/>
      </c>
      <c r="K1491" s="35" t="str">
        <f aca="false">IF($C1491="","",N($E1491)*IFERROR(INDEX(PRODUCTOS!$H$6:$H$105,MATCH($C1491,PRODUCTOS!$A$6:$A$105,0)),0))</f>
        <v/>
      </c>
      <c r="L1491" s="35" t="str">
        <f aca="false">IF($C1491="","",$J1491-$K1491)</f>
        <v/>
      </c>
      <c r="M1491" s="6"/>
      <c r="N1491" s="6"/>
      <c r="O1491" s="46" t="str">
        <f aca="false">IF($A1491="","",DATE(YEAR($A1491),MONTH($A1491),1))</f>
        <v/>
      </c>
    </row>
    <row r="1492" customFormat="false" ht="15" hidden="false" customHeight="false" outlineLevel="0" collapsed="false">
      <c r="A1492" s="44"/>
      <c r="B1492" s="6"/>
      <c r="C1492" s="6"/>
      <c r="D1492" s="8" t="str">
        <f aca="false">IF($C1492="","",IFERROR(INDEX(PRODUCTOS!$B$6:$B$105,MATCH($C1492,PRODUCTOS!$A$6:$A$105,0)),"¿Código?"))</f>
        <v/>
      </c>
      <c r="E1492" s="42"/>
      <c r="F1492" s="35" t="str">
        <f aca="false">IF($C1492="","",IFERROR(INDEX(PRODUCTOS!$D$6:$D$105,MATCH($C1492,PRODUCTOS!$A$6:$A$105,0)),0))</f>
        <v/>
      </c>
      <c r="G1492" s="40"/>
      <c r="H1492" s="35" t="str">
        <f aca="false">IF($C1492="","",N($E1492)*$F1492-N($G1492))</f>
        <v/>
      </c>
      <c r="I1492" s="35" t="str">
        <f aca="false">IF($C1492="","",$H1492-$H1492/(1+IFERROR(INDEX(PRODUCTOS!$E$6:$E$105,MATCH($C1492,PRODUCTOS!$A$6:$A$105,0)),IVA_VENTAS)))</f>
        <v/>
      </c>
      <c r="J1492" s="35" t="str">
        <f aca="false">IF($C1492="","",$H1492-$I1492)</f>
        <v/>
      </c>
      <c r="K1492" s="35" t="str">
        <f aca="false">IF($C1492="","",N($E1492)*IFERROR(INDEX(PRODUCTOS!$H$6:$H$105,MATCH($C1492,PRODUCTOS!$A$6:$A$105,0)),0))</f>
        <v/>
      </c>
      <c r="L1492" s="35" t="str">
        <f aca="false">IF($C1492="","",$J1492-$K1492)</f>
        <v/>
      </c>
      <c r="M1492" s="6"/>
      <c r="N1492" s="6"/>
      <c r="O1492" s="46" t="str">
        <f aca="false">IF($A1492="","",DATE(YEAR($A1492),MONTH($A1492),1))</f>
        <v/>
      </c>
    </row>
    <row r="1493" customFormat="false" ht="15" hidden="false" customHeight="false" outlineLevel="0" collapsed="false">
      <c r="A1493" s="44"/>
      <c r="B1493" s="6"/>
      <c r="C1493" s="6"/>
      <c r="D1493" s="8" t="str">
        <f aca="false">IF($C1493="","",IFERROR(INDEX(PRODUCTOS!$B$6:$B$105,MATCH($C1493,PRODUCTOS!$A$6:$A$105,0)),"¿Código?"))</f>
        <v/>
      </c>
      <c r="E1493" s="42"/>
      <c r="F1493" s="35" t="str">
        <f aca="false">IF($C1493="","",IFERROR(INDEX(PRODUCTOS!$D$6:$D$105,MATCH($C1493,PRODUCTOS!$A$6:$A$105,0)),0))</f>
        <v/>
      </c>
      <c r="G1493" s="40"/>
      <c r="H1493" s="35" t="str">
        <f aca="false">IF($C1493="","",N($E1493)*$F1493-N($G1493))</f>
        <v/>
      </c>
      <c r="I1493" s="35" t="str">
        <f aca="false">IF($C1493="","",$H1493-$H1493/(1+IFERROR(INDEX(PRODUCTOS!$E$6:$E$105,MATCH($C1493,PRODUCTOS!$A$6:$A$105,0)),IVA_VENTAS)))</f>
        <v/>
      </c>
      <c r="J1493" s="35" t="str">
        <f aca="false">IF($C1493="","",$H1493-$I1493)</f>
        <v/>
      </c>
      <c r="K1493" s="35" t="str">
        <f aca="false">IF($C1493="","",N($E1493)*IFERROR(INDEX(PRODUCTOS!$H$6:$H$105,MATCH($C1493,PRODUCTOS!$A$6:$A$105,0)),0))</f>
        <v/>
      </c>
      <c r="L1493" s="35" t="str">
        <f aca="false">IF($C1493="","",$J1493-$K1493)</f>
        <v/>
      </c>
      <c r="M1493" s="6"/>
      <c r="N1493" s="6"/>
      <c r="O1493" s="46" t="str">
        <f aca="false">IF($A1493="","",DATE(YEAR($A1493),MONTH($A1493),1))</f>
        <v/>
      </c>
    </row>
    <row r="1494" customFormat="false" ht="15" hidden="false" customHeight="false" outlineLevel="0" collapsed="false">
      <c r="A1494" s="44"/>
      <c r="B1494" s="6"/>
      <c r="C1494" s="6"/>
      <c r="D1494" s="8" t="str">
        <f aca="false">IF($C1494="","",IFERROR(INDEX(PRODUCTOS!$B$6:$B$105,MATCH($C1494,PRODUCTOS!$A$6:$A$105,0)),"¿Código?"))</f>
        <v/>
      </c>
      <c r="E1494" s="42"/>
      <c r="F1494" s="35" t="str">
        <f aca="false">IF($C1494="","",IFERROR(INDEX(PRODUCTOS!$D$6:$D$105,MATCH($C1494,PRODUCTOS!$A$6:$A$105,0)),0))</f>
        <v/>
      </c>
      <c r="G1494" s="40"/>
      <c r="H1494" s="35" t="str">
        <f aca="false">IF($C1494="","",N($E1494)*$F1494-N($G1494))</f>
        <v/>
      </c>
      <c r="I1494" s="35" t="str">
        <f aca="false">IF($C1494="","",$H1494-$H1494/(1+IFERROR(INDEX(PRODUCTOS!$E$6:$E$105,MATCH($C1494,PRODUCTOS!$A$6:$A$105,0)),IVA_VENTAS)))</f>
        <v/>
      </c>
      <c r="J1494" s="35" t="str">
        <f aca="false">IF($C1494="","",$H1494-$I1494)</f>
        <v/>
      </c>
      <c r="K1494" s="35" t="str">
        <f aca="false">IF($C1494="","",N($E1494)*IFERROR(INDEX(PRODUCTOS!$H$6:$H$105,MATCH($C1494,PRODUCTOS!$A$6:$A$105,0)),0))</f>
        <v/>
      </c>
      <c r="L1494" s="35" t="str">
        <f aca="false">IF($C1494="","",$J1494-$K1494)</f>
        <v/>
      </c>
      <c r="M1494" s="6"/>
      <c r="N1494" s="6"/>
      <c r="O1494" s="46" t="str">
        <f aca="false">IF($A1494="","",DATE(YEAR($A1494),MONTH($A1494),1))</f>
        <v/>
      </c>
    </row>
    <row r="1495" customFormat="false" ht="15" hidden="false" customHeight="false" outlineLevel="0" collapsed="false">
      <c r="A1495" s="44"/>
      <c r="B1495" s="6"/>
      <c r="C1495" s="6"/>
      <c r="D1495" s="8" t="str">
        <f aca="false">IF($C1495="","",IFERROR(INDEX(PRODUCTOS!$B$6:$B$105,MATCH($C1495,PRODUCTOS!$A$6:$A$105,0)),"¿Código?"))</f>
        <v/>
      </c>
      <c r="E1495" s="42"/>
      <c r="F1495" s="35" t="str">
        <f aca="false">IF($C1495="","",IFERROR(INDEX(PRODUCTOS!$D$6:$D$105,MATCH($C1495,PRODUCTOS!$A$6:$A$105,0)),0))</f>
        <v/>
      </c>
      <c r="G1495" s="40"/>
      <c r="H1495" s="35" t="str">
        <f aca="false">IF($C1495="","",N($E1495)*$F1495-N($G1495))</f>
        <v/>
      </c>
      <c r="I1495" s="35" t="str">
        <f aca="false">IF($C1495="","",$H1495-$H1495/(1+IFERROR(INDEX(PRODUCTOS!$E$6:$E$105,MATCH($C1495,PRODUCTOS!$A$6:$A$105,0)),IVA_VENTAS)))</f>
        <v/>
      </c>
      <c r="J1495" s="35" t="str">
        <f aca="false">IF($C1495="","",$H1495-$I1495)</f>
        <v/>
      </c>
      <c r="K1495" s="35" t="str">
        <f aca="false">IF($C1495="","",N($E1495)*IFERROR(INDEX(PRODUCTOS!$H$6:$H$105,MATCH($C1495,PRODUCTOS!$A$6:$A$105,0)),0))</f>
        <v/>
      </c>
      <c r="L1495" s="35" t="str">
        <f aca="false">IF($C1495="","",$J1495-$K1495)</f>
        <v/>
      </c>
      <c r="M1495" s="6"/>
      <c r="N1495" s="6"/>
      <c r="O1495" s="46" t="str">
        <f aca="false">IF($A1495="","",DATE(YEAR($A1495),MONTH($A1495),1))</f>
        <v/>
      </c>
    </row>
    <row r="1496" customFormat="false" ht="15" hidden="false" customHeight="false" outlineLevel="0" collapsed="false">
      <c r="A1496" s="44"/>
      <c r="B1496" s="6"/>
      <c r="C1496" s="6"/>
      <c r="D1496" s="8" t="str">
        <f aca="false">IF($C1496="","",IFERROR(INDEX(PRODUCTOS!$B$6:$B$105,MATCH($C1496,PRODUCTOS!$A$6:$A$105,0)),"¿Código?"))</f>
        <v/>
      </c>
      <c r="E1496" s="42"/>
      <c r="F1496" s="35" t="str">
        <f aca="false">IF($C1496="","",IFERROR(INDEX(PRODUCTOS!$D$6:$D$105,MATCH($C1496,PRODUCTOS!$A$6:$A$105,0)),0))</f>
        <v/>
      </c>
      <c r="G1496" s="40"/>
      <c r="H1496" s="35" t="str">
        <f aca="false">IF($C1496="","",N($E1496)*$F1496-N($G1496))</f>
        <v/>
      </c>
      <c r="I1496" s="35" t="str">
        <f aca="false">IF($C1496="","",$H1496-$H1496/(1+IFERROR(INDEX(PRODUCTOS!$E$6:$E$105,MATCH($C1496,PRODUCTOS!$A$6:$A$105,0)),IVA_VENTAS)))</f>
        <v/>
      </c>
      <c r="J1496" s="35" t="str">
        <f aca="false">IF($C1496="","",$H1496-$I1496)</f>
        <v/>
      </c>
      <c r="K1496" s="35" t="str">
        <f aca="false">IF($C1496="","",N($E1496)*IFERROR(INDEX(PRODUCTOS!$H$6:$H$105,MATCH($C1496,PRODUCTOS!$A$6:$A$105,0)),0))</f>
        <v/>
      </c>
      <c r="L1496" s="35" t="str">
        <f aca="false">IF($C1496="","",$J1496-$K1496)</f>
        <v/>
      </c>
      <c r="M1496" s="6"/>
      <c r="N1496" s="6"/>
      <c r="O1496" s="46" t="str">
        <f aca="false">IF($A1496="","",DATE(YEAR($A1496),MONTH($A1496),1))</f>
        <v/>
      </c>
    </row>
    <row r="1497" customFormat="false" ht="15" hidden="false" customHeight="false" outlineLevel="0" collapsed="false">
      <c r="A1497" s="44"/>
      <c r="B1497" s="6"/>
      <c r="C1497" s="6"/>
      <c r="D1497" s="8" t="str">
        <f aca="false">IF($C1497="","",IFERROR(INDEX(PRODUCTOS!$B$6:$B$105,MATCH($C1497,PRODUCTOS!$A$6:$A$105,0)),"¿Código?"))</f>
        <v/>
      </c>
      <c r="E1497" s="42"/>
      <c r="F1497" s="35" t="str">
        <f aca="false">IF($C1497="","",IFERROR(INDEX(PRODUCTOS!$D$6:$D$105,MATCH($C1497,PRODUCTOS!$A$6:$A$105,0)),0))</f>
        <v/>
      </c>
      <c r="G1497" s="40"/>
      <c r="H1497" s="35" t="str">
        <f aca="false">IF($C1497="","",N($E1497)*$F1497-N($G1497))</f>
        <v/>
      </c>
      <c r="I1497" s="35" t="str">
        <f aca="false">IF($C1497="","",$H1497-$H1497/(1+IFERROR(INDEX(PRODUCTOS!$E$6:$E$105,MATCH($C1497,PRODUCTOS!$A$6:$A$105,0)),IVA_VENTAS)))</f>
        <v/>
      </c>
      <c r="J1497" s="35" t="str">
        <f aca="false">IF($C1497="","",$H1497-$I1497)</f>
        <v/>
      </c>
      <c r="K1497" s="35" t="str">
        <f aca="false">IF($C1497="","",N($E1497)*IFERROR(INDEX(PRODUCTOS!$H$6:$H$105,MATCH($C1497,PRODUCTOS!$A$6:$A$105,0)),0))</f>
        <v/>
      </c>
      <c r="L1497" s="35" t="str">
        <f aca="false">IF($C1497="","",$J1497-$K1497)</f>
        <v/>
      </c>
      <c r="M1497" s="6"/>
      <c r="N1497" s="6"/>
      <c r="O1497" s="46" t="str">
        <f aca="false">IF($A1497="","",DATE(YEAR($A1497),MONTH($A1497),1))</f>
        <v/>
      </c>
    </row>
    <row r="1498" customFormat="false" ht="15" hidden="false" customHeight="false" outlineLevel="0" collapsed="false">
      <c r="A1498" s="44"/>
      <c r="B1498" s="6"/>
      <c r="C1498" s="6"/>
      <c r="D1498" s="8" t="str">
        <f aca="false">IF($C1498="","",IFERROR(INDEX(PRODUCTOS!$B$6:$B$105,MATCH($C1498,PRODUCTOS!$A$6:$A$105,0)),"¿Código?"))</f>
        <v/>
      </c>
      <c r="E1498" s="42"/>
      <c r="F1498" s="35" t="str">
        <f aca="false">IF($C1498="","",IFERROR(INDEX(PRODUCTOS!$D$6:$D$105,MATCH($C1498,PRODUCTOS!$A$6:$A$105,0)),0))</f>
        <v/>
      </c>
      <c r="G1498" s="40"/>
      <c r="H1498" s="35" t="str">
        <f aca="false">IF($C1498="","",N($E1498)*$F1498-N($G1498))</f>
        <v/>
      </c>
      <c r="I1498" s="35" t="str">
        <f aca="false">IF($C1498="","",$H1498-$H1498/(1+IFERROR(INDEX(PRODUCTOS!$E$6:$E$105,MATCH($C1498,PRODUCTOS!$A$6:$A$105,0)),IVA_VENTAS)))</f>
        <v/>
      </c>
      <c r="J1498" s="35" t="str">
        <f aca="false">IF($C1498="","",$H1498-$I1498)</f>
        <v/>
      </c>
      <c r="K1498" s="35" t="str">
        <f aca="false">IF($C1498="","",N($E1498)*IFERROR(INDEX(PRODUCTOS!$H$6:$H$105,MATCH($C1498,PRODUCTOS!$A$6:$A$105,0)),0))</f>
        <v/>
      </c>
      <c r="L1498" s="35" t="str">
        <f aca="false">IF($C1498="","",$J1498-$K1498)</f>
        <v/>
      </c>
      <c r="M1498" s="6"/>
      <c r="N1498" s="6"/>
      <c r="O1498" s="46" t="str">
        <f aca="false">IF($A1498="","",DATE(YEAR($A1498),MONTH($A1498),1))</f>
        <v/>
      </c>
    </row>
    <row r="1499" customFormat="false" ht="15" hidden="false" customHeight="false" outlineLevel="0" collapsed="false">
      <c r="A1499" s="44"/>
      <c r="B1499" s="6"/>
      <c r="C1499" s="6"/>
      <c r="D1499" s="8" t="str">
        <f aca="false">IF($C1499="","",IFERROR(INDEX(PRODUCTOS!$B$6:$B$105,MATCH($C1499,PRODUCTOS!$A$6:$A$105,0)),"¿Código?"))</f>
        <v/>
      </c>
      <c r="E1499" s="42"/>
      <c r="F1499" s="35" t="str">
        <f aca="false">IF($C1499="","",IFERROR(INDEX(PRODUCTOS!$D$6:$D$105,MATCH($C1499,PRODUCTOS!$A$6:$A$105,0)),0))</f>
        <v/>
      </c>
      <c r="G1499" s="40"/>
      <c r="H1499" s="35" t="str">
        <f aca="false">IF($C1499="","",N($E1499)*$F1499-N($G1499))</f>
        <v/>
      </c>
      <c r="I1499" s="35" t="str">
        <f aca="false">IF($C1499="","",$H1499-$H1499/(1+IFERROR(INDEX(PRODUCTOS!$E$6:$E$105,MATCH($C1499,PRODUCTOS!$A$6:$A$105,0)),IVA_VENTAS)))</f>
        <v/>
      </c>
      <c r="J1499" s="35" t="str">
        <f aca="false">IF($C1499="","",$H1499-$I1499)</f>
        <v/>
      </c>
      <c r="K1499" s="35" t="str">
        <f aca="false">IF($C1499="","",N($E1499)*IFERROR(INDEX(PRODUCTOS!$H$6:$H$105,MATCH($C1499,PRODUCTOS!$A$6:$A$105,0)),0))</f>
        <v/>
      </c>
      <c r="L1499" s="35" t="str">
        <f aca="false">IF($C1499="","",$J1499-$K1499)</f>
        <v/>
      </c>
      <c r="M1499" s="6"/>
      <c r="N1499" s="6"/>
      <c r="O1499" s="46" t="str">
        <f aca="false">IF($A1499="","",DATE(YEAR($A1499),MONTH($A1499),1))</f>
        <v/>
      </c>
    </row>
    <row r="1500" customFormat="false" ht="15" hidden="false" customHeight="false" outlineLevel="0" collapsed="false">
      <c r="A1500" s="44"/>
      <c r="B1500" s="6"/>
      <c r="C1500" s="6"/>
      <c r="D1500" s="8" t="str">
        <f aca="false">IF($C1500="","",IFERROR(INDEX(PRODUCTOS!$B$6:$B$105,MATCH($C1500,PRODUCTOS!$A$6:$A$105,0)),"¿Código?"))</f>
        <v/>
      </c>
      <c r="E1500" s="42"/>
      <c r="F1500" s="35" t="str">
        <f aca="false">IF($C1500="","",IFERROR(INDEX(PRODUCTOS!$D$6:$D$105,MATCH($C1500,PRODUCTOS!$A$6:$A$105,0)),0))</f>
        <v/>
      </c>
      <c r="G1500" s="40"/>
      <c r="H1500" s="35" t="str">
        <f aca="false">IF($C1500="","",N($E1500)*$F1500-N($G1500))</f>
        <v/>
      </c>
      <c r="I1500" s="35" t="str">
        <f aca="false">IF($C1500="","",$H1500-$H1500/(1+IFERROR(INDEX(PRODUCTOS!$E$6:$E$105,MATCH($C1500,PRODUCTOS!$A$6:$A$105,0)),IVA_VENTAS)))</f>
        <v/>
      </c>
      <c r="J1500" s="35" t="str">
        <f aca="false">IF($C1500="","",$H1500-$I1500)</f>
        <v/>
      </c>
      <c r="K1500" s="35" t="str">
        <f aca="false">IF($C1500="","",N($E1500)*IFERROR(INDEX(PRODUCTOS!$H$6:$H$105,MATCH($C1500,PRODUCTOS!$A$6:$A$105,0)),0))</f>
        <v/>
      </c>
      <c r="L1500" s="35" t="str">
        <f aca="false">IF($C1500="","",$J1500-$K1500)</f>
        <v/>
      </c>
      <c r="M1500" s="6"/>
      <c r="N1500" s="6"/>
      <c r="O1500" s="46" t="str">
        <f aca="false">IF($A1500="","",DATE(YEAR($A1500),MONTH($A1500),1))</f>
        <v/>
      </c>
    </row>
    <row r="1501" customFormat="false" ht="15" hidden="false" customHeight="false" outlineLevel="0" collapsed="false">
      <c r="A1501" s="44"/>
      <c r="B1501" s="6"/>
      <c r="C1501" s="6"/>
      <c r="D1501" s="8" t="str">
        <f aca="false">IF($C1501="","",IFERROR(INDEX(PRODUCTOS!$B$6:$B$105,MATCH($C1501,PRODUCTOS!$A$6:$A$105,0)),"¿Código?"))</f>
        <v/>
      </c>
      <c r="E1501" s="42"/>
      <c r="F1501" s="35" t="str">
        <f aca="false">IF($C1501="","",IFERROR(INDEX(PRODUCTOS!$D$6:$D$105,MATCH($C1501,PRODUCTOS!$A$6:$A$105,0)),0))</f>
        <v/>
      </c>
      <c r="G1501" s="40"/>
      <c r="H1501" s="35" t="str">
        <f aca="false">IF($C1501="","",N($E1501)*$F1501-N($G1501))</f>
        <v/>
      </c>
      <c r="I1501" s="35" t="str">
        <f aca="false">IF($C1501="","",$H1501-$H1501/(1+IFERROR(INDEX(PRODUCTOS!$E$6:$E$105,MATCH($C1501,PRODUCTOS!$A$6:$A$105,0)),IVA_VENTAS)))</f>
        <v/>
      </c>
      <c r="J1501" s="35" t="str">
        <f aca="false">IF($C1501="","",$H1501-$I1501)</f>
        <v/>
      </c>
      <c r="K1501" s="35" t="str">
        <f aca="false">IF($C1501="","",N($E1501)*IFERROR(INDEX(PRODUCTOS!$H$6:$H$105,MATCH($C1501,PRODUCTOS!$A$6:$A$105,0)),0))</f>
        <v/>
      </c>
      <c r="L1501" s="35" t="str">
        <f aca="false">IF($C1501="","",$J1501-$K1501)</f>
        <v/>
      </c>
      <c r="M1501" s="6"/>
      <c r="N1501" s="6"/>
      <c r="O1501" s="46" t="str">
        <f aca="false">IF($A1501="","",DATE(YEAR($A1501),MONTH($A1501),1))</f>
        <v/>
      </c>
    </row>
    <row r="1502" customFormat="false" ht="15" hidden="false" customHeight="false" outlineLevel="0" collapsed="false">
      <c r="A1502" s="44"/>
      <c r="B1502" s="6"/>
      <c r="C1502" s="6"/>
      <c r="D1502" s="8" t="str">
        <f aca="false">IF($C1502="","",IFERROR(INDEX(PRODUCTOS!$B$6:$B$105,MATCH($C1502,PRODUCTOS!$A$6:$A$105,0)),"¿Código?"))</f>
        <v/>
      </c>
      <c r="E1502" s="42"/>
      <c r="F1502" s="35" t="str">
        <f aca="false">IF($C1502="","",IFERROR(INDEX(PRODUCTOS!$D$6:$D$105,MATCH($C1502,PRODUCTOS!$A$6:$A$105,0)),0))</f>
        <v/>
      </c>
      <c r="G1502" s="40"/>
      <c r="H1502" s="35" t="str">
        <f aca="false">IF($C1502="","",N($E1502)*$F1502-N($G1502))</f>
        <v/>
      </c>
      <c r="I1502" s="35" t="str">
        <f aca="false">IF($C1502="","",$H1502-$H1502/(1+IFERROR(INDEX(PRODUCTOS!$E$6:$E$105,MATCH($C1502,PRODUCTOS!$A$6:$A$105,0)),IVA_VENTAS)))</f>
        <v/>
      </c>
      <c r="J1502" s="35" t="str">
        <f aca="false">IF($C1502="","",$H1502-$I1502)</f>
        <v/>
      </c>
      <c r="K1502" s="35" t="str">
        <f aca="false">IF($C1502="","",N($E1502)*IFERROR(INDEX(PRODUCTOS!$H$6:$H$105,MATCH($C1502,PRODUCTOS!$A$6:$A$105,0)),0))</f>
        <v/>
      </c>
      <c r="L1502" s="35" t="str">
        <f aca="false">IF($C1502="","",$J1502-$K1502)</f>
        <v/>
      </c>
      <c r="M1502" s="6"/>
      <c r="N1502" s="6"/>
      <c r="O1502" s="46" t="str">
        <f aca="false">IF($A1502="","",DATE(YEAR($A1502),MONTH($A1502),1))</f>
        <v/>
      </c>
    </row>
    <row r="1503" customFormat="false" ht="15" hidden="false" customHeight="false" outlineLevel="0" collapsed="false">
      <c r="A1503" s="44"/>
      <c r="B1503" s="6"/>
      <c r="C1503" s="6"/>
      <c r="D1503" s="8" t="str">
        <f aca="false">IF($C1503="","",IFERROR(INDEX(PRODUCTOS!$B$6:$B$105,MATCH($C1503,PRODUCTOS!$A$6:$A$105,0)),"¿Código?"))</f>
        <v/>
      </c>
      <c r="E1503" s="42"/>
      <c r="F1503" s="35" t="str">
        <f aca="false">IF($C1503="","",IFERROR(INDEX(PRODUCTOS!$D$6:$D$105,MATCH($C1503,PRODUCTOS!$A$6:$A$105,0)),0))</f>
        <v/>
      </c>
      <c r="G1503" s="40"/>
      <c r="H1503" s="35" t="str">
        <f aca="false">IF($C1503="","",N($E1503)*$F1503-N($G1503))</f>
        <v/>
      </c>
      <c r="I1503" s="35" t="str">
        <f aca="false">IF($C1503="","",$H1503-$H1503/(1+IFERROR(INDEX(PRODUCTOS!$E$6:$E$105,MATCH($C1503,PRODUCTOS!$A$6:$A$105,0)),IVA_VENTAS)))</f>
        <v/>
      </c>
      <c r="J1503" s="35" t="str">
        <f aca="false">IF($C1503="","",$H1503-$I1503)</f>
        <v/>
      </c>
      <c r="K1503" s="35" t="str">
        <f aca="false">IF($C1503="","",N($E1503)*IFERROR(INDEX(PRODUCTOS!$H$6:$H$105,MATCH($C1503,PRODUCTOS!$A$6:$A$105,0)),0))</f>
        <v/>
      </c>
      <c r="L1503" s="35" t="str">
        <f aca="false">IF($C1503="","",$J1503-$K1503)</f>
        <v/>
      </c>
      <c r="M1503" s="6"/>
      <c r="N1503" s="6"/>
      <c r="O1503" s="46" t="str">
        <f aca="false">IF($A1503="","",DATE(YEAR($A1503),MONTH($A1503),1))</f>
        <v/>
      </c>
    </row>
    <row r="1504" customFormat="false" ht="15" hidden="false" customHeight="false" outlineLevel="0" collapsed="false">
      <c r="A1504" s="44"/>
      <c r="B1504" s="6"/>
      <c r="C1504" s="6"/>
      <c r="D1504" s="8" t="str">
        <f aca="false">IF($C1504="","",IFERROR(INDEX(PRODUCTOS!$B$6:$B$105,MATCH($C1504,PRODUCTOS!$A$6:$A$105,0)),"¿Código?"))</f>
        <v/>
      </c>
      <c r="E1504" s="42"/>
      <c r="F1504" s="35" t="str">
        <f aca="false">IF($C1504="","",IFERROR(INDEX(PRODUCTOS!$D$6:$D$105,MATCH($C1504,PRODUCTOS!$A$6:$A$105,0)),0))</f>
        <v/>
      </c>
      <c r="G1504" s="40"/>
      <c r="H1504" s="35" t="str">
        <f aca="false">IF($C1504="","",N($E1504)*$F1504-N($G1504))</f>
        <v/>
      </c>
      <c r="I1504" s="35" t="str">
        <f aca="false">IF($C1504="","",$H1504-$H1504/(1+IFERROR(INDEX(PRODUCTOS!$E$6:$E$105,MATCH($C1504,PRODUCTOS!$A$6:$A$105,0)),IVA_VENTAS)))</f>
        <v/>
      </c>
      <c r="J1504" s="35" t="str">
        <f aca="false">IF($C1504="","",$H1504-$I1504)</f>
        <v/>
      </c>
      <c r="K1504" s="35" t="str">
        <f aca="false">IF($C1504="","",N($E1504)*IFERROR(INDEX(PRODUCTOS!$H$6:$H$105,MATCH($C1504,PRODUCTOS!$A$6:$A$105,0)),0))</f>
        <v/>
      </c>
      <c r="L1504" s="35" t="str">
        <f aca="false">IF($C1504="","",$J1504-$K1504)</f>
        <v/>
      </c>
      <c r="M1504" s="6"/>
      <c r="N1504" s="6"/>
      <c r="O1504" s="46" t="str">
        <f aca="false">IF($A1504="","",DATE(YEAR($A1504),MONTH($A1504),1))</f>
        <v/>
      </c>
    </row>
    <row r="1505" customFormat="false" ht="15" hidden="false" customHeight="false" outlineLevel="0" collapsed="false">
      <c r="A1505" s="44"/>
      <c r="B1505" s="6"/>
      <c r="C1505" s="6"/>
      <c r="D1505" s="8" t="str">
        <f aca="false">IF($C1505="","",IFERROR(INDEX(PRODUCTOS!$B$6:$B$105,MATCH($C1505,PRODUCTOS!$A$6:$A$105,0)),"¿Código?"))</f>
        <v/>
      </c>
      <c r="E1505" s="42"/>
      <c r="F1505" s="35" t="str">
        <f aca="false">IF($C1505="","",IFERROR(INDEX(PRODUCTOS!$D$6:$D$105,MATCH($C1505,PRODUCTOS!$A$6:$A$105,0)),0))</f>
        <v/>
      </c>
      <c r="G1505" s="40"/>
      <c r="H1505" s="35" t="str">
        <f aca="false">IF($C1505="","",N($E1505)*$F1505-N($G1505))</f>
        <v/>
      </c>
      <c r="I1505" s="35" t="str">
        <f aca="false">IF($C1505="","",$H1505-$H1505/(1+IFERROR(INDEX(PRODUCTOS!$E$6:$E$105,MATCH($C1505,PRODUCTOS!$A$6:$A$105,0)),IVA_VENTAS)))</f>
        <v/>
      </c>
      <c r="J1505" s="35" t="str">
        <f aca="false">IF($C1505="","",$H1505-$I1505)</f>
        <v/>
      </c>
      <c r="K1505" s="35" t="str">
        <f aca="false">IF($C1505="","",N($E1505)*IFERROR(INDEX(PRODUCTOS!$H$6:$H$105,MATCH($C1505,PRODUCTOS!$A$6:$A$105,0)),0))</f>
        <v/>
      </c>
      <c r="L1505" s="35" t="str">
        <f aca="false">IF($C1505="","",$J1505-$K1505)</f>
        <v/>
      </c>
      <c r="M1505" s="6"/>
      <c r="N1505" s="6"/>
      <c r="O1505" s="46" t="str">
        <f aca="false">IF($A1505="","",DATE(YEAR($A1505),MONTH($A1505),1))</f>
        <v/>
      </c>
    </row>
    <row r="1506" customFormat="false" ht="15" hidden="false" customHeight="false" outlineLevel="0" collapsed="false">
      <c r="A1506" s="44"/>
      <c r="B1506" s="6"/>
      <c r="C1506" s="6"/>
      <c r="D1506" s="8" t="str">
        <f aca="false">IF($C1506="","",IFERROR(INDEX(PRODUCTOS!$B$6:$B$105,MATCH($C1506,PRODUCTOS!$A$6:$A$105,0)),"¿Código?"))</f>
        <v/>
      </c>
      <c r="E1506" s="42"/>
      <c r="F1506" s="35" t="str">
        <f aca="false">IF($C1506="","",IFERROR(INDEX(PRODUCTOS!$D$6:$D$105,MATCH($C1506,PRODUCTOS!$A$6:$A$105,0)),0))</f>
        <v/>
      </c>
      <c r="G1506" s="40"/>
      <c r="H1506" s="35" t="str">
        <f aca="false">IF($C1506="","",N($E1506)*$F1506-N($G1506))</f>
        <v/>
      </c>
      <c r="I1506" s="35" t="str">
        <f aca="false">IF($C1506="","",$H1506-$H1506/(1+IFERROR(INDEX(PRODUCTOS!$E$6:$E$105,MATCH($C1506,PRODUCTOS!$A$6:$A$105,0)),IVA_VENTAS)))</f>
        <v/>
      </c>
      <c r="J1506" s="35" t="str">
        <f aca="false">IF($C1506="","",$H1506-$I1506)</f>
        <v/>
      </c>
      <c r="K1506" s="35" t="str">
        <f aca="false">IF($C1506="","",N($E1506)*IFERROR(INDEX(PRODUCTOS!$H$6:$H$105,MATCH($C1506,PRODUCTOS!$A$6:$A$105,0)),0))</f>
        <v/>
      </c>
      <c r="L1506" s="35" t="str">
        <f aca="false">IF($C1506="","",$J1506-$K1506)</f>
        <v/>
      </c>
      <c r="M1506" s="6"/>
      <c r="N1506" s="6"/>
      <c r="O1506" s="46" t="str">
        <f aca="false">IF($A1506="","",DATE(YEAR($A1506),MONTH($A1506),1))</f>
        <v/>
      </c>
    </row>
    <row r="1507" customFormat="false" ht="15" hidden="false" customHeight="false" outlineLevel="0" collapsed="false">
      <c r="A1507" s="44"/>
      <c r="B1507" s="6"/>
      <c r="C1507" s="6"/>
      <c r="D1507" s="8" t="str">
        <f aca="false">IF($C1507="","",IFERROR(INDEX(PRODUCTOS!$B$6:$B$105,MATCH($C1507,PRODUCTOS!$A$6:$A$105,0)),"¿Código?"))</f>
        <v/>
      </c>
      <c r="E1507" s="42"/>
      <c r="F1507" s="35" t="str">
        <f aca="false">IF($C1507="","",IFERROR(INDEX(PRODUCTOS!$D$6:$D$105,MATCH($C1507,PRODUCTOS!$A$6:$A$105,0)),0))</f>
        <v/>
      </c>
      <c r="G1507" s="40"/>
      <c r="H1507" s="35" t="str">
        <f aca="false">IF($C1507="","",N($E1507)*$F1507-N($G1507))</f>
        <v/>
      </c>
      <c r="I1507" s="35" t="str">
        <f aca="false">IF($C1507="","",$H1507-$H1507/(1+IFERROR(INDEX(PRODUCTOS!$E$6:$E$105,MATCH($C1507,PRODUCTOS!$A$6:$A$105,0)),IVA_VENTAS)))</f>
        <v/>
      </c>
      <c r="J1507" s="35" t="str">
        <f aca="false">IF($C1507="","",$H1507-$I1507)</f>
        <v/>
      </c>
      <c r="K1507" s="35" t="str">
        <f aca="false">IF($C1507="","",N($E1507)*IFERROR(INDEX(PRODUCTOS!$H$6:$H$105,MATCH($C1507,PRODUCTOS!$A$6:$A$105,0)),0))</f>
        <v/>
      </c>
      <c r="L1507" s="35" t="str">
        <f aca="false">IF($C1507="","",$J1507-$K1507)</f>
        <v/>
      </c>
      <c r="M1507" s="6"/>
      <c r="N1507" s="6"/>
      <c r="O1507" s="46" t="str">
        <f aca="false">IF($A1507="","",DATE(YEAR($A1507),MONTH($A1507),1))</f>
        <v/>
      </c>
    </row>
    <row r="1508" customFormat="false" ht="15" hidden="false" customHeight="false" outlineLevel="0" collapsed="false">
      <c r="A1508" s="44"/>
      <c r="B1508" s="6"/>
      <c r="C1508" s="6"/>
      <c r="D1508" s="8" t="str">
        <f aca="false">IF($C1508="","",IFERROR(INDEX(PRODUCTOS!$B$6:$B$105,MATCH($C1508,PRODUCTOS!$A$6:$A$105,0)),"¿Código?"))</f>
        <v/>
      </c>
      <c r="E1508" s="42"/>
      <c r="F1508" s="35" t="str">
        <f aca="false">IF($C1508="","",IFERROR(INDEX(PRODUCTOS!$D$6:$D$105,MATCH($C1508,PRODUCTOS!$A$6:$A$105,0)),0))</f>
        <v/>
      </c>
      <c r="G1508" s="40"/>
      <c r="H1508" s="35" t="str">
        <f aca="false">IF($C1508="","",N($E1508)*$F1508-N($G1508))</f>
        <v/>
      </c>
      <c r="I1508" s="35" t="str">
        <f aca="false">IF($C1508="","",$H1508-$H1508/(1+IFERROR(INDEX(PRODUCTOS!$E$6:$E$105,MATCH($C1508,PRODUCTOS!$A$6:$A$105,0)),IVA_VENTAS)))</f>
        <v/>
      </c>
      <c r="J1508" s="35" t="str">
        <f aca="false">IF($C1508="","",$H1508-$I1508)</f>
        <v/>
      </c>
      <c r="K1508" s="35" t="str">
        <f aca="false">IF($C1508="","",N($E1508)*IFERROR(INDEX(PRODUCTOS!$H$6:$H$105,MATCH($C1508,PRODUCTOS!$A$6:$A$105,0)),0))</f>
        <v/>
      </c>
      <c r="L1508" s="35" t="str">
        <f aca="false">IF($C1508="","",$J1508-$K1508)</f>
        <v/>
      </c>
      <c r="M1508" s="6"/>
      <c r="N1508" s="6"/>
      <c r="O1508" s="46" t="str">
        <f aca="false">IF($A1508="","",DATE(YEAR($A1508),MONTH($A1508),1))</f>
        <v/>
      </c>
    </row>
    <row r="1509" customFormat="false" ht="15" hidden="false" customHeight="false" outlineLevel="0" collapsed="false">
      <c r="A1509" s="44"/>
      <c r="B1509" s="6"/>
      <c r="C1509" s="6"/>
      <c r="D1509" s="8" t="str">
        <f aca="false">IF($C1509="","",IFERROR(INDEX(PRODUCTOS!$B$6:$B$105,MATCH($C1509,PRODUCTOS!$A$6:$A$105,0)),"¿Código?"))</f>
        <v/>
      </c>
      <c r="E1509" s="42"/>
      <c r="F1509" s="35" t="str">
        <f aca="false">IF($C1509="","",IFERROR(INDEX(PRODUCTOS!$D$6:$D$105,MATCH($C1509,PRODUCTOS!$A$6:$A$105,0)),0))</f>
        <v/>
      </c>
      <c r="G1509" s="40"/>
      <c r="H1509" s="35" t="str">
        <f aca="false">IF($C1509="","",N($E1509)*$F1509-N($G1509))</f>
        <v/>
      </c>
      <c r="I1509" s="35" t="str">
        <f aca="false">IF($C1509="","",$H1509-$H1509/(1+IFERROR(INDEX(PRODUCTOS!$E$6:$E$105,MATCH($C1509,PRODUCTOS!$A$6:$A$105,0)),IVA_VENTAS)))</f>
        <v/>
      </c>
      <c r="J1509" s="35" t="str">
        <f aca="false">IF($C1509="","",$H1509-$I1509)</f>
        <v/>
      </c>
      <c r="K1509" s="35" t="str">
        <f aca="false">IF($C1509="","",N($E1509)*IFERROR(INDEX(PRODUCTOS!$H$6:$H$105,MATCH($C1509,PRODUCTOS!$A$6:$A$105,0)),0))</f>
        <v/>
      </c>
      <c r="L1509" s="35" t="str">
        <f aca="false">IF($C1509="","",$J1509-$K1509)</f>
        <v/>
      </c>
      <c r="M1509" s="6"/>
      <c r="N1509" s="6"/>
      <c r="O1509" s="46" t="str">
        <f aca="false">IF($A1509="","",DATE(YEAR($A1509),MONTH($A1509),1))</f>
        <v/>
      </c>
    </row>
    <row r="1510" customFormat="false" ht="15" hidden="false" customHeight="false" outlineLevel="0" collapsed="false">
      <c r="A1510" s="44"/>
      <c r="B1510" s="6"/>
      <c r="C1510" s="6"/>
      <c r="D1510" s="8" t="str">
        <f aca="false">IF($C1510="","",IFERROR(INDEX(PRODUCTOS!$B$6:$B$105,MATCH($C1510,PRODUCTOS!$A$6:$A$105,0)),"¿Código?"))</f>
        <v/>
      </c>
      <c r="E1510" s="42"/>
      <c r="F1510" s="35" t="str">
        <f aca="false">IF($C1510="","",IFERROR(INDEX(PRODUCTOS!$D$6:$D$105,MATCH($C1510,PRODUCTOS!$A$6:$A$105,0)),0))</f>
        <v/>
      </c>
      <c r="G1510" s="40"/>
      <c r="H1510" s="35" t="str">
        <f aca="false">IF($C1510="","",N($E1510)*$F1510-N($G1510))</f>
        <v/>
      </c>
      <c r="I1510" s="35" t="str">
        <f aca="false">IF($C1510="","",$H1510-$H1510/(1+IFERROR(INDEX(PRODUCTOS!$E$6:$E$105,MATCH($C1510,PRODUCTOS!$A$6:$A$105,0)),IVA_VENTAS)))</f>
        <v/>
      </c>
      <c r="J1510" s="35" t="str">
        <f aca="false">IF($C1510="","",$H1510-$I1510)</f>
        <v/>
      </c>
      <c r="K1510" s="35" t="str">
        <f aca="false">IF($C1510="","",N($E1510)*IFERROR(INDEX(PRODUCTOS!$H$6:$H$105,MATCH($C1510,PRODUCTOS!$A$6:$A$105,0)),0))</f>
        <v/>
      </c>
      <c r="L1510" s="35" t="str">
        <f aca="false">IF($C1510="","",$J1510-$K1510)</f>
        <v/>
      </c>
      <c r="M1510" s="6"/>
      <c r="N1510" s="6"/>
      <c r="O1510" s="46" t="str">
        <f aca="false">IF($A1510="","",DATE(YEAR($A1510),MONTH($A1510),1))</f>
        <v/>
      </c>
    </row>
    <row r="1511" customFormat="false" ht="15" hidden="false" customHeight="false" outlineLevel="0" collapsed="false">
      <c r="A1511" s="44"/>
      <c r="B1511" s="6"/>
      <c r="C1511" s="6"/>
      <c r="D1511" s="8" t="str">
        <f aca="false">IF($C1511="","",IFERROR(INDEX(PRODUCTOS!$B$6:$B$105,MATCH($C1511,PRODUCTOS!$A$6:$A$105,0)),"¿Código?"))</f>
        <v/>
      </c>
      <c r="E1511" s="42"/>
      <c r="F1511" s="35" t="str">
        <f aca="false">IF($C1511="","",IFERROR(INDEX(PRODUCTOS!$D$6:$D$105,MATCH($C1511,PRODUCTOS!$A$6:$A$105,0)),0))</f>
        <v/>
      </c>
      <c r="G1511" s="40"/>
      <c r="H1511" s="35" t="str">
        <f aca="false">IF($C1511="","",N($E1511)*$F1511-N($G1511))</f>
        <v/>
      </c>
      <c r="I1511" s="35" t="str">
        <f aca="false">IF($C1511="","",$H1511-$H1511/(1+IFERROR(INDEX(PRODUCTOS!$E$6:$E$105,MATCH($C1511,PRODUCTOS!$A$6:$A$105,0)),IVA_VENTAS)))</f>
        <v/>
      </c>
      <c r="J1511" s="35" t="str">
        <f aca="false">IF($C1511="","",$H1511-$I1511)</f>
        <v/>
      </c>
      <c r="K1511" s="35" t="str">
        <f aca="false">IF($C1511="","",N($E1511)*IFERROR(INDEX(PRODUCTOS!$H$6:$H$105,MATCH($C1511,PRODUCTOS!$A$6:$A$105,0)),0))</f>
        <v/>
      </c>
      <c r="L1511" s="35" t="str">
        <f aca="false">IF($C1511="","",$J1511-$K1511)</f>
        <v/>
      </c>
      <c r="M1511" s="6"/>
      <c r="N1511" s="6"/>
      <c r="O1511" s="46" t="str">
        <f aca="false">IF($A1511="","",DATE(YEAR($A1511),MONTH($A1511),1))</f>
        <v/>
      </c>
    </row>
    <row r="1512" customFormat="false" ht="15" hidden="false" customHeight="false" outlineLevel="0" collapsed="false">
      <c r="A1512" s="44"/>
      <c r="B1512" s="6"/>
      <c r="C1512" s="6"/>
      <c r="D1512" s="8" t="str">
        <f aca="false">IF($C1512="","",IFERROR(INDEX(PRODUCTOS!$B$6:$B$105,MATCH($C1512,PRODUCTOS!$A$6:$A$105,0)),"¿Código?"))</f>
        <v/>
      </c>
      <c r="E1512" s="42"/>
      <c r="F1512" s="35" t="str">
        <f aca="false">IF($C1512="","",IFERROR(INDEX(PRODUCTOS!$D$6:$D$105,MATCH($C1512,PRODUCTOS!$A$6:$A$105,0)),0))</f>
        <v/>
      </c>
      <c r="G1512" s="40"/>
      <c r="H1512" s="35" t="str">
        <f aca="false">IF($C1512="","",N($E1512)*$F1512-N($G1512))</f>
        <v/>
      </c>
      <c r="I1512" s="35" t="str">
        <f aca="false">IF($C1512="","",$H1512-$H1512/(1+IFERROR(INDEX(PRODUCTOS!$E$6:$E$105,MATCH($C1512,PRODUCTOS!$A$6:$A$105,0)),IVA_VENTAS)))</f>
        <v/>
      </c>
      <c r="J1512" s="35" t="str">
        <f aca="false">IF($C1512="","",$H1512-$I1512)</f>
        <v/>
      </c>
      <c r="K1512" s="35" t="str">
        <f aca="false">IF($C1512="","",N($E1512)*IFERROR(INDEX(PRODUCTOS!$H$6:$H$105,MATCH($C1512,PRODUCTOS!$A$6:$A$105,0)),0))</f>
        <v/>
      </c>
      <c r="L1512" s="35" t="str">
        <f aca="false">IF($C1512="","",$J1512-$K1512)</f>
        <v/>
      </c>
      <c r="M1512" s="6"/>
      <c r="N1512" s="6"/>
      <c r="O1512" s="46" t="str">
        <f aca="false">IF($A1512="","",DATE(YEAR($A1512),MONTH($A1512),1))</f>
        <v/>
      </c>
    </row>
    <row r="1513" customFormat="false" ht="15" hidden="false" customHeight="false" outlineLevel="0" collapsed="false">
      <c r="A1513" s="44"/>
      <c r="B1513" s="6"/>
      <c r="C1513" s="6"/>
      <c r="D1513" s="8" t="str">
        <f aca="false">IF($C1513="","",IFERROR(INDEX(PRODUCTOS!$B$6:$B$105,MATCH($C1513,PRODUCTOS!$A$6:$A$105,0)),"¿Código?"))</f>
        <v/>
      </c>
      <c r="E1513" s="42"/>
      <c r="F1513" s="35" t="str">
        <f aca="false">IF($C1513="","",IFERROR(INDEX(PRODUCTOS!$D$6:$D$105,MATCH($C1513,PRODUCTOS!$A$6:$A$105,0)),0))</f>
        <v/>
      </c>
      <c r="G1513" s="40"/>
      <c r="H1513" s="35" t="str">
        <f aca="false">IF($C1513="","",N($E1513)*$F1513-N($G1513))</f>
        <v/>
      </c>
      <c r="I1513" s="35" t="str">
        <f aca="false">IF($C1513="","",$H1513-$H1513/(1+IFERROR(INDEX(PRODUCTOS!$E$6:$E$105,MATCH($C1513,PRODUCTOS!$A$6:$A$105,0)),IVA_VENTAS)))</f>
        <v/>
      </c>
      <c r="J1513" s="35" t="str">
        <f aca="false">IF($C1513="","",$H1513-$I1513)</f>
        <v/>
      </c>
      <c r="K1513" s="35" t="str">
        <f aca="false">IF($C1513="","",N($E1513)*IFERROR(INDEX(PRODUCTOS!$H$6:$H$105,MATCH($C1513,PRODUCTOS!$A$6:$A$105,0)),0))</f>
        <v/>
      </c>
      <c r="L1513" s="35" t="str">
        <f aca="false">IF($C1513="","",$J1513-$K1513)</f>
        <v/>
      </c>
      <c r="M1513" s="6"/>
      <c r="N1513" s="6"/>
      <c r="O1513" s="46" t="str">
        <f aca="false">IF($A1513="","",DATE(YEAR($A1513),MONTH($A1513),1))</f>
        <v/>
      </c>
    </row>
    <row r="1514" customFormat="false" ht="15" hidden="false" customHeight="false" outlineLevel="0" collapsed="false">
      <c r="A1514" s="44"/>
      <c r="B1514" s="6"/>
      <c r="C1514" s="6"/>
      <c r="D1514" s="8" t="str">
        <f aca="false">IF($C1514="","",IFERROR(INDEX(PRODUCTOS!$B$6:$B$105,MATCH($C1514,PRODUCTOS!$A$6:$A$105,0)),"¿Código?"))</f>
        <v/>
      </c>
      <c r="E1514" s="42"/>
      <c r="F1514" s="35" t="str">
        <f aca="false">IF($C1514="","",IFERROR(INDEX(PRODUCTOS!$D$6:$D$105,MATCH($C1514,PRODUCTOS!$A$6:$A$105,0)),0))</f>
        <v/>
      </c>
      <c r="G1514" s="40"/>
      <c r="H1514" s="35" t="str">
        <f aca="false">IF($C1514="","",N($E1514)*$F1514-N($G1514))</f>
        <v/>
      </c>
      <c r="I1514" s="35" t="str">
        <f aca="false">IF($C1514="","",$H1514-$H1514/(1+IFERROR(INDEX(PRODUCTOS!$E$6:$E$105,MATCH($C1514,PRODUCTOS!$A$6:$A$105,0)),IVA_VENTAS)))</f>
        <v/>
      </c>
      <c r="J1514" s="35" t="str">
        <f aca="false">IF($C1514="","",$H1514-$I1514)</f>
        <v/>
      </c>
      <c r="K1514" s="35" t="str">
        <f aca="false">IF($C1514="","",N($E1514)*IFERROR(INDEX(PRODUCTOS!$H$6:$H$105,MATCH($C1514,PRODUCTOS!$A$6:$A$105,0)),0))</f>
        <v/>
      </c>
      <c r="L1514" s="35" t="str">
        <f aca="false">IF($C1514="","",$J1514-$K1514)</f>
        <v/>
      </c>
      <c r="M1514" s="6"/>
      <c r="N1514" s="6"/>
      <c r="O1514" s="46" t="str">
        <f aca="false">IF($A1514="","",DATE(YEAR($A1514),MONTH($A1514),1))</f>
        <v/>
      </c>
    </row>
    <row r="1515" customFormat="false" ht="15" hidden="false" customHeight="false" outlineLevel="0" collapsed="false">
      <c r="A1515" s="44"/>
      <c r="B1515" s="6"/>
      <c r="C1515" s="6"/>
      <c r="D1515" s="8" t="str">
        <f aca="false">IF($C1515="","",IFERROR(INDEX(PRODUCTOS!$B$6:$B$105,MATCH($C1515,PRODUCTOS!$A$6:$A$105,0)),"¿Código?"))</f>
        <v/>
      </c>
      <c r="E1515" s="42"/>
      <c r="F1515" s="35" t="str">
        <f aca="false">IF($C1515="","",IFERROR(INDEX(PRODUCTOS!$D$6:$D$105,MATCH($C1515,PRODUCTOS!$A$6:$A$105,0)),0))</f>
        <v/>
      </c>
      <c r="G1515" s="40"/>
      <c r="H1515" s="35" t="str">
        <f aca="false">IF($C1515="","",N($E1515)*$F1515-N($G1515))</f>
        <v/>
      </c>
      <c r="I1515" s="35" t="str">
        <f aca="false">IF($C1515="","",$H1515-$H1515/(1+IFERROR(INDEX(PRODUCTOS!$E$6:$E$105,MATCH($C1515,PRODUCTOS!$A$6:$A$105,0)),IVA_VENTAS)))</f>
        <v/>
      </c>
      <c r="J1515" s="35" t="str">
        <f aca="false">IF($C1515="","",$H1515-$I1515)</f>
        <v/>
      </c>
      <c r="K1515" s="35" t="str">
        <f aca="false">IF($C1515="","",N($E1515)*IFERROR(INDEX(PRODUCTOS!$H$6:$H$105,MATCH($C1515,PRODUCTOS!$A$6:$A$105,0)),0))</f>
        <v/>
      </c>
      <c r="L1515" s="35" t="str">
        <f aca="false">IF($C1515="","",$J1515-$K1515)</f>
        <v/>
      </c>
      <c r="M1515" s="6"/>
      <c r="N1515" s="6"/>
      <c r="O1515" s="46" t="str">
        <f aca="false">IF($A1515="","",DATE(YEAR($A1515),MONTH($A1515),1))</f>
        <v/>
      </c>
    </row>
    <row r="1516" customFormat="false" ht="15" hidden="false" customHeight="false" outlineLevel="0" collapsed="false">
      <c r="A1516" s="44"/>
      <c r="B1516" s="6"/>
      <c r="C1516" s="6"/>
      <c r="D1516" s="8" t="str">
        <f aca="false">IF($C1516="","",IFERROR(INDEX(PRODUCTOS!$B$6:$B$105,MATCH($C1516,PRODUCTOS!$A$6:$A$105,0)),"¿Código?"))</f>
        <v/>
      </c>
      <c r="E1516" s="42"/>
      <c r="F1516" s="35" t="str">
        <f aca="false">IF($C1516="","",IFERROR(INDEX(PRODUCTOS!$D$6:$D$105,MATCH($C1516,PRODUCTOS!$A$6:$A$105,0)),0))</f>
        <v/>
      </c>
      <c r="G1516" s="40"/>
      <c r="H1516" s="35" t="str">
        <f aca="false">IF($C1516="","",N($E1516)*$F1516-N($G1516))</f>
        <v/>
      </c>
      <c r="I1516" s="35" t="str">
        <f aca="false">IF($C1516="","",$H1516-$H1516/(1+IFERROR(INDEX(PRODUCTOS!$E$6:$E$105,MATCH($C1516,PRODUCTOS!$A$6:$A$105,0)),IVA_VENTAS)))</f>
        <v/>
      </c>
      <c r="J1516" s="35" t="str">
        <f aca="false">IF($C1516="","",$H1516-$I1516)</f>
        <v/>
      </c>
      <c r="K1516" s="35" t="str">
        <f aca="false">IF($C1516="","",N($E1516)*IFERROR(INDEX(PRODUCTOS!$H$6:$H$105,MATCH($C1516,PRODUCTOS!$A$6:$A$105,0)),0))</f>
        <v/>
      </c>
      <c r="L1516" s="35" t="str">
        <f aca="false">IF($C1516="","",$J1516-$K1516)</f>
        <v/>
      </c>
      <c r="M1516" s="6"/>
      <c r="N1516" s="6"/>
      <c r="O1516" s="46" t="str">
        <f aca="false">IF($A1516="","",DATE(YEAR($A1516),MONTH($A1516),1))</f>
        <v/>
      </c>
    </row>
    <row r="1517" customFormat="false" ht="15" hidden="false" customHeight="false" outlineLevel="0" collapsed="false">
      <c r="A1517" s="44"/>
      <c r="B1517" s="6"/>
      <c r="C1517" s="6"/>
      <c r="D1517" s="8" t="str">
        <f aca="false">IF($C1517="","",IFERROR(INDEX(PRODUCTOS!$B$6:$B$105,MATCH($C1517,PRODUCTOS!$A$6:$A$105,0)),"¿Código?"))</f>
        <v/>
      </c>
      <c r="E1517" s="42"/>
      <c r="F1517" s="35" t="str">
        <f aca="false">IF($C1517="","",IFERROR(INDEX(PRODUCTOS!$D$6:$D$105,MATCH($C1517,PRODUCTOS!$A$6:$A$105,0)),0))</f>
        <v/>
      </c>
      <c r="G1517" s="40"/>
      <c r="H1517" s="35" t="str">
        <f aca="false">IF($C1517="","",N($E1517)*$F1517-N($G1517))</f>
        <v/>
      </c>
      <c r="I1517" s="35" t="str">
        <f aca="false">IF($C1517="","",$H1517-$H1517/(1+IFERROR(INDEX(PRODUCTOS!$E$6:$E$105,MATCH($C1517,PRODUCTOS!$A$6:$A$105,0)),IVA_VENTAS)))</f>
        <v/>
      </c>
      <c r="J1517" s="35" t="str">
        <f aca="false">IF($C1517="","",$H1517-$I1517)</f>
        <v/>
      </c>
      <c r="K1517" s="35" t="str">
        <f aca="false">IF($C1517="","",N($E1517)*IFERROR(INDEX(PRODUCTOS!$H$6:$H$105,MATCH($C1517,PRODUCTOS!$A$6:$A$105,0)),0))</f>
        <v/>
      </c>
      <c r="L1517" s="35" t="str">
        <f aca="false">IF($C1517="","",$J1517-$K1517)</f>
        <v/>
      </c>
      <c r="M1517" s="6"/>
      <c r="N1517" s="6"/>
      <c r="O1517" s="46" t="str">
        <f aca="false">IF($A1517="","",DATE(YEAR($A1517),MONTH($A1517),1))</f>
        <v/>
      </c>
    </row>
    <row r="1518" customFormat="false" ht="15" hidden="false" customHeight="false" outlineLevel="0" collapsed="false">
      <c r="A1518" s="44"/>
      <c r="B1518" s="6"/>
      <c r="C1518" s="6"/>
      <c r="D1518" s="8" t="str">
        <f aca="false">IF($C1518="","",IFERROR(INDEX(PRODUCTOS!$B$6:$B$105,MATCH($C1518,PRODUCTOS!$A$6:$A$105,0)),"¿Código?"))</f>
        <v/>
      </c>
      <c r="E1518" s="42"/>
      <c r="F1518" s="35" t="str">
        <f aca="false">IF($C1518="","",IFERROR(INDEX(PRODUCTOS!$D$6:$D$105,MATCH($C1518,PRODUCTOS!$A$6:$A$105,0)),0))</f>
        <v/>
      </c>
      <c r="G1518" s="40"/>
      <c r="H1518" s="35" t="str">
        <f aca="false">IF($C1518="","",N($E1518)*$F1518-N($G1518))</f>
        <v/>
      </c>
      <c r="I1518" s="35" t="str">
        <f aca="false">IF($C1518="","",$H1518-$H1518/(1+IFERROR(INDEX(PRODUCTOS!$E$6:$E$105,MATCH($C1518,PRODUCTOS!$A$6:$A$105,0)),IVA_VENTAS)))</f>
        <v/>
      </c>
      <c r="J1518" s="35" t="str">
        <f aca="false">IF($C1518="","",$H1518-$I1518)</f>
        <v/>
      </c>
      <c r="K1518" s="35" t="str">
        <f aca="false">IF($C1518="","",N($E1518)*IFERROR(INDEX(PRODUCTOS!$H$6:$H$105,MATCH($C1518,PRODUCTOS!$A$6:$A$105,0)),0))</f>
        <v/>
      </c>
      <c r="L1518" s="35" t="str">
        <f aca="false">IF($C1518="","",$J1518-$K1518)</f>
        <v/>
      </c>
      <c r="M1518" s="6"/>
      <c r="N1518" s="6"/>
      <c r="O1518" s="46" t="str">
        <f aca="false">IF($A1518="","",DATE(YEAR($A1518),MONTH($A1518),1))</f>
        <v/>
      </c>
    </row>
    <row r="1519" customFormat="false" ht="15" hidden="false" customHeight="false" outlineLevel="0" collapsed="false">
      <c r="A1519" s="44"/>
      <c r="B1519" s="6"/>
      <c r="C1519" s="6"/>
      <c r="D1519" s="8" t="str">
        <f aca="false">IF($C1519="","",IFERROR(INDEX(PRODUCTOS!$B$6:$B$105,MATCH($C1519,PRODUCTOS!$A$6:$A$105,0)),"¿Código?"))</f>
        <v/>
      </c>
      <c r="E1519" s="42"/>
      <c r="F1519" s="35" t="str">
        <f aca="false">IF($C1519="","",IFERROR(INDEX(PRODUCTOS!$D$6:$D$105,MATCH($C1519,PRODUCTOS!$A$6:$A$105,0)),0))</f>
        <v/>
      </c>
      <c r="G1519" s="40"/>
      <c r="H1519" s="35" t="str">
        <f aca="false">IF($C1519="","",N($E1519)*$F1519-N($G1519))</f>
        <v/>
      </c>
      <c r="I1519" s="35" t="str">
        <f aca="false">IF($C1519="","",$H1519-$H1519/(1+IFERROR(INDEX(PRODUCTOS!$E$6:$E$105,MATCH($C1519,PRODUCTOS!$A$6:$A$105,0)),IVA_VENTAS)))</f>
        <v/>
      </c>
      <c r="J1519" s="35" t="str">
        <f aca="false">IF($C1519="","",$H1519-$I1519)</f>
        <v/>
      </c>
      <c r="K1519" s="35" t="str">
        <f aca="false">IF($C1519="","",N($E1519)*IFERROR(INDEX(PRODUCTOS!$H$6:$H$105,MATCH($C1519,PRODUCTOS!$A$6:$A$105,0)),0))</f>
        <v/>
      </c>
      <c r="L1519" s="35" t="str">
        <f aca="false">IF($C1519="","",$J1519-$K1519)</f>
        <v/>
      </c>
      <c r="M1519" s="6"/>
      <c r="N1519" s="6"/>
      <c r="O1519" s="46" t="str">
        <f aca="false">IF($A1519="","",DATE(YEAR($A1519),MONTH($A1519),1))</f>
        <v/>
      </c>
    </row>
    <row r="1520" customFormat="false" ht="15" hidden="false" customHeight="false" outlineLevel="0" collapsed="false">
      <c r="A1520" s="44"/>
      <c r="B1520" s="6"/>
      <c r="C1520" s="6"/>
      <c r="D1520" s="8" t="str">
        <f aca="false">IF($C1520="","",IFERROR(INDEX(PRODUCTOS!$B$6:$B$105,MATCH($C1520,PRODUCTOS!$A$6:$A$105,0)),"¿Código?"))</f>
        <v/>
      </c>
      <c r="E1520" s="42"/>
      <c r="F1520" s="35" t="str">
        <f aca="false">IF($C1520="","",IFERROR(INDEX(PRODUCTOS!$D$6:$D$105,MATCH($C1520,PRODUCTOS!$A$6:$A$105,0)),0))</f>
        <v/>
      </c>
      <c r="G1520" s="40"/>
      <c r="H1520" s="35" t="str">
        <f aca="false">IF($C1520="","",N($E1520)*$F1520-N($G1520))</f>
        <v/>
      </c>
      <c r="I1520" s="35" t="str">
        <f aca="false">IF($C1520="","",$H1520-$H1520/(1+IFERROR(INDEX(PRODUCTOS!$E$6:$E$105,MATCH($C1520,PRODUCTOS!$A$6:$A$105,0)),IVA_VENTAS)))</f>
        <v/>
      </c>
      <c r="J1520" s="35" t="str">
        <f aca="false">IF($C1520="","",$H1520-$I1520)</f>
        <v/>
      </c>
      <c r="K1520" s="35" t="str">
        <f aca="false">IF($C1520="","",N($E1520)*IFERROR(INDEX(PRODUCTOS!$H$6:$H$105,MATCH($C1520,PRODUCTOS!$A$6:$A$105,0)),0))</f>
        <v/>
      </c>
      <c r="L1520" s="35" t="str">
        <f aca="false">IF($C1520="","",$J1520-$K1520)</f>
        <v/>
      </c>
      <c r="M1520" s="6"/>
      <c r="N1520" s="6"/>
      <c r="O1520" s="46" t="str">
        <f aca="false">IF($A1520="","",DATE(YEAR($A1520),MONTH($A1520),1))</f>
        <v/>
      </c>
    </row>
    <row r="1521" customFormat="false" ht="15" hidden="false" customHeight="false" outlineLevel="0" collapsed="false">
      <c r="A1521" s="44"/>
      <c r="B1521" s="6"/>
      <c r="C1521" s="6"/>
      <c r="D1521" s="8" t="str">
        <f aca="false">IF($C1521="","",IFERROR(INDEX(PRODUCTOS!$B$6:$B$105,MATCH($C1521,PRODUCTOS!$A$6:$A$105,0)),"¿Código?"))</f>
        <v/>
      </c>
      <c r="E1521" s="42"/>
      <c r="F1521" s="35" t="str">
        <f aca="false">IF($C1521="","",IFERROR(INDEX(PRODUCTOS!$D$6:$D$105,MATCH($C1521,PRODUCTOS!$A$6:$A$105,0)),0))</f>
        <v/>
      </c>
      <c r="G1521" s="40"/>
      <c r="H1521" s="35" t="str">
        <f aca="false">IF($C1521="","",N($E1521)*$F1521-N($G1521))</f>
        <v/>
      </c>
      <c r="I1521" s="35" t="str">
        <f aca="false">IF($C1521="","",$H1521-$H1521/(1+IFERROR(INDEX(PRODUCTOS!$E$6:$E$105,MATCH($C1521,PRODUCTOS!$A$6:$A$105,0)),IVA_VENTAS)))</f>
        <v/>
      </c>
      <c r="J1521" s="35" t="str">
        <f aca="false">IF($C1521="","",$H1521-$I1521)</f>
        <v/>
      </c>
      <c r="K1521" s="35" t="str">
        <f aca="false">IF($C1521="","",N($E1521)*IFERROR(INDEX(PRODUCTOS!$H$6:$H$105,MATCH($C1521,PRODUCTOS!$A$6:$A$105,0)),0))</f>
        <v/>
      </c>
      <c r="L1521" s="35" t="str">
        <f aca="false">IF($C1521="","",$J1521-$K1521)</f>
        <v/>
      </c>
      <c r="M1521" s="6"/>
      <c r="N1521" s="6"/>
      <c r="O1521" s="46" t="str">
        <f aca="false">IF($A1521="","",DATE(YEAR($A1521),MONTH($A1521),1))</f>
        <v/>
      </c>
    </row>
    <row r="1522" customFormat="false" ht="15" hidden="false" customHeight="false" outlineLevel="0" collapsed="false">
      <c r="A1522" s="44"/>
      <c r="B1522" s="6"/>
      <c r="C1522" s="6"/>
      <c r="D1522" s="8" t="str">
        <f aca="false">IF($C1522="","",IFERROR(INDEX(PRODUCTOS!$B$6:$B$105,MATCH($C1522,PRODUCTOS!$A$6:$A$105,0)),"¿Código?"))</f>
        <v/>
      </c>
      <c r="E1522" s="42"/>
      <c r="F1522" s="35" t="str">
        <f aca="false">IF($C1522="","",IFERROR(INDEX(PRODUCTOS!$D$6:$D$105,MATCH($C1522,PRODUCTOS!$A$6:$A$105,0)),0))</f>
        <v/>
      </c>
      <c r="G1522" s="40"/>
      <c r="H1522" s="35" t="str">
        <f aca="false">IF($C1522="","",N($E1522)*$F1522-N($G1522))</f>
        <v/>
      </c>
      <c r="I1522" s="35" t="str">
        <f aca="false">IF($C1522="","",$H1522-$H1522/(1+IFERROR(INDEX(PRODUCTOS!$E$6:$E$105,MATCH($C1522,PRODUCTOS!$A$6:$A$105,0)),IVA_VENTAS)))</f>
        <v/>
      </c>
      <c r="J1522" s="35" t="str">
        <f aca="false">IF($C1522="","",$H1522-$I1522)</f>
        <v/>
      </c>
      <c r="K1522" s="35" t="str">
        <f aca="false">IF($C1522="","",N($E1522)*IFERROR(INDEX(PRODUCTOS!$H$6:$H$105,MATCH($C1522,PRODUCTOS!$A$6:$A$105,0)),0))</f>
        <v/>
      </c>
      <c r="L1522" s="35" t="str">
        <f aca="false">IF($C1522="","",$J1522-$K1522)</f>
        <v/>
      </c>
      <c r="M1522" s="6"/>
      <c r="N1522" s="6"/>
      <c r="O1522" s="46" t="str">
        <f aca="false">IF($A1522="","",DATE(YEAR($A1522),MONTH($A1522),1))</f>
        <v/>
      </c>
    </row>
    <row r="1523" customFormat="false" ht="15" hidden="false" customHeight="false" outlineLevel="0" collapsed="false">
      <c r="A1523" s="44"/>
      <c r="B1523" s="6"/>
      <c r="C1523" s="6"/>
      <c r="D1523" s="8" t="str">
        <f aca="false">IF($C1523="","",IFERROR(INDEX(PRODUCTOS!$B$6:$B$105,MATCH($C1523,PRODUCTOS!$A$6:$A$105,0)),"¿Código?"))</f>
        <v/>
      </c>
      <c r="E1523" s="42"/>
      <c r="F1523" s="35" t="str">
        <f aca="false">IF($C1523="","",IFERROR(INDEX(PRODUCTOS!$D$6:$D$105,MATCH($C1523,PRODUCTOS!$A$6:$A$105,0)),0))</f>
        <v/>
      </c>
      <c r="G1523" s="40"/>
      <c r="H1523" s="35" t="str">
        <f aca="false">IF($C1523="","",N($E1523)*$F1523-N($G1523))</f>
        <v/>
      </c>
      <c r="I1523" s="35" t="str">
        <f aca="false">IF($C1523="","",$H1523-$H1523/(1+IFERROR(INDEX(PRODUCTOS!$E$6:$E$105,MATCH($C1523,PRODUCTOS!$A$6:$A$105,0)),IVA_VENTAS)))</f>
        <v/>
      </c>
      <c r="J1523" s="35" t="str">
        <f aca="false">IF($C1523="","",$H1523-$I1523)</f>
        <v/>
      </c>
      <c r="K1523" s="35" t="str">
        <f aca="false">IF($C1523="","",N($E1523)*IFERROR(INDEX(PRODUCTOS!$H$6:$H$105,MATCH($C1523,PRODUCTOS!$A$6:$A$105,0)),0))</f>
        <v/>
      </c>
      <c r="L1523" s="35" t="str">
        <f aca="false">IF($C1523="","",$J1523-$K1523)</f>
        <v/>
      </c>
      <c r="M1523" s="6"/>
      <c r="N1523" s="6"/>
      <c r="O1523" s="46" t="str">
        <f aca="false">IF($A1523="","",DATE(YEAR($A1523),MONTH($A1523),1))</f>
        <v/>
      </c>
    </row>
    <row r="1524" customFormat="false" ht="15" hidden="false" customHeight="false" outlineLevel="0" collapsed="false">
      <c r="A1524" s="44"/>
      <c r="B1524" s="6"/>
      <c r="C1524" s="6"/>
      <c r="D1524" s="8" t="str">
        <f aca="false">IF($C1524="","",IFERROR(INDEX(PRODUCTOS!$B$6:$B$105,MATCH($C1524,PRODUCTOS!$A$6:$A$105,0)),"¿Código?"))</f>
        <v/>
      </c>
      <c r="E1524" s="42"/>
      <c r="F1524" s="35" t="str">
        <f aca="false">IF($C1524="","",IFERROR(INDEX(PRODUCTOS!$D$6:$D$105,MATCH($C1524,PRODUCTOS!$A$6:$A$105,0)),0))</f>
        <v/>
      </c>
      <c r="G1524" s="40"/>
      <c r="H1524" s="35" t="str">
        <f aca="false">IF($C1524="","",N($E1524)*$F1524-N($G1524))</f>
        <v/>
      </c>
      <c r="I1524" s="35" t="str">
        <f aca="false">IF($C1524="","",$H1524-$H1524/(1+IFERROR(INDEX(PRODUCTOS!$E$6:$E$105,MATCH($C1524,PRODUCTOS!$A$6:$A$105,0)),IVA_VENTAS)))</f>
        <v/>
      </c>
      <c r="J1524" s="35" t="str">
        <f aca="false">IF($C1524="","",$H1524-$I1524)</f>
        <v/>
      </c>
      <c r="K1524" s="35" t="str">
        <f aca="false">IF($C1524="","",N($E1524)*IFERROR(INDEX(PRODUCTOS!$H$6:$H$105,MATCH($C1524,PRODUCTOS!$A$6:$A$105,0)),0))</f>
        <v/>
      </c>
      <c r="L1524" s="35" t="str">
        <f aca="false">IF($C1524="","",$J1524-$K1524)</f>
        <v/>
      </c>
      <c r="M1524" s="6"/>
      <c r="N1524" s="6"/>
      <c r="O1524" s="46" t="str">
        <f aca="false">IF($A1524="","",DATE(YEAR($A1524),MONTH($A1524),1))</f>
        <v/>
      </c>
    </row>
    <row r="1525" customFormat="false" ht="15" hidden="false" customHeight="false" outlineLevel="0" collapsed="false">
      <c r="A1525" s="44"/>
      <c r="B1525" s="6"/>
      <c r="C1525" s="6"/>
      <c r="D1525" s="8" t="str">
        <f aca="false">IF($C1525="","",IFERROR(INDEX(PRODUCTOS!$B$6:$B$105,MATCH($C1525,PRODUCTOS!$A$6:$A$105,0)),"¿Código?"))</f>
        <v/>
      </c>
      <c r="E1525" s="42"/>
      <c r="F1525" s="35" t="str">
        <f aca="false">IF($C1525="","",IFERROR(INDEX(PRODUCTOS!$D$6:$D$105,MATCH($C1525,PRODUCTOS!$A$6:$A$105,0)),0))</f>
        <v/>
      </c>
      <c r="G1525" s="40"/>
      <c r="H1525" s="35" t="str">
        <f aca="false">IF($C1525="","",N($E1525)*$F1525-N($G1525))</f>
        <v/>
      </c>
      <c r="I1525" s="35" t="str">
        <f aca="false">IF($C1525="","",$H1525-$H1525/(1+IFERROR(INDEX(PRODUCTOS!$E$6:$E$105,MATCH($C1525,PRODUCTOS!$A$6:$A$105,0)),IVA_VENTAS)))</f>
        <v/>
      </c>
      <c r="J1525" s="35" t="str">
        <f aca="false">IF($C1525="","",$H1525-$I1525)</f>
        <v/>
      </c>
      <c r="K1525" s="35" t="str">
        <f aca="false">IF($C1525="","",N($E1525)*IFERROR(INDEX(PRODUCTOS!$H$6:$H$105,MATCH($C1525,PRODUCTOS!$A$6:$A$105,0)),0))</f>
        <v/>
      </c>
      <c r="L1525" s="35" t="str">
        <f aca="false">IF($C1525="","",$J1525-$K1525)</f>
        <v/>
      </c>
      <c r="M1525" s="6"/>
      <c r="N1525" s="6"/>
      <c r="O1525" s="46" t="str">
        <f aca="false">IF($A1525="","",DATE(YEAR($A1525),MONTH($A1525),1))</f>
        <v/>
      </c>
    </row>
    <row r="1526" customFormat="false" ht="15" hidden="false" customHeight="false" outlineLevel="0" collapsed="false">
      <c r="A1526" s="44"/>
      <c r="B1526" s="6"/>
      <c r="C1526" s="6"/>
      <c r="D1526" s="8" t="str">
        <f aca="false">IF($C1526="","",IFERROR(INDEX(PRODUCTOS!$B$6:$B$105,MATCH($C1526,PRODUCTOS!$A$6:$A$105,0)),"¿Código?"))</f>
        <v/>
      </c>
      <c r="E1526" s="42"/>
      <c r="F1526" s="35" t="str">
        <f aca="false">IF($C1526="","",IFERROR(INDEX(PRODUCTOS!$D$6:$D$105,MATCH($C1526,PRODUCTOS!$A$6:$A$105,0)),0))</f>
        <v/>
      </c>
      <c r="G1526" s="40"/>
      <c r="H1526" s="35" t="str">
        <f aca="false">IF($C1526="","",N($E1526)*$F1526-N($G1526))</f>
        <v/>
      </c>
      <c r="I1526" s="35" t="str">
        <f aca="false">IF($C1526="","",$H1526-$H1526/(1+IFERROR(INDEX(PRODUCTOS!$E$6:$E$105,MATCH($C1526,PRODUCTOS!$A$6:$A$105,0)),IVA_VENTAS)))</f>
        <v/>
      </c>
      <c r="J1526" s="35" t="str">
        <f aca="false">IF($C1526="","",$H1526-$I1526)</f>
        <v/>
      </c>
      <c r="K1526" s="35" t="str">
        <f aca="false">IF($C1526="","",N($E1526)*IFERROR(INDEX(PRODUCTOS!$H$6:$H$105,MATCH($C1526,PRODUCTOS!$A$6:$A$105,0)),0))</f>
        <v/>
      </c>
      <c r="L1526" s="35" t="str">
        <f aca="false">IF($C1526="","",$J1526-$K1526)</f>
        <v/>
      </c>
      <c r="M1526" s="6"/>
      <c r="N1526" s="6"/>
      <c r="O1526" s="46" t="str">
        <f aca="false">IF($A1526="","",DATE(YEAR($A1526),MONTH($A1526),1))</f>
        <v/>
      </c>
    </row>
    <row r="1527" customFormat="false" ht="15" hidden="false" customHeight="false" outlineLevel="0" collapsed="false">
      <c r="A1527" s="44"/>
      <c r="B1527" s="6"/>
      <c r="C1527" s="6"/>
      <c r="D1527" s="8" t="str">
        <f aca="false">IF($C1527="","",IFERROR(INDEX(PRODUCTOS!$B$6:$B$105,MATCH($C1527,PRODUCTOS!$A$6:$A$105,0)),"¿Código?"))</f>
        <v/>
      </c>
      <c r="E1527" s="42"/>
      <c r="F1527" s="35" t="str">
        <f aca="false">IF($C1527="","",IFERROR(INDEX(PRODUCTOS!$D$6:$D$105,MATCH($C1527,PRODUCTOS!$A$6:$A$105,0)),0))</f>
        <v/>
      </c>
      <c r="G1527" s="40"/>
      <c r="H1527" s="35" t="str">
        <f aca="false">IF($C1527="","",N($E1527)*$F1527-N($G1527))</f>
        <v/>
      </c>
      <c r="I1527" s="35" t="str">
        <f aca="false">IF($C1527="","",$H1527-$H1527/(1+IFERROR(INDEX(PRODUCTOS!$E$6:$E$105,MATCH($C1527,PRODUCTOS!$A$6:$A$105,0)),IVA_VENTAS)))</f>
        <v/>
      </c>
      <c r="J1527" s="35" t="str">
        <f aca="false">IF($C1527="","",$H1527-$I1527)</f>
        <v/>
      </c>
      <c r="K1527" s="35" t="str">
        <f aca="false">IF($C1527="","",N($E1527)*IFERROR(INDEX(PRODUCTOS!$H$6:$H$105,MATCH($C1527,PRODUCTOS!$A$6:$A$105,0)),0))</f>
        <v/>
      </c>
      <c r="L1527" s="35" t="str">
        <f aca="false">IF($C1527="","",$J1527-$K1527)</f>
        <v/>
      </c>
      <c r="M1527" s="6"/>
      <c r="N1527" s="6"/>
      <c r="O1527" s="46" t="str">
        <f aca="false">IF($A1527="","",DATE(YEAR($A1527),MONTH($A1527),1))</f>
        <v/>
      </c>
    </row>
    <row r="1528" customFormat="false" ht="15" hidden="false" customHeight="false" outlineLevel="0" collapsed="false">
      <c r="A1528" s="44"/>
      <c r="B1528" s="6"/>
      <c r="C1528" s="6"/>
      <c r="D1528" s="8" t="str">
        <f aca="false">IF($C1528="","",IFERROR(INDEX(PRODUCTOS!$B$6:$B$105,MATCH($C1528,PRODUCTOS!$A$6:$A$105,0)),"¿Código?"))</f>
        <v/>
      </c>
      <c r="E1528" s="42"/>
      <c r="F1528" s="35" t="str">
        <f aca="false">IF($C1528="","",IFERROR(INDEX(PRODUCTOS!$D$6:$D$105,MATCH($C1528,PRODUCTOS!$A$6:$A$105,0)),0))</f>
        <v/>
      </c>
      <c r="G1528" s="40"/>
      <c r="H1528" s="35" t="str">
        <f aca="false">IF($C1528="","",N($E1528)*$F1528-N($G1528))</f>
        <v/>
      </c>
      <c r="I1528" s="35" t="str">
        <f aca="false">IF($C1528="","",$H1528-$H1528/(1+IFERROR(INDEX(PRODUCTOS!$E$6:$E$105,MATCH($C1528,PRODUCTOS!$A$6:$A$105,0)),IVA_VENTAS)))</f>
        <v/>
      </c>
      <c r="J1528" s="35" t="str">
        <f aca="false">IF($C1528="","",$H1528-$I1528)</f>
        <v/>
      </c>
      <c r="K1528" s="35" t="str">
        <f aca="false">IF($C1528="","",N($E1528)*IFERROR(INDEX(PRODUCTOS!$H$6:$H$105,MATCH($C1528,PRODUCTOS!$A$6:$A$105,0)),0))</f>
        <v/>
      </c>
      <c r="L1528" s="35" t="str">
        <f aca="false">IF($C1528="","",$J1528-$K1528)</f>
        <v/>
      </c>
      <c r="M1528" s="6"/>
      <c r="N1528" s="6"/>
      <c r="O1528" s="46" t="str">
        <f aca="false">IF($A1528="","",DATE(YEAR($A1528),MONTH($A1528),1))</f>
        <v/>
      </c>
    </row>
    <row r="1529" customFormat="false" ht="15" hidden="false" customHeight="false" outlineLevel="0" collapsed="false">
      <c r="A1529" s="44"/>
      <c r="B1529" s="6"/>
      <c r="C1529" s="6"/>
      <c r="D1529" s="8" t="str">
        <f aca="false">IF($C1529="","",IFERROR(INDEX(PRODUCTOS!$B$6:$B$105,MATCH($C1529,PRODUCTOS!$A$6:$A$105,0)),"¿Código?"))</f>
        <v/>
      </c>
      <c r="E1529" s="42"/>
      <c r="F1529" s="35" t="str">
        <f aca="false">IF($C1529="","",IFERROR(INDEX(PRODUCTOS!$D$6:$D$105,MATCH($C1529,PRODUCTOS!$A$6:$A$105,0)),0))</f>
        <v/>
      </c>
      <c r="G1529" s="40"/>
      <c r="H1529" s="35" t="str">
        <f aca="false">IF($C1529="","",N($E1529)*$F1529-N($G1529))</f>
        <v/>
      </c>
      <c r="I1529" s="35" t="str">
        <f aca="false">IF($C1529="","",$H1529-$H1529/(1+IFERROR(INDEX(PRODUCTOS!$E$6:$E$105,MATCH($C1529,PRODUCTOS!$A$6:$A$105,0)),IVA_VENTAS)))</f>
        <v/>
      </c>
      <c r="J1529" s="35" t="str">
        <f aca="false">IF($C1529="","",$H1529-$I1529)</f>
        <v/>
      </c>
      <c r="K1529" s="35" t="str">
        <f aca="false">IF($C1529="","",N($E1529)*IFERROR(INDEX(PRODUCTOS!$H$6:$H$105,MATCH($C1529,PRODUCTOS!$A$6:$A$105,0)),0))</f>
        <v/>
      </c>
      <c r="L1529" s="35" t="str">
        <f aca="false">IF($C1529="","",$J1529-$K1529)</f>
        <v/>
      </c>
      <c r="M1529" s="6"/>
      <c r="N1529" s="6"/>
      <c r="O1529" s="46" t="str">
        <f aca="false">IF($A1529="","",DATE(YEAR($A1529),MONTH($A1529),1))</f>
        <v/>
      </c>
    </row>
    <row r="1530" customFormat="false" ht="15" hidden="false" customHeight="false" outlineLevel="0" collapsed="false">
      <c r="A1530" s="44"/>
      <c r="B1530" s="6"/>
      <c r="C1530" s="6"/>
      <c r="D1530" s="8" t="str">
        <f aca="false">IF($C1530="","",IFERROR(INDEX(PRODUCTOS!$B$6:$B$105,MATCH($C1530,PRODUCTOS!$A$6:$A$105,0)),"¿Código?"))</f>
        <v/>
      </c>
      <c r="E1530" s="42"/>
      <c r="F1530" s="35" t="str">
        <f aca="false">IF($C1530="","",IFERROR(INDEX(PRODUCTOS!$D$6:$D$105,MATCH($C1530,PRODUCTOS!$A$6:$A$105,0)),0))</f>
        <v/>
      </c>
      <c r="G1530" s="40"/>
      <c r="H1530" s="35" t="str">
        <f aca="false">IF($C1530="","",N($E1530)*$F1530-N($G1530))</f>
        <v/>
      </c>
      <c r="I1530" s="35" t="str">
        <f aca="false">IF($C1530="","",$H1530-$H1530/(1+IFERROR(INDEX(PRODUCTOS!$E$6:$E$105,MATCH($C1530,PRODUCTOS!$A$6:$A$105,0)),IVA_VENTAS)))</f>
        <v/>
      </c>
      <c r="J1530" s="35" t="str">
        <f aca="false">IF($C1530="","",$H1530-$I1530)</f>
        <v/>
      </c>
      <c r="K1530" s="35" t="str">
        <f aca="false">IF($C1530="","",N($E1530)*IFERROR(INDEX(PRODUCTOS!$H$6:$H$105,MATCH($C1530,PRODUCTOS!$A$6:$A$105,0)),0))</f>
        <v/>
      </c>
      <c r="L1530" s="35" t="str">
        <f aca="false">IF($C1530="","",$J1530-$K1530)</f>
        <v/>
      </c>
      <c r="M1530" s="6"/>
      <c r="N1530" s="6"/>
      <c r="O1530" s="46" t="str">
        <f aca="false">IF($A1530="","",DATE(YEAR($A1530),MONTH($A1530),1))</f>
        <v/>
      </c>
    </row>
    <row r="1531" customFormat="false" ht="15" hidden="false" customHeight="false" outlineLevel="0" collapsed="false">
      <c r="A1531" s="44"/>
      <c r="B1531" s="6"/>
      <c r="C1531" s="6"/>
      <c r="D1531" s="8" t="str">
        <f aca="false">IF($C1531="","",IFERROR(INDEX(PRODUCTOS!$B$6:$B$105,MATCH($C1531,PRODUCTOS!$A$6:$A$105,0)),"¿Código?"))</f>
        <v/>
      </c>
      <c r="E1531" s="42"/>
      <c r="F1531" s="35" t="str">
        <f aca="false">IF($C1531="","",IFERROR(INDEX(PRODUCTOS!$D$6:$D$105,MATCH($C1531,PRODUCTOS!$A$6:$A$105,0)),0))</f>
        <v/>
      </c>
      <c r="G1531" s="40"/>
      <c r="H1531" s="35" t="str">
        <f aca="false">IF($C1531="","",N($E1531)*$F1531-N($G1531))</f>
        <v/>
      </c>
      <c r="I1531" s="35" t="str">
        <f aca="false">IF($C1531="","",$H1531-$H1531/(1+IFERROR(INDEX(PRODUCTOS!$E$6:$E$105,MATCH($C1531,PRODUCTOS!$A$6:$A$105,0)),IVA_VENTAS)))</f>
        <v/>
      </c>
      <c r="J1531" s="35" t="str">
        <f aca="false">IF($C1531="","",$H1531-$I1531)</f>
        <v/>
      </c>
      <c r="K1531" s="35" t="str">
        <f aca="false">IF($C1531="","",N($E1531)*IFERROR(INDEX(PRODUCTOS!$H$6:$H$105,MATCH($C1531,PRODUCTOS!$A$6:$A$105,0)),0))</f>
        <v/>
      </c>
      <c r="L1531" s="35" t="str">
        <f aca="false">IF($C1531="","",$J1531-$K1531)</f>
        <v/>
      </c>
      <c r="M1531" s="6"/>
      <c r="N1531" s="6"/>
      <c r="O1531" s="46" t="str">
        <f aca="false">IF($A1531="","",DATE(YEAR($A1531),MONTH($A1531),1))</f>
        <v/>
      </c>
    </row>
    <row r="1532" customFormat="false" ht="15" hidden="false" customHeight="false" outlineLevel="0" collapsed="false">
      <c r="A1532" s="44"/>
      <c r="B1532" s="6"/>
      <c r="C1532" s="6"/>
      <c r="D1532" s="8" t="str">
        <f aca="false">IF($C1532="","",IFERROR(INDEX(PRODUCTOS!$B$6:$B$105,MATCH($C1532,PRODUCTOS!$A$6:$A$105,0)),"¿Código?"))</f>
        <v/>
      </c>
      <c r="E1532" s="42"/>
      <c r="F1532" s="35" t="str">
        <f aca="false">IF($C1532="","",IFERROR(INDEX(PRODUCTOS!$D$6:$D$105,MATCH($C1532,PRODUCTOS!$A$6:$A$105,0)),0))</f>
        <v/>
      </c>
      <c r="G1532" s="40"/>
      <c r="H1532" s="35" t="str">
        <f aca="false">IF($C1532="","",N($E1532)*$F1532-N($G1532))</f>
        <v/>
      </c>
      <c r="I1532" s="35" t="str">
        <f aca="false">IF($C1532="","",$H1532-$H1532/(1+IFERROR(INDEX(PRODUCTOS!$E$6:$E$105,MATCH($C1532,PRODUCTOS!$A$6:$A$105,0)),IVA_VENTAS)))</f>
        <v/>
      </c>
      <c r="J1532" s="35" t="str">
        <f aca="false">IF($C1532="","",$H1532-$I1532)</f>
        <v/>
      </c>
      <c r="K1532" s="35" t="str">
        <f aca="false">IF($C1532="","",N($E1532)*IFERROR(INDEX(PRODUCTOS!$H$6:$H$105,MATCH($C1532,PRODUCTOS!$A$6:$A$105,0)),0))</f>
        <v/>
      </c>
      <c r="L1532" s="35" t="str">
        <f aca="false">IF($C1532="","",$J1532-$K1532)</f>
        <v/>
      </c>
      <c r="M1532" s="6"/>
      <c r="N1532" s="6"/>
      <c r="O1532" s="46" t="str">
        <f aca="false">IF($A1532="","",DATE(YEAR($A1532),MONTH($A1532),1))</f>
        <v/>
      </c>
    </row>
    <row r="1533" customFormat="false" ht="15" hidden="false" customHeight="false" outlineLevel="0" collapsed="false">
      <c r="A1533" s="44"/>
      <c r="B1533" s="6"/>
      <c r="C1533" s="6"/>
      <c r="D1533" s="8" t="str">
        <f aca="false">IF($C1533="","",IFERROR(INDEX(PRODUCTOS!$B$6:$B$105,MATCH($C1533,PRODUCTOS!$A$6:$A$105,0)),"¿Código?"))</f>
        <v/>
      </c>
      <c r="E1533" s="42"/>
      <c r="F1533" s="35" t="str">
        <f aca="false">IF($C1533="","",IFERROR(INDEX(PRODUCTOS!$D$6:$D$105,MATCH($C1533,PRODUCTOS!$A$6:$A$105,0)),0))</f>
        <v/>
      </c>
      <c r="G1533" s="40"/>
      <c r="H1533" s="35" t="str">
        <f aca="false">IF($C1533="","",N($E1533)*$F1533-N($G1533))</f>
        <v/>
      </c>
      <c r="I1533" s="35" t="str">
        <f aca="false">IF($C1533="","",$H1533-$H1533/(1+IFERROR(INDEX(PRODUCTOS!$E$6:$E$105,MATCH($C1533,PRODUCTOS!$A$6:$A$105,0)),IVA_VENTAS)))</f>
        <v/>
      </c>
      <c r="J1533" s="35" t="str">
        <f aca="false">IF($C1533="","",$H1533-$I1533)</f>
        <v/>
      </c>
      <c r="K1533" s="35" t="str">
        <f aca="false">IF($C1533="","",N($E1533)*IFERROR(INDEX(PRODUCTOS!$H$6:$H$105,MATCH($C1533,PRODUCTOS!$A$6:$A$105,0)),0))</f>
        <v/>
      </c>
      <c r="L1533" s="35" t="str">
        <f aca="false">IF($C1533="","",$J1533-$K1533)</f>
        <v/>
      </c>
      <c r="M1533" s="6"/>
      <c r="N1533" s="6"/>
      <c r="O1533" s="46" t="str">
        <f aca="false">IF($A1533="","",DATE(YEAR($A1533),MONTH($A1533),1))</f>
        <v/>
      </c>
    </row>
    <row r="1534" customFormat="false" ht="15" hidden="false" customHeight="false" outlineLevel="0" collapsed="false">
      <c r="A1534" s="44"/>
      <c r="B1534" s="6"/>
      <c r="C1534" s="6"/>
      <c r="D1534" s="8" t="str">
        <f aca="false">IF($C1534="","",IFERROR(INDEX(PRODUCTOS!$B$6:$B$105,MATCH($C1534,PRODUCTOS!$A$6:$A$105,0)),"¿Código?"))</f>
        <v/>
      </c>
      <c r="E1534" s="42"/>
      <c r="F1534" s="35" t="str">
        <f aca="false">IF($C1534="","",IFERROR(INDEX(PRODUCTOS!$D$6:$D$105,MATCH($C1534,PRODUCTOS!$A$6:$A$105,0)),0))</f>
        <v/>
      </c>
      <c r="G1534" s="40"/>
      <c r="H1534" s="35" t="str">
        <f aca="false">IF($C1534="","",N($E1534)*$F1534-N($G1534))</f>
        <v/>
      </c>
      <c r="I1534" s="35" t="str">
        <f aca="false">IF($C1534="","",$H1534-$H1534/(1+IFERROR(INDEX(PRODUCTOS!$E$6:$E$105,MATCH($C1534,PRODUCTOS!$A$6:$A$105,0)),IVA_VENTAS)))</f>
        <v/>
      </c>
      <c r="J1534" s="35" t="str">
        <f aca="false">IF($C1534="","",$H1534-$I1534)</f>
        <v/>
      </c>
      <c r="K1534" s="35" t="str">
        <f aca="false">IF($C1534="","",N($E1534)*IFERROR(INDEX(PRODUCTOS!$H$6:$H$105,MATCH($C1534,PRODUCTOS!$A$6:$A$105,0)),0))</f>
        <v/>
      </c>
      <c r="L1534" s="35" t="str">
        <f aca="false">IF($C1534="","",$J1534-$K1534)</f>
        <v/>
      </c>
      <c r="M1534" s="6"/>
      <c r="N1534" s="6"/>
      <c r="O1534" s="46" t="str">
        <f aca="false">IF($A1534="","",DATE(YEAR($A1534),MONTH($A1534),1))</f>
        <v/>
      </c>
    </row>
    <row r="1535" customFormat="false" ht="15" hidden="false" customHeight="false" outlineLevel="0" collapsed="false">
      <c r="A1535" s="44"/>
      <c r="B1535" s="6"/>
      <c r="C1535" s="6"/>
      <c r="D1535" s="8" t="str">
        <f aca="false">IF($C1535="","",IFERROR(INDEX(PRODUCTOS!$B$6:$B$105,MATCH($C1535,PRODUCTOS!$A$6:$A$105,0)),"¿Código?"))</f>
        <v/>
      </c>
      <c r="E1535" s="42"/>
      <c r="F1535" s="35" t="str">
        <f aca="false">IF($C1535="","",IFERROR(INDEX(PRODUCTOS!$D$6:$D$105,MATCH($C1535,PRODUCTOS!$A$6:$A$105,0)),0))</f>
        <v/>
      </c>
      <c r="G1535" s="40"/>
      <c r="H1535" s="35" t="str">
        <f aca="false">IF($C1535="","",N($E1535)*$F1535-N($G1535))</f>
        <v/>
      </c>
      <c r="I1535" s="35" t="str">
        <f aca="false">IF($C1535="","",$H1535-$H1535/(1+IFERROR(INDEX(PRODUCTOS!$E$6:$E$105,MATCH($C1535,PRODUCTOS!$A$6:$A$105,0)),IVA_VENTAS)))</f>
        <v/>
      </c>
      <c r="J1535" s="35" t="str">
        <f aca="false">IF($C1535="","",$H1535-$I1535)</f>
        <v/>
      </c>
      <c r="K1535" s="35" t="str">
        <f aca="false">IF($C1535="","",N($E1535)*IFERROR(INDEX(PRODUCTOS!$H$6:$H$105,MATCH($C1535,PRODUCTOS!$A$6:$A$105,0)),0))</f>
        <v/>
      </c>
      <c r="L1535" s="35" t="str">
        <f aca="false">IF($C1535="","",$J1535-$K1535)</f>
        <v/>
      </c>
      <c r="M1535" s="6"/>
      <c r="N1535" s="6"/>
      <c r="O1535" s="46" t="str">
        <f aca="false">IF($A1535="","",DATE(YEAR($A1535),MONTH($A1535),1))</f>
        <v/>
      </c>
    </row>
    <row r="1536" customFormat="false" ht="15" hidden="false" customHeight="false" outlineLevel="0" collapsed="false">
      <c r="A1536" s="44"/>
      <c r="B1536" s="6"/>
      <c r="C1536" s="6"/>
      <c r="D1536" s="8" t="str">
        <f aca="false">IF($C1536="","",IFERROR(INDEX(PRODUCTOS!$B$6:$B$105,MATCH($C1536,PRODUCTOS!$A$6:$A$105,0)),"¿Código?"))</f>
        <v/>
      </c>
      <c r="E1536" s="42"/>
      <c r="F1536" s="35" t="str">
        <f aca="false">IF($C1536="","",IFERROR(INDEX(PRODUCTOS!$D$6:$D$105,MATCH($C1536,PRODUCTOS!$A$6:$A$105,0)),0))</f>
        <v/>
      </c>
      <c r="G1536" s="40"/>
      <c r="H1536" s="35" t="str">
        <f aca="false">IF($C1536="","",N($E1536)*$F1536-N($G1536))</f>
        <v/>
      </c>
      <c r="I1536" s="35" t="str">
        <f aca="false">IF($C1536="","",$H1536-$H1536/(1+IFERROR(INDEX(PRODUCTOS!$E$6:$E$105,MATCH($C1536,PRODUCTOS!$A$6:$A$105,0)),IVA_VENTAS)))</f>
        <v/>
      </c>
      <c r="J1536" s="35" t="str">
        <f aca="false">IF($C1536="","",$H1536-$I1536)</f>
        <v/>
      </c>
      <c r="K1536" s="35" t="str">
        <f aca="false">IF($C1536="","",N($E1536)*IFERROR(INDEX(PRODUCTOS!$H$6:$H$105,MATCH($C1536,PRODUCTOS!$A$6:$A$105,0)),0))</f>
        <v/>
      </c>
      <c r="L1536" s="35" t="str">
        <f aca="false">IF($C1536="","",$J1536-$K1536)</f>
        <v/>
      </c>
      <c r="M1536" s="6"/>
      <c r="N1536" s="6"/>
      <c r="O1536" s="46" t="str">
        <f aca="false">IF($A1536="","",DATE(YEAR($A1536),MONTH($A1536),1))</f>
        <v/>
      </c>
    </row>
    <row r="1537" customFormat="false" ht="15" hidden="false" customHeight="false" outlineLevel="0" collapsed="false">
      <c r="A1537" s="44"/>
      <c r="B1537" s="6"/>
      <c r="C1537" s="6"/>
      <c r="D1537" s="8" t="str">
        <f aca="false">IF($C1537="","",IFERROR(INDEX(PRODUCTOS!$B$6:$B$105,MATCH($C1537,PRODUCTOS!$A$6:$A$105,0)),"¿Código?"))</f>
        <v/>
      </c>
      <c r="E1537" s="42"/>
      <c r="F1537" s="35" t="str">
        <f aca="false">IF($C1537="","",IFERROR(INDEX(PRODUCTOS!$D$6:$D$105,MATCH($C1537,PRODUCTOS!$A$6:$A$105,0)),0))</f>
        <v/>
      </c>
      <c r="G1537" s="40"/>
      <c r="H1537" s="35" t="str">
        <f aca="false">IF($C1537="","",N($E1537)*$F1537-N($G1537))</f>
        <v/>
      </c>
      <c r="I1537" s="35" t="str">
        <f aca="false">IF($C1537="","",$H1537-$H1537/(1+IFERROR(INDEX(PRODUCTOS!$E$6:$E$105,MATCH($C1537,PRODUCTOS!$A$6:$A$105,0)),IVA_VENTAS)))</f>
        <v/>
      </c>
      <c r="J1537" s="35" t="str">
        <f aca="false">IF($C1537="","",$H1537-$I1537)</f>
        <v/>
      </c>
      <c r="K1537" s="35" t="str">
        <f aca="false">IF($C1537="","",N($E1537)*IFERROR(INDEX(PRODUCTOS!$H$6:$H$105,MATCH($C1537,PRODUCTOS!$A$6:$A$105,0)),0))</f>
        <v/>
      </c>
      <c r="L1537" s="35" t="str">
        <f aca="false">IF($C1537="","",$J1537-$K1537)</f>
        <v/>
      </c>
      <c r="M1537" s="6"/>
      <c r="N1537" s="6"/>
      <c r="O1537" s="46" t="str">
        <f aca="false">IF($A1537="","",DATE(YEAR($A1537),MONTH($A1537),1))</f>
        <v/>
      </c>
    </row>
    <row r="1538" customFormat="false" ht="15" hidden="false" customHeight="false" outlineLevel="0" collapsed="false">
      <c r="A1538" s="44"/>
      <c r="B1538" s="6"/>
      <c r="C1538" s="6"/>
      <c r="D1538" s="8" t="str">
        <f aca="false">IF($C1538="","",IFERROR(INDEX(PRODUCTOS!$B$6:$B$105,MATCH($C1538,PRODUCTOS!$A$6:$A$105,0)),"¿Código?"))</f>
        <v/>
      </c>
      <c r="E1538" s="42"/>
      <c r="F1538" s="35" t="str">
        <f aca="false">IF($C1538="","",IFERROR(INDEX(PRODUCTOS!$D$6:$D$105,MATCH($C1538,PRODUCTOS!$A$6:$A$105,0)),0))</f>
        <v/>
      </c>
      <c r="G1538" s="40"/>
      <c r="H1538" s="35" t="str">
        <f aca="false">IF($C1538="","",N($E1538)*$F1538-N($G1538))</f>
        <v/>
      </c>
      <c r="I1538" s="35" t="str">
        <f aca="false">IF($C1538="","",$H1538-$H1538/(1+IFERROR(INDEX(PRODUCTOS!$E$6:$E$105,MATCH($C1538,PRODUCTOS!$A$6:$A$105,0)),IVA_VENTAS)))</f>
        <v/>
      </c>
      <c r="J1538" s="35" t="str">
        <f aca="false">IF($C1538="","",$H1538-$I1538)</f>
        <v/>
      </c>
      <c r="K1538" s="35" t="str">
        <f aca="false">IF($C1538="","",N($E1538)*IFERROR(INDEX(PRODUCTOS!$H$6:$H$105,MATCH($C1538,PRODUCTOS!$A$6:$A$105,0)),0))</f>
        <v/>
      </c>
      <c r="L1538" s="35" t="str">
        <f aca="false">IF($C1538="","",$J1538-$K1538)</f>
        <v/>
      </c>
      <c r="M1538" s="6"/>
      <c r="N1538" s="6"/>
      <c r="O1538" s="46" t="str">
        <f aca="false">IF($A1538="","",DATE(YEAR($A1538),MONTH($A1538),1))</f>
        <v/>
      </c>
    </row>
    <row r="1539" customFormat="false" ht="15" hidden="false" customHeight="false" outlineLevel="0" collapsed="false">
      <c r="A1539" s="44"/>
      <c r="B1539" s="6"/>
      <c r="C1539" s="6"/>
      <c r="D1539" s="8" t="str">
        <f aca="false">IF($C1539="","",IFERROR(INDEX(PRODUCTOS!$B$6:$B$105,MATCH($C1539,PRODUCTOS!$A$6:$A$105,0)),"¿Código?"))</f>
        <v/>
      </c>
      <c r="E1539" s="42"/>
      <c r="F1539" s="35" t="str">
        <f aca="false">IF($C1539="","",IFERROR(INDEX(PRODUCTOS!$D$6:$D$105,MATCH($C1539,PRODUCTOS!$A$6:$A$105,0)),0))</f>
        <v/>
      </c>
      <c r="G1539" s="40"/>
      <c r="H1539" s="35" t="str">
        <f aca="false">IF($C1539="","",N($E1539)*$F1539-N($G1539))</f>
        <v/>
      </c>
      <c r="I1539" s="35" t="str">
        <f aca="false">IF($C1539="","",$H1539-$H1539/(1+IFERROR(INDEX(PRODUCTOS!$E$6:$E$105,MATCH($C1539,PRODUCTOS!$A$6:$A$105,0)),IVA_VENTAS)))</f>
        <v/>
      </c>
      <c r="J1539" s="35" t="str">
        <f aca="false">IF($C1539="","",$H1539-$I1539)</f>
        <v/>
      </c>
      <c r="K1539" s="35" t="str">
        <f aca="false">IF($C1539="","",N($E1539)*IFERROR(INDEX(PRODUCTOS!$H$6:$H$105,MATCH($C1539,PRODUCTOS!$A$6:$A$105,0)),0))</f>
        <v/>
      </c>
      <c r="L1539" s="35" t="str">
        <f aca="false">IF($C1539="","",$J1539-$K1539)</f>
        <v/>
      </c>
      <c r="M1539" s="6"/>
      <c r="N1539" s="6"/>
      <c r="O1539" s="46" t="str">
        <f aca="false">IF($A1539="","",DATE(YEAR($A1539),MONTH($A1539),1))</f>
        <v/>
      </c>
    </row>
    <row r="1540" customFormat="false" ht="15" hidden="false" customHeight="false" outlineLevel="0" collapsed="false">
      <c r="A1540" s="44"/>
      <c r="B1540" s="6"/>
      <c r="C1540" s="6"/>
      <c r="D1540" s="8" t="str">
        <f aca="false">IF($C1540="","",IFERROR(INDEX(PRODUCTOS!$B$6:$B$105,MATCH($C1540,PRODUCTOS!$A$6:$A$105,0)),"¿Código?"))</f>
        <v/>
      </c>
      <c r="E1540" s="42"/>
      <c r="F1540" s="35" t="str">
        <f aca="false">IF($C1540="","",IFERROR(INDEX(PRODUCTOS!$D$6:$D$105,MATCH($C1540,PRODUCTOS!$A$6:$A$105,0)),0))</f>
        <v/>
      </c>
      <c r="G1540" s="40"/>
      <c r="H1540" s="35" t="str">
        <f aca="false">IF($C1540="","",N($E1540)*$F1540-N($G1540))</f>
        <v/>
      </c>
      <c r="I1540" s="35" t="str">
        <f aca="false">IF($C1540="","",$H1540-$H1540/(1+IFERROR(INDEX(PRODUCTOS!$E$6:$E$105,MATCH($C1540,PRODUCTOS!$A$6:$A$105,0)),IVA_VENTAS)))</f>
        <v/>
      </c>
      <c r="J1540" s="35" t="str">
        <f aca="false">IF($C1540="","",$H1540-$I1540)</f>
        <v/>
      </c>
      <c r="K1540" s="35" t="str">
        <f aca="false">IF($C1540="","",N($E1540)*IFERROR(INDEX(PRODUCTOS!$H$6:$H$105,MATCH($C1540,PRODUCTOS!$A$6:$A$105,0)),0))</f>
        <v/>
      </c>
      <c r="L1540" s="35" t="str">
        <f aca="false">IF($C1540="","",$J1540-$K1540)</f>
        <v/>
      </c>
      <c r="M1540" s="6"/>
      <c r="N1540" s="6"/>
      <c r="O1540" s="46" t="str">
        <f aca="false">IF($A1540="","",DATE(YEAR($A1540),MONTH($A1540),1))</f>
        <v/>
      </c>
    </row>
    <row r="1541" customFormat="false" ht="15" hidden="false" customHeight="false" outlineLevel="0" collapsed="false">
      <c r="A1541" s="44"/>
      <c r="B1541" s="6"/>
      <c r="C1541" s="6"/>
      <c r="D1541" s="8" t="str">
        <f aca="false">IF($C1541="","",IFERROR(INDEX(PRODUCTOS!$B$6:$B$105,MATCH($C1541,PRODUCTOS!$A$6:$A$105,0)),"¿Código?"))</f>
        <v/>
      </c>
      <c r="E1541" s="42"/>
      <c r="F1541" s="35" t="str">
        <f aca="false">IF($C1541="","",IFERROR(INDEX(PRODUCTOS!$D$6:$D$105,MATCH($C1541,PRODUCTOS!$A$6:$A$105,0)),0))</f>
        <v/>
      </c>
      <c r="G1541" s="40"/>
      <c r="H1541" s="35" t="str">
        <f aca="false">IF($C1541="","",N($E1541)*$F1541-N($G1541))</f>
        <v/>
      </c>
      <c r="I1541" s="35" t="str">
        <f aca="false">IF($C1541="","",$H1541-$H1541/(1+IFERROR(INDEX(PRODUCTOS!$E$6:$E$105,MATCH($C1541,PRODUCTOS!$A$6:$A$105,0)),IVA_VENTAS)))</f>
        <v/>
      </c>
      <c r="J1541" s="35" t="str">
        <f aca="false">IF($C1541="","",$H1541-$I1541)</f>
        <v/>
      </c>
      <c r="K1541" s="35" t="str">
        <f aca="false">IF($C1541="","",N($E1541)*IFERROR(INDEX(PRODUCTOS!$H$6:$H$105,MATCH($C1541,PRODUCTOS!$A$6:$A$105,0)),0))</f>
        <v/>
      </c>
      <c r="L1541" s="35" t="str">
        <f aca="false">IF($C1541="","",$J1541-$K1541)</f>
        <v/>
      </c>
      <c r="M1541" s="6"/>
      <c r="N1541" s="6"/>
      <c r="O1541" s="46" t="str">
        <f aca="false">IF($A1541="","",DATE(YEAR($A1541),MONTH($A1541),1))</f>
        <v/>
      </c>
    </row>
    <row r="1542" customFormat="false" ht="15" hidden="false" customHeight="false" outlineLevel="0" collapsed="false">
      <c r="A1542" s="44"/>
      <c r="B1542" s="6"/>
      <c r="C1542" s="6"/>
      <c r="D1542" s="8" t="str">
        <f aca="false">IF($C1542="","",IFERROR(INDEX(PRODUCTOS!$B$6:$B$105,MATCH($C1542,PRODUCTOS!$A$6:$A$105,0)),"¿Código?"))</f>
        <v/>
      </c>
      <c r="E1542" s="42"/>
      <c r="F1542" s="35" t="str">
        <f aca="false">IF($C1542="","",IFERROR(INDEX(PRODUCTOS!$D$6:$D$105,MATCH($C1542,PRODUCTOS!$A$6:$A$105,0)),0))</f>
        <v/>
      </c>
      <c r="G1542" s="40"/>
      <c r="H1542" s="35" t="str">
        <f aca="false">IF($C1542="","",N($E1542)*$F1542-N($G1542))</f>
        <v/>
      </c>
      <c r="I1542" s="35" t="str">
        <f aca="false">IF($C1542="","",$H1542-$H1542/(1+IFERROR(INDEX(PRODUCTOS!$E$6:$E$105,MATCH($C1542,PRODUCTOS!$A$6:$A$105,0)),IVA_VENTAS)))</f>
        <v/>
      </c>
      <c r="J1542" s="35" t="str">
        <f aca="false">IF($C1542="","",$H1542-$I1542)</f>
        <v/>
      </c>
      <c r="K1542" s="35" t="str">
        <f aca="false">IF($C1542="","",N($E1542)*IFERROR(INDEX(PRODUCTOS!$H$6:$H$105,MATCH($C1542,PRODUCTOS!$A$6:$A$105,0)),0))</f>
        <v/>
      </c>
      <c r="L1542" s="35" t="str">
        <f aca="false">IF($C1542="","",$J1542-$K1542)</f>
        <v/>
      </c>
      <c r="M1542" s="6"/>
      <c r="N1542" s="6"/>
      <c r="O1542" s="46" t="str">
        <f aca="false">IF($A1542="","",DATE(YEAR($A1542),MONTH($A1542),1))</f>
        <v/>
      </c>
    </row>
    <row r="1543" customFormat="false" ht="15" hidden="false" customHeight="false" outlineLevel="0" collapsed="false">
      <c r="A1543" s="44"/>
      <c r="B1543" s="6"/>
      <c r="C1543" s="6"/>
      <c r="D1543" s="8" t="str">
        <f aca="false">IF($C1543="","",IFERROR(INDEX(PRODUCTOS!$B$6:$B$105,MATCH($C1543,PRODUCTOS!$A$6:$A$105,0)),"¿Código?"))</f>
        <v/>
      </c>
      <c r="E1543" s="42"/>
      <c r="F1543" s="35" t="str">
        <f aca="false">IF($C1543="","",IFERROR(INDEX(PRODUCTOS!$D$6:$D$105,MATCH($C1543,PRODUCTOS!$A$6:$A$105,0)),0))</f>
        <v/>
      </c>
      <c r="G1543" s="40"/>
      <c r="H1543" s="35" t="str">
        <f aca="false">IF($C1543="","",N($E1543)*$F1543-N($G1543))</f>
        <v/>
      </c>
      <c r="I1543" s="35" t="str">
        <f aca="false">IF($C1543="","",$H1543-$H1543/(1+IFERROR(INDEX(PRODUCTOS!$E$6:$E$105,MATCH($C1543,PRODUCTOS!$A$6:$A$105,0)),IVA_VENTAS)))</f>
        <v/>
      </c>
      <c r="J1543" s="35" t="str">
        <f aca="false">IF($C1543="","",$H1543-$I1543)</f>
        <v/>
      </c>
      <c r="K1543" s="35" t="str">
        <f aca="false">IF($C1543="","",N($E1543)*IFERROR(INDEX(PRODUCTOS!$H$6:$H$105,MATCH($C1543,PRODUCTOS!$A$6:$A$105,0)),0))</f>
        <v/>
      </c>
      <c r="L1543" s="35" t="str">
        <f aca="false">IF($C1543="","",$J1543-$K1543)</f>
        <v/>
      </c>
      <c r="M1543" s="6"/>
      <c r="N1543" s="6"/>
      <c r="O1543" s="46" t="str">
        <f aca="false">IF($A1543="","",DATE(YEAR($A1543),MONTH($A1543),1))</f>
        <v/>
      </c>
    </row>
    <row r="1544" customFormat="false" ht="15" hidden="false" customHeight="false" outlineLevel="0" collapsed="false">
      <c r="A1544" s="44"/>
      <c r="B1544" s="6"/>
      <c r="C1544" s="6"/>
      <c r="D1544" s="8" t="str">
        <f aca="false">IF($C1544="","",IFERROR(INDEX(PRODUCTOS!$B$6:$B$105,MATCH($C1544,PRODUCTOS!$A$6:$A$105,0)),"¿Código?"))</f>
        <v/>
      </c>
      <c r="E1544" s="42"/>
      <c r="F1544" s="35" t="str">
        <f aca="false">IF($C1544="","",IFERROR(INDEX(PRODUCTOS!$D$6:$D$105,MATCH($C1544,PRODUCTOS!$A$6:$A$105,0)),0))</f>
        <v/>
      </c>
      <c r="G1544" s="40"/>
      <c r="H1544" s="35" t="str">
        <f aca="false">IF($C1544="","",N($E1544)*$F1544-N($G1544))</f>
        <v/>
      </c>
      <c r="I1544" s="35" t="str">
        <f aca="false">IF($C1544="","",$H1544-$H1544/(1+IFERROR(INDEX(PRODUCTOS!$E$6:$E$105,MATCH($C1544,PRODUCTOS!$A$6:$A$105,0)),IVA_VENTAS)))</f>
        <v/>
      </c>
      <c r="J1544" s="35" t="str">
        <f aca="false">IF($C1544="","",$H1544-$I1544)</f>
        <v/>
      </c>
      <c r="K1544" s="35" t="str">
        <f aca="false">IF($C1544="","",N($E1544)*IFERROR(INDEX(PRODUCTOS!$H$6:$H$105,MATCH($C1544,PRODUCTOS!$A$6:$A$105,0)),0))</f>
        <v/>
      </c>
      <c r="L1544" s="35" t="str">
        <f aca="false">IF($C1544="","",$J1544-$K1544)</f>
        <v/>
      </c>
      <c r="M1544" s="6"/>
      <c r="N1544" s="6"/>
      <c r="O1544" s="46" t="str">
        <f aca="false">IF($A1544="","",DATE(YEAR($A1544),MONTH($A1544),1))</f>
        <v/>
      </c>
    </row>
    <row r="1545" customFormat="false" ht="15" hidden="false" customHeight="false" outlineLevel="0" collapsed="false">
      <c r="A1545" s="44"/>
      <c r="B1545" s="6"/>
      <c r="C1545" s="6"/>
      <c r="D1545" s="8" t="str">
        <f aca="false">IF($C1545="","",IFERROR(INDEX(PRODUCTOS!$B$6:$B$105,MATCH($C1545,PRODUCTOS!$A$6:$A$105,0)),"¿Código?"))</f>
        <v/>
      </c>
      <c r="E1545" s="42"/>
      <c r="F1545" s="35" t="str">
        <f aca="false">IF($C1545="","",IFERROR(INDEX(PRODUCTOS!$D$6:$D$105,MATCH($C1545,PRODUCTOS!$A$6:$A$105,0)),0))</f>
        <v/>
      </c>
      <c r="G1545" s="40"/>
      <c r="H1545" s="35" t="str">
        <f aca="false">IF($C1545="","",N($E1545)*$F1545-N($G1545))</f>
        <v/>
      </c>
      <c r="I1545" s="35" t="str">
        <f aca="false">IF($C1545="","",$H1545-$H1545/(1+IFERROR(INDEX(PRODUCTOS!$E$6:$E$105,MATCH($C1545,PRODUCTOS!$A$6:$A$105,0)),IVA_VENTAS)))</f>
        <v/>
      </c>
      <c r="J1545" s="35" t="str">
        <f aca="false">IF($C1545="","",$H1545-$I1545)</f>
        <v/>
      </c>
      <c r="K1545" s="35" t="str">
        <f aca="false">IF($C1545="","",N($E1545)*IFERROR(INDEX(PRODUCTOS!$H$6:$H$105,MATCH($C1545,PRODUCTOS!$A$6:$A$105,0)),0))</f>
        <v/>
      </c>
      <c r="L1545" s="35" t="str">
        <f aca="false">IF($C1545="","",$J1545-$K1545)</f>
        <v/>
      </c>
      <c r="M1545" s="6"/>
      <c r="N1545" s="6"/>
      <c r="O1545" s="46" t="str">
        <f aca="false">IF($A1545="","",DATE(YEAR($A1545),MONTH($A1545),1))</f>
        <v/>
      </c>
    </row>
    <row r="1546" customFormat="false" ht="15" hidden="false" customHeight="false" outlineLevel="0" collapsed="false">
      <c r="A1546" s="44"/>
      <c r="B1546" s="6"/>
      <c r="C1546" s="6"/>
      <c r="D1546" s="8" t="str">
        <f aca="false">IF($C1546="","",IFERROR(INDEX(PRODUCTOS!$B$6:$B$105,MATCH($C1546,PRODUCTOS!$A$6:$A$105,0)),"¿Código?"))</f>
        <v/>
      </c>
      <c r="E1546" s="42"/>
      <c r="F1546" s="35" t="str">
        <f aca="false">IF($C1546="","",IFERROR(INDEX(PRODUCTOS!$D$6:$D$105,MATCH($C1546,PRODUCTOS!$A$6:$A$105,0)),0))</f>
        <v/>
      </c>
      <c r="G1546" s="40"/>
      <c r="H1546" s="35" t="str">
        <f aca="false">IF($C1546="","",N($E1546)*$F1546-N($G1546))</f>
        <v/>
      </c>
      <c r="I1546" s="35" t="str">
        <f aca="false">IF($C1546="","",$H1546-$H1546/(1+IFERROR(INDEX(PRODUCTOS!$E$6:$E$105,MATCH($C1546,PRODUCTOS!$A$6:$A$105,0)),IVA_VENTAS)))</f>
        <v/>
      </c>
      <c r="J1546" s="35" t="str">
        <f aca="false">IF($C1546="","",$H1546-$I1546)</f>
        <v/>
      </c>
      <c r="K1546" s="35" t="str">
        <f aca="false">IF($C1546="","",N($E1546)*IFERROR(INDEX(PRODUCTOS!$H$6:$H$105,MATCH($C1546,PRODUCTOS!$A$6:$A$105,0)),0))</f>
        <v/>
      </c>
      <c r="L1546" s="35" t="str">
        <f aca="false">IF($C1546="","",$J1546-$K1546)</f>
        <v/>
      </c>
      <c r="M1546" s="6"/>
      <c r="N1546" s="6"/>
      <c r="O1546" s="46" t="str">
        <f aca="false">IF($A1546="","",DATE(YEAR($A1546),MONTH($A1546),1))</f>
        <v/>
      </c>
    </row>
    <row r="1547" customFormat="false" ht="15" hidden="false" customHeight="false" outlineLevel="0" collapsed="false">
      <c r="A1547" s="44"/>
      <c r="B1547" s="6"/>
      <c r="C1547" s="6"/>
      <c r="D1547" s="8" t="str">
        <f aca="false">IF($C1547="","",IFERROR(INDEX(PRODUCTOS!$B$6:$B$105,MATCH($C1547,PRODUCTOS!$A$6:$A$105,0)),"¿Código?"))</f>
        <v/>
      </c>
      <c r="E1547" s="42"/>
      <c r="F1547" s="35" t="str">
        <f aca="false">IF($C1547="","",IFERROR(INDEX(PRODUCTOS!$D$6:$D$105,MATCH($C1547,PRODUCTOS!$A$6:$A$105,0)),0))</f>
        <v/>
      </c>
      <c r="G1547" s="40"/>
      <c r="H1547" s="35" t="str">
        <f aca="false">IF($C1547="","",N($E1547)*$F1547-N($G1547))</f>
        <v/>
      </c>
      <c r="I1547" s="35" t="str">
        <f aca="false">IF($C1547="","",$H1547-$H1547/(1+IFERROR(INDEX(PRODUCTOS!$E$6:$E$105,MATCH($C1547,PRODUCTOS!$A$6:$A$105,0)),IVA_VENTAS)))</f>
        <v/>
      </c>
      <c r="J1547" s="35" t="str">
        <f aca="false">IF($C1547="","",$H1547-$I1547)</f>
        <v/>
      </c>
      <c r="K1547" s="35" t="str">
        <f aca="false">IF($C1547="","",N($E1547)*IFERROR(INDEX(PRODUCTOS!$H$6:$H$105,MATCH($C1547,PRODUCTOS!$A$6:$A$105,0)),0))</f>
        <v/>
      </c>
      <c r="L1547" s="35" t="str">
        <f aca="false">IF($C1547="","",$J1547-$K1547)</f>
        <v/>
      </c>
      <c r="M1547" s="6"/>
      <c r="N1547" s="6"/>
      <c r="O1547" s="46" t="str">
        <f aca="false">IF($A1547="","",DATE(YEAR($A1547),MONTH($A1547),1))</f>
        <v/>
      </c>
    </row>
    <row r="1548" customFormat="false" ht="15" hidden="false" customHeight="false" outlineLevel="0" collapsed="false">
      <c r="A1548" s="44"/>
      <c r="B1548" s="6"/>
      <c r="C1548" s="6"/>
      <c r="D1548" s="8" t="str">
        <f aca="false">IF($C1548="","",IFERROR(INDEX(PRODUCTOS!$B$6:$B$105,MATCH($C1548,PRODUCTOS!$A$6:$A$105,0)),"¿Código?"))</f>
        <v/>
      </c>
      <c r="E1548" s="42"/>
      <c r="F1548" s="35" t="str">
        <f aca="false">IF($C1548="","",IFERROR(INDEX(PRODUCTOS!$D$6:$D$105,MATCH($C1548,PRODUCTOS!$A$6:$A$105,0)),0))</f>
        <v/>
      </c>
      <c r="G1548" s="40"/>
      <c r="H1548" s="35" t="str">
        <f aca="false">IF($C1548="","",N($E1548)*$F1548-N($G1548))</f>
        <v/>
      </c>
      <c r="I1548" s="35" t="str">
        <f aca="false">IF($C1548="","",$H1548-$H1548/(1+IFERROR(INDEX(PRODUCTOS!$E$6:$E$105,MATCH($C1548,PRODUCTOS!$A$6:$A$105,0)),IVA_VENTAS)))</f>
        <v/>
      </c>
      <c r="J1548" s="35" t="str">
        <f aca="false">IF($C1548="","",$H1548-$I1548)</f>
        <v/>
      </c>
      <c r="K1548" s="35" t="str">
        <f aca="false">IF($C1548="","",N($E1548)*IFERROR(INDEX(PRODUCTOS!$H$6:$H$105,MATCH($C1548,PRODUCTOS!$A$6:$A$105,0)),0))</f>
        <v/>
      </c>
      <c r="L1548" s="35" t="str">
        <f aca="false">IF($C1548="","",$J1548-$K1548)</f>
        <v/>
      </c>
      <c r="M1548" s="6"/>
      <c r="N1548" s="6"/>
      <c r="O1548" s="46" t="str">
        <f aca="false">IF($A1548="","",DATE(YEAR($A1548),MONTH($A1548),1))</f>
        <v/>
      </c>
    </row>
    <row r="1549" customFormat="false" ht="15" hidden="false" customHeight="false" outlineLevel="0" collapsed="false">
      <c r="A1549" s="44"/>
      <c r="B1549" s="6"/>
      <c r="C1549" s="6"/>
      <c r="D1549" s="8" t="str">
        <f aca="false">IF($C1549="","",IFERROR(INDEX(PRODUCTOS!$B$6:$B$105,MATCH($C1549,PRODUCTOS!$A$6:$A$105,0)),"¿Código?"))</f>
        <v/>
      </c>
      <c r="E1549" s="42"/>
      <c r="F1549" s="35" t="str">
        <f aca="false">IF($C1549="","",IFERROR(INDEX(PRODUCTOS!$D$6:$D$105,MATCH($C1549,PRODUCTOS!$A$6:$A$105,0)),0))</f>
        <v/>
      </c>
      <c r="G1549" s="40"/>
      <c r="H1549" s="35" t="str">
        <f aca="false">IF($C1549="","",N($E1549)*$F1549-N($G1549))</f>
        <v/>
      </c>
      <c r="I1549" s="35" t="str">
        <f aca="false">IF($C1549="","",$H1549-$H1549/(1+IFERROR(INDEX(PRODUCTOS!$E$6:$E$105,MATCH($C1549,PRODUCTOS!$A$6:$A$105,0)),IVA_VENTAS)))</f>
        <v/>
      </c>
      <c r="J1549" s="35" t="str">
        <f aca="false">IF($C1549="","",$H1549-$I1549)</f>
        <v/>
      </c>
      <c r="K1549" s="35" t="str">
        <f aca="false">IF($C1549="","",N($E1549)*IFERROR(INDEX(PRODUCTOS!$H$6:$H$105,MATCH($C1549,PRODUCTOS!$A$6:$A$105,0)),0))</f>
        <v/>
      </c>
      <c r="L1549" s="35" t="str">
        <f aca="false">IF($C1549="","",$J1549-$K1549)</f>
        <v/>
      </c>
      <c r="M1549" s="6"/>
      <c r="N1549" s="6"/>
      <c r="O1549" s="46" t="str">
        <f aca="false">IF($A1549="","",DATE(YEAR($A1549),MONTH($A1549),1))</f>
        <v/>
      </c>
    </row>
    <row r="1550" customFormat="false" ht="15" hidden="false" customHeight="false" outlineLevel="0" collapsed="false">
      <c r="A1550" s="44"/>
      <c r="B1550" s="6"/>
      <c r="C1550" s="6"/>
      <c r="D1550" s="8" t="str">
        <f aca="false">IF($C1550="","",IFERROR(INDEX(PRODUCTOS!$B$6:$B$105,MATCH($C1550,PRODUCTOS!$A$6:$A$105,0)),"¿Código?"))</f>
        <v/>
      </c>
      <c r="E1550" s="42"/>
      <c r="F1550" s="35" t="str">
        <f aca="false">IF($C1550="","",IFERROR(INDEX(PRODUCTOS!$D$6:$D$105,MATCH($C1550,PRODUCTOS!$A$6:$A$105,0)),0))</f>
        <v/>
      </c>
      <c r="G1550" s="40"/>
      <c r="H1550" s="35" t="str">
        <f aca="false">IF($C1550="","",N($E1550)*$F1550-N($G1550))</f>
        <v/>
      </c>
      <c r="I1550" s="35" t="str">
        <f aca="false">IF($C1550="","",$H1550-$H1550/(1+IFERROR(INDEX(PRODUCTOS!$E$6:$E$105,MATCH($C1550,PRODUCTOS!$A$6:$A$105,0)),IVA_VENTAS)))</f>
        <v/>
      </c>
      <c r="J1550" s="35" t="str">
        <f aca="false">IF($C1550="","",$H1550-$I1550)</f>
        <v/>
      </c>
      <c r="K1550" s="35" t="str">
        <f aca="false">IF($C1550="","",N($E1550)*IFERROR(INDEX(PRODUCTOS!$H$6:$H$105,MATCH($C1550,PRODUCTOS!$A$6:$A$105,0)),0))</f>
        <v/>
      </c>
      <c r="L1550" s="35" t="str">
        <f aca="false">IF($C1550="","",$J1550-$K1550)</f>
        <v/>
      </c>
      <c r="M1550" s="6"/>
      <c r="N1550" s="6"/>
      <c r="O1550" s="46" t="str">
        <f aca="false">IF($A1550="","",DATE(YEAR($A1550),MONTH($A1550),1))</f>
        <v/>
      </c>
    </row>
    <row r="1551" customFormat="false" ht="15" hidden="false" customHeight="false" outlineLevel="0" collapsed="false">
      <c r="A1551" s="44"/>
      <c r="B1551" s="6"/>
      <c r="C1551" s="6"/>
      <c r="D1551" s="8" t="str">
        <f aca="false">IF($C1551="","",IFERROR(INDEX(PRODUCTOS!$B$6:$B$105,MATCH($C1551,PRODUCTOS!$A$6:$A$105,0)),"¿Código?"))</f>
        <v/>
      </c>
      <c r="E1551" s="42"/>
      <c r="F1551" s="35" t="str">
        <f aca="false">IF($C1551="","",IFERROR(INDEX(PRODUCTOS!$D$6:$D$105,MATCH($C1551,PRODUCTOS!$A$6:$A$105,0)),0))</f>
        <v/>
      </c>
      <c r="G1551" s="40"/>
      <c r="H1551" s="35" t="str">
        <f aca="false">IF($C1551="","",N($E1551)*$F1551-N($G1551))</f>
        <v/>
      </c>
      <c r="I1551" s="35" t="str">
        <f aca="false">IF($C1551="","",$H1551-$H1551/(1+IFERROR(INDEX(PRODUCTOS!$E$6:$E$105,MATCH($C1551,PRODUCTOS!$A$6:$A$105,0)),IVA_VENTAS)))</f>
        <v/>
      </c>
      <c r="J1551" s="35" t="str">
        <f aca="false">IF($C1551="","",$H1551-$I1551)</f>
        <v/>
      </c>
      <c r="K1551" s="35" t="str">
        <f aca="false">IF($C1551="","",N($E1551)*IFERROR(INDEX(PRODUCTOS!$H$6:$H$105,MATCH($C1551,PRODUCTOS!$A$6:$A$105,0)),0))</f>
        <v/>
      </c>
      <c r="L1551" s="35" t="str">
        <f aca="false">IF($C1551="","",$J1551-$K1551)</f>
        <v/>
      </c>
      <c r="M1551" s="6"/>
      <c r="N1551" s="6"/>
      <c r="O1551" s="46" t="str">
        <f aca="false">IF($A1551="","",DATE(YEAR($A1551),MONTH($A1551),1))</f>
        <v/>
      </c>
    </row>
    <row r="1552" customFormat="false" ht="15" hidden="false" customHeight="false" outlineLevel="0" collapsed="false">
      <c r="A1552" s="44"/>
      <c r="B1552" s="6"/>
      <c r="C1552" s="6"/>
      <c r="D1552" s="8" t="str">
        <f aca="false">IF($C1552="","",IFERROR(INDEX(PRODUCTOS!$B$6:$B$105,MATCH($C1552,PRODUCTOS!$A$6:$A$105,0)),"¿Código?"))</f>
        <v/>
      </c>
      <c r="E1552" s="42"/>
      <c r="F1552" s="35" t="str">
        <f aca="false">IF($C1552="","",IFERROR(INDEX(PRODUCTOS!$D$6:$D$105,MATCH($C1552,PRODUCTOS!$A$6:$A$105,0)),0))</f>
        <v/>
      </c>
      <c r="G1552" s="40"/>
      <c r="H1552" s="35" t="str">
        <f aca="false">IF($C1552="","",N($E1552)*$F1552-N($G1552))</f>
        <v/>
      </c>
      <c r="I1552" s="35" t="str">
        <f aca="false">IF($C1552="","",$H1552-$H1552/(1+IFERROR(INDEX(PRODUCTOS!$E$6:$E$105,MATCH($C1552,PRODUCTOS!$A$6:$A$105,0)),IVA_VENTAS)))</f>
        <v/>
      </c>
      <c r="J1552" s="35" t="str">
        <f aca="false">IF($C1552="","",$H1552-$I1552)</f>
        <v/>
      </c>
      <c r="K1552" s="35" t="str">
        <f aca="false">IF($C1552="","",N($E1552)*IFERROR(INDEX(PRODUCTOS!$H$6:$H$105,MATCH($C1552,PRODUCTOS!$A$6:$A$105,0)),0))</f>
        <v/>
      </c>
      <c r="L1552" s="35" t="str">
        <f aca="false">IF($C1552="","",$J1552-$K1552)</f>
        <v/>
      </c>
      <c r="M1552" s="6"/>
      <c r="N1552" s="6"/>
      <c r="O1552" s="46" t="str">
        <f aca="false">IF($A1552="","",DATE(YEAR($A1552),MONTH($A1552),1))</f>
        <v/>
      </c>
    </row>
    <row r="1553" customFormat="false" ht="15" hidden="false" customHeight="false" outlineLevel="0" collapsed="false">
      <c r="A1553" s="44"/>
      <c r="B1553" s="6"/>
      <c r="C1553" s="6"/>
      <c r="D1553" s="8" t="str">
        <f aca="false">IF($C1553="","",IFERROR(INDEX(PRODUCTOS!$B$6:$B$105,MATCH($C1553,PRODUCTOS!$A$6:$A$105,0)),"¿Código?"))</f>
        <v/>
      </c>
      <c r="E1553" s="42"/>
      <c r="F1553" s="35" t="str">
        <f aca="false">IF($C1553="","",IFERROR(INDEX(PRODUCTOS!$D$6:$D$105,MATCH($C1553,PRODUCTOS!$A$6:$A$105,0)),0))</f>
        <v/>
      </c>
      <c r="G1553" s="40"/>
      <c r="H1553" s="35" t="str">
        <f aca="false">IF($C1553="","",N($E1553)*$F1553-N($G1553))</f>
        <v/>
      </c>
      <c r="I1553" s="35" t="str">
        <f aca="false">IF($C1553="","",$H1553-$H1553/(1+IFERROR(INDEX(PRODUCTOS!$E$6:$E$105,MATCH($C1553,PRODUCTOS!$A$6:$A$105,0)),IVA_VENTAS)))</f>
        <v/>
      </c>
      <c r="J1553" s="35" t="str">
        <f aca="false">IF($C1553="","",$H1553-$I1553)</f>
        <v/>
      </c>
      <c r="K1553" s="35" t="str">
        <f aca="false">IF($C1553="","",N($E1553)*IFERROR(INDEX(PRODUCTOS!$H$6:$H$105,MATCH($C1553,PRODUCTOS!$A$6:$A$105,0)),0))</f>
        <v/>
      </c>
      <c r="L1553" s="35" t="str">
        <f aca="false">IF($C1553="","",$J1553-$K1553)</f>
        <v/>
      </c>
      <c r="M1553" s="6"/>
      <c r="N1553" s="6"/>
      <c r="O1553" s="46" t="str">
        <f aca="false">IF($A1553="","",DATE(YEAR($A1553),MONTH($A1553),1))</f>
        <v/>
      </c>
    </row>
    <row r="1554" customFormat="false" ht="15" hidden="false" customHeight="false" outlineLevel="0" collapsed="false">
      <c r="A1554" s="44"/>
      <c r="B1554" s="6"/>
      <c r="C1554" s="6"/>
      <c r="D1554" s="8" t="str">
        <f aca="false">IF($C1554="","",IFERROR(INDEX(PRODUCTOS!$B$6:$B$105,MATCH($C1554,PRODUCTOS!$A$6:$A$105,0)),"¿Código?"))</f>
        <v/>
      </c>
      <c r="E1554" s="42"/>
      <c r="F1554" s="35" t="str">
        <f aca="false">IF($C1554="","",IFERROR(INDEX(PRODUCTOS!$D$6:$D$105,MATCH($C1554,PRODUCTOS!$A$6:$A$105,0)),0))</f>
        <v/>
      </c>
      <c r="G1554" s="40"/>
      <c r="H1554" s="35" t="str">
        <f aca="false">IF($C1554="","",N($E1554)*$F1554-N($G1554))</f>
        <v/>
      </c>
      <c r="I1554" s="35" t="str">
        <f aca="false">IF($C1554="","",$H1554-$H1554/(1+IFERROR(INDEX(PRODUCTOS!$E$6:$E$105,MATCH($C1554,PRODUCTOS!$A$6:$A$105,0)),IVA_VENTAS)))</f>
        <v/>
      </c>
      <c r="J1554" s="35" t="str">
        <f aca="false">IF($C1554="","",$H1554-$I1554)</f>
        <v/>
      </c>
      <c r="K1554" s="35" t="str">
        <f aca="false">IF($C1554="","",N($E1554)*IFERROR(INDEX(PRODUCTOS!$H$6:$H$105,MATCH($C1554,PRODUCTOS!$A$6:$A$105,0)),0))</f>
        <v/>
      </c>
      <c r="L1554" s="35" t="str">
        <f aca="false">IF($C1554="","",$J1554-$K1554)</f>
        <v/>
      </c>
      <c r="M1554" s="6"/>
      <c r="N1554" s="6"/>
      <c r="O1554" s="46" t="str">
        <f aca="false">IF($A1554="","",DATE(YEAR($A1554),MONTH($A1554),1))</f>
        <v/>
      </c>
    </row>
    <row r="1555" customFormat="false" ht="15" hidden="false" customHeight="false" outlineLevel="0" collapsed="false">
      <c r="A1555" s="44"/>
      <c r="B1555" s="6"/>
      <c r="C1555" s="6"/>
      <c r="D1555" s="8" t="str">
        <f aca="false">IF($C1555="","",IFERROR(INDEX(PRODUCTOS!$B$6:$B$105,MATCH($C1555,PRODUCTOS!$A$6:$A$105,0)),"¿Código?"))</f>
        <v/>
      </c>
      <c r="E1555" s="42"/>
      <c r="F1555" s="35" t="str">
        <f aca="false">IF($C1555="","",IFERROR(INDEX(PRODUCTOS!$D$6:$D$105,MATCH($C1555,PRODUCTOS!$A$6:$A$105,0)),0))</f>
        <v/>
      </c>
      <c r="G1555" s="40"/>
      <c r="H1555" s="35" t="str">
        <f aca="false">IF($C1555="","",N($E1555)*$F1555-N($G1555))</f>
        <v/>
      </c>
      <c r="I1555" s="35" t="str">
        <f aca="false">IF($C1555="","",$H1555-$H1555/(1+IFERROR(INDEX(PRODUCTOS!$E$6:$E$105,MATCH($C1555,PRODUCTOS!$A$6:$A$105,0)),IVA_VENTAS)))</f>
        <v/>
      </c>
      <c r="J1555" s="35" t="str">
        <f aca="false">IF($C1555="","",$H1555-$I1555)</f>
        <v/>
      </c>
      <c r="K1555" s="35" t="str">
        <f aca="false">IF($C1555="","",N($E1555)*IFERROR(INDEX(PRODUCTOS!$H$6:$H$105,MATCH($C1555,PRODUCTOS!$A$6:$A$105,0)),0))</f>
        <v/>
      </c>
      <c r="L1555" s="35" t="str">
        <f aca="false">IF($C1555="","",$J1555-$K1555)</f>
        <v/>
      </c>
      <c r="M1555" s="6"/>
      <c r="N1555" s="6"/>
      <c r="O1555" s="46" t="str">
        <f aca="false">IF($A1555="","",DATE(YEAR($A1555),MONTH($A1555),1))</f>
        <v/>
      </c>
    </row>
    <row r="1556" customFormat="false" ht="15" hidden="false" customHeight="false" outlineLevel="0" collapsed="false">
      <c r="A1556" s="44"/>
      <c r="B1556" s="6"/>
      <c r="C1556" s="6"/>
      <c r="D1556" s="8" t="str">
        <f aca="false">IF($C1556="","",IFERROR(INDEX(PRODUCTOS!$B$6:$B$105,MATCH($C1556,PRODUCTOS!$A$6:$A$105,0)),"¿Código?"))</f>
        <v/>
      </c>
      <c r="E1556" s="42"/>
      <c r="F1556" s="35" t="str">
        <f aca="false">IF($C1556="","",IFERROR(INDEX(PRODUCTOS!$D$6:$D$105,MATCH($C1556,PRODUCTOS!$A$6:$A$105,0)),0))</f>
        <v/>
      </c>
      <c r="G1556" s="40"/>
      <c r="H1556" s="35" t="str">
        <f aca="false">IF($C1556="","",N($E1556)*$F1556-N($G1556))</f>
        <v/>
      </c>
      <c r="I1556" s="35" t="str">
        <f aca="false">IF($C1556="","",$H1556-$H1556/(1+IFERROR(INDEX(PRODUCTOS!$E$6:$E$105,MATCH($C1556,PRODUCTOS!$A$6:$A$105,0)),IVA_VENTAS)))</f>
        <v/>
      </c>
      <c r="J1556" s="35" t="str">
        <f aca="false">IF($C1556="","",$H1556-$I1556)</f>
        <v/>
      </c>
      <c r="K1556" s="35" t="str">
        <f aca="false">IF($C1556="","",N($E1556)*IFERROR(INDEX(PRODUCTOS!$H$6:$H$105,MATCH($C1556,PRODUCTOS!$A$6:$A$105,0)),0))</f>
        <v/>
      </c>
      <c r="L1556" s="35" t="str">
        <f aca="false">IF($C1556="","",$J1556-$K1556)</f>
        <v/>
      </c>
      <c r="M1556" s="6"/>
      <c r="N1556" s="6"/>
      <c r="O1556" s="46" t="str">
        <f aca="false">IF($A1556="","",DATE(YEAR($A1556),MONTH($A1556),1))</f>
        <v/>
      </c>
    </row>
    <row r="1557" customFormat="false" ht="15" hidden="false" customHeight="false" outlineLevel="0" collapsed="false">
      <c r="A1557" s="44"/>
      <c r="B1557" s="6"/>
      <c r="C1557" s="6"/>
      <c r="D1557" s="8" t="str">
        <f aca="false">IF($C1557="","",IFERROR(INDEX(PRODUCTOS!$B$6:$B$105,MATCH($C1557,PRODUCTOS!$A$6:$A$105,0)),"¿Código?"))</f>
        <v/>
      </c>
      <c r="E1557" s="42"/>
      <c r="F1557" s="35" t="str">
        <f aca="false">IF($C1557="","",IFERROR(INDEX(PRODUCTOS!$D$6:$D$105,MATCH($C1557,PRODUCTOS!$A$6:$A$105,0)),0))</f>
        <v/>
      </c>
      <c r="G1557" s="40"/>
      <c r="H1557" s="35" t="str">
        <f aca="false">IF($C1557="","",N($E1557)*$F1557-N($G1557))</f>
        <v/>
      </c>
      <c r="I1557" s="35" t="str">
        <f aca="false">IF($C1557="","",$H1557-$H1557/(1+IFERROR(INDEX(PRODUCTOS!$E$6:$E$105,MATCH($C1557,PRODUCTOS!$A$6:$A$105,0)),IVA_VENTAS)))</f>
        <v/>
      </c>
      <c r="J1557" s="35" t="str">
        <f aca="false">IF($C1557="","",$H1557-$I1557)</f>
        <v/>
      </c>
      <c r="K1557" s="35" t="str">
        <f aca="false">IF($C1557="","",N($E1557)*IFERROR(INDEX(PRODUCTOS!$H$6:$H$105,MATCH($C1557,PRODUCTOS!$A$6:$A$105,0)),0))</f>
        <v/>
      </c>
      <c r="L1557" s="35" t="str">
        <f aca="false">IF($C1557="","",$J1557-$K1557)</f>
        <v/>
      </c>
      <c r="M1557" s="6"/>
      <c r="N1557" s="6"/>
      <c r="O1557" s="46" t="str">
        <f aca="false">IF($A1557="","",DATE(YEAR($A1557),MONTH($A1557),1))</f>
        <v/>
      </c>
    </row>
    <row r="1558" customFormat="false" ht="15" hidden="false" customHeight="false" outlineLevel="0" collapsed="false">
      <c r="A1558" s="44"/>
      <c r="B1558" s="6"/>
      <c r="C1558" s="6"/>
      <c r="D1558" s="8" t="str">
        <f aca="false">IF($C1558="","",IFERROR(INDEX(PRODUCTOS!$B$6:$B$105,MATCH($C1558,PRODUCTOS!$A$6:$A$105,0)),"¿Código?"))</f>
        <v/>
      </c>
      <c r="E1558" s="42"/>
      <c r="F1558" s="35" t="str">
        <f aca="false">IF($C1558="","",IFERROR(INDEX(PRODUCTOS!$D$6:$D$105,MATCH($C1558,PRODUCTOS!$A$6:$A$105,0)),0))</f>
        <v/>
      </c>
      <c r="G1558" s="40"/>
      <c r="H1558" s="35" t="str">
        <f aca="false">IF($C1558="","",N($E1558)*$F1558-N($G1558))</f>
        <v/>
      </c>
      <c r="I1558" s="35" t="str">
        <f aca="false">IF($C1558="","",$H1558-$H1558/(1+IFERROR(INDEX(PRODUCTOS!$E$6:$E$105,MATCH($C1558,PRODUCTOS!$A$6:$A$105,0)),IVA_VENTAS)))</f>
        <v/>
      </c>
      <c r="J1558" s="35" t="str">
        <f aca="false">IF($C1558="","",$H1558-$I1558)</f>
        <v/>
      </c>
      <c r="K1558" s="35" t="str">
        <f aca="false">IF($C1558="","",N($E1558)*IFERROR(INDEX(PRODUCTOS!$H$6:$H$105,MATCH($C1558,PRODUCTOS!$A$6:$A$105,0)),0))</f>
        <v/>
      </c>
      <c r="L1558" s="35" t="str">
        <f aca="false">IF($C1558="","",$J1558-$K1558)</f>
        <v/>
      </c>
      <c r="M1558" s="6"/>
      <c r="N1558" s="6"/>
      <c r="O1558" s="46" t="str">
        <f aca="false">IF($A1558="","",DATE(YEAR($A1558),MONTH($A1558),1))</f>
        <v/>
      </c>
    </row>
    <row r="1559" customFormat="false" ht="15" hidden="false" customHeight="false" outlineLevel="0" collapsed="false">
      <c r="A1559" s="44"/>
      <c r="B1559" s="6"/>
      <c r="C1559" s="6"/>
      <c r="D1559" s="8" t="str">
        <f aca="false">IF($C1559="","",IFERROR(INDEX(PRODUCTOS!$B$6:$B$105,MATCH($C1559,PRODUCTOS!$A$6:$A$105,0)),"¿Código?"))</f>
        <v/>
      </c>
      <c r="E1559" s="42"/>
      <c r="F1559" s="35" t="str">
        <f aca="false">IF($C1559="","",IFERROR(INDEX(PRODUCTOS!$D$6:$D$105,MATCH($C1559,PRODUCTOS!$A$6:$A$105,0)),0))</f>
        <v/>
      </c>
      <c r="G1559" s="40"/>
      <c r="H1559" s="35" t="str">
        <f aca="false">IF($C1559="","",N($E1559)*$F1559-N($G1559))</f>
        <v/>
      </c>
      <c r="I1559" s="35" t="str">
        <f aca="false">IF($C1559="","",$H1559-$H1559/(1+IFERROR(INDEX(PRODUCTOS!$E$6:$E$105,MATCH($C1559,PRODUCTOS!$A$6:$A$105,0)),IVA_VENTAS)))</f>
        <v/>
      </c>
      <c r="J1559" s="35" t="str">
        <f aca="false">IF($C1559="","",$H1559-$I1559)</f>
        <v/>
      </c>
      <c r="K1559" s="35" t="str">
        <f aca="false">IF($C1559="","",N($E1559)*IFERROR(INDEX(PRODUCTOS!$H$6:$H$105,MATCH($C1559,PRODUCTOS!$A$6:$A$105,0)),0))</f>
        <v/>
      </c>
      <c r="L1559" s="35" t="str">
        <f aca="false">IF($C1559="","",$J1559-$K1559)</f>
        <v/>
      </c>
      <c r="M1559" s="6"/>
      <c r="N1559" s="6"/>
      <c r="O1559" s="46" t="str">
        <f aca="false">IF($A1559="","",DATE(YEAR($A1559),MONTH($A1559),1))</f>
        <v/>
      </c>
    </row>
    <row r="1560" customFormat="false" ht="15" hidden="false" customHeight="false" outlineLevel="0" collapsed="false">
      <c r="A1560" s="44"/>
      <c r="B1560" s="6"/>
      <c r="C1560" s="6"/>
      <c r="D1560" s="8" t="str">
        <f aca="false">IF($C1560="","",IFERROR(INDEX(PRODUCTOS!$B$6:$B$105,MATCH($C1560,PRODUCTOS!$A$6:$A$105,0)),"¿Código?"))</f>
        <v/>
      </c>
      <c r="E1560" s="42"/>
      <c r="F1560" s="35" t="str">
        <f aca="false">IF($C1560="","",IFERROR(INDEX(PRODUCTOS!$D$6:$D$105,MATCH($C1560,PRODUCTOS!$A$6:$A$105,0)),0))</f>
        <v/>
      </c>
      <c r="G1560" s="40"/>
      <c r="H1560" s="35" t="str">
        <f aca="false">IF($C1560="","",N($E1560)*$F1560-N($G1560))</f>
        <v/>
      </c>
      <c r="I1560" s="35" t="str">
        <f aca="false">IF($C1560="","",$H1560-$H1560/(1+IFERROR(INDEX(PRODUCTOS!$E$6:$E$105,MATCH($C1560,PRODUCTOS!$A$6:$A$105,0)),IVA_VENTAS)))</f>
        <v/>
      </c>
      <c r="J1560" s="35" t="str">
        <f aca="false">IF($C1560="","",$H1560-$I1560)</f>
        <v/>
      </c>
      <c r="K1560" s="35" t="str">
        <f aca="false">IF($C1560="","",N($E1560)*IFERROR(INDEX(PRODUCTOS!$H$6:$H$105,MATCH($C1560,PRODUCTOS!$A$6:$A$105,0)),0))</f>
        <v/>
      </c>
      <c r="L1560" s="35" t="str">
        <f aca="false">IF($C1560="","",$J1560-$K1560)</f>
        <v/>
      </c>
      <c r="M1560" s="6"/>
      <c r="N1560" s="6"/>
      <c r="O1560" s="46" t="str">
        <f aca="false">IF($A1560="","",DATE(YEAR($A1560),MONTH($A1560),1))</f>
        <v/>
      </c>
    </row>
    <row r="1561" customFormat="false" ht="15" hidden="false" customHeight="false" outlineLevel="0" collapsed="false">
      <c r="A1561" s="44"/>
      <c r="B1561" s="6"/>
      <c r="C1561" s="6"/>
      <c r="D1561" s="8" t="str">
        <f aca="false">IF($C1561="","",IFERROR(INDEX(PRODUCTOS!$B$6:$B$105,MATCH($C1561,PRODUCTOS!$A$6:$A$105,0)),"¿Código?"))</f>
        <v/>
      </c>
      <c r="E1561" s="42"/>
      <c r="F1561" s="35" t="str">
        <f aca="false">IF($C1561="","",IFERROR(INDEX(PRODUCTOS!$D$6:$D$105,MATCH($C1561,PRODUCTOS!$A$6:$A$105,0)),0))</f>
        <v/>
      </c>
      <c r="G1561" s="40"/>
      <c r="H1561" s="35" t="str">
        <f aca="false">IF($C1561="","",N($E1561)*$F1561-N($G1561))</f>
        <v/>
      </c>
      <c r="I1561" s="35" t="str">
        <f aca="false">IF($C1561="","",$H1561-$H1561/(1+IFERROR(INDEX(PRODUCTOS!$E$6:$E$105,MATCH($C1561,PRODUCTOS!$A$6:$A$105,0)),IVA_VENTAS)))</f>
        <v/>
      </c>
      <c r="J1561" s="35" t="str">
        <f aca="false">IF($C1561="","",$H1561-$I1561)</f>
        <v/>
      </c>
      <c r="K1561" s="35" t="str">
        <f aca="false">IF($C1561="","",N($E1561)*IFERROR(INDEX(PRODUCTOS!$H$6:$H$105,MATCH($C1561,PRODUCTOS!$A$6:$A$105,0)),0))</f>
        <v/>
      </c>
      <c r="L1561" s="35" t="str">
        <f aca="false">IF($C1561="","",$J1561-$K1561)</f>
        <v/>
      </c>
      <c r="M1561" s="6"/>
      <c r="N1561" s="6"/>
      <c r="O1561" s="46" t="str">
        <f aca="false">IF($A1561="","",DATE(YEAR($A1561),MONTH($A1561),1))</f>
        <v/>
      </c>
    </row>
    <row r="1562" customFormat="false" ht="15" hidden="false" customHeight="false" outlineLevel="0" collapsed="false">
      <c r="A1562" s="44"/>
      <c r="B1562" s="6"/>
      <c r="C1562" s="6"/>
      <c r="D1562" s="8" t="str">
        <f aca="false">IF($C1562="","",IFERROR(INDEX(PRODUCTOS!$B$6:$B$105,MATCH($C1562,PRODUCTOS!$A$6:$A$105,0)),"¿Código?"))</f>
        <v/>
      </c>
      <c r="E1562" s="42"/>
      <c r="F1562" s="35" t="str">
        <f aca="false">IF($C1562="","",IFERROR(INDEX(PRODUCTOS!$D$6:$D$105,MATCH($C1562,PRODUCTOS!$A$6:$A$105,0)),0))</f>
        <v/>
      </c>
      <c r="G1562" s="40"/>
      <c r="H1562" s="35" t="str">
        <f aca="false">IF($C1562="","",N($E1562)*$F1562-N($G1562))</f>
        <v/>
      </c>
      <c r="I1562" s="35" t="str">
        <f aca="false">IF($C1562="","",$H1562-$H1562/(1+IFERROR(INDEX(PRODUCTOS!$E$6:$E$105,MATCH($C1562,PRODUCTOS!$A$6:$A$105,0)),IVA_VENTAS)))</f>
        <v/>
      </c>
      <c r="J1562" s="35" t="str">
        <f aca="false">IF($C1562="","",$H1562-$I1562)</f>
        <v/>
      </c>
      <c r="K1562" s="35" t="str">
        <f aca="false">IF($C1562="","",N($E1562)*IFERROR(INDEX(PRODUCTOS!$H$6:$H$105,MATCH($C1562,PRODUCTOS!$A$6:$A$105,0)),0))</f>
        <v/>
      </c>
      <c r="L1562" s="35" t="str">
        <f aca="false">IF($C1562="","",$J1562-$K1562)</f>
        <v/>
      </c>
      <c r="M1562" s="6"/>
      <c r="N1562" s="6"/>
      <c r="O1562" s="46" t="str">
        <f aca="false">IF($A1562="","",DATE(YEAR($A1562),MONTH($A1562),1))</f>
        <v/>
      </c>
    </row>
    <row r="1563" customFormat="false" ht="15" hidden="false" customHeight="false" outlineLevel="0" collapsed="false">
      <c r="A1563" s="44"/>
      <c r="B1563" s="6"/>
      <c r="C1563" s="6"/>
      <c r="D1563" s="8" t="str">
        <f aca="false">IF($C1563="","",IFERROR(INDEX(PRODUCTOS!$B$6:$B$105,MATCH($C1563,PRODUCTOS!$A$6:$A$105,0)),"¿Código?"))</f>
        <v/>
      </c>
      <c r="E1563" s="42"/>
      <c r="F1563" s="35" t="str">
        <f aca="false">IF($C1563="","",IFERROR(INDEX(PRODUCTOS!$D$6:$D$105,MATCH($C1563,PRODUCTOS!$A$6:$A$105,0)),0))</f>
        <v/>
      </c>
      <c r="G1563" s="40"/>
      <c r="H1563" s="35" t="str">
        <f aca="false">IF($C1563="","",N($E1563)*$F1563-N($G1563))</f>
        <v/>
      </c>
      <c r="I1563" s="35" t="str">
        <f aca="false">IF($C1563="","",$H1563-$H1563/(1+IFERROR(INDEX(PRODUCTOS!$E$6:$E$105,MATCH($C1563,PRODUCTOS!$A$6:$A$105,0)),IVA_VENTAS)))</f>
        <v/>
      </c>
      <c r="J1563" s="35" t="str">
        <f aca="false">IF($C1563="","",$H1563-$I1563)</f>
        <v/>
      </c>
      <c r="K1563" s="35" t="str">
        <f aca="false">IF($C1563="","",N($E1563)*IFERROR(INDEX(PRODUCTOS!$H$6:$H$105,MATCH($C1563,PRODUCTOS!$A$6:$A$105,0)),0))</f>
        <v/>
      </c>
      <c r="L1563" s="35" t="str">
        <f aca="false">IF($C1563="","",$J1563-$K1563)</f>
        <v/>
      </c>
      <c r="M1563" s="6"/>
      <c r="N1563" s="6"/>
      <c r="O1563" s="46" t="str">
        <f aca="false">IF($A1563="","",DATE(YEAR($A1563),MONTH($A1563),1))</f>
        <v/>
      </c>
    </row>
    <row r="1564" customFormat="false" ht="15" hidden="false" customHeight="false" outlineLevel="0" collapsed="false">
      <c r="A1564" s="44"/>
      <c r="B1564" s="6"/>
      <c r="C1564" s="6"/>
      <c r="D1564" s="8" t="str">
        <f aca="false">IF($C1564="","",IFERROR(INDEX(PRODUCTOS!$B$6:$B$105,MATCH($C1564,PRODUCTOS!$A$6:$A$105,0)),"¿Código?"))</f>
        <v/>
      </c>
      <c r="E1564" s="42"/>
      <c r="F1564" s="35" t="str">
        <f aca="false">IF($C1564="","",IFERROR(INDEX(PRODUCTOS!$D$6:$D$105,MATCH($C1564,PRODUCTOS!$A$6:$A$105,0)),0))</f>
        <v/>
      </c>
      <c r="G1564" s="40"/>
      <c r="H1564" s="35" t="str">
        <f aca="false">IF($C1564="","",N($E1564)*$F1564-N($G1564))</f>
        <v/>
      </c>
      <c r="I1564" s="35" t="str">
        <f aca="false">IF($C1564="","",$H1564-$H1564/(1+IFERROR(INDEX(PRODUCTOS!$E$6:$E$105,MATCH($C1564,PRODUCTOS!$A$6:$A$105,0)),IVA_VENTAS)))</f>
        <v/>
      </c>
      <c r="J1564" s="35" t="str">
        <f aca="false">IF($C1564="","",$H1564-$I1564)</f>
        <v/>
      </c>
      <c r="K1564" s="35" t="str">
        <f aca="false">IF($C1564="","",N($E1564)*IFERROR(INDEX(PRODUCTOS!$H$6:$H$105,MATCH($C1564,PRODUCTOS!$A$6:$A$105,0)),0))</f>
        <v/>
      </c>
      <c r="L1564" s="35" t="str">
        <f aca="false">IF($C1564="","",$J1564-$K1564)</f>
        <v/>
      </c>
      <c r="M1564" s="6"/>
      <c r="N1564" s="6"/>
      <c r="O1564" s="46" t="str">
        <f aca="false">IF($A1564="","",DATE(YEAR($A1564),MONTH($A1564),1))</f>
        <v/>
      </c>
    </row>
    <row r="1565" customFormat="false" ht="15" hidden="false" customHeight="false" outlineLevel="0" collapsed="false">
      <c r="A1565" s="44"/>
      <c r="B1565" s="6"/>
      <c r="C1565" s="6"/>
      <c r="D1565" s="8" t="str">
        <f aca="false">IF($C1565="","",IFERROR(INDEX(PRODUCTOS!$B$6:$B$105,MATCH($C1565,PRODUCTOS!$A$6:$A$105,0)),"¿Código?"))</f>
        <v/>
      </c>
      <c r="E1565" s="42"/>
      <c r="F1565" s="35" t="str">
        <f aca="false">IF($C1565="","",IFERROR(INDEX(PRODUCTOS!$D$6:$D$105,MATCH($C1565,PRODUCTOS!$A$6:$A$105,0)),0))</f>
        <v/>
      </c>
      <c r="G1565" s="40"/>
      <c r="H1565" s="35" t="str">
        <f aca="false">IF($C1565="","",N($E1565)*$F1565-N($G1565))</f>
        <v/>
      </c>
      <c r="I1565" s="35" t="str">
        <f aca="false">IF($C1565="","",$H1565-$H1565/(1+IFERROR(INDEX(PRODUCTOS!$E$6:$E$105,MATCH($C1565,PRODUCTOS!$A$6:$A$105,0)),IVA_VENTAS)))</f>
        <v/>
      </c>
      <c r="J1565" s="35" t="str">
        <f aca="false">IF($C1565="","",$H1565-$I1565)</f>
        <v/>
      </c>
      <c r="K1565" s="35" t="str">
        <f aca="false">IF($C1565="","",N($E1565)*IFERROR(INDEX(PRODUCTOS!$H$6:$H$105,MATCH($C1565,PRODUCTOS!$A$6:$A$105,0)),0))</f>
        <v/>
      </c>
      <c r="L1565" s="35" t="str">
        <f aca="false">IF($C1565="","",$J1565-$K1565)</f>
        <v/>
      </c>
      <c r="M1565" s="6"/>
      <c r="N1565" s="6"/>
      <c r="O1565" s="46" t="str">
        <f aca="false">IF($A1565="","",DATE(YEAR($A1565),MONTH($A1565),1))</f>
        <v/>
      </c>
    </row>
    <row r="1566" customFormat="false" ht="15" hidden="false" customHeight="false" outlineLevel="0" collapsed="false">
      <c r="A1566" s="44"/>
      <c r="B1566" s="6"/>
      <c r="C1566" s="6"/>
      <c r="D1566" s="8" t="str">
        <f aca="false">IF($C1566="","",IFERROR(INDEX(PRODUCTOS!$B$6:$B$105,MATCH($C1566,PRODUCTOS!$A$6:$A$105,0)),"¿Código?"))</f>
        <v/>
      </c>
      <c r="E1566" s="42"/>
      <c r="F1566" s="35" t="str">
        <f aca="false">IF($C1566="","",IFERROR(INDEX(PRODUCTOS!$D$6:$D$105,MATCH($C1566,PRODUCTOS!$A$6:$A$105,0)),0))</f>
        <v/>
      </c>
      <c r="G1566" s="40"/>
      <c r="H1566" s="35" t="str">
        <f aca="false">IF($C1566="","",N($E1566)*$F1566-N($G1566))</f>
        <v/>
      </c>
      <c r="I1566" s="35" t="str">
        <f aca="false">IF($C1566="","",$H1566-$H1566/(1+IFERROR(INDEX(PRODUCTOS!$E$6:$E$105,MATCH($C1566,PRODUCTOS!$A$6:$A$105,0)),IVA_VENTAS)))</f>
        <v/>
      </c>
      <c r="J1566" s="35" t="str">
        <f aca="false">IF($C1566="","",$H1566-$I1566)</f>
        <v/>
      </c>
      <c r="K1566" s="35" t="str">
        <f aca="false">IF($C1566="","",N($E1566)*IFERROR(INDEX(PRODUCTOS!$H$6:$H$105,MATCH($C1566,PRODUCTOS!$A$6:$A$105,0)),0))</f>
        <v/>
      </c>
      <c r="L1566" s="35" t="str">
        <f aca="false">IF($C1566="","",$J1566-$K1566)</f>
        <v/>
      </c>
      <c r="M1566" s="6"/>
      <c r="N1566" s="6"/>
      <c r="O1566" s="46" t="str">
        <f aca="false">IF($A1566="","",DATE(YEAR($A1566),MONTH($A1566),1))</f>
        <v/>
      </c>
    </row>
    <row r="1567" customFormat="false" ht="15" hidden="false" customHeight="false" outlineLevel="0" collapsed="false">
      <c r="A1567" s="44"/>
      <c r="B1567" s="6"/>
      <c r="C1567" s="6"/>
      <c r="D1567" s="8" t="str">
        <f aca="false">IF($C1567="","",IFERROR(INDEX(PRODUCTOS!$B$6:$B$105,MATCH($C1567,PRODUCTOS!$A$6:$A$105,0)),"¿Código?"))</f>
        <v/>
      </c>
      <c r="E1567" s="42"/>
      <c r="F1567" s="35" t="str">
        <f aca="false">IF($C1567="","",IFERROR(INDEX(PRODUCTOS!$D$6:$D$105,MATCH($C1567,PRODUCTOS!$A$6:$A$105,0)),0))</f>
        <v/>
      </c>
      <c r="G1567" s="40"/>
      <c r="H1567" s="35" t="str">
        <f aca="false">IF($C1567="","",N($E1567)*$F1567-N($G1567))</f>
        <v/>
      </c>
      <c r="I1567" s="35" t="str">
        <f aca="false">IF($C1567="","",$H1567-$H1567/(1+IFERROR(INDEX(PRODUCTOS!$E$6:$E$105,MATCH($C1567,PRODUCTOS!$A$6:$A$105,0)),IVA_VENTAS)))</f>
        <v/>
      </c>
      <c r="J1567" s="35" t="str">
        <f aca="false">IF($C1567="","",$H1567-$I1567)</f>
        <v/>
      </c>
      <c r="K1567" s="35" t="str">
        <f aca="false">IF($C1567="","",N($E1567)*IFERROR(INDEX(PRODUCTOS!$H$6:$H$105,MATCH($C1567,PRODUCTOS!$A$6:$A$105,0)),0))</f>
        <v/>
      </c>
      <c r="L1567" s="35" t="str">
        <f aca="false">IF($C1567="","",$J1567-$K1567)</f>
        <v/>
      </c>
      <c r="M1567" s="6"/>
      <c r="N1567" s="6"/>
      <c r="O1567" s="46" t="str">
        <f aca="false">IF($A1567="","",DATE(YEAR($A1567),MONTH($A1567),1))</f>
        <v/>
      </c>
    </row>
    <row r="1568" customFormat="false" ht="15" hidden="false" customHeight="false" outlineLevel="0" collapsed="false">
      <c r="A1568" s="44"/>
      <c r="B1568" s="6"/>
      <c r="C1568" s="6"/>
      <c r="D1568" s="8" t="str">
        <f aca="false">IF($C1568="","",IFERROR(INDEX(PRODUCTOS!$B$6:$B$105,MATCH($C1568,PRODUCTOS!$A$6:$A$105,0)),"¿Código?"))</f>
        <v/>
      </c>
      <c r="E1568" s="42"/>
      <c r="F1568" s="35" t="str">
        <f aca="false">IF($C1568="","",IFERROR(INDEX(PRODUCTOS!$D$6:$D$105,MATCH($C1568,PRODUCTOS!$A$6:$A$105,0)),0))</f>
        <v/>
      </c>
      <c r="G1568" s="40"/>
      <c r="H1568" s="35" t="str">
        <f aca="false">IF($C1568="","",N($E1568)*$F1568-N($G1568))</f>
        <v/>
      </c>
      <c r="I1568" s="35" t="str">
        <f aca="false">IF($C1568="","",$H1568-$H1568/(1+IFERROR(INDEX(PRODUCTOS!$E$6:$E$105,MATCH($C1568,PRODUCTOS!$A$6:$A$105,0)),IVA_VENTAS)))</f>
        <v/>
      </c>
      <c r="J1568" s="35" t="str">
        <f aca="false">IF($C1568="","",$H1568-$I1568)</f>
        <v/>
      </c>
      <c r="K1568" s="35" t="str">
        <f aca="false">IF($C1568="","",N($E1568)*IFERROR(INDEX(PRODUCTOS!$H$6:$H$105,MATCH($C1568,PRODUCTOS!$A$6:$A$105,0)),0))</f>
        <v/>
      </c>
      <c r="L1568" s="35" t="str">
        <f aca="false">IF($C1568="","",$J1568-$K1568)</f>
        <v/>
      </c>
      <c r="M1568" s="6"/>
      <c r="N1568" s="6"/>
      <c r="O1568" s="46" t="str">
        <f aca="false">IF($A1568="","",DATE(YEAR($A1568),MONTH($A1568),1))</f>
        <v/>
      </c>
    </row>
    <row r="1569" customFormat="false" ht="15" hidden="false" customHeight="false" outlineLevel="0" collapsed="false">
      <c r="A1569" s="44"/>
      <c r="B1569" s="6"/>
      <c r="C1569" s="6"/>
      <c r="D1569" s="8" t="str">
        <f aca="false">IF($C1569="","",IFERROR(INDEX(PRODUCTOS!$B$6:$B$105,MATCH($C1569,PRODUCTOS!$A$6:$A$105,0)),"¿Código?"))</f>
        <v/>
      </c>
      <c r="E1569" s="42"/>
      <c r="F1569" s="35" t="str">
        <f aca="false">IF($C1569="","",IFERROR(INDEX(PRODUCTOS!$D$6:$D$105,MATCH($C1569,PRODUCTOS!$A$6:$A$105,0)),0))</f>
        <v/>
      </c>
      <c r="G1569" s="40"/>
      <c r="H1569" s="35" t="str">
        <f aca="false">IF($C1569="","",N($E1569)*$F1569-N($G1569))</f>
        <v/>
      </c>
      <c r="I1569" s="35" t="str">
        <f aca="false">IF($C1569="","",$H1569-$H1569/(1+IFERROR(INDEX(PRODUCTOS!$E$6:$E$105,MATCH($C1569,PRODUCTOS!$A$6:$A$105,0)),IVA_VENTAS)))</f>
        <v/>
      </c>
      <c r="J1569" s="35" t="str">
        <f aca="false">IF($C1569="","",$H1569-$I1569)</f>
        <v/>
      </c>
      <c r="K1569" s="35" t="str">
        <f aca="false">IF($C1569="","",N($E1569)*IFERROR(INDEX(PRODUCTOS!$H$6:$H$105,MATCH($C1569,PRODUCTOS!$A$6:$A$105,0)),0))</f>
        <v/>
      </c>
      <c r="L1569" s="35" t="str">
        <f aca="false">IF($C1569="","",$J1569-$K1569)</f>
        <v/>
      </c>
      <c r="M1569" s="6"/>
      <c r="N1569" s="6"/>
      <c r="O1569" s="46" t="str">
        <f aca="false">IF($A1569="","",DATE(YEAR($A1569),MONTH($A1569),1))</f>
        <v/>
      </c>
    </row>
    <row r="1570" customFormat="false" ht="15" hidden="false" customHeight="false" outlineLevel="0" collapsed="false">
      <c r="A1570" s="44"/>
      <c r="B1570" s="6"/>
      <c r="C1570" s="6"/>
      <c r="D1570" s="8" t="str">
        <f aca="false">IF($C1570="","",IFERROR(INDEX(PRODUCTOS!$B$6:$B$105,MATCH($C1570,PRODUCTOS!$A$6:$A$105,0)),"¿Código?"))</f>
        <v/>
      </c>
      <c r="E1570" s="42"/>
      <c r="F1570" s="35" t="str">
        <f aca="false">IF($C1570="","",IFERROR(INDEX(PRODUCTOS!$D$6:$D$105,MATCH($C1570,PRODUCTOS!$A$6:$A$105,0)),0))</f>
        <v/>
      </c>
      <c r="G1570" s="40"/>
      <c r="H1570" s="35" t="str">
        <f aca="false">IF($C1570="","",N($E1570)*$F1570-N($G1570))</f>
        <v/>
      </c>
      <c r="I1570" s="35" t="str">
        <f aca="false">IF($C1570="","",$H1570-$H1570/(1+IFERROR(INDEX(PRODUCTOS!$E$6:$E$105,MATCH($C1570,PRODUCTOS!$A$6:$A$105,0)),IVA_VENTAS)))</f>
        <v/>
      </c>
      <c r="J1570" s="35" t="str">
        <f aca="false">IF($C1570="","",$H1570-$I1570)</f>
        <v/>
      </c>
      <c r="K1570" s="35" t="str">
        <f aca="false">IF($C1570="","",N($E1570)*IFERROR(INDEX(PRODUCTOS!$H$6:$H$105,MATCH($C1570,PRODUCTOS!$A$6:$A$105,0)),0))</f>
        <v/>
      </c>
      <c r="L1570" s="35" t="str">
        <f aca="false">IF($C1570="","",$J1570-$K1570)</f>
        <v/>
      </c>
      <c r="M1570" s="6"/>
      <c r="N1570" s="6"/>
      <c r="O1570" s="46" t="str">
        <f aca="false">IF($A1570="","",DATE(YEAR($A1570),MONTH($A1570),1))</f>
        <v/>
      </c>
    </row>
    <row r="1571" customFormat="false" ht="15" hidden="false" customHeight="false" outlineLevel="0" collapsed="false">
      <c r="A1571" s="44"/>
      <c r="B1571" s="6"/>
      <c r="C1571" s="6"/>
      <c r="D1571" s="8" t="str">
        <f aca="false">IF($C1571="","",IFERROR(INDEX(PRODUCTOS!$B$6:$B$105,MATCH($C1571,PRODUCTOS!$A$6:$A$105,0)),"¿Código?"))</f>
        <v/>
      </c>
      <c r="E1571" s="42"/>
      <c r="F1571" s="35" t="str">
        <f aca="false">IF($C1571="","",IFERROR(INDEX(PRODUCTOS!$D$6:$D$105,MATCH($C1571,PRODUCTOS!$A$6:$A$105,0)),0))</f>
        <v/>
      </c>
      <c r="G1571" s="40"/>
      <c r="H1571" s="35" t="str">
        <f aca="false">IF($C1571="","",N($E1571)*$F1571-N($G1571))</f>
        <v/>
      </c>
      <c r="I1571" s="35" t="str">
        <f aca="false">IF($C1571="","",$H1571-$H1571/(1+IFERROR(INDEX(PRODUCTOS!$E$6:$E$105,MATCH($C1571,PRODUCTOS!$A$6:$A$105,0)),IVA_VENTAS)))</f>
        <v/>
      </c>
      <c r="J1571" s="35" t="str">
        <f aca="false">IF($C1571="","",$H1571-$I1571)</f>
        <v/>
      </c>
      <c r="K1571" s="35" t="str">
        <f aca="false">IF($C1571="","",N($E1571)*IFERROR(INDEX(PRODUCTOS!$H$6:$H$105,MATCH($C1571,PRODUCTOS!$A$6:$A$105,0)),0))</f>
        <v/>
      </c>
      <c r="L1571" s="35" t="str">
        <f aca="false">IF($C1571="","",$J1571-$K1571)</f>
        <v/>
      </c>
      <c r="M1571" s="6"/>
      <c r="N1571" s="6"/>
      <c r="O1571" s="46" t="str">
        <f aca="false">IF($A1571="","",DATE(YEAR($A1571),MONTH($A1571),1))</f>
        <v/>
      </c>
    </row>
    <row r="1572" customFormat="false" ht="15" hidden="false" customHeight="false" outlineLevel="0" collapsed="false">
      <c r="A1572" s="44"/>
      <c r="B1572" s="6"/>
      <c r="C1572" s="6"/>
      <c r="D1572" s="8" t="str">
        <f aca="false">IF($C1572="","",IFERROR(INDEX(PRODUCTOS!$B$6:$B$105,MATCH($C1572,PRODUCTOS!$A$6:$A$105,0)),"¿Código?"))</f>
        <v/>
      </c>
      <c r="E1572" s="42"/>
      <c r="F1572" s="35" t="str">
        <f aca="false">IF($C1572="","",IFERROR(INDEX(PRODUCTOS!$D$6:$D$105,MATCH($C1572,PRODUCTOS!$A$6:$A$105,0)),0))</f>
        <v/>
      </c>
      <c r="G1572" s="40"/>
      <c r="H1572" s="35" t="str">
        <f aca="false">IF($C1572="","",N($E1572)*$F1572-N($G1572))</f>
        <v/>
      </c>
      <c r="I1572" s="35" t="str">
        <f aca="false">IF($C1572="","",$H1572-$H1572/(1+IFERROR(INDEX(PRODUCTOS!$E$6:$E$105,MATCH($C1572,PRODUCTOS!$A$6:$A$105,0)),IVA_VENTAS)))</f>
        <v/>
      </c>
      <c r="J1572" s="35" t="str">
        <f aca="false">IF($C1572="","",$H1572-$I1572)</f>
        <v/>
      </c>
      <c r="K1572" s="35" t="str">
        <f aca="false">IF($C1572="","",N($E1572)*IFERROR(INDEX(PRODUCTOS!$H$6:$H$105,MATCH($C1572,PRODUCTOS!$A$6:$A$105,0)),0))</f>
        <v/>
      </c>
      <c r="L1572" s="35" t="str">
        <f aca="false">IF($C1572="","",$J1572-$K1572)</f>
        <v/>
      </c>
      <c r="M1572" s="6"/>
      <c r="N1572" s="6"/>
      <c r="O1572" s="46" t="str">
        <f aca="false">IF($A1572="","",DATE(YEAR($A1572),MONTH($A1572),1))</f>
        <v/>
      </c>
    </row>
    <row r="1573" customFormat="false" ht="15" hidden="false" customHeight="false" outlineLevel="0" collapsed="false">
      <c r="A1573" s="44"/>
      <c r="B1573" s="6"/>
      <c r="C1573" s="6"/>
      <c r="D1573" s="8" t="str">
        <f aca="false">IF($C1573="","",IFERROR(INDEX(PRODUCTOS!$B$6:$B$105,MATCH($C1573,PRODUCTOS!$A$6:$A$105,0)),"¿Código?"))</f>
        <v/>
      </c>
      <c r="E1573" s="42"/>
      <c r="F1573" s="35" t="str">
        <f aca="false">IF($C1573="","",IFERROR(INDEX(PRODUCTOS!$D$6:$D$105,MATCH($C1573,PRODUCTOS!$A$6:$A$105,0)),0))</f>
        <v/>
      </c>
      <c r="G1573" s="40"/>
      <c r="H1573" s="35" t="str">
        <f aca="false">IF($C1573="","",N($E1573)*$F1573-N($G1573))</f>
        <v/>
      </c>
      <c r="I1573" s="35" t="str">
        <f aca="false">IF($C1573="","",$H1573-$H1573/(1+IFERROR(INDEX(PRODUCTOS!$E$6:$E$105,MATCH($C1573,PRODUCTOS!$A$6:$A$105,0)),IVA_VENTAS)))</f>
        <v/>
      </c>
      <c r="J1573" s="35" t="str">
        <f aca="false">IF($C1573="","",$H1573-$I1573)</f>
        <v/>
      </c>
      <c r="K1573" s="35" t="str">
        <f aca="false">IF($C1573="","",N($E1573)*IFERROR(INDEX(PRODUCTOS!$H$6:$H$105,MATCH($C1573,PRODUCTOS!$A$6:$A$105,0)),0))</f>
        <v/>
      </c>
      <c r="L1573" s="35" t="str">
        <f aca="false">IF($C1573="","",$J1573-$K1573)</f>
        <v/>
      </c>
      <c r="M1573" s="6"/>
      <c r="N1573" s="6"/>
      <c r="O1573" s="46" t="str">
        <f aca="false">IF($A1573="","",DATE(YEAR($A1573),MONTH($A1573),1))</f>
        <v/>
      </c>
    </row>
    <row r="1574" customFormat="false" ht="15" hidden="false" customHeight="false" outlineLevel="0" collapsed="false">
      <c r="A1574" s="44"/>
      <c r="B1574" s="6"/>
      <c r="C1574" s="6"/>
      <c r="D1574" s="8" t="str">
        <f aca="false">IF($C1574="","",IFERROR(INDEX(PRODUCTOS!$B$6:$B$105,MATCH($C1574,PRODUCTOS!$A$6:$A$105,0)),"¿Código?"))</f>
        <v/>
      </c>
      <c r="E1574" s="42"/>
      <c r="F1574" s="35" t="str">
        <f aca="false">IF($C1574="","",IFERROR(INDEX(PRODUCTOS!$D$6:$D$105,MATCH($C1574,PRODUCTOS!$A$6:$A$105,0)),0))</f>
        <v/>
      </c>
      <c r="G1574" s="40"/>
      <c r="H1574" s="35" t="str">
        <f aca="false">IF($C1574="","",N($E1574)*$F1574-N($G1574))</f>
        <v/>
      </c>
      <c r="I1574" s="35" t="str">
        <f aca="false">IF($C1574="","",$H1574-$H1574/(1+IFERROR(INDEX(PRODUCTOS!$E$6:$E$105,MATCH($C1574,PRODUCTOS!$A$6:$A$105,0)),IVA_VENTAS)))</f>
        <v/>
      </c>
      <c r="J1574" s="35" t="str">
        <f aca="false">IF($C1574="","",$H1574-$I1574)</f>
        <v/>
      </c>
      <c r="K1574" s="35" t="str">
        <f aca="false">IF($C1574="","",N($E1574)*IFERROR(INDEX(PRODUCTOS!$H$6:$H$105,MATCH($C1574,PRODUCTOS!$A$6:$A$105,0)),0))</f>
        <v/>
      </c>
      <c r="L1574" s="35" t="str">
        <f aca="false">IF($C1574="","",$J1574-$K1574)</f>
        <v/>
      </c>
      <c r="M1574" s="6"/>
      <c r="N1574" s="6"/>
      <c r="O1574" s="46" t="str">
        <f aca="false">IF($A1574="","",DATE(YEAR($A1574),MONTH($A1574),1))</f>
        <v/>
      </c>
    </row>
    <row r="1575" customFormat="false" ht="15" hidden="false" customHeight="false" outlineLevel="0" collapsed="false">
      <c r="A1575" s="44"/>
      <c r="B1575" s="6"/>
      <c r="C1575" s="6"/>
      <c r="D1575" s="8" t="str">
        <f aca="false">IF($C1575="","",IFERROR(INDEX(PRODUCTOS!$B$6:$B$105,MATCH($C1575,PRODUCTOS!$A$6:$A$105,0)),"¿Código?"))</f>
        <v/>
      </c>
      <c r="E1575" s="42"/>
      <c r="F1575" s="35" t="str">
        <f aca="false">IF($C1575="","",IFERROR(INDEX(PRODUCTOS!$D$6:$D$105,MATCH($C1575,PRODUCTOS!$A$6:$A$105,0)),0))</f>
        <v/>
      </c>
      <c r="G1575" s="40"/>
      <c r="H1575" s="35" t="str">
        <f aca="false">IF($C1575="","",N($E1575)*$F1575-N($G1575))</f>
        <v/>
      </c>
      <c r="I1575" s="35" t="str">
        <f aca="false">IF($C1575="","",$H1575-$H1575/(1+IFERROR(INDEX(PRODUCTOS!$E$6:$E$105,MATCH($C1575,PRODUCTOS!$A$6:$A$105,0)),IVA_VENTAS)))</f>
        <v/>
      </c>
      <c r="J1575" s="35" t="str">
        <f aca="false">IF($C1575="","",$H1575-$I1575)</f>
        <v/>
      </c>
      <c r="K1575" s="35" t="str">
        <f aca="false">IF($C1575="","",N($E1575)*IFERROR(INDEX(PRODUCTOS!$H$6:$H$105,MATCH($C1575,PRODUCTOS!$A$6:$A$105,0)),0))</f>
        <v/>
      </c>
      <c r="L1575" s="35" t="str">
        <f aca="false">IF($C1575="","",$J1575-$K1575)</f>
        <v/>
      </c>
      <c r="M1575" s="6"/>
      <c r="N1575" s="6"/>
      <c r="O1575" s="46" t="str">
        <f aca="false">IF($A1575="","",DATE(YEAR($A1575),MONTH($A1575),1))</f>
        <v/>
      </c>
    </row>
    <row r="1576" customFormat="false" ht="15" hidden="false" customHeight="false" outlineLevel="0" collapsed="false">
      <c r="A1576" s="44"/>
      <c r="B1576" s="6"/>
      <c r="C1576" s="6"/>
      <c r="D1576" s="8" t="str">
        <f aca="false">IF($C1576="","",IFERROR(INDEX(PRODUCTOS!$B$6:$B$105,MATCH($C1576,PRODUCTOS!$A$6:$A$105,0)),"¿Código?"))</f>
        <v/>
      </c>
      <c r="E1576" s="42"/>
      <c r="F1576" s="35" t="str">
        <f aca="false">IF($C1576="","",IFERROR(INDEX(PRODUCTOS!$D$6:$D$105,MATCH($C1576,PRODUCTOS!$A$6:$A$105,0)),0))</f>
        <v/>
      </c>
      <c r="G1576" s="40"/>
      <c r="H1576" s="35" t="str">
        <f aca="false">IF($C1576="","",N($E1576)*$F1576-N($G1576))</f>
        <v/>
      </c>
      <c r="I1576" s="35" t="str">
        <f aca="false">IF($C1576="","",$H1576-$H1576/(1+IFERROR(INDEX(PRODUCTOS!$E$6:$E$105,MATCH($C1576,PRODUCTOS!$A$6:$A$105,0)),IVA_VENTAS)))</f>
        <v/>
      </c>
      <c r="J1576" s="35" t="str">
        <f aca="false">IF($C1576="","",$H1576-$I1576)</f>
        <v/>
      </c>
      <c r="K1576" s="35" t="str">
        <f aca="false">IF($C1576="","",N($E1576)*IFERROR(INDEX(PRODUCTOS!$H$6:$H$105,MATCH($C1576,PRODUCTOS!$A$6:$A$105,0)),0))</f>
        <v/>
      </c>
      <c r="L1576" s="35" t="str">
        <f aca="false">IF($C1576="","",$J1576-$K1576)</f>
        <v/>
      </c>
      <c r="M1576" s="6"/>
      <c r="N1576" s="6"/>
      <c r="O1576" s="46" t="str">
        <f aca="false">IF($A1576="","",DATE(YEAR($A1576),MONTH($A1576),1))</f>
        <v/>
      </c>
    </row>
    <row r="1577" customFormat="false" ht="15" hidden="false" customHeight="false" outlineLevel="0" collapsed="false">
      <c r="A1577" s="44"/>
      <c r="B1577" s="6"/>
      <c r="C1577" s="6"/>
      <c r="D1577" s="8" t="str">
        <f aca="false">IF($C1577="","",IFERROR(INDEX(PRODUCTOS!$B$6:$B$105,MATCH($C1577,PRODUCTOS!$A$6:$A$105,0)),"¿Código?"))</f>
        <v/>
      </c>
      <c r="E1577" s="42"/>
      <c r="F1577" s="35" t="str">
        <f aca="false">IF($C1577="","",IFERROR(INDEX(PRODUCTOS!$D$6:$D$105,MATCH($C1577,PRODUCTOS!$A$6:$A$105,0)),0))</f>
        <v/>
      </c>
      <c r="G1577" s="40"/>
      <c r="H1577" s="35" t="str">
        <f aca="false">IF($C1577="","",N($E1577)*$F1577-N($G1577))</f>
        <v/>
      </c>
      <c r="I1577" s="35" t="str">
        <f aca="false">IF($C1577="","",$H1577-$H1577/(1+IFERROR(INDEX(PRODUCTOS!$E$6:$E$105,MATCH($C1577,PRODUCTOS!$A$6:$A$105,0)),IVA_VENTAS)))</f>
        <v/>
      </c>
      <c r="J1577" s="35" t="str">
        <f aca="false">IF($C1577="","",$H1577-$I1577)</f>
        <v/>
      </c>
      <c r="K1577" s="35" t="str">
        <f aca="false">IF($C1577="","",N($E1577)*IFERROR(INDEX(PRODUCTOS!$H$6:$H$105,MATCH($C1577,PRODUCTOS!$A$6:$A$105,0)),0))</f>
        <v/>
      </c>
      <c r="L1577" s="35" t="str">
        <f aca="false">IF($C1577="","",$J1577-$K1577)</f>
        <v/>
      </c>
      <c r="M1577" s="6"/>
      <c r="N1577" s="6"/>
      <c r="O1577" s="46" t="str">
        <f aca="false">IF($A1577="","",DATE(YEAR($A1577),MONTH($A1577),1))</f>
        <v/>
      </c>
    </row>
    <row r="1578" customFormat="false" ht="15" hidden="false" customHeight="false" outlineLevel="0" collapsed="false">
      <c r="A1578" s="44"/>
      <c r="B1578" s="6"/>
      <c r="C1578" s="6"/>
      <c r="D1578" s="8" t="str">
        <f aca="false">IF($C1578="","",IFERROR(INDEX(PRODUCTOS!$B$6:$B$105,MATCH($C1578,PRODUCTOS!$A$6:$A$105,0)),"¿Código?"))</f>
        <v/>
      </c>
      <c r="E1578" s="42"/>
      <c r="F1578" s="35" t="str">
        <f aca="false">IF($C1578="","",IFERROR(INDEX(PRODUCTOS!$D$6:$D$105,MATCH($C1578,PRODUCTOS!$A$6:$A$105,0)),0))</f>
        <v/>
      </c>
      <c r="G1578" s="40"/>
      <c r="H1578" s="35" t="str">
        <f aca="false">IF($C1578="","",N($E1578)*$F1578-N($G1578))</f>
        <v/>
      </c>
      <c r="I1578" s="35" t="str">
        <f aca="false">IF($C1578="","",$H1578-$H1578/(1+IFERROR(INDEX(PRODUCTOS!$E$6:$E$105,MATCH($C1578,PRODUCTOS!$A$6:$A$105,0)),IVA_VENTAS)))</f>
        <v/>
      </c>
      <c r="J1578" s="35" t="str">
        <f aca="false">IF($C1578="","",$H1578-$I1578)</f>
        <v/>
      </c>
      <c r="K1578" s="35" t="str">
        <f aca="false">IF($C1578="","",N($E1578)*IFERROR(INDEX(PRODUCTOS!$H$6:$H$105,MATCH($C1578,PRODUCTOS!$A$6:$A$105,0)),0))</f>
        <v/>
      </c>
      <c r="L1578" s="35" t="str">
        <f aca="false">IF($C1578="","",$J1578-$K1578)</f>
        <v/>
      </c>
      <c r="M1578" s="6"/>
      <c r="N1578" s="6"/>
      <c r="O1578" s="46" t="str">
        <f aca="false">IF($A1578="","",DATE(YEAR($A1578),MONTH($A1578),1))</f>
        <v/>
      </c>
    </row>
    <row r="1579" customFormat="false" ht="15" hidden="false" customHeight="false" outlineLevel="0" collapsed="false">
      <c r="A1579" s="44"/>
      <c r="B1579" s="6"/>
      <c r="C1579" s="6"/>
      <c r="D1579" s="8" t="str">
        <f aca="false">IF($C1579="","",IFERROR(INDEX(PRODUCTOS!$B$6:$B$105,MATCH($C1579,PRODUCTOS!$A$6:$A$105,0)),"¿Código?"))</f>
        <v/>
      </c>
      <c r="E1579" s="42"/>
      <c r="F1579" s="35" t="str">
        <f aca="false">IF($C1579="","",IFERROR(INDEX(PRODUCTOS!$D$6:$D$105,MATCH($C1579,PRODUCTOS!$A$6:$A$105,0)),0))</f>
        <v/>
      </c>
      <c r="G1579" s="40"/>
      <c r="H1579" s="35" t="str">
        <f aca="false">IF($C1579="","",N($E1579)*$F1579-N($G1579))</f>
        <v/>
      </c>
      <c r="I1579" s="35" t="str">
        <f aca="false">IF($C1579="","",$H1579-$H1579/(1+IFERROR(INDEX(PRODUCTOS!$E$6:$E$105,MATCH($C1579,PRODUCTOS!$A$6:$A$105,0)),IVA_VENTAS)))</f>
        <v/>
      </c>
      <c r="J1579" s="35" t="str">
        <f aca="false">IF($C1579="","",$H1579-$I1579)</f>
        <v/>
      </c>
      <c r="K1579" s="35" t="str">
        <f aca="false">IF($C1579="","",N($E1579)*IFERROR(INDEX(PRODUCTOS!$H$6:$H$105,MATCH($C1579,PRODUCTOS!$A$6:$A$105,0)),0))</f>
        <v/>
      </c>
      <c r="L1579" s="35" t="str">
        <f aca="false">IF($C1579="","",$J1579-$K1579)</f>
        <v/>
      </c>
      <c r="M1579" s="6"/>
      <c r="N1579" s="6"/>
      <c r="O1579" s="46" t="str">
        <f aca="false">IF($A1579="","",DATE(YEAR($A1579),MONTH($A1579),1))</f>
        <v/>
      </c>
    </row>
    <row r="1580" customFormat="false" ht="15" hidden="false" customHeight="false" outlineLevel="0" collapsed="false">
      <c r="A1580" s="44"/>
      <c r="B1580" s="6"/>
      <c r="C1580" s="6"/>
      <c r="D1580" s="8" t="str">
        <f aca="false">IF($C1580="","",IFERROR(INDEX(PRODUCTOS!$B$6:$B$105,MATCH($C1580,PRODUCTOS!$A$6:$A$105,0)),"¿Código?"))</f>
        <v/>
      </c>
      <c r="E1580" s="42"/>
      <c r="F1580" s="35" t="str">
        <f aca="false">IF($C1580="","",IFERROR(INDEX(PRODUCTOS!$D$6:$D$105,MATCH($C1580,PRODUCTOS!$A$6:$A$105,0)),0))</f>
        <v/>
      </c>
      <c r="G1580" s="40"/>
      <c r="H1580" s="35" t="str">
        <f aca="false">IF($C1580="","",N($E1580)*$F1580-N($G1580))</f>
        <v/>
      </c>
      <c r="I1580" s="35" t="str">
        <f aca="false">IF($C1580="","",$H1580-$H1580/(1+IFERROR(INDEX(PRODUCTOS!$E$6:$E$105,MATCH($C1580,PRODUCTOS!$A$6:$A$105,0)),IVA_VENTAS)))</f>
        <v/>
      </c>
      <c r="J1580" s="35" t="str">
        <f aca="false">IF($C1580="","",$H1580-$I1580)</f>
        <v/>
      </c>
      <c r="K1580" s="35" t="str">
        <f aca="false">IF($C1580="","",N($E1580)*IFERROR(INDEX(PRODUCTOS!$H$6:$H$105,MATCH($C1580,PRODUCTOS!$A$6:$A$105,0)),0))</f>
        <v/>
      </c>
      <c r="L1580" s="35" t="str">
        <f aca="false">IF($C1580="","",$J1580-$K1580)</f>
        <v/>
      </c>
      <c r="M1580" s="6"/>
      <c r="N1580" s="6"/>
      <c r="O1580" s="46" t="str">
        <f aca="false">IF($A1580="","",DATE(YEAR($A1580),MONTH($A1580),1))</f>
        <v/>
      </c>
    </row>
    <row r="1581" customFormat="false" ht="15" hidden="false" customHeight="false" outlineLevel="0" collapsed="false">
      <c r="A1581" s="44"/>
      <c r="B1581" s="6"/>
      <c r="C1581" s="6"/>
      <c r="D1581" s="8" t="str">
        <f aca="false">IF($C1581="","",IFERROR(INDEX(PRODUCTOS!$B$6:$B$105,MATCH($C1581,PRODUCTOS!$A$6:$A$105,0)),"¿Código?"))</f>
        <v/>
      </c>
      <c r="E1581" s="42"/>
      <c r="F1581" s="35" t="str">
        <f aca="false">IF($C1581="","",IFERROR(INDEX(PRODUCTOS!$D$6:$D$105,MATCH($C1581,PRODUCTOS!$A$6:$A$105,0)),0))</f>
        <v/>
      </c>
      <c r="G1581" s="40"/>
      <c r="H1581" s="35" t="str">
        <f aca="false">IF($C1581="","",N($E1581)*$F1581-N($G1581))</f>
        <v/>
      </c>
      <c r="I1581" s="35" t="str">
        <f aca="false">IF($C1581="","",$H1581-$H1581/(1+IFERROR(INDEX(PRODUCTOS!$E$6:$E$105,MATCH($C1581,PRODUCTOS!$A$6:$A$105,0)),IVA_VENTAS)))</f>
        <v/>
      </c>
      <c r="J1581" s="35" t="str">
        <f aca="false">IF($C1581="","",$H1581-$I1581)</f>
        <v/>
      </c>
      <c r="K1581" s="35" t="str">
        <f aca="false">IF($C1581="","",N($E1581)*IFERROR(INDEX(PRODUCTOS!$H$6:$H$105,MATCH($C1581,PRODUCTOS!$A$6:$A$105,0)),0))</f>
        <v/>
      </c>
      <c r="L1581" s="35" t="str">
        <f aca="false">IF($C1581="","",$J1581-$K1581)</f>
        <v/>
      </c>
      <c r="M1581" s="6"/>
      <c r="N1581" s="6"/>
      <c r="O1581" s="46" t="str">
        <f aca="false">IF($A1581="","",DATE(YEAR($A1581),MONTH($A1581),1))</f>
        <v/>
      </c>
    </row>
    <row r="1582" customFormat="false" ht="15" hidden="false" customHeight="false" outlineLevel="0" collapsed="false">
      <c r="A1582" s="44"/>
      <c r="B1582" s="6"/>
      <c r="C1582" s="6"/>
      <c r="D1582" s="8" t="str">
        <f aca="false">IF($C1582="","",IFERROR(INDEX(PRODUCTOS!$B$6:$B$105,MATCH($C1582,PRODUCTOS!$A$6:$A$105,0)),"¿Código?"))</f>
        <v/>
      </c>
      <c r="E1582" s="42"/>
      <c r="F1582" s="35" t="str">
        <f aca="false">IF($C1582="","",IFERROR(INDEX(PRODUCTOS!$D$6:$D$105,MATCH($C1582,PRODUCTOS!$A$6:$A$105,0)),0))</f>
        <v/>
      </c>
      <c r="G1582" s="40"/>
      <c r="H1582" s="35" t="str">
        <f aca="false">IF($C1582="","",N($E1582)*$F1582-N($G1582))</f>
        <v/>
      </c>
      <c r="I1582" s="35" t="str">
        <f aca="false">IF($C1582="","",$H1582-$H1582/(1+IFERROR(INDEX(PRODUCTOS!$E$6:$E$105,MATCH($C1582,PRODUCTOS!$A$6:$A$105,0)),IVA_VENTAS)))</f>
        <v/>
      </c>
      <c r="J1582" s="35" t="str">
        <f aca="false">IF($C1582="","",$H1582-$I1582)</f>
        <v/>
      </c>
      <c r="K1582" s="35" t="str">
        <f aca="false">IF($C1582="","",N($E1582)*IFERROR(INDEX(PRODUCTOS!$H$6:$H$105,MATCH($C1582,PRODUCTOS!$A$6:$A$105,0)),0))</f>
        <v/>
      </c>
      <c r="L1582" s="35" t="str">
        <f aca="false">IF($C1582="","",$J1582-$K1582)</f>
        <v/>
      </c>
      <c r="M1582" s="6"/>
      <c r="N1582" s="6"/>
      <c r="O1582" s="46" t="str">
        <f aca="false">IF($A1582="","",DATE(YEAR($A1582),MONTH($A1582),1))</f>
        <v/>
      </c>
    </row>
    <row r="1583" customFormat="false" ht="15" hidden="false" customHeight="false" outlineLevel="0" collapsed="false">
      <c r="A1583" s="44"/>
      <c r="B1583" s="6"/>
      <c r="C1583" s="6"/>
      <c r="D1583" s="8" t="str">
        <f aca="false">IF($C1583="","",IFERROR(INDEX(PRODUCTOS!$B$6:$B$105,MATCH($C1583,PRODUCTOS!$A$6:$A$105,0)),"¿Código?"))</f>
        <v/>
      </c>
      <c r="E1583" s="42"/>
      <c r="F1583" s="35" t="str">
        <f aca="false">IF($C1583="","",IFERROR(INDEX(PRODUCTOS!$D$6:$D$105,MATCH($C1583,PRODUCTOS!$A$6:$A$105,0)),0))</f>
        <v/>
      </c>
      <c r="G1583" s="40"/>
      <c r="H1583" s="35" t="str">
        <f aca="false">IF($C1583="","",N($E1583)*$F1583-N($G1583))</f>
        <v/>
      </c>
      <c r="I1583" s="35" t="str">
        <f aca="false">IF($C1583="","",$H1583-$H1583/(1+IFERROR(INDEX(PRODUCTOS!$E$6:$E$105,MATCH($C1583,PRODUCTOS!$A$6:$A$105,0)),IVA_VENTAS)))</f>
        <v/>
      </c>
      <c r="J1583" s="35" t="str">
        <f aca="false">IF($C1583="","",$H1583-$I1583)</f>
        <v/>
      </c>
      <c r="K1583" s="35" t="str">
        <f aca="false">IF($C1583="","",N($E1583)*IFERROR(INDEX(PRODUCTOS!$H$6:$H$105,MATCH($C1583,PRODUCTOS!$A$6:$A$105,0)),0))</f>
        <v/>
      </c>
      <c r="L1583" s="35" t="str">
        <f aca="false">IF($C1583="","",$J1583-$K1583)</f>
        <v/>
      </c>
      <c r="M1583" s="6"/>
      <c r="N1583" s="6"/>
      <c r="O1583" s="46" t="str">
        <f aca="false">IF($A1583="","",DATE(YEAR($A1583),MONTH($A1583),1))</f>
        <v/>
      </c>
    </row>
    <row r="1584" customFormat="false" ht="15" hidden="false" customHeight="false" outlineLevel="0" collapsed="false">
      <c r="A1584" s="44"/>
      <c r="B1584" s="6"/>
      <c r="C1584" s="6"/>
      <c r="D1584" s="8" t="str">
        <f aca="false">IF($C1584="","",IFERROR(INDEX(PRODUCTOS!$B$6:$B$105,MATCH($C1584,PRODUCTOS!$A$6:$A$105,0)),"¿Código?"))</f>
        <v/>
      </c>
      <c r="E1584" s="42"/>
      <c r="F1584" s="35" t="str">
        <f aca="false">IF($C1584="","",IFERROR(INDEX(PRODUCTOS!$D$6:$D$105,MATCH($C1584,PRODUCTOS!$A$6:$A$105,0)),0))</f>
        <v/>
      </c>
      <c r="G1584" s="40"/>
      <c r="H1584" s="35" t="str">
        <f aca="false">IF($C1584="","",N($E1584)*$F1584-N($G1584))</f>
        <v/>
      </c>
      <c r="I1584" s="35" t="str">
        <f aca="false">IF($C1584="","",$H1584-$H1584/(1+IFERROR(INDEX(PRODUCTOS!$E$6:$E$105,MATCH($C1584,PRODUCTOS!$A$6:$A$105,0)),IVA_VENTAS)))</f>
        <v/>
      </c>
      <c r="J1584" s="35" t="str">
        <f aca="false">IF($C1584="","",$H1584-$I1584)</f>
        <v/>
      </c>
      <c r="K1584" s="35" t="str">
        <f aca="false">IF($C1584="","",N($E1584)*IFERROR(INDEX(PRODUCTOS!$H$6:$H$105,MATCH($C1584,PRODUCTOS!$A$6:$A$105,0)),0))</f>
        <v/>
      </c>
      <c r="L1584" s="35" t="str">
        <f aca="false">IF($C1584="","",$J1584-$K1584)</f>
        <v/>
      </c>
      <c r="M1584" s="6"/>
      <c r="N1584" s="6"/>
      <c r="O1584" s="46" t="str">
        <f aca="false">IF($A1584="","",DATE(YEAR($A1584),MONTH($A1584),1))</f>
        <v/>
      </c>
    </row>
    <row r="1585" customFormat="false" ht="15" hidden="false" customHeight="false" outlineLevel="0" collapsed="false">
      <c r="A1585" s="44"/>
      <c r="B1585" s="6"/>
      <c r="C1585" s="6"/>
      <c r="D1585" s="8" t="str">
        <f aca="false">IF($C1585="","",IFERROR(INDEX(PRODUCTOS!$B$6:$B$105,MATCH($C1585,PRODUCTOS!$A$6:$A$105,0)),"¿Código?"))</f>
        <v/>
      </c>
      <c r="E1585" s="42"/>
      <c r="F1585" s="35" t="str">
        <f aca="false">IF($C1585="","",IFERROR(INDEX(PRODUCTOS!$D$6:$D$105,MATCH($C1585,PRODUCTOS!$A$6:$A$105,0)),0))</f>
        <v/>
      </c>
      <c r="G1585" s="40"/>
      <c r="H1585" s="35" t="str">
        <f aca="false">IF($C1585="","",N($E1585)*$F1585-N($G1585))</f>
        <v/>
      </c>
      <c r="I1585" s="35" t="str">
        <f aca="false">IF($C1585="","",$H1585-$H1585/(1+IFERROR(INDEX(PRODUCTOS!$E$6:$E$105,MATCH($C1585,PRODUCTOS!$A$6:$A$105,0)),IVA_VENTAS)))</f>
        <v/>
      </c>
      <c r="J1585" s="35" t="str">
        <f aca="false">IF($C1585="","",$H1585-$I1585)</f>
        <v/>
      </c>
      <c r="K1585" s="35" t="str">
        <f aca="false">IF($C1585="","",N($E1585)*IFERROR(INDEX(PRODUCTOS!$H$6:$H$105,MATCH($C1585,PRODUCTOS!$A$6:$A$105,0)),0))</f>
        <v/>
      </c>
      <c r="L1585" s="35" t="str">
        <f aca="false">IF($C1585="","",$J1585-$K1585)</f>
        <v/>
      </c>
      <c r="M1585" s="6"/>
      <c r="N1585" s="6"/>
      <c r="O1585" s="46" t="str">
        <f aca="false">IF($A1585="","",DATE(YEAR($A1585),MONTH($A1585),1))</f>
        <v/>
      </c>
    </row>
    <row r="1586" customFormat="false" ht="15" hidden="false" customHeight="false" outlineLevel="0" collapsed="false">
      <c r="A1586" s="44"/>
      <c r="B1586" s="6"/>
      <c r="C1586" s="6"/>
      <c r="D1586" s="8" t="str">
        <f aca="false">IF($C1586="","",IFERROR(INDEX(PRODUCTOS!$B$6:$B$105,MATCH($C1586,PRODUCTOS!$A$6:$A$105,0)),"¿Código?"))</f>
        <v/>
      </c>
      <c r="E1586" s="42"/>
      <c r="F1586" s="35" t="str">
        <f aca="false">IF($C1586="","",IFERROR(INDEX(PRODUCTOS!$D$6:$D$105,MATCH($C1586,PRODUCTOS!$A$6:$A$105,0)),0))</f>
        <v/>
      </c>
      <c r="G1586" s="40"/>
      <c r="H1586" s="35" t="str">
        <f aca="false">IF($C1586="","",N($E1586)*$F1586-N($G1586))</f>
        <v/>
      </c>
      <c r="I1586" s="35" t="str">
        <f aca="false">IF($C1586="","",$H1586-$H1586/(1+IFERROR(INDEX(PRODUCTOS!$E$6:$E$105,MATCH($C1586,PRODUCTOS!$A$6:$A$105,0)),IVA_VENTAS)))</f>
        <v/>
      </c>
      <c r="J1586" s="35" t="str">
        <f aca="false">IF($C1586="","",$H1586-$I1586)</f>
        <v/>
      </c>
      <c r="K1586" s="35" t="str">
        <f aca="false">IF($C1586="","",N($E1586)*IFERROR(INDEX(PRODUCTOS!$H$6:$H$105,MATCH($C1586,PRODUCTOS!$A$6:$A$105,0)),0))</f>
        <v/>
      </c>
      <c r="L1586" s="35" t="str">
        <f aca="false">IF($C1586="","",$J1586-$K1586)</f>
        <v/>
      </c>
      <c r="M1586" s="6"/>
      <c r="N1586" s="6"/>
      <c r="O1586" s="46" t="str">
        <f aca="false">IF($A1586="","",DATE(YEAR($A1586),MONTH($A1586),1))</f>
        <v/>
      </c>
    </row>
    <row r="1587" customFormat="false" ht="15" hidden="false" customHeight="false" outlineLevel="0" collapsed="false">
      <c r="A1587" s="44"/>
      <c r="B1587" s="6"/>
      <c r="C1587" s="6"/>
      <c r="D1587" s="8" t="str">
        <f aca="false">IF($C1587="","",IFERROR(INDEX(PRODUCTOS!$B$6:$B$105,MATCH($C1587,PRODUCTOS!$A$6:$A$105,0)),"¿Código?"))</f>
        <v/>
      </c>
      <c r="E1587" s="42"/>
      <c r="F1587" s="35" t="str">
        <f aca="false">IF($C1587="","",IFERROR(INDEX(PRODUCTOS!$D$6:$D$105,MATCH($C1587,PRODUCTOS!$A$6:$A$105,0)),0))</f>
        <v/>
      </c>
      <c r="G1587" s="40"/>
      <c r="H1587" s="35" t="str">
        <f aca="false">IF($C1587="","",N($E1587)*$F1587-N($G1587))</f>
        <v/>
      </c>
      <c r="I1587" s="35" t="str">
        <f aca="false">IF($C1587="","",$H1587-$H1587/(1+IFERROR(INDEX(PRODUCTOS!$E$6:$E$105,MATCH($C1587,PRODUCTOS!$A$6:$A$105,0)),IVA_VENTAS)))</f>
        <v/>
      </c>
      <c r="J1587" s="35" t="str">
        <f aca="false">IF($C1587="","",$H1587-$I1587)</f>
        <v/>
      </c>
      <c r="K1587" s="35" t="str">
        <f aca="false">IF($C1587="","",N($E1587)*IFERROR(INDEX(PRODUCTOS!$H$6:$H$105,MATCH($C1587,PRODUCTOS!$A$6:$A$105,0)),0))</f>
        <v/>
      </c>
      <c r="L1587" s="35" t="str">
        <f aca="false">IF($C1587="","",$J1587-$K1587)</f>
        <v/>
      </c>
      <c r="M1587" s="6"/>
      <c r="N1587" s="6"/>
      <c r="O1587" s="46" t="str">
        <f aca="false">IF($A1587="","",DATE(YEAR($A1587),MONTH($A1587),1))</f>
        <v/>
      </c>
    </row>
    <row r="1588" customFormat="false" ht="15" hidden="false" customHeight="false" outlineLevel="0" collapsed="false">
      <c r="A1588" s="44"/>
      <c r="B1588" s="6"/>
      <c r="C1588" s="6"/>
      <c r="D1588" s="8" t="str">
        <f aca="false">IF($C1588="","",IFERROR(INDEX(PRODUCTOS!$B$6:$B$105,MATCH($C1588,PRODUCTOS!$A$6:$A$105,0)),"¿Código?"))</f>
        <v/>
      </c>
      <c r="E1588" s="42"/>
      <c r="F1588" s="35" t="str">
        <f aca="false">IF($C1588="","",IFERROR(INDEX(PRODUCTOS!$D$6:$D$105,MATCH($C1588,PRODUCTOS!$A$6:$A$105,0)),0))</f>
        <v/>
      </c>
      <c r="G1588" s="40"/>
      <c r="H1588" s="35" t="str">
        <f aca="false">IF($C1588="","",N($E1588)*$F1588-N($G1588))</f>
        <v/>
      </c>
      <c r="I1588" s="35" t="str">
        <f aca="false">IF($C1588="","",$H1588-$H1588/(1+IFERROR(INDEX(PRODUCTOS!$E$6:$E$105,MATCH($C1588,PRODUCTOS!$A$6:$A$105,0)),IVA_VENTAS)))</f>
        <v/>
      </c>
      <c r="J1588" s="35" t="str">
        <f aca="false">IF($C1588="","",$H1588-$I1588)</f>
        <v/>
      </c>
      <c r="K1588" s="35" t="str">
        <f aca="false">IF($C1588="","",N($E1588)*IFERROR(INDEX(PRODUCTOS!$H$6:$H$105,MATCH($C1588,PRODUCTOS!$A$6:$A$105,0)),0))</f>
        <v/>
      </c>
      <c r="L1588" s="35" t="str">
        <f aca="false">IF($C1588="","",$J1588-$K1588)</f>
        <v/>
      </c>
      <c r="M1588" s="6"/>
      <c r="N1588" s="6"/>
      <c r="O1588" s="46" t="str">
        <f aca="false">IF($A1588="","",DATE(YEAR($A1588),MONTH($A1588),1))</f>
        <v/>
      </c>
    </row>
    <row r="1589" customFormat="false" ht="15" hidden="false" customHeight="false" outlineLevel="0" collapsed="false">
      <c r="A1589" s="44"/>
      <c r="B1589" s="6"/>
      <c r="C1589" s="6"/>
      <c r="D1589" s="8" t="str">
        <f aca="false">IF($C1589="","",IFERROR(INDEX(PRODUCTOS!$B$6:$B$105,MATCH($C1589,PRODUCTOS!$A$6:$A$105,0)),"¿Código?"))</f>
        <v/>
      </c>
      <c r="E1589" s="42"/>
      <c r="F1589" s="35" t="str">
        <f aca="false">IF($C1589="","",IFERROR(INDEX(PRODUCTOS!$D$6:$D$105,MATCH($C1589,PRODUCTOS!$A$6:$A$105,0)),0))</f>
        <v/>
      </c>
      <c r="G1589" s="40"/>
      <c r="H1589" s="35" t="str">
        <f aca="false">IF($C1589="","",N($E1589)*$F1589-N($G1589))</f>
        <v/>
      </c>
      <c r="I1589" s="35" t="str">
        <f aca="false">IF($C1589="","",$H1589-$H1589/(1+IFERROR(INDEX(PRODUCTOS!$E$6:$E$105,MATCH($C1589,PRODUCTOS!$A$6:$A$105,0)),IVA_VENTAS)))</f>
        <v/>
      </c>
      <c r="J1589" s="35" t="str">
        <f aca="false">IF($C1589="","",$H1589-$I1589)</f>
        <v/>
      </c>
      <c r="K1589" s="35" t="str">
        <f aca="false">IF($C1589="","",N($E1589)*IFERROR(INDEX(PRODUCTOS!$H$6:$H$105,MATCH($C1589,PRODUCTOS!$A$6:$A$105,0)),0))</f>
        <v/>
      </c>
      <c r="L1589" s="35" t="str">
        <f aca="false">IF($C1589="","",$J1589-$K1589)</f>
        <v/>
      </c>
      <c r="M1589" s="6"/>
      <c r="N1589" s="6"/>
      <c r="O1589" s="46" t="str">
        <f aca="false">IF($A1589="","",DATE(YEAR($A1589),MONTH($A1589),1))</f>
        <v/>
      </c>
    </row>
    <row r="1590" customFormat="false" ht="15" hidden="false" customHeight="false" outlineLevel="0" collapsed="false">
      <c r="A1590" s="44"/>
      <c r="B1590" s="6"/>
      <c r="C1590" s="6"/>
      <c r="D1590" s="8" t="str">
        <f aca="false">IF($C1590="","",IFERROR(INDEX(PRODUCTOS!$B$6:$B$105,MATCH($C1590,PRODUCTOS!$A$6:$A$105,0)),"¿Código?"))</f>
        <v/>
      </c>
      <c r="E1590" s="42"/>
      <c r="F1590" s="35" t="str">
        <f aca="false">IF($C1590="","",IFERROR(INDEX(PRODUCTOS!$D$6:$D$105,MATCH($C1590,PRODUCTOS!$A$6:$A$105,0)),0))</f>
        <v/>
      </c>
      <c r="G1590" s="40"/>
      <c r="H1590" s="35" t="str">
        <f aca="false">IF($C1590="","",N($E1590)*$F1590-N($G1590))</f>
        <v/>
      </c>
      <c r="I1590" s="35" t="str">
        <f aca="false">IF($C1590="","",$H1590-$H1590/(1+IFERROR(INDEX(PRODUCTOS!$E$6:$E$105,MATCH($C1590,PRODUCTOS!$A$6:$A$105,0)),IVA_VENTAS)))</f>
        <v/>
      </c>
      <c r="J1590" s="35" t="str">
        <f aca="false">IF($C1590="","",$H1590-$I1590)</f>
        <v/>
      </c>
      <c r="K1590" s="35" t="str">
        <f aca="false">IF($C1590="","",N($E1590)*IFERROR(INDEX(PRODUCTOS!$H$6:$H$105,MATCH($C1590,PRODUCTOS!$A$6:$A$105,0)),0))</f>
        <v/>
      </c>
      <c r="L1590" s="35" t="str">
        <f aca="false">IF($C1590="","",$J1590-$K1590)</f>
        <v/>
      </c>
      <c r="M1590" s="6"/>
      <c r="N1590" s="6"/>
      <c r="O1590" s="46" t="str">
        <f aca="false">IF($A1590="","",DATE(YEAR($A1590),MONTH($A1590),1))</f>
        <v/>
      </c>
    </row>
    <row r="1591" customFormat="false" ht="15" hidden="false" customHeight="false" outlineLevel="0" collapsed="false">
      <c r="A1591" s="44"/>
      <c r="B1591" s="6"/>
      <c r="C1591" s="6"/>
      <c r="D1591" s="8" t="str">
        <f aca="false">IF($C1591="","",IFERROR(INDEX(PRODUCTOS!$B$6:$B$105,MATCH($C1591,PRODUCTOS!$A$6:$A$105,0)),"¿Código?"))</f>
        <v/>
      </c>
      <c r="E1591" s="42"/>
      <c r="F1591" s="35" t="str">
        <f aca="false">IF($C1591="","",IFERROR(INDEX(PRODUCTOS!$D$6:$D$105,MATCH($C1591,PRODUCTOS!$A$6:$A$105,0)),0))</f>
        <v/>
      </c>
      <c r="G1591" s="40"/>
      <c r="H1591" s="35" t="str">
        <f aca="false">IF($C1591="","",N($E1591)*$F1591-N($G1591))</f>
        <v/>
      </c>
      <c r="I1591" s="35" t="str">
        <f aca="false">IF($C1591="","",$H1591-$H1591/(1+IFERROR(INDEX(PRODUCTOS!$E$6:$E$105,MATCH($C1591,PRODUCTOS!$A$6:$A$105,0)),IVA_VENTAS)))</f>
        <v/>
      </c>
      <c r="J1591" s="35" t="str">
        <f aca="false">IF($C1591="","",$H1591-$I1591)</f>
        <v/>
      </c>
      <c r="K1591" s="35" t="str">
        <f aca="false">IF($C1591="","",N($E1591)*IFERROR(INDEX(PRODUCTOS!$H$6:$H$105,MATCH($C1591,PRODUCTOS!$A$6:$A$105,0)),0))</f>
        <v/>
      </c>
      <c r="L1591" s="35" t="str">
        <f aca="false">IF($C1591="","",$J1591-$K1591)</f>
        <v/>
      </c>
      <c r="M1591" s="6"/>
      <c r="N1591" s="6"/>
      <c r="O1591" s="46" t="str">
        <f aca="false">IF($A1591="","",DATE(YEAR($A1591),MONTH($A1591),1))</f>
        <v/>
      </c>
    </row>
    <row r="1592" customFormat="false" ht="15" hidden="false" customHeight="false" outlineLevel="0" collapsed="false">
      <c r="A1592" s="44"/>
      <c r="B1592" s="6"/>
      <c r="C1592" s="6"/>
      <c r="D1592" s="8" t="str">
        <f aca="false">IF($C1592="","",IFERROR(INDEX(PRODUCTOS!$B$6:$B$105,MATCH($C1592,PRODUCTOS!$A$6:$A$105,0)),"¿Código?"))</f>
        <v/>
      </c>
      <c r="E1592" s="42"/>
      <c r="F1592" s="35" t="str">
        <f aca="false">IF($C1592="","",IFERROR(INDEX(PRODUCTOS!$D$6:$D$105,MATCH($C1592,PRODUCTOS!$A$6:$A$105,0)),0))</f>
        <v/>
      </c>
      <c r="G1592" s="40"/>
      <c r="H1592" s="35" t="str">
        <f aca="false">IF($C1592="","",N($E1592)*$F1592-N($G1592))</f>
        <v/>
      </c>
      <c r="I1592" s="35" t="str">
        <f aca="false">IF($C1592="","",$H1592-$H1592/(1+IFERROR(INDEX(PRODUCTOS!$E$6:$E$105,MATCH($C1592,PRODUCTOS!$A$6:$A$105,0)),IVA_VENTAS)))</f>
        <v/>
      </c>
      <c r="J1592" s="35" t="str">
        <f aca="false">IF($C1592="","",$H1592-$I1592)</f>
        <v/>
      </c>
      <c r="K1592" s="35" t="str">
        <f aca="false">IF($C1592="","",N($E1592)*IFERROR(INDEX(PRODUCTOS!$H$6:$H$105,MATCH($C1592,PRODUCTOS!$A$6:$A$105,0)),0))</f>
        <v/>
      </c>
      <c r="L1592" s="35" t="str">
        <f aca="false">IF($C1592="","",$J1592-$K1592)</f>
        <v/>
      </c>
      <c r="M1592" s="6"/>
      <c r="N1592" s="6"/>
      <c r="O1592" s="46" t="str">
        <f aca="false">IF($A1592="","",DATE(YEAR($A1592),MONTH($A1592),1))</f>
        <v/>
      </c>
    </row>
    <row r="1593" customFormat="false" ht="15" hidden="false" customHeight="false" outlineLevel="0" collapsed="false">
      <c r="A1593" s="44"/>
      <c r="B1593" s="6"/>
      <c r="C1593" s="6"/>
      <c r="D1593" s="8" t="str">
        <f aca="false">IF($C1593="","",IFERROR(INDEX(PRODUCTOS!$B$6:$B$105,MATCH($C1593,PRODUCTOS!$A$6:$A$105,0)),"¿Código?"))</f>
        <v/>
      </c>
      <c r="E1593" s="42"/>
      <c r="F1593" s="35" t="str">
        <f aca="false">IF($C1593="","",IFERROR(INDEX(PRODUCTOS!$D$6:$D$105,MATCH($C1593,PRODUCTOS!$A$6:$A$105,0)),0))</f>
        <v/>
      </c>
      <c r="G1593" s="40"/>
      <c r="H1593" s="35" t="str">
        <f aca="false">IF($C1593="","",N($E1593)*$F1593-N($G1593))</f>
        <v/>
      </c>
      <c r="I1593" s="35" t="str">
        <f aca="false">IF($C1593="","",$H1593-$H1593/(1+IFERROR(INDEX(PRODUCTOS!$E$6:$E$105,MATCH($C1593,PRODUCTOS!$A$6:$A$105,0)),IVA_VENTAS)))</f>
        <v/>
      </c>
      <c r="J1593" s="35" t="str">
        <f aca="false">IF($C1593="","",$H1593-$I1593)</f>
        <v/>
      </c>
      <c r="K1593" s="35" t="str">
        <f aca="false">IF($C1593="","",N($E1593)*IFERROR(INDEX(PRODUCTOS!$H$6:$H$105,MATCH($C1593,PRODUCTOS!$A$6:$A$105,0)),0))</f>
        <v/>
      </c>
      <c r="L1593" s="35" t="str">
        <f aca="false">IF($C1593="","",$J1593-$K1593)</f>
        <v/>
      </c>
      <c r="M1593" s="6"/>
      <c r="N1593" s="6"/>
      <c r="O1593" s="46" t="str">
        <f aca="false">IF($A1593="","",DATE(YEAR($A1593),MONTH($A1593),1))</f>
        <v/>
      </c>
    </row>
    <row r="1594" customFormat="false" ht="15" hidden="false" customHeight="false" outlineLevel="0" collapsed="false">
      <c r="A1594" s="44"/>
      <c r="B1594" s="6"/>
      <c r="C1594" s="6"/>
      <c r="D1594" s="8" t="str">
        <f aca="false">IF($C1594="","",IFERROR(INDEX(PRODUCTOS!$B$6:$B$105,MATCH($C1594,PRODUCTOS!$A$6:$A$105,0)),"¿Código?"))</f>
        <v/>
      </c>
      <c r="E1594" s="42"/>
      <c r="F1594" s="35" t="str">
        <f aca="false">IF($C1594="","",IFERROR(INDEX(PRODUCTOS!$D$6:$D$105,MATCH($C1594,PRODUCTOS!$A$6:$A$105,0)),0))</f>
        <v/>
      </c>
      <c r="G1594" s="40"/>
      <c r="H1594" s="35" t="str">
        <f aca="false">IF($C1594="","",N($E1594)*$F1594-N($G1594))</f>
        <v/>
      </c>
      <c r="I1594" s="35" t="str">
        <f aca="false">IF($C1594="","",$H1594-$H1594/(1+IFERROR(INDEX(PRODUCTOS!$E$6:$E$105,MATCH($C1594,PRODUCTOS!$A$6:$A$105,0)),IVA_VENTAS)))</f>
        <v/>
      </c>
      <c r="J1594" s="35" t="str">
        <f aca="false">IF($C1594="","",$H1594-$I1594)</f>
        <v/>
      </c>
      <c r="K1594" s="35" t="str">
        <f aca="false">IF($C1594="","",N($E1594)*IFERROR(INDEX(PRODUCTOS!$H$6:$H$105,MATCH($C1594,PRODUCTOS!$A$6:$A$105,0)),0))</f>
        <v/>
      </c>
      <c r="L1594" s="35" t="str">
        <f aca="false">IF($C1594="","",$J1594-$K1594)</f>
        <v/>
      </c>
      <c r="M1594" s="6"/>
      <c r="N1594" s="6"/>
      <c r="O1594" s="46" t="str">
        <f aca="false">IF($A1594="","",DATE(YEAR($A1594),MONTH($A1594),1))</f>
        <v/>
      </c>
    </row>
    <row r="1595" customFormat="false" ht="15" hidden="false" customHeight="false" outlineLevel="0" collapsed="false">
      <c r="A1595" s="44"/>
      <c r="B1595" s="6"/>
      <c r="C1595" s="6"/>
      <c r="D1595" s="8" t="str">
        <f aca="false">IF($C1595="","",IFERROR(INDEX(PRODUCTOS!$B$6:$B$105,MATCH($C1595,PRODUCTOS!$A$6:$A$105,0)),"¿Código?"))</f>
        <v/>
      </c>
      <c r="E1595" s="42"/>
      <c r="F1595" s="35" t="str">
        <f aca="false">IF($C1595="","",IFERROR(INDEX(PRODUCTOS!$D$6:$D$105,MATCH($C1595,PRODUCTOS!$A$6:$A$105,0)),0))</f>
        <v/>
      </c>
      <c r="G1595" s="40"/>
      <c r="H1595" s="35" t="str">
        <f aca="false">IF($C1595="","",N($E1595)*$F1595-N($G1595))</f>
        <v/>
      </c>
      <c r="I1595" s="35" t="str">
        <f aca="false">IF($C1595="","",$H1595-$H1595/(1+IFERROR(INDEX(PRODUCTOS!$E$6:$E$105,MATCH($C1595,PRODUCTOS!$A$6:$A$105,0)),IVA_VENTAS)))</f>
        <v/>
      </c>
      <c r="J1595" s="35" t="str">
        <f aca="false">IF($C1595="","",$H1595-$I1595)</f>
        <v/>
      </c>
      <c r="K1595" s="35" t="str">
        <f aca="false">IF($C1595="","",N($E1595)*IFERROR(INDEX(PRODUCTOS!$H$6:$H$105,MATCH($C1595,PRODUCTOS!$A$6:$A$105,0)),0))</f>
        <v/>
      </c>
      <c r="L1595" s="35" t="str">
        <f aca="false">IF($C1595="","",$J1595-$K1595)</f>
        <v/>
      </c>
      <c r="M1595" s="6"/>
      <c r="N1595" s="6"/>
      <c r="O1595" s="46" t="str">
        <f aca="false">IF($A1595="","",DATE(YEAR($A1595),MONTH($A1595),1))</f>
        <v/>
      </c>
    </row>
    <row r="1596" customFormat="false" ht="15" hidden="false" customHeight="false" outlineLevel="0" collapsed="false">
      <c r="A1596" s="44"/>
      <c r="B1596" s="6"/>
      <c r="C1596" s="6"/>
      <c r="D1596" s="8" t="str">
        <f aca="false">IF($C1596="","",IFERROR(INDEX(PRODUCTOS!$B$6:$B$105,MATCH($C1596,PRODUCTOS!$A$6:$A$105,0)),"¿Código?"))</f>
        <v/>
      </c>
      <c r="E1596" s="42"/>
      <c r="F1596" s="35" t="str">
        <f aca="false">IF($C1596="","",IFERROR(INDEX(PRODUCTOS!$D$6:$D$105,MATCH($C1596,PRODUCTOS!$A$6:$A$105,0)),0))</f>
        <v/>
      </c>
      <c r="G1596" s="40"/>
      <c r="H1596" s="35" t="str">
        <f aca="false">IF($C1596="","",N($E1596)*$F1596-N($G1596))</f>
        <v/>
      </c>
      <c r="I1596" s="35" t="str">
        <f aca="false">IF($C1596="","",$H1596-$H1596/(1+IFERROR(INDEX(PRODUCTOS!$E$6:$E$105,MATCH($C1596,PRODUCTOS!$A$6:$A$105,0)),IVA_VENTAS)))</f>
        <v/>
      </c>
      <c r="J1596" s="35" t="str">
        <f aca="false">IF($C1596="","",$H1596-$I1596)</f>
        <v/>
      </c>
      <c r="K1596" s="35" t="str">
        <f aca="false">IF($C1596="","",N($E1596)*IFERROR(INDEX(PRODUCTOS!$H$6:$H$105,MATCH($C1596,PRODUCTOS!$A$6:$A$105,0)),0))</f>
        <v/>
      </c>
      <c r="L1596" s="35" t="str">
        <f aca="false">IF($C1596="","",$J1596-$K1596)</f>
        <v/>
      </c>
      <c r="M1596" s="6"/>
      <c r="N1596" s="6"/>
      <c r="O1596" s="46" t="str">
        <f aca="false">IF($A1596="","",DATE(YEAR($A1596),MONTH($A1596),1))</f>
        <v/>
      </c>
    </row>
    <row r="1597" customFormat="false" ht="15" hidden="false" customHeight="false" outlineLevel="0" collapsed="false">
      <c r="A1597" s="44"/>
      <c r="B1597" s="6"/>
      <c r="C1597" s="6"/>
      <c r="D1597" s="8" t="str">
        <f aca="false">IF($C1597="","",IFERROR(INDEX(PRODUCTOS!$B$6:$B$105,MATCH($C1597,PRODUCTOS!$A$6:$A$105,0)),"¿Código?"))</f>
        <v/>
      </c>
      <c r="E1597" s="42"/>
      <c r="F1597" s="35" t="str">
        <f aca="false">IF($C1597="","",IFERROR(INDEX(PRODUCTOS!$D$6:$D$105,MATCH($C1597,PRODUCTOS!$A$6:$A$105,0)),0))</f>
        <v/>
      </c>
      <c r="G1597" s="40"/>
      <c r="H1597" s="35" t="str">
        <f aca="false">IF($C1597="","",N($E1597)*$F1597-N($G1597))</f>
        <v/>
      </c>
      <c r="I1597" s="35" t="str">
        <f aca="false">IF($C1597="","",$H1597-$H1597/(1+IFERROR(INDEX(PRODUCTOS!$E$6:$E$105,MATCH($C1597,PRODUCTOS!$A$6:$A$105,0)),IVA_VENTAS)))</f>
        <v/>
      </c>
      <c r="J1597" s="35" t="str">
        <f aca="false">IF($C1597="","",$H1597-$I1597)</f>
        <v/>
      </c>
      <c r="K1597" s="35" t="str">
        <f aca="false">IF($C1597="","",N($E1597)*IFERROR(INDEX(PRODUCTOS!$H$6:$H$105,MATCH($C1597,PRODUCTOS!$A$6:$A$105,0)),0))</f>
        <v/>
      </c>
      <c r="L1597" s="35" t="str">
        <f aca="false">IF($C1597="","",$J1597-$K1597)</f>
        <v/>
      </c>
      <c r="M1597" s="6"/>
      <c r="N1597" s="6"/>
      <c r="O1597" s="46" t="str">
        <f aca="false">IF($A1597="","",DATE(YEAR($A1597),MONTH($A1597),1))</f>
        <v/>
      </c>
    </row>
    <row r="1598" customFormat="false" ht="15" hidden="false" customHeight="false" outlineLevel="0" collapsed="false">
      <c r="A1598" s="44"/>
      <c r="B1598" s="6"/>
      <c r="C1598" s="6"/>
      <c r="D1598" s="8" t="str">
        <f aca="false">IF($C1598="","",IFERROR(INDEX(PRODUCTOS!$B$6:$B$105,MATCH($C1598,PRODUCTOS!$A$6:$A$105,0)),"¿Código?"))</f>
        <v/>
      </c>
      <c r="E1598" s="42"/>
      <c r="F1598" s="35" t="str">
        <f aca="false">IF($C1598="","",IFERROR(INDEX(PRODUCTOS!$D$6:$D$105,MATCH($C1598,PRODUCTOS!$A$6:$A$105,0)),0))</f>
        <v/>
      </c>
      <c r="G1598" s="40"/>
      <c r="H1598" s="35" t="str">
        <f aca="false">IF($C1598="","",N($E1598)*$F1598-N($G1598))</f>
        <v/>
      </c>
      <c r="I1598" s="35" t="str">
        <f aca="false">IF($C1598="","",$H1598-$H1598/(1+IFERROR(INDEX(PRODUCTOS!$E$6:$E$105,MATCH($C1598,PRODUCTOS!$A$6:$A$105,0)),IVA_VENTAS)))</f>
        <v/>
      </c>
      <c r="J1598" s="35" t="str">
        <f aca="false">IF($C1598="","",$H1598-$I1598)</f>
        <v/>
      </c>
      <c r="K1598" s="35" t="str">
        <f aca="false">IF($C1598="","",N($E1598)*IFERROR(INDEX(PRODUCTOS!$H$6:$H$105,MATCH($C1598,PRODUCTOS!$A$6:$A$105,0)),0))</f>
        <v/>
      </c>
      <c r="L1598" s="35" t="str">
        <f aca="false">IF($C1598="","",$J1598-$K1598)</f>
        <v/>
      </c>
      <c r="M1598" s="6"/>
      <c r="N1598" s="6"/>
      <c r="O1598" s="46" t="str">
        <f aca="false">IF($A1598="","",DATE(YEAR($A1598),MONTH($A1598),1))</f>
        <v/>
      </c>
    </row>
    <row r="1599" customFormat="false" ht="15" hidden="false" customHeight="false" outlineLevel="0" collapsed="false">
      <c r="A1599" s="44"/>
      <c r="B1599" s="6"/>
      <c r="C1599" s="6"/>
      <c r="D1599" s="8" t="str">
        <f aca="false">IF($C1599="","",IFERROR(INDEX(PRODUCTOS!$B$6:$B$105,MATCH($C1599,PRODUCTOS!$A$6:$A$105,0)),"¿Código?"))</f>
        <v/>
      </c>
      <c r="E1599" s="42"/>
      <c r="F1599" s="35" t="str">
        <f aca="false">IF($C1599="","",IFERROR(INDEX(PRODUCTOS!$D$6:$D$105,MATCH($C1599,PRODUCTOS!$A$6:$A$105,0)),0))</f>
        <v/>
      </c>
      <c r="G1599" s="40"/>
      <c r="H1599" s="35" t="str">
        <f aca="false">IF($C1599="","",N($E1599)*$F1599-N($G1599))</f>
        <v/>
      </c>
      <c r="I1599" s="35" t="str">
        <f aca="false">IF($C1599="","",$H1599-$H1599/(1+IFERROR(INDEX(PRODUCTOS!$E$6:$E$105,MATCH($C1599,PRODUCTOS!$A$6:$A$105,0)),IVA_VENTAS)))</f>
        <v/>
      </c>
      <c r="J1599" s="35" t="str">
        <f aca="false">IF($C1599="","",$H1599-$I1599)</f>
        <v/>
      </c>
      <c r="K1599" s="35" t="str">
        <f aca="false">IF($C1599="","",N($E1599)*IFERROR(INDEX(PRODUCTOS!$H$6:$H$105,MATCH($C1599,PRODUCTOS!$A$6:$A$105,0)),0))</f>
        <v/>
      </c>
      <c r="L1599" s="35" t="str">
        <f aca="false">IF($C1599="","",$J1599-$K1599)</f>
        <v/>
      </c>
      <c r="M1599" s="6"/>
      <c r="N1599" s="6"/>
      <c r="O1599" s="46" t="str">
        <f aca="false">IF($A1599="","",DATE(YEAR($A1599),MONTH($A1599),1))</f>
        <v/>
      </c>
    </row>
    <row r="1600" customFormat="false" ht="15" hidden="false" customHeight="false" outlineLevel="0" collapsed="false">
      <c r="A1600" s="44"/>
      <c r="B1600" s="6"/>
      <c r="C1600" s="6"/>
      <c r="D1600" s="8" t="str">
        <f aca="false">IF($C1600="","",IFERROR(INDEX(PRODUCTOS!$B$6:$B$105,MATCH($C1600,PRODUCTOS!$A$6:$A$105,0)),"¿Código?"))</f>
        <v/>
      </c>
      <c r="E1600" s="42"/>
      <c r="F1600" s="35" t="str">
        <f aca="false">IF($C1600="","",IFERROR(INDEX(PRODUCTOS!$D$6:$D$105,MATCH($C1600,PRODUCTOS!$A$6:$A$105,0)),0))</f>
        <v/>
      </c>
      <c r="G1600" s="40"/>
      <c r="H1600" s="35" t="str">
        <f aca="false">IF($C1600="","",N($E1600)*$F1600-N($G1600))</f>
        <v/>
      </c>
      <c r="I1600" s="35" t="str">
        <f aca="false">IF($C1600="","",$H1600-$H1600/(1+IFERROR(INDEX(PRODUCTOS!$E$6:$E$105,MATCH($C1600,PRODUCTOS!$A$6:$A$105,0)),IVA_VENTAS)))</f>
        <v/>
      </c>
      <c r="J1600" s="35" t="str">
        <f aca="false">IF($C1600="","",$H1600-$I1600)</f>
        <v/>
      </c>
      <c r="K1600" s="35" t="str">
        <f aca="false">IF($C1600="","",N($E1600)*IFERROR(INDEX(PRODUCTOS!$H$6:$H$105,MATCH($C1600,PRODUCTOS!$A$6:$A$105,0)),0))</f>
        <v/>
      </c>
      <c r="L1600" s="35" t="str">
        <f aca="false">IF($C1600="","",$J1600-$K1600)</f>
        <v/>
      </c>
      <c r="M1600" s="6"/>
      <c r="N1600" s="6"/>
      <c r="O1600" s="46" t="str">
        <f aca="false">IF($A1600="","",DATE(YEAR($A1600),MONTH($A1600),1))</f>
        <v/>
      </c>
    </row>
    <row r="1601" customFormat="false" ht="15" hidden="false" customHeight="false" outlineLevel="0" collapsed="false">
      <c r="A1601" s="44"/>
      <c r="B1601" s="6"/>
      <c r="C1601" s="6"/>
      <c r="D1601" s="8" t="str">
        <f aca="false">IF($C1601="","",IFERROR(INDEX(PRODUCTOS!$B$6:$B$105,MATCH($C1601,PRODUCTOS!$A$6:$A$105,0)),"¿Código?"))</f>
        <v/>
      </c>
      <c r="E1601" s="42"/>
      <c r="F1601" s="35" t="str">
        <f aca="false">IF($C1601="","",IFERROR(INDEX(PRODUCTOS!$D$6:$D$105,MATCH($C1601,PRODUCTOS!$A$6:$A$105,0)),0))</f>
        <v/>
      </c>
      <c r="G1601" s="40"/>
      <c r="H1601" s="35" t="str">
        <f aca="false">IF($C1601="","",N($E1601)*$F1601-N($G1601))</f>
        <v/>
      </c>
      <c r="I1601" s="35" t="str">
        <f aca="false">IF($C1601="","",$H1601-$H1601/(1+IFERROR(INDEX(PRODUCTOS!$E$6:$E$105,MATCH($C1601,PRODUCTOS!$A$6:$A$105,0)),IVA_VENTAS)))</f>
        <v/>
      </c>
      <c r="J1601" s="35" t="str">
        <f aca="false">IF($C1601="","",$H1601-$I1601)</f>
        <v/>
      </c>
      <c r="K1601" s="35" t="str">
        <f aca="false">IF($C1601="","",N($E1601)*IFERROR(INDEX(PRODUCTOS!$H$6:$H$105,MATCH($C1601,PRODUCTOS!$A$6:$A$105,0)),0))</f>
        <v/>
      </c>
      <c r="L1601" s="35" t="str">
        <f aca="false">IF($C1601="","",$J1601-$K1601)</f>
        <v/>
      </c>
      <c r="M1601" s="6"/>
      <c r="N1601" s="6"/>
      <c r="O1601" s="46" t="str">
        <f aca="false">IF($A1601="","",DATE(YEAR($A1601),MONTH($A1601),1))</f>
        <v/>
      </c>
    </row>
    <row r="1602" customFormat="false" ht="15" hidden="false" customHeight="false" outlineLevel="0" collapsed="false">
      <c r="A1602" s="44"/>
      <c r="B1602" s="6"/>
      <c r="C1602" s="6"/>
      <c r="D1602" s="8" t="str">
        <f aca="false">IF($C1602="","",IFERROR(INDEX(PRODUCTOS!$B$6:$B$105,MATCH($C1602,PRODUCTOS!$A$6:$A$105,0)),"¿Código?"))</f>
        <v/>
      </c>
      <c r="E1602" s="42"/>
      <c r="F1602" s="35" t="str">
        <f aca="false">IF($C1602="","",IFERROR(INDEX(PRODUCTOS!$D$6:$D$105,MATCH($C1602,PRODUCTOS!$A$6:$A$105,0)),0))</f>
        <v/>
      </c>
      <c r="G1602" s="40"/>
      <c r="H1602" s="35" t="str">
        <f aca="false">IF($C1602="","",N($E1602)*$F1602-N($G1602))</f>
        <v/>
      </c>
      <c r="I1602" s="35" t="str">
        <f aca="false">IF($C1602="","",$H1602-$H1602/(1+IFERROR(INDEX(PRODUCTOS!$E$6:$E$105,MATCH($C1602,PRODUCTOS!$A$6:$A$105,0)),IVA_VENTAS)))</f>
        <v/>
      </c>
      <c r="J1602" s="35" t="str">
        <f aca="false">IF($C1602="","",$H1602-$I1602)</f>
        <v/>
      </c>
      <c r="K1602" s="35" t="str">
        <f aca="false">IF($C1602="","",N($E1602)*IFERROR(INDEX(PRODUCTOS!$H$6:$H$105,MATCH($C1602,PRODUCTOS!$A$6:$A$105,0)),0))</f>
        <v/>
      </c>
      <c r="L1602" s="35" t="str">
        <f aca="false">IF($C1602="","",$J1602-$K1602)</f>
        <v/>
      </c>
      <c r="M1602" s="6"/>
      <c r="N1602" s="6"/>
      <c r="O1602" s="46" t="str">
        <f aca="false">IF($A1602="","",DATE(YEAR($A1602),MONTH($A1602),1))</f>
        <v/>
      </c>
    </row>
    <row r="1603" customFormat="false" ht="15" hidden="false" customHeight="false" outlineLevel="0" collapsed="false">
      <c r="A1603" s="44"/>
      <c r="B1603" s="6"/>
      <c r="C1603" s="6"/>
      <c r="D1603" s="8" t="str">
        <f aca="false">IF($C1603="","",IFERROR(INDEX(PRODUCTOS!$B$6:$B$105,MATCH($C1603,PRODUCTOS!$A$6:$A$105,0)),"¿Código?"))</f>
        <v/>
      </c>
      <c r="E1603" s="42"/>
      <c r="F1603" s="35" t="str">
        <f aca="false">IF($C1603="","",IFERROR(INDEX(PRODUCTOS!$D$6:$D$105,MATCH($C1603,PRODUCTOS!$A$6:$A$105,0)),0))</f>
        <v/>
      </c>
      <c r="G1603" s="40"/>
      <c r="H1603" s="35" t="str">
        <f aca="false">IF($C1603="","",N($E1603)*$F1603-N($G1603))</f>
        <v/>
      </c>
      <c r="I1603" s="35" t="str">
        <f aca="false">IF($C1603="","",$H1603-$H1603/(1+IFERROR(INDEX(PRODUCTOS!$E$6:$E$105,MATCH($C1603,PRODUCTOS!$A$6:$A$105,0)),IVA_VENTAS)))</f>
        <v/>
      </c>
      <c r="J1603" s="35" t="str">
        <f aca="false">IF($C1603="","",$H1603-$I1603)</f>
        <v/>
      </c>
      <c r="K1603" s="35" t="str">
        <f aca="false">IF($C1603="","",N($E1603)*IFERROR(INDEX(PRODUCTOS!$H$6:$H$105,MATCH($C1603,PRODUCTOS!$A$6:$A$105,0)),0))</f>
        <v/>
      </c>
      <c r="L1603" s="35" t="str">
        <f aca="false">IF($C1603="","",$J1603-$K1603)</f>
        <v/>
      </c>
      <c r="M1603" s="6"/>
      <c r="N1603" s="6"/>
      <c r="O1603" s="46" t="str">
        <f aca="false">IF($A1603="","",DATE(YEAR($A1603),MONTH($A1603),1))</f>
        <v/>
      </c>
    </row>
    <row r="1604" customFormat="false" ht="15" hidden="false" customHeight="false" outlineLevel="0" collapsed="false">
      <c r="A1604" s="44"/>
      <c r="B1604" s="6"/>
      <c r="C1604" s="6"/>
      <c r="D1604" s="8" t="str">
        <f aca="false">IF($C1604="","",IFERROR(INDEX(PRODUCTOS!$B$6:$B$105,MATCH($C1604,PRODUCTOS!$A$6:$A$105,0)),"¿Código?"))</f>
        <v/>
      </c>
      <c r="E1604" s="42"/>
      <c r="F1604" s="35" t="str">
        <f aca="false">IF($C1604="","",IFERROR(INDEX(PRODUCTOS!$D$6:$D$105,MATCH($C1604,PRODUCTOS!$A$6:$A$105,0)),0))</f>
        <v/>
      </c>
      <c r="G1604" s="40"/>
      <c r="H1604" s="35" t="str">
        <f aca="false">IF($C1604="","",N($E1604)*$F1604-N($G1604))</f>
        <v/>
      </c>
      <c r="I1604" s="35" t="str">
        <f aca="false">IF($C1604="","",$H1604-$H1604/(1+IFERROR(INDEX(PRODUCTOS!$E$6:$E$105,MATCH($C1604,PRODUCTOS!$A$6:$A$105,0)),IVA_VENTAS)))</f>
        <v/>
      </c>
      <c r="J1604" s="35" t="str">
        <f aca="false">IF($C1604="","",$H1604-$I1604)</f>
        <v/>
      </c>
      <c r="K1604" s="35" t="str">
        <f aca="false">IF($C1604="","",N($E1604)*IFERROR(INDEX(PRODUCTOS!$H$6:$H$105,MATCH($C1604,PRODUCTOS!$A$6:$A$105,0)),0))</f>
        <v/>
      </c>
      <c r="L1604" s="35" t="str">
        <f aca="false">IF($C1604="","",$J1604-$K1604)</f>
        <v/>
      </c>
      <c r="M1604" s="6"/>
      <c r="N1604" s="6"/>
      <c r="O1604" s="46" t="str">
        <f aca="false">IF($A1604="","",DATE(YEAR($A1604),MONTH($A1604),1))</f>
        <v/>
      </c>
    </row>
    <row r="1605" customFormat="false" ht="15" hidden="false" customHeight="false" outlineLevel="0" collapsed="false">
      <c r="A1605" s="44"/>
      <c r="B1605" s="6"/>
      <c r="C1605" s="6"/>
      <c r="D1605" s="8" t="str">
        <f aca="false">IF($C1605="","",IFERROR(INDEX(PRODUCTOS!$B$6:$B$105,MATCH($C1605,PRODUCTOS!$A$6:$A$105,0)),"¿Código?"))</f>
        <v/>
      </c>
      <c r="E1605" s="42"/>
      <c r="F1605" s="35" t="str">
        <f aca="false">IF($C1605="","",IFERROR(INDEX(PRODUCTOS!$D$6:$D$105,MATCH($C1605,PRODUCTOS!$A$6:$A$105,0)),0))</f>
        <v/>
      </c>
      <c r="G1605" s="40"/>
      <c r="H1605" s="35" t="str">
        <f aca="false">IF($C1605="","",N($E1605)*$F1605-N($G1605))</f>
        <v/>
      </c>
      <c r="I1605" s="35" t="str">
        <f aca="false">IF($C1605="","",$H1605-$H1605/(1+IFERROR(INDEX(PRODUCTOS!$E$6:$E$105,MATCH($C1605,PRODUCTOS!$A$6:$A$105,0)),IVA_VENTAS)))</f>
        <v/>
      </c>
      <c r="J1605" s="35" t="str">
        <f aca="false">IF($C1605="","",$H1605-$I1605)</f>
        <v/>
      </c>
      <c r="K1605" s="35" t="str">
        <f aca="false">IF($C1605="","",N($E1605)*IFERROR(INDEX(PRODUCTOS!$H$6:$H$105,MATCH($C1605,PRODUCTOS!$A$6:$A$105,0)),0))</f>
        <v/>
      </c>
      <c r="L1605" s="35" t="str">
        <f aca="false">IF($C1605="","",$J1605-$K1605)</f>
        <v/>
      </c>
      <c r="M1605" s="6"/>
      <c r="N1605" s="6"/>
      <c r="O1605" s="46" t="str">
        <f aca="false">IF($A1605="","",DATE(YEAR($A1605),MONTH($A1605),1))</f>
        <v/>
      </c>
    </row>
    <row r="1606" customFormat="false" ht="15" hidden="false" customHeight="false" outlineLevel="0" collapsed="false">
      <c r="A1606" s="44"/>
      <c r="B1606" s="6"/>
      <c r="C1606" s="6"/>
      <c r="D1606" s="8" t="str">
        <f aca="false">IF($C1606="","",IFERROR(INDEX(PRODUCTOS!$B$6:$B$105,MATCH($C1606,PRODUCTOS!$A$6:$A$105,0)),"¿Código?"))</f>
        <v/>
      </c>
      <c r="E1606" s="42"/>
      <c r="F1606" s="35" t="str">
        <f aca="false">IF($C1606="","",IFERROR(INDEX(PRODUCTOS!$D$6:$D$105,MATCH($C1606,PRODUCTOS!$A$6:$A$105,0)),0))</f>
        <v/>
      </c>
      <c r="G1606" s="40"/>
      <c r="H1606" s="35" t="str">
        <f aca="false">IF($C1606="","",N($E1606)*$F1606-N($G1606))</f>
        <v/>
      </c>
      <c r="I1606" s="35" t="str">
        <f aca="false">IF($C1606="","",$H1606-$H1606/(1+IFERROR(INDEX(PRODUCTOS!$E$6:$E$105,MATCH($C1606,PRODUCTOS!$A$6:$A$105,0)),IVA_VENTAS)))</f>
        <v/>
      </c>
      <c r="J1606" s="35" t="str">
        <f aca="false">IF($C1606="","",$H1606-$I1606)</f>
        <v/>
      </c>
      <c r="K1606" s="35" t="str">
        <f aca="false">IF($C1606="","",N($E1606)*IFERROR(INDEX(PRODUCTOS!$H$6:$H$105,MATCH($C1606,PRODUCTOS!$A$6:$A$105,0)),0))</f>
        <v/>
      </c>
      <c r="L1606" s="35" t="str">
        <f aca="false">IF($C1606="","",$J1606-$K1606)</f>
        <v/>
      </c>
      <c r="M1606" s="6"/>
      <c r="N1606" s="6"/>
      <c r="O1606" s="46" t="str">
        <f aca="false">IF($A1606="","",DATE(YEAR($A1606),MONTH($A1606),1))</f>
        <v/>
      </c>
    </row>
    <row r="1607" customFormat="false" ht="15" hidden="false" customHeight="false" outlineLevel="0" collapsed="false">
      <c r="A1607" s="44"/>
      <c r="B1607" s="6"/>
      <c r="C1607" s="6"/>
      <c r="D1607" s="8" t="str">
        <f aca="false">IF($C1607="","",IFERROR(INDEX(PRODUCTOS!$B$6:$B$105,MATCH($C1607,PRODUCTOS!$A$6:$A$105,0)),"¿Código?"))</f>
        <v/>
      </c>
      <c r="E1607" s="42"/>
      <c r="F1607" s="35" t="str">
        <f aca="false">IF($C1607="","",IFERROR(INDEX(PRODUCTOS!$D$6:$D$105,MATCH($C1607,PRODUCTOS!$A$6:$A$105,0)),0))</f>
        <v/>
      </c>
      <c r="G1607" s="40"/>
      <c r="H1607" s="35" t="str">
        <f aca="false">IF($C1607="","",N($E1607)*$F1607-N($G1607))</f>
        <v/>
      </c>
      <c r="I1607" s="35" t="str">
        <f aca="false">IF($C1607="","",$H1607-$H1607/(1+IFERROR(INDEX(PRODUCTOS!$E$6:$E$105,MATCH($C1607,PRODUCTOS!$A$6:$A$105,0)),IVA_VENTAS)))</f>
        <v/>
      </c>
      <c r="J1607" s="35" t="str">
        <f aca="false">IF($C1607="","",$H1607-$I1607)</f>
        <v/>
      </c>
      <c r="K1607" s="35" t="str">
        <f aca="false">IF($C1607="","",N($E1607)*IFERROR(INDEX(PRODUCTOS!$H$6:$H$105,MATCH($C1607,PRODUCTOS!$A$6:$A$105,0)),0))</f>
        <v/>
      </c>
      <c r="L1607" s="35" t="str">
        <f aca="false">IF($C1607="","",$J1607-$K1607)</f>
        <v/>
      </c>
      <c r="M1607" s="6"/>
      <c r="N1607" s="6"/>
      <c r="O1607" s="46" t="str">
        <f aca="false">IF($A1607="","",DATE(YEAR($A1607),MONTH($A1607),1))</f>
        <v/>
      </c>
    </row>
    <row r="1608" customFormat="false" ht="15" hidden="false" customHeight="false" outlineLevel="0" collapsed="false">
      <c r="A1608" s="44"/>
      <c r="B1608" s="6"/>
      <c r="C1608" s="6"/>
      <c r="D1608" s="8" t="str">
        <f aca="false">IF($C1608="","",IFERROR(INDEX(PRODUCTOS!$B$6:$B$105,MATCH($C1608,PRODUCTOS!$A$6:$A$105,0)),"¿Código?"))</f>
        <v/>
      </c>
      <c r="E1608" s="42"/>
      <c r="F1608" s="35" t="str">
        <f aca="false">IF($C1608="","",IFERROR(INDEX(PRODUCTOS!$D$6:$D$105,MATCH($C1608,PRODUCTOS!$A$6:$A$105,0)),0))</f>
        <v/>
      </c>
      <c r="G1608" s="40"/>
      <c r="H1608" s="35" t="str">
        <f aca="false">IF($C1608="","",N($E1608)*$F1608-N($G1608))</f>
        <v/>
      </c>
      <c r="I1608" s="35" t="str">
        <f aca="false">IF($C1608="","",$H1608-$H1608/(1+IFERROR(INDEX(PRODUCTOS!$E$6:$E$105,MATCH($C1608,PRODUCTOS!$A$6:$A$105,0)),IVA_VENTAS)))</f>
        <v/>
      </c>
      <c r="J1608" s="35" t="str">
        <f aca="false">IF($C1608="","",$H1608-$I1608)</f>
        <v/>
      </c>
      <c r="K1608" s="35" t="str">
        <f aca="false">IF($C1608="","",N($E1608)*IFERROR(INDEX(PRODUCTOS!$H$6:$H$105,MATCH($C1608,PRODUCTOS!$A$6:$A$105,0)),0))</f>
        <v/>
      </c>
      <c r="L1608" s="35" t="str">
        <f aca="false">IF($C1608="","",$J1608-$K1608)</f>
        <v/>
      </c>
      <c r="M1608" s="6"/>
      <c r="N1608" s="6"/>
      <c r="O1608" s="46" t="str">
        <f aca="false">IF($A1608="","",DATE(YEAR($A1608),MONTH($A1608),1))</f>
        <v/>
      </c>
    </row>
    <row r="1609" customFormat="false" ht="15" hidden="false" customHeight="false" outlineLevel="0" collapsed="false">
      <c r="A1609" s="44"/>
      <c r="B1609" s="6"/>
      <c r="C1609" s="6"/>
      <c r="D1609" s="8" t="str">
        <f aca="false">IF($C1609="","",IFERROR(INDEX(PRODUCTOS!$B$6:$B$105,MATCH($C1609,PRODUCTOS!$A$6:$A$105,0)),"¿Código?"))</f>
        <v/>
      </c>
      <c r="E1609" s="42"/>
      <c r="F1609" s="35" t="str">
        <f aca="false">IF($C1609="","",IFERROR(INDEX(PRODUCTOS!$D$6:$D$105,MATCH($C1609,PRODUCTOS!$A$6:$A$105,0)),0))</f>
        <v/>
      </c>
      <c r="G1609" s="40"/>
      <c r="H1609" s="35" t="str">
        <f aca="false">IF($C1609="","",N($E1609)*$F1609-N($G1609))</f>
        <v/>
      </c>
      <c r="I1609" s="35" t="str">
        <f aca="false">IF($C1609="","",$H1609-$H1609/(1+IFERROR(INDEX(PRODUCTOS!$E$6:$E$105,MATCH($C1609,PRODUCTOS!$A$6:$A$105,0)),IVA_VENTAS)))</f>
        <v/>
      </c>
      <c r="J1609" s="35" t="str">
        <f aca="false">IF($C1609="","",$H1609-$I1609)</f>
        <v/>
      </c>
      <c r="K1609" s="35" t="str">
        <f aca="false">IF($C1609="","",N($E1609)*IFERROR(INDEX(PRODUCTOS!$H$6:$H$105,MATCH($C1609,PRODUCTOS!$A$6:$A$105,0)),0))</f>
        <v/>
      </c>
      <c r="L1609" s="35" t="str">
        <f aca="false">IF($C1609="","",$J1609-$K1609)</f>
        <v/>
      </c>
      <c r="M1609" s="6"/>
      <c r="N1609" s="6"/>
      <c r="O1609" s="46" t="str">
        <f aca="false">IF($A1609="","",DATE(YEAR($A1609),MONTH($A1609),1))</f>
        <v/>
      </c>
    </row>
    <row r="1610" customFormat="false" ht="15" hidden="false" customHeight="false" outlineLevel="0" collapsed="false">
      <c r="A1610" s="44"/>
      <c r="B1610" s="6"/>
      <c r="C1610" s="6"/>
      <c r="D1610" s="8" t="str">
        <f aca="false">IF($C1610="","",IFERROR(INDEX(PRODUCTOS!$B$6:$B$105,MATCH($C1610,PRODUCTOS!$A$6:$A$105,0)),"¿Código?"))</f>
        <v/>
      </c>
      <c r="E1610" s="42"/>
      <c r="F1610" s="35" t="str">
        <f aca="false">IF($C1610="","",IFERROR(INDEX(PRODUCTOS!$D$6:$D$105,MATCH($C1610,PRODUCTOS!$A$6:$A$105,0)),0))</f>
        <v/>
      </c>
      <c r="G1610" s="40"/>
      <c r="H1610" s="35" t="str">
        <f aca="false">IF($C1610="","",N($E1610)*$F1610-N($G1610))</f>
        <v/>
      </c>
      <c r="I1610" s="35" t="str">
        <f aca="false">IF($C1610="","",$H1610-$H1610/(1+IFERROR(INDEX(PRODUCTOS!$E$6:$E$105,MATCH($C1610,PRODUCTOS!$A$6:$A$105,0)),IVA_VENTAS)))</f>
        <v/>
      </c>
      <c r="J1610" s="35" t="str">
        <f aca="false">IF($C1610="","",$H1610-$I1610)</f>
        <v/>
      </c>
      <c r="K1610" s="35" t="str">
        <f aca="false">IF($C1610="","",N($E1610)*IFERROR(INDEX(PRODUCTOS!$H$6:$H$105,MATCH($C1610,PRODUCTOS!$A$6:$A$105,0)),0))</f>
        <v/>
      </c>
      <c r="L1610" s="35" t="str">
        <f aca="false">IF($C1610="","",$J1610-$K1610)</f>
        <v/>
      </c>
      <c r="M1610" s="6"/>
      <c r="N1610" s="6"/>
      <c r="O1610" s="46" t="str">
        <f aca="false">IF($A1610="","",DATE(YEAR($A1610),MONTH($A1610),1))</f>
        <v/>
      </c>
    </row>
    <row r="1611" customFormat="false" ht="15" hidden="false" customHeight="false" outlineLevel="0" collapsed="false">
      <c r="A1611" s="44"/>
      <c r="B1611" s="6"/>
      <c r="C1611" s="6"/>
      <c r="D1611" s="8" t="str">
        <f aca="false">IF($C1611="","",IFERROR(INDEX(PRODUCTOS!$B$6:$B$105,MATCH($C1611,PRODUCTOS!$A$6:$A$105,0)),"¿Código?"))</f>
        <v/>
      </c>
      <c r="E1611" s="42"/>
      <c r="F1611" s="35" t="str">
        <f aca="false">IF($C1611="","",IFERROR(INDEX(PRODUCTOS!$D$6:$D$105,MATCH($C1611,PRODUCTOS!$A$6:$A$105,0)),0))</f>
        <v/>
      </c>
      <c r="G1611" s="40"/>
      <c r="H1611" s="35" t="str">
        <f aca="false">IF($C1611="","",N($E1611)*$F1611-N($G1611))</f>
        <v/>
      </c>
      <c r="I1611" s="35" t="str">
        <f aca="false">IF($C1611="","",$H1611-$H1611/(1+IFERROR(INDEX(PRODUCTOS!$E$6:$E$105,MATCH($C1611,PRODUCTOS!$A$6:$A$105,0)),IVA_VENTAS)))</f>
        <v/>
      </c>
      <c r="J1611" s="35" t="str">
        <f aca="false">IF($C1611="","",$H1611-$I1611)</f>
        <v/>
      </c>
      <c r="K1611" s="35" t="str">
        <f aca="false">IF($C1611="","",N($E1611)*IFERROR(INDEX(PRODUCTOS!$H$6:$H$105,MATCH($C1611,PRODUCTOS!$A$6:$A$105,0)),0))</f>
        <v/>
      </c>
      <c r="L1611" s="35" t="str">
        <f aca="false">IF($C1611="","",$J1611-$K1611)</f>
        <v/>
      </c>
      <c r="M1611" s="6"/>
      <c r="N1611" s="6"/>
      <c r="O1611" s="46" t="str">
        <f aca="false">IF($A1611="","",DATE(YEAR($A1611),MONTH($A1611),1))</f>
        <v/>
      </c>
    </row>
    <row r="1612" customFormat="false" ht="15" hidden="false" customHeight="false" outlineLevel="0" collapsed="false">
      <c r="A1612" s="44"/>
      <c r="B1612" s="6"/>
      <c r="C1612" s="6"/>
      <c r="D1612" s="8" t="str">
        <f aca="false">IF($C1612="","",IFERROR(INDEX(PRODUCTOS!$B$6:$B$105,MATCH($C1612,PRODUCTOS!$A$6:$A$105,0)),"¿Código?"))</f>
        <v/>
      </c>
      <c r="E1612" s="42"/>
      <c r="F1612" s="35" t="str">
        <f aca="false">IF($C1612="","",IFERROR(INDEX(PRODUCTOS!$D$6:$D$105,MATCH($C1612,PRODUCTOS!$A$6:$A$105,0)),0))</f>
        <v/>
      </c>
      <c r="G1612" s="40"/>
      <c r="H1612" s="35" t="str">
        <f aca="false">IF($C1612="","",N($E1612)*$F1612-N($G1612))</f>
        <v/>
      </c>
      <c r="I1612" s="35" t="str">
        <f aca="false">IF($C1612="","",$H1612-$H1612/(1+IFERROR(INDEX(PRODUCTOS!$E$6:$E$105,MATCH($C1612,PRODUCTOS!$A$6:$A$105,0)),IVA_VENTAS)))</f>
        <v/>
      </c>
      <c r="J1612" s="35" t="str">
        <f aca="false">IF($C1612="","",$H1612-$I1612)</f>
        <v/>
      </c>
      <c r="K1612" s="35" t="str">
        <f aca="false">IF($C1612="","",N($E1612)*IFERROR(INDEX(PRODUCTOS!$H$6:$H$105,MATCH($C1612,PRODUCTOS!$A$6:$A$105,0)),0))</f>
        <v/>
      </c>
      <c r="L1612" s="35" t="str">
        <f aca="false">IF($C1612="","",$J1612-$K1612)</f>
        <v/>
      </c>
      <c r="M1612" s="6"/>
      <c r="N1612" s="6"/>
      <c r="O1612" s="46" t="str">
        <f aca="false">IF($A1612="","",DATE(YEAR($A1612),MONTH($A1612),1))</f>
        <v/>
      </c>
    </row>
    <row r="1613" customFormat="false" ht="15" hidden="false" customHeight="false" outlineLevel="0" collapsed="false">
      <c r="A1613" s="44"/>
      <c r="B1613" s="6"/>
      <c r="C1613" s="6"/>
      <c r="D1613" s="8" t="str">
        <f aca="false">IF($C1613="","",IFERROR(INDEX(PRODUCTOS!$B$6:$B$105,MATCH($C1613,PRODUCTOS!$A$6:$A$105,0)),"¿Código?"))</f>
        <v/>
      </c>
      <c r="E1613" s="42"/>
      <c r="F1613" s="35" t="str">
        <f aca="false">IF($C1613="","",IFERROR(INDEX(PRODUCTOS!$D$6:$D$105,MATCH($C1613,PRODUCTOS!$A$6:$A$105,0)),0))</f>
        <v/>
      </c>
      <c r="G1613" s="40"/>
      <c r="H1613" s="35" t="str">
        <f aca="false">IF($C1613="","",N($E1613)*$F1613-N($G1613))</f>
        <v/>
      </c>
      <c r="I1613" s="35" t="str">
        <f aca="false">IF($C1613="","",$H1613-$H1613/(1+IFERROR(INDEX(PRODUCTOS!$E$6:$E$105,MATCH($C1613,PRODUCTOS!$A$6:$A$105,0)),IVA_VENTAS)))</f>
        <v/>
      </c>
      <c r="J1613" s="35" t="str">
        <f aca="false">IF($C1613="","",$H1613-$I1613)</f>
        <v/>
      </c>
      <c r="K1613" s="35" t="str">
        <f aca="false">IF($C1613="","",N($E1613)*IFERROR(INDEX(PRODUCTOS!$H$6:$H$105,MATCH($C1613,PRODUCTOS!$A$6:$A$105,0)),0))</f>
        <v/>
      </c>
      <c r="L1613" s="35" t="str">
        <f aca="false">IF($C1613="","",$J1613-$K1613)</f>
        <v/>
      </c>
      <c r="M1613" s="6"/>
      <c r="N1613" s="6"/>
      <c r="O1613" s="46" t="str">
        <f aca="false">IF($A1613="","",DATE(YEAR($A1613),MONTH($A1613),1))</f>
        <v/>
      </c>
    </row>
    <row r="1614" customFormat="false" ht="15" hidden="false" customHeight="false" outlineLevel="0" collapsed="false">
      <c r="A1614" s="44"/>
      <c r="B1614" s="6"/>
      <c r="C1614" s="6"/>
      <c r="D1614" s="8" t="str">
        <f aca="false">IF($C1614="","",IFERROR(INDEX(PRODUCTOS!$B$6:$B$105,MATCH($C1614,PRODUCTOS!$A$6:$A$105,0)),"¿Código?"))</f>
        <v/>
      </c>
      <c r="E1614" s="42"/>
      <c r="F1614" s="35" t="str">
        <f aca="false">IF($C1614="","",IFERROR(INDEX(PRODUCTOS!$D$6:$D$105,MATCH($C1614,PRODUCTOS!$A$6:$A$105,0)),0))</f>
        <v/>
      </c>
      <c r="G1614" s="40"/>
      <c r="H1614" s="35" t="str">
        <f aca="false">IF($C1614="","",N($E1614)*$F1614-N($G1614))</f>
        <v/>
      </c>
      <c r="I1614" s="35" t="str">
        <f aca="false">IF($C1614="","",$H1614-$H1614/(1+IFERROR(INDEX(PRODUCTOS!$E$6:$E$105,MATCH($C1614,PRODUCTOS!$A$6:$A$105,0)),IVA_VENTAS)))</f>
        <v/>
      </c>
      <c r="J1614" s="35" t="str">
        <f aca="false">IF($C1614="","",$H1614-$I1614)</f>
        <v/>
      </c>
      <c r="K1614" s="35" t="str">
        <f aca="false">IF($C1614="","",N($E1614)*IFERROR(INDEX(PRODUCTOS!$H$6:$H$105,MATCH($C1614,PRODUCTOS!$A$6:$A$105,0)),0))</f>
        <v/>
      </c>
      <c r="L1614" s="35" t="str">
        <f aca="false">IF($C1614="","",$J1614-$K1614)</f>
        <v/>
      </c>
      <c r="M1614" s="6"/>
      <c r="N1614" s="6"/>
      <c r="O1614" s="46" t="str">
        <f aca="false">IF($A1614="","",DATE(YEAR($A1614),MONTH($A1614),1))</f>
        <v/>
      </c>
    </row>
    <row r="1615" customFormat="false" ht="15" hidden="false" customHeight="false" outlineLevel="0" collapsed="false">
      <c r="A1615" s="44"/>
      <c r="B1615" s="6"/>
      <c r="C1615" s="6"/>
      <c r="D1615" s="8" t="str">
        <f aca="false">IF($C1615="","",IFERROR(INDEX(PRODUCTOS!$B$6:$B$105,MATCH($C1615,PRODUCTOS!$A$6:$A$105,0)),"¿Código?"))</f>
        <v/>
      </c>
      <c r="E1615" s="42"/>
      <c r="F1615" s="35" t="str">
        <f aca="false">IF($C1615="","",IFERROR(INDEX(PRODUCTOS!$D$6:$D$105,MATCH($C1615,PRODUCTOS!$A$6:$A$105,0)),0))</f>
        <v/>
      </c>
      <c r="G1615" s="40"/>
      <c r="H1615" s="35" t="str">
        <f aca="false">IF($C1615="","",N($E1615)*$F1615-N($G1615))</f>
        <v/>
      </c>
      <c r="I1615" s="35" t="str">
        <f aca="false">IF($C1615="","",$H1615-$H1615/(1+IFERROR(INDEX(PRODUCTOS!$E$6:$E$105,MATCH($C1615,PRODUCTOS!$A$6:$A$105,0)),IVA_VENTAS)))</f>
        <v/>
      </c>
      <c r="J1615" s="35" t="str">
        <f aca="false">IF($C1615="","",$H1615-$I1615)</f>
        <v/>
      </c>
      <c r="K1615" s="35" t="str">
        <f aca="false">IF($C1615="","",N($E1615)*IFERROR(INDEX(PRODUCTOS!$H$6:$H$105,MATCH($C1615,PRODUCTOS!$A$6:$A$105,0)),0))</f>
        <v/>
      </c>
      <c r="L1615" s="35" t="str">
        <f aca="false">IF($C1615="","",$J1615-$K1615)</f>
        <v/>
      </c>
      <c r="M1615" s="6"/>
      <c r="N1615" s="6"/>
      <c r="O1615" s="46" t="str">
        <f aca="false">IF($A1615="","",DATE(YEAR($A1615),MONTH($A1615),1))</f>
        <v/>
      </c>
    </row>
    <row r="1616" customFormat="false" ht="15" hidden="false" customHeight="false" outlineLevel="0" collapsed="false">
      <c r="A1616" s="44"/>
      <c r="B1616" s="6"/>
      <c r="C1616" s="6"/>
      <c r="D1616" s="8" t="str">
        <f aca="false">IF($C1616="","",IFERROR(INDEX(PRODUCTOS!$B$6:$B$105,MATCH($C1616,PRODUCTOS!$A$6:$A$105,0)),"¿Código?"))</f>
        <v/>
      </c>
      <c r="E1616" s="42"/>
      <c r="F1616" s="35" t="str">
        <f aca="false">IF($C1616="","",IFERROR(INDEX(PRODUCTOS!$D$6:$D$105,MATCH($C1616,PRODUCTOS!$A$6:$A$105,0)),0))</f>
        <v/>
      </c>
      <c r="G1616" s="40"/>
      <c r="H1616" s="35" t="str">
        <f aca="false">IF($C1616="","",N($E1616)*$F1616-N($G1616))</f>
        <v/>
      </c>
      <c r="I1616" s="35" t="str">
        <f aca="false">IF($C1616="","",$H1616-$H1616/(1+IFERROR(INDEX(PRODUCTOS!$E$6:$E$105,MATCH($C1616,PRODUCTOS!$A$6:$A$105,0)),IVA_VENTAS)))</f>
        <v/>
      </c>
      <c r="J1616" s="35" t="str">
        <f aca="false">IF($C1616="","",$H1616-$I1616)</f>
        <v/>
      </c>
      <c r="K1616" s="35" t="str">
        <f aca="false">IF($C1616="","",N($E1616)*IFERROR(INDEX(PRODUCTOS!$H$6:$H$105,MATCH($C1616,PRODUCTOS!$A$6:$A$105,0)),0))</f>
        <v/>
      </c>
      <c r="L1616" s="35" t="str">
        <f aca="false">IF($C1616="","",$J1616-$K1616)</f>
        <v/>
      </c>
      <c r="M1616" s="6"/>
      <c r="N1616" s="6"/>
      <c r="O1616" s="46" t="str">
        <f aca="false">IF($A1616="","",DATE(YEAR($A1616),MONTH($A1616),1))</f>
        <v/>
      </c>
    </row>
    <row r="1617" customFormat="false" ht="15" hidden="false" customHeight="false" outlineLevel="0" collapsed="false">
      <c r="A1617" s="44"/>
      <c r="B1617" s="6"/>
      <c r="C1617" s="6"/>
      <c r="D1617" s="8" t="str">
        <f aca="false">IF($C1617="","",IFERROR(INDEX(PRODUCTOS!$B$6:$B$105,MATCH($C1617,PRODUCTOS!$A$6:$A$105,0)),"¿Código?"))</f>
        <v/>
      </c>
      <c r="E1617" s="42"/>
      <c r="F1617" s="35" t="str">
        <f aca="false">IF($C1617="","",IFERROR(INDEX(PRODUCTOS!$D$6:$D$105,MATCH($C1617,PRODUCTOS!$A$6:$A$105,0)),0))</f>
        <v/>
      </c>
      <c r="G1617" s="40"/>
      <c r="H1617" s="35" t="str">
        <f aca="false">IF($C1617="","",N($E1617)*$F1617-N($G1617))</f>
        <v/>
      </c>
      <c r="I1617" s="35" t="str">
        <f aca="false">IF($C1617="","",$H1617-$H1617/(1+IFERROR(INDEX(PRODUCTOS!$E$6:$E$105,MATCH($C1617,PRODUCTOS!$A$6:$A$105,0)),IVA_VENTAS)))</f>
        <v/>
      </c>
      <c r="J1617" s="35" t="str">
        <f aca="false">IF($C1617="","",$H1617-$I1617)</f>
        <v/>
      </c>
      <c r="K1617" s="35" t="str">
        <f aca="false">IF($C1617="","",N($E1617)*IFERROR(INDEX(PRODUCTOS!$H$6:$H$105,MATCH($C1617,PRODUCTOS!$A$6:$A$105,0)),0))</f>
        <v/>
      </c>
      <c r="L1617" s="35" t="str">
        <f aca="false">IF($C1617="","",$J1617-$K1617)</f>
        <v/>
      </c>
      <c r="M1617" s="6"/>
      <c r="N1617" s="6"/>
      <c r="O1617" s="46" t="str">
        <f aca="false">IF($A1617="","",DATE(YEAR($A1617),MONTH($A1617),1))</f>
        <v/>
      </c>
    </row>
    <row r="1618" customFormat="false" ht="15" hidden="false" customHeight="false" outlineLevel="0" collapsed="false">
      <c r="A1618" s="44"/>
      <c r="B1618" s="6"/>
      <c r="C1618" s="6"/>
      <c r="D1618" s="8" t="str">
        <f aca="false">IF($C1618="","",IFERROR(INDEX(PRODUCTOS!$B$6:$B$105,MATCH($C1618,PRODUCTOS!$A$6:$A$105,0)),"¿Código?"))</f>
        <v/>
      </c>
      <c r="E1618" s="42"/>
      <c r="F1618" s="35" t="str">
        <f aca="false">IF($C1618="","",IFERROR(INDEX(PRODUCTOS!$D$6:$D$105,MATCH($C1618,PRODUCTOS!$A$6:$A$105,0)),0))</f>
        <v/>
      </c>
      <c r="G1618" s="40"/>
      <c r="H1618" s="35" t="str">
        <f aca="false">IF($C1618="","",N($E1618)*$F1618-N($G1618))</f>
        <v/>
      </c>
      <c r="I1618" s="35" t="str">
        <f aca="false">IF($C1618="","",$H1618-$H1618/(1+IFERROR(INDEX(PRODUCTOS!$E$6:$E$105,MATCH($C1618,PRODUCTOS!$A$6:$A$105,0)),IVA_VENTAS)))</f>
        <v/>
      </c>
      <c r="J1618" s="35" t="str">
        <f aca="false">IF($C1618="","",$H1618-$I1618)</f>
        <v/>
      </c>
      <c r="K1618" s="35" t="str">
        <f aca="false">IF($C1618="","",N($E1618)*IFERROR(INDEX(PRODUCTOS!$H$6:$H$105,MATCH($C1618,PRODUCTOS!$A$6:$A$105,0)),0))</f>
        <v/>
      </c>
      <c r="L1618" s="35" t="str">
        <f aca="false">IF($C1618="","",$J1618-$K1618)</f>
        <v/>
      </c>
      <c r="M1618" s="6"/>
      <c r="N1618" s="6"/>
      <c r="O1618" s="46" t="str">
        <f aca="false">IF($A1618="","",DATE(YEAR($A1618),MONTH($A1618),1))</f>
        <v/>
      </c>
    </row>
    <row r="1619" customFormat="false" ht="15" hidden="false" customHeight="false" outlineLevel="0" collapsed="false">
      <c r="A1619" s="44"/>
      <c r="B1619" s="6"/>
      <c r="C1619" s="6"/>
      <c r="D1619" s="8" t="str">
        <f aca="false">IF($C1619="","",IFERROR(INDEX(PRODUCTOS!$B$6:$B$105,MATCH($C1619,PRODUCTOS!$A$6:$A$105,0)),"¿Código?"))</f>
        <v/>
      </c>
      <c r="E1619" s="42"/>
      <c r="F1619" s="35" t="str">
        <f aca="false">IF($C1619="","",IFERROR(INDEX(PRODUCTOS!$D$6:$D$105,MATCH($C1619,PRODUCTOS!$A$6:$A$105,0)),0))</f>
        <v/>
      </c>
      <c r="G1619" s="40"/>
      <c r="H1619" s="35" t="str">
        <f aca="false">IF($C1619="","",N($E1619)*$F1619-N($G1619))</f>
        <v/>
      </c>
      <c r="I1619" s="35" t="str">
        <f aca="false">IF($C1619="","",$H1619-$H1619/(1+IFERROR(INDEX(PRODUCTOS!$E$6:$E$105,MATCH($C1619,PRODUCTOS!$A$6:$A$105,0)),IVA_VENTAS)))</f>
        <v/>
      </c>
      <c r="J1619" s="35" t="str">
        <f aca="false">IF($C1619="","",$H1619-$I1619)</f>
        <v/>
      </c>
      <c r="K1619" s="35" t="str">
        <f aca="false">IF($C1619="","",N($E1619)*IFERROR(INDEX(PRODUCTOS!$H$6:$H$105,MATCH($C1619,PRODUCTOS!$A$6:$A$105,0)),0))</f>
        <v/>
      </c>
      <c r="L1619" s="35" t="str">
        <f aca="false">IF($C1619="","",$J1619-$K1619)</f>
        <v/>
      </c>
      <c r="M1619" s="6"/>
      <c r="N1619" s="6"/>
      <c r="O1619" s="46" t="str">
        <f aca="false">IF($A1619="","",DATE(YEAR($A1619),MONTH($A1619),1))</f>
        <v/>
      </c>
    </row>
    <row r="1620" customFormat="false" ht="15" hidden="false" customHeight="false" outlineLevel="0" collapsed="false">
      <c r="A1620" s="44"/>
      <c r="B1620" s="6"/>
      <c r="C1620" s="6"/>
      <c r="D1620" s="8" t="str">
        <f aca="false">IF($C1620="","",IFERROR(INDEX(PRODUCTOS!$B$6:$B$105,MATCH($C1620,PRODUCTOS!$A$6:$A$105,0)),"¿Código?"))</f>
        <v/>
      </c>
      <c r="E1620" s="42"/>
      <c r="F1620" s="35" t="str">
        <f aca="false">IF($C1620="","",IFERROR(INDEX(PRODUCTOS!$D$6:$D$105,MATCH($C1620,PRODUCTOS!$A$6:$A$105,0)),0))</f>
        <v/>
      </c>
      <c r="G1620" s="40"/>
      <c r="H1620" s="35" t="str">
        <f aca="false">IF($C1620="","",N($E1620)*$F1620-N($G1620))</f>
        <v/>
      </c>
      <c r="I1620" s="35" t="str">
        <f aca="false">IF($C1620="","",$H1620-$H1620/(1+IFERROR(INDEX(PRODUCTOS!$E$6:$E$105,MATCH($C1620,PRODUCTOS!$A$6:$A$105,0)),IVA_VENTAS)))</f>
        <v/>
      </c>
      <c r="J1620" s="35" t="str">
        <f aca="false">IF($C1620="","",$H1620-$I1620)</f>
        <v/>
      </c>
      <c r="K1620" s="35" t="str">
        <f aca="false">IF($C1620="","",N($E1620)*IFERROR(INDEX(PRODUCTOS!$H$6:$H$105,MATCH($C1620,PRODUCTOS!$A$6:$A$105,0)),0))</f>
        <v/>
      </c>
      <c r="L1620" s="35" t="str">
        <f aca="false">IF($C1620="","",$J1620-$K1620)</f>
        <v/>
      </c>
      <c r="M1620" s="6"/>
      <c r="N1620" s="6"/>
      <c r="O1620" s="46" t="str">
        <f aca="false">IF($A1620="","",DATE(YEAR($A1620),MONTH($A1620),1))</f>
        <v/>
      </c>
    </row>
    <row r="1621" customFormat="false" ht="15" hidden="false" customHeight="false" outlineLevel="0" collapsed="false">
      <c r="A1621" s="44"/>
      <c r="B1621" s="6"/>
      <c r="C1621" s="6"/>
      <c r="D1621" s="8" t="str">
        <f aca="false">IF($C1621="","",IFERROR(INDEX(PRODUCTOS!$B$6:$B$105,MATCH($C1621,PRODUCTOS!$A$6:$A$105,0)),"¿Código?"))</f>
        <v/>
      </c>
      <c r="E1621" s="42"/>
      <c r="F1621" s="35" t="str">
        <f aca="false">IF($C1621="","",IFERROR(INDEX(PRODUCTOS!$D$6:$D$105,MATCH($C1621,PRODUCTOS!$A$6:$A$105,0)),0))</f>
        <v/>
      </c>
      <c r="G1621" s="40"/>
      <c r="H1621" s="35" t="str">
        <f aca="false">IF($C1621="","",N($E1621)*$F1621-N($G1621))</f>
        <v/>
      </c>
      <c r="I1621" s="35" t="str">
        <f aca="false">IF($C1621="","",$H1621-$H1621/(1+IFERROR(INDEX(PRODUCTOS!$E$6:$E$105,MATCH($C1621,PRODUCTOS!$A$6:$A$105,0)),IVA_VENTAS)))</f>
        <v/>
      </c>
      <c r="J1621" s="35" t="str">
        <f aca="false">IF($C1621="","",$H1621-$I1621)</f>
        <v/>
      </c>
      <c r="K1621" s="35" t="str">
        <f aca="false">IF($C1621="","",N($E1621)*IFERROR(INDEX(PRODUCTOS!$H$6:$H$105,MATCH($C1621,PRODUCTOS!$A$6:$A$105,0)),0))</f>
        <v/>
      </c>
      <c r="L1621" s="35" t="str">
        <f aca="false">IF($C1621="","",$J1621-$K1621)</f>
        <v/>
      </c>
      <c r="M1621" s="6"/>
      <c r="N1621" s="6"/>
      <c r="O1621" s="46" t="str">
        <f aca="false">IF($A1621="","",DATE(YEAR($A1621),MONTH($A1621),1))</f>
        <v/>
      </c>
    </row>
    <row r="1622" customFormat="false" ht="15" hidden="false" customHeight="false" outlineLevel="0" collapsed="false">
      <c r="A1622" s="44"/>
      <c r="B1622" s="6"/>
      <c r="C1622" s="6"/>
      <c r="D1622" s="8" t="str">
        <f aca="false">IF($C1622="","",IFERROR(INDEX(PRODUCTOS!$B$6:$B$105,MATCH($C1622,PRODUCTOS!$A$6:$A$105,0)),"¿Código?"))</f>
        <v/>
      </c>
      <c r="E1622" s="42"/>
      <c r="F1622" s="35" t="str">
        <f aca="false">IF($C1622="","",IFERROR(INDEX(PRODUCTOS!$D$6:$D$105,MATCH($C1622,PRODUCTOS!$A$6:$A$105,0)),0))</f>
        <v/>
      </c>
      <c r="G1622" s="40"/>
      <c r="H1622" s="35" t="str">
        <f aca="false">IF($C1622="","",N($E1622)*$F1622-N($G1622))</f>
        <v/>
      </c>
      <c r="I1622" s="35" t="str">
        <f aca="false">IF($C1622="","",$H1622-$H1622/(1+IFERROR(INDEX(PRODUCTOS!$E$6:$E$105,MATCH($C1622,PRODUCTOS!$A$6:$A$105,0)),IVA_VENTAS)))</f>
        <v/>
      </c>
      <c r="J1622" s="35" t="str">
        <f aca="false">IF($C1622="","",$H1622-$I1622)</f>
        <v/>
      </c>
      <c r="K1622" s="35" t="str">
        <f aca="false">IF($C1622="","",N($E1622)*IFERROR(INDEX(PRODUCTOS!$H$6:$H$105,MATCH($C1622,PRODUCTOS!$A$6:$A$105,0)),0))</f>
        <v/>
      </c>
      <c r="L1622" s="35" t="str">
        <f aca="false">IF($C1622="","",$J1622-$K1622)</f>
        <v/>
      </c>
      <c r="M1622" s="6"/>
      <c r="N1622" s="6"/>
      <c r="O1622" s="46" t="str">
        <f aca="false">IF($A1622="","",DATE(YEAR($A1622),MONTH($A1622),1))</f>
        <v/>
      </c>
    </row>
    <row r="1623" customFormat="false" ht="15" hidden="false" customHeight="false" outlineLevel="0" collapsed="false">
      <c r="A1623" s="44"/>
      <c r="B1623" s="6"/>
      <c r="C1623" s="6"/>
      <c r="D1623" s="8" t="str">
        <f aca="false">IF($C1623="","",IFERROR(INDEX(PRODUCTOS!$B$6:$B$105,MATCH($C1623,PRODUCTOS!$A$6:$A$105,0)),"¿Código?"))</f>
        <v/>
      </c>
      <c r="E1623" s="42"/>
      <c r="F1623" s="35" t="str">
        <f aca="false">IF($C1623="","",IFERROR(INDEX(PRODUCTOS!$D$6:$D$105,MATCH($C1623,PRODUCTOS!$A$6:$A$105,0)),0))</f>
        <v/>
      </c>
      <c r="G1623" s="40"/>
      <c r="H1623" s="35" t="str">
        <f aca="false">IF($C1623="","",N($E1623)*$F1623-N($G1623))</f>
        <v/>
      </c>
      <c r="I1623" s="35" t="str">
        <f aca="false">IF($C1623="","",$H1623-$H1623/(1+IFERROR(INDEX(PRODUCTOS!$E$6:$E$105,MATCH($C1623,PRODUCTOS!$A$6:$A$105,0)),IVA_VENTAS)))</f>
        <v/>
      </c>
      <c r="J1623" s="35" t="str">
        <f aca="false">IF($C1623="","",$H1623-$I1623)</f>
        <v/>
      </c>
      <c r="K1623" s="35" t="str">
        <f aca="false">IF($C1623="","",N($E1623)*IFERROR(INDEX(PRODUCTOS!$H$6:$H$105,MATCH($C1623,PRODUCTOS!$A$6:$A$105,0)),0))</f>
        <v/>
      </c>
      <c r="L1623" s="35" t="str">
        <f aca="false">IF($C1623="","",$J1623-$K1623)</f>
        <v/>
      </c>
      <c r="M1623" s="6"/>
      <c r="N1623" s="6"/>
      <c r="O1623" s="46" t="str">
        <f aca="false">IF($A1623="","",DATE(YEAR($A1623),MONTH($A1623),1))</f>
        <v/>
      </c>
    </row>
    <row r="1624" customFormat="false" ht="15" hidden="false" customHeight="false" outlineLevel="0" collapsed="false">
      <c r="A1624" s="44"/>
      <c r="B1624" s="6"/>
      <c r="C1624" s="6"/>
      <c r="D1624" s="8" t="str">
        <f aca="false">IF($C1624="","",IFERROR(INDEX(PRODUCTOS!$B$6:$B$105,MATCH($C1624,PRODUCTOS!$A$6:$A$105,0)),"¿Código?"))</f>
        <v/>
      </c>
      <c r="E1624" s="42"/>
      <c r="F1624" s="35" t="str">
        <f aca="false">IF($C1624="","",IFERROR(INDEX(PRODUCTOS!$D$6:$D$105,MATCH($C1624,PRODUCTOS!$A$6:$A$105,0)),0))</f>
        <v/>
      </c>
      <c r="G1624" s="40"/>
      <c r="H1624" s="35" t="str">
        <f aca="false">IF($C1624="","",N($E1624)*$F1624-N($G1624))</f>
        <v/>
      </c>
      <c r="I1624" s="35" t="str">
        <f aca="false">IF($C1624="","",$H1624-$H1624/(1+IFERROR(INDEX(PRODUCTOS!$E$6:$E$105,MATCH($C1624,PRODUCTOS!$A$6:$A$105,0)),IVA_VENTAS)))</f>
        <v/>
      </c>
      <c r="J1624" s="35" t="str">
        <f aca="false">IF($C1624="","",$H1624-$I1624)</f>
        <v/>
      </c>
      <c r="K1624" s="35" t="str">
        <f aca="false">IF($C1624="","",N($E1624)*IFERROR(INDEX(PRODUCTOS!$H$6:$H$105,MATCH($C1624,PRODUCTOS!$A$6:$A$105,0)),0))</f>
        <v/>
      </c>
      <c r="L1624" s="35" t="str">
        <f aca="false">IF($C1624="","",$J1624-$K1624)</f>
        <v/>
      </c>
      <c r="M1624" s="6"/>
      <c r="N1624" s="6"/>
      <c r="O1624" s="46" t="str">
        <f aca="false">IF($A1624="","",DATE(YEAR($A1624),MONTH($A1624),1))</f>
        <v/>
      </c>
    </row>
    <row r="1625" customFormat="false" ht="15" hidden="false" customHeight="false" outlineLevel="0" collapsed="false">
      <c r="A1625" s="44"/>
      <c r="B1625" s="6"/>
      <c r="C1625" s="6"/>
      <c r="D1625" s="8" t="str">
        <f aca="false">IF($C1625="","",IFERROR(INDEX(PRODUCTOS!$B$6:$B$105,MATCH($C1625,PRODUCTOS!$A$6:$A$105,0)),"¿Código?"))</f>
        <v/>
      </c>
      <c r="E1625" s="42"/>
      <c r="F1625" s="35" t="str">
        <f aca="false">IF($C1625="","",IFERROR(INDEX(PRODUCTOS!$D$6:$D$105,MATCH($C1625,PRODUCTOS!$A$6:$A$105,0)),0))</f>
        <v/>
      </c>
      <c r="G1625" s="40"/>
      <c r="H1625" s="35" t="str">
        <f aca="false">IF($C1625="","",N($E1625)*$F1625-N($G1625))</f>
        <v/>
      </c>
      <c r="I1625" s="35" t="str">
        <f aca="false">IF($C1625="","",$H1625-$H1625/(1+IFERROR(INDEX(PRODUCTOS!$E$6:$E$105,MATCH($C1625,PRODUCTOS!$A$6:$A$105,0)),IVA_VENTAS)))</f>
        <v/>
      </c>
      <c r="J1625" s="35" t="str">
        <f aca="false">IF($C1625="","",$H1625-$I1625)</f>
        <v/>
      </c>
      <c r="K1625" s="35" t="str">
        <f aca="false">IF($C1625="","",N($E1625)*IFERROR(INDEX(PRODUCTOS!$H$6:$H$105,MATCH($C1625,PRODUCTOS!$A$6:$A$105,0)),0))</f>
        <v/>
      </c>
      <c r="L1625" s="35" t="str">
        <f aca="false">IF($C1625="","",$J1625-$K1625)</f>
        <v/>
      </c>
      <c r="M1625" s="6"/>
      <c r="N1625" s="6"/>
      <c r="O1625" s="46" t="str">
        <f aca="false">IF($A1625="","",DATE(YEAR($A1625),MONTH($A1625),1))</f>
        <v/>
      </c>
    </row>
    <row r="1626" customFormat="false" ht="15" hidden="false" customHeight="false" outlineLevel="0" collapsed="false">
      <c r="A1626" s="44"/>
      <c r="B1626" s="6"/>
      <c r="C1626" s="6"/>
      <c r="D1626" s="8" t="str">
        <f aca="false">IF($C1626="","",IFERROR(INDEX(PRODUCTOS!$B$6:$B$105,MATCH($C1626,PRODUCTOS!$A$6:$A$105,0)),"¿Código?"))</f>
        <v/>
      </c>
      <c r="E1626" s="42"/>
      <c r="F1626" s="35" t="str">
        <f aca="false">IF($C1626="","",IFERROR(INDEX(PRODUCTOS!$D$6:$D$105,MATCH($C1626,PRODUCTOS!$A$6:$A$105,0)),0))</f>
        <v/>
      </c>
      <c r="G1626" s="40"/>
      <c r="H1626" s="35" t="str">
        <f aca="false">IF($C1626="","",N($E1626)*$F1626-N($G1626))</f>
        <v/>
      </c>
      <c r="I1626" s="35" t="str">
        <f aca="false">IF($C1626="","",$H1626-$H1626/(1+IFERROR(INDEX(PRODUCTOS!$E$6:$E$105,MATCH($C1626,PRODUCTOS!$A$6:$A$105,0)),IVA_VENTAS)))</f>
        <v/>
      </c>
      <c r="J1626" s="35" t="str">
        <f aca="false">IF($C1626="","",$H1626-$I1626)</f>
        <v/>
      </c>
      <c r="K1626" s="35" t="str">
        <f aca="false">IF($C1626="","",N($E1626)*IFERROR(INDEX(PRODUCTOS!$H$6:$H$105,MATCH($C1626,PRODUCTOS!$A$6:$A$105,0)),0))</f>
        <v/>
      </c>
      <c r="L1626" s="35" t="str">
        <f aca="false">IF($C1626="","",$J1626-$K1626)</f>
        <v/>
      </c>
      <c r="M1626" s="6"/>
      <c r="N1626" s="6"/>
      <c r="O1626" s="46" t="str">
        <f aca="false">IF($A1626="","",DATE(YEAR($A1626),MONTH($A1626),1))</f>
        <v/>
      </c>
    </row>
    <row r="1627" customFormat="false" ht="15" hidden="false" customHeight="false" outlineLevel="0" collapsed="false">
      <c r="A1627" s="44"/>
      <c r="B1627" s="6"/>
      <c r="C1627" s="6"/>
      <c r="D1627" s="8" t="str">
        <f aca="false">IF($C1627="","",IFERROR(INDEX(PRODUCTOS!$B$6:$B$105,MATCH($C1627,PRODUCTOS!$A$6:$A$105,0)),"¿Código?"))</f>
        <v/>
      </c>
      <c r="E1627" s="42"/>
      <c r="F1627" s="35" t="str">
        <f aca="false">IF($C1627="","",IFERROR(INDEX(PRODUCTOS!$D$6:$D$105,MATCH($C1627,PRODUCTOS!$A$6:$A$105,0)),0))</f>
        <v/>
      </c>
      <c r="G1627" s="40"/>
      <c r="H1627" s="35" t="str">
        <f aca="false">IF($C1627="","",N($E1627)*$F1627-N($G1627))</f>
        <v/>
      </c>
      <c r="I1627" s="35" t="str">
        <f aca="false">IF($C1627="","",$H1627-$H1627/(1+IFERROR(INDEX(PRODUCTOS!$E$6:$E$105,MATCH($C1627,PRODUCTOS!$A$6:$A$105,0)),IVA_VENTAS)))</f>
        <v/>
      </c>
      <c r="J1627" s="35" t="str">
        <f aca="false">IF($C1627="","",$H1627-$I1627)</f>
        <v/>
      </c>
      <c r="K1627" s="35" t="str">
        <f aca="false">IF($C1627="","",N($E1627)*IFERROR(INDEX(PRODUCTOS!$H$6:$H$105,MATCH($C1627,PRODUCTOS!$A$6:$A$105,0)),0))</f>
        <v/>
      </c>
      <c r="L1627" s="35" t="str">
        <f aca="false">IF($C1627="","",$J1627-$K1627)</f>
        <v/>
      </c>
      <c r="M1627" s="6"/>
      <c r="N1627" s="6"/>
      <c r="O1627" s="46" t="str">
        <f aca="false">IF($A1627="","",DATE(YEAR($A1627),MONTH($A1627),1))</f>
        <v/>
      </c>
    </row>
    <row r="1628" customFormat="false" ht="15" hidden="false" customHeight="false" outlineLevel="0" collapsed="false">
      <c r="A1628" s="44"/>
      <c r="B1628" s="6"/>
      <c r="C1628" s="6"/>
      <c r="D1628" s="8" t="str">
        <f aca="false">IF($C1628="","",IFERROR(INDEX(PRODUCTOS!$B$6:$B$105,MATCH($C1628,PRODUCTOS!$A$6:$A$105,0)),"¿Código?"))</f>
        <v/>
      </c>
      <c r="E1628" s="42"/>
      <c r="F1628" s="35" t="str">
        <f aca="false">IF($C1628="","",IFERROR(INDEX(PRODUCTOS!$D$6:$D$105,MATCH($C1628,PRODUCTOS!$A$6:$A$105,0)),0))</f>
        <v/>
      </c>
      <c r="G1628" s="40"/>
      <c r="H1628" s="35" t="str">
        <f aca="false">IF($C1628="","",N($E1628)*$F1628-N($G1628))</f>
        <v/>
      </c>
      <c r="I1628" s="35" t="str">
        <f aca="false">IF($C1628="","",$H1628-$H1628/(1+IFERROR(INDEX(PRODUCTOS!$E$6:$E$105,MATCH($C1628,PRODUCTOS!$A$6:$A$105,0)),IVA_VENTAS)))</f>
        <v/>
      </c>
      <c r="J1628" s="35" t="str">
        <f aca="false">IF($C1628="","",$H1628-$I1628)</f>
        <v/>
      </c>
      <c r="K1628" s="35" t="str">
        <f aca="false">IF($C1628="","",N($E1628)*IFERROR(INDEX(PRODUCTOS!$H$6:$H$105,MATCH($C1628,PRODUCTOS!$A$6:$A$105,0)),0))</f>
        <v/>
      </c>
      <c r="L1628" s="35" t="str">
        <f aca="false">IF($C1628="","",$J1628-$K1628)</f>
        <v/>
      </c>
      <c r="M1628" s="6"/>
      <c r="N1628" s="6"/>
      <c r="O1628" s="46" t="str">
        <f aca="false">IF($A1628="","",DATE(YEAR($A1628),MONTH($A1628),1))</f>
        <v/>
      </c>
    </row>
    <row r="1629" customFormat="false" ht="15" hidden="false" customHeight="false" outlineLevel="0" collapsed="false">
      <c r="A1629" s="44"/>
      <c r="B1629" s="6"/>
      <c r="C1629" s="6"/>
      <c r="D1629" s="8" t="str">
        <f aca="false">IF($C1629="","",IFERROR(INDEX(PRODUCTOS!$B$6:$B$105,MATCH($C1629,PRODUCTOS!$A$6:$A$105,0)),"¿Código?"))</f>
        <v/>
      </c>
      <c r="E1629" s="42"/>
      <c r="F1629" s="35" t="str">
        <f aca="false">IF($C1629="","",IFERROR(INDEX(PRODUCTOS!$D$6:$D$105,MATCH($C1629,PRODUCTOS!$A$6:$A$105,0)),0))</f>
        <v/>
      </c>
      <c r="G1629" s="40"/>
      <c r="H1629" s="35" t="str">
        <f aca="false">IF($C1629="","",N($E1629)*$F1629-N($G1629))</f>
        <v/>
      </c>
      <c r="I1629" s="35" t="str">
        <f aca="false">IF($C1629="","",$H1629-$H1629/(1+IFERROR(INDEX(PRODUCTOS!$E$6:$E$105,MATCH($C1629,PRODUCTOS!$A$6:$A$105,0)),IVA_VENTAS)))</f>
        <v/>
      </c>
      <c r="J1629" s="35" t="str">
        <f aca="false">IF($C1629="","",$H1629-$I1629)</f>
        <v/>
      </c>
      <c r="K1629" s="35" t="str">
        <f aca="false">IF($C1629="","",N($E1629)*IFERROR(INDEX(PRODUCTOS!$H$6:$H$105,MATCH($C1629,PRODUCTOS!$A$6:$A$105,0)),0))</f>
        <v/>
      </c>
      <c r="L1629" s="35" t="str">
        <f aca="false">IF($C1629="","",$J1629-$K1629)</f>
        <v/>
      </c>
      <c r="M1629" s="6"/>
      <c r="N1629" s="6"/>
      <c r="O1629" s="46" t="str">
        <f aca="false">IF($A1629="","",DATE(YEAR($A1629),MONTH($A1629),1))</f>
        <v/>
      </c>
    </row>
    <row r="1630" customFormat="false" ht="15" hidden="false" customHeight="false" outlineLevel="0" collapsed="false">
      <c r="A1630" s="44"/>
      <c r="B1630" s="6"/>
      <c r="C1630" s="6"/>
      <c r="D1630" s="8" t="str">
        <f aca="false">IF($C1630="","",IFERROR(INDEX(PRODUCTOS!$B$6:$B$105,MATCH($C1630,PRODUCTOS!$A$6:$A$105,0)),"¿Código?"))</f>
        <v/>
      </c>
      <c r="E1630" s="42"/>
      <c r="F1630" s="35" t="str">
        <f aca="false">IF($C1630="","",IFERROR(INDEX(PRODUCTOS!$D$6:$D$105,MATCH($C1630,PRODUCTOS!$A$6:$A$105,0)),0))</f>
        <v/>
      </c>
      <c r="G1630" s="40"/>
      <c r="H1630" s="35" t="str">
        <f aca="false">IF($C1630="","",N($E1630)*$F1630-N($G1630))</f>
        <v/>
      </c>
      <c r="I1630" s="35" t="str">
        <f aca="false">IF($C1630="","",$H1630-$H1630/(1+IFERROR(INDEX(PRODUCTOS!$E$6:$E$105,MATCH($C1630,PRODUCTOS!$A$6:$A$105,0)),IVA_VENTAS)))</f>
        <v/>
      </c>
      <c r="J1630" s="35" t="str">
        <f aca="false">IF($C1630="","",$H1630-$I1630)</f>
        <v/>
      </c>
      <c r="K1630" s="35" t="str">
        <f aca="false">IF($C1630="","",N($E1630)*IFERROR(INDEX(PRODUCTOS!$H$6:$H$105,MATCH($C1630,PRODUCTOS!$A$6:$A$105,0)),0))</f>
        <v/>
      </c>
      <c r="L1630" s="35" t="str">
        <f aca="false">IF($C1630="","",$J1630-$K1630)</f>
        <v/>
      </c>
      <c r="M1630" s="6"/>
      <c r="N1630" s="6"/>
      <c r="O1630" s="46" t="str">
        <f aca="false">IF($A1630="","",DATE(YEAR($A1630),MONTH($A1630),1))</f>
        <v/>
      </c>
    </row>
    <row r="1631" customFormat="false" ht="15" hidden="false" customHeight="false" outlineLevel="0" collapsed="false">
      <c r="A1631" s="44"/>
      <c r="B1631" s="6"/>
      <c r="C1631" s="6"/>
      <c r="D1631" s="8" t="str">
        <f aca="false">IF($C1631="","",IFERROR(INDEX(PRODUCTOS!$B$6:$B$105,MATCH($C1631,PRODUCTOS!$A$6:$A$105,0)),"¿Código?"))</f>
        <v/>
      </c>
      <c r="E1631" s="42"/>
      <c r="F1631" s="35" t="str">
        <f aca="false">IF($C1631="","",IFERROR(INDEX(PRODUCTOS!$D$6:$D$105,MATCH($C1631,PRODUCTOS!$A$6:$A$105,0)),0))</f>
        <v/>
      </c>
      <c r="G1631" s="40"/>
      <c r="H1631" s="35" t="str">
        <f aca="false">IF($C1631="","",N($E1631)*$F1631-N($G1631))</f>
        <v/>
      </c>
      <c r="I1631" s="35" t="str">
        <f aca="false">IF($C1631="","",$H1631-$H1631/(1+IFERROR(INDEX(PRODUCTOS!$E$6:$E$105,MATCH($C1631,PRODUCTOS!$A$6:$A$105,0)),IVA_VENTAS)))</f>
        <v/>
      </c>
      <c r="J1631" s="35" t="str">
        <f aca="false">IF($C1631="","",$H1631-$I1631)</f>
        <v/>
      </c>
      <c r="K1631" s="35" t="str">
        <f aca="false">IF($C1631="","",N($E1631)*IFERROR(INDEX(PRODUCTOS!$H$6:$H$105,MATCH($C1631,PRODUCTOS!$A$6:$A$105,0)),0))</f>
        <v/>
      </c>
      <c r="L1631" s="35" t="str">
        <f aca="false">IF($C1631="","",$J1631-$K1631)</f>
        <v/>
      </c>
      <c r="M1631" s="6"/>
      <c r="N1631" s="6"/>
      <c r="O1631" s="46" t="str">
        <f aca="false">IF($A1631="","",DATE(YEAR($A1631),MONTH($A1631),1))</f>
        <v/>
      </c>
    </row>
    <row r="1632" customFormat="false" ht="15" hidden="false" customHeight="false" outlineLevel="0" collapsed="false">
      <c r="A1632" s="44"/>
      <c r="B1632" s="6"/>
      <c r="C1632" s="6"/>
      <c r="D1632" s="8" t="str">
        <f aca="false">IF($C1632="","",IFERROR(INDEX(PRODUCTOS!$B$6:$B$105,MATCH($C1632,PRODUCTOS!$A$6:$A$105,0)),"¿Código?"))</f>
        <v/>
      </c>
      <c r="E1632" s="42"/>
      <c r="F1632" s="35" t="str">
        <f aca="false">IF($C1632="","",IFERROR(INDEX(PRODUCTOS!$D$6:$D$105,MATCH($C1632,PRODUCTOS!$A$6:$A$105,0)),0))</f>
        <v/>
      </c>
      <c r="G1632" s="40"/>
      <c r="H1632" s="35" t="str">
        <f aca="false">IF($C1632="","",N($E1632)*$F1632-N($G1632))</f>
        <v/>
      </c>
      <c r="I1632" s="35" t="str">
        <f aca="false">IF($C1632="","",$H1632-$H1632/(1+IFERROR(INDEX(PRODUCTOS!$E$6:$E$105,MATCH($C1632,PRODUCTOS!$A$6:$A$105,0)),IVA_VENTAS)))</f>
        <v/>
      </c>
      <c r="J1632" s="35" t="str">
        <f aca="false">IF($C1632="","",$H1632-$I1632)</f>
        <v/>
      </c>
      <c r="K1632" s="35" t="str">
        <f aca="false">IF($C1632="","",N($E1632)*IFERROR(INDEX(PRODUCTOS!$H$6:$H$105,MATCH($C1632,PRODUCTOS!$A$6:$A$105,0)),0))</f>
        <v/>
      </c>
      <c r="L1632" s="35" t="str">
        <f aca="false">IF($C1632="","",$J1632-$K1632)</f>
        <v/>
      </c>
      <c r="M1632" s="6"/>
      <c r="N1632" s="6"/>
      <c r="O1632" s="46" t="str">
        <f aca="false">IF($A1632="","",DATE(YEAR($A1632),MONTH($A1632),1))</f>
        <v/>
      </c>
    </row>
    <row r="1633" customFormat="false" ht="15" hidden="false" customHeight="false" outlineLevel="0" collapsed="false">
      <c r="A1633" s="44"/>
      <c r="B1633" s="6"/>
      <c r="C1633" s="6"/>
      <c r="D1633" s="8" t="str">
        <f aca="false">IF($C1633="","",IFERROR(INDEX(PRODUCTOS!$B$6:$B$105,MATCH($C1633,PRODUCTOS!$A$6:$A$105,0)),"¿Código?"))</f>
        <v/>
      </c>
      <c r="E1633" s="42"/>
      <c r="F1633" s="35" t="str">
        <f aca="false">IF($C1633="","",IFERROR(INDEX(PRODUCTOS!$D$6:$D$105,MATCH($C1633,PRODUCTOS!$A$6:$A$105,0)),0))</f>
        <v/>
      </c>
      <c r="G1633" s="40"/>
      <c r="H1633" s="35" t="str">
        <f aca="false">IF($C1633="","",N($E1633)*$F1633-N($G1633))</f>
        <v/>
      </c>
      <c r="I1633" s="35" t="str">
        <f aca="false">IF($C1633="","",$H1633-$H1633/(1+IFERROR(INDEX(PRODUCTOS!$E$6:$E$105,MATCH($C1633,PRODUCTOS!$A$6:$A$105,0)),IVA_VENTAS)))</f>
        <v/>
      </c>
      <c r="J1633" s="35" t="str">
        <f aca="false">IF($C1633="","",$H1633-$I1633)</f>
        <v/>
      </c>
      <c r="K1633" s="35" t="str">
        <f aca="false">IF($C1633="","",N($E1633)*IFERROR(INDEX(PRODUCTOS!$H$6:$H$105,MATCH($C1633,PRODUCTOS!$A$6:$A$105,0)),0))</f>
        <v/>
      </c>
      <c r="L1633" s="35" t="str">
        <f aca="false">IF($C1633="","",$J1633-$K1633)</f>
        <v/>
      </c>
      <c r="M1633" s="6"/>
      <c r="N1633" s="6"/>
      <c r="O1633" s="46" t="str">
        <f aca="false">IF($A1633="","",DATE(YEAR($A1633),MONTH($A1633),1))</f>
        <v/>
      </c>
    </row>
    <row r="1634" customFormat="false" ht="15" hidden="false" customHeight="false" outlineLevel="0" collapsed="false">
      <c r="A1634" s="44"/>
      <c r="B1634" s="6"/>
      <c r="C1634" s="6"/>
      <c r="D1634" s="8" t="str">
        <f aca="false">IF($C1634="","",IFERROR(INDEX(PRODUCTOS!$B$6:$B$105,MATCH($C1634,PRODUCTOS!$A$6:$A$105,0)),"¿Código?"))</f>
        <v/>
      </c>
      <c r="E1634" s="42"/>
      <c r="F1634" s="35" t="str">
        <f aca="false">IF($C1634="","",IFERROR(INDEX(PRODUCTOS!$D$6:$D$105,MATCH($C1634,PRODUCTOS!$A$6:$A$105,0)),0))</f>
        <v/>
      </c>
      <c r="G1634" s="40"/>
      <c r="H1634" s="35" t="str">
        <f aca="false">IF($C1634="","",N($E1634)*$F1634-N($G1634))</f>
        <v/>
      </c>
      <c r="I1634" s="35" t="str">
        <f aca="false">IF($C1634="","",$H1634-$H1634/(1+IFERROR(INDEX(PRODUCTOS!$E$6:$E$105,MATCH($C1634,PRODUCTOS!$A$6:$A$105,0)),IVA_VENTAS)))</f>
        <v/>
      </c>
      <c r="J1634" s="35" t="str">
        <f aca="false">IF($C1634="","",$H1634-$I1634)</f>
        <v/>
      </c>
      <c r="K1634" s="35" t="str">
        <f aca="false">IF($C1634="","",N($E1634)*IFERROR(INDEX(PRODUCTOS!$H$6:$H$105,MATCH($C1634,PRODUCTOS!$A$6:$A$105,0)),0))</f>
        <v/>
      </c>
      <c r="L1634" s="35" t="str">
        <f aca="false">IF($C1634="","",$J1634-$K1634)</f>
        <v/>
      </c>
      <c r="M1634" s="6"/>
      <c r="N1634" s="6"/>
      <c r="O1634" s="46" t="str">
        <f aca="false">IF($A1634="","",DATE(YEAR($A1634),MONTH($A1634),1))</f>
        <v/>
      </c>
    </row>
    <row r="1635" customFormat="false" ht="15" hidden="false" customHeight="false" outlineLevel="0" collapsed="false">
      <c r="A1635" s="44"/>
      <c r="B1635" s="6"/>
      <c r="C1635" s="6"/>
      <c r="D1635" s="8" t="str">
        <f aca="false">IF($C1635="","",IFERROR(INDEX(PRODUCTOS!$B$6:$B$105,MATCH($C1635,PRODUCTOS!$A$6:$A$105,0)),"¿Código?"))</f>
        <v/>
      </c>
      <c r="E1635" s="42"/>
      <c r="F1635" s="35" t="str">
        <f aca="false">IF($C1635="","",IFERROR(INDEX(PRODUCTOS!$D$6:$D$105,MATCH($C1635,PRODUCTOS!$A$6:$A$105,0)),0))</f>
        <v/>
      </c>
      <c r="G1635" s="40"/>
      <c r="H1635" s="35" t="str">
        <f aca="false">IF($C1635="","",N($E1635)*$F1635-N($G1635))</f>
        <v/>
      </c>
      <c r="I1635" s="35" t="str">
        <f aca="false">IF($C1635="","",$H1635-$H1635/(1+IFERROR(INDEX(PRODUCTOS!$E$6:$E$105,MATCH($C1635,PRODUCTOS!$A$6:$A$105,0)),IVA_VENTAS)))</f>
        <v/>
      </c>
      <c r="J1635" s="35" t="str">
        <f aca="false">IF($C1635="","",$H1635-$I1635)</f>
        <v/>
      </c>
      <c r="K1635" s="35" t="str">
        <f aca="false">IF($C1635="","",N($E1635)*IFERROR(INDEX(PRODUCTOS!$H$6:$H$105,MATCH($C1635,PRODUCTOS!$A$6:$A$105,0)),0))</f>
        <v/>
      </c>
      <c r="L1635" s="35" t="str">
        <f aca="false">IF($C1635="","",$J1635-$K1635)</f>
        <v/>
      </c>
      <c r="M1635" s="6"/>
      <c r="N1635" s="6"/>
      <c r="O1635" s="46" t="str">
        <f aca="false">IF($A1635="","",DATE(YEAR($A1635),MONTH($A1635),1))</f>
        <v/>
      </c>
    </row>
    <row r="1636" customFormat="false" ht="15" hidden="false" customHeight="false" outlineLevel="0" collapsed="false">
      <c r="A1636" s="44"/>
      <c r="B1636" s="6"/>
      <c r="C1636" s="6"/>
      <c r="D1636" s="8" t="str">
        <f aca="false">IF($C1636="","",IFERROR(INDEX(PRODUCTOS!$B$6:$B$105,MATCH($C1636,PRODUCTOS!$A$6:$A$105,0)),"¿Código?"))</f>
        <v/>
      </c>
      <c r="E1636" s="42"/>
      <c r="F1636" s="35" t="str">
        <f aca="false">IF($C1636="","",IFERROR(INDEX(PRODUCTOS!$D$6:$D$105,MATCH($C1636,PRODUCTOS!$A$6:$A$105,0)),0))</f>
        <v/>
      </c>
      <c r="G1636" s="40"/>
      <c r="H1636" s="35" t="str">
        <f aca="false">IF($C1636="","",N($E1636)*$F1636-N($G1636))</f>
        <v/>
      </c>
      <c r="I1636" s="35" t="str">
        <f aca="false">IF($C1636="","",$H1636-$H1636/(1+IFERROR(INDEX(PRODUCTOS!$E$6:$E$105,MATCH($C1636,PRODUCTOS!$A$6:$A$105,0)),IVA_VENTAS)))</f>
        <v/>
      </c>
      <c r="J1636" s="35" t="str">
        <f aca="false">IF($C1636="","",$H1636-$I1636)</f>
        <v/>
      </c>
      <c r="K1636" s="35" t="str">
        <f aca="false">IF($C1636="","",N($E1636)*IFERROR(INDEX(PRODUCTOS!$H$6:$H$105,MATCH($C1636,PRODUCTOS!$A$6:$A$105,0)),0))</f>
        <v/>
      </c>
      <c r="L1636" s="35" t="str">
        <f aca="false">IF($C1636="","",$J1636-$K1636)</f>
        <v/>
      </c>
      <c r="M1636" s="6"/>
      <c r="N1636" s="6"/>
      <c r="O1636" s="46" t="str">
        <f aca="false">IF($A1636="","",DATE(YEAR($A1636),MONTH($A1636),1))</f>
        <v/>
      </c>
    </row>
    <row r="1637" customFormat="false" ht="15" hidden="false" customHeight="false" outlineLevel="0" collapsed="false">
      <c r="A1637" s="44"/>
      <c r="B1637" s="6"/>
      <c r="C1637" s="6"/>
      <c r="D1637" s="8" t="str">
        <f aca="false">IF($C1637="","",IFERROR(INDEX(PRODUCTOS!$B$6:$B$105,MATCH($C1637,PRODUCTOS!$A$6:$A$105,0)),"¿Código?"))</f>
        <v/>
      </c>
      <c r="E1637" s="42"/>
      <c r="F1637" s="35" t="str">
        <f aca="false">IF($C1637="","",IFERROR(INDEX(PRODUCTOS!$D$6:$D$105,MATCH($C1637,PRODUCTOS!$A$6:$A$105,0)),0))</f>
        <v/>
      </c>
      <c r="G1637" s="40"/>
      <c r="H1637" s="35" t="str">
        <f aca="false">IF($C1637="","",N($E1637)*$F1637-N($G1637))</f>
        <v/>
      </c>
      <c r="I1637" s="35" t="str">
        <f aca="false">IF($C1637="","",$H1637-$H1637/(1+IFERROR(INDEX(PRODUCTOS!$E$6:$E$105,MATCH($C1637,PRODUCTOS!$A$6:$A$105,0)),IVA_VENTAS)))</f>
        <v/>
      </c>
      <c r="J1637" s="35" t="str">
        <f aca="false">IF($C1637="","",$H1637-$I1637)</f>
        <v/>
      </c>
      <c r="K1637" s="35" t="str">
        <f aca="false">IF($C1637="","",N($E1637)*IFERROR(INDEX(PRODUCTOS!$H$6:$H$105,MATCH($C1637,PRODUCTOS!$A$6:$A$105,0)),0))</f>
        <v/>
      </c>
      <c r="L1637" s="35" t="str">
        <f aca="false">IF($C1637="","",$J1637-$K1637)</f>
        <v/>
      </c>
      <c r="M1637" s="6"/>
      <c r="N1637" s="6"/>
      <c r="O1637" s="46" t="str">
        <f aca="false">IF($A1637="","",DATE(YEAR($A1637),MONTH($A1637),1))</f>
        <v/>
      </c>
    </row>
    <row r="1638" customFormat="false" ht="15" hidden="false" customHeight="false" outlineLevel="0" collapsed="false">
      <c r="A1638" s="44"/>
      <c r="B1638" s="6"/>
      <c r="C1638" s="6"/>
      <c r="D1638" s="8" t="str">
        <f aca="false">IF($C1638="","",IFERROR(INDEX(PRODUCTOS!$B$6:$B$105,MATCH($C1638,PRODUCTOS!$A$6:$A$105,0)),"¿Código?"))</f>
        <v/>
      </c>
      <c r="E1638" s="42"/>
      <c r="F1638" s="35" t="str">
        <f aca="false">IF($C1638="","",IFERROR(INDEX(PRODUCTOS!$D$6:$D$105,MATCH($C1638,PRODUCTOS!$A$6:$A$105,0)),0))</f>
        <v/>
      </c>
      <c r="G1638" s="40"/>
      <c r="H1638" s="35" t="str">
        <f aca="false">IF($C1638="","",N($E1638)*$F1638-N($G1638))</f>
        <v/>
      </c>
      <c r="I1638" s="35" t="str">
        <f aca="false">IF($C1638="","",$H1638-$H1638/(1+IFERROR(INDEX(PRODUCTOS!$E$6:$E$105,MATCH($C1638,PRODUCTOS!$A$6:$A$105,0)),IVA_VENTAS)))</f>
        <v/>
      </c>
      <c r="J1638" s="35" t="str">
        <f aca="false">IF($C1638="","",$H1638-$I1638)</f>
        <v/>
      </c>
      <c r="K1638" s="35" t="str">
        <f aca="false">IF($C1638="","",N($E1638)*IFERROR(INDEX(PRODUCTOS!$H$6:$H$105,MATCH($C1638,PRODUCTOS!$A$6:$A$105,0)),0))</f>
        <v/>
      </c>
      <c r="L1638" s="35" t="str">
        <f aca="false">IF($C1638="","",$J1638-$K1638)</f>
        <v/>
      </c>
      <c r="M1638" s="6"/>
      <c r="N1638" s="6"/>
      <c r="O1638" s="46" t="str">
        <f aca="false">IF($A1638="","",DATE(YEAR($A1638),MONTH($A1638),1))</f>
        <v/>
      </c>
    </row>
    <row r="1639" customFormat="false" ht="15" hidden="false" customHeight="false" outlineLevel="0" collapsed="false">
      <c r="A1639" s="44"/>
      <c r="B1639" s="6"/>
      <c r="C1639" s="6"/>
      <c r="D1639" s="8" t="str">
        <f aca="false">IF($C1639="","",IFERROR(INDEX(PRODUCTOS!$B$6:$B$105,MATCH($C1639,PRODUCTOS!$A$6:$A$105,0)),"¿Código?"))</f>
        <v/>
      </c>
      <c r="E1639" s="42"/>
      <c r="F1639" s="35" t="str">
        <f aca="false">IF($C1639="","",IFERROR(INDEX(PRODUCTOS!$D$6:$D$105,MATCH($C1639,PRODUCTOS!$A$6:$A$105,0)),0))</f>
        <v/>
      </c>
      <c r="G1639" s="40"/>
      <c r="H1639" s="35" t="str">
        <f aca="false">IF($C1639="","",N($E1639)*$F1639-N($G1639))</f>
        <v/>
      </c>
      <c r="I1639" s="35" t="str">
        <f aca="false">IF($C1639="","",$H1639-$H1639/(1+IFERROR(INDEX(PRODUCTOS!$E$6:$E$105,MATCH($C1639,PRODUCTOS!$A$6:$A$105,0)),IVA_VENTAS)))</f>
        <v/>
      </c>
      <c r="J1639" s="35" t="str">
        <f aca="false">IF($C1639="","",$H1639-$I1639)</f>
        <v/>
      </c>
      <c r="K1639" s="35" t="str">
        <f aca="false">IF($C1639="","",N($E1639)*IFERROR(INDEX(PRODUCTOS!$H$6:$H$105,MATCH($C1639,PRODUCTOS!$A$6:$A$105,0)),0))</f>
        <v/>
      </c>
      <c r="L1639" s="35" t="str">
        <f aca="false">IF($C1639="","",$J1639-$K1639)</f>
        <v/>
      </c>
      <c r="M1639" s="6"/>
      <c r="N1639" s="6"/>
      <c r="O1639" s="46" t="str">
        <f aca="false">IF($A1639="","",DATE(YEAR($A1639),MONTH($A1639),1))</f>
        <v/>
      </c>
    </row>
    <row r="1640" customFormat="false" ht="15" hidden="false" customHeight="false" outlineLevel="0" collapsed="false">
      <c r="A1640" s="44"/>
      <c r="B1640" s="6"/>
      <c r="C1640" s="6"/>
      <c r="D1640" s="8" t="str">
        <f aca="false">IF($C1640="","",IFERROR(INDEX(PRODUCTOS!$B$6:$B$105,MATCH($C1640,PRODUCTOS!$A$6:$A$105,0)),"¿Código?"))</f>
        <v/>
      </c>
      <c r="E1640" s="42"/>
      <c r="F1640" s="35" t="str">
        <f aca="false">IF($C1640="","",IFERROR(INDEX(PRODUCTOS!$D$6:$D$105,MATCH($C1640,PRODUCTOS!$A$6:$A$105,0)),0))</f>
        <v/>
      </c>
      <c r="G1640" s="40"/>
      <c r="H1640" s="35" t="str">
        <f aca="false">IF($C1640="","",N($E1640)*$F1640-N($G1640))</f>
        <v/>
      </c>
      <c r="I1640" s="35" t="str">
        <f aca="false">IF($C1640="","",$H1640-$H1640/(1+IFERROR(INDEX(PRODUCTOS!$E$6:$E$105,MATCH($C1640,PRODUCTOS!$A$6:$A$105,0)),IVA_VENTAS)))</f>
        <v/>
      </c>
      <c r="J1640" s="35" t="str">
        <f aca="false">IF($C1640="","",$H1640-$I1640)</f>
        <v/>
      </c>
      <c r="K1640" s="35" t="str">
        <f aca="false">IF($C1640="","",N($E1640)*IFERROR(INDEX(PRODUCTOS!$H$6:$H$105,MATCH($C1640,PRODUCTOS!$A$6:$A$105,0)),0))</f>
        <v/>
      </c>
      <c r="L1640" s="35" t="str">
        <f aca="false">IF($C1640="","",$J1640-$K1640)</f>
        <v/>
      </c>
      <c r="M1640" s="6"/>
      <c r="N1640" s="6"/>
      <c r="O1640" s="46" t="str">
        <f aca="false">IF($A1640="","",DATE(YEAR($A1640),MONTH($A1640),1))</f>
        <v/>
      </c>
    </row>
    <row r="1641" customFormat="false" ht="15" hidden="false" customHeight="false" outlineLevel="0" collapsed="false">
      <c r="A1641" s="44"/>
      <c r="B1641" s="6"/>
      <c r="C1641" s="6"/>
      <c r="D1641" s="8" t="str">
        <f aca="false">IF($C1641="","",IFERROR(INDEX(PRODUCTOS!$B$6:$B$105,MATCH($C1641,PRODUCTOS!$A$6:$A$105,0)),"¿Código?"))</f>
        <v/>
      </c>
      <c r="E1641" s="42"/>
      <c r="F1641" s="35" t="str">
        <f aca="false">IF($C1641="","",IFERROR(INDEX(PRODUCTOS!$D$6:$D$105,MATCH($C1641,PRODUCTOS!$A$6:$A$105,0)),0))</f>
        <v/>
      </c>
      <c r="G1641" s="40"/>
      <c r="H1641" s="35" t="str">
        <f aca="false">IF($C1641="","",N($E1641)*$F1641-N($G1641))</f>
        <v/>
      </c>
      <c r="I1641" s="35" t="str">
        <f aca="false">IF($C1641="","",$H1641-$H1641/(1+IFERROR(INDEX(PRODUCTOS!$E$6:$E$105,MATCH($C1641,PRODUCTOS!$A$6:$A$105,0)),IVA_VENTAS)))</f>
        <v/>
      </c>
      <c r="J1641" s="35" t="str">
        <f aca="false">IF($C1641="","",$H1641-$I1641)</f>
        <v/>
      </c>
      <c r="K1641" s="35" t="str">
        <f aca="false">IF($C1641="","",N($E1641)*IFERROR(INDEX(PRODUCTOS!$H$6:$H$105,MATCH($C1641,PRODUCTOS!$A$6:$A$105,0)),0))</f>
        <v/>
      </c>
      <c r="L1641" s="35" t="str">
        <f aca="false">IF($C1641="","",$J1641-$K1641)</f>
        <v/>
      </c>
      <c r="M1641" s="6"/>
      <c r="N1641" s="6"/>
      <c r="O1641" s="46" t="str">
        <f aca="false">IF($A1641="","",DATE(YEAR($A1641),MONTH($A1641),1))</f>
        <v/>
      </c>
    </row>
    <row r="1642" customFormat="false" ht="15" hidden="false" customHeight="false" outlineLevel="0" collapsed="false">
      <c r="A1642" s="44"/>
      <c r="B1642" s="6"/>
      <c r="C1642" s="6"/>
      <c r="D1642" s="8" t="str">
        <f aca="false">IF($C1642="","",IFERROR(INDEX(PRODUCTOS!$B$6:$B$105,MATCH($C1642,PRODUCTOS!$A$6:$A$105,0)),"¿Código?"))</f>
        <v/>
      </c>
      <c r="E1642" s="42"/>
      <c r="F1642" s="35" t="str">
        <f aca="false">IF($C1642="","",IFERROR(INDEX(PRODUCTOS!$D$6:$D$105,MATCH($C1642,PRODUCTOS!$A$6:$A$105,0)),0))</f>
        <v/>
      </c>
      <c r="G1642" s="40"/>
      <c r="H1642" s="35" t="str">
        <f aca="false">IF($C1642="","",N($E1642)*$F1642-N($G1642))</f>
        <v/>
      </c>
      <c r="I1642" s="35" t="str">
        <f aca="false">IF($C1642="","",$H1642-$H1642/(1+IFERROR(INDEX(PRODUCTOS!$E$6:$E$105,MATCH($C1642,PRODUCTOS!$A$6:$A$105,0)),IVA_VENTAS)))</f>
        <v/>
      </c>
      <c r="J1642" s="35" t="str">
        <f aca="false">IF($C1642="","",$H1642-$I1642)</f>
        <v/>
      </c>
      <c r="K1642" s="35" t="str">
        <f aca="false">IF($C1642="","",N($E1642)*IFERROR(INDEX(PRODUCTOS!$H$6:$H$105,MATCH($C1642,PRODUCTOS!$A$6:$A$105,0)),0))</f>
        <v/>
      </c>
      <c r="L1642" s="35" t="str">
        <f aca="false">IF($C1642="","",$J1642-$K1642)</f>
        <v/>
      </c>
      <c r="M1642" s="6"/>
      <c r="N1642" s="6"/>
      <c r="O1642" s="46" t="str">
        <f aca="false">IF($A1642="","",DATE(YEAR($A1642),MONTH($A1642),1))</f>
        <v/>
      </c>
    </row>
    <row r="1643" customFormat="false" ht="15" hidden="false" customHeight="false" outlineLevel="0" collapsed="false">
      <c r="A1643" s="44"/>
      <c r="B1643" s="6"/>
      <c r="C1643" s="6"/>
      <c r="D1643" s="8" t="str">
        <f aca="false">IF($C1643="","",IFERROR(INDEX(PRODUCTOS!$B$6:$B$105,MATCH($C1643,PRODUCTOS!$A$6:$A$105,0)),"¿Código?"))</f>
        <v/>
      </c>
      <c r="E1643" s="42"/>
      <c r="F1643" s="35" t="str">
        <f aca="false">IF($C1643="","",IFERROR(INDEX(PRODUCTOS!$D$6:$D$105,MATCH($C1643,PRODUCTOS!$A$6:$A$105,0)),0))</f>
        <v/>
      </c>
      <c r="G1643" s="40"/>
      <c r="H1643" s="35" t="str">
        <f aca="false">IF($C1643="","",N($E1643)*$F1643-N($G1643))</f>
        <v/>
      </c>
      <c r="I1643" s="35" t="str">
        <f aca="false">IF($C1643="","",$H1643-$H1643/(1+IFERROR(INDEX(PRODUCTOS!$E$6:$E$105,MATCH($C1643,PRODUCTOS!$A$6:$A$105,0)),IVA_VENTAS)))</f>
        <v/>
      </c>
      <c r="J1643" s="35" t="str">
        <f aca="false">IF($C1643="","",$H1643-$I1643)</f>
        <v/>
      </c>
      <c r="K1643" s="35" t="str">
        <f aca="false">IF($C1643="","",N($E1643)*IFERROR(INDEX(PRODUCTOS!$H$6:$H$105,MATCH($C1643,PRODUCTOS!$A$6:$A$105,0)),0))</f>
        <v/>
      </c>
      <c r="L1643" s="35" t="str">
        <f aca="false">IF($C1643="","",$J1643-$K1643)</f>
        <v/>
      </c>
      <c r="M1643" s="6"/>
      <c r="N1643" s="6"/>
      <c r="O1643" s="46" t="str">
        <f aca="false">IF($A1643="","",DATE(YEAR($A1643),MONTH($A1643),1))</f>
        <v/>
      </c>
    </row>
    <row r="1644" customFormat="false" ht="15" hidden="false" customHeight="false" outlineLevel="0" collapsed="false">
      <c r="A1644" s="44"/>
      <c r="B1644" s="6"/>
      <c r="C1644" s="6"/>
      <c r="D1644" s="8" t="str">
        <f aca="false">IF($C1644="","",IFERROR(INDEX(PRODUCTOS!$B$6:$B$105,MATCH($C1644,PRODUCTOS!$A$6:$A$105,0)),"¿Código?"))</f>
        <v/>
      </c>
      <c r="E1644" s="42"/>
      <c r="F1644" s="35" t="str">
        <f aca="false">IF($C1644="","",IFERROR(INDEX(PRODUCTOS!$D$6:$D$105,MATCH($C1644,PRODUCTOS!$A$6:$A$105,0)),0))</f>
        <v/>
      </c>
      <c r="G1644" s="40"/>
      <c r="H1644" s="35" t="str">
        <f aca="false">IF($C1644="","",N($E1644)*$F1644-N($G1644))</f>
        <v/>
      </c>
      <c r="I1644" s="35" t="str">
        <f aca="false">IF($C1644="","",$H1644-$H1644/(1+IFERROR(INDEX(PRODUCTOS!$E$6:$E$105,MATCH($C1644,PRODUCTOS!$A$6:$A$105,0)),IVA_VENTAS)))</f>
        <v/>
      </c>
      <c r="J1644" s="35" t="str">
        <f aca="false">IF($C1644="","",$H1644-$I1644)</f>
        <v/>
      </c>
      <c r="K1644" s="35" t="str">
        <f aca="false">IF($C1644="","",N($E1644)*IFERROR(INDEX(PRODUCTOS!$H$6:$H$105,MATCH($C1644,PRODUCTOS!$A$6:$A$105,0)),0))</f>
        <v/>
      </c>
      <c r="L1644" s="35" t="str">
        <f aca="false">IF($C1644="","",$J1644-$K1644)</f>
        <v/>
      </c>
      <c r="M1644" s="6"/>
      <c r="N1644" s="6"/>
      <c r="O1644" s="46" t="str">
        <f aca="false">IF($A1644="","",DATE(YEAR($A1644),MONTH($A1644),1))</f>
        <v/>
      </c>
    </row>
    <row r="1645" customFormat="false" ht="15" hidden="false" customHeight="false" outlineLevel="0" collapsed="false">
      <c r="A1645" s="44"/>
      <c r="B1645" s="6"/>
      <c r="C1645" s="6"/>
      <c r="D1645" s="8" t="str">
        <f aca="false">IF($C1645="","",IFERROR(INDEX(PRODUCTOS!$B$6:$B$105,MATCH($C1645,PRODUCTOS!$A$6:$A$105,0)),"¿Código?"))</f>
        <v/>
      </c>
      <c r="E1645" s="42"/>
      <c r="F1645" s="35" t="str">
        <f aca="false">IF($C1645="","",IFERROR(INDEX(PRODUCTOS!$D$6:$D$105,MATCH($C1645,PRODUCTOS!$A$6:$A$105,0)),0))</f>
        <v/>
      </c>
      <c r="G1645" s="40"/>
      <c r="H1645" s="35" t="str">
        <f aca="false">IF($C1645="","",N($E1645)*$F1645-N($G1645))</f>
        <v/>
      </c>
      <c r="I1645" s="35" t="str">
        <f aca="false">IF($C1645="","",$H1645-$H1645/(1+IFERROR(INDEX(PRODUCTOS!$E$6:$E$105,MATCH($C1645,PRODUCTOS!$A$6:$A$105,0)),IVA_VENTAS)))</f>
        <v/>
      </c>
      <c r="J1645" s="35" t="str">
        <f aca="false">IF($C1645="","",$H1645-$I1645)</f>
        <v/>
      </c>
      <c r="K1645" s="35" t="str">
        <f aca="false">IF($C1645="","",N($E1645)*IFERROR(INDEX(PRODUCTOS!$H$6:$H$105,MATCH($C1645,PRODUCTOS!$A$6:$A$105,0)),0))</f>
        <v/>
      </c>
      <c r="L1645" s="35" t="str">
        <f aca="false">IF($C1645="","",$J1645-$K1645)</f>
        <v/>
      </c>
      <c r="M1645" s="6"/>
      <c r="N1645" s="6"/>
      <c r="O1645" s="46" t="str">
        <f aca="false">IF($A1645="","",DATE(YEAR($A1645),MONTH($A1645),1))</f>
        <v/>
      </c>
    </row>
    <row r="1646" customFormat="false" ht="15" hidden="false" customHeight="false" outlineLevel="0" collapsed="false">
      <c r="A1646" s="44"/>
      <c r="B1646" s="6"/>
      <c r="C1646" s="6"/>
      <c r="D1646" s="8" t="str">
        <f aca="false">IF($C1646="","",IFERROR(INDEX(PRODUCTOS!$B$6:$B$105,MATCH($C1646,PRODUCTOS!$A$6:$A$105,0)),"¿Código?"))</f>
        <v/>
      </c>
      <c r="E1646" s="42"/>
      <c r="F1646" s="35" t="str">
        <f aca="false">IF($C1646="","",IFERROR(INDEX(PRODUCTOS!$D$6:$D$105,MATCH($C1646,PRODUCTOS!$A$6:$A$105,0)),0))</f>
        <v/>
      </c>
      <c r="G1646" s="40"/>
      <c r="H1646" s="35" t="str">
        <f aca="false">IF($C1646="","",N($E1646)*$F1646-N($G1646))</f>
        <v/>
      </c>
      <c r="I1646" s="35" t="str">
        <f aca="false">IF($C1646="","",$H1646-$H1646/(1+IFERROR(INDEX(PRODUCTOS!$E$6:$E$105,MATCH($C1646,PRODUCTOS!$A$6:$A$105,0)),IVA_VENTAS)))</f>
        <v/>
      </c>
      <c r="J1646" s="35" t="str">
        <f aca="false">IF($C1646="","",$H1646-$I1646)</f>
        <v/>
      </c>
      <c r="K1646" s="35" t="str">
        <f aca="false">IF($C1646="","",N($E1646)*IFERROR(INDEX(PRODUCTOS!$H$6:$H$105,MATCH($C1646,PRODUCTOS!$A$6:$A$105,0)),0))</f>
        <v/>
      </c>
      <c r="L1646" s="35" t="str">
        <f aca="false">IF($C1646="","",$J1646-$K1646)</f>
        <v/>
      </c>
      <c r="M1646" s="6"/>
      <c r="N1646" s="6"/>
      <c r="O1646" s="46" t="str">
        <f aca="false">IF($A1646="","",DATE(YEAR($A1646),MONTH($A1646),1))</f>
        <v/>
      </c>
    </row>
    <row r="1647" customFormat="false" ht="15" hidden="false" customHeight="false" outlineLevel="0" collapsed="false">
      <c r="A1647" s="44"/>
      <c r="B1647" s="6"/>
      <c r="C1647" s="6"/>
      <c r="D1647" s="8" t="str">
        <f aca="false">IF($C1647="","",IFERROR(INDEX(PRODUCTOS!$B$6:$B$105,MATCH($C1647,PRODUCTOS!$A$6:$A$105,0)),"¿Código?"))</f>
        <v/>
      </c>
      <c r="E1647" s="42"/>
      <c r="F1647" s="35" t="str">
        <f aca="false">IF($C1647="","",IFERROR(INDEX(PRODUCTOS!$D$6:$D$105,MATCH($C1647,PRODUCTOS!$A$6:$A$105,0)),0))</f>
        <v/>
      </c>
      <c r="G1647" s="40"/>
      <c r="H1647" s="35" t="str">
        <f aca="false">IF($C1647="","",N($E1647)*$F1647-N($G1647))</f>
        <v/>
      </c>
      <c r="I1647" s="35" t="str">
        <f aca="false">IF($C1647="","",$H1647-$H1647/(1+IFERROR(INDEX(PRODUCTOS!$E$6:$E$105,MATCH($C1647,PRODUCTOS!$A$6:$A$105,0)),IVA_VENTAS)))</f>
        <v/>
      </c>
      <c r="J1647" s="35" t="str">
        <f aca="false">IF($C1647="","",$H1647-$I1647)</f>
        <v/>
      </c>
      <c r="K1647" s="35" t="str">
        <f aca="false">IF($C1647="","",N($E1647)*IFERROR(INDEX(PRODUCTOS!$H$6:$H$105,MATCH($C1647,PRODUCTOS!$A$6:$A$105,0)),0))</f>
        <v/>
      </c>
      <c r="L1647" s="35" t="str">
        <f aca="false">IF($C1647="","",$J1647-$K1647)</f>
        <v/>
      </c>
      <c r="M1647" s="6"/>
      <c r="N1647" s="6"/>
      <c r="O1647" s="46" t="str">
        <f aca="false">IF($A1647="","",DATE(YEAR($A1647),MONTH($A1647),1))</f>
        <v/>
      </c>
    </row>
    <row r="1648" customFormat="false" ht="15" hidden="false" customHeight="false" outlineLevel="0" collapsed="false">
      <c r="A1648" s="44"/>
      <c r="B1648" s="6"/>
      <c r="C1648" s="6"/>
      <c r="D1648" s="8" t="str">
        <f aca="false">IF($C1648="","",IFERROR(INDEX(PRODUCTOS!$B$6:$B$105,MATCH($C1648,PRODUCTOS!$A$6:$A$105,0)),"¿Código?"))</f>
        <v/>
      </c>
      <c r="E1648" s="42"/>
      <c r="F1648" s="35" t="str">
        <f aca="false">IF($C1648="","",IFERROR(INDEX(PRODUCTOS!$D$6:$D$105,MATCH($C1648,PRODUCTOS!$A$6:$A$105,0)),0))</f>
        <v/>
      </c>
      <c r="G1648" s="40"/>
      <c r="H1648" s="35" t="str">
        <f aca="false">IF($C1648="","",N($E1648)*$F1648-N($G1648))</f>
        <v/>
      </c>
      <c r="I1648" s="35" t="str">
        <f aca="false">IF($C1648="","",$H1648-$H1648/(1+IFERROR(INDEX(PRODUCTOS!$E$6:$E$105,MATCH($C1648,PRODUCTOS!$A$6:$A$105,0)),IVA_VENTAS)))</f>
        <v/>
      </c>
      <c r="J1648" s="35" t="str">
        <f aca="false">IF($C1648="","",$H1648-$I1648)</f>
        <v/>
      </c>
      <c r="K1648" s="35" t="str">
        <f aca="false">IF($C1648="","",N($E1648)*IFERROR(INDEX(PRODUCTOS!$H$6:$H$105,MATCH($C1648,PRODUCTOS!$A$6:$A$105,0)),0))</f>
        <v/>
      </c>
      <c r="L1648" s="35" t="str">
        <f aca="false">IF($C1648="","",$J1648-$K1648)</f>
        <v/>
      </c>
      <c r="M1648" s="6"/>
      <c r="N1648" s="6"/>
      <c r="O1648" s="46" t="str">
        <f aca="false">IF($A1648="","",DATE(YEAR($A1648),MONTH($A1648),1))</f>
        <v/>
      </c>
    </row>
    <row r="1649" customFormat="false" ht="15" hidden="false" customHeight="false" outlineLevel="0" collapsed="false">
      <c r="A1649" s="44"/>
      <c r="B1649" s="6"/>
      <c r="C1649" s="6"/>
      <c r="D1649" s="8" t="str">
        <f aca="false">IF($C1649="","",IFERROR(INDEX(PRODUCTOS!$B$6:$B$105,MATCH($C1649,PRODUCTOS!$A$6:$A$105,0)),"¿Código?"))</f>
        <v/>
      </c>
      <c r="E1649" s="42"/>
      <c r="F1649" s="35" t="str">
        <f aca="false">IF($C1649="","",IFERROR(INDEX(PRODUCTOS!$D$6:$D$105,MATCH($C1649,PRODUCTOS!$A$6:$A$105,0)),0))</f>
        <v/>
      </c>
      <c r="G1649" s="40"/>
      <c r="H1649" s="35" t="str">
        <f aca="false">IF($C1649="","",N($E1649)*$F1649-N($G1649))</f>
        <v/>
      </c>
      <c r="I1649" s="35" t="str">
        <f aca="false">IF($C1649="","",$H1649-$H1649/(1+IFERROR(INDEX(PRODUCTOS!$E$6:$E$105,MATCH($C1649,PRODUCTOS!$A$6:$A$105,0)),IVA_VENTAS)))</f>
        <v/>
      </c>
      <c r="J1649" s="35" t="str">
        <f aca="false">IF($C1649="","",$H1649-$I1649)</f>
        <v/>
      </c>
      <c r="K1649" s="35" t="str">
        <f aca="false">IF($C1649="","",N($E1649)*IFERROR(INDEX(PRODUCTOS!$H$6:$H$105,MATCH($C1649,PRODUCTOS!$A$6:$A$105,0)),0))</f>
        <v/>
      </c>
      <c r="L1649" s="35" t="str">
        <f aca="false">IF($C1649="","",$J1649-$K1649)</f>
        <v/>
      </c>
      <c r="M1649" s="6"/>
      <c r="N1649" s="6"/>
      <c r="O1649" s="46" t="str">
        <f aca="false">IF($A1649="","",DATE(YEAR($A1649),MONTH($A1649),1))</f>
        <v/>
      </c>
    </row>
    <row r="1650" customFormat="false" ht="15" hidden="false" customHeight="false" outlineLevel="0" collapsed="false">
      <c r="A1650" s="44"/>
      <c r="B1650" s="6"/>
      <c r="C1650" s="6"/>
      <c r="D1650" s="8" t="str">
        <f aca="false">IF($C1650="","",IFERROR(INDEX(PRODUCTOS!$B$6:$B$105,MATCH($C1650,PRODUCTOS!$A$6:$A$105,0)),"¿Código?"))</f>
        <v/>
      </c>
      <c r="E1650" s="42"/>
      <c r="F1650" s="35" t="str">
        <f aca="false">IF($C1650="","",IFERROR(INDEX(PRODUCTOS!$D$6:$D$105,MATCH($C1650,PRODUCTOS!$A$6:$A$105,0)),0))</f>
        <v/>
      </c>
      <c r="G1650" s="40"/>
      <c r="H1650" s="35" t="str">
        <f aca="false">IF($C1650="","",N($E1650)*$F1650-N($G1650))</f>
        <v/>
      </c>
      <c r="I1650" s="35" t="str">
        <f aca="false">IF($C1650="","",$H1650-$H1650/(1+IFERROR(INDEX(PRODUCTOS!$E$6:$E$105,MATCH($C1650,PRODUCTOS!$A$6:$A$105,0)),IVA_VENTAS)))</f>
        <v/>
      </c>
      <c r="J1650" s="35" t="str">
        <f aca="false">IF($C1650="","",$H1650-$I1650)</f>
        <v/>
      </c>
      <c r="K1650" s="35" t="str">
        <f aca="false">IF($C1650="","",N($E1650)*IFERROR(INDEX(PRODUCTOS!$H$6:$H$105,MATCH($C1650,PRODUCTOS!$A$6:$A$105,0)),0))</f>
        <v/>
      </c>
      <c r="L1650" s="35" t="str">
        <f aca="false">IF($C1650="","",$J1650-$K1650)</f>
        <v/>
      </c>
      <c r="M1650" s="6"/>
      <c r="N1650" s="6"/>
      <c r="O1650" s="46" t="str">
        <f aca="false">IF($A1650="","",DATE(YEAR($A1650),MONTH($A1650),1))</f>
        <v/>
      </c>
    </row>
    <row r="1651" customFormat="false" ht="15" hidden="false" customHeight="false" outlineLevel="0" collapsed="false">
      <c r="A1651" s="44"/>
      <c r="B1651" s="6"/>
      <c r="C1651" s="6"/>
      <c r="D1651" s="8" t="str">
        <f aca="false">IF($C1651="","",IFERROR(INDEX(PRODUCTOS!$B$6:$B$105,MATCH($C1651,PRODUCTOS!$A$6:$A$105,0)),"¿Código?"))</f>
        <v/>
      </c>
      <c r="E1651" s="42"/>
      <c r="F1651" s="35" t="str">
        <f aca="false">IF($C1651="","",IFERROR(INDEX(PRODUCTOS!$D$6:$D$105,MATCH($C1651,PRODUCTOS!$A$6:$A$105,0)),0))</f>
        <v/>
      </c>
      <c r="G1651" s="40"/>
      <c r="H1651" s="35" t="str">
        <f aca="false">IF($C1651="","",N($E1651)*$F1651-N($G1651))</f>
        <v/>
      </c>
      <c r="I1651" s="35" t="str">
        <f aca="false">IF($C1651="","",$H1651-$H1651/(1+IFERROR(INDEX(PRODUCTOS!$E$6:$E$105,MATCH($C1651,PRODUCTOS!$A$6:$A$105,0)),IVA_VENTAS)))</f>
        <v/>
      </c>
      <c r="J1651" s="35" t="str">
        <f aca="false">IF($C1651="","",$H1651-$I1651)</f>
        <v/>
      </c>
      <c r="K1651" s="35" t="str">
        <f aca="false">IF($C1651="","",N($E1651)*IFERROR(INDEX(PRODUCTOS!$H$6:$H$105,MATCH($C1651,PRODUCTOS!$A$6:$A$105,0)),0))</f>
        <v/>
      </c>
      <c r="L1651" s="35" t="str">
        <f aca="false">IF($C1651="","",$J1651-$K1651)</f>
        <v/>
      </c>
      <c r="M1651" s="6"/>
      <c r="N1651" s="6"/>
      <c r="O1651" s="46" t="str">
        <f aca="false">IF($A1651="","",DATE(YEAR($A1651),MONTH($A1651),1))</f>
        <v/>
      </c>
    </row>
    <row r="1652" customFormat="false" ht="15" hidden="false" customHeight="false" outlineLevel="0" collapsed="false">
      <c r="A1652" s="44"/>
      <c r="B1652" s="6"/>
      <c r="C1652" s="6"/>
      <c r="D1652" s="8" t="str">
        <f aca="false">IF($C1652="","",IFERROR(INDEX(PRODUCTOS!$B$6:$B$105,MATCH($C1652,PRODUCTOS!$A$6:$A$105,0)),"¿Código?"))</f>
        <v/>
      </c>
      <c r="E1652" s="42"/>
      <c r="F1652" s="35" t="str">
        <f aca="false">IF($C1652="","",IFERROR(INDEX(PRODUCTOS!$D$6:$D$105,MATCH($C1652,PRODUCTOS!$A$6:$A$105,0)),0))</f>
        <v/>
      </c>
      <c r="G1652" s="40"/>
      <c r="H1652" s="35" t="str">
        <f aca="false">IF($C1652="","",N($E1652)*$F1652-N($G1652))</f>
        <v/>
      </c>
      <c r="I1652" s="35" t="str">
        <f aca="false">IF($C1652="","",$H1652-$H1652/(1+IFERROR(INDEX(PRODUCTOS!$E$6:$E$105,MATCH($C1652,PRODUCTOS!$A$6:$A$105,0)),IVA_VENTAS)))</f>
        <v/>
      </c>
      <c r="J1652" s="35" t="str">
        <f aca="false">IF($C1652="","",$H1652-$I1652)</f>
        <v/>
      </c>
      <c r="K1652" s="35" t="str">
        <f aca="false">IF($C1652="","",N($E1652)*IFERROR(INDEX(PRODUCTOS!$H$6:$H$105,MATCH($C1652,PRODUCTOS!$A$6:$A$105,0)),0))</f>
        <v/>
      </c>
      <c r="L1652" s="35" t="str">
        <f aca="false">IF($C1652="","",$J1652-$K1652)</f>
        <v/>
      </c>
      <c r="M1652" s="6"/>
      <c r="N1652" s="6"/>
      <c r="O1652" s="46" t="str">
        <f aca="false">IF($A1652="","",DATE(YEAR($A1652),MONTH($A1652),1))</f>
        <v/>
      </c>
    </row>
    <row r="1653" customFormat="false" ht="15" hidden="false" customHeight="false" outlineLevel="0" collapsed="false">
      <c r="A1653" s="44"/>
      <c r="B1653" s="6"/>
      <c r="C1653" s="6"/>
      <c r="D1653" s="8" t="str">
        <f aca="false">IF($C1653="","",IFERROR(INDEX(PRODUCTOS!$B$6:$B$105,MATCH($C1653,PRODUCTOS!$A$6:$A$105,0)),"¿Código?"))</f>
        <v/>
      </c>
      <c r="E1653" s="42"/>
      <c r="F1653" s="35" t="str">
        <f aca="false">IF($C1653="","",IFERROR(INDEX(PRODUCTOS!$D$6:$D$105,MATCH($C1653,PRODUCTOS!$A$6:$A$105,0)),0))</f>
        <v/>
      </c>
      <c r="G1653" s="40"/>
      <c r="H1653" s="35" t="str">
        <f aca="false">IF($C1653="","",N($E1653)*$F1653-N($G1653))</f>
        <v/>
      </c>
      <c r="I1653" s="35" t="str">
        <f aca="false">IF($C1653="","",$H1653-$H1653/(1+IFERROR(INDEX(PRODUCTOS!$E$6:$E$105,MATCH($C1653,PRODUCTOS!$A$6:$A$105,0)),IVA_VENTAS)))</f>
        <v/>
      </c>
      <c r="J1653" s="35" t="str">
        <f aca="false">IF($C1653="","",$H1653-$I1653)</f>
        <v/>
      </c>
      <c r="K1653" s="35" t="str">
        <f aca="false">IF($C1653="","",N($E1653)*IFERROR(INDEX(PRODUCTOS!$H$6:$H$105,MATCH($C1653,PRODUCTOS!$A$6:$A$105,0)),0))</f>
        <v/>
      </c>
      <c r="L1653" s="35" t="str">
        <f aca="false">IF($C1653="","",$J1653-$K1653)</f>
        <v/>
      </c>
      <c r="M1653" s="6"/>
      <c r="N1653" s="6"/>
      <c r="O1653" s="46" t="str">
        <f aca="false">IF($A1653="","",DATE(YEAR($A1653),MONTH($A1653),1))</f>
        <v/>
      </c>
    </row>
    <row r="1654" customFormat="false" ht="15" hidden="false" customHeight="false" outlineLevel="0" collapsed="false">
      <c r="A1654" s="44"/>
      <c r="B1654" s="6"/>
      <c r="C1654" s="6"/>
      <c r="D1654" s="8" t="str">
        <f aca="false">IF($C1654="","",IFERROR(INDEX(PRODUCTOS!$B$6:$B$105,MATCH($C1654,PRODUCTOS!$A$6:$A$105,0)),"¿Código?"))</f>
        <v/>
      </c>
      <c r="E1654" s="42"/>
      <c r="F1654" s="35" t="str">
        <f aca="false">IF($C1654="","",IFERROR(INDEX(PRODUCTOS!$D$6:$D$105,MATCH($C1654,PRODUCTOS!$A$6:$A$105,0)),0))</f>
        <v/>
      </c>
      <c r="G1654" s="40"/>
      <c r="H1654" s="35" t="str">
        <f aca="false">IF($C1654="","",N($E1654)*$F1654-N($G1654))</f>
        <v/>
      </c>
      <c r="I1654" s="35" t="str">
        <f aca="false">IF($C1654="","",$H1654-$H1654/(1+IFERROR(INDEX(PRODUCTOS!$E$6:$E$105,MATCH($C1654,PRODUCTOS!$A$6:$A$105,0)),IVA_VENTAS)))</f>
        <v/>
      </c>
      <c r="J1654" s="35" t="str">
        <f aca="false">IF($C1654="","",$H1654-$I1654)</f>
        <v/>
      </c>
      <c r="K1654" s="35" t="str">
        <f aca="false">IF($C1654="","",N($E1654)*IFERROR(INDEX(PRODUCTOS!$H$6:$H$105,MATCH($C1654,PRODUCTOS!$A$6:$A$105,0)),0))</f>
        <v/>
      </c>
      <c r="L1654" s="35" t="str">
        <f aca="false">IF($C1654="","",$J1654-$K1654)</f>
        <v/>
      </c>
      <c r="M1654" s="6"/>
      <c r="N1654" s="6"/>
      <c r="O1654" s="46" t="str">
        <f aca="false">IF($A1654="","",DATE(YEAR($A1654),MONTH($A1654),1))</f>
        <v/>
      </c>
    </row>
    <row r="1655" customFormat="false" ht="15" hidden="false" customHeight="false" outlineLevel="0" collapsed="false">
      <c r="A1655" s="44"/>
      <c r="B1655" s="6"/>
      <c r="C1655" s="6"/>
      <c r="D1655" s="8" t="str">
        <f aca="false">IF($C1655="","",IFERROR(INDEX(PRODUCTOS!$B$6:$B$105,MATCH($C1655,PRODUCTOS!$A$6:$A$105,0)),"¿Código?"))</f>
        <v/>
      </c>
      <c r="E1655" s="42"/>
      <c r="F1655" s="35" t="str">
        <f aca="false">IF($C1655="","",IFERROR(INDEX(PRODUCTOS!$D$6:$D$105,MATCH($C1655,PRODUCTOS!$A$6:$A$105,0)),0))</f>
        <v/>
      </c>
      <c r="G1655" s="40"/>
      <c r="H1655" s="35" t="str">
        <f aca="false">IF($C1655="","",N($E1655)*$F1655-N($G1655))</f>
        <v/>
      </c>
      <c r="I1655" s="35" t="str">
        <f aca="false">IF($C1655="","",$H1655-$H1655/(1+IFERROR(INDEX(PRODUCTOS!$E$6:$E$105,MATCH($C1655,PRODUCTOS!$A$6:$A$105,0)),IVA_VENTAS)))</f>
        <v/>
      </c>
      <c r="J1655" s="35" t="str">
        <f aca="false">IF($C1655="","",$H1655-$I1655)</f>
        <v/>
      </c>
      <c r="K1655" s="35" t="str">
        <f aca="false">IF($C1655="","",N($E1655)*IFERROR(INDEX(PRODUCTOS!$H$6:$H$105,MATCH($C1655,PRODUCTOS!$A$6:$A$105,0)),0))</f>
        <v/>
      </c>
      <c r="L1655" s="35" t="str">
        <f aca="false">IF($C1655="","",$J1655-$K1655)</f>
        <v/>
      </c>
      <c r="M1655" s="6"/>
      <c r="N1655" s="6"/>
      <c r="O1655" s="46" t="str">
        <f aca="false">IF($A1655="","",DATE(YEAR($A1655),MONTH($A1655),1))</f>
        <v/>
      </c>
    </row>
    <row r="1656" customFormat="false" ht="15" hidden="false" customHeight="false" outlineLevel="0" collapsed="false">
      <c r="A1656" s="44"/>
      <c r="B1656" s="6"/>
      <c r="C1656" s="6"/>
      <c r="D1656" s="8" t="str">
        <f aca="false">IF($C1656="","",IFERROR(INDEX(PRODUCTOS!$B$6:$B$105,MATCH($C1656,PRODUCTOS!$A$6:$A$105,0)),"¿Código?"))</f>
        <v/>
      </c>
      <c r="E1656" s="42"/>
      <c r="F1656" s="35" t="str">
        <f aca="false">IF($C1656="","",IFERROR(INDEX(PRODUCTOS!$D$6:$D$105,MATCH($C1656,PRODUCTOS!$A$6:$A$105,0)),0))</f>
        <v/>
      </c>
      <c r="G1656" s="40"/>
      <c r="H1656" s="35" t="str">
        <f aca="false">IF($C1656="","",N($E1656)*$F1656-N($G1656))</f>
        <v/>
      </c>
      <c r="I1656" s="35" t="str">
        <f aca="false">IF($C1656="","",$H1656-$H1656/(1+IFERROR(INDEX(PRODUCTOS!$E$6:$E$105,MATCH($C1656,PRODUCTOS!$A$6:$A$105,0)),IVA_VENTAS)))</f>
        <v/>
      </c>
      <c r="J1656" s="35" t="str">
        <f aca="false">IF($C1656="","",$H1656-$I1656)</f>
        <v/>
      </c>
      <c r="K1656" s="35" t="str">
        <f aca="false">IF($C1656="","",N($E1656)*IFERROR(INDEX(PRODUCTOS!$H$6:$H$105,MATCH($C1656,PRODUCTOS!$A$6:$A$105,0)),0))</f>
        <v/>
      </c>
      <c r="L1656" s="35" t="str">
        <f aca="false">IF($C1656="","",$J1656-$K1656)</f>
        <v/>
      </c>
      <c r="M1656" s="6"/>
      <c r="N1656" s="6"/>
      <c r="O1656" s="46" t="str">
        <f aca="false">IF($A1656="","",DATE(YEAR($A1656),MONTH($A1656),1))</f>
        <v/>
      </c>
    </row>
    <row r="1657" customFormat="false" ht="15" hidden="false" customHeight="false" outlineLevel="0" collapsed="false">
      <c r="A1657" s="44"/>
      <c r="B1657" s="6"/>
      <c r="C1657" s="6"/>
      <c r="D1657" s="8" t="str">
        <f aca="false">IF($C1657="","",IFERROR(INDEX(PRODUCTOS!$B$6:$B$105,MATCH($C1657,PRODUCTOS!$A$6:$A$105,0)),"¿Código?"))</f>
        <v/>
      </c>
      <c r="E1657" s="42"/>
      <c r="F1657" s="35" t="str">
        <f aca="false">IF($C1657="","",IFERROR(INDEX(PRODUCTOS!$D$6:$D$105,MATCH($C1657,PRODUCTOS!$A$6:$A$105,0)),0))</f>
        <v/>
      </c>
      <c r="G1657" s="40"/>
      <c r="H1657" s="35" t="str">
        <f aca="false">IF($C1657="","",N($E1657)*$F1657-N($G1657))</f>
        <v/>
      </c>
      <c r="I1657" s="35" t="str">
        <f aca="false">IF($C1657="","",$H1657-$H1657/(1+IFERROR(INDEX(PRODUCTOS!$E$6:$E$105,MATCH($C1657,PRODUCTOS!$A$6:$A$105,0)),IVA_VENTAS)))</f>
        <v/>
      </c>
      <c r="J1657" s="35" t="str">
        <f aca="false">IF($C1657="","",$H1657-$I1657)</f>
        <v/>
      </c>
      <c r="K1657" s="35" t="str">
        <f aca="false">IF($C1657="","",N($E1657)*IFERROR(INDEX(PRODUCTOS!$H$6:$H$105,MATCH($C1657,PRODUCTOS!$A$6:$A$105,0)),0))</f>
        <v/>
      </c>
      <c r="L1657" s="35" t="str">
        <f aca="false">IF($C1657="","",$J1657-$K1657)</f>
        <v/>
      </c>
      <c r="M1657" s="6"/>
      <c r="N1657" s="6"/>
      <c r="O1657" s="46" t="str">
        <f aca="false">IF($A1657="","",DATE(YEAR($A1657),MONTH($A1657),1))</f>
        <v/>
      </c>
    </row>
    <row r="1658" customFormat="false" ht="15" hidden="false" customHeight="false" outlineLevel="0" collapsed="false">
      <c r="A1658" s="44"/>
      <c r="B1658" s="6"/>
      <c r="C1658" s="6"/>
      <c r="D1658" s="8" t="str">
        <f aca="false">IF($C1658="","",IFERROR(INDEX(PRODUCTOS!$B$6:$B$105,MATCH($C1658,PRODUCTOS!$A$6:$A$105,0)),"¿Código?"))</f>
        <v/>
      </c>
      <c r="E1658" s="42"/>
      <c r="F1658" s="35" t="str">
        <f aca="false">IF($C1658="","",IFERROR(INDEX(PRODUCTOS!$D$6:$D$105,MATCH($C1658,PRODUCTOS!$A$6:$A$105,0)),0))</f>
        <v/>
      </c>
      <c r="G1658" s="40"/>
      <c r="H1658" s="35" t="str">
        <f aca="false">IF($C1658="","",N($E1658)*$F1658-N($G1658))</f>
        <v/>
      </c>
      <c r="I1658" s="35" t="str">
        <f aca="false">IF($C1658="","",$H1658-$H1658/(1+IFERROR(INDEX(PRODUCTOS!$E$6:$E$105,MATCH($C1658,PRODUCTOS!$A$6:$A$105,0)),IVA_VENTAS)))</f>
        <v/>
      </c>
      <c r="J1658" s="35" t="str">
        <f aca="false">IF($C1658="","",$H1658-$I1658)</f>
        <v/>
      </c>
      <c r="K1658" s="35" t="str">
        <f aca="false">IF($C1658="","",N($E1658)*IFERROR(INDEX(PRODUCTOS!$H$6:$H$105,MATCH($C1658,PRODUCTOS!$A$6:$A$105,0)),0))</f>
        <v/>
      </c>
      <c r="L1658" s="35" t="str">
        <f aca="false">IF($C1658="","",$J1658-$K1658)</f>
        <v/>
      </c>
      <c r="M1658" s="6"/>
      <c r="N1658" s="6"/>
      <c r="O1658" s="46" t="str">
        <f aca="false">IF($A1658="","",DATE(YEAR($A1658),MONTH($A1658),1))</f>
        <v/>
      </c>
    </row>
    <row r="1659" customFormat="false" ht="15" hidden="false" customHeight="false" outlineLevel="0" collapsed="false">
      <c r="A1659" s="44"/>
      <c r="B1659" s="6"/>
      <c r="C1659" s="6"/>
      <c r="D1659" s="8" t="str">
        <f aca="false">IF($C1659="","",IFERROR(INDEX(PRODUCTOS!$B$6:$B$105,MATCH($C1659,PRODUCTOS!$A$6:$A$105,0)),"¿Código?"))</f>
        <v/>
      </c>
      <c r="E1659" s="42"/>
      <c r="F1659" s="35" t="str">
        <f aca="false">IF($C1659="","",IFERROR(INDEX(PRODUCTOS!$D$6:$D$105,MATCH($C1659,PRODUCTOS!$A$6:$A$105,0)),0))</f>
        <v/>
      </c>
      <c r="G1659" s="40"/>
      <c r="H1659" s="35" t="str">
        <f aca="false">IF($C1659="","",N($E1659)*$F1659-N($G1659))</f>
        <v/>
      </c>
      <c r="I1659" s="35" t="str">
        <f aca="false">IF($C1659="","",$H1659-$H1659/(1+IFERROR(INDEX(PRODUCTOS!$E$6:$E$105,MATCH($C1659,PRODUCTOS!$A$6:$A$105,0)),IVA_VENTAS)))</f>
        <v/>
      </c>
      <c r="J1659" s="35" t="str">
        <f aca="false">IF($C1659="","",$H1659-$I1659)</f>
        <v/>
      </c>
      <c r="K1659" s="35" t="str">
        <f aca="false">IF($C1659="","",N($E1659)*IFERROR(INDEX(PRODUCTOS!$H$6:$H$105,MATCH($C1659,PRODUCTOS!$A$6:$A$105,0)),0))</f>
        <v/>
      </c>
      <c r="L1659" s="35" t="str">
        <f aca="false">IF($C1659="","",$J1659-$K1659)</f>
        <v/>
      </c>
      <c r="M1659" s="6"/>
      <c r="N1659" s="6"/>
      <c r="O1659" s="46" t="str">
        <f aca="false">IF($A1659="","",DATE(YEAR($A1659),MONTH($A1659),1))</f>
        <v/>
      </c>
    </row>
    <row r="1660" customFormat="false" ht="15" hidden="false" customHeight="false" outlineLevel="0" collapsed="false">
      <c r="A1660" s="44"/>
      <c r="B1660" s="6"/>
      <c r="C1660" s="6"/>
      <c r="D1660" s="8" t="str">
        <f aca="false">IF($C1660="","",IFERROR(INDEX(PRODUCTOS!$B$6:$B$105,MATCH($C1660,PRODUCTOS!$A$6:$A$105,0)),"¿Código?"))</f>
        <v/>
      </c>
      <c r="E1660" s="42"/>
      <c r="F1660" s="35" t="str">
        <f aca="false">IF($C1660="","",IFERROR(INDEX(PRODUCTOS!$D$6:$D$105,MATCH($C1660,PRODUCTOS!$A$6:$A$105,0)),0))</f>
        <v/>
      </c>
      <c r="G1660" s="40"/>
      <c r="H1660" s="35" t="str">
        <f aca="false">IF($C1660="","",N($E1660)*$F1660-N($G1660))</f>
        <v/>
      </c>
      <c r="I1660" s="35" t="str">
        <f aca="false">IF($C1660="","",$H1660-$H1660/(1+IFERROR(INDEX(PRODUCTOS!$E$6:$E$105,MATCH($C1660,PRODUCTOS!$A$6:$A$105,0)),IVA_VENTAS)))</f>
        <v/>
      </c>
      <c r="J1660" s="35" t="str">
        <f aca="false">IF($C1660="","",$H1660-$I1660)</f>
        <v/>
      </c>
      <c r="K1660" s="35" t="str">
        <f aca="false">IF($C1660="","",N($E1660)*IFERROR(INDEX(PRODUCTOS!$H$6:$H$105,MATCH($C1660,PRODUCTOS!$A$6:$A$105,0)),0))</f>
        <v/>
      </c>
      <c r="L1660" s="35" t="str">
        <f aca="false">IF($C1660="","",$J1660-$K1660)</f>
        <v/>
      </c>
      <c r="M1660" s="6"/>
      <c r="N1660" s="6"/>
      <c r="O1660" s="46" t="str">
        <f aca="false">IF($A1660="","",DATE(YEAR($A1660),MONTH($A1660),1))</f>
        <v/>
      </c>
    </row>
    <row r="1661" customFormat="false" ht="15" hidden="false" customHeight="false" outlineLevel="0" collapsed="false">
      <c r="A1661" s="44"/>
      <c r="B1661" s="6"/>
      <c r="C1661" s="6"/>
      <c r="D1661" s="8" t="str">
        <f aca="false">IF($C1661="","",IFERROR(INDEX(PRODUCTOS!$B$6:$B$105,MATCH($C1661,PRODUCTOS!$A$6:$A$105,0)),"¿Código?"))</f>
        <v/>
      </c>
      <c r="E1661" s="42"/>
      <c r="F1661" s="35" t="str">
        <f aca="false">IF($C1661="","",IFERROR(INDEX(PRODUCTOS!$D$6:$D$105,MATCH($C1661,PRODUCTOS!$A$6:$A$105,0)),0))</f>
        <v/>
      </c>
      <c r="G1661" s="40"/>
      <c r="H1661" s="35" t="str">
        <f aca="false">IF($C1661="","",N($E1661)*$F1661-N($G1661))</f>
        <v/>
      </c>
      <c r="I1661" s="35" t="str">
        <f aca="false">IF($C1661="","",$H1661-$H1661/(1+IFERROR(INDEX(PRODUCTOS!$E$6:$E$105,MATCH($C1661,PRODUCTOS!$A$6:$A$105,0)),IVA_VENTAS)))</f>
        <v/>
      </c>
      <c r="J1661" s="35" t="str">
        <f aca="false">IF($C1661="","",$H1661-$I1661)</f>
        <v/>
      </c>
      <c r="K1661" s="35" t="str">
        <f aca="false">IF($C1661="","",N($E1661)*IFERROR(INDEX(PRODUCTOS!$H$6:$H$105,MATCH($C1661,PRODUCTOS!$A$6:$A$105,0)),0))</f>
        <v/>
      </c>
      <c r="L1661" s="35" t="str">
        <f aca="false">IF($C1661="","",$J1661-$K1661)</f>
        <v/>
      </c>
      <c r="M1661" s="6"/>
      <c r="N1661" s="6"/>
      <c r="O1661" s="46" t="str">
        <f aca="false">IF($A1661="","",DATE(YEAR($A1661),MONTH($A1661),1))</f>
        <v/>
      </c>
    </row>
    <row r="1662" customFormat="false" ht="15" hidden="false" customHeight="false" outlineLevel="0" collapsed="false">
      <c r="A1662" s="44"/>
      <c r="B1662" s="6"/>
      <c r="C1662" s="6"/>
      <c r="D1662" s="8" t="str">
        <f aca="false">IF($C1662="","",IFERROR(INDEX(PRODUCTOS!$B$6:$B$105,MATCH($C1662,PRODUCTOS!$A$6:$A$105,0)),"¿Código?"))</f>
        <v/>
      </c>
      <c r="E1662" s="42"/>
      <c r="F1662" s="35" t="str">
        <f aca="false">IF($C1662="","",IFERROR(INDEX(PRODUCTOS!$D$6:$D$105,MATCH($C1662,PRODUCTOS!$A$6:$A$105,0)),0))</f>
        <v/>
      </c>
      <c r="G1662" s="40"/>
      <c r="H1662" s="35" t="str">
        <f aca="false">IF($C1662="","",N($E1662)*$F1662-N($G1662))</f>
        <v/>
      </c>
      <c r="I1662" s="35" t="str">
        <f aca="false">IF($C1662="","",$H1662-$H1662/(1+IFERROR(INDEX(PRODUCTOS!$E$6:$E$105,MATCH($C1662,PRODUCTOS!$A$6:$A$105,0)),IVA_VENTAS)))</f>
        <v/>
      </c>
      <c r="J1662" s="35" t="str">
        <f aca="false">IF($C1662="","",$H1662-$I1662)</f>
        <v/>
      </c>
      <c r="K1662" s="35" t="str">
        <f aca="false">IF($C1662="","",N($E1662)*IFERROR(INDEX(PRODUCTOS!$H$6:$H$105,MATCH($C1662,PRODUCTOS!$A$6:$A$105,0)),0))</f>
        <v/>
      </c>
      <c r="L1662" s="35" t="str">
        <f aca="false">IF($C1662="","",$J1662-$K1662)</f>
        <v/>
      </c>
      <c r="M1662" s="6"/>
      <c r="N1662" s="6"/>
      <c r="O1662" s="46" t="str">
        <f aca="false">IF($A1662="","",DATE(YEAR($A1662),MONTH($A1662),1))</f>
        <v/>
      </c>
    </row>
    <row r="1663" customFormat="false" ht="15" hidden="false" customHeight="false" outlineLevel="0" collapsed="false">
      <c r="A1663" s="44"/>
      <c r="B1663" s="6"/>
      <c r="C1663" s="6"/>
      <c r="D1663" s="8" t="str">
        <f aca="false">IF($C1663="","",IFERROR(INDEX(PRODUCTOS!$B$6:$B$105,MATCH($C1663,PRODUCTOS!$A$6:$A$105,0)),"¿Código?"))</f>
        <v/>
      </c>
      <c r="E1663" s="42"/>
      <c r="F1663" s="35" t="str">
        <f aca="false">IF($C1663="","",IFERROR(INDEX(PRODUCTOS!$D$6:$D$105,MATCH($C1663,PRODUCTOS!$A$6:$A$105,0)),0))</f>
        <v/>
      </c>
      <c r="G1663" s="40"/>
      <c r="H1663" s="35" t="str">
        <f aca="false">IF($C1663="","",N($E1663)*$F1663-N($G1663))</f>
        <v/>
      </c>
      <c r="I1663" s="35" t="str">
        <f aca="false">IF($C1663="","",$H1663-$H1663/(1+IFERROR(INDEX(PRODUCTOS!$E$6:$E$105,MATCH($C1663,PRODUCTOS!$A$6:$A$105,0)),IVA_VENTAS)))</f>
        <v/>
      </c>
      <c r="J1663" s="35" t="str">
        <f aca="false">IF($C1663="","",$H1663-$I1663)</f>
        <v/>
      </c>
      <c r="K1663" s="35" t="str">
        <f aca="false">IF($C1663="","",N($E1663)*IFERROR(INDEX(PRODUCTOS!$H$6:$H$105,MATCH($C1663,PRODUCTOS!$A$6:$A$105,0)),0))</f>
        <v/>
      </c>
      <c r="L1663" s="35" t="str">
        <f aca="false">IF($C1663="","",$J1663-$K1663)</f>
        <v/>
      </c>
      <c r="M1663" s="6"/>
      <c r="N1663" s="6"/>
      <c r="O1663" s="46" t="str">
        <f aca="false">IF($A1663="","",DATE(YEAR($A1663),MONTH($A1663),1))</f>
        <v/>
      </c>
    </row>
    <row r="1664" customFormat="false" ht="15" hidden="false" customHeight="false" outlineLevel="0" collapsed="false">
      <c r="A1664" s="44"/>
      <c r="B1664" s="6"/>
      <c r="C1664" s="6"/>
      <c r="D1664" s="8" t="str">
        <f aca="false">IF($C1664="","",IFERROR(INDEX(PRODUCTOS!$B$6:$B$105,MATCH($C1664,PRODUCTOS!$A$6:$A$105,0)),"¿Código?"))</f>
        <v/>
      </c>
      <c r="E1664" s="42"/>
      <c r="F1664" s="35" t="str">
        <f aca="false">IF($C1664="","",IFERROR(INDEX(PRODUCTOS!$D$6:$D$105,MATCH($C1664,PRODUCTOS!$A$6:$A$105,0)),0))</f>
        <v/>
      </c>
      <c r="G1664" s="40"/>
      <c r="H1664" s="35" t="str">
        <f aca="false">IF($C1664="","",N($E1664)*$F1664-N($G1664))</f>
        <v/>
      </c>
      <c r="I1664" s="35" t="str">
        <f aca="false">IF($C1664="","",$H1664-$H1664/(1+IFERROR(INDEX(PRODUCTOS!$E$6:$E$105,MATCH($C1664,PRODUCTOS!$A$6:$A$105,0)),IVA_VENTAS)))</f>
        <v/>
      </c>
      <c r="J1664" s="35" t="str">
        <f aca="false">IF($C1664="","",$H1664-$I1664)</f>
        <v/>
      </c>
      <c r="K1664" s="35" t="str">
        <f aca="false">IF($C1664="","",N($E1664)*IFERROR(INDEX(PRODUCTOS!$H$6:$H$105,MATCH($C1664,PRODUCTOS!$A$6:$A$105,0)),0))</f>
        <v/>
      </c>
      <c r="L1664" s="35" t="str">
        <f aca="false">IF($C1664="","",$J1664-$K1664)</f>
        <v/>
      </c>
      <c r="M1664" s="6"/>
      <c r="N1664" s="6"/>
      <c r="O1664" s="46" t="str">
        <f aca="false">IF($A1664="","",DATE(YEAR($A1664),MONTH($A1664),1))</f>
        <v/>
      </c>
    </row>
    <row r="1665" customFormat="false" ht="15" hidden="false" customHeight="false" outlineLevel="0" collapsed="false">
      <c r="A1665" s="44"/>
      <c r="B1665" s="6"/>
      <c r="C1665" s="6"/>
      <c r="D1665" s="8" t="str">
        <f aca="false">IF($C1665="","",IFERROR(INDEX(PRODUCTOS!$B$6:$B$105,MATCH($C1665,PRODUCTOS!$A$6:$A$105,0)),"¿Código?"))</f>
        <v/>
      </c>
      <c r="E1665" s="42"/>
      <c r="F1665" s="35" t="str">
        <f aca="false">IF($C1665="","",IFERROR(INDEX(PRODUCTOS!$D$6:$D$105,MATCH($C1665,PRODUCTOS!$A$6:$A$105,0)),0))</f>
        <v/>
      </c>
      <c r="G1665" s="40"/>
      <c r="H1665" s="35" t="str">
        <f aca="false">IF($C1665="","",N($E1665)*$F1665-N($G1665))</f>
        <v/>
      </c>
      <c r="I1665" s="35" t="str">
        <f aca="false">IF($C1665="","",$H1665-$H1665/(1+IFERROR(INDEX(PRODUCTOS!$E$6:$E$105,MATCH($C1665,PRODUCTOS!$A$6:$A$105,0)),IVA_VENTAS)))</f>
        <v/>
      </c>
      <c r="J1665" s="35" t="str">
        <f aca="false">IF($C1665="","",$H1665-$I1665)</f>
        <v/>
      </c>
      <c r="K1665" s="35" t="str">
        <f aca="false">IF($C1665="","",N($E1665)*IFERROR(INDEX(PRODUCTOS!$H$6:$H$105,MATCH($C1665,PRODUCTOS!$A$6:$A$105,0)),0))</f>
        <v/>
      </c>
      <c r="L1665" s="35" t="str">
        <f aca="false">IF($C1665="","",$J1665-$K1665)</f>
        <v/>
      </c>
      <c r="M1665" s="6"/>
      <c r="N1665" s="6"/>
      <c r="O1665" s="46" t="str">
        <f aca="false">IF($A1665="","",DATE(YEAR($A1665),MONTH($A1665),1))</f>
        <v/>
      </c>
    </row>
    <row r="1666" customFormat="false" ht="15" hidden="false" customHeight="false" outlineLevel="0" collapsed="false">
      <c r="A1666" s="44"/>
      <c r="B1666" s="6"/>
      <c r="C1666" s="6"/>
      <c r="D1666" s="8" t="str">
        <f aca="false">IF($C1666="","",IFERROR(INDEX(PRODUCTOS!$B$6:$B$105,MATCH($C1666,PRODUCTOS!$A$6:$A$105,0)),"¿Código?"))</f>
        <v/>
      </c>
      <c r="E1666" s="42"/>
      <c r="F1666" s="35" t="str">
        <f aca="false">IF($C1666="","",IFERROR(INDEX(PRODUCTOS!$D$6:$D$105,MATCH($C1666,PRODUCTOS!$A$6:$A$105,0)),0))</f>
        <v/>
      </c>
      <c r="G1666" s="40"/>
      <c r="H1666" s="35" t="str">
        <f aca="false">IF($C1666="","",N($E1666)*$F1666-N($G1666))</f>
        <v/>
      </c>
      <c r="I1666" s="35" t="str">
        <f aca="false">IF($C1666="","",$H1666-$H1666/(1+IFERROR(INDEX(PRODUCTOS!$E$6:$E$105,MATCH($C1666,PRODUCTOS!$A$6:$A$105,0)),IVA_VENTAS)))</f>
        <v/>
      </c>
      <c r="J1666" s="35" t="str">
        <f aca="false">IF($C1666="","",$H1666-$I1666)</f>
        <v/>
      </c>
      <c r="K1666" s="35" t="str">
        <f aca="false">IF($C1666="","",N($E1666)*IFERROR(INDEX(PRODUCTOS!$H$6:$H$105,MATCH($C1666,PRODUCTOS!$A$6:$A$105,0)),0))</f>
        <v/>
      </c>
      <c r="L1666" s="35" t="str">
        <f aca="false">IF($C1666="","",$J1666-$K1666)</f>
        <v/>
      </c>
      <c r="M1666" s="6"/>
      <c r="N1666" s="6"/>
      <c r="O1666" s="46" t="str">
        <f aca="false">IF($A1666="","",DATE(YEAR($A1666),MONTH($A1666),1))</f>
        <v/>
      </c>
    </row>
    <row r="1667" customFormat="false" ht="15" hidden="false" customHeight="false" outlineLevel="0" collapsed="false">
      <c r="A1667" s="44"/>
      <c r="B1667" s="6"/>
      <c r="C1667" s="6"/>
      <c r="D1667" s="8" t="str">
        <f aca="false">IF($C1667="","",IFERROR(INDEX(PRODUCTOS!$B$6:$B$105,MATCH($C1667,PRODUCTOS!$A$6:$A$105,0)),"¿Código?"))</f>
        <v/>
      </c>
      <c r="E1667" s="42"/>
      <c r="F1667" s="35" t="str">
        <f aca="false">IF($C1667="","",IFERROR(INDEX(PRODUCTOS!$D$6:$D$105,MATCH($C1667,PRODUCTOS!$A$6:$A$105,0)),0))</f>
        <v/>
      </c>
      <c r="G1667" s="40"/>
      <c r="H1667" s="35" t="str">
        <f aca="false">IF($C1667="","",N($E1667)*$F1667-N($G1667))</f>
        <v/>
      </c>
      <c r="I1667" s="35" t="str">
        <f aca="false">IF($C1667="","",$H1667-$H1667/(1+IFERROR(INDEX(PRODUCTOS!$E$6:$E$105,MATCH($C1667,PRODUCTOS!$A$6:$A$105,0)),IVA_VENTAS)))</f>
        <v/>
      </c>
      <c r="J1667" s="35" t="str">
        <f aca="false">IF($C1667="","",$H1667-$I1667)</f>
        <v/>
      </c>
      <c r="K1667" s="35" t="str">
        <f aca="false">IF($C1667="","",N($E1667)*IFERROR(INDEX(PRODUCTOS!$H$6:$H$105,MATCH($C1667,PRODUCTOS!$A$6:$A$105,0)),0))</f>
        <v/>
      </c>
      <c r="L1667" s="35" t="str">
        <f aca="false">IF($C1667="","",$J1667-$K1667)</f>
        <v/>
      </c>
      <c r="M1667" s="6"/>
      <c r="N1667" s="6"/>
      <c r="O1667" s="46" t="str">
        <f aca="false">IF($A1667="","",DATE(YEAR($A1667),MONTH($A1667),1))</f>
        <v/>
      </c>
    </row>
    <row r="1668" customFormat="false" ht="15" hidden="false" customHeight="false" outlineLevel="0" collapsed="false">
      <c r="A1668" s="44"/>
      <c r="B1668" s="6"/>
      <c r="C1668" s="6"/>
      <c r="D1668" s="8" t="str">
        <f aca="false">IF($C1668="","",IFERROR(INDEX(PRODUCTOS!$B$6:$B$105,MATCH($C1668,PRODUCTOS!$A$6:$A$105,0)),"¿Código?"))</f>
        <v/>
      </c>
      <c r="E1668" s="42"/>
      <c r="F1668" s="35" t="str">
        <f aca="false">IF($C1668="","",IFERROR(INDEX(PRODUCTOS!$D$6:$D$105,MATCH($C1668,PRODUCTOS!$A$6:$A$105,0)),0))</f>
        <v/>
      </c>
      <c r="G1668" s="40"/>
      <c r="H1668" s="35" t="str">
        <f aca="false">IF($C1668="","",N($E1668)*$F1668-N($G1668))</f>
        <v/>
      </c>
      <c r="I1668" s="35" t="str">
        <f aca="false">IF($C1668="","",$H1668-$H1668/(1+IFERROR(INDEX(PRODUCTOS!$E$6:$E$105,MATCH($C1668,PRODUCTOS!$A$6:$A$105,0)),IVA_VENTAS)))</f>
        <v/>
      </c>
      <c r="J1668" s="35" t="str">
        <f aca="false">IF($C1668="","",$H1668-$I1668)</f>
        <v/>
      </c>
      <c r="K1668" s="35" t="str">
        <f aca="false">IF($C1668="","",N($E1668)*IFERROR(INDEX(PRODUCTOS!$H$6:$H$105,MATCH($C1668,PRODUCTOS!$A$6:$A$105,0)),0))</f>
        <v/>
      </c>
      <c r="L1668" s="35" t="str">
        <f aca="false">IF($C1668="","",$J1668-$K1668)</f>
        <v/>
      </c>
      <c r="M1668" s="6"/>
      <c r="N1668" s="6"/>
      <c r="O1668" s="46" t="str">
        <f aca="false">IF($A1668="","",DATE(YEAR($A1668),MONTH($A1668),1))</f>
        <v/>
      </c>
    </row>
    <row r="1669" customFormat="false" ht="15" hidden="false" customHeight="false" outlineLevel="0" collapsed="false">
      <c r="A1669" s="44"/>
      <c r="B1669" s="6"/>
      <c r="C1669" s="6"/>
      <c r="D1669" s="8" t="str">
        <f aca="false">IF($C1669="","",IFERROR(INDEX(PRODUCTOS!$B$6:$B$105,MATCH($C1669,PRODUCTOS!$A$6:$A$105,0)),"¿Código?"))</f>
        <v/>
      </c>
      <c r="E1669" s="42"/>
      <c r="F1669" s="35" t="str">
        <f aca="false">IF($C1669="","",IFERROR(INDEX(PRODUCTOS!$D$6:$D$105,MATCH($C1669,PRODUCTOS!$A$6:$A$105,0)),0))</f>
        <v/>
      </c>
      <c r="G1669" s="40"/>
      <c r="H1669" s="35" t="str">
        <f aca="false">IF($C1669="","",N($E1669)*$F1669-N($G1669))</f>
        <v/>
      </c>
      <c r="I1669" s="35" t="str">
        <f aca="false">IF($C1669="","",$H1669-$H1669/(1+IFERROR(INDEX(PRODUCTOS!$E$6:$E$105,MATCH($C1669,PRODUCTOS!$A$6:$A$105,0)),IVA_VENTAS)))</f>
        <v/>
      </c>
      <c r="J1669" s="35" t="str">
        <f aca="false">IF($C1669="","",$H1669-$I1669)</f>
        <v/>
      </c>
      <c r="K1669" s="35" t="str">
        <f aca="false">IF($C1669="","",N($E1669)*IFERROR(INDEX(PRODUCTOS!$H$6:$H$105,MATCH($C1669,PRODUCTOS!$A$6:$A$105,0)),0))</f>
        <v/>
      </c>
      <c r="L1669" s="35" t="str">
        <f aca="false">IF($C1669="","",$J1669-$K1669)</f>
        <v/>
      </c>
      <c r="M1669" s="6"/>
      <c r="N1669" s="6"/>
      <c r="O1669" s="46" t="str">
        <f aca="false">IF($A1669="","",DATE(YEAR($A1669),MONTH($A1669),1))</f>
        <v/>
      </c>
    </row>
    <row r="1670" customFormat="false" ht="15" hidden="false" customHeight="false" outlineLevel="0" collapsed="false">
      <c r="A1670" s="44"/>
      <c r="B1670" s="6"/>
      <c r="C1670" s="6"/>
      <c r="D1670" s="8" t="str">
        <f aca="false">IF($C1670="","",IFERROR(INDEX(PRODUCTOS!$B$6:$B$105,MATCH($C1670,PRODUCTOS!$A$6:$A$105,0)),"¿Código?"))</f>
        <v/>
      </c>
      <c r="E1670" s="42"/>
      <c r="F1670" s="35" t="str">
        <f aca="false">IF($C1670="","",IFERROR(INDEX(PRODUCTOS!$D$6:$D$105,MATCH($C1670,PRODUCTOS!$A$6:$A$105,0)),0))</f>
        <v/>
      </c>
      <c r="G1670" s="40"/>
      <c r="H1670" s="35" t="str">
        <f aca="false">IF($C1670="","",N($E1670)*$F1670-N($G1670))</f>
        <v/>
      </c>
      <c r="I1670" s="35" t="str">
        <f aca="false">IF($C1670="","",$H1670-$H1670/(1+IFERROR(INDEX(PRODUCTOS!$E$6:$E$105,MATCH($C1670,PRODUCTOS!$A$6:$A$105,0)),IVA_VENTAS)))</f>
        <v/>
      </c>
      <c r="J1670" s="35" t="str">
        <f aca="false">IF($C1670="","",$H1670-$I1670)</f>
        <v/>
      </c>
      <c r="K1670" s="35" t="str">
        <f aca="false">IF($C1670="","",N($E1670)*IFERROR(INDEX(PRODUCTOS!$H$6:$H$105,MATCH($C1670,PRODUCTOS!$A$6:$A$105,0)),0))</f>
        <v/>
      </c>
      <c r="L1670" s="35" t="str">
        <f aca="false">IF($C1670="","",$J1670-$K1670)</f>
        <v/>
      </c>
      <c r="M1670" s="6"/>
      <c r="N1670" s="6"/>
      <c r="O1670" s="46" t="str">
        <f aca="false">IF($A1670="","",DATE(YEAR($A1670),MONTH($A1670),1))</f>
        <v/>
      </c>
    </row>
    <row r="1671" customFormat="false" ht="15" hidden="false" customHeight="false" outlineLevel="0" collapsed="false">
      <c r="A1671" s="44"/>
      <c r="B1671" s="6"/>
      <c r="C1671" s="6"/>
      <c r="D1671" s="8" t="str">
        <f aca="false">IF($C1671="","",IFERROR(INDEX(PRODUCTOS!$B$6:$B$105,MATCH($C1671,PRODUCTOS!$A$6:$A$105,0)),"¿Código?"))</f>
        <v/>
      </c>
      <c r="E1671" s="42"/>
      <c r="F1671" s="35" t="str">
        <f aca="false">IF($C1671="","",IFERROR(INDEX(PRODUCTOS!$D$6:$D$105,MATCH($C1671,PRODUCTOS!$A$6:$A$105,0)),0))</f>
        <v/>
      </c>
      <c r="G1671" s="40"/>
      <c r="H1671" s="35" t="str">
        <f aca="false">IF($C1671="","",N($E1671)*$F1671-N($G1671))</f>
        <v/>
      </c>
      <c r="I1671" s="35" t="str">
        <f aca="false">IF($C1671="","",$H1671-$H1671/(1+IFERROR(INDEX(PRODUCTOS!$E$6:$E$105,MATCH($C1671,PRODUCTOS!$A$6:$A$105,0)),IVA_VENTAS)))</f>
        <v/>
      </c>
      <c r="J1671" s="35" t="str">
        <f aca="false">IF($C1671="","",$H1671-$I1671)</f>
        <v/>
      </c>
      <c r="K1671" s="35" t="str">
        <f aca="false">IF($C1671="","",N($E1671)*IFERROR(INDEX(PRODUCTOS!$H$6:$H$105,MATCH($C1671,PRODUCTOS!$A$6:$A$105,0)),0))</f>
        <v/>
      </c>
      <c r="L1671" s="35" t="str">
        <f aca="false">IF($C1671="","",$J1671-$K1671)</f>
        <v/>
      </c>
      <c r="M1671" s="6"/>
      <c r="N1671" s="6"/>
      <c r="O1671" s="46" t="str">
        <f aca="false">IF($A1671="","",DATE(YEAR($A1671),MONTH($A1671),1))</f>
        <v/>
      </c>
    </row>
    <row r="1672" customFormat="false" ht="15" hidden="false" customHeight="false" outlineLevel="0" collapsed="false">
      <c r="A1672" s="44"/>
      <c r="B1672" s="6"/>
      <c r="C1672" s="6"/>
      <c r="D1672" s="8" t="str">
        <f aca="false">IF($C1672="","",IFERROR(INDEX(PRODUCTOS!$B$6:$B$105,MATCH($C1672,PRODUCTOS!$A$6:$A$105,0)),"¿Código?"))</f>
        <v/>
      </c>
      <c r="E1672" s="42"/>
      <c r="F1672" s="35" t="str">
        <f aca="false">IF($C1672="","",IFERROR(INDEX(PRODUCTOS!$D$6:$D$105,MATCH($C1672,PRODUCTOS!$A$6:$A$105,0)),0))</f>
        <v/>
      </c>
      <c r="G1672" s="40"/>
      <c r="H1672" s="35" t="str">
        <f aca="false">IF($C1672="","",N($E1672)*$F1672-N($G1672))</f>
        <v/>
      </c>
      <c r="I1672" s="35" t="str">
        <f aca="false">IF($C1672="","",$H1672-$H1672/(1+IFERROR(INDEX(PRODUCTOS!$E$6:$E$105,MATCH($C1672,PRODUCTOS!$A$6:$A$105,0)),IVA_VENTAS)))</f>
        <v/>
      </c>
      <c r="J1672" s="35" t="str">
        <f aca="false">IF($C1672="","",$H1672-$I1672)</f>
        <v/>
      </c>
      <c r="K1672" s="35" t="str">
        <f aca="false">IF($C1672="","",N($E1672)*IFERROR(INDEX(PRODUCTOS!$H$6:$H$105,MATCH($C1672,PRODUCTOS!$A$6:$A$105,0)),0))</f>
        <v/>
      </c>
      <c r="L1672" s="35" t="str">
        <f aca="false">IF($C1672="","",$J1672-$K1672)</f>
        <v/>
      </c>
      <c r="M1672" s="6"/>
      <c r="N1672" s="6"/>
      <c r="O1672" s="46" t="str">
        <f aca="false">IF($A1672="","",DATE(YEAR($A1672),MONTH($A1672),1))</f>
        <v/>
      </c>
    </row>
    <row r="1673" customFormat="false" ht="15" hidden="false" customHeight="false" outlineLevel="0" collapsed="false">
      <c r="A1673" s="44"/>
      <c r="B1673" s="6"/>
      <c r="C1673" s="6"/>
      <c r="D1673" s="8" t="str">
        <f aca="false">IF($C1673="","",IFERROR(INDEX(PRODUCTOS!$B$6:$B$105,MATCH($C1673,PRODUCTOS!$A$6:$A$105,0)),"¿Código?"))</f>
        <v/>
      </c>
      <c r="E1673" s="42"/>
      <c r="F1673" s="35" t="str">
        <f aca="false">IF($C1673="","",IFERROR(INDEX(PRODUCTOS!$D$6:$D$105,MATCH($C1673,PRODUCTOS!$A$6:$A$105,0)),0))</f>
        <v/>
      </c>
      <c r="G1673" s="40"/>
      <c r="H1673" s="35" t="str">
        <f aca="false">IF($C1673="","",N($E1673)*$F1673-N($G1673))</f>
        <v/>
      </c>
      <c r="I1673" s="35" t="str">
        <f aca="false">IF($C1673="","",$H1673-$H1673/(1+IFERROR(INDEX(PRODUCTOS!$E$6:$E$105,MATCH($C1673,PRODUCTOS!$A$6:$A$105,0)),IVA_VENTAS)))</f>
        <v/>
      </c>
      <c r="J1673" s="35" t="str">
        <f aca="false">IF($C1673="","",$H1673-$I1673)</f>
        <v/>
      </c>
      <c r="K1673" s="35" t="str">
        <f aca="false">IF($C1673="","",N($E1673)*IFERROR(INDEX(PRODUCTOS!$H$6:$H$105,MATCH($C1673,PRODUCTOS!$A$6:$A$105,0)),0))</f>
        <v/>
      </c>
      <c r="L1673" s="35" t="str">
        <f aca="false">IF($C1673="","",$J1673-$K1673)</f>
        <v/>
      </c>
      <c r="M1673" s="6"/>
      <c r="N1673" s="6"/>
      <c r="O1673" s="46" t="str">
        <f aca="false">IF($A1673="","",DATE(YEAR($A1673),MONTH($A1673),1))</f>
        <v/>
      </c>
    </row>
    <row r="1674" customFormat="false" ht="15" hidden="false" customHeight="false" outlineLevel="0" collapsed="false">
      <c r="A1674" s="44"/>
      <c r="B1674" s="6"/>
      <c r="C1674" s="6"/>
      <c r="D1674" s="8" t="str">
        <f aca="false">IF($C1674="","",IFERROR(INDEX(PRODUCTOS!$B$6:$B$105,MATCH($C1674,PRODUCTOS!$A$6:$A$105,0)),"¿Código?"))</f>
        <v/>
      </c>
      <c r="E1674" s="42"/>
      <c r="F1674" s="35" t="str">
        <f aca="false">IF($C1674="","",IFERROR(INDEX(PRODUCTOS!$D$6:$D$105,MATCH($C1674,PRODUCTOS!$A$6:$A$105,0)),0))</f>
        <v/>
      </c>
      <c r="G1674" s="40"/>
      <c r="H1674" s="35" t="str">
        <f aca="false">IF($C1674="","",N($E1674)*$F1674-N($G1674))</f>
        <v/>
      </c>
      <c r="I1674" s="35" t="str">
        <f aca="false">IF($C1674="","",$H1674-$H1674/(1+IFERROR(INDEX(PRODUCTOS!$E$6:$E$105,MATCH($C1674,PRODUCTOS!$A$6:$A$105,0)),IVA_VENTAS)))</f>
        <v/>
      </c>
      <c r="J1674" s="35" t="str">
        <f aca="false">IF($C1674="","",$H1674-$I1674)</f>
        <v/>
      </c>
      <c r="K1674" s="35" t="str">
        <f aca="false">IF($C1674="","",N($E1674)*IFERROR(INDEX(PRODUCTOS!$H$6:$H$105,MATCH($C1674,PRODUCTOS!$A$6:$A$105,0)),0))</f>
        <v/>
      </c>
      <c r="L1674" s="35" t="str">
        <f aca="false">IF($C1674="","",$J1674-$K1674)</f>
        <v/>
      </c>
      <c r="M1674" s="6"/>
      <c r="N1674" s="6"/>
      <c r="O1674" s="46" t="str">
        <f aca="false">IF($A1674="","",DATE(YEAR($A1674),MONTH($A1674),1))</f>
        <v/>
      </c>
    </row>
    <row r="1675" customFormat="false" ht="15" hidden="false" customHeight="false" outlineLevel="0" collapsed="false">
      <c r="A1675" s="44"/>
      <c r="B1675" s="6"/>
      <c r="C1675" s="6"/>
      <c r="D1675" s="8" t="str">
        <f aca="false">IF($C1675="","",IFERROR(INDEX(PRODUCTOS!$B$6:$B$105,MATCH($C1675,PRODUCTOS!$A$6:$A$105,0)),"¿Código?"))</f>
        <v/>
      </c>
      <c r="E1675" s="42"/>
      <c r="F1675" s="35" t="str">
        <f aca="false">IF($C1675="","",IFERROR(INDEX(PRODUCTOS!$D$6:$D$105,MATCH($C1675,PRODUCTOS!$A$6:$A$105,0)),0))</f>
        <v/>
      </c>
      <c r="G1675" s="40"/>
      <c r="H1675" s="35" t="str">
        <f aca="false">IF($C1675="","",N($E1675)*$F1675-N($G1675))</f>
        <v/>
      </c>
      <c r="I1675" s="35" t="str">
        <f aca="false">IF($C1675="","",$H1675-$H1675/(1+IFERROR(INDEX(PRODUCTOS!$E$6:$E$105,MATCH($C1675,PRODUCTOS!$A$6:$A$105,0)),IVA_VENTAS)))</f>
        <v/>
      </c>
      <c r="J1675" s="35" t="str">
        <f aca="false">IF($C1675="","",$H1675-$I1675)</f>
        <v/>
      </c>
      <c r="K1675" s="35" t="str">
        <f aca="false">IF($C1675="","",N($E1675)*IFERROR(INDEX(PRODUCTOS!$H$6:$H$105,MATCH($C1675,PRODUCTOS!$A$6:$A$105,0)),0))</f>
        <v/>
      </c>
      <c r="L1675" s="35" t="str">
        <f aca="false">IF($C1675="","",$J1675-$K1675)</f>
        <v/>
      </c>
      <c r="M1675" s="6"/>
      <c r="N1675" s="6"/>
      <c r="O1675" s="46" t="str">
        <f aca="false">IF($A1675="","",DATE(YEAR($A1675),MONTH($A1675),1))</f>
        <v/>
      </c>
    </row>
    <row r="1676" customFormat="false" ht="15" hidden="false" customHeight="false" outlineLevel="0" collapsed="false">
      <c r="A1676" s="44"/>
      <c r="B1676" s="6"/>
      <c r="C1676" s="6"/>
      <c r="D1676" s="8" t="str">
        <f aca="false">IF($C1676="","",IFERROR(INDEX(PRODUCTOS!$B$6:$B$105,MATCH($C1676,PRODUCTOS!$A$6:$A$105,0)),"¿Código?"))</f>
        <v/>
      </c>
      <c r="E1676" s="42"/>
      <c r="F1676" s="35" t="str">
        <f aca="false">IF($C1676="","",IFERROR(INDEX(PRODUCTOS!$D$6:$D$105,MATCH($C1676,PRODUCTOS!$A$6:$A$105,0)),0))</f>
        <v/>
      </c>
      <c r="G1676" s="40"/>
      <c r="H1676" s="35" t="str">
        <f aca="false">IF($C1676="","",N($E1676)*$F1676-N($G1676))</f>
        <v/>
      </c>
      <c r="I1676" s="35" t="str">
        <f aca="false">IF($C1676="","",$H1676-$H1676/(1+IFERROR(INDEX(PRODUCTOS!$E$6:$E$105,MATCH($C1676,PRODUCTOS!$A$6:$A$105,0)),IVA_VENTAS)))</f>
        <v/>
      </c>
      <c r="J1676" s="35" t="str">
        <f aca="false">IF($C1676="","",$H1676-$I1676)</f>
        <v/>
      </c>
      <c r="K1676" s="35" t="str">
        <f aca="false">IF($C1676="","",N($E1676)*IFERROR(INDEX(PRODUCTOS!$H$6:$H$105,MATCH($C1676,PRODUCTOS!$A$6:$A$105,0)),0))</f>
        <v/>
      </c>
      <c r="L1676" s="35" t="str">
        <f aca="false">IF($C1676="","",$J1676-$K1676)</f>
        <v/>
      </c>
      <c r="M1676" s="6"/>
      <c r="N1676" s="6"/>
      <c r="O1676" s="46" t="str">
        <f aca="false">IF($A1676="","",DATE(YEAR($A1676),MONTH($A1676),1))</f>
        <v/>
      </c>
    </row>
    <row r="1677" customFormat="false" ht="15" hidden="false" customHeight="false" outlineLevel="0" collapsed="false">
      <c r="A1677" s="44"/>
      <c r="B1677" s="6"/>
      <c r="C1677" s="6"/>
      <c r="D1677" s="8" t="str">
        <f aca="false">IF($C1677="","",IFERROR(INDEX(PRODUCTOS!$B$6:$B$105,MATCH($C1677,PRODUCTOS!$A$6:$A$105,0)),"¿Código?"))</f>
        <v/>
      </c>
      <c r="E1677" s="42"/>
      <c r="F1677" s="35" t="str">
        <f aca="false">IF($C1677="","",IFERROR(INDEX(PRODUCTOS!$D$6:$D$105,MATCH($C1677,PRODUCTOS!$A$6:$A$105,0)),0))</f>
        <v/>
      </c>
      <c r="G1677" s="40"/>
      <c r="H1677" s="35" t="str">
        <f aca="false">IF($C1677="","",N($E1677)*$F1677-N($G1677))</f>
        <v/>
      </c>
      <c r="I1677" s="35" t="str">
        <f aca="false">IF($C1677="","",$H1677-$H1677/(1+IFERROR(INDEX(PRODUCTOS!$E$6:$E$105,MATCH($C1677,PRODUCTOS!$A$6:$A$105,0)),IVA_VENTAS)))</f>
        <v/>
      </c>
      <c r="J1677" s="35" t="str">
        <f aca="false">IF($C1677="","",$H1677-$I1677)</f>
        <v/>
      </c>
      <c r="K1677" s="35" t="str">
        <f aca="false">IF($C1677="","",N($E1677)*IFERROR(INDEX(PRODUCTOS!$H$6:$H$105,MATCH($C1677,PRODUCTOS!$A$6:$A$105,0)),0))</f>
        <v/>
      </c>
      <c r="L1677" s="35" t="str">
        <f aca="false">IF($C1677="","",$J1677-$K1677)</f>
        <v/>
      </c>
      <c r="M1677" s="6"/>
      <c r="N1677" s="6"/>
      <c r="O1677" s="46" t="str">
        <f aca="false">IF($A1677="","",DATE(YEAR($A1677),MONTH($A1677),1))</f>
        <v/>
      </c>
    </row>
    <row r="1678" customFormat="false" ht="15" hidden="false" customHeight="false" outlineLevel="0" collapsed="false">
      <c r="A1678" s="44"/>
      <c r="B1678" s="6"/>
      <c r="C1678" s="6"/>
      <c r="D1678" s="8" t="str">
        <f aca="false">IF($C1678="","",IFERROR(INDEX(PRODUCTOS!$B$6:$B$105,MATCH($C1678,PRODUCTOS!$A$6:$A$105,0)),"¿Código?"))</f>
        <v/>
      </c>
      <c r="E1678" s="42"/>
      <c r="F1678" s="35" t="str">
        <f aca="false">IF($C1678="","",IFERROR(INDEX(PRODUCTOS!$D$6:$D$105,MATCH($C1678,PRODUCTOS!$A$6:$A$105,0)),0))</f>
        <v/>
      </c>
      <c r="G1678" s="40"/>
      <c r="H1678" s="35" t="str">
        <f aca="false">IF($C1678="","",N($E1678)*$F1678-N($G1678))</f>
        <v/>
      </c>
      <c r="I1678" s="35" t="str">
        <f aca="false">IF($C1678="","",$H1678-$H1678/(1+IFERROR(INDEX(PRODUCTOS!$E$6:$E$105,MATCH($C1678,PRODUCTOS!$A$6:$A$105,0)),IVA_VENTAS)))</f>
        <v/>
      </c>
      <c r="J1678" s="35" t="str">
        <f aca="false">IF($C1678="","",$H1678-$I1678)</f>
        <v/>
      </c>
      <c r="K1678" s="35" t="str">
        <f aca="false">IF($C1678="","",N($E1678)*IFERROR(INDEX(PRODUCTOS!$H$6:$H$105,MATCH($C1678,PRODUCTOS!$A$6:$A$105,0)),0))</f>
        <v/>
      </c>
      <c r="L1678" s="35" t="str">
        <f aca="false">IF($C1678="","",$J1678-$K1678)</f>
        <v/>
      </c>
      <c r="M1678" s="6"/>
      <c r="N1678" s="6"/>
      <c r="O1678" s="46" t="str">
        <f aca="false">IF($A1678="","",DATE(YEAR($A1678),MONTH($A1678),1))</f>
        <v/>
      </c>
    </row>
    <row r="1679" customFormat="false" ht="15" hidden="false" customHeight="false" outlineLevel="0" collapsed="false">
      <c r="A1679" s="44"/>
      <c r="B1679" s="6"/>
      <c r="C1679" s="6"/>
      <c r="D1679" s="8" t="str">
        <f aca="false">IF($C1679="","",IFERROR(INDEX(PRODUCTOS!$B$6:$B$105,MATCH($C1679,PRODUCTOS!$A$6:$A$105,0)),"¿Código?"))</f>
        <v/>
      </c>
      <c r="E1679" s="42"/>
      <c r="F1679" s="35" t="str">
        <f aca="false">IF($C1679="","",IFERROR(INDEX(PRODUCTOS!$D$6:$D$105,MATCH($C1679,PRODUCTOS!$A$6:$A$105,0)),0))</f>
        <v/>
      </c>
      <c r="G1679" s="40"/>
      <c r="H1679" s="35" t="str">
        <f aca="false">IF($C1679="","",N($E1679)*$F1679-N($G1679))</f>
        <v/>
      </c>
      <c r="I1679" s="35" t="str">
        <f aca="false">IF($C1679="","",$H1679-$H1679/(1+IFERROR(INDEX(PRODUCTOS!$E$6:$E$105,MATCH($C1679,PRODUCTOS!$A$6:$A$105,0)),IVA_VENTAS)))</f>
        <v/>
      </c>
      <c r="J1679" s="35" t="str">
        <f aca="false">IF($C1679="","",$H1679-$I1679)</f>
        <v/>
      </c>
      <c r="K1679" s="35" t="str">
        <f aca="false">IF($C1679="","",N($E1679)*IFERROR(INDEX(PRODUCTOS!$H$6:$H$105,MATCH($C1679,PRODUCTOS!$A$6:$A$105,0)),0))</f>
        <v/>
      </c>
      <c r="L1679" s="35" t="str">
        <f aca="false">IF($C1679="","",$J1679-$K1679)</f>
        <v/>
      </c>
      <c r="M1679" s="6"/>
      <c r="N1679" s="6"/>
      <c r="O1679" s="46" t="str">
        <f aca="false">IF($A1679="","",DATE(YEAR($A1679),MONTH($A1679),1))</f>
        <v/>
      </c>
    </row>
    <row r="1680" customFormat="false" ht="15" hidden="false" customHeight="false" outlineLevel="0" collapsed="false">
      <c r="A1680" s="44"/>
      <c r="B1680" s="6"/>
      <c r="C1680" s="6"/>
      <c r="D1680" s="8" t="str">
        <f aca="false">IF($C1680="","",IFERROR(INDEX(PRODUCTOS!$B$6:$B$105,MATCH($C1680,PRODUCTOS!$A$6:$A$105,0)),"¿Código?"))</f>
        <v/>
      </c>
      <c r="E1680" s="42"/>
      <c r="F1680" s="35" t="str">
        <f aca="false">IF($C1680="","",IFERROR(INDEX(PRODUCTOS!$D$6:$D$105,MATCH($C1680,PRODUCTOS!$A$6:$A$105,0)),0))</f>
        <v/>
      </c>
      <c r="G1680" s="40"/>
      <c r="H1680" s="35" t="str">
        <f aca="false">IF($C1680="","",N($E1680)*$F1680-N($G1680))</f>
        <v/>
      </c>
      <c r="I1680" s="35" t="str">
        <f aca="false">IF($C1680="","",$H1680-$H1680/(1+IFERROR(INDEX(PRODUCTOS!$E$6:$E$105,MATCH($C1680,PRODUCTOS!$A$6:$A$105,0)),IVA_VENTAS)))</f>
        <v/>
      </c>
      <c r="J1680" s="35" t="str">
        <f aca="false">IF($C1680="","",$H1680-$I1680)</f>
        <v/>
      </c>
      <c r="K1680" s="35" t="str">
        <f aca="false">IF($C1680="","",N($E1680)*IFERROR(INDEX(PRODUCTOS!$H$6:$H$105,MATCH($C1680,PRODUCTOS!$A$6:$A$105,0)),0))</f>
        <v/>
      </c>
      <c r="L1680" s="35" t="str">
        <f aca="false">IF($C1680="","",$J1680-$K1680)</f>
        <v/>
      </c>
      <c r="M1680" s="6"/>
      <c r="N1680" s="6"/>
      <c r="O1680" s="46" t="str">
        <f aca="false">IF($A1680="","",DATE(YEAR($A1680),MONTH($A1680),1))</f>
        <v/>
      </c>
    </row>
    <row r="1681" customFormat="false" ht="15" hidden="false" customHeight="false" outlineLevel="0" collapsed="false">
      <c r="A1681" s="44"/>
      <c r="B1681" s="6"/>
      <c r="C1681" s="6"/>
      <c r="D1681" s="8" t="str">
        <f aca="false">IF($C1681="","",IFERROR(INDEX(PRODUCTOS!$B$6:$B$105,MATCH($C1681,PRODUCTOS!$A$6:$A$105,0)),"¿Código?"))</f>
        <v/>
      </c>
      <c r="E1681" s="42"/>
      <c r="F1681" s="35" t="str">
        <f aca="false">IF($C1681="","",IFERROR(INDEX(PRODUCTOS!$D$6:$D$105,MATCH($C1681,PRODUCTOS!$A$6:$A$105,0)),0))</f>
        <v/>
      </c>
      <c r="G1681" s="40"/>
      <c r="H1681" s="35" t="str">
        <f aca="false">IF($C1681="","",N($E1681)*$F1681-N($G1681))</f>
        <v/>
      </c>
      <c r="I1681" s="35" t="str">
        <f aca="false">IF($C1681="","",$H1681-$H1681/(1+IFERROR(INDEX(PRODUCTOS!$E$6:$E$105,MATCH($C1681,PRODUCTOS!$A$6:$A$105,0)),IVA_VENTAS)))</f>
        <v/>
      </c>
      <c r="J1681" s="35" t="str">
        <f aca="false">IF($C1681="","",$H1681-$I1681)</f>
        <v/>
      </c>
      <c r="K1681" s="35" t="str">
        <f aca="false">IF($C1681="","",N($E1681)*IFERROR(INDEX(PRODUCTOS!$H$6:$H$105,MATCH($C1681,PRODUCTOS!$A$6:$A$105,0)),0))</f>
        <v/>
      </c>
      <c r="L1681" s="35" t="str">
        <f aca="false">IF($C1681="","",$J1681-$K1681)</f>
        <v/>
      </c>
      <c r="M1681" s="6"/>
      <c r="N1681" s="6"/>
      <c r="O1681" s="46" t="str">
        <f aca="false">IF($A1681="","",DATE(YEAR($A1681),MONTH($A1681),1))</f>
        <v/>
      </c>
    </row>
    <row r="1682" customFormat="false" ht="15" hidden="false" customHeight="false" outlineLevel="0" collapsed="false">
      <c r="A1682" s="44"/>
      <c r="B1682" s="6"/>
      <c r="C1682" s="6"/>
      <c r="D1682" s="8" t="str">
        <f aca="false">IF($C1682="","",IFERROR(INDEX(PRODUCTOS!$B$6:$B$105,MATCH($C1682,PRODUCTOS!$A$6:$A$105,0)),"¿Código?"))</f>
        <v/>
      </c>
      <c r="E1682" s="42"/>
      <c r="F1682" s="35" t="str">
        <f aca="false">IF($C1682="","",IFERROR(INDEX(PRODUCTOS!$D$6:$D$105,MATCH($C1682,PRODUCTOS!$A$6:$A$105,0)),0))</f>
        <v/>
      </c>
      <c r="G1682" s="40"/>
      <c r="H1682" s="35" t="str">
        <f aca="false">IF($C1682="","",N($E1682)*$F1682-N($G1682))</f>
        <v/>
      </c>
      <c r="I1682" s="35" t="str">
        <f aca="false">IF($C1682="","",$H1682-$H1682/(1+IFERROR(INDEX(PRODUCTOS!$E$6:$E$105,MATCH($C1682,PRODUCTOS!$A$6:$A$105,0)),IVA_VENTAS)))</f>
        <v/>
      </c>
      <c r="J1682" s="35" t="str">
        <f aca="false">IF($C1682="","",$H1682-$I1682)</f>
        <v/>
      </c>
      <c r="K1682" s="35" t="str">
        <f aca="false">IF($C1682="","",N($E1682)*IFERROR(INDEX(PRODUCTOS!$H$6:$H$105,MATCH($C1682,PRODUCTOS!$A$6:$A$105,0)),0))</f>
        <v/>
      </c>
      <c r="L1682" s="35" t="str">
        <f aca="false">IF($C1682="","",$J1682-$K1682)</f>
        <v/>
      </c>
      <c r="M1682" s="6"/>
      <c r="N1682" s="6"/>
      <c r="O1682" s="46" t="str">
        <f aca="false">IF($A1682="","",DATE(YEAR($A1682),MONTH($A1682),1))</f>
        <v/>
      </c>
    </row>
    <row r="1683" customFormat="false" ht="15" hidden="false" customHeight="false" outlineLevel="0" collapsed="false">
      <c r="A1683" s="44"/>
      <c r="B1683" s="6"/>
      <c r="C1683" s="6"/>
      <c r="D1683" s="8" t="str">
        <f aca="false">IF($C1683="","",IFERROR(INDEX(PRODUCTOS!$B$6:$B$105,MATCH($C1683,PRODUCTOS!$A$6:$A$105,0)),"¿Código?"))</f>
        <v/>
      </c>
      <c r="E1683" s="42"/>
      <c r="F1683" s="35" t="str">
        <f aca="false">IF($C1683="","",IFERROR(INDEX(PRODUCTOS!$D$6:$D$105,MATCH($C1683,PRODUCTOS!$A$6:$A$105,0)),0))</f>
        <v/>
      </c>
      <c r="G1683" s="40"/>
      <c r="H1683" s="35" t="str">
        <f aca="false">IF($C1683="","",N($E1683)*$F1683-N($G1683))</f>
        <v/>
      </c>
      <c r="I1683" s="35" t="str">
        <f aca="false">IF($C1683="","",$H1683-$H1683/(1+IFERROR(INDEX(PRODUCTOS!$E$6:$E$105,MATCH($C1683,PRODUCTOS!$A$6:$A$105,0)),IVA_VENTAS)))</f>
        <v/>
      </c>
      <c r="J1683" s="35" t="str">
        <f aca="false">IF($C1683="","",$H1683-$I1683)</f>
        <v/>
      </c>
      <c r="K1683" s="35" t="str">
        <f aca="false">IF($C1683="","",N($E1683)*IFERROR(INDEX(PRODUCTOS!$H$6:$H$105,MATCH($C1683,PRODUCTOS!$A$6:$A$105,0)),0))</f>
        <v/>
      </c>
      <c r="L1683" s="35" t="str">
        <f aca="false">IF($C1683="","",$J1683-$K1683)</f>
        <v/>
      </c>
      <c r="M1683" s="6"/>
      <c r="N1683" s="6"/>
      <c r="O1683" s="46" t="str">
        <f aca="false">IF($A1683="","",DATE(YEAR($A1683),MONTH($A1683),1))</f>
        <v/>
      </c>
    </row>
    <row r="1684" customFormat="false" ht="15" hidden="false" customHeight="false" outlineLevel="0" collapsed="false">
      <c r="A1684" s="44"/>
      <c r="B1684" s="6"/>
      <c r="C1684" s="6"/>
      <c r="D1684" s="8" t="str">
        <f aca="false">IF($C1684="","",IFERROR(INDEX(PRODUCTOS!$B$6:$B$105,MATCH($C1684,PRODUCTOS!$A$6:$A$105,0)),"¿Código?"))</f>
        <v/>
      </c>
      <c r="E1684" s="42"/>
      <c r="F1684" s="35" t="str">
        <f aca="false">IF($C1684="","",IFERROR(INDEX(PRODUCTOS!$D$6:$D$105,MATCH($C1684,PRODUCTOS!$A$6:$A$105,0)),0))</f>
        <v/>
      </c>
      <c r="G1684" s="40"/>
      <c r="H1684" s="35" t="str">
        <f aca="false">IF($C1684="","",N($E1684)*$F1684-N($G1684))</f>
        <v/>
      </c>
      <c r="I1684" s="35" t="str">
        <f aca="false">IF($C1684="","",$H1684-$H1684/(1+IFERROR(INDEX(PRODUCTOS!$E$6:$E$105,MATCH($C1684,PRODUCTOS!$A$6:$A$105,0)),IVA_VENTAS)))</f>
        <v/>
      </c>
      <c r="J1684" s="35" t="str">
        <f aca="false">IF($C1684="","",$H1684-$I1684)</f>
        <v/>
      </c>
      <c r="K1684" s="35" t="str">
        <f aca="false">IF($C1684="","",N($E1684)*IFERROR(INDEX(PRODUCTOS!$H$6:$H$105,MATCH($C1684,PRODUCTOS!$A$6:$A$105,0)),0))</f>
        <v/>
      </c>
      <c r="L1684" s="35" t="str">
        <f aca="false">IF($C1684="","",$J1684-$K1684)</f>
        <v/>
      </c>
      <c r="M1684" s="6"/>
      <c r="N1684" s="6"/>
      <c r="O1684" s="46" t="str">
        <f aca="false">IF($A1684="","",DATE(YEAR($A1684),MONTH($A1684),1))</f>
        <v/>
      </c>
    </row>
    <row r="1685" customFormat="false" ht="15" hidden="false" customHeight="false" outlineLevel="0" collapsed="false">
      <c r="A1685" s="44"/>
      <c r="B1685" s="6"/>
      <c r="C1685" s="6"/>
      <c r="D1685" s="8" t="str">
        <f aca="false">IF($C1685="","",IFERROR(INDEX(PRODUCTOS!$B$6:$B$105,MATCH($C1685,PRODUCTOS!$A$6:$A$105,0)),"¿Código?"))</f>
        <v/>
      </c>
      <c r="E1685" s="42"/>
      <c r="F1685" s="35" t="str">
        <f aca="false">IF($C1685="","",IFERROR(INDEX(PRODUCTOS!$D$6:$D$105,MATCH($C1685,PRODUCTOS!$A$6:$A$105,0)),0))</f>
        <v/>
      </c>
      <c r="G1685" s="40"/>
      <c r="H1685" s="35" t="str">
        <f aca="false">IF($C1685="","",N($E1685)*$F1685-N($G1685))</f>
        <v/>
      </c>
      <c r="I1685" s="35" t="str">
        <f aca="false">IF($C1685="","",$H1685-$H1685/(1+IFERROR(INDEX(PRODUCTOS!$E$6:$E$105,MATCH($C1685,PRODUCTOS!$A$6:$A$105,0)),IVA_VENTAS)))</f>
        <v/>
      </c>
      <c r="J1685" s="35" t="str">
        <f aca="false">IF($C1685="","",$H1685-$I1685)</f>
        <v/>
      </c>
      <c r="K1685" s="35" t="str">
        <f aca="false">IF($C1685="","",N($E1685)*IFERROR(INDEX(PRODUCTOS!$H$6:$H$105,MATCH($C1685,PRODUCTOS!$A$6:$A$105,0)),0))</f>
        <v/>
      </c>
      <c r="L1685" s="35" t="str">
        <f aca="false">IF($C1685="","",$J1685-$K1685)</f>
        <v/>
      </c>
      <c r="M1685" s="6"/>
      <c r="N1685" s="6"/>
      <c r="O1685" s="46" t="str">
        <f aca="false">IF($A1685="","",DATE(YEAR($A1685),MONTH($A1685),1))</f>
        <v/>
      </c>
    </row>
    <row r="1686" customFormat="false" ht="15" hidden="false" customHeight="false" outlineLevel="0" collapsed="false">
      <c r="A1686" s="44"/>
      <c r="B1686" s="6"/>
      <c r="C1686" s="6"/>
      <c r="D1686" s="8" t="str">
        <f aca="false">IF($C1686="","",IFERROR(INDEX(PRODUCTOS!$B$6:$B$105,MATCH($C1686,PRODUCTOS!$A$6:$A$105,0)),"¿Código?"))</f>
        <v/>
      </c>
      <c r="E1686" s="42"/>
      <c r="F1686" s="35" t="str">
        <f aca="false">IF($C1686="","",IFERROR(INDEX(PRODUCTOS!$D$6:$D$105,MATCH($C1686,PRODUCTOS!$A$6:$A$105,0)),0))</f>
        <v/>
      </c>
      <c r="G1686" s="40"/>
      <c r="H1686" s="35" t="str">
        <f aca="false">IF($C1686="","",N($E1686)*$F1686-N($G1686))</f>
        <v/>
      </c>
      <c r="I1686" s="35" t="str">
        <f aca="false">IF($C1686="","",$H1686-$H1686/(1+IFERROR(INDEX(PRODUCTOS!$E$6:$E$105,MATCH($C1686,PRODUCTOS!$A$6:$A$105,0)),IVA_VENTAS)))</f>
        <v/>
      </c>
      <c r="J1686" s="35" t="str">
        <f aca="false">IF($C1686="","",$H1686-$I1686)</f>
        <v/>
      </c>
      <c r="K1686" s="35" t="str">
        <f aca="false">IF($C1686="","",N($E1686)*IFERROR(INDEX(PRODUCTOS!$H$6:$H$105,MATCH($C1686,PRODUCTOS!$A$6:$A$105,0)),0))</f>
        <v/>
      </c>
      <c r="L1686" s="35" t="str">
        <f aca="false">IF($C1686="","",$J1686-$K1686)</f>
        <v/>
      </c>
      <c r="M1686" s="6"/>
      <c r="N1686" s="6"/>
      <c r="O1686" s="46" t="str">
        <f aca="false">IF($A1686="","",DATE(YEAR($A1686),MONTH($A1686),1))</f>
        <v/>
      </c>
    </row>
    <row r="1687" customFormat="false" ht="15" hidden="false" customHeight="false" outlineLevel="0" collapsed="false">
      <c r="A1687" s="44"/>
      <c r="B1687" s="6"/>
      <c r="C1687" s="6"/>
      <c r="D1687" s="8" t="str">
        <f aca="false">IF($C1687="","",IFERROR(INDEX(PRODUCTOS!$B$6:$B$105,MATCH($C1687,PRODUCTOS!$A$6:$A$105,0)),"¿Código?"))</f>
        <v/>
      </c>
      <c r="E1687" s="42"/>
      <c r="F1687" s="35" t="str">
        <f aca="false">IF($C1687="","",IFERROR(INDEX(PRODUCTOS!$D$6:$D$105,MATCH($C1687,PRODUCTOS!$A$6:$A$105,0)),0))</f>
        <v/>
      </c>
      <c r="G1687" s="40"/>
      <c r="H1687" s="35" t="str">
        <f aca="false">IF($C1687="","",N($E1687)*$F1687-N($G1687))</f>
        <v/>
      </c>
      <c r="I1687" s="35" t="str">
        <f aca="false">IF($C1687="","",$H1687-$H1687/(1+IFERROR(INDEX(PRODUCTOS!$E$6:$E$105,MATCH($C1687,PRODUCTOS!$A$6:$A$105,0)),IVA_VENTAS)))</f>
        <v/>
      </c>
      <c r="J1687" s="35" t="str">
        <f aca="false">IF($C1687="","",$H1687-$I1687)</f>
        <v/>
      </c>
      <c r="K1687" s="35" t="str">
        <f aca="false">IF($C1687="","",N($E1687)*IFERROR(INDEX(PRODUCTOS!$H$6:$H$105,MATCH($C1687,PRODUCTOS!$A$6:$A$105,0)),0))</f>
        <v/>
      </c>
      <c r="L1687" s="35" t="str">
        <f aca="false">IF($C1687="","",$J1687-$K1687)</f>
        <v/>
      </c>
      <c r="M1687" s="6"/>
      <c r="N1687" s="6"/>
      <c r="O1687" s="46" t="str">
        <f aca="false">IF($A1687="","",DATE(YEAR($A1687),MONTH($A1687),1))</f>
        <v/>
      </c>
    </row>
    <row r="1688" customFormat="false" ht="15" hidden="false" customHeight="false" outlineLevel="0" collapsed="false">
      <c r="A1688" s="44"/>
      <c r="B1688" s="6"/>
      <c r="C1688" s="6"/>
      <c r="D1688" s="8" t="str">
        <f aca="false">IF($C1688="","",IFERROR(INDEX(PRODUCTOS!$B$6:$B$105,MATCH($C1688,PRODUCTOS!$A$6:$A$105,0)),"¿Código?"))</f>
        <v/>
      </c>
      <c r="E1688" s="42"/>
      <c r="F1688" s="35" t="str">
        <f aca="false">IF($C1688="","",IFERROR(INDEX(PRODUCTOS!$D$6:$D$105,MATCH($C1688,PRODUCTOS!$A$6:$A$105,0)),0))</f>
        <v/>
      </c>
      <c r="G1688" s="40"/>
      <c r="H1688" s="35" t="str">
        <f aca="false">IF($C1688="","",N($E1688)*$F1688-N($G1688))</f>
        <v/>
      </c>
      <c r="I1688" s="35" t="str">
        <f aca="false">IF($C1688="","",$H1688-$H1688/(1+IFERROR(INDEX(PRODUCTOS!$E$6:$E$105,MATCH($C1688,PRODUCTOS!$A$6:$A$105,0)),IVA_VENTAS)))</f>
        <v/>
      </c>
      <c r="J1688" s="35" t="str">
        <f aca="false">IF($C1688="","",$H1688-$I1688)</f>
        <v/>
      </c>
      <c r="K1688" s="35" t="str">
        <f aca="false">IF($C1688="","",N($E1688)*IFERROR(INDEX(PRODUCTOS!$H$6:$H$105,MATCH($C1688,PRODUCTOS!$A$6:$A$105,0)),0))</f>
        <v/>
      </c>
      <c r="L1688" s="35" t="str">
        <f aca="false">IF($C1688="","",$J1688-$K1688)</f>
        <v/>
      </c>
      <c r="M1688" s="6"/>
      <c r="N1688" s="6"/>
      <c r="O1688" s="46" t="str">
        <f aca="false">IF($A1688="","",DATE(YEAR($A1688),MONTH($A1688),1))</f>
        <v/>
      </c>
    </row>
    <row r="1689" customFormat="false" ht="15" hidden="false" customHeight="false" outlineLevel="0" collapsed="false">
      <c r="A1689" s="44"/>
      <c r="B1689" s="6"/>
      <c r="C1689" s="6"/>
      <c r="D1689" s="8" t="str">
        <f aca="false">IF($C1689="","",IFERROR(INDEX(PRODUCTOS!$B$6:$B$105,MATCH($C1689,PRODUCTOS!$A$6:$A$105,0)),"¿Código?"))</f>
        <v/>
      </c>
      <c r="E1689" s="42"/>
      <c r="F1689" s="35" t="str">
        <f aca="false">IF($C1689="","",IFERROR(INDEX(PRODUCTOS!$D$6:$D$105,MATCH($C1689,PRODUCTOS!$A$6:$A$105,0)),0))</f>
        <v/>
      </c>
      <c r="G1689" s="40"/>
      <c r="H1689" s="35" t="str">
        <f aca="false">IF($C1689="","",N($E1689)*$F1689-N($G1689))</f>
        <v/>
      </c>
      <c r="I1689" s="35" t="str">
        <f aca="false">IF($C1689="","",$H1689-$H1689/(1+IFERROR(INDEX(PRODUCTOS!$E$6:$E$105,MATCH($C1689,PRODUCTOS!$A$6:$A$105,0)),IVA_VENTAS)))</f>
        <v/>
      </c>
      <c r="J1689" s="35" t="str">
        <f aca="false">IF($C1689="","",$H1689-$I1689)</f>
        <v/>
      </c>
      <c r="K1689" s="35" t="str">
        <f aca="false">IF($C1689="","",N($E1689)*IFERROR(INDEX(PRODUCTOS!$H$6:$H$105,MATCH($C1689,PRODUCTOS!$A$6:$A$105,0)),0))</f>
        <v/>
      </c>
      <c r="L1689" s="35" t="str">
        <f aca="false">IF($C1689="","",$J1689-$K1689)</f>
        <v/>
      </c>
      <c r="M1689" s="6"/>
      <c r="N1689" s="6"/>
      <c r="O1689" s="46" t="str">
        <f aca="false">IF($A1689="","",DATE(YEAR($A1689),MONTH($A1689),1))</f>
        <v/>
      </c>
    </row>
    <row r="1690" customFormat="false" ht="15" hidden="false" customHeight="false" outlineLevel="0" collapsed="false">
      <c r="A1690" s="44"/>
      <c r="B1690" s="6"/>
      <c r="C1690" s="6"/>
      <c r="D1690" s="8" t="str">
        <f aca="false">IF($C1690="","",IFERROR(INDEX(PRODUCTOS!$B$6:$B$105,MATCH($C1690,PRODUCTOS!$A$6:$A$105,0)),"¿Código?"))</f>
        <v/>
      </c>
      <c r="E1690" s="42"/>
      <c r="F1690" s="35" t="str">
        <f aca="false">IF($C1690="","",IFERROR(INDEX(PRODUCTOS!$D$6:$D$105,MATCH($C1690,PRODUCTOS!$A$6:$A$105,0)),0))</f>
        <v/>
      </c>
      <c r="G1690" s="40"/>
      <c r="H1690" s="35" t="str">
        <f aca="false">IF($C1690="","",N($E1690)*$F1690-N($G1690))</f>
        <v/>
      </c>
      <c r="I1690" s="35" t="str">
        <f aca="false">IF($C1690="","",$H1690-$H1690/(1+IFERROR(INDEX(PRODUCTOS!$E$6:$E$105,MATCH($C1690,PRODUCTOS!$A$6:$A$105,0)),IVA_VENTAS)))</f>
        <v/>
      </c>
      <c r="J1690" s="35" t="str">
        <f aca="false">IF($C1690="","",$H1690-$I1690)</f>
        <v/>
      </c>
      <c r="K1690" s="35" t="str">
        <f aca="false">IF($C1690="","",N($E1690)*IFERROR(INDEX(PRODUCTOS!$H$6:$H$105,MATCH($C1690,PRODUCTOS!$A$6:$A$105,0)),0))</f>
        <v/>
      </c>
      <c r="L1690" s="35" t="str">
        <f aca="false">IF($C1690="","",$J1690-$K1690)</f>
        <v/>
      </c>
      <c r="M1690" s="6"/>
      <c r="N1690" s="6"/>
      <c r="O1690" s="46" t="str">
        <f aca="false">IF($A1690="","",DATE(YEAR($A1690),MONTH($A1690),1))</f>
        <v/>
      </c>
    </row>
    <row r="1691" customFormat="false" ht="15" hidden="false" customHeight="false" outlineLevel="0" collapsed="false">
      <c r="A1691" s="44"/>
      <c r="B1691" s="6"/>
      <c r="C1691" s="6"/>
      <c r="D1691" s="8" t="str">
        <f aca="false">IF($C1691="","",IFERROR(INDEX(PRODUCTOS!$B$6:$B$105,MATCH($C1691,PRODUCTOS!$A$6:$A$105,0)),"¿Código?"))</f>
        <v/>
      </c>
      <c r="E1691" s="42"/>
      <c r="F1691" s="35" t="str">
        <f aca="false">IF($C1691="","",IFERROR(INDEX(PRODUCTOS!$D$6:$D$105,MATCH($C1691,PRODUCTOS!$A$6:$A$105,0)),0))</f>
        <v/>
      </c>
      <c r="G1691" s="40"/>
      <c r="H1691" s="35" t="str">
        <f aca="false">IF($C1691="","",N($E1691)*$F1691-N($G1691))</f>
        <v/>
      </c>
      <c r="I1691" s="35" t="str">
        <f aca="false">IF($C1691="","",$H1691-$H1691/(1+IFERROR(INDEX(PRODUCTOS!$E$6:$E$105,MATCH($C1691,PRODUCTOS!$A$6:$A$105,0)),IVA_VENTAS)))</f>
        <v/>
      </c>
      <c r="J1691" s="35" t="str">
        <f aca="false">IF($C1691="","",$H1691-$I1691)</f>
        <v/>
      </c>
      <c r="K1691" s="35" t="str">
        <f aca="false">IF($C1691="","",N($E1691)*IFERROR(INDEX(PRODUCTOS!$H$6:$H$105,MATCH($C1691,PRODUCTOS!$A$6:$A$105,0)),0))</f>
        <v/>
      </c>
      <c r="L1691" s="35" t="str">
        <f aca="false">IF($C1691="","",$J1691-$K1691)</f>
        <v/>
      </c>
      <c r="M1691" s="6"/>
      <c r="N1691" s="6"/>
      <c r="O1691" s="46" t="str">
        <f aca="false">IF($A1691="","",DATE(YEAR($A1691),MONTH($A1691),1))</f>
        <v/>
      </c>
    </row>
    <row r="1692" customFormat="false" ht="15" hidden="false" customHeight="false" outlineLevel="0" collapsed="false">
      <c r="A1692" s="44"/>
      <c r="B1692" s="6"/>
      <c r="C1692" s="6"/>
      <c r="D1692" s="8" t="str">
        <f aca="false">IF($C1692="","",IFERROR(INDEX(PRODUCTOS!$B$6:$B$105,MATCH($C1692,PRODUCTOS!$A$6:$A$105,0)),"¿Código?"))</f>
        <v/>
      </c>
      <c r="E1692" s="42"/>
      <c r="F1692" s="35" t="str">
        <f aca="false">IF($C1692="","",IFERROR(INDEX(PRODUCTOS!$D$6:$D$105,MATCH($C1692,PRODUCTOS!$A$6:$A$105,0)),0))</f>
        <v/>
      </c>
      <c r="G1692" s="40"/>
      <c r="H1692" s="35" t="str">
        <f aca="false">IF($C1692="","",N($E1692)*$F1692-N($G1692))</f>
        <v/>
      </c>
      <c r="I1692" s="35" t="str">
        <f aca="false">IF($C1692="","",$H1692-$H1692/(1+IFERROR(INDEX(PRODUCTOS!$E$6:$E$105,MATCH($C1692,PRODUCTOS!$A$6:$A$105,0)),IVA_VENTAS)))</f>
        <v/>
      </c>
      <c r="J1692" s="35" t="str">
        <f aca="false">IF($C1692="","",$H1692-$I1692)</f>
        <v/>
      </c>
      <c r="K1692" s="35" t="str">
        <f aca="false">IF($C1692="","",N($E1692)*IFERROR(INDEX(PRODUCTOS!$H$6:$H$105,MATCH($C1692,PRODUCTOS!$A$6:$A$105,0)),0))</f>
        <v/>
      </c>
      <c r="L1692" s="35" t="str">
        <f aca="false">IF($C1692="","",$J1692-$K1692)</f>
        <v/>
      </c>
      <c r="M1692" s="6"/>
      <c r="N1692" s="6"/>
      <c r="O1692" s="46" t="str">
        <f aca="false">IF($A1692="","",DATE(YEAR($A1692),MONTH($A1692),1))</f>
        <v/>
      </c>
    </row>
    <row r="1693" customFormat="false" ht="15" hidden="false" customHeight="false" outlineLevel="0" collapsed="false">
      <c r="A1693" s="44"/>
      <c r="B1693" s="6"/>
      <c r="C1693" s="6"/>
      <c r="D1693" s="8" t="str">
        <f aca="false">IF($C1693="","",IFERROR(INDEX(PRODUCTOS!$B$6:$B$105,MATCH($C1693,PRODUCTOS!$A$6:$A$105,0)),"¿Código?"))</f>
        <v/>
      </c>
      <c r="E1693" s="42"/>
      <c r="F1693" s="35" t="str">
        <f aca="false">IF($C1693="","",IFERROR(INDEX(PRODUCTOS!$D$6:$D$105,MATCH($C1693,PRODUCTOS!$A$6:$A$105,0)),0))</f>
        <v/>
      </c>
      <c r="G1693" s="40"/>
      <c r="H1693" s="35" t="str">
        <f aca="false">IF($C1693="","",N($E1693)*$F1693-N($G1693))</f>
        <v/>
      </c>
      <c r="I1693" s="35" t="str">
        <f aca="false">IF($C1693="","",$H1693-$H1693/(1+IFERROR(INDEX(PRODUCTOS!$E$6:$E$105,MATCH($C1693,PRODUCTOS!$A$6:$A$105,0)),IVA_VENTAS)))</f>
        <v/>
      </c>
      <c r="J1693" s="35" t="str">
        <f aca="false">IF($C1693="","",$H1693-$I1693)</f>
        <v/>
      </c>
      <c r="K1693" s="35" t="str">
        <f aca="false">IF($C1693="","",N($E1693)*IFERROR(INDEX(PRODUCTOS!$H$6:$H$105,MATCH($C1693,PRODUCTOS!$A$6:$A$105,0)),0))</f>
        <v/>
      </c>
      <c r="L1693" s="35" t="str">
        <f aca="false">IF($C1693="","",$J1693-$K1693)</f>
        <v/>
      </c>
      <c r="M1693" s="6"/>
      <c r="N1693" s="6"/>
      <c r="O1693" s="46" t="str">
        <f aca="false">IF($A1693="","",DATE(YEAR($A1693),MONTH($A1693),1))</f>
        <v/>
      </c>
    </row>
    <row r="1694" customFormat="false" ht="15" hidden="false" customHeight="false" outlineLevel="0" collapsed="false">
      <c r="A1694" s="44"/>
      <c r="B1694" s="6"/>
      <c r="C1694" s="6"/>
      <c r="D1694" s="8" t="str">
        <f aca="false">IF($C1694="","",IFERROR(INDEX(PRODUCTOS!$B$6:$B$105,MATCH($C1694,PRODUCTOS!$A$6:$A$105,0)),"¿Código?"))</f>
        <v/>
      </c>
      <c r="E1694" s="42"/>
      <c r="F1694" s="35" t="str">
        <f aca="false">IF($C1694="","",IFERROR(INDEX(PRODUCTOS!$D$6:$D$105,MATCH($C1694,PRODUCTOS!$A$6:$A$105,0)),0))</f>
        <v/>
      </c>
      <c r="G1694" s="40"/>
      <c r="H1694" s="35" t="str">
        <f aca="false">IF($C1694="","",N($E1694)*$F1694-N($G1694))</f>
        <v/>
      </c>
      <c r="I1694" s="35" t="str">
        <f aca="false">IF($C1694="","",$H1694-$H1694/(1+IFERROR(INDEX(PRODUCTOS!$E$6:$E$105,MATCH($C1694,PRODUCTOS!$A$6:$A$105,0)),IVA_VENTAS)))</f>
        <v/>
      </c>
      <c r="J1694" s="35" t="str">
        <f aca="false">IF($C1694="","",$H1694-$I1694)</f>
        <v/>
      </c>
      <c r="K1694" s="35" t="str">
        <f aca="false">IF($C1694="","",N($E1694)*IFERROR(INDEX(PRODUCTOS!$H$6:$H$105,MATCH($C1694,PRODUCTOS!$A$6:$A$105,0)),0))</f>
        <v/>
      </c>
      <c r="L1694" s="35" t="str">
        <f aca="false">IF($C1694="","",$J1694-$K1694)</f>
        <v/>
      </c>
      <c r="M1694" s="6"/>
      <c r="N1694" s="6"/>
      <c r="O1694" s="46" t="str">
        <f aca="false">IF($A1694="","",DATE(YEAR($A1694),MONTH($A1694),1))</f>
        <v/>
      </c>
    </row>
    <row r="1695" customFormat="false" ht="15" hidden="false" customHeight="false" outlineLevel="0" collapsed="false">
      <c r="A1695" s="44"/>
      <c r="B1695" s="6"/>
      <c r="C1695" s="6"/>
      <c r="D1695" s="8" t="str">
        <f aca="false">IF($C1695="","",IFERROR(INDEX(PRODUCTOS!$B$6:$B$105,MATCH($C1695,PRODUCTOS!$A$6:$A$105,0)),"¿Código?"))</f>
        <v/>
      </c>
      <c r="E1695" s="42"/>
      <c r="F1695" s="35" t="str">
        <f aca="false">IF($C1695="","",IFERROR(INDEX(PRODUCTOS!$D$6:$D$105,MATCH($C1695,PRODUCTOS!$A$6:$A$105,0)),0))</f>
        <v/>
      </c>
      <c r="G1695" s="40"/>
      <c r="H1695" s="35" t="str">
        <f aca="false">IF($C1695="","",N($E1695)*$F1695-N($G1695))</f>
        <v/>
      </c>
      <c r="I1695" s="35" t="str">
        <f aca="false">IF($C1695="","",$H1695-$H1695/(1+IFERROR(INDEX(PRODUCTOS!$E$6:$E$105,MATCH($C1695,PRODUCTOS!$A$6:$A$105,0)),IVA_VENTAS)))</f>
        <v/>
      </c>
      <c r="J1695" s="35" t="str">
        <f aca="false">IF($C1695="","",$H1695-$I1695)</f>
        <v/>
      </c>
      <c r="K1695" s="35" t="str">
        <f aca="false">IF($C1695="","",N($E1695)*IFERROR(INDEX(PRODUCTOS!$H$6:$H$105,MATCH($C1695,PRODUCTOS!$A$6:$A$105,0)),0))</f>
        <v/>
      </c>
      <c r="L1695" s="35" t="str">
        <f aca="false">IF($C1695="","",$J1695-$K1695)</f>
        <v/>
      </c>
      <c r="M1695" s="6"/>
      <c r="N1695" s="6"/>
      <c r="O1695" s="46" t="str">
        <f aca="false">IF($A1695="","",DATE(YEAR($A1695),MONTH($A1695),1))</f>
        <v/>
      </c>
    </row>
    <row r="1696" customFormat="false" ht="15" hidden="false" customHeight="false" outlineLevel="0" collapsed="false">
      <c r="A1696" s="44"/>
      <c r="B1696" s="6"/>
      <c r="C1696" s="6"/>
      <c r="D1696" s="8" t="str">
        <f aca="false">IF($C1696="","",IFERROR(INDEX(PRODUCTOS!$B$6:$B$105,MATCH($C1696,PRODUCTOS!$A$6:$A$105,0)),"¿Código?"))</f>
        <v/>
      </c>
      <c r="E1696" s="42"/>
      <c r="F1696" s="35" t="str">
        <f aca="false">IF($C1696="","",IFERROR(INDEX(PRODUCTOS!$D$6:$D$105,MATCH($C1696,PRODUCTOS!$A$6:$A$105,0)),0))</f>
        <v/>
      </c>
      <c r="G1696" s="40"/>
      <c r="H1696" s="35" t="str">
        <f aca="false">IF($C1696="","",N($E1696)*$F1696-N($G1696))</f>
        <v/>
      </c>
      <c r="I1696" s="35" t="str">
        <f aca="false">IF($C1696="","",$H1696-$H1696/(1+IFERROR(INDEX(PRODUCTOS!$E$6:$E$105,MATCH($C1696,PRODUCTOS!$A$6:$A$105,0)),IVA_VENTAS)))</f>
        <v/>
      </c>
      <c r="J1696" s="35" t="str">
        <f aca="false">IF($C1696="","",$H1696-$I1696)</f>
        <v/>
      </c>
      <c r="K1696" s="35" t="str">
        <f aca="false">IF($C1696="","",N($E1696)*IFERROR(INDEX(PRODUCTOS!$H$6:$H$105,MATCH($C1696,PRODUCTOS!$A$6:$A$105,0)),0))</f>
        <v/>
      </c>
      <c r="L1696" s="35" t="str">
        <f aca="false">IF($C1696="","",$J1696-$K1696)</f>
        <v/>
      </c>
      <c r="M1696" s="6"/>
      <c r="N1696" s="6"/>
      <c r="O1696" s="46" t="str">
        <f aca="false">IF($A1696="","",DATE(YEAR($A1696),MONTH($A1696),1))</f>
        <v/>
      </c>
    </row>
    <row r="1697" customFormat="false" ht="15" hidden="false" customHeight="false" outlineLevel="0" collapsed="false">
      <c r="A1697" s="44"/>
      <c r="B1697" s="6"/>
      <c r="C1697" s="6"/>
      <c r="D1697" s="8" t="str">
        <f aca="false">IF($C1697="","",IFERROR(INDEX(PRODUCTOS!$B$6:$B$105,MATCH($C1697,PRODUCTOS!$A$6:$A$105,0)),"¿Código?"))</f>
        <v/>
      </c>
      <c r="E1697" s="42"/>
      <c r="F1697" s="35" t="str">
        <f aca="false">IF($C1697="","",IFERROR(INDEX(PRODUCTOS!$D$6:$D$105,MATCH($C1697,PRODUCTOS!$A$6:$A$105,0)),0))</f>
        <v/>
      </c>
      <c r="G1697" s="40"/>
      <c r="H1697" s="35" t="str">
        <f aca="false">IF($C1697="","",N($E1697)*$F1697-N($G1697))</f>
        <v/>
      </c>
      <c r="I1697" s="35" t="str">
        <f aca="false">IF($C1697="","",$H1697-$H1697/(1+IFERROR(INDEX(PRODUCTOS!$E$6:$E$105,MATCH($C1697,PRODUCTOS!$A$6:$A$105,0)),IVA_VENTAS)))</f>
        <v/>
      </c>
      <c r="J1697" s="35" t="str">
        <f aca="false">IF($C1697="","",$H1697-$I1697)</f>
        <v/>
      </c>
      <c r="K1697" s="35" t="str">
        <f aca="false">IF($C1697="","",N($E1697)*IFERROR(INDEX(PRODUCTOS!$H$6:$H$105,MATCH($C1697,PRODUCTOS!$A$6:$A$105,0)),0))</f>
        <v/>
      </c>
      <c r="L1697" s="35" t="str">
        <f aca="false">IF($C1697="","",$J1697-$K1697)</f>
        <v/>
      </c>
      <c r="M1697" s="6"/>
      <c r="N1697" s="6"/>
      <c r="O1697" s="46" t="str">
        <f aca="false">IF($A1697="","",DATE(YEAR($A1697),MONTH($A1697),1))</f>
        <v/>
      </c>
    </row>
    <row r="1698" customFormat="false" ht="15" hidden="false" customHeight="false" outlineLevel="0" collapsed="false">
      <c r="A1698" s="44"/>
      <c r="B1698" s="6"/>
      <c r="C1698" s="6"/>
      <c r="D1698" s="8" t="str">
        <f aca="false">IF($C1698="","",IFERROR(INDEX(PRODUCTOS!$B$6:$B$105,MATCH($C1698,PRODUCTOS!$A$6:$A$105,0)),"¿Código?"))</f>
        <v/>
      </c>
      <c r="E1698" s="42"/>
      <c r="F1698" s="35" t="str">
        <f aca="false">IF($C1698="","",IFERROR(INDEX(PRODUCTOS!$D$6:$D$105,MATCH($C1698,PRODUCTOS!$A$6:$A$105,0)),0))</f>
        <v/>
      </c>
      <c r="G1698" s="40"/>
      <c r="H1698" s="35" t="str">
        <f aca="false">IF($C1698="","",N($E1698)*$F1698-N($G1698))</f>
        <v/>
      </c>
      <c r="I1698" s="35" t="str">
        <f aca="false">IF($C1698="","",$H1698-$H1698/(1+IFERROR(INDEX(PRODUCTOS!$E$6:$E$105,MATCH($C1698,PRODUCTOS!$A$6:$A$105,0)),IVA_VENTAS)))</f>
        <v/>
      </c>
      <c r="J1698" s="35" t="str">
        <f aca="false">IF($C1698="","",$H1698-$I1698)</f>
        <v/>
      </c>
      <c r="K1698" s="35" t="str">
        <f aca="false">IF($C1698="","",N($E1698)*IFERROR(INDEX(PRODUCTOS!$H$6:$H$105,MATCH($C1698,PRODUCTOS!$A$6:$A$105,0)),0))</f>
        <v/>
      </c>
      <c r="L1698" s="35" t="str">
        <f aca="false">IF($C1698="","",$J1698-$K1698)</f>
        <v/>
      </c>
      <c r="M1698" s="6"/>
      <c r="N1698" s="6"/>
      <c r="O1698" s="46" t="str">
        <f aca="false">IF($A1698="","",DATE(YEAR($A1698),MONTH($A1698),1))</f>
        <v/>
      </c>
    </row>
    <row r="1699" customFormat="false" ht="15" hidden="false" customHeight="false" outlineLevel="0" collapsed="false">
      <c r="A1699" s="44"/>
      <c r="B1699" s="6"/>
      <c r="C1699" s="6"/>
      <c r="D1699" s="8" t="str">
        <f aca="false">IF($C1699="","",IFERROR(INDEX(PRODUCTOS!$B$6:$B$105,MATCH($C1699,PRODUCTOS!$A$6:$A$105,0)),"¿Código?"))</f>
        <v/>
      </c>
      <c r="E1699" s="42"/>
      <c r="F1699" s="35" t="str">
        <f aca="false">IF($C1699="","",IFERROR(INDEX(PRODUCTOS!$D$6:$D$105,MATCH($C1699,PRODUCTOS!$A$6:$A$105,0)),0))</f>
        <v/>
      </c>
      <c r="G1699" s="40"/>
      <c r="H1699" s="35" t="str">
        <f aca="false">IF($C1699="","",N($E1699)*$F1699-N($G1699))</f>
        <v/>
      </c>
      <c r="I1699" s="35" t="str">
        <f aca="false">IF($C1699="","",$H1699-$H1699/(1+IFERROR(INDEX(PRODUCTOS!$E$6:$E$105,MATCH($C1699,PRODUCTOS!$A$6:$A$105,0)),IVA_VENTAS)))</f>
        <v/>
      </c>
      <c r="J1699" s="35" t="str">
        <f aca="false">IF($C1699="","",$H1699-$I1699)</f>
        <v/>
      </c>
      <c r="K1699" s="35" t="str">
        <f aca="false">IF($C1699="","",N($E1699)*IFERROR(INDEX(PRODUCTOS!$H$6:$H$105,MATCH($C1699,PRODUCTOS!$A$6:$A$105,0)),0))</f>
        <v/>
      </c>
      <c r="L1699" s="35" t="str">
        <f aca="false">IF($C1699="","",$J1699-$K1699)</f>
        <v/>
      </c>
      <c r="M1699" s="6"/>
      <c r="N1699" s="6"/>
      <c r="O1699" s="46" t="str">
        <f aca="false">IF($A1699="","",DATE(YEAR($A1699),MONTH($A1699),1))</f>
        <v/>
      </c>
    </row>
    <row r="1700" customFormat="false" ht="15" hidden="false" customHeight="false" outlineLevel="0" collapsed="false">
      <c r="A1700" s="44"/>
      <c r="B1700" s="6"/>
      <c r="C1700" s="6"/>
      <c r="D1700" s="8" t="str">
        <f aca="false">IF($C1700="","",IFERROR(INDEX(PRODUCTOS!$B$6:$B$105,MATCH($C1700,PRODUCTOS!$A$6:$A$105,0)),"¿Código?"))</f>
        <v/>
      </c>
      <c r="E1700" s="42"/>
      <c r="F1700" s="35" t="str">
        <f aca="false">IF($C1700="","",IFERROR(INDEX(PRODUCTOS!$D$6:$D$105,MATCH($C1700,PRODUCTOS!$A$6:$A$105,0)),0))</f>
        <v/>
      </c>
      <c r="G1700" s="40"/>
      <c r="H1700" s="35" t="str">
        <f aca="false">IF($C1700="","",N($E1700)*$F1700-N($G1700))</f>
        <v/>
      </c>
      <c r="I1700" s="35" t="str">
        <f aca="false">IF($C1700="","",$H1700-$H1700/(1+IFERROR(INDEX(PRODUCTOS!$E$6:$E$105,MATCH($C1700,PRODUCTOS!$A$6:$A$105,0)),IVA_VENTAS)))</f>
        <v/>
      </c>
      <c r="J1700" s="35" t="str">
        <f aca="false">IF($C1700="","",$H1700-$I1700)</f>
        <v/>
      </c>
      <c r="K1700" s="35" t="str">
        <f aca="false">IF($C1700="","",N($E1700)*IFERROR(INDEX(PRODUCTOS!$H$6:$H$105,MATCH($C1700,PRODUCTOS!$A$6:$A$105,0)),0))</f>
        <v/>
      </c>
      <c r="L1700" s="35" t="str">
        <f aca="false">IF($C1700="","",$J1700-$K1700)</f>
        <v/>
      </c>
      <c r="M1700" s="6"/>
      <c r="N1700" s="6"/>
      <c r="O1700" s="46" t="str">
        <f aca="false">IF($A1700="","",DATE(YEAR($A1700),MONTH($A1700),1))</f>
        <v/>
      </c>
    </row>
    <row r="1701" customFormat="false" ht="15" hidden="false" customHeight="false" outlineLevel="0" collapsed="false">
      <c r="A1701" s="44"/>
      <c r="B1701" s="6"/>
      <c r="C1701" s="6"/>
      <c r="D1701" s="8" t="str">
        <f aca="false">IF($C1701="","",IFERROR(INDEX(PRODUCTOS!$B$6:$B$105,MATCH($C1701,PRODUCTOS!$A$6:$A$105,0)),"¿Código?"))</f>
        <v/>
      </c>
      <c r="E1701" s="42"/>
      <c r="F1701" s="35" t="str">
        <f aca="false">IF($C1701="","",IFERROR(INDEX(PRODUCTOS!$D$6:$D$105,MATCH($C1701,PRODUCTOS!$A$6:$A$105,0)),0))</f>
        <v/>
      </c>
      <c r="G1701" s="40"/>
      <c r="H1701" s="35" t="str">
        <f aca="false">IF($C1701="","",N($E1701)*$F1701-N($G1701))</f>
        <v/>
      </c>
      <c r="I1701" s="35" t="str">
        <f aca="false">IF($C1701="","",$H1701-$H1701/(1+IFERROR(INDEX(PRODUCTOS!$E$6:$E$105,MATCH($C1701,PRODUCTOS!$A$6:$A$105,0)),IVA_VENTAS)))</f>
        <v/>
      </c>
      <c r="J1701" s="35" t="str">
        <f aca="false">IF($C1701="","",$H1701-$I1701)</f>
        <v/>
      </c>
      <c r="K1701" s="35" t="str">
        <f aca="false">IF($C1701="","",N($E1701)*IFERROR(INDEX(PRODUCTOS!$H$6:$H$105,MATCH($C1701,PRODUCTOS!$A$6:$A$105,0)),0))</f>
        <v/>
      </c>
      <c r="L1701" s="35" t="str">
        <f aca="false">IF($C1701="","",$J1701-$K1701)</f>
        <v/>
      </c>
      <c r="M1701" s="6"/>
      <c r="N1701" s="6"/>
      <c r="O1701" s="46" t="str">
        <f aca="false">IF($A1701="","",DATE(YEAR($A1701),MONTH($A1701),1))</f>
        <v/>
      </c>
    </row>
    <row r="1702" customFormat="false" ht="15" hidden="false" customHeight="false" outlineLevel="0" collapsed="false">
      <c r="A1702" s="44"/>
      <c r="B1702" s="6"/>
      <c r="C1702" s="6"/>
      <c r="D1702" s="8" t="str">
        <f aca="false">IF($C1702="","",IFERROR(INDEX(PRODUCTOS!$B$6:$B$105,MATCH($C1702,PRODUCTOS!$A$6:$A$105,0)),"¿Código?"))</f>
        <v/>
      </c>
      <c r="E1702" s="42"/>
      <c r="F1702" s="35" t="str">
        <f aca="false">IF($C1702="","",IFERROR(INDEX(PRODUCTOS!$D$6:$D$105,MATCH($C1702,PRODUCTOS!$A$6:$A$105,0)),0))</f>
        <v/>
      </c>
      <c r="G1702" s="40"/>
      <c r="H1702" s="35" t="str">
        <f aca="false">IF($C1702="","",N($E1702)*$F1702-N($G1702))</f>
        <v/>
      </c>
      <c r="I1702" s="35" t="str">
        <f aca="false">IF($C1702="","",$H1702-$H1702/(1+IFERROR(INDEX(PRODUCTOS!$E$6:$E$105,MATCH($C1702,PRODUCTOS!$A$6:$A$105,0)),IVA_VENTAS)))</f>
        <v/>
      </c>
      <c r="J1702" s="35" t="str">
        <f aca="false">IF($C1702="","",$H1702-$I1702)</f>
        <v/>
      </c>
      <c r="K1702" s="35" t="str">
        <f aca="false">IF($C1702="","",N($E1702)*IFERROR(INDEX(PRODUCTOS!$H$6:$H$105,MATCH($C1702,PRODUCTOS!$A$6:$A$105,0)),0))</f>
        <v/>
      </c>
      <c r="L1702" s="35" t="str">
        <f aca="false">IF($C1702="","",$J1702-$K1702)</f>
        <v/>
      </c>
      <c r="M1702" s="6"/>
      <c r="N1702" s="6"/>
      <c r="O1702" s="46" t="str">
        <f aca="false">IF($A1702="","",DATE(YEAR($A1702),MONTH($A1702),1))</f>
        <v/>
      </c>
    </row>
    <row r="1703" customFormat="false" ht="15" hidden="false" customHeight="false" outlineLevel="0" collapsed="false">
      <c r="A1703" s="44"/>
      <c r="B1703" s="6"/>
      <c r="C1703" s="6"/>
      <c r="D1703" s="8" t="str">
        <f aca="false">IF($C1703="","",IFERROR(INDEX(PRODUCTOS!$B$6:$B$105,MATCH($C1703,PRODUCTOS!$A$6:$A$105,0)),"¿Código?"))</f>
        <v/>
      </c>
      <c r="E1703" s="42"/>
      <c r="F1703" s="35" t="str">
        <f aca="false">IF($C1703="","",IFERROR(INDEX(PRODUCTOS!$D$6:$D$105,MATCH($C1703,PRODUCTOS!$A$6:$A$105,0)),0))</f>
        <v/>
      </c>
      <c r="G1703" s="40"/>
      <c r="H1703" s="35" t="str">
        <f aca="false">IF($C1703="","",N($E1703)*$F1703-N($G1703))</f>
        <v/>
      </c>
      <c r="I1703" s="35" t="str">
        <f aca="false">IF($C1703="","",$H1703-$H1703/(1+IFERROR(INDEX(PRODUCTOS!$E$6:$E$105,MATCH($C1703,PRODUCTOS!$A$6:$A$105,0)),IVA_VENTAS)))</f>
        <v/>
      </c>
      <c r="J1703" s="35" t="str">
        <f aca="false">IF($C1703="","",$H1703-$I1703)</f>
        <v/>
      </c>
      <c r="K1703" s="35" t="str">
        <f aca="false">IF($C1703="","",N($E1703)*IFERROR(INDEX(PRODUCTOS!$H$6:$H$105,MATCH($C1703,PRODUCTOS!$A$6:$A$105,0)),0))</f>
        <v/>
      </c>
      <c r="L1703" s="35" t="str">
        <f aca="false">IF($C1703="","",$J1703-$K1703)</f>
        <v/>
      </c>
      <c r="M1703" s="6"/>
      <c r="N1703" s="6"/>
      <c r="O1703" s="46" t="str">
        <f aca="false">IF($A1703="","",DATE(YEAR($A1703),MONTH($A1703),1))</f>
        <v/>
      </c>
    </row>
    <row r="1704" customFormat="false" ht="15" hidden="false" customHeight="false" outlineLevel="0" collapsed="false">
      <c r="A1704" s="44"/>
      <c r="B1704" s="6"/>
      <c r="C1704" s="6"/>
      <c r="D1704" s="8" t="str">
        <f aca="false">IF($C1704="","",IFERROR(INDEX(PRODUCTOS!$B$6:$B$105,MATCH($C1704,PRODUCTOS!$A$6:$A$105,0)),"¿Código?"))</f>
        <v/>
      </c>
      <c r="E1704" s="42"/>
      <c r="F1704" s="35" t="str">
        <f aca="false">IF($C1704="","",IFERROR(INDEX(PRODUCTOS!$D$6:$D$105,MATCH($C1704,PRODUCTOS!$A$6:$A$105,0)),0))</f>
        <v/>
      </c>
      <c r="G1704" s="40"/>
      <c r="H1704" s="35" t="str">
        <f aca="false">IF($C1704="","",N($E1704)*$F1704-N($G1704))</f>
        <v/>
      </c>
      <c r="I1704" s="35" t="str">
        <f aca="false">IF($C1704="","",$H1704-$H1704/(1+IFERROR(INDEX(PRODUCTOS!$E$6:$E$105,MATCH($C1704,PRODUCTOS!$A$6:$A$105,0)),IVA_VENTAS)))</f>
        <v/>
      </c>
      <c r="J1704" s="35" t="str">
        <f aca="false">IF($C1704="","",$H1704-$I1704)</f>
        <v/>
      </c>
      <c r="K1704" s="35" t="str">
        <f aca="false">IF($C1704="","",N($E1704)*IFERROR(INDEX(PRODUCTOS!$H$6:$H$105,MATCH($C1704,PRODUCTOS!$A$6:$A$105,0)),0))</f>
        <v/>
      </c>
      <c r="L1704" s="35" t="str">
        <f aca="false">IF($C1704="","",$J1704-$K1704)</f>
        <v/>
      </c>
      <c r="M1704" s="6"/>
      <c r="N1704" s="6"/>
      <c r="O1704" s="46" t="str">
        <f aca="false">IF($A1704="","",DATE(YEAR($A1704),MONTH($A1704),1))</f>
        <v/>
      </c>
    </row>
    <row r="1705" customFormat="false" ht="15" hidden="false" customHeight="false" outlineLevel="0" collapsed="false">
      <c r="A1705" s="44"/>
      <c r="B1705" s="6"/>
      <c r="C1705" s="6"/>
      <c r="D1705" s="8" t="str">
        <f aca="false">IF($C1705="","",IFERROR(INDEX(PRODUCTOS!$B$6:$B$105,MATCH($C1705,PRODUCTOS!$A$6:$A$105,0)),"¿Código?"))</f>
        <v/>
      </c>
      <c r="E1705" s="42"/>
      <c r="F1705" s="35" t="str">
        <f aca="false">IF($C1705="","",IFERROR(INDEX(PRODUCTOS!$D$6:$D$105,MATCH($C1705,PRODUCTOS!$A$6:$A$105,0)),0))</f>
        <v/>
      </c>
      <c r="G1705" s="40"/>
      <c r="H1705" s="35" t="str">
        <f aca="false">IF($C1705="","",N($E1705)*$F1705-N($G1705))</f>
        <v/>
      </c>
      <c r="I1705" s="35" t="str">
        <f aca="false">IF($C1705="","",$H1705-$H1705/(1+IFERROR(INDEX(PRODUCTOS!$E$6:$E$105,MATCH($C1705,PRODUCTOS!$A$6:$A$105,0)),IVA_VENTAS)))</f>
        <v/>
      </c>
      <c r="J1705" s="35" t="str">
        <f aca="false">IF($C1705="","",$H1705-$I1705)</f>
        <v/>
      </c>
      <c r="K1705" s="35" t="str">
        <f aca="false">IF($C1705="","",N($E1705)*IFERROR(INDEX(PRODUCTOS!$H$6:$H$105,MATCH($C1705,PRODUCTOS!$A$6:$A$105,0)),0))</f>
        <v/>
      </c>
      <c r="L1705" s="35" t="str">
        <f aca="false">IF($C1705="","",$J1705-$K1705)</f>
        <v/>
      </c>
      <c r="M1705" s="6"/>
      <c r="N1705" s="6"/>
      <c r="O1705" s="46" t="str">
        <f aca="false">IF($A1705="","",DATE(YEAR($A1705),MONTH($A1705),1))</f>
        <v/>
      </c>
    </row>
    <row r="1706" customFormat="false" ht="15" hidden="false" customHeight="false" outlineLevel="0" collapsed="false">
      <c r="A1706" s="44"/>
      <c r="B1706" s="6"/>
      <c r="C1706" s="6"/>
      <c r="D1706" s="8" t="str">
        <f aca="false">IF($C1706="","",IFERROR(INDEX(PRODUCTOS!$B$6:$B$105,MATCH($C1706,PRODUCTOS!$A$6:$A$105,0)),"¿Código?"))</f>
        <v/>
      </c>
      <c r="E1706" s="42"/>
      <c r="F1706" s="35" t="str">
        <f aca="false">IF($C1706="","",IFERROR(INDEX(PRODUCTOS!$D$6:$D$105,MATCH($C1706,PRODUCTOS!$A$6:$A$105,0)),0))</f>
        <v/>
      </c>
      <c r="G1706" s="40"/>
      <c r="H1706" s="35" t="str">
        <f aca="false">IF($C1706="","",N($E1706)*$F1706-N($G1706))</f>
        <v/>
      </c>
      <c r="I1706" s="35" t="str">
        <f aca="false">IF($C1706="","",$H1706-$H1706/(1+IFERROR(INDEX(PRODUCTOS!$E$6:$E$105,MATCH($C1706,PRODUCTOS!$A$6:$A$105,0)),IVA_VENTAS)))</f>
        <v/>
      </c>
      <c r="J1706" s="35" t="str">
        <f aca="false">IF($C1706="","",$H1706-$I1706)</f>
        <v/>
      </c>
      <c r="K1706" s="35" t="str">
        <f aca="false">IF($C1706="","",N($E1706)*IFERROR(INDEX(PRODUCTOS!$H$6:$H$105,MATCH($C1706,PRODUCTOS!$A$6:$A$105,0)),0))</f>
        <v/>
      </c>
      <c r="L1706" s="35" t="str">
        <f aca="false">IF($C1706="","",$J1706-$K1706)</f>
        <v/>
      </c>
      <c r="M1706" s="6"/>
      <c r="N1706" s="6"/>
      <c r="O1706" s="46" t="str">
        <f aca="false">IF($A1706="","",DATE(YEAR($A1706),MONTH($A1706),1))</f>
        <v/>
      </c>
    </row>
    <row r="1707" customFormat="false" ht="15" hidden="false" customHeight="false" outlineLevel="0" collapsed="false">
      <c r="A1707" s="44"/>
      <c r="B1707" s="6"/>
      <c r="C1707" s="6"/>
      <c r="D1707" s="8" t="str">
        <f aca="false">IF($C1707="","",IFERROR(INDEX(PRODUCTOS!$B$6:$B$105,MATCH($C1707,PRODUCTOS!$A$6:$A$105,0)),"¿Código?"))</f>
        <v/>
      </c>
      <c r="E1707" s="42"/>
      <c r="F1707" s="35" t="str">
        <f aca="false">IF($C1707="","",IFERROR(INDEX(PRODUCTOS!$D$6:$D$105,MATCH($C1707,PRODUCTOS!$A$6:$A$105,0)),0))</f>
        <v/>
      </c>
      <c r="G1707" s="40"/>
      <c r="H1707" s="35" t="str">
        <f aca="false">IF($C1707="","",N($E1707)*$F1707-N($G1707))</f>
        <v/>
      </c>
      <c r="I1707" s="35" t="str">
        <f aca="false">IF($C1707="","",$H1707-$H1707/(1+IFERROR(INDEX(PRODUCTOS!$E$6:$E$105,MATCH($C1707,PRODUCTOS!$A$6:$A$105,0)),IVA_VENTAS)))</f>
        <v/>
      </c>
      <c r="J1707" s="35" t="str">
        <f aca="false">IF($C1707="","",$H1707-$I1707)</f>
        <v/>
      </c>
      <c r="K1707" s="35" t="str">
        <f aca="false">IF($C1707="","",N($E1707)*IFERROR(INDEX(PRODUCTOS!$H$6:$H$105,MATCH($C1707,PRODUCTOS!$A$6:$A$105,0)),0))</f>
        <v/>
      </c>
      <c r="L1707" s="35" t="str">
        <f aca="false">IF($C1707="","",$J1707-$K1707)</f>
        <v/>
      </c>
      <c r="M1707" s="6"/>
      <c r="N1707" s="6"/>
      <c r="O1707" s="46" t="str">
        <f aca="false">IF($A1707="","",DATE(YEAR($A1707),MONTH($A1707),1))</f>
        <v/>
      </c>
    </row>
    <row r="1708" customFormat="false" ht="15" hidden="false" customHeight="false" outlineLevel="0" collapsed="false">
      <c r="A1708" s="44"/>
      <c r="B1708" s="6"/>
      <c r="C1708" s="6"/>
      <c r="D1708" s="8" t="str">
        <f aca="false">IF($C1708="","",IFERROR(INDEX(PRODUCTOS!$B$6:$B$105,MATCH($C1708,PRODUCTOS!$A$6:$A$105,0)),"¿Código?"))</f>
        <v/>
      </c>
      <c r="E1708" s="42"/>
      <c r="F1708" s="35" t="str">
        <f aca="false">IF($C1708="","",IFERROR(INDEX(PRODUCTOS!$D$6:$D$105,MATCH($C1708,PRODUCTOS!$A$6:$A$105,0)),0))</f>
        <v/>
      </c>
      <c r="G1708" s="40"/>
      <c r="H1708" s="35" t="str">
        <f aca="false">IF($C1708="","",N($E1708)*$F1708-N($G1708))</f>
        <v/>
      </c>
      <c r="I1708" s="35" t="str">
        <f aca="false">IF($C1708="","",$H1708-$H1708/(1+IFERROR(INDEX(PRODUCTOS!$E$6:$E$105,MATCH($C1708,PRODUCTOS!$A$6:$A$105,0)),IVA_VENTAS)))</f>
        <v/>
      </c>
      <c r="J1708" s="35" t="str">
        <f aca="false">IF($C1708="","",$H1708-$I1708)</f>
        <v/>
      </c>
      <c r="K1708" s="35" t="str">
        <f aca="false">IF($C1708="","",N($E1708)*IFERROR(INDEX(PRODUCTOS!$H$6:$H$105,MATCH($C1708,PRODUCTOS!$A$6:$A$105,0)),0))</f>
        <v/>
      </c>
      <c r="L1708" s="35" t="str">
        <f aca="false">IF($C1708="","",$J1708-$K1708)</f>
        <v/>
      </c>
      <c r="M1708" s="6"/>
      <c r="N1708" s="6"/>
      <c r="O1708" s="46" t="str">
        <f aca="false">IF($A1708="","",DATE(YEAR($A1708),MONTH($A1708),1))</f>
        <v/>
      </c>
    </row>
    <row r="1709" customFormat="false" ht="15" hidden="false" customHeight="false" outlineLevel="0" collapsed="false">
      <c r="A1709" s="44"/>
      <c r="B1709" s="6"/>
      <c r="C1709" s="6"/>
      <c r="D1709" s="8" t="str">
        <f aca="false">IF($C1709="","",IFERROR(INDEX(PRODUCTOS!$B$6:$B$105,MATCH($C1709,PRODUCTOS!$A$6:$A$105,0)),"¿Código?"))</f>
        <v/>
      </c>
      <c r="E1709" s="42"/>
      <c r="F1709" s="35" t="str">
        <f aca="false">IF($C1709="","",IFERROR(INDEX(PRODUCTOS!$D$6:$D$105,MATCH($C1709,PRODUCTOS!$A$6:$A$105,0)),0))</f>
        <v/>
      </c>
      <c r="G1709" s="40"/>
      <c r="H1709" s="35" t="str">
        <f aca="false">IF($C1709="","",N($E1709)*$F1709-N($G1709))</f>
        <v/>
      </c>
      <c r="I1709" s="35" t="str">
        <f aca="false">IF($C1709="","",$H1709-$H1709/(1+IFERROR(INDEX(PRODUCTOS!$E$6:$E$105,MATCH($C1709,PRODUCTOS!$A$6:$A$105,0)),IVA_VENTAS)))</f>
        <v/>
      </c>
      <c r="J1709" s="35" t="str">
        <f aca="false">IF($C1709="","",$H1709-$I1709)</f>
        <v/>
      </c>
      <c r="K1709" s="35" t="str">
        <f aca="false">IF($C1709="","",N($E1709)*IFERROR(INDEX(PRODUCTOS!$H$6:$H$105,MATCH($C1709,PRODUCTOS!$A$6:$A$105,0)),0))</f>
        <v/>
      </c>
      <c r="L1709" s="35" t="str">
        <f aca="false">IF($C1709="","",$J1709-$K1709)</f>
        <v/>
      </c>
      <c r="M1709" s="6"/>
      <c r="N1709" s="6"/>
      <c r="O1709" s="46" t="str">
        <f aca="false">IF($A1709="","",DATE(YEAR($A1709),MONTH($A1709),1))</f>
        <v/>
      </c>
    </row>
    <row r="1710" customFormat="false" ht="15" hidden="false" customHeight="false" outlineLevel="0" collapsed="false">
      <c r="A1710" s="44"/>
      <c r="B1710" s="6"/>
      <c r="C1710" s="6"/>
      <c r="D1710" s="8" t="str">
        <f aca="false">IF($C1710="","",IFERROR(INDEX(PRODUCTOS!$B$6:$B$105,MATCH($C1710,PRODUCTOS!$A$6:$A$105,0)),"¿Código?"))</f>
        <v/>
      </c>
      <c r="E1710" s="42"/>
      <c r="F1710" s="35" t="str">
        <f aca="false">IF($C1710="","",IFERROR(INDEX(PRODUCTOS!$D$6:$D$105,MATCH($C1710,PRODUCTOS!$A$6:$A$105,0)),0))</f>
        <v/>
      </c>
      <c r="G1710" s="40"/>
      <c r="H1710" s="35" t="str">
        <f aca="false">IF($C1710="","",N($E1710)*$F1710-N($G1710))</f>
        <v/>
      </c>
      <c r="I1710" s="35" t="str">
        <f aca="false">IF($C1710="","",$H1710-$H1710/(1+IFERROR(INDEX(PRODUCTOS!$E$6:$E$105,MATCH($C1710,PRODUCTOS!$A$6:$A$105,0)),IVA_VENTAS)))</f>
        <v/>
      </c>
      <c r="J1710" s="35" t="str">
        <f aca="false">IF($C1710="","",$H1710-$I1710)</f>
        <v/>
      </c>
      <c r="K1710" s="35" t="str">
        <f aca="false">IF($C1710="","",N($E1710)*IFERROR(INDEX(PRODUCTOS!$H$6:$H$105,MATCH($C1710,PRODUCTOS!$A$6:$A$105,0)),0))</f>
        <v/>
      </c>
      <c r="L1710" s="35" t="str">
        <f aca="false">IF($C1710="","",$J1710-$K1710)</f>
        <v/>
      </c>
      <c r="M1710" s="6"/>
      <c r="N1710" s="6"/>
      <c r="O1710" s="46" t="str">
        <f aca="false">IF($A1710="","",DATE(YEAR($A1710),MONTH($A1710),1))</f>
        <v/>
      </c>
    </row>
    <row r="1711" customFormat="false" ht="15" hidden="false" customHeight="false" outlineLevel="0" collapsed="false">
      <c r="A1711" s="44"/>
      <c r="B1711" s="6"/>
      <c r="C1711" s="6"/>
      <c r="D1711" s="8" t="str">
        <f aca="false">IF($C1711="","",IFERROR(INDEX(PRODUCTOS!$B$6:$B$105,MATCH($C1711,PRODUCTOS!$A$6:$A$105,0)),"¿Código?"))</f>
        <v/>
      </c>
      <c r="E1711" s="42"/>
      <c r="F1711" s="35" t="str">
        <f aca="false">IF($C1711="","",IFERROR(INDEX(PRODUCTOS!$D$6:$D$105,MATCH($C1711,PRODUCTOS!$A$6:$A$105,0)),0))</f>
        <v/>
      </c>
      <c r="G1711" s="40"/>
      <c r="H1711" s="35" t="str">
        <f aca="false">IF($C1711="","",N($E1711)*$F1711-N($G1711))</f>
        <v/>
      </c>
      <c r="I1711" s="35" t="str">
        <f aca="false">IF($C1711="","",$H1711-$H1711/(1+IFERROR(INDEX(PRODUCTOS!$E$6:$E$105,MATCH($C1711,PRODUCTOS!$A$6:$A$105,0)),IVA_VENTAS)))</f>
        <v/>
      </c>
      <c r="J1711" s="35" t="str">
        <f aca="false">IF($C1711="","",$H1711-$I1711)</f>
        <v/>
      </c>
      <c r="K1711" s="35" t="str">
        <f aca="false">IF($C1711="","",N($E1711)*IFERROR(INDEX(PRODUCTOS!$H$6:$H$105,MATCH($C1711,PRODUCTOS!$A$6:$A$105,0)),0))</f>
        <v/>
      </c>
      <c r="L1711" s="35" t="str">
        <f aca="false">IF($C1711="","",$J1711-$K1711)</f>
        <v/>
      </c>
      <c r="M1711" s="6"/>
      <c r="N1711" s="6"/>
      <c r="O1711" s="46" t="str">
        <f aca="false">IF($A1711="","",DATE(YEAR($A1711),MONTH($A1711),1))</f>
        <v/>
      </c>
    </row>
    <row r="1712" customFormat="false" ht="15" hidden="false" customHeight="false" outlineLevel="0" collapsed="false">
      <c r="A1712" s="44"/>
      <c r="B1712" s="6"/>
      <c r="C1712" s="6"/>
      <c r="D1712" s="8" t="str">
        <f aca="false">IF($C1712="","",IFERROR(INDEX(PRODUCTOS!$B$6:$B$105,MATCH($C1712,PRODUCTOS!$A$6:$A$105,0)),"¿Código?"))</f>
        <v/>
      </c>
      <c r="E1712" s="42"/>
      <c r="F1712" s="35" t="str">
        <f aca="false">IF($C1712="","",IFERROR(INDEX(PRODUCTOS!$D$6:$D$105,MATCH($C1712,PRODUCTOS!$A$6:$A$105,0)),0))</f>
        <v/>
      </c>
      <c r="G1712" s="40"/>
      <c r="H1712" s="35" t="str">
        <f aca="false">IF($C1712="","",N($E1712)*$F1712-N($G1712))</f>
        <v/>
      </c>
      <c r="I1712" s="35" t="str">
        <f aca="false">IF($C1712="","",$H1712-$H1712/(1+IFERROR(INDEX(PRODUCTOS!$E$6:$E$105,MATCH($C1712,PRODUCTOS!$A$6:$A$105,0)),IVA_VENTAS)))</f>
        <v/>
      </c>
      <c r="J1712" s="35" t="str">
        <f aca="false">IF($C1712="","",$H1712-$I1712)</f>
        <v/>
      </c>
      <c r="K1712" s="35" t="str">
        <f aca="false">IF($C1712="","",N($E1712)*IFERROR(INDEX(PRODUCTOS!$H$6:$H$105,MATCH($C1712,PRODUCTOS!$A$6:$A$105,0)),0))</f>
        <v/>
      </c>
      <c r="L1712" s="35" t="str">
        <f aca="false">IF($C1712="","",$J1712-$K1712)</f>
        <v/>
      </c>
      <c r="M1712" s="6"/>
      <c r="N1712" s="6"/>
      <c r="O1712" s="46" t="str">
        <f aca="false">IF($A1712="","",DATE(YEAR($A1712),MONTH($A1712),1))</f>
        <v/>
      </c>
    </row>
    <row r="1713" customFormat="false" ht="15" hidden="false" customHeight="false" outlineLevel="0" collapsed="false">
      <c r="A1713" s="44"/>
      <c r="B1713" s="6"/>
      <c r="C1713" s="6"/>
      <c r="D1713" s="8" t="str">
        <f aca="false">IF($C1713="","",IFERROR(INDEX(PRODUCTOS!$B$6:$B$105,MATCH($C1713,PRODUCTOS!$A$6:$A$105,0)),"¿Código?"))</f>
        <v/>
      </c>
      <c r="E1713" s="42"/>
      <c r="F1713" s="35" t="str">
        <f aca="false">IF($C1713="","",IFERROR(INDEX(PRODUCTOS!$D$6:$D$105,MATCH($C1713,PRODUCTOS!$A$6:$A$105,0)),0))</f>
        <v/>
      </c>
      <c r="G1713" s="40"/>
      <c r="H1713" s="35" t="str">
        <f aca="false">IF($C1713="","",N($E1713)*$F1713-N($G1713))</f>
        <v/>
      </c>
      <c r="I1713" s="35" t="str">
        <f aca="false">IF($C1713="","",$H1713-$H1713/(1+IFERROR(INDEX(PRODUCTOS!$E$6:$E$105,MATCH($C1713,PRODUCTOS!$A$6:$A$105,0)),IVA_VENTAS)))</f>
        <v/>
      </c>
      <c r="J1713" s="35" t="str">
        <f aca="false">IF($C1713="","",$H1713-$I1713)</f>
        <v/>
      </c>
      <c r="K1713" s="35" t="str">
        <f aca="false">IF($C1713="","",N($E1713)*IFERROR(INDEX(PRODUCTOS!$H$6:$H$105,MATCH($C1713,PRODUCTOS!$A$6:$A$105,0)),0))</f>
        <v/>
      </c>
      <c r="L1713" s="35" t="str">
        <f aca="false">IF($C1713="","",$J1713-$K1713)</f>
        <v/>
      </c>
      <c r="M1713" s="6"/>
      <c r="N1713" s="6"/>
      <c r="O1713" s="46" t="str">
        <f aca="false">IF($A1713="","",DATE(YEAR($A1713),MONTH($A1713),1))</f>
        <v/>
      </c>
    </row>
    <row r="1714" customFormat="false" ht="15" hidden="false" customHeight="false" outlineLevel="0" collapsed="false">
      <c r="A1714" s="44"/>
      <c r="B1714" s="6"/>
      <c r="C1714" s="6"/>
      <c r="D1714" s="8" t="str">
        <f aca="false">IF($C1714="","",IFERROR(INDEX(PRODUCTOS!$B$6:$B$105,MATCH($C1714,PRODUCTOS!$A$6:$A$105,0)),"¿Código?"))</f>
        <v/>
      </c>
      <c r="E1714" s="42"/>
      <c r="F1714" s="35" t="str">
        <f aca="false">IF($C1714="","",IFERROR(INDEX(PRODUCTOS!$D$6:$D$105,MATCH($C1714,PRODUCTOS!$A$6:$A$105,0)),0))</f>
        <v/>
      </c>
      <c r="G1714" s="40"/>
      <c r="H1714" s="35" t="str">
        <f aca="false">IF($C1714="","",N($E1714)*$F1714-N($G1714))</f>
        <v/>
      </c>
      <c r="I1714" s="35" t="str">
        <f aca="false">IF($C1714="","",$H1714-$H1714/(1+IFERROR(INDEX(PRODUCTOS!$E$6:$E$105,MATCH($C1714,PRODUCTOS!$A$6:$A$105,0)),IVA_VENTAS)))</f>
        <v/>
      </c>
      <c r="J1714" s="35" t="str">
        <f aca="false">IF($C1714="","",$H1714-$I1714)</f>
        <v/>
      </c>
      <c r="K1714" s="35" t="str">
        <f aca="false">IF($C1714="","",N($E1714)*IFERROR(INDEX(PRODUCTOS!$H$6:$H$105,MATCH($C1714,PRODUCTOS!$A$6:$A$105,0)),0))</f>
        <v/>
      </c>
      <c r="L1714" s="35" t="str">
        <f aca="false">IF($C1714="","",$J1714-$K1714)</f>
        <v/>
      </c>
      <c r="M1714" s="6"/>
      <c r="N1714" s="6"/>
      <c r="O1714" s="46" t="str">
        <f aca="false">IF($A1714="","",DATE(YEAR($A1714),MONTH($A1714),1))</f>
        <v/>
      </c>
    </row>
    <row r="1715" customFormat="false" ht="15" hidden="false" customHeight="false" outlineLevel="0" collapsed="false">
      <c r="A1715" s="44"/>
      <c r="B1715" s="6"/>
      <c r="C1715" s="6"/>
      <c r="D1715" s="8" t="str">
        <f aca="false">IF($C1715="","",IFERROR(INDEX(PRODUCTOS!$B$6:$B$105,MATCH($C1715,PRODUCTOS!$A$6:$A$105,0)),"¿Código?"))</f>
        <v/>
      </c>
      <c r="E1715" s="42"/>
      <c r="F1715" s="35" t="str">
        <f aca="false">IF($C1715="","",IFERROR(INDEX(PRODUCTOS!$D$6:$D$105,MATCH($C1715,PRODUCTOS!$A$6:$A$105,0)),0))</f>
        <v/>
      </c>
      <c r="G1715" s="40"/>
      <c r="H1715" s="35" t="str">
        <f aca="false">IF($C1715="","",N($E1715)*$F1715-N($G1715))</f>
        <v/>
      </c>
      <c r="I1715" s="35" t="str">
        <f aca="false">IF($C1715="","",$H1715-$H1715/(1+IFERROR(INDEX(PRODUCTOS!$E$6:$E$105,MATCH($C1715,PRODUCTOS!$A$6:$A$105,0)),IVA_VENTAS)))</f>
        <v/>
      </c>
      <c r="J1715" s="35" t="str">
        <f aca="false">IF($C1715="","",$H1715-$I1715)</f>
        <v/>
      </c>
      <c r="K1715" s="35" t="str">
        <f aca="false">IF($C1715="","",N($E1715)*IFERROR(INDEX(PRODUCTOS!$H$6:$H$105,MATCH($C1715,PRODUCTOS!$A$6:$A$105,0)),0))</f>
        <v/>
      </c>
      <c r="L1715" s="35" t="str">
        <f aca="false">IF($C1715="","",$J1715-$K1715)</f>
        <v/>
      </c>
      <c r="M1715" s="6"/>
      <c r="N1715" s="6"/>
      <c r="O1715" s="46" t="str">
        <f aca="false">IF($A1715="","",DATE(YEAR($A1715),MONTH($A1715),1))</f>
        <v/>
      </c>
    </row>
    <row r="1716" customFormat="false" ht="15" hidden="false" customHeight="false" outlineLevel="0" collapsed="false">
      <c r="A1716" s="44"/>
      <c r="B1716" s="6"/>
      <c r="C1716" s="6"/>
      <c r="D1716" s="8" t="str">
        <f aca="false">IF($C1716="","",IFERROR(INDEX(PRODUCTOS!$B$6:$B$105,MATCH($C1716,PRODUCTOS!$A$6:$A$105,0)),"¿Código?"))</f>
        <v/>
      </c>
      <c r="E1716" s="42"/>
      <c r="F1716" s="35" t="str">
        <f aca="false">IF($C1716="","",IFERROR(INDEX(PRODUCTOS!$D$6:$D$105,MATCH($C1716,PRODUCTOS!$A$6:$A$105,0)),0))</f>
        <v/>
      </c>
      <c r="G1716" s="40"/>
      <c r="H1716" s="35" t="str">
        <f aca="false">IF($C1716="","",N($E1716)*$F1716-N($G1716))</f>
        <v/>
      </c>
      <c r="I1716" s="35" t="str">
        <f aca="false">IF($C1716="","",$H1716-$H1716/(1+IFERROR(INDEX(PRODUCTOS!$E$6:$E$105,MATCH($C1716,PRODUCTOS!$A$6:$A$105,0)),IVA_VENTAS)))</f>
        <v/>
      </c>
      <c r="J1716" s="35" t="str">
        <f aca="false">IF($C1716="","",$H1716-$I1716)</f>
        <v/>
      </c>
      <c r="K1716" s="35" t="str">
        <f aca="false">IF($C1716="","",N($E1716)*IFERROR(INDEX(PRODUCTOS!$H$6:$H$105,MATCH($C1716,PRODUCTOS!$A$6:$A$105,0)),0))</f>
        <v/>
      </c>
      <c r="L1716" s="35" t="str">
        <f aca="false">IF($C1716="","",$J1716-$K1716)</f>
        <v/>
      </c>
      <c r="M1716" s="6"/>
      <c r="N1716" s="6"/>
      <c r="O1716" s="46" t="str">
        <f aca="false">IF($A1716="","",DATE(YEAR($A1716),MONTH($A1716),1))</f>
        <v/>
      </c>
    </row>
    <row r="1717" customFormat="false" ht="15" hidden="false" customHeight="false" outlineLevel="0" collapsed="false">
      <c r="A1717" s="44"/>
      <c r="B1717" s="6"/>
      <c r="C1717" s="6"/>
      <c r="D1717" s="8" t="str">
        <f aca="false">IF($C1717="","",IFERROR(INDEX(PRODUCTOS!$B$6:$B$105,MATCH($C1717,PRODUCTOS!$A$6:$A$105,0)),"¿Código?"))</f>
        <v/>
      </c>
      <c r="E1717" s="42"/>
      <c r="F1717" s="35" t="str">
        <f aca="false">IF($C1717="","",IFERROR(INDEX(PRODUCTOS!$D$6:$D$105,MATCH($C1717,PRODUCTOS!$A$6:$A$105,0)),0))</f>
        <v/>
      </c>
      <c r="G1717" s="40"/>
      <c r="H1717" s="35" t="str">
        <f aca="false">IF($C1717="","",N($E1717)*$F1717-N($G1717))</f>
        <v/>
      </c>
      <c r="I1717" s="35" t="str">
        <f aca="false">IF($C1717="","",$H1717-$H1717/(1+IFERROR(INDEX(PRODUCTOS!$E$6:$E$105,MATCH($C1717,PRODUCTOS!$A$6:$A$105,0)),IVA_VENTAS)))</f>
        <v/>
      </c>
      <c r="J1717" s="35" t="str">
        <f aca="false">IF($C1717="","",$H1717-$I1717)</f>
        <v/>
      </c>
      <c r="K1717" s="35" t="str">
        <f aca="false">IF($C1717="","",N($E1717)*IFERROR(INDEX(PRODUCTOS!$H$6:$H$105,MATCH($C1717,PRODUCTOS!$A$6:$A$105,0)),0))</f>
        <v/>
      </c>
      <c r="L1717" s="35" t="str">
        <f aca="false">IF($C1717="","",$J1717-$K1717)</f>
        <v/>
      </c>
      <c r="M1717" s="6"/>
      <c r="N1717" s="6"/>
      <c r="O1717" s="46" t="str">
        <f aca="false">IF($A1717="","",DATE(YEAR($A1717),MONTH($A1717),1))</f>
        <v/>
      </c>
    </row>
    <row r="1718" customFormat="false" ht="15" hidden="false" customHeight="false" outlineLevel="0" collapsed="false">
      <c r="A1718" s="44"/>
      <c r="B1718" s="6"/>
      <c r="C1718" s="6"/>
      <c r="D1718" s="8" t="str">
        <f aca="false">IF($C1718="","",IFERROR(INDEX(PRODUCTOS!$B$6:$B$105,MATCH($C1718,PRODUCTOS!$A$6:$A$105,0)),"¿Código?"))</f>
        <v/>
      </c>
      <c r="E1718" s="42"/>
      <c r="F1718" s="35" t="str">
        <f aca="false">IF($C1718="","",IFERROR(INDEX(PRODUCTOS!$D$6:$D$105,MATCH($C1718,PRODUCTOS!$A$6:$A$105,0)),0))</f>
        <v/>
      </c>
      <c r="G1718" s="40"/>
      <c r="H1718" s="35" t="str">
        <f aca="false">IF($C1718="","",N($E1718)*$F1718-N($G1718))</f>
        <v/>
      </c>
      <c r="I1718" s="35" t="str">
        <f aca="false">IF($C1718="","",$H1718-$H1718/(1+IFERROR(INDEX(PRODUCTOS!$E$6:$E$105,MATCH($C1718,PRODUCTOS!$A$6:$A$105,0)),IVA_VENTAS)))</f>
        <v/>
      </c>
      <c r="J1718" s="35" t="str">
        <f aca="false">IF($C1718="","",$H1718-$I1718)</f>
        <v/>
      </c>
      <c r="K1718" s="35" t="str">
        <f aca="false">IF($C1718="","",N($E1718)*IFERROR(INDEX(PRODUCTOS!$H$6:$H$105,MATCH($C1718,PRODUCTOS!$A$6:$A$105,0)),0))</f>
        <v/>
      </c>
      <c r="L1718" s="35" t="str">
        <f aca="false">IF($C1718="","",$J1718-$K1718)</f>
        <v/>
      </c>
      <c r="M1718" s="6"/>
      <c r="N1718" s="6"/>
      <c r="O1718" s="46" t="str">
        <f aca="false">IF($A1718="","",DATE(YEAR($A1718),MONTH($A1718),1))</f>
        <v/>
      </c>
    </row>
    <row r="1719" customFormat="false" ht="15" hidden="false" customHeight="false" outlineLevel="0" collapsed="false">
      <c r="A1719" s="44"/>
      <c r="B1719" s="6"/>
      <c r="C1719" s="6"/>
      <c r="D1719" s="8" t="str">
        <f aca="false">IF($C1719="","",IFERROR(INDEX(PRODUCTOS!$B$6:$B$105,MATCH($C1719,PRODUCTOS!$A$6:$A$105,0)),"¿Código?"))</f>
        <v/>
      </c>
      <c r="E1719" s="42"/>
      <c r="F1719" s="35" t="str">
        <f aca="false">IF($C1719="","",IFERROR(INDEX(PRODUCTOS!$D$6:$D$105,MATCH($C1719,PRODUCTOS!$A$6:$A$105,0)),0))</f>
        <v/>
      </c>
      <c r="G1719" s="40"/>
      <c r="H1719" s="35" t="str">
        <f aca="false">IF($C1719="","",N($E1719)*$F1719-N($G1719))</f>
        <v/>
      </c>
      <c r="I1719" s="35" t="str">
        <f aca="false">IF($C1719="","",$H1719-$H1719/(1+IFERROR(INDEX(PRODUCTOS!$E$6:$E$105,MATCH($C1719,PRODUCTOS!$A$6:$A$105,0)),IVA_VENTAS)))</f>
        <v/>
      </c>
      <c r="J1719" s="35" t="str">
        <f aca="false">IF($C1719="","",$H1719-$I1719)</f>
        <v/>
      </c>
      <c r="K1719" s="35" t="str">
        <f aca="false">IF($C1719="","",N($E1719)*IFERROR(INDEX(PRODUCTOS!$H$6:$H$105,MATCH($C1719,PRODUCTOS!$A$6:$A$105,0)),0))</f>
        <v/>
      </c>
      <c r="L1719" s="35" t="str">
        <f aca="false">IF($C1719="","",$J1719-$K1719)</f>
        <v/>
      </c>
      <c r="M1719" s="6"/>
      <c r="N1719" s="6"/>
      <c r="O1719" s="46" t="str">
        <f aca="false">IF($A1719="","",DATE(YEAR($A1719),MONTH($A1719),1))</f>
        <v/>
      </c>
    </row>
    <row r="1720" customFormat="false" ht="15" hidden="false" customHeight="false" outlineLevel="0" collapsed="false">
      <c r="A1720" s="44"/>
      <c r="B1720" s="6"/>
      <c r="C1720" s="6"/>
      <c r="D1720" s="8" t="str">
        <f aca="false">IF($C1720="","",IFERROR(INDEX(PRODUCTOS!$B$6:$B$105,MATCH($C1720,PRODUCTOS!$A$6:$A$105,0)),"¿Código?"))</f>
        <v/>
      </c>
      <c r="E1720" s="42"/>
      <c r="F1720" s="35" t="str">
        <f aca="false">IF($C1720="","",IFERROR(INDEX(PRODUCTOS!$D$6:$D$105,MATCH($C1720,PRODUCTOS!$A$6:$A$105,0)),0))</f>
        <v/>
      </c>
      <c r="G1720" s="40"/>
      <c r="H1720" s="35" t="str">
        <f aca="false">IF($C1720="","",N($E1720)*$F1720-N($G1720))</f>
        <v/>
      </c>
      <c r="I1720" s="35" t="str">
        <f aca="false">IF($C1720="","",$H1720-$H1720/(1+IFERROR(INDEX(PRODUCTOS!$E$6:$E$105,MATCH($C1720,PRODUCTOS!$A$6:$A$105,0)),IVA_VENTAS)))</f>
        <v/>
      </c>
      <c r="J1720" s="35" t="str">
        <f aca="false">IF($C1720="","",$H1720-$I1720)</f>
        <v/>
      </c>
      <c r="K1720" s="35" t="str">
        <f aca="false">IF($C1720="","",N($E1720)*IFERROR(INDEX(PRODUCTOS!$H$6:$H$105,MATCH($C1720,PRODUCTOS!$A$6:$A$105,0)),0))</f>
        <v/>
      </c>
      <c r="L1720" s="35" t="str">
        <f aca="false">IF($C1720="","",$J1720-$K1720)</f>
        <v/>
      </c>
      <c r="M1720" s="6"/>
      <c r="N1720" s="6"/>
      <c r="O1720" s="46" t="str">
        <f aca="false">IF($A1720="","",DATE(YEAR($A1720),MONTH($A1720),1))</f>
        <v/>
      </c>
    </row>
    <row r="1721" customFormat="false" ht="15" hidden="false" customHeight="false" outlineLevel="0" collapsed="false">
      <c r="A1721" s="44"/>
      <c r="B1721" s="6"/>
      <c r="C1721" s="6"/>
      <c r="D1721" s="8" t="str">
        <f aca="false">IF($C1721="","",IFERROR(INDEX(PRODUCTOS!$B$6:$B$105,MATCH($C1721,PRODUCTOS!$A$6:$A$105,0)),"¿Código?"))</f>
        <v/>
      </c>
      <c r="E1721" s="42"/>
      <c r="F1721" s="35" t="str">
        <f aca="false">IF($C1721="","",IFERROR(INDEX(PRODUCTOS!$D$6:$D$105,MATCH($C1721,PRODUCTOS!$A$6:$A$105,0)),0))</f>
        <v/>
      </c>
      <c r="G1721" s="40"/>
      <c r="H1721" s="35" t="str">
        <f aca="false">IF($C1721="","",N($E1721)*$F1721-N($G1721))</f>
        <v/>
      </c>
      <c r="I1721" s="35" t="str">
        <f aca="false">IF($C1721="","",$H1721-$H1721/(1+IFERROR(INDEX(PRODUCTOS!$E$6:$E$105,MATCH($C1721,PRODUCTOS!$A$6:$A$105,0)),IVA_VENTAS)))</f>
        <v/>
      </c>
      <c r="J1721" s="35" t="str">
        <f aca="false">IF($C1721="","",$H1721-$I1721)</f>
        <v/>
      </c>
      <c r="K1721" s="35" t="str">
        <f aca="false">IF($C1721="","",N($E1721)*IFERROR(INDEX(PRODUCTOS!$H$6:$H$105,MATCH($C1721,PRODUCTOS!$A$6:$A$105,0)),0))</f>
        <v/>
      </c>
      <c r="L1721" s="35" t="str">
        <f aca="false">IF($C1721="","",$J1721-$K1721)</f>
        <v/>
      </c>
      <c r="M1721" s="6"/>
      <c r="N1721" s="6"/>
      <c r="O1721" s="46" t="str">
        <f aca="false">IF($A1721="","",DATE(YEAR($A1721),MONTH($A1721),1))</f>
        <v/>
      </c>
    </row>
    <row r="1722" customFormat="false" ht="15" hidden="false" customHeight="false" outlineLevel="0" collapsed="false">
      <c r="A1722" s="44"/>
      <c r="B1722" s="6"/>
      <c r="C1722" s="6"/>
      <c r="D1722" s="8" t="str">
        <f aca="false">IF($C1722="","",IFERROR(INDEX(PRODUCTOS!$B$6:$B$105,MATCH($C1722,PRODUCTOS!$A$6:$A$105,0)),"¿Código?"))</f>
        <v/>
      </c>
      <c r="E1722" s="42"/>
      <c r="F1722" s="35" t="str">
        <f aca="false">IF($C1722="","",IFERROR(INDEX(PRODUCTOS!$D$6:$D$105,MATCH($C1722,PRODUCTOS!$A$6:$A$105,0)),0))</f>
        <v/>
      </c>
      <c r="G1722" s="40"/>
      <c r="H1722" s="35" t="str">
        <f aca="false">IF($C1722="","",N($E1722)*$F1722-N($G1722))</f>
        <v/>
      </c>
      <c r="I1722" s="35" t="str">
        <f aca="false">IF($C1722="","",$H1722-$H1722/(1+IFERROR(INDEX(PRODUCTOS!$E$6:$E$105,MATCH($C1722,PRODUCTOS!$A$6:$A$105,0)),IVA_VENTAS)))</f>
        <v/>
      </c>
      <c r="J1722" s="35" t="str">
        <f aca="false">IF($C1722="","",$H1722-$I1722)</f>
        <v/>
      </c>
      <c r="K1722" s="35" t="str">
        <f aca="false">IF($C1722="","",N($E1722)*IFERROR(INDEX(PRODUCTOS!$H$6:$H$105,MATCH($C1722,PRODUCTOS!$A$6:$A$105,0)),0))</f>
        <v/>
      </c>
      <c r="L1722" s="35" t="str">
        <f aca="false">IF($C1722="","",$J1722-$K1722)</f>
        <v/>
      </c>
      <c r="M1722" s="6"/>
      <c r="N1722" s="6"/>
      <c r="O1722" s="46" t="str">
        <f aca="false">IF($A1722="","",DATE(YEAR($A1722),MONTH($A1722),1))</f>
        <v/>
      </c>
    </row>
    <row r="1723" customFormat="false" ht="15" hidden="false" customHeight="false" outlineLevel="0" collapsed="false">
      <c r="A1723" s="44"/>
      <c r="B1723" s="6"/>
      <c r="C1723" s="6"/>
      <c r="D1723" s="8" t="str">
        <f aca="false">IF($C1723="","",IFERROR(INDEX(PRODUCTOS!$B$6:$B$105,MATCH($C1723,PRODUCTOS!$A$6:$A$105,0)),"¿Código?"))</f>
        <v/>
      </c>
      <c r="E1723" s="42"/>
      <c r="F1723" s="35" t="str">
        <f aca="false">IF($C1723="","",IFERROR(INDEX(PRODUCTOS!$D$6:$D$105,MATCH($C1723,PRODUCTOS!$A$6:$A$105,0)),0))</f>
        <v/>
      </c>
      <c r="G1723" s="40"/>
      <c r="H1723" s="35" t="str">
        <f aca="false">IF($C1723="","",N($E1723)*$F1723-N($G1723))</f>
        <v/>
      </c>
      <c r="I1723" s="35" t="str">
        <f aca="false">IF($C1723="","",$H1723-$H1723/(1+IFERROR(INDEX(PRODUCTOS!$E$6:$E$105,MATCH($C1723,PRODUCTOS!$A$6:$A$105,0)),IVA_VENTAS)))</f>
        <v/>
      </c>
      <c r="J1723" s="35" t="str">
        <f aca="false">IF($C1723="","",$H1723-$I1723)</f>
        <v/>
      </c>
      <c r="K1723" s="35" t="str">
        <f aca="false">IF($C1723="","",N($E1723)*IFERROR(INDEX(PRODUCTOS!$H$6:$H$105,MATCH($C1723,PRODUCTOS!$A$6:$A$105,0)),0))</f>
        <v/>
      </c>
      <c r="L1723" s="35" t="str">
        <f aca="false">IF($C1723="","",$J1723-$K1723)</f>
        <v/>
      </c>
      <c r="M1723" s="6"/>
      <c r="N1723" s="6"/>
      <c r="O1723" s="46" t="str">
        <f aca="false">IF($A1723="","",DATE(YEAR($A1723),MONTH($A1723),1))</f>
        <v/>
      </c>
    </row>
    <row r="1724" customFormat="false" ht="15" hidden="false" customHeight="false" outlineLevel="0" collapsed="false">
      <c r="A1724" s="44"/>
      <c r="B1724" s="6"/>
      <c r="C1724" s="6"/>
      <c r="D1724" s="8" t="str">
        <f aca="false">IF($C1724="","",IFERROR(INDEX(PRODUCTOS!$B$6:$B$105,MATCH($C1724,PRODUCTOS!$A$6:$A$105,0)),"¿Código?"))</f>
        <v/>
      </c>
      <c r="E1724" s="42"/>
      <c r="F1724" s="35" t="str">
        <f aca="false">IF($C1724="","",IFERROR(INDEX(PRODUCTOS!$D$6:$D$105,MATCH($C1724,PRODUCTOS!$A$6:$A$105,0)),0))</f>
        <v/>
      </c>
      <c r="G1724" s="40"/>
      <c r="H1724" s="35" t="str">
        <f aca="false">IF($C1724="","",N($E1724)*$F1724-N($G1724))</f>
        <v/>
      </c>
      <c r="I1724" s="35" t="str">
        <f aca="false">IF($C1724="","",$H1724-$H1724/(1+IFERROR(INDEX(PRODUCTOS!$E$6:$E$105,MATCH($C1724,PRODUCTOS!$A$6:$A$105,0)),IVA_VENTAS)))</f>
        <v/>
      </c>
      <c r="J1724" s="35" t="str">
        <f aca="false">IF($C1724="","",$H1724-$I1724)</f>
        <v/>
      </c>
      <c r="K1724" s="35" t="str">
        <f aca="false">IF($C1724="","",N($E1724)*IFERROR(INDEX(PRODUCTOS!$H$6:$H$105,MATCH($C1724,PRODUCTOS!$A$6:$A$105,0)),0))</f>
        <v/>
      </c>
      <c r="L1724" s="35" t="str">
        <f aca="false">IF($C1724="","",$J1724-$K1724)</f>
        <v/>
      </c>
      <c r="M1724" s="6"/>
      <c r="N1724" s="6"/>
      <c r="O1724" s="46" t="str">
        <f aca="false">IF($A1724="","",DATE(YEAR($A1724),MONTH($A1724),1))</f>
        <v/>
      </c>
    </row>
    <row r="1725" customFormat="false" ht="15" hidden="false" customHeight="false" outlineLevel="0" collapsed="false">
      <c r="A1725" s="44"/>
      <c r="B1725" s="6"/>
      <c r="C1725" s="6"/>
      <c r="D1725" s="8" t="str">
        <f aca="false">IF($C1725="","",IFERROR(INDEX(PRODUCTOS!$B$6:$B$105,MATCH($C1725,PRODUCTOS!$A$6:$A$105,0)),"¿Código?"))</f>
        <v/>
      </c>
      <c r="E1725" s="42"/>
      <c r="F1725" s="35" t="str">
        <f aca="false">IF($C1725="","",IFERROR(INDEX(PRODUCTOS!$D$6:$D$105,MATCH($C1725,PRODUCTOS!$A$6:$A$105,0)),0))</f>
        <v/>
      </c>
      <c r="G1725" s="40"/>
      <c r="H1725" s="35" t="str">
        <f aca="false">IF($C1725="","",N($E1725)*$F1725-N($G1725))</f>
        <v/>
      </c>
      <c r="I1725" s="35" t="str">
        <f aca="false">IF($C1725="","",$H1725-$H1725/(1+IFERROR(INDEX(PRODUCTOS!$E$6:$E$105,MATCH($C1725,PRODUCTOS!$A$6:$A$105,0)),IVA_VENTAS)))</f>
        <v/>
      </c>
      <c r="J1725" s="35" t="str">
        <f aca="false">IF($C1725="","",$H1725-$I1725)</f>
        <v/>
      </c>
      <c r="K1725" s="35" t="str">
        <f aca="false">IF($C1725="","",N($E1725)*IFERROR(INDEX(PRODUCTOS!$H$6:$H$105,MATCH($C1725,PRODUCTOS!$A$6:$A$105,0)),0))</f>
        <v/>
      </c>
      <c r="L1725" s="35" t="str">
        <f aca="false">IF($C1725="","",$J1725-$K1725)</f>
        <v/>
      </c>
      <c r="M1725" s="6"/>
      <c r="N1725" s="6"/>
      <c r="O1725" s="46" t="str">
        <f aca="false">IF($A1725="","",DATE(YEAR($A1725),MONTH($A1725),1))</f>
        <v/>
      </c>
    </row>
    <row r="1726" customFormat="false" ht="15" hidden="false" customHeight="false" outlineLevel="0" collapsed="false">
      <c r="A1726" s="44"/>
      <c r="B1726" s="6"/>
      <c r="C1726" s="6"/>
      <c r="D1726" s="8" t="str">
        <f aca="false">IF($C1726="","",IFERROR(INDEX(PRODUCTOS!$B$6:$B$105,MATCH($C1726,PRODUCTOS!$A$6:$A$105,0)),"¿Código?"))</f>
        <v/>
      </c>
      <c r="E1726" s="42"/>
      <c r="F1726" s="35" t="str">
        <f aca="false">IF($C1726="","",IFERROR(INDEX(PRODUCTOS!$D$6:$D$105,MATCH($C1726,PRODUCTOS!$A$6:$A$105,0)),0))</f>
        <v/>
      </c>
      <c r="G1726" s="40"/>
      <c r="H1726" s="35" t="str">
        <f aca="false">IF($C1726="","",N($E1726)*$F1726-N($G1726))</f>
        <v/>
      </c>
      <c r="I1726" s="35" t="str">
        <f aca="false">IF($C1726="","",$H1726-$H1726/(1+IFERROR(INDEX(PRODUCTOS!$E$6:$E$105,MATCH($C1726,PRODUCTOS!$A$6:$A$105,0)),IVA_VENTAS)))</f>
        <v/>
      </c>
      <c r="J1726" s="35" t="str">
        <f aca="false">IF($C1726="","",$H1726-$I1726)</f>
        <v/>
      </c>
      <c r="K1726" s="35" t="str">
        <f aca="false">IF($C1726="","",N($E1726)*IFERROR(INDEX(PRODUCTOS!$H$6:$H$105,MATCH($C1726,PRODUCTOS!$A$6:$A$105,0)),0))</f>
        <v/>
      </c>
      <c r="L1726" s="35" t="str">
        <f aca="false">IF($C1726="","",$J1726-$K1726)</f>
        <v/>
      </c>
      <c r="M1726" s="6"/>
      <c r="N1726" s="6"/>
      <c r="O1726" s="46" t="str">
        <f aca="false">IF($A1726="","",DATE(YEAR($A1726),MONTH($A1726),1))</f>
        <v/>
      </c>
    </row>
    <row r="1727" customFormat="false" ht="15" hidden="false" customHeight="false" outlineLevel="0" collapsed="false">
      <c r="A1727" s="44"/>
      <c r="B1727" s="6"/>
      <c r="C1727" s="6"/>
      <c r="D1727" s="8" t="str">
        <f aca="false">IF($C1727="","",IFERROR(INDEX(PRODUCTOS!$B$6:$B$105,MATCH($C1727,PRODUCTOS!$A$6:$A$105,0)),"¿Código?"))</f>
        <v/>
      </c>
      <c r="E1727" s="42"/>
      <c r="F1727" s="35" t="str">
        <f aca="false">IF($C1727="","",IFERROR(INDEX(PRODUCTOS!$D$6:$D$105,MATCH($C1727,PRODUCTOS!$A$6:$A$105,0)),0))</f>
        <v/>
      </c>
      <c r="G1727" s="40"/>
      <c r="H1727" s="35" t="str">
        <f aca="false">IF($C1727="","",N($E1727)*$F1727-N($G1727))</f>
        <v/>
      </c>
      <c r="I1727" s="35" t="str">
        <f aca="false">IF($C1727="","",$H1727-$H1727/(1+IFERROR(INDEX(PRODUCTOS!$E$6:$E$105,MATCH($C1727,PRODUCTOS!$A$6:$A$105,0)),IVA_VENTAS)))</f>
        <v/>
      </c>
      <c r="J1727" s="35" t="str">
        <f aca="false">IF($C1727="","",$H1727-$I1727)</f>
        <v/>
      </c>
      <c r="K1727" s="35" t="str">
        <f aca="false">IF($C1727="","",N($E1727)*IFERROR(INDEX(PRODUCTOS!$H$6:$H$105,MATCH($C1727,PRODUCTOS!$A$6:$A$105,0)),0))</f>
        <v/>
      </c>
      <c r="L1727" s="35" t="str">
        <f aca="false">IF($C1727="","",$J1727-$K1727)</f>
        <v/>
      </c>
      <c r="M1727" s="6"/>
      <c r="N1727" s="6"/>
      <c r="O1727" s="46" t="str">
        <f aca="false">IF($A1727="","",DATE(YEAR($A1727),MONTH($A1727),1))</f>
        <v/>
      </c>
    </row>
    <row r="1728" customFormat="false" ht="15" hidden="false" customHeight="false" outlineLevel="0" collapsed="false">
      <c r="A1728" s="44"/>
      <c r="B1728" s="6"/>
      <c r="C1728" s="6"/>
      <c r="D1728" s="8" t="str">
        <f aca="false">IF($C1728="","",IFERROR(INDEX(PRODUCTOS!$B$6:$B$105,MATCH($C1728,PRODUCTOS!$A$6:$A$105,0)),"¿Código?"))</f>
        <v/>
      </c>
      <c r="E1728" s="42"/>
      <c r="F1728" s="35" t="str">
        <f aca="false">IF($C1728="","",IFERROR(INDEX(PRODUCTOS!$D$6:$D$105,MATCH($C1728,PRODUCTOS!$A$6:$A$105,0)),0))</f>
        <v/>
      </c>
      <c r="G1728" s="40"/>
      <c r="H1728" s="35" t="str">
        <f aca="false">IF($C1728="","",N($E1728)*$F1728-N($G1728))</f>
        <v/>
      </c>
      <c r="I1728" s="35" t="str">
        <f aca="false">IF($C1728="","",$H1728-$H1728/(1+IFERROR(INDEX(PRODUCTOS!$E$6:$E$105,MATCH($C1728,PRODUCTOS!$A$6:$A$105,0)),IVA_VENTAS)))</f>
        <v/>
      </c>
      <c r="J1728" s="35" t="str">
        <f aca="false">IF($C1728="","",$H1728-$I1728)</f>
        <v/>
      </c>
      <c r="K1728" s="35" t="str">
        <f aca="false">IF($C1728="","",N($E1728)*IFERROR(INDEX(PRODUCTOS!$H$6:$H$105,MATCH($C1728,PRODUCTOS!$A$6:$A$105,0)),0))</f>
        <v/>
      </c>
      <c r="L1728" s="35" t="str">
        <f aca="false">IF($C1728="","",$J1728-$K1728)</f>
        <v/>
      </c>
      <c r="M1728" s="6"/>
      <c r="N1728" s="6"/>
      <c r="O1728" s="46" t="str">
        <f aca="false">IF($A1728="","",DATE(YEAR($A1728),MONTH($A1728),1))</f>
        <v/>
      </c>
    </row>
    <row r="1729" customFormat="false" ht="15" hidden="false" customHeight="false" outlineLevel="0" collapsed="false">
      <c r="A1729" s="44"/>
      <c r="B1729" s="6"/>
      <c r="C1729" s="6"/>
      <c r="D1729" s="8" t="str">
        <f aca="false">IF($C1729="","",IFERROR(INDEX(PRODUCTOS!$B$6:$B$105,MATCH($C1729,PRODUCTOS!$A$6:$A$105,0)),"¿Código?"))</f>
        <v/>
      </c>
      <c r="E1729" s="42"/>
      <c r="F1729" s="35" t="str">
        <f aca="false">IF($C1729="","",IFERROR(INDEX(PRODUCTOS!$D$6:$D$105,MATCH($C1729,PRODUCTOS!$A$6:$A$105,0)),0))</f>
        <v/>
      </c>
      <c r="G1729" s="40"/>
      <c r="H1729" s="35" t="str">
        <f aca="false">IF($C1729="","",N($E1729)*$F1729-N($G1729))</f>
        <v/>
      </c>
      <c r="I1729" s="35" t="str">
        <f aca="false">IF($C1729="","",$H1729-$H1729/(1+IFERROR(INDEX(PRODUCTOS!$E$6:$E$105,MATCH($C1729,PRODUCTOS!$A$6:$A$105,0)),IVA_VENTAS)))</f>
        <v/>
      </c>
      <c r="J1729" s="35" t="str">
        <f aca="false">IF($C1729="","",$H1729-$I1729)</f>
        <v/>
      </c>
      <c r="K1729" s="35" t="str">
        <f aca="false">IF($C1729="","",N($E1729)*IFERROR(INDEX(PRODUCTOS!$H$6:$H$105,MATCH($C1729,PRODUCTOS!$A$6:$A$105,0)),0))</f>
        <v/>
      </c>
      <c r="L1729" s="35" t="str">
        <f aca="false">IF($C1729="","",$J1729-$K1729)</f>
        <v/>
      </c>
      <c r="M1729" s="6"/>
      <c r="N1729" s="6"/>
      <c r="O1729" s="46" t="str">
        <f aca="false">IF($A1729="","",DATE(YEAR($A1729),MONTH($A1729),1))</f>
        <v/>
      </c>
    </row>
    <row r="1730" customFormat="false" ht="15" hidden="false" customHeight="false" outlineLevel="0" collapsed="false">
      <c r="A1730" s="44"/>
      <c r="B1730" s="6"/>
      <c r="C1730" s="6"/>
      <c r="D1730" s="8" t="str">
        <f aca="false">IF($C1730="","",IFERROR(INDEX(PRODUCTOS!$B$6:$B$105,MATCH($C1730,PRODUCTOS!$A$6:$A$105,0)),"¿Código?"))</f>
        <v/>
      </c>
      <c r="E1730" s="42"/>
      <c r="F1730" s="35" t="str">
        <f aca="false">IF($C1730="","",IFERROR(INDEX(PRODUCTOS!$D$6:$D$105,MATCH($C1730,PRODUCTOS!$A$6:$A$105,0)),0))</f>
        <v/>
      </c>
      <c r="G1730" s="40"/>
      <c r="H1730" s="35" t="str">
        <f aca="false">IF($C1730="","",N($E1730)*$F1730-N($G1730))</f>
        <v/>
      </c>
      <c r="I1730" s="35" t="str">
        <f aca="false">IF($C1730="","",$H1730-$H1730/(1+IFERROR(INDEX(PRODUCTOS!$E$6:$E$105,MATCH($C1730,PRODUCTOS!$A$6:$A$105,0)),IVA_VENTAS)))</f>
        <v/>
      </c>
      <c r="J1730" s="35" t="str">
        <f aca="false">IF($C1730="","",$H1730-$I1730)</f>
        <v/>
      </c>
      <c r="K1730" s="35" t="str">
        <f aca="false">IF($C1730="","",N($E1730)*IFERROR(INDEX(PRODUCTOS!$H$6:$H$105,MATCH($C1730,PRODUCTOS!$A$6:$A$105,0)),0))</f>
        <v/>
      </c>
      <c r="L1730" s="35" t="str">
        <f aca="false">IF($C1730="","",$J1730-$K1730)</f>
        <v/>
      </c>
      <c r="M1730" s="6"/>
      <c r="N1730" s="6"/>
      <c r="O1730" s="46" t="str">
        <f aca="false">IF($A1730="","",DATE(YEAR($A1730),MONTH($A1730),1))</f>
        <v/>
      </c>
    </row>
    <row r="1731" customFormat="false" ht="15" hidden="false" customHeight="false" outlineLevel="0" collapsed="false">
      <c r="A1731" s="44"/>
      <c r="B1731" s="6"/>
      <c r="C1731" s="6"/>
      <c r="D1731" s="8" t="str">
        <f aca="false">IF($C1731="","",IFERROR(INDEX(PRODUCTOS!$B$6:$B$105,MATCH($C1731,PRODUCTOS!$A$6:$A$105,0)),"¿Código?"))</f>
        <v/>
      </c>
      <c r="E1731" s="42"/>
      <c r="F1731" s="35" t="str">
        <f aca="false">IF($C1731="","",IFERROR(INDEX(PRODUCTOS!$D$6:$D$105,MATCH($C1731,PRODUCTOS!$A$6:$A$105,0)),0))</f>
        <v/>
      </c>
      <c r="G1731" s="40"/>
      <c r="H1731" s="35" t="str">
        <f aca="false">IF($C1731="","",N($E1731)*$F1731-N($G1731))</f>
        <v/>
      </c>
      <c r="I1731" s="35" t="str">
        <f aca="false">IF($C1731="","",$H1731-$H1731/(1+IFERROR(INDEX(PRODUCTOS!$E$6:$E$105,MATCH($C1731,PRODUCTOS!$A$6:$A$105,0)),IVA_VENTAS)))</f>
        <v/>
      </c>
      <c r="J1731" s="35" t="str">
        <f aca="false">IF($C1731="","",$H1731-$I1731)</f>
        <v/>
      </c>
      <c r="K1731" s="35" t="str">
        <f aca="false">IF($C1731="","",N($E1731)*IFERROR(INDEX(PRODUCTOS!$H$6:$H$105,MATCH($C1731,PRODUCTOS!$A$6:$A$105,0)),0))</f>
        <v/>
      </c>
      <c r="L1731" s="35" t="str">
        <f aca="false">IF($C1731="","",$J1731-$K1731)</f>
        <v/>
      </c>
      <c r="M1731" s="6"/>
      <c r="N1731" s="6"/>
      <c r="O1731" s="46" t="str">
        <f aca="false">IF($A1731="","",DATE(YEAR($A1731),MONTH($A1731),1))</f>
        <v/>
      </c>
    </row>
    <row r="1732" customFormat="false" ht="15" hidden="false" customHeight="false" outlineLevel="0" collapsed="false">
      <c r="A1732" s="44"/>
      <c r="B1732" s="6"/>
      <c r="C1732" s="6"/>
      <c r="D1732" s="8" t="str">
        <f aca="false">IF($C1732="","",IFERROR(INDEX(PRODUCTOS!$B$6:$B$105,MATCH($C1732,PRODUCTOS!$A$6:$A$105,0)),"¿Código?"))</f>
        <v/>
      </c>
      <c r="E1732" s="42"/>
      <c r="F1732" s="35" t="str">
        <f aca="false">IF($C1732="","",IFERROR(INDEX(PRODUCTOS!$D$6:$D$105,MATCH($C1732,PRODUCTOS!$A$6:$A$105,0)),0))</f>
        <v/>
      </c>
      <c r="G1732" s="40"/>
      <c r="H1732" s="35" t="str">
        <f aca="false">IF($C1732="","",N($E1732)*$F1732-N($G1732))</f>
        <v/>
      </c>
      <c r="I1732" s="35" t="str">
        <f aca="false">IF($C1732="","",$H1732-$H1732/(1+IFERROR(INDEX(PRODUCTOS!$E$6:$E$105,MATCH($C1732,PRODUCTOS!$A$6:$A$105,0)),IVA_VENTAS)))</f>
        <v/>
      </c>
      <c r="J1732" s="35" t="str">
        <f aca="false">IF($C1732="","",$H1732-$I1732)</f>
        <v/>
      </c>
      <c r="K1732" s="35" t="str">
        <f aca="false">IF($C1732="","",N($E1732)*IFERROR(INDEX(PRODUCTOS!$H$6:$H$105,MATCH($C1732,PRODUCTOS!$A$6:$A$105,0)),0))</f>
        <v/>
      </c>
      <c r="L1732" s="35" t="str">
        <f aca="false">IF($C1732="","",$J1732-$K1732)</f>
        <v/>
      </c>
      <c r="M1732" s="6"/>
      <c r="N1732" s="6"/>
      <c r="O1732" s="46" t="str">
        <f aca="false">IF($A1732="","",DATE(YEAR($A1732),MONTH($A1732),1))</f>
        <v/>
      </c>
    </row>
    <row r="1733" customFormat="false" ht="15" hidden="false" customHeight="false" outlineLevel="0" collapsed="false">
      <c r="A1733" s="44"/>
      <c r="B1733" s="6"/>
      <c r="C1733" s="6"/>
      <c r="D1733" s="8" t="str">
        <f aca="false">IF($C1733="","",IFERROR(INDEX(PRODUCTOS!$B$6:$B$105,MATCH($C1733,PRODUCTOS!$A$6:$A$105,0)),"¿Código?"))</f>
        <v/>
      </c>
      <c r="E1733" s="42"/>
      <c r="F1733" s="35" t="str">
        <f aca="false">IF($C1733="","",IFERROR(INDEX(PRODUCTOS!$D$6:$D$105,MATCH($C1733,PRODUCTOS!$A$6:$A$105,0)),0))</f>
        <v/>
      </c>
      <c r="G1733" s="40"/>
      <c r="H1733" s="35" t="str">
        <f aca="false">IF($C1733="","",N($E1733)*$F1733-N($G1733))</f>
        <v/>
      </c>
      <c r="I1733" s="35" t="str">
        <f aca="false">IF($C1733="","",$H1733-$H1733/(1+IFERROR(INDEX(PRODUCTOS!$E$6:$E$105,MATCH($C1733,PRODUCTOS!$A$6:$A$105,0)),IVA_VENTAS)))</f>
        <v/>
      </c>
      <c r="J1733" s="35" t="str">
        <f aca="false">IF($C1733="","",$H1733-$I1733)</f>
        <v/>
      </c>
      <c r="K1733" s="35" t="str">
        <f aca="false">IF($C1733="","",N($E1733)*IFERROR(INDEX(PRODUCTOS!$H$6:$H$105,MATCH($C1733,PRODUCTOS!$A$6:$A$105,0)),0))</f>
        <v/>
      </c>
      <c r="L1733" s="35" t="str">
        <f aca="false">IF($C1733="","",$J1733-$K1733)</f>
        <v/>
      </c>
      <c r="M1733" s="6"/>
      <c r="N1733" s="6"/>
      <c r="O1733" s="46" t="str">
        <f aca="false">IF($A1733="","",DATE(YEAR($A1733),MONTH($A1733),1))</f>
        <v/>
      </c>
    </row>
    <row r="1734" customFormat="false" ht="15" hidden="false" customHeight="false" outlineLevel="0" collapsed="false">
      <c r="A1734" s="44"/>
      <c r="B1734" s="6"/>
      <c r="C1734" s="6"/>
      <c r="D1734" s="8" t="str">
        <f aca="false">IF($C1734="","",IFERROR(INDEX(PRODUCTOS!$B$6:$B$105,MATCH($C1734,PRODUCTOS!$A$6:$A$105,0)),"¿Código?"))</f>
        <v/>
      </c>
      <c r="E1734" s="42"/>
      <c r="F1734" s="35" t="str">
        <f aca="false">IF($C1734="","",IFERROR(INDEX(PRODUCTOS!$D$6:$D$105,MATCH($C1734,PRODUCTOS!$A$6:$A$105,0)),0))</f>
        <v/>
      </c>
      <c r="G1734" s="40"/>
      <c r="H1734" s="35" t="str">
        <f aca="false">IF($C1734="","",N($E1734)*$F1734-N($G1734))</f>
        <v/>
      </c>
      <c r="I1734" s="35" t="str">
        <f aca="false">IF($C1734="","",$H1734-$H1734/(1+IFERROR(INDEX(PRODUCTOS!$E$6:$E$105,MATCH($C1734,PRODUCTOS!$A$6:$A$105,0)),IVA_VENTAS)))</f>
        <v/>
      </c>
      <c r="J1734" s="35" t="str">
        <f aca="false">IF($C1734="","",$H1734-$I1734)</f>
        <v/>
      </c>
      <c r="K1734" s="35" t="str">
        <f aca="false">IF($C1734="","",N($E1734)*IFERROR(INDEX(PRODUCTOS!$H$6:$H$105,MATCH($C1734,PRODUCTOS!$A$6:$A$105,0)),0))</f>
        <v/>
      </c>
      <c r="L1734" s="35" t="str">
        <f aca="false">IF($C1734="","",$J1734-$K1734)</f>
        <v/>
      </c>
      <c r="M1734" s="6"/>
      <c r="N1734" s="6"/>
      <c r="O1734" s="46" t="str">
        <f aca="false">IF($A1734="","",DATE(YEAR($A1734),MONTH($A1734),1))</f>
        <v/>
      </c>
    </row>
    <row r="1735" customFormat="false" ht="15" hidden="false" customHeight="false" outlineLevel="0" collapsed="false">
      <c r="A1735" s="44"/>
      <c r="B1735" s="6"/>
      <c r="C1735" s="6"/>
      <c r="D1735" s="8" t="str">
        <f aca="false">IF($C1735="","",IFERROR(INDEX(PRODUCTOS!$B$6:$B$105,MATCH($C1735,PRODUCTOS!$A$6:$A$105,0)),"¿Código?"))</f>
        <v/>
      </c>
      <c r="E1735" s="42"/>
      <c r="F1735" s="35" t="str">
        <f aca="false">IF($C1735="","",IFERROR(INDEX(PRODUCTOS!$D$6:$D$105,MATCH($C1735,PRODUCTOS!$A$6:$A$105,0)),0))</f>
        <v/>
      </c>
      <c r="G1735" s="40"/>
      <c r="H1735" s="35" t="str">
        <f aca="false">IF($C1735="","",N($E1735)*$F1735-N($G1735))</f>
        <v/>
      </c>
      <c r="I1735" s="35" t="str">
        <f aca="false">IF($C1735="","",$H1735-$H1735/(1+IFERROR(INDEX(PRODUCTOS!$E$6:$E$105,MATCH($C1735,PRODUCTOS!$A$6:$A$105,0)),IVA_VENTAS)))</f>
        <v/>
      </c>
      <c r="J1735" s="35" t="str">
        <f aca="false">IF($C1735="","",$H1735-$I1735)</f>
        <v/>
      </c>
      <c r="K1735" s="35" t="str">
        <f aca="false">IF($C1735="","",N($E1735)*IFERROR(INDEX(PRODUCTOS!$H$6:$H$105,MATCH($C1735,PRODUCTOS!$A$6:$A$105,0)),0))</f>
        <v/>
      </c>
      <c r="L1735" s="35" t="str">
        <f aca="false">IF($C1735="","",$J1735-$K1735)</f>
        <v/>
      </c>
      <c r="M1735" s="6"/>
      <c r="N1735" s="6"/>
      <c r="O1735" s="46" t="str">
        <f aca="false">IF($A1735="","",DATE(YEAR($A1735),MONTH($A1735),1))</f>
        <v/>
      </c>
    </row>
    <row r="1736" customFormat="false" ht="15" hidden="false" customHeight="false" outlineLevel="0" collapsed="false">
      <c r="A1736" s="44"/>
      <c r="B1736" s="6"/>
      <c r="C1736" s="6"/>
      <c r="D1736" s="8" t="str">
        <f aca="false">IF($C1736="","",IFERROR(INDEX(PRODUCTOS!$B$6:$B$105,MATCH($C1736,PRODUCTOS!$A$6:$A$105,0)),"¿Código?"))</f>
        <v/>
      </c>
      <c r="E1736" s="42"/>
      <c r="F1736" s="35" t="str">
        <f aca="false">IF($C1736="","",IFERROR(INDEX(PRODUCTOS!$D$6:$D$105,MATCH($C1736,PRODUCTOS!$A$6:$A$105,0)),0))</f>
        <v/>
      </c>
      <c r="G1736" s="40"/>
      <c r="H1736" s="35" t="str">
        <f aca="false">IF($C1736="","",N($E1736)*$F1736-N($G1736))</f>
        <v/>
      </c>
      <c r="I1736" s="35" t="str">
        <f aca="false">IF($C1736="","",$H1736-$H1736/(1+IFERROR(INDEX(PRODUCTOS!$E$6:$E$105,MATCH($C1736,PRODUCTOS!$A$6:$A$105,0)),IVA_VENTAS)))</f>
        <v/>
      </c>
      <c r="J1736" s="35" t="str">
        <f aca="false">IF($C1736="","",$H1736-$I1736)</f>
        <v/>
      </c>
      <c r="K1736" s="35" t="str">
        <f aca="false">IF($C1736="","",N($E1736)*IFERROR(INDEX(PRODUCTOS!$H$6:$H$105,MATCH($C1736,PRODUCTOS!$A$6:$A$105,0)),0))</f>
        <v/>
      </c>
      <c r="L1736" s="35" t="str">
        <f aca="false">IF($C1736="","",$J1736-$K1736)</f>
        <v/>
      </c>
      <c r="M1736" s="6"/>
      <c r="N1736" s="6"/>
      <c r="O1736" s="46" t="str">
        <f aca="false">IF($A1736="","",DATE(YEAR($A1736),MONTH($A1736),1))</f>
        <v/>
      </c>
    </row>
    <row r="1737" customFormat="false" ht="15" hidden="false" customHeight="false" outlineLevel="0" collapsed="false">
      <c r="A1737" s="44"/>
      <c r="B1737" s="6"/>
      <c r="C1737" s="6"/>
      <c r="D1737" s="8" t="str">
        <f aca="false">IF($C1737="","",IFERROR(INDEX(PRODUCTOS!$B$6:$B$105,MATCH($C1737,PRODUCTOS!$A$6:$A$105,0)),"¿Código?"))</f>
        <v/>
      </c>
      <c r="E1737" s="42"/>
      <c r="F1737" s="35" t="str">
        <f aca="false">IF($C1737="","",IFERROR(INDEX(PRODUCTOS!$D$6:$D$105,MATCH($C1737,PRODUCTOS!$A$6:$A$105,0)),0))</f>
        <v/>
      </c>
      <c r="G1737" s="40"/>
      <c r="H1737" s="35" t="str">
        <f aca="false">IF($C1737="","",N($E1737)*$F1737-N($G1737))</f>
        <v/>
      </c>
      <c r="I1737" s="35" t="str">
        <f aca="false">IF($C1737="","",$H1737-$H1737/(1+IFERROR(INDEX(PRODUCTOS!$E$6:$E$105,MATCH($C1737,PRODUCTOS!$A$6:$A$105,0)),IVA_VENTAS)))</f>
        <v/>
      </c>
      <c r="J1737" s="35" t="str">
        <f aca="false">IF($C1737="","",$H1737-$I1737)</f>
        <v/>
      </c>
      <c r="K1737" s="35" t="str">
        <f aca="false">IF($C1737="","",N($E1737)*IFERROR(INDEX(PRODUCTOS!$H$6:$H$105,MATCH($C1737,PRODUCTOS!$A$6:$A$105,0)),0))</f>
        <v/>
      </c>
      <c r="L1737" s="35" t="str">
        <f aca="false">IF($C1737="","",$J1737-$K1737)</f>
        <v/>
      </c>
      <c r="M1737" s="6"/>
      <c r="N1737" s="6"/>
      <c r="O1737" s="46" t="str">
        <f aca="false">IF($A1737="","",DATE(YEAR($A1737),MONTH($A1737),1))</f>
        <v/>
      </c>
    </row>
    <row r="1738" customFormat="false" ht="15" hidden="false" customHeight="false" outlineLevel="0" collapsed="false">
      <c r="A1738" s="44"/>
      <c r="B1738" s="6"/>
      <c r="C1738" s="6"/>
      <c r="D1738" s="8" t="str">
        <f aca="false">IF($C1738="","",IFERROR(INDEX(PRODUCTOS!$B$6:$B$105,MATCH($C1738,PRODUCTOS!$A$6:$A$105,0)),"¿Código?"))</f>
        <v/>
      </c>
      <c r="E1738" s="42"/>
      <c r="F1738" s="35" t="str">
        <f aca="false">IF($C1738="","",IFERROR(INDEX(PRODUCTOS!$D$6:$D$105,MATCH($C1738,PRODUCTOS!$A$6:$A$105,0)),0))</f>
        <v/>
      </c>
      <c r="G1738" s="40"/>
      <c r="H1738" s="35" t="str">
        <f aca="false">IF($C1738="","",N($E1738)*$F1738-N($G1738))</f>
        <v/>
      </c>
      <c r="I1738" s="35" t="str">
        <f aca="false">IF($C1738="","",$H1738-$H1738/(1+IFERROR(INDEX(PRODUCTOS!$E$6:$E$105,MATCH($C1738,PRODUCTOS!$A$6:$A$105,0)),IVA_VENTAS)))</f>
        <v/>
      </c>
      <c r="J1738" s="35" t="str">
        <f aca="false">IF($C1738="","",$H1738-$I1738)</f>
        <v/>
      </c>
      <c r="K1738" s="35" t="str">
        <f aca="false">IF($C1738="","",N($E1738)*IFERROR(INDEX(PRODUCTOS!$H$6:$H$105,MATCH($C1738,PRODUCTOS!$A$6:$A$105,0)),0))</f>
        <v/>
      </c>
      <c r="L1738" s="35" t="str">
        <f aca="false">IF($C1738="","",$J1738-$K1738)</f>
        <v/>
      </c>
      <c r="M1738" s="6"/>
      <c r="N1738" s="6"/>
      <c r="O1738" s="46" t="str">
        <f aca="false">IF($A1738="","",DATE(YEAR($A1738),MONTH($A1738),1))</f>
        <v/>
      </c>
    </row>
    <row r="1739" customFormat="false" ht="15" hidden="false" customHeight="false" outlineLevel="0" collapsed="false">
      <c r="A1739" s="44"/>
      <c r="B1739" s="6"/>
      <c r="C1739" s="6"/>
      <c r="D1739" s="8" t="str">
        <f aca="false">IF($C1739="","",IFERROR(INDEX(PRODUCTOS!$B$6:$B$105,MATCH($C1739,PRODUCTOS!$A$6:$A$105,0)),"¿Código?"))</f>
        <v/>
      </c>
      <c r="E1739" s="42"/>
      <c r="F1739" s="35" t="str">
        <f aca="false">IF($C1739="","",IFERROR(INDEX(PRODUCTOS!$D$6:$D$105,MATCH($C1739,PRODUCTOS!$A$6:$A$105,0)),0))</f>
        <v/>
      </c>
      <c r="G1739" s="40"/>
      <c r="H1739" s="35" t="str">
        <f aca="false">IF($C1739="","",N($E1739)*$F1739-N($G1739))</f>
        <v/>
      </c>
      <c r="I1739" s="35" t="str">
        <f aca="false">IF($C1739="","",$H1739-$H1739/(1+IFERROR(INDEX(PRODUCTOS!$E$6:$E$105,MATCH($C1739,PRODUCTOS!$A$6:$A$105,0)),IVA_VENTAS)))</f>
        <v/>
      </c>
      <c r="J1739" s="35" t="str">
        <f aca="false">IF($C1739="","",$H1739-$I1739)</f>
        <v/>
      </c>
      <c r="K1739" s="35" t="str">
        <f aca="false">IF($C1739="","",N($E1739)*IFERROR(INDEX(PRODUCTOS!$H$6:$H$105,MATCH($C1739,PRODUCTOS!$A$6:$A$105,0)),0))</f>
        <v/>
      </c>
      <c r="L1739" s="35" t="str">
        <f aca="false">IF($C1739="","",$J1739-$K1739)</f>
        <v/>
      </c>
      <c r="M1739" s="6"/>
      <c r="N1739" s="6"/>
      <c r="O1739" s="46" t="str">
        <f aca="false">IF($A1739="","",DATE(YEAR($A1739),MONTH($A1739),1))</f>
        <v/>
      </c>
    </row>
    <row r="1740" customFormat="false" ht="15" hidden="false" customHeight="false" outlineLevel="0" collapsed="false">
      <c r="A1740" s="44"/>
      <c r="B1740" s="6"/>
      <c r="C1740" s="6"/>
      <c r="D1740" s="8" t="str">
        <f aca="false">IF($C1740="","",IFERROR(INDEX(PRODUCTOS!$B$6:$B$105,MATCH($C1740,PRODUCTOS!$A$6:$A$105,0)),"¿Código?"))</f>
        <v/>
      </c>
      <c r="E1740" s="42"/>
      <c r="F1740" s="35" t="str">
        <f aca="false">IF($C1740="","",IFERROR(INDEX(PRODUCTOS!$D$6:$D$105,MATCH($C1740,PRODUCTOS!$A$6:$A$105,0)),0))</f>
        <v/>
      </c>
      <c r="G1740" s="40"/>
      <c r="H1740" s="35" t="str">
        <f aca="false">IF($C1740="","",N($E1740)*$F1740-N($G1740))</f>
        <v/>
      </c>
      <c r="I1740" s="35" t="str">
        <f aca="false">IF($C1740="","",$H1740-$H1740/(1+IFERROR(INDEX(PRODUCTOS!$E$6:$E$105,MATCH($C1740,PRODUCTOS!$A$6:$A$105,0)),IVA_VENTAS)))</f>
        <v/>
      </c>
      <c r="J1740" s="35" t="str">
        <f aca="false">IF($C1740="","",$H1740-$I1740)</f>
        <v/>
      </c>
      <c r="K1740" s="35" t="str">
        <f aca="false">IF($C1740="","",N($E1740)*IFERROR(INDEX(PRODUCTOS!$H$6:$H$105,MATCH($C1740,PRODUCTOS!$A$6:$A$105,0)),0))</f>
        <v/>
      </c>
      <c r="L1740" s="35" t="str">
        <f aca="false">IF($C1740="","",$J1740-$K1740)</f>
        <v/>
      </c>
      <c r="M1740" s="6"/>
      <c r="N1740" s="6"/>
      <c r="O1740" s="46" t="str">
        <f aca="false">IF($A1740="","",DATE(YEAR($A1740),MONTH($A1740),1))</f>
        <v/>
      </c>
    </row>
    <row r="1741" customFormat="false" ht="15" hidden="false" customHeight="false" outlineLevel="0" collapsed="false">
      <c r="A1741" s="44"/>
      <c r="B1741" s="6"/>
      <c r="C1741" s="6"/>
      <c r="D1741" s="8" t="str">
        <f aca="false">IF($C1741="","",IFERROR(INDEX(PRODUCTOS!$B$6:$B$105,MATCH($C1741,PRODUCTOS!$A$6:$A$105,0)),"¿Código?"))</f>
        <v/>
      </c>
      <c r="E1741" s="42"/>
      <c r="F1741" s="35" t="str">
        <f aca="false">IF($C1741="","",IFERROR(INDEX(PRODUCTOS!$D$6:$D$105,MATCH($C1741,PRODUCTOS!$A$6:$A$105,0)),0))</f>
        <v/>
      </c>
      <c r="G1741" s="40"/>
      <c r="H1741" s="35" t="str">
        <f aca="false">IF($C1741="","",N($E1741)*$F1741-N($G1741))</f>
        <v/>
      </c>
      <c r="I1741" s="35" t="str">
        <f aca="false">IF($C1741="","",$H1741-$H1741/(1+IFERROR(INDEX(PRODUCTOS!$E$6:$E$105,MATCH($C1741,PRODUCTOS!$A$6:$A$105,0)),IVA_VENTAS)))</f>
        <v/>
      </c>
      <c r="J1741" s="35" t="str">
        <f aca="false">IF($C1741="","",$H1741-$I1741)</f>
        <v/>
      </c>
      <c r="K1741" s="35" t="str">
        <f aca="false">IF($C1741="","",N($E1741)*IFERROR(INDEX(PRODUCTOS!$H$6:$H$105,MATCH($C1741,PRODUCTOS!$A$6:$A$105,0)),0))</f>
        <v/>
      </c>
      <c r="L1741" s="35" t="str">
        <f aca="false">IF($C1741="","",$J1741-$K1741)</f>
        <v/>
      </c>
      <c r="M1741" s="6"/>
      <c r="N1741" s="6"/>
      <c r="O1741" s="46" t="str">
        <f aca="false">IF($A1741="","",DATE(YEAR($A1741),MONTH($A1741),1))</f>
        <v/>
      </c>
    </row>
    <row r="1742" customFormat="false" ht="15" hidden="false" customHeight="false" outlineLevel="0" collapsed="false">
      <c r="A1742" s="44"/>
      <c r="B1742" s="6"/>
      <c r="C1742" s="6"/>
      <c r="D1742" s="8" t="str">
        <f aca="false">IF($C1742="","",IFERROR(INDEX(PRODUCTOS!$B$6:$B$105,MATCH($C1742,PRODUCTOS!$A$6:$A$105,0)),"¿Código?"))</f>
        <v/>
      </c>
      <c r="E1742" s="42"/>
      <c r="F1742" s="35" t="str">
        <f aca="false">IF($C1742="","",IFERROR(INDEX(PRODUCTOS!$D$6:$D$105,MATCH($C1742,PRODUCTOS!$A$6:$A$105,0)),0))</f>
        <v/>
      </c>
      <c r="G1742" s="40"/>
      <c r="H1742" s="35" t="str">
        <f aca="false">IF($C1742="","",N($E1742)*$F1742-N($G1742))</f>
        <v/>
      </c>
      <c r="I1742" s="35" t="str">
        <f aca="false">IF($C1742="","",$H1742-$H1742/(1+IFERROR(INDEX(PRODUCTOS!$E$6:$E$105,MATCH($C1742,PRODUCTOS!$A$6:$A$105,0)),IVA_VENTAS)))</f>
        <v/>
      </c>
      <c r="J1742" s="35" t="str">
        <f aca="false">IF($C1742="","",$H1742-$I1742)</f>
        <v/>
      </c>
      <c r="K1742" s="35" t="str">
        <f aca="false">IF($C1742="","",N($E1742)*IFERROR(INDEX(PRODUCTOS!$H$6:$H$105,MATCH($C1742,PRODUCTOS!$A$6:$A$105,0)),0))</f>
        <v/>
      </c>
      <c r="L1742" s="35" t="str">
        <f aca="false">IF($C1742="","",$J1742-$K1742)</f>
        <v/>
      </c>
      <c r="M1742" s="6"/>
      <c r="N1742" s="6"/>
      <c r="O1742" s="46" t="str">
        <f aca="false">IF($A1742="","",DATE(YEAR($A1742),MONTH($A1742),1))</f>
        <v/>
      </c>
    </row>
    <row r="1743" customFormat="false" ht="15" hidden="false" customHeight="false" outlineLevel="0" collapsed="false">
      <c r="A1743" s="44"/>
      <c r="B1743" s="6"/>
      <c r="C1743" s="6"/>
      <c r="D1743" s="8" t="str">
        <f aca="false">IF($C1743="","",IFERROR(INDEX(PRODUCTOS!$B$6:$B$105,MATCH($C1743,PRODUCTOS!$A$6:$A$105,0)),"¿Código?"))</f>
        <v/>
      </c>
      <c r="E1743" s="42"/>
      <c r="F1743" s="35" t="str">
        <f aca="false">IF($C1743="","",IFERROR(INDEX(PRODUCTOS!$D$6:$D$105,MATCH($C1743,PRODUCTOS!$A$6:$A$105,0)),0))</f>
        <v/>
      </c>
      <c r="G1743" s="40"/>
      <c r="H1743" s="35" t="str">
        <f aca="false">IF($C1743="","",N($E1743)*$F1743-N($G1743))</f>
        <v/>
      </c>
      <c r="I1743" s="35" t="str">
        <f aca="false">IF($C1743="","",$H1743-$H1743/(1+IFERROR(INDEX(PRODUCTOS!$E$6:$E$105,MATCH($C1743,PRODUCTOS!$A$6:$A$105,0)),IVA_VENTAS)))</f>
        <v/>
      </c>
      <c r="J1743" s="35" t="str">
        <f aca="false">IF($C1743="","",$H1743-$I1743)</f>
        <v/>
      </c>
      <c r="K1743" s="35" t="str">
        <f aca="false">IF($C1743="","",N($E1743)*IFERROR(INDEX(PRODUCTOS!$H$6:$H$105,MATCH($C1743,PRODUCTOS!$A$6:$A$105,0)),0))</f>
        <v/>
      </c>
      <c r="L1743" s="35" t="str">
        <f aca="false">IF($C1743="","",$J1743-$K1743)</f>
        <v/>
      </c>
      <c r="M1743" s="6"/>
      <c r="N1743" s="6"/>
      <c r="O1743" s="46" t="str">
        <f aca="false">IF($A1743="","",DATE(YEAR($A1743),MONTH($A1743),1))</f>
        <v/>
      </c>
    </row>
    <row r="1744" customFormat="false" ht="15" hidden="false" customHeight="false" outlineLevel="0" collapsed="false">
      <c r="A1744" s="44"/>
      <c r="B1744" s="6"/>
      <c r="C1744" s="6"/>
      <c r="D1744" s="8" t="str">
        <f aca="false">IF($C1744="","",IFERROR(INDEX(PRODUCTOS!$B$6:$B$105,MATCH($C1744,PRODUCTOS!$A$6:$A$105,0)),"¿Código?"))</f>
        <v/>
      </c>
      <c r="E1744" s="42"/>
      <c r="F1744" s="35" t="str">
        <f aca="false">IF($C1744="","",IFERROR(INDEX(PRODUCTOS!$D$6:$D$105,MATCH($C1744,PRODUCTOS!$A$6:$A$105,0)),0))</f>
        <v/>
      </c>
      <c r="G1744" s="40"/>
      <c r="H1744" s="35" t="str">
        <f aca="false">IF($C1744="","",N($E1744)*$F1744-N($G1744))</f>
        <v/>
      </c>
      <c r="I1744" s="35" t="str">
        <f aca="false">IF($C1744="","",$H1744-$H1744/(1+IFERROR(INDEX(PRODUCTOS!$E$6:$E$105,MATCH($C1744,PRODUCTOS!$A$6:$A$105,0)),IVA_VENTAS)))</f>
        <v/>
      </c>
      <c r="J1744" s="35" t="str">
        <f aca="false">IF($C1744="","",$H1744-$I1744)</f>
        <v/>
      </c>
      <c r="K1744" s="35" t="str">
        <f aca="false">IF($C1744="","",N($E1744)*IFERROR(INDEX(PRODUCTOS!$H$6:$H$105,MATCH($C1744,PRODUCTOS!$A$6:$A$105,0)),0))</f>
        <v/>
      </c>
      <c r="L1744" s="35" t="str">
        <f aca="false">IF($C1744="","",$J1744-$K1744)</f>
        <v/>
      </c>
      <c r="M1744" s="6"/>
      <c r="N1744" s="6"/>
      <c r="O1744" s="46" t="str">
        <f aca="false">IF($A1744="","",DATE(YEAR($A1744),MONTH($A1744),1))</f>
        <v/>
      </c>
    </row>
    <row r="1745" customFormat="false" ht="15" hidden="false" customHeight="false" outlineLevel="0" collapsed="false">
      <c r="A1745" s="44"/>
      <c r="B1745" s="6"/>
      <c r="C1745" s="6"/>
      <c r="D1745" s="8" t="str">
        <f aca="false">IF($C1745="","",IFERROR(INDEX(PRODUCTOS!$B$6:$B$105,MATCH($C1745,PRODUCTOS!$A$6:$A$105,0)),"¿Código?"))</f>
        <v/>
      </c>
      <c r="E1745" s="42"/>
      <c r="F1745" s="35" t="str">
        <f aca="false">IF($C1745="","",IFERROR(INDEX(PRODUCTOS!$D$6:$D$105,MATCH($C1745,PRODUCTOS!$A$6:$A$105,0)),0))</f>
        <v/>
      </c>
      <c r="G1745" s="40"/>
      <c r="H1745" s="35" t="str">
        <f aca="false">IF($C1745="","",N($E1745)*$F1745-N($G1745))</f>
        <v/>
      </c>
      <c r="I1745" s="35" t="str">
        <f aca="false">IF($C1745="","",$H1745-$H1745/(1+IFERROR(INDEX(PRODUCTOS!$E$6:$E$105,MATCH($C1745,PRODUCTOS!$A$6:$A$105,0)),IVA_VENTAS)))</f>
        <v/>
      </c>
      <c r="J1745" s="35" t="str">
        <f aca="false">IF($C1745="","",$H1745-$I1745)</f>
        <v/>
      </c>
      <c r="K1745" s="35" t="str">
        <f aca="false">IF($C1745="","",N($E1745)*IFERROR(INDEX(PRODUCTOS!$H$6:$H$105,MATCH($C1745,PRODUCTOS!$A$6:$A$105,0)),0))</f>
        <v/>
      </c>
      <c r="L1745" s="35" t="str">
        <f aca="false">IF($C1745="","",$J1745-$K1745)</f>
        <v/>
      </c>
      <c r="M1745" s="6"/>
      <c r="N1745" s="6"/>
      <c r="O1745" s="46" t="str">
        <f aca="false">IF($A1745="","",DATE(YEAR($A1745),MONTH($A1745),1))</f>
        <v/>
      </c>
    </row>
    <row r="1746" customFormat="false" ht="15" hidden="false" customHeight="false" outlineLevel="0" collapsed="false">
      <c r="A1746" s="44"/>
      <c r="B1746" s="6"/>
      <c r="C1746" s="6"/>
      <c r="D1746" s="8" t="str">
        <f aca="false">IF($C1746="","",IFERROR(INDEX(PRODUCTOS!$B$6:$B$105,MATCH($C1746,PRODUCTOS!$A$6:$A$105,0)),"¿Código?"))</f>
        <v/>
      </c>
      <c r="E1746" s="42"/>
      <c r="F1746" s="35" t="str">
        <f aca="false">IF($C1746="","",IFERROR(INDEX(PRODUCTOS!$D$6:$D$105,MATCH($C1746,PRODUCTOS!$A$6:$A$105,0)),0))</f>
        <v/>
      </c>
      <c r="G1746" s="40"/>
      <c r="H1746" s="35" t="str">
        <f aca="false">IF($C1746="","",N($E1746)*$F1746-N($G1746))</f>
        <v/>
      </c>
      <c r="I1746" s="35" t="str">
        <f aca="false">IF($C1746="","",$H1746-$H1746/(1+IFERROR(INDEX(PRODUCTOS!$E$6:$E$105,MATCH($C1746,PRODUCTOS!$A$6:$A$105,0)),IVA_VENTAS)))</f>
        <v/>
      </c>
      <c r="J1746" s="35" t="str">
        <f aca="false">IF($C1746="","",$H1746-$I1746)</f>
        <v/>
      </c>
      <c r="K1746" s="35" t="str">
        <f aca="false">IF($C1746="","",N($E1746)*IFERROR(INDEX(PRODUCTOS!$H$6:$H$105,MATCH($C1746,PRODUCTOS!$A$6:$A$105,0)),0))</f>
        <v/>
      </c>
      <c r="L1746" s="35" t="str">
        <f aca="false">IF($C1746="","",$J1746-$K1746)</f>
        <v/>
      </c>
      <c r="M1746" s="6"/>
      <c r="N1746" s="6"/>
      <c r="O1746" s="46" t="str">
        <f aca="false">IF($A1746="","",DATE(YEAR($A1746),MONTH($A1746),1))</f>
        <v/>
      </c>
    </row>
    <row r="1747" customFormat="false" ht="15" hidden="false" customHeight="false" outlineLevel="0" collapsed="false">
      <c r="A1747" s="44"/>
      <c r="B1747" s="6"/>
      <c r="C1747" s="6"/>
      <c r="D1747" s="8" t="str">
        <f aca="false">IF($C1747="","",IFERROR(INDEX(PRODUCTOS!$B$6:$B$105,MATCH($C1747,PRODUCTOS!$A$6:$A$105,0)),"¿Código?"))</f>
        <v/>
      </c>
      <c r="E1747" s="42"/>
      <c r="F1747" s="35" t="str">
        <f aca="false">IF($C1747="","",IFERROR(INDEX(PRODUCTOS!$D$6:$D$105,MATCH($C1747,PRODUCTOS!$A$6:$A$105,0)),0))</f>
        <v/>
      </c>
      <c r="G1747" s="40"/>
      <c r="H1747" s="35" t="str">
        <f aca="false">IF($C1747="","",N($E1747)*$F1747-N($G1747))</f>
        <v/>
      </c>
      <c r="I1747" s="35" t="str">
        <f aca="false">IF($C1747="","",$H1747-$H1747/(1+IFERROR(INDEX(PRODUCTOS!$E$6:$E$105,MATCH($C1747,PRODUCTOS!$A$6:$A$105,0)),IVA_VENTAS)))</f>
        <v/>
      </c>
      <c r="J1747" s="35" t="str">
        <f aca="false">IF($C1747="","",$H1747-$I1747)</f>
        <v/>
      </c>
      <c r="K1747" s="35" t="str">
        <f aca="false">IF($C1747="","",N($E1747)*IFERROR(INDEX(PRODUCTOS!$H$6:$H$105,MATCH($C1747,PRODUCTOS!$A$6:$A$105,0)),0))</f>
        <v/>
      </c>
      <c r="L1747" s="35" t="str">
        <f aca="false">IF($C1747="","",$J1747-$K1747)</f>
        <v/>
      </c>
      <c r="M1747" s="6"/>
      <c r="N1747" s="6"/>
      <c r="O1747" s="46" t="str">
        <f aca="false">IF($A1747="","",DATE(YEAR($A1747),MONTH($A1747),1))</f>
        <v/>
      </c>
    </row>
    <row r="1748" customFormat="false" ht="15" hidden="false" customHeight="false" outlineLevel="0" collapsed="false">
      <c r="A1748" s="44"/>
      <c r="B1748" s="6"/>
      <c r="C1748" s="6"/>
      <c r="D1748" s="8" t="str">
        <f aca="false">IF($C1748="","",IFERROR(INDEX(PRODUCTOS!$B$6:$B$105,MATCH($C1748,PRODUCTOS!$A$6:$A$105,0)),"¿Código?"))</f>
        <v/>
      </c>
      <c r="E1748" s="42"/>
      <c r="F1748" s="35" t="str">
        <f aca="false">IF($C1748="","",IFERROR(INDEX(PRODUCTOS!$D$6:$D$105,MATCH($C1748,PRODUCTOS!$A$6:$A$105,0)),0))</f>
        <v/>
      </c>
      <c r="G1748" s="40"/>
      <c r="H1748" s="35" t="str">
        <f aca="false">IF($C1748="","",N($E1748)*$F1748-N($G1748))</f>
        <v/>
      </c>
      <c r="I1748" s="35" t="str">
        <f aca="false">IF($C1748="","",$H1748-$H1748/(1+IFERROR(INDEX(PRODUCTOS!$E$6:$E$105,MATCH($C1748,PRODUCTOS!$A$6:$A$105,0)),IVA_VENTAS)))</f>
        <v/>
      </c>
      <c r="J1748" s="35" t="str">
        <f aca="false">IF($C1748="","",$H1748-$I1748)</f>
        <v/>
      </c>
      <c r="K1748" s="35" t="str">
        <f aca="false">IF($C1748="","",N($E1748)*IFERROR(INDEX(PRODUCTOS!$H$6:$H$105,MATCH($C1748,PRODUCTOS!$A$6:$A$105,0)),0))</f>
        <v/>
      </c>
      <c r="L1748" s="35" t="str">
        <f aca="false">IF($C1748="","",$J1748-$K1748)</f>
        <v/>
      </c>
      <c r="M1748" s="6"/>
      <c r="N1748" s="6"/>
      <c r="O1748" s="46" t="str">
        <f aca="false">IF($A1748="","",DATE(YEAR($A1748),MONTH($A1748),1))</f>
        <v/>
      </c>
    </row>
    <row r="1749" customFormat="false" ht="15" hidden="false" customHeight="false" outlineLevel="0" collapsed="false">
      <c r="A1749" s="44"/>
      <c r="B1749" s="6"/>
      <c r="C1749" s="6"/>
      <c r="D1749" s="8" t="str">
        <f aca="false">IF($C1749="","",IFERROR(INDEX(PRODUCTOS!$B$6:$B$105,MATCH($C1749,PRODUCTOS!$A$6:$A$105,0)),"¿Código?"))</f>
        <v/>
      </c>
      <c r="E1749" s="42"/>
      <c r="F1749" s="35" t="str">
        <f aca="false">IF($C1749="","",IFERROR(INDEX(PRODUCTOS!$D$6:$D$105,MATCH($C1749,PRODUCTOS!$A$6:$A$105,0)),0))</f>
        <v/>
      </c>
      <c r="G1749" s="40"/>
      <c r="H1749" s="35" t="str">
        <f aca="false">IF($C1749="","",N($E1749)*$F1749-N($G1749))</f>
        <v/>
      </c>
      <c r="I1749" s="35" t="str">
        <f aca="false">IF($C1749="","",$H1749-$H1749/(1+IFERROR(INDEX(PRODUCTOS!$E$6:$E$105,MATCH($C1749,PRODUCTOS!$A$6:$A$105,0)),IVA_VENTAS)))</f>
        <v/>
      </c>
      <c r="J1749" s="35" t="str">
        <f aca="false">IF($C1749="","",$H1749-$I1749)</f>
        <v/>
      </c>
      <c r="K1749" s="35" t="str">
        <f aca="false">IF($C1749="","",N($E1749)*IFERROR(INDEX(PRODUCTOS!$H$6:$H$105,MATCH($C1749,PRODUCTOS!$A$6:$A$105,0)),0))</f>
        <v/>
      </c>
      <c r="L1749" s="35" t="str">
        <f aca="false">IF($C1749="","",$J1749-$K1749)</f>
        <v/>
      </c>
      <c r="M1749" s="6"/>
      <c r="N1749" s="6"/>
      <c r="O1749" s="46" t="str">
        <f aca="false">IF($A1749="","",DATE(YEAR($A1749),MONTH($A1749),1))</f>
        <v/>
      </c>
    </row>
    <row r="1750" customFormat="false" ht="15" hidden="false" customHeight="false" outlineLevel="0" collapsed="false">
      <c r="A1750" s="44"/>
      <c r="B1750" s="6"/>
      <c r="C1750" s="6"/>
      <c r="D1750" s="8" t="str">
        <f aca="false">IF($C1750="","",IFERROR(INDEX(PRODUCTOS!$B$6:$B$105,MATCH($C1750,PRODUCTOS!$A$6:$A$105,0)),"¿Código?"))</f>
        <v/>
      </c>
      <c r="E1750" s="42"/>
      <c r="F1750" s="35" t="str">
        <f aca="false">IF($C1750="","",IFERROR(INDEX(PRODUCTOS!$D$6:$D$105,MATCH($C1750,PRODUCTOS!$A$6:$A$105,0)),0))</f>
        <v/>
      </c>
      <c r="G1750" s="40"/>
      <c r="H1750" s="35" t="str">
        <f aca="false">IF($C1750="","",N($E1750)*$F1750-N($G1750))</f>
        <v/>
      </c>
      <c r="I1750" s="35" t="str">
        <f aca="false">IF($C1750="","",$H1750-$H1750/(1+IFERROR(INDEX(PRODUCTOS!$E$6:$E$105,MATCH($C1750,PRODUCTOS!$A$6:$A$105,0)),IVA_VENTAS)))</f>
        <v/>
      </c>
      <c r="J1750" s="35" t="str">
        <f aca="false">IF($C1750="","",$H1750-$I1750)</f>
        <v/>
      </c>
      <c r="K1750" s="35" t="str">
        <f aca="false">IF($C1750="","",N($E1750)*IFERROR(INDEX(PRODUCTOS!$H$6:$H$105,MATCH($C1750,PRODUCTOS!$A$6:$A$105,0)),0))</f>
        <v/>
      </c>
      <c r="L1750" s="35" t="str">
        <f aca="false">IF($C1750="","",$J1750-$K1750)</f>
        <v/>
      </c>
      <c r="M1750" s="6"/>
      <c r="N1750" s="6"/>
      <c r="O1750" s="46" t="str">
        <f aca="false">IF($A1750="","",DATE(YEAR($A1750),MONTH($A1750),1))</f>
        <v/>
      </c>
    </row>
    <row r="1751" customFormat="false" ht="15" hidden="false" customHeight="false" outlineLevel="0" collapsed="false">
      <c r="A1751" s="44"/>
      <c r="B1751" s="6"/>
      <c r="C1751" s="6"/>
      <c r="D1751" s="8" t="str">
        <f aca="false">IF($C1751="","",IFERROR(INDEX(PRODUCTOS!$B$6:$B$105,MATCH($C1751,PRODUCTOS!$A$6:$A$105,0)),"¿Código?"))</f>
        <v/>
      </c>
      <c r="E1751" s="42"/>
      <c r="F1751" s="35" t="str">
        <f aca="false">IF($C1751="","",IFERROR(INDEX(PRODUCTOS!$D$6:$D$105,MATCH($C1751,PRODUCTOS!$A$6:$A$105,0)),0))</f>
        <v/>
      </c>
      <c r="G1751" s="40"/>
      <c r="H1751" s="35" t="str">
        <f aca="false">IF($C1751="","",N($E1751)*$F1751-N($G1751))</f>
        <v/>
      </c>
      <c r="I1751" s="35" t="str">
        <f aca="false">IF($C1751="","",$H1751-$H1751/(1+IFERROR(INDEX(PRODUCTOS!$E$6:$E$105,MATCH($C1751,PRODUCTOS!$A$6:$A$105,0)),IVA_VENTAS)))</f>
        <v/>
      </c>
      <c r="J1751" s="35" t="str">
        <f aca="false">IF($C1751="","",$H1751-$I1751)</f>
        <v/>
      </c>
      <c r="K1751" s="35" t="str">
        <f aca="false">IF($C1751="","",N($E1751)*IFERROR(INDEX(PRODUCTOS!$H$6:$H$105,MATCH($C1751,PRODUCTOS!$A$6:$A$105,0)),0))</f>
        <v/>
      </c>
      <c r="L1751" s="35" t="str">
        <f aca="false">IF($C1751="","",$J1751-$K1751)</f>
        <v/>
      </c>
      <c r="M1751" s="6"/>
      <c r="N1751" s="6"/>
      <c r="O1751" s="46" t="str">
        <f aca="false">IF($A1751="","",DATE(YEAR($A1751),MONTH($A1751),1))</f>
        <v/>
      </c>
    </row>
    <row r="1752" customFormat="false" ht="15" hidden="false" customHeight="false" outlineLevel="0" collapsed="false">
      <c r="A1752" s="44"/>
      <c r="B1752" s="6"/>
      <c r="C1752" s="6"/>
      <c r="D1752" s="8" t="str">
        <f aca="false">IF($C1752="","",IFERROR(INDEX(PRODUCTOS!$B$6:$B$105,MATCH($C1752,PRODUCTOS!$A$6:$A$105,0)),"¿Código?"))</f>
        <v/>
      </c>
      <c r="E1752" s="42"/>
      <c r="F1752" s="35" t="str">
        <f aca="false">IF($C1752="","",IFERROR(INDEX(PRODUCTOS!$D$6:$D$105,MATCH($C1752,PRODUCTOS!$A$6:$A$105,0)),0))</f>
        <v/>
      </c>
      <c r="G1752" s="40"/>
      <c r="H1752" s="35" t="str">
        <f aca="false">IF($C1752="","",N($E1752)*$F1752-N($G1752))</f>
        <v/>
      </c>
      <c r="I1752" s="35" t="str">
        <f aca="false">IF($C1752="","",$H1752-$H1752/(1+IFERROR(INDEX(PRODUCTOS!$E$6:$E$105,MATCH($C1752,PRODUCTOS!$A$6:$A$105,0)),IVA_VENTAS)))</f>
        <v/>
      </c>
      <c r="J1752" s="35" t="str">
        <f aca="false">IF($C1752="","",$H1752-$I1752)</f>
        <v/>
      </c>
      <c r="K1752" s="35" t="str">
        <f aca="false">IF($C1752="","",N($E1752)*IFERROR(INDEX(PRODUCTOS!$H$6:$H$105,MATCH($C1752,PRODUCTOS!$A$6:$A$105,0)),0))</f>
        <v/>
      </c>
      <c r="L1752" s="35" t="str">
        <f aca="false">IF($C1752="","",$J1752-$K1752)</f>
        <v/>
      </c>
      <c r="M1752" s="6"/>
      <c r="N1752" s="6"/>
      <c r="O1752" s="46" t="str">
        <f aca="false">IF($A1752="","",DATE(YEAR($A1752),MONTH($A1752),1))</f>
        <v/>
      </c>
    </row>
    <row r="1753" customFormat="false" ht="15" hidden="false" customHeight="false" outlineLevel="0" collapsed="false">
      <c r="A1753" s="44"/>
      <c r="B1753" s="6"/>
      <c r="C1753" s="6"/>
      <c r="D1753" s="8" t="str">
        <f aca="false">IF($C1753="","",IFERROR(INDEX(PRODUCTOS!$B$6:$B$105,MATCH($C1753,PRODUCTOS!$A$6:$A$105,0)),"¿Código?"))</f>
        <v/>
      </c>
      <c r="E1753" s="42"/>
      <c r="F1753" s="35" t="str">
        <f aca="false">IF($C1753="","",IFERROR(INDEX(PRODUCTOS!$D$6:$D$105,MATCH($C1753,PRODUCTOS!$A$6:$A$105,0)),0))</f>
        <v/>
      </c>
      <c r="G1753" s="40"/>
      <c r="H1753" s="35" t="str">
        <f aca="false">IF($C1753="","",N($E1753)*$F1753-N($G1753))</f>
        <v/>
      </c>
      <c r="I1753" s="35" t="str">
        <f aca="false">IF($C1753="","",$H1753-$H1753/(1+IFERROR(INDEX(PRODUCTOS!$E$6:$E$105,MATCH($C1753,PRODUCTOS!$A$6:$A$105,0)),IVA_VENTAS)))</f>
        <v/>
      </c>
      <c r="J1753" s="35" t="str">
        <f aca="false">IF($C1753="","",$H1753-$I1753)</f>
        <v/>
      </c>
      <c r="K1753" s="35" t="str">
        <f aca="false">IF($C1753="","",N($E1753)*IFERROR(INDEX(PRODUCTOS!$H$6:$H$105,MATCH($C1753,PRODUCTOS!$A$6:$A$105,0)),0))</f>
        <v/>
      </c>
      <c r="L1753" s="35" t="str">
        <f aca="false">IF($C1753="","",$J1753-$K1753)</f>
        <v/>
      </c>
      <c r="M1753" s="6"/>
      <c r="N1753" s="6"/>
      <c r="O1753" s="46" t="str">
        <f aca="false">IF($A1753="","",DATE(YEAR($A1753),MONTH($A1753),1))</f>
        <v/>
      </c>
    </row>
    <row r="1754" customFormat="false" ht="15" hidden="false" customHeight="false" outlineLevel="0" collapsed="false">
      <c r="A1754" s="44"/>
      <c r="B1754" s="6"/>
      <c r="C1754" s="6"/>
      <c r="D1754" s="8" t="str">
        <f aca="false">IF($C1754="","",IFERROR(INDEX(PRODUCTOS!$B$6:$B$105,MATCH($C1754,PRODUCTOS!$A$6:$A$105,0)),"¿Código?"))</f>
        <v/>
      </c>
      <c r="E1754" s="42"/>
      <c r="F1754" s="35" t="str">
        <f aca="false">IF($C1754="","",IFERROR(INDEX(PRODUCTOS!$D$6:$D$105,MATCH($C1754,PRODUCTOS!$A$6:$A$105,0)),0))</f>
        <v/>
      </c>
      <c r="G1754" s="40"/>
      <c r="H1754" s="35" t="str">
        <f aca="false">IF($C1754="","",N($E1754)*$F1754-N($G1754))</f>
        <v/>
      </c>
      <c r="I1754" s="35" t="str">
        <f aca="false">IF($C1754="","",$H1754-$H1754/(1+IFERROR(INDEX(PRODUCTOS!$E$6:$E$105,MATCH($C1754,PRODUCTOS!$A$6:$A$105,0)),IVA_VENTAS)))</f>
        <v/>
      </c>
      <c r="J1754" s="35" t="str">
        <f aca="false">IF($C1754="","",$H1754-$I1754)</f>
        <v/>
      </c>
      <c r="K1754" s="35" t="str">
        <f aca="false">IF($C1754="","",N($E1754)*IFERROR(INDEX(PRODUCTOS!$H$6:$H$105,MATCH($C1754,PRODUCTOS!$A$6:$A$105,0)),0))</f>
        <v/>
      </c>
      <c r="L1754" s="35" t="str">
        <f aca="false">IF($C1754="","",$J1754-$K1754)</f>
        <v/>
      </c>
      <c r="M1754" s="6"/>
      <c r="N1754" s="6"/>
      <c r="O1754" s="46" t="str">
        <f aca="false">IF($A1754="","",DATE(YEAR($A1754),MONTH($A1754),1))</f>
        <v/>
      </c>
    </row>
    <row r="1755" customFormat="false" ht="15" hidden="false" customHeight="false" outlineLevel="0" collapsed="false">
      <c r="A1755" s="44"/>
      <c r="B1755" s="6"/>
      <c r="C1755" s="6"/>
      <c r="D1755" s="8" t="str">
        <f aca="false">IF($C1755="","",IFERROR(INDEX(PRODUCTOS!$B$6:$B$105,MATCH($C1755,PRODUCTOS!$A$6:$A$105,0)),"¿Código?"))</f>
        <v/>
      </c>
      <c r="E1755" s="42"/>
      <c r="F1755" s="35" t="str">
        <f aca="false">IF($C1755="","",IFERROR(INDEX(PRODUCTOS!$D$6:$D$105,MATCH($C1755,PRODUCTOS!$A$6:$A$105,0)),0))</f>
        <v/>
      </c>
      <c r="G1755" s="40"/>
      <c r="H1755" s="35" t="str">
        <f aca="false">IF($C1755="","",N($E1755)*$F1755-N($G1755))</f>
        <v/>
      </c>
      <c r="I1755" s="35" t="str">
        <f aca="false">IF($C1755="","",$H1755-$H1755/(1+IFERROR(INDEX(PRODUCTOS!$E$6:$E$105,MATCH($C1755,PRODUCTOS!$A$6:$A$105,0)),IVA_VENTAS)))</f>
        <v/>
      </c>
      <c r="J1755" s="35" t="str">
        <f aca="false">IF($C1755="","",$H1755-$I1755)</f>
        <v/>
      </c>
      <c r="K1755" s="35" t="str">
        <f aca="false">IF($C1755="","",N($E1755)*IFERROR(INDEX(PRODUCTOS!$H$6:$H$105,MATCH($C1755,PRODUCTOS!$A$6:$A$105,0)),0))</f>
        <v/>
      </c>
      <c r="L1755" s="35" t="str">
        <f aca="false">IF($C1755="","",$J1755-$K1755)</f>
        <v/>
      </c>
      <c r="M1755" s="6"/>
      <c r="N1755" s="6"/>
      <c r="O1755" s="46" t="str">
        <f aca="false">IF($A1755="","",DATE(YEAR($A1755),MONTH($A1755),1))</f>
        <v/>
      </c>
    </row>
    <row r="1756" customFormat="false" ht="15" hidden="false" customHeight="false" outlineLevel="0" collapsed="false">
      <c r="A1756" s="44"/>
      <c r="B1756" s="6"/>
      <c r="C1756" s="6"/>
      <c r="D1756" s="8" t="str">
        <f aca="false">IF($C1756="","",IFERROR(INDEX(PRODUCTOS!$B$6:$B$105,MATCH($C1756,PRODUCTOS!$A$6:$A$105,0)),"¿Código?"))</f>
        <v/>
      </c>
      <c r="E1756" s="42"/>
      <c r="F1756" s="35" t="str">
        <f aca="false">IF($C1756="","",IFERROR(INDEX(PRODUCTOS!$D$6:$D$105,MATCH($C1756,PRODUCTOS!$A$6:$A$105,0)),0))</f>
        <v/>
      </c>
      <c r="G1756" s="40"/>
      <c r="H1756" s="35" t="str">
        <f aca="false">IF($C1756="","",N($E1756)*$F1756-N($G1756))</f>
        <v/>
      </c>
      <c r="I1756" s="35" t="str">
        <f aca="false">IF($C1756="","",$H1756-$H1756/(1+IFERROR(INDEX(PRODUCTOS!$E$6:$E$105,MATCH($C1756,PRODUCTOS!$A$6:$A$105,0)),IVA_VENTAS)))</f>
        <v/>
      </c>
      <c r="J1756" s="35" t="str">
        <f aca="false">IF($C1756="","",$H1756-$I1756)</f>
        <v/>
      </c>
      <c r="K1756" s="35" t="str">
        <f aca="false">IF($C1756="","",N($E1756)*IFERROR(INDEX(PRODUCTOS!$H$6:$H$105,MATCH($C1756,PRODUCTOS!$A$6:$A$105,0)),0))</f>
        <v/>
      </c>
      <c r="L1756" s="35" t="str">
        <f aca="false">IF($C1756="","",$J1756-$K1756)</f>
        <v/>
      </c>
      <c r="M1756" s="6"/>
      <c r="N1756" s="6"/>
      <c r="O1756" s="46" t="str">
        <f aca="false">IF($A1756="","",DATE(YEAR($A1756),MONTH($A1756),1))</f>
        <v/>
      </c>
    </row>
    <row r="1757" customFormat="false" ht="15" hidden="false" customHeight="false" outlineLevel="0" collapsed="false">
      <c r="A1757" s="44"/>
      <c r="B1757" s="6"/>
      <c r="C1757" s="6"/>
      <c r="D1757" s="8" t="str">
        <f aca="false">IF($C1757="","",IFERROR(INDEX(PRODUCTOS!$B$6:$B$105,MATCH($C1757,PRODUCTOS!$A$6:$A$105,0)),"¿Código?"))</f>
        <v/>
      </c>
      <c r="E1757" s="42"/>
      <c r="F1757" s="35" t="str">
        <f aca="false">IF($C1757="","",IFERROR(INDEX(PRODUCTOS!$D$6:$D$105,MATCH($C1757,PRODUCTOS!$A$6:$A$105,0)),0))</f>
        <v/>
      </c>
      <c r="G1757" s="40"/>
      <c r="H1757" s="35" t="str">
        <f aca="false">IF($C1757="","",N($E1757)*$F1757-N($G1757))</f>
        <v/>
      </c>
      <c r="I1757" s="35" t="str">
        <f aca="false">IF($C1757="","",$H1757-$H1757/(1+IFERROR(INDEX(PRODUCTOS!$E$6:$E$105,MATCH($C1757,PRODUCTOS!$A$6:$A$105,0)),IVA_VENTAS)))</f>
        <v/>
      </c>
      <c r="J1757" s="35" t="str">
        <f aca="false">IF($C1757="","",$H1757-$I1757)</f>
        <v/>
      </c>
      <c r="K1757" s="35" t="str">
        <f aca="false">IF($C1757="","",N($E1757)*IFERROR(INDEX(PRODUCTOS!$H$6:$H$105,MATCH($C1757,PRODUCTOS!$A$6:$A$105,0)),0))</f>
        <v/>
      </c>
      <c r="L1757" s="35" t="str">
        <f aca="false">IF($C1757="","",$J1757-$K1757)</f>
        <v/>
      </c>
      <c r="M1757" s="6"/>
      <c r="N1757" s="6"/>
      <c r="O1757" s="46" t="str">
        <f aca="false">IF($A1757="","",DATE(YEAR($A1757),MONTH($A1757),1))</f>
        <v/>
      </c>
    </row>
    <row r="1758" customFormat="false" ht="15" hidden="false" customHeight="false" outlineLevel="0" collapsed="false">
      <c r="A1758" s="44"/>
      <c r="B1758" s="6"/>
      <c r="C1758" s="6"/>
      <c r="D1758" s="8" t="str">
        <f aca="false">IF($C1758="","",IFERROR(INDEX(PRODUCTOS!$B$6:$B$105,MATCH($C1758,PRODUCTOS!$A$6:$A$105,0)),"¿Código?"))</f>
        <v/>
      </c>
      <c r="E1758" s="42"/>
      <c r="F1758" s="35" t="str">
        <f aca="false">IF($C1758="","",IFERROR(INDEX(PRODUCTOS!$D$6:$D$105,MATCH($C1758,PRODUCTOS!$A$6:$A$105,0)),0))</f>
        <v/>
      </c>
      <c r="G1758" s="40"/>
      <c r="H1758" s="35" t="str">
        <f aca="false">IF($C1758="","",N($E1758)*$F1758-N($G1758))</f>
        <v/>
      </c>
      <c r="I1758" s="35" t="str">
        <f aca="false">IF($C1758="","",$H1758-$H1758/(1+IFERROR(INDEX(PRODUCTOS!$E$6:$E$105,MATCH($C1758,PRODUCTOS!$A$6:$A$105,0)),IVA_VENTAS)))</f>
        <v/>
      </c>
      <c r="J1758" s="35" t="str">
        <f aca="false">IF($C1758="","",$H1758-$I1758)</f>
        <v/>
      </c>
      <c r="K1758" s="35" t="str">
        <f aca="false">IF($C1758="","",N($E1758)*IFERROR(INDEX(PRODUCTOS!$H$6:$H$105,MATCH($C1758,PRODUCTOS!$A$6:$A$105,0)),0))</f>
        <v/>
      </c>
      <c r="L1758" s="35" t="str">
        <f aca="false">IF($C1758="","",$J1758-$K1758)</f>
        <v/>
      </c>
      <c r="M1758" s="6"/>
      <c r="N1758" s="6"/>
      <c r="O1758" s="46" t="str">
        <f aca="false">IF($A1758="","",DATE(YEAR($A1758),MONTH($A1758),1))</f>
        <v/>
      </c>
    </row>
    <row r="1759" customFormat="false" ht="15" hidden="false" customHeight="false" outlineLevel="0" collapsed="false">
      <c r="A1759" s="44"/>
      <c r="B1759" s="6"/>
      <c r="C1759" s="6"/>
      <c r="D1759" s="8" t="str">
        <f aca="false">IF($C1759="","",IFERROR(INDEX(PRODUCTOS!$B$6:$B$105,MATCH($C1759,PRODUCTOS!$A$6:$A$105,0)),"¿Código?"))</f>
        <v/>
      </c>
      <c r="E1759" s="42"/>
      <c r="F1759" s="35" t="str">
        <f aca="false">IF($C1759="","",IFERROR(INDEX(PRODUCTOS!$D$6:$D$105,MATCH($C1759,PRODUCTOS!$A$6:$A$105,0)),0))</f>
        <v/>
      </c>
      <c r="G1759" s="40"/>
      <c r="H1759" s="35" t="str">
        <f aca="false">IF($C1759="","",N($E1759)*$F1759-N($G1759))</f>
        <v/>
      </c>
      <c r="I1759" s="35" t="str">
        <f aca="false">IF($C1759="","",$H1759-$H1759/(1+IFERROR(INDEX(PRODUCTOS!$E$6:$E$105,MATCH($C1759,PRODUCTOS!$A$6:$A$105,0)),IVA_VENTAS)))</f>
        <v/>
      </c>
      <c r="J1759" s="35" t="str">
        <f aca="false">IF($C1759="","",$H1759-$I1759)</f>
        <v/>
      </c>
      <c r="K1759" s="35" t="str">
        <f aca="false">IF($C1759="","",N($E1759)*IFERROR(INDEX(PRODUCTOS!$H$6:$H$105,MATCH($C1759,PRODUCTOS!$A$6:$A$105,0)),0))</f>
        <v/>
      </c>
      <c r="L1759" s="35" t="str">
        <f aca="false">IF($C1759="","",$J1759-$K1759)</f>
        <v/>
      </c>
      <c r="M1759" s="6"/>
      <c r="N1759" s="6"/>
      <c r="O1759" s="46" t="str">
        <f aca="false">IF($A1759="","",DATE(YEAR($A1759),MONTH($A1759),1))</f>
        <v/>
      </c>
    </row>
    <row r="1760" customFormat="false" ht="15" hidden="false" customHeight="false" outlineLevel="0" collapsed="false">
      <c r="A1760" s="44"/>
      <c r="B1760" s="6"/>
      <c r="C1760" s="6"/>
      <c r="D1760" s="8" t="str">
        <f aca="false">IF($C1760="","",IFERROR(INDEX(PRODUCTOS!$B$6:$B$105,MATCH($C1760,PRODUCTOS!$A$6:$A$105,0)),"¿Código?"))</f>
        <v/>
      </c>
      <c r="E1760" s="42"/>
      <c r="F1760" s="35" t="str">
        <f aca="false">IF($C1760="","",IFERROR(INDEX(PRODUCTOS!$D$6:$D$105,MATCH($C1760,PRODUCTOS!$A$6:$A$105,0)),0))</f>
        <v/>
      </c>
      <c r="G1760" s="40"/>
      <c r="H1760" s="35" t="str">
        <f aca="false">IF($C1760="","",N($E1760)*$F1760-N($G1760))</f>
        <v/>
      </c>
      <c r="I1760" s="35" t="str">
        <f aca="false">IF($C1760="","",$H1760-$H1760/(1+IFERROR(INDEX(PRODUCTOS!$E$6:$E$105,MATCH($C1760,PRODUCTOS!$A$6:$A$105,0)),IVA_VENTAS)))</f>
        <v/>
      </c>
      <c r="J1760" s="35" t="str">
        <f aca="false">IF($C1760="","",$H1760-$I1760)</f>
        <v/>
      </c>
      <c r="K1760" s="35" t="str">
        <f aca="false">IF($C1760="","",N($E1760)*IFERROR(INDEX(PRODUCTOS!$H$6:$H$105,MATCH($C1760,PRODUCTOS!$A$6:$A$105,0)),0))</f>
        <v/>
      </c>
      <c r="L1760" s="35" t="str">
        <f aca="false">IF($C1760="","",$J1760-$K1760)</f>
        <v/>
      </c>
      <c r="M1760" s="6"/>
      <c r="N1760" s="6"/>
      <c r="O1760" s="46" t="str">
        <f aca="false">IF($A1760="","",DATE(YEAR($A1760),MONTH($A1760),1))</f>
        <v/>
      </c>
    </row>
    <row r="1761" customFormat="false" ht="15" hidden="false" customHeight="false" outlineLevel="0" collapsed="false">
      <c r="A1761" s="44"/>
      <c r="B1761" s="6"/>
      <c r="C1761" s="6"/>
      <c r="D1761" s="8" t="str">
        <f aca="false">IF($C1761="","",IFERROR(INDEX(PRODUCTOS!$B$6:$B$105,MATCH($C1761,PRODUCTOS!$A$6:$A$105,0)),"¿Código?"))</f>
        <v/>
      </c>
      <c r="E1761" s="42"/>
      <c r="F1761" s="35" t="str">
        <f aca="false">IF($C1761="","",IFERROR(INDEX(PRODUCTOS!$D$6:$D$105,MATCH($C1761,PRODUCTOS!$A$6:$A$105,0)),0))</f>
        <v/>
      </c>
      <c r="G1761" s="40"/>
      <c r="H1761" s="35" t="str">
        <f aca="false">IF($C1761="","",N($E1761)*$F1761-N($G1761))</f>
        <v/>
      </c>
      <c r="I1761" s="35" t="str">
        <f aca="false">IF($C1761="","",$H1761-$H1761/(1+IFERROR(INDEX(PRODUCTOS!$E$6:$E$105,MATCH($C1761,PRODUCTOS!$A$6:$A$105,0)),IVA_VENTAS)))</f>
        <v/>
      </c>
      <c r="J1761" s="35" t="str">
        <f aca="false">IF($C1761="","",$H1761-$I1761)</f>
        <v/>
      </c>
      <c r="K1761" s="35" t="str">
        <f aca="false">IF($C1761="","",N($E1761)*IFERROR(INDEX(PRODUCTOS!$H$6:$H$105,MATCH($C1761,PRODUCTOS!$A$6:$A$105,0)),0))</f>
        <v/>
      </c>
      <c r="L1761" s="35" t="str">
        <f aca="false">IF($C1761="","",$J1761-$K1761)</f>
        <v/>
      </c>
      <c r="M1761" s="6"/>
      <c r="N1761" s="6"/>
      <c r="O1761" s="46" t="str">
        <f aca="false">IF($A1761="","",DATE(YEAR($A1761),MONTH($A1761),1))</f>
        <v/>
      </c>
    </row>
    <row r="1762" customFormat="false" ht="15" hidden="false" customHeight="false" outlineLevel="0" collapsed="false">
      <c r="A1762" s="44"/>
      <c r="B1762" s="6"/>
      <c r="C1762" s="6"/>
      <c r="D1762" s="8" t="str">
        <f aca="false">IF($C1762="","",IFERROR(INDEX(PRODUCTOS!$B$6:$B$105,MATCH($C1762,PRODUCTOS!$A$6:$A$105,0)),"¿Código?"))</f>
        <v/>
      </c>
      <c r="E1762" s="42"/>
      <c r="F1762" s="35" t="str">
        <f aca="false">IF($C1762="","",IFERROR(INDEX(PRODUCTOS!$D$6:$D$105,MATCH($C1762,PRODUCTOS!$A$6:$A$105,0)),0))</f>
        <v/>
      </c>
      <c r="G1762" s="40"/>
      <c r="H1762" s="35" t="str">
        <f aca="false">IF($C1762="","",N($E1762)*$F1762-N($G1762))</f>
        <v/>
      </c>
      <c r="I1762" s="35" t="str">
        <f aca="false">IF($C1762="","",$H1762-$H1762/(1+IFERROR(INDEX(PRODUCTOS!$E$6:$E$105,MATCH($C1762,PRODUCTOS!$A$6:$A$105,0)),IVA_VENTAS)))</f>
        <v/>
      </c>
      <c r="J1762" s="35" t="str">
        <f aca="false">IF($C1762="","",$H1762-$I1762)</f>
        <v/>
      </c>
      <c r="K1762" s="35" t="str">
        <f aca="false">IF($C1762="","",N($E1762)*IFERROR(INDEX(PRODUCTOS!$H$6:$H$105,MATCH($C1762,PRODUCTOS!$A$6:$A$105,0)),0))</f>
        <v/>
      </c>
      <c r="L1762" s="35" t="str">
        <f aca="false">IF($C1762="","",$J1762-$K1762)</f>
        <v/>
      </c>
      <c r="M1762" s="6"/>
      <c r="N1762" s="6"/>
      <c r="O1762" s="46" t="str">
        <f aca="false">IF($A1762="","",DATE(YEAR($A1762),MONTH($A1762),1))</f>
        <v/>
      </c>
    </row>
    <row r="1763" customFormat="false" ht="15" hidden="false" customHeight="false" outlineLevel="0" collapsed="false">
      <c r="A1763" s="44"/>
      <c r="B1763" s="6"/>
      <c r="C1763" s="6"/>
      <c r="D1763" s="8" t="str">
        <f aca="false">IF($C1763="","",IFERROR(INDEX(PRODUCTOS!$B$6:$B$105,MATCH($C1763,PRODUCTOS!$A$6:$A$105,0)),"¿Código?"))</f>
        <v/>
      </c>
      <c r="E1763" s="42"/>
      <c r="F1763" s="35" t="str">
        <f aca="false">IF($C1763="","",IFERROR(INDEX(PRODUCTOS!$D$6:$D$105,MATCH($C1763,PRODUCTOS!$A$6:$A$105,0)),0))</f>
        <v/>
      </c>
      <c r="G1763" s="40"/>
      <c r="H1763" s="35" t="str">
        <f aca="false">IF($C1763="","",N($E1763)*$F1763-N($G1763))</f>
        <v/>
      </c>
      <c r="I1763" s="35" t="str">
        <f aca="false">IF($C1763="","",$H1763-$H1763/(1+IFERROR(INDEX(PRODUCTOS!$E$6:$E$105,MATCH($C1763,PRODUCTOS!$A$6:$A$105,0)),IVA_VENTAS)))</f>
        <v/>
      </c>
      <c r="J1763" s="35" t="str">
        <f aca="false">IF($C1763="","",$H1763-$I1763)</f>
        <v/>
      </c>
      <c r="K1763" s="35" t="str">
        <f aca="false">IF($C1763="","",N($E1763)*IFERROR(INDEX(PRODUCTOS!$H$6:$H$105,MATCH($C1763,PRODUCTOS!$A$6:$A$105,0)),0))</f>
        <v/>
      </c>
      <c r="L1763" s="35" t="str">
        <f aca="false">IF($C1763="","",$J1763-$K1763)</f>
        <v/>
      </c>
      <c r="M1763" s="6"/>
      <c r="N1763" s="6"/>
      <c r="O1763" s="46" t="str">
        <f aca="false">IF($A1763="","",DATE(YEAR($A1763),MONTH($A1763),1))</f>
        <v/>
      </c>
    </row>
    <row r="1764" customFormat="false" ht="15" hidden="false" customHeight="false" outlineLevel="0" collapsed="false">
      <c r="A1764" s="44"/>
      <c r="B1764" s="6"/>
      <c r="C1764" s="6"/>
      <c r="D1764" s="8" t="str">
        <f aca="false">IF($C1764="","",IFERROR(INDEX(PRODUCTOS!$B$6:$B$105,MATCH($C1764,PRODUCTOS!$A$6:$A$105,0)),"¿Código?"))</f>
        <v/>
      </c>
      <c r="E1764" s="42"/>
      <c r="F1764" s="35" t="str">
        <f aca="false">IF($C1764="","",IFERROR(INDEX(PRODUCTOS!$D$6:$D$105,MATCH($C1764,PRODUCTOS!$A$6:$A$105,0)),0))</f>
        <v/>
      </c>
      <c r="G1764" s="40"/>
      <c r="H1764" s="35" t="str">
        <f aca="false">IF($C1764="","",N($E1764)*$F1764-N($G1764))</f>
        <v/>
      </c>
      <c r="I1764" s="35" t="str">
        <f aca="false">IF($C1764="","",$H1764-$H1764/(1+IFERROR(INDEX(PRODUCTOS!$E$6:$E$105,MATCH($C1764,PRODUCTOS!$A$6:$A$105,0)),IVA_VENTAS)))</f>
        <v/>
      </c>
      <c r="J1764" s="35" t="str">
        <f aca="false">IF($C1764="","",$H1764-$I1764)</f>
        <v/>
      </c>
      <c r="K1764" s="35" t="str">
        <f aca="false">IF($C1764="","",N($E1764)*IFERROR(INDEX(PRODUCTOS!$H$6:$H$105,MATCH($C1764,PRODUCTOS!$A$6:$A$105,0)),0))</f>
        <v/>
      </c>
      <c r="L1764" s="35" t="str">
        <f aca="false">IF($C1764="","",$J1764-$K1764)</f>
        <v/>
      </c>
      <c r="M1764" s="6"/>
      <c r="N1764" s="6"/>
      <c r="O1764" s="46" t="str">
        <f aca="false">IF($A1764="","",DATE(YEAR($A1764),MONTH($A1764),1))</f>
        <v/>
      </c>
    </row>
    <row r="1765" customFormat="false" ht="15" hidden="false" customHeight="false" outlineLevel="0" collapsed="false">
      <c r="A1765" s="44"/>
      <c r="B1765" s="6"/>
      <c r="C1765" s="6"/>
      <c r="D1765" s="8" t="str">
        <f aca="false">IF($C1765="","",IFERROR(INDEX(PRODUCTOS!$B$6:$B$105,MATCH($C1765,PRODUCTOS!$A$6:$A$105,0)),"¿Código?"))</f>
        <v/>
      </c>
      <c r="E1765" s="42"/>
      <c r="F1765" s="35" t="str">
        <f aca="false">IF($C1765="","",IFERROR(INDEX(PRODUCTOS!$D$6:$D$105,MATCH($C1765,PRODUCTOS!$A$6:$A$105,0)),0))</f>
        <v/>
      </c>
      <c r="G1765" s="40"/>
      <c r="H1765" s="35" t="str">
        <f aca="false">IF($C1765="","",N($E1765)*$F1765-N($G1765))</f>
        <v/>
      </c>
      <c r="I1765" s="35" t="str">
        <f aca="false">IF($C1765="","",$H1765-$H1765/(1+IFERROR(INDEX(PRODUCTOS!$E$6:$E$105,MATCH($C1765,PRODUCTOS!$A$6:$A$105,0)),IVA_VENTAS)))</f>
        <v/>
      </c>
      <c r="J1765" s="35" t="str">
        <f aca="false">IF($C1765="","",$H1765-$I1765)</f>
        <v/>
      </c>
      <c r="K1765" s="35" t="str">
        <f aca="false">IF($C1765="","",N($E1765)*IFERROR(INDEX(PRODUCTOS!$H$6:$H$105,MATCH($C1765,PRODUCTOS!$A$6:$A$105,0)),0))</f>
        <v/>
      </c>
      <c r="L1765" s="35" t="str">
        <f aca="false">IF($C1765="","",$J1765-$K1765)</f>
        <v/>
      </c>
      <c r="M1765" s="6"/>
      <c r="N1765" s="6"/>
      <c r="O1765" s="46" t="str">
        <f aca="false">IF($A1765="","",DATE(YEAR($A1765),MONTH($A1765),1))</f>
        <v/>
      </c>
    </row>
    <row r="1766" customFormat="false" ht="15" hidden="false" customHeight="false" outlineLevel="0" collapsed="false">
      <c r="A1766" s="44"/>
      <c r="B1766" s="6"/>
      <c r="C1766" s="6"/>
      <c r="D1766" s="8" t="str">
        <f aca="false">IF($C1766="","",IFERROR(INDEX(PRODUCTOS!$B$6:$B$105,MATCH($C1766,PRODUCTOS!$A$6:$A$105,0)),"¿Código?"))</f>
        <v/>
      </c>
      <c r="E1766" s="42"/>
      <c r="F1766" s="35" t="str">
        <f aca="false">IF($C1766="","",IFERROR(INDEX(PRODUCTOS!$D$6:$D$105,MATCH($C1766,PRODUCTOS!$A$6:$A$105,0)),0))</f>
        <v/>
      </c>
      <c r="G1766" s="40"/>
      <c r="H1766" s="35" t="str">
        <f aca="false">IF($C1766="","",N($E1766)*$F1766-N($G1766))</f>
        <v/>
      </c>
      <c r="I1766" s="35" t="str">
        <f aca="false">IF($C1766="","",$H1766-$H1766/(1+IFERROR(INDEX(PRODUCTOS!$E$6:$E$105,MATCH($C1766,PRODUCTOS!$A$6:$A$105,0)),IVA_VENTAS)))</f>
        <v/>
      </c>
      <c r="J1766" s="35" t="str">
        <f aca="false">IF($C1766="","",$H1766-$I1766)</f>
        <v/>
      </c>
      <c r="K1766" s="35" t="str">
        <f aca="false">IF($C1766="","",N($E1766)*IFERROR(INDEX(PRODUCTOS!$H$6:$H$105,MATCH($C1766,PRODUCTOS!$A$6:$A$105,0)),0))</f>
        <v/>
      </c>
      <c r="L1766" s="35" t="str">
        <f aca="false">IF($C1766="","",$J1766-$K1766)</f>
        <v/>
      </c>
      <c r="M1766" s="6"/>
      <c r="N1766" s="6"/>
      <c r="O1766" s="46" t="str">
        <f aca="false">IF($A1766="","",DATE(YEAR($A1766),MONTH($A1766),1))</f>
        <v/>
      </c>
    </row>
    <row r="1767" customFormat="false" ht="15" hidden="false" customHeight="false" outlineLevel="0" collapsed="false">
      <c r="A1767" s="44"/>
      <c r="B1767" s="6"/>
      <c r="C1767" s="6"/>
      <c r="D1767" s="8" t="str">
        <f aca="false">IF($C1767="","",IFERROR(INDEX(PRODUCTOS!$B$6:$B$105,MATCH($C1767,PRODUCTOS!$A$6:$A$105,0)),"¿Código?"))</f>
        <v/>
      </c>
      <c r="E1767" s="42"/>
      <c r="F1767" s="35" t="str">
        <f aca="false">IF($C1767="","",IFERROR(INDEX(PRODUCTOS!$D$6:$D$105,MATCH($C1767,PRODUCTOS!$A$6:$A$105,0)),0))</f>
        <v/>
      </c>
      <c r="G1767" s="40"/>
      <c r="H1767" s="35" t="str">
        <f aca="false">IF($C1767="","",N($E1767)*$F1767-N($G1767))</f>
        <v/>
      </c>
      <c r="I1767" s="35" t="str">
        <f aca="false">IF($C1767="","",$H1767-$H1767/(1+IFERROR(INDEX(PRODUCTOS!$E$6:$E$105,MATCH($C1767,PRODUCTOS!$A$6:$A$105,0)),IVA_VENTAS)))</f>
        <v/>
      </c>
      <c r="J1767" s="35" t="str">
        <f aca="false">IF($C1767="","",$H1767-$I1767)</f>
        <v/>
      </c>
      <c r="K1767" s="35" t="str">
        <f aca="false">IF($C1767="","",N($E1767)*IFERROR(INDEX(PRODUCTOS!$H$6:$H$105,MATCH($C1767,PRODUCTOS!$A$6:$A$105,0)),0))</f>
        <v/>
      </c>
      <c r="L1767" s="35" t="str">
        <f aca="false">IF($C1767="","",$J1767-$K1767)</f>
        <v/>
      </c>
      <c r="M1767" s="6"/>
      <c r="N1767" s="6"/>
      <c r="O1767" s="46" t="str">
        <f aca="false">IF($A1767="","",DATE(YEAR($A1767),MONTH($A1767),1))</f>
        <v/>
      </c>
    </row>
    <row r="1768" customFormat="false" ht="15" hidden="false" customHeight="false" outlineLevel="0" collapsed="false">
      <c r="A1768" s="44"/>
      <c r="B1768" s="6"/>
      <c r="C1768" s="6"/>
      <c r="D1768" s="8" t="str">
        <f aca="false">IF($C1768="","",IFERROR(INDEX(PRODUCTOS!$B$6:$B$105,MATCH($C1768,PRODUCTOS!$A$6:$A$105,0)),"¿Código?"))</f>
        <v/>
      </c>
      <c r="E1768" s="42"/>
      <c r="F1768" s="35" t="str">
        <f aca="false">IF($C1768="","",IFERROR(INDEX(PRODUCTOS!$D$6:$D$105,MATCH($C1768,PRODUCTOS!$A$6:$A$105,0)),0))</f>
        <v/>
      </c>
      <c r="G1768" s="40"/>
      <c r="H1768" s="35" t="str">
        <f aca="false">IF($C1768="","",N($E1768)*$F1768-N($G1768))</f>
        <v/>
      </c>
      <c r="I1768" s="35" t="str">
        <f aca="false">IF($C1768="","",$H1768-$H1768/(1+IFERROR(INDEX(PRODUCTOS!$E$6:$E$105,MATCH($C1768,PRODUCTOS!$A$6:$A$105,0)),IVA_VENTAS)))</f>
        <v/>
      </c>
      <c r="J1768" s="35" t="str">
        <f aca="false">IF($C1768="","",$H1768-$I1768)</f>
        <v/>
      </c>
      <c r="K1768" s="35" t="str">
        <f aca="false">IF($C1768="","",N($E1768)*IFERROR(INDEX(PRODUCTOS!$H$6:$H$105,MATCH($C1768,PRODUCTOS!$A$6:$A$105,0)),0))</f>
        <v/>
      </c>
      <c r="L1768" s="35" t="str">
        <f aca="false">IF($C1768="","",$J1768-$K1768)</f>
        <v/>
      </c>
      <c r="M1768" s="6"/>
      <c r="N1768" s="6"/>
      <c r="O1768" s="46" t="str">
        <f aca="false">IF($A1768="","",DATE(YEAR($A1768),MONTH($A1768),1))</f>
        <v/>
      </c>
    </row>
    <row r="1769" customFormat="false" ht="15" hidden="false" customHeight="false" outlineLevel="0" collapsed="false">
      <c r="A1769" s="44"/>
      <c r="B1769" s="6"/>
      <c r="C1769" s="6"/>
      <c r="D1769" s="8" t="str">
        <f aca="false">IF($C1769="","",IFERROR(INDEX(PRODUCTOS!$B$6:$B$105,MATCH($C1769,PRODUCTOS!$A$6:$A$105,0)),"¿Código?"))</f>
        <v/>
      </c>
      <c r="E1769" s="42"/>
      <c r="F1769" s="35" t="str">
        <f aca="false">IF($C1769="","",IFERROR(INDEX(PRODUCTOS!$D$6:$D$105,MATCH($C1769,PRODUCTOS!$A$6:$A$105,0)),0))</f>
        <v/>
      </c>
      <c r="G1769" s="40"/>
      <c r="H1769" s="35" t="str">
        <f aca="false">IF($C1769="","",N($E1769)*$F1769-N($G1769))</f>
        <v/>
      </c>
      <c r="I1769" s="35" t="str">
        <f aca="false">IF($C1769="","",$H1769-$H1769/(1+IFERROR(INDEX(PRODUCTOS!$E$6:$E$105,MATCH($C1769,PRODUCTOS!$A$6:$A$105,0)),IVA_VENTAS)))</f>
        <v/>
      </c>
      <c r="J1769" s="35" t="str">
        <f aca="false">IF($C1769="","",$H1769-$I1769)</f>
        <v/>
      </c>
      <c r="K1769" s="35" t="str">
        <f aca="false">IF($C1769="","",N($E1769)*IFERROR(INDEX(PRODUCTOS!$H$6:$H$105,MATCH($C1769,PRODUCTOS!$A$6:$A$105,0)),0))</f>
        <v/>
      </c>
      <c r="L1769" s="35" t="str">
        <f aca="false">IF($C1769="","",$J1769-$K1769)</f>
        <v/>
      </c>
      <c r="M1769" s="6"/>
      <c r="N1769" s="6"/>
      <c r="O1769" s="46" t="str">
        <f aca="false">IF($A1769="","",DATE(YEAR($A1769),MONTH($A1769),1))</f>
        <v/>
      </c>
    </row>
    <row r="1770" customFormat="false" ht="15" hidden="false" customHeight="false" outlineLevel="0" collapsed="false">
      <c r="A1770" s="44"/>
      <c r="B1770" s="6"/>
      <c r="C1770" s="6"/>
      <c r="D1770" s="8" t="str">
        <f aca="false">IF($C1770="","",IFERROR(INDEX(PRODUCTOS!$B$6:$B$105,MATCH($C1770,PRODUCTOS!$A$6:$A$105,0)),"¿Código?"))</f>
        <v/>
      </c>
      <c r="E1770" s="42"/>
      <c r="F1770" s="35" t="str">
        <f aca="false">IF($C1770="","",IFERROR(INDEX(PRODUCTOS!$D$6:$D$105,MATCH($C1770,PRODUCTOS!$A$6:$A$105,0)),0))</f>
        <v/>
      </c>
      <c r="G1770" s="40"/>
      <c r="H1770" s="35" t="str">
        <f aca="false">IF($C1770="","",N($E1770)*$F1770-N($G1770))</f>
        <v/>
      </c>
      <c r="I1770" s="35" t="str">
        <f aca="false">IF($C1770="","",$H1770-$H1770/(1+IFERROR(INDEX(PRODUCTOS!$E$6:$E$105,MATCH($C1770,PRODUCTOS!$A$6:$A$105,0)),IVA_VENTAS)))</f>
        <v/>
      </c>
      <c r="J1770" s="35" t="str">
        <f aca="false">IF($C1770="","",$H1770-$I1770)</f>
        <v/>
      </c>
      <c r="K1770" s="35" t="str">
        <f aca="false">IF($C1770="","",N($E1770)*IFERROR(INDEX(PRODUCTOS!$H$6:$H$105,MATCH($C1770,PRODUCTOS!$A$6:$A$105,0)),0))</f>
        <v/>
      </c>
      <c r="L1770" s="35" t="str">
        <f aca="false">IF($C1770="","",$J1770-$K1770)</f>
        <v/>
      </c>
      <c r="M1770" s="6"/>
      <c r="N1770" s="6"/>
      <c r="O1770" s="46" t="str">
        <f aca="false">IF($A1770="","",DATE(YEAR($A1770),MONTH($A1770),1))</f>
        <v/>
      </c>
    </row>
    <row r="1771" customFormat="false" ht="15" hidden="false" customHeight="false" outlineLevel="0" collapsed="false">
      <c r="A1771" s="44"/>
      <c r="B1771" s="6"/>
      <c r="C1771" s="6"/>
      <c r="D1771" s="8" t="str">
        <f aca="false">IF($C1771="","",IFERROR(INDEX(PRODUCTOS!$B$6:$B$105,MATCH($C1771,PRODUCTOS!$A$6:$A$105,0)),"¿Código?"))</f>
        <v/>
      </c>
      <c r="E1771" s="42"/>
      <c r="F1771" s="35" t="str">
        <f aca="false">IF($C1771="","",IFERROR(INDEX(PRODUCTOS!$D$6:$D$105,MATCH($C1771,PRODUCTOS!$A$6:$A$105,0)),0))</f>
        <v/>
      </c>
      <c r="G1771" s="40"/>
      <c r="H1771" s="35" t="str">
        <f aca="false">IF($C1771="","",N($E1771)*$F1771-N($G1771))</f>
        <v/>
      </c>
      <c r="I1771" s="35" t="str">
        <f aca="false">IF($C1771="","",$H1771-$H1771/(1+IFERROR(INDEX(PRODUCTOS!$E$6:$E$105,MATCH($C1771,PRODUCTOS!$A$6:$A$105,0)),IVA_VENTAS)))</f>
        <v/>
      </c>
      <c r="J1771" s="35" t="str">
        <f aca="false">IF($C1771="","",$H1771-$I1771)</f>
        <v/>
      </c>
      <c r="K1771" s="35" t="str">
        <f aca="false">IF($C1771="","",N($E1771)*IFERROR(INDEX(PRODUCTOS!$H$6:$H$105,MATCH($C1771,PRODUCTOS!$A$6:$A$105,0)),0))</f>
        <v/>
      </c>
      <c r="L1771" s="35" t="str">
        <f aca="false">IF($C1771="","",$J1771-$K1771)</f>
        <v/>
      </c>
      <c r="M1771" s="6"/>
      <c r="N1771" s="6"/>
      <c r="O1771" s="46" t="str">
        <f aca="false">IF($A1771="","",DATE(YEAR($A1771),MONTH($A1771),1))</f>
        <v/>
      </c>
    </row>
    <row r="1772" customFormat="false" ht="15" hidden="false" customHeight="false" outlineLevel="0" collapsed="false">
      <c r="A1772" s="44"/>
      <c r="B1772" s="6"/>
      <c r="C1772" s="6"/>
      <c r="D1772" s="8" t="str">
        <f aca="false">IF($C1772="","",IFERROR(INDEX(PRODUCTOS!$B$6:$B$105,MATCH($C1772,PRODUCTOS!$A$6:$A$105,0)),"¿Código?"))</f>
        <v/>
      </c>
      <c r="E1772" s="42"/>
      <c r="F1772" s="35" t="str">
        <f aca="false">IF($C1772="","",IFERROR(INDEX(PRODUCTOS!$D$6:$D$105,MATCH($C1772,PRODUCTOS!$A$6:$A$105,0)),0))</f>
        <v/>
      </c>
      <c r="G1772" s="40"/>
      <c r="H1772" s="35" t="str">
        <f aca="false">IF($C1772="","",N($E1772)*$F1772-N($G1772))</f>
        <v/>
      </c>
      <c r="I1772" s="35" t="str">
        <f aca="false">IF($C1772="","",$H1772-$H1772/(1+IFERROR(INDEX(PRODUCTOS!$E$6:$E$105,MATCH($C1772,PRODUCTOS!$A$6:$A$105,0)),IVA_VENTAS)))</f>
        <v/>
      </c>
      <c r="J1772" s="35" t="str">
        <f aca="false">IF($C1772="","",$H1772-$I1772)</f>
        <v/>
      </c>
      <c r="K1772" s="35" t="str">
        <f aca="false">IF($C1772="","",N($E1772)*IFERROR(INDEX(PRODUCTOS!$H$6:$H$105,MATCH($C1772,PRODUCTOS!$A$6:$A$105,0)),0))</f>
        <v/>
      </c>
      <c r="L1772" s="35" t="str">
        <f aca="false">IF($C1772="","",$J1772-$K1772)</f>
        <v/>
      </c>
      <c r="M1772" s="6"/>
      <c r="N1772" s="6"/>
      <c r="O1772" s="46" t="str">
        <f aca="false">IF($A1772="","",DATE(YEAR($A1772),MONTH($A1772),1))</f>
        <v/>
      </c>
    </row>
    <row r="1773" customFormat="false" ht="15" hidden="false" customHeight="false" outlineLevel="0" collapsed="false">
      <c r="A1773" s="44"/>
      <c r="B1773" s="6"/>
      <c r="C1773" s="6"/>
      <c r="D1773" s="8" t="str">
        <f aca="false">IF($C1773="","",IFERROR(INDEX(PRODUCTOS!$B$6:$B$105,MATCH($C1773,PRODUCTOS!$A$6:$A$105,0)),"¿Código?"))</f>
        <v/>
      </c>
      <c r="E1773" s="42"/>
      <c r="F1773" s="35" t="str">
        <f aca="false">IF($C1773="","",IFERROR(INDEX(PRODUCTOS!$D$6:$D$105,MATCH($C1773,PRODUCTOS!$A$6:$A$105,0)),0))</f>
        <v/>
      </c>
      <c r="G1773" s="40"/>
      <c r="H1773" s="35" t="str">
        <f aca="false">IF($C1773="","",N($E1773)*$F1773-N($G1773))</f>
        <v/>
      </c>
      <c r="I1773" s="35" t="str">
        <f aca="false">IF($C1773="","",$H1773-$H1773/(1+IFERROR(INDEX(PRODUCTOS!$E$6:$E$105,MATCH($C1773,PRODUCTOS!$A$6:$A$105,0)),IVA_VENTAS)))</f>
        <v/>
      </c>
      <c r="J1773" s="35" t="str">
        <f aca="false">IF($C1773="","",$H1773-$I1773)</f>
        <v/>
      </c>
      <c r="K1773" s="35" t="str">
        <f aca="false">IF($C1773="","",N($E1773)*IFERROR(INDEX(PRODUCTOS!$H$6:$H$105,MATCH($C1773,PRODUCTOS!$A$6:$A$105,0)),0))</f>
        <v/>
      </c>
      <c r="L1773" s="35" t="str">
        <f aca="false">IF($C1773="","",$J1773-$K1773)</f>
        <v/>
      </c>
      <c r="M1773" s="6"/>
      <c r="N1773" s="6"/>
      <c r="O1773" s="46" t="str">
        <f aca="false">IF($A1773="","",DATE(YEAR($A1773),MONTH($A1773),1))</f>
        <v/>
      </c>
    </row>
    <row r="1774" customFormat="false" ht="15" hidden="false" customHeight="false" outlineLevel="0" collapsed="false">
      <c r="A1774" s="44"/>
      <c r="B1774" s="6"/>
      <c r="C1774" s="6"/>
      <c r="D1774" s="8" t="str">
        <f aca="false">IF($C1774="","",IFERROR(INDEX(PRODUCTOS!$B$6:$B$105,MATCH($C1774,PRODUCTOS!$A$6:$A$105,0)),"¿Código?"))</f>
        <v/>
      </c>
      <c r="E1774" s="42"/>
      <c r="F1774" s="35" t="str">
        <f aca="false">IF($C1774="","",IFERROR(INDEX(PRODUCTOS!$D$6:$D$105,MATCH($C1774,PRODUCTOS!$A$6:$A$105,0)),0))</f>
        <v/>
      </c>
      <c r="G1774" s="40"/>
      <c r="H1774" s="35" t="str">
        <f aca="false">IF($C1774="","",N($E1774)*$F1774-N($G1774))</f>
        <v/>
      </c>
      <c r="I1774" s="35" t="str">
        <f aca="false">IF($C1774="","",$H1774-$H1774/(1+IFERROR(INDEX(PRODUCTOS!$E$6:$E$105,MATCH($C1774,PRODUCTOS!$A$6:$A$105,0)),IVA_VENTAS)))</f>
        <v/>
      </c>
      <c r="J1774" s="35" t="str">
        <f aca="false">IF($C1774="","",$H1774-$I1774)</f>
        <v/>
      </c>
      <c r="K1774" s="35" t="str">
        <f aca="false">IF($C1774="","",N($E1774)*IFERROR(INDEX(PRODUCTOS!$H$6:$H$105,MATCH($C1774,PRODUCTOS!$A$6:$A$105,0)),0))</f>
        <v/>
      </c>
      <c r="L1774" s="35" t="str">
        <f aca="false">IF($C1774="","",$J1774-$K1774)</f>
        <v/>
      </c>
      <c r="M1774" s="6"/>
      <c r="N1774" s="6"/>
      <c r="O1774" s="46" t="str">
        <f aca="false">IF($A1774="","",DATE(YEAR($A1774),MONTH($A1774),1))</f>
        <v/>
      </c>
    </row>
    <row r="1775" customFormat="false" ht="15" hidden="false" customHeight="false" outlineLevel="0" collapsed="false">
      <c r="A1775" s="44"/>
      <c r="B1775" s="6"/>
      <c r="C1775" s="6"/>
      <c r="D1775" s="8" t="str">
        <f aca="false">IF($C1775="","",IFERROR(INDEX(PRODUCTOS!$B$6:$B$105,MATCH($C1775,PRODUCTOS!$A$6:$A$105,0)),"¿Código?"))</f>
        <v/>
      </c>
      <c r="E1775" s="42"/>
      <c r="F1775" s="35" t="str">
        <f aca="false">IF($C1775="","",IFERROR(INDEX(PRODUCTOS!$D$6:$D$105,MATCH($C1775,PRODUCTOS!$A$6:$A$105,0)),0))</f>
        <v/>
      </c>
      <c r="G1775" s="40"/>
      <c r="H1775" s="35" t="str">
        <f aca="false">IF($C1775="","",N($E1775)*$F1775-N($G1775))</f>
        <v/>
      </c>
      <c r="I1775" s="35" t="str">
        <f aca="false">IF($C1775="","",$H1775-$H1775/(1+IFERROR(INDEX(PRODUCTOS!$E$6:$E$105,MATCH($C1775,PRODUCTOS!$A$6:$A$105,0)),IVA_VENTAS)))</f>
        <v/>
      </c>
      <c r="J1775" s="35" t="str">
        <f aca="false">IF($C1775="","",$H1775-$I1775)</f>
        <v/>
      </c>
      <c r="K1775" s="35" t="str">
        <f aca="false">IF($C1775="","",N($E1775)*IFERROR(INDEX(PRODUCTOS!$H$6:$H$105,MATCH($C1775,PRODUCTOS!$A$6:$A$105,0)),0))</f>
        <v/>
      </c>
      <c r="L1775" s="35" t="str">
        <f aca="false">IF($C1775="","",$J1775-$K1775)</f>
        <v/>
      </c>
      <c r="M1775" s="6"/>
      <c r="N1775" s="6"/>
      <c r="O1775" s="46" t="str">
        <f aca="false">IF($A1775="","",DATE(YEAR($A1775),MONTH($A1775),1))</f>
        <v/>
      </c>
    </row>
    <row r="1776" customFormat="false" ht="15" hidden="false" customHeight="false" outlineLevel="0" collapsed="false">
      <c r="A1776" s="44"/>
      <c r="B1776" s="6"/>
      <c r="C1776" s="6"/>
      <c r="D1776" s="8" t="str">
        <f aca="false">IF($C1776="","",IFERROR(INDEX(PRODUCTOS!$B$6:$B$105,MATCH($C1776,PRODUCTOS!$A$6:$A$105,0)),"¿Código?"))</f>
        <v/>
      </c>
      <c r="E1776" s="42"/>
      <c r="F1776" s="35" t="str">
        <f aca="false">IF($C1776="","",IFERROR(INDEX(PRODUCTOS!$D$6:$D$105,MATCH($C1776,PRODUCTOS!$A$6:$A$105,0)),0))</f>
        <v/>
      </c>
      <c r="G1776" s="40"/>
      <c r="H1776" s="35" t="str">
        <f aca="false">IF($C1776="","",N($E1776)*$F1776-N($G1776))</f>
        <v/>
      </c>
      <c r="I1776" s="35" t="str">
        <f aca="false">IF($C1776="","",$H1776-$H1776/(1+IFERROR(INDEX(PRODUCTOS!$E$6:$E$105,MATCH($C1776,PRODUCTOS!$A$6:$A$105,0)),IVA_VENTAS)))</f>
        <v/>
      </c>
      <c r="J1776" s="35" t="str">
        <f aca="false">IF($C1776="","",$H1776-$I1776)</f>
        <v/>
      </c>
      <c r="K1776" s="35" t="str">
        <f aca="false">IF($C1776="","",N($E1776)*IFERROR(INDEX(PRODUCTOS!$H$6:$H$105,MATCH($C1776,PRODUCTOS!$A$6:$A$105,0)),0))</f>
        <v/>
      </c>
      <c r="L1776" s="35" t="str">
        <f aca="false">IF($C1776="","",$J1776-$K1776)</f>
        <v/>
      </c>
      <c r="M1776" s="6"/>
      <c r="N1776" s="6"/>
      <c r="O1776" s="46" t="str">
        <f aca="false">IF($A1776="","",DATE(YEAR($A1776),MONTH($A1776),1))</f>
        <v/>
      </c>
    </row>
    <row r="1777" customFormat="false" ht="15" hidden="false" customHeight="false" outlineLevel="0" collapsed="false">
      <c r="A1777" s="44"/>
      <c r="B1777" s="6"/>
      <c r="C1777" s="6"/>
      <c r="D1777" s="8" t="str">
        <f aca="false">IF($C1777="","",IFERROR(INDEX(PRODUCTOS!$B$6:$B$105,MATCH($C1777,PRODUCTOS!$A$6:$A$105,0)),"¿Código?"))</f>
        <v/>
      </c>
      <c r="E1777" s="42"/>
      <c r="F1777" s="35" t="str">
        <f aca="false">IF($C1777="","",IFERROR(INDEX(PRODUCTOS!$D$6:$D$105,MATCH($C1777,PRODUCTOS!$A$6:$A$105,0)),0))</f>
        <v/>
      </c>
      <c r="G1777" s="40"/>
      <c r="H1777" s="35" t="str">
        <f aca="false">IF($C1777="","",N($E1777)*$F1777-N($G1777))</f>
        <v/>
      </c>
      <c r="I1777" s="35" t="str">
        <f aca="false">IF($C1777="","",$H1777-$H1777/(1+IFERROR(INDEX(PRODUCTOS!$E$6:$E$105,MATCH($C1777,PRODUCTOS!$A$6:$A$105,0)),IVA_VENTAS)))</f>
        <v/>
      </c>
      <c r="J1777" s="35" t="str">
        <f aca="false">IF($C1777="","",$H1777-$I1777)</f>
        <v/>
      </c>
      <c r="K1777" s="35" t="str">
        <f aca="false">IF($C1777="","",N($E1777)*IFERROR(INDEX(PRODUCTOS!$H$6:$H$105,MATCH($C1777,PRODUCTOS!$A$6:$A$105,0)),0))</f>
        <v/>
      </c>
      <c r="L1777" s="35" t="str">
        <f aca="false">IF($C1777="","",$J1777-$K1777)</f>
        <v/>
      </c>
      <c r="M1777" s="6"/>
      <c r="N1777" s="6"/>
      <c r="O1777" s="46" t="str">
        <f aca="false">IF($A1777="","",DATE(YEAR($A1777),MONTH($A1777),1))</f>
        <v/>
      </c>
    </row>
    <row r="1778" customFormat="false" ht="15" hidden="false" customHeight="false" outlineLevel="0" collapsed="false">
      <c r="A1778" s="44"/>
      <c r="B1778" s="6"/>
      <c r="C1778" s="6"/>
      <c r="D1778" s="8" t="str">
        <f aca="false">IF($C1778="","",IFERROR(INDEX(PRODUCTOS!$B$6:$B$105,MATCH($C1778,PRODUCTOS!$A$6:$A$105,0)),"¿Código?"))</f>
        <v/>
      </c>
      <c r="E1778" s="42"/>
      <c r="F1778" s="35" t="str">
        <f aca="false">IF($C1778="","",IFERROR(INDEX(PRODUCTOS!$D$6:$D$105,MATCH($C1778,PRODUCTOS!$A$6:$A$105,0)),0))</f>
        <v/>
      </c>
      <c r="G1778" s="40"/>
      <c r="H1778" s="35" t="str">
        <f aca="false">IF($C1778="","",N($E1778)*$F1778-N($G1778))</f>
        <v/>
      </c>
      <c r="I1778" s="35" t="str">
        <f aca="false">IF($C1778="","",$H1778-$H1778/(1+IFERROR(INDEX(PRODUCTOS!$E$6:$E$105,MATCH($C1778,PRODUCTOS!$A$6:$A$105,0)),IVA_VENTAS)))</f>
        <v/>
      </c>
      <c r="J1778" s="35" t="str">
        <f aca="false">IF($C1778="","",$H1778-$I1778)</f>
        <v/>
      </c>
      <c r="K1778" s="35" t="str">
        <f aca="false">IF($C1778="","",N($E1778)*IFERROR(INDEX(PRODUCTOS!$H$6:$H$105,MATCH($C1778,PRODUCTOS!$A$6:$A$105,0)),0))</f>
        <v/>
      </c>
      <c r="L1778" s="35" t="str">
        <f aca="false">IF($C1778="","",$J1778-$K1778)</f>
        <v/>
      </c>
      <c r="M1778" s="6"/>
      <c r="N1778" s="6"/>
      <c r="O1778" s="46" t="str">
        <f aca="false">IF($A1778="","",DATE(YEAR($A1778),MONTH($A1778),1))</f>
        <v/>
      </c>
    </row>
    <row r="1779" customFormat="false" ht="15" hidden="false" customHeight="false" outlineLevel="0" collapsed="false">
      <c r="A1779" s="44"/>
      <c r="B1779" s="6"/>
      <c r="C1779" s="6"/>
      <c r="D1779" s="8" t="str">
        <f aca="false">IF($C1779="","",IFERROR(INDEX(PRODUCTOS!$B$6:$B$105,MATCH($C1779,PRODUCTOS!$A$6:$A$105,0)),"¿Código?"))</f>
        <v/>
      </c>
      <c r="E1779" s="42"/>
      <c r="F1779" s="35" t="str">
        <f aca="false">IF($C1779="","",IFERROR(INDEX(PRODUCTOS!$D$6:$D$105,MATCH($C1779,PRODUCTOS!$A$6:$A$105,0)),0))</f>
        <v/>
      </c>
      <c r="G1779" s="40"/>
      <c r="H1779" s="35" t="str">
        <f aca="false">IF($C1779="","",N($E1779)*$F1779-N($G1779))</f>
        <v/>
      </c>
      <c r="I1779" s="35" t="str">
        <f aca="false">IF($C1779="","",$H1779-$H1779/(1+IFERROR(INDEX(PRODUCTOS!$E$6:$E$105,MATCH($C1779,PRODUCTOS!$A$6:$A$105,0)),IVA_VENTAS)))</f>
        <v/>
      </c>
      <c r="J1779" s="35" t="str">
        <f aca="false">IF($C1779="","",$H1779-$I1779)</f>
        <v/>
      </c>
      <c r="K1779" s="35" t="str">
        <f aca="false">IF($C1779="","",N($E1779)*IFERROR(INDEX(PRODUCTOS!$H$6:$H$105,MATCH($C1779,PRODUCTOS!$A$6:$A$105,0)),0))</f>
        <v/>
      </c>
      <c r="L1779" s="35" t="str">
        <f aca="false">IF($C1779="","",$J1779-$K1779)</f>
        <v/>
      </c>
      <c r="M1779" s="6"/>
      <c r="N1779" s="6"/>
      <c r="O1779" s="46" t="str">
        <f aca="false">IF($A1779="","",DATE(YEAR($A1779),MONTH($A1779),1))</f>
        <v/>
      </c>
    </row>
    <row r="1780" customFormat="false" ht="15" hidden="false" customHeight="false" outlineLevel="0" collapsed="false">
      <c r="A1780" s="44"/>
      <c r="B1780" s="6"/>
      <c r="C1780" s="6"/>
      <c r="D1780" s="8" t="str">
        <f aca="false">IF($C1780="","",IFERROR(INDEX(PRODUCTOS!$B$6:$B$105,MATCH($C1780,PRODUCTOS!$A$6:$A$105,0)),"¿Código?"))</f>
        <v/>
      </c>
      <c r="E1780" s="42"/>
      <c r="F1780" s="35" t="str">
        <f aca="false">IF($C1780="","",IFERROR(INDEX(PRODUCTOS!$D$6:$D$105,MATCH($C1780,PRODUCTOS!$A$6:$A$105,0)),0))</f>
        <v/>
      </c>
      <c r="G1780" s="40"/>
      <c r="H1780" s="35" t="str">
        <f aca="false">IF($C1780="","",N($E1780)*$F1780-N($G1780))</f>
        <v/>
      </c>
      <c r="I1780" s="35" t="str">
        <f aca="false">IF($C1780="","",$H1780-$H1780/(1+IFERROR(INDEX(PRODUCTOS!$E$6:$E$105,MATCH($C1780,PRODUCTOS!$A$6:$A$105,0)),IVA_VENTAS)))</f>
        <v/>
      </c>
      <c r="J1780" s="35" t="str">
        <f aca="false">IF($C1780="","",$H1780-$I1780)</f>
        <v/>
      </c>
      <c r="K1780" s="35" t="str">
        <f aca="false">IF($C1780="","",N($E1780)*IFERROR(INDEX(PRODUCTOS!$H$6:$H$105,MATCH($C1780,PRODUCTOS!$A$6:$A$105,0)),0))</f>
        <v/>
      </c>
      <c r="L1780" s="35" t="str">
        <f aca="false">IF($C1780="","",$J1780-$K1780)</f>
        <v/>
      </c>
      <c r="M1780" s="6"/>
      <c r="N1780" s="6"/>
      <c r="O1780" s="46" t="str">
        <f aca="false">IF($A1780="","",DATE(YEAR($A1780),MONTH($A1780),1))</f>
        <v/>
      </c>
    </row>
    <row r="1781" customFormat="false" ht="15" hidden="false" customHeight="false" outlineLevel="0" collapsed="false">
      <c r="A1781" s="44"/>
      <c r="B1781" s="6"/>
      <c r="C1781" s="6"/>
      <c r="D1781" s="8" t="str">
        <f aca="false">IF($C1781="","",IFERROR(INDEX(PRODUCTOS!$B$6:$B$105,MATCH($C1781,PRODUCTOS!$A$6:$A$105,0)),"¿Código?"))</f>
        <v/>
      </c>
      <c r="E1781" s="42"/>
      <c r="F1781" s="35" t="str">
        <f aca="false">IF($C1781="","",IFERROR(INDEX(PRODUCTOS!$D$6:$D$105,MATCH($C1781,PRODUCTOS!$A$6:$A$105,0)),0))</f>
        <v/>
      </c>
      <c r="G1781" s="40"/>
      <c r="H1781" s="35" t="str">
        <f aca="false">IF($C1781="","",N($E1781)*$F1781-N($G1781))</f>
        <v/>
      </c>
      <c r="I1781" s="35" t="str">
        <f aca="false">IF($C1781="","",$H1781-$H1781/(1+IFERROR(INDEX(PRODUCTOS!$E$6:$E$105,MATCH($C1781,PRODUCTOS!$A$6:$A$105,0)),IVA_VENTAS)))</f>
        <v/>
      </c>
      <c r="J1781" s="35" t="str">
        <f aca="false">IF($C1781="","",$H1781-$I1781)</f>
        <v/>
      </c>
      <c r="K1781" s="35" t="str">
        <f aca="false">IF($C1781="","",N($E1781)*IFERROR(INDEX(PRODUCTOS!$H$6:$H$105,MATCH($C1781,PRODUCTOS!$A$6:$A$105,0)),0))</f>
        <v/>
      </c>
      <c r="L1781" s="35" t="str">
        <f aca="false">IF($C1781="","",$J1781-$K1781)</f>
        <v/>
      </c>
      <c r="M1781" s="6"/>
      <c r="N1781" s="6"/>
      <c r="O1781" s="46" t="str">
        <f aca="false">IF($A1781="","",DATE(YEAR($A1781),MONTH($A1781),1))</f>
        <v/>
      </c>
    </row>
    <row r="1782" customFormat="false" ht="15" hidden="false" customHeight="false" outlineLevel="0" collapsed="false">
      <c r="A1782" s="44"/>
      <c r="B1782" s="6"/>
      <c r="C1782" s="6"/>
      <c r="D1782" s="8" t="str">
        <f aca="false">IF($C1782="","",IFERROR(INDEX(PRODUCTOS!$B$6:$B$105,MATCH($C1782,PRODUCTOS!$A$6:$A$105,0)),"¿Código?"))</f>
        <v/>
      </c>
      <c r="E1782" s="42"/>
      <c r="F1782" s="35" t="str">
        <f aca="false">IF($C1782="","",IFERROR(INDEX(PRODUCTOS!$D$6:$D$105,MATCH($C1782,PRODUCTOS!$A$6:$A$105,0)),0))</f>
        <v/>
      </c>
      <c r="G1782" s="40"/>
      <c r="H1782" s="35" t="str">
        <f aca="false">IF($C1782="","",N($E1782)*$F1782-N($G1782))</f>
        <v/>
      </c>
      <c r="I1782" s="35" t="str">
        <f aca="false">IF($C1782="","",$H1782-$H1782/(1+IFERROR(INDEX(PRODUCTOS!$E$6:$E$105,MATCH($C1782,PRODUCTOS!$A$6:$A$105,0)),IVA_VENTAS)))</f>
        <v/>
      </c>
      <c r="J1782" s="35" t="str">
        <f aca="false">IF($C1782="","",$H1782-$I1782)</f>
        <v/>
      </c>
      <c r="K1782" s="35" t="str">
        <f aca="false">IF($C1782="","",N($E1782)*IFERROR(INDEX(PRODUCTOS!$H$6:$H$105,MATCH($C1782,PRODUCTOS!$A$6:$A$105,0)),0))</f>
        <v/>
      </c>
      <c r="L1782" s="35" t="str">
        <f aca="false">IF($C1782="","",$J1782-$K1782)</f>
        <v/>
      </c>
      <c r="M1782" s="6"/>
      <c r="N1782" s="6"/>
      <c r="O1782" s="46" t="str">
        <f aca="false">IF($A1782="","",DATE(YEAR($A1782),MONTH($A1782),1))</f>
        <v/>
      </c>
    </row>
    <row r="1783" customFormat="false" ht="15" hidden="false" customHeight="false" outlineLevel="0" collapsed="false">
      <c r="A1783" s="44"/>
      <c r="B1783" s="6"/>
      <c r="C1783" s="6"/>
      <c r="D1783" s="8" t="str">
        <f aca="false">IF($C1783="","",IFERROR(INDEX(PRODUCTOS!$B$6:$B$105,MATCH($C1783,PRODUCTOS!$A$6:$A$105,0)),"¿Código?"))</f>
        <v/>
      </c>
      <c r="E1783" s="42"/>
      <c r="F1783" s="35" t="str">
        <f aca="false">IF($C1783="","",IFERROR(INDEX(PRODUCTOS!$D$6:$D$105,MATCH($C1783,PRODUCTOS!$A$6:$A$105,0)),0))</f>
        <v/>
      </c>
      <c r="G1783" s="40"/>
      <c r="H1783" s="35" t="str">
        <f aca="false">IF($C1783="","",N($E1783)*$F1783-N($G1783))</f>
        <v/>
      </c>
      <c r="I1783" s="35" t="str">
        <f aca="false">IF($C1783="","",$H1783-$H1783/(1+IFERROR(INDEX(PRODUCTOS!$E$6:$E$105,MATCH($C1783,PRODUCTOS!$A$6:$A$105,0)),IVA_VENTAS)))</f>
        <v/>
      </c>
      <c r="J1783" s="35" t="str">
        <f aca="false">IF($C1783="","",$H1783-$I1783)</f>
        <v/>
      </c>
      <c r="K1783" s="35" t="str">
        <f aca="false">IF($C1783="","",N($E1783)*IFERROR(INDEX(PRODUCTOS!$H$6:$H$105,MATCH($C1783,PRODUCTOS!$A$6:$A$105,0)),0))</f>
        <v/>
      </c>
      <c r="L1783" s="35" t="str">
        <f aca="false">IF($C1783="","",$J1783-$K1783)</f>
        <v/>
      </c>
      <c r="M1783" s="6"/>
      <c r="N1783" s="6"/>
      <c r="O1783" s="46" t="str">
        <f aca="false">IF($A1783="","",DATE(YEAR($A1783),MONTH($A1783),1))</f>
        <v/>
      </c>
    </row>
    <row r="1784" customFormat="false" ht="15" hidden="false" customHeight="false" outlineLevel="0" collapsed="false">
      <c r="A1784" s="44"/>
      <c r="B1784" s="6"/>
      <c r="C1784" s="6"/>
      <c r="D1784" s="8" t="str">
        <f aca="false">IF($C1784="","",IFERROR(INDEX(PRODUCTOS!$B$6:$B$105,MATCH($C1784,PRODUCTOS!$A$6:$A$105,0)),"¿Código?"))</f>
        <v/>
      </c>
      <c r="E1784" s="42"/>
      <c r="F1784" s="35" t="str">
        <f aca="false">IF($C1784="","",IFERROR(INDEX(PRODUCTOS!$D$6:$D$105,MATCH($C1784,PRODUCTOS!$A$6:$A$105,0)),0))</f>
        <v/>
      </c>
      <c r="G1784" s="40"/>
      <c r="H1784" s="35" t="str">
        <f aca="false">IF($C1784="","",N($E1784)*$F1784-N($G1784))</f>
        <v/>
      </c>
      <c r="I1784" s="35" t="str">
        <f aca="false">IF($C1784="","",$H1784-$H1784/(1+IFERROR(INDEX(PRODUCTOS!$E$6:$E$105,MATCH($C1784,PRODUCTOS!$A$6:$A$105,0)),IVA_VENTAS)))</f>
        <v/>
      </c>
      <c r="J1784" s="35" t="str">
        <f aca="false">IF($C1784="","",$H1784-$I1784)</f>
        <v/>
      </c>
      <c r="K1784" s="35" t="str">
        <f aca="false">IF($C1784="","",N($E1784)*IFERROR(INDEX(PRODUCTOS!$H$6:$H$105,MATCH($C1784,PRODUCTOS!$A$6:$A$105,0)),0))</f>
        <v/>
      </c>
      <c r="L1784" s="35" t="str">
        <f aca="false">IF($C1784="","",$J1784-$K1784)</f>
        <v/>
      </c>
      <c r="M1784" s="6"/>
      <c r="N1784" s="6"/>
      <c r="O1784" s="46" t="str">
        <f aca="false">IF($A1784="","",DATE(YEAR($A1784),MONTH($A1784),1))</f>
        <v/>
      </c>
    </row>
    <row r="1785" customFormat="false" ht="15" hidden="false" customHeight="false" outlineLevel="0" collapsed="false">
      <c r="A1785" s="44"/>
      <c r="B1785" s="6"/>
      <c r="C1785" s="6"/>
      <c r="D1785" s="8" t="str">
        <f aca="false">IF($C1785="","",IFERROR(INDEX(PRODUCTOS!$B$6:$B$105,MATCH($C1785,PRODUCTOS!$A$6:$A$105,0)),"¿Código?"))</f>
        <v/>
      </c>
      <c r="E1785" s="42"/>
      <c r="F1785" s="35" t="str">
        <f aca="false">IF($C1785="","",IFERROR(INDEX(PRODUCTOS!$D$6:$D$105,MATCH($C1785,PRODUCTOS!$A$6:$A$105,0)),0))</f>
        <v/>
      </c>
      <c r="G1785" s="40"/>
      <c r="H1785" s="35" t="str">
        <f aca="false">IF($C1785="","",N($E1785)*$F1785-N($G1785))</f>
        <v/>
      </c>
      <c r="I1785" s="35" t="str">
        <f aca="false">IF($C1785="","",$H1785-$H1785/(1+IFERROR(INDEX(PRODUCTOS!$E$6:$E$105,MATCH($C1785,PRODUCTOS!$A$6:$A$105,0)),IVA_VENTAS)))</f>
        <v/>
      </c>
      <c r="J1785" s="35" t="str">
        <f aca="false">IF($C1785="","",$H1785-$I1785)</f>
        <v/>
      </c>
      <c r="K1785" s="35" t="str">
        <f aca="false">IF($C1785="","",N($E1785)*IFERROR(INDEX(PRODUCTOS!$H$6:$H$105,MATCH($C1785,PRODUCTOS!$A$6:$A$105,0)),0))</f>
        <v/>
      </c>
      <c r="L1785" s="35" t="str">
        <f aca="false">IF($C1785="","",$J1785-$K1785)</f>
        <v/>
      </c>
      <c r="M1785" s="6"/>
      <c r="N1785" s="6"/>
      <c r="O1785" s="46" t="str">
        <f aca="false">IF($A1785="","",DATE(YEAR($A1785),MONTH($A1785),1))</f>
        <v/>
      </c>
    </row>
    <row r="1786" customFormat="false" ht="15" hidden="false" customHeight="false" outlineLevel="0" collapsed="false">
      <c r="A1786" s="44"/>
      <c r="B1786" s="6"/>
      <c r="C1786" s="6"/>
      <c r="D1786" s="8" t="str">
        <f aca="false">IF($C1786="","",IFERROR(INDEX(PRODUCTOS!$B$6:$B$105,MATCH($C1786,PRODUCTOS!$A$6:$A$105,0)),"¿Código?"))</f>
        <v/>
      </c>
      <c r="E1786" s="42"/>
      <c r="F1786" s="35" t="str">
        <f aca="false">IF($C1786="","",IFERROR(INDEX(PRODUCTOS!$D$6:$D$105,MATCH($C1786,PRODUCTOS!$A$6:$A$105,0)),0))</f>
        <v/>
      </c>
      <c r="G1786" s="40"/>
      <c r="H1786" s="35" t="str">
        <f aca="false">IF($C1786="","",N($E1786)*$F1786-N($G1786))</f>
        <v/>
      </c>
      <c r="I1786" s="35" t="str">
        <f aca="false">IF($C1786="","",$H1786-$H1786/(1+IFERROR(INDEX(PRODUCTOS!$E$6:$E$105,MATCH($C1786,PRODUCTOS!$A$6:$A$105,0)),IVA_VENTAS)))</f>
        <v/>
      </c>
      <c r="J1786" s="35" t="str">
        <f aca="false">IF($C1786="","",$H1786-$I1786)</f>
        <v/>
      </c>
      <c r="K1786" s="35" t="str">
        <f aca="false">IF($C1786="","",N($E1786)*IFERROR(INDEX(PRODUCTOS!$H$6:$H$105,MATCH($C1786,PRODUCTOS!$A$6:$A$105,0)),0))</f>
        <v/>
      </c>
      <c r="L1786" s="35" t="str">
        <f aca="false">IF($C1786="","",$J1786-$K1786)</f>
        <v/>
      </c>
      <c r="M1786" s="6"/>
      <c r="N1786" s="6"/>
      <c r="O1786" s="46" t="str">
        <f aca="false">IF($A1786="","",DATE(YEAR($A1786),MONTH($A1786),1))</f>
        <v/>
      </c>
    </row>
    <row r="1787" customFormat="false" ht="15" hidden="false" customHeight="false" outlineLevel="0" collapsed="false">
      <c r="A1787" s="44"/>
      <c r="B1787" s="6"/>
      <c r="C1787" s="6"/>
      <c r="D1787" s="8" t="str">
        <f aca="false">IF($C1787="","",IFERROR(INDEX(PRODUCTOS!$B$6:$B$105,MATCH($C1787,PRODUCTOS!$A$6:$A$105,0)),"¿Código?"))</f>
        <v/>
      </c>
      <c r="E1787" s="42"/>
      <c r="F1787" s="35" t="str">
        <f aca="false">IF($C1787="","",IFERROR(INDEX(PRODUCTOS!$D$6:$D$105,MATCH($C1787,PRODUCTOS!$A$6:$A$105,0)),0))</f>
        <v/>
      </c>
      <c r="G1787" s="40"/>
      <c r="H1787" s="35" t="str">
        <f aca="false">IF($C1787="","",N($E1787)*$F1787-N($G1787))</f>
        <v/>
      </c>
      <c r="I1787" s="35" t="str">
        <f aca="false">IF($C1787="","",$H1787-$H1787/(1+IFERROR(INDEX(PRODUCTOS!$E$6:$E$105,MATCH($C1787,PRODUCTOS!$A$6:$A$105,0)),IVA_VENTAS)))</f>
        <v/>
      </c>
      <c r="J1787" s="35" t="str">
        <f aca="false">IF($C1787="","",$H1787-$I1787)</f>
        <v/>
      </c>
      <c r="K1787" s="35" t="str">
        <f aca="false">IF($C1787="","",N($E1787)*IFERROR(INDEX(PRODUCTOS!$H$6:$H$105,MATCH($C1787,PRODUCTOS!$A$6:$A$105,0)),0))</f>
        <v/>
      </c>
      <c r="L1787" s="35" t="str">
        <f aca="false">IF($C1787="","",$J1787-$K1787)</f>
        <v/>
      </c>
      <c r="M1787" s="6"/>
      <c r="N1787" s="6"/>
      <c r="O1787" s="46" t="str">
        <f aca="false">IF($A1787="","",DATE(YEAR($A1787),MONTH($A1787),1))</f>
        <v/>
      </c>
    </row>
    <row r="1788" customFormat="false" ht="15" hidden="false" customHeight="false" outlineLevel="0" collapsed="false">
      <c r="A1788" s="44"/>
      <c r="B1788" s="6"/>
      <c r="C1788" s="6"/>
      <c r="D1788" s="8" t="str">
        <f aca="false">IF($C1788="","",IFERROR(INDEX(PRODUCTOS!$B$6:$B$105,MATCH($C1788,PRODUCTOS!$A$6:$A$105,0)),"¿Código?"))</f>
        <v/>
      </c>
      <c r="E1788" s="42"/>
      <c r="F1788" s="35" t="str">
        <f aca="false">IF($C1788="","",IFERROR(INDEX(PRODUCTOS!$D$6:$D$105,MATCH($C1788,PRODUCTOS!$A$6:$A$105,0)),0))</f>
        <v/>
      </c>
      <c r="G1788" s="40"/>
      <c r="H1788" s="35" t="str">
        <f aca="false">IF($C1788="","",N($E1788)*$F1788-N($G1788))</f>
        <v/>
      </c>
      <c r="I1788" s="35" t="str">
        <f aca="false">IF($C1788="","",$H1788-$H1788/(1+IFERROR(INDEX(PRODUCTOS!$E$6:$E$105,MATCH($C1788,PRODUCTOS!$A$6:$A$105,0)),IVA_VENTAS)))</f>
        <v/>
      </c>
      <c r="J1788" s="35" t="str">
        <f aca="false">IF($C1788="","",$H1788-$I1788)</f>
        <v/>
      </c>
      <c r="K1788" s="35" t="str">
        <f aca="false">IF($C1788="","",N($E1788)*IFERROR(INDEX(PRODUCTOS!$H$6:$H$105,MATCH($C1788,PRODUCTOS!$A$6:$A$105,0)),0))</f>
        <v/>
      </c>
      <c r="L1788" s="35" t="str">
        <f aca="false">IF($C1788="","",$J1788-$K1788)</f>
        <v/>
      </c>
      <c r="M1788" s="6"/>
      <c r="N1788" s="6"/>
      <c r="O1788" s="46" t="str">
        <f aca="false">IF($A1788="","",DATE(YEAR($A1788),MONTH($A1788),1))</f>
        <v/>
      </c>
    </row>
    <row r="1789" customFormat="false" ht="15" hidden="false" customHeight="false" outlineLevel="0" collapsed="false">
      <c r="A1789" s="44"/>
      <c r="B1789" s="6"/>
      <c r="C1789" s="6"/>
      <c r="D1789" s="8" t="str">
        <f aca="false">IF($C1789="","",IFERROR(INDEX(PRODUCTOS!$B$6:$B$105,MATCH($C1789,PRODUCTOS!$A$6:$A$105,0)),"¿Código?"))</f>
        <v/>
      </c>
      <c r="E1789" s="42"/>
      <c r="F1789" s="35" t="str">
        <f aca="false">IF($C1789="","",IFERROR(INDEX(PRODUCTOS!$D$6:$D$105,MATCH($C1789,PRODUCTOS!$A$6:$A$105,0)),0))</f>
        <v/>
      </c>
      <c r="G1789" s="40"/>
      <c r="H1789" s="35" t="str">
        <f aca="false">IF($C1789="","",N($E1789)*$F1789-N($G1789))</f>
        <v/>
      </c>
      <c r="I1789" s="35" t="str">
        <f aca="false">IF($C1789="","",$H1789-$H1789/(1+IFERROR(INDEX(PRODUCTOS!$E$6:$E$105,MATCH($C1789,PRODUCTOS!$A$6:$A$105,0)),IVA_VENTAS)))</f>
        <v/>
      </c>
      <c r="J1789" s="35" t="str">
        <f aca="false">IF($C1789="","",$H1789-$I1789)</f>
        <v/>
      </c>
      <c r="K1789" s="35" t="str">
        <f aca="false">IF($C1789="","",N($E1789)*IFERROR(INDEX(PRODUCTOS!$H$6:$H$105,MATCH($C1789,PRODUCTOS!$A$6:$A$105,0)),0))</f>
        <v/>
      </c>
      <c r="L1789" s="35" t="str">
        <f aca="false">IF($C1789="","",$J1789-$K1789)</f>
        <v/>
      </c>
      <c r="M1789" s="6"/>
      <c r="N1789" s="6"/>
      <c r="O1789" s="46" t="str">
        <f aca="false">IF($A1789="","",DATE(YEAR($A1789),MONTH($A1789),1))</f>
        <v/>
      </c>
    </row>
    <row r="1790" customFormat="false" ht="15" hidden="false" customHeight="false" outlineLevel="0" collapsed="false">
      <c r="A1790" s="44"/>
      <c r="B1790" s="6"/>
      <c r="C1790" s="6"/>
      <c r="D1790" s="8" t="str">
        <f aca="false">IF($C1790="","",IFERROR(INDEX(PRODUCTOS!$B$6:$B$105,MATCH($C1790,PRODUCTOS!$A$6:$A$105,0)),"¿Código?"))</f>
        <v/>
      </c>
      <c r="E1790" s="42"/>
      <c r="F1790" s="35" t="str">
        <f aca="false">IF($C1790="","",IFERROR(INDEX(PRODUCTOS!$D$6:$D$105,MATCH($C1790,PRODUCTOS!$A$6:$A$105,0)),0))</f>
        <v/>
      </c>
      <c r="G1790" s="40"/>
      <c r="H1790" s="35" t="str">
        <f aca="false">IF($C1790="","",N($E1790)*$F1790-N($G1790))</f>
        <v/>
      </c>
      <c r="I1790" s="35" t="str">
        <f aca="false">IF($C1790="","",$H1790-$H1790/(1+IFERROR(INDEX(PRODUCTOS!$E$6:$E$105,MATCH($C1790,PRODUCTOS!$A$6:$A$105,0)),IVA_VENTAS)))</f>
        <v/>
      </c>
      <c r="J1790" s="35" t="str">
        <f aca="false">IF($C1790="","",$H1790-$I1790)</f>
        <v/>
      </c>
      <c r="K1790" s="35" t="str">
        <f aca="false">IF($C1790="","",N($E1790)*IFERROR(INDEX(PRODUCTOS!$H$6:$H$105,MATCH($C1790,PRODUCTOS!$A$6:$A$105,0)),0))</f>
        <v/>
      </c>
      <c r="L1790" s="35" t="str">
        <f aca="false">IF($C1790="","",$J1790-$K1790)</f>
        <v/>
      </c>
      <c r="M1790" s="6"/>
      <c r="N1790" s="6"/>
      <c r="O1790" s="46" t="str">
        <f aca="false">IF($A1790="","",DATE(YEAR($A1790),MONTH($A1790),1))</f>
        <v/>
      </c>
    </row>
    <row r="1791" customFormat="false" ht="15" hidden="false" customHeight="false" outlineLevel="0" collapsed="false">
      <c r="A1791" s="44"/>
      <c r="B1791" s="6"/>
      <c r="C1791" s="6"/>
      <c r="D1791" s="8" t="str">
        <f aca="false">IF($C1791="","",IFERROR(INDEX(PRODUCTOS!$B$6:$B$105,MATCH($C1791,PRODUCTOS!$A$6:$A$105,0)),"¿Código?"))</f>
        <v/>
      </c>
      <c r="E1791" s="42"/>
      <c r="F1791" s="35" t="str">
        <f aca="false">IF($C1791="","",IFERROR(INDEX(PRODUCTOS!$D$6:$D$105,MATCH($C1791,PRODUCTOS!$A$6:$A$105,0)),0))</f>
        <v/>
      </c>
      <c r="G1791" s="40"/>
      <c r="H1791" s="35" t="str">
        <f aca="false">IF($C1791="","",N($E1791)*$F1791-N($G1791))</f>
        <v/>
      </c>
      <c r="I1791" s="35" t="str">
        <f aca="false">IF($C1791="","",$H1791-$H1791/(1+IFERROR(INDEX(PRODUCTOS!$E$6:$E$105,MATCH($C1791,PRODUCTOS!$A$6:$A$105,0)),IVA_VENTAS)))</f>
        <v/>
      </c>
      <c r="J1791" s="35" t="str">
        <f aca="false">IF($C1791="","",$H1791-$I1791)</f>
        <v/>
      </c>
      <c r="K1791" s="35" t="str">
        <f aca="false">IF($C1791="","",N($E1791)*IFERROR(INDEX(PRODUCTOS!$H$6:$H$105,MATCH($C1791,PRODUCTOS!$A$6:$A$105,0)),0))</f>
        <v/>
      </c>
      <c r="L1791" s="35" t="str">
        <f aca="false">IF($C1791="","",$J1791-$K1791)</f>
        <v/>
      </c>
      <c r="M1791" s="6"/>
      <c r="N1791" s="6"/>
      <c r="O1791" s="46" t="str">
        <f aca="false">IF($A1791="","",DATE(YEAR($A1791),MONTH($A1791),1))</f>
        <v/>
      </c>
    </row>
    <row r="1792" customFormat="false" ht="15" hidden="false" customHeight="false" outlineLevel="0" collapsed="false">
      <c r="A1792" s="44"/>
      <c r="B1792" s="6"/>
      <c r="C1792" s="6"/>
      <c r="D1792" s="8" t="str">
        <f aca="false">IF($C1792="","",IFERROR(INDEX(PRODUCTOS!$B$6:$B$105,MATCH($C1792,PRODUCTOS!$A$6:$A$105,0)),"¿Código?"))</f>
        <v/>
      </c>
      <c r="E1792" s="42"/>
      <c r="F1792" s="35" t="str">
        <f aca="false">IF($C1792="","",IFERROR(INDEX(PRODUCTOS!$D$6:$D$105,MATCH($C1792,PRODUCTOS!$A$6:$A$105,0)),0))</f>
        <v/>
      </c>
      <c r="G1792" s="40"/>
      <c r="H1792" s="35" t="str">
        <f aca="false">IF($C1792="","",N($E1792)*$F1792-N($G1792))</f>
        <v/>
      </c>
      <c r="I1792" s="35" t="str">
        <f aca="false">IF($C1792="","",$H1792-$H1792/(1+IFERROR(INDEX(PRODUCTOS!$E$6:$E$105,MATCH($C1792,PRODUCTOS!$A$6:$A$105,0)),IVA_VENTAS)))</f>
        <v/>
      </c>
      <c r="J1792" s="35" t="str">
        <f aca="false">IF($C1792="","",$H1792-$I1792)</f>
        <v/>
      </c>
      <c r="K1792" s="35" t="str">
        <f aca="false">IF($C1792="","",N($E1792)*IFERROR(INDEX(PRODUCTOS!$H$6:$H$105,MATCH($C1792,PRODUCTOS!$A$6:$A$105,0)),0))</f>
        <v/>
      </c>
      <c r="L1792" s="35" t="str">
        <f aca="false">IF($C1792="","",$J1792-$K1792)</f>
        <v/>
      </c>
      <c r="M1792" s="6"/>
      <c r="N1792" s="6"/>
      <c r="O1792" s="46" t="str">
        <f aca="false">IF($A1792="","",DATE(YEAR($A1792),MONTH($A1792),1))</f>
        <v/>
      </c>
    </row>
    <row r="1793" customFormat="false" ht="15" hidden="false" customHeight="false" outlineLevel="0" collapsed="false">
      <c r="A1793" s="44"/>
      <c r="B1793" s="6"/>
      <c r="C1793" s="6"/>
      <c r="D1793" s="8" t="str">
        <f aca="false">IF($C1793="","",IFERROR(INDEX(PRODUCTOS!$B$6:$B$105,MATCH($C1793,PRODUCTOS!$A$6:$A$105,0)),"¿Código?"))</f>
        <v/>
      </c>
      <c r="E1793" s="42"/>
      <c r="F1793" s="35" t="str">
        <f aca="false">IF($C1793="","",IFERROR(INDEX(PRODUCTOS!$D$6:$D$105,MATCH($C1793,PRODUCTOS!$A$6:$A$105,0)),0))</f>
        <v/>
      </c>
      <c r="G1793" s="40"/>
      <c r="H1793" s="35" t="str">
        <f aca="false">IF($C1793="","",N($E1793)*$F1793-N($G1793))</f>
        <v/>
      </c>
      <c r="I1793" s="35" t="str">
        <f aca="false">IF($C1793="","",$H1793-$H1793/(1+IFERROR(INDEX(PRODUCTOS!$E$6:$E$105,MATCH($C1793,PRODUCTOS!$A$6:$A$105,0)),IVA_VENTAS)))</f>
        <v/>
      </c>
      <c r="J1793" s="35" t="str">
        <f aca="false">IF($C1793="","",$H1793-$I1793)</f>
        <v/>
      </c>
      <c r="K1793" s="35" t="str">
        <f aca="false">IF($C1793="","",N($E1793)*IFERROR(INDEX(PRODUCTOS!$H$6:$H$105,MATCH($C1793,PRODUCTOS!$A$6:$A$105,0)),0))</f>
        <v/>
      </c>
      <c r="L1793" s="35" t="str">
        <f aca="false">IF($C1793="","",$J1793-$K1793)</f>
        <v/>
      </c>
      <c r="M1793" s="6"/>
      <c r="N1793" s="6"/>
      <c r="O1793" s="46" t="str">
        <f aca="false">IF($A1793="","",DATE(YEAR($A1793),MONTH($A1793),1))</f>
        <v/>
      </c>
    </row>
    <row r="1794" customFormat="false" ht="15" hidden="false" customHeight="false" outlineLevel="0" collapsed="false">
      <c r="A1794" s="44"/>
      <c r="B1794" s="6"/>
      <c r="C1794" s="6"/>
      <c r="D1794" s="8" t="str">
        <f aca="false">IF($C1794="","",IFERROR(INDEX(PRODUCTOS!$B$6:$B$105,MATCH($C1794,PRODUCTOS!$A$6:$A$105,0)),"¿Código?"))</f>
        <v/>
      </c>
      <c r="E1794" s="42"/>
      <c r="F1794" s="35" t="str">
        <f aca="false">IF($C1794="","",IFERROR(INDEX(PRODUCTOS!$D$6:$D$105,MATCH($C1794,PRODUCTOS!$A$6:$A$105,0)),0))</f>
        <v/>
      </c>
      <c r="G1794" s="40"/>
      <c r="H1794" s="35" t="str">
        <f aca="false">IF($C1794="","",N($E1794)*$F1794-N($G1794))</f>
        <v/>
      </c>
      <c r="I1794" s="35" t="str">
        <f aca="false">IF($C1794="","",$H1794-$H1794/(1+IFERROR(INDEX(PRODUCTOS!$E$6:$E$105,MATCH($C1794,PRODUCTOS!$A$6:$A$105,0)),IVA_VENTAS)))</f>
        <v/>
      </c>
      <c r="J1794" s="35" t="str">
        <f aca="false">IF($C1794="","",$H1794-$I1794)</f>
        <v/>
      </c>
      <c r="K1794" s="35" t="str">
        <f aca="false">IF($C1794="","",N($E1794)*IFERROR(INDEX(PRODUCTOS!$H$6:$H$105,MATCH($C1794,PRODUCTOS!$A$6:$A$105,0)),0))</f>
        <v/>
      </c>
      <c r="L1794" s="35" t="str">
        <f aca="false">IF($C1794="","",$J1794-$K1794)</f>
        <v/>
      </c>
      <c r="M1794" s="6"/>
      <c r="N1794" s="6"/>
      <c r="O1794" s="46" t="str">
        <f aca="false">IF($A1794="","",DATE(YEAR($A1794),MONTH($A1794),1))</f>
        <v/>
      </c>
    </row>
    <row r="1795" customFormat="false" ht="15" hidden="false" customHeight="false" outlineLevel="0" collapsed="false">
      <c r="A1795" s="44"/>
      <c r="B1795" s="6"/>
      <c r="C1795" s="6"/>
      <c r="D1795" s="8" t="str">
        <f aca="false">IF($C1795="","",IFERROR(INDEX(PRODUCTOS!$B$6:$B$105,MATCH($C1795,PRODUCTOS!$A$6:$A$105,0)),"¿Código?"))</f>
        <v/>
      </c>
      <c r="E1795" s="42"/>
      <c r="F1795" s="35" t="str">
        <f aca="false">IF($C1795="","",IFERROR(INDEX(PRODUCTOS!$D$6:$D$105,MATCH($C1795,PRODUCTOS!$A$6:$A$105,0)),0))</f>
        <v/>
      </c>
      <c r="G1795" s="40"/>
      <c r="H1795" s="35" t="str">
        <f aca="false">IF($C1795="","",N($E1795)*$F1795-N($G1795))</f>
        <v/>
      </c>
      <c r="I1795" s="35" t="str">
        <f aca="false">IF($C1795="","",$H1795-$H1795/(1+IFERROR(INDEX(PRODUCTOS!$E$6:$E$105,MATCH($C1795,PRODUCTOS!$A$6:$A$105,0)),IVA_VENTAS)))</f>
        <v/>
      </c>
      <c r="J1795" s="35" t="str">
        <f aca="false">IF($C1795="","",$H1795-$I1795)</f>
        <v/>
      </c>
      <c r="K1795" s="35" t="str">
        <f aca="false">IF($C1795="","",N($E1795)*IFERROR(INDEX(PRODUCTOS!$H$6:$H$105,MATCH($C1795,PRODUCTOS!$A$6:$A$105,0)),0))</f>
        <v/>
      </c>
      <c r="L1795" s="35" t="str">
        <f aca="false">IF($C1795="","",$J1795-$K1795)</f>
        <v/>
      </c>
      <c r="M1795" s="6"/>
      <c r="N1795" s="6"/>
      <c r="O1795" s="46" t="str">
        <f aca="false">IF($A1795="","",DATE(YEAR($A1795),MONTH($A1795),1))</f>
        <v/>
      </c>
    </row>
    <row r="1796" customFormat="false" ht="15" hidden="false" customHeight="false" outlineLevel="0" collapsed="false">
      <c r="A1796" s="44"/>
      <c r="B1796" s="6"/>
      <c r="C1796" s="6"/>
      <c r="D1796" s="8" t="str">
        <f aca="false">IF($C1796="","",IFERROR(INDEX(PRODUCTOS!$B$6:$B$105,MATCH($C1796,PRODUCTOS!$A$6:$A$105,0)),"¿Código?"))</f>
        <v/>
      </c>
      <c r="E1796" s="42"/>
      <c r="F1796" s="35" t="str">
        <f aca="false">IF($C1796="","",IFERROR(INDEX(PRODUCTOS!$D$6:$D$105,MATCH($C1796,PRODUCTOS!$A$6:$A$105,0)),0))</f>
        <v/>
      </c>
      <c r="G1796" s="40"/>
      <c r="H1796" s="35" t="str">
        <f aca="false">IF($C1796="","",N($E1796)*$F1796-N($G1796))</f>
        <v/>
      </c>
      <c r="I1796" s="35" t="str">
        <f aca="false">IF($C1796="","",$H1796-$H1796/(1+IFERROR(INDEX(PRODUCTOS!$E$6:$E$105,MATCH($C1796,PRODUCTOS!$A$6:$A$105,0)),IVA_VENTAS)))</f>
        <v/>
      </c>
      <c r="J1796" s="35" t="str">
        <f aca="false">IF($C1796="","",$H1796-$I1796)</f>
        <v/>
      </c>
      <c r="K1796" s="35" t="str">
        <f aca="false">IF($C1796="","",N($E1796)*IFERROR(INDEX(PRODUCTOS!$H$6:$H$105,MATCH($C1796,PRODUCTOS!$A$6:$A$105,0)),0))</f>
        <v/>
      </c>
      <c r="L1796" s="35" t="str">
        <f aca="false">IF($C1796="","",$J1796-$K1796)</f>
        <v/>
      </c>
      <c r="M1796" s="6"/>
      <c r="N1796" s="6"/>
      <c r="O1796" s="46" t="str">
        <f aca="false">IF($A1796="","",DATE(YEAR($A1796),MONTH($A1796),1))</f>
        <v/>
      </c>
    </row>
    <row r="1797" customFormat="false" ht="15" hidden="false" customHeight="false" outlineLevel="0" collapsed="false">
      <c r="A1797" s="44"/>
      <c r="B1797" s="6"/>
      <c r="C1797" s="6"/>
      <c r="D1797" s="8" t="str">
        <f aca="false">IF($C1797="","",IFERROR(INDEX(PRODUCTOS!$B$6:$B$105,MATCH($C1797,PRODUCTOS!$A$6:$A$105,0)),"¿Código?"))</f>
        <v/>
      </c>
      <c r="E1797" s="42"/>
      <c r="F1797" s="35" t="str">
        <f aca="false">IF($C1797="","",IFERROR(INDEX(PRODUCTOS!$D$6:$D$105,MATCH($C1797,PRODUCTOS!$A$6:$A$105,0)),0))</f>
        <v/>
      </c>
      <c r="G1797" s="40"/>
      <c r="H1797" s="35" t="str">
        <f aca="false">IF($C1797="","",N($E1797)*$F1797-N($G1797))</f>
        <v/>
      </c>
      <c r="I1797" s="35" t="str">
        <f aca="false">IF($C1797="","",$H1797-$H1797/(1+IFERROR(INDEX(PRODUCTOS!$E$6:$E$105,MATCH($C1797,PRODUCTOS!$A$6:$A$105,0)),IVA_VENTAS)))</f>
        <v/>
      </c>
      <c r="J1797" s="35" t="str">
        <f aca="false">IF($C1797="","",$H1797-$I1797)</f>
        <v/>
      </c>
      <c r="K1797" s="35" t="str">
        <f aca="false">IF($C1797="","",N($E1797)*IFERROR(INDEX(PRODUCTOS!$H$6:$H$105,MATCH($C1797,PRODUCTOS!$A$6:$A$105,0)),0))</f>
        <v/>
      </c>
      <c r="L1797" s="35" t="str">
        <f aca="false">IF($C1797="","",$J1797-$K1797)</f>
        <v/>
      </c>
      <c r="M1797" s="6"/>
      <c r="N1797" s="6"/>
      <c r="O1797" s="46" t="str">
        <f aca="false">IF($A1797="","",DATE(YEAR($A1797),MONTH($A1797),1))</f>
        <v/>
      </c>
    </row>
    <row r="1798" customFormat="false" ht="15" hidden="false" customHeight="false" outlineLevel="0" collapsed="false">
      <c r="A1798" s="44"/>
      <c r="B1798" s="6"/>
      <c r="C1798" s="6"/>
      <c r="D1798" s="8" t="str">
        <f aca="false">IF($C1798="","",IFERROR(INDEX(PRODUCTOS!$B$6:$B$105,MATCH($C1798,PRODUCTOS!$A$6:$A$105,0)),"¿Código?"))</f>
        <v/>
      </c>
      <c r="E1798" s="42"/>
      <c r="F1798" s="35" t="str">
        <f aca="false">IF($C1798="","",IFERROR(INDEX(PRODUCTOS!$D$6:$D$105,MATCH($C1798,PRODUCTOS!$A$6:$A$105,0)),0))</f>
        <v/>
      </c>
      <c r="G1798" s="40"/>
      <c r="H1798" s="35" t="str">
        <f aca="false">IF($C1798="","",N($E1798)*$F1798-N($G1798))</f>
        <v/>
      </c>
      <c r="I1798" s="35" t="str">
        <f aca="false">IF($C1798="","",$H1798-$H1798/(1+IFERROR(INDEX(PRODUCTOS!$E$6:$E$105,MATCH($C1798,PRODUCTOS!$A$6:$A$105,0)),IVA_VENTAS)))</f>
        <v/>
      </c>
      <c r="J1798" s="35" t="str">
        <f aca="false">IF($C1798="","",$H1798-$I1798)</f>
        <v/>
      </c>
      <c r="K1798" s="35" t="str">
        <f aca="false">IF($C1798="","",N($E1798)*IFERROR(INDEX(PRODUCTOS!$H$6:$H$105,MATCH($C1798,PRODUCTOS!$A$6:$A$105,0)),0))</f>
        <v/>
      </c>
      <c r="L1798" s="35" t="str">
        <f aca="false">IF($C1798="","",$J1798-$K1798)</f>
        <v/>
      </c>
      <c r="M1798" s="6"/>
      <c r="N1798" s="6"/>
      <c r="O1798" s="46" t="str">
        <f aca="false">IF($A1798="","",DATE(YEAR($A1798),MONTH($A1798),1))</f>
        <v/>
      </c>
    </row>
    <row r="1799" customFormat="false" ht="15" hidden="false" customHeight="false" outlineLevel="0" collapsed="false">
      <c r="A1799" s="44"/>
      <c r="B1799" s="6"/>
      <c r="C1799" s="6"/>
      <c r="D1799" s="8" t="str">
        <f aca="false">IF($C1799="","",IFERROR(INDEX(PRODUCTOS!$B$6:$B$105,MATCH($C1799,PRODUCTOS!$A$6:$A$105,0)),"¿Código?"))</f>
        <v/>
      </c>
      <c r="E1799" s="42"/>
      <c r="F1799" s="35" t="str">
        <f aca="false">IF($C1799="","",IFERROR(INDEX(PRODUCTOS!$D$6:$D$105,MATCH($C1799,PRODUCTOS!$A$6:$A$105,0)),0))</f>
        <v/>
      </c>
      <c r="G1799" s="40"/>
      <c r="H1799" s="35" t="str">
        <f aca="false">IF($C1799="","",N($E1799)*$F1799-N($G1799))</f>
        <v/>
      </c>
      <c r="I1799" s="35" t="str">
        <f aca="false">IF($C1799="","",$H1799-$H1799/(1+IFERROR(INDEX(PRODUCTOS!$E$6:$E$105,MATCH($C1799,PRODUCTOS!$A$6:$A$105,0)),IVA_VENTAS)))</f>
        <v/>
      </c>
      <c r="J1799" s="35" t="str">
        <f aca="false">IF($C1799="","",$H1799-$I1799)</f>
        <v/>
      </c>
      <c r="K1799" s="35" t="str">
        <f aca="false">IF($C1799="","",N($E1799)*IFERROR(INDEX(PRODUCTOS!$H$6:$H$105,MATCH($C1799,PRODUCTOS!$A$6:$A$105,0)),0))</f>
        <v/>
      </c>
      <c r="L1799" s="35" t="str">
        <f aca="false">IF($C1799="","",$J1799-$K1799)</f>
        <v/>
      </c>
      <c r="M1799" s="6"/>
      <c r="N1799" s="6"/>
      <c r="O1799" s="46" t="str">
        <f aca="false">IF($A1799="","",DATE(YEAR($A1799),MONTH($A1799),1))</f>
        <v/>
      </c>
    </row>
    <row r="1800" customFormat="false" ht="15" hidden="false" customHeight="false" outlineLevel="0" collapsed="false">
      <c r="A1800" s="44"/>
      <c r="B1800" s="6"/>
      <c r="C1800" s="6"/>
      <c r="D1800" s="8" t="str">
        <f aca="false">IF($C1800="","",IFERROR(INDEX(PRODUCTOS!$B$6:$B$105,MATCH($C1800,PRODUCTOS!$A$6:$A$105,0)),"¿Código?"))</f>
        <v/>
      </c>
      <c r="E1800" s="42"/>
      <c r="F1800" s="35" t="str">
        <f aca="false">IF($C1800="","",IFERROR(INDEX(PRODUCTOS!$D$6:$D$105,MATCH($C1800,PRODUCTOS!$A$6:$A$105,0)),0))</f>
        <v/>
      </c>
      <c r="G1800" s="40"/>
      <c r="H1800" s="35" t="str">
        <f aca="false">IF($C1800="","",N($E1800)*$F1800-N($G1800))</f>
        <v/>
      </c>
      <c r="I1800" s="35" t="str">
        <f aca="false">IF($C1800="","",$H1800-$H1800/(1+IFERROR(INDEX(PRODUCTOS!$E$6:$E$105,MATCH($C1800,PRODUCTOS!$A$6:$A$105,0)),IVA_VENTAS)))</f>
        <v/>
      </c>
      <c r="J1800" s="35" t="str">
        <f aca="false">IF($C1800="","",$H1800-$I1800)</f>
        <v/>
      </c>
      <c r="K1800" s="35" t="str">
        <f aca="false">IF($C1800="","",N($E1800)*IFERROR(INDEX(PRODUCTOS!$H$6:$H$105,MATCH($C1800,PRODUCTOS!$A$6:$A$105,0)),0))</f>
        <v/>
      </c>
      <c r="L1800" s="35" t="str">
        <f aca="false">IF($C1800="","",$J1800-$K1800)</f>
        <v/>
      </c>
      <c r="M1800" s="6"/>
      <c r="N1800" s="6"/>
      <c r="O1800" s="46" t="str">
        <f aca="false">IF($A1800="","",DATE(YEAR($A1800),MONTH($A1800),1))</f>
        <v/>
      </c>
    </row>
    <row r="1801" customFormat="false" ht="15" hidden="false" customHeight="false" outlineLevel="0" collapsed="false">
      <c r="A1801" s="44"/>
      <c r="B1801" s="6"/>
      <c r="C1801" s="6"/>
      <c r="D1801" s="8" t="str">
        <f aca="false">IF($C1801="","",IFERROR(INDEX(PRODUCTOS!$B$6:$B$105,MATCH($C1801,PRODUCTOS!$A$6:$A$105,0)),"¿Código?"))</f>
        <v/>
      </c>
      <c r="E1801" s="42"/>
      <c r="F1801" s="35" t="str">
        <f aca="false">IF($C1801="","",IFERROR(INDEX(PRODUCTOS!$D$6:$D$105,MATCH($C1801,PRODUCTOS!$A$6:$A$105,0)),0))</f>
        <v/>
      </c>
      <c r="G1801" s="40"/>
      <c r="H1801" s="35" t="str">
        <f aca="false">IF($C1801="","",N($E1801)*$F1801-N($G1801))</f>
        <v/>
      </c>
      <c r="I1801" s="35" t="str">
        <f aca="false">IF($C1801="","",$H1801-$H1801/(1+IFERROR(INDEX(PRODUCTOS!$E$6:$E$105,MATCH($C1801,PRODUCTOS!$A$6:$A$105,0)),IVA_VENTAS)))</f>
        <v/>
      </c>
      <c r="J1801" s="35" t="str">
        <f aca="false">IF($C1801="","",$H1801-$I1801)</f>
        <v/>
      </c>
      <c r="K1801" s="35" t="str">
        <f aca="false">IF($C1801="","",N($E1801)*IFERROR(INDEX(PRODUCTOS!$H$6:$H$105,MATCH($C1801,PRODUCTOS!$A$6:$A$105,0)),0))</f>
        <v/>
      </c>
      <c r="L1801" s="35" t="str">
        <f aca="false">IF($C1801="","",$J1801-$K1801)</f>
        <v/>
      </c>
      <c r="M1801" s="6"/>
      <c r="N1801" s="6"/>
      <c r="O1801" s="46" t="str">
        <f aca="false">IF($A1801="","",DATE(YEAR($A1801),MONTH($A1801),1))</f>
        <v/>
      </c>
    </row>
    <row r="1802" customFormat="false" ht="15" hidden="false" customHeight="false" outlineLevel="0" collapsed="false">
      <c r="A1802" s="44"/>
      <c r="B1802" s="6"/>
      <c r="C1802" s="6"/>
      <c r="D1802" s="8" t="str">
        <f aca="false">IF($C1802="","",IFERROR(INDEX(PRODUCTOS!$B$6:$B$105,MATCH($C1802,PRODUCTOS!$A$6:$A$105,0)),"¿Código?"))</f>
        <v/>
      </c>
      <c r="E1802" s="42"/>
      <c r="F1802" s="35" t="str">
        <f aca="false">IF($C1802="","",IFERROR(INDEX(PRODUCTOS!$D$6:$D$105,MATCH($C1802,PRODUCTOS!$A$6:$A$105,0)),0))</f>
        <v/>
      </c>
      <c r="G1802" s="40"/>
      <c r="H1802" s="35" t="str">
        <f aca="false">IF($C1802="","",N($E1802)*$F1802-N($G1802))</f>
        <v/>
      </c>
      <c r="I1802" s="35" t="str">
        <f aca="false">IF($C1802="","",$H1802-$H1802/(1+IFERROR(INDEX(PRODUCTOS!$E$6:$E$105,MATCH($C1802,PRODUCTOS!$A$6:$A$105,0)),IVA_VENTAS)))</f>
        <v/>
      </c>
      <c r="J1802" s="35" t="str">
        <f aca="false">IF($C1802="","",$H1802-$I1802)</f>
        <v/>
      </c>
      <c r="K1802" s="35" t="str">
        <f aca="false">IF($C1802="","",N($E1802)*IFERROR(INDEX(PRODUCTOS!$H$6:$H$105,MATCH($C1802,PRODUCTOS!$A$6:$A$105,0)),0))</f>
        <v/>
      </c>
      <c r="L1802" s="35" t="str">
        <f aca="false">IF($C1802="","",$J1802-$K1802)</f>
        <v/>
      </c>
      <c r="M1802" s="6"/>
      <c r="N1802" s="6"/>
      <c r="O1802" s="46" t="str">
        <f aca="false">IF($A1802="","",DATE(YEAR($A1802),MONTH($A1802),1))</f>
        <v/>
      </c>
    </row>
    <row r="1803" customFormat="false" ht="15" hidden="false" customHeight="false" outlineLevel="0" collapsed="false">
      <c r="A1803" s="44"/>
      <c r="B1803" s="6"/>
      <c r="C1803" s="6"/>
      <c r="D1803" s="8" t="str">
        <f aca="false">IF($C1803="","",IFERROR(INDEX(PRODUCTOS!$B$6:$B$105,MATCH($C1803,PRODUCTOS!$A$6:$A$105,0)),"¿Código?"))</f>
        <v/>
      </c>
      <c r="E1803" s="42"/>
      <c r="F1803" s="35" t="str">
        <f aca="false">IF($C1803="","",IFERROR(INDEX(PRODUCTOS!$D$6:$D$105,MATCH($C1803,PRODUCTOS!$A$6:$A$105,0)),0))</f>
        <v/>
      </c>
      <c r="G1803" s="40"/>
      <c r="H1803" s="35" t="str">
        <f aca="false">IF($C1803="","",N($E1803)*$F1803-N($G1803))</f>
        <v/>
      </c>
      <c r="I1803" s="35" t="str">
        <f aca="false">IF($C1803="","",$H1803-$H1803/(1+IFERROR(INDEX(PRODUCTOS!$E$6:$E$105,MATCH($C1803,PRODUCTOS!$A$6:$A$105,0)),IVA_VENTAS)))</f>
        <v/>
      </c>
      <c r="J1803" s="35" t="str">
        <f aca="false">IF($C1803="","",$H1803-$I1803)</f>
        <v/>
      </c>
      <c r="K1803" s="35" t="str">
        <f aca="false">IF($C1803="","",N($E1803)*IFERROR(INDEX(PRODUCTOS!$H$6:$H$105,MATCH($C1803,PRODUCTOS!$A$6:$A$105,0)),0))</f>
        <v/>
      </c>
      <c r="L1803" s="35" t="str">
        <f aca="false">IF($C1803="","",$J1803-$K1803)</f>
        <v/>
      </c>
      <c r="M1803" s="6"/>
      <c r="N1803" s="6"/>
      <c r="O1803" s="46" t="str">
        <f aca="false">IF($A1803="","",DATE(YEAR($A1803),MONTH($A1803),1))</f>
        <v/>
      </c>
    </row>
    <row r="1804" customFormat="false" ht="15" hidden="false" customHeight="false" outlineLevel="0" collapsed="false">
      <c r="A1804" s="44"/>
      <c r="B1804" s="6"/>
      <c r="C1804" s="6"/>
      <c r="D1804" s="8" t="str">
        <f aca="false">IF($C1804="","",IFERROR(INDEX(PRODUCTOS!$B$6:$B$105,MATCH($C1804,PRODUCTOS!$A$6:$A$105,0)),"¿Código?"))</f>
        <v/>
      </c>
      <c r="E1804" s="42"/>
      <c r="F1804" s="35" t="str">
        <f aca="false">IF($C1804="","",IFERROR(INDEX(PRODUCTOS!$D$6:$D$105,MATCH($C1804,PRODUCTOS!$A$6:$A$105,0)),0))</f>
        <v/>
      </c>
      <c r="G1804" s="40"/>
      <c r="H1804" s="35" t="str">
        <f aca="false">IF($C1804="","",N($E1804)*$F1804-N($G1804))</f>
        <v/>
      </c>
      <c r="I1804" s="35" t="str">
        <f aca="false">IF($C1804="","",$H1804-$H1804/(1+IFERROR(INDEX(PRODUCTOS!$E$6:$E$105,MATCH($C1804,PRODUCTOS!$A$6:$A$105,0)),IVA_VENTAS)))</f>
        <v/>
      </c>
      <c r="J1804" s="35" t="str">
        <f aca="false">IF($C1804="","",$H1804-$I1804)</f>
        <v/>
      </c>
      <c r="K1804" s="35" t="str">
        <f aca="false">IF($C1804="","",N($E1804)*IFERROR(INDEX(PRODUCTOS!$H$6:$H$105,MATCH($C1804,PRODUCTOS!$A$6:$A$105,0)),0))</f>
        <v/>
      </c>
      <c r="L1804" s="35" t="str">
        <f aca="false">IF($C1804="","",$J1804-$K1804)</f>
        <v/>
      </c>
      <c r="M1804" s="6"/>
      <c r="N1804" s="6"/>
      <c r="O1804" s="46" t="str">
        <f aca="false">IF($A1804="","",DATE(YEAR($A1804),MONTH($A1804),1))</f>
        <v/>
      </c>
    </row>
    <row r="1805" customFormat="false" ht="15" hidden="false" customHeight="false" outlineLevel="0" collapsed="false">
      <c r="A1805" s="44"/>
      <c r="B1805" s="6"/>
      <c r="C1805" s="6"/>
      <c r="D1805" s="8" t="str">
        <f aca="false">IF($C1805="","",IFERROR(INDEX(PRODUCTOS!$B$6:$B$105,MATCH($C1805,PRODUCTOS!$A$6:$A$105,0)),"¿Código?"))</f>
        <v/>
      </c>
      <c r="E1805" s="42"/>
      <c r="F1805" s="35" t="str">
        <f aca="false">IF($C1805="","",IFERROR(INDEX(PRODUCTOS!$D$6:$D$105,MATCH($C1805,PRODUCTOS!$A$6:$A$105,0)),0))</f>
        <v/>
      </c>
      <c r="G1805" s="40"/>
      <c r="H1805" s="35" t="str">
        <f aca="false">IF($C1805="","",N($E1805)*$F1805-N($G1805))</f>
        <v/>
      </c>
      <c r="I1805" s="35" t="str">
        <f aca="false">IF($C1805="","",$H1805-$H1805/(1+IFERROR(INDEX(PRODUCTOS!$E$6:$E$105,MATCH($C1805,PRODUCTOS!$A$6:$A$105,0)),IVA_VENTAS)))</f>
        <v/>
      </c>
      <c r="J1805" s="35" t="str">
        <f aca="false">IF($C1805="","",$H1805-$I1805)</f>
        <v/>
      </c>
      <c r="K1805" s="35" t="str">
        <f aca="false">IF($C1805="","",N($E1805)*IFERROR(INDEX(PRODUCTOS!$H$6:$H$105,MATCH($C1805,PRODUCTOS!$A$6:$A$105,0)),0))</f>
        <v/>
      </c>
      <c r="L1805" s="35" t="str">
        <f aca="false">IF($C1805="","",$J1805-$K1805)</f>
        <v/>
      </c>
      <c r="M1805" s="6"/>
      <c r="N1805" s="6"/>
      <c r="O1805" s="46" t="str">
        <f aca="false">IF($A1805="","",DATE(YEAR($A1805),MONTH($A1805),1))</f>
        <v/>
      </c>
    </row>
    <row r="1806" customFormat="false" ht="15" hidden="false" customHeight="false" outlineLevel="0" collapsed="false">
      <c r="A1806" s="44"/>
      <c r="B1806" s="6"/>
      <c r="C1806" s="6"/>
      <c r="D1806" s="8" t="str">
        <f aca="false">IF($C1806="","",IFERROR(INDEX(PRODUCTOS!$B$6:$B$105,MATCH($C1806,PRODUCTOS!$A$6:$A$105,0)),"¿Código?"))</f>
        <v/>
      </c>
      <c r="E1806" s="42"/>
      <c r="F1806" s="35" t="str">
        <f aca="false">IF($C1806="","",IFERROR(INDEX(PRODUCTOS!$D$6:$D$105,MATCH($C1806,PRODUCTOS!$A$6:$A$105,0)),0))</f>
        <v/>
      </c>
      <c r="G1806" s="40"/>
      <c r="H1806" s="35" t="str">
        <f aca="false">IF($C1806="","",N($E1806)*$F1806-N($G1806))</f>
        <v/>
      </c>
      <c r="I1806" s="35" t="str">
        <f aca="false">IF($C1806="","",$H1806-$H1806/(1+IFERROR(INDEX(PRODUCTOS!$E$6:$E$105,MATCH($C1806,PRODUCTOS!$A$6:$A$105,0)),IVA_VENTAS)))</f>
        <v/>
      </c>
      <c r="J1806" s="35" t="str">
        <f aca="false">IF($C1806="","",$H1806-$I1806)</f>
        <v/>
      </c>
      <c r="K1806" s="35" t="str">
        <f aca="false">IF($C1806="","",N($E1806)*IFERROR(INDEX(PRODUCTOS!$H$6:$H$105,MATCH($C1806,PRODUCTOS!$A$6:$A$105,0)),0))</f>
        <v/>
      </c>
      <c r="L1806" s="35" t="str">
        <f aca="false">IF($C1806="","",$J1806-$K1806)</f>
        <v/>
      </c>
      <c r="M1806" s="6"/>
      <c r="N1806" s="6"/>
      <c r="O1806" s="46" t="str">
        <f aca="false">IF($A1806="","",DATE(YEAR($A1806),MONTH($A1806),1))</f>
        <v/>
      </c>
    </row>
    <row r="1807" customFormat="false" ht="15" hidden="false" customHeight="false" outlineLevel="0" collapsed="false">
      <c r="A1807" s="44"/>
      <c r="B1807" s="6"/>
      <c r="C1807" s="6"/>
      <c r="D1807" s="8" t="str">
        <f aca="false">IF($C1807="","",IFERROR(INDEX(PRODUCTOS!$B$6:$B$105,MATCH($C1807,PRODUCTOS!$A$6:$A$105,0)),"¿Código?"))</f>
        <v/>
      </c>
      <c r="E1807" s="42"/>
      <c r="F1807" s="35" t="str">
        <f aca="false">IF($C1807="","",IFERROR(INDEX(PRODUCTOS!$D$6:$D$105,MATCH($C1807,PRODUCTOS!$A$6:$A$105,0)),0))</f>
        <v/>
      </c>
      <c r="G1807" s="40"/>
      <c r="H1807" s="35" t="str">
        <f aca="false">IF($C1807="","",N($E1807)*$F1807-N($G1807))</f>
        <v/>
      </c>
      <c r="I1807" s="35" t="str">
        <f aca="false">IF($C1807="","",$H1807-$H1807/(1+IFERROR(INDEX(PRODUCTOS!$E$6:$E$105,MATCH($C1807,PRODUCTOS!$A$6:$A$105,0)),IVA_VENTAS)))</f>
        <v/>
      </c>
      <c r="J1807" s="35" t="str">
        <f aca="false">IF($C1807="","",$H1807-$I1807)</f>
        <v/>
      </c>
      <c r="K1807" s="35" t="str">
        <f aca="false">IF($C1807="","",N($E1807)*IFERROR(INDEX(PRODUCTOS!$H$6:$H$105,MATCH($C1807,PRODUCTOS!$A$6:$A$105,0)),0))</f>
        <v/>
      </c>
      <c r="L1807" s="35" t="str">
        <f aca="false">IF($C1807="","",$J1807-$K1807)</f>
        <v/>
      </c>
      <c r="M1807" s="6"/>
      <c r="N1807" s="6"/>
      <c r="O1807" s="46" t="str">
        <f aca="false">IF($A1807="","",DATE(YEAR($A1807),MONTH($A1807),1))</f>
        <v/>
      </c>
    </row>
    <row r="1808" customFormat="false" ht="15" hidden="false" customHeight="false" outlineLevel="0" collapsed="false">
      <c r="A1808" s="44"/>
      <c r="B1808" s="6"/>
      <c r="C1808" s="6"/>
      <c r="D1808" s="8" t="str">
        <f aca="false">IF($C1808="","",IFERROR(INDEX(PRODUCTOS!$B$6:$B$105,MATCH($C1808,PRODUCTOS!$A$6:$A$105,0)),"¿Código?"))</f>
        <v/>
      </c>
      <c r="E1808" s="42"/>
      <c r="F1808" s="35" t="str">
        <f aca="false">IF($C1808="","",IFERROR(INDEX(PRODUCTOS!$D$6:$D$105,MATCH($C1808,PRODUCTOS!$A$6:$A$105,0)),0))</f>
        <v/>
      </c>
      <c r="G1808" s="40"/>
      <c r="H1808" s="35" t="str">
        <f aca="false">IF($C1808="","",N($E1808)*$F1808-N($G1808))</f>
        <v/>
      </c>
      <c r="I1808" s="35" t="str">
        <f aca="false">IF($C1808="","",$H1808-$H1808/(1+IFERROR(INDEX(PRODUCTOS!$E$6:$E$105,MATCH($C1808,PRODUCTOS!$A$6:$A$105,0)),IVA_VENTAS)))</f>
        <v/>
      </c>
      <c r="J1808" s="35" t="str">
        <f aca="false">IF($C1808="","",$H1808-$I1808)</f>
        <v/>
      </c>
      <c r="K1808" s="35" t="str">
        <f aca="false">IF($C1808="","",N($E1808)*IFERROR(INDEX(PRODUCTOS!$H$6:$H$105,MATCH($C1808,PRODUCTOS!$A$6:$A$105,0)),0))</f>
        <v/>
      </c>
      <c r="L1808" s="35" t="str">
        <f aca="false">IF($C1808="","",$J1808-$K1808)</f>
        <v/>
      </c>
      <c r="M1808" s="6"/>
      <c r="N1808" s="6"/>
      <c r="O1808" s="46" t="str">
        <f aca="false">IF($A1808="","",DATE(YEAR($A1808),MONTH($A1808),1))</f>
        <v/>
      </c>
    </row>
    <row r="1809" customFormat="false" ht="15" hidden="false" customHeight="false" outlineLevel="0" collapsed="false">
      <c r="A1809" s="44"/>
      <c r="B1809" s="6"/>
      <c r="C1809" s="6"/>
      <c r="D1809" s="8" t="str">
        <f aca="false">IF($C1809="","",IFERROR(INDEX(PRODUCTOS!$B$6:$B$105,MATCH($C1809,PRODUCTOS!$A$6:$A$105,0)),"¿Código?"))</f>
        <v/>
      </c>
      <c r="E1809" s="42"/>
      <c r="F1809" s="35" t="str">
        <f aca="false">IF($C1809="","",IFERROR(INDEX(PRODUCTOS!$D$6:$D$105,MATCH($C1809,PRODUCTOS!$A$6:$A$105,0)),0))</f>
        <v/>
      </c>
      <c r="G1809" s="40"/>
      <c r="H1809" s="35" t="str">
        <f aca="false">IF($C1809="","",N($E1809)*$F1809-N($G1809))</f>
        <v/>
      </c>
      <c r="I1809" s="35" t="str">
        <f aca="false">IF($C1809="","",$H1809-$H1809/(1+IFERROR(INDEX(PRODUCTOS!$E$6:$E$105,MATCH($C1809,PRODUCTOS!$A$6:$A$105,0)),IVA_VENTAS)))</f>
        <v/>
      </c>
      <c r="J1809" s="35" t="str">
        <f aca="false">IF($C1809="","",$H1809-$I1809)</f>
        <v/>
      </c>
      <c r="K1809" s="35" t="str">
        <f aca="false">IF($C1809="","",N($E1809)*IFERROR(INDEX(PRODUCTOS!$H$6:$H$105,MATCH($C1809,PRODUCTOS!$A$6:$A$105,0)),0))</f>
        <v/>
      </c>
      <c r="L1809" s="35" t="str">
        <f aca="false">IF($C1809="","",$J1809-$K1809)</f>
        <v/>
      </c>
      <c r="M1809" s="6"/>
      <c r="N1809" s="6"/>
      <c r="O1809" s="46" t="str">
        <f aca="false">IF($A1809="","",DATE(YEAR($A1809),MONTH($A1809),1))</f>
        <v/>
      </c>
    </row>
    <row r="1810" customFormat="false" ht="15" hidden="false" customHeight="false" outlineLevel="0" collapsed="false">
      <c r="A1810" s="44"/>
      <c r="B1810" s="6"/>
      <c r="C1810" s="6"/>
      <c r="D1810" s="8" t="str">
        <f aca="false">IF($C1810="","",IFERROR(INDEX(PRODUCTOS!$B$6:$B$105,MATCH($C1810,PRODUCTOS!$A$6:$A$105,0)),"¿Código?"))</f>
        <v/>
      </c>
      <c r="E1810" s="42"/>
      <c r="F1810" s="35" t="str">
        <f aca="false">IF($C1810="","",IFERROR(INDEX(PRODUCTOS!$D$6:$D$105,MATCH($C1810,PRODUCTOS!$A$6:$A$105,0)),0))</f>
        <v/>
      </c>
      <c r="G1810" s="40"/>
      <c r="H1810" s="35" t="str">
        <f aca="false">IF($C1810="","",N($E1810)*$F1810-N($G1810))</f>
        <v/>
      </c>
      <c r="I1810" s="35" t="str">
        <f aca="false">IF($C1810="","",$H1810-$H1810/(1+IFERROR(INDEX(PRODUCTOS!$E$6:$E$105,MATCH($C1810,PRODUCTOS!$A$6:$A$105,0)),IVA_VENTAS)))</f>
        <v/>
      </c>
      <c r="J1810" s="35" t="str">
        <f aca="false">IF($C1810="","",$H1810-$I1810)</f>
        <v/>
      </c>
      <c r="K1810" s="35" t="str">
        <f aca="false">IF($C1810="","",N($E1810)*IFERROR(INDEX(PRODUCTOS!$H$6:$H$105,MATCH($C1810,PRODUCTOS!$A$6:$A$105,0)),0))</f>
        <v/>
      </c>
      <c r="L1810" s="35" t="str">
        <f aca="false">IF($C1810="","",$J1810-$K1810)</f>
        <v/>
      </c>
      <c r="M1810" s="6"/>
      <c r="N1810" s="6"/>
      <c r="O1810" s="46" t="str">
        <f aca="false">IF($A1810="","",DATE(YEAR($A1810),MONTH($A1810),1))</f>
        <v/>
      </c>
    </row>
    <row r="1811" customFormat="false" ht="15" hidden="false" customHeight="false" outlineLevel="0" collapsed="false">
      <c r="A1811" s="44"/>
      <c r="B1811" s="6"/>
      <c r="C1811" s="6"/>
      <c r="D1811" s="8" t="str">
        <f aca="false">IF($C1811="","",IFERROR(INDEX(PRODUCTOS!$B$6:$B$105,MATCH($C1811,PRODUCTOS!$A$6:$A$105,0)),"¿Código?"))</f>
        <v/>
      </c>
      <c r="E1811" s="42"/>
      <c r="F1811" s="35" t="str">
        <f aca="false">IF($C1811="","",IFERROR(INDEX(PRODUCTOS!$D$6:$D$105,MATCH($C1811,PRODUCTOS!$A$6:$A$105,0)),0))</f>
        <v/>
      </c>
      <c r="G1811" s="40"/>
      <c r="H1811" s="35" t="str">
        <f aca="false">IF($C1811="","",N($E1811)*$F1811-N($G1811))</f>
        <v/>
      </c>
      <c r="I1811" s="35" t="str">
        <f aca="false">IF($C1811="","",$H1811-$H1811/(1+IFERROR(INDEX(PRODUCTOS!$E$6:$E$105,MATCH($C1811,PRODUCTOS!$A$6:$A$105,0)),IVA_VENTAS)))</f>
        <v/>
      </c>
      <c r="J1811" s="35" t="str">
        <f aca="false">IF($C1811="","",$H1811-$I1811)</f>
        <v/>
      </c>
      <c r="K1811" s="35" t="str">
        <f aca="false">IF($C1811="","",N($E1811)*IFERROR(INDEX(PRODUCTOS!$H$6:$H$105,MATCH($C1811,PRODUCTOS!$A$6:$A$105,0)),0))</f>
        <v/>
      </c>
      <c r="L1811" s="35" t="str">
        <f aca="false">IF($C1811="","",$J1811-$K1811)</f>
        <v/>
      </c>
      <c r="M1811" s="6"/>
      <c r="N1811" s="6"/>
      <c r="O1811" s="46" t="str">
        <f aca="false">IF($A1811="","",DATE(YEAR($A1811),MONTH($A1811),1))</f>
        <v/>
      </c>
    </row>
    <row r="1812" customFormat="false" ht="15" hidden="false" customHeight="false" outlineLevel="0" collapsed="false">
      <c r="A1812" s="44"/>
      <c r="B1812" s="6"/>
      <c r="C1812" s="6"/>
      <c r="D1812" s="8" t="str">
        <f aca="false">IF($C1812="","",IFERROR(INDEX(PRODUCTOS!$B$6:$B$105,MATCH($C1812,PRODUCTOS!$A$6:$A$105,0)),"¿Código?"))</f>
        <v/>
      </c>
      <c r="E1812" s="42"/>
      <c r="F1812" s="35" t="str">
        <f aca="false">IF($C1812="","",IFERROR(INDEX(PRODUCTOS!$D$6:$D$105,MATCH($C1812,PRODUCTOS!$A$6:$A$105,0)),0))</f>
        <v/>
      </c>
      <c r="G1812" s="40"/>
      <c r="H1812" s="35" t="str">
        <f aca="false">IF($C1812="","",N($E1812)*$F1812-N($G1812))</f>
        <v/>
      </c>
      <c r="I1812" s="35" t="str">
        <f aca="false">IF($C1812="","",$H1812-$H1812/(1+IFERROR(INDEX(PRODUCTOS!$E$6:$E$105,MATCH($C1812,PRODUCTOS!$A$6:$A$105,0)),IVA_VENTAS)))</f>
        <v/>
      </c>
      <c r="J1812" s="35" t="str">
        <f aca="false">IF($C1812="","",$H1812-$I1812)</f>
        <v/>
      </c>
      <c r="K1812" s="35" t="str">
        <f aca="false">IF($C1812="","",N($E1812)*IFERROR(INDEX(PRODUCTOS!$H$6:$H$105,MATCH($C1812,PRODUCTOS!$A$6:$A$105,0)),0))</f>
        <v/>
      </c>
      <c r="L1812" s="35" t="str">
        <f aca="false">IF($C1812="","",$J1812-$K1812)</f>
        <v/>
      </c>
      <c r="M1812" s="6"/>
      <c r="N1812" s="6"/>
      <c r="O1812" s="46" t="str">
        <f aca="false">IF($A1812="","",DATE(YEAR($A1812),MONTH($A1812),1))</f>
        <v/>
      </c>
    </row>
    <row r="1813" customFormat="false" ht="15" hidden="false" customHeight="false" outlineLevel="0" collapsed="false">
      <c r="A1813" s="44"/>
      <c r="B1813" s="6"/>
      <c r="C1813" s="6"/>
      <c r="D1813" s="8" t="str">
        <f aca="false">IF($C1813="","",IFERROR(INDEX(PRODUCTOS!$B$6:$B$105,MATCH($C1813,PRODUCTOS!$A$6:$A$105,0)),"¿Código?"))</f>
        <v/>
      </c>
      <c r="E1813" s="42"/>
      <c r="F1813" s="35" t="str">
        <f aca="false">IF($C1813="","",IFERROR(INDEX(PRODUCTOS!$D$6:$D$105,MATCH($C1813,PRODUCTOS!$A$6:$A$105,0)),0))</f>
        <v/>
      </c>
      <c r="G1813" s="40"/>
      <c r="H1813" s="35" t="str">
        <f aca="false">IF($C1813="","",N($E1813)*$F1813-N($G1813))</f>
        <v/>
      </c>
      <c r="I1813" s="35" t="str">
        <f aca="false">IF($C1813="","",$H1813-$H1813/(1+IFERROR(INDEX(PRODUCTOS!$E$6:$E$105,MATCH($C1813,PRODUCTOS!$A$6:$A$105,0)),IVA_VENTAS)))</f>
        <v/>
      </c>
      <c r="J1813" s="35" t="str">
        <f aca="false">IF($C1813="","",$H1813-$I1813)</f>
        <v/>
      </c>
      <c r="K1813" s="35" t="str">
        <f aca="false">IF($C1813="","",N($E1813)*IFERROR(INDEX(PRODUCTOS!$H$6:$H$105,MATCH($C1813,PRODUCTOS!$A$6:$A$105,0)),0))</f>
        <v/>
      </c>
      <c r="L1813" s="35" t="str">
        <f aca="false">IF($C1813="","",$J1813-$K1813)</f>
        <v/>
      </c>
      <c r="M1813" s="6"/>
      <c r="N1813" s="6"/>
      <c r="O1813" s="46" t="str">
        <f aca="false">IF($A1813="","",DATE(YEAR($A1813),MONTH($A1813),1))</f>
        <v/>
      </c>
    </row>
    <row r="1814" customFormat="false" ht="15" hidden="false" customHeight="false" outlineLevel="0" collapsed="false">
      <c r="A1814" s="44"/>
      <c r="B1814" s="6"/>
      <c r="C1814" s="6"/>
      <c r="D1814" s="8" t="str">
        <f aca="false">IF($C1814="","",IFERROR(INDEX(PRODUCTOS!$B$6:$B$105,MATCH($C1814,PRODUCTOS!$A$6:$A$105,0)),"¿Código?"))</f>
        <v/>
      </c>
      <c r="E1814" s="42"/>
      <c r="F1814" s="35" t="str">
        <f aca="false">IF($C1814="","",IFERROR(INDEX(PRODUCTOS!$D$6:$D$105,MATCH($C1814,PRODUCTOS!$A$6:$A$105,0)),0))</f>
        <v/>
      </c>
      <c r="G1814" s="40"/>
      <c r="H1814" s="35" t="str">
        <f aca="false">IF($C1814="","",N($E1814)*$F1814-N($G1814))</f>
        <v/>
      </c>
      <c r="I1814" s="35" t="str">
        <f aca="false">IF($C1814="","",$H1814-$H1814/(1+IFERROR(INDEX(PRODUCTOS!$E$6:$E$105,MATCH($C1814,PRODUCTOS!$A$6:$A$105,0)),IVA_VENTAS)))</f>
        <v/>
      </c>
      <c r="J1814" s="35" t="str">
        <f aca="false">IF($C1814="","",$H1814-$I1814)</f>
        <v/>
      </c>
      <c r="K1814" s="35" t="str">
        <f aca="false">IF($C1814="","",N($E1814)*IFERROR(INDEX(PRODUCTOS!$H$6:$H$105,MATCH($C1814,PRODUCTOS!$A$6:$A$105,0)),0))</f>
        <v/>
      </c>
      <c r="L1814" s="35" t="str">
        <f aca="false">IF($C1814="","",$J1814-$K1814)</f>
        <v/>
      </c>
      <c r="M1814" s="6"/>
      <c r="N1814" s="6"/>
      <c r="O1814" s="46" t="str">
        <f aca="false">IF($A1814="","",DATE(YEAR($A1814),MONTH($A1814),1))</f>
        <v/>
      </c>
    </row>
    <row r="1815" customFormat="false" ht="15" hidden="false" customHeight="false" outlineLevel="0" collapsed="false">
      <c r="A1815" s="44"/>
      <c r="B1815" s="6"/>
      <c r="C1815" s="6"/>
      <c r="D1815" s="8" t="str">
        <f aca="false">IF($C1815="","",IFERROR(INDEX(PRODUCTOS!$B$6:$B$105,MATCH($C1815,PRODUCTOS!$A$6:$A$105,0)),"¿Código?"))</f>
        <v/>
      </c>
      <c r="E1815" s="42"/>
      <c r="F1815" s="35" t="str">
        <f aca="false">IF($C1815="","",IFERROR(INDEX(PRODUCTOS!$D$6:$D$105,MATCH($C1815,PRODUCTOS!$A$6:$A$105,0)),0))</f>
        <v/>
      </c>
      <c r="G1815" s="40"/>
      <c r="H1815" s="35" t="str">
        <f aca="false">IF($C1815="","",N($E1815)*$F1815-N($G1815))</f>
        <v/>
      </c>
      <c r="I1815" s="35" t="str">
        <f aca="false">IF($C1815="","",$H1815-$H1815/(1+IFERROR(INDEX(PRODUCTOS!$E$6:$E$105,MATCH($C1815,PRODUCTOS!$A$6:$A$105,0)),IVA_VENTAS)))</f>
        <v/>
      </c>
      <c r="J1815" s="35" t="str">
        <f aca="false">IF($C1815="","",$H1815-$I1815)</f>
        <v/>
      </c>
      <c r="K1815" s="35" t="str">
        <f aca="false">IF($C1815="","",N($E1815)*IFERROR(INDEX(PRODUCTOS!$H$6:$H$105,MATCH($C1815,PRODUCTOS!$A$6:$A$105,0)),0))</f>
        <v/>
      </c>
      <c r="L1815" s="35" t="str">
        <f aca="false">IF($C1815="","",$J1815-$K1815)</f>
        <v/>
      </c>
      <c r="M1815" s="6"/>
      <c r="N1815" s="6"/>
      <c r="O1815" s="46" t="str">
        <f aca="false">IF($A1815="","",DATE(YEAR($A1815),MONTH($A1815),1))</f>
        <v/>
      </c>
    </row>
    <row r="1816" customFormat="false" ht="15" hidden="false" customHeight="false" outlineLevel="0" collapsed="false">
      <c r="A1816" s="44"/>
      <c r="B1816" s="6"/>
      <c r="C1816" s="6"/>
      <c r="D1816" s="8" t="str">
        <f aca="false">IF($C1816="","",IFERROR(INDEX(PRODUCTOS!$B$6:$B$105,MATCH($C1816,PRODUCTOS!$A$6:$A$105,0)),"¿Código?"))</f>
        <v/>
      </c>
      <c r="E1816" s="42"/>
      <c r="F1816" s="35" t="str">
        <f aca="false">IF($C1816="","",IFERROR(INDEX(PRODUCTOS!$D$6:$D$105,MATCH($C1816,PRODUCTOS!$A$6:$A$105,0)),0))</f>
        <v/>
      </c>
      <c r="G1816" s="40"/>
      <c r="H1816" s="35" t="str">
        <f aca="false">IF($C1816="","",N($E1816)*$F1816-N($G1816))</f>
        <v/>
      </c>
      <c r="I1816" s="35" t="str">
        <f aca="false">IF($C1816="","",$H1816-$H1816/(1+IFERROR(INDEX(PRODUCTOS!$E$6:$E$105,MATCH($C1816,PRODUCTOS!$A$6:$A$105,0)),IVA_VENTAS)))</f>
        <v/>
      </c>
      <c r="J1816" s="35" t="str">
        <f aca="false">IF($C1816="","",$H1816-$I1816)</f>
        <v/>
      </c>
      <c r="K1816" s="35" t="str">
        <f aca="false">IF($C1816="","",N($E1816)*IFERROR(INDEX(PRODUCTOS!$H$6:$H$105,MATCH($C1816,PRODUCTOS!$A$6:$A$105,0)),0))</f>
        <v/>
      </c>
      <c r="L1816" s="35" t="str">
        <f aca="false">IF($C1816="","",$J1816-$K1816)</f>
        <v/>
      </c>
      <c r="M1816" s="6"/>
      <c r="N1816" s="6"/>
      <c r="O1816" s="46" t="str">
        <f aca="false">IF($A1816="","",DATE(YEAR($A1816),MONTH($A1816),1))</f>
        <v/>
      </c>
    </row>
    <row r="1817" customFormat="false" ht="15" hidden="false" customHeight="false" outlineLevel="0" collapsed="false">
      <c r="A1817" s="44"/>
      <c r="B1817" s="6"/>
      <c r="C1817" s="6"/>
      <c r="D1817" s="8" t="str">
        <f aca="false">IF($C1817="","",IFERROR(INDEX(PRODUCTOS!$B$6:$B$105,MATCH($C1817,PRODUCTOS!$A$6:$A$105,0)),"¿Código?"))</f>
        <v/>
      </c>
      <c r="E1817" s="42"/>
      <c r="F1817" s="35" t="str">
        <f aca="false">IF($C1817="","",IFERROR(INDEX(PRODUCTOS!$D$6:$D$105,MATCH($C1817,PRODUCTOS!$A$6:$A$105,0)),0))</f>
        <v/>
      </c>
      <c r="G1817" s="40"/>
      <c r="H1817" s="35" t="str">
        <f aca="false">IF($C1817="","",N($E1817)*$F1817-N($G1817))</f>
        <v/>
      </c>
      <c r="I1817" s="35" t="str">
        <f aca="false">IF($C1817="","",$H1817-$H1817/(1+IFERROR(INDEX(PRODUCTOS!$E$6:$E$105,MATCH($C1817,PRODUCTOS!$A$6:$A$105,0)),IVA_VENTAS)))</f>
        <v/>
      </c>
      <c r="J1817" s="35" t="str">
        <f aca="false">IF($C1817="","",$H1817-$I1817)</f>
        <v/>
      </c>
      <c r="K1817" s="35" t="str">
        <f aca="false">IF($C1817="","",N($E1817)*IFERROR(INDEX(PRODUCTOS!$H$6:$H$105,MATCH($C1817,PRODUCTOS!$A$6:$A$105,0)),0))</f>
        <v/>
      </c>
      <c r="L1817" s="35" t="str">
        <f aca="false">IF($C1817="","",$J1817-$K1817)</f>
        <v/>
      </c>
      <c r="M1817" s="6"/>
      <c r="N1817" s="6"/>
      <c r="O1817" s="46" t="str">
        <f aca="false">IF($A1817="","",DATE(YEAR($A1817),MONTH($A1817),1))</f>
        <v/>
      </c>
    </row>
    <row r="1818" customFormat="false" ht="15" hidden="false" customHeight="false" outlineLevel="0" collapsed="false">
      <c r="A1818" s="44"/>
      <c r="B1818" s="6"/>
      <c r="C1818" s="6"/>
      <c r="D1818" s="8" t="str">
        <f aca="false">IF($C1818="","",IFERROR(INDEX(PRODUCTOS!$B$6:$B$105,MATCH($C1818,PRODUCTOS!$A$6:$A$105,0)),"¿Código?"))</f>
        <v/>
      </c>
      <c r="E1818" s="42"/>
      <c r="F1818" s="35" t="str">
        <f aca="false">IF($C1818="","",IFERROR(INDEX(PRODUCTOS!$D$6:$D$105,MATCH($C1818,PRODUCTOS!$A$6:$A$105,0)),0))</f>
        <v/>
      </c>
      <c r="G1818" s="40"/>
      <c r="H1818" s="35" t="str">
        <f aca="false">IF($C1818="","",N($E1818)*$F1818-N($G1818))</f>
        <v/>
      </c>
      <c r="I1818" s="35" t="str">
        <f aca="false">IF($C1818="","",$H1818-$H1818/(1+IFERROR(INDEX(PRODUCTOS!$E$6:$E$105,MATCH($C1818,PRODUCTOS!$A$6:$A$105,0)),IVA_VENTAS)))</f>
        <v/>
      </c>
      <c r="J1818" s="35" t="str">
        <f aca="false">IF($C1818="","",$H1818-$I1818)</f>
        <v/>
      </c>
      <c r="K1818" s="35" t="str">
        <f aca="false">IF($C1818="","",N($E1818)*IFERROR(INDEX(PRODUCTOS!$H$6:$H$105,MATCH($C1818,PRODUCTOS!$A$6:$A$105,0)),0))</f>
        <v/>
      </c>
      <c r="L1818" s="35" t="str">
        <f aca="false">IF($C1818="","",$J1818-$K1818)</f>
        <v/>
      </c>
      <c r="M1818" s="6"/>
      <c r="N1818" s="6"/>
      <c r="O1818" s="46" t="str">
        <f aca="false">IF($A1818="","",DATE(YEAR($A1818),MONTH($A1818),1))</f>
        <v/>
      </c>
    </row>
    <row r="1819" customFormat="false" ht="15" hidden="false" customHeight="false" outlineLevel="0" collapsed="false">
      <c r="A1819" s="44"/>
      <c r="B1819" s="6"/>
      <c r="C1819" s="6"/>
      <c r="D1819" s="8" t="str">
        <f aca="false">IF($C1819="","",IFERROR(INDEX(PRODUCTOS!$B$6:$B$105,MATCH($C1819,PRODUCTOS!$A$6:$A$105,0)),"¿Código?"))</f>
        <v/>
      </c>
      <c r="E1819" s="42"/>
      <c r="F1819" s="35" t="str">
        <f aca="false">IF($C1819="","",IFERROR(INDEX(PRODUCTOS!$D$6:$D$105,MATCH($C1819,PRODUCTOS!$A$6:$A$105,0)),0))</f>
        <v/>
      </c>
      <c r="G1819" s="40"/>
      <c r="H1819" s="35" t="str">
        <f aca="false">IF($C1819="","",N($E1819)*$F1819-N($G1819))</f>
        <v/>
      </c>
      <c r="I1819" s="35" t="str">
        <f aca="false">IF($C1819="","",$H1819-$H1819/(1+IFERROR(INDEX(PRODUCTOS!$E$6:$E$105,MATCH($C1819,PRODUCTOS!$A$6:$A$105,0)),IVA_VENTAS)))</f>
        <v/>
      </c>
      <c r="J1819" s="35" t="str">
        <f aca="false">IF($C1819="","",$H1819-$I1819)</f>
        <v/>
      </c>
      <c r="K1819" s="35" t="str">
        <f aca="false">IF($C1819="","",N($E1819)*IFERROR(INDEX(PRODUCTOS!$H$6:$H$105,MATCH($C1819,PRODUCTOS!$A$6:$A$105,0)),0))</f>
        <v/>
      </c>
      <c r="L1819" s="35" t="str">
        <f aca="false">IF($C1819="","",$J1819-$K1819)</f>
        <v/>
      </c>
      <c r="M1819" s="6"/>
      <c r="N1819" s="6"/>
      <c r="O1819" s="46" t="str">
        <f aca="false">IF($A1819="","",DATE(YEAR($A1819),MONTH($A1819),1))</f>
        <v/>
      </c>
    </row>
    <row r="1820" customFormat="false" ht="15" hidden="false" customHeight="false" outlineLevel="0" collapsed="false">
      <c r="A1820" s="44"/>
      <c r="B1820" s="6"/>
      <c r="C1820" s="6"/>
      <c r="D1820" s="8" t="str">
        <f aca="false">IF($C1820="","",IFERROR(INDEX(PRODUCTOS!$B$6:$B$105,MATCH($C1820,PRODUCTOS!$A$6:$A$105,0)),"¿Código?"))</f>
        <v/>
      </c>
      <c r="E1820" s="42"/>
      <c r="F1820" s="35" t="str">
        <f aca="false">IF($C1820="","",IFERROR(INDEX(PRODUCTOS!$D$6:$D$105,MATCH($C1820,PRODUCTOS!$A$6:$A$105,0)),0))</f>
        <v/>
      </c>
      <c r="G1820" s="40"/>
      <c r="H1820" s="35" t="str">
        <f aca="false">IF($C1820="","",N($E1820)*$F1820-N($G1820))</f>
        <v/>
      </c>
      <c r="I1820" s="35" t="str">
        <f aca="false">IF($C1820="","",$H1820-$H1820/(1+IFERROR(INDEX(PRODUCTOS!$E$6:$E$105,MATCH($C1820,PRODUCTOS!$A$6:$A$105,0)),IVA_VENTAS)))</f>
        <v/>
      </c>
      <c r="J1820" s="35" t="str">
        <f aca="false">IF($C1820="","",$H1820-$I1820)</f>
        <v/>
      </c>
      <c r="K1820" s="35" t="str">
        <f aca="false">IF($C1820="","",N($E1820)*IFERROR(INDEX(PRODUCTOS!$H$6:$H$105,MATCH($C1820,PRODUCTOS!$A$6:$A$105,0)),0))</f>
        <v/>
      </c>
      <c r="L1820" s="35" t="str">
        <f aca="false">IF($C1820="","",$J1820-$K1820)</f>
        <v/>
      </c>
      <c r="M1820" s="6"/>
      <c r="N1820" s="6"/>
      <c r="O1820" s="46" t="str">
        <f aca="false">IF($A1820="","",DATE(YEAR($A1820),MONTH($A1820),1))</f>
        <v/>
      </c>
    </row>
    <row r="1821" customFormat="false" ht="15" hidden="false" customHeight="false" outlineLevel="0" collapsed="false">
      <c r="A1821" s="44"/>
      <c r="B1821" s="6"/>
      <c r="C1821" s="6"/>
      <c r="D1821" s="8" t="str">
        <f aca="false">IF($C1821="","",IFERROR(INDEX(PRODUCTOS!$B$6:$B$105,MATCH($C1821,PRODUCTOS!$A$6:$A$105,0)),"¿Código?"))</f>
        <v/>
      </c>
      <c r="E1821" s="42"/>
      <c r="F1821" s="35" t="str">
        <f aca="false">IF($C1821="","",IFERROR(INDEX(PRODUCTOS!$D$6:$D$105,MATCH($C1821,PRODUCTOS!$A$6:$A$105,0)),0))</f>
        <v/>
      </c>
      <c r="G1821" s="40"/>
      <c r="H1821" s="35" t="str">
        <f aca="false">IF($C1821="","",N($E1821)*$F1821-N($G1821))</f>
        <v/>
      </c>
      <c r="I1821" s="35" t="str">
        <f aca="false">IF($C1821="","",$H1821-$H1821/(1+IFERROR(INDEX(PRODUCTOS!$E$6:$E$105,MATCH($C1821,PRODUCTOS!$A$6:$A$105,0)),IVA_VENTAS)))</f>
        <v/>
      </c>
      <c r="J1821" s="35" t="str">
        <f aca="false">IF($C1821="","",$H1821-$I1821)</f>
        <v/>
      </c>
      <c r="K1821" s="35" t="str">
        <f aca="false">IF($C1821="","",N($E1821)*IFERROR(INDEX(PRODUCTOS!$H$6:$H$105,MATCH($C1821,PRODUCTOS!$A$6:$A$105,0)),0))</f>
        <v/>
      </c>
      <c r="L1821" s="35" t="str">
        <f aca="false">IF($C1821="","",$J1821-$K1821)</f>
        <v/>
      </c>
      <c r="M1821" s="6"/>
      <c r="N1821" s="6"/>
      <c r="O1821" s="46" t="str">
        <f aca="false">IF($A1821="","",DATE(YEAR($A1821),MONTH($A1821),1))</f>
        <v/>
      </c>
    </row>
    <row r="1822" customFormat="false" ht="15" hidden="false" customHeight="false" outlineLevel="0" collapsed="false">
      <c r="A1822" s="44"/>
      <c r="B1822" s="6"/>
      <c r="C1822" s="6"/>
      <c r="D1822" s="8" t="str">
        <f aca="false">IF($C1822="","",IFERROR(INDEX(PRODUCTOS!$B$6:$B$105,MATCH($C1822,PRODUCTOS!$A$6:$A$105,0)),"¿Código?"))</f>
        <v/>
      </c>
      <c r="E1822" s="42"/>
      <c r="F1822" s="35" t="str">
        <f aca="false">IF($C1822="","",IFERROR(INDEX(PRODUCTOS!$D$6:$D$105,MATCH($C1822,PRODUCTOS!$A$6:$A$105,0)),0))</f>
        <v/>
      </c>
      <c r="G1822" s="40"/>
      <c r="H1822" s="35" t="str">
        <f aca="false">IF($C1822="","",N($E1822)*$F1822-N($G1822))</f>
        <v/>
      </c>
      <c r="I1822" s="35" t="str">
        <f aca="false">IF($C1822="","",$H1822-$H1822/(1+IFERROR(INDEX(PRODUCTOS!$E$6:$E$105,MATCH($C1822,PRODUCTOS!$A$6:$A$105,0)),IVA_VENTAS)))</f>
        <v/>
      </c>
      <c r="J1822" s="35" t="str">
        <f aca="false">IF($C1822="","",$H1822-$I1822)</f>
        <v/>
      </c>
      <c r="K1822" s="35" t="str">
        <f aca="false">IF($C1822="","",N($E1822)*IFERROR(INDEX(PRODUCTOS!$H$6:$H$105,MATCH($C1822,PRODUCTOS!$A$6:$A$105,0)),0))</f>
        <v/>
      </c>
      <c r="L1822" s="35" t="str">
        <f aca="false">IF($C1822="","",$J1822-$K1822)</f>
        <v/>
      </c>
      <c r="M1822" s="6"/>
      <c r="N1822" s="6"/>
      <c r="O1822" s="46" t="str">
        <f aca="false">IF($A1822="","",DATE(YEAR($A1822),MONTH($A1822),1))</f>
        <v/>
      </c>
    </row>
    <row r="1823" customFormat="false" ht="15" hidden="false" customHeight="false" outlineLevel="0" collapsed="false">
      <c r="A1823" s="44"/>
      <c r="B1823" s="6"/>
      <c r="C1823" s="6"/>
      <c r="D1823" s="8" t="str">
        <f aca="false">IF($C1823="","",IFERROR(INDEX(PRODUCTOS!$B$6:$B$105,MATCH($C1823,PRODUCTOS!$A$6:$A$105,0)),"¿Código?"))</f>
        <v/>
      </c>
      <c r="E1823" s="42"/>
      <c r="F1823" s="35" t="str">
        <f aca="false">IF($C1823="","",IFERROR(INDEX(PRODUCTOS!$D$6:$D$105,MATCH($C1823,PRODUCTOS!$A$6:$A$105,0)),0))</f>
        <v/>
      </c>
      <c r="G1823" s="40"/>
      <c r="H1823" s="35" t="str">
        <f aca="false">IF($C1823="","",N($E1823)*$F1823-N($G1823))</f>
        <v/>
      </c>
      <c r="I1823" s="35" t="str">
        <f aca="false">IF($C1823="","",$H1823-$H1823/(1+IFERROR(INDEX(PRODUCTOS!$E$6:$E$105,MATCH($C1823,PRODUCTOS!$A$6:$A$105,0)),IVA_VENTAS)))</f>
        <v/>
      </c>
      <c r="J1823" s="35" t="str">
        <f aca="false">IF($C1823="","",$H1823-$I1823)</f>
        <v/>
      </c>
      <c r="K1823" s="35" t="str">
        <f aca="false">IF($C1823="","",N($E1823)*IFERROR(INDEX(PRODUCTOS!$H$6:$H$105,MATCH($C1823,PRODUCTOS!$A$6:$A$105,0)),0))</f>
        <v/>
      </c>
      <c r="L1823" s="35" t="str">
        <f aca="false">IF($C1823="","",$J1823-$K1823)</f>
        <v/>
      </c>
      <c r="M1823" s="6"/>
      <c r="N1823" s="6"/>
      <c r="O1823" s="46" t="str">
        <f aca="false">IF($A1823="","",DATE(YEAR($A1823),MONTH($A1823),1))</f>
        <v/>
      </c>
    </row>
    <row r="1824" customFormat="false" ht="15" hidden="false" customHeight="false" outlineLevel="0" collapsed="false">
      <c r="A1824" s="44"/>
      <c r="B1824" s="6"/>
      <c r="C1824" s="6"/>
      <c r="D1824" s="8" t="str">
        <f aca="false">IF($C1824="","",IFERROR(INDEX(PRODUCTOS!$B$6:$B$105,MATCH($C1824,PRODUCTOS!$A$6:$A$105,0)),"¿Código?"))</f>
        <v/>
      </c>
      <c r="E1824" s="42"/>
      <c r="F1824" s="35" t="str">
        <f aca="false">IF($C1824="","",IFERROR(INDEX(PRODUCTOS!$D$6:$D$105,MATCH($C1824,PRODUCTOS!$A$6:$A$105,0)),0))</f>
        <v/>
      </c>
      <c r="G1824" s="40"/>
      <c r="H1824" s="35" t="str">
        <f aca="false">IF($C1824="","",N($E1824)*$F1824-N($G1824))</f>
        <v/>
      </c>
      <c r="I1824" s="35" t="str">
        <f aca="false">IF($C1824="","",$H1824-$H1824/(1+IFERROR(INDEX(PRODUCTOS!$E$6:$E$105,MATCH($C1824,PRODUCTOS!$A$6:$A$105,0)),IVA_VENTAS)))</f>
        <v/>
      </c>
      <c r="J1824" s="35" t="str">
        <f aca="false">IF($C1824="","",$H1824-$I1824)</f>
        <v/>
      </c>
      <c r="K1824" s="35" t="str">
        <f aca="false">IF($C1824="","",N($E1824)*IFERROR(INDEX(PRODUCTOS!$H$6:$H$105,MATCH($C1824,PRODUCTOS!$A$6:$A$105,0)),0))</f>
        <v/>
      </c>
      <c r="L1824" s="35" t="str">
        <f aca="false">IF($C1824="","",$J1824-$K1824)</f>
        <v/>
      </c>
      <c r="M1824" s="6"/>
      <c r="N1824" s="6"/>
      <c r="O1824" s="46" t="str">
        <f aca="false">IF($A1824="","",DATE(YEAR($A1824),MONTH($A1824),1))</f>
        <v/>
      </c>
    </row>
    <row r="1825" customFormat="false" ht="15" hidden="false" customHeight="false" outlineLevel="0" collapsed="false">
      <c r="A1825" s="44"/>
      <c r="B1825" s="6"/>
      <c r="C1825" s="6"/>
      <c r="D1825" s="8" t="str">
        <f aca="false">IF($C1825="","",IFERROR(INDEX(PRODUCTOS!$B$6:$B$105,MATCH($C1825,PRODUCTOS!$A$6:$A$105,0)),"¿Código?"))</f>
        <v/>
      </c>
      <c r="E1825" s="42"/>
      <c r="F1825" s="35" t="str">
        <f aca="false">IF($C1825="","",IFERROR(INDEX(PRODUCTOS!$D$6:$D$105,MATCH($C1825,PRODUCTOS!$A$6:$A$105,0)),0))</f>
        <v/>
      </c>
      <c r="G1825" s="40"/>
      <c r="H1825" s="35" t="str">
        <f aca="false">IF($C1825="","",N($E1825)*$F1825-N($G1825))</f>
        <v/>
      </c>
      <c r="I1825" s="35" t="str">
        <f aca="false">IF($C1825="","",$H1825-$H1825/(1+IFERROR(INDEX(PRODUCTOS!$E$6:$E$105,MATCH($C1825,PRODUCTOS!$A$6:$A$105,0)),IVA_VENTAS)))</f>
        <v/>
      </c>
      <c r="J1825" s="35" t="str">
        <f aca="false">IF($C1825="","",$H1825-$I1825)</f>
        <v/>
      </c>
      <c r="K1825" s="35" t="str">
        <f aca="false">IF($C1825="","",N($E1825)*IFERROR(INDEX(PRODUCTOS!$H$6:$H$105,MATCH($C1825,PRODUCTOS!$A$6:$A$105,0)),0))</f>
        <v/>
      </c>
      <c r="L1825" s="35" t="str">
        <f aca="false">IF($C1825="","",$J1825-$K1825)</f>
        <v/>
      </c>
      <c r="M1825" s="6"/>
      <c r="N1825" s="6"/>
      <c r="O1825" s="46" t="str">
        <f aca="false">IF($A1825="","",DATE(YEAR($A1825),MONTH($A1825),1))</f>
        <v/>
      </c>
    </row>
    <row r="1826" customFormat="false" ht="15" hidden="false" customHeight="false" outlineLevel="0" collapsed="false">
      <c r="A1826" s="44"/>
      <c r="B1826" s="6"/>
      <c r="C1826" s="6"/>
      <c r="D1826" s="8" t="str">
        <f aca="false">IF($C1826="","",IFERROR(INDEX(PRODUCTOS!$B$6:$B$105,MATCH($C1826,PRODUCTOS!$A$6:$A$105,0)),"¿Código?"))</f>
        <v/>
      </c>
      <c r="E1826" s="42"/>
      <c r="F1826" s="35" t="str">
        <f aca="false">IF($C1826="","",IFERROR(INDEX(PRODUCTOS!$D$6:$D$105,MATCH($C1826,PRODUCTOS!$A$6:$A$105,0)),0))</f>
        <v/>
      </c>
      <c r="G1826" s="40"/>
      <c r="H1826" s="35" t="str">
        <f aca="false">IF($C1826="","",N($E1826)*$F1826-N($G1826))</f>
        <v/>
      </c>
      <c r="I1826" s="35" t="str">
        <f aca="false">IF($C1826="","",$H1826-$H1826/(1+IFERROR(INDEX(PRODUCTOS!$E$6:$E$105,MATCH($C1826,PRODUCTOS!$A$6:$A$105,0)),IVA_VENTAS)))</f>
        <v/>
      </c>
      <c r="J1826" s="35" t="str">
        <f aca="false">IF($C1826="","",$H1826-$I1826)</f>
        <v/>
      </c>
      <c r="K1826" s="35" t="str">
        <f aca="false">IF($C1826="","",N($E1826)*IFERROR(INDEX(PRODUCTOS!$H$6:$H$105,MATCH($C1826,PRODUCTOS!$A$6:$A$105,0)),0))</f>
        <v/>
      </c>
      <c r="L1826" s="35" t="str">
        <f aca="false">IF($C1826="","",$J1826-$K1826)</f>
        <v/>
      </c>
      <c r="M1826" s="6"/>
      <c r="N1826" s="6"/>
      <c r="O1826" s="46" t="str">
        <f aca="false">IF($A1826="","",DATE(YEAR($A1826),MONTH($A1826),1))</f>
        <v/>
      </c>
    </row>
    <row r="1827" customFormat="false" ht="15" hidden="false" customHeight="false" outlineLevel="0" collapsed="false">
      <c r="A1827" s="44"/>
      <c r="B1827" s="6"/>
      <c r="C1827" s="6"/>
      <c r="D1827" s="8" t="str">
        <f aca="false">IF($C1827="","",IFERROR(INDEX(PRODUCTOS!$B$6:$B$105,MATCH($C1827,PRODUCTOS!$A$6:$A$105,0)),"¿Código?"))</f>
        <v/>
      </c>
      <c r="E1827" s="42"/>
      <c r="F1827" s="35" t="str">
        <f aca="false">IF($C1827="","",IFERROR(INDEX(PRODUCTOS!$D$6:$D$105,MATCH($C1827,PRODUCTOS!$A$6:$A$105,0)),0))</f>
        <v/>
      </c>
      <c r="G1827" s="40"/>
      <c r="H1827" s="35" t="str">
        <f aca="false">IF($C1827="","",N($E1827)*$F1827-N($G1827))</f>
        <v/>
      </c>
      <c r="I1827" s="35" t="str">
        <f aca="false">IF($C1827="","",$H1827-$H1827/(1+IFERROR(INDEX(PRODUCTOS!$E$6:$E$105,MATCH($C1827,PRODUCTOS!$A$6:$A$105,0)),IVA_VENTAS)))</f>
        <v/>
      </c>
      <c r="J1827" s="35" t="str">
        <f aca="false">IF($C1827="","",$H1827-$I1827)</f>
        <v/>
      </c>
      <c r="K1827" s="35" t="str">
        <f aca="false">IF($C1827="","",N($E1827)*IFERROR(INDEX(PRODUCTOS!$H$6:$H$105,MATCH($C1827,PRODUCTOS!$A$6:$A$105,0)),0))</f>
        <v/>
      </c>
      <c r="L1827" s="35" t="str">
        <f aca="false">IF($C1827="","",$J1827-$K1827)</f>
        <v/>
      </c>
      <c r="M1827" s="6"/>
      <c r="N1827" s="6"/>
      <c r="O1827" s="46" t="str">
        <f aca="false">IF($A1827="","",DATE(YEAR($A1827),MONTH($A1827),1))</f>
        <v/>
      </c>
    </row>
    <row r="1828" customFormat="false" ht="15" hidden="false" customHeight="false" outlineLevel="0" collapsed="false">
      <c r="A1828" s="44"/>
      <c r="B1828" s="6"/>
      <c r="C1828" s="6"/>
      <c r="D1828" s="8" t="str">
        <f aca="false">IF($C1828="","",IFERROR(INDEX(PRODUCTOS!$B$6:$B$105,MATCH($C1828,PRODUCTOS!$A$6:$A$105,0)),"¿Código?"))</f>
        <v/>
      </c>
      <c r="E1828" s="42"/>
      <c r="F1828" s="35" t="str">
        <f aca="false">IF($C1828="","",IFERROR(INDEX(PRODUCTOS!$D$6:$D$105,MATCH($C1828,PRODUCTOS!$A$6:$A$105,0)),0))</f>
        <v/>
      </c>
      <c r="G1828" s="40"/>
      <c r="H1828" s="35" t="str">
        <f aca="false">IF($C1828="","",N($E1828)*$F1828-N($G1828))</f>
        <v/>
      </c>
      <c r="I1828" s="35" t="str">
        <f aca="false">IF($C1828="","",$H1828-$H1828/(1+IFERROR(INDEX(PRODUCTOS!$E$6:$E$105,MATCH($C1828,PRODUCTOS!$A$6:$A$105,0)),IVA_VENTAS)))</f>
        <v/>
      </c>
      <c r="J1828" s="35" t="str">
        <f aca="false">IF($C1828="","",$H1828-$I1828)</f>
        <v/>
      </c>
      <c r="K1828" s="35" t="str">
        <f aca="false">IF($C1828="","",N($E1828)*IFERROR(INDEX(PRODUCTOS!$H$6:$H$105,MATCH($C1828,PRODUCTOS!$A$6:$A$105,0)),0))</f>
        <v/>
      </c>
      <c r="L1828" s="35" t="str">
        <f aca="false">IF($C1828="","",$J1828-$K1828)</f>
        <v/>
      </c>
      <c r="M1828" s="6"/>
      <c r="N1828" s="6"/>
      <c r="O1828" s="46" t="str">
        <f aca="false">IF($A1828="","",DATE(YEAR($A1828),MONTH($A1828),1))</f>
        <v/>
      </c>
    </row>
    <row r="1829" customFormat="false" ht="15" hidden="false" customHeight="false" outlineLevel="0" collapsed="false">
      <c r="A1829" s="44"/>
      <c r="B1829" s="6"/>
      <c r="C1829" s="6"/>
      <c r="D1829" s="8" t="str">
        <f aca="false">IF($C1829="","",IFERROR(INDEX(PRODUCTOS!$B$6:$B$105,MATCH($C1829,PRODUCTOS!$A$6:$A$105,0)),"¿Código?"))</f>
        <v/>
      </c>
      <c r="E1829" s="42"/>
      <c r="F1829" s="35" t="str">
        <f aca="false">IF($C1829="","",IFERROR(INDEX(PRODUCTOS!$D$6:$D$105,MATCH($C1829,PRODUCTOS!$A$6:$A$105,0)),0))</f>
        <v/>
      </c>
      <c r="G1829" s="40"/>
      <c r="H1829" s="35" t="str">
        <f aca="false">IF($C1829="","",N($E1829)*$F1829-N($G1829))</f>
        <v/>
      </c>
      <c r="I1829" s="35" t="str">
        <f aca="false">IF($C1829="","",$H1829-$H1829/(1+IFERROR(INDEX(PRODUCTOS!$E$6:$E$105,MATCH($C1829,PRODUCTOS!$A$6:$A$105,0)),IVA_VENTAS)))</f>
        <v/>
      </c>
      <c r="J1829" s="35" t="str">
        <f aca="false">IF($C1829="","",$H1829-$I1829)</f>
        <v/>
      </c>
      <c r="K1829" s="35" t="str">
        <f aca="false">IF($C1829="","",N($E1829)*IFERROR(INDEX(PRODUCTOS!$H$6:$H$105,MATCH($C1829,PRODUCTOS!$A$6:$A$105,0)),0))</f>
        <v/>
      </c>
      <c r="L1829" s="35" t="str">
        <f aca="false">IF($C1829="","",$J1829-$K1829)</f>
        <v/>
      </c>
      <c r="M1829" s="6"/>
      <c r="N1829" s="6"/>
      <c r="O1829" s="46" t="str">
        <f aca="false">IF($A1829="","",DATE(YEAR($A1829),MONTH($A1829),1))</f>
        <v/>
      </c>
    </row>
    <row r="1830" customFormat="false" ht="15" hidden="false" customHeight="false" outlineLevel="0" collapsed="false">
      <c r="A1830" s="44"/>
      <c r="B1830" s="6"/>
      <c r="C1830" s="6"/>
      <c r="D1830" s="8" t="str">
        <f aca="false">IF($C1830="","",IFERROR(INDEX(PRODUCTOS!$B$6:$B$105,MATCH($C1830,PRODUCTOS!$A$6:$A$105,0)),"¿Código?"))</f>
        <v/>
      </c>
      <c r="E1830" s="42"/>
      <c r="F1830" s="35" t="str">
        <f aca="false">IF($C1830="","",IFERROR(INDEX(PRODUCTOS!$D$6:$D$105,MATCH($C1830,PRODUCTOS!$A$6:$A$105,0)),0))</f>
        <v/>
      </c>
      <c r="G1830" s="40"/>
      <c r="H1830" s="35" t="str">
        <f aca="false">IF($C1830="","",N($E1830)*$F1830-N($G1830))</f>
        <v/>
      </c>
      <c r="I1830" s="35" t="str">
        <f aca="false">IF($C1830="","",$H1830-$H1830/(1+IFERROR(INDEX(PRODUCTOS!$E$6:$E$105,MATCH($C1830,PRODUCTOS!$A$6:$A$105,0)),IVA_VENTAS)))</f>
        <v/>
      </c>
      <c r="J1830" s="35" t="str">
        <f aca="false">IF($C1830="","",$H1830-$I1830)</f>
        <v/>
      </c>
      <c r="K1830" s="35" t="str">
        <f aca="false">IF($C1830="","",N($E1830)*IFERROR(INDEX(PRODUCTOS!$H$6:$H$105,MATCH($C1830,PRODUCTOS!$A$6:$A$105,0)),0))</f>
        <v/>
      </c>
      <c r="L1830" s="35" t="str">
        <f aca="false">IF($C1830="","",$J1830-$K1830)</f>
        <v/>
      </c>
      <c r="M1830" s="6"/>
      <c r="N1830" s="6"/>
      <c r="O1830" s="46" t="str">
        <f aca="false">IF($A1830="","",DATE(YEAR($A1830),MONTH($A1830),1))</f>
        <v/>
      </c>
    </row>
    <row r="1831" customFormat="false" ht="15" hidden="false" customHeight="false" outlineLevel="0" collapsed="false">
      <c r="A1831" s="44"/>
      <c r="B1831" s="6"/>
      <c r="C1831" s="6"/>
      <c r="D1831" s="8" t="str">
        <f aca="false">IF($C1831="","",IFERROR(INDEX(PRODUCTOS!$B$6:$B$105,MATCH($C1831,PRODUCTOS!$A$6:$A$105,0)),"¿Código?"))</f>
        <v/>
      </c>
      <c r="E1831" s="42"/>
      <c r="F1831" s="35" t="str">
        <f aca="false">IF($C1831="","",IFERROR(INDEX(PRODUCTOS!$D$6:$D$105,MATCH($C1831,PRODUCTOS!$A$6:$A$105,0)),0))</f>
        <v/>
      </c>
      <c r="G1831" s="40"/>
      <c r="H1831" s="35" t="str">
        <f aca="false">IF($C1831="","",N($E1831)*$F1831-N($G1831))</f>
        <v/>
      </c>
      <c r="I1831" s="35" t="str">
        <f aca="false">IF($C1831="","",$H1831-$H1831/(1+IFERROR(INDEX(PRODUCTOS!$E$6:$E$105,MATCH($C1831,PRODUCTOS!$A$6:$A$105,0)),IVA_VENTAS)))</f>
        <v/>
      </c>
      <c r="J1831" s="35" t="str">
        <f aca="false">IF($C1831="","",$H1831-$I1831)</f>
        <v/>
      </c>
      <c r="K1831" s="35" t="str">
        <f aca="false">IF($C1831="","",N($E1831)*IFERROR(INDEX(PRODUCTOS!$H$6:$H$105,MATCH($C1831,PRODUCTOS!$A$6:$A$105,0)),0))</f>
        <v/>
      </c>
      <c r="L1831" s="35" t="str">
        <f aca="false">IF($C1831="","",$J1831-$K1831)</f>
        <v/>
      </c>
      <c r="M1831" s="6"/>
      <c r="N1831" s="6"/>
      <c r="O1831" s="46" t="str">
        <f aca="false">IF($A1831="","",DATE(YEAR($A1831),MONTH($A1831),1))</f>
        <v/>
      </c>
    </row>
    <row r="1832" customFormat="false" ht="15" hidden="false" customHeight="false" outlineLevel="0" collapsed="false">
      <c r="A1832" s="44"/>
      <c r="B1832" s="6"/>
      <c r="C1832" s="6"/>
      <c r="D1832" s="8" t="str">
        <f aca="false">IF($C1832="","",IFERROR(INDEX(PRODUCTOS!$B$6:$B$105,MATCH($C1832,PRODUCTOS!$A$6:$A$105,0)),"¿Código?"))</f>
        <v/>
      </c>
      <c r="E1832" s="42"/>
      <c r="F1832" s="35" t="str">
        <f aca="false">IF($C1832="","",IFERROR(INDEX(PRODUCTOS!$D$6:$D$105,MATCH($C1832,PRODUCTOS!$A$6:$A$105,0)),0))</f>
        <v/>
      </c>
      <c r="G1832" s="40"/>
      <c r="H1832" s="35" t="str">
        <f aca="false">IF($C1832="","",N($E1832)*$F1832-N($G1832))</f>
        <v/>
      </c>
      <c r="I1832" s="35" t="str">
        <f aca="false">IF($C1832="","",$H1832-$H1832/(1+IFERROR(INDEX(PRODUCTOS!$E$6:$E$105,MATCH($C1832,PRODUCTOS!$A$6:$A$105,0)),IVA_VENTAS)))</f>
        <v/>
      </c>
      <c r="J1832" s="35" t="str">
        <f aca="false">IF($C1832="","",$H1832-$I1832)</f>
        <v/>
      </c>
      <c r="K1832" s="35" t="str">
        <f aca="false">IF($C1832="","",N($E1832)*IFERROR(INDEX(PRODUCTOS!$H$6:$H$105,MATCH($C1832,PRODUCTOS!$A$6:$A$105,0)),0))</f>
        <v/>
      </c>
      <c r="L1832" s="35" t="str">
        <f aca="false">IF($C1832="","",$J1832-$K1832)</f>
        <v/>
      </c>
      <c r="M1832" s="6"/>
      <c r="N1832" s="6"/>
      <c r="O1832" s="46" t="str">
        <f aca="false">IF($A1832="","",DATE(YEAR($A1832),MONTH($A1832),1))</f>
        <v/>
      </c>
    </row>
    <row r="1833" customFormat="false" ht="15" hidden="false" customHeight="false" outlineLevel="0" collapsed="false">
      <c r="A1833" s="44"/>
      <c r="B1833" s="6"/>
      <c r="C1833" s="6"/>
      <c r="D1833" s="8" t="str">
        <f aca="false">IF($C1833="","",IFERROR(INDEX(PRODUCTOS!$B$6:$B$105,MATCH($C1833,PRODUCTOS!$A$6:$A$105,0)),"¿Código?"))</f>
        <v/>
      </c>
      <c r="E1833" s="42"/>
      <c r="F1833" s="35" t="str">
        <f aca="false">IF($C1833="","",IFERROR(INDEX(PRODUCTOS!$D$6:$D$105,MATCH($C1833,PRODUCTOS!$A$6:$A$105,0)),0))</f>
        <v/>
      </c>
      <c r="G1833" s="40"/>
      <c r="H1833" s="35" t="str">
        <f aca="false">IF($C1833="","",N($E1833)*$F1833-N($G1833))</f>
        <v/>
      </c>
      <c r="I1833" s="35" t="str">
        <f aca="false">IF($C1833="","",$H1833-$H1833/(1+IFERROR(INDEX(PRODUCTOS!$E$6:$E$105,MATCH($C1833,PRODUCTOS!$A$6:$A$105,0)),IVA_VENTAS)))</f>
        <v/>
      </c>
      <c r="J1833" s="35" t="str">
        <f aca="false">IF($C1833="","",$H1833-$I1833)</f>
        <v/>
      </c>
      <c r="K1833" s="35" t="str">
        <f aca="false">IF($C1833="","",N($E1833)*IFERROR(INDEX(PRODUCTOS!$H$6:$H$105,MATCH($C1833,PRODUCTOS!$A$6:$A$105,0)),0))</f>
        <v/>
      </c>
      <c r="L1833" s="35" t="str">
        <f aca="false">IF($C1833="","",$J1833-$K1833)</f>
        <v/>
      </c>
      <c r="M1833" s="6"/>
      <c r="N1833" s="6"/>
      <c r="O1833" s="46" t="str">
        <f aca="false">IF($A1833="","",DATE(YEAR($A1833),MONTH($A1833),1))</f>
        <v/>
      </c>
    </row>
    <row r="1834" customFormat="false" ht="15" hidden="false" customHeight="false" outlineLevel="0" collapsed="false">
      <c r="A1834" s="44"/>
      <c r="B1834" s="6"/>
      <c r="C1834" s="6"/>
      <c r="D1834" s="8" t="str">
        <f aca="false">IF($C1834="","",IFERROR(INDEX(PRODUCTOS!$B$6:$B$105,MATCH($C1834,PRODUCTOS!$A$6:$A$105,0)),"¿Código?"))</f>
        <v/>
      </c>
      <c r="E1834" s="42"/>
      <c r="F1834" s="35" t="str">
        <f aca="false">IF($C1834="","",IFERROR(INDEX(PRODUCTOS!$D$6:$D$105,MATCH($C1834,PRODUCTOS!$A$6:$A$105,0)),0))</f>
        <v/>
      </c>
      <c r="G1834" s="40"/>
      <c r="H1834" s="35" t="str">
        <f aca="false">IF($C1834="","",N($E1834)*$F1834-N($G1834))</f>
        <v/>
      </c>
      <c r="I1834" s="35" t="str">
        <f aca="false">IF($C1834="","",$H1834-$H1834/(1+IFERROR(INDEX(PRODUCTOS!$E$6:$E$105,MATCH($C1834,PRODUCTOS!$A$6:$A$105,0)),IVA_VENTAS)))</f>
        <v/>
      </c>
      <c r="J1834" s="35" t="str">
        <f aca="false">IF($C1834="","",$H1834-$I1834)</f>
        <v/>
      </c>
      <c r="K1834" s="35" t="str">
        <f aca="false">IF($C1834="","",N($E1834)*IFERROR(INDEX(PRODUCTOS!$H$6:$H$105,MATCH($C1834,PRODUCTOS!$A$6:$A$105,0)),0))</f>
        <v/>
      </c>
      <c r="L1834" s="35" t="str">
        <f aca="false">IF($C1834="","",$J1834-$K1834)</f>
        <v/>
      </c>
      <c r="M1834" s="6"/>
      <c r="N1834" s="6"/>
      <c r="O1834" s="46" t="str">
        <f aca="false">IF($A1834="","",DATE(YEAR($A1834),MONTH($A1834),1))</f>
        <v/>
      </c>
    </row>
    <row r="1835" customFormat="false" ht="15" hidden="false" customHeight="false" outlineLevel="0" collapsed="false">
      <c r="A1835" s="44"/>
      <c r="B1835" s="6"/>
      <c r="C1835" s="6"/>
      <c r="D1835" s="8" t="str">
        <f aca="false">IF($C1835="","",IFERROR(INDEX(PRODUCTOS!$B$6:$B$105,MATCH($C1835,PRODUCTOS!$A$6:$A$105,0)),"¿Código?"))</f>
        <v/>
      </c>
      <c r="E1835" s="42"/>
      <c r="F1835" s="35" t="str">
        <f aca="false">IF($C1835="","",IFERROR(INDEX(PRODUCTOS!$D$6:$D$105,MATCH($C1835,PRODUCTOS!$A$6:$A$105,0)),0))</f>
        <v/>
      </c>
      <c r="G1835" s="40"/>
      <c r="H1835" s="35" t="str">
        <f aca="false">IF($C1835="","",N($E1835)*$F1835-N($G1835))</f>
        <v/>
      </c>
      <c r="I1835" s="35" t="str">
        <f aca="false">IF($C1835="","",$H1835-$H1835/(1+IFERROR(INDEX(PRODUCTOS!$E$6:$E$105,MATCH($C1835,PRODUCTOS!$A$6:$A$105,0)),IVA_VENTAS)))</f>
        <v/>
      </c>
      <c r="J1835" s="35" t="str">
        <f aca="false">IF($C1835="","",$H1835-$I1835)</f>
        <v/>
      </c>
      <c r="K1835" s="35" t="str">
        <f aca="false">IF($C1835="","",N($E1835)*IFERROR(INDEX(PRODUCTOS!$H$6:$H$105,MATCH($C1835,PRODUCTOS!$A$6:$A$105,0)),0))</f>
        <v/>
      </c>
      <c r="L1835" s="35" t="str">
        <f aca="false">IF($C1835="","",$J1835-$K1835)</f>
        <v/>
      </c>
      <c r="M1835" s="6"/>
      <c r="N1835" s="6"/>
      <c r="O1835" s="46" t="str">
        <f aca="false">IF($A1835="","",DATE(YEAR($A1835),MONTH($A1835),1))</f>
        <v/>
      </c>
    </row>
    <row r="1836" customFormat="false" ht="15" hidden="false" customHeight="false" outlineLevel="0" collapsed="false">
      <c r="A1836" s="44"/>
      <c r="B1836" s="6"/>
      <c r="C1836" s="6"/>
      <c r="D1836" s="8" t="str">
        <f aca="false">IF($C1836="","",IFERROR(INDEX(PRODUCTOS!$B$6:$B$105,MATCH($C1836,PRODUCTOS!$A$6:$A$105,0)),"¿Código?"))</f>
        <v/>
      </c>
      <c r="E1836" s="42"/>
      <c r="F1836" s="35" t="str">
        <f aca="false">IF($C1836="","",IFERROR(INDEX(PRODUCTOS!$D$6:$D$105,MATCH($C1836,PRODUCTOS!$A$6:$A$105,0)),0))</f>
        <v/>
      </c>
      <c r="G1836" s="40"/>
      <c r="H1836" s="35" t="str">
        <f aca="false">IF($C1836="","",N($E1836)*$F1836-N($G1836))</f>
        <v/>
      </c>
      <c r="I1836" s="35" t="str">
        <f aca="false">IF($C1836="","",$H1836-$H1836/(1+IFERROR(INDEX(PRODUCTOS!$E$6:$E$105,MATCH($C1836,PRODUCTOS!$A$6:$A$105,0)),IVA_VENTAS)))</f>
        <v/>
      </c>
      <c r="J1836" s="35" t="str">
        <f aca="false">IF($C1836="","",$H1836-$I1836)</f>
        <v/>
      </c>
      <c r="K1836" s="35" t="str">
        <f aca="false">IF($C1836="","",N($E1836)*IFERROR(INDEX(PRODUCTOS!$H$6:$H$105,MATCH($C1836,PRODUCTOS!$A$6:$A$105,0)),0))</f>
        <v/>
      </c>
      <c r="L1836" s="35" t="str">
        <f aca="false">IF($C1836="","",$J1836-$K1836)</f>
        <v/>
      </c>
      <c r="M1836" s="6"/>
      <c r="N1836" s="6"/>
      <c r="O1836" s="46" t="str">
        <f aca="false">IF($A1836="","",DATE(YEAR($A1836),MONTH($A1836),1))</f>
        <v/>
      </c>
    </row>
    <row r="1837" customFormat="false" ht="15" hidden="false" customHeight="false" outlineLevel="0" collapsed="false">
      <c r="A1837" s="44"/>
      <c r="B1837" s="6"/>
      <c r="C1837" s="6"/>
      <c r="D1837" s="8" t="str">
        <f aca="false">IF($C1837="","",IFERROR(INDEX(PRODUCTOS!$B$6:$B$105,MATCH($C1837,PRODUCTOS!$A$6:$A$105,0)),"¿Código?"))</f>
        <v/>
      </c>
      <c r="E1837" s="42"/>
      <c r="F1837" s="35" t="str">
        <f aca="false">IF($C1837="","",IFERROR(INDEX(PRODUCTOS!$D$6:$D$105,MATCH($C1837,PRODUCTOS!$A$6:$A$105,0)),0))</f>
        <v/>
      </c>
      <c r="G1837" s="40"/>
      <c r="H1837" s="35" t="str">
        <f aca="false">IF($C1837="","",N($E1837)*$F1837-N($G1837))</f>
        <v/>
      </c>
      <c r="I1837" s="35" t="str">
        <f aca="false">IF($C1837="","",$H1837-$H1837/(1+IFERROR(INDEX(PRODUCTOS!$E$6:$E$105,MATCH($C1837,PRODUCTOS!$A$6:$A$105,0)),IVA_VENTAS)))</f>
        <v/>
      </c>
      <c r="J1837" s="35" t="str">
        <f aca="false">IF($C1837="","",$H1837-$I1837)</f>
        <v/>
      </c>
      <c r="K1837" s="35" t="str">
        <f aca="false">IF($C1837="","",N($E1837)*IFERROR(INDEX(PRODUCTOS!$H$6:$H$105,MATCH($C1837,PRODUCTOS!$A$6:$A$105,0)),0))</f>
        <v/>
      </c>
      <c r="L1837" s="35" t="str">
        <f aca="false">IF($C1837="","",$J1837-$K1837)</f>
        <v/>
      </c>
      <c r="M1837" s="6"/>
      <c r="N1837" s="6"/>
      <c r="O1837" s="46" t="str">
        <f aca="false">IF($A1837="","",DATE(YEAR($A1837),MONTH($A1837),1))</f>
        <v/>
      </c>
    </row>
    <row r="1838" customFormat="false" ht="15" hidden="false" customHeight="false" outlineLevel="0" collapsed="false">
      <c r="A1838" s="44"/>
      <c r="B1838" s="6"/>
      <c r="C1838" s="6"/>
      <c r="D1838" s="8" t="str">
        <f aca="false">IF($C1838="","",IFERROR(INDEX(PRODUCTOS!$B$6:$B$105,MATCH($C1838,PRODUCTOS!$A$6:$A$105,0)),"¿Código?"))</f>
        <v/>
      </c>
      <c r="E1838" s="42"/>
      <c r="F1838" s="35" t="str">
        <f aca="false">IF($C1838="","",IFERROR(INDEX(PRODUCTOS!$D$6:$D$105,MATCH($C1838,PRODUCTOS!$A$6:$A$105,0)),0))</f>
        <v/>
      </c>
      <c r="G1838" s="40"/>
      <c r="H1838" s="35" t="str">
        <f aca="false">IF($C1838="","",N($E1838)*$F1838-N($G1838))</f>
        <v/>
      </c>
      <c r="I1838" s="35" t="str">
        <f aca="false">IF($C1838="","",$H1838-$H1838/(1+IFERROR(INDEX(PRODUCTOS!$E$6:$E$105,MATCH($C1838,PRODUCTOS!$A$6:$A$105,0)),IVA_VENTAS)))</f>
        <v/>
      </c>
      <c r="J1838" s="35" t="str">
        <f aca="false">IF($C1838="","",$H1838-$I1838)</f>
        <v/>
      </c>
      <c r="K1838" s="35" t="str">
        <f aca="false">IF($C1838="","",N($E1838)*IFERROR(INDEX(PRODUCTOS!$H$6:$H$105,MATCH($C1838,PRODUCTOS!$A$6:$A$105,0)),0))</f>
        <v/>
      </c>
      <c r="L1838" s="35" t="str">
        <f aca="false">IF($C1838="","",$J1838-$K1838)</f>
        <v/>
      </c>
      <c r="M1838" s="6"/>
      <c r="N1838" s="6"/>
      <c r="O1838" s="46" t="str">
        <f aca="false">IF($A1838="","",DATE(YEAR($A1838),MONTH($A1838),1))</f>
        <v/>
      </c>
    </row>
    <row r="1839" customFormat="false" ht="15" hidden="false" customHeight="false" outlineLevel="0" collapsed="false">
      <c r="A1839" s="44"/>
      <c r="B1839" s="6"/>
      <c r="C1839" s="6"/>
      <c r="D1839" s="8" t="str">
        <f aca="false">IF($C1839="","",IFERROR(INDEX(PRODUCTOS!$B$6:$B$105,MATCH($C1839,PRODUCTOS!$A$6:$A$105,0)),"¿Código?"))</f>
        <v/>
      </c>
      <c r="E1839" s="42"/>
      <c r="F1839" s="35" t="str">
        <f aca="false">IF($C1839="","",IFERROR(INDEX(PRODUCTOS!$D$6:$D$105,MATCH($C1839,PRODUCTOS!$A$6:$A$105,0)),0))</f>
        <v/>
      </c>
      <c r="G1839" s="40"/>
      <c r="H1839" s="35" t="str">
        <f aca="false">IF($C1839="","",N($E1839)*$F1839-N($G1839))</f>
        <v/>
      </c>
      <c r="I1839" s="35" t="str">
        <f aca="false">IF($C1839="","",$H1839-$H1839/(1+IFERROR(INDEX(PRODUCTOS!$E$6:$E$105,MATCH($C1839,PRODUCTOS!$A$6:$A$105,0)),IVA_VENTAS)))</f>
        <v/>
      </c>
      <c r="J1839" s="35" t="str">
        <f aca="false">IF($C1839="","",$H1839-$I1839)</f>
        <v/>
      </c>
      <c r="K1839" s="35" t="str">
        <f aca="false">IF($C1839="","",N($E1839)*IFERROR(INDEX(PRODUCTOS!$H$6:$H$105,MATCH($C1839,PRODUCTOS!$A$6:$A$105,0)),0))</f>
        <v/>
      </c>
      <c r="L1839" s="35" t="str">
        <f aca="false">IF($C1839="","",$J1839-$K1839)</f>
        <v/>
      </c>
      <c r="M1839" s="6"/>
      <c r="N1839" s="6"/>
      <c r="O1839" s="46" t="str">
        <f aca="false">IF($A1839="","",DATE(YEAR($A1839),MONTH($A1839),1))</f>
        <v/>
      </c>
    </row>
    <row r="1840" customFormat="false" ht="15" hidden="false" customHeight="false" outlineLevel="0" collapsed="false">
      <c r="A1840" s="44"/>
      <c r="B1840" s="6"/>
      <c r="C1840" s="6"/>
      <c r="D1840" s="8" t="str">
        <f aca="false">IF($C1840="","",IFERROR(INDEX(PRODUCTOS!$B$6:$B$105,MATCH($C1840,PRODUCTOS!$A$6:$A$105,0)),"¿Código?"))</f>
        <v/>
      </c>
      <c r="E1840" s="42"/>
      <c r="F1840" s="35" t="str">
        <f aca="false">IF($C1840="","",IFERROR(INDEX(PRODUCTOS!$D$6:$D$105,MATCH($C1840,PRODUCTOS!$A$6:$A$105,0)),0))</f>
        <v/>
      </c>
      <c r="G1840" s="40"/>
      <c r="H1840" s="35" t="str">
        <f aca="false">IF($C1840="","",N($E1840)*$F1840-N($G1840))</f>
        <v/>
      </c>
      <c r="I1840" s="35" t="str">
        <f aca="false">IF($C1840="","",$H1840-$H1840/(1+IFERROR(INDEX(PRODUCTOS!$E$6:$E$105,MATCH($C1840,PRODUCTOS!$A$6:$A$105,0)),IVA_VENTAS)))</f>
        <v/>
      </c>
      <c r="J1840" s="35" t="str">
        <f aca="false">IF($C1840="","",$H1840-$I1840)</f>
        <v/>
      </c>
      <c r="K1840" s="35" t="str">
        <f aca="false">IF($C1840="","",N($E1840)*IFERROR(INDEX(PRODUCTOS!$H$6:$H$105,MATCH($C1840,PRODUCTOS!$A$6:$A$105,0)),0))</f>
        <v/>
      </c>
      <c r="L1840" s="35" t="str">
        <f aca="false">IF($C1840="","",$J1840-$K1840)</f>
        <v/>
      </c>
      <c r="M1840" s="6"/>
      <c r="N1840" s="6"/>
      <c r="O1840" s="46" t="str">
        <f aca="false">IF($A1840="","",DATE(YEAR($A1840),MONTH($A1840),1))</f>
        <v/>
      </c>
    </row>
    <row r="1841" customFormat="false" ht="15" hidden="false" customHeight="false" outlineLevel="0" collapsed="false">
      <c r="A1841" s="44"/>
      <c r="B1841" s="6"/>
      <c r="C1841" s="6"/>
      <c r="D1841" s="8" t="str">
        <f aca="false">IF($C1841="","",IFERROR(INDEX(PRODUCTOS!$B$6:$B$105,MATCH($C1841,PRODUCTOS!$A$6:$A$105,0)),"¿Código?"))</f>
        <v/>
      </c>
      <c r="E1841" s="42"/>
      <c r="F1841" s="35" t="str">
        <f aca="false">IF($C1841="","",IFERROR(INDEX(PRODUCTOS!$D$6:$D$105,MATCH($C1841,PRODUCTOS!$A$6:$A$105,0)),0))</f>
        <v/>
      </c>
      <c r="G1841" s="40"/>
      <c r="H1841" s="35" t="str">
        <f aca="false">IF($C1841="","",N($E1841)*$F1841-N($G1841))</f>
        <v/>
      </c>
      <c r="I1841" s="35" t="str">
        <f aca="false">IF($C1841="","",$H1841-$H1841/(1+IFERROR(INDEX(PRODUCTOS!$E$6:$E$105,MATCH($C1841,PRODUCTOS!$A$6:$A$105,0)),IVA_VENTAS)))</f>
        <v/>
      </c>
      <c r="J1841" s="35" t="str">
        <f aca="false">IF($C1841="","",$H1841-$I1841)</f>
        <v/>
      </c>
      <c r="K1841" s="35" t="str">
        <f aca="false">IF($C1841="","",N($E1841)*IFERROR(INDEX(PRODUCTOS!$H$6:$H$105,MATCH($C1841,PRODUCTOS!$A$6:$A$105,0)),0))</f>
        <v/>
      </c>
      <c r="L1841" s="35" t="str">
        <f aca="false">IF($C1841="","",$J1841-$K1841)</f>
        <v/>
      </c>
      <c r="M1841" s="6"/>
      <c r="N1841" s="6"/>
      <c r="O1841" s="46" t="str">
        <f aca="false">IF($A1841="","",DATE(YEAR($A1841),MONTH($A1841),1))</f>
        <v/>
      </c>
    </row>
    <row r="1842" customFormat="false" ht="15" hidden="false" customHeight="false" outlineLevel="0" collapsed="false">
      <c r="A1842" s="44"/>
      <c r="B1842" s="6"/>
      <c r="C1842" s="6"/>
      <c r="D1842" s="8" t="str">
        <f aca="false">IF($C1842="","",IFERROR(INDEX(PRODUCTOS!$B$6:$B$105,MATCH($C1842,PRODUCTOS!$A$6:$A$105,0)),"¿Código?"))</f>
        <v/>
      </c>
      <c r="E1842" s="42"/>
      <c r="F1842" s="35" t="str">
        <f aca="false">IF($C1842="","",IFERROR(INDEX(PRODUCTOS!$D$6:$D$105,MATCH($C1842,PRODUCTOS!$A$6:$A$105,0)),0))</f>
        <v/>
      </c>
      <c r="G1842" s="40"/>
      <c r="H1842" s="35" t="str">
        <f aca="false">IF($C1842="","",N($E1842)*$F1842-N($G1842))</f>
        <v/>
      </c>
      <c r="I1842" s="35" t="str">
        <f aca="false">IF($C1842="","",$H1842-$H1842/(1+IFERROR(INDEX(PRODUCTOS!$E$6:$E$105,MATCH($C1842,PRODUCTOS!$A$6:$A$105,0)),IVA_VENTAS)))</f>
        <v/>
      </c>
      <c r="J1842" s="35" t="str">
        <f aca="false">IF($C1842="","",$H1842-$I1842)</f>
        <v/>
      </c>
      <c r="K1842" s="35" t="str">
        <f aca="false">IF($C1842="","",N($E1842)*IFERROR(INDEX(PRODUCTOS!$H$6:$H$105,MATCH($C1842,PRODUCTOS!$A$6:$A$105,0)),0))</f>
        <v/>
      </c>
      <c r="L1842" s="35" t="str">
        <f aca="false">IF($C1842="","",$J1842-$K1842)</f>
        <v/>
      </c>
      <c r="M1842" s="6"/>
      <c r="N1842" s="6"/>
      <c r="O1842" s="46" t="str">
        <f aca="false">IF($A1842="","",DATE(YEAR($A1842),MONTH($A1842),1))</f>
        <v/>
      </c>
    </row>
    <row r="1843" customFormat="false" ht="15" hidden="false" customHeight="false" outlineLevel="0" collapsed="false">
      <c r="A1843" s="44"/>
      <c r="B1843" s="6"/>
      <c r="C1843" s="6"/>
      <c r="D1843" s="8" t="str">
        <f aca="false">IF($C1843="","",IFERROR(INDEX(PRODUCTOS!$B$6:$B$105,MATCH($C1843,PRODUCTOS!$A$6:$A$105,0)),"¿Código?"))</f>
        <v/>
      </c>
      <c r="E1843" s="42"/>
      <c r="F1843" s="35" t="str">
        <f aca="false">IF($C1843="","",IFERROR(INDEX(PRODUCTOS!$D$6:$D$105,MATCH($C1843,PRODUCTOS!$A$6:$A$105,0)),0))</f>
        <v/>
      </c>
      <c r="G1843" s="40"/>
      <c r="H1843" s="35" t="str">
        <f aca="false">IF($C1843="","",N($E1843)*$F1843-N($G1843))</f>
        <v/>
      </c>
      <c r="I1843" s="35" t="str">
        <f aca="false">IF($C1843="","",$H1843-$H1843/(1+IFERROR(INDEX(PRODUCTOS!$E$6:$E$105,MATCH($C1843,PRODUCTOS!$A$6:$A$105,0)),IVA_VENTAS)))</f>
        <v/>
      </c>
      <c r="J1843" s="35" t="str">
        <f aca="false">IF($C1843="","",$H1843-$I1843)</f>
        <v/>
      </c>
      <c r="K1843" s="35" t="str">
        <f aca="false">IF($C1843="","",N($E1843)*IFERROR(INDEX(PRODUCTOS!$H$6:$H$105,MATCH($C1843,PRODUCTOS!$A$6:$A$105,0)),0))</f>
        <v/>
      </c>
      <c r="L1843" s="35" t="str">
        <f aca="false">IF($C1843="","",$J1843-$K1843)</f>
        <v/>
      </c>
      <c r="M1843" s="6"/>
      <c r="N1843" s="6"/>
      <c r="O1843" s="46" t="str">
        <f aca="false">IF($A1843="","",DATE(YEAR($A1843),MONTH($A1843),1))</f>
        <v/>
      </c>
    </row>
    <row r="1844" customFormat="false" ht="15" hidden="false" customHeight="false" outlineLevel="0" collapsed="false">
      <c r="A1844" s="44"/>
      <c r="B1844" s="6"/>
      <c r="C1844" s="6"/>
      <c r="D1844" s="8" t="str">
        <f aca="false">IF($C1844="","",IFERROR(INDEX(PRODUCTOS!$B$6:$B$105,MATCH($C1844,PRODUCTOS!$A$6:$A$105,0)),"¿Código?"))</f>
        <v/>
      </c>
      <c r="E1844" s="42"/>
      <c r="F1844" s="35" t="str">
        <f aca="false">IF($C1844="","",IFERROR(INDEX(PRODUCTOS!$D$6:$D$105,MATCH($C1844,PRODUCTOS!$A$6:$A$105,0)),0))</f>
        <v/>
      </c>
      <c r="G1844" s="40"/>
      <c r="H1844" s="35" t="str">
        <f aca="false">IF($C1844="","",N($E1844)*$F1844-N($G1844))</f>
        <v/>
      </c>
      <c r="I1844" s="35" t="str">
        <f aca="false">IF($C1844="","",$H1844-$H1844/(1+IFERROR(INDEX(PRODUCTOS!$E$6:$E$105,MATCH($C1844,PRODUCTOS!$A$6:$A$105,0)),IVA_VENTAS)))</f>
        <v/>
      </c>
      <c r="J1844" s="35" t="str">
        <f aca="false">IF($C1844="","",$H1844-$I1844)</f>
        <v/>
      </c>
      <c r="K1844" s="35" t="str">
        <f aca="false">IF($C1844="","",N($E1844)*IFERROR(INDEX(PRODUCTOS!$H$6:$H$105,MATCH($C1844,PRODUCTOS!$A$6:$A$105,0)),0))</f>
        <v/>
      </c>
      <c r="L1844" s="35" t="str">
        <f aca="false">IF($C1844="","",$J1844-$K1844)</f>
        <v/>
      </c>
      <c r="M1844" s="6"/>
      <c r="N1844" s="6"/>
      <c r="O1844" s="46" t="str">
        <f aca="false">IF($A1844="","",DATE(YEAR($A1844),MONTH($A1844),1))</f>
        <v/>
      </c>
    </row>
    <row r="1845" customFormat="false" ht="15" hidden="false" customHeight="false" outlineLevel="0" collapsed="false">
      <c r="A1845" s="44"/>
      <c r="B1845" s="6"/>
      <c r="C1845" s="6"/>
      <c r="D1845" s="8" t="str">
        <f aca="false">IF($C1845="","",IFERROR(INDEX(PRODUCTOS!$B$6:$B$105,MATCH($C1845,PRODUCTOS!$A$6:$A$105,0)),"¿Código?"))</f>
        <v/>
      </c>
      <c r="E1845" s="42"/>
      <c r="F1845" s="35" t="str">
        <f aca="false">IF($C1845="","",IFERROR(INDEX(PRODUCTOS!$D$6:$D$105,MATCH($C1845,PRODUCTOS!$A$6:$A$105,0)),0))</f>
        <v/>
      </c>
      <c r="G1845" s="40"/>
      <c r="H1845" s="35" t="str">
        <f aca="false">IF($C1845="","",N($E1845)*$F1845-N($G1845))</f>
        <v/>
      </c>
      <c r="I1845" s="35" t="str">
        <f aca="false">IF($C1845="","",$H1845-$H1845/(1+IFERROR(INDEX(PRODUCTOS!$E$6:$E$105,MATCH($C1845,PRODUCTOS!$A$6:$A$105,0)),IVA_VENTAS)))</f>
        <v/>
      </c>
      <c r="J1845" s="35" t="str">
        <f aca="false">IF($C1845="","",$H1845-$I1845)</f>
        <v/>
      </c>
      <c r="K1845" s="35" t="str">
        <f aca="false">IF($C1845="","",N($E1845)*IFERROR(INDEX(PRODUCTOS!$H$6:$H$105,MATCH($C1845,PRODUCTOS!$A$6:$A$105,0)),0))</f>
        <v/>
      </c>
      <c r="L1845" s="35" t="str">
        <f aca="false">IF($C1845="","",$J1845-$K1845)</f>
        <v/>
      </c>
      <c r="M1845" s="6"/>
      <c r="N1845" s="6"/>
      <c r="O1845" s="46" t="str">
        <f aca="false">IF($A1845="","",DATE(YEAR($A1845),MONTH($A1845),1))</f>
        <v/>
      </c>
    </row>
    <row r="1846" customFormat="false" ht="15" hidden="false" customHeight="false" outlineLevel="0" collapsed="false">
      <c r="A1846" s="44"/>
      <c r="B1846" s="6"/>
      <c r="C1846" s="6"/>
      <c r="D1846" s="8" t="str">
        <f aca="false">IF($C1846="","",IFERROR(INDEX(PRODUCTOS!$B$6:$B$105,MATCH($C1846,PRODUCTOS!$A$6:$A$105,0)),"¿Código?"))</f>
        <v/>
      </c>
      <c r="E1846" s="42"/>
      <c r="F1846" s="35" t="str">
        <f aca="false">IF($C1846="","",IFERROR(INDEX(PRODUCTOS!$D$6:$D$105,MATCH($C1846,PRODUCTOS!$A$6:$A$105,0)),0))</f>
        <v/>
      </c>
      <c r="G1846" s="40"/>
      <c r="H1846" s="35" t="str">
        <f aca="false">IF($C1846="","",N($E1846)*$F1846-N($G1846))</f>
        <v/>
      </c>
      <c r="I1846" s="35" t="str">
        <f aca="false">IF($C1846="","",$H1846-$H1846/(1+IFERROR(INDEX(PRODUCTOS!$E$6:$E$105,MATCH($C1846,PRODUCTOS!$A$6:$A$105,0)),IVA_VENTAS)))</f>
        <v/>
      </c>
      <c r="J1846" s="35" t="str">
        <f aca="false">IF($C1846="","",$H1846-$I1846)</f>
        <v/>
      </c>
      <c r="K1846" s="35" t="str">
        <f aca="false">IF($C1846="","",N($E1846)*IFERROR(INDEX(PRODUCTOS!$H$6:$H$105,MATCH($C1846,PRODUCTOS!$A$6:$A$105,0)),0))</f>
        <v/>
      </c>
      <c r="L1846" s="35" t="str">
        <f aca="false">IF($C1846="","",$J1846-$K1846)</f>
        <v/>
      </c>
      <c r="M1846" s="6"/>
      <c r="N1846" s="6"/>
      <c r="O1846" s="46" t="str">
        <f aca="false">IF($A1846="","",DATE(YEAR($A1846),MONTH($A1846),1))</f>
        <v/>
      </c>
    </row>
    <row r="1847" customFormat="false" ht="15" hidden="false" customHeight="false" outlineLevel="0" collapsed="false">
      <c r="A1847" s="44"/>
      <c r="B1847" s="6"/>
      <c r="C1847" s="6"/>
      <c r="D1847" s="8" t="str">
        <f aca="false">IF($C1847="","",IFERROR(INDEX(PRODUCTOS!$B$6:$B$105,MATCH($C1847,PRODUCTOS!$A$6:$A$105,0)),"¿Código?"))</f>
        <v/>
      </c>
      <c r="E1847" s="42"/>
      <c r="F1847" s="35" t="str">
        <f aca="false">IF($C1847="","",IFERROR(INDEX(PRODUCTOS!$D$6:$D$105,MATCH($C1847,PRODUCTOS!$A$6:$A$105,0)),0))</f>
        <v/>
      </c>
      <c r="G1847" s="40"/>
      <c r="H1847" s="35" t="str">
        <f aca="false">IF($C1847="","",N($E1847)*$F1847-N($G1847))</f>
        <v/>
      </c>
      <c r="I1847" s="35" t="str">
        <f aca="false">IF($C1847="","",$H1847-$H1847/(1+IFERROR(INDEX(PRODUCTOS!$E$6:$E$105,MATCH($C1847,PRODUCTOS!$A$6:$A$105,0)),IVA_VENTAS)))</f>
        <v/>
      </c>
      <c r="J1847" s="35" t="str">
        <f aca="false">IF($C1847="","",$H1847-$I1847)</f>
        <v/>
      </c>
      <c r="K1847" s="35" t="str">
        <f aca="false">IF($C1847="","",N($E1847)*IFERROR(INDEX(PRODUCTOS!$H$6:$H$105,MATCH($C1847,PRODUCTOS!$A$6:$A$105,0)),0))</f>
        <v/>
      </c>
      <c r="L1847" s="35" t="str">
        <f aca="false">IF($C1847="","",$J1847-$K1847)</f>
        <v/>
      </c>
      <c r="M1847" s="6"/>
      <c r="N1847" s="6"/>
      <c r="O1847" s="46" t="str">
        <f aca="false">IF($A1847="","",DATE(YEAR($A1847),MONTH($A1847),1))</f>
        <v/>
      </c>
    </row>
    <row r="1848" customFormat="false" ht="15" hidden="false" customHeight="false" outlineLevel="0" collapsed="false">
      <c r="A1848" s="44"/>
      <c r="B1848" s="6"/>
      <c r="C1848" s="6"/>
      <c r="D1848" s="8" t="str">
        <f aca="false">IF($C1848="","",IFERROR(INDEX(PRODUCTOS!$B$6:$B$105,MATCH($C1848,PRODUCTOS!$A$6:$A$105,0)),"¿Código?"))</f>
        <v/>
      </c>
      <c r="E1848" s="42"/>
      <c r="F1848" s="35" t="str">
        <f aca="false">IF($C1848="","",IFERROR(INDEX(PRODUCTOS!$D$6:$D$105,MATCH($C1848,PRODUCTOS!$A$6:$A$105,0)),0))</f>
        <v/>
      </c>
      <c r="G1848" s="40"/>
      <c r="H1848" s="35" t="str">
        <f aca="false">IF($C1848="","",N($E1848)*$F1848-N($G1848))</f>
        <v/>
      </c>
      <c r="I1848" s="35" t="str">
        <f aca="false">IF($C1848="","",$H1848-$H1848/(1+IFERROR(INDEX(PRODUCTOS!$E$6:$E$105,MATCH($C1848,PRODUCTOS!$A$6:$A$105,0)),IVA_VENTAS)))</f>
        <v/>
      </c>
      <c r="J1848" s="35" t="str">
        <f aca="false">IF($C1848="","",$H1848-$I1848)</f>
        <v/>
      </c>
      <c r="K1848" s="35" t="str">
        <f aca="false">IF($C1848="","",N($E1848)*IFERROR(INDEX(PRODUCTOS!$H$6:$H$105,MATCH($C1848,PRODUCTOS!$A$6:$A$105,0)),0))</f>
        <v/>
      </c>
      <c r="L1848" s="35" t="str">
        <f aca="false">IF($C1848="","",$J1848-$K1848)</f>
        <v/>
      </c>
      <c r="M1848" s="6"/>
      <c r="N1848" s="6"/>
      <c r="O1848" s="46" t="str">
        <f aca="false">IF($A1848="","",DATE(YEAR($A1848),MONTH($A1848),1))</f>
        <v/>
      </c>
    </row>
    <row r="1849" customFormat="false" ht="15" hidden="false" customHeight="false" outlineLevel="0" collapsed="false">
      <c r="A1849" s="44"/>
      <c r="B1849" s="6"/>
      <c r="C1849" s="6"/>
      <c r="D1849" s="8" t="str">
        <f aca="false">IF($C1849="","",IFERROR(INDEX(PRODUCTOS!$B$6:$B$105,MATCH($C1849,PRODUCTOS!$A$6:$A$105,0)),"¿Código?"))</f>
        <v/>
      </c>
      <c r="E1849" s="42"/>
      <c r="F1849" s="35" t="str">
        <f aca="false">IF($C1849="","",IFERROR(INDEX(PRODUCTOS!$D$6:$D$105,MATCH($C1849,PRODUCTOS!$A$6:$A$105,0)),0))</f>
        <v/>
      </c>
      <c r="G1849" s="40"/>
      <c r="H1849" s="35" t="str">
        <f aca="false">IF($C1849="","",N($E1849)*$F1849-N($G1849))</f>
        <v/>
      </c>
      <c r="I1849" s="35" t="str">
        <f aca="false">IF($C1849="","",$H1849-$H1849/(1+IFERROR(INDEX(PRODUCTOS!$E$6:$E$105,MATCH($C1849,PRODUCTOS!$A$6:$A$105,0)),IVA_VENTAS)))</f>
        <v/>
      </c>
      <c r="J1849" s="35" t="str">
        <f aca="false">IF($C1849="","",$H1849-$I1849)</f>
        <v/>
      </c>
      <c r="K1849" s="35" t="str">
        <f aca="false">IF($C1849="","",N($E1849)*IFERROR(INDEX(PRODUCTOS!$H$6:$H$105,MATCH($C1849,PRODUCTOS!$A$6:$A$105,0)),0))</f>
        <v/>
      </c>
      <c r="L1849" s="35" t="str">
        <f aca="false">IF($C1849="","",$J1849-$K1849)</f>
        <v/>
      </c>
      <c r="M1849" s="6"/>
      <c r="N1849" s="6"/>
      <c r="O1849" s="46" t="str">
        <f aca="false">IF($A1849="","",DATE(YEAR($A1849),MONTH($A1849),1))</f>
        <v/>
      </c>
    </row>
    <row r="1850" customFormat="false" ht="15" hidden="false" customHeight="false" outlineLevel="0" collapsed="false">
      <c r="A1850" s="44"/>
      <c r="B1850" s="6"/>
      <c r="C1850" s="6"/>
      <c r="D1850" s="8" t="str">
        <f aca="false">IF($C1850="","",IFERROR(INDEX(PRODUCTOS!$B$6:$B$105,MATCH($C1850,PRODUCTOS!$A$6:$A$105,0)),"¿Código?"))</f>
        <v/>
      </c>
      <c r="E1850" s="42"/>
      <c r="F1850" s="35" t="str">
        <f aca="false">IF($C1850="","",IFERROR(INDEX(PRODUCTOS!$D$6:$D$105,MATCH($C1850,PRODUCTOS!$A$6:$A$105,0)),0))</f>
        <v/>
      </c>
      <c r="G1850" s="40"/>
      <c r="H1850" s="35" t="str">
        <f aca="false">IF($C1850="","",N($E1850)*$F1850-N($G1850))</f>
        <v/>
      </c>
      <c r="I1850" s="35" t="str">
        <f aca="false">IF($C1850="","",$H1850-$H1850/(1+IFERROR(INDEX(PRODUCTOS!$E$6:$E$105,MATCH($C1850,PRODUCTOS!$A$6:$A$105,0)),IVA_VENTAS)))</f>
        <v/>
      </c>
      <c r="J1850" s="35" t="str">
        <f aca="false">IF($C1850="","",$H1850-$I1850)</f>
        <v/>
      </c>
      <c r="K1850" s="35" t="str">
        <f aca="false">IF($C1850="","",N($E1850)*IFERROR(INDEX(PRODUCTOS!$H$6:$H$105,MATCH($C1850,PRODUCTOS!$A$6:$A$105,0)),0))</f>
        <v/>
      </c>
      <c r="L1850" s="35" t="str">
        <f aca="false">IF($C1850="","",$J1850-$K1850)</f>
        <v/>
      </c>
      <c r="M1850" s="6"/>
      <c r="N1850" s="6"/>
      <c r="O1850" s="46" t="str">
        <f aca="false">IF($A1850="","",DATE(YEAR($A1850),MONTH($A1850),1))</f>
        <v/>
      </c>
    </row>
    <row r="1851" customFormat="false" ht="15" hidden="false" customHeight="false" outlineLevel="0" collapsed="false">
      <c r="A1851" s="44"/>
      <c r="B1851" s="6"/>
      <c r="C1851" s="6"/>
      <c r="D1851" s="8" t="str">
        <f aca="false">IF($C1851="","",IFERROR(INDEX(PRODUCTOS!$B$6:$B$105,MATCH($C1851,PRODUCTOS!$A$6:$A$105,0)),"¿Código?"))</f>
        <v/>
      </c>
      <c r="E1851" s="42"/>
      <c r="F1851" s="35" t="str">
        <f aca="false">IF($C1851="","",IFERROR(INDEX(PRODUCTOS!$D$6:$D$105,MATCH($C1851,PRODUCTOS!$A$6:$A$105,0)),0))</f>
        <v/>
      </c>
      <c r="G1851" s="40"/>
      <c r="H1851" s="35" t="str">
        <f aca="false">IF($C1851="","",N($E1851)*$F1851-N($G1851))</f>
        <v/>
      </c>
      <c r="I1851" s="35" t="str">
        <f aca="false">IF($C1851="","",$H1851-$H1851/(1+IFERROR(INDEX(PRODUCTOS!$E$6:$E$105,MATCH($C1851,PRODUCTOS!$A$6:$A$105,0)),IVA_VENTAS)))</f>
        <v/>
      </c>
      <c r="J1851" s="35" t="str">
        <f aca="false">IF($C1851="","",$H1851-$I1851)</f>
        <v/>
      </c>
      <c r="K1851" s="35" t="str">
        <f aca="false">IF($C1851="","",N($E1851)*IFERROR(INDEX(PRODUCTOS!$H$6:$H$105,MATCH($C1851,PRODUCTOS!$A$6:$A$105,0)),0))</f>
        <v/>
      </c>
      <c r="L1851" s="35" t="str">
        <f aca="false">IF($C1851="","",$J1851-$K1851)</f>
        <v/>
      </c>
      <c r="M1851" s="6"/>
      <c r="N1851" s="6"/>
      <c r="O1851" s="46" t="str">
        <f aca="false">IF($A1851="","",DATE(YEAR($A1851),MONTH($A1851),1))</f>
        <v/>
      </c>
    </row>
    <row r="1852" customFormat="false" ht="15" hidden="false" customHeight="false" outlineLevel="0" collapsed="false">
      <c r="A1852" s="44"/>
      <c r="B1852" s="6"/>
      <c r="C1852" s="6"/>
      <c r="D1852" s="8" t="str">
        <f aca="false">IF($C1852="","",IFERROR(INDEX(PRODUCTOS!$B$6:$B$105,MATCH($C1852,PRODUCTOS!$A$6:$A$105,0)),"¿Código?"))</f>
        <v/>
      </c>
      <c r="E1852" s="42"/>
      <c r="F1852" s="35" t="str">
        <f aca="false">IF($C1852="","",IFERROR(INDEX(PRODUCTOS!$D$6:$D$105,MATCH($C1852,PRODUCTOS!$A$6:$A$105,0)),0))</f>
        <v/>
      </c>
      <c r="G1852" s="40"/>
      <c r="H1852" s="35" t="str">
        <f aca="false">IF($C1852="","",N($E1852)*$F1852-N($G1852))</f>
        <v/>
      </c>
      <c r="I1852" s="35" t="str">
        <f aca="false">IF($C1852="","",$H1852-$H1852/(1+IFERROR(INDEX(PRODUCTOS!$E$6:$E$105,MATCH($C1852,PRODUCTOS!$A$6:$A$105,0)),IVA_VENTAS)))</f>
        <v/>
      </c>
      <c r="J1852" s="35" t="str">
        <f aca="false">IF($C1852="","",$H1852-$I1852)</f>
        <v/>
      </c>
      <c r="K1852" s="35" t="str">
        <f aca="false">IF($C1852="","",N($E1852)*IFERROR(INDEX(PRODUCTOS!$H$6:$H$105,MATCH($C1852,PRODUCTOS!$A$6:$A$105,0)),0))</f>
        <v/>
      </c>
      <c r="L1852" s="35" t="str">
        <f aca="false">IF($C1852="","",$J1852-$K1852)</f>
        <v/>
      </c>
      <c r="M1852" s="6"/>
      <c r="N1852" s="6"/>
      <c r="O1852" s="46" t="str">
        <f aca="false">IF($A1852="","",DATE(YEAR($A1852),MONTH($A1852),1))</f>
        <v/>
      </c>
    </row>
    <row r="1853" customFormat="false" ht="15" hidden="false" customHeight="false" outlineLevel="0" collapsed="false">
      <c r="A1853" s="44"/>
      <c r="B1853" s="6"/>
      <c r="C1853" s="6"/>
      <c r="D1853" s="8" t="str">
        <f aca="false">IF($C1853="","",IFERROR(INDEX(PRODUCTOS!$B$6:$B$105,MATCH($C1853,PRODUCTOS!$A$6:$A$105,0)),"¿Código?"))</f>
        <v/>
      </c>
      <c r="E1853" s="42"/>
      <c r="F1853" s="35" t="str">
        <f aca="false">IF($C1853="","",IFERROR(INDEX(PRODUCTOS!$D$6:$D$105,MATCH($C1853,PRODUCTOS!$A$6:$A$105,0)),0))</f>
        <v/>
      </c>
      <c r="G1853" s="40"/>
      <c r="H1853" s="35" t="str">
        <f aca="false">IF($C1853="","",N($E1853)*$F1853-N($G1853))</f>
        <v/>
      </c>
      <c r="I1853" s="35" t="str">
        <f aca="false">IF($C1853="","",$H1853-$H1853/(1+IFERROR(INDEX(PRODUCTOS!$E$6:$E$105,MATCH($C1853,PRODUCTOS!$A$6:$A$105,0)),IVA_VENTAS)))</f>
        <v/>
      </c>
      <c r="J1853" s="35" t="str">
        <f aca="false">IF($C1853="","",$H1853-$I1853)</f>
        <v/>
      </c>
      <c r="K1853" s="35" t="str">
        <f aca="false">IF($C1853="","",N($E1853)*IFERROR(INDEX(PRODUCTOS!$H$6:$H$105,MATCH($C1853,PRODUCTOS!$A$6:$A$105,0)),0))</f>
        <v/>
      </c>
      <c r="L1853" s="35" t="str">
        <f aca="false">IF($C1853="","",$J1853-$K1853)</f>
        <v/>
      </c>
      <c r="M1853" s="6"/>
      <c r="N1853" s="6"/>
      <c r="O1853" s="46" t="str">
        <f aca="false">IF($A1853="","",DATE(YEAR($A1853),MONTH($A1853),1))</f>
        <v/>
      </c>
    </row>
    <row r="1854" customFormat="false" ht="15" hidden="false" customHeight="false" outlineLevel="0" collapsed="false">
      <c r="A1854" s="44"/>
      <c r="B1854" s="6"/>
      <c r="C1854" s="6"/>
      <c r="D1854" s="8" t="str">
        <f aca="false">IF($C1854="","",IFERROR(INDEX(PRODUCTOS!$B$6:$B$105,MATCH($C1854,PRODUCTOS!$A$6:$A$105,0)),"¿Código?"))</f>
        <v/>
      </c>
      <c r="E1854" s="42"/>
      <c r="F1854" s="35" t="str">
        <f aca="false">IF($C1854="","",IFERROR(INDEX(PRODUCTOS!$D$6:$D$105,MATCH($C1854,PRODUCTOS!$A$6:$A$105,0)),0))</f>
        <v/>
      </c>
      <c r="G1854" s="40"/>
      <c r="H1854" s="35" t="str">
        <f aca="false">IF($C1854="","",N($E1854)*$F1854-N($G1854))</f>
        <v/>
      </c>
      <c r="I1854" s="35" t="str">
        <f aca="false">IF($C1854="","",$H1854-$H1854/(1+IFERROR(INDEX(PRODUCTOS!$E$6:$E$105,MATCH($C1854,PRODUCTOS!$A$6:$A$105,0)),IVA_VENTAS)))</f>
        <v/>
      </c>
      <c r="J1854" s="35" t="str">
        <f aca="false">IF($C1854="","",$H1854-$I1854)</f>
        <v/>
      </c>
      <c r="K1854" s="35" t="str">
        <f aca="false">IF($C1854="","",N($E1854)*IFERROR(INDEX(PRODUCTOS!$H$6:$H$105,MATCH($C1854,PRODUCTOS!$A$6:$A$105,0)),0))</f>
        <v/>
      </c>
      <c r="L1854" s="35" t="str">
        <f aca="false">IF($C1854="","",$J1854-$K1854)</f>
        <v/>
      </c>
      <c r="M1854" s="6"/>
      <c r="N1854" s="6"/>
      <c r="O1854" s="46" t="str">
        <f aca="false">IF($A1854="","",DATE(YEAR($A1854),MONTH($A1854),1))</f>
        <v/>
      </c>
    </row>
    <row r="1855" customFormat="false" ht="15" hidden="false" customHeight="false" outlineLevel="0" collapsed="false">
      <c r="A1855" s="44"/>
      <c r="B1855" s="6"/>
      <c r="C1855" s="6"/>
      <c r="D1855" s="8" t="str">
        <f aca="false">IF($C1855="","",IFERROR(INDEX(PRODUCTOS!$B$6:$B$105,MATCH($C1855,PRODUCTOS!$A$6:$A$105,0)),"¿Código?"))</f>
        <v/>
      </c>
      <c r="E1855" s="42"/>
      <c r="F1855" s="35" t="str">
        <f aca="false">IF($C1855="","",IFERROR(INDEX(PRODUCTOS!$D$6:$D$105,MATCH($C1855,PRODUCTOS!$A$6:$A$105,0)),0))</f>
        <v/>
      </c>
      <c r="G1855" s="40"/>
      <c r="H1855" s="35" t="str">
        <f aca="false">IF($C1855="","",N($E1855)*$F1855-N($G1855))</f>
        <v/>
      </c>
      <c r="I1855" s="35" t="str">
        <f aca="false">IF($C1855="","",$H1855-$H1855/(1+IFERROR(INDEX(PRODUCTOS!$E$6:$E$105,MATCH($C1855,PRODUCTOS!$A$6:$A$105,0)),IVA_VENTAS)))</f>
        <v/>
      </c>
      <c r="J1855" s="35" t="str">
        <f aca="false">IF($C1855="","",$H1855-$I1855)</f>
        <v/>
      </c>
      <c r="K1855" s="35" t="str">
        <f aca="false">IF($C1855="","",N($E1855)*IFERROR(INDEX(PRODUCTOS!$H$6:$H$105,MATCH($C1855,PRODUCTOS!$A$6:$A$105,0)),0))</f>
        <v/>
      </c>
      <c r="L1855" s="35" t="str">
        <f aca="false">IF($C1855="","",$J1855-$K1855)</f>
        <v/>
      </c>
      <c r="M1855" s="6"/>
      <c r="N1855" s="6"/>
      <c r="O1855" s="46" t="str">
        <f aca="false">IF($A1855="","",DATE(YEAR($A1855),MONTH($A1855),1))</f>
        <v/>
      </c>
    </row>
    <row r="1856" customFormat="false" ht="15" hidden="false" customHeight="false" outlineLevel="0" collapsed="false">
      <c r="A1856" s="44"/>
      <c r="B1856" s="6"/>
      <c r="C1856" s="6"/>
      <c r="D1856" s="8" t="str">
        <f aca="false">IF($C1856="","",IFERROR(INDEX(PRODUCTOS!$B$6:$B$105,MATCH($C1856,PRODUCTOS!$A$6:$A$105,0)),"¿Código?"))</f>
        <v/>
      </c>
      <c r="E1856" s="42"/>
      <c r="F1856" s="35" t="str">
        <f aca="false">IF($C1856="","",IFERROR(INDEX(PRODUCTOS!$D$6:$D$105,MATCH($C1856,PRODUCTOS!$A$6:$A$105,0)),0))</f>
        <v/>
      </c>
      <c r="G1856" s="40"/>
      <c r="H1856" s="35" t="str">
        <f aca="false">IF($C1856="","",N($E1856)*$F1856-N($G1856))</f>
        <v/>
      </c>
      <c r="I1856" s="35" t="str">
        <f aca="false">IF($C1856="","",$H1856-$H1856/(1+IFERROR(INDEX(PRODUCTOS!$E$6:$E$105,MATCH($C1856,PRODUCTOS!$A$6:$A$105,0)),IVA_VENTAS)))</f>
        <v/>
      </c>
      <c r="J1856" s="35" t="str">
        <f aca="false">IF($C1856="","",$H1856-$I1856)</f>
        <v/>
      </c>
      <c r="K1856" s="35" t="str">
        <f aca="false">IF($C1856="","",N($E1856)*IFERROR(INDEX(PRODUCTOS!$H$6:$H$105,MATCH($C1856,PRODUCTOS!$A$6:$A$105,0)),0))</f>
        <v/>
      </c>
      <c r="L1856" s="35" t="str">
        <f aca="false">IF($C1856="","",$J1856-$K1856)</f>
        <v/>
      </c>
      <c r="M1856" s="6"/>
      <c r="N1856" s="6"/>
      <c r="O1856" s="46" t="str">
        <f aca="false">IF($A1856="","",DATE(YEAR($A1856),MONTH($A1856),1))</f>
        <v/>
      </c>
    </row>
    <row r="1857" customFormat="false" ht="15" hidden="false" customHeight="false" outlineLevel="0" collapsed="false">
      <c r="A1857" s="44"/>
      <c r="B1857" s="6"/>
      <c r="C1857" s="6"/>
      <c r="D1857" s="8" t="str">
        <f aca="false">IF($C1857="","",IFERROR(INDEX(PRODUCTOS!$B$6:$B$105,MATCH($C1857,PRODUCTOS!$A$6:$A$105,0)),"¿Código?"))</f>
        <v/>
      </c>
      <c r="E1857" s="42"/>
      <c r="F1857" s="35" t="str">
        <f aca="false">IF($C1857="","",IFERROR(INDEX(PRODUCTOS!$D$6:$D$105,MATCH($C1857,PRODUCTOS!$A$6:$A$105,0)),0))</f>
        <v/>
      </c>
      <c r="G1857" s="40"/>
      <c r="H1857" s="35" t="str">
        <f aca="false">IF($C1857="","",N($E1857)*$F1857-N($G1857))</f>
        <v/>
      </c>
      <c r="I1857" s="35" t="str">
        <f aca="false">IF($C1857="","",$H1857-$H1857/(1+IFERROR(INDEX(PRODUCTOS!$E$6:$E$105,MATCH($C1857,PRODUCTOS!$A$6:$A$105,0)),IVA_VENTAS)))</f>
        <v/>
      </c>
      <c r="J1857" s="35" t="str">
        <f aca="false">IF($C1857="","",$H1857-$I1857)</f>
        <v/>
      </c>
      <c r="K1857" s="35" t="str">
        <f aca="false">IF($C1857="","",N($E1857)*IFERROR(INDEX(PRODUCTOS!$H$6:$H$105,MATCH($C1857,PRODUCTOS!$A$6:$A$105,0)),0))</f>
        <v/>
      </c>
      <c r="L1857" s="35" t="str">
        <f aca="false">IF($C1857="","",$J1857-$K1857)</f>
        <v/>
      </c>
      <c r="M1857" s="6"/>
      <c r="N1857" s="6"/>
      <c r="O1857" s="46" t="str">
        <f aca="false">IF($A1857="","",DATE(YEAR($A1857),MONTH($A1857),1))</f>
        <v/>
      </c>
    </row>
    <row r="1858" customFormat="false" ht="15" hidden="false" customHeight="false" outlineLevel="0" collapsed="false">
      <c r="A1858" s="44"/>
      <c r="B1858" s="6"/>
      <c r="C1858" s="6"/>
      <c r="D1858" s="8" t="str">
        <f aca="false">IF($C1858="","",IFERROR(INDEX(PRODUCTOS!$B$6:$B$105,MATCH($C1858,PRODUCTOS!$A$6:$A$105,0)),"¿Código?"))</f>
        <v/>
      </c>
      <c r="E1858" s="42"/>
      <c r="F1858" s="35" t="str">
        <f aca="false">IF($C1858="","",IFERROR(INDEX(PRODUCTOS!$D$6:$D$105,MATCH($C1858,PRODUCTOS!$A$6:$A$105,0)),0))</f>
        <v/>
      </c>
      <c r="G1858" s="40"/>
      <c r="H1858" s="35" t="str">
        <f aca="false">IF($C1858="","",N($E1858)*$F1858-N($G1858))</f>
        <v/>
      </c>
      <c r="I1858" s="35" t="str">
        <f aca="false">IF($C1858="","",$H1858-$H1858/(1+IFERROR(INDEX(PRODUCTOS!$E$6:$E$105,MATCH($C1858,PRODUCTOS!$A$6:$A$105,0)),IVA_VENTAS)))</f>
        <v/>
      </c>
      <c r="J1858" s="35" t="str">
        <f aca="false">IF($C1858="","",$H1858-$I1858)</f>
        <v/>
      </c>
      <c r="K1858" s="35" t="str">
        <f aca="false">IF($C1858="","",N($E1858)*IFERROR(INDEX(PRODUCTOS!$H$6:$H$105,MATCH($C1858,PRODUCTOS!$A$6:$A$105,0)),0))</f>
        <v/>
      </c>
      <c r="L1858" s="35" t="str">
        <f aca="false">IF($C1858="","",$J1858-$K1858)</f>
        <v/>
      </c>
      <c r="M1858" s="6"/>
      <c r="N1858" s="6"/>
      <c r="O1858" s="46" t="str">
        <f aca="false">IF($A1858="","",DATE(YEAR($A1858),MONTH($A1858),1))</f>
        <v/>
      </c>
    </row>
    <row r="1859" customFormat="false" ht="15" hidden="false" customHeight="false" outlineLevel="0" collapsed="false">
      <c r="A1859" s="44"/>
      <c r="B1859" s="6"/>
      <c r="C1859" s="6"/>
      <c r="D1859" s="8" t="str">
        <f aca="false">IF($C1859="","",IFERROR(INDEX(PRODUCTOS!$B$6:$B$105,MATCH($C1859,PRODUCTOS!$A$6:$A$105,0)),"¿Código?"))</f>
        <v/>
      </c>
      <c r="E1859" s="42"/>
      <c r="F1859" s="35" t="str">
        <f aca="false">IF($C1859="","",IFERROR(INDEX(PRODUCTOS!$D$6:$D$105,MATCH($C1859,PRODUCTOS!$A$6:$A$105,0)),0))</f>
        <v/>
      </c>
      <c r="G1859" s="40"/>
      <c r="H1859" s="35" t="str">
        <f aca="false">IF($C1859="","",N($E1859)*$F1859-N($G1859))</f>
        <v/>
      </c>
      <c r="I1859" s="35" t="str">
        <f aca="false">IF($C1859="","",$H1859-$H1859/(1+IFERROR(INDEX(PRODUCTOS!$E$6:$E$105,MATCH($C1859,PRODUCTOS!$A$6:$A$105,0)),IVA_VENTAS)))</f>
        <v/>
      </c>
      <c r="J1859" s="35" t="str">
        <f aca="false">IF($C1859="","",$H1859-$I1859)</f>
        <v/>
      </c>
      <c r="K1859" s="35" t="str">
        <f aca="false">IF($C1859="","",N($E1859)*IFERROR(INDEX(PRODUCTOS!$H$6:$H$105,MATCH($C1859,PRODUCTOS!$A$6:$A$105,0)),0))</f>
        <v/>
      </c>
      <c r="L1859" s="35" t="str">
        <f aca="false">IF($C1859="","",$J1859-$K1859)</f>
        <v/>
      </c>
      <c r="M1859" s="6"/>
      <c r="N1859" s="6"/>
      <c r="O1859" s="46" t="str">
        <f aca="false">IF($A1859="","",DATE(YEAR($A1859),MONTH($A1859),1))</f>
        <v/>
      </c>
    </row>
    <row r="1860" customFormat="false" ht="15" hidden="false" customHeight="false" outlineLevel="0" collapsed="false">
      <c r="A1860" s="44"/>
      <c r="B1860" s="6"/>
      <c r="C1860" s="6"/>
      <c r="D1860" s="8" t="str">
        <f aca="false">IF($C1860="","",IFERROR(INDEX(PRODUCTOS!$B$6:$B$105,MATCH($C1860,PRODUCTOS!$A$6:$A$105,0)),"¿Código?"))</f>
        <v/>
      </c>
      <c r="E1860" s="42"/>
      <c r="F1860" s="35" t="str">
        <f aca="false">IF($C1860="","",IFERROR(INDEX(PRODUCTOS!$D$6:$D$105,MATCH($C1860,PRODUCTOS!$A$6:$A$105,0)),0))</f>
        <v/>
      </c>
      <c r="G1860" s="40"/>
      <c r="H1860" s="35" t="str">
        <f aca="false">IF($C1860="","",N($E1860)*$F1860-N($G1860))</f>
        <v/>
      </c>
      <c r="I1860" s="35" t="str">
        <f aca="false">IF($C1860="","",$H1860-$H1860/(1+IFERROR(INDEX(PRODUCTOS!$E$6:$E$105,MATCH($C1860,PRODUCTOS!$A$6:$A$105,0)),IVA_VENTAS)))</f>
        <v/>
      </c>
      <c r="J1860" s="35" t="str">
        <f aca="false">IF($C1860="","",$H1860-$I1860)</f>
        <v/>
      </c>
      <c r="K1860" s="35" t="str">
        <f aca="false">IF($C1860="","",N($E1860)*IFERROR(INDEX(PRODUCTOS!$H$6:$H$105,MATCH($C1860,PRODUCTOS!$A$6:$A$105,0)),0))</f>
        <v/>
      </c>
      <c r="L1860" s="35" t="str">
        <f aca="false">IF($C1860="","",$J1860-$K1860)</f>
        <v/>
      </c>
      <c r="M1860" s="6"/>
      <c r="N1860" s="6"/>
      <c r="O1860" s="46" t="str">
        <f aca="false">IF($A1860="","",DATE(YEAR($A1860),MONTH($A1860),1))</f>
        <v/>
      </c>
    </row>
    <row r="1861" customFormat="false" ht="15" hidden="false" customHeight="false" outlineLevel="0" collapsed="false">
      <c r="A1861" s="44"/>
      <c r="B1861" s="6"/>
      <c r="C1861" s="6"/>
      <c r="D1861" s="8" t="str">
        <f aca="false">IF($C1861="","",IFERROR(INDEX(PRODUCTOS!$B$6:$B$105,MATCH($C1861,PRODUCTOS!$A$6:$A$105,0)),"¿Código?"))</f>
        <v/>
      </c>
      <c r="E1861" s="42"/>
      <c r="F1861" s="35" t="str">
        <f aca="false">IF($C1861="","",IFERROR(INDEX(PRODUCTOS!$D$6:$D$105,MATCH($C1861,PRODUCTOS!$A$6:$A$105,0)),0))</f>
        <v/>
      </c>
      <c r="G1861" s="40"/>
      <c r="H1861" s="35" t="str">
        <f aca="false">IF($C1861="","",N($E1861)*$F1861-N($G1861))</f>
        <v/>
      </c>
      <c r="I1861" s="35" t="str">
        <f aca="false">IF($C1861="","",$H1861-$H1861/(1+IFERROR(INDEX(PRODUCTOS!$E$6:$E$105,MATCH($C1861,PRODUCTOS!$A$6:$A$105,0)),IVA_VENTAS)))</f>
        <v/>
      </c>
      <c r="J1861" s="35" t="str">
        <f aca="false">IF($C1861="","",$H1861-$I1861)</f>
        <v/>
      </c>
      <c r="K1861" s="35" t="str">
        <f aca="false">IF($C1861="","",N($E1861)*IFERROR(INDEX(PRODUCTOS!$H$6:$H$105,MATCH($C1861,PRODUCTOS!$A$6:$A$105,0)),0))</f>
        <v/>
      </c>
      <c r="L1861" s="35" t="str">
        <f aca="false">IF($C1861="","",$J1861-$K1861)</f>
        <v/>
      </c>
      <c r="M1861" s="6"/>
      <c r="N1861" s="6"/>
      <c r="O1861" s="46" t="str">
        <f aca="false">IF($A1861="","",DATE(YEAR($A1861),MONTH($A1861),1))</f>
        <v/>
      </c>
    </row>
    <row r="1862" customFormat="false" ht="15" hidden="false" customHeight="false" outlineLevel="0" collapsed="false">
      <c r="A1862" s="44"/>
      <c r="B1862" s="6"/>
      <c r="C1862" s="6"/>
      <c r="D1862" s="8" t="str">
        <f aca="false">IF($C1862="","",IFERROR(INDEX(PRODUCTOS!$B$6:$B$105,MATCH($C1862,PRODUCTOS!$A$6:$A$105,0)),"¿Código?"))</f>
        <v/>
      </c>
      <c r="E1862" s="42"/>
      <c r="F1862" s="35" t="str">
        <f aca="false">IF($C1862="","",IFERROR(INDEX(PRODUCTOS!$D$6:$D$105,MATCH($C1862,PRODUCTOS!$A$6:$A$105,0)),0))</f>
        <v/>
      </c>
      <c r="G1862" s="40"/>
      <c r="H1862" s="35" t="str">
        <f aca="false">IF($C1862="","",N($E1862)*$F1862-N($G1862))</f>
        <v/>
      </c>
      <c r="I1862" s="35" t="str">
        <f aca="false">IF($C1862="","",$H1862-$H1862/(1+IFERROR(INDEX(PRODUCTOS!$E$6:$E$105,MATCH($C1862,PRODUCTOS!$A$6:$A$105,0)),IVA_VENTAS)))</f>
        <v/>
      </c>
      <c r="J1862" s="35" t="str">
        <f aca="false">IF($C1862="","",$H1862-$I1862)</f>
        <v/>
      </c>
      <c r="K1862" s="35" t="str">
        <f aca="false">IF($C1862="","",N($E1862)*IFERROR(INDEX(PRODUCTOS!$H$6:$H$105,MATCH($C1862,PRODUCTOS!$A$6:$A$105,0)),0))</f>
        <v/>
      </c>
      <c r="L1862" s="35" t="str">
        <f aca="false">IF($C1862="","",$J1862-$K1862)</f>
        <v/>
      </c>
      <c r="M1862" s="6"/>
      <c r="N1862" s="6"/>
      <c r="O1862" s="46" t="str">
        <f aca="false">IF($A1862="","",DATE(YEAR($A1862),MONTH($A1862),1))</f>
        <v/>
      </c>
    </row>
    <row r="1863" customFormat="false" ht="15" hidden="false" customHeight="false" outlineLevel="0" collapsed="false">
      <c r="A1863" s="44"/>
      <c r="B1863" s="6"/>
      <c r="C1863" s="6"/>
      <c r="D1863" s="8" t="str">
        <f aca="false">IF($C1863="","",IFERROR(INDEX(PRODUCTOS!$B$6:$B$105,MATCH($C1863,PRODUCTOS!$A$6:$A$105,0)),"¿Código?"))</f>
        <v/>
      </c>
      <c r="E1863" s="42"/>
      <c r="F1863" s="35" t="str">
        <f aca="false">IF($C1863="","",IFERROR(INDEX(PRODUCTOS!$D$6:$D$105,MATCH($C1863,PRODUCTOS!$A$6:$A$105,0)),0))</f>
        <v/>
      </c>
      <c r="G1863" s="40"/>
      <c r="H1863" s="35" t="str">
        <f aca="false">IF($C1863="","",N($E1863)*$F1863-N($G1863))</f>
        <v/>
      </c>
      <c r="I1863" s="35" t="str">
        <f aca="false">IF($C1863="","",$H1863-$H1863/(1+IFERROR(INDEX(PRODUCTOS!$E$6:$E$105,MATCH($C1863,PRODUCTOS!$A$6:$A$105,0)),IVA_VENTAS)))</f>
        <v/>
      </c>
      <c r="J1863" s="35" t="str">
        <f aca="false">IF($C1863="","",$H1863-$I1863)</f>
        <v/>
      </c>
      <c r="K1863" s="35" t="str">
        <f aca="false">IF($C1863="","",N($E1863)*IFERROR(INDEX(PRODUCTOS!$H$6:$H$105,MATCH($C1863,PRODUCTOS!$A$6:$A$105,0)),0))</f>
        <v/>
      </c>
      <c r="L1863" s="35" t="str">
        <f aca="false">IF($C1863="","",$J1863-$K1863)</f>
        <v/>
      </c>
      <c r="M1863" s="6"/>
      <c r="N1863" s="6"/>
      <c r="O1863" s="46" t="str">
        <f aca="false">IF($A1863="","",DATE(YEAR($A1863),MONTH($A1863),1))</f>
        <v/>
      </c>
    </row>
    <row r="1864" customFormat="false" ht="15" hidden="false" customHeight="false" outlineLevel="0" collapsed="false">
      <c r="A1864" s="44"/>
      <c r="B1864" s="6"/>
      <c r="C1864" s="6"/>
      <c r="D1864" s="8" t="str">
        <f aca="false">IF($C1864="","",IFERROR(INDEX(PRODUCTOS!$B$6:$B$105,MATCH($C1864,PRODUCTOS!$A$6:$A$105,0)),"¿Código?"))</f>
        <v/>
      </c>
      <c r="E1864" s="42"/>
      <c r="F1864" s="35" t="str">
        <f aca="false">IF($C1864="","",IFERROR(INDEX(PRODUCTOS!$D$6:$D$105,MATCH($C1864,PRODUCTOS!$A$6:$A$105,0)),0))</f>
        <v/>
      </c>
      <c r="G1864" s="40"/>
      <c r="H1864" s="35" t="str">
        <f aca="false">IF($C1864="","",N($E1864)*$F1864-N($G1864))</f>
        <v/>
      </c>
      <c r="I1864" s="35" t="str">
        <f aca="false">IF($C1864="","",$H1864-$H1864/(1+IFERROR(INDEX(PRODUCTOS!$E$6:$E$105,MATCH($C1864,PRODUCTOS!$A$6:$A$105,0)),IVA_VENTAS)))</f>
        <v/>
      </c>
      <c r="J1864" s="35" t="str">
        <f aca="false">IF($C1864="","",$H1864-$I1864)</f>
        <v/>
      </c>
      <c r="K1864" s="35" t="str">
        <f aca="false">IF($C1864="","",N($E1864)*IFERROR(INDEX(PRODUCTOS!$H$6:$H$105,MATCH($C1864,PRODUCTOS!$A$6:$A$105,0)),0))</f>
        <v/>
      </c>
      <c r="L1864" s="35" t="str">
        <f aca="false">IF($C1864="","",$J1864-$K1864)</f>
        <v/>
      </c>
      <c r="M1864" s="6"/>
      <c r="N1864" s="6"/>
      <c r="O1864" s="46" t="str">
        <f aca="false">IF($A1864="","",DATE(YEAR($A1864),MONTH($A1864),1))</f>
        <v/>
      </c>
    </row>
    <row r="1865" customFormat="false" ht="15" hidden="false" customHeight="false" outlineLevel="0" collapsed="false">
      <c r="A1865" s="44"/>
      <c r="B1865" s="6"/>
      <c r="C1865" s="6"/>
      <c r="D1865" s="8" t="str">
        <f aca="false">IF($C1865="","",IFERROR(INDEX(PRODUCTOS!$B$6:$B$105,MATCH($C1865,PRODUCTOS!$A$6:$A$105,0)),"¿Código?"))</f>
        <v/>
      </c>
      <c r="E1865" s="42"/>
      <c r="F1865" s="35" t="str">
        <f aca="false">IF($C1865="","",IFERROR(INDEX(PRODUCTOS!$D$6:$D$105,MATCH($C1865,PRODUCTOS!$A$6:$A$105,0)),0))</f>
        <v/>
      </c>
      <c r="G1865" s="40"/>
      <c r="H1865" s="35" t="str">
        <f aca="false">IF($C1865="","",N($E1865)*$F1865-N($G1865))</f>
        <v/>
      </c>
      <c r="I1865" s="35" t="str">
        <f aca="false">IF($C1865="","",$H1865-$H1865/(1+IFERROR(INDEX(PRODUCTOS!$E$6:$E$105,MATCH($C1865,PRODUCTOS!$A$6:$A$105,0)),IVA_VENTAS)))</f>
        <v/>
      </c>
      <c r="J1865" s="35" t="str">
        <f aca="false">IF($C1865="","",$H1865-$I1865)</f>
        <v/>
      </c>
      <c r="K1865" s="35" t="str">
        <f aca="false">IF($C1865="","",N($E1865)*IFERROR(INDEX(PRODUCTOS!$H$6:$H$105,MATCH($C1865,PRODUCTOS!$A$6:$A$105,0)),0))</f>
        <v/>
      </c>
      <c r="L1865" s="35" t="str">
        <f aca="false">IF($C1865="","",$J1865-$K1865)</f>
        <v/>
      </c>
      <c r="M1865" s="6"/>
      <c r="N1865" s="6"/>
      <c r="O1865" s="46" t="str">
        <f aca="false">IF($A1865="","",DATE(YEAR($A1865),MONTH($A1865),1))</f>
        <v/>
      </c>
    </row>
    <row r="1866" customFormat="false" ht="15" hidden="false" customHeight="false" outlineLevel="0" collapsed="false">
      <c r="A1866" s="44"/>
      <c r="B1866" s="6"/>
      <c r="C1866" s="6"/>
      <c r="D1866" s="8" t="str">
        <f aca="false">IF($C1866="","",IFERROR(INDEX(PRODUCTOS!$B$6:$B$105,MATCH($C1866,PRODUCTOS!$A$6:$A$105,0)),"¿Código?"))</f>
        <v/>
      </c>
      <c r="E1866" s="42"/>
      <c r="F1866" s="35" t="str">
        <f aca="false">IF($C1866="","",IFERROR(INDEX(PRODUCTOS!$D$6:$D$105,MATCH($C1866,PRODUCTOS!$A$6:$A$105,0)),0))</f>
        <v/>
      </c>
      <c r="G1866" s="40"/>
      <c r="H1866" s="35" t="str">
        <f aca="false">IF($C1866="","",N($E1866)*$F1866-N($G1866))</f>
        <v/>
      </c>
      <c r="I1866" s="35" t="str">
        <f aca="false">IF($C1866="","",$H1866-$H1866/(1+IFERROR(INDEX(PRODUCTOS!$E$6:$E$105,MATCH($C1866,PRODUCTOS!$A$6:$A$105,0)),IVA_VENTAS)))</f>
        <v/>
      </c>
      <c r="J1866" s="35" t="str">
        <f aca="false">IF($C1866="","",$H1866-$I1866)</f>
        <v/>
      </c>
      <c r="K1866" s="35" t="str">
        <f aca="false">IF($C1866="","",N($E1866)*IFERROR(INDEX(PRODUCTOS!$H$6:$H$105,MATCH($C1866,PRODUCTOS!$A$6:$A$105,0)),0))</f>
        <v/>
      </c>
      <c r="L1866" s="35" t="str">
        <f aca="false">IF($C1866="","",$J1866-$K1866)</f>
        <v/>
      </c>
      <c r="M1866" s="6"/>
      <c r="N1866" s="6"/>
      <c r="O1866" s="46" t="str">
        <f aca="false">IF($A1866="","",DATE(YEAR($A1866),MONTH($A1866),1))</f>
        <v/>
      </c>
    </row>
    <row r="1867" customFormat="false" ht="15" hidden="false" customHeight="false" outlineLevel="0" collapsed="false">
      <c r="A1867" s="44"/>
      <c r="B1867" s="6"/>
      <c r="C1867" s="6"/>
      <c r="D1867" s="8" t="str">
        <f aca="false">IF($C1867="","",IFERROR(INDEX(PRODUCTOS!$B$6:$B$105,MATCH($C1867,PRODUCTOS!$A$6:$A$105,0)),"¿Código?"))</f>
        <v/>
      </c>
      <c r="E1867" s="42"/>
      <c r="F1867" s="35" t="str">
        <f aca="false">IF($C1867="","",IFERROR(INDEX(PRODUCTOS!$D$6:$D$105,MATCH($C1867,PRODUCTOS!$A$6:$A$105,0)),0))</f>
        <v/>
      </c>
      <c r="G1867" s="40"/>
      <c r="H1867" s="35" t="str">
        <f aca="false">IF($C1867="","",N($E1867)*$F1867-N($G1867))</f>
        <v/>
      </c>
      <c r="I1867" s="35" t="str">
        <f aca="false">IF($C1867="","",$H1867-$H1867/(1+IFERROR(INDEX(PRODUCTOS!$E$6:$E$105,MATCH($C1867,PRODUCTOS!$A$6:$A$105,0)),IVA_VENTAS)))</f>
        <v/>
      </c>
      <c r="J1867" s="35" t="str">
        <f aca="false">IF($C1867="","",$H1867-$I1867)</f>
        <v/>
      </c>
      <c r="K1867" s="35" t="str">
        <f aca="false">IF($C1867="","",N($E1867)*IFERROR(INDEX(PRODUCTOS!$H$6:$H$105,MATCH($C1867,PRODUCTOS!$A$6:$A$105,0)),0))</f>
        <v/>
      </c>
      <c r="L1867" s="35" t="str">
        <f aca="false">IF($C1867="","",$J1867-$K1867)</f>
        <v/>
      </c>
      <c r="M1867" s="6"/>
      <c r="N1867" s="6"/>
      <c r="O1867" s="46" t="str">
        <f aca="false">IF($A1867="","",DATE(YEAR($A1867),MONTH($A1867),1))</f>
        <v/>
      </c>
    </row>
    <row r="1868" customFormat="false" ht="15" hidden="false" customHeight="false" outlineLevel="0" collapsed="false">
      <c r="A1868" s="44"/>
      <c r="B1868" s="6"/>
      <c r="C1868" s="6"/>
      <c r="D1868" s="8" t="str">
        <f aca="false">IF($C1868="","",IFERROR(INDEX(PRODUCTOS!$B$6:$B$105,MATCH($C1868,PRODUCTOS!$A$6:$A$105,0)),"¿Código?"))</f>
        <v/>
      </c>
      <c r="E1868" s="42"/>
      <c r="F1868" s="35" t="str">
        <f aca="false">IF($C1868="","",IFERROR(INDEX(PRODUCTOS!$D$6:$D$105,MATCH($C1868,PRODUCTOS!$A$6:$A$105,0)),0))</f>
        <v/>
      </c>
      <c r="G1868" s="40"/>
      <c r="H1868" s="35" t="str">
        <f aca="false">IF($C1868="","",N($E1868)*$F1868-N($G1868))</f>
        <v/>
      </c>
      <c r="I1868" s="35" t="str">
        <f aca="false">IF($C1868="","",$H1868-$H1868/(1+IFERROR(INDEX(PRODUCTOS!$E$6:$E$105,MATCH($C1868,PRODUCTOS!$A$6:$A$105,0)),IVA_VENTAS)))</f>
        <v/>
      </c>
      <c r="J1868" s="35" t="str">
        <f aca="false">IF($C1868="","",$H1868-$I1868)</f>
        <v/>
      </c>
      <c r="K1868" s="35" t="str">
        <f aca="false">IF($C1868="","",N($E1868)*IFERROR(INDEX(PRODUCTOS!$H$6:$H$105,MATCH($C1868,PRODUCTOS!$A$6:$A$105,0)),0))</f>
        <v/>
      </c>
      <c r="L1868" s="35" t="str">
        <f aca="false">IF($C1868="","",$J1868-$K1868)</f>
        <v/>
      </c>
      <c r="M1868" s="6"/>
      <c r="N1868" s="6"/>
      <c r="O1868" s="46" t="str">
        <f aca="false">IF($A1868="","",DATE(YEAR($A1868),MONTH($A1868),1))</f>
        <v/>
      </c>
    </row>
    <row r="1869" customFormat="false" ht="15" hidden="false" customHeight="false" outlineLevel="0" collapsed="false">
      <c r="A1869" s="44"/>
      <c r="B1869" s="6"/>
      <c r="C1869" s="6"/>
      <c r="D1869" s="8" t="str">
        <f aca="false">IF($C1869="","",IFERROR(INDEX(PRODUCTOS!$B$6:$B$105,MATCH($C1869,PRODUCTOS!$A$6:$A$105,0)),"¿Código?"))</f>
        <v/>
      </c>
      <c r="E1869" s="42"/>
      <c r="F1869" s="35" t="str">
        <f aca="false">IF($C1869="","",IFERROR(INDEX(PRODUCTOS!$D$6:$D$105,MATCH($C1869,PRODUCTOS!$A$6:$A$105,0)),0))</f>
        <v/>
      </c>
      <c r="G1869" s="40"/>
      <c r="H1869" s="35" t="str">
        <f aca="false">IF($C1869="","",N($E1869)*$F1869-N($G1869))</f>
        <v/>
      </c>
      <c r="I1869" s="35" t="str">
        <f aca="false">IF($C1869="","",$H1869-$H1869/(1+IFERROR(INDEX(PRODUCTOS!$E$6:$E$105,MATCH($C1869,PRODUCTOS!$A$6:$A$105,0)),IVA_VENTAS)))</f>
        <v/>
      </c>
      <c r="J1869" s="35" t="str">
        <f aca="false">IF($C1869="","",$H1869-$I1869)</f>
        <v/>
      </c>
      <c r="K1869" s="35" t="str">
        <f aca="false">IF($C1869="","",N($E1869)*IFERROR(INDEX(PRODUCTOS!$H$6:$H$105,MATCH($C1869,PRODUCTOS!$A$6:$A$105,0)),0))</f>
        <v/>
      </c>
      <c r="L1869" s="35" t="str">
        <f aca="false">IF($C1869="","",$J1869-$K1869)</f>
        <v/>
      </c>
      <c r="M1869" s="6"/>
      <c r="N1869" s="6"/>
      <c r="O1869" s="46" t="str">
        <f aca="false">IF($A1869="","",DATE(YEAR($A1869),MONTH($A1869),1))</f>
        <v/>
      </c>
    </row>
    <row r="1870" customFormat="false" ht="15" hidden="false" customHeight="false" outlineLevel="0" collapsed="false">
      <c r="A1870" s="44"/>
      <c r="B1870" s="6"/>
      <c r="C1870" s="6"/>
      <c r="D1870" s="8" t="str">
        <f aca="false">IF($C1870="","",IFERROR(INDEX(PRODUCTOS!$B$6:$B$105,MATCH($C1870,PRODUCTOS!$A$6:$A$105,0)),"¿Código?"))</f>
        <v/>
      </c>
      <c r="E1870" s="42"/>
      <c r="F1870" s="35" t="str">
        <f aca="false">IF($C1870="","",IFERROR(INDEX(PRODUCTOS!$D$6:$D$105,MATCH($C1870,PRODUCTOS!$A$6:$A$105,0)),0))</f>
        <v/>
      </c>
      <c r="G1870" s="40"/>
      <c r="H1870" s="35" t="str">
        <f aca="false">IF($C1870="","",N($E1870)*$F1870-N($G1870))</f>
        <v/>
      </c>
      <c r="I1870" s="35" t="str">
        <f aca="false">IF($C1870="","",$H1870-$H1870/(1+IFERROR(INDEX(PRODUCTOS!$E$6:$E$105,MATCH($C1870,PRODUCTOS!$A$6:$A$105,0)),IVA_VENTAS)))</f>
        <v/>
      </c>
      <c r="J1870" s="35" t="str">
        <f aca="false">IF($C1870="","",$H1870-$I1870)</f>
        <v/>
      </c>
      <c r="K1870" s="35" t="str">
        <f aca="false">IF($C1870="","",N($E1870)*IFERROR(INDEX(PRODUCTOS!$H$6:$H$105,MATCH($C1870,PRODUCTOS!$A$6:$A$105,0)),0))</f>
        <v/>
      </c>
      <c r="L1870" s="35" t="str">
        <f aca="false">IF($C1870="","",$J1870-$K1870)</f>
        <v/>
      </c>
      <c r="M1870" s="6"/>
      <c r="N1870" s="6"/>
      <c r="O1870" s="46" t="str">
        <f aca="false">IF($A1870="","",DATE(YEAR($A1870),MONTH($A1870),1))</f>
        <v/>
      </c>
    </row>
    <row r="1871" customFormat="false" ht="15" hidden="false" customHeight="false" outlineLevel="0" collapsed="false">
      <c r="A1871" s="44"/>
      <c r="B1871" s="6"/>
      <c r="C1871" s="6"/>
      <c r="D1871" s="8" t="str">
        <f aca="false">IF($C1871="","",IFERROR(INDEX(PRODUCTOS!$B$6:$B$105,MATCH($C1871,PRODUCTOS!$A$6:$A$105,0)),"¿Código?"))</f>
        <v/>
      </c>
      <c r="E1871" s="42"/>
      <c r="F1871" s="35" t="str">
        <f aca="false">IF($C1871="","",IFERROR(INDEX(PRODUCTOS!$D$6:$D$105,MATCH($C1871,PRODUCTOS!$A$6:$A$105,0)),0))</f>
        <v/>
      </c>
      <c r="G1871" s="40"/>
      <c r="H1871" s="35" t="str">
        <f aca="false">IF($C1871="","",N($E1871)*$F1871-N($G1871))</f>
        <v/>
      </c>
      <c r="I1871" s="35" t="str">
        <f aca="false">IF($C1871="","",$H1871-$H1871/(1+IFERROR(INDEX(PRODUCTOS!$E$6:$E$105,MATCH($C1871,PRODUCTOS!$A$6:$A$105,0)),IVA_VENTAS)))</f>
        <v/>
      </c>
      <c r="J1871" s="35" t="str">
        <f aca="false">IF($C1871="","",$H1871-$I1871)</f>
        <v/>
      </c>
      <c r="K1871" s="35" t="str">
        <f aca="false">IF($C1871="","",N($E1871)*IFERROR(INDEX(PRODUCTOS!$H$6:$H$105,MATCH($C1871,PRODUCTOS!$A$6:$A$105,0)),0))</f>
        <v/>
      </c>
      <c r="L1871" s="35" t="str">
        <f aca="false">IF($C1871="","",$J1871-$K1871)</f>
        <v/>
      </c>
      <c r="M1871" s="6"/>
      <c r="N1871" s="6"/>
      <c r="O1871" s="46" t="str">
        <f aca="false">IF($A1871="","",DATE(YEAR($A1871),MONTH($A1871),1))</f>
        <v/>
      </c>
    </row>
    <row r="1872" customFormat="false" ht="15" hidden="false" customHeight="false" outlineLevel="0" collapsed="false">
      <c r="A1872" s="44"/>
      <c r="B1872" s="6"/>
      <c r="C1872" s="6"/>
      <c r="D1872" s="8" t="str">
        <f aca="false">IF($C1872="","",IFERROR(INDEX(PRODUCTOS!$B$6:$B$105,MATCH($C1872,PRODUCTOS!$A$6:$A$105,0)),"¿Código?"))</f>
        <v/>
      </c>
      <c r="E1872" s="42"/>
      <c r="F1872" s="35" t="str">
        <f aca="false">IF($C1872="","",IFERROR(INDEX(PRODUCTOS!$D$6:$D$105,MATCH($C1872,PRODUCTOS!$A$6:$A$105,0)),0))</f>
        <v/>
      </c>
      <c r="G1872" s="40"/>
      <c r="H1872" s="35" t="str">
        <f aca="false">IF($C1872="","",N($E1872)*$F1872-N($G1872))</f>
        <v/>
      </c>
      <c r="I1872" s="35" t="str">
        <f aca="false">IF($C1872="","",$H1872-$H1872/(1+IFERROR(INDEX(PRODUCTOS!$E$6:$E$105,MATCH($C1872,PRODUCTOS!$A$6:$A$105,0)),IVA_VENTAS)))</f>
        <v/>
      </c>
      <c r="J1872" s="35" t="str">
        <f aca="false">IF($C1872="","",$H1872-$I1872)</f>
        <v/>
      </c>
      <c r="K1872" s="35" t="str">
        <f aca="false">IF($C1872="","",N($E1872)*IFERROR(INDEX(PRODUCTOS!$H$6:$H$105,MATCH($C1872,PRODUCTOS!$A$6:$A$105,0)),0))</f>
        <v/>
      </c>
      <c r="L1872" s="35" t="str">
        <f aca="false">IF($C1872="","",$J1872-$K1872)</f>
        <v/>
      </c>
      <c r="M1872" s="6"/>
      <c r="N1872" s="6"/>
      <c r="O1872" s="46" t="str">
        <f aca="false">IF($A1872="","",DATE(YEAR($A1872),MONTH($A1872),1))</f>
        <v/>
      </c>
    </row>
    <row r="1873" customFormat="false" ht="15" hidden="false" customHeight="false" outlineLevel="0" collapsed="false">
      <c r="A1873" s="44"/>
      <c r="B1873" s="6"/>
      <c r="C1873" s="6"/>
      <c r="D1873" s="8" t="str">
        <f aca="false">IF($C1873="","",IFERROR(INDEX(PRODUCTOS!$B$6:$B$105,MATCH($C1873,PRODUCTOS!$A$6:$A$105,0)),"¿Código?"))</f>
        <v/>
      </c>
      <c r="E1873" s="42"/>
      <c r="F1873" s="35" t="str">
        <f aca="false">IF($C1873="","",IFERROR(INDEX(PRODUCTOS!$D$6:$D$105,MATCH($C1873,PRODUCTOS!$A$6:$A$105,0)),0))</f>
        <v/>
      </c>
      <c r="G1873" s="40"/>
      <c r="H1873" s="35" t="str">
        <f aca="false">IF($C1873="","",N($E1873)*$F1873-N($G1873))</f>
        <v/>
      </c>
      <c r="I1873" s="35" t="str">
        <f aca="false">IF($C1873="","",$H1873-$H1873/(1+IFERROR(INDEX(PRODUCTOS!$E$6:$E$105,MATCH($C1873,PRODUCTOS!$A$6:$A$105,0)),IVA_VENTAS)))</f>
        <v/>
      </c>
      <c r="J1873" s="35" t="str">
        <f aca="false">IF($C1873="","",$H1873-$I1873)</f>
        <v/>
      </c>
      <c r="K1873" s="35" t="str">
        <f aca="false">IF($C1873="","",N($E1873)*IFERROR(INDEX(PRODUCTOS!$H$6:$H$105,MATCH($C1873,PRODUCTOS!$A$6:$A$105,0)),0))</f>
        <v/>
      </c>
      <c r="L1873" s="35" t="str">
        <f aca="false">IF($C1873="","",$J1873-$K1873)</f>
        <v/>
      </c>
      <c r="M1873" s="6"/>
      <c r="N1873" s="6"/>
      <c r="O1873" s="46" t="str">
        <f aca="false">IF($A1873="","",DATE(YEAR($A1873),MONTH($A1873),1))</f>
        <v/>
      </c>
    </row>
    <row r="1874" customFormat="false" ht="15" hidden="false" customHeight="false" outlineLevel="0" collapsed="false">
      <c r="A1874" s="44"/>
      <c r="B1874" s="6"/>
      <c r="C1874" s="6"/>
      <c r="D1874" s="8" t="str">
        <f aca="false">IF($C1874="","",IFERROR(INDEX(PRODUCTOS!$B$6:$B$105,MATCH($C1874,PRODUCTOS!$A$6:$A$105,0)),"¿Código?"))</f>
        <v/>
      </c>
      <c r="E1874" s="42"/>
      <c r="F1874" s="35" t="str">
        <f aca="false">IF($C1874="","",IFERROR(INDEX(PRODUCTOS!$D$6:$D$105,MATCH($C1874,PRODUCTOS!$A$6:$A$105,0)),0))</f>
        <v/>
      </c>
      <c r="G1874" s="40"/>
      <c r="H1874" s="35" t="str">
        <f aca="false">IF($C1874="","",N($E1874)*$F1874-N($G1874))</f>
        <v/>
      </c>
      <c r="I1874" s="35" t="str">
        <f aca="false">IF($C1874="","",$H1874-$H1874/(1+IFERROR(INDEX(PRODUCTOS!$E$6:$E$105,MATCH($C1874,PRODUCTOS!$A$6:$A$105,0)),IVA_VENTAS)))</f>
        <v/>
      </c>
      <c r="J1874" s="35" t="str">
        <f aca="false">IF($C1874="","",$H1874-$I1874)</f>
        <v/>
      </c>
      <c r="K1874" s="35" t="str">
        <f aca="false">IF($C1874="","",N($E1874)*IFERROR(INDEX(PRODUCTOS!$H$6:$H$105,MATCH($C1874,PRODUCTOS!$A$6:$A$105,0)),0))</f>
        <v/>
      </c>
      <c r="L1874" s="35" t="str">
        <f aca="false">IF($C1874="","",$J1874-$K1874)</f>
        <v/>
      </c>
      <c r="M1874" s="6"/>
      <c r="N1874" s="6"/>
      <c r="O1874" s="46" t="str">
        <f aca="false">IF($A1874="","",DATE(YEAR($A1874),MONTH($A1874),1))</f>
        <v/>
      </c>
    </row>
    <row r="1875" customFormat="false" ht="15" hidden="false" customHeight="false" outlineLevel="0" collapsed="false">
      <c r="A1875" s="44"/>
      <c r="B1875" s="6"/>
      <c r="C1875" s="6"/>
      <c r="D1875" s="8" t="str">
        <f aca="false">IF($C1875="","",IFERROR(INDEX(PRODUCTOS!$B$6:$B$105,MATCH($C1875,PRODUCTOS!$A$6:$A$105,0)),"¿Código?"))</f>
        <v/>
      </c>
      <c r="E1875" s="42"/>
      <c r="F1875" s="35" t="str">
        <f aca="false">IF($C1875="","",IFERROR(INDEX(PRODUCTOS!$D$6:$D$105,MATCH($C1875,PRODUCTOS!$A$6:$A$105,0)),0))</f>
        <v/>
      </c>
      <c r="G1875" s="40"/>
      <c r="H1875" s="35" t="str">
        <f aca="false">IF($C1875="","",N($E1875)*$F1875-N($G1875))</f>
        <v/>
      </c>
      <c r="I1875" s="35" t="str">
        <f aca="false">IF($C1875="","",$H1875-$H1875/(1+IFERROR(INDEX(PRODUCTOS!$E$6:$E$105,MATCH($C1875,PRODUCTOS!$A$6:$A$105,0)),IVA_VENTAS)))</f>
        <v/>
      </c>
      <c r="J1875" s="35" t="str">
        <f aca="false">IF($C1875="","",$H1875-$I1875)</f>
        <v/>
      </c>
      <c r="K1875" s="35" t="str">
        <f aca="false">IF($C1875="","",N($E1875)*IFERROR(INDEX(PRODUCTOS!$H$6:$H$105,MATCH($C1875,PRODUCTOS!$A$6:$A$105,0)),0))</f>
        <v/>
      </c>
      <c r="L1875" s="35" t="str">
        <f aca="false">IF($C1875="","",$J1875-$K1875)</f>
        <v/>
      </c>
      <c r="M1875" s="6"/>
      <c r="N1875" s="6"/>
      <c r="O1875" s="46" t="str">
        <f aca="false">IF($A1875="","",DATE(YEAR($A1875),MONTH($A1875),1))</f>
        <v/>
      </c>
    </row>
    <row r="1876" customFormat="false" ht="15" hidden="false" customHeight="false" outlineLevel="0" collapsed="false">
      <c r="A1876" s="44"/>
      <c r="B1876" s="6"/>
      <c r="C1876" s="6"/>
      <c r="D1876" s="8" t="str">
        <f aca="false">IF($C1876="","",IFERROR(INDEX(PRODUCTOS!$B$6:$B$105,MATCH($C1876,PRODUCTOS!$A$6:$A$105,0)),"¿Código?"))</f>
        <v/>
      </c>
      <c r="E1876" s="42"/>
      <c r="F1876" s="35" t="str">
        <f aca="false">IF($C1876="","",IFERROR(INDEX(PRODUCTOS!$D$6:$D$105,MATCH($C1876,PRODUCTOS!$A$6:$A$105,0)),0))</f>
        <v/>
      </c>
      <c r="G1876" s="40"/>
      <c r="H1876" s="35" t="str">
        <f aca="false">IF($C1876="","",N($E1876)*$F1876-N($G1876))</f>
        <v/>
      </c>
      <c r="I1876" s="35" t="str">
        <f aca="false">IF($C1876="","",$H1876-$H1876/(1+IFERROR(INDEX(PRODUCTOS!$E$6:$E$105,MATCH($C1876,PRODUCTOS!$A$6:$A$105,0)),IVA_VENTAS)))</f>
        <v/>
      </c>
      <c r="J1876" s="35" t="str">
        <f aca="false">IF($C1876="","",$H1876-$I1876)</f>
        <v/>
      </c>
      <c r="K1876" s="35" t="str">
        <f aca="false">IF($C1876="","",N($E1876)*IFERROR(INDEX(PRODUCTOS!$H$6:$H$105,MATCH($C1876,PRODUCTOS!$A$6:$A$105,0)),0))</f>
        <v/>
      </c>
      <c r="L1876" s="35" t="str">
        <f aca="false">IF($C1876="","",$J1876-$K1876)</f>
        <v/>
      </c>
      <c r="M1876" s="6"/>
      <c r="N1876" s="6"/>
      <c r="O1876" s="46" t="str">
        <f aca="false">IF($A1876="","",DATE(YEAR($A1876),MONTH($A1876),1))</f>
        <v/>
      </c>
    </row>
    <row r="1877" customFormat="false" ht="15" hidden="false" customHeight="false" outlineLevel="0" collapsed="false">
      <c r="A1877" s="44"/>
      <c r="B1877" s="6"/>
      <c r="C1877" s="6"/>
      <c r="D1877" s="8" t="str">
        <f aca="false">IF($C1877="","",IFERROR(INDEX(PRODUCTOS!$B$6:$B$105,MATCH($C1877,PRODUCTOS!$A$6:$A$105,0)),"¿Código?"))</f>
        <v/>
      </c>
      <c r="E1877" s="42"/>
      <c r="F1877" s="35" t="str">
        <f aca="false">IF($C1877="","",IFERROR(INDEX(PRODUCTOS!$D$6:$D$105,MATCH($C1877,PRODUCTOS!$A$6:$A$105,0)),0))</f>
        <v/>
      </c>
      <c r="G1877" s="40"/>
      <c r="H1877" s="35" t="str">
        <f aca="false">IF($C1877="","",N($E1877)*$F1877-N($G1877))</f>
        <v/>
      </c>
      <c r="I1877" s="35" t="str">
        <f aca="false">IF($C1877="","",$H1877-$H1877/(1+IFERROR(INDEX(PRODUCTOS!$E$6:$E$105,MATCH($C1877,PRODUCTOS!$A$6:$A$105,0)),IVA_VENTAS)))</f>
        <v/>
      </c>
      <c r="J1877" s="35" t="str">
        <f aca="false">IF($C1877="","",$H1877-$I1877)</f>
        <v/>
      </c>
      <c r="K1877" s="35" t="str">
        <f aca="false">IF($C1877="","",N($E1877)*IFERROR(INDEX(PRODUCTOS!$H$6:$H$105,MATCH($C1877,PRODUCTOS!$A$6:$A$105,0)),0))</f>
        <v/>
      </c>
      <c r="L1877" s="35" t="str">
        <f aca="false">IF($C1877="","",$J1877-$K1877)</f>
        <v/>
      </c>
      <c r="M1877" s="6"/>
      <c r="N1877" s="6"/>
      <c r="O1877" s="46" t="str">
        <f aca="false">IF($A1877="","",DATE(YEAR($A1877),MONTH($A1877),1))</f>
        <v/>
      </c>
    </row>
    <row r="1878" customFormat="false" ht="15" hidden="false" customHeight="false" outlineLevel="0" collapsed="false">
      <c r="A1878" s="44"/>
      <c r="B1878" s="6"/>
      <c r="C1878" s="6"/>
      <c r="D1878" s="8" t="str">
        <f aca="false">IF($C1878="","",IFERROR(INDEX(PRODUCTOS!$B$6:$B$105,MATCH($C1878,PRODUCTOS!$A$6:$A$105,0)),"¿Código?"))</f>
        <v/>
      </c>
      <c r="E1878" s="42"/>
      <c r="F1878" s="35" t="str">
        <f aca="false">IF($C1878="","",IFERROR(INDEX(PRODUCTOS!$D$6:$D$105,MATCH($C1878,PRODUCTOS!$A$6:$A$105,0)),0))</f>
        <v/>
      </c>
      <c r="G1878" s="40"/>
      <c r="H1878" s="35" t="str">
        <f aca="false">IF($C1878="","",N($E1878)*$F1878-N($G1878))</f>
        <v/>
      </c>
      <c r="I1878" s="35" t="str">
        <f aca="false">IF($C1878="","",$H1878-$H1878/(1+IFERROR(INDEX(PRODUCTOS!$E$6:$E$105,MATCH($C1878,PRODUCTOS!$A$6:$A$105,0)),IVA_VENTAS)))</f>
        <v/>
      </c>
      <c r="J1878" s="35" t="str">
        <f aca="false">IF($C1878="","",$H1878-$I1878)</f>
        <v/>
      </c>
      <c r="K1878" s="35" t="str">
        <f aca="false">IF($C1878="","",N($E1878)*IFERROR(INDEX(PRODUCTOS!$H$6:$H$105,MATCH($C1878,PRODUCTOS!$A$6:$A$105,0)),0))</f>
        <v/>
      </c>
      <c r="L1878" s="35" t="str">
        <f aca="false">IF($C1878="","",$J1878-$K1878)</f>
        <v/>
      </c>
      <c r="M1878" s="6"/>
      <c r="N1878" s="6"/>
      <c r="O1878" s="46" t="str">
        <f aca="false">IF($A1878="","",DATE(YEAR($A1878),MONTH($A1878),1))</f>
        <v/>
      </c>
    </row>
    <row r="1879" customFormat="false" ht="15" hidden="false" customHeight="false" outlineLevel="0" collapsed="false">
      <c r="A1879" s="44"/>
      <c r="B1879" s="6"/>
      <c r="C1879" s="6"/>
      <c r="D1879" s="8" t="str">
        <f aca="false">IF($C1879="","",IFERROR(INDEX(PRODUCTOS!$B$6:$B$105,MATCH($C1879,PRODUCTOS!$A$6:$A$105,0)),"¿Código?"))</f>
        <v/>
      </c>
      <c r="E1879" s="42"/>
      <c r="F1879" s="35" t="str">
        <f aca="false">IF($C1879="","",IFERROR(INDEX(PRODUCTOS!$D$6:$D$105,MATCH($C1879,PRODUCTOS!$A$6:$A$105,0)),0))</f>
        <v/>
      </c>
      <c r="G1879" s="40"/>
      <c r="H1879" s="35" t="str">
        <f aca="false">IF($C1879="","",N($E1879)*$F1879-N($G1879))</f>
        <v/>
      </c>
      <c r="I1879" s="35" t="str">
        <f aca="false">IF($C1879="","",$H1879-$H1879/(1+IFERROR(INDEX(PRODUCTOS!$E$6:$E$105,MATCH($C1879,PRODUCTOS!$A$6:$A$105,0)),IVA_VENTAS)))</f>
        <v/>
      </c>
      <c r="J1879" s="35" t="str">
        <f aca="false">IF($C1879="","",$H1879-$I1879)</f>
        <v/>
      </c>
      <c r="K1879" s="35" t="str">
        <f aca="false">IF($C1879="","",N($E1879)*IFERROR(INDEX(PRODUCTOS!$H$6:$H$105,MATCH($C1879,PRODUCTOS!$A$6:$A$105,0)),0))</f>
        <v/>
      </c>
      <c r="L1879" s="35" t="str">
        <f aca="false">IF($C1879="","",$J1879-$K1879)</f>
        <v/>
      </c>
      <c r="M1879" s="6"/>
      <c r="N1879" s="6"/>
      <c r="O1879" s="46" t="str">
        <f aca="false">IF($A1879="","",DATE(YEAR($A1879),MONTH($A1879),1))</f>
        <v/>
      </c>
    </row>
    <row r="1880" customFormat="false" ht="15" hidden="false" customHeight="false" outlineLevel="0" collapsed="false">
      <c r="A1880" s="44"/>
      <c r="B1880" s="6"/>
      <c r="C1880" s="6"/>
      <c r="D1880" s="8" t="str">
        <f aca="false">IF($C1880="","",IFERROR(INDEX(PRODUCTOS!$B$6:$B$105,MATCH($C1880,PRODUCTOS!$A$6:$A$105,0)),"¿Código?"))</f>
        <v/>
      </c>
      <c r="E1880" s="42"/>
      <c r="F1880" s="35" t="str">
        <f aca="false">IF($C1880="","",IFERROR(INDEX(PRODUCTOS!$D$6:$D$105,MATCH($C1880,PRODUCTOS!$A$6:$A$105,0)),0))</f>
        <v/>
      </c>
      <c r="G1880" s="40"/>
      <c r="H1880" s="35" t="str">
        <f aca="false">IF($C1880="","",N($E1880)*$F1880-N($G1880))</f>
        <v/>
      </c>
      <c r="I1880" s="35" t="str">
        <f aca="false">IF($C1880="","",$H1880-$H1880/(1+IFERROR(INDEX(PRODUCTOS!$E$6:$E$105,MATCH($C1880,PRODUCTOS!$A$6:$A$105,0)),IVA_VENTAS)))</f>
        <v/>
      </c>
      <c r="J1880" s="35" t="str">
        <f aca="false">IF($C1880="","",$H1880-$I1880)</f>
        <v/>
      </c>
      <c r="K1880" s="35" t="str">
        <f aca="false">IF($C1880="","",N($E1880)*IFERROR(INDEX(PRODUCTOS!$H$6:$H$105,MATCH($C1880,PRODUCTOS!$A$6:$A$105,0)),0))</f>
        <v/>
      </c>
      <c r="L1880" s="35" t="str">
        <f aca="false">IF($C1880="","",$J1880-$K1880)</f>
        <v/>
      </c>
      <c r="M1880" s="6"/>
      <c r="N1880" s="6"/>
      <c r="O1880" s="46" t="str">
        <f aca="false">IF($A1880="","",DATE(YEAR($A1880),MONTH($A1880),1))</f>
        <v/>
      </c>
    </row>
    <row r="1881" customFormat="false" ht="15" hidden="false" customHeight="false" outlineLevel="0" collapsed="false">
      <c r="A1881" s="44"/>
      <c r="B1881" s="6"/>
      <c r="C1881" s="6"/>
      <c r="D1881" s="8" t="str">
        <f aca="false">IF($C1881="","",IFERROR(INDEX(PRODUCTOS!$B$6:$B$105,MATCH($C1881,PRODUCTOS!$A$6:$A$105,0)),"¿Código?"))</f>
        <v/>
      </c>
      <c r="E1881" s="42"/>
      <c r="F1881" s="35" t="str">
        <f aca="false">IF($C1881="","",IFERROR(INDEX(PRODUCTOS!$D$6:$D$105,MATCH($C1881,PRODUCTOS!$A$6:$A$105,0)),0))</f>
        <v/>
      </c>
      <c r="G1881" s="40"/>
      <c r="H1881" s="35" t="str">
        <f aca="false">IF($C1881="","",N($E1881)*$F1881-N($G1881))</f>
        <v/>
      </c>
      <c r="I1881" s="35" t="str">
        <f aca="false">IF($C1881="","",$H1881-$H1881/(1+IFERROR(INDEX(PRODUCTOS!$E$6:$E$105,MATCH($C1881,PRODUCTOS!$A$6:$A$105,0)),IVA_VENTAS)))</f>
        <v/>
      </c>
      <c r="J1881" s="35" t="str">
        <f aca="false">IF($C1881="","",$H1881-$I1881)</f>
        <v/>
      </c>
      <c r="K1881" s="35" t="str">
        <f aca="false">IF($C1881="","",N($E1881)*IFERROR(INDEX(PRODUCTOS!$H$6:$H$105,MATCH($C1881,PRODUCTOS!$A$6:$A$105,0)),0))</f>
        <v/>
      </c>
      <c r="L1881" s="35" t="str">
        <f aca="false">IF($C1881="","",$J1881-$K1881)</f>
        <v/>
      </c>
      <c r="M1881" s="6"/>
      <c r="N1881" s="6"/>
      <c r="O1881" s="46" t="str">
        <f aca="false">IF($A1881="","",DATE(YEAR($A1881),MONTH($A1881),1))</f>
        <v/>
      </c>
    </row>
    <row r="1882" customFormat="false" ht="15" hidden="false" customHeight="false" outlineLevel="0" collapsed="false">
      <c r="A1882" s="44"/>
      <c r="B1882" s="6"/>
      <c r="C1882" s="6"/>
      <c r="D1882" s="8" t="str">
        <f aca="false">IF($C1882="","",IFERROR(INDEX(PRODUCTOS!$B$6:$B$105,MATCH($C1882,PRODUCTOS!$A$6:$A$105,0)),"¿Código?"))</f>
        <v/>
      </c>
      <c r="E1882" s="42"/>
      <c r="F1882" s="35" t="str">
        <f aca="false">IF($C1882="","",IFERROR(INDEX(PRODUCTOS!$D$6:$D$105,MATCH($C1882,PRODUCTOS!$A$6:$A$105,0)),0))</f>
        <v/>
      </c>
      <c r="G1882" s="40"/>
      <c r="H1882" s="35" t="str">
        <f aca="false">IF($C1882="","",N($E1882)*$F1882-N($G1882))</f>
        <v/>
      </c>
      <c r="I1882" s="35" t="str">
        <f aca="false">IF($C1882="","",$H1882-$H1882/(1+IFERROR(INDEX(PRODUCTOS!$E$6:$E$105,MATCH($C1882,PRODUCTOS!$A$6:$A$105,0)),IVA_VENTAS)))</f>
        <v/>
      </c>
      <c r="J1882" s="35" t="str">
        <f aca="false">IF($C1882="","",$H1882-$I1882)</f>
        <v/>
      </c>
      <c r="K1882" s="35" t="str">
        <f aca="false">IF($C1882="","",N($E1882)*IFERROR(INDEX(PRODUCTOS!$H$6:$H$105,MATCH($C1882,PRODUCTOS!$A$6:$A$105,0)),0))</f>
        <v/>
      </c>
      <c r="L1882" s="35" t="str">
        <f aca="false">IF($C1882="","",$J1882-$K1882)</f>
        <v/>
      </c>
      <c r="M1882" s="6"/>
      <c r="N1882" s="6"/>
      <c r="O1882" s="46" t="str">
        <f aca="false">IF($A1882="","",DATE(YEAR($A1882),MONTH($A1882),1))</f>
        <v/>
      </c>
    </row>
    <row r="1883" customFormat="false" ht="15" hidden="false" customHeight="false" outlineLevel="0" collapsed="false">
      <c r="A1883" s="44"/>
      <c r="B1883" s="6"/>
      <c r="C1883" s="6"/>
      <c r="D1883" s="8" t="str">
        <f aca="false">IF($C1883="","",IFERROR(INDEX(PRODUCTOS!$B$6:$B$105,MATCH($C1883,PRODUCTOS!$A$6:$A$105,0)),"¿Código?"))</f>
        <v/>
      </c>
      <c r="E1883" s="42"/>
      <c r="F1883" s="35" t="str">
        <f aca="false">IF($C1883="","",IFERROR(INDEX(PRODUCTOS!$D$6:$D$105,MATCH($C1883,PRODUCTOS!$A$6:$A$105,0)),0))</f>
        <v/>
      </c>
      <c r="G1883" s="40"/>
      <c r="H1883" s="35" t="str">
        <f aca="false">IF($C1883="","",N($E1883)*$F1883-N($G1883))</f>
        <v/>
      </c>
      <c r="I1883" s="35" t="str">
        <f aca="false">IF($C1883="","",$H1883-$H1883/(1+IFERROR(INDEX(PRODUCTOS!$E$6:$E$105,MATCH($C1883,PRODUCTOS!$A$6:$A$105,0)),IVA_VENTAS)))</f>
        <v/>
      </c>
      <c r="J1883" s="35" t="str">
        <f aca="false">IF($C1883="","",$H1883-$I1883)</f>
        <v/>
      </c>
      <c r="K1883" s="35" t="str">
        <f aca="false">IF($C1883="","",N($E1883)*IFERROR(INDEX(PRODUCTOS!$H$6:$H$105,MATCH($C1883,PRODUCTOS!$A$6:$A$105,0)),0))</f>
        <v/>
      </c>
      <c r="L1883" s="35" t="str">
        <f aca="false">IF($C1883="","",$J1883-$K1883)</f>
        <v/>
      </c>
      <c r="M1883" s="6"/>
      <c r="N1883" s="6"/>
      <c r="O1883" s="46" t="str">
        <f aca="false">IF($A1883="","",DATE(YEAR($A1883),MONTH($A1883),1))</f>
        <v/>
      </c>
    </row>
    <row r="1884" customFormat="false" ht="15" hidden="false" customHeight="false" outlineLevel="0" collapsed="false">
      <c r="A1884" s="44"/>
      <c r="B1884" s="6"/>
      <c r="C1884" s="6"/>
      <c r="D1884" s="8" t="str">
        <f aca="false">IF($C1884="","",IFERROR(INDEX(PRODUCTOS!$B$6:$B$105,MATCH($C1884,PRODUCTOS!$A$6:$A$105,0)),"¿Código?"))</f>
        <v/>
      </c>
      <c r="E1884" s="42"/>
      <c r="F1884" s="35" t="str">
        <f aca="false">IF($C1884="","",IFERROR(INDEX(PRODUCTOS!$D$6:$D$105,MATCH($C1884,PRODUCTOS!$A$6:$A$105,0)),0))</f>
        <v/>
      </c>
      <c r="G1884" s="40"/>
      <c r="H1884" s="35" t="str">
        <f aca="false">IF($C1884="","",N($E1884)*$F1884-N($G1884))</f>
        <v/>
      </c>
      <c r="I1884" s="35" t="str">
        <f aca="false">IF($C1884="","",$H1884-$H1884/(1+IFERROR(INDEX(PRODUCTOS!$E$6:$E$105,MATCH($C1884,PRODUCTOS!$A$6:$A$105,0)),IVA_VENTAS)))</f>
        <v/>
      </c>
      <c r="J1884" s="35" t="str">
        <f aca="false">IF($C1884="","",$H1884-$I1884)</f>
        <v/>
      </c>
      <c r="K1884" s="35" t="str">
        <f aca="false">IF($C1884="","",N($E1884)*IFERROR(INDEX(PRODUCTOS!$H$6:$H$105,MATCH($C1884,PRODUCTOS!$A$6:$A$105,0)),0))</f>
        <v/>
      </c>
      <c r="L1884" s="35" t="str">
        <f aca="false">IF($C1884="","",$J1884-$K1884)</f>
        <v/>
      </c>
      <c r="M1884" s="6"/>
      <c r="N1884" s="6"/>
      <c r="O1884" s="46" t="str">
        <f aca="false">IF($A1884="","",DATE(YEAR($A1884),MONTH($A1884),1))</f>
        <v/>
      </c>
    </row>
    <row r="1885" customFormat="false" ht="15" hidden="false" customHeight="false" outlineLevel="0" collapsed="false">
      <c r="A1885" s="44"/>
      <c r="B1885" s="6"/>
      <c r="C1885" s="6"/>
      <c r="D1885" s="8" t="str">
        <f aca="false">IF($C1885="","",IFERROR(INDEX(PRODUCTOS!$B$6:$B$105,MATCH($C1885,PRODUCTOS!$A$6:$A$105,0)),"¿Código?"))</f>
        <v/>
      </c>
      <c r="E1885" s="42"/>
      <c r="F1885" s="35" t="str">
        <f aca="false">IF($C1885="","",IFERROR(INDEX(PRODUCTOS!$D$6:$D$105,MATCH($C1885,PRODUCTOS!$A$6:$A$105,0)),0))</f>
        <v/>
      </c>
      <c r="G1885" s="40"/>
      <c r="H1885" s="35" t="str">
        <f aca="false">IF($C1885="","",N($E1885)*$F1885-N($G1885))</f>
        <v/>
      </c>
      <c r="I1885" s="35" t="str">
        <f aca="false">IF($C1885="","",$H1885-$H1885/(1+IFERROR(INDEX(PRODUCTOS!$E$6:$E$105,MATCH($C1885,PRODUCTOS!$A$6:$A$105,0)),IVA_VENTAS)))</f>
        <v/>
      </c>
      <c r="J1885" s="35" t="str">
        <f aca="false">IF($C1885="","",$H1885-$I1885)</f>
        <v/>
      </c>
      <c r="K1885" s="35" t="str">
        <f aca="false">IF($C1885="","",N($E1885)*IFERROR(INDEX(PRODUCTOS!$H$6:$H$105,MATCH($C1885,PRODUCTOS!$A$6:$A$105,0)),0))</f>
        <v/>
      </c>
      <c r="L1885" s="35" t="str">
        <f aca="false">IF($C1885="","",$J1885-$K1885)</f>
        <v/>
      </c>
      <c r="M1885" s="6"/>
      <c r="N1885" s="6"/>
      <c r="O1885" s="46" t="str">
        <f aca="false">IF($A1885="","",DATE(YEAR($A1885),MONTH($A1885),1))</f>
        <v/>
      </c>
    </row>
    <row r="1886" customFormat="false" ht="15" hidden="false" customHeight="false" outlineLevel="0" collapsed="false">
      <c r="A1886" s="44"/>
      <c r="B1886" s="6"/>
      <c r="C1886" s="6"/>
      <c r="D1886" s="8" t="str">
        <f aca="false">IF($C1886="","",IFERROR(INDEX(PRODUCTOS!$B$6:$B$105,MATCH($C1886,PRODUCTOS!$A$6:$A$105,0)),"¿Código?"))</f>
        <v/>
      </c>
      <c r="E1886" s="42"/>
      <c r="F1886" s="35" t="str">
        <f aca="false">IF($C1886="","",IFERROR(INDEX(PRODUCTOS!$D$6:$D$105,MATCH($C1886,PRODUCTOS!$A$6:$A$105,0)),0))</f>
        <v/>
      </c>
      <c r="G1886" s="40"/>
      <c r="H1886" s="35" t="str">
        <f aca="false">IF($C1886="","",N($E1886)*$F1886-N($G1886))</f>
        <v/>
      </c>
      <c r="I1886" s="35" t="str">
        <f aca="false">IF($C1886="","",$H1886-$H1886/(1+IFERROR(INDEX(PRODUCTOS!$E$6:$E$105,MATCH($C1886,PRODUCTOS!$A$6:$A$105,0)),IVA_VENTAS)))</f>
        <v/>
      </c>
      <c r="J1886" s="35" t="str">
        <f aca="false">IF($C1886="","",$H1886-$I1886)</f>
        <v/>
      </c>
      <c r="K1886" s="35" t="str">
        <f aca="false">IF($C1886="","",N($E1886)*IFERROR(INDEX(PRODUCTOS!$H$6:$H$105,MATCH($C1886,PRODUCTOS!$A$6:$A$105,0)),0))</f>
        <v/>
      </c>
      <c r="L1886" s="35" t="str">
        <f aca="false">IF($C1886="","",$J1886-$K1886)</f>
        <v/>
      </c>
      <c r="M1886" s="6"/>
      <c r="N1886" s="6"/>
      <c r="O1886" s="46" t="str">
        <f aca="false">IF($A1886="","",DATE(YEAR($A1886),MONTH($A1886),1))</f>
        <v/>
      </c>
    </row>
    <row r="1887" customFormat="false" ht="15" hidden="false" customHeight="false" outlineLevel="0" collapsed="false">
      <c r="A1887" s="44"/>
      <c r="B1887" s="6"/>
      <c r="C1887" s="6"/>
      <c r="D1887" s="8" t="str">
        <f aca="false">IF($C1887="","",IFERROR(INDEX(PRODUCTOS!$B$6:$B$105,MATCH($C1887,PRODUCTOS!$A$6:$A$105,0)),"¿Código?"))</f>
        <v/>
      </c>
      <c r="E1887" s="42"/>
      <c r="F1887" s="35" t="str">
        <f aca="false">IF($C1887="","",IFERROR(INDEX(PRODUCTOS!$D$6:$D$105,MATCH($C1887,PRODUCTOS!$A$6:$A$105,0)),0))</f>
        <v/>
      </c>
      <c r="G1887" s="40"/>
      <c r="H1887" s="35" t="str">
        <f aca="false">IF($C1887="","",N($E1887)*$F1887-N($G1887))</f>
        <v/>
      </c>
      <c r="I1887" s="35" t="str">
        <f aca="false">IF($C1887="","",$H1887-$H1887/(1+IFERROR(INDEX(PRODUCTOS!$E$6:$E$105,MATCH($C1887,PRODUCTOS!$A$6:$A$105,0)),IVA_VENTAS)))</f>
        <v/>
      </c>
      <c r="J1887" s="35" t="str">
        <f aca="false">IF($C1887="","",$H1887-$I1887)</f>
        <v/>
      </c>
      <c r="K1887" s="35" t="str">
        <f aca="false">IF($C1887="","",N($E1887)*IFERROR(INDEX(PRODUCTOS!$H$6:$H$105,MATCH($C1887,PRODUCTOS!$A$6:$A$105,0)),0))</f>
        <v/>
      </c>
      <c r="L1887" s="35" t="str">
        <f aca="false">IF($C1887="","",$J1887-$K1887)</f>
        <v/>
      </c>
      <c r="M1887" s="6"/>
      <c r="N1887" s="6"/>
      <c r="O1887" s="46" t="str">
        <f aca="false">IF($A1887="","",DATE(YEAR($A1887),MONTH($A1887),1))</f>
        <v/>
      </c>
    </row>
    <row r="1888" customFormat="false" ht="15" hidden="false" customHeight="false" outlineLevel="0" collapsed="false">
      <c r="A1888" s="44"/>
      <c r="B1888" s="6"/>
      <c r="C1888" s="6"/>
      <c r="D1888" s="8" t="str">
        <f aca="false">IF($C1888="","",IFERROR(INDEX(PRODUCTOS!$B$6:$B$105,MATCH($C1888,PRODUCTOS!$A$6:$A$105,0)),"¿Código?"))</f>
        <v/>
      </c>
      <c r="E1888" s="42"/>
      <c r="F1888" s="35" t="str">
        <f aca="false">IF($C1888="","",IFERROR(INDEX(PRODUCTOS!$D$6:$D$105,MATCH($C1888,PRODUCTOS!$A$6:$A$105,0)),0))</f>
        <v/>
      </c>
      <c r="G1888" s="40"/>
      <c r="H1888" s="35" t="str">
        <f aca="false">IF($C1888="","",N($E1888)*$F1888-N($G1888))</f>
        <v/>
      </c>
      <c r="I1888" s="35" t="str">
        <f aca="false">IF($C1888="","",$H1888-$H1888/(1+IFERROR(INDEX(PRODUCTOS!$E$6:$E$105,MATCH($C1888,PRODUCTOS!$A$6:$A$105,0)),IVA_VENTAS)))</f>
        <v/>
      </c>
      <c r="J1888" s="35" t="str">
        <f aca="false">IF($C1888="","",$H1888-$I1888)</f>
        <v/>
      </c>
      <c r="K1888" s="35" t="str">
        <f aca="false">IF($C1888="","",N($E1888)*IFERROR(INDEX(PRODUCTOS!$H$6:$H$105,MATCH($C1888,PRODUCTOS!$A$6:$A$105,0)),0))</f>
        <v/>
      </c>
      <c r="L1888" s="35" t="str">
        <f aca="false">IF($C1888="","",$J1888-$K1888)</f>
        <v/>
      </c>
      <c r="M1888" s="6"/>
      <c r="N1888" s="6"/>
      <c r="O1888" s="46" t="str">
        <f aca="false">IF($A1888="","",DATE(YEAR($A1888),MONTH($A1888),1))</f>
        <v/>
      </c>
    </row>
    <row r="1889" customFormat="false" ht="15" hidden="false" customHeight="false" outlineLevel="0" collapsed="false">
      <c r="A1889" s="44"/>
      <c r="B1889" s="6"/>
      <c r="C1889" s="6"/>
      <c r="D1889" s="8" t="str">
        <f aca="false">IF($C1889="","",IFERROR(INDEX(PRODUCTOS!$B$6:$B$105,MATCH($C1889,PRODUCTOS!$A$6:$A$105,0)),"¿Código?"))</f>
        <v/>
      </c>
      <c r="E1889" s="42"/>
      <c r="F1889" s="35" t="str">
        <f aca="false">IF($C1889="","",IFERROR(INDEX(PRODUCTOS!$D$6:$D$105,MATCH($C1889,PRODUCTOS!$A$6:$A$105,0)),0))</f>
        <v/>
      </c>
      <c r="G1889" s="40"/>
      <c r="H1889" s="35" t="str">
        <f aca="false">IF($C1889="","",N($E1889)*$F1889-N($G1889))</f>
        <v/>
      </c>
      <c r="I1889" s="35" t="str">
        <f aca="false">IF($C1889="","",$H1889-$H1889/(1+IFERROR(INDEX(PRODUCTOS!$E$6:$E$105,MATCH($C1889,PRODUCTOS!$A$6:$A$105,0)),IVA_VENTAS)))</f>
        <v/>
      </c>
      <c r="J1889" s="35" t="str">
        <f aca="false">IF($C1889="","",$H1889-$I1889)</f>
        <v/>
      </c>
      <c r="K1889" s="35" t="str">
        <f aca="false">IF($C1889="","",N($E1889)*IFERROR(INDEX(PRODUCTOS!$H$6:$H$105,MATCH($C1889,PRODUCTOS!$A$6:$A$105,0)),0))</f>
        <v/>
      </c>
      <c r="L1889" s="35" t="str">
        <f aca="false">IF($C1889="","",$J1889-$K1889)</f>
        <v/>
      </c>
      <c r="M1889" s="6"/>
      <c r="N1889" s="6"/>
      <c r="O1889" s="46" t="str">
        <f aca="false">IF($A1889="","",DATE(YEAR($A1889),MONTH($A1889),1))</f>
        <v/>
      </c>
    </row>
    <row r="1890" customFormat="false" ht="15" hidden="false" customHeight="false" outlineLevel="0" collapsed="false">
      <c r="A1890" s="44"/>
      <c r="B1890" s="6"/>
      <c r="C1890" s="6"/>
      <c r="D1890" s="8" t="str">
        <f aca="false">IF($C1890="","",IFERROR(INDEX(PRODUCTOS!$B$6:$B$105,MATCH($C1890,PRODUCTOS!$A$6:$A$105,0)),"¿Código?"))</f>
        <v/>
      </c>
      <c r="E1890" s="42"/>
      <c r="F1890" s="35" t="str">
        <f aca="false">IF($C1890="","",IFERROR(INDEX(PRODUCTOS!$D$6:$D$105,MATCH($C1890,PRODUCTOS!$A$6:$A$105,0)),0))</f>
        <v/>
      </c>
      <c r="G1890" s="40"/>
      <c r="H1890" s="35" t="str">
        <f aca="false">IF($C1890="","",N($E1890)*$F1890-N($G1890))</f>
        <v/>
      </c>
      <c r="I1890" s="35" t="str">
        <f aca="false">IF($C1890="","",$H1890-$H1890/(1+IFERROR(INDEX(PRODUCTOS!$E$6:$E$105,MATCH($C1890,PRODUCTOS!$A$6:$A$105,0)),IVA_VENTAS)))</f>
        <v/>
      </c>
      <c r="J1890" s="35" t="str">
        <f aca="false">IF($C1890="","",$H1890-$I1890)</f>
        <v/>
      </c>
      <c r="K1890" s="35" t="str">
        <f aca="false">IF($C1890="","",N($E1890)*IFERROR(INDEX(PRODUCTOS!$H$6:$H$105,MATCH($C1890,PRODUCTOS!$A$6:$A$105,0)),0))</f>
        <v/>
      </c>
      <c r="L1890" s="35" t="str">
        <f aca="false">IF($C1890="","",$J1890-$K1890)</f>
        <v/>
      </c>
      <c r="M1890" s="6"/>
      <c r="N1890" s="6"/>
      <c r="O1890" s="46" t="str">
        <f aca="false">IF($A1890="","",DATE(YEAR($A1890),MONTH($A1890),1))</f>
        <v/>
      </c>
    </row>
    <row r="1891" customFormat="false" ht="15" hidden="false" customHeight="false" outlineLevel="0" collapsed="false">
      <c r="A1891" s="44"/>
      <c r="B1891" s="6"/>
      <c r="C1891" s="6"/>
      <c r="D1891" s="8" t="str">
        <f aca="false">IF($C1891="","",IFERROR(INDEX(PRODUCTOS!$B$6:$B$105,MATCH($C1891,PRODUCTOS!$A$6:$A$105,0)),"¿Código?"))</f>
        <v/>
      </c>
      <c r="E1891" s="42"/>
      <c r="F1891" s="35" t="str">
        <f aca="false">IF($C1891="","",IFERROR(INDEX(PRODUCTOS!$D$6:$D$105,MATCH($C1891,PRODUCTOS!$A$6:$A$105,0)),0))</f>
        <v/>
      </c>
      <c r="G1891" s="40"/>
      <c r="H1891" s="35" t="str">
        <f aca="false">IF($C1891="","",N($E1891)*$F1891-N($G1891))</f>
        <v/>
      </c>
      <c r="I1891" s="35" t="str">
        <f aca="false">IF($C1891="","",$H1891-$H1891/(1+IFERROR(INDEX(PRODUCTOS!$E$6:$E$105,MATCH($C1891,PRODUCTOS!$A$6:$A$105,0)),IVA_VENTAS)))</f>
        <v/>
      </c>
      <c r="J1891" s="35" t="str">
        <f aca="false">IF($C1891="","",$H1891-$I1891)</f>
        <v/>
      </c>
      <c r="K1891" s="35" t="str">
        <f aca="false">IF($C1891="","",N($E1891)*IFERROR(INDEX(PRODUCTOS!$H$6:$H$105,MATCH($C1891,PRODUCTOS!$A$6:$A$105,0)),0))</f>
        <v/>
      </c>
      <c r="L1891" s="35" t="str">
        <f aca="false">IF($C1891="","",$J1891-$K1891)</f>
        <v/>
      </c>
      <c r="M1891" s="6"/>
      <c r="N1891" s="6"/>
      <c r="O1891" s="46" t="str">
        <f aca="false">IF($A1891="","",DATE(YEAR($A1891),MONTH($A1891),1))</f>
        <v/>
      </c>
    </row>
    <row r="1892" customFormat="false" ht="15" hidden="false" customHeight="false" outlineLevel="0" collapsed="false">
      <c r="A1892" s="44"/>
      <c r="B1892" s="6"/>
      <c r="C1892" s="6"/>
      <c r="D1892" s="8" t="str">
        <f aca="false">IF($C1892="","",IFERROR(INDEX(PRODUCTOS!$B$6:$B$105,MATCH($C1892,PRODUCTOS!$A$6:$A$105,0)),"¿Código?"))</f>
        <v/>
      </c>
      <c r="E1892" s="42"/>
      <c r="F1892" s="35" t="str">
        <f aca="false">IF($C1892="","",IFERROR(INDEX(PRODUCTOS!$D$6:$D$105,MATCH($C1892,PRODUCTOS!$A$6:$A$105,0)),0))</f>
        <v/>
      </c>
      <c r="G1892" s="40"/>
      <c r="H1892" s="35" t="str">
        <f aca="false">IF($C1892="","",N($E1892)*$F1892-N($G1892))</f>
        <v/>
      </c>
      <c r="I1892" s="35" t="str">
        <f aca="false">IF($C1892="","",$H1892-$H1892/(1+IFERROR(INDEX(PRODUCTOS!$E$6:$E$105,MATCH($C1892,PRODUCTOS!$A$6:$A$105,0)),IVA_VENTAS)))</f>
        <v/>
      </c>
      <c r="J1892" s="35" t="str">
        <f aca="false">IF($C1892="","",$H1892-$I1892)</f>
        <v/>
      </c>
      <c r="K1892" s="35" t="str">
        <f aca="false">IF($C1892="","",N($E1892)*IFERROR(INDEX(PRODUCTOS!$H$6:$H$105,MATCH($C1892,PRODUCTOS!$A$6:$A$105,0)),0))</f>
        <v/>
      </c>
      <c r="L1892" s="35" t="str">
        <f aca="false">IF($C1892="","",$J1892-$K1892)</f>
        <v/>
      </c>
      <c r="M1892" s="6"/>
      <c r="N1892" s="6"/>
      <c r="O1892" s="46" t="str">
        <f aca="false">IF($A1892="","",DATE(YEAR($A1892),MONTH($A1892),1))</f>
        <v/>
      </c>
    </row>
    <row r="1893" customFormat="false" ht="15" hidden="false" customHeight="false" outlineLevel="0" collapsed="false">
      <c r="A1893" s="44"/>
      <c r="B1893" s="6"/>
      <c r="C1893" s="6"/>
      <c r="D1893" s="8" t="str">
        <f aca="false">IF($C1893="","",IFERROR(INDEX(PRODUCTOS!$B$6:$B$105,MATCH($C1893,PRODUCTOS!$A$6:$A$105,0)),"¿Código?"))</f>
        <v/>
      </c>
      <c r="E1893" s="42"/>
      <c r="F1893" s="35" t="str">
        <f aca="false">IF($C1893="","",IFERROR(INDEX(PRODUCTOS!$D$6:$D$105,MATCH($C1893,PRODUCTOS!$A$6:$A$105,0)),0))</f>
        <v/>
      </c>
      <c r="G1893" s="40"/>
      <c r="H1893" s="35" t="str">
        <f aca="false">IF($C1893="","",N($E1893)*$F1893-N($G1893))</f>
        <v/>
      </c>
      <c r="I1893" s="35" t="str">
        <f aca="false">IF($C1893="","",$H1893-$H1893/(1+IFERROR(INDEX(PRODUCTOS!$E$6:$E$105,MATCH($C1893,PRODUCTOS!$A$6:$A$105,0)),IVA_VENTAS)))</f>
        <v/>
      </c>
      <c r="J1893" s="35" t="str">
        <f aca="false">IF($C1893="","",$H1893-$I1893)</f>
        <v/>
      </c>
      <c r="K1893" s="35" t="str">
        <f aca="false">IF($C1893="","",N($E1893)*IFERROR(INDEX(PRODUCTOS!$H$6:$H$105,MATCH($C1893,PRODUCTOS!$A$6:$A$105,0)),0))</f>
        <v/>
      </c>
      <c r="L1893" s="35" t="str">
        <f aca="false">IF($C1893="","",$J1893-$K1893)</f>
        <v/>
      </c>
      <c r="M1893" s="6"/>
      <c r="N1893" s="6"/>
      <c r="O1893" s="46" t="str">
        <f aca="false">IF($A1893="","",DATE(YEAR($A1893),MONTH($A1893),1))</f>
        <v/>
      </c>
    </row>
    <row r="1894" customFormat="false" ht="15" hidden="false" customHeight="false" outlineLevel="0" collapsed="false">
      <c r="A1894" s="44"/>
      <c r="B1894" s="6"/>
      <c r="C1894" s="6"/>
      <c r="D1894" s="8" t="str">
        <f aca="false">IF($C1894="","",IFERROR(INDEX(PRODUCTOS!$B$6:$B$105,MATCH($C1894,PRODUCTOS!$A$6:$A$105,0)),"¿Código?"))</f>
        <v/>
      </c>
      <c r="E1894" s="42"/>
      <c r="F1894" s="35" t="str">
        <f aca="false">IF($C1894="","",IFERROR(INDEX(PRODUCTOS!$D$6:$D$105,MATCH($C1894,PRODUCTOS!$A$6:$A$105,0)),0))</f>
        <v/>
      </c>
      <c r="G1894" s="40"/>
      <c r="H1894" s="35" t="str">
        <f aca="false">IF($C1894="","",N($E1894)*$F1894-N($G1894))</f>
        <v/>
      </c>
      <c r="I1894" s="35" t="str">
        <f aca="false">IF($C1894="","",$H1894-$H1894/(1+IFERROR(INDEX(PRODUCTOS!$E$6:$E$105,MATCH($C1894,PRODUCTOS!$A$6:$A$105,0)),IVA_VENTAS)))</f>
        <v/>
      </c>
      <c r="J1894" s="35" t="str">
        <f aca="false">IF($C1894="","",$H1894-$I1894)</f>
        <v/>
      </c>
      <c r="K1894" s="35" t="str">
        <f aca="false">IF($C1894="","",N($E1894)*IFERROR(INDEX(PRODUCTOS!$H$6:$H$105,MATCH($C1894,PRODUCTOS!$A$6:$A$105,0)),0))</f>
        <v/>
      </c>
      <c r="L1894" s="35" t="str">
        <f aca="false">IF($C1894="","",$J1894-$K1894)</f>
        <v/>
      </c>
      <c r="M1894" s="6"/>
      <c r="N1894" s="6"/>
      <c r="O1894" s="46" t="str">
        <f aca="false">IF($A1894="","",DATE(YEAR($A1894),MONTH($A1894),1))</f>
        <v/>
      </c>
    </row>
    <row r="1895" customFormat="false" ht="15" hidden="false" customHeight="false" outlineLevel="0" collapsed="false">
      <c r="A1895" s="44"/>
      <c r="B1895" s="6"/>
      <c r="C1895" s="6"/>
      <c r="D1895" s="8" t="str">
        <f aca="false">IF($C1895="","",IFERROR(INDEX(PRODUCTOS!$B$6:$B$105,MATCH($C1895,PRODUCTOS!$A$6:$A$105,0)),"¿Código?"))</f>
        <v/>
      </c>
      <c r="E1895" s="42"/>
      <c r="F1895" s="35" t="str">
        <f aca="false">IF($C1895="","",IFERROR(INDEX(PRODUCTOS!$D$6:$D$105,MATCH($C1895,PRODUCTOS!$A$6:$A$105,0)),0))</f>
        <v/>
      </c>
      <c r="G1895" s="40"/>
      <c r="H1895" s="35" t="str">
        <f aca="false">IF($C1895="","",N($E1895)*$F1895-N($G1895))</f>
        <v/>
      </c>
      <c r="I1895" s="35" t="str">
        <f aca="false">IF($C1895="","",$H1895-$H1895/(1+IFERROR(INDEX(PRODUCTOS!$E$6:$E$105,MATCH($C1895,PRODUCTOS!$A$6:$A$105,0)),IVA_VENTAS)))</f>
        <v/>
      </c>
      <c r="J1895" s="35" t="str">
        <f aca="false">IF($C1895="","",$H1895-$I1895)</f>
        <v/>
      </c>
      <c r="K1895" s="35" t="str">
        <f aca="false">IF($C1895="","",N($E1895)*IFERROR(INDEX(PRODUCTOS!$H$6:$H$105,MATCH($C1895,PRODUCTOS!$A$6:$A$105,0)),0))</f>
        <v/>
      </c>
      <c r="L1895" s="35" t="str">
        <f aca="false">IF($C1895="","",$J1895-$K1895)</f>
        <v/>
      </c>
      <c r="M1895" s="6"/>
      <c r="N1895" s="6"/>
      <c r="O1895" s="46" t="str">
        <f aca="false">IF($A1895="","",DATE(YEAR($A1895),MONTH($A1895),1))</f>
        <v/>
      </c>
    </row>
    <row r="1896" customFormat="false" ht="15" hidden="false" customHeight="false" outlineLevel="0" collapsed="false">
      <c r="A1896" s="44"/>
      <c r="B1896" s="6"/>
      <c r="C1896" s="6"/>
      <c r="D1896" s="8" t="str">
        <f aca="false">IF($C1896="","",IFERROR(INDEX(PRODUCTOS!$B$6:$B$105,MATCH($C1896,PRODUCTOS!$A$6:$A$105,0)),"¿Código?"))</f>
        <v/>
      </c>
      <c r="E1896" s="42"/>
      <c r="F1896" s="35" t="str">
        <f aca="false">IF($C1896="","",IFERROR(INDEX(PRODUCTOS!$D$6:$D$105,MATCH($C1896,PRODUCTOS!$A$6:$A$105,0)),0))</f>
        <v/>
      </c>
      <c r="G1896" s="40"/>
      <c r="H1896" s="35" t="str">
        <f aca="false">IF($C1896="","",N($E1896)*$F1896-N($G1896))</f>
        <v/>
      </c>
      <c r="I1896" s="35" t="str">
        <f aca="false">IF($C1896="","",$H1896-$H1896/(1+IFERROR(INDEX(PRODUCTOS!$E$6:$E$105,MATCH($C1896,PRODUCTOS!$A$6:$A$105,0)),IVA_VENTAS)))</f>
        <v/>
      </c>
      <c r="J1896" s="35" t="str">
        <f aca="false">IF($C1896="","",$H1896-$I1896)</f>
        <v/>
      </c>
      <c r="K1896" s="35" t="str">
        <f aca="false">IF($C1896="","",N($E1896)*IFERROR(INDEX(PRODUCTOS!$H$6:$H$105,MATCH($C1896,PRODUCTOS!$A$6:$A$105,0)),0))</f>
        <v/>
      </c>
      <c r="L1896" s="35" t="str">
        <f aca="false">IF($C1896="","",$J1896-$K1896)</f>
        <v/>
      </c>
      <c r="M1896" s="6"/>
      <c r="N1896" s="6"/>
      <c r="O1896" s="46" t="str">
        <f aca="false">IF($A1896="","",DATE(YEAR($A1896),MONTH($A1896),1))</f>
        <v/>
      </c>
    </row>
    <row r="1897" customFormat="false" ht="15" hidden="false" customHeight="false" outlineLevel="0" collapsed="false">
      <c r="A1897" s="44"/>
      <c r="B1897" s="6"/>
      <c r="C1897" s="6"/>
      <c r="D1897" s="8" t="str">
        <f aca="false">IF($C1897="","",IFERROR(INDEX(PRODUCTOS!$B$6:$B$105,MATCH($C1897,PRODUCTOS!$A$6:$A$105,0)),"¿Código?"))</f>
        <v/>
      </c>
      <c r="E1897" s="42"/>
      <c r="F1897" s="35" t="str">
        <f aca="false">IF($C1897="","",IFERROR(INDEX(PRODUCTOS!$D$6:$D$105,MATCH($C1897,PRODUCTOS!$A$6:$A$105,0)),0))</f>
        <v/>
      </c>
      <c r="G1897" s="40"/>
      <c r="H1897" s="35" t="str">
        <f aca="false">IF($C1897="","",N($E1897)*$F1897-N($G1897))</f>
        <v/>
      </c>
      <c r="I1897" s="35" t="str">
        <f aca="false">IF($C1897="","",$H1897-$H1897/(1+IFERROR(INDEX(PRODUCTOS!$E$6:$E$105,MATCH($C1897,PRODUCTOS!$A$6:$A$105,0)),IVA_VENTAS)))</f>
        <v/>
      </c>
      <c r="J1897" s="35" t="str">
        <f aca="false">IF($C1897="","",$H1897-$I1897)</f>
        <v/>
      </c>
      <c r="K1897" s="35" t="str">
        <f aca="false">IF($C1897="","",N($E1897)*IFERROR(INDEX(PRODUCTOS!$H$6:$H$105,MATCH($C1897,PRODUCTOS!$A$6:$A$105,0)),0))</f>
        <v/>
      </c>
      <c r="L1897" s="35" t="str">
        <f aca="false">IF($C1897="","",$J1897-$K1897)</f>
        <v/>
      </c>
      <c r="M1897" s="6"/>
      <c r="N1897" s="6"/>
      <c r="O1897" s="46" t="str">
        <f aca="false">IF($A1897="","",DATE(YEAR($A1897),MONTH($A1897),1))</f>
        <v/>
      </c>
    </row>
    <row r="1898" customFormat="false" ht="15" hidden="false" customHeight="false" outlineLevel="0" collapsed="false">
      <c r="A1898" s="44"/>
      <c r="B1898" s="6"/>
      <c r="C1898" s="6"/>
      <c r="D1898" s="8" t="str">
        <f aca="false">IF($C1898="","",IFERROR(INDEX(PRODUCTOS!$B$6:$B$105,MATCH($C1898,PRODUCTOS!$A$6:$A$105,0)),"¿Código?"))</f>
        <v/>
      </c>
      <c r="E1898" s="42"/>
      <c r="F1898" s="35" t="str">
        <f aca="false">IF($C1898="","",IFERROR(INDEX(PRODUCTOS!$D$6:$D$105,MATCH($C1898,PRODUCTOS!$A$6:$A$105,0)),0))</f>
        <v/>
      </c>
      <c r="G1898" s="40"/>
      <c r="H1898" s="35" t="str">
        <f aca="false">IF($C1898="","",N($E1898)*$F1898-N($G1898))</f>
        <v/>
      </c>
      <c r="I1898" s="35" t="str">
        <f aca="false">IF($C1898="","",$H1898-$H1898/(1+IFERROR(INDEX(PRODUCTOS!$E$6:$E$105,MATCH($C1898,PRODUCTOS!$A$6:$A$105,0)),IVA_VENTAS)))</f>
        <v/>
      </c>
      <c r="J1898" s="35" t="str">
        <f aca="false">IF($C1898="","",$H1898-$I1898)</f>
        <v/>
      </c>
      <c r="K1898" s="35" t="str">
        <f aca="false">IF($C1898="","",N($E1898)*IFERROR(INDEX(PRODUCTOS!$H$6:$H$105,MATCH($C1898,PRODUCTOS!$A$6:$A$105,0)),0))</f>
        <v/>
      </c>
      <c r="L1898" s="35" t="str">
        <f aca="false">IF($C1898="","",$J1898-$K1898)</f>
        <v/>
      </c>
      <c r="M1898" s="6"/>
      <c r="N1898" s="6"/>
      <c r="O1898" s="46" t="str">
        <f aca="false">IF($A1898="","",DATE(YEAR($A1898),MONTH($A1898),1))</f>
        <v/>
      </c>
    </row>
    <row r="1899" customFormat="false" ht="15" hidden="false" customHeight="false" outlineLevel="0" collapsed="false">
      <c r="A1899" s="44"/>
      <c r="B1899" s="6"/>
      <c r="C1899" s="6"/>
      <c r="D1899" s="8" t="str">
        <f aca="false">IF($C1899="","",IFERROR(INDEX(PRODUCTOS!$B$6:$B$105,MATCH($C1899,PRODUCTOS!$A$6:$A$105,0)),"¿Código?"))</f>
        <v/>
      </c>
      <c r="E1899" s="42"/>
      <c r="F1899" s="35" t="str">
        <f aca="false">IF($C1899="","",IFERROR(INDEX(PRODUCTOS!$D$6:$D$105,MATCH($C1899,PRODUCTOS!$A$6:$A$105,0)),0))</f>
        <v/>
      </c>
      <c r="G1899" s="40"/>
      <c r="H1899" s="35" t="str">
        <f aca="false">IF($C1899="","",N($E1899)*$F1899-N($G1899))</f>
        <v/>
      </c>
      <c r="I1899" s="35" t="str">
        <f aca="false">IF($C1899="","",$H1899-$H1899/(1+IFERROR(INDEX(PRODUCTOS!$E$6:$E$105,MATCH($C1899,PRODUCTOS!$A$6:$A$105,0)),IVA_VENTAS)))</f>
        <v/>
      </c>
      <c r="J1899" s="35" t="str">
        <f aca="false">IF($C1899="","",$H1899-$I1899)</f>
        <v/>
      </c>
      <c r="K1899" s="35" t="str">
        <f aca="false">IF($C1899="","",N($E1899)*IFERROR(INDEX(PRODUCTOS!$H$6:$H$105,MATCH($C1899,PRODUCTOS!$A$6:$A$105,0)),0))</f>
        <v/>
      </c>
      <c r="L1899" s="35" t="str">
        <f aca="false">IF($C1899="","",$J1899-$K1899)</f>
        <v/>
      </c>
      <c r="M1899" s="6"/>
      <c r="N1899" s="6"/>
      <c r="O1899" s="46" t="str">
        <f aca="false">IF($A1899="","",DATE(YEAR($A1899),MONTH($A1899),1))</f>
        <v/>
      </c>
    </row>
    <row r="1900" customFormat="false" ht="15" hidden="false" customHeight="false" outlineLevel="0" collapsed="false">
      <c r="A1900" s="44"/>
      <c r="B1900" s="6"/>
      <c r="C1900" s="6"/>
      <c r="D1900" s="8" t="str">
        <f aca="false">IF($C1900="","",IFERROR(INDEX(PRODUCTOS!$B$6:$B$105,MATCH($C1900,PRODUCTOS!$A$6:$A$105,0)),"¿Código?"))</f>
        <v/>
      </c>
      <c r="E1900" s="42"/>
      <c r="F1900" s="35" t="str">
        <f aca="false">IF($C1900="","",IFERROR(INDEX(PRODUCTOS!$D$6:$D$105,MATCH($C1900,PRODUCTOS!$A$6:$A$105,0)),0))</f>
        <v/>
      </c>
      <c r="G1900" s="40"/>
      <c r="H1900" s="35" t="str">
        <f aca="false">IF($C1900="","",N($E1900)*$F1900-N($G1900))</f>
        <v/>
      </c>
      <c r="I1900" s="35" t="str">
        <f aca="false">IF($C1900="","",$H1900-$H1900/(1+IFERROR(INDEX(PRODUCTOS!$E$6:$E$105,MATCH($C1900,PRODUCTOS!$A$6:$A$105,0)),IVA_VENTAS)))</f>
        <v/>
      </c>
      <c r="J1900" s="35" t="str">
        <f aca="false">IF($C1900="","",$H1900-$I1900)</f>
        <v/>
      </c>
      <c r="K1900" s="35" t="str">
        <f aca="false">IF($C1900="","",N($E1900)*IFERROR(INDEX(PRODUCTOS!$H$6:$H$105,MATCH($C1900,PRODUCTOS!$A$6:$A$105,0)),0))</f>
        <v/>
      </c>
      <c r="L1900" s="35" t="str">
        <f aca="false">IF($C1900="","",$J1900-$K1900)</f>
        <v/>
      </c>
      <c r="M1900" s="6"/>
      <c r="N1900" s="6"/>
      <c r="O1900" s="46" t="str">
        <f aca="false">IF($A1900="","",DATE(YEAR($A1900),MONTH($A1900),1))</f>
        <v/>
      </c>
    </row>
    <row r="1901" customFormat="false" ht="15" hidden="false" customHeight="false" outlineLevel="0" collapsed="false">
      <c r="A1901" s="44"/>
      <c r="B1901" s="6"/>
      <c r="C1901" s="6"/>
      <c r="D1901" s="8" t="str">
        <f aca="false">IF($C1901="","",IFERROR(INDEX(PRODUCTOS!$B$6:$B$105,MATCH($C1901,PRODUCTOS!$A$6:$A$105,0)),"¿Código?"))</f>
        <v/>
      </c>
      <c r="E1901" s="42"/>
      <c r="F1901" s="35" t="str">
        <f aca="false">IF($C1901="","",IFERROR(INDEX(PRODUCTOS!$D$6:$D$105,MATCH($C1901,PRODUCTOS!$A$6:$A$105,0)),0))</f>
        <v/>
      </c>
      <c r="G1901" s="40"/>
      <c r="H1901" s="35" t="str">
        <f aca="false">IF($C1901="","",N($E1901)*$F1901-N($G1901))</f>
        <v/>
      </c>
      <c r="I1901" s="35" t="str">
        <f aca="false">IF($C1901="","",$H1901-$H1901/(1+IFERROR(INDEX(PRODUCTOS!$E$6:$E$105,MATCH($C1901,PRODUCTOS!$A$6:$A$105,0)),IVA_VENTAS)))</f>
        <v/>
      </c>
      <c r="J1901" s="35" t="str">
        <f aca="false">IF($C1901="","",$H1901-$I1901)</f>
        <v/>
      </c>
      <c r="K1901" s="35" t="str">
        <f aca="false">IF($C1901="","",N($E1901)*IFERROR(INDEX(PRODUCTOS!$H$6:$H$105,MATCH($C1901,PRODUCTOS!$A$6:$A$105,0)),0))</f>
        <v/>
      </c>
      <c r="L1901" s="35" t="str">
        <f aca="false">IF($C1901="","",$J1901-$K1901)</f>
        <v/>
      </c>
      <c r="M1901" s="6"/>
      <c r="N1901" s="6"/>
      <c r="O1901" s="46" t="str">
        <f aca="false">IF($A1901="","",DATE(YEAR($A1901),MONTH($A1901),1))</f>
        <v/>
      </c>
    </row>
    <row r="1902" customFormat="false" ht="15" hidden="false" customHeight="false" outlineLevel="0" collapsed="false">
      <c r="A1902" s="44"/>
      <c r="B1902" s="6"/>
      <c r="C1902" s="6"/>
      <c r="D1902" s="8" t="str">
        <f aca="false">IF($C1902="","",IFERROR(INDEX(PRODUCTOS!$B$6:$B$105,MATCH($C1902,PRODUCTOS!$A$6:$A$105,0)),"¿Código?"))</f>
        <v/>
      </c>
      <c r="E1902" s="42"/>
      <c r="F1902" s="35" t="str">
        <f aca="false">IF($C1902="","",IFERROR(INDEX(PRODUCTOS!$D$6:$D$105,MATCH($C1902,PRODUCTOS!$A$6:$A$105,0)),0))</f>
        <v/>
      </c>
      <c r="G1902" s="40"/>
      <c r="H1902" s="35" t="str">
        <f aca="false">IF($C1902="","",N($E1902)*$F1902-N($G1902))</f>
        <v/>
      </c>
      <c r="I1902" s="35" t="str">
        <f aca="false">IF($C1902="","",$H1902-$H1902/(1+IFERROR(INDEX(PRODUCTOS!$E$6:$E$105,MATCH($C1902,PRODUCTOS!$A$6:$A$105,0)),IVA_VENTAS)))</f>
        <v/>
      </c>
      <c r="J1902" s="35" t="str">
        <f aca="false">IF($C1902="","",$H1902-$I1902)</f>
        <v/>
      </c>
      <c r="K1902" s="35" t="str">
        <f aca="false">IF($C1902="","",N($E1902)*IFERROR(INDEX(PRODUCTOS!$H$6:$H$105,MATCH($C1902,PRODUCTOS!$A$6:$A$105,0)),0))</f>
        <v/>
      </c>
      <c r="L1902" s="35" t="str">
        <f aca="false">IF($C1902="","",$J1902-$K1902)</f>
        <v/>
      </c>
      <c r="M1902" s="6"/>
      <c r="N1902" s="6"/>
      <c r="O1902" s="46" t="str">
        <f aca="false">IF($A1902="","",DATE(YEAR($A1902),MONTH($A1902),1))</f>
        <v/>
      </c>
    </row>
    <row r="1903" customFormat="false" ht="15" hidden="false" customHeight="false" outlineLevel="0" collapsed="false">
      <c r="A1903" s="44"/>
      <c r="B1903" s="6"/>
      <c r="C1903" s="6"/>
      <c r="D1903" s="8" t="str">
        <f aca="false">IF($C1903="","",IFERROR(INDEX(PRODUCTOS!$B$6:$B$105,MATCH($C1903,PRODUCTOS!$A$6:$A$105,0)),"¿Código?"))</f>
        <v/>
      </c>
      <c r="E1903" s="42"/>
      <c r="F1903" s="35" t="str">
        <f aca="false">IF($C1903="","",IFERROR(INDEX(PRODUCTOS!$D$6:$D$105,MATCH($C1903,PRODUCTOS!$A$6:$A$105,0)),0))</f>
        <v/>
      </c>
      <c r="G1903" s="40"/>
      <c r="H1903" s="35" t="str">
        <f aca="false">IF($C1903="","",N($E1903)*$F1903-N($G1903))</f>
        <v/>
      </c>
      <c r="I1903" s="35" t="str">
        <f aca="false">IF($C1903="","",$H1903-$H1903/(1+IFERROR(INDEX(PRODUCTOS!$E$6:$E$105,MATCH($C1903,PRODUCTOS!$A$6:$A$105,0)),IVA_VENTAS)))</f>
        <v/>
      </c>
      <c r="J1903" s="35" t="str">
        <f aca="false">IF($C1903="","",$H1903-$I1903)</f>
        <v/>
      </c>
      <c r="K1903" s="35" t="str">
        <f aca="false">IF($C1903="","",N($E1903)*IFERROR(INDEX(PRODUCTOS!$H$6:$H$105,MATCH($C1903,PRODUCTOS!$A$6:$A$105,0)),0))</f>
        <v/>
      </c>
      <c r="L1903" s="35" t="str">
        <f aca="false">IF($C1903="","",$J1903-$K1903)</f>
        <v/>
      </c>
      <c r="M1903" s="6"/>
      <c r="N1903" s="6"/>
      <c r="O1903" s="46" t="str">
        <f aca="false">IF($A1903="","",DATE(YEAR($A1903),MONTH($A1903),1))</f>
        <v/>
      </c>
    </row>
    <row r="1904" customFormat="false" ht="15" hidden="false" customHeight="false" outlineLevel="0" collapsed="false">
      <c r="A1904" s="44"/>
      <c r="B1904" s="6"/>
      <c r="C1904" s="6"/>
      <c r="D1904" s="8" t="str">
        <f aca="false">IF($C1904="","",IFERROR(INDEX(PRODUCTOS!$B$6:$B$105,MATCH($C1904,PRODUCTOS!$A$6:$A$105,0)),"¿Código?"))</f>
        <v/>
      </c>
      <c r="E1904" s="42"/>
      <c r="F1904" s="35" t="str">
        <f aca="false">IF($C1904="","",IFERROR(INDEX(PRODUCTOS!$D$6:$D$105,MATCH($C1904,PRODUCTOS!$A$6:$A$105,0)),0))</f>
        <v/>
      </c>
      <c r="G1904" s="40"/>
      <c r="H1904" s="35" t="str">
        <f aca="false">IF($C1904="","",N($E1904)*$F1904-N($G1904))</f>
        <v/>
      </c>
      <c r="I1904" s="35" t="str">
        <f aca="false">IF($C1904="","",$H1904-$H1904/(1+IFERROR(INDEX(PRODUCTOS!$E$6:$E$105,MATCH($C1904,PRODUCTOS!$A$6:$A$105,0)),IVA_VENTAS)))</f>
        <v/>
      </c>
      <c r="J1904" s="35" t="str">
        <f aca="false">IF($C1904="","",$H1904-$I1904)</f>
        <v/>
      </c>
      <c r="K1904" s="35" t="str">
        <f aca="false">IF($C1904="","",N($E1904)*IFERROR(INDEX(PRODUCTOS!$H$6:$H$105,MATCH($C1904,PRODUCTOS!$A$6:$A$105,0)),0))</f>
        <v/>
      </c>
      <c r="L1904" s="35" t="str">
        <f aca="false">IF($C1904="","",$J1904-$K1904)</f>
        <v/>
      </c>
      <c r="M1904" s="6"/>
      <c r="N1904" s="6"/>
      <c r="O1904" s="46" t="str">
        <f aca="false">IF($A1904="","",DATE(YEAR($A1904),MONTH($A1904),1))</f>
        <v/>
      </c>
    </row>
    <row r="1905" customFormat="false" ht="15" hidden="false" customHeight="false" outlineLevel="0" collapsed="false">
      <c r="A1905" s="44"/>
      <c r="B1905" s="6"/>
      <c r="C1905" s="6"/>
      <c r="D1905" s="8" t="str">
        <f aca="false">IF($C1905="","",IFERROR(INDEX(PRODUCTOS!$B$6:$B$105,MATCH($C1905,PRODUCTOS!$A$6:$A$105,0)),"¿Código?"))</f>
        <v/>
      </c>
      <c r="E1905" s="42"/>
      <c r="F1905" s="35" t="str">
        <f aca="false">IF($C1905="","",IFERROR(INDEX(PRODUCTOS!$D$6:$D$105,MATCH($C1905,PRODUCTOS!$A$6:$A$105,0)),0))</f>
        <v/>
      </c>
      <c r="G1905" s="40"/>
      <c r="H1905" s="35" t="str">
        <f aca="false">IF($C1905="","",N($E1905)*$F1905-N($G1905))</f>
        <v/>
      </c>
      <c r="I1905" s="35" t="str">
        <f aca="false">IF($C1905="","",$H1905-$H1905/(1+IFERROR(INDEX(PRODUCTOS!$E$6:$E$105,MATCH($C1905,PRODUCTOS!$A$6:$A$105,0)),IVA_VENTAS)))</f>
        <v/>
      </c>
      <c r="J1905" s="35" t="str">
        <f aca="false">IF($C1905="","",$H1905-$I1905)</f>
        <v/>
      </c>
      <c r="K1905" s="35" t="str">
        <f aca="false">IF($C1905="","",N($E1905)*IFERROR(INDEX(PRODUCTOS!$H$6:$H$105,MATCH($C1905,PRODUCTOS!$A$6:$A$105,0)),0))</f>
        <v/>
      </c>
      <c r="L1905" s="35" t="str">
        <f aca="false">IF($C1905="","",$J1905-$K1905)</f>
        <v/>
      </c>
      <c r="M1905" s="6"/>
      <c r="N1905" s="6"/>
      <c r="O1905" s="46" t="str">
        <f aca="false">IF($A1905="","",DATE(YEAR($A1905),MONTH($A1905),1))</f>
        <v/>
      </c>
    </row>
    <row r="1906" customFormat="false" ht="15" hidden="false" customHeight="false" outlineLevel="0" collapsed="false">
      <c r="A1906" s="44"/>
      <c r="B1906" s="6"/>
      <c r="C1906" s="6"/>
      <c r="D1906" s="8" t="str">
        <f aca="false">IF($C1906="","",IFERROR(INDEX(PRODUCTOS!$B$6:$B$105,MATCH($C1906,PRODUCTOS!$A$6:$A$105,0)),"¿Código?"))</f>
        <v/>
      </c>
      <c r="E1906" s="42"/>
      <c r="F1906" s="35" t="str">
        <f aca="false">IF($C1906="","",IFERROR(INDEX(PRODUCTOS!$D$6:$D$105,MATCH($C1906,PRODUCTOS!$A$6:$A$105,0)),0))</f>
        <v/>
      </c>
      <c r="G1906" s="40"/>
      <c r="H1906" s="35" t="str">
        <f aca="false">IF($C1906="","",N($E1906)*$F1906-N($G1906))</f>
        <v/>
      </c>
      <c r="I1906" s="35" t="str">
        <f aca="false">IF($C1906="","",$H1906-$H1906/(1+IFERROR(INDEX(PRODUCTOS!$E$6:$E$105,MATCH($C1906,PRODUCTOS!$A$6:$A$105,0)),IVA_VENTAS)))</f>
        <v/>
      </c>
      <c r="J1906" s="35" t="str">
        <f aca="false">IF($C1906="","",$H1906-$I1906)</f>
        <v/>
      </c>
      <c r="K1906" s="35" t="str">
        <f aca="false">IF($C1906="","",N($E1906)*IFERROR(INDEX(PRODUCTOS!$H$6:$H$105,MATCH($C1906,PRODUCTOS!$A$6:$A$105,0)),0))</f>
        <v/>
      </c>
      <c r="L1906" s="35" t="str">
        <f aca="false">IF($C1906="","",$J1906-$K1906)</f>
        <v/>
      </c>
      <c r="M1906" s="6"/>
      <c r="N1906" s="6"/>
      <c r="O1906" s="46" t="str">
        <f aca="false">IF($A1906="","",DATE(YEAR($A1906),MONTH($A1906),1))</f>
        <v/>
      </c>
    </row>
    <row r="1907" customFormat="false" ht="15" hidden="false" customHeight="false" outlineLevel="0" collapsed="false">
      <c r="A1907" s="44"/>
      <c r="B1907" s="6"/>
      <c r="C1907" s="6"/>
      <c r="D1907" s="8" t="str">
        <f aca="false">IF($C1907="","",IFERROR(INDEX(PRODUCTOS!$B$6:$B$105,MATCH($C1907,PRODUCTOS!$A$6:$A$105,0)),"¿Código?"))</f>
        <v/>
      </c>
      <c r="E1907" s="42"/>
      <c r="F1907" s="35" t="str">
        <f aca="false">IF($C1907="","",IFERROR(INDEX(PRODUCTOS!$D$6:$D$105,MATCH($C1907,PRODUCTOS!$A$6:$A$105,0)),0))</f>
        <v/>
      </c>
      <c r="G1907" s="40"/>
      <c r="H1907" s="35" t="str">
        <f aca="false">IF($C1907="","",N($E1907)*$F1907-N($G1907))</f>
        <v/>
      </c>
      <c r="I1907" s="35" t="str">
        <f aca="false">IF($C1907="","",$H1907-$H1907/(1+IFERROR(INDEX(PRODUCTOS!$E$6:$E$105,MATCH($C1907,PRODUCTOS!$A$6:$A$105,0)),IVA_VENTAS)))</f>
        <v/>
      </c>
      <c r="J1907" s="35" t="str">
        <f aca="false">IF($C1907="","",$H1907-$I1907)</f>
        <v/>
      </c>
      <c r="K1907" s="35" t="str">
        <f aca="false">IF($C1907="","",N($E1907)*IFERROR(INDEX(PRODUCTOS!$H$6:$H$105,MATCH($C1907,PRODUCTOS!$A$6:$A$105,0)),0))</f>
        <v/>
      </c>
      <c r="L1907" s="35" t="str">
        <f aca="false">IF($C1907="","",$J1907-$K1907)</f>
        <v/>
      </c>
      <c r="M1907" s="6"/>
      <c r="N1907" s="6"/>
      <c r="O1907" s="46" t="str">
        <f aca="false">IF($A1907="","",DATE(YEAR($A1907),MONTH($A1907),1))</f>
        <v/>
      </c>
    </row>
    <row r="1908" customFormat="false" ht="15" hidden="false" customHeight="false" outlineLevel="0" collapsed="false">
      <c r="A1908" s="44"/>
      <c r="B1908" s="6"/>
      <c r="C1908" s="6"/>
      <c r="D1908" s="8" t="str">
        <f aca="false">IF($C1908="","",IFERROR(INDEX(PRODUCTOS!$B$6:$B$105,MATCH($C1908,PRODUCTOS!$A$6:$A$105,0)),"¿Código?"))</f>
        <v/>
      </c>
      <c r="E1908" s="42"/>
      <c r="F1908" s="35" t="str">
        <f aca="false">IF($C1908="","",IFERROR(INDEX(PRODUCTOS!$D$6:$D$105,MATCH($C1908,PRODUCTOS!$A$6:$A$105,0)),0))</f>
        <v/>
      </c>
      <c r="G1908" s="40"/>
      <c r="H1908" s="35" t="str">
        <f aca="false">IF($C1908="","",N($E1908)*$F1908-N($G1908))</f>
        <v/>
      </c>
      <c r="I1908" s="35" t="str">
        <f aca="false">IF($C1908="","",$H1908-$H1908/(1+IFERROR(INDEX(PRODUCTOS!$E$6:$E$105,MATCH($C1908,PRODUCTOS!$A$6:$A$105,0)),IVA_VENTAS)))</f>
        <v/>
      </c>
      <c r="J1908" s="35" t="str">
        <f aca="false">IF($C1908="","",$H1908-$I1908)</f>
        <v/>
      </c>
      <c r="K1908" s="35" t="str">
        <f aca="false">IF($C1908="","",N($E1908)*IFERROR(INDEX(PRODUCTOS!$H$6:$H$105,MATCH($C1908,PRODUCTOS!$A$6:$A$105,0)),0))</f>
        <v/>
      </c>
      <c r="L1908" s="35" t="str">
        <f aca="false">IF($C1908="","",$J1908-$K1908)</f>
        <v/>
      </c>
      <c r="M1908" s="6"/>
      <c r="N1908" s="6"/>
      <c r="O1908" s="46" t="str">
        <f aca="false">IF($A1908="","",DATE(YEAR($A1908),MONTH($A1908),1))</f>
        <v/>
      </c>
    </row>
    <row r="1909" customFormat="false" ht="15" hidden="false" customHeight="false" outlineLevel="0" collapsed="false">
      <c r="A1909" s="44"/>
      <c r="B1909" s="6"/>
      <c r="C1909" s="6"/>
      <c r="D1909" s="8" t="str">
        <f aca="false">IF($C1909="","",IFERROR(INDEX(PRODUCTOS!$B$6:$B$105,MATCH($C1909,PRODUCTOS!$A$6:$A$105,0)),"¿Código?"))</f>
        <v/>
      </c>
      <c r="E1909" s="42"/>
      <c r="F1909" s="35" t="str">
        <f aca="false">IF($C1909="","",IFERROR(INDEX(PRODUCTOS!$D$6:$D$105,MATCH($C1909,PRODUCTOS!$A$6:$A$105,0)),0))</f>
        <v/>
      </c>
      <c r="G1909" s="40"/>
      <c r="H1909" s="35" t="str">
        <f aca="false">IF($C1909="","",N($E1909)*$F1909-N($G1909))</f>
        <v/>
      </c>
      <c r="I1909" s="35" t="str">
        <f aca="false">IF($C1909="","",$H1909-$H1909/(1+IFERROR(INDEX(PRODUCTOS!$E$6:$E$105,MATCH($C1909,PRODUCTOS!$A$6:$A$105,0)),IVA_VENTAS)))</f>
        <v/>
      </c>
      <c r="J1909" s="35" t="str">
        <f aca="false">IF($C1909="","",$H1909-$I1909)</f>
        <v/>
      </c>
      <c r="K1909" s="35" t="str">
        <f aca="false">IF($C1909="","",N($E1909)*IFERROR(INDEX(PRODUCTOS!$H$6:$H$105,MATCH($C1909,PRODUCTOS!$A$6:$A$105,0)),0))</f>
        <v/>
      </c>
      <c r="L1909" s="35" t="str">
        <f aca="false">IF($C1909="","",$J1909-$K1909)</f>
        <v/>
      </c>
      <c r="M1909" s="6"/>
      <c r="N1909" s="6"/>
      <c r="O1909" s="46" t="str">
        <f aca="false">IF($A1909="","",DATE(YEAR($A1909),MONTH($A1909),1))</f>
        <v/>
      </c>
    </row>
    <row r="1910" customFormat="false" ht="15" hidden="false" customHeight="false" outlineLevel="0" collapsed="false">
      <c r="A1910" s="44"/>
      <c r="B1910" s="6"/>
      <c r="C1910" s="6"/>
      <c r="D1910" s="8" t="str">
        <f aca="false">IF($C1910="","",IFERROR(INDEX(PRODUCTOS!$B$6:$B$105,MATCH($C1910,PRODUCTOS!$A$6:$A$105,0)),"¿Código?"))</f>
        <v/>
      </c>
      <c r="E1910" s="42"/>
      <c r="F1910" s="35" t="str">
        <f aca="false">IF($C1910="","",IFERROR(INDEX(PRODUCTOS!$D$6:$D$105,MATCH($C1910,PRODUCTOS!$A$6:$A$105,0)),0))</f>
        <v/>
      </c>
      <c r="G1910" s="40"/>
      <c r="H1910" s="35" t="str">
        <f aca="false">IF($C1910="","",N($E1910)*$F1910-N($G1910))</f>
        <v/>
      </c>
      <c r="I1910" s="35" t="str">
        <f aca="false">IF($C1910="","",$H1910-$H1910/(1+IFERROR(INDEX(PRODUCTOS!$E$6:$E$105,MATCH($C1910,PRODUCTOS!$A$6:$A$105,0)),IVA_VENTAS)))</f>
        <v/>
      </c>
      <c r="J1910" s="35" t="str">
        <f aca="false">IF($C1910="","",$H1910-$I1910)</f>
        <v/>
      </c>
      <c r="K1910" s="35" t="str">
        <f aca="false">IF($C1910="","",N($E1910)*IFERROR(INDEX(PRODUCTOS!$H$6:$H$105,MATCH($C1910,PRODUCTOS!$A$6:$A$105,0)),0))</f>
        <v/>
      </c>
      <c r="L1910" s="35" t="str">
        <f aca="false">IF($C1910="","",$J1910-$K1910)</f>
        <v/>
      </c>
      <c r="M1910" s="6"/>
      <c r="N1910" s="6"/>
      <c r="O1910" s="46" t="str">
        <f aca="false">IF($A1910="","",DATE(YEAR($A1910),MONTH($A1910),1))</f>
        <v/>
      </c>
    </row>
    <row r="1911" customFormat="false" ht="15" hidden="false" customHeight="false" outlineLevel="0" collapsed="false">
      <c r="A1911" s="44"/>
      <c r="B1911" s="6"/>
      <c r="C1911" s="6"/>
      <c r="D1911" s="8" t="str">
        <f aca="false">IF($C1911="","",IFERROR(INDEX(PRODUCTOS!$B$6:$B$105,MATCH($C1911,PRODUCTOS!$A$6:$A$105,0)),"¿Código?"))</f>
        <v/>
      </c>
      <c r="E1911" s="42"/>
      <c r="F1911" s="35" t="str">
        <f aca="false">IF($C1911="","",IFERROR(INDEX(PRODUCTOS!$D$6:$D$105,MATCH($C1911,PRODUCTOS!$A$6:$A$105,0)),0))</f>
        <v/>
      </c>
      <c r="G1911" s="40"/>
      <c r="H1911" s="35" t="str">
        <f aca="false">IF($C1911="","",N($E1911)*$F1911-N($G1911))</f>
        <v/>
      </c>
      <c r="I1911" s="35" t="str">
        <f aca="false">IF($C1911="","",$H1911-$H1911/(1+IFERROR(INDEX(PRODUCTOS!$E$6:$E$105,MATCH($C1911,PRODUCTOS!$A$6:$A$105,0)),IVA_VENTAS)))</f>
        <v/>
      </c>
      <c r="J1911" s="35" t="str">
        <f aca="false">IF($C1911="","",$H1911-$I1911)</f>
        <v/>
      </c>
      <c r="K1911" s="35" t="str">
        <f aca="false">IF($C1911="","",N($E1911)*IFERROR(INDEX(PRODUCTOS!$H$6:$H$105,MATCH($C1911,PRODUCTOS!$A$6:$A$105,0)),0))</f>
        <v/>
      </c>
      <c r="L1911" s="35" t="str">
        <f aca="false">IF($C1911="","",$J1911-$K1911)</f>
        <v/>
      </c>
      <c r="M1911" s="6"/>
      <c r="N1911" s="6"/>
      <c r="O1911" s="46" t="str">
        <f aca="false">IF($A1911="","",DATE(YEAR($A1911),MONTH($A1911),1))</f>
        <v/>
      </c>
    </row>
    <row r="1912" customFormat="false" ht="15" hidden="false" customHeight="false" outlineLevel="0" collapsed="false">
      <c r="A1912" s="44"/>
      <c r="B1912" s="6"/>
      <c r="C1912" s="6"/>
      <c r="D1912" s="8" t="str">
        <f aca="false">IF($C1912="","",IFERROR(INDEX(PRODUCTOS!$B$6:$B$105,MATCH($C1912,PRODUCTOS!$A$6:$A$105,0)),"¿Código?"))</f>
        <v/>
      </c>
      <c r="E1912" s="42"/>
      <c r="F1912" s="35" t="str">
        <f aca="false">IF($C1912="","",IFERROR(INDEX(PRODUCTOS!$D$6:$D$105,MATCH($C1912,PRODUCTOS!$A$6:$A$105,0)),0))</f>
        <v/>
      </c>
      <c r="G1912" s="40"/>
      <c r="H1912" s="35" t="str">
        <f aca="false">IF($C1912="","",N($E1912)*$F1912-N($G1912))</f>
        <v/>
      </c>
      <c r="I1912" s="35" t="str">
        <f aca="false">IF($C1912="","",$H1912-$H1912/(1+IFERROR(INDEX(PRODUCTOS!$E$6:$E$105,MATCH($C1912,PRODUCTOS!$A$6:$A$105,0)),IVA_VENTAS)))</f>
        <v/>
      </c>
      <c r="J1912" s="35" t="str">
        <f aca="false">IF($C1912="","",$H1912-$I1912)</f>
        <v/>
      </c>
      <c r="K1912" s="35" t="str">
        <f aca="false">IF($C1912="","",N($E1912)*IFERROR(INDEX(PRODUCTOS!$H$6:$H$105,MATCH($C1912,PRODUCTOS!$A$6:$A$105,0)),0))</f>
        <v/>
      </c>
      <c r="L1912" s="35" t="str">
        <f aca="false">IF($C1912="","",$J1912-$K1912)</f>
        <v/>
      </c>
      <c r="M1912" s="6"/>
      <c r="N1912" s="6"/>
      <c r="O1912" s="46" t="str">
        <f aca="false">IF($A1912="","",DATE(YEAR($A1912),MONTH($A1912),1))</f>
        <v/>
      </c>
    </row>
    <row r="1913" customFormat="false" ht="15" hidden="false" customHeight="false" outlineLevel="0" collapsed="false">
      <c r="A1913" s="44"/>
      <c r="B1913" s="6"/>
      <c r="C1913" s="6"/>
      <c r="D1913" s="8" t="str">
        <f aca="false">IF($C1913="","",IFERROR(INDEX(PRODUCTOS!$B$6:$B$105,MATCH($C1913,PRODUCTOS!$A$6:$A$105,0)),"¿Código?"))</f>
        <v/>
      </c>
      <c r="E1913" s="42"/>
      <c r="F1913" s="35" t="str">
        <f aca="false">IF($C1913="","",IFERROR(INDEX(PRODUCTOS!$D$6:$D$105,MATCH($C1913,PRODUCTOS!$A$6:$A$105,0)),0))</f>
        <v/>
      </c>
      <c r="G1913" s="40"/>
      <c r="H1913" s="35" t="str">
        <f aca="false">IF($C1913="","",N($E1913)*$F1913-N($G1913))</f>
        <v/>
      </c>
      <c r="I1913" s="35" t="str">
        <f aca="false">IF($C1913="","",$H1913-$H1913/(1+IFERROR(INDEX(PRODUCTOS!$E$6:$E$105,MATCH($C1913,PRODUCTOS!$A$6:$A$105,0)),IVA_VENTAS)))</f>
        <v/>
      </c>
      <c r="J1913" s="35" t="str">
        <f aca="false">IF($C1913="","",$H1913-$I1913)</f>
        <v/>
      </c>
      <c r="K1913" s="35" t="str">
        <f aca="false">IF($C1913="","",N($E1913)*IFERROR(INDEX(PRODUCTOS!$H$6:$H$105,MATCH($C1913,PRODUCTOS!$A$6:$A$105,0)),0))</f>
        <v/>
      </c>
      <c r="L1913" s="35" t="str">
        <f aca="false">IF($C1913="","",$J1913-$K1913)</f>
        <v/>
      </c>
      <c r="M1913" s="6"/>
      <c r="N1913" s="6"/>
      <c r="O1913" s="46" t="str">
        <f aca="false">IF($A1913="","",DATE(YEAR($A1913),MONTH($A1913),1))</f>
        <v/>
      </c>
    </row>
    <row r="1914" customFormat="false" ht="15" hidden="false" customHeight="false" outlineLevel="0" collapsed="false">
      <c r="A1914" s="44"/>
      <c r="B1914" s="6"/>
      <c r="C1914" s="6"/>
      <c r="D1914" s="8" t="str">
        <f aca="false">IF($C1914="","",IFERROR(INDEX(PRODUCTOS!$B$6:$B$105,MATCH($C1914,PRODUCTOS!$A$6:$A$105,0)),"¿Código?"))</f>
        <v/>
      </c>
      <c r="E1914" s="42"/>
      <c r="F1914" s="35" t="str">
        <f aca="false">IF($C1914="","",IFERROR(INDEX(PRODUCTOS!$D$6:$D$105,MATCH($C1914,PRODUCTOS!$A$6:$A$105,0)),0))</f>
        <v/>
      </c>
      <c r="G1914" s="40"/>
      <c r="H1914" s="35" t="str">
        <f aca="false">IF($C1914="","",N($E1914)*$F1914-N($G1914))</f>
        <v/>
      </c>
      <c r="I1914" s="35" t="str">
        <f aca="false">IF($C1914="","",$H1914-$H1914/(1+IFERROR(INDEX(PRODUCTOS!$E$6:$E$105,MATCH($C1914,PRODUCTOS!$A$6:$A$105,0)),IVA_VENTAS)))</f>
        <v/>
      </c>
      <c r="J1914" s="35" t="str">
        <f aca="false">IF($C1914="","",$H1914-$I1914)</f>
        <v/>
      </c>
      <c r="K1914" s="35" t="str">
        <f aca="false">IF($C1914="","",N($E1914)*IFERROR(INDEX(PRODUCTOS!$H$6:$H$105,MATCH($C1914,PRODUCTOS!$A$6:$A$105,0)),0))</f>
        <v/>
      </c>
      <c r="L1914" s="35" t="str">
        <f aca="false">IF($C1914="","",$J1914-$K1914)</f>
        <v/>
      </c>
      <c r="M1914" s="6"/>
      <c r="N1914" s="6"/>
      <c r="O1914" s="46" t="str">
        <f aca="false">IF($A1914="","",DATE(YEAR($A1914),MONTH($A1914),1))</f>
        <v/>
      </c>
    </row>
    <row r="1915" customFormat="false" ht="15" hidden="false" customHeight="false" outlineLevel="0" collapsed="false">
      <c r="A1915" s="44"/>
      <c r="B1915" s="6"/>
      <c r="C1915" s="6"/>
      <c r="D1915" s="8" t="str">
        <f aca="false">IF($C1915="","",IFERROR(INDEX(PRODUCTOS!$B$6:$B$105,MATCH($C1915,PRODUCTOS!$A$6:$A$105,0)),"¿Código?"))</f>
        <v/>
      </c>
      <c r="E1915" s="42"/>
      <c r="F1915" s="35" t="str">
        <f aca="false">IF($C1915="","",IFERROR(INDEX(PRODUCTOS!$D$6:$D$105,MATCH($C1915,PRODUCTOS!$A$6:$A$105,0)),0))</f>
        <v/>
      </c>
      <c r="G1915" s="40"/>
      <c r="H1915" s="35" t="str">
        <f aca="false">IF($C1915="","",N($E1915)*$F1915-N($G1915))</f>
        <v/>
      </c>
      <c r="I1915" s="35" t="str">
        <f aca="false">IF($C1915="","",$H1915-$H1915/(1+IFERROR(INDEX(PRODUCTOS!$E$6:$E$105,MATCH($C1915,PRODUCTOS!$A$6:$A$105,0)),IVA_VENTAS)))</f>
        <v/>
      </c>
      <c r="J1915" s="35" t="str">
        <f aca="false">IF($C1915="","",$H1915-$I1915)</f>
        <v/>
      </c>
      <c r="K1915" s="35" t="str">
        <f aca="false">IF($C1915="","",N($E1915)*IFERROR(INDEX(PRODUCTOS!$H$6:$H$105,MATCH($C1915,PRODUCTOS!$A$6:$A$105,0)),0))</f>
        <v/>
      </c>
      <c r="L1915" s="35" t="str">
        <f aca="false">IF($C1915="","",$J1915-$K1915)</f>
        <v/>
      </c>
      <c r="M1915" s="6"/>
      <c r="N1915" s="6"/>
      <c r="O1915" s="46" t="str">
        <f aca="false">IF($A1915="","",DATE(YEAR($A1915),MONTH($A1915),1))</f>
        <v/>
      </c>
    </row>
    <row r="1916" customFormat="false" ht="15" hidden="false" customHeight="false" outlineLevel="0" collapsed="false">
      <c r="A1916" s="44"/>
      <c r="B1916" s="6"/>
      <c r="C1916" s="6"/>
      <c r="D1916" s="8" t="str">
        <f aca="false">IF($C1916="","",IFERROR(INDEX(PRODUCTOS!$B$6:$B$105,MATCH($C1916,PRODUCTOS!$A$6:$A$105,0)),"¿Código?"))</f>
        <v/>
      </c>
      <c r="E1916" s="42"/>
      <c r="F1916" s="35" t="str">
        <f aca="false">IF($C1916="","",IFERROR(INDEX(PRODUCTOS!$D$6:$D$105,MATCH($C1916,PRODUCTOS!$A$6:$A$105,0)),0))</f>
        <v/>
      </c>
      <c r="G1916" s="40"/>
      <c r="H1916" s="35" t="str">
        <f aca="false">IF($C1916="","",N($E1916)*$F1916-N($G1916))</f>
        <v/>
      </c>
      <c r="I1916" s="35" t="str">
        <f aca="false">IF($C1916="","",$H1916-$H1916/(1+IFERROR(INDEX(PRODUCTOS!$E$6:$E$105,MATCH($C1916,PRODUCTOS!$A$6:$A$105,0)),IVA_VENTAS)))</f>
        <v/>
      </c>
      <c r="J1916" s="35" t="str">
        <f aca="false">IF($C1916="","",$H1916-$I1916)</f>
        <v/>
      </c>
      <c r="K1916" s="35" t="str">
        <f aca="false">IF($C1916="","",N($E1916)*IFERROR(INDEX(PRODUCTOS!$H$6:$H$105,MATCH($C1916,PRODUCTOS!$A$6:$A$105,0)),0))</f>
        <v/>
      </c>
      <c r="L1916" s="35" t="str">
        <f aca="false">IF($C1916="","",$J1916-$K1916)</f>
        <v/>
      </c>
      <c r="M1916" s="6"/>
      <c r="N1916" s="6"/>
      <c r="O1916" s="46" t="str">
        <f aca="false">IF($A1916="","",DATE(YEAR($A1916),MONTH($A1916),1))</f>
        <v/>
      </c>
    </row>
    <row r="1917" customFormat="false" ht="15" hidden="false" customHeight="false" outlineLevel="0" collapsed="false">
      <c r="A1917" s="44"/>
      <c r="B1917" s="6"/>
      <c r="C1917" s="6"/>
      <c r="D1917" s="8" t="str">
        <f aca="false">IF($C1917="","",IFERROR(INDEX(PRODUCTOS!$B$6:$B$105,MATCH($C1917,PRODUCTOS!$A$6:$A$105,0)),"¿Código?"))</f>
        <v/>
      </c>
      <c r="E1917" s="42"/>
      <c r="F1917" s="35" t="str">
        <f aca="false">IF($C1917="","",IFERROR(INDEX(PRODUCTOS!$D$6:$D$105,MATCH($C1917,PRODUCTOS!$A$6:$A$105,0)),0))</f>
        <v/>
      </c>
      <c r="G1917" s="40"/>
      <c r="H1917" s="35" t="str">
        <f aca="false">IF($C1917="","",N($E1917)*$F1917-N($G1917))</f>
        <v/>
      </c>
      <c r="I1917" s="35" t="str">
        <f aca="false">IF($C1917="","",$H1917-$H1917/(1+IFERROR(INDEX(PRODUCTOS!$E$6:$E$105,MATCH($C1917,PRODUCTOS!$A$6:$A$105,0)),IVA_VENTAS)))</f>
        <v/>
      </c>
      <c r="J1917" s="35" t="str">
        <f aca="false">IF($C1917="","",$H1917-$I1917)</f>
        <v/>
      </c>
      <c r="K1917" s="35" t="str">
        <f aca="false">IF($C1917="","",N($E1917)*IFERROR(INDEX(PRODUCTOS!$H$6:$H$105,MATCH($C1917,PRODUCTOS!$A$6:$A$105,0)),0))</f>
        <v/>
      </c>
      <c r="L1917" s="35" t="str">
        <f aca="false">IF($C1917="","",$J1917-$K1917)</f>
        <v/>
      </c>
      <c r="M1917" s="6"/>
      <c r="N1917" s="6"/>
      <c r="O1917" s="46" t="str">
        <f aca="false">IF($A1917="","",DATE(YEAR($A1917),MONTH($A1917),1))</f>
        <v/>
      </c>
    </row>
    <row r="1918" customFormat="false" ht="15" hidden="false" customHeight="false" outlineLevel="0" collapsed="false">
      <c r="A1918" s="44"/>
      <c r="B1918" s="6"/>
      <c r="C1918" s="6"/>
      <c r="D1918" s="8" t="str">
        <f aca="false">IF($C1918="","",IFERROR(INDEX(PRODUCTOS!$B$6:$B$105,MATCH($C1918,PRODUCTOS!$A$6:$A$105,0)),"¿Código?"))</f>
        <v/>
      </c>
      <c r="E1918" s="42"/>
      <c r="F1918" s="35" t="str">
        <f aca="false">IF($C1918="","",IFERROR(INDEX(PRODUCTOS!$D$6:$D$105,MATCH($C1918,PRODUCTOS!$A$6:$A$105,0)),0))</f>
        <v/>
      </c>
      <c r="G1918" s="40"/>
      <c r="H1918" s="35" t="str">
        <f aca="false">IF($C1918="","",N($E1918)*$F1918-N($G1918))</f>
        <v/>
      </c>
      <c r="I1918" s="35" t="str">
        <f aca="false">IF($C1918="","",$H1918-$H1918/(1+IFERROR(INDEX(PRODUCTOS!$E$6:$E$105,MATCH($C1918,PRODUCTOS!$A$6:$A$105,0)),IVA_VENTAS)))</f>
        <v/>
      </c>
      <c r="J1918" s="35" t="str">
        <f aca="false">IF($C1918="","",$H1918-$I1918)</f>
        <v/>
      </c>
      <c r="K1918" s="35" t="str">
        <f aca="false">IF($C1918="","",N($E1918)*IFERROR(INDEX(PRODUCTOS!$H$6:$H$105,MATCH($C1918,PRODUCTOS!$A$6:$A$105,0)),0))</f>
        <v/>
      </c>
      <c r="L1918" s="35" t="str">
        <f aca="false">IF($C1918="","",$J1918-$K1918)</f>
        <v/>
      </c>
      <c r="M1918" s="6"/>
      <c r="N1918" s="6"/>
      <c r="O1918" s="46" t="str">
        <f aca="false">IF($A1918="","",DATE(YEAR($A1918),MONTH($A1918),1))</f>
        <v/>
      </c>
    </row>
    <row r="1919" customFormat="false" ht="15" hidden="false" customHeight="false" outlineLevel="0" collapsed="false">
      <c r="A1919" s="44"/>
      <c r="B1919" s="6"/>
      <c r="C1919" s="6"/>
      <c r="D1919" s="8" t="str">
        <f aca="false">IF($C1919="","",IFERROR(INDEX(PRODUCTOS!$B$6:$B$105,MATCH($C1919,PRODUCTOS!$A$6:$A$105,0)),"¿Código?"))</f>
        <v/>
      </c>
      <c r="E1919" s="42"/>
      <c r="F1919" s="35" t="str">
        <f aca="false">IF($C1919="","",IFERROR(INDEX(PRODUCTOS!$D$6:$D$105,MATCH($C1919,PRODUCTOS!$A$6:$A$105,0)),0))</f>
        <v/>
      </c>
      <c r="G1919" s="40"/>
      <c r="H1919" s="35" t="str">
        <f aca="false">IF($C1919="","",N($E1919)*$F1919-N($G1919))</f>
        <v/>
      </c>
      <c r="I1919" s="35" t="str">
        <f aca="false">IF($C1919="","",$H1919-$H1919/(1+IFERROR(INDEX(PRODUCTOS!$E$6:$E$105,MATCH($C1919,PRODUCTOS!$A$6:$A$105,0)),IVA_VENTAS)))</f>
        <v/>
      </c>
      <c r="J1919" s="35" t="str">
        <f aca="false">IF($C1919="","",$H1919-$I1919)</f>
        <v/>
      </c>
      <c r="K1919" s="35" t="str">
        <f aca="false">IF($C1919="","",N($E1919)*IFERROR(INDEX(PRODUCTOS!$H$6:$H$105,MATCH($C1919,PRODUCTOS!$A$6:$A$105,0)),0))</f>
        <v/>
      </c>
      <c r="L1919" s="35" t="str">
        <f aca="false">IF($C1919="","",$J1919-$K1919)</f>
        <v/>
      </c>
      <c r="M1919" s="6"/>
      <c r="N1919" s="6"/>
      <c r="O1919" s="46" t="str">
        <f aca="false">IF($A1919="","",DATE(YEAR($A1919),MONTH($A1919),1))</f>
        <v/>
      </c>
    </row>
    <row r="1920" customFormat="false" ht="15" hidden="false" customHeight="false" outlineLevel="0" collapsed="false">
      <c r="A1920" s="44"/>
      <c r="B1920" s="6"/>
      <c r="C1920" s="6"/>
      <c r="D1920" s="8" t="str">
        <f aca="false">IF($C1920="","",IFERROR(INDEX(PRODUCTOS!$B$6:$B$105,MATCH($C1920,PRODUCTOS!$A$6:$A$105,0)),"¿Código?"))</f>
        <v/>
      </c>
      <c r="E1920" s="42"/>
      <c r="F1920" s="35" t="str">
        <f aca="false">IF($C1920="","",IFERROR(INDEX(PRODUCTOS!$D$6:$D$105,MATCH($C1920,PRODUCTOS!$A$6:$A$105,0)),0))</f>
        <v/>
      </c>
      <c r="G1920" s="40"/>
      <c r="H1920" s="35" t="str">
        <f aca="false">IF($C1920="","",N($E1920)*$F1920-N($G1920))</f>
        <v/>
      </c>
      <c r="I1920" s="35" t="str">
        <f aca="false">IF($C1920="","",$H1920-$H1920/(1+IFERROR(INDEX(PRODUCTOS!$E$6:$E$105,MATCH($C1920,PRODUCTOS!$A$6:$A$105,0)),IVA_VENTAS)))</f>
        <v/>
      </c>
      <c r="J1920" s="35" t="str">
        <f aca="false">IF($C1920="","",$H1920-$I1920)</f>
        <v/>
      </c>
      <c r="K1920" s="35" t="str">
        <f aca="false">IF($C1920="","",N($E1920)*IFERROR(INDEX(PRODUCTOS!$H$6:$H$105,MATCH($C1920,PRODUCTOS!$A$6:$A$105,0)),0))</f>
        <v/>
      </c>
      <c r="L1920" s="35" t="str">
        <f aca="false">IF($C1920="","",$J1920-$K1920)</f>
        <v/>
      </c>
      <c r="M1920" s="6"/>
      <c r="N1920" s="6"/>
      <c r="O1920" s="46" t="str">
        <f aca="false">IF($A1920="","",DATE(YEAR($A1920),MONTH($A1920),1))</f>
        <v/>
      </c>
    </row>
    <row r="1921" customFormat="false" ht="15" hidden="false" customHeight="false" outlineLevel="0" collapsed="false">
      <c r="A1921" s="44"/>
      <c r="B1921" s="6"/>
      <c r="C1921" s="6"/>
      <c r="D1921" s="8" t="str">
        <f aca="false">IF($C1921="","",IFERROR(INDEX(PRODUCTOS!$B$6:$B$105,MATCH($C1921,PRODUCTOS!$A$6:$A$105,0)),"¿Código?"))</f>
        <v/>
      </c>
      <c r="E1921" s="42"/>
      <c r="F1921" s="35" t="str">
        <f aca="false">IF($C1921="","",IFERROR(INDEX(PRODUCTOS!$D$6:$D$105,MATCH($C1921,PRODUCTOS!$A$6:$A$105,0)),0))</f>
        <v/>
      </c>
      <c r="G1921" s="40"/>
      <c r="H1921" s="35" t="str">
        <f aca="false">IF($C1921="","",N($E1921)*$F1921-N($G1921))</f>
        <v/>
      </c>
      <c r="I1921" s="35" t="str">
        <f aca="false">IF($C1921="","",$H1921-$H1921/(1+IFERROR(INDEX(PRODUCTOS!$E$6:$E$105,MATCH($C1921,PRODUCTOS!$A$6:$A$105,0)),IVA_VENTAS)))</f>
        <v/>
      </c>
      <c r="J1921" s="35" t="str">
        <f aca="false">IF($C1921="","",$H1921-$I1921)</f>
        <v/>
      </c>
      <c r="K1921" s="35" t="str">
        <f aca="false">IF($C1921="","",N($E1921)*IFERROR(INDEX(PRODUCTOS!$H$6:$H$105,MATCH($C1921,PRODUCTOS!$A$6:$A$105,0)),0))</f>
        <v/>
      </c>
      <c r="L1921" s="35" t="str">
        <f aca="false">IF($C1921="","",$J1921-$K1921)</f>
        <v/>
      </c>
      <c r="M1921" s="6"/>
      <c r="N1921" s="6"/>
      <c r="O1921" s="46" t="str">
        <f aca="false">IF($A1921="","",DATE(YEAR($A1921),MONTH($A1921),1))</f>
        <v/>
      </c>
    </row>
    <row r="1922" customFormat="false" ht="15" hidden="false" customHeight="false" outlineLevel="0" collapsed="false">
      <c r="A1922" s="44"/>
      <c r="B1922" s="6"/>
      <c r="C1922" s="6"/>
      <c r="D1922" s="8" t="str">
        <f aca="false">IF($C1922="","",IFERROR(INDEX(PRODUCTOS!$B$6:$B$105,MATCH($C1922,PRODUCTOS!$A$6:$A$105,0)),"¿Código?"))</f>
        <v/>
      </c>
      <c r="E1922" s="42"/>
      <c r="F1922" s="35" t="str">
        <f aca="false">IF($C1922="","",IFERROR(INDEX(PRODUCTOS!$D$6:$D$105,MATCH($C1922,PRODUCTOS!$A$6:$A$105,0)),0))</f>
        <v/>
      </c>
      <c r="G1922" s="40"/>
      <c r="H1922" s="35" t="str">
        <f aca="false">IF($C1922="","",N($E1922)*$F1922-N($G1922))</f>
        <v/>
      </c>
      <c r="I1922" s="35" t="str">
        <f aca="false">IF($C1922="","",$H1922-$H1922/(1+IFERROR(INDEX(PRODUCTOS!$E$6:$E$105,MATCH($C1922,PRODUCTOS!$A$6:$A$105,0)),IVA_VENTAS)))</f>
        <v/>
      </c>
      <c r="J1922" s="35" t="str">
        <f aca="false">IF($C1922="","",$H1922-$I1922)</f>
        <v/>
      </c>
      <c r="K1922" s="35" t="str">
        <f aca="false">IF($C1922="","",N($E1922)*IFERROR(INDEX(PRODUCTOS!$H$6:$H$105,MATCH($C1922,PRODUCTOS!$A$6:$A$105,0)),0))</f>
        <v/>
      </c>
      <c r="L1922" s="35" t="str">
        <f aca="false">IF($C1922="","",$J1922-$K1922)</f>
        <v/>
      </c>
      <c r="M1922" s="6"/>
      <c r="N1922" s="6"/>
      <c r="O1922" s="46" t="str">
        <f aca="false">IF($A1922="","",DATE(YEAR($A1922),MONTH($A1922),1))</f>
        <v/>
      </c>
    </row>
    <row r="1923" customFormat="false" ht="15" hidden="false" customHeight="false" outlineLevel="0" collapsed="false">
      <c r="A1923" s="44"/>
      <c r="B1923" s="6"/>
      <c r="C1923" s="6"/>
      <c r="D1923" s="8" t="str">
        <f aca="false">IF($C1923="","",IFERROR(INDEX(PRODUCTOS!$B$6:$B$105,MATCH($C1923,PRODUCTOS!$A$6:$A$105,0)),"¿Código?"))</f>
        <v/>
      </c>
      <c r="E1923" s="42"/>
      <c r="F1923" s="35" t="str">
        <f aca="false">IF($C1923="","",IFERROR(INDEX(PRODUCTOS!$D$6:$D$105,MATCH($C1923,PRODUCTOS!$A$6:$A$105,0)),0))</f>
        <v/>
      </c>
      <c r="G1923" s="40"/>
      <c r="H1923" s="35" t="str">
        <f aca="false">IF($C1923="","",N($E1923)*$F1923-N($G1923))</f>
        <v/>
      </c>
      <c r="I1923" s="35" t="str">
        <f aca="false">IF($C1923="","",$H1923-$H1923/(1+IFERROR(INDEX(PRODUCTOS!$E$6:$E$105,MATCH($C1923,PRODUCTOS!$A$6:$A$105,0)),IVA_VENTAS)))</f>
        <v/>
      </c>
      <c r="J1923" s="35" t="str">
        <f aca="false">IF($C1923="","",$H1923-$I1923)</f>
        <v/>
      </c>
      <c r="K1923" s="35" t="str">
        <f aca="false">IF($C1923="","",N($E1923)*IFERROR(INDEX(PRODUCTOS!$H$6:$H$105,MATCH($C1923,PRODUCTOS!$A$6:$A$105,0)),0))</f>
        <v/>
      </c>
      <c r="L1923" s="35" t="str">
        <f aca="false">IF($C1923="","",$J1923-$K1923)</f>
        <v/>
      </c>
      <c r="M1923" s="6"/>
      <c r="N1923" s="6"/>
      <c r="O1923" s="46" t="str">
        <f aca="false">IF($A1923="","",DATE(YEAR($A1923),MONTH($A1923),1))</f>
        <v/>
      </c>
    </row>
    <row r="1924" customFormat="false" ht="15" hidden="false" customHeight="false" outlineLevel="0" collapsed="false">
      <c r="A1924" s="44"/>
      <c r="B1924" s="6"/>
      <c r="C1924" s="6"/>
      <c r="D1924" s="8" t="str">
        <f aca="false">IF($C1924="","",IFERROR(INDEX(PRODUCTOS!$B$6:$B$105,MATCH($C1924,PRODUCTOS!$A$6:$A$105,0)),"¿Código?"))</f>
        <v/>
      </c>
      <c r="E1924" s="42"/>
      <c r="F1924" s="35" t="str">
        <f aca="false">IF($C1924="","",IFERROR(INDEX(PRODUCTOS!$D$6:$D$105,MATCH($C1924,PRODUCTOS!$A$6:$A$105,0)),0))</f>
        <v/>
      </c>
      <c r="G1924" s="40"/>
      <c r="H1924" s="35" t="str">
        <f aca="false">IF($C1924="","",N($E1924)*$F1924-N($G1924))</f>
        <v/>
      </c>
      <c r="I1924" s="35" t="str">
        <f aca="false">IF($C1924="","",$H1924-$H1924/(1+IFERROR(INDEX(PRODUCTOS!$E$6:$E$105,MATCH($C1924,PRODUCTOS!$A$6:$A$105,0)),IVA_VENTAS)))</f>
        <v/>
      </c>
      <c r="J1924" s="35" t="str">
        <f aca="false">IF($C1924="","",$H1924-$I1924)</f>
        <v/>
      </c>
      <c r="K1924" s="35" t="str">
        <f aca="false">IF($C1924="","",N($E1924)*IFERROR(INDEX(PRODUCTOS!$H$6:$H$105,MATCH($C1924,PRODUCTOS!$A$6:$A$105,0)),0))</f>
        <v/>
      </c>
      <c r="L1924" s="35" t="str">
        <f aca="false">IF($C1924="","",$J1924-$K1924)</f>
        <v/>
      </c>
      <c r="M1924" s="6"/>
      <c r="N1924" s="6"/>
      <c r="O1924" s="46" t="str">
        <f aca="false">IF($A1924="","",DATE(YEAR($A1924),MONTH($A1924),1))</f>
        <v/>
      </c>
    </row>
    <row r="1925" customFormat="false" ht="15" hidden="false" customHeight="false" outlineLevel="0" collapsed="false">
      <c r="A1925" s="44"/>
      <c r="B1925" s="6"/>
      <c r="C1925" s="6"/>
      <c r="D1925" s="8" t="str">
        <f aca="false">IF($C1925="","",IFERROR(INDEX(PRODUCTOS!$B$6:$B$105,MATCH($C1925,PRODUCTOS!$A$6:$A$105,0)),"¿Código?"))</f>
        <v/>
      </c>
      <c r="E1925" s="42"/>
      <c r="F1925" s="35" t="str">
        <f aca="false">IF($C1925="","",IFERROR(INDEX(PRODUCTOS!$D$6:$D$105,MATCH($C1925,PRODUCTOS!$A$6:$A$105,0)),0))</f>
        <v/>
      </c>
      <c r="G1925" s="40"/>
      <c r="H1925" s="35" t="str">
        <f aca="false">IF($C1925="","",N($E1925)*$F1925-N($G1925))</f>
        <v/>
      </c>
      <c r="I1925" s="35" t="str">
        <f aca="false">IF($C1925="","",$H1925-$H1925/(1+IFERROR(INDEX(PRODUCTOS!$E$6:$E$105,MATCH($C1925,PRODUCTOS!$A$6:$A$105,0)),IVA_VENTAS)))</f>
        <v/>
      </c>
      <c r="J1925" s="35" t="str">
        <f aca="false">IF($C1925="","",$H1925-$I1925)</f>
        <v/>
      </c>
      <c r="K1925" s="35" t="str">
        <f aca="false">IF($C1925="","",N($E1925)*IFERROR(INDEX(PRODUCTOS!$H$6:$H$105,MATCH($C1925,PRODUCTOS!$A$6:$A$105,0)),0))</f>
        <v/>
      </c>
      <c r="L1925" s="35" t="str">
        <f aca="false">IF($C1925="","",$J1925-$K1925)</f>
        <v/>
      </c>
      <c r="M1925" s="6"/>
      <c r="N1925" s="6"/>
      <c r="O1925" s="46" t="str">
        <f aca="false">IF($A1925="","",DATE(YEAR($A1925),MONTH($A1925),1))</f>
        <v/>
      </c>
    </row>
    <row r="1926" customFormat="false" ht="15" hidden="false" customHeight="false" outlineLevel="0" collapsed="false">
      <c r="A1926" s="44"/>
      <c r="B1926" s="6"/>
      <c r="C1926" s="6"/>
      <c r="D1926" s="8" t="str">
        <f aca="false">IF($C1926="","",IFERROR(INDEX(PRODUCTOS!$B$6:$B$105,MATCH($C1926,PRODUCTOS!$A$6:$A$105,0)),"¿Código?"))</f>
        <v/>
      </c>
      <c r="E1926" s="42"/>
      <c r="F1926" s="35" t="str">
        <f aca="false">IF($C1926="","",IFERROR(INDEX(PRODUCTOS!$D$6:$D$105,MATCH($C1926,PRODUCTOS!$A$6:$A$105,0)),0))</f>
        <v/>
      </c>
      <c r="G1926" s="40"/>
      <c r="H1926" s="35" t="str">
        <f aca="false">IF($C1926="","",N($E1926)*$F1926-N($G1926))</f>
        <v/>
      </c>
      <c r="I1926" s="35" t="str">
        <f aca="false">IF($C1926="","",$H1926-$H1926/(1+IFERROR(INDEX(PRODUCTOS!$E$6:$E$105,MATCH($C1926,PRODUCTOS!$A$6:$A$105,0)),IVA_VENTAS)))</f>
        <v/>
      </c>
      <c r="J1926" s="35" t="str">
        <f aca="false">IF($C1926="","",$H1926-$I1926)</f>
        <v/>
      </c>
      <c r="K1926" s="35" t="str">
        <f aca="false">IF($C1926="","",N($E1926)*IFERROR(INDEX(PRODUCTOS!$H$6:$H$105,MATCH($C1926,PRODUCTOS!$A$6:$A$105,0)),0))</f>
        <v/>
      </c>
      <c r="L1926" s="35" t="str">
        <f aca="false">IF($C1926="","",$J1926-$K1926)</f>
        <v/>
      </c>
      <c r="M1926" s="6"/>
      <c r="N1926" s="6"/>
      <c r="O1926" s="46" t="str">
        <f aca="false">IF($A1926="","",DATE(YEAR($A1926),MONTH($A1926),1))</f>
        <v/>
      </c>
    </row>
    <row r="1927" customFormat="false" ht="15" hidden="false" customHeight="false" outlineLevel="0" collapsed="false">
      <c r="A1927" s="44"/>
      <c r="B1927" s="6"/>
      <c r="C1927" s="6"/>
      <c r="D1927" s="8" t="str">
        <f aca="false">IF($C1927="","",IFERROR(INDEX(PRODUCTOS!$B$6:$B$105,MATCH($C1927,PRODUCTOS!$A$6:$A$105,0)),"¿Código?"))</f>
        <v/>
      </c>
      <c r="E1927" s="42"/>
      <c r="F1927" s="35" t="str">
        <f aca="false">IF($C1927="","",IFERROR(INDEX(PRODUCTOS!$D$6:$D$105,MATCH($C1927,PRODUCTOS!$A$6:$A$105,0)),0))</f>
        <v/>
      </c>
      <c r="G1927" s="40"/>
      <c r="H1927" s="35" t="str">
        <f aca="false">IF($C1927="","",N($E1927)*$F1927-N($G1927))</f>
        <v/>
      </c>
      <c r="I1927" s="35" t="str">
        <f aca="false">IF($C1927="","",$H1927-$H1927/(1+IFERROR(INDEX(PRODUCTOS!$E$6:$E$105,MATCH($C1927,PRODUCTOS!$A$6:$A$105,0)),IVA_VENTAS)))</f>
        <v/>
      </c>
      <c r="J1927" s="35" t="str">
        <f aca="false">IF($C1927="","",$H1927-$I1927)</f>
        <v/>
      </c>
      <c r="K1927" s="35" t="str">
        <f aca="false">IF($C1927="","",N($E1927)*IFERROR(INDEX(PRODUCTOS!$H$6:$H$105,MATCH($C1927,PRODUCTOS!$A$6:$A$105,0)),0))</f>
        <v/>
      </c>
      <c r="L1927" s="35" t="str">
        <f aca="false">IF($C1927="","",$J1927-$K1927)</f>
        <v/>
      </c>
      <c r="M1927" s="6"/>
      <c r="N1927" s="6"/>
      <c r="O1927" s="46" t="str">
        <f aca="false">IF($A1927="","",DATE(YEAR($A1927),MONTH($A1927),1))</f>
        <v/>
      </c>
    </row>
    <row r="1928" customFormat="false" ht="15" hidden="false" customHeight="false" outlineLevel="0" collapsed="false">
      <c r="A1928" s="44"/>
      <c r="B1928" s="6"/>
      <c r="C1928" s="6"/>
      <c r="D1928" s="8" t="str">
        <f aca="false">IF($C1928="","",IFERROR(INDEX(PRODUCTOS!$B$6:$B$105,MATCH($C1928,PRODUCTOS!$A$6:$A$105,0)),"¿Código?"))</f>
        <v/>
      </c>
      <c r="E1928" s="42"/>
      <c r="F1928" s="35" t="str">
        <f aca="false">IF($C1928="","",IFERROR(INDEX(PRODUCTOS!$D$6:$D$105,MATCH($C1928,PRODUCTOS!$A$6:$A$105,0)),0))</f>
        <v/>
      </c>
      <c r="G1928" s="40"/>
      <c r="H1928" s="35" t="str">
        <f aca="false">IF($C1928="","",N($E1928)*$F1928-N($G1928))</f>
        <v/>
      </c>
      <c r="I1928" s="35" t="str">
        <f aca="false">IF($C1928="","",$H1928-$H1928/(1+IFERROR(INDEX(PRODUCTOS!$E$6:$E$105,MATCH($C1928,PRODUCTOS!$A$6:$A$105,0)),IVA_VENTAS)))</f>
        <v/>
      </c>
      <c r="J1928" s="35" t="str">
        <f aca="false">IF($C1928="","",$H1928-$I1928)</f>
        <v/>
      </c>
      <c r="K1928" s="35" t="str">
        <f aca="false">IF($C1928="","",N($E1928)*IFERROR(INDEX(PRODUCTOS!$H$6:$H$105,MATCH($C1928,PRODUCTOS!$A$6:$A$105,0)),0))</f>
        <v/>
      </c>
      <c r="L1928" s="35" t="str">
        <f aca="false">IF($C1928="","",$J1928-$K1928)</f>
        <v/>
      </c>
      <c r="M1928" s="6"/>
      <c r="N1928" s="6"/>
      <c r="O1928" s="46" t="str">
        <f aca="false">IF($A1928="","",DATE(YEAR($A1928),MONTH($A1928),1))</f>
        <v/>
      </c>
    </row>
    <row r="1929" customFormat="false" ht="15" hidden="false" customHeight="false" outlineLevel="0" collapsed="false">
      <c r="A1929" s="44"/>
      <c r="B1929" s="6"/>
      <c r="C1929" s="6"/>
      <c r="D1929" s="8" t="str">
        <f aca="false">IF($C1929="","",IFERROR(INDEX(PRODUCTOS!$B$6:$B$105,MATCH($C1929,PRODUCTOS!$A$6:$A$105,0)),"¿Código?"))</f>
        <v/>
      </c>
      <c r="E1929" s="42"/>
      <c r="F1929" s="35" t="str">
        <f aca="false">IF($C1929="","",IFERROR(INDEX(PRODUCTOS!$D$6:$D$105,MATCH($C1929,PRODUCTOS!$A$6:$A$105,0)),0))</f>
        <v/>
      </c>
      <c r="G1929" s="40"/>
      <c r="H1929" s="35" t="str">
        <f aca="false">IF($C1929="","",N($E1929)*$F1929-N($G1929))</f>
        <v/>
      </c>
      <c r="I1929" s="35" t="str">
        <f aca="false">IF($C1929="","",$H1929-$H1929/(1+IFERROR(INDEX(PRODUCTOS!$E$6:$E$105,MATCH($C1929,PRODUCTOS!$A$6:$A$105,0)),IVA_VENTAS)))</f>
        <v/>
      </c>
      <c r="J1929" s="35" t="str">
        <f aca="false">IF($C1929="","",$H1929-$I1929)</f>
        <v/>
      </c>
      <c r="K1929" s="35" t="str">
        <f aca="false">IF($C1929="","",N($E1929)*IFERROR(INDEX(PRODUCTOS!$H$6:$H$105,MATCH($C1929,PRODUCTOS!$A$6:$A$105,0)),0))</f>
        <v/>
      </c>
      <c r="L1929" s="35" t="str">
        <f aca="false">IF($C1929="","",$J1929-$K1929)</f>
        <v/>
      </c>
      <c r="M1929" s="6"/>
      <c r="N1929" s="6"/>
      <c r="O1929" s="46" t="str">
        <f aca="false">IF($A1929="","",DATE(YEAR($A1929),MONTH($A1929),1))</f>
        <v/>
      </c>
    </row>
    <row r="1930" customFormat="false" ht="15" hidden="false" customHeight="false" outlineLevel="0" collapsed="false">
      <c r="A1930" s="44"/>
      <c r="B1930" s="6"/>
      <c r="C1930" s="6"/>
      <c r="D1930" s="8" t="str">
        <f aca="false">IF($C1930="","",IFERROR(INDEX(PRODUCTOS!$B$6:$B$105,MATCH($C1930,PRODUCTOS!$A$6:$A$105,0)),"¿Código?"))</f>
        <v/>
      </c>
      <c r="E1930" s="42"/>
      <c r="F1930" s="35" t="str">
        <f aca="false">IF($C1930="","",IFERROR(INDEX(PRODUCTOS!$D$6:$D$105,MATCH($C1930,PRODUCTOS!$A$6:$A$105,0)),0))</f>
        <v/>
      </c>
      <c r="G1930" s="40"/>
      <c r="H1930" s="35" t="str">
        <f aca="false">IF($C1930="","",N($E1930)*$F1930-N($G1930))</f>
        <v/>
      </c>
      <c r="I1930" s="35" t="str">
        <f aca="false">IF($C1930="","",$H1930-$H1930/(1+IFERROR(INDEX(PRODUCTOS!$E$6:$E$105,MATCH($C1930,PRODUCTOS!$A$6:$A$105,0)),IVA_VENTAS)))</f>
        <v/>
      </c>
      <c r="J1930" s="35" t="str">
        <f aca="false">IF($C1930="","",$H1930-$I1930)</f>
        <v/>
      </c>
      <c r="K1930" s="35" t="str">
        <f aca="false">IF($C1930="","",N($E1930)*IFERROR(INDEX(PRODUCTOS!$H$6:$H$105,MATCH($C1930,PRODUCTOS!$A$6:$A$105,0)),0))</f>
        <v/>
      </c>
      <c r="L1930" s="35" t="str">
        <f aca="false">IF($C1930="","",$J1930-$K1930)</f>
        <v/>
      </c>
      <c r="M1930" s="6"/>
      <c r="N1930" s="6"/>
      <c r="O1930" s="46" t="str">
        <f aca="false">IF($A1930="","",DATE(YEAR($A1930),MONTH($A1930),1))</f>
        <v/>
      </c>
    </row>
    <row r="1931" customFormat="false" ht="15" hidden="false" customHeight="false" outlineLevel="0" collapsed="false">
      <c r="A1931" s="44"/>
      <c r="B1931" s="6"/>
      <c r="C1931" s="6"/>
      <c r="D1931" s="8" t="str">
        <f aca="false">IF($C1931="","",IFERROR(INDEX(PRODUCTOS!$B$6:$B$105,MATCH($C1931,PRODUCTOS!$A$6:$A$105,0)),"¿Código?"))</f>
        <v/>
      </c>
      <c r="E1931" s="42"/>
      <c r="F1931" s="35" t="str">
        <f aca="false">IF($C1931="","",IFERROR(INDEX(PRODUCTOS!$D$6:$D$105,MATCH($C1931,PRODUCTOS!$A$6:$A$105,0)),0))</f>
        <v/>
      </c>
      <c r="G1931" s="40"/>
      <c r="H1931" s="35" t="str">
        <f aca="false">IF($C1931="","",N($E1931)*$F1931-N($G1931))</f>
        <v/>
      </c>
      <c r="I1931" s="35" t="str">
        <f aca="false">IF($C1931="","",$H1931-$H1931/(1+IFERROR(INDEX(PRODUCTOS!$E$6:$E$105,MATCH($C1931,PRODUCTOS!$A$6:$A$105,0)),IVA_VENTAS)))</f>
        <v/>
      </c>
      <c r="J1931" s="35" t="str">
        <f aca="false">IF($C1931="","",$H1931-$I1931)</f>
        <v/>
      </c>
      <c r="K1931" s="35" t="str">
        <f aca="false">IF($C1931="","",N($E1931)*IFERROR(INDEX(PRODUCTOS!$H$6:$H$105,MATCH($C1931,PRODUCTOS!$A$6:$A$105,0)),0))</f>
        <v/>
      </c>
      <c r="L1931" s="35" t="str">
        <f aca="false">IF($C1931="","",$J1931-$K1931)</f>
        <v/>
      </c>
      <c r="M1931" s="6"/>
      <c r="N1931" s="6"/>
      <c r="O1931" s="46" t="str">
        <f aca="false">IF($A1931="","",DATE(YEAR($A1931),MONTH($A1931),1))</f>
        <v/>
      </c>
    </row>
    <row r="1932" customFormat="false" ht="15" hidden="false" customHeight="false" outlineLevel="0" collapsed="false">
      <c r="A1932" s="44"/>
      <c r="B1932" s="6"/>
      <c r="C1932" s="6"/>
      <c r="D1932" s="8" t="str">
        <f aca="false">IF($C1932="","",IFERROR(INDEX(PRODUCTOS!$B$6:$B$105,MATCH($C1932,PRODUCTOS!$A$6:$A$105,0)),"¿Código?"))</f>
        <v/>
      </c>
      <c r="E1932" s="42"/>
      <c r="F1932" s="35" t="str">
        <f aca="false">IF($C1932="","",IFERROR(INDEX(PRODUCTOS!$D$6:$D$105,MATCH($C1932,PRODUCTOS!$A$6:$A$105,0)),0))</f>
        <v/>
      </c>
      <c r="G1932" s="40"/>
      <c r="H1932" s="35" t="str">
        <f aca="false">IF($C1932="","",N($E1932)*$F1932-N($G1932))</f>
        <v/>
      </c>
      <c r="I1932" s="35" t="str">
        <f aca="false">IF($C1932="","",$H1932-$H1932/(1+IFERROR(INDEX(PRODUCTOS!$E$6:$E$105,MATCH($C1932,PRODUCTOS!$A$6:$A$105,0)),IVA_VENTAS)))</f>
        <v/>
      </c>
      <c r="J1932" s="35" t="str">
        <f aca="false">IF($C1932="","",$H1932-$I1932)</f>
        <v/>
      </c>
      <c r="K1932" s="35" t="str">
        <f aca="false">IF($C1932="","",N($E1932)*IFERROR(INDEX(PRODUCTOS!$H$6:$H$105,MATCH($C1932,PRODUCTOS!$A$6:$A$105,0)),0))</f>
        <v/>
      </c>
      <c r="L1932" s="35" t="str">
        <f aca="false">IF($C1932="","",$J1932-$K1932)</f>
        <v/>
      </c>
      <c r="M1932" s="6"/>
      <c r="N1932" s="6"/>
      <c r="O1932" s="46" t="str">
        <f aca="false">IF($A1932="","",DATE(YEAR($A1932),MONTH($A1932),1))</f>
        <v/>
      </c>
    </row>
    <row r="1933" customFormat="false" ht="15" hidden="false" customHeight="false" outlineLevel="0" collapsed="false">
      <c r="A1933" s="44"/>
      <c r="B1933" s="6"/>
      <c r="C1933" s="6"/>
      <c r="D1933" s="8" t="str">
        <f aca="false">IF($C1933="","",IFERROR(INDEX(PRODUCTOS!$B$6:$B$105,MATCH($C1933,PRODUCTOS!$A$6:$A$105,0)),"¿Código?"))</f>
        <v/>
      </c>
      <c r="E1933" s="42"/>
      <c r="F1933" s="35" t="str">
        <f aca="false">IF($C1933="","",IFERROR(INDEX(PRODUCTOS!$D$6:$D$105,MATCH($C1933,PRODUCTOS!$A$6:$A$105,0)),0))</f>
        <v/>
      </c>
      <c r="G1933" s="40"/>
      <c r="H1933" s="35" t="str">
        <f aca="false">IF($C1933="","",N($E1933)*$F1933-N($G1933))</f>
        <v/>
      </c>
      <c r="I1933" s="35" t="str">
        <f aca="false">IF($C1933="","",$H1933-$H1933/(1+IFERROR(INDEX(PRODUCTOS!$E$6:$E$105,MATCH($C1933,PRODUCTOS!$A$6:$A$105,0)),IVA_VENTAS)))</f>
        <v/>
      </c>
      <c r="J1933" s="35" t="str">
        <f aca="false">IF($C1933="","",$H1933-$I1933)</f>
        <v/>
      </c>
      <c r="K1933" s="35" t="str">
        <f aca="false">IF($C1933="","",N($E1933)*IFERROR(INDEX(PRODUCTOS!$H$6:$H$105,MATCH($C1933,PRODUCTOS!$A$6:$A$105,0)),0))</f>
        <v/>
      </c>
      <c r="L1933" s="35" t="str">
        <f aca="false">IF($C1933="","",$J1933-$K1933)</f>
        <v/>
      </c>
      <c r="M1933" s="6"/>
      <c r="N1933" s="6"/>
      <c r="O1933" s="46" t="str">
        <f aca="false">IF($A1933="","",DATE(YEAR($A1933),MONTH($A1933),1))</f>
        <v/>
      </c>
    </row>
    <row r="1934" customFormat="false" ht="15" hidden="false" customHeight="false" outlineLevel="0" collapsed="false">
      <c r="A1934" s="44"/>
      <c r="B1934" s="6"/>
      <c r="C1934" s="6"/>
      <c r="D1934" s="8" t="str">
        <f aca="false">IF($C1934="","",IFERROR(INDEX(PRODUCTOS!$B$6:$B$105,MATCH($C1934,PRODUCTOS!$A$6:$A$105,0)),"¿Código?"))</f>
        <v/>
      </c>
      <c r="E1934" s="42"/>
      <c r="F1934" s="35" t="str">
        <f aca="false">IF($C1934="","",IFERROR(INDEX(PRODUCTOS!$D$6:$D$105,MATCH($C1934,PRODUCTOS!$A$6:$A$105,0)),0))</f>
        <v/>
      </c>
      <c r="G1934" s="40"/>
      <c r="H1934" s="35" t="str">
        <f aca="false">IF($C1934="","",N($E1934)*$F1934-N($G1934))</f>
        <v/>
      </c>
      <c r="I1934" s="35" t="str">
        <f aca="false">IF($C1934="","",$H1934-$H1934/(1+IFERROR(INDEX(PRODUCTOS!$E$6:$E$105,MATCH($C1934,PRODUCTOS!$A$6:$A$105,0)),IVA_VENTAS)))</f>
        <v/>
      </c>
      <c r="J1934" s="35" t="str">
        <f aca="false">IF($C1934="","",$H1934-$I1934)</f>
        <v/>
      </c>
      <c r="K1934" s="35" t="str">
        <f aca="false">IF($C1934="","",N($E1934)*IFERROR(INDEX(PRODUCTOS!$H$6:$H$105,MATCH($C1934,PRODUCTOS!$A$6:$A$105,0)),0))</f>
        <v/>
      </c>
      <c r="L1934" s="35" t="str">
        <f aca="false">IF($C1934="","",$J1934-$K1934)</f>
        <v/>
      </c>
      <c r="M1934" s="6"/>
      <c r="N1934" s="6"/>
      <c r="O1934" s="46" t="str">
        <f aca="false">IF($A1934="","",DATE(YEAR($A1934),MONTH($A1934),1))</f>
        <v/>
      </c>
    </row>
    <row r="1935" customFormat="false" ht="15" hidden="false" customHeight="false" outlineLevel="0" collapsed="false">
      <c r="A1935" s="44"/>
      <c r="B1935" s="6"/>
      <c r="C1935" s="6"/>
      <c r="D1935" s="8" t="str">
        <f aca="false">IF($C1935="","",IFERROR(INDEX(PRODUCTOS!$B$6:$B$105,MATCH($C1935,PRODUCTOS!$A$6:$A$105,0)),"¿Código?"))</f>
        <v/>
      </c>
      <c r="E1935" s="42"/>
      <c r="F1935" s="35" t="str">
        <f aca="false">IF($C1935="","",IFERROR(INDEX(PRODUCTOS!$D$6:$D$105,MATCH($C1935,PRODUCTOS!$A$6:$A$105,0)),0))</f>
        <v/>
      </c>
      <c r="G1935" s="40"/>
      <c r="H1935" s="35" t="str">
        <f aca="false">IF($C1935="","",N($E1935)*$F1935-N($G1935))</f>
        <v/>
      </c>
      <c r="I1935" s="35" t="str">
        <f aca="false">IF($C1935="","",$H1935-$H1935/(1+IFERROR(INDEX(PRODUCTOS!$E$6:$E$105,MATCH($C1935,PRODUCTOS!$A$6:$A$105,0)),IVA_VENTAS)))</f>
        <v/>
      </c>
      <c r="J1935" s="35" t="str">
        <f aca="false">IF($C1935="","",$H1935-$I1935)</f>
        <v/>
      </c>
      <c r="K1935" s="35" t="str">
        <f aca="false">IF($C1935="","",N($E1935)*IFERROR(INDEX(PRODUCTOS!$H$6:$H$105,MATCH($C1935,PRODUCTOS!$A$6:$A$105,0)),0))</f>
        <v/>
      </c>
      <c r="L1935" s="35" t="str">
        <f aca="false">IF($C1935="","",$J1935-$K1935)</f>
        <v/>
      </c>
      <c r="M1935" s="6"/>
      <c r="N1935" s="6"/>
      <c r="O1935" s="46" t="str">
        <f aca="false">IF($A1935="","",DATE(YEAR($A1935),MONTH($A1935),1))</f>
        <v/>
      </c>
    </row>
    <row r="1936" customFormat="false" ht="15" hidden="false" customHeight="false" outlineLevel="0" collapsed="false">
      <c r="A1936" s="44"/>
      <c r="B1936" s="6"/>
      <c r="C1936" s="6"/>
      <c r="D1936" s="8" t="str">
        <f aca="false">IF($C1936="","",IFERROR(INDEX(PRODUCTOS!$B$6:$B$105,MATCH($C1936,PRODUCTOS!$A$6:$A$105,0)),"¿Código?"))</f>
        <v/>
      </c>
      <c r="E1936" s="42"/>
      <c r="F1936" s="35" t="str">
        <f aca="false">IF($C1936="","",IFERROR(INDEX(PRODUCTOS!$D$6:$D$105,MATCH($C1936,PRODUCTOS!$A$6:$A$105,0)),0))</f>
        <v/>
      </c>
      <c r="G1936" s="40"/>
      <c r="H1936" s="35" t="str">
        <f aca="false">IF($C1936="","",N($E1936)*$F1936-N($G1936))</f>
        <v/>
      </c>
      <c r="I1936" s="35" t="str">
        <f aca="false">IF($C1936="","",$H1936-$H1936/(1+IFERROR(INDEX(PRODUCTOS!$E$6:$E$105,MATCH($C1936,PRODUCTOS!$A$6:$A$105,0)),IVA_VENTAS)))</f>
        <v/>
      </c>
      <c r="J1936" s="35" t="str">
        <f aca="false">IF($C1936="","",$H1936-$I1936)</f>
        <v/>
      </c>
      <c r="K1936" s="35" t="str">
        <f aca="false">IF($C1936="","",N($E1936)*IFERROR(INDEX(PRODUCTOS!$H$6:$H$105,MATCH($C1936,PRODUCTOS!$A$6:$A$105,0)),0))</f>
        <v/>
      </c>
      <c r="L1936" s="35" t="str">
        <f aca="false">IF($C1936="","",$J1936-$K1936)</f>
        <v/>
      </c>
      <c r="M1936" s="6"/>
      <c r="N1936" s="6"/>
      <c r="O1936" s="46" t="str">
        <f aca="false">IF($A1936="","",DATE(YEAR($A1936),MONTH($A1936),1))</f>
        <v/>
      </c>
    </row>
    <row r="1937" customFormat="false" ht="15" hidden="false" customHeight="false" outlineLevel="0" collapsed="false">
      <c r="A1937" s="44"/>
      <c r="B1937" s="6"/>
      <c r="C1937" s="6"/>
      <c r="D1937" s="8" t="str">
        <f aca="false">IF($C1937="","",IFERROR(INDEX(PRODUCTOS!$B$6:$B$105,MATCH($C1937,PRODUCTOS!$A$6:$A$105,0)),"¿Código?"))</f>
        <v/>
      </c>
      <c r="E1937" s="42"/>
      <c r="F1937" s="35" t="str">
        <f aca="false">IF($C1937="","",IFERROR(INDEX(PRODUCTOS!$D$6:$D$105,MATCH($C1937,PRODUCTOS!$A$6:$A$105,0)),0))</f>
        <v/>
      </c>
      <c r="G1937" s="40"/>
      <c r="H1937" s="35" t="str">
        <f aca="false">IF($C1937="","",N($E1937)*$F1937-N($G1937))</f>
        <v/>
      </c>
      <c r="I1937" s="35" t="str">
        <f aca="false">IF($C1937="","",$H1937-$H1937/(1+IFERROR(INDEX(PRODUCTOS!$E$6:$E$105,MATCH($C1937,PRODUCTOS!$A$6:$A$105,0)),IVA_VENTAS)))</f>
        <v/>
      </c>
      <c r="J1937" s="35" t="str">
        <f aca="false">IF($C1937="","",$H1937-$I1937)</f>
        <v/>
      </c>
      <c r="K1937" s="35" t="str">
        <f aca="false">IF($C1937="","",N($E1937)*IFERROR(INDEX(PRODUCTOS!$H$6:$H$105,MATCH($C1937,PRODUCTOS!$A$6:$A$105,0)),0))</f>
        <v/>
      </c>
      <c r="L1937" s="35" t="str">
        <f aca="false">IF($C1937="","",$J1937-$K1937)</f>
        <v/>
      </c>
      <c r="M1937" s="6"/>
      <c r="N1937" s="6"/>
      <c r="O1937" s="46" t="str">
        <f aca="false">IF($A1937="","",DATE(YEAR($A1937),MONTH($A1937),1))</f>
        <v/>
      </c>
    </row>
    <row r="1938" customFormat="false" ht="15" hidden="false" customHeight="false" outlineLevel="0" collapsed="false">
      <c r="A1938" s="44"/>
      <c r="B1938" s="6"/>
      <c r="C1938" s="6"/>
      <c r="D1938" s="8" t="str">
        <f aca="false">IF($C1938="","",IFERROR(INDEX(PRODUCTOS!$B$6:$B$105,MATCH($C1938,PRODUCTOS!$A$6:$A$105,0)),"¿Código?"))</f>
        <v/>
      </c>
      <c r="E1938" s="42"/>
      <c r="F1938" s="35" t="str">
        <f aca="false">IF($C1938="","",IFERROR(INDEX(PRODUCTOS!$D$6:$D$105,MATCH($C1938,PRODUCTOS!$A$6:$A$105,0)),0))</f>
        <v/>
      </c>
      <c r="G1938" s="40"/>
      <c r="H1938" s="35" t="str">
        <f aca="false">IF($C1938="","",N($E1938)*$F1938-N($G1938))</f>
        <v/>
      </c>
      <c r="I1938" s="35" t="str">
        <f aca="false">IF($C1938="","",$H1938-$H1938/(1+IFERROR(INDEX(PRODUCTOS!$E$6:$E$105,MATCH($C1938,PRODUCTOS!$A$6:$A$105,0)),IVA_VENTAS)))</f>
        <v/>
      </c>
      <c r="J1938" s="35" t="str">
        <f aca="false">IF($C1938="","",$H1938-$I1938)</f>
        <v/>
      </c>
      <c r="K1938" s="35" t="str">
        <f aca="false">IF($C1938="","",N($E1938)*IFERROR(INDEX(PRODUCTOS!$H$6:$H$105,MATCH($C1938,PRODUCTOS!$A$6:$A$105,0)),0))</f>
        <v/>
      </c>
      <c r="L1938" s="35" t="str">
        <f aca="false">IF($C1938="","",$J1938-$K1938)</f>
        <v/>
      </c>
      <c r="M1938" s="6"/>
      <c r="N1938" s="6"/>
      <c r="O1938" s="46" t="str">
        <f aca="false">IF($A1938="","",DATE(YEAR($A1938),MONTH($A1938),1))</f>
        <v/>
      </c>
    </row>
    <row r="1939" customFormat="false" ht="15" hidden="false" customHeight="false" outlineLevel="0" collapsed="false">
      <c r="A1939" s="44"/>
      <c r="B1939" s="6"/>
      <c r="C1939" s="6"/>
      <c r="D1939" s="8" t="str">
        <f aca="false">IF($C1939="","",IFERROR(INDEX(PRODUCTOS!$B$6:$B$105,MATCH($C1939,PRODUCTOS!$A$6:$A$105,0)),"¿Código?"))</f>
        <v/>
      </c>
      <c r="E1939" s="42"/>
      <c r="F1939" s="35" t="str">
        <f aca="false">IF($C1939="","",IFERROR(INDEX(PRODUCTOS!$D$6:$D$105,MATCH($C1939,PRODUCTOS!$A$6:$A$105,0)),0))</f>
        <v/>
      </c>
      <c r="G1939" s="40"/>
      <c r="H1939" s="35" t="str">
        <f aca="false">IF($C1939="","",N($E1939)*$F1939-N($G1939))</f>
        <v/>
      </c>
      <c r="I1939" s="35" t="str">
        <f aca="false">IF($C1939="","",$H1939-$H1939/(1+IFERROR(INDEX(PRODUCTOS!$E$6:$E$105,MATCH($C1939,PRODUCTOS!$A$6:$A$105,0)),IVA_VENTAS)))</f>
        <v/>
      </c>
      <c r="J1939" s="35" t="str">
        <f aca="false">IF($C1939="","",$H1939-$I1939)</f>
        <v/>
      </c>
      <c r="K1939" s="35" t="str">
        <f aca="false">IF($C1939="","",N($E1939)*IFERROR(INDEX(PRODUCTOS!$H$6:$H$105,MATCH($C1939,PRODUCTOS!$A$6:$A$105,0)),0))</f>
        <v/>
      </c>
      <c r="L1939" s="35" t="str">
        <f aca="false">IF($C1939="","",$J1939-$K1939)</f>
        <v/>
      </c>
      <c r="M1939" s="6"/>
      <c r="N1939" s="6"/>
      <c r="O1939" s="46" t="str">
        <f aca="false">IF($A1939="","",DATE(YEAR($A1939),MONTH($A1939),1))</f>
        <v/>
      </c>
    </row>
    <row r="1940" customFormat="false" ht="15" hidden="false" customHeight="false" outlineLevel="0" collapsed="false">
      <c r="A1940" s="44"/>
      <c r="B1940" s="6"/>
      <c r="C1940" s="6"/>
      <c r="D1940" s="8" t="str">
        <f aca="false">IF($C1940="","",IFERROR(INDEX(PRODUCTOS!$B$6:$B$105,MATCH($C1940,PRODUCTOS!$A$6:$A$105,0)),"¿Código?"))</f>
        <v/>
      </c>
      <c r="E1940" s="42"/>
      <c r="F1940" s="35" t="str">
        <f aca="false">IF($C1940="","",IFERROR(INDEX(PRODUCTOS!$D$6:$D$105,MATCH($C1940,PRODUCTOS!$A$6:$A$105,0)),0))</f>
        <v/>
      </c>
      <c r="G1940" s="40"/>
      <c r="H1940" s="35" t="str">
        <f aca="false">IF($C1940="","",N($E1940)*$F1940-N($G1940))</f>
        <v/>
      </c>
      <c r="I1940" s="35" t="str">
        <f aca="false">IF($C1940="","",$H1940-$H1940/(1+IFERROR(INDEX(PRODUCTOS!$E$6:$E$105,MATCH($C1940,PRODUCTOS!$A$6:$A$105,0)),IVA_VENTAS)))</f>
        <v/>
      </c>
      <c r="J1940" s="35" t="str">
        <f aca="false">IF($C1940="","",$H1940-$I1940)</f>
        <v/>
      </c>
      <c r="K1940" s="35" t="str">
        <f aca="false">IF($C1940="","",N($E1940)*IFERROR(INDEX(PRODUCTOS!$H$6:$H$105,MATCH($C1940,PRODUCTOS!$A$6:$A$105,0)),0))</f>
        <v/>
      </c>
      <c r="L1940" s="35" t="str">
        <f aca="false">IF($C1940="","",$J1940-$K1940)</f>
        <v/>
      </c>
      <c r="M1940" s="6"/>
      <c r="N1940" s="6"/>
      <c r="O1940" s="46" t="str">
        <f aca="false">IF($A1940="","",DATE(YEAR($A1940),MONTH($A1940),1))</f>
        <v/>
      </c>
    </row>
    <row r="1941" customFormat="false" ht="15" hidden="false" customHeight="false" outlineLevel="0" collapsed="false">
      <c r="A1941" s="44"/>
      <c r="B1941" s="6"/>
      <c r="C1941" s="6"/>
      <c r="D1941" s="8" t="str">
        <f aca="false">IF($C1941="","",IFERROR(INDEX(PRODUCTOS!$B$6:$B$105,MATCH($C1941,PRODUCTOS!$A$6:$A$105,0)),"¿Código?"))</f>
        <v/>
      </c>
      <c r="E1941" s="42"/>
      <c r="F1941" s="35" t="str">
        <f aca="false">IF($C1941="","",IFERROR(INDEX(PRODUCTOS!$D$6:$D$105,MATCH($C1941,PRODUCTOS!$A$6:$A$105,0)),0))</f>
        <v/>
      </c>
      <c r="G1941" s="40"/>
      <c r="H1941" s="35" t="str">
        <f aca="false">IF($C1941="","",N($E1941)*$F1941-N($G1941))</f>
        <v/>
      </c>
      <c r="I1941" s="35" t="str">
        <f aca="false">IF($C1941="","",$H1941-$H1941/(1+IFERROR(INDEX(PRODUCTOS!$E$6:$E$105,MATCH($C1941,PRODUCTOS!$A$6:$A$105,0)),IVA_VENTAS)))</f>
        <v/>
      </c>
      <c r="J1941" s="35" t="str">
        <f aca="false">IF($C1941="","",$H1941-$I1941)</f>
        <v/>
      </c>
      <c r="K1941" s="35" t="str">
        <f aca="false">IF($C1941="","",N($E1941)*IFERROR(INDEX(PRODUCTOS!$H$6:$H$105,MATCH($C1941,PRODUCTOS!$A$6:$A$105,0)),0))</f>
        <v/>
      </c>
      <c r="L1941" s="35" t="str">
        <f aca="false">IF($C1941="","",$J1941-$K1941)</f>
        <v/>
      </c>
      <c r="M1941" s="6"/>
      <c r="N1941" s="6"/>
      <c r="O1941" s="46" t="str">
        <f aca="false">IF($A1941="","",DATE(YEAR($A1941),MONTH($A1941),1))</f>
        <v/>
      </c>
    </row>
    <row r="1942" customFormat="false" ht="15" hidden="false" customHeight="false" outlineLevel="0" collapsed="false">
      <c r="A1942" s="44"/>
      <c r="B1942" s="6"/>
      <c r="C1942" s="6"/>
      <c r="D1942" s="8" t="str">
        <f aca="false">IF($C1942="","",IFERROR(INDEX(PRODUCTOS!$B$6:$B$105,MATCH($C1942,PRODUCTOS!$A$6:$A$105,0)),"¿Código?"))</f>
        <v/>
      </c>
      <c r="E1942" s="42"/>
      <c r="F1942" s="35" t="str">
        <f aca="false">IF($C1942="","",IFERROR(INDEX(PRODUCTOS!$D$6:$D$105,MATCH($C1942,PRODUCTOS!$A$6:$A$105,0)),0))</f>
        <v/>
      </c>
      <c r="G1942" s="40"/>
      <c r="H1942" s="35" t="str">
        <f aca="false">IF($C1942="","",N($E1942)*$F1942-N($G1942))</f>
        <v/>
      </c>
      <c r="I1942" s="35" t="str">
        <f aca="false">IF($C1942="","",$H1942-$H1942/(1+IFERROR(INDEX(PRODUCTOS!$E$6:$E$105,MATCH($C1942,PRODUCTOS!$A$6:$A$105,0)),IVA_VENTAS)))</f>
        <v/>
      </c>
      <c r="J1942" s="35" t="str">
        <f aca="false">IF($C1942="","",$H1942-$I1942)</f>
        <v/>
      </c>
      <c r="K1942" s="35" t="str">
        <f aca="false">IF($C1942="","",N($E1942)*IFERROR(INDEX(PRODUCTOS!$H$6:$H$105,MATCH($C1942,PRODUCTOS!$A$6:$A$105,0)),0))</f>
        <v/>
      </c>
      <c r="L1942" s="35" t="str">
        <f aca="false">IF($C1942="","",$J1942-$K1942)</f>
        <v/>
      </c>
      <c r="M1942" s="6"/>
      <c r="N1942" s="6"/>
      <c r="O1942" s="46" t="str">
        <f aca="false">IF($A1942="","",DATE(YEAR($A1942),MONTH($A1942),1))</f>
        <v/>
      </c>
    </row>
    <row r="1943" customFormat="false" ht="15" hidden="false" customHeight="false" outlineLevel="0" collapsed="false">
      <c r="A1943" s="44"/>
      <c r="B1943" s="6"/>
      <c r="C1943" s="6"/>
      <c r="D1943" s="8" t="str">
        <f aca="false">IF($C1943="","",IFERROR(INDEX(PRODUCTOS!$B$6:$B$105,MATCH($C1943,PRODUCTOS!$A$6:$A$105,0)),"¿Código?"))</f>
        <v/>
      </c>
      <c r="E1943" s="42"/>
      <c r="F1943" s="35" t="str">
        <f aca="false">IF($C1943="","",IFERROR(INDEX(PRODUCTOS!$D$6:$D$105,MATCH($C1943,PRODUCTOS!$A$6:$A$105,0)),0))</f>
        <v/>
      </c>
      <c r="G1943" s="40"/>
      <c r="H1943" s="35" t="str">
        <f aca="false">IF($C1943="","",N($E1943)*$F1943-N($G1943))</f>
        <v/>
      </c>
      <c r="I1943" s="35" t="str">
        <f aca="false">IF($C1943="","",$H1943-$H1943/(1+IFERROR(INDEX(PRODUCTOS!$E$6:$E$105,MATCH($C1943,PRODUCTOS!$A$6:$A$105,0)),IVA_VENTAS)))</f>
        <v/>
      </c>
      <c r="J1943" s="35" t="str">
        <f aca="false">IF($C1943="","",$H1943-$I1943)</f>
        <v/>
      </c>
      <c r="K1943" s="35" t="str">
        <f aca="false">IF($C1943="","",N($E1943)*IFERROR(INDEX(PRODUCTOS!$H$6:$H$105,MATCH($C1943,PRODUCTOS!$A$6:$A$105,0)),0))</f>
        <v/>
      </c>
      <c r="L1943" s="35" t="str">
        <f aca="false">IF($C1943="","",$J1943-$K1943)</f>
        <v/>
      </c>
      <c r="M1943" s="6"/>
      <c r="N1943" s="6"/>
      <c r="O1943" s="46" t="str">
        <f aca="false">IF($A1943="","",DATE(YEAR($A1943),MONTH($A1943),1))</f>
        <v/>
      </c>
    </row>
    <row r="1944" customFormat="false" ht="15" hidden="false" customHeight="false" outlineLevel="0" collapsed="false">
      <c r="A1944" s="44"/>
      <c r="B1944" s="6"/>
      <c r="C1944" s="6"/>
      <c r="D1944" s="8" t="str">
        <f aca="false">IF($C1944="","",IFERROR(INDEX(PRODUCTOS!$B$6:$B$105,MATCH($C1944,PRODUCTOS!$A$6:$A$105,0)),"¿Código?"))</f>
        <v/>
      </c>
      <c r="E1944" s="42"/>
      <c r="F1944" s="35" t="str">
        <f aca="false">IF($C1944="","",IFERROR(INDEX(PRODUCTOS!$D$6:$D$105,MATCH($C1944,PRODUCTOS!$A$6:$A$105,0)),0))</f>
        <v/>
      </c>
      <c r="G1944" s="40"/>
      <c r="H1944" s="35" t="str">
        <f aca="false">IF($C1944="","",N($E1944)*$F1944-N($G1944))</f>
        <v/>
      </c>
      <c r="I1944" s="35" t="str">
        <f aca="false">IF($C1944="","",$H1944-$H1944/(1+IFERROR(INDEX(PRODUCTOS!$E$6:$E$105,MATCH($C1944,PRODUCTOS!$A$6:$A$105,0)),IVA_VENTAS)))</f>
        <v/>
      </c>
      <c r="J1944" s="35" t="str">
        <f aca="false">IF($C1944="","",$H1944-$I1944)</f>
        <v/>
      </c>
      <c r="K1944" s="35" t="str">
        <f aca="false">IF($C1944="","",N($E1944)*IFERROR(INDEX(PRODUCTOS!$H$6:$H$105,MATCH($C1944,PRODUCTOS!$A$6:$A$105,0)),0))</f>
        <v/>
      </c>
      <c r="L1944" s="35" t="str">
        <f aca="false">IF($C1944="","",$J1944-$K1944)</f>
        <v/>
      </c>
      <c r="M1944" s="6"/>
      <c r="N1944" s="6"/>
      <c r="O1944" s="46" t="str">
        <f aca="false">IF($A1944="","",DATE(YEAR($A1944),MONTH($A1944),1))</f>
        <v/>
      </c>
    </row>
    <row r="1945" customFormat="false" ht="15" hidden="false" customHeight="false" outlineLevel="0" collapsed="false">
      <c r="A1945" s="44"/>
      <c r="B1945" s="6"/>
      <c r="C1945" s="6"/>
      <c r="D1945" s="8" t="str">
        <f aca="false">IF($C1945="","",IFERROR(INDEX(PRODUCTOS!$B$6:$B$105,MATCH($C1945,PRODUCTOS!$A$6:$A$105,0)),"¿Código?"))</f>
        <v/>
      </c>
      <c r="E1945" s="42"/>
      <c r="F1945" s="35" t="str">
        <f aca="false">IF($C1945="","",IFERROR(INDEX(PRODUCTOS!$D$6:$D$105,MATCH($C1945,PRODUCTOS!$A$6:$A$105,0)),0))</f>
        <v/>
      </c>
      <c r="G1945" s="40"/>
      <c r="H1945" s="35" t="str">
        <f aca="false">IF($C1945="","",N($E1945)*$F1945-N($G1945))</f>
        <v/>
      </c>
      <c r="I1945" s="35" t="str">
        <f aca="false">IF($C1945="","",$H1945-$H1945/(1+IFERROR(INDEX(PRODUCTOS!$E$6:$E$105,MATCH($C1945,PRODUCTOS!$A$6:$A$105,0)),IVA_VENTAS)))</f>
        <v/>
      </c>
      <c r="J1945" s="35" t="str">
        <f aca="false">IF($C1945="","",$H1945-$I1945)</f>
        <v/>
      </c>
      <c r="K1945" s="35" t="str">
        <f aca="false">IF($C1945="","",N($E1945)*IFERROR(INDEX(PRODUCTOS!$H$6:$H$105,MATCH($C1945,PRODUCTOS!$A$6:$A$105,0)),0))</f>
        <v/>
      </c>
      <c r="L1945" s="35" t="str">
        <f aca="false">IF($C1945="","",$J1945-$K1945)</f>
        <v/>
      </c>
      <c r="M1945" s="6"/>
      <c r="N1945" s="6"/>
      <c r="O1945" s="46" t="str">
        <f aca="false">IF($A1945="","",DATE(YEAR($A1945),MONTH($A1945),1))</f>
        <v/>
      </c>
    </row>
    <row r="1946" customFormat="false" ht="15" hidden="false" customHeight="false" outlineLevel="0" collapsed="false">
      <c r="A1946" s="44"/>
      <c r="B1946" s="6"/>
      <c r="C1946" s="6"/>
      <c r="D1946" s="8" t="str">
        <f aca="false">IF($C1946="","",IFERROR(INDEX(PRODUCTOS!$B$6:$B$105,MATCH($C1946,PRODUCTOS!$A$6:$A$105,0)),"¿Código?"))</f>
        <v/>
      </c>
      <c r="E1946" s="42"/>
      <c r="F1946" s="35" t="str">
        <f aca="false">IF($C1946="","",IFERROR(INDEX(PRODUCTOS!$D$6:$D$105,MATCH($C1946,PRODUCTOS!$A$6:$A$105,0)),0))</f>
        <v/>
      </c>
      <c r="G1946" s="40"/>
      <c r="H1946" s="35" t="str">
        <f aca="false">IF($C1946="","",N($E1946)*$F1946-N($G1946))</f>
        <v/>
      </c>
      <c r="I1946" s="35" t="str">
        <f aca="false">IF($C1946="","",$H1946-$H1946/(1+IFERROR(INDEX(PRODUCTOS!$E$6:$E$105,MATCH($C1946,PRODUCTOS!$A$6:$A$105,0)),IVA_VENTAS)))</f>
        <v/>
      </c>
      <c r="J1946" s="35" t="str">
        <f aca="false">IF($C1946="","",$H1946-$I1946)</f>
        <v/>
      </c>
      <c r="K1946" s="35" t="str">
        <f aca="false">IF($C1946="","",N($E1946)*IFERROR(INDEX(PRODUCTOS!$H$6:$H$105,MATCH($C1946,PRODUCTOS!$A$6:$A$105,0)),0))</f>
        <v/>
      </c>
      <c r="L1946" s="35" t="str">
        <f aca="false">IF($C1946="","",$J1946-$K1946)</f>
        <v/>
      </c>
      <c r="M1946" s="6"/>
      <c r="N1946" s="6"/>
      <c r="O1946" s="46" t="str">
        <f aca="false">IF($A1946="","",DATE(YEAR($A1946),MONTH($A1946),1))</f>
        <v/>
      </c>
    </row>
    <row r="1947" customFormat="false" ht="15" hidden="false" customHeight="false" outlineLevel="0" collapsed="false">
      <c r="A1947" s="44"/>
      <c r="B1947" s="6"/>
      <c r="C1947" s="6"/>
      <c r="D1947" s="8" t="str">
        <f aca="false">IF($C1947="","",IFERROR(INDEX(PRODUCTOS!$B$6:$B$105,MATCH($C1947,PRODUCTOS!$A$6:$A$105,0)),"¿Código?"))</f>
        <v/>
      </c>
      <c r="E1947" s="42"/>
      <c r="F1947" s="35" t="str">
        <f aca="false">IF($C1947="","",IFERROR(INDEX(PRODUCTOS!$D$6:$D$105,MATCH($C1947,PRODUCTOS!$A$6:$A$105,0)),0))</f>
        <v/>
      </c>
      <c r="G1947" s="40"/>
      <c r="H1947" s="35" t="str">
        <f aca="false">IF($C1947="","",N($E1947)*$F1947-N($G1947))</f>
        <v/>
      </c>
      <c r="I1947" s="35" t="str">
        <f aca="false">IF($C1947="","",$H1947-$H1947/(1+IFERROR(INDEX(PRODUCTOS!$E$6:$E$105,MATCH($C1947,PRODUCTOS!$A$6:$A$105,0)),IVA_VENTAS)))</f>
        <v/>
      </c>
      <c r="J1947" s="35" t="str">
        <f aca="false">IF($C1947="","",$H1947-$I1947)</f>
        <v/>
      </c>
      <c r="K1947" s="35" t="str">
        <f aca="false">IF($C1947="","",N($E1947)*IFERROR(INDEX(PRODUCTOS!$H$6:$H$105,MATCH($C1947,PRODUCTOS!$A$6:$A$105,0)),0))</f>
        <v/>
      </c>
      <c r="L1947" s="35" t="str">
        <f aca="false">IF($C1947="","",$J1947-$K1947)</f>
        <v/>
      </c>
      <c r="M1947" s="6"/>
      <c r="N1947" s="6"/>
      <c r="O1947" s="46" t="str">
        <f aca="false">IF($A1947="","",DATE(YEAR($A1947),MONTH($A1947),1))</f>
        <v/>
      </c>
    </row>
    <row r="1948" customFormat="false" ht="15" hidden="false" customHeight="false" outlineLevel="0" collapsed="false">
      <c r="A1948" s="44"/>
      <c r="B1948" s="6"/>
      <c r="C1948" s="6"/>
      <c r="D1948" s="8" t="str">
        <f aca="false">IF($C1948="","",IFERROR(INDEX(PRODUCTOS!$B$6:$B$105,MATCH($C1948,PRODUCTOS!$A$6:$A$105,0)),"¿Código?"))</f>
        <v/>
      </c>
      <c r="E1948" s="42"/>
      <c r="F1948" s="35" t="str">
        <f aca="false">IF($C1948="","",IFERROR(INDEX(PRODUCTOS!$D$6:$D$105,MATCH($C1948,PRODUCTOS!$A$6:$A$105,0)),0))</f>
        <v/>
      </c>
      <c r="G1948" s="40"/>
      <c r="H1948" s="35" t="str">
        <f aca="false">IF($C1948="","",N($E1948)*$F1948-N($G1948))</f>
        <v/>
      </c>
      <c r="I1948" s="35" t="str">
        <f aca="false">IF($C1948="","",$H1948-$H1948/(1+IFERROR(INDEX(PRODUCTOS!$E$6:$E$105,MATCH($C1948,PRODUCTOS!$A$6:$A$105,0)),IVA_VENTAS)))</f>
        <v/>
      </c>
      <c r="J1948" s="35" t="str">
        <f aca="false">IF($C1948="","",$H1948-$I1948)</f>
        <v/>
      </c>
      <c r="K1948" s="35" t="str">
        <f aca="false">IF($C1948="","",N($E1948)*IFERROR(INDEX(PRODUCTOS!$H$6:$H$105,MATCH($C1948,PRODUCTOS!$A$6:$A$105,0)),0))</f>
        <v/>
      </c>
      <c r="L1948" s="35" t="str">
        <f aca="false">IF($C1948="","",$J1948-$K1948)</f>
        <v/>
      </c>
      <c r="M1948" s="6"/>
      <c r="N1948" s="6"/>
      <c r="O1948" s="46" t="str">
        <f aca="false">IF($A1948="","",DATE(YEAR($A1948),MONTH($A1948),1))</f>
        <v/>
      </c>
    </row>
    <row r="1949" customFormat="false" ht="15" hidden="false" customHeight="false" outlineLevel="0" collapsed="false">
      <c r="A1949" s="44"/>
      <c r="B1949" s="6"/>
      <c r="C1949" s="6"/>
      <c r="D1949" s="8" t="str">
        <f aca="false">IF($C1949="","",IFERROR(INDEX(PRODUCTOS!$B$6:$B$105,MATCH($C1949,PRODUCTOS!$A$6:$A$105,0)),"¿Código?"))</f>
        <v/>
      </c>
      <c r="E1949" s="42"/>
      <c r="F1949" s="35" t="str">
        <f aca="false">IF($C1949="","",IFERROR(INDEX(PRODUCTOS!$D$6:$D$105,MATCH($C1949,PRODUCTOS!$A$6:$A$105,0)),0))</f>
        <v/>
      </c>
      <c r="G1949" s="40"/>
      <c r="H1949" s="35" t="str">
        <f aca="false">IF($C1949="","",N($E1949)*$F1949-N($G1949))</f>
        <v/>
      </c>
      <c r="I1949" s="35" t="str">
        <f aca="false">IF($C1949="","",$H1949-$H1949/(1+IFERROR(INDEX(PRODUCTOS!$E$6:$E$105,MATCH($C1949,PRODUCTOS!$A$6:$A$105,0)),IVA_VENTAS)))</f>
        <v/>
      </c>
      <c r="J1949" s="35" t="str">
        <f aca="false">IF($C1949="","",$H1949-$I1949)</f>
        <v/>
      </c>
      <c r="K1949" s="35" t="str">
        <f aca="false">IF($C1949="","",N($E1949)*IFERROR(INDEX(PRODUCTOS!$H$6:$H$105,MATCH($C1949,PRODUCTOS!$A$6:$A$105,0)),0))</f>
        <v/>
      </c>
      <c r="L1949" s="35" t="str">
        <f aca="false">IF($C1949="","",$J1949-$K1949)</f>
        <v/>
      </c>
      <c r="M1949" s="6"/>
      <c r="N1949" s="6"/>
      <c r="O1949" s="46" t="str">
        <f aca="false">IF($A1949="","",DATE(YEAR($A1949),MONTH($A1949),1))</f>
        <v/>
      </c>
    </row>
    <row r="1950" customFormat="false" ht="15" hidden="false" customHeight="false" outlineLevel="0" collapsed="false">
      <c r="A1950" s="44"/>
      <c r="B1950" s="6"/>
      <c r="C1950" s="6"/>
      <c r="D1950" s="8" t="str">
        <f aca="false">IF($C1950="","",IFERROR(INDEX(PRODUCTOS!$B$6:$B$105,MATCH($C1950,PRODUCTOS!$A$6:$A$105,0)),"¿Código?"))</f>
        <v/>
      </c>
      <c r="E1950" s="42"/>
      <c r="F1950" s="35" t="str">
        <f aca="false">IF($C1950="","",IFERROR(INDEX(PRODUCTOS!$D$6:$D$105,MATCH($C1950,PRODUCTOS!$A$6:$A$105,0)),0))</f>
        <v/>
      </c>
      <c r="G1950" s="40"/>
      <c r="H1950" s="35" t="str">
        <f aca="false">IF($C1950="","",N($E1950)*$F1950-N($G1950))</f>
        <v/>
      </c>
      <c r="I1950" s="35" t="str">
        <f aca="false">IF($C1950="","",$H1950-$H1950/(1+IFERROR(INDEX(PRODUCTOS!$E$6:$E$105,MATCH($C1950,PRODUCTOS!$A$6:$A$105,0)),IVA_VENTAS)))</f>
        <v/>
      </c>
      <c r="J1950" s="35" t="str">
        <f aca="false">IF($C1950="","",$H1950-$I1950)</f>
        <v/>
      </c>
      <c r="K1950" s="35" t="str">
        <f aca="false">IF($C1950="","",N($E1950)*IFERROR(INDEX(PRODUCTOS!$H$6:$H$105,MATCH($C1950,PRODUCTOS!$A$6:$A$105,0)),0))</f>
        <v/>
      </c>
      <c r="L1950" s="35" t="str">
        <f aca="false">IF($C1950="","",$J1950-$K1950)</f>
        <v/>
      </c>
      <c r="M1950" s="6"/>
      <c r="N1950" s="6"/>
      <c r="O1950" s="46" t="str">
        <f aca="false">IF($A1950="","",DATE(YEAR($A1950),MONTH($A1950),1))</f>
        <v/>
      </c>
    </row>
    <row r="1951" customFormat="false" ht="15" hidden="false" customHeight="false" outlineLevel="0" collapsed="false">
      <c r="A1951" s="44"/>
      <c r="B1951" s="6"/>
      <c r="C1951" s="6"/>
      <c r="D1951" s="8" t="str">
        <f aca="false">IF($C1951="","",IFERROR(INDEX(PRODUCTOS!$B$6:$B$105,MATCH($C1951,PRODUCTOS!$A$6:$A$105,0)),"¿Código?"))</f>
        <v/>
      </c>
      <c r="E1951" s="42"/>
      <c r="F1951" s="35" t="str">
        <f aca="false">IF($C1951="","",IFERROR(INDEX(PRODUCTOS!$D$6:$D$105,MATCH($C1951,PRODUCTOS!$A$6:$A$105,0)),0))</f>
        <v/>
      </c>
      <c r="G1951" s="40"/>
      <c r="H1951" s="35" t="str">
        <f aca="false">IF($C1951="","",N($E1951)*$F1951-N($G1951))</f>
        <v/>
      </c>
      <c r="I1951" s="35" t="str">
        <f aca="false">IF($C1951="","",$H1951-$H1951/(1+IFERROR(INDEX(PRODUCTOS!$E$6:$E$105,MATCH($C1951,PRODUCTOS!$A$6:$A$105,0)),IVA_VENTAS)))</f>
        <v/>
      </c>
      <c r="J1951" s="35" t="str">
        <f aca="false">IF($C1951="","",$H1951-$I1951)</f>
        <v/>
      </c>
      <c r="K1951" s="35" t="str">
        <f aca="false">IF($C1951="","",N($E1951)*IFERROR(INDEX(PRODUCTOS!$H$6:$H$105,MATCH($C1951,PRODUCTOS!$A$6:$A$105,0)),0))</f>
        <v/>
      </c>
      <c r="L1951" s="35" t="str">
        <f aca="false">IF($C1951="","",$J1951-$K1951)</f>
        <v/>
      </c>
      <c r="M1951" s="6"/>
      <c r="N1951" s="6"/>
      <c r="O1951" s="46" t="str">
        <f aca="false">IF($A1951="","",DATE(YEAR($A1951),MONTH($A1951),1))</f>
        <v/>
      </c>
    </row>
    <row r="1952" customFormat="false" ht="15" hidden="false" customHeight="false" outlineLevel="0" collapsed="false">
      <c r="A1952" s="44"/>
      <c r="B1952" s="6"/>
      <c r="C1952" s="6"/>
      <c r="D1952" s="8" t="str">
        <f aca="false">IF($C1952="","",IFERROR(INDEX(PRODUCTOS!$B$6:$B$105,MATCH($C1952,PRODUCTOS!$A$6:$A$105,0)),"¿Código?"))</f>
        <v/>
      </c>
      <c r="E1952" s="42"/>
      <c r="F1952" s="35" t="str">
        <f aca="false">IF($C1952="","",IFERROR(INDEX(PRODUCTOS!$D$6:$D$105,MATCH($C1952,PRODUCTOS!$A$6:$A$105,0)),0))</f>
        <v/>
      </c>
      <c r="G1952" s="40"/>
      <c r="H1952" s="35" t="str">
        <f aca="false">IF($C1952="","",N($E1952)*$F1952-N($G1952))</f>
        <v/>
      </c>
      <c r="I1952" s="35" t="str">
        <f aca="false">IF($C1952="","",$H1952-$H1952/(1+IFERROR(INDEX(PRODUCTOS!$E$6:$E$105,MATCH($C1952,PRODUCTOS!$A$6:$A$105,0)),IVA_VENTAS)))</f>
        <v/>
      </c>
      <c r="J1952" s="35" t="str">
        <f aca="false">IF($C1952="","",$H1952-$I1952)</f>
        <v/>
      </c>
      <c r="K1952" s="35" t="str">
        <f aca="false">IF($C1952="","",N($E1952)*IFERROR(INDEX(PRODUCTOS!$H$6:$H$105,MATCH($C1952,PRODUCTOS!$A$6:$A$105,0)),0))</f>
        <v/>
      </c>
      <c r="L1952" s="35" t="str">
        <f aca="false">IF($C1952="","",$J1952-$K1952)</f>
        <v/>
      </c>
      <c r="M1952" s="6"/>
      <c r="N1952" s="6"/>
      <c r="O1952" s="46" t="str">
        <f aca="false">IF($A1952="","",DATE(YEAR($A1952),MONTH($A1952),1))</f>
        <v/>
      </c>
    </row>
    <row r="1953" customFormat="false" ht="15" hidden="false" customHeight="false" outlineLevel="0" collapsed="false">
      <c r="A1953" s="44"/>
      <c r="B1953" s="6"/>
      <c r="C1953" s="6"/>
      <c r="D1953" s="8" t="str">
        <f aca="false">IF($C1953="","",IFERROR(INDEX(PRODUCTOS!$B$6:$B$105,MATCH($C1953,PRODUCTOS!$A$6:$A$105,0)),"¿Código?"))</f>
        <v/>
      </c>
      <c r="E1953" s="42"/>
      <c r="F1953" s="35" t="str">
        <f aca="false">IF($C1953="","",IFERROR(INDEX(PRODUCTOS!$D$6:$D$105,MATCH($C1953,PRODUCTOS!$A$6:$A$105,0)),0))</f>
        <v/>
      </c>
      <c r="G1953" s="40"/>
      <c r="H1953" s="35" t="str">
        <f aca="false">IF($C1953="","",N($E1953)*$F1953-N($G1953))</f>
        <v/>
      </c>
      <c r="I1953" s="35" t="str">
        <f aca="false">IF($C1953="","",$H1953-$H1953/(1+IFERROR(INDEX(PRODUCTOS!$E$6:$E$105,MATCH($C1953,PRODUCTOS!$A$6:$A$105,0)),IVA_VENTAS)))</f>
        <v/>
      </c>
      <c r="J1953" s="35" t="str">
        <f aca="false">IF($C1953="","",$H1953-$I1953)</f>
        <v/>
      </c>
      <c r="K1953" s="35" t="str">
        <f aca="false">IF($C1953="","",N($E1953)*IFERROR(INDEX(PRODUCTOS!$H$6:$H$105,MATCH($C1953,PRODUCTOS!$A$6:$A$105,0)),0))</f>
        <v/>
      </c>
      <c r="L1953" s="35" t="str">
        <f aca="false">IF($C1953="","",$J1953-$K1953)</f>
        <v/>
      </c>
      <c r="M1953" s="6"/>
      <c r="N1953" s="6"/>
      <c r="O1953" s="46" t="str">
        <f aca="false">IF($A1953="","",DATE(YEAR($A1953),MONTH($A1953),1))</f>
        <v/>
      </c>
    </row>
    <row r="1954" customFormat="false" ht="15" hidden="false" customHeight="false" outlineLevel="0" collapsed="false">
      <c r="A1954" s="44"/>
      <c r="B1954" s="6"/>
      <c r="C1954" s="6"/>
      <c r="D1954" s="8" t="str">
        <f aca="false">IF($C1954="","",IFERROR(INDEX(PRODUCTOS!$B$6:$B$105,MATCH($C1954,PRODUCTOS!$A$6:$A$105,0)),"¿Código?"))</f>
        <v/>
      </c>
      <c r="E1954" s="42"/>
      <c r="F1954" s="35" t="str">
        <f aca="false">IF($C1954="","",IFERROR(INDEX(PRODUCTOS!$D$6:$D$105,MATCH($C1954,PRODUCTOS!$A$6:$A$105,0)),0))</f>
        <v/>
      </c>
      <c r="G1954" s="40"/>
      <c r="H1954" s="35" t="str">
        <f aca="false">IF($C1954="","",N($E1954)*$F1954-N($G1954))</f>
        <v/>
      </c>
      <c r="I1954" s="35" t="str">
        <f aca="false">IF($C1954="","",$H1954-$H1954/(1+IFERROR(INDEX(PRODUCTOS!$E$6:$E$105,MATCH($C1954,PRODUCTOS!$A$6:$A$105,0)),IVA_VENTAS)))</f>
        <v/>
      </c>
      <c r="J1954" s="35" t="str">
        <f aca="false">IF($C1954="","",$H1954-$I1954)</f>
        <v/>
      </c>
      <c r="K1954" s="35" t="str">
        <f aca="false">IF($C1954="","",N($E1954)*IFERROR(INDEX(PRODUCTOS!$H$6:$H$105,MATCH($C1954,PRODUCTOS!$A$6:$A$105,0)),0))</f>
        <v/>
      </c>
      <c r="L1954" s="35" t="str">
        <f aca="false">IF($C1954="","",$J1954-$K1954)</f>
        <v/>
      </c>
      <c r="M1954" s="6"/>
      <c r="N1954" s="6"/>
      <c r="O1954" s="46" t="str">
        <f aca="false">IF($A1954="","",DATE(YEAR($A1954),MONTH($A1954),1))</f>
        <v/>
      </c>
    </row>
    <row r="1955" customFormat="false" ht="15" hidden="false" customHeight="false" outlineLevel="0" collapsed="false">
      <c r="A1955" s="44"/>
      <c r="B1955" s="6"/>
      <c r="C1955" s="6"/>
      <c r="D1955" s="8" t="str">
        <f aca="false">IF($C1955="","",IFERROR(INDEX(PRODUCTOS!$B$6:$B$105,MATCH($C1955,PRODUCTOS!$A$6:$A$105,0)),"¿Código?"))</f>
        <v/>
      </c>
      <c r="E1955" s="42"/>
      <c r="F1955" s="35" t="str">
        <f aca="false">IF($C1955="","",IFERROR(INDEX(PRODUCTOS!$D$6:$D$105,MATCH($C1955,PRODUCTOS!$A$6:$A$105,0)),0))</f>
        <v/>
      </c>
      <c r="G1955" s="40"/>
      <c r="H1955" s="35" t="str">
        <f aca="false">IF($C1955="","",N($E1955)*$F1955-N($G1955))</f>
        <v/>
      </c>
      <c r="I1955" s="35" t="str">
        <f aca="false">IF($C1955="","",$H1955-$H1955/(1+IFERROR(INDEX(PRODUCTOS!$E$6:$E$105,MATCH($C1955,PRODUCTOS!$A$6:$A$105,0)),IVA_VENTAS)))</f>
        <v/>
      </c>
      <c r="J1955" s="35" t="str">
        <f aca="false">IF($C1955="","",$H1955-$I1955)</f>
        <v/>
      </c>
      <c r="K1955" s="35" t="str">
        <f aca="false">IF($C1955="","",N($E1955)*IFERROR(INDEX(PRODUCTOS!$H$6:$H$105,MATCH($C1955,PRODUCTOS!$A$6:$A$105,0)),0))</f>
        <v/>
      </c>
      <c r="L1955" s="35" t="str">
        <f aca="false">IF($C1955="","",$J1955-$K1955)</f>
        <v/>
      </c>
      <c r="M1955" s="6"/>
      <c r="N1955" s="6"/>
      <c r="O1955" s="46" t="str">
        <f aca="false">IF($A1955="","",DATE(YEAR($A1955),MONTH($A1955),1))</f>
        <v/>
      </c>
    </row>
    <row r="1956" customFormat="false" ht="15" hidden="false" customHeight="false" outlineLevel="0" collapsed="false">
      <c r="A1956" s="44"/>
      <c r="B1956" s="6"/>
      <c r="C1956" s="6"/>
      <c r="D1956" s="8" t="str">
        <f aca="false">IF($C1956="","",IFERROR(INDEX(PRODUCTOS!$B$6:$B$105,MATCH($C1956,PRODUCTOS!$A$6:$A$105,0)),"¿Código?"))</f>
        <v/>
      </c>
      <c r="E1956" s="42"/>
      <c r="F1956" s="35" t="str">
        <f aca="false">IF($C1956="","",IFERROR(INDEX(PRODUCTOS!$D$6:$D$105,MATCH($C1956,PRODUCTOS!$A$6:$A$105,0)),0))</f>
        <v/>
      </c>
      <c r="G1956" s="40"/>
      <c r="H1956" s="35" t="str">
        <f aca="false">IF($C1956="","",N($E1956)*$F1956-N($G1956))</f>
        <v/>
      </c>
      <c r="I1956" s="35" t="str">
        <f aca="false">IF($C1956="","",$H1956-$H1956/(1+IFERROR(INDEX(PRODUCTOS!$E$6:$E$105,MATCH($C1956,PRODUCTOS!$A$6:$A$105,0)),IVA_VENTAS)))</f>
        <v/>
      </c>
      <c r="J1956" s="35" t="str">
        <f aca="false">IF($C1956="","",$H1956-$I1956)</f>
        <v/>
      </c>
      <c r="K1956" s="35" t="str">
        <f aca="false">IF($C1956="","",N($E1956)*IFERROR(INDEX(PRODUCTOS!$H$6:$H$105,MATCH($C1956,PRODUCTOS!$A$6:$A$105,0)),0))</f>
        <v/>
      </c>
      <c r="L1956" s="35" t="str">
        <f aca="false">IF($C1956="","",$J1956-$K1956)</f>
        <v/>
      </c>
      <c r="M1956" s="6"/>
      <c r="N1956" s="6"/>
      <c r="O1956" s="46" t="str">
        <f aca="false">IF($A1956="","",DATE(YEAR($A1956),MONTH($A1956),1))</f>
        <v/>
      </c>
    </row>
    <row r="1957" customFormat="false" ht="15" hidden="false" customHeight="false" outlineLevel="0" collapsed="false">
      <c r="A1957" s="44"/>
      <c r="B1957" s="6"/>
      <c r="C1957" s="6"/>
      <c r="D1957" s="8" t="str">
        <f aca="false">IF($C1957="","",IFERROR(INDEX(PRODUCTOS!$B$6:$B$105,MATCH($C1957,PRODUCTOS!$A$6:$A$105,0)),"¿Código?"))</f>
        <v/>
      </c>
      <c r="E1957" s="42"/>
      <c r="F1957" s="35" t="str">
        <f aca="false">IF($C1957="","",IFERROR(INDEX(PRODUCTOS!$D$6:$D$105,MATCH($C1957,PRODUCTOS!$A$6:$A$105,0)),0))</f>
        <v/>
      </c>
      <c r="G1957" s="40"/>
      <c r="H1957" s="35" t="str">
        <f aca="false">IF($C1957="","",N($E1957)*$F1957-N($G1957))</f>
        <v/>
      </c>
      <c r="I1957" s="35" t="str">
        <f aca="false">IF($C1957="","",$H1957-$H1957/(1+IFERROR(INDEX(PRODUCTOS!$E$6:$E$105,MATCH($C1957,PRODUCTOS!$A$6:$A$105,0)),IVA_VENTAS)))</f>
        <v/>
      </c>
      <c r="J1957" s="35" t="str">
        <f aca="false">IF($C1957="","",$H1957-$I1957)</f>
        <v/>
      </c>
      <c r="K1957" s="35" t="str">
        <f aca="false">IF($C1957="","",N($E1957)*IFERROR(INDEX(PRODUCTOS!$H$6:$H$105,MATCH($C1957,PRODUCTOS!$A$6:$A$105,0)),0))</f>
        <v/>
      </c>
      <c r="L1957" s="35" t="str">
        <f aca="false">IF($C1957="","",$J1957-$K1957)</f>
        <v/>
      </c>
      <c r="M1957" s="6"/>
      <c r="N1957" s="6"/>
      <c r="O1957" s="46" t="str">
        <f aca="false">IF($A1957="","",DATE(YEAR($A1957),MONTH($A1957),1))</f>
        <v/>
      </c>
    </row>
    <row r="1958" customFormat="false" ht="15" hidden="false" customHeight="false" outlineLevel="0" collapsed="false">
      <c r="A1958" s="44"/>
      <c r="B1958" s="6"/>
      <c r="C1958" s="6"/>
      <c r="D1958" s="8" t="str">
        <f aca="false">IF($C1958="","",IFERROR(INDEX(PRODUCTOS!$B$6:$B$105,MATCH($C1958,PRODUCTOS!$A$6:$A$105,0)),"¿Código?"))</f>
        <v/>
      </c>
      <c r="E1958" s="42"/>
      <c r="F1958" s="35" t="str">
        <f aca="false">IF($C1958="","",IFERROR(INDEX(PRODUCTOS!$D$6:$D$105,MATCH($C1958,PRODUCTOS!$A$6:$A$105,0)),0))</f>
        <v/>
      </c>
      <c r="G1958" s="40"/>
      <c r="H1958" s="35" t="str">
        <f aca="false">IF($C1958="","",N($E1958)*$F1958-N($G1958))</f>
        <v/>
      </c>
      <c r="I1958" s="35" t="str">
        <f aca="false">IF($C1958="","",$H1958-$H1958/(1+IFERROR(INDEX(PRODUCTOS!$E$6:$E$105,MATCH($C1958,PRODUCTOS!$A$6:$A$105,0)),IVA_VENTAS)))</f>
        <v/>
      </c>
      <c r="J1958" s="35" t="str">
        <f aca="false">IF($C1958="","",$H1958-$I1958)</f>
        <v/>
      </c>
      <c r="K1958" s="35" t="str">
        <f aca="false">IF($C1958="","",N($E1958)*IFERROR(INDEX(PRODUCTOS!$H$6:$H$105,MATCH($C1958,PRODUCTOS!$A$6:$A$105,0)),0))</f>
        <v/>
      </c>
      <c r="L1958" s="35" t="str">
        <f aca="false">IF($C1958="","",$J1958-$K1958)</f>
        <v/>
      </c>
      <c r="M1958" s="6"/>
      <c r="N1958" s="6"/>
      <c r="O1958" s="46" t="str">
        <f aca="false">IF($A1958="","",DATE(YEAR($A1958),MONTH($A1958),1))</f>
        <v/>
      </c>
    </row>
    <row r="1959" customFormat="false" ht="15" hidden="false" customHeight="false" outlineLevel="0" collapsed="false">
      <c r="A1959" s="44"/>
      <c r="B1959" s="6"/>
      <c r="C1959" s="6"/>
      <c r="D1959" s="8" t="str">
        <f aca="false">IF($C1959="","",IFERROR(INDEX(PRODUCTOS!$B$6:$B$105,MATCH($C1959,PRODUCTOS!$A$6:$A$105,0)),"¿Código?"))</f>
        <v/>
      </c>
      <c r="E1959" s="42"/>
      <c r="F1959" s="35" t="str">
        <f aca="false">IF($C1959="","",IFERROR(INDEX(PRODUCTOS!$D$6:$D$105,MATCH($C1959,PRODUCTOS!$A$6:$A$105,0)),0))</f>
        <v/>
      </c>
      <c r="G1959" s="40"/>
      <c r="H1959" s="35" t="str">
        <f aca="false">IF($C1959="","",N($E1959)*$F1959-N($G1959))</f>
        <v/>
      </c>
      <c r="I1959" s="35" t="str">
        <f aca="false">IF($C1959="","",$H1959-$H1959/(1+IFERROR(INDEX(PRODUCTOS!$E$6:$E$105,MATCH($C1959,PRODUCTOS!$A$6:$A$105,0)),IVA_VENTAS)))</f>
        <v/>
      </c>
      <c r="J1959" s="35" t="str">
        <f aca="false">IF($C1959="","",$H1959-$I1959)</f>
        <v/>
      </c>
      <c r="K1959" s="35" t="str">
        <f aca="false">IF($C1959="","",N($E1959)*IFERROR(INDEX(PRODUCTOS!$H$6:$H$105,MATCH($C1959,PRODUCTOS!$A$6:$A$105,0)),0))</f>
        <v/>
      </c>
      <c r="L1959" s="35" t="str">
        <f aca="false">IF($C1959="","",$J1959-$K1959)</f>
        <v/>
      </c>
      <c r="M1959" s="6"/>
      <c r="N1959" s="6"/>
      <c r="O1959" s="46" t="str">
        <f aca="false">IF($A1959="","",DATE(YEAR($A1959),MONTH($A1959),1))</f>
        <v/>
      </c>
    </row>
    <row r="1960" customFormat="false" ht="15" hidden="false" customHeight="false" outlineLevel="0" collapsed="false">
      <c r="A1960" s="44"/>
      <c r="B1960" s="6"/>
      <c r="C1960" s="6"/>
      <c r="D1960" s="8" t="str">
        <f aca="false">IF($C1960="","",IFERROR(INDEX(PRODUCTOS!$B$6:$B$105,MATCH($C1960,PRODUCTOS!$A$6:$A$105,0)),"¿Código?"))</f>
        <v/>
      </c>
      <c r="E1960" s="42"/>
      <c r="F1960" s="35" t="str">
        <f aca="false">IF($C1960="","",IFERROR(INDEX(PRODUCTOS!$D$6:$D$105,MATCH($C1960,PRODUCTOS!$A$6:$A$105,0)),0))</f>
        <v/>
      </c>
      <c r="G1960" s="40"/>
      <c r="H1960" s="35" t="str">
        <f aca="false">IF($C1960="","",N($E1960)*$F1960-N($G1960))</f>
        <v/>
      </c>
      <c r="I1960" s="35" t="str">
        <f aca="false">IF($C1960="","",$H1960-$H1960/(1+IFERROR(INDEX(PRODUCTOS!$E$6:$E$105,MATCH($C1960,PRODUCTOS!$A$6:$A$105,0)),IVA_VENTAS)))</f>
        <v/>
      </c>
      <c r="J1960" s="35" t="str">
        <f aca="false">IF($C1960="","",$H1960-$I1960)</f>
        <v/>
      </c>
      <c r="K1960" s="35" t="str">
        <f aca="false">IF($C1960="","",N($E1960)*IFERROR(INDEX(PRODUCTOS!$H$6:$H$105,MATCH($C1960,PRODUCTOS!$A$6:$A$105,0)),0))</f>
        <v/>
      </c>
      <c r="L1960" s="35" t="str">
        <f aca="false">IF($C1960="","",$J1960-$K1960)</f>
        <v/>
      </c>
      <c r="M1960" s="6"/>
      <c r="N1960" s="6"/>
      <c r="O1960" s="46" t="str">
        <f aca="false">IF($A1960="","",DATE(YEAR($A1960),MONTH($A1960),1))</f>
        <v/>
      </c>
    </row>
    <row r="1961" customFormat="false" ht="15" hidden="false" customHeight="false" outlineLevel="0" collapsed="false">
      <c r="A1961" s="44"/>
      <c r="B1961" s="6"/>
      <c r="C1961" s="6"/>
      <c r="D1961" s="8" t="str">
        <f aca="false">IF($C1961="","",IFERROR(INDEX(PRODUCTOS!$B$6:$B$105,MATCH($C1961,PRODUCTOS!$A$6:$A$105,0)),"¿Código?"))</f>
        <v/>
      </c>
      <c r="E1961" s="42"/>
      <c r="F1961" s="35" t="str">
        <f aca="false">IF($C1961="","",IFERROR(INDEX(PRODUCTOS!$D$6:$D$105,MATCH($C1961,PRODUCTOS!$A$6:$A$105,0)),0))</f>
        <v/>
      </c>
      <c r="G1961" s="40"/>
      <c r="H1961" s="35" t="str">
        <f aca="false">IF($C1961="","",N($E1961)*$F1961-N($G1961))</f>
        <v/>
      </c>
      <c r="I1961" s="35" t="str">
        <f aca="false">IF($C1961="","",$H1961-$H1961/(1+IFERROR(INDEX(PRODUCTOS!$E$6:$E$105,MATCH($C1961,PRODUCTOS!$A$6:$A$105,0)),IVA_VENTAS)))</f>
        <v/>
      </c>
      <c r="J1961" s="35" t="str">
        <f aca="false">IF($C1961="","",$H1961-$I1961)</f>
        <v/>
      </c>
      <c r="K1961" s="35" t="str">
        <f aca="false">IF($C1961="","",N($E1961)*IFERROR(INDEX(PRODUCTOS!$H$6:$H$105,MATCH($C1961,PRODUCTOS!$A$6:$A$105,0)),0))</f>
        <v/>
      </c>
      <c r="L1961" s="35" t="str">
        <f aca="false">IF($C1961="","",$J1961-$K1961)</f>
        <v/>
      </c>
      <c r="M1961" s="6"/>
      <c r="N1961" s="6"/>
      <c r="O1961" s="46" t="str">
        <f aca="false">IF($A1961="","",DATE(YEAR($A1961),MONTH($A1961),1))</f>
        <v/>
      </c>
    </row>
    <row r="1962" customFormat="false" ht="15" hidden="false" customHeight="false" outlineLevel="0" collapsed="false">
      <c r="A1962" s="44"/>
      <c r="B1962" s="6"/>
      <c r="C1962" s="6"/>
      <c r="D1962" s="8" t="str">
        <f aca="false">IF($C1962="","",IFERROR(INDEX(PRODUCTOS!$B$6:$B$105,MATCH($C1962,PRODUCTOS!$A$6:$A$105,0)),"¿Código?"))</f>
        <v/>
      </c>
      <c r="E1962" s="42"/>
      <c r="F1962" s="35" t="str">
        <f aca="false">IF($C1962="","",IFERROR(INDEX(PRODUCTOS!$D$6:$D$105,MATCH($C1962,PRODUCTOS!$A$6:$A$105,0)),0))</f>
        <v/>
      </c>
      <c r="G1962" s="40"/>
      <c r="H1962" s="35" t="str">
        <f aca="false">IF($C1962="","",N($E1962)*$F1962-N($G1962))</f>
        <v/>
      </c>
      <c r="I1962" s="35" t="str">
        <f aca="false">IF($C1962="","",$H1962-$H1962/(1+IFERROR(INDEX(PRODUCTOS!$E$6:$E$105,MATCH($C1962,PRODUCTOS!$A$6:$A$105,0)),IVA_VENTAS)))</f>
        <v/>
      </c>
      <c r="J1962" s="35" t="str">
        <f aca="false">IF($C1962="","",$H1962-$I1962)</f>
        <v/>
      </c>
      <c r="K1962" s="35" t="str">
        <f aca="false">IF($C1962="","",N($E1962)*IFERROR(INDEX(PRODUCTOS!$H$6:$H$105,MATCH($C1962,PRODUCTOS!$A$6:$A$105,0)),0))</f>
        <v/>
      </c>
      <c r="L1962" s="35" t="str">
        <f aca="false">IF($C1962="","",$J1962-$K1962)</f>
        <v/>
      </c>
      <c r="M1962" s="6"/>
      <c r="N1962" s="6"/>
      <c r="O1962" s="46" t="str">
        <f aca="false">IF($A1962="","",DATE(YEAR($A1962),MONTH($A1962),1))</f>
        <v/>
      </c>
    </row>
    <row r="1963" customFormat="false" ht="15" hidden="false" customHeight="false" outlineLevel="0" collapsed="false">
      <c r="A1963" s="44"/>
      <c r="B1963" s="6"/>
      <c r="C1963" s="6"/>
      <c r="D1963" s="8" t="str">
        <f aca="false">IF($C1963="","",IFERROR(INDEX(PRODUCTOS!$B$6:$B$105,MATCH($C1963,PRODUCTOS!$A$6:$A$105,0)),"¿Código?"))</f>
        <v/>
      </c>
      <c r="E1963" s="42"/>
      <c r="F1963" s="35" t="str">
        <f aca="false">IF($C1963="","",IFERROR(INDEX(PRODUCTOS!$D$6:$D$105,MATCH($C1963,PRODUCTOS!$A$6:$A$105,0)),0))</f>
        <v/>
      </c>
      <c r="G1963" s="40"/>
      <c r="H1963" s="35" t="str">
        <f aca="false">IF($C1963="","",N($E1963)*$F1963-N($G1963))</f>
        <v/>
      </c>
      <c r="I1963" s="35" t="str">
        <f aca="false">IF($C1963="","",$H1963-$H1963/(1+IFERROR(INDEX(PRODUCTOS!$E$6:$E$105,MATCH($C1963,PRODUCTOS!$A$6:$A$105,0)),IVA_VENTAS)))</f>
        <v/>
      </c>
      <c r="J1963" s="35" t="str">
        <f aca="false">IF($C1963="","",$H1963-$I1963)</f>
        <v/>
      </c>
      <c r="K1963" s="35" t="str">
        <f aca="false">IF($C1963="","",N($E1963)*IFERROR(INDEX(PRODUCTOS!$H$6:$H$105,MATCH($C1963,PRODUCTOS!$A$6:$A$105,0)),0))</f>
        <v/>
      </c>
      <c r="L1963" s="35" t="str">
        <f aca="false">IF($C1963="","",$J1963-$K1963)</f>
        <v/>
      </c>
      <c r="M1963" s="6"/>
      <c r="N1963" s="6"/>
      <c r="O1963" s="46" t="str">
        <f aca="false">IF($A1963="","",DATE(YEAR($A1963),MONTH($A1963),1))</f>
        <v/>
      </c>
    </row>
    <row r="1964" customFormat="false" ht="15" hidden="false" customHeight="false" outlineLevel="0" collapsed="false">
      <c r="A1964" s="44"/>
      <c r="B1964" s="6"/>
      <c r="C1964" s="6"/>
      <c r="D1964" s="8" t="str">
        <f aca="false">IF($C1964="","",IFERROR(INDEX(PRODUCTOS!$B$6:$B$105,MATCH($C1964,PRODUCTOS!$A$6:$A$105,0)),"¿Código?"))</f>
        <v/>
      </c>
      <c r="E1964" s="42"/>
      <c r="F1964" s="35" t="str">
        <f aca="false">IF($C1964="","",IFERROR(INDEX(PRODUCTOS!$D$6:$D$105,MATCH($C1964,PRODUCTOS!$A$6:$A$105,0)),0))</f>
        <v/>
      </c>
      <c r="G1964" s="40"/>
      <c r="H1964" s="35" t="str">
        <f aca="false">IF($C1964="","",N($E1964)*$F1964-N($G1964))</f>
        <v/>
      </c>
      <c r="I1964" s="35" t="str">
        <f aca="false">IF($C1964="","",$H1964-$H1964/(1+IFERROR(INDEX(PRODUCTOS!$E$6:$E$105,MATCH($C1964,PRODUCTOS!$A$6:$A$105,0)),IVA_VENTAS)))</f>
        <v/>
      </c>
      <c r="J1964" s="35" t="str">
        <f aca="false">IF($C1964="","",$H1964-$I1964)</f>
        <v/>
      </c>
      <c r="K1964" s="35" t="str">
        <f aca="false">IF($C1964="","",N($E1964)*IFERROR(INDEX(PRODUCTOS!$H$6:$H$105,MATCH($C1964,PRODUCTOS!$A$6:$A$105,0)),0))</f>
        <v/>
      </c>
      <c r="L1964" s="35" t="str">
        <f aca="false">IF($C1964="","",$J1964-$K1964)</f>
        <v/>
      </c>
      <c r="M1964" s="6"/>
      <c r="N1964" s="6"/>
      <c r="O1964" s="46" t="str">
        <f aca="false">IF($A1964="","",DATE(YEAR($A1964),MONTH($A1964),1))</f>
        <v/>
      </c>
    </row>
    <row r="1965" customFormat="false" ht="15" hidden="false" customHeight="false" outlineLevel="0" collapsed="false">
      <c r="A1965" s="44"/>
      <c r="B1965" s="6"/>
      <c r="C1965" s="6"/>
      <c r="D1965" s="8" t="str">
        <f aca="false">IF($C1965="","",IFERROR(INDEX(PRODUCTOS!$B$6:$B$105,MATCH($C1965,PRODUCTOS!$A$6:$A$105,0)),"¿Código?"))</f>
        <v/>
      </c>
      <c r="E1965" s="42"/>
      <c r="F1965" s="35" t="str">
        <f aca="false">IF($C1965="","",IFERROR(INDEX(PRODUCTOS!$D$6:$D$105,MATCH($C1965,PRODUCTOS!$A$6:$A$105,0)),0))</f>
        <v/>
      </c>
      <c r="G1965" s="40"/>
      <c r="H1965" s="35" t="str">
        <f aca="false">IF($C1965="","",N($E1965)*$F1965-N($G1965))</f>
        <v/>
      </c>
      <c r="I1965" s="35" t="str">
        <f aca="false">IF($C1965="","",$H1965-$H1965/(1+IFERROR(INDEX(PRODUCTOS!$E$6:$E$105,MATCH($C1965,PRODUCTOS!$A$6:$A$105,0)),IVA_VENTAS)))</f>
        <v/>
      </c>
      <c r="J1965" s="35" t="str">
        <f aca="false">IF($C1965="","",$H1965-$I1965)</f>
        <v/>
      </c>
      <c r="K1965" s="35" t="str">
        <f aca="false">IF($C1965="","",N($E1965)*IFERROR(INDEX(PRODUCTOS!$H$6:$H$105,MATCH($C1965,PRODUCTOS!$A$6:$A$105,0)),0))</f>
        <v/>
      </c>
      <c r="L1965" s="35" t="str">
        <f aca="false">IF($C1965="","",$J1965-$K1965)</f>
        <v/>
      </c>
      <c r="M1965" s="6"/>
      <c r="N1965" s="6"/>
      <c r="O1965" s="46" t="str">
        <f aca="false">IF($A1965="","",DATE(YEAR($A1965),MONTH($A1965),1))</f>
        <v/>
      </c>
    </row>
    <row r="1966" customFormat="false" ht="15" hidden="false" customHeight="false" outlineLevel="0" collapsed="false">
      <c r="A1966" s="44"/>
      <c r="B1966" s="6"/>
      <c r="C1966" s="6"/>
      <c r="D1966" s="8" t="str">
        <f aca="false">IF($C1966="","",IFERROR(INDEX(PRODUCTOS!$B$6:$B$105,MATCH($C1966,PRODUCTOS!$A$6:$A$105,0)),"¿Código?"))</f>
        <v/>
      </c>
      <c r="E1966" s="42"/>
      <c r="F1966" s="35" t="str">
        <f aca="false">IF($C1966="","",IFERROR(INDEX(PRODUCTOS!$D$6:$D$105,MATCH($C1966,PRODUCTOS!$A$6:$A$105,0)),0))</f>
        <v/>
      </c>
      <c r="G1966" s="40"/>
      <c r="H1966" s="35" t="str">
        <f aca="false">IF($C1966="","",N($E1966)*$F1966-N($G1966))</f>
        <v/>
      </c>
      <c r="I1966" s="35" t="str">
        <f aca="false">IF($C1966="","",$H1966-$H1966/(1+IFERROR(INDEX(PRODUCTOS!$E$6:$E$105,MATCH($C1966,PRODUCTOS!$A$6:$A$105,0)),IVA_VENTAS)))</f>
        <v/>
      </c>
      <c r="J1966" s="35" t="str">
        <f aca="false">IF($C1966="","",$H1966-$I1966)</f>
        <v/>
      </c>
      <c r="K1966" s="35" t="str">
        <f aca="false">IF($C1966="","",N($E1966)*IFERROR(INDEX(PRODUCTOS!$H$6:$H$105,MATCH($C1966,PRODUCTOS!$A$6:$A$105,0)),0))</f>
        <v/>
      </c>
      <c r="L1966" s="35" t="str">
        <f aca="false">IF($C1966="","",$J1966-$K1966)</f>
        <v/>
      </c>
      <c r="M1966" s="6"/>
      <c r="N1966" s="6"/>
      <c r="O1966" s="46" t="str">
        <f aca="false">IF($A1966="","",DATE(YEAR($A1966),MONTH($A1966),1))</f>
        <v/>
      </c>
    </row>
    <row r="1967" customFormat="false" ht="15" hidden="false" customHeight="false" outlineLevel="0" collapsed="false">
      <c r="A1967" s="44"/>
      <c r="B1967" s="6"/>
      <c r="C1967" s="6"/>
      <c r="D1967" s="8" t="str">
        <f aca="false">IF($C1967="","",IFERROR(INDEX(PRODUCTOS!$B$6:$B$105,MATCH($C1967,PRODUCTOS!$A$6:$A$105,0)),"¿Código?"))</f>
        <v/>
      </c>
      <c r="E1967" s="42"/>
      <c r="F1967" s="35" t="str">
        <f aca="false">IF($C1967="","",IFERROR(INDEX(PRODUCTOS!$D$6:$D$105,MATCH($C1967,PRODUCTOS!$A$6:$A$105,0)),0))</f>
        <v/>
      </c>
      <c r="G1967" s="40"/>
      <c r="H1967" s="35" t="str">
        <f aca="false">IF($C1967="","",N($E1967)*$F1967-N($G1967))</f>
        <v/>
      </c>
      <c r="I1967" s="35" t="str">
        <f aca="false">IF($C1967="","",$H1967-$H1967/(1+IFERROR(INDEX(PRODUCTOS!$E$6:$E$105,MATCH($C1967,PRODUCTOS!$A$6:$A$105,0)),IVA_VENTAS)))</f>
        <v/>
      </c>
      <c r="J1967" s="35" t="str">
        <f aca="false">IF($C1967="","",$H1967-$I1967)</f>
        <v/>
      </c>
      <c r="K1967" s="35" t="str">
        <f aca="false">IF($C1967="","",N($E1967)*IFERROR(INDEX(PRODUCTOS!$H$6:$H$105,MATCH($C1967,PRODUCTOS!$A$6:$A$105,0)),0))</f>
        <v/>
      </c>
      <c r="L1967" s="35" t="str">
        <f aca="false">IF($C1967="","",$J1967-$K1967)</f>
        <v/>
      </c>
      <c r="M1967" s="6"/>
      <c r="N1967" s="6"/>
      <c r="O1967" s="46" t="str">
        <f aca="false">IF($A1967="","",DATE(YEAR($A1967),MONTH($A1967),1))</f>
        <v/>
      </c>
    </row>
    <row r="1968" customFormat="false" ht="15" hidden="false" customHeight="false" outlineLevel="0" collapsed="false">
      <c r="A1968" s="44"/>
      <c r="B1968" s="6"/>
      <c r="C1968" s="6"/>
      <c r="D1968" s="8" t="str">
        <f aca="false">IF($C1968="","",IFERROR(INDEX(PRODUCTOS!$B$6:$B$105,MATCH($C1968,PRODUCTOS!$A$6:$A$105,0)),"¿Código?"))</f>
        <v/>
      </c>
      <c r="E1968" s="42"/>
      <c r="F1968" s="35" t="str">
        <f aca="false">IF($C1968="","",IFERROR(INDEX(PRODUCTOS!$D$6:$D$105,MATCH($C1968,PRODUCTOS!$A$6:$A$105,0)),0))</f>
        <v/>
      </c>
      <c r="G1968" s="40"/>
      <c r="H1968" s="35" t="str">
        <f aca="false">IF($C1968="","",N($E1968)*$F1968-N($G1968))</f>
        <v/>
      </c>
      <c r="I1968" s="35" t="str">
        <f aca="false">IF($C1968="","",$H1968-$H1968/(1+IFERROR(INDEX(PRODUCTOS!$E$6:$E$105,MATCH($C1968,PRODUCTOS!$A$6:$A$105,0)),IVA_VENTAS)))</f>
        <v/>
      </c>
      <c r="J1968" s="35" t="str">
        <f aca="false">IF($C1968="","",$H1968-$I1968)</f>
        <v/>
      </c>
      <c r="K1968" s="35" t="str">
        <f aca="false">IF($C1968="","",N($E1968)*IFERROR(INDEX(PRODUCTOS!$H$6:$H$105,MATCH($C1968,PRODUCTOS!$A$6:$A$105,0)),0))</f>
        <v/>
      </c>
      <c r="L1968" s="35" t="str">
        <f aca="false">IF($C1968="","",$J1968-$K1968)</f>
        <v/>
      </c>
      <c r="M1968" s="6"/>
      <c r="N1968" s="6"/>
      <c r="O1968" s="46" t="str">
        <f aca="false">IF($A1968="","",DATE(YEAR($A1968),MONTH($A1968),1))</f>
        <v/>
      </c>
    </row>
    <row r="1969" customFormat="false" ht="15" hidden="false" customHeight="false" outlineLevel="0" collapsed="false">
      <c r="A1969" s="44"/>
      <c r="B1969" s="6"/>
      <c r="C1969" s="6"/>
      <c r="D1969" s="8" t="str">
        <f aca="false">IF($C1969="","",IFERROR(INDEX(PRODUCTOS!$B$6:$B$105,MATCH($C1969,PRODUCTOS!$A$6:$A$105,0)),"¿Código?"))</f>
        <v/>
      </c>
      <c r="E1969" s="42"/>
      <c r="F1969" s="35" t="str">
        <f aca="false">IF($C1969="","",IFERROR(INDEX(PRODUCTOS!$D$6:$D$105,MATCH($C1969,PRODUCTOS!$A$6:$A$105,0)),0))</f>
        <v/>
      </c>
      <c r="G1969" s="40"/>
      <c r="H1969" s="35" t="str">
        <f aca="false">IF($C1969="","",N($E1969)*$F1969-N($G1969))</f>
        <v/>
      </c>
      <c r="I1969" s="35" t="str">
        <f aca="false">IF($C1969="","",$H1969-$H1969/(1+IFERROR(INDEX(PRODUCTOS!$E$6:$E$105,MATCH($C1969,PRODUCTOS!$A$6:$A$105,0)),IVA_VENTAS)))</f>
        <v/>
      </c>
      <c r="J1969" s="35" t="str">
        <f aca="false">IF($C1969="","",$H1969-$I1969)</f>
        <v/>
      </c>
      <c r="K1969" s="35" t="str">
        <f aca="false">IF($C1969="","",N($E1969)*IFERROR(INDEX(PRODUCTOS!$H$6:$H$105,MATCH($C1969,PRODUCTOS!$A$6:$A$105,0)),0))</f>
        <v/>
      </c>
      <c r="L1969" s="35" t="str">
        <f aca="false">IF($C1969="","",$J1969-$K1969)</f>
        <v/>
      </c>
      <c r="M1969" s="6"/>
      <c r="N1969" s="6"/>
      <c r="O1969" s="46" t="str">
        <f aca="false">IF($A1969="","",DATE(YEAR($A1969),MONTH($A1969),1))</f>
        <v/>
      </c>
    </row>
    <row r="1970" customFormat="false" ht="15" hidden="false" customHeight="false" outlineLevel="0" collapsed="false">
      <c r="A1970" s="44"/>
      <c r="B1970" s="6"/>
      <c r="C1970" s="6"/>
      <c r="D1970" s="8" t="str">
        <f aca="false">IF($C1970="","",IFERROR(INDEX(PRODUCTOS!$B$6:$B$105,MATCH($C1970,PRODUCTOS!$A$6:$A$105,0)),"¿Código?"))</f>
        <v/>
      </c>
      <c r="E1970" s="42"/>
      <c r="F1970" s="35" t="str">
        <f aca="false">IF($C1970="","",IFERROR(INDEX(PRODUCTOS!$D$6:$D$105,MATCH($C1970,PRODUCTOS!$A$6:$A$105,0)),0))</f>
        <v/>
      </c>
      <c r="G1970" s="40"/>
      <c r="H1970" s="35" t="str">
        <f aca="false">IF($C1970="","",N($E1970)*$F1970-N($G1970))</f>
        <v/>
      </c>
      <c r="I1970" s="35" t="str">
        <f aca="false">IF($C1970="","",$H1970-$H1970/(1+IFERROR(INDEX(PRODUCTOS!$E$6:$E$105,MATCH($C1970,PRODUCTOS!$A$6:$A$105,0)),IVA_VENTAS)))</f>
        <v/>
      </c>
      <c r="J1970" s="35" t="str">
        <f aca="false">IF($C1970="","",$H1970-$I1970)</f>
        <v/>
      </c>
      <c r="K1970" s="35" t="str">
        <f aca="false">IF($C1970="","",N($E1970)*IFERROR(INDEX(PRODUCTOS!$H$6:$H$105,MATCH($C1970,PRODUCTOS!$A$6:$A$105,0)),0))</f>
        <v/>
      </c>
      <c r="L1970" s="35" t="str">
        <f aca="false">IF($C1970="","",$J1970-$K1970)</f>
        <v/>
      </c>
      <c r="M1970" s="6"/>
      <c r="N1970" s="6"/>
      <c r="O1970" s="46" t="str">
        <f aca="false">IF($A1970="","",DATE(YEAR($A1970),MONTH($A1970),1))</f>
        <v/>
      </c>
    </row>
    <row r="1971" customFormat="false" ht="15" hidden="false" customHeight="false" outlineLevel="0" collapsed="false">
      <c r="A1971" s="44"/>
      <c r="B1971" s="6"/>
      <c r="C1971" s="6"/>
      <c r="D1971" s="8" t="str">
        <f aca="false">IF($C1971="","",IFERROR(INDEX(PRODUCTOS!$B$6:$B$105,MATCH($C1971,PRODUCTOS!$A$6:$A$105,0)),"¿Código?"))</f>
        <v/>
      </c>
      <c r="E1971" s="42"/>
      <c r="F1971" s="35" t="str">
        <f aca="false">IF($C1971="","",IFERROR(INDEX(PRODUCTOS!$D$6:$D$105,MATCH($C1971,PRODUCTOS!$A$6:$A$105,0)),0))</f>
        <v/>
      </c>
      <c r="G1971" s="40"/>
      <c r="H1971" s="35" t="str">
        <f aca="false">IF($C1971="","",N($E1971)*$F1971-N($G1971))</f>
        <v/>
      </c>
      <c r="I1971" s="35" t="str">
        <f aca="false">IF($C1971="","",$H1971-$H1971/(1+IFERROR(INDEX(PRODUCTOS!$E$6:$E$105,MATCH($C1971,PRODUCTOS!$A$6:$A$105,0)),IVA_VENTAS)))</f>
        <v/>
      </c>
      <c r="J1971" s="35" t="str">
        <f aca="false">IF($C1971="","",$H1971-$I1971)</f>
        <v/>
      </c>
      <c r="K1971" s="35" t="str">
        <f aca="false">IF($C1971="","",N($E1971)*IFERROR(INDEX(PRODUCTOS!$H$6:$H$105,MATCH($C1971,PRODUCTOS!$A$6:$A$105,0)),0))</f>
        <v/>
      </c>
      <c r="L1971" s="35" t="str">
        <f aca="false">IF($C1971="","",$J1971-$K1971)</f>
        <v/>
      </c>
      <c r="M1971" s="6"/>
      <c r="N1971" s="6"/>
      <c r="O1971" s="46" t="str">
        <f aca="false">IF($A1971="","",DATE(YEAR($A1971),MONTH($A1971),1))</f>
        <v/>
      </c>
    </row>
    <row r="1972" customFormat="false" ht="15" hidden="false" customHeight="false" outlineLevel="0" collapsed="false">
      <c r="A1972" s="44"/>
      <c r="B1972" s="6"/>
      <c r="C1972" s="6"/>
      <c r="D1972" s="8" t="str">
        <f aca="false">IF($C1972="","",IFERROR(INDEX(PRODUCTOS!$B$6:$B$105,MATCH($C1972,PRODUCTOS!$A$6:$A$105,0)),"¿Código?"))</f>
        <v/>
      </c>
      <c r="E1972" s="42"/>
      <c r="F1972" s="35" t="str">
        <f aca="false">IF($C1972="","",IFERROR(INDEX(PRODUCTOS!$D$6:$D$105,MATCH($C1972,PRODUCTOS!$A$6:$A$105,0)),0))</f>
        <v/>
      </c>
      <c r="G1972" s="40"/>
      <c r="H1972" s="35" t="str">
        <f aca="false">IF($C1972="","",N($E1972)*$F1972-N($G1972))</f>
        <v/>
      </c>
      <c r="I1972" s="35" t="str">
        <f aca="false">IF($C1972="","",$H1972-$H1972/(1+IFERROR(INDEX(PRODUCTOS!$E$6:$E$105,MATCH($C1972,PRODUCTOS!$A$6:$A$105,0)),IVA_VENTAS)))</f>
        <v/>
      </c>
      <c r="J1972" s="35" t="str">
        <f aca="false">IF($C1972="","",$H1972-$I1972)</f>
        <v/>
      </c>
      <c r="K1972" s="35" t="str">
        <f aca="false">IF($C1972="","",N($E1972)*IFERROR(INDEX(PRODUCTOS!$H$6:$H$105,MATCH($C1972,PRODUCTOS!$A$6:$A$105,0)),0))</f>
        <v/>
      </c>
      <c r="L1972" s="35" t="str">
        <f aca="false">IF($C1972="","",$J1972-$K1972)</f>
        <v/>
      </c>
      <c r="M1972" s="6"/>
      <c r="N1972" s="6"/>
      <c r="O1972" s="46" t="str">
        <f aca="false">IF($A1972="","",DATE(YEAR($A1972),MONTH($A1972),1))</f>
        <v/>
      </c>
    </row>
    <row r="1973" customFormat="false" ht="15" hidden="false" customHeight="false" outlineLevel="0" collapsed="false">
      <c r="A1973" s="44"/>
      <c r="B1973" s="6"/>
      <c r="C1973" s="6"/>
      <c r="D1973" s="8" t="str">
        <f aca="false">IF($C1973="","",IFERROR(INDEX(PRODUCTOS!$B$6:$B$105,MATCH($C1973,PRODUCTOS!$A$6:$A$105,0)),"¿Código?"))</f>
        <v/>
      </c>
      <c r="E1973" s="42"/>
      <c r="F1973" s="35" t="str">
        <f aca="false">IF($C1973="","",IFERROR(INDEX(PRODUCTOS!$D$6:$D$105,MATCH($C1973,PRODUCTOS!$A$6:$A$105,0)),0))</f>
        <v/>
      </c>
      <c r="G1973" s="40"/>
      <c r="H1973" s="35" t="str">
        <f aca="false">IF($C1973="","",N($E1973)*$F1973-N($G1973))</f>
        <v/>
      </c>
      <c r="I1973" s="35" t="str">
        <f aca="false">IF($C1973="","",$H1973-$H1973/(1+IFERROR(INDEX(PRODUCTOS!$E$6:$E$105,MATCH($C1973,PRODUCTOS!$A$6:$A$105,0)),IVA_VENTAS)))</f>
        <v/>
      </c>
      <c r="J1973" s="35" t="str">
        <f aca="false">IF($C1973="","",$H1973-$I1973)</f>
        <v/>
      </c>
      <c r="K1973" s="35" t="str">
        <f aca="false">IF($C1973="","",N($E1973)*IFERROR(INDEX(PRODUCTOS!$H$6:$H$105,MATCH($C1973,PRODUCTOS!$A$6:$A$105,0)),0))</f>
        <v/>
      </c>
      <c r="L1973" s="35" t="str">
        <f aca="false">IF($C1973="","",$J1973-$K1973)</f>
        <v/>
      </c>
      <c r="M1973" s="6"/>
      <c r="N1973" s="6"/>
      <c r="O1973" s="46" t="str">
        <f aca="false">IF($A1973="","",DATE(YEAR($A1973),MONTH($A1973),1))</f>
        <v/>
      </c>
    </row>
    <row r="1974" customFormat="false" ht="15" hidden="false" customHeight="false" outlineLevel="0" collapsed="false">
      <c r="A1974" s="44"/>
      <c r="B1974" s="6"/>
      <c r="C1974" s="6"/>
      <c r="D1974" s="8" t="str">
        <f aca="false">IF($C1974="","",IFERROR(INDEX(PRODUCTOS!$B$6:$B$105,MATCH($C1974,PRODUCTOS!$A$6:$A$105,0)),"¿Código?"))</f>
        <v/>
      </c>
      <c r="E1974" s="42"/>
      <c r="F1974" s="35" t="str">
        <f aca="false">IF($C1974="","",IFERROR(INDEX(PRODUCTOS!$D$6:$D$105,MATCH($C1974,PRODUCTOS!$A$6:$A$105,0)),0))</f>
        <v/>
      </c>
      <c r="G1974" s="40"/>
      <c r="H1974" s="35" t="str">
        <f aca="false">IF($C1974="","",N($E1974)*$F1974-N($G1974))</f>
        <v/>
      </c>
      <c r="I1974" s="35" t="str">
        <f aca="false">IF($C1974="","",$H1974-$H1974/(1+IFERROR(INDEX(PRODUCTOS!$E$6:$E$105,MATCH($C1974,PRODUCTOS!$A$6:$A$105,0)),IVA_VENTAS)))</f>
        <v/>
      </c>
      <c r="J1974" s="35" t="str">
        <f aca="false">IF($C1974="","",$H1974-$I1974)</f>
        <v/>
      </c>
      <c r="K1974" s="35" t="str">
        <f aca="false">IF($C1974="","",N($E1974)*IFERROR(INDEX(PRODUCTOS!$H$6:$H$105,MATCH($C1974,PRODUCTOS!$A$6:$A$105,0)),0))</f>
        <v/>
      </c>
      <c r="L1974" s="35" t="str">
        <f aca="false">IF($C1974="","",$J1974-$K1974)</f>
        <v/>
      </c>
      <c r="M1974" s="6"/>
      <c r="N1974" s="6"/>
      <c r="O1974" s="46" t="str">
        <f aca="false">IF($A1974="","",DATE(YEAR($A1974),MONTH($A1974),1))</f>
        <v/>
      </c>
    </row>
    <row r="1975" customFormat="false" ht="15" hidden="false" customHeight="false" outlineLevel="0" collapsed="false">
      <c r="A1975" s="44"/>
      <c r="B1975" s="6"/>
      <c r="C1975" s="6"/>
      <c r="D1975" s="8" t="str">
        <f aca="false">IF($C1975="","",IFERROR(INDEX(PRODUCTOS!$B$6:$B$105,MATCH($C1975,PRODUCTOS!$A$6:$A$105,0)),"¿Código?"))</f>
        <v/>
      </c>
      <c r="E1975" s="42"/>
      <c r="F1975" s="35" t="str">
        <f aca="false">IF($C1975="","",IFERROR(INDEX(PRODUCTOS!$D$6:$D$105,MATCH($C1975,PRODUCTOS!$A$6:$A$105,0)),0))</f>
        <v/>
      </c>
      <c r="G1975" s="40"/>
      <c r="H1975" s="35" t="str">
        <f aca="false">IF($C1975="","",N($E1975)*$F1975-N($G1975))</f>
        <v/>
      </c>
      <c r="I1975" s="35" t="str">
        <f aca="false">IF($C1975="","",$H1975-$H1975/(1+IFERROR(INDEX(PRODUCTOS!$E$6:$E$105,MATCH($C1975,PRODUCTOS!$A$6:$A$105,0)),IVA_VENTAS)))</f>
        <v/>
      </c>
      <c r="J1975" s="35" t="str">
        <f aca="false">IF($C1975="","",$H1975-$I1975)</f>
        <v/>
      </c>
      <c r="K1975" s="35" t="str">
        <f aca="false">IF($C1975="","",N($E1975)*IFERROR(INDEX(PRODUCTOS!$H$6:$H$105,MATCH($C1975,PRODUCTOS!$A$6:$A$105,0)),0))</f>
        <v/>
      </c>
      <c r="L1975" s="35" t="str">
        <f aca="false">IF($C1975="","",$J1975-$K1975)</f>
        <v/>
      </c>
      <c r="M1975" s="6"/>
      <c r="N1975" s="6"/>
      <c r="O1975" s="46" t="str">
        <f aca="false">IF($A1975="","",DATE(YEAR($A1975),MONTH($A1975),1))</f>
        <v/>
      </c>
    </row>
    <row r="1976" customFormat="false" ht="15" hidden="false" customHeight="false" outlineLevel="0" collapsed="false">
      <c r="A1976" s="44"/>
      <c r="B1976" s="6"/>
      <c r="C1976" s="6"/>
      <c r="D1976" s="8" t="str">
        <f aca="false">IF($C1976="","",IFERROR(INDEX(PRODUCTOS!$B$6:$B$105,MATCH($C1976,PRODUCTOS!$A$6:$A$105,0)),"¿Código?"))</f>
        <v/>
      </c>
      <c r="E1976" s="42"/>
      <c r="F1976" s="35" t="str">
        <f aca="false">IF($C1976="","",IFERROR(INDEX(PRODUCTOS!$D$6:$D$105,MATCH($C1976,PRODUCTOS!$A$6:$A$105,0)),0))</f>
        <v/>
      </c>
      <c r="G1976" s="40"/>
      <c r="H1976" s="35" t="str">
        <f aca="false">IF($C1976="","",N($E1976)*$F1976-N($G1976))</f>
        <v/>
      </c>
      <c r="I1976" s="35" t="str">
        <f aca="false">IF($C1976="","",$H1976-$H1976/(1+IFERROR(INDEX(PRODUCTOS!$E$6:$E$105,MATCH($C1976,PRODUCTOS!$A$6:$A$105,0)),IVA_VENTAS)))</f>
        <v/>
      </c>
      <c r="J1976" s="35" t="str">
        <f aca="false">IF($C1976="","",$H1976-$I1976)</f>
        <v/>
      </c>
      <c r="K1976" s="35" t="str">
        <f aca="false">IF($C1976="","",N($E1976)*IFERROR(INDEX(PRODUCTOS!$H$6:$H$105,MATCH($C1976,PRODUCTOS!$A$6:$A$105,0)),0))</f>
        <v/>
      </c>
      <c r="L1976" s="35" t="str">
        <f aca="false">IF($C1976="","",$J1976-$K1976)</f>
        <v/>
      </c>
      <c r="M1976" s="6"/>
      <c r="N1976" s="6"/>
      <c r="O1976" s="46" t="str">
        <f aca="false">IF($A1976="","",DATE(YEAR($A1976),MONTH($A1976),1))</f>
        <v/>
      </c>
    </row>
    <row r="1977" customFormat="false" ht="15" hidden="false" customHeight="false" outlineLevel="0" collapsed="false">
      <c r="A1977" s="44"/>
      <c r="B1977" s="6"/>
      <c r="C1977" s="6"/>
      <c r="D1977" s="8" t="str">
        <f aca="false">IF($C1977="","",IFERROR(INDEX(PRODUCTOS!$B$6:$B$105,MATCH($C1977,PRODUCTOS!$A$6:$A$105,0)),"¿Código?"))</f>
        <v/>
      </c>
      <c r="E1977" s="42"/>
      <c r="F1977" s="35" t="str">
        <f aca="false">IF($C1977="","",IFERROR(INDEX(PRODUCTOS!$D$6:$D$105,MATCH($C1977,PRODUCTOS!$A$6:$A$105,0)),0))</f>
        <v/>
      </c>
      <c r="G1977" s="40"/>
      <c r="H1977" s="35" t="str">
        <f aca="false">IF($C1977="","",N($E1977)*$F1977-N($G1977))</f>
        <v/>
      </c>
      <c r="I1977" s="35" t="str">
        <f aca="false">IF($C1977="","",$H1977-$H1977/(1+IFERROR(INDEX(PRODUCTOS!$E$6:$E$105,MATCH($C1977,PRODUCTOS!$A$6:$A$105,0)),IVA_VENTAS)))</f>
        <v/>
      </c>
      <c r="J1977" s="35" t="str">
        <f aca="false">IF($C1977="","",$H1977-$I1977)</f>
        <v/>
      </c>
      <c r="K1977" s="35" t="str">
        <f aca="false">IF($C1977="","",N($E1977)*IFERROR(INDEX(PRODUCTOS!$H$6:$H$105,MATCH($C1977,PRODUCTOS!$A$6:$A$105,0)),0))</f>
        <v/>
      </c>
      <c r="L1977" s="35" t="str">
        <f aca="false">IF($C1977="","",$J1977-$K1977)</f>
        <v/>
      </c>
      <c r="M1977" s="6"/>
      <c r="N1977" s="6"/>
      <c r="O1977" s="46" t="str">
        <f aca="false">IF($A1977="","",DATE(YEAR($A1977),MONTH($A1977),1))</f>
        <v/>
      </c>
    </row>
    <row r="1978" customFormat="false" ht="15" hidden="false" customHeight="false" outlineLevel="0" collapsed="false">
      <c r="A1978" s="44"/>
      <c r="B1978" s="6"/>
      <c r="C1978" s="6"/>
      <c r="D1978" s="8" t="str">
        <f aca="false">IF($C1978="","",IFERROR(INDEX(PRODUCTOS!$B$6:$B$105,MATCH($C1978,PRODUCTOS!$A$6:$A$105,0)),"¿Código?"))</f>
        <v/>
      </c>
      <c r="E1978" s="42"/>
      <c r="F1978" s="35" t="str">
        <f aca="false">IF($C1978="","",IFERROR(INDEX(PRODUCTOS!$D$6:$D$105,MATCH($C1978,PRODUCTOS!$A$6:$A$105,0)),0))</f>
        <v/>
      </c>
      <c r="G1978" s="40"/>
      <c r="H1978" s="35" t="str">
        <f aca="false">IF($C1978="","",N($E1978)*$F1978-N($G1978))</f>
        <v/>
      </c>
      <c r="I1978" s="35" t="str">
        <f aca="false">IF($C1978="","",$H1978-$H1978/(1+IFERROR(INDEX(PRODUCTOS!$E$6:$E$105,MATCH($C1978,PRODUCTOS!$A$6:$A$105,0)),IVA_VENTAS)))</f>
        <v/>
      </c>
      <c r="J1978" s="35" t="str">
        <f aca="false">IF($C1978="","",$H1978-$I1978)</f>
        <v/>
      </c>
      <c r="K1978" s="35" t="str">
        <f aca="false">IF($C1978="","",N($E1978)*IFERROR(INDEX(PRODUCTOS!$H$6:$H$105,MATCH($C1978,PRODUCTOS!$A$6:$A$105,0)),0))</f>
        <v/>
      </c>
      <c r="L1978" s="35" t="str">
        <f aca="false">IF($C1978="","",$J1978-$K1978)</f>
        <v/>
      </c>
      <c r="M1978" s="6"/>
      <c r="N1978" s="6"/>
      <c r="O1978" s="46" t="str">
        <f aca="false">IF($A1978="","",DATE(YEAR($A1978),MONTH($A1978),1))</f>
        <v/>
      </c>
    </row>
    <row r="1979" customFormat="false" ht="15" hidden="false" customHeight="false" outlineLevel="0" collapsed="false">
      <c r="A1979" s="44"/>
      <c r="B1979" s="6"/>
      <c r="C1979" s="6"/>
      <c r="D1979" s="8" t="str">
        <f aca="false">IF($C1979="","",IFERROR(INDEX(PRODUCTOS!$B$6:$B$105,MATCH($C1979,PRODUCTOS!$A$6:$A$105,0)),"¿Código?"))</f>
        <v/>
      </c>
      <c r="E1979" s="42"/>
      <c r="F1979" s="35" t="str">
        <f aca="false">IF($C1979="","",IFERROR(INDEX(PRODUCTOS!$D$6:$D$105,MATCH($C1979,PRODUCTOS!$A$6:$A$105,0)),0))</f>
        <v/>
      </c>
      <c r="G1979" s="40"/>
      <c r="H1979" s="35" t="str">
        <f aca="false">IF($C1979="","",N($E1979)*$F1979-N($G1979))</f>
        <v/>
      </c>
      <c r="I1979" s="35" t="str">
        <f aca="false">IF($C1979="","",$H1979-$H1979/(1+IFERROR(INDEX(PRODUCTOS!$E$6:$E$105,MATCH($C1979,PRODUCTOS!$A$6:$A$105,0)),IVA_VENTAS)))</f>
        <v/>
      </c>
      <c r="J1979" s="35" t="str">
        <f aca="false">IF($C1979="","",$H1979-$I1979)</f>
        <v/>
      </c>
      <c r="K1979" s="35" t="str">
        <f aca="false">IF($C1979="","",N($E1979)*IFERROR(INDEX(PRODUCTOS!$H$6:$H$105,MATCH($C1979,PRODUCTOS!$A$6:$A$105,0)),0))</f>
        <v/>
      </c>
      <c r="L1979" s="35" t="str">
        <f aca="false">IF($C1979="","",$J1979-$K1979)</f>
        <v/>
      </c>
      <c r="M1979" s="6"/>
      <c r="N1979" s="6"/>
      <c r="O1979" s="46" t="str">
        <f aca="false">IF($A1979="","",DATE(YEAR($A1979),MONTH($A1979),1))</f>
        <v/>
      </c>
    </row>
    <row r="1980" customFormat="false" ht="15" hidden="false" customHeight="false" outlineLevel="0" collapsed="false">
      <c r="A1980" s="44"/>
      <c r="B1980" s="6"/>
      <c r="C1980" s="6"/>
      <c r="D1980" s="8" t="str">
        <f aca="false">IF($C1980="","",IFERROR(INDEX(PRODUCTOS!$B$6:$B$105,MATCH($C1980,PRODUCTOS!$A$6:$A$105,0)),"¿Código?"))</f>
        <v/>
      </c>
      <c r="E1980" s="42"/>
      <c r="F1980" s="35" t="str">
        <f aca="false">IF($C1980="","",IFERROR(INDEX(PRODUCTOS!$D$6:$D$105,MATCH($C1980,PRODUCTOS!$A$6:$A$105,0)),0))</f>
        <v/>
      </c>
      <c r="G1980" s="40"/>
      <c r="H1980" s="35" t="str">
        <f aca="false">IF($C1980="","",N($E1980)*$F1980-N($G1980))</f>
        <v/>
      </c>
      <c r="I1980" s="35" t="str">
        <f aca="false">IF($C1980="","",$H1980-$H1980/(1+IFERROR(INDEX(PRODUCTOS!$E$6:$E$105,MATCH($C1980,PRODUCTOS!$A$6:$A$105,0)),IVA_VENTAS)))</f>
        <v/>
      </c>
      <c r="J1980" s="35" t="str">
        <f aca="false">IF($C1980="","",$H1980-$I1980)</f>
        <v/>
      </c>
      <c r="K1980" s="35" t="str">
        <f aca="false">IF($C1980="","",N($E1980)*IFERROR(INDEX(PRODUCTOS!$H$6:$H$105,MATCH($C1980,PRODUCTOS!$A$6:$A$105,0)),0))</f>
        <v/>
      </c>
      <c r="L1980" s="35" t="str">
        <f aca="false">IF($C1980="","",$J1980-$K1980)</f>
        <v/>
      </c>
      <c r="M1980" s="6"/>
      <c r="N1980" s="6"/>
      <c r="O1980" s="46" t="str">
        <f aca="false">IF($A1980="","",DATE(YEAR($A1980),MONTH($A1980),1))</f>
        <v/>
      </c>
    </row>
    <row r="1981" customFormat="false" ht="15" hidden="false" customHeight="false" outlineLevel="0" collapsed="false">
      <c r="A1981" s="44"/>
      <c r="B1981" s="6"/>
      <c r="C1981" s="6"/>
      <c r="D1981" s="8" t="str">
        <f aca="false">IF($C1981="","",IFERROR(INDEX(PRODUCTOS!$B$6:$B$105,MATCH($C1981,PRODUCTOS!$A$6:$A$105,0)),"¿Código?"))</f>
        <v/>
      </c>
      <c r="E1981" s="42"/>
      <c r="F1981" s="35" t="str">
        <f aca="false">IF($C1981="","",IFERROR(INDEX(PRODUCTOS!$D$6:$D$105,MATCH($C1981,PRODUCTOS!$A$6:$A$105,0)),0))</f>
        <v/>
      </c>
      <c r="G1981" s="40"/>
      <c r="H1981" s="35" t="str">
        <f aca="false">IF($C1981="","",N($E1981)*$F1981-N($G1981))</f>
        <v/>
      </c>
      <c r="I1981" s="35" t="str">
        <f aca="false">IF($C1981="","",$H1981-$H1981/(1+IFERROR(INDEX(PRODUCTOS!$E$6:$E$105,MATCH($C1981,PRODUCTOS!$A$6:$A$105,0)),IVA_VENTAS)))</f>
        <v/>
      </c>
      <c r="J1981" s="35" t="str">
        <f aca="false">IF($C1981="","",$H1981-$I1981)</f>
        <v/>
      </c>
      <c r="K1981" s="35" t="str">
        <f aca="false">IF($C1981="","",N($E1981)*IFERROR(INDEX(PRODUCTOS!$H$6:$H$105,MATCH($C1981,PRODUCTOS!$A$6:$A$105,0)),0))</f>
        <v/>
      </c>
      <c r="L1981" s="35" t="str">
        <f aca="false">IF($C1981="","",$J1981-$K1981)</f>
        <v/>
      </c>
      <c r="M1981" s="6"/>
      <c r="N1981" s="6"/>
      <c r="O1981" s="46" t="str">
        <f aca="false">IF($A1981="","",DATE(YEAR($A1981),MONTH($A1981),1))</f>
        <v/>
      </c>
    </row>
    <row r="1982" customFormat="false" ht="15" hidden="false" customHeight="false" outlineLevel="0" collapsed="false">
      <c r="A1982" s="44"/>
      <c r="B1982" s="6"/>
      <c r="C1982" s="6"/>
      <c r="D1982" s="8" t="str">
        <f aca="false">IF($C1982="","",IFERROR(INDEX(PRODUCTOS!$B$6:$B$105,MATCH($C1982,PRODUCTOS!$A$6:$A$105,0)),"¿Código?"))</f>
        <v/>
      </c>
      <c r="E1982" s="42"/>
      <c r="F1982" s="35" t="str">
        <f aca="false">IF($C1982="","",IFERROR(INDEX(PRODUCTOS!$D$6:$D$105,MATCH($C1982,PRODUCTOS!$A$6:$A$105,0)),0))</f>
        <v/>
      </c>
      <c r="G1982" s="40"/>
      <c r="H1982" s="35" t="str">
        <f aca="false">IF($C1982="","",N($E1982)*$F1982-N($G1982))</f>
        <v/>
      </c>
      <c r="I1982" s="35" t="str">
        <f aca="false">IF($C1982="","",$H1982-$H1982/(1+IFERROR(INDEX(PRODUCTOS!$E$6:$E$105,MATCH($C1982,PRODUCTOS!$A$6:$A$105,0)),IVA_VENTAS)))</f>
        <v/>
      </c>
      <c r="J1982" s="35" t="str">
        <f aca="false">IF($C1982="","",$H1982-$I1982)</f>
        <v/>
      </c>
      <c r="K1982" s="35" t="str">
        <f aca="false">IF($C1982="","",N($E1982)*IFERROR(INDEX(PRODUCTOS!$H$6:$H$105,MATCH($C1982,PRODUCTOS!$A$6:$A$105,0)),0))</f>
        <v/>
      </c>
      <c r="L1982" s="35" t="str">
        <f aca="false">IF($C1982="","",$J1982-$K1982)</f>
        <v/>
      </c>
      <c r="M1982" s="6"/>
      <c r="N1982" s="6"/>
      <c r="O1982" s="46" t="str">
        <f aca="false">IF($A1982="","",DATE(YEAR($A1982),MONTH($A1982),1))</f>
        <v/>
      </c>
    </row>
    <row r="1983" customFormat="false" ht="15" hidden="false" customHeight="false" outlineLevel="0" collapsed="false">
      <c r="A1983" s="44"/>
      <c r="B1983" s="6"/>
      <c r="C1983" s="6"/>
      <c r="D1983" s="8" t="str">
        <f aca="false">IF($C1983="","",IFERROR(INDEX(PRODUCTOS!$B$6:$B$105,MATCH($C1983,PRODUCTOS!$A$6:$A$105,0)),"¿Código?"))</f>
        <v/>
      </c>
      <c r="E1983" s="42"/>
      <c r="F1983" s="35" t="str">
        <f aca="false">IF($C1983="","",IFERROR(INDEX(PRODUCTOS!$D$6:$D$105,MATCH($C1983,PRODUCTOS!$A$6:$A$105,0)),0))</f>
        <v/>
      </c>
      <c r="G1983" s="40"/>
      <c r="H1983" s="35" t="str">
        <f aca="false">IF($C1983="","",N($E1983)*$F1983-N($G1983))</f>
        <v/>
      </c>
      <c r="I1983" s="35" t="str">
        <f aca="false">IF($C1983="","",$H1983-$H1983/(1+IFERROR(INDEX(PRODUCTOS!$E$6:$E$105,MATCH($C1983,PRODUCTOS!$A$6:$A$105,0)),IVA_VENTAS)))</f>
        <v/>
      </c>
      <c r="J1983" s="35" t="str">
        <f aca="false">IF($C1983="","",$H1983-$I1983)</f>
        <v/>
      </c>
      <c r="K1983" s="35" t="str">
        <f aca="false">IF($C1983="","",N($E1983)*IFERROR(INDEX(PRODUCTOS!$H$6:$H$105,MATCH($C1983,PRODUCTOS!$A$6:$A$105,0)),0))</f>
        <v/>
      </c>
      <c r="L1983" s="35" t="str">
        <f aca="false">IF($C1983="","",$J1983-$K1983)</f>
        <v/>
      </c>
      <c r="M1983" s="6"/>
      <c r="N1983" s="6"/>
      <c r="O1983" s="46" t="str">
        <f aca="false">IF($A1983="","",DATE(YEAR($A1983),MONTH($A1983),1))</f>
        <v/>
      </c>
    </row>
    <row r="1984" customFormat="false" ht="15" hidden="false" customHeight="false" outlineLevel="0" collapsed="false">
      <c r="A1984" s="44"/>
      <c r="B1984" s="6"/>
      <c r="C1984" s="6"/>
      <c r="D1984" s="8" t="str">
        <f aca="false">IF($C1984="","",IFERROR(INDEX(PRODUCTOS!$B$6:$B$105,MATCH($C1984,PRODUCTOS!$A$6:$A$105,0)),"¿Código?"))</f>
        <v/>
      </c>
      <c r="E1984" s="42"/>
      <c r="F1984" s="35" t="str">
        <f aca="false">IF($C1984="","",IFERROR(INDEX(PRODUCTOS!$D$6:$D$105,MATCH($C1984,PRODUCTOS!$A$6:$A$105,0)),0))</f>
        <v/>
      </c>
      <c r="G1984" s="40"/>
      <c r="H1984" s="35" t="str">
        <f aca="false">IF($C1984="","",N($E1984)*$F1984-N($G1984))</f>
        <v/>
      </c>
      <c r="I1984" s="35" t="str">
        <f aca="false">IF($C1984="","",$H1984-$H1984/(1+IFERROR(INDEX(PRODUCTOS!$E$6:$E$105,MATCH($C1984,PRODUCTOS!$A$6:$A$105,0)),IVA_VENTAS)))</f>
        <v/>
      </c>
      <c r="J1984" s="35" t="str">
        <f aca="false">IF($C1984="","",$H1984-$I1984)</f>
        <v/>
      </c>
      <c r="K1984" s="35" t="str">
        <f aca="false">IF($C1984="","",N($E1984)*IFERROR(INDEX(PRODUCTOS!$H$6:$H$105,MATCH($C1984,PRODUCTOS!$A$6:$A$105,0)),0))</f>
        <v/>
      </c>
      <c r="L1984" s="35" t="str">
        <f aca="false">IF($C1984="","",$J1984-$K1984)</f>
        <v/>
      </c>
      <c r="M1984" s="6"/>
      <c r="N1984" s="6"/>
      <c r="O1984" s="46" t="str">
        <f aca="false">IF($A1984="","",DATE(YEAR($A1984),MONTH($A1984),1))</f>
        <v/>
      </c>
    </row>
    <row r="1985" customFormat="false" ht="15" hidden="false" customHeight="false" outlineLevel="0" collapsed="false">
      <c r="A1985" s="44"/>
      <c r="B1985" s="6"/>
      <c r="C1985" s="6"/>
      <c r="D1985" s="8" t="str">
        <f aca="false">IF($C1985="","",IFERROR(INDEX(PRODUCTOS!$B$6:$B$105,MATCH($C1985,PRODUCTOS!$A$6:$A$105,0)),"¿Código?"))</f>
        <v/>
      </c>
      <c r="E1985" s="42"/>
      <c r="F1985" s="35" t="str">
        <f aca="false">IF($C1985="","",IFERROR(INDEX(PRODUCTOS!$D$6:$D$105,MATCH($C1985,PRODUCTOS!$A$6:$A$105,0)),0))</f>
        <v/>
      </c>
      <c r="G1985" s="40"/>
      <c r="H1985" s="35" t="str">
        <f aca="false">IF($C1985="","",N($E1985)*$F1985-N($G1985))</f>
        <v/>
      </c>
      <c r="I1985" s="35" t="str">
        <f aca="false">IF($C1985="","",$H1985-$H1985/(1+IFERROR(INDEX(PRODUCTOS!$E$6:$E$105,MATCH($C1985,PRODUCTOS!$A$6:$A$105,0)),IVA_VENTAS)))</f>
        <v/>
      </c>
      <c r="J1985" s="35" t="str">
        <f aca="false">IF($C1985="","",$H1985-$I1985)</f>
        <v/>
      </c>
      <c r="K1985" s="35" t="str">
        <f aca="false">IF($C1985="","",N($E1985)*IFERROR(INDEX(PRODUCTOS!$H$6:$H$105,MATCH($C1985,PRODUCTOS!$A$6:$A$105,0)),0))</f>
        <v/>
      </c>
      <c r="L1985" s="35" t="str">
        <f aca="false">IF($C1985="","",$J1985-$K1985)</f>
        <v/>
      </c>
      <c r="M1985" s="6"/>
      <c r="N1985" s="6"/>
      <c r="O1985" s="46" t="str">
        <f aca="false">IF($A1985="","",DATE(YEAR($A1985),MONTH($A1985),1))</f>
        <v/>
      </c>
    </row>
    <row r="1986" customFormat="false" ht="15" hidden="false" customHeight="false" outlineLevel="0" collapsed="false">
      <c r="A1986" s="44"/>
      <c r="B1986" s="6"/>
      <c r="C1986" s="6"/>
      <c r="D1986" s="8" t="str">
        <f aca="false">IF($C1986="","",IFERROR(INDEX(PRODUCTOS!$B$6:$B$105,MATCH($C1986,PRODUCTOS!$A$6:$A$105,0)),"¿Código?"))</f>
        <v/>
      </c>
      <c r="E1986" s="42"/>
      <c r="F1986" s="35" t="str">
        <f aca="false">IF($C1986="","",IFERROR(INDEX(PRODUCTOS!$D$6:$D$105,MATCH($C1986,PRODUCTOS!$A$6:$A$105,0)),0))</f>
        <v/>
      </c>
      <c r="G1986" s="40"/>
      <c r="H1986" s="35" t="str">
        <f aca="false">IF($C1986="","",N($E1986)*$F1986-N($G1986))</f>
        <v/>
      </c>
      <c r="I1986" s="35" t="str">
        <f aca="false">IF($C1986="","",$H1986-$H1986/(1+IFERROR(INDEX(PRODUCTOS!$E$6:$E$105,MATCH($C1986,PRODUCTOS!$A$6:$A$105,0)),IVA_VENTAS)))</f>
        <v/>
      </c>
      <c r="J1986" s="35" t="str">
        <f aca="false">IF($C1986="","",$H1986-$I1986)</f>
        <v/>
      </c>
      <c r="K1986" s="35" t="str">
        <f aca="false">IF($C1986="","",N($E1986)*IFERROR(INDEX(PRODUCTOS!$H$6:$H$105,MATCH($C1986,PRODUCTOS!$A$6:$A$105,0)),0))</f>
        <v/>
      </c>
      <c r="L1986" s="35" t="str">
        <f aca="false">IF($C1986="","",$J1986-$K1986)</f>
        <v/>
      </c>
      <c r="M1986" s="6"/>
      <c r="N1986" s="6"/>
      <c r="O1986" s="46" t="str">
        <f aca="false">IF($A1986="","",DATE(YEAR($A1986),MONTH($A1986),1))</f>
        <v/>
      </c>
    </row>
    <row r="1987" customFormat="false" ht="15" hidden="false" customHeight="false" outlineLevel="0" collapsed="false">
      <c r="A1987" s="44"/>
      <c r="B1987" s="6"/>
      <c r="C1987" s="6"/>
      <c r="D1987" s="8" t="str">
        <f aca="false">IF($C1987="","",IFERROR(INDEX(PRODUCTOS!$B$6:$B$105,MATCH($C1987,PRODUCTOS!$A$6:$A$105,0)),"¿Código?"))</f>
        <v/>
      </c>
      <c r="E1987" s="42"/>
      <c r="F1987" s="35" t="str">
        <f aca="false">IF($C1987="","",IFERROR(INDEX(PRODUCTOS!$D$6:$D$105,MATCH($C1987,PRODUCTOS!$A$6:$A$105,0)),0))</f>
        <v/>
      </c>
      <c r="G1987" s="40"/>
      <c r="H1987" s="35" t="str">
        <f aca="false">IF($C1987="","",N($E1987)*$F1987-N($G1987))</f>
        <v/>
      </c>
      <c r="I1987" s="35" t="str">
        <f aca="false">IF($C1987="","",$H1987-$H1987/(1+IFERROR(INDEX(PRODUCTOS!$E$6:$E$105,MATCH($C1987,PRODUCTOS!$A$6:$A$105,0)),IVA_VENTAS)))</f>
        <v/>
      </c>
      <c r="J1987" s="35" t="str">
        <f aca="false">IF($C1987="","",$H1987-$I1987)</f>
        <v/>
      </c>
      <c r="K1987" s="35" t="str">
        <f aca="false">IF($C1987="","",N($E1987)*IFERROR(INDEX(PRODUCTOS!$H$6:$H$105,MATCH($C1987,PRODUCTOS!$A$6:$A$105,0)),0))</f>
        <v/>
      </c>
      <c r="L1987" s="35" t="str">
        <f aca="false">IF($C1987="","",$J1987-$K1987)</f>
        <v/>
      </c>
      <c r="M1987" s="6"/>
      <c r="N1987" s="6"/>
      <c r="O1987" s="46" t="str">
        <f aca="false">IF($A1987="","",DATE(YEAR($A1987),MONTH($A1987),1))</f>
        <v/>
      </c>
    </row>
    <row r="1988" customFormat="false" ht="15" hidden="false" customHeight="false" outlineLevel="0" collapsed="false">
      <c r="A1988" s="44"/>
      <c r="B1988" s="6"/>
      <c r="C1988" s="6"/>
      <c r="D1988" s="8" t="str">
        <f aca="false">IF($C1988="","",IFERROR(INDEX(PRODUCTOS!$B$6:$B$105,MATCH($C1988,PRODUCTOS!$A$6:$A$105,0)),"¿Código?"))</f>
        <v/>
      </c>
      <c r="E1988" s="42"/>
      <c r="F1988" s="35" t="str">
        <f aca="false">IF($C1988="","",IFERROR(INDEX(PRODUCTOS!$D$6:$D$105,MATCH($C1988,PRODUCTOS!$A$6:$A$105,0)),0))</f>
        <v/>
      </c>
      <c r="G1988" s="40"/>
      <c r="H1988" s="35" t="str">
        <f aca="false">IF($C1988="","",N($E1988)*$F1988-N($G1988))</f>
        <v/>
      </c>
      <c r="I1988" s="35" t="str">
        <f aca="false">IF($C1988="","",$H1988-$H1988/(1+IFERROR(INDEX(PRODUCTOS!$E$6:$E$105,MATCH($C1988,PRODUCTOS!$A$6:$A$105,0)),IVA_VENTAS)))</f>
        <v/>
      </c>
      <c r="J1988" s="35" t="str">
        <f aca="false">IF($C1988="","",$H1988-$I1988)</f>
        <v/>
      </c>
      <c r="K1988" s="35" t="str">
        <f aca="false">IF($C1988="","",N($E1988)*IFERROR(INDEX(PRODUCTOS!$H$6:$H$105,MATCH($C1988,PRODUCTOS!$A$6:$A$105,0)),0))</f>
        <v/>
      </c>
      <c r="L1988" s="35" t="str">
        <f aca="false">IF($C1988="","",$J1988-$K1988)</f>
        <v/>
      </c>
      <c r="M1988" s="6"/>
      <c r="N1988" s="6"/>
      <c r="O1988" s="46" t="str">
        <f aca="false">IF($A1988="","",DATE(YEAR($A1988),MONTH($A1988),1))</f>
        <v/>
      </c>
    </row>
    <row r="1989" customFormat="false" ht="15" hidden="false" customHeight="false" outlineLevel="0" collapsed="false">
      <c r="A1989" s="44"/>
      <c r="B1989" s="6"/>
      <c r="C1989" s="6"/>
      <c r="D1989" s="8" t="str">
        <f aca="false">IF($C1989="","",IFERROR(INDEX(PRODUCTOS!$B$6:$B$105,MATCH($C1989,PRODUCTOS!$A$6:$A$105,0)),"¿Código?"))</f>
        <v/>
      </c>
      <c r="E1989" s="42"/>
      <c r="F1989" s="35" t="str">
        <f aca="false">IF($C1989="","",IFERROR(INDEX(PRODUCTOS!$D$6:$D$105,MATCH($C1989,PRODUCTOS!$A$6:$A$105,0)),0))</f>
        <v/>
      </c>
      <c r="G1989" s="40"/>
      <c r="H1989" s="35" t="str">
        <f aca="false">IF($C1989="","",N($E1989)*$F1989-N($G1989))</f>
        <v/>
      </c>
      <c r="I1989" s="35" t="str">
        <f aca="false">IF($C1989="","",$H1989-$H1989/(1+IFERROR(INDEX(PRODUCTOS!$E$6:$E$105,MATCH($C1989,PRODUCTOS!$A$6:$A$105,0)),IVA_VENTAS)))</f>
        <v/>
      </c>
      <c r="J1989" s="35" t="str">
        <f aca="false">IF($C1989="","",$H1989-$I1989)</f>
        <v/>
      </c>
      <c r="K1989" s="35" t="str">
        <f aca="false">IF($C1989="","",N($E1989)*IFERROR(INDEX(PRODUCTOS!$H$6:$H$105,MATCH($C1989,PRODUCTOS!$A$6:$A$105,0)),0))</f>
        <v/>
      </c>
      <c r="L1989" s="35" t="str">
        <f aca="false">IF($C1989="","",$J1989-$K1989)</f>
        <v/>
      </c>
      <c r="M1989" s="6"/>
      <c r="N1989" s="6"/>
      <c r="O1989" s="46" t="str">
        <f aca="false">IF($A1989="","",DATE(YEAR($A1989),MONTH($A1989),1))</f>
        <v/>
      </c>
    </row>
    <row r="1990" customFormat="false" ht="15" hidden="false" customHeight="false" outlineLevel="0" collapsed="false">
      <c r="A1990" s="44"/>
      <c r="B1990" s="6"/>
      <c r="C1990" s="6"/>
      <c r="D1990" s="8" t="str">
        <f aca="false">IF($C1990="","",IFERROR(INDEX(PRODUCTOS!$B$6:$B$105,MATCH($C1990,PRODUCTOS!$A$6:$A$105,0)),"¿Código?"))</f>
        <v/>
      </c>
      <c r="E1990" s="42"/>
      <c r="F1990" s="35" t="str">
        <f aca="false">IF($C1990="","",IFERROR(INDEX(PRODUCTOS!$D$6:$D$105,MATCH($C1990,PRODUCTOS!$A$6:$A$105,0)),0))</f>
        <v/>
      </c>
      <c r="G1990" s="40"/>
      <c r="H1990" s="35" t="str">
        <f aca="false">IF($C1990="","",N($E1990)*$F1990-N($G1990))</f>
        <v/>
      </c>
      <c r="I1990" s="35" t="str">
        <f aca="false">IF($C1990="","",$H1990-$H1990/(1+IFERROR(INDEX(PRODUCTOS!$E$6:$E$105,MATCH($C1990,PRODUCTOS!$A$6:$A$105,0)),IVA_VENTAS)))</f>
        <v/>
      </c>
      <c r="J1990" s="35" t="str">
        <f aca="false">IF($C1990="","",$H1990-$I1990)</f>
        <v/>
      </c>
      <c r="K1990" s="35" t="str">
        <f aca="false">IF($C1990="","",N($E1990)*IFERROR(INDEX(PRODUCTOS!$H$6:$H$105,MATCH($C1990,PRODUCTOS!$A$6:$A$105,0)),0))</f>
        <v/>
      </c>
      <c r="L1990" s="35" t="str">
        <f aca="false">IF($C1990="","",$J1990-$K1990)</f>
        <v/>
      </c>
      <c r="M1990" s="6"/>
      <c r="N1990" s="6"/>
      <c r="O1990" s="46" t="str">
        <f aca="false">IF($A1990="","",DATE(YEAR($A1990),MONTH($A1990),1))</f>
        <v/>
      </c>
    </row>
    <row r="1991" customFormat="false" ht="15" hidden="false" customHeight="false" outlineLevel="0" collapsed="false">
      <c r="A1991" s="44"/>
      <c r="B1991" s="6"/>
      <c r="C1991" s="6"/>
      <c r="D1991" s="8" t="str">
        <f aca="false">IF($C1991="","",IFERROR(INDEX(PRODUCTOS!$B$6:$B$105,MATCH($C1991,PRODUCTOS!$A$6:$A$105,0)),"¿Código?"))</f>
        <v/>
      </c>
      <c r="E1991" s="42"/>
      <c r="F1991" s="35" t="str">
        <f aca="false">IF($C1991="","",IFERROR(INDEX(PRODUCTOS!$D$6:$D$105,MATCH($C1991,PRODUCTOS!$A$6:$A$105,0)),0))</f>
        <v/>
      </c>
      <c r="G1991" s="40"/>
      <c r="H1991" s="35" t="str">
        <f aca="false">IF($C1991="","",N($E1991)*$F1991-N($G1991))</f>
        <v/>
      </c>
      <c r="I1991" s="35" t="str">
        <f aca="false">IF($C1991="","",$H1991-$H1991/(1+IFERROR(INDEX(PRODUCTOS!$E$6:$E$105,MATCH($C1991,PRODUCTOS!$A$6:$A$105,0)),IVA_VENTAS)))</f>
        <v/>
      </c>
      <c r="J1991" s="35" t="str">
        <f aca="false">IF($C1991="","",$H1991-$I1991)</f>
        <v/>
      </c>
      <c r="K1991" s="35" t="str">
        <f aca="false">IF($C1991="","",N($E1991)*IFERROR(INDEX(PRODUCTOS!$H$6:$H$105,MATCH($C1991,PRODUCTOS!$A$6:$A$105,0)),0))</f>
        <v/>
      </c>
      <c r="L1991" s="35" t="str">
        <f aca="false">IF($C1991="","",$J1991-$K1991)</f>
        <v/>
      </c>
      <c r="M1991" s="6"/>
      <c r="N1991" s="6"/>
      <c r="O1991" s="46" t="str">
        <f aca="false">IF($A1991="","",DATE(YEAR($A1991),MONTH($A1991),1))</f>
        <v/>
      </c>
    </row>
    <row r="1992" customFormat="false" ht="15" hidden="false" customHeight="false" outlineLevel="0" collapsed="false">
      <c r="A1992" s="44"/>
      <c r="B1992" s="6"/>
      <c r="C1992" s="6"/>
      <c r="D1992" s="8" t="str">
        <f aca="false">IF($C1992="","",IFERROR(INDEX(PRODUCTOS!$B$6:$B$105,MATCH($C1992,PRODUCTOS!$A$6:$A$105,0)),"¿Código?"))</f>
        <v/>
      </c>
      <c r="E1992" s="42"/>
      <c r="F1992" s="35" t="str">
        <f aca="false">IF($C1992="","",IFERROR(INDEX(PRODUCTOS!$D$6:$D$105,MATCH($C1992,PRODUCTOS!$A$6:$A$105,0)),0))</f>
        <v/>
      </c>
      <c r="G1992" s="40"/>
      <c r="H1992" s="35" t="str">
        <f aca="false">IF($C1992="","",N($E1992)*$F1992-N($G1992))</f>
        <v/>
      </c>
      <c r="I1992" s="35" t="str">
        <f aca="false">IF($C1992="","",$H1992-$H1992/(1+IFERROR(INDEX(PRODUCTOS!$E$6:$E$105,MATCH($C1992,PRODUCTOS!$A$6:$A$105,0)),IVA_VENTAS)))</f>
        <v/>
      </c>
      <c r="J1992" s="35" t="str">
        <f aca="false">IF($C1992="","",$H1992-$I1992)</f>
        <v/>
      </c>
      <c r="K1992" s="35" t="str">
        <f aca="false">IF($C1992="","",N($E1992)*IFERROR(INDEX(PRODUCTOS!$H$6:$H$105,MATCH($C1992,PRODUCTOS!$A$6:$A$105,0)),0))</f>
        <v/>
      </c>
      <c r="L1992" s="35" t="str">
        <f aca="false">IF($C1992="","",$J1992-$K1992)</f>
        <v/>
      </c>
      <c r="M1992" s="6"/>
      <c r="N1992" s="6"/>
      <c r="O1992" s="46" t="str">
        <f aca="false">IF($A1992="","",DATE(YEAR($A1992),MONTH($A1992),1))</f>
        <v/>
      </c>
    </row>
    <row r="1993" customFormat="false" ht="15" hidden="false" customHeight="false" outlineLevel="0" collapsed="false">
      <c r="A1993" s="44"/>
      <c r="B1993" s="6"/>
      <c r="C1993" s="6"/>
      <c r="D1993" s="8" t="str">
        <f aca="false">IF($C1993="","",IFERROR(INDEX(PRODUCTOS!$B$6:$B$105,MATCH($C1993,PRODUCTOS!$A$6:$A$105,0)),"¿Código?"))</f>
        <v/>
      </c>
      <c r="E1993" s="42"/>
      <c r="F1993" s="35" t="str">
        <f aca="false">IF($C1993="","",IFERROR(INDEX(PRODUCTOS!$D$6:$D$105,MATCH($C1993,PRODUCTOS!$A$6:$A$105,0)),0))</f>
        <v/>
      </c>
      <c r="G1993" s="40"/>
      <c r="H1993" s="35" t="str">
        <f aca="false">IF($C1993="","",N($E1993)*$F1993-N($G1993))</f>
        <v/>
      </c>
      <c r="I1993" s="35" t="str">
        <f aca="false">IF($C1993="","",$H1993-$H1993/(1+IFERROR(INDEX(PRODUCTOS!$E$6:$E$105,MATCH($C1993,PRODUCTOS!$A$6:$A$105,0)),IVA_VENTAS)))</f>
        <v/>
      </c>
      <c r="J1993" s="35" t="str">
        <f aca="false">IF($C1993="","",$H1993-$I1993)</f>
        <v/>
      </c>
      <c r="K1993" s="35" t="str">
        <f aca="false">IF($C1993="","",N($E1993)*IFERROR(INDEX(PRODUCTOS!$H$6:$H$105,MATCH($C1993,PRODUCTOS!$A$6:$A$105,0)),0))</f>
        <v/>
      </c>
      <c r="L1993" s="35" t="str">
        <f aca="false">IF($C1993="","",$J1993-$K1993)</f>
        <v/>
      </c>
      <c r="M1993" s="6"/>
      <c r="N1993" s="6"/>
      <c r="O1993" s="46" t="str">
        <f aca="false">IF($A1993="","",DATE(YEAR($A1993),MONTH($A1993),1))</f>
        <v/>
      </c>
    </row>
    <row r="1994" customFormat="false" ht="15" hidden="false" customHeight="false" outlineLevel="0" collapsed="false">
      <c r="A1994" s="44"/>
      <c r="B1994" s="6"/>
      <c r="C1994" s="6"/>
      <c r="D1994" s="8" t="str">
        <f aca="false">IF($C1994="","",IFERROR(INDEX(PRODUCTOS!$B$6:$B$105,MATCH($C1994,PRODUCTOS!$A$6:$A$105,0)),"¿Código?"))</f>
        <v/>
      </c>
      <c r="E1994" s="42"/>
      <c r="F1994" s="35" t="str">
        <f aca="false">IF($C1994="","",IFERROR(INDEX(PRODUCTOS!$D$6:$D$105,MATCH($C1994,PRODUCTOS!$A$6:$A$105,0)),0))</f>
        <v/>
      </c>
      <c r="G1994" s="40"/>
      <c r="H1994" s="35" t="str">
        <f aca="false">IF($C1994="","",N($E1994)*$F1994-N($G1994))</f>
        <v/>
      </c>
      <c r="I1994" s="35" t="str">
        <f aca="false">IF($C1994="","",$H1994-$H1994/(1+IFERROR(INDEX(PRODUCTOS!$E$6:$E$105,MATCH($C1994,PRODUCTOS!$A$6:$A$105,0)),IVA_VENTAS)))</f>
        <v/>
      </c>
      <c r="J1994" s="35" t="str">
        <f aca="false">IF($C1994="","",$H1994-$I1994)</f>
        <v/>
      </c>
      <c r="K1994" s="35" t="str">
        <f aca="false">IF($C1994="","",N($E1994)*IFERROR(INDEX(PRODUCTOS!$H$6:$H$105,MATCH($C1994,PRODUCTOS!$A$6:$A$105,0)),0))</f>
        <v/>
      </c>
      <c r="L1994" s="35" t="str">
        <f aca="false">IF($C1994="","",$J1994-$K1994)</f>
        <v/>
      </c>
      <c r="M1994" s="6"/>
      <c r="N1994" s="6"/>
      <c r="O1994" s="46" t="str">
        <f aca="false">IF($A1994="","",DATE(YEAR($A1994),MONTH($A1994),1))</f>
        <v/>
      </c>
    </row>
    <row r="1995" customFormat="false" ht="15" hidden="false" customHeight="false" outlineLevel="0" collapsed="false">
      <c r="A1995" s="44"/>
      <c r="B1995" s="6"/>
      <c r="C1995" s="6"/>
      <c r="D1995" s="8" t="str">
        <f aca="false">IF($C1995="","",IFERROR(INDEX(PRODUCTOS!$B$6:$B$105,MATCH($C1995,PRODUCTOS!$A$6:$A$105,0)),"¿Código?"))</f>
        <v/>
      </c>
      <c r="E1995" s="42"/>
      <c r="F1995" s="35" t="str">
        <f aca="false">IF($C1995="","",IFERROR(INDEX(PRODUCTOS!$D$6:$D$105,MATCH($C1995,PRODUCTOS!$A$6:$A$105,0)),0))</f>
        <v/>
      </c>
      <c r="G1995" s="40"/>
      <c r="H1995" s="35" t="str">
        <f aca="false">IF($C1995="","",N($E1995)*$F1995-N($G1995))</f>
        <v/>
      </c>
      <c r="I1995" s="35" t="str">
        <f aca="false">IF($C1995="","",$H1995-$H1995/(1+IFERROR(INDEX(PRODUCTOS!$E$6:$E$105,MATCH($C1995,PRODUCTOS!$A$6:$A$105,0)),IVA_VENTAS)))</f>
        <v/>
      </c>
      <c r="J1995" s="35" t="str">
        <f aca="false">IF($C1995="","",$H1995-$I1995)</f>
        <v/>
      </c>
      <c r="K1995" s="35" t="str">
        <f aca="false">IF($C1995="","",N($E1995)*IFERROR(INDEX(PRODUCTOS!$H$6:$H$105,MATCH($C1995,PRODUCTOS!$A$6:$A$105,0)),0))</f>
        <v/>
      </c>
      <c r="L1995" s="35" t="str">
        <f aca="false">IF($C1995="","",$J1995-$K1995)</f>
        <v/>
      </c>
      <c r="M1995" s="6"/>
      <c r="N1995" s="6"/>
      <c r="O1995" s="46" t="str">
        <f aca="false">IF($A1995="","",DATE(YEAR($A1995),MONTH($A1995),1))</f>
        <v/>
      </c>
    </row>
    <row r="1996" customFormat="false" ht="15" hidden="false" customHeight="false" outlineLevel="0" collapsed="false">
      <c r="A1996" s="44"/>
      <c r="B1996" s="6"/>
      <c r="C1996" s="6"/>
      <c r="D1996" s="8" t="str">
        <f aca="false">IF($C1996="","",IFERROR(INDEX(PRODUCTOS!$B$6:$B$105,MATCH($C1996,PRODUCTOS!$A$6:$A$105,0)),"¿Código?"))</f>
        <v/>
      </c>
      <c r="E1996" s="42"/>
      <c r="F1996" s="35" t="str">
        <f aca="false">IF($C1996="","",IFERROR(INDEX(PRODUCTOS!$D$6:$D$105,MATCH($C1996,PRODUCTOS!$A$6:$A$105,0)),0))</f>
        <v/>
      </c>
      <c r="G1996" s="40"/>
      <c r="H1996" s="35" t="str">
        <f aca="false">IF($C1996="","",N($E1996)*$F1996-N($G1996))</f>
        <v/>
      </c>
      <c r="I1996" s="35" t="str">
        <f aca="false">IF($C1996="","",$H1996-$H1996/(1+IFERROR(INDEX(PRODUCTOS!$E$6:$E$105,MATCH($C1996,PRODUCTOS!$A$6:$A$105,0)),IVA_VENTAS)))</f>
        <v/>
      </c>
      <c r="J1996" s="35" t="str">
        <f aca="false">IF($C1996="","",$H1996-$I1996)</f>
        <v/>
      </c>
      <c r="K1996" s="35" t="str">
        <f aca="false">IF($C1996="","",N($E1996)*IFERROR(INDEX(PRODUCTOS!$H$6:$H$105,MATCH($C1996,PRODUCTOS!$A$6:$A$105,0)),0))</f>
        <v/>
      </c>
      <c r="L1996" s="35" t="str">
        <f aca="false">IF($C1996="","",$J1996-$K1996)</f>
        <v/>
      </c>
      <c r="M1996" s="6"/>
      <c r="N1996" s="6"/>
      <c r="O1996" s="46" t="str">
        <f aca="false">IF($A1996="","",DATE(YEAR($A1996),MONTH($A1996),1))</f>
        <v/>
      </c>
    </row>
    <row r="1997" customFormat="false" ht="15" hidden="false" customHeight="false" outlineLevel="0" collapsed="false">
      <c r="A1997" s="44"/>
      <c r="B1997" s="6"/>
      <c r="C1997" s="6"/>
      <c r="D1997" s="8" t="str">
        <f aca="false">IF($C1997="","",IFERROR(INDEX(PRODUCTOS!$B$6:$B$105,MATCH($C1997,PRODUCTOS!$A$6:$A$105,0)),"¿Código?"))</f>
        <v/>
      </c>
      <c r="E1997" s="42"/>
      <c r="F1997" s="35" t="str">
        <f aca="false">IF($C1997="","",IFERROR(INDEX(PRODUCTOS!$D$6:$D$105,MATCH($C1997,PRODUCTOS!$A$6:$A$105,0)),0))</f>
        <v/>
      </c>
      <c r="G1997" s="40"/>
      <c r="H1997" s="35" t="str">
        <f aca="false">IF($C1997="","",N($E1997)*$F1997-N($G1997))</f>
        <v/>
      </c>
      <c r="I1997" s="35" t="str">
        <f aca="false">IF($C1997="","",$H1997-$H1997/(1+IFERROR(INDEX(PRODUCTOS!$E$6:$E$105,MATCH($C1997,PRODUCTOS!$A$6:$A$105,0)),IVA_VENTAS)))</f>
        <v/>
      </c>
      <c r="J1997" s="35" t="str">
        <f aca="false">IF($C1997="","",$H1997-$I1997)</f>
        <v/>
      </c>
      <c r="K1997" s="35" t="str">
        <f aca="false">IF($C1997="","",N($E1997)*IFERROR(INDEX(PRODUCTOS!$H$6:$H$105,MATCH($C1997,PRODUCTOS!$A$6:$A$105,0)),0))</f>
        <v/>
      </c>
      <c r="L1997" s="35" t="str">
        <f aca="false">IF($C1997="","",$J1997-$K1997)</f>
        <v/>
      </c>
      <c r="M1997" s="6"/>
      <c r="N1997" s="6"/>
      <c r="O1997" s="46" t="str">
        <f aca="false">IF($A1997="","",DATE(YEAR($A1997),MONTH($A1997),1))</f>
        <v/>
      </c>
    </row>
    <row r="1998" customFormat="false" ht="15" hidden="false" customHeight="false" outlineLevel="0" collapsed="false">
      <c r="A1998" s="44"/>
      <c r="B1998" s="6"/>
      <c r="C1998" s="6"/>
      <c r="D1998" s="8" t="str">
        <f aca="false">IF($C1998="","",IFERROR(INDEX(PRODUCTOS!$B$6:$B$105,MATCH($C1998,PRODUCTOS!$A$6:$A$105,0)),"¿Código?"))</f>
        <v/>
      </c>
      <c r="E1998" s="42"/>
      <c r="F1998" s="35" t="str">
        <f aca="false">IF($C1998="","",IFERROR(INDEX(PRODUCTOS!$D$6:$D$105,MATCH($C1998,PRODUCTOS!$A$6:$A$105,0)),0))</f>
        <v/>
      </c>
      <c r="G1998" s="40"/>
      <c r="H1998" s="35" t="str">
        <f aca="false">IF($C1998="","",N($E1998)*$F1998-N($G1998))</f>
        <v/>
      </c>
      <c r="I1998" s="35" t="str">
        <f aca="false">IF($C1998="","",$H1998-$H1998/(1+IFERROR(INDEX(PRODUCTOS!$E$6:$E$105,MATCH($C1998,PRODUCTOS!$A$6:$A$105,0)),IVA_VENTAS)))</f>
        <v/>
      </c>
      <c r="J1998" s="35" t="str">
        <f aca="false">IF($C1998="","",$H1998-$I1998)</f>
        <v/>
      </c>
      <c r="K1998" s="35" t="str">
        <f aca="false">IF($C1998="","",N($E1998)*IFERROR(INDEX(PRODUCTOS!$H$6:$H$105,MATCH($C1998,PRODUCTOS!$A$6:$A$105,0)),0))</f>
        <v/>
      </c>
      <c r="L1998" s="35" t="str">
        <f aca="false">IF($C1998="","",$J1998-$K1998)</f>
        <v/>
      </c>
      <c r="M1998" s="6"/>
      <c r="N1998" s="6"/>
      <c r="O1998" s="46" t="str">
        <f aca="false">IF($A1998="","",DATE(YEAR($A1998),MONTH($A1998),1))</f>
        <v/>
      </c>
    </row>
    <row r="1999" customFormat="false" ht="15" hidden="false" customHeight="false" outlineLevel="0" collapsed="false">
      <c r="A1999" s="44"/>
      <c r="B1999" s="6"/>
      <c r="C1999" s="6"/>
      <c r="D1999" s="8" t="str">
        <f aca="false">IF($C1999="","",IFERROR(INDEX(PRODUCTOS!$B$6:$B$105,MATCH($C1999,PRODUCTOS!$A$6:$A$105,0)),"¿Código?"))</f>
        <v/>
      </c>
      <c r="E1999" s="42"/>
      <c r="F1999" s="35" t="str">
        <f aca="false">IF($C1999="","",IFERROR(INDEX(PRODUCTOS!$D$6:$D$105,MATCH($C1999,PRODUCTOS!$A$6:$A$105,0)),0))</f>
        <v/>
      </c>
      <c r="G1999" s="40"/>
      <c r="H1999" s="35" t="str">
        <f aca="false">IF($C1999="","",N($E1999)*$F1999-N($G1999))</f>
        <v/>
      </c>
      <c r="I1999" s="35" t="str">
        <f aca="false">IF($C1999="","",$H1999-$H1999/(1+IFERROR(INDEX(PRODUCTOS!$E$6:$E$105,MATCH($C1999,PRODUCTOS!$A$6:$A$105,0)),IVA_VENTAS)))</f>
        <v/>
      </c>
      <c r="J1999" s="35" t="str">
        <f aca="false">IF($C1999="","",$H1999-$I1999)</f>
        <v/>
      </c>
      <c r="K1999" s="35" t="str">
        <f aca="false">IF($C1999="","",N($E1999)*IFERROR(INDEX(PRODUCTOS!$H$6:$H$105,MATCH($C1999,PRODUCTOS!$A$6:$A$105,0)),0))</f>
        <v/>
      </c>
      <c r="L1999" s="35" t="str">
        <f aca="false">IF($C1999="","",$J1999-$K1999)</f>
        <v/>
      </c>
      <c r="M1999" s="6"/>
      <c r="N1999" s="6"/>
      <c r="O1999" s="46" t="str">
        <f aca="false">IF($A1999="","",DATE(YEAR($A1999),MONTH($A1999),1))</f>
        <v/>
      </c>
    </row>
    <row r="2000" customFormat="false" ht="15" hidden="false" customHeight="false" outlineLevel="0" collapsed="false">
      <c r="A2000" s="44"/>
      <c r="B2000" s="6"/>
      <c r="C2000" s="6"/>
      <c r="D2000" s="8" t="str">
        <f aca="false">IF($C2000="","",IFERROR(INDEX(PRODUCTOS!$B$6:$B$105,MATCH($C2000,PRODUCTOS!$A$6:$A$105,0)),"¿Código?"))</f>
        <v/>
      </c>
      <c r="E2000" s="42"/>
      <c r="F2000" s="35" t="str">
        <f aca="false">IF($C2000="","",IFERROR(INDEX(PRODUCTOS!$D$6:$D$105,MATCH($C2000,PRODUCTOS!$A$6:$A$105,0)),0))</f>
        <v/>
      </c>
      <c r="G2000" s="40"/>
      <c r="H2000" s="35" t="str">
        <f aca="false">IF($C2000="","",N($E2000)*$F2000-N($G2000))</f>
        <v/>
      </c>
      <c r="I2000" s="35" t="str">
        <f aca="false">IF($C2000="","",$H2000-$H2000/(1+IFERROR(INDEX(PRODUCTOS!$E$6:$E$105,MATCH($C2000,PRODUCTOS!$A$6:$A$105,0)),IVA_VENTAS)))</f>
        <v/>
      </c>
      <c r="J2000" s="35" t="str">
        <f aca="false">IF($C2000="","",$H2000-$I2000)</f>
        <v/>
      </c>
      <c r="K2000" s="35" t="str">
        <f aca="false">IF($C2000="","",N($E2000)*IFERROR(INDEX(PRODUCTOS!$H$6:$H$105,MATCH($C2000,PRODUCTOS!$A$6:$A$105,0)),0))</f>
        <v/>
      </c>
      <c r="L2000" s="35" t="str">
        <f aca="false">IF($C2000="","",$J2000-$K2000)</f>
        <v/>
      </c>
      <c r="M2000" s="6"/>
      <c r="N2000" s="6"/>
      <c r="O2000" s="46" t="str">
        <f aca="false">IF($A2000="","",DATE(YEAR($A2000),MONTH($A2000),1))</f>
        <v/>
      </c>
    </row>
    <row r="2001" customFormat="false" ht="15" hidden="false" customHeight="false" outlineLevel="0" collapsed="false">
      <c r="A2001" s="44"/>
      <c r="B2001" s="6"/>
      <c r="C2001" s="6"/>
      <c r="D2001" s="8" t="str">
        <f aca="false">IF($C2001="","",IFERROR(INDEX(PRODUCTOS!$B$6:$B$105,MATCH($C2001,PRODUCTOS!$A$6:$A$105,0)),"¿Código?"))</f>
        <v/>
      </c>
      <c r="E2001" s="42"/>
      <c r="F2001" s="35" t="str">
        <f aca="false">IF($C2001="","",IFERROR(INDEX(PRODUCTOS!$D$6:$D$105,MATCH($C2001,PRODUCTOS!$A$6:$A$105,0)),0))</f>
        <v/>
      </c>
      <c r="G2001" s="40"/>
      <c r="H2001" s="35" t="str">
        <f aca="false">IF($C2001="","",N($E2001)*$F2001-N($G2001))</f>
        <v/>
      </c>
      <c r="I2001" s="35" t="str">
        <f aca="false">IF($C2001="","",$H2001-$H2001/(1+IFERROR(INDEX(PRODUCTOS!$E$6:$E$105,MATCH($C2001,PRODUCTOS!$A$6:$A$105,0)),IVA_VENTAS)))</f>
        <v/>
      </c>
      <c r="J2001" s="35" t="str">
        <f aca="false">IF($C2001="","",$H2001-$I2001)</f>
        <v/>
      </c>
      <c r="K2001" s="35" t="str">
        <f aca="false">IF($C2001="","",N($E2001)*IFERROR(INDEX(PRODUCTOS!$H$6:$H$105,MATCH($C2001,PRODUCTOS!$A$6:$A$105,0)),0))</f>
        <v/>
      </c>
      <c r="L2001" s="35" t="str">
        <f aca="false">IF($C2001="","",$J2001-$K2001)</f>
        <v/>
      </c>
      <c r="M2001" s="6"/>
      <c r="N2001" s="6"/>
      <c r="O2001" s="46" t="str">
        <f aca="false">IF($A2001="","",DATE(YEAR($A2001),MONTH($A2001),1))</f>
        <v/>
      </c>
    </row>
    <row r="2002" customFormat="false" ht="15" hidden="false" customHeight="false" outlineLevel="0" collapsed="false">
      <c r="A2002" s="44"/>
      <c r="B2002" s="6"/>
      <c r="C2002" s="6"/>
      <c r="D2002" s="8" t="str">
        <f aca="false">IF($C2002="","",IFERROR(INDEX(PRODUCTOS!$B$6:$B$105,MATCH($C2002,PRODUCTOS!$A$6:$A$105,0)),"¿Código?"))</f>
        <v/>
      </c>
      <c r="E2002" s="42"/>
      <c r="F2002" s="35" t="str">
        <f aca="false">IF($C2002="","",IFERROR(INDEX(PRODUCTOS!$D$6:$D$105,MATCH($C2002,PRODUCTOS!$A$6:$A$105,0)),0))</f>
        <v/>
      </c>
      <c r="G2002" s="40"/>
      <c r="H2002" s="35" t="str">
        <f aca="false">IF($C2002="","",N($E2002)*$F2002-N($G2002))</f>
        <v/>
      </c>
      <c r="I2002" s="35" t="str">
        <f aca="false">IF($C2002="","",$H2002-$H2002/(1+IFERROR(INDEX(PRODUCTOS!$E$6:$E$105,MATCH($C2002,PRODUCTOS!$A$6:$A$105,0)),IVA_VENTAS)))</f>
        <v/>
      </c>
      <c r="J2002" s="35" t="str">
        <f aca="false">IF($C2002="","",$H2002-$I2002)</f>
        <v/>
      </c>
      <c r="K2002" s="35" t="str">
        <f aca="false">IF($C2002="","",N($E2002)*IFERROR(INDEX(PRODUCTOS!$H$6:$H$105,MATCH($C2002,PRODUCTOS!$A$6:$A$105,0)),0))</f>
        <v/>
      </c>
      <c r="L2002" s="35" t="str">
        <f aca="false">IF($C2002="","",$J2002-$K2002)</f>
        <v/>
      </c>
      <c r="M2002" s="6"/>
      <c r="N2002" s="6"/>
      <c r="O2002" s="46" t="str">
        <f aca="false">IF($A2002="","",DATE(YEAR($A2002),MONTH($A2002),1))</f>
        <v/>
      </c>
    </row>
    <row r="2003" customFormat="false" ht="15" hidden="false" customHeight="false" outlineLevel="0" collapsed="false">
      <c r="A2003" s="44"/>
      <c r="B2003" s="6"/>
      <c r="C2003" s="6"/>
      <c r="D2003" s="8" t="str">
        <f aca="false">IF($C2003="","",IFERROR(INDEX(PRODUCTOS!$B$6:$B$105,MATCH($C2003,PRODUCTOS!$A$6:$A$105,0)),"¿Código?"))</f>
        <v/>
      </c>
      <c r="E2003" s="42"/>
      <c r="F2003" s="35" t="str">
        <f aca="false">IF($C2003="","",IFERROR(INDEX(PRODUCTOS!$D$6:$D$105,MATCH($C2003,PRODUCTOS!$A$6:$A$105,0)),0))</f>
        <v/>
      </c>
      <c r="G2003" s="40"/>
      <c r="H2003" s="35" t="str">
        <f aca="false">IF($C2003="","",N($E2003)*$F2003-N($G2003))</f>
        <v/>
      </c>
      <c r="I2003" s="35" t="str">
        <f aca="false">IF($C2003="","",$H2003-$H2003/(1+IFERROR(INDEX(PRODUCTOS!$E$6:$E$105,MATCH($C2003,PRODUCTOS!$A$6:$A$105,0)),IVA_VENTAS)))</f>
        <v/>
      </c>
      <c r="J2003" s="35" t="str">
        <f aca="false">IF($C2003="","",$H2003-$I2003)</f>
        <v/>
      </c>
      <c r="K2003" s="35" t="str">
        <f aca="false">IF($C2003="","",N($E2003)*IFERROR(INDEX(PRODUCTOS!$H$6:$H$105,MATCH($C2003,PRODUCTOS!$A$6:$A$105,0)),0))</f>
        <v/>
      </c>
      <c r="L2003" s="35" t="str">
        <f aca="false">IF($C2003="","",$J2003-$K2003)</f>
        <v/>
      </c>
      <c r="M2003" s="6"/>
      <c r="N2003" s="6"/>
      <c r="O2003" s="46" t="str">
        <f aca="false">IF($A2003="","",DATE(YEAR($A2003),MONTH($A2003),1))</f>
        <v/>
      </c>
    </row>
    <row r="2004" customFormat="false" ht="15" hidden="false" customHeight="false" outlineLevel="0" collapsed="false">
      <c r="A2004" s="44"/>
      <c r="B2004" s="6"/>
      <c r="C2004" s="6"/>
      <c r="D2004" s="8" t="str">
        <f aca="false">IF($C2004="","",IFERROR(INDEX(PRODUCTOS!$B$6:$B$105,MATCH($C2004,PRODUCTOS!$A$6:$A$105,0)),"¿Código?"))</f>
        <v/>
      </c>
      <c r="E2004" s="42"/>
      <c r="F2004" s="35" t="str">
        <f aca="false">IF($C2004="","",IFERROR(INDEX(PRODUCTOS!$D$6:$D$105,MATCH($C2004,PRODUCTOS!$A$6:$A$105,0)),0))</f>
        <v/>
      </c>
      <c r="G2004" s="40"/>
      <c r="H2004" s="35" t="str">
        <f aca="false">IF($C2004="","",N($E2004)*$F2004-N($G2004))</f>
        <v/>
      </c>
      <c r="I2004" s="35" t="str">
        <f aca="false">IF($C2004="","",$H2004-$H2004/(1+IFERROR(INDEX(PRODUCTOS!$E$6:$E$105,MATCH($C2004,PRODUCTOS!$A$6:$A$105,0)),IVA_VENTAS)))</f>
        <v/>
      </c>
      <c r="J2004" s="35" t="str">
        <f aca="false">IF($C2004="","",$H2004-$I2004)</f>
        <v/>
      </c>
      <c r="K2004" s="35" t="str">
        <f aca="false">IF($C2004="","",N($E2004)*IFERROR(INDEX(PRODUCTOS!$H$6:$H$105,MATCH($C2004,PRODUCTOS!$A$6:$A$105,0)),0))</f>
        <v/>
      </c>
      <c r="L2004" s="35" t="str">
        <f aca="false">IF($C2004="","",$J2004-$K2004)</f>
        <v/>
      </c>
      <c r="M2004" s="6"/>
      <c r="N2004" s="6"/>
      <c r="O2004" s="46" t="str">
        <f aca="false">IF($A2004="","",DATE(YEAR($A2004),MONTH($A2004),1))</f>
        <v/>
      </c>
    </row>
    <row r="2005" customFormat="false" ht="15" hidden="false" customHeight="false" outlineLevel="0" collapsed="false">
      <c r="A2005" s="44"/>
      <c r="B2005" s="6"/>
      <c r="C2005" s="6"/>
      <c r="D2005" s="8" t="str">
        <f aca="false">IF($C2005="","",IFERROR(INDEX(PRODUCTOS!$B$6:$B$105,MATCH($C2005,PRODUCTOS!$A$6:$A$105,0)),"¿Código?"))</f>
        <v/>
      </c>
      <c r="E2005" s="42"/>
      <c r="F2005" s="35" t="str">
        <f aca="false">IF($C2005="","",IFERROR(INDEX(PRODUCTOS!$D$6:$D$105,MATCH($C2005,PRODUCTOS!$A$6:$A$105,0)),0))</f>
        <v/>
      </c>
      <c r="G2005" s="40"/>
      <c r="H2005" s="35" t="str">
        <f aca="false">IF($C2005="","",N($E2005)*$F2005-N($G2005))</f>
        <v/>
      </c>
      <c r="I2005" s="35" t="str">
        <f aca="false">IF($C2005="","",$H2005-$H2005/(1+IFERROR(INDEX(PRODUCTOS!$E$6:$E$105,MATCH($C2005,PRODUCTOS!$A$6:$A$105,0)),IVA_VENTAS)))</f>
        <v/>
      </c>
      <c r="J2005" s="35" t="str">
        <f aca="false">IF($C2005="","",$H2005-$I2005)</f>
        <v/>
      </c>
      <c r="K2005" s="35" t="str">
        <f aca="false">IF($C2005="","",N($E2005)*IFERROR(INDEX(PRODUCTOS!$H$6:$H$105,MATCH($C2005,PRODUCTOS!$A$6:$A$105,0)),0))</f>
        <v/>
      </c>
      <c r="L2005" s="35" t="str">
        <f aca="false">IF($C2005="","",$J2005-$K2005)</f>
        <v/>
      </c>
      <c r="M2005" s="6"/>
      <c r="N2005" s="6"/>
      <c r="O2005" s="46" t="str">
        <f aca="false">IF($A2005="","",DATE(YEAR($A2005),MONTH($A2005),1))</f>
        <v/>
      </c>
    </row>
  </sheetData>
  <autoFilter ref="A5:O2005"/>
  <dataValidations count="3">
    <dataValidation allowBlank="true" error="Elija un valor de la lista" errorStyle="stop" operator="between" showDropDown="false" showErrorMessage="false" showInputMessage="false" sqref="C6:C2005" type="list">
      <formula1>PRODUCTOS!$A$6:$A$105</formula1>
      <formula2>0</formula2>
    </dataValidation>
    <dataValidation allowBlank="true" error="Elija un valor de la lista" errorStyle="stop" operator="between" showDropDown="false" showErrorMessage="false" showInputMessage="false" sqref="M6:M2005" type="list">
      <formula1>CONFIG!$I$6:$I$20</formula1>
      <formula2>0</formula2>
    </dataValidation>
    <dataValidation allowBlank="true" error="Elija un valor de la lista" errorStyle="stop" operator="between" showDropDown="false" showErrorMessage="false" showInputMessage="false" sqref="N6:N2005" type="list">
      <formula1>CONFIG!$K$6:$K$20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8B"/>
    <pageSetUpPr fitToPage="false"/>
  </sheetPr>
  <dimension ref="A1:L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9.7" hidden="false" customHeight="false" outlineLevel="0" collapsed="false">
      <c r="A1" s="1" t="s">
        <v>417</v>
      </c>
    </row>
    <row r="2" customFormat="false" ht="15" hidden="false" customHeight="false" outlineLevel="0" collapsed="false">
      <c r="A2" s="2" t="s">
        <v>418</v>
      </c>
    </row>
    <row r="5" customFormat="false" ht="42" hidden="false" customHeight="true" outlineLevel="0" collapsed="false">
      <c r="A5" s="16" t="s">
        <v>318</v>
      </c>
      <c r="B5" s="16" t="s">
        <v>320</v>
      </c>
      <c r="C5" s="15" t="s">
        <v>191</v>
      </c>
      <c r="D5" s="15" t="s">
        <v>340</v>
      </c>
      <c r="E5" s="16" t="s">
        <v>419</v>
      </c>
      <c r="F5" s="16" t="s">
        <v>420</v>
      </c>
      <c r="G5" s="16" t="s">
        <v>421</v>
      </c>
      <c r="H5" s="16" t="s">
        <v>422</v>
      </c>
      <c r="I5" s="15" t="s">
        <v>329</v>
      </c>
      <c r="J5" s="15" t="s">
        <v>423</v>
      </c>
      <c r="K5" s="15" t="s">
        <v>424</v>
      </c>
      <c r="L5" s="15" t="s">
        <v>331</v>
      </c>
    </row>
    <row r="6" customFormat="false" ht="15" hidden="false" customHeight="false" outlineLevel="0" collapsed="false">
      <c r="A6" s="44" t="n">
        <v>46298</v>
      </c>
      <c r="B6" s="6" t="s">
        <v>226</v>
      </c>
      <c r="C6" s="8" t="str">
        <f aca="false">IF($B6="","",IFERROR(INDEX(INSUMOS!$B$6:$B$205,MATCH($B6,INSUMOS!$A$6:$A$205,0)),"¿Código?"))</f>
        <v>Fresas frescas</v>
      </c>
      <c r="D6" s="8" t="str">
        <f aca="false">IF($B6="","",IFERROR(INDEX(INSUMOS!$D$6:$D$205,MATCH($B6,INSUMOS!$A$6:$A$205,0)),""))</f>
        <v>g</v>
      </c>
      <c r="E6" s="6" t="s">
        <v>74</v>
      </c>
      <c r="F6" s="39" t="n">
        <v>600</v>
      </c>
      <c r="G6" s="6" t="s">
        <v>425</v>
      </c>
      <c r="H6" s="6" t="s">
        <v>426</v>
      </c>
      <c r="I6" s="43" t="n">
        <f aca="false">IF($B6="","",IFERROR(INDEX(INSUMOS!$O$6:$O$205,MATCH($B6,INSUMOS!$A$6:$A$205,0)),0))</f>
        <v>2.8</v>
      </c>
      <c r="J6" s="45" t="n">
        <f aca="false">IF($B6="","",IF($E6="Ajuste (+) sobrante",1,-1)*N($F6))</f>
        <v>-600</v>
      </c>
      <c r="K6" s="35" t="n">
        <f aca="false">IF($B6="","",$J6*$I6)</f>
        <v>-1680</v>
      </c>
      <c r="L6" s="46" t="n">
        <f aca="false">IF($A6="","",DATE(YEAR($A6),MONTH($A6),1))</f>
        <v>46296</v>
      </c>
    </row>
    <row r="7" customFormat="false" ht="15" hidden="false" customHeight="false" outlineLevel="0" collapsed="false">
      <c r="A7" s="44" t="n">
        <v>46299</v>
      </c>
      <c r="B7" s="6" t="s">
        <v>237</v>
      </c>
      <c r="C7" s="8" t="str">
        <f aca="false">IF($B7="","",IFERROR(INDEX(INSUMOS!$B$6:$B$205,MATCH($B7,INSUMOS!$A$6:$A$205,0)),"¿Código?"))</f>
        <v>Crema dulce</v>
      </c>
      <c r="D7" s="8" t="str">
        <f aca="false">IF($B7="","",IFERROR(INDEX(INSUMOS!$D$6:$D$205,MATCH($B7,INSUMOS!$A$6:$A$205,0)),""))</f>
        <v>ml</v>
      </c>
      <c r="E7" s="6" t="s">
        <v>86</v>
      </c>
      <c r="F7" s="39" t="n">
        <v>500</v>
      </c>
      <c r="G7" s="6" t="s">
        <v>427</v>
      </c>
      <c r="H7" s="6" t="s">
        <v>426</v>
      </c>
      <c r="I7" s="43" t="n">
        <f aca="false">IF($B7="","",IFERROR(INDEX(INSUMOS!$O$6:$O$205,MATCH($B7,INSUMOS!$A$6:$A$205,0)),0))</f>
        <v>2.55</v>
      </c>
      <c r="J7" s="45" t="n">
        <f aca="false">IF($B7="","",IF($E7="Ajuste (+) sobrante",1,-1)*N($F7))</f>
        <v>-500</v>
      </c>
      <c r="K7" s="35" t="n">
        <f aca="false">IF($B7="","",$J7*$I7)</f>
        <v>-1275</v>
      </c>
      <c r="L7" s="46" t="n">
        <f aca="false">IF($A7="","",DATE(YEAR($A7),MONTH($A7),1))</f>
        <v>46296</v>
      </c>
    </row>
    <row r="8" customFormat="false" ht="15" hidden="false" customHeight="false" outlineLevel="0" collapsed="false">
      <c r="A8" s="44"/>
      <c r="B8" s="6"/>
      <c r="C8" s="8" t="str">
        <f aca="false">IF($B8="","",IFERROR(INDEX(INSUMOS!$B$6:$B$205,MATCH($B8,INSUMOS!$A$6:$A$205,0)),"¿Código?"))</f>
        <v/>
      </c>
      <c r="D8" s="8" t="str">
        <f aca="false">IF($B8="","",IFERROR(INDEX(INSUMOS!$D$6:$D$205,MATCH($B8,INSUMOS!$A$6:$A$205,0)),""))</f>
        <v/>
      </c>
      <c r="E8" s="6"/>
      <c r="F8" s="39"/>
      <c r="G8" s="6"/>
      <c r="H8" s="6"/>
      <c r="I8" s="43" t="str">
        <f aca="false">IF($B8="","",IFERROR(INDEX(INSUMOS!$O$6:$O$205,MATCH($B8,INSUMOS!$A$6:$A$205,0)),0))</f>
        <v/>
      </c>
      <c r="J8" s="45" t="str">
        <f aca="false">IF($B8="","",IF($E8="Ajuste (+) sobrante",1,-1)*N($F8))</f>
        <v/>
      </c>
      <c r="K8" s="35" t="str">
        <f aca="false">IF($B8="","",$J8*$I8)</f>
        <v/>
      </c>
      <c r="L8" s="46" t="str">
        <f aca="false">IF($A8="","",DATE(YEAR($A8),MONTH($A8),1))</f>
        <v/>
      </c>
    </row>
    <row r="9" customFormat="false" ht="15" hidden="false" customHeight="false" outlineLevel="0" collapsed="false">
      <c r="A9" s="44"/>
      <c r="B9" s="6"/>
      <c r="C9" s="8" t="str">
        <f aca="false">IF($B9="","",IFERROR(INDEX(INSUMOS!$B$6:$B$205,MATCH($B9,INSUMOS!$A$6:$A$205,0)),"¿Código?"))</f>
        <v/>
      </c>
      <c r="D9" s="8" t="str">
        <f aca="false">IF($B9="","",IFERROR(INDEX(INSUMOS!$D$6:$D$205,MATCH($B9,INSUMOS!$A$6:$A$205,0)),""))</f>
        <v/>
      </c>
      <c r="E9" s="6"/>
      <c r="F9" s="39"/>
      <c r="G9" s="6"/>
      <c r="H9" s="6"/>
      <c r="I9" s="43" t="str">
        <f aca="false">IF($B9="","",IFERROR(INDEX(INSUMOS!$O$6:$O$205,MATCH($B9,INSUMOS!$A$6:$A$205,0)),0))</f>
        <v/>
      </c>
      <c r="J9" s="45" t="str">
        <f aca="false">IF($B9="","",IF($E9="Ajuste (+) sobrante",1,-1)*N($F9))</f>
        <v/>
      </c>
      <c r="K9" s="35" t="str">
        <f aca="false">IF($B9="","",$J9*$I9)</f>
        <v/>
      </c>
      <c r="L9" s="46" t="str">
        <f aca="false">IF($A9="","",DATE(YEAR($A9),MONTH($A9),1))</f>
        <v/>
      </c>
    </row>
    <row r="10" customFormat="false" ht="15" hidden="false" customHeight="false" outlineLevel="0" collapsed="false">
      <c r="A10" s="44"/>
      <c r="B10" s="6"/>
      <c r="C10" s="8" t="str">
        <f aca="false">IF($B10="","",IFERROR(INDEX(INSUMOS!$B$6:$B$205,MATCH($B10,INSUMOS!$A$6:$A$205,0)),"¿Código?"))</f>
        <v/>
      </c>
      <c r="D10" s="8" t="str">
        <f aca="false">IF($B10="","",IFERROR(INDEX(INSUMOS!$D$6:$D$205,MATCH($B10,INSUMOS!$A$6:$A$205,0)),""))</f>
        <v/>
      </c>
      <c r="E10" s="6"/>
      <c r="F10" s="39"/>
      <c r="G10" s="6"/>
      <c r="H10" s="6"/>
      <c r="I10" s="43" t="str">
        <f aca="false">IF($B10="","",IFERROR(INDEX(INSUMOS!$O$6:$O$205,MATCH($B10,INSUMOS!$A$6:$A$205,0)),0))</f>
        <v/>
      </c>
      <c r="J10" s="45" t="str">
        <f aca="false">IF($B10="","",IF($E10="Ajuste (+) sobrante",1,-1)*N($F10))</f>
        <v/>
      </c>
      <c r="K10" s="35" t="str">
        <f aca="false">IF($B10="","",$J10*$I10)</f>
        <v/>
      </c>
      <c r="L10" s="46" t="str">
        <f aca="false">IF($A10="","",DATE(YEAR($A10),MONTH($A10),1))</f>
        <v/>
      </c>
    </row>
    <row r="11" customFormat="false" ht="15" hidden="false" customHeight="false" outlineLevel="0" collapsed="false">
      <c r="A11" s="44"/>
      <c r="B11" s="6"/>
      <c r="C11" s="8" t="str">
        <f aca="false">IF($B11="","",IFERROR(INDEX(INSUMOS!$B$6:$B$205,MATCH($B11,INSUMOS!$A$6:$A$205,0)),"¿Código?"))</f>
        <v/>
      </c>
      <c r="D11" s="8" t="str">
        <f aca="false">IF($B11="","",IFERROR(INDEX(INSUMOS!$D$6:$D$205,MATCH($B11,INSUMOS!$A$6:$A$205,0)),""))</f>
        <v/>
      </c>
      <c r="E11" s="6"/>
      <c r="F11" s="39"/>
      <c r="G11" s="6"/>
      <c r="H11" s="6"/>
      <c r="I11" s="43" t="str">
        <f aca="false">IF($B11="","",IFERROR(INDEX(INSUMOS!$O$6:$O$205,MATCH($B11,INSUMOS!$A$6:$A$205,0)),0))</f>
        <v/>
      </c>
      <c r="J11" s="45" t="str">
        <f aca="false">IF($B11="","",IF($E11="Ajuste (+) sobrante",1,-1)*N($F11))</f>
        <v/>
      </c>
      <c r="K11" s="35" t="str">
        <f aca="false">IF($B11="","",$J11*$I11)</f>
        <v/>
      </c>
      <c r="L11" s="46" t="str">
        <f aca="false">IF($A11="","",DATE(YEAR($A11),MONTH($A11),1))</f>
        <v/>
      </c>
    </row>
    <row r="12" customFormat="false" ht="15" hidden="false" customHeight="false" outlineLevel="0" collapsed="false">
      <c r="A12" s="44"/>
      <c r="B12" s="6"/>
      <c r="C12" s="8" t="str">
        <f aca="false">IF($B12="","",IFERROR(INDEX(INSUMOS!$B$6:$B$205,MATCH($B12,INSUMOS!$A$6:$A$205,0)),"¿Código?"))</f>
        <v/>
      </c>
      <c r="D12" s="8" t="str">
        <f aca="false">IF($B12="","",IFERROR(INDEX(INSUMOS!$D$6:$D$205,MATCH($B12,INSUMOS!$A$6:$A$205,0)),""))</f>
        <v/>
      </c>
      <c r="E12" s="6"/>
      <c r="F12" s="39"/>
      <c r="G12" s="6"/>
      <c r="H12" s="6"/>
      <c r="I12" s="43" t="str">
        <f aca="false">IF($B12="","",IFERROR(INDEX(INSUMOS!$O$6:$O$205,MATCH($B12,INSUMOS!$A$6:$A$205,0)),0))</f>
        <v/>
      </c>
      <c r="J12" s="45" t="str">
        <f aca="false">IF($B12="","",IF($E12="Ajuste (+) sobrante",1,-1)*N($F12))</f>
        <v/>
      </c>
      <c r="K12" s="35" t="str">
        <f aca="false">IF($B12="","",$J12*$I12)</f>
        <v/>
      </c>
      <c r="L12" s="46" t="str">
        <f aca="false">IF($A12="","",DATE(YEAR($A12),MONTH($A12),1))</f>
        <v/>
      </c>
    </row>
    <row r="13" customFormat="false" ht="15" hidden="false" customHeight="false" outlineLevel="0" collapsed="false">
      <c r="A13" s="44"/>
      <c r="B13" s="6"/>
      <c r="C13" s="8" t="str">
        <f aca="false">IF($B13="","",IFERROR(INDEX(INSUMOS!$B$6:$B$205,MATCH($B13,INSUMOS!$A$6:$A$205,0)),"¿Código?"))</f>
        <v/>
      </c>
      <c r="D13" s="8" t="str">
        <f aca="false">IF($B13="","",IFERROR(INDEX(INSUMOS!$D$6:$D$205,MATCH($B13,INSUMOS!$A$6:$A$205,0)),""))</f>
        <v/>
      </c>
      <c r="E13" s="6"/>
      <c r="F13" s="39"/>
      <c r="G13" s="6"/>
      <c r="H13" s="6"/>
      <c r="I13" s="43" t="str">
        <f aca="false">IF($B13="","",IFERROR(INDEX(INSUMOS!$O$6:$O$205,MATCH($B13,INSUMOS!$A$6:$A$205,0)),0))</f>
        <v/>
      </c>
      <c r="J13" s="45" t="str">
        <f aca="false">IF($B13="","",IF($E13="Ajuste (+) sobrante",1,-1)*N($F13))</f>
        <v/>
      </c>
      <c r="K13" s="35" t="str">
        <f aca="false">IF($B13="","",$J13*$I13)</f>
        <v/>
      </c>
      <c r="L13" s="46" t="str">
        <f aca="false">IF($A13="","",DATE(YEAR($A13),MONTH($A13),1))</f>
        <v/>
      </c>
    </row>
    <row r="14" customFormat="false" ht="15" hidden="false" customHeight="false" outlineLevel="0" collapsed="false">
      <c r="A14" s="44"/>
      <c r="B14" s="6"/>
      <c r="C14" s="8" t="str">
        <f aca="false">IF($B14="","",IFERROR(INDEX(INSUMOS!$B$6:$B$205,MATCH($B14,INSUMOS!$A$6:$A$205,0)),"¿Código?"))</f>
        <v/>
      </c>
      <c r="D14" s="8" t="str">
        <f aca="false">IF($B14="","",IFERROR(INDEX(INSUMOS!$D$6:$D$205,MATCH($B14,INSUMOS!$A$6:$A$205,0)),""))</f>
        <v/>
      </c>
      <c r="E14" s="6"/>
      <c r="F14" s="39"/>
      <c r="G14" s="6"/>
      <c r="H14" s="6"/>
      <c r="I14" s="43" t="str">
        <f aca="false">IF($B14="","",IFERROR(INDEX(INSUMOS!$O$6:$O$205,MATCH($B14,INSUMOS!$A$6:$A$205,0)),0))</f>
        <v/>
      </c>
      <c r="J14" s="45" t="str">
        <f aca="false">IF($B14="","",IF($E14="Ajuste (+) sobrante",1,-1)*N($F14))</f>
        <v/>
      </c>
      <c r="K14" s="35" t="str">
        <f aca="false">IF($B14="","",$J14*$I14)</f>
        <v/>
      </c>
      <c r="L14" s="46" t="str">
        <f aca="false">IF($A14="","",DATE(YEAR($A14),MONTH($A14),1))</f>
        <v/>
      </c>
    </row>
    <row r="15" customFormat="false" ht="15" hidden="false" customHeight="false" outlineLevel="0" collapsed="false">
      <c r="A15" s="44"/>
      <c r="B15" s="6"/>
      <c r="C15" s="8" t="str">
        <f aca="false">IF($B15="","",IFERROR(INDEX(INSUMOS!$B$6:$B$205,MATCH($B15,INSUMOS!$A$6:$A$205,0)),"¿Código?"))</f>
        <v/>
      </c>
      <c r="D15" s="8" t="str">
        <f aca="false">IF($B15="","",IFERROR(INDEX(INSUMOS!$D$6:$D$205,MATCH($B15,INSUMOS!$A$6:$A$205,0)),""))</f>
        <v/>
      </c>
      <c r="E15" s="6"/>
      <c r="F15" s="39"/>
      <c r="G15" s="6"/>
      <c r="H15" s="6"/>
      <c r="I15" s="43" t="str">
        <f aca="false">IF($B15="","",IFERROR(INDEX(INSUMOS!$O$6:$O$205,MATCH($B15,INSUMOS!$A$6:$A$205,0)),0))</f>
        <v/>
      </c>
      <c r="J15" s="45" t="str">
        <f aca="false">IF($B15="","",IF($E15="Ajuste (+) sobrante",1,-1)*N($F15))</f>
        <v/>
      </c>
      <c r="K15" s="35" t="str">
        <f aca="false">IF($B15="","",$J15*$I15)</f>
        <v/>
      </c>
      <c r="L15" s="46" t="str">
        <f aca="false">IF($A15="","",DATE(YEAR($A15),MONTH($A15),1))</f>
        <v/>
      </c>
    </row>
    <row r="16" customFormat="false" ht="15" hidden="false" customHeight="false" outlineLevel="0" collapsed="false">
      <c r="A16" s="44"/>
      <c r="B16" s="6"/>
      <c r="C16" s="8" t="str">
        <f aca="false">IF($B16="","",IFERROR(INDEX(INSUMOS!$B$6:$B$205,MATCH($B16,INSUMOS!$A$6:$A$205,0)),"¿Código?"))</f>
        <v/>
      </c>
      <c r="D16" s="8" t="str">
        <f aca="false">IF($B16="","",IFERROR(INDEX(INSUMOS!$D$6:$D$205,MATCH($B16,INSUMOS!$A$6:$A$205,0)),""))</f>
        <v/>
      </c>
      <c r="E16" s="6"/>
      <c r="F16" s="39"/>
      <c r="G16" s="6"/>
      <c r="H16" s="6"/>
      <c r="I16" s="43" t="str">
        <f aca="false">IF($B16="","",IFERROR(INDEX(INSUMOS!$O$6:$O$205,MATCH($B16,INSUMOS!$A$6:$A$205,0)),0))</f>
        <v/>
      </c>
      <c r="J16" s="45" t="str">
        <f aca="false">IF($B16="","",IF($E16="Ajuste (+) sobrante",1,-1)*N($F16))</f>
        <v/>
      </c>
      <c r="K16" s="35" t="str">
        <f aca="false">IF($B16="","",$J16*$I16)</f>
        <v/>
      </c>
      <c r="L16" s="46" t="str">
        <f aca="false">IF($A16="","",DATE(YEAR($A16),MONTH($A16),1))</f>
        <v/>
      </c>
    </row>
    <row r="17" customFormat="false" ht="15" hidden="false" customHeight="false" outlineLevel="0" collapsed="false">
      <c r="A17" s="44"/>
      <c r="B17" s="6"/>
      <c r="C17" s="8" t="str">
        <f aca="false">IF($B17="","",IFERROR(INDEX(INSUMOS!$B$6:$B$205,MATCH($B17,INSUMOS!$A$6:$A$205,0)),"¿Código?"))</f>
        <v/>
      </c>
      <c r="D17" s="8" t="str">
        <f aca="false">IF($B17="","",IFERROR(INDEX(INSUMOS!$D$6:$D$205,MATCH($B17,INSUMOS!$A$6:$A$205,0)),""))</f>
        <v/>
      </c>
      <c r="E17" s="6"/>
      <c r="F17" s="39"/>
      <c r="G17" s="6"/>
      <c r="H17" s="6"/>
      <c r="I17" s="43" t="str">
        <f aca="false">IF($B17="","",IFERROR(INDEX(INSUMOS!$O$6:$O$205,MATCH($B17,INSUMOS!$A$6:$A$205,0)),0))</f>
        <v/>
      </c>
      <c r="J17" s="45" t="str">
        <f aca="false">IF($B17="","",IF($E17="Ajuste (+) sobrante",1,-1)*N($F17))</f>
        <v/>
      </c>
      <c r="K17" s="35" t="str">
        <f aca="false">IF($B17="","",$J17*$I17)</f>
        <v/>
      </c>
      <c r="L17" s="46" t="str">
        <f aca="false">IF($A17="","",DATE(YEAR($A17),MONTH($A17),1))</f>
        <v/>
      </c>
    </row>
    <row r="18" customFormat="false" ht="15" hidden="false" customHeight="false" outlineLevel="0" collapsed="false">
      <c r="A18" s="44"/>
      <c r="B18" s="6"/>
      <c r="C18" s="8" t="str">
        <f aca="false">IF($B18="","",IFERROR(INDEX(INSUMOS!$B$6:$B$205,MATCH($B18,INSUMOS!$A$6:$A$205,0)),"¿Código?"))</f>
        <v/>
      </c>
      <c r="D18" s="8" t="str">
        <f aca="false">IF($B18="","",IFERROR(INDEX(INSUMOS!$D$6:$D$205,MATCH($B18,INSUMOS!$A$6:$A$205,0)),""))</f>
        <v/>
      </c>
      <c r="E18" s="6"/>
      <c r="F18" s="39"/>
      <c r="G18" s="6"/>
      <c r="H18" s="6"/>
      <c r="I18" s="43" t="str">
        <f aca="false">IF($B18="","",IFERROR(INDEX(INSUMOS!$O$6:$O$205,MATCH($B18,INSUMOS!$A$6:$A$205,0)),0))</f>
        <v/>
      </c>
      <c r="J18" s="45" t="str">
        <f aca="false">IF($B18="","",IF($E18="Ajuste (+) sobrante",1,-1)*N($F18))</f>
        <v/>
      </c>
      <c r="K18" s="35" t="str">
        <f aca="false">IF($B18="","",$J18*$I18)</f>
        <v/>
      </c>
      <c r="L18" s="46" t="str">
        <f aca="false">IF($A18="","",DATE(YEAR($A18),MONTH($A18),1))</f>
        <v/>
      </c>
    </row>
    <row r="19" customFormat="false" ht="15" hidden="false" customHeight="false" outlineLevel="0" collapsed="false">
      <c r="A19" s="44"/>
      <c r="B19" s="6"/>
      <c r="C19" s="8" t="str">
        <f aca="false">IF($B19="","",IFERROR(INDEX(INSUMOS!$B$6:$B$205,MATCH($B19,INSUMOS!$A$6:$A$205,0)),"¿Código?"))</f>
        <v/>
      </c>
      <c r="D19" s="8" t="str">
        <f aca="false">IF($B19="","",IFERROR(INDEX(INSUMOS!$D$6:$D$205,MATCH($B19,INSUMOS!$A$6:$A$205,0)),""))</f>
        <v/>
      </c>
      <c r="E19" s="6"/>
      <c r="F19" s="39"/>
      <c r="G19" s="6"/>
      <c r="H19" s="6"/>
      <c r="I19" s="43" t="str">
        <f aca="false">IF($B19="","",IFERROR(INDEX(INSUMOS!$O$6:$O$205,MATCH($B19,INSUMOS!$A$6:$A$205,0)),0))</f>
        <v/>
      </c>
      <c r="J19" s="45" t="str">
        <f aca="false">IF($B19="","",IF($E19="Ajuste (+) sobrante",1,-1)*N($F19))</f>
        <v/>
      </c>
      <c r="K19" s="35" t="str">
        <f aca="false">IF($B19="","",$J19*$I19)</f>
        <v/>
      </c>
      <c r="L19" s="46" t="str">
        <f aca="false">IF($A19="","",DATE(YEAR($A19),MONTH($A19),1))</f>
        <v/>
      </c>
    </row>
    <row r="20" customFormat="false" ht="15" hidden="false" customHeight="false" outlineLevel="0" collapsed="false">
      <c r="A20" s="44"/>
      <c r="B20" s="6"/>
      <c r="C20" s="8" t="str">
        <f aca="false">IF($B20="","",IFERROR(INDEX(INSUMOS!$B$6:$B$205,MATCH($B20,INSUMOS!$A$6:$A$205,0)),"¿Código?"))</f>
        <v/>
      </c>
      <c r="D20" s="8" t="str">
        <f aca="false">IF($B20="","",IFERROR(INDEX(INSUMOS!$D$6:$D$205,MATCH($B20,INSUMOS!$A$6:$A$205,0)),""))</f>
        <v/>
      </c>
      <c r="E20" s="6"/>
      <c r="F20" s="39"/>
      <c r="G20" s="6"/>
      <c r="H20" s="6"/>
      <c r="I20" s="43" t="str">
        <f aca="false">IF($B20="","",IFERROR(INDEX(INSUMOS!$O$6:$O$205,MATCH($B20,INSUMOS!$A$6:$A$205,0)),0))</f>
        <v/>
      </c>
      <c r="J20" s="45" t="str">
        <f aca="false">IF($B20="","",IF($E20="Ajuste (+) sobrante",1,-1)*N($F20))</f>
        <v/>
      </c>
      <c r="K20" s="35" t="str">
        <f aca="false">IF($B20="","",$J20*$I20)</f>
        <v/>
      </c>
      <c r="L20" s="46" t="str">
        <f aca="false">IF($A20="","",DATE(YEAR($A20),MONTH($A20),1))</f>
        <v/>
      </c>
    </row>
    <row r="21" customFormat="false" ht="15" hidden="false" customHeight="false" outlineLevel="0" collapsed="false">
      <c r="A21" s="44"/>
      <c r="B21" s="6"/>
      <c r="C21" s="8" t="str">
        <f aca="false">IF($B21="","",IFERROR(INDEX(INSUMOS!$B$6:$B$205,MATCH($B21,INSUMOS!$A$6:$A$205,0)),"¿Código?"))</f>
        <v/>
      </c>
      <c r="D21" s="8" t="str">
        <f aca="false">IF($B21="","",IFERROR(INDEX(INSUMOS!$D$6:$D$205,MATCH($B21,INSUMOS!$A$6:$A$205,0)),""))</f>
        <v/>
      </c>
      <c r="E21" s="6"/>
      <c r="F21" s="39"/>
      <c r="G21" s="6"/>
      <c r="H21" s="6"/>
      <c r="I21" s="43" t="str">
        <f aca="false">IF($B21="","",IFERROR(INDEX(INSUMOS!$O$6:$O$205,MATCH($B21,INSUMOS!$A$6:$A$205,0)),0))</f>
        <v/>
      </c>
      <c r="J21" s="45" t="str">
        <f aca="false">IF($B21="","",IF($E21="Ajuste (+) sobrante",1,-1)*N($F21))</f>
        <v/>
      </c>
      <c r="K21" s="35" t="str">
        <f aca="false">IF($B21="","",$J21*$I21)</f>
        <v/>
      </c>
      <c r="L21" s="46" t="str">
        <f aca="false">IF($A21="","",DATE(YEAR($A21),MONTH($A21),1))</f>
        <v/>
      </c>
    </row>
    <row r="22" customFormat="false" ht="15" hidden="false" customHeight="false" outlineLevel="0" collapsed="false">
      <c r="A22" s="44"/>
      <c r="B22" s="6"/>
      <c r="C22" s="8" t="str">
        <f aca="false">IF($B22="","",IFERROR(INDEX(INSUMOS!$B$6:$B$205,MATCH($B22,INSUMOS!$A$6:$A$205,0)),"¿Código?"))</f>
        <v/>
      </c>
      <c r="D22" s="8" t="str">
        <f aca="false">IF($B22="","",IFERROR(INDEX(INSUMOS!$D$6:$D$205,MATCH($B22,INSUMOS!$A$6:$A$205,0)),""))</f>
        <v/>
      </c>
      <c r="E22" s="6"/>
      <c r="F22" s="39"/>
      <c r="G22" s="6"/>
      <c r="H22" s="6"/>
      <c r="I22" s="43" t="str">
        <f aca="false">IF($B22="","",IFERROR(INDEX(INSUMOS!$O$6:$O$205,MATCH($B22,INSUMOS!$A$6:$A$205,0)),0))</f>
        <v/>
      </c>
      <c r="J22" s="45" t="str">
        <f aca="false">IF($B22="","",IF($E22="Ajuste (+) sobrante",1,-1)*N($F22))</f>
        <v/>
      </c>
      <c r="K22" s="35" t="str">
        <f aca="false">IF($B22="","",$J22*$I22)</f>
        <v/>
      </c>
      <c r="L22" s="46" t="str">
        <f aca="false">IF($A22="","",DATE(YEAR($A22),MONTH($A22),1))</f>
        <v/>
      </c>
    </row>
    <row r="23" customFormat="false" ht="15" hidden="false" customHeight="false" outlineLevel="0" collapsed="false">
      <c r="A23" s="44"/>
      <c r="B23" s="6"/>
      <c r="C23" s="8" t="str">
        <f aca="false">IF($B23="","",IFERROR(INDEX(INSUMOS!$B$6:$B$205,MATCH($B23,INSUMOS!$A$6:$A$205,0)),"¿Código?"))</f>
        <v/>
      </c>
      <c r="D23" s="8" t="str">
        <f aca="false">IF($B23="","",IFERROR(INDEX(INSUMOS!$D$6:$D$205,MATCH($B23,INSUMOS!$A$6:$A$205,0)),""))</f>
        <v/>
      </c>
      <c r="E23" s="6"/>
      <c r="F23" s="39"/>
      <c r="G23" s="6"/>
      <c r="H23" s="6"/>
      <c r="I23" s="43" t="str">
        <f aca="false">IF($B23="","",IFERROR(INDEX(INSUMOS!$O$6:$O$205,MATCH($B23,INSUMOS!$A$6:$A$205,0)),0))</f>
        <v/>
      </c>
      <c r="J23" s="45" t="str">
        <f aca="false">IF($B23="","",IF($E23="Ajuste (+) sobrante",1,-1)*N($F23))</f>
        <v/>
      </c>
      <c r="K23" s="35" t="str">
        <f aca="false">IF($B23="","",$J23*$I23)</f>
        <v/>
      </c>
      <c r="L23" s="46" t="str">
        <f aca="false">IF($A23="","",DATE(YEAR($A23),MONTH($A23),1))</f>
        <v/>
      </c>
    </row>
    <row r="24" customFormat="false" ht="15" hidden="false" customHeight="false" outlineLevel="0" collapsed="false">
      <c r="A24" s="44"/>
      <c r="B24" s="6"/>
      <c r="C24" s="8" t="str">
        <f aca="false">IF($B24="","",IFERROR(INDEX(INSUMOS!$B$6:$B$205,MATCH($B24,INSUMOS!$A$6:$A$205,0)),"¿Código?"))</f>
        <v/>
      </c>
      <c r="D24" s="8" t="str">
        <f aca="false">IF($B24="","",IFERROR(INDEX(INSUMOS!$D$6:$D$205,MATCH($B24,INSUMOS!$A$6:$A$205,0)),""))</f>
        <v/>
      </c>
      <c r="E24" s="6"/>
      <c r="F24" s="39"/>
      <c r="G24" s="6"/>
      <c r="H24" s="6"/>
      <c r="I24" s="43" t="str">
        <f aca="false">IF($B24="","",IFERROR(INDEX(INSUMOS!$O$6:$O$205,MATCH($B24,INSUMOS!$A$6:$A$205,0)),0))</f>
        <v/>
      </c>
      <c r="J24" s="45" t="str">
        <f aca="false">IF($B24="","",IF($E24="Ajuste (+) sobrante",1,-1)*N($F24))</f>
        <v/>
      </c>
      <c r="K24" s="35" t="str">
        <f aca="false">IF($B24="","",$J24*$I24)</f>
        <v/>
      </c>
      <c r="L24" s="46" t="str">
        <f aca="false">IF($A24="","",DATE(YEAR($A24),MONTH($A24),1))</f>
        <v/>
      </c>
    </row>
    <row r="25" customFormat="false" ht="15" hidden="false" customHeight="false" outlineLevel="0" collapsed="false">
      <c r="A25" s="44"/>
      <c r="B25" s="6"/>
      <c r="C25" s="8" t="str">
        <f aca="false">IF($B25="","",IFERROR(INDEX(INSUMOS!$B$6:$B$205,MATCH($B25,INSUMOS!$A$6:$A$205,0)),"¿Código?"))</f>
        <v/>
      </c>
      <c r="D25" s="8" t="str">
        <f aca="false">IF($B25="","",IFERROR(INDEX(INSUMOS!$D$6:$D$205,MATCH($B25,INSUMOS!$A$6:$A$205,0)),""))</f>
        <v/>
      </c>
      <c r="E25" s="6"/>
      <c r="F25" s="39"/>
      <c r="G25" s="6"/>
      <c r="H25" s="6"/>
      <c r="I25" s="43" t="str">
        <f aca="false">IF($B25="","",IFERROR(INDEX(INSUMOS!$O$6:$O$205,MATCH($B25,INSUMOS!$A$6:$A$205,0)),0))</f>
        <v/>
      </c>
      <c r="J25" s="45" t="str">
        <f aca="false">IF($B25="","",IF($E25="Ajuste (+) sobrante",1,-1)*N($F25))</f>
        <v/>
      </c>
      <c r="K25" s="35" t="str">
        <f aca="false">IF($B25="","",$J25*$I25)</f>
        <v/>
      </c>
      <c r="L25" s="46" t="str">
        <f aca="false">IF($A25="","",DATE(YEAR($A25),MONTH($A25),1))</f>
        <v/>
      </c>
    </row>
    <row r="26" customFormat="false" ht="15" hidden="false" customHeight="false" outlineLevel="0" collapsed="false">
      <c r="A26" s="44"/>
      <c r="B26" s="6"/>
      <c r="C26" s="8" t="str">
        <f aca="false">IF($B26="","",IFERROR(INDEX(INSUMOS!$B$6:$B$205,MATCH($B26,INSUMOS!$A$6:$A$205,0)),"¿Código?"))</f>
        <v/>
      </c>
      <c r="D26" s="8" t="str">
        <f aca="false">IF($B26="","",IFERROR(INDEX(INSUMOS!$D$6:$D$205,MATCH($B26,INSUMOS!$A$6:$A$205,0)),""))</f>
        <v/>
      </c>
      <c r="E26" s="6"/>
      <c r="F26" s="39"/>
      <c r="G26" s="6"/>
      <c r="H26" s="6"/>
      <c r="I26" s="43" t="str">
        <f aca="false">IF($B26="","",IFERROR(INDEX(INSUMOS!$O$6:$O$205,MATCH($B26,INSUMOS!$A$6:$A$205,0)),0))</f>
        <v/>
      </c>
      <c r="J26" s="45" t="str">
        <f aca="false">IF($B26="","",IF($E26="Ajuste (+) sobrante",1,-1)*N($F26))</f>
        <v/>
      </c>
      <c r="K26" s="35" t="str">
        <f aca="false">IF($B26="","",$J26*$I26)</f>
        <v/>
      </c>
      <c r="L26" s="46" t="str">
        <f aca="false">IF($A26="","",DATE(YEAR($A26),MONTH($A26),1))</f>
        <v/>
      </c>
    </row>
    <row r="27" customFormat="false" ht="15" hidden="false" customHeight="false" outlineLevel="0" collapsed="false">
      <c r="A27" s="44"/>
      <c r="B27" s="6"/>
      <c r="C27" s="8" t="str">
        <f aca="false">IF($B27="","",IFERROR(INDEX(INSUMOS!$B$6:$B$205,MATCH($B27,INSUMOS!$A$6:$A$205,0)),"¿Código?"))</f>
        <v/>
      </c>
      <c r="D27" s="8" t="str">
        <f aca="false">IF($B27="","",IFERROR(INDEX(INSUMOS!$D$6:$D$205,MATCH($B27,INSUMOS!$A$6:$A$205,0)),""))</f>
        <v/>
      </c>
      <c r="E27" s="6"/>
      <c r="F27" s="39"/>
      <c r="G27" s="6"/>
      <c r="H27" s="6"/>
      <c r="I27" s="43" t="str">
        <f aca="false">IF($B27="","",IFERROR(INDEX(INSUMOS!$O$6:$O$205,MATCH($B27,INSUMOS!$A$6:$A$205,0)),0))</f>
        <v/>
      </c>
      <c r="J27" s="45" t="str">
        <f aca="false">IF($B27="","",IF($E27="Ajuste (+) sobrante",1,-1)*N($F27))</f>
        <v/>
      </c>
      <c r="K27" s="35" t="str">
        <f aca="false">IF($B27="","",$J27*$I27)</f>
        <v/>
      </c>
      <c r="L27" s="46" t="str">
        <f aca="false">IF($A27="","",DATE(YEAR($A27),MONTH($A27),1))</f>
        <v/>
      </c>
    </row>
    <row r="28" customFormat="false" ht="15" hidden="false" customHeight="false" outlineLevel="0" collapsed="false">
      <c r="A28" s="44"/>
      <c r="B28" s="6"/>
      <c r="C28" s="8" t="str">
        <f aca="false">IF($B28="","",IFERROR(INDEX(INSUMOS!$B$6:$B$205,MATCH($B28,INSUMOS!$A$6:$A$205,0)),"¿Código?"))</f>
        <v/>
      </c>
      <c r="D28" s="8" t="str">
        <f aca="false">IF($B28="","",IFERROR(INDEX(INSUMOS!$D$6:$D$205,MATCH($B28,INSUMOS!$A$6:$A$205,0)),""))</f>
        <v/>
      </c>
      <c r="E28" s="6"/>
      <c r="F28" s="39"/>
      <c r="G28" s="6"/>
      <c r="H28" s="6"/>
      <c r="I28" s="43" t="str">
        <f aca="false">IF($B28="","",IFERROR(INDEX(INSUMOS!$O$6:$O$205,MATCH($B28,INSUMOS!$A$6:$A$205,0)),0))</f>
        <v/>
      </c>
      <c r="J28" s="45" t="str">
        <f aca="false">IF($B28="","",IF($E28="Ajuste (+) sobrante",1,-1)*N($F28))</f>
        <v/>
      </c>
      <c r="K28" s="35" t="str">
        <f aca="false">IF($B28="","",$J28*$I28)</f>
        <v/>
      </c>
      <c r="L28" s="46" t="str">
        <f aca="false">IF($A28="","",DATE(YEAR($A28),MONTH($A28),1))</f>
        <v/>
      </c>
    </row>
    <row r="29" customFormat="false" ht="15" hidden="false" customHeight="false" outlineLevel="0" collapsed="false">
      <c r="A29" s="44"/>
      <c r="B29" s="6"/>
      <c r="C29" s="8" t="str">
        <f aca="false">IF($B29="","",IFERROR(INDEX(INSUMOS!$B$6:$B$205,MATCH($B29,INSUMOS!$A$6:$A$205,0)),"¿Código?"))</f>
        <v/>
      </c>
      <c r="D29" s="8" t="str">
        <f aca="false">IF($B29="","",IFERROR(INDEX(INSUMOS!$D$6:$D$205,MATCH($B29,INSUMOS!$A$6:$A$205,0)),""))</f>
        <v/>
      </c>
      <c r="E29" s="6"/>
      <c r="F29" s="39"/>
      <c r="G29" s="6"/>
      <c r="H29" s="6"/>
      <c r="I29" s="43" t="str">
        <f aca="false">IF($B29="","",IFERROR(INDEX(INSUMOS!$O$6:$O$205,MATCH($B29,INSUMOS!$A$6:$A$205,0)),0))</f>
        <v/>
      </c>
      <c r="J29" s="45" t="str">
        <f aca="false">IF($B29="","",IF($E29="Ajuste (+) sobrante",1,-1)*N($F29))</f>
        <v/>
      </c>
      <c r="K29" s="35" t="str">
        <f aca="false">IF($B29="","",$J29*$I29)</f>
        <v/>
      </c>
      <c r="L29" s="46" t="str">
        <f aca="false">IF($A29="","",DATE(YEAR($A29),MONTH($A29),1))</f>
        <v/>
      </c>
    </row>
    <row r="30" customFormat="false" ht="15" hidden="false" customHeight="false" outlineLevel="0" collapsed="false">
      <c r="A30" s="44"/>
      <c r="B30" s="6"/>
      <c r="C30" s="8" t="str">
        <f aca="false">IF($B30="","",IFERROR(INDEX(INSUMOS!$B$6:$B$205,MATCH($B30,INSUMOS!$A$6:$A$205,0)),"¿Código?"))</f>
        <v/>
      </c>
      <c r="D30" s="8" t="str">
        <f aca="false">IF($B30="","",IFERROR(INDEX(INSUMOS!$D$6:$D$205,MATCH($B30,INSUMOS!$A$6:$A$205,0)),""))</f>
        <v/>
      </c>
      <c r="E30" s="6"/>
      <c r="F30" s="39"/>
      <c r="G30" s="6"/>
      <c r="H30" s="6"/>
      <c r="I30" s="43" t="str">
        <f aca="false">IF($B30="","",IFERROR(INDEX(INSUMOS!$O$6:$O$205,MATCH($B30,INSUMOS!$A$6:$A$205,0)),0))</f>
        <v/>
      </c>
      <c r="J30" s="45" t="str">
        <f aca="false">IF($B30="","",IF($E30="Ajuste (+) sobrante",1,-1)*N($F30))</f>
        <v/>
      </c>
      <c r="K30" s="35" t="str">
        <f aca="false">IF($B30="","",$J30*$I30)</f>
        <v/>
      </c>
      <c r="L30" s="46" t="str">
        <f aca="false">IF($A30="","",DATE(YEAR($A30),MONTH($A30),1))</f>
        <v/>
      </c>
    </row>
    <row r="31" customFormat="false" ht="15" hidden="false" customHeight="false" outlineLevel="0" collapsed="false">
      <c r="A31" s="44"/>
      <c r="B31" s="6"/>
      <c r="C31" s="8" t="str">
        <f aca="false">IF($B31="","",IFERROR(INDEX(INSUMOS!$B$6:$B$205,MATCH($B31,INSUMOS!$A$6:$A$205,0)),"¿Código?"))</f>
        <v/>
      </c>
      <c r="D31" s="8" t="str">
        <f aca="false">IF($B31="","",IFERROR(INDEX(INSUMOS!$D$6:$D$205,MATCH($B31,INSUMOS!$A$6:$A$205,0)),""))</f>
        <v/>
      </c>
      <c r="E31" s="6"/>
      <c r="F31" s="39"/>
      <c r="G31" s="6"/>
      <c r="H31" s="6"/>
      <c r="I31" s="43" t="str">
        <f aca="false">IF($B31="","",IFERROR(INDEX(INSUMOS!$O$6:$O$205,MATCH($B31,INSUMOS!$A$6:$A$205,0)),0))</f>
        <v/>
      </c>
      <c r="J31" s="45" t="str">
        <f aca="false">IF($B31="","",IF($E31="Ajuste (+) sobrante",1,-1)*N($F31))</f>
        <v/>
      </c>
      <c r="K31" s="35" t="str">
        <f aca="false">IF($B31="","",$J31*$I31)</f>
        <v/>
      </c>
      <c r="L31" s="46" t="str">
        <f aca="false">IF($A31="","",DATE(YEAR($A31),MONTH($A31),1))</f>
        <v/>
      </c>
    </row>
    <row r="32" customFormat="false" ht="15" hidden="false" customHeight="false" outlineLevel="0" collapsed="false">
      <c r="A32" s="44"/>
      <c r="B32" s="6"/>
      <c r="C32" s="8" t="str">
        <f aca="false">IF($B32="","",IFERROR(INDEX(INSUMOS!$B$6:$B$205,MATCH($B32,INSUMOS!$A$6:$A$205,0)),"¿Código?"))</f>
        <v/>
      </c>
      <c r="D32" s="8" t="str">
        <f aca="false">IF($B32="","",IFERROR(INDEX(INSUMOS!$D$6:$D$205,MATCH($B32,INSUMOS!$A$6:$A$205,0)),""))</f>
        <v/>
      </c>
      <c r="E32" s="6"/>
      <c r="F32" s="39"/>
      <c r="G32" s="6"/>
      <c r="H32" s="6"/>
      <c r="I32" s="43" t="str">
        <f aca="false">IF($B32="","",IFERROR(INDEX(INSUMOS!$O$6:$O$205,MATCH($B32,INSUMOS!$A$6:$A$205,0)),0))</f>
        <v/>
      </c>
      <c r="J32" s="45" t="str">
        <f aca="false">IF($B32="","",IF($E32="Ajuste (+) sobrante",1,-1)*N($F32))</f>
        <v/>
      </c>
      <c r="K32" s="35" t="str">
        <f aca="false">IF($B32="","",$J32*$I32)</f>
        <v/>
      </c>
      <c r="L32" s="46" t="str">
        <f aca="false">IF($A32="","",DATE(YEAR($A32),MONTH($A32),1))</f>
        <v/>
      </c>
    </row>
    <row r="33" customFormat="false" ht="15" hidden="false" customHeight="false" outlineLevel="0" collapsed="false">
      <c r="A33" s="44"/>
      <c r="B33" s="6"/>
      <c r="C33" s="8" t="str">
        <f aca="false">IF($B33="","",IFERROR(INDEX(INSUMOS!$B$6:$B$205,MATCH($B33,INSUMOS!$A$6:$A$205,0)),"¿Código?"))</f>
        <v/>
      </c>
      <c r="D33" s="8" t="str">
        <f aca="false">IF($B33="","",IFERROR(INDEX(INSUMOS!$D$6:$D$205,MATCH($B33,INSUMOS!$A$6:$A$205,0)),""))</f>
        <v/>
      </c>
      <c r="E33" s="6"/>
      <c r="F33" s="39"/>
      <c r="G33" s="6"/>
      <c r="H33" s="6"/>
      <c r="I33" s="43" t="str">
        <f aca="false">IF($B33="","",IFERROR(INDEX(INSUMOS!$O$6:$O$205,MATCH($B33,INSUMOS!$A$6:$A$205,0)),0))</f>
        <v/>
      </c>
      <c r="J33" s="45" t="str">
        <f aca="false">IF($B33="","",IF($E33="Ajuste (+) sobrante",1,-1)*N($F33))</f>
        <v/>
      </c>
      <c r="K33" s="35" t="str">
        <f aca="false">IF($B33="","",$J33*$I33)</f>
        <v/>
      </c>
      <c r="L33" s="46" t="str">
        <f aca="false">IF($A33="","",DATE(YEAR($A33),MONTH($A33),1))</f>
        <v/>
      </c>
    </row>
    <row r="34" customFormat="false" ht="15" hidden="false" customHeight="false" outlineLevel="0" collapsed="false">
      <c r="A34" s="44"/>
      <c r="B34" s="6"/>
      <c r="C34" s="8" t="str">
        <f aca="false">IF($B34="","",IFERROR(INDEX(INSUMOS!$B$6:$B$205,MATCH($B34,INSUMOS!$A$6:$A$205,0)),"¿Código?"))</f>
        <v/>
      </c>
      <c r="D34" s="8" t="str">
        <f aca="false">IF($B34="","",IFERROR(INDEX(INSUMOS!$D$6:$D$205,MATCH($B34,INSUMOS!$A$6:$A$205,0)),""))</f>
        <v/>
      </c>
      <c r="E34" s="6"/>
      <c r="F34" s="39"/>
      <c r="G34" s="6"/>
      <c r="H34" s="6"/>
      <c r="I34" s="43" t="str">
        <f aca="false">IF($B34="","",IFERROR(INDEX(INSUMOS!$O$6:$O$205,MATCH($B34,INSUMOS!$A$6:$A$205,0)),0))</f>
        <v/>
      </c>
      <c r="J34" s="45" t="str">
        <f aca="false">IF($B34="","",IF($E34="Ajuste (+) sobrante",1,-1)*N($F34))</f>
        <v/>
      </c>
      <c r="K34" s="35" t="str">
        <f aca="false">IF($B34="","",$J34*$I34)</f>
        <v/>
      </c>
      <c r="L34" s="46" t="str">
        <f aca="false">IF($A34="","",DATE(YEAR($A34),MONTH($A34),1))</f>
        <v/>
      </c>
    </row>
    <row r="35" customFormat="false" ht="15" hidden="false" customHeight="false" outlineLevel="0" collapsed="false">
      <c r="A35" s="44"/>
      <c r="B35" s="6"/>
      <c r="C35" s="8" t="str">
        <f aca="false">IF($B35="","",IFERROR(INDEX(INSUMOS!$B$6:$B$205,MATCH($B35,INSUMOS!$A$6:$A$205,0)),"¿Código?"))</f>
        <v/>
      </c>
      <c r="D35" s="8" t="str">
        <f aca="false">IF($B35="","",IFERROR(INDEX(INSUMOS!$D$6:$D$205,MATCH($B35,INSUMOS!$A$6:$A$205,0)),""))</f>
        <v/>
      </c>
      <c r="E35" s="6"/>
      <c r="F35" s="39"/>
      <c r="G35" s="6"/>
      <c r="H35" s="6"/>
      <c r="I35" s="43" t="str">
        <f aca="false">IF($B35="","",IFERROR(INDEX(INSUMOS!$O$6:$O$205,MATCH($B35,INSUMOS!$A$6:$A$205,0)),0))</f>
        <v/>
      </c>
      <c r="J35" s="45" t="str">
        <f aca="false">IF($B35="","",IF($E35="Ajuste (+) sobrante",1,-1)*N($F35))</f>
        <v/>
      </c>
      <c r="K35" s="35" t="str">
        <f aca="false">IF($B35="","",$J35*$I35)</f>
        <v/>
      </c>
      <c r="L35" s="46" t="str">
        <f aca="false">IF($A35="","",DATE(YEAR($A35),MONTH($A35),1))</f>
        <v/>
      </c>
    </row>
    <row r="36" customFormat="false" ht="15" hidden="false" customHeight="false" outlineLevel="0" collapsed="false">
      <c r="A36" s="44"/>
      <c r="B36" s="6"/>
      <c r="C36" s="8" t="str">
        <f aca="false">IF($B36="","",IFERROR(INDEX(INSUMOS!$B$6:$B$205,MATCH($B36,INSUMOS!$A$6:$A$205,0)),"¿Código?"))</f>
        <v/>
      </c>
      <c r="D36" s="8" t="str">
        <f aca="false">IF($B36="","",IFERROR(INDEX(INSUMOS!$D$6:$D$205,MATCH($B36,INSUMOS!$A$6:$A$205,0)),""))</f>
        <v/>
      </c>
      <c r="E36" s="6"/>
      <c r="F36" s="39"/>
      <c r="G36" s="6"/>
      <c r="H36" s="6"/>
      <c r="I36" s="43" t="str">
        <f aca="false">IF($B36="","",IFERROR(INDEX(INSUMOS!$O$6:$O$205,MATCH($B36,INSUMOS!$A$6:$A$205,0)),0))</f>
        <v/>
      </c>
      <c r="J36" s="45" t="str">
        <f aca="false">IF($B36="","",IF($E36="Ajuste (+) sobrante",1,-1)*N($F36))</f>
        <v/>
      </c>
      <c r="K36" s="35" t="str">
        <f aca="false">IF($B36="","",$J36*$I36)</f>
        <v/>
      </c>
      <c r="L36" s="46" t="str">
        <f aca="false">IF($A36="","",DATE(YEAR($A36),MONTH($A36),1))</f>
        <v/>
      </c>
    </row>
    <row r="37" customFormat="false" ht="15" hidden="false" customHeight="false" outlineLevel="0" collapsed="false">
      <c r="A37" s="44"/>
      <c r="B37" s="6"/>
      <c r="C37" s="8" t="str">
        <f aca="false">IF($B37="","",IFERROR(INDEX(INSUMOS!$B$6:$B$205,MATCH($B37,INSUMOS!$A$6:$A$205,0)),"¿Código?"))</f>
        <v/>
      </c>
      <c r="D37" s="8" t="str">
        <f aca="false">IF($B37="","",IFERROR(INDEX(INSUMOS!$D$6:$D$205,MATCH($B37,INSUMOS!$A$6:$A$205,0)),""))</f>
        <v/>
      </c>
      <c r="E37" s="6"/>
      <c r="F37" s="39"/>
      <c r="G37" s="6"/>
      <c r="H37" s="6"/>
      <c r="I37" s="43" t="str">
        <f aca="false">IF($B37="","",IFERROR(INDEX(INSUMOS!$O$6:$O$205,MATCH($B37,INSUMOS!$A$6:$A$205,0)),0))</f>
        <v/>
      </c>
      <c r="J37" s="45" t="str">
        <f aca="false">IF($B37="","",IF($E37="Ajuste (+) sobrante",1,-1)*N($F37))</f>
        <v/>
      </c>
      <c r="K37" s="35" t="str">
        <f aca="false">IF($B37="","",$J37*$I37)</f>
        <v/>
      </c>
      <c r="L37" s="46" t="str">
        <f aca="false">IF($A37="","",DATE(YEAR($A37),MONTH($A37),1))</f>
        <v/>
      </c>
    </row>
    <row r="38" customFormat="false" ht="15" hidden="false" customHeight="false" outlineLevel="0" collapsed="false">
      <c r="A38" s="44"/>
      <c r="B38" s="6"/>
      <c r="C38" s="8" t="str">
        <f aca="false">IF($B38="","",IFERROR(INDEX(INSUMOS!$B$6:$B$205,MATCH($B38,INSUMOS!$A$6:$A$205,0)),"¿Código?"))</f>
        <v/>
      </c>
      <c r="D38" s="8" t="str">
        <f aca="false">IF($B38="","",IFERROR(INDEX(INSUMOS!$D$6:$D$205,MATCH($B38,INSUMOS!$A$6:$A$205,0)),""))</f>
        <v/>
      </c>
      <c r="E38" s="6"/>
      <c r="F38" s="39"/>
      <c r="G38" s="6"/>
      <c r="H38" s="6"/>
      <c r="I38" s="43" t="str">
        <f aca="false">IF($B38="","",IFERROR(INDEX(INSUMOS!$O$6:$O$205,MATCH($B38,INSUMOS!$A$6:$A$205,0)),0))</f>
        <v/>
      </c>
      <c r="J38" s="45" t="str">
        <f aca="false">IF($B38="","",IF($E38="Ajuste (+) sobrante",1,-1)*N($F38))</f>
        <v/>
      </c>
      <c r="K38" s="35" t="str">
        <f aca="false">IF($B38="","",$J38*$I38)</f>
        <v/>
      </c>
      <c r="L38" s="46" t="str">
        <f aca="false">IF($A38="","",DATE(YEAR($A38),MONTH($A38),1))</f>
        <v/>
      </c>
    </row>
    <row r="39" customFormat="false" ht="15" hidden="false" customHeight="false" outlineLevel="0" collapsed="false">
      <c r="A39" s="44"/>
      <c r="B39" s="6"/>
      <c r="C39" s="8" t="str">
        <f aca="false">IF($B39="","",IFERROR(INDEX(INSUMOS!$B$6:$B$205,MATCH($B39,INSUMOS!$A$6:$A$205,0)),"¿Código?"))</f>
        <v/>
      </c>
      <c r="D39" s="8" t="str">
        <f aca="false">IF($B39="","",IFERROR(INDEX(INSUMOS!$D$6:$D$205,MATCH($B39,INSUMOS!$A$6:$A$205,0)),""))</f>
        <v/>
      </c>
      <c r="E39" s="6"/>
      <c r="F39" s="39"/>
      <c r="G39" s="6"/>
      <c r="H39" s="6"/>
      <c r="I39" s="43" t="str">
        <f aca="false">IF($B39="","",IFERROR(INDEX(INSUMOS!$O$6:$O$205,MATCH($B39,INSUMOS!$A$6:$A$205,0)),0))</f>
        <v/>
      </c>
      <c r="J39" s="45" t="str">
        <f aca="false">IF($B39="","",IF($E39="Ajuste (+) sobrante",1,-1)*N($F39))</f>
        <v/>
      </c>
      <c r="K39" s="35" t="str">
        <f aca="false">IF($B39="","",$J39*$I39)</f>
        <v/>
      </c>
      <c r="L39" s="46" t="str">
        <f aca="false">IF($A39="","",DATE(YEAR($A39),MONTH($A39),1))</f>
        <v/>
      </c>
    </row>
    <row r="40" customFormat="false" ht="15" hidden="false" customHeight="false" outlineLevel="0" collapsed="false">
      <c r="A40" s="44"/>
      <c r="B40" s="6"/>
      <c r="C40" s="8" t="str">
        <f aca="false">IF($B40="","",IFERROR(INDEX(INSUMOS!$B$6:$B$205,MATCH($B40,INSUMOS!$A$6:$A$205,0)),"¿Código?"))</f>
        <v/>
      </c>
      <c r="D40" s="8" t="str">
        <f aca="false">IF($B40="","",IFERROR(INDEX(INSUMOS!$D$6:$D$205,MATCH($B40,INSUMOS!$A$6:$A$205,0)),""))</f>
        <v/>
      </c>
      <c r="E40" s="6"/>
      <c r="F40" s="39"/>
      <c r="G40" s="6"/>
      <c r="H40" s="6"/>
      <c r="I40" s="43" t="str">
        <f aca="false">IF($B40="","",IFERROR(INDEX(INSUMOS!$O$6:$O$205,MATCH($B40,INSUMOS!$A$6:$A$205,0)),0))</f>
        <v/>
      </c>
      <c r="J40" s="45" t="str">
        <f aca="false">IF($B40="","",IF($E40="Ajuste (+) sobrante",1,-1)*N($F40))</f>
        <v/>
      </c>
      <c r="K40" s="35" t="str">
        <f aca="false">IF($B40="","",$J40*$I40)</f>
        <v/>
      </c>
      <c r="L40" s="46" t="str">
        <f aca="false">IF($A40="","",DATE(YEAR($A40),MONTH($A40),1))</f>
        <v/>
      </c>
    </row>
    <row r="41" customFormat="false" ht="15" hidden="false" customHeight="false" outlineLevel="0" collapsed="false">
      <c r="A41" s="44"/>
      <c r="B41" s="6"/>
      <c r="C41" s="8" t="str">
        <f aca="false">IF($B41="","",IFERROR(INDEX(INSUMOS!$B$6:$B$205,MATCH($B41,INSUMOS!$A$6:$A$205,0)),"¿Código?"))</f>
        <v/>
      </c>
      <c r="D41" s="8" t="str">
        <f aca="false">IF($B41="","",IFERROR(INDEX(INSUMOS!$D$6:$D$205,MATCH($B41,INSUMOS!$A$6:$A$205,0)),""))</f>
        <v/>
      </c>
      <c r="E41" s="6"/>
      <c r="F41" s="39"/>
      <c r="G41" s="6"/>
      <c r="H41" s="6"/>
      <c r="I41" s="43" t="str">
        <f aca="false">IF($B41="","",IFERROR(INDEX(INSUMOS!$O$6:$O$205,MATCH($B41,INSUMOS!$A$6:$A$205,0)),0))</f>
        <v/>
      </c>
      <c r="J41" s="45" t="str">
        <f aca="false">IF($B41="","",IF($E41="Ajuste (+) sobrante",1,-1)*N($F41))</f>
        <v/>
      </c>
      <c r="K41" s="35" t="str">
        <f aca="false">IF($B41="","",$J41*$I41)</f>
        <v/>
      </c>
      <c r="L41" s="46" t="str">
        <f aca="false">IF($A41="","",DATE(YEAR($A41),MONTH($A41),1))</f>
        <v/>
      </c>
    </row>
    <row r="42" customFormat="false" ht="15" hidden="false" customHeight="false" outlineLevel="0" collapsed="false">
      <c r="A42" s="44"/>
      <c r="B42" s="6"/>
      <c r="C42" s="8" t="str">
        <f aca="false">IF($B42="","",IFERROR(INDEX(INSUMOS!$B$6:$B$205,MATCH($B42,INSUMOS!$A$6:$A$205,0)),"¿Código?"))</f>
        <v/>
      </c>
      <c r="D42" s="8" t="str">
        <f aca="false">IF($B42="","",IFERROR(INDEX(INSUMOS!$D$6:$D$205,MATCH($B42,INSUMOS!$A$6:$A$205,0)),""))</f>
        <v/>
      </c>
      <c r="E42" s="6"/>
      <c r="F42" s="39"/>
      <c r="G42" s="6"/>
      <c r="H42" s="6"/>
      <c r="I42" s="43" t="str">
        <f aca="false">IF($B42="","",IFERROR(INDEX(INSUMOS!$O$6:$O$205,MATCH($B42,INSUMOS!$A$6:$A$205,0)),0))</f>
        <v/>
      </c>
      <c r="J42" s="45" t="str">
        <f aca="false">IF($B42="","",IF($E42="Ajuste (+) sobrante",1,-1)*N($F42))</f>
        <v/>
      </c>
      <c r="K42" s="35" t="str">
        <f aca="false">IF($B42="","",$J42*$I42)</f>
        <v/>
      </c>
      <c r="L42" s="46" t="str">
        <f aca="false">IF($A42="","",DATE(YEAR($A42),MONTH($A42),1))</f>
        <v/>
      </c>
    </row>
    <row r="43" customFormat="false" ht="15" hidden="false" customHeight="false" outlineLevel="0" collapsed="false">
      <c r="A43" s="44"/>
      <c r="B43" s="6"/>
      <c r="C43" s="8" t="str">
        <f aca="false">IF($B43="","",IFERROR(INDEX(INSUMOS!$B$6:$B$205,MATCH($B43,INSUMOS!$A$6:$A$205,0)),"¿Código?"))</f>
        <v/>
      </c>
      <c r="D43" s="8" t="str">
        <f aca="false">IF($B43="","",IFERROR(INDEX(INSUMOS!$D$6:$D$205,MATCH($B43,INSUMOS!$A$6:$A$205,0)),""))</f>
        <v/>
      </c>
      <c r="E43" s="6"/>
      <c r="F43" s="39"/>
      <c r="G43" s="6"/>
      <c r="H43" s="6"/>
      <c r="I43" s="43" t="str">
        <f aca="false">IF($B43="","",IFERROR(INDEX(INSUMOS!$O$6:$O$205,MATCH($B43,INSUMOS!$A$6:$A$205,0)),0))</f>
        <v/>
      </c>
      <c r="J43" s="45" t="str">
        <f aca="false">IF($B43="","",IF($E43="Ajuste (+) sobrante",1,-1)*N($F43))</f>
        <v/>
      </c>
      <c r="K43" s="35" t="str">
        <f aca="false">IF($B43="","",$J43*$I43)</f>
        <v/>
      </c>
      <c r="L43" s="46" t="str">
        <f aca="false">IF($A43="","",DATE(YEAR($A43),MONTH($A43),1))</f>
        <v/>
      </c>
    </row>
    <row r="44" customFormat="false" ht="15" hidden="false" customHeight="false" outlineLevel="0" collapsed="false">
      <c r="A44" s="44"/>
      <c r="B44" s="6"/>
      <c r="C44" s="8" t="str">
        <f aca="false">IF($B44="","",IFERROR(INDEX(INSUMOS!$B$6:$B$205,MATCH($B44,INSUMOS!$A$6:$A$205,0)),"¿Código?"))</f>
        <v/>
      </c>
      <c r="D44" s="8" t="str">
        <f aca="false">IF($B44="","",IFERROR(INDEX(INSUMOS!$D$6:$D$205,MATCH($B44,INSUMOS!$A$6:$A$205,0)),""))</f>
        <v/>
      </c>
      <c r="E44" s="6"/>
      <c r="F44" s="39"/>
      <c r="G44" s="6"/>
      <c r="H44" s="6"/>
      <c r="I44" s="43" t="str">
        <f aca="false">IF($B44="","",IFERROR(INDEX(INSUMOS!$O$6:$O$205,MATCH($B44,INSUMOS!$A$6:$A$205,0)),0))</f>
        <v/>
      </c>
      <c r="J44" s="45" t="str">
        <f aca="false">IF($B44="","",IF($E44="Ajuste (+) sobrante",1,-1)*N($F44))</f>
        <v/>
      </c>
      <c r="K44" s="35" t="str">
        <f aca="false">IF($B44="","",$J44*$I44)</f>
        <v/>
      </c>
      <c r="L44" s="46" t="str">
        <f aca="false">IF($A44="","",DATE(YEAR($A44),MONTH($A44),1))</f>
        <v/>
      </c>
    </row>
    <row r="45" customFormat="false" ht="15" hidden="false" customHeight="false" outlineLevel="0" collapsed="false">
      <c r="A45" s="44"/>
      <c r="B45" s="6"/>
      <c r="C45" s="8" t="str">
        <f aca="false">IF($B45="","",IFERROR(INDEX(INSUMOS!$B$6:$B$205,MATCH($B45,INSUMOS!$A$6:$A$205,0)),"¿Código?"))</f>
        <v/>
      </c>
      <c r="D45" s="8" t="str">
        <f aca="false">IF($B45="","",IFERROR(INDEX(INSUMOS!$D$6:$D$205,MATCH($B45,INSUMOS!$A$6:$A$205,0)),""))</f>
        <v/>
      </c>
      <c r="E45" s="6"/>
      <c r="F45" s="39"/>
      <c r="G45" s="6"/>
      <c r="H45" s="6"/>
      <c r="I45" s="43" t="str">
        <f aca="false">IF($B45="","",IFERROR(INDEX(INSUMOS!$O$6:$O$205,MATCH($B45,INSUMOS!$A$6:$A$205,0)),0))</f>
        <v/>
      </c>
      <c r="J45" s="45" t="str">
        <f aca="false">IF($B45="","",IF($E45="Ajuste (+) sobrante",1,-1)*N($F45))</f>
        <v/>
      </c>
      <c r="K45" s="35" t="str">
        <f aca="false">IF($B45="","",$J45*$I45)</f>
        <v/>
      </c>
      <c r="L45" s="46" t="str">
        <f aca="false">IF($A45="","",DATE(YEAR($A45),MONTH($A45),1))</f>
        <v/>
      </c>
    </row>
    <row r="46" customFormat="false" ht="15" hidden="false" customHeight="false" outlineLevel="0" collapsed="false">
      <c r="A46" s="44"/>
      <c r="B46" s="6"/>
      <c r="C46" s="8" t="str">
        <f aca="false">IF($B46="","",IFERROR(INDEX(INSUMOS!$B$6:$B$205,MATCH($B46,INSUMOS!$A$6:$A$205,0)),"¿Código?"))</f>
        <v/>
      </c>
      <c r="D46" s="8" t="str">
        <f aca="false">IF($B46="","",IFERROR(INDEX(INSUMOS!$D$6:$D$205,MATCH($B46,INSUMOS!$A$6:$A$205,0)),""))</f>
        <v/>
      </c>
      <c r="E46" s="6"/>
      <c r="F46" s="39"/>
      <c r="G46" s="6"/>
      <c r="H46" s="6"/>
      <c r="I46" s="43" t="str">
        <f aca="false">IF($B46="","",IFERROR(INDEX(INSUMOS!$O$6:$O$205,MATCH($B46,INSUMOS!$A$6:$A$205,0)),0))</f>
        <v/>
      </c>
      <c r="J46" s="45" t="str">
        <f aca="false">IF($B46="","",IF($E46="Ajuste (+) sobrante",1,-1)*N($F46))</f>
        <v/>
      </c>
      <c r="K46" s="35" t="str">
        <f aca="false">IF($B46="","",$J46*$I46)</f>
        <v/>
      </c>
      <c r="L46" s="46" t="str">
        <f aca="false">IF($A46="","",DATE(YEAR($A46),MONTH($A46),1))</f>
        <v/>
      </c>
    </row>
    <row r="47" customFormat="false" ht="15" hidden="false" customHeight="false" outlineLevel="0" collapsed="false">
      <c r="A47" s="44"/>
      <c r="B47" s="6"/>
      <c r="C47" s="8" t="str">
        <f aca="false">IF($B47="","",IFERROR(INDEX(INSUMOS!$B$6:$B$205,MATCH($B47,INSUMOS!$A$6:$A$205,0)),"¿Código?"))</f>
        <v/>
      </c>
      <c r="D47" s="8" t="str">
        <f aca="false">IF($B47="","",IFERROR(INDEX(INSUMOS!$D$6:$D$205,MATCH($B47,INSUMOS!$A$6:$A$205,0)),""))</f>
        <v/>
      </c>
      <c r="E47" s="6"/>
      <c r="F47" s="39"/>
      <c r="G47" s="6"/>
      <c r="H47" s="6"/>
      <c r="I47" s="43" t="str">
        <f aca="false">IF($B47="","",IFERROR(INDEX(INSUMOS!$O$6:$O$205,MATCH($B47,INSUMOS!$A$6:$A$205,0)),0))</f>
        <v/>
      </c>
      <c r="J47" s="45" t="str">
        <f aca="false">IF($B47="","",IF($E47="Ajuste (+) sobrante",1,-1)*N($F47))</f>
        <v/>
      </c>
      <c r="K47" s="35" t="str">
        <f aca="false">IF($B47="","",$J47*$I47)</f>
        <v/>
      </c>
      <c r="L47" s="46" t="str">
        <f aca="false">IF($A47="","",DATE(YEAR($A47),MONTH($A47),1))</f>
        <v/>
      </c>
    </row>
    <row r="48" customFormat="false" ht="15" hidden="false" customHeight="false" outlineLevel="0" collapsed="false">
      <c r="A48" s="44"/>
      <c r="B48" s="6"/>
      <c r="C48" s="8" t="str">
        <f aca="false">IF($B48="","",IFERROR(INDEX(INSUMOS!$B$6:$B$205,MATCH($B48,INSUMOS!$A$6:$A$205,0)),"¿Código?"))</f>
        <v/>
      </c>
      <c r="D48" s="8" t="str">
        <f aca="false">IF($B48="","",IFERROR(INDEX(INSUMOS!$D$6:$D$205,MATCH($B48,INSUMOS!$A$6:$A$205,0)),""))</f>
        <v/>
      </c>
      <c r="E48" s="6"/>
      <c r="F48" s="39"/>
      <c r="G48" s="6"/>
      <c r="H48" s="6"/>
      <c r="I48" s="43" t="str">
        <f aca="false">IF($B48="","",IFERROR(INDEX(INSUMOS!$O$6:$O$205,MATCH($B48,INSUMOS!$A$6:$A$205,0)),0))</f>
        <v/>
      </c>
      <c r="J48" s="45" t="str">
        <f aca="false">IF($B48="","",IF($E48="Ajuste (+) sobrante",1,-1)*N($F48))</f>
        <v/>
      </c>
      <c r="K48" s="35" t="str">
        <f aca="false">IF($B48="","",$J48*$I48)</f>
        <v/>
      </c>
      <c r="L48" s="46" t="str">
        <f aca="false">IF($A48="","",DATE(YEAR($A48),MONTH($A48),1))</f>
        <v/>
      </c>
    </row>
    <row r="49" customFormat="false" ht="15" hidden="false" customHeight="false" outlineLevel="0" collapsed="false">
      <c r="A49" s="44"/>
      <c r="B49" s="6"/>
      <c r="C49" s="8" t="str">
        <f aca="false">IF($B49="","",IFERROR(INDEX(INSUMOS!$B$6:$B$205,MATCH($B49,INSUMOS!$A$6:$A$205,0)),"¿Código?"))</f>
        <v/>
      </c>
      <c r="D49" s="8" t="str">
        <f aca="false">IF($B49="","",IFERROR(INDEX(INSUMOS!$D$6:$D$205,MATCH($B49,INSUMOS!$A$6:$A$205,0)),""))</f>
        <v/>
      </c>
      <c r="E49" s="6"/>
      <c r="F49" s="39"/>
      <c r="G49" s="6"/>
      <c r="H49" s="6"/>
      <c r="I49" s="43" t="str">
        <f aca="false">IF($B49="","",IFERROR(INDEX(INSUMOS!$O$6:$O$205,MATCH($B49,INSUMOS!$A$6:$A$205,0)),0))</f>
        <v/>
      </c>
      <c r="J49" s="45" t="str">
        <f aca="false">IF($B49="","",IF($E49="Ajuste (+) sobrante",1,-1)*N($F49))</f>
        <v/>
      </c>
      <c r="K49" s="35" t="str">
        <f aca="false">IF($B49="","",$J49*$I49)</f>
        <v/>
      </c>
      <c r="L49" s="46" t="str">
        <f aca="false">IF($A49="","",DATE(YEAR($A49),MONTH($A49),1))</f>
        <v/>
      </c>
    </row>
    <row r="50" customFormat="false" ht="15" hidden="false" customHeight="false" outlineLevel="0" collapsed="false">
      <c r="A50" s="44"/>
      <c r="B50" s="6"/>
      <c r="C50" s="8" t="str">
        <f aca="false">IF($B50="","",IFERROR(INDEX(INSUMOS!$B$6:$B$205,MATCH($B50,INSUMOS!$A$6:$A$205,0)),"¿Código?"))</f>
        <v/>
      </c>
      <c r="D50" s="8" t="str">
        <f aca="false">IF($B50="","",IFERROR(INDEX(INSUMOS!$D$6:$D$205,MATCH($B50,INSUMOS!$A$6:$A$205,0)),""))</f>
        <v/>
      </c>
      <c r="E50" s="6"/>
      <c r="F50" s="39"/>
      <c r="G50" s="6"/>
      <c r="H50" s="6"/>
      <c r="I50" s="43" t="str">
        <f aca="false">IF($B50="","",IFERROR(INDEX(INSUMOS!$O$6:$O$205,MATCH($B50,INSUMOS!$A$6:$A$205,0)),0))</f>
        <v/>
      </c>
      <c r="J50" s="45" t="str">
        <f aca="false">IF($B50="","",IF($E50="Ajuste (+) sobrante",1,-1)*N($F50))</f>
        <v/>
      </c>
      <c r="K50" s="35" t="str">
        <f aca="false">IF($B50="","",$J50*$I50)</f>
        <v/>
      </c>
      <c r="L50" s="46" t="str">
        <f aca="false">IF($A50="","",DATE(YEAR($A50),MONTH($A50),1))</f>
        <v/>
      </c>
    </row>
    <row r="51" customFormat="false" ht="15" hidden="false" customHeight="false" outlineLevel="0" collapsed="false">
      <c r="A51" s="44"/>
      <c r="B51" s="6"/>
      <c r="C51" s="8" t="str">
        <f aca="false">IF($B51="","",IFERROR(INDEX(INSUMOS!$B$6:$B$205,MATCH($B51,INSUMOS!$A$6:$A$205,0)),"¿Código?"))</f>
        <v/>
      </c>
      <c r="D51" s="8" t="str">
        <f aca="false">IF($B51="","",IFERROR(INDEX(INSUMOS!$D$6:$D$205,MATCH($B51,INSUMOS!$A$6:$A$205,0)),""))</f>
        <v/>
      </c>
      <c r="E51" s="6"/>
      <c r="F51" s="39"/>
      <c r="G51" s="6"/>
      <c r="H51" s="6"/>
      <c r="I51" s="43" t="str">
        <f aca="false">IF($B51="","",IFERROR(INDEX(INSUMOS!$O$6:$O$205,MATCH($B51,INSUMOS!$A$6:$A$205,0)),0))</f>
        <v/>
      </c>
      <c r="J51" s="45" t="str">
        <f aca="false">IF($B51="","",IF($E51="Ajuste (+) sobrante",1,-1)*N($F51))</f>
        <v/>
      </c>
      <c r="K51" s="35" t="str">
        <f aca="false">IF($B51="","",$J51*$I51)</f>
        <v/>
      </c>
      <c r="L51" s="46" t="str">
        <f aca="false">IF($A51="","",DATE(YEAR($A51),MONTH($A51),1))</f>
        <v/>
      </c>
    </row>
    <row r="52" customFormat="false" ht="15" hidden="false" customHeight="false" outlineLevel="0" collapsed="false">
      <c r="A52" s="44"/>
      <c r="B52" s="6"/>
      <c r="C52" s="8" t="str">
        <f aca="false">IF($B52="","",IFERROR(INDEX(INSUMOS!$B$6:$B$205,MATCH($B52,INSUMOS!$A$6:$A$205,0)),"¿Código?"))</f>
        <v/>
      </c>
      <c r="D52" s="8" t="str">
        <f aca="false">IF($B52="","",IFERROR(INDEX(INSUMOS!$D$6:$D$205,MATCH($B52,INSUMOS!$A$6:$A$205,0)),""))</f>
        <v/>
      </c>
      <c r="E52" s="6"/>
      <c r="F52" s="39"/>
      <c r="G52" s="6"/>
      <c r="H52" s="6"/>
      <c r="I52" s="43" t="str">
        <f aca="false">IF($B52="","",IFERROR(INDEX(INSUMOS!$O$6:$O$205,MATCH($B52,INSUMOS!$A$6:$A$205,0)),0))</f>
        <v/>
      </c>
      <c r="J52" s="45" t="str">
        <f aca="false">IF($B52="","",IF($E52="Ajuste (+) sobrante",1,-1)*N($F52))</f>
        <v/>
      </c>
      <c r="K52" s="35" t="str">
        <f aca="false">IF($B52="","",$J52*$I52)</f>
        <v/>
      </c>
      <c r="L52" s="46" t="str">
        <f aca="false">IF($A52="","",DATE(YEAR($A52),MONTH($A52),1))</f>
        <v/>
      </c>
    </row>
    <row r="53" customFormat="false" ht="15" hidden="false" customHeight="false" outlineLevel="0" collapsed="false">
      <c r="A53" s="44"/>
      <c r="B53" s="6"/>
      <c r="C53" s="8" t="str">
        <f aca="false">IF($B53="","",IFERROR(INDEX(INSUMOS!$B$6:$B$205,MATCH($B53,INSUMOS!$A$6:$A$205,0)),"¿Código?"))</f>
        <v/>
      </c>
      <c r="D53" s="8" t="str">
        <f aca="false">IF($B53="","",IFERROR(INDEX(INSUMOS!$D$6:$D$205,MATCH($B53,INSUMOS!$A$6:$A$205,0)),""))</f>
        <v/>
      </c>
      <c r="E53" s="6"/>
      <c r="F53" s="39"/>
      <c r="G53" s="6"/>
      <c r="H53" s="6"/>
      <c r="I53" s="43" t="str">
        <f aca="false">IF($B53="","",IFERROR(INDEX(INSUMOS!$O$6:$O$205,MATCH($B53,INSUMOS!$A$6:$A$205,0)),0))</f>
        <v/>
      </c>
      <c r="J53" s="45" t="str">
        <f aca="false">IF($B53="","",IF($E53="Ajuste (+) sobrante",1,-1)*N($F53))</f>
        <v/>
      </c>
      <c r="K53" s="35" t="str">
        <f aca="false">IF($B53="","",$J53*$I53)</f>
        <v/>
      </c>
      <c r="L53" s="46" t="str">
        <f aca="false">IF($A53="","",DATE(YEAR($A53),MONTH($A53),1))</f>
        <v/>
      </c>
    </row>
    <row r="54" customFormat="false" ht="15" hidden="false" customHeight="false" outlineLevel="0" collapsed="false">
      <c r="A54" s="44"/>
      <c r="B54" s="6"/>
      <c r="C54" s="8" t="str">
        <f aca="false">IF($B54="","",IFERROR(INDEX(INSUMOS!$B$6:$B$205,MATCH($B54,INSUMOS!$A$6:$A$205,0)),"¿Código?"))</f>
        <v/>
      </c>
      <c r="D54" s="8" t="str">
        <f aca="false">IF($B54="","",IFERROR(INDEX(INSUMOS!$D$6:$D$205,MATCH($B54,INSUMOS!$A$6:$A$205,0)),""))</f>
        <v/>
      </c>
      <c r="E54" s="6"/>
      <c r="F54" s="39"/>
      <c r="G54" s="6"/>
      <c r="H54" s="6"/>
      <c r="I54" s="43" t="str">
        <f aca="false">IF($B54="","",IFERROR(INDEX(INSUMOS!$O$6:$O$205,MATCH($B54,INSUMOS!$A$6:$A$205,0)),0))</f>
        <v/>
      </c>
      <c r="J54" s="45" t="str">
        <f aca="false">IF($B54="","",IF($E54="Ajuste (+) sobrante",1,-1)*N($F54))</f>
        <v/>
      </c>
      <c r="K54" s="35" t="str">
        <f aca="false">IF($B54="","",$J54*$I54)</f>
        <v/>
      </c>
      <c r="L54" s="46" t="str">
        <f aca="false">IF($A54="","",DATE(YEAR($A54),MONTH($A54),1))</f>
        <v/>
      </c>
    </row>
    <row r="55" customFormat="false" ht="15" hidden="false" customHeight="false" outlineLevel="0" collapsed="false">
      <c r="A55" s="44"/>
      <c r="B55" s="6"/>
      <c r="C55" s="8" t="str">
        <f aca="false">IF($B55="","",IFERROR(INDEX(INSUMOS!$B$6:$B$205,MATCH($B55,INSUMOS!$A$6:$A$205,0)),"¿Código?"))</f>
        <v/>
      </c>
      <c r="D55" s="8" t="str">
        <f aca="false">IF($B55="","",IFERROR(INDEX(INSUMOS!$D$6:$D$205,MATCH($B55,INSUMOS!$A$6:$A$205,0)),""))</f>
        <v/>
      </c>
      <c r="E55" s="6"/>
      <c r="F55" s="39"/>
      <c r="G55" s="6"/>
      <c r="H55" s="6"/>
      <c r="I55" s="43" t="str">
        <f aca="false">IF($B55="","",IFERROR(INDEX(INSUMOS!$O$6:$O$205,MATCH($B55,INSUMOS!$A$6:$A$205,0)),0))</f>
        <v/>
      </c>
      <c r="J55" s="45" t="str">
        <f aca="false">IF($B55="","",IF($E55="Ajuste (+) sobrante",1,-1)*N($F55))</f>
        <v/>
      </c>
      <c r="K55" s="35" t="str">
        <f aca="false">IF($B55="","",$J55*$I55)</f>
        <v/>
      </c>
      <c r="L55" s="46" t="str">
        <f aca="false">IF($A55="","",DATE(YEAR($A55),MONTH($A55),1))</f>
        <v/>
      </c>
    </row>
    <row r="56" customFormat="false" ht="15" hidden="false" customHeight="false" outlineLevel="0" collapsed="false">
      <c r="A56" s="44"/>
      <c r="B56" s="6"/>
      <c r="C56" s="8" t="str">
        <f aca="false">IF($B56="","",IFERROR(INDEX(INSUMOS!$B$6:$B$205,MATCH($B56,INSUMOS!$A$6:$A$205,0)),"¿Código?"))</f>
        <v/>
      </c>
      <c r="D56" s="8" t="str">
        <f aca="false">IF($B56="","",IFERROR(INDEX(INSUMOS!$D$6:$D$205,MATCH($B56,INSUMOS!$A$6:$A$205,0)),""))</f>
        <v/>
      </c>
      <c r="E56" s="6"/>
      <c r="F56" s="39"/>
      <c r="G56" s="6"/>
      <c r="H56" s="6"/>
      <c r="I56" s="43" t="str">
        <f aca="false">IF($B56="","",IFERROR(INDEX(INSUMOS!$O$6:$O$205,MATCH($B56,INSUMOS!$A$6:$A$205,0)),0))</f>
        <v/>
      </c>
      <c r="J56" s="45" t="str">
        <f aca="false">IF($B56="","",IF($E56="Ajuste (+) sobrante",1,-1)*N($F56))</f>
        <v/>
      </c>
      <c r="K56" s="35" t="str">
        <f aca="false">IF($B56="","",$J56*$I56)</f>
        <v/>
      </c>
      <c r="L56" s="46" t="str">
        <f aca="false">IF($A56="","",DATE(YEAR($A56),MONTH($A56),1))</f>
        <v/>
      </c>
    </row>
    <row r="57" customFormat="false" ht="15" hidden="false" customHeight="false" outlineLevel="0" collapsed="false">
      <c r="A57" s="44"/>
      <c r="B57" s="6"/>
      <c r="C57" s="8" t="str">
        <f aca="false">IF($B57="","",IFERROR(INDEX(INSUMOS!$B$6:$B$205,MATCH($B57,INSUMOS!$A$6:$A$205,0)),"¿Código?"))</f>
        <v/>
      </c>
      <c r="D57" s="8" t="str">
        <f aca="false">IF($B57="","",IFERROR(INDEX(INSUMOS!$D$6:$D$205,MATCH($B57,INSUMOS!$A$6:$A$205,0)),""))</f>
        <v/>
      </c>
      <c r="E57" s="6"/>
      <c r="F57" s="39"/>
      <c r="G57" s="6"/>
      <c r="H57" s="6"/>
      <c r="I57" s="43" t="str">
        <f aca="false">IF($B57="","",IFERROR(INDEX(INSUMOS!$O$6:$O$205,MATCH($B57,INSUMOS!$A$6:$A$205,0)),0))</f>
        <v/>
      </c>
      <c r="J57" s="45" t="str">
        <f aca="false">IF($B57="","",IF($E57="Ajuste (+) sobrante",1,-1)*N($F57))</f>
        <v/>
      </c>
      <c r="K57" s="35" t="str">
        <f aca="false">IF($B57="","",$J57*$I57)</f>
        <v/>
      </c>
      <c r="L57" s="46" t="str">
        <f aca="false">IF($A57="","",DATE(YEAR($A57),MONTH($A57),1))</f>
        <v/>
      </c>
    </row>
    <row r="58" customFormat="false" ht="15" hidden="false" customHeight="false" outlineLevel="0" collapsed="false">
      <c r="A58" s="44"/>
      <c r="B58" s="6"/>
      <c r="C58" s="8" t="str">
        <f aca="false">IF($B58="","",IFERROR(INDEX(INSUMOS!$B$6:$B$205,MATCH($B58,INSUMOS!$A$6:$A$205,0)),"¿Código?"))</f>
        <v/>
      </c>
      <c r="D58" s="8" t="str">
        <f aca="false">IF($B58="","",IFERROR(INDEX(INSUMOS!$D$6:$D$205,MATCH($B58,INSUMOS!$A$6:$A$205,0)),""))</f>
        <v/>
      </c>
      <c r="E58" s="6"/>
      <c r="F58" s="39"/>
      <c r="G58" s="6"/>
      <c r="H58" s="6"/>
      <c r="I58" s="43" t="str">
        <f aca="false">IF($B58="","",IFERROR(INDEX(INSUMOS!$O$6:$O$205,MATCH($B58,INSUMOS!$A$6:$A$205,0)),0))</f>
        <v/>
      </c>
      <c r="J58" s="45" t="str">
        <f aca="false">IF($B58="","",IF($E58="Ajuste (+) sobrante",1,-1)*N($F58))</f>
        <v/>
      </c>
      <c r="K58" s="35" t="str">
        <f aca="false">IF($B58="","",$J58*$I58)</f>
        <v/>
      </c>
      <c r="L58" s="46" t="str">
        <f aca="false">IF($A58="","",DATE(YEAR($A58),MONTH($A58),1))</f>
        <v/>
      </c>
    </row>
    <row r="59" customFormat="false" ht="15" hidden="false" customHeight="false" outlineLevel="0" collapsed="false">
      <c r="A59" s="44"/>
      <c r="B59" s="6"/>
      <c r="C59" s="8" t="str">
        <f aca="false">IF($B59="","",IFERROR(INDEX(INSUMOS!$B$6:$B$205,MATCH($B59,INSUMOS!$A$6:$A$205,0)),"¿Código?"))</f>
        <v/>
      </c>
      <c r="D59" s="8" t="str">
        <f aca="false">IF($B59="","",IFERROR(INDEX(INSUMOS!$D$6:$D$205,MATCH($B59,INSUMOS!$A$6:$A$205,0)),""))</f>
        <v/>
      </c>
      <c r="E59" s="6"/>
      <c r="F59" s="39"/>
      <c r="G59" s="6"/>
      <c r="H59" s="6"/>
      <c r="I59" s="43" t="str">
        <f aca="false">IF($B59="","",IFERROR(INDEX(INSUMOS!$O$6:$O$205,MATCH($B59,INSUMOS!$A$6:$A$205,0)),0))</f>
        <v/>
      </c>
      <c r="J59" s="45" t="str">
        <f aca="false">IF($B59="","",IF($E59="Ajuste (+) sobrante",1,-1)*N($F59))</f>
        <v/>
      </c>
      <c r="K59" s="35" t="str">
        <f aca="false">IF($B59="","",$J59*$I59)</f>
        <v/>
      </c>
      <c r="L59" s="46" t="str">
        <f aca="false">IF($A59="","",DATE(YEAR($A59),MONTH($A59),1))</f>
        <v/>
      </c>
    </row>
    <row r="60" customFormat="false" ht="15" hidden="false" customHeight="false" outlineLevel="0" collapsed="false">
      <c r="A60" s="44"/>
      <c r="B60" s="6"/>
      <c r="C60" s="8" t="str">
        <f aca="false">IF($B60="","",IFERROR(INDEX(INSUMOS!$B$6:$B$205,MATCH($B60,INSUMOS!$A$6:$A$205,0)),"¿Código?"))</f>
        <v/>
      </c>
      <c r="D60" s="8" t="str">
        <f aca="false">IF($B60="","",IFERROR(INDEX(INSUMOS!$D$6:$D$205,MATCH($B60,INSUMOS!$A$6:$A$205,0)),""))</f>
        <v/>
      </c>
      <c r="E60" s="6"/>
      <c r="F60" s="39"/>
      <c r="G60" s="6"/>
      <c r="H60" s="6"/>
      <c r="I60" s="43" t="str">
        <f aca="false">IF($B60="","",IFERROR(INDEX(INSUMOS!$O$6:$O$205,MATCH($B60,INSUMOS!$A$6:$A$205,0)),0))</f>
        <v/>
      </c>
      <c r="J60" s="45" t="str">
        <f aca="false">IF($B60="","",IF($E60="Ajuste (+) sobrante",1,-1)*N($F60))</f>
        <v/>
      </c>
      <c r="K60" s="35" t="str">
        <f aca="false">IF($B60="","",$J60*$I60)</f>
        <v/>
      </c>
      <c r="L60" s="46" t="str">
        <f aca="false">IF($A60="","",DATE(YEAR($A60),MONTH($A60),1))</f>
        <v/>
      </c>
    </row>
    <row r="61" customFormat="false" ht="15" hidden="false" customHeight="false" outlineLevel="0" collapsed="false">
      <c r="A61" s="44"/>
      <c r="B61" s="6"/>
      <c r="C61" s="8" t="str">
        <f aca="false">IF($B61="","",IFERROR(INDEX(INSUMOS!$B$6:$B$205,MATCH($B61,INSUMOS!$A$6:$A$205,0)),"¿Código?"))</f>
        <v/>
      </c>
      <c r="D61" s="8" t="str">
        <f aca="false">IF($B61="","",IFERROR(INDEX(INSUMOS!$D$6:$D$205,MATCH($B61,INSUMOS!$A$6:$A$205,0)),""))</f>
        <v/>
      </c>
      <c r="E61" s="6"/>
      <c r="F61" s="39"/>
      <c r="G61" s="6"/>
      <c r="H61" s="6"/>
      <c r="I61" s="43" t="str">
        <f aca="false">IF($B61="","",IFERROR(INDEX(INSUMOS!$O$6:$O$205,MATCH($B61,INSUMOS!$A$6:$A$205,0)),0))</f>
        <v/>
      </c>
      <c r="J61" s="45" t="str">
        <f aca="false">IF($B61="","",IF($E61="Ajuste (+) sobrante",1,-1)*N($F61))</f>
        <v/>
      </c>
      <c r="K61" s="35" t="str">
        <f aca="false">IF($B61="","",$J61*$I61)</f>
        <v/>
      </c>
      <c r="L61" s="46" t="str">
        <f aca="false">IF($A61="","",DATE(YEAR($A61),MONTH($A61),1))</f>
        <v/>
      </c>
    </row>
    <row r="62" customFormat="false" ht="15" hidden="false" customHeight="false" outlineLevel="0" collapsed="false">
      <c r="A62" s="44"/>
      <c r="B62" s="6"/>
      <c r="C62" s="8" t="str">
        <f aca="false">IF($B62="","",IFERROR(INDEX(INSUMOS!$B$6:$B$205,MATCH($B62,INSUMOS!$A$6:$A$205,0)),"¿Código?"))</f>
        <v/>
      </c>
      <c r="D62" s="8" t="str">
        <f aca="false">IF($B62="","",IFERROR(INDEX(INSUMOS!$D$6:$D$205,MATCH($B62,INSUMOS!$A$6:$A$205,0)),""))</f>
        <v/>
      </c>
      <c r="E62" s="6"/>
      <c r="F62" s="39"/>
      <c r="G62" s="6"/>
      <c r="H62" s="6"/>
      <c r="I62" s="43" t="str">
        <f aca="false">IF($B62="","",IFERROR(INDEX(INSUMOS!$O$6:$O$205,MATCH($B62,INSUMOS!$A$6:$A$205,0)),0))</f>
        <v/>
      </c>
      <c r="J62" s="45" t="str">
        <f aca="false">IF($B62="","",IF($E62="Ajuste (+) sobrante",1,-1)*N($F62))</f>
        <v/>
      </c>
      <c r="K62" s="35" t="str">
        <f aca="false">IF($B62="","",$J62*$I62)</f>
        <v/>
      </c>
      <c r="L62" s="46" t="str">
        <f aca="false">IF($A62="","",DATE(YEAR($A62),MONTH($A62),1))</f>
        <v/>
      </c>
    </row>
    <row r="63" customFormat="false" ht="15" hidden="false" customHeight="false" outlineLevel="0" collapsed="false">
      <c r="A63" s="44"/>
      <c r="B63" s="6"/>
      <c r="C63" s="8" t="str">
        <f aca="false">IF($B63="","",IFERROR(INDEX(INSUMOS!$B$6:$B$205,MATCH($B63,INSUMOS!$A$6:$A$205,0)),"¿Código?"))</f>
        <v/>
      </c>
      <c r="D63" s="8" t="str">
        <f aca="false">IF($B63="","",IFERROR(INDEX(INSUMOS!$D$6:$D$205,MATCH($B63,INSUMOS!$A$6:$A$205,0)),""))</f>
        <v/>
      </c>
      <c r="E63" s="6"/>
      <c r="F63" s="39"/>
      <c r="G63" s="6"/>
      <c r="H63" s="6"/>
      <c r="I63" s="43" t="str">
        <f aca="false">IF($B63="","",IFERROR(INDEX(INSUMOS!$O$6:$O$205,MATCH($B63,INSUMOS!$A$6:$A$205,0)),0))</f>
        <v/>
      </c>
      <c r="J63" s="45" t="str">
        <f aca="false">IF($B63="","",IF($E63="Ajuste (+) sobrante",1,-1)*N($F63))</f>
        <v/>
      </c>
      <c r="K63" s="35" t="str">
        <f aca="false">IF($B63="","",$J63*$I63)</f>
        <v/>
      </c>
      <c r="L63" s="46" t="str">
        <f aca="false">IF($A63="","",DATE(YEAR($A63),MONTH($A63),1))</f>
        <v/>
      </c>
    </row>
    <row r="64" customFormat="false" ht="15" hidden="false" customHeight="false" outlineLevel="0" collapsed="false">
      <c r="A64" s="44"/>
      <c r="B64" s="6"/>
      <c r="C64" s="8" t="str">
        <f aca="false">IF($B64="","",IFERROR(INDEX(INSUMOS!$B$6:$B$205,MATCH($B64,INSUMOS!$A$6:$A$205,0)),"¿Código?"))</f>
        <v/>
      </c>
      <c r="D64" s="8" t="str">
        <f aca="false">IF($B64="","",IFERROR(INDEX(INSUMOS!$D$6:$D$205,MATCH($B64,INSUMOS!$A$6:$A$205,0)),""))</f>
        <v/>
      </c>
      <c r="E64" s="6"/>
      <c r="F64" s="39"/>
      <c r="G64" s="6"/>
      <c r="H64" s="6"/>
      <c r="I64" s="43" t="str">
        <f aca="false">IF($B64="","",IFERROR(INDEX(INSUMOS!$O$6:$O$205,MATCH($B64,INSUMOS!$A$6:$A$205,0)),0))</f>
        <v/>
      </c>
      <c r="J64" s="45" t="str">
        <f aca="false">IF($B64="","",IF($E64="Ajuste (+) sobrante",1,-1)*N($F64))</f>
        <v/>
      </c>
      <c r="K64" s="35" t="str">
        <f aca="false">IF($B64="","",$J64*$I64)</f>
        <v/>
      </c>
      <c r="L64" s="46" t="str">
        <f aca="false">IF($A64="","",DATE(YEAR($A64),MONTH($A64),1))</f>
        <v/>
      </c>
    </row>
    <row r="65" customFormat="false" ht="15" hidden="false" customHeight="false" outlineLevel="0" collapsed="false">
      <c r="A65" s="44"/>
      <c r="B65" s="6"/>
      <c r="C65" s="8" t="str">
        <f aca="false">IF($B65="","",IFERROR(INDEX(INSUMOS!$B$6:$B$205,MATCH($B65,INSUMOS!$A$6:$A$205,0)),"¿Código?"))</f>
        <v/>
      </c>
      <c r="D65" s="8" t="str">
        <f aca="false">IF($B65="","",IFERROR(INDEX(INSUMOS!$D$6:$D$205,MATCH($B65,INSUMOS!$A$6:$A$205,0)),""))</f>
        <v/>
      </c>
      <c r="E65" s="6"/>
      <c r="F65" s="39"/>
      <c r="G65" s="6"/>
      <c r="H65" s="6"/>
      <c r="I65" s="43" t="str">
        <f aca="false">IF($B65="","",IFERROR(INDEX(INSUMOS!$O$6:$O$205,MATCH($B65,INSUMOS!$A$6:$A$205,0)),0))</f>
        <v/>
      </c>
      <c r="J65" s="45" t="str">
        <f aca="false">IF($B65="","",IF($E65="Ajuste (+) sobrante",1,-1)*N($F65))</f>
        <v/>
      </c>
      <c r="K65" s="35" t="str">
        <f aca="false">IF($B65="","",$J65*$I65)</f>
        <v/>
      </c>
      <c r="L65" s="46" t="str">
        <f aca="false">IF($A65="","",DATE(YEAR($A65),MONTH($A65),1))</f>
        <v/>
      </c>
    </row>
    <row r="66" customFormat="false" ht="15" hidden="false" customHeight="false" outlineLevel="0" collapsed="false">
      <c r="A66" s="44"/>
      <c r="B66" s="6"/>
      <c r="C66" s="8" t="str">
        <f aca="false">IF($B66="","",IFERROR(INDEX(INSUMOS!$B$6:$B$205,MATCH($B66,INSUMOS!$A$6:$A$205,0)),"¿Código?"))</f>
        <v/>
      </c>
      <c r="D66" s="8" t="str">
        <f aca="false">IF($B66="","",IFERROR(INDEX(INSUMOS!$D$6:$D$205,MATCH($B66,INSUMOS!$A$6:$A$205,0)),""))</f>
        <v/>
      </c>
      <c r="E66" s="6"/>
      <c r="F66" s="39"/>
      <c r="G66" s="6"/>
      <c r="H66" s="6"/>
      <c r="I66" s="43" t="str">
        <f aca="false">IF($B66="","",IFERROR(INDEX(INSUMOS!$O$6:$O$205,MATCH($B66,INSUMOS!$A$6:$A$205,0)),0))</f>
        <v/>
      </c>
      <c r="J66" s="45" t="str">
        <f aca="false">IF($B66="","",IF($E66="Ajuste (+) sobrante",1,-1)*N($F66))</f>
        <v/>
      </c>
      <c r="K66" s="35" t="str">
        <f aca="false">IF($B66="","",$J66*$I66)</f>
        <v/>
      </c>
      <c r="L66" s="46" t="str">
        <f aca="false">IF($A66="","",DATE(YEAR($A66),MONTH($A66),1))</f>
        <v/>
      </c>
    </row>
    <row r="67" customFormat="false" ht="15" hidden="false" customHeight="false" outlineLevel="0" collapsed="false">
      <c r="A67" s="44"/>
      <c r="B67" s="6"/>
      <c r="C67" s="8" t="str">
        <f aca="false">IF($B67="","",IFERROR(INDEX(INSUMOS!$B$6:$B$205,MATCH($B67,INSUMOS!$A$6:$A$205,0)),"¿Código?"))</f>
        <v/>
      </c>
      <c r="D67" s="8" t="str">
        <f aca="false">IF($B67="","",IFERROR(INDEX(INSUMOS!$D$6:$D$205,MATCH($B67,INSUMOS!$A$6:$A$205,0)),""))</f>
        <v/>
      </c>
      <c r="E67" s="6"/>
      <c r="F67" s="39"/>
      <c r="G67" s="6"/>
      <c r="H67" s="6"/>
      <c r="I67" s="43" t="str">
        <f aca="false">IF($B67="","",IFERROR(INDEX(INSUMOS!$O$6:$O$205,MATCH($B67,INSUMOS!$A$6:$A$205,0)),0))</f>
        <v/>
      </c>
      <c r="J67" s="45" t="str">
        <f aca="false">IF($B67="","",IF($E67="Ajuste (+) sobrante",1,-1)*N($F67))</f>
        <v/>
      </c>
      <c r="K67" s="35" t="str">
        <f aca="false">IF($B67="","",$J67*$I67)</f>
        <v/>
      </c>
      <c r="L67" s="46" t="str">
        <f aca="false">IF($A67="","",DATE(YEAR($A67),MONTH($A67),1))</f>
        <v/>
      </c>
    </row>
    <row r="68" customFormat="false" ht="15" hidden="false" customHeight="false" outlineLevel="0" collapsed="false">
      <c r="A68" s="44"/>
      <c r="B68" s="6"/>
      <c r="C68" s="8" t="str">
        <f aca="false">IF($B68="","",IFERROR(INDEX(INSUMOS!$B$6:$B$205,MATCH($B68,INSUMOS!$A$6:$A$205,0)),"¿Código?"))</f>
        <v/>
      </c>
      <c r="D68" s="8" t="str">
        <f aca="false">IF($B68="","",IFERROR(INDEX(INSUMOS!$D$6:$D$205,MATCH($B68,INSUMOS!$A$6:$A$205,0)),""))</f>
        <v/>
      </c>
      <c r="E68" s="6"/>
      <c r="F68" s="39"/>
      <c r="G68" s="6"/>
      <c r="H68" s="6"/>
      <c r="I68" s="43" t="str">
        <f aca="false">IF($B68="","",IFERROR(INDEX(INSUMOS!$O$6:$O$205,MATCH($B68,INSUMOS!$A$6:$A$205,0)),0))</f>
        <v/>
      </c>
      <c r="J68" s="45" t="str">
        <f aca="false">IF($B68="","",IF($E68="Ajuste (+) sobrante",1,-1)*N($F68))</f>
        <v/>
      </c>
      <c r="K68" s="35" t="str">
        <f aca="false">IF($B68="","",$J68*$I68)</f>
        <v/>
      </c>
      <c r="L68" s="46" t="str">
        <f aca="false">IF($A68="","",DATE(YEAR($A68),MONTH($A68),1))</f>
        <v/>
      </c>
    </row>
    <row r="69" customFormat="false" ht="15" hidden="false" customHeight="false" outlineLevel="0" collapsed="false">
      <c r="A69" s="44"/>
      <c r="B69" s="6"/>
      <c r="C69" s="8" t="str">
        <f aca="false">IF($B69="","",IFERROR(INDEX(INSUMOS!$B$6:$B$205,MATCH($B69,INSUMOS!$A$6:$A$205,0)),"¿Código?"))</f>
        <v/>
      </c>
      <c r="D69" s="8" t="str">
        <f aca="false">IF($B69="","",IFERROR(INDEX(INSUMOS!$D$6:$D$205,MATCH($B69,INSUMOS!$A$6:$A$205,0)),""))</f>
        <v/>
      </c>
      <c r="E69" s="6"/>
      <c r="F69" s="39"/>
      <c r="G69" s="6"/>
      <c r="H69" s="6"/>
      <c r="I69" s="43" t="str">
        <f aca="false">IF($B69="","",IFERROR(INDEX(INSUMOS!$O$6:$O$205,MATCH($B69,INSUMOS!$A$6:$A$205,0)),0))</f>
        <v/>
      </c>
      <c r="J69" s="45" t="str">
        <f aca="false">IF($B69="","",IF($E69="Ajuste (+) sobrante",1,-1)*N($F69))</f>
        <v/>
      </c>
      <c r="K69" s="35" t="str">
        <f aca="false">IF($B69="","",$J69*$I69)</f>
        <v/>
      </c>
      <c r="L69" s="46" t="str">
        <f aca="false">IF($A69="","",DATE(YEAR($A69),MONTH($A69),1))</f>
        <v/>
      </c>
    </row>
    <row r="70" customFormat="false" ht="15" hidden="false" customHeight="false" outlineLevel="0" collapsed="false">
      <c r="A70" s="44"/>
      <c r="B70" s="6"/>
      <c r="C70" s="8" t="str">
        <f aca="false">IF($B70="","",IFERROR(INDEX(INSUMOS!$B$6:$B$205,MATCH($B70,INSUMOS!$A$6:$A$205,0)),"¿Código?"))</f>
        <v/>
      </c>
      <c r="D70" s="8" t="str">
        <f aca="false">IF($B70="","",IFERROR(INDEX(INSUMOS!$D$6:$D$205,MATCH($B70,INSUMOS!$A$6:$A$205,0)),""))</f>
        <v/>
      </c>
      <c r="E70" s="6"/>
      <c r="F70" s="39"/>
      <c r="G70" s="6"/>
      <c r="H70" s="6"/>
      <c r="I70" s="43" t="str">
        <f aca="false">IF($B70="","",IFERROR(INDEX(INSUMOS!$O$6:$O$205,MATCH($B70,INSUMOS!$A$6:$A$205,0)),0))</f>
        <v/>
      </c>
      <c r="J70" s="45" t="str">
        <f aca="false">IF($B70="","",IF($E70="Ajuste (+) sobrante",1,-1)*N($F70))</f>
        <v/>
      </c>
      <c r="K70" s="35" t="str">
        <f aca="false">IF($B70="","",$J70*$I70)</f>
        <v/>
      </c>
      <c r="L70" s="46" t="str">
        <f aca="false">IF($A70="","",DATE(YEAR($A70),MONTH($A70),1))</f>
        <v/>
      </c>
    </row>
    <row r="71" customFormat="false" ht="15" hidden="false" customHeight="false" outlineLevel="0" collapsed="false">
      <c r="A71" s="44"/>
      <c r="B71" s="6"/>
      <c r="C71" s="8" t="str">
        <f aca="false">IF($B71="","",IFERROR(INDEX(INSUMOS!$B$6:$B$205,MATCH($B71,INSUMOS!$A$6:$A$205,0)),"¿Código?"))</f>
        <v/>
      </c>
      <c r="D71" s="8" t="str">
        <f aca="false">IF($B71="","",IFERROR(INDEX(INSUMOS!$D$6:$D$205,MATCH($B71,INSUMOS!$A$6:$A$205,0)),""))</f>
        <v/>
      </c>
      <c r="E71" s="6"/>
      <c r="F71" s="39"/>
      <c r="G71" s="6"/>
      <c r="H71" s="6"/>
      <c r="I71" s="43" t="str">
        <f aca="false">IF($B71="","",IFERROR(INDEX(INSUMOS!$O$6:$O$205,MATCH($B71,INSUMOS!$A$6:$A$205,0)),0))</f>
        <v/>
      </c>
      <c r="J71" s="45" t="str">
        <f aca="false">IF($B71="","",IF($E71="Ajuste (+) sobrante",1,-1)*N($F71))</f>
        <v/>
      </c>
      <c r="K71" s="35" t="str">
        <f aca="false">IF($B71="","",$J71*$I71)</f>
        <v/>
      </c>
      <c r="L71" s="46" t="str">
        <f aca="false">IF($A71="","",DATE(YEAR($A71),MONTH($A71),1))</f>
        <v/>
      </c>
    </row>
    <row r="72" customFormat="false" ht="15" hidden="false" customHeight="false" outlineLevel="0" collapsed="false">
      <c r="A72" s="44"/>
      <c r="B72" s="6"/>
      <c r="C72" s="8" t="str">
        <f aca="false">IF($B72="","",IFERROR(INDEX(INSUMOS!$B$6:$B$205,MATCH($B72,INSUMOS!$A$6:$A$205,0)),"¿Código?"))</f>
        <v/>
      </c>
      <c r="D72" s="8" t="str">
        <f aca="false">IF($B72="","",IFERROR(INDEX(INSUMOS!$D$6:$D$205,MATCH($B72,INSUMOS!$A$6:$A$205,0)),""))</f>
        <v/>
      </c>
      <c r="E72" s="6"/>
      <c r="F72" s="39"/>
      <c r="G72" s="6"/>
      <c r="H72" s="6"/>
      <c r="I72" s="43" t="str">
        <f aca="false">IF($B72="","",IFERROR(INDEX(INSUMOS!$O$6:$O$205,MATCH($B72,INSUMOS!$A$6:$A$205,0)),0))</f>
        <v/>
      </c>
      <c r="J72" s="45" t="str">
        <f aca="false">IF($B72="","",IF($E72="Ajuste (+) sobrante",1,-1)*N($F72))</f>
        <v/>
      </c>
      <c r="K72" s="35" t="str">
        <f aca="false">IF($B72="","",$J72*$I72)</f>
        <v/>
      </c>
      <c r="L72" s="46" t="str">
        <f aca="false">IF($A72="","",DATE(YEAR($A72),MONTH($A72),1))</f>
        <v/>
      </c>
    </row>
    <row r="73" customFormat="false" ht="15" hidden="false" customHeight="false" outlineLevel="0" collapsed="false">
      <c r="A73" s="44"/>
      <c r="B73" s="6"/>
      <c r="C73" s="8" t="str">
        <f aca="false">IF($B73="","",IFERROR(INDEX(INSUMOS!$B$6:$B$205,MATCH($B73,INSUMOS!$A$6:$A$205,0)),"¿Código?"))</f>
        <v/>
      </c>
      <c r="D73" s="8" t="str">
        <f aca="false">IF($B73="","",IFERROR(INDEX(INSUMOS!$D$6:$D$205,MATCH($B73,INSUMOS!$A$6:$A$205,0)),""))</f>
        <v/>
      </c>
      <c r="E73" s="6"/>
      <c r="F73" s="39"/>
      <c r="G73" s="6"/>
      <c r="H73" s="6"/>
      <c r="I73" s="43" t="str">
        <f aca="false">IF($B73="","",IFERROR(INDEX(INSUMOS!$O$6:$O$205,MATCH($B73,INSUMOS!$A$6:$A$205,0)),0))</f>
        <v/>
      </c>
      <c r="J73" s="45" t="str">
        <f aca="false">IF($B73="","",IF($E73="Ajuste (+) sobrante",1,-1)*N($F73))</f>
        <v/>
      </c>
      <c r="K73" s="35" t="str">
        <f aca="false">IF($B73="","",$J73*$I73)</f>
        <v/>
      </c>
      <c r="L73" s="46" t="str">
        <f aca="false">IF($A73="","",DATE(YEAR($A73),MONTH($A73),1))</f>
        <v/>
      </c>
    </row>
    <row r="74" customFormat="false" ht="15" hidden="false" customHeight="false" outlineLevel="0" collapsed="false">
      <c r="A74" s="44"/>
      <c r="B74" s="6"/>
      <c r="C74" s="8" t="str">
        <f aca="false">IF($B74="","",IFERROR(INDEX(INSUMOS!$B$6:$B$205,MATCH($B74,INSUMOS!$A$6:$A$205,0)),"¿Código?"))</f>
        <v/>
      </c>
      <c r="D74" s="8" t="str">
        <f aca="false">IF($B74="","",IFERROR(INDEX(INSUMOS!$D$6:$D$205,MATCH($B74,INSUMOS!$A$6:$A$205,0)),""))</f>
        <v/>
      </c>
      <c r="E74" s="6"/>
      <c r="F74" s="39"/>
      <c r="G74" s="6"/>
      <c r="H74" s="6"/>
      <c r="I74" s="43" t="str">
        <f aca="false">IF($B74="","",IFERROR(INDEX(INSUMOS!$O$6:$O$205,MATCH($B74,INSUMOS!$A$6:$A$205,0)),0))</f>
        <v/>
      </c>
      <c r="J74" s="45" t="str">
        <f aca="false">IF($B74="","",IF($E74="Ajuste (+) sobrante",1,-1)*N($F74))</f>
        <v/>
      </c>
      <c r="K74" s="35" t="str">
        <f aca="false">IF($B74="","",$J74*$I74)</f>
        <v/>
      </c>
      <c r="L74" s="46" t="str">
        <f aca="false">IF($A74="","",DATE(YEAR($A74),MONTH($A74),1))</f>
        <v/>
      </c>
    </row>
    <row r="75" customFormat="false" ht="15" hidden="false" customHeight="false" outlineLevel="0" collapsed="false">
      <c r="A75" s="44"/>
      <c r="B75" s="6"/>
      <c r="C75" s="8" t="str">
        <f aca="false">IF($B75="","",IFERROR(INDEX(INSUMOS!$B$6:$B$205,MATCH($B75,INSUMOS!$A$6:$A$205,0)),"¿Código?"))</f>
        <v/>
      </c>
      <c r="D75" s="8" t="str">
        <f aca="false">IF($B75="","",IFERROR(INDEX(INSUMOS!$D$6:$D$205,MATCH($B75,INSUMOS!$A$6:$A$205,0)),""))</f>
        <v/>
      </c>
      <c r="E75" s="6"/>
      <c r="F75" s="39"/>
      <c r="G75" s="6"/>
      <c r="H75" s="6"/>
      <c r="I75" s="43" t="str">
        <f aca="false">IF($B75="","",IFERROR(INDEX(INSUMOS!$O$6:$O$205,MATCH($B75,INSUMOS!$A$6:$A$205,0)),0))</f>
        <v/>
      </c>
      <c r="J75" s="45" t="str">
        <f aca="false">IF($B75="","",IF($E75="Ajuste (+) sobrante",1,-1)*N($F75))</f>
        <v/>
      </c>
      <c r="K75" s="35" t="str">
        <f aca="false">IF($B75="","",$J75*$I75)</f>
        <v/>
      </c>
      <c r="L75" s="46" t="str">
        <f aca="false">IF($A75="","",DATE(YEAR($A75),MONTH($A75),1))</f>
        <v/>
      </c>
    </row>
    <row r="76" customFormat="false" ht="15" hidden="false" customHeight="false" outlineLevel="0" collapsed="false">
      <c r="A76" s="44"/>
      <c r="B76" s="6"/>
      <c r="C76" s="8" t="str">
        <f aca="false">IF($B76="","",IFERROR(INDEX(INSUMOS!$B$6:$B$205,MATCH($B76,INSUMOS!$A$6:$A$205,0)),"¿Código?"))</f>
        <v/>
      </c>
      <c r="D76" s="8" t="str">
        <f aca="false">IF($B76="","",IFERROR(INDEX(INSUMOS!$D$6:$D$205,MATCH($B76,INSUMOS!$A$6:$A$205,0)),""))</f>
        <v/>
      </c>
      <c r="E76" s="6"/>
      <c r="F76" s="39"/>
      <c r="G76" s="6"/>
      <c r="H76" s="6"/>
      <c r="I76" s="43" t="str">
        <f aca="false">IF($B76="","",IFERROR(INDEX(INSUMOS!$O$6:$O$205,MATCH($B76,INSUMOS!$A$6:$A$205,0)),0))</f>
        <v/>
      </c>
      <c r="J76" s="45" t="str">
        <f aca="false">IF($B76="","",IF($E76="Ajuste (+) sobrante",1,-1)*N($F76))</f>
        <v/>
      </c>
      <c r="K76" s="35" t="str">
        <f aca="false">IF($B76="","",$J76*$I76)</f>
        <v/>
      </c>
      <c r="L76" s="46" t="str">
        <f aca="false">IF($A76="","",DATE(YEAR($A76),MONTH($A76),1))</f>
        <v/>
      </c>
    </row>
    <row r="77" customFormat="false" ht="15" hidden="false" customHeight="false" outlineLevel="0" collapsed="false">
      <c r="A77" s="44"/>
      <c r="B77" s="6"/>
      <c r="C77" s="8" t="str">
        <f aca="false">IF($B77="","",IFERROR(INDEX(INSUMOS!$B$6:$B$205,MATCH($B77,INSUMOS!$A$6:$A$205,0)),"¿Código?"))</f>
        <v/>
      </c>
      <c r="D77" s="8" t="str">
        <f aca="false">IF($B77="","",IFERROR(INDEX(INSUMOS!$D$6:$D$205,MATCH($B77,INSUMOS!$A$6:$A$205,0)),""))</f>
        <v/>
      </c>
      <c r="E77" s="6"/>
      <c r="F77" s="39"/>
      <c r="G77" s="6"/>
      <c r="H77" s="6"/>
      <c r="I77" s="43" t="str">
        <f aca="false">IF($B77="","",IFERROR(INDEX(INSUMOS!$O$6:$O$205,MATCH($B77,INSUMOS!$A$6:$A$205,0)),0))</f>
        <v/>
      </c>
      <c r="J77" s="45" t="str">
        <f aca="false">IF($B77="","",IF($E77="Ajuste (+) sobrante",1,-1)*N($F77))</f>
        <v/>
      </c>
      <c r="K77" s="35" t="str">
        <f aca="false">IF($B77="","",$J77*$I77)</f>
        <v/>
      </c>
      <c r="L77" s="46" t="str">
        <f aca="false">IF($A77="","",DATE(YEAR($A77),MONTH($A77),1))</f>
        <v/>
      </c>
    </row>
    <row r="78" customFormat="false" ht="15" hidden="false" customHeight="false" outlineLevel="0" collapsed="false">
      <c r="A78" s="44"/>
      <c r="B78" s="6"/>
      <c r="C78" s="8" t="str">
        <f aca="false">IF($B78="","",IFERROR(INDEX(INSUMOS!$B$6:$B$205,MATCH($B78,INSUMOS!$A$6:$A$205,0)),"¿Código?"))</f>
        <v/>
      </c>
      <c r="D78" s="8" t="str">
        <f aca="false">IF($B78="","",IFERROR(INDEX(INSUMOS!$D$6:$D$205,MATCH($B78,INSUMOS!$A$6:$A$205,0)),""))</f>
        <v/>
      </c>
      <c r="E78" s="6"/>
      <c r="F78" s="39"/>
      <c r="G78" s="6"/>
      <c r="H78" s="6"/>
      <c r="I78" s="43" t="str">
        <f aca="false">IF($B78="","",IFERROR(INDEX(INSUMOS!$O$6:$O$205,MATCH($B78,INSUMOS!$A$6:$A$205,0)),0))</f>
        <v/>
      </c>
      <c r="J78" s="45" t="str">
        <f aca="false">IF($B78="","",IF($E78="Ajuste (+) sobrante",1,-1)*N($F78))</f>
        <v/>
      </c>
      <c r="K78" s="35" t="str">
        <f aca="false">IF($B78="","",$J78*$I78)</f>
        <v/>
      </c>
      <c r="L78" s="46" t="str">
        <f aca="false">IF($A78="","",DATE(YEAR($A78),MONTH($A78),1))</f>
        <v/>
      </c>
    </row>
    <row r="79" customFormat="false" ht="15" hidden="false" customHeight="false" outlineLevel="0" collapsed="false">
      <c r="A79" s="44"/>
      <c r="B79" s="6"/>
      <c r="C79" s="8" t="str">
        <f aca="false">IF($B79="","",IFERROR(INDEX(INSUMOS!$B$6:$B$205,MATCH($B79,INSUMOS!$A$6:$A$205,0)),"¿Código?"))</f>
        <v/>
      </c>
      <c r="D79" s="8" t="str">
        <f aca="false">IF($B79="","",IFERROR(INDEX(INSUMOS!$D$6:$D$205,MATCH($B79,INSUMOS!$A$6:$A$205,0)),""))</f>
        <v/>
      </c>
      <c r="E79" s="6"/>
      <c r="F79" s="39"/>
      <c r="G79" s="6"/>
      <c r="H79" s="6"/>
      <c r="I79" s="43" t="str">
        <f aca="false">IF($B79="","",IFERROR(INDEX(INSUMOS!$O$6:$O$205,MATCH($B79,INSUMOS!$A$6:$A$205,0)),0))</f>
        <v/>
      </c>
      <c r="J79" s="45" t="str">
        <f aca="false">IF($B79="","",IF($E79="Ajuste (+) sobrante",1,-1)*N($F79))</f>
        <v/>
      </c>
      <c r="K79" s="35" t="str">
        <f aca="false">IF($B79="","",$J79*$I79)</f>
        <v/>
      </c>
      <c r="L79" s="46" t="str">
        <f aca="false">IF($A79="","",DATE(YEAR($A79),MONTH($A79),1))</f>
        <v/>
      </c>
    </row>
    <row r="80" customFormat="false" ht="15" hidden="false" customHeight="false" outlineLevel="0" collapsed="false">
      <c r="A80" s="44"/>
      <c r="B80" s="6"/>
      <c r="C80" s="8" t="str">
        <f aca="false">IF($B80="","",IFERROR(INDEX(INSUMOS!$B$6:$B$205,MATCH($B80,INSUMOS!$A$6:$A$205,0)),"¿Código?"))</f>
        <v/>
      </c>
      <c r="D80" s="8" t="str">
        <f aca="false">IF($B80="","",IFERROR(INDEX(INSUMOS!$D$6:$D$205,MATCH($B80,INSUMOS!$A$6:$A$205,0)),""))</f>
        <v/>
      </c>
      <c r="E80" s="6"/>
      <c r="F80" s="39"/>
      <c r="G80" s="6"/>
      <c r="H80" s="6"/>
      <c r="I80" s="43" t="str">
        <f aca="false">IF($B80="","",IFERROR(INDEX(INSUMOS!$O$6:$O$205,MATCH($B80,INSUMOS!$A$6:$A$205,0)),0))</f>
        <v/>
      </c>
      <c r="J80" s="45" t="str">
        <f aca="false">IF($B80="","",IF($E80="Ajuste (+) sobrante",1,-1)*N($F80))</f>
        <v/>
      </c>
      <c r="K80" s="35" t="str">
        <f aca="false">IF($B80="","",$J80*$I80)</f>
        <v/>
      </c>
      <c r="L80" s="46" t="str">
        <f aca="false">IF($A80="","",DATE(YEAR($A80),MONTH($A80),1))</f>
        <v/>
      </c>
    </row>
    <row r="81" customFormat="false" ht="15" hidden="false" customHeight="false" outlineLevel="0" collapsed="false">
      <c r="A81" s="44"/>
      <c r="B81" s="6"/>
      <c r="C81" s="8" t="str">
        <f aca="false">IF($B81="","",IFERROR(INDEX(INSUMOS!$B$6:$B$205,MATCH($B81,INSUMOS!$A$6:$A$205,0)),"¿Código?"))</f>
        <v/>
      </c>
      <c r="D81" s="8" t="str">
        <f aca="false">IF($B81="","",IFERROR(INDEX(INSUMOS!$D$6:$D$205,MATCH($B81,INSUMOS!$A$6:$A$205,0)),""))</f>
        <v/>
      </c>
      <c r="E81" s="6"/>
      <c r="F81" s="39"/>
      <c r="G81" s="6"/>
      <c r="H81" s="6"/>
      <c r="I81" s="43" t="str">
        <f aca="false">IF($B81="","",IFERROR(INDEX(INSUMOS!$O$6:$O$205,MATCH($B81,INSUMOS!$A$6:$A$205,0)),0))</f>
        <v/>
      </c>
      <c r="J81" s="45" t="str">
        <f aca="false">IF($B81="","",IF($E81="Ajuste (+) sobrante",1,-1)*N($F81))</f>
        <v/>
      </c>
      <c r="K81" s="35" t="str">
        <f aca="false">IF($B81="","",$J81*$I81)</f>
        <v/>
      </c>
      <c r="L81" s="46" t="str">
        <f aca="false">IF($A81="","",DATE(YEAR($A81),MONTH($A81),1))</f>
        <v/>
      </c>
    </row>
    <row r="82" customFormat="false" ht="15" hidden="false" customHeight="false" outlineLevel="0" collapsed="false">
      <c r="A82" s="44"/>
      <c r="B82" s="6"/>
      <c r="C82" s="8" t="str">
        <f aca="false">IF($B82="","",IFERROR(INDEX(INSUMOS!$B$6:$B$205,MATCH($B82,INSUMOS!$A$6:$A$205,0)),"¿Código?"))</f>
        <v/>
      </c>
      <c r="D82" s="8" t="str">
        <f aca="false">IF($B82="","",IFERROR(INDEX(INSUMOS!$D$6:$D$205,MATCH($B82,INSUMOS!$A$6:$A$205,0)),""))</f>
        <v/>
      </c>
      <c r="E82" s="6"/>
      <c r="F82" s="39"/>
      <c r="G82" s="6"/>
      <c r="H82" s="6"/>
      <c r="I82" s="43" t="str">
        <f aca="false">IF($B82="","",IFERROR(INDEX(INSUMOS!$O$6:$O$205,MATCH($B82,INSUMOS!$A$6:$A$205,0)),0))</f>
        <v/>
      </c>
      <c r="J82" s="45" t="str">
        <f aca="false">IF($B82="","",IF($E82="Ajuste (+) sobrante",1,-1)*N($F82))</f>
        <v/>
      </c>
      <c r="K82" s="35" t="str">
        <f aca="false">IF($B82="","",$J82*$I82)</f>
        <v/>
      </c>
      <c r="L82" s="46" t="str">
        <f aca="false">IF($A82="","",DATE(YEAR($A82),MONTH($A82),1))</f>
        <v/>
      </c>
    </row>
    <row r="83" customFormat="false" ht="15" hidden="false" customHeight="false" outlineLevel="0" collapsed="false">
      <c r="A83" s="44"/>
      <c r="B83" s="6"/>
      <c r="C83" s="8" t="str">
        <f aca="false">IF($B83="","",IFERROR(INDEX(INSUMOS!$B$6:$B$205,MATCH($B83,INSUMOS!$A$6:$A$205,0)),"¿Código?"))</f>
        <v/>
      </c>
      <c r="D83" s="8" t="str">
        <f aca="false">IF($B83="","",IFERROR(INDEX(INSUMOS!$D$6:$D$205,MATCH($B83,INSUMOS!$A$6:$A$205,0)),""))</f>
        <v/>
      </c>
      <c r="E83" s="6"/>
      <c r="F83" s="39"/>
      <c r="G83" s="6"/>
      <c r="H83" s="6"/>
      <c r="I83" s="43" t="str">
        <f aca="false">IF($B83="","",IFERROR(INDEX(INSUMOS!$O$6:$O$205,MATCH($B83,INSUMOS!$A$6:$A$205,0)),0))</f>
        <v/>
      </c>
      <c r="J83" s="45" t="str">
        <f aca="false">IF($B83="","",IF($E83="Ajuste (+) sobrante",1,-1)*N($F83))</f>
        <v/>
      </c>
      <c r="K83" s="35" t="str">
        <f aca="false">IF($B83="","",$J83*$I83)</f>
        <v/>
      </c>
      <c r="L83" s="46" t="str">
        <f aca="false">IF($A83="","",DATE(YEAR($A83),MONTH($A83),1))</f>
        <v/>
      </c>
    </row>
    <row r="84" customFormat="false" ht="15" hidden="false" customHeight="false" outlineLevel="0" collapsed="false">
      <c r="A84" s="44"/>
      <c r="B84" s="6"/>
      <c r="C84" s="8" t="str">
        <f aca="false">IF($B84="","",IFERROR(INDEX(INSUMOS!$B$6:$B$205,MATCH($B84,INSUMOS!$A$6:$A$205,0)),"¿Código?"))</f>
        <v/>
      </c>
      <c r="D84" s="8" t="str">
        <f aca="false">IF($B84="","",IFERROR(INDEX(INSUMOS!$D$6:$D$205,MATCH($B84,INSUMOS!$A$6:$A$205,0)),""))</f>
        <v/>
      </c>
      <c r="E84" s="6"/>
      <c r="F84" s="39"/>
      <c r="G84" s="6"/>
      <c r="H84" s="6"/>
      <c r="I84" s="43" t="str">
        <f aca="false">IF($B84="","",IFERROR(INDEX(INSUMOS!$O$6:$O$205,MATCH($B84,INSUMOS!$A$6:$A$205,0)),0))</f>
        <v/>
      </c>
      <c r="J84" s="45" t="str">
        <f aca="false">IF($B84="","",IF($E84="Ajuste (+) sobrante",1,-1)*N($F84))</f>
        <v/>
      </c>
      <c r="K84" s="35" t="str">
        <f aca="false">IF($B84="","",$J84*$I84)</f>
        <v/>
      </c>
      <c r="L84" s="46" t="str">
        <f aca="false">IF($A84="","",DATE(YEAR($A84),MONTH($A84),1))</f>
        <v/>
      </c>
    </row>
    <row r="85" customFormat="false" ht="15" hidden="false" customHeight="false" outlineLevel="0" collapsed="false">
      <c r="A85" s="44"/>
      <c r="B85" s="6"/>
      <c r="C85" s="8" t="str">
        <f aca="false">IF($B85="","",IFERROR(INDEX(INSUMOS!$B$6:$B$205,MATCH($B85,INSUMOS!$A$6:$A$205,0)),"¿Código?"))</f>
        <v/>
      </c>
      <c r="D85" s="8" t="str">
        <f aca="false">IF($B85="","",IFERROR(INDEX(INSUMOS!$D$6:$D$205,MATCH($B85,INSUMOS!$A$6:$A$205,0)),""))</f>
        <v/>
      </c>
      <c r="E85" s="6"/>
      <c r="F85" s="39"/>
      <c r="G85" s="6"/>
      <c r="H85" s="6"/>
      <c r="I85" s="43" t="str">
        <f aca="false">IF($B85="","",IFERROR(INDEX(INSUMOS!$O$6:$O$205,MATCH($B85,INSUMOS!$A$6:$A$205,0)),0))</f>
        <v/>
      </c>
      <c r="J85" s="45" t="str">
        <f aca="false">IF($B85="","",IF($E85="Ajuste (+) sobrante",1,-1)*N($F85))</f>
        <v/>
      </c>
      <c r="K85" s="35" t="str">
        <f aca="false">IF($B85="","",$J85*$I85)</f>
        <v/>
      </c>
      <c r="L85" s="46" t="str">
        <f aca="false">IF($A85="","",DATE(YEAR($A85),MONTH($A85),1))</f>
        <v/>
      </c>
    </row>
    <row r="86" customFormat="false" ht="15" hidden="false" customHeight="false" outlineLevel="0" collapsed="false">
      <c r="A86" s="44"/>
      <c r="B86" s="6"/>
      <c r="C86" s="8" t="str">
        <f aca="false">IF($B86="","",IFERROR(INDEX(INSUMOS!$B$6:$B$205,MATCH($B86,INSUMOS!$A$6:$A$205,0)),"¿Código?"))</f>
        <v/>
      </c>
      <c r="D86" s="8" t="str">
        <f aca="false">IF($B86="","",IFERROR(INDEX(INSUMOS!$D$6:$D$205,MATCH($B86,INSUMOS!$A$6:$A$205,0)),""))</f>
        <v/>
      </c>
      <c r="E86" s="6"/>
      <c r="F86" s="39"/>
      <c r="G86" s="6"/>
      <c r="H86" s="6"/>
      <c r="I86" s="43" t="str">
        <f aca="false">IF($B86="","",IFERROR(INDEX(INSUMOS!$O$6:$O$205,MATCH($B86,INSUMOS!$A$6:$A$205,0)),0))</f>
        <v/>
      </c>
      <c r="J86" s="45" t="str">
        <f aca="false">IF($B86="","",IF($E86="Ajuste (+) sobrante",1,-1)*N($F86))</f>
        <v/>
      </c>
      <c r="K86" s="35" t="str">
        <f aca="false">IF($B86="","",$J86*$I86)</f>
        <v/>
      </c>
      <c r="L86" s="46" t="str">
        <f aca="false">IF($A86="","",DATE(YEAR($A86),MONTH($A86),1))</f>
        <v/>
      </c>
    </row>
    <row r="87" customFormat="false" ht="15" hidden="false" customHeight="false" outlineLevel="0" collapsed="false">
      <c r="A87" s="44"/>
      <c r="B87" s="6"/>
      <c r="C87" s="8" t="str">
        <f aca="false">IF($B87="","",IFERROR(INDEX(INSUMOS!$B$6:$B$205,MATCH($B87,INSUMOS!$A$6:$A$205,0)),"¿Código?"))</f>
        <v/>
      </c>
      <c r="D87" s="8" t="str">
        <f aca="false">IF($B87="","",IFERROR(INDEX(INSUMOS!$D$6:$D$205,MATCH($B87,INSUMOS!$A$6:$A$205,0)),""))</f>
        <v/>
      </c>
      <c r="E87" s="6"/>
      <c r="F87" s="39"/>
      <c r="G87" s="6"/>
      <c r="H87" s="6"/>
      <c r="I87" s="43" t="str">
        <f aca="false">IF($B87="","",IFERROR(INDEX(INSUMOS!$O$6:$O$205,MATCH($B87,INSUMOS!$A$6:$A$205,0)),0))</f>
        <v/>
      </c>
      <c r="J87" s="45" t="str">
        <f aca="false">IF($B87="","",IF($E87="Ajuste (+) sobrante",1,-1)*N($F87))</f>
        <v/>
      </c>
      <c r="K87" s="35" t="str">
        <f aca="false">IF($B87="","",$J87*$I87)</f>
        <v/>
      </c>
      <c r="L87" s="46" t="str">
        <f aca="false">IF($A87="","",DATE(YEAR($A87),MONTH($A87),1))</f>
        <v/>
      </c>
    </row>
    <row r="88" customFormat="false" ht="15" hidden="false" customHeight="false" outlineLevel="0" collapsed="false">
      <c r="A88" s="44"/>
      <c r="B88" s="6"/>
      <c r="C88" s="8" t="str">
        <f aca="false">IF($B88="","",IFERROR(INDEX(INSUMOS!$B$6:$B$205,MATCH($B88,INSUMOS!$A$6:$A$205,0)),"¿Código?"))</f>
        <v/>
      </c>
      <c r="D88" s="8" t="str">
        <f aca="false">IF($B88="","",IFERROR(INDEX(INSUMOS!$D$6:$D$205,MATCH($B88,INSUMOS!$A$6:$A$205,0)),""))</f>
        <v/>
      </c>
      <c r="E88" s="6"/>
      <c r="F88" s="39"/>
      <c r="G88" s="6"/>
      <c r="H88" s="6"/>
      <c r="I88" s="43" t="str">
        <f aca="false">IF($B88="","",IFERROR(INDEX(INSUMOS!$O$6:$O$205,MATCH($B88,INSUMOS!$A$6:$A$205,0)),0))</f>
        <v/>
      </c>
      <c r="J88" s="45" t="str">
        <f aca="false">IF($B88="","",IF($E88="Ajuste (+) sobrante",1,-1)*N($F88))</f>
        <v/>
      </c>
      <c r="K88" s="35" t="str">
        <f aca="false">IF($B88="","",$J88*$I88)</f>
        <v/>
      </c>
      <c r="L88" s="46" t="str">
        <f aca="false">IF($A88="","",DATE(YEAR($A88),MONTH($A88),1))</f>
        <v/>
      </c>
    </row>
    <row r="89" customFormat="false" ht="15" hidden="false" customHeight="false" outlineLevel="0" collapsed="false">
      <c r="A89" s="44"/>
      <c r="B89" s="6"/>
      <c r="C89" s="8" t="str">
        <f aca="false">IF($B89="","",IFERROR(INDEX(INSUMOS!$B$6:$B$205,MATCH($B89,INSUMOS!$A$6:$A$205,0)),"¿Código?"))</f>
        <v/>
      </c>
      <c r="D89" s="8" t="str">
        <f aca="false">IF($B89="","",IFERROR(INDEX(INSUMOS!$D$6:$D$205,MATCH($B89,INSUMOS!$A$6:$A$205,0)),""))</f>
        <v/>
      </c>
      <c r="E89" s="6"/>
      <c r="F89" s="39"/>
      <c r="G89" s="6"/>
      <c r="H89" s="6"/>
      <c r="I89" s="43" t="str">
        <f aca="false">IF($B89="","",IFERROR(INDEX(INSUMOS!$O$6:$O$205,MATCH($B89,INSUMOS!$A$6:$A$205,0)),0))</f>
        <v/>
      </c>
      <c r="J89" s="45" t="str">
        <f aca="false">IF($B89="","",IF($E89="Ajuste (+) sobrante",1,-1)*N($F89))</f>
        <v/>
      </c>
      <c r="K89" s="35" t="str">
        <f aca="false">IF($B89="","",$J89*$I89)</f>
        <v/>
      </c>
      <c r="L89" s="46" t="str">
        <f aca="false">IF($A89="","",DATE(YEAR($A89),MONTH($A89),1))</f>
        <v/>
      </c>
    </row>
    <row r="90" customFormat="false" ht="15" hidden="false" customHeight="false" outlineLevel="0" collapsed="false">
      <c r="A90" s="44"/>
      <c r="B90" s="6"/>
      <c r="C90" s="8" t="str">
        <f aca="false">IF($B90="","",IFERROR(INDEX(INSUMOS!$B$6:$B$205,MATCH($B90,INSUMOS!$A$6:$A$205,0)),"¿Código?"))</f>
        <v/>
      </c>
      <c r="D90" s="8" t="str">
        <f aca="false">IF($B90="","",IFERROR(INDEX(INSUMOS!$D$6:$D$205,MATCH($B90,INSUMOS!$A$6:$A$205,0)),""))</f>
        <v/>
      </c>
      <c r="E90" s="6"/>
      <c r="F90" s="39"/>
      <c r="G90" s="6"/>
      <c r="H90" s="6"/>
      <c r="I90" s="43" t="str">
        <f aca="false">IF($B90="","",IFERROR(INDEX(INSUMOS!$O$6:$O$205,MATCH($B90,INSUMOS!$A$6:$A$205,0)),0))</f>
        <v/>
      </c>
      <c r="J90" s="45" t="str">
        <f aca="false">IF($B90="","",IF($E90="Ajuste (+) sobrante",1,-1)*N($F90))</f>
        <v/>
      </c>
      <c r="K90" s="35" t="str">
        <f aca="false">IF($B90="","",$J90*$I90)</f>
        <v/>
      </c>
      <c r="L90" s="46" t="str">
        <f aca="false">IF($A90="","",DATE(YEAR($A90),MONTH($A90),1))</f>
        <v/>
      </c>
    </row>
    <row r="91" customFormat="false" ht="15" hidden="false" customHeight="false" outlineLevel="0" collapsed="false">
      <c r="A91" s="44"/>
      <c r="B91" s="6"/>
      <c r="C91" s="8" t="str">
        <f aca="false">IF($B91="","",IFERROR(INDEX(INSUMOS!$B$6:$B$205,MATCH($B91,INSUMOS!$A$6:$A$205,0)),"¿Código?"))</f>
        <v/>
      </c>
      <c r="D91" s="8" t="str">
        <f aca="false">IF($B91="","",IFERROR(INDEX(INSUMOS!$D$6:$D$205,MATCH($B91,INSUMOS!$A$6:$A$205,0)),""))</f>
        <v/>
      </c>
      <c r="E91" s="6"/>
      <c r="F91" s="39"/>
      <c r="G91" s="6"/>
      <c r="H91" s="6"/>
      <c r="I91" s="43" t="str">
        <f aca="false">IF($B91="","",IFERROR(INDEX(INSUMOS!$O$6:$O$205,MATCH($B91,INSUMOS!$A$6:$A$205,0)),0))</f>
        <v/>
      </c>
      <c r="J91" s="45" t="str">
        <f aca="false">IF($B91="","",IF($E91="Ajuste (+) sobrante",1,-1)*N($F91))</f>
        <v/>
      </c>
      <c r="K91" s="35" t="str">
        <f aca="false">IF($B91="","",$J91*$I91)</f>
        <v/>
      </c>
      <c r="L91" s="46" t="str">
        <f aca="false">IF($A91="","",DATE(YEAR($A91),MONTH($A91),1))</f>
        <v/>
      </c>
    </row>
    <row r="92" customFormat="false" ht="15" hidden="false" customHeight="false" outlineLevel="0" collapsed="false">
      <c r="A92" s="44"/>
      <c r="B92" s="6"/>
      <c r="C92" s="8" t="str">
        <f aca="false">IF($B92="","",IFERROR(INDEX(INSUMOS!$B$6:$B$205,MATCH($B92,INSUMOS!$A$6:$A$205,0)),"¿Código?"))</f>
        <v/>
      </c>
      <c r="D92" s="8" t="str">
        <f aca="false">IF($B92="","",IFERROR(INDEX(INSUMOS!$D$6:$D$205,MATCH($B92,INSUMOS!$A$6:$A$205,0)),""))</f>
        <v/>
      </c>
      <c r="E92" s="6"/>
      <c r="F92" s="39"/>
      <c r="G92" s="6"/>
      <c r="H92" s="6"/>
      <c r="I92" s="43" t="str">
        <f aca="false">IF($B92="","",IFERROR(INDEX(INSUMOS!$O$6:$O$205,MATCH($B92,INSUMOS!$A$6:$A$205,0)),0))</f>
        <v/>
      </c>
      <c r="J92" s="45" t="str">
        <f aca="false">IF($B92="","",IF($E92="Ajuste (+) sobrante",1,-1)*N($F92))</f>
        <v/>
      </c>
      <c r="K92" s="35" t="str">
        <f aca="false">IF($B92="","",$J92*$I92)</f>
        <v/>
      </c>
      <c r="L92" s="46" t="str">
        <f aca="false">IF($A92="","",DATE(YEAR($A92),MONTH($A92),1))</f>
        <v/>
      </c>
    </row>
    <row r="93" customFormat="false" ht="15" hidden="false" customHeight="false" outlineLevel="0" collapsed="false">
      <c r="A93" s="44"/>
      <c r="B93" s="6"/>
      <c r="C93" s="8" t="str">
        <f aca="false">IF($B93="","",IFERROR(INDEX(INSUMOS!$B$6:$B$205,MATCH($B93,INSUMOS!$A$6:$A$205,0)),"¿Código?"))</f>
        <v/>
      </c>
      <c r="D93" s="8" t="str">
        <f aca="false">IF($B93="","",IFERROR(INDEX(INSUMOS!$D$6:$D$205,MATCH($B93,INSUMOS!$A$6:$A$205,0)),""))</f>
        <v/>
      </c>
      <c r="E93" s="6"/>
      <c r="F93" s="39"/>
      <c r="G93" s="6"/>
      <c r="H93" s="6"/>
      <c r="I93" s="43" t="str">
        <f aca="false">IF($B93="","",IFERROR(INDEX(INSUMOS!$O$6:$O$205,MATCH($B93,INSUMOS!$A$6:$A$205,0)),0))</f>
        <v/>
      </c>
      <c r="J93" s="45" t="str">
        <f aca="false">IF($B93="","",IF($E93="Ajuste (+) sobrante",1,-1)*N($F93))</f>
        <v/>
      </c>
      <c r="K93" s="35" t="str">
        <f aca="false">IF($B93="","",$J93*$I93)</f>
        <v/>
      </c>
      <c r="L93" s="46" t="str">
        <f aca="false">IF($A93="","",DATE(YEAR($A93),MONTH($A93),1))</f>
        <v/>
      </c>
    </row>
    <row r="94" customFormat="false" ht="15" hidden="false" customHeight="false" outlineLevel="0" collapsed="false">
      <c r="A94" s="44"/>
      <c r="B94" s="6"/>
      <c r="C94" s="8" t="str">
        <f aca="false">IF($B94="","",IFERROR(INDEX(INSUMOS!$B$6:$B$205,MATCH($B94,INSUMOS!$A$6:$A$205,0)),"¿Código?"))</f>
        <v/>
      </c>
      <c r="D94" s="8" t="str">
        <f aca="false">IF($B94="","",IFERROR(INDEX(INSUMOS!$D$6:$D$205,MATCH($B94,INSUMOS!$A$6:$A$205,0)),""))</f>
        <v/>
      </c>
      <c r="E94" s="6"/>
      <c r="F94" s="39"/>
      <c r="G94" s="6"/>
      <c r="H94" s="6"/>
      <c r="I94" s="43" t="str">
        <f aca="false">IF($B94="","",IFERROR(INDEX(INSUMOS!$O$6:$O$205,MATCH($B94,INSUMOS!$A$6:$A$205,0)),0))</f>
        <v/>
      </c>
      <c r="J94" s="45" t="str">
        <f aca="false">IF($B94="","",IF($E94="Ajuste (+) sobrante",1,-1)*N($F94))</f>
        <v/>
      </c>
      <c r="K94" s="35" t="str">
        <f aca="false">IF($B94="","",$J94*$I94)</f>
        <v/>
      </c>
      <c r="L94" s="46" t="str">
        <f aca="false">IF($A94="","",DATE(YEAR($A94),MONTH($A94),1))</f>
        <v/>
      </c>
    </row>
    <row r="95" customFormat="false" ht="15" hidden="false" customHeight="false" outlineLevel="0" collapsed="false">
      <c r="A95" s="44"/>
      <c r="B95" s="6"/>
      <c r="C95" s="8" t="str">
        <f aca="false">IF($B95="","",IFERROR(INDEX(INSUMOS!$B$6:$B$205,MATCH($B95,INSUMOS!$A$6:$A$205,0)),"¿Código?"))</f>
        <v/>
      </c>
      <c r="D95" s="8" t="str">
        <f aca="false">IF($B95="","",IFERROR(INDEX(INSUMOS!$D$6:$D$205,MATCH($B95,INSUMOS!$A$6:$A$205,0)),""))</f>
        <v/>
      </c>
      <c r="E95" s="6"/>
      <c r="F95" s="39"/>
      <c r="G95" s="6"/>
      <c r="H95" s="6"/>
      <c r="I95" s="43" t="str">
        <f aca="false">IF($B95="","",IFERROR(INDEX(INSUMOS!$O$6:$O$205,MATCH($B95,INSUMOS!$A$6:$A$205,0)),0))</f>
        <v/>
      </c>
      <c r="J95" s="45" t="str">
        <f aca="false">IF($B95="","",IF($E95="Ajuste (+) sobrante",1,-1)*N($F95))</f>
        <v/>
      </c>
      <c r="K95" s="35" t="str">
        <f aca="false">IF($B95="","",$J95*$I95)</f>
        <v/>
      </c>
      <c r="L95" s="46" t="str">
        <f aca="false">IF($A95="","",DATE(YEAR($A95),MONTH($A95),1))</f>
        <v/>
      </c>
    </row>
    <row r="96" customFormat="false" ht="15" hidden="false" customHeight="false" outlineLevel="0" collapsed="false">
      <c r="A96" s="44"/>
      <c r="B96" s="6"/>
      <c r="C96" s="8" t="str">
        <f aca="false">IF($B96="","",IFERROR(INDEX(INSUMOS!$B$6:$B$205,MATCH($B96,INSUMOS!$A$6:$A$205,0)),"¿Código?"))</f>
        <v/>
      </c>
      <c r="D96" s="8" t="str">
        <f aca="false">IF($B96="","",IFERROR(INDEX(INSUMOS!$D$6:$D$205,MATCH($B96,INSUMOS!$A$6:$A$205,0)),""))</f>
        <v/>
      </c>
      <c r="E96" s="6"/>
      <c r="F96" s="39"/>
      <c r="G96" s="6"/>
      <c r="H96" s="6"/>
      <c r="I96" s="43" t="str">
        <f aca="false">IF($B96="","",IFERROR(INDEX(INSUMOS!$O$6:$O$205,MATCH($B96,INSUMOS!$A$6:$A$205,0)),0))</f>
        <v/>
      </c>
      <c r="J96" s="45" t="str">
        <f aca="false">IF($B96="","",IF($E96="Ajuste (+) sobrante",1,-1)*N($F96))</f>
        <v/>
      </c>
      <c r="K96" s="35" t="str">
        <f aca="false">IF($B96="","",$J96*$I96)</f>
        <v/>
      </c>
      <c r="L96" s="46" t="str">
        <f aca="false">IF($A96="","",DATE(YEAR($A96),MONTH($A96),1))</f>
        <v/>
      </c>
    </row>
    <row r="97" customFormat="false" ht="15" hidden="false" customHeight="false" outlineLevel="0" collapsed="false">
      <c r="A97" s="44"/>
      <c r="B97" s="6"/>
      <c r="C97" s="8" t="str">
        <f aca="false">IF($B97="","",IFERROR(INDEX(INSUMOS!$B$6:$B$205,MATCH($B97,INSUMOS!$A$6:$A$205,0)),"¿Código?"))</f>
        <v/>
      </c>
      <c r="D97" s="8" t="str">
        <f aca="false">IF($B97="","",IFERROR(INDEX(INSUMOS!$D$6:$D$205,MATCH($B97,INSUMOS!$A$6:$A$205,0)),""))</f>
        <v/>
      </c>
      <c r="E97" s="6"/>
      <c r="F97" s="39"/>
      <c r="G97" s="6"/>
      <c r="H97" s="6"/>
      <c r="I97" s="43" t="str">
        <f aca="false">IF($B97="","",IFERROR(INDEX(INSUMOS!$O$6:$O$205,MATCH($B97,INSUMOS!$A$6:$A$205,0)),0))</f>
        <v/>
      </c>
      <c r="J97" s="45" t="str">
        <f aca="false">IF($B97="","",IF($E97="Ajuste (+) sobrante",1,-1)*N($F97))</f>
        <v/>
      </c>
      <c r="K97" s="35" t="str">
        <f aca="false">IF($B97="","",$J97*$I97)</f>
        <v/>
      </c>
      <c r="L97" s="46" t="str">
        <f aca="false">IF($A97="","",DATE(YEAR($A97),MONTH($A97),1))</f>
        <v/>
      </c>
    </row>
    <row r="98" customFormat="false" ht="15" hidden="false" customHeight="false" outlineLevel="0" collapsed="false">
      <c r="A98" s="44"/>
      <c r="B98" s="6"/>
      <c r="C98" s="8" t="str">
        <f aca="false">IF($B98="","",IFERROR(INDEX(INSUMOS!$B$6:$B$205,MATCH($B98,INSUMOS!$A$6:$A$205,0)),"¿Código?"))</f>
        <v/>
      </c>
      <c r="D98" s="8" t="str">
        <f aca="false">IF($B98="","",IFERROR(INDEX(INSUMOS!$D$6:$D$205,MATCH($B98,INSUMOS!$A$6:$A$205,0)),""))</f>
        <v/>
      </c>
      <c r="E98" s="6"/>
      <c r="F98" s="39"/>
      <c r="G98" s="6"/>
      <c r="H98" s="6"/>
      <c r="I98" s="43" t="str">
        <f aca="false">IF($B98="","",IFERROR(INDEX(INSUMOS!$O$6:$O$205,MATCH($B98,INSUMOS!$A$6:$A$205,0)),0))</f>
        <v/>
      </c>
      <c r="J98" s="45" t="str">
        <f aca="false">IF($B98="","",IF($E98="Ajuste (+) sobrante",1,-1)*N($F98))</f>
        <v/>
      </c>
      <c r="K98" s="35" t="str">
        <f aca="false">IF($B98="","",$J98*$I98)</f>
        <v/>
      </c>
      <c r="L98" s="46" t="str">
        <f aca="false">IF($A98="","",DATE(YEAR($A98),MONTH($A98),1))</f>
        <v/>
      </c>
    </row>
    <row r="99" customFormat="false" ht="15" hidden="false" customHeight="false" outlineLevel="0" collapsed="false">
      <c r="A99" s="44"/>
      <c r="B99" s="6"/>
      <c r="C99" s="8" t="str">
        <f aca="false">IF($B99="","",IFERROR(INDEX(INSUMOS!$B$6:$B$205,MATCH($B99,INSUMOS!$A$6:$A$205,0)),"¿Código?"))</f>
        <v/>
      </c>
      <c r="D99" s="8" t="str">
        <f aca="false">IF($B99="","",IFERROR(INDEX(INSUMOS!$D$6:$D$205,MATCH($B99,INSUMOS!$A$6:$A$205,0)),""))</f>
        <v/>
      </c>
      <c r="E99" s="6"/>
      <c r="F99" s="39"/>
      <c r="G99" s="6"/>
      <c r="H99" s="6"/>
      <c r="I99" s="43" t="str">
        <f aca="false">IF($B99="","",IFERROR(INDEX(INSUMOS!$O$6:$O$205,MATCH($B99,INSUMOS!$A$6:$A$205,0)),0))</f>
        <v/>
      </c>
      <c r="J99" s="45" t="str">
        <f aca="false">IF($B99="","",IF($E99="Ajuste (+) sobrante",1,-1)*N($F99))</f>
        <v/>
      </c>
      <c r="K99" s="35" t="str">
        <f aca="false">IF($B99="","",$J99*$I99)</f>
        <v/>
      </c>
      <c r="L99" s="46" t="str">
        <f aca="false">IF($A99="","",DATE(YEAR($A99),MONTH($A99),1))</f>
        <v/>
      </c>
    </row>
    <row r="100" customFormat="false" ht="15" hidden="false" customHeight="false" outlineLevel="0" collapsed="false">
      <c r="A100" s="44"/>
      <c r="B100" s="6"/>
      <c r="C100" s="8" t="str">
        <f aca="false">IF($B100="","",IFERROR(INDEX(INSUMOS!$B$6:$B$205,MATCH($B100,INSUMOS!$A$6:$A$205,0)),"¿Código?"))</f>
        <v/>
      </c>
      <c r="D100" s="8" t="str">
        <f aca="false">IF($B100="","",IFERROR(INDEX(INSUMOS!$D$6:$D$205,MATCH($B100,INSUMOS!$A$6:$A$205,0)),""))</f>
        <v/>
      </c>
      <c r="E100" s="6"/>
      <c r="F100" s="39"/>
      <c r="G100" s="6"/>
      <c r="H100" s="6"/>
      <c r="I100" s="43" t="str">
        <f aca="false">IF($B100="","",IFERROR(INDEX(INSUMOS!$O$6:$O$205,MATCH($B100,INSUMOS!$A$6:$A$205,0)),0))</f>
        <v/>
      </c>
      <c r="J100" s="45" t="str">
        <f aca="false">IF($B100="","",IF($E100="Ajuste (+) sobrante",1,-1)*N($F100))</f>
        <v/>
      </c>
      <c r="K100" s="35" t="str">
        <f aca="false">IF($B100="","",$J100*$I100)</f>
        <v/>
      </c>
      <c r="L100" s="46" t="str">
        <f aca="false">IF($A100="","",DATE(YEAR($A100),MONTH($A100),1))</f>
        <v/>
      </c>
    </row>
    <row r="101" customFormat="false" ht="15" hidden="false" customHeight="false" outlineLevel="0" collapsed="false">
      <c r="A101" s="44"/>
      <c r="B101" s="6"/>
      <c r="C101" s="8" t="str">
        <f aca="false">IF($B101="","",IFERROR(INDEX(INSUMOS!$B$6:$B$205,MATCH($B101,INSUMOS!$A$6:$A$205,0)),"¿Código?"))</f>
        <v/>
      </c>
      <c r="D101" s="8" t="str">
        <f aca="false">IF($B101="","",IFERROR(INDEX(INSUMOS!$D$6:$D$205,MATCH($B101,INSUMOS!$A$6:$A$205,0)),""))</f>
        <v/>
      </c>
      <c r="E101" s="6"/>
      <c r="F101" s="39"/>
      <c r="G101" s="6"/>
      <c r="H101" s="6"/>
      <c r="I101" s="43" t="str">
        <f aca="false">IF($B101="","",IFERROR(INDEX(INSUMOS!$O$6:$O$205,MATCH($B101,INSUMOS!$A$6:$A$205,0)),0))</f>
        <v/>
      </c>
      <c r="J101" s="45" t="str">
        <f aca="false">IF($B101="","",IF($E101="Ajuste (+) sobrante",1,-1)*N($F101))</f>
        <v/>
      </c>
      <c r="K101" s="35" t="str">
        <f aca="false">IF($B101="","",$J101*$I101)</f>
        <v/>
      </c>
      <c r="L101" s="46" t="str">
        <f aca="false">IF($A101="","",DATE(YEAR($A101),MONTH($A101),1))</f>
        <v/>
      </c>
    </row>
    <row r="102" customFormat="false" ht="15" hidden="false" customHeight="false" outlineLevel="0" collapsed="false">
      <c r="A102" s="44"/>
      <c r="B102" s="6"/>
      <c r="C102" s="8" t="str">
        <f aca="false">IF($B102="","",IFERROR(INDEX(INSUMOS!$B$6:$B$205,MATCH($B102,INSUMOS!$A$6:$A$205,0)),"¿Código?"))</f>
        <v/>
      </c>
      <c r="D102" s="8" t="str">
        <f aca="false">IF($B102="","",IFERROR(INDEX(INSUMOS!$D$6:$D$205,MATCH($B102,INSUMOS!$A$6:$A$205,0)),""))</f>
        <v/>
      </c>
      <c r="E102" s="6"/>
      <c r="F102" s="39"/>
      <c r="G102" s="6"/>
      <c r="H102" s="6"/>
      <c r="I102" s="43" t="str">
        <f aca="false">IF($B102="","",IFERROR(INDEX(INSUMOS!$O$6:$O$205,MATCH($B102,INSUMOS!$A$6:$A$205,0)),0))</f>
        <v/>
      </c>
      <c r="J102" s="45" t="str">
        <f aca="false">IF($B102="","",IF($E102="Ajuste (+) sobrante",1,-1)*N($F102))</f>
        <v/>
      </c>
      <c r="K102" s="35" t="str">
        <f aca="false">IF($B102="","",$J102*$I102)</f>
        <v/>
      </c>
      <c r="L102" s="46" t="str">
        <f aca="false">IF($A102="","",DATE(YEAR($A102),MONTH($A102),1))</f>
        <v/>
      </c>
    </row>
    <row r="103" customFormat="false" ht="15" hidden="false" customHeight="false" outlineLevel="0" collapsed="false">
      <c r="A103" s="44"/>
      <c r="B103" s="6"/>
      <c r="C103" s="8" t="str">
        <f aca="false">IF($B103="","",IFERROR(INDEX(INSUMOS!$B$6:$B$205,MATCH($B103,INSUMOS!$A$6:$A$205,0)),"¿Código?"))</f>
        <v/>
      </c>
      <c r="D103" s="8" t="str">
        <f aca="false">IF($B103="","",IFERROR(INDEX(INSUMOS!$D$6:$D$205,MATCH($B103,INSUMOS!$A$6:$A$205,0)),""))</f>
        <v/>
      </c>
      <c r="E103" s="6"/>
      <c r="F103" s="39"/>
      <c r="G103" s="6"/>
      <c r="H103" s="6"/>
      <c r="I103" s="43" t="str">
        <f aca="false">IF($B103="","",IFERROR(INDEX(INSUMOS!$O$6:$O$205,MATCH($B103,INSUMOS!$A$6:$A$205,0)),0))</f>
        <v/>
      </c>
      <c r="J103" s="45" t="str">
        <f aca="false">IF($B103="","",IF($E103="Ajuste (+) sobrante",1,-1)*N($F103))</f>
        <v/>
      </c>
      <c r="K103" s="35" t="str">
        <f aca="false">IF($B103="","",$J103*$I103)</f>
        <v/>
      </c>
      <c r="L103" s="46" t="str">
        <f aca="false">IF($A103="","",DATE(YEAR($A103),MONTH($A103),1))</f>
        <v/>
      </c>
    </row>
    <row r="104" customFormat="false" ht="15" hidden="false" customHeight="false" outlineLevel="0" collapsed="false">
      <c r="A104" s="44"/>
      <c r="B104" s="6"/>
      <c r="C104" s="8" t="str">
        <f aca="false">IF($B104="","",IFERROR(INDEX(INSUMOS!$B$6:$B$205,MATCH($B104,INSUMOS!$A$6:$A$205,0)),"¿Código?"))</f>
        <v/>
      </c>
      <c r="D104" s="8" t="str">
        <f aca="false">IF($B104="","",IFERROR(INDEX(INSUMOS!$D$6:$D$205,MATCH($B104,INSUMOS!$A$6:$A$205,0)),""))</f>
        <v/>
      </c>
      <c r="E104" s="6"/>
      <c r="F104" s="39"/>
      <c r="G104" s="6"/>
      <c r="H104" s="6"/>
      <c r="I104" s="43" t="str">
        <f aca="false">IF($B104="","",IFERROR(INDEX(INSUMOS!$O$6:$O$205,MATCH($B104,INSUMOS!$A$6:$A$205,0)),0))</f>
        <v/>
      </c>
      <c r="J104" s="45" t="str">
        <f aca="false">IF($B104="","",IF($E104="Ajuste (+) sobrante",1,-1)*N($F104))</f>
        <v/>
      </c>
      <c r="K104" s="35" t="str">
        <f aca="false">IF($B104="","",$J104*$I104)</f>
        <v/>
      </c>
      <c r="L104" s="46" t="str">
        <f aca="false">IF($A104="","",DATE(YEAR($A104),MONTH($A104),1))</f>
        <v/>
      </c>
    </row>
    <row r="105" customFormat="false" ht="15" hidden="false" customHeight="false" outlineLevel="0" collapsed="false">
      <c r="A105" s="44"/>
      <c r="B105" s="6"/>
      <c r="C105" s="8" t="str">
        <f aca="false">IF($B105="","",IFERROR(INDEX(INSUMOS!$B$6:$B$205,MATCH($B105,INSUMOS!$A$6:$A$205,0)),"¿Código?"))</f>
        <v/>
      </c>
      <c r="D105" s="8" t="str">
        <f aca="false">IF($B105="","",IFERROR(INDEX(INSUMOS!$D$6:$D$205,MATCH($B105,INSUMOS!$A$6:$A$205,0)),""))</f>
        <v/>
      </c>
      <c r="E105" s="6"/>
      <c r="F105" s="39"/>
      <c r="G105" s="6"/>
      <c r="H105" s="6"/>
      <c r="I105" s="43" t="str">
        <f aca="false">IF($B105="","",IFERROR(INDEX(INSUMOS!$O$6:$O$205,MATCH($B105,INSUMOS!$A$6:$A$205,0)),0))</f>
        <v/>
      </c>
      <c r="J105" s="45" t="str">
        <f aca="false">IF($B105="","",IF($E105="Ajuste (+) sobrante",1,-1)*N($F105))</f>
        <v/>
      </c>
      <c r="K105" s="35" t="str">
        <f aca="false">IF($B105="","",$J105*$I105)</f>
        <v/>
      </c>
      <c r="L105" s="46" t="str">
        <f aca="false">IF($A105="","",DATE(YEAR($A105),MONTH($A105),1))</f>
        <v/>
      </c>
    </row>
    <row r="106" customFormat="false" ht="15" hidden="false" customHeight="false" outlineLevel="0" collapsed="false">
      <c r="A106" s="44"/>
      <c r="B106" s="6"/>
      <c r="C106" s="8" t="str">
        <f aca="false">IF($B106="","",IFERROR(INDEX(INSUMOS!$B$6:$B$205,MATCH($B106,INSUMOS!$A$6:$A$205,0)),"¿Código?"))</f>
        <v/>
      </c>
      <c r="D106" s="8" t="str">
        <f aca="false">IF($B106="","",IFERROR(INDEX(INSUMOS!$D$6:$D$205,MATCH($B106,INSUMOS!$A$6:$A$205,0)),""))</f>
        <v/>
      </c>
      <c r="E106" s="6"/>
      <c r="F106" s="39"/>
      <c r="G106" s="6"/>
      <c r="H106" s="6"/>
      <c r="I106" s="43" t="str">
        <f aca="false">IF($B106="","",IFERROR(INDEX(INSUMOS!$O$6:$O$205,MATCH($B106,INSUMOS!$A$6:$A$205,0)),0))</f>
        <v/>
      </c>
      <c r="J106" s="45" t="str">
        <f aca="false">IF($B106="","",IF($E106="Ajuste (+) sobrante",1,-1)*N($F106))</f>
        <v/>
      </c>
      <c r="K106" s="35" t="str">
        <f aca="false">IF($B106="","",$J106*$I106)</f>
        <v/>
      </c>
      <c r="L106" s="46" t="str">
        <f aca="false">IF($A106="","",DATE(YEAR($A106),MONTH($A106),1))</f>
        <v/>
      </c>
    </row>
    <row r="107" customFormat="false" ht="15" hidden="false" customHeight="false" outlineLevel="0" collapsed="false">
      <c r="A107" s="44"/>
      <c r="B107" s="6"/>
      <c r="C107" s="8" t="str">
        <f aca="false">IF($B107="","",IFERROR(INDEX(INSUMOS!$B$6:$B$205,MATCH($B107,INSUMOS!$A$6:$A$205,0)),"¿Código?"))</f>
        <v/>
      </c>
      <c r="D107" s="8" t="str">
        <f aca="false">IF($B107="","",IFERROR(INDEX(INSUMOS!$D$6:$D$205,MATCH($B107,INSUMOS!$A$6:$A$205,0)),""))</f>
        <v/>
      </c>
      <c r="E107" s="6"/>
      <c r="F107" s="39"/>
      <c r="G107" s="6"/>
      <c r="H107" s="6"/>
      <c r="I107" s="43" t="str">
        <f aca="false">IF($B107="","",IFERROR(INDEX(INSUMOS!$O$6:$O$205,MATCH($B107,INSUMOS!$A$6:$A$205,0)),0))</f>
        <v/>
      </c>
      <c r="J107" s="45" t="str">
        <f aca="false">IF($B107="","",IF($E107="Ajuste (+) sobrante",1,-1)*N($F107))</f>
        <v/>
      </c>
      <c r="K107" s="35" t="str">
        <f aca="false">IF($B107="","",$J107*$I107)</f>
        <v/>
      </c>
      <c r="L107" s="46" t="str">
        <f aca="false">IF($A107="","",DATE(YEAR($A107),MONTH($A107),1))</f>
        <v/>
      </c>
    </row>
    <row r="108" customFormat="false" ht="15" hidden="false" customHeight="false" outlineLevel="0" collapsed="false">
      <c r="A108" s="44"/>
      <c r="B108" s="6"/>
      <c r="C108" s="8" t="str">
        <f aca="false">IF($B108="","",IFERROR(INDEX(INSUMOS!$B$6:$B$205,MATCH($B108,INSUMOS!$A$6:$A$205,0)),"¿Código?"))</f>
        <v/>
      </c>
      <c r="D108" s="8" t="str">
        <f aca="false">IF($B108="","",IFERROR(INDEX(INSUMOS!$D$6:$D$205,MATCH($B108,INSUMOS!$A$6:$A$205,0)),""))</f>
        <v/>
      </c>
      <c r="E108" s="6"/>
      <c r="F108" s="39"/>
      <c r="G108" s="6"/>
      <c r="H108" s="6"/>
      <c r="I108" s="43" t="str">
        <f aca="false">IF($B108="","",IFERROR(INDEX(INSUMOS!$O$6:$O$205,MATCH($B108,INSUMOS!$A$6:$A$205,0)),0))</f>
        <v/>
      </c>
      <c r="J108" s="45" t="str">
        <f aca="false">IF($B108="","",IF($E108="Ajuste (+) sobrante",1,-1)*N($F108))</f>
        <v/>
      </c>
      <c r="K108" s="35" t="str">
        <f aca="false">IF($B108="","",$J108*$I108)</f>
        <v/>
      </c>
      <c r="L108" s="46" t="str">
        <f aca="false">IF($A108="","",DATE(YEAR($A108),MONTH($A108),1))</f>
        <v/>
      </c>
    </row>
    <row r="109" customFormat="false" ht="15" hidden="false" customHeight="false" outlineLevel="0" collapsed="false">
      <c r="A109" s="44"/>
      <c r="B109" s="6"/>
      <c r="C109" s="8" t="str">
        <f aca="false">IF($B109="","",IFERROR(INDEX(INSUMOS!$B$6:$B$205,MATCH($B109,INSUMOS!$A$6:$A$205,0)),"¿Código?"))</f>
        <v/>
      </c>
      <c r="D109" s="8" t="str">
        <f aca="false">IF($B109="","",IFERROR(INDEX(INSUMOS!$D$6:$D$205,MATCH($B109,INSUMOS!$A$6:$A$205,0)),""))</f>
        <v/>
      </c>
      <c r="E109" s="6"/>
      <c r="F109" s="39"/>
      <c r="G109" s="6"/>
      <c r="H109" s="6"/>
      <c r="I109" s="43" t="str">
        <f aca="false">IF($B109="","",IFERROR(INDEX(INSUMOS!$O$6:$O$205,MATCH($B109,INSUMOS!$A$6:$A$205,0)),0))</f>
        <v/>
      </c>
      <c r="J109" s="45" t="str">
        <f aca="false">IF($B109="","",IF($E109="Ajuste (+) sobrante",1,-1)*N($F109))</f>
        <v/>
      </c>
      <c r="K109" s="35" t="str">
        <f aca="false">IF($B109="","",$J109*$I109)</f>
        <v/>
      </c>
      <c r="L109" s="46" t="str">
        <f aca="false">IF($A109="","",DATE(YEAR($A109),MONTH($A109),1))</f>
        <v/>
      </c>
    </row>
    <row r="110" customFormat="false" ht="15" hidden="false" customHeight="false" outlineLevel="0" collapsed="false">
      <c r="A110" s="44"/>
      <c r="B110" s="6"/>
      <c r="C110" s="8" t="str">
        <f aca="false">IF($B110="","",IFERROR(INDEX(INSUMOS!$B$6:$B$205,MATCH($B110,INSUMOS!$A$6:$A$205,0)),"¿Código?"))</f>
        <v/>
      </c>
      <c r="D110" s="8" t="str">
        <f aca="false">IF($B110="","",IFERROR(INDEX(INSUMOS!$D$6:$D$205,MATCH($B110,INSUMOS!$A$6:$A$205,0)),""))</f>
        <v/>
      </c>
      <c r="E110" s="6"/>
      <c r="F110" s="39"/>
      <c r="G110" s="6"/>
      <c r="H110" s="6"/>
      <c r="I110" s="43" t="str">
        <f aca="false">IF($B110="","",IFERROR(INDEX(INSUMOS!$O$6:$O$205,MATCH($B110,INSUMOS!$A$6:$A$205,0)),0))</f>
        <v/>
      </c>
      <c r="J110" s="45" t="str">
        <f aca="false">IF($B110="","",IF($E110="Ajuste (+) sobrante",1,-1)*N($F110))</f>
        <v/>
      </c>
      <c r="K110" s="35" t="str">
        <f aca="false">IF($B110="","",$J110*$I110)</f>
        <v/>
      </c>
      <c r="L110" s="46" t="str">
        <f aca="false">IF($A110="","",DATE(YEAR($A110),MONTH($A110),1))</f>
        <v/>
      </c>
    </row>
    <row r="111" customFormat="false" ht="15" hidden="false" customHeight="false" outlineLevel="0" collapsed="false">
      <c r="A111" s="44"/>
      <c r="B111" s="6"/>
      <c r="C111" s="8" t="str">
        <f aca="false">IF($B111="","",IFERROR(INDEX(INSUMOS!$B$6:$B$205,MATCH($B111,INSUMOS!$A$6:$A$205,0)),"¿Código?"))</f>
        <v/>
      </c>
      <c r="D111" s="8" t="str">
        <f aca="false">IF($B111="","",IFERROR(INDEX(INSUMOS!$D$6:$D$205,MATCH($B111,INSUMOS!$A$6:$A$205,0)),""))</f>
        <v/>
      </c>
      <c r="E111" s="6"/>
      <c r="F111" s="39"/>
      <c r="G111" s="6"/>
      <c r="H111" s="6"/>
      <c r="I111" s="43" t="str">
        <f aca="false">IF($B111="","",IFERROR(INDEX(INSUMOS!$O$6:$O$205,MATCH($B111,INSUMOS!$A$6:$A$205,0)),0))</f>
        <v/>
      </c>
      <c r="J111" s="45" t="str">
        <f aca="false">IF($B111="","",IF($E111="Ajuste (+) sobrante",1,-1)*N($F111))</f>
        <v/>
      </c>
      <c r="K111" s="35" t="str">
        <f aca="false">IF($B111="","",$J111*$I111)</f>
        <v/>
      </c>
      <c r="L111" s="46" t="str">
        <f aca="false">IF($A111="","",DATE(YEAR($A111),MONTH($A111),1))</f>
        <v/>
      </c>
    </row>
    <row r="112" customFormat="false" ht="15" hidden="false" customHeight="false" outlineLevel="0" collapsed="false">
      <c r="A112" s="44"/>
      <c r="B112" s="6"/>
      <c r="C112" s="8" t="str">
        <f aca="false">IF($B112="","",IFERROR(INDEX(INSUMOS!$B$6:$B$205,MATCH($B112,INSUMOS!$A$6:$A$205,0)),"¿Código?"))</f>
        <v/>
      </c>
      <c r="D112" s="8" t="str">
        <f aca="false">IF($B112="","",IFERROR(INDEX(INSUMOS!$D$6:$D$205,MATCH($B112,INSUMOS!$A$6:$A$205,0)),""))</f>
        <v/>
      </c>
      <c r="E112" s="6"/>
      <c r="F112" s="39"/>
      <c r="G112" s="6"/>
      <c r="H112" s="6"/>
      <c r="I112" s="43" t="str">
        <f aca="false">IF($B112="","",IFERROR(INDEX(INSUMOS!$O$6:$O$205,MATCH($B112,INSUMOS!$A$6:$A$205,0)),0))</f>
        <v/>
      </c>
      <c r="J112" s="45" t="str">
        <f aca="false">IF($B112="","",IF($E112="Ajuste (+) sobrante",1,-1)*N($F112))</f>
        <v/>
      </c>
      <c r="K112" s="35" t="str">
        <f aca="false">IF($B112="","",$J112*$I112)</f>
        <v/>
      </c>
      <c r="L112" s="46" t="str">
        <f aca="false">IF($A112="","",DATE(YEAR($A112),MONTH($A112),1))</f>
        <v/>
      </c>
    </row>
    <row r="113" customFormat="false" ht="15" hidden="false" customHeight="false" outlineLevel="0" collapsed="false">
      <c r="A113" s="44"/>
      <c r="B113" s="6"/>
      <c r="C113" s="8" t="str">
        <f aca="false">IF($B113="","",IFERROR(INDEX(INSUMOS!$B$6:$B$205,MATCH($B113,INSUMOS!$A$6:$A$205,0)),"¿Código?"))</f>
        <v/>
      </c>
      <c r="D113" s="8" t="str">
        <f aca="false">IF($B113="","",IFERROR(INDEX(INSUMOS!$D$6:$D$205,MATCH($B113,INSUMOS!$A$6:$A$205,0)),""))</f>
        <v/>
      </c>
      <c r="E113" s="6"/>
      <c r="F113" s="39"/>
      <c r="G113" s="6"/>
      <c r="H113" s="6"/>
      <c r="I113" s="43" t="str">
        <f aca="false">IF($B113="","",IFERROR(INDEX(INSUMOS!$O$6:$O$205,MATCH($B113,INSUMOS!$A$6:$A$205,0)),0))</f>
        <v/>
      </c>
      <c r="J113" s="45" t="str">
        <f aca="false">IF($B113="","",IF($E113="Ajuste (+) sobrante",1,-1)*N($F113))</f>
        <v/>
      </c>
      <c r="K113" s="35" t="str">
        <f aca="false">IF($B113="","",$J113*$I113)</f>
        <v/>
      </c>
      <c r="L113" s="46" t="str">
        <f aca="false">IF($A113="","",DATE(YEAR($A113),MONTH($A113),1))</f>
        <v/>
      </c>
    </row>
    <row r="114" customFormat="false" ht="15" hidden="false" customHeight="false" outlineLevel="0" collapsed="false">
      <c r="A114" s="44"/>
      <c r="B114" s="6"/>
      <c r="C114" s="8" t="str">
        <f aca="false">IF($B114="","",IFERROR(INDEX(INSUMOS!$B$6:$B$205,MATCH($B114,INSUMOS!$A$6:$A$205,0)),"¿Código?"))</f>
        <v/>
      </c>
      <c r="D114" s="8" t="str">
        <f aca="false">IF($B114="","",IFERROR(INDEX(INSUMOS!$D$6:$D$205,MATCH($B114,INSUMOS!$A$6:$A$205,0)),""))</f>
        <v/>
      </c>
      <c r="E114" s="6"/>
      <c r="F114" s="39"/>
      <c r="G114" s="6"/>
      <c r="H114" s="6"/>
      <c r="I114" s="43" t="str">
        <f aca="false">IF($B114="","",IFERROR(INDEX(INSUMOS!$O$6:$O$205,MATCH($B114,INSUMOS!$A$6:$A$205,0)),0))</f>
        <v/>
      </c>
      <c r="J114" s="45" t="str">
        <f aca="false">IF($B114="","",IF($E114="Ajuste (+) sobrante",1,-1)*N($F114))</f>
        <v/>
      </c>
      <c r="K114" s="35" t="str">
        <f aca="false">IF($B114="","",$J114*$I114)</f>
        <v/>
      </c>
      <c r="L114" s="46" t="str">
        <f aca="false">IF($A114="","",DATE(YEAR($A114),MONTH($A114),1))</f>
        <v/>
      </c>
    </row>
    <row r="115" customFormat="false" ht="15" hidden="false" customHeight="false" outlineLevel="0" collapsed="false">
      <c r="A115" s="44"/>
      <c r="B115" s="6"/>
      <c r="C115" s="8" t="str">
        <f aca="false">IF($B115="","",IFERROR(INDEX(INSUMOS!$B$6:$B$205,MATCH($B115,INSUMOS!$A$6:$A$205,0)),"¿Código?"))</f>
        <v/>
      </c>
      <c r="D115" s="8" t="str">
        <f aca="false">IF($B115="","",IFERROR(INDEX(INSUMOS!$D$6:$D$205,MATCH($B115,INSUMOS!$A$6:$A$205,0)),""))</f>
        <v/>
      </c>
      <c r="E115" s="6"/>
      <c r="F115" s="39"/>
      <c r="G115" s="6"/>
      <c r="H115" s="6"/>
      <c r="I115" s="43" t="str">
        <f aca="false">IF($B115="","",IFERROR(INDEX(INSUMOS!$O$6:$O$205,MATCH($B115,INSUMOS!$A$6:$A$205,0)),0))</f>
        <v/>
      </c>
      <c r="J115" s="45" t="str">
        <f aca="false">IF($B115="","",IF($E115="Ajuste (+) sobrante",1,-1)*N($F115))</f>
        <v/>
      </c>
      <c r="K115" s="35" t="str">
        <f aca="false">IF($B115="","",$J115*$I115)</f>
        <v/>
      </c>
      <c r="L115" s="46" t="str">
        <f aca="false">IF($A115="","",DATE(YEAR($A115),MONTH($A115),1))</f>
        <v/>
      </c>
    </row>
    <row r="116" customFormat="false" ht="15" hidden="false" customHeight="false" outlineLevel="0" collapsed="false">
      <c r="A116" s="44"/>
      <c r="B116" s="6"/>
      <c r="C116" s="8" t="str">
        <f aca="false">IF($B116="","",IFERROR(INDEX(INSUMOS!$B$6:$B$205,MATCH($B116,INSUMOS!$A$6:$A$205,0)),"¿Código?"))</f>
        <v/>
      </c>
      <c r="D116" s="8" t="str">
        <f aca="false">IF($B116="","",IFERROR(INDEX(INSUMOS!$D$6:$D$205,MATCH($B116,INSUMOS!$A$6:$A$205,0)),""))</f>
        <v/>
      </c>
      <c r="E116" s="6"/>
      <c r="F116" s="39"/>
      <c r="G116" s="6"/>
      <c r="H116" s="6"/>
      <c r="I116" s="43" t="str">
        <f aca="false">IF($B116="","",IFERROR(INDEX(INSUMOS!$O$6:$O$205,MATCH($B116,INSUMOS!$A$6:$A$205,0)),0))</f>
        <v/>
      </c>
      <c r="J116" s="45" t="str">
        <f aca="false">IF($B116="","",IF($E116="Ajuste (+) sobrante",1,-1)*N($F116))</f>
        <v/>
      </c>
      <c r="K116" s="35" t="str">
        <f aca="false">IF($B116="","",$J116*$I116)</f>
        <v/>
      </c>
      <c r="L116" s="46" t="str">
        <f aca="false">IF($A116="","",DATE(YEAR($A116),MONTH($A116),1))</f>
        <v/>
      </c>
    </row>
    <row r="117" customFormat="false" ht="15" hidden="false" customHeight="false" outlineLevel="0" collapsed="false">
      <c r="A117" s="44"/>
      <c r="B117" s="6"/>
      <c r="C117" s="8" t="str">
        <f aca="false">IF($B117="","",IFERROR(INDEX(INSUMOS!$B$6:$B$205,MATCH($B117,INSUMOS!$A$6:$A$205,0)),"¿Código?"))</f>
        <v/>
      </c>
      <c r="D117" s="8" t="str">
        <f aca="false">IF($B117="","",IFERROR(INDEX(INSUMOS!$D$6:$D$205,MATCH($B117,INSUMOS!$A$6:$A$205,0)),""))</f>
        <v/>
      </c>
      <c r="E117" s="6"/>
      <c r="F117" s="39"/>
      <c r="G117" s="6"/>
      <c r="H117" s="6"/>
      <c r="I117" s="43" t="str">
        <f aca="false">IF($B117="","",IFERROR(INDEX(INSUMOS!$O$6:$O$205,MATCH($B117,INSUMOS!$A$6:$A$205,0)),0))</f>
        <v/>
      </c>
      <c r="J117" s="45" t="str">
        <f aca="false">IF($B117="","",IF($E117="Ajuste (+) sobrante",1,-1)*N($F117))</f>
        <v/>
      </c>
      <c r="K117" s="35" t="str">
        <f aca="false">IF($B117="","",$J117*$I117)</f>
        <v/>
      </c>
      <c r="L117" s="46" t="str">
        <f aca="false">IF($A117="","",DATE(YEAR($A117),MONTH($A117),1))</f>
        <v/>
      </c>
    </row>
    <row r="118" customFormat="false" ht="15" hidden="false" customHeight="false" outlineLevel="0" collapsed="false">
      <c r="A118" s="44"/>
      <c r="B118" s="6"/>
      <c r="C118" s="8" t="str">
        <f aca="false">IF($B118="","",IFERROR(INDEX(INSUMOS!$B$6:$B$205,MATCH($B118,INSUMOS!$A$6:$A$205,0)),"¿Código?"))</f>
        <v/>
      </c>
      <c r="D118" s="8" t="str">
        <f aca="false">IF($B118="","",IFERROR(INDEX(INSUMOS!$D$6:$D$205,MATCH($B118,INSUMOS!$A$6:$A$205,0)),""))</f>
        <v/>
      </c>
      <c r="E118" s="6"/>
      <c r="F118" s="39"/>
      <c r="G118" s="6"/>
      <c r="H118" s="6"/>
      <c r="I118" s="43" t="str">
        <f aca="false">IF($B118="","",IFERROR(INDEX(INSUMOS!$O$6:$O$205,MATCH($B118,INSUMOS!$A$6:$A$205,0)),0))</f>
        <v/>
      </c>
      <c r="J118" s="45" t="str">
        <f aca="false">IF($B118="","",IF($E118="Ajuste (+) sobrante",1,-1)*N($F118))</f>
        <v/>
      </c>
      <c r="K118" s="35" t="str">
        <f aca="false">IF($B118="","",$J118*$I118)</f>
        <v/>
      </c>
      <c r="L118" s="46" t="str">
        <f aca="false">IF($A118="","",DATE(YEAR($A118),MONTH($A118),1))</f>
        <v/>
      </c>
    </row>
    <row r="119" customFormat="false" ht="15" hidden="false" customHeight="false" outlineLevel="0" collapsed="false">
      <c r="A119" s="44"/>
      <c r="B119" s="6"/>
      <c r="C119" s="8" t="str">
        <f aca="false">IF($B119="","",IFERROR(INDEX(INSUMOS!$B$6:$B$205,MATCH($B119,INSUMOS!$A$6:$A$205,0)),"¿Código?"))</f>
        <v/>
      </c>
      <c r="D119" s="8" t="str">
        <f aca="false">IF($B119="","",IFERROR(INDEX(INSUMOS!$D$6:$D$205,MATCH($B119,INSUMOS!$A$6:$A$205,0)),""))</f>
        <v/>
      </c>
      <c r="E119" s="6"/>
      <c r="F119" s="39"/>
      <c r="G119" s="6"/>
      <c r="H119" s="6"/>
      <c r="I119" s="43" t="str">
        <f aca="false">IF($B119="","",IFERROR(INDEX(INSUMOS!$O$6:$O$205,MATCH($B119,INSUMOS!$A$6:$A$205,0)),0))</f>
        <v/>
      </c>
      <c r="J119" s="45" t="str">
        <f aca="false">IF($B119="","",IF($E119="Ajuste (+) sobrante",1,-1)*N($F119))</f>
        <v/>
      </c>
      <c r="K119" s="35" t="str">
        <f aca="false">IF($B119="","",$J119*$I119)</f>
        <v/>
      </c>
      <c r="L119" s="46" t="str">
        <f aca="false">IF($A119="","",DATE(YEAR($A119),MONTH($A119),1))</f>
        <v/>
      </c>
    </row>
    <row r="120" customFormat="false" ht="15" hidden="false" customHeight="false" outlineLevel="0" collapsed="false">
      <c r="A120" s="44"/>
      <c r="B120" s="6"/>
      <c r="C120" s="8" t="str">
        <f aca="false">IF($B120="","",IFERROR(INDEX(INSUMOS!$B$6:$B$205,MATCH($B120,INSUMOS!$A$6:$A$205,0)),"¿Código?"))</f>
        <v/>
      </c>
      <c r="D120" s="8" t="str">
        <f aca="false">IF($B120="","",IFERROR(INDEX(INSUMOS!$D$6:$D$205,MATCH($B120,INSUMOS!$A$6:$A$205,0)),""))</f>
        <v/>
      </c>
      <c r="E120" s="6"/>
      <c r="F120" s="39"/>
      <c r="G120" s="6"/>
      <c r="H120" s="6"/>
      <c r="I120" s="43" t="str">
        <f aca="false">IF($B120="","",IFERROR(INDEX(INSUMOS!$O$6:$O$205,MATCH($B120,INSUMOS!$A$6:$A$205,0)),0))</f>
        <v/>
      </c>
      <c r="J120" s="45" t="str">
        <f aca="false">IF($B120="","",IF($E120="Ajuste (+) sobrante",1,-1)*N($F120))</f>
        <v/>
      </c>
      <c r="K120" s="35" t="str">
        <f aca="false">IF($B120="","",$J120*$I120)</f>
        <v/>
      </c>
      <c r="L120" s="46" t="str">
        <f aca="false">IF($A120="","",DATE(YEAR($A120),MONTH($A120),1))</f>
        <v/>
      </c>
    </row>
    <row r="121" customFormat="false" ht="15" hidden="false" customHeight="false" outlineLevel="0" collapsed="false">
      <c r="A121" s="44"/>
      <c r="B121" s="6"/>
      <c r="C121" s="8" t="str">
        <f aca="false">IF($B121="","",IFERROR(INDEX(INSUMOS!$B$6:$B$205,MATCH($B121,INSUMOS!$A$6:$A$205,0)),"¿Código?"))</f>
        <v/>
      </c>
      <c r="D121" s="8" t="str">
        <f aca="false">IF($B121="","",IFERROR(INDEX(INSUMOS!$D$6:$D$205,MATCH($B121,INSUMOS!$A$6:$A$205,0)),""))</f>
        <v/>
      </c>
      <c r="E121" s="6"/>
      <c r="F121" s="39"/>
      <c r="G121" s="6"/>
      <c r="H121" s="6"/>
      <c r="I121" s="43" t="str">
        <f aca="false">IF($B121="","",IFERROR(INDEX(INSUMOS!$O$6:$O$205,MATCH($B121,INSUMOS!$A$6:$A$205,0)),0))</f>
        <v/>
      </c>
      <c r="J121" s="45" t="str">
        <f aca="false">IF($B121="","",IF($E121="Ajuste (+) sobrante",1,-1)*N($F121))</f>
        <v/>
      </c>
      <c r="K121" s="35" t="str">
        <f aca="false">IF($B121="","",$J121*$I121)</f>
        <v/>
      </c>
      <c r="L121" s="46" t="str">
        <f aca="false">IF($A121="","",DATE(YEAR($A121),MONTH($A121),1))</f>
        <v/>
      </c>
    </row>
    <row r="122" customFormat="false" ht="15" hidden="false" customHeight="false" outlineLevel="0" collapsed="false">
      <c r="A122" s="44"/>
      <c r="B122" s="6"/>
      <c r="C122" s="8" t="str">
        <f aca="false">IF($B122="","",IFERROR(INDEX(INSUMOS!$B$6:$B$205,MATCH($B122,INSUMOS!$A$6:$A$205,0)),"¿Código?"))</f>
        <v/>
      </c>
      <c r="D122" s="8" t="str">
        <f aca="false">IF($B122="","",IFERROR(INDEX(INSUMOS!$D$6:$D$205,MATCH($B122,INSUMOS!$A$6:$A$205,0)),""))</f>
        <v/>
      </c>
      <c r="E122" s="6"/>
      <c r="F122" s="39"/>
      <c r="G122" s="6"/>
      <c r="H122" s="6"/>
      <c r="I122" s="43" t="str">
        <f aca="false">IF($B122="","",IFERROR(INDEX(INSUMOS!$O$6:$O$205,MATCH($B122,INSUMOS!$A$6:$A$205,0)),0))</f>
        <v/>
      </c>
      <c r="J122" s="45" t="str">
        <f aca="false">IF($B122="","",IF($E122="Ajuste (+) sobrante",1,-1)*N($F122))</f>
        <v/>
      </c>
      <c r="K122" s="35" t="str">
        <f aca="false">IF($B122="","",$J122*$I122)</f>
        <v/>
      </c>
      <c r="L122" s="46" t="str">
        <f aca="false">IF($A122="","",DATE(YEAR($A122),MONTH($A122),1))</f>
        <v/>
      </c>
    </row>
    <row r="123" customFormat="false" ht="15" hidden="false" customHeight="false" outlineLevel="0" collapsed="false">
      <c r="A123" s="44"/>
      <c r="B123" s="6"/>
      <c r="C123" s="8" t="str">
        <f aca="false">IF($B123="","",IFERROR(INDEX(INSUMOS!$B$6:$B$205,MATCH($B123,INSUMOS!$A$6:$A$205,0)),"¿Código?"))</f>
        <v/>
      </c>
      <c r="D123" s="8" t="str">
        <f aca="false">IF($B123="","",IFERROR(INDEX(INSUMOS!$D$6:$D$205,MATCH($B123,INSUMOS!$A$6:$A$205,0)),""))</f>
        <v/>
      </c>
      <c r="E123" s="6"/>
      <c r="F123" s="39"/>
      <c r="G123" s="6"/>
      <c r="H123" s="6"/>
      <c r="I123" s="43" t="str">
        <f aca="false">IF($B123="","",IFERROR(INDEX(INSUMOS!$O$6:$O$205,MATCH($B123,INSUMOS!$A$6:$A$205,0)),0))</f>
        <v/>
      </c>
      <c r="J123" s="45" t="str">
        <f aca="false">IF($B123="","",IF($E123="Ajuste (+) sobrante",1,-1)*N($F123))</f>
        <v/>
      </c>
      <c r="K123" s="35" t="str">
        <f aca="false">IF($B123="","",$J123*$I123)</f>
        <v/>
      </c>
      <c r="L123" s="46" t="str">
        <f aca="false">IF($A123="","",DATE(YEAR($A123),MONTH($A123),1))</f>
        <v/>
      </c>
    </row>
    <row r="124" customFormat="false" ht="15" hidden="false" customHeight="false" outlineLevel="0" collapsed="false">
      <c r="A124" s="44"/>
      <c r="B124" s="6"/>
      <c r="C124" s="8" t="str">
        <f aca="false">IF($B124="","",IFERROR(INDEX(INSUMOS!$B$6:$B$205,MATCH($B124,INSUMOS!$A$6:$A$205,0)),"¿Código?"))</f>
        <v/>
      </c>
      <c r="D124" s="8" t="str">
        <f aca="false">IF($B124="","",IFERROR(INDEX(INSUMOS!$D$6:$D$205,MATCH($B124,INSUMOS!$A$6:$A$205,0)),""))</f>
        <v/>
      </c>
      <c r="E124" s="6"/>
      <c r="F124" s="39"/>
      <c r="G124" s="6"/>
      <c r="H124" s="6"/>
      <c r="I124" s="43" t="str">
        <f aca="false">IF($B124="","",IFERROR(INDEX(INSUMOS!$O$6:$O$205,MATCH($B124,INSUMOS!$A$6:$A$205,0)),0))</f>
        <v/>
      </c>
      <c r="J124" s="45" t="str">
        <f aca="false">IF($B124="","",IF($E124="Ajuste (+) sobrante",1,-1)*N($F124))</f>
        <v/>
      </c>
      <c r="K124" s="35" t="str">
        <f aca="false">IF($B124="","",$J124*$I124)</f>
        <v/>
      </c>
      <c r="L124" s="46" t="str">
        <f aca="false">IF($A124="","",DATE(YEAR($A124),MONTH($A124),1))</f>
        <v/>
      </c>
    </row>
    <row r="125" customFormat="false" ht="15" hidden="false" customHeight="false" outlineLevel="0" collapsed="false">
      <c r="A125" s="44"/>
      <c r="B125" s="6"/>
      <c r="C125" s="8" t="str">
        <f aca="false">IF($B125="","",IFERROR(INDEX(INSUMOS!$B$6:$B$205,MATCH($B125,INSUMOS!$A$6:$A$205,0)),"¿Código?"))</f>
        <v/>
      </c>
      <c r="D125" s="8" t="str">
        <f aca="false">IF($B125="","",IFERROR(INDEX(INSUMOS!$D$6:$D$205,MATCH($B125,INSUMOS!$A$6:$A$205,0)),""))</f>
        <v/>
      </c>
      <c r="E125" s="6"/>
      <c r="F125" s="39"/>
      <c r="G125" s="6"/>
      <c r="H125" s="6"/>
      <c r="I125" s="43" t="str">
        <f aca="false">IF($B125="","",IFERROR(INDEX(INSUMOS!$O$6:$O$205,MATCH($B125,INSUMOS!$A$6:$A$205,0)),0))</f>
        <v/>
      </c>
      <c r="J125" s="45" t="str">
        <f aca="false">IF($B125="","",IF($E125="Ajuste (+) sobrante",1,-1)*N($F125))</f>
        <v/>
      </c>
      <c r="K125" s="35" t="str">
        <f aca="false">IF($B125="","",$J125*$I125)</f>
        <v/>
      </c>
      <c r="L125" s="46" t="str">
        <f aca="false">IF($A125="","",DATE(YEAR($A125),MONTH($A125),1))</f>
        <v/>
      </c>
    </row>
    <row r="126" customFormat="false" ht="15" hidden="false" customHeight="false" outlineLevel="0" collapsed="false">
      <c r="A126" s="44"/>
      <c r="B126" s="6"/>
      <c r="C126" s="8" t="str">
        <f aca="false">IF($B126="","",IFERROR(INDEX(INSUMOS!$B$6:$B$205,MATCH($B126,INSUMOS!$A$6:$A$205,0)),"¿Código?"))</f>
        <v/>
      </c>
      <c r="D126" s="8" t="str">
        <f aca="false">IF($B126="","",IFERROR(INDEX(INSUMOS!$D$6:$D$205,MATCH($B126,INSUMOS!$A$6:$A$205,0)),""))</f>
        <v/>
      </c>
      <c r="E126" s="6"/>
      <c r="F126" s="39"/>
      <c r="G126" s="6"/>
      <c r="H126" s="6"/>
      <c r="I126" s="43" t="str">
        <f aca="false">IF($B126="","",IFERROR(INDEX(INSUMOS!$O$6:$O$205,MATCH($B126,INSUMOS!$A$6:$A$205,0)),0))</f>
        <v/>
      </c>
      <c r="J126" s="45" t="str">
        <f aca="false">IF($B126="","",IF($E126="Ajuste (+) sobrante",1,-1)*N($F126))</f>
        <v/>
      </c>
      <c r="K126" s="35" t="str">
        <f aca="false">IF($B126="","",$J126*$I126)</f>
        <v/>
      </c>
      <c r="L126" s="46" t="str">
        <f aca="false">IF($A126="","",DATE(YEAR($A126),MONTH($A126),1))</f>
        <v/>
      </c>
    </row>
    <row r="127" customFormat="false" ht="15" hidden="false" customHeight="false" outlineLevel="0" collapsed="false">
      <c r="A127" s="44"/>
      <c r="B127" s="6"/>
      <c r="C127" s="8" t="str">
        <f aca="false">IF($B127="","",IFERROR(INDEX(INSUMOS!$B$6:$B$205,MATCH($B127,INSUMOS!$A$6:$A$205,0)),"¿Código?"))</f>
        <v/>
      </c>
      <c r="D127" s="8" t="str">
        <f aca="false">IF($B127="","",IFERROR(INDEX(INSUMOS!$D$6:$D$205,MATCH($B127,INSUMOS!$A$6:$A$205,0)),""))</f>
        <v/>
      </c>
      <c r="E127" s="6"/>
      <c r="F127" s="39"/>
      <c r="G127" s="6"/>
      <c r="H127" s="6"/>
      <c r="I127" s="43" t="str">
        <f aca="false">IF($B127="","",IFERROR(INDEX(INSUMOS!$O$6:$O$205,MATCH($B127,INSUMOS!$A$6:$A$205,0)),0))</f>
        <v/>
      </c>
      <c r="J127" s="45" t="str">
        <f aca="false">IF($B127="","",IF($E127="Ajuste (+) sobrante",1,-1)*N($F127))</f>
        <v/>
      </c>
      <c r="K127" s="35" t="str">
        <f aca="false">IF($B127="","",$J127*$I127)</f>
        <v/>
      </c>
      <c r="L127" s="46" t="str">
        <f aca="false">IF($A127="","",DATE(YEAR($A127),MONTH($A127),1))</f>
        <v/>
      </c>
    </row>
    <row r="128" customFormat="false" ht="15" hidden="false" customHeight="false" outlineLevel="0" collapsed="false">
      <c r="A128" s="44"/>
      <c r="B128" s="6"/>
      <c r="C128" s="8" t="str">
        <f aca="false">IF($B128="","",IFERROR(INDEX(INSUMOS!$B$6:$B$205,MATCH($B128,INSUMOS!$A$6:$A$205,0)),"¿Código?"))</f>
        <v/>
      </c>
      <c r="D128" s="8" t="str">
        <f aca="false">IF($B128="","",IFERROR(INDEX(INSUMOS!$D$6:$D$205,MATCH($B128,INSUMOS!$A$6:$A$205,0)),""))</f>
        <v/>
      </c>
      <c r="E128" s="6"/>
      <c r="F128" s="39"/>
      <c r="G128" s="6"/>
      <c r="H128" s="6"/>
      <c r="I128" s="43" t="str">
        <f aca="false">IF($B128="","",IFERROR(INDEX(INSUMOS!$O$6:$O$205,MATCH($B128,INSUMOS!$A$6:$A$205,0)),0))</f>
        <v/>
      </c>
      <c r="J128" s="45" t="str">
        <f aca="false">IF($B128="","",IF($E128="Ajuste (+) sobrante",1,-1)*N($F128))</f>
        <v/>
      </c>
      <c r="K128" s="35" t="str">
        <f aca="false">IF($B128="","",$J128*$I128)</f>
        <v/>
      </c>
      <c r="L128" s="46" t="str">
        <f aca="false">IF($A128="","",DATE(YEAR($A128),MONTH($A128),1))</f>
        <v/>
      </c>
    </row>
    <row r="129" customFormat="false" ht="15" hidden="false" customHeight="false" outlineLevel="0" collapsed="false">
      <c r="A129" s="44"/>
      <c r="B129" s="6"/>
      <c r="C129" s="8" t="str">
        <f aca="false">IF($B129="","",IFERROR(INDEX(INSUMOS!$B$6:$B$205,MATCH($B129,INSUMOS!$A$6:$A$205,0)),"¿Código?"))</f>
        <v/>
      </c>
      <c r="D129" s="8" t="str">
        <f aca="false">IF($B129="","",IFERROR(INDEX(INSUMOS!$D$6:$D$205,MATCH($B129,INSUMOS!$A$6:$A$205,0)),""))</f>
        <v/>
      </c>
      <c r="E129" s="6"/>
      <c r="F129" s="39"/>
      <c r="G129" s="6"/>
      <c r="H129" s="6"/>
      <c r="I129" s="43" t="str">
        <f aca="false">IF($B129="","",IFERROR(INDEX(INSUMOS!$O$6:$O$205,MATCH($B129,INSUMOS!$A$6:$A$205,0)),0))</f>
        <v/>
      </c>
      <c r="J129" s="45" t="str">
        <f aca="false">IF($B129="","",IF($E129="Ajuste (+) sobrante",1,-1)*N($F129))</f>
        <v/>
      </c>
      <c r="K129" s="35" t="str">
        <f aca="false">IF($B129="","",$J129*$I129)</f>
        <v/>
      </c>
      <c r="L129" s="46" t="str">
        <f aca="false">IF($A129="","",DATE(YEAR($A129),MONTH($A129),1))</f>
        <v/>
      </c>
    </row>
    <row r="130" customFormat="false" ht="15" hidden="false" customHeight="false" outlineLevel="0" collapsed="false">
      <c r="A130" s="44"/>
      <c r="B130" s="6"/>
      <c r="C130" s="8" t="str">
        <f aca="false">IF($B130="","",IFERROR(INDEX(INSUMOS!$B$6:$B$205,MATCH($B130,INSUMOS!$A$6:$A$205,0)),"¿Código?"))</f>
        <v/>
      </c>
      <c r="D130" s="8" t="str">
        <f aca="false">IF($B130="","",IFERROR(INDEX(INSUMOS!$D$6:$D$205,MATCH($B130,INSUMOS!$A$6:$A$205,0)),""))</f>
        <v/>
      </c>
      <c r="E130" s="6"/>
      <c r="F130" s="39"/>
      <c r="G130" s="6"/>
      <c r="H130" s="6"/>
      <c r="I130" s="43" t="str">
        <f aca="false">IF($B130="","",IFERROR(INDEX(INSUMOS!$O$6:$O$205,MATCH($B130,INSUMOS!$A$6:$A$205,0)),0))</f>
        <v/>
      </c>
      <c r="J130" s="45" t="str">
        <f aca="false">IF($B130="","",IF($E130="Ajuste (+) sobrante",1,-1)*N($F130))</f>
        <v/>
      </c>
      <c r="K130" s="35" t="str">
        <f aca="false">IF($B130="","",$J130*$I130)</f>
        <v/>
      </c>
      <c r="L130" s="46" t="str">
        <f aca="false">IF($A130="","",DATE(YEAR($A130),MONTH($A130),1))</f>
        <v/>
      </c>
    </row>
    <row r="131" customFormat="false" ht="15" hidden="false" customHeight="false" outlineLevel="0" collapsed="false">
      <c r="A131" s="44"/>
      <c r="B131" s="6"/>
      <c r="C131" s="8" t="str">
        <f aca="false">IF($B131="","",IFERROR(INDEX(INSUMOS!$B$6:$B$205,MATCH($B131,INSUMOS!$A$6:$A$205,0)),"¿Código?"))</f>
        <v/>
      </c>
      <c r="D131" s="8" t="str">
        <f aca="false">IF($B131="","",IFERROR(INDEX(INSUMOS!$D$6:$D$205,MATCH($B131,INSUMOS!$A$6:$A$205,0)),""))</f>
        <v/>
      </c>
      <c r="E131" s="6"/>
      <c r="F131" s="39"/>
      <c r="G131" s="6"/>
      <c r="H131" s="6"/>
      <c r="I131" s="43" t="str">
        <f aca="false">IF($B131="","",IFERROR(INDEX(INSUMOS!$O$6:$O$205,MATCH($B131,INSUMOS!$A$6:$A$205,0)),0))</f>
        <v/>
      </c>
      <c r="J131" s="45" t="str">
        <f aca="false">IF($B131="","",IF($E131="Ajuste (+) sobrante",1,-1)*N($F131))</f>
        <v/>
      </c>
      <c r="K131" s="35" t="str">
        <f aca="false">IF($B131="","",$J131*$I131)</f>
        <v/>
      </c>
      <c r="L131" s="46" t="str">
        <f aca="false">IF($A131="","",DATE(YEAR($A131),MONTH($A131),1))</f>
        <v/>
      </c>
    </row>
    <row r="132" customFormat="false" ht="15" hidden="false" customHeight="false" outlineLevel="0" collapsed="false">
      <c r="A132" s="44"/>
      <c r="B132" s="6"/>
      <c r="C132" s="8" t="str">
        <f aca="false">IF($B132="","",IFERROR(INDEX(INSUMOS!$B$6:$B$205,MATCH($B132,INSUMOS!$A$6:$A$205,0)),"¿Código?"))</f>
        <v/>
      </c>
      <c r="D132" s="8" t="str">
        <f aca="false">IF($B132="","",IFERROR(INDEX(INSUMOS!$D$6:$D$205,MATCH($B132,INSUMOS!$A$6:$A$205,0)),""))</f>
        <v/>
      </c>
      <c r="E132" s="6"/>
      <c r="F132" s="39"/>
      <c r="G132" s="6"/>
      <c r="H132" s="6"/>
      <c r="I132" s="43" t="str">
        <f aca="false">IF($B132="","",IFERROR(INDEX(INSUMOS!$O$6:$O$205,MATCH($B132,INSUMOS!$A$6:$A$205,0)),0))</f>
        <v/>
      </c>
      <c r="J132" s="45" t="str">
        <f aca="false">IF($B132="","",IF($E132="Ajuste (+) sobrante",1,-1)*N($F132))</f>
        <v/>
      </c>
      <c r="K132" s="35" t="str">
        <f aca="false">IF($B132="","",$J132*$I132)</f>
        <v/>
      </c>
      <c r="L132" s="46" t="str">
        <f aca="false">IF($A132="","",DATE(YEAR($A132),MONTH($A132),1))</f>
        <v/>
      </c>
    </row>
    <row r="133" customFormat="false" ht="15" hidden="false" customHeight="false" outlineLevel="0" collapsed="false">
      <c r="A133" s="44"/>
      <c r="B133" s="6"/>
      <c r="C133" s="8" t="str">
        <f aca="false">IF($B133="","",IFERROR(INDEX(INSUMOS!$B$6:$B$205,MATCH($B133,INSUMOS!$A$6:$A$205,0)),"¿Código?"))</f>
        <v/>
      </c>
      <c r="D133" s="8" t="str">
        <f aca="false">IF($B133="","",IFERROR(INDEX(INSUMOS!$D$6:$D$205,MATCH($B133,INSUMOS!$A$6:$A$205,0)),""))</f>
        <v/>
      </c>
      <c r="E133" s="6"/>
      <c r="F133" s="39"/>
      <c r="G133" s="6"/>
      <c r="H133" s="6"/>
      <c r="I133" s="43" t="str">
        <f aca="false">IF($B133="","",IFERROR(INDEX(INSUMOS!$O$6:$O$205,MATCH($B133,INSUMOS!$A$6:$A$205,0)),0))</f>
        <v/>
      </c>
      <c r="J133" s="45" t="str">
        <f aca="false">IF($B133="","",IF($E133="Ajuste (+) sobrante",1,-1)*N($F133))</f>
        <v/>
      </c>
      <c r="K133" s="35" t="str">
        <f aca="false">IF($B133="","",$J133*$I133)</f>
        <v/>
      </c>
      <c r="L133" s="46" t="str">
        <f aca="false">IF($A133="","",DATE(YEAR($A133),MONTH($A133),1))</f>
        <v/>
      </c>
    </row>
    <row r="134" customFormat="false" ht="15" hidden="false" customHeight="false" outlineLevel="0" collapsed="false">
      <c r="A134" s="44"/>
      <c r="B134" s="6"/>
      <c r="C134" s="8" t="str">
        <f aca="false">IF($B134="","",IFERROR(INDEX(INSUMOS!$B$6:$B$205,MATCH($B134,INSUMOS!$A$6:$A$205,0)),"¿Código?"))</f>
        <v/>
      </c>
      <c r="D134" s="8" t="str">
        <f aca="false">IF($B134="","",IFERROR(INDEX(INSUMOS!$D$6:$D$205,MATCH($B134,INSUMOS!$A$6:$A$205,0)),""))</f>
        <v/>
      </c>
      <c r="E134" s="6"/>
      <c r="F134" s="39"/>
      <c r="G134" s="6"/>
      <c r="H134" s="6"/>
      <c r="I134" s="43" t="str">
        <f aca="false">IF($B134="","",IFERROR(INDEX(INSUMOS!$O$6:$O$205,MATCH($B134,INSUMOS!$A$6:$A$205,0)),0))</f>
        <v/>
      </c>
      <c r="J134" s="45" t="str">
        <f aca="false">IF($B134="","",IF($E134="Ajuste (+) sobrante",1,-1)*N($F134))</f>
        <v/>
      </c>
      <c r="K134" s="35" t="str">
        <f aca="false">IF($B134="","",$J134*$I134)</f>
        <v/>
      </c>
      <c r="L134" s="46" t="str">
        <f aca="false">IF($A134="","",DATE(YEAR($A134),MONTH($A134),1))</f>
        <v/>
      </c>
    </row>
    <row r="135" customFormat="false" ht="15" hidden="false" customHeight="false" outlineLevel="0" collapsed="false">
      <c r="A135" s="44"/>
      <c r="B135" s="6"/>
      <c r="C135" s="8" t="str">
        <f aca="false">IF($B135="","",IFERROR(INDEX(INSUMOS!$B$6:$B$205,MATCH($B135,INSUMOS!$A$6:$A$205,0)),"¿Código?"))</f>
        <v/>
      </c>
      <c r="D135" s="8" t="str">
        <f aca="false">IF($B135="","",IFERROR(INDEX(INSUMOS!$D$6:$D$205,MATCH($B135,INSUMOS!$A$6:$A$205,0)),""))</f>
        <v/>
      </c>
      <c r="E135" s="6"/>
      <c r="F135" s="39"/>
      <c r="G135" s="6"/>
      <c r="H135" s="6"/>
      <c r="I135" s="43" t="str">
        <f aca="false">IF($B135="","",IFERROR(INDEX(INSUMOS!$O$6:$O$205,MATCH($B135,INSUMOS!$A$6:$A$205,0)),0))</f>
        <v/>
      </c>
      <c r="J135" s="45" t="str">
        <f aca="false">IF($B135="","",IF($E135="Ajuste (+) sobrante",1,-1)*N($F135))</f>
        <v/>
      </c>
      <c r="K135" s="35" t="str">
        <f aca="false">IF($B135="","",$J135*$I135)</f>
        <v/>
      </c>
      <c r="L135" s="46" t="str">
        <f aca="false">IF($A135="","",DATE(YEAR($A135),MONTH($A135),1))</f>
        <v/>
      </c>
    </row>
    <row r="136" customFormat="false" ht="15" hidden="false" customHeight="false" outlineLevel="0" collapsed="false">
      <c r="A136" s="44"/>
      <c r="B136" s="6"/>
      <c r="C136" s="8" t="str">
        <f aca="false">IF($B136="","",IFERROR(INDEX(INSUMOS!$B$6:$B$205,MATCH($B136,INSUMOS!$A$6:$A$205,0)),"¿Código?"))</f>
        <v/>
      </c>
      <c r="D136" s="8" t="str">
        <f aca="false">IF($B136="","",IFERROR(INDEX(INSUMOS!$D$6:$D$205,MATCH($B136,INSUMOS!$A$6:$A$205,0)),""))</f>
        <v/>
      </c>
      <c r="E136" s="6"/>
      <c r="F136" s="39"/>
      <c r="G136" s="6"/>
      <c r="H136" s="6"/>
      <c r="I136" s="43" t="str">
        <f aca="false">IF($B136="","",IFERROR(INDEX(INSUMOS!$O$6:$O$205,MATCH($B136,INSUMOS!$A$6:$A$205,0)),0))</f>
        <v/>
      </c>
      <c r="J136" s="45" t="str">
        <f aca="false">IF($B136="","",IF($E136="Ajuste (+) sobrante",1,-1)*N($F136))</f>
        <v/>
      </c>
      <c r="K136" s="35" t="str">
        <f aca="false">IF($B136="","",$J136*$I136)</f>
        <v/>
      </c>
      <c r="L136" s="46" t="str">
        <f aca="false">IF($A136="","",DATE(YEAR($A136),MONTH($A136),1))</f>
        <v/>
      </c>
    </row>
    <row r="137" customFormat="false" ht="15" hidden="false" customHeight="false" outlineLevel="0" collapsed="false">
      <c r="A137" s="44"/>
      <c r="B137" s="6"/>
      <c r="C137" s="8" t="str">
        <f aca="false">IF($B137="","",IFERROR(INDEX(INSUMOS!$B$6:$B$205,MATCH($B137,INSUMOS!$A$6:$A$205,0)),"¿Código?"))</f>
        <v/>
      </c>
      <c r="D137" s="8" t="str">
        <f aca="false">IF($B137="","",IFERROR(INDEX(INSUMOS!$D$6:$D$205,MATCH($B137,INSUMOS!$A$6:$A$205,0)),""))</f>
        <v/>
      </c>
      <c r="E137" s="6"/>
      <c r="F137" s="39"/>
      <c r="G137" s="6"/>
      <c r="H137" s="6"/>
      <c r="I137" s="43" t="str">
        <f aca="false">IF($B137="","",IFERROR(INDEX(INSUMOS!$O$6:$O$205,MATCH($B137,INSUMOS!$A$6:$A$205,0)),0))</f>
        <v/>
      </c>
      <c r="J137" s="45" t="str">
        <f aca="false">IF($B137="","",IF($E137="Ajuste (+) sobrante",1,-1)*N($F137))</f>
        <v/>
      </c>
      <c r="K137" s="35" t="str">
        <f aca="false">IF($B137="","",$J137*$I137)</f>
        <v/>
      </c>
      <c r="L137" s="46" t="str">
        <f aca="false">IF($A137="","",DATE(YEAR($A137),MONTH($A137),1))</f>
        <v/>
      </c>
    </row>
    <row r="138" customFormat="false" ht="15" hidden="false" customHeight="false" outlineLevel="0" collapsed="false">
      <c r="A138" s="44"/>
      <c r="B138" s="6"/>
      <c r="C138" s="8" t="str">
        <f aca="false">IF($B138="","",IFERROR(INDEX(INSUMOS!$B$6:$B$205,MATCH($B138,INSUMOS!$A$6:$A$205,0)),"¿Código?"))</f>
        <v/>
      </c>
      <c r="D138" s="8" t="str">
        <f aca="false">IF($B138="","",IFERROR(INDEX(INSUMOS!$D$6:$D$205,MATCH($B138,INSUMOS!$A$6:$A$205,0)),""))</f>
        <v/>
      </c>
      <c r="E138" s="6"/>
      <c r="F138" s="39"/>
      <c r="G138" s="6"/>
      <c r="H138" s="6"/>
      <c r="I138" s="43" t="str">
        <f aca="false">IF($B138="","",IFERROR(INDEX(INSUMOS!$O$6:$O$205,MATCH($B138,INSUMOS!$A$6:$A$205,0)),0))</f>
        <v/>
      </c>
      <c r="J138" s="45" t="str">
        <f aca="false">IF($B138="","",IF($E138="Ajuste (+) sobrante",1,-1)*N($F138))</f>
        <v/>
      </c>
      <c r="K138" s="35" t="str">
        <f aca="false">IF($B138="","",$J138*$I138)</f>
        <v/>
      </c>
      <c r="L138" s="46" t="str">
        <f aca="false">IF($A138="","",DATE(YEAR($A138),MONTH($A138),1))</f>
        <v/>
      </c>
    </row>
    <row r="139" customFormat="false" ht="15" hidden="false" customHeight="false" outlineLevel="0" collapsed="false">
      <c r="A139" s="44"/>
      <c r="B139" s="6"/>
      <c r="C139" s="8" t="str">
        <f aca="false">IF($B139="","",IFERROR(INDEX(INSUMOS!$B$6:$B$205,MATCH($B139,INSUMOS!$A$6:$A$205,0)),"¿Código?"))</f>
        <v/>
      </c>
      <c r="D139" s="8" t="str">
        <f aca="false">IF($B139="","",IFERROR(INDEX(INSUMOS!$D$6:$D$205,MATCH($B139,INSUMOS!$A$6:$A$205,0)),""))</f>
        <v/>
      </c>
      <c r="E139" s="6"/>
      <c r="F139" s="39"/>
      <c r="G139" s="6"/>
      <c r="H139" s="6"/>
      <c r="I139" s="43" t="str">
        <f aca="false">IF($B139="","",IFERROR(INDEX(INSUMOS!$O$6:$O$205,MATCH($B139,INSUMOS!$A$6:$A$205,0)),0))</f>
        <v/>
      </c>
      <c r="J139" s="45" t="str">
        <f aca="false">IF($B139="","",IF($E139="Ajuste (+) sobrante",1,-1)*N($F139))</f>
        <v/>
      </c>
      <c r="K139" s="35" t="str">
        <f aca="false">IF($B139="","",$J139*$I139)</f>
        <v/>
      </c>
      <c r="L139" s="46" t="str">
        <f aca="false">IF($A139="","",DATE(YEAR($A139),MONTH($A139),1))</f>
        <v/>
      </c>
    </row>
    <row r="140" customFormat="false" ht="15" hidden="false" customHeight="false" outlineLevel="0" collapsed="false">
      <c r="A140" s="44"/>
      <c r="B140" s="6"/>
      <c r="C140" s="8" t="str">
        <f aca="false">IF($B140="","",IFERROR(INDEX(INSUMOS!$B$6:$B$205,MATCH($B140,INSUMOS!$A$6:$A$205,0)),"¿Código?"))</f>
        <v/>
      </c>
      <c r="D140" s="8" t="str">
        <f aca="false">IF($B140="","",IFERROR(INDEX(INSUMOS!$D$6:$D$205,MATCH($B140,INSUMOS!$A$6:$A$205,0)),""))</f>
        <v/>
      </c>
      <c r="E140" s="6"/>
      <c r="F140" s="39"/>
      <c r="G140" s="6"/>
      <c r="H140" s="6"/>
      <c r="I140" s="43" t="str">
        <f aca="false">IF($B140="","",IFERROR(INDEX(INSUMOS!$O$6:$O$205,MATCH($B140,INSUMOS!$A$6:$A$205,0)),0))</f>
        <v/>
      </c>
      <c r="J140" s="45" t="str">
        <f aca="false">IF($B140="","",IF($E140="Ajuste (+) sobrante",1,-1)*N($F140))</f>
        <v/>
      </c>
      <c r="K140" s="35" t="str">
        <f aca="false">IF($B140="","",$J140*$I140)</f>
        <v/>
      </c>
      <c r="L140" s="46" t="str">
        <f aca="false">IF($A140="","",DATE(YEAR($A140),MONTH($A140),1))</f>
        <v/>
      </c>
    </row>
    <row r="141" customFormat="false" ht="15" hidden="false" customHeight="false" outlineLevel="0" collapsed="false">
      <c r="A141" s="44"/>
      <c r="B141" s="6"/>
      <c r="C141" s="8" t="str">
        <f aca="false">IF($B141="","",IFERROR(INDEX(INSUMOS!$B$6:$B$205,MATCH($B141,INSUMOS!$A$6:$A$205,0)),"¿Código?"))</f>
        <v/>
      </c>
      <c r="D141" s="8" t="str">
        <f aca="false">IF($B141="","",IFERROR(INDEX(INSUMOS!$D$6:$D$205,MATCH($B141,INSUMOS!$A$6:$A$205,0)),""))</f>
        <v/>
      </c>
      <c r="E141" s="6"/>
      <c r="F141" s="39"/>
      <c r="G141" s="6"/>
      <c r="H141" s="6"/>
      <c r="I141" s="43" t="str">
        <f aca="false">IF($B141="","",IFERROR(INDEX(INSUMOS!$O$6:$O$205,MATCH($B141,INSUMOS!$A$6:$A$205,0)),0))</f>
        <v/>
      </c>
      <c r="J141" s="45" t="str">
        <f aca="false">IF($B141="","",IF($E141="Ajuste (+) sobrante",1,-1)*N($F141))</f>
        <v/>
      </c>
      <c r="K141" s="35" t="str">
        <f aca="false">IF($B141="","",$J141*$I141)</f>
        <v/>
      </c>
      <c r="L141" s="46" t="str">
        <f aca="false">IF($A141="","",DATE(YEAR($A141),MONTH($A141),1))</f>
        <v/>
      </c>
    </row>
    <row r="142" customFormat="false" ht="15" hidden="false" customHeight="false" outlineLevel="0" collapsed="false">
      <c r="A142" s="44"/>
      <c r="B142" s="6"/>
      <c r="C142" s="8" t="str">
        <f aca="false">IF($B142="","",IFERROR(INDEX(INSUMOS!$B$6:$B$205,MATCH($B142,INSUMOS!$A$6:$A$205,0)),"¿Código?"))</f>
        <v/>
      </c>
      <c r="D142" s="8" t="str">
        <f aca="false">IF($B142="","",IFERROR(INDEX(INSUMOS!$D$6:$D$205,MATCH($B142,INSUMOS!$A$6:$A$205,0)),""))</f>
        <v/>
      </c>
      <c r="E142" s="6"/>
      <c r="F142" s="39"/>
      <c r="G142" s="6"/>
      <c r="H142" s="6"/>
      <c r="I142" s="43" t="str">
        <f aca="false">IF($B142="","",IFERROR(INDEX(INSUMOS!$O$6:$O$205,MATCH($B142,INSUMOS!$A$6:$A$205,0)),0))</f>
        <v/>
      </c>
      <c r="J142" s="45" t="str">
        <f aca="false">IF($B142="","",IF($E142="Ajuste (+) sobrante",1,-1)*N($F142))</f>
        <v/>
      </c>
      <c r="K142" s="35" t="str">
        <f aca="false">IF($B142="","",$J142*$I142)</f>
        <v/>
      </c>
      <c r="L142" s="46" t="str">
        <f aca="false">IF($A142="","",DATE(YEAR($A142),MONTH($A142),1))</f>
        <v/>
      </c>
    </row>
    <row r="143" customFormat="false" ht="15" hidden="false" customHeight="false" outlineLevel="0" collapsed="false">
      <c r="A143" s="44"/>
      <c r="B143" s="6"/>
      <c r="C143" s="8" t="str">
        <f aca="false">IF($B143="","",IFERROR(INDEX(INSUMOS!$B$6:$B$205,MATCH($B143,INSUMOS!$A$6:$A$205,0)),"¿Código?"))</f>
        <v/>
      </c>
      <c r="D143" s="8" t="str">
        <f aca="false">IF($B143="","",IFERROR(INDEX(INSUMOS!$D$6:$D$205,MATCH($B143,INSUMOS!$A$6:$A$205,0)),""))</f>
        <v/>
      </c>
      <c r="E143" s="6"/>
      <c r="F143" s="39"/>
      <c r="G143" s="6"/>
      <c r="H143" s="6"/>
      <c r="I143" s="43" t="str">
        <f aca="false">IF($B143="","",IFERROR(INDEX(INSUMOS!$O$6:$O$205,MATCH($B143,INSUMOS!$A$6:$A$205,0)),0))</f>
        <v/>
      </c>
      <c r="J143" s="45" t="str">
        <f aca="false">IF($B143="","",IF($E143="Ajuste (+) sobrante",1,-1)*N($F143))</f>
        <v/>
      </c>
      <c r="K143" s="35" t="str">
        <f aca="false">IF($B143="","",$J143*$I143)</f>
        <v/>
      </c>
      <c r="L143" s="46" t="str">
        <f aca="false">IF($A143="","",DATE(YEAR($A143),MONTH($A143),1))</f>
        <v/>
      </c>
    </row>
    <row r="144" customFormat="false" ht="15" hidden="false" customHeight="false" outlineLevel="0" collapsed="false">
      <c r="A144" s="44"/>
      <c r="B144" s="6"/>
      <c r="C144" s="8" t="str">
        <f aca="false">IF($B144="","",IFERROR(INDEX(INSUMOS!$B$6:$B$205,MATCH($B144,INSUMOS!$A$6:$A$205,0)),"¿Código?"))</f>
        <v/>
      </c>
      <c r="D144" s="8" t="str">
        <f aca="false">IF($B144="","",IFERROR(INDEX(INSUMOS!$D$6:$D$205,MATCH($B144,INSUMOS!$A$6:$A$205,0)),""))</f>
        <v/>
      </c>
      <c r="E144" s="6"/>
      <c r="F144" s="39"/>
      <c r="G144" s="6"/>
      <c r="H144" s="6"/>
      <c r="I144" s="43" t="str">
        <f aca="false">IF($B144="","",IFERROR(INDEX(INSUMOS!$O$6:$O$205,MATCH($B144,INSUMOS!$A$6:$A$205,0)),0))</f>
        <v/>
      </c>
      <c r="J144" s="45" t="str">
        <f aca="false">IF($B144="","",IF($E144="Ajuste (+) sobrante",1,-1)*N($F144))</f>
        <v/>
      </c>
      <c r="K144" s="35" t="str">
        <f aca="false">IF($B144="","",$J144*$I144)</f>
        <v/>
      </c>
      <c r="L144" s="46" t="str">
        <f aca="false">IF($A144="","",DATE(YEAR($A144),MONTH($A144),1))</f>
        <v/>
      </c>
    </row>
    <row r="145" customFormat="false" ht="15" hidden="false" customHeight="false" outlineLevel="0" collapsed="false">
      <c r="A145" s="44"/>
      <c r="B145" s="6"/>
      <c r="C145" s="8" t="str">
        <f aca="false">IF($B145="","",IFERROR(INDEX(INSUMOS!$B$6:$B$205,MATCH($B145,INSUMOS!$A$6:$A$205,0)),"¿Código?"))</f>
        <v/>
      </c>
      <c r="D145" s="8" t="str">
        <f aca="false">IF($B145="","",IFERROR(INDEX(INSUMOS!$D$6:$D$205,MATCH($B145,INSUMOS!$A$6:$A$205,0)),""))</f>
        <v/>
      </c>
      <c r="E145" s="6"/>
      <c r="F145" s="39"/>
      <c r="G145" s="6"/>
      <c r="H145" s="6"/>
      <c r="I145" s="43" t="str">
        <f aca="false">IF($B145="","",IFERROR(INDEX(INSUMOS!$O$6:$O$205,MATCH($B145,INSUMOS!$A$6:$A$205,0)),0))</f>
        <v/>
      </c>
      <c r="J145" s="45" t="str">
        <f aca="false">IF($B145="","",IF($E145="Ajuste (+) sobrante",1,-1)*N($F145))</f>
        <v/>
      </c>
      <c r="K145" s="35" t="str">
        <f aca="false">IF($B145="","",$J145*$I145)</f>
        <v/>
      </c>
      <c r="L145" s="46" t="str">
        <f aca="false">IF($A145="","",DATE(YEAR($A145),MONTH($A145),1))</f>
        <v/>
      </c>
    </row>
    <row r="146" customFormat="false" ht="15" hidden="false" customHeight="false" outlineLevel="0" collapsed="false">
      <c r="A146" s="44"/>
      <c r="B146" s="6"/>
      <c r="C146" s="8" t="str">
        <f aca="false">IF($B146="","",IFERROR(INDEX(INSUMOS!$B$6:$B$205,MATCH($B146,INSUMOS!$A$6:$A$205,0)),"¿Código?"))</f>
        <v/>
      </c>
      <c r="D146" s="8" t="str">
        <f aca="false">IF($B146="","",IFERROR(INDEX(INSUMOS!$D$6:$D$205,MATCH($B146,INSUMOS!$A$6:$A$205,0)),""))</f>
        <v/>
      </c>
      <c r="E146" s="6"/>
      <c r="F146" s="39"/>
      <c r="G146" s="6"/>
      <c r="H146" s="6"/>
      <c r="I146" s="43" t="str">
        <f aca="false">IF($B146="","",IFERROR(INDEX(INSUMOS!$O$6:$O$205,MATCH($B146,INSUMOS!$A$6:$A$205,0)),0))</f>
        <v/>
      </c>
      <c r="J146" s="45" t="str">
        <f aca="false">IF($B146="","",IF($E146="Ajuste (+) sobrante",1,-1)*N($F146))</f>
        <v/>
      </c>
      <c r="K146" s="35" t="str">
        <f aca="false">IF($B146="","",$J146*$I146)</f>
        <v/>
      </c>
      <c r="L146" s="46" t="str">
        <f aca="false">IF($A146="","",DATE(YEAR($A146),MONTH($A146),1))</f>
        <v/>
      </c>
    </row>
    <row r="147" customFormat="false" ht="15" hidden="false" customHeight="false" outlineLevel="0" collapsed="false">
      <c r="A147" s="44"/>
      <c r="B147" s="6"/>
      <c r="C147" s="8" t="str">
        <f aca="false">IF($B147="","",IFERROR(INDEX(INSUMOS!$B$6:$B$205,MATCH($B147,INSUMOS!$A$6:$A$205,0)),"¿Código?"))</f>
        <v/>
      </c>
      <c r="D147" s="8" t="str">
        <f aca="false">IF($B147="","",IFERROR(INDEX(INSUMOS!$D$6:$D$205,MATCH($B147,INSUMOS!$A$6:$A$205,0)),""))</f>
        <v/>
      </c>
      <c r="E147" s="6"/>
      <c r="F147" s="39"/>
      <c r="G147" s="6"/>
      <c r="H147" s="6"/>
      <c r="I147" s="43" t="str">
        <f aca="false">IF($B147="","",IFERROR(INDEX(INSUMOS!$O$6:$O$205,MATCH($B147,INSUMOS!$A$6:$A$205,0)),0))</f>
        <v/>
      </c>
      <c r="J147" s="45" t="str">
        <f aca="false">IF($B147="","",IF($E147="Ajuste (+) sobrante",1,-1)*N($F147))</f>
        <v/>
      </c>
      <c r="K147" s="35" t="str">
        <f aca="false">IF($B147="","",$J147*$I147)</f>
        <v/>
      </c>
      <c r="L147" s="46" t="str">
        <f aca="false">IF($A147="","",DATE(YEAR($A147),MONTH($A147),1))</f>
        <v/>
      </c>
    </row>
    <row r="148" customFormat="false" ht="15" hidden="false" customHeight="false" outlineLevel="0" collapsed="false">
      <c r="A148" s="44"/>
      <c r="B148" s="6"/>
      <c r="C148" s="8" t="str">
        <f aca="false">IF($B148="","",IFERROR(INDEX(INSUMOS!$B$6:$B$205,MATCH($B148,INSUMOS!$A$6:$A$205,0)),"¿Código?"))</f>
        <v/>
      </c>
      <c r="D148" s="8" t="str">
        <f aca="false">IF($B148="","",IFERROR(INDEX(INSUMOS!$D$6:$D$205,MATCH($B148,INSUMOS!$A$6:$A$205,0)),""))</f>
        <v/>
      </c>
      <c r="E148" s="6"/>
      <c r="F148" s="39"/>
      <c r="G148" s="6"/>
      <c r="H148" s="6"/>
      <c r="I148" s="43" t="str">
        <f aca="false">IF($B148="","",IFERROR(INDEX(INSUMOS!$O$6:$O$205,MATCH($B148,INSUMOS!$A$6:$A$205,0)),0))</f>
        <v/>
      </c>
      <c r="J148" s="45" t="str">
        <f aca="false">IF($B148="","",IF($E148="Ajuste (+) sobrante",1,-1)*N($F148))</f>
        <v/>
      </c>
      <c r="K148" s="35" t="str">
        <f aca="false">IF($B148="","",$J148*$I148)</f>
        <v/>
      </c>
      <c r="L148" s="46" t="str">
        <f aca="false">IF($A148="","",DATE(YEAR($A148),MONTH($A148),1))</f>
        <v/>
      </c>
    </row>
    <row r="149" customFormat="false" ht="15" hidden="false" customHeight="false" outlineLevel="0" collapsed="false">
      <c r="A149" s="44"/>
      <c r="B149" s="6"/>
      <c r="C149" s="8" t="str">
        <f aca="false">IF($B149="","",IFERROR(INDEX(INSUMOS!$B$6:$B$205,MATCH($B149,INSUMOS!$A$6:$A$205,0)),"¿Código?"))</f>
        <v/>
      </c>
      <c r="D149" s="8" t="str">
        <f aca="false">IF($B149="","",IFERROR(INDEX(INSUMOS!$D$6:$D$205,MATCH($B149,INSUMOS!$A$6:$A$205,0)),""))</f>
        <v/>
      </c>
      <c r="E149" s="6"/>
      <c r="F149" s="39"/>
      <c r="G149" s="6"/>
      <c r="H149" s="6"/>
      <c r="I149" s="43" t="str">
        <f aca="false">IF($B149="","",IFERROR(INDEX(INSUMOS!$O$6:$O$205,MATCH($B149,INSUMOS!$A$6:$A$205,0)),0))</f>
        <v/>
      </c>
      <c r="J149" s="45" t="str">
        <f aca="false">IF($B149="","",IF($E149="Ajuste (+) sobrante",1,-1)*N($F149))</f>
        <v/>
      </c>
      <c r="K149" s="35" t="str">
        <f aca="false">IF($B149="","",$J149*$I149)</f>
        <v/>
      </c>
      <c r="L149" s="46" t="str">
        <f aca="false">IF($A149="","",DATE(YEAR($A149),MONTH($A149),1))</f>
        <v/>
      </c>
    </row>
    <row r="150" customFormat="false" ht="15" hidden="false" customHeight="false" outlineLevel="0" collapsed="false">
      <c r="A150" s="44"/>
      <c r="B150" s="6"/>
      <c r="C150" s="8" t="str">
        <f aca="false">IF($B150="","",IFERROR(INDEX(INSUMOS!$B$6:$B$205,MATCH($B150,INSUMOS!$A$6:$A$205,0)),"¿Código?"))</f>
        <v/>
      </c>
      <c r="D150" s="8" t="str">
        <f aca="false">IF($B150="","",IFERROR(INDEX(INSUMOS!$D$6:$D$205,MATCH($B150,INSUMOS!$A$6:$A$205,0)),""))</f>
        <v/>
      </c>
      <c r="E150" s="6"/>
      <c r="F150" s="39"/>
      <c r="G150" s="6"/>
      <c r="H150" s="6"/>
      <c r="I150" s="43" t="str">
        <f aca="false">IF($B150="","",IFERROR(INDEX(INSUMOS!$O$6:$O$205,MATCH($B150,INSUMOS!$A$6:$A$205,0)),0))</f>
        <v/>
      </c>
      <c r="J150" s="45" t="str">
        <f aca="false">IF($B150="","",IF($E150="Ajuste (+) sobrante",1,-1)*N($F150))</f>
        <v/>
      </c>
      <c r="K150" s="35" t="str">
        <f aca="false">IF($B150="","",$J150*$I150)</f>
        <v/>
      </c>
      <c r="L150" s="46" t="str">
        <f aca="false">IF($A150="","",DATE(YEAR($A150),MONTH($A150),1))</f>
        <v/>
      </c>
    </row>
    <row r="151" customFormat="false" ht="15" hidden="false" customHeight="false" outlineLevel="0" collapsed="false">
      <c r="A151" s="44"/>
      <c r="B151" s="6"/>
      <c r="C151" s="8" t="str">
        <f aca="false">IF($B151="","",IFERROR(INDEX(INSUMOS!$B$6:$B$205,MATCH($B151,INSUMOS!$A$6:$A$205,0)),"¿Código?"))</f>
        <v/>
      </c>
      <c r="D151" s="8" t="str">
        <f aca="false">IF($B151="","",IFERROR(INDEX(INSUMOS!$D$6:$D$205,MATCH($B151,INSUMOS!$A$6:$A$205,0)),""))</f>
        <v/>
      </c>
      <c r="E151" s="6"/>
      <c r="F151" s="39"/>
      <c r="G151" s="6"/>
      <c r="H151" s="6"/>
      <c r="I151" s="43" t="str">
        <f aca="false">IF($B151="","",IFERROR(INDEX(INSUMOS!$O$6:$O$205,MATCH($B151,INSUMOS!$A$6:$A$205,0)),0))</f>
        <v/>
      </c>
      <c r="J151" s="45" t="str">
        <f aca="false">IF($B151="","",IF($E151="Ajuste (+) sobrante",1,-1)*N($F151))</f>
        <v/>
      </c>
      <c r="K151" s="35" t="str">
        <f aca="false">IF($B151="","",$J151*$I151)</f>
        <v/>
      </c>
      <c r="L151" s="46" t="str">
        <f aca="false">IF($A151="","",DATE(YEAR($A151),MONTH($A151),1))</f>
        <v/>
      </c>
    </row>
    <row r="152" customFormat="false" ht="15" hidden="false" customHeight="false" outlineLevel="0" collapsed="false">
      <c r="A152" s="44"/>
      <c r="B152" s="6"/>
      <c r="C152" s="8" t="str">
        <f aca="false">IF($B152="","",IFERROR(INDEX(INSUMOS!$B$6:$B$205,MATCH($B152,INSUMOS!$A$6:$A$205,0)),"¿Código?"))</f>
        <v/>
      </c>
      <c r="D152" s="8" t="str">
        <f aca="false">IF($B152="","",IFERROR(INDEX(INSUMOS!$D$6:$D$205,MATCH($B152,INSUMOS!$A$6:$A$205,0)),""))</f>
        <v/>
      </c>
      <c r="E152" s="6"/>
      <c r="F152" s="39"/>
      <c r="G152" s="6"/>
      <c r="H152" s="6"/>
      <c r="I152" s="43" t="str">
        <f aca="false">IF($B152="","",IFERROR(INDEX(INSUMOS!$O$6:$O$205,MATCH($B152,INSUMOS!$A$6:$A$205,0)),0))</f>
        <v/>
      </c>
      <c r="J152" s="45" t="str">
        <f aca="false">IF($B152="","",IF($E152="Ajuste (+) sobrante",1,-1)*N($F152))</f>
        <v/>
      </c>
      <c r="K152" s="35" t="str">
        <f aca="false">IF($B152="","",$J152*$I152)</f>
        <v/>
      </c>
      <c r="L152" s="46" t="str">
        <f aca="false">IF($A152="","",DATE(YEAR($A152),MONTH($A152),1))</f>
        <v/>
      </c>
    </row>
    <row r="153" customFormat="false" ht="15" hidden="false" customHeight="false" outlineLevel="0" collapsed="false">
      <c r="A153" s="44"/>
      <c r="B153" s="6"/>
      <c r="C153" s="8" t="str">
        <f aca="false">IF($B153="","",IFERROR(INDEX(INSUMOS!$B$6:$B$205,MATCH($B153,INSUMOS!$A$6:$A$205,0)),"¿Código?"))</f>
        <v/>
      </c>
      <c r="D153" s="8" t="str">
        <f aca="false">IF($B153="","",IFERROR(INDEX(INSUMOS!$D$6:$D$205,MATCH($B153,INSUMOS!$A$6:$A$205,0)),""))</f>
        <v/>
      </c>
      <c r="E153" s="6"/>
      <c r="F153" s="39"/>
      <c r="G153" s="6"/>
      <c r="H153" s="6"/>
      <c r="I153" s="43" t="str">
        <f aca="false">IF($B153="","",IFERROR(INDEX(INSUMOS!$O$6:$O$205,MATCH($B153,INSUMOS!$A$6:$A$205,0)),0))</f>
        <v/>
      </c>
      <c r="J153" s="45" t="str">
        <f aca="false">IF($B153="","",IF($E153="Ajuste (+) sobrante",1,-1)*N($F153))</f>
        <v/>
      </c>
      <c r="K153" s="35" t="str">
        <f aca="false">IF($B153="","",$J153*$I153)</f>
        <v/>
      </c>
      <c r="L153" s="46" t="str">
        <f aca="false">IF($A153="","",DATE(YEAR($A153),MONTH($A153),1))</f>
        <v/>
      </c>
    </row>
    <row r="154" customFormat="false" ht="15" hidden="false" customHeight="false" outlineLevel="0" collapsed="false">
      <c r="A154" s="44"/>
      <c r="B154" s="6"/>
      <c r="C154" s="8" t="str">
        <f aca="false">IF($B154="","",IFERROR(INDEX(INSUMOS!$B$6:$B$205,MATCH($B154,INSUMOS!$A$6:$A$205,0)),"¿Código?"))</f>
        <v/>
      </c>
      <c r="D154" s="8" t="str">
        <f aca="false">IF($B154="","",IFERROR(INDEX(INSUMOS!$D$6:$D$205,MATCH($B154,INSUMOS!$A$6:$A$205,0)),""))</f>
        <v/>
      </c>
      <c r="E154" s="6"/>
      <c r="F154" s="39"/>
      <c r="G154" s="6"/>
      <c r="H154" s="6"/>
      <c r="I154" s="43" t="str">
        <f aca="false">IF($B154="","",IFERROR(INDEX(INSUMOS!$O$6:$O$205,MATCH($B154,INSUMOS!$A$6:$A$205,0)),0))</f>
        <v/>
      </c>
      <c r="J154" s="45" t="str">
        <f aca="false">IF($B154="","",IF($E154="Ajuste (+) sobrante",1,-1)*N($F154))</f>
        <v/>
      </c>
      <c r="K154" s="35" t="str">
        <f aca="false">IF($B154="","",$J154*$I154)</f>
        <v/>
      </c>
      <c r="L154" s="46" t="str">
        <f aca="false">IF($A154="","",DATE(YEAR($A154),MONTH($A154),1))</f>
        <v/>
      </c>
    </row>
    <row r="155" customFormat="false" ht="15" hidden="false" customHeight="false" outlineLevel="0" collapsed="false">
      <c r="A155" s="44"/>
      <c r="B155" s="6"/>
      <c r="C155" s="8" t="str">
        <f aca="false">IF($B155="","",IFERROR(INDEX(INSUMOS!$B$6:$B$205,MATCH($B155,INSUMOS!$A$6:$A$205,0)),"¿Código?"))</f>
        <v/>
      </c>
      <c r="D155" s="8" t="str">
        <f aca="false">IF($B155="","",IFERROR(INDEX(INSUMOS!$D$6:$D$205,MATCH($B155,INSUMOS!$A$6:$A$205,0)),""))</f>
        <v/>
      </c>
      <c r="E155" s="6"/>
      <c r="F155" s="39"/>
      <c r="G155" s="6"/>
      <c r="H155" s="6"/>
      <c r="I155" s="43" t="str">
        <f aca="false">IF($B155="","",IFERROR(INDEX(INSUMOS!$O$6:$O$205,MATCH($B155,INSUMOS!$A$6:$A$205,0)),0))</f>
        <v/>
      </c>
      <c r="J155" s="45" t="str">
        <f aca="false">IF($B155="","",IF($E155="Ajuste (+) sobrante",1,-1)*N($F155))</f>
        <v/>
      </c>
      <c r="K155" s="35" t="str">
        <f aca="false">IF($B155="","",$J155*$I155)</f>
        <v/>
      </c>
      <c r="L155" s="46" t="str">
        <f aca="false">IF($A155="","",DATE(YEAR($A155),MONTH($A155),1))</f>
        <v/>
      </c>
    </row>
    <row r="156" customFormat="false" ht="15" hidden="false" customHeight="false" outlineLevel="0" collapsed="false">
      <c r="A156" s="44"/>
      <c r="B156" s="6"/>
      <c r="C156" s="8" t="str">
        <f aca="false">IF($B156="","",IFERROR(INDEX(INSUMOS!$B$6:$B$205,MATCH($B156,INSUMOS!$A$6:$A$205,0)),"¿Código?"))</f>
        <v/>
      </c>
      <c r="D156" s="8" t="str">
        <f aca="false">IF($B156="","",IFERROR(INDEX(INSUMOS!$D$6:$D$205,MATCH($B156,INSUMOS!$A$6:$A$205,0)),""))</f>
        <v/>
      </c>
      <c r="E156" s="6"/>
      <c r="F156" s="39"/>
      <c r="G156" s="6"/>
      <c r="H156" s="6"/>
      <c r="I156" s="43" t="str">
        <f aca="false">IF($B156="","",IFERROR(INDEX(INSUMOS!$O$6:$O$205,MATCH($B156,INSUMOS!$A$6:$A$205,0)),0))</f>
        <v/>
      </c>
      <c r="J156" s="45" t="str">
        <f aca="false">IF($B156="","",IF($E156="Ajuste (+) sobrante",1,-1)*N($F156))</f>
        <v/>
      </c>
      <c r="K156" s="35" t="str">
        <f aca="false">IF($B156="","",$J156*$I156)</f>
        <v/>
      </c>
      <c r="L156" s="46" t="str">
        <f aca="false">IF($A156="","",DATE(YEAR($A156),MONTH($A156),1))</f>
        <v/>
      </c>
    </row>
    <row r="157" customFormat="false" ht="15" hidden="false" customHeight="false" outlineLevel="0" collapsed="false">
      <c r="A157" s="44"/>
      <c r="B157" s="6"/>
      <c r="C157" s="8" t="str">
        <f aca="false">IF($B157="","",IFERROR(INDEX(INSUMOS!$B$6:$B$205,MATCH($B157,INSUMOS!$A$6:$A$205,0)),"¿Código?"))</f>
        <v/>
      </c>
      <c r="D157" s="8" t="str">
        <f aca="false">IF($B157="","",IFERROR(INDEX(INSUMOS!$D$6:$D$205,MATCH($B157,INSUMOS!$A$6:$A$205,0)),""))</f>
        <v/>
      </c>
      <c r="E157" s="6"/>
      <c r="F157" s="39"/>
      <c r="G157" s="6"/>
      <c r="H157" s="6"/>
      <c r="I157" s="43" t="str">
        <f aca="false">IF($B157="","",IFERROR(INDEX(INSUMOS!$O$6:$O$205,MATCH($B157,INSUMOS!$A$6:$A$205,0)),0))</f>
        <v/>
      </c>
      <c r="J157" s="45" t="str">
        <f aca="false">IF($B157="","",IF($E157="Ajuste (+) sobrante",1,-1)*N($F157))</f>
        <v/>
      </c>
      <c r="K157" s="35" t="str">
        <f aca="false">IF($B157="","",$J157*$I157)</f>
        <v/>
      </c>
      <c r="L157" s="46" t="str">
        <f aca="false">IF($A157="","",DATE(YEAR($A157),MONTH($A157),1))</f>
        <v/>
      </c>
    </row>
    <row r="158" customFormat="false" ht="15" hidden="false" customHeight="false" outlineLevel="0" collapsed="false">
      <c r="A158" s="44"/>
      <c r="B158" s="6"/>
      <c r="C158" s="8" t="str">
        <f aca="false">IF($B158="","",IFERROR(INDEX(INSUMOS!$B$6:$B$205,MATCH($B158,INSUMOS!$A$6:$A$205,0)),"¿Código?"))</f>
        <v/>
      </c>
      <c r="D158" s="8" t="str">
        <f aca="false">IF($B158="","",IFERROR(INDEX(INSUMOS!$D$6:$D$205,MATCH($B158,INSUMOS!$A$6:$A$205,0)),""))</f>
        <v/>
      </c>
      <c r="E158" s="6"/>
      <c r="F158" s="39"/>
      <c r="G158" s="6"/>
      <c r="H158" s="6"/>
      <c r="I158" s="43" t="str">
        <f aca="false">IF($B158="","",IFERROR(INDEX(INSUMOS!$O$6:$O$205,MATCH($B158,INSUMOS!$A$6:$A$205,0)),0))</f>
        <v/>
      </c>
      <c r="J158" s="45" t="str">
        <f aca="false">IF($B158="","",IF($E158="Ajuste (+) sobrante",1,-1)*N($F158))</f>
        <v/>
      </c>
      <c r="K158" s="35" t="str">
        <f aca="false">IF($B158="","",$J158*$I158)</f>
        <v/>
      </c>
      <c r="L158" s="46" t="str">
        <f aca="false">IF($A158="","",DATE(YEAR($A158),MONTH($A158),1))</f>
        <v/>
      </c>
    </row>
    <row r="159" customFormat="false" ht="15" hidden="false" customHeight="false" outlineLevel="0" collapsed="false">
      <c r="A159" s="44"/>
      <c r="B159" s="6"/>
      <c r="C159" s="8" t="str">
        <f aca="false">IF($B159="","",IFERROR(INDEX(INSUMOS!$B$6:$B$205,MATCH($B159,INSUMOS!$A$6:$A$205,0)),"¿Código?"))</f>
        <v/>
      </c>
      <c r="D159" s="8" t="str">
        <f aca="false">IF($B159="","",IFERROR(INDEX(INSUMOS!$D$6:$D$205,MATCH($B159,INSUMOS!$A$6:$A$205,0)),""))</f>
        <v/>
      </c>
      <c r="E159" s="6"/>
      <c r="F159" s="39"/>
      <c r="G159" s="6"/>
      <c r="H159" s="6"/>
      <c r="I159" s="43" t="str">
        <f aca="false">IF($B159="","",IFERROR(INDEX(INSUMOS!$O$6:$O$205,MATCH($B159,INSUMOS!$A$6:$A$205,0)),0))</f>
        <v/>
      </c>
      <c r="J159" s="45" t="str">
        <f aca="false">IF($B159="","",IF($E159="Ajuste (+) sobrante",1,-1)*N($F159))</f>
        <v/>
      </c>
      <c r="K159" s="35" t="str">
        <f aca="false">IF($B159="","",$J159*$I159)</f>
        <v/>
      </c>
      <c r="L159" s="46" t="str">
        <f aca="false">IF($A159="","",DATE(YEAR($A159),MONTH($A159),1))</f>
        <v/>
      </c>
    </row>
    <row r="160" customFormat="false" ht="15" hidden="false" customHeight="false" outlineLevel="0" collapsed="false">
      <c r="A160" s="44"/>
      <c r="B160" s="6"/>
      <c r="C160" s="8" t="str">
        <f aca="false">IF($B160="","",IFERROR(INDEX(INSUMOS!$B$6:$B$205,MATCH($B160,INSUMOS!$A$6:$A$205,0)),"¿Código?"))</f>
        <v/>
      </c>
      <c r="D160" s="8" t="str">
        <f aca="false">IF($B160="","",IFERROR(INDEX(INSUMOS!$D$6:$D$205,MATCH($B160,INSUMOS!$A$6:$A$205,0)),""))</f>
        <v/>
      </c>
      <c r="E160" s="6"/>
      <c r="F160" s="39"/>
      <c r="G160" s="6"/>
      <c r="H160" s="6"/>
      <c r="I160" s="43" t="str">
        <f aca="false">IF($B160="","",IFERROR(INDEX(INSUMOS!$O$6:$O$205,MATCH($B160,INSUMOS!$A$6:$A$205,0)),0))</f>
        <v/>
      </c>
      <c r="J160" s="45" t="str">
        <f aca="false">IF($B160="","",IF($E160="Ajuste (+) sobrante",1,-1)*N($F160))</f>
        <v/>
      </c>
      <c r="K160" s="35" t="str">
        <f aca="false">IF($B160="","",$J160*$I160)</f>
        <v/>
      </c>
      <c r="L160" s="46" t="str">
        <f aca="false">IF($A160="","",DATE(YEAR($A160),MONTH($A160),1))</f>
        <v/>
      </c>
    </row>
    <row r="161" customFormat="false" ht="15" hidden="false" customHeight="false" outlineLevel="0" collapsed="false">
      <c r="A161" s="44"/>
      <c r="B161" s="6"/>
      <c r="C161" s="8" t="str">
        <f aca="false">IF($B161="","",IFERROR(INDEX(INSUMOS!$B$6:$B$205,MATCH($B161,INSUMOS!$A$6:$A$205,0)),"¿Código?"))</f>
        <v/>
      </c>
      <c r="D161" s="8" t="str">
        <f aca="false">IF($B161="","",IFERROR(INDEX(INSUMOS!$D$6:$D$205,MATCH($B161,INSUMOS!$A$6:$A$205,0)),""))</f>
        <v/>
      </c>
      <c r="E161" s="6"/>
      <c r="F161" s="39"/>
      <c r="G161" s="6"/>
      <c r="H161" s="6"/>
      <c r="I161" s="43" t="str">
        <f aca="false">IF($B161="","",IFERROR(INDEX(INSUMOS!$O$6:$O$205,MATCH($B161,INSUMOS!$A$6:$A$205,0)),0))</f>
        <v/>
      </c>
      <c r="J161" s="45" t="str">
        <f aca="false">IF($B161="","",IF($E161="Ajuste (+) sobrante",1,-1)*N($F161))</f>
        <v/>
      </c>
      <c r="K161" s="35" t="str">
        <f aca="false">IF($B161="","",$J161*$I161)</f>
        <v/>
      </c>
      <c r="L161" s="46" t="str">
        <f aca="false">IF($A161="","",DATE(YEAR($A161),MONTH($A161),1))</f>
        <v/>
      </c>
    </row>
    <row r="162" customFormat="false" ht="15" hidden="false" customHeight="false" outlineLevel="0" collapsed="false">
      <c r="A162" s="44"/>
      <c r="B162" s="6"/>
      <c r="C162" s="8" t="str">
        <f aca="false">IF($B162="","",IFERROR(INDEX(INSUMOS!$B$6:$B$205,MATCH($B162,INSUMOS!$A$6:$A$205,0)),"¿Código?"))</f>
        <v/>
      </c>
      <c r="D162" s="8" t="str">
        <f aca="false">IF($B162="","",IFERROR(INDEX(INSUMOS!$D$6:$D$205,MATCH($B162,INSUMOS!$A$6:$A$205,0)),""))</f>
        <v/>
      </c>
      <c r="E162" s="6"/>
      <c r="F162" s="39"/>
      <c r="G162" s="6"/>
      <c r="H162" s="6"/>
      <c r="I162" s="43" t="str">
        <f aca="false">IF($B162="","",IFERROR(INDEX(INSUMOS!$O$6:$O$205,MATCH($B162,INSUMOS!$A$6:$A$205,0)),0))</f>
        <v/>
      </c>
      <c r="J162" s="45" t="str">
        <f aca="false">IF($B162="","",IF($E162="Ajuste (+) sobrante",1,-1)*N($F162))</f>
        <v/>
      </c>
      <c r="K162" s="35" t="str">
        <f aca="false">IF($B162="","",$J162*$I162)</f>
        <v/>
      </c>
      <c r="L162" s="46" t="str">
        <f aca="false">IF($A162="","",DATE(YEAR($A162),MONTH($A162),1))</f>
        <v/>
      </c>
    </row>
    <row r="163" customFormat="false" ht="15" hidden="false" customHeight="false" outlineLevel="0" collapsed="false">
      <c r="A163" s="44"/>
      <c r="B163" s="6"/>
      <c r="C163" s="8" t="str">
        <f aca="false">IF($B163="","",IFERROR(INDEX(INSUMOS!$B$6:$B$205,MATCH($B163,INSUMOS!$A$6:$A$205,0)),"¿Código?"))</f>
        <v/>
      </c>
      <c r="D163" s="8" t="str">
        <f aca="false">IF($B163="","",IFERROR(INDEX(INSUMOS!$D$6:$D$205,MATCH($B163,INSUMOS!$A$6:$A$205,0)),""))</f>
        <v/>
      </c>
      <c r="E163" s="6"/>
      <c r="F163" s="39"/>
      <c r="G163" s="6"/>
      <c r="H163" s="6"/>
      <c r="I163" s="43" t="str">
        <f aca="false">IF($B163="","",IFERROR(INDEX(INSUMOS!$O$6:$O$205,MATCH($B163,INSUMOS!$A$6:$A$205,0)),0))</f>
        <v/>
      </c>
      <c r="J163" s="45" t="str">
        <f aca="false">IF($B163="","",IF($E163="Ajuste (+) sobrante",1,-1)*N($F163))</f>
        <v/>
      </c>
      <c r="K163" s="35" t="str">
        <f aca="false">IF($B163="","",$J163*$I163)</f>
        <v/>
      </c>
      <c r="L163" s="46" t="str">
        <f aca="false">IF($A163="","",DATE(YEAR($A163),MONTH($A163),1))</f>
        <v/>
      </c>
    </row>
    <row r="164" customFormat="false" ht="15" hidden="false" customHeight="false" outlineLevel="0" collapsed="false">
      <c r="A164" s="44"/>
      <c r="B164" s="6"/>
      <c r="C164" s="8" t="str">
        <f aca="false">IF($B164="","",IFERROR(INDEX(INSUMOS!$B$6:$B$205,MATCH($B164,INSUMOS!$A$6:$A$205,0)),"¿Código?"))</f>
        <v/>
      </c>
      <c r="D164" s="8" t="str">
        <f aca="false">IF($B164="","",IFERROR(INDEX(INSUMOS!$D$6:$D$205,MATCH($B164,INSUMOS!$A$6:$A$205,0)),""))</f>
        <v/>
      </c>
      <c r="E164" s="6"/>
      <c r="F164" s="39"/>
      <c r="G164" s="6"/>
      <c r="H164" s="6"/>
      <c r="I164" s="43" t="str">
        <f aca="false">IF($B164="","",IFERROR(INDEX(INSUMOS!$O$6:$O$205,MATCH($B164,INSUMOS!$A$6:$A$205,0)),0))</f>
        <v/>
      </c>
      <c r="J164" s="45" t="str">
        <f aca="false">IF($B164="","",IF($E164="Ajuste (+) sobrante",1,-1)*N($F164))</f>
        <v/>
      </c>
      <c r="K164" s="35" t="str">
        <f aca="false">IF($B164="","",$J164*$I164)</f>
        <v/>
      </c>
      <c r="L164" s="46" t="str">
        <f aca="false">IF($A164="","",DATE(YEAR($A164),MONTH($A164),1))</f>
        <v/>
      </c>
    </row>
    <row r="165" customFormat="false" ht="15" hidden="false" customHeight="false" outlineLevel="0" collapsed="false">
      <c r="A165" s="44"/>
      <c r="B165" s="6"/>
      <c r="C165" s="8" t="str">
        <f aca="false">IF($B165="","",IFERROR(INDEX(INSUMOS!$B$6:$B$205,MATCH($B165,INSUMOS!$A$6:$A$205,0)),"¿Código?"))</f>
        <v/>
      </c>
      <c r="D165" s="8" t="str">
        <f aca="false">IF($B165="","",IFERROR(INDEX(INSUMOS!$D$6:$D$205,MATCH($B165,INSUMOS!$A$6:$A$205,0)),""))</f>
        <v/>
      </c>
      <c r="E165" s="6"/>
      <c r="F165" s="39"/>
      <c r="G165" s="6"/>
      <c r="H165" s="6"/>
      <c r="I165" s="43" t="str">
        <f aca="false">IF($B165="","",IFERROR(INDEX(INSUMOS!$O$6:$O$205,MATCH($B165,INSUMOS!$A$6:$A$205,0)),0))</f>
        <v/>
      </c>
      <c r="J165" s="45" t="str">
        <f aca="false">IF($B165="","",IF($E165="Ajuste (+) sobrante",1,-1)*N($F165))</f>
        <v/>
      </c>
      <c r="K165" s="35" t="str">
        <f aca="false">IF($B165="","",$J165*$I165)</f>
        <v/>
      </c>
      <c r="L165" s="46" t="str">
        <f aca="false">IF($A165="","",DATE(YEAR($A165),MONTH($A165),1))</f>
        <v/>
      </c>
    </row>
    <row r="166" customFormat="false" ht="15" hidden="false" customHeight="false" outlineLevel="0" collapsed="false">
      <c r="A166" s="44"/>
      <c r="B166" s="6"/>
      <c r="C166" s="8" t="str">
        <f aca="false">IF($B166="","",IFERROR(INDEX(INSUMOS!$B$6:$B$205,MATCH($B166,INSUMOS!$A$6:$A$205,0)),"¿Código?"))</f>
        <v/>
      </c>
      <c r="D166" s="8" t="str">
        <f aca="false">IF($B166="","",IFERROR(INDEX(INSUMOS!$D$6:$D$205,MATCH($B166,INSUMOS!$A$6:$A$205,0)),""))</f>
        <v/>
      </c>
      <c r="E166" s="6"/>
      <c r="F166" s="39"/>
      <c r="G166" s="6"/>
      <c r="H166" s="6"/>
      <c r="I166" s="43" t="str">
        <f aca="false">IF($B166="","",IFERROR(INDEX(INSUMOS!$O$6:$O$205,MATCH($B166,INSUMOS!$A$6:$A$205,0)),0))</f>
        <v/>
      </c>
      <c r="J166" s="45" t="str">
        <f aca="false">IF($B166="","",IF($E166="Ajuste (+) sobrante",1,-1)*N($F166))</f>
        <v/>
      </c>
      <c r="K166" s="35" t="str">
        <f aca="false">IF($B166="","",$J166*$I166)</f>
        <v/>
      </c>
      <c r="L166" s="46" t="str">
        <f aca="false">IF($A166="","",DATE(YEAR($A166),MONTH($A166),1))</f>
        <v/>
      </c>
    </row>
    <row r="167" customFormat="false" ht="15" hidden="false" customHeight="false" outlineLevel="0" collapsed="false">
      <c r="A167" s="44"/>
      <c r="B167" s="6"/>
      <c r="C167" s="8" t="str">
        <f aca="false">IF($B167="","",IFERROR(INDEX(INSUMOS!$B$6:$B$205,MATCH($B167,INSUMOS!$A$6:$A$205,0)),"¿Código?"))</f>
        <v/>
      </c>
      <c r="D167" s="8" t="str">
        <f aca="false">IF($B167="","",IFERROR(INDEX(INSUMOS!$D$6:$D$205,MATCH($B167,INSUMOS!$A$6:$A$205,0)),""))</f>
        <v/>
      </c>
      <c r="E167" s="6"/>
      <c r="F167" s="39"/>
      <c r="G167" s="6"/>
      <c r="H167" s="6"/>
      <c r="I167" s="43" t="str">
        <f aca="false">IF($B167="","",IFERROR(INDEX(INSUMOS!$O$6:$O$205,MATCH($B167,INSUMOS!$A$6:$A$205,0)),0))</f>
        <v/>
      </c>
      <c r="J167" s="45" t="str">
        <f aca="false">IF($B167="","",IF($E167="Ajuste (+) sobrante",1,-1)*N($F167))</f>
        <v/>
      </c>
      <c r="K167" s="35" t="str">
        <f aca="false">IF($B167="","",$J167*$I167)</f>
        <v/>
      </c>
      <c r="L167" s="46" t="str">
        <f aca="false">IF($A167="","",DATE(YEAR($A167),MONTH($A167),1))</f>
        <v/>
      </c>
    </row>
    <row r="168" customFormat="false" ht="15" hidden="false" customHeight="false" outlineLevel="0" collapsed="false">
      <c r="A168" s="44"/>
      <c r="B168" s="6"/>
      <c r="C168" s="8" t="str">
        <f aca="false">IF($B168="","",IFERROR(INDEX(INSUMOS!$B$6:$B$205,MATCH($B168,INSUMOS!$A$6:$A$205,0)),"¿Código?"))</f>
        <v/>
      </c>
      <c r="D168" s="8" t="str">
        <f aca="false">IF($B168="","",IFERROR(INDEX(INSUMOS!$D$6:$D$205,MATCH($B168,INSUMOS!$A$6:$A$205,0)),""))</f>
        <v/>
      </c>
      <c r="E168" s="6"/>
      <c r="F168" s="39"/>
      <c r="G168" s="6"/>
      <c r="H168" s="6"/>
      <c r="I168" s="43" t="str">
        <f aca="false">IF($B168="","",IFERROR(INDEX(INSUMOS!$O$6:$O$205,MATCH($B168,INSUMOS!$A$6:$A$205,0)),0))</f>
        <v/>
      </c>
      <c r="J168" s="45" t="str">
        <f aca="false">IF($B168="","",IF($E168="Ajuste (+) sobrante",1,-1)*N($F168))</f>
        <v/>
      </c>
      <c r="K168" s="35" t="str">
        <f aca="false">IF($B168="","",$J168*$I168)</f>
        <v/>
      </c>
      <c r="L168" s="46" t="str">
        <f aca="false">IF($A168="","",DATE(YEAR($A168),MONTH($A168),1))</f>
        <v/>
      </c>
    </row>
    <row r="169" customFormat="false" ht="15" hidden="false" customHeight="false" outlineLevel="0" collapsed="false">
      <c r="A169" s="44"/>
      <c r="B169" s="6"/>
      <c r="C169" s="8" t="str">
        <f aca="false">IF($B169="","",IFERROR(INDEX(INSUMOS!$B$6:$B$205,MATCH($B169,INSUMOS!$A$6:$A$205,0)),"¿Código?"))</f>
        <v/>
      </c>
      <c r="D169" s="8" t="str">
        <f aca="false">IF($B169="","",IFERROR(INDEX(INSUMOS!$D$6:$D$205,MATCH($B169,INSUMOS!$A$6:$A$205,0)),""))</f>
        <v/>
      </c>
      <c r="E169" s="6"/>
      <c r="F169" s="39"/>
      <c r="G169" s="6"/>
      <c r="H169" s="6"/>
      <c r="I169" s="43" t="str">
        <f aca="false">IF($B169="","",IFERROR(INDEX(INSUMOS!$O$6:$O$205,MATCH($B169,INSUMOS!$A$6:$A$205,0)),0))</f>
        <v/>
      </c>
      <c r="J169" s="45" t="str">
        <f aca="false">IF($B169="","",IF($E169="Ajuste (+) sobrante",1,-1)*N($F169))</f>
        <v/>
      </c>
      <c r="K169" s="35" t="str">
        <f aca="false">IF($B169="","",$J169*$I169)</f>
        <v/>
      </c>
      <c r="L169" s="46" t="str">
        <f aca="false">IF($A169="","",DATE(YEAR($A169),MONTH($A169),1))</f>
        <v/>
      </c>
    </row>
    <row r="170" customFormat="false" ht="15" hidden="false" customHeight="false" outlineLevel="0" collapsed="false">
      <c r="A170" s="44"/>
      <c r="B170" s="6"/>
      <c r="C170" s="8" t="str">
        <f aca="false">IF($B170="","",IFERROR(INDEX(INSUMOS!$B$6:$B$205,MATCH($B170,INSUMOS!$A$6:$A$205,0)),"¿Código?"))</f>
        <v/>
      </c>
      <c r="D170" s="8" t="str">
        <f aca="false">IF($B170="","",IFERROR(INDEX(INSUMOS!$D$6:$D$205,MATCH($B170,INSUMOS!$A$6:$A$205,0)),""))</f>
        <v/>
      </c>
      <c r="E170" s="6"/>
      <c r="F170" s="39"/>
      <c r="G170" s="6"/>
      <c r="H170" s="6"/>
      <c r="I170" s="43" t="str">
        <f aca="false">IF($B170="","",IFERROR(INDEX(INSUMOS!$O$6:$O$205,MATCH($B170,INSUMOS!$A$6:$A$205,0)),0))</f>
        <v/>
      </c>
      <c r="J170" s="45" t="str">
        <f aca="false">IF($B170="","",IF($E170="Ajuste (+) sobrante",1,-1)*N($F170))</f>
        <v/>
      </c>
      <c r="K170" s="35" t="str">
        <f aca="false">IF($B170="","",$J170*$I170)</f>
        <v/>
      </c>
      <c r="L170" s="46" t="str">
        <f aca="false">IF($A170="","",DATE(YEAR($A170),MONTH($A170),1))</f>
        <v/>
      </c>
    </row>
    <row r="171" customFormat="false" ht="15" hidden="false" customHeight="false" outlineLevel="0" collapsed="false">
      <c r="A171" s="44"/>
      <c r="B171" s="6"/>
      <c r="C171" s="8" t="str">
        <f aca="false">IF($B171="","",IFERROR(INDEX(INSUMOS!$B$6:$B$205,MATCH($B171,INSUMOS!$A$6:$A$205,0)),"¿Código?"))</f>
        <v/>
      </c>
      <c r="D171" s="8" t="str">
        <f aca="false">IF($B171="","",IFERROR(INDEX(INSUMOS!$D$6:$D$205,MATCH($B171,INSUMOS!$A$6:$A$205,0)),""))</f>
        <v/>
      </c>
      <c r="E171" s="6"/>
      <c r="F171" s="39"/>
      <c r="G171" s="6"/>
      <c r="H171" s="6"/>
      <c r="I171" s="43" t="str">
        <f aca="false">IF($B171="","",IFERROR(INDEX(INSUMOS!$O$6:$O$205,MATCH($B171,INSUMOS!$A$6:$A$205,0)),0))</f>
        <v/>
      </c>
      <c r="J171" s="45" t="str">
        <f aca="false">IF($B171="","",IF($E171="Ajuste (+) sobrante",1,-1)*N($F171))</f>
        <v/>
      </c>
      <c r="K171" s="35" t="str">
        <f aca="false">IF($B171="","",$J171*$I171)</f>
        <v/>
      </c>
      <c r="L171" s="46" t="str">
        <f aca="false">IF($A171="","",DATE(YEAR($A171),MONTH($A171),1))</f>
        <v/>
      </c>
    </row>
    <row r="172" customFormat="false" ht="15" hidden="false" customHeight="false" outlineLevel="0" collapsed="false">
      <c r="A172" s="44"/>
      <c r="B172" s="6"/>
      <c r="C172" s="8" t="str">
        <f aca="false">IF($B172="","",IFERROR(INDEX(INSUMOS!$B$6:$B$205,MATCH($B172,INSUMOS!$A$6:$A$205,0)),"¿Código?"))</f>
        <v/>
      </c>
      <c r="D172" s="8" t="str">
        <f aca="false">IF($B172="","",IFERROR(INDEX(INSUMOS!$D$6:$D$205,MATCH($B172,INSUMOS!$A$6:$A$205,0)),""))</f>
        <v/>
      </c>
      <c r="E172" s="6"/>
      <c r="F172" s="39"/>
      <c r="G172" s="6"/>
      <c r="H172" s="6"/>
      <c r="I172" s="43" t="str">
        <f aca="false">IF($B172="","",IFERROR(INDEX(INSUMOS!$O$6:$O$205,MATCH($B172,INSUMOS!$A$6:$A$205,0)),0))</f>
        <v/>
      </c>
      <c r="J172" s="45" t="str">
        <f aca="false">IF($B172="","",IF($E172="Ajuste (+) sobrante",1,-1)*N($F172))</f>
        <v/>
      </c>
      <c r="K172" s="35" t="str">
        <f aca="false">IF($B172="","",$J172*$I172)</f>
        <v/>
      </c>
      <c r="L172" s="46" t="str">
        <f aca="false">IF($A172="","",DATE(YEAR($A172),MONTH($A172),1))</f>
        <v/>
      </c>
    </row>
    <row r="173" customFormat="false" ht="15" hidden="false" customHeight="false" outlineLevel="0" collapsed="false">
      <c r="A173" s="44"/>
      <c r="B173" s="6"/>
      <c r="C173" s="8" t="str">
        <f aca="false">IF($B173="","",IFERROR(INDEX(INSUMOS!$B$6:$B$205,MATCH($B173,INSUMOS!$A$6:$A$205,0)),"¿Código?"))</f>
        <v/>
      </c>
      <c r="D173" s="8" t="str">
        <f aca="false">IF($B173="","",IFERROR(INDEX(INSUMOS!$D$6:$D$205,MATCH($B173,INSUMOS!$A$6:$A$205,0)),""))</f>
        <v/>
      </c>
      <c r="E173" s="6"/>
      <c r="F173" s="39"/>
      <c r="G173" s="6"/>
      <c r="H173" s="6"/>
      <c r="I173" s="43" t="str">
        <f aca="false">IF($B173="","",IFERROR(INDEX(INSUMOS!$O$6:$O$205,MATCH($B173,INSUMOS!$A$6:$A$205,0)),0))</f>
        <v/>
      </c>
      <c r="J173" s="45" t="str">
        <f aca="false">IF($B173="","",IF($E173="Ajuste (+) sobrante",1,-1)*N($F173))</f>
        <v/>
      </c>
      <c r="K173" s="35" t="str">
        <f aca="false">IF($B173="","",$J173*$I173)</f>
        <v/>
      </c>
      <c r="L173" s="46" t="str">
        <f aca="false">IF($A173="","",DATE(YEAR($A173),MONTH($A173),1))</f>
        <v/>
      </c>
    </row>
    <row r="174" customFormat="false" ht="15" hidden="false" customHeight="false" outlineLevel="0" collapsed="false">
      <c r="A174" s="44"/>
      <c r="B174" s="6"/>
      <c r="C174" s="8" t="str">
        <f aca="false">IF($B174="","",IFERROR(INDEX(INSUMOS!$B$6:$B$205,MATCH($B174,INSUMOS!$A$6:$A$205,0)),"¿Código?"))</f>
        <v/>
      </c>
      <c r="D174" s="8" t="str">
        <f aca="false">IF($B174="","",IFERROR(INDEX(INSUMOS!$D$6:$D$205,MATCH($B174,INSUMOS!$A$6:$A$205,0)),""))</f>
        <v/>
      </c>
      <c r="E174" s="6"/>
      <c r="F174" s="39"/>
      <c r="G174" s="6"/>
      <c r="H174" s="6"/>
      <c r="I174" s="43" t="str">
        <f aca="false">IF($B174="","",IFERROR(INDEX(INSUMOS!$O$6:$O$205,MATCH($B174,INSUMOS!$A$6:$A$205,0)),0))</f>
        <v/>
      </c>
      <c r="J174" s="45" t="str">
        <f aca="false">IF($B174="","",IF($E174="Ajuste (+) sobrante",1,-1)*N($F174))</f>
        <v/>
      </c>
      <c r="K174" s="35" t="str">
        <f aca="false">IF($B174="","",$J174*$I174)</f>
        <v/>
      </c>
      <c r="L174" s="46" t="str">
        <f aca="false">IF($A174="","",DATE(YEAR($A174),MONTH($A174),1))</f>
        <v/>
      </c>
    </row>
    <row r="175" customFormat="false" ht="15" hidden="false" customHeight="false" outlineLevel="0" collapsed="false">
      <c r="A175" s="44"/>
      <c r="B175" s="6"/>
      <c r="C175" s="8" t="str">
        <f aca="false">IF($B175="","",IFERROR(INDEX(INSUMOS!$B$6:$B$205,MATCH($B175,INSUMOS!$A$6:$A$205,0)),"¿Código?"))</f>
        <v/>
      </c>
      <c r="D175" s="8" t="str">
        <f aca="false">IF($B175="","",IFERROR(INDEX(INSUMOS!$D$6:$D$205,MATCH($B175,INSUMOS!$A$6:$A$205,0)),""))</f>
        <v/>
      </c>
      <c r="E175" s="6"/>
      <c r="F175" s="39"/>
      <c r="G175" s="6"/>
      <c r="H175" s="6"/>
      <c r="I175" s="43" t="str">
        <f aca="false">IF($B175="","",IFERROR(INDEX(INSUMOS!$O$6:$O$205,MATCH($B175,INSUMOS!$A$6:$A$205,0)),0))</f>
        <v/>
      </c>
      <c r="J175" s="45" t="str">
        <f aca="false">IF($B175="","",IF($E175="Ajuste (+) sobrante",1,-1)*N($F175))</f>
        <v/>
      </c>
      <c r="K175" s="35" t="str">
        <f aca="false">IF($B175="","",$J175*$I175)</f>
        <v/>
      </c>
      <c r="L175" s="46" t="str">
        <f aca="false">IF($A175="","",DATE(YEAR($A175),MONTH($A175),1))</f>
        <v/>
      </c>
    </row>
    <row r="176" customFormat="false" ht="15" hidden="false" customHeight="false" outlineLevel="0" collapsed="false">
      <c r="A176" s="44"/>
      <c r="B176" s="6"/>
      <c r="C176" s="8" t="str">
        <f aca="false">IF($B176="","",IFERROR(INDEX(INSUMOS!$B$6:$B$205,MATCH($B176,INSUMOS!$A$6:$A$205,0)),"¿Código?"))</f>
        <v/>
      </c>
      <c r="D176" s="8" t="str">
        <f aca="false">IF($B176="","",IFERROR(INDEX(INSUMOS!$D$6:$D$205,MATCH($B176,INSUMOS!$A$6:$A$205,0)),""))</f>
        <v/>
      </c>
      <c r="E176" s="6"/>
      <c r="F176" s="39"/>
      <c r="G176" s="6"/>
      <c r="H176" s="6"/>
      <c r="I176" s="43" t="str">
        <f aca="false">IF($B176="","",IFERROR(INDEX(INSUMOS!$O$6:$O$205,MATCH($B176,INSUMOS!$A$6:$A$205,0)),0))</f>
        <v/>
      </c>
      <c r="J176" s="45" t="str">
        <f aca="false">IF($B176="","",IF($E176="Ajuste (+) sobrante",1,-1)*N($F176))</f>
        <v/>
      </c>
      <c r="K176" s="35" t="str">
        <f aca="false">IF($B176="","",$J176*$I176)</f>
        <v/>
      </c>
      <c r="L176" s="46" t="str">
        <f aca="false">IF($A176="","",DATE(YEAR($A176),MONTH($A176),1))</f>
        <v/>
      </c>
    </row>
    <row r="177" customFormat="false" ht="15" hidden="false" customHeight="false" outlineLevel="0" collapsed="false">
      <c r="A177" s="44"/>
      <c r="B177" s="6"/>
      <c r="C177" s="8" t="str">
        <f aca="false">IF($B177="","",IFERROR(INDEX(INSUMOS!$B$6:$B$205,MATCH($B177,INSUMOS!$A$6:$A$205,0)),"¿Código?"))</f>
        <v/>
      </c>
      <c r="D177" s="8" t="str">
        <f aca="false">IF($B177="","",IFERROR(INDEX(INSUMOS!$D$6:$D$205,MATCH($B177,INSUMOS!$A$6:$A$205,0)),""))</f>
        <v/>
      </c>
      <c r="E177" s="6"/>
      <c r="F177" s="39"/>
      <c r="G177" s="6"/>
      <c r="H177" s="6"/>
      <c r="I177" s="43" t="str">
        <f aca="false">IF($B177="","",IFERROR(INDEX(INSUMOS!$O$6:$O$205,MATCH($B177,INSUMOS!$A$6:$A$205,0)),0))</f>
        <v/>
      </c>
      <c r="J177" s="45" t="str">
        <f aca="false">IF($B177="","",IF($E177="Ajuste (+) sobrante",1,-1)*N($F177))</f>
        <v/>
      </c>
      <c r="K177" s="35" t="str">
        <f aca="false">IF($B177="","",$J177*$I177)</f>
        <v/>
      </c>
      <c r="L177" s="46" t="str">
        <f aca="false">IF($A177="","",DATE(YEAR($A177),MONTH($A177),1))</f>
        <v/>
      </c>
    </row>
    <row r="178" customFormat="false" ht="15" hidden="false" customHeight="false" outlineLevel="0" collapsed="false">
      <c r="A178" s="44"/>
      <c r="B178" s="6"/>
      <c r="C178" s="8" t="str">
        <f aca="false">IF($B178="","",IFERROR(INDEX(INSUMOS!$B$6:$B$205,MATCH($B178,INSUMOS!$A$6:$A$205,0)),"¿Código?"))</f>
        <v/>
      </c>
      <c r="D178" s="8" t="str">
        <f aca="false">IF($B178="","",IFERROR(INDEX(INSUMOS!$D$6:$D$205,MATCH($B178,INSUMOS!$A$6:$A$205,0)),""))</f>
        <v/>
      </c>
      <c r="E178" s="6"/>
      <c r="F178" s="39"/>
      <c r="G178" s="6"/>
      <c r="H178" s="6"/>
      <c r="I178" s="43" t="str">
        <f aca="false">IF($B178="","",IFERROR(INDEX(INSUMOS!$O$6:$O$205,MATCH($B178,INSUMOS!$A$6:$A$205,0)),0))</f>
        <v/>
      </c>
      <c r="J178" s="45" t="str">
        <f aca="false">IF($B178="","",IF($E178="Ajuste (+) sobrante",1,-1)*N($F178))</f>
        <v/>
      </c>
      <c r="K178" s="35" t="str">
        <f aca="false">IF($B178="","",$J178*$I178)</f>
        <v/>
      </c>
      <c r="L178" s="46" t="str">
        <f aca="false">IF($A178="","",DATE(YEAR($A178),MONTH($A178),1))</f>
        <v/>
      </c>
    </row>
    <row r="179" customFormat="false" ht="15" hidden="false" customHeight="false" outlineLevel="0" collapsed="false">
      <c r="A179" s="44"/>
      <c r="B179" s="6"/>
      <c r="C179" s="8" t="str">
        <f aca="false">IF($B179="","",IFERROR(INDEX(INSUMOS!$B$6:$B$205,MATCH($B179,INSUMOS!$A$6:$A$205,0)),"¿Código?"))</f>
        <v/>
      </c>
      <c r="D179" s="8" t="str">
        <f aca="false">IF($B179="","",IFERROR(INDEX(INSUMOS!$D$6:$D$205,MATCH($B179,INSUMOS!$A$6:$A$205,0)),""))</f>
        <v/>
      </c>
      <c r="E179" s="6"/>
      <c r="F179" s="39"/>
      <c r="G179" s="6"/>
      <c r="H179" s="6"/>
      <c r="I179" s="43" t="str">
        <f aca="false">IF($B179="","",IFERROR(INDEX(INSUMOS!$O$6:$O$205,MATCH($B179,INSUMOS!$A$6:$A$205,0)),0))</f>
        <v/>
      </c>
      <c r="J179" s="45" t="str">
        <f aca="false">IF($B179="","",IF($E179="Ajuste (+) sobrante",1,-1)*N($F179))</f>
        <v/>
      </c>
      <c r="K179" s="35" t="str">
        <f aca="false">IF($B179="","",$J179*$I179)</f>
        <v/>
      </c>
      <c r="L179" s="46" t="str">
        <f aca="false">IF($A179="","",DATE(YEAR($A179),MONTH($A179),1))</f>
        <v/>
      </c>
    </row>
    <row r="180" customFormat="false" ht="15" hidden="false" customHeight="false" outlineLevel="0" collapsed="false">
      <c r="A180" s="44"/>
      <c r="B180" s="6"/>
      <c r="C180" s="8" t="str">
        <f aca="false">IF($B180="","",IFERROR(INDEX(INSUMOS!$B$6:$B$205,MATCH($B180,INSUMOS!$A$6:$A$205,0)),"¿Código?"))</f>
        <v/>
      </c>
      <c r="D180" s="8" t="str">
        <f aca="false">IF($B180="","",IFERROR(INDEX(INSUMOS!$D$6:$D$205,MATCH($B180,INSUMOS!$A$6:$A$205,0)),""))</f>
        <v/>
      </c>
      <c r="E180" s="6"/>
      <c r="F180" s="39"/>
      <c r="G180" s="6"/>
      <c r="H180" s="6"/>
      <c r="I180" s="43" t="str">
        <f aca="false">IF($B180="","",IFERROR(INDEX(INSUMOS!$O$6:$O$205,MATCH($B180,INSUMOS!$A$6:$A$205,0)),0))</f>
        <v/>
      </c>
      <c r="J180" s="45" t="str">
        <f aca="false">IF($B180="","",IF($E180="Ajuste (+) sobrante",1,-1)*N($F180))</f>
        <v/>
      </c>
      <c r="K180" s="35" t="str">
        <f aca="false">IF($B180="","",$J180*$I180)</f>
        <v/>
      </c>
      <c r="L180" s="46" t="str">
        <f aca="false">IF($A180="","",DATE(YEAR($A180),MONTH($A180),1))</f>
        <v/>
      </c>
    </row>
    <row r="181" customFormat="false" ht="15" hidden="false" customHeight="false" outlineLevel="0" collapsed="false">
      <c r="A181" s="44"/>
      <c r="B181" s="6"/>
      <c r="C181" s="8" t="str">
        <f aca="false">IF($B181="","",IFERROR(INDEX(INSUMOS!$B$6:$B$205,MATCH($B181,INSUMOS!$A$6:$A$205,0)),"¿Código?"))</f>
        <v/>
      </c>
      <c r="D181" s="8" t="str">
        <f aca="false">IF($B181="","",IFERROR(INDEX(INSUMOS!$D$6:$D$205,MATCH($B181,INSUMOS!$A$6:$A$205,0)),""))</f>
        <v/>
      </c>
      <c r="E181" s="6"/>
      <c r="F181" s="39"/>
      <c r="G181" s="6"/>
      <c r="H181" s="6"/>
      <c r="I181" s="43" t="str">
        <f aca="false">IF($B181="","",IFERROR(INDEX(INSUMOS!$O$6:$O$205,MATCH($B181,INSUMOS!$A$6:$A$205,0)),0))</f>
        <v/>
      </c>
      <c r="J181" s="45" t="str">
        <f aca="false">IF($B181="","",IF($E181="Ajuste (+) sobrante",1,-1)*N($F181))</f>
        <v/>
      </c>
      <c r="K181" s="35" t="str">
        <f aca="false">IF($B181="","",$J181*$I181)</f>
        <v/>
      </c>
      <c r="L181" s="46" t="str">
        <f aca="false">IF($A181="","",DATE(YEAR($A181),MONTH($A181),1))</f>
        <v/>
      </c>
    </row>
    <row r="182" customFormat="false" ht="15" hidden="false" customHeight="false" outlineLevel="0" collapsed="false">
      <c r="A182" s="44"/>
      <c r="B182" s="6"/>
      <c r="C182" s="8" t="str">
        <f aca="false">IF($B182="","",IFERROR(INDEX(INSUMOS!$B$6:$B$205,MATCH($B182,INSUMOS!$A$6:$A$205,0)),"¿Código?"))</f>
        <v/>
      </c>
      <c r="D182" s="8" t="str">
        <f aca="false">IF($B182="","",IFERROR(INDEX(INSUMOS!$D$6:$D$205,MATCH($B182,INSUMOS!$A$6:$A$205,0)),""))</f>
        <v/>
      </c>
      <c r="E182" s="6"/>
      <c r="F182" s="39"/>
      <c r="G182" s="6"/>
      <c r="H182" s="6"/>
      <c r="I182" s="43" t="str">
        <f aca="false">IF($B182="","",IFERROR(INDEX(INSUMOS!$O$6:$O$205,MATCH($B182,INSUMOS!$A$6:$A$205,0)),0))</f>
        <v/>
      </c>
      <c r="J182" s="45" t="str">
        <f aca="false">IF($B182="","",IF($E182="Ajuste (+) sobrante",1,-1)*N($F182))</f>
        <v/>
      </c>
      <c r="K182" s="35" t="str">
        <f aca="false">IF($B182="","",$J182*$I182)</f>
        <v/>
      </c>
      <c r="L182" s="46" t="str">
        <f aca="false">IF($A182="","",DATE(YEAR($A182),MONTH($A182),1))</f>
        <v/>
      </c>
    </row>
    <row r="183" customFormat="false" ht="15" hidden="false" customHeight="false" outlineLevel="0" collapsed="false">
      <c r="A183" s="44"/>
      <c r="B183" s="6"/>
      <c r="C183" s="8" t="str">
        <f aca="false">IF($B183="","",IFERROR(INDEX(INSUMOS!$B$6:$B$205,MATCH($B183,INSUMOS!$A$6:$A$205,0)),"¿Código?"))</f>
        <v/>
      </c>
      <c r="D183" s="8" t="str">
        <f aca="false">IF($B183="","",IFERROR(INDEX(INSUMOS!$D$6:$D$205,MATCH($B183,INSUMOS!$A$6:$A$205,0)),""))</f>
        <v/>
      </c>
      <c r="E183" s="6"/>
      <c r="F183" s="39"/>
      <c r="G183" s="6"/>
      <c r="H183" s="6"/>
      <c r="I183" s="43" t="str">
        <f aca="false">IF($B183="","",IFERROR(INDEX(INSUMOS!$O$6:$O$205,MATCH($B183,INSUMOS!$A$6:$A$205,0)),0))</f>
        <v/>
      </c>
      <c r="J183" s="45" t="str">
        <f aca="false">IF($B183="","",IF($E183="Ajuste (+) sobrante",1,-1)*N($F183))</f>
        <v/>
      </c>
      <c r="K183" s="35" t="str">
        <f aca="false">IF($B183="","",$J183*$I183)</f>
        <v/>
      </c>
      <c r="L183" s="46" t="str">
        <f aca="false">IF($A183="","",DATE(YEAR($A183),MONTH($A183),1))</f>
        <v/>
      </c>
    </row>
    <row r="184" customFormat="false" ht="15" hidden="false" customHeight="false" outlineLevel="0" collapsed="false">
      <c r="A184" s="44"/>
      <c r="B184" s="6"/>
      <c r="C184" s="8" t="str">
        <f aca="false">IF($B184="","",IFERROR(INDEX(INSUMOS!$B$6:$B$205,MATCH($B184,INSUMOS!$A$6:$A$205,0)),"¿Código?"))</f>
        <v/>
      </c>
      <c r="D184" s="8" t="str">
        <f aca="false">IF($B184="","",IFERROR(INDEX(INSUMOS!$D$6:$D$205,MATCH($B184,INSUMOS!$A$6:$A$205,0)),""))</f>
        <v/>
      </c>
      <c r="E184" s="6"/>
      <c r="F184" s="39"/>
      <c r="G184" s="6"/>
      <c r="H184" s="6"/>
      <c r="I184" s="43" t="str">
        <f aca="false">IF($B184="","",IFERROR(INDEX(INSUMOS!$O$6:$O$205,MATCH($B184,INSUMOS!$A$6:$A$205,0)),0))</f>
        <v/>
      </c>
      <c r="J184" s="45" t="str">
        <f aca="false">IF($B184="","",IF($E184="Ajuste (+) sobrante",1,-1)*N($F184))</f>
        <v/>
      </c>
      <c r="K184" s="35" t="str">
        <f aca="false">IF($B184="","",$J184*$I184)</f>
        <v/>
      </c>
      <c r="L184" s="46" t="str">
        <f aca="false">IF($A184="","",DATE(YEAR($A184),MONTH($A184),1))</f>
        <v/>
      </c>
    </row>
    <row r="185" customFormat="false" ht="15" hidden="false" customHeight="false" outlineLevel="0" collapsed="false">
      <c r="A185" s="44"/>
      <c r="B185" s="6"/>
      <c r="C185" s="8" t="str">
        <f aca="false">IF($B185="","",IFERROR(INDEX(INSUMOS!$B$6:$B$205,MATCH($B185,INSUMOS!$A$6:$A$205,0)),"¿Código?"))</f>
        <v/>
      </c>
      <c r="D185" s="8" t="str">
        <f aca="false">IF($B185="","",IFERROR(INDEX(INSUMOS!$D$6:$D$205,MATCH($B185,INSUMOS!$A$6:$A$205,0)),""))</f>
        <v/>
      </c>
      <c r="E185" s="6"/>
      <c r="F185" s="39"/>
      <c r="G185" s="6"/>
      <c r="H185" s="6"/>
      <c r="I185" s="43" t="str">
        <f aca="false">IF($B185="","",IFERROR(INDEX(INSUMOS!$O$6:$O$205,MATCH($B185,INSUMOS!$A$6:$A$205,0)),0))</f>
        <v/>
      </c>
      <c r="J185" s="45" t="str">
        <f aca="false">IF($B185="","",IF($E185="Ajuste (+) sobrante",1,-1)*N($F185))</f>
        <v/>
      </c>
      <c r="K185" s="35" t="str">
        <f aca="false">IF($B185="","",$J185*$I185)</f>
        <v/>
      </c>
      <c r="L185" s="46" t="str">
        <f aca="false">IF($A185="","",DATE(YEAR($A185),MONTH($A185),1))</f>
        <v/>
      </c>
    </row>
    <row r="186" customFormat="false" ht="15" hidden="false" customHeight="false" outlineLevel="0" collapsed="false">
      <c r="A186" s="44"/>
      <c r="B186" s="6"/>
      <c r="C186" s="8" t="str">
        <f aca="false">IF($B186="","",IFERROR(INDEX(INSUMOS!$B$6:$B$205,MATCH($B186,INSUMOS!$A$6:$A$205,0)),"¿Código?"))</f>
        <v/>
      </c>
      <c r="D186" s="8" t="str">
        <f aca="false">IF($B186="","",IFERROR(INDEX(INSUMOS!$D$6:$D$205,MATCH($B186,INSUMOS!$A$6:$A$205,0)),""))</f>
        <v/>
      </c>
      <c r="E186" s="6"/>
      <c r="F186" s="39"/>
      <c r="G186" s="6"/>
      <c r="H186" s="6"/>
      <c r="I186" s="43" t="str">
        <f aca="false">IF($B186="","",IFERROR(INDEX(INSUMOS!$O$6:$O$205,MATCH($B186,INSUMOS!$A$6:$A$205,0)),0))</f>
        <v/>
      </c>
      <c r="J186" s="45" t="str">
        <f aca="false">IF($B186="","",IF($E186="Ajuste (+) sobrante",1,-1)*N($F186))</f>
        <v/>
      </c>
      <c r="K186" s="35" t="str">
        <f aca="false">IF($B186="","",$J186*$I186)</f>
        <v/>
      </c>
      <c r="L186" s="46" t="str">
        <f aca="false">IF($A186="","",DATE(YEAR($A186),MONTH($A186),1))</f>
        <v/>
      </c>
    </row>
    <row r="187" customFormat="false" ht="15" hidden="false" customHeight="false" outlineLevel="0" collapsed="false">
      <c r="A187" s="44"/>
      <c r="B187" s="6"/>
      <c r="C187" s="8" t="str">
        <f aca="false">IF($B187="","",IFERROR(INDEX(INSUMOS!$B$6:$B$205,MATCH($B187,INSUMOS!$A$6:$A$205,0)),"¿Código?"))</f>
        <v/>
      </c>
      <c r="D187" s="8" t="str">
        <f aca="false">IF($B187="","",IFERROR(INDEX(INSUMOS!$D$6:$D$205,MATCH($B187,INSUMOS!$A$6:$A$205,0)),""))</f>
        <v/>
      </c>
      <c r="E187" s="6"/>
      <c r="F187" s="39"/>
      <c r="G187" s="6"/>
      <c r="H187" s="6"/>
      <c r="I187" s="43" t="str">
        <f aca="false">IF($B187="","",IFERROR(INDEX(INSUMOS!$O$6:$O$205,MATCH($B187,INSUMOS!$A$6:$A$205,0)),0))</f>
        <v/>
      </c>
      <c r="J187" s="45" t="str">
        <f aca="false">IF($B187="","",IF($E187="Ajuste (+) sobrante",1,-1)*N($F187))</f>
        <v/>
      </c>
      <c r="K187" s="35" t="str">
        <f aca="false">IF($B187="","",$J187*$I187)</f>
        <v/>
      </c>
      <c r="L187" s="46" t="str">
        <f aca="false">IF($A187="","",DATE(YEAR($A187),MONTH($A187),1))</f>
        <v/>
      </c>
    </row>
    <row r="188" customFormat="false" ht="15" hidden="false" customHeight="false" outlineLevel="0" collapsed="false">
      <c r="A188" s="44"/>
      <c r="B188" s="6"/>
      <c r="C188" s="8" t="str">
        <f aca="false">IF($B188="","",IFERROR(INDEX(INSUMOS!$B$6:$B$205,MATCH($B188,INSUMOS!$A$6:$A$205,0)),"¿Código?"))</f>
        <v/>
      </c>
      <c r="D188" s="8" t="str">
        <f aca="false">IF($B188="","",IFERROR(INDEX(INSUMOS!$D$6:$D$205,MATCH($B188,INSUMOS!$A$6:$A$205,0)),""))</f>
        <v/>
      </c>
      <c r="E188" s="6"/>
      <c r="F188" s="39"/>
      <c r="G188" s="6"/>
      <c r="H188" s="6"/>
      <c r="I188" s="43" t="str">
        <f aca="false">IF($B188="","",IFERROR(INDEX(INSUMOS!$O$6:$O$205,MATCH($B188,INSUMOS!$A$6:$A$205,0)),0))</f>
        <v/>
      </c>
      <c r="J188" s="45" t="str">
        <f aca="false">IF($B188="","",IF($E188="Ajuste (+) sobrante",1,-1)*N($F188))</f>
        <v/>
      </c>
      <c r="K188" s="35" t="str">
        <f aca="false">IF($B188="","",$J188*$I188)</f>
        <v/>
      </c>
      <c r="L188" s="46" t="str">
        <f aca="false">IF($A188="","",DATE(YEAR($A188),MONTH($A188),1))</f>
        <v/>
      </c>
    </row>
    <row r="189" customFormat="false" ht="15" hidden="false" customHeight="false" outlineLevel="0" collapsed="false">
      <c r="A189" s="44"/>
      <c r="B189" s="6"/>
      <c r="C189" s="8" t="str">
        <f aca="false">IF($B189="","",IFERROR(INDEX(INSUMOS!$B$6:$B$205,MATCH($B189,INSUMOS!$A$6:$A$205,0)),"¿Código?"))</f>
        <v/>
      </c>
      <c r="D189" s="8" t="str">
        <f aca="false">IF($B189="","",IFERROR(INDEX(INSUMOS!$D$6:$D$205,MATCH($B189,INSUMOS!$A$6:$A$205,0)),""))</f>
        <v/>
      </c>
      <c r="E189" s="6"/>
      <c r="F189" s="39"/>
      <c r="G189" s="6"/>
      <c r="H189" s="6"/>
      <c r="I189" s="43" t="str">
        <f aca="false">IF($B189="","",IFERROR(INDEX(INSUMOS!$O$6:$O$205,MATCH($B189,INSUMOS!$A$6:$A$205,0)),0))</f>
        <v/>
      </c>
      <c r="J189" s="45" t="str">
        <f aca="false">IF($B189="","",IF($E189="Ajuste (+) sobrante",1,-1)*N($F189))</f>
        <v/>
      </c>
      <c r="K189" s="35" t="str">
        <f aca="false">IF($B189="","",$J189*$I189)</f>
        <v/>
      </c>
      <c r="L189" s="46" t="str">
        <f aca="false">IF($A189="","",DATE(YEAR($A189),MONTH($A189),1))</f>
        <v/>
      </c>
    </row>
    <row r="190" customFormat="false" ht="15" hidden="false" customHeight="false" outlineLevel="0" collapsed="false">
      <c r="A190" s="44"/>
      <c r="B190" s="6"/>
      <c r="C190" s="8" t="str">
        <f aca="false">IF($B190="","",IFERROR(INDEX(INSUMOS!$B$6:$B$205,MATCH($B190,INSUMOS!$A$6:$A$205,0)),"¿Código?"))</f>
        <v/>
      </c>
      <c r="D190" s="8" t="str">
        <f aca="false">IF($B190="","",IFERROR(INDEX(INSUMOS!$D$6:$D$205,MATCH($B190,INSUMOS!$A$6:$A$205,0)),""))</f>
        <v/>
      </c>
      <c r="E190" s="6"/>
      <c r="F190" s="39"/>
      <c r="G190" s="6"/>
      <c r="H190" s="6"/>
      <c r="I190" s="43" t="str">
        <f aca="false">IF($B190="","",IFERROR(INDEX(INSUMOS!$O$6:$O$205,MATCH($B190,INSUMOS!$A$6:$A$205,0)),0))</f>
        <v/>
      </c>
      <c r="J190" s="45" t="str">
        <f aca="false">IF($B190="","",IF($E190="Ajuste (+) sobrante",1,-1)*N($F190))</f>
        <v/>
      </c>
      <c r="K190" s="35" t="str">
        <f aca="false">IF($B190="","",$J190*$I190)</f>
        <v/>
      </c>
      <c r="L190" s="46" t="str">
        <f aca="false">IF($A190="","",DATE(YEAR($A190),MONTH($A190),1))</f>
        <v/>
      </c>
    </row>
    <row r="191" customFormat="false" ht="15" hidden="false" customHeight="false" outlineLevel="0" collapsed="false">
      <c r="A191" s="44"/>
      <c r="B191" s="6"/>
      <c r="C191" s="8" t="str">
        <f aca="false">IF($B191="","",IFERROR(INDEX(INSUMOS!$B$6:$B$205,MATCH($B191,INSUMOS!$A$6:$A$205,0)),"¿Código?"))</f>
        <v/>
      </c>
      <c r="D191" s="8" t="str">
        <f aca="false">IF($B191="","",IFERROR(INDEX(INSUMOS!$D$6:$D$205,MATCH($B191,INSUMOS!$A$6:$A$205,0)),""))</f>
        <v/>
      </c>
      <c r="E191" s="6"/>
      <c r="F191" s="39"/>
      <c r="G191" s="6"/>
      <c r="H191" s="6"/>
      <c r="I191" s="43" t="str">
        <f aca="false">IF($B191="","",IFERROR(INDEX(INSUMOS!$O$6:$O$205,MATCH($B191,INSUMOS!$A$6:$A$205,0)),0))</f>
        <v/>
      </c>
      <c r="J191" s="45" t="str">
        <f aca="false">IF($B191="","",IF($E191="Ajuste (+) sobrante",1,-1)*N($F191))</f>
        <v/>
      </c>
      <c r="K191" s="35" t="str">
        <f aca="false">IF($B191="","",$J191*$I191)</f>
        <v/>
      </c>
      <c r="L191" s="46" t="str">
        <f aca="false">IF($A191="","",DATE(YEAR($A191),MONTH($A191),1))</f>
        <v/>
      </c>
    </row>
    <row r="192" customFormat="false" ht="15" hidden="false" customHeight="false" outlineLevel="0" collapsed="false">
      <c r="A192" s="44"/>
      <c r="B192" s="6"/>
      <c r="C192" s="8" t="str">
        <f aca="false">IF($B192="","",IFERROR(INDEX(INSUMOS!$B$6:$B$205,MATCH($B192,INSUMOS!$A$6:$A$205,0)),"¿Código?"))</f>
        <v/>
      </c>
      <c r="D192" s="8" t="str">
        <f aca="false">IF($B192="","",IFERROR(INDEX(INSUMOS!$D$6:$D$205,MATCH($B192,INSUMOS!$A$6:$A$205,0)),""))</f>
        <v/>
      </c>
      <c r="E192" s="6"/>
      <c r="F192" s="39"/>
      <c r="G192" s="6"/>
      <c r="H192" s="6"/>
      <c r="I192" s="43" t="str">
        <f aca="false">IF($B192="","",IFERROR(INDEX(INSUMOS!$O$6:$O$205,MATCH($B192,INSUMOS!$A$6:$A$205,0)),0))</f>
        <v/>
      </c>
      <c r="J192" s="45" t="str">
        <f aca="false">IF($B192="","",IF($E192="Ajuste (+) sobrante",1,-1)*N($F192))</f>
        <v/>
      </c>
      <c r="K192" s="35" t="str">
        <f aca="false">IF($B192="","",$J192*$I192)</f>
        <v/>
      </c>
      <c r="L192" s="46" t="str">
        <f aca="false">IF($A192="","",DATE(YEAR($A192),MONTH($A192),1))</f>
        <v/>
      </c>
    </row>
    <row r="193" customFormat="false" ht="15" hidden="false" customHeight="false" outlineLevel="0" collapsed="false">
      <c r="A193" s="44"/>
      <c r="B193" s="6"/>
      <c r="C193" s="8" t="str">
        <f aca="false">IF($B193="","",IFERROR(INDEX(INSUMOS!$B$6:$B$205,MATCH($B193,INSUMOS!$A$6:$A$205,0)),"¿Código?"))</f>
        <v/>
      </c>
      <c r="D193" s="8" t="str">
        <f aca="false">IF($B193="","",IFERROR(INDEX(INSUMOS!$D$6:$D$205,MATCH($B193,INSUMOS!$A$6:$A$205,0)),""))</f>
        <v/>
      </c>
      <c r="E193" s="6"/>
      <c r="F193" s="39"/>
      <c r="G193" s="6"/>
      <c r="H193" s="6"/>
      <c r="I193" s="43" t="str">
        <f aca="false">IF($B193="","",IFERROR(INDEX(INSUMOS!$O$6:$O$205,MATCH($B193,INSUMOS!$A$6:$A$205,0)),0))</f>
        <v/>
      </c>
      <c r="J193" s="45" t="str">
        <f aca="false">IF($B193="","",IF($E193="Ajuste (+) sobrante",1,-1)*N($F193))</f>
        <v/>
      </c>
      <c r="K193" s="35" t="str">
        <f aca="false">IF($B193="","",$J193*$I193)</f>
        <v/>
      </c>
      <c r="L193" s="46" t="str">
        <f aca="false">IF($A193="","",DATE(YEAR($A193),MONTH($A193),1))</f>
        <v/>
      </c>
    </row>
    <row r="194" customFormat="false" ht="15" hidden="false" customHeight="false" outlineLevel="0" collapsed="false">
      <c r="A194" s="44"/>
      <c r="B194" s="6"/>
      <c r="C194" s="8" t="str">
        <f aca="false">IF($B194="","",IFERROR(INDEX(INSUMOS!$B$6:$B$205,MATCH($B194,INSUMOS!$A$6:$A$205,0)),"¿Código?"))</f>
        <v/>
      </c>
      <c r="D194" s="8" t="str">
        <f aca="false">IF($B194="","",IFERROR(INDEX(INSUMOS!$D$6:$D$205,MATCH($B194,INSUMOS!$A$6:$A$205,0)),""))</f>
        <v/>
      </c>
      <c r="E194" s="6"/>
      <c r="F194" s="39"/>
      <c r="G194" s="6"/>
      <c r="H194" s="6"/>
      <c r="I194" s="43" t="str">
        <f aca="false">IF($B194="","",IFERROR(INDEX(INSUMOS!$O$6:$O$205,MATCH($B194,INSUMOS!$A$6:$A$205,0)),0))</f>
        <v/>
      </c>
      <c r="J194" s="45" t="str">
        <f aca="false">IF($B194="","",IF($E194="Ajuste (+) sobrante",1,-1)*N($F194))</f>
        <v/>
      </c>
      <c r="K194" s="35" t="str">
        <f aca="false">IF($B194="","",$J194*$I194)</f>
        <v/>
      </c>
      <c r="L194" s="46" t="str">
        <f aca="false">IF($A194="","",DATE(YEAR($A194),MONTH($A194),1))</f>
        <v/>
      </c>
    </row>
    <row r="195" customFormat="false" ht="15" hidden="false" customHeight="false" outlineLevel="0" collapsed="false">
      <c r="A195" s="44"/>
      <c r="B195" s="6"/>
      <c r="C195" s="8" t="str">
        <f aca="false">IF($B195="","",IFERROR(INDEX(INSUMOS!$B$6:$B$205,MATCH($B195,INSUMOS!$A$6:$A$205,0)),"¿Código?"))</f>
        <v/>
      </c>
      <c r="D195" s="8" t="str">
        <f aca="false">IF($B195="","",IFERROR(INDEX(INSUMOS!$D$6:$D$205,MATCH($B195,INSUMOS!$A$6:$A$205,0)),""))</f>
        <v/>
      </c>
      <c r="E195" s="6"/>
      <c r="F195" s="39"/>
      <c r="G195" s="6"/>
      <c r="H195" s="6"/>
      <c r="I195" s="43" t="str">
        <f aca="false">IF($B195="","",IFERROR(INDEX(INSUMOS!$O$6:$O$205,MATCH($B195,INSUMOS!$A$6:$A$205,0)),0))</f>
        <v/>
      </c>
      <c r="J195" s="45" t="str">
        <f aca="false">IF($B195="","",IF($E195="Ajuste (+) sobrante",1,-1)*N($F195))</f>
        <v/>
      </c>
      <c r="K195" s="35" t="str">
        <f aca="false">IF($B195="","",$J195*$I195)</f>
        <v/>
      </c>
      <c r="L195" s="46" t="str">
        <f aca="false">IF($A195="","",DATE(YEAR($A195),MONTH($A195),1))</f>
        <v/>
      </c>
    </row>
    <row r="196" customFormat="false" ht="15" hidden="false" customHeight="false" outlineLevel="0" collapsed="false">
      <c r="A196" s="44"/>
      <c r="B196" s="6"/>
      <c r="C196" s="8" t="str">
        <f aca="false">IF($B196="","",IFERROR(INDEX(INSUMOS!$B$6:$B$205,MATCH($B196,INSUMOS!$A$6:$A$205,0)),"¿Código?"))</f>
        <v/>
      </c>
      <c r="D196" s="8" t="str">
        <f aca="false">IF($B196="","",IFERROR(INDEX(INSUMOS!$D$6:$D$205,MATCH($B196,INSUMOS!$A$6:$A$205,0)),""))</f>
        <v/>
      </c>
      <c r="E196" s="6"/>
      <c r="F196" s="39"/>
      <c r="G196" s="6"/>
      <c r="H196" s="6"/>
      <c r="I196" s="43" t="str">
        <f aca="false">IF($B196="","",IFERROR(INDEX(INSUMOS!$O$6:$O$205,MATCH($B196,INSUMOS!$A$6:$A$205,0)),0))</f>
        <v/>
      </c>
      <c r="J196" s="45" t="str">
        <f aca="false">IF($B196="","",IF($E196="Ajuste (+) sobrante",1,-1)*N($F196))</f>
        <v/>
      </c>
      <c r="K196" s="35" t="str">
        <f aca="false">IF($B196="","",$J196*$I196)</f>
        <v/>
      </c>
      <c r="L196" s="46" t="str">
        <f aca="false">IF($A196="","",DATE(YEAR($A196),MONTH($A196),1))</f>
        <v/>
      </c>
    </row>
    <row r="197" customFormat="false" ht="15" hidden="false" customHeight="false" outlineLevel="0" collapsed="false">
      <c r="A197" s="44"/>
      <c r="B197" s="6"/>
      <c r="C197" s="8" t="str">
        <f aca="false">IF($B197="","",IFERROR(INDEX(INSUMOS!$B$6:$B$205,MATCH($B197,INSUMOS!$A$6:$A$205,0)),"¿Código?"))</f>
        <v/>
      </c>
      <c r="D197" s="8" t="str">
        <f aca="false">IF($B197="","",IFERROR(INDEX(INSUMOS!$D$6:$D$205,MATCH($B197,INSUMOS!$A$6:$A$205,0)),""))</f>
        <v/>
      </c>
      <c r="E197" s="6"/>
      <c r="F197" s="39"/>
      <c r="G197" s="6"/>
      <c r="H197" s="6"/>
      <c r="I197" s="43" t="str">
        <f aca="false">IF($B197="","",IFERROR(INDEX(INSUMOS!$O$6:$O$205,MATCH($B197,INSUMOS!$A$6:$A$205,0)),0))</f>
        <v/>
      </c>
      <c r="J197" s="45" t="str">
        <f aca="false">IF($B197="","",IF($E197="Ajuste (+) sobrante",1,-1)*N($F197))</f>
        <v/>
      </c>
      <c r="K197" s="35" t="str">
        <f aca="false">IF($B197="","",$J197*$I197)</f>
        <v/>
      </c>
      <c r="L197" s="46" t="str">
        <f aca="false">IF($A197="","",DATE(YEAR($A197),MONTH($A197),1))</f>
        <v/>
      </c>
    </row>
    <row r="198" customFormat="false" ht="15" hidden="false" customHeight="false" outlineLevel="0" collapsed="false">
      <c r="A198" s="44"/>
      <c r="B198" s="6"/>
      <c r="C198" s="8" t="str">
        <f aca="false">IF($B198="","",IFERROR(INDEX(INSUMOS!$B$6:$B$205,MATCH($B198,INSUMOS!$A$6:$A$205,0)),"¿Código?"))</f>
        <v/>
      </c>
      <c r="D198" s="8" t="str">
        <f aca="false">IF($B198="","",IFERROR(INDEX(INSUMOS!$D$6:$D$205,MATCH($B198,INSUMOS!$A$6:$A$205,0)),""))</f>
        <v/>
      </c>
      <c r="E198" s="6"/>
      <c r="F198" s="39"/>
      <c r="G198" s="6"/>
      <c r="H198" s="6"/>
      <c r="I198" s="43" t="str">
        <f aca="false">IF($B198="","",IFERROR(INDEX(INSUMOS!$O$6:$O$205,MATCH($B198,INSUMOS!$A$6:$A$205,0)),0))</f>
        <v/>
      </c>
      <c r="J198" s="45" t="str">
        <f aca="false">IF($B198="","",IF($E198="Ajuste (+) sobrante",1,-1)*N($F198))</f>
        <v/>
      </c>
      <c r="K198" s="35" t="str">
        <f aca="false">IF($B198="","",$J198*$I198)</f>
        <v/>
      </c>
      <c r="L198" s="46" t="str">
        <f aca="false">IF($A198="","",DATE(YEAR($A198),MONTH($A198),1))</f>
        <v/>
      </c>
    </row>
    <row r="199" customFormat="false" ht="15" hidden="false" customHeight="false" outlineLevel="0" collapsed="false">
      <c r="A199" s="44"/>
      <c r="B199" s="6"/>
      <c r="C199" s="8" t="str">
        <f aca="false">IF($B199="","",IFERROR(INDEX(INSUMOS!$B$6:$B$205,MATCH($B199,INSUMOS!$A$6:$A$205,0)),"¿Código?"))</f>
        <v/>
      </c>
      <c r="D199" s="8" t="str">
        <f aca="false">IF($B199="","",IFERROR(INDEX(INSUMOS!$D$6:$D$205,MATCH($B199,INSUMOS!$A$6:$A$205,0)),""))</f>
        <v/>
      </c>
      <c r="E199" s="6"/>
      <c r="F199" s="39"/>
      <c r="G199" s="6"/>
      <c r="H199" s="6"/>
      <c r="I199" s="43" t="str">
        <f aca="false">IF($B199="","",IFERROR(INDEX(INSUMOS!$O$6:$O$205,MATCH($B199,INSUMOS!$A$6:$A$205,0)),0))</f>
        <v/>
      </c>
      <c r="J199" s="45" t="str">
        <f aca="false">IF($B199="","",IF($E199="Ajuste (+) sobrante",1,-1)*N($F199))</f>
        <v/>
      </c>
      <c r="K199" s="35" t="str">
        <f aca="false">IF($B199="","",$J199*$I199)</f>
        <v/>
      </c>
      <c r="L199" s="46" t="str">
        <f aca="false">IF($A199="","",DATE(YEAR($A199),MONTH($A199),1))</f>
        <v/>
      </c>
    </row>
    <row r="200" customFormat="false" ht="15" hidden="false" customHeight="false" outlineLevel="0" collapsed="false">
      <c r="A200" s="44"/>
      <c r="B200" s="6"/>
      <c r="C200" s="8" t="str">
        <f aca="false">IF($B200="","",IFERROR(INDEX(INSUMOS!$B$6:$B$205,MATCH($B200,INSUMOS!$A$6:$A$205,0)),"¿Código?"))</f>
        <v/>
      </c>
      <c r="D200" s="8" t="str">
        <f aca="false">IF($B200="","",IFERROR(INDEX(INSUMOS!$D$6:$D$205,MATCH($B200,INSUMOS!$A$6:$A$205,0)),""))</f>
        <v/>
      </c>
      <c r="E200" s="6"/>
      <c r="F200" s="39"/>
      <c r="G200" s="6"/>
      <c r="H200" s="6"/>
      <c r="I200" s="43" t="str">
        <f aca="false">IF($B200="","",IFERROR(INDEX(INSUMOS!$O$6:$O$205,MATCH($B200,INSUMOS!$A$6:$A$205,0)),0))</f>
        <v/>
      </c>
      <c r="J200" s="45" t="str">
        <f aca="false">IF($B200="","",IF($E200="Ajuste (+) sobrante",1,-1)*N($F200))</f>
        <v/>
      </c>
      <c r="K200" s="35" t="str">
        <f aca="false">IF($B200="","",$J200*$I200)</f>
        <v/>
      </c>
      <c r="L200" s="46" t="str">
        <f aca="false">IF($A200="","",DATE(YEAR($A200),MONTH($A200),1))</f>
        <v/>
      </c>
    </row>
    <row r="201" customFormat="false" ht="15" hidden="false" customHeight="false" outlineLevel="0" collapsed="false">
      <c r="A201" s="44"/>
      <c r="B201" s="6"/>
      <c r="C201" s="8" t="str">
        <f aca="false">IF($B201="","",IFERROR(INDEX(INSUMOS!$B$6:$B$205,MATCH($B201,INSUMOS!$A$6:$A$205,0)),"¿Código?"))</f>
        <v/>
      </c>
      <c r="D201" s="8" t="str">
        <f aca="false">IF($B201="","",IFERROR(INDEX(INSUMOS!$D$6:$D$205,MATCH($B201,INSUMOS!$A$6:$A$205,0)),""))</f>
        <v/>
      </c>
      <c r="E201" s="6"/>
      <c r="F201" s="39"/>
      <c r="G201" s="6"/>
      <c r="H201" s="6"/>
      <c r="I201" s="43" t="str">
        <f aca="false">IF($B201="","",IFERROR(INDEX(INSUMOS!$O$6:$O$205,MATCH($B201,INSUMOS!$A$6:$A$205,0)),0))</f>
        <v/>
      </c>
      <c r="J201" s="45" t="str">
        <f aca="false">IF($B201="","",IF($E201="Ajuste (+) sobrante",1,-1)*N($F201))</f>
        <v/>
      </c>
      <c r="K201" s="35" t="str">
        <f aca="false">IF($B201="","",$J201*$I201)</f>
        <v/>
      </c>
      <c r="L201" s="46" t="str">
        <f aca="false">IF($A201="","",DATE(YEAR($A201),MONTH($A201),1))</f>
        <v/>
      </c>
    </row>
    <row r="202" customFormat="false" ht="15" hidden="false" customHeight="false" outlineLevel="0" collapsed="false">
      <c r="A202" s="44"/>
      <c r="B202" s="6"/>
      <c r="C202" s="8" t="str">
        <f aca="false">IF($B202="","",IFERROR(INDEX(INSUMOS!$B$6:$B$205,MATCH($B202,INSUMOS!$A$6:$A$205,0)),"¿Código?"))</f>
        <v/>
      </c>
      <c r="D202" s="8" t="str">
        <f aca="false">IF($B202="","",IFERROR(INDEX(INSUMOS!$D$6:$D$205,MATCH($B202,INSUMOS!$A$6:$A$205,0)),""))</f>
        <v/>
      </c>
      <c r="E202" s="6"/>
      <c r="F202" s="39"/>
      <c r="G202" s="6"/>
      <c r="H202" s="6"/>
      <c r="I202" s="43" t="str">
        <f aca="false">IF($B202="","",IFERROR(INDEX(INSUMOS!$O$6:$O$205,MATCH($B202,INSUMOS!$A$6:$A$205,0)),0))</f>
        <v/>
      </c>
      <c r="J202" s="45" t="str">
        <f aca="false">IF($B202="","",IF($E202="Ajuste (+) sobrante",1,-1)*N($F202))</f>
        <v/>
      </c>
      <c r="K202" s="35" t="str">
        <f aca="false">IF($B202="","",$J202*$I202)</f>
        <v/>
      </c>
      <c r="L202" s="46" t="str">
        <f aca="false">IF($A202="","",DATE(YEAR($A202),MONTH($A202),1))</f>
        <v/>
      </c>
    </row>
    <row r="203" customFormat="false" ht="15" hidden="false" customHeight="false" outlineLevel="0" collapsed="false">
      <c r="A203" s="44"/>
      <c r="B203" s="6"/>
      <c r="C203" s="8" t="str">
        <f aca="false">IF($B203="","",IFERROR(INDEX(INSUMOS!$B$6:$B$205,MATCH($B203,INSUMOS!$A$6:$A$205,0)),"¿Código?"))</f>
        <v/>
      </c>
      <c r="D203" s="8" t="str">
        <f aca="false">IF($B203="","",IFERROR(INDEX(INSUMOS!$D$6:$D$205,MATCH($B203,INSUMOS!$A$6:$A$205,0)),""))</f>
        <v/>
      </c>
      <c r="E203" s="6"/>
      <c r="F203" s="39"/>
      <c r="G203" s="6"/>
      <c r="H203" s="6"/>
      <c r="I203" s="43" t="str">
        <f aca="false">IF($B203="","",IFERROR(INDEX(INSUMOS!$O$6:$O$205,MATCH($B203,INSUMOS!$A$6:$A$205,0)),0))</f>
        <v/>
      </c>
      <c r="J203" s="45" t="str">
        <f aca="false">IF($B203="","",IF($E203="Ajuste (+) sobrante",1,-1)*N($F203))</f>
        <v/>
      </c>
      <c r="K203" s="35" t="str">
        <f aca="false">IF($B203="","",$J203*$I203)</f>
        <v/>
      </c>
      <c r="L203" s="46" t="str">
        <f aca="false">IF($A203="","",DATE(YEAR($A203),MONTH($A203),1))</f>
        <v/>
      </c>
    </row>
    <row r="204" customFormat="false" ht="15" hidden="false" customHeight="false" outlineLevel="0" collapsed="false">
      <c r="A204" s="44"/>
      <c r="B204" s="6"/>
      <c r="C204" s="8" t="str">
        <f aca="false">IF($B204="","",IFERROR(INDEX(INSUMOS!$B$6:$B$205,MATCH($B204,INSUMOS!$A$6:$A$205,0)),"¿Código?"))</f>
        <v/>
      </c>
      <c r="D204" s="8" t="str">
        <f aca="false">IF($B204="","",IFERROR(INDEX(INSUMOS!$D$6:$D$205,MATCH($B204,INSUMOS!$A$6:$A$205,0)),""))</f>
        <v/>
      </c>
      <c r="E204" s="6"/>
      <c r="F204" s="39"/>
      <c r="G204" s="6"/>
      <c r="H204" s="6"/>
      <c r="I204" s="43" t="str">
        <f aca="false">IF($B204="","",IFERROR(INDEX(INSUMOS!$O$6:$O$205,MATCH($B204,INSUMOS!$A$6:$A$205,0)),0))</f>
        <v/>
      </c>
      <c r="J204" s="45" t="str">
        <f aca="false">IF($B204="","",IF($E204="Ajuste (+) sobrante",1,-1)*N($F204))</f>
        <v/>
      </c>
      <c r="K204" s="35" t="str">
        <f aca="false">IF($B204="","",$J204*$I204)</f>
        <v/>
      </c>
      <c r="L204" s="46" t="str">
        <f aca="false">IF($A204="","",DATE(YEAR($A204),MONTH($A204),1))</f>
        <v/>
      </c>
    </row>
    <row r="205" customFormat="false" ht="15" hidden="false" customHeight="false" outlineLevel="0" collapsed="false">
      <c r="A205" s="44"/>
      <c r="B205" s="6"/>
      <c r="C205" s="8" t="str">
        <f aca="false">IF($B205="","",IFERROR(INDEX(INSUMOS!$B$6:$B$205,MATCH($B205,INSUMOS!$A$6:$A$205,0)),"¿Código?"))</f>
        <v/>
      </c>
      <c r="D205" s="8" t="str">
        <f aca="false">IF($B205="","",IFERROR(INDEX(INSUMOS!$D$6:$D$205,MATCH($B205,INSUMOS!$A$6:$A$205,0)),""))</f>
        <v/>
      </c>
      <c r="E205" s="6"/>
      <c r="F205" s="39"/>
      <c r="G205" s="6"/>
      <c r="H205" s="6"/>
      <c r="I205" s="43" t="str">
        <f aca="false">IF($B205="","",IFERROR(INDEX(INSUMOS!$O$6:$O$205,MATCH($B205,INSUMOS!$A$6:$A$205,0)),0))</f>
        <v/>
      </c>
      <c r="J205" s="45" t="str">
        <f aca="false">IF($B205="","",IF($E205="Ajuste (+) sobrante",1,-1)*N($F205))</f>
        <v/>
      </c>
      <c r="K205" s="35" t="str">
        <f aca="false">IF($B205="","",$J205*$I205)</f>
        <v/>
      </c>
      <c r="L205" s="46" t="str">
        <f aca="false">IF($A205="","",DATE(YEAR($A205),MONTH($A205),1))</f>
        <v/>
      </c>
    </row>
    <row r="206" customFormat="false" ht="15" hidden="false" customHeight="false" outlineLevel="0" collapsed="false">
      <c r="A206" s="44"/>
      <c r="B206" s="6"/>
      <c r="C206" s="8" t="str">
        <f aca="false">IF($B206="","",IFERROR(INDEX(INSUMOS!$B$6:$B$205,MATCH($B206,INSUMOS!$A$6:$A$205,0)),"¿Código?"))</f>
        <v/>
      </c>
      <c r="D206" s="8" t="str">
        <f aca="false">IF($B206="","",IFERROR(INDEX(INSUMOS!$D$6:$D$205,MATCH($B206,INSUMOS!$A$6:$A$205,0)),""))</f>
        <v/>
      </c>
      <c r="E206" s="6"/>
      <c r="F206" s="39"/>
      <c r="G206" s="6"/>
      <c r="H206" s="6"/>
      <c r="I206" s="43" t="str">
        <f aca="false">IF($B206="","",IFERROR(INDEX(INSUMOS!$O$6:$O$205,MATCH($B206,INSUMOS!$A$6:$A$205,0)),0))</f>
        <v/>
      </c>
      <c r="J206" s="45" t="str">
        <f aca="false">IF($B206="","",IF($E206="Ajuste (+) sobrante",1,-1)*N($F206))</f>
        <v/>
      </c>
      <c r="K206" s="35" t="str">
        <f aca="false">IF($B206="","",$J206*$I206)</f>
        <v/>
      </c>
      <c r="L206" s="46" t="str">
        <f aca="false">IF($A206="","",DATE(YEAR($A206),MONTH($A206),1))</f>
        <v/>
      </c>
    </row>
    <row r="207" customFormat="false" ht="15" hidden="false" customHeight="false" outlineLevel="0" collapsed="false">
      <c r="A207" s="44"/>
      <c r="B207" s="6"/>
      <c r="C207" s="8" t="str">
        <f aca="false">IF($B207="","",IFERROR(INDEX(INSUMOS!$B$6:$B$205,MATCH($B207,INSUMOS!$A$6:$A$205,0)),"¿Código?"))</f>
        <v/>
      </c>
      <c r="D207" s="8" t="str">
        <f aca="false">IF($B207="","",IFERROR(INDEX(INSUMOS!$D$6:$D$205,MATCH($B207,INSUMOS!$A$6:$A$205,0)),""))</f>
        <v/>
      </c>
      <c r="E207" s="6"/>
      <c r="F207" s="39"/>
      <c r="G207" s="6"/>
      <c r="H207" s="6"/>
      <c r="I207" s="43" t="str">
        <f aca="false">IF($B207="","",IFERROR(INDEX(INSUMOS!$O$6:$O$205,MATCH($B207,INSUMOS!$A$6:$A$205,0)),0))</f>
        <v/>
      </c>
      <c r="J207" s="45" t="str">
        <f aca="false">IF($B207="","",IF($E207="Ajuste (+) sobrante",1,-1)*N($F207))</f>
        <v/>
      </c>
      <c r="K207" s="35" t="str">
        <f aca="false">IF($B207="","",$J207*$I207)</f>
        <v/>
      </c>
      <c r="L207" s="46" t="str">
        <f aca="false">IF($A207="","",DATE(YEAR($A207),MONTH($A207),1))</f>
        <v/>
      </c>
    </row>
    <row r="208" customFormat="false" ht="15" hidden="false" customHeight="false" outlineLevel="0" collapsed="false">
      <c r="A208" s="44"/>
      <c r="B208" s="6"/>
      <c r="C208" s="8" t="str">
        <f aca="false">IF($B208="","",IFERROR(INDEX(INSUMOS!$B$6:$B$205,MATCH($B208,INSUMOS!$A$6:$A$205,0)),"¿Código?"))</f>
        <v/>
      </c>
      <c r="D208" s="8" t="str">
        <f aca="false">IF($B208="","",IFERROR(INDEX(INSUMOS!$D$6:$D$205,MATCH($B208,INSUMOS!$A$6:$A$205,0)),""))</f>
        <v/>
      </c>
      <c r="E208" s="6"/>
      <c r="F208" s="39"/>
      <c r="G208" s="6"/>
      <c r="H208" s="6"/>
      <c r="I208" s="43" t="str">
        <f aca="false">IF($B208="","",IFERROR(INDEX(INSUMOS!$O$6:$O$205,MATCH($B208,INSUMOS!$A$6:$A$205,0)),0))</f>
        <v/>
      </c>
      <c r="J208" s="45" t="str">
        <f aca="false">IF($B208="","",IF($E208="Ajuste (+) sobrante",1,-1)*N($F208))</f>
        <v/>
      </c>
      <c r="K208" s="35" t="str">
        <f aca="false">IF($B208="","",$J208*$I208)</f>
        <v/>
      </c>
      <c r="L208" s="46" t="str">
        <f aca="false">IF($A208="","",DATE(YEAR($A208),MONTH($A208),1))</f>
        <v/>
      </c>
    </row>
    <row r="209" customFormat="false" ht="15" hidden="false" customHeight="false" outlineLevel="0" collapsed="false">
      <c r="A209" s="44"/>
      <c r="B209" s="6"/>
      <c r="C209" s="8" t="str">
        <f aca="false">IF($B209="","",IFERROR(INDEX(INSUMOS!$B$6:$B$205,MATCH($B209,INSUMOS!$A$6:$A$205,0)),"¿Código?"))</f>
        <v/>
      </c>
      <c r="D209" s="8" t="str">
        <f aca="false">IF($B209="","",IFERROR(INDEX(INSUMOS!$D$6:$D$205,MATCH($B209,INSUMOS!$A$6:$A$205,0)),""))</f>
        <v/>
      </c>
      <c r="E209" s="6"/>
      <c r="F209" s="39"/>
      <c r="G209" s="6"/>
      <c r="H209" s="6"/>
      <c r="I209" s="43" t="str">
        <f aca="false">IF($B209="","",IFERROR(INDEX(INSUMOS!$O$6:$O$205,MATCH($B209,INSUMOS!$A$6:$A$205,0)),0))</f>
        <v/>
      </c>
      <c r="J209" s="45" t="str">
        <f aca="false">IF($B209="","",IF($E209="Ajuste (+) sobrante",1,-1)*N($F209))</f>
        <v/>
      </c>
      <c r="K209" s="35" t="str">
        <f aca="false">IF($B209="","",$J209*$I209)</f>
        <v/>
      </c>
      <c r="L209" s="46" t="str">
        <f aca="false">IF($A209="","",DATE(YEAR($A209),MONTH($A209),1))</f>
        <v/>
      </c>
    </row>
    <row r="210" customFormat="false" ht="15" hidden="false" customHeight="false" outlineLevel="0" collapsed="false">
      <c r="A210" s="44"/>
      <c r="B210" s="6"/>
      <c r="C210" s="8" t="str">
        <f aca="false">IF($B210="","",IFERROR(INDEX(INSUMOS!$B$6:$B$205,MATCH($B210,INSUMOS!$A$6:$A$205,0)),"¿Código?"))</f>
        <v/>
      </c>
      <c r="D210" s="8" t="str">
        <f aca="false">IF($B210="","",IFERROR(INDEX(INSUMOS!$D$6:$D$205,MATCH($B210,INSUMOS!$A$6:$A$205,0)),""))</f>
        <v/>
      </c>
      <c r="E210" s="6"/>
      <c r="F210" s="39"/>
      <c r="G210" s="6"/>
      <c r="H210" s="6"/>
      <c r="I210" s="43" t="str">
        <f aca="false">IF($B210="","",IFERROR(INDEX(INSUMOS!$O$6:$O$205,MATCH($B210,INSUMOS!$A$6:$A$205,0)),0))</f>
        <v/>
      </c>
      <c r="J210" s="45" t="str">
        <f aca="false">IF($B210="","",IF($E210="Ajuste (+) sobrante",1,-1)*N($F210))</f>
        <v/>
      </c>
      <c r="K210" s="35" t="str">
        <f aca="false">IF($B210="","",$J210*$I210)</f>
        <v/>
      </c>
      <c r="L210" s="46" t="str">
        <f aca="false">IF($A210="","",DATE(YEAR($A210),MONTH($A210),1))</f>
        <v/>
      </c>
    </row>
    <row r="211" customFormat="false" ht="15" hidden="false" customHeight="false" outlineLevel="0" collapsed="false">
      <c r="A211" s="44"/>
      <c r="B211" s="6"/>
      <c r="C211" s="8" t="str">
        <f aca="false">IF($B211="","",IFERROR(INDEX(INSUMOS!$B$6:$B$205,MATCH($B211,INSUMOS!$A$6:$A$205,0)),"¿Código?"))</f>
        <v/>
      </c>
      <c r="D211" s="8" t="str">
        <f aca="false">IF($B211="","",IFERROR(INDEX(INSUMOS!$D$6:$D$205,MATCH($B211,INSUMOS!$A$6:$A$205,0)),""))</f>
        <v/>
      </c>
      <c r="E211" s="6"/>
      <c r="F211" s="39"/>
      <c r="G211" s="6"/>
      <c r="H211" s="6"/>
      <c r="I211" s="43" t="str">
        <f aca="false">IF($B211="","",IFERROR(INDEX(INSUMOS!$O$6:$O$205,MATCH($B211,INSUMOS!$A$6:$A$205,0)),0))</f>
        <v/>
      </c>
      <c r="J211" s="45" t="str">
        <f aca="false">IF($B211="","",IF($E211="Ajuste (+) sobrante",1,-1)*N($F211))</f>
        <v/>
      </c>
      <c r="K211" s="35" t="str">
        <f aca="false">IF($B211="","",$J211*$I211)</f>
        <v/>
      </c>
      <c r="L211" s="46" t="str">
        <f aca="false">IF($A211="","",DATE(YEAR($A211),MONTH($A211),1))</f>
        <v/>
      </c>
    </row>
    <row r="212" customFormat="false" ht="15" hidden="false" customHeight="false" outlineLevel="0" collapsed="false">
      <c r="A212" s="44"/>
      <c r="B212" s="6"/>
      <c r="C212" s="8" t="str">
        <f aca="false">IF($B212="","",IFERROR(INDEX(INSUMOS!$B$6:$B$205,MATCH($B212,INSUMOS!$A$6:$A$205,0)),"¿Código?"))</f>
        <v/>
      </c>
      <c r="D212" s="8" t="str">
        <f aca="false">IF($B212="","",IFERROR(INDEX(INSUMOS!$D$6:$D$205,MATCH($B212,INSUMOS!$A$6:$A$205,0)),""))</f>
        <v/>
      </c>
      <c r="E212" s="6"/>
      <c r="F212" s="39"/>
      <c r="G212" s="6"/>
      <c r="H212" s="6"/>
      <c r="I212" s="43" t="str">
        <f aca="false">IF($B212="","",IFERROR(INDEX(INSUMOS!$O$6:$O$205,MATCH($B212,INSUMOS!$A$6:$A$205,0)),0))</f>
        <v/>
      </c>
      <c r="J212" s="45" t="str">
        <f aca="false">IF($B212="","",IF($E212="Ajuste (+) sobrante",1,-1)*N($F212))</f>
        <v/>
      </c>
      <c r="K212" s="35" t="str">
        <f aca="false">IF($B212="","",$J212*$I212)</f>
        <v/>
      </c>
      <c r="L212" s="46" t="str">
        <f aca="false">IF($A212="","",DATE(YEAR($A212),MONTH($A212),1))</f>
        <v/>
      </c>
    </row>
    <row r="213" customFormat="false" ht="15" hidden="false" customHeight="false" outlineLevel="0" collapsed="false">
      <c r="A213" s="44"/>
      <c r="B213" s="6"/>
      <c r="C213" s="8" t="str">
        <f aca="false">IF($B213="","",IFERROR(INDEX(INSUMOS!$B$6:$B$205,MATCH($B213,INSUMOS!$A$6:$A$205,0)),"¿Código?"))</f>
        <v/>
      </c>
      <c r="D213" s="8" t="str">
        <f aca="false">IF($B213="","",IFERROR(INDEX(INSUMOS!$D$6:$D$205,MATCH($B213,INSUMOS!$A$6:$A$205,0)),""))</f>
        <v/>
      </c>
      <c r="E213" s="6"/>
      <c r="F213" s="39"/>
      <c r="G213" s="6"/>
      <c r="H213" s="6"/>
      <c r="I213" s="43" t="str">
        <f aca="false">IF($B213="","",IFERROR(INDEX(INSUMOS!$O$6:$O$205,MATCH($B213,INSUMOS!$A$6:$A$205,0)),0))</f>
        <v/>
      </c>
      <c r="J213" s="45" t="str">
        <f aca="false">IF($B213="","",IF($E213="Ajuste (+) sobrante",1,-1)*N($F213))</f>
        <v/>
      </c>
      <c r="K213" s="35" t="str">
        <f aca="false">IF($B213="","",$J213*$I213)</f>
        <v/>
      </c>
      <c r="L213" s="46" t="str">
        <f aca="false">IF($A213="","",DATE(YEAR($A213),MONTH($A213),1))</f>
        <v/>
      </c>
    </row>
    <row r="214" customFormat="false" ht="15" hidden="false" customHeight="false" outlineLevel="0" collapsed="false">
      <c r="A214" s="44"/>
      <c r="B214" s="6"/>
      <c r="C214" s="8" t="str">
        <f aca="false">IF($B214="","",IFERROR(INDEX(INSUMOS!$B$6:$B$205,MATCH($B214,INSUMOS!$A$6:$A$205,0)),"¿Código?"))</f>
        <v/>
      </c>
      <c r="D214" s="8" t="str">
        <f aca="false">IF($B214="","",IFERROR(INDEX(INSUMOS!$D$6:$D$205,MATCH($B214,INSUMOS!$A$6:$A$205,0)),""))</f>
        <v/>
      </c>
      <c r="E214" s="6"/>
      <c r="F214" s="39"/>
      <c r="G214" s="6"/>
      <c r="H214" s="6"/>
      <c r="I214" s="43" t="str">
        <f aca="false">IF($B214="","",IFERROR(INDEX(INSUMOS!$O$6:$O$205,MATCH($B214,INSUMOS!$A$6:$A$205,0)),0))</f>
        <v/>
      </c>
      <c r="J214" s="45" t="str">
        <f aca="false">IF($B214="","",IF($E214="Ajuste (+) sobrante",1,-1)*N($F214))</f>
        <v/>
      </c>
      <c r="K214" s="35" t="str">
        <f aca="false">IF($B214="","",$J214*$I214)</f>
        <v/>
      </c>
      <c r="L214" s="46" t="str">
        <f aca="false">IF($A214="","",DATE(YEAR($A214),MONTH($A214),1))</f>
        <v/>
      </c>
    </row>
    <row r="215" customFormat="false" ht="15" hidden="false" customHeight="false" outlineLevel="0" collapsed="false">
      <c r="A215" s="44"/>
      <c r="B215" s="6"/>
      <c r="C215" s="8" t="str">
        <f aca="false">IF($B215="","",IFERROR(INDEX(INSUMOS!$B$6:$B$205,MATCH($B215,INSUMOS!$A$6:$A$205,0)),"¿Código?"))</f>
        <v/>
      </c>
      <c r="D215" s="8" t="str">
        <f aca="false">IF($B215="","",IFERROR(INDEX(INSUMOS!$D$6:$D$205,MATCH($B215,INSUMOS!$A$6:$A$205,0)),""))</f>
        <v/>
      </c>
      <c r="E215" s="6"/>
      <c r="F215" s="39"/>
      <c r="G215" s="6"/>
      <c r="H215" s="6"/>
      <c r="I215" s="43" t="str">
        <f aca="false">IF($B215="","",IFERROR(INDEX(INSUMOS!$O$6:$O$205,MATCH($B215,INSUMOS!$A$6:$A$205,0)),0))</f>
        <v/>
      </c>
      <c r="J215" s="45" t="str">
        <f aca="false">IF($B215="","",IF($E215="Ajuste (+) sobrante",1,-1)*N($F215))</f>
        <v/>
      </c>
      <c r="K215" s="35" t="str">
        <f aca="false">IF($B215="","",$J215*$I215)</f>
        <v/>
      </c>
      <c r="L215" s="46" t="str">
        <f aca="false">IF($A215="","",DATE(YEAR($A215),MONTH($A215),1))</f>
        <v/>
      </c>
    </row>
    <row r="216" customFormat="false" ht="15" hidden="false" customHeight="false" outlineLevel="0" collapsed="false">
      <c r="A216" s="44"/>
      <c r="B216" s="6"/>
      <c r="C216" s="8" t="str">
        <f aca="false">IF($B216="","",IFERROR(INDEX(INSUMOS!$B$6:$B$205,MATCH($B216,INSUMOS!$A$6:$A$205,0)),"¿Código?"))</f>
        <v/>
      </c>
      <c r="D216" s="8" t="str">
        <f aca="false">IF($B216="","",IFERROR(INDEX(INSUMOS!$D$6:$D$205,MATCH($B216,INSUMOS!$A$6:$A$205,0)),""))</f>
        <v/>
      </c>
      <c r="E216" s="6"/>
      <c r="F216" s="39"/>
      <c r="G216" s="6"/>
      <c r="H216" s="6"/>
      <c r="I216" s="43" t="str">
        <f aca="false">IF($B216="","",IFERROR(INDEX(INSUMOS!$O$6:$O$205,MATCH($B216,INSUMOS!$A$6:$A$205,0)),0))</f>
        <v/>
      </c>
      <c r="J216" s="45" t="str">
        <f aca="false">IF($B216="","",IF($E216="Ajuste (+) sobrante",1,-1)*N($F216))</f>
        <v/>
      </c>
      <c r="K216" s="35" t="str">
        <f aca="false">IF($B216="","",$J216*$I216)</f>
        <v/>
      </c>
      <c r="L216" s="46" t="str">
        <f aca="false">IF($A216="","",DATE(YEAR($A216),MONTH($A216),1))</f>
        <v/>
      </c>
    </row>
    <row r="217" customFormat="false" ht="15" hidden="false" customHeight="false" outlineLevel="0" collapsed="false">
      <c r="A217" s="44"/>
      <c r="B217" s="6"/>
      <c r="C217" s="8" t="str">
        <f aca="false">IF($B217="","",IFERROR(INDEX(INSUMOS!$B$6:$B$205,MATCH($B217,INSUMOS!$A$6:$A$205,0)),"¿Código?"))</f>
        <v/>
      </c>
      <c r="D217" s="8" t="str">
        <f aca="false">IF($B217="","",IFERROR(INDEX(INSUMOS!$D$6:$D$205,MATCH($B217,INSUMOS!$A$6:$A$205,0)),""))</f>
        <v/>
      </c>
      <c r="E217" s="6"/>
      <c r="F217" s="39"/>
      <c r="G217" s="6"/>
      <c r="H217" s="6"/>
      <c r="I217" s="43" t="str">
        <f aca="false">IF($B217="","",IFERROR(INDEX(INSUMOS!$O$6:$O$205,MATCH($B217,INSUMOS!$A$6:$A$205,0)),0))</f>
        <v/>
      </c>
      <c r="J217" s="45" t="str">
        <f aca="false">IF($B217="","",IF($E217="Ajuste (+) sobrante",1,-1)*N($F217))</f>
        <v/>
      </c>
      <c r="K217" s="35" t="str">
        <f aca="false">IF($B217="","",$J217*$I217)</f>
        <v/>
      </c>
      <c r="L217" s="46" t="str">
        <f aca="false">IF($A217="","",DATE(YEAR($A217),MONTH($A217),1))</f>
        <v/>
      </c>
    </row>
    <row r="218" customFormat="false" ht="15" hidden="false" customHeight="false" outlineLevel="0" collapsed="false">
      <c r="A218" s="44"/>
      <c r="B218" s="6"/>
      <c r="C218" s="8" t="str">
        <f aca="false">IF($B218="","",IFERROR(INDEX(INSUMOS!$B$6:$B$205,MATCH($B218,INSUMOS!$A$6:$A$205,0)),"¿Código?"))</f>
        <v/>
      </c>
      <c r="D218" s="8" t="str">
        <f aca="false">IF($B218="","",IFERROR(INDEX(INSUMOS!$D$6:$D$205,MATCH($B218,INSUMOS!$A$6:$A$205,0)),""))</f>
        <v/>
      </c>
      <c r="E218" s="6"/>
      <c r="F218" s="39"/>
      <c r="G218" s="6"/>
      <c r="H218" s="6"/>
      <c r="I218" s="43" t="str">
        <f aca="false">IF($B218="","",IFERROR(INDEX(INSUMOS!$O$6:$O$205,MATCH($B218,INSUMOS!$A$6:$A$205,0)),0))</f>
        <v/>
      </c>
      <c r="J218" s="45" t="str">
        <f aca="false">IF($B218="","",IF($E218="Ajuste (+) sobrante",1,-1)*N($F218))</f>
        <v/>
      </c>
      <c r="K218" s="35" t="str">
        <f aca="false">IF($B218="","",$J218*$I218)</f>
        <v/>
      </c>
      <c r="L218" s="46" t="str">
        <f aca="false">IF($A218="","",DATE(YEAR($A218),MONTH($A218),1))</f>
        <v/>
      </c>
    </row>
    <row r="219" customFormat="false" ht="15" hidden="false" customHeight="false" outlineLevel="0" collapsed="false">
      <c r="A219" s="44"/>
      <c r="B219" s="6"/>
      <c r="C219" s="8" t="str">
        <f aca="false">IF($B219="","",IFERROR(INDEX(INSUMOS!$B$6:$B$205,MATCH($B219,INSUMOS!$A$6:$A$205,0)),"¿Código?"))</f>
        <v/>
      </c>
      <c r="D219" s="8" t="str">
        <f aca="false">IF($B219="","",IFERROR(INDEX(INSUMOS!$D$6:$D$205,MATCH($B219,INSUMOS!$A$6:$A$205,0)),""))</f>
        <v/>
      </c>
      <c r="E219" s="6"/>
      <c r="F219" s="39"/>
      <c r="G219" s="6"/>
      <c r="H219" s="6"/>
      <c r="I219" s="43" t="str">
        <f aca="false">IF($B219="","",IFERROR(INDEX(INSUMOS!$O$6:$O$205,MATCH($B219,INSUMOS!$A$6:$A$205,0)),0))</f>
        <v/>
      </c>
      <c r="J219" s="45" t="str">
        <f aca="false">IF($B219="","",IF($E219="Ajuste (+) sobrante",1,-1)*N($F219))</f>
        <v/>
      </c>
      <c r="K219" s="35" t="str">
        <f aca="false">IF($B219="","",$J219*$I219)</f>
        <v/>
      </c>
      <c r="L219" s="46" t="str">
        <f aca="false">IF($A219="","",DATE(YEAR($A219),MONTH($A219),1))</f>
        <v/>
      </c>
    </row>
    <row r="220" customFormat="false" ht="15" hidden="false" customHeight="false" outlineLevel="0" collapsed="false">
      <c r="A220" s="44"/>
      <c r="B220" s="6"/>
      <c r="C220" s="8" t="str">
        <f aca="false">IF($B220="","",IFERROR(INDEX(INSUMOS!$B$6:$B$205,MATCH($B220,INSUMOS!$A$6:$A$205,0)),"¿Código?"))</f>
        <v/>
      </c>
      <c r="D220" s="8" t="str">
        <f aca="false">IF($B220="","",IFERROR(INDEX(INSUMOS!$D$6:$D$205,MATCH($B220,INSUMOS!$A$6:$A$205,0)),""))</f>
        <v/>
      </c>
      <c r="E220" s="6"/>
      <c r="F220" s="39"/>
      <c r="G220" s="6"/>
      <c r="H220" s="6"/>
      <c r="I220" s="43" t="str">
        <f aca="false">IF($B220="","",IFERROR(INDEX(INSUMOS!$O$6:$O$205,MATCH($B220,INSUMOS!$A$6:$A$205,0)),0))</f>
        <v/>
      </c>
      <c r="J220" s="45" t="str">
        <f aca="false">IF($B220="","",IF($E220="Ajuste (+) sobrante",1,-1)*N($F220))</f>
        <v/>
      </c>
      <c r="K220" s="35" t="str">
        <f aca="false">IF($B220="","",$J220*$I220)</f>
        <v/>
      </c>
      <c r="L220" s="46" t="str">
        <f aca="false">IF($A220="","",DATE(YEAR($A220),MONTH($A220),1))</f>
        <v/>
      </c>
    </row>
    <row r="221" customFormat="false" ht="15" hidden="false" customHeight="false" outlineLevel="0" collapsed="false">
      <c r="A221" s="44"/>
      <c r="B221" s="6"/>
      <c r="C221" s="8" t="str">
        <f aca="false">IF($B221="","",IFERROR(INDEX(INSUMOS!$B$6:$B$205,MATCH($B221,INSUMOS!$A$6:$A$205,0)),"¿Código?"))</f>
        <v/>
      </c>
      <c r="D221" s="8" t="str">
        <f aca="false">IF($B221="","",IFERROR(INDEX(INSUMOS!$D$6:$D$205,MATCH($B221,INSUMOS!$A$6:$A$205,0)),""))</f>
        <v/>
      </c>
      <c r="E221" s="6"/>
      <c r="F221" s="39"/>
      <c r="G221" s="6"/>
      <c r="H221" s="6"/>
      <c r="I221" s="43" t="str">
        <f aca="false">IF($B221="","",IFERROR(INDEX(INSUMOS!$O$6:$O$205,MATCH($B221,INSUMOS!$A$6:$A$205,0)),0))</f>
        <v/>
      </c>
      <c r="J221" s="45" t="str">
        <f aca="false">IF($B221="","",IF($E221="Ajuste (+) sobrante",1,-1)*N($F221))</f>
        <v/>
      </c>
      <c r="K221" s="35" t="str">
        <f aca="false">IF($B221="","",$J221*$I221)</f>
        <v/>
      </c>
      <c r="L221" s="46" t="str">
        <f aca="false">IF($A221="","",DATE(YEAR($A221),MONTH($A221),1))</f>
        <v/>
      </c>
    </row>
    <row r="222" customFormat="false" ht="15" hidden="false" customHeight="false" outlineLevel="0" collapsed="false">
      <c r="A222" s="44"/>
      <c r="B222" s="6"/>
      <c r="C222" s="8" t="str">
        <f aca="false">IF($B222="","",IFERROR(INDEX(INSUMOS!$B$6:$B$205,MATCH($B222,INSUMOS!$A$6:$A$205,0)),"¿Código?"))</f>
        <v/>
      </c>
      <c r="D222" s="8" t="str">
        <f aca="false">IF($B222="","",IFERROR(INDEX(INSUMOS!$D$6:$D$205,MATCH($B222,INSUMOS!$A$6:$A$205,0)),""))</f>
        <v/>
      </c>
      <c r="E222" s="6"/>
      <c r="F222" s="39"/>
      <c r="G222" s="6"/>
      <c r="H222" s="6"/>
      <c r="I222" s="43" t="str">
        <f aca="false">IF($B222="","",IFERROR(INDEX(INSUMOS!$O$6:$O$205,MATCH($B222,INSUMOS!$A$6:$A$205,0)),0))</f>
        <v/>
      </c>
      <c r="J222" s="45" t="str">
        <f aca="false">IF($B222="","",IF($E222="Ajuste (+) sobrante",1,-1)*N($F222))</f>
        <v/>
      </c>
      <c r="K222" s="35" t="str">
        <f aca="false">IF($B222="","",$J222*$I222)</f>
        <v/>
      </c>
      <c r="L222" s="46" t="str">
        <f aca="false">IF($A222="","",DATE(YEAR($A222),MONTH($A222),1))</f>
        <v/>
      </c>
    </row>
    <row r="223" customFormat="false" ht="15" hidden="false" customHeight="false" outlineLevel="0" collapsed="false">
      <c r="A223" s="44"/>
      <c r="B223" s="6"/>
      <c r="C223" s="8" t="str">
        <f aca="false">IF($B223="","",IFERROR(INDEX(INSUMOS!$B$6:$B$205,MATCH($B223,INSUMOS!$A$6:$A$205,0)),"¿Código?"))</f>
        <v/>
      </c>
      <c r="D223" s="8" t="str">
        <f aca="false">IF($B223="","",IFERROR(INDEX(INSUMOS!$D$6:$D$205,MATCH($B223,INSUMOS!$A$6:$A$205,0)),""))</f>
        <v/>
      </c>
      <c r="E223" s="6"/>
      <c r="F223" s="39"/>
      <c r="G223" s="6"/>
      <c r="H223" s="6"/>
      <c r="I223" s="43" t="str">
        <f aca="false">IF($B223="","",IFERROR(INDEX(INSUMOS!$O$6:$O$205,MATCH($B223,INSUMOS!$A$6:$A$205,0)),0))</f>
        <v/>
      </c>
      <c r="J223" s="45" t="str">
        <f aca="false">IF($B223="","",IF($E223="Ajuste (+) sobrante",1,-1)*N($F223))</f>
        <v/>
      </c>
      <c r="K223" s="35" t="str">
        <f aca="false">IF($B223="","",$J223*$I223)</f>
        <v/>
      </c>
      <c r="L223" s="46" t="str">
        <f aca="false">IF($A223="","",DATE(YEAR($A223),MONTH($A223),1))</f>
        <v/>
      </c>
    </row>
    <row r="224" customFormat="false" ht="15" hidden="false" customHeight="false" outlineLevel="0" collapsed="false">
      <c r="A224" s="44"/>
      <c r="B224" s="6"/>
      <c r="C224" s="8" t="str">
        <f aca="false">IF($B224="","",IFERROR(INDEX(INSUMOS!$B$6:$B$205,MATCH($B224,INSUMOS!$A$6:$A$205,0)),"¿Código?"))</f>
        <v/>
      </c>
      <c r="D224" s="8" t="str">
        <f aca="false">IF($B224="","",IFERROR(INDEX(INSUMOS!$D$6:$D$205,MATCH($B224,INSUMOS!$A$6:$A$205,0)),""))</f>
        <v/>
      </c>
      <c r="E224" s="6"/>
      <c r="F224" s="39"/>
      <c r="G224" s="6"/>
      <c r="H224" s="6"/>
      <c r="I224" s="43" t="str">
        <f aca="false">IF($B224="","",IFERROR(INDEX(INSUMOS!$O$6:$O$205,MATCH($B224,INSUMOS!$A$6:$A$205,0)),0))</f>
        <v/>
      </c>
      <c r="J224" s="45" t="str">
        <f aca="false">IF($B224="","",IF($E224="Ajuste (+) sobrante",1,-1)*N($F224))</f>
        <v/>
      </c>
      <c r="K224" s="35" t="str">
        <f aca="false">IF($B224="","",$J224*$I224)</f>
        <v/>
      </c>
      <c r="L224" s="46" t="str">
        <f aca="false">IF($A224="","",DATE(YEAR($A224),MONTH($A224),1))</f>
        <v/>
      </c>
    </row>
    <row r="225" customFormat="false" ht="15" hidden="false" customHeight="false" outlineLevel="0" collapsed="false">
      <c r="A225" s="44"/>
      <c r="B225" s="6"/>
      <c r="C225" s="8" t="str">
        <f aca="false">IF($B225="","",IFERROR(INDEX(INSUMOS!$B$6:$B$205,MATCH($B225,INSUMOS!$A$6:$A$205,0)),"¿Código?"))</f>
        <v/>
      </c>
      <c r="D225" s="8" t="str">
        <f aca="false">IF($B225="","",IFERROR(INDEX(INSUMOS!$D$6:$D$205,MATCH($B225,INSUMOS!$A$6:$A$205,0)),""))</f>
        <v/>
      </c>
      <c r="E225" s="6"/>
      <c r="F225" s="39"/>
      <c r="G225" s="6"/>
      <c r="H225" s="6"/>
      <c r="I225" s="43" t="str">
        <f aca="false">IF($B225="","",IFERROR(INDEX(INSUMOS!$O$6:$O$205,MATCH($B225,INSUMOS!$A$6:$A$205,0)),0))</f>
        <v/>
      </c>
      <c r="J225" s="45" t="str">
        <f aca="false">IF($B225="","",IF($E225="Ajuste (+) sobrante",1,-1)*N($F225))</f>
        <v/>
      </c>
      <c r="K225" s="35" t="str">
        <f aca="false">IF($B225="","",$J225*$I225)</f>
        <v/>
      </c>
      <c r="L225" s="46" t="str">
        <f aca="false">IF($A225="","",DATE(YEAR($A225),MONTH($A225),1))</f>
        <v/>
      </c>
    </row>
    <row r="226" customFormat="false" ht="15" hidden="false" customHeight="false" outlineLevel="0" collapsed="false">
      <c r="A226" s="44"/>
      <c r="B226" s="6"/>
      <c r="C226" s="8" t="str">
        <f aca="false">IF($B226="","",IFERROR(INDEX(INSUMOS!$B$6:$B$205,MATCH($B226,INSUMOS!$A$6:$A$205,0)),"¿Código?"))</f>
        <v/>
      </c>
      <c r="D226" s="8" t="str">
        <f aca="false">IF($B226="","",IFERROR(INDEX(INSUMOS!$D$6:$D$205,MATCH($B226,INSUMOS!$A$6:$A$205,0)),""))</f>
        <v/>
      </c>
      <c r="E226" s="6"/>
      <c r="F226" s="39"/>
      <c r="G226" s="6"/>
      <c r="H226" s="6"/>
      <c r="I226" s="43" t="str">
        <f aca="false">IF($B226="","",IFERROR(INDEX(INSUMOS!$O$6:$O$205,MATCH($B226,INSUMOS!$A$6:$A$205,0)),0))</f>
        <v/>
      </c>
      <c r="J226" s="45" t="str">
        <f aca="false">IF($B226="","",IF($E226="Ajuste (+) sobrante",1,-1)*N($F226))</f>
        <v/>
      </c>
      <c r="K226" s="35" t="str">
        <f aca="false">IF($B226="","",$J226*$I226)</f>
        <v/>
      </c>
      <c r="L226" s="46" t="str">
        <f aca="false">IF($A226="","",DATE(YEAR($A226),MONTH($A226),1))</f>
        <v/>
      </c>
    </row>
    <row r="227" customFormat="false" ht="15" hidden="false" customHeight="false" outlineLevel="0" collapsed="false">
      <c r="A227" s="44"/>
      <c r="B227" s="6"/>
      <c r="C227" s="8" t="str">
        <f aca="false">IF($B227="","",IFERROR(INDEX(INSUMOS!$B$6:$B$205,MATCH($B227,INSUMOS!$A$6:$A$205,0)),"¿Código?"))</f>
        <v/>
      </c>
      <c r="D227" s="8" t="str">
        <f aca="false">IF($B227="","",IFERROR(INDEX(INSUMOS!$D$6:$D$205,MATCH($B227,INSUMOS!$A$6:$A$205,0)),""))</f>
        <v/>
      </c>
      <c r="E227" s="6"/>
      <c r="F227" s="39"/>
      <c r="G227" s="6"/>
      <c r="H227" s="6"/>
      <c r="I227" s="43" t="str">
        <f aca="false">IF($B227="","",IFERROR(INDEX(INSUMOS!$O$6:$O$205,MATCH($B227,INSUMOS!$A$6:$A$205,0)),0))</f>
        <v/>
      </c>
      <c r="J227" s="45" t="str">
        <f aca="false">IF($B227="","",IF($E227="Ajuste (+) sobrante",1,-1)*N($F227))</f>
        <v/>
      </c>
      <c r="K227" s="35" t="str">
        <f aca="false">IF($B227="","",$J227*$I227)</f>
        <v/>
      </c>
      <c r="L227" s="46" t="str">
        <f aca="false">IF($A227="","",DATE(YEAR($A227),MONTH($A227),1))</f>
        <v/>
      </c>
    </row>
    <row r="228" customFormat="false" ht="15" hidden="false" customHeight="false" outlineLevel="0" collapsed="false">
      <c r="A228" s="44"/>
      <c r="B228" s="6"/>
      <c r="C228" s="8" t="str">
        <f aca="false">IF($B228="","",IFERROR(INDEX(INSUMOS!$B$6:$B$205,MATCH($B228,INSUMOS!$A$6:$A$205,0)),"¿Código?"))</f>
        <v/>
      </c>
      <c r="D228" s="8" t="str">
        <f aca="false">IF($B228="","",IFERROR(INDEX(INSUMOS!$D$6:$D$205,MATCH($B228,INSUMOS!$A$6:$A$205,0)),""))</f>
        <v/>
      </c>
      <c r="E228" s="6"/>
      <c r="F228" s="39"/>
      <c r="G228" s="6"/>
      <c r="H228" s="6"/>
      <c r="I228" s="43" t="str">
        <f aca="false">IF($B228="","",IFERROR(INDEX(INSUMOS!$O$6:$O$205,MATCH($B228,INSUMOS!$A$6:$A$205,0)),0))</f>
        <v/>
      </c>
      <c r="J228" s="45" t="str">
        <f aca="false">IF($B228="","",IF($E228="Ajuste (+) sobrante",1,-1)*N($F228))</f>
        <v/>
      </c>
      <c r="K228" s="35" t="str">
        <f aca="false">IF($B228="","",$J228*$I228)</f>
        <v/>
      </c>
      <c r="L228" s="46" t="str">
        <f aca="false">IF($A228="","",DATE(YEAR($A228),MONTH($A228),1))</f>
        <v/>
      </c>
    </row>
    <row r="229" customFormat="false" ht="15" hidden="false" customHeight="false" outlineLevel="0" collapsed="false">
      <c r="A229" s="44"/>
      <c r="B229" s="6"/>
      <c r="C229" s="8" t="str">
        <f aca="false">IF($B229="","",IFERROR(INDEX(INSUMOS!$B$6:$B$205,MATCH($B229,INSUMOS!$A$6:$A$205,0)),"¿Código?"))</f>
        <v/>
      </c>
      <c r="D229" s="8" t="str">
        <f aca="false">IF($B229="","",IFERROR(INDEX(INSUMOS!$D$6:$D$205,MATCH($B229,INSUMOS!$A$6:$A$205,0)),""))</f>
        <v/>
      </c>
      <c r="E229" s="6"/>
      <c r="F229" s="39"/>
      <c r="G229" s="6"/>
      <c r="H229" s="6"/>
      <c r="I229" s="43" t="str">
        <f aca="false">IF($B229="","",IFERROR(INDEX(INSUMOS!$O$6:$O$205,MATCH($B229,INSUMOS!$A$6:$A$205,0)),0))</f>
        <v/>
      </c>
      <c r="J229" s="45" t="str">
        <f aca="false">IF($B229="","",IF($E229="Ajuste (+) sobrante",1,-1)*N($F229))</f>
        <v/>
      </c>
      <c r="K229" s="35" t="str">
        <f aca="false">IF($B229="","",$J229*$I229)</f>
        <v/>
      </c>
      <c r="L229" s="46" t="str">
        <f aca="false">IF($A229="","",DATE(YEAR($A229),MONTH($A229),1))</f>
        <v/>
      </c>
    </row>
    <row r="230" customFormat="false" ht="15" hidden="false" customHeight="false" outlineLevel="0" collapsed="false">
      <c r="A230" s="44"/>
      <c r="B230" s="6"/>
      <c r="C230" s="8" t="str">
        <f aca="false">IF($B230="","",IFERROR(INDEX(INSUMOS!$B$6:$B$205,MATCH($B230,INSUMOS!$A$6:$A$205,0)),"¿Código?"))</f>
        <v/>
      </c>
      <c r="D230" s="8" t="str">
        <f aca="false">IF($B230="","",IFERROR(INDEX(INSUMOS!$D$6:$D$205,MATCH($B230,INSUMOS!$A$6:$A$205,0)),""))</f>
        <v/>
      </c>
      <c r="E230" s="6"/>
      <c r="F230" s="39"/>
      <c r="G230" s="6"/>
      <c r="H230" s="6"/>
      <c r="I230" s="43" t="str">
        <f aca="false">IF($B230="","",IFERROR(INDEX(INSUMOS!$O$6:$O$205,MATCH($B230,INSUMOS!$A$6:$A$205,0)),0))</f>
        <v/>
      </c>
      <c r="J230" s="45" t="str">
        <f aca="false">IF($B230="","",IF($E230="Ajuste (+) sobrante",1,-1)*N($F230))</f>
        <v/>
      </c>
      <c r="K230" s="35" t="str">
        <f aca="false">IF($B230="","",$J230*$I230)</f>
        <v/>
      </c>
      <c r="L230" s="46" t="str">
        <f aca="false">IF($A230="","",DATE(YEAR($A230),MONTH($A230),1))</f>
        <v/>
      </c>
    </row>
    <row r="231" customFormat="false" ht="15" hidden="false" customHeight="false" outlineLevel="0" collapsed="false">
      <c r="A231" s="44"/>
      <c r="B231" s="6"/>
      <c r="C231" s="8" t="str">
        <f aca="false">IF($B231="","",IFERROR(INDEX(INSUMOS!$B$6:$B$205,MATCH($B231,INSUMOS!$A$6:$A$205,0)),"¿Código?"))</f>
        <v/>
      </c>
      <c r="D231" s="8" t="str">
        <f aca="false">IF($B231="","",IFERROR(INDEX(INSUMOS!$D$6:$D$205,MATCH($B231,INSUMOS!$A$6:$A$205,0)),""))</f>
        <v/>
      </c>
      <c r="E231" s="6"/>
      <c r="F231" s="39"/>
      <c r="G231" s="6"/>
      <c r="H231" s="6"/>
      <c r="I231" s="43" t="str">
        <f aca="false">IF($B231="","",IFERROR(INDEX(INSUMOS!$O$6:$O$205,MATCH($B231,INSUMOS!$A$6:$A$205,0)),0))</f>
        <v/>
      </c>
      <c r="J231" s="45" t="str">
        <f aca="false">IF($B231="","",IF($E231="Ajuste (+) sobrante",1,-1)*N($F231))</f>
        <v/>
      </c>
      <c r="K231" s="35" t="str">
        <f aca="false">IF($B231="","",$J231*$I231)</f>
        <v/>
      </c>
      <c r="L231" s="46" t="str">
        <f aca="false">IF($A231="","",DATE(YEAR($A231),MONTH($A231),1))</f>
        <v/>
      </c>
    </row>
    <row r="232" customFormat="false" ht="15" hidden="false" customHeight="false" outlineLevel="0" collapsed="false">
      <c r="A232" s="44"/>
      <c r="B232" s="6"/>
      <c r="C232" s="8" t="str">
        <f aca="false">IF($B232="","",IFERROR(INDEX(INSUMOS!$B$6:$B$205,MATCH($B232,INSUMOS!$A$6:$A$205,0)),"¿Código?"))</f>
        <v/>
      </c>
      <c r="D232" s="8" t="str">
        <f aca="false">IF($B232="","",IFERROR(INDEX(INSUMOS!$D$6:$D$205,MATCH($B232,INSUMOS!$A$6:$A$205,0)),""))</f>
        <v/>
      </c>
      <c r="E232" s="6"/>
      <c r="F232" s="39"/>
      <c r="G232" s="6"/>
      <c r="H232" s="6"/>
      <c r="I232" s="43" t="str">
        <f aca="false">IF($B232="","",IFERROR(INDEX(INSUMOS!$O$6:$O$205,MATCH($B232,INSUMOS!$A$6:$A$205,0)),0))</f>
        <v/>
      </c>
      <c r="J232" s="45" t="str">
        <f aca="false">IF($B232="","",IF($E232="Ajuste (+) sobrante",1,-1)*N($F232))</f>
        <v/>
      </c>
      <c r="K232" s="35" t="str">
        <f aca="false">IF($B232="","",$J232*$I232)</f>
        <v/>
      </c>
      <c r="L232" s="46" t="str">
        <f aca="false">IF($A232="","",DATE(YEAR($A232),MONTH($A232),1))</f>
        <v/>
      </c>
    </row>
    <row r="233" customFormat="false" ht="15" hidden="false" customHeight="false" outlineLevel="0" collapsed="false">
      <c r="A233" s="44"/>
      <c r="B233" s="6"/>
      <c r="C233" s="8" t="str">
        <f aca="false">IF($B233="","",IFERROR(INDEX(INSUMOS!$B$6:$B$205,MATCH($B233,INSUMOS!$A$6:$A$205,0)),"¿Código?"))</f>
        <v/>
      </c>
      <c r="D233" s="8" t="str">
        <f aca="false">IF($B233="","",IFERROR(INDEX(INSUMOS!$D$6:$D$205,MATCH($B233,INSUMOS!$A$6:$A$205,0)),""))</f>
        <v/>
      </c>
      <c r="E233" s="6"/>
      <c r="F233" s="39"/>
      <c r="G233" s="6"/>
      <c r="H233" s="6"/>
      <c r="I233" s="43" t="str">
        <f aca="false">IF($B233="","",IFERROR(INDEX(INSUMOS!$O$6:$O$205,MATCH($B233,INSUMOS!$A$6:$A$205,0)),0))</f>
        <v/>
      </c>
      <c r="J233" s="45" t="str">
        <f aca="false">IF($B233="","",IF($E233="Ajuste (+) sobrante",1,-1)*N($F233))</f>
        <v/>
      </c>
      <c r="K233" s="35" t="str">
        <f aca="false">IF($B233="","",$J233*$I233)</f>
        <v/>
      </c>
      <c r="L233" s="46" t="str">
        <f aca="false">IF($A233="","",DATE(YEAR($A233),MONTH($A233),1))</f>
        <v/>
      </c>
    </row>
    <row r="234" customFormat="false" ht="15" hidden="false" customHeight="false" outlineLevel="0" collapsed="false">
      <c r="A234" s="44"/>
      <c r="B234" s="6"/>
      <c r="C234" s="8" t="str">
        <f aca="false">IF($B234="","",IFERROR(INDEX(INSUMOS!$B$6:$B$205,MATCH($B234,INSUMOS!$A$6:$A$205,0)),"¿Código?"))</f>
        <v/>
      </c>
      <c r="D234" s="8" t="str">
        <f aca="false">IF($B234="","",IFERROR(INDEX(INSUMOS!$D$6:$D$205,MATCH($B234,INSUMOS!$A$6:$A$205,0)),""))</f>
        <v/>
      </c>
      <c r="E234" s="6"/>
      <c r="F234" s="39"/>
      <c r="G234" s="6"/>
      <c r="H234" s="6"/>
      <c r="I234" s="43" t="str">
        <f aca="false">IF($B234="","",IFERROR(INDEX(INSUMOS!$O$6:$O$205,MATCH($B234,INSUMOS!$A$6:$A$205,0)),0))</f>
        <v/>
      </c>
      <c r="J234" s="45" t="str">
        <f aca="false">IF($B234="","",IF($E234="Ajuste (+) sobrante",1,-1)*N($F234))</f>
        <v/>
      </c>
      <c r="K234" s="35" t="str">
        <f aca="false">IF($B234="","",$J234*$I234)</f>
        <v/>
      </c>
      <c r="L234" s="46" t="str">
        <f aca="false">IF($A234="","",DATE(YEAR($A234),MONTH($A234),1))</f>
        <v/>
      </c>
    </row>
    <row r="235" customFormat="false" ht="15" hidden="false" customHeight="false" outlineLevel="0" collapsed="false">
      <c r="A235" s="44"/>
      <c r="B235" s="6"/>
      <c r="C235" s="8" t="str">
        <f aca="false">IF($B235="","",IFERROR(INDEX(INSUMOS!$B$6:$B$205,MATCH($B235,INSUMOS!$A$6:$A$205,0)),"¿Código?"))</f>
        <v/>
      </c>
      <c r="D235" s="8" t="str">
        <f aca="false">IF($B235="","",IFERROR(INDEX(INSUMOS!$D$6:$D$205,MATCH($B235,INSUMOS!$A$6:$A$205,0)),""))</f>
        <v/>
      </c>
      <c r="E235" s="6"/>
      <c r="F235" s="39"/>
      <c r="G235" s="6"/>
      <c r="H235" s="6"/>
      <c r="I235" s="43" t="str">
        <f aca="false">IF($B235="","",IFERROR(INDEX(INSUMOS!$O$6:$O$205,MATCH($B235,INSUMOS!$A$6:$A$205,0)),0))</f>
        <v/>
      </c>
      <c r="J235" s="45" t="str">
        <f aca="false">IF($B235="","",IF($E235="Ajuste (+) sobrante",1,-1)*N($F235))</f>
        <v/>
      </c>
      <c r="K235" s="35" t="str">
        <f aca="false">IF($B235="","",$J235*$I235)</f>
        <v/>
      </c>
      <c r="L235" s="46" t="str">
        <f aca="false">IF($A235="","",DATE(YEAR($A235),MONTH($A235),1))</f>
        <v/>
      </c>
    </row>
    <row r="236" customFormat="false" ht="15" hidden="false" customHeight="false" outlineLevel="0" collapsed="false">
      <c r="A236" s="44"/>
      <c r="B236" s="6"/>
      <c r="C236" s="8" t="str">
        <f aca="false">IF($B236="","",IFERROR(INDEX(INSUMOS!$B$6:$B$205,MATCH($B236,INSUMOS!$A$6:$A$205,0)),"¿Código?"))</f>
        <v/>
      </c>
      <c r="D236" s="8" t="str">
        <f aca="false">IF($B236="","",IFERROR(INDEX(INSUMOS!$D$6:$D$205,MATCH($B236,INSUMOS!$A$6:$A$205,0)),""))</f>
        <v/>
      </c>
      <c r="E236" s="6"/>
      <c r="F236" s="39"/>
      <c r="G236" s="6"/>
      <c r="H236" s="6"/>
      <c r="I236" s="43" t="str">
        <f aca="false">IF($B236="","",IFERROR(INDEX(INSUMOS!$O$6:$O$205,MATCH($B236,INSUMOS!$A$6:$A$205,0)),0))</f>
        <v/>
      </c>
      <c r="J236" s="45" t="str">
        <f aca="false">IF($B236="","",IF($E236="Ajuste (+) sobrante",1,-1)*N($F236))</f>
        <v/>
      </c>
      <c r="K236" s="35" t="str">
        <f aca="false">IF($B236="","",$J236*$I236)</f>
        <v/>
      </c>
      <c r="L236" s="46" t="str">
        <f aca="false">IF($A236="","",DATE(YEAR($A236),MONTH($A236),1))</f>
        <v/>
      </c>
    </row>
    <row r="237" customFormat="false" ht="15" hidden="false" customHeight="false" outlineLevel="0" collapsed="false">
      <c r="A237" s="44"/>
      <c r="B237" s="6"/>
      <c r="C237" s="8" t="str">
        <f aca="false">IF($B237="","",IFERROR(INDEX(INSUMOS!$B$6:$B$205,MATCH($B237,INSUMOS!$A$6:$A$205,0)),"¿Código?"))</f>
        <v/>
      </c>
      <c r="D237" s="8" t="str">
        <f aca="false">IF($B237="","",IFERROR(INDEX(INSUMOS!$D$6:$D$205,MATCH($B237,INSUMOS!$A$6:$A$205,0)),""))</f>
        <v/>
      </c>
      <c r="E237" s="6"/>
      <c r="F237" s="39"/>
      <c r="G237" s="6"/>
      <c r="H237" s="6"/>
      <c r="I237" s="43" t="str">
        <f aca="false">IF($B237="","",IFERROR(INDEX(INSUMOS!$O$6:$O$205,MATCH($B237,INSUMOS!$A$6:$A$205,0)),0))</f>
        <v/>
      </c>
      <c r="J237" s="45" t="str">
        <f aca="false">IF($B237="","",IF($E237="Ajuste (+) sobrante",1,-1)*N($F237))</f>
        <v/>
      </c>
      <c r="K237" s="35" t="str">
        <f aca="false">IF($B237="","",$J237*$I237)</f>
        <v/>
      </c>
      <c r="L237" s="46" t="str">
        <f aca="false">IF($A237="","",DATE(YEAR($A237),MONTH($A237),1))</f>
        <v/>
      </c>
    </row>
    <row r="238" customFormat="false" ht="15" hidden="false" customHeight="false" outlineLevel="0" collapsed="false">
      <c r="A238" s="44"/>
      <c r="B238" s="6"/>
      <c r="C238" s="8" t="str">
        <f aca="false">IF($B238="","",IFERROR(INDEX(INSUMOS!$B$6:$B$205,MATCH($B238,INSUMOS!$A$6:$A$205,0)),"¿Código?"))</f>
        <v/>
      </c>
      <c r="D238" s="8" t="str">
        <f aca="false">IF($B238="","",IFERROR(INDEX(INSUMOS!$D$6:$D$205,MATCH($B238,INSUMOS!$A$6:$A$205,0)),""))</f>
        <v/>
      </c>
      <c r="E238" s="6"/>
      <c r="F238" s="39"/>
      <c r="G238" s="6"/>
      <c r="H238" s="6"/>
      <c r="I238" s="43" t="str">
        <f aca="false">IF($B238="","",IFERROR(INDEX(INSUMOS!$O$6:$O$205,MATCH($B238,INSUMOS!$A$6:$A$205,0)),0))</f>
        <v/>
      </c>
      <c r="J238" s="45" t="str">
        <f aca="false">IF($B238="","",IF($E238="Ajuste (+) sobrante",1,-1)*N($F238))</f>
        <v/>
      </c>
      <c r="K238" s="35" t="str">
        <f aca="false">IF($B238="","",$J238*$I238)</f>
        <v/>
      </c>
      <c r="L238" s="46" t="str">
        <f aca="false">IF($A238="","",DATE(YEAR($A238),MONTH($A238),1))</f>
        <v/>
      </c>
    </row>
    <row r="239" customFormat="false" ht="15" hidden="false" customHeight="false" outlineLevel="0" collapsed="false">
      <c r="A239" s="44"/>
      <c r="B239" s="6"/>
      <c r="C239" s="8" t="str">
        <f aca="false">IF($B239="","",IFERROR(INDEX(INSUMOS!$B$6:$B$205,MATCH($B239,INSUMOS!$A$6:$A$205,0)),"¿Código?"))</f>
        <v/>
      </c>
      <c r="D239" s="8" t="str">
        <f aca="false">IF($B239="","",IFERROR(INDEX(INSUMOS!$D$6:$D$205,MATCH($B239,INSUMOS!$A$6:$A$205,0)),""))</f>
        <v/>
      </c>
      <c r="E239" s="6"/>
      <c r="F239" s="39"/>
      <c r="G239" s="6"/>
      <c r="H239" s="6"/>
      <c r="I239" s="43" t="str">
        <f aca="false">IF($B239="","",IFERROR(INDEX(INSUMOS!$O$6:$O$205,MATCH($B239,INSUMOS!$A$6:$A$205,0)),0))</f>
        <v/>
      </c>
      <c r="J239" s="45" t="str">
        <f aca="false">IF($B239="","",IF($E239="Ajuste (+) sobrante",1,-1)*N($F239))</f>
        <v/>
      </c>
      <c r="K239" s="35" t="str">
        <f aca="false">IF($B239="","",$J239*$I239)</f>
        <v/>
      </c>
      <c r="L239" s="46" t="str">
        <f aca="false">IF($A239="","",DATE(YEAR($A239),MONTH($A239),1))</f>
        <v/>
      </c>
    </row>
    <row r="240" customFormat="false" ht="15" hidden="false" customHeight="false" outlineLevel="0" collapsed="false">
      <c r="A240" s="44"/>
      <c r="B240" s="6"/>
      <c r="C240" s="8" t="str">
        <f aca="false">IF($B240="","",IFERROR(INDEX(INSUMOS!$B$6:$B$205,MATCH($B240,INSUMOS!$A$6:$A$205,0)),"¿Código?"))</f>
        <v/>
      </c>
      <c r="D240" s="8" t="str">
        <f aca="false">IF($B240="","",IFERROR(INDEX(INSUMOS!$D$6:$D$205,MATCH($B240,INSUMOS!$A$6:$A$205,0)),""))</f>
        <v/>
      </c>
      <c r="E240" s="6"/>
      <c r="F240" s="39"/>
      <c r="G240" s="6"/>
      <c r="H240" s="6"/>
      <c r="I240" s="43" t="str">
        <f aca="false">IF($B240="","",IFERROR(INDEX(INSUMOS!$O$6:$O$205,MATCH($B240,INSUMOS!$A$6:$A$205,0)),0))</f>
        <v/>
      </c>
      <c r="J240" s="45" t="str">
        <f aca="false">IF($B240="","",IF($E240="Ajuste (+) sobrante",1,-1)*N($F240))</f>
        <v/>
      </c>
      <c r="K240" s="35" t="str">
        <f aca="false">IF($B240="","",$J240*$I240)</f>
        <v/>
      </c>
      <c r="L240" s="46" t="str">
        <f aca="false">IF($A240="","",DATE(YEAR($A240),MONTH($A240),1))</f>
        <v/>
      </c>
    </row>
    <row r="241" customFormat="false" ht="15" hidden="false" customHeight="false" outlineLevel="0" collapsed="false">
      <c r="A241" s="44"/>
      <c r="B241" s="6"/>
      <c r="C241" s="8" t="str">
        <f aca="false">IF($B241="","",IFERROR(INDEX(INSUMOS!$B$6:$B$205,MATCH($B241,INSUMOS!$A$6:$A$205,0)),"¿Código?"))</f>
        <v/>
      </c>
      <c r="D241" s="8" t="str">
        <f aca="false">IF($B241="","",IFERROR(INDEX(INSUMOS!$D$6:$D$205,MATCH($B241,INSUMOS!$A$6:$A$205,0)),""))</f>
        <v/>
      </c>
      <c r="E241" s="6"/>
      <c r="F241" s="39"/>
      <c r="G241" s="6"/>
      <c r="H241" s="6"/>
      <c r="I241" s="43" t="str">
        <f aca="false">IF($B241="","",IFERROR(INDEX(INSUMOS!$O$6:$O$205,MATCH($B241,INSUMOS!$A$6:$A$205,0)),0))</f>
        <v/>
      </c>
      <c r="J241" s="45" t="str">
        <f aca="false">IF($B241="","",IF($E241="Ajuste (+) sobrante",1,-1)*N($F241))</f>
        <v/>
      </c>
      <c r="K241" s="35" t="str">
        <f aca="false">IF($B241="","",$J241*$I241)</f>
        <v/>
      </c>
      <c r="L241" s="46" t="str">
        <f aca="false">IF($A241="","",DATE(YEAR($A241),MONTH($A241),1))</f>
        <v/>
      </c>
    </row>
    <row r="242" customFormat="false" ht="15" hidden="false" customHeight="false" outlineLevel="0" collapsed="false">
      <c r="A242" s="44"/>
      <c r="B242" s="6"/>
      <c r="C242" s="8" t="str">
        <f aca="false">IF($B242="","",IFERROR(INDEX(INSUMOS!$B$6:$B$205,MATCH($B242,INSUMOS!$A$6:$A$205,0)),"¿Código?"))</f>
        <v/>
      </c>
      <c r="D242" s="8" t="str">
        <f aca="false">IF($B242="","",IFERROR(INDEX(INSUMOS!$D$6:$D$205,MATCH($B242,INSUMOS!$A$6:$A$205,0)),""))</f>
        <v/>
      </c>
      <c r="E242" s="6"/>
      <c r="F242" s="39"/>
      <c r="G242" s="6"/>
      <c r="H242" s="6"/>
      <c r="I242" s="43" t="str">
        <f aca="false">IF($B242="","",IFERROR(INDEX(INSUMOS!$O$6:$O$205,MATCH($B242,INSUMOS!$A$6:$A$205,0)),0))</f>
        <v/>
      </c>
      <c r="J242" s="45" t="str">
        <f aca="false">IF($B242="","",IF($E242="Ajuste (+) sobrante",1,-1)*N($F242))</f>
        <v/>
      </c>
      <c r="K242" s="35" t="str">
        <f aca="false">IF($B242="","",$J242*$I242)</f>
        <v/>
      </c>
      <c r="L242" s="46" t="str">
        <f aca="false">IF($A242="","",DATE(YEAR($A242),MONTH($A242),1))</f>
        <v/>
      </c>
    </row>
    <row r="243" customFormat="false" ht="15" hidden="false" customHeight="false" outlineLevel="0" collapsed="false">
      <c r="A243" s="44"/>
      <c r="B243" s="6"/>
      <c r="C243" s="8" t="str">
        <f aca="false">IF($B243="","",IFERROR(INDEX(INSUMOS!$B$6:$B$205,MATCH($B243,INSUMOS!$A$6:$A$205,0)),"¿Código?"))</f>
        <v/>
      </c>
      <c r="D243" s="8" t="str">
        <f aca="false">IF($B243="","",IFERROR(INDEX(INSUMOS!$D$6:$D$205,MATCH($B243,INSUMOS!$A$6:$A$205,0)),""))</f>
        <v/>
      </c>
      <c r="E243" s="6"/>
      <c r="F243" s="39"/>
      <c r="G243" s="6"/>
      <c r="H243" s="6"/>
      <c r="I243" s="43" t="str">
        <f aca="false">IF($B243="","",IFERROR(INDEX(INSUMOS!$O$6:$O$205,MATCH($B243,INSUMOS!$A$6:$A$205,0)),0))</f>
        <v/>
      </c>
      <c r="J243" s="45" t="str">
        <f aca="false">IF($B243="","",IF($E243="Ajuste (+) sobrante",1,-1)*N($F243))</f>
        <v/>
      </c>
      <c r="K243" s="35" t="str">
        <f aca="false">IF($B243="","",$J243*$I243)</f>
        <v/>
      </c>
      <c r="L243" s="46" t="str">
        <f aca="false">IF($A243="","",DATE(YEAR($A243),MONTH($A243),1))</f>
        <v/>
      </c>
    </row>
    <row r="244" customFormat="false" ht="15" hidden="false" customHeight="false" outlineLevel="0" collapsed="false">
      <c r="A244" s="44"/>
      <c r="B244" s="6"/>
      <c r="C244" s="8" t="str">
        <f aca="false">IF($B244="","",IFERROR(INDEX(INSUMOS!$B$6:$B$205,MATCH($B244,INSUMOS!$A$6:$A$205,0)),"¿Código?"))</f>
        <v/>
      </c>
      <c r="D244" s="8" t="str">
        <f aca="false">IF($B244="","",IFERROR(INDEX(INSUMOS!$D$6:$D$205,MATCH($B244,INSUMOS!$A$6:$A$205,0)),""))</f>
        <v/>
      </c>
      <c r="E244" s="6"/>
      <c r="F244" s="39"/>
      <c r="G244" s="6"/>
      <c r="H244" s="6"/>
      <c r="I244" s="43" t="str">
        <f aca="false">IF($B244="","",IFERROR(INDEX(INSUMOS!$O$6:$O$205,MATCH($B244,INSUMOS!$A$6:$A$205,0)),0))</f>
        <v/>
      </c>
      <c r="J244" s="45" t="str">
        <f aca="false">IF($B244="","",IF($E244="Ajuste (+) sobrante",1,-1)*N($F244))</f>
        <v/>
      </c>
      <c r="K244" s="35" t="str">
        <f aca="false">IF($B244="","",$J244*$I244)</f>
        <v/>
      </c>
      <c r="L244" s="46" t="str">
        <f aca="false">IF($A244="","",DATE(YEAR($A244),MONTH($A244),1))</f>
        <v/>
      </c>
    </row>
    <row r="245" customFormat="false" ht="15" hidden="false" customHeight="false" outlineLevel="0" collapsed="false">
      <c r="A245" s="44"/>
      <c r="B245" s="6"/>
      <c r="C245" s="8" t="str">
        <f aca="false">IF($B245="","",IFERROR(INDEX(INSUMOS!$B$6:$B$205,MATCH($B245,INSUMOS!$A$6:$A$205,0)),"¿Código?"))</f>
        <v/>
      </c>
      <c r="D245" s="8" t="str">
        <f aca="false">IF($B245="","",IFERROR(INDEX(INSUMOS!$D$6:$D$205,MATCH($B245,INSUMOS!$A$6:$A$205,0)),""))</f>
        <v/>
      </c>
      <c r="E245" s="6"/>
      <c r="F245" s="39"/>
      <c r="G245" s="6"/>
      <c r="H245" s="6"/>
      <c r="I245" s="43" t="str">
        <f aca="false">IF($B245="","",IFERROR(INDEX(INSUMOS!$O$6:$O$205,MATCH($B245,INSUMOS!$A$6:$A$205,0)),0))</f>
        <v/>
      </c>
      <c r="J245" s="45" t="str">
        <f aca="false">IF($B245="","",IF($E245="Ajuste (+) sobrante",1,-1)*N($F245))</f>
        <v/>
      </c>
      <c r="K245" s="35" t="str">
        <f aca="false">IF($B245="","",$J245*$I245)</f>
        <v/>
      </c>
      <c r="L245" s="46" t="str">
        <f aca="false">IF($A245="","",DATE(YEAR($A245),MONTH($A245),1))</f>
        <v/>
      </c>
    </row>
    <row r="246" customFormat="false" ht="15" hidden="false" customHeight="false" outlineLevel="0" collapsed="false">
      <c r="A246" s="44"/>
      <c r="B246" s="6"/>
      <c r="C246" s="8" t="str">
        <f aca="false">IF($B246="","",IFERROR(INDEX(INSUMOS!$B$6:$B$205,MATCH($B246,INSUMOS!$A$6:$A$205,0)),"¿Código?"))</f>
        <v/>
      </c>
      <c r="D246" s="8" t="str">
        <f aca="false">IF($B246="","",IFERROR(INDEX(INSUMOS!$D$6:$D$205,MATCH($B246,INSUMOS!$A$6:$A$205,0)),""))</f>
        <v/>
      </c>
      <c r="E246" s="6"/>
      <c r="F246" s="39"/>
      <c r="G246" s="6"/>
      <c r="H246" s="6"/>
      <c r="I246" s="43" t="str">
        <f aca="false">IF($B246="","",IFERROR(INDEX(INSUMOS!$O$6:$O$205,MATCH($B246,INSUMOS!$A$6:$A$205,0)),0))</f>
        <v/>
      </c>
      <c r="J246" s="45" t="str">
        <f aca="false">IF($B246="","",IF($E246="Ajuste (+) sobrante",1,-1)*N($F246))</f>
        <v/>
      </c>
      <c r="K246" s="35" t="str">
        <f aca="false">IF($B246="","",$J246*$I246)</f>
        <v/>
      </c>
      <c r="L246" s="46" t="str">
        <f aca="false">IF($A246="","",DATE(YEAR($A246),MONTH($A246),1))</f>
        <v/>
      </c>
    </row>
    <row r="247" customFormat="false" ht="15" hidden="false" customHeight="false" outlineLevel="0" collapsed="false">
      <c r="A247" s="44"/>
      <c r="B247" s="6"/>
      <c r="C247" s="8" t="str">
        <f aca="false">IF($B247="","",IFERROR(INDEX(INSUMOS!$B$6:$B$205,MATCH($B247,INSUMOS!$A$6:$A$205,0)),"¿Código?"))</f>
        <v/>
      </c>
      <c r="D247" s="8" t="str">
        <f aca="false">IF($B247="","",IFERROR(INDEX(INSUMOS!$D$6:$D$205,MATCH($B247,INSUMOS!$A$6:$A$205,0)),""))</f>
        <v/>
      </c>
      <c r="E247" s="6"/>
      <c r="F247" s="39"/>
      <c r="G247" s="6"/>
      <c r="H247" s="6"/>
      <c r="I247" s="43" t="str">
        <f aca="false">IF($B247="","",IFERROR(INDEX(INSUMOS!$O$6:$O$205,MATCH($B247,INSUMOS!$A$6:$A$205,0)),0))</f>
        <v/>
      </c>
      <c r="J247" s="45" t="str">
        <f aca="false">IF($B247="","",IF($E247="Ajuste (+) sobrante",1,-1)*N($F247))</f>
        <v/>
      </c>
      <c r="K247" s="35" t="str">
        <f aca="false">IF($B247="","",$J247*$I247)</f>
        <v/>
      </c>
      <c r="L247" s="46" t="str">
        <f aca="false">IF($A247="","",DATE(YEAR($A247),MONTH($A247),1))</f>
        <v/>
      </c>
    </row>
    <row r="248" customFormat="false" ht="15" hidden="false" customHeight="false" outlineLevel="0" collapsed="false">
      <c r="A248" s="44"/>
      <c r="B248" s="6"/>
      <c r="C248" s="8" t="str">
        <f aca="false">IF($B248="","",IFERROR(INDEX(INSUMOS!$B$6:$B$205,MATCH($B248,INSUMOS!$A$6:$A$205,0)),"¿Código?"))</f>
        <v/>
      </c>
      <c r="D248" s="8" t="str">
        <f aca="false">IF($B248="","",IFERROR(INDEX(INSUMOS!$D$6:$D$205,MATCH($B248,INSUMOS!$A$6:$A$205,0)),""))</f>
        <v/>
      </c>
      <c r="E248" s="6"/>
      <c r="F248" s="39"/>
      <c r="G248" s="6"/>
      <c r="H248" s="6"/>
      <c r="I248" s="43" t="str">
        <f aca="false">IF($B248="","",IFERROR(INDEX(INSUMOS!$O$6:$O$205,MATCH($B248,INSUMOS!$A$6:$A$205,0)),0))</f>
        <v/>
      </c>
      <c r="J248" s="45" t="str">
        <f aca="false">IF($B248="","",IF($E248="Ajuste (+) sobrante",1,-1)*N($F248))</f>
        <v/>
      </c>
      <c r="K248" s="35" t="str">
        <f aca="false">IF($B248="","",$J248*$I248)</f>
        <v/>
      </c>
      <c r="L248" s="46" t="str">
        <f aca="false">IF($A248="","",DATE(YEAR($A248),MONTH($A248),1))</f>
        <v/>
      </c>
    </row>
    <row r="249" customFormat="false" ht="15" hidden="false" customHeight="false" outlineLevel="0" collapsed="false">
      <c r="A249" s="44"/>
      <c r="B249" s="6"/>
      <c r="C249" s="8" t="str">
        <f aca="false">IF($B249="","",IFERROR(INDEX(INSUMOS!$B$6:$B$205,MATCH($B249,INSUMOS!$A$6:$A$205,0)),"¿Código?"))</f>
        <v/>
      </c>
      <c r="D249" s="8" t="str">
        <f aca="false">IF($B249="","",IFERROR(INDEX(INSUMOS!$D$6:$D$205,MATCH($B249,INSUMOS!$A$6:$A$205,0)),""))</f>
        <v/>
      </c>
      <c r="E249" s="6"/>
      <c r="F249" s="39"/>
      <c r="G249" s="6"/>
      <c r="H249" s="6"/>
      <c r="I249" s="43" t="str">
        <f aca="false">IF($B249="","",IFERROR(INDEX(INSUMOS!$O$6:$O$205,MATCH($B249,INSUMOS!$A$6:$A$205,0)),0))</f>
        <v/>
      </c>
      <c r="J249" s="45" t="str">
        <f aca="false">IF($B249="","",IF($E249="Ajuste (+) sobrante",1,-1)*N($F249))</f>
        <v/>
      </c>
      <c r="K249" s="35" t="str">
        <f aca="false">IF($B249="","",$J249*$I249)</f>
        <v/>
      </c>
      <c r="L249" s="46" t="str">
        <f aca="false">IF($A249="","",DATE(YEAR($A249),MONTH($A249),1))</f>
        <v/>
      </c>
    </row>
    <row r="250" customFormat="false" ht="15" hidden="false" customHeight="false" outlineLevel="0" collapsed="false">
      <c r="A250" s="44"/>
      <c r="B250" s="6"/>
      <c r="C250" s="8" t="str">
        <f aca="false">IF($B250="","",IFERROR(INDEX(INSUMOS!$B$6:$B$205,MATCH($B250,INSUMOS!$A$6:$A$205,0)),"¿Código?"))</f>
        <v/>
      </c>
      <c r="D250" s="8" t="str">
        <f aca="false">IF($B250="","",IFERROR(INDEX(INSUMOS!$D$6:$D$205,MATCH($B250,INSUMOS!$A$6:$A$205,0)),""))</f>
        <v/>
      </c>
      <c r="E250" s="6"/>
      <c r="F250" s="39"/>
      <c r="G250" s="6"/>
      <c r="H250" s="6"/>
      <c r="I250" s="43" t="str">
        <f aca="false">IF($B250="","",IFERROR(INDEX(INSUMOS!$O$6:$O$205,MATCH($B250,INSUMOS!$A$6:$A$205,0)),0))</f>
        <v/>
      </c>
      <c r="J250" s="45" t="str">
        <f aca="false">IF($B250="","",IF($E250="Ajuste (+) sobrante",1,-1)*N($F250))</f>
        <v/>
      </c>
      <c r="K250" s="35" t="str">
        <f aca="false">IF($B250="","",$J250*$I250)</f>
        <v/>
      </c>
      <c r="L250" s="46" t="str">
        <f aca="false">IF($A250="","",DATE(YEAR($A250),MONTH($A250),1))</f>
        <v/>
      </c>
    </row>
    <row r="251" customFormat="false" ht="15" hidden="false" customHeight="false" outlineLevel="0" collapsed="false">
      <c r="A251" s="44"/>
      <c r="B251" s="6"/>
      <c r="C251" s="8" t="str">
        <f aca="false">IF($B251="","",IFERROR(INDEX(INSUMOS!$B$6:$B$205,MATCH($B251,INSUMOS!$A$6:$A$205,0)),"¿Código?"))</f>
        <v/>
      </c>
      <c r="D251" s="8" t="str">
        <f aca="false">IF($B251="","",IFERROR(INDEX(INSUMOS!$D$6:$D$205,MATCH($B251,INSUMOS!$A$6:$A$205,0)),""))</f>
        <v/>
      </c>
      <c r="E251" s="6"/>
      <c r="F251" s="39"/>
      <c r="G251" s="6"/>
      <c r="H251" s="6"/>
      <c r="I251" s="43" t="str">
        <f aca="false">IF($B251="","",IFERROR(INDEX(INSUMOS!$O$6:$O$205,MATCH($B251,INSUMOS!$A$6:$A$205,0)),0))</f>
        <v/>
      </c>
      <c r="J251" s="45" t="str">
        <f aca="false">IF($B251="","",IF($E251="Ajuste (+) sobrante",1,-1)*N($F251))</f>
        <v/>
      </c>
      <c r="K251" s="35" t="str">
        <f aca="false">IF($B251="","",$J251*$I251)</f>
        <v/>
      </c>
      <c r="L251" s="46" t="str">
        <f aca="false">IF($A251="","",DATE(YEAR($A251),MONTH($A251),1))</f>
        <v/>
      </c>
    </row>
    <row r="252" customFormat="false" ht="15" hidden="false" customHeight="false" outlineLevel="0" collapsed="false">
      <c r="A252" s="44"/>
      <c r="B252" s="6"/>
      <c r="C252" s="8" t="str">
        <f aca="false">IF($B252="","",IFERROR(INDEX(INSUMOS!$B$6:$B$205,MATCH($B252,INSUMOS!$A$6:$A$205,0)),"¿Código?"))</f>
        <v/>
      </c>
      <c r="D252" s="8" t="str">
        <f aca="false">IF($B252="","",IFERROR(INDEX(INSUMOS!$D$6:$D$205,MATCH($B252,INSUMOS!$A$6:$A$205,0)),""))</f>
        <v/>
      </c>
      <c r="E252" s="6"/>
      <c r="F252" s="39"/>
      <c r="G252" s="6"/>
      <c r="H252" s="6"/>
      <c r="I252" s="43" t="str">
        <f aca="false">IF($B252="","",IFERROR(INDEX(INSUMOS!$O$6:$O$205,MATCH($B252,INSUMOS!$A$6:$A$205,0)),0))</f>
        <v/>
      </c>
      <c r="J252" s="45" t="str">
        <f aca="false">IF($B252="","",IF($E252="Ajuste (+) sobrante",1,-1)*N($F252))</f>
        <v/>
      </c>
      <c r="K252" s="35" t="str">
        <f aca="false">IF($B252="","",$J252*$I252)</f>
        <v/>
      </c>
      <c r="L252" s="46" t="str">
        <f aca="false">IF($A252="","",DATE(YEAR($A252),MONTH($A252),1))</f>
        <v/>
      </c>
    </row>
    <row r="253" customFormat="false" ht="15" hidden="false" customHeight="false" outlineLevel="0" collapsed="false">
      <c r="A253" s="44"/>
      <c r="B253" s="6"/>
      <c r="C253" s="8" t="str">
        <f aca="false">IF($B253="","",IFERROR(INDEX(INSUMOS!$B$6:$B$205,MATCH($B253,INSUMOS!$A$6:$A$205,0)),"¿Código?"))</f>
        <v/>
      </c>
      <c r="D253" s="8" t="str">
        <f aca="false">IF($B253="","",IFERROR(INDEX(INSUMOS!$D$6:$D$205,MATCH($B253,INSUMOS!$A$6:$A$205,0)),""))</f>
        <v/>
      </c>
      <c r="E253" s="6"/>
      <c r="F253" s="39"/>
      <c r="G253" s="6"/>
      <c r="H253" s="6"/>
      <c r="I253" s="43" t="str">
        <f aca="false">IF($B253="","",IFERROR(INDEX(INSUMOS!$O$6:$O$205,MATCH($B253,INSUMOS!$A$6:$A$205,0)),0))</f>
        <v/>
      </c>
      <c r="J253" s="45" t="str">
        <f aca="false">IF($B253="","",IF($E253="Ajuste (+) sobrante",1,-1)*N($F253))</f>
        <v/>
      </c>
      <c r="K253" s="35" t="str">
        <f aca="false">IF($B253="","",$J253*$I253)</f>
        <v/>
      </c>
      <c r="L253" s="46" t="str">
        <f aca="false">IF($A253="","",DATE(YEAR($A253),MONTH($A253),1))</f>
        <v/>
      </c>
    </row>
    <row r="254" customFormat="false" ht="15" hidden="false" customHeight="false" outlineLevel="0" collapsed="false">
      <c r="A254" s="44"/>
      <c r="B254" s="6"/>
      <c r="C254" s="8" t="str">
        <f aca="false">IF($B254="","",IFERROR(INDEX(INSUMOS!$B$6:$B$205,MATCH($B254,INSUMOS!$A$6:$A$205,0)),"¿Código?"))</f>
        <v/>
      </c>
      <c r="D254" s="8" t="str">
        <f aca="false">IF($B254="","",IFERROR(INDEX(INSUMOS!$D$6:$D$205,MATCH($B254,INSUMOS!$A$6:$A$205,0)),""))</f>
        <v/>
      </c>
      <c r="E254" s="6"/>
      <c r="F254" s="39"/>
      <c r="G254" s="6"/>
      <c r="H254" s="6"/>
      <c r="I254" s="43" t="str">
        <f aca="false">IF($B254="","",IFERROR(INDEX(INSUMOS!$O$6:$O$205,MATCH($B254,INSUMOS!$A$6:$A$205,0)),0))</f>
        <v/>
      </c>
      <c r="J254" s="45" t="str">
        <f aca="false">IF($B254="","",IF($E254="Ajuste (+) sobrante",1,-1)*N($F254))</f>
        <v/>
      </c>
      <c r="K254" s="35" t="str">
        <f aca="false">IF($B254="","",$J254*$I254)</f>
        <v/>
      </c>
      <c r="L254" s="46" t="str">
        <f aca="false">IF($A254="","",DATE(YEAR($A254),MONTH($A254),1))</f>
        <v/>
      </c>
    </row>
    <row r="255" customFormat="false" ht="15" hidden="false" customHeight="false" outlineLevel="0" collapsed="false">
      <c r="A255" s="44"/>
      <c r="B255" s="6"/>
      <c r="C255" s="8" t="str">
        <f aca="false">IF($B255="","",IFERROR(INDEX(INSUMOS!$B$6:$B$205,MATCH($B255,INSUMOS!$A$6:$A$205,0)),"¿Código?"))</f>
        <v/>
      </c>
      <c r="D255" s="8" t="str">
        <f aca="false">IF($B255="","",IFERROR(INDEX(INSUMOS!$D$6:$D$205,MATCH($B255,INSUMOS!$A$6:$A$205,0)),""))</f>
        <v/>
      </c>
      <c r="E255" s="6"/>
      <c r="F255" s="39"/>
      <c r="G255" s="6"/>
      <c r="H255" s="6"/>
      <c r="I255" s="43" t="str">
        <f aca="false">IF($B255="","",IFERROR(INDEX(INSUMOS!$O$6:$O$205,MATCH($B255,INSUMOS!$A$6:$A$205,0)),0))</f>
        <v/>
      </c>
      <c r="J255" s="45" t="str">
        <f aca="false">IF($B255="","",IF($E255="Ajuste (+) sobrante",1,-1)*N($F255))</f>
        <v/>
      </c>
      <c r="K255" s="35" t="str">
        <f aca="false">IF($B255="","",$J255*$I255)</f>
        <v/>
      </c>
      <c r="L255" s="46" t="str">
        <f aca="false">IF($A255="","",DATE(YEAR($A255),MONTH($A255),1))</f>
        <v/>
      </c>
    </row>
    <row r="256" customFormat="false" ht="15" hidden="false" customHeight="false" outlineLevel="0" collapsed="false">
      <c r="A256" s="44"/>
      <c r="B256" s="6"/>
      <c r="C256" s="8" t="str">
        <f aca="false">IF($B256="","",IFERROR(INDEX(INSUMOS!$B$6:$B$205,MATCH($B256,INSUMOS!$A$6:$A$205,0)),"¿Código?"))</f>
        <v/>
      </c>
      <c r="D256" s="8" t="str">
        <f aca="false">IF($B256="","",IFERROR(INDEX(INSUMOS!$D$6:$D$205,MATCH($B256,INSUMOS!$A$6:$A$205,0)),""))</f>
        <v/>
      </c>
      <c r="E256" s="6"/>
      <c r="F256" s="39"/>
      <c r="G256" s="6"/>
      <c r="H256" s="6"/>
      <c r="I256" s="43" t="str">
        <f aca="false">IF($B256="","",IFERROR(INDEX(INSUMOS!$O$6:$O$205,MATCH($B256,INSUMOS!$A$6:$A$205,0)),0))</f>
        <v/>
      </c>
      <c r="J256" s="45" t="str">
        <f aca="false">IF($B256="","",IF($E256="Ajuste (+) sobrante",1,-1)*N($F256))</f>
        <v/>
      </c>
      <c r="K256" s="35" t="str">
        <f aca="false">IF($B256="","",$J256*$I256)</f>
        <v/>
      </c>
      <c r="L256" s="46" t="str">
        <f aca="false">IF($A256="","",DATE(YEAR($A256),MONTH($A256),1))</f>
        <v/>
      </c>
    </row>
    <row r="257" customFormat="false" ht="15" hidden="false" customHeight="false" outlineLevel="0" collapsed="false">
      <c r="A257" s="44"/>
      <c r="B257" s="6"/>
      <c r="C257" s="8" t="str">
        <f aca="false">IF($B257="","",IFERROR(INDEX(INSUMOS!$B$6:$B$205,MATCH($B257,INSUMOS!$A$6:$A$205,0)),"¿Código?"))</f>
        <v/>
      </c>
      <c r="D257" s="8" t="str">
        <f aca="false">IF($B257="","",IFERROR(INDEX(INSUMOS!$D$6:$D$205,MATCH($B257,INSUMOS!$A$6:$A$205,0)),""))</f>
        <v/>
      </c>
      <c r="E257" s="6"/>
      <c r="F257" s="39"/>
      <c r="G257" s="6"/>
      <c r="H257" s="6"/>
      <c r="I257" s="43" t="str">
        <f aca="false">IF($B257="","",IFERROR(INDEX(INSUMOS!$O$6:$O$205,MATCH($B257,INSUMOS!$A$6:$A$205,0)),0))</f>
        <v/>
      </c>
      <c r="J257" s="45" t="str">
        <f aca="false">IF($B257="","",IF($E257="Ajuste (+) sobrante",1,-1)*N($F257))</f>
        <v/>
      </c>
      <c r="K257" s="35" t="str">
        <f aca="false">IF($B257="","",$J257*$I257)</f>
        <v/>
      </c>
      <c r="L257" s="46" t="str">
        <f aca="false">IF($A257="","",DATE(YEAR($A257),MONTH($A257),1))</f>
        <v/>
      </c>
    </row>
    <row r="258" customFormat="false" ht="15" hidden="false" customHeight="false" outlineLevel="0" collapsed="false">
      <c r="A258" s="44"/>
      <c r="B258" s="6"/>
      <c r="C258" s="8" t="str">
        <f aca="false">IF($B258="","",IFERROR(INDEX(INSUMOS!$B$6:$B$205,MATCH($B258,INSUMOS!$A$6:$A$205,0)),"¿Código?"))</f>
        <v/>
      </c>
      <c r="D258" s="8" t="str">
        <f aca="false">IF($B258="","",IFERROR(INDEX(INSUMOS!$D$6:$D$205,MATCH($B258,INSUMOS!$A$6:$A$205,0)),""))</f>
        <v/>
      </c>
      <c r="E258" s="6"/>
      <c r="F258" s="39"/>
      <c r="G258" s="6"/>
      <c r="H258" s="6"/>
      <c r="I258" s="43" t="str">
        <f aca="false">IF($B258="","",IFERROR(INDEX(INSUMOS!$O$6:$O$205,MATCH($B258,INSUMOS!$A$6:$A$205,0)),0))</f>
        <v/>
      </c>
      <c r="J258" s="45" t="str">
        <f aca="false">IF($B258="","",IF($E258="Ajuste (+) sobrante",1,-1)*N($F258))</f>
        <v/>
      </c>
      <c r="K258" s="35" t="str">
        <f aca="false">IF($B258="","",$J258*$I258)</f>
        <v/>
      </c>
      <c r="L258" s="46" t="str">
        <f aca="false">IF($A258="","",DATE(YEAR($A258),MONTH($A258),1))</f>
        <v/>
      </c>
    </row>
    <row r="259" customFormat="false" ht="15" hidden="false" customHeight="false" outlineLevel="0" collapsed="false">
      <c r="A259" s="44"/>
      <c r="B259" s="6"/>
      <c r="C259" s="8" t="str">
        <f aca="false">IF($B259="","",IFERROR(INDEX(INSUMOS!$B$6:$B$205,MATCH($B259,INSUMOS!$A$6:$A$205,0)),"¿Código?"))</f>
        <v/>
      </c>
      <c r="D259" s="8" t="str">
        <f aca="false">IF($B259="","",IFERROR(INDEX(INSUMOS!$D$6:$D$205,MATCH($B259,INSUMOS!$A$6:$A$205,0)),""))</f>
        <v/>
      </c>
      <c r="E259" s="6"/>
      <c r="F259" s="39"/>
      <c r="G259" s="6"/>
      <c r="H259" s="6"/>
      <c r="I259" s="43" t="str">
        <f aca="false">IF($B259="","",IFERROR(INDEX(INSUMOS!$O$6:$O$205,MATCH($B259,INSUMOS!$A$6:$A$205,0)),0))</f>
        <v/>
      </c>
      <c r="J259" s="45" t="str">
        <f aca="false">IF($B259="","",IF($E259="Ajuste (+) sobrante",1,-1)*N($F259))</f>
        <v/>
      </c>
      <c r="K259" s="35" t="str">
        <f aca="false">IF($B259="","",$J259*$I259)</f>
        <v/>
      </c>
      <c r="L259" s="46" t="str">
        <f aca="false">IF($A259="","",DATE(YEAR($A259),MONTH($A259),1))</f>
        <v/>
      </c>
    </row>
    <row r="260" customFormat="false" ht="15" hidden="false" customHeight="false" outlineLevel="0" collapsed="false">
      <c r="A260" s="44"/>
      <c r="B260" s="6"/>
      <c r="C260" s="8" t="str">
        <f aca="false">IF($B260="","",IFERROR(INDEX(INSUMOS!$B$6:$B$205,MATCH($B260,INSUMOS!$A$6:$A$205,0)),"¿Código?"))</f>
        <v/>
      </c>
      <c r="D260" s="8" t="str">
        <f aca="false">IF($B260="","",IFERROR(INDEX(INSUMOS!$D$6:$D$205,MATCH($B260,INSUMOS!$A$6:$A$205,0)),""))</f>
        <v/>
      </c>
      <c r="E260" s="6"/>
      <c r="F260" s="39"/>
      <c r="G260" s="6"/>
      <c r="H260" s="6"/>
      <c r="I260" s="43" t="str">
        <f aca="false">IF($B260="","",IFERROR(INDEX(INSUMOS!$O$6:$O$205,MATCH($B260,INSUMOS!$A$6:$A$205,0)),0))</f>
        <v/>
      </c>
      <c r="J260" s="45" t="str">
        <f aca="false">IF($B260="","",IF($E260="Ajuste (+) sobrante",1,-1)*N($F260))</f>
        <v/>
      </c>
      <c r="K260" s="35" t="str">
        <f aca="false">IF($B260="","",$J260*$I260)</f>
        <v/>
      </c>
      <c r="L260" s="46" t="str">
        <f aca="false">IF($A260="","",DATE(YEAR($A260),MONTH($A260),1))</f>
        <v/>
      </c>
    </row>
    <row r="261" customFormat="false" ht="15" hidden="false" customHeight="false" outlineLevel="0" collapsed="false">
      <c r="A261" s="44"/>
      <c r="B261" s="6"/>
      <c r="C261" s="8" t="str">
        <f aca="false">IF($B261="","",IFERROR(INDEX(INSUMOS!$B$6:$B$205,MATCH($B261,INSUMOS!$A$6:$A$205,0)),"¿Código?"))</f>
        <v/>
      </c>
      <c r="D261" s="8" t="str">
        <f aca="false">IF($B261="","",IFERROR(INDEX(INSUMOS!$D$6:$D$205,MATCH($B261,INSUMOS!$A$6:$A$205,0)),""))</f>
        <v/>
      </c>
      <c r="E261" s="6"/>
      <c r="F261" s="39"/>
      <c r="G261" s="6"/>
      <c r="H261" s="6"/>
      <c r="I261" s="43" t="str">
        <f aca="false">IF($B261="","",IFERROR(INDEX(INSUMOS!$O$6:$O$205,MATCH($B261,INSUMOS!$A$6:$A$205,0)),0))</f>
        <v/>
      </c>
      <c r="J261" s="45" t="str">
        <f aca="false">IF($B261="","",IF($E261="Ajuste (+) sobrante",1,-1)*N($F261))</f>
        <v/>
      </c>
      <c r="K261" s="35" t="str">
        <f aca="false">IF($B261="","",$J261*$I261)</f>
        <v/>
      </c>
      <c r="L261" s="46" t="str">
        <f aca="false">IF($A261="","",DATE(YEAR($A261),MONTH($A261),1))</f>
        <v/>
      </c>
    </row>
    <row r="262" customFormat="false" ht="15" hidden="false" customHeight="false" outlineLevel="0" collapsed="false">
      <c r="A262" s="44"/>
      <c r="B262" s="6"/>
      <c r="C262" s="8" t="str">
        <f aca="false">IF($B262="","",IFERROR(INDEX(INSUMOS!$B$6:$B$205,MATCH($B262,INSUMOS!$A$6:$A$205,0)),"¿Código?"))</f>
        <v/>
      </c>
      <c r="D262" s="8" t="str">
        <f aca="false">IF($B262="","",IFERROR(INDEX(INSUMOS!$D$6:$D$205,MATCH($B262,INSUMOS!$A$6:$A$205,0)),""))</f>
        <v/>
      </c>
      <c r="E262" s="6"/>
      <c r="F262" s="39"/>
      <c r="G262" s="6"/>
      <c r="H262" s="6"/>
      <c r="I262" s="43" t="str">
        <f aca="false">IF($B262="","",IFERROR(INDEX(INSUMOS!$O$6:$O$205,MATCH($B262,INSUMOS!$A$6:$A$205,0)),0))</f>
        <v/>
      </c>
      <c r="J262" s="45" t="str">
        <f aca="false">IF($B262="","",IF($E262="Ajuste (+) sobrante",1,-1)*N($F262))</f>
        <v/>
      </c>
      <c r="K262" s="35" t="str">
        <f aca="false">IF($B262="","",$J262*$I262)</f>
        <v/>
      </c>
      <c r="L262" s="46" t="str">
        <f aca="false">IF($A262="","",DATE(YEAR($A262),MONTH($A262),1))</f>
        <v/>
      </c>
    </row>
    <row r="263" customFormat="false" ht="15" hidden="false" customHeight="false" outlineLevel="0" collapsed="false">
      <c r="A263" s="44"/>
      <c r="B263" s="6"/>
      <c r="C263" s="8" t="str">
        <f aca="false">IF($B263="","",IFERROR(INDEX(INSUMOS!$B$6:$B$205,MATCH($B263,INSUMOS!$A$6:$A$205,0)),"¿Código?"))</f>
        <v/>
      </c>
      <c r="D263" s="8" t="str">
        <f aca="false">IF($B263="","",IFERROR(INDEX(INSUMOS!$D$6:$D$205,MATCH($B263,INSUMOS!$A$6:$A$205,0)),""))</f>
        <v/>
      </c>
      <c r="E263" s="6"/>
      <c r="F263" s="39"/>
      <c r="G263" s="6"/>
      <c r="H263" s="6"/>
      <c r="I263" s="43" t="str">
        <f aca="false">IF($B263="","",IFERROR(INDEX(INSUMOS!$O$6:$O$205,MATCH($B263,INSUMOS!$A$6:$A$205,0)),0))</f>
        <v/>
      </c>
      <c r="J263" s="45" t="str">
        <f aca="false">IF($B263="","",IF($E263="Ajuste (+) sobrante",1,-1)*N($F263))</f>
        <v/>
      </c>
      <c r="K263" s="35" t="str">
        <f aca="false">IF($B263="","",$J263*$I263)</f>
        <v/>
      </c>
      <c r="L263" s="46" t="str">
        <f aca="false">IF($A263="","",DATE(YEAR($A263),MONTH($A263),1))</f>
        <v/>
      </c>
    </row>
    <row r="264" customFormat="false" ht="15" hidden="false" customHeight="false" outlineLevel="0" collapsed="false">
      <c r="A264" s="44"/>
      <c r="B264" s="6"/>
      <c r="C264" s="8" t="str">
        <f aca="false">IF($B264="","",IFERROR(INDEX(INSUMOS!$B$6:$B$205,MATCH($B264,INSUMOS!$A$6:$A$205,0)),"¿Código?"))</f>
        <v/>
      </c>
      <c r="D264" s="8" t="str">
        <f aca="false">IF($B264="","",IFERROR(INDEX(INSUMOS!$D$6:$D$205,MATCH($B264,INSUMOS!$A$6:$A$205,0)),""))</f>
        <v/>
      </c>
      <c r="E264" s="6"/>
      <c r="F264" s="39"/>
      <c r="G264" s="6"/>
      <c r="H264" s="6"/>
      <c r="I264" s="43" t="str">
        <f aca="false">IF($B264="","",IFERROR(INDEX(INSUMOS!$O$6:$O$205,MATCH($B264,INSUMOS!$A$6:$A$205,0)),0))</f>
        <v/>
      </c>
      <c r="J264" s="45" t="str">
        <f aca="false">IF($B264="","",IF($E264="Ajuste (+) sobrante",1,-1)*N($F264))</f>
        <v/>
      </c>
      <c r="K264" s="35" t="str">
        <f aca="false">IF($B264="","",$J264*$I264)</f>
        <v/>
      </c>
      <c r="L264" s="46" t="str">
        <f aca="false">IF($A264="","",DATE(YEAR($A264),MONTH($A264),1))</f>
        <v/>
      </c>
    </row>
    <row r="265" customFormat="false" ht="15" hidden="false" customHeight="false" outlineLevel="0" collapsed="false">
      <c r="A265" s="44"/>
      <c r="B265" s="6"/>
      <c r="C265" s="8" t="str">
        <f aca="false">IF($B265="","",IFERROR(INDEX(INSUMOS!$B$6:$B$205,MATCH($B265,INSUMOS!$A$6:$A$205,0)),"¿Código?"))</f>
        <v/>
      </c>
      <c r="D265" s="8" t="str">
        <f aca="false">IF($B265="","",IFERROR(INDEX(INSUMOS!$D$6:$D$205,MATCH($B265,INSUMOS!$A$6:$A$205,0)),""))</f>
        <v/>
      </c>
      <c r="E265" s="6"/>
      <c r="F265" s="39"/>
      <c r="G265" s="6"/>
      <c r="H265" s="6"/>
      <c r="I265" s="43" t="str">
        <f aca="false">IF($B265="","",IFERROR(INDEX(INSUMOS!$O$6:$O$205,MATCH($B265,INSUMOS!$A$6:$A$205,0)),0))</f>
        <v/>
      </c>
      <c r="J265" s="45" t="str">
        <f aca="false">IF($B265="","",IF($E265="Ajuste (+) sobrante",1,-1)*N($F265))</f>
        <v/>
      </c>
      <c r="K265" s="35" t="str">
        <f aca="false">IF($B265="","",$J265*$I265)</f>
        <v/>
      </c>
      <c r="L265" s="46" t="str">
        <f aca="false">IF($A265="","",DATE(YEAR($A265),MONTH($A265),1))</f>
        <v/>
      </c>
    </row>
    <row r="266" customFormat="false" ht="15" hidden="false" customHeight="false" outlineLevel="0" collapsed="false">
      <c r="A266" s="44"/>
      <c r="B266" s="6"/>
      <c r="C266" s="8" t="str">
        <f aca="false">IF($B266="","",IFERROR(INDEX(INSUMOS!$B$6:$B$205,MATCH($B266,INSUMOS!$A$6:$A$205,0)),"¿Código?"))</f>
        <v/>
      </c>
      <c r="D266" s="8" t="str">
        <f aca="false">IF($B266="","",IFERROR(INDEX(INSUMOS!$D$6:$D$205,MATCH($B266,INSUMOS!$A$6:$A$205,0)),""))</f>
        <v/>
      </c>
      <c r="E266" s="6"/>
      <c r="F266" s="39"/>
      <c r="G266" s="6"/>
      <c r="H266" s="6"/>
      <c r="I266" s="43" t="str">
        <f aca="false">IF($B266="","",IFERROR(INDEX(INSUMOS!$O$6:$O$205,MATCH($B266,INSUMOS!$A$6:$A$205,0)),0))</f>
        <v/>
      </c>
      <c r="J266" s="45" t="str">
        <f aca="false">IF($B266="","",IF($E266="Ajuste (+) sobrante",1,-1)*N($F266))</f>
        <v/>
      </c>
      <c r="K266" s="35" t="str">
        <f aca="false">IF($B266="","",$J266*$I266)</f>
        <v/>
      </c>
      <c r="L266" s="46" t="str">
        <f aca="false">IF($A266="","",DATE(YEAR($A266),MONTH($A266),1))</f>
        <v/>
      </c>
    </row>
    <row r="267" customFormat="false" ht="15" hidden="false" customHeight="false" outlineLevel="0" collapsed="false">
      <c r="A267" s="44"/>
      <c r="B267" s="6"/>
      <c r="C267" s="8" t="str">
        <f aca="false">IF($B267="","",IFERROR(INDEX(INSUMOS!$B$6:$B$205,MATCH($B267,INSUMOS!$A$6:$A$205,0)),"¿Código?"))</f>
        <v/>
      </c>
      <c r="D267" s="8" t="str">
        <f aca="false">IF($B267="","",IFERROR(INDEX(INSUMOS!$D$6:$D$205,MATCH($B267,INSUMOS!$A$6:$A$205,0)),""))</f>
        <v/>
      </c>
      <c r="E267" s="6"/>
      <c r="F267" s="39"/>
      <c r="G267" s="6"/>
      <c r="H267" s="6"/>
      <c r="I267" s="43" t="str">
        <f aca="false">IF($B267="","",IFERROR(INDEX(INSUMOS!$O$6:$O$205,MATCH($B267,INSUMOS!$A$6:$A$205,0)),0))</f>
        <v/>
      </c>
      <c r="J267" s="45" t="str">
        <f aca="false">IF($B267="","",IF($E267="Ajuste (+) sobrante",1,-1)*N($F267))</f>
        <v/>
      </c>
      <c r="K267" s="35" t="str">
        <f aca="false">IF($B267="","",$J267*$I267)</f>
        <v/>
      </c>
      <c r="L267" s="46" t="str">
        <f aca="false">IF($A267="","",DATE(YEAR($A267),MONTH($A267),1))</f>
        <v/>
      </c>
    </row>
    <row r="268" customFormat="false" ht="15" hidden="false" customHeight="false" outlineLevel="0" collapsed="false">
      <c r="A268" s="44"/>
      <c r="B268" s="6"/>
      <c r="C268" s="8" t="str">
        <f aca="false">IF($B268="","",IFERROR(INDEX(INSUMOS!$B$6:$B$205,MATCH($B268,INSUMOS!$A$6:$A$205,0)),"¿Código?"))</f>
        <v/>
      </c>
      <c r="D268" s="8" t="str">
        <f aca="false">IF($B268="","",IFERROR(INDEX(INSUMOS!$D$6:$D$205,MATCH($B268,INSUMOS!$A$6:$A$205,0)),""))</f>
        <v/>
      </c>
      <c r="E268" s="6"/>
      <c r="F268" s="39"/>
      <c r="G268" s="6"/>
      <c r="H268" s="6"/>
      <c r="I268" s="43" t="str">
        <f aca="false">IF($B268="","",IFERROR(INDEX(INSUMOS!$O$6:$O$205,MATCH($B268,INSUMOS!$A$6:$A$205,0)),0))</f>
        <v/>
      </c>
      <c r="J268" s="45" t="str">
        <f aca="false">IF($B268="","",IF($E268="Ajuste (+) sobrante",1,-1)*N($F268))</f>
        <v/>
      </c>
      <c r="K268" s="35" t="str">
        <f aca="false">IF($B268="","",$J268*$I268)</f>
        <v/>
      </c>
      <c r="L268" s="46" t="str">
        <f aca="false">IF($A268="","",DATE(YEAR($A268),MONTH($A268),1))</f>
        <v/>
      </c>
    </row>
    <row r="269" customFormat="false" ht="15" hidden="false" customHeight="false" outlineLevel="0" collapsed="false">
      <c r="A269" s="44"/>
      <c r="B269" s="6"/>
      <c r="C269" s="8" t="str">
        <f aca="false">IF($B269="","",IFERROR(INDEX(INSUMOS!$B$6:$B$205,MATCH($B269,INSUMOS!$A$6:$A$205,0)),"¿Código?"))</f>
        <v/>
      </c>
      <c r="D269" s="8" t="str">
        <f aca="false">IF($B269="","",IFERROR(INDEX(INSUMOS!$D$6:$D$205,MATCH($B269,INSUMOS!$A$6:$A$205,0)),""))</f>
        <v/>
      </c>
      <c r="E269" s="6"/>
      <c r="F269" s="39"/>
      <c r="G269" s="6"/>
      <c r="H269" s="6"/>
      <c r="I269" s="43" t="str">
        <f aca="false">IF($B269="","",IFERROR(INDEX(INSUMOS!$O$6:$O$205,MATCH($B269,INSUMOS!$A$6:$A$205,0)),0))</f>
        <v/>
      </c>
      <c r="J269" s="45" t="str">
        <f aca="false">IF($B269="","",IF($E269="Ajuste (+) sobrante",1,-1)*N($F269))</f>
        <v/>
      </c>
      <c r="K269" s="35" t="str">
        <f aca="false">IF($B269="","",$J269*$I269)</f>
        <v/>
      </c>
      <c r="L269" s="46" t="str">
        <f aca="false">IF($A269="","",DATE(YEAR($A269),MONTH($A269),1))</f>
        <v/>
      </c>
    </row>
    <row r="270" customFormat="false" ht="15" hidden="false" customHeight="false" outlineLevel="0" collapsed="false">
      <c r="A270" s="44"/>
      <c r="B270" s="6"/>
      <c r="C270" s="8" t="str">
        <f aca="false">IF($B270="","",IFERROR(INDEX(INSUMOS!$B$6:$B$205,MATCH($B270,INSUMOS!$A$6:$A$205,0)),"¿Código?"))</f>
        <v/>
      </c>
      <c r="D270" s="8" t="str">
        <f aca="false">IF($B270="","",IFERROR(INDEX(INSUMOS!$D$6:$D$205,MATCH($B270,INSUMOS!$A$6:$A$205,0)),""))</f>
        <v/>
      </c>
      <c r="E270" s="6"/>
      <c r="F270" s="39"/>
      <c r="G270" s="6"/>
      <c r="H270" s="6"/>
      <c r="I270" s="43" t="str">
        <f aca="false">IF($B270="","",IFERROR(INDEX(INSUMOS!$O$6:$O$205,MATCH($B270,INSUMOS!$A$6:$A$205,0)),0))</f>
        <v/>
      </c>
      <c r="J270" s="45" t="str">
        <f aca="false">IF($B270="","",IF($E270="Ajuste (+) sobrante",1,-1)*N($F270))</f>
        <v/>
      </c>
      <c r="K270" s="35" t="str">
        <f aca="false">IF($B270="","",$J270*$I270)</f>
        <v/>
      </c>
      <c r="L270" s="46" t="str">
        <f aca="false">IF($A270="","",DATE(YEAR($A270),MONTH($A270),1))</f>
        <v/>
      </c>
    </row>
    <row r="271" customFormat="false" ht="15" hidden="false" customHeight="false" outlineLevel="0" collapsed="false">
      <c r="A271" s="44"/>
      <c r="B271" s="6"/>
      <c r="C271" s="8" t="str">
        <f aca="false">IF($B271="","",IFERROR(INDEX(INSUMOS!$B$6:$B$205,MATCH($B271,INSUMOS!$A$6:$A$205,0)),"¿Código?"))</f>
        <v/>
      </c>
      <c r="D271" s="8" t="str">
        <f aca="false">IF($B271="","",IFERROR(INDEX(INSUMOS!$D$6:$D$205,MATCH($B271,INSUMOS!$A$6:$A$205,0)),""))</f>
        <v/>
      </c>
      <c r="E271" s="6"/>
      <c r="F271" s="39"/>
      <c r="G271" s="6"/>
      <c r="H271" s="6"/>
      <c r="I271" s="43" t="str">
        <f aca="false">IF($B271="","",IFERROR(INDEX(INSUMOS!$O$6:$O$205,MATCH($B271,INSUMOS!$A$6:$A$205,0)),0))</f>
        <v/>
      </c>
      <c r="J271" s="45" t="str">
        <f aca="false">IF($B271="","",IF($E271="Ajuste (+) sobrante",1,-1)*N($F271))</f>
        <v/>
      </c>
      <c r="K271" s="35" t="str">
        <f aca="false">IF($B271="","",$J271*$I271)</f>
        <v/>
      </c>
      <c r="L271" s="46" t="str">
        <f aca="false">IF($A271="","",DATE(YEAR($A271),MONTH($A271),1))</f>
        <v/>
      </c>
    </row>
    <row r="272" customFormat="false" ht="15" hidden="false" customHeight="false" outlineLevel="0" collapsed="false">
      <c r="A272" s="44"/>
      <c r="B272" s="6"/>
      <c r="C272" s="8" t="str">
        <f aca="false">IF($B272="","",IFERROR(INDEX(INSUMOS!$B$6:$B$205,MATCH($B272,INSUMOS!$A$6:$A$205,0)),"¿Código?"))</f>
        <v/>
      </c>
      <c r="D272" s="8" t="str">
        <f aca="false">IF($B272="","",IFERROR(INDEX(INSUMOS!$D$6:$D$205,MATCH($B272,INSUMOS!$A$6:$A$205,0)),""))</f>
        <v/>
      </c>
      <c r="E272" s="6"/>
      <c r="F272" s="39"/>
      <c r="G272" s="6"/>
      <c r="H272" s="6"/>
      <c r="I272" s="43" t="str">
        <f aca="false">IF($B272="","",IFERROR(INDEX(INSUMOS!$O$6:$O$205,MATCH($B272,INSUMOS!$A$6:$A$205,0)),0))</f>
        <v/>
      </c>
      <c r="J272" s="45" t="str">
        <f aca="false">IF($B272="","",IF($E272="Ajuste (+) sobrante",1,-1)*N($F272))</f>
        <v/>
      </c>
      <c r="K272" s="35" t="str">
        <f aca="false">IF($B272="","",$J272*$I272)</f>
        <v/>
      </c>
      <c r="L272" s="46" t="str">
        <f aca="false">IF($A272="","",DATE(YEAR($A272),MONTH($A272),1))</f>
        <v/>
      </c>
    </row>
    <row r="273" customFormat="false" ht="15" hidden="false" customHeight="false" outlineLevel="0" collapsed="false">
      <c r="A273" s="44"/>
      <c r="B273" s="6"/>
      <c r="C273" s="8" t="str">
        <f aca="false">IF($B273="","",IFERROR(INDEX(INSUMOS!$B$6:$B$205,MATCH($B273,INSUMOS!$A$6:$A$205,0)),"¿Código?"))</f>
        <v/>
      </c>
      <c r="D273" s="8" t="str">
        <f aca="false">IF($B273="","",IFERROR(INDEX(INSUMOS!$D$6:$D$205,MATCH($B273,INSUMOS!$A$6:$A$205,0)),""))</f>
        <v/>
      </c>
      <c r="E273" s="6"/>
      <c r="F273" s="39"/>
      <c r="G273" s="6"/>
      <c r="H273" s="6"/>
      <c r="I273" s="43" t="str">
        <f aca="false">IF($B273="","",IFERROR(INDEX(INSUMOS!$O$6:$O$205,MATCH($B273,INSUMOS!$A$6:$A$205,0)),0))</f>
        <v/>
      </c>
      <c r="J273" s="45" t="str">
        <f aca="false">IF($B273="","",IF($E273="Ajuste (+) sobrante",1,-1)*N($F273))</f>
        <v/>
      </c>
      <c r="K273" s="35" t="str">
        <f aca="false">IF($B273="","",$J273*$I273)</f>
        <v/>
      </c>
      <c r="L273" s="46" t="str">
        <f aca="false">IF($A273="","",DATE(YEAR($A273),MONTH($A273),1))</f>
        <v/>
      </c>
    </row>
    <row r="274" customFormat="false" ht="15" hidden="false" customHeight="false" outlineLevel="0" collapsed="false">
      <c r="A274" s="44"/>
      <c r="B274" s="6"/>
      <c r="C274" s="8" t="str">
        <f aca="false">IF($B274="","",IFERROR(INDEX(INSUMOS!$B$6:$B$205,MATCH($B274,INSUMOS!$A$6:$A$205,0)),"¿Código?"))</f>
        <v/>
      </c>
      <c r="D274" s="8" t="str">
        <f aca="false">IF($B274="","",IFERROR(INDEX(INSUMOS!$D$6:$D$205,MATCH($B274,INSUMOS!$A$6:$A$205,0)),""))</f>
        <v/>
      </c>
      <c r="E274" s="6"/>
      <c r="F274" s="39"/>
      <c r="G274" s="6"/>
      <c r="H274" s="6"/>
      <c r="I274" s="43" t="str">
        <f aca="false">IF($B274="","",IFERROR(INDEX(INSUMOS!$O$6:$O$205,MATCH($B274,INSUMOS!$A$6:$A$205,0)),0))</f>
        <v/>
      </c>
      <c r="J274" s="45" t="str">
        <f aca="false">IF($B274="","",IF($E274="Ajuste (+) sobrante",1,-1)*N($F274))</f>
        <v/>
      </c>
      <c r="K274" s="35" t="str">
        <f aca="false">IF($B274="","",$J274*$I274)</f>
        <v/>
      </c>
      <c r="L274" s="46" t="str">
        <f aca="false">IF($A274="","",DATE(YEAR($A274),MONTH($A274),1))</f>
        <v/>
      </c>
    </row>
    <row r="275" customFormat="false" ht="15" hidden="false" customHeight="false" outlineLevel="0" collapsed="false">
      <c r="A275" s="44"/>
      <c r="B275" s="6"/>
      <c r="C275" s="8" t="str">
        <f aca="false">IF($B275="","",IFERROR(INDEX(INSUMOS!$B$6:$B$205,MATCH($B275,INSUMOS!$A$6:$A$205,0)),"¿Código?"))</f>
        <v/>
      </c>
      <c r="D275" s="8" t="str">
        <f aca="false">IF($B275="","",IFERROR(INDEX(INSUMOS!$D$6:$D$205,MATCH($B275,INSUMOS!$A$6:$A$205,0)),""))</f>
        <v/>
      </c>
      <c r="E275" s="6"/>
      <c r="F275" s="39"/>
      <c r="G275" s="6"/>
      <c r="H275" s="6"/>
      <c r="I275" s="43" t="str">
        <f aca="false">IF($B275="","",IFERROR(INDEX(INSUMOS!$O$6:$O$205,MATCH($B275,INSUMOS!$A$6:$A$205,0)),0))</f>
        <v/>
      </c>
      <c r="J275" s="45" t="str">
        <f aca="false">IF($B275="","",IF($E275="Ajuste (+) sobrante",1,-1)*N($F275))</f>
        <v/>
      </c>
      <c r="K275" s="35" t="str">
        <f aca="false">IF($B275="","",$J275*$I275)</f>
        <v/>
      </c>
      <c r="L275" s="46" t="str">
        <f aca="false">IF($A275="","",DATE(YEAR($A275),MONTH($A275),1))</f>
        <v/>
      </c>
    </row>
    <row r="276" customFormat="false" ht="15" hidden="false" customHeight="false" outlineLevel="0" collapsed="false">
      <c r="A276" s="44"/>
      <c r="B276" s="6"/>
      <c r="C276" s="8" t="str">
        <f aca="false">IF($B276="","",IFERROR(INDEX(INSUMOS!$B$6:$B$205,MATCH($B276,INSUMOS!$A$6:$A$205,0)),"¿Código?"))</f>
        <v/>
      </c>
      <c r="D276" s="8" t="str">
        <f aca="false">IF($B276="","",IFERROR(INDEX(INSUMOS!$D$6:$D$205,MATCH($B276,INSUMOS!$A$6:$A$205,0)),""))</f>
        <v/>
      </c>
      <c r="E276" s="6"/>
      <c r="F276" s="39"/>
      <c r="G276" s="6"/>
      <c r="H276" s="6"/>
      <c r="I276" s="43" t="str">
        <f aca="false">IF($B276="","",IFERROR(INDEX(INSUMOS!$O$6:$O$205,MATCH($B276,INSUMOS!$A$6:$A$205,0)),0))</f>
        <v/>
      </c>
      <c r="J276" s="45" t="str">
        <f aca="false">IF($B276="","",IF($E276="Ajuste (+) sobrante",1,-1)*N($F276))</f>
        <v/>
      </c>
      <c r="K276" s="35" t="str">
        <f aca="false">IF($B276="","",$J276*$I276)</f>
        <v/>
      </c>
      <c r="L276" s="46" t="str">
        <f aca="false">IF($A276="","",DATE(YEAR($A276),MONTH($A276),1))</f>
        <v/>
      </c>
    </row>
    <row r="277" customFormat="false" ht="15" hidden="false" customHeight="false" outlineLevel="0" collapsed="false">
      <c r="A277" s="44"/>
      <c r="B277" s="6"/>
      <c r="C277" s="8" t="str">
        <f aca="false">IF($B277="","",IFERROR(INDEX(INSUMOS!$B$6:$B$205,MATCH($B277,INSUMOS!$A$6:$A$205,0)),"¿Código?"))</f>
        <v/>
      </c>
      <c r="D277" s="8" t="str">
        <f aca="false">IF($B277="","",IFERROR(INDEX(INSUMOS!$D$6:$D$205,MATCH($B277,INSUMOS!$A$6:$A$205,0)),""))</f>
        <v/>
      </c>
      <c r="E277" s="6"/>
      <c r="F277" s="39"/>
      <c r="G277" s="6"/>
      <c r="H277" s="6"/>
      <c r="I277" s="43" t="str">
        <f aca="false">IF($B277="","",IFERROR(INDEX(INSUMOS!$O$6:$O$205,MATCH($B277,INSUMOS!$A$6:$A$205,0)),0))</f>
        <v/>
      </c>
      <c r="J277" s="45" t="str">
        <f aca="false">IF($B277="","",IF($E277="Ajuste (+) sobrante",1,-1)*N($F277))</f>
        <v/>
      </c>
      <c r="K277" s="35" t="str">
        <f aca="false">IF($B277="","",$J277*$I277)</f>
        <v/>
      </c>
      <c r="L277" s="46" t="str">
        <f aca="false">IF($A277="","",DATE(YEAR($A277),MONTH($A277),1))</f>
        <v/>
      </c>
    </row>
    <row r="278" customFormat="false" ht="15" hidden="false" customHeight="false" outlineLevel="0" collapsed="false">
      <c r="A278" s="44"/>
      <c r="B278" s="6"/>
      <c r="C278" s="8" t="str">
        <f aca="false">IF($B278="","",IFERROR(INDEX(INSUMOS!$B$6:$B$205,MATCH($B278,INSUMOS!$A$6:$A$205,0)),"¿Código?"))</f>
        <v/>
      </c>
      <c r="D278" s="8" t="str">
        <f aca="false">IF($B278="","",IFERROR(INDEX(INSUMOS!$D$6:$D$205,MATCH($B278,INSUMOS!$A$6:$A$205,0)),""))</f>
        <v/>
      </c>
      <c r="E278" s="6"/>
      <c r="F278" s="39"/>
      <c r="G278" s="6"/>
      <c r="H278" s="6"/>
      <c r="I278" s="43" t="str">
        <f aca="false">IF($B278="","",IFERROR(INDEX(INSUMOS!$O$6:$O$205,MATCH($B278,INSUMOS!$A$6:$A$205,0)),0))</f>
        <v/>
      </c>
      <c r="J278" s="45" t="str">
        <f aca="false">IF($B278="","",IF($E278="Ajuste (+) sobrante",1,-1)*N($F278))</f>
        <v/>
      </c>
      <c r="K278" s="35" t="str">
        <f aca="false">IF($B278="","",$J278*$I278)</f>
        <v/>
      </c>
      <c r="L278" s="46" t="str">
        <f aca="false">IF($A278="","",DATE(YEAR($A278),MONTH($A278),1))</f>
        <v/>
      </c>
    </row>
    <row r="279" customFormat="false" ht="15" hidden="false" customHeight="false" outlineLevel="0" collapsed="false">
      <c r="A279" s="44"/>
      <c r="B279" s="6"/>
      <c r="C279" s="8" t="str">
        <f aca="false">IF($B279="","",IFERROR(INDEX(INSUMOS!$B$6:$B$205,MATCH($B279,INSUMOS!$A$6:$A$205,0)),"¿Código?"))</f>
        <v/>
      </c>
      <c r="D279" s="8" t="str">
        <f aca="false">IF($B279="","",IFERROR(INDEX(INSUMOS!$D$6:$D$205,MATCH($B279,INSUMOS!$A$6:$A$205,0)),""))</f>
        <v/>
      </c>
      <c r="E279" s="6"/>
      <c r="F279" s="39"/>
      <c r="G279" s="6"/>
      <c r="H279" s="6"/>
      <c r="I279" s="43" t="str">
        <f aca="false">IF($B279="","",IFERROR(INDEX(INSUMOS!$O$6:$O$205,MATCH($B279,INSUMOS!$A$6:$A$205,0)),0))</f>
        <v/>
      </c>
      <c r="J279" s="45" t="str">
        <f aca="false">IF($B279="","",IF($E279="Ajuste (+) sobrante",1,-1)*N($F279))</f>
        <v/>
      </c>
      <c r="K279" s="35" t="str">
        <f aca="false">IF($B279="","",$J279*$I279)</f>
        <v/>
      </c>
      <c r="L279" s="46" t="str">
        <f aca="false">IF($A279="","",DATE(YEAR($A279),MONTH($A279),1))</f>
        <v/>
      </c>
    </row>
    <row r="280" customFormat="false" ht="15" hidden="false" customHeight="false" outlineLevel="0" collapsed="false">
      <c r="A280" s="44"/>
      <c r="B280" s="6"/>
      <c r="C280" s="8" t="str">
        <f aca="false">IF($B280="","",IFERROR(INDEX(INSUMOS!$B$6:$B$205,MATCH($B280,INSUMOS!$A$6:$A$205,0)),"¿Código?"))</f>
        <v/>
      </c>
      <c r="D280" s="8" t="str">
        <f aca="false">IF($B280="","",IFERROR(INDEX(INSUMOS!$D$6:$D$205,MATCH($B280,INSUMOS!$A$6:$A$205,0)),""))</f>
        <v/>
      </c>
      <c r="E280" s="6"/>
      <c r="F280" s="39"/>
      <c r="G280" s="6"/>
      <c r="H280" s="6"/>
      <c r="I280" s="43" t="str">
        <f aca="false">IF($B280="","",IFERROR(INDEX(INSUMOS!$O$6:$O$205,MATCH($B280,INSUMOS!$A$6:$A$205,0)),0))</f>
        <v/>
      </c>
      <c r="J280" s="45" t="str">
        <f aca="false">IF($B280="","",IF($E280="Ajuste (+) sobrante",1,-1)*N($F280))</f>
        <v/>
      </c>
      <c r="K280" s="35" t="str">
        <f aca="false">IF($B280="","",$J280*$I280)</f>
        <v/>
      </c>
      <c r="L280" s="46" t="str">
        <f aca="false">IF($A280="","",DATE(YEAR($A280),MONTH($A280),1))</f>
        <v/>
      </c>
    </row>
    <row r="281" customFormat="false" ht="15" hidden="false" customHeight="false" outlineLevel="0" collapsed="false">
      <c r="A281" s="44"/>
      <c r="B281" s="6"/>
      <c r="C281" s="8" t="str">
        <f aca="false">IF($B281="","",IFERROR(INDEX(INSUMOS!$B$6:$B$205,MATCH($B281,INSUMOS!$A$6:$A$205,0)),"¿Código?"))</f>
        <v/>
      </c>
      <c r="D281" s="8" t="str">
        <f aca="false">IF($B281="","",IFERROR(INDEX(INSUMOS!$D$6:$D$205,MATCH($B281,INSUMOS!$A$6:$A$205,0)),""))</f>
        <v/>
      </c>
      <c r="E281" s="6"/>
      <c r="F281" s="39"/>
      <c r="G281" s="6"/>
      <c r="H281" s="6"/>
      <c r="I281" s="43" t="str">
        <f aca="false">IF($B281="","",IFERROR(INDEX(INSUMOS!$O$6:$O$205,MATCH($B281,INSUMOS!$A$6:$A$205,0)),0))</f>
        <v/>
      </c>
      <c r="J281" s="45" t="str">
        <f aca="false">IF($B281="","",IF($E281="Ajuste (+) sobrante",1,-1)*N($F281))</f>
        <v/>
      </c>
      <c r="K281" s="35" t="str">
        <f aca="false">IF($B281="","",$J281*$I281)</f>
        <v/>
      </c>
      <c r="L281" s="46" t="str">
        <f aca="false">IF($A281="","",DATE(YEAR($A281),MONTH($A281),1))</f>
        <v/>
      </c>
    </row>
    <row r="282" customFormat="false" ht="15" hidden="false" customHeight="false" outlineLevel="0" collapsed="false">
      <c r="A282" s="44"/>
      <c r="B282" s="6"/>
      <c r="C282" s="8" t="str">
        <f aca="false">IF($B282="","",IFERROR(INDEX(INSUMOS!$B$6:$B$205,MATCH($B282,INSUMOS!$A$6:$A$205,0)),"¿Código?"))</f>
        <v/>
      </c>
      <c r="D282" s="8" t="str">
        <f aca="false">IF($B282="","",IFERROR(INDEX(INSUMOS!$D$6:$D$205,MATCH($B282,INSUMOS!$A$6:$A$205,0)),""))</f>
        <v/>
      </c>
      <c r="E282" s="6"/>
      <c r="F282" s="39"/>
      <c r="G282" s="6"/>
      <c r="H282" s="6"/>
      <c r="I282" s="43" t="str">
        <f aca="false">IF($B282="","",IFERROR(INDEX(INSUMOS!$O$6:$O$205,MATCH($B282,INSUMOS!$A$6:$A$205,0)),0))</f>
        <v/>
      </c>
      <c r="J282" s="45" t="str">
        <f aca="false">IF($B282="","",IF($E282="Ajuste (+) sobrante",1,-1)*N($F282))</f>
        <v/>
      </c>
      <c r="K282" s="35" t="str">
        <f aca="false">IF($B282="","",$J282*$I282)</f>
        <v/>
      </c>
      <c r="L282" s="46" t="str">
        <f aca="false">IF($A282="","",DATE(YEAR($A282),MONTH($A282),1))</f>
        <v/>
      </c>
    </row>
    <row r="283" customFormat="false" ht="15" hidden="false" customHeight="false" outlineLevel="0" collapsed="false">
      <c r="A283" s="44"/>
      <c r="B283" s="6"/>
      <c r="C283" s="8" t="str">
        <f aca="false">IF($B283="","",IFERROR(INDEX(INSUMOS!$B$6:$B$205,MATCH($B283,INSUMOS!$A$6:$A$205,0)),"¿Código?"))</f>
        <v/>
      </c>
      <c r="D283" s="8" t="str">
        <f aca="false">IF($B283="","",IFERROR(INDEX(INSUMOS!$D$6:$D$205,MATCH($B283,INSUMOS!$A$6:$A$205,0)),""))</f>
        <v/>
      </c>
      <c r="E283" s="6"/>
      <c r="F283" s="39"/>
      <c r="G283" s="6"/>
      <c r="H283" s="6"/>
      <c r="I283" s="43" t="str">
        <f aca="false">IF($B283="","",IFERROR(INDEX(INSUMOS!$O$6:$O$205,MATCH($B283,INSUMOS!$A$6:$A$205,0)),0))</f>
        <v/>
      </c>
      <c r="J283" s="45" t="str">
        <f aca="false">IF($B283="","",IF($E283="Ajuste (+) sobrante",1,-1)*N($F283))</f>
        <v/>
      </c>
      <c r="K283" s="35" t="str">
        <f aca="false">IF($B283="","",$J283*$I283)</f>
        <v/>
      </c>
      <c r="L283" s="46" t="str">
        <f aca="false">IF($A283="","",DATE(YEAR($A283),MONTH($A283),1))</f>
        <v/>
      </c>
    </row>
    <row r="284" customFormat="false" ht="15" hidden="false" customHeight="false" outlineLevel="0" collapsed="false">
      <c r="A284" s="44"/>
      <c r="B284" s="6"/>
      <c r="C284" s="8" t="str">
        <f aca="false">IF($B284="","",IFERROR(INDEX(INSUMOS!$B$6:$B$205,MATCH($B284,INSUMOS!$A$6:$A$205,0)),"¿Código?"))</f>
        <v/>
      </c>
      <c r="D284" s="8" t="str">
        <f aca="false">IF($B284="","",IFERROR(INDEX(INSUMOS!$D$6:$D$205,MATCH($B284,INSUMOS!$A$6:$A$205,0)),""))</f>
        <v/>
      </c>
      <c r="E284" s="6"/>
      <c r="F284" s="39"/>
      <c r="G284" s="6"/>
      <c r="H284" s="6"/>
      <c r="I284" s="43" t="str">
        <f aca="false">IF($B284="","",IFERROR(INDEX(INSUMOS!$O$6:$O$205,MATCH($B284,INSUMOS!$A$6:$A$205,0)),0))</f>
        <v/>
      </c>
      <c r="J284" s="45" t="str">
        <f aca="false">IF($B284="","",IF($E284="Ajuste (+) sobrante",1,-1)*N($F284))</f>
        <v/>
      </c>
      <c r="K284" s="35" t="str">
        <f aca="false">IF($B284="","",$J284*$I284)</f>
        <v/>
      </c>
      <c r="L284" s="46" t="str">
        <f aca="false">IF($A284="","",DATE(YEAR($A284),MONTH($A284),1))</f>
        <v/>
      </c>
    </row>
    <row r="285" customFormat="false" ht="15" hidden="false" customHeight="false" outlineLevel="0" collapsed="false">
      <c r="A285" s="44"/>
      <c r="B285" s="6"/>
      <c r="C285" s="8" t="str">
        <f aca="false">IF($B285="","",IFERROR(INDEX(INSUMOS!$B$6:$B$205,MATCH($B285,INSUMOS!$A$6:$A$205,0)),"¿Código?"))</f>
        <v/>
      </c>
      <c r="D285" s="8" t="str">
        <f aca="false">IF($B285="","",IFERROR(INDEX(INSUMOS!$D$6:$D$205,MATCH($B285,INSUMOS!$A$6:$A$205,0)),""))</f>
        <v/>
      </c>
      <c r="E285" s="6"/>
      <c r="F285" s="39"/>
      <c r="G285" s="6"/>
      <c r="H285" s="6"/>
      <c r="I285" s="43" t="str">
        <f aca="false">IF($B285="","",IFERROR(INDEX(INSUMOS!$O$6:$O$205,MATCH($B285,INSUMOS!$A$6:$A$205,0)),0))</f>
        <v/>
      </c>
      <c r="J285" s="45" t="str">
        <f aca="false">IF($B285="","",IF($E285="Ajuste (+) sobrante",1,-1)*N($F285))</f>
        <v/>
      </c>
      <c r="K285" s="35" t="str">
        <f aca="false">IF($B285="","",$J285*$I285)</f>
        <v/>
      </c>
      <c r="L285" s="46" t="str">
        <f aca="false">IF($A285="","",DATE(YEAR($A285),MONTH($A285),1))</f>
        <v/>
      </c>
    </row>
    <row r="286" customFormat="false" ht="15" hidden="false" customHeight="false" outlineLevel="0" collapsed="false">
      <c r="A286" s="44"/>
      <c r="B286" s="6"/>
      <c r="C286" s="8" t="str">
        <f aca="false">IF($B286="","",IFERROR(INDEX(INSUMOS!$B$6:$B$205,MATCH($B286,INSUMOS!$A$6:$A$205,0)),"¿Código?"))</f>
        <v/>
      </c>
      <c r="D286" s="8" t="str">
        <f aca="false">IF($B286="","",IFERROR(INDEX(INSUMOS!$D$6:$D$205,MATCH($B286,INSUMOS!$A$6:$A$205,0)),""))</f>
        <v/>
      </c>
      <c r="E286" s="6"/>
      <c r="F286" s="39"/>
      <c r="G286" s="6"/>
      <c r="H286" s="6"/>
      <c r="I286" s="43" t="str">
        <f aca="false">IF($B286="","",IFERROR(INDEX(INSUMOS!$O$6:$O$205,MATCH($B286,INSUMOS!$A$6:$A$205,0)),0))</f>
        <v/>
      </c>
      <c r="J286" s="45" t="str">
        <f aca="false">IF($B286="","",IF($E286="Ajuste (+) sobrante",1,-1)*N($F286))</f>
        <v/>
      </c>
      <c r="K286" s="35" t="str">
        <f aca="false">IF($B286="","",$J286*$I286)</f>
        <v/>
      </c>
      <c r="L286" s="46" t="str">
        <f aca="false">IF($A286="","",DATE(YEAR($A286),MONTH($A286),1))</f>
        <v/>
      </c>
    </row>
    <row r="287" customFormat="false" ht="15" hidden="false" customHeight="false" outlineLevel="0" collapsed="false">
      <c r="A287" s="44"/>
      <c r="B287" s="6"/>
      <c r="C287" s="8" t="str">
        <f aca="false">IF($B287="","",IFERROR(INDEX(INSUMOS!$B$6:$B$205,MATCH($B287,INSUMOS!$A$6:$A$205,0)),"¿Código?"))</f>
        <v/>
      </c>
      <c r="D287" s="8" t="str">
        <f aca="false">IF($B287="","",IFERROR(INDEX(INSUMOS!$D$6:$D$205,MATCH($B287,INSUMOS!$A$6:$A$205,0)),""))</f>
        <v/>
      </c>
      <c r="E287" s="6"/>
      <c r="F287" s="39"/>
      <c r="G287" s="6"/>
      <c r="H287" s="6"/>
      <c r="I287" s="43" t="str">
        <f aca="false">IF($B287="","",IFERROR(INDEX(INSUMOS!$O$6:$O$205,MATCH($B287,INSUMOS!$A$6:$A$205,0)),0))</f>
        <v/>
      </c>
      <c r="J287" s="45" t="str">
        <f aca="false">IF($B287="","",IF($E287="Ajuste (+) sobrante",1,-1)*N($F287))</f>
        <v/>
      </c>
      <c r="K287" s="35" t="str">
        <f aca="false">IF($B287="","",$J287*$I287)</f>
        <v/>
      </c>
      <c r="L287" s="46" t="str">
        <f aca="false">IF($A287="","",DATE(YEAR($A287),MONTH($A287),1))</f>
        <v/>
      </c>
    </row>
    <row r="288" customFormat="false" ht="15" hidden="false" customHeight="false" outlineLevel="0" collapsed="false">
      <c r="A288" s="44"/>
      <c r="B288" s="6"/>
      <c r="C288" s="8" t="str">
        <f aca="false">IF($B288="","",IFERROR(INDEX(INSUMOS!$B$6:$B$205,MATCH($B288,INSUMOS!$A$6:$A$205,0)),"¿Código?"))</f>
        <v/>
      </c>
      <c r="D288" s="8" t="str">
        <f aca="false">IF($B288="","",IFERROR(INDEX(INSUMOS!$D$6:$D$205,MATCH($B288,INSUMOS!$A$6:$A$205,0)),""))</f>
        <v/>
      </c>
      <c r="E288" s="6"/>
      <c r="F288" s="39"/>
      <c r="G288" s="6"/>
      <c r="H288" s="6"/>
      <c r="I288" s="43" t="str">
        <f aca="false">IF($B288="","",IFERROR(INDEX(INSUMOS!$O$6:$O$205,MATCH($B288,INSUMOS!$A$6:$A$205,0)),0))</f>
        <v/>
      </c>
      <c r="J288" s="45" t="str">
        <f aca="false">IF($B288="","",IF($E288="Ajuste (+) sobrante",1,-1)*N($F288))</f>
        <v/>
      </c>
      <c r="K288" s="35" t="str">
        <f aca="false">IF($B288="","",$J288*$I288)</f>
        <v/>
      </c>
      <c r="L288" s="46" t="str">
        <f aca="false">IF($A288="","",DATE(YEAR($A288),MONTH($A288),1))</f>
        <v/>
      </c>
    </row>
    <row r="289" customFormat="false" ht="15" hidden="false" customHeight="false" outlineLevel="0" collapsed="false">
      <c r="A289" s="44"/>
      <c r="B289" s="6"/>
      <c r="C289" s="8" t="str">
        <f aca="false">IF($B289="","",IFERROR(INDEX(INSUMOS!$B$6:$B$205,MATCH($B289,INSUMOS!$A$6:$A$205,0)),"¿Código?"))</f>
        <v/>
      </c>
      <c r="D289" s="8" t="str">
        <f aca="false">IF($B289="","",IFERROR(INDEX(INSUMOS!$D$6:$D$205,MATCH($B289,INSUMOS!$A$6:$A$205,0)),""))</f>
        <v/>
      </c>
      <c r="E289" s="6"/>
      <c r="F289" s="39"/>
      <c r="G289" s="6"/>
      <c r="H289" s="6"/>
      <c r="I289" s="43" t="str">
        <f aca="false">IF($B289="","",IFERROR(INDEX(INSUMOS!$O$6:$O$205,MATCH($B289,INSUMOS!$A$6:$A$205,0)),0))</f>
        <v/>
      </c>
      <c r="J289" s="45" t="str">
        <f aca="false">IF($B289="","",IF($E289="Ajuste (+) sobrante",1,-1)*N($F289))</f>
        <v/>
      </c>
      <c r="K289" s="35" t="str">
        <f aca="false">IF($B289="","",$J289*$I289)</f>
        <v/>
      </c>
      <c r="L289" s="46" t="str">
        <f aca="false">IF($A289="","",DATE(YEAR($A289),MONTH($A289),1))</f>
        <v/>
      </c>
    </row>
    <row r="290" customFormat="false" ht="15" hidden="false" customHeight="false" outlineLevel="0" collapsed="false">
      <c r="A290" s="44"/>
      <c r="B290" s="6"/>
      <c r="C290" s="8" t="str">
        <f aca="false">IF($B290="","",IFERROR(INDEX(INSUMOS!$B$6:$B$205,MATCH($B290,INSUMOS!$A$6:$A$205,0)),"¿Código?"))</f>
        <v/>
      </c>
      <c r="D290" s="8" t="str">
        <f aca="false">IF($B290="","",IFERROR(INDEX(INSUMOS!$D$6:$D$205,MATCH($B290,INSUMOS!$A$6:$A$205,0)),""))</f>
        <v/>
      </c>
      <c r="E290" s="6"/>
      <c r="F290" s="39"/>
      <c r="G290" s="6"/>
      <c r="H290" s="6"/>
      <c r="I290" s="43" t="str">
        <f aca="false">IF($B290="","",IFERROR(INDEX(INSUMOS!$O$6:$O$205,MATCH($B290,INSUMOS!$A$6:$A$205,0)),0))</f>
        <v/>
      </c>
      <c r="J290" s="45" t="str">
        <f aca="false">IF($B290="","",IF($E290="Ajuste (+) sobrante",1,-1)*N($F290))</f>
        <v/>
      </c>
      <c r="K290" s="35" t="str">
        <f aca="false">IF($B290="","",$J290*$I290)</f>
        <v/>
      </c>
      <c r="L290" s="46" t="str">
        <f aca="false">IF($A290="","",DATE(YEAR($A290),MONTH($A290),1))</f>
        <v/>
      </c>
    </row>
    <row r="291" customFormat="false" ht="15" hidden="false" customHeight="false" outlineLevel="0" collapsed="false">
      <c r="A291" s="44"/>
      <c r="B291" s="6"/>
      <c r="C291" s="8" t="str">
        <f aca="false">IF($B291="","",IFERROR(INDEX(INSUMOS!$B$6:$B$205,MATCH($B291,INSUMOS!$A$6:$A$205,0)),"¿Código?"))</f>
        <v/>
      </c>
      <c r="D291" s="8" t="str">
        <f aca="false">IF($B291="","",IFERROR(INDEX(INSUMOS!$D$6:$D$205,MATCH($B291,INSUMOS!$A$6:$A$205,0)),""))</f>
        <v/>
      </c>
      <c r="E291" s="6"/>
      <c r="F291" s="39"/>
      <c r="G291" s="6"/>
      <c r="H291" s="6"/>
      <c r="I291" s="43" t="str">
        <f aca="false">IF($B291="","",IFERROR(INDEX(INSUMOS!$O$6:$O$205,MATCH($B291,INSUMOS!$A$6:$A$205,0)),0))</f>
        <v/>
      </c>
      <c r="J291" s="45" t="str">
        <f aca="false">IF($B291="","",IF($E291="Ajuste (+) sobrante",1,-1)*N($F291))</f>
        <v/>
      </c>
      <c r="K291" s="35" t="str">
        <f aca="false">IF($B291="","",$J291*$I291)</f>
        <v/>
      </c>
      <c r="L291" s="46" t="str">
        <f aca="false">IF($A291="","",DATE(YEAR($A291),MONTH($A291),1))</f>
        <v/>
      </c>
    </row>
    <row r="292" customFormat="false" ht="15" hidden="false" customHeight="false" outlineLevel="0" collapsed="false">
      <c r="A292" s="44"/>
      <c r="B292" s="6"/>
      <c r="C292" s="8" t="str">
        <f aca="false">IF($B292="","",IFERROR(INDEX(INSUMOS!$B$6:$B$205,MATCH($B292,INSUMOS!$A$6:$A$205,0)),"¿Código?"))</f>
        <v/>
      </c>
      <c r="D292" s="8" t="str">
        <f aca="false">IF($B292="","",IFERROR(INDEX(INSUMOS!$D$6:$D$205,MATCH($B292,INSUMOS!$A$6:$A$205,0)),""))</f>
        <v/>
      </c>
      <c r="E292" s="6"/>
      <c r="F292" s="39"/>
      <c r="G292" s="6"/>
      <c r="H292" s="6"/>
      <c r="I292" s="43" t="str">
        <f aca="false">IF($B292="","",IFERROR(INDEX(INSUMOS!$O$6:$O$205,MATCH($B292,INSUMOS!$A$6:$A$205,0)),0))</f>
        <v/>
      </c>
      <c r="J292" s="45" t="str">
        <f aca="false">IF($B292="","",IF($E292="Ajuste (+) sobrante",1,-1)*N($F292))</f>
        <v/>
      </c>
      <c r="K292" s="35" t="str">
        <f aca="false">IF($B292="","",$J292*$I292)</f>
        <v/>
      </c>
      <c r="L292" s="46" t="str">
        <f aca="false">IF($A292="","",DATE(YEAR($A292),MONTH($A292),1))</f>
        <v/>
      </c>
    </row>
    <row r="293" customFormat="false" ht="15" hidden="false" customHeight="false" outlineLevel="0" collapsed="false">
      <c r="A293" s="44"/>
      <c r="B293" s="6"/>
      <c r="C293" s="8" t="str">
        <f aca="false">IF($B293="","",IFERROR(INDEX(INSUMOS!$B$6:$B$205,MATCH($B293,INSUMOS!$A$6:$A$205,0)),"¿Código?"))</f>
        <v/>
      </c>
      <c r="D293" s="8" t="str">
        <f aca="false">IF($B293="","",IFERROR(INDEX(INSUMOS!$D$6:$D$205,MATCH($B293,INSUMOS!$A$6:$A$205,0)),""))</f>
        <v/>
      </c>
      <c r="E293" s="6"/>
      <c r="F293" s="39"/>
      <c r="G293" s="6"/>
      <c r="H293" s="6"/>
      <c r="I293" s="43" t="str">
        <f aca="false">IF($B293="","",IFERROR(INDEX(INSUMOS!$O$6:$O$205,MATCH($B293,INSUMOS!$A$6:$A$205,0)),0))</f>
        <v/>
      </c>
      <c r="J293" s="45" t="str">
        <f aca="false">IF($B293="","",IF($E293="Ajuste (+) sobrante",1,-1)*N($F293))</f>
        <v/>
      </c>
      <c r="K293" s="35" t="str">
        <f aca="false">IF($B293="","",$J293*$I293)</f>
        <v/>
      </c>
      <c r="L293" s="46" t="str">
        <f aca="false">IF($A293="","",DATE(YEAR($A293),MONTH($A293),1))</f>
        <v/>
      </c>
    </row>
    <row r="294" customFormat="false" ht="15" hidden="false" customHeight="false" outlineLevel="0" collapsed="false">
      <c r="A294" s="44"/>
      <c r="B294" s="6"/>
      <c r="C294" s="8" t="str">
        <f aca="false">IF($B294="","",IFERROR(INDEX(INSUMOS!$B$6:$B$205,MATCH($B294,INSUMOS!$A$6:$A$205,0)),"¿Código?"))</f>
        <v/>
      </c>
      <c r="D294" s="8" t="str">
        <f aca="false">IF($B294="","",IFERROR(INDEX(INSUMOS!$D$6:$D$205,MATCH($B294,INSUMOS!$A$6:$A$205,0)),""))</f>
        <v/>
      </c>
      <c r="E294" s="6"/>
      <c r="F294" s="39"/>
      <c r="G294" s="6"/>
      <c r="H294" s="6"/>
      <c r="I294" s="43" t="str">
        <f aca="false">IF($B294="","",IFERROR(INDEX(INSUMOS!$O$6:$O$205,MATCH($B294,INSUMOS!$A$6:$A$205,0)),0))</f>
        <v/>
      </c>
      <c r="J294" s="45" t="str">
        <f aca="false">IF($B294="","",IF($E294="Ajuste (+) sobrante",1,-1)*N($F294))</f>
        <v/>
      </c>
      <c r="K294" s="35" t="str">
        <f aca="false">IF($B294="","",$J294*$I294)</f>
        <v/>
      </c>
      <c r="L294" s="46" t="str">
        <f aca="false">IF($A294="","",DATE(YEAR($A294),MONTH($A294),1))</f>
        <v/>
      </c>
    </row>
    <row r="295" customFormat="false" ht="15" hidden="false" customHeight="false" outlineLevel="0" collapsed="false">
      <c r="A295" s="44"/>
      <c r="B295" s="6"/>
      <c r="C295" s="8" t="str">
        <f aca="false">IF($B295="","",IFERROR(INDEX(INSUMOS!$B$6:$B$205,MATCH($B295,INSUMOS!$A$6:$A$205,0)),"¿Código?"))</f>
        <v/>
      </c>
      <c r="D295" s="8" t="str">
        <f aca="false">IF($B295="","",IFERROR(INDEX(INSUMOS!$D$6:$D$205,MATCH($B295,INSUMOS!$A$6:$A$205,0)),""))</f>
        <v/>
      </c>
      <c r="E295" s="6"/>
      <c r="F295" s="39"/>
      <c r="G295" s="6"/>
      <c r="H295" s="6"/>
      <c r="I295" s="43" t="str">
        <f aca="false">IF($B295="","",IFERROR(INDEX(INSUMOS!$O$6:$O$205,MATCH($B295,INSUMOS!$A$6:$A$205,0)),0))</f>
        <v/>
      </c>
      <c r="J295" s="45" t="str">
        <f aca="false">IF($B295="","",IF($E295="Ajuste (+) sobrante",1,-1)*N($F295))</f>
        <v/>
      </c>
      <c r="K295" s="35" t="str">
        <f aca="false">IF($B295="","",$J295*$I295)</f>
        <v/>
      </c>
      <c r="L295" s="46" t="str">
        <f aca="false">IF($A295="","",DATE(YEAR($A295),MONTH($A295),1))</f>
        <v/>
      </c>
    </row>
    <row r="296" customFormat="false" ht="15" hidden="false" customHeight="false" outlineLevel="0" collapsed="false">
      <c r="A296" s="44"/>
      <c r="B296" s="6"/>
      <c r="C296" s="8" t="str">
        <f aca="false">IF($B296="","",IFERROR(INDEX(INSUMOS!$B$6:$B$205,MATCH($B296,INSUMOS!$A$6:$A$205,0)),"¿Código?"))</f>
        <v/>
      </c>
      <c r="D296" s="8" t="str">
        <f aca="false">IF($B296="","",IFERROR(INDEX(INSUMOS!$D$6:$D$205,MATCH($B296,INSUMOS!$A$6:$A$205,0)),""))</f>
        <v/>
      </c>
      <c r="E296" s="6"/>
      <c r="F296" s="39"/>
      <c r="G296" s="6"/>
      <c r="H296" s="6"/>
      <c r="I296" s="43" t="str">
        <f aca="false">IF($B296="","",IFERROR(INDEX(INSUMOS!$O$6:$O$205,MATCH($B296,INSUMOS!$A$6:$A$205,0)),0))</f>
        <v/>
      </c>
      <c r="J296" s="45" t="str">
        <f aca="false">IF($B296="","",IF($E296="Ajuste (+) sobrante",1,-1)*N($F296))</f>
        <v/>
      </c>
      <c r="K296" s="35" t="str">
        <f aca="false">IF($B296="","",$J296*$I296)</f>
        <v/>
      </c>
      <c r="L296" s="46" t="str">
        <f aca="false">IF($A296="","",DATE(YEAR($A296),MONTH($A296),1))</f>
        <v/>
      </c>
    </row>
    <row r="297" customFormat="false" ht="15" hidden="false" customHeight="false" outlineLevel="0" collapsed="false">
      <c r="A297" s="44"/>
      <c r="B297" s="6"/>
      <c r="C297" s="8" t="str">
        <f aca="false">IF($B297="","",IFERROR(INDEX(INSUMOS!$B$6:$B$205,MATCH($B297,INSUMOS!$A$6:$A$205,0)),"¿Código?"))</f>
        <v/>
      </c>
      <c r="D297" s="8" t="str">
        <f aca="false">IF($B297="","",IFERROR(INDEX(INSUMOS!$D$6:$D$205,MATCH($B297,INSUMOS!$A$6:$A$205,0)),""))</f>
        <v/>
      </c>
      <c r="E297" s="6"/>
      <c r="F297" s="39"/>
      <c r="G297" s="6"/>
      <c r="H297" s="6"/>
      <c r="I297" s="43" t="str">
        <f aca="false">IF($B297="","",IFERROR(INDEX(INSUMOS!$O$6:$O$205,MATCH($B297,INSUMOS!$A$6:$A$205,0)),0))</f>
        <v/>
      </c>
      <c r="J297" s="45" t="str">
        <f aca="false">IF($B297="","",IF($E297="Ajuste (+) sobrante",1,-1)*N($F297))</f>
        <v/>
      </c>
      <c r="K297" s="35" t="str">
        <f aca="false">IF($B297="","",$J297*$I297)</f>
        <v/>
      </c>
      <c r="L297" s="46" t="str">
        <f aca="false">IF($A297="","",DATE(YEAR($A297),MONTH($A297),1))</f>
        <v/>
      </c>
    </row>
    <row r="298" customFormat="false" ht="15" hidden="false" customHeight="false" outlineLevel="0" collapsed="false">
      <c r="A298" s="44"/>
      <c r="B298" s="6"/>
      <c r="C298" s="8" t="str">
        <f aca="false">IF($B298="","",IFERROR(INDEX(INSUMOS!$B$6:$B$205,MATCH($B298,INSUMOS!$A$6:$A$205,0)),"¿Código?"))</f>
        <v/>
      </c>
      <c r="D298" s="8" t="str">
        <f aca="false">IF($B298="","",IFERROR(INDEX(INSUMOS!$D$6:$D$205,MATCH($B298,INSUMOS!$A$6:$A$205,0)),""))</f>
        <v/>
      </c>
      <c r="E298" s="6"/>
      <c r="F298" s="39"/>
      <c r="G298" s="6"/>
      <c r="H298" s="6"/>
      <c r="I298" s="43" t="str">
        <f aca="false">IF($B298="","",IFERROR(INDEX(INSUMOS!$O$6:$O$205,MATCH($B298,INSUMOS!$A$6:$A$205,0)),0))</f>
        <v/>
      </c>
      <c r="J298" s="45" t="str">
        <f aca="false">IF($B298="","",IF($E298="Ajuste (+) sobrante",1,-1)*N($F298))</f>
        <v/>
      </c>
      <c r="K298" s="35" t="str">
        <f aca="false">IF($B298="","",$J298*$I298)</f>
        <v/>
      </c>
      <c r="L298" s="46" t="str">
        <f aca="false">IF($A298="","",DATE(YEAR($A298),MONTH($A298),1))</f>
        <v/>
      </c>
    </row>
    <row r="299" customFormat="false" ht="15" hidden="false" customHeight="false" outlineLevel="0" collapsed="false">
      <c r="A299" s="44"/>
      <c r="B299" s="6"/>
      <c r="C299" s="8" t="str">
        <f aca="false">IF($B299="","",IFERROR(INDEX(INSUMOS!$B$6:$B$205,MATCH($B299,INSUMOS!$A$6:$A$205,0)),"¿Código?"))</f>
        <v/>
      </c>
      <c r="D299" s="8" t="str">
        <f aca="false">IF($B299="","",IFERROR(INDEX(INSUMOS!$D$6:$D$205,MATCH($B299,INSUMOS!$A$6:$A$205,0)),""))</f>
        <v/>
      </c>
      <c r="E299" s="6"/>
      <c r="F299" s="39"/>
      <c r="G299" s="6"/>
      <c r="H299" s="6"/>
      <c r="I299" s="43" t="str">
        <f aca="false">IF($B299="","",IFERROR(INDEX(INSUMOS!$O$6:$O$205,MATCH($B299,INSUMOS!$A$6:$A$205,0)),0))</f>
        <v/>
      </c>
      <c r="J299" s="45" t="str">
        <f aca="false">IF($B299="","",IF($E299="Ajuste (+) sobrante",1,-1)*N($F299))</f>
        <v/>
      </c>
      <c r="K299" s="35" t="str">
        <f aca="false">IF($B299="","",$J299*$I299)</f>
        <v/>
      </c>
      <c r="L299" s="46" t="str">
        <f aca="false">IF($A299="","",DATE(YEAR($A299),MONTH($A299),1))</f>
        <v/>
      </c>
    </row>
    <row r="300" customFormat="false" ht="15" hidden="false" customHeight="false" outlineLevel="0" collapsed="false">
      <c r="A300" s="44"/>
      <c r="B300" s="6"/>
      <c r="C300" s="8" t="str">
        <f aca="false">IF($B300="","",IFERROR(INDEX(INSUMOS!$B$6:$B$205,MATCH($B300,INSUMOS!$A$6:$A$205,0)),"¿Código?"))</f>
        <v/>
      </c>
      <c r="D300" s="8" t="str">
        <f aca="false">IF($B300="","",IFERROR(INDEX(INSUMOS!$D$6:$D$205,MATCH($B300,INSUMOS!$A$6:$A$205,0)),""))</f>
        <v/>
      </c>
      <c r="E300" s="6"/>
      <c r="F300" s="39"/>
      <c r="G300" s="6"/>
      <c r="H300" s="6"/>
      <c r="I300" s="43" t="str">
        <f aca="false">IF($B300="","",IFERROR(INDEX(INSUMOS!$O$6:$O$205,MATCH($B300,INSUMOS!$A$6:$A$205,0)),0))</f>
        <v/>
      </c>
      <c r="J300" s="45" t="str">
        <f aca="false">IF($B300="","",IF($E300="Ajuste (+) sobrante",1,-1)*N($F300))</f>
        <v/>
      </c>
      <c r="K300" s="35" t="str">
        <f aca="false">IF($B300="","",$J300*$I300)</f>
        <v/>
      </c>
      <c r="L300" s="46" t="str">
        <f aca="false">IF($A300="","",DATE(YEAR($A300),MONTH($A300),1))</f>
        <v/>
      </c>
    </row>
    <row r="301" customFormat="false" ht="15" hidden="false" customHeight="false" outlineLevel="0" collapsed="false">
      <c r="A301" s="44"/>
      <c r="B301" s="6"/>
      <c r="C301" s="8" t="str">
        <f aca="false">IF($B301="","",IFERROR(INDEX(INSUMOS!$B$6:$B$205,MATCH($B301,INSUMOS!$A$6:$A$205,0)),"¿Código?"))</f>
        <v/>
      </c>
      <c r="D301" s="8" t="str">
        <f aca="false">IF($B301="","",IFERROR(INDEX(INSUMOS!$D$6:$D$205,MATCH($B301,INSUMOS!$A$6:$A$205,0)),""))</f>
        <v/>
      </c>
      <c r="E301" s="6"/>
      <c r="F301" s="39"/>
      <c r="G301" s="6"/>
      <c r="H301" s="6"/>
      <c r="I301" s="43" t="str">
        <f aca="false">IF($B301="","",IFERROR(INDEX(INSUMOS!$O$6:$O$205,MATCH($B301,INSUMOS!$A$6:$A$205,0)),0))</f>
        <v/>
      </c>
      <c r="J301" s="45" t="str">
        <f aca="false">IF($B301="","",IF($E301="Ajuste (+) sobrante",1,-1)*N($F301))</f>
        <v/>
      </c>
      <c r="K301" s="35" t="str">
        <f aca="false">IF($B301="","",$J301*$I301)</f>
        <v/>
      </c>
      <c r="L301" s="46" t="str">
        <f aca="false">IF($A301="","",DATE(YEAR($A301),MONTH($A301),1))</f>
        <v/>
      </c>
    </row>
    <row r="302" customFormat="false" ht="15" hidden="false" customHeight="false" outlineLevel="0" collapsed="false">
      <c r="A302" s="44"/>
      <c r="B302" s="6"/>
      <c r="C302" s="8" t="str">
        <f aca="false">IF($B302="","",IFERROR(INDEX(INSUMOS!$B$6:$B$205,MATCH($B302,INSUMOS!$A$6:$A$205,0)),"¿Código?"))</f>
        <v/>
      </c>
      <c r="D302" s="8" t="str">
        <f aca="false">IF($B302="","",IFERROR(INDEX(INSUMOS!$D$6:$D$205,MATCH($B302,INSUMOS!$A$6:$A$205,0)),""))</f>
        <v/>
      </c>
      <c r="E302" s="6"/>
      <c r="F302" s="39"/>
      <c r="G302" s="6"/>
      <c r="H302" s="6"/>
      <c r="I302" s="43" t="str">
        <f aca="false">IF($B302="","",IFERROR(INDEX(INSUMOS!$O$6:$O$205,MATCH($B302,INSUMOS!$A$6:$A$205,0)),0))</f>
        <v/>
      </c>
      <c r="J302" s="45" t="str">
        <f aca="false">IF($B302="","",IF($E302="Ajuste (+) sobrante",1,-1)*N($F302))</f>
        <v/>
      </c>
      <c r="K302" s="35" t="str">
        <f aca="false">IF($B302="","",$J302*$I302)</f>
        <v/>
      </c>
      <c r="L302" s="46" t="str">
        <f aca="false">IF($A302="","",DATE(YEAR($A302),MONTH($A302),1))</f>
        <v/>
      </c>
    </row>
    <row r="303" customFormat="false" ht="15" hidden="false" customHeight="false" outlineLevel="0" collapsed="false">
      <c r="A303" s="44"/>
      <c r="B303" s="6"/>
      <c r="C303" s="8" t="str">
        <f aca="false">IF($B303="","",IFERROR(INDEX(INSUMOS!$B$6:$B$205,MATCH($B303,INSUMOS!$A$6:$A$205,0)),"¿Código?"))</f>
        <v/>
      </c>
      <c r="D303" s="8" t="str">
        <f aca="false">IF($B303="","",IFERROR(INDEX(INSUMOS!$D$6:$D$205,MATCH($B303,INSUMOS!$A$6:$A$205,0)),""))</f>
        <v/>
      </c>
      <c r="E303" s="6"/>
      <c r="F303" s="39"/>
      <c r="G303" s="6"/>
      <c r="H303" s="6"/>
      <c r="I303" s="43" t="str">
        <f aca="false">IF($B303="","",IFERROR(INDEX(INSUMOS!$O$6:$O$205,MATCH($B303,INSUMOS!$A$6:$A$205,0)),0))</f>
        <v/>
      </c>
      <c r="J303" s="45" t="str">
        <f aca="false">IF($B303="","",IF($E303="Ajuste (+) sobrante",1,-1)*N($F303))</f>
        <v/>
      </c>
      <c r="K303" s="35" t="str">
        <f aca="false">IF($B303="","",$J303*$I303)</f>
        <v/>
      </c>
      <c r="L303" s="46" t="str">
        <f aca="false">IF($A303="","",DATE(YEAR($A303),MONTH($A303),1))</f>
        <v/>
      </c>
    </row>
    <row r="304" customFormat="false" ht="15" hidden="false" customHeight="false" outlineLevel="0" collapsed="false">
      <c r="A304" s="44"/>
      <c r="B304" s="6"/>
      <c r="C304" s="8" t="str">
        <f aca="false">IF($B304="","",IFERROR(INDEX(INSUMOS!$B$6:$B$205,MATCH($B304,INSUMOS!$A$6:$A$205,0)),"¿Código?"))</f>
        <v/>
      </c>
      <c r="D304" s="8" t="str">
        <f aca="false">IF($B304="","",IFERROR(INDEX(INSUMOS!$D$6:$D$205,MATCH($B304,INSUMOS!$A$6:$A$205,0)),""))</f>
        <v/>
      </c>
      <c r="E304" s="6"/>
      <c r="F304" s="39"/>
      <c r="G304" s="6"/>
      <c r="H304" s="6"/>
      <c r="I304" s="43" t="str">
        <f aca="false">IF($B304="","",IFERROR(INDEX(INSUMOS!$O$6:$O$205,MATCH($B304,INSUMOS!$A$6:$A$205,0)),0))</f>
        <v/>
      </c>
      <c r="J304" s="45" t="str">
        <f aca="false">IF($B304="","",IF($E304="Ajuste (+) sobrante",1,-1)*N($F304))</f>
        <v/>
      </c>
      <c r="K304" s="35" t="str">
        <f aca="false">IF($B304="","",$J304*$I304)</f>
        <v/>
      </c>
      <c r="L304" s="46" t="str">
        <f aca="false">IF($A304="","",DATE(YEAR($A304),MONTH($A304),1))</f>
        <v/>
      </c>
    </row>
    <row r="305" customFormat="false" ht="15" hidden="false" customHeight="false" outlineLevel="0" collapsed="false">
      <c r="A305" s="44"/>
      <c r="B305" s="6"/>
      <c r="C305" s="8" t="str">
        <f aca="false">IF($B305="","",IFERROR(INDEX(INSUMOS!$B$6:$B$205,MATCH($B305,INSUMOS!$A$6:$A$205,0)),"¿Código?"))</f>
        <v/>
      </c>
      <c r="D305" s="8" t="str">
        <f aca="false">IF($B305="","",IFERROR(INDEX(INSUMOS!$D$6:$D$205,MATCH($B305,INSUMOS!$A$6:$A$205,0)),""))</f>
        <v/>
      </c>
      <c r="E305" s="6"/>
      <c r="F305" s="39"/>
      <c r="G305" s="6"/>
      <c r="H305" s="6"/>
      <c r="I305" s="43" t="str">
        <f aca="false">IF($B305="","",IFERROR(INDEX(INSUMOS!$O$6:$O$205,MATCH($B305,INSUMOS!$A$6:$A$205,0)),0))</f>
        <v/>
      </c>
      <c r="J305" s="45" t="str">
        <f aca="false">IF($B305="","",IF($E305="Ajuste (+) sobrante",1,-1)*N($F305))</f>
        <v/>
      </c>
      <c r="K305" s="35" t="str">
        <f aca="false">IF($B305="","",$J305*$I305)</f>
        <v/>
      </c>
      <c r="L305" s="46" t="str">
        <f aca="false">IF($A305="","",DATE(YEAR($A305),MONTH($A305),1))</f>
        <v/>
      </c>
    </row>
    <row r="306" customFormat="false" ht="15" hidden="false" customHeight="false" outlineLevel="0" collapsed="false">
      <c r="A306" s="44"/>
      <c r="B306" s="6"/>
      <c r="C306" s="8" t="str">
        <f aca="false">IF($B306="","",IFERROR(INDEX(INSUMOS!$B$6:$B$205,MATCH($B306,INSUMOS!$A$6:$A$205,0)),"¿Código?"))</f>
        <v/>
      </c>
      <c r="D306" s="8" t="str">
        <f aca="false">IF($B306="","",IFERROR(INDEX(INSUMOS!$D$6:$D$205,MATCH($B306,INSUMOS!$A$6:$A$205,0)),""))</f>
        <v/>
      </c>
      <c r="E306" s="6"/>
      <c r="F306" s="39"/>
      <c r="G306" s="6"/>
      <c r="H306" s="6"/>
      <c r="I306" s="43" t="str">
        <f aca="false">IF($B306="","",IFERROR(INDEX(INSUMOS!$O$6:$O$205,MATCH($B306,INSUMOS!$A$6:$A$205,0)),0))</f>
        <v/>
      </c>
      <c r="J306" s="45" t="str">
        <f aca="false">IF($B306="","",IF($E306="Ajuste (+) sobrante",1,-1)*N($F306))</f>
        <v/>
      </c>
      <c r="K306" s="35" t="str">
        <f aca="false">IF($B306="","",$J306*$I306)</f>
        <v/>
      </c>
      <c r="L306" s="46" t="str">
        <f aca="false">IF($A306="","",DATE(YEAR($A306),MONTH($A306),1))</f>
        <v/>
      </c>
    </row>
    <row r="307" customFormat="false" ht="15" hidden="false" customHeight="false" outlineLevel="0" collapsed="false">
      <c r="A307" s="44"/>
      <c r="B307" s="6"/>
      <c r="C307" s="8" t="str">
        <f aca="false">IF($B307="","",IFERROR(INDEX(INSUMOS!$B$6:$B$205,MATCH($B307,INSUMOS!$A$6:$A$205,0)),"¿Código?"))</f>
        <v/>
      </c>
      <c r="D307" s="8" t="str">
        <f aca="false">IF($B307="","",IFERROR(INDEX(INSUMOS!$D$6:$D$205,MATCH($B307,INSUMOS!$A$6:$A$205,0)),""))</f>
        <v/>
      </c>
      <c r="E307" s="6"/>
      <c r="F307" s="39"/>
      <c r="G307" s="6"/>
      <c r="H307" s="6"/>
      <c r="I307" s="43" t="str">
        <f aca="false">IF($B307="","",IFERROR(INDEX(INSUMOS!$O$6:$O$205,MATCH($B307,INSUMOS!$A$6:$A$205,0)),0))</f>
        <v/>
      </c>
      <c r="J307" s="45" t="str">
        <f aca="false">IF($B307="","",IF($E307="Ajuste (+) sobrante",1,-1)*N($F307))</f>
        <v/>
      </c>
      <c r="K307" s="35" t="str">
        <f aca="false">IF($B307="","",$J307*$I307)</f>
        <v/>
      </c>
      <c r="L307" s="46" t="str">
        <f aca="false">IF($A307="","",DATE(YEAR($A307),MONTH($A307),1))</f>
        <v/>
      </c>
    </row>
    <row r="308" customFormat="false" ht="15" hidden="false" customHeight="false" outlineLevel="0" collapsed="false">
      <c r="A308" s="44"/>
      <c r="B308" s="6"/>
      <c r="C308" s="8" t="str">
        <f aca="false">IF($B308="","",IFERROR(INDEX(INSUMOS!$B$6:$B$205,MATCH($B308,INSUMOS!$A$6:$A$205,0)),"¿Código?"))</f>
        <v/>
      </c>
      <c r="D308" s="8" t="str">
        <f aca="false">IF($B308="","",IFERROR(INDEX(INSUMOS!$D$6:$D$205,MATCH($B308,INSUMOS!$A$6:$A$205,0)),""))</f>
        <v/>
      </c>
      <c r="E308" s="6"/>
      <c r="F308" s="39"/>
      <c r="G308" s="6"/>
      <c r="H308" s="6"/>
      <c r="I308" s="43" t="str">
        <f aca="false">IF($B308="","",IFERROR(INDEX(INSUMOS!$O$6:$O$205,MATCH($B308,INSUMOS!$A$6:$A$205,0)),0))</f>
        <v/>
      </c>
      <c r="J308" s="45" t="str">
        <f aca="false">IF($B308="","",IF($E308="Ajuste (+) sobrante",1,-1)*N($F308))</f>
        <v/>
      </c>
      <c r="K308" s="35" t="str">
        <f aca="false">IF($B308="","",$J308*$I308)</f>
        <v/>
      </c>
      <c r="L308" s="46" t="str">
        <f aca="false">IF($A308="","",DATE(YEAR($A308),MONTH($A308),1))</f>
        <v/>
      </c>
    </row>
    <row r="309" customFormat="false" ht="15" hidden="false" customHeight="false" outlineLevel="0" collapsed="false">
      <c r="A309" s="44"/>
      <c r="B309" s="6"/>
      <c r="C309" s="8" t="str">
        <f aca="false">IF($B309="","",IFERROR(INDEX(INSUMOS!$B$6:$B$205,MATCH($B309,INSUMOS!$A$6:$A$205,0)),"¿Código?"))</f>
        <v/>
      </c>
      <c r="D309" s="8" t="str">
        <f aca="false">IF($B309="","",IFERROR(INDEX(INSUMOS!$D$6:$D$205,MATCH($B309,INSUMOS!$A$6:$A$205,0)),""))</f>
        <v/>
      </c>
      <c r="E309" s="6"/>
      <c r="F309" s="39"/>
      <c r="G309" s="6"/>
      <c r="H309" s="6"/>
      <c r="I309" s="43" t="str">
        <f aca="false">IF($B309="","",IFERROR(INDEX(INSUMOS!$O$6:$O$205,MATCH($B309,INSUMOS!$A$6:$A$205,0)),0))</f>
        <v/>
      </c>
      <c r="J309" s="45" t="str">
        <f aca="false">IF($B309="","",IF($E309="Ajuste (+) sobrante",1,-1)*N($F309))</f>
        <v/>
      </c>
      <c r="K309" s="35" t="str">
        <f aca="false">IF($B309="","",$J309*$I309)</f>
        <v/>
      </c>
      <c r="L309" s="46" t="str">
        <f aca="false">IF($A309="","",DATE(YEAR($A309),MONTH($A309),1))</f>
        <v/>
      </c>
    </row>
    <row r="310" customFormat="false" ht="15" hidden="false" customHeight="false" outlineLevel="0" collapsed="false">
      <c r="A310" s="44"/>
      <c r="B310" s="6"/>
      <c r="C310" s="8" t="str">
        <f aca="false">IF($B310="","",IFERROR(INDEX(INSUMOS!$B$6:$B$205,MATCH($B310,INSUMOS!$A$6:$A$205,0)),"¿Código?"))</f>
        <v/>
      </c>
      <c r="D310" s="8" t="str">
        <f aca="false">IF($B310="","",IFERROR(INDEX(INSUMOS!$D$6:$D$205,MATCH($B310,INSUMOS!$A$6:$A$205,0)),""))</f>
        <v/>
      </c>
      <c r="E310" s="6"/>
      <c r="F310" s="39"/>
      <c r="G310" s="6"/>
      <c r="H310" s="6"/>
      <c r="I310" s="43" t="str">
        <f aca="false">IF($B310="","",IFERROR(INDEX(INSUMOS!$O$6:$O$205,MATCH($B310,INSUMOS!$A$6:$A$205,0)),0))</f>
        <v/>
      </c>
      <c r="J310" s="45" t="str">
        <f aca="false">IF($B310="","",IF($E310="Ajuste (+) sobrante",1,-1)*N($F310))</f>
        <v/>
      </c>
      <c r="K310" s="35" t="str">
        <f aca="false">IF($B310="","",$J310*$I310)</f>
        <v/>
      </c>
      <c r="L310" s="46" t="str">
        <f aca="false">IF($A310="","",DATE(YEAR($A310),MONTH($A310),1))</f>
        <v/>
      </c>
    </row>
    <row r="311" customFormat="false" ht="15" hidden="false" customHeight="false" outlineLevel="0" collapsed="false">
      <c r="A311" s="44"/>
      <c r="B311" s="6"/>
      <c r="C311" s="8" t="str">
        <f aca="false">IF($B311="","",IFERROR(INDEX(INSUMOS!$B$6:$B$205,MATCH($B311,INSUMOS!$A$6:$A$205,0)),"¿Código?"))</f>
        <v/>
      </c>
      <c r="D311" s="8" t="str">
        <f aca="false">IF($B311="","",IFERROR(INDEX(INSUMOS!$D$6:$D$205,MATCH($B311,INSUMOS!$A$6:$A$205,0)),""))</f>
        <v/>
      </c>
      <c r="E311" s="6"/>
      <c r="F311" s="39"/>
      <c r="G311" s="6"/>
      <c r="H311" s="6"/>
      <c r="I311" s="43" t="str">
        <f aca="false">IF($B311="","",IFERROR(INDEX(INSUMOS!$O$6:$O$205,MATCH($B311,INSUMOS!$A$6:$A$205,0)),0))</f>
        <v/>
      </c>
      <c r="J311" s="45" t="str">
        <f aca="false">IF($B311="","",IF($E311="Ajuste (+) sobrante",1,-1)*N($F311))</f>
        <v/>
      </c>
      <c r="K311" s="35" t="str">
        <f aca="false">IF($B311="","",$J311*$I311)</f>
        <v/>
      </c>
      <c r="L311" s="46" t="str">
        <f aca="false">IF($A311="","",DATE(YEAR($A311),MONTH($A311),1))</f>
        <v/>
      </c>
    </row>
    <row r="312" customFormat="false" ht="15" hidden="false" customHeight="false" outlineLevel="0" collapsed="false">
      <c r="A312" s="44"/>
      <c r="B312" s="6"/>
      <c r="C312" s="8" t="str">
        <f aca="false">IF($B312="","",IFERROR(INDEX(INSUMOS!$B$6:$B$205,MATCH($B312,INSUMOS!$A$6:$A$205,0)),"¿Código?"))</f>
        <v/>
      </c>
      <c r="D312" s="8" t="str">
        <f aca="false">IF($B312="","",IFERROR(INDEX(INSUMOS!$D$6:$D$205,MATCH($B312,INSUMOS!$A$6:$A$205,0)),""))</f>
        <v/>
      </c>
      <c r="E312" s="6"/>
      <c r="F312" s="39"/>
      <c r="G312" s="6"/>
      <c r="H312" s="6"/>
      <c r="I312" s="43" t="str">
        <f aca="false">IF($B312="","",IFERROR(INDEX(INSUMOS!$O$6:$O$205,MATCH($B312,INSUMOS!$A$6:$A$205,0)),0))</f>
        <v/>
      </c>
      <c r="J312" s="45" t="str">
        <f aca="false">IF($B312="","",IF($E312="Ajuste (+) sobrante",1,-1)*N($F312))</f>
        <v/>
      </c>
      <c r="K312" s="35" t="str">
        <f aca="false">IF($B312="","",$J312*$I312)</f>
        <v/>
      </c>
      <c r="L312" s="46" t="str">
        <f aca="false">IF($A312="","",DATE(YEAR($A312),MONTH($A312),1))</f>
        <v/>
      </c>
    </row>
    <row r="313" customFormat="false" ht="15" hidden="false" customHeight="false" outlineLevel="0" collapsed="false">
      <c r="A313" s="44"/>
      <c r="B313" s="6"/>
      <c r="C313" s="8" t="str">
        <f aca="false">IF($B313="","",IFERROR(INDEX(INSUMOS!$B$6:$B$205,MATCH($B313,INSUMOS!$A$6:$A$205,0)),"¿Código?"))</f>
        <v/>
      </c>
      <c r="D313" s="8" t="str">
        <f aca="false">IF($B313="","",IFERROR(INDEX(INSUMOS!$D$6:$D$205,MATCH($B313,INSUMOS!$A$6:$A$205,0)),""))</f>
        <v/>
      </c>
      <c r="E313" s="6"/>
      <c r="F313" s="39"/>
      <c r="G313" s="6"/>
      <c r="H313" s="6"/>
      <c r="I313" s="43" t="str">
        <f aca="false">IF($B313="","",IFERROR(INDEX(INSUMOS!$O$6:$O$205,MATCH($B313,INSUMOS!$A$6:$A$205,0)),0))</f>
        <v/>
      </c>
      <c r="J313" s="45" t="str">
        <f aca="false">IF($B313="","",IF($E313="Ajuste (+) sobrante",1,-1)*N($F313))</f>
        <v/>
      </c>
      <c r="K313" s="35" t="str">
        <f aca="false">IF($B313="","",$J313*$I313)</f>
        <v/>
      </c>
      <c r="L313" s="46" t="str">
        <f aca="false">IF($A313="","",DATE(YEAR($A313),MONTH($A313),1))</f>
        <v/>
      </c>
    </row>
    <row r="314" customFormat="false" ht="15" hidden="false" customHeight="false" outlineLevel="0" collapsed="false">
      <c r="A314" s="44"/>
      <c r="B314" s="6"/>
      <c r="C314" s="8" t="str">
        <f aca="false">IF($B314="","",IFERROR(INDEX(INSUMOS!$B$6:$B$205,MATCH($B314,INSUMOS!$A$6:$A$205,0)),"¿Código?"))</f>
        <v/>
      </c>
      <c r="D314" s="8" t="str">
        <f aca="false">IF($B314="","",IFERROR(INDEX(INSUMOS!$D$6:$D$205,MATCH($B314,INSUMOS!$A$6:$A$205,0)),""))</f>
        <v/>
      </c>
      <c r="E314" s="6"/>
      <c r="F314" s="39"/>
      <c r="G314" s="6"/>
      <c r="H314" s="6"/>
      <c r="I314" s="43" t="str">
        <f aca="false">IF($B314="","",IFERROR(INDEX(INSUMOS!$O$6:$O$205,MATCH($B314,INSUMOS!$A$6:$A$205,0)),0))</f>
        <v/>
      </c>
      <c r="J314" s="45" t="str">
        <f aca="false">IF($B314="","",IF($E314="Ajuste (+) sobrante",1,-1)*N($F314))</f>
        <v/>
      </c>
      <c r="K314" s="35" t="str">
        <f aca="false">IF($B314="","",$J314*$I314)</f>
        <v/>
      </c>
      <c r="L314" s="46" t="str">
        <f aca="false">IF($A314="","",DATE(YEAR($A314),MONTH($A314),1))</f>
        <v/>
      </c>
    </row>
    <row r="315" customFormat="false" ht="15" hidden="false" customHeight="false" outlineLevel="0" collapsed="false">
      <c r="A315" s="44"/>
      <c r="B315" s="6"/>
      <c r="C315" s="8" t="str">
        <f aca="false">IF($B315="","",IFERROR(INDEX(INSUMOS!$B$6:$B$205,MATCH($B315,INSUMOS!$A$6:$A$205,0)),"¿Código?"))</f>
        <v/>
      </c>
      <c r="D315" s="8" t="str">
        <f aca="false">IF($B315="","",IFERROR(INDEX(INSUMOS!$D$6:$D$205,MATCH($B315,INSUMOS!$A$6:$A$205,0)),""))</f>
        <v/>
      </c>
      <c r="E315" s="6"/>
      <c r="F315" s="39"/>
      <c r="G315" s="6"/>
      <c r="H315" s="6"/>
      <c r="I315" s="43" t="str">
        <f aca="false">IF($B315="","",IFERROR(INDEX(INSUMOS!$O$6:$O$205,MATCH($B315,INSUMOS!$A$6:$A$205,0)),0))</f>
        <v/>
      </c>
      <c r="J315" s="45" t="str">
        <f aca="false">IF($B315="","",IF($E315="Ajuste (+) sobrante",1,-1)*N($F315))</f>
        <v/>
      </c>
      <c r="K315" s="35" t="str">
        <f aca="false">IF($B315="","",$J315*$I315)</f>
        <v/>
      </c>
      <c r="L315" s="46" t="str">
        <f aca="false">IF($A315="","",DATE(YEAR($A315),MONTH($A315),1))</f>
        <v/>
      </c>
    </row>
    <row r="316" customFormat="false" ht="15" hidden="false" customHeight="false" outlineLevel="0" collapsed="false">
      <c r="A316" s="44"/>
      <c r="B316" s="6"/>
      <c r="C316" s="8" t="str">
        <f aca="false">IF($B316="","",IFERROR(INDEX(INSUMOS!$B$6:$B$205,MATCH($B316,INSUMOS!$A$6:$A$205,0)),"¿Código?"))</f>
        <v/>
      </c>
      <c r="D316" s="8" t="str">
        <f aca="false">IF($B316="","",IFERROR(INDEX(INSUMOS!$D$6:$D$205,MATCH($B316,INSUMOS!$A$6:$A$205,0)),""))</f>
        <v/>
      </c>
      <c r="E316" s="6"/>
      <c r="F316" s="39"/>
      <c r="G316" s="6"/>
      <c r="H316" s="6"/>
      <c r="I316" s="43" t="str">
        <f aca="false">IF($B316="","",IFERROR(INDEX(INSUMOS!$O$6:$O$205,MATCH($B316,INSUMOS!$A$6:$A$205,0)),0))</f>
        <v/>
      </c>
      <c r="J316" s="45" t="str">
        <f aca="false">IF($B316="","",IF($E316="Ajuste (+) sobrante",1,-1)*N($F316))</f>
        <v/>
      </c>
      <c r="K316" s="35" t="str">
        <f aca="false">IF($B316="","",$J316*$I316)</f>
        <v/>
      </c>
      <c r="L316" s="46" t="str">
        <f aca="false">IF($A316="","",DATE(YEAR($A316),MONTH($A316),1))</f>
        <v/>
      </c>
    </row>
    <row r="317" customFormat="false" ht="15" hidden="false" customHeight="false" outlineLevel="0" collapsed="false">
      <c r="A317" s="44"/>
      <c r="B317" s="6"/>
      <c r="C317" s="8" t="str">
        <f aca="false">IF($B317="","",IFERROR(INDEX(INSUMOS!$B$6:$B$205,MATCH($B317,INSUMOS!$A$6:$A$205,0)),"¿Código?"))</f>
        <v/>
      </c>
      <c r="D317" s="8" t="str">
        <f aca="false">IF($B317="","",IFERROR(INDEX(INSUMOS!$D$6:$D$205,MATCH($B317,INSUMOS!$A$6:$A$205,0)),""))</f>
        <v/>
      </c>
      <c r="E317" s="6"/>
      <c r="F317" s="39"/>
      <c r="G317" s="6"/>
      <c r="H317" s="6"/>
      <c r="I317" s="43" t="str">
        <f aca="false">IF($B317="","",IFERROR(INDEX(INSUMOS!$O$6:$O$205,MATCH($B317,INSUMOS!$A$6:$A$205,0)),0))</f>
        <v/>
      </c>
      <c r="J317" s="45" t="str">
        <f aca="false">IF($B317="","",IF($E317="Ajuste (+) sobrante",1,-1)*N($F317))</f>
        <v/>
      </c>
      <c r="K317" s="35" t="str">
        <f aca="false">IF($B317="","",$J317*$I317)</f>
        <v/>
      </c>
      <c r="L317" s="46" t="str">
        <f aca="false">IF($A317="","",DATE(YEAR($A317),MONTH($A317),1))</f>
        <v/>
      </c>
    </row>
    <row r="318" customFormat="false" ht="15" hidden="false" customHeight="false" outlineLevel="0" collapsed="false">
      <c r="A318" s="44"/>
      <c r="B318" s="6"/>
      <c r="C318" s="8" t="str">
        <f aca="false">IF($B318="","",IFERROR(INDEX(INSUMOS!$B$6:$B$205,MATCH($B318,INSUMOS!$A$6:$A$205,0)),"¿Código?"))</f>
        <v/>
      </c>
      <c r="D318" s="8" t="str">
        <f aca="false">IF($B318="","",IFERROR(INDEX(INSUMOS!$D$6:$D$205,MATCH($B318,INSUMOS!$A$6:$A$205,0)),""))</f>
        <v/>
      </c>
      <c r="E318" s="6"/>
      <c r="F318" s="39"/>
      <c r="G318" s="6"/>
      <c r="H318" s="6"/>
      <c r="I318" s="43" t="str">
        <f aca="false">IF($B318="","",IFERROR(INDEX(INSUMOS!$O$6:$O$205,MATCH($B318,INSUMOS!$A$6:$A$205,0)),0))</f>
        <v/>
      </c>
      <c r="J318" s="45" t="str">
        <f aca="false">IF($B318="","",IF($E318="Ajuste (+) sobrante",1,-1)*N($F318))</f>
        <v/>
      </c>
      <c r="K318" s="35" t="str">
        <f aca="false">IF($B318="","",$J318*$I318)</f>
        <v/>
      </c>
      <c r="L318" s="46" t="str">
        <f aca="false">IF($A318="","",DATE(YEAR($A318),MONTH($A318),1))</f>
        <v/>
      </c>
    </row>
    <row r="319" customFormat="false" ht="15" hidden="false" customHeight="false" outlineLevel="0" collapsed="false">
      <c r="A319" s="44"/>
      <c r="B319" s="6"/>
      <c r="C319" s="8" t="str">
        <f aca="false">IF($B319="","",IFERROR(INDEX(INSUMOS!$B$6:$B$205,MATCH($B319,INSUMOS!$A$6:$A$205,0)),"¿Código?"))</f>
        <v/>
      </c>
      <c r="D319" s="8" t="str">
        <f aca="false">IF($B319="","",IFERROR(INDEX(INSUMOS!$D$6:$D$205,MATCH($B319,INSUMOS!$A$6:$A$205,0)),""))</f>
        <v/>
      </c>
      <c r="E319" s="6"/>
      <c r="F319" s="39"/>
      <c r="G319" s="6"/>
      <c r="H319" s="6"/>
      <c r="I319" s="43" t="str">
        <f aca="false">IF($B319="","",IFERROR(INDEX(INSUMOS!$O$6:$O$205,MATCH($B319,INSUMOS!$A$6:$A$205,0)),0))</f>
        <v/>
      </c>
      <c r="J319" s="45" t="str">
        <f aca="false">IF($B319="","",IF($E319="Ajuste (+) sobrante",1,-1)*N($F319))</f>
        <v/>
      </c>
      <c r="K319" s="35" t="str">
        <f aca="false">IF($B319="","",$J319*$I319)</f>
        <v/>
      </c>
      <c r="L319" s="46" t="str">
        <f aca="false">IF($A319="","",DATE(YEAR($A319),MONTH($A319),1))</f>
        <v/>
      </c>
    </row>
    <row r="320" customFormat="false" ht="15" hidden="false" customHeight="false" outlineLevel="0" collapsed="false">
      <c r="A320" s="44"/>
      <c r="B320" s="6"/>
      <c r="C320" s="8" t="str">
        <f aca="false">IF($B320="","",IFERROR(INDEX(INSUMOS!$B$6:$B$205,MATCH($B320,INSUMOS!$A$6:$A$205,0)),"¿Código?"))</f>
        <v/>
      </c>
      <c r="D320" s="8" t="str">
        <f aca="false">IF($B320="","",IFERROR(INDEX(INSUMOS!$D$6:$D$205,MATCH($B320,INSUMOS!$A$6:$A$205,0)),""))</f>
        <v/>
      </c>
      <c r="E320" s="6"/>
      <c r="F320" s="39"/>
      <c r="G320" s="6"/>
      <c r="H320" s="6"/>
      <c r="I320" s="43" t="str">
        <f aca="false">IF($B320="","",IFERROR(INDEX(INSUMOS!$O$6:$O$205,MATCH($B320,INSUMOS!$A$6:$A$205,0)),0))</f>
        <v/>
      </c>
      <c r="J320" s="45" t="str">
        <f aca="false">IF($B320="","",IF($E320="Ajuste (+) sobrante",1,-1)*N($F320))</f>
        <v/>
      </c>
      <c r="K320" s="35" t="str">
        <f aca="false">IF($B320="","",$J320*$I320)</f>
        <v/>
      </c>
      <c r="L320" s="46" t="str">
        <f aca="false">IF($A320="","",DATE(YEAR($A320),MONTH($A320),1))</f>
        <v/>
      </c>
    </row>
    <row r="321" customFormat="false" ht="15" hidden="false" customHeight="false" outlineLevel="0" collapsed="false">
      <c r="A321" s="44"/>
      <c r="B321" s="6"/>
      <c r="C321" s="8" t="str">
        <f aca="false">IF($B321="","",IFERROR(INDEX(INSUMOS!$B$6:$B$205,MATCH($B321,INSUMOS!$A$6:$A$205,0)),"¿Código?"))</f>
        <v/>
      </c>
      <c r="D321" s="8" t="str">
        <f aca="false">IF($B321="","",IFERROR(INDEX(INSUMOS!$D$6:$D$205,MATCH($B321,INSUMOS!$A$6:$A$205,0)),""))</f>
        <v/>
      </c>
      <c r="E321" s="6"/>
      <c r="F321" s="39"/>
      <c r="G321" s="6"/>
      <c r="H321" s="6"/>
      <c r="I321" s="43" t="str">
        <f aca="false">IF($B321="","",IFERROR(INDEX(INSUMOS!$O$6:$O$205,MATCH($B321,INSUMOS!$A$6:$A$205,0)),0))</f>
        <v/>
      </c>
      <c r="J321" s="45" t="str">
        <f aca="false">IF($B321="","",IF($E321="Ajuste (+) sobrante",1,-1)*N($F321))</f>
        <v/>
      </c>
      <c r="K321" s="35" t="str">
        <f aca="false">IF($B321="","",$J321*$I321)</f>
        <v/>
      </c>
      <c r="L321" s="46" t="str">
        <f aca="false">IF($A321="","",DATE(YEAR($A321),MONTH($A321),1))</f>
        <v/>
      </c>
    </row>
    <row r="322" customFormat="false" ht="15" hidden="false" customHeight="false" outlineLevel="0" collapsed="false">
      <c r="A322" s="44"/>
      <c r="B322" s="6"/>
      <c r="C322" s="8" t="str">
        <f aca="false">IF($B322="","",IFERROR(INDEX(INSUMOS!$B$6:$B$205,MATCH($B322,INSUMOS!$A$6:$A$205,0)),"¿Código?"))</f>
        <v/>
      </c>
      <c r="D322" s="8" t="str">
        <f aca="false">IF($B322="","",IFERROR(INDEX(INSUMOS!$D$6:$D$205,MATCH($B322,INSUMOS!$A$6:$A$205,0)),""))</f>
        <v/>
      </c>
      <c r="E322" s="6"/>
      <c r="F322" s="39"/>
      <c r="G322" s="6"/>
      <c r="H322" s="6"/>
      <c r="I322" s="43" t="str">
        <f aca="false">IF($B322="","",IFERROR(INDEX(INSUMOS!$O$6:$O$205,MATCH($B322,INSUMOS!$A$6:$A$205,0)),0))</f>
        <v/>
      </c>
      <c r="J322" s="45" t="str">
        <f aca="false">IF($B322="","",IF($E322="Ajuste (+) sobrante",1,-1)*N($F322))</f>
        <v/>
      </c>
      <c r="K322" s="35" t="str">
        <f aca="false">IF($B322="","",$J322*$I322)</f>
        <v/>
      </c>
      <c r="L322" s="46" t="str">
        <f aca="false">IF($A322="","",DATE(YEAR($A322),MONTH($A322),1))</f>
        <v/>
      </c>
    </row>
    <row r="323" customFormat="false" ht="15" hidden="false" customHeight="false" outlineLevel="0" collapsed="false">
      <c r="A323" s="44"/>
      <c r="B323" s="6"/>
      <c r="C323" s="8" t="str">
        <f aca="false">IF($B323="","",IFERROR(INDEX(INSUMOS!$B$6:$B$205,MATCH($B323,INSUMOS!$A$6:$A$205,0)),"¿Código?"))</f>
        <v/>
      </c>
      <c r="D323" s="8" t="str">
        <f aca="false">IF($B323="","",IFERROR(INDEX(INSUMOS!$D$6:$D$205,MATCH($B323,INSUMOS!$A$6:$A$205,0)),""))</f>
        <v/>
      </c>
      <c r="E323" s="6"/>
      <c r="F323" s="39"/>
      <c r="G323" s="6"/>
      <c r="H323" s="6"/>
      <c r="I323" s="43" t="str">
        <f aca="false">IF($B323="","",IFERROR(INDEX(INSUMOS!$O$6:$O$205,MATCH($B323,INSUMOS!$A$6:$A$205,0)),0))</f>
        <v/>
      </c>
      <c r="J323" s="45" t="str">
        <f aca="false">IF($B323="","",IF($E323="Ajuste (+) sobrante",1,-1)*N($F323))</f>
        <v/>
      </c>
      <c r="K323" s="35" t="str">
        <f aca="false">IF($B323="","",$J323*$I323)</f>
        <v/>
      </c>
      <c r="L323" s="46" t="str">
        <f aca="false">IF($A323="","",DATE(YEAR($A323),MONTH($A323),1))</f>
        <v/>
      </c>
    </row>
    <row r="324" customFormat="false" ht="15" hidden="false" customHeight="false" outlineLevel="0" collapsed="false">
      <c r="A324" s="44"/>
      <c r="B324" s="6"/>
      <c r="C324" s="8" t="str">
        <f aca="false">IF($B324="","",IFERROR(INDEX(INSUMOS!$B$6:$B$205,MATCH($B324,INSUMOS!$A$6:$A$205,0)),"¿Código?"))</f>
        <v/>
      </c>
      <c r="D324" s="8" t="str">
        <f aca="false">IF($B324="","",IFERROR(INDEX(INSUMOS!$D$6:$D$205,MATCH($B324,INSUMOS!$A$6:$A$205,0)),""))</f>
        <v/>
      </c>
      <c r="E324" s="6"/>
      <c r="F324" s="39"/>
      <c r="G324" s="6"/>
      <c r="H324" s="6"/>
      <c r="I324" s="43" t="str">
        <f aca="false">IF($B324="","",IFERROR(INDEX(INSUMOS!$O$6:$O$205,MATCH($B324,INSUMOS!$A$6:$A$205,0)),0))</f>
        <v/>
      </c>
      <c r="J324" s="45" t="str">
        <f aca="false">IF($B324="","",IF($E324="Ajuste (+) sobrante",1,-1)*N($F324))</f>
        <v/>
      </c>
      <c r="K324" s="35" t="str">
        <f aca="false">IF($B324="","",$J324*$I324)</f>
        <v/>
      </c>
      <c r="L324" s="46" t="str">
        <f aca="false">IF($A324="","",DATE(YEAR($A324),MONTH($A324),1))</f>
        <v/>
      </c>
    </row>
    <row r="325" customFormat="false" ht="15" hidden="false" customHeight="false" outlineLevel="0" collapsed="false">
      <c r="A325" s="44"/>
      <c r="B325" s="6"/>
      <c r="C325" s="8" t="str">
        <f aca="false">IF($B325="","",IFERROR(INDEX(INSUMOS!$B$6:$B$205,MATCH($B325,INSUMOS!$A$6:$A$205,0)),"¿Código?"))</f>
        <v/>
      </c>
      <c r="D325" s="8" t="str">
        <f aca="false">IF($B325="","",IFERROR(INDEX(INSUMOS!$D$6:$D$205,MATCH($B325,INSUMOS!$A$6:$A$205,0)),""))</f>
        <v/>
      </c>
      <c r="E325" s="6"/>
      <c r="F325" s="39"/>
      <c r="G325" s="6"/>
      <c r="H325" s="6"/>
      <c r="I325" s="43" t="str">
        <f aca="false">IF($B325="","",IFERROR(INDEX(INSUMOS!$O$6:$O$205,MATCH($B325,INSUMOS!$A$6:$A$205,0)),0))</f>
        <v/>
      </c>
      <c r="J325" s="45" t="str">
        <f aca="false">IF($B325="","",IF($E325="Ajuste (+) sobrante",1,-1)*N($F325))</f>
        <v/>
      </c>
      <c r="K325" s="35" t="str">
        <f aca="false">IF($B325="","",$J325*$I325)</f>
        <v/>
      </c>
      <c r="L325" s="46" t="str">
        <f aca="false">IF($A325="","",DATE(YEAR($A325),MONTH($A325),1))</f>
        <v/>
      </c>
    </row>
    <row r="326" customFormat="false" ht="15" hidden="false" customHeight="false" outlineLevel="0" collapsed="false">
      <c r="A326" s="44"/>
      <c r="B326" s="6"/>
      <c r="C326" s="8" t="str">
        <f aca="false">IF($B326="","",IFERROR(INDEX(INSUMOS!$B$6:$B$205,MATCH($B326,INSUMOS!$A$6:$A$205,0)),"¿Código?"))</f>
        <v/>
      </c>
      <c r="D326" s="8" t="str">
        <f aca="false">IF($B326="","",IFERROR(INDEX(INSUMOS!$D$6:$D$205,MATCH($B326,INSUMOS!$A$6:$A$205,0)),""))</f>
        <v/>
      </c>
      <c r="E326" s="6"/>
      <c r="F326" s="39"/>
      <c r="G326" s="6"/>
      <c r="H326" s="6"/>
      <c r="I326" s="43" t="str">
        <f aca="false">IF($B326="","",IFERROR(INDEX(INSUMOS!$O$6:$O$205,MATCH($B326,INSUMOS!$A$6:$A$205,0)),0))</f>
        <v/>
      </c>
      <c r="J326" s="45" t="str">
        <f aca="false">IF($B326="","",IF($E326="Ajuste (+) sobrante",1,-1)*N($F326))</f>
        <v/>
      </c>
      <c r="K326" s="35" t="str">
        <f aca="false">IF($B326="","",$J326*$I326)</f>
        <v/>
      </c>
      <c r="L326" s="46" t="str">
        <f aca="false">IF($A326="","",DATE(YEAR($A326),MONTH($A326),1))</f>
        <v/>
      </c>
    </row>
    <row r="327" customFormat="false" ht="15" hidden="false" customHeight="false" outlineLevel="0" collapsed="false">
      <c r="A327" s="44"/>
      <c r="B327" s="6"/>
      <c r="C327" s="8" t="str">
        <f aca="false">IF($B327="","",IFERROR(INDEX(INSUMOS!$B$6:$B$205,MATCH($B327,INSUMOS!$A$6:$A$205,0)),"¿Código?"))</f>
        <v/>
      </c>
      <c r="D327" s="8" t="str">
        <f aca="false">IF($B327="","",IFERROR(INDEX(INSUMOS!$D$6:$D$205,MATCH($B327,INSUMOS!$A$6:$A$205,0)),""))</f>
        <v/>
      </c>
      <c r="E327" s="6"/>
      <c r="F327" s="39"/>
      <c r="G327" s="6"/>
      <c r="H327" s="6"/>
      <c r="I327" s="43" t="str">
        <f aca="false">IF($B327="","",IFERROR(INDEX(INSUMOS!$O$6:$O$205,MATCH($B327,INSUMOS!$A$6:$A$205,0)),0))</f>
        <v/>
      </c>
      <c r="J327" s="45" t="str">
        <f aca="false">IF($B327="","",IF($E327="Ajuste (+) sobrante",1,-1)*N($F327))</f>
        <v/>
      </c>
      <c r="K327" s="35" t="str">
        <f aca="false">IF($B327="","",$J327*$I327)</f>
        <v/>
      </c>
      <c r="L327" s="46" t="str">
        <f aca="false">IF($A327="","",DATE(YEAR($A327),MONTH($A327),1))</f>
        <v/>
      </c>
    </row>
    <row r="328" customFormat="false" ht="15" hidden="false" customHeight="false" outlineLevel="0" collapsed="false">
      <c r="A328" s="44"/>
      <c r="B328" s="6"/>
      <c r="C328" s="8" t="str">
        <f aca="false">IF($B328="","",IFERROR(INDEX(INSUMOS!$B$6:$B$205,MATCH($B328,INSUMOS!$A$6:$A$205,0)),"¿Código?"))</f>
        <v/>
      </c>
      <c r="D328" s="8" t="str">
        <f aca="false">IF($B328="","",IFERROR(INDEX(INSUMOS!$D$6:$D$205,MATCH($B328,INSUMOS!$A$6:$A$205,0)),""))</f>
        <v/>
      </c>
      <c r="E328" s="6"/>
      <c r="F328" s="39"/>
      <c r="G328" s="6"/>
      <c r="H328" s="6"/>
      <c r="I328" s="43" t="str">
        <f aca="false">IF($B328="","",IFERROR(INDEX(INSUMOS!$O$6:$O$205,MATCH($B328,INSUMOS!$A$6:$A$205,0)),0))</f>
        <v/>
      </c>
      <c r="J328" s="45" t="str">
        <f aca="false">IF($B328="","",IF($E328="Ajuste (+) sobrante",1,-1)*N($F328))</f>
        <v/>
      </c>
      <c r="K328" s="35" t="str">
        <f aca="false">IF($B328="","",$J328*$I328)</f>
        <v/>
      </c>
      <c r="L328" s="46" t="str">
        <f aca="false">IF($A328="","",DATE(YEAR($A328),MONTH($A328),1))</f>
        <v/>
      </c>
    </row>
    <row r="329" customFormat="false" ht="15" hidden="false" customHeight="false" outlineLevel="0" collapsed="false">
      <c r="A329" s="44"/>
      <c r="B329" s="6"/>
      <c r="C329" s="8" t="str">
        <f aca="false">IF($B329="","",IFERROR(INDEX(INSUMOS!$B$6:$B$205,MATCH($B329,INSUMOS!$A$6:$A$205,0)),"¿Código?"))</f>
        <v/>
      </c>
      <c r="D329" s="8" t="str">
        <f aca="false">IF($B329="","",IFERROR(INDEX(INSUMOS!$D$6:$D$205,MATCH($B329,INSUMOS!$A$6:$A$205,0)),""))</f>
        <v/>
      </c>
      <c r="E329" s="6"/>
      <c r="F329" s="39"/>
      <c r="G329" s="6"/>
      <c r="H329" s="6"/>
      <c r="I329" s="43" t="str">
        <f aca="false">IF($B329="","",IFERROR(INDEX(INSUMOS!$O$6:$O$205,MATCH($B329,INSUMOS!$A$6:$A$205,0)),0))</f>
        <v/>
      </c>
      <c r="J329" s="45" t="str">
        <f aca="false">IF($B329="","",IF($E329="Ajuste (+) sobrante",1,-1)*N($F329))</f>
        <v/>
      </c>
      <c r="K329" s="35" t="str">
        <f aca="false">IF($B329="","",$J329*$I329)</f>
        <v/>
      </c>
      <c r="L329" s="46" t="str">
        <f aca="false">IF($A329="","",DATE(YEAR($A329),MONTH($A329),1))</f>
        <v/>
      </c>
    </row>
    <row r="330" customFormat="false" ht="15" hidden="false" customHeight="false" outlineLevel="0" collapsed="false">
      <c r="A330" s="44"/>
      <c r="B330" s="6"/>
      <c r="C330" s="8" t="str">
        <f aca="false">IF($B330="","",IFERROR(INDEX(INSUMOS!$B$6:$B$205,MATCH($B330,INSUMOS!$A$6:$A$205,0)),"¿Código?"))</f>
        <v/>
      </c>
      <c r="D330" s="8" t="str">
        <f aca="false">IF($B330="","",IFERROR(INDEX(INSUMOS!$D$6:$D$205,MATCH($B330,INSUMOS!$A$6:$A$205,0)),""))</f>
        <v/>
      </c>
      <c r="E330" s="6"/>
      <c r="F330" s="39"/>
      <c r="G330" s="6"/>
      <c r="H330" s="6"/>
      <c r="I330" s="43" t="str">
        <f aca="false">IF($B330="","",IFERROR(INDEX(INSUMOS!$O$6:$O$205,MATCH($B330,INSUMOS!$A$6:$A$205,0)),0))</f>
        <v/>
      </c>
      <c r="J330" s="45" t="str">
        <f aca="false">IF($B330="","",IF($E330="Ajuste (+) sobrante",1,-1)*N($F330))</f>
        <v/>
      </c>
      <c r="K330" s="35" t="str">
        <f aca="false">IF($B330="","",$J330*$I330)</f>
        <v/>
      </c>
      <c r="L330" s="46" t="str">
        <f aca="false">IF($A330="","",DATE(YEAR($A330),MONTH($A330),1))</f>
        <v/>
      </c>
    </row>
    <row r="331" customFormat="false" ht="15" hidden="false" customHeight="false" outlineLevel="0" collapsed="false">
      <c r="A331" s="44"/>
      <c r="B331" s="6"/>
      <c r="C331" s="8" t="str">
        <f aca="false">IF($B331="","",IFERROR(INDEX(INSUMOS!$B$6:$B$205,MATCH($B331,INSUMOS!$A$6:$A$205,0)),"¿Código?"))</f>
        <v/>
      </c>
      <c r="D331" s="8" t="str">
        <f aca="false">IF($B331="","",IFERROR(INDEX(INSUMOS!$D$6:$D$205,MATCH($B331,INSUMOS!$A$6:$A$205,0)),""))</f>
        <v/>
      </c>
      <c r="E331" s="6"/>
      <c r="F331" s="39"/>
      <c r="G331" s="6"/>
      <c r="H331" s="6"/>
      <c r="I331" s="43" t="str">
        <f aca="false">IF($B331="","",IFERROR(INDEX(INSUMOS!$O$6:$O$205,MATCH($B331,INSUMOS!$A$6:$A$205,0)),0))</f>
        <v/>
      </c>
      <c r="J331" s="45" t="str">
        <f aca="false">IF($B331="","",IF($E331="Ajuste (+) sobrante",1,-1)*N($F331))</f>
        <v/>
      </c>
      <c r="K331" s="35" t="str">
        <f aca="false">IF($B331="","",$J331*$I331)</f>
        <v/>
      </c>
      <c r="L331" s="46" t="str">
        <f aca="false">IF($A331="","",DATE(YEAR($A331),MONTH($A331),1))</f>
        <v/>
      </c>
    </row>
    <row r="332" customFormat="false" ht="15" hidden="false" customHeight="false" outlineLevel="0" collapsed="false">
      <c r="A332" s="44"/>
      <c r="B332" s="6"/>
      <c r="C332" s="8" t="str">
        <f aca="false">IF($B332="","",IFERROR(INDEX(INSUMOS!$B$6:$B$205,MATCH($B332,INSUMOS!$A$6:$A$205,0)),"¿Código?"))</f>
        <v/>
      </c>
      <c r="D332" s="8" t="str">
        <f aca="false">IF($B332="","",IFERROR(INDEX(INSUMOS!$D$6:$D$205,MATCH($B332,INSUMOS!$A$6:$A$205,0)),""))</f>
        <v/>
      </c>
      <c r="E332" s="6"/>
      <c r="F332" s="39"/>
      <c r="G332" s="6"/>
      <c r="H332" s="6"/>
      <c r="I332" s="43" t="str">
        <f aca="false">IF($B332="","",IFERROR(INDEX(INSUMOS!$O$6:$O$205,MATCH($B332,INSUMOS!$A$6:$A$205,0)),0))</f>
        <v/>
      </c>
      <c r="J332" s="45" t="str">
        <f aca="false">IF($B332="","",IF($E332="Ajuste (+) sobrante",1,-1)*N($F332))</f>
        <v/>
      </c>
      <c r="K332" s="35" t="str">
        <f aca="false">IF($B332="","",$J332*$I332)</f>
        <v/>
      </c>
      <c r="L332" s="46" t="str">
        <f aca="false">IF($A332="","",DATE(YEAR($A332),MONTH($A332),1))</f>
        <v/>
      </c>
    </row>
    <row r="333" customFormat="false" ht="15" hidden="false" customHeight="false" outlineLevel="0" collapsed="false">
      <c r="A333" s="44"/>
      <c r="B333" s="6"/>
      <c r="C333" s="8" t="str">
        <f aca="false">IF($B333="","",IFERROR(INDEX(INSUMOS!$B$6:$B$205,MATCH($B333,INSUMOS!$A$6:$A$205,0)),"¿Código?"))</f>
        <v/>
      </c>
      <c r="D333" s="8" t="str">
        <f aca="false">IF($B333="","",IFERROR(INDEX(INSUMOS!$D$6:$D$205,MATCH($B333,INSUMOS!$A$6:$A$205,0)),""))</f>
        <v/>
      </c>
      <c r="E333" s="6"/>
      <c r="F333" s="39"/>
      <c r="G333" s="6"/>
      <c r="H333" s="6"/>
      <c r="I333" s="43" t="str">
        <f aca="false">IF($B333="","",IFERROR(INDEX(INSUMOS!$O$6:$O$205,MATCH($B333,INSUMOS!$A$6:$A$205,0)),0))</f>
        <v/>
      </c>
      <c r="J333" s="45" t="str">
        <f aca="false">IF($B333="","",IF($E333="Ajuste (+) sobrante",1,-1)*N($F333))</f>
        <v/>
      </c>
      <c r="K333" s="35" t="str">
        <f aca="false">IF($B333="","",$J333*$I333)</f>
        <v/>
      </c>
      <c r="L333" s="46" t="str">
        <f aca="false">IF($A333="","",DATE(YEAR($A333),MONTH($A333),1))</f>
        <v/>
      </c>
    </row>
    <row r="334" customFormat="false" ht="15" hidden="false" customHeight="false" outlineLevel="0" collapsed="false">
      <c r="A334" s="44"/>
      <c r="B334" s="6"/>
      <c r="C334" s="8" t="str">
        <f aca="false">IF($B334="","",IFERROR(INDEX(INSUMOS!$B$6:$B$205,MATCH($B334,INSUMOS!$A$6:$A$205,0)),"¿Código?"))</f>
        <v/>
      </c>
      <c r="D334" s="8" t="str">
        <f aca="false">IF($B334="","",IFERROR(INDEX(INSUMOS!$D$6:$D$205,MATCH($B334,INSUMOS!$A$6:$A$205,0)),""))</f>
        <v/>
      </c>
      <c r="E334" s="6"/>
      <c r="F334" s="39"/>
      <c r="G334" s="6"/>
      <c r="H334" s="6"/>
      <c r="I334" s="43" t="str">
        <f aca="false">IF($B334="","",IFERROR(INDEX(INSUMOS!$O$6:$O$205,MATCH($B334,INSUMOS!$A$6:$A$205,0)),0))</f>
        <v/>
      </c>
      <c r="J334" s="45" t="str">
        <f aca="false">IF($B334="","",IF($E334="Ajuste (+) sobrante",1,-1)*N($F334))</f>
        <v/>
      </c>
      <c r="K334" s="35" t="str">
        <f aca="false">IF($B334="","",$J334*$I334)</f>
        <v/>
      </c>
      <c r="L334" s="46" t="str">
        <f aca="false">IF($A334="","",DATE(YEAR($A334),MONTH($A334),1))</f>
        <v/>
      </c>
    </row>
    <row r="335" customFormat="false" ht="15" hidden="false" customHeight="false" outlineLevel="0" collapsed="false">
      <c r="A335" s="44"/>
      <c r="B335" s="6"/>
      <c r="C335" s="8" t="str">
        <f aca="false">IF($B335="","",IFERROR(INDEX(INSUMOS!$B$6:$B$205,MATCH($B335,INSUMOS!$A$6:$A$205,0)),"¿Código?"))</f>
        <v/>
      </c>
      <c r="D335" s="8" t="str">
        <f aca="false">IF($B335="","",IFERROR(INDEX(INSUMOS!$D$6:$D$205,MATCH($B335,INSUMOS!$A$6:$A$205,0)),""))</f>
        <v/>
      </c>
      <c r="E335" s="6"/>
      <c r="F335" s="39"/>
      <c r="G335" s="6"/>
      <c r="H335" s="6"/>
      <c r="I335" s="43" t="str">
        <f aca="false">IF($B335="","",IFERROR(INDEX(INSUMOS!$O$6:$O$205,MATCH($B335,INSUMOS!$A$6:$A$205,0)),0))</f>
        <v/>
      </c>
      <c r="J335" s="45" t="str">
        <f aca="false">IF($B335="","",IF($E335="Ajuste (+) sobrante",1,-1)*N($F335))</f>
        <v/>
      </c>
      <c r="K335" s="35" t="str">
        <f aca="false">IF($B335="","",$J335*$I335)</f>
        <v/>
      </c>
      <c r="L335" s="46" t="str">
        <f aca="false">IF($A335="","",DATE(YEAR($A335),MONTH($A335),1))</f>
        <v/>
      </c>
    </row>
    <row r="336" customFormat="false" ht="15" hidden="false" customHeight="false" outlineLevel="0" collapsed="false">
      <c r="A336" s="44"/>
      <c r="B336" s="6"/>
      <c r="C336" s="8" t="str">
        <f aca="false">IF($B336="","",IFERROR(INDEX(INSUMOS!$B$6:$B$205,MATCH($B336,INSUMOS!$A$6:$A$205,0)),"¿Código?"))</f>
        <v/>
      </c>
      <c r="D336" s="8" t="str">
        <f aca="false">IF($B336="","",IFERROR(INDEX(INSUMOS!$D$6:$D$205,MATCH($B336,INSUMOS!$A$6:$A$205,0)),""))</f>
        <v/>
      </c>
      <c r="E336" s="6"/>
      <c r="F336" s="39"/>
      <c r="G336" s="6"/>
      <c r="H336" s="6"/>
      <c r="I336" s="43" t="str">
        <f aca="false">IF($B336="","",IFERROR(INDEX(INSUMOS!$O$6:$O$205,MATCH($B336,INSUMOS!$A$6:$A$205,0)),0))</f>
        <v/>
      </c>
      <c r="J336" s="45" t="str">
        <f aca="false">IF($B336="","",IF($E336="Ajuste (+) sobrante",1,-1)*N($F336))</f>
        <v/>
      </c>
      <c r="K336" s="35" t="str">
        <f aca="false">IF($B336="","",$J336*$I336)</f>
        <v/>
      </c>
      <c r="L336" s="46" t="str">
        <f aca="false">IF($A336="","",DATE(YEAR($A336),MONTH($A336),1))</f>
        <v/>
      </c>
    </row>
    <row r="337" customFormat="false" ht="15" hidden="false" customHeight="false" outlineLevel="0" collapsed="false">
      <c r="A337" s="44"/>
      <c r="B337" s="6"/>
      <c r="C337" s="8" t="str">
        <f aca="false">IF($B337="","",IFERROR(INDEX(INSUMOS!$B$6:$B$205,MATCH($B337,INSUMOS!$A$6:$A$205,0)),"¿Código?"))</f>
        <v/>
      </c>
      <c r="D337" s="8" t="str">
        <f aca="false">IF($B337="","",IFERROR(INDEX(INSUMOS!$D$6:$D$205,MATCH($B337,INSUMOS!$A$6:$A$205,0)),""))</f>
        <v/>
      </c>
      <c r="E337" s="6"/>
      <c r="F337" s="39"/>
      <c r="G337" s="6"/>
      <c r="H337" s="6"/>
      <c r="I337" s="43" t="str">
        <f aca="false">IF($B337="","",IFERROR(INDEX(INSUMOS!$O$6:$O$205,MATCH($B337,INSUMOS!$A$6:$A$205,0)),0))</f>
        <v/>
      </c>
      <c r="J337" s="45" t="str">
        <f aca="false">IF($B337="","",IF($E337="Ajuste (+) sobrante",1,-1)*N($F337))</f>
        <v/>
      </c>
      <c r="K337" s="35" t="str">
        <f aca="false">IF($B337="","",$J337*$I337)</f>
        <v/>
      </c>
      <c r="L337" s="46" t="str">
        <f aca="false">IF($A337="","",DATE(YEAR($A337),MONTH($A337),1))</f>
        <v/>
      </c>
    </row>
    <row r="338" customFormat="false" ht="15" hidden="false" customHeight="false" outlineLevel="0" collapsed="false">
      <c r="A338" s="44"/>
      <c r="B338" s="6"/>
      <c r="C338" s="8" t="str">
        <f aca="false">IF($B338="","",IFERROR(INDEX(INSUMOS!$B$6:$B$205,MATCH($B338,INSUMOS!$A$6:$A$205,0)),"¿Código?"))</f>
        <v/>
      </c>
      <c r="D338" s="8" t="str">
        <f aca="false">IF($B338="","",IFERROR(INDEX(INSUMOS!$D$6:$D$205,MATCH($B338,INSUMOS!$A$6:$A$205,0)),""))</f>
        <v/>
      </c>
      <c r="E338" s="6"/>
      <c r="F338" s="39"/>
      <c r="G338" s="6"/>
      <c r="H338" s="6"/>
      <c r="I338" s="43" t="str">
        <f aca="false">IF($B338="","",IFERROR(INDEX(INSUMOS!$O$6:$O$205,MATCH($B338,INSUMOS!$A$6:$A$205,0)),0))</f>
        <v/>
      </c>
      <c r="J338" s="45" t="str">
        <f aca="false">IF($B338="","",IF($E338="Ajuste (+) sobrante",1,-1)*N($F338))</f>
        <v/>
      </c>
      <c r="K338" s="35" t="str">
        <f aca="false">IF($B338="","",$J338*$I338)</f>
        <v/>
      </c>
      <c r="L338" s="46" t="str">
        <f aca="false">IF($A338="","",DATE(YEAR($A338),MONTH($A338),1))</f>
        <v/>
      </c>
    </row>
    <row r="339" customFormat="false" ht="15" hidden="false" customHeight="false" outlineLevel="0" collapsed="false">
      <c r="A339" s="44"/>
      <c r="B339" s="6"/>
      <c r="C339" s="8" t="str">
        <f aca="false">IF($B339="","",IFERROR(INDEX(INSUMOS!$B$6:$B$205,MATCH($B339,INSUMOS!$A$6:$A$205,0)),"¿Código?"))</f>
        <v/>
      </c>
      <c r="D339" s="8" t="str">
        <f aca="false">IF($B339="","",IFERROR(INDEX(INSUMOS!$D$6:$D$205,MATCH($B339,INSUMOS!$A$6:$A$205,0)),""))</f>
        <v/>
      </c>
      <c r="E339" s="6"/>
      <c r="F339" s="39"/>
      <c r="G339" s="6"/>
      <c r="H339" s="6"/>
      <c r="I339" s="43" t="str">
        <f aca="false">IF($B339="","",IFERROR(INDEX(INSUMOS!$O$6:$O$205,MATCH($B339,INSUMOS!$A$6:$A$205,0)),0))</f>
        <v/>
      </c>
      <c r="J339" s="45" t="str">
        <f aca="false">IF($B339="","",IF($E339="Ajuste (+) sobrante",1,-1)*N($F339))</f>
        <v/>
      </c>
      <c r="K339" s="35" t="str">
        <f aca="false">IF($B339="","",$J339*$I339)</f>
        <v/>
      </c>
      <c r="L339" s="46" t="str">
        <f aca="false">IF($A339="","",DATE(YEAR($A339),MONTH($A339),1))</f>
        <v/>
      </c>
    </row>
    <row r="340" customFormat="false" ht="15" hidden="false" customHeight="false" outlineLevel="0" collapsed="false">
      <c r="A340" s="44"/>
      <c r="B340" s="6"/>
      <c r="C340" s="8" t="str">
        <f aca="false">IF($B340="","",IFERROR(INDEX(INSUMOS!$B$6:$B$205,MATCH($B340,INSUMOS!$A$6:$A$205,0)),"¿Código?"))</f>
        <v/>
      </c>
      <c r="D340" s="8" t="str">
        <f aca="false">IF($B340="","",IFERROR(INDEX(INSUMOS!$D$6:$D$205,MATCH($B340,INSUMOS!$A$6:$A$205,0)),""))</f>
        <v/>
      </c>
      <c r="E340" s="6"/>
      <c r="F340" s="39"/>
      <c r="G340" s="6"/>
      <c r="H340" s="6"/>
      <c r="I340" s="43" t="str">
        <f aca="false">IF($B340="","",IFERROR(INDEX(INSUMOS!$O$6:$O$205,MATCH($B340,INSUMOS!$A$6:$A$205,0)),0))</f>
        <v/>
      </c>
      <c r="J340" s="45" t="str">
        <f aca="false">IF($B340="","",IF($E340="Ajuste (+) sobrante",1,-1)*N($F340))</f>
        <v/>
      </c>
      <c r="K340" s="35" t="str">
        <f aca="false">IF($B340="","",$J340*$I340)</f>
        <v/>
      </c>
      <c r="L340" s="46" t="str">
        <f aca="false">IF($A340="","",DATE(YEAR($A340),MONTH($A340),1))</f>
        <v/>
      </c>
    </row>
    <row r="341" customFormat="false" ht="15" hidden="false" customHeight="false" outlineLevel="0" collapsed="false">
      <c r="A341" s="44"/>
      <c r="B341" s="6"/>
      <c r="C341" s="8" t="str">
        <f aca="false">IF($B341="","",IFERROR(INDEX(INSUMOS!$B$6:$B$205,MATCH($B341,INSUMOS!$A$6:$A$205,0)),"¿Código?"))</f>
        <v/>
      </c>
      <c r="D341" s="8" t="str">
        <f aca="false">IF($B341="","",IFERROR(INDEX(INSUMOS!$D$6:$D$205,MATCH($B341,INSUMOS!$A$6:$A$205,0)),""))</f>
        <v/>
      </c>
      <c r="E341" s="6"/>
      <c r="F341" s="39"/>
      <c r="G341" s="6"/>
      <c r="H341" s="6"/>
      <c r="I341" s="43" t="str">
        <f aca="false">IF($B341="","",IFERROR(INDEX(INSUMOS!$O$6:$O$205,MATCH($B341,INSUMOS!$A$6:$A$205,0)),0))</f>
        <v/>
      </c>
      <c r="J341" s="45" t="str">
        <f aca="false">IF($B341="","",IF($E341="Ajuste (+) sobrante",1,-1)*N($F341))</f>
        <v/>
      </c>
      <c r="K341" s="35" t="str">
        <f aca="false">IF($B341="","",$J341*$I341)</f>
        <v/>
      </c>
      <c r="L341" s="46" t="str">
        <f aca="false">IF($A341="","",DATE(YEAR($A341),MONTH($A341),1))</f>
        <v/>
      </c>
    </row>
    <row r="342" customFormat="false" ht="15" hidden="false" customHeight="false" outlineLevel="0" collapsed="false">
      <c r="A342" s="44"/>
      <c r="B342" s="6"/>
      <c r="C342" s="8" t="str">
        <f aca="false">IF($B342="","",IFERROR(INDEX(INSUMOS!$B$6:$B$205,MATCH($B342,INSUMOS!$A$6:$A$205,0)),"¿Código?"))</f>
        <v/>
      </c>
      <c r="D342" s="8" t="str">
        <f aca="false">IF($B342="","",IFERROR(INDEX(INSUMOS!$D$6:$D$205,MATCH($B342,INSUMOS!$A$6:$A$205,0)),""))</f>
        <v/>
      </c>
      <c r="E342" s="6"/>
      <c r="F342" s="39"/>
      <c r="G342" s="6"/>
      <c r="H342" s="6"/>
      <c r="I342" s="43" t="str">
        <f aca="false">IF($B342="","",IFERROR(INDEX(INSUMOS!$O$6:$O$205,MATCH($B342,INSUMOS!$A$6:$A$205,0)),0))</f>
        <v/>
      </c>
      <c r="J342" s="45" t="str">
        <f aca="false">IF($B342="","",IF($E342="Ajuste (+) sobrante",1,-1)*N($F342))</f>
        <v/>
      </c>
      <c r="K342" s="35" t="str">
        <f aca="false">IF($B342="","",$J342*$I342)</f>
        <v/>
      </c>
      <c r="L342" s="46" t="str">
        <f aca="false">IF($A342="","",DATE(YEAR($A342),MONTH($A342),1))</f>
        <v/>
      </c>
    </row>
    <row r="343" customFormat="false" ht="15" hidden="false" customHeight="false" outlineLevel="0" collapsed="false">
      <c r="A343" s="44"/>
      <c r="B343" s="6"/>
      <c r="C343" s="8" t="str">
        <f aca="false">IF($B343="","",IFERROR(INDEX(INSUMOS!$B$6:$B$205,MATCH($B343,INSUMOS!$A$6:$A$205,0)),"¿Código?"))</f>
        <v/>
      </c>
      <c r="D343" s="8" t="str">
        <f aca="false">IF($B343="","",IFERROR(INDEX(INSUMOS!$D$6:$D$205,MATCH($B343,INSUMOS!$A$6:$A$205,0)),""))</f>
        <v/>
      </c>
      <c r="E343" s="6"/>
      <c r="F343" s="39"/>
      <c r="G343" s="6"/>
      <c r="H343" s="6"/>
      <c r="I343" s="43" t="str">
        <f aca="false">IF($B343="","",IFERROR(INDEX(INSUMOS!$O$6:$O$205,MATCH($B343,INSUMOS!$A$6:$A$205,0)),0))</f>
        <v/>
      </c>
      <c r="J343" s="45" t="str">
        <f aca="false">IF($B343="","",IF($E343="Ajuste (+) sobrante",1,-1)*N($F343))</f>
        <v/>
      </c>
      <c r="K343" s="35" t="str">
        <f aca="false">IF($B343="","",$J343*$I343)</f>
        <v/>
      </c>
      <c r="L343" s="46" t="str">
        <f aca="false">IF($A343="","",DATE(YEAR($A343),MONTH($A343),1))</f>
        <v/>
      </c>
    </row>
    <row r="344" customFormat="false" ht="15" hidden="false" customHeight="false" outlineLevel="0" collapsed="false">
      <c r="A344" s="44"/>
      <c r="B344" s="6"/>
      <c r="C344" s="8" t="str">
        <f aca="false">IF($B344="","",IFERROR(INDEX(INSUMOS!$B$6:$B$205,MATCH($B344,INSUMOS!$A$6:$A$205,0)),"¿Código?"))</f>
        <v/>
      </c>
      <c r="D344" s="8" t="str">
        <f aca="false">IF($B344="","",IFERROR(INDEX(INSUMOS!$D$6:$D$205,MATCH($B344,INSUMOS!$A$6:$A$205,0)),""))</f>
        <v/>
      </c>
      <c r="E344" s="6"/>
      <c r="F344" s="39"/>
      <c r="G344" s="6"/>
      <c r="H344" s="6"/>
      <c r="I344" s="43" t="str">
        <f aca="false">IF($B344="","",IFERROR(INDEX(INSUMOS!$O$6:$O$205,MATCH($B344,INSUMOS!$A$6:$A$205,0)),0))</f>
        <v/>
      </c>
      <c r="J344" s="45" t="str">
        <f aca="false">IF($B344="","",IF($E344="Ajuste (+) sobrante",1,-1)*N($F344))</f>
        <v/>
      </c>
      <c r="K344" s="35" t="str">
        <f aca="false">IF($B344="","",$J344*$I344)</f>
        <v/>
      </c>
      <c r="L344" s="46" t="str">
        <f aca="false">IF($A344="","",DATE(YEAR($A344),MONTH($A344),1))</f>
        <v/>
      </c>
    </row>
    <row r="345" customFormat="false" ht="15" hidden="false" customHeight="false" outlineLevel="0" collapsed="false">
      <c r="A345" s="44"/>
      <c r="B345" s="6"/>
      <c r="C345" s="8" t="str">
        <f aca="false">IF($B345="","",IFERROR(INDEX(INSUMOS!$B$6:$B$205,MATCH($B345,INSUMOS!$A$6:$A$205,0)),"¿Código?"))</f>
        <v/>
      </c>
      <c r="D345" s="8" t="str">
        <f aca="false">IF($B345="","",IFERROR(INDEX(INSUMOS!$D$6:$D$205,MATCH($B345,INSUMOS!$A$6:$A$205,0)),""))</f>
        <v/>
      </c>
      <c r="E345" s="6"/>
      <c r="F345" s="39"/>
      <c r="G345" s="6"/>
      <c r="H345" s="6"/>
      <c r="I345" s="43" t="str">
        <f aca="false">IF($B345="","",IFERROR(INDEX(INSUMOS!$O$6:$O$205,MATCH($B345,INSUMOS!$A$6:$A$205,0)),0))</f>
        <v/>
      </c>
      <c r="J345" s="45" t="str">
        <f aca="false">IF($B345="","",IF($E345="Ajuste (+) sobrante",1,-1)*N($F345))</f>
        <v/>
      </c>
      <c r="K345" s="35" t="str">
        <f aca="false">IF($B345="","",$J345*$I345)</f>
        <v/>
      </c>
      <c r="L345" s="46" t="str">
        <f aca="false">IF($A345="","",DATE(YEAR($A345),MONTH($A345),1))</f>
        <v/>
      </c>
    </row>
    <row r="346" customFormat="false" ht="15" hidden="false" customHeight="false" outlineLevel="0" collapsed="false">
      <c r="A346" s="44"/>
      <c r="B346" s="6"/>
      <c r="C346" s="8" t="str">
        <f aca="false">IF($B346="","",IFERROR(INDEX(INSUMOS!$B$6:$B$205,MATCH($B346,INSUMOS!$A$6:$A$205,0)),"¿Código?"))</f>
        <v/>
      </c>
      <c r="D346" s="8" t="str">
        <f aca="false">IF($B346="","",IFERROR(INDEX(INSUMOS!$D$6:$D$205,MATCH($B346,INSUMOS!$A$6:$A$205,0)),""))</f>
        <v/>
      </c>
      <c r="E346" s="6"/>
      <c r="F346" s="39"/>
      <c r="G346" s="6"/>
      <c r="H346" s="6"/>
      <c r="I346" s="43" t="str">
        <f aca="false">IF($B346="","",IFERROR(INDEX(INSUMOS!$O$6:$O$205,MATCH($B346,INSUMOS!$A$6:$A$205,0)),0))</f>
        <v/>
      </c>
      <c r="J346" s="45" t="str">
        <f aca="false">IF($B346="","",IF($E346="Ajuste (+) sobrante",1,-1)*N($F346))</f>
        <v/>
      </c>
      <c r="K346" s="35" t="str">
        <f aca="false">IF($B346="","",$J346*$I346)</f>
        <v/>
      </c>
      <c r="L346" s="46" t="str">
        <f aca="false">IF($A346="","",DATE(YEAR($A346),MONTH($A346),1))</f>
        <v/>
      </c>
    </row>
    <row r="347" customFormat="false" ht="15" hidden="false" customHeight="false" outlineLevel="0" collapsed="false">
      <c r="A347" s="44"/>
      <c r="B347" s="6"/>
      <c r="C347" s="8" t="str">
        <f aca="false">IF($B347="","",IFERROR(INDEX(INSUMOS!$B$6:$B$205,MATCH($B347,INSUMOS!$A$6:$A$205,0)),"¿Código?"))</f>
        <v/>
      </c>
      <c r="D347" s="8" t="str">
        <f aca="false">IF($B347="","",IFERROR(INDEX(INSUMOS!$D$6:$D$205,MATCH($B347,INSUMOS!$A$6:$A$205,0)),""))</f>
        <v/>
      </c>
      <c r="E347" s="6"/>
      <c r="F347" s="39"/>
      <c r="G347" s="6"/>
      <c r="H347" s="6"/>
      <c r="I347" s="43" t="str">
        <f aca="false">IF($B347="","",IFERROR(INDEX(INSUMOS!$O$6:$O$205,MATCH($B347,INSUMOS!$A$6:$A$205,0)),0))</f>
        <v/>
      </c>
      <c r="J347" s="45" t="str">
        <f aca="false">IF($B347="","",IF($E347="Ajuste (+) sobrante",1,-1)*N($F347))</f>
        <v/>
      </c>
      <c r="K347" s="35" t="str">
        <f aca="false">IF($B347="","",$J347*$I347)</f>
        <v/>
      </c>
      <c r="L347" s="46" t="str">
        <f aca="false">IF($A347="","",DATE(YEAR($A347),MONTH($A347),1))</f>
        <v/>
      </c>
    </row>
    <row r="348" customFormat="false" ht="15" hidden="false" customHeight="false" outlineLevel="0" collapsed="false">
      <c r="A348" s="44"/>
      <c r="B348" s="6"/>
      <c r="C348" s="8" t="str">
        <f aca="false">IF($B348="","",IFERROR(INDEX(INSUMOS!$B$6:$B$205,MATCH($B348,INSUMOS!$A$6:$A$205,0)),"¿Código?"))</f>
        <v/>
      </c>
      <c r="D348" s="8" t="str">
        <f aca="false">IF($B348="","",IFERROR(INDEX(INSUMOS!$D$6:$D$205,MATCH($B348,INSUMOS!$A$6:$A$205,0)),""))</f>
        <v/>
      </c>
      <c r="E348" s="6"/>
      <c r="F348" s="39"/>
      <c r="G348" s="6"/>
      <c r="H348" s="6"/>
      <c r="I348" s="43" t="str">
        <f aca="false">IF($B348="","",IFERROR(INDEX(INSUMOS!$O$6:$O$205,MATCH($B348,INSUMOS!$A$6:$A$205,0)),0))</f>
        <v/>
      </c>
      <c r="J348" s="45" t="str">
        <f aca="false">IF($B348="","",IF($E348="Ajuste (+) sobrante",1,-1)*N($F348))</f>
        <v/>
      </c>
      <c r="K348" s="35" t="str">
        <f aca="false">IF($B348="","",$J348*$I348)</f>
        <v/>
      </c>
      <c r="L348" s="46" t="str">
        <f aca="false">IF($A348="","",DATE(YEAR($A348),MONTH($A348),1))</f>
        <v/>
      </c>
    </row>
    <row r="349" customFormat="false" ht="15" hidden="false" customHeight="false" outlineLevel="0" collapsed="false">
      <c r="A349" s="44"/>
      <c r="B349" s="6"/>
      <c r="C349" s="8" t="str">
        <f aca="false">IF($B349="","",IFERROR(INDEX(INSUMOS!$B$6:$B$205,MATCH($B349,INSUMOS!$A$6:$A$205,0)),"¿Código?"))</f>
        <v/>
      </c>
      <c r="D349" s="8" t="str">
        <f aca="false">IF($B349="","",IFERROR(INDEX(INSUMOS!$D$6:$D$205,MATCH($B349,INSUMOS!$A$6:$A$205,0)),""))</f>
        <v/>
      </c>
      <c r="E349" s="6"/>
      <c r="F349" s="39"/>
      <c r="G349" s="6"/>
      <c r="H349" s="6"/>
      <c r="I349" s="43" t="str">
        <f aca="false">IF($B349="","",IFERROR(INDEX(INSUMOS!$O$6:$O$205,MATCH($B349,INSUMOS!$A$6:$A$205,0)),0))</f>
        <v/>
      </c>
      <c r="J349" s="45" t="str">
        <f aca="false">IF($B349="","",IF($E349="Ajuste (+) sobrante",1,-1)*N($F349))</f>
        <v/>
      </c>
      <c r="K349" s="35" t="str">
        <f aca="false">IF($B349="","",$J349*$I349)</f>
        <v/>
      </c>
      <c r="L349" s="46" t="str">
        <f aca="false">IF($A349="","",DATE(YEAR($A349),MONTH($A349),1))</f>
        <v/>
      </c>
    </row>
    <row r="350" customFormat="false" ht="15" hidden="false" customHeight="false" outlineLevel="0" collapsed="false">
      <c r="A350" s="44"/>
      <c r="B350" s="6"/>
      <c r="C350" s="8" t="str">
        <f aca="false">IF($B350="","",IFERROR(INDEX(INSUMOS!$B$6:$B$205,MATCH($B350,INSUMOS!$A$6:$A$205,0)),"¿Código?"))</f>
        <v/>
      </c>
      <c r="D350" s="8" t="str">
        <f aca="false">IF($B350="","",IFERROR(INDEX(INSUMOS!$D$6:$D$205,MATCH($B350,INSUMOS!$A$6:$A$205,0)),""))</f>
        <v/>
      </c>
      <c r="E350" s="6"/>
      <c r="F350" s="39"/>
      <c r="G350" s="6"/>
      <c r="H350" s="6"/>
      <c r="I350" s="43" t="str">
        <f aca="false">IF($B350="","",IFERROR(INDEX(INSUMOS!$O$6:$O$205,MATCH($B350,INSUMOS!$A$6:$A$205,0)),0))</f>
        <v/>
      </c>
      <c r="J350" s="45" t="str">
        <f aca="false">IF($B350="","",IF($E350="Ajuste (+) sobrante",1,-1)*N($F350))</f>
        <v/>
      </c>
      <c r="K350" s="35" t="str">
        <f aca="false">IF($B350="","",$J350*$I350)</f>
        <v/>
      </c>
      <c r="L350" s="46" t="str">
        <f aca="false">IF($A350="","",DATE(YEAR($A350),MONTH($A350),1))</f>
        <v/>
      </c>
    </row>
    <row r="351" customFormat="false" ht="15" hidden="false" customHeight="false" outlineLevel="0" collapsed="false">
      <c r="A351" s="44"/>
      <c r="B351" s="6"/>
      <c r="C351" s="8" t="str">
        <f aca="false">IF($B351="","",IFERROR(INDEX(INSUMOS!$B$6:$B$205,MATCH($B351,INSUMOS!$A$6:$A$205,0)),"¿Código?"))</f>
        <v/>
      </c>
      <c r="D351" s="8" t="str">
        <f aca="false">IF($B351="","",IFERROR(INDEX(INSUMOS!$D$6:$D$205,MATCH($B351,INSUMOS!$A$6:$A$205,0)),""))</f>
        <v/>
      </c>
      <c r="E351" s="6"/>
      <c r="F351" s="39"/>
      <c r="G351" s="6"/>
      <c r="H351" s="6"/>
      <c r="I351" s="43" t="str">
        <f aca="false">IF($B351="","",IFERROR(INDEX(INSUMOS!$O$6:$O$205,MATCH($B351,INSUMOS!$A$6:$A$205,0)),0))</f>
        <v/>
      </c>
      <c r="J351" s="45" t="str">
        <f aca="false">IF($B351="","",IF($E351="Ajuste (+) sobrante",1,-1)*N($F351))</f>
        <v/>
      </c>
      <c r="K351" s="35" t="str">
        <f aca="false">IF($B351="","",$J351*$I351)</f>
        <v/>
      </c>
      <c r="L351" s="46" t="str">
        <f aca="false">IF($A351="","",DATE(YEAR($A351),MONTH($A351),1))</f>
        <v/>
      </c>
    </row>
    <row r="352" customFormat="false" ht="15" hidden="false" customHeight="false" outlineLevel="0" collapsed="false">
      <c r="A352" s="44"/>
      <c r="B352" s="6"/>
      <c r="C352" s="8" t="str">
        <f aca="false">IF($B352="","",IFERROR(INDEX(INSUMOS!$B$6:$B$205,MATCH($B352,INSUMOS!$A$6:$A$205,0)),"¿Código?"))</f>
        <v/>
      </c>
      <c r="D352" s="8" t="str">
        <f aca="false">IF($B352="","",IFERROR(INDEX(INSUMOS!$D$6:$D$205,MATCH($B352,INSUMOS!$A$6:$A$205,0)),""))</f>
        <v/>
      </c>
      <c r="E352" s="6"/>
      <c r="F352" s="39"/>
      <c r="G352" s="6"/>
      <c r="H352" s="6"/>
      <c r="I352" s="43" t="str">
        <f aca="false">IF($B352="","",IFERROR(INDEX(INSUMOS!$O$6:$O$205,MATCH($B352,INSUMOS!$A$6:$A$205,0)),0))</f>
        <v/>
      </c>
      <c r="J352" s="45" t="str">
        <f aca="false">IF($B352="","",IF($E352="Ajuste (+) sobrante",1,-1)*N($F352))</f>
        <v/>
      </c>
      <c r="K352" s="35" t="str">
        <f aca="false">IF($B352="","",$J352*$I352)</f>
        <v/>
      </c>
      <c r="L352" s="46" t="str">
        <f aca="false">IF($A352="","",DATE(YEAR($A352),MONTH($A352),1))</f>
        <v/>
      </c>
    </row>
    <row r="353" customFormat="false" ht="15" hidden="false" customHeight="false" outlineLevel="0" collapsed="false">
      <c r="A353" s="44"/>
      <c r="B353" s="6"/>
      <c r="C353" s="8" t="str">
        <f aca="false">IF($B353="","",IFERROR(INDEX(INSUMOS!$B$6:$B$205,MATCH($B353,INSUMOS!$A$6:$A$205,0)),"¿Código?"))</f>
        <v/>
      </c>
      <c r="D353" s="8" t="str">
        <f aca="false">IF($B353="","",IFERROR(INDEX(INSUMOS!$D$6:$D$205,MATCH($B353,INSUMOS!$A$6:$A$205,0)),""))</f>
        <v/>
      </c>
      <c r="E353" s="6"/>
      <c r="F353" s="39"/>
      <c r="G353" s="6"/>
      <c r="H353" s="6"/>
      <c r="I353" s="43" t="str">
        <f aca="false">IF($B353="","",IFERROR(INDEX(INSUMOS!$O$6:$O$205,MATCH($B353,INSUMOS!$A$6:$A$205,0)),0))</f>
        <v/>
      </c>
      <c r="J353" s="45" t="str">
        <f aca="false">IF($B353="","",IF($E353="Ajuste (+) sobrante",1,-1)*N($F353))</f>
        <v/>
      </c>
      <c r="K353" s="35" t="str">
        <f aca="false">IF($B353="","",$J353*$I353)</f>
        <v/>
      </c>
      <c r="L353" s="46" t="str">
        <f aca="false">IF($A353="","",DATE(YEAR($A353),MONTH($A353),1))</f>
        <v/>
      </c>
    </row>
    <row r="354" customFormat="false" ht="15" hidden="false" customHeight="false" outlineLevel="0" collapsed="false">
      <c r="A354" s="44"/>
      <c r="B354" s="6"/>
      <c r="C354" s="8" t="str">
        <f aca="false">IF($B354="","",IFERROR(INDEX(INSUMOS!$B$6:$B$205,MATCH($B354,INSUMOS!$A$6:$A$205,0)),"¿Código?"))</f>
        <v/>
      </c>
      <c r="D354" s="8" t="str">
        <f aca="false">IF($B354="","",IFERROR(INDEX(INSUMOS!$D$6:$D$205,MATCH($B354,INSUMOS!$A$6:$A$205,0)),""))</f>
        <v/>
      </c>
      <c r="E354" s="6"/>
      <c r="F354" s="39"/>
      <c r="G354" s="6"/>
      <c r="H354" s="6"/>
      <c r="I354" s="43" t="str">
        <f aca="false">IF($B354="","",IFERROR(INDEX(INSUMOS!$O$6:$O$205,MATCH($B354,INSUMOS!$A$6:$A$205,0)),0))</f>
        <v/>
      </c>
      <c r="J354" s="45" t="str">
        <f aca="false">IF($B354="","",IF($E354="Ajuste (+) sobrante",1,-1)*N($F354))</f>
        <v/>
      </c>
      <c r="K354" s="35" t="str">
        <f aca="false">IF($B354="","",$J354*$I354)</f>
        <v/>
      </c>
      <c r="L354" s="46" t="str">
        <f aca="false">IF($A354="","",DATE(YEAR($A354),MONTH($A354),1))</f>
        <v/>
      </c>
    </row>
    <row r="355" customFormat="false" ht="15" hidden="false" customHeight="false" outlineLevel="0" collapsed="false">
      <c r="A355" s="44"/>
      <c r="B355" s="6"/>
      <c r="C355" s="8" t="str">
        <f aca="false">IF($B355="","",IFERROR(INDEX(INSUMOS!$B$6:$B$205,MATCH($B355,INSUMOS!$A$6:$A$205,0)),"¿Código?"))</f>
        <v/>
      </c>
      <c r="D355" s="8" t="str">
        <f aca="false">IF($B355="","",IFERROR(INDEX(INSUMOS!$D$6:$D$205,MATCH($B355,INSUMOS!$A$6:$A$205,0)),""))</f>
        <v/>
      </c>
      <c r="E355" s="6"/>
      <c r="F355" s="39"/>
      <c r="G355" s="6"/>
      <c r="H355" s="6"/>
      <c r="I355" s="43" t="str">
        <f aca="false">IF($B355="","",IFERROR(INDEX(INSUMOS!$O$6:$O$205,MATCH($B355,INSUMOS!$A$6:$A$205,0)),0))</f>
        <v/>
      </c>
      <c r="J355" s="45" t="str">
        <f aca="false">IF($B355="","",IF($E355="Ajuste (+) sobrante",1,-1)*N($F355))</f>
        <v/>
      </c>
      <c r="K355" s="35" t="str">
        <f aca="false">IF($B355="","",$J355*$I355)</f>
        <v/>
      </c>
      <c r="L355" s="46" t="str">
        <f aca="false">IF($A355="","",DATE(YEAR($A355),MONTH($A355),1))</f>
        <v/>
      </c>
    </row>
    <row r="356" customFormat="false" ht="15" hidden="false" customHeight="false" outlineLevel="0" collapsed="false">
      <c r="A356" s="44"/>
      <c r="B356" s="6"/>
      <c r="C356" s="8" t="str">
        <f aca="false">IF($B356="","",IFERROR(INDEX(INSUMOS!$B$6:$B$205,MATCH($B356,INSUMOS!$A$6:$A$205,0)),"¿Código?"))</f>
        <v/>
      </c>
      <c r="D356" s="8" t="str">
        <f aca="false">IF($B356="","",IFERROR(INDEX(INSUMOS!$D$6:$D$205,MATCH($B356,INSUMOS!$A$6:$A$205,0)),""))</f>
        <v/>
      </c>
      <c r="E356" s="6"/>
      <c r="F356" s="39"/>
      <c r="G356" s="6"/>
      <c r="H356" s="6"/>
      <c r="I356" s="43" t="str">
        <f aca="false">IF($B356="","",IFERROR(INDEX(INSUMOS!$O$6:$O$205,MATCH($B356,INSUMOS!$A$6:$A$205,0)),0))</f>
        <v/>
      </c>
      <c r="J356" s="45" t="str">
        <f aca="false">IF($B356="","",IF($E356="Ajuste (+) sobrante",1,-1)*N($F356))</f>
        <v/>
      </c>
      <c r="K356" s="35" t="str">
        <f aca="false">IF($B356="","",$J356*$I356)</f>
        <v/>
      </c>
      <c r="L356" s="46" t="str">
        <f aca="false">IF($A356="","",DATE(YEAR($A356),MONTH($A356),1))</f>
        <v/>
      </c>
    </row>
    <row r="357" customFormat="false" ht="15" hidden="false" customHeight="false" outlineLevel="0" collapsed="false">
      <c r="A357" s="44"/>
      <c r="B357" s="6"/>
      <c r="C357" s="8" t="str">
        <f aca="false">IF($B357="","",IFERROR(INDEX(INSUMOS!$B$6:$B$205,MATCH($B357,INSUMOS!$A$6:$A$205,0)),"¿Código?"))</f>
        <v/>
      </c>
      <c r="D357" s="8" t="str">
        <f aca="false">IF($B357="","",IFERROR(INDEX(INSUMOS!$D$6:$D$205,MATCH($B357,INSUMOS!$A$6:$A$205,0)),""))</f>
        <v/>
      </c>
      <c r="E357" s="6"/>
      <c r="F357" s="39"/>
      <c r="G357" s="6"/>
      <c r="H357" s="6"/>
      <c r="I357" s="43" t="str">
        <f aca="false">IF($B357="","",IFERROR(INDEX(INSUMOS!$O$6:$O$205,MATCH($B357,INSUMOS!$A$6:$A$205,0)),0))</f>
        <v/>
      </c>
      <c r="J357" s="45" t="str">
        <f aca="false">IF($B357="","",IF($E357="Ajuste (+) sobrante",1,-1)*N($F357))</f>
        <v/>
      </c>
      <c r="K357" s="35" t="str">
        <f aca="false">IF($B357="","",$J357*$I357)</f>
        <v/>
      </c>
      <c r="L357" s="46" t="str">
        <f aca="false">IF($A357="","",DATE(YEAR($A357),MONTH($A357),1))</f>
        <v/>
      </c>
    </row>
    <row r="358" customFormat="false" ht="15" hidden="false" customHeight="false" outlineLevel="0" collapsed="false">
      <c r="A358" s="44"/>
      <c r="B358" s="6"/>
      <c r="C358" s="8" t="str">
        <f aca="false">IF($B358="","",IFERROR(INDEX(INSUMOS!$B$6:$B$205,MATCH($B358,INSUMOS!$A$6:$A$205,0)),"¿Código?"))</f>
        <v/>
      </c>
      <c r="D358" s="8" t="str">
        <f aca="false">IF($B358="","",IFERROR(INDEX(INSUMOS!$D$6:$D$205,MATCH($B358,INSUMOS!$A$6:$A$205,0)),""))</f>
        <v/>
      </c>
      <c r="E358" s="6"/>
      <c r="F358" s="39"/>
      <c r="G358" s="6"/>
      <c r="H358" s="6"/>
      <c r="I358" s="43" t="str">
        <f aca="false">IF($B358="","",IFERROR(INDEX(INSUMOS!$O$6:$O$205,MATCH($B358,INSUMOS!$A$6:$A$205,0)),0))</f>
        <v/>
      </c>
      <c r="J358" s="45" t="str">
        <f aca="false">IF($B358="","",IF($E358="Ajuste (+) sobrante",1,-1)*N($F358))</f>
        <v/>
      </c>
      <c r="K358" s="35" t="str">
        <f aca="false">IF($B358="","",$J358*$I358)</f>
        <v/>
      </c>
      <c r="L358" s="46" t="str">
        <f aca="false">IF($A358="","",DATE(YEAR($A358),MONTH($A358),1))</f>
        <v/>
      </c>
    </row>
    <row r="359" customFormat="false" ht="15" hidden="false" customHeight="false" outlineLevel="0" collapsed="false">
      <c r="A359" s="44"/>
      <c r="B359" s="6"/>
      <c r="C359" s="8" t="str">
        <f aca="false">IF($B359="","",IFERROR(INDEX(INSUMOS!$B$6:$B$205,MATCH($B359,INSUMOS!$A$6:$A$205,0)),"¿Código?"))</f>
        <v/>
      </c>
      <c r="D359" s="8" t="str">
        <f aca="false">IF($B359="","",IFERROR(INDEX(INSUMOS!$D$6:$D$205,MATCH($B359,INSUMOS!$A$6:$A$205,0)),""))</f>
        <v/>
      </c>
      <c r="E359" s="6"/>
      <c r="F359" s="39"/>
      <c r="G359" s="6"/>
      <c r="H359" s="6"/>
      <c r="I359" s="43" t="str">
        <f aca="false">IF($B359="","",IFERROR(INDEX(INSUMOS!$O$6:$O$205,MATCH($B359,INSUMOS!$A$6:$A$205,0)),0))</f>
        <v/>
      </c>
      <c r="J359" s="45" t="str">
        <f aca="false">IF($B359="","",IF($E359="Ajuste (+) sobrante",1,-1)*N($F359))</f>
        <v/>
      </c>
      <c r="K359" s="35" t="str">
        <f aca="false">IF($B359="","",$J359*$I359)</f>
        <v/>
      </c>
      <c r="L359" s="46" t="str">
        <f aca="false">IF($A359="","",DATE(YEAR($A359),MONTH($A359),1))</f>
        <v/>
      </c>
    </row>
    <row r="360" customFormat="false" ht="15" hidden="false" customHeight="false" outlineLevel="0" collapsed="false">
      <c r="A360" s="44"/>
      <c r="B360" s="6"/>
      <c r="C360" s="8" t="str">
        <f aca="false">IF($B360="","",IFERROR(INDEX(INSUMOS!$B$6:$B$205,MATCH($B360,INSUMOS!$A$6:$A$205,0)),"¿Código?"))</f>
        <v/>
      </c>
      <c r="D360" s="8" t="str">
        <f aca="false">IF($B360="","",IFERROR(INDEX(INSUMOS!$D$6:$D$205,MATCH($B360,INSUMOS!$A$6:$A$205,0)),""))</f>
        <v/>
      </c>
      <c r="E360" s="6"/>
      <c r="F360" s="39"/>
      <c r="G360" s="6"/>
      <c r="H360" s="6"/>
      <c r="I360" s="43" t="str">
        <f aca="false">IF($B360="","",IFERROR(INDEX(INSUMOS!$O$6:$O$205,MATCH($B360,INSUMOS!$A$6:$A$205,0)),0))</f>
        <v/>
      </c>
      <c r="J360" s="45" t="str">
        <f aca="false">IF($B360="","",IF($E360="Ajuste (+) sobrante",1,-1)*N($F360))</f>
        <v/>
      </c>
      <c r="K360" s="35" t="str">
        <f aca="false">IF($B360="","",$J360*$I360)</f>
        <v/>
      </c>
      <c r="L360" s="46" t="str">
        <f aca="false">IF($A360="","",DATE(YEAR($A360),MONTH($A360),1))</f>
        <v/>
      </c>
    </row>
    <row r="361" customFormat="false" ht="15" hidden="false" customHeight="false" outlineLevel="0" collapsed="false">
      <c r="A361" s="44"/>
      <c r="B361" s="6"/>
      <c r="C361" s="8" t="str">
        <f aca="false">IF($B361="","",IFERROR(INDEX(INSUMOS!$B$6:$B$205,MATCH($B361,INSUMOS!$A$6:$A$205,0)),"¿Código?"))</f>
        <v/>
      </c>
      <c r="D361" s="8" t="str">
        <f aca="false">IF($B361="","",IFERROR(INDEX(INSUMOS!$D$6:$D$205,MATCH($B361,INSUMOS!$A$6:$A$205,0)),""))</f>
        <v/>
      </c>
      <c r="E361" s="6"/>
      <c r="F361" s="39"/>
      <c r="G361" s="6"/>
      <c r="H361" s="6"/>
      <c r="I361" s="43" t="str">
        <f aca="false">IF($B361="","",IFERROR(INDEX(INSUMOS!$O$6:$O$205,MATCH($B361,INSUMOS!$A$6:$A$205,0)),0))</f>
        <v/>
      </c>
      <c r="J361" s="45" t="str">
        <f aca="false">IF($B361="","",IF($E361="Ajuste (+) sobrante",1,-1)*N($F361))</f>
        <v/>
      </c>
      <c r="K361" s="35" t="str">
        <f aca="false">IF($B361="","",$J361*$I361)</f>
        <v/>
      </c>
      <c r="L361" s="46" t="str">
        <f aca="false">IF($A361="","",DATE(YEAR($A361),MONTH($A361),1))</f>
        <v/>
      </c>
    </row>
    <row r="362" customFormat="false" ht="15" hidden="false" customHeight="false" outlineLevel="0" collapsed="false">
      <c r="A362" s="44"/>
      <c r="B362" s="6"/>
      <c r="C362" s="8" t="str">
        <f aca="false">IF($B362="","",IFERROR(INDEX(INSUMOS!$B$6:$B$205,MATCH($B362,INSUMOS!$A$6:$A$205,0)),"¿Código?"))</f>
        <v/>
      </c>
      <c r="D362" s="8" t="str">
        <f aca="false">IF($B362="","",IFERROR(INDEX(INSUMOS!$D$6:$D$205,MATCH($B362,INSUMOS!$A$6:$A$205,0)),""))</f>
        <v/>
      </c>
      <c r="E362" s="6"/>
      <c r="F362" s="39"/>
      <c r="G362" s="6"/>
      <c r="H362" s="6"/>
      <c r="I362" s="43" t="str">
        <f aca="false">IF($B362="","",IFERROR(INDEX(INSUMOS!$O$6:$O$205,MATCH($B362,INSUMOS!$A$6:$A$205,0)),0))</f>
        <v/>
      </c>
      <c r="J362" s="45" t="str">
        <f aca="false">IF($B362="","",IF($E362="Ajuste (+) sobrante",1,-1)*N($F362))</f>
        <v/>
      </c>
      <c r="K362" s="35" t="str">
        <f aca="false">IF($B362="","",$J362*$I362)</f>
        <v/>
      </c>
      <c r="L362" s="46" t="str">
        <f aca="false">IF($A362="","",DATE(YEAR($A362),MONTH($A362),1))</f>
        <v/>
      </c>
    </row>
    <row r="363" customFormat="false" ht="15" hidden="false" customHeight="false" outlineLevel="0" collapsed="false">
      <c r="A363" s="44"/>
      <c r="B363" s="6"/>
      <c r="C363" s="8" t="str">
        <f aca="false">IF($B363="","",IFERROR(INDEX(INSUMOS!$B$6:$B$205,MATCH($B363,INSUMOS!$A$6:$A$205,0)),"¿Código?"))</f>
        <v/>
      </c>
      <c r="D363" s="8" t="str">
        <f aca="false">IF($B363="","",IFERROR(INDEX(INSUMOS!$D$6:$D$205,MATCH($B363,INSUMOS!$A$6:$A$205,0)),""))</f>
        <v/>
      </c>
      <c r="E363" s="6"/>
      <c r="F363" s="39"/>
      <c r="G363" s="6"/>
      <c r="H363" s="6"/>
      <c r="I363" s="43" t="str">
        <f aca="false">IF($B363="","",IFERROR(INDEX(INSUMOS!$O$6:$O$205,MATCH($B363,INSUMOS!$A$6:$A$205,0)),0))</f>
        <v/>
      </c>
      <c r="J363" s="45" t="str">
        <f aca="false">IF($B363="","",IF($E363="Ajuste (+) sobrante",1,-1)*N($F363))</f>
        <v/>
      </c>
      <c r="K363" s="35" t="str">
        <f aca="false">IF($B363="","",$J363*$I363)</f>
        <v/>
      </c>
      <c r="L363" s="46" t="str">
        <f aca="false">IF($A363="","",DATE(YEAR($A363),MONTH($A363),1))</f>
        <v/>
      </c>
    </row>
    <row r="364" customFormat="false" ht="15" hidden="false" customHeight="false" outlineLevel="0" collapsed="false">
      <c r="A364" s="44"/>
      <c r="B364" s="6"/>
      <c r="C364" s="8" t="str">
        <f aca="false">IF($B364="","",IFERROR(INDEX(INSUMOS!$B$6:$B$205,MATCH($B364,INSUMOS!$A$6:$A$205,0)),"¿Código?"))</f>
        <v/>
      </c>
      <c r="D364" s="8" t="str">
        <f aca="false">IF($B364="","",IFERROR(INDEX(INSUMOS!$D$6:$D$205,MATCH($B364,INSUMOS!$A$6:$A$205,0)),""))</f>
        <v/>
      </c>
      <c r="E364" s="6"/>
      <c r="F364" s="39"/>
      <c r="G364" s="6"/>
      <c r="H364" s="6"/>
      <c r="I364" s="43" t="str">
        <f aca="false">IF($B364="","",IFERROR(INDEX(INSUMOS!$O$6:$O$205,MATCH($B364,INSUMOS!$A$6:$A$205,0)),0))</f>
        <v/>
      </c>
      <c r="J364" s="45" t="str">
        <f aca="false">IF($B364="","",IF($E364="Ajuste (+) sobrante",1,-1)*N($F364))</f>
        <v/>
      </c>
      <c r="K364" s="35" t="str">
        <f aca="false">IF($B364="","",$J364*$I364)</f>
        <v/>
      </c>
      <c r="L364" s="46" t="str">
        <f aca="false">IF($A364="","",DATE(YEAR($A364),MONTH($A364),1))</f>
        <v/>
      </c>
    </row>
    <row r="365" customFormat="false" ht="15" hidden="false" customHeight="false" outlineLevel="0" collapsed="false">
      <c r="A365" s="44"/>
      <c r="B365" s="6"/>
      <c r="C365" s="8" t="str">
        <f aca="false">IF($B365="","",IFERROR(INDEX(INSUMOS!$B$6:$B$205,MATCH($B365,INSUMOS!$A$6:$A$205,0)),"¿Código?"))</f>
        <v/>
      </c>
      <c r="D365" s="8" t="str">
        <f aca="false">IF($B365="","",IFERROR(INDEX(INSUMOS!$D$6:$D$205,MATCH($B365,INSUMOS!$A$6:$A$205,0)),""))</f>
        <v/>
      </c>
      <c r="E365" s="6"/>
      <c r="F365" s="39"/>
      <c r="G365" s="6"/>
      <c r="H365" s="6"/>
      <c r="I365" s="43" t="str">
        <f aca="false">IF($B365="","",IFERROR(INDEX(INSUMOS!$O$6:$O$205,MATCH($B365,INSUMOS!$A$6:$A$205,0)),0))</f>
        <v/>
      </c>
      <c r="J365" s="45" t="str">
        <f aca="false">IF($B365="","",IF($E365="Ajuste (+) sobrante",1,-1)*N($F365))</f>
        <v/>
      </c>
      <c r="K365" s="35" t="str">
        <f aca="false">IF($B365="","",$J365*$I365)</f>
        <v/>
      </c>
      <c r="L365" s="46" t="str">
        <f aca="false">IF($A365="","",DATE(YEAR($A365),MONTH($A365),1))</f>
        <v/>
      </c>
    </row>
    <row r="366" customFormat="false" ht="15" hidden="false" customHeight="false" outlineLevel="0" collapsed="false">
      <c r="A366" s="44"/>
      <c r="B366" s="6"/>
      <c r="C366" s="8" t="str">
        <f aca="false">IF($B366="","",IFERROR(INDEX(INSUMOS!$B$6:$B$205,MATCH($B366,INSUMOS!$A$6:$A$205,0)),"¿Código?"))</f>
        <v/>
      </c>
      <c r="D366" s="8" t="str">
        <f aca="false">IF($B366="","",IFERROR(INDEX(INSUMOS!$D$6:$D$205,MATCH($B366,INSUMOS!$A$6:$A$205,0)),""))</f>
        <v/>
      </c>
      <c r="E366" s="6"/>
      <c r="F366" s="39"/>
      <c r="G366" s="6"/>
      <c r="H366" s="6"/>
      <c r="I366" s="43" t="str">
        <f aca="false">IF($B366="","",IFERROR(INDEX(INSUMOS!$O$6:$O$205,MATCH($B366,INSUMOS!$A$6:$A$205,0)),0))</f>
        <v/>
      </c>
      <c r="J366" s="45" t="str">
        <f aca="false">IF($B366="","",IF($E366="Ajuste (+) sobrante",1,-1)*N($F366))</f>
        <v/>
      </c>
      <c r="K366" s="35" t="str">
        <f aca="false">IF($B366="","",$J366*$I366)</f>
        <v/>
      </c>
      <c r="L366" s="46" t="str">
        <f aca="false">IF($A366="","",DATE(YEAR($A366),MONTH($A366),1))</f>
        <v/>
      </c>
    </row>
    <row r="367" customFormat="false" ht="15" hidden="false" customHeight="false" outlineLevel="0" collapsed="false">
      <c r="A367" s="44"/>
      <c r="B367" s="6"/>
      <c r="C367" s="8" t="str">
        <f aca="false">IF($B367="","",IFERROR(INDEX(INSUMOS!$B$6:$B$205,MATCH($B367,INSUMOS!$A$6:$A$205,0)),"¿Código?"))</f>
        <v/>
      </c>
      <c r="D367" s="8" t="str">
        <f aca="false">IF($B367="","",IFERROR(INDEX(INSUMOS!$D$6:$D$205,MATCH($B367,INSUMOS!$A$6:$A$205,0)),""))</f>
        <v/>
      </c>
      <c r="E367" s="6"/>
      <c r="F367" s="39"/>
      <c r="G367" s="6"/>
      <c r="H367" s="6"/>
      <c r="I367" s="43" t="str">
        <f aca="false">IF($B367="","",IFERROR(INDEX(INSUMOS!$O$6:$O$205,MATCH($B367,INSUMOS!$A$6:$A$205,0)),0))</f>
        <v/>
      </c>
      <c r="J367" s="45" t="str">
        <f aca="false">IF($B367="","",IF($E367="Ajuste (+) sobrante",1,-1)*N($F367))</f>
        <v/>
      </c>
      <c r="K367" s="35" t="str">
        <f aca="false">IF($B367="","",$J367*$I367)</f>
        <v/>
      </c>
      <c r="L367" s="46" t="str">
        <f aca="false">IF($A367="","",DATE(YEAR($A367),MONTH($A367),1))</f>
        <v/>
      </c>
    </row>
    <row r="368" customFormat="false" ht="15" hidden="false" customHeight="false" outlineLevel="0" collapsed="false">
      <c r="A368" s="44"/>
      <c r="B368" s="6"/>
      <c r="C368" s="8" t="str">
        <f aca="false">IF($B368="","",IFERROR(INDEX(INSUMOS!$B$6:$B$205,MATCH($B368,INSUMOS!$A$6:$A$205,0)),"¿Código?"))</f>
        <v/>
      </c>
      <c r="D368" s="8" t="str">
        <f aca="false">IF($B368="","",IFERROR(INDEX(INSUMOS!$D$6:$D$205,MATCH($B368,INSUMOS!$A$6:$A$205,0)),""))</f>
        <v/>
      </c>
      <c r="E368" s="6"/>
      <c r="F368" s="39"/>
      <c r="G368" s="6"/>
      <c r="H368" s="6"/>
      <c r="I368" s="43" t="str">
        <f aca="false">IF($B368="","",IFERROR(INDEX(INSUMOS!$O$6:$O$205,MATCH($B368,INSUMOS!$A$6:$A$205,0)),0))</f>
        <v/>
      </c>
      <c r="J368" s="45" t="str">
        <f aca="false">IF($B368="","",IF($E368="Ajuste (+) sobrante",1,-1)*N($F368))</f>
        <v/>
      </c>
      <c r="K368" s="35" t="str">
        <f aca="false">IF($B368="","",$J368*$I368)</f>
        <v/>
      </c>
      <c r="L368" s="46" t="str">
        <f aca="false">IF($A368="","",DATE(YEAR($A368),MONTH($A368),1))</f>
        <v/>
      </c>
    </row>
    <row r="369" customFormat="false" ht="15" hidden="false" customHeight="false" outlineLevel="0" collapsed="false">
      <c r="A369" s="44"/>
      <c r="B369" s="6"/>
      <c r="C369" s="8" t="str">
        <f aca="false">IF($B369="","",IFERROR(INDEX(INSUMOS!$B$6:$B$205,MATCH($B369,INSUMOS!$A$6:$A$205,0)),"¿Código?"))</f>
        <v/>
      </c>
      <c r="D369" s="8" t="str">
        <f aca="false">IF($B369="","",IFERROR(INDEX(INSUMOS!$D$6:$D$205,MATCH($B369,INSUMOS!$A$6:$A$205,0)),""))</f>
        <v/>
      </c>
      <c r="E369" s="6"/>
      <c r="F369" s="39"/>
      <c r="G369" s="6"/>
      <c r="H369" s="6"/>
      <c r="I369" s="43" t="str">
        <f aca="false">IF($B369="","",IFERROR(INDEX(INSUMOS!$O$6:$O$205,MATCH($B369,INSUMOS!$A$6:$A$205,0)),0))</f>
        <v/>
      </c>
      <c r="J369" s="45" t="str">
        <f aca="false">IF($B369="","",IF($E369="Ajuste (+) sobrante",1,-1)*N($F369))</f>
        <v/>
      </c>
      <c r="K369" s="35" t="str">
        <f aca="false">IF($B369="","",$J369*$I369)</f>
        <v/>
      </c>
      <c r="L369" s="46" t="str">
        <f aca="false">IF($A369="","",DATE(YEAR($A369),MONTH($A369),1))</f>
        <v/>
      </c>
    </row>
    <row r="370" customFormat="false" ht="15" hidden="false" customHeight="false" outlineLevel="0" collapsed="false">
      <c r="A370" s="44"/>
      <c r="B370" s="6"/>
      <c r="C370" s="8" t="str">
        <f aca="false">IF($B370="","",IFERROR(INDEX(INSUMOS!$B$6:$B$205,MATCH($B370,INSUMOS!$A$6:$A$205,0)),"¿Código?"))</f>
        <v/>
      </c>
      <c r="D370" s="8" t="str">
        <f aca="false">IF($B370="","",IFERROR(INDEX(INSUMOS!$D$6:$D$205,MATCH($B370,INSUMOS!$A$6:$A$205,0)),""))</f>
        <v/>
      </c>
      <c r="E370" s="6"/>
      <c r="F370" s="39"/>
      <c r="G370" s="6"/>
      <c r="H370" s="6"/>
      <c r="I370" s="43" t="str">
        <f aca="false">IF($B370="","",IFERROR(INDEX(INSUMOS!$O$6:$O$205,MATCH($B370,INSUMOS!$A$6:$A$205,0)),0))</f>
        <v/>
      </c>
      <c r="J370" s="45" t="str">
        <f aca="false">IF($B370="","",IF($E370="Ajuste (+) sobrante",1,-1)*N($F370))</f>
        <v/>
      </c>
      <c r="K370" s="35" t="str">
        <f aca="false">IF($B370="","",$J370*$I370)</f>
        <v/>
      </c>
      <c r="L370" s="46" t="str">
        <f aca="false">IF($A370="","",DATE(YEAR($A370),MONTH($A370),1))</f>
        <v/>
      </c>
    </row>
    <row r="371" customFormat="false" ht="15" hidden="false" customHeight="false" outlineLevel="0" collapsed="false">
      <c r="A371" s="44"/>
      <c r="B371" s="6"/>
      <c r="C371" s="8" t="str">
        <f aca="false">IF($B371="","",IFERROR(INDEX(INSUMOS!$B$6:$B$205,MATCH($B371,INSUMOS!$A$6:$A$205,0)),"¿Código?"))</f>
        <v/>
      </c>
      <c r="D371" s="8" t="str">
        <f aca="false">IF($B371="","",IFERROR(INDEX(INSUMOS!$D$6:$D$205,MATCH($B371,INSUMOS!$A$6:$A$205,0)),""))</f>
        <v/>
      </c>
      <c r="E371" s="6"/>
      <c r="F371" s="39"/>
      <c r="G371" s="6"/>
      <c r="H371" s="6"/>
      <c r="I371" s="43" t="str">
        <f aca="false">IF($B371="","",IFERROR(INDEX(INSUMOS!$O$6:$O$205,MATCH($B371,INSUMOS!$A$6:$A$205,0)),0))</f>
        <v/>
      </c>
      <c r="J371" s="45" t="str">
        <f aca="false">IF($B371="","",IF($E371="Ajuste (+) sobrante",1,-1)*N($F371))</f>
        <v/>
      </c>
      <c r="K371" s="35" t="str">
        <f aca="false">IF($B371="","",$J371*$I371)</f>
        <v/>
      </c>
      <c r="L371" s="46" t="str">
        <f aca="false">IF($A371="","",DATE(YEAR($A371),MONTH($A371),1))</f>
        <v/>
      </c>
    </row>
    <row r="372" customFormat="false" ht="15" hidden="false" customHeight="false" outlineLevel="0" collapsed="false">
      <c r="A372" s="44"/>
      <c r="B372" s="6"/>
      <c r="C372" s="8" t="str">
        <f aca="false">IF($B372="","",IFERROR(INDEX(INSUMOS!$B$6:$B$205,MATCH($B372,INSUMOS!$A$6:$A$205,0)),"¿Código?"))</f>
        <v/>
      </c>
      <c r="D372" s="8" t="str">
        <f aca="false">IF($B372="","",IFERROR(INDEX(INSUMOS!$D$6:$D$205,MATCH($B372,INSUMOS!$A$6:$A$205,0)),""))</f>
        <v/>
      </c>
      <c r="E372" s="6"/>
      <c r="F372" s="39"/>
      <c r="G372" s="6"/>
      <c r="H372" s="6"/>
      <c r="I372" s="43" t="str">
        <f aca="false">IF($B372="","",IFERROR(INDEX(INSUMOS!$O$6:$O$205,MATCH($B372,INSUMOS!$A$6:$A$205,0)),0))</f>
        <v/>
      </c>
      <c r="J372" s="45" t="str">
        <f aca="false">IF($B372="","",IF($E372="Ajuste (+) sobrante",1,-1)*N($F372))</f>
        <v/>
      </c>
      <c r="K372" s="35" t="str">
        <f aca="false">IF($B372="","",$J372*$I372)</f>
        <v/>
      </c>
      <c r="L372" s="46" t="str">
        <f aca="false">IF($A372="","",DATE(YEAR($A372),MONTH($A372),1))</f>
        <v/>
      </c>
    </row>
    <row r="373" customFormat="false" ht="15" hidden="false" customHeight="false" outlineLevel="0" collapsed="false">
      <c r="A373" s="44"/>
      <c r="B373" s="6"/>
      <c r="C373" s="8" t="str">
        <f aca="false">IF($B373="","",IFERROR(INDEX(INSUMOS!$B$6:$B$205,MATCH($B373,INSUMOS!$A$6:$A$205,0)),"¿Código?"))</f>
        <v/>
      </c>
      <c r="D373" s="8" t="str">
        <f aca="false">IF($B373="","",IFERROR(INDEX(INSUMOS!$D$6:$D$205,MATCH($B373,INSUMOS!$A$6:$A$205,0)),""))</f>
        <v/>
      </c>
      <c r="E373" s="6"/>
      <c r="F373" s="39"/>
      <c r="G373" s="6"/>
      <c r="H373" s="6"/>
      <c r="I373" s="43" t="str">
        <f aca="false">IF($B373="","",IFERROR(INDEX(INSUMOS!$O$6:$O$205,MATCH($B373,INSUMOS!$A$6:$A$205,0)),0))</f>
        <v/>
      </c>
      <c r="J373" s="45" t="str">
        <f aca="false">IF($B373="","",IF($E373="Ajuste (+) sobrante",1,-1)*N($F373))</f>
        <v/>
      </c>
      <c r="K373" s="35" t="str">
        <f aca="false">IF($B373="","",$J373*$I373)</f>
        <v/>
      </c>
      <c r="L373" s="46" t="str">
        <f aca="false">IF($A373="","",DATE(YEAR($A373),MONTH($A373),1))</f>
        <v/>
      </c>
    </row>
    <row r="374" customFormat="false" ht="15" hidden="false" customHeight="false" outlineLevel="0" collapsed="false">
      <c r="A374" s="44"/>
      <c r="B374" s="6"/>
      <c r="C374" s="8" t="str">
        <f aca="false">IF($B374="","",IFERROR(INDEX(INSUMOS!$B$6:$B$205,MATCH($B374,INSUMOS!$A$6:$A$205,0)),"¿Código?"))</f>
        <v/>
      </c>
      <c r="D374" s="8" t="str">
        <f aca="false">IF($B374="","",IFERROR(INDEX(INSUMOS!$D$6:$D$205,MATCH($B374,INSUMOS!$A$6:$A$205,0)),""))</f>
        <v/>
      </c>
      <c r="E374" s="6"/>
      <c r="F374" s="39"/>
      <c r="G374" s="6"/>
      <c r="H374" s="6"/>
      <c r="I374" s="43" t="str">
        <f aca="false">IF($B374="","",IFERROR(INDEX(INSUMOS!$O$6:$O$205,MATCH($B374,INSUMOS!$A$6:$A$205,0)),0))</f>
        <v/>
      </c>
      <c r="J374" s="45" t="str">
        <f aca="false">IF($B374="","",IF($E374="Ajuste (+) sobrante",1,-1)*N($F374))</f>
        <v/>
      </c>
      <c r="K374" s="35" t="str">
        <f aca="false">IF($B374="","",$J374*$I374)</f>
        <v/>
      </c>
      <c r="L374" s="46" t="str">
        <f aca="false">IF($A374="","",DATE(YEAR($A374),MONTH($A374),1))</f>
        <v/>
      </c>
    </row>
    <row r="375" customFormat="false" ht="15" hidden="false" customHeight="false" outlineLevel="0" collapsed="false">
      <c r="A375" s="44"/>
      <c r="B375" s="6"/>
      <c r="C375" s="8" t="str">
        <f aca="false">IF($B375="","",IFERROR(INDEX(INSUMOS!$B$6:$B$205,MATCH($B375,INSUMOS!$A$6:$A$205,0)),"¿Código?"))</f>
        <v/>
      </c>
      <c r="D375" s="8" t="str">
        <f aca="false">IF($B375="","",IFERROR(INDEX(INSUMOS!$D$6:$D$205,MATCH($B375,INSUMOS!$A$6:$A$205,0)),""))</f>
        <v/>
      </c>
      <c r="E375" s="6"/>
      <c r="F375" s="39"/>
      <c r="G375" s="6"/>
      <c r="H375" s="6"/>
      <c r="I375" s="43" t="str">
        <f aca="false">IF($B375="","",IFERROR(INDEX(INSUMOS!$O$6:$O$205,MATCH($B375,INSUMOS!$A$6:$A$205,0)),0))</f>
        <v/>
      </c>
      <c r="J375" s="45" t="str">
        <f aca="false">IF($B375="","",IF($E375="Ajuste (+) sobrante",1,-1)*N($F375))</f>
        <v/>
      </c>
      <c r="K375" s="35" t="str">
        <f aca="false">IF($B375="","",$J375*$I375)</f>
        <v/>
      </c>
      <c r="L375" s="46" t="str">
        <f aca="false">IF($A375="","",DATE(YEAR($A375),MONTH($A375),1))</f>
        <v/>
      </c>
    </row>
    <row r="376" customFormat="false" ht="15" hidden="false" customHeight="false" outlineLevel="0" collapsed="false">
      <c r="A376" s="44"/>
      <c r="B376" s="6"/>
      <c r="C376" s="8" t="str">
        <f aca="false">IF($B376="","",IFERROR(INDEX(INSUMOS!$B$6:$B$205,MATCH($B376,INSUMOS!$A$6:$A$205,0)),"¿Código?"))</f>
        <v/>
      </c>
      <c r="D376" s="8" t="str">
        <f aca="false">IF($B376="","",IFERROR(INDEX(INSUMOS!$D$6:$D$205,MATCH($B376,INSUMOS!$A$6:$A$205,0)),""))</f>
        <v/>
      </c>
      <c r="E376" s="6"/>
      <c r="F376" s="39"/>
      <c r="G376" s="6"/>
      <c r="H376" s="6"/>
      <c r="I376" s="43" t="str">
        <f aca="false">IF($B376="","",IFERROR(INDEX(INSUMOS!$O$6:$O$205,MATCH($B376,INSUMOS!$A$6:$A$205,0)),0))</f>
        <v/>
      </c>
      <c r="J376" s="45" t="str">
        <f aca="false">IF($B376="","",IF($E376="Ajuste (+) sobrante",1,-1)*N($F376))</f>
        <v/>
      </c>
      <c r="K376" s="35" t="str">
        <f aca="false">IF($B376="","",$J376*$I376)</f>
        <v/>
      </c>
      <c r="L376" s="46" t="str">
        <f aca="false">IF($A376="","",DATE(YEAR($A376),MONTH($A376),1))</f>
        <v/>
      </c>
    </row>
    <row r="377" customFormat="false" ht="15" hidden="false" customHeight="false" outlineLevel="0" collapsed="false">
      <c r="A377" s="44"/>
      <c r="B377" s="6"/>
      <c r="C377" s="8" t="str">
        <f aca="false">IF($B377="","",IFERROR(INDEX(INSUMOS!$B$6:$B$205,MATCH($B377,INSUMOS!$A$6:$A$205,0)),"¿Código?"))</f>
        <v/>
      </c>
      <c r="D377" s="8" t="str">
        <f aca="false">IF($B377="","",IFERROR(INDEX(INSUMOS!$D$6:$D$205,MATCH($B377,INSUMOS!$A$6:$A$205,0)),""))</f>
        <v/>
      </c>
      <c r="E377" s="6"/>
      <c r="F377" s="39"/>
      <c r="G377" s="6"/>
      <c r="H377" s="6"/>
      <c r="I377" s="43" t="str">
        <f aca="false">IF($B377="","",IFERROR(INDEX(INSUMOS!$O$6:$O$205,MATCH($B377,INSUMOS!$A$6:$A$205,0)),0))</f>
        <v/>
      </c>
      <c r="J377" s="45" t="str">
        <f aca="false">IF($B377="","",IF($E377="Ajuste (+) sobrante",1,-1)*N($F377))</f>
        <v/>
      </c>
      <c r="K377" s="35" t="str">
        <f aca="false">IF($B377="","",$J377*$I377)</f>
        <v/>
      </c>
      <c r="L377" s="46" t="str">
        <f aca="false">IF($A377="","",DATE(YEAR($A377),MONTH($A377),1))</f>
        <v/>
      </c>
    </row>
    <row r="378" customFormat="false" ht="15" hidden="false" customHeight="false" outlineLevel="0" collapsed="false">
      <c r="A378" s="44"/>
      <c r="B378" s="6"/>
      <c r="C378" s="8" t="str">
        <f aca="false">IF($B378="","",IFERROR(INDEX(INSUMOS!$B$6:$B$205,MATCH($B378,INSUMOS!$A$6:$A$205,0)),"¿Código?"))</f>
        <v/>
      </c>
      <c r="D378" s="8" t="str">
        <f aca="false">IF($B378="","",IFERROR(INDEX(INSUMOS!$D$6:$D$205,MATCH($B378,INSUMOS!$A$6:$A$205,0)),""))</f>
        <v/>
      </c>
      <c r="E378" s="6"/>
      <c r="F378" s="39"/>
      <c r="G378" s="6"/>
      <c r="H378" s="6"/>
      <c r="I378" s="43" t="str">
        <f aca="false">IF($B378="","",IFERROR(INDEX(INSUMOS!$O$6:$O$205,MATCH($B378,INSUMOS!$A$6:$A$205,0)),0))</f>
        <v/>
      </c>
      <c r="J378" s="45" t="str">
        <f aca="false">IF($B378="","",IF($E378="Ajuste (+) sobrante",1,-1)*N($F378))</f>
        <v/>
      </c>
      <c r="K378" s="35" t="str">
        <f aca="false">IF($B378="","",$J378*$I378)</f>
        <v/>
      </c>
      <c r="L378" s="46" t="str">
        <f aca="false">IF($A378="","",DATE(YEAR($A378),MONTH($A378),1))</f>
        <v/>
      </c>
    </row>
    <row r="379" customFormat="false" ht="15" hidden="false" customHeight="false" outlineLevel="0" collapsed="false">
      <c r="A379" s="44"/>
      <c r="B379" s="6"/>
      <c r="C379" s="8" t="str">
        <f aca="false">IF($B379="","",IFERROR(INDEX(INSUMOS!$B$6:$B$205,MATCH($B379,INSUMOS!$A$6:$A$205,0)),"¿Código?"))</f>
        <v/>
      </c>
      <c r="D379" s="8" t="str">
        <f aca="false">IF($B379="","",IFERROR(INDEX(INSUMOS!$D$6:$D$205,MATCH($B379,INSUMOS!$A$6:$A$205,0)),""))</f>
        <v/>
      </c>
      <c r="E379" s="6"/>
      <c r="F379" s="39"/>
      <c r="G379" s="6"/>
      <c r="H379" s="6"/>
      <c r="I379" s="43" t="str">
        <f aca="false">IF($B379="","",IFERROR(INDEX(INSUMOS!$O$6:$O$205,MATCH($B379,INSUMOS!$A$6:$A$205,0)),0))</f>
        <v/>
      </c>
      <c r="J379" s="45" t="str">
        <f aca="false">IF($B379="","",IF($E379="Ajuste (+) sobrante",1,-1)*N($F379))</f>
        <v/>
      </c>
      <c r="K379" s="35" t="str">
        <f aca="false">IF($B379="","",$J379*$I379)</f>
        <v/>
      </c>
      <c r="L379" s="46" t="str">
        <f aca="false">IF($A379="","",DATE(YEAR($A379),MONTH($A379),1))</f>
        <v/>
      </c>
    </row>
    <row r="380" customFormat="false" ht="15" hidden="false" customHeight="false" outlineLevel="0" collapsed="false">
      <c r="A380" s="44"/>
      <c r="B380" s="6"/>
      <c r="C380" s="8" t="str">
        <f aca="false">IF($B380="","",IFERROR(INDEX(INSUMOS!$B$6:$B$205,MATCH($B380,INSUMOS!$A$6:$A$205,0)),"¿Código?"))</f>
        <v/>
      </c>
      <c r="D380" s="8" t="str">
        <f aca="false">IF($B380="","",IFERROR(INDEX(INSUMOS!$D$6:$D$205,MATCH($B380,INSUMOS!$A$6:$A$205,0)),""))</f>
        <v/>
      </c>
      <c r="E380" s="6"/>
      <c r="F380" s="39"/>
      <c r="G380" s="6"/>
      <c r="H380" s="6"/>
      <c r="I380" s="43" t="str">
        <f aca="false">IF($B380="","",IFERROR(INDEX(INSUMOS!$O$6:$O$205,MATCH($B380,INSUMOS!$A$6:$A$205,0)),0))</f>
        <v/>
      </c>
      <c r="J380" s="45" t="str">
        <f aca="false">IF($B380="","",IF($E380="Ajuste (+) sobrante",1,-1)*N($F380))</f>
        <v/>
      </c>
      <c r="K380" s="35" t="str">
        <f aca="false">IF($B380="","",$J380*$I380)</f>
        <v/>
      </c>
      <c r="L380" s="46" t="str">
        <f aca="false">IF($A380="","",DATE(YEAR($A380),MONTH($A380),1))</f>
        <v/>
      </c>
    </row>
    <row r="381" customFormat="false" ht="15" hidden="false" customHeight="false" outlineLevel="0" collapsed="false">
      <c r="A381" s="44"/>
      <c r="B381" s="6"/>
      <c r="C381" s="8" t="str">
        <f aca="false">IF($B381="","",IFERROR(INDEX(INSUMOS!$B$6:$B$205,MATCH($B381,INSUMOS!$A$6:$A$205,0)),"¿Código?"))</f>
        <v/>
      </c>
      <c r="D381" s="8" t="str">
        <f aca="false">IF($B381="","",IFERROR(INDEX(INSUMOS!$D$6:$D$205,MATCH($B381,INSUMOS!$A$6:$A$205,0)),""))</f>
        <v/>
      </c>
      <c r="E381" s="6"/>
      <c r="F381" s="39"/>
      <c r="G381" s="6"/>
      <c r="H381" s="6"/>
      <c r="I381" s="43" t="str">
        <f aca="false">IF($B381="","",IFERROR(INDEX(INSUMOS!$O$6:$O$205,MATCH($B381,INSUMOS!$A$6:$A$205,0)),0))</f>
        <v/>
      </c>
      <c r="J381" s="45" t="str">
        <f aca="false">IF($B381="","",IF($E381="Ajuste (+) sobrante",1,-1)*N($F381))</f>
        <v/>
      </c>
      <c r="K381" s="35" t="str">
        <f aca="false">IF($B381="","",$J381*$I381)</f>
        <v/>
      </c>
      <c r="L381" s="46" t="str">
        <f aca="false">IF($A381="","",DATE(YEAR($A381),MONTH($A381),1))</f>
        <v/>
      </c>
    </row>
    <row r="382" customFormat="false" ht="15" hidden="false" customHeight="false" outlineLevel="0" collapsed="false">
      <c r="A382" s="44"/>
      <c r="B382" s="6"/>
      <c r="C382" s="8" t="str">
        <f aca="false">IF($B382="","",IFERROR(INDEX(INSUMOS!$B$6:$B$205,MATCH($B382,INSUMOS!$A$6:$A$205,0)),"¿Código?"))</f>
        <v/>
      </c>
      <c r="D382" s="8" t="str">
        <f aca="false">IF($B382="","",IFERROR(INDEX(INSUMOS!$D$6:$D$205,MATCH($B382,INSUMOS!$A$6:$A$205,0)),""))</f>
        <v/>
      </c>
      <c r="E382" s="6"/>
      <c r="F382" s="39"/>
      <c r="G382" s="6"/>
      <c r="H382" s="6"/>
      <c r="I382" s="43" t="str">
        <f aca="false">IF($B382="","",IFERROR(INDEX(INSUMOS!$O$6:$O$205,MATCH($B382,INSUMOS!$A$6:$A$205,0)),0))</f>
        <v/>
      </c>
      <c r="J382" s="45" t="str">
        <f aca="false">IF($B382="","",IF($E382="Ajuste (+) sobrante",1,-1)*N($F382))</f>
        <v/>
      </c>
      <c r="K382" s="35" t="str">
        <f aca="false">IF($B382="","",$J382*$I382)</f>
        <v/>
      </c>
      <c r="L382" s="46" t="str">
        <f aca="false">IF($A382="","",DATE(YEAR($A382),MONTH($A382),1))</f>
        <v/>
      </c>
    </row>
    <row r="383" customFormat="false" ht="15" hidden="false" customHeight="false" outlineLevel="0" collapsed="false">
      <c r="A383" s="44"/>
      <c r="B383" s="6"/>
      <c r="C383" s="8" t="str">
        <f aca="false">IF($B383="","",IFERROR(INDEX(INSUMOS!$B$6:$B$205,MATCH($B383,INSUMOS!$A$6:$A$205,0)),"¿Código?"))</f>
        <v/>
      </c>
      <c r="D383" s="8" t="str">
        <f aca="false">IF($B383="","",IFERROR(INDEX(INSUMOS!$D$6:$D$205,MATCH($B383,INSUMOS!$A$6:$A$205,0)),""))</f>
        <v/>
      </c>
      <c r="E383" s="6"/>
      <c r="F383" s="39"/>
      <c r="G383" s="6"/>
      <c r="H383" s="6"/>
      <c r="I383" s="43" t="str">
        <f aca="false">IF($B383="","",IFERROR(INDEX(INSUMOS!$O$6:$O$205,MATCH($B383,INSUMOS!$A$6:$A$205,0)),0))</f>
        <v/>
      </c>
      <c r="J383" s="45" t="str">
        <f aca="false">IF($B383="","",IF($E383="Ajuste (+) sobrante",1,-1)*N($F383))</f>
        <v/>
      </c>
      <c r="K383" s="35" t="str">
        <f aca="false">IF($B383="","",$J383*$I383)</f>
        <v/>
      </c>
      <c r="L383" s="46" t="str">
        <f aca="false">IF($A383="","",DATE(YEAR($A383),MONTH($A383),1))</f>
        <v/>
      </c>
    </row>
    <row r="384" customFormat="false" ht="15" hidden="false" customHeight="false" outlineLevel="0" collapsed="false">
      <c r="A384" s="44"/>
      <c r="B384" s="6"/>
      <c r="C384" s="8" t="str">
        <f aca="false">IF($B384="","",IFERROR(INDEX(INSUMOS!$B$6:$B$205,MATCH($B384,INSUMOS!$A$6:$A$205,0)),"¿Código?"))</f>
        <v/>
      </c>
      <c r="D384" s="8" t="str">
        <f aca="false">IF($B384="","",IFERROR(INDEX(INSUMOS!$D$6:$D$205,MATCH($B384,INSUMOS!$A$6:$A$205,0)),""))</f>
        <v/>
      </c>
      <c r="E384" s="6"/>
      <c r="F384" s="39"/>
      <c r="G384" s="6"/>
      <c r="H384" s="6"/>
      <c r="I384" s="43" t="str">
        <f aca="false">IF($B384="","",IFERROR(INDEX(INSUMOS!$O$6:$O$205,MATCH($B384,INSUMOS!$A$6:$A$205,0)),0))</f>
        <v/>
      </c>
      <c r="J384" s="45" t="str">
        <f aca="false">IF($B384="","",IF($E384="Ajuste (+) sobrante",1,-1)*N($F384))</f>
        <v/>
      </c>
      <c r="K384" s="35" t="str">
        <f aca="false">IF($B384="","",$J384*$I384)</f>
        <v/>
      </c>
      <c r="L384" s="46" t="str">
        <f aca="false">IF($A384="","",DATE(YEAR($A384),MONTH($A384),1))</f>
        <v/>
      </c>
    </row>
    <row r="385" customFormat="false" ht="15" hidden="false" customHeight="false" outlineLevel="0" collapsed="false">
      <c r="A385" s="44"/>
      <c r="B385" s="6"/>
      <c r="C385" s="8" t="str">
        <f aca="false">IF($B385="","",IFERROR(INDEX(INSUMOS!$B$6:$B$205,MATCH($B385,INSUMOS!$A$6:$A$205,0)),"¿Código?"))</f>
        <v/>
      </c>
      <c r="D385" s="8" t="str">
        <f aca="false">IF($B385="","",IFERROR(INDEX(INSUMOS!$D$6:$D$205,MATCH($B385,INSUMOS!$A$6:$A$205,0)),""))</f>
        <v/>
      </c>
      <c r="E385" s="6"/>
      <c r="F385" s="39"/>
      <c r="G385" s="6"/>
      <c r="H385" s="6"/>
      <c r="I385" s="43" t="str">
        <f aca="false">IF($B385="","",IFERROR(INDEX(INSUMOS!$O$6:$O$205,MATCH($B385,INSUMOS!$A$6:$A$205,0)),0))</f>
        <v/>
      </c>
      <c r="J385" s="45" t="str">
        <f aca="false">IF($B385="","",IF($E385="Ajuste (+) sobrante",1,-1)*N($F385))</f>
        <v/>
      </c>
      <c r="K385" s="35" t="str">
        <f aca="false">IF($B385="","",$J385*$I385)</f>
        <v/>
      </c>
      <c r="L385" s="46" t="str">
        <f aca="false">IF($A385="","",DATE(YEAR($A385),MONTH($A385),1))</f>
        <v/>
      </c>
    </row>
    <row r="386" customFormat="false" ht="15" hidden="false" customHeight="false" outlineLevel="0" collapsed="false">
      <c r="A386" s="44"/>
      <c r="B386" s="6"/>
      <c r="C386" s="8" t="str">
        <f aca="false">IF($B386="","",IFERROR(INDEX(INSUMOS!$B$6:$B$205,MATCH($B386,INSUMOS!$A$6:$A$205,0)),"¿Código?"))</f>
        <v/>
      </c>
      <c r="D386" s="8" t="str">
        <f aca="false">IF($B386="","",IFERROR(INDEX(INSUMOS!$D$6:$D$205,MATCH($B386,INSUMOS!$A$6:$A$205,0)),""))</f>
        <v/>
      </c>
      <c r="E386" s="6"/>
      <c r="F386" s="39"/>
      <c r="G386" s="6"/>
      <c r="H386" s="6"/>
      <c r="I386" s="43" t="str">
        <f aca="false">IF($B386="","",IFERROR(INDEX(INSUMOS!$O$6:$O$205,MATCH($B386,INSUMOS!$A$6:$A$205,0)),0))</f>
        <v/>
      </c>
      <c r="J386" s="45" t="str">
        <f aca="false">IF($B386="","",IF($E386="Ajuste (+) sobrante",1,-1)*N($F386))</f>
        <v/>
      </c>
      <c r="K386" s="35" t="str">
        <f aca="false">IF($B386="","",$J386*$I386)</f>
        <v/>
      </c>
      <c r="L386" s="46" t="str">
        <f aca="false">IF($A386="","",DATE(YEAR($A386),MONTH($A386),1))</f>
        <v/>
      </c>
    </row>
    <row r="387" customFormat="false" ht="15" hidden="false" customHeight="false" outlineLevel="0" collapsed="false">
      <c r="A387" s="44"/>
      <c r="B387" s="6"/>
      <c r="C387" s="8" t="str">
        <f aca="false">IF($B387="","",IFERROR(INDEX(INSUMOS!$B$6:$B$205,MATCH($B387,INSUMOS!$A$6:$A$205,0)),"¿Código?"))</f>
        <v/>
      </c>
      <c r="D387" s="8" t="str">
        <f aca="false">IF($B387="","",IFERROR(INDEX(INSUMOS!$D$6:$D$205,MATCH($B387,INSUMOS!$A$6:$A$205,0)),""))</f>
        <v/>
      </c>
      <c r="E387" s="6"/>
      <c r="F387" s="39"/>
      <c r="G387" s="6"/>
      <c r="H387" s="6"/>
      <c r="I387" s="43" t="str">
        <f aca="false">IF($B387="","",IFERROR(INDEX(INSUMOS!$O$6:$O$205,MATCH($B387,INSUMOS!$A$6:$A$205,0)),0))</f>
        <v/>
      </c>
      <c r="J387" s="45" t="str">
        <f aca="false">IF($B387="","",IF($E387="Ajuste (+) sobrante",1,-1)*N($F387))</f>
        <v/>
      </c>
      <c r="K387" s="35" t="str">
        <f aca="false">IF($B387="","",$J387*$I387)</f>
        <v/>
      </c>
      <c r="L387" s="46" t="str">
        <f aca="false">IF($A387="","",DATE(YEAR($A387),MONTH($A387),1))</f>
        <v/>
      </c>
    </row>
    <row r="388" customFormat="false" ht="15" hidden="false" customHeight="false" outlineLevel="0" collapsed="false">
      <c r="A388" s="44"/>
      <c r="B388" s="6"/>
      <c r="C388" s="8" t="str">
        <f aca="false">IF($B388="","",IFERROR(INDEX(INSUMOS!$B$6:$B$205,MATCH($B388,INSUMOS!$A$6:$A$205,0)),"¿Código?"))</f>
        <v/>
      </c>
      <c r="D388" s="8" t="str">
        <f aca="false">IF($B388="","",IFERROR(INDEX(INSUMOS!$D$6:$D$205,MATCH($B388,INSUMOS!$A$6:$A$205,0)),""))</f>
        <v/>
      </c>
      <c r="E388" s="6"/>
      <c r="F388" s="39"/>
      <c r="G388" s="6"/>
      <c r="H388" s="6"/>
      <c r="I388" s="43" t="str">
        <f aca="false">IF($B388="","",IFERROR(INDEX(INSUMOS!$O$6:$O$205,MATCH($B388,INSUMOS!$A$6:$A$205,0)),0))</f>
        <v/>
      </c>
      <c r="J388" s="45" t="str">
        <f aca="false">IF($B388="","",IF($E388="Ajuste (+) sobrante",1,-1)*N($F388))</f>
        <v/>
      </c>
      <c r="K388" s="35" t="str">
        <f aca="false">IF($B388="","",$J388*$I388)</f>
        <v/>
      </c>
      <c r="L388" s="46" t="str">
        <f aca="false">IF($A388="","",DATE(YEAR($A388),MONTH($A388),1))</f>
        <v/>
      </c>
    </row>
    <row r="389" customFormat="false" ht="15" hidden="false" customHeight="false" outlineLevel="0" collapsed="false">
      <c r="A389" s="44"/>
      <c r="B389" s="6"/>
      <c r="C389" s="8" t="str">
        <f aca="false">IF($B389="","",IFERROR(INDEX(INSUMOS!$B$6:$B$205,MATCH($B389,INSUMOS!$A$6:$A$205,0)),"¿Código?"))</f>
        <v/>
      </c>
      <c r="D389" s="8" t="str">
        <f aca="false">IF($B389="","",IFERROR(INDEX(INSUMOS!$D$6:$D$205,MATCH($B389,INSUMOS!$A$6:$A$205,0)),""))</f>
        <v/>
      </c>
      <c r="E389" s="6"/>
      <c r="F389" s="39"/>
      <c r="G389" s="6"/>
      <c r="H389" s="6"/>
      <c r="I389" s="43" t="str">
        <f aca="false">IF($B389="","",IFERROR(INDEX(INSUMOS!$O$6:$O$205,MATCH($B389,INSUMOS!$A$6:$A$205,0)),0))</f>
        <v/>
      </c>
      <c r="J389" s="45" t="str">
        <f aca="false">IF($B389="","",IF($E389="Ajuste (+) sobrante",1,-1)*N($F389))</f>
        <v/>
      </c>
      <c r="K389" s="35" t="str">
        <f aca="false">IF($B389="","",$J389*$I389)</f>
        <v/>
      </c>
      <c r="L389" s="46" t="str">
        <f aca="false">IF($A389="","",DATE(YEAR($A389),MONTH($A389),1))</f>
        <v/>
      </c>
    </row>
    <row r="390" customFormat="false" ht="15" hidden="false" customHeight="false" outlineLevel="0" collapsed="false">
      <c r="A390" s="44"/>
      <c r="B390" s="6"/>
      <c r="C390" s="8" t="str">
        <f aca="false">IF($B390="","",IFERROR(INDEX(INSUMOS!$B$6:$B$205,MATCH($B390,INSUMOS!$A$6:$A$205,0)),"¿Código?"))</f>
        <v/>
      </c>
      <c r="D390" s="8" t="str">
        <f aca="false">IF($B390="","",IFERROR(INDEX(INSUMOS!$D$6:$D$205,MATCH($B390,INSUMOS!$A$6:$A$205,0)),""))</f>
        <v/>
      </c>
      <c r="E390" s="6"/>
      <c r="F390" s="39"/>
      <c r="G390" s="6"/>
      <c r="H390" s="6"/>
      <c r="I390" s="43" t="str">
        <f aca="false">IF($B390="","",IFERROR(INDEX(INSUMOS!$O$6:$O$205,MATCH($B390,INSUMOS!$A$6:$A$205,0)),0))</f>
        <v/>
      </c>
      <c r="J390" s="45" t="str">
        <f aca="false">IF($B390="","",IF($E390="Ajuste (+) sobrante",1,-1)*N($F390))</f>
        <v/>
      </c>
      <c r="K390" s="35" t="str">
        <f aca="false">IF($B390="","",$J390*$I390)</f>
        <v/>
      </c>
      <c r="L390" s="46" t="str">
        <f aca="false">IF($A390="","",DATE(YEAR($A390),MONTH($A390),1))</f>
        <v/>
      </c>
    </row>
    <row r="391" customFormat="false" ht="15" hidden="false" customHeight="false" outlineLevel="0" collapsed="false">
      <c r="A391" s="44"/>
      <c r="B391" s="6"/>
      <c r="C391" s="8" t="str">
        <f aca="false">IF($B391="","",IFERROR(INDEX(INSUMOS!$B$6:$B$205,MATCH($B391,INSUMOS!$A$6:$A$205,0)),"¿Código?"))</f>
        <v/>
      </c>
      <c r="D391" s="8" t="str">
        <f aca="false">IF($B391="","",IFERROR(INDEX(INSUMOS!$D$6:$D$205,MATCH($B391,INSUMOS!$A$6:$A$205,0)),""))</f>
        <v/>
      </c>
      <c r="E391" s="6"/>
      <c r="F391" s="39"/>
      <c r="G391" s="6"/>
      <c r="H391" s="6"/>
      <c r="I391" s="43" t="str">
        <f aca="false">IF($B391="","",IFERROR(INDEX(INSUMOS!$O$6:$O$205,MATCH($B391,INSUMOS!$A$6:$A$205,0)),0))</f>
        <v/>
      </c>
      <c r="J391" s="45" t="str">
        <f aca="false">IF($B391="","",IF($E391="Ajuste (+) sobrante",1,-1)*N($F391))</f>
        <v/>
      </c>
      <c r="K391" s="35" t="str">
        <f aca="false">IF($B391="","",$J391*$I391)</f>
        <v/>
      </c>
      <c r="L391" s="46" t="str">
        <f aca="false">IF($A391="","",DATE(YEAR($A391),MONTH($A391),1))</f>
        <v/>
      </c>
    </row>
    <row r="392" customFormat="false" ht="15" hidden="false" customHeight="false" outlineLevel="0" collapsed="false">
      <c r="A392" s="44"/>
      <c r="B392" s="6"/>
      <c r="C392" s="8" t="str">
        <f aca="false">IF($B392="","",IFERROR(INDEX(INSUMOS!$B$6:$B$205,MATCH($B392,INSUMOS!$A$6:$A$205,0)),"¿Código?"))</f>
        <v/>
      </c>
      <c r="D392" s="8" t="str">
        <f aca="false">IF($B392="","",IFERROR(INDEX(INSUMOS!$D$6:$D$205,MATCH($B392,INSUMOS!$A$6:$A$205,0)),""))</f>
        <v/>
      </c>
      <c r="E392" s="6"/>
      <c r="F392" s="39"/>
      <c r="G392" s="6"/>
      <c r="H392" s="6"/>
      <c r="I392" s="43" t="str">
        <f aca="false">IF($B392="","",IFERROR(INDEX(INSUMOS!$O$6:$O$205,MATCH($B392,INSUMOS!$A$6:$A$205,0)),0))</f>
        <v/>
      </c>
      <c r="J392" s="45" t="str">
        <f aca="false">IF($B392="","",IF($E392="Ajuste (+) sobrante",1,-1)*N($F392))</f>
        <v/>
      </c>
      <c r="K392" s="35" t="str">
        <f aca="false">IF($B392="","",$J392*$I392)</f>
        <v/>
      </c>
      <c r="L392" s="46" t="str">
        <f aca="false">IF($A392="","",DATE(YEAR($A392),MONTH($A392),1))</f>
        <v/>
      </c>
    </row>
    <row r="393" customFormat="false" ht="15" hidden="false" customHeight="false" outlineLevel="0" collapsed="false">
      <c r="A393" s="44"/>
      <c r="B393" s="6"/>
      <c r="C393" s="8" t="str">
        <f aca="false">IF($B393="","",IFERROR(INDEX(INSUMOS!$B$6:$B$205,MATCH($B393,INSUMOS!$A$6:$A$205,0)),"¿Código?"))</f>
        <v/>
      </c>
      <c r="D393" s="8" t="str">
        <f aca="false">IF($B393="","",IFERROR(INDEX(INSUMOS!$D$6:$D$205,MATCH($B393,INSUMOS!$A$6:$A$205,0)),""))</f>
        <v/>
      </c>
      <c r="E393" s="6"/>
      <c r="F393" s="39"/>
      <c r="G393" s="6"/>
      <c r="H393" s="6"/>
      <c r="I393" s="43" t="str">
        <f aca="false">IF($B393="","",IFERROR(INDEX(INSUMOS!$O$6:$O$205,MATCH($B393,INSUMOS!$A$6:$A$205,0)),0))</f>
        <v/>
      </c>
      <c r="J393" s="45" t="str">
        <f aca="false">IF($B393="","",IF($E393="Ajuste (+) sobrante",1,-1)*N($F393))</f>
        <v/>
      </c>
      <c r="K393" s="35" t="str">
        <f aca="false">IF($B393="","",$J393*$I393)</f>
        <v/>
      </c>
      <c r="L393" s="46" t="str">
        <f aca="false">IF($A393="","",DATE(YEAR($A393),MONTH($A393),1))</f>
        <v/>
      </c>
    </row>
    <row r="394" customFormat="false" ht="15" hidden="false" customHeight="false" outlineLevel="0" collapsed="false">
      <c r="A394" s="44"/>
      <c r="B394" s="6"/>
      <c r="C394" s="8" t="str">
        <f aca="false">IF($B394="","",IFERROR(INDEX(INSUMOS!$B$6:$B$205,MATCH($B394,INSUMOS!$A$6:$A$205,0)),"¿Código?"))</f>
        <v/>
      </c>
      <c r="D394" s="8" t="str">
        <f aca="false">IF($B394="","",IFERROR(INDEX(INSUMOS!$D$6:$D$205,MATCH($B394,INSUMOS!$A$6:$A$205,0)),""))</f>
        <v/>
      </c>
      <c r="E394" s="6"/>
      <c r="F394" s="39"/>
      <c r="G394" s="6"/>
      <c r="H394" s="6"/>
      <c r="I394" s="43" t="str">
        <f aca="false">IF($B394="","",IFERROR(INDEX(INSUMOS!$O$6:$O$205,MATCH($B394,INSUMOS!$A$6:$A$205,0)),0))</f>
        <v/>
      </c>
      <c r="J394" s="45" t="str">
        <f aca="false">IF($B394="","",IF($E394="Ajuste (+) sobrante",1,-1)*N($F394))</f>
        <v/>
      </c>
      <c r="K394" s="35" t="str">
        <f aca="false">IF($B394="","",$J394*$I394)</f>
        <v/>
      </c>
      <c r="L394" s="46" t="str">
        <f aca="false">IF($A394="","",DATE(YEAR($A394),MONTH($A394),1))</f>
        <v/>
      </c>
    </row>
    <row r="395" customFormat="false" ht="15" hidden="false" customHeight="false" outlineLevel="0" collapsed="false">
      <c r="A395" s="44"/>
      <c r="B395" s="6"/>
      <c r="C395" s="8" t="str">
        <f aca="false">IF($B395="","",IFERROR(INDEX(INSUMOS!$B$6:$B$205,MATCH($B395,INSUMOS!$A$6:$A$205,0)),"¿Código?"))</f>
        <v/>
      </c>
      <c r="D395" s="8" t="str">
        <f aca="false">IF($B395="","",IFERROR(INDEX(INSUMOS!$D$6:$D$205,MATCH($B395,INSUMOS!$A$6:$A$205,0)),""))</f>
        <v/>
      </c>
      <c r="E395" s="6"/>
      <c r="F395" s="39"/>
      <c r="G395" s="6"/>
      <c r="H395" s="6"/>
      <c r="I395" s="43" t="str">
        <f aca="false">IF($B395="","",IFERROR(INDEX(INSUMOS!$O$6:$O$205,MATCH($B395,INSUMOS!$A$6:$A$205,0)),0))</f>
        <v/>
      </c>
      <c r="J395" s="45" t="str">
        <f aca="false">IF($B395="","",IF($E395="Ajuste (+) sobrante",1,-1)*N($F395))</f>
        <v/>
      </c>
      <c r="K395" s="35" t="str">
        <f aca="false">IF($B395="","",$J395*$I395)</f>
        <v/>
      </c>
      <c r="L395" s="46" t="str">
        <f aca="false">IF($A395="","",DATE(YEAR($A395),MONTH($A395),1))</f>
        <v/>
      </c>
    </row>
    <row r="396" customFormat="false" ht="15" hidden="false" customHeight="false" outlineLevel="0" collapsed="false">
      <c r="A396" s="44"/>
      <c r="B396" s="6"/>
      <c r="C396" s="8" t="str">
        <f aca="false">IF($B396="","",IFERROR(INDEX(INSUMOS!$B$6:$B$205,MATCH($B396,INSUMOS!$A$6:$A$205,0)),"¿Código?"))</f>
        <v/>
      </c>
      <c r="D396" s="8" t="str">
        <f aca="false">IF($B396="","",IFERROR(INDEX(INSUMOS!$D$6:$D$205,MATCH($B396,INSUMOS!$A$6:$A$205,0)),""))</f>
        <v/>
      </c>
      <c r="E396" s="6"/>
      <c r="F396" s="39"/>
      <c r="G396" s="6"/>
      <c r="H396" s="6"/>
      <c r="I396" s="43" t="str">
        <f aca="false">IF($B396="","",IFERROR(INDEX(INSUMOS!$O$6:$O$205,MATCH($B396,INSUMOS!$A$6:$A$205,0)),0))</f>
        <v/>
      </c>
      <c r="J396" s="45" t="str">
        <f aca="false">IF($B396="","",IF($E396="Ajuste (+) sobrante",1,-1)*N($F396))</f>
        <v/>
      </c>
      <c r="K396" s="35" t="str">
        <f aca="false">IF($B396="","",$J396*$I396)</f>
        <v/>
      </c>
      <c r="L396" s="46" t="str">
        <f aca="false">IF($A396="","",DATE(YEAR($A396),MONTH($A396),1))</f>
        <v/>
      </c>
    </row>
    <row r="397" customFormat="false" ht="15" hidden="false" customHeight="false" outlineLevel="0" collapsed="false">
      <c r="A397" s="44"/>
      <c r="B397" s="6"/>
      <c r="C397" s="8" t="str">
        <f aca="false">IF($B397="","",IFERROR(INDEX(INSUMOS!$B$6:$B$205,MATCH($B397,INSUMOS!$A$6:$A$205,0)),"¿Código?"))</f>
        <v/>
      </c>
      <c r="D397" s="8" t="str">
        <f aca="false">IF($B397="","",IFERROR(INDEX(INSUMOS!$D$6:$D$205,MATCH($B397,INSUMOS!$A$6:$A$205,0)),""))</f>
        <v/>
      </c>
      <c r="E397" s="6"/>
      <c r="F397" s="39"/>
      <c r="G397" s="6"/>
      <c r="H397" s="6"/>
      <c r="I397" s="43" t="str">
        <f aca="false">IF($B397="","",IFERROR(INDEX(INSUMOS!$O$6:$O$205,MATCH($B397,INSUMOS!$A$6:$A$205,0)),0))</f>
        <v/>
      </c>
      <c r="J397" s="45" t="str">
        <f aca="false">IF($B397="","",IF($E397="Ajuste (+) sobrante",1,-1)*N($F397))</f>
        <v/>
      </c>
      <c r="K397" s="35" t="str">
        <f aca="false">IF($B397="","",$J397*$I397)</f>
        <v/>
      </c>
      <c r="L397" s="46" t="str">
        <f aca="false">IF($A397="","",DATE(YEAR($A397),MONTH($A397),1))</f>
        <v/>
      </c>
    </row>
    <row r="398" customFormat="false" ht="15" hidden="false" customHeight="false" outlineLevel="0" collapsed="false">
      <c r="A398" s="44"/>
      <c r="B398" s="6"/>
      <c r="C398" s="8" t="str">
        <f aca="false">IF($B398="","",IFERROR(INDEX(INSUMOS!$B$6:$B$205,MATCH($B398,INSUMOS!$A$6:$A$205,0)),"¿Código?"))</f>
        <v/>
      </c>
      <c r="D398" s="8" t="str">
        <f aca="false">IF($B398="","",IFERROR(INDEX(INSUMOS!$D$6:$D$205,MATCH($B398,INSUMOS!$A$6:$A$205,0)),""))</f>
        <v/>
      </c>
      <c r="E398" s="6"/>
      <c r="F398" s="39"/>
      <c r="G398" s="6"/>
      <c r="H398" s="6"/>
      <c r="I398" s="43" t="str">
        <f aca="false">IF($B398="","",IFERROR(INDEX(INSUMOS!$O$6:$O$205,MATCH($B398,INSUMOS!$A$6:$A$205,0)),0))</f>
        <v/>
      </c>
      <c r="J398" s="45" t="str">
        <f aca="false">IF($B398="","",IF($E398="Ajuste (+) sobrante",1,-1)*N($F398))</f>
        <v/>
      </c>
      <c r="K398" s="35" t="str">
        <f aca="false">IF($B398="","",$J398*$I398)</f>
        <v/>
      </c>
      <c r="L398" s="46" t="str">
        <f aca="false">IF($A398="","",DATE(YEAR($A398),MONTH($A398),1))</f>
        <v/>
      </c>
    </row>
    <row r="399" customFormat="false" ht="15" hidden="false" customHeight="false" outlineLevel="0" collapsed="false">
      <c r="A399" s="44"/>
      <c r="B399" s="6"/>
      <c r="C399" s="8" t="str">
        <f aca="false">IF($B399="","",IFERROR(INDEX(INSUMOS!$B$6:$B$205,MATCH($B399,INSUMOS!$A$6:$A$205,0)),"¿Código?"))</f>
        <v/>
      </c>
      <c r="D399" s="8" t="str">
        <f aca="false">IF($B399="","",IFERROR(INDEX(INSUMOS!$D$6:$D$205,MATCH($B399,INSUMOS!$A$6:$A$205,0)),""))</f>
        <v/>
      </c>
      <c r="E399" s="6"/>
      <c r="F399" s="39"/>
      <c r="G399" s="6"/>
      <c r="H399" s="6"/>
      <c r="I399" s="43" t="str">
        <f aca="false">IF($B399="","",IFERROR(INDEX(INSUMOS!$O$6:$O$205,MATCH($B399,INSUMOS!$A$6:$A$205,0)),0))</f>
        <v/>
      </c>
      <c r="J399" s="45" t="str">
        <f aca="false">IF($B399="","",IF($E399="Ajuste (+) sobrante",1,-1)*N($F399))</f>
        <v/>
      </c>
      <c r="K399" s="35" t="str">
        <f aca="false">IF($B399="","",$J399*$I399)</f>
        <v/>
      </c>
      <c r="L399" s="46" t="str">
        <f aca="false">IF($A399="","",DATE(YEAR($A399),MONTH($A399),1))</f>
        <v/>
      </c>
    </row>
    <row r="400" customFormat="false" ht="15" hidden="false" customHeight="false" outlineLevel="0" collapsed="false">
      <c r="A400" s="44"/>
      <c r="B400" s="6"/>
      <c r="C400" s="8" t="str">
        <f aca="false">IF($B400="","",IFERROR(INDEX(INSUMOS!$B$6:$B$205,MATCH($B400,INSUMOS!$A$6:$A$205,0)),"¿Código?"))</f>
        <v/>
      </c>
      <c r="D400" s="8" t="str">
        <f aca="false">IF($B400="","",IFERROR(INDEX(INSUMOS!$D$6:$D$205,MATCH($B400,INSUMOS!$A$6:$A$205,0)),""))</f>
        <v/>
      </c>
      <c r="E400" s="6"/>
      <c r="F400" s="39"/>
      <c r="G400" s="6"/>
      <c r="H400" s="6"/>
      <c r="I400" s="43" t="str">
        <f aca="false">IF($B400="","",IFERROR(INDEX(INSUMOS!$O$6:$O$205,MATCH($B400,INSUMOS!$A$6:$A$205,0)),0))</f>
        <v/>
      </c>
      <c r="J400" s="45" t="str">
        <f aca="false">IF($B400="","",IF($E400="Ajuste (+) sobrante",1,-1)*N($F400))</f>
        <v/>
      </c>
      <c r="K400" s="35" t="str">
        <f aca="false">IF($B400="","",$J400*$I400)</f>
        <v/>
      </c>
      <c r="L400" s="46" t="str">
        <f aca="false">IF($A400="","",DATE(YEAR($A400),MONTH($A400),1))</f>
        <v/>
      </c>
    </row>
    <row r="401" customFormat="false" ht="15" hidden="false" customHeight="false" outlineLevel="0" collapsed="false">
      <c r="A401" s="44"/>
      <c r="B401" s="6"/>
      <c r="C401" s="8" t="str">
        <f aca="false">IF($B401="","",IFERROR(INDEX(INSUMOS!$B$6:$B$205,MATCH($B401,INSUMOS!$A$6:$A$205,0)),"¿Código?"))</f>
        <v/>
      </c>
      <c r="D401" s="8" t="str">
        <f aca="false">IF($B401="","",IFERROR(INDEX(INSUMOS!$D$6:$D$205,MATCH($B401,INSUMOS!$A$6:$A$205,0)),""))</f>
        <v/>
      </c>
      <c r="E401" s="6"/>
      <c r="F401" s="39"/>
      <c r="G401" s="6"/>
      <c r="H401" s="6"/>
      <c r="I401" s="43" t="str">
        <f aca="false">IF($B401="","",IFERROR(INDEX(INSUMOS!$O$6:$O$205,MATCH($B401,INSUMOS!$A$6:$A$205,0)),0))</f>
        <v/>
      </c>
      <c r="J401" s="45" t="str">
        <f aca="false">IF($B401="","",IF($E401="Ajuste (+) sobrante",1,-1)*N($F401))</f>
        <v/>
      </c>
      <c r="K401" s="35" t="str">
        <f aca="false">IF($B401="","",$J401*$I401)</f>
        <v/>
      </c>
      <c r="L401" s="46" t="str">
        <f aca="false">IF($A401="","",DATE(YEAR($A401),MONTH($A401),1))</f>
        <v/>
      </c>
    </row>
    <row r="402" customFormat="false" ht="15" hidden="false" customHeight="false" outlineLevel="0" collapsed="false">
      <c r="A402" s="44"/>
      <c r="B402" s="6"/>
      <c r="C402" s="8" t="str">
        <f aca="false">IF($B402="","",IFERROR(INDEX(INSUMOS!$B$6:$B$205,MATCH($B402,INSUMOS!$A$6:$A$205,0)),"¿Código?"))</f>
        <v/>
      </c>
      <c r="D402" s="8" t="str">
        <f aca="false">IF($B402="","",IFERROR(INDEX(INSUMOS!$D$6:$D$205,MATCH($B402,INSUMOS!$A$6:$A$205,0)),""))</f>
        <v/>
      </c>
      <c r="E402" s="6"/>
      <c r="F402" s="39"/>
      <c r="G402" s="6"/>
      <c r="H402" s="6"/>
      <c r="I402" s="43" t="str">
        <f aca="false">IF($B402="","",IFERROR(INDEX(INSUMOS!$O$6:$O$205,MATCH($B402,INSUMOS!$A$6:$A$205,0)),0))</f>
        <v/>
      </c>
      <c r="J402" s="45" t="str">
        <f aca="false">IF($B402="","",IF($E402="Ajuste (+) sobrante",1,-1)*N($F402))</f>
        <v/>
      </c>
      <c r="K402" s="35" t="str">
        <f aca="false">IF($B402="","",$J402*$I402)</f>
        <v/>
      </c>
      <c r="L402" s="46" t="str">
        <f aca="false">IF($A402="","",DATE(YEAR($A402),MONTH($A402),1))</f>
        <v/>
      </c>
    </row>
    <row r="403" customFormat="false" ht="15" hidden="false" customHeight="false" outlineLevel="0" collapsed="false">
      <c r="A403" s="44"/>
      <c r="B403" s="6"/>
      <c r="C403" s="8" t="str">
        <f aca="false">IF($B403="","",IFERROR(INDEX(INSUMOS!$B$6:$B$205,MATCH($B403,INSUMOS!$A$6:$A$205,0)),"¿Código?"))</f>
        <v/>
      </c>
      <c r="D403" s="8" t="str">
        <f aca="false">IF($B403="","",IFERROR(INDEX(INSUMOS!$D$6:$D$205,MATCH($B403,INSUMOS!$A$6:$A$205,0)),""))</f>
        <v/>
      </c>
      <c r="E403" s="6"/>
      <c r="F403" s="39"/>
      <c r="G403" s="6"/>
      <c r="H403" s="6"/>
      <c r="I403" s="43" t="str">
        <f aca="false">IF($B403="","",IFERROR(INDEX(INSUMOS!$O$6:$O$205,MATCH($B403,INSUMOS!$A$6:$A$205,0)),0))</f>
        <v/>
      </c>
      <c r="J403" s="45" t="str">
        <f aca="false">IF($B403="","",IF($E403="Ajuste (+) sobrante",1,-1)*N($F403))</f>
        <v/>
      </c>
      <c r="K403" s="35" t="str">
        <f aca="false">IF($B403="","",$J403*$I403)</f>
        <v/>
      </c>
      <c r="L403" s="46" t="str">
        <f aca="false">IF($A403="","",DATE(YEAR($A403),MONTH($A403),1))</f>
        <v/>
      </c>
    </row>
    <row r="404" customFormat="false" ht="15" hidden="false" customHeight="false" outlineLevel="0" collapsed="false">
      <c r="A404" s="44"/>
      <c r="B404" s="6"/>
      <c r="C404" s="8" t="str">
        <f aca="false">IF($B404="","",IFERROR(INDEX(INSUMOS!$B$6:$B$205,MATCH($B404,INSUMOS!$A$6:$A$205,0)),"¿Código?"))</f>
        <v/>
      </c>
      <c r="D404" s="8" t="str">
        <f aca="false">IF($B404="","",IFERROR(INDEX(INSUMOS!$D$6:$D$205,MATCH($B404,INSUMOS!$A$6:$A$205,0)),""))</f>
        <v/>
      </c>
      <c r="E404" s="6"/>
      <c r="F404" s="39"/>
      <c r="G404" s="6"/>
      <c r="H404" s="6"/>
      <c r="I404" s="43" t="str">
        <f aca="false">IF($B404="","",IFERROR(INDEX(INSUMOS!$O$6:$O$205,MATCH($B404,INSUMOS!$A$6:$A$205,0)),0))</f>
        <v/>
      </c>
      <c r="J404" s="45" t="str">
        <f aca="false">IF($B404="","",IF($E404="Ajuste (+) sobrante",1,-1)*N($F404))</f>
        <v/>
      </c>
      <c r="K404" s="35" t="str">
        <f aca="false">IF($B404="","",$J404*$I404)</f>
        <v/>
      </c>
      <c r="L404" s="46" t="str">
        <f aca="false">IF($A404="","",DATE(YEAR($A404),MONTH($A404),1))</f>
        <v/>
      </c>
    </row>
    <row r="405" customFormat="false" ht="15" hidden="false" customHeight="false" outlineLevel="0" collapsed="false">
      <c r="A405" s="44"/>
      <c r="B405" s="6"/>
      <c r="C405" s="8" t="str">
        <f aca="false">IF($B405="","",IFERROR(INDEX(INSUMOS!$B$6:$B$205,MATCH($B405,INSUMOS!$A$6:$A$205,0)),"¿Código?"))</f>
        <v/>
      </c>
      <c r="D405" s="8" t="str">
        <f aca="false">IF($B405="","",IFERROR(INDEX(INSUMOS!$D$6:$D$205,MATCH($B405,INSUMOS!$A$6:$A$205,0)),""))</f>
        <v/>
      </c>
      <c r="E405" s="6"/>
      <c r="F405" s="39"/>
      <c r="G405" s="6"/>
      <c r="H405" s="6"/>
      <c r="I405" s="43" t="str">
        <f aca="false">IF($B405="","",IFERROR(INDEX(INSUMOS!$O$6:$O$205,MATCH($B405,INSUMOS!$A$6:$A$205,0)),0))</f>
        <v/>
      </c>
      <c r="J405" s="45" t="str">
        <f aca="false">IF($B405="","",IF($E405="Ajuste (+) sobrante",1,-1)*N($F405))</f>
        <v/>
      </c>
      <c r="K405" s="35" t="str">
        <f aca="false">IF($B405="","",$J405*$I405)</f>
        <v/>
      </c>
      <c r="L405" s="46" t="str">
        <f aca="false">IF($A405="","",DATE(YEAR($A405),MONTH($A405),1))</f>
        <v/>
      </c>
    </row>
    <row r="406" customFormat="false" ht="15" hidden="false" customHeight="false" outlineLevel="0" collapsed="false">
      <c r="A406" s="44"/>
      <c r="B406" s="6"/>
      <c r="C406" s="8" t="str">
        <f aca="false">IF($B406="","",IFERROR(INDEX(INSUMOS!$B$6:$B$205,MATCH($B406,INSUMOS!$A$6:$A$205,0)),"¿Código?"))</f>
        <v/>
      </c>
      <c r="D406" s="8" t="str">
        <f aca="false">IF($B406="","",IFERROR(INDEX(INSUMOS!$D$6:$D$205,MATCH($B406,INSUMOS!$A$6:$A$205,0)),""))</f>
        <v/>
      </c>
      <c r="E406" s="6"/>
      <c r="F406" s="39"/>
      <c r="G406" s="6"/>
      <c r="H406" s="6"/>
      <c r="I406" s="43" t="str">
        <f aca="false">IF($B406="","",IFERROR(INDEX(INSUMOS!$O$6:$O$205,MATCH($B406,INSUMOS!$A$6:$A$205,0)),0))</f>
        <v/>
      </c>
      <c r="J406" s="45" t="str">
        <f aca="false">IF($B406="","",IF($E406="Ajuste (+) sobrante",1,-1)*N($F406))</f>
        <v/>
      </c>
      <c r="K406" s="35" t="str">
        <f aca="false">IF($B406="","",$J406*$I406)</f>
        <v/>
      </c>
      <c r="L406" s="46" t="str">
        <f aca="false">IF($A406="","",DATE(YEAR($A406),MONTH($A406),1))</f>
        <v/>
      </c>
    </row>
    <row r="407" customFormat="false" ht="15" hidden="false" customHeight="false" outlineLevel="0" collapsed="false">
      <c r="A407" s="44"/>
      <c r="B407" s="6"/>
      <c r="C407" s="8" t="str">
        <f aca="false">IF($B407="","",IFERROR(INDEX(INSUMOS!$B$6:$B$205,MATCH($B407,INSUMOS!$A$6:$A$205,0)),"¿Código?"))</f>
        <v/>
      </c>
      <c r="D407" s="8" t="str">
        <f aca="false">IF($B407="","",IFERROR(INDEX(INSUMOS!$D$6:$D$205,MATCH($B407,INSUMOS!$A$6:$A$205,0)),""))</f>
        <v/>
      </c>
      <c r="E407" s="6"/>
      <c r="F407" s="39"/>
      <c r="G407" s="6"/>
      <c r="H407" s="6"/>
      <c r="I407" s="43" t="str">
        <f aca="false">IF($B407="","",IFERROR(INDEX(INSUMOS!$O$6:$O$205,MATCH($B407,INSUMOS!$A$6:$A$205,0)),0))</f>
        <v/>
      </c>
      <c r="J407" s="45" t="str">
        <f aca="false">IF($B407="","",IF($E407="Ajuste (+) sobrante",1,-1)*N($F407))</f>
        <v/>
      </c>
      <c r="K407" s="35" t="str">
        <f aca="false">IF($B407="","",$J407*$I407)</f>
        <v/>
      </c>
      <c r="L407" s="46" t="str">
        <f aca="false">IF($A407="","",DATE(YEAR($A407),MONTH($A407),1))</f>
        <v/>
      </c>
    </row>
    <row r="408" customFormat="false" ht="15" hidden="false" customHeight="false" outlineLevel="0" collapsed="false">
      <c r="A408" s="44"/>
      <c r="B408" s="6"/>
      <c r="C408" s="8" t="str">
        <f aca="false">IF($B408="","",IFERROR(INDEX(INSUMOS!$B$6:$B$205,MATCH($B408,INSUMOS!$A$6:$A$205,0)),"¿Código?"))</f>
        <v/>
      </c>
      <c r="D408" s="8" t="str">
        <f aca="false">IF($B408="","",IFERROR(INDEX(INSUMOS!$D$6:$D$205,MATCH($B408,INSUMOS!$A$6:$A$205,0)),""))</f>
        <v/>
      </c>
      <c r="E408" s="6"/>
      <c r="F408" s="39"/>
      <c r="G408" s="6"/>
      <c r="H408" s="6"/>
      <c r="I408" s="43" t="str">
        <f aca="false">IF($B408="","",IFERROR(INDEX(INSUMOS!$O$6:$O$205,MATCH($B408,INSUMOS!$A$6:$A$205,0)),0))</f>
        <v/>
      </c>
      <c r="J408" s="45" t="str">
        <f aca="false">IF($B408="","",IF($E408="Ajuste (+) sobrante",1,-1)*N($F408))</f>
        <v/>
      </c>
      <c r="K408" s="35" t="str">
        <f aca="false">IF($B408="","",$J408*$I408)</f>
        <v/>
      </c>
      <c r="L408" s="46" t="str">
        <f aca="false">IF($A408="","",DATE(YEAR($A408),MONTH($A408),1))</f>
        <v/>
      </c>
    </row>
    <row r="409" customFormat="false" ht="15" hidden="false" customHeight="false" outlineLevel="0" collapsed="false">
      <c r="A409" s="44"/>
      <c r="B409" s="6"/>
      <c r="C409" s="8" t="str">
        <f aca="false">IF($B409="","",IFERROR(INDEX(INSUMOS!$B$6:$B$205,MATCH($B409,INSUMOS!$A$6:$A$205,0)),"¿Código?"))</f>
        <v/>
      </c>
      <c r="D409" s="8" t="str">
        <f aca="false">IF($B409="","",IFERROR(INDEX(INSUMOS!$D$6:$D$205,MATCH($B409,INSUMOS!$A$6:$A$205,0)),""))</f>
        <v/>
      </c>
      <c r="E409" s="6"/>
      <c r="F409" s="39"/>
      <c r="G409" s="6"/>
      <c r="H409" s="6"/>
      <c r="I409" s="43" t="str">
        <f aca="false">IF($B409="","",IFERROR(INDEX(INSUMOS!$O$6:$O$205,MATCH($B409,INSUMOS!$A$6:$A$205,0)),0))</f>
        <v/>
      </c>
      <c r="J409" s="45" t="str">
        <f aca="false">IF($B409="","",IF($E409="Ajuste (+) sobrante",1,-1)*N($F409))</f>
        <v/>
      </c>
      <c r="K409" s="35" t="str">
        <f aca="false">IF($B409="","",$J409*$I409)</f>
        <v/>
      </c>
      <c r="L409" s="46" t="str">
        <f aca="false">IF($A409="","",DATE(YEAR($A409),MONTH($A409),1))</f>
        <v/>
      </c>
    </row>
    <row r="410" customFormat="false" ht="15" hidden="false" customHeight="false" outlineLevel="0" collapsed="false">
      <c r="A410" s="44"/>
      <c r="B410" s="6"/>
      <c r="C410" s="8" t="str">
        <f aca="false">IF($B410="","",IFERROR(INDEX(INSUMOS!$B$6:$B$205,MATCH($B410,INSUMOS!$A$6:$A$205,0)),"¿Código?"))</f>
        <v/>
      </c>
      <c r="D410" s="8" t="str">
        <f aca="false">IF($B410="","",IFERROR(INDEX(INSUMOS!$D$6:$D$205,MATCH($B410,INSUMOS!$A$6:$A$205,0)),""))</f>
        <v/>
      </c>
      <c r="E410" s="6"/>
      <c r="F410" s="39"/>
      <c r="G410" s="6"/>
      <c r="H410" s="6"/>
      <c r="I410" s="43" t="str">
        <f aca="false">IF($B410="","",IFERROR(INDEX(INSUMOS!$O$6:$O$205,MATCH($B410,INSUMOS!$A$6:$A$205,0)),0))</f>
        <v/>
      </c>
      <c r="J410" s="45" t="str">
        <f aca="false">IF($B410="","",IF($E410="Ajuste (+) sobrante",1,-1)*N($F410))</f>
        <v/>
      </c>
      <c r="K410" s="35" t="str">
        <f aca="false">IF($B410="","",$J410*$I410)</f>
        <v/>
      </c>
      <c r="L410" s="46" t="str">
        <f aca="false">IF($A410="","",DATE(YEAR($A410),MONTH($A410),1))</f>
        <v/>
      </c>
    </row>
    <row r="411" customFormat="false" ht="15" hidden="false" customHeight="false" outlineLevel="0" collapsed="false">
      <c r="A411" s="44"/>
      <c r="B411" s="6"/>
      <c r="C411" s="8" t="str">
        <f aca="false">IF($B411="","",IFERROR(INDEX(INSUMOS!$B$6:$B$205,MATCH($B411,INSUMOS!$A$6:$A$205,0)),"¿Código?"))</f>
        <v/>
      </c>
      <c r="D411" s="8" t="str">
        <f aca="false">IF($B411="","",IFERROR(INDEX(INSUMOS!$D$6:$D$205,MATCH($B411,INSUMOS!$A$6:$A$205,0)),""))</f>
        <v/>
      </c>
      <c r="E411" s="6"/>
      <c r="F411" s="39"/>
      <c r="G411" s="6"/>
      <c r="H411" s="6"/>
      <c r="I411" s="43" t="str">
        <f aca="false">IF($B411="","",IFERROR(INDEX(INSUMOS!$O$6:$O$205,MATCH($B411,INSUMOS!$A$6:$A$205,0)),0))</f>
        <v/>
      </c>
      <c r="J411" s="45" t="str">
        <f aca="false">IF($B411="","",IF($E411="Ajuste (+) sobrante",1,-1)*N($F411))</f>
        <v/>
      </c>
      <c r="K411" s="35" t="str">
        <f aca="false">IF($B411="","",$J411*$I411)</f>
        <v/>
      </c>
      <c r="L411" s="46" t="str">
        <f aca="false">IF($A411="","",DATE(YEAR($A411),MONTH($A411),1))</f>
        <v/>
      </c>
    </row>
    <row r="412" customFormat="false" ht="15" hidden="false" customHeight="false" outlineLevel="0" collapsed="false">
      <c r="A412" s="44"/>
      <c r="B412" s="6"/>
      <c r="C412" s="8" t="str">
        <f aca="false">IF($B412="","",IFERROR(INDEX(INSUMOS!$B$6:$B$205,MATCH($B412,INSUMOS!$A$6:$A$205,0)),"¿Código?"))</f>
        <v/>
      </c>
      <c r="D412" s="8" t="str">
        <f aca="false">IF($B412="","",IFERROR(INDEX(INSUMOS!$D$6:$D$205,MATCH($B412,INSUMOS!$A$6:$A$205,0)),""))</f>
        <v/>
      </c>
      <c r="E412" s="6"/>
      <c r="F412" s="39"/>
      <c r="G412" s="6"/>
      <c r="H412" s="6"/>
      <c r="I412" s="43" t="str">
        <f aca="false">IF($B412="","",IFERROR(INDEX(INSUMOS!$O$6:$O$205,MATCH($B412,INSUMOS!$A$6:$A$205,0)),0))</f>
        <v/>
      </c>
      <c r="J412" s="45" t="str">
        <f aca="false">IF($B412="","",IF($E412="Ajuste (+) sobrante",1,-1)*N($F412))</f>
        <v/>
      </c>
      <c r="K412" s="35" t="str">
        <f aca="false">IF($B412="","",$J412*$I412)</f>
        <v/>
      </c>
      <c r="L412" s="46" t="str">
        <f aca="false">IF($A412="","",DATE(YEAR($A412),MONTH($A412),1))</f>
        <v/>
      </c>
    </row>
    <row r="413" customFormat="false" ht="15" hidden="false" customHeight="false" outlineLevel="0" collapsed="false">
      <c r="A413" s="44"/>
      <c r="B413" s="6"/>
      <c r="C413" s="8" t="str">
        <f aca="false">IF($B413="","",IFERROR(INDEX(INSUMOS!$B$6:$B$205,MATCH($B413,INSUMOS!$A$6:$A$205,0)),"¿Código?"))</f>
        <v/>
      </c>
      <c r="D413" s="8" t="str">
        <f aca="false">IF($B413="","",IFERROR(INDEX(INSUMOS!$D$6:$D$205,MATCH($B413,INSUMOS!$A$6:$A$205,0)),""))</f>
        <v/>
      </c>
      <c r="E413" s="6"/>
      <c r="F413" s="39"/>
      <c r="G413" s="6"/>
      <c r="H413" s="6"/>
      <c r="I413" s="43" t="str">
        <f aca="false">IF($B413="","",IFERROR(INDEX(INSUMOS!$O$6:$O$205,MATCH($B413,INSUMOS!$A$6:$A$205,0)),0))</f>
        <v/>
      </c>
      <c r="J413" s="45" t="str">
        <f aca="false">IF($B413="","",IF($E413="Ajuste (+) sobrante",1,-1)*N($F413))</f>
        <v/>
      </c>
      <c r="K413" s="35" t="str">
        <f aca="false">IF($B413="","",$J413*$I413)</f>
        <v/>
      </c>
      <c r="L413" s="46" t="str">
        <f aca="false">IF($A413="","",DATE(YEAR($A413),MONTH($A413),1))</f>
        <v/>
      </c>
    </row>
    <row r="414" customFormat="false" ht="15" hidden="false" customHeight="false" outlineLevel="0" collapsed="false">
      <c r="A414" s="44"/>
      <c r="B414" s="6"/>
      <c r="C414" s="8" t="str">
        <f aca="false">IF($B414="","",IFERROR(INDEX(INSUMOS!$B$6:$B$205,MATCH($B414,INSUMOS!$A$6:$A$205,0)),"¿Código?"))</f>
        <v/>
      </c>
      <c r="D414" s="8" t="str">
        <f aca="false">IF($B414="","",IFERROR(INDEX(INSUMOS!$D$6:$D$205,MATCH($B414,INSUMOS!$A$6:$A$205,0)),""))</f>
        <v/>
      </c>
      <c r="E414" s="6"/>
      <c r="F414" s="39"/>
      <c r="G414" s="6"/>
      <c r="H414" s="6"/>
      <c r="I414" s="43" t="str">
        <f aca="false">IF($B414="","",IFERROR(INDEX(INSUMOS!$O$6:$O$205,MATCH($B414,INSUMOS!$A$6:$A$205,0)),0))</f>
        <v/>
      </c>
      <c r="J414" s="45" t="str">
        <f aca="false">IF($B414="","",IF($E414="Ajuste (+) sobrante",1,-1)*N($F414))</f>
        <v/>
      </c>
      <c r="K414" s="35" t="str">
        <f aca="false">IF($B414="","",$J414*$I414)</f>
        <v/>
      </c>
      <c r="L414" s="46" t="str">
        <f aca="false">IF($A414="","",DATE(YEAR($A414),MONTH($A414),1))</f>
        <v/>
      </c>
    </row>
    <row r="415" customFormat="false" ht="15" hidden="false" customHeight="false" outlineLevel="0" collapsed="false">
      <c r="A415" s="44"/>
      <c r="B415" s="6"/>
      <c r="C415" s="8" t="str">
        <f aca="false">IF($B415="","",IFERROR(INDEX(INSUMOS!$B$6:$B$205,MATCH($B415,INSUMOS!$A$6:$A$205,0)),"¿Código?"))</f>
        <v/>
      </c>
      <c r="D415" s="8" t="str">
        <f aca="false">IF($B415="","",IFERROR(INDEX(INSUMOS!$D$6:$D$205,MATCH($B415,INSUMOS!$A$6:$A$205,0)),""))</f>
        <v/>
      </c>
      <c r="E415" s="6"/>
      <c r="F415" s="39"/>
      <c r="G415" s="6"/>
      <c r="H415" s="6"/>
      <c r="I415" s="43" t="str">
        <f aca="false">IF($B415="","",IFERROR(INDEX(INSUMOS!$O$6:$O$205,MATCH($B415,INSUMOS!$A$6:$A$205,0)),0))</f>
        <v/>
      </c>
      <c r="J415" s="45" t="str">
        <f aca="false">IF($B415="","",IF($E415="Ajuste (+) sobrante",1,-1)*N($F415))</f>
        <v/>
      </c>
      <c r="K415" s="35" t="str">
        <f aca="false">IF($B415="","",$J415*$I415)</f>
        <v/>
      </c>
      <c r="L415" s="46" t="str">
        <f aca="false">IF($A415="","",DATE(YEAR($A415),MONTH($A415),1))</f>
        <v/>
      </c>
    </row>
    <row r="416" customFormat="false" ht="15" hidden="false" customHeight="false" outlineLevel="0" collapsed="false">
      <c r="A416" s="44"/>
      <c r="B416" s="6"/>
      <c r="C416" s="8" t="str">
        <f aca="false">IF($B416="","",IFERROR(INDEX(INSUMOS!$B$6:$B$205,MATCH($B416,INSUMOS!$A$6:$A$205,0)),"¿Código?"))</f>
        <v/>
      </c>
      <c r="D416" s="8" t="str">
        <f aca="false">IF($B416="","",IFERROR(INDEX(INSUMOS!$D$6:$D$205,MATCH($B416,INSUMOS!$A$6:$A$205,0)),""))</f>
        <v/>
      </c>
      <c r="E416" s="6"/>
      <c r="F416" s="39"/>
      <c r="G416" s="6"/>
      <c r="H416" s="6"/>
      <c r="I416" s="43" t="str">
        <f aca="false">IF($B416="","",IFERROR(INDEX(INSUMOS!$O$6:$O$205,MATCH($B416,INSUMOS!$A$6:$A$205,0)),0))</f>
        <v/>
      </c>
      <c r="J416" s="45" t="str">
        <f aca="false">IF($B416="","",IF($E416="Ajuste (+) sobrante",1,-1)*N($F416))</f>
        <v/>
      </c>
      <c r="K416" s="35" t="str">
        <f aca="false">IF($B416="","",$J416*$I416)</f>
        <v/>
      </c>
      <c r="L416" s="46" t="str">
        <f aca="false">IF($A416="","",DATE(YEAR($A416),MONTH($A416),1))</f>
        <v/>
      </c>
    </row>
    <row r="417" customFormat="false" ht="15" hidden="false" customHeight="false" outlineLevel="0" collapsed="false">
      <c r="A417" s="44"/>
      <c r="B417" s="6"/>
      <c r="C417" s="8" t="str">
        <f aca="false">IF($B417="","",IFERROR(INDEX(INSUMOS!$B$6:$B$205,MATCH($B417,INSUMOS!$A$6:$A$205,0)),"¿Código?"))</f>
        <v/>
      </c>
      <c r="D417" s="8" t="str">
        <f aca="false">IF($B417="","",IFERROR(INDEX(INSUMOS!$D$6:$D$205,MATCH($B417,INSUMOS!$A$6:$A$205,0)),""))</f>
        <v/>
      </c>
      <c r="E417" s="6"/>
      <c r="F417" s="39"/>
      <c r="G417" s="6"/>
      <c r="H417" s="6"/>
      <c r="I417" s="43" t="str">
        <f aca="false">IF($B417="","",IFERROR(INDEX(INSUMOS!$O$6:$O$205,MATCH($B417,INSUMOS!$A$6:$A$205,0)),0))</f>
        <v/>
      </c>
      <c r="J417" s="45" t="str">
        <f aca="false">IF($B417="","",IF($E417="Ajuste (+) sobrante",1,-1)*N($F417))</f>
        <v/>
      </c>
      <c r="K417" s="35" t="str">
        <f aca="false">IF($B417="","",$J417*$I417)</f>
        <v/>
      </c>
      <c r="L417" s="46" t="str">
        <f aca="false">IF($A417="","",DATE(YEAR($A417),MONTH($A417),1))</f>
        <v/>
      </c>
    </row>
    <row r="418" customFormat="false" ht="15" hidden="false" customHeight="false" outlineLevel="0" collapsed="false">
      <c r="A418" s="44"/>
      <c r="B418" s="6"/>
      <c r="C418" s="8" t="str">
        <f aca="false">IF($B418="","",IFERROR(INDEX(INSUMOS!$B$6:$B$205,MATCH($B418,INSUMOS!$A$6:$A$205,0)),"¿Código?"))</f>
        <v/>
      </c>
      <c r="D418" s="8" t="str">
        <f aca="false">IF($B418="","",IFERROR(INDEX(INSUMOS!$D$6:$D$205,MATCH($B418,INSUMOS!$A$6:$A$205,0)),""))</f>
        <v/>
      </c>
      <c r="E418" s="6"/>
      <c r="F418" s="39"/>
      <c r="G418" s="6"/>
      <c r="H418" s="6"/>
      <c r="I418" s="43" t="str">
        <f aca="false">IF($B418="","",IFERROR(INDEX(INSUMOS!$O$6:$O$205,MATCH($B418,INSUMOS!$A$6:$A$205,0)),0))</f>
        <v/>
      </c>
      <c r="J418" s="45" t="str">
        <f aca="false">IF($B418="","",IF($E418="Ajuste (+) sobrante",1,-1)*N($F418))</f>
        <v/>
      </c>
      <c r="K418" s="35" t="str">
        <f aca="false">IF($B418="","",$J418*$I418)</f>
        <v/>
      </c>
      <c r="L418" s="46" t="str">
        <f aca="false">IF($A418="","",DATE(YEAR($A418),MONTH($A418),1))</f>
        <v/>
      </c>
    </row>
    <row r="419" customFormat="false" ht="15" hidden="false" customHeight="false" outlineLevel="0" collapsed="false">
      <c r="A419" s="44"/>
      <c r="B419" s="6"/>
      <c r="C419" s="8" t="str">
        <f aca="false">IF($B419="","",IFERROR(INDEX(INSUMOS!$B$6:$B$205,MATCH($B419,INSUMOS!$A$6:$A$205,0)),"¿Código?"))</f>
        <v/>
      </c>
      <c r="D419" s="8" t="str">
        <f aca="false">IF($B419="","",IFERROR(INDEX(INSUMOS!$D$6:$D$205,MATCH($B419,INSUMOS!$A$6:$A$205,0)),""))</f>
        <v/>
      </c>
      <c r="E419" s="6"/>
      <c r="F419" s="39"/>
      <c r="G419" s="6"/>
      <c r="H419" s="6"/>
      <c r="I419" s="43" t="str">
        <f aca="false">IF($B419="","",IFERROR(INDEX(INSUMOS!$O$6:$O$205,MATCH($B419,INSUMOS!$A$6:$A$205,0)),0))</f>
        <v/>
      </c>
      <c r="J419" s="45" t="str">
        <f aca="false">IF($B419="","",IF($E419="Ajuste (+) sobrante",1,-1)*N($F419))</f>
        <v/>
      </c>
      <c r="K419" s="35" t="str">
        <f aca="false">IF($B419="","",$J419*$I419)</f>
        <v/>
      </c>
      <c r="L419" s="46" t="str">
        <f aca="false">IF($A419="","",DATE(YEAR($A419),MONTH($A419),1))</f>
        <v/>
      </c>
    </row>
    <row r="420" customFormat="false" ht="15" hidden="false" customHeight="false" outlineLevel="0" collapsed="false">
      <c r="A420" s="44"/>
      <c r="B420" s="6"/>
      <c r="C420" s="8" t="str">
        <f aca="false">IF($B420="","",IFERROR(INDEX(INSUMOS!$B$6:$B$205,MATCH($B420,INSUMOS!$A$6:$A$205,0)),"¿Código?"))</f>
        <v/>
      </c>
      <c r="D420" s="8" t="str">
        <f aca="false">IF($B420="","",IFERROR(INDEX(INSUMOS!$D$6:$D$205,MATCH($B420,INSUMOS!$A$6:$A$205,0)),""))</f>
        <v/>
      </c>
      <c r="E420" s="6"/>
      <c r="F420" s="39"/>
      <c r="G420" s="6"/>
      <c r="H420" s="6"/>
      <c r="I420" s="43" t="str">
        <f aca="false">IF($B420="","",IFERROR(INDEX(INSUMOS!$O$6:$O$205,MATCH($B420,INSUMOS!$A$6:$A$205,0)),0))</f>
        <v/>
      </c>
      <c r="J420" s="45" t="str">
        <f aca="false">IF($B420="","",IF($E420="Ajuste (+) sobrante",1,-1)*N($F420))</f>
        <v/>
      </c>
      <c r="K420" s="35" t="str">
        <f aca="false">IF($B420="","",$J420*$I420)</f>
        <v/>
      </c>
      <c r="L420" s="46" t="str">
        <f aca="false">IF($A420="","",DATE(YEAR($A420),MONTH($A420),1))</f>
        <v/>
      </c>
    </row>
    <row r="421" customFormat="false" ht="15" hidden="false" customHeight="false" outlineLevel="0" collapsed="false">
      <c r="A421" s="44"/>
      <c r="B421" s="6"/>
      <c r="C421" s="8" t="str">
        <f aca="false">IF($B421="","",IFERROR(INDEX(INSUMOS!$B$6:$B$205,MATCH($B421,INSUMOS!$A$6:$A$205,0)),"¿Código?"))</f>
        <v/>
      </c>
      <c r="D421" s="8" t="str">
        <f aca="false">IF($B421="","",IFERROR(INDEX(INSUMOS!$D$6:$D$205,MATCH($B421,INSUMOS!$A$6:$A$205,0)),""))</f>
        <v/>
      </c>
      <c r="E421" s="6"/>
      <c r="F421" s="39"/>
      <c r="G421" s="6"/>
      <c r="H421" s="6"/>
      <c r="I421" s="43" t="str">
        <f aca="false">IF($B421="","",IFERROR(INDEX(INSUMOS!$O$6:$O$205,MATCH($B421,INSUMOS!$A$6:$A$205,0)),0))</f>
        <v/>
      </c>
      <c r="J421" s="45" t="str">
        <f aca="false">IF($B421="","",IF($E421="Ajuste (+) sobrante",1,-1)*N($F421))</f>
        <v/>
      </c>
      <c r="K421" s="35" t="str">
        <f aca="false">IF($B421="","",$J421*$I421)</f>
        <v/>
      </c>
      <c r="L421" s="46" t="str">
        <f aca="false">IF($A421="","",DATE(YEAR($A421),MONTH($A421),1))</f>
        <v/>
      </c>
    </row>
    <row r="422" customFormat="false" ht="15" hidden="false" customHeight="false" outlineLevel="0" collapsed="false">
      <c r="A422" s="44"/>
      <c r="B422" s="6"/>
      <c r="C422" s="8" t="str">
        <f aca="false">IF($B422="","",IFERROR(INDEX(INSUMOS!$B$6:$B$205,MATCH($B422,INSUMOS!$A$6:$A$205,0)),"¿Código?"))</f>
        <v/>
      </c>
      <c r="D422" s="8" t="str">
        <f aca="false">IF($B422="","",IFERROR(INDEX(INSUMOS!$D$6:$D$205,MATCH($B422,INSUMOS!$A$6:$A$205,0)),""))</f>
        <v/>
      </c>
      <c r="E422" s="6"/>
      <c r="F422" s="39"/>
      <c r="G422" s="6"/>
      <c r="H422" s="6"/>
      <c r="I422" s="43" t="str">
        <f aca="false">IF($B422="","",IFERROR(INDEX(INSUMOS!$O$6:$O$205,MATCH($B422,INSUMOS!$A$6:$A$205,0)),0))</f>
        <v/>
      </c>
      <c r="J422" s="45" t="str">
        <f aca="false">IF($B422="","",IF($E422="Ajuste (+) sobrante",1,-1)*N($F422))</f>
        <v/>
      </c>
      <c r="K422" s="35" t="str">
        <f aca="false">IF($B422="","",$J422*$I422)</f>
        <v/>
      </c>
      <c r="L422" s="46" t="str">
        <f aca="false">IF($A422="","",DATE(YEAR($A422),MONTH($A422),1))</f>
        <v/>
      </c>
    </row>
    <row r="423" customFormat="false" ht="15" hidden="false" customHeight="false" outlineLevel="0" collapsed="false">
      <c r="A423" s="44"/>
      <c r="B423" s="6"/>
      <c r="C423" s="8" t="str">
        <f aca="false">IF($B423="","",IFERROR(INDEX(INSUMOS!$B$6:$B$205,MATCH($B423,INSUMOS!$A$6:$A$205,0)),"¿Código?"))</f>
        <v/>
      </c>
      <c r="D423" s="8" t="str">
        <f aca="false">IF($B423="","",IFERROR(INDEX(INSUMOS!$D$6:$D$205,MATCH($B423,INSUMOS!$A$6:$A$205,0)),""))</f>
        <v/>
      </c>
      <c r="E423" s="6"/>
      <c r="F423" s="39"/>
      <c r="G423" s="6"/>
      <c r="H423" s="6"/>
      <c r="I423" s="43" t="str">
        <f aca="false">IF($B423="","",IFERROR(INDEX(INSUMOS!$O$6:$O$205,MATCH($B423,INSUMOS!$A$6:$A$205,0)),0))</f>
        <v/>
      </c>
      <c r="J423" s="45" t="str">
        <f aca="false">IF($B423="","",IF($E423="Ajuste (+) sobrante",1,-1)*N($F423))</f>
        <v/>
      </c>
      <c r="K423" s="35" t="str">
        <f aca="false">IF($B423="","",$J423*$I423)</f>
        <v/>
      </c>
      <c r="L423" s="46" t="str">
        <f aca="false">IF($A423="","",DATE(YEAR($A423),MONTH($A423),1))</f>
        <v/>
      </c>
    </row>
    <row r="424" customFormat="false" ht="15" hidden="false" customHeight="false" outlineLevel="0" collapsed="false">
      <c r="A424" s="44"/>
      <c r="B424" s="6"/>
      <c r="C424" s="8" t="str">
        <f aca="false">IF($B424="","",IFERROR(INDEX(INSUMOS!$B$6:$B$205,MATCH($B424,INSUMOS!$A$6:$A$205,0)),"¿Código?"))</f>
        <v/>
      </c>
      <c r="D424" s="8" t="str">
        <f aca="false">IF($B424="","",IFERROR(INDEX(INSUMOS!$D$6:$D$205,MATCH($B424,INSUMOS!$A$6:$A$205,0)),""))</f>
        <v/>
      </c>
      <c r="E424" s="6"/>
      <c r="F424" s="39"/>
      <c r="G424" s="6"/>
      <c r="H424" s="6"/>
      <c r="I424" s="43" t="str">
        <f aca="false">IF($B424="","",IFERROR(INDEX(INSUMOS!$O$6:$O$205,MATCH($B424,INSUMOS!$A$6:$A$205,0)),0))</f>
        <v/>
      </c>
      <c r="J424" s="45" t="str">
        <f aca="false">IF($B424="","",IF($E424="Ajuste (+) sobrante",1,-1)*N($F424))</f>
        <v/>
      </c>
      <c r="K424" s="35" t="str">
        <f aca="false">IF($B424="","",$J424*$I424)</f>
        <v/>
      </c>
      <c r="L424" s="46" t="str">
        <f aca="false">IF($A424="","",DATE(YEAR($A424),MONTH($A424),1))</f>
        <v/>
      </c>
    </row>
    <row r="425" customFormat="false" ht="15" hidden="false" customHeight="false" outlineLevel="0" collapsed="false">
      <c r="A425" s="44"/>
      <c r="B425" s="6"/>
      <c r="C425" s="8" t="str">
        <f aca="false">IF($B425="","",IFERROR(INDEX(INSUMOS!$B$6:$B$205,MATCH($B425,INSUMOS!$A$6:$A$205,0)),"¿Código?"))</f>
        <v/>
      </c>
      <c r="D425" s="8" t="str">
        <f aca="false">IF($B425="","",IFERROR(INDEX(INSUMOS!$D$6:$D$205,MATCH($B425,INSUMOS!$A$6:$A$205,0)),""))</f>
        <v/>
      </c>
      <c r="E425" s="6"/>
      <c r="F425" s="39"/>
      <c r="G425" s="6"/>
      <c r="H425" s="6"/>
      <c r="I425" s="43" t="str">
        <f aca="false">IF($B425="","",IFERROR(INDEX(INSUMOS!$O$6:$O$205,MATCH($B425,INSUMOS!$A$6:$A$205,0)),0))</f>
        <v/>
      </c>
      <c r="J425" s="45" t="str">
        <f aca="false">IF($B425="","",IF($E425="Ajuste (+) sobrante",1,-1)*N($F425))</f>
        <v/>
      </c>
      <c r="K425" s="35" t="str">
        <f aca="false">IF($B425="","",$J425*$I425)</f>
        <v/>
      </c>
      <c r="L425" s="46" t="str">
        <f aca="false">IF($A425="","",DATE(YEAR($A425),MONTH($A425),1))</f>
        <v/>
      </c>
    </row>
    <row r="426" customFormat="false" ht="15" hidden="false" customHeight="false" outlineLevel="0" collapsed="false">
      <c r="A426" s="44"/>
      <c r="B426" s="6"/>
      <c r="C426" s="8" t="str">
        <f aca="false">IF($B426="","",IFERROR(INDEX(INSUMOS!$B$6:$B$205,MATCH($B426,INSUMOS!$A$6:$A$205,0)),"¿Código?"))</f>
        <v/>
      </c>
      <c r="D426" s="8" t="str">
        <f aca="false">IF($B426="","",IFERROR(INDEX(INSUMOS!$D$6:$D$205,MATCH($B426,INSUMOS!$A$6:$A$205,0)),""))</f>
        <v/>
      </c>
      <c r="E426" s="6"/>
      <c r="F426" s="39"/>
      <c r="G426" s="6"/>
      <c r="H426" s="6"/>
      <c r="I426" s="43" t="str">
        <f aca="false">IF($B426="","",IFERROR(INDEX(INSUMOS!$O$6:$O$205,MATCH($B426,INSUMOS!$A$6:$A$205,0)),0))</f>
        <v/>
      </c>
      <c r="J426" s="45" t="str">
        <f aca="false">IF($B426="","",IF($E426="Ajuste (+) sobrante",1,-1)*N($F426))</f>
        <v/>
      </c>
      <c r="K426" s="35" t="str">
        <f aca="false">IF($B426="","",$J426*$I426)</f>
        <v/>
      </c>
      <c r="L426" s="46" t="str">
        <f aca="false">IF($A426="","",DATE(YEAR($A426),MONTH($A426),1))</f>
        <v/>
      </c>
    </row>
    <row r="427" customFormat="false" ht="15" hidden="false" customHeight="false" outlineLevel="0" collapsed="false">
      <c r="A427" s="44"/>
      <c r="B427" s="6"/>
      <c r="C427" s="8" t="str">
        <f aca="false">IF($B427="","",IFERROR(INDEX(INSUMOS!$B$6:$B$205,MATCH($B427,INSUMOS!$A$6:$A$205,0)),"¿Código?"))</f>
        <v/>
      </c>
      <c r="D427" s="8" t="str">
        <f aca="false">IF($B427="","",IFERROR(INDEX(INSUMOS!$D$6:$D$205,MATCH($B427,INSUMOS!$A$6:$A$205,0)),""))</f>
        <v/>
      </c>
      <c r="E427" s="6"/>
      <c r="F427" s="39"/>
      <c r="G427" s="6"/>
      <c r="H427" s="6"/>
      <c r="I427" s="43" t="str">
        <f aca="false">IF($B427="","",IFERROR(INDEX(INSUMOS!$O$6:$O$205,MATCH($B427,INSUMOS!$A$6:$A$205,0)),0))</f>
        <v/>
      </c>
      <c r="J427" s="45" t="str">
        <f aca="false">IF($B427="","",IF($E427="Ajuste (+) sobrante",1,-1)*N($F427))</f>
        <v/>
      </c>
      <c r="K427" s="35" t="str">
        <f aca="false">IF($B427="","",$J427*$I427)</f>
        <v/>
      </c>
      <c r="L427" s="46" t="str">
        <f aca="false">IF($A427="","",DATE(YEAR($A427),MONTH($A427),1))</f>
        <v/>
      </c>
    </row>
    <row r="428" customFormat="false" ht="15" hidden="false" customHeight="false" outlineLevel="0" collapsed="false">
      <c r="A428" s="44"/>
      <c r="B428" s="6"/>
      <c r="C428" s="8" t="str">
        <f aca="false">IF($B428="","",IFERROR(INDEX(INSUMOS!$B$6:$B$205,MATCH($B428,INSUMOS!$A$6:$A$205,0)),"¿Código?"))</f>
        <v/>
      </c>
      <c r="D428" s="8" t="str">
        <f aca="false">IF($B428="","",IFERROR(INDEX(INSUMOS!$D$6:$D$205,MATCH($B428,INSUMOS!$A$6:$A$205,0)),""))</f>
        <v/>
      </c>
      <c r="E428" s="6"/>
      <c r="F428" s="39"/>
      <c r="G428" s="6"/>
      <c r="H428" s="6"/>
      <c r="I428" s="43" t="str">
        <f aca="false">IF($B428="","",IFERROR(INDEX(INSUMOS!$O$6:$O$205,MATCH($B428,INSUMOS!$A$6:$A$205,0)),0))</f>
        <v/>
      </c>
      <c r="J428" s="45" t="str">
        <f aca="false">IF($B428="","",IF($E428="Ajuste (+) sobrante",1,-1)*N($F428))</f>
        <v/>
      </c>
      <c r="K428" s="35" t="str">
        <f aca="false">IF($B428="","",$J428*$I428)</f>
        <v/>
      </c>
      <c r="L428" s="46" t="str">
        <f aca="false">IF($A428="","",DATE(YEAR($A428),MONTH($A428),1))</f>
        <v/>
      </c>
    </row>
    <row r="429" customFormat="false" ht="15" hidden="false" customHeight="false" outlineLevel="0" collapsed="false">
      <c r="A429" s="44"/>
      <c r="B429" s="6"/>
      <c r="C429" s="8" t="str">
        <f aca="false">IF($B429="","",IFERROR(INDEX(INSUMOS!$B$6:$B$205,MATCH($B429,INSUMOS!$A$6:$A$205,0)),"¿Código?"))</f>
        <v/>
      </c>
      <c r="D429" s="8" t="str">
        <f aca="false">IF($B429="","",IFERROR(INDEX(INSUMOS!$D$6:$D$205,MATCH($B429,INSUMOS!$A$6:$A$205,0)),""))</f>
        <v/>
      </c>
      <c r="E429" s="6"/>
      <c r="F429" s="39"/>
      <c r="G429" s="6"/>
      <c r="H429" s="6"/>
      <c r="I429" s="43" t="str">
        <f aca="false">IF($B429="","",IFERROR(INDEX(INSUMOS!$O$6:$O$205,MATCH($B429,INSUMOS!$A$6:$A$205,0)),0))</f>
        <v/>
      </c>
      <c r="J429" s="45" t="str">
        <f aca="false">IF($B429="","",IF($E429="Ajuste (+) sobrante",1,-1)*N($F429))</f>
        <v/>
      </c>
      <c r="K429" s="35" t="str">
        <f aca="false">IF($B429="","",$J429*$I429)</f>
        <v/>
      </c>
      <c r="L429" s="46" t="str">
        <f aca="false">IF($A429="","",DATE(YEAR($A429),MONTH($A429),1))</f>
        <v/>
      </c>
    </row>
    <row r="430" customFormat="false" ht="15" hidden="false" customHeight="false" outlineLevel="0" collapsed="false">
      <c r="A430" s="44"/>
      <c r="B430" s="6"/>
      <c r="C430" s="8" t="str">
        <f aca="false">IF($B430="","",IFERROR(INDEX(INSUMOS!$B$6:$B$205,MATCH($B430,INSUMOS!$A$6:$A$205,0)),"¿Código?"))</f>
        <v/>
      </c>
      <c r="D430" s="8" t="str">
        <f aca="false">IF($B430="","",IFERROR(INDEX(INSUMOS!$D$6:$D$205,MATCH($B430,INSUMOS!$A$6:$A$205,0)),""))</f>
        <v/>
      </c>
      <c r="E430" s="6"/>
      <c r="F430" s="39"/>
      <c r="G430" s="6"/>
      <c r="H430" s="6"/>
      <c r="I430" s="43" t="str">
        <f aca="false">IF($B430="","",IFERROR(INDEX(INSUMOS!$O$6:$O$205,MATCH($B430,INSUMOS!$A$6:$A$205,0)),0))</f>
        <v/>
      </c>
      <c r="J430" s="45" t="str">
        <f aca="false">IF($B430="","",IF($E430="Ajuste (+) sobrante",1,-1)*N($F430))</f>
        <v/>
      </c>
      <c r="K430" s="35" t="str">
        <f aca="false">IF($B430="","",$J430*$I430)</f>
        <v/>
      </c>
      <c r="L430" s="46" t="str">
        <f aca="false">IF($A430="","",DATE(YEAR($A430),MONTH($A430),1))</f>
        <v/>
      </c>
    </row>
    <row r="431" customFormat="false" ht="15" hidden="false" customHeight="false" outlineLevel="0" collapsed="false">
      <c r="A431" s="44"/>
      <c r="B431" s="6"/>
      <c r="C431" s="8" t="str">
        <f aca="false">IF($B431="","",IFERROR(INDEX(INSUMOS!$B$6:$B$205,MATCH($B431,INSUMOS!$A$6:$A$205,0)),"¿Código?"))</f>
        <v/>
      </c>
      <c r="D431" s="8" t="str">
        <f aca="false">IF($B431="","",IFERROR(INDEX(INSUMOS!$D$6:$D$205,MATCH($B431,INSUMOS!$A$6:$A$205,0)),""))</f>
        <v/>
      </c>
      <c r="E431" s="6"/>
      <c r="F431" s="39"/>
      <c r="G431" s="6"/>
      <c r="H431" s="6"/>
      <c r="I431" s="43" t="str">
        <f aca="false">IF($B431="","",IFERROR(INDEX(INSUMOS!$O$6:$O$205,MATCH($B431,INSUMOS!$A$6:$A$205,0)),0))</f>
        <v/>
      </c>
      <c r="J431" s="45" t="str">
        <f aca="false">IF($B431="","",IF($E431="Ajuste (+) sobrante",1,-1)*N($F431))</f>
        <v/>
      </c>
      <c r="K431" s="35" t="str">
        <f aca="false">IF($B431="","",$J431*$I431)</f>
        <v/>
      </c>
      <c r="L431" s="46" t="str">
        <f aca="false">IF($A431="","",DATE(YEAR($A431),MONTH($A431),1))</f>
        <v/>
      </c>
    </row>
    <row r="432" customFormat="false" ht="15" hidden="false" customHeight="false" outlineLevel="0" collapsed="false">
      <c r="A432" s="44"/>
      <c r="B432" s="6"/>
      <c r="C432" s="8" t="str">
        <f aca="false">IF($B432="","",IFERROR(INDEX(INSUMOS!$B$6:$B$205,MATCH($B432,INSUMOS!$A$6:$A$205,0)),"¿Código?"))</f>
        <v/>
      </c>
      <c r="D432" s="8" t="str">
        <f aca="false">IF($B432="","",IFERROR(INDEX(INSUMOS!$D$6:$D$205,MATCH($B432,INSUMOS!$A$6:$A$205,0)),""))</f>
        <v/>
      </c>
      <c r="E432" s="6"/>
      <c r="F432" s="39"/>
      <c r="G432" s="6"/>
      <c r="H432" s="6"/>
      <c r="I432" s="43" t="str">
        <f aca="false">IF($B432="","",IFERROR(INDEX(INSUMOS!$O$6:$O$205,MATCH($B432,INSUMOS!$A$6:$A$205,0)),0))</f>
        <v/>
      </c>
      <c r="J432" s="45" t="str">
        <f aca="false">IF($B432="","",IF($E432="Ajuste (+) sobrante",1,-1)*N($F432))</f>
        <v/>
      </c>
      <c r="K432" s="35" t="str">
        <f aca="false">IF($B432="","",$J432*$I432)</f>
        <v/>
      </c>
      <c r="L432" s="46" t="str">
        <f aca="false">IF($A432="","",DATE(YEAR($A432),MONTH($A432),1))</f>
        <v/>
      </c>
    </row>
    <row r="433" customFormat="false" ht="15" hidden="false" customHeight="false" outlineLevel="0" collapsed="false">
      <c r="A433" s="44"/>
      <c r="B433" s="6"/>
      <c r="C433" s="8" t="str">
        <f aca="false">IF($B433="","",IFERROR(INDEX(INSUMOS!$B$6:$B$205,MATCH($B433,INSUMOS!$A$6:$A$205,0)),"¿Código?"))</f>
        <v/>
      </c>
      <c r="D433" s="8" t="str">
        <f aca="false">IF($B433="","",IFERROR(INDEX(INSUMOS!$D$6:$D$205,MATCH($B433,INSUMOS!$A$6:$A$205,0)),""))</f>
        <v/>
      </c>
      <c r="E433" s="6"/>
      <c r="F433" s="39"/>
      <c r="G433" s="6"/>
      <c r="H433" s="6"/>
      <c r="I433" s="43" t="str">
        <f aca="false">IF($B433="","",IFERROR(INDEX(INSUMOS!$O$6:$O$205,MATCH($B433,INSUMOS!$A$6:$A$205,0)),0))</f>
        <v/>
      </c>
      <c r="J433" s="45" t="str">
        <f aca="false">IF($B433="","",IF($E433="Ajuste (+) sobrante",1,-1)*N($F433))</f>
        <v/>
      </c>
      <c r="K433" s="35" t="str">
        <f aca="false">IF($B433="","",$J433*$I433)</f>
        <v/>
      </c>
      <c r="L433" s="46" t="str">
        <f aca="false">IF($A433="","",DATE(YEAR($A433),MONTH($A433),1))</f>
        <v/>
      </c>
    </row>
    <row r="434" customFormat="false" ht="15" hidden="false" customHeight="false" outlineLevel="0" collapsed="false">
      <c r="A434" s="44"/>
      <c r="B434" s="6"/>
      <c r="C434" s="8" t="str">
        <f aca="false">IF($B434="","",IFERROR(INDEX(INSUMOS!$B$6:$B$205,MATCH($B434,INSUMOS!$A$6:$A$205,0)),"¿Código?"))</f>
        <v/>
      </c>
      <c r="D434" s="8" t="str">
        <f aca="false">IF($B434="","",IFERROR(INDEX(INSUMOS!$D$6:$D$205,MATCH($B434,INSUMOS!$A$6:$A$205,0)),""))</f>
        <v/>
      </c>
      <c r="E434" s="6"/>
      <c r="F434" s="39"/>
      <c r="G434" s="6"/>
      <c r="H434" s="6"/>
      <c r="I434" s="43" t="str">
        <f aca="false">IF($B434="","",IFERROR(INDEX(INSUMOS!$O$6:$O$205,MATCH($B434,INSUMOS!$A$6:$A$205,0)),0))</f>
        <v/>
      </c>
      <c r="J434" s="45" t="str">
        <f aca="false">IF($B434="","",IF($E434="Ajuste (+) sobrante",1,-1)*N($F434))</f>
        <v/>
      </c>
      <c r="K434" s="35" t="str">
        <f aca="false">IF($B434="","",$J434*$I434)</f>
        <v/>
      </c>
      <c r="L434" s="46" t="str">
        <f aca="false">IF($A434="","",DATE(YEAR($A434),MONTH($A434),1))</f>
        <v/>
      </c>
    </row>
    <row r="435" customFormat="false" ht="15" hidden="false" customHeight="false" outlineLevel="0" collapsed="false">
      <c r="A435" s="44"/>
      <c r="B435" s="6"/>
      <c r="C435" s="8" t="str">
        <f aca="false">IF($B435="","",IFERROR(INDEX(INSUMOS!$B$6:$B$205,MATCH($B435,INSUMOS!$A$6:$A$205,0)),"¿Código?"))</f>
        <v/>
      </c>
      <c r="D435" s="8" t="str">
        <f aca="false">IF($B435="","",IFERROR(INDEX(INSUMOS!$D$6:$D$205,MATCH($B435,INSUMOS!$A$6:$A$205,0)),""))</f>
        <v/>
      </c>
      <c r="E435" s="6"/>
      <c r="F435" s="39"/>
      <c r="G435" s="6"/>
      <c r="H435" s="6"/>
      <c r="I435" s="43" t="str">
        <f aca="false">IF($B435="","",IFERROR(INDEX(INSUMOS!$O$6:$O$205,MATCH($B435,INSUMOS!$A$6:$A$205,0)),0))</f>
        <v/>
      </c>
      <c r="J435" s="45" t="str">
        <f aca="false">IF($B435="","",IF($E435="Ajuste (+) sobrante",1,-1)*N($F435))</f>
        <v/>
      </c>
      <c r="K435" s="35" t="str">
        <f aca="false">IF($B435="","",$J435*$I435)</f>
        <v/>
      </c>
      <c r="L435" s="46" t="str">
        <f aca="false">IF($A435="","",DATE(YEAR($A435),MONTH($A435),1))</f>
        <v/>
      </c>
    </row>
    <row r="436" customFormat="false" ht="15" hidden="false" customHeight="false" outlineLevel="0" collapsed="false">
      <c r="A436" s="44"/>
      <c r="B436" s="6"/>
      <c r="C436" s="8" t="str">
        <f aca="false">IF($B436="","",IFERROR(INDEX(INSUMOS!$B$6:$B$205,MATCH($B436,INSUMOS!$A$6:$A$205,0)),"¿Código?"))</f>
        <v/>
      </c>
      <c r="D436" s="8" t="str">
        <f aca="false">IF($B436="","",IFERROR(INDEX(INSUMOS!$D$6:$D$205,MATCH($B436,INSUMOS!$A$6:$A$205,0)),""))</f>
        <v/>
      </c>
      <c r="E436" s="6"/>
      <c r="F436" s="39"/>
      <c r="G436" s="6"/>
      <c r="H436" s="6"/>
      <c r="I436" s="43" t="str">
        <f aca="false">IF($B436="","",IFERROR(INDEX(INSUMOS!$O$6:$O$205,MATCH($B436,INSUMOS!$A$6:$A$205,0)),0))</f>
        <v/>
      </c>
      <c r="J436" s="45" t="str">
        <f aca="false">IF($B436="","",IF($E436="Ajuste (+) sobrante",1,-1)*N($F436))</f>
        <v/>
      </c>
      <c r="K436" s="35" t="str">
        <f aca="false">IF($B436="","",$J436*$I436)</f>
        <v/>
      </c>
      <c r="L436" s="46" t="str">
        <f aca="false">IF($A436="","",DATE(YEAR($A436),MONTH($A436),1))</f>
        <v/>
      </c>
    </row>
    <row r="437" customFormat="false" ht="15" hidden="false" customHeight="false" outlineLevel="0" collapsed="false">
      <c r="A437" s="44"/>
      <c r="B437" s="6"/>
      <c r="C437" s="8" t="str">
        <f aca="false">IF($B437="","",IFERROR(INDEX(INSUMOS!$B$6:$B$205,MATCH($B437,INSUMOS!$A$6:$A$205,0)),"¿Código?"))</f>
        <v/>
      </c>
      <c r="D437" s="8" t="str">
        <f aca="false">IF($B437="","",IFERROR(INDEX(INSUMOS!$D$6:$D$205,MATCH($B437,INSUMOS!$A$6:$A$205,0)),""))</f>
        <v/>
      </c>
      <c r="E437" s="6"/>
      <c r="F437" s="39"/>
      <c r="G437" s="6"/>
      <c r="H437" s="6"/>
      <c r="I437" s="43" t="str">
        <f aca="false">IF($B437="","",IFERROR(INDEX(INSUMOS!$O$6:$O$205,MATCH($B437,INSUMOS!$A$6:$A$205,0)),0))</f>
        <v/>
      </c>
      <c r="J437" s="45" t="str">
        <f aca="false">IF($B437="","",IF($E437="Ajuste (+) sobrante",1,-1)*N($F437))</f>
        <v/>
      </c>
      <c r="K437" s="35" t="str">
        <f aca="false">IF($B437="","",$J437*$I437)</f>
        <v/>
      </c>
      <c r="L437" s="46" t="str">
        <f aca="false">IF($A437="","",DATE(YEAR($A437),MONTH($A437),1))</f>
        <v/>
      </c>
    </row>
    <row r="438" customFormat="false" ht="15" hidden="false" customHeight="false" outlineLevel="0" collapsed="false">
      <c r="A438" s="44"/>
      <c r="B438" s="6"/>
      <c r="C438" s="8" t="str">
        <f aca="false">IF($B438="","",IFERROR(INDEX(INSUMOS!$B$6:$B$205,MATCH($B438,INSUMOS!$A$6:$A$205,0)),"¿Código?"))</f>
        <v/>
      </c>
      <c r="D438" s="8" t="str">
        <f aca="false">IF($B438="","",IFERROR(INDEX(INSUMOS!$D$6:$D$205,MATCH($B438,INSUMOS!$A$6:$A$205,0)),""))</f>
        <v/>
      </c>
      <c r="E438" s="6"/>
      <c r="F438" s="39"/>
      <c r="G438" s="6"/>
      <c r="H438" s="6"/>
      <c r="I438" s="43" t="str">
        <f aca="false">IF($B438="","",IFERROR(INDEX(INSUMOS!$O$6:$O$205,MATCH($B438,INSUMOS!$A$6:$A$205,0)),0))</f>
        <v/>
      </c>
      <c r="J438" s="45" t="str">
        <f aca="false">IF($B438="","",IF($E438="Ajuste (+) sobrante",1,-1)*N($F438))</f>
        <v/>
      </c>
      <c r="K438" s="35" t="str">
        <f aca="false">IF($B438="","",$J438*$I438)</f>
        <v/>
      </c>
      <c r="L438" s="46" t="str">
        <f aca="false">IF($A438="","",DATE(YEAR($A438),MONTH($A438),1))</f>
        <v/>
      </c>
    </row>
    <row r="439" customFormat="false" ht="15" hidden="false" customHeight="false" outlineLevel="0" collapsed="false">
      <c r="A439" s="44"/>
      <c r="B439" s="6"/>
      <c r="C439" s="8" t="str">
        <f aca="false">IF($B439="","",IFERROR(INDEX(INSUMOS!$B$6:$B$205,MATCH($B439,INSUMOS!$A$6:$A$205,0)),"¿Código?"))</f>
        <v/>
      </c>
      <c r="D439" s="8" t="str">
        <f aca="false">IF($B439="","",IFERROR(INDEX(INSUMOS!$D$6:$D$205,MATCH($B439,INSUMOS!$A$6:$A$205,0)),""))</f>
        <v/>
      </c>
      <c r="E439" s="6"/>
      <c r="F439" s="39"/>
      <c r="G439" s="6"/>
      <c r="H439" s="6"/>
      <c r="I439" s="43" t="str">
        <f aca="false">IF($B439="","",IFERROR(INDEX(INSUMOS!$O$6:$O$205,MATCH($B439,INSUMOS!$A$6:$A$205,0)),0))</f>
        <v/>
      </c>
      <c r="J439" s="45" t="str">
        <f aca="false">IF($B439="","",IF($E439="Ajuste (+) sobrante",1,-1)*N($F439))</f>
        <v/>
      </c>
      <c r="K439" s="35" t="str">
        <f aca="false">IF($B439="","",$J439*$I439)</f>
        <v/>
      </c>
      <c r="L439" s="46" t="str">
        <f aca="false">IF($A439="","",DATE(YEAR($A439),MONTH($A439),1))</f>
        <v/>
      </c>
    </row>
    <row r="440" customFormat="false" ht="15" hidden="false" customHeight="false" outlineLevel="0" collapsed="false">
      <c r="A440" s="44"/>
      <c r="B440" s="6"/>
      <c r="C440" s="8" t="str">
        <f aca="false">IF($B440="","",IFERROR(INDEX(INSUMOS!$B$6:$B$205,MATCH($B440,INSUMOS!$A$6:$A$205,0)),"¿Código?"))</f>
        <v/>
      </c>
      <c r="D440" s="8" t="str">
        <f aca="false">IF($B440="","",IFERROR(INDEX(INSUMOS!$D$6:$D$205,MATCH($B440,INSUMOS!$A$6:$A$205,0)),""))</f>
        <v/>
      </c>
      <c r="E440" s="6"/>
      <c r="F440" s="39"/>
      <c r="G440" s="6"/>
      <c r="H440" s="6"/>
      <c r="I440" s="43" t="str">
        <f aca="false">IF($B440="","",IFERROR(INDEX(INSUMOS!$O$6:$O$205,MATCH($B440,INSUMOS!$A$6:$A$205,0)),0))</f>
        <v/>
      </c>
      <c r="J440" s="45" t="str">
        <f aca="false">IF($B440="","",IF($E440="Ajuste (+) sobrante",1,-1)*N($F440))</f>
        <v/>
      </c>
      <c r="K440" s="35" t="str">
        <f aca="false">IF($B440="","",$J440*$I440)</f>
        <v/>
      </c>
      <c r="L440" s="46" t="str">
        <f aca="false">IF($A440="","",DATE(YEAR($A440),MONTH($A440),1))</f>
        <v/>
      </c>
    </row>
    <row r="441" customFormat="false" ht="15" hidden="false" customHeight="false" outlineLevel="0" collapsed="false">
      <c r="A441" s="44"/>
      <c r="B441" s="6"/>
      <c r="C441" s="8" t="str">
        <f aca="false">IF($B441="","",IFERROR(INDEX(INSUMOS!$B$6:$B$205,MATCH($B441,INSUMOS!$A$6:$A$205,0)),"¿Código?"))</f>
        <v/>
      </c>
      <c r="D441" s="8" t="str">
        <f aca="false">IF($B441="","",IFERROR(INDEX(INSUMOS!$D$6:$D$205,MATCH($B441,INSUMOS!$A$6:$A$205,0)),""))</f>
        <v/>
      </c>
      <c r="E441" s="6"/>
      <c r="F441" s="39"/>
      <c r="G441" s="6"/>
      <c r="H441" s="6"/>
      <c r="I441" s="43" t="str">
        <f aca="false">IF($B441="","",IFERROR(INDEX(INSUMOS!$O$6:$O$205,MATCH($B441,INSUMOS!$A$6:$A$205,0)),0))</f>
        <v/>
      </c>
      <c r="J441" s="45" t="str">
        <f aca="false">IF($B441="","",IF($E441="Ajuste (+) sobrante",1,-1)*N($F441))</f>
        <v/>
      </c>
      <c r="K441" s="35" t="str">
        <f aca="false">IF($B441="","",$J441*$I441)</f>
        <v/>
      </c>
      <c r="L441" s="46" t="str">
        <f aca="false">IF($A441="","",DATE(YEAR($A441),MONTH($A441),1))</f>
        <v/>
      </c>
    </row>
    <row r="442" customFormat="false" ht="15" hidden="false" customHeight="false" outlineLevel="0" collapsed="false">
      <c r="A442" s="44"/>
      <c r="B442" s="6"/>
      <c r="C442" s="8" t="str">
        <f aca="false">IF($B442="","",IFERROR(INDEX(INSUMOS!$B$6:$B$205,MATCH($B442,INSUMOS!$A$6:$A$205,0)),"¿Código?"))</f>
        <v/>
      </c>
      <c r="D442" s="8" t="str">
        <f aca="false">IF($B442="","",IFERROR(INDEX(INSUMOS!$D$6:$D$205,MATCH($B442,INSUMOS!$A$6:$A$205,0)),""))</f>
        <v/>
      </c>
      <c r="E442" s="6"/>
      <c r="F442" s="39"/>
      <c r="G442" s="6"/>
      <c r="H442" s="6"/>
      <c r="I442" s="43" t="str">
        <f aca="false">IF($B442="","",IFERROR(INDEX(INSUMOS!$O$6:$O$205,MATCH($B442,INSUMOS!$A$6:$A$205,0)),0))</f>
        <v/>
      </c>
      <c r="J442" s="45" t="str">
        <f aca="false">IF($B442="","",IF($E442="Ajuste (+) sobrante",1,-1)*N($F442))</f>
        <v/>
      </c>
      <c r="K442" s="35" t="str">
        <f aca="false">IF($B442="","",$J442*$I442)</f>
        <v/>
      </c>
      <c r="L442" s="46" t="str">
        <f aca="false">IF($A442="","",DATE(YEAR($A442),MONTH($A442),1))</f>
        <v/>
      </c>
    </row>
    <row r="443" customFormat="false" ht="15" hidden="false" customHeight="false" outlineLevel="0" collapsed="false">
      <c r="A443" s="44"/>
      <c r="B443" s="6"/>
      <c r="C443" s="8" t="str">
        <f aca="false">IF($B443="","",IFERROR(INDEX(INSUMOS!$B$6:$B$205,MATCH($B443,INSUMOS!$A$6:$A$205,0)),"¿Código?"))</f>
        <v/>
      </c>
      <c r="D443" s="8" t="str">
        <f aca="false">IF($B443="","",IFERROR(INDEX(INSUMOS!$D$6:$D$205,MATCH($B443,INSUMOS!$A$6:$A$205,0)),""))</f>
        <v/>
      </c>
      <c r="E443" s="6"/>
      <c r="F443" s="39"/>
      <c r="G443" s="6"/>
      <c r="H443" s="6"/>
      <c r="I443" s="43" t="str">
        <f aca="false">IF($B443="","",IFERROR(INDEX(INSUMOS!$O$6:$O$205,MATCH($B443,INSUMOS!$A$6:$A$205,0)),0))</f>
        <v/>
      </c>
      <c r="J443" s="45" t="str">
        <f aca="false">IF($B443="","",IF($E443="Ajuste (+) sobrante",1,-1)*N($F443))</f>
        <v/>
      </c>
      <c r="K443" s="35" t="str">
        <f aca="false">IF($B443="","",$J443*$I443)</f>
        <v/>
      </c>
      <c r="L443" s="46" t="str">
        <f aca="false">IF($A443="","",DATE(YEAR($A443),MONTH($A443),1))</f>
        <v/>
      </c>
    </row>
    <row r="444" customFormat="false" ht="15" hidden="false" customHeight="false" outlineLevel="0" collapsed="false">
      <c r="A444" s="44"/>
      <c r="B444" s="6"/>
      <c r="C444" s="8" t="str">
        <f aca="false">IF($B444="","",IFERROR(INDEX(INSUMOS!$B$6:$B$205,MATCH($B444,INSUMOS!$A$6:$A$205,0)),"¿Código?"))</f>
        <v/>
      </c>
      <c r="D444" s="8" t="str">
        <f aca="false">IF($B444="","",IFERROR(INDEX(INSUMOS!$D$6:$D$205,MATCH($B444,INSUMOS!$A$6:$A$205,0)),""))</f>
        <v/>
      </c>
      <c r="E444" s="6"/>
      <c r="F444" s="39"/>
      <c r="G444" s="6"/>
      <c r="H444" s="6"/>
      <c r="I444" s="43" t="str">
        <f aca="false">IF($B444="","",IFERROR(INDEX(INSUMOS!$O$6:$O$205,MATCH($B444,INSUMOS!$A$6:$A$205,0)),0))</f>
        <v/>
      </c>
      <c r="J444" s="45" t="str">
        <f aca="false">IF($B444="","",IF($E444="Ajuste (+) sobrante",1,-1)*N($F444))</f>
        <v/>
      </c>
      <c r="K444" s="35" t="str">
        <f aca="false">IF($B444="","",$J444*$I444)</f>
        <v/>
      </c>
      <c r="L444" s="46" t="str">
        <f aca="false">IF($A444="","",DATE(YEAR($A444),MONTH($A444),1))</f>
        <v/>
      </c>
    </row>
    <row r="445" customFormat="false" ht="15" hidden="false" customHeight="false" outlineLevel="0" collapsed="false">
      <c r="A445" s="44"/>
      <c r="B445" s="6"/>
      <c r="C445" s="8" t="str">
        <f aca="false">IF($B445="","",IFERROR(INDEX(INSUMOS!$B$6:$B$205,MATCH($B445,INSUMOS!$A$6:$A$205,0)),"¿Código?"))</f>
        <v/>
      </c>
      <c r="D445" s="8" t="str">
        <f aca="false">IF($B445="","",IFERROR(INDEX(INSUMOS!$D$6:$D$205,MATCH($B445,INSUMOS!$A$6:$A$205,0)),""))</f>
        <v/>
      </c>
      <c r="E445" s="6"/>
      <c r="F445" s="39"/>
      <c r="G445" s="6"/>
      <c r="H445" s="6"/>
      <c r="I445" s="43" t="str">
        <f aca="false">IF($B445="","",IFERROR(INDEX(INSUMOS!$O$6:$O$205,MATCH($B445,INSUMOS!$A$6:$A$205,0)),0))</f>
        <v/>
      </c>
      <c r="J445" s="45" t="str">
        <f aca="false">IF($B445="","",IF($E445="Ajuste (+) sobrante",1,-1)*N($F445))</f>
        <v/>
      </c>
      <c r="K445" s="35" t="str">
        <f aca="false">IF($B445="","",$J445*$I445)</f>
        <v/>
      </c>
      <c r="L445" s="46" t="str">
        <f aca="false">IF($A445="","",DATE(YEAR($A445),MONTH($A445),1))</f>
        <v/>
      </c>
    </row>
    <row r="446" customFormat="false" ht="15" hidden="false" customHeight="false" outlineLevel="0" collapsed="false">
      <c r="A446" s="44"/>
      <c r="B446" s="6"/>
      <c r="C446" s="8" t="str">
        <f aca="false">IF($B446="","",IFERROR(INDEX(INSUMOS!$B$6:$B$205,MATCH($B446,INSUMOS!$A$6:$A$205,0)),"¿Código?"))</f>
        <v/>
      </c>
      <c r="D446" s="8" t="str">
        <f aca="false">IF($B446="","",IFERROR(INDEX(INSUMOS!$D$6:$D$205,MATCH($B446,INSUMOS!$A$6:$A$205,0)),""))</f>
        <v/>
      </c>
      <c r="E446" s="6"/>
      <c r="F446" s="39"/>
      <c r="G446" s="6"/>
      <c r="H446" s="6"/>
      <c r="I446" s="43" t="str">
        <f aca="false">IF($B446="","",IFERROR(INDEX(INSUMOS!$O$6:$O$205,MATCH($B446,INSUMOS!$A$6:$A$205,0)),0))</f>
        <v/>
      </c>
      <c r="J446" s="45" t="str">
        <f aca="false">IF($B446="","",IF($E446="Ajuste (+) sobrante",1,-1)*N($F446))</f>
        <v/>
      </c>
      <c r="K446" s="35" t="str">
        <f aca="false">IF($B446="","",$J446*$I446)</f>
        <v/>
      </c>
      <c r="L446" s="46" t="str">
        <f aca="false">IF($A446="","",DATE(YEAR($A446),MONTH($A446),1))</f>
        <v/>
      </c>
    </row>
    <row r="447" customFormat="false" ht="15" hidden="false" customHeight="false" outlineLevel="0" collapsed="false">
      <c r="A447" s="44"/>
      <c r="B447" s="6"/>
      <c r="C447" s="8" t="str">
        <f aca="false">IF($B447="","",IFERROR(INDEX(INSUMOS!$B$6:$B$205,MATCH($B447,INSUMOS!$A$6:$A$205,0)),"¿Código?"))</f>
        <v/>
      </c>
      <c r="D447" s="8" t="str">
        <f aca="false">IF($B447="","",IFERROR(INDEX(INSUMOS!$D$6:$D$205,MATCH($B447,INSUMOS!$A$6:$A$205,0)),""))</f>
        <v/>
      </c>
      <c r="E447" s="6"/>
      <c r="F447" s="39"/>
      <c r="G447" s="6"/>
      <c r="H447" s="6"/>
      <c r="I447" s="43" t="str">
        <f aca="false">IF($B447="","",IFERROR(INDEX(INSUMOS!$O$6:$O$205,MATCH($B447,INSUMOS!$A$6:$A$205,0)),0))</f>
        <v/>
      </c>
      <c r="J447" s="45" t="str">
        <f aca="false">IF($B447="","",IF($E447="Ajuste (+) sobrante",1,-1)*N($F447))</f>
        <v/>
      </c>
      <c r="K447" s="35" t="str">
        <f aca="false">IF($B447="","",$J447*$I447)</f>
        <v/>
      </c>
      <c r="L447" s="46" t="str">
        <f aca="false">IF($A447="","",DATE(YEAR($A447),MONTH($A447),1))</f>
        <v/>
      </c>
    </row>
    <row r="448" customFormat="false" ht="15" hidden="false" customHeight="false" outlineLevel="0" collapsed="false">
      <c r="A448" s="44"/>
      <c r="B448" s="6"/>
      <c r="C448" s="8" t="str">
        <f aca="false">IF($B448="","",IFERROR(INDEX(INSUMOS!$B$6:$B$205,MATCH($B448,INSUMOS!$A$6:$A$205,0)),"¿Código?"))</f>
        <v/>
      </c>
      <c r="D448" s="8" t="str">
        <f aca="false">IF($B448="","",IFERROR(INDEX(INSUMOS!$D$6:$D$205,MATCH($B448,INSUMOS!$A$6:$A$205,0)),""))</f>
        <v/>
      </c>
      <c r="E448" s="6"/>
      <c r="F448" s="39"/>
      <c r="G448" s="6"/>
      <c r="H448" s="6"/>
      <c r="I448" s="43" t="str">
        <f aca="false">IF($B448="","",IFERROR(INDEX(INSUMOS!$O$6:$O$205,MATCH($B448,INSUMOS!$A$6:$A$205,0)),0))</f>
        <v/>
      </c>
      <c r="J448" s="45" t="str">
        <f aca="false">IF($B448="","",IF($E448="Ajuste (+) sobrante",1,-1)*N($F448))</f>
        <v/>
      </c>
      <c r="K448" s="35" t="str">
        <f aca="false">IF($B448="","",$J448*$I448)</f>
        <v/>
      </c>
      <c r="L448" s="46" t="str">
        <f aca="false">IF($A448="","",DATE(YEAR($A448),MONTH($A448),1))</f>
        <v/>
      </c>
    </row>
    <row r="449" customFormat="false" ht="15" hidden="false" customHeight="false" outlineLevel="0" collapsed="false">
      <c r="A449" s="44"/>
      <c r="B449" s="6"/>
      <c r="C449" s="8" t="str">
        <f aca="false">IF($B449="","",IFERROR(INDEX(INSUMOS!$B$6:$B$205,MATCH($B449,INSUMOS!$A$6:$A$205,0)),"¿Código?"))</f>
        <v/>
      </c>
      <c r="D449" s="8" t="str">
        <f aca="false">IF($B449="","",IFERROR(INDEX(INSUMOS!$D$6:$D$205,MATCH($B449,INSUMOS!$A$6:$A$205,0)),""))</f>
        <v/>
      </c>
      <c r="E449" s="6"/>
      <c r="F449" s="39"/>
      <c r="G449" s="6"/>
      <c r="H449" s="6"/>
      <c r="I449" s="43" t="str">
        <f aca="false">IF($B449="","",IFERROR(INDEX(INSUMOS!$O$6:$O$205,MATCH($B449,INSUMOS!$A$6:$A$205,0)),0))</f>
        <v/>
      </c>
      <c r="J449" s="45" t="str">
        <f aca="false">IF($B449="","",IF($E449="Ajuste (+) sobrante",1,-1)*N($F449))</f>
        <v/>
      </c>
      <c r="K449" s="35" t="str">
        <f aca="false">IF($B449="","",$J449*$I449)</f>
        <v/>
      </c>
      <c r="L449" s="46" t="str">
        <f aca="false">IF($A449="","",DATE(YEAR($A449),MONTH($A449),1))</f>
        <v/>
      </c>
    </row>
    <row r="450" customFormat="false" ht="15" hidden="false" customHeight="false" outlineLevel="0" collapsed="false">
      <c r="A450" s="44"/>
      <c r="B450" s="6"/>
      <c r="C450" s="8" t="str">
        <f aca="false">IF($B450="","",IFERROR(INDEX(INSUMOS!$B$6:$B$205,MATCH($B450,INSUMOS!$A$6:$A$205,0)),"¿Código?"))</f>
        <v/>
      </c>
      <c r="D450" s="8" t="str">
        <f aca="false">IF($B450="","",IFERROR(INDEX(INSUMOS!$D$6:$D$205,MATCH($B450,INSUMOS!$A$6:$A$205,0)),""))</f>
        <v/>
      </c>
      <c r="E450" s="6"/>
      <c r="F450" s="39"/>
      <c r="G450" s="6"/>
      <c r="H450" s="6"/>
      <c r="I450" s="43" t="str">
        <f aca="false">IF($B450="","",IFERROR(INDEX(INSUMOS!$O$6:$O$205,MATCH($B450,INSUMOS!$A$6:$A$205,0)),0))</f>
        <v/>
      </c>
      <c r="J450" s="45" t="str">
        <f aca="false">IF($B450="","",IF($E450="Ajuste (+) sobrante",1,-1)*N($F450))</f>
        <v/>
      </c>
      <c r="K450" s="35" t="str">
        <f aca="false">IF($B450="","",$J450*$I450)</f>
        <v/>
      </c>
      <c r="L450" s="46" t="str">
        <f aca="false">IF($A450="","",DATE(YEAR($A450),MONTH($A450),1))</f>
        <v/>
      </c>
    </row>
    <row r="451" customFormat="false" ht="15" hidden="false" customHeight="false" outlineLevel="0" collapsed="false">
      <c r="A451" s="44"/>
      <c r="B451" s="6"/>
      <c r="C451" s="8" t="str">
        <f aca="false">IF($B451="","",IFERROR(INDEX(INSUMOS!$B$6:$B$205,MATCH($B451,INSUMOS!$A$6:$A$205,0)),"¿Código?"))</f>
        <v/>
      </c>
      <c r="D451" s="8" t="str">
        <f aca="false">IF($B451="","",IFERROR(INDEX(INSUMOS!$D$6:$D$205,MATCH($B451,INSUMOS!$A$6:$A$205,0)),""))</f>
        <v/>
      </c>
      <c r="E451" s="6"/>
      <c r="F451" s="39"/>
      <c r="G451" s="6"/>
      <c r="H451" s="6"/>
      <c r="I451" s="43" t="str">
        <f aca="false">IF($B451="","",IFERROR(INDEX(INSUMOS!$O$6:$O$205,MATCH($B451,INSUMOS!$A$6:$A$205,0)),0))</f>
        <v/>
      </c>
      <c r="J451" s="45" t="str">
        <f aca="false">IF($B451="","",IF($E451="Ajuste (+) sobrante",1,-1)*N($F451))</f>
        <v/>
      </c>
      <c r="K451" s="35" t="str">
        <f aca="false">IF($B451="","",$J451*$I451)</f>
        <v/>
      </c>
      <c r="L451" s="46" t="str">
        <f aca="false">IF($A451="","",DATE(YEAR($A451),MONTH($A451),1))</f>
        <v/>
      </c>
    </row>
    <row r="452" customFormat="false" ht="15" hidden="false" customHeight="false" outlineLevel="0" collapsed="false">
      <c r="A452" s="44"/>
      <c r="B452" s="6"/>
      <c r="C452" s="8" t="str">
        <f aca="false">IF($B452="","",IFERROR(INDEX(INSUMOS!$B$6:$B$205,MATCH($B452,INSUMOS!$A$6:$A$205,0)),"¿Código?"))</f>
        <v/>
      </c>
      <c r="D452" s="8" t="str">
        <f aca="false">IF($B452="","",IFERROR(INDEX(INSUMOS!$D$6:$D$205,MATCH($B452,INSUMOS!$A$6:$A$205,0)),""))</f>
        <v/>
      </c>
      <c r="E452" s="6"/>
      <c r="F452" s="39"/>
      <c r="G452" s="6"/>
      <c r="H452" s="6"/>
      <c r="I452" s="43" t="str">
        <f aca="false">IF($B452="","",IFERROR(INDEX(INSUMOS!$O$6:$O$205,MATCH($B452,INSUMOS!$A$6:$A$205,0)),0))</f>
        <v/>
      </c>
      <c r="J452" s="45" t="str">
        <f aca="false">IF($B452="","",IF($E452="Ajuste (+) sobrante",1,-1)*N($F452))</f>
        <v/>
      </c>
      <c r="K452" s="35" t="str">
        <f aca="false">IF($B452="","",$J452*$I452)</f>
        <v/>
      </c>
      <c r="L452" s="46" t="str">
        <f aca="false">IF($A452="","",DATE(YEAR($A452),MONTH($A452),1))</f>
        <v/>
      </c>
    </row>
    <row r="453" customFormat="false" ht="15" hidden="false" customHeight="false" outlineLevel="0" collapsed="false">
      <c r="A453" s="44"/>
      <c r="B453" s="6"/>
      <c r="C453" s="8" t="str">
        <f aca="false">IF($B453="","",IFERROR(INDEX(INSUMOS!$B$6:$B$205,MATCH($B453,INSUMOS!$A$6:$A$205,0)),"¿Código?"))</f>
        <v/>
      </c>
      <c r="D453" s="8" t="str">
        <f aca="false">IF($B453="","",IFERROR(INDEX(INSUMOS!$D$6:$D$205,MATCH($B453,INSUMOS!$A$6:$A$205,0)),""))</f>
        <v/>
      </c>
      <c r="E453" s="6"/>
      <c r="F453" s="39"/>
      <c r="G453" s="6"/>
      <c r="H453" s="6"/>
      <c r="I453" s="43" t="str">
        <f aca="false">IF($B453="","",IFERROR(INDEX(INSUMOS!$O$6:$O$205,MATCH($B453,INSUMOS!$A$6:$A$205,0)),0))</f>
        <v/>
      </c>
      <c r="J453" s="45" t="str">
        <f aca="false">IF($B453="","",IF($E453="Ajuste (+) sobrante",1,-1)*N($F453))</f>
        <v/>
      </c>
      <c r="K453" s="35" t="str">
        <f aca="false">IF($B453="","",$J453*$I453)</f>
        <v/>
      </c>
      <c r="L453" s="46" t="str">
        <f aca="false">IF($A453="","",DATE(YEAR($A453),MONTH($A453),1))</f>
        <v/>
      </c>
    </row>
    <row r="454" customFormat="false" ht="15" hidden="false" customHeight="false" outlineLevel="0" collapsed="false">
      <c r="A454" s="44"/>
      <c r="B454" s="6"/>
      <c r="C454" s="8" t="str">
        <f aca="false">IF($B454="","",IFERROR(INDEX(INSUMOS!$B$6:$B$205,MATCH($B454,INSUMOS!$A$6:$A$205,0)),"¿Código?"))</f>
        <v/>
      </c>
      <c r="D454" s="8" t="str">
        <f aca="false">IF($B454="","",IFERROR(INDEX(INSUMOS!$D$6:$D$205,MATCH($B454,INSUMOS!$A$6:$A$205,0)),""))</f>
        <v/>
      </c>
      <c r="E454" s="6"/>
      <c r="F454" s="39"/>
      <c r="G454" s="6"/>
      <c r="H454" s="6"/>
      <c r="I454" s="43" t="str">
        <f aca="false">IF($B454="","",IFERROR(INDEX(INSUMOS!$O$6:$O$205,MATCH($B454,INSUMOS!$A$6:$A$205,0)),0))</f>
        <v/>
      </c>
      <c r="J454" s="45" t="str">
        <f aca="false">IF($B454="","",IF($E454="Ajuste (+) sobrante",1,-1)*N($F454))</f>
        <v/>
      </c>
      <c r="K454" s="35" t="str">
        <f aca="false">IF($B454="","",$J454*$I454)</f>
        <v/>
      </c>
      <c r="L454" s="46" t="str">
        <f aca="false">IF($A454="","",DATE(YEAR($A454),MONTH($A454),1))</f>
        <v/>
      </c>
    </row>
    <row r="455" customFormat="false" ht="15" hidden="false" customHeight="false" outlineLevel="0" collapsed="false">
      <c r="A455" s="44"/>
      <c r="B455" s="6"/>
      <c r="C455" s="8" t="str">
        <f aca="false">IF($B455="","",IFERROR(INDEX(INSUMOS!$B$6:$B$205,MATCH($B455,INSUMOS!$A$6:$A$205,0)),"¿Código?"))</f>
        <v/>
      </c>
      <c r="D455" s="8" t="str">
        <f aca="false">IF($B455="","",IFERROR(INDEX(INSUMOS!$D$6:$D$205,MATCH($B455,INSUMOS!$A$6:$A$205,0)),""))</f>
        <v/>
      </c>
      <c r="E455" s="6"/>
      <c r="F455" s="39"/>
      <c r="G455" s="6"/>
      <c r="H455" s="6"/>
      <c r="I455" s="43" t="str">
        <f aca="false">IF($B455="","",IFERROR(INDEX(INSUMOS!$O$6:$O$205,MATCH($B455,INSUMOS!$A$6:$A$205,0)),0))</f>
        <v/>
      </c>
      <c r="J455" s="45" t="str">
        <f aca="false">IF($B455="","",IF($E455="Ajuste (+) sobrante",1,-1)*N($F455))</f>
        <v/>
      </c>
      <c r="K455" s="35" t="str">
        <f aca="false">IF($B455="","",$J455*$I455)</f>
        <v/>
      </c>
      <c r="L455" s="46" t="str">
        <f aca="false">IF($A455="","",DATE(YEAR($A455),MONTH($A455),1))</f>
        <v/>
      </c>
    </row>
    <row r="456" customFormat="false" ht="15" hidden="false" customHeight="false" outlineLevel="0" collapsed="false">
      <c r="A456" s="44"/>
      <c r="B456" s="6"/>
      <c r="C456" s="8" t="str">
        <f aca="false">IF($B456="","",IFERROR(INDEX(INSUMOS!$B$6:$B$205,MATCH($B456,INSUMOS!$A$6:$A$205,0)),"¿Código?"))</f>
        <v/>
      </c>
      <c r="D456" s="8" t="str">
        <f aca="false">IF($B456="","",IFERROR(INDEX(INSUMOS!$D$6:$D$205,MATCH($B456,INSUMOS!$A$6:$A$205,0)),""))</f>
        <v/>
      </c>
      <c r="E456" s="6"/>
      <c r="F456" s="39"/>
      <c r="G456" s="6"/>
      <c r="H456" s="6"/>
      <c r="I456" s="43" t="str">
        <f aca="false">IF($B456="","",IFERROR(INDEX(INSUMOS!$O$6:$O$205,MATCH($B456,INSUMOS!$A$6:$A$205,0)),0))</f>
        <v/>
      </c>
      <c r="J456" s="45" t="str">
        <f aca="false">IF($B456="","",IF($E456="Ajuste (+) sobrante",1,-1)*N($F456))</f>
        <v/>
      </c>
      <c r="K456" s="35" t="str">
        <f aca="false">IF($B456="","",$J456*$I456)</f>
        <v/>
      </c>
      <c r="L456" s="46" t="str">
        <f aca="false">IF($A456="","",DATE(YEAR($A456),MONTH($A456),1))</f>
        <v/>
      </c>
    </row>
    <row r="457" customFormat="false" ht="15" hidden="false" customHeight="false" outlineLevel="0" collapsed="false">
      <c r="A457" s="44"/>
      <c r="B457" s="6"/>
      <c r="C457" s="8" t="str">
        <f aca="false">IF($B457="","",IFERROR(INDEX(INSUMOS!$B$6:$B$205,MATCH($B457,INSUMOS!$A$6:$A$205,0)),"¿Código?"))</f>
        <v/>
      </c>
      <c r="D457" s="8" t="str">
        <f aca="false">IF($B457="","",IFERROR(INDEX(INSUMOS!$D$6:$D$205,MATCH($B457,INSUMOS!$A$6:$A$205,0)),""))</f>
        <v/>
      </c>
      <c r="E457" s="6"/>
      <c r="F457" s="39"/>
      <c r="G457" s="6"/>
      <c r="H457" s="6"/>
      <c r="I457" s="43" t="str">
        <f aca="false">IF($B457="","",IFERROR(INDEX(INSUMOS!$O$6:$O$205,MATCH($B457,INSUMOS!$A$6:$A$205,0)),0))</f>
        <v/>
      </c>
      <c r="J457" s="45" t="str">
        <f aca="false">IF($B457="","",IF($E457="Ajuste (+) sobrante",1,-1)*N($F457))</f>
        <v/>
      </c>
      <c r="K457" s="35" t="str">
        <f aca="false">IF($B457="","",$J457*$I457)</f>
        <v/>
      </c>
      <c r="L457" s="46" t="str">
        <f aca="false">IF($A457="","",DATE(YEAR($A457),MONTH($A457),1))</f>
        <v/>
      </c>
    </row>
    <row r="458" customFormat="false" ht="15" hidden="false" customHeight="false" outlineLevel="0" collapsed="false">
      <c r="A458" s="44"/>
      <c r="B458" s="6"/>
      <c r="C458" s="8" t="str">
        <f aca="false">IF($B458="","",IFERROR(INDEX(INSUMOS!$B$6:$B$205,MATCH($B458,INSUMOS!$A$6:$A$205,0)),"¿Código?"))</f>
        <v/>
      </c>
      <c r="D458" s="8" t="str">
        <f aca="false">IF($B458="","",IFERROR(INDEX(INSUMOS!$D$6:$D$205,MATCH($B458,INSUMOS!$A$6:$A$205,0)),""))</f>
        <v/>
      </c>
      <c r="E458" s="6"/>
      <c r="F458" s="39"/>
      <c r="G458" s="6"/>
      <c r="H458" s="6"/>
      <c r="I458" s="43" t="str">
        <f aca="false">IF($B458="","",IFERROR(INDEX(INSUMOS!$O$6:$O$205,MATCH($B458,INSUMOS!$A$6:$A$205,0)),0))</f>
        <v/>
      </c>
      <c r="J458" s="45" t="str">
        <f aca="false">IF($B458="","",IF($E458="Ajuste (+) sobrante",1,-1)*N($F458))</f>
        <v/>
      </c>
      <c r="K458" s="35" t="str">
        <f aca="false">IF($B458="","",$J458*$I458)</f>
        <v/>
      </c>
      <c r="L458" s="46" t="str">
        <f aca="false">IF($A458="","",DATE(YEAR($A458),MONTH($A458),1))</f>
        <v/>
      </c>
    </row>
    <row r="459" customFormat="false" ht="15" hidden="false" customHeight="false" outlineLevel="0" collapsed="false">
      <c r="A459" s="44"/>
      <c r="B459" s="6"/>
      <c r="C459" s="8" t="str">
        <f aca="false">IF($B459="","",IFERROR(INDEX(INSUMOS!$B$6:$B$205,MATCH($B459,INSUMOS!$A$6:$A$205,0)),"¿Código?"))</f>
        <v/>
      </c>
      <c r="D459" s="8" t="str">
        <f aca="false">IF($B459="","",IFERROR(INDEX(INSUMOS!$D$6:$D$205,MATCH($B459,INSUMOS!$A$6:$A$205,0)),""))</f>
        <v/>
      </c>
      <c r="E459" s="6"/>
      <c r="F459" s="39"/>
      <c r="G459" s="6"/>
      <c r="H459" s="6"/>
      <c r="I459" s="43" t="str">
        <f aca="false">IF($B459="","",IFERROR(INDEX(INSUMOS!$O$6:$O$205,MATCH($B459,INSUMOS!$A$6:$A$205,0)),0))</f>
        <v/>
      </c>
      <c r="J459" s="45" t="str">
        <f aca="false">IF($B459="","",IF($E459="Ajuste (+) sobrante",1,-1)*N($F459))</f>
        <v/>
      </c>
      <c r="K459" s="35" t="str">
        <f aca="false">IF($B459="","",$J459*$I459)</f>
        <v/>
      </c>
      <c r="L459" s="46" t="str">
        <f aca="false">IF($A459="","",DATE(YEAR($A459),MONTH($A459),1))</f>
        <v/>
      </c>
    </row>
    <row r="460" customFormat="false" ht="15" hidden="false" customHeight="false" outlineLevel="0" collapsed="false">
      <c r="A460" s="44"/>
      <c r="B460" s="6"/>
      <c r="C460" s="8" t="str">
        <f aca="false">IF($B460="","",IFERROR(INDEX(INSUMOS!$B$6:$B$205,MATCH($B460,INSUMOS!$A$6:$A$205,0)),"¿Código?"))</f>
        <v/>
      </c>
      <c r="D460" s="8" t="str">
        <f aca="false">IF($B460="","",IFERROR(INDEX(INSUMOS!$D$6:$D$205,MATCH($B460,INSUMOS!$A$6:$A$205,0)),""))</f>
        <v/>
      </c>
      <c r="E460" s="6"/>
      <c r="F460" s="39"/>
      <c r="G460" s="6"/>
      <c r="H460" s="6"/>
      <c r="I460" s="43" t="str">
        <f aca="false">IF($B460="","",IFERROR(INDEX(INSUMOS!$O$6:$O$205,MATCH($B460,INSUMOS!$A$6:$A$205,0)),0))</f>
        <v/>
      </c>
      <c r="J460" s="45" t="str">
        <f aca="false">IF($B460="","",IF($E460="Ajuste (+) sobrante",1,-1)*N($F460))</f>
        <v/>
      </c>
      <c r="K460" s="35" t="str">
        <f aca="false">IF($B460="","",$J460*$I460)</f>
        <v/>
      </c>
      <c r="L460" s="46" t="str">
        <f aca="false">IF($A460="","",DATE(YEAR($A460),MONTH($A460),1))</f>
        <v/>
      </c>
    </row>
    <row r="461" customFormat="false" ht="15" hidden="false" customHeight="false" outlineLevel="0" collapsed="false">
      <c r="A461" s="44"/>
      <c r="B461" s="6"/>
      <c r="C461" s="8" t="str">
        <f aca="false">IF($B461="","",IFERROR(INDEX(INSUMOS!$B$6:$B$205,MATCH($B461,INSUMOS!$A$6:$A$205,0)),"¿Código?"))</f>
        <v/>
      </c>
      <c r="D461" s="8" t="str">
        <f aca="false">IF($B461="","",IFERROR(INDEX(INSUMOS!$D$6:$D$205,MATCH($B461,INSUMOS!$A$6:$A$205,0)),""))</f>
        <v/>
      </c>
      <c r="E461" s="6"/>
      <c r="F461" s="39"/>
      <c r="G461" s="6"/>
      <c r="H461" s="6"/>
      <c r="I461" s="43" t="str">
        <f aca="false">IF($B461="","",IFERROR(INDEX(INSUMOS!$O$6:$O$205,MATCH($B461,INSUMOS!$A$6:$A$205,0)),0))</f>
        <v/>
      </c>
      <c r="J461" s="45" t="str">
        <f aca="false">IF($B461="","",IF($E461="Ajuste (+) sobrante",1,-1)*N($F461))</f>
        <v/>
      </c>
      <c r="K461" s="35" t="str">
        <f aca="false">IF($B461="","",$J461*$I461)</f>
        <v/>
      </c>
      <c r="L461" s="46" t="str">
        <f aca="false">IF($A461="","",DATE(YEAR($A461),MONTH($A461),1))</f>
        <v/>
      </c>
    </row>
    <row r="462" customFormat="false" ht="15" hidden="false" customHeight="false" outlineLevel="0" collapsed="false">
      <c r="A462" s="44"/>
      <c r="B462" s="6"/>
      <c r="C462" s="8" t="str">
        <f aca="false">IF($B462="","",IFERROR(INDEX(INSUMOS!$B$6:$B$205,MATCH($B462,INSUMOS!$A$6:$A$205,0)),"¿Código?"))</f>
        <v/>
      </c>
      <c r="D462" s="8" t="str">
        <f aca="false">IF($B462="","",IFERROR(INDEX(INSUMOS!$D$6:$D$205,MATCH($B462,INSUMOS!$A$6:$A$205,0)),""))</f>
        <v/>
      </c>
      <c r="E462" s="6"/>
      <c r="F462" s="39"/>
      <c r="G462" s="6"/>
      <c r="H462" s="6"/>
      <c r="I462" s="43" t="str">
        <f aca="false">IF($B462="","",IFERROR(INDEX(INSUMOS!$O$6:$O$205,MATCH($B462,INSUMOS!$A$6:$A$205,0)),0))</f>
        <v/>
      </c>
      <c r="J462" s="45" t="str">
        <f aca="false">IF($B462="","",IF($E462="Ajuste (+) sobrante",1,-1)*N($F462))</f>
        <v/>
      </c>
      <c r="K462" s="35" t="str">
        <f aca="false">IF($B462="","",$J462*$I462)</f>
        <v/>
      </c>
      <c r="L462" s="46" t="str">
        <f aca="false">IF($A462="","",DATE(YEAR($A462),MONTH($A462),1))</f>
        <v/>
      </c>
    </row>
    <row r="463" customFormat="false" ht="15" hidden="false" customHeight="false" outlineLevel="0" collapsed="false">
      <c r="A463" s="44"/>
      <c r="B463" s="6"/>
      <c r="C463" s="8" t="str">
        <f aca="false">IF($B463="","",IFERROR(INDEX(INSUMOS!$B$6:$B$205,MATCH($B463,INSUMOS!$A$6:$A$205,0)),"¿Código?"))</f>
        <v/>
      </c>
      <c r="D463" s="8" t="str">
        <f aca="false">IF($B463="","",IFERROR(INDEX(INSUMOS!$D$6:$D$205,MATCH($B463,INSUMOS!$A$6:$A$205,0)),""))</f>
        <v/>
      </c>
      <c r="E463" s="6"/>
      <c r="F463" s="39"/>
      <c r="G463" s="6"/>
      <c r="H463" s="6"/>
      <c r="I463" s="43" t="str">
        <f aca="false">IF($B463="","",IFERROR(INDEX(INSUMOS!$O$6:$O$205,MATCH($B463,INSUMOS!$A$6:$A$205,0)),0))</f>
        <v/>
      </c>
      <c r="J463" s="45" t="str">
        <f aca="false">IF($B463="","",IF($E463="Ajuste (+) sobrante",1,-1)*N($F463))</f>
        <v/>
      </c>
      <c r="K463" s="35" t="str">
        <f aca="false">IF($B463="","",$J463*$I463)</f>
        <v/>
      </c>
      <c r="L463" s="46" t="str">
        <f aca="false">IF($A463="","",DATE(YEAR($A463),MONTH($A463),1))</f>
        <v/>
      </c>
    </row>
    <row r="464" customFormat="false" ht="15" hidden="false" customHeight="false" outlineLevel="0" collapsed="false">
      <c r="A464" s="44"/>
      <c r="B464" s="6"/>
      <c r="C464" s="8" t="str">
        <f aca="false">IF($B464="","",IFERROR(INDEX(INSUMOS!$B$6:$B$205,MATCH($B464,INSUMOS!$A$6:$A$205,0)),"¿Código?"))</f>
        <v/>
      </c>
      <c r="D464" s="8" t="str">
        <f aca="false">IF($B464="","",IFERROR(INDEX(INSUMOS!$D$6:$D$205,MATCH($B464,INSUMOS!$A$6:$A$205,0)),""))</f>
        <v/>
      </c>
      <c r="E464" s="6"/>
      <c r="F464" s="39"/>
      <c r="G464" s="6"/>
      <c r="H464" s="6"/>
      <c r="I464" s="43" t="str">
        <f aca="false">IF($B464="","",IFERROR(INDEX(INSUMOS!$O$6:$O$205,MATCH($B464,INSUMOS!$A$6:$A$205,0)),0))</f>
        <v/>
      </c>
      <c r="J464" s="45" t="str">
        <f aca="false">IF($B464="","",IF($E464="Ajuste (+) sobrante",1,-1)*N($F464))</f>
        <v/>
      </c>
      <c r="K464" s="35" t="str">
        <f aca="false">IF($B464="","",$J464*$I464)</f>
        <v/>
      </c>
      <c r="L464" s="46" t="str">
        <f aca="false">IF($A464="","",DATE(YEAR($A464),MONTH($A464),1))</f>
        <v/>
      </c>
    </row>
    <row r="465" customFormat="false" ht="15" hidden="false" customHeight="false" outlineLevel="0" collapsed="false">
      <c r="A465" s="44"/>
      <c r="B465" s="6"/>
      <c r="C465" s="8" t="str">
        <f aca="false">IF($B465="","",IFERROR(INDEX(INSUMOS!$B$6:$B$205,MATCH($B465,INSUMOS!$A$6:$A$205,0)),"¿Código?"))</f>
        <v/>
      </c>
      <c r="D465" s="8" t="str">
        <f aca="false">IF($B465="","",IFERROR(INDEX(INSUMOS!$D$6:$D$205,MATCH($B465,INSUMOS!$A$6:$A$205,0)),""))</f>
        <v/>
      </c>
      <c r="E465" s="6"/>
      <c r="F465" s="39"/>
      <c r="G465" s="6"/>
      <c r="H465" s="6"/>
      <c r="I465" s="43" t="str">
        <f aca="false">IF($B465="","",IFERROR(INDEX(INSUMOS!$O$6:$O$205,MATCH($B465,INSUMOS!$A$6:$A$205,0)),0))</f>
        <v/>
      </c>
      <c r="J465" s="45" t="str">
        <f aca="false">IF($B465="","",IF($E465="Ajuste (+) sobrante",1,-1)*N($F465))</f>
        <v/>
      </c>
      <c r="K465" s="35" t="str">
        <f aca="false">IF($B465="","",$J465*$I465)</f>
        <v/>
      </c>
      <c r="L465" s="46" t="str">
        <f aca="false">IF($A465="","",DATE(YEAR($A465),MONTH($A465),1))</f>
        <v/>
      </c>
    </row>
    <row r="466" customFormat="false" ht="15" hidden="false" customHeight="false" outlineLevel="0" collapsed="false">
      <c r="A466" s="44"/>
      <c r="B466" s="6"/>
      <c r="C466" s="8" t="str">
        <f aca="false">IF($B466="","",IFERROR(INDEX(INSUMOS!$B$6:$B$205,MATCH($B466,INSUMOS!$A$6:$A$205,0)),"¿Código?"))</f>
        <v/>
      </c>
      <c r="D466" s="8" t="str">
        <f aca="false">IF($B466="","",IFERROR(INDEX(INSUMOS!$D$6:$D$205,MATCH($B466,INSUMOS!$A$6:$A$205,0)),""))</f>
        <v/>
      </c>
      <c r="E466" s="6"/>
      <c r="F466" s="39"/>
      <c r="G466" s="6"/>
      <c r="H466" s="6"/>
      <c r="I466" s="43" t="str">
        <f aca="false">IF($B466="","",IFERROR(INDEX(INSUMOS!$O$6:$O$205,MATCH($B466,INSUMOS!$A$6:$A$205,0)),0))</f>
        <v/>
      </c>
      <c r="J466" s="45" t="str">
        <f aca="false">IF($B466="","",IF($E466="Ajuste (+) sobrante",1,-1)*N($F466))</f>
        <v/>
      </c>
      <c r="K466" s="35" t="str">
        <f aca="false">IF($B466="","",$J466*$I466)</f>
        <v/>
      </c>
      <c r="L466" s="46" t="str">
        <f aca="false">IF($A466="","",DATE(YEAR($A466),MONTH($A466),1))</f>
        <v/>
      </c>
    </row>
    <row r="467" customFormat="false" ht="15" hidden="false" customHeight="false" outlineLevel="0" collapsed="false">
      <c r="A467" s="44"/>
      <c r="B467" s="6"/>
      <c r="C467" s="8" t="str">
        <f aca="false">IF($B467="","",IFERROR(INDEX(INSUMOS!$B$6:$B$205,MATCH($B467,INSUMOS!$A$6:$A$205,0)),"¿Código?"))</f>
        <v/>
      </c>
      <c r="D467" s="8" t="str">
        <f aca="false">IF($B467="","",IFERROR(INDEX(INSUMOS!$D$6:$D$205,MATCH($B467,INSUMOS!$A$6:$A$205,0)),""))</f>
        <v/>
      </c>
      <c r="E467" s="6"/>
      <c r="F467" s="39"/>
      <c r="G467" s="6"/>
      <c r="H467" s="6"/>
      <c r="I467" s="43" t="str">
        <f aca="false">IF($B467="","",IFERROR(INDEX(INSUMOS!$O$6:$O$205,MATCH($B467,INSUMOS!$A$6:$A$205,0)),0))</f>
        <v/>
      </c>
      <c r="J467" s="45" t="str">
        <f aca="false">IF($B467="","",IF($E467="Ajuste (+) sobrante",1,-1)*N($F467))</f>
        <v/>
      </c>
      <c r="K467" s="35" t="str">
        <f aca="false">IF($B467="","",$J467*$I467)</f>
        <v/>
      </c>
      <c r="L467" s="46" t="str">
        <f aca="false">IF($A467="","",DATE(YEAR($A467),MONTH($A467),1))</f>
        <v/>
      </c>
    </row>
    <row r="468" customFormat="false" ht="15" hidden="false" customHeight="false" outlineLevel="0" collapsed="false">
      <c r="A468" s="44"/>
      <c r="B468" s="6"/>
      <c r="C468" s="8" t="str">
        <f aca="false">IF($B468="","",IFERROR(INDEX(INSUMOS!$B$6:$B$205,MATCH($B468,INSUMOS!$A$6:$A$205,0)),"¿Código?"))</f>
        <v/>
      </c>
      <c r="D468" s="8" t="str">
        <f aca="false">IF($B468="","",IFERROR(INDEX(INSUMOS!$D$6:$D$205,MATCH($B468,INSUMOS!$A$6:$A$205,0)),""))</f>
        <v/>
      </c>
      <c r="E468" s="6"/>
      <c r="F468" s="39"/>
      <c r="G468" s="6"/>
      <c r="H468" s="6"/>
      <c r="I468" s="43" t="str">
        <f aca="false">IF($B468="","",IFERROR(INDEX(INSUMOS!$O$6:$O$205,MATCH($B468,INSUMOS!$A$6:$A$205,0)),0))</f>
        <v/>
      </c>
      <c r="J468" s="45" t="str">
        <f aca="false">IF($B468="","",IF($E468="Ajuste (+) sobrante",1,-1)*N($F468))</f>
        <v/>
      </c>
      <c r="K468" s="35" t="str">
        <f aca="false">IF($B468="","",$J468*$I468)</f>
        <v/>
      </c>
      <c r="L468" s="46" t="str">
        <f aca="false">IF($A468="","",DATE(YEAR($A468),MONTH($A468),1))</f>
        <v/>
      </c>
    </row>
    <row r="469" customFormat="false" ht="15" hidden="false" customHeight="false" outlineLevel="0" collapsed="false">
      <c r="A469" s="44"/>
      <c r="B469" s="6"/>
      <c r="C469" s="8" t="str">
        <f aca="false">IF($B469="","",IFERROR(INDEX(INSUMOS!$B$6:$B$205,MATCH($B469,INSUMOS!$A$6:$A$205,0)),"¿Código?"))</f>
        <v/>
      </c>
      <c r="D469" s="8" t="str">
        <f aca="false">IF($B469="","",IFERROR(INDEX(INSUMOS!$D$6:$D$205,MATCH($B469,INSUMOS!$A$6:$A$205,0)),""))</f>
        <v/>
      </c>
      <c r="E469" s="6"/>
      <c r="F469" s="39"/>
      <c r="G469" s="6"/>
      <c r="H469" s="6"/>
      <c r="I469" s="43" t="str">
        <f aca="false">IF($B469="","",IFERROR(INDEX(INSUMOS!$O$6:$O$205,MATCH($B469,INSUMOS!$A$6:$A$205,0)),0))</f>
        <v/>
      </c>
      <c r="J469" s="45" t="str">
        <f aca="false">IF($B469="","",IF($E469="Ajuste (+) sobrante",1,-1)*N($F469))</f>
        <v/>
      </c>
      <c r="K469" s="35" t="str">
        <f aca="false">IF($B469="","",$J469*$I469)</f>
        <v/>
      </c>
      <c r="L469" s="46" t="str">
        <f aca="false">IF($A469="","",DATE(YEAR($A469),MONTH($A469),1))</f>
        <v/>
      </c>
    </row>
    <row r="470" customFormat="false" ht="15" hidden="false" customHeight="false" outlineLevel="0" collapsed="false">
      <c r="A470" s="44"/>
      <c r="B470" s="6"/>
      <c r="C470" s="8" t="str">
        <f aca="false">IF($B470="","",IFERROR(INDEX(INSUMOS!$B$6:$B$205,MATCH($B470,INSUMOS!$A$6:$A$205,0)),"¿Código?"))</f>
        <v/>
      </c>
      <c r="D470" s="8" t="str">
        <f aca="false">IF($B470="","",IFERROR(INDEX(INSUMOS!$D$6:$D$205,MATCH($B470,INSUMOS!$A$6:$A$205,0)),""))</f>
        <v/>
      </c>
      <c r="E470" s="6"/>
      <c r="F470" s="39"/>
      <c r="G470" s="6"/>
      <c r="H470" s="6"/>
      <c r="I470" s="43" t="str">
        <f aca="false">IF($B470="","",IFERROR(INDEX(INSUMOS!$O$6:$O$205,MATCH($B470,INSUMOS!$A$6:$A$205,0)),0))</f>
        <v/>
      </c>
      <c r="J470" s="45" t="str">
        <f aca="false">IF($B470="","",IF($E470="Ajuste (+) sobrante",1,-1)*N($F470))</f>
        <v/>
      </c>
      <c r="K470" s="35" t="str">
        <f aca="false">IF($B470="","",$J470*$I470)</f>
        <v/>
      </c>
      <c r="L470" s="46" t="str">
        <f aca="false">IF($A470="","",DATE(YEAR($A470),MONTH($A470),1))</f>
        <v/>
      </c>
    </row>
    <row r="471" customFormat="false" ht="15" hidden="false" customHeight="false" outlineLevel="0" collapsed="false">
      <c r="A471" s="44"/>
      <c r="B471" s="6"/>
      <c r="C471" s="8" t="str">
        <f aca="false">IF($B471="","",IFERROR(INDEX(INSUMOS!$B$6:$B$205,MATCH($B471,INSUMOS!$A$6:$A$205,0)),"¿Código?"))</f>
        <v/>
      </c>
      <c r="D471" s="8" t="str">
        <f aca="false">IF($B471="","",IFERROR(INDEX(INSUMOS!$D$6:$D$205,MATCH($B471,INSUMOS!$A$6:$A$205,0)),""))</f>
        <v/>
      </c>
      <c r="E471" s="6"/>
      <c r="F471" s="39"/>
      <c r="G471" s="6"/>
      <c r="H471" s="6"/>
      <c r="I471" s="43" t="str">
        <f aca="false">IF($B471="","",IFERROR(INDEX(INSUMOS!$O$6:$O$205,MATCH($B471,INSUMOS!$A$6:$A$205,0)),0))</f>
        <v/>
      </c>
      <c r="J471" s="45" t="str">
        <f aca="false">IF($B471="","",IF($E471="Ajuste (+) sobrante",1,-1)*N($F471))</f>
        <v/>
      </c>
      <c r="K471" s="35" t="str">
        <f aca="false">IF($B471="","",$J471*$I471)</f>
        <v/>
      </c>
      <c r="L471" s="46" t="str">
        <f aca="false">IF($A471="","",DATE(YEAR($A471),MONTH($A471),1))</f>
        <v/>
      </c>
    </row>
    <row r="472" customFormat="false" ht="15" hidden="false" customHeight="false" outlineLevel="0" collapsed="false">
      <c r="A472" s="44"/>
      <c r="B472" s="6"/>
      <c r="C472" s="8" t="str">
        <f aca="false">IF($B472="","",IFERROR(INDEX(INSUMOS!$B$6:$B$205,MATCH($B472,INSUMOS!$A$6:$A$205,0)),"¿Código?"))</f>
        <v/>
      </c>
      <c r="D472" s="8" t="str">
        <f aca="false">IF($B472="","",IFERROR(INDEX(INSUMOS!$D$6:$D$205,MATCH($B472,INSUMOS!$A$6:$A$205,0)),""))</f>
        <v/>
      </c>
      <c r="E472" s="6"/>
      <c r="F472" s="39"/>
      <c r="G472" s="6"/>
      <c r="H472" s="6"/>
      <c r="I472" s="43" t="str">
        <f aca="false">IF($B472="","",IFERROR(INDEX(INSUMOS!$O$6:$O$205,MATCH($B472,INSUMOS!$A$6:$A$205,0)),0))</f>
        <v/>
      </c>
      <c r="J472" s="45" t="str">
        <f aca="false">IF($B472="","",IF($E472="Ajuste (+) sobrante",1,-1)*N($F472))</f>
        <v/>
      </c>
      <c r="K472" s="35" t="str">
        <f aca="false">IF($B472="","",$J472*$I472)</f>
        <v/>
      </c>
      <c r="L472" s="46" t="str">
        <f aca="false">IF($A472="","",DATE(YEAR($A472),MONTH($A472),1))</f>
        <v/>
      </c>
    </row>
    <row r="473" customFormat="false" ht="15" hidden="false" customHeight="false" outlineLevel="0" collapsed="false">
      <c r="A473" s="44"/>
      <c r="B473" s="6"/>
      <c r="C473" s="8" t="str">
        <f aca="false">IF($B473="","",IFERROR(INDEX(INSUMOS!$B$6:$B$205,MATCH($B473,INSUMOS!$A$6:$A$205,0)),"¿Código?"))</f>
        <v/>
      </c>
      <c r="D473" s="8" t="str">
        <f aca="false">IF($B473="","",IFERROR(INDEX(INSUMOS!$D$6:$D$205,MATCH($B473,INSUMOS!$A$6:$A$205,0)),""))</f>
        <v/>
      </c>
      <c r="E473" s="6"/>
      <c r="F473" s="39"/>
      <c r="G473" s="6"/>
      <c r="H473" s="6"/>
      <c r="I473" s="43" t="str">
        <f aca="false">IF($B473="","",IFERROR(INDEX(INSUMOS!$O$6:$O$205,MATCH($B473,INSUMOS!$A$6:$A$205,0)),0))</f>
        <v/>
      </c>
      <c r="J473" s="45" t="str">
        <f aca="false">IF($B473="","",IF($E473="Ajuste (+) sobrante",1,-1)*N($F473))</f>
        <v/>
      </c>
      <c r="K473" s="35" t="str">
        <f aca="false">IF($B473="","",$J473*$I473)</f>
        <v/>
      </c>
      <c r="L473" s="46" t="str">
        <f aca="false">IF($A473="","",DATE(YEAR($A473),MONTH($A473),1))</f>
        <v/>
      </c>
    </row>
    <row r="474" customFormat="false" ht="15" hidden="false" customHeight="false" outlineLevel="0" collapsed="false">
      <c r="A474" s="44"/>
      <c r="B474" s="6"/>
      <c r="C474" s="8" t="str">
        <f aca="false">IF($B474="","",IFERROR(INDEX(INSUMOS!$B$6:$B$205,MATCH($B474,INSUMOS!$A$6:$A$205,0)),"¿Código?"))</f>
        <v/>
      </c>
      <c r="D474" s="8" t="str">
        <f aca="false">IF($B474="","",IFERROR(INDEX(INSUMOS!$D$6:$D$205,MATCH($B474,INSUMOS!$A$6:$A$205,0)),""))</f>
        <v/>
      </c>
      <c r="E474" s="6"/>
      <c r="F474" s="39"/>
      <c r="G474" s="6"/>
      <c r="H474" s="6"/>
      <c r="I474" s="43" t="str">
        <f aca="false">IF($B474="","",IFERROR(INDEX(INSUMOS!$O$6:$O$205,MATCH($B474,INSUMOS!$A$6:$A$205,0)),0))</f>
        <v/>
      </c>
      <c r="J474" s="45" t="str">
        <f aca="false">IF($B474="","",IF($E474="Ajuste (+) sobrante",1,-1)*N($F474))</f>
        <v/>
      </c>
      <c r="K474" s="35" t="str">
        <f aca="false">IF($B474="","",$J474*$I474)</f>
        <v/>
      </c>
      <c r="L474" s="46" t="str">
        <f aca="false">IF($A474="","",DATE(YEAR($A474),MONTH($A474),1))</f>
        <v/>
      </c>
    </row>
    <row r="475" customFormat="false" ht="15" hidden="false" customHeight="false" outlineLevel="0" collapsed="false">
      <c r="A475" s="44"/>
      <c r="B475" s="6"/>
      <c r="C475" s="8" t="str">
        <f aca="false">IF($B475="","",IFERROR(INDEX(INSUMOS!$B$6:$B$205,MATCH($B475,INSUMOS!$A$6:$A$205,0)),"¿Código?"))</f>
        <v/>
      </c>
      <c r="D475" s="8" t="str">
        <f aca="false">IF($B475="","",IFERROR(INDEX(INSUMOS!$D$6:$D$205,MATCH($B475,INSUMOS!$A$6:$A$205,0)),""))</f>
        <v/>
      </c>
      <c r="E475" s="6"/>
      <c r="F475" s="39"/>
      <c r="G475" s="6"/>
      <c r="H475" s="6"/>
      <c r="I475" s="43" t="str">
        <f aca="false">IF($B475="","",IFERROR(INDEX(INSUMOS!$O$6:$O$205,MATCH($B475,INSUMOS!$A$6:$A$205,0)),0))</f>
        <v/>
      </c>
      <c r="J475" s="45" t="str">
        <f aca="false">IF($B475="","",IF($E475="Ajuste (+) sobrante",1,-1)*N($F475))</f>
        <v/>
      </c>
      <c r="K475" s="35" t="str">
        <f aca="false">IF($B475="","",$J475*$I475)</f>
        <v/>
      </c>
      <c r="L475" s="46" t="str">
        <f aca="false">IF($A475="","",DATE(YEAR($A475),MONTH($A475),1))</f>
        <v/>
      </c>
    </row>
    <row r="476" customFormat="false" ht="15" hidden="false" customHeight="false" outlineLevel="0" collapsed="false">
      <c r="A476" s="44"/>
      <c r="B476" s="6"/>
      <c r="C476" s="8" t="str">
        <f aca="false">IF($B476="","",IFERROR(INDEX(INSUMOS!$B$6:$B$205,MATCH($B476,INSUMOS!$A$6:$A$205,0)),"¿Código?"))</f>
        <v/>
      </c>
      <c r="D476" s="8" t="str">
        <f aca="false">IF($B476="","",IFERROR(INDEX(INSUMOS!$D$6:$D$205,MATCH($B476,INSUMOS!$A$6:$A$205,0)),""))</f>
        <v/>
      </c>
      <c r="E476" s="6"/>
      <c r="F476" s="39"/>
      <c r="G476" s="6"/>
      <c r="H476" s="6"/>
      <c r="I476" s="43" t="str">
        <f aca="false">IF($B476="","",IFERROR(INDEX(INSUMOS!$O$6:$O$205,MATCH($B476,INSUMOS!$A$6:$A$205,0)),0))</f>
        <v/>
      </c>
      <c r="J476" s="45" t="str">
        <f aca="false">IF($B476="","",IF($E476="Ajuste (+) sobrante",1,-1)*N($F476))</f>
        <v/>
      </c>
      <c r="K476" s="35" t="str">
        <f aca="false">IF($B476="","",$J476*$I476)</f>
        <v/>
      </c>
      <c r="L476" s="46" t="str">
        <f aca="false">IF($A476="","",DATE(YEAR($A476),MONTH($A476),1))</f>
        <v/>
      </c>
    </row>
    <row r="477" customFormat="false" ht="15" hidden="false" customHeight="false" outlineLevel="0" collapsed="false">
      <c r="A477" s="44"/>
      <c r="B477" s="6"/>
      <c r="C477" s="8" t="str">
        <f aca="false">IF($B477="","",IFERROR(INDEX(INSUMOS!$B$6:$B$205,MATCH($B477,INSUMOS!$A$6:$A$205,0)),"¿Código?"))</f>
        <v/>
      </c>
      <c r="D477" s="8" t="str">
        <f aca="false">IF($B477="","",IFERROR(INDEX(INSUMOS!$D$6:$D$205,MATCH($B477,INSUMOS!$A$6:$A$205,0)),""))</f>
        <v/>
      </c>
      <c r="E477" s="6"/>
      <c r="F477" s="39"/>
      <c r="G477" s="6"/>
      <c r="H477" s="6"/>
      <c r="I477" s="43" t="str">
        <f aca="false">IF($B477="","",IFERROR(INDEX(INSUMOS!$O$6:$O$205,MATCH($B477,INSUMOS!$A$6:$A$205,0)),0))</f>
        <v/>
      </c>
      <c r="J477" s="45" t="str">
        <f aca="false">IF($B477="","",IF($E477="Ajuste (+) sobrante",1,-1)*N($F477))</f>
        <v/>
      </c>
      <c r="K477" s="35" t="str">
        <f aca="false">IF($B477="","",$J477*$I477)</f>
        <v/>
      </c>
      <c r="L477" s="46" t="str">
        <f aca="false">IF($A477="","",DATE(YEAR($A477),MONTH($A477),1))</f>
        <v/>
      </c>
    </row>
    <row r="478" customFormat="false" ht="15" hidden="false" customHeight="false" outlineLevel="0" collapsed="false">
      <c r="A478" s="44"/>
      <c r="B478" s="6"/>
      <c r="C478" s="8" t="str">
        <f aca="false">IF($B478="","",IFERROR(INDEX(INSUMOS!$B$6:$B$205,MATCH($B478,INSUMOS!$A$6:$A$205,0)),"¿Código?"))</f>
        <v/>
      </c>
      <c r="D478" s="8" t="str">
        <f aca="false">IF($B478="","",IFERROR(INDEX(INSUMOS!$D$6:$D$205,MATCH($B478,INSUMOS!$A$6:$A$205,0)),""))</f>
        <v/>
      </c>
      <c r="E478" s="6"/>
      <c r="F478" s="39"/>
      <c r="G478" s="6"/>
      <c r="H478" s="6"/>
      <c r="I478" s="43" t="str">
        <f aca="false">IF($B478="","",IFERROR(INDEX(INSUMOS!$O$6:$O$205,MATCH($B478,INSUMOS!$A$6:$A$205,0)),0))</f>
        <v/>
      </c>
      <c r="J478" s="45" t="str">
        <f aca="false">IF($B478="","",IF($E478="Ajuste (+) sobrante",1,-1)*N($F478))</f>
        <v/>
      </c>
      <c r="K478" s="35" t="str">
        <f aca="false">IF($B478="","",$J478*$I478)</f>
        <v/>
      </c>
      <c r="L478" s="46" t="str">
        <f aca="false">IF($A478="","",DATE(YEAR($A478),MONTH($A478),1))</f>
        <v/>
      </c>
    </row>
    <row r="479" customFormat="false" ht="15" hidden="false" customHeight="false" outlineLevel="0" collapsed="false">
      <c r="A479" s="44"/>
      <c r="B479" s="6"/>
      <c r="C479" s="8" t="str">
        <f aca="false">IF($B479="","",IFERROR(INDEX(INSUMOS!$B$6:$B$205,MATCH($B479,INSUMOS!$A$6:$A$205,0)),"¿Código?"))</f>
        <v/>
      </c>
      <c r="D479" s="8" t="str">
        <f aca="false">IF($B479="","",IFERROR(INDEX(INSUMOS!$D$6:$D$205,MATCH($B479,INSUMOS!$A$6:$A$205,0)),""))</f>
        <v/>
      </c>
      <c r="E479" s="6"/>
      <c r="F479" s="39"/>
      <c r="G479" s="6"/>
      <c r="H479" s="6"/>
      <c r="I479" s="43" t="str">
        <f aca="false">IF($B479="","",IFERROR(INDEX(INSUMOS!$O$6:$O$205,MATCH($B479,INSUMOS!$A$6:$A$205,0)),0))</f>
        <v/>
      </c>
      <c r="J479" s="45" t="str">
        <f aca="false">IF($B479="","",IF($E479="Ajuste (+) sobrante",1,-1)*N($F479))</f>
        <v/>
      </c>
      <c r="K479" s="35" t="str">
        <f aca="false">IF($B479="","",$J479*$I479)</f>
        <v/>
      </c>
      <c r="L479" s="46" t="str">
        <f aca="false">IF($A479="","",DATE(YEAR($A479),MONTH($A479),1))</f>
        <v/>
      </c>
    </row>
    <row r="480" customFormat="false" ht="15" hidden="false" customHeight="false" outlineLevel="0" collapsed="false">
      <c r="A480" s="44"/>
      <c r="B480" s="6"/>
      <c r="C480" s="8" t="str">
        <f aca="false">IF($B480="","",IFERROR(INDEX(INSUMOS!$B$6:$B$205,MATCH($B480,INSUMOS!$A$6:$A$205,0)),"¿Código?"))</f>
        <v/>
      </c>
      <c r="D480" s="8" t="str">
        <f aca="false">IF($B480="","",IFERROR(INDEX(INSUMOS!$D$6:$D$205,MATCH($B480,INSUMOS!$A$6:$A$205,0)),""))</f>
        <v/>
      </c>
      <c r="E480" s="6"/>
      <c r="F480" s="39"/>
      <c r="G480" s="6"/>
      <c r="H480" s="6"/>
      <c r="I480" s="43" t="str">
        <f aca="false">IF($B480="","",IFERROR(INDEX(INSUMOS!$O$6:$O$205,MATCH($B480,INSUMOS!$A$6:$A$205,0)),0))</f>
        <v/>
      </c>
      <c r="J480" s="45" t="str">
        <f aca="false">IF($B480="","",IF($E480="Ajuste (+) sobrante",1,-1)*N($F480))</f>
        <v/>
      </c>
      <c r="K480" s="35" t="str">
        <f aca="false">IF($B480="","",$J480*$I480)</f>
        <v/>
      </c>
      <c r="L480" s="46" t="str">
        <f aca="false">IF($A480="","",DATE(YEAR($A480),MONTH($A480),1))</f>
        <v/>
      </c>
    </row>
    <row r="481" customFormat="false" ht="15" hidden="false" customHeight="false" outlineLevel="0" collapsed="false">
      <c r="A481" s="44"/>
      <c r="B481" s="6"/>
      <c r="C481" s="8" t="str">
        <f aca="false">IF($B481="","",IFERROR(INDEX(INSUMOS!$B$6:$B$205,MATCH($B481,INSUMOS!$A$6:$A$205,0)),"¿Código?"))</f>
        <v/>
      </c>
      <c r="D481" s="8" t="str">
        <f aca="false">IF($B481="","",IFERROR(INDEX(INSUMOS!$D$6:$D$205,MATCH($B481,INSUMOS!$A$6:$A$205,0)),""))</f>
        <v/>
      </c>
      <c r="E481" s="6"/>
      <c r="F481" s="39"/>
      <c r="G481" s="6"/>
      <c r="H481" s="6"/>
      <c r="I481" s="43" t="str">
        <f aca="false">IF($B481="","",IFERROR(INDEX(INSUMOS!$O$6:$O$205,MATCH($B481,INSUMOS!$A$6:$A$205,0)),0))</f>
        <v/>
      </c>
      <c r="J481" s="45" t="str">
        <f aca="false">IF($B481="","",IF($E481="Ajuste (+) sobrante",1,-1)*N($F481))</f>
        <v/>
      </c>
      <c r="K481" s="35" t="str">
        <f aca="false">IF($B481="","",$J481*$I481)</f>
        <v/>
      </c>
      <c r="L481" s="46" t="str">
        <f aca="false">IF($A481="","",DATE(YEAR($A481),MONTH($A481),1))</f>
        <v/>
      </c>
    </row>
    <row r="482" customFormat="false" ht="15" hidden="false" customHeight="false" outlineLevel="0" collapsed="false">
      <c r="A482" s="44"/>
      <c r="B482" s="6"/>
      <c r="C482" s="8" t="str">
        <f aca="false">IF($B482="","",IFERROR(INDEX(INSUMOS!$B$6:$B$205,MATCH($B482,INSUMOS!$A$6:$A$205,0)),"¿Código?"))</f>
        <v/>
      </c>
      <c r="D482" s="8" t="str">
        <f aca="false">IF($B482="","",IFERROR(INDEX(INSUMOS!$D$6:$D$205,MATCH($B482,INSUMOS!$A$6:$A$205,0)),""))</f>
        <v/>
      </c>
      <c r="E482" s="6"/>
      <c r="F482" s="39"/>
      <c r="G482" s="6"/>
      <c r="H482" s="6"/>
      <c r="I482" s="43" t="str">
        <f aca="false">IF($B482="","",IFERROR(INDEX(INSUMOS!$O$6:$O$205,MATCH($B482,INSUMOS!$A$6:$A$205,0)),0))</f>
        <v/>
      </c>
      <c r="J482" s="45" t="str">
        <f aca="false">IF($B482="","",IF($E482="Ajuste (+) sobrante",1,-1)*N($F482))</f>
        <v/>
      </c>
      <c r="K482" s="35" t="str">
        <f aca="false">IF($B482="","",$J482*$I482)</f>
        <v/>
      </c>
      <c r="L482" s="46" t="str">
        <f aca="false">IF($A482="","",DATE(YEAR($A482),MONTH($A482),1))</f>
        <v/>
      </c>
    </row>
    <row r="483" customFormat="false" ht="15" hidden="false" customHeight="false" outlineLevel="0" collapsed="false">
      <c r="A483" s="44"/>
      <c r="B483" s="6"/>
      <c r="C483" s="8" t="str">
        <f aca="false">IF($B483="","",IFERROR(INDEX(INSUMOS!$B$6:$B$205,MATCH($B483,INSUMOS!$A$6:$A$205,0)),"¿Código?"))</f>
        <v/>
      </c>
      <c r="D483" s="8" t="str">
        <f aca="false">IF($B483="","",IFERROR(INDEX(INSUMOS!$D$6:$D$205,MATCH($B483,INSUMOS!$A$6:$A$205,0)),""))</f>
        <v/>
      </c>
      <c r="E483" s="6"/>
      <c r="F483" s="39"/>
      <c r="G483" s="6"/>
      <c r="H483" s="6"/>
      <c r="I483" s="43" t="str">
        <f aca="false">IF($B483="","",IFERROR(INDEX(INSUMOS!$O$6:$O$205,MATCH($B483,INSUMOS!$A$6:$A$205,0)),0))</f>
        <v/>
      </c>
      <c r="J483" s="45" t="str">
        <f aca="false">IF($B483="","",IF($E483="Ajuste (+) sobrante",1,-1)*N($F483))</f>
        <v/>
      </c>
      <c r="K483" s="35" t="str">
        <f aca="false">IF($B483="","",$J483*$I483)</f>
        <v/>
      </c>
      <c r="L483" s="46" t="str">
        <f aca="false">IF($A483="","",DATE(YEAR($A483),MONTH($A483),1))</f>
        <v/>
      </c>
    </row>
    <row r="484" customFormat="false" ht="15" hidden="false" customHeight="false" outlineLevel="0" collapsed="false">
      <c r="A484" s="44"/>
      <c r="B484" s="6"/>
      <c r="C484" s="8" t="str">
        <f aca="false">IF($B484="","",IFERROR(INDEX(INSUMOS!$B$6:$B$205,MATCH($B484,INSUMOS!$A$6:$A$205,0)),"¿Código?"))</f>
        <v/>
      </c>
      <c r="D484" s="8" t="str">
        <f aca="false">IF($B484="","",IFERROR(INDEX(INSUMOS!$D$6:$D$205,MATCH($B484,INSUMOS!$A$6:$A$205,0)),""))</f>
        <v/>
      </c>
      <c r="E484" s="6"/>
      <c r="F484" s="39"/>
      <c r="G484" s="6"/>
      <c r="H484" s="6"/>
      <c r="I484" s="43" t="str">
        <f aca="false">IF($B484="","",IFERROR(INDEX(INSUMOS!$O$6:$O$205,MATCH($B484,INSUMOS!$A$6:$A$205,0)),0))</f>
        <v/>
      </c>
      <c r="J484" s="45" t="str">
        <f aca="false">IF($B484="","",IF($E484="Ajuste (+) sobrante",1,-1)*N($F484))</f>
        <v/>
      </c>
      <c r="K484" s="35" t="str">
        <f aca="false">IF($B484="","",$J484*$I484)</f>
        <v/>
      </c>
      <c r="L484" s="46" t="str">
        <f aca="false">IF($A484="","",DATE(YEAR($A484),MONTH($A484),1))</f>
        <v/>
      </c>
    </row>
    <row r="485" customFormat="false" ht="15" hidden="false" customHeight="false" outlineLevel="0" collapsed="false">
      <c r="A485" s="44"/>
      <c r="B485" s="6"/>
      <c r="C485" s="8" t="str">
        <f aca="false">IF($B485="","",IFERROR(INDEX(INSUMOS!$B$6:$B$205,MATCH($B485,INSUMOS!$A$6:$A$205,0)),"¿Código?"))</f>
        <v/>
      </c>
      <c r="D485" s="8" t="str">
        <f aca="false">IF($B485="","",IFERROR(INDEX(INSUMOS!$D$6:$D$205,MATCH($B485,INSUMOS!$A$6:$A$205,0)),""))</f>
        <v/>
      </c>
      <c r="E485" s="6"/>
      <c r="F485" s="39"/>
      <c r="G485" s="6"/>
      <c r="H485" s="6"/>
      <c r="I485" s="43" t="str">
        <f aca="false">IF($B485="","",IFERROR(INDEX(INSUMOS!$O$6:$O$205,MATCH($B485,INSUMOS!$A$6:$A$205,0)),0))</f>
        <v/>
      </c>
      <c r="J485" s="45" t="str">
        <f aca="false">IF($B485="","",IF($E485="Ajuste (+) sobrante",1,-1)*N($F485))</f>
        <v/>
      </c>
      <c r="K485" s="35" t="str">
        <f aca="false">IF($B485="","",$J485*$I485)</f>
        <v/>
      </c>
      <c r="L485" s="46" t="str">
        <f aca="false">IF($A485="","",DATE(YEAR($A485),MONTH($A485),1))</f>
        <v/>
      </c>
    </row>
    <row r="486" customFormat="false" ht="15" hidden="false" customHeight="false" outlineLevel="0" collapsed="false">
      <c r="A486" s="44"/>
      <c r="B486" s="6"/>
      <c r="C486" s="8" t="str">
        <f aca="false">IF($B486="","",IFERROR(INDEX(INSUMOS!$B$6:$B$205,MATCH($B486,INSUMOS!$A$6:$A$205,0)),"¿Código?"))</f>
        <v/>
      </c>
      <c r="D486" s="8" t="str">
        <f aca="false">IF($B486="","",IFERROR(INDEX(INSUMOS!$D$6:$D$205,MATCH($B486,INSUMOS!$A$6:$A$205,0)),""))</f>
        <v/>
      </c>
      <c r="E486" s="6"/>
      <c r="F486" s="39"/>
      <c r="G486" s="6"/>
      <c r="H486" s="6"/>
      <c r="I486" s="43" t="str">
        <f aca="false">IF($B486="","",IFERROR(INDEX(INSUMOS!$O$6:$O$205,MATCH($B486,INSUMOS!$A$6:$A$205,0)),0))</f>
        <v/>
      </c>
      <c r="J486" s="45" t="str">
        <f aca="false">IF($B486="","",IF($E486="Ajuste (+) sobrante",1,-1)*N($F486))</f>
        <v/>
      </c>
      <c r="K486" s="35" t="str">
        <f aca="false">IF($B486="","",$J486*$I486)</f>
        <v/>
      </c>
      <c r="L486" s="46" t="str">
        <f aca="false">IF($A486="","",DATE(YEAR($A486),MONTH($A486),1))</f>
        <v/>
      </c>
    </row>
    <row r="487" customFormat="false" ht="15" hidden="false" customHeight="false" outlineLevel="0" collapsed="false">
      <c r="A487" s="44"/>
      <c r="B487" s="6"/>
      <c r="C487" s="8" t="str">
        <f aca="false">IF($B487="","",IFERROR(INDEX(INSUMOS!$B$6:$B$205,MATCH($B487,INSUMOS!$A$6:$A$205,0)),"¿Código?"))</f>
        <v/>
      </c>
      <c r="D487" s="8" t="str">
        <f aca="false">IF($B487="","",IFERROR(INDEX(INSUMOS!$D$6:$D$205,MATCH($B487,INSUMOS!$A$6:$A$205,0)),""))</f>
        <v/>
      </c>
      <c r="E487" s="6"/>
      <c r="F487" s="39"/>
      <c r="G487" s="6"/>
      <c r="H487" s="6"/>
      <c r="I487" s="43" t="str">
        <f aca="false">IF($B487="","",IFERROR(INDEX(INSUMOS!$O$6:$O$205,MATCH($B487,INSUMOS!$A$6:$A$205,0)),0))</f>
        <v/>
      </c>
      <c r="J487" s="45" t="str">
        <f aca="false">IF($B487="","",IF($E487="Ajuste (+) sobrante",1,-1)*N($F487))</f>
        <v/>
      </c>
      <c r="K487" s="35" t="str">
        <f aca="false">IF($B487="","",$J487*$I487)</f>
        <v/>
      </c>
      <c r="L487" s="46" t="str">
        <f aca="false">IF($A487="","",DATE(YEAR($A487),MONTH($A487),1))</f>
        <v/>
      </c>
    </row>
    <row r="488" customFormat="false" ht="15" hidden="false" customHeight="false" outlineLevel="0" collapsed="false">
      <c r="A488" s="44"/>
      <c r="B488" s="6"/>
      <c r="C488" s="8" t="str">
        <f aca="false">IF($B488="","",IFERROR(INDEX(INSUMOS!$B$6:$B$205,MATCH($B488,INSUMOS!$A$6:$A$205,0)),"¿Código?"))</f>
        <v/>
      </c>
      <c r="D488" s="8" t="str">
        <f aca="false">IF($B488="","",IFERROR(INDEX(INSUMOS!$D$6:$D$205,MATCH($B488,INSUMOS!$A$6:$A$205,0)),""))</f>
        <v/>
      </c>
      <c r="E488" s="6"/>
      <c r="F488" s="39"/>
      <c r="G488" s="6"/>
      <c r="H488" s="6"/>
      <c r="I488" s="43" t="str">
        <f aca="false">IF($B488="","",IFERROR(INDEX(INSUMOS!$O$6:$O$205,MATCH($B488,INSUMOS!$A$6:$A$205,0)),0))</f>
        <v/>
      </c>
      <c r="J488" s="45" t="str">
        <f aca="false">IF($B488="","",IF($E488="Ajuste (+) sobrante",1,-1)*N($F488))</f>
        <v/>
      </c>
      <c r="K488" s="35" t="str">
        <f aca="false">IF($B488="","",$J488*$I488)</f>
        <v/>
      </c>
      <c r="L488" s="46" t="str">
        <f aca="false">IF($A488="","",DATE(YEAR($A488),MONTH($A488),1))</f>
        <v/>
      </c>
    </row>
    <row r="489" customFormat="false" ht="15" hidden="false" customHeight="false" outlineLevel="0" collapsed="false">
      <c r="A489" s="44"/>
      <c r="B489" s="6"/>
      <c r="C489" s="8" t="str">
        <f aca="false">IF($B489="","",IFERROR(INDEX(INSUMOS!$B$6:$B$205,MATCH($B489,INSUMOS!$A$6:$A$205,0)),"¿Código?"))</f>
        <v/>
      </c>
      <c r="D489" s="8" t="str">
        <f aca="false">IF($B489="","",IFERROR(INDEX(INSUMOS!$D$6:$D$205,MATCH($B489,INSUMOS!$A$6:$A$205,0)),""))</f>
        <v/>
      </c>
      <c r="E489" s="6"/>
      <c r="F489" s="39"/>
      <c r="G489" s="6"/>
      <c r="H489" s="6"/>
      <c r="I489" s="43" t="str">
        <f aca="false">IF($B489="","",IFERROR(INDEX(INSUMOS!$O$6:$O$205,MATCH($B489,INSUMOS!$A$6:$A$205,0)),0))</f>
        <v/>
      </c>
      <c r="J489" s="45" t="str">
        <f aca="false">IF($B489="","",IF($E489="Ajuste (+) sobrante",1,-1)*N($F489))</f>
        <v/>
      </c>
      <c r="K489" s="35" t="str">
        <f aca="false">IF($B489="","",$J489*$I489)</f>
        <v/>
      </c>
      <c r="L489" s="46" t="str">
        <f aca="false">IF($A489="","",DATE(YEAR($A489),MONTH($A489),1))</f>
        <v/>
      </c>
    </row>
    <row r="490" customFormat="false" ht="15" hidden="false" customHeight="false" outlineLevel="0" collapsed="false">
      <c r="A490" s="44"/>
      <c r="B490" s="6"/>
      <c r="C490" s="8" t="str">
        <f aca="false">IF($B490="","",IFERROR(INDEX(INSUMOS!$B$6:$B$205,MATCH($B490,INSUMOS!$A$6:$A$205,0)),"¿Código?"))</f>
        <v/>
      </c>
      <c r="D490" s="8" t="str">
        <f aca="false">IF($B490="","",IFERROR(INDEX(INSUMOS!$D$6:$D$205,MATCH($B490,INSUMOS!$A$6:$A$205,0)),""))</f>
        <v/>
      </c>
      <c r="E490" s="6"/>
      <c r="F490" s="39"/>
      <c r="G490" s="6"/>
      <c r="H490" s="6"/>
      <c r="I490" s="43" t="str">
        <f aca="false">IF($B490="","",IFERROR(INDEX(INSUMOS!$O$6:$O$205,MATCH($B490,INSUMOS!$A$6:$A$205,0)),0))</f>
        <v/>
      </c>
      <c r="J490" s="45" t="str">
        <f aca="false">IF($B490="","",IF($E490="Ajuste (+) sobrante",1,-1)*N($F490))</f>
        <v/>
      </c>
      <c r="K490" s="35" t="str">
        <f aca="false">IF($B490="","",$J490*$I490)</f>
        <v/>
      </c>
      <c r="L490" s="46" t="str">
        <f aca="false">IF($A490="","",DATE(YEAR($A490),MONTH($A490),1))</f>
        <v/>
      </c>
    </row>
    <row r="491" customFormat="false" ht="15" hidden="false" customHeight="false" outlineLevel="0" collapsed="false">
      <c r="A491" s="44"/>
      <c r="B491" s="6"/>
      <c r="C491" s="8" t="str">
        <f aca="false">IF($B491="","",IFERROR(INDEX(INSUMOS!$B$6:$B$205,MATCH($B491,INSUMOS!$A$6:$A$205,0)),"¿Código?"))</f>
        <v/>
      </c>
      <c r="D491" s="8" t="str">
        <f aca="false">IF($B491="","",IFERROR(INDEX(INSUMOS!$D$6:$D$205,MATCH($B491,INSUMOS!$A$6:$A$205,0)),""))</f>
        <v/>
      </c>
      <c r="E491" s="6"/>
      <c r="F491" s="39"/>
      <c r="G491" s="6"/>
      <c r="H491" s="6"/>
      <c r="I491" s="43" t="str">
        <f aca="false">IF($B491="","",IFERROR(INDEX(INSUMOS!$O$6:$O$205,MATCH($B491,INSUMOS!$A$6:$A$205,0)),0))</f>
        <v/>
      </c>
      <c r="J491" s="45" t="str">
        <f aca="false">IF($B491="","",IF($E491="Ajuste (+) sobrante",1,-1)*N($F491))</f>
        <v/>
      </c>
      <c r="K491" s="35" t="str">
        <f aca="false">IF($B491="","",$J491*$I491)</f>
        <v/>
      </c>
      <c r="L491" s="46" t="str">
        <f aca="false">IF($A491="","",DATE(YEAR($A491),MONTH($A491),1))</f>
        <v/>
      </c>
    </row>
    <row r="492" customFormat="false" ht="15" hidden="false" customHeight="false" outlineLevel="0" collapsed="false">
      <c r="A492" s="44"/>
      <c r="B492" s="6"/>
      <c r="C492" s="8" t="str">
        <f aca="false">IF($B492="","",IFERROR(INDEX(INSUMOS!$B$6:$B$205,MATCH($B492,INSUMOS!$A$6:$A$205,0)),"¿Código?"))</f>
        <v/>
      </c>
      <c r="D492" s="8" t="str">
        <f aca="false">IF($B492="","",IFERROR(INDEX(INSUMOS!$D$6:$D$205,MATCH($B492,INSUMOS!$A$6:$A$205,0)),""))</f>
        <v/>
      </c>
      <c r="E492" s="6"/>
      <c r="F492" s="39"/>
      <c r="G492" s="6"/>
      <c r="H492" s="6"/>
      <c r="I492" s="43" t="str">
        <f aca="false">IF($B492="","",IFERROR(INDEX(INSUMOS!$O$6:$O$205,MATCH($B492,INSUMOS!$A$6:$A$205,0)),0))</f>
        <v/>
      </c>
      <c r="J492" s="45" t="str">
        <f aca="false">IF($B492="","",IF($E492="Ajuste (+) sobrante",1,-1)*N($F492))</f>
        <v/>
      </c>
      <c r="K492" s="35" t="str">
        <f aca="false">IF($B492="","",$J492*$I492)</f>
        <v/>
      </c>
      <c r="L492" s="46" t="str">
        <f aca="false">IF($A492="","",DATE(YEAR($A492),MONTH($A492),1))</f>
        <v/>
      </c>
    </row>
    <row r="493" customFormat="false" ht="15" hidden="false" customHeight="false" outlineLevel="0" collapsed="false">
      <c r="A493" s="44"/>
      <c r="B493" s="6"/>
      <c r="C493" s="8" t="str">
        <f aca="false">IF($B493="","",IFERROR(INDEX(INSUMOS!$B$6:$B$205,MATCH($B493,INSUMOS!$A$6:$A$205,0)),"¿Código?"))</f>
        <v/>
      </c>
      <c r="D493" s="8" t="str">
        <f aca="false">IF($B493="","",IFERROR(INDEX(INSUMOS!$D$6:$D$205,MATCH($B493,INSUMOS!$A$6:$A$205,0)),""))</f>
        <v/>
      </c>
      <c r="E493" s="6"/>
      <c r="F493" s="39"/>
      <c r="G493" s="6"/>
      <c r="H493" s="6"/>
      <c r="I493" s="43" t="str">
        <f aca="false">IF($B493="","",IFERROR(INDEX(INSUMOS!$O$6:$O$205,MATCH($B493,INSUMOS!$A$6:$A$205,0)),0))</f>
        <v/>
      </c>
      <c r="J493" s="45" t="str">
        <f aca="false">IF($B493="","",IF($E493="Ajuste (+) sobrante",1,-1)*N($F493))</f>
        <v/>
      </c>
      <c r="K493" s="35" t="str">
        <f aca="false">IF($B493="","",$J493*$I493)</f>
        <v/>
      </c>
      <c r="L493" s="46" t="str">
        <f aca="false">IF($A493="","",DATE(YEAR($A493),MONTH($A493),1))</f>
        <v/>
      </c>
    </row>
    <row r="494" customFormat="false" ht="15" hidden="false" customHeight="false" outlineLevel="0" collapsed="false">
      <c r="A494" s="44"/>
      <c r="B494" s="6"/>
      <c r="C494" s="8" t="str">
        <f aca="false">IF($B494="","",IFERROR(INDEX(INSUMOS!$B$6:$B$205,MATCH($B494,INSUMOS!$A$6:$A$205,0)),"¿Código?"))</f>
        <v/>
      </c>
      <c r="D494" s="8" t="str">
        <f aca="false">IF($B494="","",IFERROR(INDEX(INSUMOS!$D$6:$D$205,MATCH($B494,INSUMOS!$A$6:$A$205,0)),""))</f>
        <v/>
      </c>
      <c r="E494" s="6"/>
      <c r="F494" s="39"/>
      <c r="G494" s="6"/>
      <c r="H494" s="6"/>
      <c r="I494" s="43" t="str">
        <f aca="false">IF($B494="","",IFERROR(INDEX(INSUMOS!$O$6:$O$205,MATCH($B494,INSUMOS!$A$6:$A$205,0)),0))</f>
        <v/>
      </c>
      <c r="J494" s="45" t="str">
        <f aca="false">IF($B494="","",IF($E494="Ajuste (+) sobrante",1,-1)*N($F494))</f>
        <v/>
      </c>
      <c r="K494" s="35" t="str">
        <f aca="false">IF($B494="","",$J494*$I494)</f>
        <v/>
      </c>
      <c r="L494" s="46" t="str">
        <f aca="false">IF($A494="","",DATE(YEAR($A494),MONTH($A494),1))</f>
        <v/>
      </c>
    </row>
    <row r="495" customFormat="false" ht="15" hidden="false" customHeight="false" outlineLevel="0" collapsed="false">
      <c r="A495" s="44"/>
      <c r="B495" s="6"/>
      <c r="C495" s="8" t="str">
        <f aca="false">IF($B495="","",IFERROR(INDEX(INSUMOS!$B$6:$B$205,MATCH($B495,INSUMOS!$A$6:$A$205,0)),"¿Código?"))</f>
        <v/>
      </c>
      <c r="D495" s="8" t="str">
        <f aca="false">IF($B495="","",IFERROR(INDEX(INSUMOS!$D$6:$D$205,MATCH($B495,INSUMOS!$A$6:$A$205,0)),""))</f>
        <v/>
      </c>
      <c r="E495" s="6"/>
      <c r="F495" s="39"/>
      <c r="G495" s="6"/>
      <c r="H495" s="6"/>
      <c r="I495" s="43" t="str">
        <f aca="false">IF($B495="","",IFERROR(INDEX(INSUMOS!$O$6:$O$205,MATCH($B495,INSUMOS!$A$6:$A$205,0)),0))</f>
        <v/>
      </c>
      <c r="J495" s="45" t="str">
        <f aca="false">IF($B495="","",IF($E495="Ajuste (+) sobrante",1,-1)*N($F495))</f>
        <v/>
      </c>
      <c r="K495" s="35" t="str">
        <f aca="false">IF($B495="","",$J495*$I495)</f>
        <v/>
      </c>
      <c r="L495" s="46" t="str">
        <f aca="false">IF($A495="","",DATE(YEAR($A495),MONTH($A495),1))</f>
        <v/>
      </c>
    </row>
    <row r="496" customFormat="false" ht="15" hidden="false" customHeight="false" outlineLevel="0" collapsed="false">
      <c r="A496" s="44"/>
      <c r="B496" s="6"/>
      <c r="C496" s="8" t="str">
        <f aca="false">IF($B496="","",IFERROR(INDEX(INSUMOS!$B$6:$B$205,MATCH($B496,INSUMOS!$A$6:$A$205,0)),"¿Código?"))</f>
        <v/>
      </c>
      <c r="D496" s="8" t="str">
        <f aca="false">IF($B496="","",IFERROR(INDEX(INSUMOS!$D$6:$D$205,MATCH($B496,INSUMOS!$A$6:$A$205,0)),""))</f>
        <v/>
      </c>
      <c r="E496" s="6"/>
      <c r="F496" s="39"/>
      <c r="G496" s="6"/>
      <c r="H496" s="6"/>
      <c r="I496" s="43" t="str">
        <f aca="false">IF($B496="","",IFERROR(INDEX(INSUMOS!$O$6:$O$205,MATCH($B496,INSUMOS!$A$6:$A$205,0)),0))</f>
        <v/>
      </c>
      <c r="J496" s="45" t="str">
        <f aca="false">IF($B496="","",IF($E496="Ajuste (+) sobrante",1,-1)*N($F496))</f>
        <v/>
      </c>
      <c r="K496" s="35" t="str">
        <f aca="false">IF($B496="","",$J496*$I496)</f>
        <v/>
      </c>
      <c r="L496" s="46" t="str">
        <f aca="false">IF($A496="","",DATE(YEAR($A496),MONTH($A496),1))</f>
        <v/>
      </c>
    </row>
    <row r="497" customFormat="false" ht="15" hidden="false" customHeight="false" outlineLevel="0" collapsed="false">
      <c r="A497" s="44"/>
      <c r="B497" s="6"/>
      <c r="C497" s="8" t="str">
        <f aca="false">IF($B497="","",IFERROR(INDEX(INSUMOS!$B$6:$B$205,MATCH($B497,INSUMOS!$A$6:$A$205,0)),"¿Código?"))</f>
        <v/>
      </c>
      <c r="D497" s="8" t="str">
        <f aca="false">IF($B497="","",IFERROR(INDEX(INSUMOS!$D$6:$D$205,MATCH($B497,INSUMOS!$A$6:$A$205,0)),""))</f>
        <v/>
      </c>
      <c r="E497" s="6"/>
      <c r="F497" s="39"/>
      <c r="G497" s="6"/>
      <c r="H497" s="6"/>
      <c r="I497" s="43" t="str">
        <f aca="false">IF($B497="","",IFERROR(INDEX(INSUMOS!$O$6:$O$205,MATCH($B497,INSUMOS!$A$6:$A$205,0)),0))</f>
        <v/>
      </c>
      <c r="J497" s="45" t="str">
        <f aca="false">IF($B497="","",IF($E497="Ajuste (+) sobrante",1,-1)*N($F497))</f>
        <v/>
      </c>
      <c r="K497" s="35" t="str">
        <f aca="false">IF($B497="","",$J497*$I497)</f>
        <v/>
      </c>
      <c r="L497" s="46" t="str">
        <f aca="false">IF($A497="","",DATE(YEAR($A497),MONTH($A497),1))</f>
        <v/>
      </c>
    </row>
    <row r="498" customFormat="false" ht="15" hidden="false" customHeight="false" outlineLevel="0" collapsed="false">
      <c r="A498" s="44"/>
      <c r="B498" s="6"/>
      <c r="C498" s="8" t="str">
        <f aca="false">IF($B498="","",IFERROR(INDEX(INSUMOS!$B$6:$B$205,MATCH($B498,INSUMOS!$A$6:$A$205,0)),"¿Código?"))</f>
        <v/>
      </c>
      <c r="D498" s="8" t="str">
        <f aca="false">IF($B498="","",IFERROR(INDEX(INSUMOS!$D$6:$D$205,MATCH($B498,INSUMOS!$A$6:$A$205,0)),""))</f>
        <v/>
      </c>
      <c r="E498" s="6"/>
      <c r="F498" s="39"/>
      <c r="G498" s="6"/>
      <c r="H498" s="6"/>
      <c r="I498" s="43" t="str">
        <f aca="false">IF($B498="","",IFERROR(INDEX(INSUMOS!$O$6:$O$205,MATCH($B498,INSUMOS!$A$6:$A$205,0)),0))</f>
        <v/>
      </c>
      <c r="J498" s="45" t="str">
        <f aca="false">IF($B498="","",IF($E498="Ajuste (+) sobrante",1,-1)*N($F498))</f>
        <v/>
      </c>
      <c r="K498" s="35" t="str">
        <f aca="false">IF($B498="","",$J498*$I498)</f>
        <v/>
      </c>
      <c r="L498" s="46" t="str">
        <f aca="false">IF($A498="","",DATE(YEAR($A498),MONTH($A498),1))</f>
        <v/>
      </c>
    </row>
    <row r="499" customFormat="false" ht="15" hidden="false" customHeight="false" outlineLevel="0" collapsed="false">
      <c r="A499" s="44"/>
      <c r="B499" s="6"/>
      <c r="C499" s="8" t="str">
        <f aca="false">IF($B499="","",IFERROR(INDEX(INSUMOS!$B$6:$B$205,MATCH($B499,INSUMOS!$A$6:$A$205,0)),"¿Código?"))</f>
        <v/>
      </c>
      <c r="D499" s="8" t="str">
        <f aca="false">IF($B499="","",IFERROR(INDEX(INSUMOS!$D$6:$D$205,MATCH($B499,INSUMOS!$A$6:$A$205,0)),""))</f>
        <v/>
      </c>
      <c r="E499" s="6"/>
      <c r="F499" s="39"/>
      <c r="G499" s="6"/>
      <c r="H499" s="6"/>
      <c r="I499" s="43" t="str">
        <f aca="false">IF($B499="","",IFERROR(INDEX(INSUMOS!$O$6:$O$205,MATCH($B499,INSUMOS!$A$6:$A$205,0)),0))</f>
        <v/>
      </c>
      <c r="J499" s="45" t="str">
        <f aca="false">IF($B499="","",IF($E499="Ajuste (+) sobrante",1,-1)*N($F499))</f>
        <v/>
      </c>
      <c r="K499" s="35" t="str">
        <f aca="false">IF($B499="","",$J499*$I499)</f>
        <v/>
      </c>
      <c r="L499" s="46" t="str">
        <f aca="false">IF($A499="","",DATE(YEAR($A499),MONTH($A499),1))</f>
        <v/>
      </c>
    </row>
    <row r="500" customFormat="false" ht="15" hidden="false" customHeight="false" outlineLevel="0" collapsed="false">
      <c r="A500" s="44"/>
      <c r="B500" s="6"/>
      <c r="C500" s="8" t="str">
        <f aca="false">IF($B500="","",IFERROR(INDEX(INSUMOS!$B$6:$B$205,MATCH($B500,INSUMOS!$A$6:$A$205,0)),"¿Código?"))</f>
        <v/>
      </c>
      <c r="D500" s="8" t="str">
        <f aca="false">IF($B500="","",IFERROR(INDEX(INSUMOS!$D$6:$D$205,MATCH($B500,INSUMOS!$A$6:$A$205,0)),""))</f>
        <v/>
      </c>
      <c r="E500" s="6"/>
      <c r="F500" s="39"/>
      <c r="G500" s="6"/>
      <c r="H500" s="6"/>
      <c r="I500" s="43" t="str">
        <f aca="false">IF($B500="","",IFERROR(INDEX(INSUMOS!$O$6:$O$205,MATCH($B500,INSUMOS!$A$6:$A$205,0)),0))</f>
        <v/>
      </c>
      <c r="J500" s="45" t="str">
        <f aca="false">IF($B500="","",IF($E500="Ajuste (+) sobrante",1,-1)*N($F500))</f>
        <v/>
      </c>
      <c r="K500" s="35" t="str">
        <f aca="false">IF($B500="","",$J500*$I500)</f>
        <v/>
      </c>
      <c r="L500" s="46" t="str">
        <f aca="false">IF($A500="","",DATE(YEAR($A500),MONTH($A500),1))</f>
        <v/>
      </c>
    </row>
    <row r="501" customFormat="false" ht="15" hidden="false" customHeight="false" outlineLevel="0" collapsed="false">
      <c r="A501" s="44"/>
      <c r="B501" s="6"/>
      <c r="C501" s="8" t="str">
        <f aca="false">IF($B501="","",IFERROR(INDEX(INSUMOS!$B$6:$B$205,MATCH($B501,INSUMOS!$A$6:$A$205,0)),"¿Código?"))</f>
        <v/>
      </c>
      <c r="D501" s="8" t="str">
        <f aca="false">IF($B501="","",IFERROR(INDEX(INSUMOS!$D$6:$D$205,MATCH($B501,INSUMOS!$A$6:$A$205,0)),""))</f>
        <v/>
      </c>
      <c r="E501" s="6"/>
      <c r="F501" s="39"/>
      <c r="G501" s="6"/>
      <c r="H501" s="6"/>
      <c r="I501" s="43" t="str">
        <f aca="false">IF($B501="","",IFERROR(INDEX(INSUMOS!$O$6:$O$205,MATCH($B501,INSUMOS!$A$6:$A$205,0)),0))</f>
        <v/>
      </c>
      <c r="J501" s="45" t="str">
        <f aca="false">IF($B501="","",IF($E501="Ajuste (+) sobrante",1,-1)*N($F501))</f>
        <v/>
      </c>
      <c r="K501" s="35" t="str">
        <f aca="false">IF($B501="","",$J501*$I501)</f>
        <v/>
      </c>
      <c r="L501" s="46" t="str">
        <f aca="false">IF($A501="","",DATE(YEAR($A501),MONTH($A501),1))</f>
        <v/>
      </c>
    </row>
    <row r="502" customFormat="false" ht="15" hidden="false" customHeight="false" outlineLevel="0" collapsed="false">
      <c r="A502" s="44"/>
      <c r="B502" s="6"/>
      <c r="C502" s="8" t="str">
        <f aca="false">IF($B502="","",IFERROR(INDEX(INSUMOS!$B$6:$B$205,MATCH($B502,INSUMOS!$A$6:$A$205,0)),"¿Código?"))</f>
        <v/>
      </c>
      <c r="D502" s="8" t="str">
        <f aca="false">IF($B502="","",IFERROR(INDEX(INSUMOS!$D$6:$D$205,MATCH($B502,INSUMOS!$A$6:$A$205,0)),""))</f>
        <v/>
      </c>
      <c r="E502" s="6"/>
      <c r="F502" s="39"/>
      <c r="G502" s="6"/>
      <c r="H502" s="6"/>
      <c r="I502" s="43" t="str">
        <f aca="false">IF($B502="","",IFERROR(INDEX(INSUMOS!$O$6:$O$205,MATCH($B502,INSUMOS!$A$6:$A$205,0)),0))</f>
        <v/>
      </c>
      <c r="J502" s="45" t="str">
        <f aca="false">IF($B502="","",IF($E502="Ajuste (+) sobrante",1,-1)*N($F502))</f>
        <v/>
      </c>
      <c r="K502" s="35" t="str">
        <f aca="false">IF($B502="","",$J502*$I502)</f>
        <v/>
      </c>
      <c r="L502" s="46" t="str">
        <f aca="false">IF($A502="","",DATE(YEAR($A502),MONTH($A502),1))</f>
        <v/>
      </c>
    </row>
    <row r="503" customFormat="false" ht="15" hidden="false" customHeight="false" outlineLevel="0" collapsed="false">
      <c r="A503" s="44"/>
      <c r="B503" s="6"/>
      <c r="C503" s="8" t="str">
        <f aca="false">IF($B503="","",IFERROR(INDEX(INSUMOS!$B$6:$B$205,MATCH($B503,INSUMOS!$A$6:$A$205,0)),"¿Código?"))</f>
        <v/>
      </c>
      <c r="D503" s="8" t="str">
        <f aca="false">IF($B503="","",IFERROR(INDEX(INSUMOS!$D$6:$D$205,MATCH($B503,INSUMOS!$A$6:$A$205,0)),""))</f>
        <v/>
      </c>
      <c r="E503" s="6"/>
      <c r="F503" s="39"/>
      <c r="G503" s="6"/>
      <c r="H503" s="6"/>
      <c r="I503" s="43" t="str">
        <f aca="false">IF($B503="","",IFERROR(INDEX(INSUMOS!$O$6:$O$205,MATCH($B503,INSUMOS!$A$6:$A$205,0)),0))</f>
        <v/>
      </c>
      <c r="J503" s="45" t="str">
        <f aca="false">IF($B503="","",IF($E503="Ajuste (+) sobrante",1,-1)*N($F503))</f>
        <v/>
      </c>
      <c r="K503" s="35" t="str">
        <f aca="false">IF($B503="","",$J503*$I503)</f>
        <v/>
      </c>
      <c r="L503" s="46" t="str">
        <f aca="false">IF($A503="","",DATE(YEAR($A503),MONTH($A503),1))</f>
        <v/>
      </c>
    </row>
    <row r="504" customFormat="false" ht="15" hidden="false" customHeight="false" outlineLevel="0" collapsed="false">
      <c r="A504" s="44"/>
      <c r="B504" s="6"/>
      <c r="C504" s="8" t="str">
        <f aca="false">IF($B504="","",IFERROR(INDEX(INSUMOS!$B$6:$B$205,MATCH($B504,INSUMOS!$A$6:$A$205,0)),"¿Código?"))</f>
        <v/>
      </c>
      <c r="D504" s="8" t="str">
        <f aca="false">IF($B504="","",IFERROR(INDEX(INSUMOS!$D$6:$D$205,MATCH($B504,INSUMOS!$A$6:$A$205,0)),""))</f>
        <v/>
      </c>
      <c r="E504" s="6"/>
      <c r="F504" s="39"/>
      <c r="G504" s="6"/>
      <c r="H504" s="6"/>
      <c r="I504" s="43" t="str">
        <f aca="false">IF($B504="","",IFERROR(INDEX(INSUMOS!$O$6:$O$205,MATCH($B504,INSUMOS!$A$6:$A$205,0)),0))</f>
        <v/>
      </c>
      <c r="J504" s="45" t="str">
        <f aca="false">IF($B504="","",IF($E504="Ajuste (+) sobrante",1,-1)*N($F504))</f>
        <v/>
      </c>
      <c r="K504" s="35" t="str">
        <f aca="false">IF($B504="","",$J504*$I504)</f>
        <v/>
      </c>
      <c r="L504" s="46" t="str">
        <f aca="false">IF($A504="","",DATE(YEAR($A504),MONTH($A504),1))</f>
        <v/>
      </c>
    </row>
    <row r="505" customFormat="false" ht="15" hidden="false" customHeight="false" outlineLevel="0" collapsed="false">
      <c r="A505" s="44"/>
      <c r="B505" s="6"/>
      <c r="C505" s="8" t="str">
        <f aca="false">IF($B505="","",IFERROR(INDEX(INSUMOS!$B$6:$B$205,MATCH($B505,INSUMOS!$A$6:$A$205,0)),"¿Código?"))</f>
        <v/>
      </c>
      <c r="D505" s="8" t="str">
        <f aca="false">IF($B505="","",IFERROR(INDEX(INSUMOS!$D$6:$D$205,MATCH($B505,INSUMOS!$A$6:$A$205,0)),""))</f>
        <v/>
      </c>
      <c r="E505" s="6"/>
      <c r="F505" s="39"/>
      <c r="G505" s="6"/>
      <c r="H505" s="6"/>
      <c r="I505" s="43" t="str">
        <f aca="false">IF($B505="","",IFERROR(INDEX(INSUMOS!$O$6:$O$205,MATCH($B505,INSUMOS!$A$6:$A$205,0)),0))</f>
        <v/>
      </c>
      <c r="J505" s="45" t="str">
        <f aca="false">IF($B505="","",IF($E505="Ajuste (+) sobrante",1,-1)*N($F505))</f>
        <v/>
      </c>
      <c r="K505" s="35" t="str">
        <f aca="false">IF($B505="","",$J505*$I505)</f>
        <v/>
      </c>
      <c r="L505" s="46" t="str">
        <f aca="false">IF($A505="","",DATE(YEAR($A505),MONTH($A505),1))</f>
        <v/>
      </c>
    </row>
  </sheetData>
  <autoFilter ref="A5:L505"/>
  <dataValidations count="2">
    <dataValidation allowBlank="true" error="Elija un valor de la lista" errorStyle="stop" operator="between" showDropDown="false" showErrorMessage="false" showInputMessage="false" sqref="B6:B505" type="list">
      <formula1>INSUMOS!$A$6:$A$205</formula1>
      <formula2>0</formula2>
    </dataValidation>
    <dataValidation allowBlank="true" error="Elija un valor de la lista" errorStyle="stop" operator="between" showDropDown="false" showErrorMessage="false" showInputMessage="false" sqref="E6:E505" type="list">
      <formula1>CONFIG!$J$6:$J$20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S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7" min="14" style="0" width="10"/>
    <col collapsed="false" customWidth="true" hidden="false" outlineLevel="0" max="18" min="18" style="0" width="13"/>
    <col collapsed="false" customWidth="true" hidden="false" outlineLevel="0" max="19" min="19" style="0" width="10"/>
  </cols>
  <sheetData>
    <row r="1" customFormat="false" ht="19.7" hidden="false" customHeight="false" outlineLevel="0" collapsed="false">
      <c r="A1" s="1" t="s">
        <v>428</v>
      </c>
    </row>
    <row r="2" customFormat="false" ht="15" hidden="false" customHeight="false" outlineLevel="0" collapsed="false">
      <c r="A2" s="2" t="s">
        <v>429</v>
      </c>
    </row>
    <row r="4" customFormat="false" ht="15" hidden="false" customHeight="false" outlineLevel="0" collapsed="false">
      <c r="H4" s="3" t="s">
        <v>430</v>
      </c>
      <c r="I4" s="38" t="n">
        <f aca="false">SUMIFS(I6:I505,S6:S505,MES_REPORTE)</f>
        <v>1156000</v>
      </c>
      <c r="L4" s="38" t="n">
        <f aca="false">SUMIFS(L6:L505,S6:S505,MES_REPORTE)</f>
        <v>1032654.8</v>
      </c>
      <c r="R4" s="38" t="n">
        <f aca="false">SUMIFS(R6:R505,S6:S505,MES_REPORTE)</f>
        <v>1689725.2</v>
      </c>
    </row>
    <row r="5" customFormat="false" ht="42" hidden="false" customHeight="true" outlineLevel="0" collapsed="false">
      <c r="A5" s="16" t="s">
        <v>431</v>
      </c>
      <c r="B5" s="16" t="s">
        <v>432</v>
      </c>
      <c r="C5" s="16" t="s">
        <v>433</v>
      </c>
      <c r="D5" s="16" t="s">
        <v>434</v>
      </c>
      <c r="E5" s="16" t="s">
        <v>435</v>
      </c>
      <c r="F5" s="15" t="s">
        <v>436</v>
      </c>
      <c r="G5" s="15" t="s">
        <v>437</v>
      </c>
      <c r="H5" s="16" t="s">
        <v>438</v>
      </c>
      <c r="I5" s="15" t="s">
        <v>439</v>
      </c>
      <c r="J5" s="15" t="s">
        <v>440</v>
      </c>
      <c r="K5" s="16" t="s">
        <v>441</v>
      </c>
      <c r="L5" s="15" t="s">
        <v>442</v>
      </c>
      <c r="M5" s="15" t="s">
        <v>443</v>
      </c>
      <c r="N5" s="15" t="s">
        <v>444</v>
      </c>
      <c r="O5" s="15" t="s">
        <v>130</v>
      </c>
      <c r="P5" s="15" t="s">
        <v>132</v>
      </c>
      <c r="Q5" s="15" t="s">
        <v>445</v>
      </c>
      <c r="R5" s="15" t="s">
        <v>446</v>
      </c>
      <c r="S5" s="15" t="s">
        <v>447</v>
      </c>
    </row>
    <row r="6" customFormat="false" ht="15" hidden="false" customHeight="false" outlineLevel="0" collapsed="false">
      <c r="A6" s="55" t="n">
        <v>46296</v>
      </c>
      <c r="B6" s="6" t="s">
        <v>448</v>
      </c>
      <c r="C6" s="6" t="s">
        <v>449</v>
      </c>
      <c r="D6" s="40" t="n">
        <v>520000</v>
      </c>
      <c r="E6" s="39" t="n">
        <v>8</v>
      </c>
      <c r="F6" s="35" t="n">
        <f aca="false">IF($B6="","",N($D6)/HORAS_MES*RECARGO_HE)</f>
        <v>3250</v>
      </c>
      <c r="G6" s="35" t="n">
        <f aca="false">IF($B6="","",N($E6)*$F6)</f>
        <v>26000</v>
      </c>
      <c r="H6" s="40" t="n">
        <v>0</v>
      </c>
      <c r="I6" s="35" t="n">
        <f aca="false">IF($B6="","",N($D6)+$G6+N($H6))</f>
        <v>546000</v>
      </c>
      <c r="J6" s="35" t="n">
        <f aca="false">IF($B6="","",$I6*CCSS_OBRERO)</f>
        <v>58258.2</v>
      </c>
      <c r="K6" s="40"/>
      <c r="L6" s="35" t="n">
        <f aca="false">IF($B6="","",$I6-$J6-N($K6))</f>
        <v>487741.8</v>
      </c>
      <c r="M6" s="35" t="n">
        <f aca="false">IF($B6="","",$I6*CCSS_PATRONAL)</f>
        <v>144690</v>
      </c>
      <c r="N6" s="35" t="n">
        <f aca="false">IF($B6="","",$I6*INS_RT)</f>
        <v>10101</v>
      </c>
      <c r="O6" s="35" t="n">
        <f aca="false">IF($B6="","",$I6*PROV_AGUINALDO)</f>
        <v>45481.8</v>
      </c>
      <c r="P6" s="35" t="n">
        <f aca="false">IF($B6="","",$I6*PROV_VACACIONES)</f>
        <v>22713.6</v>
      </c>
      <c r="Q6" s="35" t="n">
        <f aca="false">IF($B6="","",$I6*PROV_CESANTIA)</f>
        <v>29101.8</v>
      </c>
      <c r="R6" s="35" t="n">
        <f aca="false">IF($B6="","",$I6+SUM($M6:$Q6))</f>
        <v>798088.2</v>
      </c>
      <c r="S6" s="46" t="n">
        <f aca="false">IF(OR($A6="",$B6=""),"",DATE(YEAR($A6),MONTH($A6),1))</f>
        <v>46296</v>
      </c>
    </row>
    <row r="7" customFormat="false" ht="15" hidden="false" customHeight="false" outlineLevel="0" collapsed="false">
      <c r="A7" s="55" t="n">
        <v>46296</v>
      </c>
      <c r="B7" s="6" t="s">
        <v>450</v>
      </c>
      <c r="C7" s="6" t="s">
        <v>451</v>
      </c>
      <c r="D7" s="40" t="n">
        <v>400000</v>
      </c>
      <c r="E7" s="39" t="n">
        <v>4</v>
      </c>
      <c r="F7" s="35" t="n">
        <f aca="false">IF($B7="","",N($D7)/HORAS_MES*RECARGO_HE)</f>
        <v>2500</v>
      </c>
      <c r="G7" s="35" t="n">
        <f aca="false">IF($B7="","",N($E7)*$F7)</f>
        <v>10000</v>
      </c>
      <c r="H7" s="40" t="n">
        <v>0</v>
      </c>
      <c r="I7" s="35" t="n">
        <f aca="false">IF($B7="","",N($D7)+$G7+N($H7))</f>
        <v>410000</v>
      </c>
      <c r="J7" s="35" t="n">
        <f aca="false">IF($B7="","",$I7*CCSS_OBRERO)</f>
        <v>43747</v>
      </c>
      <c r="K7" s="40"/>
      <c r="L7" s="35" t="n">
        <f aca="false">IF($B7="","",$I7-$J7-N($K7))</f>
        <v>366253</v>
      </c>
      <c r="M7" s="35" t="n">
        <f aca="false">IF($B7="","",$I7*CCSS_PATRONAL)</f>
        <v>108650</v>
      </c>
      <c r="N7" s="35" t="n">
        <f aca="false">IF($B7="","",$I7*INS_RT)</f>
        <v>7585</v>
      </c>
      <c r="O7" s="35" t="n">
        <f aca="false">IF($B7="","",$I7*PROV_AGUINALDO)</f>
        <v>34153</v>
      </c>
      <c r="P7" s="35" t="n">
        <f aca="false">IF($B7="","",$I7*PROV_VACACIONES)</f>
        <v>17056</v>
      </c>
      <c r="Q7" s="35" t="n">
        <f aca="false">IF($B7="","",$I7*PROV_CESANTIA)</f>
        <v>21853</v>
      </c>
      <c r="R7" s="35" t="n">
        <f aca="false">IF($B7="","",$I7+SUM($M7:$Q7))</f>
        <v>599297</v>
      </c>
      <c r="S7" s="46" t="n">
        <f aca="false">IF(OR($A7="",$B7=""),"",DATE(YEAR($A7),MONTH($A7),1))</f>
        <v>46296</v>
      </c>
    </row>
    <row r="8" customFormat="false" ht="15" hidden="false" customHeight="false" outlineLevel="0" collapsed="false">
      <c r="A8" s="55" t="n">
        <v>46296</v>
      </c>
      <c r="B8" s="6" t="s">
        <v>452</v>
      </c>
      <c r="C8" s="6" t="s">
        <v>453</v>
      </c>
      <c r="D8" s="40" t="n">
        <v>200000</v>
      </c>
      <c r="E8" s="39" t="n">
        <v>0</v>
      </c>
      <c r="F8" s="35" t="n">
        <f aca="false">IF($B8="","",N($D8)/HORAS_MES*RECARGO_HE)</f>
        <v>1250</v>
      </c>
      <c r="G8" s="35" t="n">
        <f aca="false">IF($B8="","",N($E8)*$F8)</f>
        <v>0</v>
      </c>
      <c r="H8" s="40" t="n">
        <v>0</v>
      </c>
      <c r="I8" s="35" t="n">
        <f aca="false">IF($B8="","",N($D8)+$G8+N($H8))</f>
        <v>200000</v>
      </c>
      <c r="J8" s="35" t="n">
        <f aca="false">IF($B8="","",$I8*CCSS_OBRERO)</f>
        <v>21340</v>
      </c>
      <c r="K8" s="40"/>
      <c r="L8" s="35" t="n">
        <f aca="false">IF($B8="","",$I8-$J8-N($K8))</f>
        <v>178660</v>
      </c>
      <c r="M8" s="35" t="n">
        <f aca="false">IF($B8="","",$I8*CCSS_PATRONAL)</f>
        <v>53000</v>
      </c>
      <c r="N8" s="35" t="n">
        <f aca="false">IF($B8="","",$I8*INS_RT)</f>
        <v>3700</v>
      </c>
      <c r="O8" s="35" t="n">
        <f aca="false">IF($B8="","",$I8*PROV_AGUINALDO)</f>
        <v>16660</v>
      </c>
      <c r="P8" s="35" t="n">
        <f aca="false">IF($B8="","",$I8*PROV_VACACIONES)</f>
        <v>8320</v>
      </c>
      <c r="Q8" s="35" t="n">
        <f aca="false">IF($B8="","",$I8*PROV_CESANTIA)</f>
        <v>10660</v>
      </c>
      <c r="R8" s="35" t="n">
        <f aca="false">IF($B8="","",$I8+SUM($M8:$Q8))</f>
        <v>292340</v>
      </c>
      <c r="S8" s="46" t="n">
        <f aca="false">IF(OR($A8="",$B8=""),"",DATE(YEAR($A8),MONTH($A8),1))</f>
        <v>46296</v>
      </c>
    </row>
    <row r="9" customFormat="false" ht="15" hidden="false" customHeight="false" outlineLevel="0" collapsed="false">
      <c r="A9" s="55"/>
      <c r="B9" s="6"/>
      <c r="C9" s="6"/>
      <c r="D9" s="40"/>
      <c r="E9" s="39"/>
      <c r="F9" s="35" t="str">
        <f aca="false">IF($B9="","",N($D9)/HORAS_MES*RECARGO_HE)</f>
        <v/>
      </c>
      <c r="G9" s="35" t="str">
        <f aca="false">IF($B9="","",N($E9)*$F9)</f>
        <v/>
      </c>
      <c r="H9" s="40"/>
      <c r="I9" s="35" t="str">
        <f aca="false">IF($B9="","",N($D9)+$G9+N($H9))</f>
        <v/>
      </c>
      <c r="J9" s="35" t="str">
        <f aca="false">IF($B9="","",$I9*CCSS_OBRERO)</f>
        <v/>
      </c>
      <c r="K9" s="40"/>
      <c r="L9" s="35" t="str">
        <f aca="false">IF($B9="","",$I9-$J9-N($K9))</f>
        <v/>
      </c>
      <c r="M9" s="35" t="str">
        <f aca="false">IF($B9="","",$I9*CCSS_PATRONAL)</f>
        <v/>
      </c>
      <c r="N9" s="35" t="str">
        <f aca="false">IF($B9="","",$I9*INS_RT)</f>
        <v/>
      </c>
      <c r="O9" s="35" t="str">
        <f aca="false">IF($B9="","",$I9*PROV_AGUINALDO)</f>
        <v/>
      </c>
      <c r="P9" s="35" t="str">
        <f aca="false">IF($B9="","",$I9*PROV_VACACIONES)</f>
        <v/>
      </c>
      <c r="Q9" s="35" t="str">
        <f aca="false">IF($B9="","",$I9*PROV_CESANTIA)</f>
        <v/>
      </c>
      <c r="R9" s="35" t="str">
        <f aca="false">IF($B9="","",$I9+SUM($M9:$Q9))</f>
        <v/>
      </c>
      <c r="S9" s="46" t="str">
        <f aca="false">IF(OR($A9="",$B9=""),"",DATE(YEAR($A9),MONTH($A9),1))</f>
        <v/>
      </c>
    </row>
    <row r="10" customFormat="false" ht="15" hidden="false" customHeight="false" outlineLevel="0" collapsed="false">
      <c r="A10" s="55"/>
      <c r="B10" s="6"/>
      <c r="C10" s="6"/>
      <c r="D10" s="40"/>
      <c r="E10" s="39"/>
      <c r="F10" s="35" t="str">
        <f aca="false">IF($B10="","",N($D10)/HORAS_MES*RECARGO_HE)</f>
        <v/>
      </c>
      <c r="G10" s="35" t="str">
        <f aca="false">IF($B10="","",N($E10)*$F10)</f>
        <v/>
      </c>
      <c r="H10" s="40"/>
      <c r="I10" s="35" t="str">
        <f aca="false">IF($B10="","",N($D10)+$G10+N($H10))</f>
        <v/>
      </c>
      <c r="J10" s="35" t="str">
        <f aca="false">IF($B10="","",$I10*CCSS_OBRERO)</f>
        <v/>
      </c>
      <c r="K10" s="40"/>
      <c r="L10" s="35" t="str">
        <f aca="false">IF($B10="","",$I10-$J10-N($K10))</f>
        <v/>
      </c>
      <c r="M10" s="35" t="str">
        <f aca="false">IF($B10="","",$I10*CCSS_PATRONAL)</f>
        <v/>
      </c>
      <c r="N10" s="35" t="str">
        <f aca="false">IF($B10="","",$I10*INS_RT)</f>
        <v/>
      </c>
      <c r="O10" s="35" t="str">
        <f aca="false">IF($B10="","",$I10*PROV_AGUINALDO)</f>
        <v/>
      </c>
      <c r="P10" s="35" t="str">
        <f aca="false">IF($B10="","",$I10*PROV_VACACIONES)</f>
        <v/>
      </c>
      <c r="Q10" s="35" t="str">
        <f aca="false">IF($B10="","",$I10*PROV_CESANTIA)</f>
        <v/>
      </c>
      <c r="R10" s="35" t="str">
        <f aca="false">IF($B10="","",$I10+SUM($M10:$Q10))</f>
        <v/>
      </c>
      <c r="S10" s="46" t="str">
        <f aca="false">IF(OR($A10="",$B10=""),"",DATE(YEAR($A10),MONTH($A10),1))</f>
        <v/>
      </c>
    </row>
    <row r="11" customFormat="false" ht="15" hidden="false" customHeight="false" outlineLevel="0" collapsed="false">
      <c r="A11" s="55"/>
      <c r="B11" s="6"/>
      <c r="C11" s="6"/>
      <c r="D11" s="40"/>
      <c r="E11" s="39"/>
      <c r="F11" s="35" t="str">
        <f aca="false">IF($B11="","",N($D11)/HORAS_MES*RECARGO_HE)</f>
        <v/>
      </c>
      <c r="G11" s="35" t="str">
        <f aca="false">IF($B11="","",N($E11)*$F11)</f>
        <v/>
      </c>
      <c r="H11" s="40"/>
      <c r="I11" s="35" t="str">
        <f aca="false">IF($B11="","",N($D11)+$G11+N($H11))</f>
        <v/>
      </c>
      <c r="J11" s="35" t="str">
        <f aca="false">IF($B11="","",$I11*CCSS_OBRERO)</f>
        <v/>
      </c>
      <c r="K11" s="40"/>
      <c r="L11" s="35" t="str">
        <f aca="false">IF($B11="","",$I11-$J11-N($K11))</f>
        <v/>
      </c>
      <c r="M11" s="35" t="str">
        <f aca="false">IF($B11="","",$I11*CCSS_PATRONAL)</f>
        <v/>
      </c>
      <c r="N11" s="35" t="str">
        <f aca="false">IF($B11="","",$I11*INS_RT)</f>
        <v/>
      </c>
      <c r="O11" s="35" t="str">
        <f aca="false">IF($B11="","",$I11*PROV_AGUINALDO)</f>
        <v/>
      </c>
      <c r="P11" s="35" t="str">
        <f aca="false">IF($B11="","",$I11*PROV_VACACIONES)</f>
        <v/>
      </c>
      <c r="Q11" s="35" t="str">
        <f aca="false">IF($B11="","",$I11*PROV_CESANTIA)</f>
        <v/>
      </c>
      <c r="R11" s="35" t="str">
        <f aca="false">IF($B11="","",$I11+SUM($M11:$Q11))</f>
        <v/>
      </c>
      <c r="S11" s="46" t="str">
        <f aca="false">IF(OR($A11="",$B11=""),"",DATE(YEAR($A11),MONTH($A11),1))</f>
        <v/>
      </c>
    </row>
    <row r="12" customFormat="false" ht="15" hidden="false" customHeight="false" outlineLevel="0" collapsed="false">
      <c r="A12" s="55"/>
      <c r="B12" s="6"/>
      <c r="C12" s="6"/>
      <c r="D12" s="40"/>
      <c r="E12" s="39"/>
      <c r="F12" s="35" t="str">
        <f aca="false">IF($B12="","",N($D12)/HORAS_MES*RECARGO_HE)</f>
        <v/>
      </c>
      <c r="G12" s="35" t="str">
        <f aca="false">IF($B12="","",N($E12)*$F12)</f>
        <v/>
      </c>
      <c r="H12" s="40"/>
      <c r="I12" s="35" t="str">
        <f aca="false">IF($B12="","",N($D12)+$G12+N($H12))</f>
        <v/>
      </c>
      <c r="J12" s="35" t="str">
        <f aca="false">IF($B12="","",$I12*CCSS_OBRERO)</f>
        <v/>
      </c>
      <c r="K12" s="40"/>
      <c r="L12" s="35" t="str">
        <f aca="false">IF($B12="","",$I12-$J12-N($K12))</f>
        <v/>
      </c>
      <c r="M12" s="35" t="str">
        <f aca="false">IF($B12="","",$I12*CCSS_PATRONAL)</f>
        <v/>
      </c>
      <c r="N12" s="35" t="str">
        <f aca="false">IF($B12="","",$I12*INS_RT)</f>
        <v/>
      </c>
      <c r="O12" s="35" t="str">
        <f aca="false">IF($B12="","",$I12*PROV_AGUINALDO)</f>
        <v/>
      </c>
      <c r="P12" s="35" t="str">
        <f aca="false">IF($B12="","",$I12*PROV_VACACIONES)</f>
        <v/>
      </c>
      <c r="Q12" s="35" t="str">
        <f aca="false">IF($B12="","",$I12*PROV_CESANTIA)</f>
        <v/>
      </c>
      <c r="R12" s="35" t="str">
        <f aca="false">IF($B12="","",$I12+SUM($M12:$Q12))</f>
        <v/>
      </c>
      <c r="S12" s="46" t="str">
        <f aca="false">IF(OR($A12="",$B12=""),"",DATE(YEAR($A12),MONTH($A12),1))</f>
        <v/>
      </c>
    </row>
    <row r="13" customFormat="false" ht="15" hidden="false" customHeight="false" outlineLevel="0" collapsed="false">
      <c r="A13" s="55"/>
      <c r="B13" s="6"/>
      <c r="C13" s="6"/>
      <c r="D13" s="40"/>
      <c r="E13" s="39"/>
      <c r="F13" s="35" t="str">
        <f aca="false">IF($B13="","",N($D13)/HORAS_MES*RECARGO_HE)</f>
        <v/>
      </c>
      <c r="G13" s="35" t="str">
        <f aca="false">IF($B13="","",N($E13)*$F13)</f>
        <v/>
      </c>
      <c r="H13" s="40"/>
      <c r="I13" s="35" t="str">
        <f aca="false">IF($B13="","",N($D13)+$G13+N($H13))</f>
        <v/>
      </c>
      <c r="J13" s="35" t="str">
        <f aca="false">IF($B13="","",$I13*CCSS_OBRERO)</f>
        <v/>
      </c>
      <c r="K13" s="40"/>
      <c r="L13" s="35" t="str">
        <f aca="false">IF($B13="","",$I13-$J13-N($K13))</f>
        <v/>
      </c>
      <c r="M13" s="35" t="str">
        <f aca="false">IF($B13="","",$I13*CCSS_PATRONAL)</f>
        <v/>
      </c>
      <c r="N13" s="35" t="str">
        <f aca="false">IF($B13="","",$I13*INS_RT)</f>
        <v/>
      </c>
      <c r="O13" s="35" t="str">
        <f aca="false">IF($B13="","",$I13*PROV_AGUINALDO)</f>
        <v/>
      </c>
      <c r="P13" s="35" t="str">
        <f aca="false">IF($B13="","",$I13*PROV_VACACIONES)</f>
        <v/>
      </c>
      <c r="Q13" s="35" t="str">
        <f aca="false">IF($B13="","",$I13*PROV_CESANTIA)</f>
        <v/>
      </c>
      <c r="R13" s="35" t="str">
        <f aca="false">IF($B13="","",$I13+SUM($M13:$Q13))</f>
        <v/>
      </c>
      <c r="S13" s="46" t="str">
        <f aca="false">IF(OR($A13="",$B13=""),"",DATE(YEAR($A13),MONTH($A13),1))</f>
        <v/>
      </c>
    </row>
    <row r="14" customFormat="false" ht="15" hidden="false" customHeight="false" outlineLevel="0" collapsed="false">
      <c r="A14" s="55"/>
      <c r="B14" s="6"/>
      <c r="C14" s="6"/>
      <c r="D14" s="40"/>
      <c r="E14" s="39"/>
      <c r="F14" s="35" t="str">
        <f aca="false">IF($B14="","",N($D14)/HORAS_MES*RECARGO_HE)</f>
        <v/>
      </c>
      <c r="G14" s="35" t="str">
        <f aca="false">IF($B14="","",N($E14)*$F14)</f>
        <v/>
      </c>
      <c r="H14" s="40"/>
      <c r="I14" s="35" t="str">
        <f aca="false">IF($B14="","",N($D14)+$G14+N($H14))</f>
        <v/>
      </c>
      <c r="J14" s="35" t="str">
        <f aca="false">IF($B14="","",$I14*CCSS_OBRERO)</f>
        <v/>
      </c>
      <c r="K14" s="40"/>
      <c r="L14" s="35" t="str">
        <f aca="false">IF($B14="","",$I14-$J14-N($K14))</f>
        <v/>
      </c>
      <c r="M14" s="35" t="str">
        <f aca="false">IF($B14="","",$I14*CCSS_PATRONAL)</f>
        <v/>
      </c>
      <c r="N14" s="35" t="str">
        <f aca="false">IF($B14="","",$I14*INS_RT)</f>
        <v/>
      </c>
      <c r="O14" s="35" t="str">
        <f aca="false">IF($B14="","",$I14*PROV_AGUINALDO)</f>
        <v/>
      </c>
      <c r="P14" s="35" t="str">
        <f aca="false">IF($B14="","",$I14*PROV_VACACIONES)</f>
        <v/>
      </c>
      <c r="Q14" s="35" t="str">
        <f aca="false">IF($B14="","",$I14*PROV_CESANTIA)</f>
        <v/>
      </c>
      <c r="R14" s="35" t="str">
        <f aca="false">IF($B14="","",$I14+SUM($M14:$Q14))</f>
        <v/>
      </c>
      <c r="S14" s="46" t="str">
        <f aca="false">IF(OR($A14="",$B14=""),"",DATE(YEAR($A14),MONTH($A14),1))</f>
        <v/>
      </c>
    </row>
    <row r="15" customFormat="false" ht="15" hidden="false" customHeight="false" outlineLevel="0" collapsed="false">
      <c r="A15" s="55"/>
      <c r="B15" s="6"/>
      <c r="C15" s="6"/>
      <c r="D15" s="40"/>
      <c r="E15" s="39"/>
      <c r="F15" s="35" t="str">
        <f aca="false">IF($B15="","",N($D15)/HORAS_MES*RECARGO_HE)</f>
        <v/>
      </c>
      <c r="G15" s="35" t="str">
        <f aca="false">IF($B15="","",N($E15)*$F15)</f>
        <v/>
      </c>
      <c r="H15" s="40"/>
      <c r="I15" s="35" t="str">
        <f aca="false">IF($B15="","",N($D15)+$G15+N($H15))</f>
        <v/>
      </c>
      <c r="J15" s="35" t="str">
        <f aca="false">IF($B15="","",$I15*CCSS_OBRERO)</f>
        <v/>
      </c>
      <c r="K15" s="40"/>
      <c r="L15" s="35" t="str">
        <f aca="false">IF($B15="","",$I15-$J15-N($K15))</f>
        <v/>
      </c>
      <c r="M15" s="35" t="str">
        <f aca="false">IF($B15="","",$I15*CCSS_PATRONAL)</f>
        <v/>
      </c>
      <c r="N15" s="35" t="str">
        <f aca="false">IF($B15="","",$I15*INS_RT)</f>
        <v/>
      </c>
      <c r="O15" s="35" t="str">
        <f aca="false">IF($B15="","",$I15*PROV_AGUINALDO)</f>
        <v/>
      </c>
      <c r="P15" s="35" t="str">
        <f aca="false">IF($B15="","",$I15*PROV_VACACIONES)</f>
        <v/>
      </c>
      <c r="Q15" s="35" t="str">
        <f aca="false">IF($B15="","",$I15*PROV_CESANTIA)</f>
        <v/>
      </c>
      <c r="R15" s="35" t="str">
        <f aca="false">IF($B15="","",$I15+SUM($M15:$Q15))</f>
        <v/>
      </c>
      <c r="S15" s="46" t="str">
        <f aca="false">IF(OR($A15="",$B15=""),"",DATE(YEAR($A15),MONTH($A15),1))</f>
        <v/>
      </c>
    </row>
    <row r="16" customFormat="false" ht="15" hidden="false" customHeight="false" outlineLevel="0" collapsed="false">
      <c r="A16" s="55"/>
      <c r="B16" s="6"/>
      <c r="C16" s="6"/>
      <c r="D16" s="40"/>
      <c r="E16" s="39"/>
      <c r="F16" s="35" t="str">
        <f aca="false">IF($B16="","",N($D16)/HORAS_MES*RECARGO_HE)</f>
        <v/>
      </c>
      <c r="G16" s="35" t="str">
        <f aca="false">IF($B16="","",N($E16)*$F16)</f>
        <v/>
      </c>
      <c r="H16" s="40"/>
      <c r="I16" s="35" t="str">
        <f aca="false">IF($B16="","",N($D16)+$G16+N($H16))</f>
        <v/>
      </c>
      <c r="J16" s="35" t="str">
        <f aca="false">IF($B16="","",$I16*CCSS_OBRERO)</f>
        <v/>
      </c>
      <c r="K16" s="40"/>
      <c r="L16" s="35" t="str">
        <f aca="false">IF($B16="","",$I16-$J16-N($K16))</f>
        <v/>
      </c>
      <c r="M16" s="35" t="str">
        <f aca="false">IF($B16="","",$I16*CCSS_PATRONAL)</f>
        <v/>
      </c>
      <c r="N16" s="35" t="str">
        <f aca="false">IF($B16="","",$I16*INS_RT)</f>
        <v/>
      </c>
      <c r="O16" s="35" t="str">
        <f aca="false">IF($B16="","",$I16*PROV_AGUINALDO)</f>
        <v/>
      </c>
      <c r="P16" s="35" t="str">
        <f aca="false">IF($B16="","",$I16*PROV_VACACIONES)</f>
        <v/>
      </c>
      <c r="Q16" s="35" t="str">
        <f aca="false">IF($B16="","",$I16*PROV_CESANTIA)</f>
        <v/>
      </c>
      <c r="R16" s="35" t="str">
        <f aca="false">IF($B16="","",$I16+SUM($M16:$Q16))</f>
        <v/>
      </c>
      <c r="S16" s="46" t="str">
        <f aca="false">IF(OR($A16="",$B16=""),"",DATE(YEAR($A16),MONTH($A16),1))</f>
        <v/>
      </c>
    </row>
    <row r="17" customFormat="false" ht="15" hidden="false" customHeight="false" outlineLevel="0" collapsed="false">
      <c r="A17" s="55"/>
      <c r="B17" s="6"/>
      <c r="C17" s="6"/>
      <c r="D17" s="40"/>
      <c r="E17" s="39"/>
      <c r="F17" s="35" t="str">
        <f aca="false">IF($B17="","",N($D17)/HORAS_MES*RECARGO_HE)</f>
        <v/>
      </c>
      <c r="G17" s="35" t="str">
        <f aca="false">IF($B17="","",N($E17)*$F17)</f>
        <v/>
      </c>
      <c r="H17" s="40"/>
      <c r="I17" s="35" t="str">
        <f aca="false">IF($B17="","",N($D17)+$G17+N($H17))</f>
        <v/>
      </c>
      <c r="J17" s="35" t="str">
        <f aca="false">IF($B17="","",$I17*CCSS_OBRERO)</f>
        <v/>
      </c>
      <c r="K17" s="40"/>
      <c r="L17" s="35" t="str">
        <f aca="false">IF($B17="","",$I17-$J17-N($K17))</f>
        <v/>
      </c>
      <c r="M17" s="35" t="str">
        <f aca="false">IF($B17="","",$I17*CCSS_PATRONAL)</f>
        <v/>
      </c>
      <c r="N17" s="35" t="str">
        <f aca="false">IF($B17="","",$I17*INS_RT)</f>
        <v/>
      </c>
      <c r="O17" s="35" t="str">
        <f aca="false">IF($B17="","",$I17*PROV_AGUINALDO)</f>
        <v/>
      </c>
      <c r="P17" s="35" t="str">
        <f aca="false">IF($B17="","",$I17*PROV_VACACIONES)</f>
        <v/>
      </c>
      <c r="Q17" s="35" t="str">
        <f aca="false">IF($B17="","",$I17*PROV_CESANTIA)</f>
        <v/>
      </c>
      <c r="R17" s="35" t="str">
        <f aca="false">IF($B17="","",$I17+SUM($M17:$Q17))</f>
        <v/>
      </c>
      <c r="S17" s="46" t="str">
        <f aca="false">IF(OR($A17="",$B17=""),"",DATE(YEAR($A17),MONTH($A17),1))</f>
        <v/>
      </c>
    </row>
    <row r="18" customFormat="false" ht="15" hidden="false" customHeight="false" outlineLevel="0" collapsed="false">
      <c r="A18" s="55"/>
      <c r="B18" s="6"/>
      <c r="C18" s="6"/>
      <c r="D18" s="40"/>
      <c r="E18" s="39"/>
      <c r="F18" s="35" t="str">
        <f aca="false">IF($B18="","",N($D18)/HORAS_MES*RECARGO_HE)</f>
        <v/>
      </c>
      <c r="G18" s="35" t="str">
        <f aca="false">IF($B18="","",N($E18)*$F18)</f>
        <v/>
      </c>
      <c r="H18" s="40"/>
      <c r="I18" s="35" t="str">
        <f aca="false">IF($B18="","",N($D18)+$G18+N($H18))</f>
        <v/>
      </c>
      <c r="J18" s="35" t="str">
        <f aca="false">IF($B18="","",$I18*CCSS_OBRERO)</f>
        <v/>
      </c>
      <c r="K18" s="40"/>
      <c r="L18" s="35" t="str">
        <f aca="false">IF($B18="","",$I18-$J18-N($K18))</f>
        <v/>
      </c>
      <c r="M18" s="35" t="str">
        <f aca="false">IF($B18="","",$I18*CCSS_PATRONAL)</f>
        <v/>
      </c>
      <c r="N18" s="35" t="str">
        <f aca="false">IF($B18="","",$I18*INS_RT)</f>
        <v/>
      </c>
      <c r="O18" s="35" t="str">
        <f aca="false">IF($B18="","",$I18*PROV_AGUINALDO)</f>
        <v/>
      </c>
      <c r="P18" s="35" t="str">
        <f aca="false">IF($B18="","",$I18*PROV_VACACIONES)</f>
        <v/>
      </c>
      <c r="Q18" s="35" t="str">
        <f aca="false">IF($B18="","",$I18*PROV_CESANTIA)</f>
        <v/>
      </c>
      <c r="R18" s="35" t="str">
        <f aca="false">IF($B18="","",$I18+SUM($M18:$Q18))</f>
        <v/>
      </c>
      <c r="S18" s="46" t="str">
        <f aca="false">IF(OR($A18="",$B18=""),"",DATE(YEAR($A18),MONTH($A18),1))</f>
        <v/>
      </c>
    </row>
    <row r="19" customFormat="false" ht="15" hidden="false" customHeight="false" outlineLevel="0" collapsed="false">
      <c r="A19" s="55"/>
      <c r="B19" s="6"/>
      <c r="C19" s="6"/>
      <c r="D19" s="40"/>
      <c r="E19" s="39"/>
      <c r="F19" s="35" t="str">
        <f aca="false">IF($B19="","",N($D19)/HORAS_MES*RECARGO_HE)</f>
        <v/>
      </c>
      <c r="G19" s="35" t="str">
        <f aca="false">IF($B19="","",N($E19)*$F19)</f>
        <v/>
      </c>
      <c r="H19" s="40"/>
      <c r="I19" s="35" t="str">
        <f aca="false">IF($B19="","",N($D19)+$G19+N($H19))</f>
        <v/>
      </c>
      <c r="J19" s="35" t="str">
        <f aca="false">IF($B19="","",$I19*CCSS_OBRERO)</f>
        <v/>
      </c>
      <c r="K19" s="40"/>
      <c r="L19" s="35" t="str">
        <f aca="false">IF($B19="","",$I19-$J19-N($K19))</f>
        <v/>
      </c>
      <c r="M19" s="35" t="str">
        <f aca="false">IF($B19="","",$I19*CCSS_PATRONAL)</f>
        <v/>
      </c>
      <c r="N19" s="35" t="str">
        <f aca="false">IF($B19="","",$I19*INS_RT)</f>
        <v/>
      </c>
      <c r="O19" s="35" t="str">
        <f aca="false">IF($B19="","",$I19*PROV_AGUINALDO)</f>
        <v/>
      </c>
      <c r="P19" s="35" t="str">
        <f aca="false">IF($B19="","",$I19*PROV_VACACIONES)</f>
        <v/>
      </c>
      <c r="Q19" s="35" t="str">
        <f aca="false">IF($B19="","",$I19*PROV_CESANTIA)</f>
        <v/>
      </c>
      <c r="R19" s="35" t="str">
        <f aca="false">IF($B19="","",$I19+SUM($M19:$Q19))</f>
        <v/>
      </c>
      <c r="S19" s="46" t="str">
        <f aca="false">IF(OR($A19="",$B19=""),"",DATE(YEAR($A19),MONTH($A19),1))</f>
        <v/>
      </c>
    </row>
    <row r="20" customFormat="false" ht="15" hidden="false" customHeight="false" outlineLevel="0" collapsed="false">
      <c r="A20" s="55"/>
      <c r="B20" s="6"/>
      <c r="C20" s="6"/>
      <c r="D20" s="40"/>
      <c r="E20" s="39"/>
      <c r="F20" s="35" t="str">
        <f aca="false">IF($B20="","",N($D20)/HORAS_MES*RECARGO_HE)</f>
        <v/>
      </c>
      <c r="G20" s="35" t="str">
        <f aca="false">IF($B20="","",N($E20)*$F20)</f>
        <v/>
      </c>
      <c r="H20" s="40"/>
      <c r="I20" s="35" t="str">
        <f aca="false">IF($B20="","",N($D20)+$G20+N($H20))</f>
        <v/>
      </c>
      <c r="J20" s="35" t="str">
        <f aca="false">IF($B20="","",$I20*CCSS_OBRERO)</f>
        <v/>
      </c>
      <c r="K20" s="40"/>
      <c r="L20" s="35" t="str">
        <f aca="false">IF($B20="","",$I20-$J20-N($K20))</f>
        <v/>
      </c>
      <c r="M20" s="35" t="str">
        <f aca="false">IF($B20="","",$I20*CCSS_PATRONAL)</f>
        <v/>
      </c>
      <c r="N20" s="35" t="str">
        <f aca="false">IF($B20="","",$I20*INS_RT)</f>
        <v/>
      </c>
      <c r="O20" s="35" t="str">
        <f aca="false">IF($B20="","",$I20*PROV_AGUINALDO)</f>
        <v/>
      </c>
      <c r="P20" s="35" t="str">
        <f aca="false">IF($B20="","",$I20*PROV_VACACIONES)</f>
        <v/>
      </c>
      <c r="Q20" s="35" t="str">
        <f aca="false">IF($B20="","",$I20*PROV_CESANTIA)</f>
        <v/>
      </c>
      <c r="R20" s="35" t="str">
        <f aca="false">IF($B20="","",$I20+SUM($M20:$Q20))</f>
        <v/>
      </c>
      <c r="S20" s="46" t="str">
        <f aca="false">IF(OR($A20="",$B20=""),"",DATE(YEAR($A20),MONTH($A20),1))</f>
        <v/>
      </c>
    </row>
    <row r="21" customFormat="false" ht="15" hidden="false" customHeight="false" outlineLevel="0" collapsed="false">
      <c r="A21" s="55"/>
      <c r="B21" s="6"/>
      <c r="C21" s="6"/>
      <c r="D21" s="40"/>
      <c r="E21" s="39"/>
      <c r="F21" s="35" t="str">
        <f aca="false">IF($B21="","",N($D21)/HORAS_MES*RECARGO_HE)</f>
        <v/>
      </c>
      <c r="G21" s="35" t="str">
        <f aca="false">IF($B21="","",N($E21)*$F21)</f>
        <v/>
      </c>
      <c r="H21" s="40"/>
      <c r="I21" s="35" t="str">
        <f aca="false">IF($B21="","",N($D21)+$G21+N($H21))</f>
        <v/>
      </c>
      <c r="J21" s="35" t="str">
        <f aca="false">IF($B21="","",$I21*CCSS_OBRERO)</f>
        <v/>
      </c>
      <c r="K21" s="40"/>
      <c r="L21" s="35" t="str">
        <f aca="false">IF($B21="","",$I21-$J21-N($K21))</f>
        <v/>
      </c>
      <c r="M21" s="35" t="str">
        <f aca="false">IF($B21="","",$I21*CCSS_PATRONAL)</f>
        <v/>
      </c>
      <c r="N21" s="35" t="str">
        <f aca="false">IF($B21="","",$I21*INS_RT)</f>
        <v/>
      </c>
      <c r="O21" s="35" t="str">
        <f aca="false">IF($B21="","",$I21*PROV_AGUINALDO)</f>
        <v/>
      </c>
      <c r="P21" s="35" t="str">
        <f aca="false">IF($B21="","",$I21*PROV_VACACIONES)</f>
        <v/>
      </c>
      <c r="Q21" s="35" t="str">
        <f aca="false">IF($B21="","",$I21*PROV_CESANTIA)</f>
        <v/>
      </c>
      <c r="R21" s="35" t="str">
        <f aca="false">IF($B21="","",$I21+SUM($M21:$Q21))</f>
        <v/>
      </c>
      <c r="S21" s="46" t="str">
        <f aca="false">IF(OR($A21="",$B21=""),"",DATE(YEAR($A21),MONTH($A21),1))</f>
        <v/>
      </c>
    </row>
    <row r="22" customFormat="false" ht="15" hidden="false" customHeight="false" outlineLevel="0" collapsed="false">
      <c r="A22" s="55"/>
      <c r="B22" s="6"/>
      <c r="C22" s="6"/>
      <c r="D22" s="40"/>
      <c r="E22" s="39"/>
      <c r="F22" s="35" t="str">
        <f aca="false">IF($B22="","",N($D22)/HORAS_MES*RECARGO_HE)</f>
        <v/>
      </c>
      <c r="G22" s="35" t="str">
        <f aca="false">IF($B22="","",N($E22)*$F22)</f>
        <v/>
      </c>
      <c r="H22" s="40"/>
      <c r="I22" s="35" t="str">
        <f aca="false">IF($B22="","",N($D22)+$G22+N($H22))</f>
        <v/>
      </c>
      <c r="J22" s="35" t="str">
        <f aca="false">IF($B22="","",$I22*CCSS_OBRERO)</f>
        <v/>
      </c>
      <c r="K22" s="40"/>
      <c r="L22" s="35" t="str">
        <f aca="false">IF($B22="","",$I22-$J22-N($K22))</f>
        <v/>
      </c>
      <c r="M22" s="35" t="str">
        <f aca="false">IF($B22="","",$I22*CCSS_PATRONAL)</f>
        <v/>
      </c>
      <c r="N22" s="35" t="str">
        <f aca="false">IF($B22="","",$I22*INS_RT)</f>
        <v/>
      </c>
      <c r="O22" s="35" t="str">
        <f aca="false">IF($B22="","",$I22*PROV_AGUINALDO)</f>
        <v/>
      </c>
      <c r="P22" s="35" t="str">
        <f aca="false">IF($B22="","",$I22*PROV_VACACIONES)</f>
        <v/>
      </c>
      <c r="Q22" s="35" t="str">
        <f aca="false">IF($B22="","",$I22*PROV_CESANTIA)</f>
        <v/>
      </c>
      <c r="R22" s="35" t="str">
        <f aca="false">IF($B22="","",$I22+SUM($M22:$Q22))</f>
        <v/>
      </c>
      <c r="S22" s="46" t="str">
        <f aca="false">IF(OR($A22="",$B22=""),"",DATE(YEAR($A22),MONTH($A22),1))</f>
        <v/>
      </c>
    </row>
    <row r="23" customFormat="false" ht="15" hidden="false" customHeight="false" outlineLevel="0" collapsed="false">
      <c r="A23" s="55"/>
      <c r="B23" s="6"/>
      <c r="C23" s="6"/>
      <c r="D23" s="40"/>
      <c r="E23" s="39"/>
      <c r="F23" s="35" t="str">
        <f aca="false">IF($B23="","",N($D23)/HORAS_MES*RECARGO_HE)</f>
        <v/>
      </c>
      <c r="G23" s="35" t="str">
        <f aca="false">IF($B23="","",N($E23)*$F23)</f>
        <v/>
      </c>
      <c r="H23" s="40"/>
      <c r="I23" s="35" t="str">
        <f aca="false">IF($B23="","",N($D23)+$G23+N($H23))</f>
        <v/>
      </c>
      <c r="J23" s="35" t="str">
        <f aca="false">IF($B23="","",$I23*CCSS_OBRERO)</f>
        <v/>
      </c>
      <c r="K23" s="40"/>
      <c r="L23" s="35" t="str">
        <f aca="false">IF($B23="","",$I23-$J23-N($K23))</f>
        <v/>
      </c>
      <c r="M23" s="35" t="str">
        <f aca="false">IF($B23="","",$I23*CCSS_PATRONAL)</f>
        <v/>
      </c>
      <c r="N23" s="35" t="str">
        <f aca="false">IF($B23="","",$I23*INS_RT)</f>
        <v/>
      </c>
      <c r="O23" s="35" t="str">
        <f aca="false">IF($B23="","",$I23*PROV_AGUINALDO)</f>
        <v/>
      </c>
      <c r="P23" s="35" t="str">
        <f aca="false">IF($B23="","",$I23*PROV_VACACIONES)</f>
        <v/>
      </c>
      <c r="Q23" s="35" t="str">
        <f aca="false">IF($B23="","",$I23*PROV_CESANTIA)</f>
        <v/>
      </c>
      <c r="R23" s="35" t="str">
        <f aca="false">IF($B23="","",$I23+SUM($M23:$Q23))</f>
        <v/>
      </c>
      <c r="S23" s="46" t="str">
        <f aca="false">IF(OR($A23="",$B23=""),"",DATE(YEAR($A23),MONTH($A23),1))</f>
        <v/>
      </c>
    </row>
    <row r="24" customFormat="false" ht="15" hidden="false" customHeight="false" outlineLevel="0" collapsed="false">
      <c r="A24" s="55"/>
      <c r="B24" s="6"/>
      <c r="C24" s="6"/>
      <c r="D24" s="40"/>
      <c r="E24" s="39"/>
      <c r="F24" s="35" t="str">
        <f aca="false">IF($B24="","",N($D24)/HORAS_MES*RECARGO_HE)</f>
        <v/>
      </c>
      <c r="G24" s="35" t="str">
        <f aca="false">IF($B24="","",N($E24)*$F24)</f>
        <v/>
      </c>
      <c r="H24" s="40"/>
      <c r="I24" s="35" t="str">
        <f aca="false">IF($B24="","",N($D24)+$G24+N($H24))</f>
        <v/>
      </c>
      <c r="J24" s="35" t="str">
        <f aca="false">IF($B24="","",$I24*CCSS_OBRERO)</f>
        <v/>
      </c>
      <c r="K24" s="40"/>
      <c r="L24" s="35" t="str">
        <f aca="false">IF($B24="","",$I24-$J24-N($K24))</f>
        <v/>
      </c>
      <c r="M24" s="35" t="str">
        <f aca="false">IF($B24="","",$I24*CCSS_PATRONAL)</f>
        <v/>
      </c>
      <c r="N24" s="35" t="str">
        <f aca="false">IF($B24="","",$I24*INS_RT)</f>
        <v/>
      </c>
      <c r="O24" s="35" t="str">
        <f aca="false">IF($B24="","",$I24*PROV_AGUINALDO)</f>
        <v/>
      </c>
      <c r="P24" s="35" t="str">
        <f aca="false">IF($B24="","",$I24*PROV_VACACIONES)</f>
        <v/>
      </c>
      <c r="Q24" s="35" t="str">
        <f aca="false">IF($B24="","",$I24*PROV_CESANTIA)</f>
        <v/>
      </c>
      <c r="R24" s="35" t="str">
        <f aca="false">IF($B24="","",$I24+SUM($M24:$Q24))</f>
        <v/>
      </c>
      <c r="S24" s="46" t="str">
        <f aca="false">IF(OR($A24="",$B24=""),"",DATE(YEAR($A24),MONTH($A24),1))</f>
        <v/>
      </c>
    </row>
    <row r="25" customFormat="false" ht="15" hidden="false" customHeight="false" outlineLevel="0" collapsed="false">
      <c r="A25" s="55"/>
      <c r="B25" s="6"/>
      <c r="C25" s="6"/>
      <c r="D25" s="40"/>
      <c r="E25" s="39"/>
      <c r="F25" s="35" t="str">
        <f aca="false">IF($B25="","",N($D25)/HORAS_MES*RECARGO_HE)</f>
        <v/>
      </c>
      <c r="G25" s="35" t="str">
        <f aca="false">IF($B25="","",N($E25)*$F25)</f>
        <v/>
      </c>
      <c r="H25" s="40"/>
      <c r="I25" s="35" t="str">
        <f aca="false">IF($B25="","",N($D25)+$G25+N($H25))</f>
        <v/>
      </c>
      <c r="J25" s="35" t="str">
        <f aca="false">IF($B25="","",$I25*CCSS_OBRERO)</f>
        <v/>
      </c>
      <c r="K25" s="40"/>
      <c r="L25" s="35" t="str">
        <f aca="false">IF($B25="","",$I25-$J25-N($K25))</f>
        <v/>
      </c>
      <c r="M25" s="35" t="str">
        <f aca="false">IF($B25="","",$I25*CCSS_PATRONAL)</f>
        <v/>
      </c>
      <c r="N25" s="35" t="str">
        <f aca="false">IF($B25="","",$I25*INS_RT)</f>
        <v/>
      </c>
      <c r="O25" s="35" t="str">
        <f aca="false">IF($B25="","",$I25*PROV_AGUINALDO)</f>
        <v/>
      </c>
      <c r="P25" s="35" t="str">
        <f aca="false">IF($B25="","",$I25*PROV_VACACIONES)</f>
        <v/>
      </c>
      <c r="Q25" s="35" t="str">
        <f aca="false">IF($B25="","",$I25*PROV_CESANTIA)</f>
        <v/>
      </c>
      <c r="R25" s="35" t="str">
        <f aca="false">IF($B25="","",$I25+SUM($M25:$Q25))</f>
        <v/>
      </c>
      <c r="S25" s="46" t="str">
        <f aca="false">IF(OR($A25="",$B25=""),"",DATE(YEAR($A25),MONTH($A25),1))</f>
        <v/>
      </c>
    </row>
    <row r="26" customFormat="false" ht="15" hidden="false" customHeight="false" outlineLevel="0" collapsed="false">
      <c r="A26" s="55"/>
      <c r="B26" s="6"/>
      <c r="C26" s="6"/>
      <c r="D26" s="40"/>
      <c r="E26" s="39"/>
      <c r="F26" s="35" t="str">
        <f aca="false">IF($B26="","",N($D26)/HORAS_MES*RECARGO_HE)</f>
        <v/>
      </c>
      <c r="G26" s="35" t="str">
        <f aca="false">IF($B26="","",N($E26)*$F26)</f>
        <v/>
      </c>
      <c r="H26" s="40"/>
      <c r="I26" s="35" t="str">
        <f aca="false">IF($B26="","",N($D26)+$G26+N($H26))</f>
        <v/>
      </c>
      <c r="J26" s="35" t="str">
        <f aca="false">IF($B26="","",$I26*CCSS_OBRERO)</f>
        <v/>
      </c>
      <c r="K26" s="40"/>
      <c r="L26" s="35" t="str">
        <f aca="false">IF($B26="","",$I26-$J26-N($K26))</f>
        <v/>
      </c>
      <c r="M26" s="35" t="str">
        <f aca="false">IF($B26="","",$I26*CCSS_PATRONAL)</f>
        <v/>
      </c>
      <c r="N26" s="35" t="str">
        <f aca="false">IF($B26="","",$I26*INS_RT)</f>
        <v/>
      </c>
      <c r="O26" s="35" t="str">
        <f aca="false">IF($B26="","",$I26*PROV_AGUINALDO)</f>
        <v/>
      </c>
      <c r="P26" s="35" t="str">
        <f aca="false">IF($B26="","",$I26*PROV_VACACIONES)</f>
        <v/>
      </c>
      <c r="Q26" s="35" t="str">
        <f aca="false">IF($B26="","",$I26*PROV_CESANTIA)</f>
        <v/>
      </c>
      <c r="R26" s="35" t="str">
        <f aca="false">IF($B26="","",$I26+SUM($M26:$Q26))</f>
        <v/>
      </c>
      <c r="S26" s="46" t="str">
        <f aca="false">IF(OR($A26="",$B26=""),"",DATE(YEAR($A26),MONTH($A26),1))</f>
        <v/>
      </c>
    </row>
    <row r="27" customFormat="false" ht="15" hidden="false" customHeight="false" outlineLevel="0" collapsed="false">
      <c r="A27" s="55"/>
      <c r="B27" s="6"/>
      <c r="C27" s="6"/>
      <c r="D27" s="40"/>
      <c r="E27" s="39"/>
      <c r="F27" s="35" t="str">
        <f aca="false">IF($B27="","",N($D27)/HORAS_MES*RECARGO_HE)</f>
        <v/>
      </c>
      <c r="G27" s="35" t="str">
        <f aca="false">IF($B27="","",N($E27)*$F27)</f>
        <v/>
      </c>
      <c r="H27" s="40"/>
      <c r="I27" s="35" t="str">
        <f aca="false">IF($B27="","",N($D27)+$G27+N($H27))</f>
        <v/>
      </c>
      <c r="J27" s="35" t="str">
        <f aca="false">IF($B27="","",$I27*CCSS_OBRERO)</f>
        <v/>
      </c>
      <c r="K27" s="40"/>
      <c r="L27" s="35" t="str">
        <f aca="false">IF($B27="","",$I27-$J27-N($K27))</f>
        <v/>
      </c>
      <c r="M27" s="35" t="str">
        <f aca="false">IF($B27="","",$I27*CCSS_PATRONAL)</f>
        <v/>
      </c>
      <c r="N27" s="35" t="str">
        <f aca="false">IF($B27="","",$I27*INS_RT)</f>
        <v/>
      </c>
      <c r="O27" s="35" t="str">
        <f aca="false">IF($B27="","",$I27*PROV_AGUINALDO)</f>
        <v/>
      </c>
      <c r="P27" s="35" t="str">
        <f aca="false">IF($B27="","",$I27*PROV_VACACIONES)</f>
        <v/>
      </c>
      <c r="Q27" s="35" t="str">
        <f aca="false">IF($B27="","",$I27*PROV_CESANTIA)</f>
        <v/>
      </c>
      <c r="R27" s="35" t="str">
        <f aca="false">IF($B27="","",$I27+SUM($M27:$Q27))</f>
        <v/>
      </c>
      <c r="S27" s="46" t="str">
        <f aca="false">IF(OR($A27="",$B27=""),"",DATE(YEAR($A27),MONTH($A27),1))</f>
        <v/>
      </c>
    </row>
    <row r="28" customFormat="false" ht="15" hidden="false" customHeight="false" outlineLevel="0" collapsed="false">
      <c r="A28" s="55"/>
      <c r="B28" s="6"/>
      <c r="C28" s="6"/>
      <c r="D28" s="40"/>
      <c r="E28" s="39"/>
      <c r="F28" s="35" t="str">
        <f aca="false">IF($B28="","",N($D28)/HORAS_MES*RECARGO_HE)</f>
        <v/>
      </c>
      <c r="G28" s="35" t="str">
        <f aca="false">IF($B28="","",N($E28)*$F28)</f>
        <v/>
      </c>
      <c r="H28" s="40"/>
      <c r="I28" s="35" t="str">
        <f aca="false">IF($B28="","",N($D28)+$G28+N($H28))</f>
        <v/>
      </c>
      <c r="J28" s="35" t="str">
        <f aca="false">IF($B28="","",$I28*CCSS_OBRERO)</f>
        <v/>
      </c>
      <c r="K28" s="40"/>
      <c r="L28" s="35" t="str">
        <f aca="false">IF($B28="","",$I28-$J28-N($K28))</f>
        <v/>
      </c>
      <c r="M28" s="35" t="str">
        <f aca="false">IF($B28="","",$I28*CCSS_PATRONAL)</f>
        <v/>
      </c>
      <c r="N28" s="35" t="str">
        <f aca="false">IF($B28="","",$I28*INS_RT)</f>
        <v/>
      </c>
      <c r="O28" s="35" t="str">
        <f aca="false">IF($B28="","",$I28*PROV_AGUINALDO)</f>
        <v/>
      </c>
      <c r="P28" s="35" t="str">
        <f aca="false">IF($B28="","",$I28*PROV_VACACIONES)</f>
        <v/>
      </c>
      <c r="Q28" s="35" t="str">
        <f aca="false">IF($B28="","",$I28*PROV_CESANTIA)</f>
        <v/>
      </c>
      <c r="R28" s="35" t="str">
        <f aca="false">IF($B28="","",$I28+SUM($M28:$Q28))</f>
        <v/>
      </c>
      <c r="S28" s="46" t="str">
        <f aca="false">IF(OR($A28="",$B28=""),"",DATE(YEAR($A28),MONTH($A28),1))</f>
        <v/>
      </c>
    </row>
    <row r="29" customFormat="false" ht="15" hidden="false" customHeight="false" outlineLevel="0" collapsed="false">
      <c r="A29" s="55"/>
      <c r="B29" s="6"/>
      <c r="C29" s="6"/>
      <c r="D29" s="40"/>
      <c r="E29" s="39"/>
      <c r="F29" s="35" t="str">
        <f aca="false">IF($B29="","",N($D29)/HORAS_MES*RECARGO_HE)</f>
        <v/>
      </c>
      <c r="G29" s="35" t="str">
        <f aca="false">IF($B29="","",N($E29)*$F29)</f>
        <v/>
      </c>
      <c r="H29" s="40"/>
      <c r="I29" s="35" t="str">
        <f aca="false">IF($B29="","",N($D29)+$G29+N($H29))</f>
        <v/>
      </c>
      <c r="J29" s="35" t="str">
        <f aca="false">IF($B29="","",$I29*CCSS_OBRERO)</f>
        <v/>
      </c>
      <c r="K29" s="40"/>
      <c r="L29" s="35" t="str">
        <f aca="false">IF($B29="","",$I29-$J29-N($K29))</f>
        <v/>
      </c>
      <c r="M29" s="35" t="str">
        <f aca="false">IF($B29="","",$I29*CCSS_PATRONAL)</f>
        <v/>
      </c>
      <c r="N29" s="35" t="str">
        <f aca="false">IF($B29="","",$I29*INS_RT)</f>
        <v/>
      </c>
      <c r="O29" s="35" t="str">
        <f aca="false">IF($B29="","",$I29*PROV_AGUINALDO)</f>
        <v/>
      </c>
      <c r="P29" s="35" t="str">
        <f aca="false">IF($B29="","",$I29*PROV_VACACIONES)</f>
        <v/>
      </c>
      <c r="Q29" s="35" t="str">
        <f aca="false">IF($B29="","",$I29*PROV_CESANTIA)</f>
        <v/>
      </c>
      <c r="R29" s="35" t="str">
        <f aca="false">IF($B29="","",$I29+SUM($M29:$Q29))</f>
        <v/>
      </c>
      <c r="S29" s="46" t="str">
        <f aca="false">IF(OR($A29="",$B29=""),"",DATE(YEAR($A29),MONTH($A29),1))</f>
        <v/>
      </c>
    </row>
    <row r="30" customFormat="false" ht="15" hidden="false" customHeight="false" outlineLevel="0" collapsed="false">
      <c r="A30" s="55"/>
      <c r="B30" s="6"/>
      <c r="C30" s="6"/>
      <c r="D30" s="40"/>
      <c r="E30" s="39"/>
      <c r="F30" s="35" t="str">
        <f aca="false">IF($B30="","",N($D30)/HORAS_MES*RECARGO_HE)</f>
        <v/>
      </c>
      <c r="G30" s="35" t="str">
        <f aca="false">IF($B30="","",N($E30)*$F30)</f>
        <v/>
      </c>
      <c r="H30" s="40"/>
      <c r="I30" s="35" t="str">
        <f aca="false">IF($B30="","",N($D30)+$G30+N($H30))</f>
        <v/>
      </c>
      <c r="J30" s="35" t="str">
        <f aca="false">IF($B30="","",$I30*CCSS_OBRERO)</f>
        <v/>
      </c>
      <c r="K30" s="40"/>
      <c r="L30" s="35" t="str">
        <f aca="false">IF($B30="","",$I30-$J30-N($K30))</f>
        <v/>
      </c>
      <c r="M30" s="35" t="str">
        <f aca="false">IF($B30="","",$I30*CCSS_PATRONAL)</f>
        <v/>
      </c>
      <c r="N30" s="35" t="str">
        <f aca="false">IF($B30="","",$I30*INS_RT)</f>
        <v/>
      </c>
      <c r="O30" s="35" t="str">
        <f aca="false">IF($B30="","",$I30*PROV_AGUINALDO)</f>
        <v/>
      </c>
      <c r="P30" s="35" t="str">
        <f aca="false">IF($B30="","",$I30*PROV_VACACIONES)</f>
        <v/>
      </c>
      <c r="Q30" s="35" t="str">
        <f aca="false">IF($B30="","",$I30*PROV_CESANTIA)</f>
        <v/>
      </c>
      <c r="R30" s="35" t="str">
        <f aca="false">IF($B30="","",$I30+SUM($M30:$Q30))</f>
        <v/>
      </c>
      <c r="S30" s="46" t="str">
        <f aca="false">IF(OR($A30="",$B30=""),"",DATE(YEAR($A30),MONTH($A30),1))</f>
        <v/>
      </c>
    </row>
    <row r="31" customFormat="false" ht="15" hidden="false" customHeight="false" outlineLevel="0" collapsed="false">
      <c r="A31" s="55"/>
      <c r="B31" s="6"/>
      <c r="C31" s="6"/>
      <c r="D31" s="40"/>
      <c r="E31" s="39"/>
      <c r="F31" s="35" t="str">
        <f aca="false">IF($B31="","",N($D31)/HORAS_MES*RECARGO_HE)</f>
        <v/>
      </c>
      <c r="G31" s="35" t="str">
        <f aca="false">IF($B31="","",N($E31)*$F31)</f>
        <v/>
      </c>
      <c r="H31" s="40"/>
      <c r="I31" s="35" t="str">
        <f aca="false">IF($B31="","",N($D31)+$G31+N($H31))</f>
        <v/>
      </c>
      <c r="J31" s="35" t="str">
        <f aca="false">IF($B31="","",$I31*CCSS_OBRERO)</f>
        <v/>
      </c>
      <c r="K31" s="40"/>
      <c r="L31" s="35" t="str">
        <f aca="false">IF($B31="","",$I31-$J31-N($K31))</f>
        <v/>
      </c>
      <c r="M31" s="35" t="str">
        <f aca="false">IF($B31="","",$I31*CCSS_PATRONAL)</f>
        <v/>
      </c>
      <c r="N31" s="35" t="str">
        <f aca="false">IF($B31="","",$I31*INS_RT)</f>
        <v/>
      </c>
      <c r="O31" s="35" t="str">
        <f aca="false">IF($B31="","",$I31*PROV_AGUINALDO)</f>
        <v/>
      </c>
      <c r="P31" s="35" t="str">
        <f aca="false">IF($B31="","",$I31*PROV_VACACIONES)</f>
        <v/>
      </c>
      <c r="Q31" s="35" t="str">
        <f aca="false">IF($B31="","",$I31*PROV_CESANTIA)</f>
        <v/>
      </c>
      <c r="R31" s="35" t="str">
        <f aca="false">IF($B31="","",$I31+SUM($M31:$Q31))</f>
        <v/>
      </c>
      <c r="S31" s="46" t="str">
        <f aca="false">IF(OR($A31="",$B31=""),"",DATE(YEAR($A31),MONTH($A31),1))</f>
        <v/>
      </c>
    </row>
    <row r="32" customFormat="false" ht="15" hidden="false" customHeight="false" outlineLevel="0" collapsed="false">
      <c r="A32" s="55"/>
      <c r="B32" s="6"/>
      <c r="C32" s="6"/>
      <c r="D32" s="40"/>
      <c r="E32" s="39"/>
      <c r="F32" s="35" t="str">
        <f aca="false">IF($B32="","",N($D32)/HORAS_MES*RECARGO_HE)</f>
        <v/>
      </c>
      <c r="G32" s="35" t="str">
        <f aca="false">IF($B32="","",N($E32)*$F32)</f>
        <v/>
      </c>
      <c r="H32" s="40"/>
      <c r="I32" s="35" t="str">
        <f aca="false">IF($B32="","",N($D32)+$G32+N($H32))</f>
        <v/>
      </c>
      <c r="J32" s="35" t="str">
        <f aca="false">IF($B32="","",$I32*CCSS_OBRERO)</f>
        <v/>
      </c>
      <c r="K32" s="40"/>
      <c r="L32" s="35" t="str">
        <f aca="false">IF($B32="","",$I32-$J32-N($K32))</f>
        <v/>
      </c>
      <c r="M32" s="35" t="str">
        <f aca="false">IF($B32="","",$I32*CCSS_PATRONAL)</f>
        <v/>
      </c>
      <c r="N32" s="35" t="str">
        <f aca="false">IF($B32="","",$I32*INS_RT)</f>
        <v/>
      </c>
      <c r="O32" s="35" t="str">
        <f aca="false">IF($B32="","",$I32*PROV_AGUINALDO)</f>
        <v/>
      </c>
      <c r="P32" s="35" t="str">
        <f aca="false">IF($B32="","",$I32*PROV_VACACIONES)</f>
        <v/>
      </c>
      <c r="Q32" s="35" t="str">
        <f aca="false">IF($B32="","",$I32*PROV_CESANTIA)</f>
        <v/>
      </c>
      <c r="R32" s="35" t="str">
        <f aca="false">IF($B32="","",$I32+SUM($M32:$Q32))</f>
        <v/>
      </c>
      <c r="S32" s="46" t="str">
        <f aca="false">IF(OR($A32="",$B32=""),"",DATE(YEAR($A32),MONTH($A32),1))</f>
        <v/>
      </c>
    </row>
    <row r="33" customFormat="false" ht="15" hidden="false" customHeight="false" outlineLevel="0" collapsed="false">
      <c r="A33" s="55"/>
      <c r="B33" s="6"/>
      <c r="C33" s="6"/>
      <c r="D33" s="40"/>
      <c r="E33" s="39"/>
      <c r="F33" s="35" t="str">
        <f aca="false">IF($B33="","",N($D33)/HORAS_MES*RECARGO_HE)</f>
        <v/>
      </c>
      <c r="G33" s="35" t="str">
        <f aca="false">IF($B33="","",N($E33)*$F33)</f>
        <v/>
      </c>
      <c r="H33" s="40"/>
      <c r="I33" s="35" t="str">
        <f aca="false">IF($B33="","",N($D33)+$G33+N($H33))</f>
        <v/>
      </c>
      <c r="J33" s="35" t="str">
        <f aca="false">IF($B33="","",$I33*CCSS_OBRERO)</f>
        <v/>
      </c>
      <c r="K33" s="40"/>
      <c r="L33" s="35" t="str">
        <f aca="false">IF($B33="","",$I33-$J33-N($K33))</f>
        <v/>
      </c>
      <c r="M33" s="35" t="str">
        <f aca="false">IF($B33="","",$I33*CCSS_PATRONAL)</f>
        <v/>
      </c>
      <c r="N33" s="35" t="str">
        <f aca="false">IF($B33="","",$I33*INS_RT)</f>
        <v/>
      </c>
      <c r="O33" s="35" t="str">
        <f aca="false">IF($B33="","",$I33*PROV_AGUINALDO)</f>
        <v/>
      </c>
      <c r="P33" s="35" t="str">
        <f aca="false">IF($B33="","",$I33*PROV_VACACIONES)</f>
        <v/>
      </c>
      <c r="Q33" s="35" t="str">
        <f aca="false">IF($B33="","",$I33*PROV_CESANTIA)</f>
        <v/>
      </c>
      <c r="R33" s="35" t="str">
        <f aca="false">IF($B33="","",$I33+SUM($M33:$Q33))</f>
        <v/>
      </c>
      <c r="S33" s="46" t="str">
        <f aca="false">IF(OR($A33="",$B33=""),"",DATE(YEAR($A33),MONTH($A33),1))</f>
        <v/>
      </c>
    </row>
    <row r="34" customFormat="false" ht="15" hidden="false" customHeight="false" outlineLevel="0" collapsed="false">
      <c r="A34" s="55"/>
      <c r="B34" s="6"/>
      <c r="C34" s="6"/>
      <c r="D34" s="40"/>
      <c r="E34" s="39"/>
      <c r="F34" s="35" t="str">
        <f aca="false">IF($B34="","",N($D34)/HORAS_MES*RECARGO_HE)</f>
        <v/>
      </c>
      <c r="G34" s="35" t="str">
        <f aca="false">IF($B34="","",N($E34)*$F34)</f>
        <v/>
      </c>
      <c r="H34" s="40"/>
      <c r="I34" s="35" t="str">
        <f aca="false">IF($B34="","",N($D34)+$G34+N($H34))</f>
        <v/>
      </c>
      <c r="J34" s="35" t="str">
        <f aca="false">IF($B34="","",$I34*CCSS_OBRERO)</f>
        <v/>
      </c>
      <c r="K34" s="40"/>
      <c r="L34" s="35" t="str">
        <f aca="false">IF($B34="","",$I34-$J34-N($K34))</f>
        <v/>
      </c>
      <c r="M34" s="35" t="str">
        <f aca="false">IF($B34="","",$I34*CCSS_PATRONAL)</f>
        <v/>
      </c>
      <c r="N34" s="35" t="str">
        <f aca="false">IF($B34="","",$I34*INS_RT)</f>
        <v/>
      </c>
      <c r="O34" s="35" t="str">
        <f aca="false">IF($B34="","",$I34*PROV_AGUINALDO)</f>
        <v/>
      </c>
      <c r="P34" s="35" t="str">
        <f aca="false">IF($B34="","",$I34*PROV_VACACIONES)</f>
        <v/>
      </c>
      <c r="Q34" s="35" t="str">
        <f aca="false">IF($B34="","",$I34*PROV_CESANTIA)</f>
        <v/>
      </c>
      <c r="R34" s="35" t="str">
        <f aca="false">IF($B34="","",$I34+SUM($M34:$Q34))</f>
        <v/>
      </c>
      <c r="S34" s="46" t="str">
        <f aca="false">IF(OR($A34="",$B34=""),"",DATE(YEAR($A34),MONTH($A34),1))</f>
        <v/>
      </c>
    </row>
    <row r="35" customFormat="false" ht="15" hidden="false" customHeight="false" outlineLevel="0" collapsed="false">
      <c r="A35" s="55"/>
      <c r="B35" s="6"/>
      <c r="C35" s="6"/>
      <c r="D35" s="40"/>
      <c r="E35" s="39"/>
      <c r="F35" s="35" t="str">
        <f aca="false">IF($B35="","",N($D35)/HORAS_MES*RECARGO_HE)</f>
        <v/>
      </c>
      <c r="G35" s="35" t="str">
        <f aca="false">IF($B35="","",N($E35)*$F35)</f>
        <v/>
      </c>
      <c r="H35" s="40"/>
      <c r="I35" s="35" t="str">
        <f aca="false">IF($B35="","",N($D35)+$G35+N($H35))</f>
        <v/>
      </c>
      <c r="J35" s="35" t="str">
        <f aca="false">IF($B35="","",$I35*CCSS_OBRERO)</f>
        <v/>
      </c>
      <c r="K35" s="40"/>
      <c r="L35" s="35" t="str">
        <f aca="false">IF($B35="","",$I35-$J35-N($K35))</f>
        <v/>
      </c>
      <c r="M35" s="35" t="str">
        <f aca="false">IF($B35="","",$I35*CCSS_PATRONAL)</f>
        <v/>
      </c>
      <c r="N35" s="35" t="str">
        <f aca="false">IF($B35="","",$I35*INS_RT)</f>
        <v/>
      </c>
      <c r="O35" s="35" t="str">
        <f aca="false">IF($B35="","",$I35*PROV_AGUINALDO)</f>
        <v/>
      </c>
      <c r="P35" s="35" t="str">
        <f aca="false">IF($B35="","",$I35*PROV_VACACIONES)</f>
        <v/>
      </c>
      <c r="Q35" s="35" t="str">
        <f aca="false">IF($B35="","",$I35*PROV_CESANTIA)</f>
        <v/>
      </c>
      <c r="R35" s="35" t="str">
        <f aca="false">IF($B35="","",$I35+SUM($M35:$Q35))</f>
        <v/>
      </c>
      <c r="S35" s="46" t="str">
        <f aca="false">IF(OR($A35="",$B35=""),"",DATE(YEAR($A35),MONTH($A35),1))</f>
        <v/>
      </c>
    </row>
    <row r="36" customFormat="false" ht="15" hidden="false" customHeight="false" outlineLevel="0" collapsed="false">
      <c r="A36" s="55"/>
      <c r="B36" s="6"/>
      <c r="C36" s="6"/>
      <c r="D36" s="40"/>
      <c r="E36" s="39"/>
      <c r="F36" s="35" t="str">
        <f aca="false">IF($B36="","",N($D36)/HORAS_MES*RECARGO_HE)</f>
        <v/>
      </c>
      <c r="G36" s="35" t="str">
        <f aca="false">IF($B36="","",N($E36)*$F36)</f>
        <v/>
      </c>
      <c r="H36" s="40"/>
      <c r="I36" s="35" t="str">
        <f aca="false">IF($B36="","",N($D36)+$G36+N($H36))</f>
        <v/>
      </c>
      <c r="J36" s="35" t="str">
        <f aca="false">IF($B36="","",$I36*CCSS_OBRERO)</f>
        <v/>
      </c>
      <c r="K36" s="40"/>
      <c r="L36" s="35" t="str">
        <f aca="false">IF($B36="","",$I36-$J36-N($K36))</f>
        <v/>
      </c>
      <c r="M36" s="35" t="str">
        <f aca="false">IF($B36="","",$I36*CCSS_PATRONAL)</f>
        <v/>
      </c>
      <c r="N36" s="35" t="str">
        <f aca="false">IF($B36="","",$I36*INS_RT)</f>
        <v/>
      </c>
      <c r="O36" s="35" t="str">
        <f aca="false">IF($B36="","",$I36*PROV_AGUINALDO)</f>
        <v/>
      </c>
      <c r="P36" s="35" t="str">
        <f aca="false">IF($B36="","",$I36*PROV_VACACIONES)</f>
        <v/>
      </c>
      <c r="Q36" s="35" t="str">
        <f aca="false">IF($B36="","",$I36*PROV_CESANTIA)</f>
        <v/>
      </c>
      <c r="R36" s="35" t="str">
        <f aca="false">IF($B36="","",$I36+SUM($M36:$Q36))</f>
        <v/>
      </c>
      <c r="S36" s="46" t="str">
        <f aca="false">IF(OR($A36="",$B36=""),"",DATE(YEAR($A36),MONTH($A36),1))</f>
        <v/>
      </c>
    </row>
    <row r="37" customFormat="false" ht="15" hidden="false" customHeight="false" outlineLevel="0" collapsed="false">
      <c r="A37" s="55"/>
      <c r="B37" s="6"/>
      <c r="C37" s="6"/>
      <c r="D37" s="40"/>
      <c r="E37" s="39"/>
      <c r="F37" s="35" t="str">
        <f aca="false">IF($B37="","",N($D37)/HORAS_MES*RECARGO_HE)</f>
        <v/>
      </c>
      <c r="G37" s="35" t="str">
        <f aca="false">IF($B37="","",N($E37)*$F37)</f>
        <v/>
      </c>
      <c r="H37" s="40"/>
      <c r="I37" s="35" t="str">
        <f aca="false">IF($B37="","",N($D37)+$G37+N($H37))</f>
        <v/>
      </c>
      <c r="J37" s="35" t="str">
        <f aca="false">IF($B37="","",$I37*CCSS_OBRERO)</f>
        <v/>
      </c>
      <c r="K37" s="40"/>
      <c r="L37" s="35" t="str">
        <f aca="false">IF($B37="","",$I37-$J37-N($K37))</f>
        <v/>
      </c>
      <c r="M37" s="35" t="str">
        <f aca="false">IF($B37="","",$I37*CCSS_PATRONAL)</f>
        <v/>
      </c>
      <c r="N37" s="35" t="str">
        <f aca="false">IF($B37="","",$I37*INS_RT)</f>
        <v/>
      </c>
      <c r="O37" s="35" t="str">
        <f aca="false">IF($B37="","",$I37*PROV_AGUINALDO)</f>
        <v/>
      </c>
      <c r="P37" s="35" t="str">
        <f aca="false">IF($B37="","",$I37*PROV_VACACIONES)</f>
        <v/>
      </c>
      <c r="Q37" s="35" t="str">
        <f aca="false">IF($B37="","",$I37*PROV_CESANTIA)</f>
        <v/>
      </c>
      <c r="R37" s="35" t="str">
        <f aca="false">IF($B37="","",$I37+SUM($M37:$Q37))</f>
        <v/>
      </c>
      <c r="S37" s="46" t="str">
        <f aca="false">IF(OR($A37="",$B37=""),"",DATE(YEAR($A37),MONTH($A37),1))</f>
        <v/>
      </c>
    </row>
    <row r="38" customFormat="false" ht="15" hidden="false" customHeight="false" outlineLevel="0" collapsed="false">
      <c r="A38" s="55"/>
      <c r="B38" s="6"/>
      <c r="C38" s="6"/>
      <c r="D38" s="40"/>
      <c r="E38" s="39"/>
      <c r="F38" s="35" t="str">
        <f aca="false">IF($B38="","",N($D38)/HORAS_MES*RECARGO_HE)</f>
        <v/>
      </c>
      <c r="G38" s="35" t="str">
        <f aca="false">IF($B38="","",N($E38)*$F38)</f>
        <v/>
      </c>
      <c r="H38" s="40"/>
      <c r="I38" s="35" t="str">
        <f aca="false">IF($B38="","",N($D38)+$G38+N($H38))</f>
        <v/>
      </c>
      <c r="J38" s="35" t="str">
        <f aca="false">IF($B38="","",$I38*CCSS_OBRERO)</f>
        <v/>
      </c>
      <c r="K38" s="40"/>
      <c r="L38" s="35" t="str">
        <f aca="false">IF($B38="","",$I38-$J38-N($K38))</f>
        <v/>
      </c>
      <c r="M38" s="35" t="str">
        <f aca="false">IF($B38="","",$I38*CCSS_PATRONAL)</f>
        <v/>
      </c>
      <c r="N38" s="35" t="str">
        <f aca="false">IF($B38="","",$I38*INS_RT)</f>
        <v/>
      </c>
      <c r="O38" s="35" t="str">
        <f aca="false">IF($B38="","",$I38*PROV_AGUINALDO)</f>
        <v/>
      </c>
      <c r="P38" s="35" t="str">
        <f aca="false">IF($B38="","",$I38*PROV_VACACIONES)</f>
        <v/>
      </c>
      <c r="Q38" s="35" t="str">
        <f aca="false">IF($B38="","",$I38*PROV_CESANTIA)</f>
        <v/>
      </c>
      <c r="R38" s="35" t="str">
        <f aca="false">IF($B38="","",$I38+SUM($M38:$Q38))</f>
        <v/>
      </c>
      <c r="S38" s="46" t="str">
        <f aca="false">IF(OR($A38="",$B38=""),"",DATE(YEAR($A38),MONTH($A38),1))</f>
        <v/>
      </c>
    </row>
    <row r="39" customFormat="false" ht="15" hidden="false" customHeight="false" outlineLevel="0" collapsed="false">
      <c r="A39" s="55"/>
      <c r="B39" s="6"/>
      <c r="C39" s="6"/>
      <c r="D39" s="40"/>
      <c r="E39" s="39"/>
      <c r="F39" s="35" t="str">
        <f aca="false">IF($B39="","",N($D39)/HORAS_MES*RECARGO_HE)</f>
        <v/>
      </c>
      <c r="G39" s="35" t="str">
        <f aca="false">IF($B39="","",N($E39)*$F39)</f>
        <v/>
      </c>
      <c r="H39" s="40"/>
      <c r="I39" s="35" t="str">
        <f aca="false">IF($B39="","",N($D39)+$G39+N($H39))</f>
        <v/>
      </c>
      <c r="J39" s="35" t="str">
        <f aca="false">IF($B39="","",$I39*CCSS_OBRERO)</f>
        <v/>
      </c>
      <c r="K39" s="40"/>
      <c r="L39" s="35" t="str">
        <f aca="false">IF($B39="","",$I39-$J39-N($K39))</f>
        <v/>
      </c>
      <c r="M39" s="35" t="str">
        <f aca="false">IF($B39="","",$I39*CCSS_PATRONAL)</f>
        <v/>
      </c>
      <c r="N39" s="35" t="str">
        <f aca="false">IF($B39="","",$I39*INS_RT)</f>
        <v/>
      </c>
      <c r="O39" s="35" t="str">
        <f aca="false">IF($B39="","",$I39*PROV_AGUINALDO)</f>
        <v/>
      </c>
      <c r="P39" s="35" t="str">
        <f aca="false">IF($B39="","",$I39*PROV_VACACIONES)</f>
        <v/>
      </c>
      <c r="Q39" s="35" t="str">
        <f aca="false">IF($B39="","",$I39*PROV_CESANTIA)</f>
        <v/>
      </c>
      <c r="R39" s="35" t="str">
        <f aca="false">IF($B39="","",$I39+SUM($M39:$Q39))</f>
        <v/>
      </c>
      <c r="S39" s="46" t="str">
        <f aca="false">IF(OR($A39="",$B39=""),"",DATE(YEAR($A39),MONTH($A39),1))</f>
        <v/>
      </c>
    </row>
    <row r="40" customFormat="false" ht="15" hidden="false" customHeight="false" outlineLevel="0" collapsed="false">
      <c r="A40" s="55"/>
      <c r="B40" s="6"/>
      <c r="C40" s="6"/>
      <c r="D40" s="40"/>
      <c r="E40" s="39"/>
      <c r="F40" s="35" t="str">
        <f aca="false">IF($B40="","",N($D40)/HORAS_MES*RECARGO_HE)</f>
        <v/>
      </c>
      <c r="G40" s="35" t="str">
        <f aca="false">IF($B40="","",N($E40)*$F40)</f>
        <v/>
      </c>
      <c r="H40" s="40"/>
      <c r="I40" s="35" t="str">
        <f aca="false">IF($B40="","",N($D40)+$G40+N($H40))</f>
        <v/>
      </c>
      <c r="J40" s="35" t="str">
        <f aca="false">IF($B40="","",$I40*CCSS_OBRERO)</f>
        <v/>
      </c>
      <c r="K40" s="40"/>
      <c r="L40" s="35" t="str">
        <f aca="false">IF($B40="","",$I40-$J40-N($K40))</f>
        <v/>
      </c>
      <c r="M40" s="35" t="str">
        <f aca="false">IF($B40="","",$I40*CCSS_PATRONAL)</f>
        <v/>
      </c>
      <c r="N40" s="35" t="str">
        <f aca="false">IF($B40="","",$I40*INS_RT)</f>
        <v/>
      </c>
      <c r="O40" s="35" t="str">
        <f aca="false">IF($B40="","",$I40*PROV_AGUINALDO)</f>
        <v/>
      </c>
      <c r="P40" s="35" t="str">
        <f aca="false">IF($B40="","",$I40*PROV_VACACIONES)</f>
        <v/>
      </c>
      <c r="Q40" s="35" t="str">
        <f aca="false">IF($B40="","",$I40*PROV_CESANTIA)</f>
        <v/>
      </c>
      <c r="R40" s="35" t="str">
        <f aca="false">IF($B40="","",$I40+SUM($M40:$Q40))</f>
        <v/>
      </c>
      <c r="S40" s="46" t="str">
        <f aca="false">IF(OR($A40="",$B40=""),"",DATE(YEAR($A40),MONTH($A40),1))</f>
        <v/>
      </c>
    </row>
    <row r="41" customFormat="false" ht="15" hidden="false" customHeight="false" outlineLevel="0" collapsed="false">
      <c r="A41" s="55"/>
      <c r="B41" s="6"/>
      <c r="C41" s="6"/>
      <c r="D41" s="40"/>
      <c r="E41" s="39"/>
      <c r="F41" s="35" t="str">
        <f aca="false">IF($B41="","",N($D41)/HORAS_MES*RECARGO_HE)</f>
        <v/>
      </c>
      <c r="G41" s="35" t="str">
        <f aca="false">IF($B41="","",N($E41)*$F41)</f>
        <v/>
      </c>
      <c r="H41" s="40"/>
      <c r="I41" s="35" t="str">
        <f aca="false">IF($B41="","",N($D41)+$G41+N($H41))</f>
        <v/>
      </c>
      <c r="J41" s="35" t="str">
        <f aca="false">IF($B41="","",$I41*CCSS_OBRERO)</f>
        <v/>
      </c>
      <c r="K41" s="40"/>
      <c r="L41" s="35" t="str">
        <f aca="false">IF($B41="","",$I41-$J41-N($K41))</f>
        <v/>
      </c>
      <c r="M41" s="35" t="str">
        <f aca="false">IF($B41="","",$I41*CCSS_PATRONAL)</f>
        <v/>
      </c>
      <c r="N41" s="35" t="str">
        <f aca="false">IF($B41="","",$I41*INS_RT)</f>
        <v/>
      </c>
      <c r="O41" s="35" t="str">
        <f aca="false">IF($B41="","",$I41*PROV_AGUINALDO)</f>
        <v/>
      </c>
      <c r="P41" s="35" t="str">
        <f aca="false">IF($B41="","",$I41*PROV_VACACIONES)</f>
        <v/>
      </c>
      <c r="Q41" s="35" t="str">
        <f aca="false">IF($B41="","",$I41*PROV_CESANTIA)</f>
        <v/>
      </c>
      <c r="R41" s="35" t="str">
        <f aca="false">IF($B41="","",$I41+SUM($M41:$Q41))</f>
        <v/>
      </c>
      <c r="S41" s="46" t="str">
        <f aca="false">IF(OR($A41="",$B41=""),"",DATE(YEAR($A41),MONTH($A41),1))</f>
        <v/>
      </c>
    </row>
    <row r="42" customFormat="false" ht="15" hidden="false" customHeight="false" outlineLevel="0" collapsed="false">
      <c r="A42" s="55"/>
      <c r="B42" s="6"/>
      <c r="C42" s="6"/>
      <c r="D42" s="40"/>
      <c r="E42" s="39"/>
      <c r="F42" s="35" t="str">
        <f aca="false">IF($B42="","",N($D42)/HORAS_MES*RECARGO_HE)</f>
        <v/>
      </c>
      <c r="G42" s="35" t="str">
        <f aca="false">IF($B42="","",N($E42)*$F42)</f>
        <v/>
      </c>
      <c r="H42" s="40"/>
      <c r="I42" s="35" t="str">
        <f aca="false">IF($B42="","",N($D42)+$G42+N($H42))</f>
        <v/>
      </c>
      <c r="J42" s="35" t="str">
        <f aca="false">IF($B42="","",$I42*CCSS_OBRERO)</f>
        <v/>
      </c>
      <c r="K42" s="40"/>
      <c r="L42" s="35" t="str">
        <f aca="false">IF($B42="","",$I42-$J42-N($K42))</f>
        <v/>
      </c>
      <c r="M42" s="35" t="str">
        <f aca="false">IF($B42="","",$I42*CCSS_PATRONAL)</f>
        <v/>
      </c>
      <c r="N42" s="35" t="str">
        <f aca="false">IF($B42="","",$I42*INS_RT)</f>
        <v/>
      </c>
      <c r="O42" s="35" t="str">
        <f aca="false">IF($B42="","",$I42*PROV_AGUINALDO)</f>
        <v/>
      </c>
      <c r="P42" s="35" t="str">
        <f aca="false">IF($B42="","",$I42*PROV_VACACIONES)</f>
        <v/>
      </c>
      <c r="Q42" s="35" t="str">
        <f aca="false">IF($B42="","",$I42*PROV_CESANTIA)</f>
        <v/>
      </c>
      <c r="R42" s="35" t="str">
        <f aca="false">IF($B42="","",$I42+SUM($M42:$Q42))</f>
        <v/>
      </c>
      <c r="S42" s="46" t="str">
        <f aca="false">IF(OR($A42="",$B42=""),"",DATE(YEAR($A42),MONTH($A42),1))</f>
        <v/>
      </c>
    </row>
    <row r="43" customFormat="false" ht="15" hidden="false" customHeight="false" outlineLevel="0" collapsed="false">
      <c r="A43" s="55"/>
      <c r="B43" s="6"/>
      <c r="C43" s="6"/>
      <c r="D43" s="40"/>
      <c r="E43" s="39"/>
      <c r="F43" s="35" t="str">
        <f aca="false">IF($B43="","",N($D43)/HORAS_MES*RECARGO_HE)</f>
        <v/>
      </c>
      <c r="G43" s="35" t="str">
        <f aca="false">IF($B43="","",N($E43)*$F43)</f>
        <v/>
      </c>
      <c r="H43" s="40"/>
      <c r="I43" s="35" t="str">
        <f aca="false">IF($B43="","",N($D43)+$G43+N($H43))</f>
        <v/>
      </c>
      <c r="J43" s="35" t="str">
        <f aca="false">IF($B43="","",$I43*CCSS_OBRERO)</f>
        <v/>
      </c>
      <c r="K43" s="40"/>
      <c r="L43" s="35" t="str">
        <f aca="false">IF($B43="","",$I43-$J43-N($K43))</f>
        <v/>
      </c>
      <c r="M43" s="35" t="str">
        <f aca="false">IF($B43="","",$I43*CCSS_PATRONAL)</f>
        <v/>
      </c>
      <c r="N43" s="35" t="str">
        <f aca="false">IF($B43="","",$I43*INS_RT)</f>
        <v/>
      </c>
      <c r="O43" s="35" t="str">
        <f aca="false">IF($B43="","",$I43*PROV_AGUINALDO)</f>
        <v/>
      </c>
      <c r="P43" s="35" t="str">
        <f aca="false">IF($B43="","",$I43*PROV_VACACIONES)</f>
        <v/>
      </c>
      <c r="Q43" s="35" t="str">
        <f aca="false">IF($B43="","",$I43*PROV_CESANTIA)</f>
        <v/>
      </c>
      <c r="R43" s="35" t="str">
        <f aca="false">IF($B43="","",$I43+SUM($M43:$Q43))</f>
        <v/>
      </c>
      <c r="S43" s="46" t="str">
        <f aca="false">IF(OR($A43="",$B43=""),"",DATE(YEAR($A43),MONTH($A43),1))</f>
        <v/>
      </c>
    </row>
    <row r="44" customFormat="false" ht="15" hidden="false" customHeight="false" outlineLevel="0" collapsed="false">
      <c r="A44" s="55"/>
      <c r="B44" s="6"/>
      <c r="C44" s="6"/>
      <c r="D44" s="40"/>
      <c r="E44" s="39"/>
      <c r="F44" s="35" t="str">
        <f aca="false">IF($B44="","",N($D44)/HORAS_MES*RECARGO_HE)</f>
        <v/>
      </c>
      <c r="G44" s="35" t="str">
        <f aca="false">IF($B44="","",N($E44)*$F44)</f>
        <v/>
      </c>
      <c r="H44" s="40"/>
      <c r="I44" s="35" t="str">
        <f aca="false">IF($B44="","",N($D44)+$G44+N($H44))</f>
        <v/>
      </c>
      <c r="J44" s="35" t="str">
        <f aca="false">IF($B44="","",$I44*CCSS_OBRERO)</f>
        <v/>
      </c>
      <c r="K44" s="40"/>
      <c r="L44" s="35" t="str">
        <f aca="false">IF($B44="","",$I44-$J44-N($K44))</f>
        <v/>
      </c>
      <c r="M44" s="35" t="str">
        <f aca="false">IF($B44="","",$I44*CCSS_PATRONAL)</f>
        <v/>
      </c>
      <c r="N44" s="35" t="str">
        <f aca="false">IF($B44="","",$I44*INS_RT)</f>
        <v/>
      </c>
      <c r="O44" s="35" t="str">
        <f aca="false">IF($B44="","",$I44*PROV_AGUINALDO)</f>
        <v/>
      </c>
      <c r="P44" s="35" t="str">
        <f aca="false">IF($B44="","",$I44*PROV_VACACIONES)</f>
        <v/>
      </c>
      <c r="Q44" s="35" t="str">
        <f aca="false">IF($B44="","",$I44*PROV_CESANTIA)</f>
        <v/>
      </c>
      <c r="R44" s="35" t="str">
        <f aca="false">IF($B44="","",$I44+SUM($M44:$Q44))</f>
        <v/>
      </c>
      <c r="S44" s="46" t="str">
        <f aca="false">IF(OR($A44="",$B44=""),"",DATE(YEAR($A44),MONTH($A44),1))</f>
        <v/>
      </c>
    </row>
    <row r="45" customFormat="false" ht="15" hidden="false" customHeight="false" outlineLevel="0" collapsed="false">
      <c r="A45" s="55"/>
      <c r="B45" s="6"/>
      <c r="C45" s="6"/>
      <c r="D45" s="40"/>
      <c r="E45" s="39"/>
      <c r="F45" s="35" t="str">
        <f aca="false">IF($B45="","",N($D45)/HORAS_MES*RECARGO_HE)</f>
        <v/>
      </c>
      <c r="G45" s="35" t="str">
        <f aca="false">IF($B45="","",N($E45)*$F45)</f>
        <v/>
      </c>
      <c r="H45" s="40"/>
      <c r="I45" s="35" t="str">
        <f aca="false">IF($B45="","",N($D45)+$G45+N($H45))</f>
        <v/>
      </c>
      <c r="J45" s="35" t="str">
        <f aca="false">IF($B45="","",$I45*CCSS_OBRERO)</f>
        <v/>
      </c>
      <c r="K45" s="40"/>
      <c r="L45" s="35" t="str">
        <f aca="false">IF($B45="","",$I45-$J45-N($K45))</f>
        <v/>
      </c>
      <c r="M45" s="35" t="str">
        <f aca="false">IF($B45="","",$I45*CCSS_PATRONAL)</f>
        <v/>
      </c>
      <c r="N45" s="35" t="str">
        <f aca="false">IF($B45="","",$I45*INS_RT)</f>
        <v/>
      </c>
      <c r="O45" s="35" t="str">
        <f aca="false">IF($B45="","",$I45*PROV_AGUINALDO)</f>
        <v/>
      </c>
      <c r="P45" s="35" t="str">
        <f aca="false">IF($B45="","",$I45*PROV_VACACIONES)</f>
        <v/>
      </c>
      <c r="Q45" s="35" t="str">
        <f aca="false">IF($B45="","",$I45*PROV_CESANTIA)</f>
        <v/>
      </c>
      <c r="R45" s="35" t="str">
        <f aca="false">IF($B45="","",$I45+SUM($M45:$Q45))</f>
        <v/>
      </c>
      <c r="S45" s="46" t="str">
        <f aca="false">IF(OR($A45="",$B45=""),"",DATE(YEAR($A45),MONTH($A45),1))</f>
        <v/>
      </c>
    </row>
    <row r="46" customFormat="false" ht="15" hidden="false" customHeight="false" outlineLevel="0" collapsed="false">
      <c r="A46" s="55"/>
      <c r="B46" s="6"/>
      <c r="C46" s="6"/>
      <c r="D46" s="40"/>
      <c r="E46" s="39"/>
      <c r="F46" s="35" t="str">
        <f aca="false">IF($B46="","",N($D46)/HORAS_MES*RECARGO_HE)</f>
        <v/>
      </c>
      <c r="G46" s="35" t="str">
        <f aca="false">IF($B46="","",N($E46)*$F46)</f>
        <v/>
      </c>
      <c r="H46" s="40"/>
      <c r="I46" s="35" t="str">
        <f aca="false">IF($B46="","",N($D46)+$G46+N($H46))</f>
        <v/>
      </c>
      <c r="J46" s="35" t="str">
        <f aca="false">IF($B46="","",$I46*CCSS_OBRERO)</f>
        <v/>
      </c>
      <c r="K46" s="40"/>
      <c r="L46" s="35" t="str">
        <f aca="false">IF($B46="","",$I46-$J46-N($K46))</f>
        <v/>
      </c>
      <c r="M46" s="35" t="str">
        <f aca="false">IF($B46="","",$I46*CCSS_PATRONAL)</f>
        <v/>
      </c>
      <c r="N46" s="35" t="str">
        <f aca="false">IF($B46="","",$I46*INS_RT)</f>
        <v/>
      </c>
      <c r="O46" s="35" t="str">
        <f aca="false">IF($B46="","",$I46*PROV_AGUINALDO)</f>
        <v/>
      </c>
      <c r="P46" s="35" t="str">
        <f aca="false">IF($B46="","",$I46*PROV_VACACIONES)</f>
        <v/>
      </c>
      <c r="Q46" s="35" t="str">
        <f aca="false">IF($B46="","",$I46*PROV_CESANTIA)</f>
        <v/>
      </c>
      <c r="R46" s="35" t="str">
        <f aca="false">IF($B46="","",$I46+SUM($M46:$Q46))</f>
        <v/>
      </c>
      <c r="S46" s="46" t="str">
        <f aca="false">IF(OR($A46="",$B46=""),"",DATE(YEAR($A46),MONTH($A46),1))</f>
        <v/>
      </c>
    </row>
    <row r="47" customFormat="false" ht="15" hidden="false" customHeight="false" outlineLevel="0" collapsed="false">
      <c r="A47" s="55"/>
      <c r="B47" s="6"/>
      <c r="C47" s="6"/>
      <c r="D47" s="40"/>
      <c r="E47" s="39"/>
      <c r="F47" s="35" t="str">
        <f aca="false">IF($B47="","",N($D47)/HORAS_MES*RECARGO_HE)</f>
        <v/>
      </c>
      <c r="G47" s="35" t="str">
        <f aca="false">IF($B47="","",N($E47)*$F47)</f>
        <v/>
      </c>
      <c r="H47" s="40"/>
      <c r="I47" s="35" t="str">
        <f aca="false">IF($B47="","",N($D47)+$G47+N($H47))</f>
        <v/>
      </c>
      <c r="J47" s="35" t="str">
        <f aca="false">IF($B47="","",$I47*CCSS_OBRERO)</f>
        <v/>
      </c>
      <c r="K47" s="40"/>
      <c r="L47" s="35" t="str">
        <f aca="false">IF($B47="","",$I47-$J47-N($K47))</f>
        <v/>
      </c>
      <c r="M47" s="35" t="str">
        <f aca="false">IF($B47="","",$I47*CCSS_PATRONAL)</f>
        <v/>
      </c>
      <c r="N47" s="35" t="str">
        <f aca="false">IF($B47="","",$I47*INS_RT)</f>
        <v/>
      </c>
      <c r="O47" s="35" t="str">
        <f aca="false">IF($B47="","",$I47*PROV_AGUINALDO)</f>
        <v/>
      </c>
      <c r="P47" s="35" t="str">
        <f aca="false">IF($B47="","",$I47*PROV_VACACIONES)</f>
        <v/>
      </c>
      <c r="Q47" s="35" t="str">
        <f aca="false">IF($B47="","",$I47*PROV_CESANTIA)</f>
        <v/>
      </c>
      <c r="R47" s="35" t="str">
        <f aca="false">IF($B47="","",$I47+SUM($M47:$Q47))</f>
        <v/>
      </c>
      <c r="S47" s="46" t="str">
        <f aca="false">IF(OR($A47="",$B47=""),"",DATE(YEAR($A47),MONTH($A47),1))</f>
        <v/>
      </c>
    </row>
    <row r="48" customFormat="false" ht="15" hidden="false" customHeight="false" outlineLevel="0" collapsed="false">
      <c r="A48" s="55"/>
      <c r="B48" s="6"/>
      <c r="C48" s="6"/>
      <c r="D48" s="40"/>
      <c r="E48" s="39"/>
      <c r="F48" s="35" t="str">
        <f aca="false">IF($B48="","",N($D48)/HORAS_MES*RECARGO_HE)</f>
        <v/>
      </c>
      <c r="G48" s="35" t="str">
        <f aca="false">IF($B48="","",N($E48)*$F48)</f>
        <v/>
      </c>
      <c r="H48" s="40"/>
      <c r="I48" s="35" t="str">
        <f aca="false">IF($B48="","",N($D48)+$G48+N($H48))</f>
        <v/>
      </c>
      <c r="J48" s="35" t="str">
        <f aca="false">IF($B48="","",$I48*CCSS_OBRERO)</f>
        <v/>
      </c>
      <c r="K48" s="40"/>
      <c r="L48" s="35" t="str">
        <f aca="false">IF($B48="","",$I48-$J48-N($K48))</f>
        <v/>
      </c>
      <c r="M48" s="35" t="str">
        <f aca="false">IF($B48="","",$I48*CCSS_PATRONAL)</f>
        <v/>
      </c>
      <c r="N48" s="35" t="str">
        <f aca="false">IF($B48="","",$I48*INS_RT)</f>
        <v/>
      </c>
      <c r="O48" s="35" t="str">
        <f aca="false">IF($B48="","",$I48*PROV_AGUINALDO)</f>
        <v/>
      </c>
      <c r="P48" s="35" t="str">
        <f aca="false">IF($B48="","",$I48*PROV_VACACIONES)</f>
        <v/>
      </c>
      <c r="Q48" s="35" t="str">
        <f aca="false">IF($B48="","",$I48*PROV_CESANTIA)</f>
        <v/>
      </c>
      <c r="R48" s="35" t="str">
        <f aca="false">IF($B48="","",$I48+SUM($M48:$Q48))</f>
        <v/>
      </c>
      <c r="S48" s="46" t="str">
        <f aca="false">IF(OR($A48="",$B48=""),"",DATE(YEAR($A48),MONTH($A48),1))</f>
        <v/>
      </c>
    </row>
    <row r="49" customFormat="false" ht="15" hidden="false" customHeight="false" outlineLevel="0" collapsed="false">
      <c r="A49" s="55"/>
      <c r="B49" s="6"/>
      <c r="C49" s="6"/>
      <c r="D49" s="40"/>
      <c r="E49" s="39"/>
      <c r="F49" s="35" t="str">
        <f aca="false">IF($B49="","",N($D49)/HORAS_MES*RECARGO_HE)</f>
        <v/>
      </c>
      <c r="G49" s="35" t="str">
        <f aca="false">IF($B49="","",N($E49)*$F49)</f>
        <v/>
      </c>
      <c r="H49" s="40"/>
      <c r="I49" s="35" t="str">
        <f aca="false">IF($B49="","",N($D49)+$G49+N($H49))</f>
        <v/>
      </c>
      <c r="J49" s="35" t="str">
        <f aca="false">IF($B49="","",$I49*CCSS_OBRERO)</f>
        <v/>
      </c>
      <c r="K49" s="40"/>
      <c r="L49" s="35" t="str">
        <f aca="false">IF($B49="","",$I49-$J49-N($K49))</f>
        <v/>
      </c>
      <c r="M49" s="35" t="str">
        <f aca="false">IF($B49="","",$I49*CCSS_PATRONAL)</f>
        <v/>
      </c>
      <c r="N49" s="35" t="str">
        <f aca="false">IF($B49="","",$I49*INS_RT)</f>
        <v/>
      </c>
      <c r="O49" s="35" t="str">
        <f aca="false">IF($B49="","",$I49*PROV_AGUINALDO)</f>
        <v/>
      </c>
      <c r="P49" s="35" t="str">
        <f aca="false">IF($B49="","",$I49*PROV_VACACIONES)</f>
        <v/>
      </c>
      <c r="Q49" s="35" t="str">
        <f aca="false">IF($B49="","",$I49*PROV_CESANTIA)</f>
        <v/>
      </c>
      <c r="R49" s="35" t="str">
        <f aca="false">IF($B49="","",$I49+SUM($M49:$Q49))</f>
        <v/>
      </c>
      <c r="S49" s="46" t="str">
        <f aca="false">IF(OR($A49="",$B49=""),"",DATE(YEAR($A49),MONTH($A49),1))</f>
        <v/>
      </c>
    </row>
    <row r="50" customFormat="false" ht="15" hidden="false" customHeight="false" outlineLevel="0" collapsed="false">
      <c r="A50" s="55"/>
      <c r="B50" s="6"/>
      <c r="C50" s="6"/>
      <c r="D50" s="40"/>
      <c r="E50" s="39"/>
      <c r="F50" s="35" t="str">
        <f aca="false">IF($B50="","",N($D50)/HORAS_MES*RECARGO_HE)</f>
        <v/>
      </c>
      <c r="G50" s="35" t="str">
        <f aca="false">IF($B50="","",N($E50)*$F50)</f>
        <v/>
      </c>
      <c r="H50" s="40"/>
      <c r="I50" s="35" t="str">
        <f aca="false">IF($B50="","",N($D50)+$G50+N($H50))</f>
        <v/>
      </c>
      <c r="J50" s="35" t="str">
        <f aca="false">IF($B50="","",$I50*CCSS_OBRERO)</f>
        <v/>
      </c>
      <c r="K50" s="40"/>
      <c r="L50" s="35" t="str">
        <f aca="false">IF($B50="","",$I50-$J50-N($K50))</f>
        <v/>
      </c>
      <c r="M50" s="35" t="str">
        <f aca="false">IF($B50="","",$I50*CCSS_PATRONAL)</f>
        <v/>
      </c>
      <c r="N50" s="35" t="str">
        <f aca="false">IF($B50="","",$I50*INS_RT)</f>
        <v/>
      </c>
      <c r="O50" s="35" t="str">
        <f aca="false">IF($B50="","",$I50*PROV_AGUINALDO)</f>
        <v/>
      </c>
      <c r="P50" s="35" t="str">
        <f aca="false">IF($B50="","",$I50*PROV_VACACIONES)</f>
        <v/>
      </c>
      <c r="Q50" s="35" t="str">
        <f aca="false">IF($B50="","",$I50*PROV_CESANTIA)</f>
        <v/>
      </c>
      <c r="R50" s="35" t="str">
        <f aca="false">IF($B50="","",$I50+SUM($M50:$Q50))</f>
        <v/>
      </c>
      <c r="S50" s="46" t="str">
        <f aca="false">IF(OR($A50="",$B50=""),"",DATE(YEAR($A50),MONTH($A50),1))</f>
        <v/>
      </c>
    </row>
    <row r="51" customFormat="false" ht="15" hidden="false" customHeight="false" outlineLevel="0" collapsed="false">
      <c r="A51" s="55"/>
      <c r="B51" s="6"/>
      <c r="C51" s="6"/>
      <c r="D51" s="40"/>
      <c r="E51" s="39"/>
      <c r="F51" s="35" t="str">
        <f aca="false">IF($B51="","",N($D51)/HORAS_MES*RECARGO_HE)</f>
        <v/>
      </c>
      <c r="G51" s="35" t="str">
        <f aca="false">IF($B51="","",N($E51)*$F51)</f>
        <v/>
      </c>
      <c r="H51" s="40"/>
      <c r="I51" s="35" t="str">
        <f aca="false">IF($B51="","",N($D51)+$G51+N($H51))</f>
        <v/>
      </c>
      <c r="J51" s="35" t="str">
        <f aca="false">IF($B51="","",$I51*CCSS_OBRERO)</f>
        <v/>
      </c>
      <c r="K51" s="40"/>
      <c r="L51" s="35" t="str">
        <f aca="false">IF($B51="","",$I51-$J51-N($K51))</f>
        <v/>
      </c>
      <c r="M51" s="35" t="str">
        <f aca="false">IF($B51="","",$I51*CCSS_PATRONAL)</f>
        <v/>
      </c>
      <c r="N51" s="35" t="str">
        <f aca="false">IF($B51="","",$I51*INS_RT)</f>
        <v/>
      </c>
      <c r="O51" s="35" t="str">
        <f aca="false">IF($B51="","",$I51*PROV_AGUINALDO)</f>
        <v/>
      </c>
      <c r="P51" s="35" t="str">
        <f aca="false">IF($B51="","",$I51*PROV_VACACIONES)</f>
        <v/>
      </c>
      <c r="Q51" s="35" t="str">
        <f aca="false">IF($B51="","",$I51*PROV_CESANTIA)</f>
        <v/>
      </c>
      <c r="R51" s="35" t="str">
        <f aca="false">IF($B51="","",$I51+SUM($M51:$Q51))</f>
        <v/>
      </c>
      <c r="S51" s="46" t="str">
        <f aca="false">IF(OR($A51="",$B51=""),"",DATE(YEAR($A51),MONTH($A51),1))</f>
        <v/>
      </c>
    </row>
    <row r="52" customFormat="false" ht="15" hidden="false" customHeight="false" outlineLevel="0" collapsed="false">
      <c r="A52" s="55"/>
      <c r="B52" s="6"/>
      <c r="C52" s="6"/>
      <c r="D52" s="40"/>
      <c r="E52" s="39"/>
      <c r="F52" s="35" t="str">
        <f aca="false">IF($B52="","",N($D52)/HORAS_MES*RECARGO_HE)</f>
        <v/>
      </c>
      <c r="G52" s="35" t="str">
        <f aca="false">IF($B52="","",N($E52)*$F52)</f>
        <v/>
      </c>
      <c r="H52" s="40"/>
      <c r="I52" s="35" t="str">
        <f aca="false">IF($B52="","",N($D52)+$G52+N($H52))</f>
        <v/>
      </c>
      <c r="J52" s="35" t="str">
        <f aca="false">IF($B52="","",$I52*CCSS_OBRERO)</f>
        <v/>
      </c>
      <c r="K52" s="40"/>
      <c r="L52" s="35" t="str">
        <f aca="false">IF($B52="","",$I52-$J52-N($K52))</f>
        <v/>
      </c>
      <c r="M52" s="35" t="str">
        <f aca="false">IF($B52="","",$I52*CCSS_PATRONAL)</f>
        <v/>
      </c>
      <c r="N52" s="35" t="str">
        <f aca="false">IF($B52="","",$I52*INS_RT)</f>
        <v/>
      </c>
      <c r="O52" s="35" t="str">
        <f aca="false">IF($B52="","",$I52*PROV_AGUINALDO)</f>
        <v/>
      </c>
      <c r="P52" s="35" t="str">
        <f aca="false">IF($B52="","",$I52*PROV_VACACIONES)</f>
        <v/>
      </c>
      <c r="Q52" s="35" t="str">
        <f aca="false">IF($B52="","",$I52*PROV_CESANTIA)</f>
        <v/>
      </c>
      <c r="R52" s="35" t="str">
        <f aca="false">IF($B52="","",$I52+SUM($M52:$Q52))</f>
        <v/>
      </c>
      <c r="S52" s="46" t="str">
        <f aca="false">IF(OR($A52="",$B52=""),"",DATE(YEAR($A52),MONTH($A52),1))</f>
        <v/>
      </c>
    </row>
    <row r="53" customFormat="false" ht="15" hidden="false" customHeight="false" outlineLevel="0" collapsed="false">
      <c r="A53" s="55"/>
      <c r="B53" s="6"/>
      <c r="C53" s="6"/>
      <c r="D53" s="40"/>
      <c r="E53" s="39"/>
      <c r="F53" s="35" t="str">
        <f aca="false">IF($B53="","",N($D53)/HORAS_MES*RECARGO_HE)</f>
        <v/>
      </c>
      <c r="G53" s="35" t="str">
        <f aca="false">IF($B53="","",N($E53)*$F53)</f>
        <v/>
      </c>
      <c r="H53" s="40"/>
      <c r="I53" s="35" t="str">
        <f aca="false">IF($B53="","",N($D53)+$G53+N($H53))</f>
        <v/>
      </c>
      <c r="J53" s="35" t="str">
        <f aca="false">IF($B53="","",$I53*CCSS_OBRERO)</f>
        <v/>
      </c>
      <c r="K53" s="40"/>
      <c r="L53" s="35" t="str">
        <f aca="false">IF($B53="","",$I53-$J53-N($K53))</f>
        <v/>
      </c>
      <c r="M53" s="35" t="str">
        <f aca="false">IF($B53="","",$I53*CCSS_PATRONAL)</f>
        <v/>
      </c>
      <c r="N53" s="35" t="str">
        <f aca="false">IF($B53="","",$I53*INS_RT)</f>
        <v/>
      </c>
      <c r="O53" s="35" t="str">
        <f aca="false">IF($B53="","",$I53*PROV_AGUINALDO)</f>
        <v/>
      </c>
      <c r="P53" s="35" t="str">
        <f aca="false">IF($B53="","",$I53*PROV_VACACIONES)</f>
        <v/>
      </c>
      <c r="Q53" s="35" t="str">
        <f aca="false">IF($B53="","",$I53*PROV_CESANTIA)</f>
        <v/>
      </c>
      <c r="R53" s="35" t="str">
        <f aca="false">IF($B53="","",$I53+SUM($M53:$Q53))</f>
        <v/>
      </c>
      <c r="S53" s="46" t="str">
        <f aca="false">IF(OR($A53="",$B53=""),"",DATE(YEAR($A53),MONTH($A53),1))</f>
        <v/>
      </c>
    </row>
    <row r="54" customFormat="false" ht="15" hidden="false" customHeight="false" outlineLevel="0" collapsed="false">
      <c r="A54" s="55"/>
      <c r="B54" s="6"/>
      <c r="C54" s="6"/>
      <c r="D54" s="40"/>
      <c r="E54" s="39"/>
      <c r="F54" s="35" t="str">
        <f aca="false">IF($B54="","",N($D54)/HORAS_MES*RECARGO_HE)</f>
        <v/>
      </c>
      <c r="G54" s="35" t="str">
        <f aca="false">IF($B54="","",N($E54)*$F54)</f>
        <v/>
      </c>
      <c r="H54" s="40"/>
      <c r="I54" s="35" t="str">
        <f aca="false">IF($B54="","",N($D54)+$G54+N($H54))</f>
        <v/>
      </c>
      <c r="J54" s="35" t="str">
        <f aca="false">IF($B54="","",$I54*CCSS_OBRERO)</f>
        <v/>
      </c>
      <c r="K54" s="40"/>
      <c r="L54" s="35" t="str">
        <f aca="false">IF($B54="","",$I54-$J54-N($K54))</f>
        <v/>
      </c>
      <c r="M54" s="35" t="str">
        <f aca="false">IF($B54="","",$I54*CCSS_PATRONAL)</f>
        <v/>
      </c>
      <c r="N54" s="35" t="str">
        <f aca="false">IF($B54="","",$I54*INS_RT)</f>
        <v/>
      </c>
      <c r="O54" s="35" t="str">
        <f aca="false">IF($B54="","",$I54*PROV_AGUINALDO)</f>
        <v/>
      </c>
      <c r="P54" s="35" t="str">
        <f aca="false">IF($B54="","",$I54*PROV_VACACIONES)</f>
        <v/>
      </c>
      <c r="Q54" s="35" t="str">
        <f aca="false">IF($B54="","",$I54*PROV_CESANTIA)</f>
        <v/>
      </c>
      <c r="R54" s="35" t="str">
        <f aca="false">IF($B54="","",$I54+SUM($M54:$Q54))</f>
        <v/>
      </c>
      <c r="S54" s="46" t="str">
        <f aca="false">IF(OR($A54="",$B54=""),"",DATE(YEAR($A54),MONTH($A54),1))</f>
        <v/>
      </c>
    </row>
    <row r="55" customFormat="false" ht="15" hidden="false" customHeight="false" outlineLevel="0" collapsed="false">
      <c r="A55" s="55"/>
      <c r="B55" s="6"/>
      <c r="C55" s="6"/>
      <c r="D55" s="40"/>
      <c r="E55" s="39"/>
      <c r="F55" s="35" t="str">
        <f aca="false">IF($B55="","",N($D55)/HORAS_MES*RECARGO_HE)</f>
        <v/>
      </c>
      <c r="G55" s="35" t="str">
        <f aca="false">IF($B55="","",N($E55)*$F55)</f>
        <v/>
      </c>
      <c r="H55" s="40"/>
      <c r="I55" s="35" t="str">
        <f aca="false">IF($B55="","",N($D55)+$G55+N($H55))</f>
        <v/>
      </c>
      <c r="J55" s="35" t="str">
        <f aca="false">IF($B55="","",$I55*CCSS_OBRERO)</f>
        <v/>
      </c>
      <c r="K55" s="40"/>
      <c r="L55" s="35" t="str">
        <f aca="false">IF($B55="","",$I55-$J55-N($K55))</f>
        <v/>
      </c>
      <c r="M55" s="35" t="str">
        <f aca="false">IF($B55="","",$I55*CCSS_PATRONAL)</f>
        <v/>
      </c>
      <c r="N55" s="35" t="str">
        <f aca="false">IF($B55="","",$I55*INS_RT)</f>
        <v/>
      </c>
      <c r="O55" s="35" t="str">
        <f aca="false">IF($B55="","",$I55*PROV_AGUINALDO)</f>
        <v/>
      </c>
      <c r="P55" s="35" t="str">
        <f aca="false">IF($B55="","",$I55*PROV_VACACIONES)</f>
        <v/>
      </c>
      <c r="Q55" s="35" t="str">
        <f aca="false">IF($B55="","",$I55*PROV_CESANTIA)</f>
        <v/>
      </c>
      <c r="R55" s="35" t="str">
        <f aca="false">IF($B55="","",$I55+SUM($M55:$Q55))</f>
        <v/>
      </c>
      <c r="S55" s="46" t="str">
        <f aca="false">IF(OR($A55="",$B55=""),"",DATE(YEAR($A55),MONTH($A55),1))</f>
        <v/>
      </c>
    </row>
    <row r="56" customFormat="false" ht="15" hidden="false" customHeight="false" outlineLevel="0" collapsed="false">
      <c r="A56" s="55"/>
      <c r="B56" s="6"/>
      <c r="C56" s="6"/>
      <c r="D56" s="40"/>
      <c r="E56" s="39"/>
      <c r="F56" s="35" t="str">
        <f aca="false">IF($B56="","",N($D56)/HORAS_MES*RECARGO_HE)</f>
        <v/>
      </c>
      <c r="G56" s="35" t="str">
        <f aca="false">IF($B56="","",N($E56)*$F56)</f>
        <v/>
      </c>
      <c r="H56" s="40"/>
      <c r="I56" s="35" t="str">
        <f aca="false">IF($B56="","",N($D56)+$G56+N($H56))</f>
        <v/>
      </c>
      <c r="J56" s="35" t="str">
        <f aca="false">IF($B56="","",$I56*CCSS_OBRERO)</f>
        <v/>
      </c>
      <c r="K56" s="40"/>
      <c r="L56" s="35" t="str">
        <f aca="false">IF($B56="","",$I56-$J56-N($K56))</f>
        <v/>
      </c>
      <c r="M56" s="35" t="str">
        <f aca="false">IF($B56="","",$I56*CCSS_PATRONAL)</f>
        <v/>
      </c>
      <c r="N56" s="35" t="str">
        <f aca="false">IF($B56="","",$I56*INS_RT)</f>
        <v/>
      </c>
      <c r="O56" s="35" t="str">
        <f aca="false">IF($B56="","",$I56*PROV_AGUINALDO)</f>
        <v/>
      </c>
      <c r="P56" s="35" t="str">
        <f aca="false">IF($B56="","",$I56*PROV_VACACIONES)</f>
        <v/>
      </c>
      <c r="Q56" s="35" t="str">
        <f aca="false">IF($B56="","",$I56*PROV_CESANTIA)</f>
        <v/>
      </c>
      <c r="R56" s="35" t="str">
        <f aca="false">IF($B56="","",$I56+SUM($M56:$Q56))</f>
        <v/>
      </c>
      <c r="S56" s="46" t="str">
        <f aca="false">IF(OR($A56="",$B56=""),"",DATE(YEAR($A56),MONTH($A56),1))</f>
        <v/>
      </c>
    </row>
    <row r="57" customFormat="false" ht="15" hidden="false" customHeight="false" outlineLevel="0" collapsed="false">
      <c r="A57" s="55"/>
      <c r="B57" s="6"/>
      <c r="C57" s="6"/>
      <c r="D57" s="40"/>
      <c r="E57" s="39"/>
      <c r="F57" s="35" t="str">
        <f aca="false">IF($B57="","",N($D57)/HORAS_MES*RECARGO_HE)</f>
        <v/>
      </c>
      <c r="G57" s="35" t="str">
        <f aca="false">IF($B57="","",N($E57)*$F57)</f>
        <v/>
      </c>
      <c r="H57" s="40"/>
      <c r="I57" s="35" t="str">
        <f aca="false">IF($B57="","",N($D57)+$G57+N($H57))</f>
        <v/>
      </c>
      <c r="J57" s="35" t="str">
        <f aca="false">IF($B57="","",$I57*CCSS_OBRERO)</f>
        <v/>
      </c>
      <c r="K57" s="40"/>
      <c r="L57" s="35" t="str">
        <f aca="false">IF($B57="","",$I57-$J57-N($K57))</f>
        <v/>
      </c>
      <c r="M57" s="35" t="str">
        <f aca="false">IF($B57="","",$I57*CCSS_PATRONAL)</f>
        <v/>
      </c>
      <c r="N57" s="35" t="str">
        <f aca="false">IF($B57="","",$I57*INS_RT)</f>
        <v/>
      </c>
      <c r="O57" s="35" t="str">
        <f aca="false">IF($B57="","",$I57*PROV_AGUINALDO)</f>
        <v/>
      </c>
      <c r="P57" s="35" t="str">
        <f aca="false">IF($B57="","",$I57*PROV_VACACIONES)</f>
        <v/>
      </c>
      <c r="Q57" s="35" t="str">
        <f aca="false">IF($B57="","",$I57*PROV_CESANTIA)</f>
        <v/>
      </c>
      <c r="R57" s="35" t="str">
        <f aca="false">IF($B57="","",$I57+SUM($M57:$Q57))</f>
        <v/>
      </c>
      <c r="S57" s="46" t="str">
        <f aca="false">IF(OR($A57="",$B57=""),"",DATE(YEAR($A57),MONTH($A57),1))</f>
        <v/>
      </c>
    </row>
    <row r="58" customFormat="false" ht="15" hidden="false" customHeight="false" outlineLevel="0" collapsed="false">
      <c r="A58" s="55"/>
      <c r="B58" s="6"/>
      <c r="C58" s="6"/>
      <c r="D58" s="40"/>
      <c r="E58" s="39"/>
      <c r="F58" s="35" t="str">
        <f aca="false">IF($B58="","",N($D58)/HORAS_MES*RECARGO_HE)</f>
        <v/>
      </c>
      <c r="G58" s="35" t="str">
        <f aca="false">IF($B58="","",N($E58)*$F58)</f>
        <v/>
      </c>
      <c r="H58" s="40"/>
      <c r="I58" s="35" t="str">
        <f aca="false">IF($B58="","",N($D58)+$G58+N($H58))</f>
        <v/>
      </c>
      <c r="J58" s="35" t="str">
        <f aca="false">IF($B58="","",$I58*CCSS_OBRERO)</f>
        <v/>
      </c>
      <c r="K58" s="40"/>
      <c r="L58" s="35" t="str">
        <f aca="false">IF($B58="","",$I58-$J58-N($K58))</f>
        <v/>
      </c>
      <c r="M58" s="35" t="str">
        <f aca="false">IF($B58="","",$I58*CCSS_PATRONAL)</f>
        <v/>
      </c>
      <c r="N58" s="35" t="str">
        <f aca="false">IF($B58="","",$I58*INS_RT)</f>
        <v/>
      </c>
      <c r="O58" s="35" t="str">
        <f aca="false">IF($B58="","",$I58*PROV_AGUINALDO)</f>
        <v/>
      </c>
      <c r="P58" s="35" t="str">
        <f aca="false">IF($B58="","",$I58*PROV_VACACIONES)</f>
        <v/>
      </c>
      <c r="Q58" s="35" t="str">
        <f aca="false">IF($B58="","",$I58*PROV_CESANTIA)</f>
        <v/>
      </c>
      <c r="R58" s="35" t="str">
        <f aca="false">IF($B58="","",$I58+SUM($M58:$Q58))</f>
        <v/>
      </c>
      <c r="S58" s="46" t="str">
        <f aca="false">IF(OR($A58="",$B58=""),"",DATE(YEAR($A58),MONTH($A58),1))</f>
        <v/>
      </c>
    </row>
    <row r="59" customFormat="false" ht="15" hidden="false" customHeight="false" outlineLevel="0" collapsed="false">
      <c r="A59" s="55"/>
      <c r="B59" s="6"/>
      <c r="C59" s="6"/>
      <c r="D59" s="40"/>
      <c r="E59" s="39"/>
      <c r="F59" s="35" t="str">
        <f aca="false">IF($B59="","",N($D59)/HORAS_MES*RECARGO_HE)</f>
        <v/>
      </c>
      <c r="G59" s="35" t="str">
        <f aca="false">IF($B59="","",N($E59)*$F59)</f>
        <v/>
      </c>
      <c r="H59" s="40"/>
      <c r="I59" s="35" t="str">
        <f aca="false">IF($B59="","",N($D59)+$G59+N($H59))</f>
        <v/>
      </c>
      <c r="J59" s="35" t="str">
        <f aca="false">IF($B59="","",$I59*CCSS_OBRERO)</f>
        <v/>
      </c>
      <c r="K59" s="40"/>
      <c r="L59" s="35" t="str">
        <f aca="false">IF($B59="","",$I59-$J59-N($K59))</f>
        <v/>
      </c>
      <c r="M59" s="35" t="str">
        <f aca="false">IF($B59="","",$I59*CCSS_PATRONAL)</f>
        <v/>
      </c>
      <c r="N59" s="35" t="str">
        <f aca="false">IF($B59="","",$I59*INS_RT)</f>
        <v/>
      </c>
      <c r="O59" s="35" t="str">
        <f aca="false">IF($B59="","",$I59*PROV_AGUINALDO)</f>
        <v/>
      </c>
      <c r="P59" s="35" t="str">
        <f aca="false">IF($B59="","",$I59*PROV_VACACIONES)</f>
        <v/>
      </c>
      <c r="Q59" s="35" t="str">
        <f aca="false">IF($B59="","",$I59*PROV_CESANTIA)</f>
        <v/>
      </c>
      <c r="R59" s="35" t="str">
        <f aca="false">IF($B59="","",$I59+SUM($M59:$Q59))</f>
        <v/>
      </c>
      <c r="S59" s="46" t="str">
        <f aca="false">IF(OR($A59="",$B59=""),"",DATE(YEAR($A59),MONTH($A59),1))</f>
        <v/>
      </c>
    </row>
    <row r="60" customFormat="false" ht="15" hidden="false" customHeight="false" outlineLevel="0" collapsed="false">
      <c r="A60" s="55"/>
      <c r="B60" s="6"/>
      <c r="C60" s="6"/>
      <c r="D60" s="40"/>
      <c r="E60" s="39"/>
      <c r="F60" s="35" t="str">
        <f aca="false">IF($B60="","",N($D60)/HORAS_MES*RECARGO_HE)</f>
        <v/>
      </c>
      <c r="G60" s="35" t="str">
        <f aca="false">IF($B60="","",N($E60)*$F60)</f>
        <v/>
      </c>
      <c r="H60" s="40"/>
      <c r="I60" s="35" t="str">
        <f aca="false">IF($B60="","",N($D60)+$G60+N($H60))</f>
        <v/>
      </c>
      <c r="J60" s="35" t="str">
        <f aca="false">IF($B60="","",$I60*CCSS_OBRERO)</f>
        <v/>
      </c>
      <c r="K60" s="40"/>
      <c r="L60" s="35" t="str">
        <f aca="false">IF($B60="","",$I60-$J60-N($K60))</f>
        <v/>
      </c>
      <c r="M60" s="35" t="str">
        <f aca="false">IF($B60="","",$I60*CCSS_PATRONAL)</f>
        <v/>
      </c>
      <c r="N60" s="35" t="str">
        <f aca="false">IF($B60="","",$I60*INS_RT)</f>
        <v/>
      </c>
      <c r="O60" s="35" t="str">
        <f aca="false">IF($B60="","",$I60*PROV_AGUINALDO)</f>
        <v/>
      </c>
      <c r="P60" s="35" t="str">
        <f aca="false">IF($B60="","",$I60*PROV_VACACIONES)</f>
        <v/>
      </c>
      <c r="Q60" s="35" t="str">
        <f aca="false">IF($B60="","",$I60*PROV_CESANTIA)</f>
        <v/>
      </c>
      <c r="R60" s="35" t="str">
        <f aca="false">IF($B60="","",$I60+SUM($M60:$Q60))</f>
        <v/>
      </c>
      <c r="S60" s="46" t="str">
        <f aca="false">IF(OR($A60="",$B60=""),"",DATE(YEAR($A60),MONTH($A60),1))</f>
        <v/>
      </c>
    </row>
    <row r="61" customFormat="false" ht="15" hidden="false" customHeight="false" outlineLevel="0" collapsed="false">
      <c r="A61" s="55"/>
      <c r="B61" s="6"/>
      <c r="C61" s="6"/>
      <c r="D61" s="40"/>
      <c r="E61" s="39"/>
      <c r="F61" s="35" t="str">
        <f aca="false">IF($B61="","",N($D61)/HORAS_MES*RECARGO_HE)</f>
        <v/>
      </c>
      <c r="G61" s="35" t="str">
        <f aca="false">IF($B61="","",N($E61)*$F61)</f>
        <v/>
      </c>
      <c r="H61" s="40"/>
      <c r="I61" s="35" t="str">
        <f aca="false">IF($B61="","",N($D61)+$G61+N($H61))</f>
        <v/>
      </c>
      <c r="J61" s="35" t="str">
        <f aca="false">IF($B61="","",$I61*CCSS_OBRERO)</f>
        <v/>
      </c>
      <c r="K61" s="40"/>
      <c r="L61" s="35" t="str">
        <f aca="false">IF($B61="","",$I61-$J61-N($K61))</f>
        <v/>
      </c>
      <c r="M61" s="35" t="str">
        <f aca="false">IF($B61="","",$I61*CCSS_PATRONAL)</f>
        <v/>
      </c>
      <c r="N61" s="35" t="str">
        <f aca="false">IF($B61="","",$I61*INS_RT)</f>
        <v/>
      </c>
      <c r="O61" s="35" t="str">
        <f aca="false">IF($B61="","",$I61*PROV_AGUINALDO)</f>
        <v/>
      </c>
      <c r="P61" s="35" t="str">
        <f aca="false">IF($B61="","",$I61*PROV_VACACIONES)</f>
        <v/>
      </c>
      <c r="Q61" s="35" t="str">
        <f aca="false">IF($B61="","",$I61*PROV_CESANTIA)</f>
        <v/>
      </c>
      <c r="R61" s="35" t="str">
        <f aca="false">IF($B61="","",$I61+SUM($M61:$Q61))</f>
        <v/>
      </c>
      <c r="S61" s="46" t="str">
        <f aca="false">IF(OR($A61="",$B61=""),"",DATE(YEAR($A61),MONTH($A61),1))</f>
        <v/>
      </c>
    </row>
    <row r="62" customFormat="false" ht="15" hidden="false" customHeight="false" outlineLevel="0" collapsed="false">
      <c r="A62" s="55"/>
      <c r="B62" s="6"/>
      <c r="C62" s="6"/>
      <c r="D62" s="40"/>
      <c r="E62" s="39"/>
      <c r="F62" s="35" t="str">
        <f aca="false">IF($B62="","",N($D62)/HORAS_MES*RECARGO_HE)</f>
        <v/>
      </c>
      <c r="G62" s="35" t="str">
        <f aca="false">IF($B62="","",N($E62)*$F62)</f>
        <v/>
      </c>
      <c r="H62" s="40"/>
      <c r="I62" s="35" t="str">
        <f aca="false">IF($B62="","",N($D62)+$G62+N($H62))</f>
        <v/>
      </c>
      <c r="J62" s="35" t="str">
        <f aca="false">IF($B62="","",$I62*CCSS_OBRERO)</f>
        <v/>
      </c>
      <c r="K62" s="40"/>
      <c r="L62" s="35" t="str">
        <f aca="false">IF($B62="","",$I62-$J62-N($K62))</f>
        <v/>
      </c>
      <c r="M62" s="35" t="str">
        <f aca="false">IF($B62="","",$I62*CCSS_PATRONAL)</f>
        <v/>
      </c>
      <c r="N62" s="35" t="str">
        <f aca="false">IF($B62="","",$I62*INS_RT)</f>
        <v/>
      </c>
      <c r="O62" s="35" t="str">
        <f aca="false">IF($B62="","",$I62*PROV_AGUINALDO)</f>
        <v/>
      </c>
      <c r="P62" s="35" t="str">
        <f aca="false">IF($B62="","",$I62*PROV_VACACIONES)</f>
        <v/>
      </c>
      <c r="Q62" s="35" t="str">
        <f aca="false">IF($B62="","",$I62*PROV_CESANTIA)</f>
        <v/>
      </c>
      <c r="R62" s="35" t="str">
        <f aca="false">IF($B62="","",$I62+SUM($M62:$Q62))</f>
        <v/>
      </c>
      <c r="S62" s="46" t="str">
        <f aca="false">IF(OR($A62="",$B62=""),"",DATE(YEAR($A62),MONTH($A62),1))</f>
        <v/>
      </c>
    </row>
    <row r="63" customFormat="false" ht="15" hidden="false" customHeight="false" outlineLevel="0" collapsed="false">
      <c r="A63" s="55"/>
      <c r="B63" s="6"/>
      <c r="C63" s="6"/>
      <c r="D63" s="40"/>
      <c r="E63" s="39"/>
      <c r="F63" s="35" t="str">
        <f aca="false">IF($B63="","",N($D63)/HORAS_MES*RECARGO_HE)</f>
        <v/>
      </c>
      <c r="G63" s="35" t="str">
        <f aca="false">IF($B63="","",N($E63)*$F63)</f>
        <v/>
      </c>
      <c r="H63" s="40"/>
      <c r="I63" s="35" t="str">
        <f aca="false">IF($B63="","",N($D63)+$G63+N($H63))</f>
        <v/>
      </c>
      <c r="J63" s="35" t="str">
        <f aca="false">IF($B63="","",$I63*CCSS_OBRERO)</f>
        <v/>
      </c>
      <c r="K63" s="40"/>
      <c r="L63" s="35" t="str">
        <f aca="false">IF($B63="","",$I63-$J63-N($K63))</f>
        <v/>
      </c>
      <c r="M63" s="35" t="str">
        <f aca="false">IF($B63="","",$I63*CCSS_PATRONAL)</f>
        <v/>
      </c>
      <c r="N63" s="35" t="str">
        <f aca="false">IF($B63="","",$I63*INS_RT)</f>
        <v/>
      </c>
      <c r="O63" s="35" t="str">
        <f aca="false">IF($B63="","",$I63*PROV_AGUINALDO)</f>
        <v/>
      </c>
      <c r="P63" s="35" t="str">
        <f aca="false">IF($B63="","",$I63*PROV_VACACIONES)</f>
        <v/>
      </c>
      <c r="Q63" s="35" t="str">
        <f aca="false">IF($B63="","",$I63*PROV_CESANTIA)</f>
        <v/>
      </c>
      <c r="R63" s="35" t="str">
        <f aca="false">IF($B63="","",$I63+SUM($M63:$Q63))</f>
        <v/>
      </c>
      <c r="S63" s="46" t="str">
        <f aca="false">IF(OR($A63="",$B63=""),"",DATE(YEAR($A63),MONTH($A63),1))</f>
        <v/>
      </c>
    </row>
    <row r="64" customFormat="false" ht="15" hidden="false" customHeight="false" outlineLevel="0" collapsed="false">
      <c r="A64" s="55"/>
      <c r="B64" s="6"/>
      <c r="C64" s="6"/>
      <c r="D64" s="40"/>
      <c r="E64" s="39"/>
      <c r="F64" s="35" t="str">
        <f aca="false">IF($B64="","",N($D64)/HORAS_MES*RECARGO_HE)</f>
        <v/>
      </c>
      <c r="G64" s="35" t="str">
        <f aca="false">IF($B64="","",N($E64)*$F64)</f>
        <v/>
      </c>
      <c r="H64" s="40"/>
      <c r="I64" s="35" t="str">
        <f aca="false">IF($B64="","",N($D64)+$G64+N($H64))</f>
        <v/>
      </c>
      <c r="J64" s="35" t="str">
        <f aca="false">IF($B64="","",$I64*CCSS_OBRERO)</f>
        <v/>
      </c>
      <c r="K64" s="40"/>
      <c r="L64" s="35" t="str">
        <f aca="false">IF($B64="","",$I64-$J64-N($K64))</f>
        <v/>
      </c>
      <c r="M64" s="35" t="str">
        <f aca="false">IF($B64="","",$I64*CCSS_PATRONAL)</f>
        <v/>
      </c>
      <c r="N64" s="35" t="str">
        <f aca="false">IF($B64="","",$I64*INS_RT)</f>
        <v/>
      </c>
      <c r="O64" s="35" t="str">
        <f aca="false">IF($B64="","",$I64*PROV_AGUINALDO)</f>
        <v/>
      </c>
      <c r="P64" s="35" t="str">
        <f aca="false">IF($B64="","",$I64*PROV_VACACIONES)</f>
        <v/>
      </c>
      <c r="Q64" s="35" t="str">
        <f aca="false">IF($B64="","",$I64*PROV_CESANTIA)</f>
        <v/>
      </c>
      <c r="R64" s="35" t="str">
        <f aca="false">IF($B64="","",$I64+SUM($M64:$Q64))</f>
        <v/>
      </c>
      <c r="S64" s="46" t="str">
        <f aca="false">IF(OR($A64="",$B64=""),"",DATE(YEAR($A64),MONTH($A64),1))</f>
        <v/>
      </c>
    </row>
    <row r="65" customFormat="false" ht="15" hidden="false" customHeight="false" outlineLevel="0" collapsed="false">
      <c r="A65" s="55"/>
      <c r="B65" s="6"/>
      <c r="C65" s="6"/>
      <c r="D65" s="40"/>
      <c r="E65" s="39"/>
      <c r="F65" s="35" t="str">
        <f aca="false">IF($B65="","",N($D65)/HORAS_MES*RECARGO_HE)</f>
        <v/>
      </c>
      <c r="G65" s="35" t="str">
        <f aca="false">IF($B65="","",N($E65)*$F65)</f>
        <v/>
      </c>
      <c r="H65" s="40"/>
      <c r="I65" s="35" t="str">
        <f aca="false">IF($B65="","",N($D65)+$G65+N($H65))</f>
        <v/>
      </c>
      <c r="J65" s="35" t="str">
        <f aca="false">IF($B65="","",$I65*CCSS_OBRERO)</f>
        <v/>
      </c>
      <c r="K65" s="40"/>
      <c r="L65" s="35" t="str">
        <f aca="false">IF($B65="","",$I65-$J65-N($K65))</f>
        <v/>
      </c>
      <c r="M65" s="35" t="str">
        <f aca="false">IF($B65="","",$I65*CCSS_PATRONAL)</f>
        <v/>
      </c>
      <c r="N65" s="35" t="str">
        <f aca="false">IF($B65="","",$I65*INS_RT)</f>
        <v/>
      </c>
      <c r="O65" s="35" t="str">
        <f aca="false">IF($B65="","",$I65*PROV_AGUINALDO)</f>
        <v/>
      </c>
      <c r="P65" s="35" t="str">
        <f aca="false">IF($B65="","",$I65*PROV_VACACIONES)</f>
        <v/>
      </c>
      <c r="Q65" s="35" t="str">
        <f aca="false">IF($B65="","",$I65*PROV_CESANTIA)</f>
        <v/>
      </c>
      <c r="R65" s="35" t="str">
        <f aca="false">IF($B65="","",$I65+SUM($M65:$Q65))</f>
        <v/>
      </c>
      <c r="S65" s="46" t="str">
        <f aca="false">IF(OR($A65="",$B65=""),"",DATE(YEAR($A65),MONTH($A65),1))</f>
        <v/>
      </c>
    </row>
    <row r="66" customFormat="false" ht="15" hidden="false" customHeight="false" outlineLevel="0" collapsed="false">
      <c r="A66" s="55"/>
      <c r="B66" s="6"/>
      <c r="C66" s="6"/>
      <c r="D66" s="40"/>
      <c r="E66" s="39"/>
      <c r="F66" s="35" t="str">
        <f aca="false">IF($B66="","",N($D66)/HORAS_MES*RECARGO_HE)</f>
        <v/>
      </c>
      <c r="G66" s="35" t="str">
        <f aca="false">IF($B66="","",N($E66)*$F66)</f>
        <v/>
      </c>
      <c r="H66" s="40"/>
      <c r="I66" s="35" t="str">
        <f aca="false">IF($B66="","",N($D66)+$G66+N($H66))</f>
        <v/>
      </c>
      <c r="J66" s="35" t="str">
        <f aca="false">IF($B66="","",$I66*CCSS_OBRERO)</f>
        <v/>
      </c>
      <c r="K66" s="40"/>
      <c r="L66" s="35" t="str">
        <f aca="false">IF($B66="","",$I66-$J66-N($K66))</f>
        <v/>
      </c>
      <c r="M66" s="35" t="str">
        <f aca="false">IF($B66="","",$I66*CCSS_PATRONAL)</f>
        <v/>
      </c>
      <c r="N66" s="35" t="str">
        <f aca="false">IF($B66="","",$I66*INS_RT)</f>
        <v/>
      </c>
      <c r="O66" s="35" t="str">
        <f aca="false">IF($B66="","",$I66*PROV_AGUINALDO)</f>
        <v/>
      </c>
      <c r="P66" s="35" t="str">
        <f aca="false">IF($B66="","",$I66*PROV_VACACIONES)</f>
        <v/>
      </c>
      <c r="Q66" s="35" t="str">
        <f aca="false">IF($B66="","",$I66*PROV_CESANTIA)</f>
        <v/>
      </c>
      <c r="R66" s="35" t="str">
        <f aca="false">IF($B66="","",$I66+SUM($M66:$Q66))</f>
        <v/>
      </c>
      <c r="S66" s="46" t="str">
        <f aca="false">IF(OR($A66="",$B66=""),"",DATE(YEAR($A66),MONTH($A66),1))</f>
        <v/>
      </c>
    </row>
    <row r="67" customFormat="false" ht="15" hidden="false" customHeight="false" outlineLevel="0" collapsed="false">
      <c r="A67" s="55"/>
      <c r="B67" s="6"/>
      <c r="C67" s="6"/>
      <c r="D67" s="40"/>
      <c r="E67" s="39"/>
      <c r="F67" s="35" t="str">
        <f aca="false">IF($B67="","",N($D67)/HORAS_MES*RECARGO_HE)</f>
        <v/>
      </c>
      <c r="G67" s="35" t="str">
        <f aca="false">IF($B67="","",N($E67)*$F67)</f>
        <v/>
      </c>
      <c r="H67" s="40"/>
      <c r="I67" s="35" t="str">
        <f aca="false">IF($B67="","",N($D67)+$G67+N($H67))</f>
        <v/>
      </c>
      <c r="J67" s="35" t="str">
        <f aca="false">IF($B67="","",$I67*CCSS_OBRERO)</f>
        <v/>
      </c>
      <c r="K67" s="40"/>
      <c r="L67" s="35" t="str">
        <f aca="false">IF($B67="","",$I67-$J67-N($K67))</f>
        <v/>
      </c>
      <c r="M67" s="35" t="str">
        <f aca="false">IF($B67="","",$I67*CCSS_PATRONAL)</f>
        <v/>
      </c>
      <c r="N67" s="35" t="str">
        <f aca="false">IF($B67="","",$I67*INS_RT)</f>
        <v/>
      </c>
      <c r="O67" s="35" t="str">
        <f aca="false">IF($B67="","",$I67*PROV_AGUINALDO)</f>
        <v/>
      </c>
      <c r="P67" s="35" t="str">
        <f aca="false">IF($B67="","",$I67*PROV_VACACIONES)</f>
        <v/>
      </c>
      <c r="Q67" s="35" t="str">
        <f aca="false">IF($B67="","",$I67*PROV_CESANTIA)</f>
        <v/>
      </c>
      <c r="R67" s="35" t="str">
        <f aca="false">IF($B67="","",$I67+SUM($M67:$Q67))</f>
        <v/>
      </c>
      <c r="S67" s="46" t="str">
        <f aca="false">IF(OR($A67="",$B67=""),"",DATE(YEAR($A67),MONTH($A67),1))</f>
        <v/>
      </c>
    </row>
    <row r="68" customFormat="false" ht="15" hidden="false" customHeight="false" outlineLevel="0" collapsed="false">
      <c r="A68" s="55"/>
      <c r="B68" s="6"/>
      <c r="C68" s="6"/>
      <c r="D68" s="40"/>
      <c r="E68" s="39"/>
      <c r="F68" s="35" t="str">
        <f aca="false">IF($B68="","",N($D68)/HORAS_MES*RECARGO_HE)</f>
        <v/>
      </c>
      <c r="G68" s="35" t="str">
        <f aca="false">IF($B68="","",N($E68)*$F68)</f>
        <v/>
      </c>
      <c r="H68" s="40"/>
      <c r="I68" s="35" t="str">
        <f aca="false">IF($B68="","",N($D68)+$G68+N($H68))</f>
        <v/>
      </c>
      <c r="J68" s="35" t="str">
        <f aca="false">IF($B68="","",$I68*CCSS_OBRERO)</f>
        <v/>
      </c>
      <c r="K68" s="40"/>
      <c r="L68" s="35" t="str">
        <f aca="false">IF($B68="","",$I68-$J68-N($K68))</f>
        <v/>
      </c>
      <c r="M68" s="35" t="str">
        <f aca="false">IF($B68="","",$I68*CCSS_PATRONAL)</f>
        <v/>
      </c>
      <c r="N68" s="35" t="str">
        <f aca="false">IF($B68="","",$I68*INS_RT)</f>
        <v/>
      </c>
      <c r="O68" s="35" t="str">
        <f aca="false">IF($B68="","",$I68*PROV_AGUINALDO)</f>
        <v/>
      </c>
      <c r="P68" s="35" t="str">
        <f aca="false">IF($B68="","",$I68*PROV_VACACIONES)</f>
        <v/>
      </c>
      <c r="Q68" s="35" t="str">
        <f aca="false">IF($B68="","",$I68*PROV_CESANTIA)</f>
        <v/>
      </c>
      <c r="R68" s="35" t="str">
        <f aca="false">IF($B68="","",$I68+SUM($M68:$Q68))</f>
        <v/>
      </c>
      <c r="S68" s="46" t="str">
        <f aca="false">IF(OR($A68="",$B68=""),"",DATE(YEAR($A68),MONTH($A68),1))</f>
        <v/>
      </c>
    </row>
    <row r="69" customFormat="false" ht="15" hidden="false" customHeight="false" outlineLevel="0" collapsed="false">
      <c r="A69" s="55"/>
      <c r="B69" s="6"/>
      <c r="C69" s="6"/>
      <c r="D69" s="40"/>
      <c r="E69" s="39"/>
      <c r="F69" s="35" t="str">
        <f aca="false">IF($B69="","",N($D69)/HORAS_MES*RECARGO_HE)</f>
        <v/>
      </c>
      <c r="G69" s="35" t="str">
        <f aca="false">IF($B69="","",N($E69)*$F69)</f>
        <v/>
      </c>
      <c r="H69" s="40"/>
      <c r="I69" s="35" t="str">
        <f aca="false">IF($B69="","",N($D69)+$G69+N($H69))</f>
        <v/>
      </c>
      <c r="J69" s="35" t="str">
        <f aca="false">IF($B69="","",$I69*CCSS_OBRERO)</f>
        <v/>
      </c>
      <c r="K69" s="40"/>
      <c r="L69" s="35" t="str">
        <f aca="false">IF($B69="","",$I69-$J69-N($K69))</f>
        <v/>
      </c>
      <c r="M69" s="35" t="str">
        <f aca="false">IF($B69="","",$I69*CCSS_PATRONAL)</f>
        <v/>
      </c>
      <c r="N69" s="35" t="str">
        <f aca="false">IF($B69="","",$I69*INS_RT)</f>
        <v/>
      </c>
      <c r="O69" s="35" t="str">
        <f aca="false">IF($B69="","",$I69*PROV_AGUINALDO)</f>
        <v/>
      </c>
      <c r="P69" s="35" t="str">
        <f aca="false">IF($B69="","",$I69*PROV_VACACIONES)</f>
        <v/>
      </c>
      <c r="Q69" s="35" t="str">
        <f aca="false">IF($B69="","",$I69*PROV_CESANTIA)</f>
        <v/>
      </c>
      <c r="R69" s="35" t="str">
        <f aca="false">IF($B69="","",$I69+SUM($M69:$Q69))</f>
        <v/>
      </c>
      <c r="S69" s="46" t="str">
        <f aca="false">IF(OR($A69="",$B69=""),"",DATE(YEAR($A69),MONTH($A69),1))</f>
        <v/>
      </c>
    </row>
    <row r="70" customFormat="false" ht="15" hidden="false" customHeight="false" outlineLevel="0" collapsed="false">
      <c r="A70" s="55"/>
      <c r="B70" s="6"/>
      <c r="C70" s="6"/>
      <c r="D70" s="40"/>
      <c r="E70" s="39"/>
      <c r="F70" s="35" t="str">
        <f aca="false">IF($B70="","",N($D70)/HORAS_MES*RECARGO_HE)</f>
        <v/>
      </c>
      <c r="G70" s="35" t="str">
        <f aca="false">IF($B70="","",N($E70)*$F70)</f>
        <v/>
      </c>
      <c r="H70" s="40"/>
      <c r="I70" s="35" t="str">
        <f aca="false">IF($B70="","",N($D70)+$G70+N($H70))</f>
        <v/>
      </c>
      <c r="J70" s="35" t="str">
        <f aca="false">IF($B70="","",$I70*CCSS_OBRERO)</f>
        <v/>
      </c>
      <c r="K70" s="40"/>
      <c r="L70" s="35" t="str">
        <f aca="false">IF($B70="","",$I70-$J70-N($K70))</f>
        <v/>
      </c>
      <c r="M70" s="35" t="str">
        <f aca="false">IF($B70="","",$I70*CCSS_PATRONAL)</f>
        <v/>
      </c>
      <c r="N70" s="35" t="str">
        <f aca="false">IF($B70="","",$I70*INS_RT)</f>
        <v/>
      </c>
      <c r="O70" s="35" t="str">
        <f aca="false">IF($B70="","",$I70*PROV_AGUINALDO)</f>
        <v/>
      </c>
      <c r="P70" s="35" t="str">
        <f aca="false">IF($B70="","",$I70*PROV_VACACIONES)</f>
        <v/>
      </c>
      <c r="Q70" s="35" t="str">
        <f aca="false">IF($B70="","",$I70*PROV_CESANTIA)</f>
        <v/>
      </c>
      <c r="R70" s="35" t="str">
        <f aca="false">IF($B70="","",$I70+SUM($M70:$Q70))</f>
        <v/>
      </c>
      <c r="S70" s="46" t="str">
        <f aca="false">IF(OR($A70="",$B70=""),"",DATE(YEAR($A70),MONTH($A70),1))</f>
        <v/>
      </c>
    </row>
    <row r="71" customFormat="false" ht="15" hidden="false" customHeight="false" outlineLevel="0" collapsed="false">
      <c r="A71" s="55"/>
      <c r="B71" s="6"/>
      <c r="C71" s="6"/>
      <c r="D71" s="40"/>
      <c r="E71" s="39"/>
      <c r="F71" s="35" t="str">
        <f aca="false">IF($B71="","",N($D71)/HORAS_MES*RECARGO_HE)</f>
        <v/>
      </c>
      <c r="G71" s="35" t="str">
        <f aca="false">IF($B71="","",N($E71)*$F71)</f>
        <v/>
      </c>
      <c r="H71" s="40"/>
      <c r="I71" s="35" t="str">
        <f aca="false">IF($B71="","",N($D71)+$G71+N($H71))</f>
        <v/>
      </c>
      <c r="J71" s="35" t="str">
        <f aca="false">IF($B71="","",$I71*CCSS_OBRERO)</f>
        <v/>
      </c>
      <c r="K71" s="40"/>
      <c r="L71" s="35" t="str">
        <f aca="false">IF($B71="","",$I71-$J71-N($K71))</f>
        <v/>
      </c>
      <c r="M71" s="35" t="str">
        <f aca="false">IF($B71="","",$I71*CCSS_PATRONAL)</f>
        <v/>
      </c>
      <c r="N71" s="35" t="str">
        <f aca="false">IF($B71="","",$I71*INS_RT)</f>
        <v/>
      </c>
      <c r="O71" s="35" t="str">
        <f aca="false">IF($B71="","",$I71*PROV_AGUINALDO)</f>
        <v/>
      </c>
      <c r="P71" s="35" t="str">
        <f aca="false">IF($B71="","",$I71*PROV_VACACIONES)</f>
        <v/>
      </c>
      <c r="Q71" s="35" t="str">
        <f aca="false">IF($B71="","",$I71*PROV_CESANTIA)</f>
        <v/>
      </c>
      <c r="R71" s="35" t="str">
        <f aca="false">IF($B71="","",$I71+SUM($M71:$Q71))</f>
        <v/>
      </c>
      <c r="S71" s="46" t="str">
        <f aca="false">IF(OR($A71="",$B71=""),"",DATE(YEAR($A71),MONTH($A71),1))</f>
        <v/>
      </c>
    </row>
    <row r="72" customFormat="false" ht="15" hidden="false" customHeight="false" outlineLevel="0" collapsed="false">
      <c r="A72" s="55"/>
      <c r="B72" s="6"/>
      <c r="C72" s="6"/>
      <c r="D72" s="40"/>
      <c r="E72" s="39"/>
      <c r="F72" s="35" t="str">
        <f aca="false">IF($B72="","",N($D72)/HORAS_MES*RECARGO_HE)</f>
        <v/>
      </c>
      <c r="G72" s="35" t="str">
        <f aca="false">IF($B72="","",N($E72)*$F72)</f>
        <v/>
      </c>
      <c r="H72" s="40"/>
      <c r="I72" s="35" t="str">
        <f aca="false">IF($B72="","",N($D72)+$G72+N($H72))</f>
        <v/>
      </c>
      <c r="J72" s="35" t="str">
        <f aca="false">IF($B72="","",$I72*CCSS_OBRERO)</f>
        <v/>
      </c>
      <c r="K72" s="40"/>
      <c r="L72" s="35" t="str">
        <f aca="false">IF($B72="","",$I72-$J72-N($K72))</f>
        <v/>
      </c>
      <c r="M72" s="35" t="str">
        <f aca="false">IF($B72="","",$I72*CCSS_PATRONAL)</f>
        <v/>
      </c>
      <c r="N72" s="35" t="str">
        <f aca="false">IF($B72="","",$I72*INS_RT)</f>
        <v/>
      </c>
      <c r="O72" s="35" t="str">
        <f aca="false">IF($B72="","",$I72*PROV_AGUINALDO)</f>
        <v/>
      </c>
      <c r="P72" s="35" t="str">
        <f aca="false">IF($B72="","",$I72*PROV_VACACIONES)</f>
        <v/>
      </c>
      <c r="Q72" s="35" t="str">
        <f aca="false">IF($B72="","",$I72*PROV_CESANTIA)</f>
        <v/>
      </c>
      <c r="R72" s="35" t="str">
        <f aca="false">IF($B72="","",$I72+SUM($M72:$Q72))</f>
        <v/>
      </c>
      <c r="S72" s="46" t="str">
        <f aca="false">IF(OR($A72="",$B72=""),"",DATE(YEAR($A72),MONTH($A72),1))</f>
        <v/>
      </c>
    </row>
    <row r="73" customFormat="false" ht="15" hidden="false" customHeight="false" outlineLevel="0" collapsed="false">
      <c r="A73" s="55"/>
      <c r="B73" s="6"/>
      <c r="C73" s="6"/>
      <c r="D73" s="40"/>
      <c r="E73" s="39"/>
      <c r="F73" s="35" t="str">
        <f aca="false">IF($B73="","",N($D73)/HORAS_MES*RECARGO_HE)</f>
        <v/>
      </c>
      <c r="G73" s="35" t="str">
        <f aca="false">IF($B73="","",N($E73)*$F73)</f>
        <v/>
      </c>
      <c r="H73" s="40"/>
      <c r="I73" s="35" t="str">
        <f aca="false">IF($B73="","",N($D73)+$G73+N($H73))</f>
        <v/>
      </c>
      <c r="J73" s="35" t="str">
        <f aca="false">IF($B73="","",$I73*CCSS_OBRERO)</f>
        <v/>
      </c>
      <c r="K73" s="40"/>
      <c r="L73" s="35" t="str">
        <f aca="false">IF($B73="","",$I73-$J73-N($K73))</f>
        <v/>
      </c>
      <c r="M73" s="35" t="str">
        <f aca="false">IF($B73="","",$I73*CCSS_PATRONAL)</f>
        <v/>
      </c>
      <c r="N73" s="35" t="str">
        <f aca="false">IF($B73="","",$I73*INS_RT)</f>
        <v/>
      </c>
      <c r="O73" s="35" t="str">
        <f aca="false">IF($B73="","",$I73*PROV_AGUINALDO)</f>
        <v/>
      </c>
      <c r="P73" s="35" t="str">
        <f aca="false">IF($B73="","",$I73*PROV_VACACIONES)</f>
        <v/>
      </c>
      <c r="Q73" s="35" t="str">
        <f aca="false">IF($B73="","",$I73*PROV_CESANTIA)</f>
        <v/>
      </c>
      <c r="R73" s="35" t="str">
        <f aca="false">IF($B73="","",$I73+SUM($M73:$Q73))</f>
        <v/>
      </c>
      <c r="S73" s="46" t="str">
        <f aca="false">IF(OR($A73="",$B73=""),"",DATE(YEAR($A73),MONTH($A73),1))</f>
        <v/>
      </c>
    </row>
    <row r="74" customFormat="false" ht="15" hidden="false" customHeight="false" outlineLevel="0" collapsed="false">
      <c r="A74" s="55"/>
      <c r="B74" s="6"/>
      <c r="C74" s="6"/>
      <c r="D74" s="40"/>
      <c r="E74" s="39"/>
      <c r="F74" s="35" t="str">
        <f aca="false">IF($B74="","",N($D74)/HORAS_MES*RECARGO_HE)</f>
        <v/>
      </c>
      <c r="G74" s="35" t="str">
        <f aca="false">IF($B74="","",N($E74)*$F74)</f>
        <v/>
      </c>
      <c r="H74" s="40"/>
      <c r="I74" s="35" t="str">
        <f aca="false">IF($B74="","",N($D74)+$G74+N($H74))</f>
        <v/>
      </c>
      <c r="J74" s="35" t="str">
        <f aca="false">IF($B74="","",$I74*CCSS_OBRERO)</f>
        <v/>
      </c>
      <c r="K74" s="40"/>
      <c r="L74" s="35" t="str">
        <f aca="false">IF($B74="","",$I74-$J74-N($K74))</f>
        <v/>
      </c>
      <c r="M74" s="35" t="str">
        <f aca="false">IF($B74="","",$I74*CCSS_PATRONAL)</f>
        <v/>
      </c>
      <c r="N74" s="35" t="str">
        <f aca="false">IF($B74="","",$I74*INS_RT)</f>
        <v/>
      </c>
      <c r="O74" s="35" t="str">
        <f aca="false">IF($B74="","",$I74*PROV_AGUINALDO)</f>
        <v/>
      </c>
      <c r="P74" s="35" t="str">
        <f aca="false">IF($B74="","",$I74*PROV_VACACIONES)</f>
        <v/>
      </c>
      <c r="Q74" s="35" t="str">
        <f aca="false">IF($B74="","",$I74*PROV_CESANTIA)</f>
        <v/>
      </c>
      <c r="R74" s="35" t="str">
        <f aca="false">IF($B74="","",$I74+SUM($M74:$Q74))</f>
        <v/>
      </c>
      <c r="S74" s="46" t="str">
        <f aca="false">IF(OR($A74="",$B74=""),"",DATE(YEAR($A74),MONTH($A74),1))</f>
        <v/>
      </c>
    </row>
    <row r="75" customFormat="false" ht="15" hidden="false" customHeight="false" outlineLevel="0" collapsed="false">
      <c r="A75" s="55"/>
      <c r="B75" s="6"/>
      <c r="C75" s="6"/>
      <c r="D75" s="40"/>
      <c r="E75" s="39"/>
      <c r="F75" s="35" t="str">
        <f aca="false">IF($B75="","",N($D75)/HORAS_MES*RECARGO_HE)</f>
        <v/>
      </c>
      <c r="G75" s="35" t="str">
        <f aca="false">IF($B75="","",N($E75)*$F75)</f>
        <v/>
      </c>
      <c r="H75" s="40"/>
      <c r="I75" s="35" t="str">
        <f aca="false">IF($B75="","",N($D75)+$G75+N($H75))</f>
        <v/>
      </c>
      <c r="J75" s="35" t="str">
        <f aca="false">IF($B75="","",$I75*CCSS_OBRERO)</f>
        <v/>
      </c>
      <c r="K75" s="40"/>
      <c r="L75" s="35" t="str">
        <f aca="false">IF($B75="","",$I75-$J75-N($K75))</f>
        <v/>
      </c>
      <c r="M75" s="35" t="str">
        <f aca="false">IF($B75="","",$I75*CCSS_PATRONAL)</f>
        <v/>
      </c>
      <c r="N75" s="35" t="str">
        <f aca="false">IF($B75="","",$I75*INS_RT)</f>
        <v/>
      </c>
      <c r="O75" s="35" t="str">
        <f aca="false">IF($B75="","",$I75*PROV_AGUINALDO)</f>
        <v/>
      </c>
      <c r="P75" s="35" t="str">
        <f aca="false">IF($B75="","",$I75*PROV_VACACIONES)</f>
        <v/>
      </c>
      <c r="Q75" s="35" t="str">
        <f aca="false">IF($B75="","",$I75*PROV_CESANTIA)</f>
        <v/>
      </c>
      <c r="R75" s="35" t="str">
        <f aca="false">IF($B75="","",$I75+SUM($M75:$Q75))</f>
        <v/>
      </c>
      <c r="S75" s="46" t="str">
        <f aca="false">IF(OR($A75="",$B75=""),"",DATE(YEAR($A75),MONTH($A75),1))</f>
        <v/>
      </c>
    </row>
    <row r="76" customFormat="false" ht="15" hidden="false" customHeight="false" outlineLevel="0" collapsed="false">
      <c r="A76" s="55"/>
      <c r="B76" s="6"/>
      <c r="C76" s="6"/>
      <c r="D76" s="40"/>
      <c r="E76" s="39"/>
      <c r="F76" s="35" t="str">
        <f aca="false">IF($B76="","",N($D76)/HORAS_MES*RECARGO_HE)</f>
        <v/>
      </c>
      <c r="G76" s="35" t="str">
        <f aca="false">IF($B76="","",N($E76)*$F76)</f>
        <v/>
      </c>
      <c r="H76" s="40"/>
      <c r="I76" s="35" t="str">
        <f aca="false">IF($B76="","",N($D76)+$G76+N($H76))</f>
        <v/>
      </c>
      <c r="J76" s="35" t="str">
        <f aca="false">IF($B76="","",$I76*CCSS_OBRERO)</f>
        <v/>
      </c>
      <c r="K76" s="40"/>
      <c r="L76" s="35" t="str">
        <f aca="false">IF($B76="","",$I76-$J76-N($K76))</f>
        <v/>
      </c>
      <c r="M76" s="35" t="str">
        <f aca="false">IF($B76="","",$I76*CCSS_PATRONAL)</f>
        <v/>
      </c>
      <c r="N76" s="35" t="str">
        <f aca="false">IF($B76="","",$I76*INS_RT)</f>
        <v/>
      </c>
      <c r="O76" s="35" t="str">
        <f aca="false">IF($B76="","",$I76*PROV_AGUINALDO)</f>
        <v/>
      </c>
      <c r="P76" s="35" t="str">
        <f aca="false">IF($B76="","",$I76*PROV_VACACIONES)</f>
        <v/>
      </c>
      <c r="Q76" s="35" t="str">
        <f aca="false">IF($B76="","",$I76*PROV_CESANTIA)</f>
        <v/>
      </c>
      <c r="R76" s="35" t="str">
        <f aca="false">IF($B76="","",$I76+SUM($M76:$Q76))</f>
        <v/>
      </c>
      <c r="S76" s="46" t="str">
        <f aca="false">IF(OR($A76="",$B76=""),"",DATE(YEAR($A76),MONTH($A76),1))</f>
        <v/>
      </c>
    </row>
    <row r="77" customFormat="false" ht="15" hidden="false" customHeight="false" outlineLevel="0" collapsed="false">
      <c r="A77" s="55"/>
      <c r="B77" s="6"/>
      <c r="C77" s="6"/>
      <c r="D77" s="40"/>
      <c r="E77" s="39"/>
      <c r="F77" s="35" t="str">
        <f aca="false">IF($B77="","",N($D77)/HORAS_MES*RECARGO_HE)</f>
        <v/>
      </c>
      <c r="G77" s="35" t="str">
        <f aca="false">IF($B77="","",N($E77)*$F77)</f>
        <v/>
      </c>
      <c r="H77" s="40"/>
      <c r="I77" s="35" t="str">
        <f aca="false">IF($B77="","",N($D77)+$G77+N($H77))</f>
        <v/>
      </c>
      <c r="J77" s="35" t="str">
        <f aca="false">IF($B77="","",$I77*CCSS_OBRERO)</f>
        <v/>
      </c>
      <c r="K77" s="40"/>
      <c r="L77" s="35" t="str">
        <f aca="false">IF($B77="","",$I77-$J77-N($K77))</f>
        <v/>
      </c>
      <c r="M77" s="35" t="str">
        <f aca="false">IF($B77="","",$I77*CCSS_PATRONAL)</f>
        <v/>
      </c>
      <c r="N77" s="35" t="str">
        <f aca="false">IF($B77="","",$I77*INS_RT)</f>
        <v/>
      </c>
      <c r="O77" s="35" t="str">
        <f aca="false">IF($B77="","",$I77*PROV_AGUINALDO)</f>
        <v/>
      </c>
      <c r="P77" s="35" t="str">
        <f aca="false">IF($B77="","",$I77*PROV_VACACIONES)</f>
        <v/>
      </c>
      <c r="Q77" s="35" t="str">
        <f aca="false">IF($B77="","",$I77*PROV_CESANTIA)</f>
        <v/>
      </c>
      <c r="R77" s="35" t="str">
        <f aca="false">IF($B77="","",$I77+SUM($M77:$Q77))</f>
        <v/>
      </c>
      <c r="S77" s="46" t="str">
        <f aca="false">IF(OR($A77="",$B77=""),"",DATE(YEAR($A77),MONTH($A77),1))</f>
        <v/>
      </c>
    </row>
    <row r="78" customFormat="false" ht="15" hidden="false" customHeight="false" outlineLevel="0" collapsed="false">
      <c r="A78" s="55"/>
      <c r="B78" s="6"/>
      <c r="C78" s="6"/>
      <c r="D78" s="40"/>
      <c r="E78" s="39"/>
      <c r="F78" s="35" t="str">
        <f aca="false">IF($B78="","",N($D78)/HORAS_MES*RECARGO_HE)</f>
        <v/>
      </c>
      <c r="G78" s="35" t="str">
        <f aca="false">IF($B78="","",N($E78)*$F78)</f>
        <v/>
      </c>
      <c r="H78" s="40"/>
      <c r="I78" s="35" t="str">
        <f aca="false">IF($B78="","",N($D78)+$G78+N($H78))</f>
        <v/>
      </c>
      <c r="J78" s="35" t="str">
        <f aca="false">IF($B78="","",$I78*CCSS_OBRERO)</f>
        <v/>
      </c>
      <c r="K78" s="40"/>
      <c r="L78" s="35" t="str">
        <f aca="false">IF($B78="","",$I78-$J78-N($K78))</f>
        <v/>
      </c>
      <c r="M78" s="35" t="str">
        <f aca="false">IF($B78="","",$I78*CCSS_PATRONAL)</f>
        <v/>
      </c>
      <c r="N78" s="35" t="str">
        <f aca="false">IF($B78="","",$I78*INS_RT)</f>
        <v/>
      </c>
      <c r="O78" s="35" t="str">
        <f aca="false">IF($B78="","",$I78*PROV_AGUINALDO)</f>
        <v/>
      </c>
      <c r="P78" s="35" t="str">
        <f aca="false">IF($B78="","",$I78*PROV_VACACIONES)</f>
        <v/>
      </c>
      <c r="Q78" s="35" t="str">
        <f aca="false">IF($B78="","",$I78*PROV_CESANTIA)</f>
        <v/>
      </c>
      <c r="R78" s="35" t="str">
        <f aca="false">IF($B78="","",$I78+SUM($M78:$Q78))</f>
        <v/>
      </c>
      <c r="S78" s="46" t="str">
        <f aca="false">IF(OR($A78="",$B78=""),"",DATE(YEAR($A78),MONTH($A78),1))</f>
        <v/>
      </c>
    </row>
    <row r="79" customFormat="false" ht="15" hidden="false" customHeight="false" outlineLevel="0" collapsed="false">
      <c r="A79" s="55"/>
      <c r="B79" s="6"/>
      <c r="C79" s="6"/>
      <c r="D79" s="40"/>
      <c r="E79" s="39"/>
      <c r="F79" s="35" t="str">
        <f aca="false">IF($B79="","",N($D79)/HORAS_MES*RECARGO_HE)</f>
        <v/>
      </c>
      <c r="G79" s="35" t="str">
        <f aca="false">IF($B79="","",N($E79)*$F79)</f>
        <v/>
      </c>
      <c r="H79" s="40"/>
      <c r="I79" s="35" t="str">
        <f aca="false">IF($B79="","",N($D79)+$G79+N($H79))</f>
        <v/>
      </c>
      <c r="J79" s="35" t="str">
        <f aca="false">IF($B79="","",$I79*CCSS_OBRERO)</f>
        <v/>
      </c>
      <c r="K79" s="40"/>
      <c r="L79" s="35" t="str">
        <f aca="false">IF($B79="","",$I79-$J79-N($K79))</f>
        <v/>
      </c>
      <c r="M79" s="35" t="str">
        <f aca="false">IF($B79="","",$I79*CCSS_PATRONAL)</f>
        <v/>
      </c>
      <c r="N79" s="35" t="str">
        <f aca="false">IF($B79="","",$I79*INS_RT)</f>
        <v/>
      </c>
      <c r="O79" s="35" t="str">
        <f aca="false">IF($B79="","",$I79*PROV_AGUINALDO)</f>
        <v/>
      </c>
      <c r="P79" s="35" t="str">
        <f aca="false">IF($B79="","",$I79*PROV_VACACIONES)</f>
        <v/>
      </c>
      <c r="Q79" s="35" t="str">
        <f aca="false">IF($B79="","",$I79*PROV_CESANTIA)</f>
        <v/>
      </c>
      <c r="R79" s="35" t="str">
        <f aca="false">IF($B79="","",$I79+SUM($M79:$Q79))</f>
        <v/>
      </c>
      <c r="S79" s="46" t="str">
        <f aca="false">IF(OR($A79="",$B79=""),"",DATE(YEAR($A79),MONTH($A79),1))</f>
        <v/>
      </c>
    </row>
    <row r="80" customFormat="false" ht="15" hidden="false" customHeight="false" outlineLevel="0" collapsed="false">
      <c r="A80" s="55"/>
      <c r="B80" s="6"/>
      <c r="C80" s="6"/>
      <c r="D80" s="40"/>
      <c r="E80" s="39"/>
      <c r="F80" s="35" t="str">
        <f aca="false">IF($B80="","",N($D80)/HORAS_MES*RECARGO_HE)</f>
        <v/>
      </c>
      <c r="G80" s="35" t="str">
        <f aca="false">IF($B80="","",N($E80)*$F80)</f>
        <v/>
      </c>
      <c r="H80" s="40"/>
      <c r="I80" s="35" t="str">
        <f aca="false">IF($B80="","",N($D80)+$G80+N($H80))</f>
        <v/>
      </c>
      <c r="J80" s="35" t="str">
        <f aca="false">IF($B80="","",$I80*CCSS_OBRERO)</f>
        <v/>
      </c>
      <c r="K80" s="40"/>
      <c r="L80" s="35" t="str">
        <f aca="false">IF($B80="","",$I80-$J80-N($K80))</f>
        <v/>
      </c>
      <c r="M80" s="35" t="str">
        <f aca="false">IF($B80="","",$I80*CCSS_PATRONAL)</f>
        <v/>
      </c>
      <c r="N80" s="35" t="str">
        <f aca="false">IF($B80="","",$I80*INS_RT)</f>
        <v/>
      </c>
      <c r="O80" s="35" t="str">
        <f aca="false">IF($B80="","",$I80*PROV_AGUINALDO)</f>
        <v/>
      </c>
      <c r="P80" s="35" t="str">
        <f aca="false">IF($B80="","",$I80*PROV_VACACIONES)</f>
        <v/>
      </c>
      <c r="Q80" s="35" t="str">
        <f aca="false">IF($B80="","",$I80*PROV_CESANTIA)</f>
        <v/>
      </c>
      <c r="R80" s="35" t="str">
        <f aca="false">IF($B80="","",$I80+SUM($M80:$Q80))</f>
        <v/>
      </c>
      <c r="S80" s="46" t="str">
        <f aca="false">IF(OR($A80="",$B80=""),"",DATE(YEAR($A80),MONTH($A80),1))</f>
        <v/>
      </c>
    </row>
    <row r="81" customFormat="false" ht="15" hidden="false" customHeight="false" outlineLevel="0" collapsed="false">
      <c r="A81" s="55"/>
      <c r="B81" s="6"/>
      <c r="C81" s="6"/>
      <c r="D81" s="40"/>
      <c r="E81" s="39"/>
      <c r="F81" s="35" t="str">
        <f aca="false">IF($B81="","",N($D81)/HORAS_MES*RECARGO_HE)</f>
        <v/>
      </c>
      <c r="G81" s="35" t="str">
        <f aca="false">IF($B81="","",N($E81)*$F81)</f>
        <v/>
      </c>
      <c r="H81" s="40"/>
      <c r="I81" s="35" t="str">
        <f aca="false">IF($B81="","",N($D81)+$G81+N($H81))</f>
        <v/>
      </c>
      <c r="J81" s="35" t="str">
        <f aca="false">IF($B81="","",$I81*CCSS_OBRERO)</f>
        <v/>
      </c>
      <c r="K81" s="40"/>
      <c r="L81" s="35" t="str">
        <f aca="false">IF($B81="","",$I81-$J81-N($K81))</f>
        <v/>
      </c>
      <c r="M81" s="35" t="str">
        <f aca="false">IF($B81="","",$I81*CCSS_PATRONAL)</f>
        <v/>
      </c>
      <c r="N81" s="35" t="str">
        <f aca="false">IF($B81="","",$I81*INS_RT)</f>
        <v/>
      </c>
      <c r="O81" s="35" t="str">
        <f aca="false">IF($B81="","",$I81*PROV_AGUINALDO)</f>
        <v/>
      </c>
      <c r="P81" s="35" t="str">
        <f aca="false">IF($B81="","",$I81*PROV_VACACIONES)</f>
        <v/>
      </c>
      <c r="Q81" s="35" t="str">
        <f aca="false">IF($B81="","",$I81*PROV_CESANTIA)</f>
        <v/>
      </c>
      <c r="R81" s="35" t="str">
        <f aca="false">IF($B81="","",$I81+SUM($M81:$Q81))</f>
        <v/>
      </c>
      <c r="S81" s="46" t="str">
        <f aca="false">IF(OR($A81="",$B81=""),"",DATE(YEAR($A81),MONTH($A81),1))</f>
        <v/>
      </c>
    </row>
    <row r="82" customFormat="false" ht="15" hidden="false" customHeight="false" outlineLevel="0" collapsed="false">
      <c r="A82" s="55"/>
      <c r="B82" s="6"/>
      <c r="C82" s="6"/>
      <c r="D82" s="40"/>
      <c r="E82" s="39"/>
      <c r="F82" s="35" t="str">
        <f aca="false">IF($B82="","",N($D82)/HORAS_MES*RECARGO_HE)</f>
        <v/>
      </c>
      <c r="G82" s="35" t="str">
        <f aca="false">IF($B82="","",N($E82)*$F82)</f>
        <v/>
      </c>
      <c r="H82" s="40"/>
      <c r="I82" s="35" t="str">
        <f aca="false">IF($B82="","",N($D82)+$G82+N($H82))</f>
        <v/>
      </c>
      <c r="J82" s="35" t="str">
        <f aca="false">IF($B82="","",$I82*CCSS_OBRERO)</f>
        <v/>
      </c>
      <c r="K82" s="40"/>
      <c r="L82" s="35" t="str">
        <f aca="false">IF($B82="","",$I82-$J82-N($K82))</f>
        <v/>
      </c>
      <c r="M82" s="35" t="str">
        <f aca="false">IF($B82="","",$I82*CCSS_PATRONAL)</f>
        <v/>
      </c>
      <c r="N82" s="35" t="str">
        <f aca="false">IF($B82="","",$I82*INS_RT)</f>
        <v/>
      </c>
      <c r="O82" s="35" t="str">
        <f aca="false">IF($B82="","",$I82*PROV_AGUINALDO)</f>
        <v/>
      </c>
      <c r="P82" s="35" t="str">
        <f aca="false">IF($B82="","",$I82*PROV_VACACIONES)</f>
        <v/>
      </c>
      <c r="Q82" s="35" t="str">
        <f aca="false">IF($B82="","",$I82*PROV_CESANTIA)</f>
        <v/>
      </c>
      <c r="R82" s="35" t="str">
        <f aca="false">IF($B82="","",$I82+SUM($M82:$Q82))</f>
        <v/>
      </c>
      <c r="S82" s="46" t="str">
        <f aca="false">IF(OR($A82="",$B82=""),"",DATE(YEAR($A82),MONTH($A82),1))</f>
        <v/>
      </c>
    </row>
    <row r="83" customFormat="false" ht="15" hidden="false" customHeight="false" outlineLevel="0" collapsed="false">
      <c r="A83" s="55"/>
      <c r="B83" s="6"/>
      <c r="C83" s="6"/>
      <c r="D83" s="40"/>
      <c r="E83" s="39"/>
      <c r="F83" s="35" t="str">
        <f aca="false">IF($B83="","",N($D83)/HORAS_MES*RECARGO_HE)</f>
        <v/>
      </c>
      <c r="G83" s="35" t="str">
        <f aca="false">IF($B83="","",N($E83)*$F83)</f>
        <v/>
      </c>
      <c r="H83" s="40"/>
      <c r="I83" s="35" t="str">
        <f aca="false">IF($B83="","",N($D83)+$G83+N($H83))</f>
        <v/>
      </c>
      <c r="J83" s="35" t="str">
        <f aca="false">IF($B83="","",$I83*CCSS_OBRERO)</f>
        <v/>
      </c>
      <c r="K83" s="40"/>
      <c r="L83" s="35" t="str">
        <f aca="false">IF($B83="","",$I83-$J83-N($K83))</f>
        <v/>
      </c>
      <c r="M83" s="35" t="str">
        <f aca="false">IF($B83="","",$I83*CCSS_PATRONAL)</f>
        <v/>
      </c>
      <c r="N83" s="35" t="str">
        <f aca="false">IF($B83="","",$I83*INS_RT)</f>
        <v/>
      </c>
      <c r="O83" s="35" t="str">
        <f aca="false">IF($B83="","",$I83*PROV_AGUINALDO)</f>
        <v/>
      </c>
      <c r="P83" s="35" t="str">
        <f aca="false">IF($B83="","",$I83*PROV_VACACIONES)</f>
        <v/>
      </c>
      <c r="Q83" s="35" t="str">
        <f aca="false">IF($B83="","",$I83*PROV_CESANTIA)</f>
        <v/>
      </c>
      <c r="R83" s="35" t="str">
        <f aca="false">IF($B83="","",$I83+SUM($M83:$Q83))</f>
        <v/>
      </c>
      <c r="S83" s="46" t="str">
        <f aca="false">IF(OR($A83="",$B83=""),"",DATE(YEAR($A83),MONTH($A83),1))</f>
        <v/>
      </c>
    </row>
    <row r="84" customFormat="false" ht="15" hidden="false" customHeight="false" outlineLevel="0" collapsed="false">
      <c r="A84" s="55"/>
      <c r="B84" s="6"/>
      <c r="C84" s="6"/>
      <c r="D84" s="40"/>
      <c r="E84" s="39"/>
      <c r="F84" s="35" t="str">
        <f aca="false">IF($B84="","",N($D84)/HORAS_MES*RECARGO_HE)</f>
        <v/>
      </c>
      <c r="G84" s="35" t="str">
        <f aca="false">IF($B84="","",N($E84)*$F84)</f>
        <v/>
      </c>
      <c r="H84" s="40"/>
      <c r="I84" s="35" t="str">
        <f aca="false">IF($B84="","",N($D84)+$G84+N($H84))</f>
        <v/>
      </c>
      <c r="J84" s="35" t="str">
        <f aca="false">IF($B84="","",$I84*CCSS_OBRERO)</f>
        <v/>
      </c>
      <c r="K84" s="40"/>
      <c r="L84" s="35" t="str">
        <f aca="false">IF($B84="","",$I84-$J84-N($K84))</f>
        <v/>
      </c>
      <c r="M84" s="35" t="str">
        <f aca="false">IF($B84="","",$I84*CCSS_PATRONAL)</f>
        <v/>
      </c>
      <c r="N84" s="35" t="str">
        <f aca="false">IF($B84="","",$I84*INS_RT)</f>
        <v/>
      </c>
      <c r="O84" s="35" t="str">
        <f aca="false">IF($B84="","",$I84*PROV_AGUINALDO)</f>
        <v/>
      </c>
      <c r="P84" s="35" t="str">
        <f aca="false">IF($B84="","",$I84*PROV_VACACIONES)</f>
        <v/>
      </c>
      <c r="Q84" s="35" t="str">
        <f aca="false">IF($B84="","",$I84*PROV_CESANTIA)</f>
        <v/>
      </c>
      <c r="R84" s="35" t="str">
        <f aca="false">IF($B84="","",$I84+SUM($M84:$Q84))</f>
        <v/>
      </c>
      <c r="S84" s="46" t="str">
        <f aca="false">IF(OR($A84="",$B84=""),"",DATE(YEAR($A84),MONTH($A84),1))</f>
        <v/>
      </c>
    </row>
    <row r="85" customFormat="false" ht="15" hidden="false" customHeight="false" outlineLevel="0" collapsed="false">
      <c r="A85" s="55"/>
      <c r="B85" s="6"/>
      <c r="C85" s="6"/>
      <c r="D85" s="40"/>
      <c r="E85" s="39"/>
      <c r="F85" s="35" t="str">
        <f aca="false">IF($B85="","",N($D85)/HORAS_MES*RECARGO_HE)</f>
        <v/>
      </c>
      <c r="G85" s="35" t="str">
        <f aca="false">IF($B85="","",N($E85)*$F85)</f>
        <v/>
      </c>
      <c r="H85" s="40"/>
      <c r="I85" s="35" t="str">
        <f aca="false">IF($B85="","",N($D85)+$G85+N($H85))</f>
        <v/>
      </c>
      <c r="J85" s="35" t="str">
        <f aca="false">IF($B85="","",$I85*CCSS_OBRERO)</f>
        <v/>
      </c>
      <c r="K85" s="40"/>
      <c r="L85" s="35" t="str">
        <f aca="false">IF($B85="","",$I85-$J85-N($K85))</f>
        <v/>
      </c>
      <c r="M85" s="35" t="str">
        <f aca="false">IF($B85="","",$I85*CCSS_PATRONAL)</f>
        <v/>
      </c>
      <c r="N85" s="35" t="str">
        <f aca="false">IF($B85="","",$I85*INS_RT)</f>
        <v/>
      </c>
      <c r="O85" s="35" t="str">
        <f aca="false">IF($B85="","",$I85*PROV_AGUINALDO)</f>
        <v/>
      </c>
      <c r="P85" s="35" t="str">
        <f aca="false">IF($B85="","",$I85*PROV_VACACIONES)</f>
        <v/>
      </c>
      <c r="Q85" s="35" t="str">
        <f aca="false">IF($B85="","",$I85*PROV_CESANTIA)</f>
        <v/>
      </c>
      <c r="R85" s="35" t="str">
        <f aca="false">IF($B85="","",$I85+SUM($M85:$Q85))</f>
        <v/>
      </c>
      <c r="S85" s="46" t="str">
        <f aca="false">IF(OR($A85="",$B85=""),"",DATE(YEAR($A85),MONTH($A85),1))</f>
        <v/>
      </c>
    </row>
    <row r="86" customFormat="false" ht="15" hidden="false" customHeight="false" outlineLevel="0" collapsed="false">
      <c r="A86" s="55"/>
      <c r="B86" s="6"/>
      <c r="C86" s="6"/>
      <c r="D86" s="40"/>
      <c r="E86" s="39"/>
      <c r="F86" s="35" t="str">
        <f aca="false">IF($B86="","",N($D86)/HORAS_MES*RECARGO_HE)</f>
        <v/>
      </c>
      <c r="G86" s="35" t="str">
        <f aca="false">IF($B86="","",N($E86)*$F86)</f>
        <v/>
      </c>
      <c r="H86" s="40"/>
      <c r="I86" s="35" t="str">
        <f aca="false">IF($B86="","",N($D86)+$G86+N($H86))</f>
        <v/>
      </c>
      <c r="J86" s="35" t="str">
        <f aca="false">IF($B86="","",$I86*CCSS_OBRERO)</f>
        <v/>
      </c>
      <c r="K86" s="40"/>
      <c r="L86" s="35" t="str">
        <f aca="false">IF($B86="","",$I86-$J86-N($K86))</f>
        <v/>
      </c>
      <c r="M86" s="35" t="str">
        <f aca="false">IF($B86="","",$I86*CCSS_PATRONAL)</f>
        <v/>
      </c>
      <c r="N86" s="35" t="str">
        <f aca="false">IF($B86="","",$I86*INS_RT)</f>
        <v/>
      </c>
      <c r="O86" s="35" t="str">
        <f aca="false">IF($B86="","",$I86*PROV_AGUINALDO)</f>
        <v/>
      </c>
      <c r="P86" s="35" t="str">
        <f aca="false">IF($B86="","",$I86*PROV_VACACIONES)</f>
        <v/>
      </c>
      <c r="Q86" s="35" t="str">
        <f aca="false">IF($B86="","",$I86*PROV_CESANTIA)</f>
        <v/>
      </c>
      <c r="R86" s="35" t="str">
        <f aca="false">IF($B86="","",$I86+SUM($M86:$Q86))</f>
        <v/>
      </c>
      <c r="S86" s="46" t="str">
        <f aca="false">IF(OR($A86="",$B86=""),"",DATE(YEAR($A86),MONTH($A86),1))</f>
        <v/>
      </c>
    </row>
    <row r="87" customFormat="false" ht="15" hidden="false" customHeight="false" outlineLevel="0" collapsed="false">
      <c r="A87" s="55"/>
      <c r="B87" s="6"/>
      <c r="C87" s="6"/>
      <c r="D87" s="40"/>
      <c r="E87" s="39"/>
      <c r="F87" s="35" t="str">
        <f aca="false">IF($B87="","",N($D87)/HORAS_MES*RECARGO_HE)</f>
        <v/>
      </c>
      <c r="G87" s="35" t="str">
        <f aca="false">IF($B87="","",N($E87)*$F87)</f>
        <v/>
      </c>
      <c r="H87" s="40"/>
      <c r="I87" s="35" t="str">
        <f aca="false">IF($B87="","",N($D87)+$G87+N($H87))</f>
        <v/>
      </c>
      <c r="J87" s="35" t="str">
        <f aca="false">IF($B87="","",$I87*CCSS_OBRERO)</f>
        <v/>
      </c>
      <c r="K87" s="40"/>
      <c r="L87" s="35" t="str">
        <f aca="false">IF($B87="","",$I87-$J87-N($K87))</f>
        <v/>
      </c>
      <c r="M87" s="35" t="str">
        <f aca="false">IF($B87="","",$I87*CCSS_PATRONAL)</f>
        <v/>
      </c>
      <c r="N87" s="35" t="str">
        <f aca="false">IF($B87="","",$I87*INS_RT)</f>
        <v/>
      </c>
      <c r="O87" s="35" t="str">
        <f aca="false">IF($B87="","",$I87*PROV_AGUINALDO)</f>
        <v/>
      </c>
      <c r="P87" s="35" t="str">
        <f aca="false">IF($B87="","",$I87*PROV_VACACIONES)</f>
        <v/>
      </c>
      <c r="Q87" s="35" t="str">
        <f aca="false">IF($B87="","",$I87*PROV_CESANTIA)</f>
        <v/>
      </c>
      <c r="R87" s="35" t="str">
        <f aca="false">IF($B87="","",$I87+SUM($M87:$Q87))</f>
        <v/>
      </c>
      <c r="S87" s="46" t="str">
        <f aca="false">IF(OR($A87="",$B87=""),"",DATE(YEAR($A87),MONTH($A87),1))</f>
        <v/>
      </c>
    </row>
    <row r="88" customFormat="false" ht="15" hidden="false" customHeight="false" outlineLevel="0" collapsed="false">
      <c r="A88" s="55"/>
      <c r="B88" s="6"/>
      <c r="C88" s="6"/>
      <c r="D88" s="40"/>
      <c r="E88" s="39"/>
      <c r="F88" s="35" t="str">
        <f aca="false">IF($B88="","",N($D88)/HORAS_MES*RECARGO_HE)</f>
        <v/>
      </c>
      <c r="G88" s="35" t="str">
        <f aca="false">IF($B88="","",N($E88)*$F88)</f>
        <v/>
      </c>
      <c r="H88" s="40"/>
      <c r="I88" s="35" t="str">
        <f aca="false">IF($B88="","",N($D88)+$G88+N($H88))</f>
        <v/>
      </c>
      <c r="J88" s="35" t="str">
        <f aca="false">IF($B88="","",$I88*CCSS_OBRERO)</f>
        <v/>
      </c>
      <c r="K88" s="40"/>
      <c r="L88" s="35" t="str">
        <f aca="false">IF($B88="","",$I88-$J88-N($K88))</f>
        <v/>
      </c>
      <c r="M88" s="35" t="str">
        <f aca="false">IF($B88="","",$I88*CCSS_PATRONAL)</f>
        <v/>
      </c>
      <c r="N88" s="35" t="str">
        <f aca="false">IF($B88="","",$I88*INS_RT)</f>
        <v/>
      </c>
      <c r="O88" s="35" t="str">
        <f aca="false">IF($B88="","",$I88*PROV_AGUINALDO)</f>
        <v/>
      </c>
      <c r="P88" s="35" t="str">
        <f aca="false">IF($B88="","",$I88*PROV_VACACIONES)</f>
        <v/>
      </c>
      <c r="Q88" s="35" t="str">
        <f aca="false">IF($B88="","",$I88*PROV_CESANTIA)</f>
        <v/>
      </c>
      <c r="R88" s="35" t="str">
        <f aca="false">IF($B88="","",$I88+SUM($M88:$Q88))</f>
        <v/>
      </c>
      <c r="S88" s="46" t="str">
        <f aca="false">IF(OR($A88="",$B88=""),"",DATE(YEAR($A88),MONTH($A88),1))</f>
        <v/>
      </c>
    </row>
    <row r="89" customFormat="false" ht="15" hidden="false" customHeight="false" outlineLevel="0" collapsed="false">
      <c r="A89" s="55"/>
      <c r="B89" s="6"/>
      <c r="C89" s="6"/>
      <c r="D89" s="40"/>
      <c r="E89" s="39"/>
      <c r="F89" s="35" t="str">
        <f aca="false">IF($B89="","",N($D89)/HORAS_MES*RECARGO_HE)</f>
        <v/>
      </c>
      <c r="G89" s="35" t="str">
        <f aca="false">IF($B89="","",N($E89)*$F89)</f>
        <v/>
      </c>
      <c r="H89" s="40"/>
      <c r="I89" s="35" t="str">
        <f aca="false">IF($B89="","",N($D89)+$G89+N($H89))</f>
        <v/>
      </c>
      <c r="J89" s="35" t="str">
        <f aca="false">IF($B89="","",$I89*CCSS_OBRERO)</f>
        <v/>
      </c>
      <c r="K89" s="40"/>
      <c r="L89" s="35" t="str">
        <f aca="false">IF($B89="","",$I89-$J89-N($K89))</f>
        <v/>
      </c>
      <c r="M89" s="35" t="str">
        <f aca="false">IF($B89="","",$I89*CCSS_PATRONAL)</f>
        <v/>
      </c>
      <c r="N89" s="35" t="str">
        <f aca="false">IF($B89="","",$I89*INS_RT)</f>
        <v/>
      </c>
      <c r="O89" s="35" t="str">
        <f aca="false">IF($B89="","",$I89*PROV_AGUINALDO)</f>
        <v/>
      </c>
      <c r="P89" s="35" t="str">
        <f aca="false">IF($B89="","",$I89*PROV_VACACIONES)</f>
        <v/>
      </c>
      <c r="Q89" s="35" t="str">
        <f aca="false">IF($B89="","",$I89*PROV_CESANTIA)</f>
        <v/>
      </c>
      <c r="R89" s="35" t="str">
        <f aca="false">IF($B89="","",$I89+SUM($M89:$Q89))</f>
        <v/>
      </c>
      <c r="S89" s="46" t="str">
        <f aca="false">IF(OR($A89="",$B89=""),"",DATE(YEAR($A89),MONTH($A89),1))</f>
        <v/>
      </c>
    </row>
    <row r="90" customFormat="false" ht="15" hidden="false" customHeight="false" outlineLevel="0" collapsed="false">
      <c r="A90" s="55"/>
      <c r="B90" s="6"/>
      <c r="C90" s="6"/>
      <c r="D90" s="40"/>
      <c r="E90" s="39"/>
      <c r="F90" s="35" t="str">
        <f aca="false">IF($B90="","",N($D90)/HORAS_MES*RECARGO_HE)</f>
        <v/>
      </c>
      <c r="G90" s="35" t="str">
        <f aca="false">IF($B90="","",N($E90)*$F90)</f>
        <v/>
      </c>
      <c r="H90" s="40"/>
      <c r="I90" s="35" t="str">
        <f aca="false">IF($B90="","",N($D90)+$G90+N($H90))</f>
        <v/>
      </c>
      <c r="J90" s="35" t="str">
        <f aca="false">IF($B90="","",$I90*CCSS_OBRERO)</f>
        <v/>
      </c>
      <c r="K90" s="40"/>
      <c r="L90" s="35" t="str">
        <f aca="false">IF($B90="","",$I90-$J90-N($K90))</f>
        <v/>
      </c>
      <c r="M90" s="35" t="str">
        <f aca="false">IF($B90="","",$I90*CCSS_PATRONAL)</f>
        <v/>
      </c>
      <c r="N90" s="35" t="str">
        <f aca="false">IF($B90="","",$I90*INS_RT)</f>
        <v/>
      </c>
      <c r="O90" s="35" t="str">
        <f aca="false">IF($B90="","",$I90*PROV_AGUINALDO)</f>
        <v/>
      </c>
      <c r="P90" s="35" t="str">
        <f aca="false">IF($B90="","",$I90*PROV_VACACIONES)</f>
        <v/>
      </c>
      <c r="Q90" s="35" t="str">
        <f aca="false">IF($B90="","",$I90*PROV_CESANTIA)</f>
        <v/>
      </c>
      <c r="R90" s="35" t="str">
        <f aca="false">IF($B90="","",$I90+SUM($M90:$Q90))</f>
        <v/>
      </c>
      <c r="S90" s="46" t="str">
        <f aca="false">IF(OR($A90="",$B90=""),"",DATE(YEAR($A90),MONTH($A90),1))</f>
        <v/>
      </c>
    </row>
    <row r="91" customFormat="false" ht="15" hidden="false" customHeight="false" outlineLevel="0" collapsed="false">
      <c r="A91" s="55"/>
      <c r="B91" s="6"/>
      <c r="C91" s="6"/>
      <c r="D91" s="40"/>
      <c r="E91" s="39"/>
      <c r="F91" s="35" t="str">
        <f aca="false">IF($B91="","",N($D91)/HORAS_MES*RECARGO_HE)</f>
        <v/>
      </c>
      <c r="G91" s="35" t="str">
        <f aca="false">IF($B91="","",N($E91)*$F91)</f>
        <v/>
      </c>
      <c r="H91" s="40"/>
      <c r="I91" s="35" t="str">
        <f aca="false">IF($B91="","",N($D91)+$G91+N($H91))</f>
        <v/>
      </c>
      <c r="J91" s="35" t="str">
        <f aca="false">IF($B91="","",$I91*CCSS_OBRERO)</f>
        <v/>
      </c>
      <c r="K91" s="40"/>
      <c r="L91" s="35" t="str">
        <f aca="false">IF($B91="","",$I91-$J91-N($K91))</f>
        <v/>
      </c>
      <c r="M91" s="35" t="str">
        <f aca="false">IF($B91="","",$I91*CCSS_PATRONAL)</f>
        <v/>
      </c>
      <c r="N91" s="35" t="str">
        <f aca="false">IF($B91="","",$I91*INS_RT)</f>
        <v/>
      </c>
      <c r="O91" s="35" t="str">
        <f aca="false">IF($B91="","",$I91*PROV_AGUINALDO)</f>
        <v/>
      </c>
      <c r="P91" s="35" t="str">
        <f aca="false">IF($B91="","",$I91*PROV_VACACIONES)</f>
        <v/>
      </c>
      <c r="Q91" s="35" t="str">
        <f aca="false">IF($B91="","",$I91*PROV_CESANTIA)</f>
        <v/>
      </c>
      <c r="R91" s="35" t="str">
        <f aca="false">IF($B91="","",$I91+SUM($M91:$Q91))</f>
        <v/>
      </c>
      <c r="S91" s="46" t="str">
        <f aca="false">IF(OR($A91="",$B91=""),"",DATE(YEAR($A91),MONTH($A91),1))</f>
        <v/>
      </c>
    </row>
    <row r="92" customFormat="false" ht="15" hidden="false" customHeight="false" outlineLevel="0" collapsed="false">
      <c r="A92" s="55"/>
      <c r="B92" s="6"/>
      <c r="C92" s="6"/>
      <c r="D92" s="40"/>
      <c r="E92" s="39"/>
      <c r="F92" s="35" t="str">
        <f aca="false">IF($B92="","",N($D92)/HORAS_MES*RECARGO_HE)</f>
        <v/>
      </c>
      <c r="G92" s="35" t="str">
        <f aca="false">IF($B92="","",N($E92)*$F92)</f>
        <v/>
      </c>
      <c r="H92" s="40"/>
      <c r="I92" s="35" t="str">
        <f aca="false">IF($B92="","",N($D92)+$G92+N($H92))</f>
        <v/>
      </c>
      <c r="J92" s="35" t="str">
        <f aca="false">IF($B92="","",$I92*CCSS_OBRERO)</f>
        <v/>
      </c>
      <c r="K92" s="40"/>
      <c r="L92" s="35" t="str">
        <f aca="false">IF($B92="","",$I92-$J92-N($K92))</f>
        <v/>
      </c>
      <c r="M92" s="35" t="str">
        <f aca="false">IF($B92="","",$I92*CCSS_PATRONAL)</f>
        <v/>
      </c>
      <c r="N92" s="35" t="str">
        <f aca="false">IF($B92="","",$I92*INS_RT)</f>
        <v/>
      </c>
      <c r="O92" s="35" t="str">
        <f aca="false">IF($B92="","",$I92*PROV_AGUINALDO)</f>
        <v/>
      </c>
      <c r="P92" s="35" t="str">
        <f aca="false">IF($B92="","",$I92*PROV_VACACIONES)</f>
        <v/>
      </c>
      <c r="Q92" s="35" t="str">
        <f aca="false">IF($B92="","",$I92*PROV_CESANTIA)</f>
        <v/>
      </c>
      <c r="R92" s="35" t="str">
        <f aca="false">IF($B92="","",$I92+SUM($M92:$Q92))</f>
        <v/>
      </c>
      <c r="S92" s="46" t="str">
        <f aca="false">IF(OR($A92="",$B92=""),"",DATE(YEAR($A92),MONTH($A92),1))</f>
        <v/>
      </c>
    </row>
    <row r="93" customFormat="false" ht="15" hidden="false" customHeight="false" outlineLevel="0" collapsed="false">
      <c r="A93" s="55"/>
      <c r="B93" s="6"/>
      <c r="C93" s="6"/>
      <c r="D93" s="40"/>
      <c r="E93" s="39"/>
      <c r="F93" s="35" t="str">
        <f aca="false">IF($B93="","",N($D93)/HORAS_MES*RECARGO_HE)</f>
        <v/>
      </c>
      <c r="G93" s="35" t="str">
        <f aca="false">IF($B93="","",N($E93)*$F93)</f>
        <v/>
      </c>
      <c r="H93" s="40"/>
      <c r="I93" s="35" t="str">
        <f aca="false">IF($B93="","",N($D93)+$G93+N($H93))</f>
        <v/>
      </c>
      <c r="J93" s="35" t="str">
        <f aca="false">IF($B93="","",$I93*CCSS_OBRERO)</f>
        <v/>
      </c>
      <c r="K93" s="40"/>
      <c r="L93" s="35" t="str">
        <f aca="false">IF($B93="","",$I93-$J93-N($K93))</f>
        <v/>
      </c>
      <c r="M93" s="35" t="str">
        <f aca="false">IF($B93="","",$I93*CCSS_PATRONAL)</f>
        <v/>
      </c>
      <c r="N93" s="35" t="str">
        <f aca="false">IF($B93="","",$I93*INS_RT)</f>
        <v/>
      </c>
      <c r="O93" s="35" t="str">
        <f aca="false">IF($B93="","",$I93*PROV_AGUINALDO)</f>
        <v/>
      </c>
      <c r="P93" s="35" t="str">
        <f aca="false">IF($B93="","",$I93*PROV_VACACIONES)</f>
        <v/>
      </c>
      <c r="Q93" s="35" t="str">
        <f aca="false">IF($B93="","",$I93*PROV_CESANTIA)</f>
        <v/>
      </c>
      <c r="R93" s="35" t="str">
        <f aca="false">IF($B93="","",$I93+SUM($M93:$Q93))</f>
        <v/>
      </c>
      <c r="S93" s="46" t="str">
        <f aca="false">IF(OR($A93="",$B93=""),"",DATE(YEAR($A93),MONTH($A93),1))</f>
        <v/>
      </c>
    </row>
    <row r="94" customFormat="false" ht="15" hidden="false" customHeight="false" outlineLevel="0" collapsed="false">
      <c r="A94" s="55"/>
      <c r="B94" s="6"/>
      <c r="C94" s="6"/>
      <c r="D94" s="40"/>
      <c r="E94" s="39"/>
      <c r="F94" s="35" t="str">
        <f aca="false">IF($B94="","",N($D94)/HORAS_MES*RECARGO_HE)</f>
        <v/>
      </c>
      <c r="G94" s="35" t="str">
        <f aca="false">IF($B94="","",N($E94)*$F94)</f>
        <v/>
      </c>
      <c r="H94" s="40"/>
      <c r="I94" s="35" t="str">
        <f aca="false">IF($B94="","",N($D94)+$G94+N($H94))</f>
        <v/>
      </c>
      <c r="J94" s="35" t="str">
        <f aca="false">IF($B94="","",$I94*CCSS_OBRERO)</f>
        <v/>
      </c>
      <c r="K94" s="40"/>
      <c r="L94" s="35" t="str">
        <f aca="false">IF($B94="","",$I94-$J94-N($K94))</f>
        <v/>
      </c>
      <c r="M94" s="35" t="str">
        <f aca="false">IF($B94="","",$I94*CCSS_PATRONAL)</f>
        <v/>
      </c>
      <c r="N94" s="35" t="str">
        <f aca="false">IF($B94="","",$I94*INS_RT)</f>
        <v/>
      </c>
      <c r="O94" s="35" t="str">
        <f aca="false">IF($B94="","",$I94*PROV_AGUINALDO)</f>
        <v/>
      </c>
      <c r="P94" s="35" t="str">
        <f aca="false">IF($B94="","",$I94*PROV_VACACIONES)</f>
        <v/>
      </c>
      <c r="Q94" s="35" t="str">
        <f aca="false">IF($B94="","",$I94*PROV_CESANTIA)</f>
        <v/>
      </c>
      <c r="R94" s="35" t="str">
        <f aca="false">IF($B94="","",$I94+SUM($M94:$Q94))</f>
        <v/>
      </c>
      <c r="S94" s="46" t="str">
        <f aca="false">IF(OR($A94="",$B94=""),"",DATE(YEAR($A94),MONTH($A94),1))</f>
        <v/>
      </c>
    </row>
    <row r="95" customFormat="false" ht="15" hidden="false" customHeight="false" outlineLevel="0" collapsed="false">
      <c r="A95" s="55"/>
      <c r="B95" s="6"/>
      <c r="C95" s="6"/>
      <c r="D95" s="40"/>
      <c r="E95" s="39"/>
      <c r="F95" s="35" t="str">
        <f aca="false">IF($B95="","",N($D95)/HORAS_MES*RECARGO_HE)</f>
        <v/>
      </c>
      <c r="G95" s="35" t="str">
        <f aca="false">IF($B95="","",N($E95)*$F95)</f>
        <v/>
      </c>
      <c r="H95" s="40"/>
      <c r="I95" s="35" t="str">
        <f aca="false">IF($B95="","",N($D95)+$G95+N($H95))</f>
        <v/>
      </c>
      <c r="J95" s="35" t="str">
        <f aca="false">IF($B95="","",$I95*CCSS_OBRERO)</f>
        <v/>
      </c>
      <c r="K95" s="40"/>
      <c r="L95" s="35" t="str">
        <f aca="false">IF($B95="","",$I95-$J95-N($K95))</f>
        <v/>
      </c>
      <c r="M95" s="35" t="str">
        <f aca="false">IF($B95="","",$I95*CCSS_PATRONAL)</f>
        <v/>
      </c>
      <c r="N95" s="35" t="str">
        <f aca="false">IF($B95="","",$I95*INS_RT)</f>
        <v/>
      </c>
      <c r="O95" s="35" t="str">
        <f aca="false">IF($B95="","",$I95*PROV_AGUINALDO)</f>
        <v/>
      </c>
      <c r="P95" s="35" t="str">
        <f aca="false">IF($B95="","",$I95*PROV_VACACIONES)</f>
        <v/>
      </c>
      <c r="Q95" s="35" t="str">
        <f aca="false">IF($B95="","",$I95*PROV_CESANTIA)</f>
        <v/>
      </c>
      <c r="R95" s="35" t="str">
        <f aca="false">IF($B95="","",$I95+SUM($M95:$Q95))</f>
        <v/>
      </c>
      <c r="S95" s="46" t="str">
        <f aca="false">IF(OR($A95="",$B95=""),"",DATE(YEAR($A95),MONTH($A95),1))</f>
        <v/>
      </c>
    </row>
    <row r="96" customFormat="false" ht="15" hidden="false" customHeight="false" outlineLevel="0" collapsed="false">
      <c r="A96" s="55"/>
      <c r="B96" s="6"/>
      <c r="C96" s="6"/>
      <c r="D96" s="40"/>
      <c r="E96" s="39"/>
      <c r="F96" s="35" t="str">
        <f aca="false">IF($B96="","",N($D96)/HORAS_MES*RECARGO_HE)</f>
        <v/>
      </c>
      <c r="G96" s="35" t="str">
        <f aca="false">IF($B96="","",N($E96)*$F96)</f>
        <v/>
      </c>
      <c r="H96" s="40"/>
      <c r="I96" s="35" t="str">
        <f aca="false">IF($B96="","",N($D96)+$G96+N($H96))</f>
        <v/>
      </c>
      <c r="J96" s="35" t="str">
        <f aca="false">IF($B96="","",$I96*CCSS_OBRERO)</f>
        <v/>
      </c>
      <c r="K96" s="40"/>
      <c r="L96" s="35" t="str">
        <f aca="false">IF($B96="","",$I96-$J96-N($K96))</f>
        <v/>
      </c>
      <c r="M96" s="35" t="str">
        <f aca="false">IF($B96="","",$I96*CCSS_PATRONAL)</f>
        <v/>
      </c>
      <c r="N96" s="35" t="str">
        <f aca="false">IF($B96="","",$I96*INS_RT)</f>
        <v/>
      </c>
      <c r="O96" s="35" t="str">
        <f aca="false">IF($B96="","",$I96*PROV_AGUINALDO)</f>
        <v/>
      </c>
      <c r="P96" s="35" t="str">
        <f aca="false">IF($B96="","",$I96*PROV_VACACIONES)</f>
        <v/>
      </c>
      <c r="Q96" s="35" t="str">
        <f aca="false">IF($B96="","",$I96*PROV_CESANTIA)</f>
        <v/>
      </c>
      <c r="R96" s="35" t="str">
        <f aca="false">IF($B96="","",$I96+SUM($M96:$Q96))</f>
        <v/>
      </c>
      <c r="S96" s="46" t="str">
        <f aca="false">IF(OR($A96="",$B96=""),"",DATE(YEAR($A96),MONTH($A96),1))</f>
        <v/>
      </c>
    </row>
    <row r="97" customFormat="false" ht="15" hidden="false" customHeight="false" outlineLevel="0" collapsed="false">
      <c r="A97" s="55"/>
      <c r="B97" s="6"/>
      <c r="C97" s="6"/>
      <c r="D97" s="40"/>
      <c r="E97" s="39"/>
      <c r="F97" s="35" t="str">
        <f aca="false">IF($B97="","",N($D97)/HORAS_MES*RECARGO_HE)</f>
        <v/>
      </c>
      <c r="G97" s="35" t="str">
        <f aca="false">IF($B97="","",N($E97)*$F97)</f>
        <v/>
      </c>
      <c r="H97" s="40"/>
      <c r="I97" s="35" t="str">
        <f aca="false">IF($B97="","",N($D97)+$G97+N($H97))</f>
        <v/>
      </c>
      <c r="J97" s="35" t="str">
        <f aca="false">IF($B97="","",$I97*CCSS_OBRERO)</f>
        <v/>
      </c>
      <c r="K97" s="40"/>
      <c r="L97" s="35" t="str">
        <f aca="false">IF($B97="","",$I97-$J97-N($K97))</f>
        <v/>
      </c>
      <c r="M97" s="35" t="str">
        <f aca="false">IF($B97="","",$I97*CCSS_PATRONAL)</f>
        <v/>
      </c>
      <c r="N97" s="35" t="str">
        <f aca="false">IF($B97="","",$I97*INS_RT)</f>
        <v/>
      </c>
      <c r="O97" s="35" t="str">
        <f aca="false">IF($B97="","",$I97*PROV_AGUINALDO)</f>
        <v/>
      </c>
      <c r="P97" s="35" t="str">
        <f aca="false">IF($B97="","",$I97*PROV_VACACIONES)</f>
        <v/>
      </c>
      <c r="Q97" s="35" t="str">
        <f aca="false">IF($B97="","",$I97*PROV_CESANTIA)</f>
        <v/>
      </c>
      <c r="R97" s="35" t="str">
        <f aca="false">IF($B97="","",$I97+SUM($M97:$Q97))</f>
        <v/>
      </c>
      <c r="S97" s="46" t="str">
        <f aca="false">IF(OR($A97="",$B97=""),"",DATE(YEAR($A97),MONTH($A97),1))</f>
        <v/>
      </c>
    </row>
    <row r="98" customFormat="false" ht="15" hidden="false" customHeight="false" outlineLevel="0" collapsed="false">
      <c r="A98" s="55"/>
      <c r="B98" s="6"/>
      <c r="C98" s="6"/>
      <c r="D98" s="40"/>
      <c r="E98" s="39"/>
      <c r="F98" s="35" t="str">
        <f aca="false">IF($B98="","",N($D98)/HORAS_MES*RECARGO_HE)</f>
        <v/>
      </c>
      <c r="G98" s="35" t="str">
        <f aca="false">IF($B98="","",N($E98)*$F98)</f>
        <v/>
      </c>
      <c r="H98" s="40"/>
      <c r="I98" s="35" t="str">
        <f aca="false">IF($B98="","",N($D98)+$G98+N($H98))</f>
        <v/>
      </c>
      <c r="J98" s="35" t="str">
        <f aca="false">IF($B98="","",$I98*CCSS_OBRERO)</f>
        <v/>
      </c>
      <c r="K98" s="40"/>
      <c r="L98" s="35" t="str">
        <f aca="false">IF($B98="","",$I98-$J98-N($K98))</f>
        <v/>
      </c>
      <c r="M98" s="35" t="str">
        <f aca="false">IF($B98="","",$I98*CCSS_PATRONAL)</f>
        <v/>
      </c>
      <c r="N98" s="35" t="str">
        <f aca="false">IF($B98="","",$I98*INS_RT)</f>
        <v/>
      </c>
      <c r="O98" s="35" t="str">
        <f aca="false">IF($B98="","",$I98*PROV_AGUINALDO)</f>
        <v/>
      </c>
      <c r="P98" s="35" t="str">
        <f aca="false">IF($B98="","",$I98*PROV_VACACIONES)</f>
        <v/>
      </c>
      <c r="Q98" s="35" t="str">
        <f aca="false">IF($B98="","",$I98*PROV_CESANTIA)</f>
        <v/>
      </c>
      <c r="R98" s="35" t="str">
        <f aca="false">IF($B98="","",$I98+SUM($M98:$Q98))</f>
        <v/>
      </c>
      <c r="S98" s="46" t="str">
        <f aca="false">IF(OR($A98="",$B98=""),"",DATE(YEAR($A98),MONTH($A98),1))</f>
        <v/>
      </c>
    </row>
    <row r="99" customFormat="false" ht="15" hidden="false" customHeight="false" outlineLevel="0" collapsed="false">
      <c r="A99" s="55"/>
      <c r="B99" s="6"/>
      <c r="C99" s="6"/>
      <c r="D99" s="40"/>
      <c r="E99" s="39"/>
      <c r="F99" s="35" t="str">
        <f aca="false">IF($B99="","",N($D99)/HORAS_MES*RECARGO_HE)</f>
        <v/>
      </c>
      <c r="G99" s="35" t="str">
        <f aca="false">IF($B99="","",N($E99)*$F99)</f>
        <v/>
      </c>
      <c r="H99" s="40"/>
      <c r="I99" s="35" t="str">
        <f aca="false">IF($B99="","",N($D99)+$G99+N($H99))</f>
        <v/>
      </c>
      <c r="J99" s="35" t="str">
        <f aca="false">IF($B99="","",$I99*CCSS_OBRERO)</f>
        <v/>
      </c>
      <c r="K99" s="40"/>
      <c r="L99" s="35" t="str">
        <f aca="false">IF($B99="","",$I99-$J99-N($K99))</f>
        <v/>
      </c>
      <c r="M99" s="35" t="str">
        <f aca="false">IF($B99="","",$I99*CCSS_PATRONAL)</f>
        <v/>
      </c>
      <c r="N99" s="35" t="str">
        <f aca="false">IF($B99="","",$I99*INS_RT)</f>
        <v/>
      </c>
      <c r="O99" s="35" t="str">
        <f aca="false">IF($B99="","",$I99*PROV_AGUINALDO)</f>
        <v/>
      </c>
      <c r="P99" s="35" t="str">
        <f aca="false">IF($B99="","",$I99*PROV_VACACIONES)</f>
        <v/>
      </c>
      <c r="Q99" s="35" t="str">
        <f aca="false">IF($B99="","",$I99*PROV_CESANTIA)</f>
        <v/>
      </c>
      <c r="R99" s="35" t="str">
        <f aca="false">IF($B99="","",$I99+SUM($M99:$Q99))</f>
        <v/>
      </c>
      <c r="S99" s="46" t="str">
        <f aca="false">IF(OR($A99="",$B99=""),"",DATE(YEAR($A99),MONTH($A99),1))</f>
        <v/>
      </c>
    </row>
    <row r="100" customFormat="false" ht="15" hidden="false" customHeight="false" outlineLevel="0" collapsed="false">
      <c r="A100" s="55"/>
      <c r="B100" s="6"/>
      <c r="C100" s="6"/>
      <c r="D100" s="40"/>
      <c r="E100" s="39"/>
      <c r="F100" s="35" t="str">
        <f aca="false">IF($B100="","",N($D100)/HORAS_MES*RECARGO_HE)</f>
        <v/>
      </c>
      <c r="G100" s="35" t="str">
        <f aca="false">IF($B100="","",N($E100)*$F100)</f>
        <v/>
      </c>
      <c r="H100" s="40"/>
      <c r="I100" s="35" t="str">
        <f aca="false">IF($B100="","",N($D100)+$G100+N($H100))</f>
        <v/>
      </c>
      <c r="J100" s="35" t="str">
        <f aca="false">IF($B100="","",$I100*CCSS_OBRERO)</f>
        <v/>
      </c>
      <c r="K100" s="40"/>
      <c r="L100" s="35" t="str">
        <f aca="false">IF($B100="","",$I100-$J100-N($K100))</f>
        <v/>
      </c>
      <c r="M100" s="35" t="str">
        <f aca="false">IF($B100="","",$I100*CCSS_PATRONAL)</f>
        <v/>
      </c>
      <c r="N100" s="35" t="str">
        <f aca="false">IF($B100="","",$I100*INS_RT)</f>
        <v/>
      </c>
      <c r="O100" s="35" t="str">
        <f aca="false">IF($B100="","",$I100*PROV_AGUINALDO)</f>
        <v/>
      </c>
      <c r="P100" s="35" t="str">
        <f aca="false">IF($B100="","",$I100*PROV_VACACIONES)</f>
        <v/>
      </c>
      <c r="Q100" s="35" t="str">
        <f aca="false">IF($B100="","",$I100*PROV_CESANTIA)</f>
        <v/>
      </c>
      <c r="R100" s="35" t="str">
        <f aca="false">IF($B100="","",$I100+SUM($M100:$Q100))</f>
        <v/>
      </c>
      <c r="S100" s="46" t="str">
        <f aca="false">IF(OR($A100="",$B100=""),"",DATE(YEAR($A100),MONTH($A100),1))</f>
        <v/>
      </c>
    </row>
    <row r="101" customFormat="false" ht="15" hidden="false" customHeight="false" outlineLevel="0" collapsed="false">
      <c r="A101" s="55"/>
      <c r="B101" s="6"/>
      <c r="C101" s="6"/>
      <c r="D101" s="40"/>
      <c r="E101" s="39"/>
      <c r="F101" s="35" t="str">
        <f aca="false">IF($B101="","",N($D101)/HORAS_MES*RECARGO_HE)</f>
        <v/>
      </c>
      <c r="G101" s="35" t="str">
        <f aca="false">IF($B101="","",N($E101)*$F101)</f>
        <v/>
      </c>
      <c r="H101" s="40"/>
      <c r="I101" s="35" t="str">
        <f aca="false">IF($B101="","",N($D101)+$G101+N($H101))</f>
        <v/>
      </c>
      <c r="J101" s="35" t="str">
        <f aca="false">IF($B101="","",$I101*CCSS_OBRERO)</f>
        <v/>
      </c>
      <c r="K101" s="40"/>
      <c r="L101" s="35" t="str">
        <f aca="false">IF($B101="","",$I101-$J101-N($K101))</f>
        <v/>
      </c>
      <c r="M101" s="35" t="str">
        <f aca="false">IF($B101="","",$I101*CCSS_PATRONAL)</f>
        <v/>
      </c>
      <c r="N101" s="35" t="str">
        <f aca="false">IF($B101="","",$I101*INS_RT)</f>
        <v/>
      </c>
      <c r="O101" s="35" t="str">
        <f aca="false">IF($B101="","",$I101*PROV_AGUINALDO)</f>
        <v/>
      </c>
      <c r="P101" s="35" t="str">
        <f aca="false">IF($B101="","",$I101*PROV_VACACIONES)</f>
        <v/>
      </c>
      <c r="Q101" s="35" t="str">
        <f aca="false">IF($B101="","",$I101*PROV_CESANTIA)</f>
        <v/>
      </c>
      <c r="R101" s="35" t="str">
        <f aca="false">IF($B101="","",$I101+SUM($M101:$Q101))</f>
        <v/>
      </c>
      <c r="S101" s="46" t="str">
        <f aca="false">IF(OR($A101="",$B101=""),"",DATE(YEAR($A101),MONTH($A101),1))</f>
        <v/>
      </c>
    </row>
    <row r="102" customFormat="false" ht="15" hidden="false" customHeight="false" outlineLevel="0" collapsed="false">
      <c r="A102" s="55"/>
      <c r="B102" s="6"/>
      <c r="C102" s="6"/>
      <c r="D102" s="40"/>
      <c r="E102" s="39"/>
      <c r="F102" s="35" t="str">
        <f aca="false">IF($B102="","",N($D102)/HORAS_MES*RECARGO_HE)</f>
        <v/>
      </c>
      <c r="G102" s="35" t="str">
        <f aca="false">IF($B102="","",N($E102)*$F102)</f>
        <v/>
      </c>
      <c r="H102" s="40"/>
      <c r="I102" s="35" t="str">
        <f aca="false">IF($B102="","",N($D102)+$G102+N($H102))</f>
        <v/>
      </c>
      <c r="J102" s="35" t="str">
        <f aca="false">IF($B102="","",$I102*CCSS_OBRERO)</f>
        <v/>
      </c>
      <c r="K102" s="40"/>
      <c r="L102" s="35" t="str">
        <f aca="false">IF($B102="","",$I102-$J102-N($K102))</f>
        <v/>
      </c>
      <c r="M102" s="35" t="str">
        <f aca="false">IF($B102="","",$I102*CCSS_PATRONAL)</f>
        <v/>
      </c>
      <c r="N102" s="35" t="str">
        <f aca="false">IF($B102="","",$I102*INS_RT)</f>
        <v/>
      </c>
      <c r="O102" s="35" t="str">
        <f aca="false">IF($B102="","",$I102*PROV_AGUINALDO)</f>
        <v/>
      </c>
      <c r="P102" s="35" t="str">
        <f aca="false">IF($B102="","",$I102*PROV_VACACIONES)</f>
        <v/>
      </c>
      <c r="Q102" s="35" t="str">
        <f aca="false">IF($B102="","",$I102*PROV_CESANTIA)</f>
        <v/>
      </c>
      <c r="R102" s="35" t="str">
        <f aca="false">IF($B102="","",$I102+SUM($M102:$Q102))</f>
        <v/>
      </c>
      <c r="S102" s="46" t="str">
        <f aca="false">IF(OR($A102="",$B102=""),"",DATE(YEAR($A102),MONTH($A102),1))</f>
        <v/>
      </c>
    </row>
    <row r="103" customFormat="false" ht="15" hidden="false" customHeight="false" outlineLevel="0" collapsed="false">
      <c r="A103" s="55"/>
      <c r="B103" s="6"/>
      <c r="C103" s="6"/>
      <c r="D103" s="40"/>
      <c r="E103" s="39"/>
      <c r="F103" s="35" t="str">
        <f aca="false">IF($B103="","",N($D103)/HORAS_MES*RECARGO_HE)</f>
        <v/>
      </c>
      <c r="G103" s="35" t="str">
        <f aca="false">IF($B103="","",N($E103)*$F103)</f>
        <v/>
      </c>
      <c r="H103" s="40"/>
      <c r="I103" s="35" t="str">
        <f aca="false">IF($B103="","",N($D103)+$G103+N($H103))</f>
        <v/>
      </c>
      <c r="J103" s="35" t="str">
        <f aca="false">IF($B103="","",$I103*CCSS_OBRERO)</f>
        <v/>
      </c>
      <c r="K103" s="40"/>
      <c r="L103" s="35" t="str">
        <f aca="false">IF($B103="","",$I103-$J103-N($K103))</f>
        <v/>
      </c>
      <c r="M103" s="35" t="str">
        <f aca="false">IF($B103="","",$I103*CCSS_PATRONAL)</f>
        <v/>
      </c>
      <c r="N103" s="35" t="str">
        <f aca="false">IF($B103="","",$I103*INS_RT)</f>
        <v/>
      </c>
      <c r="O103" s="35" t="str">
        <f aca="false">IF($B103="","",$I103*PROV_AGUINALDO)</f>
        <v/>
      </c>
      <c r="P103" s="35" t="str">
        <f aca="false">IF($B103="","",$I103*PROV_VACACIONES)</f>
        <v/>
      </c>
      <c r="Q103" s="35" t="str">
        <f aca="false">IF($B103="","",$I103*PROV_CESANTIA)</f>
        <v/>
      </c>
      <c r="R103" s="35" t="str">
        <f aca="false">IF($B103="","",$I103+SUM($M103:$Q103))</f>
        <v/>
      </c>
      <c r="S103" s="46" t="str">
        <f aca="false">IF(OR($A103="",$B103=""),"",DATE(YEAR($A103),MONTH($A103),1))</f>
        <v/>
      </c>
    </row>
    <row r="104" customFormat="false" ht="15" hidden="false" customHeight="false" outlineLevel="0" collapsed="false">
      <c r="A104" s="55"/>
      <c r="B104" s="6"/>
      <c r="C104" s="6"/>
      <c r="D104" s="40"/>
      <c r="E104" s="39"/>
      <c r="F104" s="35" t="str">
        <f aca="false">IF($B104="","",N($D104)/HORAS_MES*RECARGO_HE)</f>
        <v/>
      </c>
      <c r="G104" s="35" t="str">
        <f aca="false">IF($B104="","",N($E104)*$F104)</f>
        <v/>
      </c>
      <c r="H104" s="40"/>
      <c r="I104" s="35" t="str">
        <f aca="false">IF($B104="","",N($D104)+$G104+N($H104))</f>
        <v/>
      </c>
      <c r="J104" s="35" t="str">
        <f aca="false">IF($B104="","",$I104*CCSS_OBRERO)</f>
        <v/>
      </c>
      <c r="K104" s="40"/>
      <c r="L104" s="35" t="str">
        <f aca="false">IF($B104="","",$I104-$J104-N($K104))</f>
        <v/>
      </c>
      <c r="M104" s="35" t="str">
        <f aca="false">IF($B104="","",$I104*CCSS_PATRONAL)</f>
        <v/>
      </c>
      <c r="N104" s="35" t="str">
        <f aca="false">IF($B104="","",$I104*INS_RT)</f>
        <v/>
      </c>
      <c r="O104" s="35" t="str">
        <f aca="false">IF($B104="","",$I104*PROV_AGUINALDO)</f>
        <v/>
      </c>
      <c r="P104" s="35" t="str">
        <f aca="false">IF($B104="","",$I104*PROV_VACACIONES)</f>
        <v/>
      </c>
      <c r="Q104" s="35" t="str">
        <f aca="false">IF($B104="","",$I104*PROV_CESANTIA)</f>
        <v/>
      </c>
      <c r="R104" s="35" t="str">
        <f aca="false">IF($B104="","",$I104+SUM($M104:$Q104))</f>
        <v/>
      </c>
      <c r="S104" s="46" t="str">
        <f aca="false">IF(OR($A104="",$B104=""),"",DATE(YEAR($A104),MONTH($A104),1))</f>
        <v/>
      </c>
    </row>
    <row r="105" customFormat="false" ht="15" hidden="false" customHeight="false" outlineLevel="0" collapsed="false">
      <c r="A105" s="55"/>
      <c r="B105" s="6"/>
      <c r="C105" s="6"/>
      <c r="D105" s="40"/>
      <c r="E105" s="39"/>
      <c r="F105" s="35" t="str">
        <f aca="false">IF($B105="","",N($D105)/HORAS_MES*RECARGO_HE)</f>
        <v/>
      </c>
      <c r="G105" s="35" t="str">
        <f aca="false">IF($B105="","",N($E105)*$F105)</f>
        <v/>
      </c>
      <c r="H105" s="40"/>
      <c r="I105" s="35" t="str">
        <f aca="false">IF($B105="","",N($D105)+$G105+N($H105))</f>
        <v/>
      </c>
      <c r="J105" s="35" t="str">
        <f aca="false">IF($B105="","",$I105*CCSS_OBRERO)</f>
        <v/>
      </c>
      <c r="K105" s="40"/>
      <c r="L105" s="35" t="str">
        <f aca="false">IF($B105="","",$I105-$J105-N($K105))</f>
        <v/>
      </c>
      <c r="M105" s="35" t="str">
        <f aca="false">IF($B105="","",$I105*CCSS_PATRONAL)</f>
        <v/>
      </c>
      <c r="N105" s="35" t="str">
        <f aca="false">IF($B105="","",$I105*INS_RT)</f>
        <v/>
      </c>
      <c r="O105" s="35" t="str">
        <f aca="false">IF($B105="","",$I105*PROV_AGUINALDO)</f>
        <v/>
      </c>
      <c r="P105" s="35" t="str">
        <f aca="false">IF($B105="","",$I105*PROV_VACACIONES)</f>
        <v/>
      </c>
      <c r="Q105" s="35" t="str">
        <f aca="false">IF($B105="","",$I105*PROV_CESANTIA)</f>
        <v/>
      </c>
      <c r="R105" s="35" t="str">
        <f aca="false">IF($B105="","",$I105+SUM($M105:$Q105))</f>
        <v/>
      </c>
      <c r="S105" s="46" t="str">
        <f aca="false">IF(OR($A105="",$B105=""),"",DATE(YEAR($A105),MONTH($A105),1))</f>
        <v/>
      </c>
    </row>
    <row r="106" customFormat="false" ht="15" hidden="false" customHeight="false" outlineLevel="0" collapsed="false">
      <c r="A106" s="55"/>
      <c r="B106" s="6"/>
      <c r="C106" s="6"/>
      <c r="D106" s="40"/>
      <c r="E106" s="39"/>
      <c r="F106" s="35" t="str">
        <f aca="false">IF($B106="","",N($D106)/HORAS_MES*RECARGO_HE)</f>
        <v/>
      </c>
      <c r="G106" s="35" t="str">
        <f aca="false">IF($B106="","",N($E106)*$F106)</f>
        <v/>
      </c>
      <c r="H106" s="40"/>
      <c r="I106" s="35" t="str">
        <f aca="false">IF($B106="","",N($D106)+$G106+N($H106))</f>
        <v/>
      </c>
      <c r="J106" s="35" t="str">
        <f aca="false">IF($B106="","",$I106*CCSS_OBRERO)</f>
        <v/>
      </c>
      <c r="K106" s="40"/>
      <c r="L106" s="35" t="str">
        <f aca="false">IF($B106="","",$I106-$J106-N($K106))</f>
        <v/>
      </c>
      <c r="M106" s="35" t="str">
        <f aca="false">IF($B106="","",$I106*CCSS_PATRONAL)</f>
        <v/>
      </c>
      <c r="N106" s="35" t="str">
        <f aca="false">IF($B106="","",$I106*INS_RT)</f>
        <v/>
      </c>
      <c r="O106" s="35" t="str">
        <f aca="false">IF($B106="","",$I106*PROV_AGUINALDO)</f>
        <v/>
      </c>
      <c r="P106" s="35" t="str">
        <f aca="false">IF($B106="","",$I106*PROV_VACACIONES)</f>
        <v/>
      </c>
      <c r="Q106" s="35" t="str">
        <f aca="false">IF($B106="","",$I106*PROV_CESANTIA)</f>
        <v/>
      </c>
      <c r="R106" s="35" t="str">
        <f aca="false">IF($B106="","",$I106+SUM($M106:$Q106))</f>
        <v/>
      </c>
      <c r="S106" s="46" t="str">
        <f aca="false">IF(OR($A106="",$B106=""),"",DATE(YEAR($A106),MONTH($A106),1))</f>
        <v/>
      </c>
    </row>
    <row r="107" customFormat="false" ht="15" hidden="false" customHeight="false" outlineLevel="0" collapsed="false">
      <c r="A107" s="55"/>
      <c r="B107" s="6"/>
      <c r="C107" s="6"/>
      <c r="D107" s="40"/>
      <c r="E107" s="39"/>
      <c r="F107" s="35" t="str">
        <f aca="false">IF($B107="","",N($D107)/HORAS_MES*RECARGO_HE)</f>
        <v/>
      </c>
      <c r="G107" s="35" t="str">
        <f aca="false">IF($B107="","",N($E107)*$F107)</f>
        <v/>
      </c>
      <c r="H107" s="40"/>
      <c r="I107" s="35" t="str">
        <f aca="false">IF($B107="","",N($D107)+$G107+N($H107))</f>
        <v/>
      </c>
      <c r="J107" s="35" t="str">
        <f aca="false">IF($B107="","",$I107*CCSS_OBRERO)</f>
        <v/>
      </c>
      <c r="K107" s="40"/>
      <c r="L107" s="35" t="str">
        <f aca="false">IF($B107="","",$I107-$J107-N($K107))</f>
        <v/>
      </c>
      <c r="M107" s="35" t="str">
        <f aca="false">IF($B107="","",$I107*CCSS_PATRONAL)</f>
        <v/>
      </c>
      <c r="N107" s="35" t="str">
        <f aca="false">IF($B107="","",$I107*INS_RT)</f>
        <v/>
      </c>
      <c r="O107" s="35" t="str">
        <f aca="false">IF($B107="","",$I107*PROV_AGUINALDO)</f>
        <v/>
      </c>
      <c r="P107" s="35" t="str">
        <f aca="false">IF($B107="","",$I107*PROV_VACACIONES)</f>
        <v/>
      </c>
      <c r="Q107" s="35" t="str">
        <f aca="false">IF($B107="","",$I107*PROV_CESANTIA)</f>
        <v/>
      </c>
      <c r="R107" s="35" t="str">
        <f aca="false">IF($B107="","",$I107+SUM($M107:$Q107))</f>
        <v/>
      </c>
      <c r="S107" s="46" t="str">
        <f aca="false">IF(OR($A107="",$B107=""),"",DATE(YEAR($A107),MONTH($A107),1))</f>
        <v/>
      </c>
    </row>
    <row r="108" customFormat="false" ht="15" hidden="false" customHeight="false" outlineLevel="0" collapsed="false">
      <c r="A108" s="55"/>
      <c r="B108" s="6"/>
      <c r="C108" s="6"/>
      <c r="D108" s="40"/>
      <c r="E108" s="39"/>
      <c r="F108" s="35" t="str">
        <f aca="false">IF($B108="","",N($D108)/HORAS_MES*RECARGO_HE)</f>
        <v/>
      </c>
      <c r="G108" s="35" t="str">
        <f aca="false">IF($B108="","",N($E108)*$F108)</f>
        <v/>
      </c>
      <c r="H108" s="40"/>
      <c r="I108" s="35" t="str">
        <f aca="false">IF($B108="","",N($D108)+$G108+N($H108))</f>
        <v/>
      </c>
      <c r="J108" s="35" t="str">
        <f aca="false">IF($B108="","",$I108*CCSS_OBRERO)</f>
        <v/>
      </c>
      <c r="K108" s="40"/>
      <c r="L108" s="35" t="str">
        <f aca="false">IF($B108="","",$I108-$J108-N($K108))</f>
        <v/>
      </c>
      <c r="M108" s="35" t="str">
        <f aca="false">IF($B108="","",$I108*CCSS_PATRONAL)</f>
        <v/>
      </c>
      <c r="N108" s="35" t="str">
        <f aca="false">IF($B108="","",$I108*INS_RT)</f>
        <v/>
      </c>
      <c r="O108" s="35" t="str">
        <f aca="false">IF($B108="","",$I108*PROV_AGUINALDO)</f>
        <v/>
      </c>
      <c r="P108" s="35" t="str">
        <f aca="false">IF($B108="","",$I108*PROV_VACACIONES)</f>
        <v/>
      </c>
      <c r="Q108" s="35" t="str">
        <f aca="false">IF($B108="","",$I108*PROV_CESANTIA)</f>
        <v/>
      </c>
      <c r="R108" s="35" t="str">
        <f aca="false">IF($B108="","",$I108+SUM($M108:$Q108))</f>
        <v/>
      </c>
      <c r="S108" s="46" t="str">
        <f aca="false">IF(OR($A108="",$B108=""),"",DATE(YEAR($A108),MONTH($A108),1))</f>
        <v/>
      </c>
    </row>
    <row r="109" customFormat="false" ht="15" hidden="false" customHeight="false" outlineLevel="0" collapsed="false">
      <c r="A109" s="55"/>
      <c r="B109" s="6"/>
      <c r="C109" s="6"/>
      <c r="D109" s="40"/>
      <c r="E109" s="39"/>
      <c r="F109" s="35" t="str">
        <f aca="false">IF($B109="","",N($D109)/HORAS_MES*RECARGO_HE)</f>
        <v/>
      </c>
      <c r="G109" s="35" t="str">
        <f aca="false">IF($B109="","",N($E109)*$F109)</f>
        <v/>
      </c>
      <c r="H109" s="40"/>
      <c r="I109" s="35" t="str">
        <f aca="false">IF($B109="","",N($D109)+$G109+N($H109))</f>
        <v/>
      </c>
      <c r="J109" s="35" t="str">
        <f aca="false">IF($B109="","",$I109*CCSS_OBRERO)</f>
        <v/>
      </c>
      <c r="K109" s="40"/>
      <c r="L109" s="35" t="str">
        <f aca="false">IF($B109="","",$I109-$J109-N($K109))</f>
        <v/>
      </c>
      <c r="M109" s="35" t="str">
        <f aca="false">IF($B109="","",$I109*CCSS_PATRONAL)</f>
        <v/>
      </c>
      <c r="N109" s="35" t="str">
        <f aca="false">IF($B109="","",$I109*INS_RT)</f>
        <v/>
      </c>
      <c r="O109" s="35" t="str">
        <f aca="false">IF($B109="","",$I109*PROV_AGUINALDO)</f>
        <v/>
      </c>
      <c r="P109" s="35" t="str">
        <f aca="false">IF($B109="","",$I109*PROV_VACACIONES)</f>
        <v/>
      </c>
      <c r="Q109" s="35" t="str">
        <f aca="false">IF($B109="","",$I109*PROV_CESANTIA)</f>
        <v/>
      </c>
      <c r="R109" s="35" t="str">
        <f aca="false">IF($B109="","",$I109+SUM($M109:$Q109))</f>
        <v/>
      </c>
      <c r="S109" s="46" t="str">
        <f aca="false">IF(OR($A109="",$B109=""),"",DATE(YEAR($A109),MONTH($A109),1))</f>
        <v/>
      </c>
    </row>
    <row r="110" customFormat="false" ht="15" hidden="false" customHeight="false" outlineLevel="0" collapsed="false">
      <c r="A110" s="55"/>
      <c r="B110" s="6"/>
      <c r="C110" s="6"/>
      <c r="D110" s="40"/>
      <c r="E110" s="39"/>
      <c r="F110" s="35" t="str">
        <f aca="false">IF($B110="","",N($D110)/HORAS_MES*RECARGO_HE)</f>
        <v/>
      </c>
      <c r="G110" s="35" t="str">
        <f aca="false">IF($B110="","",N($E110)*$F110)</f>
        <v/>
      </c>
      <c r="H110" s="40"/>
      <c r="I110" s="35" t="str">
        <f aca="false">IF($B110="","",N($D110)+$G110+N($H110))</f>
        <v/>
      </c>
      <c r="J110" s="35" t="str">
        <f aca="false">IF($B110="","",$I110*CCSS_OBRERO)</f>
        <v/>
      </c>
      <c r="K110" s="40"/>
      <c r="L110" s="35" t="str">
        <f aca="false">IF($B110="","",$I110-$J110-N($K110))</f>
        <v/>
      </c>
      <c r="M110" s="35" t="str">
        <f aca="false">IF($B110="","",$I110*CCSS_PATRONAL)</f>
        <v/>
      </c>
      <c r="N110" s="35" t="str">
        <f aca="false">IF($B110="","",$I110*INS_RT)</f>
        <v/>
      </c>
      <c r="O110" s="35" t="str">
        <f aca="false">IF($B110="","",$I110*PROV_AGUINALDO)</f>
        <v/>
      </c>
      <c r="P110" s="35" t="str">
        <f aca="false">IF($B110="","",$I110*PROV_VACACIONES)</f>
        <v/>
      </c>
      <c r="Q110" s="35" t="str">
        <f aca="false">IF($B110="","",$I110*PROV_CESANTIA)</f>
        <v/>
      </c>
      <c r="R110" s="35" t="str">
        <f aca="false">IF($B110="","",$I110+SUM($M110:$Q110))</f>
        <v/>
      </c>
      <c r="S110" s="46" t="str">
        <f aca="false">IF(OR($A110="",$B110=""),"",DATE(YEAR($A110),MONTH($A110),1))</f>
        <v/>
      </c>
    </row>
    <row r="111" customFormat="false" ht="15" hidden="false" customHeight="false" outlineLevel="0" collapsed="false">
      <c r="A111" s="55"/>
      <c r="B111" s="6"/>
      <c r="C111" s="6"/>
      <c r="D111" s="40"/>
      <c r="E111" s="39"/>
      <c r="F111" s="35" t="str">
        <f aca="false">IF($B111="","",N($D111)/HORAS_MES*RECARGO_HE)</f>
        <v/>
      </c>
      <c r="G111" s="35" t="str">
        <f aca="false">IF($B111="","",N($E111)*$F111)</f>
        <v/>
      </c>
      <c r="H111" s="40"/>
      <c r="I111" s="35" t="str">
        <f aca="false">IF($B111="","",N($D111)+$G111+N($H111))</f>
        <v/>
      </c>
      <c r="J111" s="35" t="str">
        <f aca="false">IF($B111="","",$I111*CCSS_OBRERO)</f>
        <v/>
      </c>
      <c r="K111" s="40"/>
      <c r="L111" s="35" t="str">
        <f aca="false">IF($B111="","",$I111-$J111-N($K111))</f>
        <v/>
      </c>
      <c r="M111" s="35" t="str">
        <f aca="false">IF($B111="","",$I111*CCSS_PATRONAL)</f>
        <v/>
      </c>
      <c r="N111" s="35" t="str">
        <f aca="false">IF($B111="","",$I111*INS_RT)</f>
        <v/>
      </c>
      <c r="O111" s="35" t="str">
        <f aca="false">IF($B111="","",$I111*PROV_AGUINALDO)</f>
        <v/>
      </c>
      <c r="P111" s="35" t="str">
        <f aca="false">IF($B111="","",$I111*PROV_VACACIONES)</f>
        <v/>
      </c>
      <c r="Q111" s="35" t="str">
        <f aca="false">IF($B111="","",$I111*PROV_CESANTIA)</f>
        <v/>
      </c>
      <c r="R111" s="35" t="str">
        <f aca="false">IF($B111="","",$I111+SUM($M111:$Q111))</f>
        <v/>
      </c>
      <c r="S111" s="46" t="str">
        <f aca="false">IF(OR($A111="",$B111=""),"",DATE(YEAR($A111),MONTH($A111),1))</f>
        <v/>
      </c>
    </row>
    <row r="112" customFormat="false" ht="15" hidden="false" customHeight="false" outlineLevel="0" collapsed="false">
      <c r="A112" s="55"/>
      <c r="B112" s="6"/>
      <c r="C112" s="6"/>
      <c r="D112" s="40"/>
      <c r="E112" s="39"/>
      <c r="F112" s="35" t="str">
        <f aca="false">IF($B112="","",N($D112)/HORAS_MES*RECARGO_HE)</f>
        <v/>
      </c>
      <c r="G112" s="35" t="str">
        <f aca="false">IF($B112="","",N($E112)*$F112)</f>
        <v/>
      </c>
      <c r="H112" s="40"/>
      <c r="I112" s="35" t="str">
        <f aca="false">IF($B112="","",N($D112)+$G112+N($H112))</f>
        <v/>
      </c>
      <c r="J112" s="35" t="str">
        <f aca="false">IF($B112="","",$I112*CCSS_OBRERO)</f>
        <v/>
      </c>
      <c r="K112" s="40"/>
      <c r="L112" s="35" t="str">
        <f aca="false">IF($B112="","",$I112-$J112-N($K112))</f>
        <v/>
      </c>
      <c r="M112" s="35" t="str">
        <f aca="false">IF($B112="","",$I112*CCSS_PATRONAL)</f>
        <v/>
      </c>
      <c r="N112" s="35" t="str">
        <f aca="false">IF($B112="","",$I112*INS_RT)</f>
        <v/>
      </c>
      <c r="O112" s="35" t="str">
        <f aca="false">IF($B112="","",$I112*PROV_AGUINALDO)</f>
        <v/>
      </c>
      <c r="P112" s="35" t="str">
        <f aca="false">IF($B112="","",$I112*PROV_VACACIONES)</f>
        <v/>
      </c>
      <c r="Q112" s="35" t="str">
        <f aca="false">IF($B112="","",$I112*PROV_CESANTIA)</f>
        <v/>
      </c>
      <c r="R112" s="35" t="str">
        <f aca="false">IF($B112="","",$I112+SUM($M112:$Q112))</f>
        <v/>
      </c>
      <c r="S112" s="46" t="str">
        <f aca="false">IF(OR($A112="",$B112=""),"",DATE(YEAR($A112),MONTH($A112),1))</f>
        <v/>
      </c>
    </row>
    <row r="113" customFormat="false" ht="15" hidden="false" customHeight="false" outlineLevel="0" collapsed="false">
      <c r="A113" s="55"/>
      <c r="B113" s="6"/>
      <c r="C113" s="6"/>
      <c r="D113" s="40"/>
      <c r="E113" s="39"/>
      <c r="F113" s="35" t="str">
        <f aca="false">IF($B113="","",N($D113)/HORAS_MES*RECARGO_HE)</f>
        <v/>
      </c>
      <c r="G113" s="35" t="str">
        <f aca="false">IF($B113="","",N($E113)*$F113)</f>
        <v/>
      </c>
      <c r="H113" s="40"/>
      <c r="I113" s="35" t="str">
        <f aca="false">IF($B113="","",N($D113)+$G113+N($H113))</f>
        <v/>
      </c>
      <c r="J113" s="35" t="str">
        <f aca="false">IF($B113="","",$I113*CCSS_OBRERO)</f>
        <v/>
      </c>
      <c r="K113" s="40"/>
      <c r="L113" s="35" t="str">
        <f aca="false">IF($B113="","",$I113-$J113-N($K113))</f>
        <v/>
      </c>
      <c r="M113" s="35" t="str">
        <f aca="false">IF($B113="","",$I113*CCSS_PATRONAL)</f>
        <v/>
      </c>
      <c r="N113" s="35" t="str">
        <f aca="false">IF($B113="","",$I113*INS_RT)</f>
        <v/>
      </c>
      <c r="O113" s="35" t="str">
        <f aca="false">IF($B113="","",$I113*PROV_AGUINALDO)</f>
        <v/>
      </c>
      <c r="P113" s="35" t="str">
        <f aca="false">IF($B113="","",$I113*PROV_VACACIONES)</f>
        <v/>
      </c>
      <c r="Q113" s="35" t="str">
        <f aca="false">IF($B113="","",$I113*PROV_CESANTIA)</f>
        <v/>
      </c>
      <c r="R113" s="35" t="str">
        <f aca="false">IF($B113="","",$I113+SUM($M113:$Q113))</f>
        <v/>
      </c>
      <c r="S113" s="46" t="str">
        <f aca="false">IF(OR($A113="",$B113=""),"",DATE(YEAR($A113),MONTH($A113),1))</f>
        <v/>
      </c>
    </row>
    <row r="114" customFormat="false" ht="15" hidden="false" customHeight="false" outlineLevel="0" collapsed="false">
      <c r="A114" s="55"/>
      <c r="B114" s="6"/>
      <c r="C114" s="6"/>
      <c r="D114" s="40"/>
      <c r="E114" s="39"/>
      <c r="F114" s="35" t="str">
        <f aca="false">IF($B114="","",N($D114)/HORAS_MES*RECARGO_HE)</f>
        <v/>
      </c>
      <c r="G114" s="35" t="str">
        <f aca="false">IF($B114="","",N($E114)*$F114)</f>
        <v/>
      </c>
      <c r="H114" s="40"/>
      <c r="I114" s="35" t="str">
        <f aca="false">IF($B114="","",N($D114)+$G114+N($H114))</f>
        <v/>
      </c>
      <c r="J114" s="35" t="str">
        <f aca="false">IF($B114="","",$I114*CCSS_OBRERO)</f>
        <v/>
      </c>
      <c r="K114" s="40"/>
      <c r="L114" s="35" t="str">
        <f aca="false">IF($B114="","",$I114-$J114-N($K114))</f>
        <v/>
      </c>
      <c r="M114" s="35" t="str">
        <f aca="false">IF($B114="","",$I114*CCSS_PATRONAL)</f>
        <v/>
      </c>
      <c r="N114" s="35" t="str">
        <f aca="false">IF($B114="","",$I114*INS_RT)</f>
        <v/>
      </c>
      <c r="O114" s="35" t="str">
        <f aca="false">IF($B114="","",$I114*PROV_AGUINALDO)</f>
        <v/>
      </c>
      <c r="P114" s="35" t="str">
        <f aca="false">IF($B114="","",$I114*PROV_VACACIONES)</f>
        <v/>
      </c>
      <c r="Q114" s="35" t="str">
        <f aca="false">IF($B114="","",$I114*PROV_CESANTIA)</f>
        <v/>
      </c>
      <c r="R114" s="35" t="str">
        <f aca="false">IF($B114="","",$I114+SUM($M114:$Q114))</f>
        <v/>
      </c>
      <c r="S114" s="46" t="str">
        <f aca="false">IF(OR($A114="",$B114=""),"",DATE(YEAR($A114),MONTH($A114),1))</f>
        <v/>
      </c>
    </row>
    <row r="115" customFormat="false" ht="15" hidden="false" customHeight="false" outlineLevel="0" collapsed="false">
      <c r="A115" s="55"/>
      <c r="B115" s="6"/>
      <c r="C115" s="6"/>
      <c r="D115" s="40"/>
      <c r="E115" s="39"/>
      <c r="F115" s="35" t="str">
        <f aca="false">IF($B115="","",N($D115)/HORAS_MES*RECARGO_HE)</f>
        <v/>
      </c>
      <c r="G115" s="35" t="str">
        <f aca="false">IF($B115="","",N($E115)*$F115)</f>
        <v/>
      </c>
      <c r="H115" s="40"/>
      <c r="I115" s="35" t="str">
        <f aca="false">IF($B115="","",N($D115)+$G115+N($H115))</f>
        <v/>
      </c>
      <c r="J115" s="35" t="str">
        <f aca="false">IF($B115="","",$I115*CCSS_OBRERO)</f>
        <v/>
      </c>
      <c r="K115" s="40"/>
      <c r="L115" s="35" t="str">
        <f aca="false">IF($B115="","",$I115-$J115-N($K115))</f>
        <v/>
      </c>
      <c r="M115" s="35" t="str">
        <f aca="false">IF($B115="","",$I115*CCSS_PATRONAL)</f>
        <v/>
      </c>
      <c r="N115" s="35" t="str">
        <f aca="false">IF($B115="","",$I115*INS_RT)</f>
        <v/>
      </c>
      <c r="O115" s="35" t="str">
        <f aca="false">IF($B115="","",$I115*PROV_AGUINALDO)</f>
        <v/>
      </c>
      <c r="P115" s="35" t="str">
        <f aca="false">IF($B115="","",$I115*PROV_VACACIONES)</f>
        <v/>
      </c>
      <c r="Q115" s="35" t="str">
        <f aca="false">IF($B115="","",$I115*PROV_CESANTIA)</f>
        <v/>
      </c>
      <c r="R115" s="35" t="str">
        <f aca="false">IF($B115="","",$I115+SUM($M115:$Q115))</f>
        <v/>
      </c>
      <c r="S115" s="46" t="str">
        <f aca="false">IF(OR($A115="",$B115=""),"",DATE(YEAR($A115),MONTH($A115),1))</f>
        <v/>
      </c>
    </row>
    <row r="116" customFormat="false" ht="15" hidden="false" customHeight="false" outlineLevel="0" collapsed="false">
      <c r="A116" s="55"/>
      <c r="B116" s="6"/>
      <c r="C116" s="6"/>
      <c r="D116" s="40"/>
      <c r="E116" s="39"/>
      <c r="F116" s="35" t="str">
        <f aca="false">IF($B116="","",N($D116)/HORAS_MES*RECARGO_HE)</f>
        <v/>
      </c>
      <c r="G116" s="35" t="str">
        <f aca="false">IF($B116="","",N($E116)*$F116)</f>
        <v/>
      </c>
      <c r="H116" s="40"/>
      <c r="I116" s="35" t="str">
        <f aca="false">IF($B116="","",N($D116)+$G116+N($H116))</f>
        <v/>
      </c>
      <c r="J116" s="35" t="str">
        <f aca="false">IF($B116="","",$I116*CCSS_OBRERO)</f>
        <v/>
      </c>
      <c r="K116" s="40"/>
      <c r="L116" s="35" t="str">
        <f aca="false">IF($B116="","",$I116-$J116-N($K116))</f>
        <v/>
      </c>
      <c r="M116" s="35" t="str">
        <f aca="false">IF($B116="","",$I116*CCSS_PATRONAL)</f>
        <v/>
      </c>
      <c r="N116" s="35" t="str">
        <f aca="false">IF($B116="","",$I116*INS_RT)</f>
        <v/>
      </c>
      <c r="O116" s="35" t="str">
        <f aca="false">IF($B116="","",$I116*PROV_AGUINALDO)</f>
        <v/>
      </c>
      <c r="P116" s="35" t="str">
        <f aca="false">IF($B116="","",$I116*PROV_VACACIONES)</f>
        <v/>
      </c>
      <c r="Q116" s="35" t="str">
        <f aca="false">IF($B116="","",$I116*PROV_CESANTIA)</f>
        <v/>
      </c>
      <c r="R116" s="35" t="str">
        <f aca="false">IF($B116="","",$I116+SUM($M116:$Q116))</f>
        <v/>
      </c>
      <c r="S116" s="46" t="str">
        <f aca="false">IF(OR($A116="",$B116=""),"",DATE(YEAR($A116),MONTH($A116),1))</f>
        <v/>
      </c>
    </row>
    <row r="117" customFormat="false" ht="15" hidden="false" customHeight="false" outlineLevel="0" collapsed="false">
      <c r="A117" s="55"/>
      <c r="B117" s="6"/>
      <c r="C117" s="6"/>
      <c r="D117" s="40"/>
      <c r="E117" s="39"/>
      <c r="F117" s="35" t="str">
        <f aca="false">IF($B117="","",N($D117)/HORAS_MES*RECARGO_HE)</f>
        <v/>
      </c>
      <c r="G117" s="35" t="str">
        <f aca="false">IF($B117="","",N($E117)*$F117)</f>
        <v/>
      </c>
      <c r="H117" s="40"/>
      <c r="I117" s="35" t="str">
        <f aca="false">IF($B117="","",N($D117)+$G117+N($H117))</f>
        <v/>
      </c>
      <c r="J117" s="35" t="str">
        <f aca="false">IF($B117="","",$I117*CCSS_OBRERO)</f>
        <v/>
      </c>
      <c r="K117" s="40"/>
      <c r="L117" s="35" t="str">
        <f aca="false">IF($B117="","",$I117-$J117-N($K117))</f>
        <v/>
      </c>
      <c r="M117" s="35" t="str">
        <f aca="false">IF($B117="","",$I117*CCSS_PATRONAL)</f>
        <v/>
      </c>
      <c r="N117" s="35" t="str">
        <f aca="false">IF($B117="","",$I117*INS_RT)</f>
        <v/>
      </c>
      <c r="O117" s="35" t="str">
        <f aca="false">IF($B117="","",$I117*PROV_AGUINALDO)</f>
        <v/>
      </c>
      <c r="P117" s="35" t="str">
        <f aca="false">IF($B117="","",$I117*PROV_VACACIONES)</f>
        <v/>
      </c>
      <c r="Q117" s="35" t="str">
        <f aca="false">IF($B117="","",$I117*PROV_CESANTIA)</f>
        <v/>
      </c>
      <c r="R117" s="35" t="str">
        <f aca="false">IF($B117="","",$I117+SUM($M117:$Q117))</f>
        <v/>
      </c>
      <c r="S117" s="46" t="str">
        <f aca="false">IF(OR($A117="",$B117=""),"",DATE(YEAR($A117),MONTH($A117),1))</f>
        <v/>
      </c>
    </row>
    <row r="118" customFormat="false" ht="15" hidden="false" customHeight="false" outlineLevel="0" collapsed="false">
      <c r="A118" s="55"/>
      <c r="B118" s="6"/>
      <c r="C118" s="6"/>
      <c r="D118" s="40"/>
      <c r="E118" s="39"/>
      <c r="F118" s="35" t="str">
        <f aca="false">IF($B118="","",N($D118)/HORAS_MES*RECARGO_HE)</f>
        <v/>
      </c>
      <c r="G118" s="35" t="str">
        <f aca="false">IF($B118="","",N($E118)*$F118)</f>
        <v/>
      </c>
      <c r="H118" s="40"/>
      <c r="I118" s="35" t="str">
        <f aca="false">IF($B118="","",N($D118)+$G118+N($H118))</f>
        <v/>
      </c>
      <c r="J118" s="35" t="str">
        <f aca="false">IF($B118="","",$I118*CCSS_OBRERO)</f>
        <v/>
      </c>
      <c r="K118" s="40"/>
      <c r="L118" s="35" t="str">
        <f aca="false">IF($B118="","",$I118-$J118-N($K118))</f>
        <v/>
      </c>
      <c r="M118" s="35" t="str">
        <f aca="false">IF($B118="","",$I118*CCSS_PATRONAL)</f>
        <v/>
      </c>
      <c r="N118" s="35" t="str">
        <f aca="false">IF($B118="","",$I118*INS_RT)</f>
        <v/>
      </c>
      <c r="O118" s="35" t="str">
        <f aca="false">IF($B118="","",$I118*PROV_AGUINALDO)</f>
        <v/>
      </c>
      <c r="P118" s="35" t="str">
        <f aca="false">IF($B118="","",$I118*PROV_VACACIONES)</f>
        <v/>
      </c>
      <c r="Q118" s="35" t="str">
        <f aca="false">IF($B118="","",$I118*PROV_CESANTIA)</f>
        <v/>
      </c>
      <c r="R118" s="35" t="str">
        <f aca="false">IF($B118="","",$I118+SUM($M118:$Q118))</f>
        <v/>
      </c>
      <c r="S118" s="46" t="str">
        <f aca="false">IF(OR($A118="",$B118=""),"",DATE(YEAR($A118),MONTH($A118),1))</f>
        <v/>
      </c>
    </row>
    <row r="119" customFormat="false" ht="15" hidden="false" customHeight="false" outlineLevel="0" collapsed="false">
      <c r="A119" s="55"/>
      <c r="B119" s="6"/>
      <c r="C119" s="6"/>
      <c r="D119" s="40"/>
      <c r="E119" s="39"/>
      <c r="F119" s="35" t="str">
        <f aca="false">IF($B119="","",N($D119)/HORAS_MES*RECARGO_HE)</f>
        <v/>
      </c>
      <c r="G119" s="35" t="str">
        <f aca="false">IF($B119="","",N($E119)*$F119)</f>
        <v/>
      </c>
      <c r="H119" s="40"/>
      <c r="I119" s="35" t="str">
        <f aca="false">IF($B119="","",N($D119)+$G119+N($H119))</f>
        <v/>
      </c>
      <c r="J119" s="35" t="str">
        <f aca="false">IF($B119="","",$I119*CCSS_OBRERO)</f>
        <v/>
      </c>
      <c r="K119" s="40"/>
      <c r="L119" s="35" t="str">
        <f aca="false">IF($B119="","",$I119-$J119-N($K119))</f>
        <v/>
      </c>
      <c r="M119" s="35" t="str">
        <f aca="false">IF($B119="","",$I119*CCSS_PATRONAL)</f>
        <v/>
      </c>
      <c r="N119" s="35" t="str">
        <f aca="false">IF($B119="","",$I119*INS_RT)</f>
        <v/>
      </c>
      <c r="O119" s="35" t="str">
        <f aca="false">IF($B119="","",$I119*PROV_AGUINALDO)</f>
        <v/>
      </c>
      <c r="P119" s="35" t="str">
        <f aca="false">IF($B119="","",$I119*PROV_VACACIONES)</f>
        <v/>
      </c>
      <c r="Q119" s="35" t="str">
        <f aca="false">IF($B119="","",$I119*PROV_CESANTIA)</f>
        <v/>
      </c>
      <c r="R119" s="35" t="str">
        <f aca="false">IF($B119="","",$I119+SUM($M119:$Q119))</f>
        <v/>
      </c>
      <c r="S119" s="46" t="str">
        <f aca="false">IF(OR($A119="",$B119=""),"",DATE(YEAR($A119),MONTH($A119),1))</f>
        <v/>
      </c>
    </row>
    <row r="120" customFormat="false" ht="15" hidden="false" customHeight="false" outlineLevel="0" collapsed="false">
      <c r="A120" s="55"/>
      <c r="B120" s="6"/>
      <c r="C120" s="6"/>
      <c r="D120" s="40"/>
      <c r="E120" s="39"/>
      <c r="F120" s="35" t="str">
        <f aca="false">IF($B120="","",N($D120)/HORAS_MES*RECARGO_HE)</f>
        <v/>
      </c>
      <c r="G120" s="35" t="str">
        <f aca="false">IF($B120="","",N($E120)*$F120)</f>
        <v/>
      </c>
      <c r="H120" s="40"/>
      <c r="I120" s="35" t="str">
        <f aca="false">IF($B120="","",N($D120)+$G120+N($H120))</f>
        <v/>
      </c>
      <c r="J120" s="35" t="str">
        <f aca="false">IF($B120="","",$I120*CCSS_OBRERO)</f>
        <v/>
      </c>
      <c r="K120" s="40"/>
      <c r="L120" s="35" t="str">
        <f aca="false">IF($B120="","",$I120-$J120-N($K120))</f>
        <v/>
      </c>
      <c r="M120" s="35" t="str">
        <f aca="false">IF($B120="","",$I120*CCSS_PATRONAL)</f>
        <v/>
      </c>
      <c r="N120" s="35" t="str">
        <f aca="false">IF($B120="","",$I120*INS_RT)</f>
        <v/>
      </c>
      <c r="O120" s="35" t="str">
        <f aca="false">IF($B120="","",$I120*PROV_AGUINALDO)</f>
        <v/>
      </c>
      <c r="P120" s="35" t="str">
        <f aca="false">IF($B120="","",$I120*PROV_VACACIONES)</f>
        <v/>
      </c>
      <c r="Q120" s="35" t="str">
        <f aca="false">IF($B120="","",$I120*PROV_CESANTIA)</f>
        <v/>
      </c>
      <c r="R120" s="35" t="str">
        <f aca="false">IF($B120="","",$I120+SUM($M120:$Q120))</f>
        <v/>
      </c>
      <c r="S120" s="46" t="str">
        <f aca="false">IF(OR($A120="",$B120=""),"",DATE(YEAR($A120),MONTH($A120),1))</f>
        <v/>
      </c>
    </row>
    <row r="121" customFormat="false" ht="15" hidden="false" customHeight="false" outlineLevel="0" collapsed="false">
      <c r="A121" s="55"/>
      <c r="B121" s="6"/>
      <c r="C121" s="6"/>
      <c r="D121" s="40"/>
      <c r="E121" s="39"/>
      <c r="F121" s="35" t="str">
        <f aca="false">IF($B121="","",N($D121)/HORAS_MES*RECARGO_HE)</f>
        <v/>
      </c>
      <c r="G121" s="35" t="str">
        <f aca="false">IF($B121="","",N($E121)*$F121)</f>
        <v/>
      </c>
      <c r="H121" s="40"/>
      <c r="I121" s="35" t="str">
        <f aca="false">IF($B121="","",N($D121)+$G121+N($H121))</f>
        <v/>
      </c>
      <c r="J121" s="35" t="str">
        <f aca="false">IF($B121="","",$I121*CCSS_OBRERO)</f>
        <v/>
      </c>
      <c r="K121" s="40"/>
      <c r="L121" s="35" t="str">
        <f aca="false">IF($B121="","",$I121-$J121-N($K121))</f>
        <v/>
      </c>
      <c r="M121" s="35" t="str">
        <f aca="false">IF($B121="","",$I121*CCSS_PATRONAL)</f>
        <v/>
      </c>
      <c r="N121" s="35" t="str">
        <f aca="false">IF($B121="","",$I121*INS_RT)</f>
        <v/>
      </c>
      <c r="O121" s="35" t="str">
        <f aca="false">IF($B121="","",$I121*PROV_AGUINALDO)</f>
        <v/>
      </c>
      <c r="P121" s="35" t="str">
        <f aca="false">IF($B121="","",$I121*PROV_VACACIONES)</f>
        <v/>
      </c>
      <c r="Q121" s="35" t="str">
        <f aca="false">IF($B121="","",$I121*PROV_CESANTIA)</f>
        <v/>
      </c>
      <c r="R121" s="35" t="str">
        <f aca="false">IF($B121="","",$I121+SUM($M121:$Q121))</f>
        <v/>
      </c>
      <c r="S121" s="46" t="str">
        <f aca="false">IF(OR($A121="",$B121=""),"",DATE(YEAR($A121),MONTH($A121),1))</f>
        <v/>
      </c>
    </row>
    <row r="122" customFormat="false" ht="15" hidden="false" customHeight="false" outlineLevel="0" collapsed="false">
      <c r="A122" s="55"/>
      <c r="B122" s="6"/>
      <c r="C122" s="6"/>
      <c r="D122" s="40"/>
      <c r="E122" s="39"/>
      <c r="F122" s="35" t="str">
        <f aca="false">IF($B122="","",N($D122)/HORAS_MES*RECARGO_HE)</f>
        <v/>
      </c>
      <c r="G122" s="35" t="str">
        <f aca="false">IF($B122="","",N($E122)*$F122)</f>
        <v/>
      </c>
      <c r="H122" s="40"/>
      <c r="I122" s="35" t="str">
        <f aca="false">IF($B122="","",N($D122)+$G122+N($H122))</f>
        <v/>
      </c>
      <c r="J122" s="35" t="str">
        <f aca="false">IF($B122="","",$I122*CCSS_OBRERO)</f>
        <v/>
      </c>
      <c r="K122" s="40"/>
      <c r="L122" s="35" t="str">
        <f aca="false">IF($B122="","",$I122-$J122-N($K122))</f>
        <v/>
      </c>
      <c r="M122" s="35" t="str">
        <f aca="false">IF($B122="","",$I122*CCSS_PATRONAL)</f>
        <v/>
      </c>
      <c r="N122" s="35" t="str">
        <f aca="false">IF($B122="","",$I122*INS_RT)</f>
        <v/>
      </c>
      <c r="O122" s="35" t="str">
        <f aca="false">IF($B122="","",$I122*PROV_AGUINALDO)</f>
        <v/>
      </c>
      <c r="P122" s="35" t="str">
        <f aca="false">IF($B122="","",$I122*PROV_VACACIONES)</f>
        <v/>
      </c>
      <c r="Q122" s="35" t="str">
        <f aca="false">IF($B122="","",$I122*PROV_CESANTIA)</f>
        <v/>
      </c>
      <c r="R122" s="35" t="str">
        <f aca="false">IF($B122="","",$I122+SUM($M122:$Q122))</f>
        <v/>
      </c>
      <c r="S122" s="46" t="str">
        <f aca="false">IF(OR($A122="",$B122=""),"",DATE(YEAR($A122),MONTH($A122),1))</f>
        <v/>
      </c>
    </row>
    <row r="123" customFormat="false" ht="15" hidden="false" customHeight="false" outlineLevel="0" collapsed="false">
      <c r="A123" s="55"/>
      <c r="B123" s="6"/>
      <c r="C123" s="6"/>
      <c r="D123" s="40"/>
      <c r="E123" s="39"/>
      <c r="F123" s="35" t="str">
        <f aca="false">IF($B123="","",N($D123)/HORAS_MES*RECARGO_HE)</f>
        <v/>
      </c>
      <c r="G123" s="35" t="str">
        <f aca="false">IF($B123="","",N($E123)*$F123)</f>
        <v/>
      </c>
      <c r="H123" s="40"/>
      <c r="I123" s="35" t="str">
        <f aca="false">IF($B123="","",N($D123)+$G123+N($H123))</f>
        <v/>
      </c>
      <c r="J123" s="35" t="str">
        <f aca="false">IF($B123="","",$I123*CCSS_OBRERO)</f>
        <v/>
      </c>
      <c r="K123" s="40"/>
      <c r="L123" s="35" t="str">
        <f aca="false">IF($B123="","",$I123-$J123-N($K123))</f>
        <v/>
      </c>
      <c r="M123" s="35" t="str">
        <f aca="false">IF($B123="","",$I123*CCSS_PATRONAL)</f>
        <v/>
      </c>
      <c r="N123" s="35" t="str">
        <f aca="false">IF($B123="","",$I123*INS_RT)</f>
        <v/>
      </c>
      <c r="O123" s="35" t="str">
        <f aca="false">IF($B123="","",$I123*PROV_AGUINALDO)</f>
        <v/>
      </c>
      <c r="P123" s="35" t="str">
        <f aca="false">IF($B123="","",$I123*PROV_VACACIONES)</f>
        <v/>
      </c>
      <c r="Q123" s="35" t="str">
        <f aca="false">IF($B123="","",$I123*PROV_CESANTIA)</f>
        <v/>
      </c>
      <c r="R123" s="35" t="str">
        <f aca="false">IF($B123="","",$I123+SUM($M123:$Q123))</f>
        <v/>
      </c>
      <c r="S123" s="46" t="str">
        <f aca="false">IF(OR($A123="",$B123=""),"",DATE(YEAR($A123),MONTH($A123),1))</f>
        <v/>
      </c>
    </row>
    <row r="124" customFormat="false" ht="15" hidden="false" customHeight="false" outlineLevel="0" collapsed="false">
      <c r="A124" s="55"/>
      <c r="B124" s="6"/>
      <c r="C124" s="6"/>
      <c r="D124" s="40"/>
      <c r="E124" s="39"/>
      <c r="F124" s="35" t="str">
        <f aca="false">IF($B124="","",N($D124)/HORAS_MES*RECARGO_HE)</f>
        <v/>
      </c>
      <c r="G124" s="35" t="str">
        <f aca="false">IF($B124="","",N($E124)*$F124)</f>
        <v/>
      </c>
      <c r="H124" s="40"/>
      <c r="I124" s="35" t="str">
        <f aca="false">IF($B124="","",N($D124)+$G124+N($H124))</f>
        <v/>
      </c>
      <c r="J124" s="35" t="str">
        <f aca="false">IF($B124="","",$I124*CCSS_OBRERO)</f>
        <v/>
      </c>
      <c r="K124" s="40"/>
      <c r="L124" s="35" t="str">
        <f aca="false">IF($B124="","",$I124-$J124-N($K124))</f>
        <v/>
      </c>
      <c r="M124" s="35" t="str">
        <f aca="false">IF($B124="","",$I124*CCSS_PATRONAL)</f>
        <v/>
      </c>
      <c r="N124" s="35" t="str">
        <f aca="false">IF($B124="","",$I124*INS_RT)</f>
        <v/>
      </c>
      <c r="O124" s="35" t="str">
        <f aca="false">IF($B124="","",$I124*PROV_AGUINALDO)</f>
        <v/>
      </c>
      <c r="P124" s="35" t="str">
        <f aca="false">IF($B124="","",$I124*PROV_VACACIONES)</f>
        <v/>
      </c>
      <c r="Q124" s="35" t="str">
        <f aca="false">IF($B124="","",$I124*PROV_CESANTIA)</f>
        <v/>
      </c>
      <c r="R124" s="35" t="str">
        <f aca="false">IF($B124="","",$I124+SUM($M124:$Q124))</f>
        <v/>
      </c>
      <c r="S124" s="46" t="str">
        <f aca="false">IF(OR($A124="",$B124=""),"",DATE(YEAR($A124),MONTH($A124),1))</f>
        <v/>
      </c>
    </row>
    <row r="125" customFormat="false" ht="15" hidden="false" customHeight="false" outlineLevel="0" collapsed="false">
      <c r="A125" s="55"/>
      <c r="B125" s="6"/>
      <c r="C125" s="6"/>
      <c r="D125" s="40"/>
      <c r="E125" s="39"/>
      <c r="F125" s="35" t="str">
        <f aca="false">IF($B125="","",N($D125)/HORAS_MES*RECARGO_HE)</f>
        <v/>
      </c>
      <c r="G125" s="35" t="str">
        <f aca="false">IF($B125="","",N($E125)*$F125)</f>
        <v/>
      </c>
      <c r="H125" s="40"/>
      <c r="I125" s="35" t="str">
        <f aca="false">IF($B125="","",N($D125)+$G125+N($H125))</f>
        <v/>
      </c>
      <c r="J125" s="35" t="str">
        <f aca="false">IF($B125="","",$I125*CCSS_OBRERO)</f>
        <v/>
      </c>
      <c r="K125" s="40"/>
      <c r="L125" s="35" t="str">
        <f aca="false">IF($B125="","",$I125-$J125-N($K125))</f>
        <v/>
      </c>
      <c r="M125" s="35" t="str">
        <f aca="false">IF($B125="","",$I125*CCSS_PATRONAL)</f>
        <v/>
      </c>
      <c r="N125" s="35" t="str">
        <f aca="false">IF($B125="","",$I125*INS_RT)</f>
        <v/>
      </c>
      <c r="O125" s="35" t="str">
        <f aca="false">IF($B125="","",$I125*PROV_AGUINALDO)</f>
        <v/>
      </c>
      <c r="P125" s="35" t="str">
        <f aca="false">IF($B125="","",$I125*PROV_VACACIONES)</f>
        <v/>
      </c>
      <c r="Q125" s="35" t="str">
        <f aca="false">IF($B125="","",$I125*PROV_CESANTIA)</f>
        <v/>
      </c>
      <c r="R125" s="35" t="str">
        <f aca="false">IF($B125="","",$I125+SUM($M125:$Q125))</f>
        <v/>
      </c>
      <c r="S125" s="46" t="str">
        <f aca="false">IF(OR($A125="",$B125=""),"",DATE(YEAR($A125),MONTH($A125),1))</f>
        <v/>
      </c>
    </row>
    <row r="126" customFormat="false" ht="15" hidden="false" customHeight="false" outlineLevel="0" collapsed="false">
      <c r="A126" s="55"/>
      <c r="B126" s="6"/>
      <c r="C126" s="6"/>
      <c r="D126" s="40"/>
      <c r="E126" s="39"/>
      <c r="F126" s="35" t="str">
        <f aca="false">IF($B126="","",N($D126)/HORAS_MES*RECARGO_HE)</f>
        <v/>
      </c>
      <c r="G126" s="35" t="str">
        <f aca="false">IF($B126="","",N($E126)*$F126)</f>
        <v/>
      </c>
      <c r="H126" s="40"/>
      <c r="I126" s="35" t="str">
        <f aca="false">IF($B126="","",N($D126)+$G126+N($H126))</f>
        <v/>
      </c>
      <c r="J126" s="35" t="str">
        <f aca="false">IF($B126="","",$I126*CCSS_OBRERO)</f>
        <v/>
      </c>
      <c r="K126" s="40"/>
      <c r="L126" s="35" t="str">
        <f aca="false">IF($B126="","",$I126-$J126-N($K126))</f>
        <v/>
      </c>
      <c r="M126" s="35" t="str">
        <f aca="false">IF($B126="","",$I126*CCSS_PATRONAL)</f>
        <v/>
      </c>
      <c r="N126" s="35" t="str">
        <f aca="false">IF($B126="","",$I126*INS_RT)</f>
        <v/>
      </c>
      <c r="O126" s="35" t="str">
        <f aca="false">IF($B126="","",$I126*PROV_AGUINALDO)</f>
        <v/>
      </c>
      <c r="P126" s="35" t="str">
        <f aca="false">IF($B126="","",$I126*PROV_VACACIONES)</f>
        <v/>
      </c>
      <c r="Q126" s="35" t="str">
        <f aca="false">IF($B126="","",$I126*PROV_CESANTIA)</f>
        <v/>
      </c>
      <c r="R126" s="35" t="str">
        <f aca="false">IF($B126="","",$I126+SUM($M126:$Q126))</f>
        <v/>
      </c>
      <c r="S126" s="46" t="str">
        <f aca="false">IF(OR($A126="",$B126=""),"",DATE(YEAR($A126),MONTH($A126),1))</f>
        <v/>
      </c>
    </row>
    <row r="127" customFormat="false" ht="15" hidden="false" customHeight="false" outlineLevel="0" collapsed="false">
      <c r="A127" s="55"/>
      <c r="B127" s="6"/>
      <c r="C127" s="6"/>
      <c r="D127" s="40"/>
      <c r="E127" s="39"/>
      <c r="F127" s="35" t="str">
        <f aca="false">IF($B127="","",N($D127)/HORAS_MES*RECARGO_HE)</f>
        <v/>
      </c>
      <c r="G127" s="35" t="str">
        <f aca="false">IF($B127="","",N($E127)*$F127)</f>
        <v/>
      </c>
      <c r="H127" s="40"/>
      <c r="I127" s="35" t="str">
        <f aca="false">IF($B127="","",N($D127)+$G127+N($H127))</f>
        <v/>
      </c>
      <c r="J127" s="35" t="str">
        <f aca="false">IF($B127="","",$I127*CCSS_OBRERO)</f>
        <v/>
      </c>
      <c r="K127" s="40"/>
      <c r="L127" s="35" t="str">
        <f aca="false">IF($B127="","",$I127-$J127-N($K127))</f>
        <v/>
      </c>
      <c r="M127" s="35" t="str">
        <f aca="false">IF($B127="","",$I127*CCSS_PATRONAL)</f>
        <v/>
      </c>
      <c r="N127" s="35" t="str">
        <f aca="false">IF($B127="","",$I127*INS_RT)</f>
        <v/>
      </c>
      <c r="O127" s="35" t="str">
        <f aca="false">IF($B127="","",$I127*PROV_AGUINALDO)</f>
        <v/>
      </c>
      <c r="P127" s="35" t="str">
        <f aca="false">IF($B127="","",$I127*PROV_VACACIONES)</f>
        <v/>
      </c>
      <c r="Q127" s="35" t="str">
        <f aca="false">IF($B127="","",$I127*PROV_CESANTIA)</f>
        <v/>
      </c>
      <c r="R127" s="35" t="str">
        <f aca="false">IF($B127="","",$I127+SUM($M127:$Q127))</f>
        <v/>
      </c>
      <c r="S127" s="46" t="str">
        <f aca="false">IF(OR($A127="",$B127=""),"",DATE(YEAR($A127),MONTH($A127),1))</f>
        <v/>
      </c>
    </row>
    <row r="128" customFormat="false" ht="15" hidden="false" customHeight="false" outlineLevel="0" collapsed="false">
      <c r="A128" s="55"/>
      <c r="B128" s="6"/>
      <c r="C128" s="6"/>
      <c r="D128" s="40"/>
      <c r="E128" s="39"/>
      <c r="F128" s="35" t="str">
        <f aca="false">IF($B128="","",N($D128)/HORAS_MES*RECARGO_HE)</f>
        <v/>
      </c>
      <c r="G128" s="35" t="str">
        <f aca="false">IF($B128="","",N($E128)*$F128)</f>
        <v/>
      </c>
      <c r="H128" s="40"/>
      <c r="I128" s="35" t="str">
        <f aca="false">IF($B128="","",N($D128)+$G128+N($H128))</f>
        <v/>
      </c>
      <c r="J128" s="35" t="str">
        <f aca="false">IF($B128="","",$I128*CCSS_OBRERO)</f>
        <v/>
      </c>
      <c r="K128" s="40"/>
      <c r="L128" s="35" t="str">
        <f aca="false">IF($B128="","",$I128-$J128-N($K128))</f>
        <v/>
      </c>
      <c r="M128" s="35" t="str">
        <f aca="false">IF($B128="","",$I128*CCSS_PATRONAL)</f>
        <v/>
      </c>
      <c r="N128" s="35" t="str">
        <f aca="false">IF($B128="","",$I128*INS_RT)</f>
        <v/>
      </c>
      <c r="O128" s="35" t="str">
        <f aca="false">IF($B128="","",$I128*PROV_AGUINALDO)</f>
        <v/>
      </c>
      <c r="P128" s="35" t="str">
        <f aca="false">IF($B128="","",$I128*PROV_VACACIONES)</f>
        <v/>
      </c>
      <c r="Q128" s="35" t="str">
        <f aca="false">IF($B128="","",$I128*PROV_CESANTIA)</f>
        <v/>
      </c>
      <c r="R128" s="35" t="str">
        <f aca="false">IF($B128="","",$I128+SUM($M128:$Q128))</f>
        <v/>
      </c>
      <c r="S128" s="46" t="str">
        <f aca="false">IF(OR($A128="",$B128=""),"",DATE(YEAR($A128),MONTH($A128),1))</f>
        <v/>
      </c>
    </row>
    <row r="129" customFormat="false" ht="15" hidden="false" customHeight="false" outlineLevel="0" collapsed="false">
      <c r="A129" s="55"/>
      <c r="B129" s="6"/>
      <c r="C129" s="6"/>
      <c r="D129" s="40"/>
      <c r="E129" s="39"/>
      <c r="F129" s="35" t="str">
        <f aca="false">IF($B129="","",N($D129)/HORAS_MES*RECARGO_HE)</f>
        <v/>
      </c>
      <c r="G129" s="35" t="str">
        <f aca="false">IF($B129="","",N($E129)*$F129)</f>
        <v/>
      </c>
      <c r="H129" s="40"/>
      <c r="I129" s="35" t="str">
        <f aca="false">IF($B129="","",N($D129)+$G129+N($H129))</f>
        <v/>
      </c>
      <c r="J129" s="35" t="str">
        <f aca="false">IF($B129="","",$I129*CCSS_OBRERO)</f>
        <v/>
      </c>
      <c r="K129" s="40"/>
      <c r="L129" s="35" t="str">
        <f aca="false">IF($B129="","",$I129-$J129-N($K129))</f>
        <v/>
      </c>
      <c r="M129" s="35" t="str">
        <f aca="false">IF($B129="","",$I129*CCSS_PATRONAL)</f>
        <v/>
      </c>
      <c r="N129" s="35" t="str">
        <f aca="false">IF($B129="","",$I129*INS_RT)</f>
        <v/>
      </c>
      <c r="O129" s="35" t="str">
        <f aca="false">IF($B129="","",$I129*PROV_AGUINALDO)</f>
        <v/>
      </c>
      <c r="P129" s="35" t="str">
        <f aca="false">IF($B129="","",$I129*PROV_VACACIONES)</f>
        <v/>
      </c>
      <c r="Q129" s="35" t="str">
        <f aca="false">IF($B129="","",$I129*PROV_CESANTIA)</f>
        <v/>
      </c>
      <c r="R129" s="35" t="str">
        <f aca="false">IF($B129="","",$I129+SUM($M129:$Q129))</f>
        <v/>
      </c>
      <c r="S129" s="46" t="str">
        <f aca="false">IF(OR($A129="",$B129=""),"",DATE(YEAR($A129),MONTH($A129),1))</f>
        <v/>
      </c>
    </row>
    <row r="130" customFormat="false" ht="15" hidden="false" customHeight="false" outlineLevel="0" collapsed="false">
      <c r="A130" s="55"/>
      <c r="B130" s="6"/>
      <c r="C130" s="6"/>
      <c r="D130" s="40"/>
      <c r="E130" s="39"/>
      <c r="F130" s="35" t="str">
        <f aca="false">IF($B130="","",N($D130)/HORAS_MES*RECARGO_HE)</f>
        <v/>
      </c>
      <c r="G130" s="35" t="str">
        <f aca="false">IF($B130="","",N($E130)*$F130)</f>
        <v/>
      </c>
      <c r="H130" s="40"/>
      <c r="I130" s="35" t="str">
        <f aca="false">IF($B130="","",N($D130)+$G130+N($H130))</f>
        <v/>
      </c>
      <c r="J130" s="35" t="str">
        <f aca="false">IF($B130="","",$I130*CCSS_OBRERO)</f>
        <v/>
      </c>
      <c r="K130" s="40"/>
      <c r="L130" s="35" t="str">
        <f aca="false">IF($B130="","",$I130-$J130-N($K130))</f>
        <v/>
      </c>
      <c r="M130" s="35" t="str">
        <f aca="false">IF($B130="","",$I130*CCSS_PATRONAL)</f>
        <v/>
      </c>
      <c r="N130" s="35" t="str">
        <f aca="false">IF($B130="","",$I130*INS_RT)</f>
        <v/>
      </c>
      <c r="O130" s="35" t="str">
        <f aca="false">IF($B130="","",$I130*PROV_AGUINALDO)</f>
        <v/>
      </c>
      <c r="P130" s="35" t="str">
        <f aca="false">IF($B130="","",$I130*PROV_VACACIONES)</f>
        <v/>
      </c>
      <c r="Q130" s="35" t="str">
        <f aca="false">IF($B130="","",$I130*PROV_CESANTIA)</f>
        <v/>
      </c>
      <c r="R130" s="35" t="str">
        <f aca="false">IF($B130="","",$I130+SUM($M130:$Q130))</f>
        <v/>
      </c>
      <c r="S130" s="46" t="str">
        <f aca="false">IF(OR($A130="",$B130=""),"",DATE(YEAR($A130),MONTH($A130),1))</f>
        <v/>
      </c>
    </row>
    <row r="131" customFormat="false" ht="15" hidden="false" customHeight="false" outlineLevel="0" collapsed="false">
      <c r="A131" s="55"/>
      <c r="B131" s="6"/>
      <c r="C131" s="6"/>
      <c r="D131" s="40"/>
      <c r="E131" s="39"/>
      <c r="F131" s="35" t="str">
        <f aca="false">IF($B131="","",N($D131)/HORAS_MES*RECARGO_HE)</f>
        <v/>
      </c>
      <c r="G131" s="35" t="str">
        <f aca="false">IF($B131="","",N($E131)*$F131)</f>
        <v/>
      </c>
      <c r="H131" s="40"/>
      <c r="I131" s="35" t="str">
        <f aca="false">IF($B131="","",N($D131)+$G131+N($H131))</f>
        <v/>
      </c>
      <c r="J131" s="35" t="str">
        <f aca="false">IF($B131="","",$I131*CCSS_OBRERO)</f>
        <v/>
      </c>
      <c r="K131" s="40"/>
      <c r="L131" s="35" t="str">
        <f aca="false">IF($B131="","",$I131-$J131-N($K131))</f>
        <v/>
      </c>
      <c r="M131" s="35" t="str">
        <f aca="false">IF($B131="","",$I131*CCSS_PATRONAL)</f>
        <v/>
      </c>
      <c r="N131" s="35" t="str">
        <f aca="false">IF($B131="","",$I131*INS_RT)</f>
        <v/>
      </c>
      <c r="O131" s="35" t="str">
        <f aca="false">IF($B131="","",$I131*PROV_AGUINALDO)</f>
        <v/>
      </c>
      <c r="P131" s="35" t="str">
        <f aca="false">IF($B131="","",$I131*PROV_VACACIONES)</f>
        <v/>
      </c>
      <c r="Q131" s="35" t="str">
        <f aca="false">IF($B131="","",$I131*PROV_CESANTIA)</f>
        <v/>
      </c>
      <c r="R131" s="35" t="str">
        <f aca="false">IF($B131="","",$I131+SUM($M131:$Q131))</f>
        <v/>
      </c>
      <c r="S131" s="46" t="str">
        <f aca="false">IF(OR($A131="",$B131=""),"",DATE(YEAR($A131),MONTH($A131),1))</f>
        <v/>
      </c>
    </row>
    <row r="132" customFormat="false" ht="15" hidden="false" customHeight="false" outlineLevel="0" collapsed="false">
      <c r="A132" s="55"/>
      <c r="B132" s="6"/>
      <c r="C132" s="6"/>
      <c r="D132" s="40"/>
      <c r="E132" s="39"/>
      <c r="F132" s="35" t="str">
        <f aca="false">IF($B132="","",N($D132)/HORAS_MES*RECARGO_HE)</f>
        <v/>
      </c>
      <c r="G132" s="35" t="str">
        <f aca="false">IF($B132="","",N($E132)*$F132)</f>
        <v/>
      </c>
      <c r="H132" s="40"/>
      <c r="I132" s="35" t="str">
        <f aca="false">IF($B132="","",N($D132)+$G132+N($H132))</f>
        <v/>
      </c>
      <c r="J132" s="35" t="str">
        <f aca="false">IF($B132="","",$I132*CCSS_OBRERO)</f>
        <v/>
      </c>
      <c r="K132" s="40"/>
      <c r="L132" s="35" t="str">
        <f aca="false">IF($B132="","",$I132-$J132-N($K132))</f>
        <v/>
      </c>
      <c r="M132" s="35" t="str">
        <f aca="false">IF($B132="","",$I132*CCSS_PATRONAL)</f>
        <v/>
      </c>
      <c r="N132" s="35" t="str">
        <f aca="false">IF($B132="","",$I132*INS_RT)</f>
        <v/>
      </c>
      <c r="O132" s="35" t="str">
        <f aca="false">IF($B132="","",$I132*PROV_AGUINALDO)</f>
        <v/>
      </c>
      <c r="P132" s="35" t="str">
        <f aca="false">IF($B132="","",$I132*PROV_VACACIONES)</f>
        <v/>
      </c>
      <c r="Q132" s="35" t="str">
        <f aca="false">IF($B132="","",$I132*PROV_CESANTIA)</f>
        <v/>
      </c>
      <c r="R132" s="35" t="str">
        <f aca="false">IF($B132="","",$I132+SUM($M132:$Q132))</f>
        <v/>
      </c>
      <c r="S132" s="46" t="str">
        <f aca="false">IF(OR($A132="",$B132=""),"",DATE(YEAR($A132),MONTH($A132),1))</f>
        <v/>
      </c>
    </row>
    <row r="133" customFormat="false" ht="15" hidden="false" customHeight="false" outlineLevel="0" collapsed="false">
      <c r="A133" s="55"/>
      <c r="B133" s="6"/>
      <c r="C133" s="6"/>
      <c r="D133" s="40"/>
      <c r="E133" s="39"/>
      <c r="F133" s="35" t="str">
        <f aca="false">IF($B133="","",N($D133)/HORAS_MES*RECARGO_HE)</f>
        <v/>
      </c>
      <c r="G133" s="35" t="str">
        <f aca="false">IF($B133="","",N($E133)*$F133)</f>
        <v/>
      </c>
      <c r="H133" s="40"/>
      <c r="I133" s="35" t="str">
        <f aca="false">IF($B133="","",N($D133)+$G133+N($H133))</f>
        <v/>
      </c>
      <c r="J133" s="35" t="str">
        <f aca="false">IF($B133="","",$I133*CCSS_OBRERO)</f>
        <v/>
      </c>
      <c r="K133" s="40"/>
      <c r="L133" s="35" t="str">
        <f aca="false">IF($B133="","",$I133-$J133-N($K133))</f>
        <v/>
      </c>
      <c r="M133" s="35" t="str">
        <f aca="false">IF($B133="","",$I133*CCSS_PATRONAL)</f>
        <v/>
      </c>
      <c r="N133" s="35" t="str">
        <f aca="false">IF($B133="","",$I133*INS_RT)</f>
        <v/>
      </c>
      <c r="O133" s="35" t="str">
        <f aca="false">IF($B133="","",$I133*PROV_AGUINALDO)</f>
        <v/>
      </c>
      <c r="P133" s="35" t="str">
        <f aca="false">IF($B133="","",$I133*PROV_VACACIONES)</f>
        <v/>
      </c>
      <c r="Q133" s="35" t="str">
        <f aca="false">IF($B133="","",$I133*PROV_CESANTIA)</f>
        <v/>
      </c>
      <c r="R133" s="35" t="str">
        <f aca="false">IF($B133="","",$I133+SUM($M133:$Q133))</f>
        <v/>
      </c>
      <c r="S133" s="46" t="str">
        <f aca="false">IF(OR($A133="",$B133=""),"",DATE(YEAR($A133),MONTH($A133),1))</f>
        <v/>
      </c>
    </row>
    <row r="134" customFormat="false" ht="15" hidden="false" customHeight="false" outlineLevel="0" collapsed="false">
      <c r="A134" s="55"/>
      <c r="B134" s="6"/>
      <c r="C134" s="6"/>
      <c r="D134" s="40"/>
      <c r="E134" s="39"/>
      <c r="F134" s="35" t="str">
        <f aca="false">IF($B134="","",N($D134)/HORAS_MES*RECARGO_HE)</f>
        <v/>
      </c>
      <c r="G134" s="35" t="str">
        <f aca="false">IF($B134="","",N($E134)*$F134)</f>
        <v/>
      </c>
      <c r="H134" s="40"/>
      <c r="I134" s="35" t="str">
        <f aca="false">IF($B134="","",N($D134)+$G134+N($H134))</f>
        <v/>
      </c>
      <c r="J134" s="35" t="str">
        <f aca="false">IF($B134="","",$I134*CCSS_OBRERO)</f>
        <v/>
      </c>
      <c r="K134" s="40"/>
      <c r="L134" s="35" t="str">
        <f aca="false">IF($B134="","",$I134-$J134-N($K134))</f>
        <v/>
      </c>
      <c r="M134" s="35" t="str">
        <f aca="false">IF($B134="","",$I134*CCSS_PATRONAL)</f>
        <v/>
      </c>
      <c r="N134" s="35" t="str">
        <f aca="false">IF($B134="","",$I134*INS_RT)</f>
        <v/>
      </c>
      <c r="O134" s="35" t="str">
        <f aca="false">IF($B134="","",$I134*PROV_AGUINALDO)</f>
        <v/>
      </c>
      <c r="P134" s="35" t="str">
        <f aca="false">IF($B134="","",$I134*PROV_VACACIONES)</f>
        <v/>
      </c>
      <c r="Q134" s="35" t="str">
        <f aca="false">IF($B134="","",$I134*PROV_CESANTIA)</f>
        <v/>
      </c>
      <c r="R134" s="35" t="str">
        <f aca="false">IF($B134="","",$I134+SUM($M134:$Q134))</f>
        <v/>
      </c>
      <c r="S134" s="46" t="str">
        <f aca="false">IF(OR($A134="",$B134=""),"",DATE(YEAR($A134),MONTH($A134),1))</f>
        <v/>
      </c>
    </row>
    <row r="135" customFormat="false" ht="15" hidden="false" customHeight="false" outlineLevel="0" collapsed="false">
      <c r="A135" s="55"/>
      <c r="B135" s="6"/>
      <c r="C135" s="6"/>
      <c r="D135" s="40"/>
      <c r="E135" s="39"/>
      <c r="F135" s="35" t="str">
        <f aca="false">IF($B135="","",N($D135)/HORAS_MES*RECARGO_HE)</f>
        <v/>
      </c>
      <c r="G135" s="35" t="str">
        <f aca="false">IF($B135="","",N($E135)*$F135)</f>
        <v/>
      </c>
      <c r="H135" s="40"/>
      <c r="I135" s="35" t="str">
        <f aca="false">IF($B135="","",N($D135)+$G135+N($H135))</f>
        <v/>
      </c>
      <c r="J135" s="35" t="str">
        <f aca="false">IF($B135="","",$I135*CCSS_OBRERO)</f>
        <v/>
      </c>
      <c r="K135" s="40"/>
      <c r="L135" s="35" t="str">
        <f aca="false">IF($B135="","",$I135-$J135-N($K135))</f>
        <v/>
      </c>
      <c r="M135" s="35" t="str">
        <f aca="false">IF($B135="","",$I135*CCSS_PATRONAL)</f>
        <v/>
      </c>
      <c r="N135" s="35" t="str">
        <f aca="false">IF($B135="","",$I135*INS_RT)</f>
        <v/>
      </c>
      <c r="O135" s="35" t="str">
        <f aca="false">IF($B135="","",$I135*PROV_AGUINALDO)</f>
        <v/>
      </c>
      <c r="P135" s="35" t="str">
        <f aca="false">IF($B135="","",$I135*PROV_VACACIONES)</f>
        <v/>
      </c>
      <c r="Q135" s="35" t="str">
        <f aca="false">IF($B135="","",$I135*PROV_CESANTIA)</f>
        <v/>
      </c>
      <c r="R135" s="35" t="str">
        <f aca="false">IF($B135="","",$I135+SUM($M135:$Q135))</f>
        <v/>
      </c>
      <c r="S135" s="46" t="str">
        <f aca="false">IF(OR($A135="",$B135=""),"",DATE(YEAR($A135),MONTH($A135),1))</f>
        <v/>
      </c>
    </row>
    <row r="136" customFormat="false" ht="15" hidden="false" customHeight="false" outlineLevel="0" collapsed="false">
      <c r="A136" s="55"/>
      <c r="B136" s="6"/>
      <c r="C136" s="6"/>
      <c r="D136" s="40"/>
      <c r="E136" s="39"/>
      <c r="F136" s="35" t="str">
        <f aca="false">IF($B136="","",N($D136)/HORAS_MES*RECARGO_HE)</f>
        <v/>
      </c>
      <c r="G136" s="35" t="str">
        <f aca="false">IF($B136="","",N($E136)*$F136)</f>
        <v/>
      </c>
      <c r="H136" s="40"/>
      <c r="I136" s="35" t="str">
        <f aca="false">IF($B136="","",N($D136)+$G136+N($H136))</f>
        <v/>
      </c>
      <c r="J136" s="35" t="str">
        <f aca="false">IF($B136="","",$I136*CCSS_OBRERO)</f>
        <v/>
      </c>
      <c r="K136" s="40"/>
      <c r="L136" s="35" t="str">
        <f aca="false">IF($B136="","",$I136-$J136-N($K136))</f>
        <v/>
      </c>
      <c r="M136" s="35" t="str">
        <f aca="false">IF($B136="","",$I136*CCSS_PATRONAL)</f>
        <v/>
      </c>
      <c r="N136" s="35" t="str">
        <f aca="false">IF($B136="","",$I136*INS_RT)</f>
        <v/>
      </c>
      <c r="O136" s="35" t="str">
        <f aca="false">IF($B136="","",$I136*PROV_AGUINALDO)</f>
        <v/>
      </c>
      <c r="P136" s="35" t="str">
        <f aca="false">IF($B136="","",$I136*PROV_VACACIONES)</f>
        <v/>
      </c>
      <c r="Q136" s="35" t="str">
        <f aca="false">IF($B136="","",$I136*PROV_CESANTIA)</f>
        <v/>
      </c>
      <c r="R136" s="35" t="str">
        <f aca="false">IF($B136="","",$I136+SUM($M136:$Q136))</f>
        <v/>
      </c>
      <c r="S136" s="46" t="str">
        <f aca="false">IF(OR($A136="",$B136=""),"",DATE(YEAR($A136),MONTH($A136),1))</f>
        <v/>
      </c>
    </row>
    <row r="137" customFormat="false" ht="15" hidden="false" customHeight="false" outlineLevel="0" collapsed="false">
      <c r="A137" s="55"/>
      <c r="B137" s="6"/>
      <c r="C137" s="6"/>
      <c r="D137" s="40"/>
      <c r="E137" s="39"/>
      <c r="F137" s="35" t="str">
        <f aca="false">IF($B137="","",N($D137)/HORAS_MES*RECARGO_HE)</f>
        <v/>
      </c>
      <c r="G137" s="35" t="str">
        <f aca="false">IF($B137="","",N($E137)*$F137)</f>
        <v/>
      </c>
      <c r="H137" s="40"/>
      <c r="I137" s="35" t="str">
        <f aca="false">IF($B137="","",N($D137)+$G137+N($H137))</f>
        <v/>
      </c>
      <c r="J137" s="35" t="str">
        <f aca="false">IF($B137="","",$I137*CCSS_OBRERO)</f>
        <v/>
      </c>
      <c r="K137" s="40"/>
      <c r="L137" s="35" t="str">
        <f aca="false">IF($B137="","",$I137-$J137-N($K137))</f>
        <v/>
      </c>
      <c r="M137" s="35" t="str">
        <f aca="false">IF($B137="","",$I137*CCSS_PATRONAL)</f>
        <v/>
      </c>
      <c r="N137" s="35" t="str">
        <f aca="false">IF($B137="","",$I137*INS_RT)</f>
        <v/>
      </c>
      <c r="O137" s="35" t="str">
        <f aca="false">IF($B137="","",$I137*PROV_AGUINALDO)</f>
        <v/>
      </c>
      <c r="P137" s="35" t="str">
        <f aca="false">IF($B137="","",$I137*PROV_VACACIONES)</f>
        <v/>
      </c>
      <c r="Q137" s="35" t="str">
        <f aca="false">IF($B137="","",$I137*PROV_CESANTIA)</f>
        <v/>
      </c>
      <c r="R137" s="35" t="str">
        <f aca="false">IF($B137="","",$I137+SUM($M137:$Q137))</f>
        <v/>
      </c>
      <c r="S137" s="46" t="str">
        <f aca="false">IF(OR($A137="",$B137=""),"",DATE(YEAR($A137),MONTH($A137),1))</f>
        <v/>
      </c>
    </row>
    <row r="138" customFormat="false" ht="15" hidden="false" customHeight="false" outlineLevel="0" collapsed="false">
      <c r="A138" s="55"/>
      <c r="B138" s="6"/>
      <c r="C138" s="6"/>
      <c r="D138" s="40"/>
      <c r="E138" s="39"/>
      <c r="F138" s="35" t="str">
        <f aca="false">IF($B138="","",N($D138)/HORAS_MES*RECARGO_HE)</f>
        <v/>
      </c>
      <c r="G138" s="35" t="str">
        <f aca="false">IF($B138="","",N($E138)*$F138)</f>
        <v/>
      </c>
      <c r="H138" s="40"/>
      <c r="I138" s="35" t="str">
        <f aca="false">IF($B138="","",N($D138)+$G138+N($H138))</f>
        <v/>
      </c>
      <c r="J138" s="35" t="str">
        <f aca="false">IF($B138="","",$I138*CCSS_OBRERO)</f>
        <v/>
      </c>
      <c r="K138" s="40"/>
      <c r="L138" s="35" t="str">
        <f aca="false">IF($B138="","",$I138-$J138-N($K138))</f>
        <v/>
      </c>
      <c r="M138" s="35" t="str">
        <f aca="false">IF($B138="","",$I138*CCSS_PATRONAL)</f>
        <v/>
      </c>
      <c r="N138" s="35" t="str">
        <f aca="false">IF($B138="","",$I138*INS_RT)</f>
        <v/>
      </c>
      <c r="O138" s="35" t="str">
        <f aca="false">IF($B138="","",$I138*PROV_AGUINALDO)</f>
        <v/>
      </c>
      <c r="P138" s="35" t="str">
        <f aca="false">IF($B138="","",$I138*PROV_VACACIONES)</f>
        <v/>
      </c>
      <c r="Q138" s="35" t="str">
        <f aca="false">IF($B138="","",$I138*PROV_CESANTIA)</f>
        <v/>
      </c>
      <c r="R138" s="35" t="str">
        <f aca="false">IF($B138="","",$I138+SUM($M138:$Q138))</f>
        <v/>
      </c>
      <c r="S138" s="46" t="str">
        <f aca="false">IF(OR($A138="",$B138=""),"",DATE(YEAR($A138),MONTH($A138),1))</f>
        <v/>
      </c>
    </row>
    <row r="139" customFormat="false" ht="15" hidden="false" customHeight="false" outlineLevel="0" collapsed="false">
      <c r="A139" s="55"/>
      <c r="B139" s="6"/>
      <c r="C139" s="6"/>
      <c r="D139" s="40"/>
      <c r="E139" s="39"/>
      <c r="F139" s="35" t="str">
        <f aca="false">IF($B139="","",N($D139)/HORAS_MES*RECARGO_HE)</f>
        <v/>
      </c>
      <c r="G139" s="35" t="str">
        <f aca="false">IF($B139="","",N($E139)*$F139)</f>
        <v/>
      </c>
      <c r="H139" s="40"/>
      <c r="I139" s="35" t="str">
        <f aca="false">IF($B139="","",N($D139)+$G139+N($H139))</f>
        <v/>
      </c>
      <c r="J139" s="35" t="str">
        <f aca="false">IF($B139="","",$I139*CCSS_OBRERO)</f>
        <v/>
      </c>
      <c r="K139" s="40"/>
      <c r="L139" s="35" t="str">
        <f aca="false">IF($B139="","",$I139-$J139-N($K139))</f>
        <v/>
      </c>
      <c r="M139" s="35" t="str">
        <f aca="false">IF($B139="","",$I139*CCSS_PATRONAL)</f>
        <v/>
      </c>
      <c r="N139" s="35" t="str">
        <f aca="false">IF($B139="","",$I139*INS_RT)</f>
        <v/>
      </c>
      <c r="O139" s="35" t="str">
        <f aca="false">IF($B139="","",$I139*PROV_AGUINALDO)</f>
        <v/>
      </c>
      <c r="P139" s="35" t="str">
        <f aca="false">IF($B139="","",$I139*PROV_VACACIONES)</f>
        <v/>
      </c>
      <c r="Q139" s="35" t="str">
        <f aca="false">IF($B139="","",$I139*PROV_CESANTIA)</f>
        <v/>
      </c>
      <c r="R139" s="35" t="str">
        <f aca="false">IF($B139="","",$I139+SUM($M139:$Q139))</f>
        <v/>
      </c>
      <c r="S139" s="46" t="str">
        <f aca="false">IF(OR($A139="",$B139=""),"",DATE(YEAR($A139),MONTH($A139),1))</f>
        <v/>
      </c>
    </row>
    <row r="140" customFormat="false" ht="15" hidden="false" customHeight="false" outlineLevel="0" collapsed="false">
      <c r="A140" s="55"/>
      <c r="B140" s="6"/>
      <c r="C140" s="6"/>
      <c r="D140" s="40"/>
      <c r="E140" s="39"/>
      <c r="F140" s="35" t="str">
        <f aca="false">IF($B140="","",N($D140)/HORAS_MES*RECARGO_HE)</f>
        <v/>
      </c>
      <c r="G140" s="35" t="str">
        <f aca="false">IF($B140="","",N($E140)*$F140)</f>
        <v/>
      </c>
      <c r="H140" s="40"/>
      <c r="I140" s="35" t="str">
        <f aca="false">IF($B140="","",N($D140)+$G140+N($H140))</f>
        <v/>
      </c>
      <c r="J140" s="35" t="str">
        <f aca="false">IF($B140="","",$I140*CCSS_OBRERO)</f>
        <v/>
      </c>
      <c r="K140" s="40"/>
      <c r="L140" s="35" t="str">
        <f aca="false">IF($B140="","",$I140-$J140-N($K140))</f>
        <v/>
      </c>
      <c r="M140" s="35" t="str">
        <f aca="false">IF($B140="","",$I140*CCSS_PATRONAL)</f>
        <v/>
      </c>
      <c r="N140" s="35" t="str">
        <f aca="false">IF($B140="","",$I140*INS_RT)</f>
        <v/>
      </c>
      <c r="O140" s="35" t="str">
        <f aca="false">IF($B140="","",$I140*PROV_AGUINALDO)</f>
        <v/>
      </c>
      <c r="P140" s="35" t="str">
        <f aca="false">IF($B140="","",$I140*PROV_VACACIONES)</f>
        <v/>
      </c>
      <c r="Q140" s="35" t="str">
        <f aca="false">IF($B140="","",$I140*PROV_CESANTIA)</f>
        <v/>
      </c>
      <c r="R140" s="35" t="str">
        <f aca="false">IF($B140="","",$I140+SUM($M140:$Q140))</f>
        <v/>
      </c>
      <c r="S140" s="46" t="str">
        <f aca="false">IF(OR($A140="",$B140=""),"",DATE(YEAR($A140),MONTH($A140),1))</f>
        <v/>
      </c>
    </row>
    <row r="141" customFormat="false" ht="15" hidden="false" customHeight="false" outlineLevel="0" collapsed="false">
      <c r="A141" s="55"/>
      <c r="B141" s="6"/>
      <c r="C141" s="6"/>
      <c r="D141" s="40"/>
      <c r="E141" s="39"/>
      <c r="F141" s="35" t="str">
        <f aca="false">IF($B141="","",N($D141)/HORAS_MES*RECARGO_HE)</f>
        <v/>
      </c>
      <c r="G141" s="35" t="str">
        <f aca="false">IF($B141="","",N($E141)*$F141)</f>
        <v/>
      </c>
      <c r="H141" s="40"/>
      <c r="I141" s="35" t="str">
        <f aca="false">IF($B141="","",N($D141)+$G141+N($H141))</f>
        <v/>
      </c>
      <c r="J141" s="35" t="str">
        <f aca="false">IF($B141="","",$I141*CCSS_OBRERO)</f>
        <v/>
      </c>
      <c r="K141" s="40"/>
      <c r="L141" s="35" t="str">
        <f aca="false">IF($B141="","",$I141-$J141-N($K141))</f>
        <v/>
      </c>
      <c r="M141" s="35" t="str">
        <f aca="false">IF($B141="","",$I141*CCSS_PATRONAL)</f>
        <v/>
      </c>
      <c r="N141" s="35" t="str">
        <f aca="false">IF($B141="","",$I141*INS_RT)</f>
        <v/>
      </c>
      <c r="O141" s="35" t="str">
        <f aca="false">IF($B141="","",$I141*PROV_AGUINALDO)</f>
        <v/>
      </c>
      <c r="P141" s="35" t="str">
        <f aca="false">IF($B141="","",$I141*PROV_VACACIONES)</f>
        <v/>
      </c>
      <c r="Q141" s="35" t="str">
        <f aca="false">IF($B141="","",$I141*PROV_CESANTIA)</f>
        <v/>
      </c>
      <c r="R141" s="35" t="str">
        <f aca="false">IF($B141="","",$I141+SUM($M141:$Q141))</f>
        <v/>
      </c>
      <c r="S141" s="46" t="str">
        <f aca="false">IF(OR($A141="",$B141=""),"",DATE(YEAR($A141),MONTH($A141),1))</f>
        <v/>
      </c>
    </row>
    <row r="142" customFormat="false" ht="15" hidden="false" customHeight="false" outlineLevel="0" collapsed="false">
      <c r="A142" s="55"/>
      <c r="B142" s="6"/>
      <c r="C142" s="6"/>
      <c r="D142" s="40"/>
      <c r="E142" s="39"/>
      <c r="F142" s="35" t="str">
        <f aca="false">IF($B142="","",N($D142)/HORAS_MES*RECARGO_HE)</f>
        <v/>
      </c>
      <c r="G142" s="35" t="str">
        <f aca="false">IF($B142="","",N($E142)*$F142)</f>
        <v/>
      </c>
      <c r="H142" s="40"/>
      <c r="I142" s="35" t="str">
        <f aca="false">IF($B142="","",N($D142)+$G142+N($H142))</f>
        <v/>
      </c>
      <c r="J142" s="35" t="str">
        <f aca="false">IF($B142="","",$I142*CCSS_OBRERO)</f>
        <v/>
      </c>
      <c r="K142" s="40"/>
      <c r="L142" s="35" t="str">
        <f aca="false">IF($B142="","",$I142-$J142-N($K142))</f>
        <v/>
      </c>
      <c r="M142" s="35" t="str">
        <f aca="false">IF($B142="","",$I142*CCSS_PATRONAL)</f>
        <v/>
      </c>
      <c r="N142" s="35" t="str">
        <f aca="false">IF($B142="","",$I142*INS_RT)</f>
        <v/>
      </c>
      <c r="O142" s="35" t="str">
        <f aca="false">IF($B142="","",$I142*PROV_AGUINALDO)</f>
        <v/>
      </c>
      <c r="P142" s="35" t="str">
        <f aca="false">IF($B142="","",$I142*PROV_VACACIONES)</f>
        <v/>
      </c>
      <c r="Q142" s="35" t="str">
        <f aca="false">IF($B142="","",$I142*PROV_CESANTIA)</f>
        <v/>
      </c>
      <c r="R142" s="35" t="str">
        <f aca="false">IF($B142="","",$I142+SUM($M142:$Q142))</f>
        <v/>
      </c>
      <c r="S142" s="46" t="str">
        <f aca="false">IF(OR($A142="",$B142=""),"",DATE(YEAR($A142),MONTH($A142),1))</f>
        <v/>
      </c>
    </row>
    <row r="143" customFormat="false" ht="15" hidden="false" customHeight="false" outlineLevel="0" collapsed="false">
      <c r="A143" s="55"/>
      <c r="B143" s="6"/>
      <c r="C143" s="6"/>
      <c r="D143" s="40"/>
      <c r="E143" s="39"/>
      <c r="F143" s="35" t="str">
        <f aca="false">IF($B143="","",N($D143)/HORAS_MES*RECARGO_HE)</f>
        <v/>
      </c>
      <c r="G143" s="35" t="str">
        <f aca="false">IF($B143="","",N($E143)*$F143)</f>
        <v/>
      </c>
      <c r="H143" s="40"/>
      <c r="I143" s="35" t="str">
        <f aca="false">IF($B143="","",N($D143)+$G143+N($H143))</f>
        <v/>
      </c>
      <c r="J143" s="35" t="str">
        <f aca="false">IF($B143="","",$I143*CCSS_OBRERO)</f>
        <v/>
      </c>
      <c r="K143" s="40"/>
      <c r="L143" s="35" t="str">
        <f aca="false">IF($B143="","",$I143-$J143-N($K143))</f>
        <v/>
      </c>
      <c r="M143" s="35" t="str">
        <f aca="false">IF($B143="","",$I143*CCSS_PATRONAL)</f>
        <v/>
      </c>
      <c r="N143" s="35" t="str">
        <f aca="false">IF($B143="","",$I143*INS_RT)</f>
        <v/>
      </c>
      <c r="O143" s="35" t="str">
        <f aca="false">IF($B143="","",$I143*PROV_AGUINALDO)</f>
        <v/>
      </c>
      <c r="P143" s="35" t="str">
        <f aca="false">IF($B143="","",$I143*PROV_VACACIONES)</f>
        <v/>
      </c>
      <c r="Q143" s="35" t="str">
        <f aca="false">IF($B143="","",$I143*PROV_CESANTIA)</f>
        <v/>
      </c>
      <c r="R143" s="35" t="str">
        <f aca="false">IF($B143="","",$I143+SUM($M143:$Q143))</f>
        <v/>
      </c>
      <c r="S143" s="46" t="str">
        <f aca="false">IF(OR($A143="",$B143=""),"",DATE(YEAR($A143),MONTH($A143),1))</f>
        <v/>
      </c>
    </row>
    <row r="144" customFormat="false" ht="15" hidden="false" customHeight="false" outlineLevel="0" collapsed="false">
      <c r="A144" s="55"/>
      <c r="B144" s="6"/>
      <c r="C144" s="6"/>
      <c r="D144" s="40"/>
      <c r="E144" s="39"/>
      <c r="F144" s="35" t="str">
        <f aca="false">IF($B144="","",N($D144)/HORAS_MES*RECARGO_HE)</f>
        <v/>
      </c>
      <c r="G144" s="35" t="str">
        <f aca="false">IF($B144="","",N($E144)*$F144)</f>
        <v/>
      </c>
      <c r="H144" s="40"/>
      <c r="I144" s="35" t="str">
        <f aca="false">IF($B144="","",N($D144)+$G144+N($H144))</f>
        <v/>
      </c>
      <c r="J144" s="35" t="str">
        <f aca="false">IF($B144="","",$I144*CCSS_OBRERO)</f>
        <v/>
      </c>
      <c r="K144" s="40"/>
      <c r="L144" s="35" t="str">
        <f aca="false">IF($B144="","",$I144-$J144-N($K144))</f>
        <v/>
      </c>
      <c r="M144" s="35" t="str">
        <f aca="false">IF($B144="","",$I144*CCSS_PATRONAL)</f>
        <v/>
      </c>
      <c r="N144" s="35" t="str">
        <f aca="false">IF($B144="","",$I144*INS_RT)</f>
        <v/>
      </c>
      <c r="O144" s="35" t="str">
        <f aca="false">IF($B144="","",$I144*PROV_AGUINALDO)</f>
        <v/>
      </c>
      <c r="P144" s="35" t="str">
        <f aca="false">IF($B144="","",$I144*PROV_VACACIONES)</f>
        <v/>
      </c>
      <c r="Q144" s="35" t="str">
        <f aca="false">IF($B144="","",$I144*PROV_CESANTIA)</f>
        <v/>
      </c>
      <c r="R144" s="35" t="str">
        <f aca="false">IF($B144="","",$I144+SUM($M144:$Q144))</f>
        <v/>
      </c>
      <c r="S144" s="46" t="str">
        <f aca="false">IF(OR($A144="",$B144=""),"",DATE(YEAR($A144),MONTH($A144),1))</f>
        <v/>
      </c>
    </row>
    <row r="145" customFormat="false" ht="15" hidden="false" customHeight="false" outlineLevel="0" collapsed="false">
      <c r="A145" s="55"/>
      <c r="B145" s="6"/>
      <c r="C145" s="6"/>
      <c r="D145" s="40"/>
      <c r="E145" s="39"/>
      <c r="F145" s="35" t="str">
        <f aca="false">IF($B145="","",N($D145)/HORAS_MES*RECARGO_HE)</f>
        <v/>
      </c>
      <c r="G145" s="35" t="str">
        <f aca="false">IF($B145="","",N($E145)*$F145)</f>
        <v/>
      </c>
      <c r="H145" s="40"/>
      <c r="I145" s="35" t="str">
        <f aca="false">IF($B145="","",N($D145)+$G145+N($H145))</f>
        <v/>
      </c>
      <c r="J145" s="35" t="str">
        <f aca="false">IF($B145="","",$I145*CCSS_OBRERO)</f>
        <v/>
      </c>
      <c r="K145" s="40"/>
      <c r="L145" s="35" t="str">
        <f aca="false">IF($B145="","",$I145-$J145-N($K145))</f>
        <v/>
      </c>
      <c r="M145" s="35" t="str">
        <f aca="false">IF($B145="","",$I145*CCSS_PATRONAL)</f>
        <v/>
      </c>
      <c r="N145" s="35" t="str">
        <f aca="false">IF($B145="","",$I145*INS_RT)</f>
        <v/>
      </c>
      <c r="O145" s="35" t="str">
        <f aca="false">IF($B145="","",$I145*PROV_AGUINALDO)</f>
        <v/>
      </c>
      <c r="P145" s="35" t="str">
        <f aca="false">IF($B145="","",$I145*PROV_VACACIONES)</f>
        <v/>
      </c>
      <c r="Q145" s="35" t="str">
        <f aca="false">IF($B145="","",$I145*PROV_CESANTIA)</f>
        <v/>
      </c>
      <c r="R145" s="35" t="str">
        <f aca="false">IF($B145="","",$I145+SUM($M145:$Q145))</f>
        <v/>
      </c>
      <c r="S145" s="46" t="str">
        <f aca="false">IF(OR($A145="",$B145=""),"",DATE(YEAR($A145),MONTH($A145),1))</f>
        <v/>
      </c>
    </row>
    <row r="146" customFormat="false" ht="15" hidden="false" customHeight="false" outlineLevel="0" collapsed="false">
      <c r="A146" s="55"/>
      <c r="B146" s="6"/>
      <c r="C146" s="6"/>
      <c r="D146" s="40"/>
      <c r="E146" s="39"/>
      <c r="F146" s="35" t="str">
        <f aca="false">IF($B146="","",N($D146)/HORAS_MES*RECARGO_HE)</f>
        <v/>
      </c>
      <c r="G146" s="35" t="str">
        <f aca="false">IF($B146="","",N($E146)*$F146)</f>
        <v/>
      </c>
      <c r="H146" s="40"/>
      <c r="I146" s="35" t="str">
        <f aca="false">IF($B146="","",N($D146)+$G146+N($H146))</f>
        <v/>
      </c>
      <c r="J146" s="35" t="str">
        <f aca="false">IF($B146="","",$I146*CCSS_OBRERO)</f>
        <v/>
      </c>
      <c r="K146" s="40"/>
      <c r="L146" s="35" t="str">
        <f aca="false">IF($B146="","",$I146-$J146-N($K146))</f>
        <v/>
      </c>
      <c r="M146" s="35" t="str">
        <f aca="false">IF($B146="","",$I146*CCSS_PATRONAL)</f>
        <v/>
      </c>
      <c r="N146" s="35" t="str">
        <f aca="false">IF($B146="","",$I146*INS_RT)</f>
        <v/>
      </c>
      <c r="O146" s="35" t="str">
        <f aca="false">IF($B146="","",$I146*PROV_AGUINALDO)</f>
        <v/>
      </c>
      <c r="P146" s="35" t="str">
        <f aca="false">IF($B146="","",$I146*PROV_VACACIONES)</f>
        <v/>
      </c>
      <c r="Q146" s="35" t="str">
        <f aca="false">IF($B146="","",$I146*PROV_CESANTIA)</f>
        <v/>
      </c>
      <c r="R146" s="35" t="str">
        <f aca="false">IF($B146="","",$I146+SUM($M146:$Q146))</f>
        <v/>
      </c>
      <c r="S146" s="46" t="str">
        <f aca="false">IF(OR($A146="",$B146=""),"",DATE(YEAR($A146),MONTH($A146),1))</f>
        <v/>
      </c>
    </row>
    <row r="147" customFormat="false" ht="15" hidden="false" customHeight="false" outlineLevel="0" collapsed="false">
      <c r="A147" s="55"/>
      <c r="B147" s="6"/>
      <c r="C147" s="6"/>
      <c r="D147" s="40"/>
      <c r="E147" s="39"/>
      <c r="F147" s="35" t="str">
        <f aca="false">IF($B147="","",N($D147)/HORAS_MES*RECARGO_HE)</f>
        <v/>
      </c>
      <c r="G147" s="35" t="str">
        <f aca="false">IF($B147="","",N($E147)*$F147)</f>
        <v/>
      </c>
      <c r="H147" s="40"/>
      <c r="I147" s="35" t="str">
        <f aca="false">IF($B147="","",N($D147)+$G147+N($H147))</f>
        <v/>
      </c>
      <c r="J147" s="35" t="str">
        <f aca="false">IF($B147="","",$I147*CCSS_OBRERO)</f>
        <v/>
      </c>
      <c r="K147" s="40"/>
      <c r="L147" s="35" t="str">
        <f aca="false">IF($B147="","",$I147-$J147-N($K147))</f>
        <v/>
      </c>
      <c r="M147" s="35" t="str">
        <f aca="false">IF($B147="","",$I147*CCSS_PATRONAL)</f>
        <v/>
      </c>
      <c r="N147" s="35" t="str">
        <f aca="false">IF($B147="","",$I147*INS_RT)</f>
        <v/>
      </c>
      <c r="O147" s="35" t="str">
        <f aca="false">IF($B147="","",$I147*PROV_AGUINALDO)</f>
        <v/>
      </c>
      <c r="P147" s="35" t="str">
        <f aca="false">IF($B147="","",$I147*PROV_VACACIONES)</f>
        <v/>
      </c>
      <c r="Q147" s="35" t="str">
        <f aca="false">IF($B147="","",$I147*PROV_CESANTIA)</f>
        <v/>
      </c>
      <c r="R147" s="35" t="str">
        <f aca="false">IF($B147="","",$I147+SUM($M147:$Q147))</f>
        <v/>
      </c>
      <c r="S147" s="46" t="str">
        <f aca="false">IF(OR($A147="",$B147=""),"",DATE(YEAR($A147),MONTH($A147),1))</f>
        <v/>
      </c>
    </row>
    <row r="148" customFormat="false" ht="15" hidden="false" customHeight="false" outlineLevel="0" collapsed="false">
      <c r="A148" s="55"/>
      <c r="B148" s="6"/>
      <c r="C148" s="6"/>
      <c r="D148" s="40"/>
      <c r="E148" s="39"/>
      <c r="F148" s="35" t="str">
        <f aca="false">IF($B148="","",N($D148)/HORAS_MES*RECARGO_HE)</f>
        <v/>
      </c>
      <c r="G148" s="35" t="str">
        <f aca="false">IF($B148="","",N($E148)*$F148)</f>
        <v/>
      </c>
      <c r="H148" s="40"/>
      <c r="I148" s="35" t="str">
        <f aca="false">IF($B148="","",N($D148)+$G148+N($H148))</f>
        <v/>
      </c>
      <c r="J148" s="35" t="str">
        <f aca="false">IF($B148="","",$I148*CCSS_OBRERO)</f>
        <v/>
      </c>
      <c r="K148" s="40"/>
      <c r="L148" s="35" t="str">
        <f aca="false">IF($B148="","",$I148-$J148-N($K148))</f>
        <v/>
      </c>
      <c r="M148" s="35" t="str">
        <f aca="false">IF($B148="","",$I148*CCSS_PATRONAL)</f>
        <v/>
      </c>
      <c r="N148" s="35" t="str">
        <f aca="false">IF($B148="","",$I148*INS_RT)</f>
        <v/>
      </c>
      <c r="O148" s="35" t="str">
        <f aca="false">IF($B148="","",$I148*PROV_AGUINALDO)</f>
        <v/>
      </c>
      <c r="P148" s="35" t="str">
        <f aca="false">IF($B148="","",$I148*PROV_VACACIONES)</f>
        <v/>
      </c>
      <c r="Q148" s="35" t="str">
        <f aca="false">IF($B148="","",$I148*PROV_CESANTIA)</f>
        <v/>
      </c>
      <c r="R148" s="35" t="str">
        <f aca="false">IF($B148="","",$I148+SUM($M148:$Q148))</f>
        <v/>
      </c>
      <c r="S148" s="46" t="str">
        <f aca="false">IF(OR($A148="",$B148=""),"",DATE(YEAR($A148),MONTH($A148),1))</f>
        <v/>
      </c>
    </row>
    <row r="149" customFormat="false" ht="15" hidden="false" customHeight="false" outlineLevel="0" collapsed="false">
      <c r="A149" s="55"/>
      <c r="B149" s="6"/>
      <c r="C149" s="6"/>
      <c r="D149" s="40"/>
      <c r="E149" s="39"/>
      <c r="F149" s="35" t="str">
        <f aca="false">IF($B149="","",N($D149)/HORAS_MES*RECARGO_HE)</f>
        <v/>
      </c>
      <c r="G149" s="35" t="str">
        <f aca="false">IF($B149="","",N($E149)*$F149)</f>
        <v/>
      </c>
      <c r="H149" s="40"/>
      <c r="I149" s="35" t="str">
        <f aca="false">IF($B149="","",N($D149)+$G149+N($H149))</f>
        <v/>
      </c>
      <c r="J149" s="35" t="str">
        <f aca="false">IF($B149="","",$I149*CCSS_OBRERO)</f>
        <v/>
      </c>
      <c r="K149" s="40"/>
      <c r="L149" s="35" t="str">
        <f aca="false">IF($B149="","",$I149-$J149-N($K149))</f>
        <v/>
      </c>
      <c r="M149" s="35" t="str">
        <f aca="false">IF($B149="","",$I149*CCSS_PATRONAL)</f>
        <v/>
      </c>
      <c r="N149" s="35" t="str">
        <f aca="false">IF($B149="","",$I149*INS_RT)</f>
        <v/>
      </c>
      <c r="O149" s="35" t="str">
        <f aca="false">IF($B149="","",$I149*PROV_AGUINALDO)</f>
        <v/>
      </c>
      <c r="P149" s="35" t="str">
        <f aca="false">IF($B149="","",$I149*PROV_VACACIONES)</f>
        <v/>
      </c>
      <c r="Q149" s="35" t="str">
        <f aca="false">IF($B149="","",$I149*PROV_CESANTIA)</f>
        <v/>
      </c>
      <c r="R149" s="35" t="str">
        <f aca="false">IF($B149="","",$I149+SUM($M149:$Q149))</f>
        <v/>
      </c>
      <c r="S149" s="46" t="str">
        <f aca="false">IF(OR($A149="",$B149=""),"",DATE(YEAR($A149),MONTH($A149),1))</f>
        <v/>
      </c>
    </row>
    <row r="150" customFormat="false" ht="15" hidden="false" customHeight="false" outlineLevel="0" collapsed="false">
      <c r="A150" s="55"/>
      <c r="B150" s="6"/>
      <c r="C150" s="6"/>
      <c r="D150" s="40"/>
      <c r="E150" s="39"/>
      <c r="F150" s="35" t="str">
        <f aca="false">IF($B150="","",N($D150)/HORAS_MES*RECARGO_HE)</f>
        <v/>
      </c>
      <c r="G150" s="35" t="str">
        <f aca="false">IF($B150="","",N($E150)*$F150)</f>
        <v/>
      </c>
      <c r="H150" s="40"/>
      <c r="I150" s="35" t="str">
        <f aca="false">IF($B150="","",N($D150)+$G150+N($H150))</f>
        <v/>
      </c>
      <c r="J150" s="35" t="str">
        <f aca="false">IF($B150="","",$I150*CCSS_OBRERO)</f>
        <v/>
      </c>
      <c r="K150" s="40"/>
      <c r="L150" s="35" t="str">
        <f aca="false">IF($B150="","",$I150-$J150-N($K150))</f>
        <v/>
      </c>
      <c r="M150" s="35" t="str">
        <f aca="false">IF($B150="","",$I150*CCSS_PATRONAL)</f>
        <v/>
      </c>
      <c r="N150" s="35" t="str">
        <f aca="false">IF($B150="","",$I150*INS_RT)</f>
        <v/>
      </c>
      <c r="O150" s="35" t="str">
        <f aca="false">IF($B150="","",$I150*PROV_AGUINALDO)</f>
        <v/>
      </c>
      <c r="P150" s="35" t="str">
        <f aca="false">IF($B150="","",$I150*PROV_VACACIONES)</f>
        <v/>
      </c>
      <c r="Q150" s="35" t="str">
        <f aca="false">IF($B150="","",$I150*PROV_CESANTIA)</f>
        <v/>
      </c>
      <c r="R150" s="35" t="str">
        <f aca="false">IF($B150="","",$I150+SUM($M150:$Q150))</f>
        <v/>
      </c>
      <c r="S150" s="46" t="str">
        <f aca="false">IF(OR($A150="",$B150=""),"",DATE(YEAR($A150),MONTH($A150),1))</f>
        <v/>
      </c>
    </row>
    <row r="151" customFormat="false" ht="15" hidden="false" customHeight="false" outlineLevel="0" collapsed="false">
      <c r="A151" s="55"/>
      <c r="B151" s="6"/>
      <c r="C151" s="6"/>
      <c r="D151" s="40"/>
      <c r="E151" s="39"/>
      <c r="F151" s="35" t="str">
        <f aca="false">IF($B151="","",N($D151)/HORAS_MES*RECARGO_HE)</f>
        <v/>
      </c>
      <c r="G151" s="35" t="str">
        <f aca="false">IF($B151="","",N($E151)*$F151)</f>
        <v/>
      </c>
      <c r="H151" s="40"/>
      <c r="I151" s="35" t="str">
        <f aca="false">IF($B151="","",N($D151)+$G151+N($H151))</f>
        <v/>
      </c>
      <c r="J151" s="35" t="str">
        <f aca="false">IF($B151="","",$I151*CCSS_OBRERO)</f>
        <v/>
      </c>
      <c r="K151" s="40"/>
      <c r="L151" s="35" t="str">
        <f aca="false">IF($B151="","",$I151-$J151-N($K151))</f>
        <v/>
      </c>
      <c r="M151" s="35" t="str">
        <f aca="false">IF($B151="","",$I151*CCSS_PATRONAL)</f>
        <v/>
      </c>
      <c r="N151" s="35" t="str">
        <f aca="false">IF($B151="","",$I151*INS_RT)</f>
        <v/>
      </c>
      <c r="O151" s="35" t="str">
        <f aca="false">IF($B151="","",$I151*PROV_AGUINALDO)</f>
        <v/>
      </c>
      <c r="P151" s="35" t="str">
        <f aca="false">IF($B151="","",$I151*PROV_VACACIONES)</f>
        <v/>
      </c>
      <c r="Q151" s="35" t="str">
        <f aca="false">IF($B151="","",$I151*PROV_CESANTIA)</f>
        <v/>
      </c>
      <c r="R151" s="35" t="str">
        <f aca="false">IF($B151="","",$I151+SUM($M151:$Q151))</f>
        <v/>
      </c>
      <c r="S151" s="46" t="str">
        <f aca="false">IF(OR($A151="",$B151=""),"",DATE(YEAR($A151),MONTH($A151),1))</f>
        <v/>
      </c>
    </row>
    <row r="152" customFormat="false" ht="15" hidden="false" customHeight="false" outlineLevel="0" collapsed="false">
      <c r="A152" s="55"/>
      <c r="B152" s="6"/>
      <c r="C152" s="6"/>
      <c r="D152" s="40"/>
      <c r="E152" s="39"/>
      <c r="F152" s="35" t="str">
        <f aca="false">IF($B152="","",N($D152)/HORAS_MES*RECARGO_HE)</f>
        <v/>
      </c>
      <c r="G152" s="35" t="str">
        <f aca="false">IF($B152="","",N($E152)*$F152)</f>
        <v/>
      </c>
      <c r="H152" s="40"/>
      <c r="I152" s="35" t="str">
        <f aca="false">IF($B152="","",N($D152)+$G152+N($H152))</f>
        <v/>
      </c>
      <c r="J152" s="35" t="str">
        <f aca="false">IF($B152="","",$I152*CCSS_OBRERO)</f>
        <v/>
      </c>
      <c r="K152" s="40"/>
      <c r="L152" s="35" t="str">
        <f aca="false">IF($B152="","",$I152-$J152-N($K152))</f>
        <v/>
      </c>
      <c r="M152" s="35" t="str">
        <f aca="false">IF($B152="","",$I152*CCSS_PATRONAL)</f>
        <v/>
      </c>
      <c r="N152" s="35" t="str">
        <f aca="false">IF($B152="","",$I152*INS_RT)</f>
        <v/>
      </c>
      <c r="O152" s="35" t="str">
        <f aca="false">IF($B152="","",$I152*PROV_AGUINALDO)</f>
        <v/>
      </c>
      <c r="P152" s="35" t="str">
        <f aca="false">IF($B152="","",$I152*PROV_VACACIONES)</f>
        <v/>
      </c>
      <c r="Q152" s="35" t="str">
        <f aca="false">IF($B152="","",$I152*PROV_CESANTIA)</f>
        <v/>
      </c>
      <c r="R152" s="35" t="str">
        <f aca="false">IF($B152="","",$I152+SUM($M152:$Q152))</f>
        <v/>
      </c>
      <c r="S152" s="46" t="str">
        <f aca="false">IF(OR($A152="",$B152=""),"",DATE(YEAR($A152),MONTH($A152),1))</f>
        <v/>
      </c>
    </row>
    <row r="153" customFormat="false" ht="15" hidden="false" customHeight="false" outlineLevel="0" collapsed="false">
      <c r="A153" s="55"/>
      <c r="B153" s="6"/>
      <c r="C153" s="6"/>
      <c r="D153" s="40"/>
      <c r="E153" s="39"/>
      <c r="F153" s="35" t="str">
        <f aca="false">IF($B153="","",N($D153)/HORAS_MES*RECARGO_HE)</f>
        <v/>
      </c>
      <c r="G153" s="35" t="str">
        <f aca="false">IF($B153="","",N($E153)*$F153)</f>
        <v/>
      </c>
      <c r="H153" s="40"/>
      <c r="I153" s="35" t="str">
        <f aca="false">IF($B153="","",N($D153)+$G153+N($H153))</f>
        <v/>
      </c>
      <c r="J153" s="35" t="str">
        <f aca="false">IF($B153="","",$I153*CCSS_OBRERO)</f>
        <v/>
      </c>
      <c r="K153" s="40"/>
      <c r="L153" s="35" t="str">
        <f aca="false">IF($B153="","",$I153-$J153-N($K153))</f>
        <v/>
      </c>
      <c r="M153" s="35" t="str">
        <f aca="false">IF($B153="","",$I153*CCSS_PATRONAL)</f>
        <v/>
      </c>
      <c r="N153" s="35" t="str">
        <f aca="false">IF($B153="","",$I153*INS_RT)</f>
        <v/>
      </c>
      <c r="O153" s="35" t="str">
        <f aca="false">IF($B153="","",$I153*PROV_AGUINALDO)</f>
        <v/>
      </c>
      <c r="P153" s="35" t="str">
        <f aca="false">IF($B153="","",$I153*PROV_VACACIONES)</f>
        <v/>
      </c>
      <c r="Q153" s="35" t="str">
        <f aca="false">IF($B153="","",$I153*PROV_CESANTIA)</f>
        <v/>
      </c>
      <c r="R153" s="35" t="str">
        <f aca="false">IF($B153="","",$I153+SUM($M153:$Q153))</f>
        <v/>
      </c>
      <c r="S153" s="46" t="str">
        <f aca="false">IF(OR($A153="",$B153=""),"",DATE(YEAR($A153),MONTH($A153),1))</f>
        <v/>
      </c>
    </row>
    <row r="154" customFormat="false" ht="15" hidden="false" customHeight="false" outlineLevel="0" collapsed="false">
      <c r="A154" s="55"/>
      <c r="B154" s="6"/>
      <c r="C154" s="6"/>
      <c r="D154" s="40"/>
      <c r="E154" s="39"/>
      <c r="F154" s="35" t="str">
        <f aca="false">IF($B154="","",N($D154)/HORAS_MES*RECARGO_HE)</f>
        <v/>
      </c>
      <c r="G154" s="35" t="str">
        <f aca="false">IF($B154="","",N($E154)*$F154)</f>
        <v/>
      </c>
      <c r="H154" s="40"/>
      <c r="I154" s="35" t="str">
        <f aca="false">IF($B154="","",N($D154)+$G154+N($H154))</f>
        <v/>
      </c>
      <c r="J154" s="35" t="str">
        <f aca="false">IF($B154="","",$I154*CCSS_OBRERO)</f>
        <v/>
      </c>
      <c r="K154" s="40"/>
      <c r="L154" s="35" t="str">
        <f aca="false">IF($B154="","",$I154-$J154-N($K154))</f>
        <v/>
      </c>
      <c r="M154" s="35" t="str">
        <f aca="false">IF($B154="","",$I154*CCSS_PATRONAL)</f>
        <v/>
      </c>
      <c r="N154" s="35" t="str">
        <f aca="false">IF($B154="","",$I154*INS_RT)</f>
        <v/>
      </c>
      <c r="O154" s="35" t="str">
        <f aca="false">IF($B154="","",$I154*PROV_AGUINALDO)</f>
        <v/>
      </c>
      <c r="P154" s="35" t="str">
        <f aca="false">IF($B154="","",$I154*PROV_VACACIONES)</f>
        <v/>
      </c>
      <c r="Q154" s="35" t="str">
        <f aca="false">IF($B154="","",$I154*PROV_CESANTIA)</f>
        <v/>
      </c>
      <c r="R154" s="35" t="str">
        <f aca="false">IF($B154="","",$I154+SUM($M154:$Q154))</f>
        <v/>
      </c>
      <c r="S154" s="46" t="str">
        <f aca="false">IF(OR($A154="",$B154=""),"",DATE(YEAR($A154),MONTH($A154),1))</f>
        <v/>
      </c>
    </row>
    <row r="155" customFormat="false" ht="15" hidden="false" customHeight="false" outlineLevel="0" collapsed="false">
      <c r="A155" s="55"/>
      <c r="B155" s="6"/>
      <c r="C155" s="6"/>
      <c r="D155" s="40"/>
      <c r="E155" s="39"/>
      <c r="F155" s="35" t="str">
        <f aca="false">IF($B155="","",N($D155)/HORAS_MES*RECARGO_HE)</f>
        <v/>
      </c>
      <c r="G155" s="35" t="str">
        <f aca="false">IF($B155="","",N($E155)*$F155)</f>
        <v/>
      </c>
      <c r="H155" s="40"/>
      <c r="I155" s="35" t="str">
        <f aca="false">IF($B155="","",N($D155)+$G155+N($H155))</f>
        <v/>
      </c>
      <c r="J155" s="35" t="str">
        <f aca="false">IF($B155="","",$I155*CCSS_OBRERO)</f>
        <v/>
      </c>
      <c r="K155" s="40"/>
      <c r="L155" s="35" t="str">
        <f aca="false">IF($B155="","",$I155-$J155-N($K155))</f>
        <v/>
      </c>
      <c r="M155" s="35" t="str">
        <f aca="false">IF($B155="","",$I155*CCSS_PATRONAL)</f>
        <v/>
      </c>
      <c r="N155" s="35" t="str">
        <f aca="false">IF($B155="","",$I155*INS_RT)</f>
        <v/>
      </c>
      <c r="O155" s="35" t="str">
        <f aca="false">IF($B155="","",$I155*PROV_AGUINALDO)</f>
        <v/>
      </c>
      <c r="P155" s="35" t="str">
        <f aca="false">IF($B155="","",$I155*PROV_VACACIONES)</f>
        <v/>
      </c>
      <c r="Q155" s="35" t="str">
        <f aca="false">IF($B155="","",$I155*PROV_CESANTIA)</f>
        <v/>
      </c>
      <c r="R155" s="35" t="str">
        <f aca="false">IF($B155="","",$I155+SUM($M155:$Q155))</f>
        <v/>
      </c>
      <c r="S155" s="46" t="str">
        <f aca="false">IF(OR($A155="",$B155=""),"",DATE(YEAR($A155),MONTH($A155),1))</f>
        <v/>
      </c>
    </row>
    <row r="156" customFormat="false" ht="15" hidden="false" customHeight="false" outlineLevel="0" collapsed="false">
      <c r="A156" s="55"/>
      <c r="B156" s="6"/>
      <c r="C156" s="6"/>
      <c r="D156" s="40"/>
      <c r="E156" s="39"/>
      <c r="F156" s="35" t="str">
        <f aca="false">IF($B156="","",N($D156)/HORAS_MES*RECARGO_HE)</f>
        <v/>
      </c>
      <c r="G156" s="35" t="str">
        <f aca="false">IF($B156="","",N($E156)*$F156)</f>
        <v/>
      </c>
      <c r="H156" s="40"/>
      <c r="I156" s="35" t="str">
        <f aca="false">IF($B156="","",N($D156)+$G156+N($H156))</f>
        <v/>
      </c>
      <c r="J156" s="35" t="str">
        <f aca="false">IF($B156="","",$I156*CCSS_OBRERO)</f>
        <v/>
      </c>
      <c r="K156" s="40"/>
      <c r="L156" s="35" t="str">
        <f aca="false">IF($B156="","",$I156-$J156-N($K156))</f>
        <v/>
      </c>
      <c r="M156" s="35" t="str">
        <f aca="false">IF($B156="","",$I156*CCSS_PATRONAL)</f>
        <v/>
      </c>
      <c r="N156" s="35" t="str">
        <f aca="false">IF($B156="","",$I156*INS_RT)</f>
        <v/>
      </c>
      <c r="O156" s="35" t="str">
        <f aca="false">IF($B156="","",$I156*PROV_AGUINALDO)</f>
        <v/>
      </c>
      <c r="P156" s="35" t="str">
        <f aca="false">IF($B156="","",$I156*PROV_VACACIONES)</f>
        <v/>
      </c>
      <c r="Q156" s="35" t="str">
        <f aca="false">IF($B156="","",$I156*PROV_CESANTIA)</f>
        <v/>
      </c>
      <c r="R156" s="35" t="str">
        <f aca="false">IF($B156="","",$I156+SUM($M156:$Q156))</f>
        <v/>
      </c>
      <c r="S156" s="46" t="str">
        <f aca="false">IF(OR($A156="",$B156=""),"",DATE(YEAR($A156),MONTH($A156),1))</f>
        <v/>
      </c>
    </row>
    <row r="157" customFormat="false" ht="15" hidden="false" customHeight="false" outlineLevel="0" collapsed="false">
      <c r="A157" s="55"/>
      <c r="B157" s="6"/>
      <c r="C157" s="6"/>
      <c r="D157" s="40"/>
      <c r="E157" s="39"/>
      <c r="F157" s="35" t="str">
        <f aca="false">IF($B157="","",N($D157)/HORAS_MES*RECARGO_HE)</f>
        <v/>
      </c>
      <c r="G157" s="35" t="str">
        <f aca="false">IF($B157="","",N($E157)*$F157)</f>
        <v/>
      </c>
      <c r="H157" s="40"/>
      <c r="I157" s="35" t="str">
        <f aca="false">IF($B157="","",N($D157)+$G157+N($H157))</f>
        <v/>
      </c>
      <c r="J157" s="35" t="str">
        <f aca="false">IF($B157="","",$I157*CCSS_OBRERO)</f>
        <v/>
      </c>
      <c r="K157" s="40"/>
      <c r="L157" s="35" t="str">
        <f aca="false">IF($B157="","",$I157-$J157-N($K157))</f>
        <v/>
      </c>
      <c r="M157" s="35" t="str">
        <f aca="false">IF($B157="","",$I157*CCSS_PATRONAL)</f>
        <v/>
      </c>
      <c r="N157" s="35" t="str">
        <f aca="false">IF($B157="","",$I157*INS_RT)</f>
        <v/>
      </c>
      <c r="O157" s="35" t="str">
        <f aca="false">IF($B157="","",$I157*PROV_AGUINALDO)</f>
        <v/>
      </c>
      <c r="P157" s="35" t="str">
        <f aca="false">IF($B157="","",$I157*PROV_VACACIONES)</f>
        <v/>
      </c>
      <c r="Q157" s="35" t="str">
        <f aca="false">IF($B157="","",$I157*PROV_CESANTIA)</f>
        <v/>
      </c>
      <c r="R157" s="35" t="str">
        <f aca="false">IF($B157="","",$I157+SUM($M157:$Q157))</f>
        <v/>
      </c>
      <c r="S157" s="46" t="str">
        <f aca="false">IF(OR($A157="",$B157=""),"",DATE(YEAR($A157),MONTH($A157),1))</f>
        <v/>
      </c>
    </row>
    <row r="158" customFormat="false" ht="15" hidden="false" customHeight="false" outlineLevel="0" collapsed="false">
      <c r="A158" s="55"/>
      <c r="B158" s="6"/>
      <c r="C158" s="6"/>
      <c r="D158" s="40"/>
      <c r="E158" s="39"/>
      <c r="F158" s="35" t="str">
        <f aca="false">IF($B158="","",N($D158)/HORAS_MES*RECARGO_HE)</f>
        <v/>
      </c>
      <c r="G158" s="35" t="str">
        <f aca="false">IF($B158="","",N($E158)*$F158)</f>
        <v/>
      </c>
      <c r="H158" s="40"/>
      <c r="I158" s="35" t="str">
        <f aca="false">IF($B158="","",N($D158)+$G158+N($H158))</f>
        <v/>
      </c>
      <c r="J158" s="35" t="str">
        <f aca="false">IF($B158="","",$I158*CCSS_OBRERO)</f>
        <v/>
      </c>
      <c r="K158" s="40"/>
      <c r="L158" s="35" t="str">
        <f aca="false">IF($B158="","",$I158-$J158-N($K158))</f>
        <v/>
      </c>
      <c r="M158" s="35" t="str">
        <f aca="false">IF($B158="","",$I158*CCSS_PATRONAL)</f>
        <v/>
      </c>
      <c r="N158" s="35" t="str">
        <f aca="false">IF($B158="","",$I158*INS_RT)</f>
        <v/>
      </c>
      <c r="O158" s="35" t="str">
        <f aca="false">IF($B158="","",$I158*PROV_AGUINALDO)</f>
        <v/>
      </c>
      <c r="P158" s="35" t="str">
        <f aca="false">IF($B158="","",$I158*PROV_VACACIONES)</f>
        <v/>
      </c>
      <c r="Q158" s="35" t="str">
        <f aca="false">IF($B158="","",$I158*PROV_CESANTIA)</f>
        <v/>
      </c>
      <c r="R158" s="35" t="str">
        <f aca="false">IF($B158="","",$I158+SUM($M158:$Q158))</f>
        <v/>
      </c>
      <c r="S158" s="46" t="str">
        <f aca="false">IF(OR($A158="",$B158=""),"",DATE(YEAR($A158),MONTH($A158),1))</f>
        <v/>
      </c>
    </row>
    <row r="159" customFormat="false" ht="15" hidden="false" customHeight="false" outlineLevel="0" collapsed="false">
      <c r="A159" s="55"/>
      <c r="B159" s="6"/>
      <c r="C159" s="6"/>
      <c r="D159" s="40"/>
      <c r="E159" s="39"/>
      <c r="F159" s="35" t="str">
        <f aca="false">IF($B159="","",N($D159)/HORAS_MES*RECARGO_HE)</f>
        <v/>
      </c>
      <c r="G159" s="35" t="str">
        <f aca="false">IF($B159="","",N($E159)*$F159)</f>
        <v/>
      </c>
      <c r="H159" s="40"/>
      <c r="I159" s="35" t="str">
        <f aca="false">IF($B159="","",N($D159)+$G159+N($H159))</f>
        <v/>
      </c>
      <c r="J159" s="35" t="str">
        <f aca="false">IF($B159="","",$I159*CCSS_OBRERO)</f>
        <v/>
      </c>
      <c r="K159" s="40"/>
      <c r="L159" s="35" t="str">
        <f aca="false">IF($B159="","",$I159-$J159-N($K159))</f>
        <v/>
      </c>
      <c r="M159" s="35" t="str">
        <f aca="false">IF($B159="","",$I159*CCSS_PATRONAL)</f>
        <v/>
      </c>
      <c r="N159" s="35" t="str">
        <f aca="false">IF($B159="","",$I159*INS_RT)</f>
        <v/>
      </c>
      <c r="O159" s="35" t="str">
        <f aca="false">IF($B159="","",$I159*PROV_AGUINALDO)</f>
        <v/>
      </c>
      <c r="P159" s="35" t="str">
        <f aca="false">IF($B159="","",$I159*PROV_VACACIONES)</f>
        <v/>
      </c>
      <c r="Q159" s="35" t="str">
        <f aca="false">IF($B159="","",$I159*PROV_CESANTIA)</f>
        <v/>
      </c>
      <c r="R159" s="35" t="str">
        <f aca="false">IF($B159="","",$I159+SUM($M159:$Q159))</f>
        <v/>
      </c>
      <c r="S159" s="46" t="str">
        <f aca="false">IF(OR($A159="",$B159=""),"",DATE(YEAR($A159),MONTH($A159),1))</f>
        <v/>
      </c>
    </row>
    <row r="160" customFormat="false" ht="15" hidden="false" customHeight="false" outlineLevel="0" collapsed="false">
      <c r="A160" s="55"/>
      <c r="B160" s="6"/>
      <c r="C160" s="6"/>
      <c r="D160" s="40"/>
      <c r="E160" s="39"/>
      <c r="F160" s="35" t="str">
        <f aca="false">IF($B160="","",N($D160)/HORAS_MES*RECARGO_HE)</f>
        <v/>
      </c>
      <c r="G160" s="35" t="str">
        <f aca="false">IF($B160="","",N($E160)*$F160)</f>
        <v/>
      </c>
      <c r="H160" s="40"/>
      <c r="I160" s="35" t="str">
        <f aca="false">IF($B160="","",N($D160)+$G160+N($H160))</f>
        <v/>
      </c>
      <c r="J160" s="35" t="str">
        <f aca="false">IF($B160="","",$I160*CCSS_OBRERO)</f>
        <v/>
      </c>
      <c r="K160" s="40"/>
      <c r="L160" s="35" t="str">
        <f aca="false">IF($B160="","",$I160-$J160-N($K160))</f>
        <v/>
      </c>
      <c r="M160" s="35" t="str">
        <f aca="false">IF($B160="","",$I160*CCSS_PATRONAL)</f>
        <v/>
      </c>
      <c r="N160" s="35" t="str">
        <f aca="false">IF($B160="","",$I160*INS_RT)</f>
        <v/>
      </c>
      <c r="O160" s="35" t="str">
        <f aca="false">IF($B160="","",$I160*PROV_AGUINALDO)</f>
        <v/>
      </c>
      <c r="P160" s="35" t="str">
        <f aca="false">IF($B160="","",$I160*PROV_VACACIONES)</f>
        <v/>
      </c>
      <c r="Q160" s="35" t="str">
        <f aca="false">IF($B160="","",$I160*PROV_CESANTIA)</f>
        <v/>
      </c>
      <c r="R160" s="35" t="str">
        <f aca="false">IF($B160="","",$I160+SUM($M160:$Q160))</f>
        <v/>
      </c>
      <c r="S160" s="46" t="str">
        <f aca="false">IF(OR($A160="",$B160=""),"",DATE(YEAR($A160),MONTH($A160),1))</f>
        <v/>
      </c>
    </row>
    <row r="161" customFormat="false" ht="15" hidden="false" customHeight="false" outlineLevel="0" collapsed="false">
      <c r="A161" s="55"/>
      <c r="B161" s="6"/>
      <c r="C161" s="6"/>
      <c r="D161" s="40"/>
      <c r="E161" s="39"/>
      <c r="F161" s="35" t="str">
        <f aca="false">IF($B161="","",N($D161)/HORAS_MES*RECARGO_HE)</f>
        <v/>
      </c>
      <c r="G161" s="35" t="str">
        <f aca="false">IF($B161="","",N($E161)*$F161)</f>
        <v/>
      </c>
      <c r="H161" s="40"/>
      <c r="I161" s="35" t="str">
        <f aca="false">IF($B161="","",N($D161)+$G161+N($H161))</f>
        <v/>
      </c>
      <c r="J161" s="35" t="str">
        <f aca="false">IF($B161="","",$I161*CCSS_OBRERO)</f>
        <v/>
      </c>
      <c r="K161" s="40"/>
      <c r="L161" s="35" t="str">
        <f aca="false">IF($B161="","",$I161-$J161-N($K161))</f>
        <v/>
      </c>
      <c r="M161" s="35" t="str">
        <f aca="false">IF($B161="","",$I161*CCSS_PATRONAL)</f>
        <v/>
      </c>
      <c r="N161" s="35" t="str">
        <f aca="false">IF($B161="","",$I161*INS_RT)</f>
        <v/>
      </c>
      <c r="O161" s="35" t="str">
        <f aca="false">IF($B161="","",$I161*PROV_AGUINALDO)</f>
        <v/>
      </c>
      <c r="P161" s="35" t="str">
        <f aca="false">IF($B161="","",$I161*PROV_VACACIONES)</f>
        <v/>
      </c>
      <c r="Q161" s="35" t="str">
        <f aca="false">IF($B161="","",$I161*PROV_CESANTIA)</f>
        <v/>
      </c>
      <c r="R161" s="35" t="str">
        <f aca="false">IF($B161="","",$I161+SUM($M161:$Q161))</f>
        <v/>
      </c>
      <c r="S161" s="46" t="str">
        <f aca="false">IF(OR($A161="",$B161=""),"",DATE(YEAR($A161),MONTH($A161),1))</f>
        <v/>
      </c>
    </row>
    <row r="162" customFormat="false" ht="15" hidden="false" customHeight="false" outlineLevel="0" collapsed="false">
      <c r="A162" s="55"/>
      <c r="B162" s="6"/>
      <c r="C162" s="6"/>
      <c r="D162" s="40"/>
      <c r="E162" s="39"/>
      <c r="F162" s="35" t="str">
        <f aca="false">IF($B162="","",N($D162)/HORAS_MES*RECARGO_HE)</f>
        <v/>
      </c>
      <c r="G162" s="35" t="str">
        <f aca="false">IF($B162="","",N($E162)*$F162)</f>
        <v/>
      </c>
      <c r="H162" s="40"/>
      <c r="I162" s="35" t="str">
        <f aca="false">IF($B162="","",N($D162)+$G162+N($H162))</f>
        <v/>
      </c>
      <c r="J162" s="35" t="str">
        <f aca="false">IF($B162="","",$I162*CCSS_OBRERO)</f>
        <v/>
      </c>
      <c r="K162" s="40"/>
      <c r="L162" s="35" t="str">
        <f aca="false">IF($B162="","",$I162-$J162-N($K162))</f>
        <v/>
      </c>
      <c r="M162" s="35" t="str">
        <f aca="false">IF($B162="","",$I162*CCSS_PATRONAL)</f>
        <v/>
      </c>
      <c r="N162" s="35" t="str">
        <f aca="false">IF($B162="","",$I162*INS_RT)</f>
        <v/>
      </c>
      <c r="O162" s="35" t="str">
        <f aca="false">IF($B162="","",$I162*PROV_AGUINALDO)</f>
        <v/>
      </c>
      <c r="P162" s="35" t="str">
        <f aca="false">IF($B162="","",$I162*PROV_VACACIONES)</f>
        <v/>
      </c>
      <c r="Q162" s="35" t="str">
        <f aca="false">IF($B162="","",$I162*PROV_CESANTIA)</f>
        <v/>
      </c>
      <c r="R162" s="35" t="str">
        <f aca="false">IF($B162="","",$I162+SUM($M162:$Q162))</f>
        <v/>
      </c>
      <c r="S162" s="46" t="str">
        <f aca="false">IF(OR($A162="",$B162=""),"",DATE(YEAR($A162),MONTH($A162),1))</f>
        <v/>
      </c>
    </row>
    <row r="163" customFormat="false" ht="15" hidden="false" customHeight="false" outlineLevel="0" collapsed="false">
      <c r="A163" s="55"/>
      <c r="B163" s="6"/>
      <c r="C163" s="6"/>
      <c r="D163" s="40"/>
      <c r="E163" s="39"/>
      <c r="F163" s="35" t="str">
        <f aca="false">IF($B163="","",N($D163)/HORAS_MES*RECARGO_HE)</f>
        <v/>
      </c>
      <c r="G163" s="35" t="str">
        <f aca="false">IF($B163="","",N($E163)*$F163)</f>
        <v/>
      </c>
      <c r="H163" s="40"/>
      <c r="I163" s="35" t="str">
        <f aca="false">IF($B163="","",N($D163)+$G163+N($H163))</f>
        <v/>
      </c>
      <c r="J163" s="35" t="str">
        <f aca="false">IF($B163="","",$I163*CCSS_OBRERO)</f>
        <v/>
      </c>
      <c r="K163" s="40"/>
      <c r="L163" s="35" t="str">
        <f aca="false">IF($B163="","",$I163-$J163-N($K163))</f>
        <v/>
      </c>
      <c r="M163" s="35" t="str">
        <f aca="false">IF($B163="","",$I163*CCSS_PATRONAL)</f>
        <v/>
      </c>
      <c r="N163" s="35" t="str">
        <f aca="false">IF($B163="","",$I163*INS_RT)</f>
        <v/>
      </c>
      <c r="O163" s="35" t="str">
        <f aca="false">IF($B163="","",$I163*PROV_AGUINALDO)</f>
        <v/>
      </c>
      <c r="P163" s="35" t="str">
        <f aca="false">IF($B163="","",$I163*PROV_VACACIONES)</f>
        <v/>
      </c>
      <c r="Q163" s="35" t="str">
        <f aca="false">IF($B163="","",$I163*PROV_CESANTIA)</f>
        <v/>
      </c>
      <c r="R163" s="35" t="str">
        <f aca="false">IF($B163="","",$I163+SUM($M163:$Q163))</f>
        <v/>
      </c>
      <c r="S163" s="46" t="str">
        <f aca="false">IF(OR($A163="",$B163=""),"",DATE(YEAR($A163),MONTH($A163),1))</f>
        <v/>
      </c>
    </row>
    <row r="164" customFormat="false" ht="15" hidden="false" customHeight="false" outlineLevel="0" collapsed="false">
      <c r="A164" s="55"/>
      <c r="B164" s="6"/>
      <c r="C164" s="6"/>
      <c r="D164" s="40"/>
      <c r="E164" s="39"/>
      <c r="F164" s="35" t="str">
        <f aca="false">IF($B164="","",N($D164)/HORAS_MES*RECARGO_HE)</f>
        <v/>
      </c>
      <c r="G164" s="35" t="str">
        <f aca="false">IF($B164="","",N($E164)*$F164)</f>
        <v/>
      </c>
      <c r="H164" s="40"/>
      <c r="I164" s="35" t="str">
        <f aca="false">IF($B164="","",N($D164)+$G164+N($H164))</f>
        <v/>
      </c>
      <c r="J164" s="35" t="str">
        <f aca="false">IF($B164="","",$I164*CCSS_OBRERO)</f>
        <v/>
      </c>
      <c r="K164" s="40"/>
      <c r="L164" s="35" t="str">
        <f aca="false">IF($B164="","",$I164-$J164-N($K164))</f>
        <v/>
      </c>
      <c r="M164" s="35" t="str">
        <f aca="false">IF($B164="","",$I164*CCSS_PATRONAL)</f>
        <v/>
      </c>
      <c r="N164" s="35" t="str">
        <f aca="false">IF($B164="","",$I164*INS_RT)</f>
        <v/>
      </c>
      <c r="O164" s="35" t="str">
        <f aca="false">IF($B164="","",$I164*PROV_AGUINALDO)</f>
        <v/>
      </c>
      <c r="P164" s="35" t="str">
        <f aca="false">IF($B164="","",$I164*PROV_VACACIONES)</f>
        <v/>
      </c>
      <c r="Q164" s="35" t="str">
        <f aca="false">IF($B164="","",$I164*PROV_CESANTIA)</f>
        <v/>
      </c>
      <c r="R164" s="35" t="str">
        <f aca="false">IF($B164="","",$I164+SUM($M164:$Q164))</f>
        <v/>
      </c>
      <c r="S164" s="46" t="str">
        <f aca="false">IF(OR($A164="",$B164=""),"",DATE(YEAR($A164),MONTH($A164),1))</f>
        <v/>
      </c>
    </row>
    <row r="165" customFormat="false" ht="15" hidden="false" customHeight="false" outlineLevel="0" collapsed="false">
      <c r="A165" s="55"/>
      <c r="B165" s="6"/>
      <c r="C165" s="6"/>
      <c r="D165" s="40"/>
      <c r="E165" s="39"/>
      <c r="F165" s="35" t="str">
        <f aca="false">IF($B165="","",N($D165)/HORAS_MES*RECARGO_HE)</f>
        <v/>
      </c>
      <c r="G165" s="35" t="str">
        <f aca="false">IF($B165="","",N($E165)*$F165)</f>
        <v/>
      </c>
      <c r="H165" s="40"/>
      <c r="I165" s="35" t="str">
        <f aca="false">IF($B165="","",N($D165)+$G165+N($H165))</f>
        <v/>
      </c>
      <c r="J165" s="35" t="str">
        <f aca="false">IF($B165="","",$I165*CCSS_OBRERO)</f>
        <v/>
      </c>
      <c r="K165" s="40"/>
      <c r="L165" s="35" t="str">
        <f aca="false">IF($B165="","",$I165-$J165-N($K165))</f>
        <v/>
      </c>
      <c r="M165" s="35" t="str">
        <f aca="false">IF($B165="","",$I165*CCSS_PATRONAL)</f>
        <v/>
      </c>
      <c r="N165" s="35" t="str">
        <f aca="false">IF($B165="","",$I165*INS_RT)</f>
        <v/>
      </c>
      <c r="O165" s="35" t="str">
        <f aca="false">IF($B165="","",$I165*PROV_AGUINALDO)</f>
        <v/>
      </c>
      <c r="P165" s="35" t="str">
        <f aca="false">IF($B165="","",$I165*PROV_VACACIONES)</f>
        <v/>
      </c>
      <c r="Q165" s="35" t="str">
        <f aca="false">IF($B165="","",$I165*PROV_CESANTIA)</f>
        <v/>
      </c>
      <c r="R165" s="35" t="str">
        <f aca="false">IF($B165="","",$I165+SUM($M165:$Q165))</f>
        <v/>
      </c>
      <c r="S165" s="46" t="str">
        <f aca="false">IF(OR($A165="",$B165=""),"",DATE(YEAR($A165),MONTH($A165),1))</f>
        <v/>
      </c>
    </row>
    <row r="166" customFormat="false" ht="15" hidden="false" customHeight="false" outlineLevel="0" collapsed="false">
      <c r="A166" s="55"/>
      <c r="B166" s="6"/>
      <c r="C166" s="6"/>
      <c r="D166" s="40"/>
      <c r="E166" s="39"/>
      <c r="F166" s="35" t="str">
        <f aca="false">IF($B166="","",N($D166)/HORAS_MES*RECARGO_HE)</f>
        <v/>
      </c>
      <c r="G166" s="35" t="str">
        <f aca="false">IF($B166="","",N($E166)*$F166)</f>
        <v/>
      </c>
      <c r="H166" s="40"/>
      <c r="I166" s="35" t="str">
        <f aca="false">IF($B166="","",N($D166)+$G166+N($H166))</f>
        <v/>
      </c>
      <c r="J166" s="35" t="str">
        <f aca="false">IF($B166="","",$I166*CCSS_OBRERO)</f>
        <v/>
      </c>
      <c r="K166" s="40"/>
      <c r="L166" s="35" t="str">
        <f aca="false">IF($B166="","",$I166-$J166-N($K166))</f>
        <v/>
      </c>
      <c r="M166" s="35" t="str">
        <f aca="false">IF($B166="","",$I166*CCSS_PATRONAL)</f>
        <v/>
      </c>
      <c r="N166" s="35" t="str">
        <f aca="false">IF($B166="","",$I166*INS_RT)</f>
        <v/>
      </c>
      <c r="O166" s="35" t="str">
        <f aca="false">IF($B166="","",$I166*PROV_AGUINALDO)</f>
        <v/>
      </c>
      <c r="P166" s="35" t="str">
        <f aca="false">IF($B166="","",$I166*PROV_VACACIONES)</f>
        <v/>
      </c>
      <c r="Q166" s="35" t="str">
        <f aca="false">IF($B166="","",$I166*PROV_CESANTIA)</f>
        <v/>
      </c>
      <c r="R166" s="35" t="str">
        <f aca="false">IF($B166="","",$I166+SUM($M166:$Q166))</f>
        <v/>
      </c>
      <c r="S166" s="46" t="str">
        <f aca="false">IF(OR($A166="",$B166=""),"",DATE(YEAR($A166),MONTH($A166),1))</f>
        <v/>
      </c>
    </row>
    <row r="167" customFormat="false" ht="15" hidden="false" customHeight="false" outlineLevel="0" collapsed="false">
      <c r="A167" s="55"/>
      <c r="B167" s="6"/>
      <c r="C167" s="6"/>
      <c r="D167" s="40"/>
      <c r="E167" s="39"/>
      <c r="F167" s="35" t="str">
        <f aca="false">IF($B167="","",N($D167)/HORAS_MES*RECARGO_HE)</f>
        <v/>
      </c>
      <c r="G167" s="35" t="str">
        <f aca="false">IF($B167="","",N($E167)*$F167)</f>
        <v/>
      </c>
      <c r="H167" s="40"/>
      <c r="I167" s="35" t="str">
        <f aca="false">IF($B167="","",N($D167)+$G167+N($H167))</f>
        <v/>
      </c>
      <c r="J167" s="35" t="str">
        <f aca="false">IF($B167="","",$I167*CCSS_OBRERO)</f>
        <v/>
      </c>
      <c r="K167" s="40"/>
      <c r="L167" s="35" t="str">
        <f aca="false">IF($B167="","",$I167-$J167-N($K167))</f>
        <v/>
      </c>
      <c r="M167" s="35" t="str">
        <f aca="false">IF($B167="","",$I167*CCSS_PATRONAL)</f>
        <v/>
      </c>
      <c r="N167" s="35" t="str">
        <f aca="false">IF($B167="","",$I167*INS_RT)</f>
        <v/>
      </c>
      <c r="O167" s="35" t="str">
        <f aca="false">IF($B167="","",$I167*PROV_AGUINALDO)</f>
        <v/>
      </c>
      <c r="P167" s="35" t="str">
        <f aca="false">IF($B167="","",$I167*PROV_VACACIONES)</f>
        <v/>
      </c>
      <c r="Q167" s="35" t="str">
        <f aca="false">IF($B167="","",$I167*PROV_CESANTIA)</f>
        <v/>
      </c>
      <c r="R167" s="35" t="str">
        <f aca="false">IF($B167="","",$I167+SUM($M167:$Q167))</f>
        <v/>
      </c>
      <c r="S167" s="46" t="str">
        <f aca="false">IF(OR($A167="",$B167=""),"",DATE(YEAR($A167),MONTH($A167),1))</f>
        <v/>
      </c>
    </row>
    <row r="168" customFormat="false" ht="15" hidden="false" customHeight="false" outlineLevel="0" collapsed="false">
      <c r="A168" s="55"/>
      <c r="B168" s="6"/>
      <c r="C168" s="6"/>
      <c r="D168" s="40"/>
      <c r="E168" s="39"/>
      <c r="F168" s="35" t="str">
        <f aca="false">IF($B168="","",N($D168)/HORAS_MES*RECARGO_HE)</f>
        <v/>
      </c>
      <c r="G168" s="35" t="str">
        <f aca="false">IF($B168="","",N($E168)*$F168)</f>
        <v/>
      </c>
      <c r="H168" s="40"/>
      <c r="I168" s="35" t="str">
        <f aca="false">IF($B168="","",N($D168)+$G168+N($H168))</f>
        <v/>
      </c>
      <c r="J168" s="35" t="str">
        <f aca="false">IF($B168="","",$I168*CCSS_OBRERO)</f>
        <v/>
      </c>
      <c r="K168" s="40"/>
      <c r="L168" s="35" t="str">
        <f aca="false">IF($B168="","",$I168-$J168-N($K168))</f>
        <v/>
      </c>
      <c r="M168" s="35" t="str">
        <f aca="false">IF($B168="","",$I168*CCSS_PATRONAL)</f>
        <v/>
      </c>
      <c r="N168" s="35" t="str">
        <f aca="false">IF($B168="","",$I168*INS_RT)</f>
        <v/>
      </c>
      <c r="O168" s="35" t="str">
        <f aca="false">IF($B168="","",$I168*PROV_AGUINALDO)</f>
        <v/>
      </c>
      <c r="P168" s="35" t="str">
        <f aca="false">IF($B168="","",$I168*PROV_VACACIONES)</f>
        <v/>
      </c>
      <c r="Q168" s="35" t="str">
        <f aca="false">IF($B168="","",$I168*PROV_CESANTIA)</f>
        <v/>
      </c>
      <c r="R168" s="35" t="str">
        <f aca="false">IF($B168="","",$I168+SUM($M168:$Q168))</f>
        <v/>
      </c>
      <c r="S168" s="46" t="str">
        <f aca="false">IF(OR($A168="",$B168=""),"",DATE(YEAR($A168),MONTH($A168),1))</f>
        <v/>
      </c>
    </row>
    <row r="169" customFormat="false" ht="15" hidden="false" customHeight="false" outlineLevel="0" collapsed="false">
      <c r="A169" s="55"/>
      <c r="B169" s="6"/>
      <c r="C169" s="6"/>
      <c r="D169" s="40"/>
      <c r="E169" s="39"/>
      <c r="F169" s="35" t="str">
        <f aca="false">IF($B169="","",N($D169)/HORAS_MES*RECARGO_HE)</f>
        <v/>
      </c>
      <c r="G169" s="35" t="str">
        <f aca="false">IF($B169="","",N($E169)*$F169)</f>
        <v/>
      </c>
      <c r="H169" s="40"/>
      <c r="I169" s="35" t="str">
        <f aca="false">IF($B169="","",N($D169)+$G169+N($H169))</f>
        <v/>
      </c>
      <c r="J169" s="35" t="str">
        <f aca="false">IF($B169="","",$I169*CCSS_OBRERO)</f>
        <v/>
      </c>
      <c r="K169" s="40"/>
      <c r="L169" s="35" t="str">
        <f aca="false">IF($B169="","",$I169-$J169-N($K169))</f>
        <v/>
      </c>
      <c r="M169" s="35" t="str">
        <f aca="false">IF($B169="","",$I169*CCSS_PATRONAL)</f>
        <v/>
      </c>
      <c r="N169" s="35" t="str">
        <f aca="false">IF($B169="","",$I169*INS_RT)</f>
        <v/>
      </c>
      <c r="O169" s="35" t="str">
        <f aca="false">IF($B169="","",$I169*PROV_AGUINALDO)</f>
        <v/>
      </c>
      <c r="P169" s="35" t="str">
        <f aca="false">IF($B169="","",$I169*PROV_VACACIONES)</f>
        <v/>
      </c>
      <c r="Q169" s="35" t="str">
        <f aca="false">IF($B169="","",$I169*PROV_CESANTIA)</f>
        <v/>
      </c>
      <c r="R169" s="35" t="str">
        <f aca="false">IF($B169="","",$I169+SUM($M169:$Q169))</f>
        <v/>
      </c>
      <c r="S169" s="46" t="str">
        <f aca="false">IF(OR($A169="",$B169=""),"",DATE(YEAR($A169),MONTH($A169),1))</f>
        <v/>
      </c>
    </row>
    <row r="170" customFormat="false" ht="15" hidden="false" customHeight="false" outlineLevel="0" collapsed="false">
      <c r="A170" s="55"/>
      <c r="B170" s="6"/>
      <c r="C170" s="6"/>
      <c r="D170" s="40"/>
      <c r="E170" s="39"/>
      <c r="F170" s="35" t="str">
        <f aca="false">IF($B170="","",N($D170)/HORAS_MES*RECARGO_HE)</f>
        <v/>
      </c>
      <c r="G170" s="35" t="str">
        <f aca="false">IF($B170="","",N($E170)*$F170)</f>
        <v/>
      </c>
      <c r="H170" s="40"/>
      <c r="I170" s="35" t="str">
        <f aca="false">IF($B170="","",N($D170)+$G170+N($H170))</f>
        <v/>
      </c>
      <c r="J170" s="35" t="str">
        <f aca="false">IF($B170="","",$I170*CCSS_OBRERO)</f>
        <v/>
      </c>
      <c r="K170" s="40"/>
      <c r="L170" s="35" t="str">
        <f aca="false">IF($B170="","",$I170-$J170-N($K170))</f>
        <v/>
      </c>
      <c r="M170" s="35" t="str">
        <f aca="false">IF($B170="","",$I170*CCSS_PATRONAL)</f>
        <v/>
      </c>
      <c r="N170" s="35" t="str">
        <f aca="false">IF($B170="","",$I170*INS_RT)</f>
        <v/>
      </c>
      <c r="O170" s="35" t="str">
        <f aca="false">IF($B170="","",$I170*PROV_AGUINALDO)</f>
        <v/>
      </c>
      <c r="P170" s="35" t="str">
        <f aca="false">IF($B170="","",$I170*PROV_VACACIONES)</f>
        <v/>
      </c>
      <c r="Q170" s="35" t="str">
        <f aca="false">IF($B170="","",$I170*PROV_CESANTIA)</f>
        <v/>
      </c>
      <c r="R170" s="35" t="str">
        <f aca="false">IF($B170="","",$I170+SUM($M170:$Q170))</f>
        <v/>
      </c>
      <c r="S170" s="46" t="str">
        <f aca="false">IF(OR($A170="",$B170=""),"",DATE(YEAR($A170),MONTH($A170),1))</f>
        <v/>
      </c>
    </row>
    <row r="171" customFormat="false" ht="15" hidden="false" customHeight="false" outlineLevel="0" collapsed="false">
      <c r="A171" s="55"/>
      <c r="B171" s="6"/>
      <c r="C171" s="6"/>
      <c r="D171" s="40"/>
      <c r="E171" s="39"/>
      <c r="F171" s="35" t="str">
        <f aca="false">IF($B171="","",N($D171)/HORAS_MES*RECARGO_HE)</f>
        <v/>
      </c>
      <c r="G171" s="35" t="str">
        <f aca="false">IF($B171="","",N($E171)*$F171)</f>
        <v/>
      </c>
      <c r="H171" s="40"/>
      <c r="I171" s="35" t="str">
        <f aca="false">IF($B171="","",N($D171)+$G171+N($H171))</f>
        <v/>
      </c>
      <c r="J171" s="35" t="str">
        <f aca="false">IF($B171="","",$I171*CCSS_OBRERO)</f>
        <v/>
      </c>
      <c r="K171" s="40"/>
      <c r="L171" s="35" t="str">
        <f aca="false">IF($B171="","",$I171-$J171-N($K171))</f>
        <v/>
      </c>
      <c r="M171" s="35" t="str">
        <f aca="false">IF($B171="","",$I171*CCSS_PATRONAL)</f>
        <v/>
      </c>
      <c r="N171" s="35" t="str">
        <f aca="false">IF($B171="","",$I171*INS_RT)</f>
        <v/>
      </c>
      <c r="O171" s="35" t="str">
        <f aca="false">IF($B171="","",$I171*PROV_AGUINALDO)</f>
        <v/>
      </c>
      <c r="P171" s="35" t="str">
        <f aca="false">IF($B171="","",$I171*PROV_VACACIONES)</f>
        <v/>
      </c>
      <c r="Q171" s="35" t="str">
        <f aca="false">IF($B171="","",$I171*PROV_CESANTIA)</f>
        <v/>
      </c>
      <c r="R171" s="35" t="str">
        <f aca="false">IF($B171="","",$I171+SUM($M171:$Q171))</f>
        <v/>
      </c>
      <c r="S171" s="46" t="str">
        <f aca="false">IF(OR($A171="",$B171=""),"",DATE(YEAR($A171),MONTH($A171),1))</f>
        <v/>
      </c>
    </row>
    <row r="172" customFormat="false" ht="15" hidden="false" customHeight="false" outlineLevel="0" collapsed="false">
      <c r="A172" s="55"/>
      <c r="B172" s="6"/>
      <c r="C172" s="6"/>
      <c r="D172" s="40"/>
      <c r="E172" s="39"/>
      <c r="F172" s="35" t="str">
        <f aca="false">IF($B172="","",N($D172)/HORAS_MES*RECARGO_HE)</f>
        <v/>
      </c>
      <c r="G172" s="35" t="str">
        <f aca="false">IF($B172="","",N($E172)*$F172)</f>
        <v/>
      </c>
      <c r="H172" s="40"/>
      <c r="I172" s="35" t="str">
        <f aca="false">IF($B172="","",N($D172)+$G172+N($H172))</f>
        <v/>
      </c>
      <c r="J172" s="35" t="str">
        <f aca="false">IF($B172="","",$I172*CCSS_OBRERO)</f>
        <v/>
      </c>
      <c r="K172" s="40"/>
      <c r="L172" s="35" t="str">
        <f aca="false">IF($B172="","",$I172-$J172-N($K172))</f>
        <v/>
      </c>
      <c r="M172" s="35" t="str">
        <f aca="false">IF($B172="","",$I172*CCSS_PATRONAL)</f>
        <v/>
      </c>
      <c r="N172" s="35" t="str">
        <f aca="false">IF($B172="","",$I172*INS_RT)</f>
        <v/>
      </c>
      <c r="O172" s="35" t="str">
        <f aca="false">IF($B172="","",$I172*PROV_AGUINALDO)</f>
        <v/>
      </c>
      <c r="P172" s="35" t="str">
        <f aca="false">IF($B172="","",$I172*PROV_VACACIONES)</f>
        <v/>
      </c>
      <c r="Q172" s="35" t="str">
        <f aca="false">IF($B172="","",$I172*PROV_CESANTIA)</f>
        <v/>
      </c>
      <c r="R172" s="35" t="str">
        <f aca="false">IF($B172="","",$I172+SUM($M172:$Q172))</f>
        <v/>
      </c>
      <c r="S172" s="46" t="str">
        <f aca="false">IF(OR($A172="",$B172=""),"",DATE(YEAR($A172),MONTH($A172),1))</f>
        <v/>
      </c>
    </row>
    <row r="173" customFormat="false" ht="15" hidden="false" customHeight="false" outlineLevel="0" collapsed="false">
      <c r="A173" s="55"/>
      <c r="B173" s="6"/>
      <c r="C173" s="6"/>
      <c r="D173" s="40"/>
      <c r="E173" s="39"/>
      <c r="F173" s="35" t="str">
        <f aca="false">IF($B173="","",N($D173)/HORAS_MES*RECARGO_HE)</f>
        <v/>
      </c>
      <c r="G173" s="35" t="str">
        <f aca="false">IF($B173="","",N($E173)*$F173)</f>
        <v/>
      </c>
      <c r="H173" s="40"/>
      <c r="I173" s="35" t="str">
        <f aca="false">IF($B173="","",N($D173)+$G173+N($H173))</f>
        <v/>
      </c>
      <c r="J173" s="35" t="str">
        <f aca="false">IF($B173="","",$I173*CCSS_OBRERO)</f>
        <v/>
      </c>
      <c r="K173" s="40"/>
      <c r="L173" s="35" t="str">
        <f aca="false">IF($B173="","",$I173-$J173-N($K173))</f>
        <v/>
      </c>
      <c r="M173" s="35" t="str">
        <f aca="false">IF($B173="","",$I173*CCSS_PATRONAL)</f>
        <v/>
      </c>
      <c r="N173" s="35" t="str">
        <f aca="false">IF($B173="","",$I173*INS_RT)</f>
        <v/>
      </c>
      <c r="O173" s="35" t="str">
        <f aca="false">IF($B173="","",$I173*PROV_AGUINALDO)</f>
        <v/>
      </c>
      <c r="P173" s="35" t="str">
        <f aca="false">IF($B173="","",$I173*PROV_VACACIONES)</f>
        <v/>
      </c>
      <c r="Q173" s="35" t="str">
        <f aca="false">IF($B173="","",$I173*PROV_CESANTIA)</f>
        <v/>
      </c>
      <c r="R173" s="35" t="str">
        <f aca="false">IF($B173="","",$I173+SUM($M173:$Q173))</f>
        <v/>
      </c>
      <c r="S173" s="46" t="str">
        <f aca="false">IF(OR($A173="",$B173=""),"",DATE(YEAR($A173),MONTH($A173),1))</f>
        <v/>
      </c>
    </row>
    <row r="174" customFormat="false" ht="15" hidden="false" customHeight="false" outlineLevel="0" collapsed="false">
      <c r="A174" s="55"/>
      <c r="B174" s="6"/>
      <c r="C174" s="6"/>
      <c r="D174" s="40"/>
      <c r="E174" s="39"/>
      <c r="F174" s="35" t="str">
        <f aca="false">IF($B174="","",N($D174)/HORAS_MES*RECARGO_HE)</f>
        <v/>
      </c>
      <c r="G174" s="35" t="str">
        <f aca="false">IF($B174="","",N($E174)*$F174)</f>
        <v/>
      </c>
      <c r="H174" s="40"/>
      <c r="I174" s="35" t="str">
        <f aca="false">IF($B174="","",N($D174)+$G174+N($H174))</f>
        <v/>
      </c>
      <c r="J174" s="35" t="str">
        <f aca="false">IF($B174="","",$I174*CCSS_OBRERO)</f>
        <v/>
      </c>
      <c r="K174" s="40"/>
      <c r="L174" s="35" t="str">
        <f aca="false">IF($B174="","",$I174-$J174-N($K174))</f>
        <v/>
      </c>
      <c r="M174" s="35" t="str">
        <f aca="false">IF($B174="","",$I174*CCSS_PATRONAL)</f>
        <v/>
      </c>
      <c r="N174" s="35" t="str">
        <f aca="false">IF($B174="","",$I174*INS_RT)</f>
        <v/>
      </c>
      <c r="O174" s="35" t="str">
        <f aca="false">IF($B174="","",$I174*PROV_AGUINALDO)</f>
        <v/>
      </c>
      <c r="P174" s="35" t="str">
        <f aca="false">IF($B174="","",$I174*PROV_VACACIONES)</f>
        <v/>
      </c>
      <c r="Q174" s="35" t="str">
        <f aca="false">IF($B174="","",$I174*PROV_CESANTIA)</f>
        <v/>
      </c>
      <c r="R174" s="35" t="str">
        <f aca="false">IF($B174="","",$I174+SUM($M174:$Q174))</f>
        <v/>
      </c>
      <c r="S174" s="46" t="str">
        <f aca="false">IF(OR($A174="",$B174=""),"",DATE(YEAR($A174),MONTH($A174),1))</f>
        <v/>
      </c>
    </row>
    <row r="175" customFormat="false" ht="15" hidden="false" customHeight="false" outlineLevel="0" collapsed="false">
      <c r="A175" s="55"/>
      <c r="B175" s="6"/>
      <c r="C175" s="6"/>
      <c r="D175" s="40"/>
      <c r="E175" s="39"/>
      <c r="F175" s="35" t="str">
        <f aca="false">IF($B175="","",N($D175)/HORAS_MES*RECARGO_HE)</f>
        <v/>
      </c>
      <c r="G175" s="35" t="str">
        <f aca="false">IF($B175="","",N($E175)*$F175)</f>
        <v/>
      </c>
      <c r="H175" s="40"/>
      <c r="I175" s="35" t="str">
        <f aca="false">IF($B175="","",N($D175)+$G175+N($H175))</f>
        <v/>
      </c>
      <c r="J175" s="35" t="str">
        <f aca="false">IF($B175="","",$I175*CCSS_OBRERO)</f>
        <v/>
      </c>
      <c r="K175" s="40"/>
      <c r="L175" s="35" t="str">
        <f aca="false">IF($B175="","",$I175-$J175-N($K175))</f>
        <v/>
      </c>
      <c r="M175" s="35" t="str">
        <f aca="false">IF($B175="","",$I175*CCSS_PATRONAL)</f>
        <v/>
      </c>
      <c r="N175" s="35" t="str">
        <f aca="false">IF($B175="","",$I175*INS_RT)</f>
        <v/>
      </c>
      <c r="O175" s="35" t="str">
        <f aca="false">IF($B175="","",$I175*PROV_AGUINALDO)</f>
        <v/>
      </c>
      <c r="P175" s="35" t="str">
        <f aca="false">IF($B175="","",$I175*PROV_VACACIONES)</f>
        <v/>
      </c>
      <c r="Q175" s="35" t="str">
        <f aca="false">IF($B175="","",$I175*PROV_CESANTIA)</f>
        <v/>
      </c>
      <c r="R175" s="35" t="str">
        <f aca="false">IF($B175="","",$I175+SUM($M175:$Q175))</f>
        <v/>
      </c>
      <c r="S175" s="46" t="str">
        <f aca="false">IF(OR($A175="",$B175=""),"",DATE(YEAR($A175),MONTH($A175),1))</f>
        <v/>
      </c>
    </row>
    <row r="176" customFormat="false" ht="15" hidden="false" customHeight="false" outlineLevel="0" collapsed="false">
      <c r="A176" s="55"/>
      <c r="B176" s="6"/>
      <c r="C176" s="6"/>
      <c r="D176" s="40"/>
      <c r="E176" s="39"/>
      <c r="F176" s="35" t="str">
        <f aca="false">IF($B176="","",N($D176)/HORAS_MES*RECARGO_HE)</f>
        <v/>
      </c>
      <c r="G176" s="35" t="str">
        <f aca="false">IF($B176="","",N($E176)*$F176)</f>
        <v/>
      </c>
      <c r="H176" s="40"/>
      <c r="I176" s="35" t="str">
        <f aca="false">IF($B176="","",N($D176)+$G176+N($H176))</f>
        <v/>
      </c>
      <c r="J176" s="35" t="str">
        <f aca="false">IF($B176="","",$I176*CCSS_OBRERO)</f>
        <v/>
      </c>
      <c r="K176" s="40"/>
      <c r="L176" s="35" t="str">
        <f aca="false">IF($B176="","",$I176-$J176-N($K176))</f>
        <v/>
      </c>
      <c r="M176" s="35" t="str">
        <f aca="false">IF($B176="","",$I176*CCSS_PATRONAL)</f>
        <v/>
      </c>
      <c r="N176" s="35" t="str">
        <f aca="false">IF($B176="","",$I176*INS_RT)</f>
        <v/>
      </c>
      <c r="O176" s="35" t="str">
        <f aca="false">IF($B176="","",$I176*PROV_AGUINALDO)</f>
        <v/>
      </c>
      <c r="P176" s="35" t="str">
        <f aca="false">IF($B176="","",$I176*PROV_VACACIONES)</f>
        <v/>
      </c>
      <c r="Q176" s="35" t="str">
        <f aca="false">IF($B176="","",$I176*PROV_CESANTIA)</f>
        <v/>
      </c>
      <c r="R176" s="35" t="str">
        <f aca="false">IF($B176="","",$I176+SUM($M176:$Q176))</f>
        <v/>
      </c>
      <c r="S176" s="46" t="str">
        <f aca="false">IF(OR($A176="",$B176=""),"",DATE(YEAR($A176),MONTH($A176),1))</f>
        <v/>
      </c>
    </row>
    <row r="177" customFormat="false" ht="15" hidden="false" customHeight="false" outlineLevel="0" collapsed="false">
      <c r="A177" s="55"/>
      <c r="B177" s="6"/>
      <c r="C177" s="6"/>
      <c r="D177" s="40"/>
      <c r="E177" s="39"/>
      <c r="F177" s="35" t="str">
        <f aca="false">IF($B177="","",N($D177)/HORAS_MES*RECARGO_HE)</f>
        <v/>
      </c>
      <c r="G177" s="35" t="str">
        <f aca="false">IF($B177="","",N($E177)*$F177)</f>
        <v/>
      </c>
      <c r="H177" s="40"/>
      <c r="I177" s="35" t="str">
        <f aca="false">IF($B177="","",N($D177)+$G177+N($H177))</f>
        <v/>
      </c>
      <c r="J177" s="35" t="str">
        <f aca="false">IF($B177="","",$I177*CCSS_OBRERO)</f>
        <v/>
      </c>
      <c r="K177" s="40"/>
      <c r="L177" s="35" t="str">
        <f aca="false">IF($B177="","",$I177-$J177-N($K177))</f>
        <v/>
      </c>
      <c r="M177" s="35" t="str">
        <f aca="false">IF($B177="","",$I177*CCSS_PATRONAL)</f>
        <v/>
      </c>
      <c r="N177" s="35" t="str">
        <f aca="false">IF($B177="","",$I177*INS_RT)</f>
        <v/>
      </c>
      <c r="O177" s="35" t="str">
        <f aca="false">IF($B177="","",$I177*PROV_AGUINALDO)</f>
        <v/>
      </c>
      <c r="P177" s="35" t="str">
        <f aca="false">IF($B177="","",$I177*PROV_VACACIONES)</f>
        <v/>
      </c>
      <c r="Q177" s="35" t="str">
        <f aca="false">IF($B177="","",$I177*PROV_CESANTIA)</f>
        <v/>
      </c>
      <c r="R177" s="35" t="str">
        <f aca="false">IF($B177="","",$I177+SUM($M177:$Q177))</f>
        <v/>
      </c>
      <c r="S177" s="46" t="str">
        <f aca="false">IF(OR($A177="",$B177=""),"",DATE(YEAR($A177),MONTH($A177),1))</f>
        <v/>
      </c>
    </row>
    <row r="178" customFormat="false" ht="15" hidden="false" customHeight="false" outlineLevel="0" collapsed="false">
      <c r="A178" s="55"/>
      <c r="B178" s="6"/>
      <c r="C178" s="6"/>
      <c r="D178" s="40"/>
      <c r="E178" s="39"/>
      <c r="F178" s="35" t="str">
        <f aca="false">IF($B178="","",N($D178)/HORAS_MES*RECARGO_HE)</f>
        <v/>
      </c>
      <c r="G178" s="35" t="str">
        <f aca="false">IF($B178="","",N($E178)*$F178)</f>
        <v/>
      </c>
      <c r="H178" s="40"/>
      <c r="I178" s="35" t="str">
        <f aca="false">IF($B178="","",N($D178)+$G178+N($H178))</f>
        <v/>
      </c>
      <c r="J178" s="35" t="str">
        <f aca="false">IF($B178="","",$I178*CCSS_OBRERO)</f>
        <v/>
      </c>
      <c r="K178" s="40"/>
      <c r="L178" s="35" t="str">
        <f aca="false">IF($B178="","",$I178-$J178-N($K178))</f>
        <v/>
      </c>
      <c r="M178" s="35" t="str">
        <f aca="false">IF($B178="","",$I178*CCSS_PATRONAL)</f>
        <v/>
      </c>
      <c r="N178" s="35" t="str">
        <f aca="false">IF($B178="","",$I178*INS_RT)</f>
        <v/>
      </c>
      <c r="O178" s="35" t="str">
        <f aca="false">IF($B178="","",$I178*PROV_AGUINALDO)</f>
        <v/>
      </c>
      <c r="P178" s="35" t="str">
        <f aca="false">IF($B178="","",$I178*PROV_VACACIONES)</f>
        <v/>
      </c>
      <c r="Q178" s="35" t="str">
        <f aca="false">IF($B178="","",$I178*PROV_CESANTIA)</f>
        <v/>
      </c>
      <c r="R178" s="35" t="str">
        <f aca="false">IF($B178="","",$I178+SUM($M178:$Q178))</f>
        <v/>
      </c>
      <c r="S178" s="46" t="str">
        <f aca="false">IF(OR($A178="",$B178=""),"",DATE(YEAR($A178),MONTH($A178),1))</f>
        <v/>
      </c>
    </row>
    <row r="179" customFormat="false" ht="15" hidden="false" customHeight="false" outlineLevel="0" collapsed="false">
      <c r="A179" s="55"/>
      <c r="B179" s="6"/>
      <c r="C179" s="6"/>
      <c r="D179" s="40"/>
      <c r="E179" s="39"/>
      <c r="F179" s="35" t="str">
        <f aca="false">IF($B179="","",N($D179)/HORAS_MES*RECARGO_HE)</f>
        <v/>
      </c>
      <c r="G179" s="35" t="str">
        <f aca="false">IF($B179="","",N($E179)*$F179)</f>
        <v/>
      </c>
      <c r="H179" s="40"/>
      <c r="I179" s="35" t="str">
        <f aca="false">IF($B179="","",N($D179)+$G179+N($H179))</f>
        <v/>
      </c>
      <c r="J179" s="35" t="str">
        <f aca="false">IF($B179="","",$I179*CCSS_OBRERO)</f>
        <v/>
      </c>
      <c r="K179" s="40"/>
      <c r="L179" s="35" t="str">
        <f aca="false">IF($B179="","",$I179-$J179-N($K179))</f>
        <v/>
      </c>
      <c r="M179" s="35" t="str">
        <f aca="false">IF($B179="","",$I179*CCSS_PATRONAL)</f>
        <v/>
      </c>
      <c r="N179" s="35" t="str">
        <f aca="false">IF($B179="","",$I179*INS_RT)</f>
        <v/>
      </c>
      <c r="O179" s="35" t="str">
        <f aca="false">IF($B179="","",$I179*PROV_AGUINALDO)</f>
        <v/>
      </c>
      <c r="P179" s="35" t="str">
        <f aca="false">IF($B179="","",$I179*PROV_VACACIONES)</f>
        <v/>
      </c>
      <c r="Q179" s="35" t="str">
        <f aca="false">IF($B179="","",$I179*PROV_CESANTIA)</f>
        <v/>
      </c>
      <c r="R179" s="35" t="str">
        <f aca="false">IF($B179="","",$I179+SUM($M179:$Q179))</f>
        <v/>
      </c>
      <c r="S179" s="46" t="str">
        <f aca="false">IF(OR($A179="",$B179=""),"",DATE(YEAR($A179),MONTH($A179),1))</f>
        <v/>
      </c>
    </row>
    <row r="180" customFormat="false" ht="15" hidden="false" customHeight="false" outlineLevel="0" collapsed="false">
      <c r="A180" s="55"/>
      <c r="B180" s="6"/>
      <c r="C180" s="6"/>
      <c r="D180" s="40"/>
      <c r="E180" s="39"/>
      <c r="F180" s="35" t="str">
        <f aca="false">IF($B180="","",N($D180)/HORAS_MES*RECARGO_HE)</f>
        <v/>
      </c>
      <c r="G180" s="35" t="str">
        <f aca="false">IF($B180="","",N($E180)*$F180)</f>
        <v/>
      </c>
      <c r="H180" s="40"/>
      <c r="I180" s="35" t="str">
        <f aca="false">IF($B180="","",N($D180)+$G180+N($H180))</f>
        <v/>
      </c>
      <c r="J180" s="35" t="str">
        <f aca="false">IF($B180="","",$I180*CCSS_OBRERO)</f>
        <v/>
      </c>
      <c r="K180" s="40"/>
      <c r="L180" s="35" t="str">
        <f aca="false">IF($B180="","",$I180-$J180-N($K180))</f>
        <v/>
      </c>
      <c r="M180" s="35" t="str">
        <f aca="false">IF($B180="","",$I180*CCSS_PATRONAL)</f>
        <v/>
      </c>
      <c r="N180" s="35" t="str">
        <f aca="false">IF($B180="","",$I180*INS_RT)</f>
        <v/>
      </c>
      <c r="O180" s="35" t="str">
        <f aca="false">IF($B180="","",$I180*PROV_AGUINALDO)</f>
        <v/>
      </c>
      <c r="P180" s="35" t="str">
        <f aca="false">IF($B180="","",$I180*PROV_VACACIONES)</f>
        <v/>
      </c>
      <c r="Q180" s="35" t="str">
        <f aca="false">IF($B180="","",$I180*PROV_CESANTIA)</f>
        <v/>
      </c>
      <c r="R180" s="35" t="str">
        <f aca="false">IF($B180="","",$I180+SUM($M180:$Q180))</f>
        <v/>
      </c>
      <c r="S180" s="46" t="str">
        <f aca="false">IF(OR($A180="",$B180=""),"",DATE(YEAR($A180),MONTH($A180),1))</f>
        <v/>
      </c>
    </row>
    <row r="181" customFormat="false" ht="15" hidden="false" customHeight="false" outlineLevel="0" collapsed="false">
      <c r="A181" s="55"/>
      <c r="B181" s="6"/>
      <c r="C181" s="6"/>
      <c r="D181" s="40"/>
      <c r="E181" s="39"/>
      <c r="F181" s="35" t="str">
        <f aca="false">IF($B181="","",N($D181)/HORAS_MES*RECARGO_HE)</f>
        <v/>
      </c>
      <c r="G181" s="35" t="str">
        <f aca="false">IF($B181="","",N($E181)*$F181)</f>
        <v/>
      </c>
      <c r="H181" s="40"/>
      <c r="I181" s="35" t="str">
        <f aca="false">IF($B181="","",N($D181)+$G181+N($H181))</f>
        <v/>
      </c>
      <c r="J181" s="35" t="str">
        <f aca="false">IF($B181="","",$I181*CCSS_OBRERO)</f>
        <v/>
      </c>
      <c r="K181" s="40"/>
      <c r="L181" s="35" t="str">
        <f aca="false">IF($B181="","",$I181-$J181-N($K181))</f>
        <v/>
      </c>
      <c r="M181" s="35" t="str">
        <f aca="false">IF($B181="","",$I181*CCSS_PATRONAL)</f>
        <v/>
      </c>
      <c r="N181" s="35" t="str">
        <f aca="false">IF($B181="","",$I181*INS_RT)</f>
        <v/>
      </c>
      <c r="O181" s="35" t="str">
        <f aca="false">IF($B181="","",$I181*PROV_AGUINALDO)</f>
        <v/>
      </c>
      <c r="P181" s="35" t="str">
        <f aca="false">IF($B181="","",$I181*PROV_VACACIONES)</f>
        <v/>
      </c>
      <c r="Q181" s="35" t="str">
        <f aca="false">IF($B181="","",$I181*PROV_CESANTIA)</f>
        <v/>
      </c>
      <c r="R181" s="35" t="str">
        <f aca="false">IF($B181="","",$I181+SUM($M181:$Q181))</f>
        <v/>
      </c>
      <c r="S181" s="46" t="str">
        <f aca="false">IF(OR($A181="",$B181=""),"",DATE(YEAR($A181),MONTH($A181),1))</f>
        <v/>
      </c>
    </row>
    <row r="182" customFormat="false" ht="15" hidden="false" customHeight="false" outlineLevel="0" collapsed="false">
      <c r="A182" s="55"/>
      <c r="B182" s="6"/>
      <c r="C182" s="6"/>
      <c r="D182" s="40"/>
      <c r="E182" s="39"/>
      <c r="F182" s="35" t="str">
        <f aca="false">IF($B182="","",N($D182)/HORAS_MES*RECARGO_HE)</f>
        <v/>
      </c>
      <c r="G182" s="35" t="str">
        <f aca="false">IF($B182="","",N($E182)*$F182)</f>
        <v/>
      </c>
      <c r="H182" s="40"/>
      <c r="I182" s="35" t="str">
        <f aca="false">IF($B182="","",N($D182)+$G182+N($H182))</f>
        <v/>
      </c>
      <c r="J182" s="35" t="str">
        <f aca="false">IF($B182="","",$I182*CCSS_OBRERO)</f>
        <v/>
      </c>
      <c r="K182" s="40"/>
      <c r="L182" s="35" t="str">
        <f aca="false">IF($B182="","",$I182-$J182-N($K182))</f>
        <v/>
      </c>
      <c r="M182" s="35" t="str">
        <f aca="false">IF($B182="","",$I182*CCSS_PATRONAL)</f>
        <v/>
      </c>
      <c r="N182" s="35" t="str">
        <f aca="false">IF($B182="","",$I182*INS_RT)</f>
        <v/>
      </c>
      <c r="O182" s="35" t="str">
        <f aca="false">IF($B182="","",$I182*PROV_AGUINALDO)</f>
        <v/>
      </c>
      <c r="P182" s="35" t="str">
        <f aca="false">IF($B182="","",$I182*PROV_VACACIONES)</f>
        <v/>
      </c>
      <c r="Q182" s="35" t="str">
        <f aca="false">IF($B182="","",$I182*PROV_CESANTIA)</f>
        <v/>
      </c>
      <c r="R182" s="35" t="str">
        <f aca="false">IF($B182="","",$I182+SUM($M182:$Q182))</f>
        <v/>
      </c>
      <c r="S182" s="46" t="str">
        <f aca="false">IF(OR($A182="",$B182=""),"",DATE(YEAR($A182),MONTH($A182),1))</f>
        <v/>
      </c>
    </row>
    <row r="183" customFormat="false" ht="15" hidden="false" customHeight="false" outlineLevel="0" collapsed="false">
      <c r="A183" s="55"/>
      <c r="B183" s="6"/>
      <c r="C183" s="6"/>
      <c r="D183" s="40"/>
      <c r="E183" s="39"/>
      <c r="F183" s="35" t="str">
        <f aca="false">IF($B183="","",N($D183)/HORAS_MES*RECARGO_HE)</f>
        <v/>
      </c>
      <c r="G183" s="35" t="str">
        <f aca="false">IF($B183="","",N($E183)*$F183)</f>
        <v/>
      </c>
      <c r="H183" s="40"/>
      <c r="I183" s="35" t="str">
        <f aca="false">IF($B183="","",N($D183)+$G183+N($H183))</f>
        <v/>
      </c>
      <c r="J183" s="35" t="str">
        <f aca="false">IF($B183="","",$I183*CCSS_OBRERO)</f>
        <v/>
      </c>
      <c r="K183" s="40"/>
      <c r="L183" s="35" t="str">
        <f aca="false">IF($B183="","",$I183-$J183-N($K183))</f>
        <v/>
      </c>
      <c r="M183" s="35" t="str">
        <f aca="false">IF($B183="","",$I183*CCSS_PATRONAL)</f>
        <v/>
      </c>
      <c r="N183" s="35" t="str">
        <f aca="false">IF($B183="","",$I183*INS_RT)</f>
        <v/>
      </c>
      <c r="O183" s="35" t="str">
        <f aca="false">IF($B183="","",$I183*PROV_AGUINALDO)</f>
        <v/>
      </c>
      <c r="P183" s="35" t="str">
        <f aca="false">IF($B183="","",$I183*PROV_VACACIONES)</f>
        <v/>
      </c>
      <c r="Q183" s="35" t="str">
        <f aca="false">IF($B183="","",$I183*PROV_CESANTIA)</f>
        <v/>
      </c>
      <c r="R183" s="35" t="str">
        <f aca="false">IF($B183="","",$I183+SUM($M183:$Q183))</f>
        <v/>
      </c>
      <c r="S183" s="46" t="str">
        <f aca="false">IF(OR($A183="",$B183=""),"",DATE(YEAR($A183),MONTH($A183),1))</f>
        <v/>
      </c>
    </row>
    <row r="184" customFormat="false" ht="15" hidden="false" customHeight="false" outlineLevel="0" collapsed="false">
      <c r="A184" s="55"/>
      <c r="B184" s="6"/>
      <c r="C184" s="6"/>
      <c r="D184" s="40"/>
      <c r="E184" s="39"/>
      <c r="F184" s="35" t="str">
        <f aca="false">IF($B184="","",N($D184)/HORAS_MES*RECARGO_HE)</f>
        <v/>
      </c>
      <c r="G184" s="35" t="str">
        <f aca="false">IF($B184="","",N($E184)*$F184)</f>
        <v/>
      </c>
      <c r="H184" s="40"/>
      <c r="I184" s="35" t="str">
        <f aca="false">IF($B184="","",N($D184)+$G184+N($H184))</f>
        <v/>
      </c>
      <c r="J184" s="35" t="str">
        <f aca="false">IF($B184="","",$I184*CCSS_OBRERO)</f>
        <v/>
      </c>
      <c r="K184" s="40"/>
      <c r="L184" s="35" t="str">
        <f aca="false">IF($B184="","",$I184-$J184-N($K184))</f>
        <v/>
      </c>
      <c r="M184" s="35" t="str">
        <f aca="false">IF($B184="","",$I184*CCSS_PATRONAL)</f>
        <v/>
      </c>
      <c r="N184" s="35" t="str">
        <f aca="false">IF($B184="","",$I184*INS_RT)</f>
        <v/>
      </c>
      <c r="O184" s="35" t="str">
        <f aca="false">IF($B184="","",$I184*PROV_AGUINALDO)</f>
        <v/>
      </c>
      <c r="P184" s="35" t="str">
        <f aca="false">IF($B184="","",$I184*PROV_VACACIONES)</f>
        <v/>
      </c>
      <c r="Q184" s="35" t="str">
        <f aca="false">IF($B184="","",$I184*PROV_CESANTIA)</f>
        <v/>
      </c>
      <c r="R184" s="35" t="str">
        <f aca="false">IF($B184="","",$I184+SUM($M184:$Q184))</f>
        <v/>
      </c>
      <c r="S184" s="46" t="str">
        <f aca="false">IF(OR($A184="",$B184=""),"",DATE(YEAR($A184),MONTH($A184),1))</f>
        <v/>
      </c>
    </row>
    <row r="185" customFormat="false" ht="15" hidden="false" customHeight="false" outlineLevel="0" collapsed="false">
      <c r="A185" s="55"/>
      <c r="B185" s="6"/>
      <c r="C185" s="6"/>
      <c r="D185" s="40"/>
      <c r="E185" s="39"/>
      <c r="F185" s="35" t="str">
        <f aca="false">IF($B185="","",N($D185)/HORAS_MES*RECARGO_HE)</f>
        <v/>
      </c>
      <c r="G185" s="35" t="str">
        <f aca="false">IF($B185="","",N($E185)*$F185)</f>
        <v/>
      </c>
      <c r="H185" s="40"/>
      <c r="I185" s="35" t="str">
        <f aca="false">IF($B185="","",N($D185)+$G185+N($H185))</f>
        <v/>
      </c>
      <c r="J185" s="35" t="str">
        <f aca="false">IF($B185="","",$I185*CCSS_OBRERO)</f>
        <v/>
      </c>
      <c r="K185" s="40"/>
      <c r="L185" s="35" t="str">
        <f aca="false">IF($B185="","",$I185-$J185-N($K185))</f>
        <v/>
      </c>
      <c r="M185" s="35" t="str">
        <f aca="false">IF($B185="","",$I185*CCSS_PATRONAL)</f>
        <v/>
      </c>
      <c r="N185" s="35" t="str">
        <f aca="false">IF($B185="","",$I185*INS_RT)</f>
        <v/>
      </c>
      <c r="O185" s="35" t="str">
        <f aca="false">IF($B185="","",$I185*PROV_AGUINALDO)</f>
        <v/>
      </c>
      <c r="P185" s="35" t="str">
        <f aca="false">IF($B185="","",$I185*PROV_VACACIONES)</f>
        <v/>
      </c>
      <c r="Q185" s="35" t="str">
        <f aca="false">IF($B185="","",$I185*PROV_CESANTIA)</f>
        <v/>
      </c>
      <c r="R185" s="35" t="str">
        <f aca="false">IF($B185="","",$I185+SUM($M185:$Q185))</f>
        <v/>
      </c>
      <c r="S185" s="46" t="str">
        <f aca="false">IF(OR($A185="",$B185=""),"",DATE(YEAR($A185),MONTH($A185),1))</f>
        <v/>
      </c>
    </row>
    <row r="186" customFormat="false" ht="15" hidden="false" customHeight="false" outlineLevel="0" collapsed="false">
      <c r="A186" s="55"/>
      <c r="B186" s="6"/>
      <c r="C186" s="6"/>
      <c r="D186" s="40"/>
      <c r="E186" s="39"/>
      <c r="F186" s="35" t="str">
        <f aca="false">IF($B186="","",N($D186)/HORAS_MES*RECARGO_HE)</f>
        <v/>
      </c>
      <c r="G186" s="35" t="str">
        <f aca="false">IF($B186="","",N($E186)*$F186)</f>
        <v/>
      </c>
      <c r="H186" s="40"/>
      <c r="I186" s="35" t="str">
        <f aca="false">IF($B186="","",N($D186)+$G186+N($H186))</f>
        <v/>
      </c>
      <c r="J186" s="35" t="str">
        <f aca="false">IF($B186="","",$I186*CCSS_OBRERO)</f>
        <v/>
      </c>
      <c r="K186" s="40"/>
      <c r="L186" s="35" t="str">
        <f aca="false">IF($B186="","",$I186-$J186-N($K186))</f>
        <v/>
      </c>
      <c r="M186" s="35" t="str">
        <f aca="false">IF($B186="","",$I186*CCSS_PATRONAL)</f>
        <v/>
      </c>
      <c r="N186" s="35" t="str">
        <f aca="false">IF($B186="","",$I186*INS_RT)</f>
        <v/>
      </c>
      <c r="O186" s="35" t="str">
        <f aca="false">IF($B186="","",$I186*PROV_AGUINALDO)</f>
        <v/>
      </c>
      <c r="P186" s="35" t="str">
        <f aca="false">IF($B186="","",$I186*PROV_VACACIONES)</f>
        <v/>
      </c>
      <c r="Q186" s="35" t="str">
        <f aca="false">IF($B186="","",$I186*PROV_CESANTIA)</f>
        <v/>
      </c>
      <c r="R186" s="35" t="str">
        <f aca="false">IF($B186="","",$I186+SUM($M186:$Q186))</f>
        <v/>
      </c>
      <c r="S186" s="46" t="str">
        <f aca="false">IF(OR($A186="",$B186=""),"",DATE(YEAR($A186),MONTH($A186),1))</f>
        <v/>
      </c>
    </row>
    <row r="187" customFormat="false" ht="15" hidden="false" customHeight="false" outlineLevel="0" collapsed="false">
      <c r="A187" s="55"/>
      <c r="B187" s="6"/>
      <c r="C187" s="6"/>
      <c r="D187" s="40"/>
      <c r="E187" s="39"/>
      <c r="F187" s="35" t="str">
        <f aca="false">IF($B187="","",N($D187)/HORAS_MES*RECARGO_HE)</f>
        <v/>
      </c>
      <c r="G187" s="35" t="str">
        <f aca="false">IF($B187="","",N($E187)*$F187)</f>
        <v/>
      </c>
      <c r="H187" s="40"/>
      <c r="I187" s="35" t="str">
        <f aca="false">IF($B187="","",N($D187)+$G187+N($H187))</f>
        <v/>
      </c>
      <c r="J187" s="35" t="str">
        <f aca="false">IF($B187="","",$I187*CCSS_OBRERO)</f>
        <v/>
      </c>
      <c r="K187" s="40"/>
      <c r="L187" s="35" t="str">
        <f aca="false">IF($B187="","",$I187-$J187-N($K187))</f>
        <v/>
      </c>
      <c r="M187" s="35" t="str">
        <f aca="false">IF($B187="","",$I187*CCSS_PATRONAL)</f>
        <v/>
      </c>
      <c r="N187" s="35" t="str">
        <f aca="false">IF($B187="","",$I187*INS_RT)</f>
        <v/>
      </c>
      <c r="O187" s="35" t="str">
        <f aca="false">IF($B187="","",$I187*PROV_AGUINALDO)</f>
        <v/>
      </c>
      <c r="P187" s="35" t="str">
        <f aca="false">IF($B187="","",$I187*PROV_VACACIONES)</f>
        <v/>
      </c>
      <c r="Q187" s="35" t="str">
        <f aca="false">IF($B187="","",$I187*PROV_CESANTIA)</f>
        <v/>
      </c>
      <c r="R187" s="35" t="str">
        <f aca="false">IF($B187="","",$I187+SUM($M187:$Q187))</f>
        <v/>
      </c>
      <c r="S187" s="46" t="str">
        <f aca="false">IF(OR($A187="",$B187=""),"",DATE(YEAR($A187),MONTH($A187),1))</f>
        <v/>
      </c>
    </row>
    <row r="188" customFormat="false" ht="15" hidden="false" customHeight="false" outlineLevel="0" collapsed="false">
      <c r="A188" s="55"/>
      <c r="B188" s="6"/>
      <c r="C188" s="6"/>
      <c r="D188" s="40"/>
      <c r="E188" s="39"/>
      <c r="F188" s="35" t="str">
        <f aca="false">IF($B188="","",N($D188)/HORAS_MES*RECARGO_HE)</f>
        <v/>
      </c>
      <c r="G188" s="35" t="str">
        <f aca="false">IF($B188="","",N($E188)*$F188)</f>
        <v/>
      </c>
      <c r="H188" s="40"/>
      <c r="I188" s="35" t="str">
        <f aca="false">IF($B188="","",N($D188)+$G188+N($H188))</f>
        <v/>
      </c>
      <c r="J188" s="35" t="str">
        <f aca="false">IF($B188="","",$I188*CCSS_OBRERO)</f>
        <v/>
      </c>
      <c r="K188" s="40"/>
      <c r="L188" s="35" t="str">
        <f aca="false">IF($B188="","",$I188-$J188-N($K188))</f>
        <v/>
      </c>
      <c r="M188" s="35" t="str">
        <f aca="false">IF($B188="","",$I188*CCSS_PATRONAL)</f>
        <v/>
      </c>
      <c r="N188" s="35" t="str">
        <f aca="false">IF($B188="","",$I188*INS_RT)</f>
        <v/>
      </c>
      <c r="O188" s="35" t="str">
        <f aca="false">IF($B188="","",$I188*PROV_AGUINALDO)</f>
        <v/>
      </c>
      <c r="P188" s="35" t="str">
        <f aca="false">IF($B188="","",$I188*PROV_VACACIONES)</f>
        <v/>
      </c>
      <c r="Q188" s="35" t="str">
        <f aca="false">IF($B188="","",$I188*PROV_CESANTIA)</f>
        <v/>
      </c>
      <c r="R188" s="35" t="str">
        <f aca="false">IF($B188="","",$I188+SUM($M188:$Q188))</f>
        <v/>
      </c>
      <c r="S188" s="46" t="str">
        <f aca="false">IF(OR($A188="",$B188=""),"",DATE(YEAR($A188),MONTH($A188),1))</f>
        <v/>
      </c>
    </row>
    <row r="189" customFormat="false" ht="15" hidden="false" customHeight="false" outlineLevel="0" collapsed="false">
      <c r="A189" s="55"/>
      <c r="B189" s="6"/>
      <c r="C189" s="6"/>
      <c r="D189" s="40"/>
      <c r="E189" s="39"/>
      <c r="F189" s="35" t="str">
        <f aca="false">IF($B189="","",N($D189)/HORAS_MES*RECARGO_HE)</f>
        <v/>
      </c>
      <c r="G189" s="35" t="str">
        <f aca="false">IF($B189="","",N($E189)*$F189)</f>
        <v/>
      </c>
      <c r="H189" s="40"/>
      <c r="I189" s="35" t="str">
        <f aca="false">IF($B189="","",N($D189)+$G189+N($H189))</f>
        <v/>
      </c>
      <c r="J189" s="35" t="str">
        <f aca="false">IF($B189="","",$I189*CCSS_OBRERO)</f>
        <v/>
      </c>
      <c r="K189" s="40"/>
      <c r="L189" s="35" t="str">
        <f aca="false">IF($B189="","",$I189-$J189-N($K189))</f>
        <v/>
      </c>
      <c r="M189" s="35" t="str">
        <f aca="false">IF($B189="","",$I189*CCSS_PATRONAL)</f>
        <v/>
      </c>
      <c r="N189" s="35" t="str">
        <f aca="false">IF($B189="","",$I189*INS_RT)</f>
        <v/>
      </c>
      <c r="O189" s="35" t="str">
        <f aca="false">IF($B189="","",$I189*PROV_AGUINALDO)</f>
        <v/>
      </c>
      <c r="P189" s="35" t="str">
        <f aca="false">IF($B189="","",$I189*PROV_VACACIONES)</f>
        <v/>
      </c>
      <c r="Q189" s="35" t="str">
        <f aca="false">IF($B189="","",$I189*PROV_CESANTIA)</f>
        <v/>
      </c>
      <c r="R189" s="35" t="str">
        <f aca="false">IF($B189="","",$I189+SUM($M189:$Q189))</f>
        <v/>
      </c>
      <c r="S189" s="46" t="str">
        <f aca="false">IF(OR($A189="",$B189=""),"",DATE(YEAR($A189),MONTH($A189),1))</f>
        <v/>
      </c>
    </row>
    <row r="190" customFormat="false" ht="15" hidden="false" customHeight="false" outlineLevel="0" collapsed="false">
      <c r="A190" s="55"/>
      <c r="B190" s="6"/>
      <c r="C190" s="6"/>
      <c r="D190" s="40"/>
      <c r="E190" s="39"/>
      <c r="F190" s="35" t="str">
        <f aca="false">IF($B190="","",N($D190)/HORAS_MES*RECARGO_HE)</f>
        <v/>
      </c>
      <c r="G190" s="35" t="str">
        <f aca="false">IF($B190="","",N($E190)*$F190)</f>
        <v/>
      </c>
      <c r="H190" s="40"/>
      <c r="I190" s="35" t="str">
        <f aca="false">IF($B190="","",N($D190)+$G190+N($H190))</f>
        <v/>
      </c>
      <c r="J190" s="35" t="str">
        <f aca="false">IF($B190="","",$I190*CCSS_OBRERO)</f>
        <v/>
      </c>
      <c r="K190" s="40"/>
      <c r="L190" s="35" t="str">
        <f aca="false">IF($B190="","",$I190-$J190-N($K190))</f>
        <v/>
      </c>
      <c r="M190" s="35" t="str">
        <f aca="false">IF($B190="","",$I190*CCSS_PATRONAL)</f>
        <v/>
      </c>
      <c r="N190" s="35" t="str">
        <f aca="false">IF($B190="","",$I190*INS_RT)</f>
        <v/>
      </c>
      <c r="O190" s="35" t="str">
        <f aca="false">IF($B190="","",$I190*PROV_AGUINALDO)</f>
        <v/>
      </c>
      <c r="P190" s="35" t="str">
        <f aca="false">IF($B190="","",$I190*PROV_VACACIONES)</f>
        <v/>
      </c>
      <c r="Q190" s="35" t="str">
        <f aca="false">IF($B190="","",$I190*PROV_CESANTIA)</f>
        <v/>
      </c>
      <c r="R190" s="35" t="str">
        <f aca="false">IF($B190="","",$I190+SUM($M190:$Q190))</f>
        <v/>
      </c>
      <c r="S190" s="46" t="str">
        <f aca="false">IF(OR($A190="",$B190=""),"",DATE(YEAR($A190),MONTH($A190),1))</f>
        <v/>
      </c>
    </row>
    <row r="191" customFormat="false" ht="15" hidden="false" customHeight="false" outlineLevel="0" collapsed="false">
      <c r="A191" s="55"/>
      <c r="B191" s="6"/>
      <c r="C191" s="6"/>
      <c r="D191" s="40"/>
      <c r="E191" s="39"/>
      <c r="F191" s="35" t="str">
        <f aca="false">IF($B191="","",N($D191)/HORAS_MES*RECARGO_HE)</f>
        <v/>
      </c>
      <c r="G191" s="35" t="str">
        <f aca="false">IF($B191="","",N($E191)*$F191)</f>
        <v/>
      </c>
      <c r="H191" s="40"/>
      <c r="I191" s="35" t="str">
        <f aca="false">IF($B191="","",N($D191)+$G191+N($H191))</f>
        <v/>
      </c>
      <c r="J191" s="35" t="str">
        <f aca="false">IF($B191="","",$I191*CCSS_OBRERO)</f>
        <v/>
      </c>
      <c r="K191" s="40"/>
      <c r="L191" s="35" t="str">
        <f aca="false">IF($B191="","",$I191-$J191-N($K191))</f>
        <v/>
      </c>
      <c r="M191" s="35" t="str">
        <f aca="false">IF($B191="","",$I191*CCSS_PATRONAL)</f>
        <v/>
      </c>
      <c r="N191" s="35" t="str">
        <f aca="false">IF($B191="","",$I191*INS_RT)</f>
        <v/>
      </c>
      <c r="O191" s="35" t="str">
        <f aca="false">IF($B191="","",$I191*PROV_AGUINALDO)</f>
        <v/>
      </c>
      <c r="P191" s="35" t="str">
        <f aca="false">IF($B191="","",$I191*PROV_VACACIONES)</f>
        <v/>
      </c>
      <c r="Q191" s="35" t="str">
        <f aca="false">IF($B191="","",$I191*PROV_CESANTIA)</f>
        <v/>
      </c>
      <c r="R191" s="35" t="str">
        <f aca="false">IF($B191="","",$I191+SUM($M191:$Q191))</f>
        <v/>
      </c>
      <c r="S191" s="46" t="str">
        <f aca="false">IF(OR($A191="",$B191=""),"",DATE(YEAR($A191),MONTH($A191),1))</f>
        <v/>
      </c>
    </row>
    <row r="192" customFormat="false" ht="15" hidden="false" customHeight="false" outlineLevel="0" collapsed="false">
      <c r="A192" s="55"/>
      <c r="B192" s="6"/>
      <c r="C192" s="6"/>
      <c r="D192" s="40"/>
      <c r="E192" s="39"/>
      <c r="F192" s="35" t="str">
        <f aca="false">IF($B192="","",N($D192)/HORAS_MES*RECARGO_HE)</f>
        <v/>
      </c>
      <c r="G192" s="35" t="str">
        <f aca="false">IF($B192="","",N($E192)*$F192)</f>
        <v/>
      </c>
      <c r="H192" s="40"/>
      <c r="I192" s="35" t="str">
        <f aca="false">IF($B192="","",N($D192)+$G192+N($H192))</f>
        <v/>
      </c>
      <c r="J192" s="35" t="str">
        <f aca="false">IF($B192="","",$I192*CCSS_OBRERO)</f>
        <v/>
      </c>
      <c r="K192" s="40"/>
      <c r="L192" s="35" t="str">
        <f aca="false">IF($B192="","",$I192-$J192-N($K192))</f>
        <v/>
      </c>
      <c r="M192" s="35" t="str">
        <f aca="false">IF($B192="","",$I192*CCSS_PATRONAL)</f>
        <v/>
      </c>
      <c r="N192" s="35" t="str">
        <f aca="false">IF($B192="","",$I192*INS_RT)</f>
        <v/>
      </c>
      <c r="O192" s="35" t="str">
        <f aca="false">IF($B192="","",$I192*PROV_AGUINALDO)</f>
        <v/>
      </c>
      <c r="P192" s="35" t="str">
        <f aca="false">IF($B192="","",$I192*PROV_VACACIONES)</f>
        <v/>
      </c>
      <c r="Q192" s="35" t="str">
        <f aca="false">IF($B192="","",$I192*PROV_CESANTIA)</f>
        <v/>
      </c>
      <c r="R192" s="35" t="str">
        <f aca="false">IF($B192="","",$I192+SUM($M192:$Q192))</f>
        <v/>
      </c>
      <c r="S192" s="46" t="str">
        <f aca="false">IF(OR($A192="",$B192=""),"",DATE(YEAR($A192),MONTH($A192),1))</f>
        <v/>
      </c>
    </row>
    <row r="193" customFormat="false" ht="15" hidden="false" customHeight="false" outlineLevel="0" collapsed="false">
      <c r="A193" s="55"/>
      <c r="B193" s="6"/>
      <c r="C193" s="6"/>
      <c r="D193" s="40"/>
      <c r="E193" s="39"/>
      <c r="F193" s="35" t="str">
        <f aca="false">IF($B193="","",N($D193)/HORAS_MES*RECARGO_HE)</f>
        <v/>
      </c>
      <c r="G193" s="35" t="str">
        <f aca="false">IF($B193="","",N($E193)*$F193)</f>
        <v/>
      </c>
      <c r="H193" s="40"/>
      <c r="I193" s="35" t="str">
        <f aca="false">IF($B193="","",N($D193)+$G193+N($H193))</f>
        <v/>
      </c>
      <c r="J193" s="35" t="str">
        <f aca="false">IF($B193="","",$I193*CCSS_OBRERO)</f>
        <v/>
      </c>
      <c r="K193" s="40"/>
      <c r="L193" s="35" t="str">
        <f aca="false">IF($B193="","",$I193-$J193-N($K193))</f>
        <v/>
      </c>
      <c r="M193" s="35" t="str">
        <f aca="false">IF($B193="","",$I193*CCSS_PATRONAL)</f>
        <v/>
      </c>
      <c r="N193" s="35" t="str">
        <f aca="false">IF($B193="","",$I193*INS_RT)</f>
        <v/>
      </c>
      <c r="O193" s="35" t="str">
        <f aca="false">IF($B193="","",$I193*PROV_AGUINALDO)</f>
        <v/>
      </c>
      <c r="P193" s="35" t="str">
        <f aca="false">IF($B193="","",$I193*PROV_VACACIONES)</f>
        <v/>
      </c>
      <c r="Q193" s="35" t="str">
        <f aca="false">IF($B193="","",$I193*PROV_CESANTIA)</f>
        <v/>
      </c>
      <c r="R193" s="35" t="str">
        <f aca="false">IF($B193="","",$I193+SUM($M193:$Q193))</f>
        <v/>
      </c>
      <c r="S193" s="46" t="str">
        <f aca="false">IF(OR($A193="",$B193=""),"",DATE(YEAR($A193),MONTH($A193),1))</f>
        <v/>
      </c>
    </row>
    <row r="194" customFormat="false" ht="15" hidden="false" customHeight="false" outlineLevel="0" collapsed="false">
      <c r="A194" s="55"/>
      <c r="B194" s="6"/>
      <c r="C194" s="6"/>
      <c r="D194" s="40"/>
      <c r="E194" s="39"/>
      <c r="F194" s="35" t="str">
        <f aca="false">IF($B194="","",N($D194)/HORAS_MES*RECARGO_HE)</f>
        <v/>
      </c>
      <c r="G194" s="35" t="str">
        <f aca="false">IF($B194="","",N($E194)*$F194)</f>
        <v/>
      </c>
      <c r="H194" s="40"/>
      <c r="I194" s="35" t="str">
        <f aca="false">IF($B194="","",N($D194)+$G194+N($H194))</f>
        <v/>
      </c>
      <c r="J194" s="35" t="str">
        <f aca="false">IF($B194="","",$I194*CCSS_OBRERO)</f>
        <v/>
      </c>
      <c r="K194" s="40"/>
      <c r="L194" s="35" t="str">
        <f aca="false">IF($B194="","",$I194-$J194-N($K194))</f>
        <v/>
      </c>
      <c r="M194" s="35" t="str">
        <f aca="false">IF($B194="","",$I194*CCSS_PATRONAL)</f>
        <v/>
      </c>
      <c r="N194" s="35" t="str">
        <f aca="false">IF($B194="","",$I194*INS_RT)</f>
        <v/>
      </c>
      <c r="O194" s="35" t="str">
        <f aca="false">IF($B194="","",$I194*PROV_AGUINALDO)</f>
        <v/>
      </c>
      <c r="P194" s="35" t="str">
        <f aca="false">IF($B194="","",$I194*PROV_VACACIONES)</f>
        <v/>
      </c>
      <c r="Q194" s="35" t="str">
        <f aca="false">IF($B194="","",$I194*PROV_CESANTIA)</f>
        <v/>
      </c>
      <c r="R194" s="35" t="str">
        <f aca="false">IF($B194="","",$I194+SUM($M194:$Q194))</f>
        <v/>
      </c>
      <c r="S194" s="46" t="str">
        <f aca="false">IF(OR($A194="",$B194=""),"",DATE(YEAR($A194),MONTH($A194),1))</f>
        <v/>
      </c>
    </row>
    <row r="195" customFormat="false" ht="15" hidden="false" customHeight="false" outlineLevel="0" collapsed="false">
      <c r="A195" s="55"/>
      <c r="B195" s="6"/>
      <c r="C195" s="6"/>
      <c r="D195" s="40"/>
      <c r="E195" s="39"/>
      <c r="F195" s="35" t="str">
        <f aca="false">IF($B195="","",N($D195)/HORAS_MES*RECARGO_HE)</f>
        <v/>
      </c>
      <c r="G195" s="35" t="str">
        <f aca="false">IF($B195="","",N($E195)*$F195)</f>
        <v/>
      </c>
      <c r="H195" s="40"/>
      <c r="I195" s="35" t="str">
        <f aca="false">IF($B195="","",N($D195)+$G195+N($H195))</f>
        <v/>
      </c>
      <c r="J195" s="35" t="str">
        <f aca="false">IF($B195="","",$I195*CCSS_OBRERO)</f>
        <v/>
      </c>
      <c r="K195" s="40"/>
      <c r="L195" s="35" t="str">
        <f aca="false">IF($B195="","",$I195-$J195-N($K195))</f>
        <v/>
      </c>
      <c r="M195" s="35" t="str">
        <f aca="false">IF($B195="","",$I195*CCSS_PATRONAL)</f>
        <v/>
      </c>
      <c r="N195" s="35" t="str">
        <f aca="false">IF($B195="","",$I195*INS_RT)</f>
        <v/>
      </c>
      <c r="O195" s="35" t="str">
        <f aca="false">IF($B195="","",$I195*PROV_AGUINALDO)</f>
        <v/>
      </c>
      <c r="P195" s="35" t="str">
        <f aca="false">IF($B195="","",$I195*PROV_VACACIONES)</f>
        <v/>
      </c>
      <c r="Q195" s="35" t="str">
        <f aca="false">IF($B195="","",$I195*PROV_CESANTIA)</f>
        <v/>
      </c>
      <c r="R195" s="35" t="str">
        <f aca="false">IF($B195="","",$I195+SUM($M195:$Q195))</f>
        <v/>
      </c>
      <c r="S195" s="46" t="str">
        <f aca="false">IF(OR($A195="",$B195=""),"",DATE(YEAR($A195),MONTH($A195),1))</f>
        <v/>
      </c>
    </row>
    <row r="196" customFormat="false" ht="15" hidden="false" customHeight="false" outlineLevel="0" collapsed="false">
      <c r="A196" s="55"/>
      <c r="B196" s="6"/>
      <c r="C196" s="6"/>
      <c r="D196" s="40"/>
      <c r="E196" s="39"/>
      <c r="F196" s="35" t="str">
        <f aca="false">IF($B196="","",N($D196)/HORAS_MES*RECARGO_HE)</f>
        <v/>
      </c>
      <c r="G196" s="35" t="str">
        <f aca="false">IF($B196="","",N($E196)*$F196)</f>
        <v/>
      </c>
      <c r="H196" s="40"/>
      <c r="I196" s="35" t="str">
        <f aca="false">IF($B196="","",N($D196)+$G196+N($H196))</f>
        <v/>
      </c>
      <c r="J196" s="35" t="str">
        <f aca="false">IF($B196="","",$I196*CCSS_OBRERO)</f>
        <v/>
      </c>
      <c r="K196" s="40"/>
      <c r="L196" s="35" t="str">
        <f aca="false">IF($B196="","",$I196-$J196-N($K196))</f>
        <v/>
      </c>
      <c r="M196" s="35" t="str">
        <f aca="false">IF($B196="","",$I196*CCSS_PATRONAL)</f>
        <v/>
      </c>
      <c r="N196" s="35" t="str">
        <f aca="false">IF($B196="","",$I196*INS_RT)</f>
        <v/>
      </c>
      <c r="O196" s="35" t="str">
        <f aca="false">IF($B196="","",$I196*PROV_AGUINALDO)</f>
        <v/>
      </c>
      <c r="P196" s="35" t="str">
        <f aca="false">IF($B196="","",$I196*PROV_VACACIONES)</f>
        <v/>
      </c>
      <c r="Q196" s="35" t="str">
        <f aca="false">IF($B196="","",$I196*PROV_CESANTIA)</f>
        <v/>
      </c>
      <c r="R196" s="35" t="str">
        <f aca="false">IF($B196="","",$I196+SUM($M196:$Q196))</f>
        <v/>
      </c>
      <c r="S196" s="46" t="str">
        <f aca="false">IF(OR($A196="",$B196=""),"",DATE(YEAR($A196),MONTH($A196),1))</f>
        <v/>
      </c>
    </row>
    <row r="197" customFormat="false" ht="15" hidden="false" customHeight="false" outlineLevel="0" collapsed="false">
      <c r="A197" s="55"/>
      <c r="B197" s="6"/>
      <c r="C197" s="6"/>
      <c r="D197" s="40"/>
      <c r="E197" s="39"/>
      <c r="F197" s="35" t="str">
        <f aca="false">IF($B197="","",N($D197)/HORAS_MES*RECARGO_HE)</f>
        <v/>
      </c>
      <c r="G197" s="35" t="str">
        <f aca="false">IF($B197="","",N($E197)*$F197)</f>
        <v/>
      </c>
      <c r="H197" s="40"/>
      <c r="I197" s="35" t="str">
        <f aca="false">IF($B197="","",N($D197)+$G197+N($H197))</f>
        <v/>
      </c>
      <c r="J197" s="35" t="str">
        <f aca="false">IF($B197="","",$I197*CCSS_OBRERO)</f>
        <v/>
      </c>
      <c r="K197" s="40"/>
      <c r="L197" s="35" t="str">
        <f aca="false">IF($B197="","",$I197-$J197-N($K197))</f>
        <v/>
      </c>
      <c r="M197" s="35" t="str">
        <f aca="false">IF($B197="","",$I197*CCSS_PATRONAL)</f>
        <v/>
      </c>
      <c r="N197" s="35" t="str">
        <f aca="false">IF($B197="","",$I197*INS_RT)</f>
        <v/>
      </c>
      <c r="O197" s="35" t="str">
        <f aca="false">IF($B197="","",$I197*PROV_AGUINALDO)</f>
        <v/>
      </c>
      <c r="P197" s="35" t="str">
        <f aca="false">IF($B197="","",$I197*PROV_VACACIONES)</f>
        <v/>
      </c>
      <c r="Q197" s="35" t="str">
        <f aca="false">IF($B197="","",$I197*PROV_CESANTIA)</f>
        <v/>
      </c>
      <c r="R197" s="35" t="str">
        <f aca="false">IF($B197="","",$I197+SUM($M197:$Q197))</f>
        <v/>
      </c>
      <c r="S197" s="46" t="str">
        <f aca="false">IF(OR($A197="",$B197=""),"",DATE(YEAR($A197),MONTH($A197),1))</f>
        <v/>
      </c>
    </row>
    <row r="198" customFormat="false" ht="15" hidden="false" customHeight="false" outlineLevel="0" collapsed="false">
      <c r="A198" s="55"/>
      <c r="B198" s="6"/>
      <c r="C198" s="6"/>
      <c r="D198" s="40"/>
      <c r="E198" s="39"/>
      <c r="F198" s="35" t="str">
        <f aca="false">IF($B198="","",N($D198)/HORAS_MES*RECARGO_HE)</f>
        <v/>
      </c>
      <c r="G198" s="35" t="str">
        <f aca="false">IF($B198="","",N($E198)*$F198)</f>
        <v/>
      </c>
      <c r="H198" s="40"/>
      <c r="I198" s="35" t="str">
        <f aca="false">IF($B198="","",N($D198)+$G198+N($H198))</f>
        <v/>
      </c>
      <c r="J198" s="35" t="str">
        <f aca="false">IF($B198="","",$I198*CCSS_OBRERO)</f>
        <v/>
      </c>
      <c r="K198" s="40"/>
      <c r="L198" s="35" t="str">
        <f aca="false">IF($B198="","",$I198-$J198-N($K198))</f>
        <v/>
      </c>
      <c r="M198" s="35" t="str">
        <f aca="false">IF($B198="","",$I198*CCSS_PATRONAL)</f>
        <v/>
      </c>
      <c r="N198" s="35" t="str">
        <f aca="false">IF($B198="","",$I198*INS_RT)</f>
        <v/>
      </c>
      <c r="O198" s="35" t="str">
        <f aca="false">IF($B198="","",$I198*PROV_AGUINALDO)</f>
        <v/>
      </c>
      <c r="P198" s="35" t="str">
        <f aca="false">IF($B198="","",$I198*PROV_VACACIONES)</f>
        <v/>
      </c>
      <c r="Q198" s="35" t="str">
        <f aca="false">IF($B198="","",$I198*PROV_CESANTIA)</f>
        <v/>
      </c>
      <c r="R198" s="35" t="str">
        <f aca="false">IF($B198="","",$I198+SUM($M198:$Q198))</f>
        <v/>
      </c>
      <c r="S198" s="46" t="str">
        <f aca="false">IF(OR($A198="",$B198=""),"",DATE(YEAR($A198),MONTH($A198),1))</f>
        <v/>
      </c>
    </row>
    <row r="199" customFormat="false" ht="15" hidden="false" customHeight="false" outlineLevel="0" collapsed="false">
      <c r="A199" s="55"/>
      <c r="B199" s="6"/>
      <c r="C199" s="6"/>
      <c r="D199" s="40"/>
      <c r="E199" s="39"/>
      <c r="F199" s="35" t="str">
        <f aca="false">IF($B199="","",N($D199)/HORAS_MES*RECARGO_HE)</f>
        <v/>
      </c>
      <c r="G199" s="35" t="str">
        <f aca="false">IF($B199="","",N($E199)*$F199)</f>
        <v/>
      </c>
      <c r="H199" s="40"/>
      <c r="I199" s="35" t="str">
        <f aca="false">IF($B199="","",N($D199)+$G199+N($H199))</f>
        <v/>
      </c>
      <c r="J199" s="35" t="str">
        <f aca="false">IF($B199="","",$I199*CCSS_OBRERO)</f>
        <v/>
      </c>
      <c r="K199" s="40"/>
      <c r="L199" s="35" t="str">
        <f aca="false">IF($B199="","",$I199-$J199-N($K199))</f>
        <v/>
      </c>
      <c r="M199" s="35" t="str">
        <f aca="false">IF($B199="","",$I199*CCSS_PATRONAL)</f>
        <v/>
      </c>
      <c r="N199" s="35" t="str">
        <f aca="false">IF($B199="","",$I199*INS_RT)</f>
        <v/>
      </c>
      <c r="O199" s="35" t="str">
        <f aca="false">IF($B199="","",$I199*PROV_AGUINALDO)</f>
        <v/>
      </c>
      <c r="P199" s="35" t="str">
        <f aca="false">IF($B199="","",$I199*PROV_VACACIONES)</f>
        <v/>
      </c>
      <c r="Q199" s="35" t="str">
        <f aca="false">IF($B199="","",$I199*PROV_CESANTIA)</f>
        <v/>
      </c>
      <c r="R199" s="35" t="str">
        <f aca="false">IF($B199="","",$I199+SUM($M199:$Q199))</f>
        <v/>
      </c>
      <c r="S199" s="46" t="str">
        <f aca="false">IF(OR($A199="",$B199=""),"",DATE(YEAR($A199),MONTH($A199),1))</f>
        <v/>
      </c>
    </row>
    <row r="200" customFormat="false" ht="15" hidden="false" customHeight="false" outlineLevel="0" collapsed="false">
      <c r="A200" s="55"/>
      <c r="B200" s="6"/>
      <c r="C200" s="6"/>
      <c r="D200" s="40"/>
      <c r="E200" s="39"/>
      <c r="F200" s="35" t="str">
        <f aca="false">IF($B200="","",N($D200)/HORAS_MES*RECARGO_HE)</f>
        <v/>
      </c>
      <c r="G200" s="35" t="str">
        <f aca="false">IF($B200="","",N($E200)*$F200)</f>
        <v/>
      </c>
      <c r="H200" s="40"/>
      <c r="I200" s="35" t="str">
        <f aca="false">IF($B200="","",N($D200)+$G200+N($H200))</f>
        <v/>
      </c>
      <c r="J200" s="35" t="str">
        <f aca="false">IF($B200="","",$I200*CCSS_OBRERO)</f>
        <v/>
      </c>
      <c r="K200" s="40"/>
      <c r="L200" s="35" t="str">
        <f aca="false">IF($B200="","",$I200-$J200-N($K200))</f>
        <v/>
      </c>
      <c r="M200" s="35" t="str">
        <f aca="false">IF($B200="","",$I200*CCSS_PATRONAL)</f>
        <v/>
      </c>
      <c r="N200" s="35" t="str">
        <f aca="false">IF($B200="","",$I200*INS_RT)</f>
        <v/>
      </c>
      <c r="O200" s="35" t="str">
        <f aca="false">IF($B200="","",$I200*PROV_AGUINALDO)</f>
        <v/>
      </c>
      <c r="P200" s="35" t="str">
        <f aca="false">IF($B200="","",$I200*PROV_VACACIONES)</f>
        <v/>
      </c>
      <c r="Q200" s="35" t="str">
        <f aca="false">IF($B200="","",$I200*PROV_CESANTIA)</f>
        <v/>
      </c>
      <c r="R200" s="35" t="str">
        <f aca="false">IF($B200="","",$I200+SUM($M200:$Q200))</f>
        <v/>
      </c>
      <c r="S200" s="46" t="str">
        <f aca="false">IF(OR($A200="",$B200=""),"",DATE(YEAR($A200),MONTH($A200),1))</f>
        <v/>
      </c>
    </row>
    <row r="201" customFormat="false" ht="15" hidden="false" customHeight="false" outlineLevel="0" collapsed="false">
      <c r="A201" s="55"/>
      <c r="B201" s="6"/>
      <c r="C201" s="6"/>
      <c r="D201" s="40"/>
      <c r="E201" s="39"/>
      <c r="F201" s="35" t="str">
        <f aca="false">IF($B201="","",N($D201)/HORAS_MES*RECARGO_HE)</f>
        <v/>
      </c>
      <c r="G201" s="35" t="str">
        <f aca="false">IF($B201="","",N($E201)*$F201)</f>
        <v/>
      </c>
      <c r="H201" s="40"/>
      <c r="I201" s="35" t="str">
        <f aca="false">IF($B201="","",N($D201)+$G201+N($H201))</f>
        <v/>
      </c>
      <c r="J201" s="35" t="str">
        <f aca="false">IF($B201="","",$I201*CCSS_OBRERO)</f>
        <v/>
      </c>
      <c r="K201" s="40"/>
      <c r="L201" s="35" t="str">
        <f aca="false">IF($B201="","",$I201-$J201-N($K201))</f>
        <v/>
      </c>
      <c r="M201" s="35" t="str">
        <f aca="false">IF($B201="","",$I201*CCSS_PATRONAL)</f>
        <v/>
      </c>
      <c r="N201" s="35" t="str">
        <f aca="false">IF($B201="","",$I201*INS_RT)</f>
        <v/>
      </c>
      <c r="O201" s="35" t="str">
        <f aca="false">IF($B201="","",$I201*PROV_AGUINALDO)</f>
        <v/>
      </c>
      <c r="P201" s="35" t="str">
        <f aca="false">IF($B201="","",$I201*PROV_VACACIONES)</f>
        <v/>
      </c>
      <c r="Q201" s="35" t="str">
        <f aca="false">IF($B201="","",$I201*PROV_CESANTIA)</f>
        <v/>
      </c>
      <c r="R201" s="35" t="str">
        <f aca="false">IF($B201="","",$I201+SUM($M201:$Q201))</f>
        <v/>
      </c>
      <c r="S201" s="46" t="str">
        <f aca="false">IF(OR($A201="",$B201=""),"",DATE(YEAR($A201),MONTH($A201),1))</f>
        <v/>
      </c>
    </row>
    <row r="202" customFormat="false" ht="15" hidden="false" customHeight="false" outlineLevel="0" collapsed="false">
      <c r="A202" s="55"/>
      <c r="B202" s="6"/>
      <c r="C202" s="6"/>
      <c r="D202" s="40"/>
      <c r="E202" s="39"/>
      <c r="F202" s="35" t="str">
        <f aca="false">IF($B202="","",N($D202)/HORAS_MES*RECARGO_HE)</f>
        <v/>
      </c>
      <c r="G202" s="35" t="str">
        <f aca="false">IF($B202="","",N($E202)*$F202)</f>
        <v/>
      </c>
      <c r="H202" s="40"/>
      <c r="I202" s="35" t="str">
        <f aca="false">IF($B202="","",N($D202)+$G202+N($H202))</f>
        <v/>
      </c>
      <c r="J202" s="35" t="str">
        <f aca="false">IF($B202="","",$I202*CCSS_OBRERO)</f>
        <v/>
      </c>
      <c r="K202" s="40"/>
      <c r="L202" s="35" t="str">
        <f aca="false">IF($B202="","",$I202-$J202-N($K202))</f>
        <v/>
      </c>
      <c r="M202" s="35" t="str">
        <f aca="false">IF($B202="","",$I202*CCSS_PATRONAL)</f>
        <v/>
      </c>
      <c r="N202" s="35" t="str">
        <f aca="false">IF($B202="","",$I202*INS_RT)</f>
        <v/>
      </c>
      <c r="O202" s="35" t="str">
        <f aca="false">IF($B202="","",$I202*PROV_AGUINALDO)</f>
        <v/>
      </c>
      <c r="P202" s="35" t="str">
        <f aca="false">IF($B202="","",$I202*PROV_VACACIONES)</f>
        <v/>
      </c>
      <c r="Q202" s="35" t="str">
        <f aca="false">IF($B202="","",$I202*PROV_CESANTIA)</f>
        <v/>
      </c>
      <c r="R202" s="35" t="str">
        <f aca="false">IF($B202="","",$I202+SUM($M202:$Q202))</f>
        <v/>
      </c>
      <c r="S202" s="46" t="str">
        <f aca="false">IF(OR($A202="",$B202=""),"",DATE(YEAR($A202),MONTH($A202),1))</f>
        <v/>
      </c>
    </row>
    <row r="203" customFormat="false" ht="15" hidden="false" customHeight="false" outlineLevel="0" collapsed="false">
      <c r="A203" s="55"/>
      <c r="B203" s="6"/>
      <c r="C203" s="6"/>
      <c r="D203" s="40"/>
      <c r="E203" s="39"/>
      <c r="F203" s="35" t="str">
        <f aca="false">IF($B203="","",N($D203)/HORAS_MES*RECARGO_HE)</f>
        <v/>
      </c>
      <c r="G203" s="35" t="str">
        <f aca="false">IF($B203="","",N($E203)*$F203)</f>
        <v/>
      </c>
      <c r="H203" s="40"/>
      <c r="I203" s="35" t="str">
        <f aca="false">IF($B203="","",N($D203)+$G203+N($H203))</f>
        <v/>
      </c>
      <c r="J203" s="35" t="str">
        <f aca="false">IF($B203="","",$I203*CCSS_OBRERO)</f>
        <v/>
      </c>
      <c r="K203" s="40"/>
      <c r="L203" s="35" t="str">
        <f aca="false">IF($B203="","",$I203-$J203-N($K203))</f>
        <v/>
      </c>
      <c r="M203" s="35" t="str">
        <f aca="false">IF($B203="","",$I203*CCSS_PATRONAL)</f>
        <v/>
      </c>
      <c r="N203" s="35" t="str">
        <f aca="false">IF($B203="","",$I203*INS_RT)</f>
        <v/>
      </c>
      <c r="O203" s="35" t="str">
        <f aca="false">IF($B203="","",$I203*PROV_AGUINALDO)</f>
        <v/>
      </c>
      <c r="P203" s="35" t="str">
        <f aca="false">IF($B203="","",$I203*PROV_VACACIONES)</f>
        <v/>
      </c>
      <c r="Q203" s="35" t="str">
        <f aca="false">IF($B203="","",$I203*PROV_CESANTIA)</f>
        <v/>
      </c>
      <c r="R203" s="35" t="str">
        <f aca="false">IF($B203="","",$I203+SUM($M203:$Q203))</f>
        <v/>
      </c>
      <c r="S203" s="46" t="str">
        <f aca="false">IF(OR($A203="",$B203=""),"",DATE(YEAR($A203),MONTH($A203),1))</f>
        <v/>
      </c>
    </row>
    <row r="204" customFormat="false" ht="15" hidden="false" customHeight="false" outlineLevel="0" collapsed="false">
      <c r="A204" s="55"/>
      <c r="B204" s="6"/>
      <c r="C204" s="6"/>
      <c r="D204" s="40"/>
      <c r="E204" s="39"/>
      <c r="F204" s="35" t="str">
        <f aca="false">IF($B204="","",N($D204)/HORAS_MES*RECARGO_HE)</f>
        <v/>
      </c>
      <c r="G204" s="35" t="str">
        <f aca="false">IF($B204="","",N($E204)*$F204)</f>
        <v/>
      </c>
      <c r="H204" s="40"/>
      <c r="I204" s="35" t="str">
        <f aca="false">IF($B204="","",N($D204)+$G204+N($H204))</f>
        <v/>
      </c>
      <c r="J204" s="35" t="str">
        <f aca="false">IF($B204="","",$I204*CCSS_OBRERO)</f>
        <v/>
      </c>
      <c r="K204" s="40"/>
      <c r="L204" s="35" t="str">
        <f aca="false">IF($B204="","",$I204-$J204-N($K204))</f>
        <v/>
      </c>
      <c r="M204" s="35" t="str">
        <f aca="false">IF($B204="","",$I204*CCSS_PATRONAL)</f>
        <v/>
      </c>
      <c r="N204" s="35" t="str">
        <f aca="false">IF($B204="","",$I204*INS_RT)</f>
        <v/>
      </c>
      <c r="O204" s="35" t="str">
        <f aca="false">IF($B204="","",$I204*PROV_AGUINALDO)</f>
        <v/>
      </c>
      <c r="P204" s="35" t="str">
        <f aca="false">IF($B204="","",$I204*PROV_VACACIONES)</f>
        <v/>
      </c>
      <c r="Q204" s="35" t="str">
        <f aca="false">IF($B204="","",$I204*PROV_CESANTIA)</f>
        <v/>
      </c>
      <c r="R204" s="35" t="str">
        <f aca="false">IF($B204="","",$I204+SUM($M204:$Q204))</f>
        <v/>
      </c>
      <c r="S204" s="46" t="str">
        <f aca="false">IF(OR($A204="",$B204=""),"",DATE(YEAR($A204),MONTH($A204),1))</f>
        <v/>
      </c>
    </row>
    <row r="205" customFormat="false" ht="15" hidden="false" customHeight="false" outlineLevel="0" collapsed="false">
      <c r="A205" s="55"/>
      <c r="B205" s="6"/>
      <c r="C205" s="6"/>
      <c r="D205" s="40"/>
      <c r="E205" s="39"/>
      <c r="F205" s="35" t="str">
        <f aca="false">IF($B205="","",N($D205)/HORAS_MES*RECARGO_HE)</f>
        <v/>
      </c>
      <c r="G205" s="35" t="str">
        <f aca="false">IF($B205="","",N($E205)*$F205)</f>
        <v/>
      </c>
      <c r="H205" s="40"/>
      <c r="I205" s="35" t="str">
        <f aca="false">IF($B205="","",N($D205)+$G205+N($H205))</f>
        <v/>
      </c>
      <c r="J205" s="35" t="str">
        <f aca="false">IF($B205="","",$I205*CCSS_OBRERO)</f>
        <v/>
      </c>
      <c r="K205" s="40"/>
      <c r="L205" s="35" t="str">
        <f aca="false">IF($B205="","",$I205-$J205-N($K205))</f>
        <v/>
      </c>
      <c r="M205" s="35" t="str">
        <f aca="false">IF($B205="","",$I205*CCSS_PATRONAL)</f>
        <v/>
      </c>
      <c r="N205" s="35" t="str">
        <f aca="false">IF($B205="","",$I205*INS_RT)</f>
        <v/>
      </c>
      <c r="O205" s="35" t="str">
        <f aca="false">IF($B205="","",$I205*PROV_AGUINALDO)</f>
        <v/>
      </c>
      <c r="P205" s="35" t="str">
        <f aca="false">IF($B205="","",$I205*PROV_VACACIONES)</f>
        <v/>
      </c>
      <c r="Q205" s="35" t="str">
        <f aca="false">IF($B205="","",$I205*PROV_CESANTIA)</f>
        <v/>
      </c>
      <c r="R205" s="35" t="str">
        <f aca="false">IF($B205="","",$I205+SUM($M205:$Q205))</f>
        <v/>
      </c>
      <c r="S205" s="46" t="str">
        <f aca="false">IF(OR($A205="",$B205=""),"",DATE(YEAR($A205),MONTH($A205),1))</f>
        <v/>
      </c>
    </row>
    <row r="206" customFormat="false" ht="15" hidden="false" customHeight="false" outlineLevel="0" collapsed="false">
      <c r="A206" s="55"/>
      <c r="B206" s="6"/>
      <c r="C206" s="6"/>
      <c r="D206" s="40"/>
      <c r="E206" s="39"/>
      <c r="F206" s="35" t="str">
        <f aca="false">IF($B206="","",N($D206)/HORAS_MES*RECARGO_HE)</f>
        <v/>
      </c>
      <c r="G206" s="35" t="str">
        <f aca="false">IF($B206="","",N($E206)*$F206)</f>
        <v/>
      </c>
      <c r="H206" s="40"/>
      <c r="I206" s="35" t="str">
        <f aca="false">IF($B206="","",N($D206)+$G206+N($H206))</f>
        <v/>
      </c>
      <c r="J206" s="35" t="str">
        <f aca="false">IF($B206="","",$I206*CCSS_OBRERO)</f>
        <v/>
      </c>
      <c r="K206" s="40"/>
      <c r="L206" s="35" t="str">
        <f aca="false">IF($B206="","",$I206-$J206-N($K206))</f>
        <v/>
      </c>
      <c r="M206" s="35" t="str">
        <f aca="false">IF($B206="","",$I206*CCSS_PATRONAL)</f>
        <v/>
      </c>
      <c r="N206" s="35" t="str">
        <f aca="false">IF($B206="","",$I206*INS_RT)</f>
        <v/>
      </c>
      <c r="O206" s="35" t="str">
        <f aca="false">IF($B206="","",$I206*PROV_AGUINALDO)</f>
        <v/>
      </c>
      <c r="P206" s="35" t="str">
        <f aca="false">IF($B206="","",$I206*PROV_VACACIONES)</f>
        <v/>
      </c>
      <c r="Q206" s="35" t="str">
        <f aca="false">IF($B206="","",$I206*PROV_CESANTIA)</f>
        <v/>
      </c>
      <c r="R206" s="35" t="str">
        <f aca="false">IF($B206="","",$I206+SUM($M206:$Q206))</f>
        <v/>
      </c>
      <c r="S206" s="46" t="str">
        <f aca="false">IF(OR($A206="",$B206=""),"",DATE(YEAR($A206),MONTH($A206),1))</f>
        <v/>
      </c>
    </row>
    <row r="207" customFormat="false" ht="15" hidden="false" customHeight="false" outlineLevel="0" collapsed="false">
      <c r="A207" s="55"/>
      <c r="B207" s="6"/>
      <c r="C207" s="6"/>
      <c r="D207" s="40"/>
      <c r="E207" s="39"/>
      <c r="F207" s="35" t="str">
        <f aca="false">IF($B207="","",N($D207)/HORAS_MES*RECARGO_HE)</f>
        <v/>
      </c>
      <c r="G207" s="35" t="str">
        <f aca="false">IF($B207="","",N($E207)*$F207)</f>
        <v/>
      </c>
      <c r="H207" s="40"/>
      <c r="I207" s="35" t="str">
        <f aca="false">IF($B207="","",N($D207)+$G207+N($H207))</f>
        <v/>
      </c>
      <c r="J207" s="35" t="str">
        <f aca="false">IF($B207="","",$I207*CCSS_OBRERO)</f>
        <v/>
      </c>
      <c r="K207" s="40"/>
      <c r="L207" s="35" t="str">
        <f aca="false">IF($B207="","",$I207-$J207-N($K207))</f>
        <v/>
      </c>
      <c r="M207" s="35" t="str">
        <f aca="false">IF($B207="","",$I207*CCSS_PATRONAL)</f>
        <v/>
      </c>
      <c r="N207" s="35" t="str">
        <f aca="false">IF($B207="","",$I207*INS_RT)</f>
        <v/>
      </c>
      <c r="O207" s="35" t="str">
        <f aca="false">IF($B207="","",$I207*PROV_AGUINALDO)</f>
        <v/>
      </c>
      <c r="P207" s="35" t="str">
        <f aca="false">IF($B207="","",$I207*PROV_VACACIONES)</f>
        <v/>
      </c>
      <c r="Q207" s="35" t="str">
        <f aca="false">IF($B207="","",$I207*PROV_CESANTIA)</f>
        <v/>
      </c>
      <c r="R207" s="35" t="str">
        <f aca="false">IF($B207="","",$I207+SUM($M207:$Q207))</f>
        <v/>
      </c>
      <c r="S207" s="46" t="str">
        <f aca="false">IF(OR($A207="",$B207=""),"",DATE(YEAR($A207),MONTH($A207),1))</f>
        <v/>
      </c>
    </row>
    <row r="208" customFormat="false" ht="15" hidden="false" customHeight="false" outlineLevel="0" collapsed="false">
      <c r="A208" s="55"/>
      <c r="B208" s="6"/>
      <c r="C208" s="6"/>
      <c r="D208" s="40"/>
      <c r="E208" s="39"/>
      <c r="F208" s="35" t="str">
        <f aca="false">IF($B208="","",N($D208)/HORAS_MES*RECARGO_HE)</f>
        <v/>
      </c>
      <c r="G208" s="35" t="str">
        <f aca="false">IF($B208="","",N($E208)*$F208)</f>
        <v/>
      </c>
      <c r="H208" s="40"/>
      <c r="I208" s="35" t="str">
        <f aca="false">IF($B208="","",N($D208)+$G208+N($H208))</f>
        <v/>
      </c>
      <c r="J208" s="35" t="str">
        <f aca="false">IF($B208="","",$I208*CCSS_OBRERO)</f>
        <v/>
      </c>
      <c r="K208" s="40"/>
      <c r="L208" s="35" t="str">
        <f aca="false">IF($B208="","",$I208-$J208-N($K208))</f>
        <v/>
      </c>
      <c r="M208" s="35" t="str">
        <f aca="false">IF($B208="","",$I208*CCSS_PATRONAL)</f>
        <v/>
      </c>
      <c r="N208" s="35" t="str">
        <f aca="false">IF($B208="","",$I208*INS_RT)</f>
        <v/>
      </c>
      <c r="O208" s="35" t="str">
        <f aca="false">IF($B208="","",$I208*PROV_AGUINALDO)</f>
        <v/>
      </c>
      <c r="P208" s="35" t="str">
        <f aca="false">IF($B208="","",$I208*PROV_VACACIONES)</f>
        <v/>
      </c>
      <c r="Q208" s="35" t="str">
        <f aca="false">IF($B208="","",$I208*PROV_CESANTIA)</f>
        <v/>
      </c>
      <c r="R208" s="35" t="str">
        <f aca="false">IF($B208="","",$I208+SUM($M208:$Q208))</f>
        <v/>
      </c>
      <c r="S208" s="46" t="str">
        <f aca="false">IF(OR($A208="",$B208=""),"",DATE(YEAR($A208),MONTH($A208),1))</f>
        <v/>
      </c>
    </row>
    <row r="209" customFormat="false" ht="15" hidden="false" customHeight="false" outlineLevel="0" collapsed="false">
      <c r="A209" s="55"/>
      <c r="B209" s="6"/>
      <c r="C209" s="6"/>
      <c r="D209" s="40"/>
      <c r="E209" s="39"/>
      <c r="F209" s="35" t="str">
        <f aca="false">IF($B209="","",N($D209)/HORAS_MES*RECARGO_HE)</f>
        <v/>
      </c>
      <c r="G209" s="35" t="str">
        <f aca="false">IF($B209="","",N($E209)*$F209)</f>
        <v/>
      </c>
      <c r="H209" s="40"/>
      <c r="I209" s="35" t="str">
        <f aca="false">IF($B209="","",N($D209)+$G209+N($H209))</f>
        <v/>
      </c>
      <c r="J209" s="35" t="str">
        <f aca="false">IF($B209="","",$I209*CCSS_OBRERO)</f>
        <v/>
      </c>
      <c r="K209" s="40"/>
      <c r="L209" s="35" t="str">
        <f aca="false">IF($B209="","",$I209-$J209-N($K209))</f>
        <v/>
      </c>
      <c r="M209" s="35" t="str">
        <f aca="false">IF($B209="","",$I209*CCSS_PATRONAL)</f>
        <v/>
      </c>
      <c r="N209" s="35" t="str">
        <f aca="false">IF($B209="","",$I209*INS_RT)</f>
        <v/>
      </c>
      <c r="O209" s="35" t="str">
        <f aca="false">IF($B209="","",$I209*PROV_AGUINALDO)</f>
        <v/>
      </c>
      <c r="P209" s="35" t="str">
        <f aca="false">IF($B209="","",$I209*PROV_VACACIONES)</f>
        <v/>
      </c>
      <c r="Q209" s="35" t="str">
        <f aca="false">IF($B209="","",$I209*PROV_CESANTIA)</f>
        <v/>
      </c>
      <c r="R209" s="35" t="str">
        <f aca="false">IF($B209="","",$I209+SUM($M209:$Q209))</f>
        <v/>
      </c>
      <c r="S209" s="46" t="str">
        <f aca="false">IF(OR($A209="",$B209=""),"",DATE(YEAR($A209),MONTH($A209),1))</f>
        <v/>
      </c>
    </row>
    <row r="210" customFormat="false" ht="15" hidden="false" customHeight="false" outlineLevel="0" collapsed="false">
      <c r="A210" s="55"/>
      <c r="B210" s="6"/>
      <c r="C210" s="6"/>
      <c r="D210" s="40"/>
      <c r="E210" s="39"/>
      <c r="F210" s="35" t="str">
        <f aca="false">IF($B210="","",N($D210)/HORAS_MES*RECARGO_HE)</f>
        <v/>
      </c>
      <c r="G210" s="35" t="str">
        <f aca="false">IF($B210="","",N($E210)*$F210)</f>
        <v/>
      </c>
      <c r="H210" s="40"/>
      <c r="I210" s="35" t="str">
        <f aca="false">IF($B210="","",N($D210)+$G210+N($H210))</f>
        <v/>
      </c>
      <c r="J210" s="35" t="str">
        <f aca="false">IF($B210="","",$I210*CCSS_OBRERO)</f>
        <v/>
      </c>
      <c r="K210" s="40"/>
      <c r="L210" s="35" t="str">
        <f aca="false">IF($B210="","",$I210-$J210-N($K210))</f>
        <v/>
      </c>
      <c r="M210" s="35" t="str">
        <f aca="false">IF($B210="","",$I210*CCSS_PATRONAL)</f>
        <v/>
      </c>
      <c r="N210" s="35" t="str">
        <f aca="false">IF($B210="","",$I210*INS_RT)</f>
        <v/>
      </c>
      <c r="O210" s="35" t="str">
        <f aca="false">IF($B210="","",$I210*PROV_AGUINALDO)</f>
        <v/>
      </c>
      <c r="P210" s="35" t="str">
        <f aca="false">IF($B210="","",$I210*PROV_VACACIONES)</f>
        <v/>
      </c>
      <c r="Q210" s="35" t="str">
        <f aca="false">IF($B210="","",$I210*PROV_CESANTIA)</f>
        <v/>
      </c>
      <c r="R210" s="35" t="str">
        <f aca="false">IF($B210="","",$I210+SUM($M210:$Q210))</f>
        <v/>
      </c>
      <c r="S210" s="46" t="str">
        <f aca="false">IF(OR($A210="",$B210=""),"",DATE(YEAR($A210),MONTH($A210),1))</f>
        <v/>
      </c>
    </row>
    <row r="211" customFormat="false" ht="15" hidden="false" customHeight="false" outlineLevel="0" collapsed="false">
      <c r="A211" s="55"/>
      <c r="B211" s="6"/>
      <c r="C211" s="6"/>
      <c r="D211" s="40"/>
      <c r="E211" s="39"/>
      <c r="F211" s="35" t="str">
        <f aca="false">IF($B211="","",N($D211)/HORAS_MES*RECARGO_HE)</f>
        <v/>
      </c>
      <c r="G211" s="35" t="str">
        <f aca="false">IF($B211="","",N($E211)*$F211)</f>
        <v/>
      </c>
      <c r="H211" s="40"/>
      <c r="I211" s="35" t="str">
        <f aca="false">IF($B211="","",N($D211)+$G211+N($H211))</f>
        <v/>
      </c>
      <c r="J211" s="35" t="str">
        <f aca="false">IF($B211="","",$I211*CCSS_OBRERO)</f>
        <v/>
      </c>
      <c r="K211" s="40"/>
      <c r="L211" s="35" t="str">
        <f aca="false">IF($B211="","",$I211-$J211-N($K211))</f>
        <v/>
      </c>
      <c r="M211" s="35" t="str">
        <f aca="false">IF($B211="","",$I211*CCSS_PATRONAL)</f>
        <v/>
      </c>
      <c r="N211" s="35" t="str">
        <f aca="false">IF($B211="","",$I211*INS_RT)</f>
        <v/>
      </c>
      <c r="O211" s="35" t="str">
        <f aca="false">IF($B211="","",$I211*PROV_AGUINALDO)</f>
        <v/>
      </c>
      <c r="P211" s="35" t="str">
        <f aca="false">IF($B211="","",$I211*PROV_VACACIONES)</f>
        <v/>
      </c>
      <c r="Q211" s="35" t="str">
        <f aca="false">IF($B211="","",$I211*PROV_CESANTIA)</f>
        <v/>
      </c>
      <c r="R211" s="35" t="str">
        <f aca="false">IF($B211="","",$I211+SUM($M211:$Q211))</f>
        <v/>
      </c>
      <c r="S211" s="46" t="str">
        <f aca="false">IF(OR($A211="",$B211=""),"",DATE(YEAR($A211),MONTH($A211),1))</f>
        <v/>
      </c>
    </row>
    <row r="212" customFormat="false" ht="15" hidden="false" customHeight="false" outlineLevel="0" collapsed="false">
      <c r="A212" s="55"/>
      <c r="B212" s="6"/>
      <c r="C212" s="6"/>
      <c r="D212" s="40"/>
      <c r="E212" s="39"/>
      <c r="F212" s="35" t="str">
        <f aca="false">IF($B212="","",N($D212)/HORAS_MES*RECARGO_HE)</f>
        <v/>
      </c>
      <c r="G212" s="35" t="str">
        <f aca="false">IF($B212="","",N($E212)*$F212)</f>
        <v/>
      </c>
      <c r="H212" s="40"/>
      <c r="I212" s="35" t="str">
        <f aca="false">IF($B212="","",N($D212)+$G212+N($H212))</f>
        <v/>
      </c>
      <c r="J212" s="35" t="str">
        <f aca="false">IF($B212="","",$I212*CCSS_OBRERO)</f>
        <v/>
      </c>
      <c r="K212" s="40"/>
      <c r="L212" s="35" t="str">
        <f aca="false">IF($B212="","",$I212-$J212-N($K212))</f>
        <v/>
      </c>
      <c r="M212" s="35" t="str">
        <f aca="false">IF($B212="","",$I212*CCSS_PATRONAL)</f>
        <v/>
      </c>
      <c r="N212" s="35" t="str">
        <f aca="false">IF($B212="","",$I212*INS_RT)</f>
        <v/>
      </c>
      <c r="O212" s="35" t="str">
        <f aca="false">IF($B212="","",$I212*PROV_AGUINALDO)</f>
        <v/>
      </c>
      <c r="P212" s="35" t="str">
        <f aca="false">IF($B212="","",$I212*PROV_VACACIONES)</f>
        <v/>
      </c>
      <c r="Q212" s="35" t="str">
        <f aca="false">IF($B212="","",$I212*PROV_CESANTIA)</f>
        <v/>
      </c>
      <c r="R212" s="35" t="str">
        <f aca="false">IF($B212="","",$I212+SUM($M212:$Q212))</f>
        <v/>
      </c>
      <c r="S212" s="46" t="str">
        <f aca="false">IF(OR($A212="",$B212=""),"",DATE(YEAR($A212),MONTH($A212),1))</f>
        <v/>
      </c>
    </row>
    <row r="213" customFormat="false" ht="15" hidden="false" customHeight="false" outlineLevel="0" collapsed="false">
      <c r="A213" s="55"/>
      <c r="B213" s="6"/>
      <c r="C213" s="6"/>
      <c r="D213" s="40"/>
      <c r="E213" s="39"/>
      <c r="F213" s="35" t="str">
        <f aca="false">IF($B213="","",N($D213)/HORAS_MES*RECARGO_HE)</f>
        <v/>
      </c>
      <c r="G213" s="35" t="str">
        <f aca="false">IF($B213="","",N($E213)*$F213)</f>
        <v/>
      </c>
      <c r="H213" s="40"/>
      <c r="I213" s="35" t="str">
        <f aca="false">IF($B213="","",N($D213)+$G213+N($H213))</f>
        <v/>
      </c>
      <c r="J213" s="35" t="str">
        <f aca="false">IF($B213="","",$I213*CCSS_OBRERO)</f>
        <v/>
      </c>
      <c r="K213" s="40"/>
      <c r="L213" s="35" t="str">
        <f aca="false">IF($B213="","",$I213-$J213-N($K213))</f>
        <v/>
      </c>
      <c r="M213" s="35" t="str">
        <f aca="false">IF($B213="","",$I213*CCSS_PATRONAL)</f>
        <v/>
      </c>
      <c r="N213" s="35" t="str">
        <f aca="false">IF($B213="","",$I213*INS_RT)</f>
        <v/>
      </c>
      <c r="O213" s="35" t="str">
        <f aca="false">IF($B213="","",$I213*PROV_AGUINALDO)</f>
        <v/>
      </c>
      <c r="P213" s="35" t="str">
        <f aca="false">IF($B213="","",$I213*PROV_VACACIONES)</f>
        <v/>
      </c>
      <c r="Q213" s="35" t="str">
        <f aca="false">IF($B213="","",$I213*PROV_CESANTIA)</f>
        <v/>
      </c>
      <c r="R213" s="35" t="str">
        <f aca="false">IF($B213="","",$I213+SUM($M213:$Q213))</f>
        <v/>
      </c>
      <c r="S213" s="46" t="str">
        <f aca="false">IF(OR($A213="",$B213=""),"",DATE(YEAR($A213),MONTH($A213),1))</f>
        <v/>
      </c>
    </row>
    <row r="214" customFormat="false" ht="15" hidden="false" customHeight="false" outlineLevel="0" collapsed="false">
      <c r="A214" s="55"/>
      <c r="B214" s="6"/>
      <c r="C214" s="6"/>
      <c r="D214" s="40"/>
      <c r="E214" s="39"/>
      <c r="F214" s="35" t="str">
        <f aca="false">IF($B214="","",N($D214)/HORAS_MES*RECARGO_HE)</f>
        <v/>
      </c>
      <c r="G214" s="35" t="str">
        <f aca="false">IF($B214="","",N($E214)*$F214)</f>
        <v/>
      </c>
      <c r="H214" s="40"/>
      <c r="I214" s="35" t="str">
        <f aca="false">IF($B214="","",N($D214)+$G214+N($H214))</f>
        <v/>
      </c>
      <c r="J214" s="35" t="str">
        <f aca="false">IF($B214="","",$I214*CCSS_OBRERO)</f>
        <v/>
      </c>
      <c r="K214" s="40"/>
      <c r="L214" s="35" t="str">
        <f aca="false">IF($B214="","",$I214-$J214-N($K214))</f>
        <v/>
      </c>
      <c r="M214" s="35" t="str">
        <f aca="false">IF($B214="","",$I214*CCSS_PATRONAL)</f>
        <v/>
      </c>
      <c r="N214" s="35" t="str">
        <f aca="false">IF($B214="","",$I214*INS_RT)</f>
        <v/>
      </c>
      <c r="O214" s="35" t="str">
        <f aca="false">IF($B214="","",$I214*PROV_AGUINALDO)</f>
        <v/>
      </c>
      <c r="P214" s="35" t="str">
        <f aca="false">IF($B214="","",$I214*PROV_VACACIONES)</f>
        <v/>
      </c>
      <c r="Q214" s="35" t="str">
        <f aca="false">IF($B214="","",$I214*PROV_CESANTIA)</f>
        <v/>
      </c>
      <c r="R214" s="35" t="str">
        <f aca="false">IF($B214="","",$I214+SUM($M214:$Q214))</f>
        <v/>
      </c>
      <c r="S214" s="46" t="str">
        <f aca="false">IF(OR($A214="",$B214=""),"",DATE(YEAR($A214),MONTH($A214),1))</f>
        <v/>
      </c>
    </row>
    <row r="215" customFormat="false" ht="15" hidden="false" customHeight="false" outlineLevel="0" collapsed="false">
      <c r="A215" s="55"/>
      <c r="B215" s="6"/>
      <c r="C215" s="6"/>
      <c r="D215" s="40"/>
      <c r="E215" s="39"/>
      <c r="F215" s="35" t="str">
        <f aca="false">IF($B215="","",N($D215)/HORAS_MES*RECARGO_HE)</f>
        <v/>
      </c>
      <c r="G215" s="35" t="str">
        <f aca="false">IF($B215="","",N($E215)*$F215)</f>
        <v/>
      </c>
      <c r="H215" s="40"/>
      <c r="I215" s="35" t="str">
        <f aca="false">IF($B215="","",N($D215)+$G215+N($H215))</f>
        <v/>
      </c>
      <c r="J215" s="35" t="str">
        <f aca="false">IF($B215="","",$I215*CCSS_OBRERO)</f>
        <v/>
      </c>
      <c r="K215" s="40"/>
      <c r="L215" s="35" t="str">
        <f aca="false">IF($B215="","",$I215-$J215-N($K215))</f>
        <v/>
      </c>
      <c r="M215" s="35" t="str">
        <f aca="false">IF($B215="","",$I215*CCSS_PATRONAL)</f>
        <v/>
      </c>
      <c r="N215" s="35" t="str">
        <f aca="false">IF($B215="","",$I215*INS_RT)</f>
        <v/>
      </c>
      <c r="O215" s="35" t="str">
        <f aca="false">IF($B215="","",$I215*PROV_AGUINALDO)</f>
        <v/>
      </c>
      <c r="P215" s="35" t="str">
        <f aca="false">IF($B215="","",$I215*PROV_VACACIONES)</f>
        <v/>
      </c>
      <c r="Q215" s="35" t="str">
        <f aca="false">IF($B215="","",$I215*PROV_CESANTIA)</f>
        <v/>
      </c>
      <c r="R215" s="35" t="str">
        <f aca="false">IF($B215="","",$I215+SUM($M215:$Q215))</f>
        <v/>
      </c>
      <c r="S215" s="46" t="str">
        <f aca="false">IF(OR($A215="",$B215=""),"",DATE(YEAR($A215),MONTH($A215),1))</f>
        <v/>
      </c>
    </row>
    <row r="216" customFormat="false" ht="15" hidden="false" customHeight="false" outlineLevel="0" collapsed="false">
      <c r="A216" s="55"/>
      <c r="B216" s="6"/>
      <c r="C216" s="6"/>
      <c r="D216" s="40"/>
      <c r="E216" s="39"/>
      <c r="F216" s="35" t="str">
        <f aca="false">IF($B216="","",N($D216)/HORAS_MES*RECARGO_HE)</f>
        <v/>
      </c>
      <c r="G216" s="35" t="str">
        <f aca="false">IF($B216="","",N($E216)*$F216)</f>
        <v/>
      </c>
      <c r="H216" s="40"/>
      <c r="I216" s="35" t="str">
        <f aca="false">IF($B216="","",N($D216)+$G216+N($H216))</f>
        <v/>
      </c>
      <c r="J216" s="35" t="str">
        <f aca="false">IF($B216="","",$I216*CCSS_OBRERO)</f>
        <v/>
      </c>
      <c r="K216" s="40"/>
      <c r="L216" s="35" t="str">
        <f aca="false">IF($B216="","",$I216-$J216-N($K216))</f>
        <v/>
      </c>
      <c r="M216" s="35" t="str">
        <f aca="false">IF($B216="","",$I216*CCSS_PATRONAL)</f>
        <v/>
      </c>
      <c r="N216" s="35" t="str">
        <f aca="false">IF($B216="","",$I216*INS_RT)</f>
        <v/>
      </c>
      <c r="O216" s="35" t="str">
        <f aca="false">IF($B216="","",$I216*PROV_AGUINALDO)</f>
        <v/>
      </c>
      <c r="P216" s="35" t="str">
        <f aca="false">IF($B216="","",$I216*PROV_VACACIONES)</f>
        <v/>
      </c>
      <c r="Q216" s="35" t="str">
        <f aca="false">IF($B216="","",$I216*PROV_CESANTIA)</f>
        <v/>
      </c>
      <c r="R216" s="35" t="str">
        <f aca="false">IF($B216="","",$I216+SUM($M216:$Q216))</f>
        <v/>
      </c>
      <c r="S216" s="46" t="str">
        <f aca="false">IF(OR($A216="",$B216=""),"",DATE(YEAR($A216),MONTH($A216),1))</f>
        <v/>
      </c>
    </row>
    <row r="217" customFormat="false" ht="15" hidden="false" customHeight="false" outlineLevel="0" collapsed="false">
      <c r="A217" s="55"/>
      <c r="B217" s="6"/>
      <c r="C217" s="6"/>
      <c r="D217" s="40"/>
      <c r="E217" s="39"/>
      <c r="F217" s="35" t="str">
        <f aca="false">IF($B217="","",N($D217)/HORAS_MES*RECARGO_HE)</f>
        <v/>
      </c>
      <c r="G217" s="35" t="str">
        <f aca="false">IF($B217="","",N($E217)*$F217)</f>
        <v/>
      </c>
      <c r="H217" s="40"/>
      <c r="I217" s="35" t="str">
        <f aca="false">IF($B217="","",N($D217)+$G217+N($H217))</f>
        <v/>
      </c>
      <c r="J217" s="35" t="str">
        <f aca="false">IF($B217="","",$I217*CCSS_OBRERO)</f>
        <v/>
      </c>
      <c r="K217" s="40"/>
      <c r="L217" s="35" t="str">
        <f aca="false">IF($B217="","",$I217-$J217-N($K217))</f>
        <v/>
      </c>
      <c r="M217" s="35" t="str">
        <f aca="false">IF($B217="","",$I217*CCSS_PATRONAL)</f>
        <v/>
      </c>
      <c r="N217" s="35" t="str">
        <f aca="false">IF($B217="","",$I217*INS_RT)</f>
        <v/>
      </c>
      <c r="O217" s="35" t="str">
        <f aca="false">IF($B217="","",$I217*PROV_AGUINALDO)</f>
        <v/>
      </c>
      <c r="P217" s="35" t="str">
        <f aca="false">IF($B217="","",$I217*PROV_VACACIONES)</f>
        <v/>
      </c>
      <c r="Q217" s="35" t="str">
        <f aca="false">IF($B217="","",$I217*PROV_CESANTIA)</f>
        <v/>
      </c>
      <c r="R217" s="35" t="str">
        <f aca="false">IF($B217="","",$I217+SUM($M217:$Q217))</f>
        <v/>
      </c>
      <c r="S217" s="46" t="str">
        <f aca="false">IF(OR($A217="",$B217=""),"",DATE(YEAR($A217),MONTH($A217),1))</f>
        <v/>
      </c>
    </row>
    <row r="218" customFormat="false" ht="15" hidden="false" customHeight="false" outlineLevel="0" collapsed="false">
      <c r="A218" s="55"/>
      <c r="B218" s="6"/>
      <c r="C218" s="6"/>
      <c r="D218" s="40"/>
      <c r="E218" s="39"/>
      <c r="F218" s="35" t="str">
        <f aca="false">IF($B218="","",N($D218)/HORAS_MES*RECARGO_HE)</f>
        <v/>
      </c>
      <c r="G218" s="35" t="str">
        <f aca="false">IF($B218="","",N($E218)*$F218)</f>
        <v/>
      </c>
      <c r="H218" s="40"/>
      <c r="I218" s="35" t="str">
        <f aca="false">IF($B218="","",N($D218)+$G218+N($H218))</f>
        <v/>
      </c>
      <c r="J218" s="35" t="str">
        <f aca="false">IF($B218="","",$I218*CCSS_OBRERO)</f>
        <v/>
      </c>
      <c r="K218" s="40"/>
      <c r="L218" s="35" t="str">
        <f aca="false">IF($B218="","",$I218-$J218-N($K218))</f>
        <v/>
      </c>
      <c r="M218" s="35" t="str">
        <f aca="false">IF($B218="","",$I218*CCSS_PATRONAL)</f>
        <v/>
      </c>
      <c r="N218" s="35" t="str">
        <f aca="false">IF($B218="","",$I218*INS_RT)</f>
        <v/>
      </c>
      <c r="O218" s="35" t="str">
        <f aca="false">IF($B218="","",$I218*PROV_AGUINALDO)</f>
        <v/>
      </c>
      <c r="P218" s="35" t="str">
        <f aca="false">IF($B218="","",$I218*PROV_VACACIONES)</f>
        <v/>
      </c>
      <c r="Q218" s="35" t="str">
        <f aca="false">IF($B218="","",$I218*PROV_CESANTIA)</f>
        <v/>
      </c>
      <c r="R218" s="35" t="str">
        <f aca="false">IF($B218="","",$I218+SUM($M218:$Q218))</f>
        <v/>
      </c>
      <c r="S218" s="46" t="str">
        <f aca="false">IF(OR($A218="",$B218=""),"",DATE(YEAR($A218),MONTH($A218),1))</f>
        <v/>
      </c>
    </row>
    <row r="219" customFormat="false" ht="15" hidden="false" customHeight="false" outlineLevel="0" collapsed="false">
      <c r="A219" s="55"/>
      <c r="B219" s="6"/>
      <c r="C219" s="6"/>
      <c r="D219" s="40"/>
      <c r="E219" s="39"/>
      <c r="F219" s="35" t="str">
        <f aca="false">IF($B219="","",N($D219)/HORAS_MES*RECARGO_HE)</f>
        <v/>
      </c>
      <c r="G219" s="35" t="str">
        <f aca="false">IF($B219="","",N($E219)*$F219)</f>
        <v/>
      </c>
      <c r="H219" s="40"/>
      <c r="I219" s="35" t="str">
        <f aca="false">IF($B219="","",N($D219)+$G219+N($H219))</f>
        <v/>
      </c>
      <c r="J219" s="35" t="str">
        <f aca="false">IF($B219="","",$I219*CCSS_OBRERO)</f>
        <v/>
      </c>
      <c r="K219" s="40"/>
      <c r="L219" s="35" t="str">
        <f aca="false">IF($B219="","",$I219-$J219-N($K219))</f>
        <v/>
      </c>
      <c r="M219" s="35" t="str">
        <f aca="false">IF($B219="","",$I219*CCSS_PATRONAL)</f>
        <v/>
      </c>
      <c r="N219" s="35" t="str">
        <f aca="false">IF($B219="","",$I219*INS_RT)</f>
        <v/>
      </c>
      <c r="O219" s="35" t="str">
        <f aca="false">IF($B219="","",$I219*PROV_AGUINALDO)</f>
        <v/>
      </c>
      <c r="P219" s="35" t="str">
        <f aca="false">IF($B219="","",$I219*PROV_VACACIONES)</f>
        <v/>
      </c>
      <c r="Q219" s="35" t="str">
        <f aca="false">IF($B219="","",$I219*PROV_CESANTIA)</f>
        <v/>
      </c>
      <c r="R219" s="35" t="str">
        <f aca="false">IF($B219="","",$I219+SUM($M219:$Q219))</f>
        <v/>
      </c>
      <c r="S219" s="46" t="str">
        <f aca="false">IF(OR($A219="",$B219=""),"",DATE(YEAR($A219),MONTH($A219),1))</f>
        <v/>
      </c>
    </row>
    <row r="220" customFormat="false" ht="15" hidden="false" customHeight="false" outlineLevel="0" collapsed="false">
      <c r="A220" s="55"/>
      <c r="B220" s="6"/>
      <c r="C220" s="6"/>
      <c r="D220" s="40"/>
      <c r="E220" s="39"/>
      <c r="F220" s="35" t="str">
        <f aca="false">IF($B220="","",N($D220)/HORAS_MES*RECARGO_HE)</f>
        <v/>
      </c>
      <c r="G220" s="35" t="str">
        <f aca="false">IF($B220="","",N($E220)*$F220)</f>
        <v/>
      </c>
      <c r="H220" s="40"/>
      <c r="I220" s="35" t="str">
        <f aca="false">IF($B220="","",N($D220)+$G220+N($H220))</f>
        <v/>
      </c>
      <c r="J220" s="35" t="str">
        <f aca="false">IF($B220="","",$I220*CCSS_OBRERO)</f>
        <v/>
      </c>
      <c r="K220" s="40"/>
      <c r="L220" s="35" t="str">
        <f aca="false">IF($B220="","",$I220-$J220-N($K220))</f>
        <v/>
      </c>
      <c r="M220" s="35" t="str">
        <f aca="false">IF($B220="","",$I220*CCSS_PATRONAL)</f>
        <v/>
      </c>
      <c r="N220" s="35" t="str">
        <f aca="false">IF($B220="","",$I220*INS_RT)</f>
        <v/>
      </c>
      <c r="O220" s="35" t="str">
        <f aca="false">IF($B220="","",$I220*PROV_AGUINALDO)</f>
        <v/>
      </c>
      <c r="P220" s="35" t="str">
        <f aca="false">IF($B220="","",$I220*PROV_VACACIONES)</f>
        <v/>
      </c>
      <c r="Q220" s="35" t="str">
        <f aca="false">IF($B220="","",$I220*PROV_CESANTIA)</f>
        <v/>
      </c>
      <c r="R220" s="35" t="str">
        <f aca="false">IF($B220="","",$I220+SUM($M220:$Q220))</f>
        <v/>
      </c>
      <c r="S220" s="46" t="str">
        <f aca="false">IF(OR($A220="",$B220=""),"",DATE(YEAR($A220),MONTH($A220),1))</f>
        <v/>
      </c>
    </row>
    <row r="221" customFormat="false" ht="15" hidden="false" customHeight="false" outlineLevel="0" collapsed="false">
      <c r="A221" s="55"/>
      <c r="B221" s="6"/>
      <c r="C221" s="6"/>
      <c r="D221" s="40"/>
      <c r="E221" s="39"/>
      <c r="F221" s="35" t="str">
        <f aca="false">IF($B221="","",N($D221)/HORAS_MES*RECARGO_HE)</f>
        <v/>
      </c>
      <c r="G221" s="35" t="str">
        <f aca="false">IF($B221="","",N($E221)*$F221)</f>
        <v/>
      </c>
      <c r="H221" s="40"/>
      <c r="I221" s="35" t="str">
        <f aca="false">IF($B221="","",N($D221)+$G221+N($H221))</f>
        <v/>
      </c>
      <c r="J221" s="35" t="str">
        <f aca="false">IF($B221="","",$I221*CCSS_OBRERO)</f>
        <v/>
      </c>
      <c r="K221" s="40"/>
      <c r="L221" s="35" t="str">
        <f aca="false">IF($B221="","",$I221-$J221-N($K221))</f>
        <v/>
      </c>
      <c r="M221" s="35" t="str">
        <f aca="false">IF($B221="","",$I221*CCSS_PATRONAL)</f>
        <v/>
      </c>
      <c r="N221" s="35" t="str">
        <f aca="false">IF($B221="","",$I221*INS_RT)</f>
        <v/>
      </c>
      <c r="O221" s="35" t="str">
        <f aca="false">IF($B221="","",$I221*PROV_AGUINALDO)</f>
        <v/>
      </c>
      <c r="P221" s="35" t="str">
        <f aca="false">IF($B221="","",$I221*PROV_VACACIONES)</f>
        <v/>
      </c>
      <c r="Q221" s="35" t="str">
        <f aca="false">IF($B221="","",$I221*PROV_CESANTIA)</f>
        <v/>
      </c>
      <c r="R221" s="35" t="str">
        <f aca="false">IF($B221="","",$I221+SUM($M221:$Q221))</f>
        <v/>
      </c>
      <c r="S221" s="46" t="str">
        <f aca="false">IF(OR($A221="",$B221=""),"",DATE(YEAR($A221),MONTH($A221),1))</f>
        <v/>
      </c>
    </row>
    <row r="222" customFormat="false" ht="15" hidden="false" customHeight="false" outlineLevel="0" collapsed="false">
      <c r="A222" s="55"/>
      <c r="B222" s="6"/>
      <c r="C222" s="6"/>
      <c r="D222" s="40"/>
      <c r="E222" s="39"/>
      <c r="F222" s="35" t="str">
        <f aca="false">IF($B222="","",N($D222)/HORAS_MES*RECARGO_HE)</f>
        <v/>
      </c>
      <c r="G222" s="35" t="str">
        <f aca="false">IF($B222="","",N($E222)*$F222)</f>
        <v/>
      </c>
      <c r="H222" s="40"/>
      <c r="I222" s="35" t="str">
        <f aca="false">IF($B222="","",N($D222)+$G222+N($H222))</f>
        <v/>
      </c>
      <c r="J222" s="35" t="str">
        <f aca="false">IF($B222="","",$I222*CCSS_OBRERO)</f>
        <v/>
      </c>
      <c r="K222" s="40"/>
      <c r="L222" s="35" t="str">
        <f aca="false">IF($B222="","",$I222-$J222-N($K222))</f>
        <v/>
      </c>
      <c r="M222" s="35" t="str">
        <f aca="false">IF($B222="","",$I222*CCSS_PATRONAL)</f>
        <v/>
      </c>
      <c r="N222" s="35" t="str">
        <f aca="false">IF($B222="","",$I222*INS_RT)</f>
        <v/>
      </c>
      <c r="O222" s="35" t="str">
        <f aca="false">IF($B222="","",$I222*PROV_AGUINALDO)</f>
        <v/>
      </c>
      <c r="P222" s="35" t="str">
        <f aca="false">IF($B222="","",$I222*PROV_VACACIONES)</f>
        <v/>
      </c>
      <c r="Q222" s="35" t="str">
        <f aca="false">IF($B222="","",$I222*PROV_CESANTIA)</f>
        <v/>
      </c>
      <c r="R222" s="35" t="str">
        <f aca="false">IF($B222="","",$I222+SUM($M222:$Q222))</f>
        <v/>
      </c>
      <c r="S222" s="46" t="str">
        <f aca="false">IF(OR($A222="",$B222=""),"",DATE(YEAR($A222),MONTH($A222),1))</f>
        <v/>
      </c>
    </row>
    <row r="223" customFormat="false" ht="15" hidden="false" customHeight="false" outlineLevel="0" collapsed="false">
      <c r="A223" s="55"/>
      <c r="B223" s="6"/>
      <c r="C223" s="6"/>
      <c r="D223" s="40"/>
      <c r="E223" s="39"/>
      <c r="F223" s="35" t="str">
        <f aca="false">IF($B223="","",N($D223)/HORAS_MES*RECARGO_HE)</f>
        <v/>
      </c>
      <c r="G223" s="35" t="str">
        <f aca="false">IF($B223="","",N($E223)*$F223)</f>
        <v/>
      </c>
      <c r="H223" s="40"/>
      <c r="I223" s="35" t="str">
        <f aca="false">IF($B223="","",N($D223)+$G223+N($H223))</f>
        <v/>
      </c>
      <c r="J223" s="35" t="str">
        <f aca="false">IF($B223="","",$I223*CCSS_OBRERO)</f>
        <v/>
      </c>
      <c r="K223" s="40"/>
      <c r="L223" s="35" t="str">
        <f aca="false">IF($B223="","",$I223-$J223-N($K223))</f>
        <v/>
      </c>
      <c r="M223" s="35" t="str">
        <f aca="false">IF($B223="","",$I223*CCSS_PATRONAL)</f>
        <v/>
      </c>
      <c r="N223" s="35" t="str">
        <f aca="false">IF($B223="","",$I223*INS_RT)</f>
        <v/>
      </c>
      <c r="O223" s="35" t="str">
        <f aca="false">IF($B223="","",$I223*PROV_AGUINALDO)</f>
        <v/>
      </c>
      <c r="P223" s="35" t="str">
        <f aca="false">IF($B223="","",$I223*PROV_VACACIONES)</f>
        <v/>
      </c>
      <c r="Q223" s="35" t="str">
        <f aca="false">IF($B223="","",$I223*PROV_CESANTIA)</f>
        <v/>
      </c>
      <c r="R223" s="35" t="str">
        <f aca="false">IF($B223="","",$I223+SUM($M223:$Q223))</f>
        <v/>
      </c>
      <c r="S223" s="46" t="str">
        <f aca="false">IF(OR($A223="",$B223=""),"",DATE(YEAR($A223),MONTH($A223),1))</f>
        <v/>
      </c>
    </row>
    <row r="224" customFormat="false" ht="15" hidden="false" customHeight="false" outlineLevel="0" collapsed="false">
      <c r="A224" s="55"/>
      <c r="B224" s="6"/>
      <c r="C224" s="6"/>
      <c r="D224" s="40"/>
      <c r="E224" s="39"/>
      <c r="F224" s="35" t="str">
        <f aca="false">IF($B224="","",N($D224)/HORAS_MES*RECARGO_HE)</f>
        <v/>
      </c>
      <c r="G224" s="35" t="str">
        <f aca="false">IF($B224="","",N($E224)*$F224)</f>
        <v/>
      </c>
      <c r="H224" s="40"/>
      <c r="I224" s="35" t="str">
        <f aca="false">IF($B224="","",N($D224)+$G224+N($H224))</f>
        <v/>
      </c>
      <c r="J224" s="35" t="str">
        <f aca="false">IF($B224="","",$I224*CCSS_OBRERO)</f>
        <v/>
      </c>
      <c r="K224" s="40"/>
      <c r="L224" s="35" t="str">
        <f aca="false">IF($B224="","",$I224-$J224-N($K224))</f>
        <v/>
      </c>
      <c r="M224" s="35" t="str">
        <f aca="false">IF($B224="","",$I224*CCSS_PATRONAL)</f>
        <v/>
      </c>
      <c r="N224" s="35" t="str">
        <f aca="false">IF($B224="","",$I224*INS_RT)</f>
        <v/>
      </c>
      <c r="O224" s="35" t="str">
        <f aca="false">IF($B224="","",$I224*PROV_AGUINALDO)</f>
        <v/>
      </c>
      <c r="P224" s="35" t="str">
        <f aca="false">IF($B224="","",$I224*PROV_VACACIONES)</f>
        <v/>
      </c>
      <c r="Q224" s="35" t="str">
        <f aca="false">IF($B224="","",$I224*PROV_CESANTIA)</f>
        <v/>
      </c>
      <c r="R224" s="35" t="str">
        <f aca="false">IF($B224="","",$I224+SUM($M224:$Q224))</f>
        <v/>
      </c>
      <c r="S224" s="46" t="str">
        <f aca="false">IF(OR($A224="",$B224=""),"",DATE(YEAR($A224),MONTH($A224),1))</f>
        <v/>
      </c>
    </row>
    <row r="225" customFormat="false" ht="15" hidden="false" customHeight="false" outlineLevel="0" collapsed="false">
      <c r="A225" s="55"/>
      <c r="B225" s="6"/>
      <c r="C225" s="6"/>
      <c r="D225" s="40"/>
      <c r="E225" s="39"/>
      <c r="F225" s="35" t="str">
        <f aca="false">IF($B225="","",N($D225)/HORAS_MES*RECARGO_HE)</f>
        <v/>
      </c>
      <c r="G225" s="35" t="str">
        <f aca="false">IF($B225="","",N($E225)*$F225)</f>
        <v/>
      </c>
      <c r="H225" s="40"/>
      <c r="I225" s="35" t="str">
        <f aca="false">IF($B225="","",N($D225)+$G225+N($H225))</f>
        <v/>
      </c>
      <c r="J225" s="35" t="str">
        <f aca="false">IF($B225="","",$I225*CCSS_OBRERO)</f>
        <v/>
      </c>
      <c r="K225" s="40"/>
      <c r="L225" s="35" t="str">
        <f aca="false">IF($B225="","",$I225-$J225-N($K225))</f>
        <v/>
      </c>
      <c r="M225" s="35" t="str">
        <f aca="false">IF($B225="","",$I225*CCSS_PATRONAL)</f>
        <v/>
      </c>
      <c r="N225" s="35" t="str">
        <f aca="false">IF($B225="","",$I225*INS_RT)</f>
        <v/>
      </c>
      <c r="O225" s="35" t="str">
        <f aca="false">IF($B225="","",$I225*PROV_AGUINALDO)</f>
        <v/>
      </c>
      <c r="P225" s="35" t="str">
        <f aca="false">IF($B225="","",$I225*PROV_VACACIONES)</f>
        <v/>
      </c>
      <c r="Q225" s="35" t="str">
        <f aca="false">IF($B225="","",$I225*PROV_CESANTIA)</f>
        <v/>
      </c>
      <c r="R225" s="35" t="str">
        <f aca="false">IF($B225="","",$I225+SUM($M225:$Q225))</f>
        <v/>
      </c>
      <c r="S225" s="46" t="str">
        <f aca="false">IF(OR($A225="",$B225=""),"",DATE(YEAR($A225),MONTH($A225),1))</f>
        <v/>
      </c>
    </row>
    <row r="226" customFormat="false" ht="15" hidden="false" customHeight="false" outlineLevel="0" collapsed="false">
      <c r="A226" s="55"/>
      <c r="B226" s="6"/>
      <c r="C226" s="6"/>
      <c r="D226" s="40"/>
      <c r="E226" s="39"/>
      <c r="F226" s="35" t="str">
        <f aca="false">IF($B226="","",N($D226)/HORAS_MES*RECARGO_HE)</f>
        <v/>
      </c>
      <c r="G226" s="35" t="str">
        <f aca="false">IF($B226="","",N($E226)*$F226)</f>
        <v/>
      </c>
      <c r="H226" s="40"/>
      <c r="I226" s="35" t="str">
        <f aca="false">IF($B226="","",N($D226)+$G226+N($H226))</f>
        <v/>
      </c>
      <c r="J226" s="35" t="str">
        <f aca="false">IF($B226="","",$I226*CCSS_OBRERO)</f>
        <v/>
      </c>
      <c r="K226" s="40"/>
      <c r="L226" s="35" t="str">
        <f aca="false">IF($B226="","",$I226-$J226-N($K226))</f>
        <v/>
      </c>
      <c r="M226" s="35" t="str">
        <f aca="false">IF($B226="","",$I226*CCSS_PATRONAL)</f>
        <v/>
      </c>
      <c r="N226" s="35" t="str">
        <f aca="false">IF($B226="","",$I226*INS_RT)</f>
        <v/>
      </c>
      <c r="O226" s="35" t="str">
        <f aca="false">IF($B226="","",$I226*PROV_AGUINALDO)</f>
        <v/>
      </c>
      <c r="P226" s="35" t="str">
        <f aca="false">IF($B226="","",$I226*PROV_VACACIONES)</f>
        <v/>
      </c>
      <c r="Q226" s="35" t="str">
        <f aca="false">IF($B226="","",$I226*PROV_CESANTIA)</f>
        <v/>
      </c>
      <c r="R226" s="35" t="str">
        <f aca="false">IF($B226="","",$I226+SUM($M226:$Q226))</f>
        <v/>
      </c>
      <c r="S226" s="46" t="str">
        <f aca="false">IF(OR($A226="",$B226=""),"",DATE(YEAR($A226),MONTH($A226),1))</f>
        <v/>
      </c>
    </row>
    <row r="227" customFormat="false" ht="15" hidden="false" customHeight="false" outlineLevel="0" collapsed="false">
      <c r="A227" s="55"/>
      <c r="B227" s="6"/>
      <c r="C227" s="6"/>
      <c r="D227" s="40"/>
      <c r="E227" s="39"/>
      <c r="F227" s="35" t="str">
        <f aca="false">IF($B227="","",N($D227)/HORAS_MES*RECARGO_HE)</f>
        <v/>
      </c>
      <c r="G227" s="35" t="str">
        <f aca="false">IF($B227="","",N($E227)*$F227)</f>
        <v/>
      </c>
      <c r="H227" s="40"/>
      <c r="I227" s="35" t="str">
        <f aca="false">IF($B227="","",N($D227)+$G227+N($H227))</f>
        <v/>
      </c>
      <c r="J227" s="35" t="str">
        <f aca="false">IF($B227="","",$I227*CCSS_OBRERO)</f>
        <v/>
      </c>
      <c r="K227" s="40"/>
      <c r="L227" s="35" t="str">
        <f aca="false">IF($B227="","",$I227-$J227-N($K227))</f>
        <v/>
      </c>
      <c r="M227" s="35" t="str">
        <f aca="false">IF($B227="","",$I227*CCSS_PATRONAL)</f>
        <v/>
      </c>
      <c r="N227" s="35" t="str">
        <f aca="false">IF($B227="","",$I227*INS_RT)</f>
        <v/>
      </c>
      <c r="O227" s="35" t="str">
        <f aca="false">IF($B227="","",$I227*PROV_AGUINALDO)</f>
        <v/>
      </c>
      <c r="P227" s="35" t="str">
        <f aca="false">IF($B227="","",$I227*PROV_VACACIONES)</f>
        <v/>
      </c>
      <c r="Q227" s="35" t="str">
        <f aca="false">IF($B227="","",$I227*PROV_CESANTIA)</f>
        <v/>
      </c>
      <c r="R227" s="35" t="str">
        <f aca="false">IF($B227="","",$I227+SUM($M227:$Q227))</f>
        <v/>
      </c>
      <c r="S227" s="46" t="str">
        <f aca="false">IF(OR($A227="",$B227=""),"",DATE(YEAR($A227),MONTH($A227),1))</f>
        <v/>
      </c>
    </row>
    <row r="228" customFormat="false" ht="15" hidden="false" customHeight="false" outlineLevel="0" collapsed="false">
      <c r="A228" s="55"/>
      <c r="B228" s="6"/>
      <c r="C228" s="6"/>
      <c r="D228" s="40"/>
      <c r="E228" s="39"/>
      <c r="F228" s="35" t="str">
        <f aca="false">IF($B228="","",N($D228)/HORAS_MES*RECARGO_HE)</f>
        <v/>
      </c>
      <c r="G228" s="35" t="str">
        <f aca="false">IF($B228="","",N($E228)*$F228)</f>
        <v/>
      </c>
      <c r="H228" s="40"/>
      <c r="I228" s="35" t="str">
        <f aca="false">IF($B228="","",N($D228)+$G228+N($H228))</f>
        <v/>
      </c>
      <c r="J228" s="35" t="str">
        <f aca="false">IF($B228="","",$I228*CCSS_OBRERO)</f>
        <v/>
      </c>
      <c r="K228" s="40"/>
      <c r="L228" s="35" t="str">
        <f aca="false">IF($B228="","",$I228-$J228-N($K228))</f>
        <v/>
      </c>
      <c r="M228" s="35" t="str">
        <f aca="false">IF($B228="","",$I228*CCSS_PATRONAL)</f>
        <v/>
      </c>
      <c r="N228" s="35" t="str">
        <f aca="false">IF($B228="","",$I228*INS_RT)</f>
        <v/>
      </c>
      <c r="O228" s="35" t="str">
        <f aca="false">IF($B228="","",$I228*PROV_AGUINALDO)</f>
        <v/>
      </c>
      <c r="P228" s="35" t="str">
        <f aca="false">IF($B228="","",$I228*PROV_VACACIONES)</f>
        <v/>
      </c>
      <c r="Q228" s="35" t="str">
        <f aca="false">IF($B228="","",$I228*PROV_CESANTIA)</f>
        <v/>
      </c>
      <c r="R228" s="35" t="str">
        <f aca="false">IF($B228="","",$I228+SUM($M228:$Q228))</f>
        <v/>
      </c>
      <c r="S228" s="46" t="str">
        <f aca="false">IF(OR($A228="",$B228=""),"",DATE(YEAR($A228),MONTH($A228),1))</f>
        <v/>
      </c>
    </row>
    <row r="229" customFormat="false" ht="15" hidden="false" customHeight="false" outlineLevel="0" collapsed="false">
      <c r="A229" s="55"/>
      <c r="B229" s="6"/>
      <c r="C229" s="6"/>
      <c r="D229" s="40"/>
      <c r="E229" s="39"/>
      <c r="F229" s="35" t="str">
        <f aca="false">IF($B229="","",N($D229)/HORAS_MES*RECARGO_HE)</f>
        <v/>
      </c>
      <c r="G229" s="35" t="str">
        <f aca="false">IF($B229="","",N($E229)*$F229)</f>
        <v/>
      </c>
      <c r="H229" s="40"/>
      <c r="I229" s="35" t="str">
        <f aca="false">IF($B229="","",N($D229)+$G229+N($H229))</f>
        <v/>
      </c>
      <c r="J229" s="35" t="str">
        <f aca="false">IF($B229="","",$I229*CCSS_OBRERO)</f>
        <v/>
      </c>
      <c r="K229" s="40"/>
      <c r="L229" s="35" t="str">
        <f aca="false">IF($B229="","",$I229-$J229-N($K229))</f>
        <v/>
      </c>
      <c r="M229" s="35" t="str">
        <f aca="false">IF($B229="","",$I229*CCSS_PATRONAL)</f>
        <v/>
      </c>
      <c r="N229" s="35" t="str">
        <f aca="false">IF($B229="","",$I229*INS_RT)</f>
        <v/>
      </c>
      <c r="O229" s="35" t="str">
        <f aca="false">IF($B229="","",$I229*PROV_AGUINALDO)</f>
        <v/>
      </c>
      <c r="P229" s="35" t="str">
        <f aca="false">IF($B229="","",$I229*PROV_VACACIONES)</f>
        <v/>
      </c>
      <c r="Q229" s="35" t="str">
        <f aca="false">IF($B229="","",$I229*PROV_CESANTIA)</f>
        <v/>
      </c>
      <c r="R229" s="35" t="str">
        <f aca="false">IF($B229="","",$I229+SUM($M229:$Q229))</f>
        <v/>
      </c>
      <c r="S229" s="46" t="str">
        <f aca="false">IF(OR($A229="",$B229=""),"",DATE(YEAR($A229),MONTH($A229),1))</f>
        <v/>
      </c>
    </row>
    <row r="230" customFormat="false" ht="15" hidden="false" customHeight="false" outlineLevel="0" collapsed="false">
      <c r="A230" s="55"/>
      <c r="B230" s="6"/>
      <c r="C230" s="6"/>
      <c r="D230" s="40"/>
      <c r="E230" s="39"/>
      <c r="F230" s="35" t="str">
        <f aca="false">IF($B230="","",N($D230)/HORAS_MES*RECARGO_HE)</f>
        <v/>
      </c>
      <c r="G230" s="35" t="str">
        <f aca="false">IF($B230="","",N($E230)*$F230)</f>
        <v/>
      </c>
      <c r="H230" s="40"/>
      <c r="I230" s="35" t="str">
        <f aca="false">IF($B230="","",N($D230)+$G230+N($H230))</f>
        <v/>
      </c>
      <c r="J230" s="35" t="str">
        <f aca="false">IF($B230="","",$I230*CCSS_OBRERO)</f>
        <v/>
      </c>
      <c r="K230" s="40"/>
      <c r="L230" s="35" t="str">
        <f aca="false">IF($B230="","",$I230-$J230-N($K230))</f>
        <v/>
      </c>
      <c r="M230" s="35" t="str">
        <f aca="false">IF($B230="","",$I230*CCSS_PATRONAL)</f>
        <v/>
      </c>
      <c r="N230" s="35" t="str">
        <f aca="false">IF($B230="","",$I230*INS_RT)</f>
        <v/>
      </c>
      <c r="O230" s="35" t="str">
        <f aca="false">IF($B230="","",$I230*PROV_AGUINALDO)</f>
        <v/>
      </c>
      <c r="P230" s="35" t="str">
        <f aca="false">IF($B230="","",$I230*PROV_VACACIONES)</f>
        <v/>
      </c>
      <c r="Q230" s="35" t="str">
        <f aca="false">IF($B230="","",$I230*PROV_CESANTIA)</f>
        <v/>
      </c>
      <c r="R230" s="35" t="str">
        <f aca="false">IF($B230="","",$I230+SUM($M230:$Q230))</f>
        <v/>
      </c>
      <c r="S230" s="46" t="str">
        <f aca="false">IF(OR($A230="",$B230=""),"",DATE(YEAR($A230),MONTH($A230),1))</f>
        <v/>
      </c>
    </row>
    <row r="231" customFormat="false" ht="15" hidden="false" customHeight="false" outlineLevel="0" collapsed="false">
      <c r="A231" s="55"/>
      <c r="B231" s="6"/>
      <c r="C231" s="6"/>
      <c r="D231" s="40"/>
      <c r="E231" s="39"/>
      <c r="F231" s="35" t="str">
        <f aca="false">IF($B231="","",N($D231)/HORAS_MES*RECARGO_HE)</f>
        <v/>
      </c>
      <c r="G231" s="35" t="str">
        <f aca="false">IF($B231="","",N($E231)*$F231)</f>
        <v/>
      </c>
      <c r="H231" s="40"/>
      <c r="I231" s="35" t="str">
        <f aca="false">IF($B231="","",N($D231)+$G231+N($H231))</f>
        <v/>
      </c>
      <c r="J231" s="35" t="str">
        <f aca="false">IF($B231="","",$I231*CCSS_OBRERO)</f>
        <v/>
      </c>
      <c r="K231" s="40"/>
      <c r="L231" s="35" t="str">
        <f aca="false">IF($B231="","",$I231-$J231-N($K231))</f>
        <v/>
      </c>
      <c r="M231" s="35" t="str">
        <f aca="false">IF($B231="","",$I231*CCSS_PATRONAL)</f>
        <v/>
      </c>
      <c r="N231" s="35" t="str">
        <f aca="false">IF($B231="","",$I231*INS_RT)</f>
        <v/>
      </c>
      <c r="O231" s="35" t="str">
        <f aca="false">IF($B231="","",$I231*PROV_AGUINALDO)</f>
        <v/>
      </c>
      <c r="P231" s="35" t="str">
        <f aca="false">IF($B231="","",$I231*PROV_VACACIONES)</f>
        <v/>
      </c>
      <c r="Q231" s="35" t="str">
        <f aca="false">IF($B231="","",$I231*PROV_CESANTIA)</f>
        <v/>
      </c>
      <c r="R231" s="35" t="str">
        <f aca="false">IF($B231="","",$I231+SUM($M231:$Q231))</f>
        <v/>
      </c>
      <c r="S231" s="46" t="str">
        <f aca="false">IF(OR($A231="",$B231=""),"",DATE(YEAR($A231),MONTH($A231),1))</f>
        <v/>
      </c>
    </row>
    <row r="232" customFormat="false" ht="15" hidden="false" customHeight="false" outlineLevel="0" collapsed="false">
      <c r="A232" s="55"/>
      <c r="B232" s="6"/>
      <c r="C232" s="6"/>
      <c r="D232" s="40"/>
      <c r="E232" s="39"/>
      <c r="F232" s="35" t="str">
        <f aca="false">IF($B232="","",N($D232)/HORAS_MES*RECARGO_HE)</f>
        <v/>
      </c>
      <c r="G232" s="35" t="str">
        <f aca="false">IF($B232="","",N($E232)*$F232)</f>
        <v/>
      </c>
      <c r="H232" s="40"/>
      <c r="I232" s="35" t="str">
        <f aca="false">IF($B232="","",N($D232)+$G232+N($H232))</f>
        <v/>
      </c>
      <c r="J232" s="35" t="str">
        <f aca="false">IF($B232="","",$I232*CCSS_OBRERO)</f>
        <v/>
      </c>
      <c r="K232" s="40"/>
      <c r="L232" s="35" t="str">
        <f aca="false">IF($B232="","",$I232-$J232-N($K232))</f>
        <v/>
      </c>
      <c r="M232" s="35" t="str">
        <f aca="false">IF($B232="","",$I232*CCSS_PATRONAL)</f>
        <v/>
      </c>
      <c r="N232" s="35" t="str">
        <f aca="false">IF($B232="","",$I232*INS_RT)</f>
        <v/>
      </c>
      <c r="O232" s="35" t="str">
        <f aca="false">IF($B232="","",$I232*PROV_AGUINALDO)</f>
        <v/>
      </c>
      <c r="P232" s="35" t="str">
        <f aca="false">IF($B232="","",$I232*PROV_VACACIONES)</f>
        <v/>
      </c>
      <c r="Q232" s="35" t="str">
        <f aca="false">IF($B232="","",$I232*PROV_CESANTIA)</f>
        <v/>
      </c>
      <c r="R232" s="35" t="str">
        <f aca="false">IF($B232="","",$I232+SUM($M232:$Q232))</f>
        <v/>
      </c>
      <c r="S232" s="46" t="str">
        <f aca="false">IF(OR($A232="",$B232=""),"",DATE(YEAR($A232),MONTH($A232),1))</f>
        <v/>
      </c>
    </row>
    <row r="233" customFormat="false" ht="15" hidden="false" customHeight="false" outlineLevel="0" collapsed="false">
      <c r="A233" s="55"/>
      <c r="B233" s="6"/>
      <c r="C233" s="6"/>
      <c r="D233" s="40"/>
      <c r="E233" s="39"/>
      <c r="F233" s="35" t="str">
        <f aca="false">IF($B233="","",N($D233)/HORAS_MES*RECARGO_HE)</f>
        <v/>
      </c>
      <c r="G233" s="35" t="str">
        <f aca="false">IF($B233="","",N($E233)*$F233)</f>
        <v/>
      </c>
      <c r="H233" s="40"/>
      <c r="I233" s="35" t="str">
        <f aca="false">IF($B233="","",N($D233)+$G233+N($H233))</f>
        <v/>
      </c>
      <c r="J233" s="35" t="str">
        <f aca="false">IF($B233="","",$I233*CCSS_OBRERO)</f>
        <v/>
      </c>
      <c r="K233" s="40"/>
      <c r="L233" s="35" t="str">
        <f aca="false">IF($B233="","",$I233-$J233-N($K233))</f>
        <v/>
      </c>
      <c r="M233" s="35" t="str">
        <f aca="false">IF($B233="","",$I233*CCSS_PATRONAL)</f>
        <v/>
      </c>
      <c r="N233" s="35" t="str">
        <f aca="false">IF($B233="","",$I233*INS_RT)</f>
        <v/>
      </c>
      <c r="O233" s="35" t="str">
        <f aca="false">IF($B233="","",$I233*PROV_AGUINALDO)</f>
        <v/>
      </c>
      <c r="P233" s="35" t="str">
        <f aca="false">IF($B233="","",$I233*PROV_VACACIONES)</f>
        <v/>
      </c>
      <c r="Q233" s="35" t="str">
        <f aca="false">IF($B233="","",$I233*PROV_CESANTIA)</f>
        <v/>
      </c>
      <c r="R233" s="35" t="str">
        <f aca="false">IF($B233="","",$I233+SUM($M233:$Q233))</f>
        <v/>
      </c>
      <c r="S233" s="46" t="str">
        <f aca="false">IF(OR($A233="",$B233=""),"",DATE(YEAR($A233),MONTH($A233),1))</f>
        <v/>
      </c>
    </row>
    <row r="234" customFormat="false" ht="15" hidden="false" customHeight="false" outlineLevel="0" collapsed="false">
      <c r="A234" s="55"/>
      <c r="B234" s="6"/>
      <c r="C234" s="6"/>
      <c r="D234" s="40"/>
      <c r="E234" s="39"/>
      <c r="F234" s="35" t="str">
        <f aca="false">IF($B234="","",N($D234)/HORAS_MES*RECARGO_HE)</f>
        <v/>
      </c>
      <c r="G234" s="35" t="str">
        <f aca="false">IF($B234="","",N($E234)*$F234)</f>
        <v/>
      </c>
      <c r="H234" s="40"/>
      <c r="I234" s="35" t="str">
        <f aca="false">IF($B234="","",N($D234)+$G234+N($H234))</f>
        <v/>
      </c>
      <c r="J234" s="35" t="str">
        <f aca="false">IF($B234="","",$I234*CCSS_OBRERO)</f>
        <v/>
      </c>
      <c r="K234" s="40"/>
      <c r="L234" s="35" t="str">
        <f aca="false">IF($B234="","",$I234-$J234-N($K234))</f>
        <v/>
      </c>
      <c r="M234" s="35" t="str">
        <f aca="false">IF($B234="","",$I234*CCSS_PATRONAL)</f>
        <v/>
      </c>
      <c r="N234" s="35" t="str">
        <f aca="false">IF($B234="","",$I234*INS_RT)</f>
        <v/>
      </c>
      <c r="O234" s="35" t="str">
        <f aca="false">IF($B234="","",$I234*PROV_AGUINALDO)</f>
        <v/>
      </c>
      <c r="P234" s="35" t="str">
        <f aca="false">IF($B234="","",$I234*PROV_VACACIONES)</f>
        <v/>
      </c>
      <c r="Q234" s="35" t="str">
        <f aca="false">IF($B234="","",$I234*PROV_CESANTIA)</f>
        <v/>
      </c>
      <c r="R234" s="35" t="str">
        <f aca="false">IF($B234="","",$I234+SUM($M234:$Q234))</f>
        <v/>
      </c>
      <c r="S234" s="46" t="str">
        <f aca="false">IF(OR($A234="",$B234=""),"",DATE(YEAR($A234),MONTH($A234),1))</f>
        <v/>
      </c>
    </row>
    <row r="235" customFormat="false" ht="15" hidden="false" customHeight="false" outlineLevel="0" collapsed="false">
      <c r="A235" s="55"/>
      <c r="B235" s="6"/>
      <c r="C235" s="6"/>
      <c r="D235" s="40"/>
      <c r="E235" s="39"/>
      <c r="F235" s="35" t="str">
        <f aca="false">IF($B235="","",N($D235)/HORAS_MES*RECARGO_HE)</f>
        <v/>
      </c>
      <c r="G235" s="35" t="str">
        <f aca="false">IF($B235="","",N($E235)*$F235)</f>
        <v/>
      </c>
      <c r="H235" s="40"/>
      <c r="I235" s="35" t="str">
        <f aca="false">IF($B235="","",N($D235)+$G235+N($H235))</f>
        <v/>
      </c>
      <c r="J235" s="35" t="str">
        <f aca="false">IF($B235="","",$I235*CCSS_OBRERO)</f>
        <v/>
      </c>
      <c r="K235" s="40"/>
      <c r="L235" s="35" t="str">
        <f aca="false">IF($B235="","",$I235-$J235-N($K235))</f>
        <v/>
      </c>
      <c r="M235" s="35" t="str">
        <f aca="false">IF($B235="","",$I235*CCSS_PATRONAL)</f>
        <v/>
      </c>
      <c r="N235" s="35" t="str">
        <f aca="false">IF($B235="","",$I235*INS_RT)</f>
        <v/>
      </c>
      <c r="O235" s="35" t="str">
        <f aca="false">IF($B235="","",$I235*PROV_AGUINALDO)</f>
        <v/>
      </c>
      <c r="P235" s="35" t="str">
        <f aca="false">IF($B235="","",$I235*PROV_VACACIONES)</f>
        <v/>
      </c>
      <c r="Q235" s="35" t="str">
        <f aca="false">IF($B235="","",$I235*PROV_CESANTIA)</f>
        <v/>
      </c>
      <c r="R235" s="35" t="str">
        <f aca="false">IF($B235="","",$I235+SUM($M235:$Q235))</f>
        <v/>
      </c>
      <c r="S235" s="46" t="str">
        <f aca="false">IF(OR($A235="",$B235=""),"",DATE(YEAR($A235),MONTH($A235),1))</f>
        <v/>
      </c>
    </row>
    <row r="236" customFormat="false" ht="15" hidden="false" customHeight="false" outlineLevel="0" collapsed="false">
      <c r="A236" s="55"/>
      <c r="B236" s="6"/>
      <c r="C236" s="6"/>
      <c r="D236" s="40"/>
      <c r="E236" s="39"/>
      <c r="F236" s="35" t="str">
        <f aca="false">IF($B236="","",N($D236)/HORAS_MES*RECARGO_HE)</f>
        <v/>
      </c>
      <c r="G236" s="35" t="str">
        <f aca="false">IF($B236="","",N($E236)*$F236)</f>
        <v/>
      </c>
      <c r="H236" s="40"/>
      <c r="I236" s="35" t="str">
        <f aca="false">IF($B236="","",N($D236)+$G236+N($H236))</f>
        <v/>
      </c>
      <c r="J236" s="35" t="str">
        <f aca="false">IF($B236="","",$I236*CCSS_OBRERO)</f>
        <v/>
      </c>
      <c r="K236" s="40"/>
      <c r="L236" s="35" t="str">
        <f aca="false">IF($B236="","",$I236-$J236-N($K236))</f>
        <v/>
      </c>
      <c r="M236" s="35" t="str">
        <f aca="false">IF($B236="","",$I236*CCSS_PATRONAL)</f>
        <v/>
      </c>
      <c r="N236" s="35" t="str">
        <f aca="false">IF($B236="","",$I236*INS_RT)</f>
        <v/>
      </c>
      <c r="O236" s="35" t="str">
        <f aca="false">IF($B236="","",$I236*PROV_AGUINALDO)</f>
        <v/>
      </c>
      <c r="P236" s="35" t="str">
        <f aca="false">IF($B236="","",$I236*PROV_VACACIONES)</f>
        <v/>
      </c>
      <c r="Q236" s="35" t="str">
        <f aca="false">IF($B236="","",$I236*PROV_CESANTIA)</f>
        <v/>
      </c>
      <c r="R236" s="35" t="str">
        <f aca="false">IF($B236="","",$I236+SUM($M236:$Q236))</f>
        <v/>
      </c>
      <c r="S236" s="46" t="str">
        <f aca="false">IF(OR($A236="",$B236=""),"",DATE(YEAR($A236),MONTH($A236),1))</f>
        <v/>
      </c>
    </row>
    <row r="237" customFormat="false" ht="15" hidden="false" customHeight="false" outlineLevel="0" collapsed="false">
      <c r="A237" s="55"/>
      <c r="B237" s="6"/>
      <c r="C237" s="6"/>
      <c r="D237" s="40"/>
      <c r="E237" s="39"/>
      <c r="F237" s="35" t="str">
        <f aca="false">IF($B237="","",N($D237)/HORAS_MES*RECARGO_HE)</f>
        <v/>
      </c>
      <c r="G237" s="35" t="str">
        <f aca="false">IF($B237="","",N($E237)*$F237)</f>
        <v/>
      </c>
      <c r="H237" s="40"/>
      <c r="I237" s="35" t="str">
        <f aca="false">IF($B237="","",N($D237)+$G237+N($H237))</f>
        <v/>
      </c>
      <c r="J237" s="35" t="str">
        <f aca="false">IF($B237="","",$I237*CCSS_OBRERO)</f>
        <v/>
      </c>
      <c r="K237" s="40"/>
      <c r="L237" s="35" t="str">
        <f aca="false">IF($B237="","",$I237-$J237-N($K237))</f>
        <v/>
      </c>
      <c r="M237" s="35" t="str">
        <f aca="false">IF($B237="","",$I237*CCSS_PATRONAL)</f>
        <v/>
      </c>
      <c r="N237" s="35" t="str">
        <f aca="false">IF($B237="","",$I237*INS_RT)</f>
        <v/>
      </c>
      <c r="O237" s="35" t="str">
        <f aca="false">IF($B237="","",$I237*PROV_AGUINALDO)</f>
        <v/>
      </c>
      <c r="P237" s="35" t="str">
        <f aca="false">IF($B237="","",$I237*PROV_VACACIONES)</f>
        <v/>
      </c>
      <c r="Q237" s="35" t="str">
        <f aca="false">IF($B237="","",$I237*PROV_CESANTIA)</f>
        <v/>
      </c>
      <c r="R237" s="35" t="str">
        <f aca="false">IF($B237="","",$I237+SUM($M237:$Q237))</f>
        <v/>
      </c>
      <c r="S237" s="46" t="str">
        <f aca="false">IF(OR($A237="",$B237=""),"",DATE(YEAR($A237),MONTH($A237),1))</f>
        <v/>
      </c>
    </row>
    <row r="238" customFormat="false" ht="15" hidden="false" customHeight="false" outlineLevel="0" collapsed="false">
      <c r="A238" s="55"/>
      <c r="B238" s="6"/>
      <c r="C238" s="6"/>
      <c r="D238" s="40"/>
      <c r="E238" s="39"/>
      <c r="F238" s="35" t="str">
        <f aca="false">IF($B238="","",N($D238)/HORAS_MES*RECARGO_HE)</f>
        <v/>
      </c>
      <c r="G238" s="35" t="str">
        <f aca="false">IF($B238="","",N($E238)*$F238)</f>
        <v/>
      </c>
      <c r="H238" s="40"/>
      <c r="I238" s="35" t="str">
        <f aca="false">IF($B238="","",N($D238)+$G238+N($H238))</f>
        <v/>
      </c>
      <c r="J238" s="35" t="str">
        <f aca="false">IF($B238="","",$I238*CCSS_OBRERO)</f>
        <v/>
      </c>
      <c r="K238" s="40"/>
      <c r="L238" s="35" t="str">
        <f aca="false">IF($B238="","",$I238-$J238-N($K238))</f>
        <v/>
      </c>
      <c r="M238" s="35" t="str">
        <f aca="false">IF($B238="","",$I238*CCSS_PATRONAL)</f>
        <v/>
      </c>
      <c r="N238" s="35" t="str">
        <f aca="false">IF($B238="","",$I238*INS_RT)</f>
        <v/>
      </c>
      <c r="O238" s="35" t="str">
        <f aca="false">IF($B238="","",$I238*PROV_AGUINALDO)</f>
        <v/>
      </c>
      <c r="P238" s="35" t="str">
        <f aca="false">IF($B238="","",$I238*PROV_VACACIONES)</f>
        <v/>
      </c>
      <c r="Q238" s="35" t="str">
        <f aca="false">IF($B238="","",$I238*PROV_CESANTIA)</f>
        <v/>
      </c>
      <c r="R238" s="35" t="str">
        <f aca="false">IF($B238="","",$I238+SUM($M238:$Q238))</f>
        <v/>
      </c>
      <c r="S238" s="46" t="str">
        <f aca="false">IF(OR($A238="",$B238=""),"",DATE(YEAR($A238),MONTH($A238),1))</f>
        <v/>
      </c>
    </row>
    <row r="239" customFormat="false" ht="15" hidden="false" customHeight="false" outlineLevel="0" collapsed="false">
      <c r="A239" s="55"/>
      <c r="B239" s="6"/>
      <c r="C239" s="6"/>
      <c r="D239" s="40"/>
      <c r="E239" s="39"/>
      <c r="F239" s="35" t="str">
        <f aca="false">IF($B239="","",N($D239)/HORAS_MES*RECARGO_HE)</f>
        <v/>
      </c>
      <c r="G239" s="35" t="str">
        <f aca="false">IF($B239="","",N($E239)*$F239)</f>
        <v/>
      </c>
      <c r="H239" s="40"/>
      <c r="I239" s="35" t="str">
        <f aca="false">IF($B239="","",N($D239)+$G239+N($H239))</f>
        <v/>
      </c>
      <c r="J239" s="35" t="str">
        <f aca="false">IF($B239="","",$I239*CCSS_OBRERO)</f>
        <v/>
      </c>
      <c r="K239" s="40"/>
      <c r="L239" s="35" t="str">
        <f aca="false">IF($B239="","",$I239-$J239-N($K239))</f>
        <v/>
      </c>
      <c r="M239" s="35" t="str">
        <f aca="false">IF($B239="","",$I239*CCSS_PATRONAL)</f>
        <v/>
      </c>
      <c r="N239" s="35" t="str">
        <f aca="false">IF($B239="","",$I239*INS_RT)</f>
        <v/>
      </c>
      <c r="O239" s="35" t="str">
        <f aca="false">IF($B239="","",$I239*PROV_AGUINALDO)</f>
        <v/>
      </c>
      <c r="P239" s="35" t="str">
        <f aca="false">IF($B239="","",$I239*PROV_VACACIONES)</f>
        <v/>
      </c>
      <c r="Q239" s="35" t="str">
        <f aca="false">IF($B239="","",$I239*PROV_CESANTIA)</f>
        <v/>
      </c>
      <c r="R239" s="35" t="str">
        <f aca="false">IF($B239="","",$I239+SUM($M239:$Q239))</f>
        <v/>
      </c>
      <c r="S239" s="46" t="str">
        <f aca="false">IF(OR($A239="",$B239=""),"",DATE(YEAR($A239),MONTH($A239),1))</f>
        <v/>
      </c>
    </row>
    <row r="240" customFormat="false" ht="15" hidden="false" customHeight="false" outlineLevel="0" collapsed="false">
      <c r="A240" s="55"/>
      <c r="B240" s="6"/>
      <c r="C240" s="6"/>
      <c r="D240" s="40"/>
      <c r="E240" s="39"/>
      <c r="F240" s="35" t="str">
        <f aca="false">IF($B240="","",N($D240)/HORAS_MES*RECARGO_HE)</f>
        <v/>
      </c>
      <c r="G240" s="35" t="str">
        <f aca="false">IF($B240="","",N($E240)*$F240)</f>
        <v/>
      </c>
      <c r="H240" s="40"/>
      <c r="I240" s="35" t="str">
        <f aca="false">IF($B240="","",N($D240)+$G240+N($H240))</f>
        <v/>
      </c>
      <c r="J240" s="35" t="str">
        <f aca="false">IF($B240="","",$I240*CCSS_OBRERO)</f>
        <v/>
      </c>
      <c r="K240" s="40"/>
      <c r="L240" s="35" t="str">
        <f aca="false">IF($B240="","",$I240-$J240-N($K240))</f>
        <v/>
      </c>
      <c r="M240" s="35" t="str">
        <f aca="false">IF($B240="","",$I240*CCSS_PATRONAL)</f>
        <v/>
      </c>
      <c r="N240" s="35" t="str">
        <f aca="false">IF($B240="","",$I240*INS_RT)</f>
        <v/>
      </c>
      <c r="O240" s="35" t="str">
        <f aca="false">IF($B240="","",$I240*PROV_AGUINALDO)</f>
        <v/>
      </c>
      <c r="P240" s="35" t="str">
        <f aca="false">IF($B240="","",$I240*PROV_VACACIONES)</f>
        <v/>
      </c>
      <c r="Q240" s="35" t="str">
        <f aca="false">IF($B240="","",$I240*PROV_CESANTIA)</f>
        <v/>
      </c>
      <c r="R240" s="35" t="str">
        <f aca="false">IF($B240="","",$I240+SUM($M240:$Q240))</f>
        <v/>
      </c>
      <c r="S240" s="46" t="str">
        <f aca="false">IF(OR($A240="",$B240=""),"",DATE(YEAR($A240),MONTH($A240),1))</f>
        <v/>
      </c>
    </row>
    <row r="241" customFormat="false" ht="15" hidden="false" customHeight="false" outlineLevel="0" collapsed="false">
      <c r="A241" s="55"/>
      <c r="B241" s="6"/>
      <c r="C241" s="6"/>
      <c r="D241" s="40"/>
      <c r="E241" s="39"/>
      <c r="F241" s="35" t="str">
        <f aca="false">IF($B241="","",N($D241)/HORAS_MES*RECARGO_HE)</f>
        <v/>
      </c>
      <c r="G241" s="35" t="str">
        <f aca="false">IF($B241="","",N($E241)*$F241)</f>
        <v/>
      </c>
      <c r="H241" s="40"/>
      <c r="I241" s="35" t="str">
        <f aca="false">IF($B241="","",N($D241)+$G241+N($H241))</f>
        <v/>
      </c>
      <c r="J241" s="35" t="str">
        <f aca="false">IF($B241="","",$I241*CCSS_OBRERO)</f>
        <v/>
      </c>
      <c r="K241" s="40"/>
      <c r="L241" s="35" t="str">
        <f aca="false">IF($B241="","",$I241-$J241-N($K241))</f>
        <v/>
      </c>
      <c r="M241" s="35" t="str">
        <f aca="false">IF($B241="","",$I241*CCSS_PATRONAL)</f>
        <v/>
      </c>
      <c r="N241" s="35" t="str">
        <f aca="false">IF($B241="","",$I241*INS_RT)</f>
        <v/>
      </c>
      <c r="O241" s="35" t="str">
        <f aca="false">IF($B241="","",$I241*PROV_AGUINALDO)</f>
        <v/>
      </c>
      <c r="P241" s="35" t="str">
        <f aca="false">IF($B241="","",$I241*PROV_VACACIONES)</f>
        <v/>
      </c>
      <c r="Q241" s="35" t="str">
        <f aca="false">IF($B241="","",$I241*PROV_CESANTIA)</f>
        <v/>
      </c>
      <c r="R241" s="35" t="str">
        <f aca="false">IF($B241="","",$I241+SUM($M241:$Q241))</f>
        <v/>
      </c>
      <c r="S241" s="46" t="str">
        <f aca="false">IF(OR($A241="",$B241=""),"",DATE(YEAR($A241),MONTH($A241),1))</f>
        <v/>
      </c>
    </row>
    <row r="242" customFormat="false" ht="15" hidden="false" customHeight="false" outlineLevel="0" collapsed="false">
      <c r="A242" s="55"/>
      <c r="B242" s="6"/>
      <c r="C242" s="6"/>
      <c r="D242" s="40"/>
      <c r="E242" s="39"/>
      <c r="F242" s="35" t="str">
        <f aca="false">IF($B242="","",N($D242)/HORAS_MES*RECARGO_HE)</f>
        <v/>
      </c>
      <c r="G242" s="35" t="str">
        <f aca="false">IF($B242="","",N($E242)*$F242)</f>
        <v/>
      </c>
      <c r="H242" s="40"/>
      <c r="I242" s="35" t="str">
        <f aca="false">IF($B242="","",N($D242)+$G242+N($H242))</f>
        <v/>
      </c>
      <c r="J242" s="35" t="str">
        <f aca="false">IF($B242="","",$I242*CCSS_OBRERO)</f>
        <v/>
      </c>
      <c r="K242" s="40"/>
      <c r="L242" s="35" t="str">
        <f aca="false">IF($B242="","",$I242-$J242-N($K242))</f>
        <v/>
      </c>
      <c r="M242" s="35" t="str">
        <f aca="false">IF($B242="","",$I242*CCSS_PATRONAL)</f>
        <v/>
      </c>
      <c r="N242" s="35" t="str">
        <f aca="false">IF($B242="","",$I242*INS_RT)</f>
        <v/>
      </c>
      <c r="O242" s="35" t="str">
        <f aca="false">IF($B242="","",$I242*PROV_AGUINALDO)</f>
        <v/>
      </c>
      <c r="P242" s="35" t="str">
        <f aca="false">IF($B242="","",$I242*PROV_VACACIONES)</f>
        <v/>
      </c>
      <c r="Q242" s="35" t="str">
        <f aca="false">IF($B242="","",$I242*PROV_CESANTIA)</f>
        <v/>
      </c>
      <c r="R242" s="35" t="str">
        <f aca="false">IF($B242="","",$I242+SUM($M242:$Q242))</f>
        <v/>
      </c>
      <c r="S242" s="46" t="str">
        <f aca="false">IF(OR($A242="",$B242=""),"",DATE(YEAR($A242),MONTH($A242),1))</f>
        <v/>
      </c>
    </row>
    <row r="243" customFormat="false" ht="15" hidden="false" customHeight="false" outlineLevel="0" collapsed="false">
      <c r="A243" s="55"/>
      <c r="B243" s="6"/>
      <c r="C243" s="6"/>
      <c r="D243" s="40"/>
      <c r="E243" s="39"/>
      <c r="F243" s="35" t="str">
        <f aca="false">IF($B243="","",N($D243)/HORAS_MES*RECARGO_HE)</f>
        <v/>
      </c>
      <c r="G243" s="35" t="str">
        <f aca="false">IF($B243="","",N($E243)*$F243)</f>
        <v/>
      </c>
      <c r="H243" s="40"/>
      <c r="I243" s="35" t="str">
        <f aca="false">IF($B243="","",N($D243)+$G243+N($H243))</f>
        <v/>
      </c>
      <c r="J243" s="35" t="str">
        <f aca="false">IF($B243="","",$I243*CCSS_OBRERO)</f>
        <v/>
      </c>
      <c r="K243" s="40"/>
      <c r="L243" s="35" t="str">
        <f aca="false">IF($B243="","",$I243-$J243-N($K243))</f>
        <v/>
      </c>
      <c r="M243" s="35" t="str">
        <f aca="false">IF($B243="","",$I243*CCSS_PATRONAL)</f>
        <v/>
      </c>
      <c r="N243" s="35" t="str">
        <f aca="false">IF($B243="","",$I243*INS_RT)</f>
        <v/>
      </c>
      <c r="O243" s="35" t="str">
        <f aca="false">IF($B243="","",$I243*PROV_AGUINALDO)</f>
        <v/>
      </c>
      <c r="P243" s="35" t="str">
        <f aca="false">IF($B243="","",$I243*PROV_VACACIONES)</f>
        <v/>
      </c>
      <c r="Q243" s="35" t="str">
        <f aca="false">IF($B243="","",$I243*PROV_CESANTIA)</f>
        <v/>
      </c>
      <c r="R243" s="35" t="str">
        <f aca="false">IF($B243="","",$I243+SUM($M243:$Q243))</f>
        <v/>
      </c>
      <c r="S243" s="46" t="str">
        <f aca="false">IF(OR($A243="",$B243=""),"",DATE(YEAR($A243),MONTH($A243),1))</f>
        <v/>
      </c>
    </row>
    <row r="244" customFormat="false" ht="15" hidden="false" customHeight="false" outlineLevel="0" collapsed="false">
      <c r="A244" s="55"/>
      <c r="B244" s="6"/>
      <c r="C244" s="6"/>
      <c r="D244" s="40"/>
      <c r="E244" s="39"/>
      <c r="F244" s="35" t="str">
        <f aca="false">IF($B244="","",N($D244)/HORAS_MES*RECARGO_HE)</f>
        <v/>
      </c>
      <c r="G244" s="35" t="str">
        <f aca="false">IF($B244="","",N($E244)*$F244)</f>
        <v/>
      </c>
      <c r="H244" s="40"/>
      <c r="I244" s="35" t="str">
        <f aca="false">IF($B244="","",N($D244)+$G244+N($H244))</f>
        <v/>
      </c>
      <c r="J244" s="35" t="str">
        <f aca="false">IF($B244="","",$I244*CCSS_OBRERO)</f>
        <v/>
      </c>
      <c r="K244" s="40"/>
      <c r="L244" s="35" t="str">
        <f aca="false">IF($B244="","",$I244-$J244-N($K244))</f>
        <v/>
      </c>
      <c r="M244" s="35" t="str">
        <f aca="false">IF($B244="","",$I244*CCSS_PATRONAL)</f>
        <v/>
      </c>
      <c r="N244" s="35" t="str">
        <f aca="false">IF($B244="","",$I244*INS_RT)</f>
        <v/>
      </c>
      <c r="O244" s="35" t="str">
        <f aca="false">IF($B244="","",$I244*PROV_AGUINALDO)</f>
        <v/>
      </c>
      <c r="P244" s="35" t="str">
        <f aca="false">IF($B244="","",$I244*PROV_VACACIONES)</f>
        <v/>
      </c>
      <c r="Q244" s="35" t="str">
        <f aca="false">IF($B244="","",$I244*PROV_CESANTIA)</f>
        <v/>
      </c>
      <c r="R244" s="35" t="str">
        <f aca="false">IF($B244="","",$I244+SUM($M244:$Q244))</f>
        <v/>
      </c>
      <c r="S244" s="46" t="str">
        <f aca="false">IF(OR($A244="",$B244=""),"",DATE(YEAR($A244),MONTH($A244),1))</f>
        <v/>
      </c>
    </row>
    <row r="245" customFormat="false" ht="15" hidden="false" customHeight="false" outlineLevel="0" collapsed="false">
      <c r="A245" s="55"/>
      <c r="B245" s="6"/>
      <c r="C245" s="6"/>
      <c r="D245" s="40"/>
      <c r="E245" s="39"/>
      <c r="F245" s="35" t="str">
        <f aca="false">IF($B245="","",N($D245)/HORAS_MES*RECARGO_HE)</f>
        <v/>
      </c>
      <c r="G245" s="35" t="str">
        <f aca="false">IF($B245="","",N($E245)*$F245)</f>
        <v/>
      </c>
      <c r="H245" s="40"/>
      <c r="I245" s="35" t="str">
        <f aca="false">IF($B245="","",N($D245)+$G245+N($H245))</f>
        <v/>
      </c>
      <c r="J245" s="35" t="str">
        <f aca="false">IF($B245="","",$I245*CCSS_OBRERO)</f>
        <v/>
      </c>
      <c r="K245" s="40"/>
      <c r="L245" s="35" t="str">
        <f aca="false">IF($B245="","",$I245-$J245-N($K245))</f>
        <v/>
      </c>
      <c r="M245" s="35" t="str">
        <f aca="false">IF($B245="","",$I245*CCSS_PATRONAL)</f>
        <v/>
      </c>
      <c r="N245" s="35" t="str">
        <f aca="false">IF($B245="","",$I245*INS_RT)</f>
        <v/>
      </c>
      <c r="O245" s="35" t="str">
        <f aca="false">IF($B245="","",$I245*PROV_AGUINALDO)</f>
        <v/>
      </c>
      <c r="P245" s="35" t="str">
        <f aca="false">IF($B245="","",$I245*PROV_VACACIONES)</f>
        <v/>
      </c>
      <c r="Q245" s="35" t="str">
        <f aca="false">IF($B245="","",$I245*PROV_CESANTIA)</f>
        <v/>
      </c>
      <c r="R245" s="35" t="str">
        <f aca="false">IF($B245="","",$I245+SUM($M245:$Q245))</f>
        <v/>
      </c>
      <c r="S245" s="46" t="str">
        <f aca="false">IF(OR($A245="",$B245=""),"",DATE(YEAR($A245),MONTH($A245),1))</f>
        <v/>
      </c>
    </row>
    <row r="246" customFormat="false" ht="15" hidden="false" customHeight="false" outlineLevel="0" collapsed="false">
      <c r="A246" s="55"/>
      <c r="B246" s="6"/>
      <c r="C246" s="6"/>
      <c r="D246" s="40"/>
      <c r="E246" s="39"/>
      <c r="F246" s="35" t="str">
        <f aca="false">IF($B246="","",N($D246)/HORAS_MES*RECARGO_HE)</f>
        <v/>
      </c>
      <c r="G246" s="35" t="str">
        <f aca="false">IF($B246="","",N($E246)*$F246)</f>
        <v/>
      </c>
      <c r="H246" s="40"/>
      <c r="I246" s="35" t="str">
        <f aca="false">IF($B246="","",N($D246)+$G246+N($H246))</f>
        <v/>
      </c>
      <c r="J246" s="35" t="str">
        <f aca="false">IF($B246="","",$I246*CCSS_OBRERO)</f>
        <v/>
      </c>
      <c r="K246" s="40"/>
      <c r="L246" s="35" t="str">
        <f aca="false">IF($B246="","",$I246-$J246-N($K246))</f>
        <v/>
      </c>
      <c r="M246" s="35" t="str">
        <f aca="false">IF($B246="","",$I246*CCSS_PATRONAL)</f>
        <v/>
      </c>
      <c r="N246" s="35" t="str">
        <f aca="false">IF($B246="","",$I246*INS_RT)</f>
        <v/>
      </c>
      <c r="O246" s="35" t="str">
        <f aca="false">IF($B246="","",$I246*PROV_AGUINALDO)</f>
        <v/>
      </c>
      <c r="P246" s="35" t="str">
        <f aca="false">IF($B246="","",$I246*PROV_VACACIONES)</f>
        <v/>
      </c>
      <c r="Q246" s="35" t="str">
        <f aca="false">IF($B246="","",$I246*PROV_CESANTIA)</f>
        <v/>
      </c>
      <c r="R246" s="35" t="str">
        <f aca="false">IF($B246="","",$I246+SUM($M246:$Q246))</f>
        <v/>
      </c>
      <c r="S246" s="46" t="str">
        <f aca="false">IF(OR($A246="",$B246=""),"",DATE(YEAR($A246),MONTH($A246),1))</f>
        <v/>
      </c>
    </row>
    <row r="247" customFormat="false" ht="15" hidden="false" customHeight="false" outlineLevel="0" collapsed="false">
      <c r="A247" s="55"/>
      <c r="B247" s="6"/>
      <c r="C247" s="6"/>
      <c r="D247" s="40"/>
      <c r="E247" s="39"/>
      <c r="F247" s="35" t="str">
        <f aca="false">IF($B247="","",N($D247)/HORAS_MES*RECARGO_HE)</f>
        <v/>
      </c>
      <c r="G247" s="35" t="str">
        <f aca="false">IF($B247="","",N($E247)*$F247)</f>
        <v/>
      </c>
      <c r="H247" s="40"/>
      <c r="I247" s="35" t="str">
        <f aca="false">IF($B247="","",N($D247)+$G247+N($H247))</f>
        <v/>
      </c>
      <c r="J247" s="35" t="str">
        <f aca="false">IF($B247="","",$I247*CCSS_OBRERO)</f>
        <v/>
      </c>
      <c r="K247" s="40"/>
      <c r="L247" s="35" t="str">
        <f aca="false">IF($B247="","",$I247-$J247-N($K247))</f>
        <v/>
      </c>
      <c r="M247" s="35" t="str">
        <f aca="false">IF($B247="","",$I247*CCSS_PATRONAL)</f>
        <v/>
      </c>
      <c r="N247" s="35" t="str">
        <f aca="false">IF($B247="","",$I247*INS_RT)</f>
        <v/>
      </c>
      <c r="O247" s="35" t="str">
        <f aca="false">IF($B247="","",$I247*PROV_AGUINALDO)</f>
        <v/>
      </c>
      <c r="P247" s="35" t="str">
        <f aca="false">IF($B247="","",$I247*PROV_VACACIONES)</f>
        <v/>
      </c>
      <c r="Q247" s="35" t="str">
        <f aca="false">IF($B247="","",$I247*PROV_CESANTIA)</f>
        <v/>
      </c>
      <c r="R247" s="35" t="str">
        <f aca="false">IF($B247="","",$I247+SUM($M247:$Q247))</f>
        <v/>
      </c>
      <c r="S247" s="46" t="str">
        <f aca="false">IF(OR($A247="",$B247=""),"",DATE(YEAR($A247),MONTH($A247),1))</f>
        <v/>
      </c>
    </row>
    <row r="248" customFormat="false" ht="15" hidden="false" customHeight="false" outlineLevel="0" collapsed="false">
      <c r="A248" s="55"/>
      <c r="B248" s="6"/>
      <c r="C248" s="6"/>
      <c r="D248" s="40"/>
      <c r="E248" s="39"/>
      <c r="F248" s="35" t="str">
        <f aca="false">IF($B248="","",N($D248)/HORAS_MES*RECARGO_HE)</f>
        <v/>
      </c>
      <c r="G248" s="35" t="str">
        <f aca="false">IF($B248="","",N($E248)*$F248)</f>
        <v/>
      </c>
      <c r="H248" s="40"/>
      <c r="I248" s="35" t="str">
        <f aca="false">IF($B248="","",N($D248)+$G248+N($H248))</f>
        <v/>
      </c>
      <c r="J248" s="35" t="str">
        <f aca="false">IF($B248="","",$I248*CCSS_OBRERO)</f>
        <v/>
      </c>
      <c r="K248" s="40"/>
      <c r="L248" s="35" t="str">
        <f aca="false">IF($B248="","",$I248-$J248-N($K248))</f>
        <v/>
      </c>
      <c r="M248" s="35" t="str">
        <f aca="false">IF($B248="","",$I248*CCSS_PATRONAL)</f>
        <v/>
      </c>
      <c r="N248" s="35" t="str">
        <f aca="false">IF($B248="","",$I248*INS_RT)</f>
        <v/>
      </c>
      <c r="O248" s="35" t="str">
        <f aca="false">IF($B248="","",$I248*PROV_AGUINALDO)</f>
        <v/>
      </c>
      <c r="P248" s="35" t="str">
        <f aca="false">IF($B248="","",$I248*PROV_VACACIONES)</f>
        <v/>
      </c>
      <c r="Q248" s="35" t="str">
        <f aca="false">IF($B248="","",$I248*PROV_CESANTIA)</f>
        <v/>
      </c>
      <c r="R248" s="35" t="str">
        <f aca="false">IF($B248="","",$I248+SUM($M248:$Q248))</f>
        <v/>
      </c>
      <c r="S248" s="46" t="str">
        <f aca="false">IF(OR($A248="",$B248=""),"",DATE(YEAR($A248),MONTH($A248),1))</f>
        <v/>
      </c>
    </row>
    <row r="249" customFormat="false" ht="15" hidden="false" customHeight="false" outlineLevel="0" collapsed="false">
      <c r="A249" s="55"/>
      <c r="B249" s="6"/>
      <c r="C249" s="6"/>
      <c r="D249" s="40"/>
      <c r="E249" s="39"/>
      <c r="F249" s="35" t="str">
        <f aca="false">IF($B249="","",N($D249)/HORAS_MES*RECARGO_HE)</f>
        <v/>
      </c>
      <c r="G249" s="35" t="str">
        <f aca="false">IF($B249="","",N($E249)*$F249)</f>
        <v/>
      </c>
      <c r="H249" s="40"/>
      <c r="I249" s="35" t="str">
        <f aca="false">IF($B249="","",N($D249)+$G249+N($H249))</f>
        <v/>
      </c>
      <c r="J249" s="35" t="str">
        <f aca="false">IF($B249="","",$I249*CCSS_OBRERO)</f>
        <v/>
      </c>
      <c r="K249" s="40"/>
      <c r="L249" s="35" t="str">
        <f aca="false">IF($B249="","",$I249-$J249-N($K249))</f>
        <v/>
      </c>
      <c r="M249" s="35" t="str">
        <f aca="false">IF($B249="","",$I249*CCSS_PATRONAL)</f>
        <v/>
      </c>
      <c r="N249" s="35" t="str">
        <f aca="false">IF($B249="","",$I249*INS_RT)</f>
        <v/>
      </c>
      <c r="O249" s="35" t="str">
        <f aca="false">IF($B249="","",$I249*PROV_AGUINALDO)</f>
        <v/>
      </c>
      <c r="P249" s="35" t="str">
        <f aca="false">IF($B249="","",$I249*PROV_VACACIONES)</f>
        <v/>
      </c>
      <c r="Q249" s="35" t="str">
        <f aca="false">IF($B249="","",$I249*PROV_CESANTIA)</f>
        <v/>
      </c>
      <c r="R249" s="35" t="str">
        <f aca="false">IF($B249="","",$I249+SUM($M249:$Q249))</f>
        <v/>
      </c>
      <c r="S249" s="46" t="str">
        <f aca="false">IF(OR($A249="",$B249=""),"",DATE(YEAR($A249),MONTH($A249),1))</f>
        <v/>
      </c>
    </row>
    <row r="250" customFormat="false" ht="15" hidden="false" customHeight="false" outlineLevel="0" collapsed="false">
      <c r="A250" s="55"/>
      <c r="B250" s="6"/>
      <c r="C250" s="6"/>
      <c r="D250" s="40"/>
      <c r="E250" s="39"/>
      <c r="F250" s="35" t="str">
        <f aca="false">IF($B250="","",N($D250)/HORAS_MES*RECARGO_HE)</f>
        <v/>
      </c>
      <c r="G250" s="35" t="str">
        <f aca="false">IF($B250="","",N($E250)*$F250)</f>
        <v/>
      </c>
      <c r="H250" s="40"/>
      <c r="I250" s="35" t="str">
        <f aca="false">IF($B250="","",N($D250)+$G250+N($H250))</f>
        <v/>
      </c>
      <c r="J250" s="35" t="str">
        <f aca="false">IF($B250="","",$I250*CCSS_OBRERO)</f>
        <v/>
      </c>
      <c r="K250" s="40"/>
      <c r="L250" s="35" t="str">
        <f aca="false">IF($B250="","",$I250-$J250-N($K250))</f>
        <v/>
      </c>
      <c r="M250" s="35" t="str">
        <f aca="false">IF($B250="","",$I250*CCSS_PATRONAL)</f>
        <v/>
      </c>
      <c r="N250" s="35" t="str">
        <f aca="false">IF($B250="","",$I250*INS_RT)</f>
        <v/>
      </c>
      <c r="O250" s="35" t="str">
        <f aca="false">IF($B250="","",$I250*PROV_AGUINALDO)</f>
        <v/>
      </c>
      <c r="P250" s="35" t="str">
        <f aca="false">IF($B250="","",$I250*PROV_VACACIONES)</f>
        <v/>
      </c>
      <c r="Q250" s="35" t="str">
        <f aca="false">IF($B250="","",$I250*PROV_CESANTIA)</f>
        <v/>
      </c>
      <c r="R250" s="35" t="str">
        <f aca="false">IF($B250="","",$I250+SUM($M250:$Q250))</f>
        <v/>
      </c>
      <c r="S250" s="46" t="str">
        <f aca="false">IF(OR($A250="",$B250=""),"",DATE(YEAR($A250),MONTH($A250),1))</f>
        <v/>
      </c>
    </row>
    <row r="251" customFormat="false" ht="15" hidden="false" customHeight="false" outlineLevel="0" collapsed="false">
      <c r="A251" s="55"/>
      <c r="B251" s="6"/>
      <c r="C251" s="6"/>
      <c r="D251" s="40"/>
      <c r="E251" s="39"/>
      <c r="F251" s="35" t="str">
        <f aca="false">IF($B251="","",N($D251)/HORAS_MES*RECARGO_HE)</f>
        <v/>
      </c>
      <c r="G251" s="35" t="str">
        <f aca="false">IF($B251="","",N($E251)*$F251)</f>
        <v/>
      </c>
      <c r="H251" s="40"/>
      <c r="I251" s="35" t="str">
        <f aca="false">IF($B251="","",N($D251)+$G251+N($H251))</f>
        <v/>
      </c>
      <c r="J251" s="35" t="str">
        <f aca="false">IF($B251="","",$I251*CCSS_OBRERO)</f>
        <v/>
      </c>
      <c r="K251" s="40"/>
      <c r="L251" s="35" t="str">
        <f aca="false">IF($B251="","",$I251-$J251-N($K251))</f>
        <v/>
      </c>
      <c r="M251" s="35" t="str">
        <f aca="false">IF($B251="","",$I251*CCSS_PATRONAL)</f>
        <v/>
      </c>
      <c r="N251" s="35" t="str">
        <f aca="false">IF($B251="","",$I251*INS_RT)</f>
        <v/>
      </c>
      <c r="O251" s="35" t="str">
        <f aca="false">IF($B251="","",$I251*PROV_AGUINALDO)</f>
        <v/>
      </c>
      <c r="P251" s="35" t="str">
        <f aca="false">IF($B251="","",$I251*PROV_VACACIONES)</f>
        <v/>
      </c>
      <c r="Q251" s="35" t="str">
        <f aca="false">IF($B251="","",$I251*PROV_CESANTIA)</f>
        <v/>
      </c>
      <c r="R251" s="35" t="str">
        <f aca="false">IF($B251="","",$I251+SUM($M251:$Q251))</f>
        <v/>
      </c>
      <c r="S251" s="46" t="str">
        <f aca="false">IF(OR($A251="",$B251=""),"",DATE(YEAR($A251),MONTH($A251),1))</f>
        <v/>
      </c>
    </row>
    <row r="252" customFormat="false" ht="15" hidden="false" customHeight="false" outlineLevel="0" collapsed="false">
      <c r="A252" s="55"/>
      <c r="B252" s="6"/>
      <c r="C252" s="6"/>
      <c r="D252" s="40"/>
      <c r="E252" s="39"/>
      <c r="F252" s="35" t="str">
        <f aca="false">IF($B252="","",N($D252)/HORAS_MES*RECARGO_HE)</f>
        <v/>
      </c>
      <c r="G252" s="35" t="str">
        <f aca="false">IF($B252="","",N($E252)*$F252)</f>
        <v/>
      </c>
      <c r="H252" s="40"/>
      <c r="I252" s="35" t="str">
        <f aca="false">IF($B252="","",N($D252)+$G252+N($H252))</f>
        <v/>
      </c>
      <c r="J252" s="35" t="str">
        <f aca="false">IF($B252="","",$I252*CCSS_OBRERO)</f>
        <v/>
      </c>
      <c r="K252" s="40"/>
      <c r="L252" s="35" t="str">
        <f aca="false">IF($B252="","",$I252-$J252-N($K252))</f>
        <v/>
      </c>
      <c r="M252" s="35" t="str">
        <f aca="false">IF($B252="","",$I252*CCSS_PATRONAL)</f>
        <v/>
      </c>
      <c r="N252" s="35" t="str">
        <f aca="false">IF($B252="","",$I252*INS_RT)</f>
        <v/>
      </c>
      <c r="O252" s="35" t="str">
        <f aca="false">IF($B252="","",$I252*PROV_AGUINALDO)</f>
        <v/>
      </c>
      <c r="P252" s="35" t="str">
        <f aca="false">IF($B252="","",$I252*PROV_VACACIONES)</f>
        <v/>
      </c>
      <c r="Q252" s="35" t="str">
        <f aca="false">IF($B252="","",$I252*PROV_CESANTIA)</f>
        <v/>
      </c>
      <c r="R252" s="35" t="str">
        <f aca="false">IF($B252="","",$I252+SUM($M252:$Q252))</f>
        <v/>
      </c>
      <c r="S252" s="46" t="str">
        <f aca="false">IF(OR($A252="",$B252=""),"",DATE(YEAR($A252),MONTH($A252),1))</f>
        <v/>
      </c>
    </row>
    <row r="253" customFormat="false" ht="15" hidden="false" customHeight="false" outlineLevel="0" collapsed="false">
      <c r="A253" s="55"/>
      <c r="B253" s="6"/>
      <c r="C253" s="6"/>
      <c r="D253" s="40"/>
      <c r="E253" s="39"/>
      <c r="F253" s="35" t="str">
        <f aca="false">IF($B253="","",N($D253)/HORAS_MES*RECARGO_HE)</f>
        <v/>
      </c>
      <c r="G253" s="35" t="str">
        <f aca="false">IF($B253="","",N($E253)*$F253)</f>
        <v/>
      </c>
      <c r="H253" s="40"/>
      <c r="I253" s="35" t="str">
        <f aca="false">IF($B253="","",N($D253)+$G253+N($H253))</f>
        <v/>
      </c>
      <c r="J253" s="35" t="str">
        <f aca="false">IF($B253="","",$I253*CCSS_OBRERO)</f>
        <v/>
      </c>
      <c r="K253" s="40"/>
      <c r="L253" s="35" t="str">
        <f aca="false">IF($B253="","",$I253-$J253-N($K253))</f>
        <v/>
      </c>
      <c r="M253" s="35" t="str">
        <f aca="false">IF($B253="","",$I253*CCSS_PATRONAL)</f>
        <v/>
      </c>
      <c r="N253" s="35" t="str">
        <f aca="false">IF($B253="","",$I253*INS_RT)</f>
        <v/>
      </c>
      <c r="O253" s="35" t="str">
        <f aca="false">IF($B253="","",$I253*PROV_AGUINALDO)</f>
        <v/>
      </c>
      <c r="P253" s="35" t="str">
        <f aca="false">IF($B253="","",$I253*PROV_VACACIONES)</f>
        <v/>
      </c>
      <c r="Q253" s="35" t="str">
        <f aca="false">IF($B253="","",$I253*PROV_CESANTIA)</f>
        <v/>
      </c>
      <c r="R253" s="35" t="str">
        <f aca="false">IF($B253="","",$I253+SUM($M253:$Q253))</f>
        <v/>
      </c>
      <c r="S253" s="46" t="str">
        <f aca="false">IF(OR($A253="",$B253=""),"",DATE(YEAR($A253),MONTH($A253),1))</f>
        <v/>
      </c>
    </row>
    <row r="254" customFormat="false" ht="15" hidden="false" customHeight="false" outlineLevel="0" collapsed="false">
      <c r="A254" s="55"/>
      <c r="B254" s="6"/>
      <c r="C254" s="6"/>
      <c r="D254" s="40"/>
      <c r="E254" s="39"/>
      <c r="F254" s="35" t="str">
        <f aca="false">IF($B254="","",N($D254)/HORAS_MES*RECARGO_HE)</f>
        <v/>
      </c>
      <c r="G254" s="35" t="str">
        <f aca="false">IF($B254="","",N($E254)*$F254)</f>
        <v/>
      </c>
      <c r="H254" s="40"/>
      <c r="I254" s="35" t="str">
        <f aca="false">IF($B254="","",N($D254)+$G254+N($H254))</f>
        <v/>
      </c>
      <c r="J254" s="35" t="str">
        <f aca="false">IF($B254="","",$I254*CCSS_OBRERO)</f>
        <v/>
      </c>
      <c r="K254" s="40"/>
      <c r="L254" s="35" t="str">
        <f aca="false">IF($B254="","",$I254-$J254-N($K254))</f>
        <v/>
      </c>
      <c r="M254" s="35" t="str">
        <f aca="false">IF($B254="","",$I254*CCSS_PATRONAL)</f>
        <v/>
      </c>
      <c r="N254" s="35" t="str">
        <f aca="false">IF($B254="","",$I254*INS_RT)</f>
        <v/>
      </c>
      <c r="O254" s="35" t="str">
        <f aca="false">IF($B254="","",$I254*PROV_AGUINALDO)</f>
        <v/>
      </c>
      <c r="P254" s="35" t="str">
        <f aca="false">IF($B254="","",$I254*PROV_VACACIONES)</f>
        <v/>
      </c>
      <c r="Q254" s="35" t="str">
        <f aca="false">IF($B254="","",$I254*PROV_CESANTIA)</f>
        <v/>
      </c>
      <c r="R254" s="35" t="str">
        <f aca="false">IF($B254="","",$I254+SUM($M254:$Q254))</f>
        <v/>
      </c>
      <c r="S254" s="46" t="str">
        <f aca="false">IF(OR($A254="",$B254=""),"",DATE(YEAR($A254),MONTH($A254),1))</f>
        <v/>
      </c>
    </row>
    <row r="255" customFormat="false" ht="15" hidden="false" customHeight="false" outlineLevel="0" collapsed="false">
      <c r="A255" s="55"/>
      <c r="B255" s="6"/>
      <c r="C255" s="6"/>
      <c r="D255" s="40"/>
      <c r="E255" s="39"/>
      <c r="F255" s="35" t="str">
        <f aca="false">IF($B255="","",N($D255)/HORAS_MES*RECARGO_HE)</f>
        <v/>
      </c>
      <c r="G255" s="35" t="str">
        <f aca="false">IF($B255="","",N($E255)*$F255)</f>
        <v/>
      </c>
      <c r="H255" s="40"/>
      <c r="I255" s="35" t="str">
        <f aca="false">IF($B255="","",N($D255)+$G255+N($H255))</f>
        <v/>
      </c>
      <c r="J255" s="35" t="str">
        <f aca="false">IF($B255="","",$I255*CCSS_OBRERO)</f>
        <v/>
      </c>
      <c r="K255" s="40"/>
      <c r="L255" s="35" t="str">
        <f aca="false">IF($B255="","",$I255-$J255-N($K255))</f>
        <v/>
      </c>
      <c r="M255" s="35" t="str">
        <f aca="false">IF($B255="","",$I255*CCSS_PATRONAL)</f>
        <v/>
      </c>
      <c r="N255" s="35" t="str">
        <f aca="false">IF($B255="","",$I255*INS_RT)</f>
        <v/>
      </c>
      <c r="O255" s="35" t="str">
        <f aca="false">IF($B255="","",$I255*PROV_AGUINALDO)</f>
        <v/>
      </c>
      <c r="P255" s="35" t="str">
        <f aca="false">IF($B255="","",$I255*PROV_VACACIONES)</f>
        <v/>
      </c>
      <c r="Q255" s="35" t="str">
        <f aca="false">IF($B255="","",$I255*PROV_CESANTIA)</f>
        <v/>
      </c>
      <c r="R255" s="35" t="str">
        <f aca="false">IF($B255="","",$I255+SUM($M255:$Q255))</f>
        <v/>
      </c>
      <c r="S255" s="46" t="str">
        <f aca="false">IF(OR($A255="",$B255=""),"",DATE(YEAR($A255),MONTH($A255),1))</f>
        <v/>
      </c>
    </row>
    <row r="256" customFormat="false" ht="15" hidden="false" customHeight="false" outlineLevel="0" collapsed="false">
      <c r="A256" s="55"/>
      <c r="B256" s="6"/>
      <c r="C256" s="6"/>
      <c r="D256" s="40"/>
      <c r="E256" s="39"/>
      <c r="F256" s="35" t="str">
        <f aca="false">IF($B256="","",N($D256)/HORAS_MES*RECARGO_HE)</f>
        <v/>
      </c>
      <c r="G256" s="35" t="str">
        <f aca="false">IF($B256="","",N($E256)*$F256)</f>
        <v/>
      </c>
      <c r="H256" s="40"/>
      <c r="I256" s="35" t="str">
        <f aca="false">IF($B256="","",N($D256)+$G256+N($H256))</f>
        <v/>
      </c>
      <c r="J256" s="35" t="str">
        <f aca="false">IF($B256="","",$I256*CCSS_OBRERO)</f>
        <v/>
      </c>
      <c r="K256" s="40"/>
      <c r="L256" s="35" t="str">
        <f aca="false">IF($B256="","",$I256-$J256-N($K256))</f>
        <v/>
      </c>
      <c r="M256" s="35" t="str">
        <f aca="false">IF($B256="","",$I256*CCSS_PATRONAL)</f>
        <v/>
      </c>
      <c r="N256" s="35" t="str">
        <f aca="false">IF($B256="","",$I256*INS_RT)</f>
        <v/>
      </c>
      <c r="O256" s="35" t="str">
        <f aca="false">IF($B256="","",$I256*PROV_AGUINALDO)</f>
        <v/>
      </c>
      <c r="P256" s="35" t="str">
        <f aca="false">IF($B256="","",$I256*PROV_VACACIONES)</f>
        <v/>
      </c>
      <c r="Q256" s="35" t="str">
        <f aca="false">IF($B256="","",$I256*PROV_CESANTIA)</f>
        <v/>
      </c>
      <c r="R256" s="35" t="str">
        <f aca="false">IF($B256="","",$I256+SUM($M256:$Q256))</f>
        <v/>
      </c>
      <c r="S256" s="46" t="str">
        <f aca="false">IF(OR($A256="",$B256=""),"",DATE(YEAR($A256),MONTH($A256),1))</f>
        <v/>
      </c>
    </row>
    <row r="257" customFormat="false" ht="15" hidden="false" customHeight="false" outlineLevel="0" collapsed="false">
      <c r="A257" s="55"/>
      <c r="B257" s="6"/>
      <c r="C257" s="6"/>
      <c r="D257" s="40"/>
      <c r="E257" s="39"/>
      <c r="F257" s="35" t="str">
        <f aca="false">IF($B257="","",N($D257)/HORAS_MES*RECARGO_HE)</f>
        <v/>
      </c>
      <c r="G257" s="35" t="str">
        <f aca="false">IF($B257="","",N($E257)*$F257)</f>
        <v/>
      </c>
      <c r="H257" s="40"/>
      <c r="I257" s="35" t="str">
        <f aca="false">IF($B257="","",N($D257)+$G257+N($H257))</f>
        <v/>
      </c>
      <c r="J257" s="35" t="str">
        <f aca="false">IF($B257="","",$I257*CCSS_OBRERO)</f>
        <v/>
      </c>
      <c r="K257" s="40"/>
      <c r="L257" s="35" t="str">
        <f aca="false">IF($B257="","",$I257-$J257-N($K257))</f>
        <v/>
      </c>
      <c r="M257" s="35" t="str">
        <f aca="false">IF($B257="","",$I257*CCSS_PATRONAL)</f>
        <v/>
      </c>
      <c r="N257" s="35" t="str">
        <f aca="false">IF($B257="","",$I257*INS_RT)</f>
        <v/>
      </c>
      <c r="O257" s="35" t="str">
        <f aca="false">IF($B257="","",$I257*PROV_AGUINALDO)</f>
        <v/>
      </c>
      <c r="P257" s="35" t="str">
        <f aca="false">IF($B257="","",$I257*PROV_VACACIONES)</f>
        <v/>
      </c>
      <c r="Q257" s="35" t="str">
        <f aca="false">IF($B257="","",$I257*PROV_CESANTIA)</f>
        <v/>
      </c>
      <c r="R257" s="35" t="str">
        <f aca="false">IF($B257="","",$I257+SUM($M257:$Q257))</f>
        <v/>
      </c>
      <c r="S257" s="46" t="str">
        <f aca="false">IF(OR($A257="",$B257=""),"",DATE(YEAR($A257),MONTH($A257),1))</f>
        <v/>
      </c>
    </row>
    <row r="258" customFormat="false" ht="15" hidden="false" customHeight="false" outlineLevel="0" collapsed="false">
      <c r="A258" s="55"/>
      <c r="B258" s="6"/>
      <c r="C258" s="6"/>
      <c r="D258" s="40"/>
      <c r="E258" s="39"/>
      <c r="F258" s="35" t="str">
        <f aca="false">IF($B258="","",N($D258)/HORAS_MES*RECARGO_HE)</f>
        <v/>
      </c>
      <c r="G258" s="35" t="str">
        <f aca="false">IF($B258="","",N($E258)*$F258)</f>
        <v/>
      </c>
      <c r="H258" s="40"/>
      <c r="I258" s="35" t="str">
        <f aca="false">IF($B258="","",N($D258)+$G258+N($H258))</f>
        <v/>
      </c>
      <c r="J258" s="35" t="str">
        <f aca="false">IF($B258="","",$I258*CCSS_OBRERO)</f>
        <v/>
      </c>
      <c r="K258" s="40"/>
      <c r="L258" s="35" t="str">
        <f aca="false">IF($B258="","",$I258-$J258-N($K258))</f>
        <v/>
      </c>
      <c r="M258" s="35" t="str">
        <f aca="false">IF($B258="","",$I258*CCSS_PATRONAL)</f>
        <v/>
      </c>
      <c r="N258" s="35" t="str">
        <f aca="false">IF($B258="","",$I258*INS_RT)</f>
        <v/>
      </c>
      <c r="O258" s="35" t="str">
        <f aca="false">IF($B258="","",$I258*PROV_AGUINALDO)</f>
        <v/>
      </c>
      <c r="P258" s="35" t="str">
        <f aca="false">IF($B258="","",$I258*PROV_VACACIONES)</f>
        <v/>
      </c>
      <c r="Q258" s="35" t="str">
        <f aca="false">IF($B258="","",$I258*PROV_CESANTIA)</f>
        <v/>
      </c>
      <c r="R258" s="35" t="str">
        <f aca="false">IF($B258="","",$I258+SUM($M258:$Q258))</f>
        <v/>
      </c>
      <c r="S258" s="46" t="str">
        <f aca="false">IF(OR($A258="",$B258=""),"",DATE(YEAR($A258),MONTH($A258),1))</f>
        <v/>
      </c>
    </row>
    <row r="259" customFormat="false" ht="15" hidden="false" customHeight="false" outlineLevel="0" collapsed="false">
      <c r="A259" s="55"/>
      <c r="B259" s="6"/>
      <c r="C259" s="6"/>
      <c r="D259" s="40"/>
      <c r="E259" s="39"/>
      <c r="F259" s="35" t="str">
        <f aca="false">IF($B259="","",N($D259)/HORAS_MES*RECARGO_HE)</f>
        <v/>
      </c>
      <c r="G259" s="35" t="str">
        <f aca="false">IF($B259="","",N($E259)*$F259)</f>
        <v/>
      </c>
      <c r="H259" s="40"/>
      <c r="I259" s="35" t="str">
        <f aca="false">IF($B259="","",N($D259)+$G259+N($H259))</f>
        <v/>
      </c>
      <c r="J259" s="35" t="str">
        <f aca="false">IF($B259="","",$I259*CCSS_OBRERO)</f>
        <v/>
      </c>
      <c r="K259" s="40"/>
      <c r="L259" s="35" t="str">
        <f aca="false">IF($B259="","",$I259-$J259-N($K259))</f>
        <v/>
      </c>
      <c r="M259" s="35" t="str">
        <f aca="false">IF($B259="","",$I259*CCSS_PATRONAL)</f>
        <v/>
      </c>
      <c r="N259" s="35" t="str">
        <f aca="false">IF($B259="","",$I259*INS_RT)</f>
        <v/>
      </c>
      <c r="O259" s="35" t="str">
        <f aca="false">IF($B259="","",$I259*PROV_AGUINALDO)</f>
        <v/>
      </c>
      <c r="P259" s="35" t="str">
        <f aca="false">IF($B259="","",$I259*PROV_VACACIONES)</f>
        <v/>
      </c>
      <c r="Q259" s="35" t="str">
        <f aca="false">IF($B259="","",$I259*PROV_CESANTIA)</f>
        <v/>
      </c>
      <c r="R259" s="35" t="str">
        <f aca="false">IF($B259="","",$I259+SUM($M259:$Q259))</f>
        <v/>
      </c>
      <c r="S259" s="46" t="str">
        <f aca="false">IF(OR($A259="",$B259=""),"",DATE(YEAR($A259),MONTH($A259),1))</f>
        <v/>
      </c>
    </row>
    <row r="260" customFormat="false" ht="15" hidden="false" customHeight="false" outlineLevel="0" collapsed="false">
      <c r="A260" s="55"/>
      <c r="B260" s="6"/>
      <c r="C260" s="6"/>
      <c r="D260" s="40"/>
      <c r="E260" s="39"/>
      <c r="F260" s="35" t="str">
        <f aca="false">IF($B260="","",N($D260)/HORAS_MES*RECARGO_HE)</f>
        <v/>
      </c>
      <c r="G260" s="35" t="str">
        <f aca="false">IF($B260="","",N($E260)*$F260)</f>
        <v/>
      </c>
      <c r="H260" s="40"/>
      <c r="I260" s="35" t="str">
        <f aca="false">IF($B260="","",N($D260)+$G260+N($H260))</f>
        <v/>
      </c>
      <c r="J260" s="35" t="str">
        <f aca="false">IF($B260="","",$I260*CCSS_OBRERO)</f>
        <v/>
      </c>
      <c r="K260" s="40"/>
      <c r="L260" s="35" t="str">
        <f aca="false">IF($B260="","",$I260-$J260-N($K260))</f>
        <v/>
      </c>
      <c r="M260" s="35" t="str">
        <f aca="false">IF($B260="","",$I260*CCSS_PATRONAL)</f>
        <v/>
      </c>
      <c r="N260" s="35" t="str">
        <f aca="false">IF($B260="","",$I260*INS_RT)</f>
        <v/>
      </c>
      <c r="O260" s="35" t="str">
        <f aca="false">IF($B260="","",$I260*PROV_AGUINALDO)</f>
        <v/>
      </c>
      <c r="P260" s="35" t="str">
        <f aca="false">IF($B260="","",$I260*PROV_VACACIONES)</f>
        <v/>
      </c>
      <c r="Q260" s="35" t="str">
        <f aca="false">IF($B260="","",$I260*PROV_CESANTIA)</f>
        <v/>
      </c>
      <c r="R260" s="35" t="str">
        <f aca="false">IF($B260="","",$I260+SUM($M260:$Q260))</f>
        <v/>
      </c>
      <c r="S260" s="46" t="str">
        <f aca="false">IF(OR($A260="",$B260=""),"",DATE(YEAR($A260),MONTH($A260),1))</f>
        <v/>
      </c>
    </row>
    <row r="261" customFormat="false" ht="15" hidden="false" customHeight="false" outlineLevel="0" collapsed="false">
      <c r="A261" s="55"/>
      <c r="B261" s="6"/>
      <c r="C261" s="6"/>
      <c r="D261" s="40"/>
      <c r="E261" s="39"/>
      <c r="F261" s="35" t="str">
        <f aca="false">IF($B261="","",N($D261)/HORAS_MES*RECARGO_HE)</f>
        <v/>
      </c>
      <c r="G261" s="35" t="str">
        <f aca="false">IF($B261="","",N($E261)*$F261)</f>
        <v/>
      </c>
      <c r="H261" s="40"/>
      <c r="I261" s="35" t="str">
        <f aca="false">IF($B261="","",N($D261)+$G261+N($H261))</f>
        <v/>
      </c>
      <c r="J261" s="35" t="str">
        <f aca="false">IF($B261="","",$I261*CCSS_OBRERO)</f>
        <v/>
      </c>
      <c r="K261" s="40"/>
      <c r="L261" s="35" t="str">
        <f aca="false">IF($B261="","",$I261-$J261-N($K261))</f>
        <v/>
      </c>
      <c r="M261" s="35" t="str">
        <f aca="false">IF($B261="","",$I261*CCSS_PATRONAL)</f>
        <v/>
      </c>
      <c r="N261" s="35" t="str">
        <f aca="false">IF($B261="","",$I261*INS_RT)</f>
        <v/>
      </c>
      <c r="O261" s="35" t="str">
        <f aca="false">IF($B261="","",$I261*PROV_AGUINALDO)</f>
        <v/>
      </c>
      <c r="P261" s="35" t="str">
        <f aca="false">IF($B261="","",$I261*PROV_VACACIONES)</f>
        <v/>
      </c>
      <c r="Q261" s="35" t="str">
        <f aca="false">IF($B261="","",$I261*PROV_CESANTIA)</f>
        <v/>
      </c>
      <c r="R261" s="35" t="str">
        <f aca="false">IF($B261="","",$I261+SUM($M261:$Q261))</f>
        <v/>
      </c>
      <c r="S261" s="46" t="str">
        <f aca="false">IF(OR($A261="",$B261=""),"",DATE(YEAR($A261),MONTH($A261),1))</f>
        <v/>
      </c>
    </row>
    <row r="262" customFormat="false" ht="15" hidden="false" customHeight="false" outlineLevel="0" collapsed="false">
      <c r="A262" s="55"/>
      <c r="B262" s="6"/>
      <c r="C262" s="6"/>
      <c r="D262" s="40"/>
      <c r="E262" s="39"/>
      <c r="F262" s="35" t="str">
        <f aca="false">IF($B262="","",N($D262)/HORAS_MES*RECARGO_HE)</f>
        <v/>
      </c>
      <c r="G262" s="35" t="str">
        <f aca="false">IF($B262="","",N($E262)*$F262)</f>
        <v/>
      </c>
      <c r="H262" s="40"/>
      <c r="I262" s="35" t="str">
        <f aca="false">IF($B262="","",N($D262)+$G262+N($H262))</f>
        <v/>
      </c>
      <c r="J262" s="35" t="str">
        <f aca="false">IF($B262="","",$I262*CCSS_OBRERO)</f>
        <v/>
      </c>
      <c r="K262" s="40"/>
      <c r="L262" s="35" t="str">
        <f aca="false">IF($B262="","",$I262-$J262-N($K262))</f>
        <v/>
      </c>
      <c r="M262" s="35" t="str">
        <f aca="false">IF($B262="","",$I262*CCSS_PATRONAL)</f>
        <v/>
      </c>
      <c r="N262" s="35" t="str">
        <f aca="false">IF($B262="","",$I262*INS_RT)</f>
        <v/>
      </c>
      <c r="O262" s="35" t="str">
        <f aca="false">IF($B262="","",$I262*PROV_AGUINALDO)</f>
        <v/>
      </c>
      <c r="P262" s="35" t="str">
        <f aca="false">IF($B262="","",$I262*PROV_VACACIONES)</f>
        <v/>
      </c>
      <c r="Q262" s="35" t="str">
        <f aca="false">IF($B262="","",$I262*PROV_CESANTIA)</f>
        <v/>
      </c>
      <c r="R262" s="35" t="str">
        <f aca="false">IF($B262="","",$I262+SUM($M262:$Q262))</f>
        <v/>
      </c>
      <c r="S262" s="46" t="str">
        <f aca="false">IF(OR($A262="",$B262=""),"",DATE(YEAR($A262),MONTH($A262),1))</f>
        <v/>
      </c>
    </row>
    <row r="263" customFormat="false" ht="15" hidden="false" customHeight="false" outlineLevel="0" collapsed="false">
      <c r="A263" s="55"/>
      <c r="B263" s="6"/>
      <c r="C263" s="6"/>
      <c r="D263" s="40"/>
      <c r="E263" s="39"/>
      <c r="F263" s="35" t="str">
        <f aca="false">IF($B263="","",N($D263)/HORAS_MES*RECARGO_HE)</f>
        <v/>
      </c>
      <c r="G263" s="35" t="str">
        <f aca="false">IF($B263="","",N($E263)*$F263)</f>
        <v/>
      </c>
      <c r="H263" s="40"/>
      <c r="I263" s="35" t="str">
        <f aca="false">IF($B263="","",N($D263)+$G263+N($H263))</f>
        <v/>
      </c>
      <c r="J263" s="35" t="str">
        <f aca="false">IF($B263="","",$I263*CCSS_OBRERO)</f>
        <v/>
      </c>
      <c r="K263" s="40"/>
      <c r="L263" s="35" t="str">
        <f aca="false">IF($B263="","",$I263-$J263-N($K263))</f>
        <v/>
      </c>
      <c r="M263" s="35" t="str">
        <f aca="false">IF($B263="","",$I263*CCSS_PATRONAL)</f>
        <v/>
      </c>
      <c r="N263" s="35" t="str">
        <f aca="false">IF($B263="","",$I263*INS_RT)</f>
        <v/>
      </c>
      <c r="O263" s="35" t="str">
        <f aca="false">IF($B263="","",$I263*PROV_AGUINALDO)</f>
        <v/>
      </c>
      <c r="P263" s="35" t="str">
        <f aca="false">IF($B263="","",$I263*PROV_VACACIONES)</f>
        <v/>
      </c>
      <c r="Q263" s="35" t="str">
        <f aca="false">IF($B263="","",$I263*PROV_CESANTIA)</f>
        <v/>
      </c>
      <c r="R263" s="35" t="str">
        <f aca="false">IF($B263="","",$I263+SUM($M263:$Q263))</f>
        <v/>
      </c>
      <c r="S263" s="46" t="str">
        <f aca="false">IF(OR($A263="",$B263=""),"",DATE(YEAR($A263),MONTH($A263),1))</f>
        <v/>
      </c>
    </row>
    <row r="264" customFormat="false" ht="15" hidden="false" customHeight="false" outlineLevel="0" collapsed="false">
      <c r="A264" s="55"/>
      <c r="B264" s="6"/>
      <c r="C264" s="6"/>
      <c r="D264" s="40"/>
      <c r="E264" s="39"/>
      <c r="F264" s="35" t="str">
        <f aca="false">IF($B264="","",N($D264)/HORAS_MES*RECARGO_HE)</f>
        <v/>
      </c>
      <c r="G264" s="35" t="str">
        <f aca="false">IF($B264="","",N($E264)*$F264)</f>
        <v/>
      </c>
      <c r="H264" s="40"/>
      <c r="I264" s="35" t="str">
        <f aca="false">IF($B264="","",N($D264)+$G264+N($H264))</f>
        <v/>
      </c>
      <c r="J264" s="35" t="str">
        <f aca="false">IF($B264="","",$I264*CCSS_OBRERO)</f>
        <v/>
      </c>
      <c r="K264" s="40"/>
      <c r="L264" s="35" t="str">
        <f aca="false">IF($B264="","",$I264-$J264-N($K264))</f>
        <v/>
      </c>
      <c r="M264" s="35" t="str">
        <f aca="false">IF($B264="","",$I264*CCSS_PATRONAL)</f>
        <v/>
      </c>
      <c r="N264" s="35" t="str">
        <f aca="false">IF($B264="","",$I264*INS_RT)</f>
        <v/>
      </c>
      <c r="O264" s="35" t="str">
        <f aca="false">IF($B264="","",$I264*PROV_AGUINALDO)</f>
        <v/>
      </c>
      <c r="P264" s="35" t="str">
        <f aca="false">IF($B264="","",$I264*PROV_VACACIONES)</f>
        <v/>
      </c>
      <c r="Q264" s="35" t="str">
        <f aca="false">IF($B264="","",$I264*PROV_CESANTIA)</f>
        <v/>
      </c>
      <c r="R264" s="35" t="str">
        <f aca="false">IF($B264="","",$I264+SUM($M264:$Q264))</f>
        <v/>
      </c>
      <c r="S264" s="46" t="str">
        <f aca="false">IF(OR($A264="",$B264=""),"",DATE(YEAR($A264),MONTH($A264),1))</f>
        <v/>
      </c>
    </row>
    <row r="265" customFormat="false" ht="15" hidden="false" customHeight="false" outlineLevel="0" collapsed="false">
      <c r="A265" s="55"/>
      <c r="B265" s="6"/>
      <c r="C265" s="6"/>
      <c r="D265" s="40"/>
      <c r="E265" s="39"/>
      <c r="F265" s="35" t="str">
        <f aca="false">IF($B265="","",N($D265)/HORAS_MES*RECARGO_HE)</f>
        <v/>
      </c>
      <c r="G265" s="35" t="str">
        <f aca="false">IF($B265="","",N($E265)*$F265)</f>
        <v/>
      </c>
      <c r="H265" s="40"/>
      <c r="I265" s="35" t="str">
        <f aca="false">IF($B265="","",N($D265)+$G265+N($H265))</f>
        <v/>
      </c>
      <c r="J265" s="35" t="str">
        <f aca="false">IF($B265="","",$I265*CCSS_OBRERO)</f>
        <v/>
      </c>
      <c r="K265" s="40"/>
      <c r="L265" s="35" t="str">
        <f aca="false">IF($B265="","",$I265-$J265-N($K265))</f>
        <v/>
      </c>
      <c r="M265" s="35" t="str">
        <f aca="false">IF($B265="","",$I265*CCSS_PATRONAL)</f>
        <v/>
      </c>
      <c r="N265" s="35" t="str">
        <f aca="false">IF($B265="","",$I265*INS_RT)</f>
        <v/>
      </c>
      <c r="O265" s="35" t="str">
        <f aca="false">IF($B265="","",$I265*PROV_AGUINALDO)</f>
        <v/>
      </c>
      <c r="P265" s="35" t="str">
        <f aca="false">IF($B265="","",$I265*PROV_VACACIONES)</f>
        <v/>
      </c>
      <c r="Q265" s="35" t="str">
        <f aca="false">IF($B265="","",$I265*PROV_CESANTIA)</f>
        <v/>
      </c>
      <c r="R265" s="35" t="str">
        <f aca="false">IF($B265="","",$I265+SUM($M265:$Q265))</f>
        <v/>
      </c>
      <c r="S265" s="46" t="str">
        <f aca="false">IF(OR($A265="",$B265=""),"",DATE(YEAR($A265),MONTH($A265),1))</f>
        <v/>
      </c>
    </row>
    <row r="266" customFormat="false" ht="15" hidden="false" customHeight="false" outlineLevel="0" collapsed="false">
      <c r="A266" s="55"/>
      <c r="B266" s="6"/>
      <c r="C266" s="6"/>
      <c r="D266" s="40"/>
      <c r="E266" s="39"/>
      <c r="F266" s="35" t="str">
        <f aca="false">IF($B266="","",N($D266)/HORAS_MES*RECARGO_HE)</f>
        <v/>
      </c>
      <c r="G266" s="35" t="str">
        <f aca="false">IF($B266="","",N($E266)*$F266)</f>
        <v/>
      </c>
      <c r="H266" s="40"/>
      <c r="I266" s="35" t="str">
        <f aca="false">IF($B266="","",N($D266)+$G266+N($H266))</f>
        <v/>
      </c>
      <c r="J266" s="35" t="str">
        <f aca="false">IF($B266="","",$I266*CCSS_OBRERO)</f>
        <v/>
      </c>
      <c r="K266" s="40"/>
      <c r="L266" s="35" t="str">
        <f aca="false">IF($B266="","",$I266-$J266-N($K266))</f>
        <v/>
      </c>
      <c r="M266" s="35" t="str">
        <f aca="false">IF($B266="","",$I266*CCSS_PATRONAL)</f>
        <v/>
      </c>
      <c r="N266" s="35" t="str">
        <f aca="false">IF($B266="","",$I266*INS_RT)</f>
        <v/>
      </c>
      <c r="O266" s="35" t="str">
        <f aca="false">IF($B266="","",$I266*PROV_AGUINALDO)</f>
        <v/>
      </c>
      <c r="P266" s="35" t="str">
        <f aca="false">IF($B266="","",$I266*PROV_VACACIONES)</f>
        <v/>
      </c>
      <c r="Q266" s="35" t="str">
        <f aca="false">IF($B266="","",$I266*PROV_CESANTIA)</f>
        <v/>
      </c>
      <c r="R266" s="35" t="str">
        <f aca="false">IF($B266="","",$I266+SUM($M266:$Q266))</f>
        <v/>
      </c>
      <c r="S266" s="46" t="str">
        <f aca="false">IF(OR($A266="",$B266=""),"",DATE(YEAR($A266),MONTH($A266),1))</f>
        <v/>
      </c>
    </row>
    <row r="267" customFormat="false" ht="15" hidden="false" customHeight="false" outlineLevel="0" collapsed="false">
      <c r="A267" s="55"/>
      <c r="B267" s="6"/>
      <c r="C267" s="6"/>
      <c r="D267" s="40"/>
      <c r="E267" s="39"/>
      <c r="F267" s="35" t="str">
        <f aca="false">IF($B267="","",N($D267)/HORAS_MES*RECARGO_HE)</f>
        <v/>
      </c>
      <c r="G267" s="35" t="str">
        <f aca="false">IF($B267="","",N($E267)*$F267)</f>
        <v/>
      </c>
      <c r="H267" s="40"/>
      <c r="I267" s="35" t="str">
        <f aca="false">IF($B267="","",N($D267)+$G267+N($H267))</f>
        <v/>
      </c>
      <c r="J267" s="35" t="str">
        <f aca="false">IF($B267="","",$I267*CCSS_OBRERO)</f>
        <v/>
      </c>
      <c r="K267" s="40"/>
      <c r="L267" s="35" t="str">
        <f aca="false">IF($B267="","",$I267-$J267-N($K267))</f>
        <v/>
      </c>
      <c r="M267" s="35" t="str">
        <f aca="false">IF($B267="","",$I267*CCSS_PATRONAL)</f>
        <v/>
      </c>
      <c r="N267" s="35" t="str">
        <f aca="false">IF($B267="","",$I267*INS_RT)</f>
        <v/>
      </c>
      <c r="O267" s="35" t="str">
        <f aca="false">IF($B267="","",$I267*PROV_AGUINALDO)</f>
        <v/>
      </c>
      <c r="P267" s="35" t="str">
        <f aca="false">IF($B267="","",$I267*PROV_VACACIONES)</f>
        <v/>
      </c>
      <c r="Q267" s="35" t="str">
        <f aca="false">IF($B267="","",$I267*PROV_CESANTIA)</f>
        <v/>
      </c>
      <c r="R267" s="35" t="str">
        <f aca="false">IF($B267="","",$I267+SUM($M267:$Q267))</f>
        <v/>
      </c>
      <c r="S267" s="46" t="str">
        <f aca="false">IF(OR($A267="",$B267=""),"",DATE(YEAR($A267),MONTH($A267),1))</f>
        <v/>
      </c>
    </row>
    <row r="268" customFormat="false" ht="15" hidden="false" customHeight="false" outlineLevel="0" collapsed="false">
      <c r="A268" s="55"/>
      <c r="B268" s="6"/>
      <c r="C268" s="6"/>
      <c r="D268" s="40"/>
      <c r="E268" s="39"/>
      <c r="F268" s="35" t="str">
        <f aca="false">IF($B268="","",N($D268)/HORAS_MES*RECARGO_HE)</f>
        <v/>
      </c>
      <c r="G268" s="35" t="str">
        <f aca="false">IF($B268="","",N($E268)*$F268)</f>
        <v/>
      </c>
      <c r="H268" s="40"/>
      <c r="I268" s="35" t="str">
        <f aca="false">IF($B268="","",N($D268)+$G268+N($H268))</f>
        <v/>
      </c>
      <c r="J268" s="35" t="str">
        <f aca="false">IF($B268="","",$I268*CCSS_OBRERO)</f>
        <v/>
      </c>
      <c r="K268" s="40"/>
      <c r="L268" s="35" t="str">
        <f aca="false">IF($B268="","",$I268-$J268-N($K268))</f>
        <v/>
      </c>
      <c r="M268" s="35" t="str">
        <f aca="false">IF($B268="","",$I268*CCSS_PATRONAL)</f>
        <v/>
      </c>
      <c r="N268" s="35" t="str">
        <f aca="false">IF($B268="","",$I268*INS_RT)</f>
        <v/>
      </c>
      <c r="O268" s="35" t="str">
        <f aca="false">IF($B268="","",$I268*PROV_AGUINALDO)</f>
        <v/>
      </c>
      <c r="P268" s="35" t="str">
        <f aca="false">IF($B268="","",$I268*PROV_VACACIONES)</f>
        <v/>
      </c>
      <c r="Q268" s="35" t="str">
        <f aca="false">IF($B268="","",$I268*PROV_CESANTIA)</f>
        <v/>
      </c>
      <c r="R268" s="35" t="str">
        <f aca="false">IF($B268="","",$I268+SUM($M268:$Q268))</f>
        <v/>
      </c>
      <c r="S268" s="46" t="str">
        <f aca="false">IF(OR($A268="",$B268=""),"",DATE(YEAR($A268),MONTH($A268),1))</f>
        <v/>
      </c>
    </row>
    <row r="269" customFormat="false" ht="15" hidden="false" customHeight="false" outlineLevel="0" collapsed="false">
      <c r="A269" s="55"/>
      <c r="B269" s="6"/>
      <c r="C269" s="6"/>
      <c r="D269" s="40"/>
      <c r="E269" s="39"/>
      <c r="F269" s="35" t="str">
        <f aca="false">IF($B269="","",N($D269)/HORAS_MES*RECARGO_HE)</f>
        <v/>
      </c>
      <c r="G269" s="35" t="str">
        <f aca="false">IF($B269="","",N($E269)*$F269)</f>
        <v/>
      </c>
      <c r="H269" s="40"/>
      <c r="I269" s="35" t="str">
        <f aca="false">IF($B269="","",N($D269)+$G269+N($H269))</f>
        <v/>
      </c>
      <c r="J269" s="35" t="str">
        <f aca="false">IF($B269="","",$I269*CCSS_OBRERO)</f>
        <v/>
      </c>
      <c r="K269" s="40"/>
      <c r="L269" s="35" t="str">
        <f aca="false">IF($B269="","",$I269-$J269-N($K269))</f>
        <v/>
      </c>
      <c r="M269" s="35" t="str">
        <f aca="false">IF($B269="","",$I269*CCSS_PATRONAL)</f>
        <v/>
      </c>
      <c r="N269" s="35" t="str">
        <f aca="false">IF($B269="","",$I269*INS_RT)</f>
        <v/>
      </c>
      <c r="O269" s="35" t="str">
        <f aca="false">IF($B269="","",$I269*PROV_AGUINALDO)</f>
        <v/>
      </c>
      <c r="P269" s="35" t="str">
        <f aca="false">IF($B269="","",$I269*PROV_VACACIONES)</f>
        <v/>
      </c>
      <c r="Q269" s="35" t="str">
        <f aca="false">IF($B269="","",$I269*PROV_CESANTIA)</f>
        <v/>
      </c>
      <c r="R269" s="35" t="str">
        <f aca="false">IF($B269="","",$I269+SUM($M269:$Q269))</f>
        <v/>
      </c>
      <c r="S269" s="46" t="str">
        <f aca="false">IF(OR($A269="",$B269=""),"",DATE(YEAR($A269),MONTH($A269),1))</f>
        <v/>
      </c>
    </row>
    <row r="270" customFormat="false" ht="15" hidden="false" customHeight="false" outlineLevel="0" collapsed="false">
      <c r="A270" s="55"/>
      <c r="B270" s="6"/>
      <c r="C270" s="6"/>
      <c r="D270" s="40"/>
      <c r="E270" s="39"/>
      <c r="F270" s="35" t="str">
        <f aca="false">IF($B270="","",N($D270)/HORAS_MES*RECARGO_HE)</f>
        <v/>
      </c>
      <c r="G270" s="35" t="str">
        <f aca="false">IF($B270="","",N($E270)*$F270)</f>
        <v/>
      </c>
      <c r="H270" s="40"/>
      <c r="I270" s="35" t="str">
        <f aca="false">IF($B270="","",N($D270)+$G270+N($H270))</f>
        <v/>
      </c>
      <c r="J270" s="35" t="str">
        <f aca="false">IF($B270="","",$I270*CCSS_OBRERO)</f>
        <v/>
      </c>
      <c r="K270" s="40"/>
      <c r="L270" s="35" t="str">
        <f aca="false">IF($B270="","",$I270-$J270-N($K270))</f>
        <v/>
      </c>
      <c r="M270" s="35" t="str">
        <f aca="false">IF($B270="","",$I270*CCSS_PATRONAL)</f>
        <v/>
      </c>
      <c r="N270" s="35" t="str">
        <f aca="false">IF($B270="","",$I270*INS_RT)</f>
        <v/>
      </c>
      <c r="O270" s="35" t="str">
        <f aca="false">IF($B270="","",$I270*PROV_AGUINALDO)</f>
        <v/>
      </c>
      <c r="P270" s="35" t="str">
        <f aca="false">IF($B270="","",$I270*PROV_VACACIONES)</f>
        <v/>
      </c>
      <c r="Q270" s="35" t="str">
        <f aca="false">IF($B270="","",$I270*PROV_CESANTIA)</f>
        <v/>
      </c>
      <c r="R270" s="35" t="str">
        <f aca="false">IF($B270="","",$I270+SUM($M270:$Q270))</f>
        <v/>
      </c>
      <c r="S270" s="46" t="str">
        <f aca="false">IF(OR($A270="",$B270=""),"",DATE(YEAR($A270),MONTH($A270),1))</f>
        <v/>
      </c>
    </row>
    <row r="271" customFormat="false" ht="15" hidden="false" customHeight="false" outlineLevel="0" collapsed="false">
      <c r="A271" s="55"/>
      <c r="B271" s="6"/>
      <c r="C271" s="6"/>
      <c r="D271" s="40"/>
      <c r="E271" s="39"/>
      <c r="F271" s="35" t="str">
        <f aca="false">IF($B271="","",N($D271)/HORAS_MES*RECARGO_HE)</f>
        <v/>
      </c>
      <c r="G271" s="35" t="str">
        <f aca="false">IF($B271="","",N($E271)*$F271)</f>
        <v/>
      </c>
      <c r="H271" s="40"/>
      <c r="I271" s="35" t="str">
        <f aca="false">IF($B271="","",N($D271)+$G271+N($H271))</f>
        <v/>
      </c>
      <c r="J271" s="35" t="str">
        <f aca="false">IF($B271="","",$I271*CCSS_OBRERO)</f>
        <v/>
      </c>
      <c r="K271" s="40"/>
      <c r="L271" s="35" t="str">
        <f aca="false">IF($B271="","",$I271-$J271-N($K271))</f>
        <v/>
      </c>
      <c r="M271" s="35" t="str">
        <f aca="false">IF($B271="","",$I271*CCSS_PATRONAL)</f>
        <v/>
      </c>
      <c r="N271" s="35" t="str">
        <f aca="false">IF($B271="","",$I271*INS_RT)</f>
        <v/>
      </c>
      <c r="O271" s="35" t="str">
        <f aca="false">IF($B271="","",$I271*PROV_AGUINALDO)</f>
        <v/>
      </c>
      <c r="P271" s="35" t="str">
        <f aca="false">IF($B271="","",$I271*PROV_VACACIONES)</f>
        <v/>
      </c>
      <c r="Q271" s="35" t="str">
        <f aca="false">IF($B271="","",$I271*PROV_CESANTIA)</f>
        <v/>
      </c>
      <c r="R271" s="35" t="str">
        <f aca="false">IF($B271="","",$I271+SUM($M271:$Q271))</f>
        <v/>
      </c>
      <c r="S271" s="46" t="str">
        <f aca="false">IF(OR($A271="",$B271=""),"",DATE(YEAR($A271),MONTH($A271),1))</f>
        <v/>
      </c>
    </row>
    <row r="272" customFormat="false" ht="15" hidden="false" customHeight="false" outlineLevel="0" collapsed="false">
      <c r="A272" s="55"/>
      <c r="B272" s="6"/>
      <c r="C272" s="6"/>
      <c r="D272" s="40"/>
      <c r="E272" s="39"/>
      <c r="F272" s="35" t="str">
        <f aca="false">IF($B272="","",N($D272)/HORAS_MES*RECARGO_HE)</f>
        <v/>
      </c>
      <c r="G272" s="35" t="str">
        <f aca="false">IF($B272="","",N($E272)*$F272)</f>
        <v/>
      </c>
      <c r="H272" s="40"/>
      <c r="I272" s="35" t="str">
        <f aca="false">IF($B272="","",N($D272)+$G272+N($H272))</f>
        <v/>
      </c>
      <c r="J272" s="35" t="str">
        <f aca="false">IF($B272="","",$I272*CCSS_OBRERO)</f>
        <v/>
      </c>
      <c r="K272" s="40"/>
      <c r="L272" s="35" t="str">
        <f aca="false">IF($B272="","",$I272-$J272-N($K272))</f>
        <v/>
      </c>
      <c r="M272" s="35" t="str">
        <f aca="false">IF($B272="","",$I272*CCSS_PATRONAL)</f>
        <v/>
      </c>
      <c r="N272" s="35" t="str">
        <f aca="false">IF($B272="","",$I272*INS_RT)</f>
        <v/>
      </c>
      <c r="O272" s="35" t="str">
        <f aca="false">IF($B272="","",$I272*PROV_AGUINALDO)</f>
        <v/>
      </c>
      <c r="P272" s="35" t="str">
        <f aca="false">IF($B272="","",$I272*PROV_VACACIONES)</f>
        <v/>
      </c>
      <c r="Q272" s="35" t="str">
        <f aca="false">IF($B272="","",$I272*PROV_CESANTIA)</f>
        <v/>
      </c>
      <c r="R272" s="35" t="str">
        <f aca="false">IF($B272="","",$I272+SUM($M272:$Q272))</f>
        <v/>
      </c>
      <c r="S272" s="46" t="str">
        <f aca="false">IF(OR($A272="",$B272=""),"",DATE(YEAR($A272),MONTH($A272),1))</f>
        <v/>
      </c>
    </row>
    <row r="273" customFormat="false" ht="15" hidden="false" customHeight="false" outlineLevel="0" collapsed="false">
      <c r="A273" s="55"/>
      <c r="B273" s="6"/>
      <c r="C273" s="6"/>
      <c r="D273" s="40"/>
      <c r="E273" s="39"/>
      <c r="F273" s="35" t="str">
        <f aca="false">IF($B273="","",N($D273)/HORAS_MES*RECARGO_HE)</f>
        <v/>
      </c>
      <c r="G273" s="35" t="str">
        <f aca="false">IF($B273="","",N($E273)*$F273)</f>
        <v/>
      </c>
      <c r="H273" s="40"/>
      <c r="I273" s="35" t="str">
        <f aca="false">IF($B273="","",N($D273)+$G273+N($H273))</f>
        <v/>
      </c>
      <c r="J273" s="35" t="str">
        <f aca="false">IF($B273="","",$I273*CCSS_OBRERO)</f>
        <v/>
      </c>
      <c r="K273" s="40"/>
      <c r="L273" s="35" t="str">
        <f aca="false">IF($B273="","",$I273-$J273-N($K273))</f>
        <v/>
      </c>
      <c r="M273" s="35" t="str">
        <f aca="false">IF($B273="","",$I273*CCSS_PATRONAL)</f>
        <v/>
      </c>
      <c r="N273" s="35" t="str">
        <f aca="false">IF($B273="","",$I273*INS_RT)</f>
        <v/>
      </c>
      <c r="O273" s="35" t="str">
        <f aca="false">IF($B273="","",$I273*PROV_AGUINALDO)</f>
        <v/>
      </c>
      <c r="P273" s="35" t="str">
        <f aca="false">IF($B273="","",$I273*PROV_VACACIONES)</f>
        <v/>
      </c>
      <c r="Q273" s="35" t="str">
        <f aca="false">IF($B273="","",$I273*PROV_CESANTIA)</f>
        <v/>
      </c>
      <c r="R273" s="35" t="str">
        <f aca="false">IF($B273="","",$I273+SUM($M273:$Q273))</f>
        <v/>
      </c>
      <c r="S273" s="46" t="str">
        <f aca="false">IF(OR($A273="",$B273=""),"",DATE(YEAR($A273),MONTH($A273),1))</f>
        <v/>
      </c>
    </row>
    <row r="274" customFormat="false" ht="15" hidden="false" customHeight="false" outlineLevel="0" collapsed="false">
      <c r="A274" s="55"/>
      <c r="B274" s="6"/>
      <c r="C274" s="6"/>
      <c r="D274" s="40"/>
      <c r="E274" s="39"/>
      <c r="F274" s="35" t="str">
        <f aca="false">IF($B274="","",N($D274)/HORAS_MES*RECARGO_HE)</f>
        <v/>
      </c>
      <c r="G274" s="35" t="str">
        <f aca="false">IF($B274="","",N($E274)*$F274)</f>
        <v/>
      </c>
      <c r="H274" s="40"/>
      <c r="I274" s="35" t="str">
        <f aca="false">IF($B274="","",N($D274)+$G274+N($H274))</f>
        <v/>
      </c>
      <c r="J274" s="35" t="str">
        <f aca="false">IF($B274="","",$I274*CCSS_OBRERO)</f>
        <v/>
      </c>
      <c r="K274" s="40"/>
      <c r="L274" s="35" t="str">
        <f aca="false">IF($B274="","",$I274-$J274-N($K274))</f>
        <v/>
      </c>
      <c r="M274" s="35" t="str">
        <f aca="false">IF($B274="","",$I274*CCSS_PATRONAL)</f>
        <v/>
      </c>
      <c r="N274" s="35" t="str">
        <f aca="false">IF($B274="","",$I274*INS_RT)</f>
        <v/>
      </c>
      <c r="O274" s="35" t="str">
        <f aca="false">IF($B274="","",$I274*PROV_AGUINALDO)</f>
        <v/>
      </c>
      <c r="P274" s="35" t="str">
        <f aca="false">IF($B274="","",$I274*PROV_VACACIONES)</f>
        <v/>
      </c>
      <c r="Q274" s="35" t="str">
        <f aca="false">IF($B274="","",$I274*PROV_CESANTIA)</f>
        <v/>
      </c>
      <c r="R274" s="35" t="str">
        <f aca="false">IF($B274="","",$I274+SUM($M274:$Q274))</f>
        <v/>
      </c>
      <c r="S274" s="46" t="str">
        <f aca="false">IF(OR($A274="",$B274=""),"",DATE(YEAR($A274),MONTH($A274),1))</f>
        <v/>
      </c>
    </row>
    <row r="275" customFormat="false" ht="15" hidden="false" customHeight="false" outlineLevel="0" collapsed="false">
      <c r="A275" s="55"/>
      <c r="B275" s="6"/>
      <c r="C275" s="6"/>
      <c r="D275" s="40"/>
      <c r="E275" s="39"/>
      <c r="F275" s="35" t="str">
        <f aca="false">IF($B275="","",N($D275)/HORAS_MES*RECARGO_HE)</f>
        <v/>
      </c>
      <c r="G275" s="35" t="str">
        <f aca="false">IF($B275="","",N($E275)*$F275)</f>
        <v/>
      </c>
      <c r="H275" s="40"/>
      <c r="I275" s="35" t="str">
        <f aca="false">IF($B275="","",N($D275)+$G275+N($H275))</f>
        <v/>
      </c>
      <c r="J275" s="35" t="str">
        <f aca="false">IF($B275="","",$I275*CCSS_OBRERO)</f>
        <v/>
      </c>
      <c r="K275" s="40"/>
      <c r="L275" s="35" t="str">
        <f aca="false">IF($B275="","",$I275-$J275-N($K275))</f>
        <v/>
      </c>
      <c r="M275" s="35" t="str">
        <f aca="false">IF($B275="","",$I275*CCSS_PATRONAL)</f>
        <v/>
      </c>
      <c r="N275" s="35" t="str">
        <f aca="false">IF($B275="","",$I275*INS_RT)</f>
        <v/>
      </c>
      <c r="O275" s="35" t="str">
        <f aca="false">IF($B275="","",$I275*PROV_AGUINALDO)</f>
        <v/>
      </c>
      <c r="P275" s="35" t="str">
        <f aca="false">IF($B275="","",$I275*PROV_VACACIONES)</f>
        <v/>
      </c>
      <c r="Q275" s="35" t="str">
        <f aca="false">IF($B275="","",$I275*PROV_CESANTIA)</f>
        <v/>
      </c>
      <c r="R275" s="35" t="str">
        <f aca="false">IF($B275="","",$I275+SUM($M275:$Q275))</f>
        <v/>
      </c>
      <c r="S275" s="46" t="str">
        <f aca="false">IF(OR($A275="",$B275=""),"",DATE(YEAR($A275),MONTH($A275),1))</f>
        <v/>
      </c>
    </row>
    <row r="276" customFormat="false" ht="15" hidden="false" customHeight="false" outlineLevel="0" collapsed="false">
      <c r="A276" s="55"/>
      <c r="B276" s="6"/>
      <c r="C276" s="6"/>
      <c r="D276" s="40"/>
      <c r="E276" s="39"/>
      <c r="F276" s="35" t="str">
        <f aca="false">IF($B276="","",N($D276)/HORAS_MES*RECARGO_HE)</f>
        <v/>
      </c>
      <c r="G276" s="35" t="str">
        <f aca="false">IF($B276="","",N($E276)*$F276)</f>
        <v/>
      </c>
      <c r="H276" s="40"/>
      <c r="I276" s="35" t="str">
        <f aca="false">IF($B276="","",N($D276)+$G276+N($H276))</f>
        <v/>
      </c>
      <c r="J276" s="35" t="str">
        <f aca="false">IF($B276="","",$I276*CCSS_OBRERO)</f>
        <v/>
      </c>
      <c r="K276" s="40"/>
      <c r="L276" s="35" t="str">
        <f aca="false">IF($B276="","",$I276-$J276-N($K276))</f>
        <v/>
      </c>
      <c r="M276" s="35" t="str">
        <f aca="false">IF($B276="","",$I276*CCSS_PATRONAL)</f>
        <v/>
      </c>
      <c r="N276" s="35" t="str">
        <f aca="false">IF($B276="","",$I276*INS_RT)</f>
        <v/>
      </c>
      <c r="O276" s="35" t="str">
        <f aca="false">IF($B276="","",$I276*PROV_AGUINALDO)</f>
        <v/>
      </c>
      <c r="P276" s="35" t="str">
        <f aca="false">IF($B276="","",$I276*PROV_VACACIONES)</f>
        <v/>
      </c>
      <c r="Q276" s="35" t="str">
        <f aca="false">IF($B276="","",$I276*PROV_CESANTIA)</f>
        <v/>
      </c>
      <c r="R276" s="35" t="str">
        <f aca="false">IF($B276="","",$I276+SUM($M276:$Q276))</f>
        <v/>
      </c>
      <c r="S276" s="46" t="str">
        <f aca="false">IF(OR($A276="",$B276=""),"",DATE(YEAR($A276),MONTH($A276),1))</f>
        <v/>
      </c>
    </row>
    <row r="277" customFormat="false" ht="15" hidden="false" customHeight="false" outlineLevel="0" collapsed="false">
      <c r="A277" s="55"/>
      <c r="B277" s="6"/>
      <c r="C277" s="6"/>
      <c r="D277" s="40"/>
      <c r="E277" s="39"/>
      <c r="F277" s="35" t="str">
        <f aca="false">IF($B277="","",N($D277)/HORAS_MES*RECARGO_HE)</f>
        <v/>
      </c>
      <c r="G277" s="35" t="str">
        <f aca="false">IF($B277="","",N($E277)*$F277)</f>
        <v/>
      </c>
      <c r="H277" s="40"/>
      <c r="I277" s="35" t="str">
        <f aca="false">IF($B277="","",N($D277)+$G277+N($H277))</f>
        <v/>
      </c>
      <c r="J277" s="35" t="str">
        <f aca="false">IF($B277="","",$I277*CCSS_OBRERO)</f>
        <v/>
      </c>
      <c r="K277" s="40"/>
      <c r="L277" s="35" t="str">
        <f aca="false">IF($B277="","",$I277-$J277-N($K277))</f>
        <v/>
      </c>
      <c r="M277" s="35" t="str">
        <f aca="false">IF($B277="","",$I277*CCSS_PATRONAL)</f>
        <v/>
      </c>
      <c r="N277" s="35" t="str">
        <f aca="false">IF($B277="","",$I277*INS_RT)</f>
        <v/>
      </c>
      <c r="O277" s="35" t="str">
        <f aca="false">IF($B277="","",$I277*PROV_AGUINALDO)</f>
        <v/>
      </c>
      <c r="P277" s="35" t="str">
        <f aca="false">IF($B277="","",$I277*PROV_VACACIONES)</f>
        <v/>
      </c>
      <c r="Q277" s="35" t="str">
        <f aca="false">IF($B277="","",$I277*PROV_CESANTIA)</f>
        <v/>
      </c>
      <c r="R277" s="35" t="str">
        <f aca="false">IF($B277="","",$I277+SUM($M277:$Q277))</f>
        <v/>
      </c>
      <c r="S277" s="46" t="str">
        <f aca="false">IF(OR($A277="",$B277=""),"",DATE(YEAR($A277),MONTH($A277),1))</f>
        <v/>
      </c>
    </row>
    <row r="278" customFormat="false" ht="15" hidden="false" customHeight="false" outlineLevel="0" collapsed="false">
      <c r="A278" s="55"/>
      <c r="B278" s="6"/>
      <c r="C278" s="6"/>
      <c r="D278" s="40"/>
      <c r="E278" s="39"/>
      <c r="F278" s="35" t="str">
        <f aca="false">IF($B278="","",N($D278)/HORAS_MES*RECARGO_HE)</f>
        <v/>
      </c>
      <c r="G278" s="35" t="str">
        <f aca="false">IF($B278="","",N($E278)*$F278)</f>
        <v/>
      </c>
      <c r="H278" s="40"/>
      <c r="I278" s="35" t="str">
        <f aca="false">IF($B278="","",N($D278)+$G278+N($H278))</f>
        <v/>
      </c>
      <c r="J278" s="35" t="str">
        <f aca="false">IF($B278="","",$I278*CCSS_OBRERO)</f>
        <v/>
      </c>
      <c r="K278" s="40"/>
      <c r="L278" s="35" t="str">
        <f aca="false">IF($B278="","",$I278-$J278-N($K278))</f>
        <v/>
      </c>
      <c r="M278" s="35" t="str">
        <f aca="false">IF($B278="","",$I278*CCSS_PATRONAL)</f>
        <v/>
      </c>
      <c r="N278" s="35" t="str">
        <f aca="false">IF($B278="","",$I278*INS_RT)</f>
        <v/>
      </c>
      <c r="O278" s="35" t="str">
        <f aca="false">IF($B278="","",$I278*PROV_AGUINALDO)</f>
        <v/>
      </c>
      <c r="P278" s="35" t="str">
        <f aca="false">IF($B278="","",$I278*PROV_VACACIONES)</f>
        <v/>
      </c>
      <c r="Q278" s="35" t="str">
        <f aca="false">IF($B278="","",$I278*PROV_CESANTIA)</f>
        <v/>
      </c>
      <c r="R278" s="35" t="str">
        <f aca="false">IF($B278="","",$I278+SUM($M278:$Q278))</f>
        <v/>
      </c>
      <c r="S278" s="46" t="str">
        <f aca="false">IF(OR($A278="",$B278=""),"",DATE(YEAR($A278),MONTH($A278),1))</f>
        <v/>
      </c>
    </row>
    <row r="279" customFormat="false" ht="15" hidden="false" customHeight="false" outlineLevel="0" collapsed="false">
      <c r="A279" s="55"/>
      <c r="B279" s="6"/>
      <c r="C279" s="6"/>
      <c r="D279" s="40"/>
      <c r="E279" s="39"/>
      <c r="F279" s="35" t="str">
        <f aca="false">IF($B279="","",N($D279)/HORAS_MES*RECARGO_HE)</f>
        <v/>
      </c>
      <c r="G279" s="35" t="str">
        <f aca="false">IF($B279="","",N($E279)*$F279)</f>
        <v/>
      </c>
      <c r="H279" s="40"/>
      <c r="I279" s="35" t="str">
        <f aca="false">IF($B279="","",N($D279)+$G279+N($H279))</f>
        <v/>
      </c>
      <c r="J279" s="35" t="str">
        <f aca="false">IF($B279="","",$I279*CCSS_OBRERO)</f>
        <v/>
      </c>
      <c r="K279" s="40"/>
      <c r="L279" s="35" t="str">
        <f aca="false">IF($B279="","",$I279-$J279-N($K279))</f>
        <v/>
      </c>
      <c r="M279" s="35" t="str">
        <f aca="false">IF($B279="","",$I279*CCSS_PATRONAL)</f>
        <v/>
      </c>
      <c r="N279" s="35" t="str">
        <f aca="false">IF($B279="","",$I279*INS_RT)</f>
        <v/>
      </c>
      <c r="O279" s="35" t="str">
        <f aca="false">IF($B279="","",$I279*PROV_AGUINALDO)</f>
        <v/>
      </c>
      <c r="P279" s="35" t="str">
        <f aca="false">IF($B279="","",$I279*PROV_VACACIONES)</f>
        <v/>
      </c>
      <c r="Q279" s="35" t="str">
        <f aca="false">IF($B279="","",$I279*PROV_CESANTIA)</f>
        <v/>
      </c>
      <c r="R279" s="35" t="str">
        <f aca="false">IF($B279="","",$I279+SUM($M279:$Q279))</f>
        <v/>
      </c>
      <c r="S279" s="46" t="str">
        <f aca="false">IF(OR($A279="",$B279=""),"",DATE(YEAR($A279),MONTH($A279),1))</f>
        <v/>
      </c>
    </row>
    <row r="280" customFormat="false" ht="15" hidden="false" customHeight="false" outlineLevel="0" collapsed="false">
      <c r="A280" s="55"/>
      <c r="B280" s="6"/>
      <c r="C280" s="6"/>
      <c r="D280" s="40"/>
      <c r="E280" s="39"/>
      <c r="F280" s="35" t="str">
        <f aca="false">IF($B280="","",N($D280)/HORAS_MES*RECARGO_HE)</f>
        <v/>
      </c>
      <c r="G280" s="35" t="str">
        <f aca="false">IF($B280="","",N($E280)*$F280)</f>
        <v/>
      </c>
      <c r="H280" s="40"/>
      <c r="I280" s="35" t="str">
        <f aca="false">IF($B280="","",N($D280)+$G280+N($H280))</f>
        <v/>
      </c>
      <c r="J280" s="35" t="str">
        <f aca="false">IF($B280="","",$I280*CCSS_OBRERO)</f>
        <v/>
      </c>
      <c r="K280" s="40"/>
      <c r="L280" s="35" t="str">
        <f aca="false">IF($B280="","",$I280-$J280-N($K280))</f>
        <v/>
      </c>
      <c r="M280" s="35" t="str">
        <f aca="false">IF($B280="","",$I280*CCSS_PATRONAL)</f>
        <v/>
      </c>
      <c r="N280" s="35" t="str">
        <f aca="false">IF($B280="","",$I280*INS_RT)</f>
        <v/>
      </c>
      <c r="O280" s="35" t="str">
        <f aca="false">IF($B280="","",$I280*PROV_AGUINALDO)</f>
        <v/>
      </c>
      <c r="P280" s="35" t="str">
        <f aca="false">IF($B280="","",$I280*PROV_VACACIONES)</f>
        <v/>
      </c>
      <c r="Q280" s="35" t="str">
        <f aca="false">IF($B280="","",$I280*PROV_CESANTIA)</f>
        <v/>
      </c>
      <c r="R280" s="35" t="str">
        <f aca="false">IF($B280="","",$I280+SUM($M280:$Q280))</f>
        <v/>
      </c>
      <c r="S280" s="46" t="str">
        <f aca="false">IF(OR($A280="",$B280=""),"",DATE(YEAR($A280),MONTH($A280),1))</f>
        <v/>
      </c>
    </row>
    <row r="281" customFormat="false" ht="15" hidden="false" customHeight="false" outlineLevel="0" collapsed="false">
      <c r="A281" s="55"/>
      <c r="B281" s="6"/>
      <c r="C281" s="6"/>
      <c r="D281" s="40"/>
      <c r="E281" s="39"/>
      <c r="F281" s="35" t="str">
        <f aca="false">IF($B281="","",N($D281)/HORAS_MES*RECARGO_HE)</f>
        <v/>
      </c>
      <c r="G281" s="35" t="str">
        <f aca="false">IF($B281="","",N($E281)*$F281)</f>
        <v/>
      </c>
      <c r="H281" s="40"/>
      <c r="I281" s="35" t="str">
        <f aca="false">IF($B281="","",N($D281)+$G281+N($H281))</f>
        <v/>
      </c>
      <c r="J281" s="35" t="str">
        <f aca="false">IF($B281="","",$I281*CCSS_OBRERO)</f>
        <v/>
      </c>
      <c r="K281" s="40"/>
      <c r="L281" s="35" t="str">
        <f aca="false">IF($B281="","",$I281-$J281-N($K281))</f>
        <v/>
      </c>
      <c r="M281" s="35" t="str">
        <f aca="false">IF($B281="","",$I281*CCSS_PATRONAL)</f>
        <v/>
      </c>
      <c r="N281" s="35" t="str">
        <f aca="false">IF($B281="","",$I281*INS_RT)</f>
        <v/>
      </c>
      <c r="O281" s="35" t="str">
        <f aca="false">IF($B281="","",$I281*PROV_AGUINALDO)</f>
        <v/>
      </c>
      <c r="P281" s="35" t="str">
        <f aca="false">IF($B281="","",$I281*PROV_VACACIONES)</f>
        <v/>
      </c>
      <c r="Q281" s="35" t="str">
        <f aca="false">IF($B281="","",$I281*PROV_CESANTIA)</f>
        <v/>
      </c>
      <c r="R281" s="35" t="str">
        <f aca="false">IF($B281="","",$I281+SUM($M281:$Q281))</f>
        <v/>
      </c>
      <c r="S281" s="46" t="str">
        <f aca="false">IF(OR($A281="",$B281=""),"",DATE(YEAR($A281),MONTH($A281),1))</f>
        <v/>
      </c>
    </row>
    <row r="282" customFormat="false" ht="15" hidden="false" customHeight="false" outlineLevel="0" collapsed="false">
      <c r="A282" s="55"/>
      <c r="B282" s="6"/>
      <c r="C282" s="6"/>
      <c r="D282" s="40"/>
      <c r="E282" s="39"/>
      <c r="F282" s="35" t="str">
        <f aca="false">IF($B282="","",N($D282)/HORAS_MES*RECARGO_HE)</f>
        <v/>
      </c>
      <c r="G282" s="35" t="str">
        <f aca="false">IF($B282="","",N($E282)*$F282)</f>
        <v/>
      </c>
      <c r="H282" s="40"/>
      <c r="I282" s="35" t="str">
        <f aca="false">IF($B282="","",N($D282)+$G282+N($H282))</f>
        <v/>
      </c>
      <c r="J282" s="35" t="str">
        <f aca="false">IF($B282="","",$I282*CCSS_OBRERO)</f>
        <v/>
      </c>
      <c r="K282" s="40"/>
      <c r="L282" s="35" t="str">
        <f aca="false">IF($B282="","",$I282-$J282-N($K282))</f>
        <v/>
      </c>
      <c r="M282" s="35" t="str">
        <f aca="false">IF($B282="","",$I282*CCSS_PATRONAL)</f>
        <v/>
      </c>
      <c r="N282" s="35" t="str">
        <f aca="false">IF($B282="","",$I282*INS_RT)</f>
        <v/>
      </c>
      <c r="O282" s="35" t="str">
        <f aca="false">IF($B282="","",$I282*PROV_AGUINALDO)</f>
        <v/>
      </c>
      <c r="P282" s="35" t="str">
        <f aca="false">IF($B282="","",$I282*PROV_VACACIONES)</f>
        <v/>
      </c>
      <c r="Q282" s="35" t="str">
        <f aca="false">IF($B282="","",$I282*PROV_CESANTIA)</f>
        <v/>
      </c>
      <c r="R282" s="35" t="str">
        <f aca="false">IF($B282="","",$I282+SUM($M282:$Q282))</f>
        <v/>
      </c>
      <c r="S282" s="46" t="str">
        <f aca="false">IF(OR($A282="",$B282=""),"",DATE(YEAR($A282),MONTH($A282),1))</f>
        <v/>
      </c>
    </row>
    <row r="283" customFormat="false" ht="15" hidden="false" customHeight="false" outlineLevel="0" collapsed="false">
      <c r="A283" s="55"/>
      <c r="B283" s="6"/>
      <c r="C283" s="6"/>
      <c r="D283" s="40"/>
      <c r="E283" s="39"/>
      <c r="F283" s="35" t="str">
        <f aca="false">IF($B283="","",N($D283)/HORAS_MES*RECARGO_HE)</f>
        <v/>
      </c>
      <c r="G283" s="35" t="str">
        <f aca="false">IF($B283="","",N($E283)*$F283)</f>
        <v/>
      </c>
      <c r="H283" s="40"/>
      <c r="I283" s="35" t="str">
        <f aca="false">IF($B283="","",N($D283)+$G283+N($H283))</f>
        <v/>
      </c>
      <c r="J283" s="35" t="str">
        <f aca="false">IF($B283="","",$I283*CCSS_OBRERO)</f>
        <v/>
      </c>
      <c r="K283" s="40"/>
      <c r="L283" s="35" t="str">
        <f aca="false">IF($B283="","",$I283-$J283-N($K283))</f>
        <v/>
      </c>
      <c r="M283" s="35" t="str">
        <f aca="false">IF($B283="","",$I283*CCSS_PATRONAL)</f>
        <v/>
      </c>
      <c r="N283" s="35" t="str">
        <f aca="false">IF($B283="","",$I283*INS_RT)</f>
        <v/>
      </c>
      <c r="O283" s="35" t="str">
        <f aca="false">IF($B283="","",$I283*PROV_AGUINALDO)</f>
        <v/>
      </c>
      <c r="P283" s="35" t="str">
        <f aca="false">IF($B283="","",$I283*PROV_VACACIONES)</f>
        <v/>
      </c>
      <c r="Q283" s="35" t="str">
        <f aca="false">IF($B283="","",$I283*PROV_CESANTIA)</f>
        <v/>
      </c>
      <c r="R283" s="35" t="str">
        <f aca="false">IF($B283="","",$I283+SUM($M283:$Q283))</f>
        <v/>
      </c>
      <c r="S283" s="46" t="str">
        <f aca="false">IF(OR($A283="",$B283=""),"",DATE(YEAR($A283),MONTH($A283),1))</f>
        <v/>
      </c>
    </row>
    <row r="284" customFormat="false" ht="15" hidden="false" customHeight="false" outlineLevel="0" collapsed="false">
      <c r="A284" s="55"/>
      <c r="B284" s="6"/>
      <c r="C284" s="6"/>
      <c r="D284" s="40"/>
      <c r="E284" s="39"/>
      <c r="F284" s="35" t="str">
        <f aca="false">IF($B284="","",N($D284)/HORAS_MES*RECARGO_HE)</f>
        <v/>
      </c>
      <c r="G284" s="35" t="str">
        <f aca="false">IF($B284="","",N($E284)*$F284)</f>
        <v/>
      </c>
      <c r="H284" s="40"/>
      <c r="I284" s="35" t="str">
        <f aca="false">IF($B284="","",N($D284)+$G284+N($H284))</f>
        <v/>
      </c>
      <c r="J284" s="35" t="str">
        <f aca="false">IF($B284="","",$I284*CCSS_OBRERO)</f>
        <v/>
      </c>
      <c r="K284" s="40"/>
      <c r="L284" s="35" t="str">
        <f aca="false">IF($B284="","",$I284-$J284-N($K284))</f>
        <v/>
      </c>
      <c r="M284" s="35" t="str">
        <f aca="false">IF($B284="","",$I284*CCSS_PATRONAL)</f>
        <v/>
      </c>
      <c r="N284" s="35" t="str">
        <f aca="false">IF($B284="","",$I284*INS_RT)</f>
        <v/>
      </c>
      <c r="O284" s="35" t="str">
        <f aca="false">IF($B284="","",$I284*PROV_AGUINALDO)</f>
        <v/>
      </c>
      <c r="P284" s="35" t="str">
        <f aca="false">IF($B284="","",$I284*PROV_VACACIONES)</f>
        <v/>
      </c>
      <c r="Q284" s="35" t="str">
        <f aca="false">IF($B284="","",$I284*PROV_CESANTIA)</f>
        <v/>
      </c>
      <c r="R284" s="35" t="str">
        <f aca="false">IF($B284="","",$I284+SUM($M284:$Q284))</f>
        <v/>
      </c>
      <c r="S284" s="46" t="str">
        <f aca="false">IF(OR($A284="",$B284=""),"",DATE(YEAR($A284),MONTH($A284),1))</f>
        <v/>
      </c>
    </row>
    <row r="285" customFormat="false" ht="15" hidden="false" customHeight="false" outlineLevel="0" collapsed="false">
      <c r="A285" s="55"/>
      <c r="B285" s="6"/>
      <c r="C285" s="6"/>
      <c r="D285" s="40"/>
      <c r="E285" s="39"/>
      <c r="F285" s="35" t="str">
        <f aca="false">IF($B285="","",N($D285)/HORAS_MES*RECARGO_HE)</f>
        <v/>
      </c>
      <c r="G285" s="35" t="str">
        <f aca="false">IF($B285="","",N($E285)*$F285)</f>
        <v/>
      </c>
      <c r="H285" s="40"/>
      <c r="I285" s="35" t="str">
        <f aca="false">IF($B285="","",N($D285)+$G285+N($H285))</f>
        <v/>
      </c>
      <c r="J285" s="35" t="str">
        <f aca="false">IF($B285="","",$I285*CCSS_OBRERO)</f>
        <v/>
      </c>
      <c r="K285" s="40"/>
      <c r="L285" s="35" t="str">
        <f aca="false">IF($B285="","",$I285-$J285-N($K285))</f>
        <v/>
      </c>
      <c r="M285" s="35" t="str">
        <f aca="false">IF($B285="","",$I285*CCSS_PATRONAL)</f>
        <v/>
      </c>
      <c r="N285" s="35" t="str">
        <f aca="false">IF($B285="","",$I285*INS_RT)</f>
        <v/>
      </c>
      <c r="O285" s="35" t="str">
        <f aca="false">IF($B285="","",$I285*PROV_AGUINALDO)</f>
        <v/>
      </c>
      <c r="P285" s="35" t="str">
        <f aca="false">IF($B285="","",$I285*PROV_VACACIONES)</f>
        <v/>
      </c>
      <c r="Q285" s="35" t="str">
        <f aca="false">IF($B285="","",$I285*PROV_CESANTIA)</f>
        <v/>
      </c>
      <c r="R285" s="35" t="str">
        <f aca="false">IF($B285="","",$I285+SUM($M285:$Q285))</f>
        <v/>
      </c>
      <c r="S285" s="46" t="str">
        <f aca="false">IF(OR($A285="",$B285=""),"",DATE(YEAR($A285),MONTH($A285),1))</f>
        <v/>
      </c>
    </row>
    <row r="286" customFormat="false" ht="15" hidden="false" customHeight="false" outlineLevel="0" collapsed="false">
      <c r="A286" s="55"/>
      <c r="B286" s="6"/>
      <c r="C286" s="6"/>
      <c r="D286" s="40"/>
      <c r="E286" s="39"/>
      <c r="F286" s="35" t="str">
        <f aca="false">IF($B286="","",N($D286)/HORAS_MES*RECARGO_HE)</f>
        <v/>
      </c>
      <c r="G286" s="35" t="str">
        <f aca="false">IF($B286="","",N($E286)*$F286)</f>
        <v/>
      </c>
      <c r="H286" s="40"/>
      <c r="I286" s="35" t="str">
        <f aca="false">IF($B286="","",N($D286)+$G286+N($H286))</f>
        <v/>
      </c>
      <c r="J286" s="35" t="str">
        <f aca="false">IF($B286="","",$I286*CCSS_OBRERO)</f>
        <v/>
      </c>
      <c r="K286" s="40"/>
      <c r="L286" s="35" t="str">
        <f aca="false">IF($B286="","",$I286-$J286-N($K286))</f>
        <v/>
      </c>
      <c r="M286" s="35" t="str">
        <f aca="false">IF($B286="","",$I286*CCSS_PATRONAL)</f>
        <v/>
      </c>
      <c r="N286" s="35" t="str">
        <f aca="false">IF($B286="","",$I286*INS_RT)</f>
        <v/>
      </c>
      <c r="O286" s="35" t="str">
        <f aca="false">IF($B286="","",$I286*PROV_AGUINALDO)</f>
        <v/>
      </c>
      <c r="P286" s="35" t="str">
        <f aca="false">IF($B286="","",$I286*PROV_VACACIONES)</f>
        <v/>
      </c>
      <c r="Q286" s="35" t="str">
        <f aca="false">IF($B286="","",$I286*PROV_CESANTIA)</f>
        <v/>
      </c>
      <c r="R286" s="35" t="str">
        <f aca="false">IF($B286="","",$I286+SUM($M286:$Q286))</f>
        <v/>
      </c>
      <c r="S286" s="46" t="str">
        <f aca="false">IF(OR($A286="",$B286=""),"",DATE(YEAR($A286),MONTH($A286),1))</f>
        <v/>
      </c>
    </row>
    <row r="287" customFormat="false" ht="15" hidden="false" customHeight="false" outlineLevel="0" collapsed="false">
      <c r="A287" s="55"/>
      <c r="B287" s="6"/>
      <c r="C287" s="6"/>
      <c r="D287" s="40"/>
      <c r="E287" s="39"/>
      <c r="F287" s="35" t="str">
        <f aca="false">IF($B287="","",N($D287)/HORAS_MES*RECARGO_HE)</f>
        <v/>
      </c>
      <c r="G287" s="35" t="str">
        <f aca="false">IF($B287="","",N($E287)*$F287)</f>
        <v/>
      </c>
      <c r="H287" s="40"/>
      <c r="I287" s="35" t="str">
        <f aca="false">IF($B287="","",N($D287)+$G287+N($H287))</f>
        <v/>
      </c>
      <c r="J287" s="35" t="str">
        <f aca="false">IF($B287="","",$I287*CCSS_OBRERO)</f>
        <v/>
      </c>
      <c r="K287" s="40"/>
      <c r="L287" s="35" t="str">
        <f aca="false">IF($B287="","",$I287-$J287-N($K287))</f>
        <v/>
      </c>
      <c r="M287" s="35" t="str">
        <f aca="false">IF($B287="","",$I287*CCSS_PATRONAL)</f>
        <v/>
      </c>
      <c r="N287" s="35" t="str">
        <f aca="false">IF($B287="","",$I287*INS_RT)</f>
        <v/>
      </c>
      <c r="O287" s="35" t="str">
        <f aca="false">IF($B287="","",$I287*PROV_AGUINALDO)</f>
        <v/>
      </c>
      <c r="P287" s="35" t="str">
        <f aca="false">IF($B287="","",$I287*PROV_VACACIONES)</f>
        <v/>
      </c>
      <c r="Q287" s="35" t="str">
        <f aca="false">IF($B287="","",$I287*PROV_CESANTIA)</f>
        <v/>
      </c>
      <c r="R287" s="35" t="str">
        <f aca="false">IF($B287="","",$I287+SUM($M287:$Q287))</f>
        <v/>
      </c>
      <c r="S287" s="46" t="str">
        <f aca="false">IF(OR($A287="",$B287=""),"",DATE(YEAR($A287),MONTH($A287),1))</f>
        <v/>
      </c>
    </row>
    <row r="288" customFormat="false" ht="15" hidden="false" customHeight="false" outlineLevel="0" collapsed="false">
      <c r="A288" s="55"/>
      <c r="B288" s="6"/>
      <c r="C288" s="6"/>
      <c r="D288" s="40"/>
      <c r="E288" s="39"/>
      <c r="F288" s="35" t="str">
        <f aca="false">IF($B288="","",N($D288)/HORAS_MES*RECARGO_HE)</f>
        <v/>
      </c>
      <c r="G288" s="35" t="str">
        <f aca="false">IF($B288="","",N($E288)*$F288)</f>
        <v/>
      </c>
      <c r="H288" s="40"/>
      <c r="I288" s="35" t="str">
        <f aca="false">IF($B288="","",N($D288)+$G288+N($H288))</f>
        <v/>
      </c>
      <c r="J288" s="35" t="str">
        <f aca="false">IF($B288="","",$I288*CCSS_OBRERO)</f>
        <v/>
      </c>
      <c r="K288" s="40"/>
      <c r="L288" s="35" t="str">
        <f aca="false">IF($B288="","",$I288-$J288-N($K288))</f>
        <v/>
      </c>
      <c r="M288" s="35" t="str">
        <f aca="false">IF($B288="","",$I288*CCSS_PATRONAL)</f>
        <v/>
      </c>
      <c r="N288" s="35" t="str">
        <f aca="false">IF($B288="","",$I288*INS_RT)</f>
        <v/>
      </c>
      <c r="O288" s="35" t="str">
        <f aca="false">IF($B288="","",$I288*PROV_AGUINALDO)</f>
        <v/>
      </c>
      <c r="P288" s="35" t="str">
        <f aca="false">IF($B288="","",$I288*PROV_VACACIONES)</f>
        <v/>
      </c>
      <c r="Q288" s="35" t="str">
        <f aca="false">IF($B288="","",$I288*PROV_CESANTIA)</f>
        <v/>
      </c>
      <c r="R288" s="35" t="str">
        <f aca="false">IF($B288="","",$I288+SUM($M288:$Q288))</f>
        <v/>
      </c>
      <c r="S288" s="46" t="str">
        <f aca="false">IF(OR($A288="",$B288=""),"",DATE(YEAR($A288),MONTH($A288),1))</f>
        <v/>
      </c>
    </row>
    <row r="289" customFormat="false" ht="15" hidden="false" customHeight="false" outlineLevel="0" collapsed="false">
      <c r="A289" s="55"/>
      <c r="B289" s="6"/>
      <c r="C289" s="6"/>
      <c r="D289" s="40"/>
      <c r="E289" s="39"/>
      <c r="F289" s="35" t="str">
        <f aca="false">IF($B289="","",N($D289)/HORAS_MES*RECARGO_HE)</f>
        <v/>
      </c>
      <c r="G289" s="35" t="str">
        <f aca="false">IF($B289="","",N($E289)*$F289)</f>
        <v/>
      </c>
      <c r="H289" s="40"/>
      <c r="I289" s="35" t="str">
        <f aca="false">IF($B289="","",N($D289)+$G289+N($H289))</f>
        <v/>
      </c>
      <c r="J289" s="35" t="str">
        <f aca="false">IF($B289="","",$I289*CCSS_OBRERO)</f>
        <v/>
      </c>
      <c r="K289" s="40"/>
      <c r="L289" s="35" t="str">
        <f aca="false">IF($B289="","",$I289-$J289-N($K289))</f>
        <v/>
      </c>
      <c r="M289" s="35" t="str">
        <f aca="false">IF($B289="","",$I289*CCSS_PATRONAL)</f>
        <v/>
      </c>
      <c r="N289" s="35" t="str">
        <f aca="false">IF($B289="","",$I289*INS_RT)</f>
        <v/>
      </c>
      <c r="O289" s="35" t="str">
        <f aca="false">IF($B289="","",$I289*PROV_AGUINALDO)</f>
        <v/>
      </c>
      <c r="P289" s="35" t="str">
        <f aca="false">IF($B289="","",$I289*PROV_VACACIONES)</f>
        <v/>
      </c>
      <c r="Q289" s="35" t="str">
        <f aca="false">IF($B289="","",$I289*PROV_CESANTIA)</f>
        <v/>
      </c>
      <c r="R289" s="35" t="str">
        <f aca="false">IF($B289="","",$I289+SUM($M289:$Q289))</f>
        <v/>
      </c>
      <c r="S289" s="46" t="str">
        <f aca="false">IF(OR($A289="",$B289=""),"",DATE(YEAR($A289),MONTH($A289),1))</f>
        <v/>
      </c>
    </row>
    <row r="290" customFormat="false" ht="15" hidden="false" customHeight="false" outlineLevel="0" collapsed="false">
      <c r="A290" s="55"/>
      <c r="B290" s="6"/>
      <c r="C290" s="6"/>
      <c r="D290" s="40"/>
      <c r="E290" s="39"/>
      <c r="F290" s="35" t="str">
        <f aca="false">IF($B290="","",N($D290)/HORAS_MES*RECARGO_HE)</f>
        <v/>
      </c>
      <c r="G290" s="35" t="str">
        <f aca="false">IF($B290="","",N($E290)*$F290)</f>
        <v/>
      </c>
      <c r="H290" s="40"/>
      <c r="I290" s="35" t="str">
        <f aca="false">IF($B290="","",N($D290)+$G290+N($H290))</f>
        <v/>
      </c>
      <c r="J290" s="35" t="str">
        <f aca="false">IF($B290="","",$I290*CCSS_OBRERO)</f>
        <v/>
      </c>
      <c r="K290" s="40"/>
      <c r="L290" s="35" t="str">
        <f aca="false">IF($B290="","",$I290-$J290-N($K290))</f>
        <v/>
      </c>
      <c r="M290" s="35" t="str">
        <f aca="false">IF($B290="","",$I290*CCSS_PATRONAL)</f>
        <v/>
      </c>
      <c r="N290" s="35" t="str">
        <f aca="false">IF($B290="","",$I290*INS_RT)</f>
        <v/>
      </c>
      <c r="O290" s="35" t="str">
        <f aca="false">IF($B290="","",$I290*PROV_AGUINALDO)</f>
        <v/>
      </c>
      <c r="P290" s="35" t="str">
        <f aca="false">IF($B290="","",$I290*PROV_VACACIONES)</f>
        <v/>
      </c>
      <c r="Q290" s="35" t="str">
        <f aca="false">IF($B290="","",$I290*PROV_CESANTIA)</f>
        <v/>
      </c>
      <c r="R290" s="35" t="str">
        <f aca="false">IF($B290="","",$I290+SUM($M290:$Q290))</f>
        <v/>
      </c>
      <c r="S290" s="46" t="str">
        <f aca="false">IF(OR($A290="",$B290=""),"",DATE(YEAR($A290),MONTH($A290),1))</f>
        <v/>
      </c>
    </row>
    <row r="291" customFormat="false" ht="15" hidden="false" customHeight="false" outlineLevel="0" collapsed="false">
      <c r="A291" s="55"/>
      <c r="B291" s="6"/>
      <c r="C291" s="6"/>
      <c r="D291" s="40"/>
      <c r="E291" s="39"/>
      <c r="F291" s="35" t="str">
        <f aca="false">IF($B291="","",N($D291)/HORAS_MES*RECARGO_HE)</f>
        <v/>
      </c>
      <c r="G291" s="35" t="str">
        <f aca="false">IF($B291="","",N($E291)*$F291)</f>
        <v/>
      </c>
      <c r="H291" s="40"/>
      <c r="I291" s="35" t="str">
        <f aca="false">IF($B291="","",N($D291)+$G291+N($H291))</f>
        <v/>
      </c>
      <c r="J291" s="35" t="str">
        <f aca="false">IF($B291="","",$I291*CCSS_OBRERO)</f>
        <v/>
      </c>
      <c r="K291" s="40"/>
      <c r="L291" s="35" t="str">
        <f aca="false">IF($B291="","",$I291-$J291-N($K291))</f>
        <v/>
      </c>
      <c r="M291" s="35" t="str">
        <f aca="false">IF($B291="","",$I291*CCSS_PATRONAL)</f>
        <v/>
      </c>
      <c r="N291" s="35" t="str">
        <f aca="false">IF($B291="","",$I291*INS_RT)</f>
        <v/>
      </c>
      <c r="O291" s="35" t="str">
        <f aca="false">IF($B291="","",$I291*PROV_AGUINALDO)</f>
        <v/>
      </c>
      <c r="P291" s="35" t="str">
        <f aca="false">IF($B291="","",$I291*PROV_VACACIONES)</f>
        <v/>
      </c>
      <c r="Q291" s="35" t="str">
        <f aca="false">IF($B291="","",$I291*PROV_CESANTIA)</f>
        <v/>
      </c>
      <c r="R291" s="35" t="str">
        <f aca="false">IF($B291="","",$I291+SUM($M291:$Q291))</f>
        <v/>
      </c>
      <c r="S291" s="46" t="str">
        <f aca="false">IF(OR($A291="",$B291=""),"",DATE(YEAR($A291),MONTH($A291),1))</f>
        <v/>
      </c>
    </row>
    <row r="292" customFormat="false" ht="15" hidden="false" customHeight="false" outlineLevel="0" collapsed="false">
      <c r="A292" s="55"/>
      <c r="B292" s="6"/>
      <c r="C292" s="6"/>
      <c r="D292" s="40"/>
      <c r="E292" s="39"/>
      <c r="F292" s="35" t="str">
        <f aca="false">IF($B292="","",N($D292)/HORAS_MES*RECARGO_HE)</f>
        <v/>
      </c>
      <c r="G292" s="35" t="str">
        <f aca="false">IF($B292="","",N($E292)*$F292)</f>
        <v/>
      </c>
      <c r="H292" s="40"/>
      <c r="I292" s="35" t="str">
        <f aca="false">IF($B292="","",N($D292)+$G292+N($H292))</f>
        <v/>
      </c>
      <c r="J292" s="35" t="str">
        <f aca="false">IF($B292="","",$I292*CCSS_OBRERO)</f>
        <v/>
      </c>
      <c r="K292" s="40"/>
      <c r="L292" s="35" t="str">
        <f aca="false">IF($B292="","",$I292-$J292-N($K292))</f>
        <v/>
      </c>
      <c r="M292" s="35" t="str">
        <f aca="false">IF($B292="","",$I292*CCSS_PATRONAL)</f>
        <v/>
      </c>
      <c r="N292" s="35" t="str">
        <f aca="false">IF($B292="","",$I292*INS_RT)</f>
        <v/>
      </c>
      <c r="O292" s="35" t="str">
        <f aca="false">IF($B292="","",$I292*PROV_AGUINALDO)</f>
        <v/>
      </c>
      <c r="P292" s="35" t="str">
        <f aca="false">IF($B292="","",$I292*PROV_VACACIONES)</f>
        <v/>
      </c>
      <c r="Q292" s="35" t="str">
        <f aca="false">IF($B292="","",$I292*PROV_CESANTIA)</f>
        <v/>
      </c>
      <c r="R292" s="35" t="str">
        <f aca="false">IF($B292="","",$I292+SUM($M292:$Q292))</f>
        <v/>
      </c>
      <c r="S292" s="46" t="str">
        <f aca="false">IF(OR($A292="",$B292=""),"",DATE(YEAR($A292),MONTH($A292),1))</f>
        <v/>
      </c>
    </row>
    <row r="293" customFormat="false" ht="15" hidden="false" customHeight="false" outlineLevel="0" collapsed="false">
      <c r="A293" s="55"/>
      <c r="B293" s="6"/>
      <c r="C293" s="6"/>
      <c r="D293" s="40"/>
      <c r="E293" s="39"/>
      <c r="F293" s="35" t="str">
        <f aca="false">IF($B293="","",N($D293)/HORAS_MES*RECARGO_HE)</f>
        <v/>
      </c>
      <c r="G293" s="35" t="str">
        <f aca="false">IF($B293="","",N($E293)*$F293)</f>
        <v/>
      </c>
      <c r="H293" s="40"/>
      <c r="I293" s="35" t="str">
        <f aca="false">IF($B293="","",N($D293)+$G293+N($H293))</f>
        <v/>
      </c>
      <c r="J293" s="35" t="str">
        <f aca="false">IF($B293="","",$I293*CCSS_OBRERO)</f>
        <v/>
      </c>
      <c r="K293" s="40"/>
      <c r="L293" s="35" t="str">
        <f aca="false">IF($B293="","",$I293-$J293-N($K293))</f>
        <v/>
      </c>
      <c r="M293" s="35" t="str">
        <f aca="false">IF($B293="","",$I293*CCSS_PATRONAL)</f>
        <v/>
      </c>
      <c r="N293" s="35" t="str">
        <f aca="false">IF($B293="","",$I293*INS_RT)</f>
        <v/>
      </c>
      <c r="O293" s="35" t="str">
        <f aca="false">IF($B293="","",$I293*PROV_AGUINALDO)</f>
        <v/>
      </c>
      <c r="P293" s="35" t="str">
        <f aca="false">IF($B293="","",$I293*PROV_VACACIONES)</f>
        <v/>
      </c>
      <c r="Q293" s="35" t="str">
        <f aca="false">IF($B293="","",$I293*PROV_CESANTIA)</f>
        <v/>
      </c>
      <c r="R293" s="35" t="str">
        <f aca="false">IF($B293="","",$I293+SUM($M293:$Q293))</f>
        <v/>
      </c>
      <c r="S293" s="46" t="str">
        <f aca="false">IF(OR($A293="",$B293=""),"",DATE(YEAR($A293),MONTH($A293),1))</f>
        <v/>
      </c>
    </row>
    <row r="294" customFormat="false" ht="15" hidden="false" customHeight="false" outlineLevel="0" collapsed="false">
      <c r="A294" s="55"/>
      <c r="B294" s="6"/>
      <c r="C294" s="6"/>
      <c r="D294" s="40"/>
      <c r="E294" s="39"/>
      <c r="F294" s="35" t="str">
        <f aca="false">IF($B294="","",N($D294)/HORAS_MES*RECARGO_HE)</f>
        <v/>
      </c>
      <c r="G294" s="35" t="str">
        <f aca="false">IF($B294="","",N($E294)*$F294)</f>
        <v/>
      </c>
      <c r="H294" s="40"/>
      <c r="I294" s="35" t="str">
        <f aca="false">IF($B294="","",N($D294)+$G294+N($H294))</f>
        <v/>
      </c>
      <c r="J294" s="35" t="str">
        <f aca="false">IF($B294="","",$I294*CCSS_OBRERO)</f>
        <v/>
      </c>
      <c r="K294" s="40"/>
      <c r="L294" s="35" t="str">
        <f aca="false">IF($B294="","",$I294-$J294-N($K294))</f>
        <v/>
      </c>
      <c r="M294" s="35" t="str">
        <f aca="false">IF($B294="","",$I294*CCSS_PATRONAL)</f>
        <v/>
      </c>
      <c r="N294" s="35" t="str">
        <f aca="false">IF($B294="","",$I294*INS_RT)</f>
        <v/>
      </c>
      <c r="O294" s="35" t="str">
        <f aca="false">IF($B294="","",$I294*PROV_AGUINALDO)</f>
        <v/>
      </c>
      <c r="P294" s="35" t="str">
        <f aca="false">IF($B294="","",$I294*PROV_VACACIONES)</f>
        <v/>
      </c>
      <c r="Q294" s="35" t="str">
        <f aca="false">IF($B294="","",$I294*PROV_CESANTIA)</f>
        <v/>
      </c>
      <c r="R294" s="35" t="str">
        <f aca="false">IF($B294="","",$I294+SUM($M294:$Q294))</f>
        <v/>
      </c>
      <c r="S294" s="46" t="str">
        <f aca="false">IF(OR($A294="",$B294=""),"",DATE(YEAR($A294),MONTH($A294),1))</f>
        <v/>
      </c>
    </row>
    <row r="295" customFormat="false" ht="15" hidden="false" customHeight="false" outlineLevel="0" collapsed="false">
      <c r="A295" s="55"/>
      <c r="B295" s="6"/>
      <c r="C295" s="6"/>
      <c r="D295" s="40"/>
      <c r="E295" s="39"/>
      <c r="F295" s="35" t="str">
        <f aca="false">IF($B295="","",N($D295)/HORAS_MES*RECARGO_HE)</f>
        <v/>
      </c>
      <c r="G295" s="35" t="str">
        <f aca="false">IF($B295="","",N($E295)*$F295)</f>
        <v/>
      </c>
      <c r="H295" s="40"/>
      <c r="I295" s="35" t="str">
        <f aca="false">IF($B295="","",N($D295)+$G295+N($H295))</f>
        <v/>
      </c>
      <c r="J295" s="35" t="str">
        <f aca="false">IF($B295="","",$I295*CCSS_OBRERO)</f>
        <v/>
      </c>
      <c r="K295" s="40"/>
      <c r="L295" s="35" t="str">
        <f aca="false">IF($B295="","",$I295-$J295-N($K295))</f>
        <v/>
      </c>
      <c r="M295" s="35" t="str">
        <f aca="false">IF($B295="","",$I295*CCSS_PATRONAL)</f>
        <v/>
      </c>
      <c r="N295" s="35" t="str">
        <f aca="false">IF($B295="","",$I295*INS_RT)</f>
        <v/>
      </c>
      <c r="O295" s="35" t="str">
        <f aca="false">IF($B295="","",$I295*PROV_AGUINALDO)</f>
        <v/>
      </c>
      <c r="P295" s="35" t="str">
        <f aca="false">IF($B295="","",$I295*PROV_VACACIONES)</f>
        <v/>
      </c>
      <c r="Q295" s="35" t="str">
        <f aca="false">IF($B295="","",$I295*PROV_CESANTIA)</f>
        <v/>
      </c>
      <c r="R295" s="35" t="str">
        <f aca="false">IF($B295="","",$I295+SUM($M295:$Q295))</f>
        <v/>
      </c>
      <c r="S295" s="46" t="str">
        <f aca="false">IF(OR($A295="",$B295=""),"",DATE(YEAR($A295),MONTH($A295),1))</f>
        <v/>
      </c>
    </row>
    <row r="296" customFormat="false" ht="15" hidden="false" customHeight="false" outlineLevel="0" collapsed="false">
      <c r="A296" s="55"/>
      <c r="B296" s="6"/>
      <c r="C296" s="6"/>
      <c r="D296" s="40"/>
      <c r="E296" s="39"/>
      <c r="F296" s="35" t="str">
        <f aca="false">IF($B296="","",N($D296)/HORAS_MES*RECARGO_HE)</f>
        <v/>
      </c>
      <c r="G296" s="35" t="str">
        <f aca="false">IF($B296="","",N($E296)*$F296)</f>
        <v/>
      </c>
      <c r="H296" s="40"/>
      <c r="I296" s="35" t="str">
        <f aca="false">IF($B296="","",N($D296)+$G296+N($H296))</f>
        <v/>
      </c>
      <c r="J296" s="35" t="str">
        <f aca="false">IF($B296="","",$I296*CCSS_OBRERO)</f>
        <v/>
      </c>
      <c r="K296" s="40"/>
      <c r="L296" s="35" t="str">
        <f aca="false">IF($B296="","",$I296-$J296-N($K296))</f>
        <v/>
      </c>
      <c r="M296" s="35" t="str">
        <f aca="false">IF($B296="","",$I296*CCSS_PATRONAL)</f>
        <v/>
      </c>
      <c r="N296" s="35" t="str">
        <f aca="false">IF($B296="","",$I296*INS_RT)</f>
        <v/>
      </c>
      <c r="O296" s="35" t="str">
        <f aca="false">IF($B296="","",$I296*PROV_AGUINALDO)</f>
        <v/>
      </c>
      <c r="P296" s="35" t="str">
        <f aca="false">IF($B296="","",$I296*PROV_VACACIONES)</f>
        <v/>
      </c>
      <c r="Q296" s="35" t="str">
        <f aca="false">IF($B296="","",$I296*PROV_CESANTIA)</f>
        <v/>
      </c>
      <c r="R296" s="35" t="str">
        <f aca="false">IF($B296="","",$I296+SUM($M296:$Q296))</f>
        <v/>
      </c>
      <c r="S296" s="46" t="str">
        <f aca="false">IF(OR($A296="",$B296=""),"",DATE(YEAR($A296),MONTH($A296),1))</f>
        <v/>
      </c>
    </row>
    <row r="297" customFormat="false" ht="15" hidden="false" customHeight="false" outlineLevel="0" collapsed="false">
      <c r="A297" s="55"/>
      <c r="B297" s="6"/>
      <c r="C297" s="6"/>
      <c r="D297" s="40"/>
      <c r="E297" s="39"/>
      <c r="F297" s="35" t="str">
        <f aca="false">IF($B297="","",N($D297)/HORAS_MES*RECARGO_HE)</f>
        <v/>
      </c>
      <c r="G297" s="35" t="str">
        <f aca="false">IF($B297="","",N($E297)*$F297)</f>
        <v/>
      </c>
      <c r="H297" s="40"/>
      <c r="I297" s="35" t="str">
        <f aca="false">IF($B297="","",N($D297)+$G297+N($H297))</f>
        <v/>
      </c>
      <c r="J297" s="35" t="str">
        <f aca="false">IF($B297="","",$I297*CCSS_OBRERO)</f>
        <v/>
      </c>
      <c r="K297" s="40"/>
      <c r="L297" s="35" t="str">
        <f aca="false">IF($B297="","",$I297-$J297-N($K297))</f>
        <v/>
      </c>
      <c r="M297" s="35" t="str">
        <f aca="false">IF($B297="","",$I297*CCSS_PATRONAL)</f>
        <v/>
      </c>
      <c r="N297" s="35" t="str">
        <f aca="false">IF($B297="","",$I297*INS_RT)</f>
        <v/>
      </c>
      <c r="O297" s="35" t="str">
        <f aca="false">IF($B297="","",$I297*PROV_AGUINALDO)</f>
        <v/>
      </c>
      <c r="P297" s="35" t="str">
        <f aca="false">IF($B297="","",$I297*PROV_VACACIONES)</f>
        <v/>
      </c>
      <c r="Q297" s="35" t="str">
        <f aca="false">IF($B297="","",$I297*PROV_CESANTIA)</f>
        <v/>
      </c>
      <c r="R297" s="35" t="str">
        <f aca="false">IF($B297="","",$I297+SUM($M297:$Q297))</f>
        <v/>
      </c>
      <c r="S297" s="46" t="str">
        <f aca="false">IF(OR($A297="",$B297=""),"",DATE(YEAR($A297),MONTH($A297),1))</f>
        <v/>
      </c>
    </row>
    <row r="298" customFormat="false" ht="15" hidden="false" customHeight="false" outlineLevel="0" collapsed="false">
      <c r="A298" s="55"/>
      <c r="B298" s="6"/>
      <c r="C298" s="6"/>
      <c r="D298" s="40"/>
      <c r="E298" s="39"/>
      <c r="F298" s="35" t="str">
        <f aca="false">IF($B298="","",N($D298)/HORAS_MES*RECARGO_HE)</f>
        <v/>
      </c>
      <c r="G298" s="35" t="str">
        <f aca="false">IF($B298="","",N($E298)*$F298)</f>
        <v/>
      </c>
      <c r="H298" s="40"/>
      <c r="I298" s="35" t="str">
        <f aca="false">IF($B298="","",N($D298)+$G298+N($H298))</f>
        <v/>
      </c>
      <c r="J298" s="35" t="str">
        <f aca="false">IF($B298="","",$I298*CCSS_OBRERO)</f>
        <v/>
      </c>
      <c r="K298" s="40"/>
      <c r="L298" s="35" t="str">
        <f aca="false">IF($B298="","",$I298-$J298-N($K298))</f>
        <v/>
      </c>
      <c r="M298" s="35" t="str">
        <f aca="false">IF($B298="","",$I298*CCSS_PATRONAL)</f>
        <v/>
      </c>
      <c r="N298" s="35" t="str">
        <f aca="false">IF($B298="","",$I298*INS_RT)</f>
        <v/>
      </c>
      <c r="O298" s="35" t="str">
        <f aca="false">IF($B298="","",$I298*PROV_AGUINALDO)</f>
        <v/>
      </c>
      <c r="P298" s="35" t="str">
        <f aca="false">IF($B298="","",$I298*PROV_VACACIONES)</f>
        <v/>
      </c>
      <c r="Q298" s="35" t="str">
        <f aca="false">IF($B298="","",$I298*PROV_CESANTIA)</f>
        <v/>
      </c>
      <c r="R298" s="35" t="str">
        <f aca="false">IF($B298="","",$I298+SUM($M298:$Q298))</f>
        <v/>
      </c>
      <c r="S298" s="46" t="str">
        <f aca="false">IF(OR($A298="",$B298=""),"",DATE(YEAR($A298),MONTH($A298),1))</f>
        <v/>
      </c>
    </row>
    <row r="299" customFormat="false" ht="15" hidden="false" customHeight="false" outlineLevel="0" collapsed="false">
      <c r="A299" s="55"/>
      <c r="B299" s="6"/>
      <c r="C299" s="6"/>
      <c r="D299" s="40"/>
      <c r="E299" s="39"/>
      <c r="F299" s="35" t="str">
        <f aca="false">IF($B299="","",N($D299)/HORAS_MES*RECARGO_HE)</f>
        <v/>
      </c>
      <c r="G299" s="35" t="str">
        <f aca="false">IF($B299="","",N($E299)*$F299)</f>
        <v/>
      </c>
      <c r="H299" s="40"/>
      <c r="I299" s="35" t="str">
        <f aca="false">IF($B299="","",N($D299)+$G299+N($H299))</f>
        <v/>
      </c>
      <c r="J299" s="35" t="str">
        <f aca="false">IF($B299="","",$I299*CCSS_OBRERO)</f>
        <v/>
      </c>
      <c r="K299" s="40"/>
      <c r="L299" s="35" t="str">
        <f aca="false">IF($B299="","",$I299-$J299-N($K299))</f>
        <v/>
      </c>
      <c r="M299" s="35" t="str">
        <f aca="false">IF($B299="","",$I299*CCSS_PATRONAL)</f>
        <v/>
      </c>
      <c r="N299" s="35" t="str">
        <f aca="false">IF($B299="","",$I299*INS_RT)</f>
        <v/>
      </c>
      <c r="O299" s="35" t="str">
        <f aca="false">IF($B299="","",$I299*PROV_AGUINALDO)</f>
        <v/>
      </c>
      <c r="P299" s="35" t="str">
        <f aca="false">IF($B299="","",$I299*PROV_VACACIONES)</f>
        <v/>
      </c>
      <c r="Q299" s="35" t="str">
        <f aca="false">IF($B299="","",$I299*PROV_CESANTIA)</f>
        <v/>
      </c>
      <c r="R299" s="35" t="str">
        <f aca="false">IF($B299="","",$I299+SUM($M299:$Q299))</f>
        <v/>
      </c>
      <c r="S299" s="46" t="str">
        <f aca="false">IF(OR($A299="",$B299=""),"",DATE(YEAR($A299),MONTH($A299),1))</f>
        <v/>
      </c>
    </row>
    <row r="300" customFormat="false" ht="15" hidden="false" customHeight="false" outlineLevel="0" collapsed="false">
      <c r="A300" s="55"/>
      <c r="B300" s="6"/>
      <c r="C300" s="6"/>
      <c r="D300" s="40"/>
      <c r="E300" s="39"/>
      <c r="F300" s="35" t="str">
        <f aca="false">IF($B300="","",N($D300)/HORAS_MES*RECARGO_HE)</f>
        <v/>
      </c>
      <c r="G300" s="35" t="str">
        <f aca="false">IF($B300="","",N($E300)*$F300)</f>
        <v/>
      </c>
      <c r="H300" s="40"/>
      <c r="I300" s="35" t="str">
        <f aca="false">IF($B300="","",N($D300)+$G300+N($H300))</f>
        <v/>
      </c>
      <c r="J300" s="35" t="str">
        <f aca="false">IF($B300="","",$I300*CCSS_OBRERO)</f>
        <v/>
      </c>
      <c r="K300" s="40"/>
      <c r="L300" s="35" t="str">
        <f aca="false">IF($B300="","",$I300-$J300-N($K300))</f>
        <v/>
      </c>
      <c r="M300" s="35" t="str">
        <f aca="false">IF($B300="","",$I300*CCSS_PATRONAL)</f>
        <v/>
      </c>
      <c r="N300" s="35" t="str">
        <f aca="false">IF($B300="","",$I300*INS_RT)</f>
        <v/>
      </c>
      <c r="O300" s="35" t="str">
        <f aca="false">IF($B300="","",$I300*PROV_AGUINALDO)</f>
        <v/>
      </c>
      <c r="P300" s="35" t="str">
        <f aca="false">IF($B300="","",$I300*PROV_VACACIONES)</f>
        <v/>
      </c>
      <c r="Q300" s="35" t="str">
        <f aca="false">IF($B300="","",$I300*PROV_CESANTIA)</f>
        <v/>
      </c>
      <c r="R300" s="35" t="str">
        <f aca="false">IF($B300="","",$I300+SUM($M300:$Q300))</f>
        <v/>
      </c>
      <c r="S300" s="46" t="str">
        <f aca="false">IF(OR($A300="",$B300=""),"",DATE(YEAR($A300),MONTH($A300),1))</f>
        <v/>
      </c>
    </row>
    <row r="301" customFormat="false" ht="15" hidden="false" customHeight="false" outlineLevel="0" collapsed="false">
      <c r="A301" s="55"/>
      <c r="B301" s="6"/>
      <c r="C301" s="6"/>
      <c r="D301" s="40"/>
      <c r="E301" s="39"/>
      <c r="F301" s="35" t="str">
        <f aca="false">IF($B301="","",N($D301)/HORAS_MES*RECARGO_HE)</f>
        <v/>
      </c>
      <c r="G301" s="35" t="str">
        <f aca="false">IF($B301="","",N($E301)*$F301)</f>
        <v/>
      </c>
      <c r="H301" s="40"/>
      <c r="I301" s="35" t="str">
        <f aca="false">IF($B301="","",N($D301)+$G301+N($H301))</f>
        <v/>
      </c>
      <c r="J301" s="35" t="str">
        <f aca="false">IF($B301="","",$I301*CCSS_OBRERO)</f>
        <v/>
      </c>
      <c r="K301" s="40"/>
      <c r="L301" s="35" t="str">
        <f aca="false">IF($B301="","",$I301-$J301-N($K301))</f>
        <v/>
      </c>
      <c r="M301" s="35" t="str">
        <f aca="false">IF($B301="","",$I301*CCSS_PATRONAL)</f>
        <v/>
      </c>
      <c r="N301" s="35" t="str">
        <f aca="false">IF($B301="","",$I301*INS_RT)</f>
        <v/>
      </c>
      <c r="O301" s="35" t="str">
        <f aca="false">IF($B301="","",$I301*PROV_AGUINALDO)</f>
        <v/>
      </c>
      <c r="P301" s="35" t="str">
        <f aca="false">IF($B301="","",$I301*PROV_VACACIONES)</f>
        <v/>
      </c>
      <c r="Q301" s="35" t="str">
        <f aca="false">IF($B301="","",$I301*PROV_CESANTIA)</f>
        <v/>
      </c>
      <c r="R301" s="35" t="str">
        <f aca="false">IF($B301="","",$I301+SUM($M301:$Q301))</f>
        <v/>
      </c>
      <c r="S301" s="46" t="str">
        <f aca="false">IF(OR($A301="",$B301=""),"",DATE(YEAR($A301),MONTH($A301),1))</f>
        <v/>
      </c>
    </row>
    <row r="302" customFormat="false" ht="15" hidden="false" customHeight="false" outlineLevel="0" collapsed="false">
      <c r="A302" s="55"/>
      <c r="B302" s="6"/>
      <c r="C302" s="6"/>
      <c r="D302" s="40"/>
      <c r="E302" s="39"/>
      <c r="F302" s="35" t="str">
        <f aca="false">IF($B302="","",N($D302)/HORAS_MES*RECARGO_HE)</f>
        <v/>
      </c>
      <c r="G302" s="35" t="str">
        <f aca="false">IF($B302="","",N($E302)*$F302)</f>
        <v/>
      </c>
      <c r="H302" s="40"/>
      <c r="I302" s="35" t="str">
        <f aca="false">IF($B302="","",N($D302)+$G302+N($H302))</f>
        <v/>
      </c>
      <c r="J302" s="35" t="str">
        <f aca="false">IF($B302="","",$I302*CCSS_OBRERO)</f>
        <v/>
      </c>
      <c r="K302" s="40"/>
      <c r="L302" s="35" t="str">
        <f aca="false">IF($B302="","",$I302-$J302-N($K302))</f>
        <v/>
      </c>
      <c r="M302" s="35" t="str">
        <f aca="false">IF($B302="","",$I302*CCSS_PATRONAL)</f>
        <v/>
      </c>
      <c r="N302" s="35" t="str">
        <f aca="false">IF($B302="","",$I302*INS_RT)</f>
        <v/>
      </c>
      <c r="O302" s="35" t="str">
        <f aca="false">IF($B302="","",$I302*PROV_AGUINALDO)</f>
        <v/>
      </c>
      <c r="P302" s="35" t="str">
        <f aca="false">IF($B302="","",$I302*PROV_VACACIONES)</f>
        <v/>
      </c>
      <c r="Q302" s="35" t="str">
        <f aca="false">IF($B302="","",$I302*PROV_CESANTIA)</f>
        <v/>
      </c>
      <c r="R302" s="35" t="str">
        <f aca="false">IF($B302="","",$I302+SUM($M302:$Q302))</f>
        <v/>
      </c>
      <c r="S302" s="46" t="str">
        <f aca="false">IF(OR($A302="",$B302=""),"",DATE(YEAR($A302),MONTH($A302),1))</f>
        <v/>
      </c>
    </row>
    <row r="303" customFormat="false" ht="15" hidden="false" customHeight="false" outlineLevel="0" collapsed="false">
      <c r="A303" s="55"/>
      <c r="B303" s="6"/>
      <c r="C303" s="6"/>
      <c r="D303" s="40"/>
      <c r="E303" s="39"/>
      <c r="F303" s="35" t="str">
        <f aca="false">IF($B303="","",N($D303)/HORAS_MES*RECARGO_HE)</f>
        <v/>
      </c>
      <c r="G303" s="35" t="str">
        <f aca="false">IF($B303="","",N($E303)*$F303)</f>
        <v/>
      </c>
      <c r="H303" s="40"/>
      <c r="I303" s="35" t="str">
        <f aca="false">IF($B303="","",N($D303)+$G303+N($H303))</f>
        <v/>
      </c>
      <c r="J303" s="35" t="str">
        <f aca="false">IF($B303="","",$I303*CCSS_OBRERO)</f>
        <v/>
      </c>
      <c r="K303" s="40"/>
      <c r="L303" s="35" t="str">
        <f aca="false">IF($B303="","",$I303-$J303-N($K303))</f>
        <v/>
      </c>
      <c r="M303" s="35" t="str">
        <f aca="false">IF($B303="","",$I303*CCSS_PATRONAL)</f>
        <v/>
      </c>
      <c r="N303" s="35" t="str">
        <f aca="false">IF($B303="","",$I303*INS_RT)</f>
        <v/>
      </c>
      <c r="O303" s="35" t="str">
        <f aca="false">IF($B303="","",$I303*PROV_AGUINALDO)</f>
        <v/>
      </c>
      <c r="P303" s="35" t="str">
        <f aca="false">IF($B303="","",$I303*PROV_VACACIONES)</f>
        <v/>
      </c>
      <c r="Q303" s="35" t="str">
        <f aca="false">IF($B303="","",$I303*PROV_CESANTIA)</f>
        <v/>
      </c>
      <c r="R303" s="35" t="str">
        <f aca="false">IF($B303="","",$I303+SUM($M303:$Q303))</f>
        <v/>
      </c>
      <c r="S303" s="46" t="str">
        <f aca="false">IF(OR($A303="",$B303=""),"",DATE(YEAR($A303),MONTH($A303),1))</f>
        <v/>
      </c>
    </row>
    <row r="304" customFormat="false" ht="15" hidden="false" customHeight="false" outlineLevel="0" collapsed="false">
      <c r="A304" s="55"/>
      <c r="B304" s="6"/>
      <c r="C304" s="6"/>
      <c r="D304" s="40"/>
      <c r="E304" s="39"/>
      <c r="F304" s="35" t="str">
        <f aca="false">IF($B304="","",N($D304)/HORAS_MES*RECARGO_HE)</f>
        <v/>
      </c>
      <c r="G304" s="35" t="str">
        <f aca="false">IF($B304="","",N($E304)*$F304)</f>
        <v/>
      </c>
      <c r="H304" s="40"/>
      <c r="I304" s="35" t="str">
        <f aca="false">IF($B304="","",N($D304)+$G304+N($H304))</f>
        <v/>
      </c>
      <c r="J304" s="35" t="str">
        <f aca="false">IF($B304="","",$I304*CCSS_OBRERO)</f>
        <v/>
      </c>
      <c r="K304" s="40"/>
      <c r="L304" s="35" t="str">
        <f aca="false">IF($B304="","",$I304-$J304-N($K304))</f>
        <v/>
      </c>
      <c r="M304" s="35" t="str">
        <f aca="false">IF($B304="","",$I304*CCSS_PATRONAL)</f>
        <v/>
      </c>
      <c r="N304" s="35" t="str">
        <f aca="false">IF($B304="","",$I304*INS_RT)</f>
        <v/>
      </c>
      <c r="O304" s="35" t="str">
        <f aca="false">IF($B304="","",$I304*PROV_AGUINALDO)</f>
        <v/>
      </c>
      <c r="P304" s="35" t="str">
        <f aca="false">IF($B304="","",$I304*PROV_VACACIONES)</f>
        <v/>
      </c>
      <c r="Q304" s="35" t="str">
        <f aca="false">IF($B304="","",$I304*PROV_CESANTIA)</f>
        <v/>
      </c>
      <c r="R304" s="35" t="str">
        <f aca="false">IF($B304="","",$I304+SUM($M304:$Q304))</f>
        <v/>
      </c>
      <c r="S304" s="46" t="str">
        <f aca="false">IF(OR($A304="",$B304=""),"",DATE(YEAR($A304),MONTH($A304),1))</f>
        <v/>
      </c>
    </row>
    <row r="305" customFormat="false" ht="15" hidden="false" customHeight="false" outlineLevel="0" collapsed="false">
      <c r="A305" s="55"/>
      <c r="B305" s="6"/>
      <c r="C305" s="6"/>
      <c r="D305" s="40"/>
      <c r="E305" s="39"/>
      <c r="F305" s="35" t="str">
        <f aca="false">IF($B305="","",N($D305)/HORAS_MES*RECARGO_HE)</f>
        <v/>
      </c>
      <c r="G305" s="35" t="str">
        <f aca="false">IF($B305="","",N($E305)*$F305)</f>
        <v/>
      </c>
      <c r="H305" s="40"/>
      <c r="I305" s="35" t="str">
        <f aca="false">IF($B305="","",N($D305)+$G305+N($H305))</f>
        <v/>
      </c>
      <c r="J305" s="35" t="str">
        <f aca="false">IF($B305="","",$I305*CCSS_OBRERO)</f>
        <v/>
      </c>
      <c r="K305" s="40"/>
      <c r="L305" s="35" t="str">
        <f aca="false">IF($B305="","",$I305-$J305-N($K305))</f>
        <v/>
      </c>
      <c r="M305" s="35" t="str">
        <f aca="false">IF($B305="","",$I305*CCSS_PATRONAL)</f>
        <v/>
      </c>
      <c r="N305" s="35" t="str">
        <f aca="false">IF($B305="","",$I305*INS_RT)</f>
        <v/>
      </c>
      <c r="O305" s="35" t="str">
        <f aca="false">IF($B305="","",$I305*PROV_AGUINALDO)</f>
        <v/>
      </c>
      <c r="P305" s="35" t="str">
        <f aca="false">IF($B305="","",$I305*PROV_VACACIONES)</f>
        <v/>
      </c>
      <c r="Q305" s="35" t="str">
        <f aca="false">IF($B305="","",$I305*PROV_CESANTIA)</f>
        <v/>
      </c>
      <c r="R305" s="35" t="str">
        <f aca="false">IF($B305="","",$I305+SUM($M305:$Q305))</f>
        <v/>
      </c>
      <c r="S305" s="46" t="str">
        <f aca="false">IF(OR($A305="",$B305=""),"",DATE(YEAR($A305),MONTH($A305),1))</f>
        <v/>
      </c>
    </row>
    <row r="306" customFormat="false" ht="15" hidden="false" customHeight="false" outlineLevel="0" collapsed="false">
      <c r="A306" s="55"/>
      <c r="B306" s="6"/>
      <c r="C306" s="6"/>
      <c r="D306" s="40"/>
      <c r="E306" s="39"/>
      <c r="F306" s="35" t="str">
        <f aca="false">IF($B306="","",N($D306)/HORAS_MES*RECARGO_HE)</f>
        <v/>
      </c>
      <c r="G306" s="35" t="str">
        <f aca="false">IF($B306="","",N($E306)*$F306)</f>
        <v/>
      </c>
      <c r="H306" s="40"/>
      <c r="I306" s="35" t="str">
        <f aca="false">IF($B306="","",N($D306)+$G306+N($H306))</f>
        <v/>
      </c>
      <c r="J306" s="35" t="str">
        <f aca="false">IF($B306="","",$I306*CCSS_OBRERO)</f>
        <v/>
      </c>
      <c r="K306" s="40"/>
      <c r="L306" s="35" t="str">
        <f aca="false">IF($B306="","",$I306-$J306-N($K306))</f>
        <v/>
      </c>
      <c r="M306" s="35" t="str">
        <f aca="false">IF($B306="","",$I306*CCSS_PATRONAL)</f>
        <v/>
      </c>
      <c r="N306" s="35" t="str">
        <f aca="false">IF($B306="","",$I306*INS_RT)</f>
        <v/>
      </c>
      <c r="O306" s="35" t="str">
        <f aca="false">IF($B306="","",$I306*PROV_AGUINALDO)</f>
        <v/>
      </c>
      <c r="P306" s="35" t="str">
        <f aca="false">IF($B306="","",$I306*PROV_VACACIONES)</f>
        <v/>
      </c>
      <c r="Q306" s="35" t="str">
        <f aca="false">IF($B306="","",$I306*PROV_CESANTIA)</f>
        <v/>
      </c>
      <c r="R306" s="35" t="str">
        <f aca="false">IF($B306="","",$I306+SUM($M306:$Q306))</f>
        <v/>
      </c>
      <c r="S306" s="46" t="str">
        <f aca="false">IF(OR($A306="",$B306=""),"",DATE(YEAR($A306),MONTH($A306),1))</f>
        <v/>
      </c>
    </row>
    <row r="307" customFormat="false" ht="15" hidden="false" customHeight="false" outlineLevel="0" collapsed="false">
      <c r="A307" s="55"/>
      <c r="B307" s="6"/>
      <c r="C307" s="6"/>
      <c r="D307" s="40"/>
      <c r="E307" s="39"/>
      <c r="F307" s="35" t="str">
        <f aca="false">IF($B307="","",N($D307)/HORAS_MES*RECARGO_HE)</f>
        <v/>
      </c>
      <c r="G307" s="35" t="str">
        <f aca="false">IF($B307="","",N($E307)*$F307)</f>
        <v/>
      </c>
      <c r="H307" s="40"/>
      <c r="I307" s="35" t="str">
        <f aca="false">IF($B307="","",N($D307)+$G307+N($H307))</f>
        <v/>
      </c>
      <c r="J307" s="35" t="str">
        <f aca="false">IF($B307="","",$I307*CCSS_OBRERO)</f>
        <v/>
      </c>
      <c r="K307" s="40"/>
      <c r="L307" s="35" t="str">
        <f aca="false">IF($B307="","",$I307-$J307-N($K307))</f>
        <v/>
      </c>
      <c r="M307" s="35" t="str">
        <f aca="false">IF($B307="","",$I307*CCSS_PATRONAL)</f>
        <v/>
      </c>
      <c r="N307" s="35" t="str">
        <f aca="false">IF($B307="","",$I307*INS_RT)</f>
        <v/>
      </c>
      <c r="O307" s="35" t="str">
        <f aca="false">IF($B307="","",$I307*PROV_AGUINALDO)</f>
        <v/>
      </c>
      <c r="P307" s="35" t="str">
        <f aca="false">IF($B307="","",$I307*PROV_VACACIONES)</f>
        <v/>
      </c>
      <c r="Q307" s="35" t="str">
        <f aca="false">IF($B307="","",$I307*PROV_CESANTIA)</f>
        <v/>
      </c>
      <c r="R307" s="35" t="str">
        <f aca="false">IF($B307="","",$I307+SUM($M307:$Q307))</f>
        <v/>
      </c>
      <c r="S307" s="46" t="str">
        <f aca="false">IF(OR($A307="",$B307=""),"",DATE(YEAR($A307),MONTH($A307),1))</f>
        <v/>
      </c>
    </row>
    <row r="308" customFormat="false" ht="15" hidden="false" customHeight="false" outlineLevel="0" collapsed="false">
      <c r="A308" s="55"/>
      <c r="B308" s="6"/>
      <c r="C308" s="6"/>
      <c r="D308" s="40"/>
      <c r="E308" s="39"/>
      <c r="F308" s="35" t="str">
        <f aca="false">IF($B308="","",N($D308)/HORAS_MES*RECARGO_HE)</f>
        <v/>
      </c>
      <c r="G308" s="35" t="str">
        <f aca="false">IF($B308="","",N($E308)*$F308)</f>
        <v/>
      </c>
      <c r="H308" s="40"/>
      <c r="I308" s="35" t="str">
        <f aca="false">IF($B308="","",N($D308)+$G308+N($H308))</f>
        <v/>
      </c>
      <c r="J308" s="35" t="str">
        <f aca="false">IF($B308="","",$I308*CCSS_OBRERO)</f>
        <v/>
      </c>
      <c r="K308" s="40"/>
      <c r="L308" s="35" t="str">
        <f aca="false">IF($B308="","",$I308-$J308-N($K308))</f>
        <v/>
      </c>
      <c r="M308" s="35" t="str">
        <f aca="false">IF($B308="","",$I308*CCSS_PATRONAL)</f>
        <v/>
      </c>
      <c r="N308" s="35" t="str">
        <f aca="false">IF($B308="","",$I308*INS_RT)</f>
        <v/>
      </c>
      <c r="O308" s="35" t="str">
        <f aca="false">IF($B308="","",$I308*PROV_AGUINALDO)</f>
        <v/>
      </c>
      <c r="P308" s="35" t="str">
        <f aca="false">IF($B308="","",$I308*PROV_VACACIONES)</f>
        <v/>
      </c>
      <c r="Q308" s="35" t="str">
        <f aca="false">IF($B308="","",$I308*PROV_CESANTIA)</f>
        <v/>
      </c>
      <c r="R308" s="35" t="str">
        <f aca="false">IF($B308="","",$I308+SUM($M308:$Q308))</f>
        <v/>
      </c>
      <c r="S308" s="46" t="str">
        <f aca="false">IF(OR($A308="",$B308=""),"",DATE(YEAR($A308),MONTH($A308),1))</f>
        <v/>
      </c>
    </row>
    <row r="309" customFormat="false" ht="15" hidden="false" customHeight="false" outlineLevel="0" collapsed="false">
      <c r="A309" s="55"/>
      <c r="B309" s="6"/>
      <c r="C309" s="6"/>
      <c r="D309" s="40"/>
      <c r="E309" s="39"/>
      <c r="F309" s="35" t="str">
        <f aca="false">IF($B309="","",N($D309)/HORAS_MES*RECARGO_HE)</f>
        <v/>
      </c>
      <c r="G309" s="35" t="str">
        <f aca="false">IF($B309="","",N($E309)*$F309)</f>
        <v/>
      </c>
      <c r="H309" s="40"/>
      <c r="I309" s="35" t="str">
        <f aca="false">IF($B309="","",N($D309)+$G309+N($H309))</f>
        <v/>
      </c>
      <c r="J309" s="35" t="str">
        <f aca="false">IF($B309="","",$I309*CCSS_OBRERO)</f>
        <v/>
      </c>
      <c r="K309" s="40"/>
      <c r="L309" s="35" t="str">
        <f aca="false">IF($B309="","",$I309-$J309-N($K309))</f>
        <v/>
      </c>
      <c r="M309" s="35" t="str">
        <f aca="false">IF($B309="","",$I309*CCSS_PATRONAL)</f>
        <v/>
      </c>
      <c r="N309" s="35" t="str">
        <f aca="false">IF($B309="","",$I309*INS_RT)</f>
        <v/>
      </c>
      <c r="O309" s="35" t="str">
        <f aca="false">IF($B309="","",$I309*PROV_AGUINALDO)</f>
        <v/>
      </c>
      <c r="P309" s="35" t="str">
        <f aca="false">IF($B309="","",$I309*PROV_VACACIONES)</f>
        <v/>
      </c>
      <c r="Q309" s="35" t="str">
        <f aca="false">IF($B309="","",$I309*PROV_CESANTIA)</f>
        <v/>
      </c>
      <c r="R309" s="35" t="str">
        <f aca="false">IF($B309="","",$I309+SUM($M309:$Q309))</f>
        <v/>
      </c>
      <c r="S309" s="46" t="str">
        <f aca="false">IF(OR($A309="",$B309=""),"",DATE(YEAR($A309),MONTH($A309),1))</f>
        <v/>
      </c>
    </row>
    <row r="310" customFormat="false" ht="15" hidden="false" customHeight="false" outlineLevel="0" collapsed="false">
      <c r="A310" s="55"/>
      <c r="B310" s="6"/>
      <c r="C310" s="6"/>
      <c r="D310" s="40"/>
      <c r="E310" s="39"/>
      <c r="F310" s="35" t="str">
        <f aca="false">IF($B310="","",N($D310)/HORAS_MES*RECARGO_HE)</f>
        <v/>
      </c>
      <c r="G310" s="35" t="str">
        <f aca="false">IF($B310="","",N($E310)*$F310)</f>
        <v/>
      </c>
      <c r="H310" s="40"/>
      <c r="I310" s="35" t="str">
        <f aca="false">IF($B310="","",N($D310)+$G310+N($H310))</f>
        <v/>
      </c>
      <c r="J310" s="35" t="str">
        <f aca="false">IF($B310="","",$I310*CCSS_OBRERO)</f>
        <v/>
      </c>
      <c r="K310" s="40"/>
      <c r="L310" s="35" t="str">
        <f aca="false">IF($B310="","",$I310-$J310-N($K310))</f>
        <v/>
      </c>
      <c r="M310" s="35" t="str">
        <f aca="false">IF($B310="","",$I310*CCSS_PATRONAL)</f>
        <v/>
      </c>
      <c r="N310" s="35" t="str">
        <f aca="false">IF($B310="","",$I310*INS_RT)</f>
        <v/>
      </c>
      <c r="O310" s="35" t="str">
        <f aca="false">IF($B310="","",$I310*PROV_AGUINALDO)</f>
        <v/>
      </c>
      <c r="P310" s="35" t="str">
        <f aca="false">IF($B310="","",$I310*PROV_VACACIONES)</f>
        <v/>
      </c>
      <c r="Q310" s="35" t="str">
        <f aca="false">IF($B310="","",$I310*PROV_CESANTIA)</f>
        <v/>
      </c>
      <c r="R310" s="35" t="str">
        <f aca="false">IF($B310="","",$I310+SUM($M310:$Q310))</f>
        <v/>
      </c>
      <c r="S310" s="46" t="str">
        <f aca="false">IF(OR($A310="",$B310=""),"",DATE(YEAR($A310),MONTH($A310),1))</f>
        <v/>
      </c>
    </row>
    <row r="311" customFormat="false" ht="15" hidden="false" customHeight="false" outlineLevel="0" collapsed="false">
      <c r="A311" s="55"/>
      <c r="B311" s="6"/>
      <c r="C311" s="6"/>
      <c r="D311" s="40"/>
      <c r="E311" s="39"/>
      <c r="F311" s="35" t="str">
        <f aca="false">IF($B311="","",N($D311)/HORAS_MES*RECARGO_HE)</f>
        <v/>
      </c>
      <c r="G311" s="35" t="str">
        <f aca="false">IF($B311="","",N($E311)*$F311)</f>
        <v/>
      </c>
      <c r="H311" s="40"/>
      <c r="I311" s="35" t="str">
        <f aca="false">IF($B311="","",N($D311)+$G311+N($H311))</f>
        <v/>
      </c>
      <c r="J311" s="35" t="str">
        <f aca="false">IF($B311="","",$I311*CCSS_OBRERO)</f>
        <v/>
      </c>
      <c r="K311" s="40"/>
      <c r="L311" s="35" t="str">
        <f aca="false">IF($B311="","",$I311-$J311-N($K311))</f>
        <v/>
      </c>
      <c r="M311" s="35" t="str">
        <f aca="false">IF($B311="","",$I311*CCSS_PATRONAL)</f>
        <v/>
      </c>
      <c r="N311" s="35" t="str">
        <f aca="false">IF($B311="","",$I311*INS_RT)</f>
        <v/>
      </c>
      <c r="O311" s="35" t="str">
        <f aca="false">IF($B311="","",$I311*PROV_AGUINALDO)</f>
        <v/>
      </c>
      <c r="P311" s="35" t="str">
        <f aca="false">IF($B311="","",$I311*PROV_VACACIONES)</f>
        <v/>
      </c>
      <c r="Q311" s="35" t="str">
        <f aca="false">IF($B311="","",$I311*PROV_CESANTIA)</f>
        <v/>
      </c>
      <c r="R311" s="35" t="str">
        <f aca="false">IF($B311="","",$I311+SUM($M311:$Q311))</f>
        <v/>
      </c>
      <c r="S311" s="46" t="str">
        <f aca="false">IF(OR($A311="",$B311=""),"",DATE(YEAR($A311),MONTH($A311),1))</f>
        <v/>
      </c>
    </row>
    <row r="312" customFormat="false" ht="15" hidden="false" customHeight="false" outlineLevel="0" collapsed="false">
      <c r="A312" s="55"/>
      <c r="B312" s="6"/>
      <c r="C312" s="6"/>
      <c r="D312" s="40"/>
      <c r="E312" s="39"/>
      <c r="F312" s="35" t="str">
        <f aca="false">IF($B312="","",N($D312)/HORAS_MES*RECARGO_HE)</f>
        <v/>
      </c>
      <c r="G312" s="35" t="str">
        <f aca="false">IF($B312="","",N($E312)*$F312)</f>
        <v/>
      </c>
      <c r="H312" s="40"/>
      <c r="I312" s="35" t="str">
        <f aca="false">IF($B312="","",N($D312)+$G312+N($H312))</f>
        <v/>
      </c>
      <c r="J312" s="35" t="str">
        <f aca="false">IF($B312="","",$I312*CCSS_OBRERO)</f>
        <v/>
      </c>
      <c r="K312" s="40"/>
      <c r="L312" s="35" t="str">
        <f aca="false">IF($B312="","",$I312-$J312-N($K312))</f>
        <v/>
      </c>
      <c r="M312" s="35" t="str">
        <f aca="false">IF($B312="","",$I312*CCSS_PATRONAL)</f>
        <v/>
      </c>
      <c r="N312" s="35" t="str">
        <f aca="false">IF($B312="","",$I312*INS_RT)</f>
        <v/>
      </c>
      <c r="O312" s="35" t="str">
        <f aca="false">IF($B312="","",$I312*PROV_AGUINALDO)</f>
        <v/>
      </c>
      <c r="P312" s="35" t="str">
        <f aca="false">IF($B312="","",$I312*PROV_VACACIONES)</f>
        <v/>
      </c>
      <c r="Q312" s="35" t="str">
        <f aca="false">IF($B312="","",$I312*PROV_CESANTIA)</f>
        <v/>
      </c>
      <c r="R312" s="35" t="str">
        <f aca="false">IF($B312="","",$I312+SUM($M312:$Q312))</f>
        <v/>
      </c>
      <c r="S312" s="46" t="str">
        <f aca="false">IF(OR($A312="",$B312=""),"",DATE(YEAR($A312),MONTH($A312),1))</f>
        <v/>
      </c>
    </row>
    <row r="313" customFormat="false" ht="15" hidden="false" customHeight="false" outlineLevel="0" collapsed="false">
      <c r="A313" s="55"/>
      <c r="B313" s="6"/>
      <c r="C313" s="6"/>
      <c r="D313" s="40"/>
      <c r="E313" s="39"/>
      <c r="F313" s="35" t="str">
        <f aca="false">IF($B313="","",N($D313)/HORAS_MES*RECARGO_HE)</f>
        <v/>
      </c>
      <c r="G313" s="35" t="str">
        <f aca="false">IF($B313="","",N($E313)*$F313)</f>
        <v/>
      </c>
      <c r="H313" s="40"/>
      <c r="I313" s="35" t="str">
        <f aca="false">IF($B313="","",N($D313)+$G313+N($H313))</f>
        <v/>
      </c>
      <c r="J313" s="35" t="str">
        <f aca="false">IF($B313="","",$I313*CCSS_OBRERO)</f>
        <v/>
      </c>
      <c r="K313" s="40"/>
      <c r="L313" s="35" t="str">
        <f aca="false">IF($B313="","",$I313-$J313-N($K313))</f>
        <v/>
      </c>
      <c r="M313" s="35" t="str">
        <f aca="false">IF($B313="","",$I313*CCSS_PATRONAL)</f>
        <v/>
      </c>
      <c r="N313" s="35" t="str">
        <f aca="false">IF($B313="","",$I313*INS_RT)</f>
        <v/>
      </c>
      <c r="O313" s="35" t="str">
        <f aca="false">IF($B313="","",$I313*PROV_AGUINALDO)</f>
        <v/>
      </c>
      <c r="P313" s="35" t="str">
        <f aca="false">IF($B313="","",$I313*PROV_VACACIONES)</f>
        <v/>
      </c>
      <c r="Q313" s="35" t="str">
        <f aca="false">IF($B313="","",$I313*PROV_CESANTIA)</f>
        <v/>
      </c>
      <c r="R313" s="35" t="str">
        <f aca="false">IF($B313="","",$I313+SUM($M313:$Q313))</f>
        <v/>
      </c>
      <c r="S313" s="46" t="str">
        <f aca="false">IF(OR($A313="",$B313=""),"",DATE(YEAR($A313),MONTH($A313),1))</f>
        <v/>
      </c>
    </row>
    <row r="314" customFormat="false" ht="15" hidden="false" customHeight="false" outlineLevel="0" collapsed="false">
      <c r="A314" s="55"/>
      <c r="B314" s="6"/>
      <c r="C314" s="6"/>
      <c r="D314" s="40"/>
      <c r="E314" s="39"/>
      <c r="F314" s="35" t="str">
        <f aca="false">IF($B314="","",N($D314)/HORAS_MES*RECARGO_HE)</f>
        <v/>
      </c>
      <c r="G314" s="35" t="str">
        <f aca="false">IF($B314="","",N($E314)*$F314)</f>
        <v/>
      </c>
      <c r="H314" s="40"/>
      <c r="I314" s="35" t="str">
        <f aca="false">IF($B314="","",N($D314)+$G314+N($H314))</f>
        <v/>
      </c>
      <c r="J314" s="35" t="str">
        <f aca="false">IF($B314="","",$I314*CCSS_OBRERO)</f>
        <v/>
      </c>
      <c r="K314" s="40"/>
      <c r="L314" s="35" t="str">
        <f aca="false">IF($B314="","",$I314-$J314-N($K314))</f>
        <v/>
      </c>
      <c r="M314" s="35" t="str">
        <f aca="false">IF($B314="","",$I314*CCSS_PATRONAL)</f>
        <v/>
      </c>
      <c r="N314" s="35" t="str">
        <f aca="false">IF($B314="","",$I314*INS_RT)</f>
        <v/>
      </c>
      <c r="O314" s="35" t="str">
        <f aca="false">IF($B314="","",$I314*PROV_AGUINALDO)</f>
        <v/>
      </c>
      <c r="P314" s="35" t="str">
        <f aca="false">IF($B314="","",$I314*PROV_VACACIONES)</f>
        <v/>
      </c>
      <c r="Q314" s="35" t="str">
        <f aca="false">IF($B314="","",$I314*PROV_CESANTIA)</f>
        <v/>
      </c>
      <c r="R314" s="35" t="str">
        <f aca="false">IF($B314="","",$I314+SUM($M314:$Q314))</f>
        <v/>
      </c>
      <c r="S314" s="46" t="str">
        <f aca="false">IF(OR($A314="",$B314=""),"",DATE(YEAR($A314),MONTH($A314),1))</f>
        <v/>
      </c>
    </row>
    <row r="315" customFormat="false" ht="15" hidden="false" customHeight="false" outlineLevel="0" collapsed="false">
      <c r="A315" s="55"/>
      <c r="B315" s="6"/>
      <c r="C315" s="6"/>
      <c r="D315" s="40"/>
      <c r="E315" s="39"/>
      <c r="F315" s="35" t="str">
        <f aca="false">IF($B315="","",N($D315)/HORAS_MES*RECARGO_HE)</f>
        <v/>
      </c>
      <c r="G315" s="35" t="str">
        <f aca="false">IF($B315="","",N($E315)*$F315)</f>
        <v/>
      </c>
      <c r="H315" s="40"/>
      <c r="I315" s="35" t="str">
        <f aca="false">IF($B315="","",N($D315)+$G315+N($H315))</f>
        <v/>
      </c>
      <c r="J315" s="35" t="str">
        <f aca="false">IF($B315="","",$I315*CCSS_OBRERO)</f>
        <v/>
      </c>
      <c r="K315" s="40"/>
      <c r="L315" s="35" t="str">
        <f aca="false">IF($B315="","",$I315-$J315-N($K315))</f>
        <v/>
      </c>
      <c r="M315" s="35" t="str">
        <f aca="false">IF($B315="","",$I315*CCSS_PATRONAL)</f>
        <v/>
      </c>
      <c r="N315" s="35" t="str">
        <f aca="false">IF($B315="","",$I315*INS_RT)</f>
        <v/>
      </c>
      <c r="O315" s="35" t="str">
        <f aca="false">IF($B315="","",$I315*PROV_AGUINALDO)</f>
        <v/>
      </c>
      <c r="P315" s="35" t="str">
        <f aca="false">IF($B315="","",$I315*PROV_VACACIONES)</f>
        <v/>
      </c>
      <c r="Q315" s="35" t="str">
        <f aca="false">IF($B315="","",$I315*PROV_CESANTIA)</f>
        <v/>
      </c>
      <c r="R315" s="35" t="str">
        <f aca="false">IF($B315="","",$I315+SUM($M315:$Q315))</f>
        <v/>
      </c>
      <c r="S315" s="46" t="str">
        <f aca="false">IF(OR($A315="",$B315=""),"",DATE(YEAR($A315),MONTH($A315),1))</f>
        <v/>
      </c>
    </row>
    <row r="316" customFormat="false" ht="15" hidden="false" customHeight="false" outlineLevel="0" collapsed="false">
      <c r="A316" s="55"/>
      <c r="B316" s="6"/>
      <c r="C316" s="6"/>
      <c r="D316" s="40"/>
      <c r="E316" s="39"/>
      <c r="F316" s="35" t="str">
        <f aca="false">IF($B316="","",N($D316)/HORAS_MES*RECARGO_HE)</f>
        <v/>
      </c>
      <c r="G316" s="35" t="str">
        <f aca="false">IF($B316="","",N($E316)*$F316)</f>
        <v/>
      </c>
      <c r="H316" s="40"/>
      <c r="I316" s="35" t="str">
        <f aca="false">IF($B316="","",N($D316)+$G316+N($H316))</f>
        <v/>
      </c>
      <c r="J316" s="35" t="str">
        <f aca="false">IF($B316="","",$I316*CCSS_OBRERO)</f>
        <v/>
      </c>
      <c r="K316" s="40"/>
      <c r="L316" s="35" t="str">
        <f aca="false">IF($B316="","",$I316-$J316-N($K316))</f>
        <v/>
      </c>
      <c r="M316" s="35" t="str">
        <f aca="false">IF($B316="","",$I316*CCSS_PATRONAL)</f>
        <v/>
      </c>
      <c r="N316" s="35" t="str">
        <f aca="false">IF($B316="","",$I316*INS_RT)</f>
        <v/>
      </c>
      <c r="O316" s="35" t="str">
        <f aca="false">IF($B316="","",$I316*PROV_AGUINALDO)</f>
        <v/>
      </c>
      <c r="P316" s="35" t="str">
        <f aca="false">IF($B316="","",$I316*PROV_VACACIONES)</f>
        <v/>
      </c>
      <c r="Q316" s="35" t="str">
        <f aca="false">IF($B316="","",$I316*PROV_CESANTIA)</f>
        <v/>
      </c>
      <c r="R316" s="35" t="str">
        <f aca="false">IF($B316="","",$I316+SUM($M316:$Q316))</f>
        <v/>
      </c>
      <c r="S316" s="46" t="str">
        <f aca="false">IF(OR($A316="",$B316=""),"",DATE(YEAR($A316),MONTH($A316),1))</f>
        <v/>
      </c>
    </row>
    <row r="317" customFormat="false" ht="15" hidden="false" customHeight="false" outlineLevel="0" collapsed="false">
      <c r="A317" s="55"/>
      <c r="B317" s="6"/>
      <c r="C317" s="6"/>
      <c r="D317" s="40"/>
      <c r="E317" s="39"/>
      <c r="F317" s="35" t="str">
        <f aca="false">IF($B317="","",N($D317)/HORAS_MES*RECARGO_HE)</f>
        <v/>
      </c>
      <c r="G317" s="35" t="str">
        <f aca="false">IF($B317="","",N($E317)*$F317)</f>
        <v/>
      </c>
      <c r="H317" s="40"/>
      <c r="I317" s="35" t="str">
        <f aca="false">IF($B317="","",N($D317)+$G317+N($H317))</f>
        <v/>
      </c>
      <c r="J317" s="35" t="str">
        <f aca="false">IF($B317="","",$I317*CCSS_OBRERO)</f>
        <v/>
      </c>
      <c r="K317" s="40"/>
      <c r="L317" s="35" t="str">
        <f aca="false">IF($B317="","",$I317-$J317-N($K317))</f>
        <v/>
      </c>
      <c r="M317" s="35" t="str">
        <f aca="false">IF($B317="","",$I317*CCSS_PATRONAL)</f>
        <v/>
      </c>
      <c r="N317" s="35" t="str">
        <f aca="false">IF($B317="","",$I317*INS_RT)</f>
        <v/>
      </c>
      <c r="O317" s="35" t="str">
        <f aca="false">IF($B317="","",$I317*PROV_AGUINALDO)</f>
        <v/>
      </c>
      <c r="P317" s="35" t="str">
        <f aca="false">IF($B317="","",$I317*PROV_VACACIONES)</f>
        <v/>
      </c>
      <c r="Q317" s="35" t="str">
        <f aca="false">IF($B317="","",$I317*PROV_CESANTIA)</f>
        <v/>
      </c>
      <c r="R317" s="35" t="str">
        <f aca="false">IF($B317="","",$I317+SUM($M317:$Q317))</f>
        <v/>
      </c>
      <c r="S317" s="46" t="str">
        <f aca="false">IF(OR($A317="",$B317=""),"",DATE(YEAR($A317),MONTH($A317),1))</f>
        <v/>
      </c>
    </row>
    <row r="318" customFormat="false" ht="15" hidden="false" customHeight="false" outlineLevel="0" collapsed="false">
      <c r="A318" s="55"/>
      <c r="B318" s="6"/>
      <c r="C318" s="6"/>
      <c r="D318" s="40"/>
      <c r="E318" s="39"/>
      <c r="F318" s="35" t="str">
        <f aca="false">IF($B318="","",N($D318)/HORAS_MES*RECARGO_HE)</f>
        <v/>
      </c>
      <c r="G318" s="35" t="str">
        <f aca="false">IF($B318="","",N($E318)*$F318)</f>
        <v/>
      </c>
      <c r="H318" s="40"/>
      <c r="I318" s="35" t="str">
        <f aca="false">IF($B318="","",N($D318)+$G318+N($H318))</f>
        <v/>
      </c>
      <c r="J318" s="35" t="str">
        <f aca="false">IF($B318="","",$I318*CCSS_OBRERO)</f>
        <v/>
      </c>
      <c r="K318" s="40"/>
      <c r="L318" s="35" t="str">
        <f aca="false">IF($B318="","",$I318-$J318-N($K318))</f>
        <v/>
      </c>
      <c r="M318" s="35" t="str">
        <f aca="false">IF($B318="","",$I318*CCSS_PATRONAL)</f>
        <v/>
      </c>
      <c r="N318" s="35" t="str">
        <f aca="false">IF($B318="","",$I318*INS_RT)</f>
        <v/>
      </c>
      <c r="O318" s="35" t="str">
        <f aca="false">IF($B318="","",$I318*PROV_AGUINALDO)</f>
        <v/>
      </c>
      <c r="P318" s="35" t="str">
        <f aca="false">IF($B318="","",$I318*PROV_VACACIONES)</f>
        <v/>
      </c>
      <c r="Q318" s="35" t="str">
        <f aca="false">IF($B318="","",$I318*PROV_CESANTIA)</f>
        <v/>
      </c>
      <c r="R318" s="35" t="str">
        <f aca="false">IF($B318="","",$I318+SUM($M318:$Q318))</f>
        <v/>
      </c>
      <c r="S318" s="46" t="str">
        <f aca="false">IF(OR($A318="",$B318=""),"",DATE(YEAR($A318),MONTH($A318),1))</f>
        <v/>
      </c>
    </row>
    <row r="319" customFormat="false" ht="15" hidden="false" customHeight="false" outlineLevel="0" collapsed="false">
      <c r="A319" s="55"/>
      <c r="B319" s="6"/>
      <c r="C319" s="6"/>
      <c r="D319" s="40"/>
      <c r="E319" s="39"/>
      <c r="F319" s="35" t="str">
        <f aca="false">IF($B319="","",N($D319)/HORAS_MES*RECARGO_HE)</f>
        <v/>
      </c>
      <c r="G319" s="35" t="str">
        <f aca="false">IF($B319="","",N($E319)*$F319)</f>
        <v/>
      </c>
      <c r="H319" s="40"/>
      <c r="I319" s="35" t="str">
        <f aca="false">IF($B319="","",N($D319)+$G319+N($H319))</f>
        <v/>
      </c>
      <c r="J319" s="35" t="str">
        <f aca="false">IF($B319="","",$I319*CCSS_OBRERO)</f>
        <v/>
      </c>
      <c r="K319" s="40"/>
      <c r="L319" s="35" t="str">
        <f aca="false">IF($B319="","",$I319-$J319-N($K319))</f>
        <v/>
      </c>
      <c r="M319" s="35" t="str">
        <f aca="false">IF($B319="","",$I319*CCSS_PATRONAL)</f>
        <v/>
      </c>
      <c r="N319" s="35" t="str">
        <f aca="false">IF($B319="","",$I319*INS_RT)</f>
        <v/>
      </c>
      <c r="O319" s="35" t="str">
        <f aca="false">IF($B319="","",$I319*PROV_AGUINALDO)</f>
        <v/>
      </c>
      <c r="P319" s="35" t="str">
        <f aca="false">IF($B319="","",$I319*PROV_VACACIONES)</f>
        <v/>
      </c>
      <c r="Q319" s="35" t="str">
        <f aca="false">IF($B319="","",$I319*PROV_CESANTIA)</f>
        <v/>
      </c>
      <c r="R319" s="35" t="str">
        <f aca="false">IF($B319="","",$I319+SUM($M319:$Q319))</f>
        <v/>
      </c>
      <c r="S319" s="46" t="str">
        <f aca="false">IF(OR($A319="",$B319=""),"",DATE(YEAR($A319),MONTH($A319),1))</f>
        <v/>
      </c>
    </row>
    <row r="320" customFormat="false" ht="15" hidden="false" customHeight="false" outlineLevel="0" collapsed="false">
      <c r="A320" s="55"/>
      <c r="B320" s="6"/>
      <c r="C320" s="6"/>
      <c r="D320" s="40"/>
      <c r="E320" s="39"/>
      <c r="F320" s="35" t="str">
        <f aca="false">IF($B320="","",N($D320)/HORAS_MES*RECARGO_HE)</f>
        <v/>
      </c>
      <c r="G320" s="35" t="str">
        <f aca="false">IF($B320="","",N($E320)*$F320)</f>
        <v/>
      </c>
      <c r="H320" s="40"/>
      <c r="I320" s="35" t="str">
        <f aca="false">IF($B320="","",N($D320)+$G320+N($H320))</f>
        <v/>
      </c>
      <c r="J320" s="35" t="str">
        <f aca="false">IF($B320="","",$I320*CCSS_OBRERO)</f>
        <v/>
      </c>
      <c r="K320" s="40"/>
      <c r="L320" s="35" t="str">
        <f aca="false">IF($B320="","",$I320-$J320-N($K320))</f>
        <v/>
      </c>
      <c r="M320" s="35" t="str">
        <f aca="false">IF($B320="","",$I320*CCSS_PATRONAL)</f>
        <v/>
      </c>
      <c r="N320" s="35" t="str">
        <f aca="false">IF($B320="","",$I320*INS_RT)</f>
        <v/>
      </c>
      <c r="O320" s="35" t="str">
        <f aca="false">IF($B320="","",$I320*PROV_AGUINALDO)</f>
        <v/>
      </c>
      <c r="P320" s="35" t="str">
        <f aca="false">IF($B320="","",$I320*PROV_VACACIONES)</f>
        <v/>
      </c>
      <c r="Q320" s="35" t="str">
        <f aca="false">IF($B320="","",$I320*PROV_CESANTIA)</f>
        <v/>
      </c>
      <c r="R320" s="35" t="str">
        <f aca="false">IF($B320="","",$I320+SUM($M320:$Q320))</f>
        <v/>
      </c>
      <c r="S320" s="46" t="str">
        <f aca="false">IF(OR($A320="",$B320=""),"",DATE(YEAR($A320),MONTH($A320),1))</f>
        <v/>
      </c>
    </row>
    <row r="321" customFormat="false" ht="15" hidden="false" customHeight="false" outlineLevel="0" collapsed="false">
      <c r="A321" s="55"/>
      <c r="B321" s="6"/>
      <c r="C321" s="6"/>
      <c r="D321" s="40"/>
      <c r="E321" s="39"/>
      <c r="F321" s="35" t="str">
        <f aca="false">IF($B321="","",N($D321)/HORAS_MES*RECARGO_HE)</f>
        <v/>
      </c>
      <c r="G321" s="35" t="str">
        <f aca="false">IF($B321="","",N($E321)*$F321)</f>
        <v/>
      </c>
      <c r="H321" s="40"/>
      <c r="I321" s="35" t="str">
        <f aca="false">IF($B321="","",N($D321)+$G321+N($H321))</f>
        <v/>
      </c>
      <c r="J321" s="35" t="str">
        <f aca="false">IF($B321="","",$I321*CCSS_OBRERO)</f>
        <v/>
      </c>
      <c r="K321" s="40"/>
      <c r="L321" s="35" t="str">
        <f aca="false">IF($B321="","",$I321-$J321-N($K321))</f>
        <v/>
      </c>
      <c r="M321" s="35" t="str">
        <f aca="false">IF($B321="","",$I321*CCSS_PATRONAL)</f>
        <v/>
      </c>
      <c r="N321" s="35" t="str">
        <f aca="false">IF($B321="","",$I321*INS_RT)</f>
        <v/>
      </c>
      <c r="O321" s="35" t="str">
        <f aca="false">IF($B321="","",$I321*PROV_AGUINALDO)</f>
        <v/>
      </c>
      <c r="P321" s="35" t="str">
        <f aca="false">IF($B321="","",$I321*PROV_VACACIONES)</f>
        <v/>
      </c>
      <c r="Q321" s="35" t="str">
        <f aca="false">IF($B321="","",$I321*PROV_CESANTIA)</f>
        <v/>
      </c>
      <c r="R321" s="35" t="str">
        <f aca="false">IF($B321="","",$I321+SUM($M321:$Q321))</f>
        <v/>
      </c>
      <c r="S321" s="46" t="str">
        <f aca="false">IF(OR($A321="",$B321=""),"",DATE(YEAR($A321),MONTH($A321),1))</f>
        <v/>
      </c>
    </row>
    <row r="322" customFormat="false" ht="15" hidden="false" customHeight="false" outlineLevel="0" collapsed="false">
      <c r="A322" s="55"/>
      <c r="B322" s="6"/>
      <c r="C322" s="6"/>
      <c r="D322" s="40"/>
      <c r="E322" s="39"/>
      <c r="F322" s="35" t="str">
        <f aca="false">IF($B322="","",N($D322)/HORAS_MES*RECARGO_HE)</f>
        <v/>
      </c>
      <c r="G322" s="35" t="str">
        <f aca="false">IF($B322="","",N($E322)*$F322)</f>
        <v/>
      </c>
      <c r="H322" s="40"/>
      <c r="I322" s="35" t="str">
        <f aca="false">IF($B322="","",N($D322)+$G322+N($H322))</f>
        <v/>
      </c>
      <c r="J322" s="35" t="str">
        <f aca="false">IF($B322="","",$I322*CCSS_OBRERO)</f>
        <v/>
      </c>
      <c r="K322" s="40"/>
      <c r="L322" s="35" t="str">
        <f aca="false">IF($B322="","",$I322-$J322-N($K322))</f>
        <v/>
      </c>
      <c r="M322" s="35" t="str">
        <f aca="false">IF($B322="","",$I322*CCSS_PATRONAL)</f>
        <v/>
      </c>
      <c r="N322" s="35" t="str">
        <f aca="false">IF($B322="","",$I322*INS_RT)</f>
        <v/>
      </c>
      <c r="O322" s="35" t="str">
        <f aca="false">IF($B322="","",$I322*PROV_AGUINALDO)</f>
        <v/>
      </c>
      <c r="P322" s="35" t="str">
        <f aca="false">IF($B322="","",$I322*PROV_VACACIONES)</f>
        <v/>
      </c>
      <c r="Q322" s="35" t="str">
        <f aca="false">IF($B322="","",$I322*PROV_CESANTIA)</f>
        <v/>
      </c>
      <c r="R322" s="35" t="str">
        <f aca="false">IF($B322="","",$I322+SUM($M322:$Q322))</f>
        <v/>
      </c>
      <c r="S322" s="46" t="str">
        <f aca="false">IF(OR($A322="",$B322=""),"",DATE(YEAR($A322),MONTH($A322),1))</f>
        <v/>
      </c>
    </row>
    <row r="323" customFormat="false" ht="15" hidden="false" customHeight="false" outlineLevel="0" collapsed="false">
      <c r="A323" s="55"/>
      <c r="B323" s="6"/>
      <c r="C323" s="6"/>
      <c r="D323" s="40"/>
      <c r="E323" s="39"/>
      <c r="F323" s="35" t="str">
        <f aca="false">IF($B323="","",N($D323)/HORAS_MES*RECARGO_HE)</f>
        <v/>
      </c>
      <c r="G323" s="35" t="str">
        <f aca="false">IF($B323="","",N($E323)*$F323)</f>
        <v/>
      </c>
      <c r="H323" s="40"/>
      <c r="I323" s="35" t="str">
        <f aca="false">IF($B323="","",N($D323)+$G323+N($H323))</f>
        <v/>
      </c>
      <c r="J323" s="35" t="str">
        <f aca="false">IF($B323="","",$I323*CCSS_OBRERO)</f>
        <v/>
      </c>
      <c r="K323" s="40"/>
      <c r="L323" s="35" t="str">
        <f aca="false">IF($B323="","",$I323-$J323-N($K323))</f>
        <v/>
      </c>
      <c r="M323" s="35" t="str">
        <f aca="false">IF($B323="","",$I323*CCSS_PATRONAL)</f>
        <v/>
      </c>
      <c r="N323" s="35" t="str">
        <f aca="false">IF($B323="","",$I323*INS_RT)</f>
        <v/>
      </c>
      <c r="O323" s="35" t="str">
        <f aca="false">IF($B323="","",$I323*PROV_AGUINALDO)</f>
        <v/>
      </c>
      <c r="P323" s="35" t="str">
        <f aca="false">IF($B323="","",$I323*PROV_VACACIONES)</f>
        <v/>
      </c>
      <c r="Q323" s="35" t="str">
        <f aca="false">IF($B323="","",$I323*PROV_CESANTIA)</f>
        <v/>
      </c>
      <c r="R323" s="35" t="str">
        <f aca="false">IF($B323="","",$I323+SUM($M323:$Q323))</f>
        <v/>
      </c>
      <c r="S323" s="46" t="str">
        <f aca="false">IF(OR($A323="",$B323=""),"",DATE(YEAR($A323),MONTH($A323),1))</f>
        <v/>
      </c>
    </row>
    <row r="324" customFormat="false" ht="15" hidden="false" customHeight="false" outlineLevel="0" collapsed="false">
      <c r="A324" s="55"/>
      <c r="B324" s="6"/>
      <c r="C324" s="6"/>
      <c r="D324" s="40"/>
      <c r="E324" s="39"/>
      <c r="F324" s="35" t="str">
        <f aca="false">IF($B324="","",N($D324)/HORAS_MES*RECARGO_HE)</f>
        <v/>
      </c>
      <c r="G324" s="35" t="str">
        <f aca="false">IF($B324="","",N($E324)*$F324)</f>
        <v/>
      </c>
      <c r="H324" s="40"/>
      <c r="I324" s="35" t="str">
        <f aca="false">IF($B324="","",N($D324)+$G324+N($H324))</f>
        <v/>
      </c>
      <c r="J324" s="35" t="str">
        <f aca="false">IF($B324="","",$I324*CCSS_OBRERO)</f>
        <v/>
      </c>
      <c r="K324" s="40"/>
      <c r="L324" s="35" t="str">
        <f aca="false">IF($B324="","",$I324-$J324-N($K324))</f>
        <v/>
      </c>
      <c r="M324" s="35" t="str">
        <f aca="false">IF($B324="","",$I324*CCSS_PATRONAL)</f>
        <v/>
      </c>
      <c r="N324" s="35" t="str">
        <f aca="false">IF($B324="","",$I324*INS_RT)</f>
        <v/>
      </c>
      <c r="O324" s="35" t="str">
        <f aca="false">IF($B324="","",$I324*PROV_AGUINALDO)</f>
        <v/>
      </c>
      <c r="P324" s="35" t="str">
        <f aca="false">IF($B324="","",$I324*PROV_VACACIONES)</f>
        <v/>
      </c>
      <c r="Q324" s="35" t="str">
        <f aca="false">IF($B324="","",$I324*PROV_CESANTIA)</f>
        <v/>
      </c>
      <c r="R324" s="35" t="str">
        <f aca="false">IF($B324="","",$I324+SUM($M324:$Q324))</f>
        <v/>
      </c>
      <c r="S324" s="46" t="str">
        <f aca="false">IF(OR($A324="",$B324=""),"",DATE(YEAR($A324),MONTH($A324),1))</f>
        <v/>
      </c>
    </row>
    <row r="325" customFormat="false" ht="15" hidden="false" customHeight="false" outlineLevel="0" collapsed="false">
      <c r="A325" s="55"/>
      <c r="B325" s="6"/>
      <c r="C325" s="6"/>
      <c r="D325" s="40"/>
      <c r="E325" s="39"/>
      <c r="F325" s="35" t="str">
        <f aca="false">IF($B325="","",N($D325)/HORAS_MES*RECARGO_HE)</f>
        <v/>
      </c>
      <c r="G325" s="35" t="str">
        <f aca="false">IF($B325="","",N($E325)*$F325)</f>
        <v/>
      </c>
      <c r="H325" s="40"/>
      <c r="I325" s="35" t="str">
        <f aca="false">IF($B325="","",N($D325)+$G325+N($H325))</f>
        <v/>
      </c>
      <c r="J325" s="35" t="str">
        <f aca="false">IF($B325="","",$I325*CCSS_OBRERO)</f>
        <v/>
      </c>
      <c r="K325" s="40"/>
      <c r="L325" s="35" t="str">
        <f aca="false">IF($B325="","",$I325-$J325-N($K325))</f>
        <v/>
      </c>
      <c r="M325" s="35" t="str">
        <f aca="false">IF($B325="","",$I325*CCSS_PATRONAL)</f>
        <v/>
      </c>
      <c r="N325" s="35" t="str">
        <f aca="false">IF($B325="","",$I325*INS_RT)</f>
        <v/>
      </c>
      <c r="O325" s="35" t="str">
        <f aca="false">IF($B325="","",$I325*PROV_AGUINALDO)</f>
        <v/>
      </c>
      <c r="P325" s="35" t="str">
        <f aca="false">IF($B325="","",$I325*PROV_VACACIONES)</f>
        <v/>
      </c>
      <c r="Q325" s="35" t="str">
        <f aca="false">IF($B325="","",$I325*PROV_CESANTIA)</f>
        <v/>
      </c>
      <c r="R325" s="35" t="str">
        <f aca="false">IF($B325="","",$I325+SUM($M325:$Q325))</f>
        <v/>
      </c>
      <c r="S325" s="46" t="str">
        <f aca="false">IF(OR($A325="",$B325=""),"",DATE(YEAR($A325),MONTH($A325),1))</f>
        <v/>
      </c>
    </row>
    <row r="326" customFormat="false" ht="15" hidden="false" customHeight="false" outlineLevel="0" collapsed="false">
      <c r="A326" s="55"/>
      <c r="B326" s="6"/>
      <c r="C326" s="6"/>
      <c r="D326" s="40"/>
      <c r="E326" s="39"/>
      <c r="F326" s="35" t="str">
        <f aca="false">IF($B326="","",N($D326)/HORAS_MES*RECARGO_HE)</f>
        <v/>
      </c>
      <c r="G326" s="35" t="str">
        <f aca="false">IF($B326="","",N($E326)*$F326)</f>
        <v/>
      </c>
      <c r="H326" s="40"/>
      <c r="I326" s="35" t="str">
        <f aca="false">IF($B326="","",N($D326)+$G326+N($H326))</f>
        <v/>
      </c>
      <c r="J326" s="35" t="str">
        <f aca="false">IF($B326="","",$I326*CCSS_OBRERO)</f>
        <v/>
      </c>
      <c r="K326" s="40"/>
      <c r="L326" s="35" t="str">
        <f aca="false">IF($B326="","",$I326-$J326-N($K326))</f>
        <v/>
      </c>
      <c r="M326" s="35" t="str">
        <f aca="false">IF($B326="","",$I326*CCSS_PATRONAL)</f>
        <v/>
      </c>
      <c r="N326" s="35" t="str">
        <f aca="false">IF($B326="","",$I326*INS_RT)</f>
        <v/>
      </c>
      <c r="O326" s="35" t="str">
        <f aca="false">IF($B326="","",$I326*PROV_AGUINALDO)</f>
        <v/>
      </c>
      <c r="P326" s="35" t="str">
        <f aca="false">IF($B326="","",$I326*PROV_VACACIONES)</f>
        <v/>
      </c>
      <c r="Q326" s="35" t="str">
        <f aca="false">IF($B326="","",$I326*PROV_CESANTIA)</f>
        <v/>
      </c>
      <c r="R326" s="35" t="str">
        <f aca="false">IF($B326="","",$I326+SUM($M326:$Q326))</f>
        <v/>
      </c>
      <c r="S326" s="46" t="str">
        <f aca="false">IF(OR($A326="",$B326=""),"",DATE(YEAR($A326),MONTH($A326),1))</f>
        <v/>
      </c>
    </row>
    <row r="327" customFormat="false" ht="15" hidden="false" customHeight="false" outlineLevel="0" collapsed="false">
      <c r="A327" s="55"/>
      <c r="B327" s="6"/>
      <c r="C327" s="6"/>
      <c r="D327" s="40"/>
      <c r="E327" s="39"/>
      <c r="F327" s="35" t="str">
        <f aca="false">IF($B327="","",N($D327)/HORAS_MES*RECARGO_HE)</f>
        <v/>
      </c>
      <c r="G327" s="35" t="str">
        <f aca="false">IF($B327="","",N($E327)*$F327)</f>
        <v/>
      </c>
      <c r="H327" s="40"/>
      <c r="I327" s="35" t="str">
        <f aca="false">IF($B327="","",N($D327)+$G327+N($H327))</f>
        <v/>
      </c>
      <c r="J327" s="35" t="str">
        <f aca="false">IF($B327="","",$I327*CCSS_OBRERO)</f>
        <v/>
      </c>
      <c r="K327" s="40"/>
      <c r="L327" s="35" t="str">
        <f aca="false">IF($B327="","",$I327-$J327-N($K327))</f>
        <v/>
      </c>
      <c r="M327" s="35" t="str">
        <f aca="false">IF($B327="","",$I327*CCSS_PATRONAL)</f>
        <v/>
      </c>
      <c r="N327" s="35" t="str">
        <f aca="false">IF($B327="","",$I327*INS_RT)</f>
        <v/>
      </c>
      <c r="O327" s="35" t="str">
        <f aca="false">IF($B327="","",$I327*PROV_AGUINALDO)</f>
        <v/>
      </c>
      <c r="P327" s="35" t="str">
        <f aca="false">IF($B327="","",$I327*PROV_VACACIONES)</f>
        <v/>
      </c>
      <c r="Q327" s="35" t="str">
        <f aca="false">IF($B327="","",$I327*PROV_CESANTIA)</f>
        <v/>
      </c>
      <c r="R327" s="35" t="str">
        <f aca="false">IF($B327="","",$I327+SUM($M327:$Q327))</f>
        <v/>
      </c>
      <c r="S327" s="46" t="str">
        <f aca="false">IF(OR($A327="",$B327=""),"",DATE(YEAR($A327),MONTH($A327),1))</f>
        <v/>
      </c>
    </row>
    <row r="328" customFormat="false" ht="15" hidden="false" customHeight="false" outlineLevel="0" collapsed="false">
      <c r="A328" s="55"/>
      <c r="B328" s="6"/>
      <c r="C328" s="6"/>
      <c r="D328" s="40"/>
      <c r="E328" s="39"/>
      <c r="F328" s="35" t="str">
        <f aca="false">IF($B328="","",N($D328)/HORAS_MES*RECARGO_HE)</f>
        <v/>
      </c>
      <c r="G328" s="35" t="str">
        <f aca="false">IF($B328="","",N($E328)*$F328)</f>
        <v/>
      </c>
      <c r="H328" s="40"/>
      <c r="I328" s="35" t="str">
        <f aca="false">IF($B328="","",N($D328)+$G328+N($H328))</f>
        <v/>
      </c>
      <c r="J328" s="35" t="str">
        <f aca="false">IF($B328="","",$I328*CCSS_OBRERO)</f>
        <v/>
      </c>
      <c r="K328" s="40"/>
      <c r="L328" s="35" t="str">
        <f aca="false">IF($B328="","",$I328-$J328-N($K328))</f>
        <v/>
      </c>
      <c r="M328" s="35" t="str">
        <f aca="false">IF($B328="","",$I328*CCSS_PATRONAL)</f>
        <v/>
      </c>
      <c r="N328" s="35" t="str">
        <f aca="false">IF($B328="","",$I328*INS_RT)</f>
        <v/>
      </c>
      <c r="O328" s="35" t="str">
        <f aca="false">IF($B328="","",$I328*PROV_AGUINALDO)</f>
        <v/>
      </c>
      <c r="P328" s="35" t="str">
        <f aca="false">IF($B328="","",$I328*PROV_VACACIONES)</f>
        <v/>
      </c>
      <c r="Q328" s="35" t="str">
        <f aca="false">IF($B328="","",$I328*PROV_CESANTIA)</f>
        <v/>
      </c>
      <c r="R328" s="35" t="str">
        <f aca="false">IF($B328="","",$I328+SUM($M328:$Q328))</f>
        <v/>
      </c>
      <c r="S328" s="46" t="str">
        <f aca="false">IF(OR($A328="",$B328=""),"",DATE(YEAR($A328),MONTH($A328),1))</f>
        <v/>
      </c>
    </row>
    <row r="329" customFormat="false" ht="15" hidden="false" customHeight="false" outlineLevel="0" collapsed="false">
      <c r="A329" s="55"/>
      <c r="B329" s="6"/>
      <c r="C329" s="6"/>
      <c r="D329" s="40"/>
      <c r="E329" s="39"/>
      <c r="F329" s="35" t="str">
        <f aca="false">IF($B329="","",N($D329)/HORAS_MES*RECARGO_HE)</f>
        <v/>
      </c>
      <c r="G329" s="35" t="str">
        <f aca="false">IF($B329="","",N($E329)*$F329)</f>
        <v/>
      </c>
      <c r="H329" s="40"/>
      <c r="I329" s="35" t="str">
        <f aca="false">IF($B329="","",N($D329)+$G329+N($H329))</f>
        <v/>
      </c>
      <c r="J329" s="35" t="str">
        <f aca="false">IF($B329="","",$I329*CCSS_OBRERO)</f>
        <v/>
      </c>
      <c r="K329" s="40"/>
      <c r="L329" s="35" t="str">
        <f aca="false">IF($B329="","",$I329-$J329-N($K329))</f>
        <v/>
      </c>
      <c r="M329" s="35" t="str">
        <f aca="false">IF($B329="","",$I329*CCSS_PATRONAL)</f>
        <v/>
      </c>
      <c r="N329" s="35" t="str">
        <f aca="false">IF($B329="","",$I329*INS_RT)</f>
        <v/>
      </c>
      <c r="O329" s="35" t="str">
        <f aca="false">IF($B329="","",$I329*PROV_AGUINALDO)</f>
        <v/>
      </c>
      <c r="P329" s="35" t="str">
        <f aca="false">IF($B329="","",$I329*PROV_VACACIONES)</f>
        <v/>
      </c>
      <c r="Q329" s="35" t="str">
        <f aca="false">IF($B329="","",$I329*PROV_CESANTIA)</f>
        <v/>
      </c>
      <c r="R329" s="35" t="str">
        <f aca="false">IF($B329="","",$I329+SUM($M329:$Q329))</f>
        <v/>
      </c>
      <c r="S329" s="46" t="str">
        <f aca="false">IF(OR($A329="",$B329=""),"",DATE(YEAR($A329),MONTH($A329),1))</f>
        <v/>
      </c>
    </row>
    <row r="330" customFormat="false" ht="15" hidden="false" customHeight="false" outlineLevel="0" collapsed="false">
      <c r="A330" s="55"/>
      <c r="B330" s="6"/>
      <c r="C330" s="6"/>
      <c r="D330" s="40"/>
      <c r="E330" s="39"/>
      <c r="F330" s="35" t="str">
        <f aca="false">IF($B330="","",N($D330)/HORAS_MES*RECARGO_HE)</f>
        <v/>
      </c>
      <c r="G330" s="35" t="str">
        <f aca="false">IF($B330="","",N($E330)*$F330)</f>
        <v/>
      </c>
      <c r="H330" s="40"/>
      <c r="I330" s="35" t="str">
        <f aca="false">IF($B330="","",N($D330)+$G330+N($H330))</f>
        <v/>
      </c>
      <c r="J330" s="35" t="str">
        <f aca="false">IF($B330="","",$I330*CCSS_OBRERO)</f>
        <v/>
      </c>
      <c r="K330" s="40"/>
      <c r="L330" s="35" t="str">
        <f aca="false">IF($B330="","",$I330-$J330-N($K330))</f>
        <v/>
      </c>
      <c r="M330" s="35" t="str">
        <f aca="false">IF($B330="","",$I330*CCSS_PATRONAL)</f>
        <v/>
      </c>
      <c r="N330" s="35" t="str">
        <f aca="false">IF($B330="","",$I330*INS_RT)</f>
        <v/>
      </c>
      <c r="O330" s="35" t="str">
        <f aca="false">IF($B330="","",$I330*PROV_AGUINALDO)</f>
        <v/>
      </c>
      <c r="P330" s="35" t="str">
        <f aca="false">IF($B330="","",$I330*PROV_VACACIONES)</f>
        <v/>
      </c>
      <c r="Q330" s="35" t="str">
        <f aca="false">IF($B330="","",$I330*PROV_CESANTIA)</f>
        <v/>
      </c>
      <c r="R330" s="35" t="str">
        <f aca="false">IF($B330="","",$I330+SUM($M330:$Q330))</f>
        <v/>
      </c>
      <c r="S330" s="46" t="str">
        <f aca="false">IF(OR($A330="",$B330=""),"",DATE(YEAR($A330),MONTH($A330),1))</f>
        <v/>
      </c>
    </row>
    <row r="331" customFormat="false" ht="15" hidden="false" customHeight="false" outlineLevel="0" collapsed="false">
      <c r="A331" s="55"/>
      <c r="B331" s="6"/>
      <c r="C331" s="6"/>
      <c r="D331" s="40"/>
      <c r="E331" s="39"/>
      <c r="F331" s="35" t="str">
        <f aca="false">IF($B331="","",N($D331)/HORAS_MES*RECARGO_HE)</f>
        <v/>
      </c>
      <c r="G331" s="35" t="str">
        <f aca="false">IF($B331="","",N($E331)*$F331)</f>
        <v/>
      </c>
      <c r="H331" s="40"/>
      <c r="I331" s="35" t="str">
        <f aca="false">IF($B331="","",N($D331)+$G331+N($H331))</f>
        <v/>
      </c>
      <c r="J331" s="35" t="str">
        <f aca="false">IF($B331="","",$I331*CCSS_OBRERO)</f>
        <v/>
      </c>
      <c r="K331" s="40"/>
      <c r="L331" s="35" t="str">
        <f aca="false">IF($B331="","",$I331-$J331-N($K331))</f>
        <v/>
      </c>
      <c r="M331" s="35" t="str">
        <f aca="false">IF($B331="","",$I331*CCSS_PATRONAL)</f>
        <v/>
      </c>
      <c r="N331" s="35" t="str">
        <f aca="false">IF($B331="","",$I331*INS_RT)</f>
        <v/>
      </c>
      <c r="O331" s="35" t="str">
        <f aca="false">IF($B331="","",$I331*PROV_AGUINALDO)</f>
        <v/>
      </c>
      <c r="P331" s="35" t="str">
        <f aca="false">IF($B331="","",$I331*PROV_VACACIONES)</f>
        <v/>
      </c>
      <c r="Q331" s="35" t="str">
        <f aca="false">IF($B331="","",$I331*PROV_CESANTIA)</f>
        <v/>
      </c>
      <c r="R331" s="35" t="str">
        <f aca="false">IF($B331="","",$I331+SUM($M331:$Q331))</f>
        <v/>
      </c>
      <c r="S331" s="46" t="str">
        <f aca="false">IF(OR($A331="",$B331=""),"",DATE(YEAR($A331),MONTH($A331),1))</f>
        <v/>
      </c>
    </row>
    <row r="332" customFormat="false" ht="15" hidden="false" customHeight="false" outlineLevel="0" collapsed="false">
      <c r="A332" s="55"/>
      <c r="B332" s="6"/>
      <c r="C332" s="6"/>
      <c r="D332" s="40"/>
      <c r="E332" s="39"/>
      <c r="F332" s="35" t="str">
        <f aca="false">IF($B332="","",N($D332)/HORAS_MES*RECARGO_HE)</f>
        <v/>
      </c>
      <c r="G332" s="35" t="str">
        <f aca="false">IF($B332="","",N($E332)*$F332)</f>
        <v/>
      </c>
      <c r="H332" s="40"/>
      <c r="I332" s="35" t="str">
        <f aca="false">IF($B332="","",N($D332)+$G332+N($H332))</f>
        <v/>
      </c>
      <c r="J332" s="35" t="str">
        <f aca="false">IF($B332="","",$I332*CCSS_OBRERO)</f>
        <v/>
      </c>
      <c r="K332" s="40"/>
      <c r="L332" s="35" t="str">
        <f aca="false">IF($B332="","",$I332-$J332-N($K332))</f>
        <v/>
      </c>
      <c r="M332" s="35" t="str">
        <f aca="false">IF($B332="","",$I332*CCSS_PATRONAL)</f>
        <v/>
      </c>
      <c r="N332" s="35" t="str">
        <f aca="false">IF($B332="","",$I332*INS_RT)</f>
        <v/>
      </c>
      <c r="O332" s="35" t="str">
        <f aca="false">IF($B332="","",$I332*PROV_AGUINALDO)</f>
        <v/>
      </c>
      <c r="P332" s="35" t="str">
        <f aca="false">IF($B332="","",$I332*PROV_VACACIONES)</f>
        <v/>
      </c>
      <c r="Q332" s="35" t="str">
        <f aca="false">IF($B332="","",$I332*PROV_CESANTIA)</f>
        <v/>
      </c>
      <c r="R332" s="35" t="str">
        <f aca="false">IF($B332="","",$I332+SUM($M332:$Q332))</f>
        <v/>
      </c>
      <c r="S332" s="46" t="str">
        <f aca="false">IF(OR($A332="",$B332=""),"",DATE(YEAR($A332),MONTH($A332),1))</f>
        <v/>
      </c>
    </row>
    <row r="333" customFormat="false" ht="15" hidden="false" customHeight="false" outlineLevel="0" collapsed="false">
      <c r="A333" s="55"/>
      <c r="B333" s="6"/>
      <c r="C333" s="6"/>
      <c r="D333" s="40"/>
      <c r="E333" s="39"/>
      <c r="F333" s="35" t="str">
        <f aca="false">IF($B333="","",N($D333)/HORAS_MES*RECARGO_HE)</f>
        <v/>
      </c>
      <c r="G333" s="35" t="str">
        <f aca="false">IF($B333="","",N($E333)*$F333)</f>
        <v/>
      </c>
      <c r="H333" s="40"/>
      <c r="I333" s="35" t="str">
        <f aca="false">IF($B333="","",N($D333)+$G333+N($H333))</f>
        <v/>
      </c>
      <c r="J333" s="35" t="str">
        <f aca="false">IF($B333="","",$I333*CCSS_OBRERO)</f>
        <v/>
      </c>
      <c r="K333" s="40"/>
      <c r="L333" s="35" t="str">
        <f aca="false">IF($B333="","",$I333-$J333-N($K333))</f>
        <v/>
      </c>
      <c r="M333" s="35" t="str">
        <f aca="false">IF($B333="","",$I333*CCSS_PATRONAL)</f>
        <v/>
      </c>
      <c r="N333" s="35" t="str">
        <f aca="false">IF($B333="","",$I333*INS_RT)</f>
        <v/>
      </c>
      <c r="O333" s="35" t="str">
        <f aca="false">IF($B333="","",$I333*PROV_AGUINALDO)</f>
        <v/>
      </c>
      <c r="P333" s="35" t="str">
        <f aca="false">IF($B333="","",$I333*PROV_VACACIONES)</f>
        <v/>
      </c>
      <c r="Q333" s="35" t="str">
        <f aca="false">IF($B333="","",$I333*PROV_CESANTIA)</f>
        <v/>
      </c>
      <c r="R333" s="35" t="str">
        <f aca="false">IF($B333="","",$I333+SUM($M333:$Q333))</f>
        <v/>
      </c>
      <c r="S333" s="46" t="str">
        <f aca="false">IF(OR($A333="",$B333=""),"",DATE(YEAR($A333),MONTH($A333),1))</f>
        <v/>
      </c>
    </row>
    <row r="334" customFormat="false" ht="15" hidden="false" customHeight="false" outlineLevel="0" collapsed="false">
      <c r="A334" s="55"/>
      <c r="B334" s="6"/>
      <c r="C334" s="6"/>
      <c r="D334" s="40"/>
      <c r="E334" s="39"/>
      <c r="F334" s="35" t="str">
        <f aca="false">IF($B334="","",N($D334)/HORAS_MES*RECARGO_HE)</f>
        <v/>
      </c>
      <c r="G334" s="35" t="str">
        <f aca="false">IF($B334="","",N($E334)*$F334)</f>
        <v/>
      </c>
      <c r="H334" s="40"/>
      <c r="I334" s="35" t="str">
        <f aca="false">IF($B334="","",N($D334)+$G334+N($H334))</f>
        <v/>
      </c>
      <c r="J334" s="35" t="str">
        <f aca="false">IF($B334="","",$I334*CCSS_OBRERO)</f>
        <v/>
      </c>
      <c r="K334" s="40"/>
      <c r="L334" s="35" t="str">
        <f aca="false">IF($B334="","",$I334-$J334-N($K334))</f>
        <v/>
      </c>
      <c r="M334" s="35" t="str">
        <f aca="false">IF($B334="","",$I334*CCSS_PATRONAL)</f>
        <v/>
      </c>
      <c r="N334" s="35" t="str">
        <f aca="false">IF($B334="","",$I334*INS_RT)</f>
        <v/>
      </c>
      <c r="O334" s="35" t="str">
        <f aca="false">IF($B334="","",$I334*PROV_AGUINALDO)</f>
        <v/>
      </c>
      <c r="P334" s="35" t="str">
        <f aca="false">IF($B334="","",$I334*PROV_VACACIONES)</f>
        <v/>
      </c>
      <c r="Q334" s="35" t="str">
        <f aca="false">IF($B334="","",$I334*PROV_CESANTIA)</f>
        <v/>
      </c>
      <c r="R334" s="35" t="str">
        <f aca="false">IF($B334="","",$I334+SUM($M334:$Q334))</f>
        <v/>
      </c>
      <c r="S334" s="46" t="str">
        <f aca="false">IF(OR($A334="",$B334=""),"",DATE(YEAR($A334),MONTH($A334),1))</f>
        <v/>
      </c>
    </row>
    <row r="335" customFormat="false" ht="15" hidden="false" customHeight="false" outlineLevel="0" collapsed="false">
      <c r="A335" s="55"/>
      <c r="B335" s="6"/>
      <c r="C335" s="6"/>
      <c r="D335" s="40"/>
      <c r="E335" s="39"/>
      <c r="F335" s="35" t="str">
        <f aca="false">IF($B335="","",N($D335)/HORAS_MES*RECARGO_HE)</f>
        <v/>
      </c>
      <c r="G335" s="35" t="str">
        <f aca="false">IF($B335="","",N($E335)*$F335)</f>
        <v/>
      </c>
      <c r="H335" s="40"/>
      <c r="I335" s="35" t="str">
        <f aca="false">IF($B335="","",N($D335)+$G335+N($H335))</f>
        <v/>
      </c>
      <c r="J335" s="35" t="str">
        <f aca="false">IF($B335="","",$I335*CCSS_OBRERO)</f>
        <v/>
      </c>
      <c r="K335" s="40"/>
      <c r="L335" s="35" t="str">
        <f aca="false">IF($B335="","",$I335-$J335-N($K335))</f>
        <v/>
      </c>
      <c r="M335" s="35" t="str">
        <f aca="false">IF($B335="","",$I335*CCSS_PATRONAL)</f>
        <v/>
      </c>
      <c r="N335" s="35" t="str">
        <f aca="false">IF($B335="","",$I335*INS_RT)</f>
        <v/>
      </c>
      <c r="O335" s="35" t="str">
        <f aca="false">IF($B335="","",$I335*PROV_AGUINALDO)</f>
        <v/>
      </c>
      <c r="P335" s="35" t="str">
        <f aca="false">IF($B335="","",$I335*PROV_VACACIONES)</f>
        <v/>
      </c>
      <c r="Q335" s="35" t="str">
        <f aca="false">IF($B335="","",$I335*PROV_CESANTIA)</f>
        <v/>
      </c>
      <c r="R335" s="35" t="str">
        <f aca="false">IF($B335="","",$I335+SUM($M335:$Q335))</f>
        <v/>
      </c>
      <c r="S335" s="46" t="str">
        <f aca="false">IF(OR($A335="",$B335=""),"",DATE(YEAR($A335),MONTH($A335),1))</f>
        <v/>
      </c>
    </row>
    <row r="336" customFormat="false" ht="15" hidden="false" customHeight="false" outlineLevel="0" collapsed="false">
      <c r="A336" s="55"/>
      <c r="B336" s="6"/>
      <c r="C336" s="6"/>
      <c r="D336" s="40"/>
      <c r="E336" s="39"/>
      <c r="F336" s="35" t="str">
        <f aca="false">IF($B336="","",N($D336)/HORAS_MES*RECARGO_HE)</f>
        <v/>
      </c>
      <c r="G336" s="35" t="str">
        <f aca="false">IF($B336="","",N($E336)*$F336)</f>
        <v/>
      </c>
      <c r="H336" s="40"/>
      <c r="I336" s="35" t="str">
        <f aca="false">IF($B336="","",N($D336)+$G336+N($H336))</f>
        <v/>
      </c>
      <c r="J336" s="35" t="str">
        <f aca="false">IF($B336="","",$I336*CCSS_OBRERO)</f>
        <v/>
      </c>
      <c r="K336" s="40"/>
      <c r="L336" s="35" t="str">
        <f aca="false">IF($B336="","",$I336-$J336-N($K336))</f>
        <v/>
      </c>
      <c r="M336" s="35" t="str">
        <f aca="false">IF($B336="","",$I336*CCSS_PATRONAL)</f>
        <v/>
      </c>
      <c r="N336" s="35" t="str">
        <f aca="false">IF($B336="","",$I336*INS_RT)</f>
        <v/>
      </c>
      <c r="O336" s="35" t="str">
        <f aca="false">IF($B336="","",$I336*PROV_AGUINALDO)</f>
        <v/>
      </c>
      <c r="P336" s="35" t="str">
        <f aca="false">IF($B336="","",$I336*PROV_VACACIONES)</f>
        <v/>
      </c>
      <c r="Q336" s="35" t="str">
        <f aca="false">IF($B336="","",$I336*PROV_CESANTIA)</f>
        <v/>
      </c>
      <c r="R336" s="35" t="str">
        <f aca="false">IF($B336="","",$I336+SUM($M336:$Q336))</f>
        <v/>
      </c>
      <c r="S336" s="46" t="str">
        <f aca="false">IF(OR($A336="",$B336=""),"",DATE(YEAR($A336),MONTH($A336),1))</f>
        <v/>
      </c>
    </row>
    <row r="337" customFormat="false" ht="15" hidden="false" customHeight="false" outlineLevel="0" collapsed="false">
      <c r="A337" s="55"/>
      <c r="B337" s="6"/>
      <c r="C337" s="6"/>
      <c r="D337" s="40"/>
      <c r="E337" s="39"/>
      <c r="F337" s="35" t="str">
        <f aca="false">IF($B337="","",N($D337)/HORAS_MES*RECARGO_HE)</f>
        <v/>
      </c>
      <c r="G337" s="35" t="str">
        <f aca="false">IF($B337="","",N($E337)*$F337)</f>
        <v/>
      </c>
      <c r="H337" s="40"/>
      <c r="I337" s="35" t="str">
        <f aca="false">IF($B337="","",N($D337)+$G337+N($H337))</f>
        <v/>
      </c>
      <c r="J337" s="35" t="str">
        <f aca="false">IF($B337="","",$I337*CCSS_OBRERO)</f>
        <v/>
      </c>
      <c r="K337" s="40"/>
      <c r="L337" s="35" t="str">
        <f aca="false">IF($B337="","",$I337-$J337-N($K337))</f>
        <v/>
      </c>
      <c r="M337" s="35" t="str">
        <f aca="false">IF($B337="","",$I337*CCSS_PATRONAL)</f>
        <v/>
      </c>
      <c r="N337" s="35" t="str">
        <f aca="false">IF($B337="","",$I337*INS_RT)</f>
        <v/>
      </c>
      <c r="O337" s="35" t="str">
        <f aca="false">IF($B337="","",$I337*PROV_AGUINALDO)</f>
        <v/>
      </c>
      <c r="P337" s="35" t="str">
        <f aca="false">IF($B337="","",$I337*PROV_VACACIONES)</f>
        <v/>
      </c>
      <c r="Q337" s="35" t="str">
        <f aca="false">IF($B337="","",$I337*PROV_CESANTIA)</f>
        <v/>
      </c>
      <c r="R337" s="35" t="str">
        <f aca="false">IF($B337="","",$I337+SUM($M337:$Q337))</f>
        <v/>
      </c>
      <c r="S337" s="46" t="str">
        <f aca="false">IF(OR($A337="",$B337=""),"",DATE(YEAR($A337),MONTH($A337),1))</f>
        <v/>
      </c>
    </row>
    <row r="338" customFormat="false" ht="15" hidden="false" customHeight="false" outlineLevel="0" collapsed="false">
      <c r="A338" s="55"/>
      <c r="B338" s="6"/>
      <c r="C338" s="6"/>
      <c r="D338" s="40"/>
      <c r="E338" s="39"/>
      <c r="F338" s="35" t="str">
        <f aca="false">IF($B338="","",N($D338)/HORAS_MES*RECARGO_HE)</f>
        <v/>
      </c>
      <c r="G338" s="35" t="str">
        <f aca="false">IF($B338="","",N($E338)*$F338)</f>
        <v/>
      </c>
      <c r="H338" s="40"/>
      <c r="I338" s="35" t="str">
        <f aca="false">IF($B338="","",N($D338)+$G338+N($H338))</f>
        <v/>
      </c>
      <c r="J338" s="35" t="str">
        <f aca="false">IF($B338="","",$I338*CCSS_OBRERO)</f>
        <v/>
      </c>
      <c r="K338" s="40"/>
      <c r="L338" s="35" t="str">
        <f aca="false">IF($B338="","",$I338-$J338-N($K338))</f>
        <v/>
      </c>
      <c r="M338" s="35" t="str">
        <f aca="false">IF($B338="","",$I338*CCSS_PATRONAL)</f>
        <v/>
      </c>
      <c r="N338" s="35" t="str">
        <f aca="false">IF($B338="","",$I338*INS_RT)</f>
        <v/>
      </c>
      <c r="O338" s="35" t="str">
        <f aca="false">IF($B338="","",$I338*PROV_AGUINALDO)</f>
        <v/>
      </c>
      <c r="P338" s="35" t="str">
        <f aca="false">IF($B338="","",$I338*PROV_VACACIONES)</f>
        <v/>
      </c>
      <c r="Q338" s="35" t="str">
        <f aca="false">IF($B338="","",$I338*PROV_CESANTIA)</f>
        <v/>
      </c>
      <c r="R338" s="35" t="str">
        <f aca="false">IF($B338="","",$I338+SUM($M338:$Q338))</f>
        <v/>
      </c>
      <c r="S338" s="46" t="str">
        <f aca="false">IF(OR($A338="",$B338=""),"",DATE(YEAR($A338),MONTH($A338),1))</f>
        <v/>
      </c>
    </row>
    <row r="339" customFormat="false" ht="15" hidden="false" customHeight="false" outlineLevel="0" collapsed="false">
      <c r="A339" s="55"/>
      <c r="B339" s="6"/>
      <c r="C339" s="6"/>
      <c r="D339" s="40"/>
      <c r="E339" s="39"/>
      <c r="F339" s="35" t="str">
        <f aca="false">IF($B339="","",N($D339)/HORAS_MES*RECARGO_HE)</f>
        <v/>
      </c>
      <c r="G339" s="35" t="str">
        <f aca="false">IF($B339="","",N($E339)*$F339)</f>
        <v/>
      </c>
      <c r="H339" s="40"/>
      <c r="I339" s="35" t="str">
        <f aca="false">IF($B339="","",N($D339)+$G339+N($H339))</f>
        <v/>
      </c>
      <c r="J339" s="35" t="str">
        <f aca="false">IF($B339="","",$I339*CCSS_OBRERO)</f>
        <v/>
      </c>
      <c r="K339" s="40"/>
      <c r="L339" s="35" t="str">
        <f aca="false">IF($B339="","",$I339-$J339-N($K339))</f>
        <v/>
      </c>
      <c r="M339" s="35" t="str">
        <f aca="false">IF($B339="","",$I339*CCSS_PATRONAL)</f>
        <v/>
      </c>
      <c r="N339" s="35" t="str">
        <f aca="false">IF($B339="","",$I339*INS_RT)</f>
        <v/>
      </c>
      <c r="O339" s="35" t="str">
        <f aca="false">IF($B339="","",$I339*PROV_AGUINALDO)</f>
        <v/>
      </c>
      <c r="P339" s="35" t="str">
        <f aca="false">IF($B339="","",$I339*PROV_VACACIONES)</f>
        <v/>
      </c>
      <c r="Q339" s="35" t="str">
        <f aca="false">IF($B339="","",$I339*PROV_CESANTIA)</f>
        <v/>
      </c>
      <c r="R339" s="35" t="str">
        <f aca="false">IF($B339="","",$I339+SUM($M339:$Q339))</f>
        <v/>
      </c>
      <c r="S339" s="46" t="str">
        <f aca="false">IF(OR($A339="",$B339=""),"",DATE(YEAR($A339),MONTH($A339),1))</f>
        <v/>
      </c>
    </row>
    <row r="340" customFormat="false" ht="15" hidden="false" customHeight="false" outlineLevel="0" collapsed="false">
      <c r="A340" s="55"/>
      <c r="B340" s="6"/>
      <c r="C340" s="6"/>
      <c r="D340" s="40"/>
      <c r="E340" s="39"/>
      <c r="F340" s="35" t="str">
        <f aca="false">IF($B340="","",N($D340)/HORAS_MES*RECARGO_HE)</f>
        <v/>
      </c>
      <c r="G340" s="35" t="str">
        <f aca="false">IF($B340="","",N($E340)*$F340)</f>
        <v/>
      </c>
      <c r="H340" s="40"/>
      <c r="I340" s="35" t="str">
        <f aca="false">IF($B340="","",N($D340)+$G340+N($H340))</f>
        <v/>
      </c>
      <c r="J340" s="35" t="str">
        <f aca="false">IF($B340="","",$I340*CCSS_OBRERO)</f>
        <v/>
      </c>
      <c r="K340" s="40"/>
      <c r="L340" s="35" t="str">
        <f aca="false">IF($B340="","",$I340-$J340-N($K340))</f>
        <v/>
      </c>
      <c r="M340" s="35" t="str">
        <f aca="false">IF($B340="","",$I340*CCSS_PATRONAL)</f>
        <v/>
      </c>
      <c r="N340" s="35" t="str">
        <f aca="false">IF($B340="","",$I340*INS_RT)</f>
        <v/>
      </c>
      <c r="O340" s="35" t="str">
        <f aca="false">IF($B340="","",$I340*PROV_AGUINALDO)</f>
        <v/>
      </c>
      <c r="P340" s="35" t="str">
        <f aca="false">IF($B340="","",$I340*PROV_VACACIONES)</f>
        <v/>
      </c>
      <c r="Q340" s="35" t="str">
        <f aca="false">IF($B340="","",$I340*PROV_CESANTIA)</f>
        <v/>
      </c>
      <c r="R340" s="35" t="str">
        <f aca="false">IF($B340="","",$I340+SUM($M340:$Q340))</f>
        <v/>
      </c>
      <c r="S340" s="46" t="str">
        <f aca="false">IF(OR($A340="",$B340=""),"",DATE(YEAR($A340),MONTH($A340),1))</f>
        <v/>
      </c>
    </row>
    <row r="341" customFormat="false" ht="15" hidden="false" customHeight="false" outlineLevel="0" collapsed="false">
      <c r="A341" s="55"/>
      <c r="B341" s="6"/>
      <c r="C341" s="6"/>
      <c r="D341" s="40"/>
      <c r="E341" s="39"/>
      <c r="F341" s="35" t="str">
        <f aca="false">IF($B341="","",N($D341)/HORAS_MES*RECARGO_HE)</f>
        <v/>
      </c>
      <c r="G341" s="35" t="str">
        <f aca="false">IF($B341="","",N($E341)*$F341)</f>
        <v/>
      </c>
      <c r="H341" s="40"/>
      <c r="I341" s="35" t="str">
        <f aca="false">IF($B341="","",N($D341)+$G341+N($H341))</f>
        <v/>
      </c>
      <c r="J341" s="35" t="str">
        <f aca="false">IF($B341="","",$I341*CCSS_OBRERO)</f>
        <v/>
      </c>
      <c r="K341" s="40"/>
      <c r="L341" s="35" t="str">
        <f aca="false">IF($B341="","",$I341-$J341-N($K341))</f>
        <v/>
      </c>
      <c r="M341" s="35" t="str">
        <f aca="false">IF($B341="","",$I341*CCSS_PATRONAL)</f>
        <v/>
      </c>
      <c r="N341" s="35" t="str">
        <f aca="false">IF($B341="","",$I341*INS_RT)</f>
        <v/>
      </c>
      <c r="O341" s="35" t="str">
        <f aca="false">IF($B341="","",$I341*PROV_AGUINALDO)</f>
        <v/>
      </c>
      <c r="P341" s="35" t="str">
        <f aca="false">IF($B341="","",$I341*PROV_VACACIONES)</f>
        <v/>
      </c>
      <c r="Q341" s="35" t="str">
        <f aca="false">IF($B341="","",$I341*PROV_CESANTIA)</f>
        <v/>
      </c>
      <c r="R341" s="35" t="str">
        <f aca="false">IF($B341="","",$I341+SUM($M341:$Q341))</f>
        <v/>
      </c>
      <c r="S341" s="46" t="str">
        <f aca="false">IF(OR($A341="",$B341=""),"",DATE(YEAR($A341),MONTH($A341),1))</f>
        <v/>
      </c>
    </row>
    <row r="342" customFormat="false" ht="15" hidden="false" customHeight="false" outlineLevel="0" collapsed="false">
      <c r="A342" s="55"/>
      <c r="B342" s="6"/>
      <c r="C342" s="6"/>
      <c r="D342" s="40"/>
      <c r="E342" s="39"/>
      <c r="F342" s="35" t="str">
        <f aca="false">IF($B342="","",N($D342)/HORAS_MES*RECARGO_HE)</f>
        <v/>
      </c>
      <c r="G342" s="35" t="str">
        <f aca="false">IF($B342="","",N($E342)*$F342)</f>
        <v/>
      </c>
      <c r="H342" s="40"/>
      <c r="I342" s="35" t="str">
        <f aca="false">IF($B342="","",N($D342)+$G342+N($H342))</f>
        <v/>
      </c>
      <c r="J342" s="35" t="str">
        <f aca="false">IF($B342="","",$I342*CCSS_OBRERO)</f>
        <v/>
      </c>
      <c r="K342" s="40"/>
      <c r="L342" s="35" t="str">
        <f aca="false">IF($B342="","",$I342-$J342-N($K342))</f>
        <v/>
      </c>
      <c r="M342" s="35" t="str">
        <f aca="false">IF($B342="","",$I342*CCSS_PATRONAL)</f>
        <v/>
      </c>
      <c r="N342" s="35" t="str">
        <f aca="false">IF($B342="","",$I342*INS_RT)</f>
        <v/>
      </c>
      <c r="O342" s="35" t="str">
        <f aca="false">IF($B342="","",$I342*PROV_AGUINALDO)</f>
        <v/>
      </c>
      <c r="P342" s="35" t="str">
        <f aca="false">IF($B342="","",$I342*PROV_VACACIONES)</f>
        <v/>
      </c>
      <c r="Q342" s="35" t="str">
        <f aca="false">IF($B342="","",$I342*PROV_CESANTIA)</f>
        <v/>
      </c>
      <c r="R342" s="35" t="str">
        <f aca="false">IF($B342="","",$I342+SUM($M342:$Q342))</f>
        <v/>
      </c>
      <c r="S342" s="46" t="str">
        <f aca="false">IF(OR($A342="",$B342=""),"",DATE(YEAR($A342),MONTH($A342),1))</f>
        <v/>
      </c>
    </row>
    <row r="343" customFormat="false" ht="15" hidden="false" customHeight="false" outlineLevel="0" collapsed="false">
      <c r="A343" s="55"/>
      <c r="B343" s="6"/>
      <c r="C343" s="6"/>
      <c r="D343" s="40"/>
      <c r="E343" s="39"/>
      <c r="F343" s="35" t="str">
        <f aca="false">IF($B343="","",N($D343)/HORAS_MES*RECARGO_HE)</f>
        <v/>
      </c>
      <c r="G343" s="35" t="str">
        <f aca="false">IF($B343="","",N($E343)*$F343)</f>
        <v/>
      </c>
      <c r="H343" s="40"/>
      <c r="I343" s="35" t="str">
        <f aca="false">IF($B343="","",N($D343)+$G343+N($H343))</f>
        <v/>
      </c>
      <c r="J343" s="35" t="str">
        <f aca="false">IF($B343="","",$I343*CCSS_OBRERO)</f>
        <v/>
      </c>
      <c r="K343" s="40"/>
      <c r="L343" s="35" t="str">
        <f aca="false">IF($B343="","",$I343-$J343-N($K343))</f>
        <v/>
      </c>
      <c r="M343" s="35" t="str">
        <f aca="false">IF($B343="","",$I343*CCSS_PATRONAL)</f>
        <v/>
      </c>
      <c r="N343" s="35" t="str">
        <f aca="false">IF($B343="","",$I343*INS_RT)</f>
        <v/>
      </c>
      <c r="O343" s="35" t="str">
        <f aca="false">IF($B343="","",$I343*PROV_AGUINALDO)</f>
        <v/>
      </c>
      <c r="P343" s="35" t="str">
        <f aca="false">IF($B343="","",$I343*PROV_VACACIONES)</f>
        <v/>
      </c>
      <c r="Q343" s="35" t="str">
        <f aca="false">IF($B343="","",$I343*PROV_CESANTIA)</f>
        <v/>
      </c>
      <c r="R343" s="35" t="str">
        <f aca="false">IF($B343="","",$I343+SUM($M343:$Q343))</f>
        <v/>
      </c>
      <c r="S343" s="46" t="str">
        <f aca="false">IF(OR($A343="",$B343=""),"",DATE(YEAR($A343),MONTH($A343),1))</f>
        <v/>
      </c>
    </row>
    <row r="344" customFormat="false" ht="15" hidden="false" customHeight="false" outlineLevel="0" collapsed="false">
      <c r="A344" s="55"/>
      <c r="B344" s="6"/>
      <c r="C344" s="6"/>
      <c r="D344" s="40"/>
      <c r="E344" s="39"/>
      <c r="F344" s="35" t="str">
        <f aca="false">IF($B344="","",N($D344)/HORAS_MES*RECARGO_HE)</f>
        <v/>
      </c>
      <c r="G344" s="35" t="str">
        <f aca="false">IF($B344="","",N($E344)*$F344)</f>
        <v/>
      </c>
      <c r="H344" s="40"/>
      <c r="I344" s="35" t="str">
        <f aca="false">IF($B344="","",N($D344)+$G344+N($H344))</f>
        <v/>
      </c>
      <c r="J344" s="35" t="str">
        <f aca="false">IF($B344="","",$I344*CCSS_OBRERO)</f>
        <v/>
      </c>
      <c r="K344" s="40"/>
      <c r="L344" s="35" t="str">
        <f aca="false">IF($B344="","",$I344-$J344-N($K344))</f>
        <v/>
      </c>
      <c r="M344" s="35" t="str">
        <f aca="false">IF($B344="","",$I344*CCSS_PATRONAL)</f>
        <v/>
      </c>
      <c r="N344" s="35" t="str">
        <f aca="false">IF($B344="","",$I344*INS_RT)</f>
        <v/>
      </c>
      <c r="O344" s="35" t="str">
        <f aca="false">IF($B344="","",$I344*PROV_AGUINALDO)</f>
        <v/>
      </c>
      <c r="P344" s="35" t="str">
        <f aca="false">IF($B344="","",$I344*PROV_VACACIONES)</f>
        <v/>
      </c>
      <c r="Q344" s="35" t="str">
        <f aca="false">IF($B344="","",$I344*PROV_CESANTIA)</f>
        <v/>
      </c>
      <c r="R344" s="35" t="str">
        <f aca="false">IF($B344="","",$I344+SUM($M344:$Q344))</f>
        <v/>
      </c>
      <c r="S344" s="46" t="str">
        <f aca="false">IF(OR($A344="",$B344=""),"",DATE(YEAR($A344),MONTH($A344),1))</f>
        <v/>
      </c>
    </row>
    <row r="345" customFormat="false" ht="15" hidden="false" customHeight="false" outlineLevel="0" collapsed="false">
      <c r="A345" s="55"/>
      <c r="B345" s="6"/>
      <c r="C345" s="6"/>
      <c r="D345" s="40"/>
      <c r="E345" s="39"/>
      <c r="F345" s="35" t="str">
        <f aca="false">IF($B345="","",N($D345)/HORAS_MES*RECARGO_HE)</f>
        <v/>
      </c>
      <c r="G345" s="35" t="str">
        <f aca="false">IF($B345="","",N($E345)*$F345)</f>
        <v/>
      </c>
      <c r="H345" s="40"/>
      <c r="I345" s="35" t="str">
        <f aca="false">IF($B345="","",N($D345)+$G345+N($H345))</f>
        <v/>
      </c>
      <c r="J345" s="35" t="str">
        <f aca="false">IF($B345="","",$I345*CCSS_OBRERO)</f>
        <v/>
      </c>
      <c r="K345" s="40"/>
      <c r="L345" s="35" t="str">
        <f aca="false">IF($B345="","",$I345-$J345-N($K345))</f>
        <v/>
      </c>
      <c r="M345" s="35" t="str">
        <f aca="false">IF($B345="","",$I345*CCSS_PATRONAL)</f>
        <v/>
      </c>
      <c r="N345" s="35" t="str">
        <f aca="false">IF($B345="","",$I345*INS_RT)</f>
        <v/>
      </c>
      <c r="O345" s="35" t="str">
        <f aca="false">IF($B345="","",$I345*PROV_AGUINALDO)</f>
        <v/>
      </c>
      <c r="P345" s="35" t="str">
        <f aca="false">IF($B345="","",$I345*PROV_VACACIONES)</f>
        <v/>
      </c>
      <c r="Q345" s="35" t="str">
        <f aca="false">IF($B345="","",$I345*PROV_CESANTIA)</f>
        <v/>
      </c>
      <c r="R345" s="35" t="str">
        <f aca="false">IF($B345="","",$I345+SUM($M345:$Q345))</f>
        <v/>
      </c>
      <c r="S345" s="46" t="str">
        <f aca="false">IF(OR($A345="",$B345=""),"",DATE(YEAR($A345),MONTH($A345),1))</f>
        <v/>
      </c>
    </row>
    <row r="346" customFormat="false" ht="15" hidden="false" customHeight="false" outlineLevel="0" collapsed="false">
      <c r="A346" s="55"/>
      <c r="B346" s="6"/>
      <c r="C346" s="6"/>
      <c r="D346" s="40"/>
      <c r="E346" s="39"/>
      <c r="F346" s="35" t="str">
        <f aca="false">IF($B346="","",N($D346)/HORAS_MES*RECARGO_HE)</f>
        <v/>
      </c>
      <c r="G346" s="35" t="str">
        <f aca="false">IF($B346="","",N($E346)*$F346)</f>
        <v/>
      </c>
      <c r="H346" s="40"/>
      <c r="I346" s="35" t="str">
        <f aca="false">IF($B346="","",N($D346)+$G346+N($H346))</f>
        <v/>
      </c>
      <c r="J346" s="35" t="str">
        <f aca="false">IF($B346="","",$I346*CCSS_OBRERO)</f>
        <v/>
      </c>
      <c r="K346" s="40"/>
      <c r="L346" s="35" t="str">
        <f aca="false">IF($B346="","",$I346-$J346-N($K346))</f>
        <v/>
      </c>
      <c r="M346" s="35" t="str">
        <f aca="false">IF($B346="","",$I346*CCSS_PATRONAL)</f>
        <v/>
      </c>
      <c r="N346" s="35" t="str">
        <f aca="false">IF($B346="","",$I346*INS_RT)</f>
        <v/>
      </c>
      <c r="O346" s="35" t="str">
        <f aca="false">IF($B346="","",$I346*PROV_AGUINALDO)</f>
        <v/>
      </c>
      <c r="P346" s="35" t="str">
        <f aca="false">IF($B346="","",$I346*PROV_VACACIONES)</f>
        <v/>
      </c>
      <c r="Q346" s="35" t="str">
        <f aca="false">IF($B346="","",$I346*PROV_CESANTIA)</f>
        <v/>
      </c>
      <c r="R346" s="35" t="str">
        <f aca="false">IF($B346="","",$I346+SUM($M346:$Q346))</f>
        <v/>
      </c>
      <c r="S346" s="46" t="str">
        <f aca="false">IF(OR($A346="",$B346=""),"",DATE(YEAR($A346),MONTH($A346),1))</f>
        <v/>
      </c>
    </row>
    <row r="347" customFormat="false" ht="15" hidden="false" customHeight="false" outlineLevel="0" collapsed="false">
      <c r="A347" s="55"/>
      <c r="B347" s="6"/>
      <c r="C347" s="6"/>
      <c r="D347" s="40"/>
      <c r="E347" s="39"/>
      <c r="F347" s="35" t="str">
        <f aca="false">IF($B347="","",N($D347)/HORAS_MES*RECARGO_HE)</f>
        <v/>
      </c>
      <c r="G347" s="35" t="str">
        <f aca="false">IF($B347="","",N($E347)*$F347)</f>
        <v/>
      </c>
      <c r="H347" s="40"/>
      <c r="I347" s="35" t="str">
        <f aca="false">IF($B347="","",N($D347)+$G347+N($H347))</f>
        <v/>
      </c>
      <c r="J347" s="35" t="str">
        <f aca="false">IF($B347="","",$I347*CCSS_OBRERO)</f>
        <v/>
      </c>
      <c r="K347" s="40"/>
      <c r="L347" s="35" t="str">
        <f aca="false">IF($B347="","",$I347-$J347-N($K347))</f>
        <v/>
      </c>
      <c r="M347" s="35" t="str">
        <f aca="false">IF($B347="","",$I347*CCSS_PATRONAL)</f>
        <v/>
      </c>
      <c r="N347" s="35" t="str">
        <f aca="false">IF($B347="","",$I347*INS_RT)</f>
        <v/>
      </c>
      <c r="O347" s="35" t="str">
        <f aca="false">IF($B347="","",$I347*PROV_AGUINALDO)</f>
        <v/>
      </c>
      <c r="P347" s="35" t="str">
        <f aca="false">IF($B347="","",$I347*PROV_VACACIONES)</f>
        <v/>
      </c>
      <c r="Q347" s="35" t="str">
        <f aca="false">IF($B347="","",$I347*PROV_CESANTIA)</f>
        <v/>
      </c>
      <c r="R347" s="35" t="str">
        <f aca="false">IF($B347="","",$I347+SUM($M347:$Q347))</f>
        <v/>
      </c>
      <c r="S347" s="46" t="str">
        <f aca="false">IF(OR($A347="",$B347=""),"",DATE(YEAR($A347),MONTH($A347),1))</f>
        <v/>
      </c>
    </row>
    <row r="348" customFormat="false" ht="15" hidden="false" customHeight="false" outlineLevel="0" collapsed="false">
      <c r="A348" s="55"/>
      <c r="B348" s="6"/>
      <c r="C348" s="6"/>
      <c r="D348" s="40"/>
      <c r="E348" s="39"/>
      <c r="F348" s="35" t="str">
        <f aca="false">IF($B348="","",N($D348)/HORAS_MES*RECARGO_HE)</f>
        <v/>
      </c>
      <c r="G348" s="35" t="str">
        <f aca="false">IF($B348="","",N($E348)*$F348)</f>
        <v/>
      </c>
      <c r="H348" s="40"/>
      <c r="I348" s="35" t="str">
        <f aca="false">IF($B348="","",N($D348)+$G348+N($H348))</f>
        <v/>
      </c>
      <c r="J348" s="35" t="str">
        <f aca="false">IF($B348="","",$I348*CCSS_OBRERO)</f>
        <v/>
      </c>
      <c r="K348" s="40"/>
      <c r="L348" s="35" t="str">
        <f aca="false">IF($B348="","",$I348-$J348-N($K348))</f>
        <v/>
      </c>
      <c r="M348" s="35" t="str">
        <f aca="false">IF($B348="","",$I348*CCSS_PATRONAL)</f>
        <v/>
      </c>
      <c r="N348" s="35" t="str">
        <f aca="false">IF($B348="","",$I348*INS_RT)</f>
        <v/>
      </c>
      <c r="O348" s="35" t="str">
        <f aca="false">IF($B348="","",$I348*PROV_AGUINALDO)</f>
        <v/>
      </c>
      <c r="P348" s="35" t="str">
        <f aca="false">IF($B348="","",$I348*PROV_VACACIONES)</f>
        <v/>
      </c>
      <c r="Q348" s="35" t="str">
        <f aca="false">IF($B348="","",$I348*PROV_CESANTIA)</f>
        <v/>
      </c>
      <c r="R348" s="35" t="str">
        <f aca="false">IF($B348="","",$I348+SUM($M348:$Q348))</f>
        <v/>
      </c>
      <c r="S348" s="46" t="str">
        <f aca="false">IF(OR($A348="",$B348=""),"",DATE(YEAR($A348),MONTH($A348),1))</f>
        <v/>
      </c>
    </row>
    <row r="349" customFormat="false" ht="15" hidden="false" customHeight="false" outlineLevel="0" collapsed="false">
      <c r="A349" s="55"/>
      <c r="B349" s="6"/>
      <c r="C349" s="6"/>
      <c r="D349" s="40"/>
      <c r="E349" s="39"/>
      <c r="F349" s="35" t="str">
        <f aca="false">IF($B349="","",N($D349)/HORAS_MES*RECARGO_HE)</f>
        <v/>
      </c>
      <c r="G349" s="35" t="str">
        <f aca="false">IF($B349="","",N($E349)*$F349)</f>
        <v/>
      </c>
      <c r="H349" s="40"/>
      <c r="I349" s="35" t="str">
        <f aca="false">IF($B349="","",N($D349)+$G349+N($H349))</f>
        <v/>
      </c>
      <c r="J349" s="35" t="str">
        <f aca="false">IF($B349="","",$I349*CCSS_OBRERO)</f>
        <v/>
      </c>
      <c r="K349" s="40"/>
      <c r="L349" s="35" t="str">
        <f aca="false">IF($B349="","",$I349-$J349-N($K349))</f>
        <v/>
      </c>
      <c r="M349" s="35" t="str">
        <f aca="false">IF($B349="","",$I349*CCSS_PATRONAL)</f>
        <v/>
      </c>
      <c r="N349" s="35" t="str">
        <f aca="false">IF($B349="","",$I349*INS_RT)</f>
        <v/>
      </c>
      <c r="O349" s="35" t="str">
        <f aca="false">IF($B349="","",$I349*PROV_AGUINALDO)</f>
        <v/>
      </c>
      <c r="P349" s="35" t="str">
        <f aca="false">IF($B349="","",$I349*PROV_VACACIONES)</f>
        <v/>
      </c>
      <c r="Q349" s="35" t="str">
        <f aca="false">IF($B349="","",$I349*PROV_CESANTIA)</f>
        <v/>
      </c>
      <c r="R349" s="35" t="str">
        <f aca="false">IF($B349="","",$I349+SUM($M349:$Q349))</f>
        <v/>
      </c>
      <c r="S349" s="46" t="str">
        <f aca="false">IF(OR($A349="",$B349=""),"",DATE(YEAR($A349),MONTH($A349),1))</f>
        <v/>
      </c>
    </row>
    <row r="350" customFormat="false" ht="15" hidden="false" customHeight="false" outlineLevel="0" collapsed="false">
      <c r="A350" s="55"/>
      <c r="B350" s="6"/>
      <c r="C350" s="6"/>
      <c r="D350" s="40"/>
      <c r="E350" s="39"/>
      <c r="F350" s="35" t="str">
        <f aca="false">IF($B350="","",N($D350)/HORAS_MES*RECARGO_HE)</f>
        <v/>
      </c>
      <c r="G350" s="35" t="str">
        <f aca="false">IF($B350="","",N($E350)*$F350)</f>
        <v/>
      </c>
      <c r="H350" s="40"/>
      <c r="I350" s="35" t="str">
        <f aca="false">IF($B350="","",N($D350)+$G350+N($H350))</f>
        <v/>
      </c>
      <c r="J350" s="35" t="str">
        <f aca="false">IF($B350="","",$I350*CCSS_OBRERO)</f>
        <v/>
      </c>
      <c r="K350" s="40"/>
      <c r="L350" s="35" t="str">
        <f aca="false">IF($B350="","",$I350-$J350-N($K350))</f>
        <v/>
      </c>
      <c r="M350" s="35" t="str">
        <f aca="false">IF($B350="","",$I350*CCSS_PATRONAL)</f>
        <v/>
      </c>
      <c r="N350" s="35" t="str">
        <f aca="false">IF($B350="","",$I350*INS_RT)</f>
        <v/>
      </c>
      <c r="O350" s="35" t="str">
        <f aca="false">IF($B350="","",$I350*PROV_AGUINALDO)</f>
        <v/>
      </c>
      <c r="P350" s="35" t="str">
        <f aca="false">IF($B350="","",$I350*PROV_VACACIONES)</f>
        <v/>
      </c>
      <c r="Q350" s="35" t="str">
        <f aca="false">IF($B350="","",$I350*PROV_CESANTIA)</f>
        <v/>
      </c>
      <c r="R350" s="35" t="str">
        <f aca="false">IF($B350="","",$I350+SUM($M350:$Q350))</f>
        <v/>
      </c>
      <c r="S350" s="46" t="str">
        <f aca="false">IF(OR($A350="",$B350=""),"",DATE(YEAR($A350),MONTH($A350),1))</f>
        <v/>
      </c>
    </row>
    <row r="351" customFormat="false" ht="15" hidden="false" customHeight="false" outlineLevel="0" collapsed="false">
      <c r="A351" s="55"/>
      <c r="B351" s="6"/>
      <c r="C351" s="6"/>
      <c r="D351" s="40"/>
      <c r="E351" s="39"/>
      <c r="F351" s="35" t="str">
        <f aca="false">IF($B351="","",N($D351)/HORAS_MES*RECARGO_HE)</f>
        <v/>
      </c>
      <c r="G351" s="35" t="str">
        <f aca="false">IF($B351="","",N($E351)*$F351)</f>
        <v/>
      </c>
      <c r="H351" s="40"/>
      <c r="I351" s="35" t="str">
        <f aca="false">IF($B351="","",N($D351)+$G351+N($H351))</f>
        <v/>
      </c>
      <c r="J351" s="35" t="str">
        <f aca="false">IF($B351="","",$I351*CCSS_OBRERO)</f>
        <v/>
      </c>
      <c r="K351" s="40"/>
      <c r="L351" s="35" t="str">
        <f aca="false">IF($B351="","",$I351-$J351-N($K351))</f>
        <v/>
      </c>
      <c r="M351" s="35" t="str">
        <f aca="false">IF($B351="","",$I351*CCSS_PATRONAL)</f>
        <v/>
      </c>
      <c r="N351" s="35" t="str">
        <f aca="false">IF($B351="","",$I351*INS_RT)</f>
        <v/>
      </c>
      <c r="O351" s="35" t="str">
        <f aca="false">IF($B351="","",$I351*PROV_AGUINALDO)</f>
        <v/>
      </c>
      <c r="P351" s="35" t="str">
        <f aca="false">IF($B351="","",$I351*PROV_VACACIONES)</f>
        <v/>
      </c>
      <c r="Q351" s="35" t="str">
        <f aca="false">IF($B351="","",$I351*PROV_CESANTIA)</f>
        <v/>
      </c>
      <c r="R351" s="35" t="str">
        <f aca="false">IF($B351="","",$I351+SUM($M351:$Q351))</f>
        <v/>
      </c>
      <c r="S351" s="46" t="str">
        <f aca="false">IF(OR($A351="",$B351=""),"",DATE(YEAR($A351),MONTH($A351),1))</f>
        <v/>
      </c>
    </row>
    <row r="352" customFormat="false" ht="15" hidden="false" customHeight="false" outlineLevel="0" collapsed="false">
      <c r="A352" s="55"/>
      <c r="B352" s="6"/>
      <c r="C352" s="6"/>
      <c r="D352" s="40"/>
      <c r="E352" s="39"/>
      <c r="F352" s="35" t="str">
        <f aca="false">IF($B352="","",N($D352)/HORAS_MES*RECARGO_HE)</f>
        <v/>
      </c>
      <c r="G352" s="35" t="str">
        <f aca="false">IF($B352="","",N($E352)*$F352)</f>
        <v/>
      </c>
      <c r="H352" s="40"/>
      <c r="I352" s="35" t="str">
        <f aca="false">IF($B352="","",N($D352)+$G352+N($H352))</f>
        <v/>
      </c>
      <c r="J352" s="35" t="str">
        <f aca="false">IF($B352="","",$I352*CCSS_OBRERO)</f>
        <v/>
      </c>
      <c r="K352" s="40"/>
      <c r="L352" s="35" t="str">
        <f aca="false">IF($B352="","",$I352-$J352-N($K352))</f>
        <v/>
      </c>
      <c r="M352" s="35" t="str">
        <f aca="false">IF($B352="","",$I352*CCSS_PATRONAL)</f>
        <v/>
      </c>
      <c r="N352" s="35" t="str">
        <f aca="false">IF($B352="","",$I352*INS_RT)</f>
        <v/>
      </c>
      <c r="O352" s="35" t="str">
        <f aca="false">IF($B352="","",$I352*PROV_AGUINALDO)</f>
        <v/>
      </c>
      <c r="P352" s="35" t="str">
        <f aca="false">IF($B352="","",$I352*PROV_VACACIONES)</f>
        <v/>
      </c>
      <c r="Q352" s="35" t="str">
        <f aca="false">IF($B352="","",$I352*PROV_CESANTIA)</f>
        <v/>
      </c>
      <c r="R352" s="35" t="str">
        <f aca="false">IF($B352="","",$I352+SUM($M352:$Q352))</f>
        <v/>
      </c>
      <c r="S352" s="46" t="str">
        <f aca="false">IF(OR($A352="",$B352=""),"",DATE(YEAR($A352),MONTH($A352),1))</f>
        <v/>
      </c>
    </row>
    <row r="353" customFormat="false" ht="15" hidden="false" customHeight="false" outlineLevel="0" collapsed="false">
      <c r="A353" s="55"/>
      <c r="B353" s="6"/>
      <c r="C353" s="6"/>
      <c r="D353" s="40"/>
      <c r="E353" s="39"/>
      <c r="F353" s="35" t="str">
        <f aca="false">IF($B353="","",N($D353)/HORAS_MES*RECARGO_HE)</f>
        <v/>
      </c>
      <c r="G353" s="35" t="str">
        <f aca="false">IF($B353="","",N($E353)*$F353)</f>
        <v/>
      </c>
      <c r="H353" s="40"/>
      <c r="I353" s="35" t="str">
        <f aca="false">IF($B353="","",N($D353)+$G353+N($H353))</f>
        <v/>
      </c>
      <c r="J353" s="35" t="str">
        <f aca="false">IF($B353="","",$I353*CCSS_OBRERO)</f>
        <v/>
      </c>
      <c r="K353" s="40"/>
      <c r="L353" s="35" t="str">
        <f aca="false">IF($B353="","",$I353-$J353-N($K353))</f>
        <v/>
      </c>
      <c r="M353" s="35" t="str">
        <f aca="false">IF($B353="","",$I353*CCSS_PATRONAL)</f>
        <v/>
      </c>
      <c r="N353" s="35" t="str">
        <f aca="false">IF($B353="","",$I353*INS_RT)</f>
        <v/>
      </c>
      <c r="O353" s="35" t="str">
        <f aca="false">IF($B353="","",$I353*PROV_AGUINALDO)</f>
        <v/>
      </c>
      <c r="P353" s="35" t="str">
        <f aca="false">IF($B353="","",$I353*PROV_VACACIONES)</f>
        <v/>
      </c>
      <c r="Q353" s="35" t="str">
        <f aca="false">IF($B353="","",$I353*PROV_CESANTIA)</f>
        <v/>
      </c>
      <c r="R353" s="35" t="str">
        <f aca="false">IF($B353="","",$I353+SUM($M353:$Q353))</f>
        <v/>
      </c>
      <c r="S353" s="46" t="str">
        <f aca="false">IF(OR($A353="",$B353=""),"",DATE(YEAR($A353),MONTH($A353),1))</f>
        <v/>
      </c>
    </row>
    <row r="354" customFormat="false" ht="15" hidden="false" customHeight="false" outlineLevel="0" collapsed="false">
      <c r="A354" s="55"/>
      <c r="B354" s="6"/>
      <c r="C354" s="6"/>
      <c r="D354" s="40"/>
      <c r="E354" s="39"/>
      <c r="F354" s="35" t="str">
        <f aca="false">IF($B354="","",N($D354)/HORAS_MES*RECARGO_HE)</f>
        <v/>
      </c>
      <c r="G354" s="35" t="str">
        <f aca="false">IF($B354="","",N($E354)*$F354)</f>
        <v/>
      </c>
      <c r="H354" s="40"/>
      <c r="I354" s="35" t="str">
        <f aca="false">IF($B354="","",N($D354)+$G354+N($H354))</f>
        <v/>
      </c>
      <c r="J354" s="35" t="str">
        <f aca="false">IF($B354="","",$I354*CCSS_OBRERO)</f>
        <v/>
      </c>
      <c r="K354" s="40"/>
      <c r="L354" s="35" t="str">
        <f aca="false">IF($B354="","",$I354-$J354-N($K354))</f>
        <v/>
      </c>
      <c r="M354" s="35" t="str">
        <f aca="false">IF($B354="","",$I354*CCSS_PATRONAL)</f>
        <v/>
      </c>
      <c r="N354" s="35" t="str">
        <f aca="false">IF($B354="","",$I354*INS_RT)</f>
        <v/>
      </c>
      <c r="O354" s="35" t="str">
        <f aca="false">IF($B354="","",$I354*PROV_AGUINALDO)</f>
        <v/>
      </c>
      <c r="P354" s="35" t="str">
        <f aca="false">IF($B354="","",$I354*PROV_VACACIONES)</f>
        <v/>
      </c>
      <c r="Q354" s="35" t="str">
        <f aca="false">IF($B354="","",$I354*PROV_CESANTIA)</f>
        <v/>
      </c>
      <c r="R354" s="35" t="str">
        <f aca="false">IF($B354="","",$I354+SUM($M354:$Q354))</f>
        <v/>
      </c>
      <c r="S354" s="46" t="str">
        <f aca="false">IF(OR($A354="",$B354=""),"",DATE(YEAR($A354),MONTH($A354),1))</f>
        <v/>
      </c>
    </row>
    <row r="355" customFormat="false" ht="15" hidden="false" customHeight="false" outlineLevel="0" collapsed="false">
      <c r="A355" s="55"/>
      <c r="B355" s="6"/>
      <c r="C355" s="6"/>
      <c r="D355" s="40"/>
      <c r="E355" s="39"/>
      <c r="F355" s="35" t="str">
        <f aca="false">IF($B355="","",N($D355)/HORAS_MES*RECARGO_HE)</f>
        <v/>
      </c>
      <c r="G355" s="35" t="str">
        <f aca="false">IF($B355="","",N($E355)*$F355)</f>
        <v/>
      </c>
      <c r="H355" s="40"/>
      <c r="I355" s="35" t="str">
        <f aca="false">IF($B355="","",N($D355)+$G355+N($H355))</f>
        <v/>
      </c>
      <c r="J355" s="35" t="str">
        <f aca="false">IF($B355="","",$I355*CCSS_OBRERO)</f>
        <v/>
      </c>
      <c r="K355" s="40"/>
      <c r="L355" s="35" t="str">
        <f aca="false">IF($B355="","",$I355-$J355-N($K355))</f>
        <v/>
      </c>
      <c r="M355" s="35" t="str">
        <f aca="false">IF($B355="","",$I355*CCSS_PATRONAL)</f>
        <v/>
      </c>
      <c r="N355" s="35" t="str">
        <f aca="false">IF($B355="","",$I355*INS_RT)</f>
        <v/>
      </c>
      <c r="O355" s="35" t="str">
        <f aca="false">IF($B355="","",$I355*PROV_AGUINALDO)</f>
        <v/>
      </c>
      <c r="P355" s="35" t="str">
        <f aca="false">IF($B355="","",$I355*PROV_VACACIONES)</f>
        <v/>
      </c>
      <c r="Q355" s="35" t="str">
        <f aca="false">IF($B355="","",$I355*PROV_CESANTIA)</f>
        <v/>
      </c>
      <c r="R355" s="35" t="str">
        <f aca="false">IF($B355="","",$I355+SUM($M355:$Q355))</f>
        <v/>
      </c>
      <c r="S355" s="46" t="str">
        <f aca="false">IF(OR($A355="",$B355=""),"",DATE(YEAR($A355),MONTH($A355),1))</f>
        <v/>
      </c>
    </row>
    <row r="356" customFormat="false" ht="15" hidden="false" customHeight="false" outlineLevel="0" collapsed="false">
      <c r="A356" s="55"/>
      <c r="B356" s="6"/>
      <c r="C356" s="6"/>
      <c r="D356" s="40"/>
      <c r="E356" s="39"/>
      <c r="F356" s="35" t="str">
        <f aca="false">IF($B356="","",N($D356)/HORAS_MES*RECARGO_HE)</f>
        <v/>
      </c>
      <c r="G356" s="35" t="str">
        <f aca="false">IF($B356="","",N($E356)*$F356)</f>
        <v/>
      </c>
      <c r="H356" s="40"/>
      <c r="I356" s="35" t="str">
        <f aca="false">IF($B356="","",N($D356)+$G356+N($H356))</f>
        <v/>
      </c>
      <c r="J356" s="35" t="str">
        <f aca="false">IF($B356="","",$I356*CCSS_OBRERO)</f>
        <v/>
      </c>
      <c r="K356" s="40"/>
      <c r="L356" s="35" t="str">
        <f aca="false">IF($B356="","",$I356-$J356-N($K356))</f>
        <v/>
      </c>
      <c r="M356" s="35" t="str">
        <f aca="false">IF($B356="","",$I356*CCSS_PATRONAL)</f>
        <v/>
      </c>
      <c r="N356" s="35" t="str">
        <f aca="false">IF($B356="","",$I356*INS_RT)</f>
        <v/>
      </c>
      <c r="O356" s="35" t="str">
        <f aca="false">IF($B356="","",$I356*PROV_AGUINALDO)</f>
        <v/>
      </c>
      <c r="P356" s="35" t="str">
        <f aca="false">IF($B356="","",$I356*PROV_VACACIONES)</f>
        <v/>
      </c>
      <c r="Q356" s="35" t="str">
        <f aca="false">IF($B356="","",$I356*PROV_CESANTIA)</f>
        <v/>
      </c>
      <c r="R356" s="35" t="str">
        <f aca="false">IF($B356="","",$I356+SUM($M356:$Q356))</f>
        <v/>
      </c>
      <c r="S356" s="46" t="str">
        <f aca="false">IF(OR($A356="",$B356=""),"",DATE(YEAR($A356),MONTH($A356),1))</f>
        <v/>
      </c>
    </row>
    <row r="357" customFormat="false" ht="15" hidden="false" customHeight="false" outlineLevel="0" collapsed="false">
      <c r="A357" s="55"/>
      <c r="B357" s="6"/>
      <c r="C357" s="6"/>
      <c r="D357" s="40"/>
      <c r="E357" s="39"/>
      <c r="F357" s="35" t="str">
        <f aca="false">IF($B357="","",N($D357)/HORAS_MES*RECARGO_HE)</f>
        <v/>
      </c>
      <c r="G357" s="35" t="str">
        <f aca="false">IF($B357="","",N($E357)*$F357)</f>
        <v/>
      </c>
      <c r="H357" s="40"/>
      <c r="I357" s="35" t="str">
        <f aca="false">IF($B357="","",N($D357)+$G357+N($H357))</f>
        <v/>
      </c>
      <c r="J357" s="35" t="str">
        <f aca="false">IF($B357="","",$I357*CCSS_OBRERO)</f>
        <v/>
      </c>
      <c r="K357" s="40"/>
      <c r="L357" s="35" t="str">
        <f aca="false">IF($B357="","",$I357-$J357-N($K357))</f>
        <v/>
      </c>
      <c r="M357" s="35" t="str">
        <f aca="false">IF($B357="","",$I357*CCSS_PATRONAL)</f>
        <v/>
      </c>
      <c r="N357" s="35" t="str">
        <f aca="false">IF($B357="","",$I357*INS_RT)</f>
        <v/>
      </c>
      <c r="O357" s="35" t="str">
        <f aca="false">IF($B357="","",$I357*PROV_AGUINALDO)</f>
        <v/>
      </c>
      <c r="P357" s="35" t="str">
        <f aca="false">IF($B357="","",$I357*PROV_VACACIONES)</f>
        <v/>
      </c>
      <c r="Q357" s="35" t="str">
        <f aca="false">IF($B357="","",$I357*PROV_CESANTIA)</f>
        <v/>
      </c>
      <c r="R357" s="35" t="str">
        <f aca="false">IF($B357="","",$I357+SUM($M357:$Q357))</f>
        <v/>
      </c>
      <c r="S357" s="46" t="str">
        <f aca="false">IF(OR($A357="",$B357=""),"",DATE(YEAR($A357),MONTH($A357),1))</f>
        <v/>
      </c>
    </row>
    <row r="358" customFormat="false" ht="15" hidden="false" customHeight="false" outlineLevel="0" collapsed="false">
      <c r="A358" s="55"/>
      <c r="B358" s="6"/>
      <c r="C358" s="6"/>
      <c r="D358" s="40"/>
      <c r="E358" s="39"/>
      <c r="F358" s="35" t="str">
        <f aca="false">IF($B358="","",N($D358)/HORAS_MES*RECARGO_HE)</f>
        <v/>
      </c>
      <c r="G358" s="35" t="str">
        <f aca="false">IF($B358="","",N($E358)*$F358)</f>
        <v/>
      </c>
      <c r="H358" s="40"/>
      <c r="I358" s="35" t="str">
        <f aca="false">IF($B358="","",N($D358)+$G358+N($H358))</f>
        <v/>
      </c>
      <c r="J358" s="35" t="str">
        <f aca="false">IF($B358="","",$I358*CCSS_OBRERO)</f>
        <v/>
      </c>
      <c r="K358" s="40"/>
      <c r="L358" s="35" t="str">
        <f aca="false">IF($B358="","",$I358-$J358-N($K358))</f>
        <v/>
      </c>
      <c r="M358" s="35" t="str">
        <f aca="false">IF($B358="","",$I358*CCSS_PATRONAL)</f>
        <v/>
      </c>
      <c r="N358" s="35" t="str">
        <f aca="false">IF($B358="","",$I358*INS_RT)</f>
        <v/>
      </c>
      <c r="O358" s="35" t="str">
        <f aca="false">IF($B358="","",$I358*PROV_AGUINALDO)</f>
        <v/>
      </c>
      <c r="P358" s="35" t="str">
        <f aca="false">IF($B358="","",$I358*PROV_VACACIONES)</f>
        <v/>
      </c>
      <c r="Q358" s="35" t="str">
        <f aca="false">IF($B358="","",$I358*PROV_CESANTIA)</f>
        <v/>
      </c>
      <c r="R358" s="35" t="str">
        <f aca="false">IF($B358="","",$I358+SUM($M358:$Q358))</f>
        <v/>
      </c>
      <c r="S358" s="46" t="str">
        <f aca="false">IF(OR($A358="",$B358=""),"",DATE(YEAR($A358),MONTH($A358),1))</f>
        <v/>
      </c>
    </row>
    <row r="359" customFormat="false" ht="15" hidden="false" customHeight="false" outlineLevel="0" collapsed="false">
      <c r="A359" s="55"/>
      <c r="B359" s="6"/>
      <c r="C359" s="6"/>
      <c r="D359" s="40"/>
      <c r="E359" s="39"/>
      <c r="F359" s="35" t="str">
        <f aca="false">IF($B359="","",N($D359)/HORAS_MES*RECARGO_HE)</f>
        <v/>
      </c>
      <c r="G359" s="35" t="str">
        <f aca="false">IF($B359="","",N($E359)*$F359)</f>
        <v/>
      </c>
      <c r="H359" s="40"/>
      <c r="I359" s="35" t="str">
        <f aca="false">IF($B359="","",N($D359)+$G359+N($H359))</f>
        <v/>
      </c>
      <c r="J359" s="35" t="str">
        <f aca="false">IF($B359="","",$I359*CCSS_OBRERO)</f>
        <v/>
      </c>
      <c r="K359" s="40"/>
      <c r="L359" s="35" t="str">
        <f aca="false">IF($B359="","",$I359-$J359-N($K359))</f>
        <v/>
      </c>
      <c r="M359" s="35" t="str">
        <f aca="false">IF($B359="","",$I359*CCSS_PATRONAL)</f>
        <v/>
      </c>
      <c r="N359" s="35" t="str">
        <f aca="false">IF($B359="","",$I359*INS_RT)</f>
        <v/>
      </c>
      <c r="O359" s="35" t="str">
        <f aca="false">IF($B359="","",$I359*PROV_AGUINALDO)</f>
        <v/>
      </c>
      <c r="P359" s="35" t="str">
        <f aca="false">IF($B359="","",$I359*PROV_VACACIONES)</f>
        <v/>
      </c>
      <c r="Q359" s="35" t="str">
        <f aca="false">IF($B359="","",$I359*PROV_CESANTIA)</f>
        <v/>
      </c>
      <c r="R359" s="35" t="str">
        <f aca="false">IF($B359="","",$I359+SUM($M359:$Q359))</f>
        <v/>
      </c>
      <c r="S359" s="46" t="str">
        <f aca="false">IF(OR($A359="",$B359=""),"",DATE(YEAR($A359),MONTH($A359),1))</f>
        <v/>
      </c>
    </row>
    <row r="360" customFormat="false" ht="15" hidden="false" customHeight="false" outlineLevel="0" collapsed="false">
      <c r="A360" s="55"/>
      <c r="B360" s="6"/>
      <c r="C360" s="6"/>
      <c r="D360" s="40"/>
      <c r="E360" s="39"/>
      <c r="F360" s="35" t="str">
        <f aca="false">IF($B360="","",N($D360)/HORAS_MES*RECARGO_HE)</f>
        <v/>
      </c>
      <c r="G360" s="35" t="str">
        <f aca="false">IF($B360="","",N($E360)*$F360)</f>
        <v/>
      </c>
      <c r="H360" s="40"/>
      <c r="I360" s="35" t="str">
        <f aca="false">IF($B360="","",N($D360)+$G360+N($H360))</f>
        <v/>
      </c>
      <c r="J360" s="35" t="str">
        <f aca="false">IF($B360="","",$I360*CCSS_OBRERO)</f>
        <v/>
      </c>
      <c r="K360" s="40"/>
      <c r="L360" s="35" t="str">
        <f aca="false">IF($B360="","",$I360-$J360-N($K360))</f>
        <v/>
      </c>
      <c r="M360" s="35" t="str">
        <f aca="false">IF($B360="","",$I360*CCSS_PATRONAL)</f>
        <v/>
      </c>
      <c r="N360" s="35" t="str">
        <f aca="false">IF($B360="","",$I360*INS_RT)</f>
        <v/>
      </c>
      <c r="O360" s="35" t="str">
        <f aca="false">IF($B360="","",$I360*PROV_AGUINALDO)</f>
        <v/>
      </c>
      <c r="P360" s="35" t="str">
        <f aca="false">IF($B360="","",$I360*PROV_VACACIONES)</f>
        <v/>
      </c>
      <c r="Q360" s="35" t="str">
        <f aca="false">IF($B360="","",$I360*PROV_CESANTIA)</f>
        <v/>
      </c>
      <c r="R360" s="35" t="str">
        <f aca="false">IF($B360="","",$I360+SUM($M360:$Q360))</f>
        <v/>
      </c>
      <c r="S360" s="46" t="str">
        <f aca="false">IF(OR($A360="",$B360=""),"",DATE(YEAR($A360),MONTH($A360),1))</f>
        <v/>
      </c>
    </row>
    <row r="361" customFormat="false" ht="15" hidden="false" customHeight="false" outlineLevel="0" collapsed="false">
      <c r="A361" s="55"/>
      <c r="B361" s="6"/>
      <c r="C361" s="6"/>
      <c r="D361" s="40"/>
      <c r="E361" s="39"/>
      <c r="F361" s="35" t="str">
        <f aca="false">IF($B361="","",N($D361)/HORAS_MES*RECARGO_HE)</f>
        <v/>
      </c>
      <c r="G361" s="35" t="str">
        <f aca="false">IF($B361="","",N($E361)*$F361)</f>
        <v/>
      </c>
      <c r="H361" s="40"/>
      <c r="I361" s="35" t="str">
        <f aca="false">IF($B361="","",N($D361)+$G361+N($H361))</f>
        <v/>
      </c>
      <c r="J361" s="35" t="str">
        <f aca="false">IF($B361="","",$I361*CCSS_OBRERO)</f>
        <v/>
      </c>
      <c r="K361" s="40"/>
      <c r="L361" s="35" t="str">
        <f aca="false">IF($B361="","",$I361-$J361-N($K361))</f>
        <v/>
      </c>
      <c r="M361" s="35" t="str">
        <f aca="false">IF($B361="","",$I361*CCSS_PATRONAL)</f>
        <v/>
      </c>
      <c r="N361" s="35" t="str">
        <f aca="false">IF($B361="","",$I361*INS_RT)</f>
        <v/>
      </c>
      <c r="O361" s="35" t="str">
        <f aca="false">IF($B361="","",$I361*PROV_AGUINALDO)</f>
        <v/>
      </c>
      <c r="P361" s="35" t="str">
        <f aca="false">IF($B361="","",$I361*PROV_VACACIONES)</f>
        <v/>
      </c>
      <c r="Q361" s="35" t="str">
        <f aca="false">IF($B361="","",$I361*PROV_CESANTIA)</f>
        <v/>
      </c>
      <c r="R361" s="35" t="str">
        <f aca="false">IF($B361="","",$I361+SUM($M361:$Q361))</f>
        <v/>
      </c>
      <c r="S361" s="46" t="str">
        <f aca="false">IF(OR($A361="",$B361=""),"",DATE(YEAR($A361),MONTH($A361),1))</f>
        <v/>
      </c>
    </row>
    <row r="362" customFormat="false" ht="15" hidden="false" customHeight="false" outlineLevel="0" collapsed="false">
      <c r="A362" s="55"/>
      <c r="B362" s="6"/>
      <c r="C362" s="6"/>
      <c r="D362" s="40"/>
      <c r="E362" s="39"/>
      <c r="F362" s="35" t="str">
        <f aca="false">IF($B362="","",N($D362)/HORAS_MES*RECARGO_HE)</f>
        <v/>
      </c>
      <c r="G362" s="35" t="str">
        <f aca="false">IF($B362="","",N($E362)*$F362)</f>
        <v/>
      </c>
      <c r="H362" s="40"/>
      <c r="I362" s="35" t="str">
        <f aca="false">IF($B362="","",N($D362)+$G362+N($H362))</f>
        <v/>
      </c>
      <c r="J362" s="35" t="str">
        <f aca="false">IF($B362="","",$I362*CCSS_OBRERO)</f>
        <v/>
      </c>
      <c r="K362" s="40"/>
      <c r="L362" s="35" t="str">
        <f aca="false">IF($B362="","",$I362-$J362-N($K362))</f>
        <v/>
      </c>
      <c r="M362" s="35" t="str">
        <f aca="false">IF($B362="","",$I362*CCSS_PATRONAL)</f>
        <v/>
      </c>
      <c r="N362" s="35" t="str">
        <f aca="false">IF($B362="","",$I362*INS_RT)</f>
        <v/>
      </c>
      <c r="O362" s="35" t="str">
        <f aca="false">IF($B362="","",$I362*PROV_AGUINALDO)</f>
        <v/>
      </c>
      <c r="P362" s="35" t="str">
        <f aca="false">IF($B362="","",$I362*PROV_VACACIONES)</f>
        <v/>
      </c>
      <c r="Q362" s="35" t="str">
        <f aca="false">IF($B362="","",$I362*PROV_CESANTIA)</f>
        <v/>
      </c>
      <c r="R362" s="35" t="str">
        <f aca="false">IF($B362="","",$I362+SUM($M362:$Q362))</f>
        <v/>
      </c>
      <c r="S362" s="46" t="str">
        <f aca="false">IF(OR($A362="",$B362=""),"",DATE(YEAR($A362),MONTH($A362),1))</f>
        <v/>
      </c>
    </row>
    <row r="363" customFormat="false" ht="15" hidden="false" customHeight="false" outlineLevel="0" collapsed="false">
      <c r="A363" s="55"/>
      <c r="B363" s="6"/>
      <c r="C363" s="6"/>
      <c r="D363" s="40"/>
      <c r="E363" s="39"/>
      <c r="F363" s="35" t="str">
        <f aca="false">IF($B363="","",N($D363)/HORAS_MES*RECARGO_HE)</f>
        <v/>
      </c>
      <c r="G363" s="35" t="str">
        <f aca="false">IF($B363="","",N($E363)*$F363)</f>
        <v/>
      </c>
      <c r="H363" s="40"/>
      <c r="I363" s="35" t="str">
        <f aca="false">IF($B363="","",N($D363)+$G363+N($H363))</f>
        <v/>
      </c>
      <c r="J363" s="35" t="str">
        <f aca="false">IF($B363="","",$I363*CCSS_OBRERO)</f>
        <v/>
      </c>
      <c r="K363" s="40"/>
      <c r="L363" s="35" t="str">
        <f aca="false">IF($B363="","",$I363-$J363-N($K363))</f>
        <v/>
      </c>
      <c r="M363" s="35" t="str">
        <f aca="false">IF($B363="","",$I363*CCSS_PATRONAL)</f>
        <v/>
      </c>
      <c r="N363" s="35" t="str">
        <f aca="false">IF($B363="","",$I363*INS_RT)</f>
        <v/>
      </c>
      <c r="O363" s="35" t="str">
        <f aca="false">IF($B363="","",$I363*PROV_AGUINALDO)</f>
        <v/>
      </c>
      <c r="P363" s="35" t="str">
        <f aca="false">IF($B363="","",$I363*PROV_VACACIONES)</f>
        <v/>
      </c>
      <c r="Q363" s="35" t="str">
        <f aca="false">IF($B363="","",$I363*PROV_CESANTIA)</f>
        <v/>
      </c>
      <c r="R363" s="35" t="str">
        <f aca="false">IF($B363="","",$I363+SUM($M363:$Q363))</f>
        <v/>
      </c>
      <c r="S363" s="46" t="str">
        <f aca="false">IF(OR($A363="",$B363=""),"",DATE(YEAR($A363),MONTH($A363),1))</f>
        <v/>
      </c>
    </row>
    <row r="364" customFormat="false" ht="15" hidden="false" customHeight="false" outlineLevel="0" collapsed="false">
      <c r="A364" s="55"/>
      <c r="B364" s="6"/>
      <c r="C364" s="6"/>
      <c r="D364" s="40"/>
      <c r="E364" s="39"/>
      <c r="F364" s="35" t="str">
        <f aca="false">IF($B364="","",N($D364)/HORAS_MES*RECARGO_HE)</f>
        <v/>
      </c>
      <c r="G364" s="35" t="str">
        <f aca="false">IF($B364="","",N($E364)*$F364)</f>
        <v/>
      </c>
      <c r="H364" s="40"/>
      <c r="I364" s="35" t="str">
        <f aca="false">IF($B364="","",N($D364)+$G364+N($H364))</f>
        <v/>
      </c>
      <c r="J364" s="35" t="str">
        <f aca="false">IF($B364="","",$I364*CCSS_OBRERO)</f>
        <v/>
      </c>
      <c r="K364" s="40"/>
      <c r="L364" s="35" t="str">
        <f aca="false">IF($B364="","",$I364-$J364-N($K364))</f>
        <v/>
      </c>
      <c r="M364" s="35" t="str">
        <f aca="false">IF($B364="","",$I364*CCSS_PATRONAL)</f>
        <v/>
      </c>
      <c r="N364" s="35" t="str">
        <f aca="false">IF($B364="","",$I364*INS_RT)</f>
        <v/>
      </c>
      <c r="O364" s="35" t="str">
        <f aca="false">IF($B364="","",$I364*PROV_AGUINALDO)</f>
        <v/>
      </c>
      <c r="P364" s="35" t="str">
        <f aca="false">IF($B364="","",$I364*PROV_VACACIONES)</f>
        <v/>
      </c>
      <c r="Q364" s="35" t="str">
        <f aca="false">IF($B364="","",$I364*PROV_CESANTIA)</f>
        <v/>
      </c>
      <c r="R364" s="35" t="str">
        <f aca="false">IF($B364="","",$I364+SUM($M364:$Q364))</f>
        <v/>
      </c>
      <c r="S364" s="46" t="str">
        <f aca="false">IF(OR($A364="",$B364=""),"",DATE(YEAR($A364),MONTH($A364),1))</f>
        <v/>
      </c>
    </row>
    <row r="365" customFormat="false" ht="15" hidden="false" customHeight="false" outlineLevel="0" collapsed="false">
      <c r="A365" s="55"/>
      <c r="B365" s="6"/>
      <c r="C365" s="6"/>
      <c r="D365" s="40"/>
      <c r="E365" s="39"/>
      <c r="F365" s="35" t="str">
        <f aca="false">IF($B365="","",N($D365)/HORAS_MES*RECARGO_HE)</f>
        <v/>
      </c>
      <c r="G365" s="35" t="str">
        <f aca="false">IF($B365="","",N($E365)*$F365)</f>
        <v/>
      </c>
      <c r="H365" s="40"/>
      <c r="I365" s="35" t="str">
        <f aca="false">IF($B365="","",N($D365)+$G365+N($H365))</f>
        <v/>
      </c>
      <c r="J365" s="35" t="str">
        <f aca="false">IF($B365="","",$I365*CCSS_OBRERO)</f>
        <v/>
      </c>
      <c r="K365" s="40"/>
      <c r="L365" s="35" t="str">
        <f aca="false">IF($B365="","",$I365-$J365-N($K365))</f>
        <v/>
      </c>
      <c r="M365" s="35" t="str">
        <f aca="false">IF($B365="","",$I365*CCSS_PATRONAL)</f>
        <v/>
      </c>
      <c r="N365" s="35" t="str">
        <f aca="false">IF($B365="","",$I365*INS_RT)</f>
        <v/>
      </c>
      <c r="O365" s="35" t="str">
        <f aca="false">IF($B365="","",$I365*PROV_AGUINALDO)</f>
        <v/>
      </c>
      <c r="P365" s="35" t="str">
        <f aca="false">IF($B365="","",$I365*PROV_VACACIONES)</f>
        <v/>
      </c>
      <c r="Q365" s="35" t="str">
        <f aca="false">IF($B365="","",$I365*PROV_CESANTIA)</f>
        <v/>
      </c>
      <c r="R365" s="35" t="str">
        <f aca="false">IF($B365="","",$I365+SUM($M365:$Q365))</f>
        <v/>
      </c>
      <c r="S365" s="46" t="str">
        <f aca="false">IF(OR($A365="",$B365=""),"",DATE(YEAR($A365),MONTH($A365),1))</f>
        <v/>
      </c>
    </row>
    <row r="366" customFormat="false" ht="15" hidden="false" customHeight="false" outlineLevel="0" collapsed="false">
      <c r="A366" s="55"/>
      <c r="B366" s="6"/>
      <c r="C366" s="6"/>
      <c r="D366" s="40"/>
      <c r="E366" s="39"/>
      <c r="F366" s="35" t="str">
        <f aca="false">IF($B366="","",N($D366)/HORAS_MES*RECARGO_HE)</f>
        <v/>
      </c>
      <c r="G366" s="35" t="str">
        <f aca="false">IF($B366="","",N($E366)*$F366)</f>
        <v/>
      </c>
      <c r="H366" s="40"/>
      <c r="I366" s="35" t="str">
        <f aca="false">IF($B366="","",N($D366)+$G366+N($H366))</f>
        <v/>
      </c>
      <c r="J366" s="35" t="str">
        <f aca="false">IF($B366="","",$I366*CCSS_OBRERO)</f>
        <v/>
      </c>
      <c r="K366" s="40"/>
      <c r="L366" s="35" t="str">
        <f aca="false">IF($B366="","",$I366-$J366-N($K366))</f>
        <v/>
      </c>
      <c r="M366" s="35" t="str">
        <f aca="false">IF($B366="","",$I366*CCSS_PATRONAL)</f>
        <v/>
      </c>
      <c r="N366" s="35" t="str">
        <f aca="false">IF($B366="","",$I366*INS_RT)</f>
        <v/>
      </c>
      <c r="O366" s="35" t="str">
        <f aca="false">IF($B366="","",$I366*PROV_AGUINALDO)</f>
        <v/>
      </c>
      <c r="P366" s="35" t="str">
        <f aca="false">IF($B366="","",$I366*PROV_VACACIONES)</f>
        <v/>
      </c>
      <c r="Q366" s="35" t="str">
        <f aca="false">IF($B366="","",$I366*PROV_CESANTIA)</f>
        <v/>
      </c>
      <c r="R366" s="35" t="str">
        <f aca="false">IF($B366="","",$I366+SUM($M366:$Q366))</f>
        <v/>
      </c>
      <c r="S366" s="46" t="str">
        <f aca="false">IF(OR($A366="",$B366=""),"",DATE(YEAR($A366),MONTH($A366),1))</f>
        <v/>
      </c>
    </row>
    <row r="367" customFormat="false" ht="15" hidden="false" customHeight="false" outlineLevel="0" collapsed="false">
      <c r="A367" s="55"/>
      <c r="B367" s="6"/>
      <c r="C367" s="6"/>
      <c r="D367" s="40"/>
      <c r="E367" s="39"/>
      <c r="F367" s="35" t="str">
        <f aca="false">IF($B367="","",N($D367)/HORAS_MES*RECARGO_HE)</f>
        <v/>
      </c>
      <c r="G367" s="35" t="str">
        <f aca="false">IF($B367="","",N($E367)*$F367)</f>
        <v/>
      </c>
      <c r="H367" s="40"/>
      <c r="I367" s="35" t="str">
        <f aca="false">IF($B367="","",N($D367)+$G367+N($H367))</f>
        <v/>
      </c>
      <c r="J367" s="35" t="str">
        <f aca="false">IF($B367="","",$I367*CCSS_OBRERO)</f>
        <v/>
      </c>
      <c r="K367" s="40"/>
      <c r="L367" s="35" t="str">
        <f aca="false">IF($B367="","",$I367-$J367-N($K367))</f>
        <v/>
      </c>
      <c r="M367" s="35" t="str">
        <f aca="false">IF($B367="","",$I367*CCSS_PATRONAL)</f>
        <v/>
      </c>
      <c r="N367" s="35" t="str">
        <f aca="false">IF($B367="","",$I367*INS_RT)</f>
        <v/>
      </c>
      <c r="O367" s="35" t="str">
        <f aca="false">IF($B367="","",$I367*PROV_AGUINALDO)</f>
        <v/>
      </c>
      <c r="P367" s="35" t="str">
        <f aca="false">IF($B367="","",$I367*PROV_VACACIONES)</f>
        <v/>
      </c>
      <c r="Q367" s="35" t="str">
        <f aca="false">IF($B367="","",$I367*PROV_CESANTIA)</f>
        <v/>
      </c>
      <c r="R367" s="35" t="str">
        <f aca="false">IF($B367="","",$I367+SUM($M367:$Q367))</f>
        <v/>
      </c>
      <c r="S367" s="46" t="str">
        <f aca="false">IF(OR($A367="",$B367=""),"",DATE(YEAR($A367),MONTH($A367),1))</f>
        <v/>
      </c>
    </row>
    <row r="368" customFormat="false" ht="15" hidden="false" customHeight="false" outlineLevel="0" collapsed="false">
      <c r="A368" s="55"/>
      <c r="B368" s="6"/>
      <c r="C368" s="6"/>
      <c r="D368" s="40"/>
      <c r="E368" s="39"/>
      <c r="F368" s="35" t="str">
        <f aca="false">IF($B368="","",N($D368)/HORAS_MES*RECARGO_HE)</f>
        <v/>
      </c>
      <c r="G368" s="35" t="str">
        <f aca="false">IF($B368="","",N($E368)*$F368)</f>
        <v/>
      </c>
      <c r="H368" s="40"/>
      <c r="I368" s="35" t="str">
        <f aca="false">IF($B368="","",N($D368)+$G368+N($H368))</f>
        <v/>
      </c>
      <c r="J368" s="35" t="str">
        <f aca="false">IF($B368="","",$I368*CCSS_OBRERO)</f>
        <v/>
      </c>
      <c r="K368" s="40"/>
      <c r="L368" s="35" t="str">
        <f aca="false">IF($B368="","",$I368-$J368-N($K368))</f>
        <v/>
      </c>
      <c r="M368" s="35" t="str">
        <f aca="false">IF($B368="","",$I368*CCSS_PATRONAL)</f>
        <v/>
      </c>
      <c r="N368" s="35" t="str">
        <f aca="false">IF($B368="","",$I368*INS_RT)</f>
        <v/>
      </c>
      <c r="O368" s="35" t="str">
        <f aca="false">IF($B368="","",$I368*PROV_AGUINALDO)</f>
        <v/>
      </c>
      <c r="P368" s="35" t="str">
        <f aca="false">IF($B368="","",$I368*PROV_VACACIONES)</f>
        <v/>
      </c>
      <c r="Q368" s="35" t="str">
        <f aca="false">IF($B368="","",$I368*PROV_CESANTIA)</f>
        <v/>
      </c>
      <c r="R368" s="35" t="str">
        <f aca="false">IF($B368="","",$I368+SUM($M368:$Q368))</f>
        <v/>
      </c>
      <c r="S368" s="46" t="str">
        <f aca="false">IF(OR($A368="",$B368=""),"",DATE(YEAR($A368),MONTH($A368),1))</f>
        <v/>
      </c>
    </row>
    <row r="369" customFormat="false" ht="15" hidden="false" customHeight="false" outlineLevel="0" collapsed="false">
      <c r="A369" s="55"/>
      <c r="B369" s="6"/>
      <c r="C369" s="6"/>
      <c r="D369" s="40"/>
      <c r="E369" s="39"/>
      <c r="F369" s="35" t="str">
        <f aca="false">IF($B369="","",N($D369)/HORAS_MES*RECARGO_HE)</f>
        <v/>
      </c>
      <c r="G369" s="35" t="str">
        <f aca="false">IF($B369="","",N($E369)*$F369)</f>
        <v/>
      </c>
      <c r="H369" s="40"/>
      <c r="I369" s="35" t="str">
        <f aca="false">IF($B369="","",N($D369)+$G369+N($H369))</f>
        <v/>
      </c>
      <c r="J369" s="35" t="str">
        <f aca="false">IF($B369="","",$I369*CCSS_OBRERO)</f>
        <v/>
      </c>
      <c r="K369" s="40"/>
      <c r="L369" s="35" t="str">
        <f aca="false">IF($B369="","",$I369-$J369-N($K369))</f>
        <v/>
      </c>
      <c r="M369" s="35" t="str">
        <f aca="false">IF($B369="","",$I369*CCSS_PATRONAL)</f>
        <v/>
      </c>
      <c r="N369" s="35" t="str">
        <f aca="false">IF($B369="","",$I369*INS_RT)</f>
        <v/>
      </c>
      <c r="O369" s="35" t="str">
        <f aca="false">IF($B369="","",$I369*PROV_AGUINALDO)</f>
        <v/>
      </c>
      <c r="P369" s="35" t="str">
        <f aca="false">IF($B369="","",$I369*PROV_VACACIONES)</f>
        <v/>
      </c>
      <c r="Q369" s="35" t="str">
        <f aca="false">IF($B369="","",$I369*PROV_CESANTIA)</f>
        <v/>
      </c>
      <c r="R369" s="35" t="str">
        <f aca="false">IF($B369="","",$I369+SUM($M369:$Q369))</f>
        <v/>
      </c>
      <c r="S369" s="46" t="str">
        <f aca="false">IF(OR($A369="",$B369=""),"",DATE(YEAR($A369),MONTH($A369),1))</f>
        <v/>
      </c>
    </row>
    <row r="370" customFormat="false" ht="15" hidden="false" customHeight="false" outlineLevel="0" collapsed="false">
      <c r="A370" s="55"/>
      <c r="B370" s="6"/>
      <c r="C370" s="6"/>
      <c r="D370" s="40"/>
      <c r="E370" s="39"/>
      <c r="F370" s="35" t="str">
        <f aca="false">IF($B370="","",N($D370)/HORAS_MES*RECARGO_HE)</f>
        <v/>
      </c>
      <c r="G370" s="35" t="str">
        <f aca="false">IF($B370="","",N($E370)*$F370)</f>
        <v/>
      </c>
      <c r="H370" s="40"/>
      <c r="I370" s="35" t="str">
        <f aca="false">IF($B370="","",N($D370)+$G370+N($H370))</f>
        <v/>
      </c>
      <c r="J370" s="35" t="str">
        <f aca="false">IF($B370="","",$I370*CCSS_OBRERO)</f>
        <v/>
      </c>
      <c r="K370" s="40"/>
      <c r="L370" s="35" t="str">
        <f aca="false">IF($B370="","",$I370-$J370-N($K370))</f>
        <v/>
      </c>
      <c r="M370" s="35" t="str">
        <f aca="false">IF($B370="","",$I370*CCSS_PATRONAL)</f>
        <v/>
      </c>
      <c r="N370" s="35" t="str">
        <f aca="false">IF($B370="","",$I370*INS_RT)</f>
        <v/>
      </c>
      <c r="O370" s="35" t="str">
        <f aca="false">IF($B370="","",$I370*PROV_AGUINALDO)</f>
        <v/>
      </c>
      <c r="P370" s="35" t="str">
        <f aca="false">IF($B370="","",$I370*PROV_VACACIONES)</f>
        <v/>
      </c>
      <c r="Q370" s="35" t="str">
        <f aca="false">IF($B370="","",$I370*PROV_CESANTIA)</f>
        <v/>
      </c>
      <c r="R370" s="35" t="str">
        <f aca="false">IF($B370="","",$I370+SUM($M370:$Q370))</f>
        <v/>
      </c>
      <c r="S370" s="46" t="str">
        <f aca="false">IF(OR($A370="",$B370=""),"",DATE(YEAR($A370),MONTH($A370),1))</f>
        <v/>
      </c>
    </row>
    <row r="371" customFormat="false" ht="15" hidden="false" customHeight="false" outlineLevel="0" collapsed="false">
      <c r="A371" s="55"/>
      <c r="B371" s="6"/>
      <c r="C371" s="6"/>
      <c r="D371" s="40"/>
      <c r="E371" s="39"/>
      <c r="F371" s="35" t="str">
        <f aca="false">IF($B371="","",N($D371)/HORAS_MES*RECARGO_HE)</f>
        <v/>
      </c>
      <c r="G371" s="35" t="str">
        <f aca="false">IF($B371="","",N($E371)*$F371)</f>
        <v/>
      </c>
      <c r="H371" s="40"/>
      <c r="I371" s="35" t="str">
        <f aca="false">IF($B371="","",N($D371)+$G371+N($H371))</f>
        <v/>
      </c>
      <c r="J371" s="35" t="str">
        <f aca="false">IF($B371="","",$I371*CCSS_OBRERO)</f>
        <v/>
      </c>
      <c r="K371" s="40"/>
      <c r="L371" s="35" t="str">
        <f aca="false">IF($B371="","",$I371-$J371-N($K371))</f>
        <v/>
      </c>
      <c r="M371" s="35" t="str">
        <f aca="false">IF($B371="","",$I371*CCSS_PATRONAL)</f>
        <v/>
      </c>
      <c r="N371" s="35" t="str">
        <f aca="false">IF($B371="","",$I371*INS_RT)</f>
        <v/>
      </c>
      <c r="O371" s="35" t="str">
        <f aca="false">IF($B371="","",$I371*PROV_AGUINALDO)</f>
        <v/>
      </c>
      <c r="P371" s="35" t="str">
        <f aca="false">IF($B371="","",$I371*PROV_VACACIONES)</f>
        <v/>
      </c>
      <c r="Q371" s="35" t="str">
        <f aca="false">IF($B371="","",$I371*PROV_CESANTIA)</f>
        <v/>
      </c>
      <c r="R371" s="35" t="str">
        <f aca="false">IF($B371="","",$I371+SUM($M371:$Q371))</f>
        <v/>
      </c>
      <c r="S371" s="46" t="str">
        <f aca="false">IF(OR($A371="",$B371=""),"",DATE(YEAR($A371),MONTH($A371),1))</f>
        <v/>
      </c>
    </row>
    <row r="372" customFormat="false" ht="15" hidden="false" customHeight="false" outlineLevel="0" collapsed="false">
      <c r="A372" s="55"/>
      <c r="B372" s="6"/>
      <c r="C372" s="6"/>
      <c r="D372" s="40"/>
      <c r="E372" s="39"/>
      <c r="F372" s="35" t="str">
        <f aca="false">IF($B372="","",N($D372)/HORAS_MES*RECARGO_HE)</f>
        <v/>
      </c>
      <c r="G372" s="35" t="str">
        <f aca="false">IF($B372="","",N($E372)*$F372)</f>
        <v/>
      </c>
      <c r="H372" s="40"/>
      <c r="I372" s="35" t="str">
        <f aca="false">IF($B372="","",N($D372)+$G372+N($H372))</f>
        <v/>
      </c>
      <c r="J372" s="35" t="str">
        <f aca="false">IF($B372="","",$I372*CCSS_OBRERO)</f>
        <v/>
      </c>
      <c r="K372" s="40"/>
      <c r="L372" s="35" t="str">
        <f aca="false">IF($B372="","",$I372-$J372-N($K372))</f>
        <v/>
      </c>
      <c r="M372" s="35" t="str">
        <f aca="false">IF($B372="","",$I372*CCSS_PATRONAL)</f>
        <v/>
      </c>
      <c r="N372" s="35" t="str">
        <f aca="false">IF($B372="","",$I372*INS_RT)</f>
        <v/>
      </c>
      <c r="O372" s="35" t="str">
        <f aca="false">IF($B372="","",$I372*PROV_AGUINALDO)</f>
        <v/>
      </c>
      <c r="P372" s="35" t="str">
        <f aca="false">IF($B372="","",$I372*PROV_VACACIONES)</f>
        <v/>
      </c>
      <c r="Q372" s="35" t="str">
        <f aca="false">IF($B372="","",$I372*PROV_CESANTIA)</f>
        <v/>
      </c>
      <c r="R372" s="35" t="str">
        <f aca="false">IF($B372="","",$I372+SUM($M372:$Q372))</f>
        <v/>
      </c>
      <c r="S372" s="46" t="str">
        <f aca="false">IF(OR($A372="",$B372=""),"",DATE(YEAR($A372),MONTH($A372),1))</f>
        <v/>
      </c>
    </row>
    <row r="373" customFormat="false" ht="15" hidden="false" customHeight="false" outlineLevel="0" collapsed="false">
      <c r="A373" s="55"/>
      <c r="B373" s="6"/>
      <c r="C373" s="6"/>
      <c r="D373" s="40"/>
      <c r="E373" s="39"/>
      <c r="F373" s="35" t="str">
        <f aca="false">IF($B373="","",N($D373)/HORAS_MES*RECARGO_HE)</f>
        <v/>
      </c>
      <c r="G373" s="35" t="str">
        <f aca="false">IF($B373="","",N($E373)*$F373)</f>
        <v/>
      </c>
      <c r="H373" s="40"/>
      <c r="I373" s="35" t="str">
        <f aca="false">IF($B373="","",N($D373)+$G373+N($H373))</f>
        <v/>
      </c>
      <c r="J373" s="35" t="str">
        <f aca="false">IF($B373="","",$I373*CCSS_OBRERO)</f>
        <v/>
      </c>
      <c r="K373" s="40"/>
      <c r="L373" s="35" t="str">
        <f aca="false">IF($B373="","",$I373-$J373-N($K373))</f>
        <v/>
      </c>
      <c r="M373" s="35" t="str">
        <f aca="false">IF($B373="","",$I373*CCSS_PATRONAL)</f>
        <v/>
      </c>
      <c r="N373" s="35" t="str">
        <f aca="false">IF($B373="","",$I373*INS_RT)</f>
        <v/>
      </c>
      <c r="O373" s="35" t="str">
        <f aca="false">IF($B373="","",$I373*PROV_AGUINALDO)</f>
        <v/>
      </c>
      <c r="P373" s="35" t="str">
        <f aca="false">IF($B373="","",$I373*PROV_VACACIONES)</f>
        <v/>
      </c>
      <c r="Q373" s="35" t="str">
        <f aca="false">IF($B373="","",$I373*PROV_CESANTIA)</f>
        <v/>
      </c>
      <c r="R373" s="35" t="str">
        <f aca="false">IF($B373="","",$I373+SUM($M373:$Q373))</f>
        <v/>
      </c>
      <c r="S373" s="46" t="str">
        <f aca="false">IF(OR($A373="",$B373=""),"",DATE(YEAR($A373),MONTH($A373),1))</f>
        <v/>
      </c>
    </row>
    <row r="374" customFormat="false" ht="15" hidden="false" customHeight="false" outlineLevel="0" collapsed="false">
      <c r="A374" s="55"/>
      <c r="B374" s="6"/>
      <c r="C374" s="6"/>
      <c r="D374" s="40"/>
      <c r="E374" s="39"/>
      <c r="F374" s="35" t="str">
        <f aca="false">IF($B374="","",N($D374)/HORAS_MES*RECARGO_HE)</f>
        <v/>
      </c>
      <c r="G374" s="35" t="str">
        <f aca="false">IF($B374="","",N($E374)*$F374)</f>
        <v/>
      </c>
      <c r="H374" s="40"/>
      <c r="I374" s="35" t="str">
        <f aca="false">IF($B374="","",N($D374)+$G374+N($H374))</f>
        <v/>
      </c>
      <c r="J374" s="35" t="str">
        <f aca="false">IF($B374="","",$I374*CCSS_OBRERO)</f>
        <v/>
      </c>
      <c r="K374" s="40"/>
      <c r="L374" s="35" t="str">
        <f aca="false">IF($B374="","",$I374-$J374-N($K374))</f>
        <v/>
      </c>
      <c r="M374" s="35" t="str">
        <f aca="false">IF($B374="","",$I374*CCSS_PATRONAL)</f>
        <v/>
      </c>
      <c r="N374" s="35" t="str">
        <f aca="false">IF($B374="","",$I374*INS_RT)</f>
        <v/>
      </c>
      <c r="O374" s="35" t="str">
        <f aca="false">IF($B374="","",$I374*PROV_AGUINALDO)</f>
        <v/>
      </c>
      <c r="P374" s="35" t="str">
        <f aca="false">IF($B374="","",$I374*PROV_VACACIONES)</f>
        <v/>
      </c>
      <c r="Q374" s="35" t="str">
        <f aca="false">IF($B374="","",$I374*PROV_CESANTIA)</f>
        <v/>
      </c>
      <c r="R374" s="35" t="str">
        <f aca="false">IF($B374="","",$I374+SUM($M374:$Q374))</f>
        <v/>
      </c>
      <c r="S374" s="46" t="str">
        <f aca="false">IF(OR($A374="",$B374=""),"",DATE(YEAR($A374),MONTH($A374),1))</f>
        <v/>
      </c>
    </row>
    <row r="375" customFormat="false" ht="15" hidden="false" customHeight="false" outlineLevel="0" collapsed="false">
      <c r="A375" s="55"/>
      <c r="B375" s="6"/>
      <c r="C375" s="6"/>
      <c r="D375" s="40"/>
      <c r="E375" s="39"/>
      <c r="F375" s="35" t="str">
        <f aca="false">IF($B375="","",N($D375)/HORAS_MES*RECARGO_HE)</f>
        <v/>
      </c>
      <c r="G375" s="35" t="str">
        <f aca="false">IF($B375="","",N($E375)*$F375)</f>
        <v/>
      </c>
      <c r="H375" s="40"/>
      <c r="I375" s="35" t="str">
        <f aca="false">IF($B375="","",N($D375)+$G375+N($H375))</f>
        <v/>
      </c>
      <c r="J375" s="35" t="str">
        <f aca="false">IF($B375="","",$I375*CCSS_OBRERO)</f>
        <v/>
      </c>
      <c r="K375" s="40"/>
      <c r="L375" s="35" t="str">
        <f aca="false">IF($B375="","",$I375-$J375-N($K375))</f>
        <v/>
      </c>
      <c r="M375" s="35" t="str">
        <f aca="false">IF($B375="","",$I375*CCSS_PATRONAL)</f>
        <v/>
      </c>
      <c r="N375" s="35" t="str">
        <f aca="false">IF($B375="","",$I375*INS_RT)</f>
        <v/>
      </c>
      <c r="O375" s="35" t="str">
        <f aca="false">IF($B375="","",$I375*PROV_AGUINALDO)</f>
        <v/>
      </c>
      <c r="P375" s="35" t="str">
        <f aca="false">IF($B375="","",$I375*PROV_VACACIONES)</f>
        <v/>
      </c>
      <c r="Q375" s="35" t="str">
        <f aca="false">IF($B375="","",$I375*PROV_CESANTIA)</f>
        <v/>
      </c>
      <c r="R375" s="35" t="str">
        <f aca="false">IF($B375="","",$I375+SUM($M375:$Q375))</f>
        <v/>
      </c>
      <c r="S375" s="46" t="str">
        <f aca="false">IF(OR($A375="",$B375=""),"",DATE(YEAR($A375),MONTH($A375),1))</f>
        <v/>
      </c>
    </row>
    <row r="376" customFormat="false" ht="15" hidden="false" customHeight="false" outlineLevel="0" collapsed="false">
      <c r="A376" s="55"/>
      <c r="B376" s="6"/>
      <c r="C376" s="6"/>
      <c r="D376" s="40"/>
      <c r="E376" s="39"/>
      <c r="F376" s="35" t="str">
        <f aca="false">IF($B376="","",N($D376)/HORAS_MES*RECARGO_HE)</f>
        <v/>
      </c>
      <c r="G376" s="35" t="str">
        <f aca="false">IF($B376="","",N($E376)*$F376)</f>
        <v/>
      </c>
      <c r="H376" s="40"/>
      <c r="I376" s="35" t="str">
        <f aca="false">IF($B376="","",N($D376)+$G376+N($H376))</f>
        <v/>
      </c>
      <c r="J376" s="35" t="str">
        <f aca="false">IF($B376="","",$I376*CCSS_OBRERO)</f>
        <v/>
      </c>
      <c r="K376" s="40"/>
      <c r="L376" s="35" t="str">
        <f aca="false">IF($B376="","",$I376-$J376-N($K376))</f>
        <v/>
      </c>
      <c r="M376" s="35" t="str">
        <f aca="false">IF($B376="","",$I376*CCSS_PATRONAL)</f>
        <v/>
      </c>
      <c r="N376" s="35" t="str">
        <f aca="false">IF($B376="","",$I376*INS_RT)</f>
        <v/>
      </c>
      <c r="O376" s="35" t="str">
        <f aca="false">IF($B376="","",$I376*PROV_AGUINALDO)</f>
        <v/>
      </c>
      <c r="P376" s="35" t="str">
        <f aca="false">IF($B376="","",$I376*PROV_VACACIONES)</f>
        <v/>
      </c>
      <c r="Q376" s="35" t="str">
        <f aca="false">IF($B376="","",$I376*PROV_CESANTIA)</f>
        <v/>
      </c>
      <c r="R376" s="35" t="str">
        <f aca="false">IF($B376="","",$I376+SUM($M376:$Q376))</f>
        <v/>
      </c>
      <c r="S376" s="46" t="str">
        <f aca="false">IF(OR($A376="",$B376=""),"",DATE(YEAR($A376),MONTH($A376),1))</f>
        <v/>
      </c>
    </row>
    <row r="377" customFormat="false" ht="15" hidden="false" customHeight="false" outlineLevel="0" collapsed="false">
      <c r="A377" s="55"/>
      <c r="B377" s="6"/>
      <c r="C377" s="6"/>
      <c r="D377" s="40"/>
      <c r="E377" s="39"/>
      <c r="F377" s="35" t="str">
        <f aca="false">IF($B377="","",N($D377)/HORAS_MES*RECARGO_HE)</f>
        <v/>
      </c>
      <c r="G377" s="35" t="str">
        <f aca="false">IF($B377="","",N($E377)*$F377)</f>
        <v/>
      </c>
      <c r="H377" s="40"/>
      <c r="I377" s="35" t="str">
        <f aca="false">IF($B377="","",N($D377)+$G377+N($H377))</f>
        <v/>
      </c>
      <c r="J377" s="35" t="str">
        <f aca="false">IF($B377="","",$I377*CCSS_OBRERO)</f>
        <v/>
      </c>
      <c r="K377" s="40"/>
      <c r="L377" s="35" t="str">
        <f aca="false">IF($B377="","",$I377-$J377-N($K377))</f>
        <v/>
      </c>
      <c r="M377" s="35" t="str">
        <f aca="false">IF($B377="","",$I377*CCSS_PATRONAL)</f>
        <v/>
      </c>
      <c r="N377" s="35" t="str">
        <f aca="false">IF($B377="","",$I377*INS_RT)</f>
        <v/>
      </c>
      <c r="O377" s="35" t="str">
        <f aca="false">IF($B377="","",$I377*PROV_AGUINALDO)</f>
        <v/>
      </c>
      <c r="P377" s="35" t="str">
        <f aca="false">IF($B377="","",$I377*PROV_VACACIONES)</f>
        <v/>
      </c>
      <c r="Q377" s="35" t="str">
        <f aca="false">IF($B377="","",$I377*PROV_CESANTIA)</f>
        <v/>
      </c>
      <c r="R377" s="35" t="str">
        <f aca="false">IF($B377="","",$I377+SUM($M377:$Q377))</f>
        <v/>
      </c>
      <c r="S377" s="46" t="str">
        <f aca="false">IF(OR($A377="",$B377=""),"",DATE(YEAR($A377),MONTH($A377),1))</f>
        <v/>
      </c>
    </row>
    <row r="378" customFormat="false" ht="15" hidden="false" customHeight="false" outlineLevel="0" collapsed="false">
      <c r="A378" s="55"/>
      <c r="B378" s="6"/>
      <c r="C378" s="6"/>
      <c r="D378" s="40"/>
      <c r="E378" s="39"/>
      <c r="F378" s="35" t="str">
        <f aca="false">IF($B378="","",N($D378)/HORAS_MES*RECARGO_HE)</f>
        <v/>
      </c>
      <c r="G378" s="35" t="str">
        <f aca="false">IF($B378="","",N($E378)*$F378)</f>
        <v/>
      </c>
      <c r="H378" s="40"/>
      <c r="I378" s="35" t="str">
        <f aca="false">IF($B378="","",N($D378)+$G378+N($H378))</f>
        <v/>
      </c>
      <c r="J378" s="35" t="str">
        <f aca="false">IF($B378="","",$I378*CCSS_OBRERO)</f>
        <v/>
      </c>
      <c r="K378" s="40"/>
      <c r="L378" s="35" t="str">
        <f aca="false">IF($B378="","",$I378-$J378-N($K378))</f>
        <v/>
      </c>
      <c r="M378" s="35" t="str">
        <f aca="false">IF($B378="","",$I378*CCSS_PATRONAL)</f>
        <v/>
      </c>
      <c r="N378" s="35" t="str">
        <f aca="false">IF($B378="","",$I378*INS_RT)</f>
        <v/>
      </c>
      <c r="O378" s="35" t="str">
        <f aca="false">IF($B378="","",$I378*PROV_AGUINALDO)</f>
        <v/>
      </c>
      <c r="P378" s="35" t="str">
        <f aca="false">IF($B378="","",$I378*PROV_VACACIONES)</f>
        <v/>
      </c>
      <c r="Q378" s="35" t="str">
        <f aca="false">IF($B378="","",$I378*PROV_CESANTIA)</f>
        <v/>
      </c>
      <c r="R378" s="35" t="str">
        <f aca="false">IF($B378="","",$I378+SUM($M378:$Q378))</f>
        <v/>
      </c>
      <c r="S378" s="46" t="str">
        <f aca="false">IF(OR($A378="",$B378=""),"",DATE(YEAR($A378),MONTH($A378),1))</f>
        <v/>
      </c>
    </row>
    <row r="379" customFormat="false" ht="15" hidden="false" customHeight="false" outlineLevel="0" collapsed="false">
      <c r="A379" s="55"/>
      <c r="B379" s="6"/>
      <c r="C379" s="6"/>
      <c r="D379" s="40"/>
      <c r="E379" s="39"/>
      <c r="F379" s="35" t="str">
        <f aca="false">IF($B379="","",N($D379)/HORAS_MES*RECARGO_HE)</f>
        <v/>
      </c>
      <c r="G379" s="35" t="str">
        <f aca="false">IF($B379="","",N($E379)*$F379)</f>
        <v/>
      </c>
      <c r="H379" s="40"/>
      <c r="I379" s="35" t="str">
        <f aca="false">IF($B379="","",N($D379)+$G379+N($H379))</f>
        <v/>
      </c>
      <c r="J379" s="35" t="str">
        <f aca="false">IF($B379="","",$I379*CCSS_OBRERO)</f>
        <v/>
      </c>
      <c r="K379" s="40"/>
      <c r="L379" s="35" t="str">
        <f aca="false">IF($B379="","",$I379-$J379-N($K379))</f>
        <v/>
      </c>
      <c r="M379" s="35" t="str">
        <f aca="false">IF($B379="","",$I379*CCSS_PATRONAL)</f>
        <v/>
      </c>
      <c r="N379" s="35" t="str">
        <f aca="false">IF($B379="","",$I379*INS_RT)</f>
        <v/>
      </c>
      <c r="O379" s="35" t="str">
        <f aca="false">IF($B379="","",$I379*PROV_AGUINALDO)</f>
        <v/>
      </c>
      <c r="P379" s="35" t="str">
        <f aca="false">IF($B379="","",$I379*PROV_VACACIONES)</f>
        <v/>
      </c>
      <c r="Q379" s="35" t="str">
        <f aca="false">IF($B379="","",$I379*PROV_CESANTIA)</f>
        <v/>
      </c>
      <c r="R379" s="35" t="str">
        <f aca="false">IF($B379="","",$I379+SUM($M379:$Q379))</f>
        <v/>
      </c>
      <c r="S379" s="46" t="str">
        <f aca="false">IF(OR($A379="",$B379=""),"",DATE(YEAR($A379),MONTH($A379),1))</f>
        <v/>
      </c>
    </row>
    <row r="380" customFormat="false" ht="15" hidden="false" customHeight="false" outlineLevel="0" collapsed="false">
      <c r="A380" s="55"/>
      <c r="B380" s="6"/>
      <c r="C380" s="6"/>
      <c r="D380" s="40"/>
      <c r="E380" s="39"/>
      <c r="F380" s="35" t="str">
        <f aca="false">IF($B380="","",N($D380)/HORAS_MES*RECARGO_HE)</f>
        <v/>
      </c>
      <c r="G380" s="35" t="str">
        <f aca="false">IF($B380="","",N($E380)*$F380)</f>
        <v/>
      </c>
      <c r="H380" s="40"/>
      <c r="I380" s="35" t="str">
        <f aca="false">IF($B380="","",N($D380)+$G380+N($H380))</f>
        <v/>
      </c>
      <c r="J380" s="35" t="str">
        <f aca="false">IF($B380="","",$I380*CCSS_OBRERO)</f>
        <v/>
      </c>
      <c r="K380" s="40"/>
      <c r="L380" s="35" t="str">
        <f aca="false">IF($B380="","",$I380-$J380-N($K380))</f>
        <v/>
      </c>
      <c r="M380" s="35" t="str">
        <f aca="false">IF($B380="","",$I380*CCSS_PATRONAL)</f>
        <v/>
      </c>
      <c r="N380" s="35" t="str">
        <f aca="false">IF($B380="","",$I380*INS_RT)</f>
        <v/>
      </c>
      <c r="O380" s="35" t="str">
        <f aca="false">IF($B380="","",$I380*PROV_AGUINALDO)</f>
        <v/>
      </c>
      <c r="P380" s="35" t="str">
        <f aca="false">IF($B380="","",$I380*PROV_VACACIONES)</f>
        <v/>
      </c>
      <c r="Q380" s="35" t="str">
        <f aca="false">IF($B380="","",$I380*PROV_CESANTIA)</f>
        <v/>
      </c>
      <c r="R380" s="35" t="str">
        <f aca="false">IF($B380="","",$I380+SUM($M380:$Q380))</f>
        <v/>
      </c>
      <c r="S380" s="46" t="str">
        <f aca="false">IF(OR($A380="",$B380=""),"",DATE(YEAR($A380),MONTH($A380),1))</f>
        <v/>
      </c>
    </row>
    <row r="381" customFormat="false" ht="15" hidden="false" customHeight="false" outlineLevel="0" collapsed="false">
      <c r="A381" s="55"/>
      <c r="B381" s="6"/>
      <c r="C381" s="6"/>
      <c r="D381" s="40"/>
      <c r="E381" s="39"/>
      <c r="F381" s="35" t="str">
        <f aca="false">IF($B381="","",N($D381)/HORAS_MES*RECARGO_HE)</f>
        <v/>
      </c>
      <c r="G381" s="35" t="str">
        <f aca="false">IF($B381="","",N($E381)*$F381)</f>
        <v/>
      </c>
      <c r="H381" s="40"/>
      <c r="I381" s="35" t="str">
        <f aca="false">IF($B381="","",N($D381)+$G381+N($H381))</f>
        <v/>
      </c>
      <c r="J381" s="35" t="str">
        <f aca="false">IF($B381="","",$I381*CCSS_OBRERO)</f>
        <v/>
      </c>
      <c r="K381" s="40"/>
      <c r="L381" s="35" t="str">
        <f aca="false">IF($B381="","",$I381-$J381-N($K381))</f>
        <v/>
      </c>
      <c r="M381" s="35" t="str">
        <f aca="false">IF($B381="","",$I381*CCSS_PATRONAL)</f>
        <v/>
      </c>
      <c r="N381" s="35" t="str">
        <f aca="false">IF($B381="","",$I381*INS_RT)</f>
        <v/>
      </c>
      <c r="O381" s="35" t="str">
        <f aca="false">IF($B381="","",$I381*PROV_AGUINALDO)</f>
        <v/>
      </c>
      <c r="P381" s="35" t="str">
        <f aca="false">IF($B381="","",$I381*PROV_VACACIONES)</f>
        <v/>
      </c>
      <c r="Q381" s="35" t="str">
        <f aca="false">IF($B381="","",$I381*PROV_CESANTIA)</f>
        <v/>
      </c>
      <c r="R381" s="35" t="str">
        <f aca="false">IF($B381="","",$I381+SUM($M381:$Q381))</f>
        <v/>
      </c>
      <c r="S381" s="46" t="str">
        <f aca="false">IF(OR($A381="",$B381=""),"",DATE(YEAR($A381),MONTH($A381),1))</f>
        <v/>
      </c>
    </row>
    <row r="382" customFormat="false" ht="15" hidden="false" customHeight="false" outlineLevel="0" collapsed="false">
      <c r="A382" s="55"/>
      <c r="B382" s="6"/>
      <c r="C382" s="6"/>
      <c r="D382" s="40"/>
      <c r="E382" s="39"/>
      <c r="F382" s="35" t="str">
        <f aca="false">IF($B382="","",N($D382)/HORAS_MES*RECARGO_HE)</f>
        <v/>
      </c>
      <c r="G382" s="35" t="str">
        <f aca="false">IF($B382="","",N($E382)*$F382)</f>
        <v/>
      </c>
      <c r="H382" s="40"/>
      <c r="I382" s="35" t="str">
        <f aca="false">IF($B382="","",N($D382)+$G382+N($H382))</f>
        <v/>
      </c>
      <c r="J382" s="35" t="str">
        <f aca="false">IF($B382="","",$I382*CCSS_OBRERO)</f>
        <v/>
      </c>
      <c r="K382" s="40"/>
      <c r="L382" s="35" t="str">
        <f aca="false">IF($B382="","",$I382-$J382-N($K382))</f>
        <v/>
      </c>
      <c r="M382" s="35" t="str">
        <f aca="false">IF($B382="","",$I382*CCSS_PATRONAL)</f>
        <v/>
      </c>
      <c r="N382" s="35" t="str">
        <f aca="false">IF($B382="","",$I382*INS_RT)</f>
        <v/>
      </c>
      <c r="O382" s="35" t="str">
        <f aca="false">IF($B382="","",$I382*PROV_AGUINALDO)</f>
        <v/>
      </c>
      <c r="P382" s="35" t="str">
        <f aca="false">IF($B382="","",$I382*PROV_VACACIONES)</f>
        <v/>
      </c>
      <c r="Q382" s="35" t="str">
        <f aca="false">IF($B382="","",$I382*PROV_CESANTIA)</f>
        <v/>
      </c>
      <c r="R382" s="35" t="str">
        <f aca="false">IF($B382="","",$I382+SUM($M382:$Q382))</f>
        <v/>
      </c>
      <c r="S382" s="46" t="str">
        <f aca="false">IF(OR($A382="",$B382=""),"",DATE(YEAR($A382),MONTH($A382),1))</f>
        <v/>
      </c>
    </row>
    <row r="383" customFormat="false" ht="15" hidden="false" customHeight="false" outlineLevel="0" collapsed="false">
      <c r="A383" s="55"/>
      <c r="B383" s="6"/>
      <c r="C383" s="6"/>
      <c r="D383" s="40"/>
      <c r="E383" s="39"/>
      <c r="F383" s="35" t="str">
        <f aca="false">IF($B383="","",N($D383)/HORAS_MES*RECARGO_HE)</f>
        <v/>
      </c>
      <c r="G383" s="35" t="str">
        <f aca="false">IF($B383="","",N($E383)*$F383)</f>
        <v/>
      </c>
      <c r="H383" s="40"/>
      <c r="I383" s="35" t="str">
        <f aca="false">IF($B383="","",N($D383)+$G383+N($H383))</f>
        <v/>
      </c>
      <c r="J383" s="35" t="str">
        <f aca="false">IF($B383="","",$I383*CCSS_OBRERO)</f>
        <v/>
      </c>
      <c r="K383" s="40"/>
      <c r="L383" s="35" t="str">
        <f aca="false">IF($B383="","",$I383-$J383-N($K383))</f>
        <v/>
      </c>
      <c r="M383" s="35" t="str">
        <f aca="false">IF($B383="","",$I383*CCSS_PATRONAL)</f>
        <v/>
      </c>
      <c r="N383" s="35" t="str">
        <f aca="false">IF($B383="","",$I383*INS_RT)</f>
        <v/>
      </c>
      <c r="O383" s="35" t="str">
        <f aca="false">IF($B383="","",$I383*PROV_AGUINALDO)</f>
        <v/>
      </c>
      <c r="P383" s="35" t="str">
        <f aca="false">IF($B383="","",$I383*PROV_VACACIONES)</f>
        <v/>
      </c>
      <c r="Q383" s="35" t="str">
        <f aca="false">IF($B383="","",$I383*PROV_CESANTIA)</f>
        <v/>
      </c>
      <c r="R383" s="35" t="str">
        <f aca="false">IF($B383="","",$I383+SUM($M383:$Q383))</f>
        <v/>
      </c>
      <c r="S383" s="46" t="str">
        <f aca="false">IF(OR($A383="",$B383=""),"",DATE(YEAR($A383),MONTH($A383),1))</f>
        <v/>
      </c>
    </row>
    <row r="384" customFormat="false" ht="15" hidden="false" customHeight="false" outlineLevel="0" collapsed="false">
      <c r="A384" s="55"/>
      <c r="B384" s="6"/>
      <c r="C384" s="6"/>
      <c r="D384" s="40"/>
      <c r="E384" s="39"/>
      <c r="F384" s="35" t="str">
        <f aca="false">IF($B384="","",N($D384)/HORAS_MES*RECARGO_HE)</f>
        <v/>
      </c>
      <c r="G384" s="35" t="str">
        <f aca="false">IF($B384="","",N($E384)*$F384)</f>
        <v/>
      </c>
      <c r="H384" s="40"/>
      <c r="I384" s="35" t="str">
        <f aca="false">IF($B384="","",N($D384)+$G384+N($H384))</f>
        <v/>
      </c>
      <c r="J384" s="35" t="str">
        <f aca="false">IF($B384="","",$I384*CCSS_OBRERO)</f>
        <v/>
      </c>
      <c r="K384" s="40"/>
      <c r="L384" s="35" t="str">
        <f aca="false">IF($B384="","",$I384-$J384-N($K384))</f>
        <v/>
      </c>
      <c r="M384" s="35" t="str">
        <f aca="false">IF($B384="","",$I384*CCSS_PATRONAL)</f>
        <v/>
      </c>
      <c r="N384" s="35" t="str">
        <f aca="false">IF($B384="","",$I384*INS_RT)</f>
        <v/>
      </c>
      <c r="O384" s="35" t="str">
        <f aca="false">IF($B384="","",$I384*PROV_AGUINALDO)</f>
        <v/>
      </c>
      <c r="P384" s="35" t="str">
        <f aca="false">IF($B384="","",$I384*PROV_VACACIONES)</f>
        <v/>
      </c>
      <c r="Q384" s="35" t="str">
        <f aca="false">IF($B384="","",$I384*PROV_CESANTIA)</f>
        <v/>
      </c>
      <c r="R384" s="35" t="str">
        <f aca="false">IF($B384="","",$I384+SUM($M384:$Q384))</f>
        <v/>
      </c>
      <c r="S384" s="46" t="str">
        <f aca="false">IF(OR($A384="",$B384=""),"",DATE(YEAR($A384),MONTH($A384),1))</f>
        <v/>
      </c>
    </row>
    <row r="385" customFormat="false" ht="15" hidden="false" customHeight="false" outlineLevel="0" collapsed="false">
      <c r="A385" s="55"/>
      <c r="B385" s="6"/>
      <c r="C385" s="6"/>
      <c r="D385" s="40"/>
      <c r="E385" s="39"/>
      <c r="F385" s="35" t="str">
        <f aca="false">IF($B385="","",N($D385)/HORAS_MES*RECARGO_HE)</f>
        <v/>
      </c>
      <c r="G385" s="35" t="str">
        <f aca="false">IF($B385="","",N($E385)*$F385)</f>
        <v/>
      </c>
      <c r="H385" s="40"/>
      <c r="I385" s="35" t="str">
        <f aca="false">IF($B385="","",N($D385)+$G385+N($H385))</f>
        <v/>
      </c>
      <c r="J385" s="35" t="str">
        <f aca="false">IF($B385="","",$I385*CCSS_OBRERO)</f>
        <v/>
      </c>
      <c r="K385" s="40"/>
      <c r="L385" s="35" t="str">
        <f aca="false">IF($B385="","",$I385-$J385-N($K385))</f>
        <v/>
      </c>
      <c r="M385" s="35" t="str">
        <f aca="false">IF($B385="","",$I385*CCSS_PATRONAL)</f>
        <v/>
      </c>
      <c r="N385" s="35" t="str">
        <f aca="false">IF($B385="","",$I385*INS_RT)</f>
        <v/>
      </c>
      <c r="O385" s="35" t="str">
        <f aca="false">IF($B385="","",$I385*PROV_AGUINALDO)</f>
        <v/>
      </c>
      <c r="P385" s="35" t="str">
        <f aca="false">IF($B385="","",$I385*PROV_VACACIONES)</f>
        <v/>
      </c>
      <c r="Q385" s="35" t="str">
        <f aca="false">IF($B385="","",$I385*PROV_CESANTIA)</f>
        <v/>
      </c>
      <c r="R385" s="35" t="str">
        <f aca="false">IF($B385="","",$I385+SUM($M385:$Q385))</f>
        <v/>
      </c>
      <c r="S385" s="46" t="str">
        <f aca="false">IF(OR($A385="",$B385=""),"",DATE(YEAR($A385),MONTH($A385),1))</f>
        <v/>
      </c>
    </row>
    <row r="386" customFormat="false" ht="15" hidden="false" customHeight="false" outlineLevel="0" collapsed="false">
      <c r="A386" s="55"/>
      <c r="B386" s="6"/>
      <c r="C386" s="6"/>
      <c r="D386" s="40"/>
      <c r="E386" s="39"/>
      <c r="F386" s="35" t="str">
        <f aca="false">IF($B386="","",N($D386)/HORAS_MES*RECARGO_HE)</f>
        <v/>
      </c>
      <c r="G386" s="35" t="str">
        <f aca="false">IF($B386="","",N($E386)*$F386)</f>
        <v/>
      </c>
      <c r="H386" s="40"/>
      <c r="I386" s="35" t="str">
        <f aca="false">IF($B386="","",N($D386)+$G386+N($H386))</f>
        <v/>
      </c>
      <c r="J386" s="35" t="str">
        <f aca="false">IF($B386="","",$I386*CCSS_OBRERO)</f>
        <v/>
      </c>
      <c r="K386" s="40"/>
      <c r="L386" s="35" t="str">
        <f aca="false">IF($B386="","",$I386-$J386-N($K386))</f>
        <v/>
      </c>
      <c r="M386" s="35" t="str">
        <f aca="false">IF($B386="","",$I386*CCSS_PATRONAL)</f>
        <v/>
      </c>
      <c r="N386" s="35" t="str">
        <f aca="false">IF($B386="","",$I386*INS_RT)</f>
        <v/>
      </c>
      <c r="O386" s="35" t="str">
        <f aca="false">IF($B386="","",$I386*PROV_AGUINALDO)</f>
        <v/>
      </c>
      <c r="P386" s="35" t="str">
        <f aca="false">IF($B386="","",$I386*PROV_VACACIONES)</f>
        <v/>
      </c>
      <c r="Q386" s="35" t="str">
        <f aca="false">IF($B386="","",$I386*PROV_CESANTIA)</f>
        <v/>
      </c>
      <c r="R386" s="35" t="str">
        <f aca="false">IF($B386="","",$I386+SUM($M386:$Q386))</f>
        <v/>
      </c>
      <c r="S386" s="46" t="str">
        <f aca="false">IF(OR($A386="",$B386=""),"",DATE(YEAR($A386),MONTH($A386),1))</f>
        <v/>
      </c>
    </row>
    <row r="387" customFormat="false" ht="15" hidden="false" customHeight="false" outlineLevel="0" collapsed="false">
      <c r="A387" s="55"/>
      <c r="B387" s="6"/>
      <c r="C387" s="6"/>
      <c r="D387" s="40"/>
      <c r="E387" s="39"/>
      <c r="F387" s="35" t="str">
        <f aca="false">IF($B387="","",N($D387)/HORAS_MES*RECARGO_HE)</f>
        <v/>
      </c>
      <c r="G387" s="35" t="str">
        <f aca="false">IF($B387="","",N($E387)*$F387)</f>
        <v/>
      </c>
      <c r="H387" s="40"/>
      <c r="I387" s="35" t="str">
        <f aca="false">IF($B387="","",N($D387)+$G387+N($H387))</f>
        <v/>
      </c>
      <c r="J387" s="35" t="str">
        <f aca="false">IF($B387="","",$I387*CCSS_OBRERO)</f>
        <v/>
      </c>
      <c r="K387" s="40"/>
      <c r="L387" s="35" t="str">
        <f aca="false">IF($B387="","",$I387-$J387-N($K387))</f>
        <v/>
      </c>
      <c r="M387" s="35" t="str">
        <f aca="false">IF($B387="","",$I387*CCSS_PATRONAL)</f>
        <v/>
      </c>
      <c r="N387" s="35" t="str">
        <f aca="false">IF($B387="","",$I387*INS_RT)</f>
        <v/>
      </c>
      <c r="O387" s="35" t="str">
        <f aca="false">IF($B387="","",$I387*PROV_AGUINALDO)</f>
        <v/>
      </c>
      <c r="P387" s="35" t="str">
        <f aca="false">IF($B387="","",$I387*PROV_VACACIONES)</f>
        <v/>
      </c>
      <c r="Q387" s="35" t="str">
        <f aca="false">IF($B387="","",$I387*PROV_CESANTIA)</f>
        <v/>
      </c>
      <c r="R387" s="35" t="str">
        <f aca="false">IF($B387="","",$I387+SUM($M387:$Q387))</f>
        <v/>
      </c>
      <c r="S387" s="46" t="str">
        <f aca="false">IF(OR($A387="",$B387=""),"",DATE(YEAR($A387),MONTH($A387),1))</f>
        <v/>
      </c>
    </row>
    <row r="388" customFormat="false" ht="15" hidden="false" customHeight="false" outlineLevel="0" collapsed="false">
      <c r="A388" s="55"/>
      <c r="B388" s="6"/>
      <c r="C388" s="6"/>
      <c r="D388" s="40"/>
      <c r="E388" s="39"/>
      <c r="F388" s="35" t="str">
        <f aca="false">IF($B388="","",N($D388)/HORAS_MES*RECARGO_HE)</f>
        <v/>
      </c>
      <c r="G388" s="35" t="str">
        <f aca="false">IF($B388="","",N($E388)*$F388)</f>
        <v/>
      </c>
      <c r="H388" s="40"/>
      <c r="I388" s="35" t="str">
        <f aca="false">IF($B388="","",N($D388)+$G388+N($H388))</f>
        <v/>
      </c>
      <c r="J388" s="35" t="str">
        <f aca="false">IF($B388="","",$I388*CCSS_OBRERO)</f>
        <v/>
      </c>
      <c r="K388" s="40"/>
      <c r="L388" s="35" t="str">
        <f aca="false">IF($B388="","",$I388-$J388-N($K388))</f>
        <v/>
      </c>
      <c r="M388" s="35" t="str">
        <f aca="false">IF($B388="","",$I388*CCSS_PATRONAL)</f>
        <v/>
      </c>
      <c r="N388" s="35" t="str">
        <f aca="false">IF($B388="","",$I388*INS_RT)</f>
        <v/>
      </c>
      <c r="O388" s="35" t="str">
        <f aca="false">IF($B388="","",$I388*PROV_AGUINALDO)</f>
        <v/>
      </c>
      <c r="P388" s="35" t="str">
        <f aca="false">IF($B388="","",$I388*PROV_VACACIONES)</f>
        <v/>
      </c>
      <c r="Q388" s="35" t="str">
        <f aca="false">IF($B388="","",$I388*PROV_CESANTIA)</f>
        <v/>
      </c>
      <c r="R388" s="35" t="str">
        <f aca="false">IF($B388="","",$I388+SUM($M388:$Q388))</f>
        <v/>
      </c>
      <c r="S388" s="46" t="str">
        <f aca="false">IF(OR($A388="",$B388=""),"",DATE(YEAR($A388),MONTH($A388),1))</f>
        <v/>
      </c>
    </row>
    <row r="389" customFormat="false" ht="15" hidden="false" customHeight="false" outlineLevel="0" collapsed="false">
      <c r="A389" s="55"/>
      <c r="B389" s="6"/>
      <c r="C389" s="6"/>
      <c r="D389" s="40"/>
      <c r="E389" s="39"/>
      <c r="F389" s="35" t="str">
        <f aca="false">IF($B389="","",N($D389)/HORAS_MES*RECARGO_HE)</f>
        <v/>
      </c>
      <c r="G389" s="35" t="str">
        <f aca="false">IF($B389="","",N($E389)*$F389)</f>
        <v/>
      </c>
      <c r="H389" s="40"/>
      <c r="I389" s="35" t="str">
        <f aca="false">IF($B389="","",N($D389)+$G389+N($H389))</f>
        <v/>
      </c>
      <c r="J389" s="35" t="str">
        <f aca="false">IF($B389="","",$I389*CCSS_OBRERO)</f>
        <v/>
      </c>
      <c r="K389" s="40"/>
      <c r="L389" s="35" t="str">
        <f aca="false">IF($B389="","",$I389-$J389-N($K389))</f>
        <v/>
      </c>
      <c r="M389" s="35" t="str">
        <f aca="false">IF($B389="","",$I389*CCSS_PATRONAL)</f>
        <v/>
      </c>
      <c r="N389" s="35" t="str">
        <f aca="false">IF($B389="","",$I389*INS_RT)</f>
        <v/>
      </c>
      <c r="O389" s="35" t="str">
        <f aca="false">IF($B389="","",$I389*PROV_AGUINALDO)</f>
        <v/>
      </c>
      <c r="P389" s="35" t="str">
        <f aca="false">IF($B389="","",$I389*PROV_VACACIONES)</f>
        <v/>
      </c>
      <c r="Q389" s="35" t="str">
        <f aca="false">IF($B389="","",$I389*PROV_CESANTIA)</f>
        <v/>
      </c>
      <c r="R389" s="35" t="str">
        <f aca="false">IF($B389="","",$I389+SUM($M389:$Q389))</f>
        <v/>
      </c>
      <c r="S389" s="46" t="str">
        <f aca="false">IF(OR($A389="",$B389=""),"",DATE(YEAR($A389),MONTH($A389),1))</f>
        <v/>
      </c>
    </row>
    <row r="390" customFormat="false" ht="15" hidden="false" customHeight="false" outlineLevel="0" collapsed="false">
      <c r="A390" s="55"/>
      <c r="B390" s="6"/>
      <c r="C390" s="6"/>
      <c r="D390" s="40"/>
      <c r="E390" s="39"/>
      <c r="F390" s="35" t="str">
        <f aca="false">IF($B390="","",N($D390)/HORAS_MES*RECARGO_HE)</f>
        <v/>
      </c>
      <c r="G390" s="35" t="str">
        <f aca="false">IF($B390="","",N($E390)*$F390)</f>
        <v/>
      </c>
      <c r="H390" s="40"/>
      <c r="I390" s="35" t="str">
        <f aca="false">IF($B390="","",N($D390)+$G390+N($H390))</f>
        <v/>
      </c>
      <c r="J390" s="35" t="str">
        <f aca="false">IF($B390="","",$I390*CCSS_OBRERO)</f>
        <v/>
      </c>
      <c r="K390" s="40"/>
      <c r="L390" s="35" t="str">
        <f aca="false">IF($B390="","",$I390-$J390-N($K390))</f>
        <v/>
      </c>
      <c r="M390" s="35" t="str">
        <f aca="false">IF($B390="","",$I390*CCSS_PATRONAL)</f>
        <v/>
      </c>
      <c r="N390" s="35" t="str">
        <f aca="false">IF($B390="","",$I390*INS_RT)</f>
        <v/>
      </c>
      <c r="O390" s="35" t="str">
        <f aca="false">IF($B390="","",$I390*PROV_AGUINALDO)</f>
        <v/>
      </c>
      <c r="P390" s="35" t="str">
        <f aca="false">IF($B390="","",$I390*PROV_VACACIONES)</f>
        <v/>
      </c>
      <c r="Q390" s="35" t="str">
        <f aca="false">IF($B390="","",$I390*PROV_CESANTIA)</f>
        <v/>
      </c>
      <c r="R390" s="35" t="str">
        <f aca="false">IF($B390="","",$I390+SUM($M390:$Q390))</f>
        <v/>
      </c>
      <c r="S390" s="46" t="str">
        <f aca="false">IF(OR($A390="",$B390=""),"",DATE(YEAR($A390),MONTH($A390),1))</f>
        <v/>
      </c>
    </row>
    <row r="391" customFormat="false" ht="15" hidden="false" customHeight="false" outlineLevel="0" collapsed="false">
      <c r="A391" s="55"/>
      <c r="B391" s="6"/>
      <c r="C391" s="6"/>
      <c r="D391" s="40"/>
      <c r="E391" s="39"/>
      <c r="F391" s="35" t="str">
        <f aca="false">IF($B391="","",N($D391)/HORAS_MES*RECARGO_HE)</f>
        <v/>
      </c>
      <c r="G391" s="35" t="str">
        <f aca="false">IF($B391="","",N($E391)*$F391)</f>
        <v/>
      </c>
      <c r="H391" s="40"/>
      <c r="I391" s="35" t="str">
        <f aca="false">IF($B391="","",N($D391)+$G391+N($H391))</f>
        <v/>
      </c>
      <c r="J391" s="35" t="str">
        <f aca="false">IF($B391="","",$I391*CCSS_OBRERO)</f>
        <v/>
      </c>
      <c r="K391" s="40"/>
      <c r="L391" s="35" t="str">
        <f aca="false">IF($B391="","",$I391-$J391-N($K391))</f>
        <v/>
      </c>
      <c r="M391" s="35" t="str">
        <f aca="false">IF($B391="","",$I391*CCSS_PATRONAL)</f>
        <v/>
      </c>
      <c r="N391" s="35" t="str">
        <f aca="false">IF($B391="","",$I391*INS_RT)</f>
        <v/>
      </c>
      <c r="O391" s="35" t="str">
        <f aca="false">IF($B391="","",$I391*PROV_AGUINALDO)</f>
        <v/>
      </c>
      <c r="P391" s="35" t="str">
        <f aca="false">IF($B391="","",$I391*PROV_VACACIONES)</f>
        <v/>
      </c>
      <c r="Q391" s="35" t="str">
        <f aca="false">IF($B391="","",$I391*PROV_CESANTIA)</f>
        <v/>
      </c>
      <c r="R391" s="35" t="str">
        <f aca="false">IF($B391="","",$I391+SUM($M391:$Q391))</f>
        <v/>
      </c>
      <c r="S391" s="46" t="str">
        <f aca="false">IF(OR($A391="",$B391=""),"",DATE(YEAR($A391),MONTH($A391),1))</f>
        <v/>
      </c>
    </row>
    <row r="392" customFormat="false" ht="15" hidden="false" customHeight="false" outlineLevel="0" collapsed="false">
      <c r="A392" s="55"/>
      <c r="B392" s="6"/>
      <c r="C392" s="6"/>
      <c r="D392" s="40"/>
      <c r="E392" s="39"/>
      <c r="F392" s="35" t="str">
        <f aca="false">IF($B392="","",N($D392)/HORAS_MES*RECARGO_HE)</f>
        <v/>
      </c>
      <c r="G392" s="35" t="str">
        <f aca="false">IF($B392="","",N($E392)*$F392)</f>
        <v/>
      </c>
      <c r="H392" s="40"/>
      <c r="I392" s="35" t="str">
        <f aca="false">IF($B392="","",N($D392)+$G392+N($H392))</f>
        <v/>
      </c>
      <c r="J392" s="35" t="str">
        <f aca="false">IF($B392="","",$I392*CCSS_OBRERO)</f>
        <v/>
      </c>
      <c r="K392" s="40"/>
      <c r="L392" s="35" t="str">
        <f aca="false">IF($B392="","",$I392-$J392-N($K392))</f>
        <v/>
      </c>
      <c r="M392" s="35" t="str">
        <f aca="false">IF($B392="","",$I392*CCSS_PATRONAL)</f>
        <v/>
      </c>
      <c r="N392" s="35" t="str">
        <f aca="false">IF($B392="","",$I392*INS_RT)</f>
        <v/>
      </c>
      <c r="O392" s="35" t="str">
        <f aca="false">IF($B392="","",$I392*PROV_AGUINALDO)</f>
        <v/>
      </c>
      <c r="P392" s="35" t="str">
        <f aca="false">IF($B392="","",$I392*PROV_VACACIONES)</f>
        <v/>
      </c>
      <c r="Q392" s="35" t="str">
        <f aca="false">IF($B392="","",$I392*PROV_CESANTIA)</f>
        <v/>
      </c>
      <c r="R392" s="35" t="str">
        <f aca="false">IF($B392="","",$I392+SUM($M392:$Q392))</f>
        <v/>
      </c>
      <c r="S392" s="46" t="str">
        <f aca="false">IF(OR($A392="",$B392=""),"",DATE(YEAR($A392),MONTH($A392),1))</f>
        <v/>
      </c>
    </row>
    <row r="393" customFormat="false" ht="15" hidden="false" customHeight="false" outlineLevel="0" collapsed="false">
      <c r="A393" s="55"/>
      <c r="B393" s="6"/>
      <c r="C393" s="6"/>
      <c r="D393" s="40"/>
      <c r="E393" s="39"/>
      <c r="F393" s="35" t="str">
        <f aca="false">IF($B393="","",N($D393)/HORAS_MES*RECARGO_HE)</f>
        <v/>
      </c>
      <c r="G393" s="35" t="str">
        <f aca="false">IF($B393="","",N($E393)*$F393)</f>
        <v/>
      </c>
      <c r="H393" s="40"/>
      <c r="I393" s="35" t="str">
        <f aca="false">IF($B393="","",N($D393)+$G393+N($H393))</f>
        <v/>
      </c>
      <c r="J393" s="35" t="str">
        <f aca="false">IF($B393="","",$I393*CCSS_OBRERO)</f>
        <v/>
      </c>
      <c r="K393" s="40"/>
      <c r="L393" s="35" t="str">
        <f aca="false">IF($B393="","",$I393-$J393-N($K393))</f>
        <v/>
      </c>
      <c r="M393" s="35" t="str">
        <f aca="false">IF($B393="","",$I393*CCSS_PATRONAL)</f>
        <v/>
      </c>
      <c r="N393" s="35" t="str">
        <f aca="false">IF($B393="","",$I393*INS_RT)</f>
        <v/>
      </c>
      <c r="O393" s="35" t="str">
        <f aca="false">IF($B393="","",$I393*PROV_AGUINALDO)</f>
        <v/>
      </c>
      <c r="P393" s="35" t="str">
        <f aca="false">IF($B393="","",$I393*PROV_VACACIONES)</f>
        <v/>
      </c>
      <c r="Q393" s="35" t="str">
        <f aca="false">IF($B393="","",$I393*PROV_CESANTIA)</f>
        <v/>
      </c>
      <c r="R393" s="35" t="str">
        <f aca="false">IF($B393="","",$I393+SUM($M393:$Q393))</f>
        <v/>
      </c>
      <c r="S393" s="46" t="str">
        <f aca="false">IF(OR($A393="",$B393=""),"",DATE(YEAR($A393),MONTH($A393),1))</f>
        <v/>
      </c>
    </row>
    <row r="394" customFormat="false" ht="15" hidden="false" customHeight="false" outlineLevel="0" collapsed="false">
      <c r="A394" s="55"/>
      <c r="B394" s="6"/>
      <c r="C394" s="6"/>
      <c r="D394" s="40"/>
      <c r="E394" s="39"/>
      <c r="F394" s="35" t="str">
        <f aca="false">IF($B394="","",N($D394)/HORAS_MES*RECARGO_HE)</f>
        <v/>
      </c>
      <c r="G394" s="35" t="str">
        <f aca="false">IF($B394="","",N($E394)*$F394)</f>
        <v/>
      </c>
      <c r="H394" s="40"/>
      <c r="I394" s="35" t="str">
        <f aca="false">IF($B394="","",N($D394)+$G394+N($H394))</f>
        <v/>
      </c>
      <c r="J394" s="35" t="str">
        <f aca="false">IF($B394="","",$I394*CCSS_OBRERO)</f>
        <v/>
      </c>
      <c r="K394" s="40"/>
      <c r="L394" s="35" t="str">
        <f aca="false">IF($B394="","",$I394-$J394-N($K394))</f>
        <v/>
      </c>
      <c r="M394" s="35" t="str">
        <f aca="false">IF($B394="","",$I394*CCSS_PATRONAL)</f>
        <v/>
      </c>
      <c r="N394" s="35" t="str">
        <f aca="false">IF($B394="","",$I394*INS_RT)</f>
        <v/>
      </c>
      <c r="O394" s="35" t="str">
        <f aca="false">IF($B394="","",$I394*PROV_AGUINALDO)</f>
        <v/>
      </c>
      <c r="P394" s="35" t="str">
        <f aca="false">IF($B394="","",$I394*PROV_VACACIONES)</f>
        <v/>
      </c>
      <c r="Q394" s="35" t="str">
        <f aca="false">IF($B394="","",$I394*PROV_CESANTIA)</f>
        <v/>
      </c>
      <c r="R394" s="35" t="str">
        <f aca="false">IF($B394="","",$I394+SUM($M394:$Q394))</f>
        <v/>
      </c>
      <c r="S394" s="46" t="str">
        <f aca="false">IF(OR($A394="",$B394=""),"",DATE(YEAR($A394),MONTH($A394),1))</f>
        <v/>
      </c>
    </row>
    <row r="395" customFormat="false" ht="15" hidden="false" customHeight="false" outlineLevel="0" collapsed="false">
      <c r="A395" s="55"/>
      <c r="B395" s="6"/>
      <c r="C395" s="6"/>
      <c r="D395" s="40"/>
      <c r="E395" s="39"/>
      <c r="F395" s="35" t="str">
        <f aca="false">IF($B395="","",N($D395)/HORAS_MES*RECARGO_HE)</f>
        <v/>
      </c>
      <c r="G395" s="35" t="str">
        <f aca="false">IF($B395="","",N($E395)*$F395)</f>
        <v/>
      </c>
      <c r="H395" s="40"/>
      <c r="I395" s="35" t="str">
        <f aca="false">IF($B395="","",N($D395)+$G395+N($H395))</f>
        <v/>
      </c>
      <c r="J395" s="35" t="str">
        <f aca="false">IF($B395="","",$I395*CCSS_OBRERO)</f>
        <v/>
      </c>
      <c r="K395" s="40"/>
      <c r="L395" s="35" t="str">
        <f aca="false">IF($B395="","",$I395-$J395-N($K395))</f>
        <v/>
      </c>
      <c r="M395" s="35" t="str">
        <f aca="false">IF($B395="","",$I395*CCSS_PATRONAL)</f>
        <v/>
      </c>
      <c r="N395" s="35" t="str">
        <f aca="false">IF($B395="","",$I395*INS_RT)</f>
        <v/>
      </c>
      <c r="O395" s="35" t="str">
        <f aca="false">IF($B395="","",$I395*PROV_AGUINALDO)</f>
        <v/>
      </c>
      <c r="P395" s="35" t="str">
        <f aca="false">IF($B395="","",$I395*PROV_VACACIONES)</f>
        <v/>
      </c>
      <c r="Q395" s="35" t="str">
        <f aca="false">IF($B395="","",$I395*PROV_CESANTIA)</f>
        <v/>
      </c>
      <c r="R395" s="35" t="str">
        <f aca="false">IF($B395="","",$I395+SUM($M395:$Q395))</f>
        <v/>
      </c>
      <c r="S395" s="46" t="str">
        <f aca="false">IF(OR($A395="",$B395=""),"",DATE(YEAR($A395),MONTH($A395),1))</f>
        <v/>
      </c>
    </row>
    <row r="396" customFormat="false" ht="15" hidden="false" customHeight="false" outlineLevel="0" collapsed="false">
      <c r="A396" s="55"/>
      <c r="B396" s="6"/>
      <c r="C396" s="6"/>
      <c r="D396" s="40"/>
      <c r="E396" s="39"/>
      <c r="F396" s="35" t="str">
        <f aca="false">IF($B396="","",N($D396)/HORAS_MES*RECARGO_HE)</f>
        <v/>
      </c>
      <c r="G396" s="35" t="str">
        <f aca="false">IF($B396="","",N($E396)*$F396)</f>
        <v/>
      </c>
      <c r="H396" s="40"/>
      <c r="I396" s="35" t="str">
        <f aca="false">IF($B396="","",N($D396)+$G396+N($H396))</f>
        <v/>
      </c>
      <c r="J396" s="35" t="str">
        <f aca="false">IF($B396="","",$I396*CCSS_OBRERO)</f>
        <v/>
      </c>
      <c r="K396" s="40"/>
      <c r="L396" s="35" t="str">
        <f aca="false">IF($B396="","",$I396-$J396-N($K396))</f>
        <v/>
      </c>
      <c r="M396" s="35" t="str">
        <f aca="false">IF($B396="","",$I396*CCSS_PATRONAL)</f>
        <v/>
      </c>
      <c r="N396" s="35" t="str">
        <f aca="false">IF($B396="","",$I396*INS_RT)</f>
        <v/>
      </c>
      <c r="O396" s="35" t="str">
        <f aca="false">IF($B396="","",$I396*PROV_AGUINALDO)</f>
        <v/>
      </c>
      <c r="P396" s="35" t="str">
        <f aca="false">IF($B396="","",$I396*PROV_VACACIONES)</f>
        <v/>
      </c>
      <c r="Q396" s="35" t="str">
        <f aca="false">IF($B396="","",$I396*PROV_CESANTIA)</f>
        <v/>
      </c>
      <c r="R396" s="35" t="str">
        <f aca="false">IF($B396="","",$I396+SUM($M396:$Q396))</f>
        <v/>
      </c>
      <c r="S396" s="46" t="str">
        <f aca="false">IF(OR($A396="",$B396=""),"",DATE(YEAR($A396),MONTH($A396),1))</f>
        <v/>
      </c>
    </row>
    <row r="397" customFormat="false" ht="15" hidden="false" customHeight="false" outlineLevel="0" collapsed="false">
      <c r="A397" s="55"/>
      <c r="B397" s="6"/>
      <c r="C397" s="6"/>
      <c r="D397" s="40"/>
      <c r="E397" s="39"/>
      <c r="F397" s="35" t="str">
        <f aca="false">IF($B397="","",N($D397)/HORAS_MES*RECARGO_HE)</f>
        <v/>
      </c>
      <c r="G397" s="35" t="str">
        <f aca="false">IF($B397="","",N($E397)*$F397)</f>
        <v/>
      </c>
      <c r="H397" s="40"/>
      <c r="I397" s="35" t="str">
        <f aca="false">IF($B397="","",N($D397)+$G397+N($H397))</f>
        <v/>
      </c>
      <c r="J397" s="35" t="str">
        <f aca="false">IF($B397="","",$I397*CCSS_OBRERO)</f>
        <v/>
      </c>
      <c r="K397" s="40"/>
      <c r="L397" s="35" t="str">
        <f aca="false">IF($B397="","",$I397-$J397-N($K397))</f>
        <v/>
      </c>
      <c r="M397" s="35" t="str">
        <f aca="false">IF($B397="","",$I397*CCSS_PATRONAL)</f>
        <v/>
      </c>
      <c r="N397" s="35" t="str">
        <f aca="false">IF($B397="","",$I397*INS_RT)</f>
        <v/>
      </c>
      <c r="O397" s="35" t="str">
        <f aca="false">IF($B397="","",$I397*PROV_AGUINALDO)</f>
        <v/>
      </c>
      <c r="P397" s="35" t="str">
        <f aca="false">IF($B397="","",$I397*PROV_VACACIONES)</f>
        <v/>
      </c>
      <c r="Q397" s="35" t="str">
        <f aca="false">IF($B397="","",$I397*PROV_CESANTIA)</f>
        <v/>
      </c>
      <c r="R397" s="35" t="str">
        <f aca="false">IF($B397="","",$I397+SUM($M397:$Q397))</f>
        <v/>
      </c>
      <c r="S397" s="46" t="str">
        <f aca="false">IF(OR($A397="",$B397=""),"",DATE(YEAR($A397),MONTH($A397),1))</f>
        <v/>
      </c>
    </row>
    <row r="398" customFormat="false" ht="15" hidden="false" customHeight="false" outlineLevel="0" collapsed="false">
      <c r="A398" s="55"/>
      <c r="B398" s="6"/>
      <c r="C398" s="6"/>
      <c r="D398" s="40"/>
      <c r="E398" s="39"/>
      <c r="F398" s="35" t="str">
        <f aca="false">IF($B398="","",N($D398)/HORAS_MES*RECARGO_HE)</f>
        <v/>
      </c>
      <c r="G398" s="35" t="str">
        <f aca="false">IF($B398="","",N($E398)*$F398)</f>
        <v/>
      </c>
      <c r="H398" s="40"/>
      <c r="I398" s="35" t="str">
        <f aca="false">IF($B398="","",N($D398)+$G398+N($H398))</f>
        <v/>
      </c>
      <c r="J398" s="35" t="str">
        <f aca="false">IF($B398="","",$I398*CCSS_OBRERO)</f>
        <v/>
      </c>
      <c r="K398" s="40"/>
      <c r="L398" s="35" t="str">
        <f aca="false">IF($B398="","",$I398-$J398-N($K398))</f>
        <v/>
      </c>
      <c r="M398" s="35" t="str">
        <f aca="false">IF($B398="","",$I398*CCSS_PATRONAL)</f>
        <v/>
      </c>
      <c r="N398" s="35" t="str">
        <f aca="false">IF($B398="","",$I398*INS_RT)</f>
        <v/>
      </c>
      <c r="O398" s="35" t="str">
        <f aca="false">IF($B398="","",$I398*PROV_AGUINALDO)</f>
        <v/>
      </c>
      <c r="P398" s="35" t="str">
        <f aca="false">IF($B398="","",$I398*PROV_VACACIONES)</f>
        <v/>
      </c>
      <c r="Q398" s="35" t="str">
        <f aca="false">IF($B398="","",$I398*PROV_CESANTIA)</f>
        <v/>
      </c>
      <c r="R398" s="35" t="str">
        <f aca="false">IF($B398="","",$I398+SUM($M398:$Q398))</f>
        <v/>
      </c>
      <c r="S398" s="46" t="str">
        <f aca="false">IF(OR($A398="",$B398=""),"",DATE(YEAR($A398),MONTH($A398),1))</f>
        <v/>
      </c>
    </row>
    <row r="399" customFormat="false" ht="15" hidden="false" customHeight="false" outlineLevel="0" collapsed="false">
      <c r="A399" s="55"/>
      <c r="B399" s="6"/>
      <c r="C399" s="6"/>
      <c r="D399" s="40"/>
      <c r="E399" s="39"/>
      <c r="F399" s="35" t="str">
        <f aca="false">IF($B399="","",N($D399)/HORAS_MES*RECARGO_HE)</f>
        <v/>
      </c>
      <c r="G399" s="35" t="str">
        <f aca="false">IF($B399="","",N($E399)*$F399)</f>
        <v/>
      </c>
      <c r="H399" s="40"/>
      <c r="I399" s="35" t="str">
        <f aca="false">IF($B399="","",N($D399)+$G399+N($H399))</f>
        <v/>
      </c>
      <c r="J399" s="35" t="str">
        <f aca="false">IF($B399="","",$I399*CCSS_OBRERO)</f>
        <v/>
      </c>
      <c r="K399" s="40"/>
      <c r="L399" s="35" t="str">
        <f aca="false">IF($B399="","",$I399-$J399-N($K399))</f>
        <v/>
      </c>
      <c r="M399" s="35" t="str">
        <f aca="false">IF($B399="","",$I399*CCSS_PATRONAL)</f>
        <v/>
      </c>
      <c r="N399" s="35" t="str">
        <f aca="false">IF($B399="","",$I399*INS_RT)</f>
        <v/>
      </c>
      <c r="O399" s="35" t="str">
        <f aca="false">IF($B399="","",$I399*PROV_AGUINALDO)</f>
        <v/>
      </c>
      <c r="P399" s="35" t="str">
        <f aca="false">IF($B399="","",$I399*PROV_VACACIONES)</f>
        <v/>
      </c>
      <c r="Q399" s="35" t="str">
        <f aca="false">IF($B399="","",$I399*PROV_CESANTIA)</f>
        <v/>
      </c>
      <c r="R399" s="35" t="str">
        <f aca="false">IF($B399="","",$I399+SUM($M399:$Q399))</f>
        <v/>
      </c>
      <c r="S399" s="46" t="str">
        <f aca="false">IF(OR($A399="",$B399=""),"",DATE(YEAR($A399),MONTH($A399),1))</f>
        <v/>
      </c>
    </row>
    <row r="400" customFormat="false" ht="15" hidden="false" customHeight="false" outlineLevel="0" collapsed="false">
      <c r="A400" s="55"/>
      <c r="B400" s="6"/>
      <c r="C400" s="6"/>
      <c r="D400" s="40"/>
      <c r="E400" s="39"/>
      <c r="F400" s="35" t="str">
        <f aca="false">IF($B400="","",N($D400)/HORAS_MES*RECARGO_HE)</f>
        <v/>
      </c>
      <c r="G400" s="35" t="str">
        <f aca="false">IF($B400="","",N($E400)*$F400)</f>
        <v/>
      </c>
      <c r="H400" s="40"/>
      <c r="I400" s="35" t="str">
        <f aca="false">IF($B400="","",N($D400)+$G400+N($H400))</f>
        <v/>
      </c>
      <c r="J400" s="35" t="str">
        <f aca="false">IF($B400="","",$I400*CCSS_OBRERO)</f>
        <v/>
      </c>
      <c r="K400" s="40"/>
      <c r="L400" s="35" t="str">
        <f aca="false">IF($B400="","",$I400-$J400-N($K400))</f>
        <v/>
      </c>
      <c r="M400" s="35" t="str">
        <f aca="false">IF($B400="","",$I400*CCSS_PATRONAL)</f>
        <v/>
      </c>
      <c r="N400" s="35" t="str">
        <f aca="false">IF($B400="","",$I400*INS_RT)</f>
        <v/>
      </c>
      <c r="O400" s="35" t="str">
        <f aca="false">IF($B400="","",$I400*PROV_AGUINALDO)</f>
        <v/>
      </c>
      <c r="P400" s="35" t="str">
        <f aca="false">IF($B400="","",$I400*PROV_VACACIONES)</f>
        <v/>
      </c>
      <c r="Q400" s="35" t="str">
        <f aca="false">IF($B400="","",$I400*PROV_CESANTIA)</f>
        <v/>
      </c>
      <c r="R400" s="35" t="str">
        <f aca="false">IF($B400="","",$I400+SUM($M400:$Q400))</f>
        <v/>
      </c>
      <c r="S400" s="46" t="str">
        <f aca="false">IF(OR($A400="",$B400=""),"",DATE(YEAR($A400),MONTH($A400),1))</f>
        <v/>
      </c>
    </row>
    <row r="401" customFormat="false" ht="15" hidden="false" customHeight="false" outlineLevel="0" collapsed="false">
      <c r="A401" s="55"/>
      <c r="B401" s="6"/>
      <c r="C401" s="6"/>
      <c r="D401" s="40"/>
      <c r="E401" s="39"/>
      <c r="F401" s="35" t="str">
        <f aca="false">IF($B401="","",N($D401)/HORAS_MES*RECARGO_HE)</f>
        <v/>
      </c>
      <c r="G401" s="35" t="str">
        <f aca="false">IF($B401="","",N($E401)*$F401)</f>
        <v/>
      </c>
      <c r="H401" s="40"/>
      <c r="I401" s="35" t="str">
        <f aca="false">IF($B401="","",N($D401)+$G401+N($H401))</f>
        <v/>
      </c>
      <c r="J401" s="35" t="str">
        <f aca="false">IF($B401="","",$I401*CCSS_OBRERO)</f>
        <v/>
      </c>
      <c r="K401" s="40"/>
      <c r="L401" s="35" t="str">
        <f aca="false">IF($B401="","",$I401-$J401-N($K401))</f>
        <v/>
      </c>
      <c r="M401" s="35" t="str">
        <f aca="false">IF($B401="","",$I401*CCSS_PATRONAL)</f>
        <v/>
      </c>
      <c r="N401" s="35" t="str">
        <f aca="false">IF($B401="","",$I401*INS_RT)</f>
        <v/>
      </c>
      <c r="O401" s="35" t="str">
        <f aca="false">IF($B401="","",$I401*PROV_AGUINALDO)</f>
        <v/>
      </c>
      <c r="P401" s="35" t="str">
        <f aca="false">IF($B401="","",$I401*PROV_VACACIONES)</f>
        <v/>
      </c>
      <c r="Q401" s="35" t="str">
        <f aca="false">IF($B401="","",$I401*PROV_CESANTIA)</f>
        <v/>
      </c>
      <c r="R401" s="35" t="str">
        <f aca="false">IF($B401="","",$I401+SUM($M401:$Q401))</f>
        <v/>
      </c>
      <c r="S401" s="46" t="str">
        <f aca="false">IF(OR($A401="",$B401=""),"",DATE(YEAR($A401),MONTH($A401),1))</f>
        <v/>
      </c>
    </row>
    <row r="402" customFormat="false" ht="15" hidden="false" customHeight="false" outlineLevel="0" collapsed="false">
      <c r="A402" s="55"/>
      <c r="B402" s="6"/>
      <c r="C402" s="6"/>
      <c r="D402" s="40"/>
      <c r="E402" s="39"/>
      <c r="F402" s="35" t="str">
        <f aca="false">IF($B402="","",N($D402)/HORAS_MES*RECARGO_HE)</f>
        <v/>
      </c>
      <c r="G402" s="35" t="str">
        <f aca="false">IF($B402="","",N($E402)*$F402)</f>
        <v/>
      </c>
      <c r="H402" s="40"/>
      <c r="I402" s="35" t="str">
        <f aca="false">IF($B402="","",N($D402)+$G402+N($H402))</f>
        <v/>
      </c>
      <c r="J402" s="35" t="str">
        <f aca="false">IF($B402="","",$I402*CCSS_OBRERO)</f>
        <v/>
      </c>
      <c r="K402" s="40"/>
      <c r="L402" s="35" t="str">
        <f aca="false">IF($B402="","",$I402-$J402-N($K402))</f>
        <v/>
      </c>
      <c r="M402" s="35" t="str">
        <f aca="false">IF($B402="","",$I402*CCSS_PATRONAL)</f>
        <v/>
      </c>
      <c r="N402" s="35" t="str">
        <f aca="false">IF($B402="","",$I402*INS_RT)</f>
        <v/>
      </c>
      <c r="O402" s="35" t="str">
        <f aca="false">IF($B402="","",$I402*PROV_AGUINALDO)</f>
        <v/>
      </c>
      <c r="P402" s="35" t="str">
        <f aca="false">IF($B402="","",$I402*PROV_VACACIONES)</f>
        <v/>
      </c>
      <c r="Q402" s="35" t="str">
        <f aca="false">IF($B402="","",$I402*PROV_CESANTIA)</f>
        <v/>
      </c>
      <c r="R402" s="35" t="str">
        <f aca="false">IF($B402="","",$I402+SUM($M402:$Q402))</f>
        <v/>
      </c>
      <c r="S402" s="46" t="str">
        <f aca="false">IF(OR($A402="",$B402=""),"",DATE(YEAR($A402),MONTH($A402),1))</f>
        <v/>
      </c>
    </row>
    <row r="403" customFormat="false" ht="15" hidden="false" customHeight="false" outlineLevel="0" collapsed="false">
      <c r="A403" s="55"/>
      <c r="B403" s="6"/>
      <c r="C403" s="6"/>
      <c r="D403" s="40"/>
      <c r="E403" s="39"/>
      <c r="F403" s="35" t="str">
        <f aca="false">IF($B403="","",N($D403)/HORAS_MES*RECARGO_HE)</f>
        <v/>
      </c>
      <c r="G403" s="35" t="str">
        <f aca="false">IF($B403="","",N($E403)*$F403)</f>
        <v/>
      </c>
      <c r="H403" s="40"/>
      <c r="I403" s="35" t="str">
        <f aca="false">IF($B403="","",N($D403)+$G403+N($H403))</f>
        <v/>
      </c>
      <c r="J403" s="35" t="str">
        <f aca="false">IF($B403="","",$I403*CCSS_OBRERO)</f>
        <v/>
      </c>
      <c r="K403" s="40"/>
      <c r="L403" s="35" t="str">
        <f aca="false">IF($B403="","",$I403-$J403-N($K403))</f>
        <v/>
      </c>
      <c r="M403" s="35" t="str">
        <f aca="false">IF($B403="","",$I403*CCSS_PATRONAL)</f>
        <v/>
      </c>
      <c r="N403" s="35" t="str">
        <f aca="false">IF($B403="","",$I403*INS_RT)</f>
        <v/>
      </c>
      <c r="O403" s="35" t="str">
        <f aca="false">IF($B403="","",$I403*PROV_AGUINALDO)</f>
        <v/>
      </c>
      <c r="P403" s="35" t="str">
        <f aca="false">IF($B403="","",$I403*PROV_VACACIONES)</f>
        <v/>
      </c>
      <c r="Q403" s="35" t="str">
        <f aca="false">IF($B403="","",$I403*PROV_CESANTIA)</f>
        <v/>
      </c>
      <c r="R403" s="35" t="str">
        <f aca="false">IF($B403="","",$I403+SUM($M403:$Q403))</f>
        <v/>
      </c>
      <c r="S403" s="46" t="str">
        <f aca="false">IF(OR($A403="",$B403=""),"",DATE(YEAR($A403),MONTH($A403),1))</f>
        <v/>
      </c>
    </row>
    <row r="404" customFormat="false" ht="15" hidden="false" customHeight="false" outlineLevel="0" collapsed="false">
      <c r="A404" s="55"/>
      <c r="B404" s="6"/>
      <c r="C404" s="6"/>
      <c r="D404" s="40"/>
      <c r="E404" s="39"/>
      <c r="F404" s="35" t="str">
        <f aca="false">IF($B404="","",N($D404)/HORAS_MES*RECARGO_HE)</f>
        <v/>
      </c>
      <c r="G404" s="35" t="str">
        <f aca="false">IF($B404="","",N($E404)*$F404)</f>
        <v/>
      </c>
      <c r="H404" s="40"/>
      <c r="I404" s="35" t="str">
        <f aca="false">IF($B404="","",N($D404)+$G404+N($H404))</f>
        <v/>
      </c>
      <c r="J404" s="35" t="str">
        <f aca="false">IF($B404="","",$I404*CCSS_OBRERO)</f>
        <v/>
      </c>
      <c r="K404" s="40"/>
      <c r="L404" s="35" t="str">
        <f aca="false">IF($B404="","",$I404-$J404-N($K404))</f>
        <v/>
      </c>
      <c r="M404" s="35" t="str">
        <f aca="false">IF($B404="","",$I404*CCSS_PATRONAL)</f>
        <v/>
      </c>
      <c r="N404" s="35" t="str">
        <f aca="false">IF($B404="","",$I404*INS_RT)</f>
        <v/>
      </c>
      <c r="O404" s="35" t="str">
        <f aca="false">IF($B404="","",$I404*PROV_AGUINALDO)</f>
        <v/>
      </c>
      <c r="P404" s="35" t="str">
        <f aca="false">IF($B404="","",$I404*PROV_VACACIONES)</f>
        <v/>
      </c>
      <c r="Q404" s="35" t="str">
        <f aca="false">IF($B404="","",$I404*PROV_CESANTIA)</f>
        <v/>
      </c>
      <c r="R404" s="35" t="str">
        <f aca="false">IF($B404="","",$I404+SUM($M404:$Q404))</f>
        <v/>
      </c>
      <c r="S404" s="46" t="str">
        <f aca="false">IF(OR($A404="",$B404=""),"",DATE(YEAR($A404),MONTH($A404),1))</f>
        <v/>
      </c>
    </row>
    <row r="405" customFormat="false" ht="15" hidden="false" customHeight="false" outlineLevel="0" collapsed="false">
      <c r="A405" s="55"/>
      <c r="B405" s="6"/>
      <c r="C405" s="6"/>
      <c r="D405" s="40"/>
      <c r="E405" s="39"/>
      <c r="F405" s="35" t="str">
        <f aca="false">IF($B405="","",N($D405)/HORAS_MES*RECARGO_HE)</f>
        <v/>
      </c>
      <c r="G405" s="35" t="str">
        <f aca="false">IF($B405="","",N($E405)*$F405)</f>
        <v/>
      </c>
      <c r="H405" s="40"/>
      <c r="I405" s="35" t="str">
        <f aca="false">IF($B405="","",N($D405)+$G405+N($H405))</f>
        <v/>
      </c>
      <c r="J405" s="35" t="str">
        <f aca="false">IF($B405="","",$I405*CCSS_OBRERO)</f>
        <v/>
      </c>
      <c r="K405" s="40"/>
      <c r="L405" s="35" t="str">
        <f aca="false">IF($B405="","",$I405-$J405-N($K405))</f>
        <v/>
      </c>
      <c r="M405" s="35" t="str">
        <f aca="false">IF($B405="","",$I405*CCSS_PATRONAL)</f>
        <v/>
      </c>
      <c r="N405" s="35" t="str">
        <f aca="false">IF($B405="","",$I405*INS_RT)</f>
        <v/>
      </c>
      <c r="O405" s="35" t="str">
        <f aca="false">IF($B405="","",$I405*PROV_AGUINALDO)</f>
        <v/>
      </c>
      <c r="P405" s="35" t="str">
        <f aca="false">IF($B405="","",$I405*PROV_VACACIONES)</f>
        <v/>
      </c>
      <c r="Q405" s="35" t="str">
        <f aca="false">IF($B405="","",$I405*PROV_CESANTIA)</f>
        <v/>
      </c>
      <c r="R405" s="35" t="str">
        <f aca="false">IF($B405="","",$I405+SUM($M405:$Q405))</f>
        <v/>
      </c>
      <c r="S405" s="46" t="str">
        <f aca="false">IF(OR($A405="",$B405=""),"",DATE(YEAR($A405),MONTH($A405),1))</f>
        <v/>
      </c>
    </row>
    <row r="406" customFormat="false" ht="15" hidden="false" customHeight="false" outlineLevel="0" collapsed="false">
      <c r="A406" s="55"/>
      <c r="B406" s="6"/>
      <c r="C406" s="6"/>
      <c r="D406" s="40"/>
      <c r="E406" s="39"/>
      <c r="F406" s="35" t="str">
        <f aca="false">IF($B406="","",N($D406)/HORAS_MES*RECARGO_HE)</f>
        <v/>
      </c>
      <c r="G406" s="35" t="str">
        <f aca="false">IF($B406="","",N($E406)*$F406)</f>
        <v/>
      </c>
      <c r="H406" s="40"/>
      <c r="I406" s="35" t="str">
        <f aca="false">IF($B406="","",N($D406)+$G406+N($H406))</f>
        <v/>
      </c>
      <c r="J406" s="35" t="str">
        <f aca="false">IF($B406="","",$I406*CCSS_OBRERO)</f>
        <v/>
      </c>
      <c r="K406" s="40"/>
      <c r="L406" s="35" t="str">
        <f aca="false">IF($B406="","",$I406-$J406-N($K406))</f>
        <v/>
      </c>
      <c r="M406" s="35" t="str">
        <f aca="false">IF($B406="","",$I406*CCSS_PATRONAL)</f>
        <v/>
      </c>
      <c r="N406" s="35" t="str">
        <f aca="false">IF($B406="","",$I406*INS_RT)</f>
        <v/>
      </c>
      <c r="O406" s="35" t="str">
        <f aca="false">IF($B406="","",$I406*PROV_AGUINALDO)</f>
        <v/>
      </c>
      <c r="P406" s="35" t="str">
        <f aca="false">IF($B406="","",$I406*PROV_VACACIONES)</f>
        <v/>
      </c>
      <c r="Q406" s="35" t="str">
        <f aca="false">IF($B406="","",$I406*PROV_CESANTIA)</f>
        <v/>
      </c>
      <c r="R406" s="35" t="str">
        <f aca="false">IF($B406="","",$I406+SUM($M406:$Q406))</f>
        <v/>
      </c>
      <c r="S406" s="46" t="str">
        <f aca="false">IF(OR($A406="",$B406=""),"",DATE(YEAR($A406),MONTH($A406),1))</f>
        <v/>
      </c>
    </row>
    <row r="407" customFormat="false" ht="15" hidden="false" customHeight="false" outlineLevel="0" collapsed="false">
      <c r="A407" s="55"/>
      <c r="B407" s="6"/>
      <c r="C407" s="6"/>
      <c r="D407" s="40"/>
      <c r="E407" s="39"/>
      <c r="F407" s="35" t="str">
        <f aca="false">IF($B407="","",N($D407)/HORAS_MES*RECARGO_HE)</f>
        <v/>
      </c>
      <c r="G407" s="35" t="str">
        <f aca="false">IF($B407="","",N($E407)*$F407)</f>
        <v/>
      </c>
      <c r="H407" s="40"/>
      <c r="I407" s="35" t="str">
        <f aca="false">IF($B407="","",N($D407)+$G407+N($H407))</f>
        <v/>
      </c>
      <c r="J407" s="35" t="str">
        <f aca="false">IF($B407="","",$I407*CCSS_OBRERO)</f>
        <v/>
      </c>
      <c r="K407" s="40"/>
      <c r="L407" s="35" t="str">
        <f aca="false">IF($B407="","",$I407-$J407-N($K407))</f>
        <v/>
      </c>
      <c r="M407" s="35" t="str">
        <f aca="false">IF($B407="","",$I407*CCSS_PATRONAL)</f>
        <v/>
      </c>
      <c r="N407" s="35" t="str">
        <f aca="false">IF($B407="","",$I407*INS_RT)</f>
        <v/>
      </c>
      <c r="O407" s="35" t="str">
        <f aca="false">IF($B407="","",$I407*PROV_AGUINALDO)</f>
        <v/>
      </c>
      <c r="P407" s="35" t="str">
        <f aca="false">IF($B407="","",$I407*PROV_VACACIONES)</f>
        <v/>
      </c>
      <c r="Q407" s="35" t="str">
        <f aca="false">IF($B407="","",$I407*PROV_CESANTIA)</f>
        <v/>
      </c>
      <c r="R407" s="35" t="str">
        <f aca="false">IF($B407="","",$I407+SUM($M407:$Q407))</f>
        <v/>
      </c>
      <c r="S407" s="46" t="str">
        <f aca="false">IF(OR($A407="",$B407=""),"",DATE(YEAR($A407),MONTH($A407),1))</f>
        <v/>
      </c>
    </row>
    <row r="408" customFormat="false" ht="15" hidden="false" customHeight="false" outlineLevel="0" collapsed="false">
      <c r="A408" s="55"/>
      <c r="B408" s="6"/>
      <c r="C408" s="6"/>
      <c r="D408" s="40"/>
      <c r="E408" s="39"/>
      <c r="F408" s="35" t="str">
        <f aca="false">IF($B408="","",N($D408)/HORAS_MES*RECARGO_HE)</f>
        <v/>
      </c>
      <c r="G408" s="35" t="str">
        <f aca="false">IF($B408="","",N($E408)*$F408)</f>
        <v/>
      </c>
      <c r="H408" s="40"/>
      <c r="I408" s="35" t="str">
        <f aca="false">IF($B408="","",N($D408)+$G408+N($H408))</f>
        <v/>
      </c>
      <c r="J408" s="35" t="str">
        <f aca="false">IF($B408="","",$I408*CCSS_OBRERO)</f>
        <v/>
      </c>
      <c r="K408" s="40"/>
      <c r="L408" s="35" t="str">
        <f aca="false">IF($B408="","",$I408-$J408-N($K408))</f>
        <v/>
      </c>
      <c r="M408" s="35" t="str">
        <f aca="false">IF($B408="","",$I408*CCSS_PATRONAL)</f>
        <v/>
      </c>
      <c r="N408" s="35" t="str">
        <f aca="false">IF($B408="","",$I408*INS_RT)</f>
        <v/>
      </c>
      <c r="O408" s="35" t="str">
        <f aca="false">IF($B408="","",$I408*PROV_AGUINALDO)</f>
        <v/>
      </c>
      <c r="P408" s="35" t="str">
        <f aca="false">IF($B408="","",$I408*PROV_VACACIONES)</f>
        <v/>
      </c>
      <c r="Q408" s="35" t="str">
        <f aca="false">IF($B408="","",$I408*PROV_CESANTIA)</f>
        <v/>
      </c>
      <c r="R408" s="35" t="str">
        <f aca="false">IF($B408="","",$I408+SUM($M408:$Q408))</f>
        <v/>
      </c>
      <c r="S408" s="46" t="str">
        <f aca="false">IF(OR($A408="",$B408=""),"",DATE(YEAR($A408),MONTH($A408),1))</f>
        <v/>
      </c>
    </row>
    <row r="409" customFormat="false" ht="15" hidden="false" customHeight="false" outlineLevel="0" collapsed="false">
      <c r="A409" s="55"/>
      <c r="B409" s="6"/>
      <c r="C409" s="6"/>
      <c r="D409" s="40"/>
      <c r="E409" s="39"/>
      <c r="F409" s="35" t="str">
        <f aca="false">IF($B409="","",N($D409)/HORAS_MES*RECARGO_HE)</f>
        <v/>
      </c>
      <c r="G409" s="35" t="str">
        <f aca="false">IF($B409="","",N($E409)*$F409)</f>
        <v/>
      </c>
      <c r="H409" s="40"/>
      <c r="I409" s="35" t="str">
        <f aca="false">IF($B409="","",N($D409)+$G409+N($H409))</f>
        <v/>
      </c>
      <c r="J409" s="35" t="str">
        <f aca="false">IF($B409="","",$I409*CCSS_OBRERO)</f>
        <v/>
      </c>
      <c r="K409" s="40"/>
      <c r="L409" s="35" t="str">
        <f aca="false">IF($B409="","",$I409-$J409-N($K409))</f>
        <v/>
      </c>
      <c r="M409" s="35" t="str">
        <f aca="false">IF($B409="","",$I409*CCSS_PATRONAL)</f>
        <v/>
      </c>
      <c r="N409" s="35" t="str">
        <f aca="false">IF($B409="","",$I409*INS_RT)</f>
        <v/>
      </c>
      <c r="O409" s="35" t="str">
        <f aca="false">IF($B409="","",$I409*PROV_AGUINALDO)</f>
        <v/>
      </c>
      <c r="P409" s="35" t="str">
        <f aca="false">IF($B409="","",$I409*PROV_VACACIONES)</f>
        <v/>
      </c>
      <c r="Q409" s="35" t="str">
        <f aca="false">IF($B409="","",$I409*PROV_CESANTIA)</f>
        <v/>
      </c>
      <c r="R409" s="35" t="str">
        <f aca="false">IF($B409="","",$I409+SUM($M409:$Q409))</f>
        <v/>
      </c>
      <c r="S409" s="46" t="str">
        <f aca="false">IF(OR($A409="",$B409=""),"",DATE(YEAR($A409),MONTH($A409),1))</f>
        <v/>
      </c>
    </row>
    <row r="410" customFormat="false" ht="15" hidden="false" customHeight="false" outlineLevel="0" collapsed="false">
      <c r="A410" s="55"/>
      <c r="B410" s="6"/>
      <c r="C410" s="6"/>
      <c r="D410" s="40"/>
      <c r="E410" s="39"/>
      <c r="F410" s="35" t="str">
        <f aca="false">IF($B410="","",N($D410)/HORAS_MES*RECARGO_HE)</f>
        <v/>
      </c>
      <c r="G410" s="35" t="str">
        <f aca="false">IF($B410="","",N($E410)*$F410)</f>
        <v/>
      </c>
      <c r="H410" s="40"/>
      <c r="I410" s="35" t="str">
        <f aca="false">IF($B410="","",N($D410)+$G410+N($H410))</f>
        <v/>
      </c>
      <c r="J410" s="35" t="str">
        <f aca="false">IF($B410="","",$I410*CCSS_OBRERO)</f>
        <v/>
      </c>
      <c r="K410" s="40"/>
      <c r="L410" s="35" t="str">
        <f aca="false">IF($B410="","",$I410-$J410-N($K410))</f>
        <v/>
      </c>
      <c r="M410" s="35" t="str">
        <f aca="false">IF($B410="","",$I410*CCSS_PATRONAL)</f>
        <v/>
      </c>
      <c r="N410" s="35" t="str">
        <f aca="false">IF($B410="","",$I410*INS_RT)</f>
        <v/>
      </c>
      <c r="O410" s="35" t="str">
        <f aca="false">IF($B410="","",$I410*PROV_AGUINALDO)</f>
        <v/>
      </c>
      <c r="P410" s="35" t="str">
        <f aca="false">IF($B410="","",$I410*PROV_VACACIONES)</f>
        <v/>
      </c>
      <c r="Q410" s="35" t="str">
        <f aca="false">IF($B410="","",$I410*PROV_CESANTIA)</f>
        <v/>
      </c>
      <c r="R410" s="35" t="str">
        <f aca="false">IF($B410="","",$I410+SUM($M410:$Q410))</f>
        <v/>
      </c>
      <c r="S410" s="46" t="str">
        <f aca="false">IF(OR($A410="",$B410=""),"",DATE(YEAR($A410),MONTH($A410),1))</f>
        <v/>
      </c>
    </row>
    <row r="411" customFormat="false" ht="15" hidden="false" customHeight="false" outlineLevel="0" collapsed="false">
      <c r="A411" s="55"/>
      <c r="B411" s="6"/>
      <c r="C411" s="6"/>
      <c r="D411" s="40"/>
      <c r="E411" s="39"/>
      <c r="F411" s="35" t="str">
        <f aca="false">IF($B411="","",N($D411)/HORAS_MES*RECARGO_HE)</f>
        <v/>
      </c>
      <c r="G411" s="35" t="str">
        <f aca="false">IF($B411="","",N($E411)*$F411)</f>
        <v/>
      </c>
      <c r="H411" s="40"/>
      <c r="I411" s="35" t="str">
        <f aca="false">IF($B411="","",N($D411)+$G411+N($H411))</f>
        <v/>
      </c>
      <c r="J411" s="35" t="str">
        <f aca="false">IF($B411="","",$I411*CCSS_OBRERO)</f>
        <v/>
      </c>
      <c r="K411" s="40"/>
      <c r="L411" s="35" t="str">
        <f aca="false">IF($B411="","",$I411-$J411-N($K411))</f>
        <v/>
      </c>
      <c r="M411" s="35" t="str">
        <f aca="false">IF($B411="","",$I411*CCSS_PATRONAL)</f>
        <v/>
      </c>
      <c r="N411" s="35" t="str">
        <f aca="false">IF($B411="","",$I411*INS_RT)</f>
        <v/>
      </c>
      <c r="O411" s="35" t="str">
        <f aca="false">IF($B411="","",$I411*PROV_AGUINALDO)</f>
        <v/>
      </c>
      <c r="P411" s="35" t="str">
        <f aca="false">IF($B411="","",$I411*PROV_VACACIONES)</f>
        <v/>
      </c>
      <c r="Q411" s="35" t="str">
        <f aca="false">IF($B411="","",$I411*PROV_CESANTIA)</f>
        <v/>
      </c>
      <c r="R411" s="35" t="str">
        <f aca="false">IF($B411="","",$I411+SUM($M411:$Q411))</f>
        <v/>
      </c>
      <c r="S411" s="46" t="str">
        <f aca="false">IF(OR($A411="",$B411=""),"",DATE(YEAR($A411),MONTH($A411),1))</f>
        <v/>
      </c>
    </row>
    <row r="412" customFormat="false" ht="15" hidden="false" customHeight="false" outlineLevel="0" collapsed="false">
      <c r="A412" s="55"/>
      <c r="B412" s="6"/>
      <c r="C412" s="6"/>
      <c r="D412" s="40"/>
      <c r="E412" s="39"/>
      <c r="F412" s="35" t="str">
        <f aca="false">IF($B412="","",N($D412)/HORAS_MES*RECARGO_HE)</f>
        <v/>
      </c>
      <c r="G412" s="35" t="str">
        <f aca="false">IF($B412="","",N($E412)*$F412)</f>
        <v/>
      </c>
      <c r="H412" s="40"/>
      <c r="I412" s="35" t="str">
        <f aca="false">IF($B412="","",N($D412)+$G412+N($H412))</f>
        <v/>
      </c>
      <c r="J412" s="35" t="str">
        <f aca="false">IF($B412="","",$I412*CCSS_OBRERO)</f>
        <v/>
      </c>
      <c r="K412" s="40"/>
      <c r="L412" s="35" t="str">
        <f aca="false">IF($B412="","",$I412-$J412-N($K412))</f>
        <v/>
      </c>
      <c r="M412" s="35" t="str">
        <f aca="false">IF($B412="","",$I412*CCSS_PATRONAL)</f>
        <v/>
      </c>
      <c r="N412" s="35" t="str">
        <f aca="false">IF($B412="","",$I412*INS_RT)</f>
        <v/>
      </c>
      <c r="O412" s="35" t="str">
        <f aca="false">IF($B412="","",$I412*PROV_AGUINALDO)</f>
        <v/>
      </c>
      <c r="P412" s="35" t="str">
        <f aca="false">IF($B412="","",$I412*PROV_VACACIONES)</f>
        <v/>
      </c>
      <c r="Q412" s="35" t="str">
        <f aca="false">IF($B412="","",$I412*PROV_CESANTIA)</f>
        <v/>
      </c>
      <c r="R412" s="35" t="str">
        <f aca="false">IF($B412="","",$I412+SUM($M412:$Q412))</f>
        <v/>
      </c>
      <c r="S412" s="46" t="str">
        <f aca="false">IF(OR($A412="",$B412=""),"",DATE(YEAR($A412),MONTH($A412),1))</f>
        <v/>
      </c>
    </row>
    <row r="413" customFormat="false" ht="15" hidden="false" customHeight="false" outlineLevel="0" collapsed="false">
      <c r="A413" s="55"/>
      <c r="B413" s="6"/>
      <c r="C413" s="6"/>
      <c r="D413" s="40"/>
      <c r="E413" s="39"/>
      <c r="F413" s="35" t="str">
        <f aca="false">IF($B413="","",N($D413)/HORAS_MES*RECARGO_HE)</f>
        <v/>
      </c>
      <c r="G413" s="35" t="str">
        <f aca="false">IF($B413="","",N($E413)*$F413)</f>
        <v/>
      </c>
      <c r="H413" s="40"/>
      <c r="I413" s="35" t="str">
        <f aca="false">IF($B413="","",N($D413)+$G413+N($H413))</f>
        <v/>
      </c>
      <c r="J413" s="35" t="str">
        <f aca="false">IF($B413="","",$I413*CCSS_OBRERO)</f>
        <v/>
      </c>
      <c r="K413" s="40"/>
      <c r="L413" s="35" t="str">
        <f aca="false">IF($B413="","",$I413-$J413-N($K413))</f>
        <v/>
      </c>
      <c r="M413" s="35" t="str">
        <f aca="false">IF($B413="","",$I413*CCSS_PATRONAL)</f>
        <v/>
      </c>
      <c r="N413" s="35" t="str">
        <f aca="false">IF($B413="","",$I413*INS_RT)</f>
        <v/>
      </c>
      <c r="O413" s="35" t="str">
        <f aca="false">IF($B413="","",$I413*PROV_AGUINALDO)</f>
        <v/>
      </c>
      <c r="P413" s="35" t="str">
        <f aca="false">IF($B413="","",$I413*PROV_VACACIONES)</f>
        <v/>
      </c>
      <c r="Q413" s="35" t="str">
        <f aca="false">IF($B413="","",$I413*PROV_CESANTIA)</f>
        <v/>
      </c>
      <c r="R413" s="35" t="str">
        <f aca="false">IF($B413="","",$I413+SUM($M413:$Q413))</f>
        <v/>
      </c>
      <c r="S413" s="46" t="str">
        <f aca="false">IF(OR($A413="",$B413=""),"",DATE(YEAR($A413),MONTH($A413),1))</f>
        <v/>
      </c>
    </row>
    <row r="414" customFormat="false" ht="15" hidden="false" customHeight="false" outlineLevel="0" collapsed="false">
      <c r="A414" s="55"/>
      <c r="B414" s="6"/>
      <c r="C414" s="6"/>
      <c r="D414" s="40"/>
      <c r="E414" s="39"/>
      <c r="F414" s="35" t="str">
        <f aca="false">IF($B414="","",N($D414)/HORAS_MES*RECARGO_HE)</f>
        <v/>
      </c>
      <c r="G414" s="35" t="str">
        <f aca="false">IF($B414="","",N($E414)*$F414)</f>
        <v/>
      </c>
      <c r="H414" s="40"/>
      <c r="I414" s="35" t="str">
        <f aca="false">IF($B414="","",N($D414)+$G414+N($H414))</f>
        <v/>
      </c>
      <c r="J414" s="35" t="str">
        <f aca="false">IF($B414="","",$I414*CCSS_OBRERO)</f>
        <v/>
      </c>
      <c r="K414" s="40"/>
      <c r="L414" s="35" t="str">
        <f aca="false">IF($B414="","",$I414-$J414-N($K414))</f>
        <v/>
      </c>
      <c r="M414" s="35" t="str">
        <f aca="false">IF($B414="","",$I414*CCSS_PATRONAL)</f>
        <v/>
      </c>
      <c r="N414" s="35" t="str">
        <f aca="false">IF($B414="","",$I414*INS_RT)</f>
        <v/>
      </c>
      <c r="O414" s="35" t="str">
        <f aca="false">IF($B414="","",$I414*PROV_AGUINALDO)</f>
        <v/>
      </c>
      <c r="P414" s="35" t="str">
        <f aca="false">IF($B414="","",$I414*PROV_VACACIONES)</f>
        <v/>
      </c>
      <c r="Q414" s="35" t="str">
        <f aca="false">IF($B414="","",$I414*PROV_CESANTIA)</f>
        <v/>
      </c>
      <c r="R414" s="35" t="str">
        <f aca="false">IF($B414="","",$I414+SUM($M414:$Q414))</f>
        <v/>
      </c>
      <c r="S414" s="46" t="str">
        <f aca="false">IF(OR($A414="",$B414=""),"",DATE(YEAR($A414),MONTH($A414),1))</f>
        <v/>
      </c>
    </row>
    <row r="415" customFormat="false" ht="15" hidden="false" customHeight="false" outlineLevel="0" collapsed="false">
      <c r="A415" s="55"/>
      <c r="B415" s="6"/>
      <c r="C415" s="6"/>
      <c r="D415" s="40"/>
      <c r="E415" s="39"/>
      <c r="F415" s="35" t="str">
        <f aca="false">IF($B415="","",N($D415)/HORAS_MES*RECARGO_HE)</f>
        <v/>
      </c>
      <c r="G415" s="35" t="str">
        <f aca="false">IF($B415="","",N($E415)*$F415)</f>
        <v/>
      </c>
      <c r="H415" s="40"/>
      <c r="I415" s="35" t="str">
        <f aca="false">IF($B415="","",N($D415)+$G415+N($H415))</f>
        <v/>
      </c>
      <c r="J415" s="35" t="str">
        <f aca="false">IF($B415="","",$I415*CCSS_OBRERO)</f>
        <v/>
      </c>
      <c r="K415" s="40"/>
      <c r="L415" s="35" t="str">
        <f aca="false">IF($B415="","",$I415-$J415-N($K415))</f>
        <v/>
      </c>
      <c r="M415" s="35" t="str">
        <f aca="false">IF($B415="","",$I415*CCSS_PATRONAL)</f>
        <v/>
      </c>
      <c r="N415" s="35" t="str">
        <f aca="false">IF($B415="","",$I415*INS_RT)</f>
        <v/>
      </c>
      <c r="O415" s="35" t="str">
        <f aca="false">IF($B415="","",$I415*PROV_AGUINALDO)</f>
        <v/>
      </c>
      <c r="P415" s="35" t="str">
        <f aca="false">IF($B415="","",$I415*PROV_VACACIONES)</f>
        <v/>
      </c>
      <c r="Q415" s="35" t="str">
        <f aca="false">IF($B415="","",$I415*PROV_CESANTIA)</f>
        <v/>
      </c>
      <c r="R415" s="35" t="str">
        <f aca="false">IF($B415="","",$I415+SUM($M415:$Q415))</f>
        <v/>
      </c>
      <c r="S415" s="46" t="str">
        <f aca="false">IF(OR($A415="",$B415=""),"",DATE(YEAR($A415),MONTH($A415),1))</f>
        <v/>
      </c>
    </row>
    <row r="416" customFormat="false" ht="15" hidden="false" customHeight="false" outlineLevel="0" collapsed="false">
      <c r="A416" s="55"/>
      <c r="B416" s="6"/>
      <c r="C416" s="6"/>
      <c r="D416" s="40"/>
      <c r="E416" s="39"/>
      <c r="F416" s="35" t="str">
        <f aca="false">IF($B416="","",N($D416)/HORAS_MES*RECARGO_HE)</f>
        <v/>
      </c>
      <c r="G416" s="35" t="str">
        <f aca="false">IF($B416="","",N($E416)*$F416)</f>
        <v/>
      </c>
      <c r="H416" s="40"/>
      <c r="I416" s="35" t="str">
        <f aca="false">IF($B416="","",N($D416)+$G416+N($H416))</f>
        <v/>
      </c>
      <c r="J416" s="35" t="str">
        <f aca="false">IF($B416="","",$I416*CCSS_OBRERO)</f>
        <v/>
      </c>
      <c r="K416" s="40"/>
      <c r="L416" s="35" t="str">
        <f aca="false">IF($B416="","",$I416-$J416-N($K416))</f>
        <v/>
      </c>
      <c r="M416" s="35" t="str">
        <f aca="false">IF($B416="","",$I416*CCSS_PATRONAL)</f>
        <v/>
      </c>
      <c r="N416" s="35" t="str">
        <f aca="false">IF($B416="","",$I416*INS_RT)</f>
        <v/>
      </c>
      <c r="O416" s="35" t="str">
        <f aca="false">IF($B416="","",$I416*PROV_AGUINALDO)</f>
        <v/>
      </c>
      <c r="P416" s="35" t="str">
        <f aca="false">IF($B416="","",$I416*PROV_VACACIONES)</f>
        <v/>
      </c>
      <c r="Q416" s="35" t="str">
        <f aca="false">IF($B416="","",$I416*PROV_CESANTIA)</f>
        <v/>
      </c>
      <c r="R416" s="35" t="str">
        <f aca="false">IF($B416="","",$I416+SUM($M416:$Q416))</f>
        <v/>
      </c>
      <c r="S416" s="46" t="str">
        <f aca="false">IF(OR($A416="",$B416=""),"",DATE(YEAR($A416),MONTH($A416),1))</f>
        <v/>
      </c>
    </row>
    <row r="417" customFormat="false" ht="15" hidden="false" customHeight="false" outlineLevel="0" collapsed="false">
      <c r="A417" s="55"/>
      <c r="B417" s="6"/>
      <c r="C417" s="6"/>
      <c r="D417" s="40"/>
      <c r="E417" s="39"/>
      <c r="F417" s="35" t="str">
        <f aca="false">IF($B417="","",N($D417)/HORAS_MES*RECARGO_HE)</f>
        <v/>
      </c>
      <c r="G417" s="35" t="str">
        <f aca="false">IF($B417="","",N($E417)*$F417)</f>
        <v/>
      </c>
      <c r="H417" s="40"/>
      <c r="I417" s="35" t="str">
        <f aca="false">IF($B417="","",N($D417)+$G417+N($H417))</f>
        <v/>
      </c>
      <c r="J417" s="35" t="str">
        <f aca="false">IF($B417="","",$I417*CCSS_OBRERO)</f>
        <v/>
      </c>
      <c r="K417" s="40"/>
      <c r="L417" s="35" t="str">
        <f aca="false">IF($B417="","",$I417-$J417-N($K417))</f>
        <v/>
      </c>
      <c r="M417" s="35" t="str">
        <f aca="false">IF($B417="","",$I417*CCSS_PATRONAL)</f>
        <v/>
      </c>
      <c r="N417" s="35" t="str">
        <f aca="false">IF($B417="","",$I417*INS_RT)</f>
        <v/>
      </c>
      <c r="O417" s="35" t="str">
        <f aca="false">IF($B417="","",$I417*PROV_AGUINALDO)</f>
        <v/>
      </c>
      <c r="P417" s="35" t="str">
        <f aca="false">IF($B417="","",$I417*PROV_VACACIONES)</f>
        <v/>
      </c>
      <c r="Q417" s="35" t="str">
        <f aca="false">IF($B417="","",$I417*PROV_CESANTIA)</f>
        <v/>
      </c>
      <c r="R417" s="35" t="str">
        <f aca="false">IF($B417="","",$I417+SUM($M417:$Q417))</f>
        <v/>
      </c>
      <c r="S417" s="46" t="str">
        <f aca="false">IF(OR($A417="",$B417=""),"",DATE(YEAR($A417),MONTH($A417),1))</f>
        <v/>
      </c>
    </row>
    <row r="418" customFormat="false" ht="15" hidden="false" customHeight="false" outlineLevel="0" collapsed="false">
      <c r="A418" s="55"/>
      <c r="B418" s="6"/>
      <c r="C418" s="6"/>
      <c r="D418" s="40"/>
      <c r="E418" s="39"/>
      <c r="F418" s="35" t="str">
        <f aca="false">IF($B418="","",N($D418)/HORAS_MES*RECARGO_HE)</f>
        <v/>
      </c>
      <c r="G418" s="35" t="str">
        <f aca="false">IF($B418="","",N($E418)*$F418)</f>
        <v/>
      </c>
      <c r="H418" s="40"/>
      <c r="I418" s="35" t="str">
        <f aca="false">IF($B418="","",N($D418)+$G418+N($H418))</f>
        <v/>
      </c>
      <c r="J418" s="35" t="str">
        <f aca="false">IF($B418="","",$I418*CCSS_OBRERO)</f>
        <v/>
      </c>
      <c r="K418" s="40"/>
      <c r="L418" s="35" t="str">
        <f aca="false">IF($B418="","",$I418-$J418-N($K418))</f>
        <v/>
      </c>
      <c r="M418" s="35" t="str">
        <f aca="false">IF($B418="","",$I418*CCSS_PATRONAL)</f>
        <v/>
      </c>
      <c r="N418" s="35" t="str">
        <f aca="false">IF($B418="","",$I418*INS_RT)</f>
        <v/>
      </c>
      <c r="O418" s="35" t="str">
        <f aca="false">IF($B418="","",$I418*PROV_AGUINALDO)</f>
        <v/>
      </c>
      <c r="P418" s="35" t="str">
        <f aca="false">IF($B418="","",$I418*PROV_VACACIONES)</f>
        <v/>
      </c>
      <c r="Q418" s="35" t="str">
        <f aca="false">IF($B418="","",$I418*PROV_CESANTIA)</f>
        <v/>
      </c>
      <c r="R418" s="35" t="str">
        <f aca="false">IF($B418="","",$I418+SUM($M418:$Q418))</f>
        <v/>
      </c>
      <c r="S418" s="46" t="str">
        <f aca="false">IF(OR($A418="",$B418=""),"",DATE(YEAR($A418),MONTH($A418),1))</f>
        <v/>
      </c>
    </row>
    <row r="419" customFormat="false" ht="15" hidden="false" customHeight="false" outlineLevel="0" collapsed="false">
      <c r="A419" s="55"/>
      <c r="B419" s="6"/>
      <c r="C419" s="6"/>
      <c r="D419" s="40"/>
      <c r="E419" s="39"/>
      <c r="F419" s="35" t="str">
        <f aca="false">IF($B419="","",N($D419)/HORAS_MES*RECARGO_HE)</f>
        <v/>
      </c>
      <c r="G419" s="35" t="str">
        <f aca="false">IF($B419="","",N($E419)*$F419)</f>
        <v/>
      </c>
      <c r="H419" s="40"/>
      <c r="I419" s="35" t="str">
        <f aca="false">IF($B419="","",N($D419)+$G419+N($H419))</f>
        <v/>
      </c>
      <c r="J419" s="35" t="str">
        <f aca="false">IF($B419="","",$I419*CCSS_OBRERO)</f>
        <v/>
      </c>
      <c r="K419" s="40"/>
      <c r="L419" s="35" t="str">
        <f aca="false">IF($B419="","",$I419-$J419-N($K419))</f>
        <v/>
      </c>
      <c r="M419" s="35" t="str">
        <f aca="false">IF($B419="","",$I419*CCSS_PATRONAL)</f>
        <v/>
      </c>
      <c r="N419" s="35" t="str">
        <f aca="false">IF($B419="","",$I419*INS_RT)</f>
        <v/>
      </c>
      <c r="O419" s="35" t="str">
        <f aca="false">IF($B419="","",$I419*PROV_AGUINALDO)</f>
        <v/>
      </c>
      <c r="P419" s="35" t="str">
        <f aca="false">IF($B419="","",$I419*PROV_VACACIONES)</f>
        <v/>
      </c>
      <c r="Q419" s="35" t="str">
        <f aca="false">IF($B419="","",$I419*PROV_CESANTIA)</f>
        <v/>
      </c>
      <c r="R419" s="35" t="str">
        <f aca="false">IF($B419="","",$I419+SUM($M419:$Q419))</f>
        <v/>
      </c>
      <c r="S419" s="46" t="str">
        <f aca="false">IF(OR($A419="",$B419=""),"",DATE(YEAR($A419),MONTH($A419),1))</f>
        <v/>
      </c>
    </row>
    <row r="420" customFormat="false" ht="15" hidden="false" customHeight="false" outlineLevel="0" collapsed="false">
      <c r="A420" s="55"/>
      <c r="B420" s="6"/>
      <c r="C420" s="6"/>
      <c r="D420" s="40"/>
      <c r="E420" s="39"/>
      <c r="F420" s="35" t="str">
        <f aca="false">IF($B420="","",N($D420)/HORAS_MES*RECARGO_HE)</f>
        <v/>
      </c>
      <c r="G420" s="35" t="str">
        <f aca="false">IF($B420="","",N($E420)*$F420)</f>
        <v/>
      </c>
      <c r="H420" s="40"/>
      <c r="I420" s="35" t="str">
        <f aca="false">IF($B420="","",N($D420)+$G420+N($H420))</f>
        <v/>
      </c>
      <c r="J420" s="35" t="str">
        <f aca="false">IF($B420="","",$I420*CCSS_OBRERO)</f>
        <v/>
      </c>
      <c r="K420" s="40"/>
      <c r="L420" s="35" t="str">
        <f aca="false">IF($B420="","",$I420-$J420-N($K420))</f>
        <v/>
      </c>
      <c r="M420" s="35" t="str">
        <f aca="false">IF($B420="","",$I420*CCSS_PATRONAL)</f>
        <v/>
      </c>
      <c r="N420" s="35" t="str">
        <f aca="false">IF($B420="","",$I420*INS_RT)</f>
        <v/>
      </c>
      <c r="O420" s="35" t="str">
        <f aca="false">IF($B420="","",$I420*PROV_AGUINALDO)</f>
        <v/>
      </c>
      <c r="P420" s="35" t="str">
        <f aca="false">IF($B420="","",$I420*PROV_VACACIONES)</f>
        <v/>
      </c>
      <c r="Q420" s="35" t="str">
        <f aca="false">IF($B420="","",$I420*PROV_CESANTIA)</f>
        <v/>
      </c>
      <c r="R420" s="35" t="str">
        <f aca="false">IF($B420="","",$I420+SUM($M420:$Q420))</f>
        <v/>
      </c>
      <c r="S420" s="46" t="str">
        <f aca="false">IF(OR($A420="",$B420=""),"",DATE(YEAR($A420),MONTH($A420),1))</f>
        <v/>
      </c>
    </row>
    <row r="421" customFormat="false" ht="15" hidden="false" customHeight="false" outlineLevel="0" collapsed="false">
      <c r="A421" s="55"/>
      <c r="B421" s="6"/>
      <c r="C421" s="6"/>
      <c r="D421" s="40"/>
      <c r="E421" s="39"/>
      <c r="F421" s="35" t="str">
        <f aca="false">IF($B421="","",N($D421)/HORAS_MES*RECARGO_HE)</f>
        <v/>
      </c>
      <c r="G421" s="35" t="str">
        <f aca="false">IF($B421="","",N($E421)*$F421)</f>
        <v/>
      </c>
      <c r="H421" s="40"/>
      <c r="I421" s="35" t="str">
        <f aca="false">IF($B421="","",N($D421)+$G421+N($H421))</f>
        <v/>
      </c>
      <c r="J421" s="35" t="str">
        <f aca="false">IF($B421="","",$I421*CCSS_OBRERO)</f>
        <v/>
      </c>
      <c r="K421" s="40"/>
      <c r="L421" s="35" t="str">
        <f aca="false">IF($B421="","",$I421-$J421-N($K421))</f>
        <v/>
      </c>
      <c r="M421" s="35" t="str">
        <f aca="false">IF($B421="","",$I421*CCSS_PATRONAL)</f>
        <v/>
      </c>
      <c r="N421" s="35" t="str">
        <f aca="false">IF($B421="","",$I421*INS_RT)</f>
        <v/>
      </c>
      <c r="O421" s="35" t="str">
        <f aca="false">IF($B421="","",$I421*PROV_AGUINALDO)</f>
        <v/>
      </c>
      <c r="P421" s="35" t="str">
        <f aca="false">IF($B421="","",$I421*PROV_VACACIONES)</f>
        <v/>
      </c>
      <c r="Q421" s="35" t="str">
        <f aca="false">IF($B421="","",$I421*PROV_CESANTIA)</f>
        <v/>
      </c>
      <c r="R421" s="35" t="str">
        <f aca="false">IF($B421="","",$I421+SUM($M421:$Q421))</f>
        <v/>
      </c>
      <c r="S421" s="46" t="str">
        <f aca="false">IF(OR($A421="",$B421=""),"",DATE(YEAR($A421),MONTH($A421),1))</f>
        <v/>
      </c>
    </row>
    <row r="422" customFormat="false" ht="15" hidden="false" customHeight="false" outlineLevel="0" collapsed="false">
      <c r="A422" s="55"/>
      <c r="B422" s="6"/>
      <c r="C422" s="6"/>
      <c r="D422" s="40"/>
      <c r="E422" s="39"/>
      <c r="F422" s="35" t="str">
        <f aca="false">IF($B422="","",N($D422)/HORAS_MES*RECARGO_HE)</f>
        <v/>
      </c>
      <c r="G422" s="35" t="str">
        <f aca="false">IF($B422="","",N($E422)*$F422)</f>
        <v/>
      </c>
      <c r="H422" s="40"/>
      <c r="I422" s="35" t="str">
        <f aca="false">IF($B422="","",N($D422)+$G422+N($H422))</f>
        <v/>
      </c>
      <c r="J422" s="35" t="str">
        <f aca="false">IF($B422="","",$I422*CCSS_OBRERO)</f>
        <v/>
      </c>
      <c r="K422" s="40"/>
      <c r="L422" s="35" t="str">
        <f aca="false">IF($B422="","",$I422-$J422-N($K422))</f>
        <v/>
      </c>
      <c r="M422" s="35" t="str">
        <f aca="false">IF($B422="","",$I422*CCSS_PATRONAL)</f>
        <v/>
      </c>
      <c r="N422" s="35" t="str">
        <f aca="false">IF($B422="","",$I422*INS_RT)</f>
        <v/>
      </c>
      <c r="O422" s="35" t="str">
        <f aca="false">IF($B422="","",$I422*PROV_AGUINALDO)</f>
        <v/>
      </c>
      <c r="P422" s="35" t="str">
        <f aca="false">IF($B422="","",$I422*PROV_VACACIONES)</f>
        <v/>
      </c>
      <c r="Q422" s="35" t="str">
        <f aca="false">IF($B422="","",$I422*PROV_CESANTIA)</f>
        <v/>
      </c>
      <c r="R422" s="35" t="str">
        <f aca="false">IF($B422="","",$I422+SUM($M422:$Q422))</f>
        <v/>
      </c>
      <c r="S422" s="46" t="str">
        <f aca="false">IF(OR($A422="",$B422=""),"",DATE(YEAR($A422),MONTH($A422),1))</f>
        <v/>
      </c>
    </row>
    <row r="423" customFormat="false" ht="15" hidden="false" customHeight="false" outlineLevel="0" collapsed="false">
      <c r="A423" s="55"/>
      <c r="B423" s="6"/>
      <c r="C423" s="6"/>
      <c r="D423" s="40"/>
      <c r="E423" s="39"/>
      <c r="F423" s="35" t="str">
        <f aca="false">IF($B423="","",N($D423)/HORAS_MES*RECARGO_HE)</f>
        <v/>
      </c>
      <c r="G423" s="35" t="str">
        <f aca="false">IF($B423="","",N($E423)*$F423)</f>
        <v/>
      </c>
      <c r="H423" s="40"/>
      <c r="I423" s="35" t="str">
        <f aca="false">IF($B423="","",N($D423)+$G423+N($H423))</f>
        <v/>
      </c>
      <c r="J423" s="35" t="str">
        <f aca="false">IF($B423="","",$I423*CCSS_OBRERO)</f>
        <v/>
      </c>
      <c r="K423" s="40"/>
      <c r="L423" s="35" t="str">
        <f aca="false">IF($B423="","",$I423-$J423-N($K423))</f>
        <v/>
      </c>
      <c r="M423" s="35" t="str">
        <f aca="false">IF($B423="","",$I423*CCSS_PATRONAL)</f>
        <v/>
      </c>
      <c r="N423" s="35" t="str">
        <f aca="false">IF($B423="","",$I423*INS_RT)</f>
        <v/>
      </c>
      <c r="O423" s="35" t="str">
        <f aca="false">IF($B423="","",$I423*PROV_AGUINALDO)</f>
        <v/>
      </c>
      <c r="P423" s="35" t="str">
        <f aca="false">IF($B423="","",$I423*PROV_VACACIONES)</f>
        <v/>
      </c>
      <c r="Q423" s="35" t="str">
        <f aca="false">IF($B423="","",$I423*PROV_CESANTIA)</f>
        <v/>
      </c>
      <c r="R423" s="35" t="str">
        <f aca="false">IF($B423="","",$I423+SUM($M423:$Q423))</f>
        <v/>
      </c>
      <c r="S423" s="46" t="str">
        <f aca="false">IF(OR($A423="",$B423=""),"",DATE(YEAR($A423),MONTH($A423),1))</f>
        <v/>
      </c>
    </row>
    <row r="424" customFormat="false" ht="15" hidden="false" customHeight="false" outlineLevel="0" collapsed="false">
      <c r="A424" s="55"/>
      <c r="B424" s="6"/>
      <c r="C424" s="6"/>
      <c r="D424" s="40"/>
      <c r="E424" s="39"/>
      <c r="F424" s="35" t="str">
        <f aca="false">IF($B424="","",N($D424)/HORAS_MES*RECARGO_HE)</f>
        <v/>
      </c>
      <c r="G424" s="35" t="str">
        <f aca="false">IF($B424="","",N($E424)*$F424)</f>
        <v/>
      </c>
      <c r="H424" s="40"/>
      <c r="I424" s="35" t="str">
        <f aca="false">IF($B424="","",N($D424)+$G424+N($H424))</f>
        <v/>
      </c>
      <c r="J424" s="35" t="str">
        <f aca="false">IF($B424="","",$I424*CCSS_OBRERO)</f>
        <v/>
      </c>
      <c r="K424" s="40"/>
      <c r="L424" s="35" t="str">
        <f aca="false">IF($B424="","",$I424-$J424-N($K424))</f>
        <v/>
      </c>
      <c r="M424" s="35" t="str">
        <f aca="false">IF($B424="","",$I424*CCSS_PATRONAL)</f>
        <v/>
      </c>
      <c r="N424" s="35" t="str">
        <f aca="false">IF($B424="","",$I424*INS_RT)</f>
        <v/>
      </c>
      <c r="O424" s="35" t="str">
        <f aca="false">IF($B424="","",$I424*PROV_AGUINALDO)</f>
        <v/>
      </c>
      <c r="P424" s="35" t="str">
        <f aca="false">IF($B424="","",$I424*PROV_VACACIONES)</f>
        <v/>
      </c>
      <c r="Q424" s="35" t="str">
        <f aca="false">IF($B424="","",$I424*PROV_CESANTIA)</f>
        <v/>
      </c>
      <c r="R424" s="35" t="str">
        <f aca="false">IF($B424="","",$I424+SUM($M424:$Q424))</f>
        <v/>
      </c>
      <c r="S424" s="46" t="str">
        <f aca="false">IF(OR($A424="",$B424=""),"",DATE(YEAR($A424),MONTH($A424),1))</f>
        <v/>
      </c>
    </row>
    <row r="425" customFormat="false" ht="15" hidden="false" customHeight="false" outlineLevel="0" collapsed="false">
      <c r="A425" s="55"/>
      <c r="B425" s="6"/>
      <c r="C425" s="6"/>
      <c r="D425" s="40"/>
      <c r="E425" s="39"/>
      <c r="F425" s="35" t="str">
        <f aca="false">IF($B425="","",N($D425)/HORAS_MES*RECARGO_HE)</f>
        <v/>
      </c>
      <c r="G425" s="35" t="str">
        <f aca="false">IF($B425="","",N($E425)*$F425)</f>
        <v/>
      </c>
      <c r="H425" s="40"/>
      <c r="I425" s="35" t="str">
        <f aca="false">IF($B425="","",N($D425)+$G425+N($H425))</f>
        <v/>
      </c>
      <c r="J425" s="35" t="str">
        <f aca="false">IF($B425="","",$I425*CCSS_OBRERO)</f>
        <v/>
      </c>
      <c r="K425" s="40"/>
      <c r="L425" s="35" t="str">
        <f aca="false">IF($B425="","",$I425-$J425-N($K425))</f>
        <v/>
      </c>
      <c r="M425" s="35" t="str">
        <f aca="false">IF($B425="","",$I425*CCSS_PATRONAL)</f>
        <v/>
      </c>
      <c r="N425" s="35" t="str">
        <f aca="false">IF($B425="","",$I425*INS_RT)</f>
        <v/>
      </c>
      <c r="O425" s="35" t="str">
        <f aca="false">IF($B425="","",$I425*PROV_AGUINALDO)</f>
        <v/>
      </c>
      <c r="P425" s="35" t="str">
        <f aca="false">IF($B425="","",$I425*PROV_VACACIONES)</f>
        <v/>
      </c>
      <c r="Q425" s="35" t="str">
        <f aca="false">IF($B425="","",$I425*PROV_CESANTIA)</f>
        <v/>
      </c>
      <c r="R425" s="35" t="str">
        <f aca="false">IF($B425="","",$I425+SUM($M425:$Q425))</f>
        <v/>
      </c>
      <c r="S425" s="46" t="str">
        <f aca="false">IF(OR($A425="",$B425=""),"",DATE(YEAR($A425),MONTH($A425),1))</f>
        <v/>
      </c>
    </row>
    <row r="426" customFormat="false" ht="15" hidden="false" customHeight="false" outlineLevel="0" collapsed="false">
      <c r="A426" s="55"/>
      <c r="B426" s="6"/>
      <c r="C426" s="6"/>
      <c r="D426" s="40"/>
      <c r="E426" s="39"/>
      <c r="F426" s="35" t="str">
        <f aca="false">IF($B426="","",N($D426)/HORAS_MES*RECARGO_HE)</f>
        <v/>
      </c>
      <c r="G426" s="35" t="str">
        <f aca="false">IF($B426="","",N($E426)*$F426)</f>
        <v/>
      </c>
      <c r="H426" s="40"/>
      <c r="I426" s="35" t="str">
        <f aca="false">IF($B426="","",N($D426)+$G426+N($H426))</f>
        <v/>
      </c>
      <c r="J426" s="35" t="str">
        <f aca="false">IF($B426="","",$I426*CCSS_OBRERO)</f>
        <v/>
      </c>
      <c r="K426" s="40"/>
      <c r="L426" s="35" t="str">
        <f aca="false">IF($B426="","",$I426-$J426-N($K426))</f>
        <v/>
      </c>
      <c r="M426" s="35" t="str">
        <f aca="false">IF($B426="","",$I426*CCSS_PATRONAL)</f>
        <v/>
      </c>
      <c r="N426" s="35" t="str">
        <f aca="false">IF($B426="","",$I426*INS_RT)</f>
        <v/>
      </c>
      <c r="O426" s="35" t="str">
        <f aca="false">IF($B426="","",$I426*PROV_AGUINALDO)</f>
        <v/>
      </c>
      <c r="P426" s="35" t="str">
        <f aca="false">IF($B426="","",$I426*PROV_VACACIONES)</f>
        <v/>
      </c>
      <c r="Q426" s="35" t="str">
        <f aca="false">IF($B426="","",$I426*PROV_CESANTIA)</f>
        <v/>
      </c>
      <c r="R426" s="35" t="str">
        <f aca="false">IF($B426="","",$I426+SUM($M426:$Q426))</f>
        <v/>
      </c>
      <c r="S426" s="46" t="str">
        <f aca="false">IF(OR($A426="",$B426=""),"",DATE(YEAR($A426),MONTH($A426),1))</f>
        <v/>
      </c>
    </row>
    <row r="427" customFormat="false" ht="15" hidden="false" customHeight="false" outlineLevel="0" collapsed="false">
      <c r="A427" s="55"/>
      <c r="B427" s="6"/>
      <c r="C427" s="6"/>
      <c r="D427" s="40"/>
      <c r="E427" s="39"/>
      <c r="F427" s="35" t="str">
        <f aca="false">IF($B427="","",N($D427)/HORAS_MES*RECARGO_HE)</f>
        <v/>
      </c>
      <c r="G427" s="35" t="str">
        <f aca="false">IF($B427="","",N($E427)*$F427)</f>
        <v/>
      </c>
      <c r="H427" s="40"/>
      <c r="I427" s="35" t="str">
        <f aca="false">IF($B427="","",N($D427)+$G427+N($H427))</f>
        <v/>
      </c>
      <c r="J427" s="35" t="str">
        <f aca="false">IF($B427="","",$I427*CCSS_OBRERO)</f>
        <v/>
      </c>
      <c r="K427" s="40"/>
      <c r="L427" s="35" t="str">
        <f aca="false">IF($B427="","",$I427-$J427-N($K427))</f>
        <v/>
      </c>
      <c r="M427" s="35" t="str">
        <f aca="false">IF($B427="","",$I427*CCSS_PATRONAL)</f>
        <v/>
      </c>
      <c r="N427" s="35" t="str">
        <f aca="false">IF($B427="","",$I427*INS_RT)</f>
        <v/>
      </c>
      <c r="O427" s="35" t="str">
        <f aca="false">IF($B427="","",$I427*PROV_AGUINALDO)</f>
        <v/>
      </c>
      <c r="P427" s="35" t="str">
        <f aca="false">IF($B427="","",$I427*PROV_VACACIONES)</f>
        <v/>
      </c>
      <c r="Q427" s="35" t="str">
        <f aca="false">IF($B427="","",$I427*PROV_CESANTIA)</f>
        <v/>
      </c>
      <c r="R427" s="35" t="str">
        <f aca="false">IF($B427="","",$I427+SUM($M427:$Q427))</f>
        <v/>
      </c>
      <c r="S427" s="46" t="str">
        <f aca="false">IF(OR($A427="",$B427=""),"",DATE(YEAR($A427),MONTH($A427),1))</f>
        <v/>
      </c>
    </row>
    <row r="428" customFormat="false" ht="15" hidden="false" customHeight="false" outlineLevel="0" collapsed="false">
      <c r="A428" s="55"/>
      <c r="B428" s="6"/>
      <c r="C428" s="6"/>
      <c r="D428" s="40"/>
      <c r="E428" s="39"/>
      <c r="F428" s="35" t="str">
        <f aca="false">IF($B428="","",N($D428)/HORAS_MES*RECARGO_HE)</f>
        <v/>
      </c>
      <c r="G428" s="35" t="str">
        <f aca="false">IF($B428="","",N($E428)*$F428)</f>
        <v/>
      </c>
      <c r="H428" s="40"/>
      <c r="I428" s="35" t="str">
        <f aca="false">IF($B428="","",N($D428)+$G428+N($H428))</f>
        <v/>
      </c>
      <c r="J428" s="35" t="str">
        <f aca="false">IF($B428="","",$I428*CCSS_OBRERO)</f>
        <v/>
      </c>
      <c r="K428" s="40"/>
      <c r="L428" s="35" t="str">
        <f aca="false">IF($B428="","",$I428-$J428-N($K428))</f>
        <v/>
      </c>
      <c r="M428" s="35" t="str">
        <f aca="false">IF($B428="","",$I428*CCSS_PATRONAL)</f>
        <v/>
      </c>
      <c r="N428" s="35" t="str">
        <f aca="false">IF($B428="","",$I428*INS_RT)</f>
        <v/>
      </c>
      <c r="O428" s="35" t="str">
        <f aca="false">IF($B428="","",$I428*PROV_AGUINALDO)</f>
        <v/>
      </c>
      <c r="P428" s="35" t="str">
        <f aca="false">IF($B428="","",$I428*PROV_VACACIONES)</f>
        <v/>
      </c>
      <c r="Q428" s="35" t="str">
        <f aca="false">IF($B428="","",$I428*PROV_CESANTIA)</f>
        <v/>
      </c>
      <c r="R428" s="35" t="str">
        <f aca="false">IF($B428="","",$I428+SUM($M428:$Q428))</f>
        <v/>
      </c>
      <c r="S428" s="46" t="str">
        <f aca="false">IF(OR($A428="",$B428=""),"",DATE(YEAR($A428),MONTH($A428),1))</f>
        <v/>
      </c>
    </row>
    <row r="429" customFormat="false" ht="15" hidden="false" customHeight="false" outlineLevel="0" collapsed="false">
      <c r="A429" s="55"/>
      <c r="B429" s="6"/>
      <c r="C429" s="6"/>
      <c r="D429" s="40"/>
      <c r="E429" s="39"/>
      <c r="F429" s="35" t="str">
        <f aca="false">IF($B429="","",N($D429)/HORAS_MES*RECARGO_HE)</f>
        <v/>
      </c>
      <c r="G429" s="35" t="str">
        <f aca="false">IF($B429="","",N($E429)*$F429)</f>
        <v/>
      </c>
      <c r="H429" s="40"/>
      <c r="I429" s="35" t="str">
        <f aca="false">IF($B429="","",N($D429)+$G429+N($H429))</f>
        <v/>
      </c>
      <c r="J429" s="35" t="str">
        <f aca="false">IF($B429="","",$I429*CCSS_OBRERO)</f>
        <v/>
      </c>
      <c r="K429" s="40"/>
      <c r="L429" s="35" t="str">
        <f aca="false">IF($B429="","",$I429-$J429-N($K429))</f>
        <v/>
      </c>
      <c r="M429" s="35" t="str">
        <f aca="false">IF($B429="","",$I429*CCSS_PATRONAL)</f>
        <v/>
      </c>
      <c r="N429" s="35" t="str">
        <f aca="false">IF($B429="","",$I429*INS_RT)</f>
        <v/>
      </c>
      <c r="O429" s="35" t="str">
        <f aca="false">IF($B429="","",$I429*PROV_AGUINALDO)</f>
        <v/>
      </c>
      <c r="P429" s="35" t="str">
        <f aca="false">IF($B429="","",$I429*PROV_VACACIONES)</f>
        <v/>
      </c>
      <c r="Q429" s="35" t="str">
        <f aca="false">IF($B429="","",$I429*PROV_CESANTIA)</f>
        <v/>
      </c>
      <c r="R429" s="35" t="str">
        <f aca="false">IF($B429="","",$I429+SUM($M429:$Q429))</f>
        <v/>
      </c>
      <c r="S429" s="46" t="str">
        <f aca="false">IF(OR($A429="",$B429=""),"",DATE(YEAR($A429),MONTH($A429),1))</f>
        <v/>
      </c>
    </row>
    <row r="430" customFormat="false" ht="15" hidden="false" customHeight="false" outlineLevel="0" collapsed="false">
      <c r="A430" s="55"/>
      <c r="B430" s="6"/>
      <c r="C430" s="6"/>
      <c r="D430" s="40"/>
      <c r="E430" s="39"/>
      <c r="F430" s="35" t="str">
        <f aca="false">IF($B430="","",N($D430)/HORAS_MES*RECARGO_HE)</f>
        <v/>
      </c>
      <c r="G430" s="35" t="str">
        <f aca="false">IF($B430="","",N($E430)*$F430)</f>
        <v/>
      </c>
      <c r="H430" s="40"/>
      <c r="I430" s="35" t="str">
        <f aca="false">IF($B430="","",N($D430)+$G430+N($H430))</f>
        <v/>
      </c>
      <c r="J430" s="35" t="str">
        <f aca="false">IF($B430="","",$I430*CCSS_OBRERO)</f>
        <v/>
      </c>
      <c r="K430" s="40"/>
      <c r="L430" s="35" t="str">
        <f aca="false">IF($B430="","",$I430-$J430-N($K430))</f>
        <v/>
      </c>
      <c r="M430" s="35" t="str">
        <f aca="false">IF($B430="","",$I430*CCSS_PATRONAL)</f>
        <v/>
      </c>
      <c r="N430" s="35" t="str">
        <f aca="false">IF($B430="","",$I430*INS_RT)</f>
        <v/>
      </c>
      <c r="O430" s="35" t="str">
        <f aca="false">IF($B430="","",$I430*PROV_AGUINALDO)</f>
        <v/>
      </c>
      <c r="P430" s="35" t="str">
        <f aca="false">IF($B430="","",$I430*PROV_VACACIONES)</f>
        <v/>
      </c>
      <c r="Q430" s="35" t="str">
        <f aca="false">IF($B430="","",$I430*PROV_CESANTIA)</f>
        <v/>
      </c>
      <c r="R430" s="35" t="str">
        <f aca="false">IF($B430="","",$I430+SUM($M430:$Q430))</f>
        <v/>
      </c>
      <c r="S430" s="46" t="str">
        <f aca="false">IF(OR($A430="",$B430=""),"",DATE(YEAR($A430),MONTH($A430),1))</f>
        <v/>
      </c>
    </row>
    <row r="431" customFormat="false" ht="15" hidden="false" customHeight="false" outlineLevel="0" collapsed="false">
      <c r="A431" s="55"/>
      <c r="B431" s="6"/>
      <c r="C431" s="6"/>
      <c r="D431" s="40"/>
      <c r="E431" s="39"/>
      <c r="F431" s="35" t="str">
        <f aca="false">IF($B431="","",N($D431)/HORAS_MES*RECARGO_HE)</f>
        <v/>
      </c>
      <c r="G431" s="35" t="str">
        <f aca="false">IF($B431="","",N($E431)*$F431)</f>
        <v/>
      </c>
      <c r="H431" s="40"/>
      <c r="I431" s="35" t="str">
        <f aca="false">IF($B431="","",N($D431)+$G431+N($H431))</f>
        <v/>
      </c>
      <c r="J431" s="35" t="str">
        <f aca="false">IF($B431="","",$I431*CCSS_OBRERO)</f>
        <v/>
      </c>
      <c r="K431" s="40"/>
      <c r="L431" s="35" t="str">
        <f aca="false">IF($B431="","",$I431-$J431-N($K431))</f>
        <v/>
      </c>
      <c r="M431" s="35" t="str">
        <f aca="false">IF($B431="","",$I431*CCSS_PATRONAL)</f>
        <v/>
      </c>
      <c r="N431" s="35" t="str">
        <f aca="false">IF($B431="","",$I431*INS_RT)</f>
        <v/>
      </c>
      <c r="O431" s="35" t="str">
        <f aca="false">IF($B431="","",$I431*PROV_AGUINALDO)</f>
        <v/>
      </c>
      <c r="P431" s="35" t="str">
        <f aca="false">IF($B431="","",$I431*PROV_VACACIONES)</f>
        <v/>
      </c>
      <c r="Q431" s="35" t="str">
        <f aca="false">IF($B431="","",$I431*PROV_CESANTIA)</f>
        <v/>
      </c>
      <c r="R431" s="35" t="str">
        <f aca="false">IF($B431="","",$I431+SUM($M431:$Q431))</f>
        <v/>
      </c>
      <c r="S431" s="46" t="str">
        <f aca="false">IF(OR($A431="",$B431=""),"",DATE(YEAR($A431),MONTH($A431),1))</f>
        <v/>
      </c>
    </row>
    <row r="432" customFormat="false" ht="15" hidden="false" customHeight="false" outlineLevel="0" collapsed="false">
      <c r="A432" s="55"/>
      <c r="B432" s="6"/>
      <c r="C432" s="6"/>
      <c r="D432" s="40"/>
      <c r="E432" s="39"/>
      <c r="F432" s="35" t="str">
        <f aca="false">IF($B432="","",N($D432)/HORAS_MES*RECARGO_HE)</f>
        <v/>
      </c>
      <c r="G432" s="35" t="str">
        <f aca="false">IF($B432="","",N($E432)*$F432)</f>
        <v/>
      </c>
      <c r="H432" s="40"/>
      <c r="I432" s="35" t="str">
        <f aca="false">IF($B432="","",N($D432)+$G432+N($H432))</f>
        <v/>
      </c>
      <c r="J432" s="35" t="str">
        <f aca="false">IF($B432="","",$I432*CCSS_OBRERO)</f>
        <v/>
      </c>
      <c r="K432" s="40"/>
      <c r="L432" s="35" t="str">
        <f aca="false">IF($B432="","",$I432-$J432-N($K432))</f>
        <v/>
      </c>
      <c r="M432" s="35" t="str">
        <f aca="false">IF($B432="","",$I432*CCSS_PATRONAL)</f>
        <v/>
      </c>
      <c r="N432" s="35" t="str">
        <f aca="false">IF($B432="","",$I432*INS_RT)</f>
        <v/>
      </c>
      <c r="O432" s="35" t="str">
        <f aca="false">IF($B432="","",$I432*PROV_AGUINALDO)</f>
        <v/>
      </c>
      <c r="P432" s="35" t="str">
        <f aca="false">IF($B432="","",$I432*PROV_VACACIONES)</f>
        <v/>
      </c>
      <c r="Q432" s="35" t="str">
        <f aca="false">IF($B432="","",$I432*PROV_CESANTIA)</f>
        <v/>
      </c>
      <c r="R432" s="35" t="str">
        <f aca="false">IF($B432="","",$I432+SUM($M432:$Q432))</f>
        <v/>
      </c>
      <c r="S432" s="46" t="str">
        <f aca="false">IF(OR($A432="",$B432=""),"",DATE(YEAR($A432),MONTH($A432),1))</f>
        <v/>
      </c>
    </row>
    <row r="433" customFormat="false" ht="15" hidden="false" customHeight="false" outlineLevel="0" collapsed="false">
      <c r="A433" s="55"/>
      <c r="B433" s="6"/>
      <c r="C433" s="6"/>
      <c r="D433" s="40"/>
      <c r="E433" s="39"/>
      <c r="F433" s="35" t="str">
        <f aca="false">IF($B433="","",N($D433)/HORAS_MES*RECARGO_HE)</f>
        <v/>
      </c>
      <c r="G433" s="35" t="str">
        <f aca="false">IF($B433="","",N($E433)*$F433)</f>
        <v/>
      </c>
      <c r="H433" s="40"/>
      <c r="I433" s="35" t="str">
        <f aca="false">IF($B433="","",N($D433)+$G433+N($H433))</f>
        <v/>
      </c>
      <c r="J433" s="35" t="str">
        <f aca="false">IF($B433="","",$I433*CCSS_OBRERO)</f>
        <v/>
      </c>
      <c r="K433" s="40"/>
      <c r="L433" s="35" t="str">
        <f aca="false">IF($B433="","",$I433-$J433-N($K433))</f>
        <v/>
      </c>
      <c r="M433" s="35" t="str">
        <f aca="false">IF($B433="","",$I433*CCSS_PATRONAL)</f>
        <v/>
      </c>
      <c r="N433" s="35" t="str">
        <f aca="false">IF($B433="","",$I433*INS_RT)</f>
        <v/>
      </c>
      <c r="O433" s="35" t="str">
        <f aca="false">IF($B433="","",$I433*PROV_AGUINALDO)</f>
        <v/>
      </c>
      <c r="P433" s="35" t="str">
        <f aca="false">IF($B433="","",$I433*PROV_VACACIONES)</f>
        <v/>
      </c>
      <c r="Q433" s="35" t="str">
        <f aca="false">IF($B433="","",$I433*PROV_CESANTIA)</f>
        <v/>
      </c>
      <c r="R433" s="35" t="str">
        <f aca="false">IF($B433="","",$I433+SUM($M433:$Q433))</f>
        <v/>
      </c>
      <c r="S433" s="46" t="str">
        <f aca="false">IF(OR($A433="",$B433=""),"",DATE(YEAR($A433),MONTH($A433),1))</f>
        <v/>
      </c>
    </row>
    <row r="434" customFormat="false" ht="15" hidden="false" customHeight="false" outlineLevel="0" collapsed="false">
      <c r="A434" s="55"/>
      <c r="B434" s="6"/>
      <c r="C434" s="6"/>
      <c r="D434" s="40"/>
      <c r="E434" s="39"/>
      <c r="F434" s="35" t="str">
        <f aca="false">IF($B434="","",N($D434)/HORAS_MES*RECARGO_HE)</f>
        <v/>
      </c>
      <c r="G434" s="35" t="str">
        <f aca="false">IF($B434="","",N($E434)*$F434)</f>
        <v/>
      </c>
      <c r="H434" s="40"/>
      <c r="I434" s="35" t="str">
        <f aca="false">IF($B434="","",N($D434)+$G434+N($H434))</f>
        <v/>
      </c>
      <c r="J434" s="35" t="str">
        <f aca="false">IF($B434="","",$I434*CCSS_OBRERO)</f>
        <v/>
      </c>
      <c r="K434" s="40"/>
      <c r="L434" s="35" t="str">
        <f aca="false">IF($B434="","",$I434-$J434-N($K434))</f>
        <v/>
      </c>
      <c r="M434" s="35" t="str">
        <f aca="false">IF($B434="","",$I434*CCSS_PATRONAL)</f>
        <v/>
      </c>
      <c r="N434" s="35" t="str">
        <f aca="false">IF($B434="","",$I434*INS_RT)</f>
        <v/>
      </c>
      <c r="O434" s="35" t="str">
        <f aca="false">IF($B434="","",$I434*PROV_AGUINALDO)</f>
        <v/>
      </c>
      <c r="P434" s="35" t="str">
        <f aca="false">IF($B434="","",$I434*PROV_VACACIONES)</f>
        <v/>
      </c>
      <c r="Q434" s="35" t="str">
        <f aca="false">IF($B434="","",$I434*PROV_CESANTIA)</f>
        <v/>
      </c>
      <c r="R434" s="35" t="str">
        <f aca="false">IF($B434="","",$I434+SUM($M434:$Q434))</f>
        <v/>
      </c>
      <c r="S434" s="46" t="str">
        <f aca="false">IF(OR($A434="",$B434=""),"",DATE(YEAR($A434),MONTH($A434),1))</f>
        <v/>
      </c>
    </row>
    <row r="435" customFormat="false" ht="15" hidden="false" customHeight="false" outlineLevel="0" collapsed="false">
      <c r="A435" s="55"/>
      <c r="B435" s="6"/>
      <c r="C435" s="6"/>
      <c r="D435" s="40"/>
      <c r="E435" s="39"/>
      <c r="F435" s="35" t="str">
        <f aca="false">IF($B435="","",N($D435)/HORAS_MES*RECARGO_HE)</f>
        <v/>
      </c>
      <c r="G435" s="35" t="str">
        <f aca="false">IF($B435="","",N($E435)*$F435)</f>
        <v/>
      </c>
      <c r="H435" s="40"/>
      <c r="I435" s="35" t="str">
        <f aca="false">IF($B435="","",N($D435)+$G435+N($H435))</f>
        <v/>
      </c>
      <c r="J435" s="35" t="str">
        <f aca="false">IF($B435="","",$I435*CCSS_OBRERO)</f>
        <v/>
      </c>
      <c r="K435" s="40"/>
      <c r="L435" s="35" t="str">
        <f aca="false">IF($B435="","",$I435-$J435-N($K435))</f>
        <v/>
      </c>
      <c r="M435" s="35" t="str">
        <f aca="false">IF($B435="","",$I435*CCSS_PATRONAL)</f>
        <v/>
      </c>
      <c r="N435" s="35" t="str">
        <f aca="false">IF($B435="","",$I435*INS_RT)</f>
        <v/>
      </c>
      <c r="O435" s="35" t="str">
        <f aca="false">IF($B435="","",$I435*PROV_AGUINALDO)</f>
        <v/>
      </c>
      <c r="P435" s="35" t="str">
        <f aca="false">IF($B435="","",$I435*PROV_VACACIONES)</f>
        <v/>
      </c>
      <c r="Q435" s="35" t="str">
        <f aca="false">IF($B435="","",$I435*PROV_CESANTIA)</f>
        <v/>
      </c>
      <c r="R435" s="35" t="str">
        <f aca="false">IF($B435="","",$I435+SUM($M435:$Q435))</f>
        <v/>
      </c>
      <c r="S435" s="46" t="str">
        <f aca="false">IF(OR($A435="",$B435=""),"",DATE(YEAR($A435),MONTH($A435),1))</f>
        <v/>
      </c>
    </row>
    <row r="436" customFormat="false" ht="15" hidden="false" customHeight="false" outlineLevel="0" collapsed="false">
      <c r="A436" s="55"/>
      <c r="B436" s="6"/>
      <c r="C436" s="6"/>
      <c r="D436" s="40"/>
      <c r="E436" s="39"/>
      <c r="F436" s="35" t="str">
        <f aca="false">IF($B436="","",N($D436)/HORAS_MES*RECARGO_HE)</f>
        <v/>
      </c>
      <c r="G436" s="35" t="str">
        <f aca="false">IF($B436="","",N($E436)*$F436)</f>
        <v/>
      </c>
      <c r="H436" s="40"/>
      <c r="I436" s="35" t="str">
        <f aca="false">IF($B436="","",N($D436)+$G436+N($H436))</f>
        <v/>
      </c>
      <c r="J436" s="35" t="str">
        <f aca="false">IF($B436="","",$I436*CCSS_OBRERO)</f>
        <v/>
      </c>
      <c r="K436" s="40"/>
      <c r="L436" s="35" t="str">
        <f aca="false">IF($B436="","",$I436-$J436-N($K436))</f>
        <v/>
      </c>
      <c r="M436" s="35" t="str">
        <f aca="false">IF($B436="","",$I436*CCSS_PATRONAL)</f>
        <v/>
      </c>
      <c r="N436" s="35" t="str">
        <f aca="false">IF($B436="","",$I436*INS_RT)</f>
        <v/>
      </c>
      <c r="O436" s="35" t="str">
        <f aca="false">IF($B436="","",$I436*PROV_AGUINALDO)</f>
        <v/>
      </c>
      <c r="P436" s="35" t="str">
        <f aca="false">IF($B436="","",$I436*PROV_VACACIONES)</f>
        <v/>
      </c>
      <c r="Q436" s="35" t="str">
        <f aca="false">IF($B436="","",$I436*PROV_CESANTIA)</f>
        <v/>
      </c>
      <c r="R436" s="35" t="str">
        <f aca="false">IF($B436="","",$I436+SUM($M436:$Q436))</f>
        <v/>
      </c>
      <c r="S436" s="46" t="str">
        <f aca="false">IF(OR($A436="",$B436=""),"",DATE(YEAR($A436),MONTH($A436),1))</f>
        <v/>
      </c>
    </row>
    <row r="437" customFormat="false" ht="15" hidden="false" customHeight="false" outlineLevel="0" collapsed="false">
      <c r="A437" s="55"/>
      <c r="B437" s="6"/>
      <c r="C437" s="6"/>
      <c r="D437" s="40"/>
      <c r="E437" s="39"/>
      <c r="F437" s="35" t="str">
        <f aca="false">IF($B437="","",N($D437)/HORAS_MES*RECARGO_HE)</f>
        <v/>
      </c>
      <c r="G437" s="35" t="str">
        <f aca="false">IF($B437="","",N($E437)*$F437)</f>
        <v/>
      </c>
      <c r="H437" s="40"/>
      <c r="I437" s="35" t="str">
        <f aca="false">IF($B437="","",N($D437)+$G437+N($H437))</f>
        <v/>
      </c>
      <c r="J437" s="35" t="str">
        <f aca="false">IF($B437="","",$I437*CCSS_OBRERO)</f>
        <v/>
      </c>
      <c r="K437" s="40"/>
      <c r="L437" s="35" t="str">
        <f aca="false">IF($B437="","",$I437-$J437-N($K437))</f>
        <v/>
      </c>
      <c r="M437" s="35" t="str">
        <f aca="false">IF($B437="","",$I437*CCSS_PATRONAL)</f>
        <v/>
      </c>
      <c r="N437" s="35" t="str">
        <f aca="false">IF($B437="","",$I437*INS_RT)</f>
        <v/>
      </c>
      <c r="O437" s="35" t="str">
        <f aca="false">IF($B437="","",$I437*PROV_AGUINALDO)</f>
        <v/>
      </c>
      <c r="P437" s="35" t="str">
        <f aca="false">IF($B437="","",$I437*PROV_VACACIONES)</f>
        <v/>
      </c>
      <c r="Q437" s="35" t="str">
        <f aca="false">IF($B437="","",$I437*PROV_CESANTIA)</f>
        <v/>
      </c>
      <c r="R437" s="35" t="str">
        <f aca="false">IF($B437="","",$I437+SUM($M437:$Q437))</f>
        <v/>
      </c>
      <c r="S437" s="46" t="str">
        <f aca="false">IF(OR($A437="",$B437=""),"",DATE(YEAR($A437),MONTH($A437),1))</f>
        <v/>
      </c>
    </row>
    <row r="438" customFormat="false" ht="15" hidden="false" customHeight="false" outlineLevel="0" collapsed="false">
      <c r="A438" s="55"/>
      <c r="B438" s="6"/>
      <c r="C438" s="6"/>
      <c r="D438" s="40"/>
      <c r="E438" s="39"/>
      <c r="F438" s="35" t="str">
        <f aca="false">IF($B438="","",N($D438)/HORAS_MES*RECARGO_HE)</f>
        <v/>
      </c>
      <c r="G438" s="35" t="str">
        <f aca="false">IF($B438="","",N($E438)*$F438)</f>
        <v/>
      </c>
      <c r="H438" s="40"/>
      <c r="I438" s="35" t="str">
        <f aca="false">IF($B438="","",N($D438)+$G438+N($H438))</f>
        <v/>
      </c>
      <c r="J438" s="35" t="str">
        <f aca="false">IF($B438="","",$I438*CCSS_OBRERO)</f>
        <v/>
      </c>
      <c r="K438" s="40"/>
      <c r="L438" s="35" t="str">
        <f aca="false">IF($B438="","",$I438-$J438-N($K438))</f>
        <v/>
      </c>
      <c r="M438" s="35" t="str">
        <f aca="false">IF($B438="","",$I438*CCSS_PATRONAL)</f>
        <v/>
      </c>
      <c r="N438" s="35" t="str">
        <f aca="false">IF($B438="","",$I438*INS_RT)</f>
        <v/>
      </c>
      <c r="O438" s="35" t="str">
        <f aca="false">IF($B438="","",$I438*PROV_AGUINALDO)</f>
        <v/>
      </c>
      <c r="P438" s="35" t="str">
        <f aca="false">IF($B438="","",$I438*PROV_VACACIONES)</f>
        <v/>
      </c>
      <c r="Q438" s="35" t="str">
        <f aca="false">IF($B438="","",$I438*PROV_CESANTIA)</f>
        <v/>
      </c>
      <c r="R438" s="35" t="str">
        <f aca="false">IF($B438="","",$I438+SUM($M438:$Q438))</f>
        <v/>
      </c>
      <c r="S438" s="46" t="str">
        <f aca="false">IF(OR($A438="",$B438=""),"",DATE(YEAR($A438),MONTH($A438),1))</f>
        <v/>
      </c>
    </row>
    <row r="439" customFormat="false" ht="15" hidden="false" customHeight="false" outlineLevel="0" collapsed="false">
      <c r="A439" s="55"/>
      <c r="B439" s="6"/>
      <c r="C439" s="6"/>
      <c r="D439" s="40"/>
      <c r="E439" s="39"/>
      <c r="F439" s="35" t="str">
        <f aca="false">IF($B439="","",N($D439)/HORAS_MES*RECARGO_HE)</f>
        <v/>
      </c>
      <c r="G439" s="35" t="str">
        <f aca="false">IF($B439="","",N($E439)*$F439)</f>
        <v/>
      </c>
      <c r="H439" s="40"/>
      <c r="I439" s="35" t="str">
        <f aca="false">IF($B439="","",N($D439)+$G439+N($H439))</f>
        <v/>
      </c>
      <c r="J439" s="35" t="str">
        <f aca="false">IF($B439="","",$I439*CCSS_OBRERO)</f>
        <v/>
      </c>
      <c r="K439" s="40"/>
      <c r="L439" s="35" t="str">
        <f aca="false">IF($B439="","",$I439-$J439-N($K439))</f>
        <v/>
      </c>
      <c r="M439" s="35" t="str">
        <f aca="false">IF($B439="","",$I439*CCSS_PATRONAL)</f>
        <v/>
      </c>
      <c r="N439" s="35" t="str">
        <f aca="false">IF($B439="","",$I439*INS_RT)</f>
        <v/>
      </c>
      <c r="O439" s="35" t="str">
        <f aca="false">IF($B439="","",$I439*PROV_AGUINALDO)</f>
        <v/>
      </c>
      <c r="P439" s="35" t="str">
        <f aca="false">IF($B439="","",$I439*PROV_VACACIONES)</f>
        <v/>
      </c>
      <c r="Q439" s="35" t="str">
        <f aca="false">IF($B439="","",$I439*PROV_CESANTIA)</f>
        <v/>
      </c>
      <c r="R439" s="35" t="str">
        <f aca="false">IF($B439="","",$I439+SUM($M439:$Q439))</f>
        <v/>
      </c>
      <c r="S439" s="46" t="str">
        <f aca="false">IF(OR($A439="",$B439=""),"",DATE(YEAR($A439),MONTH($A439),1))</f>
        <v/>
      </c>
    </row>
    <row r="440" customFormat="false" ht="15" hidden="false" customHeight="false" outlineLevel="0" collapsed="false">
      <c r="A440" s="55"/>
      <c r="B440" s="6"/>
      <c r="C440" s="6"/>
      <c r="D440" s="40"/>
      <c r="E440" s="39"/>
      <c r="F440" s="35" t="str">
        <f aca="false">IF($B440="","",N($D440)/HORAS_MES*RECARGO_HE)</f>
        <v/>
      </c>
      <c r="G440" s="35" t="str">
        <f aca="false">IF($B440="","",N($E440)*$F440)</f>
        <v/>
      </c>
      <c r="H440" s="40"/>
      <c r="I440" s="35" t="str">
        <f aca="false">IF($B440="","",N($D440)+$G440+N($H440))</f>
        <v/>
      </c>
      <c r="J440" s="35" t="str">
        <f aca="false">IF($B440="","",$I440*CCSS_OBRERO)</f>
        <v/>
      </c>
      <c r="K440" s="40"/>
      <c r="L440" s="35" t="str">
        <f aca="false">IF($B440="","",$I440-$J440-N($K440))</f>
        <v/>
      </c>
      <c r="M440" s="35" t="str">
        <f aca="false">IF($B440="","",$I440*CCSS_PATRONAL)</f>
        <v/>
      </c>
      <c r="N440" s="35" t="str">
        <f aca="false">IF($B440="","",$I440*INS_RT)</f>
        <v/>
      </c>
      <c r="O440" s="35" t="str">
        <f aca="false">IF($B440="","",$I440*PROV_AGUINALDO)</f>
        <v/>
      </c>
      <c r="P440" s="35" t="str">
        <f aca="false">IF($B440="","",$I440*PROV_VACACIONES)</f>
        <v/>
      </c>
      <c r="Q440" s="35" t="str">
        <f aca="false">IF($B440="","",$I440*PROV_CESANTIA)</f>
        <v/>
      </c>
      <c r="R440" s="35" t="str">
        <f aca="false">IF($B440="","",$I440+SUM($M440:$Q440))</f>
        <v/>
      </c>
      <c r="S440" s="46" t="str">
        <f aca="false">IF(OR($A440="",$B440=""),"",DATE(YEAR($A440),MONTH($A440),1))</f>
        <v/>
      </c>
    </row>
    <row r="441" customFormat="false" ht="15" hidden="false" customHeight="false" outlineLevel="0" collapsed="false">
      <c r="A441" s="55"/>
      <c r="B441" s="6"/>
      <c r="C441" s="6"/>
      <c r="D441" s="40"/>
      <c r="E441" s="39"/>
      <c r="F441" s="35" t="str">
        <f aca="false">IF($B441="","",N($D441)/HORAS_MES*RECARGO_HE)</f>
        <v/>
      </c>
      <c r="G441" s="35" t="str">
        <f aca="false">IF($B441="","",N($E441)*$F441)</f>
        <v/>
      </c>
      <c r="H441" s="40"/>
      <c r="I441" s="35" t="str">
        <f aca="false">IF($B441="","",N($D441)+$G441+N($H441))</f>
        <v/>
      </c>
      <c r="J441" s="35" t="str">
        <f aca="false">IF($B441="","",$I441*CCSS_OBRERO)</f>
        <v/>
      </c>
      <c r="K441" s="40"/>
      <c r="L441" s="35" t="str">
        <f aca="false">IF($B441="","",$I441-$J441-N($K441))</f>
        <v/>
      </c>
      <c r="M441" s="35" t="str">
        <f aca="false">IF($B441="","",$I441*CCSS_PATRONAL)</f>
        <v/>
      </c>
      <c r="N441" s="35" t="str">
        <f aca="false">IF($B441="","",$I441*INS_RT)</f>
        <v/>
      </c>
      <c r="O441" s="35" t="str">
        <f aca="false">IF($B441="","",$I441*PROV_AGUINALDO)</f>
        <v/>
      </c>
      <c r="P441" s="35" t="str">
        <f aca="false">IF($B441="","",$I441*PROV_VACACIONES)</f>
        <v/>
      </c>
      <c r="Q441" s="35" t="str">
        <f aca="false">IF($B441="","",$I441*PROV_CESANTIA)</f>
        <v/>
      </c>
      <c r="R441" s="35" t="str">
        <f aca="false">IF($B441="","",$I441+SUM($M441:$Q441))</f>
        <v/>
      </c>
      <c r="S441" s="46" t="str">
        <f aca="false">IF(OR($A441="",$B441=""),"",DATE(YEAR($A441),MONTH($A441),1))</f>
        <v/>
      </c>
    </row>
    <row r="442" customFormat="false" ht="15" hidden="false" customHeight="false" outlineLevel="0" collapsed="false">
      <c r="A442" s="55"/>
      <c r="B442" s="6"/>
      <c r="C442" s="6"/>
      <c r="D442" s="40"/>
      <c r="E442" s="39"/>
      <c r="F442" s="35" t="str">
        <f aca="false">IF($B442="","",N($D442)/HORAS_MES*RECARGO_HE)</f>
        <v/>
      </c>
      <c r="G442" s="35" t="str">
        <f aca="false">IF($B442="","",N($E442)*$F442)</f>
        <v/>
      </c>
      <c r="H442" s="40"/>
      <c r="I442" s="35" t="str">
        <f aca="false">IF($B442="","",N($D442)+$G442+N($H442))</f>
        <v/>
      </c>
      <c r="J442" s="35" t="str">
        <f aca="false">IF($B442="","",$I442*CCSS_OBRERO)</f>
        <v/>
      </c>
      <c r="K442" s="40"/>
      <c r="L442" s="35" t="str">
        <f aca="false">IF($B442="","",$I442-$J442-N($K442))</f>
        <v/>
      </c>
      <c r="M442" s="35" t="str">
        <f aca="false">IF($B442="","",$I442*CCSS_PATRONAL)</f>
        <v/>
      </c>
      <c r="N442" s="35" t="str">
        <f aca="false">IF($B442="","",$I442*INS_RT)</f>
        <v/>
      </c>
      <c r="O442" s="35" t="str">
        <f aca="false">IF($B442="","",$I442*PROV_AGUINALDO)</f>
        <v/>
      </c>
      <c r="P442" s="35" t="str">
        <f aca="false">IF($B442="","",$I442*PROV_VACACIONES)</f>
        <v/>
      </c>
      <c r="Q442" s="35" t="str">
        <f aca="false">IF($B442="","",$I442*PROV_CESANTIA)</f>
        <v/>
      </c>
      <c r="R442" s="35" t="str">
        <f aca="false">IF($B442="","",$I442+SUM($M442:$Q442))</f>
        <v/>
      </c>
      <c r="S442" s="46" t="str">
        <f aca="false">IF(OR($A442="",$B442=""),"",DATE(YEAR($A442),MONTH($A442),1))</f>
        <v/>
      </c>
    </row>
    <row r="443" customFormat="false" ht="15" hidden="false" customHeight="false" outlineLevel="0" collapsed="false">
      <c r="A443" s="55"/>
      <c r="B443" s="6"/>
      <c r="C443" s="6"/>
      <c r="D443" s="40"/>
      <c r="E443" s="39"/>
      <c r="F443" s="35" t="str">
        <f aca="false">IF($B443="","",N($D443)/HORAS_MES*RECARGO_HE)</f>
        <v/>
      </c>
      <c r="G443" s="35" t="str">
        <f aca="false">IF($B443="","",N($E443)*$F443)</f>
        <v/>
      </c>
      <c r="H443" s="40"/>
      <c r="I443" s="35" t="str">
        <f aca="false">IF($B443="","",N($D443)+$G443+N($H443))</f>
        <v/>
      </c>
      <c r="J443" s="35" t="str">
        <f aca="false">IF($B443="","",$I443*CCSS_OBRERO)</f>
        <v/>
      </c>
      <c r="K443" s="40"/>
      <c r="L443" s="35" t="str">
        <f aca="false">IF($B443="","",$I443-$J443-N($K443))</f>
        <v/>
      </c>
      <c r="M443" s="35" t="str">
        <f aca="false">IF($B443="","",$I443*CCSS_PATRONAL)</f>
        <v/>
      </c>
      <c r="N443" s="35" t="str">
        <f aca="false">IF($B443="","",$I443*INS_RT)</f>
        <v/>
      </c>
      <c r="O443" s="35" t="str">
        <f aca="false">IF($B443="","",$I443*PROV_AGUINALDO)</f>
        <v/>
      </c>
      <c r="P443" s="35" t="str">
        <f aca="false">IF($B443="","",$I443*PROV_VACACIONES)</f>
        <v/>
      </c>
      <c r="Q443" s="35" t="str">
        <f aca="false">IF($B443="","",$I443*PROV_CESANTIA)</f>
        <v/>
      </c>
      <c r="R443" s="35" t="str">
        <f aca="false">IF($B443="","",$I443+SUM($M443:$Q443))</f>
        <v/>
      </c>
      <c r="S443" s="46" t="str">
        <f aca="false">IF(OR($A443="",$B443=""),"",DATE(YEAR($A443),MONTH($A443),1))</f>
        <v/>
      </c>
    </row>
    <row r="444" customFormat="false" ht="15" hidden="false" customHeight="false" outlineLevel="0" collapsed="false">
      <c r="A444" s="55"/>
      <c r="B444" s="6"/>
      <c r="C444" s="6"/>
      <c r="D444" s="40"/>
      <c r="E444" s="39"/>
      <c r="F444" s="35" t="str">
        <f aca="false">IF($B444="","",N($D444)/HORAS_MES*RECARGO_HE)</f>
        <v/>
      </c>
      <c r="G444" s="35" t="str">
        <f aca="false">IF($B444="","",N($E444)*$F444)</f>
        <v/>
      </c>
      <c r="H444" s="40"/>
      <c r="I444" s="35" t="str">
        <f aca="false">IF($B444="","",N($D444)+$G444+N($H444))</f>
        <v/>
      </c>
      <c r="J444" s="35" t="str">
        <f aca="false">IF($B444="","",$I444*CCSS_OBRERO)</f>
        <v/>
      </c>
      <c r="K444" s="40"/>
      <c r="L444" s="35" t="str">
        <f aca="false">IF($B444="","",$I444-$J444-N($K444))</f>
        <v/>
      </c>
      <c r="M444" s="35" t="str">
        <f aca="false">IF($B444="","",$I444*CCSS_PATRONAL)</f>
        <v/>
      </c>
      <c r="N444" s="35" t="str">
        <f aca="false">IF($B444="","",$I444*INS_RT)</f>
        <v/>
      </c>
      <c r="O444" s="35" t="str">
        <f aca="false">IF($B444="","",$I444*PROV_AGUINALDO)</f>
        <v/>
      </c>
      <c r="P444" s="35" t="str">
        <f aca="false">IF($B444="","",$I444*PROV_VACACIONES)</f>
        <v/>
      </c>
      <c r="Q444" s="35" t="str">
        <f aca="false">IF($B444="","",$I444*PROV_CESANTIA)</f>
        <v/>
      </c>
      <c r="R444" s="35" t="str">
        <f aca="false">IF($B444="","",$I444+SUM($M444:$Q444))</f>
        <v/>
      </c>
      <c r="S444" s="46" t="str">
        <f aca="false">IF(OR($A444="",$B444=""),"",DATE(YEAR($A444),MONTH($A444),1))</f>
        <v/>
      </c>
    </row>
    <row r="445" customFormat="false" ht="15" hidden="false" customHeight="false" outlineLevel="0" collapsed="false">
      <c r="A445" s="55"/>
      <c r="B445" s="6"/>
      <c r="C445" s="6"/>
      <c r="D445" s="40"/>
      <c r="E445" s="39"/>
      <c r="F445" s="35" t="str">
        <f aca="false">IF($B445="","",N($D445)/HORAS_MES*RECARGO_HE)</f>
        <v/>
      </c>
      <c r="G445" s="35" t="str">
        <f aca="false">IF($B445="","",N($E445)*$F445)</f>
        <v/>
      </c>
      <c r="H445" s="40"/>
      <c r="I445" s="35" t="str">
        <f aca="false">IF($B445="","",N($D445)+$G445+N($H445))</f>
        <v/>
      </c>
      <c r="J445" s="35" t="str">
        <f aca="false">IF($B445="","",$I445*CCSS_OBRERO)</f>
        <v/>
      </c>
      <c r="K445" s="40"/>
      <c r="L445" s="35" t="str">
        <f aca="false">IF($B445="","",$I445-$J445-N($K445))</f>
        <v/>
      </c>
      <c r="M445" s="35" t="str">
        <f aca="false">IF($B445="","",$I445*CCSS_PATRONAL)</f>
        <v/>
      </c>
      <c r="N445" s="35" t="str">
        <f aca="false">IF($B445="","",$I445*INS_RT)</f>
        <v/>
      </c>
      <c r="O445" s="35" t="str">
        <f aca="false">IF($B445="","",$I445*PROV_AGUINALDO)</f>
        <v/>
      </c>
      <c r="P445" s="35" t="str">
        <f aca="false">IF($B445="","",$I445*PROV_VACACIONES)</f>
        <v/>
      </c>
      <c r="Q445" s="35" t="str">
        <f aca="false">IF($B445="","",$I445*PROV_CESANTIA)</f>
        <v/>
      </c>
      <c r="R445" s="35" t="str">
        <f aca="false">IF($B445="","",$I445+SUM($M445:$Q445))</f>
        <v/>
      </c>
      <c r="S445" s="46" t="str">
        <f aca="false">IF(OR($A445="",$B445=""),"",DATE(YEAR($A445),MONTH($A445),1))</f>
        <v/>
      </c>
    </row>
    <row r="446" customFormat="false" ht="15" hidden="false" customHeight="false" outlineLevel="0" collapsed="false">
      <c r="A446" s="55"/>
      <c r="B446" s="6"/>
      <c r="C446" s="6"/>
      <c r="D446" s="40"/>
      <c r="E446" s="39"/>
      <c r="F446" s="35" t="str">
        <f aca="false">IF($B446="","",N($D446)/HORAS_MES*RECARGO_HE)</f>
        <v/>
      </c>
      <c r="G446" s="35" t="str">
        <f aca="false">IF($B446="","",N($E446)*$F446)</f>
        <v/>
      </c>
      <c r="H446" s="40"/>
      <c r="I446" s="35" t="str">
        <f aca="false">IF($B446="","",N($D446)+$G446+N($H446))</f>
        <v/>
      </c>
      <c r="J446" s="35" t="str">
        <f aca="false">IF($B446="","",$I446*CCSS_OBRERO)</f>
        <v/>
      </c>
      <c r="K446" s="40"/>
      <c r="L446" s="35" t="str">
        <f aca="false">IF($B446="","",$I446-$J446-N($K446))</f>
        <v/>
      </c>
      <c r="M446" s="35" t="str">
        <f aca="false">IF($B446="","",$I446*CCSS_PATRONAL)</f>
        <v/>
      </c>
      <c r="N446" s="35" t="str">
        <f aca="false">IF($B446="","",$I446*INS_RT)</f>
        <v/>
      </c>
      <c r="O446" s="35" t="str">
        <f aca="false">IF($B446="","",$I446*PROV_AGUINALDO)</f>
        <v/>
      </c>
      <c r="P446" s="35" t="str">
        <f aca="false">IF($B446="","",$I446*PROV_VACACIONES)</f>
        <v/>
      </c>
      <c r="Q446" s="35" t="str">
        <f aca="false">IF($B446="","",$I446*PROV_CESANTIA)</f>
        <v/>
      </c>
      <c r="R446" s="35" t="str">
        <f aca="false">IF($B446="","",$I446+SUM($M446:$Q446))</f>
        <v/>
      </c>
      <c r="S446" s="46" t="str">
        <f aca="false">IF(OR($A446="",$B446=""),"",DATE(YEAR($A446),MONTH($A446),1))</f>
        <v/>
      </c>
    </row>
    <row r="447" customFormat="false" ht="15" hidden="false" customHeight="false" outlineLevel="0" collapsed="false">
      <c r="A447" s="55"/>
      <c r="B447" s="6"/>
      <c r="C447" s="6"/>
      <c r="D447" s="40"/>
      <c r="E447" s="39"/>
      <c r="F447" s="35" t="str">
        <f aca="false">IF($B447="","",N($D447)/HORAS_MES*RECARGO_HE)</f>
        <v/>
      </c>
      <c r="G447" s="35" t="str">
        <f aca="false">IF($B447="","",N($E447)*$F447)</f>
        <v/>
      </c>
      <c r="H447" s="40"/>
      <c r="I447" s="35" t="str">
        <f aca="false">IF($B447="","",N($D447)+$G447+N($H447))</f>
        <v/>
      </c>
      <c r="J447" s="35" t="str">
        <f aca="false">IF($B447="","",$I447*CCSS_OBRERO)</f>
        <v/>
      </c>
      <c r="K447" s="40"/>
      <c r="L447" s="35" t="str">
        <f aca="false">IF($B447="","",$I447-$J447-N($K447))</f>
        <v/>
      </c>
      <c r="M447" s="35" t="str">
        <f aca="false">IF($B447="","",$I447*CCSS_PATRONAL)</f>
        <v/>
      </c>
      <c r="N447" s="35" t="str">
        <f aca="false">IF($B447="","",$I447*INS_RT)</f>
        <v/>
      </c>
      <c r="O447" s="35" t="str">
        <f aca="false">IF($B447="","",$I447*PROV_AGUINALDO)</f>
        <v/>
      </c>
      <c r="P447" s="35" t="str">
        <f aca="false">IF($B447="","",$I447*PROV_VACACIONES)</f>
        <v/>
      </c>
      <c r="Q447" s="35" t="str">
        <f aca="false">IF($B447="","",$I447*PROV_CESANTIA)</f>
        <v/>
      </c>
      <c r="R447" s="35" t="str">
        <f aca="false">IF($B447="","",$I447+SUM($M447:$Q447))</f>
        <v/>
      </c>
      <c r="S447" s="46" t="str">
        <f aca="false">IF(OR($A447="",$B447=""),"",DATE(YEAR($A447),MONTH($A447),1))</f>
        <v/>
      </c>
    </row>
    <row r="448" customFormat="false" ht="15" hidden="false" customHeight="false" outlineLevel="0" collapsed="false">
      <c r="A448" s="55"/>
      <c r="B448" s="6"/>
      <c r="C448" s="6"/>
      <c r="D448" s="40"/>
      <c r="E448" s="39"/>
      <c r="F448" s="35" t="str">
        <f aca="false">IF($B448="","",N($D448)/HORAS_MES*RECARGO_HE)</f>
        <v/>
      </c>
      <c r="G448" s="35" t="str">
        <f aca="false">IF($B448="","",N($E448)*$F448)</f>
        <v/>
      </c>
      <c r="H448" s="40"/>
      <c r="I448" s="35" t="str">
        <f aca="false">IF($B448="","",N($D448)+$G448+N($H448))</f>
        <v/>
      </c>
      <c r="J448" s="35" t="str">
        <f aca="false">IF($B448="","",$I448*CCSS_OBRERO)</f>
        <v/>
      </c>
      <c r="K448" s="40"/>
      <c r="L448" s="35" t="str">
        <f aca="false">IF($B448="","",$I448-$J448-N($K448))</f>
        <v/>
      </c>
      <c r="M448" s="35" t="str">
        <f aca="false">IF($B448="","",$I448*CCSS_PATRONAL)</f>
        <v/>
      </c>
      <c r="N448" s="35" t="str">
        <f aca="false">IF($B448="","",$I448*INS_RT)</f>
        <v/>
      </c>
      <c r="O448" s="35" t="str">
        <f aca="false">IF($B448="","",$I448*PROV_AGUINALDO)</f>
        <v/>
      </c>
      <c r="P448" s="35" t="str">
        <f aca="false">IF($B448="","",$I448*PROV_VACACIONES)</f>
        <v/>
      </c>
      <c r="Q448" s="35" t="str">
        <f aca="false">IF($B448="","",$I448*PROV_CESANTIA)</f>
        <v/>
      </c>
      <c r="R448" s="35" t="str">
        <f aca="false">IF($B448="","",$I448+SUM($M448:$Q448))</f>
        <v/>
      </c>
      <c r="S448" s="46" t="str">
        <f aca="false">IF(OR($A448="",$B448=""),"",DATE(YEAR($A448),MONTH($A448),1))</f>
        <v/>
      </c>
    </row>
    <row r="449" customFormat="false" ht="15" hidden="false" customHeight="false" outlineLevel="0" collapsed="false">
      <c r="A449" s="55"/>
      <c r="B449" s="6"/>
      <c r="C449" s="6"/>
      <c r="D449" s="40"/>
      <c r="E449" s="39"/>
      <c r="F449" s="35" t="str">
        <f aca="false">IF($B449="","",N($D449)/HORAS_MES*RECARGO_HE)</f>
        <v/>
      </c>
      <c r="G449" s="35" t="str">
        <f aca="false">IF($B449="","",N($E449)*$F449)</f>
        <v/>
      </c>
      <c r="H449" s="40"/>
      <c r="I449" s="35" t="str">
        <f aca="false">IF($B449="","",N($D449)+$G449+N($H449))</f>
        <v/>
      </c>
      <c r="J449" s="35" t="str">
        <f aca="false">IF($B449="","",$I449*CCSS_OBRERO)</f>
        <v/>
      </c>
      <c r="K449" s="40"/>
      <c r="L449" s="35" t="str">
        <f aca="false">IF($B449="","",$I449-$J449-N($K449))</f>
        <v/>
      </c>
      <c r="M449" s="35" t="str">
        <f aca="false">IF($B449="","",$I449*CCSS_PATRONAL)</f>
        <v/>
      </c>
      <c r="N449" s="35" t="str">
        <f aca="false">IF($B449="","",$I449*INS_RT)</f>
        <v/>
      </c>
      <c r="O449" s="35" t="str">
        <f aca="false">IF($B449="","",$I449*PROV_AGUINALDO)</f>
        <v/>
      </c>
      <c r="P449" s="35" t="str">
        <f aca="false">IF($B449="","",$I449*PROV_VACACIONES)</f>
        <v/>
      </c>
      <c r="Q449" s="35" t="str">
        <f aca="false">IF($B449="","",$I449*PROV_CESANTIA)</f>
        <v/>
      </c>
      <c r="R449" s="35" t="str">
        <f aca="false">IF($B449="","",$I449+SUM($M449:$Q449))</f>
        <v/>
      </c>
      <c r="S449" s="46" t="str">
        <f aca="false">IF(OR($A449="",$B449=""),"",DATE(YEAR($A449),MONTH($A449),1))</f>
        <v/>
      </c>
    </row>
    <row r="450" customFormat="false" ht="15" hidden="false" customHeight="false" outlineLevel="0" collapsed="false">
      <c r="A450" s="55"/>
      <c r="B450" s="6"/>
      <c r="C450" s="6"/>
      <c r="D450" s="40"/>
      <c r="E450" s="39"/>
      <c r="F450" s="35" t="str">
        <f aca="false">IF($B450="","",N($D450)/HORAS_MES*RECARGO_HE)</f>
        <v/>
      </c>
      <c r="G450" s="35" t="str">
        <f aca="false">IF($B450="","",N($E450)*$F450)</f>
        <v/>
      </c>
      <c r="H450" s="40"/>
      <c r="I450" s="35" t="str">
        <f aca="false">IF($B450="","",N($D450)+$G450+N($H450))</f>
        <v/>
      </c>
      <c r="J450" s="35" t="str">
        <f aca="false">IF($B450="","",$I450*CCSS_OBRERO)</f>
        <v/>
      </c>
      <c r="K450" s="40"/>
      <c r="L450" s="35" t="str">
        <f aca="false">IF($B450="","",$I450-$J450-N($K450))</f>
        <v/>
      </c>
      <c r="M450" s="35" t="str">
        <f aca="false">IF($B450="","",$I450*CCSS_PATRONAL)</f>
        <v/>
      </c>
      <c r="N450" s="35" t="str">
        <f aca="false">IF($B450="","",$I450*INS_RT)</f>
        <v/>
      </c>
      <c r="O450" s="35" t="str">
        <f aca="false">IF($B450="","",$I450*PROV_AGUINALDO)</f>
        <v/>
      </c>
      <c r="P450" s="35" t="str">
        <f aca="false">IF($B450="","",$I450*PROV_VACACIONES)</f>
        <v/>
      </c>
      <c r="Q450" s="35" t="str">
        <f aca="false">IF($B450="","",$I450*PROV_CESANTIA)</f>
        <v/>
      </c>
      <c r="R450" s="35" t="str">
        <f aca="false">IF($B450="","",$I450+SUM($M450:$Q450))</f>
        <v/>
      </c>
      <c r="S450" s="46" t="str">
        <f aca="false">IF(OR($A450="",$B450=""),"",DATE(YEAR($A450),MONTH($A450),1))</f>
        <v/>
      </c>
    </row>
    <row r="451" customFormat="false" ht="15" hidden="false" customHeight="false" outlineLevel="0" collapsed="false">
      <c r="A451" s="55"/>
      <c r="B451" s="6"/>
      <c r="C451" s="6"/>
      <c r="D451" s="40"/>
      <c r="E451" s="39"/>
      <c r="F451" s="35" t="str">
        <f aca="false">IF($B451="","",N($D451)/HORAS_MES*RECARGO_HE)</f>
        <v/>
      </c>
      <c r="G451" s="35" t="str">
        <f aca="false">IF($B451="","",N($E451)*$F451)</f>
        <v/>
      </c>
      <c r="H451" s="40"/>
      <c r="I451" s="35" t="str">
        <f aca="false">IF($B451="","",N($D451)+$G451+N($H451))</f>
        <v/>
      </c>
      <c r="J451" s="35" t="str">
        <f aca="false">IF($B451="","",$I451*CCSS_OBRERO)</f>
        <v/>
      </c>
      <c r="K451" s="40"/>
      <c r="L451" s="35" t="str">
        <f aca="false">IF($B451="","",$I451-$J451-N($K451))</f>
        <v/>
      </c>
      <c r="M451" s="35" t="str">
        <f aca="false">IF($B451="","",$I451*CCSS_PATRONAL)</f>
        <v/>
      </c>
      <c r="N451" s="35" t="str">
        <f aca="false">IF($B451="","",$I451*INS_RT)</f>
        <v/>
      </c>
      <c r="O451" s="35" t="str">
        <f aca="false">IF($B451="","",$I451*PROV_AGUINALDO)</f>
        <v/>
      </c>
      <c r="P451" s="35" t="str">
        <f aca="false">IF($B451="","",$I451*PROV_VACACIONES)</f>
        <v/>
      </c>
      <c r="Q451" s="35" t="str">
        <f aca="false">IF($B451="","",$I451*PROV_CESANTIA)</f>
        <v/>
      </c>
      <c r="R451" s="35" t="str">
        <f aca="false">IF($B451="","",$I451+SUM($M451:$Q451))</f>
        <v/>
      </c>
      <c r="S451" s="46" t="str">
        <f aca="false">IF(OR($A451="",$B451=""),"",DATE(YEAR($A451),MONTH($A451),1))</f>
        <v/>
      </c>
    </row>
    <row r="452" customFormat="false" ht="15" hidden="false" customHeight="false" outlineLevel="0" collapsed="false">
      <c r="A452" s="55"/>
      <c r="B452" s="6"/>
      <c r="C452" s="6"/>
      <c r="D452" s="40"/>
      <c r="E452" s="39"/>
      <c r="F452" s="35" t="str">
        <f aca="false">IF($B452="","",N($D452)/HORAS_MES*RECARGO_HE)</f>
        <v/>
      </c>
      <c r="G452" s="35" t="str">
        <f aca="false">IF($B452="","",N($E452)*$F452)</f>
        <v/>
      </c>
      <c r="H452" s="40"/>
      <c r="I452" s="35" t="str">
        <f aca="false">IF($B452="","",N($D452)+$G452+N($H452))</f>
        <v/>
      </c>
      <c r="J452" s="35" t="str">
        <f aca="false">IF($B452="","",$I452*CCSS_OBRERO)</f>
        <v/>
      </c>
      <c r="K452" s="40"/>
      <c r="L452" s="35" t="str">
        <f aca="false">IF($B452="","",$I452-$J452-N($K452))</f>
        <v/>
      </c>
      <c r="M452" s="35" t="str">
        <f aca="false">IF($B452="","",$I452*CCSS_PATRONAL)</f>
        <v/>
      </c>
      <c r="N452" s="35" t="str">
        <f aca="false">IF($B452="","",$I452*INS_RT)</f>
        <v/>
      </c>
      <c r="O452" s="35" t="str">
        <f aca="false">IF($B452="","",$I452*PROV_AGUINALDO)</f>
        <v/>
      </c>
      <c r="P452" s="35" t="str">
        <f aca="false">IF($B452="","",$I452*PROV_VACACIONES)</f>
        <v/>
      </c>
      <c r="Q452" s="35" t="str">
        <f aca="false">IF($B452="","",$I452*PROV_CESANTIA)</f>
        <v/>
      </c>
      <c r="R452" s="35" t="str">
        <f aca="false">IF($B452="","",$I452+SUM($M452:$Q452))</f>
        <v/>
      </c>
      <c r="S452" s="46" t="str">
        <f aca="false">IF(OR($A452="",$B452=""),"",DATE(YEAR($A452),MONTH($A452),1))</f>
        <v/>
      </c>
    </row>
    <row r="453" customFormat="false" ht="15" hidden="false" customHeight="false" outlineLevel="0" collapsed="false">
      <c r="A453" s="55"/>
      <c r="B453" s="6"/>
      <c r="C453" s="6"/>
      <c r="D453" s="40"/>
      <c r="E453" s="39"/>
      <c r="F453" s="35" t="str">
        <f aca="false">IF($B453="","",N($D453)/HORAS_MES*RECARGO_HE)</f>
        <v/>
      </c>
      <c r="G453" s="35" t="str">
        <f aca="false">IF($B453="","",N($E453)*$F453)</f>
        <v/>
      </c>
      <c r="H453" s="40"/>
      <c r="I453" s="35" t="str">
        <f aca="false">IF($B453="","",N($D453)+$G453+N($H453))</f>
        <v/>
      </c>
      <c r="J453" s="35" t="str">
        <f aca="false">IF($B453="","",$I453*CCSS_OBRERO)</f>
        <v/>
      </c>
      <c r="K453" s="40"/>
      <c r="L453" s="35" t="str">
        <f aca="false">IF($B453="","",$I453-$J453-N($K453))</f>
        <v/>
      </c>
      <c r="M453" s="35" t="str">
        <f aca="false">IF($B453="","",$I453*CCSS_PATRONAL)</f>
        <v/>
      </c>
      <c r="N453" s="35" t="str">
        <f aca="false">IF($B453="","",$I453*INS_RT)</f>
        <v/>
      </c>
      <c r="O453" s="35" t="str">
        <f aca="false">IF($B453="","",$I453*PROV_AGUINALDO)</f>
        <v/>
      </c>
      <c r="P453" s="35" t="str">
        <f aca="false">IF($B453="","",$I453*PROV_VACACIONES)</f>
        <v/>
      </c>
      <c r="Q453" s="35" t="str">
        <f aca="false">IF($B453="","",$I453*PROV_CESANTIA)</f>
        <v/>
      </c>
      <c r="R453" s="35" t="str">
        <f aca="false">IF($B453="","",$I453+SUM($M453:$Q453))</f>
        <v/>
      </c>
      <c r="S453" s="46" t="str">
        <f aca="false">IF(OR($A453="",$B453=""),"",DATE(YEAR($A453),MONTH($A453),1))</f>
        <v/>
      </c>
    </row>
    <row r="454" customFormat="false" ht="15" hidden="false" customHeight="false" outlineLevel="0" collapsed="false">
      <c r="A454" s="55"/>
      <c r="B454" s="6"/>
      <c r="C454" s="6"/>
      <c r="D454" s="40"/>
      <c r="E454" s="39"/>
      <c r="F454" s="35" t="str">
        <f aca="false">IF($B454="","",N($D454)/HORAS_MES*RECARGO_HE)</f>
        <v/>
      </c>
      <c r="G454" s="35" t="str">
        <f aca="false">IF($B454="","",N($E454)*$F454)</f>
        <v/>
      </c>
      <c r="H454" s="40"/>
      <c r="I454" s="35" t="str">
        <f aca="false">IF($B454="","",N($D454)+$G454+N($H454))</f>
        <v/>
      </c>
      <c r="J454" s="35" t="str">
        <f aca="false">IF($B454="","",$I454*CCSS_OBRERO)</f>
        <v/>
      </c>
      <c r="K454" s="40"/>
      <c r="L454" s="35" t="str">
        <f aca="false">IF($B454="","",$I454-$J454-N($K454))</f>
        <v/>
      </c>
      <c r="M454" s="35" t="str">
        <f aca="false">IF($B454="","",$I454*CCSS_PATRONAL)</f>
        <v/>
      </c>
      <c r="N454" s="35" t="str">
        <f aca="false">IF($B454="","",$I454*INS_RT)</f>
        <v/>
      </c>
      <c r="O454" s="35" t="str">
        <f aca="false">IF($B454="","",$I454*PROV_AGUINALDO)</f>
        <v/>
      </c>
      <c r="P454" s="35" t="str">
        <f aca="false">IF($B454="","",$I454*PROV_VACACIONES)</f>
        <v/>
      </c>
      <c r="Q454" s="35" t="str">
        <f aca="false">IF($B454="","",$I454*PROV_CESANTIA)</f>
        <v/>
      </c>
      <c r="R454" s="35" t="str">
        <f aca="false">IF($B454="","",$I454+SUM($M454:$Q454))</f>
        <v/>
      </c>
      <c r="S454" s="46" t="str">
        <f aca="false">IF(OR($A454="",$B454=""),"",DATE(YEAR($A454),MONTH($A454),1))</f>
        <v/>
      </c>
    </row>
    <row r="455" customFormat="false" ht="15" hidden="false" customHeight="false" outlineLevel="0" collapsed="false">
      <c r="A455" s="55"/>
      <c r="B455" s="6"/>
      <c r="C455" s="6"/>
      <c r="D455" s="40"/>
      <c r="E455" s="39"/>
      <c r="F455" s="35" t="str">
        <f aca="false">IF($B455="","",N($D455)/HORAS_MES*RECARGO_HE)</f>
        <v/>
      </c>
      <c r="G455" s="35" t="str">
        <f aca="false">IF($B455="","",N($E455)*$F455)</f>
        <v/>
      </c>
      <c r="H455" s="40"/>
      <c r="I455" s="35" t="str">
        <f aca="false">IF($B455="","",N($D455)+$G455+N($H455))</f>
        <v/>
      </c>
      <c r="J455" s="35" t="str">
        <f aca="false">IF($B455="","",$I455*CCSS_OBRERO)</f>
        <v/>
      </c>
      <c r="K455" s="40"/>
      <c r="L455" s="35" t="str">
        <f aca="false">IF($B455="","",$I455-$J455-N($K455))</f>
        <v/>
      </c>
      <c r="M455" s="35" t="str">
        <f aca="false">IF($B455="","",$I455*CCSS_PATRONAL)</f>
        <v/>
      </c>
      <c r="N455" s="35" t="str">
        <f aca="false">IF($B455="","",$I455*INS_RT)</f>
        <v/>
      </c>
      <c r="O455" s="35" t="str">
        <f aca="false">IF($B455="","",$I455*PROV_AGUINALDO)</f>
        <v/>
      </c>
      <c r="P455" s="35" t="str">
        <f aca="false">IF($B455="","",$I455*PROV_VACACIONES)</f>
        <v/>
      </c>
      <c r="Q455" s="35" t="str">
        <f aca="false">IF($B455="","",$I455*PROV_CESANTIA)</f>
        <v/>
      </c>
      <c r="R455" s="35" t="str">
        <f aca="false">IF($B455="","",$I455+SUM($M455:$Q455))</f>
        <v/>
      </c>
      <c r="S455" s="46" t="str">
        <f aca="false">IF(OR($A455="",$B455=""),"",DATE(YEAR($A455),MONTH($A455),1))</f>
        <v/>
      </c>
    </row>
    <row r="456" customFormat="false" ht="15" hidden="false" customHeight="false" outlineLevel="0" collapsed="false">
      <c r="A456" s="55"/>
      <c r="B456" s="6"/>
      <c r="C456" s="6"/>
      <c r="D456" s="40"/>
      <c r="E456" s="39"/>
      <c r="F456" s="35" t="str">
        <f aca="false">IF($B456="","",N($D456)/HORAS_MES*RECARGO_HE)</f>
        <v/>
      </c>
      <c r="G456" s="35" t="str">
        <f aca="false">IF($B456="","",N($E456)*$F456)</f>
        <v/>
      </c>
      <c r="H456" s="40"/>
      <c r="I456" s="35" t="str">
        <f aca="false">IF($B456="","",N($D456)+$G456+N($H456))</f>
        <v/>
      </c>
      <c r="J456" s="35" t="str">
        <f aca="false">IF($B456="","",$I456*CCSS_OBRERO)</f>
        <v/>
      </c>
      <c r="K456" s="40"/>
      <c r="L456" s="35" t="str">
        <f aca="false">IF($B456="","",$I456-$J456-N($K456))</f>
        <v/>
      </c>
      <c r="M456" s="35" t="str">
        <f aca="false">IF($B456="","",$I456*CCSS_PATRONAL)</f>
        <v/>
      </c>
      <c r="N456" s="35" t="str">
        <f aca="false">IF($B456="","",$I456*INS_RT)</f>
        <v/>
      </c>
      <c r="O456" s="35" t="str">
        <f aca="false">IF($B456="","",$I456*PROV_AGUINALDO)</f>
        <v/>
      </c>
      <c r="P456" s="35" t="str">
        <f aca="false">IF($B456="","",$I456*PROV_VACACIONES)</f>
        <v/>
      </c>
      <c r="Q456" s="35" t="str">
        <f aca="false">IF($B456="","",$I456*PROV_CESANTIA)</f>
        <v/>
      </c>
      <c r="R456" s="35" t="str">
        <f aca="false">IF($B456="","",$I456+SUM($M456:$Q456))</f>
        <v/>
      </c>
      <c r="S456" s="46" t="str">
        <f aca="false">IF(OR($A456="",$B456=""),"",DATE(YEAR($A456),MONTH($A456),1))</f>
        <v/>
      </c>
    </row>
    <row r="457" customFormat="false" ht="15" hidden="false" customHeight="false" outlineLevel="0" collapsed="false">
      <c r="A457" s="55"/>
      <c r="B457" s="6"/>
      <c r="C457" s="6"/>
      <c r="D457" s="40"/>
      <c r="E457" s="39"/>
      <c r="F457" s="35" t="str">
        <f aca="false">IF($B457="","",N($D457)/HORAS_MES*RECARGO_HE)</f>
        <v/>
      </c>
      <c r="G457" s="35" t="str">
        <f aca="false">IF($B457="","",N($E457)*$F457)</f>
        <v/>
      </c>
      <c r="H457" s="40"/>
      <c r="I457" s="35" t="str">
        <f aca="false">IF($B457="","",N($D457)+$G457+N($H457))</f>
        <v/>
      </c>
      <c r="J457" s="35" t="str">
        <f aca="false">IF($B457="","",$I457*CCSS_OBRERO)</f>
        <v/>
      </c>
      <c r="K457" s="40"/>
      <c r="L457" s="35" t="str">
        <f aca="false">IF($B457="","",$I457-$J457-N($K457))</f>
        <v/>
      </c>
      <c r="M457" s="35" t="str">
        <f aca="false">IF($B457="","",$I457*CCSS_PATRONAL)</f>
        <v/>
      </c>
      <c r="N457" s="35" t="str">
        <f aca="false">IF($B457="","",$I457*INS_RT)</f>
        <v/>
      </c>
      <c r="O457" s="35" t="str">
        <f aca="false">IF($B457="","",$I457*PROV_AGUINALDO)</f>
        <v/>
      </c>
      <c r="P457" s="35" t="str">
        <f aca="false">IF($B457="","",$I457*PROV_VACACIONES)</f>
        <v/>
      </c>
      <c r="Q457" s="35" t="str">
        <f aca="false">IF($B457="","",$I457*PROV_CESANTIA)</f>
        <v/>
      </c>
      <c r="R457" s="35" t="str">
        <f aca="false">IF($B457="","",$I457+SUM($M457:$Q457))</f>
        <v/>
      </c>
      <c r="S457" s="46" t="str">
        <f aca="false">IF(OR($A457="",$B457=""),"",DATE(YEAR($A457),MONTH($A457),1))</f>
        <v/>
      </c>
    </row>
    <row r="458" customFormat="false" ht="15" hidden="false" customHeight="false" outlineLevel="0" collapsed="false">
      <c r="A458" s="55"/>
      <c r="B458" s="6"/>
      <c r="C458" s="6"/>
      <c r="D458" s="40"/>
      <c r="E458" s="39"/>
      <c r="F458" s="35" t="str">
        <f aca="false">IF($B458="","",N($D458)/HORAS_MES*RECARGO_HE)</f>
        <v/>
      </c>
      <c r="G458" s="35" t="str">
        <f aca="false">IF($B458="","",N($E458)*$F458)</f>
        <v/>
      </c>
      <c r="H458" s="40"/>
      <c r="I458" s="35" t="str">
        <f aca="false">IF($B458="","",N($D458)+$G458+N($H458))</f>
        <v/>
      </c>
      <c r="J458" s="35" t="str">
        <f aca="false">IF($B458="","",$I458*CCSS_OBRERO)</f>
        <v/>
      </c>
      <c r="K458" s="40"/>
      <c r="L458" s="35" t="str">
        <f aca="false">IF($B458="","",$I458-$J458-N($K458))</f>
        <v/>
      </c>
      <c r="M458" s="35" t="str">
        <f aca="false">IF($B458="","",$I458*CCSS_PATRONAL)</f>
        <v/>
      </c>
      <c r="N458" s="35" t="str">
        <f aca="false">IF($B458="","",$I458*INS_RT)</f>
        <v/>
      </c>
      <c r="O458" s="35" t="str">
        <f aca="false">IF($B458="","",$I458*PROV_AGUINALDO)</f>
        <v/>
      </c>
      <c r="P458" s="35" t="str">
        <f aca="false">IF($B458="","",$I458*PROV_VACACIONES)</f>
        <v/>
      </c>
      <c r="Q458" s="35" t="str">
        <f aca="false">IF($B458="","",$I458*PROV_CESANTIA)</f>
        <v/>
      </c>
      <c r="R458" s="35" t="str">
        <f aca="false">IF($B458="","",$I458+SUM($M458:$Q458))</f>
        <v/>
      </c>
      <c r="S458" s="46" t="str">
        <f aca="false">IF(OR($A458="",$B458=""),"",DATE(YEAR($A458),MONTH($A458),1))</f>
        <v/>
      </c>
    </row>
    <row r="459" customFormat="false" ht="15" hidden="false" customHeight="false" outlineLevel="0" collapsed="false">
      <c r="A459" s="55"/>
      <c r="B459" s="6"/>
      <c r="C459" s="6"/>
      <c r="D459" s="40"/>
      <c r="E459" s="39"/>
      <c r="F459" s="35" t="str">
        <f aca="false">IF($B459="","",N($D459)/HORAS_MES*RECARGO_HE)</f>
        <v/>
      </c>
      <c r="G459" s="35" t="str">
        <f aca="false">IF($B459="","",N($E459)*$F459)</f>
        <v/>
      </c>
      <c r="H459" s="40"/>
      <c r="I459" s="35" t="str">
        <f aca="false">IF($B459="","",N($D459)+$G459+N($H459))</f>
        <v/>
      </c>
      <c r="J459" s="35" t="str">
        <f aca="false">IF($B459="","",$I459*CCSS_OBRERO)</f>
        <v/>
      </c>
      <c r="K459" s="40"/>
      <c r="L459" s="35" t="str">
        <f aca="false">IF($B459="","",$I459-$J459-N($K459))</f>
        <v/>
      </c>
      <c r="M459" s="35" t="str">
        <f aca="false">IF($B459="","",$I459*CCSS_PATRONAL)</f>
        <v/>
      </c>
      <c r="N459" s="35" t="str">
        <f aca="false">IF($B459="","",$I459*INS_RT)</f>
        <v/>
      </c>
      <c r="O459" s="35" t="str">
        <f aca="false">IF($B459="","",$I459*PROV_AGUINALDO)</f>
        <v/>
      </c>
      <c r="P459" s="35" t="str">
        <f aca="false">IF($B459="","",$I459*PROV_VACACIONES)</f>
        <v/>
      </c>
      <c r="Q459" s="35" t="str">
        <f aca="false">IF($B459="","",$I459*PROV_CESANTIA)</f>
        <v/>
      </c>
      <c r="R459" s="35" t="str">
        <f aca="false">IF($B459="","",$I459+SUM($M459:$Q459))</f>
        <v/>
      </c>
      <c r="S459" s="46" t="str">
        <f aca="false">IF(OR($A459="",$B459=""),"",DATE(YEAR($A459),MONTH($A459),1))</f>
        <v/>
      </c>
    </row>
    <row r="460" customFormat="false" ht="15" hidden="false" customHeight="false" outlineLevel="0" collapsed="false">
      <c r="A460" s="55"/>
      <c r="B460" s="6"/>
      <c r="C460" s="6"/>
      <c r="D460" s="40"/>
      <c r="E460" s="39"/>
      <c r="F460" s="35" t="str">
        <f aca="false">IF($B460="","",N($D460)/HORAS_MES*RECARGO_HE)</f>
        <v/>
      </c>
      <c r="G460" s="35" t="str">
        <f aca="false">IF($B460="","",N($E460)*$F460)</f>
        <v/>
      </c>
      <c r="H460" s="40"/>
      <c r="I460" s="35" t="str">
        <f aca="false">IF($B460="","",N($D460)+$G460+N($H460))</f>
        <v/>
      </c>
      <c r="J460" s="35" t="str">
        <f aca="false">IF($B460="","",$I460*CCSS_OBRERO)</f>
        <v/>
      </c>
      <c r="K460" s="40"/>
      <c r="L460" s="35" t="str">
        <f aca="false">IF($B460="","",$I460-$J460-N($K460))</f>
        <v/>
      </c>
      <c r="M460" s="35" t="str">
        <f aca="false">IF($B460="","",$I460*CCSS_PATRONAL)</f>
        <v/>
      </c>
      <c r="N460" s="35" t="str">
        <f aca="false">IF($B460="","",$I460*INS_RT)</f>
        <v/>
      </c>
      <c r="O460" s="35" t="str">
        <f aca="false">IF($B460="","",$I460*PROV_AGUINALDO)</f>
        <v/>
      </c>
      <c r="P460" s="35" t="str">
        <f aca="false">IF($B460="","",$I460*PROV_VACACIONES)</f>
        <v/>
      </c>
      <c r="Q460" s="35" t="str">
        <f aca="false">IF($B460="","",$I460*PROV_CESANTIA)</f>
        <v/>
      </c>
      <c r="R460" s="35" t="str">
        <f aca="false">IF($B460="","",$I460+SUM($M460:$Q460))</f>
        <v/>
      </c>
      <c r="S460" s="46" t="str">
        <f aca="false">IF(OR($A460="",$B460=""),"",DATE(YEAR($A460),MONTH($A460),1))</f>
        <v/>
      </c>
    </row>
    <row r="461" customFormat="false" ht="15" hidden="false" customHeight="false" outlineLevel="0" collapsed="false">
      <c r="A461" s="55"/>
      <c r="B461" s="6"/>
      <c r="C461" s="6"/>
      <c r="D461" s="40"/>
      <c r="E461" s="39"/>
      <c r="F461" s="35" t="str">
        <f aca="false">IF($B461="","",N($D461)/HORAS_MES*RECARGO_HE)</f>
        <v/>
      </c>
      <c r="G461" s="35" t="str">
        <f aca="false">IF($B461="","",N($E461)*$F461)</f>
        <v/>
      </c>
      <c r="H461" s="40"/>
      <c r="I461" s="35" t="str">
        <f aca="false">IF($B461="","",N($D461)+$G461+N($H461))</f>
        <v/>
      </c>
      <c r="J461" s="35" t="str">
        <f aca="false">IF($B461="","",$I461*CCSS_OBRERO)</f>
        <v/>
      </c>
      <c r="K461" s="40"/>
      <c r="L461" s="35" t="str">
        <f aca="false">IF($B461="","",$I461-$J461-N($K461))</f>
        <v/>
      </c>
      <c r="M461" s="35" t="str">
        <f aca="false">IF($B461="","",$I461*CCSS_PATRONAL)</f>
        <v/>
      </c>
      <c r="N461" s="35" t="str">
        <f aca="false">IF($B461="","",$I461*INS_RT)</f>
        <v/>
      </c>
      <c r="O461" s="35" t="str">
        <f aca="false">IF($B461="","",$I461*PROV_AGUINALDO)</f>
        <v/>
      </c>
      <c r="P461" s="35" t="str">
        <f aca="false">IF($B461="","",$I461*PROV_VACACIONES)</f>
        <v/>
      </c>
      <c r="Q461" s="35" t="str">
        <f aca="false">IF($B461="","",$I461*PROV_CESANTIA)</f>
        <v/>
      </c>
      <c r="R461" s="35" t="str">
        <f aca="false">IF($B461="","",$I461+SUM($M461:$Q461))</f>
        <v/>
      </c>
      <c r="S461" s="46" t="str">
        <f aca="false">IF(OR($A461="",$B461=""),"",DATE(YEAR($A461),MONTH($A461),1))</f>
        <v/>
      </c>
    </row>
    <row r="462" customFormat="false" ht="15" hidden="false" customHeight="false" outlineLevel="0" collapsed="false">
      <c r="A462" s="55"/>
      <c r="B462" s="6"/>
      <c r="C462" s="6"/>
      <c r="D462" s="40"/>
      <c r="E462" s="39"/>
      <c r="F462" s="35" t="str">
        <f aca="false">IF($B462="","",N($D462)/HORAS_MES*RECARGO_HE)</f>
        <v/>
      </c>
      <c r="G462" s="35" t="str">
        <f aca="false">IF($B462="","",N($E462)*$F462)</f>
        <v/>
      </c>
      <c r="H462" s="40"/>
      <c r="I462" s="35" t="str">
        <f aca="false">IF($B462="","",N($D462)+$G462+N($H462))</f>
        <v/>
      </c>
      <c r="J462" s="35" t="str">
        <f aca="false">IF($B462="","",$I462*CCSS_OBRERO)</f>
        <v/>
      </c>
      <c r="K462" s="40"/>
      <c r="L462" s="35" t="str">
        <f aca="false">IF($B462="","",$I462-$J462-N($K462))</f>
        <v/>
      </c>
      <c r="M462" s="35" t="str">
        <f aca="false">IF($B462="","",$I462*CCSS_PATRONAL)</f>
        <v/>
      </c>
      <c r="N462" s="35" t="str">
        <f aca="false">IF($B462="","",$I462*INS_RT)</f>
        <v/>
      </c>
      <c r="O462" s="35" t="str">
        <f aca="false">IF($B462="","",$I462*PROV_AGUINALDO)</f>
        <v/>
      </c>
      <c r="P462" s="35" t="str">
        <f aca="false">IF($B462="","",$I462*PROV_VACACIONES)</f>
        <v/>
      </c>
      <c r="Q462" s="35" t="str">
        <f aca="false">IF($B462="","",$I462*PROV_CESANTIA)</f>
        <v/>
      </c>
      <c r="R462" s="35" t="str">
        <f aca="false">IF($B462="","",$I462+SUM($M462:$Q462))</f>
        <v/>
      </c>
      <c r="S462" s="46" t="str">
        <f aca="false">IF(OR($A462="",$B462=""),"",DATE(YEAR($A462),MONTH($A462),1))</f>
        <v/>
      </c>
    </row>
    <row r="463" customFormat="false" ht="15" hidden="false" customHeight="false" outlineLevel="0" collapsed="false">
      <c r="A463" s="55"/>
      <c r="B463" s="6"/>
      <c r="C463" s="6"/>
      <c r="D463" s="40"/>
      <c r="E463" s="39"/>
      <c r="F463" s="35" t="str">
        <f aca="false">IF($B463="","",N($D463)/HORAS_MES*RECARGO_HE)</f>
        <v/>
      </c>
      <c r="G463" s="35" t="str">
        <f aca="false">IF($B463="","",N($E463)*$F463)</f>
        <v/>
      </c>
      <c r="H463" s="40"/>
      <c r="I463" s="35" t="str">
        <f aca="false">IF($B463="","",N($D463)+$G463+N($H463))</f>
        <v/>
      </c>
      <c r="J463" s="35" t="str">
        <f aca="false">IF($B463="","",$I463*CCSS_OBRERO)</f>
        <v/>
      </c>
      <c r="K463" s="40"/>
      <c r="L463" s="35" t="str">
        <f aca="false">IF($B463="","",$I463-$J463-N($K463))</f>
        <v/>
      </c>
      <c r="M463" s="35" t="str">
        <f aca="false">IF($B463="","",$I463*CCSS_PATRONAL)</f>
        <v/>
      </c>
      <c r="N463" s="35" t="str">
        <f aca="false">IF($B463="","",$I463*INS_RT)</f>
        <v/>
      </c>
      <c r="O463" s="35" t="str">
        <f aca="false">IF($B463="","",$I463*PROV_AGUINALDO)</f>
        <v/>
      </c>
      <c r="P463" s="35" t="str">
        <f aca="false">IF($B463="","",$I463*PROV_VACACIONES)</f>
        <v/>
      </c>
      <c r="Q463" s="35" t="str">
        <f aca="false">IF($B463="","",$I463*PROV_CESANTIA)</f>
        <v/>
      </c>
      <c r="R463" s="35" t="str">
        <f aca="false">IF($B463="","",$I463+SUM($M463:$Q463))</f>
        <v/>
      </c>
      <c r="S463" s="46" t="str">
        <f aca="false">IF(OR($A463="",$B463=""),"",DATE(YEAR($A463),MONTH($A463),1))</f>
        <v/>
      </c>
    </row>
    <row r="464" customFormat="false" ht="15" hidden="false" customHeight="false" outlineLevel="0" collapsed="false">
      <c r="A464" s="55"/>
      <c r="B464" s="6"/>
      <c r="C464" s="6"/>
      <c r="D464" s="40"/>
      <c r="E464" s="39"/>
      <c r="F464" s="35" t="str">
        <f aca="false">IF($B464="","",N($D464)/HORAS_MES*RECARGO_HE)</f>
        <v/>
      </c>
      <c r="G464" s="35" t="str">
        <f aca="false">IF($B464="","",N($E464)*$F464)</f>
        <v/>
      </c>
      <c r="H464" s="40"/>
      <c r="I464" s="35" t="str">
        <f aca="false">IF($B464="","",N($D464)+$G464+N($H464))</f>
        <v/>
      </c>
      <c r="J464" s="35" t="str">
        <f aca="false">IF($B464="","",$I464*CCSS_OBRERO)</f>
        <v/>
      </c>
      <c r="K464" s="40"/>
      <c r="L464" s="35" t="str">
        <f aca="false">IF($B464="","",$I464-$J464-N($K464))</f>
        <v/>
      </c>
      <c r="M464" s="35" t="str">
        <f aca="false">IF($B464="","",$I464*CCSS_PATRONAL)</f>
        <v/>
      </c>
      <c r="N464" s="35" t="str">
        <f aca="false">IF($B464="","",$I464*INS_RT)</f>
        <v/>
      </c>
      <c r="O464" s="35" t="str">
        <f aca="false">IF($B464="","",$I464*PROV_AGUINALDO)</f>
        <v/>
      </c>
      <c r="P464" s="35" t="str">
        <f aca="false">IF($B464="","",$I464*PROV_VACACIONES)</f>
        <v/>
      </c>
      <c r="Q464" s="35" t="str">
        <f aca="false">IF($B464="","",$I464*PROV_CESANTIA)</f>
        <v/>
      </c>
      <c r="R464" s="35" t="str">
        <f aca="false">IF($B464="","",$I464+SUM($M464:$Q464))</f>
        <v/>
      </c>
      <c r="S464" s="46" t="str">
        <f aca="false">IF(OR($A464="",$B464=""),"",DATE(YEAR($A464),MONTH($A464),1))</f>
        <v/>
      </c>
    </row>
    <row r="465" customFormat="false" ht="15" hidden="false" customHeight="false" outlineLevel="0" collapsed="false">
      <c r="A465" s="55"/>
      <c r="B465" s="6"/>
      <c r="C465" s="6"/>
      <c r="D465" s="40"/>
      <c r="E465" s="39"/>
      <c r="F465" s="35" t="str">
        <f aca="false">IF($B465="","",N($D465)/HORAS_MES*RECARGO_HE)</f>
        <v/>
      </c>
      <c r="G465" s="35" t="str">
        <f aca="false">IF($B465="","",N($E465)*$F465)</f>
        <v/>
      </c>
      <c r="H465" s="40"/>
      <c r="I465" s="35" t="str">
        <f aca="false">IF($B465="","",N($D465)+$G465+N($H465))</f>
        <v/>
      </c>
      <c r="J465" s="35" t="str">
        <f aca="false">IF($B465="","",$I465*CCSS_OBRERO)</f>
        <v/>
      </c>
      <c r="K465" s="40"/>
      <c r="L465" s="35" t="str">
        <f aca="false">IF($B465="","",$I465-$J465-N($K465))</f>
        <v/>
      </c>
      <c r="M465" s="35" t="str">
        <f aca="false">IF($B465="","",$I465*CCSS_PATRONAL)</f>
        <v/>
      </c>
      <c r="N465" s="35" t="str">
        <f aca="false">IF($B465="","",$I465*INS_RT)</f>
        <v/>
      </c>
      <c r="O465" s="35" t="str">
        <f aca="false">IF($B465="","",$I465*PROV_AGUINALDO)</f>
        <v/>
      </c>
      <c r="P465" s="35" t="str">
        <f aca="false">IF($B465="","",$I465*PROV_VACACIONES)</f>
        <v/>
      </c>
      <c r="Q465" s="35" t="str">
        <f aca="false">IF($B465="","",$I465*PROV_CESANTIA)</f>
        <v/>
      </c>
      <c r="R465" s="35" t="str">
        <f aca="false">IF($B465="","",$I465+SUM($M465:$Q465))</f>
        <v/>
      </c>
      <c r="S465" s="46" t="str">
        <f aca="false">IF(OR($A465="",$B465=""),"",DATE(YEAR($A465),MONTH($A465),1))</f>
        <v/>
      </c>
    </row>
    <row r="466" customFormat="false" ht="15" hidden="false" customHeight="false" outlineLevel="0" collapsed="false">
      <c r="A466" s="55"/>
      <c r="B466" s="6"/>
      <c r="C466" s="6"/>
      <c r="D466" s="40"/>
      <c r="E466" s="39"/>
      <c r="F466" s="35" t="str">
        <f aca="false">IF($B466="","",N($D466)/HORAS_MES*RECARGO_HE)</f>
        <v/>
      </c>
      <c r="G466" s="35" t="str">
        <f aca="false">IF($B466="","",N($E466)*$F466)</f>
        <v/>
      </c>
      <c r="H466" s="40"/>
      <c r="I466" s="35" t="str">
        <f aca="false">IF($B466="","",N($D466)+$G466+N($H466))</f>
        <v/>
      </c>
      <c r="J466" s="35" t="str">
        <f aca="false">IF($B466="","",$I466*CCSS_OBRERO)</f>
        <v/>
      </c>
      <c r="K466" s="40"/>
      <c r="L466" s="35" t="str">
        <f aca="false">IF($B466="","",$I466-$J466-N($K466))</f>
        <v/>
      </c>
      <c r="M466" s="35" t="str">
        <f aca="false">IF($B466="","",$I466*CCSS_PATRONAL)</f>
        <v/>
      </c>
      <c r="N466" s="35" t="str">
        <f aca="false">IF($B466="","",$I466*INS_RT)</f>
        <v/>
      </c>
      <c r="O466" s="35" t="str">
        <f aca="false">IF($B466="","",$I466*PROV_AGUINALDO)</f>
        <v/>
      </c>
      <c r="P466" s="35" t="str">
        <f aca="false">IF($B466="","",$I466*PROV_VACACIONES)</f>
        <v/>
      </c>
      <c r="Q466" s="35" t="str">
        <f aca="false">IF($B466="","",$I466*PROV_CESANTIA)</f>
        <v/>
      </c>
      <c r="R466" s="35" t="str">
        <f aca="false">IF($B466="","",$I466+SUM($M466:$Q466))</f>
        <v/>
      </c>
      <c r="S466" s="46" t="str">
        <f aca="false">IF(OR($A466="",$B466=""),"",DATE(YEAR($A466),MONTH($A466),1))</f>
        <v/>
      </c>
    </row>
    <row r="467" customFormat="false" ht="15" hidden="false" customHeight="false" outlineLevel="0" collapsed="false">
      <c r="A467" s="55"/>
      <c r="B467" s="6"/>
      <c r="C467" s="6"/>
      <c r="D467" s="40"/>
      <c r="E467" s="39"/>
      <c r="F467" s="35" t="str">
        <f aca="false">IF($B467="","",N($D467)/HORAS_MES*RECARGO_HE)</f>
        <v/>
      </c>
      <c r="G467" s="35" t="str">
        <f aca="false">IF($B467="","",N($E467)*$F467)</f>
        <v/>
      </c>
      <c r="H467" s="40"/>
      <c r="I467" s="35" t="str">
        <f aca="false">IF($B467="","",N($D467)+$G467+N($H467))</f>
        <v/>
      </c>
      <c r="J467" s="35" t="str">
        <f aca="false">IF($B467="","",$I467*CCSS_OBRERO)</f>
        <v/>
      </c>
      <c r="K467" s="40"/>
      <c r="L467" s="35" t="str">
        <f aca="false">IF($B467="","",$I467-$J467-N($K467))</f>
        <v/>
      </c>
      <c r="M467" s="35" t="str">
        <f aca="false">IF($B467="","",$I467*CCSS_PATRONAL)</f>
        <v/>
      </c>
      <c r="N467" s="35" t="str">
        <f aca="false">IF($B467="","",$I467*INS_RT)</f>
        <v/>
      </c>
      <c r="O467" s="35" t="str">
        <f aca="false">IF($B467="","",$I467*PROV_AGUINALDO)</f>
        <v/>
      </c>
      <c r="P467" s="35" t="str">
        <f aca="false">IF($B467="","",$I467*PROV_VACACIONES)</f>
        <v/>
      </c>
      <c r="Q467" s="35" t="str">
        <f aca="false">IF($B467="","",$I467*PROV_CESANTIA)</f>
        <v/>
      </c>
      <c r="R467" s="35" t="str">
        <f aca="false">IF($B467="","",$I467+SUM($M467:$Q467))</f>
        <v/>
      </c>
      <c r="S467" s="46" t="str">
        <f aca="false">IF(OR($A467="",$B467=""),"",DATE(YEAR($A467),MONTH($A467),1))</f>
        <v/>
      </c>
    </row>
    <row r="468" customFormat="false" ht="15" hidden="false" customHeight="false" outlineLevel="0" collapsed="false">
      <c r="A468" s="55"/>
      <c r="B468" s="6"/>
      <c r="C468" s="6"/>
      <c r="D468" s="40"/>
      <c r="E468" s="39"/>
      <c r="F468" s="35" t="str">
        <f aca="false">IF($B468="","",N($D468)/HORAS_MES*RECARGO_HE)</f>
        <v/>
      </c>
      <c r="G468" s="35" t="str">
        <f aca="false">IF($B468="","",N($E468)*$F468)</f>
        <v/>
      </c>
      <c r="H468" s="40"/>
      <c r="I468" s="35" t="str">
        <f aca="false">IF($B468="","",N($D468)+$G468+N($H468))</f>
        <v/>
      </c>
      <c r="J468" s="35" t="str">
        <f aca="false">IF($B468="","",$I468*CCSS_OBRERO)</f>
        <v/>
      </c>
      <c r="K468" s="40"/>
      <c r="L468" s="35" t="str">
        <f aca="false">IF($B468="","",$I468-$J468-N($K468))</f>
        <v/>
      </c>
      <c r="M468" s="35" t="str">
        <f aca="false">IF($B468="","",$I468*CCSS_PATRONAL)</f>
        <v/>
      </c>
      <c r="N468" s="35" t="str">
        <f aca="false">IF($B468="","",$I468*INS_RT)</f>
        <v/>
      </c>
      <c r="O468" s="35" t="str">
        <f aca="false">IF($B468="","",$I468*PROV_AGUINALDO)</f>
        <v/>
      </c>
      <c r="P468" s="35" t="str">
        <f aca="false">IF($B468="","",$I468*PROV_VACACIONES)</f>
        <v/>
      </c>
      <c r="Q468" s="35" t="str">
        <f aca="false">IF($B468="","",$I468*PROV_CESANTIA)</f>
        <v/>
      </c>
      <c r="R468" s="35" t="str">
        <f aca="false">IF($B468="","",$I468+SUM($M468:$Q468))</f>
        <v/>
      </c>
      <c r="S468" s="46" t="str">
        <f aca="false">IF(OR($A468="",$B468=""),"",DATE(YEAR($A468),MONTH($A468),1))</f>
        <v/>
      </c>
    </row>
    <row r="469" customFormat="false" ht="15" hidden="false" customHeight="false" outlineLevel="0" collapsed="false">
      <c r="A469" s="55"/>
      <c r="B469" s="6"/>
      <c r="C469" s="6"/>
      <c r="D469" s="40"/>
      <c r="E469" s="39"/>
      <c r="F469" s="35" t="str">
        <f aca="false">IF($B469="","",N($D469)/HORAS_MES*RECARGO_HE)</f>
        <v/>
      </c>
      <c r="G469" s="35" t="str">
        <f aca="false">IF($B469="","",N($E469)*$F469)</f>
        <v/>
      </c>
      <c r="H469" s="40"/>
      <c r="I469" s="35" t="str">
        <f aca="false">IF($B469="","",N($D469)+$G469+N($H469))</f>
        <v/>
      </c>
      <c r="J469" s="35" t="str">
        <f aca="false">IF($B469="","",$I469*CCSS_OBRERO)</f>
        <v/>
      </c>
      <c r="K469" s="40"/>
      <c r="L469" s="35" t="str">
        <f aca="false">IF($B469="","",$I469-$J469-N($K469))</f>
        <v/>
      </c>
      <c r="M469" s="35" t="str">
        <f aca="false">IF($B469="","",$I469*CCSS_PATRONAL)</f>
        <v/>
      </c>
      <c r="N469" s="35" t="str">
        <f aca="false">IF($B469="","",$I469*INS_RT)</f>
        <v/>
      </c>
      <c r="O469" s="35" t="str">
        <f aca="false">IF($B469="","",$I469*PROV_AGUINALDO)</f>
        <v/>
      </c>
      <c r="P469" s="35" t="str">
        <f aca="false">IF($B469="","",$I469*PROV_VACACIONES)</f>
        <v/>
      </c>
      <c r="Q469" s="35" t="str">
        <f aca="false">IF($B469="","",$I469*PROV_CESANTIA)</f>
        <v/>
      </c>
      <c r="R469" s="35" t="str">
        <f aca="false">IF($B469="","",$I469+SUM($M469:$Q469))</f>
        <v/>
      </c>
      <c r="S469" s="46" t="str">
        <f aca="false">IF(OR($A469="",$B469=""),"",DATE(YEAR($A469),MONTH($A469),1))</f>
        <v/>
      </c>
    </row>
    <row r="470" customFormat="false" ht="15" hidden="false" customHeight="false" outlineLevel="0" collapsed="false">
      <c r="A470" s="55"/>
      <c r="B470" s="6"/>
      <c r="C470" s="6"/>
      <c r="D470" s="40"/>
      <c r="E470" s="39"/>
      <c r="F470" s="35" t="str">
        <f aca="false">IF($B470="","",N($D470)/HORAS_MES*RECARGO_HE)</f>
        <v/>
      </c>
      <c r="G470" s="35" t="str">
        <f aca="false">IF($B470="","",N($E470)*$F470)</f>
        <v/>
      </c>
      <c r="H470" s="40"/>
      <c r="I470" s="35" t="str">
        <f aca="false">IF($B470="","",N($D470)+$G470+N($H470))</f>
        <v/>
      </c>
      <c r="J470" s="35" t="str">
        <f aca="false">IF($B470="","",$I470*CCSS_OBRERO)</f>
        <v/>
      </c>
      <c r="K470" s="40"/>
      <c r="L470" s="35" t="str">
        <f aca="false">IF($B470="","",$I470-$J470-N($K470))</f>
        <v/>
      </c>
      <c r="M470" s="35" t="str">
        <f aca="false">IF($B470="","",$I470*CCSS_PATRONAL)</f>
        <v/>
      </c>
      <c r="N470" s="35" t="str">
        <f aca="false">IF($B470="","",$I470*INS_RT)</f>
        <v/>
      </c>
      <c r="O470" s="35" t="str">
        <f aca="false">IF($B470="","",$I470*PROV_AGUINALDO)</f>
        <v/>
      </c>
      <c r="P470" s="35" t="str">
        <f aca="false">IF($B470="","",$I470*PROV_VACACIONES)</f>
        <v/>
      </c>
      <c r="Q470" s="35" t="str">
        <f aca="false">IF($B470="","",$I470*PROV_CESANTIA)</f>
        <v/>
      </c>
      <c r="R470" s="35" t="str">
        <f aca="false">IF($B470="","",$I470+SUM($M470:$Q470))</f>
        <v/>
      </c>
      <c r="S470" s="46" t="str">
        <f aca="false">IF(OR($A470="",$B470=""),"",DATE(YEAR($A470),MONTH($A470),1))</f>
        <v/>
      </c>
    </row>
    <row r="471" customFormat="false" ht="15" hidden="false" customHeight="false" outlineLevel="0" collapsed="false">
      <c r="A471" s="55"/>
      <c r="B471" s="6"/>
      <c r="C471" s="6"/>
      <c r="D471" s="40"/>
      <c r="E471" s="39"/>
      <c r="F471" s="35" t="str">
        <f aca="false">IF($B471="","",N($D471)/HORAS_MES*RECARGO_HE)</f>
        <v/>
      </c>
      <c r="G471" s="35" t="str">
        <f aca="false">IF($B471="","",N($E471)*$F471)</f>
        <v/>
      </c>
      <c r="H471" s="40"/>
      <c r="I471" s="35" t="str">
        <f aca="false">IF($B471="","",N($D471)+$G471+N($H471))</f>
        <v/>
      </c>
      <c r="J471" s="35" t="str">
        <f aca="false">IF($B471="","",$I471*CCSS_OBRERO)</f>
        <v/>
      </c>
      <c r="K471" s="40"/>
      <c r="L471" s="35" t="str">
        <f aca="false">IF($B471="","",$I471-$J471-N($K471))</f>
        <v/>
      </c>
      <c r="M471" s="35" t="str">
        <f aca="false">IF($B471="","",$I471*CCSS_PATRONAL)</f>
        <v/>
      </c>
      <c r="N471" s="35" t="str">
        <f aca="false">IF($B471="","",$I471*INS_RT)</f>
        <v/>
      </c>
      <c r="O471" s="35" t="str">
        <f aca="false">IF($B471="","",$I471*PROV_AGUINALDO)</f>
        <v/>
      </c>
      <c r="P471" s="35" t="str">
        <f aca="false">IF($B471="","",$I471*PROV_VACACIONES)</f>
        <v/>
      </c>
      <c r="Q471" s="35" t="str">
        <f aca="false">IF($B471="","",$I471*PROV_CESANTIA)</f>
        <v/>
      </c>
      <c r="R471" s="35" t="str">
        <f aca="false">IF($B471="","",$I471+SUM($M471:$Q471))</f>
        <v/>
      </c>
      <c r="S471" s="46" t="str">
        <f aca="false">IF(OR($A471="",$B471=""),"",DATE(YEAR($A471),MONTH($A471),1))</f>
        <v/>
      </c>
    </row>
    <row r="472" customFormat="false" ht="15" hidden="false" customHeight="false" outlineLevel="0" collapsed="false">
      <c r="A472" s="55"/>
      <c r="B472" s="6"/>
      <c r="C472" s="6"/>
      <c r="D472" s="40"/>
      <c r="E472" s="39"/>
      <c r="F472" s="35" t="str">
        <f aca="false">IF($B472="","",N($D472)/HORAS_MES*RECARGO_HE)</f>
        <v/>
      </c>
      <c r="G472" s="35" t="str">
        <f aca="false">IF($B472="","",N($E472)*$F472)</f>
        <v/>
      </c>
      <c r="H472" s="40"/>
      <c r="I472" s="35" t="str">
        <f aca="false">IF($B472="","",N($D472)+$G472+N($H472))</f>
        <v/>
      </c>
      <c r="J472" s="35" t="str">
        <f aca="false">IF($B472="","",$I472*CCSS_OBRERO)</f>
        <v/>
      </c>
      <c r="K472" s="40"/>
      <c r="L472" s="35" t="str">
        <f aca="false">IF($B472="","",$I472-$J472-N($K472))</f>
        <v/>
      </c>
      <c r="M472" s="35" t="str">
        <f aca="false">IF($B472="","",$I472*CCSS_PATRONAL)</f>
        <v/>
      </c>
      <c r="N472" s="35" t="str">
        <f aca="false">IF($B472="","",$I472*INS_RT)</f>
        <v/>
      </c>
      <c r="O472" s="35" t="str">
        <f aca="false">IF($B472="","",$I472*PROV_AGUINALDO)</f>
        <v/>
      </c>
      <c r="P472" s="35" t="str">
        <f aca="false">IF($B472="","",$I472*PROV_VACACIONES)</f>
        <v/>
      </c>
      <c r="Q472" s="35" t="str">
        <f aca="false">IF($B472="","",$I472*PROV_CESANTIA)</f>
        <v/>
      </c>
      <c r="R472" s="35" t="str">
        <f aca="false">IF($B472="","",$I472+SUM($M472:$Q472))</f>
        <v/>
      </c>
      <c r="S472" s="46" t="str">
        <f aca="false">IF(OR($A472="",$B472=""),"",DATE(YEAR($A472),MONTH($A472),1))</f>
        <v/>
      </c>
    </row>
    <row r="473" customFormat="false" ht="15" hidden="false" customHeight="false" outlineLevel="0" collapsed="false">
      <c r="A473" s="55"/>
      <c r="B473" s="6"/>
      <c r="C473" s="6"/>
      <c r="D473" s="40"/>
      <c r="E473" s="39"/>
      <c r="F473" s="35" t="str">
        <f aca="false">IF($B473="","",N($D473)/HORAS_MES*RECARGO_HE)</f>
        <v/>
      </c>
      <c r="G473" s="35" t="str">
        <f aca="false">IF($B473="","",N($E473)*$F473)</f>
        <v/>
      </c>
      <c r="H473" s="40"/>
      <c r="I473" s="35" t="str">
        <f aca="false">IF($B473="","",N($D473)+$G473+N($H473))</f>
        <v/>
      </c>
      <c r="J473" s="35" t="str">
        <f aca="false">IF($B473="","",$I473*CCSS_OBRERO)</f>
        <v/>
      </c>
      <c r="K473" s="40"/>
      <c r="L473" s="35" t="str">
        <f aca="false">IF($B473="","",$I473-$J473-N($K473))</f>
        <v/>
      </c>
      <c r="M473" s="35" t="str">
        <f aca="false">IF($B473="","",$I473*CCSS_PATRONAL)</f>
        <v/>
      </c>
      <c r="N473" s="35" t="str">
        <f aca="false">IF($B473="","",$I473*INS_RT)</f>
        <v/>
      </c>
      <c r="O473" s="35" t="str">
        <f aca="false">IF($B473="","",$I473*PROV_AGUINALDO)</f>
        <v/>
      </c>
      <c r="P473" s="35" t="str">
        <f aca="false">IF($B473="","",$I473*PROV_VACACIONES)</f>
        <v/>
      </c>
      <c r="Q473" s="35" t="str">
        <f aca="false">IF($B473="","",$I473*PROV_CESANTIA)</f>
        <v/>
      </c>
      <c r="R473" s="35" t="str">
        <f aca="false">IF($B473="","",$I473+SUM($M473:$Q473))</f>
        <v/>
      </c>
      <c r="S473" s="46" t="str">
        <f aca="false">IF(OR($A473="",$B473=""),"",DATE(YEAR($A473),MONTH($A473),1))</f>
        <v/>
      </c>
    </row>
    <row r="474" customFormat="false" ht="15" hidden="false" customHeight="false" outlineLevel="0" collapsed="false">
      <c r="A474" s="55"/>
      <c r="B474" s="6"/>
      <c r="C474" s="6"/>
      <c r="D474" s="40"/>
      <c r="E474" s="39"/>
      <c r="F474" s="35" t="str">
        <f aca="false">IF($B474="","",N($D474)/HORAS_MES*RECARGO_HE)</f>
        <v/>
      </c>
      <c r="G474" s="35" t="str">
        <f aca="false">IF($B474="","",N($E474)*$F474)</f>
        <v/>
      </c>
      <c r="H474" s="40"/>
      <c r="I474" s="35" t="str">
        <f aca="false">IF($B474="","",N($D474)+$G474+N($H474))</f>
        <v/>
      </c>
      <c r="J474" s="35" t="str">
        <f aca="false">IF($B474="","",$I474*CCSS_OBRERO)</f>
        <v/>
      </c>
      <c r="K474" s="40"/>
      <c r="L474" s="35" t="str">
        <f aca="false">IF($B474="","",$I474-$J474-N($K474))</f>
        <v/>
      </c>
      <c r="M474" s="35" t="str">
        <f aca="false">IF($B474="","",$I474*CCSS_PATRONAL)</f>
        <v/>
      </c>
      <c r="N474" s="35" t="str">
        <f aca="false">IF($B474="","",$I474*INS_RT)</f>
        <v/>
      </c>
      <c r="O474" s="35" t="str">
        <f aca="false">IF($B474="","",$I474*PROV_AGUINALDO)</f>
        <v/>
      </c>
      <c r="P474" s="35" t="str">
        <f aca="false">IF($B474="","",$I474*PROV_VACACIONES)</f>
        <v/>
      </c>
      <c r="Q474" s="35" t="str">
        <f aca="false">IF($B474="","",$I474*PROV_CESANTIA)</f>
        <v/>
      </c>
      <c r="R474" s="35" t="str">
        <f aca="false">IF($B474="","",$I474+SUM($M474:$Q474))</f>
        <v/>
      </c>
      <c r="S474" s="46" t="str">
        <f aca="false">IF(OR($A474="",$B474=""),"",DATE(YEAR($A474),MONTH($A474),1))</f>
        <v/>
      </c>
    </row>
    <row r="475" customFormat="false" ht="15" hidden="false" customHeight="false" outlineLevel="0" collapsed="false">
      <c r="A475" s="55"/>
      <c r="B475" s="6"/>
      <c r="C475" s="6"/>
      <c r="D475" s="40"/>
      <c r="E475" s="39"/>
      <c r="F475" s="35" t="str">
        <f aca="false">IF($B475="","",N($D475)/HORAS_MES*RECARGO_HE)</f>
        <v/>
      </c>
      <c r="G475" s="35" t="str">
        <f aca="false">IF($B475="","",N($E475)*$F475)</f>
        <v/>
      </c>
      <c r="H475" s="40"/>
      <c r="I475" s="35" t="str">
        <f aca="false">IF($B475="","",N($D475)+$G475+N($H475))</f>
        <v/>
      </c>
      <c r="J475" s="35" t="str">
        <f aca="false">IF($B475="","",$I475*CCSS_OBRERO)</f>
        <v/>
      </c>
      <c r="K475" s="40"/>
      <c r="L475" s="35" t="str">
        <f aca="false">IF($B475="","",$I475-$J475-N($K475))</f>
        <v/>
      </c>
      <c r="M475" s="35" t="str">
        <f aca="false">IF($B475="","",$I475*CCSS_PATRONAL)</f>
        <v/>
      </c>
      <c r="N475" s="35" t="str">
        <f aca="false">IF($B475="","",$I475*INS_RT)</f>
        <v/>
      </c>
      <c r="O475" s="35" t="str">
        <f aca="false">IF($B475="","",$I475*PROV_AGUINALDO)</f>
        <v/>
      </c>
      <c r="P475" s="35" t="str">
        <f aca="false">IF($B475="","",$I475*PROV_VACACIONES)</f>
        <v/>
      </c>
      <c r="Q475" s="35" t="str">
        <f aca="false">IF($B475="","",$I475*PROV_CESANTIA)</f>
        <v/>
      </c>
      <c r="R475" s="35" t="str">
        <f aca="false">IF($B475="","",$I475+SUM($M475:$Q475))</f>
        <v/>
      </c>
      <c r="S475" s="46" t="str">
        <f aca="false">IF(OR($A475="",$B475=""),"",DATE(YEAR($A475),MONTH($A475),1))</f>
        <v/>
      </c>
    </row>
    <row r="476" customFormat="false" ht="15" hidden="false" customHeight="false" outlineLevel="0" collapsed="false">
      <c r="A476" s="55"/>
      <c r="B476" s="6"/>
      <c r="C476" s="6"/>
      <c r="D476" s="40"/>
      <c r="E476" s="39"/>
      <c r="F476" s="35" t="str">
        <f aca="false">IF($B476="","",N($D476)/HORAS_MES*RECARGO_HE)</f>
        <v/>
      </c>
      <c r="G476" s="35" t="str">
        <f aca="false">IF($B476="","",N($E476)*$F476)</f>
        <v/>
      </c>
      <c r="H476" s="40"/>
      <c r="I476" s="35" t="str">
        <f aca="false">IF($B476="","",N($D476)+$G476+N($H476))</f>
        <v/>
      </c>
      <c r="J476" s="35" t="str">
        <f aca="false">IF($B476="","",$I476*CCSS_OBRERO)</f>
        <v/>
      </c>
      <c r="K476" s="40"/>
      <c r="L476" s="35" t="str">
        <f aca="false">IF($B476="","",$I476-$J476-N($K476))</f>
        <v/>
      </c>
      <c r="M476" s="35" t="str">
        <f aca="false">IF($B476="","",$I476*CCSS_PATRONAL)</f>
        <v/>
      </c>
      <c r="N476" s="35" t="str">
        <f aca="false">IF($B476="","",$I476*INS_RT)</f>
        <v/>
      </c>
      <c r="O476" s="35" t="str">
        <f aca="false">IF($B476="","",$I476*PROV_AGUINALDO)</f>
        <v/>
      </c>
      <c r="P476" s="35" t="str">
        <f aca="false">IF($B476="","",$I476*PROV_VACACIONES)</f>
        <v/>
      </c>
      <c r="Q476" s="35" t="str">
        <f aca="false">IF($B476="","",$I476*PROV_CESANTIA)</f>
        <v/>
      </c>
      <c r="R476" s="35" t="str">
        <f aca="false">IF($B476="","",$I476+SUM($M476:$Q476))</f>
        <v/>
      </c>
      <c r="S476" s="46" t="str">
        <f aca="false">IF(OR($A476="",$B476=""),"",DATE(YEAR($A476),MONTH($A476),1))</f>
        <v/>
      </c>
    </row>
    <row r="477" customFormat="false" ht="15" hidden="false" customHeight="false" outlineLevel="0" collapsed="false">
      <c r="A477" s="55"/>
      <c r="B477" s="6"/>
      <c r="C477" s="6"/>
      <c r="D477" s="40"/>
      <c r="E477" s="39"/>
      <c r="F477" s="35" t="str">
        <f aca="false">IF($B477="","",N($D477)/HORAS_MES*RECARGO_HE)</f>
        <v/>
      </c>
      <c r="G477" s="35" t="str">
        <f aca="false">IF($B477="","",N($E477)*$F477)</f>
        <v/>
      </c>
      <c r="H477" s="40"/>
      <c r="I477" s="35" t="str">
        <f aca="false">IF($B477="","",N($D477)+$G477+N($H477))</f>
        <v/>
      </c>
      <c r="J477" s="35" t="str">
        <f aca="false">IF($B477="","",$I477*CCSS_OBRERO)</f>
        <v/>
      </c>
      <c r="K477" s="40"/>
      <c r="L477" s="35" t="str">
        <f aca="false">IF($B477="","",$I477-$J477-N($K477))</f>
        <v/>
      </c>
      <c r="M477" s="35" t="str">
        <f aca="false">IF($B477="","",$I477*CCSS_PATRONAL)</f>
        <v/>
      </c>
      <c r="N477" s="35" t="str">
        <f aca="false">IF($B477="","",$I477*INS_RT)</f>
        <v/>
      </c>
      <c r="O477" s="35" t="str">
        <f aca="false">IF($B477="","",$I477*PROV_AGUINALDO)</f>
        <v/>
      </c>
      <c r="P477" s="35" t="str">
        <f aca="false">IF($B477="","",$I477*PROV_VACACIONES)</f>
        <v/>
      </c>
      <c r="Q477" s="35" t="str">
        <f aca="false">IF($B477="","",$I477*PROV_CESANTIA)</f>
        <v/>
      </c>
      <c r="R477" s="35" t="str">
        <f aca="false">IF($B477="","",$I477+SUM($M477:$Q477))</f>
        <v/>
      </c>
      <c r="S477" s="46" t="str">
        <f aca="false">IF(OR($A477="",$B477=""),"",DATE(YEAR($A477),MONTH($A477),1))</f>
        <v/>
      </c>
    </row>
    <row r="478" customFormat="false" ht="15" hidden="false" customHeight="false" outlineLevel="0" collapsed="false">
      <c r="A478" s="55"/>
      <c r="B478" s="6"/>
      <c r="C478" s="6"/>
      <c r="D478" s="40"/>
      <c r="E478" s="39"/>
      <c r="F478" s="35" t="str">
        <f aca="false">IF($B478="","",N($D478)/HORAS_MES*RECARGO_HE)</f>
        <v/>
      </c>
      <c r="G478" s="35" t="str">
        <f aca="false">IF($B478="","",N($E478)*$F478)</f>
        <v/>
      </c>
      <c r="H478" s="40"/>
      <c r="I478" s="35" t="str">
        <f aca="false">IF($B478="","",N($D478)+$G478+N($H478))</f>
        <v/>
      </c>
      <c r="J478" s="35" t="str">
        <f aca="false">IF($B478="","",$I478*CCSS_OBRERO)</f>
        <v/>
      </c>
      <c r="K478" s="40"/>
      <c r="L478" s="35" t="str">
        <f aca="false">IF($B478="","",$I478-$J478-N($K478))</f>
        <v/>
      </c>
      <c r="M478" s="35" t="str">
        <f aca="false">IF($B478="","",$I478*CCSS_PATRONAL)</f>
        <v/>
      </c>
      <c r="N478" s="35" t="str">
        <f aca="false">IF($B478="","",$I478*INS_RT)</f>
        <v/>
      </c>
      <c r="O478" s="35" t="str">
        <f aca="false">IF($B478="","",$I478*PROV_AGUINALDO)</f>
        <v/>
      </c>
      <c r="P478" s="35" t="str">
        <f aca="false">IF($B478="","",$I478*PROV_VACACIONES)</f>
        <v/>
      </c>
      <c r="Q478" s="35" t="str">
        <f aca="false">IF($B478="","",$I478*PROV_CESANTIA)</f>
        <v/>
      </c>
      <c r="R478" s="35" t="str">
        <f aca="false">IF($B478="","",$I478+SUM($M478:$Q478))</f>
        <v/>
      </c>
      <c r="S478" s="46" t="str">
        <f aca="false">IF(OR($A478="",$B478=""),"",DATE(YEAR($A478),MONTH($A478),1))</f>
        <v/>
      </c>
    </row>
    <row r="479" customFormat="false" ht="15" hidden="false" customHeight="false" outlineLevel="0" collapsed="false">
      <c r="A479" s="55"/>
      <c r="B479" s="6"/>
      <c r="C479" s="6"/>
      <c r="D479" s="40"/>
      <c r="E479" s="39"/>
      <c r="F479" s="35" t="str">
        <f aca="false">IF($B479="","",N($D479)/HORAS_MES*RECARGO_HE)</f>
        <v/>
      </c>
      <c r="G479" s="35" t="str">
        <f aca="false">IF($B479="","",N($E479)*$F479)</f>
        <v/>
      </c>
      <c r="H479" s="40"/>
      <c r="I479" s="35" t="str">
        <f aca="false">IF($B479="","",N($D479)+$G479+N($H479))</f>
        <v/>
      </c>
      <c r="J479" s="35" t="str">
        <f aca="false">IF($B479="","",$I479*CCSS_OBRERO)</f>
        <v/>
      </c>
      <c r="K479" s="40"/>
      <c r="L479" s="35" t="str">
        <f aca="false">IF($B479="","",$I479-$J479-N($K479))</f>
        <v/>
      </c>
      <c r="M479" s="35" t="str">
        <f aca="false">IF($B479="","",$I479*CCSS_PATRONAL)</f>
        <v/>
      </c>
      <c r="N479" s="35" t="str">
        <f aca="false">IF($B479="","",$I479*INS_RT)</f>
        <v/>
      </c>
      <c r="O479" s="35" t="str">
        <f aca="false">IF($B479="","",$I479*PROV_AGUINALDO)</f>
        <v/>
      </c>
      <c r="P479" s="35" t="str">
        <f aca="false">IF($B479="","",$I479*PROV_VACACIONES)</f>
        <v/>
      </c>
      <c r="Q479" s="35" t="str">
        <f aca="false">IF($B479="","",$I479*PROV_CESANTIA)</f>
        <v/>
      </c>
      <c r="R479" s="35" t="str">
        <f aca="false">IF($B479="","",$I479+SUM($M479:$Q479))</f>
        <v/>
      </c>
      <c r="S479" s="46" t="str">
        <f aca="false">IF(OR($A479="",$B479=""),"",DATE(YEAR($A479),MONTH($A479),1))</f>
        <v/>
      </c>
    </row>
    <row r="480" customFormat="false" ht="15" hidden="false" customHeight="false" outlineLevel="0" collapsed="false">
      <c r="A480" s="55"/>
      <c r="B480" s="6"/>
      <c r="C480" s="6"/>
      <c r="D480" s="40"/>
      <c r="E480" s="39"/>
      <c r="F480" s="35" t="str">
        <f aca="false">IF($B480="","",N($D480)/HORAS_MES*RECARGO_HE)</f>
        <v/>
      </c>
      <c r="G480" s="35" t="str">
        <f aca="false">IF($B480="","",N($E480)*$F480)</f>
        <v/>
      </c>
      <c r="H480" s="40"/>
      <c r="I480" s="35" t="str">
        <f aca="false">IF($B480="","",N($D480)+$G480+N($H480))</f>
        <v/>
      </c>
      <c r="J480" s="35" t="str">
        <f aca="false">IF($B480="","",$I480*CCSS_OBRERO)</f>
        <v/>
      </c>
      <c r="K480" s="40"/>
      <c r="L480" s="35" t="str">
        <f aca="false">IF($B480="","",$I480-$J480-N($K480))</f>
        <v/>
      </c>
      <c r="M480" s="35" t="str">
        <f aca="false">IF($B480="","",$I480*CCSS_PATRONAL)</f>
        <v/>
      </c>
      <c r="N480" s="35" t="str">
        <f aca="false">IF($B480="","",$I480*INS_RT)</f>
        <v/>
      </c>
      <c r="O480" s="35" t="str">
        <f aca="false">IF($B480="","",$I480*PROV_AGUINALDO)</f>
        <v/>
      </c>
      <c r="P480" s="35" t="str">
        <f aca="false">IF($B480="","",$I480*PROV_VACACIONES)</f>
        <v/>
      </c>
      <c r="Q480" s="35" t="str">
        <f aca="false">IF($B480="","",$I480*PROV_CESANTIA)</f>
        <v/>
      </c>
      <c r="R480" s="35" t="str">
        <f aca="false">IF($B480="","",$I480+SUM($M480:$Q480))</f>
        <v/>
      </c>
      <c r="S480" s="46" t="str">
        <f aca="false">IF(OR($A480="",$B480=""),"",DATE(YEAR($A480),MONTH($A480),1))</f>
        <v/>
      </c>
    </row>
    <row r="481" customFormat="false" ht="15" hidden="false" customHeight="false" outlineLevel="0" collapsed="false">
      <c r="A481" s="55"/>
      <c r="B481" s="6"/>
      <c r="C481" s="6"/>
      <c r="D481" s="40"/>
      <c r="E481" s="39"/>
      <c r="F481" s="35" t="str">
        <f aca="false">IF($B481="","",N($D481)/HORAS_MES*RECARGO_HE)</f>
        <v/>
      </c>
      <c r="G481" s="35" t="str">
        <f aca="false">IF($B481="","",N($E481)*$F481)</f>
        <v/>
      </c>
      <c r="H481" s="40"/>
      <c r="I481" s="35" t="str">
        <f aca="false">IF($B481="","",N($D481)+$G481+N($H481))</f>
        <v/>
      </c>
      <c r="J481" s="35" t="str">
        <f aca="false">IF($B481="","",$I481*CCSS_OBRERO)</f>
        <v/>
      </c>
      <c r="K481" s="40"/>
      <c r="L481" s="35" t="str">
        <f aca="false">IF($B481="","",$I481-$J481-N($K481))</f>
        <v/>
      </c>
      <c r="M481" s="35" t="str">
        <f aca="false">IF($B481="","",$I481*CCSS_PATRONAL)</f>
        <v/>
      </c>
      <c r="N481" s="35" t="str">
        <f aca="false">IF($B481="","",$I481*INS_RT)</f>
        <v/>
      </c>
      <c r="O481" s="35" t="str">
        <f aca="false">IF($B481="","",$I481*PROV_AGUINALDO)</f>
        <v/>
      </c>
      <c r="P481" s="35" t="str">
        <f aca="false">IF($B481="","",$I481*PROV_VACACIONES)</f>
        <v/>
      </c>
      <c r="Q481" s="35" t="str">
        <f aca="false">IF($B481="","",$I481*PROV_CESANTIA)</f>
        <v/>
      </c>
      <c r="R481" s="35" t="str">
        <f aca="false">IF($B481="","",$I481+SUM($M481:$Q481))</f>
        <v/>
      </c>
      <c r="S481" s="46" t="str">
        <f aca="false">IF(OR($A481="",$B481=""),"",DATE(YEAR($A481),MONTH($A481),1))</f>
        <v/>
      </c>
    </row>
    <row r="482" customFormat="false" ht="15" hidden="false" customHeight="false" outlineLevel="0" collapsed="false">
      <c r="A482" s="55"/>
      <c r="B482" s="6"/>
      <c r="C482" s="6"/>
      <c r="D482" s="40"/>
      <c r="E482" s="39"/>
      <c r="F482" s="35" t="str">
        <f aca="false">IF($B482="","",N($D482)/HORAS_MES*RECARGO_HE)</f>
        <v/>
      </c>
      <c r="G482" s="35" t="str">
        <f aca="false">IF($B482="","",N($E482)*$F482)</f>
        <v/>
      </c>
      <c r="H482" s="40"/>
      <c r="I482" s="35" t="str">
        <f aca="false">IF($B482="","",N($D482)+$G482+N($H482))</f>
        <v/>
      </c>
      <c r="J482" s="35" t="str">
        <f aca="false">IF($B482="","",$I482*CCSS_OBRERO)</f>
        <v/>
      </c>
      <c r="K482" s="40"/>
      <c r="L482" s="35" t="str">
        <f aca="false">IF($B482="","",$I482-$J482-N($K482))</f>
        <v/>
      </c>
      <c r="M482" s="35" t="str">
        <f aca="false">IF($B482="","",$I482*CCSS_PATRONAL)</f>
        <v/>
      </c>
      <c r="N482" s="35" t="str">
        <f aca="false">IF($B482="","",$I482*INS_RT)</f>
        <v/>
      </c>
      <c r="O482" s="35" t="str">
        <f aca="false">IF($B482="","",$I482*PROV_AGUINALDO)</f>
        <v/>
      </c>
      <c r="P482" s="35" t="str">
        <f aca="false">IF($B482="","",$I482*PROV_VACACIONES)</f>
        <v/>
      </c>
      <c r="Q482" s="35" t="str">
        <f aca="false">IF($B482="","",$I482*PROV_CESANTIA)</f>
        <v/>
      </c>
      <c r="R482" s="35" t="str">
        <f aca="false">IF($B482="","",$I482+SUM($M482:$Q482))</f>
        <v/>
      </c>
      <c r="S482" s="46" t="str">
        <f aca="false">IF(OR($A482="",$B482=""),"",DATE(YEAR($A482),MONTH($A482),1))</f>
        <v/>
      </c>
    </row>
    <row r="483" customFormat="false" ht="15" hidden="false" customHeight="false" outlineLevel="0" collapsed="false">
      <c r="A483" s="55"/>
      <c r="B483" s="6"/>
      <c r="C483" s="6"/>
      <c r="D483" s="40"/>
      <c r="E483" s="39"/>
      <c r="F483" s="35" t="str">
        <f aca="false">IF($B483="","",N($D483)/HORAS_MES*RECARGO_HE)</f>
        <v/>
      </c>
      <c r="G483" s="35" t="str">
        <f aca="false">IF($B483="","",N($E483)*$F483)</f>
        <v/>
      </c>
      <c r="H483" s="40"/>
      <c r="I483" s="35" t="str">
        <f aca="false">IF($B483="","",N($D483)+$G483+N($H483))</f>
        <v/>
      </c>
      <c r="J483" s="35" t="str">
        <f aca="false">IF($B483="","",$I483*CCSS_OBRERO)</f>
        <v/>
      </c>
      <c r="K483" s="40"/>
      <c r="L483" s="35" t="str">
        <f aca="false">IF($B483="","",$I483-$J483-N($K483))</f>
        <v/>
      </c>
      <c r="M483" s="35" t="str">
        <f aca="false">IF($B483="","",$I483*CCSS_PATRONAL)</f>
        <v/>
      </c>
      <c r="N483" s="35" t="str">
        <f aca="false">IF($B483="","",$I483*INS_RT)</f>
        <v/>
      </c>
      <c r="O483" s="35" t="str">
        <f aca="false">IF($B483="","",$I483*PROV_AGUINALDO)</f>
        <v/>
      </c>
      <c r="P483" s="35" t="str">
        <f aca="false">IF($B483="","",$I483*PROV_VACACIONES)</f>
        <v/>
      </c>
      <c r="Q483" s="35" t="str">
        <f aca="false">IF($B483="","",$I483*PROV_CESANTIA)</f>
        <v/>
      </c>
      <c r="R483" s="35" t="str">
        <f aca="false">IF($B483="","",$I483+SUM($M483:$Q483))</f>
        <v/>
      </c>
      <c r="S483" s="46" t="str">
        <f aca="false">IF(OR($A483="",$B483=""),"",DATE(YEAR($A483),MONTH($A483),1))</f>
        <v/>
      </c>
    </row>
    <row r="484" customFormat="false" ht="15" hidden="false" customHeight="false" outlineLevel="0" collapsed="false">
      <c r="A484" s="55"/>
      <c r="B484" s="6"/>
      <c r="C484" s="6"/>
      <c r="D484" s="40"/>
      <c r="E484" s="39"/>
      <c r="F484" s="35" t="str">
        <f aca="false">IF($B484="","",N($D484)/HORAS_MES*RECARGO_HE)</f>
        <v/>
      </c>
      <c r="G484" s="35" t="str">
        <f aca="false">IF($B484="","",N($E484)*$F484)</f>
        <v/>
      </c>
      <c r="H484" s="40"/>
      <c r="I484" s="35" t="str">
        <f aca="false">IF($B484="","",N($D484)+$G484+N($H484))</f>
        <v/>
      </c>
      <c r="J484" s="35" t="str">
        <f aca="false">IF($B484="","",$I484*CCSS_OBRERO)</f>
        <v/>
      </c>
      <c r="K484" s="40"/>
      <c r="L484" s="35" t="str">
        <f aca="false">IF($B484="","",$I484-$J484-N($K484))</f>
        <v/>
      </c>
      <c r="M484" s="35" t="str">
        <f aca="false">IF($B484="","",$I484*CCSS_PATRONAL)</f>
        <v/>
      </c>
      <c r="N484" s="35" t="str">
        <f aca="false">IF($B484="","",$I484*INS_RT)</f>
        <v/>
      </c>
      <c r="O484" s="35" t="str">
        <f aca="false">IF($B484="","",$I484*PROV_AGUINALDO)</f>
        <v/>
      </c>
      <c r="P484" s="35" t="str">
        <f aca="false">IF($B484="","",$I484*PROV_VACACIONES)</f>
        <v/>
      </c>
      <c r="Q484" s="35" t="str">
        <f aca="false">IF($B484="","",$I484*PROV_CESANTIA)</f>
        <v/>
      </c>
      <c r="R484" s="35" t="str">
        <f aca="false">IF($B484="","",$I484+SUM($M484:$Q484))</f>
        <v/>
      </c>
      <c r="S484" s="46" t="str">
        <f aca="false">IF(OR($A484="",$B484=""),"",DATE(YEAR($A484),MONTH($A484),1))</f>
        <v/>
      </c>
    </row>
    <row r="485" customFormat="false" ht="15" hidden="false" customHeight="false" outlineLevel="0" collapsed="false">
      <c r="A485" s="55"/>
      <c r="B485" s="6"/>
      <c r="C485" s="6"/>
      <c r="D485" s="40"/>
      <c r="E485" s="39"/>
      <c r="F485" s="35" t="str">
        <f aca="false">IF($B485="","",N($D485)/HORAS_MES*RECARGO_HE)</f>
        <v/>
      </c>
      <c r="G485" s="35" t="str">
        <f aca="false">IF($B485="","",N($E485)*$F485)</f>
        <v/>
      </c>
      <c r="H485" s="40"/>
      <c r="I485" s="35" t="str">
        <f aca="false">IF($B485="","",N($D485)+$G485+N($H485))</f>
        <v/>
      </c>
      <c r="J485" s="35" t="str">
        <f aca="false">IF($B485="","",$I485*CCSS_OBRERO)</f>
        <v/>
      </c>
      <c r="K485" s="40"/>
      <c r="L485" s="35" t="str">
        <f aca="false">IF($B485="","",$I485-$J485-N($K485))</f>
        <v/>
      </c>
      <c r="M485" s="35" t="str">
        <f aca="false">IF($B485="","",$I485*CCSS_PATRONAL)</f>
        <v/>
      </c>
      <c r="N485" s="35" t="str">
        <f aca="false">IF($B485="","",$I485*INS_RT)</f>
        <v/>
      </c>
      <c r="O485" s="35" t="str">
        <f aca="false">IF($B485="","",$I485*PROV_AGUINALDO)</f>
        <v/>
      </c>
      <c r="P485" s="35" t="str">
        <f aca="false">IF($B485="","",$I485*PROV_VACACIONES)</f>
        <v/>
      </c>
      <c r="Q485" s="35" t="str">
        <f aca="false">IF($B485="","",$I485*PROV_CESANTIA)</f>
        <v/>
      </c>
      <c r="R485" s="35" t="str">
        <f aca="false">IF($B485="","",$I485+SUM($M485:$Q485))</f>
        <v/>
      </c>
      <c r="S485" s="46" t="str">
        <f aca="false">IF(OR($A485="",$B485=""),"",DATE(YEAR($A485),MONTH($A485),1))</f>
        <v/>
      </c>
    </row>
    <row r="486" customFormat="false" ht="15" hidden="false" customHeight="false" outlineLevel="0" collapsed="false">
      <c r="A486" s="55"/>
      <c r="B486" s="6"/>
      <c r="C486" s="6"/>
      <c r="D486" s="40"/>
      <c r="E486" s="39"/>
      <c r="F486" s="35" t="str">
        <f aca="false">IF($B486="","",N($D486)/HORAS_MES*RECARGO_HE)</f>
        <v/>
      </c>
      <c r="G486" s="35" t="str">
        <f aca="false">IF($B486="","",N($E486)*$F486)</f>
        <v/>
      </c>
      <c r="H486" s="40"/>
      <c r="I486" s="35" t="str">
        <f aca="false">IF($B486="","",N($D486)+$G486+N($H486))</f>
        <v/>
      </c>
      <c r="J486" s="35" t="str">
        <f aca="false">IF($B486="","",$I486*CCSS_OBRERO)</f>
        <v/>
      </c>
      <c r="K486" s="40"/>
      <c r="L486" s="35" t="str">
        <f aca="false">IF($B486="","",$I486-$J486-N($K486))</f>
        <v/>
      </c>
      <c r="M486" s="35" t="str">
        <f aca="false">IF($B486="","",$I486*CCSS_PATRONAL)</f>
        <v/>
      </c>
      <c r="N486" s="35" t="str">
        <f aca="false">IF($B486="","",$I486*INS_RT)</f>
        <v/>
      </c>
      <c r="O486" s="35" t="str">
        <f aca="false">IF($B486="","",$I486*PROV_AGUINALDO)</f>
        <v/>
      </c>
      <c r="P486" s="35" t="str">
        <f aca="false">IF($B486="","",$I486*PROV_VACACIONES)</f>
        <v/>
      </c>
      <c r="Q486" s="35" t="str">
        <f aca="false">IF($B486="","",$I486*PROV_CESANTIA)</f>
        <v/>
      </c>
      <c r="R486" s="35" t="str">
        <f aca="false">IF($B486="","",$I486+SUM($M486:$Q486))</f>
        <v/>
      </c>
      <c r="S486" s="46" t="str">
        <f aca="false">IF(OR($A486="",$B486=""),"",DATE(YEAR($A486),MONTH($A486),1))</f>
        <v/>
      </c>
    </row>
    <row r="487" customFormat="false" ht="15" hidden="false" customHeight="false" outlineLevel="0" collapsed="false">
      <c r="A487" s="55"/>
      <c r="B487" s="6"/>
      <c r="C487" s="6"/>
      <c r="D487" s="40"/>
      <c r="E487" s="39"/>
      <c r="F487" s="35" t="str">
        <f aca="false">IF($B487="","",N($D487)/HORAS_MES*RECARGO_HE)</f>
        <v/>
      </c>
      <c r="G487" s="35" t="str">
        <f aca="false">IF($B487="","",N($E487)*$F487)</f>
        <v/>
      </c>
      <c r="H487" s="40"/>
      <c r="I487" s="35" t="str">
        <f aca="false">IF($B487="","",N($D487)+$G487+N($H487))</f>
        <v/>
      </c>
      <c r="J487" s="35" t="str">
        <f aca="false">IF($B487="","",$I487*CCSS_OBRERO)</f>
        <v/>
      </c>
      <c r="K487" s="40"/>
      <c r="L487" s="35" t="str">
        <f aca="false">IF($B487="","",$I487-$J487-N($K487))</f>
        <v/>
      </c>
      <c r="M487" s="35" t="str">
        <f aca="false">IF($B487="","",$I487*CCSS_PATRONAL)</f>
        <v/>
      </c>
      <c r="N487" s="35" t="str">
        <f aca="false">IF($B487="","",$I487*INS_RT)</f>
        <v/>
      </c>
      <c r="O487" s="35" t="str">
        <f aca="false">IF($B487="","",$I487*PROV_AGUINALDO)</f>
        <v/>
      </c>
      <c r="P487" s="35" t="str">
        <f aca="false">IF($B487="","",$I487*PROV_VACACIONES)</f>
        <v/>
      </c>
      <c r="Q487" s="35" t="str">
        <f aca="false">IF($B487="","",$I487*PROV_CESANTIA)</f>
        <v/>
      </c>
      <c r="R487" s="35" t="str">
        <f aca="false">IF($B487="","",$I487+SUM($M487:$Q487))</f>
        <v/>
      </c>
      <c r="S487" s="46" t="str">
        <f aca="false">IF(OR($A487="",$B487=""),"",DATE(YEAR($A487),MONTH($A487),1))</f>
        <v/>
      </c>
    </row>
    <row r="488" customFormat="false" ht="15" hidden="false" customHeight="false" outlineLevel="0" collapsed="false">
      <c r="A488" s="55"/>
      <c r="B488" s="6"/>
      <c r="C488" s="6"/>
      <c r="D488" s="40"/>
      <c r="E488" s="39"/>
      <c r="F488" s="35" t="str">
        <f aca="false">IF($B488="","",N($D488)/HORAS_MES*RECARGO_HE)</f>
        <v/>
      </c>
      <c r="G488" s="35" t="str">
        <f aca="false">IF($B488="","",N($E488)*$F488)</f>
        <v/>
      </c>
      <c r="H488" s="40"/>
      <c r="I488" s="35" t="str">
        <f aca="false">IF($B488="","",N($D488)+$G488+N($H488))</f>
        <v/>
      </c>
      <c r="J488" s="35" t="str">
        <f aca="false">IF($B488="","",$I488*CCSS_OBRERO)</f>
        <v/>
      </c>
      <c r="K488" s="40"/>
      <c r="L488" s="35" t="str">
        <f aca="false">IF($B488="","",$I488-$J488-N($K488))</f>
        <v/>
      </c>
      <c r="M488" s="35" t="str">
        <f aca="false">IF($B488="","",$I488*CCSS_PATRONAL)</f>
        <v/>
      </c>
      <c r="N488" s="35" t="str">
        <f aca="false">IF($B488="","",$I488*INS_RT)</f>
        <v/>
      </c>
      <c r="O488" s="35" t="str">
        <f aca="false">IF($B488="","",$I488*PROV_AGUINALDO)</f>
        <v/>
      </c>
      <c r="P488" s="35" t="str">
        <f aca="false">IF($B488="","",$I488*PROV_VACACIONES)</f>
        <v/>
      </c>
      <c r="Q488" s="35" t="str">
        <f aca="false">IF($B488="","",$I488*PROV_CESANTIA)</f>
        <v/>
      </c>
      <c r="R488" s="35" t="str">
        <f aca="false">IF($B488="","",$I488+SUM($M488:$Q488))</f>
        <v/>
      </c>
      <c r="S488" s="46" t="str">
        <f aca="false">IF(OR($A488="",$B488=""),"",DATE(YEAR($A488),MONTH($A488),1))</f>
        <v/>
      </c>
    </row>
    <row r="489" customFormat="false" ht="15" hidden="false" customHeight="false" outlineLevel="0" collapsed="false">
      <c r="A489" s="55"/>
      <c r="B489" s="6"/>
      <c r="C489" s="6"/>
      <c r="D489" s="40"/>
      <c r="E489" s="39"/>
      <c r="F489" s="35" t="str">
        <f aca="false">IF($B489="","",N($D489)/HORAS_MES*RECARGO_HE)</f>
        <v/>
      </c>
      <c r="G489" s="35" t="str">
        <f aca="false">IF($B489="","",N($E489)*$F489)</f>
        <v/>
      </c>
      <c r="H489" s="40"/>
      <c r="I489" s="35" t="str">
        <f aca="false">IF($B489="","",N($D489)+$G489+N($H489))</f>
        <v/>
      </c>
      <c r="J489" s="35" t="str">
        <f aca="false">IF($B489="","",$I489*CCSS_OBRERO)</f>
        <v/>
      </c>
      <c r="K489" s="40"/>
      <c r="L489" s="35" t="str">
        <f aca="false">IF($B489="","",$I489-$J489-N($K489))</f>
        <v/>
      </c>
      <c r="M489" s="35" t="str">
        <f aca="false">IF($B489="","",$I489*CCSS_PATRONAL)</f>
        <v/>
      </c>
      <c r="N489" s="35" t="str">
        <f aca="false">IF($B489="","",$I489*INS_RT)</f>
        <v/>
      </c>
      <c r="O489" s="35" t="str">
        <f aca="false">IF($B489="","",$I489*PROV_AGUINALDO)</f>
        <v/>
      </c>
      <c r="P489" s="35" t="str">
        <f aca="false">IF($B489="","",$I489*PROV_VACACIONES)</f>
        <v/>
      </c>
      <c r="Q489" s="35" t="str">
        <f aca="false">IF($B489="","",$I489*PROV_CESANTIA)</f>
        <v/>
      </c>
      <c r="R489" s="35" t="str">
        <f aca="false">IF($B489="","",$I489+SUM($M489:$Q489))</f>
        <v/>
      </c>
      <c r="S489" s="46" t="str">
        <f aca="false">IF(OR($A489="",$B489=""),"",DATE(YEAR($A489),MONTH($A489),1))</f>
        <v/>
      </c>
    </row>
    <row r="490" customFormat="false" ht="15" hidden="false" customHeight="false" outlineLevel="0" collapsed="false">
      <c r="A490" s="55"/>
      <c r="B490" s="6"/>
      <c r="C490" s="6"/>
      <c r="D490" s="40"/>
      <c r="E490" s="39"/>
      <c r="F490" s="35" t="str">
        <f aca="false">IF($B490="","",N($D490)/HORAS_MES*RECARGO_HE)</f>
        <v/>
      </c>
      <c r="G490" s="35" t="str">
        <f aca="false">IF($B490="","",N($E490)*$F490)</f>
        <v/>
      </c>
      <c r="H490" s="40"/>
      <c r="I490" s="35" t="str">
        <f aca="false">IF($B490="","",N($D490)+$G490+N($H490))</f>
        <v/>
      </c>
      <c r="J490" s="35" t="str">
        <f aca="false">IF($B490="","",$I490*CCSS_OBRERO)</f>
        <v/>
      </c>
      <c r="K490" s="40"/>
      <c r="L490" s="35" t="str">
        <f aca="false">IF($B490="","",$I490-$J490-N($K490))</f>
        <v/>
      </c>
      <c r="M490" s="35" t="str">
        <f aca="false">IF($B490="","",$I490*CCSS_PATRONAL)</f>
        <v/>
      </c>
      <c r="N490" s="35" t="str">
        <f aca="false">IF($B490="","",$I490*INS_RT)</f>
        <v/>
      </c>
      <c r="O490" s="35" t="str">
        <f aca="false">IF($B490="","",$I490*PROV_AGUINALDO)</f>
        <v/>
      </c>
      <c r="P490" s="35" t="str">
        <f aca="false">IF($B490="","",$I490*PROV_VACACIONES)</f>
        <v/>
      </c>
      <c r="Q490" s="35" t="str">
        <f aca="false">IF($B490="","",$I490*PROV_CESANTIA)</f>
        <v/>
      </c>
      <c r="R490" s="35" t="str">
        <f aca="false">IF($B490="","",$I490+SUM($M490:$Q490))</f>
        <v/>
      </c>
      <c r="S490" s="46" t="str">
        <f aca="false">IF(OR($A490="",$B490=""),"",DATE(YEAR($A490),MONTH($A490),1))</f>
        <v/>
      </c>
    </row>
    <row r="491" customFormat="false" ht="15" hidden="false" customHeight="false" outlineLevel="0" collapsed="false">
      <c r="A491" s="55"/>
      <c r="B491" s="6"/>
      <c r="C491" s="6"/>
      <c r="D491" s="40"/>
      <c r="E491" s="39"/>
      <c r="F491" s="35" t="str">
        <f aca="false">IF($B491="","",N($D491)/HORAS_MES*RECARGO_HE)</f>
        <v/>
      </c>
      <c r="G491" s="35" t="str">
        <f aca="false">IF($B491="","",N($E491)*$F491)</f>
        <v/>
      </c>
      <c r="H491" s="40"/>
      <c r="I491" s="35" t="str">
        <f aca="false">IF($B491="","",N($D491)+$G491+N($H491))</f>
        <v/>
      </c>
      <c r="J491" s="35" t="str">
        <f aca="false">IF($B491="","",$I491*CCSS_OBRERO)</f>
        <v/>
      </c>
      <c r="K491" s="40"/>
      <c r="L491" s="35" t="str">
        <f aca="false">IF($B491="","",$I491-$J491-N($K491))</f>
        <v/>
      </c>
      <c r="M491" s="35" t="str">
        <f aca="false">IF($B491="","",$I491*CCSS_PATRONAL)</f>
        <v/>
      </c>
      <c r="N491" s="35" t="str">
        <f aca="false">IF($B491="","",$I491*INS_RT)</f>
        <v/>
      </c>
      <c r="O491" s="35" t="str">
        <f aca="false">IF($B491="","",$I491*PROV_AGUINALDO)</f>
        <v/>
      </c>
      <c r="P491" s="35" t="str">
        <f aca="false">IF($B491="","",$I491*PROV_VACACIONES)</f>
        <v/>
      </c>
      <c r="Q491" s="35" t="str">
        <f aca="false">IF($B491="","",$I491*PROV_CESANTIA)</f>
        <v/>
      </c>
      <c r="R491" s="35" t="str">
        <f aca="false">IF($B491="","",$I491+SUM($M491:$Q491))</f>
        <v/>
      </c>
      <c r="S491" s="46" t="str">
        <f aca="false">IF(OR($A491="",$B491=""),"",DATE(YEAR($A491),MONTH($A491),1))</f>
        <v/>
      </c>
    </row>
    <row r="492" customFormat="false" ht="15" hidden="false" customHeight="false" outlineLevel="0" collapsed="false">
      <c r="A492" s="55"/>
      <c r="B492" s="6"/>
      <c r="C492" s="6"/>
      <c r="D492" s="40"/>
      <c r="E492" s="39"/>
      <c r="F492" s="35" t="str">
        <f aca="false">IF($B492="","",N($D492)/HORAS_MES*RECARGO_HE)</f>
        <v/>
      </c>
      <c r="G492" s="35" t="str">
        <f aca="false">IF($B492="","",N($E492)*$F492)</f>
        <v/>
      </c>
      <c r="H492" s="40"/>
      <c r="I492" s="35" t="str">
        <f aca="false">IF($B492="","",N($D492)+$G492+N($H492))</f>
        <v/>
      </c>
      <c r="J492" s="35" t="str">
        <f aca="false">IF($B492="","",$I492*CCSS_OBRERO)</f>
        <v/>
      </c>
      <c r="K492" s="40"/>
      <c r="L492" s="35" t="str">
        <f aca="false">IF($B492="","",$I492-$J492-N($K492))</f>
        <v/>
      </c>
      <c r="M492" s="35" t="str">
        <f aca="false">IF($B492="","",$I492*CCSS_PATRONAL)</f>
        <v/>
      </c>
      <c r="N492" s="35" t="str">
        <f aca="false">IF($B492="","",$I492*INS_RT)</f>
        <v/>
      </c>
      <c r="O492" s="35" t="str">
        <f aca="false">IF($B492="","",$I492*PROV_AGUINALDO)</f>
        <v/>
      </c>
      <c r="P492" s="35" t="str">
        <f aca="false">IF($B492="","",$I492*PROV_VACACIONES)</f>
        <v/>
      </c>
      <c r="Q492" s="35" t="str">
        <f aca="false">IF($B492="","",$I492*PROV_CESANTIA)</f>
        <v/>
      </c>
      <c r="R492" s="35" t="str">
        <f aca="false">IF($B492="","",$I492+SUM($M492:$Q492))</f>
        <v/>
      </c>
      <c r="S492" s="46" t="str">
        <f aca="false">IF(OR($A492="",$B492=""),"",DATE(YEAR($A492),MONTH($A492),1))</f>
        <v/>
      </c>
    </row>
    <row r="493" customFormat="false" ht="15" hidden="false" customHeight="false" outlineLevel="0" collapsed="false">
      <c r="A493" s="55"/>
      <c r="B493" s="6"/>
      <c r="C493" s="6"/>
      <c r="D493" s="40"/>
      <c r="E493" s="39"/>
      <c r="F493" s="35" t="str">
        <f aca="false">IF($B493="","",N($D493)/HORAS_MES*RECARGO_HE)</f>
        <v/>
      </c>
      <c r="G493" s="35" t="str">
        <f aca="false">IF($B493="","",N($E493)*$F493)</f>
        <v/>
      </c>
      <c r="H493" s="40"/>
      <c r="I493" s="35" t="str">
        <f aca="false">IF($B493="","",N($D493)+$G493+N($H493))</f>
        <v/>
      </c>
      <c r="J493" s="35" t="str">
        <f aca="false">IF($B493="","",$I493*CCSS_OBRERO)</f>
        <v/>
      </c>
      <c r="K493" s="40"/>
      <c r="L493" s="35" t="str">
        <f aca="false">IF($B493="","",$I493-$J493-N($K493))</f>
        <v/>
      </c>
      <c r="M493" s="35" t="str">
        <f aca="false">IF($B493="","",$I493*CCSS_PATRONAL)</f>
        <v/>
      </c>
      <c r="N493" s="35" t="str">
        <f aca="false">IF($B493="","",$I493*INS_RT)</f>
        <v/>
      </c>
      <c r="O493" s="35" t="str">
        <f aca="false">IF($B493="","",$I493*PROV_AGUINALDO)</f>
        <v/>
      </c>
      <c r="P493" s="35" t="str">
        <f aca="false">IF($B493="","",$I493*PROV_VACACIONES)</f>
        <v/>
      </c>
      <c r="Q493" s="35" t="str">
        <f aca="false">IF($B493="","",$I493*PROV_CESANTIA)</f>
        <v/>
      </c>
      <c r="R493" s="35" t="str">
        <f aca="false">IF($B493="","",$I493+SUM($M493:$Q493))</f>
        <v/>
      </c>
      <c r="S493" s="46" t="str">
        <f aca="false">IF(OR($A493="",$B493=""),"",DATE(YEAR($A493),MONTH($A493),1))</f>
        <v/>
      </c>
    </row>
    <row r="494" customFormat="false" ht="15" hidden="false" customHeight="false" outlineLevel="0" collapsed="false">
      <c r="A494" s="55"/>
      <c r="B494" s="6"/>
      <c r="C494" s="6"/>
      <c r="D494" s="40"/>
      <c r="E494" s="39"/>
      <c r="F494" s="35" t="str">
        <f aca="false">IF($B494="","",N($D494)/HORAS_MES*RECARGO_HE)</f>
        <v/>
      </c>
      <c r="G494" s="35" t="str">
        <f aca="false">IF($B494="","",N($E494)*$F494)</f>
        <v/>
      </c>
      <c r="H494" s="40"/>
      <c r="I494" s="35" t="str">
        <f aca="false">IF($B494="","",N($D494)+$G494+N($H494))</f>
        <v/>
      </c>
      <c r="J494" s="35" t="str">
        <f aca="false">IF($B494="","",$I494*CCSS_OBRERO)</f>
        <v/>
      </c>
      <c r="K494" s="40"/>
      <c r="L494" s="35" t="str">
        <f aca="false">IF($B494="","",$I494-$J494-N($K494))</f>
        <v/>
      </c>
      <c r="M494" s="35" t="str">
        <f aca="false">IF($B494="","",$I494*CCSS_PATRONAL)</f>
        <v/>
      </c>
      <c r="N494" s="35" t="str">
        <f aca="false">IF($B494="","",$I494*INS_RT)</f>
        <v/>
      </c>
      <c r="O494" s="35" t="str">
        <f aca="false">IF($B494="","",$I494*PROV_AGUINALDO)</f>
        <v/>
      </c>
      <c r="P494" s="35" t="str">
        <f aca="false">IF($B494="","",$I494*PROV_VACACIONES)</f>
        <v/>
      </c>
      <c r="Q494" s="35" t="str">
        <f aca="false">IF($B494="","",$I494*PROV_CESANTIA)</f>
        <v/>
      </c>
      <c r="R494" s="35" t="str">
        <f aca="false">IF($B494="","",$I494+SUM($M494:$Q494))</f>
        <v/>
      </c>
      <c r="S494" s="46" t="str">
        <f aca="false">IF(OR($A494="",$B494=""),"",DATE(YEAR($A494),MONTH($A494),1))</f>
        <v/>
      </c>
    </row>
    <row r="495" customFormat="false" ht="15" hidden="false" customHeight="false" outlineLevel="0" collapsed="false">
      <c r="A495" s="55"/>
      <c r="B495" s="6"/>
      <c r="C495" s="6"/>
      <c r="D495" s="40"/>
      <c r="E495" s="39"/>
      <c r="F495" s="35" t="str">
        <f aca="false">IF($B495="","",N($D495)/HORAS_MES*RECARGO_HE)</f>
        <v/>
      </c>
      <c r="G495" s="35" t="str">
        <f aca="false">IF($B495="","",N($E495)*$F495)</f>
        <v/>
      </c>
      <c r="H495" s="40"/>
      <c r="I495" s="35" t="str">
        <f aca="false">IF($B495="","",N($D495)+$G495+N($H495))</f>
        <v/>
      </c>
      <c r="J495" s="35" t="str">
        <f aca="false">IF($B495="","",$I495*CCSS_OBRERO)</f>
        <v/>
      </c>
      <c r="K495" s="40"/>
      <c r="L495" s="35" t="str">
        <f aca="false">IF($B495="","",$I495-$J495-N($K495))</f>
        <v/>
      </c>
      <c r="M495" s="35" t="str">
        <f aca="false">IF($B495="","",$I495*CCSS_PATRONAL)</f>
        <v/>
      </c>
      <c r="N495" s="35" t="str">
        <f aca="false">IF($B495="","",$I495*INS_RT)</f>
        <v/>
      </c>
      <c r="O495" s="35" t="str">
        <f aca="false">IF($B495="","",$I495*PROV_AGUINALDO)</f>
        <v/>
      </c>
      <c r="P495" s="35" t="str">
        <f aca="false">IF($B495="","",$I495*PROV_VACACIONES)</f>
        <v/>
      </c>
      <c r="Q495" s="35" t="str">
        <f aca="false">IF($B495="","",$I495*PROV_CESANTIA)</f>
        <v/>
      </c>
      <c r="R495" s="35" t="str">
        <f aca="false">IF($B495="","",$I495+SUM($M495:$Q495))</f>
        <v/>
      </c>
      <c r="S495" s="46" t="str">
        <f aca="false">IF(OR($A495="",$B495=""),"",DATE(YEAR($A495),MONTH($A495),1))</f>
        <v/>
      </c>
    </row>
    <row r="496" customFormat="false" ht="15" hidden="false" customHeight="false" outlineLevel="0" collapsed="false">
      <c r="A496" s="55"/>
      <c r="B496" s="6"/>
      <c r="C496" s="6"/>
      <c r="D496" s="40"/>
      <c r="E496" s="39"/>
      <c r="F496" s="35" t="str">
        <f aca="false">IF($B496="","",N($D496)/HORAS_MES*RECARGO_HE)</f>
        <v/>
      </c>
      <c r="G496" s="35" t="str">
        <f aca="false">IF($B496="","",N($E496)*$F496)</f>
        <v/>
      </c>
      <c r="H496" s="40"/>
      <c r="I496" s="35" t="str">
        <f aca="false">IF($B496="","",N($D496)+$G496+N($H496))</f>
        <v/>
      </c>
      <c r="J496" s="35" t="str">
        <f aca="false">IF($B496="","",$I496*CCSS_OBRERO)</f>
        <v/>
      </c>
      <c r="K496" s="40"/>
      <c r="L496" s="35" t="str">
        <f aca="false">IF($B496="","",$I496-$J496-N($K496))</f>
        <v/>
      </c>
      <c r="M496" s="35" t="str">
        <f aca="false">IF($B496="","",$I496*CCSS_PATRONAL)</f>
        <v/>
      </c>
      <c r="N496" s="35" t="str">
        <f aca="false">IF($B496="","",$I496*INS_RT)</f>
        <v/>
      </c>
      <c r="O496" s="35" t="str">
        <f aca="false">IF($B496="","",$I496*PROV_AGUINALDO)</f>
        <v/>
      </c>
      <c r="P496" s="35" t="str">
        <f aca="false">IF($B496="","",$I496*PROV_VACACIONES)</f>
        <v/>
      </c>
      <c r="Q496" s="35" t="str">
        <f aca="false">IF($B496="","",$I496*PROV_CESANTIA)</f>
        <v/>
      </c>
      <c r="R496" s="35" t="str">
        <f aca="false">IF($B496="","",$I496+SUM($M496:$Q496))</f>
        <v/>
      </c>
      <c r="S496" s="46" t="str">
        <f aca="false">IF(OR($A496="",$B496=""),"",DATE(YEAR($A496),MONTH($A496),1))</f>
        <v/>
      </c>
    </row>
    <row r="497" customFormat="false" ht="15" hidden="false" customHeight="false" outlineLevel="0" collapsed="false">
      <c r="A497" s="55"/>
      <c r="B497" s="6"/>
      <c r="C497" s="6"/>
      <c r="D497" s="40"/>
      <c r="E497" s="39"/>
      <c r="F497" s="35" t="str">
        <f aca="false">IF($B497="","",N($D497)/HORAS_MES*RECARGO_HE)</f>
        <v/>
      </c>
      <c r="G497" s="35" t="str">
        <f aca="false">IF($B497="","",N($E497)*$F497)</f>
        <v/>
      </c>
      <c r="H497" s="40"/>
      <c r="I497" s="35" t="str">
        <f aca="false">IF($B497="","",N($D497)+$G497+N($H497))</f>
        <v/>
      </c>
      <c r="J497" s="35" t="str">
        <f aca="false">IF($B497="","",$I497*CCSS_OBRERO)</f>
        <v/>
      </c>
      <c r="K497" s="40"/>
      <c r="L497" s="35" t="str">
        <f aca="false">IF($B497="","",$I497-$J497-N($K497))</f>
        <v/>
      </c>
      <c r="M497" s="35" t="str">
        <f aca="false">IF($B497="","",$I497*CCSS_PATRONAL)</f>
        <v/>
      </c>
      <c r="N497" s="35" t="str">
        <f aca="false">IF($B497="","",$I497*INS_RT)</f>
        <v/>
      </c>
      <c r="O497" s="35" t="str">
        <f aca="false">IF($B497="","",$I497*PROV_AGUINALDO)</f>
        <v/>
      </c>
      <c r="P497" s="35" t="str">
        <f aca="false">IF($B497="","",$I497*PROV_VACACIONES)</f>
        <v/>
      </c>
      <c r="Q497" s="35" t="str">
        <f aca="false">IF($B497="","",$I497*PROV_CESANTIA)</f>
        <v/>
      </c>
      <c r="R497" s="35" t="str">
        <f aca="false">IF($B497="","",$I497+SUM($M497:$Q497))</f>
        <v/>
      </c>
      <c r="S497" s="46" t="str">
        <f aca="false">IF(OR($A497="",$B497=""),"",DATE(YEAR($A497),MONTH($A497),1))</f>
        <v/>
      </c>
    </row>
    <row r="498" customFormat="false" ht="15" hidden="false" customHeight="false" outlineLevel="0" collapsed="false">
      <c r="A498" s="55"/>
      <c r="B498" s="6"/>
      <c r="C498" s="6"/>
      <c r="D498" s="40"/>
      <c r="E498" s="39"/>
      <c r="F498" s="35" t="str">
        <f aca="false">IF($B498="","",N($D498)/HORAS_MES*RECARGO_HE)</f>
        <v/>
      </c>
      <c r="G498" s="35" t="str">
        <f aca="false">IF($B498="","",N($E498)*$F498)</f>
        <v/>
      </c>
      <c r="H498" s="40"/>
      <c r="I498" s="35" t="str">
        <f aca="false">IF($B498="","",N($D498)+$G498+N($H498))</f>
        <v/>
      </c>
      <c r="J498" s="35" t="str">
        <f aca="false">IF($B498="","",$I498*CCSS_OBRERO)</f>
        <v/>
      </c>
      <c r="K498" s="40"/>
      <c r="L498" s="35" t="str">
        <f aca="false">IF($B498="","",$I498-$J498-N($K498))</f>
        <v/>
      </c>
      <c r="M498" s="35" t="str">
        <f aca="false">IF($B498="","",$I498*CCSS_PATRONAL)</f>
        <v/>
      </c>
      <c r="N498" s="35" t="str">
        <f aca="false">IF($B498="","",$I498*INS_RT)</f>
        <v/>
      </c>
      <c r="O498" s="35" t="str">
        <f aca="false">IF($B498="","",$I498*PROV_AGUINALDO)</f>
        <v/>
      </c>
      <c r="P498" s="35" t="str">
        <f aca="false">IF($B498="","",$I498*PROV_VACACIONES)</f>
        <v/>
      </c>
      <c r="Q498" s="35" t="str">
        <f aca="false">IF($B498="","",$I498*PROV_CESANTIA)</f>
        <v/>
      </c>
      <c r="R498" s="35" t="str">
        <f aca="false">IF($B498="","",$I498+SUM($M498:$Q498))</f>
        <v/>
      </c>
      <c r="S498" s="46" t="str">
        <f aca="false">IF(OR($A498="",$B498=""),"",DATE(YEAR($A498),MONTH($A498),1))</f>
        <v/>
      </c>
    </row>
    <row r="499" customFormat="false" ht="15" hidden="false" customHeight="false" outlineLevel="0" collapsed="false">
      <c r="A499" s="55"/>
      <c r="B499" s="6"/>
      <c r="C499" s="6"/>
      <c r="D499" s="40"/>
      <c r="E499" s="39"/>
      <c r="F499" s="35" t="str">
        <f aca="false">IF($B499="","",N($D499)/HORAS_MES*RECARGO_HE)</f>
        <v/>
      </c>
      <c r="G499" s="35" t="str">
        <f aca="false">IF($B499="","",N($E499)*$F499)</f>
        <v/>
      </c>
      <c r="H499" s="40"/>
      <c r="I499" s="35" t="str">
        <f aca="false">IF($B499="","",N($D499)+$G499+N($H499))</f>
        <v/>
      </c>
      <c r="J499" s="35" t="str">
        <f aca="false">IF($B499="","",$I499*CCSS_OBRERO)</f>
        <v/>
      </c>
      <c r="K499" s="40"/>
      <c r="L499" s="35" t="str">
        <f aca="false">IF($B499="","",$I499-$J499-N($K499))</f>
        <v/>
      </c>
      <c r="M499" s="35" t="str">
        <f aca="false">IF($B499="","",$I499*CCSS_PATRONAL)</f>
        <v/>
      </c>
      <c r="N499" s="35" t="str">
        <f aca="false">IF($B499="","",$I499*INS_RT)</f>
        <v/>
      </c>
      <c r="O499" s="35" t="str">
        <f aca="false">IF($B499="","",$I499*PROV_AGUINALDO)</f>
        <v/>
      </c>
      <c r="P499" s="35" t="str">
        <f aca="false">IF($B499="","",$I499*PROV_VACACIONES)</f>
        <v/>
      </c>
      <c r="Q499" s="35" t="str">
        <f aca="false">IF($B499="","",$I499*PROV_CESANTIA)</f>
        <v/>
      </c>
      <c r="R499" s="35" t="str">
        <f aca="false">IF($B499="","",$I499+SUM($M499:$Q499))</f>
        <v/>
      </c>
      <c r="S499" s="46" t="str">
        <f aca="false">IF(OR($A499="",$B499=""),"",DATE(YEAR($A499),MONTH($A499),1))</f>
        <v/>
      </c>
    </row>
    <row r="500" customFormat="false" ht="15" hidden="false" customHeight="false" outlineLevel="0" collapsed="false">
      <c r="A500" s="55"/>
      <c r="B500" s="6"/>
      <c r="C500" s="6"/>
      <c r="D500" s="40"/>
      <c r="E500" s="39"/>
      <c r="F500" s="35" t="str">
        <f aca="false">IF($B500="","",N($D500)/HORAS_MES*RECARGO_HE)</f>
        <v/>
      </c>
      <c r="G500" s="35" t="str">
        <f aca="false">IF($B500="","",N($E500)*$F500)</f>
        <v/>
      </c>
      <c r="H500" s="40"/>
      <c r="I500" s="35" t="str">
        <f aca="false">IF($B500="","",N($D500)+$G500+N($H500))</f>
        <v/>
      </c>
      <c r="J500" s="35" t="str">
        <f aca="false">IF($B500="","",$I500*CCSS_OBRERO)</f>
        <v/>
      </c>
      <c r="K500" s="40"/>
      <c r="L500" s="35" t="str">
        <f aca="false">IF($B500="","",$I500-$J500-N($K500))</f>
        <v/>
      </c>
      <c r="M500" s="35" t="str">
        <f aca="false">IF($B500="","",$I500*CCSS_PATRONAL)</f>
        <v/>
      </c>
      <c r="N500" s="35" t="str">
        <f aca="false">IF($B500="","",$I500*INS_RT)</f>
        <v/>
      </c>
      <c r="O500" s="35" t="str">
        <f aca="false">IF($B500="","",$I500*PROV_AGUINALDO)</f>
        <v/>
      </c>
      <c r="P500" s="35" t="str">
        <f aca="false">IF($B500="","",$I500*PROV_VACACIONES)</f>
        <v/>
      </c>
      <c r="Q500" s="35" t="str">
        <f aca="false">IF($B500="","",$I500*PROV_CESANTIA)</f>
        <v/>
      </c>
      <c r="R500" s="35" t="str">
        <f aca="false">IF($B500="","",$I500+SUM($M500:$Q500))</f>
        <v/>
      </c>
      <c r="S500" s="46" t="str">
        <f aca="false">IF(OR($A500="",$B500=""),"",DATE(YEAR($A500),MONTH($A500),1))</f>
        <v/>
      </c>
    </row>
    <row r="501" customFormat="false" ht="15" hidden="false" customHeight="false" outlineLevel="0" collapsed="false">
      <c r="A501" s="55"/>
      <c r="B501" s="6"/>
      <c r="C501" s="6"/>
      <c r="D501" s="40"/>
      <c r="E501" s="39"/>
      <c r="F501" s="35" t="str">
        <f aca="false">IF($B501="","",N($D501)/HORAS_MES*RECARGO_HE)</f>
        <v/>
      </c>
      <c r="G501" s="35" t="str">
        <f aca="false">IF($B501="","",N($E501)*$F501)</f>
        <v/>
      </c>
      <c r="H501" s="40"/>
      <c r="I501" s="35" t="str">
        <f aca="false">IF($B501="","",N($D501)+$G501+N($H501))</f>
        <v/>
      </c>
      <c r="J501" s="35" t="str">
        <f aca="false">IF($B501="","",$I501*CCSS_OBRERO)</f>
        <v/>
      </c>
      <c r="K501" s="40"/>
      <c r="L501" s="35" t="str">
        <f aca="false">IF($B501="","",$I501-$J501-N($K501))</f>
        <v/>
      </c>
      <c r="M501" s="35" t="str">
        <f aca="false">IF($B501="","",$I501*CCSS_PATRONAL)</f>
        <v/>
      </c>
      <c r="N501" s="35" t="str">
        <f aca="false">IF($B501="","",$I501*INS_RT)</f>
        <v/>
      </c>
      <c r="O501" s="35" t="str">
        <f aca="false">IF($B501="","",$I501*PROV_AGUINALDO)</f>
        <v/>
      </c>
      <c r="P501" s="35" t="str">
        <f aca="false">IF($B501="","",$I501*PROV_VACACIONES)</f>
        <v/>
      </c>
      <c r="Q501" s="35" t="str">
        <f aca="false">IF($B501="","",$I501*PROV_CESANTIA)</f>
        <v/>
      </c>
      <c r="R501" s="35" t="str">
        <f aca="false">IF($B501="","",$I501+SUM($M501:$Q501))</f>
        <v/>
      </c>
      <c r="S501" s="46" t="str">
        <f aca="false">IF(OR($A501="",$B501=""),"",DATE(YEAR($A501),MONTH($A501),1))</f>
        <v/>
      </c>
    </row>
    <row r="502" customFormat="false" ht="15" hidden="false" customHeight="false" outlineLevel="0" collapsed="false">
      <c r="A502" s="55"/>
      <c r="B502" s="6"/>
      <c r="C502" s="6"/>
      <c r="D502" s="40"/>
      <c r="E502" s="39"/>
      <c r="F502" s="35" t="str">
        <f aca="false">IF($B502="","",N($D502)/HORAS_MES*RECARGO_HE)</f>
        <v/>
      </c>
      <c r="G502" s="35" t="str">
        <f aca="false">IF($B502="","",N($E502)*$F502)</f>
        <v/>
      </c>
      <c r="H502" s="40"/>
      <c r="I502" s="35" t="str">
        <f aca="false">IF($B502="","",N($D502)+$G502+N($H502))</f>
        <v/>
      </c>
      <c r="J502" s="35" t="str">
        <f aca="false">IF($B502="","",$I502*CCSS_OBRERO)</f>
        <v/>
      </c>
      <c r="K502" s="40"/>
      <c r="L502" s="35" t="str">
        <f aca="false">IF($B502="","",$I502-$J502-N($K502))</f>
        <v/>
      </c>
      <c r="M502" s="35" t="str">
        <f aca="false">IF($B502="","",$I502*CCSS_PATRONAL)</f>
        <v/>
      </c>
      <c r="N502" s="35" t="str">
        <f aca="false">IF($B502="","",$I502*INS_RT)</f>
        <v/>
      </c>
      <c r="O502" s="35" t="str">
        <f aca="false">IF($B502="","",$I502*PROV_AGUINALDO)</f>
        <v/>
      </c>
      <c r="P502" s="35" t="str">
        <f aca="false">IF($B502="","",$I502*PROV_VACACIONES)</f>
        <v/>
      </c>
      <c r="Q502" s="35" t="str">
        <f aca="false">IF($B502="","",$I502*PROV_CESANTIA)</f>
        <v/>
      </c>
      <c r="R502" s="35" t="str">
        <f aca="false">IF($B502="","",$I502+SUM($M502:$Q502))</f>
        <v/>
      </c>
      <c r="S502" s="46" t="str">
        <f aca="false">IF(OR($A502="",$B502=""),"",DATE(YEAR($A502),MONTH($A502),1))</f>
        <v/>
      </c>
    </row>
    <row r="503" customFormat="false" ht="15" hidden="false" customHeight="false" outlineLevel="0" collapsed="false">
      <c r="A503" s="55"/>
      <c r="B503" s="6"/>
      <c r="C503" s="6"/>
      <c r="D503" s="40"/>
      <c r="E503" s="39"/>
      <c r="F503" s="35" t="str">
        <f aca="false">IF($B503="","",N($D503)/HORAS_MES*RECARGO_HE)</f>
        <v/>
      </c>
      <c r="G503" s="35" t="str">
        <f aca="false">IF($B503="","",N($E503)*$F503)</f>
        <v/>
      </c>
      <c r="H503" s="40"/>
      <c r="I503" s="35" t="str">
        <f aca="false">IF($B503="","",N($D503)+$G503+N($H503))</f>
        <v/>
      </c>
      <c r="J503" s="35" t="str">
        <f aca="false">IF($B503="","",$I503*CCSS_OBRERO)</f>
        <v/>
      </c>
      <c r="K503" s="40"/>
      <c r="L503" s="35" t="str">
        <f aca="false">IF($B503="","",$I503-$J503-N($K503))</f>
        <v/>
      </c>
      <c r="M503" s="35" t="str">
        <f aca="false">IF($B503="","",$I503*CCSS_PATRONAL)</f>
        <v/>
      </c>
      <c r="N503" s="35" t="str">
        <f aca="false">IF($B503="","",$I503*INS_RT)</f>
        <v/>
      </c>
      <c r="O503" s="35" t="str">
        <f aca="false">IF($B503="","",$I503*PROV_AGUINALDO)</f>
        <v/>
      </c>
      <c r="P503" s="35" t="str">
        <f aca="false">IF($B503="","",$I503*PROV_VACACIONES)</f>
        <v/>
      </c>
      <c r="Q503" s="35" t="str">
        <f aca="false">IF($B503="","",$I503*PROV_CESANTIA)</f>
        <v/>
      </c>
      <c r="R503" s="35" t="str">
        <f aca="false">IF($B503="","",$I503+SUM($M503:$Q503))</f>
        <v/>
      </c>
      <c r="S503" s="46" t="str">
        <f aca="false">IF(OR($A503="",$B503=""),"",DATE(YEAR($A503),MONTH($A503),1))</f>
        <v/>
      </c>
    </row>
    <row r="504" customFormat="false" ht="15" hidden="false" customHeight="false" outlineLevel="0" collapsed="false">
      <c r="A504" s="55"/>
      <c r="B504" s="6"/>
      <c r="C504" s="6"/>
      <c r="D504" s="40"/>
      <c r="E504" s="39"/>
      <c r="F504" s="35" t="str">
        <f aca="false">IF($B504="","",N($D504)/HORAS_MES*RECARGO_HE)</f>
        <v/>
      </c>
      <c r="G504" s="35" t="str">
        <f aca="false">IF($B504="","",N($E504)*$F504)</f>
        <v/>
      </c>
      <c r="H504" s="40"/>
      <c r="I504" s="35" t="str">
        <f aca="false">IF($B504="","",N($D504)+$G504+N($H504))</f>
        <v/>
      </c>
      <c r="J504" s="35" t="str">
        <f aca="false">IF($B504="","",$I504*CCSS_OBRERO)</f>
        <v/>
      </c>
      <c r="K504" s="40"/>
      <c r="L504" s="35" t="str">
        <f aca="false">IF($B504="","",$I504-$J504-N($K504))</f>
        <v/>
      </c>
      <c r="M504" s="35" t="str">
        <f aca="false">IF($B504="","",$I504*CCSS_PATRONAL)</f>
        <v/>
      </c>
      <c r="N504" s="35" t="str">
        <f aca="false">IF($B504="","",$I504*INS_RT)</f>
        <v/>
      </c>
      <c r="O504" s="35" t="str">
        <f aca="false">IF($B504="","",$I504*PROV_AGUINALDO)</f>
        <v/>
      </c>
      <c r="P504" s="35" t="str">
        <f aca="false">IF($B504="","",$I504*PROV_VACACIONES)</f>
        <v/>
      </c>
      <c r="Q504" s="35" t="str">
        <f aca="false">IF($B504="","",$I504*PROV_CESANTIA)</f>
        <v/>
      </c>
      <c r="R504" s="35" t="str">
        <f aca="false">IF($B504="","",$I504+SUM($M504:$Q504))</f>
        <v/>
      </c>
      <c r="S504" s="46" t="str">
        <f aca="false">IF(OR($A504="",$B504=""),"",DATE(YEAR($A504),MONTH($A504),1))</f>
        <v/>
      </c>
    </row>
    <row r="505" customFormat="false" ht="15" hidden="false" customHeight="false" outlineLevel="0" collapsed="false">
      <c r="A505" s="55"/>
      <c r="B505" s="6"/>
      <c r="C505" s="6"/>
      <c r="D505" s="40"/>
      <c r="E505" s="39"/>
      <c r="F505" s="35" t="str">
        <f aca="false">IF($B505="","",N($D505)/HORAS_MES*RECARGO_HE)</f>
        <v/>
      </c>
      <c r="G505" s="35" t="str">
        <f aca="false">IF($B505="","",N($E505)*$F505)</f>
        <v/>
      </c>
      <c r="H505" s="40"/>
      <c r="I505" s="35" t="str">
        <f aca="false">IF($B505="","",N($D505)+$G505+N($H505))</f>
        <v/>
      </c>
      <c r="J505" s="35" t="str">
        <f aca="false">IF($B505="","",$I505*CCSS_OBRERO)</f>
        <v/>
      </c>
      <c r="K505" s="40"/>
      <c r="L505" s="35" t="str">
        <f aca="false">IF($B505="","",$I505-$J505-N($K505))</f>
        <v/>
      </c>
      <c r="M505" s="35" t="str">
        <f aca="false">IF($B505="","",$I505*CCSS_PATRONAL)</f>
        <v/>
      </c>
      <c r="N505" s="35" t="str">
        <f aca="false">IF($B505="","",$I505*INS_RT)</f>
        <v/>
      </c>
      <c r="O505" s="35" t="str">
        <f aca="false">IF($B505="","",$I505*PROV_AGUINALDO)</f>
        <v/>
      </c>
      <c r="P505" s="35" t="str">
        <f aca="false">IF($B505="","",$I505*PROV_VACACIONES)</f>
        <v/>
      </c>
      <c r="Q505" s="35" t="str">
        <f aca="false">IF($B505="","",$I505*PROV_CESANTIA)</f>
        <v/>
      </c>
      <c r="R505" s="35" t="str">
        <f aca="false">IF($B505="","",$I505+SUM($M505:$Q505))</f>
        <v/>
      </c>
      <c r="S505" s="46" t="str">
        <f aca="false">IF(OR($A505="",$B505=""),"",DATE(YEAR($A505),MONTH($A505),1))</f>
        <v/>
      </c>
    </row>
  </sheetData>
  <autoFilter ref="A5:S5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K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0"/>
  </cols>
  <sheetData>
    <row r="1" customFormat="false" ht="19.7" hidden="false" customHeight="false" outlineLevel="0" collapsed="false">
      <c r="A1" s="1" t="s">
        <v>454</v>
      </c>
    </row>
    <row r="2" customFormat="false" ht="15" hidden="false" customHeight="false" outlineLevel="0" collapsed="false">
      <c r="A2" s="2" t="s">
        <v>455</v>
      </c>
    </row>
    <row r="5" customFormat="false" ht="42" hidden="false" customHeight="true" outlineLevel="0" collapsed="false">
      <c r="A5" s="16" t="s">
        <v>318</v>
      </c>
      <c r="B5" s="16" t="s">
        <v>202</v>
      </c>
      <c r="C5" s="16" t="s">
        <v>456</v>
      </c>
      <c r="D5" s="16" t="s">
        <v>193</v>
      </c>
      <c r="E5" s="16" t="s">
        <v>457</v>
      </c>
      <c r="F5" s="16" t="s">
        <v>458</v>
      </c>
      <c r="G5" s="16" t="s">
        <v>326</v>
      </c>
      <c r="H5" s="15" t="s">
        <v>327</v>
      </c>
      <c r="I5" s="15" t="s">
        <v>459</v>
      </c>
      <c r="J5" s="16" t="s">
        <v>413</v>
      </c>
      <c r="K5" s="15" t="s">
        <v>331</v>
      </c>
    </row>
    <row r="6" customFormat="false" ht="15" hidden="false" customHeight="false" outlineLevel="0" collapsed="false">
      <c r="A6" s="44" t="n">
        <v>46296</v>
      </c>
      <c r="B6" s="6" t="s">
        <v>72</v>
      </c>
      <c r="C6" s="6" t="s">
        <v>460</v>
      </c>
      <c r="D6" s="6" t="s">
        <v>461</v>
      </c>
      <c r="E6" s="6" t="s">
        <v>78</v>
      </c>
      <c r="F6" s="40" t="n">
        <v>450000</v>
      </c>
      <c r="G6" s="41" t="n">
        <v>0.13</v>
      </c>
      <c r="H6" s="35" t="n">
        <f aca="false">IF($B6="","",N($F6)*N($G6))</f>
        <v>58500</v>
      </c>
      <c r="I6" s="35" t="n">
        <f aca="false">IF($B6="","",N($F6)+$H6)</f>
        <v>508500</v>
      </c>
      <c r="J6" s="6" t="s">
        <v>113</v>
      </c>
      <c r="K6" s="46" t="n">
        <f aca="false">IF($A6="","",DATE(YEAR($A6),MONTH($A6),1))</f>
        <v>46296</v>
      </c>
    </row>
    <row r="7" customFormat="false" ht="15" hidden="false" customHeight="false" outlineLevel="0" collapsed="false">
      <c r="A7" s="44" t="n">
        <v>46300</v>
      </c>
      <c r="B7" s="6" t="s">
        <v>84</v>
      </c>
      <c r="C7" s="6" t="s">
        <v>462</v>
      </c>
      <c r="D7" s="6" t="s">
        <v>463</v>
      </c>
      <c r="E7" s="6" t="s">
        <v>78</v>
      </c>
      <c r="F7" s="40" t="n">
        <v>85000</v>
      </c>
      <c r="G7" s="41" t="n">
        <v>0.13</v>
      </c>
      <c r="H7" s="35" t="n">
        <f aca="false">IF($B7="","",N($F7)*N($G7))</f>
        <v>11050</v>
      </c>
      <c r="I7" s="35" t="n">
        <f aca="false">IF($B7="","",N($F7)+$H7)</f>
        <v>96050</v>
      </c>
      <c r="J7" s="6" t="s">
        <v>113</v>
      </c>
      <c r="K7" s="46" t="n">
        <f aca="false">IF($A7="","",DATE(YEAR($A7),MONTH($A7),1))</f>
        <v>46296</v>
      </c>
    </row>
    <row r="8" customFormat="false" ht="15" hidden="false" customHeight="false" outlineLevel="0" collapsed="false">
      <c r="A8" s="44" t="n">
        <v>46300</v>
      </c>
      <c r="B8" s="6" t="s">
        <v>96</v>
      </c>
      <c r="C8" s="6" t="s">
        <v>464</v>
      </c>
      <c r="D8" s="6" t="s">
        <v>465</v>
      </c>
      <c r="E8" s="6" t="s">
        <v>78</v>
      </c>
      <c r="F8" s="40" t="n">
        <v>20000</v>
      </c>
      <c r="G8" s="41" t="n">
        <v>0</v>
      </c>
      <c r="H8" s="35" t="n">
        <f aca="false">IF($B8="","",N($F8)*N($G8))</f>
        <v>0</v>
      </c>
      <c r="I8" s="35" t="n">
        <f aca="false">IF($B8="","",N($F8)+$H8)</f>
        <v>20000</v>
      </c>
      <c r="J8" s="6" t="s">
        <v>113</v>
      </c>
      <c r="K8" s="46" t="n">
        <f aca="false">IF($A8="","",DATE(YEAR($A8),MONTH($A8),1))</f>
        <v>46296</v>
      </c>
    </row>
    <row r="9" customFormat="false" ht="15" hidden="false" customHeight="false" outlineLevel="0" collapsed="false">
      <c r="A9" s="44" t="n">
        <v>46301</v>
      </c>
      <c r="B9" s="6" t="s">
        <v>104</v>
      </c>
      <c r="C9" s="6" t="s">
        <v>466</v>
      </c>
      <c r="D9" s="6" t="s">
        <v>467</v>
      </c>
      <c r="E9" s="6" t="s">
        <v>78</v>
      </c>
      <c r="F9" s="40" t="n">
        <v>25000</v>
      </c>
      <c r="G9" s="41" t="n">
        <v>0.13</v>
      </c>
      <c r="H9" s="35" t="n">
        <f aca="false">IF($B9="","",N($F9)*N($G9))</f>
        <v>3250</v>
      </c>
      <c r="I9" s="35" t="n">
        <f aca="false">IF($B9="","",N($F9)+$H9)</f>
        <v>28250</v>
      </c>
      <c r="J9" s="6" t="s">
        <v>113</v>
      </c>
      <c r="K9" s="46" t="n">
        <f aca="false">IF($A9="","",DATE(YEAR($A9),MONTH($A9),1))</f>
        <v>46296</v>
      </c>
    </row>
    <row r="10" customFormat="false" ht="15" hidden="false" customHeight="false" outlineLevel="0" collapsed="false">
      <c r="A10" s="44" t="n">
        <v>46302</v>
      </c>
      <c r="B10" s="6" t="s">
        <v>119</v>
      </c>
      <c r="C10" s="6" t="s">
        <v>468</v>
      </c>
      <c r="D10" s="6" t="s">
        <v>469</v>
      </c>
      <c r="E10" s="6" t="s">
        <v>90</v>
      </c>
      <c r="F10" s="40" t="n">
        <v>40000</v>
      </c>
      <c r="G10" s="41" t="n">
        <v>0.13</v>
      </c>
      <c r="H10" s="35" t="n">
        <f aca="false">IF($B10="","",N($F10)*N($G10))</f>
        <v>5200</v>
      </c>
      <c r="I10" s="35" t="n">
        <f aca="false">IF($B10="","",N($F10)+$H10)</f>
        <v>45200</v>
      </c>
      <c r="J10" s="6" t="s">
        <v>97</v>
      </c>
      <c r="K10" s="46" t="n">
        <f aca="false">IF($A10="","",DATE(YEAR($A10),MONTH($A10),1))</f>
        <v>46296</v>
      </c>
    </row>
    <row r="11" customFormat="false" ht="15" hidden="false" customHeight="false" outlineLevel="0" collapsed="false">
      <c r="A11" s="44" t="n">
        <v>46305</v>
      </c>
      <c r="B11" s="6" t="s">
        <v>124</v>
      </c>
      <c r="C11" s="6" t="s">
        <v>470</v>
      </c>
      <c r="D11" s="6" t="s">
        <v>471</v>
      </c>
      <c r="E11" s="6" t="s">
        <v>78</v>
      </c>
      <c r="F11" s="40" t="n">
        <v>60000</v>
      </c>
      <c r="G11" s="41" t="n">
        <v>0.13</v>
      </c>
      <c r="H11" s="35" t="n">
        <f aca="false">IF($B11="","",N($F11)*N($G11))</f>
        <v>7800</v>
      </c>
      <c r="I11" s="35" t="n">
        <f aca="false">IF($B11="","",N($F11)+$H11)</f>
        <v>67800</v>
      </c>
      <c r="J11" s="6" t="s">
        <v>113</v>
      </c>
      <c r="K11" s="46" t="n">
        <f aca="false">IF($A11="","",DATE(YEAR($A11),MONTH($A11),1))</f>
        <v>46296</v>
      </c>
    </row>
    <row r="12" customFormat="false" ht="15" hidden="false" customHeight="false" outlineLevel="0" collapsed="false">
      <c r="A12" s="44"/>
      <c r="B12" s="6"/>
      <c r="C12" s="6"/>
      <c r="D12" s="6"/>
      <c r="E12" s="6"/>
      <c r="F12" s="40"/>
      <c r="G12" s="41"/>
      <c r="H12" s="35" t="str">
        <f aca="false">IF($B12="","",N($F12)*N($G12))</f>
        <v/>
      </c>
      <c r="I12" s="35" t="str">
        <f aca="false">IF($B12="","",N($F12)+$H12)</f>
        <v/>
      </c>
      <c r="J12" s="6"/>
      <c r="K12" s="46" t="str">
        <f aca="false">IF($A12="","",DATE(YEAR($A12),MONTH($A12),1))</f>
        <v/>
      </c>
    </row>
    <row r="13" customFormat="false" ht="15" hidden="false" customHeight="false" outlineLevel="0" collapsed="false">
      <c r="A13" s="44"/>
      <c r="B13" s="6"/>
      <c r="C13" s="6"/>
      <c r="D13" s="6"/>
      <c r="E13" s="6"/>
      <c r="F13" s="40"/>
      <c r="G13" s="41"/>
      <c r="H13" s="35" t="str">
        <f aca="false">IF($B13="","",N($F13)*N($G13))</f>
        <v/>
      </c>
      <c r="I13" s="35" t="str">
        <f aca="false">IF($B13="","",N($F13)+$H13)</f>
        <v/>
      </c>
      <c r="J13" s="6"/>
      <c r="K13" s="46" t="str">
        <f aca="false">IF($A13="","",DATE(YEAR($A13),MONTH($A13),1))</f>
        <v/>
      </c>
    </row>
    <row r="14" customFormat="false" ht="15" hidden="false" customHeight="false" outlineLevel="0" collapsed="false">
      <c r="A14" s="44"/>
      <c r="B14" s="6"/>
      <c r="C14" s="6"/>
      <c r="D14" s="6"/>
      <c r="E14" s="6"/>
      <c r="F14" s="40"/>
      <c r="G14" s="41"/>
      <c r="H14" s="35" t="str">
        <f aca="false">IF($B14="","",N($F14)*N($G14))</f>
        <v/>
      </c>
      <c r="I14" s="35" t="str">
        <f aca="false">IF($B14="","",N($F14)+$H14)</f>
        <v/>
      </c>
      <c r="J14" s="6"/>
      <c r="K14" s="46" t="str">
        <f aca="false">IF($A14="","",DATE(YEAR($A14),MONTH($A14),1))</f>
        <v/>
      </c>
    </row>
    <row r="15" customFormat="false" ht="15" hidden="false" customHeight="false" outlineLevel="0" collapsed="false">
      <c r="A15" s="44"/>
      <c r="B15" s="6"/>
      <c r="C15" s="6"/>
      <c r="D15" s="6"/>
      <c r="E15" s="6"/>
      <c r="F15" s="40"/>
      <c r="G15" s="41"/>
      <c r="H15" s="35" t="str">
        <f aca="false">IF($B15="","",N($F15)*N($G15))</f>
        <v/>
      </c>
      <c r="I15" s="35" t="str">
        <f aca="false">IF($B15="","",N($F15)+$H15)</f>
        <v/>
      </c>
      <c r="J15" s="6"/>
      <c r="K15" s="46" t="str">
        <f aca="false">IF($A15="","",DATE(YEAR($A15),MONTH($A15),1))</f>
        <v/>
      </c>
    </row>
    <row r="16" customFormat="false" ht="15" hidden="false" customHeight="false" outlineLevel="0" collapsed="false">
      <c r="A16" s="44"/>
      <c r="B16" s="6"/>
      <c r="C16" s="6"/>
      <c r="D16" s="6"/>
      <c r="E16" s="6"/>
      <c r="F16" s="40"/>
      <c r="G16" s="41"/>
      <c r="H16" s="35" t="str">
        <f aca="false">IF($B16="","",N($F16)*N($G16))</f>
        <v/>
      </c>
      <c r="I16" s="35" t="str">
        <f aca="false">IF($B16="","",N($F16)+$H16)</f>
        <v/>
      </c>
      <c r="J16" s="6"/>
      <c r="K16" s="46" t="str">
        <f aca="false">IF($A16="","",DATE(YEAR($A16),MONTH($A16),1))</f>
        <v/>
      </c>
    </row>
    <row r="17" customFormat="false" ht="15" hidden="false" customHeight="false" outlineLevel="0" collapsed="false">
      <c r="A17" s="44"/>
      <c r="B17" s="6"/>
      <c r="C17" s="6"/>
      <c r="D17" s="6"/>
      <c r="E17" s="6"/>
      <c r="F17" s="40"/>
      <c r="G17" s="41"/>
      <c r="H17" s="35" t="str">
        <f aca="false">IF($B17="","",N($F17)*N($G17))</f>
        <v/>
      </c>
      <c r="I17" s="35" t="str">
        <f aca="false">IF($B17="","",N($F17)+$H17)</f>
        <v/>
      </c>
      <c r="J17" s="6"/>
      <c r="K17" s="46" t="str">
        <f aca="false">IF($A17="","",DATE(YEAR($A17),MONTH($A17),1))</f>
        <v/>
      </c>
    </row>
    <row r="18" customFormat="false" ht="15" hidden="false" customHeight="false" outlineLevel="0" collapsed="false">
      <c r="A18" s="44"/>
      <c r="B18" s="6"/>
      <c r="C18" s="6"/>
      <c r="D18" s="6"/>
      <c r="E18" s="6"/>
      <c r="F18" s="40"/>
      <c r="G18" s="41"/>
      <c r="H18" s="35" t="str">
        <f aca="false">IF($B18="","",N($F18)*N($G18))</f>
        <v/>
      </c>
      <c r="I18" s="35" t="str">
        <f aca="false">IF($B18="","",N($F18)+$H18)</f>
        <v/>
      </c>
      <c r="J18" s="6"/>
      <c r="K18" s="46" t="str">
        <f aca="false">IF($A18="","",DATE(YEAR($A18),MONTH($A18),1))</f>
        <v/>
      </c>
    </row>
    <row r="19" customFormat="false" ht="15" hidden="false" customHeight="false" outlineLevel="0" collapsed="false">
      <c r="A19" s="44"/>
      <c r="B19" s="6"/>
      <c r="C19" s="6"/>
      <c r="D19" s="6"/>
      <c r="E19" s="6"/>
      <c r="F19" s="40"/>
      <c r="G19" s="41"/>
      <c r="H19" s="35" t="str">
        <f aca="false">IF($B19="","",N($F19)*N($G19))</f>
        <v/>
      </c>
      <c r="I19" s="35" t="str">
        <f aca="false">IF($B19="","",N($F19)+$H19)</f>
        <v/>
      </c>
      <c r="J19" s="6"/>
      <c r="K19" s="46" t="str">
        <f aca="false">IF($A19="","",DATE(YEAR($A19),MONTH($A19),1))</f>
        <v/>
      </c>
    </row>
    <row r="20" customFormat="false" ht="15" hidden="false" customHeight="false" outlineLevel="0" collapsed="false">
      <c r="A20" s="44"/>
      <c r="B20" s="6"/>
      <c r="C20" s="6"/>
      <c r="D20" s="6"/>
      <c r="E20" s="6"/>
      <c r="F20" s="40"/>
      <c r="G20" s="41"/>
      <c r="H20" s="35" t="str">
        <f aca="false">IF($B20="","",N($F20)*N($G20))</f>
        <v/>
      </c>
      <c r="I20" s="35" t="str">
        <f aca="false">IF($B20="","",N($F20)+$H20)</f>
        <v/>
      </c>
      <c r="J20" s="6"/>
      <c r="K20" s="46" t="str">
        <f aca="false">IF($A20="","",DATE(YEAR($A20),MONTH($A20),1))</f>
        <v/>
      </c>
    </row>
    <row r="21" customFormat="false" ht="15" hidden="false" customHeight="false" outlineLevel="0" collapsed="false">
      <c r="A21" s="44"/>
      <c r="B21" s="6"/>
      <c r="C21" s="6"/>
      <c r="D21" s="6"/>
      <c r="E21" s="6"/>
      <c r="F21" s="40"/>
      <c r="G21" s="41"/>
      <c r="H21" s="35" t="str">
        <f aca="false">IF($B21="","",N($F21)*N($G21))</f>
        <v/>
      </c>
      <c r="I21" s="35" t="str">
        <f aca="false">IF($B21="","",N($F21)+$H21)</f>
        <v/>
      </c>
      <c r="J21" s="6"/>
      <c r="K21" s="46" t="str">
        <f aca="false">IF($A21="","",DATE(YEAR($A21),MONTH($A21),1))</f>
        <v/>
      </c>
    </row>
    <row r="22" customFormat="false" ht="15" hidden="false" customHeight="false" outlineLevel="0" collapsed="false">
      <c r="A22" s="44"/>
      <c r="B22" s="6"/>
      <c r="C22" s="6"/>
      <c r="D22" s="6"/>
      <c r="E22" s="6"/>
      <c r="F22" s="40"/>
      <c r="G22" s="41"/>
      <c r="H22" s="35" t="str">
        <f aca="false">IF($B22="","",N($F22)*N($G22))</f>
        <v/>
      </c>
      <c r="I22" s="35" t="str">
        <f aca="false">IF($B22="","",N($F22)+$H22)</f>
        <v/>
      </c>
      <c r="J22" s="6"/>
      <c r="K22" s="46" t="str">
        <f aca="false">IF($A22="","",DATE(YEAR($A22),MONTH($A22),1))</f>
        <v/>
      </c>
    </row>
    <row r="23" customFormat="false" ht="15" hidden="false" customHeight="false" outlineLevel="0" collapsed="false">
      <c r="A23" s="44"/>
      <c r="B23" s="6"/>
      <c r="C23" s="6"/>
      <c r="D23" s="6"/>
      <c r="E23" s="6"/>
      <c r="F23" s="40"/>
      <c r="G23" s="41"/>
      <c r="H23" s="35" t="str">
        <f aca="false">IF($B23="","",N($F23)*N($G23))</f>
        <v/>
      </c>
      <c r="I23" s="35" t="str">
        <f aca="false">IF($B23="","",N($F23)+$H23)</f>
        <v/>
      </c>
      <c r="J23" s="6"/>
      <c r="K23" s="46" t="str">
        <f aca="false">IF($A23="","",DATE(YEAR($A23),MONTH($A23),1))</f>
        <v/>
      </c>
    </row>
    <row r="24" customFormat="false" ht="15" hidden="false" customHeight="false" outlineLevel="0" collapsed="false">
      <c r="A24" s="44"/>
      <c r="B24" s="6"/>
      <c r="C24" s="6"/>
      <c r="D24" s="6"/>
      <c r="E24" s="6"/>
      <c r="F24" s="40"/>
      <c r="G24" s="41"/>
      <c r="H24" s="35" t="str">
        <f aca="false">IF($B24="","",N($F24)*N($G24))</f>
        <v/>
      </c>
      <c r="I24" s="35" t="str">
        <f aca="false">IF($B24="","",N($F24)+$H24)</f>
        <v/>
      </c>
      <c r="J24" s="6"/>
      <c r="K24" s="46" t="str">
        <f aca="false">IF($A24="","",DATE(YEAR($A24),MONTH($A24),1))</f>
        <v/>
      </c>
    </row>
    <row r="25" customFormat="false" ht="15" hidden="false" customHeight="false" outlineLevel="0" collapsed="false">
      <c r="A25" s="44"/>
      <c r="B25" s="6"/>
      <c r="C25" s="6"/>
      <c r="D25" s="6"/>
      <c r="E25" s="6"/>
      <c r="F25" s="40"/>
      <c r="G25" s="41"/>
      <c r="H25" s="35" t="str">
        <f aca="false">IF($B25="","",N($F25)*N($G25))</f>
        <v/>
      </c>
      <c r="I25" s="35" t="str">
        <f aca="false">IF($B25="","",N($F25)+$H25)</f>
        <v/>
      </c>
      <c r="J25" s="6"/>
      <c r="K25" s="46" t="str">
        <f aca="false">IF($A25="","",DATE(YEAR($A25),MONTH($A25),1))</f>
        <v/>
      </c>
    </row>
    <row r="26" customFormat="false" ht="15" hidden="false" customHeight="false" outlineLevel="0" collapsed="false">
      <c r="A26" s="44"/>
      <c r="B26" s="6"/>
      <c r="C26" s="6"/>
      <c r="D26" s="6"/>
      <c r="E26" s="6"/>
      <c r="F26" s="40"/>
      <c r="G26" s="41"/>
      <c r="H26" s="35" t="str">
        <f aca="false">IF($B26="","",N($F26)*N($G26))</f>
        <v/>
      </c>
      <c r="I26" s="35" t="str">
        <f aca="false">IF($B26="","",N($F26)+$H26)</f>
        <v/>
      </c>
      <c r="J26" s="6"/>
      <c r="K26" s="46" t="str">
        <f aca="false">IF($A26="","",DATE(YEAR($A26),MONTH($A26),1))</f>
        <v/>
      </c>
    </row>
    <row r="27" customFormat="false" ht="15" hidden="false" customHeight="false" outlineLevel="0" collapsed="false">
      <c r="A27" s="44"/>
      <c r="B27" s="6"/>
      <c r="C27" s="6"/>
      <c r="D27" s="6"/>
      <c r="E27" s="6"/>
      <c r="F27" s="40"/>
      <c r="G27" s="41"/>
      <c r="H27" s="35" t="str">
        <f aca="false">IF($B27="","",N($F27)*N($G27))</f>
        <v/>
      </c>
      <c r="I27" s="35" t="str">
        <f aca="false">IF($B27="","",N($F27)+$H27)</f>
        <v/>
      </c>
      <c r="J27" s="6"/>
      <c r="K27" s="46" t="str">
        <f aca="false">IF($A27="","",DATE(YEAR($A27),MONTH($A27),1))</f>
        <v/>
      </c>
    </row>
    <row r="28" customFormat="false" ht="15" hidden="false" customHeight="false" outlineLevel="0" collapsed="false">
      <c r="A28" s="44"/>
      <c r="B28" s="6"/>
      <c r="C28" s="6"/>
      <c r="D28" s="6"/>
      <c r="E28" s="6"/>
      <c r="F28" s="40"/>
      <c r="G28" s="41"/>
      <c r="H28" s="35" t="str">
        <f aca="false">IF($B28="","",N($F28)*N($G28))</f>
        <v/>
      </c>
      <c r="I28" s="35" t="str">
        <f aca="false">IF($B28="","",N($F28)+$H28)</f>
        <v/>
      </c>
      <c r="J28" s="6"/>
      <c r="K28" s="46" t="str">
        <f aca="false">IF($A28="","",DATE(YEAR($A28),MONTH($A28),1))</f>
        <v/>
      </c>
    </row>
    <row r="29" customFormat="false" ht="15" hidden="false" customHeight="false" outlineLevel="0" collapsed="false">
      <c r="A29" s="44"/>
      <c r="B29" s="6"/>
      <c r="C29" s="6"/>
      <c r="D29" s="6"/>
      <c r="E29" s="6"/>
      <c r="F29" s="40"/>
      <c r="G29" s="41"/>
      <c r="H29" s="35" t="str">
        <f aca="false">IF($B29="","",N($F29)*N($G29))</f>
        <v/>
      </c>
      <c r="I29" s="35" t="str">
        <f aca="false">IF($B29="","",N($F29)+$H29)</f>
        <v/>
      </c>
      <c r="J29" s="6"/>
      <c r="K29" s="46" t="str">
        <f aca="false">IF($A29="","",DATE(YEAR($A29),MONTH($A29),1))</f>
        <v/>
      </c>
    </row>
    <row r="30" customFormat="false" ht="15" hidden="false" customHeight="false" outlineLevel="0" collapsed="false">
      <c r="A30" s="44"/>
      <c r="B30" s="6"/>
      <c r="C30" s="6"/>
      <c r="D30" s="6"/>
      <c r="E30" s="6"/>
      <c r="F30" s="40"/>
      <c r="G30" s="41"/>
      <c r="H30" s="35" t="str">
        <f aca="false">IF($B30="","",N($F30)*N($G30))</f>
        <v/>
      </c>
      <c r="I30" s="35" t="str">
        <f aca="false">IF($B30="","",N($F30)+$H30)</f>
        <v/>
      </c>
      <c r="J30" s="6"/>
      <c r="K30" s="46" t="str">
        <f aca="false">IF($A30="","",DATE(YEAR($A30),MONTH($A30),1))</f>
        <v/>
      </c>
    </row>
    <row r="31" customFormat="false" ht="15" hidden="false" customHeight="false" outlineLevel="0" collapsed="false">
      <c r="A31" s="44"/>
      <c r="B31" s="6"/>
      <c r="C31" s="6"/>
      <c r="D31" s="6"/>
      <c r="E31" s="6"/>
      <c r="F31" s="40"/>
      <c r="G31" s="41"/>
      <c r="H31" s="35" t="str">
        <f aca="false">IF($B31="","",N($F31)*N($G31))</f>
        <v/>
      </c>
      <c r="I31" s="35" t="str">
        <f aca="false">IF($B31="","",N($F31)+$H31)</f>
        <v/>
      </c>
      <c r="J31" s="6"/>
      <c r="K31" s="46" t="str">
        <f aca="false">IF($A31="","",DATE(YEAR($A31),MONTH($A31),1))</f>
        <v/>
      </c>
    </row>
    <row r="32" customFormat="false" ht="15" hidden="false" customHeight="false" outlineLevel="0" collapsed="false">
      <c r="A32" s="44"/>
      <c r="B32" s="6"/>
      <c r="C32" s="6"/>
      <c r="D32" s="6"/>
      <c r="E32" s="6"/>
      <c r="F32" s="40"/>
      <c r="G32" s="41"/>
      <c r="H32" s="35" t="str">
        <f aca="false">IF($B32="","",N($F32)*N($G32))</f>
        <v/>
      </c>
      <c r="I32" s="35" t="str">
        <f aca="false">IF($B32="","",N($F32)+$H32)</f>
        <v/>
      </c>
      <c r="J32" s="6"/>
      <c r="K32" s="46" t="str">
        <f aca="false">IF($A32="","",DATE(YEAR($A32),MONTH($A32),1))</f>
        <v/>
      </c>
    </row>
    <row r="33" customFormat="false" ht="15" hidden="false" customHeight="false" outlineLevel="0" collapsed="false">
      <c r="A33" s="44"/>
      <c r="B33" s="6"/>
      <c r="C33" s="6"/>
      <c r="D33" s="6"/>
      <c r="E33" s="6"/>
      <c r="F33" s="40"/>
      <c r="G33" s="41"/>
      <c r="H33" s="35" t="str">
        <f aca="false">IF($B33="","",N($F33)*N($G33))</f>
        <v/>
      </c>
      <c r="I33" s="35" t="str">
        <f aca="false">IF($B33="","",N($F33)+$H33)</f>
        <v/>
      </c>
      <c r="J33" s="6"/>
      <c r="K33" s="46" t="str">
        <f aca="false">IF($A33="","",DATE(YEAR($A33),MONTH($A33),1))</f>
        <v/>
      </c>
    </row>
    <row r="34" customFormat="false" ht="15" hidden="false" customHeight="false" outlineLevel="0" collapsed="false">
      <c r="A34" s="44"/>
      <c r="B34" s="6"/>
      <c r="C34" s="6"/>
      <c r="D34" s="6"/>
      <c r="E34" s="6"/>
      <c r="F34" s="40"/>
      <c r="G34" s="41"/>
      <c r="H34" s="35" t="str">
        <f aca="false">IF($B34="","",N($F34)*N($G34))</f>
        <v/>
      </c>
      <c r="I34" s="35" t="str">
        <f aca="false">IF($B34="","",N($F34)+$H34)</f>
        <v/>
      </c>
      <c r="J34" s="6"/>
      <c r="K34" s="46" t="str">
        <f aca="false">IF($A34="","",DATE(YEAR($A34),MONTH($A34),1))</f>
        <v/>
      </c>
    </row>
    <row r="35" customFormat="false" ht="15" hidden="false" customHeight="false" outlineLevel="0" collapsed="false">
      <c r="A35" s="44"/>
      <c r="B35" s="6"/>
      <c r="C35" s="6"/>
      <c r="D35" s="6"/>
      <c r="E35" s="6"/>
      <c r="F35" s="40"/>
      <c r="G35" s="41"/>
      <c r="H35" s="35" t="str">
        <f aca="false">IF($B35="","",N($F35)*N($G35))</f>
        <v/>
      </c>
      <c r="I35" s="35" t="str">
        <f aca="false">IF($B35="","",N($F35)+$H35)</f>
        <v/>
      </c>
      <c r="J35" s="6"/>
      <c r="K35" s="46" t="str">
        <f aca="false">IF($A35="","",DATE(YEAR($A35),MONTH($A35),1))</f>
        <v/>
      </c>
    </row>
    <row r="36" customFormat="false" ht="15" hidden="false" customHeight="false" outlineLevel="0" collapsed="false">
      <c r="A36" s="44"/>
      <c r="B36" s="6"/>
      <c r="C36" s="6"/>
      <c r="D36" s="6"/>
      <c r="E36" s="6"/>
      <c r="F36" s="40"/>
      <c r="G36" s="41"/>
      <c r="H36" s="35" t="str">
        <f aca="false">IF($B36="","",N($F36)*N($G36))</f>
        <v/>
      </c>
      <c r="I36" s="35" t="str">
        <f aca="false">IF($B36="","",N($F36)+$H36)</f>
        <v/>
      </c>
      <c r="J36" s="6"/>
      <c r="K36" s="46" t="str">
        <f aca="false">IF($A36="","",DATE(YEAR($A36),MONTH($A36),1))</f>
        <v/>
      </c>
    </row>
    <row r="37" customFormat="false" ht="15" hidden="false" customHeight="false" outlineLevel="0" collapsed="false">
      <c r="A37" s="44"/>
      <c r="B37" s="6"/>
      <c r="C37" s="6"/>
      <c r="D37" s="6"/>
      <c r="E37" s="6"/>
      <c r="F37" s="40"/>
      <c r="G37" s="41"/>
      <c r="H37" s="35" t="str">
        <f aca="false">IF($B37="","",N($F37)*N($G37))</f>
        <v/>
      </c>
      <c r="I37" s="35" t="str">
        <f aca="false">IF($B37="","",N($F37)+$H37)</f>
        <v/>
      </c>
      <c r="J37" s="6"/>
      <c r="K37" s="46" t="str">
        <f aca="false">IF($A37="","",DATE(YEAR($A37),MONTH($A37),1))</f>
        <v/>
      </c>
    </row>
    <row r="38" customFormat="false" ht="15" hidden="false" customHeight="false" outlineLevel="0" collapsed="false">
      <c r="A38" s="44"/>
      <c r="B38" s="6"/>
      <c r="C38" s="6"/>
      <c r="D38" s="6"/>
      <c r="E38" s="6"/>
      <c r="F38" s="40"/>
      <c r="G38" s="41"/>
      <c r="H38" s="35" t="str">
        <f aca="false">IF($B38="","",N($F38)*N($G38))</f>
        <v/>
      </c>
      <c r="I38" s="35" t="str">
        <f aca="false">IF($B38="","",N($F38)+$H38)</f>
        <v/>
      </c>
      <c r="J38" s="6"/>
      <c r="K38" s="46" t="str">
        <f aca="false">IF($A38="","",DATE(YEAR($A38),MONTH($A38),1))</f>
        <v/>
      </c>
    </row>
    <row r="39" customFormat="false" ht="15" hidden="false" customHeight="false" outlineLevel="0" collapsed="false">
      <c r="A39" s="44"/>
      <c r="B39" s="6"/>
      <c r="C39" s="6"/>
      <c r="D39" s="6"/>
      <c r="E39" s="6"/>
      <c r="F39" s="40"/>
      <c r="G39" s="41"/>
      <c r="H39" s="35" t="str">
        <f aca="false">IF($B39="","",N($F39)*N($G39))</f>
        <v/>
      </c>
      <c r="I39" s="35" t="str">
        <f aca="false">IF($B39="","",N($F39)+$H39)</f>
        <v/>
      </c>
      <c r="J39" s="6"/>
      <c r="K39" s="46" t="str">
        <f aca="false">IF($A39="","",DATE(YEAR($A39),MONTH($A39),1))</f>
        <v/>
      </c>
    </row>
    <row r="40" customFormat="false" ht="15" hidden="false" customHeight="false" outlineLevel="0" collapsed="false">
      <c r="A40" s="44"/>
      <c r="B40" s="6"/>
      <c r="C40" s="6"/>
      <c r="D40" s="6"/>
      <c r="E40" s="6"/>
      <c r="F40" s="40"/>
      <c r="G40" s="41"/>
      <c r="H40" s="35" t="str">
        <f aca="false">IF($B40="","",N($F40)*N($G40))</f>
        <v/>
      </c>
      <c r="I40" s="35" t="str">
        <f aca="false">IF($B40="","",N($F40)+$H40)</f>
        <v/>
      </c>
      <c r="J40" s="6"/>
      <c r="K40" s="46" t="str">
        <f aca="false">IF($A40="","",DATE(YEAR($A40),MONTH($A40),1))</f>
        <v/>
      </c>
    </row>
    <row r="41" customFormat="false" ht="15" hidden="false" customHeight="false" outlineLevel="0" collapsed="false">
      <c r="A41" s="44"/>
      <c r="B41" s="6"/>
      <c r="C41" s="6"/>
      <c r="D41" s="6"/>
      <c r="E41" s="6"/>
      <c r="F41" s="40"/>
      <c r="G41" s="41"/>
      <c r="H41" s="35" t="str">
        <f aca="false">IF($B41="","",N($F41)*N($G41))</f>
        <v/>
      </c>
      <c r="I41" s="35" t="str">
        <f aca="false">IF($B41="","",N($F41)+$H41)</f>
        <v/>
      </c>
      <c r="J41" s="6"/>
      <c r="K41" s="46" t="str">
        <f aca="false">IF($A41="","",DATE(YEAR($A41),MONTH($A41),1))</f>
        <v/>
      </c>
    </row>
    <row r="42" customFormat="false" ht="15" hidden="false" customHeight="false" outlineLevel="0" collapsed="false">
      <c r="A42" s="44"/>
      <c r="B42" s="6"/>
      <c r="C42" s="6"/>
      <c r="D42" s="6"/>
      <c r="E42" s="6"/>
      <c r="F42" s="40"/>
      <c r="G42" s="41"/>
      <c r="H42" s="35" t="str">
        <f aca="false">IF($B42="","",N($F42)*N($G42))</f>
        <v/>
      </c>
      <c r="I42" s="35" t="str">
        <f aca="false">IF($B42="","",N($F42)+$H42)</f>
        <v/>
      </c>
      <c r="J42" s="6"/>
      <c r="K42" s="46" t="str">
        <f aca="false">IF($A42="","",DATE(YEAR($A42),MONTH($A42),1))</f>
        <v/>
      </c>
    </row>
    <row r="43" customFormat="false" ht="15" hidden="false" customHeight="false" outlineLevel="0" collapsed="false">
      <c r="A43" s="44"/>
      <c r="B43" s="6"/>
      <c r="C43" s="6"/>
      <c r="D43" s="6"/>
      <c r="E43" s="6"/>
      <c r="F43" s="40"/>
      <c r="G43" s="41"/>
      <c r="H43" s="35" t="str">
        <f aca="false">IF($B43="","",N($F43)*N($G43))</f>
        <v/>
      </c>
      <c r="I43" s="35" t="str">
        <f aca="false">IF($B43="","",N($F43)+$H43)</f>
        <v/>
      </c>
      <c r="J43" s="6"/>
      <c r="K43" s="46" t="str">
        <f aca="false">IF($A43="","",DATE(YEAR($A43),MONTH($A43),1))</f>
        <v/>
      </c>
    </row>
    <row r="44" customFormat="false" ht="15" hidden="false" customHeight="false" outlineLevel="0" collapsed="false">
      <c r="A44" s="44"/>
      <c r="B44" s="6"/>
      <c r="C44" s="6"/>
      <c r="D44" s="6"/>
      <c r="E44" s="6"/>
      <c r="F44" s="40"/>
      <c r="G44" s="41"/>
      <c r="H44" s="35" t="str">
        <f aca="false">IF($B44="","",N($F44)*N($G44))</f>
        <v/>
      </c>
      <c r="I44" s="35" t="str">
        <f aca="false">IF($B44="","",N($F44)+$H44)</f>
        <v/>
      </c>
      <c r="J44" s="6"/>
      <c r="K44" s="46" t="str">
        <f aca="false">IF($A44="","",DATE(YEAR($A44),MONTH($A44),1))</f>
        <v/>
      </c>
    </row>
    <row r="45" customFormat="false" ht="15" hidden="false" customHeight="false" outlineLevel="0" collapsed="false">
      <c r="A45" s="44"/>
      <c r="B45" s="6"/>
      <c r="C45" s="6"/>
      <c r="D45" s="6"/>
      <c r="E45" s="6"/>
      <c r="F45" s="40"/>
      <c r="G45" s="41"/>
      <c r="H45" s="35" t="str">
        <f aca="false">IF($B45="","",N($F45)*N($G45))</f>
        <v/>
      </c>
      <c r="I45" s="35" t="str">
        <f aca="false">IF($B45="","",N($F45)+$H45)</f>
        <v/>
      </c>
      <c r="J45" s="6"/>
      <c r="K45" s="46" t="str">
        <f aca="false">IF($A45="","",DATE(YEAR($A45),MONTH($A45),1))</f>
        <v/>
      </c>
    </row>
    <row r="46" customFormat="false" ht="15" hidden="false" customHeight="false" outlineLevel="0" collapsed="false">
      <c r="A46" s="44"/>
      <c r="B46" s="6"/>
      <c r="C46" s="6"/>
      <c r="D46" s="6"/>
      <c r="E46" s="6"/>
      <c r="F46" s="40"/>
      <c r="G46" s="41"/>
      <c r="H46" s="35" t="str">
        <f aca="false">IF($B46="","",N($F46)*N($G46))</f>
        <v/>
      </c>
      <c r="I46" s="35" t="str">
        <f aca="false">IF($B46="","",N($F46)+$H46)</f>
        <v/>
      </c>
      <c r="J46" s="6"/>
      <c r="K46" s="46" t="str">
        <f aca="false">IF($A46="","",DATE(YEAR($A46),MONTH($A46),1))</f>
        <v/>
      </c>
    </row>
    <row r="47" customFormat="false" ht="15" hidden="false" customHeight="false" outlineLevel="0" collapsed="false">
      <c r="A47" s="44"/>
      <c r="B47" s="6"/>
      <c r="C47" s="6"/>
      <c r="D47" s="6"/>
      <c r="E47" s="6"/>
      <c r="F47" s="40"/>
      <c r="G47" s="41"/>
      <c r="H47" s="35" t="str">
        <f aca="false">IF($B47="","",N($F47)*N($G47))</f>
        <v/>
      </c>
      <c r="I47" s="35" t="str">
        <f aca="false">IF($B47="","",N($F47)+$H47)</f>
        <v/>
      </c>
      <c r="J47" s="6"/>
      <c r="K47" s="46" t="str">
        <f aca="false">IF($A47="","",DATE(YEAR($A47),MONTH($A47),1))</f>
        <v/>
      </c>
    </row>
    <row r="48" customFormat="false" ht="15" hidden="false" customHeight="false" outlineLevel="0" collapsed="false">
      <c r="A48" s="44"/>
      <c r="B48" s="6"/>
      <c r="C48" s="6"/>
      <c r="D48" s="6"/>
      <c r="E48" s="6"/>
      <c r="F48" s="40"/>
      <c r="G48" s="41"/>
      <c r="H48" s="35" t="str">
        <f aca="false">IF($B48="","",N($F48)*N($G48))</f>
        <v/>
      </c>
      <c r="I48" s="35" t="str">
        <f aca="false">IF($B48="","",N($F48)+$H48)</f>
        <v/>
      </c>
      <c r="J48" s="6"/>
      <c r="K48" s="46" t="str">
        <f aca="false">IF($A48="","",DATE(YEAR($A48),MONTH($A48),1))</f>
        <v/>
      </c>
    </row>
    <row r="49" customFormat="false" ht="15" hidden="false" customHeight="false" outlineLevel="0" collapsed="false">
      <c r="A49" s="44"/>
      <c r="B49" s="6"/>
      <c r="C49" s="6"/>
      <c r="D49" s="6"/>
      <c r="E49" s="6"/>
      <c r="F49" s="40"/>
      <c r="G49" s="41"/>
      <c r="H49" s="35" t="str">
        <f aca="false">IF($B49="","",N($F49)*N($G49))</f>
        <v/>
      </c>
      <c r="I49" s="35" t="str">
        <f aca="false">IF($B49="","",N($F49)+$H49)</f>
        <v/>
      </c>
      <c r="J49" s="6"/>
      <c r="K49" s="46" t="str">
        <f aca="false">IF($A49="","",DATE(YEAR($A49),MONTH($A49),1))</f>
        <v/>
      </c>
    </row>
    <row r="50" customFormat="false" ht="15" hidden="false" customHeight="false" outlineLevel="0" collapsed="false">
      <c r="A50" s="44"/>
      <c r="B50" s="6"/>
      <c r="C50" s="6"/>
      <c r="D50" s="6"/>
      <c r="E50" s="6"/>
      <c r="F50" s="40"/>
      <c r="G50" s="41"/>
      <c r="H50" s="35" t="str">
        <f aca="false">IF($B50="","",N($F50)*N($G50))</f>
        <v/>
      </c>
      <c r="I50" s="35" t="str">
        <f aca="false">IF($B50="","",N($F50)+$H50)</f>
        <v/>
      </c>
      <c r="J50" s="6"/>
      <c r="K50" s="46" t="str">
        <f aca="false">IF($A50="","",DATE(YEAR($A50),MONTH($A50),1))</f>
        <v/>
      </c>
    </row>
    <row r="51" customFormat="false" ht="15" hidden="false" customHeight="false" outlineLevel="0" collapsed="false">
      <c r="A51" s="44"/>
      <c r="B51" s="6"/>
      <c r="C51" s="6"/>
      <c r="D51" s="6"/>
      <c r="E51" s="6"/>
      <c r="F51" s="40"/>
      <c r="G51" s="41"/>
      <c r="H51" s="35" t="str">
        <f aca="false">IF($B51="","",N($F51)*N($G51))</f>
        <v/>
      </c>
      <c r="I51" s="35" t="str">
        <f aca="false">IF($B51="","",N($F51)+$H51)</f>
        <v/>
      </c>
      <c r="J51" s="6"/>
      <c r="K51" s="46" t="str">
        <f aca="false">IF($A51="","",DATE(YEAR($A51),MONTH($A51),1))</f>
        <v/>
      </c>
    </row>
    <row r="52" customFormat="false" ht="15" hidden="false" customHeight="false" outlineLevel="0" collapsed="false">
      <c r="A52" s="44"/>
      <c r="B52" s="6"/>
      <c r="C52" s="6"/>
      <c r="D52" s="6"/>
      <c r="E52" s="6"/>
      <c r="F52" s="40"/>
      <c r="G52" s="41"/>
      <c r="H52" s="35" t="str">
        <f aca="false">IF($B52="","",N($F52)*N($G52))</f>
        <v/>
      </c>
      <c r="I52" s="35" t="str">
        <f aca="false">IF($B52="","",N($F52)+$H52)</f>
        <v/>
      </c>
      <c r="J52" s="6"/>
      <c r="K52" s="46" t="str">
        <f aca="false">IF($A52="","",DATE(YEAR($A52),MONTH($A52),1))</f>
        <v/>
      </c>
    </row>
    <row r="53" customFormat="false" ht="15" hidden="false" customHeight="false" outlineLevel="0" collapsed="false">
      <c r="A53" s="44"/>
      <c r="B53" s="6"/>
      <c r="C53" s="6"/>
      <c r="D53" s="6"/>
      <c r="E53" s="6"/>
      <c r="F53" s="40"/>
      <c r="G53" s="41"/>
      <c r="H53" s="35" t="str">
        <f aca="false">IF($B53="","",N($F53)*N($G53))</f>
        <v/>
      </c>
      <c r="I53" s="35" t="str">
        <f aca="false">IF($B53="","",N($F53)+$H53)</f>
        <v/>
      </c>
      <c r="J53" s="6"/>
      <c r="K53" s="46" t="str">
        <f aca="false">IF($A53="","",DATE(YEAR($A53),MONTH($A53),1))</f>
        <v/>
      </c>
    </row>
    <row r="54" customFormat="false" ht="15" hidden="false" customHeight="false" outlineLevel="0" collapsed="false">
      <c r="A54" s="44"/>
      <c r="B54" s="6"/>
      <c r="C54" s="6"/>
      <c r="D54" s="6"/>
      <c r="E54" s="6"/>
      <c r="F54" s="40"/>
      <c r="G54" s="41"/>
      <c r="H54" s="35" t="str">
        <f aca="false">IF($B54="","",N($F54)*N($G54))</f>
        <v/>
      </c>
      <c r="I54" s="35" t="str">
        <f aca="false">IF($B54="","",N($F54)+$H54)</f>
        <v/>
      </c>
      <c r="J54" s="6"/>
      <c r="K54" s="46" t="str">
        <f aca="false">IF($A54="","",DATE(YEAR($A54),MONTH($A54),1))</f>
        <v/>
      </c>
    </row>
    <row r="55" customFormat="false" ht="15" hidden="false" customHeight="false" outlineLevel="0" collapsed="false">
      <c r="A55" s="44"/>
      <c r="B55" s="6"/>
      <c r="C55" s="6"/>
      <c r="D55" s="6"/>
      <c r="E55" s="6"/>
      <c r="F55" s="40"/>
      <c r="G55" s="41"/>
      <c r="H55" s="35" t="str">
        <f aca="false">IF($B55="","",N($F55)*N($G55))</f>
        <v/>
      </c>
      <c r="I55" s="35" t="str">
        <f aca="false">IF($B55="","",N($F55)+$H55)</f>
        <v/>
      </c>
      <c r="J55" s="6"/>
      <c r="K55" s="46" t="str">
        <f aca="false">IF($A55="","",DATE(YEAR($A55),MONTH($A55),1))</f>
        <v/>
      </c>
    </row>
    <row r="56" customFormat="false" ht="15" hidden="false" customHeight="false" outlineLevel="0" collapsed="false">
      <c r="A56" s="44"/>
      <c r="B56" s="6"/>
      <c r="C56" s="6"/>
      <c r="D56" s="6"/>
      <c r="E56" s="6"/>
      <c r="F56" s="40"/>
      <c r="G56" s="41"/>
      <c r="H56" s="35" t="str">
        <f aca="false">IF($B56="","",N($F56)*N($G56))</f>
        <v/>
      </c>
      <c r="I56" s="35" t="str">
        <f aca="false">IF($B56="","",N($F56)+$H56)</f>
        <v/>
      </c>
      <c r="J56" s="6"/>
      <c r="K56" s="46" t="str">
        <f aca="false">IF($A56="","",DATE(YEAR($A56),MONTH($A56),1))</f>
        <v/>
      </c>
    </row>
    <row r="57" customFormat="false" ht="15" hidden="false" customHeight="false" outlineLevel="0" collapsed="false">
      <c r="A57" s="44"/>
      <c r="B57" s="6"/>
      <c r="C57" s="6"/>
      <c r="D57" s="6"/>
      <c r="E57" s="6"/>
      <c r="F57" s="40"/>
      <c r="G57" s="41"/>
      <c r="H57" s="35" t="str">
        <f aca="false">IF($B57="","",N($F57)*N($G57))</f>
        <v/>
      </c>
      <c r="I57" s="35" t="str">
        <f aca="false">IF($B57="","",N($F57)+$H57)</f>
        <v/>
      </c>
      <c r="J57" s="6"/>
      <c r="K57" s="46" t="str">
        <f aca="false">IF($A57="","",DATE(YEAR($A57),MONTH($A57),1))</f>
        <v/>
      </c>
    </row>
    <row r="58" customFormat="false" ht="15" hidden="false" customHeight="false" outlineLevel="0" collapsed="false">
      <c r="A58" s="44"/>
      <c r="B58" s="6"/>
      <c r="C58" s="6"/>
      <c r="D58" s="6"/>
      <c r="E58" s="6"/>
      <c r="F58" s="40"/>
      <c r="G58" s="41"/>
      <c r="H58" s="35" t="str">
        <f aca="false">IF($B58="","",N($F58)*N($G58))</f>
        <v/>
      </c>
      <c r="I58" s="35" t="str">
        <f aca="false">IF($B58="","",N($F58)+$H58)</f>
        <v/>
      </c>
      <c r="J58" s="6"/>
      <c r="K58" s="46" t="str">
        <f aca="false">IF($A58="","",DATE(YEAR($A58),MONTH($A58),1))</f>
        <v/>
      </c>
    </row>
    <row r="59" customFormat="false" ht="15" hidden="false" customHeight="false" outlineLevel="0" collapsed="false">
      <c r="A59" s="44"/>
      <c r="B59" s="6"/>
      <c r="C59" s="6"/>
      <c r="D59" s="6"/>
      <c r="E59" s="6"/>
      <c r="F59" s="40"/>
      <c r="G59" s="41"/>
      <c r="H59" s="35" t="str">
        <f aca="false">IF($B59="","",N($F59)*N($G59))</f>
        <v/>
      </c>
      <c r="I59" s="35" t="str">
        <f aca="false">IF($B59="","",N($F59)+$H59)</f>
        <v/>
      </c>
      <c r="J59" s="6"/>
      <c r="K59" s="46" t="str">
        <f aca="false">IF($A59="","",DATE(YEAR($A59),MONTH($A59),1))</f>
        <v/>
      </c>
    </row>
    <row r="60" customFormat="false" ht="15" hidden="false" customHeight="false" outlineLevel="0" collapsed="false">
      <c r="A60" s="44"/>
      <c r="B60" s="6"/>
      <c r="C60" s="6"/>
      <c r="D60" s="6"/>
      <c r="E60" s="6"/>
      <c r="F60" s="40"/>
      <c r="G60" s="41"/>
      <c r="H60" s="35" t="str">
        <f aca="false">IF($B60="","",N($F60)*N($G60))</f>
        <v/>
      </c>
      <c r="I60" s="35" t="str">
        <f aca="false">IF($B60="","",N($F60)+$H60)</f>
        <v/>
      </c>
      <c r="J60" s="6"/>
      <c r="K60" s="46" t="str">
        <f aca="false">IF($A60="","",DATE(YEAR($A60),MONTH($A60),1))</f>
        <v/>
      </c>
    </row>
    <row r="61" customFormat="false" ht="15" hidden="false" customHeight="false" outlineLevel="0" collapsed="false">
      <c r="A61" s="44"/>
      <c r="B61" s="6"/>
      <c r="C61" s="6"/>
      <c r="D61" s="6"/>
      <c r="E61" s="6"/>
      <c r="F61" s="40"/>
      <c r="G61" s="41"/>
      <c r="H61" s="35" t="str">
        <f aca="false">IF($B61="","",N($F61)*N($G61))</f>
        <v/>
      </c>
      <c r="I61" s="35" t="str">
        <f aca="false">IF($B61="","",N($F61)+$H61)</f>
        <v/>
      </c>
      <c r="J61" s="6"/>
      <c r="K61" s="46" t="str">
        <f aca="false">IF($A61="","",DATE(YEAR($A61),MONTH($A61),1))</f>
        <v/>
      </c>
    </row>
    <row r="62" customFormat="false" ht="15" hidden="false" customHeight="false" outlineLevel="0" collapsed="false">
      <c r="A62" s="44"/>
      <c r="B62" s="6"/>
      <c r="C62" s="6"/>
      <c r="D62" s="6"/>
      <c r="E62" s="6"/>
      <c r="F62" s="40"/>
      <c r="G62" s="41"/>
      <c r="H62" s="35" t="str">
        <f aca="false">IF($B62="","",N($F62)*N($G62))</f>
        <v/>
      </c>
      <c r="I62" s="35" t="str">
        <f aca="false">IF($B62="","",N($F62)+$H62)</f>
        <v/>
      </c>
      <c r="J62" s="6"/>
      <c r="K62" s="46" t="str">
        <f aca="false">IF($A62="","",DATE(YEAR($A62),MONTH($A62),1))</f>
        <v/>
      </c>
    </row>
    <row r="63" customFormat="false" ht="15" hidden="false" customHeight="false" outlineLevel="0" collapsed="false">
      <c r="A63" s="44"/>
      <c r="B63" s="6"/>
      <c r="C63" s="6"/>
      <c r="D63" s="6"/>
      <c r="E63" s="6"/>
      <c r="F63" s="40"/>
      <c r="G63" s="41"/>
      <c r="H63" s="35" t="str">
        <f aca="false">IF($B63="","",N($F63)*N($G63))</f>
        <v/>
      </c>
      <c r="I63" s="35" t="str">
        <f aca="false">IF($B63="","",N($F63)+$H63)</f>
        <v/>
      </c>
      <c r="J63" s="6"/>
      <c r="K63" s="46" t="str">
        <f aca="false">IF($A63="","",DATE(YEAR($A63),MONTH($A63),1))</f>
        <v/>
      </c>
    </row>
    <row r="64" customFormat="false" ht="15" hidden="false" customHeight="false" outlineLevel="0" collapsed="false">
      <c r="A64" s="44"/>
      <c r="B64" s="6"/>
      <c r="C64" s="6"/>
      <c r="D64" s="6"/>
      <c r="E64" s="6"/>
      <c r="F64" s="40"/>
      <c r="G64" s="41"/>
      <c r="H64" s="35" t="str">
        <f aca="false">IF($B64="","",N($F64)*N($G64))</f>
        <v/>
      </c>
      <c r="I64" s="35" t="str">
        <f aca="false">IF($B64="","",N($F64)+$H64)</f>
        <v/>
      </c>
      <c r="J64" s="6"/>
      <c r="K64" s="46" t="str">
        <f aca="false">IF($A64="","",DATE(YEAR($A64),MONTH($A64),1))</f>
        <v/>
      </c>
    </row>
    <row r="65" customFormat="false" ht="15" hidden="false" customHeight="false" outlineLevel="0" collapsed="false">
      <c r="A65" s="44"/>
      <c r="B65" s="6"/>
      <c r="C65" s="6"/>
      <c r="D65" s="6"/>
      <c r="E65" s="6"/>
      <c r="F65" s="40"/>
      <c r="G65" s="41"/>
      <c r="H65" s="35" t="str">
        <f aca="false">IF($B65="","",N($F65)*N($G65))</f>
        <v/>
      </c>
      <c r="I65" s="35" t="str">
        <f aca="false">IF($B65="","",N($F65)+$H65)</f>
        <v/>
      </c>
      <c r="J65" s="6"/>
      <c r="K65" s="46" t="str">
        <f aca="false">IF($A65="","",DATE(YEAR($A65),MONTH($A65),1))</f>
        <v/>
      </c>
    </row>
    <row r="66" customFormat="false" ht="15" hidden="false" customHeight="false" outlineLevel="0" collapsed="false">
      <c r="A66" s="44"/>
      <c r="B66" s="6"/>
      <c r="C66" s="6"/>
      <c r="D66" s="6"/>
      <c r="E66" s="6"/>
      <c r="F66" s="40"/>
      <c r="G66" s="41"/>
      <c r="H66" s="35" t="str">
        <f aca="false">IF($B66="","",N($F66)*N($G66))</f>
        <v/>
      </c>
      <c r="I66" s="35" t="str">
        <f aca="false">IF($B66="","",N($F66)+$H66)</f>
        <v/>
      </c>
      <c r="J66" s="6"/>
      <c r="K66" s="46" t="str">
        <f aca="false">IF($A66="","",DATE(YEAR($A66),MONTH($A66),1))</f>
        <v/>
      </c>
    </row>
    <row r="67" customFormat="false" ht="15" hidden="false" customHeight="false" outlineLevel="0" collapsed="false">
      <c r="A67" s="44"/>
      <c r="B67" s="6"/>
      <c r="C67" s="6"/>
      <c r="D67" s="6"/>
      <c r="E67" s="6"/>
      <c r="F67" s="40"/>
      <c r="G67" s="41"/>
      <c r="H67" s="35" t="str">
        <f aca="false">IF($B67="","",N($F67)*N($G67))</f>
        <v/>
      </c>
      <c r="I67" s="35" t="str">
        <f aca="false">IF($B67="","",N($F67)+$H67)</f>
        <v/>
      </c>
      <c r="J67" s="6"/>
      <c r="K67" s="46" t="str">
        <f aca="false">IF($A67="","",DATE(YEAR($A67),MONTH($A67),1))</f>
        <v/>
      </c>
    </row>
    <row r="68" customFormat="false" ht="15" hidden="false" customHeight="false" outlineLevel="0" collapsed="false">
      <c r="A68" s="44"/>
      <c r="B68" s="6"/>
      <c r="C68" s="6"/>
      <c r="D68" s="6"/>
      <c r="E68" s="6"/>
      <c r="F68" s="40"/>
      <c r="G68" s="41"/>
      <c r="H68" s="35" t="str">
        <f aca="false">IF($B68="","",N($F68)*N($G68))</f>
        <v/>
      </c>
      <c r="I68" s="35" t="str">
        <f aca="false">IF($B68="","",N($F68)+$H68)</f>
        <v/>
      </c>
      <c r="J68" s="6"/>
      <c r="K68" s="46" t="str">
        <f aca="false">IF($A68="","",DATE(YEAR($A68),MONTH($A68),1))</f>
        <v/>
      </c>
    </row>
    <row r="69" customFormat="false" ht="15" hidden="false" customHeight="false" outlineLevel="0" collapsed="false">
      <c r="A69" s="44"/>
      <c r="B69" s="6"/>
      <c r="C69" s="6"/>
      <c r="D69" s="6"/>
      <c r="E69" s="6"/>
      <c r="F69" s="40"/>
      <c r="G69" s="41"/>
      <c r="H69" s="35" t="str">
        <f aca="false">IF($B69="","",N($F69)*N($G69))</f>
        <v/>
      </c>
      <c r="I69" s="35" t="str">
        <f aca="false">IF($B69="","",N($F69)+$H69)</f>
        <v/>
      </c>
      <c r="J69" s="6"/>
      <c r="K69" s="46" t="str">
        <f aca="false">IF($A69="","",DATE(YEAR($A69),MONTH($A69),1))</f>
        <v/>
      </c>
    </row>
    <row r="70" customFormat="false" ht="15" hidden="false" customHeight="false" outlineLevel="0" collapsed="false">
      <c r="A70" s="44"/>
      <c r="B70" s="6"/>
      <c r="C70" s="6"/>
      <c r="D70" s="6"/>
      <c r="E70" s="6"/>
      <c r="F70" s="40"/>
      <c r="G70" s="41"/>
      <c r="H70" s="35" t="str">
        <f aca="false">IF($B70="","",N($F70)*N($G70))</f>
        <v/>
      </c>
      <c r="I70" s="35" t="str">
        <f aca="false">IF($B70="","",N($F70)+$H70)</f>
        <v/>
      </c>
      <c r="J70" s="6"/>
      <c r="K70" s="46" t="str">
        <f aca="false">IF($A70="","",DATE(YEAR($A70),MONTH($A70),1))</f>
        <v/>
      </c>
    </row>
    <row r="71" customFormat="false" ht="15" hidden="false" customHeight="false" outlineLevel="0" collapsed="false">
      <c r="A71" s="44"/>
      <c r="B71" s="6"/>
      <c r="C71" s="6"/>
      <c r="D71" s="6"/>
      <c r="E71" s="6"/>
      <c r="F71" s="40"/>
      <c r="G71" s="41"/>
      <c r="H71" s="35" t="str">
        <f aca="false">IF($B71="","",N($F71)*N($G71))</f>
        <v/>
      </c>
      <c r="I71" s="35" t="str">
        <f aca="false">IF($B71="","",N($F71)+$H71)</f>
        <v/>
      </c>
      <c r="J71" s="6"/>
      <c r="K71" s="46" t="str">
        <f aca="false">IF($A71="","",DATE(YEAR($A71),MONTH($A71),1))</f>
        <v/>
      </c>
    </row>
    <row r="72" customFormat="false" ht="15" hidden="false" customHeight="false" outlineLevel="0" collapsed="false">
      <c r="A72" s="44"/>
      <c r="B72" s="6"/>
      <c r="C72" s="6"/>
      <c r="D72" s="6"/>
      <c r="E72" s="6"/>
      <c r="F72" s="40"/>
      <c r="G72" s="41"/>
      <c r="H72" s="35" t="str">
        <f aca="false">IF($B72="","",N($F72)*N($G72))</f>
        <v/>
      </c>
      <c r="I72" s="35" t="str">
        <f aca="false">IF($B72="","",N($F72)+$H72)</f>
        <v/>
      </c>
      <c r="J72" s="6"/>
      <c r="K72" s="46" t="str">
        <f aca="false">IF($A72="","",DATE(YEAR($A72),MONTH($A72),1))</f>
        <v/>
      </c>
    </row>
    <row r="73" customFormat="false" ht="15" hidden="false" customHeight="false" outlineLevel="0" collapsed="false">
      <c r="A73" s="44"/>
      <c r="B73" s="6"/>
      <c r="C73" s="6"/>
      <c r="D73" s="6"/>
      <c r="E73" s="6"/>
      <c r="F73" s="40"/>
      <c r="G73" s="41"/>
      <c r="H73" s="35" t="str">
        <f aca="false">IF($B73="","",N($F73)*N($G73))</f>
        <v/>
      </c>
      <c r="I73" s="35" t="str">
        <f aca="false">IF($B73="","",N($F73)+$H73)</f>
        <v/>
      </c>
      <c r="J73" s="6"/>
      <c r="K73" s="46" t="str">
        <f aca="false">IF($A73="","",DATE(YEAR($A73),MONTH($A73),1))</f>
        <v/>
      </c>
    </row>
    <row r="74" customFormat="false" ht="15" hidden="false" customHeight="false" outlineLevel="0" collapsed="false">
      <c r="A74" s="44"/>
      <c r="B74" s="6"/>
      <c r="C74" s="6"/>
      <c r="D74" s="6"/>
      <c r="E74" s="6"/>
      <c r="F74" s="40"/>
      <c r="G74" s="41"/>
      <c r="H74" s="35" t="str">
        <f aca="false">IF($B74="","",N($F74)*N($G74))</f>
        <v/>
      </c>
      <c r="I74" s="35" t="str">
        <f aca="false">IF($B74="","",N($F74)+$H74)</f>
        <v/>
      </c>
      <c r="J74" s="6"/>
      <c r="K74" s="46" t="str">
        <f aca="false">IF($A74="","",DATE(YEAR($A74),MONTH($A74),1))</f>
        <v/>
      </c>
    </row>
    <row r="75" customFormat="false" ht="15" hidden="false" customHeight="false" outlineLevel="0" collapsed="false">
      <c r="A75" s="44"/>
      <c r="B75" s="6"/>
      <c r="C75" s="6"/>
      <c r="D75" s="6"/>
      <c r="E75" s="6"/>
      <c r="F75" s="40"/>
      <c r="G75" s="41"/>
      <c r="H75" s="35" t="str">
        <f aca="false">IF($B75="","",N($F75)*N($G75))</f>
        <v/>
      </c>
      <c r="I75" s="35" t="str">
        <f aca="false">IF($B75="","",N($F75)+$H75)</f>
        <v/>
      </c>
      <c r="J75" s="6"/>
      <c r="K75" s="46" t="str">
        <f aca="false">IF($A75="","",DATE(YEAR($A75),MONTH($A75),1))</f>
        <v/>
      </c>
    </row>
    <row r="76" customFormat="false" ht="15" hidden="false" customHeight="false" outlineLevel="0" collapsed="false">
      <c r="A76" s="44"/>
      <c r="B76" s="6"/>
      <c r="C76" s="6"/>
      <c r="D76" s="6"/>
      <c r="E76" s="6"/>
      <c r="F76" s="40"/>
      <c r="G76" s="41"/>
      <c r="H76" s="35" t="str">
        <f aca="false">IF($B76="","",N($F76)*N($G76))</f>
        <v/>
      </c>
      <c r="I76" s="35" t="str">
        <f aca="false">IF($B76="","",N($F76)+$H76)</f>
        <v/>
      </c>
      <c r="J76" s="6"/>
      <c r="K76" s="46" t="str">
        <f aca="false">IF($A76="","",DATE(YEAR($A76),MONTH($A76),1))</f>
        <v/>
      </c>
    </row>
    <row r="77" customFormat="false" ht="15" hidden="false" customHeight="false" outlineLevel="0" collapsed="false">
      <c r="A77" s="44"/>
      <c r="B77" s="6"/>
      <c r="C77" s="6"/>
      <c r="D77" s="6"/>
      <c r="E77" s="6"/>
      <c r="F77" s="40"/>
      <c r="G77" s="41"/>
      <c r="H77" s="35" t="str">
        <f aca="false">IF($B77="","",N($F77)*N($G77))</f>
        <v/>
      </c>
      <c r="I77" s="35" t="str">
        <f aca="false">IF($B77="","",N($F77)+$H77)</f>
        <v/>
      </c>
      <c r="J77" s="6"/>
      <c r="K77" s="46" t="str">
        <f aca="false">IF($A77="","",DATE(YEAR($A77),MONTH($A77),1))</f>
        <v/>
      </c>
    </row>
    <row r="78" customFormat="false" ht="15" hidden="false" customHeight="false" outlineLevel="0" collapsed="false">
      <c r="A78" s="44"/>
      <c r="B78" s="6"/>
      <c r="C78" s="6"/>
      <c r="D78" s="6"/>
      <c r="E78" s="6"/>
      <c r="F78" s="40"/>
      <c r="G78" s="41"/>
      <c r="H78" s="35" t="str">
        <f aca="false">IF($B78="","",N($F78)*N($G78))</f>
        <v/>
      </c>
      <c r="I78" s="35" t="str">
        <f aca="false">IF($B78="","",N($F78)+$H78)</f>
        <v/>
      </c>
      <c r="J78" s="6"/>
      <c r="K78" s="46" t="str">
        <f aca="false">IF($A78="","",DATE(YEAR($A78),MONTH($A78),1))</f>
        <v/>
      </c>
    </row>
    <row r="79" customFormat="false" ht="15" hidden="false" customHeight="false" outlineLevel="0" collapsed="false">
      <c r="A79" s="44"/>
      <c r="B79" s="6"/>
      <c r="C79" s="6"/>
      <c r="D79" s="6"/>
      <c r="E79" s="6"/>
      <c r="F79" s="40"/>
      <c r="G79" s="41"/>
      <c r="H79" s="35" t="str">
        <f aca="false">IF($B79="","",N($F79)*N($G79))</f>
        <v/>
      </c>
      <c r="I79" s="35" t="str">
        <f aca="false">IF($B79="","",N($F79)+$H79)</f>
        <v/>
      </c>
      <c r="J79" s="6"/>
      <c r="K79" s="46" t="str">
        <f aca="false">IF($A79="","",DATE(YEAR($A79),MONTH($A79),1))</f>
        <v/>
      </c>
    </row>
    <row r="80" customFormat="false" ht="15" hidden="false" customHeight="false" outlineLevel="0" collapsed="false">
      <c r="A80" s="44"/>
      <c r="B80" s="6"/>
      <c r="C80" s="6"/>
      <c r="D80" s="6"/>
      <c r="E80" s="6"/>
      <c r="F80" s="40"/>
      <c r="G80" s="41"/>
      <c r="H80" s="35" t="str">
        <f aca="false">IF($B80="","",N($F80)*N($G80))</f>
        <v/>
      </c>
      <c r="I80" s="35" t="str">
        <f aca="false">IF($B80="","",N($F80)+$H80)</f>
        <v/>
      </c>
      <c r="J80" s="6"/>
      <c r="K80" s="46" t="str">
        <f aca="false">IF($A80="","",DATE(YEAR($A80),MONTH($A80),1))</f>
        <v/>
      </c>
    </row>
    <row r="81" customFormat="false" ht="15" hidden="false" customHeight="false" outlineLevel="0" collapsed="false">
      <c r="A81" s="44"/>
      <c r="B81" s="6"/>
      <c r="C81" s="6"/>
      <c r="D81" s="6"/>
      <c r="E81" s="6"/>
      <c r="F81" s="40"/>
      <c r="G81" s="41"/>
      <c r="H81" s="35" t="str">
        <f aca="false">IF($B81="","",N($F81)*N($G81))</f>
        <v/>
      </c>
      <c r="I81" s="35" t="str">
        <f aca="false">IF($B81="","",N($F81)+$H81)</f>
        <v/>
      </c>
      <c r="J81" s="6"/>
      <c r="K81" s="46" t="str">
        <f aca="false">IF($A81="","",DATE(YEAR($A81),MONTH($A81),1))</f>
        <v/>
      </c>
    </row>
    <row r="82" customFormat="false" ht="15" hidden="false" customHeight="false" outlineLevel="0" collapsed="false">
      <c r="A82" s="44"/>
      <c r="B82" s="6"/>
      <c r="C82" s="6"/>
      <c r="D82" s="6"/>
      <c r="E82" s="6"/>
      <c r="F82" s="40"/>
      <c r="G82" s="41"/>
      <c r="H82" s="35" t="str">
        <f aca="false">IF($B82="","",N($F82)*N($G82))</f>
        <v/>
      </c>
      <c r="I82" s="35" t="str">
        <f aca="false">IF($B82="","",N($F82)+$H82)</f>
        <v/>
      </c>
      <c r="J82" s="6"/>
      <c r="K82" s="46" t="str">
        <f aca="false">IF($A82="","",DATE(YEAR($A82),MONTH($A82),1))</f>
        <v/>
      </c>
    </row>
    <row r="83" customFormat="false" ht="15" hidden="false" customHeight="false" outlineLevel="0" collapsed="false">
      <c r="A83" s="44"/>
      <c r="B83" s="6"/>
      <c r="C83" s="6"/>
      <c r="D83" s="6"/>
      <c r="E83" s="6"/>
      <c r="F83" s="40"/>
      <c r="G83" s="41"/>
      <c r="H83" s="35" t="str">
        <f aca="false">IF($B83="","",N($F83)*N($G83))</f>
        <v/>
      </c>
      <c r="I83" s="35" t="str">
        <f aca="false">IF($B83="","",N($F83)+$H83)</f>
        <v/>
      </c>
      <c r="J83" s="6"/>
      <c r="K83" s="46" t="str">
        <f aca="false">IF($A83="","",DATE(YEAR($A83),MONTH($A83),1))</f>
        <v/>
      </c>
    </row>
    <row r="84" customFormat="false" ht="15" hidden="false" customHeight="false" outlineLevel="0" collapsed="false">
      <c r="A84" s="44"/>
      <c r="B84" s="6"/>
      <c r="C84" s="6"/>
      <c r="D84" s="6"/>
      <c r="E84" s="6"/>
      <c r="F84" s="40"/>
      <c r="G84" s="41"/>
      <c r="H84" s="35" t="str">
        <f aca="false">IF($B84="","",N($F84)*N($G84))</f>
        <v/>
      </c>
      <c r="I84" s="35" t="str">
        <f aca="false">IF($B84="","",N($F84)+$H84)</f>
        <v/>
      </c>
      <c r="J84" s="6"/>
      <c r="K84" s="46" t="str">
        <f aca="false">IF($A84="","",DATE(YEAR($A84),MONTH($A84),1))</f>
        <v/>
      </c>
    </row>
    <row r="85" customFormat="false" ht="15" hidden="false" customHeight="false" outlineLevel="0" collapsed="false">
      <c r="A85" s="44"/>
      <c r="B85" s="6"/>
      <c r="C85" s="6"/>
      <c r="D85" s="6"/>
      <c r="E85" s="6"/>
      <c r="F85" s="40"/>
      <c r="G85" s="41"/>
      <c r="H85" s="35" t="str">
        <f aca="false">IF($B85="","",N($F85)*N($G85))</f>
        <v/>
      </c>
      <c r="I85" s="35" t="str">
        <f aca="false">IF($B85="","",N($F85)+$H85)</f>
        <v/>
      </c>
      <c r="J85" s="6"/>
      <c r="K85" s="46" t="str">
        <f aca="false">IF($A85="","",DATE(YEAR($A85),MONTH($A85),1))</f>
        <v/>
      </c>
    </row>
    <row r="86" customFormat="false" ht="15" hidden="false" customHeight="false" outlineLevel="0" collapsed="false">
      <c r="A86" s="44"/>
      <c r="B86" s="6"/>
      <c r="C86" s="6"/>
      <c r="D86" s="6"/>
      <c r="E86" s="6"/>
      <c r="F86" s="40"/>
      <c r="G86" s="41"/>
      <c r="H86" s="35" t="str">
        <f aca="false">IF($B86="","",N($F86)*N($G86))</f>
        <v/>
      </c>
      <c r="I86" s="35" t="str">
        <f aca="false">IF($B86="","",N($F86)+$H86)</f>
        <v/>
      </c>
      <c r="J86" s="6"/>
      <c r="K86" s="46" t="str">
        <f aca="false">IF($A86="","",DATE(YEAR($A86),MONTH($A86),1))</f>
        <v/>
      </c>
    </row>
    <row r="87" customFormat="false" ht="15" hidden="false" customHeight="false" outlineLevel="0" collapsed="false">
      <c r="A87" s="44"/>
      <c r="B87" s="6"/>
      <c r="C87" s="6"/>
      <c r="D87" s="6"/>
      <c r="E87" s="6"/>
      <c r="F87" s="40"/>
      <c r="G87" s="41"/>
      <c r="H87" s="35" t="str">
        <f aca="false">IF($B87="","",N($F87)*N($G87))</f>
        <v/>
      </c>
      <c r="I87" s="35" t="str">
        <f aca="false">IF($B87="","",N($F87)+$H87)</f>
        <v/>
      </c>
      <c r="J87" s="6"/>
      <c r="K87" s="46" t="str">
        <f aca="false">IF($A87="","",DATE(YEAR($A87),MONTH($A87),1))</f>
        <v/>
      </c>
    </row>
    <row r="88" customFormat="false" ht="15" hidden="false" customHeight="false" outlineLevel="0" collapsed="false">
      <c r="A88" s="44"/>
      <c r="B88" s="6"/>
      <c r="C88" s="6"/>
      <c r="D88" s="6"/>
      <c r="E88" s="6"/>
      <c r="F88" s="40"/>
      <c r="G88" s="41"/>
      <c r="H88" s="35" t="str">
        <f aca="false">IF($B88="","",N($F88)*N($G88))</f>
        <v/>
      </c>
      <c r="I88" s="35" t="str">
        <f aca="false">IF($B88="","",N($F88)+$H88)</f>
        <v/>
      </c>
      <c r="J88" s="6"/>
      <c r="K88" s="46" t="str">
        <f aca="false">IF($A88="","",DATE(YEAR($A88),MONTH($A88),1))</f>
        <v/>
      </c>
    </row>
    <row r="89" customFormat="false" ht="15" hidden="false" customHeight="false" outlineLevel="0" collapsed="false">
      <c r="A89" s="44"/>
      <c r="B89" s="6"/>
      <c r="C89" s="6"/>
      <c r="D89" s="6"/>
      <c r="E89" s="6"/>
      <c r="F89" s="40"/>
      <c r="G89" s="41"/>
      <c r="H89" s="35" t="str">
        <f aca="false">IF($B89="","",N($F89)*N($G89))</f>
        <v/>
      </c>
      <c r="I89" s="35" t="str">
        <f aca="false">IF($B89="","",N($F89)+$H89)</f>
        <v/>
      </c>
      <c r="J89" s="6"/>
      <c r="K89" s="46" t="str">
        <f aca="false">IF($A89="","",DATE(YEAR($A89),MONTH($A89),1))</f>
        <v/>
      </c>
    </row>
    <row r="90" customFormat="false" ht="15" hidden="false" customHeight="false" outlineLevel="0" collapsed="false">
      <c r="A90" s="44"/>
      <c r="B90" s="6"/>
      <c r="C90" s="6"/>
      <c r="D90" s="6"/>
      <c r="E90" s="6"/>
      <c r="F90" s="40"/>
      <c r="G90" s="41"/>
      <c r="H90" s="35" t="str">
        <f aca="false">IF($B90="","",N($F90)*N($G90))</f>
        <v/>
      </c>
      <c r="I90" s="35" t="str">
        <f aca="false">IF($B90="","",N($F90)+$H90)</f>
        <v/>
      </c>
      <c r="J90" s="6"/>
      <c r="K90" s="46" t="str">
        <f aca="false">IF($A90="","",DATE(YEAR($A90),MONTH($A90),1))</f>
        <v/>
      </c>
    </row>
    <row r="91" customFormat="false" ht="15" hidden="false" customHeight="false" outlineLevel="0" collapsed="false">
      <c r="A91" s="44"/>
      <c r="B91" s="6"/>
      <c r="C91" s="6"/>
      <c r="D91" s="6"/>
      <c r="E91" s="6"/>
      <c r="F91" s="40"/>
      <c r="G91" s="41"/>
      <c r="H91" s="35" t="str">
        <f aca="false">IF($B91="","",N($F91)*N($G91))</f>
        <v/>
      </c>
      <c r="I91" s="35" t="str">
        <f aca="false">IF($B91="","",N($F91)+$H91)</f>
        <v/>
      </c>
      <c r="J91" s="6"/>
      <c r="K91" s="46" t="str">
        <f aca="false">IF($A91="","",DATE(YEAR($A91),MONTH($A91),1))</f>
        <v/>
      </c>
    </row>
    <row r="92" customFormat="false" ht="15" hidden="false" customHeight="false" outlineLevel="0" collapsed="false">
      <c r="A92" s="44"/>
      <c r="B92" s="6"/>
      <c r="C92" s="6"/>
      <c r="D92" s="6"/>
      <c r="E92" s="6"/>
      <c r="F92" s="40"/>
      <c r="G92" s="41"/>
      <c r="H92" s="35" t="str">
        <f aca="false">IF($B92="","",N($F92)*N($G92))</f>
        <v/>
      </c>
      <c r="I92" s="35" t="str">
        <f aca="false">IF($B92="","",N($F92)+$H92)</f>
        <v/>
      </c>
      <c r="J92" s="6"/>
      <c r="K92" s="46" t="str">
        <f aca="false">IF($A92="","",DATE(YEAR($A92),MONTH($A92),1))</f>
        <v/>
      </c>
    </row>
    <row r="93" customFormat="false" ht="15" hidden="false" customHeight="false" outlineLevel="0" collapsed="false">
      <c r="A93" s="44"/>
      <c r="B93" s="6"/>
      <c r="C93" s="6"/>
      <c r="D93" s="6"/>
      <c r="E93" s="6"/>
      <c r="F93" s="40"/>
      <c r="G93" s="41"/>
      <c r="H93" s="35" t="str">
        <f aca="false">IF($B93="","",N($F93)*N($G93))</f>
        <v/>
      </c>
      <c r="I93" s="35" t="str">
        <f aca="false">IF($B93="","",N($F93)+$H93)</f>
        <v/>
      </c>
      <c r="J93" s="6"/>
      <c r="K93" s="46" t="str">
        <f aca="false">IF($A93="","",DATE(YEAR($A93),MONTH($A93),1))</f>
        <v/>
      </c>
    </row>
    <row r="94" customFormat="false" ht="15" hidden="false" customHeight="false" outlineLevel="0" collapsed="false">
      <c r="A94" s="44"/>
      <c r="B94" s="6"/>
      <c r="C94" s="6"/>
      <c r="D94" s="6"/>
      <c r="E94" s="6"/>
      <c r="F94" s="40"/>
      <c r="G94" s="41"/>
      <c r="H94" s="35" t="str">
        <f aca="false">IF($B94="","",N($F94)*N($G94))</f>
        <v/>
      </c>
      <c r="I94" s="35" t="str">
        <f aca="false">IF($B94="","",N($F94)+$H94)</f>
        <v/>
      </c>
      <c r="J94" s="6"/>
      <c r="K94" s="46" t="str">
        <f aca="false">IF($A94="","",DATE(YEAR($A94),MONTH($A94),1))</f>
        <v/>
      </c>
    </row>
    <row r="95" customFormat="false" ht="15" hidden="false" customHeight="false" outlineLevel="0" collapsed="false">
      <c r="A95" s="44"/>
      <c r="B95" s="6"/>
      <c r="C95" s="6"/>
      <c r="D95" s="6"/>
      <c r="E95" s="6"/>
      <c r="F95" s="40"/>
      <c r="G95" s="41"/>
      <c r="H95" s="35" t="str">
        <f aca="false">IF($B95="","",N($F95)*N($G95))</f>
        <v/>
      </c>
      <c r="I95" s="35" t="str">
        <f aca="false">IF($B95="","",N($F95)+$H95)</f>
        <v/>
      </c>
      <c r="J95" s="6"/>
      <c r="K95" s="46" t="str">
        <f aca="false">IF($A95="","",DATE(YEAR($A95),MONTH($A95),1))</f>
        <v/>
      </c>
    </row>
    <row r="96" customFormat="false" ht="15" hidden="false" customHeight="false" outlineLevel="0" collapsed="false">
      <c r="A96" s="44"/>
      <c r="B96" s="6"/>
      <c r="C96" s="6"/>
      <c r="D96" s="6"/>
      <c r="E96" s="6"/>
      <c r="F96" s="40"/>
      <c r="G96" s="41"/>
      <c r="H96" s="35" t="str">
        <f aca="false">IF($B96="","",N($F96)*N($G96))</f>
        <v/>
      </c>
      <c r="I96" s="35" t="str">
        <f aca="false">IF($B96="","",N($F96)+$H96)</f>
        <v/>
      </c>
      <c r="J96" s="6"/>
      <c r="K96" s="46" t="str">
        <f aca="false">IF($A96="","",DATE(YEAR($A96),MONTH($A96),1))</f>
        <v/>
      </c>
    </row>
    <row r="97" customFormat="false" ht="15" hidden="false" customHeight="false" outlineLevel="0" collapsed="false">
      <c r="A97" s="44"/>
      <c r="B97" s="6"/>
      <c r="C97" s="6"/>
      <c r="D97" s="6"/>
      <c r="E97" s="6"/>
      <c r="F97" s="40"/>
      <c r="G97" s="41"/>
      <c r="H97" s="35" t="str">
        <f aca="false">IF($B97="","",N($F97)*N($G97))</f>
        <v/>
      </c>
      <c r="I97" s="35" t="str">
        <f aca="false">IF($B97="","",N($F97)+$H97)</f>
        <v/>
      </c>
      <c r="J97" s="6"/>
      <c r="K97" s="46" t="str">
        <f aca="false">IF($A97="","",DATE(YEAR($A97),MONTH($A97),1))</f>
        <v/>
      </c>
    </row>
    <row r="98" customFormat="false" ht="15" hidden="false" customHeight="false" outlineLevel="0" collapsed="false">
      <c r="A98" s="44"/>
      <c r="B98" s="6"/>
      <c r="C98" s="6"/>
      <c r="D98" s="6"/>
      <c r="E98" s="6"/>
      <c r="F98" s="40"/>
      <c r="G98" s="41"/>
      <c r="H98" s="35" t="str">
        <f aca="false">IF($B98="","",N($F98)*N($G98))</f>
        <v/>
      </c>
      <c r="I98" s="35" t="str">
        <f aca="false">IF($B98="","",N($F98)+$H98)</f>
        <v/>
      </c>
      <c r="J98" s="6"/>
      <c r="K98" s="46" t="str">
        <f aca="false">IF($A98="","",DATE(YEAR($A98),MONTH($A98),1))</f>
        <v/>
      </c>
    </row>
    <row r="99" customFormat="false" ht="15" hidden="false" customHeight="false" outlineLevel="0" collapsed="false">
      <c r="A99" s="44"/>
      <c r="B99" s="6"/>
      <c r="C99" s="6"/>
      <c r="D99" s="6"/>
      <c r="E99" s="6"/>
      <c r="F99" s="40"/>
      <c r="G99" s="41"/>
      <c r="H99" s="35" t="str">
        <f aca="false">IF($B99="","",N($F99)*N($G99))</f>
        <v/>
      </c>
      <c r="I99" s="35" t="str">
        <f aca="false">IF($B99="","",N($F99)+$H99)</f>
        <v/>
      </c>
      <c r="J99" s="6"/>
      <c r="K99" s="46" t="str">
        <f aca="false">IF($A99="","",DATE(YEAR($A99),MONTH($A99),1))</f>
        <v/>
      </c>
    </row>
    <row r="100" customFormat="false" ht="15" hidden="false" customHeight="false" outlineLevel="0" collapsed="false">
      <c r="A100" s="44"/>
      <c r="B100" s="6"/>
      <c r="C100" s="6"/>
      <c r="D100" s="6"/>
      <c r="E100" s="6"/>
      <c r="F100" s="40"/>
      <c r="G100" s="41"/>
      <c r="H100" s="35" t="str">
        <f aca="false">IF($B100="","",N($F100)*N($G100))</f>
        <v/>
      </c>
      <c r="I100" s="35" t="str">
        <f aca="false">IF($B100="","",N($F100)+$H100)</f>
        <v/>
      </c>
      <c r="J100" s="6"/>
      <c r="K100" s="46" t="str">
        <f aca="false">IF($A100="","",DATE(YEAR($A100),MONTH($A100),1))</f>
        <v/>
      </c>
    </row>
    <row r="101" customFormat="false" ht="15" hidden="false" customHeight="false" outlineLevel="0" collapsed="false">
      <c r="A101" s="44"/>
      <c r="B101" s="6"/>
      <c r="C101" s="6"/>
      <c r="D101" s="6"/>
      <c r="E101" s="6"/>
      <c r="F101" s="40"/>
      <c r="G101" s="41"/>
      <c r="H101" s="35" t="str">
        <f aca="false">IF($B101="","",N($F101)*N($G101))</f>
        <v/>
      </c>
      <c r="I101" s="35" t="str">
        <f aca="false">IF($B101="","",N($F101)+$H101)</f>
        <v/>
      </c>
      <c r="J101" s="6"/>
      <c r="K101" s="46" t="str">
        <f aca="false">IF($A101="","",DATE(YEAR($A101),MONTH($A101),1))</f>
        <v/>
      </c>
    </row>
    <row r="102" customFormat="false" ht="15" hidden="false" customHeight="false" outlineLevel="0" collapsed="false">
      <c r="A102" s="44"/>
      <c r="B102" s="6"/>
      <c r="C102" s="6"/>
      <c r="D102" s="6"/>
      <c r="E102" s="6"/>
      <c r="F102" s="40"/>
      <c r="G102" s="41"/>
      <c r="H102" s="35" t="str">
        <f aca="false">IF($B102="","",N($F102)*N($G102))</f>
        <v/>
      </c>
      <c r="I102" s="35" t="str">
        <f aca="false">IF($B102="","",N($F102)+$H102)</f>
        <v/>
      </c>
      <c r="J102" s="6"/>
      <c r="K102" s="46" t="str">
        <f aca="false">IF($A102="","",DATE(YEAR($A102),MONTH($A102),1))</f>
        <v/>
      </c>
    </row>
    <row r="103" customFormat="false" ht="15" hidden="false" customHeight="false" outlineLevel="0" collapsed="false">
      <c r="A103" s="44"/>
      <c r="B103" s="6"/>
      <c r="C103" s="6"/>
      <c r="D103" s="6"/>
      <c r="E103" s="6"/>
      <c r="F103" s="40"/>
      <c r="G103" s="41"/>
      <c r="H103" s="35" t="str">
        <f aca="false">IF($B103="","",N($F103)*N($G103))</f>
        <v/>
      </c>
      <c r="I103" s="35" t="str">
        <f aca="false">IF($B103="","",N($F103)+$H103)</f>
        <v/>
      </c>
      <c r="J103" s="6"/>
      <c r="K103" s="46" t="str">
        <f aca="false">IF($A103="","",DATE(YEAR($A103),MONTH($A103),1))</f>
        <v/>
      </c>
    </row>
    <row r="104" customFormat="false" ht="15" hidden="false" customHeight="false" outlineLevel="0" collapsed="false">
      <c r="A104" s="44"/>
      <c r="B104" s="6"/>
      <c r="C104" s="6"/>
      <c r="D104" s="6"/>
      <c r="E104" s="6"/>
      <c r="F104" s="40"/>
      <c r="G104" s="41"/>
      <c r="H104" s="35" t="str">
        <f aca="false">IF($B104="","",N($F104)*N($G104))</f>
        <v/>
      </c>
      <c r="I104" s="35" t="str">
        <f aca="false">IF($B104="","",N($F104)+$H104)</f>
        <v/>
      </c>
      <c r="J104" s="6"/>
      <c r="K104" s="46" t="str">
        <f aca="false">IF($A104="","",DATE(YEAR($A104),MONTH($A104),1))</f>
        <v/>
      </c>
    </row>
    <row r="105" customFormat="false" ht="15" hidden="false" customHeight="false" outlineLevel="0" collapsed="false">
      <c r="A105" s="44"/>
      <c r="B105" s="6"/>
      <c r="C105" s="6"/>
      <c r="D105" s="6"/>
      <c r="E105" s="6"/>
      <c r="F105" s="40"/>
      <c r="G105" s="41"/>
      <c r="H105" s="35" t="str">
        <f aca="false">IF($B105="","",N($F105)*N($G105))</f>
        <v/>
      </c>
      <c r="I105" s="35" t="str">
        <f aca="false">IF($B105="","",N($F105)+$H105)</f>
        <v/>
      </c>
      <c r="J105" s="6"/>
      <c r="K105" s="46" t="str">
        <f aca="false">IF($A105="","",DATE(YEAR($A105),MONTH($A105),1))</f>
        <v/>
      </c>
    </row>
    <row r="106" customFormat="false" ht="15" hidden="false" customHeight="false" outlineLevel="0" collapsed="false">
      <c r="A106" s="44"/>
      <c r="B106" s="6"/>
      <c r="C106" s="6"/>
      <c r="D106" s="6"/>
      <c r="E106" s="6"/>
      <c r="F106" s="40"/>
      <c r="G106" s="41"/>
      <c r="H106" s="35" t="str">
        <f aca="false">IF($B106="","",N($F106)*N($G106))</f>
        <v/>
      </c>
      <c r="I106" s="35" t="str">
        <f aca="false">IF($B106="","",N($F106)+$H106)</f>
        <v/>
      </c>
      <c r="J106" s="6"/>
      <c r="K106" s="46" t="str">
        <f aca="false">IF($A106="","",DATE(YEAR($A106),MONTH($A106),1))</f>
        <v/>
      </c>
    </row>
    <row r="107" customFormat="false" ht="15" hidden="false" customHeight="false" outlineLevel="0" collapsed="false">
      <c r="A107" s="44"/>
      <c r="B107" s="6"/>
      <c r="C107" s="6"/>
      <c r="D107" s="6"/>
      <c r="E107" s="6"/>
      <c r="F107" s="40"/>
      <c r="G107" s="41"/>
      <c r="H107" s="35" t="str">
        <f aca="false">IF($B107="","",N($F107)*N($G107))</f>
        <v/>
      </c>
      <c r="I107" s="35" t="str">
        <f aca="false">IF($B107="","",N($F107)+$H107)</f>
        <v/>
      </c>
      <c r="J107" s="6"/>
      <c r="K107" s="46" t="str">
        <f aca="false">IF($A107="","",DATE(YEAR($A107),MONTH($A107),1))</f>
        <v/>
      </c>
    </row>
    <row r="108" customFormat="false" ht="15" hidden="false" customHeight="false" outlineLevel="0" collapsed="false">
      <c r="A108" s="44"/>
      <c r="B108" s="6"/>
      <c r="C108" s="6"/>
      <c r="D108" s="6"/>
      <c r="E108" s="6"/>
      <c r="F108" s="40"/>
      <c r="G108" s="41"/>
      <c r="H108" s="35" t="str">
        <f aca="false">IF($B108="","",N($F108)*N($G108))</f>
        <v/>
      </c>
      <c r="I108" s="35" t="str">
        <f aca="false">IF($B108="","",N($F108)+$H108)</f>
        <v/>
      </c>
      <c r="J108" s="6"/>
      <c r="K108" s="46" t="str">
        <f aca="false">IF($A108="","",DATE(YEAR($A108),MONTH($A108),1))</f>
        <v/>
      </c>
    </row>
    <row r="109" customFormat="false" ht="15" hidden="false" customHeight="false" outlineLevel="0" collapsed="false">
      <c r="A109" s="44"/>
      <c r="B109" s="6"/>
      <c r="C109" s="6"/>
      <c r="D109" s="6"/>
      <c r="E109" s="6"/>
      <c r="F109" s="40"/>
      <c r="G109" s="41"/>
      <c r="H109" s="35" t="str">
        <f aca="false">IF($B109="","",N($F109)*N($G109))</f>
        <v/>
      </c>
      <c r="I109" s="35" t="str">
        <f aca="false">IF($B109="","",N($F109)+$H109)</f>
        <v/>
      </c>
      <c r="J109" s="6"/>
      <c r="K109" s="46" t="str">
        <f aca="false">IF($A109="","",DATE(YEAR($A109),MONTH($A109),1))</f>
        <v/>
      </c>
    </row>
    <row r="110" customFormat="false" ht="15" hidden="false" customHeight="false" outlineLevel="0" collapsed="false">
      <c r="A110" s="44"/>
      <c r="B110" s="6"/>
      <c r="C110" s="6"/>
      <c r="D110" s="6"/>
      <c r="E110" s="6"/>
      <c r="F110" s="40"/>
      <c r="G110" s="41"/>
      <c r="H110" s="35" t="str">
        <f aca="false">IF($B110="","",N($F110)*N($G110))</f>
        <v/>
      </c>
      <c r="I110" s="35" t="str">
        <f aca="false">IF($B110="","",N($F110)+$H110)</f>
        <v/>
      </c>
      <c r="J110" s="6"/>
      <c r="K110" s="46" t="str">
        <f aca="false">IF($A110="","",DATE(YEAR($A110),MONTH($A110),1))</f>
        <v/>
      </c>
    </row>
    <row r="111" customFormat="false" ht="15" hidden="false" customHeight="false" outlineLevel="0" collapsed="false">
      <c r="A111" s="44"/>
      <c r="B111" s="6"/>
      <c r="C111" s="6"/>
      <c r="D111" s="6"/>
      <c r="E111" s="6"/>
      <c r="F111" s="40"/>
      <c r="G111" s="41"/>
      <c r="H111" s="35" t="str">
        <f aca="false">IF($B111="","",N($F111)*N($G111))</f>
        <v/>
      </c>
      <c r="I111" s="35" t="str">
        <f aca="false">IF($B111="","",N($F111)+$H111)</f>
        <v/>
      </c>
      <c r="J111" s="6"/>
      <c r="K111" s="46" t="str">
        <f aca="false">IF($A111="","",DATE(YEAR($A111),MONTH($A111),1))</f>
        <v/>
      </c>
    </row>
    <row r="112" customFormat="false" ht="15" hidden="false" customHeight="false" outlineLevel="0" collapsed="false">
      <c r="A112" s="44"/>
      <c r="B112" s="6"/>
      <c r="C112" s="6"/>
      <c r="D112" s="6"/>
      <c r="E112" s="6"/>
      <c r="F112" s="40"/>
      <c r="G112" s="41"/>
      <c r="H112" s="35" t="str">
        <f aca="false">IF($B112="","",N($F112)*N($G112))</f>
        <v/>
      </c>
      <c r="I112" s="35" t="str">
        <f aca="false">IF($B112="","",N($F112)+$H112)</f>
        <v/>
      </c>
      <c r="J112" s="6"/>
      <c r="K112" s="46" t="str">
        <f aca="false">IF($A112="","",DATE(YEAR($A112),MONTH($A112),1))</f>
        <v/>
      </c>
    </row>
    <row r="113" customFormat="false" ht="15" hidden="false" customHeight="false" outlineLevel="0" collapsed="false">
      <c r="A113" s="44"/>
      <c r="B113" s="6"/>
      <c r="C113" s="6"/>
      <c r="D113" s="6"/>
      <c r="E113" s="6"/>
      <c r="F113" s="40"/>
      <c r="G113" s="41"/>
      <c r="H113" s="35" t="str">
        <f aca="false">IF($B113="","",N($F113)*N($G113))</f>
        <v/>
      </c>
      <c r="I113" s="35" t="str">
        <f aca="false">IF($B113="","",N($F113)+$H113)</f>
        <v/>
      </c>
      <c r="J113" s="6"/>
      <c r="K113" s="46" t="str">
        <f aca="false">IF($A113="","",DATE(YEAR($A113),MONTH($A113),1))</f>
        <v/>
      </c>
    </row>
    <row r="114" customFormat="false" ht="15" hidden="false" customHeight="false" outlineLevel="0" collapsed="false">
      <c r="A114" s="44"/>
      <c r="B114" s="6"/>
      <c r="C114" s="6"/>
      <c r="D114" s="6"/>
      <c r="E114" s="6"/>
      <c r="F114" s="40"/>
      <c r="G114" s="41"/>
      <c r="H114" s="35" t="str">
        <f aca="false">IF($B114="","",N($F114)*N($G114))</f>
        <v/>
      </c>
      <c r="I114" s="35" t="str">
        <f aca="false">IF($B114="","",N($F114)+$H114)</f>
        <v/>
      </c>
      <c r="J114" s="6"/>
      <c r="K114" s="46" t="str">
        <f aca="false">IF($A114="","",DATE(YEAR($A114),MONTH($A114),1))</f>
        <v/>
      </c>
    </row>
    <row r="115" customFormat="false" ht="15" hidden="false" customHeight="false" outlineLevel="0" collapsed="false">
      <c r="A115" s="44"/>
      <c r="B115" s="6"/>
      <c r="C115" s="6"/>
      <c r="D115" s="6"/>
      <c r="E115" s="6"/>
      <c r="F115" s="40"/>
      <c r="G115" s="41"/>
      <c r="H115" s="35" t="str">
        <f aca="false">IF($B115="","",N($F115)*N($G115))</f>
        <v/>
      </c>
      <c r="I115" s="35" t="str">
        <f aca="false">IF($B115="","",N($F115)+$H115)</f>
        <v/>
      </c>
      <c r="J115" s="6"/>
      <c r="K115" s="46" t="str">
        <f aca="false">IF($A115="","",DATE(YEAR($A115),MONTH($A115),1))</f>
        <v/>
      </c>
    </row>
    <row r="116" customFormat="false" ht="15" hidden="false" customHeight="false" outlineLevel="0" collapsed="false">
      <c r="A116" s="44"/>
      <c r="B116" s="6"/>
      <c r="C116" s="6"/>
      <c r="D116" s="6"/>
      <c r="E116" s="6"/>
      <c r="F116" s="40"/>
      <c r="G116" s="41"/>
      <c r="H116" s="35" t="str">
        <f aca="false">IF($B116="","",N($F116)*N($G116))</f>
        <v/>
      </c>
      <c r="I116" s="35" t="str">
        <f aca="false">IF($B116="","",N($F116)+$H116)</f>
        <v/>
      </c>
      <c r="J116" s="6"/>
      <c r="K116" s="46" t="str">
        <f aca="false">IF($A116="","",DATE(YEAR($A116),MONTH($A116),1))</f>
        <v/>
      </c>
    </row>
    <row r="117" customFormat="false" ht="15" hidden="false" customHeight="false" outlineLevel="0" collapsed="false">
      <c r="A117" s="44"/>
      <c r="B117" s="6"/>
      <c r="C117" s="6"/>
      <c r="D117" s="6"/>
      <c r="E117" s="6"/>
      <c r="F117" s="40"/>
      <c r="G117" s="41"/>
      <c r="H117" s="35" t="str">
        <f aca="false">IF($B117="","",N($F117)*N($G117))</f>
        <v/>
      </c>
      <c r="I117" s="35" t="str">
        <f aca="false">IF($B117="","",N($F117)+$H117)</f>
        <v/>
      </c>
      <c r="J117" s="6"/>
      <c r="K117" s="46" t="str">
        <f aca="false">IF($A117="","",DATE(YEAR($A117),MONTH($A117),1))</f>
        <v/>
      </c>
    </row>
    <row r="118" customFormat="false" ht="15" hidden="false" customHeight="false" outlineLevel="0" collapsed="false">
      <c r="A118" s="44"/>
      <c r="B118" s="6"/>
      <c r="C118" s="6"/>
      <c r="D118" s="6"/>
      <c r="E118" s="6"/>
      <c r="F118" s="40"/>
      <c r="G118" s="41"/>
      <c r="H118" s="35" t="str">
        <f aca="false">IF($B118="","",N($F118)*N($G118))</f>
        <v/>
      </c>
      <c r="I118" s="35" t="str">
        <f aca="false">IF($B118="","",N($F118)+$H118)</f>
        <v/>
      </c>
      <c r="J118" s="6"/>
      <c r="K118" s="46" t="str">
        <f aca="false">IF($A118="","",DATE(YEAR($A118),MONTH($A118),1))</f>
        <v/>
      </c>
    </row>
    <row r="119" customFormat="false" ht="15" hidden="false" customHeight="false" outlineLevel="0" collapsed="false">
      <c r="A119" s="44"/>
      <c r="B119" s="6"/>
      <c r="C119" s="6"/>
      <c r="D119" s="6"/>
      <c r="E119" s="6"/>
      <c r="F119" s="40"/>
      <c r="G119" s="41"/>
      <c r="H119" s="35" t="str">
        <f aca="false">IF($B119="","",N($F119)*N($G119))</f>
        <v/>
      </c>
      <c r="I119" s="35" t="str">
        <f aca="false">IF($B119="","",N($F119)+$H119)</f>
        <v/>
      </c>
      <c r="J119" s="6"/>
      <c r="K119" s="46" t="str">
        <f aca="false">IF($A119="","",DATE(YEAR($A119),MONTH($A119),1))</f>
        <v/>
      </c>
    </row>
    <row r="120" customFormat="false" ht="15" hidden="false" customHeight="false" outlineLevel="0" collapsed="false">
      <c r="A120" s="44"/>
      <c r="B120" s="6"/>
      <c r="C120" s="6"/>
      <c r="D120" s="6"/>
      <c r="E120" s="6"/>
      <c r="F120" s="40"/>
      <c r="G120" s="41"/>
      <c r="H120" s="35" t="str">
        <f aca="false">IF($B120="","",N($F120)*N($G120))</f>
        <v/>
      </c>
      <c r="I120" s="35" t="str">
        <f aca="false">IF($B120="","",N($F120)+$H120)</f>
        <v/>
      </c>
      <c r="J120" s="6"/>
      <c r="K120" s="46" t="str">
        <f aca="false">IF($A120="","",DATE(YEAR($A120),MONTH($A120),1))</f>
        <v/>
      </c>
    </row>
    <row r="121" customFormat="false" ht="15" hidden="false" customHeight="false" outlineLevel="0" collapsed="false">
      <c r="A121" s="44"/>
      <c r="B121" s="6"/>
      <c r="C121" s="6"/>
      <c r="D121" s="6"/>
      <c r="E121" s="6"/>
      <c r="F121" s="40"/>
      <c r="G121" s="41"/>
      <c r="H121" s="35" t="str">
        <f aca="false">IF($B121="","",N($F121)*N($G121))</f>
        <v/>
      </c>
      <c r="I121" s="35" t="str">
        <f aca="false">IF($B121="","",N($F121)+$H121)</f>
        <v/>
      </c>
      <c r="J121" s="6"/>
      <c r="K121" s="46" t="str">
        <f aca="false">IF($A121="","",DATE(YEAR($A121),MONTH($A121),1))</f>
        <v/>
      </c>
    </row>
    <row r="122" customFormat="false" ht="15" hidden="false" customHeight="false" outlineLevel="0" collapsed="false">
      <c r="A122" s="44"/>
      <c r="B122" s="6"/>
      <c r="C122" s="6"/>
      <c r="D122" s="6"/>
      <c r="E122" s="6"/>
      <c r="F122" s="40"/>
      <c r="G122" s="41"/>
      <c r="H122" s="35" t="str">
        <f aca="false">IF($B122="","",N($F122)*N($G122))</f>
        <v/>
      </c>
      <c r="I122" s="35" t="str">
        <f aca="false">IF($B122="","",N($F122)+$H122)</f>
        <v/>
      </c>
      <c r="J122" s="6"/>
      <c r="K122" s="46" t="str">
        <f aca="false">IF($A122="","",DATE(YEAR($A122),MONTH($A122),1))</f>
        <v/>
      </c>
    </row>
    <row r="123" customFormat="false" ht="15" hidden="false" customHeight="false" outlineLevel="0" collapsed="false">
      <c r="A123" s="44"/>
      <c r="B123" s="6"/>
      <c r="C123" s="6"/>
      <c r="D123" s="6"/>
      <c r="E123" s="6"/>
      <c r="F123" s="40"/>
      <c r="G123" s="41"/>
      <c r="H123" s="35" t="str">
        <f aca="false">IF($B123="","",N($F123)*N($G123))</f>
        <v/>
      </c>
      <c r="I123" s="35" t="str">
        <f aca="false">IF($B123="","",N($F123)+$H123)</f>
        <v/>
      </c>
      <c r="J123" s="6"/>
      <c r="K123" s="46" t="str">
        <f aca="false">IF($A123="","",DATE(YEAR($A123),MONTH($A123),1))</f>
        <v/>
      </c>
    </row>
    <row r="124" customFormat="false" ht="15" hidden="false" customHeight="false" outlineLevel="0" collapsed="false">
      <c r="A124" s="44"/>
      <c r="B124" s="6"/>
      <c r="C124" s="6"/>
      <c r="D124" s="6"/>
      <c r="E124" s="6"/>
      <c r="F124" s="40"/>
      <c r="G124" s="41"/>
      <c r="H124" s="35" t="str">
        <f aca="false">IF($B124="","",N($F124)*N($G124))</f>
        <v/>
      </c>
      <c r="I124" s="35" t="str">
        <f aca="false">IF($B124="","",N($F124)+$H124)</f>
        <v/>
      </c>
      <c r="J124" s="6"/>
      <c r="K124" s="46" t="str">
        <f aca="false">IF($A124="","",DATE(YEAR($A124),MONTH($A124),1))</f>
        <v/>
      </c>
    </row>
    <row r="125" customFormat="false" ht="15" hidden="false" customHeight="false" outlineLevel="0" collapsed="false">
      <c r="A125" s="44"/>
      <c r="B125" s="6"/>
      <c r="C125" s="6"/>
      <c r="D125" s="6"/>
      <c r="E125" s="6"/>
      <c r="F125" s="40"/>
      <c r="G125" s="41"/>
      <c r="H125" s="35" t="str">
        <f aca="false">IF($B125="","",N($F125)*N($G125))</f>
        <v/>
      </c>
      <c r="I125" s="35" t="str">
        <f aca="false">IF($B125="","",N($F125)+$H125)</f>
        <v/>
      </c>
      <c r="J125" s="6"/>
      <c r="K125" s="46" t="str">
        <f aca="false">IF($A125="","",DATE(YEAR($A125),MONTH($A125),1))</f>
        <v/>
      </c>
    </row>
    <row r="126" customFormat="false" ht="15" hidden="false" customHeight="false" outlineLevel="0" collapsed="false">
      <c r="A126" s="44"/>
      <c r="B126" s="6"/>
      <c r="C126" s="6"/>
      <c r="D126" s="6"/>
      <c r="E126" s="6"/>
      <c r="F126" s="40"/>
      <c r="G126" s="41"/>
      <c r="H126" s="35" t="str">
        <f aca="false">IF($B126="","",N($F126)*N($G126))</f>
        <v/>
      </c>
      <c r="I126" s="35" t="str">
        <f aca="false">IF($B126="","",N($F126)+$H126)</f>
        <v/>
      </c>
      <c r="J126" s="6"/>
      <c r="K126" s="46" t="str">
        <f aca="false">IF($A126="","",DATE(YEAR($A126),MONTH($A126),1))</f>
        <v/>
      </c>
    </row>
    <row r="127" customFormat="false" ht="15" hidden="false" customHeight="false" outlineLevel="0" collapsed="false">
      <c r="A127" s="44"/>
      <c r="B127" s="6"/>
      <c r="C127" s="6"/>
      <c r="D127" s="6"/>
      <c r="E127" s="6"/>
      <c r="F127" s="40"/>
      <c r="G127" s="41"/>
      <c r="H127" s="35" t="str">
        <f aca="false">IF($B127="","",N($F127)*N($G127))</f>
        <v/>
      </c>
      <c r="I127" s="35" t="str">
        <f aca="false">IF($B127="","",N($F127)+$H127)</f>
        <v/>
      </c>
      <c r="J127" s="6"/>
      <c r="K127" s="46" t="str">
        <f aca="false">IF($A127="","",DATE(YEAR($A127),MONTH($A127),1))</f>
        <v/>
      </c>
    </row>
    <row r="128" customFormat="false" ht="15" hidden="false" customHeight="false" outlineLevel="0" collapsed="false">
      <c r="A128" s="44"/>
      <c r="B128" s="6"/>
      <c r="C128" s="6"/>
      <c r="D128" s="6"/>
      <c r="E128" s="6"/>
      <c r="F128" s="40"/>
      <c r="G128" s="41"/>
      <c r="H128" s="35" t="str">
        <f aca="false">IF($B128="","",N($F128)*N($G128))</f>
        <v/>
      </c>
      <c r="I128" s="35" t="str">
        <f aca="false">IF($B128="","",N($F128)+$H128)</f>
        <v/>
      </c>
      <c r="J128" s="6"/>
      <c r="K128" s="46" t="str">
        <f aca="false">IF($A128="","",DATE(YEAR($A128),MONTH($A128),1))</f>
        <v/>
      </c>
    </row>
    <row r="129" customFormat="false" ht="15" hidden="false" customHeight="false" outlineLevel="0" collapsed="false">
      <c r="A129" s="44"/>
      <c r="B129" s="6"/>
      <c r="C129" s="6"/>
      <c r="D129" s="6"/>
      <c r="E129" s="6"/>
      <c r="F129" s="40"/>
      <c r="G129" s="41"/>
      <c r="H129" s="35" t="str">
        <f aca="false">IF($B129="","",N($F129)*N($G129))</f>
        <v/>
      </c>
      <c r="I129" s="35" t="str">
        <f aca="false">IF($B129="","",N($F129)+$H129)</f>
        <v/>
      </c>
      <c r="J129" s="6"/>
      <c r="K129" s="46" t="str">
        <f aca="false">IF($A129="","",DATE(YEAR($A129),MONTH($A129),1))</f>
        <v/>
      </c>
    </row>
    <row r="130" customFormat="false" ht="15" hidden="false" customHeight="false" outlineLevel="0" collapsed="false">
      <c r="A130" s="44"/>
      <c r="B130" s="6"/>
      <c r="C130" s="6"/>
      <c r="D130" s="6"/>
      <c r="E130" s="6"/>
      <c r="F130" s="40"/>
      <c r="G130" s="41"/>
      <c r="H130" s="35" t="str">
        <f aca="false">IF($B130="","",N($F130)*N($G130))</f>
        <v/>
      </c>
      <c r="I130" s="35" t="str">
        <f aca="false">IF($B130="","",N($F130)+$H130)</f>
        <v/>
      </c>
      <c r="J130" s="6"/>
      <c r="K130" s="46" t="str">
        <f aca="false">IF($A130="","",DATE(YEAR($A130),MONTH($A130),1))</f>
        <v/>
      </c>
    </row>
    <row r="131" customFormat="false" ht="15" hidden="false" customHeight="false" outlineLevel="0" collapsed="false">
      <c r="A131" s="44"/>
      <c r="B131" s="6"/>
      <c r="C131" s="6"/>
      <c r="D131" s="6"/>
      <c r="E131" s="6"/>
      <c r="F131" s="40"/>
      <c r="G131" s="41"/>
      <c r="H131" s="35" t="str">
        <f aca="false">IF($B131="","",N($F131)*N($G131))</f>
        <v/>
      </c>
      <c r="I131" s="35" t="str">
        <f aca="false">IF($B131="","",N($F131)+$H131)</f>
        <v/>
      </c>
      <c r="J131" s="6"/>
      <c r="K131" s="46" t="str">
        <f aca="false">IF($A131="","",DATE(YEAR($A131),MONTH($A131),1))</f>
        <v/>
      </c>
    </row>
    <row r="132" customFormat="false" ht="15" hidden="false" customHeight="false" outlineLevel="0" collapsed="false">
      <c r="A132" s="44"/>
      <c r="B132" s="6"/>
      <c r="C132" s="6"/>
      <c r="D132" s="6"/>
      <c r="E132" s="6"/>
      <c r="F132" s="40"/>
      <c r="G132" s="41"/>
      <c r="H132" s="35" t="str">
        <f aca="false">IF($B132="","",N($F132)*N($G132))</f>
        <v/>
      </c>
      <c r="I132" s="35" t="str">
        <f aca="false">IF($B132="","",N($F132)+$H132)</f>
        <v/>
      </c>
      <c r="J132" s="6"/>
      <c r="K132" s="46" t="str">
        <f aca="false">IF($A132="","",DATE(YEAR($A132),MONTH($A132),1))</f>
        <v/>
      </c>
    </row>
    <row r="133" customFormat="false" ht="15" hidden="false" customHeight="false" outlineLevel="0" collapsed="false">
      <c r="A133" s="44"/>
      <c r="B133" s="6"/>
      <c r="C133" s="6"/>
      <c r="D133" s="6"/>
      <c r="E133" s="6"/>
      <c r="F133" s="40"/>
      <c r="G133" s="41"/>
      <c r="H133" s="35" t="str">
        <f aca="false">IF($B133="","",N($F133)*N($G133))</f>
        <v/>
      </c>
      <c r="I133" s="35" t="str">
        <f aca="false">IF($B133="","",N($F133)+$H133)</f>
        <v/>
      </c>
      <c r="J133" s="6"/>
      <c r="K133" s="46" t="str">
        <f aca="false">IF($A133="","",DATE(YEAR($A133),MONTH($A133),1))</f>
        <v/>
      </c>
    </row>
    <row r="134" customFormat="false" ht="15" hidden="false" customHeight="false" outlineLevel="0" collapsed="false">
      <c r="A134" s="44"/>
      <c r="B134" s="6"/>
      <c r="C134" s="6"/>
      <c r="D134" s="6"/>
      <c r="E134" s="6"/>
      <c r="F134" s="40"/>
      <c r="G134" s="41"/>
      <c r="H134" s="35" t="str">
        <f aca="false">IF($B134="","",N($F134)*N($G134))</f>
        <v/>
      </c>
      <c r="I134" s="35" t="str">
        <f aca="false">IF($B134="","",N($F134)+$H134)</f>
        <v/>
      </c>
      <c r="J134" s="6"/>
      <c r="K134" s="46" t="str">
        <f aca="false">IF($A134="","",DATE(YEAR($A134),MONTH($A134),1))</f>
        <v/>
      </c>
    </row>
    <row r="135" customFormat="false" ht="15" hidden="false" customHeight="false" outlineLevel="0" collapsed="false">
      <c r="A135" s="44"/>
      <c r="B135" s="6"/>
      <c r="C135" s="6"/>
      <c r="D135" s="6"/>
      <c r="E135" s="6"/>
      <c r="F135" s="40"/>
      <c r="G135" s="41"/>
      <c r="H135" s="35" t="str">
        <f aca="false">IF($B135="","",N($F135)*N($G135))</f>
        <v/>
      </c>
      <c r="I135" s="35" t="str">
        <f aca="false">IF($B135="","",N($F135)+$H135)</f>
        <v/>
      </c>
      <c r="J135" s="6"/>
      <c r="K135" s="46" t="str">
        <f aca="false">IF($A135="","",DATE(YEAR($A135),MONTH($A135),1))</f>
        <v/>
      </c>
    </row>
    <row r="136" customFormat="false" ht="15" hidden="false" customHeight="false" outlineLevel="0" collapsed="false">
      <c r="A136" s="44"/>
      <c r="B136" s="6"/>
      <c r="C136" s="6"/>
      <c r="D136" s="6"/>
      <c r="E136" s="6"/>
      <c r="F136" s="40"/>
      <c r="G136" s="41"/>
      <c r="H136" s="35" t="str">
        <f aca="false">IF($B136="","",N($F136)*N($G136))</f>
        <v/>
      </c>
      <c r="I136" s="35" t="str">
        <f aca="false">IF($B136="","",N($F136)+$H136)</f>
        <v/>
      </c>
      <c r="J136" s="6"/>
      <c r="K136" s="46" t="str">
        <f aca="false">IF($A136="","",DATE(YEAR($A136),MONTH($A136),1))</f>
        <v/>
      </c>
    </row>
    <row r="137" customFormat="false" ht="15" hidden="false" customHeight="false" outlineLevel="0" collapsed="false">
      <c r="A137" s="44"/>
      <c r="B137" s="6"/>
      <c r="C137" s="6"/>
      <c r="D137" s="6"/>
      <c r="E137" s="6"/>
      <c r="F137" s="40"/>
      <c r="G137" s="41"/>
      <c r="H137" s="35" t="str">
        <f aca="false">IF($B137="","",N($F137)*N($G137))</f>
        <v/>
      </c>
      <c r="I137" s="35" t="str">
        <f aca="false">IF($B137="","",N($F137)+$H137)</f>
        <v/>
      </c>
      <c r="J137" s="6"/>
      <c r="K137" s="46" t="str">
        <f aca="false">IF($A137="","",DATE(YEAR($A137),MONTH($A137),1))</f>
        <v/>
      </c>
    </row>
    <row r="138" customFormat="false" ht="15" hidden="false" customHeight="false" outlineLevel="0" collapsed="false">
      <c r="A138" s="44"/>
      <c r="B138" s="6"/>
      <c r="C138" s="6"/>
      <c r="D138" s="6"/>
      <c r="E138" s="6"/>
      <c r="F138" s="40"/>
      <c r="G138" s="41"/>
      <c r="H138" s="35" t="str">
        <f aca="false">IF($B138="","",N($F138)*N($G138))</f>
        <v/>
      </c>
      <c r="I138" s="35" t="str">
        <f aca="false">IF($B138="","",N($F138)+$H138)</f>
        <v/>
      </c>
      <c r="J138" s="6"/>
      <c r="K138" s="46" t="str">
        <f aca="false">IF($A138="","",DATE(YEAR($A138),MONTH($A138),1))</f>
        <v/>
      </c>
    </row>
    <row r="139" customFormat="false" ht="15" hidden="false" customHeight="false" outlineLevel="0" collapsed="false">
      <c r="A139" s="44"/>
      <c r="B139" s="6"/>
      <c r="C139" s="6"/>
      <c r="D139" s="6"/>
      <c r="E139" s="6"/>
      <c r="F139" s="40"/>
      <c r="G139" s="41"/>
      <c r="H139" s="35" t="str">
        <f aca="false">IF($B139="","",N($F139)*N($G139))</f>
        <v/>
      </c>
      <c r="I139" s="35" t="str">
        <f aca="false">IF($B139="","",N($F139)+$H139)</f>
        <v/>
      </c>
      <c r="J139" s="6"/>
      <c r="K139" s="46" t="str">
        <f aca="false">IF($A139="","",DATE(YEAR($A139),MONTH($A139),1))</f>
        <v/>
      </c>
    </row>
    <row r="140" customFormat="false" ht="15" hidden="false" customHeight="false" outlineLevel="0" collapsed="false">
      <c r="A140" s="44"/>
      <c r="B140" s="6"/>
      <c r="C140" s="6"/>
      <c r="D140" s="6"/>
      <c r="E140" s="6"/>
      <c r="F140" s="40"/>
      <c r="G140" s="41"/>
      <c r="H140" s="35" t="str">
        <f aca="false">IF($B140="","",N($F140)*N($G140))</f>
        <v/>
      </c>
      <c r="I140" s="35" t="str">
        <f aca="false">IF($B140="","",N($F140)+$H140)</f>
        <v/>
      </c>
      <c r="J140" s="6"/>
      <c r="K140" s="46" t="str">
        <f aca="false">IF($A140="","",DATE(YEAR($A140),MONTH($A140),1))</f>
        <v/>
      </c>
    </row>
    <row r="141" customFormat="false" ht="15" hidden="false" customHeight="false" outlineLevel="0" collapsed="false">
      <c r="A141" s="44"/>
      <c r="B141" s="6"/>
      <c r="C141" s="6"/>
      <c r="D141" s="6"/>
      <c r="E141" s="6"/>
      <c r="F141" s="40"/>
      <c r="G141" s="41"/>
      <c r="H141" s="35" t="str">
        <f aca="false">IF($B141="","",N($F141)*N($G141))</f>
        <v/>
      </c>
      <c r="I141" s="35" t="str">
        <f aca="false">IF($B141="","",N($F141)+$H141)</f>
        <v/>
      </c>
      <c r="J141" s="6"/>
      <c r="K141" s="46" t="str">
        <f aca="false">IF($A141="","",DATE(YEAR($A141),MONTH($A141),1))</f>
        <v/>
      </c>
    </row>
    <row r="142" customFormat="false" ht="15" hidden="false" customHeight="false" outlineLevel="0" collapsed="false">
      <c r="A142" s="44"/>
      <c r="B142" s="6"/>
      <c r="C142" s="6"/>
      <c r="D142" s="6"/>
      <c r="E142" s="6"/>
      <c r="F142" s="40"/>
      <c r="G142" s="41"/>
      <c r="H142" s="35" t="str">
        <f aca="false">IF($B142="","",N($F142)*N($G142))</f>
        <v/>
      </c>
      <c r="I142" s="35" t="str">
        <f aca="false">IF($B142="","",N($F142)+$H142)</f>
        <v/>
      </c>
      <c r="J142" s="6"/>
      <c r="K142" s="46" t="str">
        <f aca="false">IF($A142="","",DATE(YEAR($A142),MONTH($A142),1))</f>
        <v/>
      </c>
    </row>
    <row r="143" customFormat="false" ht="15" hidden="false" customHeight="false" outlineLevel="0" collapsed="false">
      <c r="A143" s="44"/>
      <c r="B143" s="6"/>
      <c r="C143" s="6"/>
      <c r="D143" s="6"/>
      <c r="E143" s="6"/>
      <c r="F143" s="40"/>
      <c r="G143" s="41"/>
      <c r="H143" s="35" t="str">
        <f aca="false">IF($B143="","",N($F143)*N($G143))</f>
        <v/>
      </c>
      <c r="I143" s="35" t="str">
        <f aca="false">IF($B143="","",N($F143)+$H143)</f>
        <v/>
      </c>
      <c r="J143" s="6"/>
      <c r="K143" s="46" t="str">
        <f aca="false">IF($A143="","",DATE(YEAR($A143),MONTH($A143),1))</f>
        <v/>
      </c>
    </row>
    <row r="144" customFormat="false" ht="15" hidden="false" customHeight="false" outlineLevel="0" collapsed="false">
      <c r="A144" s="44"/>
      <c r="B144" s="6"/>
      <c r="C144" s="6"/>
      <c r="D144" s="6"/>
      <c r="E144" s="6"/>
      <c r="F144" s="40"/>
      <c r="G144" s="41"/>
      <c r="H144" s="35" t="str">
        <f aca="false">IF($B144="","",N($F144)*N($G144))</f>
        <v/>
      </c>
      <c r="I144" s="35" t="str">
        <f aca="false">IF($B144="","",N($F144)+$H144)</f>
        <v/>
      </c>
      <c r="J144" s="6"/>
      <c r="K144" s="46" t="str">
        <f aca="false">IF($A144="","",DATE(YEAR($A144),MONTH($A144),1))</f>
        <v/>
      </c>
    </row>
    <row r="145" customFormat="false" ht="15" hidden="false" customHeight="false" outlineLevel="0" collapsed="false">
      <c r="A145" s="44"/>
      <c r="B145" s="6"/>
      <c r="C145" s="6"/>
      <c r="D145" s="6"/>
      <c r="E145" s="6"/>
      <c r="F145" s="40"/>
      <c r="G145" s="41"/>
      <c r="H145" s="35" t="str">
        <f aca="false">IF($B145="","",N($F145)*N($G145))</f>
        <v/>
      </c>
      <c r="I145" s="35" t="str">
        <f aca="false">IF($B145="","",N($F145)+$H145)</f>
        <v/>
      </c>
      <c r="J145" s="6"/>
      <c r="K145" s="46" t="str">
        <f aca="false">IF($A145="","",DATE(YEAR($A145),MONTH($A145),1))</f>
        <v/>
      </c>
    </row>
    <row r="146" customFormat="false" ht="15" hidden="false" customHeight="false" outlineLevel="0" collapsed="false">
      <c r="A146" s="44"/>
      <c r="B146" s="6"/>
      <c r="C146" s="6"/>
      <c r="D146" s="6"/>
      <c r="E146" s="6"/>
      <c r="F146" s="40"/>
      <c r="G146" s="41"/>
      <c r="H146" s="35" t="str">
        <f aca="false">IF($B146="","",N($F146)*N($G146))</f>
        <v/>
      </c>
      <c r="I146" s="35" t="str">
        <f aca="false">IF($B146="","",N($F146)+$H146)</f>
        <v/>
      </c>
      <c r="J146" s="6"/>
      <c r="K146" s="46" t="str">
        <f aca="false">IF($A146="","",DATE(YEAR($A146),MONTH($A146),1))</f>
        <v/>
      </c>
    </row>
    <row r="147" customFormat="false" ht="15" hidden="false" customHeight="false" outlineLevel="0" collapsed="false">
      <c r="A147" s="44"/>
      <c r="B147" s="6"/>
      <c r="C147" s="6"/>
      <c r="D147" s="6"/>
      <c r="E147" s="6"/>
      <c r="F147" s="40"/>
      <c r="G147" s="41"/>
      <c r="H147" s="35" t="str">
        <f aca="false">IF($B147="","",N($F147)*N($G147))</f>
        <v/>
      </c>
      <c r="I147" s="35" t="str">
        <f aca="false">IF($B147="","",N($F147)+$H147)</f>
        <v/>
      </c>
      <c r="J147" s="6"/>
      <c r="K147" s="46" t="str">
        <f aca="false">IF($A147="","",DATE(YEAR($A147),MONTH($A147),1))</f>
        <v/>
      </c>
    </row>
    <row r="148" customFormat="false" ht="15" hidden="false" customHeight="false" outlineLevel="0" collapsed="false">
      <c r="A148" s="44"/>
      <c r="B148" s="6"/>
      <c r="C148" s="6"/>
      <c r="D148" s="6"/>
      <c r="E148" s="6"/>
      <c r="F148" s="40"/>
      <c r="G148" s="41"/>
      <c r="H148" s="35" t="str">
        <f aca="false">IF($B148="","",N($F148)*N($G148))</f>
        <v/>
      </c>
      <c r="I148" s="35" t="str">
        <f aca="false">IF($B148="","",N($F148)+$H148)</f>
        <v/>
      </c>
      <c r="J148" s="6"/>
      <c r="K148" s="46" t="str">
        <f aca="false">IF($A148="","",DATE(YEAR($A148),MONTH($A148),1))</f>
        <v/>
      </c>
    </row>
    <row r="149" customFormat="false" ht="15" hidden="false" customHeight="false" outlineLevel="0" collapsed="false">
      <c r="A149" s="44"/>
      <c r="B149" s="6"/>
      <c r="C149" s="6"/>
      <c r="D149" s="6"/>
      <c r="E149" s="6"/>
      <c r="F149" s="40"/>
      <c r="G149" s="41"/>
      <c r="H149" s="35" t="str">
        <f aca="false">IF($B149="","",N($F149)*N($G149))</f>
        <v/>
      </c>
      <c r="I149" s="35" t="str">
        <f aca="false">IF($B149="","",N($F149)+$H149)</f>
        <v/>
      </c>
      <c r="J149" s="6"/>
      <c r="K149" s="46" t="str">
        <f aca="false">IF($A149="","",DATE(YEAR($A149),MONTH($A149),1))</f>
        <v/>
      </c>
    </row>
    <row r="150" customFormat="false" ht="15" hidden="false" customHeight="false" outlineLevel="0" collapsed="false">
      <c r="A150" s="44"/>
      <c r="B150" s="6"/>
      <c r="C150" s="6"/>
      <c r="D150" s="6"/>
      <c r="E150" s="6"/>
      <c r="F150" s="40"/>
      <c r="G150" s="41"/>
      <c r="H150" s="35" t="str">
        <f aca="false">IF($B150="","",N($F150)*N($G150))</f>
        <v/>
      </c>
      <c r="I150" s="35" t="str">
        <f aca="false">IF($B150="","",N($F150)+$H150)</f>
        <v/>
      </c>
      <c r="J150" s="6"/>
      <c r="K150" s="46" t="str">
        <f aca="false">IF($A150="","",DATE(YEAR($A150),MONTH($A150),1))</f>
        <v/>
      </c>
    </row>
    <row r="151" customFormat="false" ht="15" hidden="false" customHeight="false" outlineLevel="0" collapsed="false">
      <c r="A151" s="44"/>
      <c r="B151" s="6"/>
      <c r="C151" s="6"/>
      <c r="D151" s="6"/>
      <c r="E151" s="6"/>
      <c r="F151" s="40"/>
      <c r="G151" s="41"/>
      <c r="H151" s="35" t="str">
        <f aca="false">IF($B151="","",N($F151)*N($G151))</f>
        <v/>
      </c>
      <c r="I151" s="35" t="str">
        <f aca="false">IF($B151="","",N($F151)+$H151)</f>
        <v/>
      </c>
      <c r="J151" s="6"/>
      <c r="K151" s="46" t="str">
        <f aca="false">IF($A151="","",DATE(YEAR($A151),MONTH($A151),1))</f>
        <v/>
      </c>
    </row>
    <row r="152" customFormat="false" ht="15" hidden="false" customHeight="false" outlineLevel="0" collapsed="false">
      <c r="A152" s="44"/>
      <c r="B152" s="6"/>
      <c r="C152" s="6"/>
      <c r="D152" s="6"/>
      <c r="E152" s="6"/>
      <c r="F152" s="40"/>
      <c r="G152" s="41"/>
      <c r="H152" s="35" t="str">
        <f aca="false">IF($B152="","",N($F152)*N($G152))</f>
        <v/>
      </c>
      <c r="I152" s="35" t="str">
        <f aca="false">IF($B152="","",N($F152)+$H152)</f>
        <v/>
      </c>
      <c r="J152" s="6"/>
      <c r="K152" s="46" t="str">
        <f aca="false">IF($A152="","",DATE(YEAR($A152),MONTH($A152),1))</f>
        <v/>
      </c>
    </row>
    <row r="153" customFormat="false" ht="15" hidden="false" customHeight="false" outlineLevel="0" collapsed="false">
      <c r="A153" s="44"/>
      <c r="B153" s="6"/>
      <c r="C153" s="6"/>
      <c r="D153" s="6"/>
      <c r="E153" s="6"/>
      <c r="F153" s="40"/>
      <c r="G153" s="41"/>
      <c r="H153" s="35" t="str">
        <f aca="false">IF($B153="","",N($F153)*N($G153))</f>
        <v/>
      </c>
      <c r="I153" s="35" t="str">
        <f aca="false">IF($B153="","",N($F153)+$H153)</f>
        <v/>
      </c>
      <c r="J153" s="6"/>
      <c r="K153" s="46" t="str">
        <f aca="false">IF($A153="","",DATE(YEAR($A153),MONTH($A153),1))</f>
        <v/>
      </c>
    </row>
    <row r="154" customFormat="false" ht="15" hidden="false" customHeight="false" outlineLevel="0" collapsed="false">
      <c r="A154" s="44"/>
      <c r="B154" s="6"/>
      <c r="C154" s="6"/>
      <c r="D154" s="6"/>
      <c r="E154" s="6"/>
      <c r="F154" s="40"/>
      <c r="G154" s="41"/>
      <c r="H154" s="35" t="str">
        <f aca="false">IF($B154="","",N($F154)*N($G154))</f>
        <v/>
      </c>
      <c r="I154" s="35" t="str">
        <f aca="false">IF($B154="","",N($F154)+$H154)</f>
        <v/>
      </c>
      <c r="J154" s="6"/>
      <c r="K154" s="46" t="str">
        <f aca="false">IF($A154="","",DATE(YEAR($A154),MONTH($A154),1))</f>
        <v/>
      </c>
    </row>
    <row r="155" customFormat="false" ht="15" hidden="false" customHeight="false" outlineLevel="0" collapsed="false">
      <c r="A155" s="44"/>
      <c r="B155" s="6"/>
      <c r="C155" s="6"/>
      <c r="D155" s="6"/>
      <c r="E155" s="6"/>
      <c r="F155" s="40"/>
      <c r="G155" s="41"/>
      <c r="H155" s="35" t="str">
        <f aca="false">IF($B155="","",N($F155)*N($G155))</f>
        <v/>
      </c>
      <c r="I155" s="35" t="str">
        <f aca="false">IF($B155="","",N($F155)+$H155)</f>
        <v/>
      </c>
      <c r="J155" s="6"/>
      <c r="K155" s="46" t="str">
        <f aca="false">IF($A155="","",DATE(YEAR($A155),MONTH($A155),1))</f>
        <v/>
      </c>
    </row>
    <row r="156" customFormat="false" ht="15" hidden="false" customHeight="false" outlineLevel="0" collapsed="false">
      <c r="A156" s="44"/>
      <c r="B156" s="6"/>
      <c r="C156" s="6"/>
      <c r="D156" s="6"/>
      <c r="E156" s="6"/>
      <c r="F156" s="40"/>
      <c r="G156" s="41"/>
      <c r="H156" s="35" t="str">
        <f aca="false">IF($B156="","",N($F156)*N($G156))</f>
        <v/>
      </c>
      <c r="I156" s="35" t="str">
        <f aca="false">IF($B156="","",N($F156)+$H156)</f>
        <v/>
      </c>
      <c r="J156" s="6"/>
      <c r="K156" s="46" t="str">
        <f aca="false">IF($A156="","",DATE(YEAR($A156),MONTH($A156),1))</f>
        <v/>
      </c>
    </row>
    <row r="157" customFormat="false" ht="15" hidden="false" customHeight="false" outlineLevel="0" collapsed="false">
      <c r="A157" s="44"/>
      <c r="B157" s="6"/>
      <c r="C157" s="6"/>
      <c r="D157" s="6"/>
      <c r="E157" s="6"/>
      <c r="F157" s="40"/>
      <c r="G157" s="41"/>
      <c r="H157" s="35" t="str">
        <f aca="false">IF($B157="","",N($F157)*N($G157))</f>
        <v/>
      </c>
      <c r="I157" s="35" t="str">
        <f aca="false">IF($B157="","",N($F157)+$H157)</f>
        <v/>
      </c>
      <c r="J157" s="6"/>
      <c r="K157" s="46" t="str">
        <f aca="false">IF($A157="","",DATE(YEAR($A157),MONTH($A157),1))</f>
        <v/>
      </c>
    </row>
    <row r="158" customFormat="false" ht="15" hidden="false" customHeight="false" outlineLevel="0" collapsed="false">
      <c r="A158" s="44"/>
      <c r="B158" s="6"/>
      <c r="C158" s="6"/>
      <c r="D158" s="6"/>
      <c r="E158" s="6"/>
      <c r="F158" s="40"/>
      <c r="G158" s="41"/>
      <c r="H158" s="35" t="str">
        <f aca="false">IF($B158="","",N($F158)*N($G158))</f>
        <v/>
      </c>
      <c r="I158" s="35" t="str">
        <f aca="false">IF($B158="","",N($F158)+$H158)</f>
        <v/>
      </c>
      <c r="J158" s="6"/>
      <c r="K158" s="46" t="str">
        <f aca="false">IF($A158="","",DATE(YEAR($A158),MONTH($A158),1))</f>
        <v/>
      </c>
    </row>
    <row r="159" customFormat="false" ht="15" hidden="false" customHeight="false" outlineLevel="0" collapsed="false">
      <c r="A159" s="44"/>
      <c r="B159" s="6"/>
      <c r="C159" s="6"/>
      <c r="D159" s="6"/>
      <c r="E159" s="6"/>
      <c r="F159" s="40"/>
      <c r="G159" s="41"/>
      <c r="H159" s="35" t="str">
        <f aca="false">IF($B159="","",N($F159)*N($G159))</f>
        <v/>
      </c>
      <c r="I159" s="35" t="str">
        <f aca="false">IF($B159="","",N($F159)+$H159)</f>
        <v/>
      </c>
      <c r="J159" s="6"/>
      <c r="K159" s="46" t="str">
        <f aca="false">IF($A159="","",DATE(YEAR($A159),MONTH($A159),1))</f>
        <v/>
      </c>
    </row>
    <row r="160" customFormat="false" ht="15" hidden="false" customHeight="false" outlineLevel="0" collapsed="false">
      <c r="A160" s="44"/>
      <c r="B160" s="6"/>
      <c r="C160" s="6"/>
      <c r="D160" s="6"/>
      <c r="E160" s="6"/>
      <c r="F160" s="40"/>
      <c r="G160" s="41"/>
      <c r="H160" s="35" t="str">
        <f aca="false">IF($B160="","",N($F160)*N($G160))</f>
        <v/>
      </c>
      <c r="I160" s="35" t="str">
        <f aca="false">IF($B160="","",N($F160)+$H160)</f>
        <v/>
      </c>
      <c r="J160" s="6"/>
      <c r="K160" s="46" t="str">
        <f aca="false">IF($A160="","",DATE(YEAR($A160),MONTH($A160),1))</f>
        <v/>
      </c>
    </row>
    <row r="161" customFormat="false" ht="15" hidden="false" customHeight="false" outlineLevel="0" collapsed="false">
      <c r="A161" s="44"/>
      <c r="B161" s="6"/>
      <c r="C161" s="6"/>
      <c r="D161" s="6"/>
      <c r="E161" s="6"/>
      <c r="F161" s="40"/>
      <c r="G161" s="41"/>
      <c r="H161" s="35" t="str">
        <f aca="false">IF($B161="","",N($F161)*N($G161))</f>
        <v/>
      </c>
      <c r="I161" s="35" t="str">
        <f aca="false">IF($B161="","",N($F161)+$H161)</f>
        <v/>
      </c>
      <c r="J161" s="6"/>
      <c r="K161" s="46" t="str">
        <f aca="false">IF($A161="","",DATE(YEAR($A161),MONTH($A161),1))</f>
        <v/>
      </c>
    </row>
    <row r="162" customFormat="false" ht="15" hidden="false" customHeight="false" outlineLevel="0" collapsed="false">
      <c r="A162" s="44"/>
      <c r="B162" s="6"/>
      <c r="C162" s="6"/>
      <c r="D162" s="6"/>
      <c r="E162" s="6"/>
      <c r="F162" s="40"/>
      <c r="G162" s="41"/>
      <c r="H162" s="35" t="str">
        <f aca="false">IF($B162="","",N($F162)*N($G162))</f>
        <v/>
      </c>
      <c r="I162" s="35" t="str">
        <f aca="false">IF($B162="","",N($F162)+$H162)</f>
        <v/>
      </c>
      <c r="J162" s="6"/>
      <c r="K162" s="46" t="str">
        <f aca="false">IF($A162="","",DATE(YEAR($A162),MONTH($A162),1))</f>
        <v/>
      </c>
    </row>
    <row r="163" customFormat="false" ht="15" hidden="false" customHeight="false" outlineLevel="0" collapsed="false">
      <c r="A163" s="44"/>
      <c r="B163" s="6"/>
      <c r="C163" s="6"/>
      <c r="D163" s="6"/>
      <c r="E163" s="6"/>
      <c r="F163" s="40"/>
      <c r="G163" s="41"/>
      <c r="H163" s="35" t="str">
        <f aca="false">IF($B163="","",N($F163)*N($G163))</f>
        <v/>
      </c>
      <c r="I163" s="35" t="str">
        <f aca="false">IF($B163="","",N($F163)+$H163)</f>
        <v/>
      </c>
      <c r="J163" s="6"/>
      <c r="K163" s="46" t="str">
        <f aca="false">IF($A163="","",DATE(YEAR($A163),MONTH($A163),1))</f>
        <v/>
      </c>
    </row>
    <row r="164" customFormat="false" ht="15" hidden="false" customHeight="false" outlineLevel="0" collapsed="false">
      <c r="A164" s="44"/>
      <c r="B164" s="6"/>
      <c r="C164" s="6"/>
      <c r="D164" s="6"/>
      <c r="E164" s="6"/>
      <c r="F164" s="40"/>
      <c r="G164" s="41"/>
      <c r="H164" s="35" t="str">
        <f aca="false">IF($B164="","",N($F164)*N($G164))</f>
        <v/>
      </c>
      <c r="I164" s="35" t="str">
        <f aca="false">IF($B164="","",N($F164)+$H164)</f>
        <v/>
      </c>
      <c r="J164" s="6"/>
      <c r="K164" s="46" t="str">
        <f aca="false">IF($A164="","",DATE(YEAR($A164),MONTH($A164),1))</f>
        <v/>
      </c>
    </row>
    <row r="165" customFormat="false" ht="15" hidden="false" customHeight="false" outlineLevel="0" collapsed="false">
      <c r="A165" s="44"/>
      <c r="B165" s="6"/>
      <c r="C165" s="6"/>
      <c r="D165" s="6"/>
      <c r="E165" s="6"/>
      <c r="F165" s="40"/>
      <c r="G165" s="41"/>
      <c r="H165" s="35" t="str">
        <f aca="false">IF($B165="","",N($F165)*N($G165))</f>
        <v/>
      </c>
      <c r="I165" s="35" t="str">
        <f aca="false">IF($B165="","",N($F165)+$H165)</f>
        <v/>
      </c>
      <c r="J165" s="6"/>
      <c r="K165" s="46" t="str">
        <f aca="false">IF($A165="","",DATE(YEAR($A165),MONTH($A165),1))</f>
        <v/>
      </c>
    </row>
    <row r="166" customFormat="false" ht="15" hidden="false" customHeight="false" outlineLevel="0" collapsed="false">
      <c r="A166" s="44"/>
      <c r="B166" s="6"/>
      <c r="C166" s="6"/>
      <c r="D166" s="6"/>
      <c r="E166" s="6"/>
      <c r="F166" s="40"/>
      <c r="G166" s="41"/>
      <c r="H166" s="35" t="str">
        <f aca="false">IF($B166="","",N($F166)*N($G166))</f>
        <v/>
      </c>
      <c r="I166" s="35" t="str">
        <f aca="false">IF($B166="","",N($F166)+$H166)</f>
        <v/>
      </c>
      <c r="J166" s="6"/>
      <c r="K166" s="46" t="str">
        <f aca="false">IF($A166="","",DATE(YEAR($A166),MONTH($A166),1))</f>
        <v/>
      </c>
    </row>
    <row r="167" customFormat="false" ht="15" hidden="false" customHeight="false" outlineLevel="0" collapsed="false">
      <c r="A167" s="44"/>
      <c r="B167" s="6"/>
      <c r="C167" s="6"/>
      <c r="D167" s="6"/>
      <c r="E167" s="6"/>
      <c r="F167" s="40"/>
      <c r="G167" s="41"/>
      <c r="H167" s="35" t="str">
        <f aca="false">IF($B167="","",N($F167)*N($G167))</f>
        <v/>
      </c>
      <c r="I167" s="35" t="str">
        <f aca="false">IF($B167="","",N($F167)+$H167)</f>
        <v/>
      </c>
      <c r="J167" s="6"/>
      <c r="K167" s="46" t="str">
        <f aca="false">IF($A167="","",DATE(YEAR($A167),MONTH($A167),1))</f>
        <v/>
      </c>
    </row>
    <row r="168" customFormat="false" ht="15" hidden="false" customHeight="false" outlineLevel="0" collapsed="false">
      <c r="A168" s="44"/>
      <c r="B168" s="6"/>
      <c r="C168" s="6"/>
      <c r="D168" s="6"/>
      <c r="E168" s="6"/>
      <c r="F168" s="40"/>
      <c r="G168" s="41"/>
      <c r="H168" s="35" t="str">
        <f aca="false">IF($B168="","",N($F168)*N($G168))</f>
        <v/>
      </c>
      <c r="I168" s="35" t="str">
        <f aca="false">IF($B168="","",N($F168)+$H168)</f>
        <v/>
      </c>
      <c r="J168" s="6"/>
      <c r="K168" s="46" t="str">
        <f aca="false">IF($A168="","",DATE(YEAR($A168),MONTH($A168),1))</f>
        <v/>
      </c>
    </row>
    <row r="169" customFormat="false" ht="15" hidden="false" customHeight="false" outlineLevel="0" collapsed="false">
      <c r="A169" s="44"/>
      <c r="B169" s="6"/>
      <c r="C169" s="6"/>
      <c r="D169" s="6"/>
      <c r="E169" s="6"/>
      <c r="F169" s="40"/>
      <c r="G169" s="41"/>
      <c r="H169" s="35" t="str">
        <f aca="false">IF($B169="","",N($F169)*N($G169))</f>
        <v/>
      </c>
      <c r="I169" s="35" t="str">
        <f aca="false">IF($B169="","",N($F169)+$H169)</f>
        <v/>
      </c>
      <c r="J169" s="6"/>
      <c r="K169" s="46" t="str">
        <f aca="false">IF($A169="","",DATE(YEAR($A169),MONTH($A169),1))</f>
        <v/>
      </c>
    </row>
    <row r="170" customFormat="false" ht="15" hidden="false" customHeight="false" outlineLevel="0" collapsed="false">
      <c r="A170" s="44"/>
      <c r="B170" s="6"/>
      <c r="C170" s="6"/>
      <c r="D170" s="6"/>
      <c r="E170" s="6"/>
      <c r="F170" s="40"/>
      <c r="G170" s="41"/>
      <c r="H170" s="35" t="str">
        <f aca="false">IF($B170="","",N($F170)*N($G170))</f>
        <v/>
      </c>
      <c r="I170" s="35" t="str">
        <f aca="false">IF($B170="","",N($F170)+$H170)</f>
        <v/>
      </c>
      <c r="J170" s="6"/>
      <c r="K170" s="46" t="str">
        <f aca="false">IF($A170="","",DATE(YEAR($A170),MONTH($A170),1))</f>
        <v/>
      </c>
    </row>
    <row r="171" customFormat="false" ht="15" hidden="false" customHeight="false" outlineLevel="0" collapsed="false">
      <c r="A171" s="44"/>
      <c r="B171" s="6"/>
      <c r="C171" s="6"/>
      <c r="D171" s="6"/>
      <c r="E171" s="6"/>
      <c r="F171" s="40"/>
      <c r="G171" s="41"/>
      <c r="H171" s="35" t="str">
        <f aca="false">IF($B171="","",N($F171)*N($G171))</f>
        <v/>
      </c>
      <c r="I171" s="35" t="str">
        <f aca="false">IF($B171="","",N($F171)+$H171)</f>
        <v/>
      </c>
      <c r="J171" s="6"/>
      <c r="K171" s="46" t="str">
        <f aca="false">IF($A171="","",DATE(YEAR($A171),MONTH($A171),1))</f>
        <v/>
      </c>
    </row>
    <row r="172" customFormat="false" ht="15" hidden="false" customHeight="false" outlineLevel="0" collapsed="false">
      <c r="A172" s="44"/>
      <c r="B172" s="6"/>
      <c r="C172" s="6"/>
      <c r="D172" s="6"/>
      <c r="E172" s="6"/>
      <c r="F172" s="40"/>
      <c r="G172" s="41"/>
      <c r="H172" s="35" t="str">
        <f aca="false">IF($B172="","",N($F172)*N($G172))</f>
        <v/>
      </c>
      <c r="I172" s="35" t="str">
        <f aca="false">IF($B172="","",N($F172)+$H172)</f>
        <v/>
      </c>
      <c r="J172" s="6"/>
      <c r="K172" s="46" t="str">
        <f aca="false">IF($A172="","",DATE(YEAR($A172),MONTH($A172),1))</f>
        <v/>
      </c>
    </row>
    <row r="173" customFormat="false" ht="15" hidden="false" customHeight="false" outlineLevel="0" collapsed="false">
      <c r="A173" s="44"/>
      <c r="B173" s="6"/>
      <c r="C173" s="6"/>
      <c r="D173" s="6"/>
      <c r="E173" s="6"/>
      <c r="F173" s="40"/>
      <c r="G173" s="41"/>
      <c r="H173" s="35" t="str">
        <f aca="false">IF($B173="","",N($F173)*N($G173))</f>
        <v/>
      </c>
      <c r="I173" s="35" t="str">
        <f aca="false">IF($B173="","",N($F173)+$H173)</f>
        <v/>
      </c>
      <c r="J173" s="6"/>
      <c r="K173" s="46" t="str">
        <f aca="false">IF($A173="","",DATE(YEAR($A173),MONTH($A173),1))</f>
        <v/>
      </c>
    </row>
    <row r="174" customFormat="false" ht="15" hidden="false" customHeight="false" outlineLevel="0" collapsed="false">
      <c r="A174" s="44"/>
      <c r="B174" s="6"/>
      <c r="C174" s="6"/>
      <c r="D174" s="6"/>
      <c r="E174" s="6"/>
      <c r="F174" s="40"/>
      <c r="G174" s="41"/>
      <c r="H174" s="35" t="str">
        <f aca="false">IF($B174="","",N($F174)*N($G174))</f>
        <v/>
      </c>
      <c r="I174" s="35" t="str">
        <f aca="false">IF($B174="","",N($F174)+$H174)</f>
        <v/>
      </c>
      <c r="J174" s="6"/>
      <c r="K174" s="46" t="str">
        <f aca="false">IF($A174="","",DATE(YEAR($A174),MONTH($A174),1))</f>
        <v/>
      </c>
    </row>
    <row r="175" customFormat="false" ht="15" hidden="false" customHeight="false" outlineLevel="0" collapsed="false">
      <c r="A175" s="44"/>
      <c r="B175" s="6"/>
      <c r="C175" s="6"/>
      <c r="D175" s="6"/>
      <c r="E175" s="6"/>
      <c r="F175" s="40"/>
      <c r="G175" s="41"/>
      <c r="H175" s="35" t="str">
        <f aca="false">IF($B175="","",N($F175)*N($G175))</f>
        <v/>
      </c>
      <c r="I175" s="35" t="str">
        <f aca="false">IF($B175="","",N($F175)+$H175)</f>
        <v/>
      </c>
      <c r="J175" s="6"/>
      <c r="K175" s="46" t="str">
        <f aca="false">IF($A175="","",DATE(YEAR($A175),MONTH($A175),1))</f>
        <v/>
      </c>
    </row>
    <row r="176" customFormat="false" ht="15" hidden="false" customHeight="false" outlineLevel="0" collapsed="false">
      <c r="A176" s="44"/>
      <c r="B176" s="6"/>
      <c r="C176" s="6"/>
      <c r="D176" s="6"/>
      <c r="E176" s="6"/>
      <c r="F176" s="40"/>
      <c r="G176" s="41"/>
      <c r="H176" s="35" t="str">
        <f aca="false">IF($B176="","",N($F176)*N($G176))</f>
        <v/>
      </c>
      <c r="I176" s="35" t="str">
        <f aca="false">IF($B176="","",N($F176)+$H176)</f>
        <v/>
      </c>
      <c r="J176" s="6"/>
      <c r="K176" s="46" t="str">
        <f aca="false">IF($A176="","",DATE(YEAR($A176),MONTH($A176),1))</f>
        <v/>
      </c>
    </row>
    <row r="177" customFormat="false" ht="15" hidden="false" customHeight="false" outlineLevel="0" collapsed="false">
      <c r="A177" s="44"/>
      <c r="B177" s="6"/>
      <c r="C177" s="6"/>
      <c r="D177" s="6"/>
      <c r="E177" s="6"/>
      <c r="F177" s="40"/>
      <c r="G177" s="41"/>
      <c r="H177" s="35" t="str">
        <f aca="false">IF($B177="","",N($F177)*N($G177))</f>
        <v/>
      </c>
      <c r="I177" s="35" t="str">
        <f aca="false">IF($B177="","",N($F177)+$H177)</f>
        <v/>
      </c>
      <c r="J177" s="6"/>
      <c r="K177" s="46" t="str">
        <f aca="false">IF($A177="","",DATE(YEAR($A177),MONTH($A177),1))</f>
        <v/>
      </c>
    </row>
    <row r="178" customFormat="false" ht="15" hidden="false" customHeight="false" outlineLevel="0" collapsed="false">
      <c r="A178" s="44"/>
      <c r="B178" s="6"/>
      <c r="C178" s="6"/>
      <c r="D178" s="6"/>
      <c r="E178" s="6"/>
      <c r="F178" s="40"/>
      <c r="G178" s="41"/>
      <c r="H178" s="35" t="str">
        <f aca="false">IF($B178="","",N($F178)*N($G178))</f>
        <v/>
      </c>
      <c r="I178" s="35" t="str">
        <f aca="false">IF($B178="","",N($F178)+$H178)</f>
        <v/>
      </c>
      <c r="J178" s="6"/>
      <c r="K178" s="46" t="str">
        <f aca="false">IF($A178="","",DATE(YEAR($A178),MONTH($A178),1))</f>
        <v/>
      </c>
    </row>
    <row r="179" customFormat="false" ht="15" hidden="false" customHeight="false" outlineLevel="0" collapsed="false">
      <c r="A179" s="44"/>
      <c r="B179" s="6"/>
      <c r="C179" s="6"/>
      <c r="D179" s="6"/>
      <c r="E179" s="6"/>
      <c r="F179" s="40"/>
      <c r="G179" s="41"/>
      <c r="H179" s="35" t="str">
        <f aca="false">IF($B179="","",N($F179)*N($G179))</f>
        <v/>
      </c>
      <c r="I179" s="35" t="str">
        <f aca="false">IF($B179="","",N($F179)+$H179)</f>
        <v/>
      </c>
      <c r="J179" s="6"/>
      <c r="K179" s="46" t="str">
        <f aca="false">IF($A179="","",DATE(YEAR($A179),MONTH($A179),1))</f>
        <v/>
      </c>
    </row>
    <row r="180" customFormat="false" ht="15" hidden="false" customHeight="false" outlineLevel="0" collapsed="false">
      <c r="A180" s="44"/>
      <c r="B180" s="6"/>
      <c r="C180" s="6"/>
      <c r="D180" s="6"/>
      <c r="E180" s="6"/>
      <c r="F180" s="40"/>
      <c r="G180" s="41"/>
      <c r="H180" s="35" t="str">
        <f aca="false">IF($B180="","",N($F180)*N($G180))</f>
        <v/>
      </c>
      <c r="I180" s="35" t="str">
        <f aca="false">IF($B180="","",N($F180)+$H180)</f>
        <v/>
      </c>
      <c r="J180" s="6"/>
      <c r="K180" s="46" t="str">
        <f aca="false">IF($A180="","",DATE(YEAR($A180),MONTH($A180),1))</f>
        <v/>
      </c>
    </row>
    <row r="181" customFormat="false" ht="15" hidden="false" customHeight="false" outlineLevel="0" collapsed="false">
      <c r="A181" s="44"/>
      <c r="B181" s="6"/>
      <c r="C181" s="6"/>
      <c r="D181" s="6"/>
      <c r="E181" s="6"/>
      <c r="F181" s="40"/>
      <c r="G181" s="41"/>
      <c r="H181" s="35" t="str">
        <f aca="false">IF($B181="","",N($F181)*N($G181))</f>
        <v/>
      </c>
      <c r="I181" s="35" t="str">
        <f aca="false">IF($B181="","",N($F181)+$H181)</f>
        <v/>
      </c>
      <c r="J181" s="6"/>
      <c r="K181" s="46" t="str">
        <f aca="false">IF($A181="","",DATE(YEAR($A181),MONTH($A181),1))</f>
        <v/>
      </c>
    </row>
    <row r="182" customFormat="false" ht="15" hidden="false" customHeight="false" outlineLevel="0" collapsed="false">
      <c r="A182" s="44"/>
      <c r="B182" s="6"/>
      <c r="C182" s="6"/>
      <c r="D182" s="6"/>
      <c r="E182" s="6"/>
      <c r="F182" s="40"/>
      <c r="G182" s="41"/>
      <c r="H182" s="35" t="str">
        <f aca="false">IF($B182="","",N($F182)*N($G182))</f>
        <v/>
      </c>
      <c r="I182" s="35" t="str">
        <f aca="false">IF($B182="","",N($F182)+$H182)</f>
        <v/>
      </c>
      <c r="J182" s="6"/>
      <c r="K182" s="46" t="str">
        <f aca="false">IF($A182="","",DATE(YEAR($A182),MONTH($A182),1))</f>
        <v/>
      </c>
    </row>
    <row r="183" customFormat="false" ht="15" hidden="false" customHeight="false" outlineLevel="0" collapsed="false">
      <c r="A183" s="44"/>
      <c r="B183" s="6"/>
      <c r="C183" s="6"/>
      <c r="D183" s="6"/>
      <c r="E183" s="6"/>
      <c r="F183" s="40"/>
      <c r="G183" s="41"/>
      <c r="H183" s="35" t="str">
        <f aca="false">IF($B183="","",N($F183)*N($G183))</f>
        <v/>
      </c>
      <c r="I183" s="35" t="str">
        <f aca="false">IF($B183="","",N($F183)+$H183)</f>
        <v/>
      </c>
      <c r="J183" s="6"/>
      <c r="K183" s="46" t="str">
        <f aca="false">IF($A183="","",DATE(YEAR($A183),MONTH($A183),1))</f>
        <v/>
      </c>
    </row>
    <row r="184" customFormat="false" ht="15" hidden="false" customHeight="false" outlineLevel="0" collapsed="false">
      <c r="A184" s="44"/>
      <c r="B184" s="6"/>
      <c r="C184" s="6"/>
      <c r="D184" s="6"/>
      <c r="E184" s="6"/>
      <c r="F184" s="40"/>
      <c r="G184" s="41"/>
      <c r="H184" s="35" t="str">
        <f aca="false">IF($B184="","",N($F184)*N($G184))</f>
        <v/>
      </c>
      <c r="I184" s="35" t="str">
        <f aca="false">IF($B184="","",N($F184)+$H184)</f>
        <v/>
      </c>
      <c r="J184" s="6"/>
      <c r="K184" s="46" t="str">
        <f aca="false">IF($A184="","",DATE(YEAR($A184),MONTH($A184),1))</f>
        <v/>
      </c>
    </row>
    <row r="185" customFormat="false" ht="15" hidden="false" customHeight="false" outlineLevel="0" collapsed="false">
      <c r="A185" s="44"/>
      <c r="B185" s="6"/>
      <c r="C185" s="6"/>
      <c r="D185" s="6"/>
      <c r="E185" s="6"/>
      <c r="F185" s="40"/>
      <c r="G185" s="41"/>
      <c r="H185" s="35" t="str">
        <f aca="false">IF($B185="","",N($F185)*N($G185))</f>
        <v/>
      </c>
      <c r="I185" s="35" t="str">
        <f aca="false">IF($B185="","",N($F185)+$H185)</f>
        <v/>
      </c>
      <c r="J185" s="6"/>
      <c r="K185" s="46" t="str">
        <f aca="false">IF($A185="","",DATE(YEAR($A185),MONTH($A185),1))</f>
        <v/>
      </c>
    </row>
    <row r="186" customFormat="false" ht="15" hidden="false" customHeight="false" outlineLevel="0" collapsed="false">
      <c r="A186" s="44"/>
      <c r="B186" s="6"/>
      <c r="C186" s="6"/>
      <c r="D186" s="6"/>
      <c r="E186" s="6"/>
      <c r="F186" s="40"/>
      <c r="G186" s="41"/>
      <c r="H186" s="35" t="str">
        <f aca="false">IF($B186="","",N($F186)*N($G186))</f>
        <v/>
      </c>
      <c r="I186" s="35" t="str">
        <f aca="false">IF($B186="","",N($F186)+$H186)</f>
        <v/>
      </c>
      <c r="J186" s="6"/>
      <c r="K186" s="46" t="str">
        <f aca="false">IF($A186="","",DATE(YEAR($A186),MONTH($A186),1))</f>
        <v/>
      </c>
    </row>
    <row r="187" customFormat="false" ht="15" hidden="false" customHeight="false" outlineLevel="0" collapsed="false">
      <c r="A187" s="44"/>
      <c r="B187" s="6"/>
      <c r="C187" s="6"/>
      <c r="D187" s="6"/>
      <c r="E187" s="6"/>
      <c r="F187" s="40"/>
      <c r="G187" s="41"/>
      <c r="H187" s="35" t="str">
        <f aca="false">IF($B187="","",N($F187)*N($G187))</f>
        <v/>
      </c>
      <c r="I187" s="35" t="str">
        <f aca="false">IF($B187="","",N($F187)+$H187)</f>
        <v/>
      </c>
      <c r="J187" s="6"/>
      <c r="K187" s="46" t="str">
        <f aca="false">IF($A187="","",DATE(YEAR($A187),MONTH($A187),1))</f>
        <v/>
      </c>
    </row>
    <row r="188" customFormat="false" ht="15" hidden="false" customHeight="false" outlineLevel="0" collapsed="false">
      <c r="A188" s="44"/>
      <c r="B188" s="6"/>
      <c r="C188" s="6"/>
      <c r="D188" s="6"/>
      <c r="E188" s="6"/>
      <c r="F188" s="40"/>
      <c r="G188" s="41"/>
      <c r="H188" s="35" t="str">
        <f aca="false">IF($B188="","",N($F188)*N($G188))</f>
        <v/>
      </c>
      <c r="I188" s="35" t="str">
        <f aca="false">IF($B188="","",N($F188)+$H188)</f>
        <v/>
      </c>
      <c r="J188" s="6"/>
      <c r="K188" s="46" t="str">
        <f aca="false">IF($A188="","",DATE(YEAR($A188),MONTH($A188),1))</f>
        <v/>
      </c>
    </row>
    <row r="189" customFormat="false" ht="15" hidden="false" customHeight="false" outlineLevel="0" collapsed="false">
      <c r="A189" s="44"/>
      <c r="B189" s="6"/>
      <c r="C189" s="6"/>
      <c r="D189" s="6"/>
      <c r="E189" s="6"/>
      <c r="F189" s="40"/>
      <c r="G189" s="41"/>
      <c r="H189" s="35" t="str">
        <f aca="false">IF($B189="","",N($F189)*N($G189))</f>
        <v/>
      </c>
      <c r="I189" s="35" t="str">
        <f aca="false">IF($B189="","",N($F189)+$H189)</f>
        <v/>
      </c>
      <c r="J189" s="6"/>
      <c r="K189" s="46" t="str">
        <f aca="false">IF($A189="","",DATE(YEAR($A189),MONTH($A189),1))</f>
        <v/>
      </c>
    </row>
    <row r="190" customFormat="false" ht="15" hidden="false" customHeight="false" outlineLevel="0" collapsed="false">
      <c r="A190" s="44"/>
      <c r="B190" s="6"/>
      <c r="C190" s="6"/>
      <c r="D190" s="6"/>
      <c r="E190" s="6"/>
      <c r="F190" s="40"/>
      <c r="G190" s="41"/>
      <c r="H190" s="35" t="str">
        <f aca="false">IF($B190="","",N($F190)*N($G190))</f>
        <v/>
      </c>
      <c r="I190" s="35" t="str">
        <f aca="false">IF($B190="","",N($F190)+$H190)</f>
        <v/>
      </c>
      <c r="J190" s="6"/>
      <c r="K190" s="46" t="str">
        <f aca="false">IF($A190="","",DATE(YEAR($A190),MONTH($A190),1))</f>
        <v/>
      </c>
    </row>
    <row r="191" customFormat="false" ht="15" hidden="false" customHeight="false" outlineLevel="0" collapsed="false">
      <c r="A191" s="44"/>
      <c r="B191" s="6"/>
      <c r="C191" s="6"/>
      <c r="D191" s="6"/>
      <c r="E191" s="6"/>
      <c r="F191" s="40"/>
      <c r="G191" s="41"/>
      <c r="H191" s="35" t="str">
        <f aca="false">IF($B191="","",N($F191)*N($G191))</f>
        <v/>
      </c>
      <c r="I191" s="35" t="str">
        <f aca="false">IF($B191="","",N($F191)+$H191)</f>
        <v/>
      </c>
      <c r="J191" s="6"/>
      <c r="K191" s="46" t="str">
        <f aca="false">IF($A191="","",DATE(YEAR($A191),MONTH($A191),1))</f>
        <v/>
      </c>
    </row>
    <row r="192" customFormat="false" ht="15" hidden="false" customHeight="false" outlineLevel="0" collapsed="false">
      <c r="A192" s="44"/>
      <c r="B192" s="6"/>
      <c r="C192" s="6"/>
      <c r="D192" s="6"/>
      <c r="E192" s="6"/>
      <c r="F192" s="40"/>
      <c r="G192" s="41"/>
      <c r="H192" s="35" t="str">
        <f aca="false">IF($B192="","",N($F192)*N($G192))</f>
        <v/>
      </c>
      <c r="I192" s="35" t="str">
        <f aca="false">IF($B192="","",N($F192)+$H192)</f>
        <v/>
      </c>
      <c r="J192" s="6"/>
      <c r="K192" s="46" t="str">
        <f aca="false">IF($A192="","",DATE(YEAR($A192),MONTH($A192),1))</f>
        <v/>
      </c>
    </row>
    <row r="193" customFormat="false" ht="15" hidden="false" customHeight="false" outlineLevel="0" collapsed="false">
      <c r="A193" s="44"/>
      <c r="B193" s="6"/>
      <c r="C193" s="6"/>
      <c r="D193" s="6"/>
      <c r="E193" s="6"/>
      <c r="F193" s="40"/>
      <c r="G193" s="41"/>
      <c r="H193" s="35" t="str">
        <f aca="false">IF($B193="","",N($F193)*N($G193))</f>
        <v/>
      </c>
      <c r="I193" s="35" t="str">
        <f aca="false">IF($B193="","",N($F193)+$H193)</f>
        <v/>
      </c>
      <c r="J193" s="6"/>
      <c r="K193" s="46" t="str">
        <f aca="false">IF($A193="","",DATE(YEAR($A193),MONTH($A193),1))</f>
        <v/>
      </c>
    </row>
    <row r="194" customFormat="false" ht="15" hidden="false" customHeight="false" outlineLevel="0" collapsed="false">
      <c r="A194" s="44"/>
      <c r="B194" s="6"/>
      <c r="C194" s="6"/>
      <c r="D194" s="6"/>
      <c r="E194" s="6"/>
      <c r="F194" s="40"/>
      <c r="G194" s="41"/>
      <c r="H194" s="35" t="str">
        <f aca="false">IF($B194="","",N($F194)*N($G194))</f>
        <v/>
      </c>
      <c r="I194" s="35" t="str">
        <f aca="false">IF($B194="","",N($F194)+$H194)</f>
        <v/>
      </c>
      <c r="J194" s="6"/>
      <c r="K194" s="46" t="str">
        <f aca="false">IF($A194="","",DATE(YEAR($A194),MONTH($A194),1))</f>
        <v/>
      </c>
    </row>
    <row r="195" customFormat="false" ht="15" hidden="false" customHeight="false" outlineLevel="0" collapsed="false">
      <c r="A195" s="44"/>
      <c r="B195" s="6"/>
      <c r="C195" s="6"/>
      <c r="D195" s="6"/>
      <c r="E195" s="6"/>
      <c r="F195" s="40"/>
      <c r="G195" s="41"/>
      <c r="H195" s="35" t="str">
        <f aca="false">IF($B195="","",N($F195)*N($G195))</f>
        <v/>
      </c>
      <c r="I195" s="35" t="str">
        <f aca="false">IF($B195="","",N($F195)+$H195)</f>
        <v/>
      </c>
      <c r="J195" s="6"/>
      <c r="K195" s="46" t="str">
        <f aca="false">IF($A195="","",DATE(YEAR($A195),MONTH($A195),1))</f>
        <v/>
      </c>
    </row>
    <row r="196" customFormat="false" ht="15" hidden="false" customHeight="false" outlineLevel="0" collapsed="false">
      <c r="A196" s="44"/>
      <c r="B196" s="6"/>
      <c r="C196" s="6"/>
      <c r="D196" s="6"/>
      <c r="E196" s="6"/>
      <c r="F196" s="40"/>
      <c r="G196" s="41"/>
      <c r="H196" s="35" t="str">
        <f aca="false">IF($B196="","",N($F196)*N($G196))</f>
        <v/>
      </c>
      <c r="I196" s="35" t="str">
        <f aca="false">IF($B196="","",N($F196)+$H196)</f>
        <v/>
      </c>
      <c r="J196" s="6"/>
      <c r="K196" s="46" t="str">
        <f aca="false">IF($A196="","",DATE(YEAR($A196),MONTH($A196),1))</f>
        <v/>
      </c>
    </row>
    <row r="197" customFormat="false" ht="15" hidden="false" customHeight="false" outlineLevel="0" collapsed="false">
      <c r="A197" s="44"/>
      <c r="B197" s="6"/>
      <c r="C197" s="6"/>
      <c r="D197" s="6"/>
      <c r="E197" s="6"/>
      <c r="F197" s="40"/>
      <c r="G197" s="41"/>
      <c r="H197" s="35" t="str">
        <f aca="false">IF($B197="","",N($F197)*N($G197))</f>
        <v/>
      </c>
      <c r="I197" s="35" t="str">
        <f aca="false">IF($B197="","",N($F197)+$H197)</f>
        <v/>
      </c>
      <c r="J197" s="6"/>
      <c r="K197" s="46" t="str">
        <f aca="false">IF($A197="","",DATE(YEAR($A197),MONTH($A197),1))</f>
        <v/>
      </c>
    </row>
    <row r="198" customFormat="false" ht="15" hidden="false" customHeight="false" outlineLevel="0" collapsed="false">
      <c r="A198" s="44"/>
      <c r="B198" s="6"/>
      <c r="C198" s="6"/>
      <c r="D198" s="6"/>
      <c r="E198" s="6"/>
      <c r="F198" s="40"/>
      <c r="G198" s="41"/>
      <c r="H198" s="35" t="str">
        <f aca="false">IF($B198="","",N($F198)*N($G198))</f>
        <v/>
      </c>
      <c r="I198" s="35" t="str">
        <f aca="false">IF($B198="","",N($F198)+$H198)</f>
        <v/>
      </c>
      <c r="J198" s="6"/>
      <c r="K198" s="46" t="str">
        <f aca="false">IF($A198="","",DATE(YEAR($A198),MONTH($A198),1))</f>
        <v/>
      </c>
    </row>
    <row r="199" customFormat="false" ht="15" hidden="false" customHeight="false" outlineLevel="0" collapsed="false">
      <c r="A199" s="44"/>
      <c r="B199" s="6"/>
      <c r="C199" s="6"/>
      <c r="D199" s="6"/>
      <c r="E199" s="6"/>
      <c r="F199" s="40"/>
      <c r="G199" s="41"/>
      <c r="H199" s="35" t="str">
        <f aca="false">IF($B199="","",N($F199)*N($G199))</f>
        <v/>
      </c>
      <c r="I199" s="35" t="str">
        <f aca="false">IF($B199="","",N($F199)+$H199)</f>
        <v/>
      </c>
      <c r="J199" s="6"/>
      <c r="K199" s="46" t="str">
        <f aca="false">IF($A199="","",DATE(YEAR($A199),MONTH($A199),1))</f>
        <v/>
      </c>
    </row>
    <row r="200" customFormat="false" ht="15" hidden="false" customHeight="false" outlineLevel="0" collapsed="false">
      <c r="A200" s="44"/>
      <c r="B200" s="6"/>
      <c r="C200" s="6"/>
      <c r="D200" s="6"/>
      <c r="E200" s="6"/>
      <c r="F200" s="40"/>
      <c r="G200" s="41"/>
      <c r="H200" s="35" t="str">
        <f aca="false">IF($B200="","",N($F200)*N($G200))</f>
        <v/>
      </c>
      <c r="I200" s="35" t="str">
        <f aca="false">IF($B200="","",N($F200)+$H200)</f>
        <v/>
      </c>
      <c r="J200" s="6"/>
      <c r="K200" s="46" t="str">
        <f aca="false">IF($A200="","",DATE(YEAR($A200),MONTH($A200),1))</f>
        <v/>
      </c>
    </row>
    <row r="201" customFormat="false" ht="15" hidden="false" customHeight="false" outlineLevel="0" collapsed="false">
      <c r="A201" s="44"/>
      <c r="B201" s="6"/>
      <c r="C201" s="6"/>
      <c r="D201" s="6"/>
      <c r="E201" s="6"/>
      <c r="F201" s="40"/>
      <c r="G201" s="41"/>
      <c r="H201" s="35" t="str">
        <f aca="false">IF($B201="","",N($F201)*N($G201))</f>
        <v/>
      </c>
      <c r="I201" s="35" t="str">
        <f aca="false">IF($B201="","",N($F201)+$H201)</f>
        <v/>
      </c>
      <c r="J201" s="6"/>
      <c r="K201" s="46" t="str">
        <f aca="false">IF($A201="","",DATE(YEAR($A201),MONTH($A201),1))</f>
        <v/>
      </c>
    </row>
    <row r="202" customFormat="false" ht="15" hidden="false" customHeight="false" outlineLevel="0" collapsed="false">
      <c r="A202" s="44"/>
      <c r="B202" s="6"/>
      <c r="C202" s="6"/>
      <c r="D202" s="6"/>
      <c r="E202" s="6"/>
      <c r="F202" s="40"/>
      <c r="G202" s="41"/>
      <c r="H202" s="35" t="str">
        <f aca="false">IF($B202="","",N($F202)*N($G202))</f>
        <v/>
      </c>
      <c r="I202" s="35" t="str">
        <f aca="false">IF($B202="","",N($F202)+$H202)</f>
        <v/>
      </c>
      <c r="J202" s="6"/>
      <c r="K202" s="46" t="str">
        <f aca="false">IF($A202="","",DATE(YEAR($A202),MONTH($A202),1))</f>
        <v/>
      </c>
    </row>
    <row r="203" customFormat="false" ht="15" hidden="false" customHeight="false" outlineLevel="0" collapsed="false">
      <c r="A203" s="44"/>
      <c r="B203" s="6"/>
      <c r="C203" s="6"/>
      <c r="D203" s="6"/>
      <c r="E203" s="6"/>
      <c r="F203" s="40"/>
      <c r="G203" s="41"/>
      <c r="H203" s="35" t="str">
        <f aca="false">IF($B203="","",N($F203)*N($G203))</f>
        <v/>
      </c>
      <c r="I203" s="35" t="str">
        <f aca="false">IF($B203="","",N($F203)+$H203)</f>
        <v/>
      </c>
      <c r="J203" s="6"/>
      <c r="K203" s="46" t="str">
        <f aca="false">IF($A203="","",DATE(YEAR($A203),MONTH($A203),1))</f>
        <v/>
      </c>
    </row>
    <row r="204" customFormat="false" ht="15" hidden="false" customHeight="false" outlineLevel="0" collapsed="false">
      <c r="A204" s="44"/>
      <c r="B204" s="6"/>
      <c r="C204" s="6"/>
      <c r="D204" s="6"/>
      <c r="E204" s="6"/>
      <c r="F204" s="40"/>
      <c r="G204" s="41"/>
      <c r="H204" s="35" t="str">
        <f aca="false">IF($B204="","",N($F204)*N($G204))</f>
        <v/>
      </c>
      <c r="I204" s="35" t="str">
        <f aca="false">IF($B204="","",N($F204)+$H204)</f>
        <v/>
      </c>
      <c r="J204" s="6"/>
      <c r="K204" s="46" t="str">
        <f aca="false">IF($A204="","",DATE(YEAR($A204),MONTH($A204),1))</f>
        <v/>
      </c>
    </row>
    <row r="205" customFormat="false" ht="15" hidden="false" customHeight="false" outlineLevel="0" collapsed="false">
      <c r="A205" s="44"/>
      <c r="B205" s="6"/>
      <c r="C205" s="6"/>
      <c r="D205" s="6"/>
      <c r="E205" s="6"/>
      <c r="F205" s="40"/>
      <c r="G205" s="41"/>
      <c r="H205" s="35" t="str">
        <f aca="false">IF($B205="","",N($F205)*N($G205))</f>
        <v/>
      </c>
      <c r="I205" s="35" t="str">
        <f aca="false">IF($B205="","",N($F205)+$H205)</f>
        <v/>
      </c>
      <c r="J205" s="6"/>
      <c r="K205" s="46" t="str">
        <f aca="false">IF($A205="","",DATE(YEAR($A205),MONTH($A205),1))</f>
        <v/>
      </c>
    </row>
    <row r="206" customFormat="false" ht="15" hidden="false" customHeight="false" outlineLevel="0" collapsed="false">
      <c r="A206" s="44"/>
      <c r="B206" s="6"/>
      <c r="C206" s="6"/>
      <c r="D206" s="6"/>
      <c r="E206" s="6"/>
      <c r="F206" s="40"/>
      <c r="G206" s="41"/>
      <c r="H206" s="35" t="str">
        <f aca="false">IF($B206="","",N($F206)*N($G206))</f>
        <v/>
      </c>
      <c r="I206" s="35" t="str">
        <f aca="false">IF($B206="","",N($F206)+$H206)</f>
        <v/>
      </c>
      <c r="J206" s="6"/>
      <c r="K206" s="46" t="str">
        <f aca="false">IF($A206="","",DATE(YEAR($A206),MONTH($A206),1))</f>
        <v/>
      </c>
    </row>
    <row r="207" customFormat="false" ht="15" hidden="false" customHeight="false" outlineLevel="0" collapsed="false">
      <c r="A207" s="44"/>
      <c r="B207" s="6"/>
      <c r="C207" s="6"/>
      <c r="D207" s="6"/>
      <c r="E207" s="6"/>
      <c r="F207" s="40"/>
      <c r="G207" s="41"/>
      <c r="H207" s="35" t="str">
        <f aca="false">IF($B207="","",N($F207)*N($G207))</f>
        <v/>
      </c>
      <c r="I207" s="35" t="str">
        <f aca="false">IF($B207="","",N($F207)+$H207)</f>
        <v/>
      </c>
      <c r="J207" s="6"/>
      <c r="K207" s="46" t="str">
        <f aca="false">IF($A207="","",DATE(YEAR($A207),MONTH($A207),1))</f>
        <v/>
      </c>
    </row>
    <row r="208" customFormat="false" ht="15" hidden="false" customHeight="false" outlineLevel="0" collapsed="false">
      <c r="A208" s="44"/>
      <c r="B208" s="6"/>
      <c r="C208" s="6"/>
      <c r="D208" s="6"/>
      <c r="E208" s="6"/>
      <c r="F208" s="40"/>
      <c r="G208" s="41"/>
      <c r="H208" s="35" t="str">
        <f aca="false">IF($B208="","",N($F208)*N($G208))</f>
        <v/>
      </c>
      <c r="I208" s="35" t="str">
        <f aca="false">IF($B208="","",N($F208)+$H208)</f>
        <v/>
      </c>
      <c r="J208" s="6"/>
      <c r="K208" s="46" t="str">
        <f aca="false">IF($A208="","",DATE(YEAR($A208),MONTH($A208),1))</f>
        <v/>
      </c>
    </row>
    <row r="209" customFormat="false" ht="15" hidden="false" customHeight="false" outlineLevel="0" collapsed="false">
      <c r="A209" s="44"/>
      <c r="B209" s="6"/>
      <c r="C209" s="6"/>
      <c r="D209" s="6"/>
      <c r="E209" s="6"/>
      <c r="F209" s="40"/>
      <c r="G209" s="41"/>
      <c r="H209" s="35" t="str">
        <f aca="false">IF($B209="","",N($F209)*N($G209))</f>
        <v/>
      </c>
      <c r="I209" s="35" t="str">
        <f aca="false">IF($B209="","",N($F209)+$H209)</f>
        <v/>
      </c>
      <c r="J209" s="6"/>
      <c r="K209" s="46" t="str">
        <f aca="false">IF($A209="","",DATE(YEAR($A209),MONTH($A209),1))</f>
        <v/>
      </c>
    </row>
    <row r="210" customFormat="false" ht="15" hidden="false" customHeight="false" outlineLevel="0" collapsed="false">
      <c r="A210" s="44"/>
      <c r="B210" s="6"/>
      <c r="C210" s="6"/>
      <c r="D210" s="6"/>
      <c r="E210" s="6"/>
      <c r="F210" s="40"/>
      <c r="G210" s="41"/>
      <c r="H210" s="35" t="str">
        <f aca="false">IF($B210="","",N($F210)*N($G210))</f>
        <v/>
      </c>
      <c r="I210" s="35" t="str">
        <f aca="false">IF($B210="","",N($F210)+$H210)</f>
        <v/>
      </c>
      <c r="J210" s="6"/>
      <c r="K210" s="46" t="str">
        <f aca="false">IF($A210="","",DATE(YEAR($A210),MONTH($A210),1))</f>
        <v/>
      </c>
    </row>
    <row r="211" customFormat="false" ht="15" hidden="false" customHeight="false" outlineLevel="0" collapsed="false">
      <c r="A211" s="44"/>
      <c r="B211" s="6"/>
      <c r="C211" s="6"/>
      <c r="D211" s="6"/>
      <c r="E211" s="6"/>
      <c r="F211" s="40"/>
      <c r="G211" s="41"/>
      <c r="H211" s="35" t="str">
        <f aca="false">IF($B211="","",N($F211)*N($G211))</f>
        <v/>
      </c>
      <c r="I211" s="35" t="str">
        <f aca="false">IF($B211="","",N($F211)+$H211)</f>
        <v/>
      </c>
      <c r="J211" s="6"/>
      <c r="K211" s="46" t="str">
        <f aca="false">IF($A211="","",DATE(YEAR($A211),MONTH($A211),1))</f>
        <v/>
      </c>
    </row>
    <row r="212" customFormat="false" ht="15" hidden="false" customHeight="false" outlineLevel="0" collapsed="false">
      <c r="A212" s="44"/>
      <c r="B212" s="6"/>
      <c r="C212" s="6"/>
      <c r="D212" s="6"/>
      <c r="E212" s="6"/>
      <c r="F212" s="40"/>
      <c r="G212" s="41"/>
      <c r="H212" s="35" t="str">
        <f aca="false">IF($B212="","",N($F212)*N($G212))</f>
        <v/>
      </c>
      <c r="I212" s="35" t="str">
        <f aca="false">IF($B212="","",N($F212)+$H212)</f>
        <v/>
      </c>
      <c r="J212" s="6"/>
      <c r="K212" s="46" t="str">
        <f aca="false">IF($A212="","",DATE(YEAR($A212),MONTH($A212),1))</f>
        <v/>
      </c>
    </row>
    <row r="213" customFormat="false" ht="15" hidden="false" customHeight="false" outlineLevel="0" collapsed="false">
      <c r="A213" s="44"/>
      <c r="B213" s="6"/>
      <c r="C213" s="6"/>
      <c r="D213" s="6"/>
      <c r="E213" s="6"/>
      <c r="F213" s="40"/>
      <c r="G213" s="41"/>
      <c r="H213" s="35" t="str">
        <f aca="false">IF($B213="","",N($F213)*N($G213))</f>
        <v/>
      </c>
      <c r="I213" s="35" t="str">
        <f aca="false">IF($B213="","",N($F213)+$H213)</f>
        <v/>
      </c>
      <c r="J213" s="6"/>
      <c r="K213" s="46" t="str">
        <f aca="false">IF($A213="","",DATE(YEAR($A213),MONTH($A213),1))</f>
        <v/>
      </c>
    </row>
    <row r="214" customFormat="false" ht="15" hidden="false" customHeight="false" outlineLevel="0" collapsed="false">
      <c r="A214" s="44"/>
      <c r="B214" s="6"/>
      <c r="C214" s="6"/>
      <c r="D214" s="6"/>
      <c r="E214" s="6"/>
      <c r="F214" s="40"/>
      <c r="G214" s="41"/>
      <c r="H214" s="35" t="str">
        <f aca="false">IF($B214="","",N($F214)*N($G214))</f>
        <v/>
      </c>
      <c r="I214" s="35" t="str">
        <f aca="false">IF($B214="","",N($F214)+$H214)</f>
        <v/>
      </c>
      <c r="J214" s="6"/>
      <c r="K214" s="46" t="str">
        <f aca="false">IF($A214="","",DATE(YEAR($A214),MONTH($A214),1))</f>
        <v/>
      </c>
    </row>
    <row r="215" customFormat="false" ht="15" hidden="false" customHeight="false" outlineLevel="0" collapsed="false">
      <c r="A215" s="44"/>
      <c r="B215" s="6"/>
      <c r="C215" s="6"/>
      <c r="D215" s="6"/>
      <c r="E215" s="6"/>
      <c r="F215" s="40"/>
      <c r="G215" s="41"/>
      <c r="H215" s="35" t="str">
        <f aca="false">IF($B215="","",N($F215)*N($G215))</f>
        <v/>
      </c>
      <c r="I215" s="35" t="str">
        <f aca="false">IF($B215="","",N($F215)+$H215)</f>
        <v/>
      </c>
      <c r="J215" s="6"/>
      <c r="K215" s="46" t="str">
        <f aca="false">IF($A215="","",DATE(YEAR($A215),MONTH($A215),1))</f>
        <v/>
      </c>
    </row>
    <row r="216" customFormat="false" ht="15" hidden="false" customHeight="false" outlineLevel="0" collapsed="false">
      <c r="A216" s="44"/>
      <c r="B216" s="6"/>
      <c r="C216" s="6"/>
      <c r="D216" s="6"/>
      <c r="E216" s="6"/>
      <c r="F216" s="40"/>
      <c r="G216" s="41"/>
      <c r="H216" s="35" t="str">
        <f aca="false">IF($B216="","",N($F216)*N($G216))</f>
        <v/>
      </c>
      <c r="I216" s="35" t="str">
        <f aca="false">IF($B216="","",N($F216)+$H216)</f>
        <v/>
      </c>
      <c r="J216" s="6"/>
      <c r="K216" s="46" t="str">
        <f aca="false">IF($A216="","",DATE(YEAR($A216),MONTH($A216),1))</f>
        <v/>
      </c>
    </row>
    <row r="217" customFormat="false" ht="15" hidden="false" customHeight="false" outlineLevel="0" collapsed="false">
      <c r="A217" s="44"/>
      <c r="B217" s="6"/>
      <c r="C217" s="6"/>
      <c r="D217" s="6"/>
      <c r="E217" s="6"/>
      <c r="F217" s="40"/>
      <c r="G217" s="41"/>
      <c r="H217" s="35" t="str">
        <f aca="false">IF($B217="","",N($F217)*N($G217))</f>
        <v/>
      </c>
      <c r="I217" s="35" t="str">
        <f aca="false">IF($B217="","",N($F217)+$H217)</f>
        <v/>
      </c>
      <c r="J217" s="6"/>
      <c r="K217" s="46" t="str">
        <f aca="false">IF($A217="","",DATE(YEAR($A217),MONTH($A217),1))</f>
        <v/>
      </c>
    </row>
    <row r="218" customFormat="false" ht="15" hidden="false" customHeight="false" outlineLevel="0" collapsed="false">
      <c r="A218" s="44"/>
      <c r="B218" s="6"/>
      <c r="C218" s="6"/>
      <c r="D218" s="6"/>
      <c r="E218" s="6"/>
      <c r="F218" s="40"/>
      <c r="G218" s="41"/>
      <c r="H218" s="35" t="str">
        <f aca="false">IF($B218="","",N($F218)*N($G218))</f>
        <v/>
      </c>
      <c r="I218" s="35" t="str">
        <f aca="false">IF($B218="","",N($F218)+$H218)</f>
        <v/>
      </c>
      <c r="J218" s="6"/>
      <c r="K218" s="46" t="str">
        <f aca="false">IF($A218="","",DATE(YEAR($A218),MONTH($A218),1))</f>
        <v/>
      </c>
    </row>
    <row r="219" customFormat="false" ht="15" hidden="false" customHeight="false" outlineLevel="0" collapsed="false">
      <c r="A219" s="44"/>
      <c r="B219" s="6"/>
      <c r="C219" s="6"/>
      <c r="D219" s="6"/>
      <c r="E219" s="6"/>
      <c r="F219" s="40"/>
      <c r="G219" s="41"/>
      <c r="H219" s="35" t="str">
        <f aca="false">IF($B219="","",N($F219)*N($G219))</f>
        <v/>
      </c>
      <c r="I219" s="35" t="str">
        <f aca="false">IF($B219="","",N($F219)+$H219)</f>
        <v/>
      </c>
      <c r="J219" s="6"/>
      <c r="K219" s="46" t="str">
        <f aca="false">IF($A219="","",DATE(YEAR($A219),MONTH($A219),1))</f>
        <v/>
      </c>
    </row>
    <row r="220" customFormat="false" ht="15" hidden="false" customHeight="false" outlineLevel="0" collapsed="false">
      <c r="A220" s="44"/>
      <c r="B220" s="6"/>
      <c r="C220" s="6"/>
      <c r="D220" s="6"/>
      <c r="E220" s="6"/>
      <c r="F220" s="40"/>
      <c r="G220" s="41"/>
      <c r="H220" s="35" t="str">
        <f aca="false">IF($B220="","",N($F220)*N($G220))</f>
        <v/>
      </c>
      <c r="I220" s="35" t="str">
        <f aca="false">IF($B220="","",N($F220)+$H220)</f>
        <v/>
      </c>
      <c r="J220" s="6"/>
      <c r="K220" s="46" t="str">
        <f aca="false">IF($A220="","",DATE(YEAR($A220),MONTH($A220),1))</f>
        <v/>
      </c>
    </row>
    <row r="221" customFormat="false" ht="15" hidden="false" customHeight="false" outlineLevel="0" collapsed="false">
      <c r="A221" s="44"/>
      <c r="B221" s="6"/>
      <c r="C221" s="6"/>
      <c r="D221" s="6"/>
      <c r="E221" s="6"/>
      <c r="F221" s="40"/>
      <c r="G221" s="41"/>
      <c r="H221" s="35" t="str">
        <f aca="false">IF($B221="","",N($F221)*N($G221))</f>
        <v/>
      </c>
      <c r="I221" s="35" t="str">
        <f aca="false">IF($B221="","",N($F221)+$H221)</f>
        <v/>
      </c>
      <c r="J221" s="6"/>
      <c r="K221" s="46" t="str">
        <f aca="false">IF($A221="","",DATE(YEAR($A221),MONTH($A221),1))</f>
        <v/>
      </c>
    </row>
    <row r="222" customFormat="false" ht="15" hidden="false" customHeight="false" outlineLevel="0" collapsed="false">
      <c r="A222" s="44"/>
      <c r="B222" s="6"/>
      <c r="C222" s="6"/>
      <c r="D222" s="6"/>
      <c r="E222" s="6"/>
      <c r="F222" s="40"/>
      <c r="G222" s="41"/>
      <c r="H222" s="35" t="str">
        <f aca="false">IF($B222="","",N($F222)*N($G222))</f>
        <v/>
      </c>
      <c r="I222" s="35" t="str">
        <f aca="false">IF($B222="","",N($F222)+$H222)</f>
        <v/>
      </c>
      <c r="J222" s="6"/>
      <c r="K222" s="46" t="str">
        <f aca="false">IF($A222="","",DATE(YEAR($A222),MONTH($A222),1))</f>
        <v/>
      </c>
    </row>
    <row r="223" customFormat="false" ht="15" hidden="false" customHeight="false" outlineLevel="0" collapsed="false">
      <c r="A223" s="44"/>
      <c r="B223" s="6"/>
      <c r="C223" s="6"/>
      <c r="D223" s="6"/>
      <c r="E223" s="6"/>
      <c r="F223" s="40"/>
      <c r="G223" s="41"/>
      <c r="H223" s="35" t="str">
        <f aca="false">IF($B223="","",N($F223)*N($G223))</f>
        <v/>
      </c>
      <c r="I223" s="35" t="str">
        <f aca="false">IF($B223="","",N($F223)+$H223)</f>
        <v/>
      </c>
      <c r="J223" s="6"/>
      <c r="K223" s="46" t="str">
        <f aca="false">IF($A223="","",DATE(YEAR($A223),MONTH($A223),1))</f>
        <v/>
      </c>
    </row>
    <row r="224" customFormat="false" ht="15" hidden="false" customHeight="false" outlineLevel="0" collapsed="false">
      <c r="A224" s="44"/>
      <c r="B224" s="6"/>
      <c r="C224" s="6"/>
      <c r="D224" s="6"/>
      <c r="E224" s="6"/>
      <c r="F224" s="40"/>
      <c r="G224" s="41"/>
      <c r="H224" s="35" t="str">
        <f aca="false">IF($B224="","",N($F224)*N($G224))</f>
        <v/>
      </c>
      <c r="I224" s="35" t="str">
        <f aca="false">IF($B224="","",N($F224)+$H224)</f>
        <v/>
      </c>
      <c r="J224" s="6"/>
      <c r="K224" s="46" t="str">
        <f aca="false">IF($A224="","",DATE(YEAR($A224),MONTH($A224),1))</f>
        <v/>
      </c>
    </row>
    <row r="225" customFormat="false" ht="15" hidden="false" customHeight="false" outlineLevel="0" collapsed="false">
      <c r="A225" s="44"/>
      <c r="B225" s="6"/>
      <c r="C225" s="6"/>
      <c r="D225" s="6"/>
      <c r="E225" s="6"/>
      <c r="F225" s="40"/>
      <c r="G225" s="41"/>
      <c r="H225" s="35" t="str">
        <f aca="false">IF($B225="","",N($F225)*N($G225))</f>
        <v/>
      </c>
      <c r="I225" s="35" t="str">
        <f aca="false">IF($B225="","",N($F225)+$H225)</f>
        <v/>
      </c>
      <c r="J225" s="6"/>
      <c r="K225" s="46" t="str">
        <f aca="false">IF($A225="","",DATE(YEAR($A225),MONTH($A225),1))</f>
        <v/>
      </c>
    </row>
    <row r="226" customFormat="false" ht="15" hidden="false" customHeight="false" outlineLevel="0" collapsed="false">
      <c r="A226" s="44"/>
      <c r="B226" s="6"/>
      <c r="C226" s="6"/>
      <c r="D226" s="6"/>
      <c r="E226" s="6"/>
      <c r="F226" s="40"/>
      <c r="G226" s="41"/>
      <c r="H226" s="35" t="str">
        <f aca="false">IF($B226="","",N($F226)*N($G226))</f>
        <v/>
      </c>
      <c r="I226" s="35" t="str">
        <f aca="false">IF($B226="","",N($F226)+$H226)</f>
        <v/>
      </c>
      <c r="J226" s="6"/>
      <c r="K226" s="46" t="str">
        <f aca="false">IF($A226="","",DATE(YEAR($A226),MONTH($A226),1))</f>
        <v/>
      </c>
    </row>
    <row r="227" customFormat="false" ht="15" hidden="false" customHeight="false" outlineLevel="0" collapsed="false">
      <c r="A227" s="44"/>
      <c r="B227" s="6"/>
      <c r="C227" s="6"/>
      <c r="D227" s="6"/>
      <c r="E227" s="6"/>
      <c r="F227" s="40"/>
      <c r="G227" s="41"/>
      <c r="H227" s="35" t="str">
        <f aca="false">IF($B227="","",N($F227)*N($G227))</f>
        <v/>
      </c>
      <c r="I227" s="35" t="str">
        <f aca="false">IF($B227="","",N($F227)+$H227)</f>
        <v/>
      </c>
      <c r="J227" s="6"/>
      <c r="K227" s="46" t="str">
        <f aca="false">IF($A227="","",DATE(YEAR($A227),MONTH($A227),1))</f>
        <v/>
      </c>
    </row>
    <row r="228" customFormat="false" ht="15" hidden="false" customHeight="false" outlineLevel="0" collapsed="false">
      <c r="A228" s="44"/>
      <c r="B228" s="6"/>
      <c r="C228" s="6"/>
      <c r="D228" s="6"/>
      <c r="E228" s="6"/>
      <c r="F228" s="40"/>
      <c r="G228" s="41"/>
      <c r="H228" s="35" t="str">
        <f aca="false">IF($B228="","",N($F228)*N($G228))</f>
        <v/>
      </c>
      <c r="I228" s="35" t="str">
        <f aca="false">IF($B228="","",N($F228)+$H228)</f>
        <v/>
      </c>
      <c r="J228" s="6"/>
      <c r="K228" s="46" t="str">
        <f aca="false">IF($A228="","",DATE(YEAR($A228),MONTH($A228),1))</f>
        <v/>
      </c>
    </row>
    <row r="229" customFormat="false" ht="15" hidden="false" customHeight="false" outlineLevel="0" collapsed="false">
      <c r="A229" s="44"/>
      <c r="B229" s="6"/>
      <c r="C229" s="6"/>
      <c r="D229" s="6"/>
      <c r="E229" s="6"/>
      <c r="F229" s="40"/>
      <c r="G229" s="41"/>
      <c r="H229" s="35" t="str">
        <f aca="false">IF($B229="","",N($F229)*N($G229))</f>
        <v/>
      </c>
      <c r="I229" s="35" t="str">
        <f aca="false">IF($B229="","",N($F229)+$H229)</f>
        <v/>
      </c>
      <c r="J229" s="6"/>
      <c r="K229" s="46" t="str">
        <f aca="false">IF($A229="","",DATE(YEAR($A229),MONTH($A229),1))</f>
        <v/>
      </c>
    </row>
    <row r="230" customFormat="false" ht="15" hidden="false" customHeight="false" outlineLevel="0" collapsed="false">
      <c r="A230" s="44"/>
      <c r="B230" s="6"/>
      <c r="C230" s="6"/>
      <c r="D230" s="6"/>
      <c r="E230" s="6"/>
      <c r="F230" s="40"/>
      <c r="G230" s="41"/>
      <c r="H230" s="35" t="str">
        <f aca="false">IF($B230="","",N($F230)*N($G230))</f>
        <v/>
      </c>
      <c r="I230" s="35" t="str">
        <f aca="false">IF($B230="","",N($F230)+$H230)</f>
        <v/>
      </c>
      <c r="J230" s="6"/>
      <c r="K230" s="46" t="str">
        <f aca="false">IF($A230="","",DATE(YEAR($A230),MONTH($A230),1))</f>
        <v/>
      </c>
    </row>
    <row r="231" customFormat="false" ht="15" hidden="false" customHeight="false" outlineLevel="0" collapsed="false">
      <c r="A231" s="44"/>
      <c r="B231" s="6"/>
      <c r="C231" s="6"/>
      <c r="D231" s="6"/>
      <c r="E231" s="6"/>
      <c r="F231" s="40"/>
      <c r="G231" s="41"/>
      <c r="H231" s="35" t="str">
        <f aca="false">IF($B231="","",N($F231)*N($G231))</f>
        <v/>
      </c>
      <c r="I231" s="35" t="str">
        <f aca="false">IF($B231="","",N($F231)+$H231)</f>
        <v/>
      </c>
      <c r="J231" s="6"/>
      <c r="K231" s="46" t="str">
        <f aca="false">IF($A231="","",DATE(YEAR($A231),MONTH($A231),1))</f>
        <v/>
      </c>
    </row>
    <row r="232" customFormat="false" ht="15" hidden="false" customHeight="false" outlineLevel="0" collapsed="false">
      <c r="A232" s="44"/>
      <c r="B232" s="6"/>
      <c r="C232" s="6"/>
      <c r="D232" s="6"/>
      <c r="E232" s="6"/>
      <c r="F232" s="40"/>
      <c r="G232" s="41"/>
      <c r="H232" s="35" t="str">
        <f aca="false">IF($B232="","",N($F232)*N($G232))</f>
        <v/>
      </c>
      <c r="I232" s="35" t="str">
        <f aca="false">IF($B232="","",N($F232)+$H232)</f>
        <v/>
      </c>
      <c r="J232" s="6"/>
      <c r="K232" s="46" t="str">
        <f aca="false">IF($A232="","",DATE(YEAR($A232),MONTH($A232),1))</f>
        <v/>
      </c>
    </row>
    <row r="233" customFormat="false" ht="15" hidden="false" customHeight="false" outlineLevel="0" collapsed="false">
      <c r="A233" s="44"/>
      <c r="B233" s="6"/>
      <c r="C233" s="6"/>
      <c r="D233" s="6"/>
      <c r="E233" s="6"/>
      <c r="F233" s="40"/>
      <c r="G233" s="41"/>
      <c r="H233" s="35" t="str">
        <f aca="false">IF($B233="","",N($F233)*N($G233))</f>
        <v/>
      </c>
      <c r="I233" s="35" t="str">
        <f aca="false">IF($B233="","",N($F233)+$H233)</f>
        <v/>
      </c>
      <c r="J233" s="6"/>
      <c r="K233" s="46" t="str">
        <f aca="false">IF($A233="","",DATE(YEAR($A233),MONTH($A233),1))</f>
        <v/>
      </c>
    </row>
    <row r="234" customFormat="false" ht="15" hidden="false" customHeight="false" outlineLevel="0" collapsed="false">
      <c r="A234" s="44"/>
      <c r="B234" s="6"/>
      <c r="C234" s="6"/>
      <c r="D234" s="6"/>
      <c r="E234" s="6"/>
      <c r="F234" s="40"/>
      <c r="G234" s="41"/>
      <c r="H234" s="35" t="str">
        <f aca="false">IF($B234="","",N($F234)*N($G234))</f>
        <v/>
      </c>
      <c r="I234" s="35" t="str">
        <f aca="false">IF($B234="","",N($F234)+$H234)</f>
        <v/>
      </c>
      <c r="J234" s="6"/>
      <c r="K234" s="46" t="str">
        <f aca="false">IF($A234="","",DATE(YEAR($A234),MONTH($A234),1))</f>
        <v/>
      </c>
    </row>
    <row r="235" customFormat="false" ht="15" hidden="false" customHeight="false" outlineLevel="0" collapsed="false">
      <c r="A235" s="44"/>
      <c r="B235" s="6"/>
      <c r="C235" s="6"/>
      <c r="D235" s="6"/>
      <c r="E235" s="6"/>
      <c r="F235" s="40"/>
      <c r="G235" s="41"/>
      <c r="H235" s="35" t="str">
        <f aca="false">IF($B235="","",N($F235)*N($G235))</f>
        <v/>
      </c>
      <c r="I235" s="35" t="str">
        <f aca="false">IF($B235="","",N($F235)+$H235)</f>
        <v/>
      </c>
      <c r="J235" s="6"/>
      <c r="K235" s="46" t="str">
        <f aca="false">IF($A235="","",DATE(YEAR($A235),MONTH($A235),1))</f>
        <v/>
      </c>
    </row>
    <row r="236" customFormat="false" ht="15" hidden="false" customHeight="false" outlineLevel="0" collapsed="false">
      <c r="A236" s="44"/>
      <c r="B236" s="6"/>
      <c r="C236" s="6"/>
      <c r="D236" s="6"/>
      <c r="E236" s="6"/>
      <c r="F236" s="40"/>
      <c r="G236" s="41"/>
      <c r="H236" s="35" t="str">
        <f aca="false">IF($B236="","",N($F236)*N($G236))</f>
        <v/>
      </c>
      <c r="I236" s="35" t="str">
        <f aca="false">IF($B236="","",N($F236)+$H236)</f>
        <v/>
      </c>
      <c r="J236" s="6"/>
      <c r="K236" s="46" t="str">
        <f aca="false">IF($A236="","",DATE(YEAR($A236),MONTH($A236),1))</f>
        <v/>
      </c>
    </row>
    <row r="237" customFormat="false" ht="15" hidden="false" customHeight="false" outlineLevel="0" collapsed="false">
      <c r="A237" s="44"/>
      <c r="B237" s="6"/>
      <c r="C237" s="6"/>
      <c r="D237" s="6"/>
      <c r="E237" s="6"/>
      <c r="F237" s="40"/>
      <c r="G237" s="41"/>
      <c r="H237" s="35" t="str">
        <f aca="false">IF($B237="","",N($F237)*N($G237))</f>
        <v/>
      </c>
      <c r="I237" s="35" t="str">
        <f aca="false">IF($B237="","",N($F237)+$H237)</f>
        <v/>
      </c>
      <c r="J237" s="6"/>
      <c r="K237" s="46" t="str">
        <f aca="false">IF($A237="","",DATE(YEAR($A237),MONTH($A237),1))</f>
        <v/>
      </c>
    </row>
    <row r="238" customFormat="false" ht="15" hidden="false" customHeight="false" outlineLevel="0" collapsed="false">
      <c r="A238" s="44"/>
      <c r="B238" s="6"/>
      <c r="C238" s="6"/>
      <c r="D238" s="6"/>
      <c r="E238" s="6"/>
      <c r="F238" s="40"/>
      <c r="G238" s="41"/>
      <c r="H238" s="35" t="str">
        <f aca="false">IF($B238="","",N($F238)*N($G238))</f>
        <v/>
      </c>
      <c r="I238" s="35" t="str">
        <f aca="false">IF($B238="","",N($F238)+$H238)</f>
        <v/>
      </c>
      <c r="J238" s="6"/>
      <c r="K238" s="46" t="str">
        <f aca="false">IF($A238="","",DATE(YEAR($A238),MONTH($A238),1))</f>
        <v/>
      </c>
    </row>
    <row r="239" customFormat="false" ht="15" hidden="false" customHeight="false" outlineLevel="0" collapsed="false">
      <c r="A239" s="44"/>
      <c r="B239" s="6"/>
      <c r="C239" s="6"/>
      <c r="D239" s="6"/>
      <c r="E239" s="6"/>
      <c r="F239" s="40"/>
      <c r="G239" s="41"/>
      <c r="H239" s="35" t="str">
        <f aca="false">IF($B239="","",N($F239)*N($G239))</f>
        <v/>
      </c>
      <c r="I239" s="35" t="str">
        <f aca="false">IF($B239="","",N($F239)+$H239)</f>
        <v/>
      </c>
      <c r="J239" s="6"/>
      <c r="K239" s="46" t="str">
        <f aca="false">IF($A239="","",DATE(YEAR($A239),MONTH($A239),1))</f>
        <v/>
      </c>
    </row>
    <row r="240" customFormat="false" ht="15" hidden="false" customHeight="false" outlineLevel="0" collapsed="false">
      <c r="A240" s="44"/>
      <c r="B240" s="6"/>
      <c r="C240" s="6"/>
      <c r="D240" s="6"/>
      <c r="E240" s="6"/>
      <c r="F240" s="40"/>
      <c r="G240" s="41"/>
      <c r="H240" s="35" t="str">
        <f aca="false">IF($B240="","",N($F240)*N($G240))</f>
        <v/>
      </c>
      <c r="I240" s="35" t="str">
        <f aca="false">IF($B240="","",N($F240)+$H240)</f>
        <v/>
      </c>
      <c r="J240" s="6"/>
      <c r="K240" s="46" t="str">
        <f aca="false">IF($A240="","",DATE(YEAR($A240),MONTH($A240),1))</f>
        <v/>
      </c>
    </row>
    <row r="241" customFormat="false" ht="15" hidden="false" customHeight="false" outlineLevel="0" collapsed="false">
      <c r="A241" s="44"/>
      <c r="B241" s="6"/>
      <c r="C241" s="6"/>
      <c r="D241" s="6"/>
      <c r="E241" s="6"/>
      <c r="F241" s="40"/>
      <c r="G241" s="41"/>
      <c r="H241" s="35" t="str">
        <f aca="false">IF($B241="","",N($F241)*N($G241))</f>
        <v/>
      </c>
      <c r="I241" s="35" t="str">
        <f aca="false">IF($B241="","",N($F241)+$H241)</f>
        <v/>
      </c>
      <c r="J241" s="6"/>
      <c r="K241" s="46" t="str">
        <f aca="false">IF($A241="","",DATE(YEAR($A241),MONTH($A241),1))</f>
        <v/>
      </c>
    </row>
    <row r="242" customFormat="false" ht="15" hidden="false" customHeight="false" outlineLevel="0" collapsed="false">
      <c r="A242" s="44"/>
      <c r="B242" s="6"/>
      <c r="C242" s="6"/>
      <c r="D242" s="6"/>
      <c r="E242" s="6"/>
      <c r="F242" s="40"/>
      <c r="G242" s="41"/>
      <c r="H242" s="35" t="str">
        <f aca="false">IF($B242="","",N($F242)*N($G242))</f>
        <v/>
      </c>
      <c r="I242" s="35" t="str">
        <f aca="false">IF($B242="","",N($F242)+$H242)</f>
        <v/>
      </c>
      <c r="J242" s="6"/>
      <c r="K242" s="46" t="str">
        <f aca="false">IF($A242="","",DATE(YEAR($A242),MONTH($A242),1))</f>
        <v/>
      </c>
    </row>
    <row r="243" customFormat="false" ht="15" hidden="false" customHeight="false" outlineLevel="0" collapsed="false">
      <c r="A243" s="44"/>
      <c r="B243" s="6"/>
      <c r="C243" s="6"/>
      <c r="D243" s="6"/>
      <c r="E243" s="6"/>
      <c r="F243" s="40"/>
      <c r="G243" s="41"/>
      <c r="H243" s="35" t="str">
        <f aca="false">IF($B243="","",N($F243)*N($G243))</f>
        <v/>
      </c>
      <c r="I243" s="35" t="str">
        <f aca="false">IF($B243="","",N($F243)+$H243)</f>
        <v/>
      </c>
      <c r="J243" s="6"/>
      <c r="K243" s="46" t="str">
        <f aca="false">IF($A243="","",DATE(YEAR($A243),MONTH($A243),1))</f>
        <v/>
      </c>
    </row>
    <row r="244" customFormat="false" ht="15" hidden="false" customHeight="false" outlineLevel="0" collapsed="false">
      <c r="A244" s="44"/>
      <c r="B244" s="6"/>
      <c r="C244" s="6"/>
      <c r="D244" s="6"/>
      <c r="E244" s="6"/>
      <c r="F244" s="40"/>
      <c r="G244" s="41"/>
      <c r="H244" s="35" t="str">
        <f aca="false">IF($B244="","",N($F244)*N($G244))</f>
        <v/>
      </c>
      <c r="I244" s="35" t="str">
        <f aca="false">IF($B244="","",N($F244)+$H244)</f>
        <v/>
      </c>
      <c r="J244" s="6"/>
      <c r="K244" s="46" t="str">
        <f aca="false">IF($A244="","",DATE(YEAR($A244),MONTH($A244),1))</f>
        <v/>
      </c>
    </row>
    <row r="245" customFormat="false" ht="15" hidden="false" customHeight="false" outlineLevel="0" collapsed="false">
      <c r="A245" s="44"/>
      <c r="B245" s="6"/>
      <c r="C245" s="6"/>
      <c r="D245" s="6"/>
      <c r="E245" s="6"/>
      <c r="F245" s="40"/>
      <c r="G245" s="41"/>
      <c r="H245" s="35" t="str">
        <f aca="false">IF($B245="","",N($F245)*N($G245))</f>
        <v/>
      </c>
      <c r="I245" s="35" t="str">
        <f aca="false">IF($B245="","",N($F245)+$H245)</f>
        <v/>
      </c>
      <c r="J245" s="6"/>
      <c r="K245" s="46" t="str">
        <f aca="false">IF($A245="","",DATE(YEAR($A245),MONTH($A245),1))</f>
        <v/>
      </c>
    </row>
    <row r="246" customFormat="false" ht="15" hidden="false" customHeight="false" outlineLevel="0" collapsed="false">
      <c r="A246" s="44"/>
      <c r="B246" s="6"/>
      <c r="C246" s="6"/>
      <c r="D246" s="6"/>
      <c r="E246" s="6"/>
      <c r="F246" s="40"/>
      <c r="G246" s="41"/>
      <c r="H246" s="35" t="str">
        <f aca="false">IF($B246="","",N($F246)*N($G246))</f>
        <v/>
      </c>
      <c r="I246" s="35" t="str">
        <f aca="false">IF($B246="","",N($F246)+$H246)</f>
        <v/>
      </c>
      <c r="J246" s="6"/>
      <c r="K246" s="46" t="str">
        <f aca="false">IF($A246="","",DATE(YEAR($A246),MONTH($A246),1))</f>
        <v/>
      </c>
    </row>
    <row r="247" customFormat="false" ht="15" hidden="false" customHeight="false" outlineLevel="0" collapsed="false">
      <c r="A247" s="44"/>
      <c r="B247" s="6"/>
      <c r="C247" s="6"/>
      <c r="D247" s="6"/>
      <c r="E247" s="6"/>
      <c r="F247" s="40"/>
      <c r="G247" s="41"/>
      <c r="H247" s="35" t="str">
        <f aca="false">IF($B247="","",N($F247)*N($G247))</f>
        <v/>
      </c>
      <c r="I247" s="35" t="str">
        <f aca="false">IF($B247="","",N($F247)+$H247)</f>
        <v/>
      </c>
      <c r="J247" s="6"/>
      <c r="K247" s="46" t="str">
        <f aca="false">IF($A247="","",DATE(YEAR($A247),MONTH($A247),1))</f>
        <v/>
      </c>
    </row>
    <row r="248" customFormat="false" ht="15" hidden="false" customHeight="false" outlineLevel="0" collapsed="false">
      <c r="A248" s="44"/>
      <c r="B248" s="6"/>
      <c r="C248" s="6"/>
      <c r="D248" s="6"/>
      <c r="E248" s="6"/>
      <c r="F248" s="40"/>
      <c r="G248" s="41"/>
      <c r="H248" s="35" t="str">
        <f aca="false">IF($B248="","",N($F248)*N($G248))</f>
        <v/>
      </c>
      <c r="I248" s="35" t="str">
        <f aca="false">IF($B248="","",N($F248)+$H248)</f>
        <v/>
      </c>
      <c r="J248" s="6"/>
      <c r="K248" s="46" t="str">
        <f aca="false">IF($A248="","",DATE(YEAR($A248),MONTH($A248),1))</f>
        <v/>
      </c>
    </row>
    <row r="249" customFormat="false" ht="15" hidden="false" customHeight="false" outlineLevel="0" collapsed="false">
      <c r="A249" s="44"/>
      <c r="B249" s="6"/>
      <c r="C249" s="6"/>
      <c r="D249" s="6"/>
      <c r="E249" s="6"/>
      <c r="F249" s="40"/>
      <c r="G249" s="41"/>
      <c r="H249" s="35" t="str">
        <f aca="false">IF($B249="","",N($F249)*N($G249))</f>
        <v/>
      </c>
      <c r="I249" s="35" t="str">
        <f aca="false">IF($B249="","",N($F249)+$H249)</f>
        <v/>
      </c>
      <c r="J249" s="6"/>
      <c r="K249" s="46" t="str">
        <f aca="false">IF($A249="","",DATE(YEAR($A249),MONTH($A249),1))</f>
        <v/>
      </c>
    </row>
    <row r="250" customFormat="false" ht="15" hidden="false" customHeight="false" outlineLevel="0" collapsed="false">
      <c r="A250" s="44"/>
      <c r="B250" s="6"/>
      <c r="C250" s="6"/>
      <c r="D250" s="6"/>
      <c r="E250" s="6"/>
      <c r="F250" s="40"/>
      <c r="G250" s="41"/>
      <c r="H250" s="35" t="str">
        <f aca="false">IF($B250="","",N($F250)*N($G250))</f>
        <v/>
      </c>
      <c r="I250" s="35" t="str">
        <f aca="false">IF($B250="","",N($F250)+$H250)</f>
        <v/>
      </c>
      <c r="J250" s="6"/>
      <c r="K250" s="46" t="str">
        <f aca="false">IF($A250="","",DATE(YEAR($A250),MONTH($A250),1))</f>
        <v/>
      </c>
    </row>
    <row r="251" customFormat="false" ht="15" hidden="false" customHeight="false" outlineLevel="0" collapsed="false">
      <c r="A251" s="44"/>
      <c r="B251" s="6"/>
      <c r="C251" s="6"/>
      <c r="D251" s="6"/>
      <c r="E251" s="6"/>
      <c r="F251" s="40"/>
      <c r="G251" s="41"/>
      <c r="H251" s="35" t="str">
        <f aca="false">IF($B251="","",N($F251)*N($G251))</f>
        <v/>
      </c>
      <c r="I251" s="35" t="str">
        <f aca="false">IF($B251="","",N($F251)+$H251)</f>
        <v/>
      </c>
      <c r="J251" s="6"/>
      <c r="K251" s="46" t="str">
        <f aca="false">IF($A251="","",DATE(YEAR($A251),MONTH($A251),1))</f>
        <v/>
      </c>
    </row>
    <row r="252" customFormat="false" ht="15" hidden="false" customHeight="false" outlineLevel="0" collapsed="false">
      <c r="A252" s="44"/>
      <c r="B252" s="6"/>
      <c r="C252" s="6"/>
      <c r="D252" s="6"/>
      <c r="E252" s="6"/>
      <c r="F252" s="40"/>
      <c r="G252" s="41"/>
      <c r="H252" s="35" t="str">
        <f aca="false">IF($B252="","",N($F252)*N($G252))</f>
        <v/>
      </c>
      <c r="I252" s="35" t="str">
        <f aca="false">IF($B252="","",N($F252)+$H252)</f>
        <v/>
      </c>
      <c r="J252" s="6"/>
      <c r="K252" s="46" t="str">
        <f aca="false">IF($A252="","",DATE(YEAR($A252),MONTH($A252),1))</f>
        <v/>
      </c>
    </row>
    <row r="253" customFormat="false" ht="15" hidden="false" customHeight="false" outlineLevel="0" collapsed="false">
      <c r="A253" s="44"/>
      <c r="B253" s="6"/>
      <c r="C253" s="6"/>
      <c r="D253" s="6"/>
      <c r="E253" s="6"/>
      <c r="F253" s="40"/>
      <c r="G253" s="41"/>
      <c r="H253" s="35" t="str">
        <f aca="false">IF($B253="","",N($F253)*N($G253))</f>
        <v/>
      </c>
      <c r="I253" s="35" t="str">
        <f aca="false">IF($B253="","",N($F253)+$H253)</f>
        <v/>
      </c>
      <c r="J253" s="6"/>
      <c r="K253" s="46" t="str">
        <f aca="false">IF($A253="","",DATE(YEAR($A253),MONTH($A253),1))</f>
        <v/>
      </c>
    </row>
    <row r="254" customFormat="false" ht="15" hidden="false" customHeight="false" outlineLevel="0" collapsed="false">
      <c r="A254" s="44"/>
      <c r="B254" s="6"/>
      <c r="C254" s="6"/>
      <c r="D254" s="6"/>
      <c r="E254" s="6"/>
      <c r="F254" s="40"/>
      <c r="G254" s="41"/>
      <c r="H254" s="35" t="str">
        <f aca="false">IF($B254="","",N($F254)*N($G254))</f>
        <v/>
      </c>
      <c r="I254" s="35" t="str">
        <f aca="false">IF($B254="","",N($F254)+$H254)</f>
        <v/>
      </c>
      <c r="J254" s="6"/>
      <c r="K254" s="46" t="str">
        <f aca="false">IF($A254="","",DATE(YEAR($A254),MONTH($A254),1))</f>
        <v/>
      </c>
    </row>
    <row r="255" customFormat="false" ht="15" hidden="false" customHeight="false" outlineLevel="0" collapsed="false">
      <c r="A255" s="44"/>
      <c r="B255" s="6"/>
      <c r="C255" s="6"/>
      <c r="D255" s="6"/>
      <c r="E255" s="6"/>
      <c r="F255" s="40"/>
      <c r="G255" s="41"/>
      <c r="H255" s="35" t="str">
        <f aca="false">IF($B255="","",N($F255)*N($G255))</f>
        <v/>
      </c>
      <c r="I255" s="35" t="str">
        <f aca="false">IF($B255="","",N($F255)+$H255)</f>
        <v/>
      </c>
      <c r="J255" s="6"/>
      <c r="K255" s="46" t="str">
        <f aca="false">IF($A255="","",DATE(YEAR($A255),MONTH($A255),1))</f>
        <v/>
      </c>
    </row>
    <row r="256" customFormat="false" ht="15" hidden="false" customHeight="false" outlineLevel="0" collapsed="false">
      <c r="A256" s="44"/>
      <c r="B256" s="6"/>
      <c r="C256" s="6"/>
      <c r="D256" s="6"/>
      <c r="E256" s="6"/>
      <c r="F256" s="40"/>
      <c r="G256" s="41"/>
      <c r="H256" s="35" t="str">
        <f aca="false">IF($B256="","",N($F256)*N($G256))</f>
        <v/>
      </c>
      <c r="I256" s="35" t="str">
        <f aca="false">IF($B256="","",N($F256)+$H256)</f>
        <v/>
      </c>
      <c r="J256" s="6"/>
      <c r="K256" s="46" t="str">
        <f aca="false">IF($A256="","",DATE(YEAR($A256),MONTH($A256),1))</f>
        <v/>
      </c>
    </row>
    <row r="257" customFormat="false" ht="15" hidden="false" customHeight="false" outlineLevel="0" collapsed="false">
      <c r="A257" s="44"/>
      <c r="B257" s="6"/>
      <c r="C257" s="6"/>
      <c r="D257" s="6"/>
      <c r="E257" s="6"/>
      <c r="F257" s="40"/>
      <c r="G257" s="41"/>
      <c r="H257" s="35" t="str">
        <f aca="false">IF($B257="","",N($F257)*N($G257))</f>
        <v/>
      </c>
      <c r="I257" s="35" t="str">
        <f aca="false">IF($B257="","",N($F257)+$H257)</f>
        <v/>
      </c>
      <c r="J257" s="6"/>
      <c r="K257" s="46" t="str">
        <f aca="false">IF($A257="","",DATE(YEAR($A257),MONTH($A257),1))</f>
        <v/>
      </c>
    </row>
    <row r="258" customFormat="false" ht="15" hidden="false" customHeight="false" outlineLevel="0" collapsed="false">
      <c r="A258" s="44"/>
      <c r="B258" s="6"/>
      <c r="C258" s="6"/>
      <c r="D258" s="6"/>
      <c r="E258" s="6"/>
      <c r="F258" s="40"/>
      <c r="G258" s="41"/>
      <c r="H258" s="35" t="str">
        <f aca="false">IF($B258="","",N($F258)*N($G258))</f>
        <v/>
      </c>
      <c r="I258" s="35" t="str">
        <f aca="false">IF($B258="","",N($F258)+$H258)</f>
        <v/>
      </c>
      <c r="J258" s="6"/>
      <c r="K258" s="46" t="str">
        <f aca="false">IF($A258="","",DATE(YEAR($A258),MONTH($A258),1))</f>
        <v/>
      </c>
    </row>
    <row r="259" customFormat="false" ht="15" hidden="false" customHeight="false" outlineLevel="0" collapsed="false">
      <c r="A259" s="44"/>
      <c r="B259" s="6"/>
      <c r="C259" s="6"/>
      <c r="D259" s="6"/>
      <c r="E259" s="6"/>
      <c r="F259" s="40"/>
      <c r="G259" s="41"/>
      <c r="H259" s="35" t="str">
        <f aca="false">IF($B259="","",N($F259)*N($G259))</f>
        <v/>
      </c>
      <c r="I259" s="35" t="str">
        <f aca="false">IF($B259="","",N($F259)+$H259)</f>
        <v/>
      </c>
      <c r="J259" s="6"/>
      <c r="K259" s="46" t="str">
        <f aca="false">IF($A259="","",DATE(YEAR($A259),MONTH($A259),1))</f>
        <v/>
      </c>
    </row>
    <row r="260" customFormat="false" ht="15" hidden="false" customHeight="false" outlineLevel="0" collapsed="false">
      <c r="A260" s="44"/>
      <c r="B260" s="6"/>
      <c r="C260" s="6"/>
      <c r="D260" s="6"/>
      <c r="E260" s="6"/>
      <c r="F260" s="40"/>
      <c r="G260" s="41"/>
      <c r="H260" s="35" t="str">
        <f aca="false">IF($B260="","",N($F260)*N($G260))</f>
        <v/>
      </c>
      <c r="I260" s="35" t="str">
        <f aca="false">IF($B260="","",N($F260)+$H260)</f>
        <v/>
      </c>
      <c r="J260" s="6"/>
      <c r="K260" s="46" t="str">
        <f aca="false">IF($A260="","",DATE(YEAR($A260),MONTH($A260),1))</f>
        <v/>
      </c>
    </row>
    <row r="261" customFormat="false" ht="15" hidden="false" customHeight="false" outlineLevel="0" collapsed="false">
      <c r="A261" s="44"/>
      <c r="B261" s="6"/>
      <c r="C261" s="6"/>
      <c r="D261" s="6"/>
      <c r="E261" s="6"/>
      <c r="F261" s="40"/>
      <c r="G261" s="41"/>
      <c r="H261" s="35" t="str">
        <f aca="false">IF($B261="","",N($F261)*N($G261))</f>
        <v/>
      </c>
      <c r="I261" s="35" t="str">
        <f aca="false">IF($B261="","",N($F261)+$H261)</f>
        <v/>
      </c>
      <c r="J261" s="6"/>
      <c r="K261" s="46" t="str">
        <f aca="false">IF($A261="","",DATE(YEAR($A261),MONTH($A261),1))</f>
        <v/>
      </c>
    </row>
    <row r="262" customFormat="false" ht="15" hidden="false" customHeight="false" outlineLevel="0" collapsed="false">
      <c r="A262" s="44"/>
      <c r="B262" s="6"/>
      <c r="C262" s="6"/>
      <c r="D262" s="6"/>
      <c r="E262" s="6"/>
      <c r="F262" s="40"/>
      <c r="G262" s="41"/>
      <c r="H262" s="35" t="str">
        <f aca="false">IF($B262="","",N($F262)*N($G262))</f>
        <v/>
      </c>
      <c r="I262" s="35" t="str">
        <f aca="false">IF($B262="","",N($F262)+$H262)</f>
        <v/>
      </c>
      <c r="J262" s="6"/>
      <c r="K262" s="46" t="str">
        <f aca="false">IF($A262="","",DATE(YEAR($A262),MONTH($A262),1))</f>
        <v/>
      </c>
    </row>
    <row r="263" customFormat="false" ht="15" hidden="false" customHeight="false" outlineLevel="0" collapsed="false">
      <c r="A263" s="44"/>
      <c r="B263" s="6"/>
      <c r="C263" s="6"/>
      <c r="D263" s="6"/>
      <c r="E263" s="6"/>
      <c r="F263" s="40"/>
      <c r="G263" s="41"/>
      <c r="H263" s="35" t="str">
        <f aca="false">IF($B263="","",N($F263)*N($G263))</f>
        <v/>
      </c>
      <c r="I263" s="35" t="str">
        <f aca="false">IF($B263="","",N($F263)+$H263)</f>
        <v/>
      </c>
      <c r="J263" s="6"/>
      <c r="K263" s="46" t="str">
        <f aca="false">IF($A263="","",DATE(YEAR($A263),MONTH($A263),1))</f>
        <v/>
      </c>
    </row>
    <row r="264" customFormat="false" ht="15" hidden="false" customHeight="false" outlineLevel="0" collapsed="false">
      <c r="A264" s="44"/>
      <c r="B264" s="6"/>
      <c r="C264" s="6"/>
      <c r="D264" s="6"/>
      <c r="E264" s="6"/>
      <c r="F264" s="40"/>
      <c r="G264" s="41"/>
      <c r="H264" s="35" t="str">
        <f aca="false">IF($B264="","",N($F264)*N($G264))</f>
        <v/>
      </c>
      <c r="I264" s="35" t="str">
        <f aca="false">IF($B264="","",N($F264)+$H264)</f>
        <v/>
      </c>
      <c r="J264" s="6"/>
      <c r="K264" s="46" t="str">
        <f aca="false">IF($A264="","",DATE(YEAR($A264),MONTH($A264),1))</f>
        <v/>
      </c>
    </row>
    <row r="265" customFormat="false" ht="15" hidden="false" customHeight="false" outlineLevel="0" collapsed="false">
      <c r="A265" s="44"/>
      <c r="B265" s="6"/>
      <c r="C265" s="6"/>
      <c r="D265" s="6"/>
      <c r="E265" s="6"/>
      <c r="F265" s="40"/>
      <c r="G265" s="41"/>
      <c r="H265" s="35" t="str">
        <f aca="false">IF($B265="","",N($F265)*N($G265))</f>
        <v/>
      </c>
      <c r="I265" s="35" t="str">
        <f aca="false">IF($B265="","",N($F265)+$H265)</f>
        <v/>
      </c>
      <c r="J265" s="6"/>
      <c r="K265" s="46" t="str">
        <f aca="false">IF($A265="","",DATE(YEAR($A265),MONTH($A265),1))</f>
        <v/>
      </c>
    </row>
    <row r="266" customFormat="false" ht="15" hidden="false" customHeight="false" outlineLevel="0" collapsed="false">
      <c r="A266" s="44"/>
      <c r="B266" s="6"/>
      <c r="C266" s="6"/>
      <c r="D266" s="6"/>
      <c r="E266" s="6"/>
      <c r="F266" s="40"/>
      <c r="G266" s="41"/>
      <c r="H266" s="35" t="str">
        <f aca="false">IF($B266="","",N($F266)*N($G266))</f>
        <v/>
      </c>
      <c r="I266" s="35" t="str">
        <f aca="false">IF($B266="","",N($F266)+$H266)</f>
        <v/>
      </c>
      <c r="J266" s="6"/>
      <c r="K266" s="46" t="str">
        <f aca="false">IF($A266="","",DATE(YEAR($A266),MONTH($A266),1))</f>
        <v/>
      </c>
    </row>
    <row r="267" customFormat="false" ht="15" hidden="false" customHeight="false" outlineLevel="0" collapsed="false">
      <c r="A267" s="44"/>
      <c r="B267" s="6"/>
      <c r="C267" s="6"/>
      <c r="D267" s="6"/>
      <c r="E267" s="6"/>
      <c r="F267" s="40"/>
      <c r="G267" s="41"/>
      <c r="H267" s="35" t="str">
        <f aca="false">IF($B267="","",N($F267)*N($G267))</f>
        <v/>
      </c>
      <c r="I267" s="35" t="str">
        <f aca="false">IF($B267="","",N($F267)+$H267)</f>
        <v/>
      </c>
      <c r="J267" s="6"/>
      <c r="K267" s="46" t="str">
        <f aca="false">IF($A267="","",DATE(YEAR($A267),MONTH($A267),1))</f>
        <v/>
      </c>
    </row>
    <row r="268" customFormat="false" ht="15" hidden="false" customHeight="false" outlineLevel="0" collapsed="false">
      <c r="A268" s="44"/>
      <c r="B268" s="6"/>
      <c r="C268" s="6"/>
      <c r="D268" s="6"/>
      <c r="E268" s="6"/>
      <c r="F268" s="40"/>
      <c r="G268" s="41"/>
      <c r="H268" s="35" t="str">
        <f aca="false">IF($B268="","",N($F268)*N($G268))</f>
        <v/>
      </c>
      <c r="I268" s="35" t="str">
        <f aca="false">IF($B268="","",N($F268)+$H268)</f>
        <v/>
      </c>
      <c r="J268" s="6"/>
      <c r="K268" s="46" t="str">
        <f aca="false">IF($A268="","",DATE(YEAR($A268),MONTH($A268),1))</f>
        <v/>
      </c>
    </row>
    <row r="269" customFormat="false" ht="15" hidden="false" customHeight="false" outlineLevel="0" collapsed="false">
      <c r="A269" s="44"/>
      <c r="B269" s="6"/>
      <c r="C269" s="6"/>
      <c r="D269" s="6"/>
      <c r="E269" s="6"/>
      <c r="F269" s="40"/>
      <c r="G269" s="41"/>
      <c r="H269" s="35" t="str">
        <f aca="false">IF($B269="","",N($F269)*N($G269))</f>
        <v/>
      </c>
      <c r="I269" s="35" t="str">
        <f aca="false">IF($B269="","",N($F269)+$H269)</f>
        <v/>
      </c>
      <c r="J269" s="6"/>
      <c r="K269" s="46" t="str">
        <f aca="false">IF($A269="","",DATE(YEAR($A269),MONTH($A269),1))</f>
        <v/>
      </c>
    </row>
    <row r="270" customFormat="false" ht="15" hidden="false" customHeight="false" outlineLevel="0" collapsed="false">
      <c r="A270" s="44"/>
      <c r="B270" s="6"/>
      <c r="C270" s="6"/>
      <c r="D270" s="6"/>
      <c r="E270" s="6"/>
      <c r="F270" s="40"/>
      <c r="G270" s="41"/>
      <c r="H270" s="35" t="str">
        <f aca="false">IF($B270="","",N($F270)*N($G270))</f>
        <v/>
      </c>
      <c r="I270" s="35" t="str">
        <f aca="false">IF($B270="","",N($F270)+$H270)</f>
        <v/>
      </c>
      <c r="J270" s="6"/>
      <c r="K270" s="46" t="str">
        <f aca="false">IF($A270="","",DATE(YEAR($A270),MONTH($A270),1))</f>
        <v/>
      </c>
    </row>
    <row r="271" customFormat="false" ht="15" hidden="false" customHeight="false" outlineLevel="0" collapsed="false">
      <c r="A271" s="44"/>
      <c r="B271" s="6"/>
      <c r="C271" s="6"/>
      <c r="D271" s="6"/>
      <c r="E271" s="6"/>
      <c r="F271" s="40"/>
      <c r="G271" s="41"/>
      <c r="H271" s="35" t="str">
        <f aca="false">IF($B271="","",N($F271)*N($G271))</f>
        <v/>
      </c>
      <c r="I271" s="35" t="str">
        <f aca="false">IF($B271="","",N($F271)+$H271)</f>
        <v/>
      </c>
      <c r="J271" s="6"/>
      <c r="K271" s="46" t="str">
        <f aca="false">IF($A271="","",DATE(YEAR($A271),MONTH($A271),1))</f>
        <v/>
      </c>
    </row>
    <row r="272" customFormat="false" ht="15" hidden="false" customHeight="false" outlineLevel="0" collapsed="false">
      <c r="A272" s="44"/>
      <c r="B272" s="6"/>
      <c r="C272" s="6"/>
      <c r="D272" s="6"/>
      <c r="E272" s="6"/>
      <c r="F272" s="40"/>
      <c r="G272" s="41"/>
      <c r="H272" s="35" t="str">
        <f aca="false">IF($B272="","",N($F272)*N($G272))</f>
        <v/>
      </c>
      <c r="I272" s="35" t="str">
        <f aca="false">IF($B272="","",N($F272)+$H272)</f>
        <v/>
      </c>
      <c r="J272" s="6"/>
      <c r="K272" s="46" t="str">
        <f aca="false">IF($A272="","",DATE(YEAR($A272),MONTH($A272),1))</f>
        <v/>
      </c>
    </row>
    <row r="273" customFormat="false" ht="15" hidden="false" customHeight="false" outlineLevel="0" collapsed="false">
      <c r="A273" s="44"/>
      <c r="B273" s="6"/>
      <c r="C273" s="6"/>
      <c r="D273" s="6"/>
      <c r="E273" s="6"/>
      <c r="F273" s="40"/>
      <c r="G273" s="41"/>
      <c r="H273" s="35" t="str">
        <f aca="false">IF($B273="","",N($F273)*N($G273))</f>
        <v/>
      </c>
      <c r="I273" s="35" t="str">
        <f aca="false">IF($B273="","",N($F273)+$H273)</f>
        <v/>
      </c>
      <c r="J273" s="6"/>
      <c r="K273" s="46" t="str">
        <f aca="false">IF($A273="","",DATE(YEAR($A273),MONTH($A273),1))</f>
        <v/>
      </c>
    </row>
    <row r="274" customFormat="false" ht="15" hidden="false" customHeight="false" outlineLevel="0" collapsed="false">
      <c r="A274" s="44"/>
      <c r="B274" s="6"/>
      <c r="C274" s="6"/>
      <c r="D274" s="6"/>
      <c r="E274" s="6"/>
      <c r="F274" s="40"/>
      <c r="G274" s="41"/>
      <c r="H274" s="35" t="str">
        <f aca="false">IF($B274="","",N($F274)*N($G274))</f>
        <v/>
      </c>
      <c r="I274" s="35" t="str">
        <f aca="false">IF($B274="","",N($F274)+$H274)</f>
        <v/>
      </c>
      <c r="J274" s="6"/>
      <c r="K274" s="46" t="str">
        <f aca="false">IF($A274="","",DATE(YEAR($A274),MONTH($A274),1))</f>
        <v/>
      </c>
    </row>
    <row r="275" customFormat="false" ht="15" hidden="false" customHeight="false" outlineLevel="0" collapsed="false">
      <c r="A275" s="44"/>
      <c r="B275" s="6"/>
      <c r="C275" s="6"/>
      <c r="D275" s="6"/>
      <c r="E275" s="6"/>
      <c r="F275" s="40"/>
      <c r="G275" s="41"/>
      <c r="H275" s="35" t="str">
        <f aca="false">IF($B275="","",N($F275)*N($G275))</f>
        <v/>
      </c>
      <c r="I275" s="35" t="str">
        <f aca="false">IF($B275="","",N($F275)+$H275)</f>
        <v/>
      </c>
      <c r="J275" s="6"/>
      <c r="K275" s="46" t="str">
        <f aca="false">IF($A275="","",DATE(YEAR($A275),MONTH($A275),1))</f>
        <v/>
      </c>
    </row>
    <row r="276" customFormat="false" ht="15" hidden="false" customHeight="false" outlineLevel="0" collapsed="false">
      <c r="A276" s="44"/>
      <c r="B276" s="6"/>
      <c r="C276" s="6"/>
      <c r="D276" s="6"/>
      <c r="E276" s="6"/>
      <c r="F276" s="40"/>
      <c r="G276" s="41"/>
      <c r="H276" s="35" t="str">
        <f aca="false">IF($B276="","",N($F276)*N($G276))</f>
        <v/>
      </c>
      <c r="I276" s="35" t="str">
        <f aca="false">IF($B276="","",N($F276)+$H276)</f>
        <v/>
      </c>
      <c r="J276" s="6"/>
      <c r="K276" s="46" t="str">
        <f aca="false">IF($A276="","",DATE(YEAR($A276),MONTH($A276),1))</f>
        <v/>
      </c>
    </row>
    <row r="277" customFormat="false" ht="15" hidden="false" customHeight="false" outlineLevel="0" collapsed="false">
      <c r="A277" s="44"/>
      <c r="B277" s="6"/>
      <c r="C277" s="6"/>
      <c r="D277" s="6"/>
      <c r="E277" s="6"/>
      <c r="F277" s="40"/>
      <c r="G277" s="41"/>
      <c r="H277" s="35" t="str">
        <f aca="false">IF($B277="","",N($F277)*N($G277))</f>
        <v/>
      </c>
      <c r="I277" s="35" t="str">
        <f aca="false">IF($B277="","",N($F277)+$H277)</f>
        <v/>
      </c>
      <c r="J277" s="6"/>
      <c r="K277" s="46" t="str">
        <f aca="false">IF($A277="","",DATE(YEAR($A277),MONTH($A277),1))</f>
        <v/>
      </c>
    </row>
    <row r="278" customFormat="false" ht="15" hidden="false" customHeight="false" outlineLevel="0" collapsed="false">
      <c r="A278" s="44"/>
      <c r="B278" s="6"/>
      <c r="C278" s="6"/>
      <c r="D278" s="6"/>
      <c r="E278" s="6"/>
      <c r="F278" s="40"/>
      <c r="G278" s="41"/>
      <c r="H278" s="35" t="str">
        <f aca="false">IF($B278="","",N($F278)*N($G278))</f>
        <v/>
      </c>
      <c r="I278" s="35" t="str">
        <f aca="false">IF($B278="","",N($F278)+$H278)</f>
        <v/>
      </c>
      <c r="J278" s="6"/>
      <c r="K278" s="46" t="str">
        <f aca="false">IF($A278="","",DATE(YEAR($A278),MONTH($A278),1))</f>
        <v/>
      </c>
    </row>
    <row r="279" customFormat="false" ht="15" hidden="false" customHeight="false" outlineLevel="0" collapsed="false">
      <c r="A279" s="44"/>
      <c r="B279" s="6"/>
      <c r="C279" s="6"/>
      <c r="D279" s="6"/>
      <c r="E279" s="6"/>
      <c r="F279" s="40"/>
      <c r="G279" s="41"/>
      <c r="H279" s="35" t="str">
        <f aca="false">IF($B279="","",N($F279)*N($G279))</f>
        <v/>
      </c>
      <c r="I279" s="35" t="str">
        <f aca="false">IF($B279="","",N($F279)+$H279)</f>
        <v/>
      </c>
      <c r="J279" s="6"/>
      <c r="K279" s="46" t="str">
        <f aca="false">IF($A279="","",DATE(YEAR($A279),MONTH($A279),1))</f>
        <v/>
      </c>
    </row>
    <row r="280" customFormat="false" ht="15" hidden="false" customHeight="false" outlineLevel="0" collapsed="false">
      <c r="A280" s="44"/>
      <c r="B280" s="6"/>
      <c r="C280" s="6"/>
      <c r="D280" s="6"/>
      <c r="E280" s="6"/>
      <c r="F280" s="40"/>
      <c r="G280" s="41"/>
      <c r="H280" s="35" t="str">
        <f aca="false">IF($B280="","",N($F280)*N($G280))</f>
        <v/>
      </c>
      <c r="I280" s="35" t="str">
        <f aca="false">IF($B280="","",N($F280)+$H280)</f>
        <v/>
      </c>
      <c r="J280" s="6"/>
      <c r="K280" s="46" t="str">
        <f aca="false">IF($A280="","",DATE(YEAR($A280),MONTH($A280),1))</f>
        <v/>
      </c>
    </row>
    <row r="281" customFormat="false" ht="15" hidden="false" customHeight="false" outlineLevel="0" collapsed="false">
      <c r="A281" s="44"/>
      <c r="B281" s="6"/>
      <c r="C281" s="6"/>
      <c r="D281" s="6"/>
      <c r="E281" s="6"/>
      <c r="F281" s="40"/>
      <c r="G281" s="41"/>
      <c r="H281" s="35" t="str">
        <f aca="false">IF($B281="","",N($F281)*N($G281))</f>
        <v/>
      </c>
      <c r="I281" s="35" t="str">
        <f aca="false">IF($B281="","",N($F281)+$H281)</f>
        <v/>
      </c>
      <c r="J281" s="6"/>
      <c r="K281" s="46" t="str">
        <f aca="false">IF($A281="","",DATE(YEAR($A281),MONTH($A281),1))</f>
        <v/>
      </c>
    </row>
    <row r="282" customFormat="false" ht="15" hidden="false" customHeight="false" outlineLevel="0" collapsed="false">
      <c r="A282" s="44"/>
      <c r="B282" s="6"/>
      <c r="C282" s="6"/>
      <c r="D282" s="6"/>
      <c r="E282" s="6"/>
      <c r="F282" s="40"/>
      <c r="G282" s="41"/>
      <c r="H282" s="35" t="str">
        <f aca="false">IF($B282="","",N($F282)*N($G282))</f>
        <v/>
      </c>
      <c r="I282" s="35" t="str">
        <f aca="false">IF($B282="","",N($F282)+$H282)</f>
        <v/>
      </c>
      <c r="J282" s="6"/>
      <c r="K282" s="46" t="str">
        <f aca="false">IF($A282="","",DATE(YEAR($A282),MONTH($A282),1))</f>
        <v/>
      </c>
    </row>
    <row r="283" customFormat="false" ht="15" hidden="false" customHeight="false" outlineLevel="0" collapsed="false">
      <c r="A283" s="44"/>
      <c r="B283" s="6"/>
      <c r="C283" s="6"/>
      <c r="D283" s="6"/>
      <c r="E283" s="6"/>
      <c r="F283" s="40"/>
      <c r="G283" s="41"/>
      <c r="H283" s="35" t="str">
        <f aca="false">IF($B283="","",N($F283)*N($G283))</f>
        <v/>
      </c>
      <c r="I283" s="35" t="str">
        <f aca="false">IF($B283="","",N($F283)+$H283)</f>
        <v/>
      </c>
      <c r="J283" s="6"/>
      <c r="K283" s="46" t="str">
        <f aca="false">IF($A283="","",DATE(YEAR($A283),MONTH($A283),1))</f>
        <v/>
      </c>
    </row>
    <row r="284" customFormat="false" ht="15" hidden="false" customHeight="false" outlineLevel="0" collapsed="false">
      <c r="A284" s="44"/>
      <c r="B284" s="6"/>
      <c r="C284" s="6"/>
      <c r="D284" s="6"/>
      <c r="E284" s="6"/>
      <c r="F284" s="40"/>
      <c r="G284" s="41"/>
      <c r="H284" s="35" t="str">
        <f aca="false">IF($B284="","",N($F284)*N($G284))</f>
        <v/>
      </c>
      <c r="I284" s="35" t="str">
        <f aca="false">IF($B284="","",N($F284)+$H284)</f>
        <v/>
      </c>
      <c r="J284" s="6"/>
      <c r="K284" s="46" t="str">
        <f aca="false">IF($A284="","",DATE(YEAR($A284),MONTH($A284),1))</f>
        <v/>
      </c>
    </row>
    <row r="285" customFormat="false" ht="15" hidden="false" customHeight="false" outlineLevel="0" collapsed="false">
      <c r="A285" s="44"/>
      <c r="B285" s="6"/>
      <c r="C285" s="6"/>
      <c r="D285" s="6"/>
      <c r="E285" s="6"/>
      <c r="F285" s="40"/>
      <c r="G285" s="41"/>
      <c r="H285" s="35" t="str">
        <f aca="false">IF($B285="","",N($F285)*N($G285))</f>
        <v/>
      </c>
      <c r="I285" s="35" t="str">
        <f aca="false">IF($B285="","",N($F285)+$H285)</f>
        <v/>
      </c>
      <c r="J285" s="6"/>
      <c r="K285" s="46" t="str">
        <f aca="false">IF($A285="","",DATE(YEAR($A285),MONTH($A285),1))</f>
        <v/>
      </c>
    </row>
    <row r="286" customFormat="false" ht="15" hidden="false" customHeight="false" outlineLevel="0" collapsed="false">
      <c r="A286" s="44"/>
      <c r="B286" s="6"/>
      <c r="C286" s="6"/>
      <c r="D286" s="6"/>
      <c r="E286" s="6"/>
      <c r="F286" s="40"/>
      <c r="G286" s="41"/>
      <c r="H286" s="35" t="str">
        <f aca="false">IF($B286="","",N($F286)*N($G286))</f>
        <v/>
      </c>
      <c r="I286" s="35" t="str">
        <f aca="false">IF($B286="","",N($F286)+$H286)</f>
        <v/>
      </c>
      <c r="J286" s="6"/>
      <c r="K286" s="46" t="str">
        <f aca="false">IF($A286="","",DATE(YEAR($A286),MONTH($A286),1))</f>
        <v/>
      </c>
    </row>
    <row r="287" customFormat="false" ht="15" hidden="false" customHeight="false" outlineLevel="0" collapsed="false">
      <c r="A287" s="44"/>
      <c r="B287" s="6"/>
      <c r="C287" s="6"/>
      <c r="D287" s="6"/>
      <c r="E287" s="6"/>
      <c r="F287" s="40"/>
      <c r="G287" s="41"/>
      <c r="H287" s="35" t="str">
        <f aca="false">IF($B287="","",N($F287)*N($G287))</f>
        <v/>
      </c>
      <c r="I287" s="35" t="str">
        <f aca="false">IF($B287="","",N($F287)+$H287)</f>
        <v/>
      </c>
      <c r="J287" s="6"/>
      <c r="K287" s="46" t="str">
        <f aca="false">IF($A287="","",DATE(YEAR($A287),MONTH($A287),1))</f>
        <v/>
      </c>
    </row>
    <row r="288" customFormat="false" ht="15" hidden="false" customHeight="false" outlineLevel="0" collapsed="false">
      <c r="A288" s="44"/>
      <c r="B288" s="6"/>
      <c r="C288" s="6"/>
      <c r="D288" s="6"/>
      <c r="E288" s="6"/>
      <c r="F288" s="40"/>
      <c r="G288" s="41"/>
      <c r="H288" s="35" t="str">
        <f aca="false">IF($B288="","",N($F288)*N($G288))</f>
        <v/>
      </c>
      <c r="I288" s="35" t="str">
        <f aca="false">IF($B288="","",N($F288)+$H288)</f>
        <v/>
      </c>
      <c r="J288" s="6"/>
      <c r="K288" s="46" t="str">
        <f aca="false">IF($A288="","",DATE(YEAR($A288),MONTH($A288),1))</f>
        <v/>
      </c>
    </row>
    <row r="289" customFormat="false" ht="15" hidden="false" customHeight="false" outlineLevel="0" collapsed="false">
      <c r="A289" s="44"/>
      <c r="B289" s="6"/>
      <c r="C289" s="6"/>
      <c r="D289" s="6"/>
      <c r="E289" s="6"/>
      <c r="F289" s="40"/>
      <c r="G289" s="41"/>
      <c r="H289" s="35" t="str">
        <f aca="false">IF($B289="","",N($F289)*N($G289))</f>
        <v/>
      </c>
      <c r="I289" s="35" t="str">
        <f aca="false">IF($B289="","",N($F289)+$H289)</f>
        <v/>
      </c>
      <c r="J289" s="6"/>
      <c r="K289" s="46" t="str">
        <f aca="false">IF($A289="","",DATE(YEAR($A289),MONTH($A289),1))</f>
        <v/>
      </c>
    </row>
    <row r="290" customFormat="false" ht="15" hidden="false" customHeight="false" outlineLevel="0" collapsed="false">
      <c r="A290" s="44"/>
      <c r="B290" s="6"/>
      <c r="C290" s="6"/>
      <c r="D290" s="6"/>
      <c r="E290" s="6"/>
      <c r="F290" s="40"/>
      <c r="G290" s="41"/>
      <c r="H290" s="35" t="str">
        <f aca="false">IF($B290="","",N($F290)*N($G290))</f>
        <v/>
      </c>
      <c r="I290" s="35" t="str">
        <f aca="false">IF($B290="","",N($F290)+$H290)</f>
        <v/>
      </c>
      <c r="J290" s="6"/>
      <c r="K290" s="46" t="str">
        <f aca="false">IF($A290="","",DATE(YEAR($A290),MONTH($A290),1))</f>
        <v/>
      </c>
    </row>
    <row r="291" customFormat="false" ht="15" hidden="false" customHeight="false" outlineLevel="0" collapsed="false">
      <c r="A291" s="44"/>
      <c r="B291" s="6"/>
      <c r="C291" s="6"/>
      <c r="D291" s="6"/>
      <c r="E291" s="6"/>
      <c r="F291" s="40"/>
      <c r="G291" s="41"/>
      <c r="H291" s="35" t="str">
        <f aca="false">IF($B291="","",N($F291)*N($G291))</f>
        <v/>
      </c>
      <c r="I291" s="35" t="str">
        <f aca="false">IF($B291="","",N($F291)+$H291)</f>
        <v/>
      </c>
      <c r="J291" s="6"/>
      <c r="K291" s="46" t="str">
        <f aca="false">IF($A291="","",DATE(YEAR($A291),MONTH($A291),1))</f>
        <v/>
      </c>
    </row>
    <row r="292" customFormat="false" ht="15" hidden="false" customHeight="false" outlineLevel="0" collapsed="false">
      <c r="A292" s="44"/>
      <c r="B292" s="6"/>
      <c r="C292" s="6"/>
      <c r="D292" s="6"/>
      <c r="E292" s="6"/>
      <c r="F292" s="40"/>
      <c r="G292" s="41"/>
      <c r="H292" s="35" t="str">
        <f aca="false">IF($B292="","",N($F292)*N($G292))</f>
        <v/>
      </c>
      <c r="I292" s="35" t="str">
        <f aca="false">IF($B292="","",N($F292)+$H292)</f>
        <v/>
      </c>
      <c r="J292" s="6"/>
      <c r="K292" s="46" t="str">
        <f aca="false">IF($A292="","",DATE(YEAR($A292),MONTH($A292),1))</f>
        <v/>
      </c>
    </row>
    <row r="293" customFormat="false" ht="15" hidden="false" customHeight="false" outlineLevel="0" collapsed="false">
      <c r="A293" s="44"/>
      <c r="B293" s="6"/>
      <c r="C293" s="6"/>
      <c r="D293" s="6"/>
      <c r="E293" s="6"/>
      <c r="F293" s="40"/>
      <c r="G293" s="41"/>
      <c r="H293" s="35" t="str">
        <f aca="false">IF($B293="","",N($F293)*N($G293))</f>
        <v/>
      </c>
      <c r="I293" s="35" t="str">
        <f aca="false">IF($B293="","",N($F293)+$H293)</f>
        <v/>
      </c>
      <c r="J293" s="6"/>
      <c r="K293" s="46" t="str">
        <f aca="false">IF($A293="","",DATE(YEAR($A293),MONTH($A293),1))</f>
        <v/>
      </c>
    </row>
    <row r="294" customFormat="false" ht="15" hidden="false" customHeight="false" outlineLevel="0" collapsed="false">
      <c r="A294" s="44"/>
      <c r="B294" s="6"/>
      <c r="C294" s="6"/>
      <c r="D294" s="6"/>
      <c r="E294" s="6"/>
      <c r="F294" s="40"/>
      <c r="G294" s="41"/>
      <c r="H294" s="35" t="str">
        <f aca="false">IF($B294="","",N($F294)*N($G294))</f>
        <v/>
      </c>
      <c r="I294" s="35" t="str">
        <f aca="false">IF($B294="","",N($F294)+$H294)</f>
        <v/>
      </c>
      <c r="J294" s="6"/>
      <c r="K294" s="46" t="str">
        <f aca="false">IF($A294="","",DATE(YEAR($A294),MONTH($A294),1))</f>
        <v/>
      </c>
    </row>
    <row r="295" customFormat="false" ht="15" hidden="false" customHeight="false" outlineLevel="0" collapsed="false">
      <c r="A295" s="44"/>
      <c r="B295" s="6"/>
      <c r="C295" s="6"/>
      <c r="D295" s="6"/>
      <c r="E295" s="6"/>
      <c r="F295" s="40"/>
      <c r="G295" s="41"/>
      <c r="H295" s="35" t="str">
        <f aca="false">IF($B295="","",N($F295)*N($G295))</f>
        <v/>
      </c>
      <c r="I295" s="35" t="str">
        <f aca="false">IF($B295="","",N($F295)+$H295)</f>
        <v/>
      </c>
      <c r="J295" s="6"/>
      <c r="K295" s="46" t="str">
        <f aca="false">IF($A295="","",DATE(YEAR($A295),MONTH($A295),1))</f>
        <v/>
      </c>
    </row>
    <row r="296" customFormat="false" ht="15" hidden="false" customHeight="false" outlineLevel="0" collapsed="false">
      <c r="A296" s="44"/>
      <c r="B296" s="6"/>
      <c r="C296" s="6"/>
      <c r="D296" s="6"/>
      <c r="E296" s="6"/>
      <c r="F296" s="40"/>
      <c r="G296" s="41"/>
      <c r="H296" s="35" t="str">
        <f aca="false">IF($B296="","",N($F296)*N($G296))</f>
        <v/>
      </c>
      <c r="I296" s="35" t="str">
        <f aca="false">IF($B296="","",N($F296)+$H296)</f>
        <v/>
      </c>
      <c r="J296" s="6"/>
      <c r="K296" s="46" t="str">
        <f aca="false">IF($A296="","",DATE(YEAR($A296),MONTH($A296),1))</f>
        <v/>
      </c>
    </row>
    <row r="297" customFormat="false" ht="15" hidden="false" customHeight="false" outlineLevel="0" collapsed="false">
      <c r="A297" s="44"/>
      <c r="B297" s="6"/>
      <c r="C297" s="6"/>
      <c r="D297" s="6"/>
      <c r="E297" s="6"/>
      <c r="F297" s="40"/>
      <c r="G297" s="41"/>
      <c r="H297" s="35" t="str">
        <f aca="false">IF($B297="","",N($F297)*N($G297))</f>
        <v/>
      </c>
      <c r="I297" s="35" t="str">
        <f aca="false">IF($B297="","",N($F297)+$H297)</f>
        <v/>
      </c>
      <c r="J297" s="6"/>
      <c r="K297" s="46" t="str">
        <f aca="false">IF($A297="","",DATE(YEAR($A297),MONTH($A297),1))</f>
        <v/>
      </c>
    </row>
    <row r="298" customFormat="false" ht="15" hidden="false" customHeight="false" outlineLevel="0" collapsed="false">
      <c r="A298" s="44"/>
      <c r="B298" s="6"/>
      <c r="C298" s="6"/>
      <c r="D298" s="6"/>
      <c r="E298" s="6"/>
      <c r="F298" s="40"/>
      <c r="G298" s="41"/>
      <c r="H298" s="35" t="str">
        <f aca="false">IF($B298="","",N($F298)*N($G298))</f>
        <v/>
      </c>
      <c r="I298" s="35" t="str">
        <f aca="false">IF($B298="","",N($F298)+$H298)</f>
        <v/>
      </c>
      <c r="J298" s="6"/>
      <c r="K298" s="46" t="str">
        <f aca="false">IF($A298="","",DATE(YEAR($A298),MONTH($A298),1))</f>
        <v/>
      </c>
    </row>
    <row r="299" customFormat="false" ht="15" hidden="false" customHeight="false" outlineLevel="0" collapsed="false">
      <c r="A299" s="44"/>
      <c r="B299" s="6"/>
      <c r="C299" s="6"/>
      <c r="D299" s="6"/>
      <c r="E299" s="6"/>
      <c r="F299" s="40"/>
      <c r="G299" s="41"/>
      <c r="H299" s="35" t="str">
        <f aca="false">IF($B299="","",N($F299)*N($G299))</f>
        <v/>
      </c>
      <c r="I299" s="35" t="str">
        <f aca="false">IF($B299="","",N($F299)+$H299)</f>
        <v/>
      </c>
      <c r="J299" s="6"/>
      <c r="K299" s="46" t="str">
        <f aca="false">IF($A299="","",DATE(YEAR($A299),MONTH($A299),1))</f>
        <v/>
      </c>
    </row>
    <row r="300" customFormat="false" ht="15" hidden="false" customHeight="false" outlineLevel="0" collapsed="false">
      <c r="A300" s="44"/>
      <c r="B300" s="6"/>
      <c r="C300" s="6"/>
      <c r="D300" s="6"/>
      <c r="E300" s="6"/>
      <c r="F300" s="40"/>
      <c r="G300" s="41"/>
      <c r="H300" s="35" t="str">
        <f aca="false">IF($B300="","",N($F300)*N($G300))</f>
        <v/>
      </c>
      <c r="I300" s="35" t="str">
        <f aca="false">IF($B300="","",N($F300)+$H300)</f>
        <v/>
      </c>
      <c r="J300" s="6"/>
      <c r="K300" s="46" t="str">
        <f aca="false">IF($A300="","",DATE(YEAR($A300),MONTH($A300),1))</f>
        <v/>
      </c>
    </row>
    <row r="301" customFormat="false" ht="15" hidden="false" customHeight="false" outlineLevel="0" collapsed="false">
      <c r="A301" s="44"/>
      <c r="B301" s="6"/>
      <c r="C301" s="6"/>
      <c r="D301" s="6"/>
      <c r="E301" s="6"/>
      <c r="F301" s="40"/>
      <c r="G301" s="41"/>
      <c r="H301" s="35" t="str">
        <f aca="false">IF($B301="","",N($F301)*N($G301))</f>
        <v/>
      </c>
      <c r="I301" s="35" t="str">
        <f aca="false">IF($B301="","",N($F301)+$H301)</f>
        <v/>
      </c>
      <c r="J301" s="6"/>
      <c r="K301" s="46" t="str">
        <f aca="false">IF($A301="","",DATE(YEAR($A301),MONTH($A301),1))</f>
        <v/>
      </c>
    </row>
    <row r="302" customFormat="false" ht="15" hidden="false" customHeight="false" outlineLevel="0" collapsed="false">
      <c r="A302" s="44"/>
      <c r="B302" s="6"/>
      <c r="C302" s="6"/>
      <c r="D302" s="6"/>
      <c r="E302" s="6"/>
      <c r="F302" s="40"/>
      <c r="G302" s="41"/>
      <c r="H302" s="35" t="str">
        <f aca="false">IF($B302="","",N($F302)*N($G302))</f>
        <v/>
      </c>
      <c r="I302" s="35" t="str">
        <f aca="false">IF($B302="","",N($F302)+$H302)</f>
        <v/>
      </c>
      <c r="J302" s="6"/>
      <c r="K302" s="46" t="str">
        <f aca="false">IF($A302="","",DATE(YEAR($A302),MONTH($A302),1))</f>
        <v/>
      </c>
    </row>
    <row r="303" customFormat="false" ht="15" hidden="false" customHeight="false" outlineLevel="0" collapsed="false">
      <c r="A303" s="44"/>
      <c r="B303" s="6"/>
      <c r="C303" s="6"/>
      <c r="D303" s="6"/>
      <c r="E303" s="6"/>
      <c r="F303" s="40"/>
      <c r="G303" s="41"/>
      <c r="H303" s="35" t="str">
        <f aca="false">IF($B303="","",N($F303)*N($G303))</f>
        <v/>
      </c>
      <c r="I303" s="35" t="str">
        <f aca="false">IF($B303="","",N($F303)+$H303)</f>
        <v/>
      </c>
      <c r="J303" s="6"/>
      <c r="K303" s="46" t="str">
        <f aca="false">IF($A303="","",DATE(YEAR($A303),MONTH($A303),1))</f>
        <v/>
      </c>
    </row>
    <row r="304" customFormat="false" ht="15" hidden="false" customHeight="false" outlineLevel="0" collapsed="false">
      <c r="A304" s="44"/>
      <c r="B304" s="6"/>
      <c r="C304" s="6"/>
      <c r="D304" s="6"/>
      <c r="E304" s="6"/>
      <c r="F304" s="40"/>
      <c r="G304" s="41"/>
      <c r="H304" s="35" t="str">
        <f aca="false">IF($B304="","",N($F304)*N($G304))</f>
        <v/>
      </c>
      <c r="I304" s="35" t="str">
        <f aca="false">IF($B304="","",N($F304)+$H304)</f>
        <v/>
      </c>
      <c r="J304" s="6"/>
      <c r="K304" s="46" t="str">
        <f aca="false">IF($A304="","",DATE(YEAR($A304),MONTH($A304),1))</f>
        <v/>
      </c>
    </row>
    <row r="305" customFormat="false" ht="15" hidden="false" customHeight="false" outlineLevel="0" collapsed="false">
      <c r="A305" s="44"/>
      <c r="B305" s="6"/>
      <c r="C305" s="6"/>
      <c r="D305" s="6"/>
      <c r="E305" s="6"/>
      <c r="F305" s="40"/>
      <c r="G305" s="41"/>
      <c r="H305" s="35" t="str">
        <f aca="false">IF($B305="","",N($F305)*N($G305))</f>
        <v/>
      </c>
      <c r="I305" s="35" t="str">
        <f aca="false">IF($B305="","",N($F305)+$H305)</f>
        <v/>
      </c>
      <c r="J305" s="6"/>
      <c r="K305" s="46" t="str">
        <f aca="false">IF($A305="","",DATE(YEAR($A305),MONTH($A305),1))</f>
        <v/>
      </c>
    </row>
    <row r="306" customFormat="false" ht="15" hidden="false" customHeight="false" outlineLevel="0" collapsed="false">
      <c r="A306" s="44"/>
      <c r="B306" s="6"/>
      <c r="C306" s="6"/>
      <c r="D306" s="6"/>
      <c r="E306" s="6"/>
      <c r="F306" s="40"/>
      <c r="G306" s="41"/>
      <c r="H306" s="35" t="str">
        <f aca="false">IF($B306="","",N($F306)*N($G306))</f>
        <v/>
      </c>
      <c r="I306" s="35" t="str">
        <f aca="false">IF($B306="","",N($F306)+$H306)</f>
        <v/>
      </c>
      <c r="J306" s="6"/>
      <c r="K306" s="46" t="str">
        <f aca="false">IF($A306="","",DATE(YEAR($A306),MONTH($A306),1))</f>
        <v/>
      </c>
    </row>
    <row r="307" customFormat="false" ht="15" hidden="false" customHeight="false" outlineLevel="0" collapsed="false">
      <c r="A307" s="44"/>
      <c r="B307" s="6"/>
      <c r="C307" s="6"/>
      <c r="D307" s="6"/>
      <c r="E307" s="6"/>
      <c r="F307" s="40"/>
      <c r="G307" s="41"/>
      <c r="H307" s="35" t="str">
        <f aca="false">IF($B307="","",N($F307)*N($G307))</f>
        <v/>
      </c>
      <c r="I307" s="35" t="str">
        <f aca="false">IF($B307="","",N($F307)+$H307)</f>
        <v/>
      </c>
      <c r="J307" s="6"/>
      <c r="K307" s="46" t="str">
        <f aca="false">IF($A307="","",DATE(YEAR($A307),MONTH($A307),1))</f>
        <v/>
      </c>
    </row>
    <row r="308" customFormat="false" ht="15" hidden="false" customHeight="false" outlineLevel="0" collapsed="false">
      <c r="A308" s="44"/>
      <c r="B308" s="6"/>
      <c r="C308" s="6"/>
      <c r="D308" s="6"/>
      <c r="E308" s="6"/>
      <c r="F308" s="40"/>
      <c r="G308" s="41"/>
      <c r="H308" s="35" t="str">
        <f aca="false">IF($B308="","",N($F308)*N($G308))</f>
        <v/>
      </c>
      <c r="I308" s="35" t="str">
        <f aca="false">IF($B308="","",N($F308)+$H308)</f>
        <v/>
      </c>
      <c r="J308" s="6"/>
      <c r="K308" s="46" t="str">
        <f aca="false">IF($A308="","",DATE(YEAR($A308),MONTH($A308),1))</f>
        <v/>
      </c>
    </row>
    <row r="309" customFormat="false" ht="15" hidden="false" customHeight="false" outlineLevel="0" collapsed="false">
      <c r="A309" s="44"/>
      <c r="B309" s="6"/>
      <c r="C309" s="6"/>
      <c r="D309" s="6"/>
      <c r="E309" s="6"/>
      <c r="F309" s="40"/>
      <c r="G309" s="41"/>
      <c r="H309" s="35" t="str">
        <f aca="false">IF($B309="","",N($F309)*N($G309))</f>
        <v/>
      </c>
      <c r="I309" s="35" t="str">
        <f aca="false">IF($B309="","",N($F309)+$H309)</f>
        <v/>
      </c>
      <c r="J309" s="6"/>
      <c r="K309" s="46" t="str">
        <f aca="false">IF($A309="","",DATE(YEAR($A309),MONTH($A309),1))</f>
        <v/>
      </c>
    </row>
    <row r="310" customFormat="false" ht="15" hidden="false" customHeight="false" outlineLevel="0" collapsed="false">
      <c r="A310" s="44"/>
      <c r="B310" s="6"/>
      <c r="C310" s="6"/>
      <c r="D310" s="6"/>
      <c r="E310" s="6"/>
      <c r="F310" s="40"/>
      <c r="G310" s="41"/>
      <c r="H310" s="35" t="str">
        <f aca="false">IF($B310="","",N($F310)*N($G310))</f>
        <v/>
      </c>
      <c r="I310" s="35" t="str">
        <f aca="false">IF($B310="","",N($F310)+$H310)</f>
        <v/>
      </c>
      <c r="J310" s="6"/>
      <c r="K310" s="46" t="str">
        <f aca="false">IF($A310="","",DATE(YEAR($A310),MONTH($A310),1))</f>
        <v/>
      </c>
    </row>
    <row r="311" customFormat="false" ht="15" hidden="false" customHeight="false" outlineLevel="0" collapsed="false">
      <c r="A311" s="44"/>
      <c r="B311" s="6"/>
      <c r="C311" s="6"/>
      <c r="D311" s="6"/>
      <c r="E311" s="6"/>
      <c r="F311" s="40"/>
      <c r="G311" s="41"/>
      <c r="H311" s="35" t="str">
        <f aca="false">IF($B311="","",N($F311)*N($G311))</f>
        <v/>
      </c>
      <c r="I311" s="35" t="str">
        <f aca="false">IF($B311="","",N($F311)+$H311)</f>
        <v/>
      </c>
      <c r="J311" s="6"/>
      <c r="K311" s="46" t="str">
        <f aca="false">IF($A311="","",DATE(YEAR($A311),MONTH($A311),1))</f>
        <v/>
      </c>
    </row>
    <row r="312" customFormat="false" ht="15" hidden="false" customHeight="false" outlineLevel="0" collapsed="false">
      <c r="A312" s="44"/>
      <c r="B312" s="6"/>
      <c r="C312" s="6"/>
      <c r="D312" s="6"/>
      <c r="E312" s="6"/>
      <c r="F312" s="40"/>
      <c r="G312" s="41"/>
      <c r="H312" s="35" t="str">
        <f aca="false">IF($B312="","",N($F312)*N($G312))</f>
        <v/>
      </c>
      <c r="I312" s="35" t="str">
        <f aca="false">IF($B312="","",N($F312)+$H312)</f>
        <v/>
      </c>
      <c r="J312" s="6"/>
      <c r="K312" s="46" t="str">
        <f aca="false">IF($A312="","",DATE(YEAR($A312),MONTH($A312),1))</f>
        <v/>
      </c>
    </row>
    <row r="313" customFormat="false" ht="15" hidden="false" customHeight="false" outlineLevel="0" collapsed="false">
      <c r="A313" s="44"/>
      <c r="B313" s="6"/>
      <c r="C313" s="6"/>
      <c r="D313" s="6"/>
      <c r="E313" s="6"/>
      <c r="F313" s="40"/>
      <c r="G313" s="41"/>
      <c r="H313" s="35" t="str">
        <f aca="false">IF($B313="","",N($F313)*N($G313))</f>
        <v/>
      </c>
      <c r="I313" s="35" t="str">
        <f aca="false">IF($B313="","",N($F313)+$H313)</f>
        <v/>
      </c>
      <c r="J313" s="6"/>
      <c r="K313" s="46" t="str">
        <f aca="false">IF($A313="","",DATE(YEAR($A313),MONTH($A313),1))</f>
        <v/>
      </c>
    </row>
    <row r="314" customFormat="false" ht="15" hidden="false" customHeight="false" outlineLevel="0" collapsed="false">
      <c r="A314" s="44"/>
      <c r="B314" s="6"/>
      <c r="C314" s="6"/>
      <c r="D314" s="6"/>
      <c r="E314" s="6"/>
      <c r="F314" s="40"/>
      <c r="G314" s="41"/>
      <c r="H314" s="35" t="str">
        <f aca="false">IF($B314="","",N($F314)*N($G314))</f>
        <v/>
      </c>
      <c r="I314" s="35" t="str">
        <f aca="false">IF($B314="","",N($F314)+$H314)</f>
        <v/>
      </c>
      <c r="J314" s="6"/>
      <c r="K314" s="46" t="str">
        <f aca="false">IF($A314="","",DATE(YEAR($A314),MONTH($A314),1))</f>
        <v/>
      </c>
    </row>
    <row r="315" customFormat="false" ht="15" hidden="false" customHeight="false" outlineLevel="0" collapsed="false">
      <c r="A315" s="44"/>
      <c r="B315" s="6"/>
      <c r="C315" s="6"/>
      <c r="D315" s="6"/>
      <c r="E315" s="6"/>
      <c r="F315" s="40"/>
      <c r="G315" s="41"/>
      <c r="H315" s="35" t="str">
        <f aca="false">IF($B315="","",N($F315)*N($G315))</f>
        <v/>
      </c>
      <c r="I315" s="35" t="str">
        <f aca="false">IF($B315="","",N($F315)+$H315)</f>
        <v/>
      </c>
      <c r="J315" s="6"/>
      <c r="K315" s="46" t="str">
        <f aca="false">IF($A315="","",DATE(YEAR($A315),MONTH($A315),1))</f>
        <v/>
      </c>
    </row>
    <row r="316" customFormat="false" ht="15" hidden="false" customHeight="false" outlineLevel="0" collapsed="false">
      <c r="A316" s="44"/>
      <c r="B316" s="6"/>
      <c r="C316" s="6"/>
      <c r="D316" s="6"/>
      <c r="E316" s="6"/>
      <c r="F316" s="40"/>
      <c r="G316" s="41"/>
      <c r="H316" s="35" t="str">
        <f aca="false">IF($B316="","",N($F316)*N($G316))</f>
        <v/>
      </c>
      <c r="I316" s="35" t="str">
        <f aca="false">IF($B316="","",N($F316)+$H316)</f>
        <v/>
      </c>
      <c r="J316" s="6"/>
      <c r="K316" s="46" t="str">
        <f aca="false">IF($A316="","",DATE(YEAR($A316),MONTH($A316),1))</f>
        <v/>
      </c>
    </row>
    <row r="317" customFormat="false" ht="15" hidden="false" customHeight="false" outlineLevel="0" collapsed="false">
      <c r="A317" s="44"/>
      <c r="B317" s="6"/>
      <c r="C317" s="6"/>
      <c r="D317" s="6"/>
      <c r="E317" s="6"/>
      <c r="F317" s="40"/>
      <c r="G317" s="41"/>
      <c r="H317" s="35" t="str">
        <f aca="false">IF($B317="","",N($F317)*N($G317))</f>
        <v/>
      </c>
      <c r="I317" s="35" t="str">
        <f aca="false">IF($B317="","",N($F317)+$H317)</f>
        <v/>
      </c>
      <c r="J317" s="6"/>
      <c r="K317" s="46" t="str">
        <f aca="false">IF($A317="","",DATE(YEAR($A317),MONTH($A317),1))</f>
        <v/>
      </c>
    </row>
    <row r="318" customFormat="false" ht="15" hidden="false" customHeight="false" outlineLevel="0" collapsed="false">
      <c r="A318" s="44"/>
      <c r="B318" s="6"/>
      <c r="C318" s="6"/>
      <c r="D318" s="6"/>
      <c r="E318" s="6"/>
      <c r="F318" s="40"/>
      <c r="G318" s="41"/>
      <c r="H318" s="35" t="str">
        <f aca="false">IF($B318="","",N($F318)*N($G318))</f>
        <v/>
      </c>
      <c r="I318" s="35" t="str">
        <f aca="false">IF($B318="","",N($F318)+$H318)</f>
        <v/>
      </c>
      <c r="J318" s="6"/>
      <c r="K318" s="46" t="str">
        <f aca="false">IF($A318="","",DATE(YEAR($A318),MONTH($A318),1))</f>
        <v/>
      </c>
    </row>
    <row r="319" customFormat="false" ht="15" hidden="false" customHeight="false" outlineLevel="0" collapsed="false">
      <c r="A319" s="44"/>
      <c r="B319" s="6"/>
      <c r="C319" s="6"/>
      <c r="D319" s="6"/>
      <c r="E319" s="6"/>
      <c r="F319" s="40"/>
      <c r="G319" s="41"/>
      <c r="H319" s="35" t="str">
        <f aca="false">IF($B319="","",N($F319)*N($G319))</f>
        <v/>
      </c>
      <c r="I319" s="35" t="str">
        <f aca="false">IF($B319="","",N($F319)+$H319)</f>
        <v/>
      </c>
      <c r="J319" s="6"/>
      <c r="K319" s="46" t="str">
        <f aca="false">IF($A319="","",DATE(YEAR($A319),MONTH($A319),1))</f>
        <v/>
      </c>
    </row>
    <row r="320" customFormat="false" ht="15" hidden="false" customHeight="false" outlineLevel="0" collapsed="false">
      <c r="A320" s="44"/>
      <c r="B320" s="6"/>
      <c r="C320" s="6"/>
      <c r="D320" s="6"/>
      <c r="E320" s="6"/>
      <c r="F320" s="40"/>
      <c r="G320" s="41"/>
      <c r="H320" s="35" t="str">
        <f aca="false">IF($B320="","",N($F320)*N($G320))</f>
        <v/>
      </c>
      <c r="I320" s="35" t="str">
        <f aca="false">IF($B320="","",N($F320)+$H320)</f>
        <v/>
      </c>
      <c r="J320" s="6"/>
      <c r="K320" s="46" t="str">
        <f aca="false">IF($A320="","",DATE(YEAR($A320),MONTH($A320),1))</f>
        <v/>
      </c>
    </row>
    <row r="321" customFormat="false" ht="15" hidden="false" customHeight="false" outlineLevel="0" collapsed="false">
      <c r="A321" s="44"/>
      <c r="B321" s="6"/>
      <c r="C321" s="6"/>
      <c r="D321" s="6"/>
      <c r="E321" s="6"/>
      <c r="F321" s="40"/>
      <c r="G321" s="41"/>
      <c r="H321" s="35" t="str">
        <f aca="false">IF($B321="","",N($F321)*N($G321))</f>
        <v/>
      </c>
      <c r="I321" s="35" t="str">
        <f aca="false">IF($B321="","",N($F321)+$H321)</f>
        <v/>
      </c>
      <c r="J321" s="6"/>
      <c r="K321" s="46" t="str">
        <f aca="false">IF($A321="","",DATE(YEAR($A321),MONTH($A321),1))</f>
        <v/>
      </c>
    </row>
    <row r="322" customFormat="false" ht="15" hidden="false" customHeight="false" outlineLevel="0" collapsed="false">
      <c r="A322" s="44"/>
      <c r="B322" s="6"/>
      <c r="C322" s="6"/>
      <c r="D322" s="6"/>
      <c r="E322" s="6"/>
      <c r="F322" s="40"/>
      <c r="G322" s="41"/>
      <c r="H322" s="35" t="str">
        <f aca="false">IF($B322="","",N($F322)*N($G322))</f>
        <v/>
      </c>
      <c r="I322" s="35" t="str">
        <f aca="false">IF($B322="","",N($F322)+$H322)</f>
        <v/>
      </c>
      <c r="J322" s="6"/>
      <c r="K322" s="46" t="str">
        <f aca="false">IF($A322="","",DATE(YEAR($A322),MONTH($A322),1))</f>
        <v/>
      </c>
    </row>
    <row r="323" customFormat="false" ht="15" hidden="false" customHeight="false" outlineLevel="0" collapsed="false">
      <c r="A323" s="44"/>
      <c r="B323" s="6"/>
      <c r="C323" s="6"/>
      <c r="D323" s="6"/>
      <c r="E323" s="6"/>
      <c r="F323" s="40"/>
      <c r="G323" s="41"/>
      <c r="H323" s="35" t="str">
        <f aca="false">IF($B323="","",N($F323)*N($G323))</f>
        <v/>
      </c>
      <c r="I323" s="35" t="str">
        <f aca="false">IF($B323="","",N($F323)+$H323)</f>
        <v/>
      </c>
      <c r="J323" s="6"/>
      <c r="K323" s="46" t="str">
        <f aca="false">IF($A323="","",DATE(YEAR($A323),MONTH($A323),1))</f>
        <v/>
      </c>
    </row>
    <row r="324" customFormat="false" ht="15" hidden="false" customHeight="false" outlineLevel="0" collapsed="false">
      <c r="A324" s="44"/>
      <c r="B324" s="6"/>
      <c r="C324" s="6"/>
      <c r="D324" s="6"/>
      <c r="E324" s="6"/>
      <c r="F324" s="40"/>
      <c r="G324" s="41"/>
      <c r="H324" s="35" t="str">
        <f aca="false">IF($B324="","",N($F324)*N($G324))</f>
        <v/>
      </c>
      <c r="I324" s="35" t="str">
        <f aca="false">IF($B324="","",N($F324)+$H324)</f>
        <v/>
      </c>
      <c r="J324" s="6"/>
      <c r="K324" s="46" t="str">
        <f aca="false">IF($A324="","",DATE(YEAR($A324),MONTH($A324),1))</f>
        <v/>
      </c>
    </row>
    <row r="325" customFormat="false" ht="15" hidden="false" customHeight="false" outlineLevel="0" collapsed="false">
      <c r="A325" s="44"/>
      <c r="B325" s="6"/>
      <c r="C325" s="6"/>
      <c r="D325" s="6"/>
      <c r="E325" s="6"/>
      <c r="F325" s="40"/>
      <c r="G325" s="41"/>
      <c r="H325" s="35" t="str">
        <f aca="false">IF($B325="","",N($F325)*N($G325))</f>
        <v/>
      </c>
      <c r="I325" s="35" t="str">
        <f aca="false">IF($B325="","",N($F325)+$H325)</f>
        <v/>
      </c>
      <c r="J325" s="6"/>
      <c r="K325" s="46" t="str">
        <f aca="false">IF($A325="","",DATE(YEAR($A325),MONTH($A325),1))</f>
        <v/>
      </c>
    </row>
    <row r="326" customFormat="false" ht="15" hidden="false" customHeight="false" outlineLevel="0" collapsed="false">
      <c r="A326" s="44"/>
      <c r="B326" s="6"/>
      <c r="C326" s="6"/>
      <c r="D326" s="6"/>
      <c r="E326" s="6"/>
      <c r="F326" s="40"/>
      <c r="G326" s="41"/>
      <c r="H326" s="35" t="str">
        <f aca="false">IF($B326="","",N($F326)*N($G326))</f>
        <v/>
      </c>
      <c r="I326" s="35" t="str">
        <f aca="false">IF($B326="","",N($F326)+$H326)</f>
        <v/>
      </c>
      <c r="J326" s="6"/>
      <c r="K326" s="46" t="str">
        <f aca="false">IF($A326="","",DATE(YEAR($A326),MONTH($A326),1))</f>
        <v/>
      </c>
    </row>
    <row r="327" customFormat="false" ht="15" hidden="false" customHeight="false" outlineLevel="0" collapsed="false">
      <c r="A327" s="44"/>
      <c r="B327" s="6"/>
      <c r="C327" s="6"/>
      <c r="D327" s="6"/>
      <c r="E327" s="6"/>
      <c r="F327" s="40"/>
      <c r="G327" s="41"/>
      <c r="H327" s="35" t="str">
        <f aca="false">IF($B327="","",N($F327)*N($G327))</f>
        <v/>
      </c>
      <c r="I327" s="35" t="str">
        <f aca="false">IF($B327="","",N($F327)+$H327)</f>
        <v/>
      </c>
      <c r="J327" s="6"/>
      <c r="K327" s="46" t="str">
        <f aca="false">IF($A327="","",DATE(YEAR($A327),MONTH($A327),1))</f>
        <v/>
      </c>
    </row>
    <row r="328" customFormat="false" ht="15" hidden="false" customHeight="false" outlineLevel="0" collapsed="false">
      <c r="A328" s="44"/>
      <c r="B328" s="6"/>
      <c r="C328" s="6"/>
      <c r="D328" s="6"/>
      <c r="E328" s="6"/>
      <c r="F328" s="40"/>
      <c r="G328" s="41"/>
      <c r="H328" s="35" t="str">
        <f aca="false">IF($B328="","",N($F328)*N($G328))</f>
        <v/>
      </c>
      <c r="I328" s="35" t="str">
        <f aca="false">IF($B328="","",N($F328)+$H328)</f>
        <v/>
      </c>
      <c r="J328" s="6"/>
      <c r="K328" s="46" t="str">
        <f aca="false">IF($A328="","",DATE(YEAR($A328),MONTH($A328),1))</f>
        <v/>
      </c>
    </row>
    <row r="329" customFormat="false" ht="15" hidden="false" customHeight="false" outlineLevel="0" collapsed="false">
      <c r="A329" s="44"/>
      <c r="B329" s="6"/>
      <c r="C329" s="6"/>
      <c r="D329" s="6"/>
      <c r="E329" s="6"/>
      <c r="F329" s="40"/>
      <c r="G329" s="41"/>
      <c r="H329" s="35" t="str">
        <f aca="false">IF($B329="","",N($F329)*N($G329))</f>
        <v/>
      </c>
      <c r="I329" s="35" t="str">
        <f aca="false">IF($B329="","",N($F329)+$H329)</f>
        <v/>
      </c>
      <c r="J329" s="6"/>
      <c r="K329" s="46" t="str">
        <f aca="false">IF($A329="","",DATE(YEAR($A329),MONTH($A329),1))</f>
        <v/>
      </c>
    </row>
    <row r="330" customFormat="false" ht="15" hidden="false" customHeight="false" outlineLevel="0" collapsed="false">
      <c r="A330" s="44"/>
      <c r="B330" s="6"/>
      <c r="C330" s="6"/>
      <c r="D330" s="6"/>
      <c r="E330" s="6"/>
      <c r="F330" s="40"/>
      <c r="G330" s="41"/>
      <c r="H330" s="35" t="str">
        <f aca="false">IF($B330="","",N($F330)*N($G330))</f>
        <v/>
      </c>
      <c r="I330" s="35" t="str">
        <f aca="false">IF($B330="","",N($F330)+$H330)</f>
        <v/>
      </c>
      <c r="J330" s="6"/>
      <c r="K330" s="46" t="str">
        <f aca="false">IF($A330="","",DATE(YEAR($A330),MONTH($A330),1))</f>
        <v/>
      </c>
    </row>
    <row r="331" customFormat="false" ht="15" hidden="false" customHeight="false" outlineLevel="0" collapsed="false">
      <c r="A331" s="44"/>
      <c r="B331" s="6"/>
      <c r="C331" s="6"/>
      <c r="D331" s="6"/>
      <c r="E331" s="6"/>
      <c r="F331" s="40"/>
      <c r="G331" s="41"/>
      <c r="H331" s="35" t="str">
        <f aca="false">IF($B331="","",N($F331)*N($G331))</f>
        <v/>
      </c>
      <c r="I331" s="35" t="str">
        <f aca="false">IF($B331="","",N($F331)+$H331)</f>
        <v/>
      </c>
      <c r="J331" s="6"/>
      <c r="K331" s="46" t="str">
        <f aca="false">IF($A331="","",DATE(YEAR($A331),MONTH($A331),1))</f>
        <v/>
      </c>
    </row>
    <row r="332" customFormat="false" ht="15" hidden="false" customHeight="false" outlineLevel="0" collapsed="false">
      <c r="A332" s="44"/>
      <c r="B332" s="6"/>
      <c r="C332" s="6"/>
      <c r="D332" s="6"/>
      <c r="E332" s="6"/>
      <c r="F332" s="40"/>
      <c r="G332" s="41"/>
      <c r="H332" s="35" t="str">
        <f aca="false">IF($B332="","",N($F332)*N($G332))</f>
        <v/>
      </c>
      <c r="I332" s="35" t="str">
        <f aca="false">IF($B332="","",N($F332)+$H332)</f>
        <v/>
      </c>
      <c r="J332" s="6"/>
      <c r="K332" s="46" t="str">
        <f aca="false">IF($A332="","",DATE(YEAR($A332),MONTH($A332),1))</f>
        <v/>
      </c>
    </row>
    <row r="333" customFormat="false" ht="15" hidden="false" customHeight="false" outlineLevel="0" collapsed="false">
      <c r="A333" s="44"/>
      <c r="B333" s="6"/>
      <c r="C333" s="6"/>
      <c r="D333" s="6"/>
      <c r="E333" s="6"/>
      <c r="F333" s="40"/>
      <c r="G333" s="41"/>
      <c r="H333" s="35" t="str">
        <f aca="false">IF($B333="","",N($F333)*N($G333))</f>
        <v/>
      </c>
      <c r="I333" s="35" t="str">
        <f aca="false">IF($B333="","",N($F333)+$H333)</f>
        <v/>
      </c>
      <c r="J333" s="6"/>
      <c r="K333" s="46" t="str">
        <f aca="false">IF($A333="","",DATE(YEAR($A333),MONTH($A333),1))</f>
        <v/>
      </c>
    </row>
    <row r="334" customFormat="false" ht="15" hidden="false" customHeight="false" outlineLevel="0" collapsed="false">
      <c r="A334" s="44"/>
      <c r="B334" s="6"/>
      <c r="C334" s="6"/>
      <c r="D334" s="6"/>
      <c r="E334" s="6"/>
      <c r="F334" s="40"/>
      <c r="G334" s="41"/>
      <c r="H334" s="35" t="str">
        <f aca="false">IF($B334="","",N($F334)*N($G334))</f>
        <v/>
      </c>
      <c r="I334" s="35" t="str">
        <f aca="false">IF($B334="","",N($F334)+$H334)</f>
        <v/>
      </c>
      <c r="J334" s="6"/>
      <c r="K334" s="46" t="str">
        <f aca="false">IF($A334="","",DATE(YEAR($A334),MONTH($A334),1))</f>
        <v/>
      </c>
    </row>
    <row r="335" customFormat="false" ht="15" hidden="false" customHeight="false" outlineLevel="0" collapsed="false">
      <c r="A335" s="44"/>
      <c r="B335" s="6"/>
      <c r="C335" s="6"/>
      <c r="D335" s="6"/>
      <c r="E335" s="6"/>
      <c r="F335" s="40"/>
      <c r="G335" s="41"/>
      <c r="H335" s="35" t="str">
        <f aca="false">IF($B335="","",N($F335)*N($G335))</f>
        <v/>
      </c>
      <c r="I335" s="35" t="str">
        <f aca="false">IF($B335="","",N($F335)+$H335)</f>
        <v/>
      </c>
      <c r="J335" s="6"/>
      <c r="K335" s="46" t="str">
        <f aca="false">IF($A335="","",DATE(YEAR($A335),MONTH($A335),1))</f>
        <v/>
      </c>
    </row>
    <row r="336" customFormat="false" ht="15" hidden="false" customHeight="false" outlineLevel="0" collapsed="false">
      <c r="A336" s="44"/>
      <c r="B336" s="6"/>
      <c r="C336" s="6"/>
      <c r="D336" s="6"/>
      <c r="E336" s="6"/>
      <c r="F336" s="40"/>
      <c r="G336" s="41"/>
      <c r="H336" s="35" t="str">
        <f aca="false">IF($B336="","",N($F336)*N($G336))</f>
        <v/>
      </c>
      <c r="I336" s="35" t="str">
        <f aca="false">IF($B336="","",N($F336)+$H336)</f>
        <v/>
      </c>
      <c r="J336" s="6"/>
      <c r="K336" s="46" t="str">
        <f aca="false">IF($A336="","",DATE(YEAR($A336),MONTH($A336),1))</f>
        <v/>
      </c>
    </row>
    <row r="337" customFormat="false" ht="15" hidden="false" customHeight="false" outlineLevel="0" collapsed="false">
      <c r="A337" s="44"/>
      <c r="B337" s="6"/>
      <c r="C337" s="6"/>
      <c r="D337" s="6"/>
      <c r="E337" s="6"/>
      <c r="F337" s="40"/>
      <c r="G337" s="41"/>
      <c r="H337" s="35" t="str">
        <f aca="false">IF($B337="","",N($F337)*N($G337))</f>
        <v/>
      </c>
      <c r="I337" s="35" t="str">
        <f aca="false">IF($B337="","",N($F337)+$H337)</f>
        <v/>
      </c>
      <c r="J337" s="6"/>
      <c r="K337" s="46" t="str">
        <f aca="false">IF($A337="","",DATE(YEAR($A337),MONTH($A337),1))</f>
        <v/>
      </c>
    </row>
    <row r="338" customFormat="false" ht="15" hidden="false" customHeight="false" outlineLevel="0" collapsed="false">
      <c r="A338" s="44"/>
      <c r="B338" s="6"/>
      <c r="C338" s="6"/>
      <c r="D338" s="6"/>
      <c r="E338" s="6"/>
      <c r="F338" s="40"/>
      <c r="G338" s="41"/>
      <c r="H338" s="35" t="str">
        <f aca="false">IF($B338="","",N($F338)*N($G338))</f>
        <v/>
      </c>
      <c r="I338" s="35" t="str">
        <f aca="false">IF($B338="","",N($F338)+$H338)</f>
        <v/>
      </c>
      <c r="J338" s="6"/>
      <c r="K338" s="46" t="str">
        <f aca="false">IF($A338="","",DATE(YEAR($A338),MONTH($A338),1))</f>
        <v/>
      </c>
    </row>
    <row r="339" customFormat="false" ht="15" hidden="false" customHeight="false" outlineLevel="0" collapsed="false">
      <c r="A339" s="44"/>
      <c r="B339" s="6"/>
      <c r="C339" s="6"/>
      <c r="D339" s="6"/>
      <c r="E339" s="6"/>
      <c r="F339" s="40"/>
      <c r="G339" s="41"/>
      <c r="H339" s="35" t="str">
        <f aca="false">IF($B339="","",N($F339)*N($G339))</f>
        <v/>
      </c>
      <c r="I339" s="35" t="str">
        <f aca="false">IF($B339="","",N($F339)+$H339)</f>
        <v/>
      </c>
      <c r="J339" s="6"/>
      <c r="K339" s="46" t="str">
        <f aca="false">IF($A339="","",DATE(YEAR($A339),MONTH($A339),1))</f>
        <v/>
      </c>
    </row>
    <row r="340" customFormat="false" ht="15" hidden="false" customHeight="false" outlineLevel="0" collapsed="false">
      <c r="A340" s="44"/>
      <c r="B340" s="6"/>
      <c r="C340" s="6"/>
      <c r="D340" s="6"/>
      <c r="E340" s="6"/>
      <c r="F340" s="40"/>
      <c r="G340" s="41"/>
      <c r="H340" s="35" t="str">
        <f aca="false">IF($B340="","",N($F340)*N($G340))</f>
        <v/>
      </c>
      <c r="I340" s="35" t="str">
        <f aca="false">IF($B340="","",N($F340)+$H340)</f>
        <v/>
      </c>
      <c r="J340" s="6"/>
      <c r="K340" s="46" t="str">
        <f aca="false">IF($A340="","",DATE(YEAR($A340),MONTH($A340),1))</f>
        <v/>
      </c>
    </row>
    <row r="341" customFormat="false" ht="15" hidden="false" customHeight="false" outlineLevel="0" collapsed="false">
      <c r="A341" s="44"/>
      <c r="B341" s="6"/>
      <c r="C341" s="6"/>
      <c r="D341" s="6"/>
      <c r="E341" s="6"/>
      <c r="F341" s="40"/>
      <c r="G341" s="41"/>
      <c r="H341" s="35" t="str">
        <f aca="false">IF($B341="","",N($F341)*N($G341))</f>
        <v/>
      </c>
      <c r="I341" s="35" t="str">
        <f aca="false">IF($B341="","",N($F341)+$H341)</f>
        <v/>
      </c>
      <c r="J341" s="6"/>
      <c r="K341" s="46" t="str">
        <f aca="false">IF($A341="","",DATE(YEAR($A341),MONTH($A341),1))</f>
        <v/>
      </c>
    </row>
    <row r="342" customFormat="false" ht="15" hidden="false" customHeight="false" outlineLevel="0" collapsed="false">
      <c r="A342" s="44"/>
      <c r="B342" s="6"/>
      <c r="C342" s="6"/>
      <c r="D342" s="6"/>
      <c r="E342" s="6"/>
      <c r="F342" s="40"/>
      <c r="G342" s="41"/>
      <c r="H342" s="35" t="str">
        <f aca="false">IF($B342="","",N($F342)*N($G342))</f>
        <v/>
      </c>
      <c r="I342" s="35" t="str">
        <f aca="false">IF($B342="","",N($F342)+$H342)</f>
        <v/>
      </c>
      <c r="J342" s="6"/>
      <c r="K342" s="46" t="str">
        <f aca="false">IF($A342="","",DATE(YEAR($A342),MONTH($A342),1))</f>
        <v/>
      </c>
    </row>
    <row r="343" customFormat="false" ht="15" hidden="false" customHeight="false" outlineLevel="0" collapsed="false">
      <c r="A343" s="44"/>
      <c r="B343" s="6"/>
      <c r="C343" s="6"/>
      <c r="D343" s="6"/>
      <c r="E343" s="6"/>
      <c r="F343" s="40"/>
      <c r="G343" s="41"/>
      <c r="H343" s="35" t="str">
        <f aca="false">IF($B343="","",N($F343)*N($G343))</f>
        <v/>
      </c>
      <c r="I343" s="35" t="str">
        <f aca="false">IF($B343="","",N($F343)+$H343)</f>
        <v/>
      </c>
      <c r="J343" s="6"/>
      <c r="K343" s="46" t="str">
        <f aca="false">IF($A343="","",DATE(YEAR($A343),MONTH($A343),1))</f>
        <v/>
      </c>
    </row>
    <row r="344" customFormat="false" ht="15" hidden="false" customHeight="false" outlineLevel="0" collapsed="false">
      <c r="A344" s="44"/>
      <c r="B344" s="6"/>
      <c r="C344" s="6"/>
      <c r="D344" s="6"/>
      <c r="E344" s="6"/>
      <c r="F344" s="40"/>
      <c r="G344" s="41"/>
      <c r="H344" s="35" t="str">
        <f aca="false">IF($B344="","",N($F344)*N($G344))</f>
        <v/>
      </c>
      <c r="I344" s="35" t="str">
        <f aca="false">IF($B344="","",N($F344)+$H344)</f>
        <v/>
      </c>
      <c r="J344" s="6"/>
      <c r="K344" s="46" t="str">
        <f aca="false">IF($A344="","",DATE(YEAR($A344),MONTH($A344),1))</f>
        <v/>
      </c>
    </row>
    <row r="345" customFormat="false" ht="15" hidden="false" customHeight="false" outlineLevel="0" collapsed="false">
      <c r="A345" s="44"/>
      <c r="B345" s="6"/>
      <c r="C345" s="6"/>
      <c r="D345" s="6"/>
      <c r="E345" s="6"/>
      <c r="F345" s="40"/>
      <c r="G345" s="41"/>
      <c r="H345" s="35" t="str">
        <f aca="false">IF($B345="","",N($F345)*N($G345))</f>
        <v/>
      </c>
      <c r="I345" s="35" t="str">
        <f aca="false">IF($B345="","",N($F345)+$H345)</f>
        <v/>
      </c>
      <c r="J345" s="6"/>
      <c r="K345" s="46" t="str">
        <f aca="false">IF($A345="","",DATE(YEAR($A345),MONTH($A345),1))</f>
        <v/>
      </c>
    </row>
    <row r="346" customFormat="false" ht="15" hidden="false" customHeight="false" outlineLevel="0" collapsed="false">
      <c r="A346" s="44"/>
      <c r="B346" s="6"/>
      <c r="C346" s="6"/>
      <c r="D346" s="6"/>
      <c r="E346" s="6"/>
      <c r="F346" s="40"/>
      <c r="G346" s="41"/>
      <c r="H346" s="35" t="str">
        <f aca="false">IF($B346="","",N($F346)*N($G346))</f>
        <v/>
      </c>
      <c r="I346" s="35" t="str">
        <f aca="false">IF($B346="","",N($F346)+$H346)</f>
        <v/>
      </c>
      <c r="J346" s="6"/>
      <c r="K346" s="46" t="str">
        <f aca="false">IF($A346="","",DATE(YEAR($A346),MONTH($A346),1))</f>
        <v/>
      </c>
    </row>
    <row r="347" customFormat="false" ht="15" hidden="false" customHeight="false" outlineLevel="0" collapsed="false">
      <c r="A347" s="44"/>
      <c r="B347" s="6"/>
      <c r="C347" s="6"/>
      <c r="D347" s="6"/>
      <c r="E347" s="6"/>
      <c r="F347" s="40"/>
      <c r="G347" s="41"/>
      <c r="H347" s="35" t="str">
        <f aca="false">IF($B347="","",N($F347)*N($G347))</f>
        <v/>
      </c>
      <c r="I347" s="35" t="str">
        <f aca="false">IF($B347="","",N($F347)+$H347)</f>
        <v/>
      </c>
      <c r="J347" s="6"/>
      <c r="K347" s="46" t="str">
        <f aca="false">IF($A347="","",DATE(YEAR($A347),MONTH($A347),1))</f>
        <v/>
      </c>
    </row>
    <row r="348" customFormat="false" ht="15" hidden="false" customHeight="false" outlineLevel="0" collapsed="false">
      <c r="A348" s="44"/>
      <c r="B348" s="6"/>
      <c r="C348" s="6"/>
      <c r="D348" s="6"/>
      <c r="E348" s="6"/>
      <c r="F348" s="40"/>
      <c r="G348" s="41"/>
      <c r="H348" s="35" t="str">
        <f aca="false">IF($B348="","",N($F348)*N($G348))</f>
        <v/>
      </c>
      <c r="I348" s="35" t="str">
        <f aca="false">IF($B348="","",N($F348)+$H348)</f>
        <v/>
      </c>
      <c r="J348" s="6"/>
      <c r="K348" s="46" t="str">
        <f aca="false">IF($A348="","",DATE(YEAR($A348),MONTH($A348),1))</f>
        <v/>
      </c>
    </row>
    <row r="349" customFormat="false" ht="15" hidden="false" customHeight="false" outlineLevel="0" collapsed="false">
      <c r="A349" s="44"/>
      <c r="B349" s="6"/>
      <c r="C349" s="6"/>
      <c r="D349" s="6"/>
      <c r="E349" s="6"/>
      <c r="F349" s="40"/>
      <c r="G349" s="41"/>
      <c r="H349" s="35" t="str">
        <f aca="false">IF($B349="","",N($F349)*N($G349))</f>
        <v/>
      </c>
      <c r="I349" s="35" t="str">
        <f aca="false">IF($B349="","",N($F349)+$H349)</f>
        <v/>
      </c>
      <c r="J349" s="6"/>
      <c r="K349" s="46" t="str">
        <f aca="false">IF($A349="","",DATE(YEAR($A349),MONTH($A349),1))</f>
        <v/>
      </c>
    </row>
    <row r="350" customFormat="false" ht="15" hidden="false" customHeight="false" outlineLevel="0" collapsed="false">
      <c r="A350" s="44"/>
      <c r="B350" s="6"/>
      <c r="C350" s="6"/>
      <c r="D350" s="6"/>
      <c r="E350" s="6"/>
      <c r="F350" s="40"/>
      <c r="G350" s="41"/>
      <c r="H350" s="35" t="str">
        <f aca="false">IF($B350="","",N($F350)*N($G350))</f>
        <v/>
      </c>
      <c r="I350" s="35" t="str">
        <f aca="false">IF($B350="","",N($F350)+$H350)</f>
        <v/>
      </c>
      <c r="J350" s="6"/>
      <c r="K350" s="46" t="str">
        <f aca="false">IF($A350="","",DATE(YEAR($A350),MONTH($A350),1))</f>
        <v/>
      </c>
    </row>
    <row r="351" customFormat="false" ht="15" hidden="false" customHeight="false" outlineLevel="0" collapsed="false">
      <c r="A351" s="44"/>
      <c r="B351" s="6"/>
      <c r="C351" s="6"/>
      <c r="D351" s="6"/>
      <c r="E351" s="6"/>
      <c r="F351" s="40"/>
      <c r="G351" s="41"/>
      <c r="H351" s="35" t="str">
        <f aca="false">IF($B351="","",N($F351)*N($G351))</f>
        <v/>
      </c>
      <c r="I351" s="35" t="str">
        <f aca="false">IF($B351="","",N($F351)+$H351)</f>
        <v/>
      </c>
      <c r="J351" s="6"/>
      <c r="K351" s="46" t="str">
        <f aca="false">IF($A351="","",DATE(YEAR($A351),MONTH($A351),1))</f>
        <v/>
      </c>
    </row>
    <row r="352" customFormat="false" ht="15" hidden="false" customHeight="false" outlineLevel="0" collapsed="false">
      <c r="A352" s="44"/>
      <c r="B352" s="6"/>
      <c r="C352" s="6"/>
      <c r="D352" s="6"/>
      <c r="E352" s="6"/>
      <c r="F352" s="40"/>
      <c r="G352" s="41"/>
      <c r="H352" s="35" t="str">
        <f aca="false">IF($B352="","",N($F352)*N($G352))</f>
        <v/>
      </c>
      <c r="I352" s="35" t="str">
        <f aca="false">IF($B352="","",N($F352)+$H352)</f>
        <v/>
      </c>
      <c r="J352" s="6"/>
      <c r="K352" s="46" t="str">
        <f aca="false">IF($A352="","",DATE(YEAR($A352),MONTH($A352),1))</f>
        <v/>
      </c>
    </row>
    <row r="353" customFormat="false" ht="15" hidden="false" customHeight="false" outlineLevel="0" collapsed="false">
      <c r="A353" s="44"/>
      <c r="B353" s="6"/>
      <c r="C353" s="6"/>
      <c r="D353" s="6"/>
      <c r="E353" s="6"/>
      <c r="F353" s="40"/>
      <c r="G353" s="41"/>
      <c r="H353" s="35" t="str">
        <f aca="false">IF($B353="","",N($F353)*N($G353))</f>
        <v/>
      </c>
      <c r="I353" s="35" t="str">
        <f aca="false">IF($B353="","",N($F353)+$H353)</f>
        <v/>
      </c>
      <c r="J353" s="6"/>
      <c r="K353" s="46" t="str">
        <f aca="false">IF($A353="","",DATE(YEAR($A353),MONTH($A353),1))</f>
        <v/>
      </c>
    </row>
    <row r="354" customFormat="false" ht="15" hidden="false" customHeight="false" outlineLevel="0" collapsed="false">
      <c r="A354" s="44"/>
      <c r="B354" s="6"/>
      <c r="C354" s="6"/>
      <c r="D354" s="6"/>
      <c r="E354" s="6"/>
      <c r="F354" s="40"/>
      <c r="G354" s="41"/>
      <c r="H354" s="35" t="str">
        <f aca="false">IF($B354="","",N($F354)*N($G354))</f>
        <v/>
      </c>
      <c r="I354" s="35" t="str">
        <f aca="false">IF($B354="","",N($F354)+$H354)</f>
        <v/>
      </c>
      <c r="J354" s="6"/>
      <c r="K354" s="46" t="str">
        <f aca="false">IF($A354="","",DATE(YEAR($A354),MONTH($A354),1))</f>
        <v/>
      </c>
    </row>
    <row r="355" customFormat="false" ht="15" hidden="false" customHeight="false" outlineLevel="0" collapsed="false">
      <c r="A355" s="44"/>
      <c r="B355" s="6"/>
      <c r="C355" s="6"/>
      <c r="D355" s="6"/>
      <c r="E355" s="6"/>
      <c r="F355" s="40"/>
      <c r="G355" s="41"/>
      <c r="H355" s="35" t="str">
        <f aca="false">IF($B355="","",N($F355)*N($G355))</f>
        <v/>
      </c>
      <c r="I355" s="35" t="str">
        <f aca="false">IF($B355="","",N($F355)+$H355)</f>
        <v/>
      </c>
      <c r="J355" s="6"/>
      <c r="K355" s="46" t="str">
        <f aca="false">IF($A355="","",DATE(YEAR($A355),MONTH($A355),1))</f>
        <v/>
      </c>
    </row>
    <row r="356" customFormat="false" ht="15" hidden="false" customHeight="false" outlineLevel="0" collapsed="false">
      <c r="A356" s="44"/>
      <c r="B356" s="6"/>
      <c r="C356" s="6"/>
      <c r="D356" s="6"/>
      <c r="E356" s="6"/>
      <c r="F356" s="40"/>
      <c r="G356" s="41"/>
      <c r="H356" s="35" t="str">
        <f aca="false">IF($B356="","",N($F356)*N($G356))</f>
        <v/>
      </c>
      <c r="I356" s="35" t="str">
        <f aca="false">IF($B356="","",N($F356)+$H356)</f>
        <v/>
      </c>
      <c r="J356" s="6"/>
      <c r="K356" s="46" t="str">
        <f aca="false">IF($A356="","",DATE(YEAR($A356),MONTH($A356),1))</f>
        <v/>
      </c>
    </row>
    <row r="357" customFormat="false" ht="15" hidden="false" customHeight="false" outlineLevel="0" collapsed="false">
      <c r="A357" s="44"/>
      <c r="B357" s="6"/>
      <c r="C357" s="6"/>
      <c r="D357" s="6"/>
      <c r="E357" s="6"/>
      <c r="F357" s="40"/>
      <c r="G357" s="41"/>
      <c r="H357" s="35" t="str">
        <f aca="false">IF($B357="","",N($F357)*N($G357))</f>
        <v/>
      </c>
      <c r="I357" s="35" t="str">
        <f aca="false">IF($B357="","",N($F357)+$H357)</f>
        <v/>
      </c>
      <c r="J357" s="6"/>
      <c r="K357" s="46" t="str">
        <f aca="false">IF($A357="","",DATE(YEAR($A357),MONTH($A357),1))</f>
        <v/>
      </c>
    </row>
    <row r="358" customFormat="false" ht="15" hidden="false" customHeight="false" outlineLevel="0" collapsed="false">
      <c r="A358" s="44"/>
      <c r="B358" s="6"/>
      <c r="C358" s="6"/>
      <c r="D358" s="6"/>
      <c r="E358" s="6"/>
      <c r="F358" s="40"/>
      <c r="G358" s="41"/>
      <c r="H358" s="35" t="str">
        <f aca="false">IF($B358="","",N($F358)*N($G358))</f>
        <v/>
      </c>
      <c r="I358" s="35" t="str">
        <f aca="false">IF($B358="","",N($F358)+$H358)</f>
        <v/>
      </c>
      <c r="J358" s="6"/>
      <c r="K358" s="46" t="str">
        <f aca="false">IF($A358="","",DATE(YEAR($A358),MONTH($A358),1))</f>
        <v/>
      </c>
    </row>
    <row r="359" customFormat="false" ht="15" hidden="false" customHeight="false" outlineLevel="0" collapsed="false">
      <c r="A359" s="44"/>
      <c r="B359" s="6"/>
      <c r="C359" s="6"/>
      <c r="D359" s="6"/>
      <c r="E359" s="6"/>
      <c r="F359" s="40"/>
      <c r="G359" s="41"/>
      <c r="H359" s="35" t="str">
        <f aca="false">IF($B359="","",N($F359)*N($G359))</f>
        <v/>
      </c>
      <c r="I359" s="35" t="str">
        <f aca="false">IF($B359="","",N($F359)+$H359)</f>
        <v/>
      </c>
      <c r="J359" s="6"/>
      <c r="K359" s="46" t="str">
        <f aca="false">IF($A359="","",DATE(YEAR($A359),MONTH($A359),1))</f>
        <v/>
      </c>
    </row>
    <row r="360" customFormat="false" ht="15" hidden="false" customHeight="false" outlineLevel="0" collapsed="false">
      <c r="A360" s="44"/>
      <c r="B360" s="6"/>
      <c r="C360" s="6"/>
      <c r="D360" s="6"/>
      <c r="E360" s="6"/>
      <c r="F360" s="40"/>
      <c r="G360" s="41"/>
      <c r="H360" s="35" t="str">
        <f aca="false">IF($B360="","",N($F360)*N($G360))</f>
        <v/>
      </c>
      <c r="I360" s="35" t="str">
        <f aca="false">IF($B360="","",N($F360)+$H360)</f>
        <v/>
      </c>
      <c r="J360" s="6"/>
      <c r="K360" s="46" t="str">
        <f aca="false">IF($A360="","",DATE(YEAR($A360),MONTH($A360),1))</f>
        <v/>
      </c>
    </row>
    <row r="361" customFormat="false" ht="15" hidden="false" customHeight="false" outlineLevel="0" collapsed="false">
      <c r="A361" s="44"/>
      <c r="B361" s="6"/>
      <c r="C361" s="6"/>
      <c r="D361" s="6"/>
      <c r="E361" s="6"/>
      <c r="F361" s="40"/>
      <c r="G361" s="41"/>
      <c r="H361" s="35" t="str">
        <f aca="false">IF($B361="","",N($F361)*N($G361))</f>
        <v/>
      </c>
      <c r="I361" s="35" t="str">
        <f aca="false">IF($B361="","",N($F361)+$H361)</f>
        <v/>
      </c>
      <c r="J361" s="6"/>
      <c r="K361" s="46" t="str">
        <f aca="false">IF($A361="","",DATE(YEAR($A361),MONTH($A361),1))</f>
        <v/>
      </c>
    </row>
    <row r="362" customFormat="false" ht="15" hidden="false" customHeight="false" outlineLevel="0" collapsed="false">
      <c r="A362" s="44"/>
      <c r="B362" s="6"/>
      <c r="C362" s="6"/>
      <c r="D362" s="6"/>
      <c r="E362" s="6"/>
      <c r="F362" s="40"/>
      <c r="G362" s="41"/>
      <c r="H362" s="35" t="str">
        <f aca="false">IF($B362="","",N($F362)*N($G362))</f>
        <v/>
      </c>
      <c r="I362" s="35" t="str">
        <f aca="false">IF($B362="","",N($F362)+$H362)</f>
        <v/>
      </c>
      <c r="J362" s="6"/>
      <c r="K362" s="46" t="str">
        <f aca="false">IF($A362="","",DATE(YEAR($A362),MONTH($A362),1))</f>
        <v/>
      </c>
    </row>
    <row r="363" customFormat="false" ht="15" hidden="false" customHeight="false" outlineLevel="0" collapsed="false">
      <c r="A363" s="44"/>
      <c r="B363" s="6"/>
      <c r="C363" s="6"/>
      <c r="D363" s="6"/>
      <c r="E363" s="6"/>
      <c r="F363" s="40"/>
      <c r="G363" s="41"/>
      <c r="H363" s="35" t="str">
        <f aca="false">IF($B363="","",N($F363)*N($G363))</f>
        <v/>
      </c>
      <c r="I363" s="35" t="str">
        <f aca="false">IF($B363="","",N($F363)+$H363)</f>
        <v/>
      </c>
      <c r="J363" s="6"/>
      <c r="K363" s="46" t="str">
        <f aca="false">IF($A363="","",DATE(YEAR($A363),MONTH($A363),1))</f>
        <v/>
      </c>
    </row>
    <row r="364" customFormat="false" ht="15" hidden="false" customHeight="false" outlineLevel="0" collapsed="false">
      <c r="A364" s="44"/>
      <c r="B364" s="6"/>
      <c r="C364" s="6"/>
      <c r="D364" s="6"/>
      <c r="E364" s="6"/>
      <c r="F364" s="40"/>
      <c r="G364" s="41"/>
      <c r="H364" s="35" t="str">
        <f aca="false">IF($B364="","",N($F364)*N($G364))</f>
        <v/>
      </c>
      <c r="I364" s="35" t="str">
        <f aca="false">IF($B364="","",N($F364)+$H364)</f>
        <v/>
      </c>
      <c r="J364" s="6"/>
      <c r="K364" s="46" t="str">
        <f aca="false">IF($A364="","",DATE(YEAR($A364),MONTH($A364),1))</f>
        <v/>
      </c>
    </row>
    <row r="365" customFormat="false" ht="15" hidden="false" customHeight="false" outlineLevel="0" collapsed="false">
      <c r="A365" s="44"/>
      <c r="B365" s="6"/>
      <c r="C365" s="6"/>
      <c r="D365" s="6"/>
      <c r="E365" s="6"/>
      <c r="F365" s="40"/>
      <c r="G365" s="41"/>
      <c r="H365" s="35" t="str">
        <f aca="false">IF($B365="","",N($F365)*N($G365))</f>
        <v/>
      </c>
      <c r="I365" s="35" t="str">
        <f aca="false">IF($B365="","",N($F365)+$H365)</f>
        <v/>
      </c>
      <c r="J365" s="6"/>
      <c r="K365" s="46" t="str">
        <f aca="false">IF($A365="","",DATE(YEAR($A365),MONTH($A365),1))</f>
        <v/>
      </c>
    </row>
    <row r="366" customFormat="false" ht="15" hidden="false" customHeight="false" outlineLevel="0" collapsed="false">
      <c r="A366" s="44"/>
      <c r="B366" s="6"/>
      <c r="C366" s="6"/>
      <c r="D366" s="6"/>
      <c r="E366" s="6"/>
      <c r="F366" s="40"/>
      <c r="G366" s="41"/>
      <c r="H366" s="35" t="str">
        <f aca="false">IF($B366="","",N($F366)*N($G366))</f>
        <v/>
      </c>
      <c r="I366" s="35" t="str">
        <f aca="false">IF($B366="","",N($F366)+$H366)</f>
        <v/>
      </c>
      <c r="J366" s="6"/>
      <c r="K366" s="46" t="str">
        <f aca="false">IF($A366="","",DATE(YEAR($A366),MONTH($A366),1))</f>
        <v/>
      </c>
    </row>
    <row r="367" customFormat="false" ht="15" hidden="false" customHeight="false" outlineLevel="0" collapsed="false">
      <c r="A367" s="44"/>
      <c r="B367" s="6"/>
      <c r="C367" s="6"/>
      <c r="D367" s="6"/>
      <c r="E367" s="6"/>
      <c r="F367" s="40"/>
      <c r="G367" s="41"/>
      <c r="H367" s="35" t="str">
        <f aca="false">IF($B367="","",N($F367)*N($G367))</f>
        <v/>
      </c>
      <c r="I367" s="35" t="str">
        <f aca="false">IF($B367="","",N($F367)+$H367)</f>
        <v/>
      </c>
      <c r="J367" s="6"/>
      <c r="K367" s="46" t="str">
        <f aca="false">IF($A367="","",DATE(YEAR($A367),MONTH($A367),1))</f>
        <v/>
      </c>
    </row>
    <row r="368" customFormat="false" ht="15" hidden="false" customHeight="false" outlineLevel="0" collapsed="false">
      <c r="A368" s="44"/>
      <c r="B368" s="6"/>
      <c r="C368" s="6"/>
      <c r="D368" s="6"/>
      <c r="E368" s="6"/>
      <c r="F368" s="40"/>
      <c r="G368" s="41"/>
      <c r="H368" s="35" t="str">
        <f aca="false">IF($B368="","",N($F368)*N($G368))</f>
        <v/>
      </c>
      <c r="I368" s="35" t="str">
        <f aca="false">IF($B368="","",N($F368)+$H368)</f>
        <v/>
      </c>
      <c r="J368" s="6"/>
      <c r="K368" s="46" t="str">
        <f aca="false">IF($A368="","",DATE(YEAR($A368),MONTH($A368),1))</f>
        <v/>
      </c>
    </row>
    <row r="369" customFormat="false" ht="15" hidden="false" customHeight="false" outlineLevel="0" collapsed="false">
      <c r="A369" s="44"/>
      <c r="B369" s="6"/>
      <c r="C369" s="6"/>
      <c r="D369" s="6"/>
      <c r="E369" s="6"/>
      <c r="F369" s="40"/>
      <c r="G369" s="41"/>
      <c r="H369" s="35" t="str">
        <f aca="false">IF($B369="","",N($F369)*N($G369))</f>
        <v/>
      </c>
      <c r="I369" s="35" t="str">
        <f aca="false">IF($B369="","",N($F369)+$H369)</f>
        <v/>
      </c>
      <c r="J369" s="6"/>
      <c r="K369" s="46" t="str">
        <f aca="false">IF($A369="","",DATE(YEAR($A369),MONTH($A369),1))</f>
        <v/>
      </c>
    </row>
    <row r="370" customFormat="false" ht="15" hidden="false" customHeight="false" outlineLevel="0" collapsed="false">
      <c r="A370" s="44"/>
      <c r="B370" s="6"/>
      <c r="C370" s="6"/>
      <c r="D370" s="6"/>
      <c r="E370" s="6"/>
      <c r="F370" s="40"/>
      <c r="G370" s="41"/>
      <c r="H370" s="35" t="str">
        <f aca="false">IF($B370="","",N($F370)*N($G370))</f>
        <v/>
      </c>
      <c r="I370" s="35" t="str">
        <f aca="false">IF($B370="","",N($F370)+$H370)</f>
        <v/>
      </c>
      <c r="J370" s="6"/>
      <c r="K370" s="46" t="str">
        <f aca="false">IF($A370="","",DATE(YEAR($A370),MONTH($A370),1))</f>
        <v/>
      </c>
    </row>
    <row r="371" customFormat="false" ht="15" hidden="false" customHeight="false" outlineLevel="0" collapsed="false">
      <c r="A371" s="44"/>
      <c r="B371" s="6"/>
      <c r="C371" s="6"/>
      <c r="D371" s="6"/>
      <c r="E371" s="6"/>
      <c r="F371" s="40"/>
      <c r="G371" s="41"/>
      <c r="H371" s="35" t="str">
        <f aca="false">IF($B371="","",N($F371)*N($G371))</f>
        <v/>
      </c>
      <c r="I371" s="35" t="str">
        <f aca="false">IF($B371="","",N($F371)+$H371)</f>
        <v/>
      </c>
      <c r="J371" s="6"/>
      <c r="K371" s="46" t="str">
        <f aca="false">IF($A371="","",DATE(YEAR($A371),MONTH($A371),1))</f>
        <v/>
      </c>
    </row>
    <row r="372" customFormat="false" ht="15" hidden="false" customHeight="false" outlineLevel="0" collapsed="false">
      <c r="A372" s="44"/>
      <c r="B372" s="6"/>
      <c r="C372" s="6"/>
      <c r="D372" s="6"/>
      <c r="E372" s="6"/>
      <c r="F372" s="40"/>
      <c r="G372" s="41"/>
      <c r="H372" s="35" t="str">
        <f aca="false">IF($B372="","",N($F372)*N($G372))</f>
        <v/>
      </c>
      <c r="I372" s="35" t="str">
        <f aca="false">IF($B372="","",N($F372)+$H372)</f>
        <v/>
      </c>
      <c r="J372" s="6"/>
      <c r="K372" s="46" t="str">
        <f aca="false">IF($A372="","",DATE(YEAR($A372),MONTH($A372),1))</f>
        <v/>
      </c>
    </row>
    <row r="373" customFormat="false" ht="15" hidden="false" customHeight="false" outlineLevel="0" collapsed="false">
      <c r="A373" s="44"/>
      <c r="B373" s="6"/>
      <c r="C373" s="6"/>
      <c r="D373" s="6"/>
      <c r="E373" s="6"/>
      <c r="F373" s="40"/>
      <c r="G373" s="41"/>
      <c r="H373" s="35" t="str">
        <f aca="false">IF($B373="","",N($F373)*N($G373))</f>
        <v/>
      </c>
      <c r="I373" s="35" t="str">
        <f aca="false">IF($B373="","",N($F373)+$H373)</f>
        <v/>
      </c>
      <c r="J373" s="6"/>
      <c r="K373" s="46" t="str">
        <f aca="false">IF($A373="","",DATE(YEAR($A373),MONTH($A373),1))</f>
        <v/>
      </c>
    </row>
    <row r="374" customFormat="false" ht="15" hidden="false" customHeight="false" outlineLevel="0" collapsed="false">
      <c r="A374" s="44"/>
      <c r="B374" s="6"/>
      <c r="C374" s="6"/>
      <c r="D374" s="6"/>
      <c r="E374" s="6"/>
      <c r="F374" s="40"/>
      <c r="G374" s="41"/>
      <c r="H374" s="35" t="str">
        <f aca="false">IF($B374="","",N($F374)*N($G374))</f>
        <v/>
      </c>
      <c r="I374" s="35" t="str">
        <f aca="false">IF($B374="","",N($F374)+$H374)</f>
        <v/>
      </c>
      <c r="J374" s="6"/>
      <c r="K374" s="46" t="str">
        <f aca="false">IF($A374="","",DATE(YEAR($A374),MONTH($A374),1))</f>
        <v/>
      </c>
    </row>
    <row r="375" customFormat="false" ht="15" hidden="false" customHeight="false" outlineLevel="0" collapsed="false">
      <c r="A375" s="44"/>
      <c r="B375" s="6"/>
      <c r="C375" s="6"/>
      <c r="D375" s="6"/>
      <c r="E375" s="6"/>
      <c r="F375" s="40"/>
      <c r="G375" s="41"/>
      <c r="H375" s="35" t="str">
        <f aca="false">IF($B375="","",N($F375)*N($G375))</f>
        <v/>
      </c>
      <c r="I375" s="35" t="str">
        <f aca="false">IF($B375="","",N($F375)+$H375)</f>
        <v/>
      </c>
      <c r="J375" s="6"/>
      <c r="K375" s="46" t="str">
        <f aca="false">IF($A375="","",DATE(YEAR($A375),MONTH($A375),1))</f>
        <v/>
      </c>
    </row>
    <row r="376" customFormat="false" ht="15" hidden="false" customHeight="false" outlineLevel="0" collapsed="false">
      <c r="A376" s="44"/>
      <c r="B376" s="6"/>
      <c r="C376" s="6"/>
      <c r="D376" s="6"/>
      <c r="E376" s="6"/>
      <c r="F376" s="40"/>
      <c r="G376" s="41"/>
      <c r="H376" s="35" t="str">
        <f aca="false">IF($B376="","",N($F376)*N($G376))</f>
        <v/>
      </c>
      <c r="I376" s="35" t="str">
        <f aca="false">IF($B376="","",N($F376)+$H376)</f>
        <v/>
      </c>
      <c r="J376" s="6"/>
      <c r="K376" s="46" t="str">
        <f aca="false">IF($A376="","",DATE(YEAR($A376),MONTH($A376),1))</f>
        <v/>
      </c>
    </row>
    <row r="377" customFormat="false" ht="15" hidden="false" customHeight="false" outlineLevel="0" collapsed="false">
      <c r="A377" s="44"/>
      <c r="B377" s="6"/>
      <c r="C377" s="6"/>
      <c r="D377" s="6"/>
      <c r="E377" s="6"/>
      <c r="F377" s="40"/>
      <c r="G377" s="41"/>
      <c r="H377" s="35" t="str">
        <f aca="false">IF($B377="","",N($F377)*N($G377))</f>
        <v/>
      </c>
      <c r="I377" s="35" t="str">
        <f aca="false">IF($B377="","",N($F377)+$H377)</f>
        <v/>
      </c>
      <c r="J377" s="6"/>
      <c r="K377" s="46" t="str">
        <f aca="false">IF($A377="","",DATE(YEAR($A377),MONTH($A377),1))</f>
        <v/>
      </c>
    </row>
    <row r="378" customFormat="false" ht="15" hidden="false" customHeight="false" outlineLevel="0" collapsed="false">
      <c r="A378" s="44"/>
      <c r="B378" s="6"/>
      <c r="C378" s="6"/>
      <c r="D378" s="6"/>
      <c r="E378" s="6"/>
      <c r="F378" s="40"/>
      <c r="G378" s="41"/>
      <c r="H378" s="35" t="str">
        <f aca="false">IF($B378="","",N($F378)*N($G378))</f>
        <v/>
      </c>
      <c r="I378" s="35" t="str">
        <f aca="false">IF($B378="","",N($F378)+$H378)</f>
        <v/>
      </c>
      <c r="J378" s="6"/>
      <c r="K378" s="46" t="str">
        <f aca="false">IF($A378="","",DATE(YEAR($A378),MONTH($A378),1))</f>
        <v/>
      </c>
    </row>
    <row r="379" customFormat="false" ht="15" hidden="false" customHeight="false" outlineLevel="0" collapsed="false">
      <c r="A379" s="44"/>
      <c r="B379" s="6"/>
      <c r="C379" s="6"/>
      <c r="D379" s="6"/>
      <c r="E379" s="6"/>
      <c r="F379" s="40"/>
      <c r="G379" s="41"/>
      <c r="H379" s="35" t="str">
        <f aca="false">IF($B379="","",N($F379)*N($G379))</f>
        <v/>
      </c>
      <c r="I379" s="35" t="str">
        <f aca="false">IF($B379="","",N($F379)+$H379)</f>
        <v/>
      </c>
      <c r="J379" s="6"/>
      <c r="K379" s="46" t="str">
        <f aca="false">IF($A379="","",DATE(YEAR($A379),MONTH($A379),1))</f>
        <v/>
      </c>
    </row>
    <row r="380" customFormat="false" ht="15" hidden="false" customHeight="false" outlineLevel="0" collapsed="false">
      <c r="A380" s="44"/>
      <c r="B380" s="6"/>
      <c r="C380" s="6"/>
      <c r="D380" s="6"/>
      <c r="E380" s="6"/>
      <c r="F380" s="40"/>
      <c r="G380" s="41"/>
      <c r="H380" s="35" t="str">
        <f aca="false">IF($B380="","",N($F380)*N($G380))</f>
        <v/>
      </c>
      <c r="I380" s="35" t="str">
        <f aca="false">IF($B380="","",N($F380)+$H380)</f>
        <v/>
      </c>
      <c r="J380" s="6"/>
      <c r="K380" s="46" t="str">
        <f aca="false">IF($A380="","",DATE(YEAR($A380),MONTH($A380),1))</f>
        <v/>
      </c>
    </row>
    <row r="381" customFormat="false" ht="15" hidden="false" customHeight="false" outlineLevel="0" collapsed="false">
      <c r="A381" s="44"/>
      <c r="B381" s="6"/>
      <c r="C381" s="6"/>
      <c r="D381" s="6"/>
      <c r="E381" s="6"/>
      <c r="F381" s="40"/>
      <c r="G381" s="41"/>
      <c r="H381" s="35" t="str">
        <f aca="false">IF($B381="","",N($F381)*N($G381))</f>
        <v/>
      </c>
      <c r="I381" s="35" t="str">
        <f aca="false">IF($B381="","",N($F381)+$H381)</f>
        <v/>
      </c>
      <c r="J381" s="6"/>
      <c r="K381" s="46" t="str">
        <f aca="false">IF($A381="","",DATE(YEAR($A381),MONTH($A381),1))</f>
        <v/>
      </c>
    </row>
    <row r="382" customFormat="false" ht="15" hidden="false" customHeight="false" outlineLevel="0" collapsed="false">
      <c r="A382" s="44"/>
      <c r="B382" s="6"/>
      <c r="C382" s="6"/>
      <c r="D382" s="6"/>
      <c r="E382" s="6"/>
      <c r="F382" s="40"/>
      <c r="G382" s="41"/>
      <c r="H382" s="35" t="str">
        <f aca="false">IF($B382="","",N($F382)*N($G382))</f>
        <v/>
      </c>
      <c r="I382" s="35" t="str">
        <f aca="false">IF($B382="","",N($F382)+$H382)</f>
        <v/>
      </c>
      <c r="J382" s="6"/>
      <c r="K382" s="46" t="str">
        <f aca="false">IF($A382="","",DATE(YEAR($A382),MONTH($A382),1))</f>
        <v/>
      </c>
    </row>
    <row r="383" customFormat="false" ht="15" hidden="false" customHeight="false" outlineLevel="0" collapsed="false">
      <c r="A383" s="44"/>
      <c r="B383" s="6"/>
      <c r="C383" s="6"/>
      <c r="D383" s="6"/>
      <c r="E383" s="6"/>
      <c r="F383" s="40"/>
      <c r="G383" s="41"/>
      <c r="H383" s="35" t="str">
        <f aca="false">IF($B383="","",N($F383)*N($G383))</f>
        <v/>
      </c>
      <c r="I383" s="35" t="str">
        <f aca="false">IF($B383="","",N($F383)+$H383)</f>
        <v/>
      </c>
      <c r="J383" s="6"/>
      <c r="K383" s="46" t="str">
        <f aca="false">IF($A383="","",DATE(YEAR($A383),MONTH($A383),1))</f>
        <v/>
      </c>
    </row>
    <row r="384" customFormat="false" ht="15" hidden="false" customHeight="false" outlineLevel="0" collapsed="false">
      <c r="A384" s="44"/>
      <c r="B384" s="6"/>
      <c r="C384" s="6"/>
      <c r="D384" s="6"/>
      <c r="E384" s="6"/>
      <c r="F384" s="40"/>
      <c r="G384" s="41"/>
      <c r="H384" s="35" t="str">
        <f aca="false">IF($B384="","",N($F384)*N($G384))</f>
        <v/>
      </c>
      <c r="I384" s="35" t="str">
        <f aca="false">IF($B384="","",N($F384)+$H384)</f>
        <v/>
      </c>
      <c r="J384" s="6"/>
      <c r="K384" s="46" t="str">
        <f aca="false">IF($A384="","",DATE(YEAR($A384),MONTH($A384),1))</f>
        <v/>
      </c>
    </row>
    <row r="385" customFormat="false" ht="15" hidden="false" customHeight="false" outlineLevel="0" collapsed="false">
      <c r="A385" s="44"/>
      <c r="B385" s="6"/>
      <c r="C385" s="6"/>
      <c r="D385" s="6"/>
      <c r="E385" s="6"/>
      <c r="F385" s="40"/>
      <c r="G385" s="41"/>
      <c r="H385" s="35" t="str">
        <f aca="false">IF($B385="","",N($F385)*N($G385))</f>
        <v/>
      </c>
      <c r="I385" s="35" t="str">
        <f aca="false">IF($B385="","",N($F385)+$H385)</f>
        <v/>
      </c>
      <c r="J385" s="6"/>
      <c r="K385" s="46" t="str">
        <f aca="false">IF($A385="","",DATE(YEAR($A385),MONTH($A385),1))</f>
        <v/>
      </c>
    </row>
    <row r="386" customFormat="false" ht="15" hidden="false" customHeight="false" outlineLevel="0" collapsed="false">
      <c r="A386" s="44"/>
      <c r="B386" s="6"/>
      <c r="C386" s="6"/>
      <c r="D386" s="6"/>
      <c r="E386" s="6"/>
      <c r="F386" s="40"/>
      <c r="G386" s="41"/>
      <c r="H386" s="35" t="str">
        <f aca="false">IF($B386="","",N($F386)*N($G386))</f>
        <v/>
      </c>
      <c r="I386" s="35" t="str">
        <f aca="false">IF($B386="","",N($F386)+$H386)</f>
        <v/>
      </c>
      <c r="J386" s="6"/>
      <c r="K386" s="46" t="str">
        <f aca="false">IF($A386="","",DATE(YEAR($A386),MONTH($A386),1))</f>
        <v/>
      </c>
    </row>
    <row r="387" customFormat="false" ht="15" hidden="false" customHeight="false" outlineLevel="0" collapsed="false">
      <c r="A387" s="44"/>
      <c r="B387" s="6"/>
      <c r="C387" s="6"/>
      <c r="D387" s="6"/>
      <c r="E387" s="6"/>
      <c r="F387" s="40"/>
      <c r="G387" s="41"/>
      <c r="H387" s="35" t="str">
        <f aca="false">IF($B387="","",N($F387)*N($G387))</f>
        <v/>
      </c>
      <c r="I387" s="35" t="str">
        <f aca="false">IF($B387="","",N($F387)+$H387)</f>
        <v/>
      </c>
      <c r="J387" s="6"/>
      <c r="K387" s="46" t="str">
        <f aca="false">IF($A387="","",DATE(YEAR($A387),MONTH($A387),1))</f>
        <v/>
      </c>
    </row>
    <row r="388" customFormat="false" ht="15" hidden="false" customHeight="false" outlineLevel="0" collapsed="false">
      <c r="A388" s="44"/>
      <c r="B388" s="6"/>
      <c r="C388" s="6"/>
      <c r="D388" s="6"/>
      <c r="E388" s="6"/>
      <c r="F388" s="40"/>
      <c r="G388" s="41"/>
      <c r="H388" s="35" t="str">
        <f aca="false">IF($B388="","",N($F388)*N($G388))</f>
        <v/>
      </c>
      <c r="I388" s="35" t="str">
        <f aca="false">IF($B388="","",N($F388)+$H388)</f>
        <v/>
      </c>
      <c r="J388" s="6"/>
      <c r="K388" s="46" t="str">
        <f aca="false">IF($A388="","",DATE(YEAR($A388),MONTH($A388),1))</f>
        <v/>
      </c>
    </row>
    <row r="389" customFormat="false" ht="15" hidden="false" customHeight="false" outlineLevel="0" collapsed="false">
      <c r="A389" s="44"/>
      <c r="B389" s="6"/>
      <c r="C389" s="6"/>
      <c r="D389" s="6"/>
      <c r="E389" s="6"/>
      <c r="F389" s="40"/>
      <c r="G389" s="41"/>
      <c r="H389" s="35" t="str">
        <f aca="false">IF($B389="","",N($F389)*N($G389))</f>
        <v/>
      </c>
      <c r="I389" s="35" t="str">
        <f aca="false">IF($B389="","",N($F389)+$H389)</f>
        <v/>
      </c>
      <c r="J389" s="6"/>
      <c r="K389" s="46" t="str">
        <f aca="false">IF($A389="","",DATE(YEAR($A389),MONTH($A389),1))</f>
        <v/>
      </c>
    </row>
    <row r="390" customFormat="false" ht="15" hidden="false" customHeight="false" outlineLevel="0" collapsed="false">
      <c r="A390" s="44"/>
      <c r="B390" s="6"/>
      <c r="C390" s="6"/>
      <c r="D390" s="6"/>
      <c r="E390" s="6"/>
      <c r="F390" s="40"/>
      <c r="G390" s="41"/>
      <c r="H390" s="35" t="str">
        <f aca="false">IF($B390="","",N($F390)*N($G390))</f>
        <v/>
      </c>
      <c r="I390" s="35" t="str">
        <f aca="false">IF($B390="","",N($F390)+$H390)</f>
        <v/>
      </c>
      <c r="J390" s="6"/>
      <c r="K390" s="46" t="str">
        <f aca="false">IF($A390="","",DATE(YEAR($A390),MONTH($A390),1))</f>
        <v/>
      </c>
    </row>
    <row r="391" customFormat="false" ht="15" hidden="false" customHeight="false" outlineLevel="0" collapsed="false">
      <c r="A391" s="44"/>
      <c r="B391" s="6"/>
      <c r="C391" s="6"/>
      <c r="D391" s="6"/>
      <c r="E391" s="6"/>
      <c r="F391" s="40"/>
      <c r="G391" s="41"/>
      <c r="H391" s="35" t="str">
        <f aca="false">IF($B391="","",N($F391)*N($G391))</f>
        <v/>
      </c>
      <c r="I391" s="35" t="str">
        <f aca="false">IF($B391="","",N($F391)+$H391)</f>
        <v/>
      </c>
      <c r="J391" s="6"/>
      <c r="K391" s="46" t="str">
        <f aca="false">IF($A391="","",DATE(YEAR($A391),MONTH($A391),1))</f>
        <v/>
      </c>
    </row>
    <row r="392" customFormat="false" ht="15" hidden="false" customHeight="false" outlineLevel="0" collapsed="false">
      <c r="A392" s="44"/>
      <c r="B392" s="6"/>
      <c r="C392" s="6"/>
      <c r="D392" s="6"/>
      <c r="E392" s="6"/>
      <c r="F392" s="40"/>
      <c r="G392" s="41"/>
      <c r="H392" s="35" t="str">
        <f aca="false">IF($B392="","",N($F392)*N($G392))</f>
        <v/>
      </c>
      <c r="I392" s="35" t="str">
        <f aca="false">IF($B392="","",N($F392)+$H392)</f>
        <v/>
      </c>
      <c r="J392" s="6"/>
      <c r="K392" s="46" t="str">
        <f aca="false">IF($A392="","",DATE(YEAR($A392),MONTH($A392),1))</f>
        <v/>
      </c>
    </row>
    <row r="393" customFormat="false" ht="15" hidden="false" customHeight="false" outlineLevel="0" collapsed="false">
      <c r="A393" s="44"/>
      <c r="B393" s="6"/>
      <c r="C393" s="6"/>
      <c r="D393" s="6"/>
      <c r="E393" s="6"/>
      <c r="F393" s="40"/>
      <c r="G393" s="41"/>
      <c r="H393" s="35" t="str">
        <f aca="false">IF($B393="","",N($F393)*N($G393))</f>
        <v/>
      </c>
      <c r="I393" s="35" t="str">
        <f aca="false">IF($B393="","",N($F393)+$H393)</f>
        <v/>
      </c>
      <c r="J393" s="6"/>
      <c r="K393" s="46" t="str">
        <f aca="false">IF($A393="","",DATE(YEAR($A393),MONTH($A393),1))</f>
        <v/>
      </c>
    </row>
    <row r="394" customFormat="false" ht="15" hidden="false" customHeight="false" outlineLevel="0" collapsed="false">
      <c r="A394" s="44"/>
      <c r="B394" s="6"/>
      <c r="C394" s="6"/>
      <c r="D394" s="6"/>
      <c r="E394" s="6"/>
      <c r="F394" s="40"/>
      <c r="G394" s="41"/>
      <c r="H394" s="35" t="str">
        <f aca="false">IF($B394="","",N($F394)*N($G394))</f>
        <v/>
      </c>
      <c r="I394" s="35" t="str">
        <f aca="false">IF($B394="","",N($F394)+$H394)</f>
        <v/>
      </c>
      <c r="J394" s="6"/>
      <c r="K394" s="46" t="str">
        <f aca="false">IF($A394="","",DATE(YEAR($A394),MONTH($A394),1))</f>
        <v/>
      </c>
    </row>
    <row r="395" customFormat="false" ht="15" hidden="false" customHeight="false" outlineLevel="0" collapsed="false">
      <c r="A395" s="44"/>
      <c r="B395" s="6"/>
      <c r="C395" s="6"/>
      <c r="D395" s="6"/>
      <c r="E395" s="6"/>
      <c r="F395" s="40"/>
      <c r="G395" s="41"/>
      <c r="H395" s="35" t="str">
        <f aca="false">IF($B395="","",N($F395)*N($G395))</f>
        <v/>
      </c>
      <c r="I395" s="35" t="str">
        <f aca="false">IF($B395="","",N($F395)+$H395)</f>
        <v/>
      </c>
      <c r="J395" s="6"/>
      <c r="K395" s="46" t="str">
        <f aca="false">IF($A395="","",DATE(YEAR($A395),MONTH($A395),1))</f>
        <v/>
      </c>
    </row>
    <row r="396" customFormat="false" ht="15" hidden="false" customHeight="false" outlineLevel="0" collapsed="false">
      <c r="A396" s="44"/>
      <c r="B396" s="6"/>
      <c r="C396" s="6"/>
      <c r="D396" s="6"/>
      <c r="E396" s="6"/>
      <c r="F396" s="40"/>
      <c r="G396" s="41"/>
      <c r="H396" s="35" t="str">
        <f aca="false">IF($B396="","",N($F396)*N($G396))</f>
        <v/>
      </c>
      <c r="I396" s="35" t="str">
        <f aca="false">IF($B396="","",N($F396)+$H396)</f>
        <v/>
      </c>
      <c r="J396" s="6"/>
      <c r="K396" s="46" t="str">
        <f aca="false">IF($A396="","",DATE(YEAR($A396),MONTH($A396),1))</f>
        <v/>
      </c>
    </row>
    <row r="397" customFormat="false" ht="15" hidden="false" customHeight="false" outlineLevel="0" collapsed="false">
      <c r="A397" s="44"/>
      <c r="B397" s="6"/>
      <c r="C397" s="6"/>
      <c r="D397" s="6"/>
      <c r="E397" s="6"/>
      <c r="F397" s="40"/>
      <c r="G397" s="41"/>
      <c r="H397" s="35" t="str">
        <f aca="false">IF($B397="","",N($F397)*N($G397))</f>
        <v/>
      </c>
      <c r="I397" s="35" t="str">
        <f aca="false">IF($B397="","",N($F397)+$H397)</f>
        <v/>
      </c>
      <c r="J397" s="6"/>
      <c r="K397" s="46" t="str">
        <f aca="false">IF($A397="","",DATE(YEAR($A397),MONTH($A397),1))</f>
        <v/>
      </c>
    </row>
    <row r="398" customFormat="false" ht="15" hidden="false" customHeight="false" outlineLevel="0" collapsed="false">
      <c r="A398" s="44"/>
      <c r="B398" s="6"/>
      <c r="C398" s="6"/>
      <c r="D398" s="6"/>
      <c r="E398" s="6"/>
      <c r="F398" s="40"/>
      <c r="G398" s="41"/>
      <c r="H398" s="35" t="str">
        <f aca="false">IF($B398="","",N($F398)*N($G398))</f>
        <v/>
      </c>
      <c r="I398" s="35" t="str">
        <f aca="false">IF($B398="","",N($F398)+$H398)</f>
        <v/>
      </c>
      <c r="J398" s="6"/>
      <c r="K398" s="46" t="str">
        <f aca="false">IF($A398="","",DATE(YEAR($A398),MONTH($A398),1))</f>
        <v/>
      </c>
    </row>
    <row r="399" customFormat="false" ht="15" hidden="false" customHeight="false" outlineLevel="0" collapsed="false">
      <c r="A399" s="44"/>
      <c r="B399" s="6"/>
      <c r="C399" s="6"/>
      <c r="D399" s="6"/>
      <c r="E399" s="6"/>
      <c r="F399" s="40"/>
      <c r="G399" s="41"/>
      <c r="H399" s="35" t="str">
        <f aca="false">IF($B399="","",N($F399)*N($G399))</f>
        <v/>
      </c>
      <c r="I399" s="35" t="str">
        <f aca="false">IF($B399="","",N($F399)+$H399)</f>
        <v/>
      </c>
      <c r="J399" s="6"/>
      <c r="K399" s="46" t="str">
        <f aca="false">IF($A399="","",DATE(YEAR($A399),MONTH($A399),1))</f>
        <v/>
      </c>
    </row>
    <row r="400" customFormat="false" ht="15" hidden="false" customHeight="false" outlineLevel="0" collapsed="false">
      <c r="A400" s="44"/>
      <c r="B400" s="6"/>
      <c r="C400" s="6"/>
      <c r="D400" s="6"/>
      <c r="E400" s="6"/>
      <c r="F400" s="40"/>
      <c r="G400" s="41"/>
      <c r="H400" s="35" t="str">
        <f aca="false">IF($B400="","",N($F400)*N($G400))</f>
        <v/>
      </c>
      <c r="I400" s="35" t="str">
        <f aca="false">IF($B400="","",N($F400)+$H400)</f>
        <v/>
      </c>
      <c r="J400" s="6"/>
      <c r="K400" s="46" t="str">
        <f aca="false">IF($A400="","",DATE(YEAR($A400),MONTH($A400),1))</f>
        <v/>
      </c>
    </row>
    <row r="401" customFormat="false" ht="15" hidden="false" customHeight="false" outlineLevel="0" collapsed="false">
      <c r="A401" s="44"/>
      <c r="B401" s="6"/>
      <c r="C401" s="6"/>
      <c r="D401" s="6"/>
      <c r="E401" s="6"/>
      <c r="F401" s="40"/>
      <c r="G401" s="41"/>
      <c r="H401" s="35" t="str">
        <f aca="false">IF($B401="","",N($F401)*N($G401))</f>
        <v/>
      </c>
      <c r="I401" s="35" t="str">
        <f aca="false">IF($B401="","",N($F401)+$H401)</f>
        <v/>
      </c>
      <c r="J401" s="6"/>
      <c r="K401" s="46" t="str">
        <f aca="false">IF($A401="","",DATE(YEAR($A401),MONTH($A401),1))</f>
        <v/>
      </c>
    </row>
    <row r="402" customFormat="false" ht="15" hidden="false" customHeight="false" outlineLevel="0" collapsed="false">
      <c r="A402" s="44"/>
      <c r="B402" s="6"/>
      <c r="C402" s="6"/>
      <c r="D402" s="6"/>
      <c r="E402" s="6"/>
      <c r="F402" s="40"/>
      <c r="G402" s="41"/>
      <c r="H402" s="35" t="str">
        <f aca="false">IF($B402="","",N($F402)*N($G402))</f>
        <v/>
      </c>
      <c r="I402" s="35" t="str">
        <f aca="false">IF($B402="","",N($F402)+$H402)</f>
        <v/>
      </c>
      <c r="J402" s="6"/>
      <c r="K402" s="46" t="str">
        <f aca="false">IF($A402="","",DATE(YEAR($A402),MONTH($A402),1))</f>
        <v/>
      </c>
    </row>
    <row r="403" customFormat="false" ht="15" hidden="false" customHeight="false" outlineLevel="0" collapsed="false">
      <c r="A403" s="44"/>
      <c r="B403" s="6"/>
      <c r="C403" s="6"/>
      <c r="D403" s="6"/>
      <c r="E403" s="6"/>
      <c r="F403" s="40"/>
      <c r="G403" s="41"/>
      <c r="H403" s="35" t="str">
        <f aca="false">IF($B403="","",N($F403)*N($G403))</f>
        <v/>
      </c>
      <c r="I403" s="35" t="str">
        <f aca="false">IF($B403="","",N($F403)+$H403)</f>
        <v/>
      </c>
      <c r="J403" s="6"/>
      <c r="K403" s="46" t="str">
        <f aca="false">IF($A403="","",DATE(YEAR($A403),MONTH($A403),1))</f>
        <v/>
      </c>
    </row>
    <row r="404" customFormat="false" ht="15" hidden="false" customHeight="false" outlineLevel="0" collapsed="false">
      <c r="A404" s="44"/>
      <c r="B404" s="6"/>
      <c r="C404" s="6"/>
      <c r="D404" s="6"/>
      <c r="E404" s="6"/>
      <c r="F404" s="40"/>
      <c r="G404" s="41"/>
      <c r="H404" s="35" t="str">
        <f aca="false">IF($B404="","",N($F404)*N($G404))</f>
        <v/>
      </c>
      <c r="I404" s="35" t="str">
        <f aca="false">IF($B404="","",N($F404)+$H404)</f>
        <v/>
      </c>
      <c r="J404" s="6"/>
      <c r="K404" s="46" t="str">
        <f aca="false">IF($A404="","",DATE(YEAR($A404),MONTH($A404),1))</f>
        <v/>
      </c>
    </row>
    <row r="405" customFormat="false" ht="15" hidden="false" customHeight="false" outlineLevel="0" collapsed="false">
      <c r="A405" s="44"/>
      <c r="B405" s="6"/>
      <c r="C405" s="6"/>
      <c r="D405" s="6"/>
      <c r="E405" s="6"/>
      <c r="F405" s="40"/>
      <c r="G405" s="41"/>
      <c r="H405" s="35" t="str">
        <f aca="false">IF($B405="","",N($F405)*N($G405))</f>
        <v/>
      </c>
      <c r="I405" s="35" t="str">
        <f aca="false">IF($B405="","",N($F405)+$H405)</f>
        <v/>
      </c>
      <c r="J405" s="6"/>
      <c r="K405" s="46" t="str">
        <f aca="false">IF($A405="","",DATE(YEAR($A405),MONTH($A405),1))</f>
        <v/>
      </c>
    </row>
    <row r="406" customFormat="false" ht="15" hidden="false" customHeight="false" outlineLevel="0" collapsed="false">
      <c r="A406" s="44"/>
      <c r="B406" s="6"/>
      <c r="C406" s="6"/>
      <c r="D406" s="6"/>
      <c r="E406" s="6"/>
      <c r="F406" s="40"/>
      <c r="G406" s="41"/>
      <c r="H406" s="35" t="str">
        <f aca="false">IF($B406="","",N($F406)*N($G406))</f>
        <v/>
      </c>
      <c r="I406" s="35" t="str">
        <f aca="false">IF($B406="","",N($F406)+$H406)</f>
        <v/>
      </c>
      <c r="J406" s="6"/>
      <c r="K406" s="46" t="str">
        <f aca="false">IF($A406="","",DATE(YEAR($A406),MONTH($A406),1))</f>
        <v/>
      </c>
    </row>
    <row r="407" customFormat="false" ht="15" hidden="false" customHeight="false" outlineLevel="0" collapsed="false">
      <c r="A407" s="44"/>
      <c r="B407" s="6"/>
      <c r="C407" s="6"/>
      <c r="D407" s="6"/>
      <c r="E407" s="6"/>
      <c r="F407" s="40"/>
      <c r="G407" s="41"/>
      <c r="H407" s="35" t="str">
        <f aca="false">IF($B407="","",N($F407)*N($G407))</f>
        <v/>
      </c>
      <c r="I407" s="35" t="str">
        <f aca="false">IF($B407="","",N($F407)+$H407)</f>
        <v/>
      </c>
      <c r="J407" s="6"/>
      <c r="K407" s="46" t="str">
        <f aca="false">IF($A407="","",DATE(YEAR($A407),MONTH($A407),1))</f>
        <v/>
      </c>
    </row>
    <row r="408" customFormat="false" ht="15" hidden="false" customHeight="false" outlineLevel="0" collapsed="false">
      <c r="A408" s="44"/>
      <c r="B408" s="6"/>
      <c r="C408" s="6"/>
      <c r="D408" s="6"/>
      <c r="E408" s="6"/>
      <c r="F408" s="40"/>
      <c r="G408" s="41"/>
      <c r="H408" s="35" t="str">
        <f aca="false">IF($B408="","",N($F408)*N($G408))</f>
        <v/>
      </c>
      <c r="I408" s="35" t="str">
        <f aca="false">IF($B408="","",N($F408)+$H408)</f>
        <v/>
      </c>
      <c r="J408" s="6"/>
      <c r="K408" s="46" t="str">
        <f aca="false">IF($A408="","",DATE(YEAR($A408),MONTH($A408),1))</f>
        <v/>
      </c>
    </row>
    <row r="409" customFormat="false" ht="15" hidden="false" customHeight="false" outlineLevel="0" collapsed="false">
      <c r="A409" s="44"/>
      <c r="B409" s="6"/>
      <c r="C409" s="6"/>
      <c r="D409" s="6"/>
      <c r="E409" s="6"/>
      <c r="F409" s="40"/>
      <c r="G409" s="41"/>
      <c r="H409" s="35" t="str">
        <f aca="false">IF($B409="","",N($F409)*N($G409))</f>
        <v/>
      </c>
      <c r="I409" s="35" t="str">
        <f aca="false">IF($B409="","",N($F409)+$H409)</f>
        <v/>
      </c>
      <c r="J409" s="6"/>
      <c r="K409" s="46" t="str">
        <f aca="false">IF($A409="","",DATE(YEAR($A409),MONTH($A409),1))</f>
        <v/>
      </c>
    </row>
    <row r="410" customFormat="false" ht="15" hidden="false" customHeight="false" outlineLevel="0" collapsed="false">
      <c r="A410" s="44"/>
      <c r="B410" s="6"/>
      <c r="C410" s="6"/>
      <c r="D410" s="6"/>
      <c r="E410" s="6"/>
      <c r="F410" s="40"/>
      <c r="G410" s="41"/>
      <c r="H410" s="35" t="str">
        <f aca="false">IF($B410="","",N($F410)*N($G410))</f>
        <v/>
      </c>
      <c r="I410" s="35" t="str">
        <f aca="false">IF($B410="","",N($F410)+$H410)</f>
        <v/>
      </c>
      <c r="J410" s="6"/>
      <c r="K410" s="46" t="str">
        <f aca="false">IF($A410="","",DATE(YEAR($A410),MONTH($A410),1))</f>
        <v/>
      </c>
    </row>
    <row r="411" customFormat="false" ht="15" hidden="false" customHeight="false" outlineLevel="0" collapsed="false">
      <c r="A411" s="44"/>
      <c r="B411" s="6"/>
      <c r="C411" s="6"/>
      <c r="D411" s="6"/>
      <c r="E411" s="6"/>
      <c r="F411" s="40"/>
      <c r="G411" s="41"/>
      <c r="H411" s="35" t="str">
        <f aca="false">IF($B411="","",N($F411)*N($G411))</f>
        <v/>
      </c>
      <c r="I411" s="35" t="str">
        <f aca="false">IF($B411="","",N($F411)+$H411)</f>
        <v/>
      </c>
      <c r="J411" s="6"/>
      <c r="K411" s="46" t="str">
        <f aca="false">IF($A411="","",DATE(YEAR($A411),MONTH($A411),1))</f>
        <v/>
      </c>
    </row>
    <row r="412" customFormat="false" ht="15" hidden="false" customHeight="false" outlineLevel="0" collapsed="false">
      <c r="A412" s="44"/>
      <c r="B412" s="6"/>
      <c r="C412" s="6"/>
      <c r="D412" s="6"/>
      <c r="E412" s="6"/>
      <c r="F412" s="40"/>
      <c r="G412" s="41"/>
      <c r="H412" s="35" t="str">
        <f aca="false">IF($B412="","",N($F412)*N($G412))</f>
        <v/>
      </c>
      <c r="I412" s="35" t="str">
        <f aca="false">IF($B412="","",N($F412)+$H412)</f>
        <v/>
      </c>
      <c r="J412" s="6"/>
      <c r="K412" s="46" t="str">
        <f aca="false">IF($A412="","",DATE(YEAR($A412),MONTH($A412),1))</f>
        <v/>
      </c>
    </row>
    <row r="413" customFormat="false" ht="15" hidden="false" customHeight="false" outlineLevel="0" collapsed="false">
      <c r="A413" s="44"/>
      <c r="B413" s="6"/>
      <c r="C413" s="6"/>
      <c r="D413" s="6"/>
      <c r="E413" s="6"/>
      <c r="F413" s="40"/>
      <c r="G413" s="41"/>
      <c r="H413" s="35" t="str">
        <f aca="false">IF($B413="","",N($F413)*N($G413))</f>
        <v/>
      </c>
      <c r="I413" s="35" t="str">
        <f aca="false">IF($B413="","",N($F413)+$H413)</f>
        <v/>
      </c>
      <c r="J413" s="6"/>
      <c r="K413" s="46" t="str">
        <f aca="false">IF($A413="","",DATE(YEAR($A413),MONTH($A413),1))</f>
        <v/>
      </c>
    </row>
    <row r="414" customFormat="false" ht="15" hidden="false" customHeight="false" outlineLevel="0" collapsed="false">
      <c r="A414" s="44"/>
      <c r="B414" s="6"/>
      <c r="C414" s="6"/>
      <c r="D414" s="6"/>
      <c r="E414" s="6"/>
      <c r="F414" s="40"/>
      <c r="G414" s="41"/>
      <c r="H414" s="35" t="str">
        <f aca="false">IF($B414="","",N($F414)*N($G414))</f>
        <v/>
      </c>
      <c r="I414" s="35" t="str">
        <f aca="false">IF($B414="","",N($F414)+$H414)</f>
        <v/>
      </c>
      <c r="J414" s="6"/>
      <c r="K414" s="46" t="str">
        <f aca="false">IF($A414="","",DATE(YEAR($A414),MONTH($A414),1))</f>
        <v/>
      </c>
    </row>
    <row r="415" customFormat="false" ht="15" hidden="false" customHeight="false" outlineLevel="0" collapsed="false">
      <c r="A415" s="44"/>
      <c r="B415" s="6"/>
      <c r="C415" s="6"/>
      <c r="D415" s="6"/>
      <c r="E415" s="6"/>
      <c r="F415" s="40"/>
      <c r="G415" s="41"/>
      <c r="H415" s="35" t="str">
        <f aca="false">IF($B415="","",N($F415)*N($G415))</f>
        <v/>
      </c>
      <c r="I415" s="35" t="str">
        <f aca="false">IF($B415="","",N($F415)+$H415)</f>
        <v/>
      </c>
      <c r="J415" s="6"/>
      <c r="K415" s="46" t="str">
        <f aca="false">IF($A415="","",DATE(YEAR($A415),MONTH($A415),1))</f>
        <v/>
      </c>
    </row>
    <row r="416" customFormat="false" ht="15" hidden="false" customHeight="false" outlineLevel="0" collapsed="false">
      <c r="A416" s="44"/>
      <c r="B416" s="6"/>
      <c r="C416" s="6"/>
      <c r="D416" s="6"/>
      <c r="E416" s="6"/>
      <c r="F416" s="40"/>
      <c r="G416" s="41"/>
      <c r="H416" s="35" t="str">
        <f aca="false">IF($B416="","",N($F416)*N($G416))</f>
        <v/>
      </c>
      <c r="I416" s="35" t="str">
        <f aca="false">IF($B416="","",N($F416)+$H416)</f>
        <v/>
      </c>
      <c r="J416" s="6"/>
      <c r="K416" s="46" t="str">
        <f aca="false">IF($A416="","",DATE(YEAR($A416),MONTH($A416),1))</f>
        <v/>
      </c>
    </row>
    <row r="417" customFormat="false" ht="15" hidden="false" customHeight="false" outlineLevel="0" collapsed="false">
      <c r="A417" s="44"/>
      <c r="B417" s="6"/>
      <c r="C417" s="6"/>
      <c r="D417" s="6"/>
      <c r="E417" s="6"/>
      <c r="F417" s="40"/>
      <c r="G417" s="41"/>
      <c r="H417" s="35" t="str">
        <f aca="false">IF($B417="","",N($F417)*N($G417))</f>
        <v/>
      </c>
      <c r="I417" s="35" t="str">
        <f aca="false">IF($B417="","",N($F417)+$H417)</f>
        <v/>
      </c>
      <c r="J417" s="6"/>
      <c r="K417" s="46" t="str">
        <f aca="false">IF($A417="","",DATE(YEAR($A417),MONTH($A417),1))</f>
        <v/>
      </c>
    </row>
    <row r="418" customFormat="false" ht="15" hidden="false" customHeight="false" outlineLevel="0" collapsed="false">
      <c r="A418" s="44"/>
      <c r="B418" s="6"/>
      <c r="C418" s="6"/>
      <c r="D418" s="6"/>
      <c r="E418" s="6"/>
      <c r="F418" s="40"/>
      <c r="G418" s="41"/>
      <c r="H418" s="35" t="str">
        <f aca="false">IF($B418="","",N($F418)*N($G418))</f>
        <v/>
      </c>
      <c r="I418" s="35" t="str">
        <f aca="false">IF($B418="","",N($F418)+$H418)</f>
        <v/>
      </c>
      <c r="J418" s="6"/>
      <c r="K418" s="46" t="str">
        <f aca="false">IF($A418="","",DATE(YEAR($A418),MONTH($A418),1))</f>
        <v/>
      </c>
    </row>
    <row r="419" customFormat="false" ht="15" hidden="false" customHeight="false" outlineLevel="0" collapsed="false">
      <c r="A419" s="44"/>
      <c r="B419" s="6"/>
      <c r="C419" s="6"/>
      <c r="D419" s="6"/>
      <c r="E419" s="6"/>
      <c r="F419" s="40"/>
      <c r="G419" s="41"/>
      <c r="H419" s="35" t="str">
        <f aca="false">IF($B419="","",N($F419)*N($G419))</f>
        <v/>
      </c>
      <c r="I419" s="35" t="str">
        <f aca="false">IF($B419="","",N($F419)+$H419)</f>
        <v/>
      </c>
      <c r="J419" s="6"/>
      <c r="K419" s="46" t="str">
        <f aca="false">IF($A419="","",DATE(YEAR($A419),MONTH($A419),1))</f>
        <v/>
      </c>
    </row>
    <row r="420" customFormat="false" ht="15" hidden="false" customHeight="false" outlineLevel="0" collapsed="false">
      <c r="A420" s="44"/>
      <c r="B420" s="6"/>
      <c r="C420" s="6"/>
      <c r="D420" s="6"/>
      <c r="E420" s="6"/>
      <c r="F420" s="40"/>
      <c r="G420" s="41"/>
      <c r="H420" s="35" t="str">
        <f aca="false">IF($B420="","",N($F420)*N($G420))</f>
        <v/>
      </c>
      <c r="I420" s="35" t="str">
        <f aca="false">IF($B420="","",N($F420)+$H420)</f>
        <v/>
      </c>
      <c r="J420" s="6"/>
      <c r="K420" s="46" t="str">
        <f aca="false">IF($A420="","",DATE(YEAR($A420),MONTH($A420),1))</f>
        <v/>
      </c>
    </row>
    <row r="421" customFormat="false" ht="15" hidden="false" customHeight="false" outlineLevel="0" collapsed="false">
      <c r="A421" s="44"/>
      <c r="B421" s="6"/>
      <c r="C421" s="6"/>
      <c r="D421" s="6"/>
      <c r="E421" s="6"/>
      <c r="F421" s="40"/>
      <c r="G421" s="41"/>
      <c r="H421" s="35" t="str">
        <f aca="false">IF($B421="","",N($F421)*N($G421))</f>
        <v/>
      </c>
      <c r="I421" s="35" t="str">
        <f aca="false">IF($B421="","",N($F421)+$H421)</f>
        <v/>
      </c>
      <c r="J421" s="6"/>
      <c r="K421" s="46" t="str">
        <f aca="false">IF($A421="","",DATE(YEAR($A421),MONTH($A421),1))</f>
        <v/>
      </c>
    </row>
    <row r="422" customFormat="false" ht="15" hidden="false" customHeight="false" outlineLevel="0" collapsed="false">
      <c r="A422" s="44"/>
      <c r="B422" s="6"/>
      <c r="C422" s="6"/>
      <c r="D422" s="6"/>
      <c r="E422" s="6"/>
      <c r="F422" s="40"/>
      <c r="G422" s="41"/>
      <c r="H422" s="35" t="str">
        <f aca="false">IF($B422="","",N($F422)*N($G422))</f>
        <v/>
      </c>
      <c r="I422" s="35" t="str">
        <f aca="false">IF($B422="","",N($F422)+$H422)</f>
        <v/>
      </c>
      <c r="J422" s="6"/>
      <c r="K422" s="46" t="str">
        <f aca="false">IF($A422="","",DATE(YEAR($A422),MONTH($A422),1))</f>
        <v/>
      </c>
    </row>
    <row r="423" customFormat="false" ht="15" hidden="false" customHeight="false" outlineLevel="0" collapsed="false">
      <c r="A423" s="44"/>
      <c r="B423" s="6"/>
      <c r="C423" s="6"/>
      <c r="D423" s="6"/>
      <c r="E423" s="6"/>
      <c r="F423" s="40"/>
      <c r="G423" s="41"/>
      <c r="H423" s="35" t="str">
        <f aca="false">IF($B423="","",N($F423)*N($G423))</f>
        <v/>
      </c>
      <c r="I423" s="35" t="str">
        <f aca="false">IF($B423="","",N($F423)+$H423)</f>
        <v/>
      </c>
      <c r="J423" s="6"/>
      <c r="K423" s="46" t="str">
        <f aca="false">IF($A423="","",DATE(YEAR($A423),MONTH($A423),1))</f>
        <v/>
      </c>
    </row>
    <row r="424" customFormat="false" ht="15" hidden="false" customHeight="false" outlineLevel="0" collapsed="false">
      <c r="A424" s="44"/>
      <c r="B424" s="6"/>
      <c r="C424" s="6"/>
      <c r="D424" s="6"/>
      <c r="E424" s="6"/>
      <c r="F424" s="40"/>
      <c r="G424" s="41"/>
      <c r="H424" s="35" t="str">
        <f aca="false">IF($B424="","",N($F424)*N($G424))</f>
        <v/>
      </c>
      <c r="I424" s="35" t="str">
        <f aca="false">IF($B424="","",N($F424)+$H424)</f>
        <v/>
      </c>
      <c r="J424" s="6"/>
      <c r="K424" s="46" t="str">
        <f aca="false">IF($A424="","",DATE(YEAR($A424),MONTH($A424),1))</f>
        <v/>
      </c>
    </row>
    <row r="425" customFormat="false" ht="15" hidden="false" customHeight="false" outlineLevel="0" collapsed="false">
      <c r="A425" s="44"/>
      <c r="B425" s="6"/>
      <c r="C425" s="6"/>
      <c r="D425" s="6"/>
      <c r="E425" s="6"/>
      <c r="F425" s="40"/>
      <c r="G425" s="41"/>
      <c r="H425" s="35" t="str">
        <f aca="false">IF($B425="","",N($F425)*N($G425))</f>
        <v/>
      </c>
      <c r="I425" s="35" t="str">
        <f aca="false">IF($B425="","",N($F425)+$H425)</f>
        <v/>
      </c>
      <c r="J425" s="6"/>
      <c r="K425" s="46" t="str">
        <f aca="false">IF($A425="","",DATE(YEAR($A425),MONTH($A425),1))</f>
        <v/>
      </c>
    </row>
    <row r="426" customFormat="false" ht="15" hidden="false" customHeight="false" outlineLevel="0" collapsed="false">
      <c r="A426" s="44"/>
      <c r="B426" s="6"/>
      <c r="C426" s="6"/>
      <c r="D426" s="6"/>
      <c r="E426" s="6"/>
      <c r="F426" s="40"/>
      <c r="G426" s="41"/>
      <c r="H426" s="35" t="str">
        <f aca="false">IF($B426="","",N($F426)*N($G426))</f>
        <v/>
      </c>
      <c r="I426" s="35" t="str">
        <f aca="false">IF($B426="","",N($F426)+$H426)</f>
        <v/>
      </c>
      <c r="J426" s="6"/>
      <c r="K426" s="46" t="str">
        <f aca="false">IF($A426="","",DATE(YEAR($A426),MONTH($A426),1))</f>
        <v/>
      </c>
    </row>
    <row r="427" customFormat="false" ht="15" hidden="false" customHeight="false" outlineLevel="0" collapsed="false">
      <c r="A427" s="44"/>
      <c r="B427" s="6"/>
      <c r="C427" s="6"/>
      <c r="D427" s="6"/>
      <c r="E427" s="6"/>
      <c r="F427" s="40"/>
      <c r="G427" s="41"/>
      <c r="H427" s="35" t="str">
        <f aca="false">IF($B427="","",N($F427)*N($G427))</f>
        <v/>
      </c>
      <c r="I427" s="35" t="str">
        <f aca="false">IF($B427="","",N($F427)+$H427)</f>
        <v/>
      </c>
      <c r="J427" s="6"/>
      <c r="K427" s="46" t="str">
        <f aca="false">IF($A427="","",DATE(YEAR($A427),MONTH($A427),1))</f>
        <v/>
      </c>
    </row>
    <row r="428" customFormat="false" ht="15" hidden="false" customHeight="false" outlineLevel="0" collapsed="false">
      <c r="A428" s="44"/>
      <c r="B428" s="6"/>
      <c r="C428" s="6"/>
      <c r="D428" s="6"/>
      <c r="E428" s="6"/>
      <c r="F428" s="40"/>
      <c r="G428" s="41"/>
      <c r="H428" s="35" t="str">
        <f aca="false">IF($B428="","",N($F428)*N($G428))</f>
        <v/>
      </c>
      <c r="I428" s="35" t="str">
        <f aca="false">IF($B428="","",N($F428)+$H428)</f>
        <v/>
      </c>
      <c r="J428" s="6"/>
      <c r="K428" s="46" t="str">
        <f aca="false">IF($A428="","",DATE(YEAR($A428),MONTH($A428),1))</f>
        <v/>
      </c>
    </row>
    <row r="429" customFormat="false" ht="15" hidden="false" customHeight="false" outlineLevel="0" collapsed="false">
      <c r="A429" s="44"/>
      <c r="B429" s="6"/>
      <c r="C429" s="6"/>
      <c r="D429" s="6"/>
      <c r="E429" s="6"/>
      <c r="F429" s="40"/>
      <c r="G429" s="41"/>
      <c r="H429" s="35" t="str">
        <f aca="false">IF($B429="","",N($F429)*N($G429))</f>
        <v/>
      </c>
      <c r="I429" s="35" t="str">
        <f aca="false">IF($B429="","",N($F429)+$H429)</f>
        <v/>
      </c>
      <c r="J429" s="6"/>
      <c r="K429" s="46" t="str">
        <f aca="false">IF($A429="","",DATE(YEAR($A429),MONTH($A429),1))</f>
        <v/>
      </c>
    </row>
    <row r="430" customFormat="false" ht="15" hidden="false" customHeight="false" outlineLevel="0" collapsed="false">
      <c r="A430" s="44"/>
      <c r="B430" s="6"/>
      <c r="C430" s="6"/>
      <c r="D430" s="6"/>
      <c r="E430" s="6"/>
      <c r="F430" s="40"/>
      <c r="G430" s="41"/>
      <c r="H430" s="35" t="str">
        <f aca="false">IF($B430="","",N($F430)*N($G430))</f>
        <v/>
      </c>
      <c r="I430" s="35" t="str">
        <f aca="false">IF($B430="","",N($F430)+$H430)</f>
        <v/>
      </c>
      <c r="J430" s="6"/>
      <c r="K430" s="46" t="str">
        <f aca="false">IF($A430="","",DATE(YEAR($A430),MONTH($A430),1))</f>
        <v/>
      </c>
    </row>
    <row r="431" customFormat="false" ht="15" hidden="false" customHeight="false" outlineLevel="0" collapsed="false">
      <c r="A431" s="44"/>
      <c r="B431" s="6"/>
      <c r="C431" s="6"/>
      <c r="D431" s="6"/>
      <c r="E431" s="6"/>
      <c r="F431" s="40"/>
      <c r="G431" s="41"/>
      <c r="H431" s="35" t="str">
        <f aca="false">IF($B431="","",N($F431)*N($G431))</f>
        <v/>
      </c>
      <c r="I431" s="35" t="str">
        <f aca="false">IF($B431="","",N($F431)+$H431)</f>
        <v/>
      </c>
      <c r="J431" s="6"/>
      <c r="K431" s="46" t="str">
        <f aca="false">IF($A431="","",DATE(YEAR($A431),MONTH($A431),1))</f>
        <v/>
      </c>
    </row>
    <row r="432" customFormat="false" ht="15" hidden="false" customHeight="false" outlineLevel="0" collapsed="false">
      <c r="A432" s="44"/>
      <c r="B432" s="6"/>
      <c r="C432" s="6"/>
      <c r="D432" s="6"/>
      <c r="E432" s="6"/>
      <c r="F432" s="40"/>
      <c r="G432" s="41"/>
      <c r="H432" s="35" t="str">
        <f aca="false">IF($B432="","",N($F432)*N($G432))</f>
        <v/>
      </c>
      <c r="I432" s="35" t="str">
        <f aca="false">IF($B432="","",N($F432)+$H432)</f>
        <v/>
      </c>
      <c r="J432" s="6"/>
      <c r="K432" s="46" t="str">
        <f aca="false">IF($A432="","",DATE(YEAR($A432),MONTH($A432),1))</f>
        <v/>
      </c>
    </row>
    <row r="433" customFormat="false" ht="15" hidden="false" customHeight="false" outlineLevel="0" collapsed="false">
      <c r="A433" s="44"/>
      <c r="B433" s="6"/>
      <c r="C433" s="6"/>
      <c r="D433" s="6"/>
      <c r="E433" s="6"/>
      <c r="F433" s="40"/>
      <c r="G433" s="41"/>
      <c r="H433" s="35" t="str">
        <f aca="false">IF($B433="","",N($F433)*N($G433))</f>
        <v/>
      </c>
      <c r="I433" s="35" t="str">
        <f aca="false">IF($B433="","",N($F433)+$H433)</f>
        <v/>
      </c>
      <c r="J433" s="6"/>
      <c r="K433" s="46" t="str">
        <f aca="false">IF($A433="","",DATE(YEAR($A433),MONTH($A433),1))</f>
        <v/>
      </c>
    </row>
    <row r="434" customFormat="false" ht="15" hidden="false" customHeight="false" outlineLevel="0" collapsed="false">
      <c r="A434" s="44"/>
      <c r="B434" s="6"/>
      <c r="C434" s="6"/>
      <c r="D434" s="6"/>
      <c r="E434" s="6"/>
      <c r="F434" s="40"/>
      <c r="G434" s="41"/>
      <c r="H434" s="35" t="str">
        <f aca="false">IF($B434="","",N($F434)*N($G434))</f>
        <v/>
      </c>
      <c r="I434" s="35" t="str">
        <f aca="false">IF($B434="","",N($F434)+$H434)</f>
        <v/>
      </c>
      <c r="J434" s="6"/>
      <c r="K434" s="46" t="str">
        <f aca="false">IF($A434="","",DATE(YEAR($A434),MONTH($A434),1))</f>
        <v/>
      </c>
    </row>
    <row r="435" customFormat="false" ht="15" hidden="false" customHeight="false" outlineLevel="0" collapsed="false">
      <c r="A435" s="44"/>
      <c r="B435" s="6"/>
      <c r="C435" s="6"/>
      <c r="D435" s="6"/>
      <c r="E435" s="6"/>
      <c r="F435" s="40"/>
      <c r="G435" s="41"/>
      <c r="H435" s="35" t="str">
        <f aca="false">IF($B435="","",N($F435)*N($G435))</f>
        <v/>
      </c>
      <c r="I435" s="35" t="str">
        <f aca="false">IF($B435="","",N($F435)+$H435)</f>
        <v/>
      </c>
      <c r="J435" s="6"/>
      <c r="K435" s="46" t="str">
        <f aca="false">IF($A435="","",DATE(YEAR($A435),MONTH($A435),1))</f>
        <v/>
      </c>
    </row>
    <row r="436" customFormat="false" ht="15" hidden="false" customHeight="false" outlineLevel="0" collapsed="false">
      <c r="A436" s="44"/>
      <c r="B436" s="6"/>
      <c r="C436" s="6"/>
      <c r="D436" s="6"/>
      <c r="E436" s="6"/>
      <c r="F436" s="40"/>
      <c r="G436" s="41"/>
      <c r="H436" s="35" t="str">
        <f aca="false">IF($B436="","",N($F436)*N($G436))</f>
        <v/>
      </c>
      <c r="I436" s="35" t="str">
        <f aca="false">IF($B436="","",N($F436)+$H436)</f>
        <v/>
      </c>
      <c r="J436" s="6"/>
      <c r="K436" s="46" t="str">
        <f aca="false">IF($A436="","",DATE(YEAR($A436),MONTH($A436),1))</f>
        <v/>
      </c>
    </row>
    <row r="437" customFormat="false" ht="15" hidden="false" customHeight="false" outlineLevel="0" collapsed="false">
      <c r="A437" s="44"/>
      <c r="B437" s="6"/>
      <c r="C437" s="6"/>
      <c r="D437" s="6"/>
      <c r="E437" s="6"/>
      <c r="F437" s="40"/>
      <c r="G437" s="41"/>
      <c r="H437" s="35" t="str">
        <f aca="false">IF($B437="","",N($F437)*N($G437))</f>
        <v/>
      </c>
      <c r="I437" s="35" t="str">
        <f aca="false">IF($B437="","",N($F437)+$H437)</f>
        <v/>
      </c>
      <c r="J437" s="6"/>
      <c r="K437" s="46" t="str">
        <f aca="false">IF($A437="","",DATE(YEAR($A437),MONTH($A437),1))</f>
        <v/>
      </c>
    </row>
    <row r="438" customFormat="false" ht="15" hidden="false" customHeight="false" outlineLevel="0" collapsed="false">
      <c r="A438" s="44"/>
      <c r="B438" s="6"/>
      <c r="C438" s="6"/>
      <c r="D438" s="6"/>
      <c r="E438" s="6"/>
      <c r="F438" s="40"/>
      <c r="G438" s="41"/>
      <c r="H438" s="35" t="str">
        <f aca="false">IF($B438="","",N($F438)*N($G438))</f>
        <v/>
      </c>
      <c r="I438" s="35" t="str">
        <f aca="false">IF($B438="","",N($F438)+$H438)</f>
        <v/>
      </c>
      <c r="J438" s="6"/>
      <c r="K438" s="46" t="str">
        <f aca="false">IF($A438="","",DATE(YEAR($A438),MONTH($A438),1))</f>
        <v/>
      </c>
    </row>
    <row r="439" customFormat="false" ht="15" hidden="false" customHeight="false" outlineLevel="0" collapsed="false">
      <c r="A439" s="44"/>
      <c r="B439" s="6"/>
      <c r="C439" s="6"/>
      <c r="D439" s="6"/>
      <c r="E439" s="6"/>
      <c r="F439" s="40"/>
      <c r="G439" s="41"/>
      <c r="H439" s="35" t="str">
        <f aca="false">IF($B439="","",N($F439)*N($G439))</f>
        <v/>
      </c>
      <c r="I439" s="35" t="str">
        <f aca="false">IF($B439="","",N($F439)+$H439)</f>
        <v/>
      </c>
      <c r="J439" s="6"/>
      <c r="K439" s="46" t="str">
        <f aca="false">IF($A439="","",DATE(YEAR($A439),MONTH($A439),1))</f>
        <v/>
      </c>
    </row>
    <row r="440" customFormat="false" ht="15" hidden="false" customHeight="false" outlineLevel="0" collapsed="false">
      <c r="A440" s="44"/>
      <c r="B440" s="6"/>
      <c r="C440" s="6"/>
      <c r="D440" s="6"/>
      <c r="E440" s="6"/>
      <c r="F440" s="40"/>
      <c r="G440" s="41"/>
      <c r="H440" s="35" t="str">
        <f aca="false">IF($B440="","",N($F440)*N($G440))</f>
        <v/>
      </c>
      <c r="I440" s="35" t="str">
        <f aca="false">IF($B440="","",N($F440)+$H440)</f>
        <v/>
      </c>
      <c r="J440" s="6"/>
      <c r="K440" s="46" t="str">
        <f aca="false">IF($A440="","",DATE(YEAR($A440),MONTH($A440),1))</f>
        <v/>
      </c>
    </row>
    <row r="441" customFormat="false" ht="15" hidden="false" customHeight="false" outlineLevel="0" collapsed="false">
      <c r="A441" s="44"/>
      <c r="B441" s="6"/>
      <c r="C441" s="6"/>
      <c r="D441" s="6"/>
      <c r="E441" s="6"/>
      <c r="F441" s="40"/>
      <c r="G441" s="41"/>
      <c r="H441" s="35" t="str">
        <f aca="false">IF($B441="","",N($F441)*N($G441))</f>
        <v/>
      </c>
      <c r="I441" s="35" t="str">
        <f aca="false">IF($B441="","",N($F441)+$H441)</f>
        <v/>
      </c>
      <c r="J441" s="6"/>
      <c r="K441" s="46" t="str">
        <f aca="false">IF($A441="","",DATE(YEAR($A441),MONTH($A441),1))</f>
        <v/>
      </c>
    </row>
    <row r="442" customFormat="false" ht="15" hidden="false" customHeight="false" outlineLevel="0" collapsed="false">
      <c r="A442" s="44"/>
      <c r="B442" s="6"/>
      <c r="C442" s="6"/>
      <c r="D442" s="6"/>
      <c r="E442" s="6"/>
      <c r="F442" s="40"/>
      <c r="G442" s="41"/>
      <c r="H442" s="35" t="str">
        <f aca="false">IF($B442="","",N($F442)*N($G442))</f>
        <v/>
      </c>
      <c r="I442" s="35" t="str">
        <f aca="false">IF($B442="","",N($F442)+$H442)</f>
        <v/>
      </c>
      <c r="J442" s="6"/>
      <c r="K442" s="46" t="str">
        <f aca="false">IF($A442="","",DATE(YEAR($A442),MONTH($A442),1))</f>
        <v/>
      </c>
    </row>
    <row r="443" customFormat="false" ht="15" hidden="false" customHeight="false" outlineLevel="0" collapsed="false">
      <c r="A443" s="44"/>
      <c r="B443" s="6"/>
      <c r="C443" s="6"/>
      <c r="D443" s="6"/>
      <c r="E443" s="6"/>
      <c r="F443" s="40"/>
      <c r="G443" s="41"/>
      <c r="H443" s="35" t="str">
        <f aca="false">IF($B443="","",N($F443)*N($G443))</f>
        <v/>
      </c>
      <c r="I443" s="35" t="str">
        <f aca="false">IF($B443="","",N($F443)+$H443)</f>
        <v/>
      </c>
      <c r="J443" s="6"/>
      <c r="K443" s="46" t="str">
        <f aca="false">IF($A443="","",DATE(YEAR($A443),MONTH($A443),1))</f>
        <v/>
      </c>
    </row>
    <row r="444" customFormat="false" ht="15" hidden="false" customHeight="false" outlineLevel="0" collapsed="false">
      <c r="A444" s="44"/>
      <c r="B444" s="6"/>
      <c r="C444" s="6"/>
      <c r="D444" s="6"/>
      <c r="E444" s="6"/>
      <c r="F444" s="40"/>
      <c r="G444" s="41"/>
      <c r="H444" s="35" t="str">
        <f aca="false">IF($B444="","",N($F444)*N($G444))</f>
        <v/>
      </c>
      <c r="I444" s="35" t="str">
        <f aca="false">IF($B444="","",N($F444)+$H444)</f>
        <v/>
      </c>
      <c r="J444" s="6"/>
      <c r="K444" s="46" t="str">
        <f aca="false">IF($A444="","",DATE(YEAR($A444),MONTH($A444),1))</f>
        <v/>
      </c>
    </row>
    <row r="445" customFormat="false" ht="15" hidden="false" customHeight="false" outlineLevel="0" collapsed="false">
      <c r="A445" s="44"/>
      <c r="B445" s="6"/>
      <c r="C445" s="6"/>
      <c r="D445" s="6"/>
      <c r="E445" s="6"/>
      <c r="F445" s="40"/>
      <c r="G445" s="41"/>
      <c r="H445" s="35" t="str">
        <f aca="false">IF($B445="","",N($F445)*N($G445))</f>
        <v/>
      </c>
      <c r="I445" s="35" t="str">
        <f aca="false">IF($B445="","",N($F445)+$H445)</f>
        <v/>
      </c>
      <c r="J445" s="6"/>
      <c r="K445" s="46" t="str">
        <f aca="false">IF($A445="","",DATE(YEAR($A445),MONTH($A445),1))</f>
        <v/>
      </c>
    </row>
    <row r="446" customFormat="false" ht="15" hidden="false" customHeight="false" outlineLevel="0" collapsed="false">
      <c r="A446" s="44"/>
      <c r="B446" s="6"/>
      <c r="C446" s="6"/>
      <c r="D446" s="6"/>
      <c r="E446" s="6"/>
      <c r="F446" s="40"/>
      <c r="G446" s="41"/>
      <c r="H446" s="35" t="str">
        <f aca="false">IF($B446="","",N($F446)*N($G446))</f>
        <v/>
      </c>
      <c r="I446" s="35" t="str">
        <f aca="false">IF($B446="","",N($F446)+$H446)</f>
        <v/>
      </c>
      <c r="J446" s="6"/>
      <c r="K446" s="46" t="str">
        <f aca="false">IF($A446="","",DATE(YEAR($A446),MONTH($A446),1))</f>
        <v/>
      </c>
    </row>
    <row r="447" customFormat="false" ht="15" hidden="false" customHeight="false" outlineLevel="0" collapsed="false">
      <c r="A447" s="44"/>
      <c r="B447" s="6"/>
      <c r="C447" s="6"/>
      <c r="D447" s="6"/>
      <c r="E447" s="6"/>
      <c r="F447" s="40"/>
      <c r="G447" s="41"/>
      <c r="H447" s="35" t="str">
        <f aca="false">IF($B447="","",N($F447)*N($G447))</f>
        <v/>
      </c>
      <c r="I447" s="35" t="str">
        <f aca="false">IF($B447="","",N($F447)+$H447)</f>
        <v/>
      </c>
      <c r="J447" s="6"/>
      <c r="K447" s="46" t="str">
        <f aca="false">IF($A447="","",DATE(YEAR($A447),MONTH($A447),1))</f>
        <v/>
      </c>
    </row>
    <row r="448" customFormat="false" ht="15" hidden="false" customHeight="false" outlineLevel="0" collapsed="false">
      <c r="A448" s="44"/>
      <c r="B448" s="6"/>
      <c r="C448" s="6"/>
      <c r="D448" s="6"/>
      <c r="E448" s="6"/>
      <c r="F448" s="40"/>
      <c r="G448" s="41"/>
      <c r="H448" s="35" t="str">
        <f aca="false">IF($B448="","",N($F448)*N($G448))</f>
        <v/>
      </c>
      <c r="I448" s="35" t="str">
        <f aca="false">IF($B448="","",N($F448)+$H448)</f>
        <v/>
      </c>
      <c r="J448" s="6"/>
      <c r="K448" s="46" t="str">
        <f aca="false">IF($A448="","",DATE(YEAR($A448),MONTH($A448),1))</f>
        <v/>
      </c>
    </row>
    <row r="449" customFormat="false" ht="15" hidden="false" customHeight="false" outlineLevel="0" collapsed="false">
      <c r="A449" s="44"/>
      <c r="B449" s="6"/>
      <c r="C449" s="6"/>
      <c r="D449" s="6"/>
      <c r="E449" s="6"/>
      <c r="F449" s="40"/>
      <c r="G449" s="41"/>
      <c r="H449" s="35" t="str">
        <f aca="false">IF($B449="","",N($F449)*N($G449))</f>
        <v/>
      </c>
      <c r="I449" s="35" t="str">
        <f aca="false">IF($B449="","",N($F449)+$H449)</f>
        <v/>
      </c>
      <c r="J449" s="6"/>
      <c r="K449" s="46" t="str">
        <f aca="false">IF($A449="","",DATE(YEAR($A449),MONTH($A449),1))</f>
        <v/>
      </c>
    </row>
    <row r="450" customFormat="false" ht="15" hidden="false" customHeight="false" outlineLevel="0" collapsed="false">
      <c r="A450" s="44"/>
      <c r="B450" s="6"/>
      <c r="C450" s="6"/>
      <c r="D450" s="6"/>
      <c r="E450" s="6"/>
      <c r="F450" s="40"/>
      <c r="G450" s="41"/>
      <c r="H450" s="35" t="str">
        <f aca="false">IF($B450="","",N($F450)*N($G450))</f>
        <v/>
      </c>
      <c r="I450" s="35" t="str">
        <f aca="false">IF($B450="","",N($F450)+$H450)</f>
        <v/>
      </c>
      <c r="J450" s="6"/>
      <c r="K450" s="46" t="str">
        <f aca="false">IF($A450="","",DATE(YEAR($A450),MONTH($A450),1))</f>
        <v/>
      </c>
    </row>
    <row r="451" customFormat="false" ht="15" hidden="false" customHeight="false" outlineLevel="0" collapsed="false">
      <c r="A451" s="44"/>
      <c r="B451" s="6"/>
      <c r="C451" s="6"/>
      <c r="D451" s="6"/>
      <c r="E451" s="6"/>
      <c r="F451" s="40"/>
      <c r="G451" s="41"/>
      <c r="H451" s="35" t="str">
        <f aca="false">IF($B451="","",N($F451)*N($G451))</f>
        <v/>
      </c>
      <c r="I451" s="35" t="str">
        <f aca="false">IF($B451="","",N($F451)+$H451)</f>
        <v/>
      </c>
      <c r="J451" s="6"/>
      <c r="K451" s="46" t="str">
        <f aca="false">IF($A451="","",DATE(YEAR($A451),MONTH($A451),1))</f>
        <v/>
      </c>
    </row>
    <row r="452" customFormat="false" ht="15" hidden="false" customHeight="false" outlineLevel="0" collapsed="false">
      <c r="A452" s="44"/>
      <c r="B452" s="6"/>
      <c r="C452" s="6"/>
      <c r="D452" s="6"/>
      <c r="E452" s="6"/>
      <c r="F452" s="40"/>
      <c r="G452" s="41"/>
      <c r="H452" s="35" t="str">
        <f aca="false">IF($B452="","",N($F452)*N($G452))</f>
        <v/>
      </c>
      <c r="I452" s="35" t="str">
        <f aca="false">IF($B452="","",N($F452)+$H452)</f>
        <v/>
      </c>
      <c r="J452" s="6"/>
      <c r="K452" s="46" t="str">
        <f aca="false">IF($A452="","",DATE(YEAR($A452),MONTH($A452),1))</f>
        <v/>
      </c>
    </row>
    <row r="453" customFormat="false" ht="15" hidden="false" customHeight="false" outlineLevel="0" collapsed="false">
      <c r="A453" s="44"/>
      <c r="B453" s="6"/>
      <c r="C453" s="6"/>
      <c r="D453" s="6"/>
      <c r="E453" s="6"/>
      <c r="F453" s="40"/>
      <c r="G453" s="41"/>
      <c r="H453" s="35" t="str">
        <f aca="false">IF($B453="","",N($F453)*N($G453))</f>
        <v/>
      </c>
      <c r="I453" s="35" t="str">
        <f aca="false">IF($B453="","",N($F453)+$H453)</f>
        <v/>
      </c>
      <c r="J453" s="6"/>
      <c r="K453" s="46" t="str">
        <f aca="false">IF($A453="","",DATE(YEAR($A453),MONTH($A453),1))</f>
        <v/>
      </c>
    </row>
    <row r="454" customFormat="false" ht="15" hidden="false" customHeight="false" outlineLevel="0" collapsed="false">
      <c r="A454" s="44"/>
      <c r="B454" s="6"/>
      <c r="C454" s="6"/>
      <c r="D454" s="6"/>
      <c r="E454" s="6"/>
      <c r="F454" s="40"/>
      <c r="G454" s="41"/>
      <c r="H454" s="35" t="str">
        <f aca="false">IF($B454="","",N($F454)*N($G454))</f>
        <v/>
      </c>
      <c r="I454" s="35" t="str">
        <f aca="false">IF($B454="","",N($F454)+$H454)</f>
        <v/>
      </c>
      <c r="J454" s="6"/>
      <c r="K454" s="46" t="str">
        <f aca="false">IF($A454="","",DATE(YEAR($A454),MONTH($A454),1))</f>
        <v/>
      </c>
    </row>
    <row r="455" customFormat="false" ht="15" hidden="false" customHeight="false" outlineLevel="0" collapsed="false">
      <c r="A455" s="44"/>
      <c r="B455" s="6"/>
      <c r="C455" s="6"/>
      <c r="D455" s="6"/>
      <c r="E455" s="6"/>
      <c r="F455" s="40"/>
      <c r="G455" s="41"/>
      <c r="H455" s="35" t="str">
        <f aca="false">IF($B455="","",N($F455)*N($G455))</f>
        <v/>
      </c>
      <c r="I455" s="35" t="str">
        <f aca="false">IF($B455="","",N($F455)+$H455)</f>
        <v/>
      </c>
      <c r="J455" s="6"/>
      <c r="K455" s="46" t="str">
        <f aca="false">IF($A455="","",DATE(YEAR($A455),MONTH($A455),1))</f>
        <v/>
      </c>
    </row>
    <row r="456" customFormat="false" ht="15" hidden="false" customHeight="false" outlineLevel="0" collapsed="false">
      <c r="A456" s="44"/>
      <c r="B456" s="6"/>
      <c r="C456" s="6"/>
      <c r="D456" s="6"/>
      <c r="E456" s="6"/>
      <c r="F456" s="40"/>
      <c r="G456" s="41"/>
      <c r="H456" s="35" t="str">
        <f aca="false">IF($B456="","",N($F456)*N($G456))</f>
        <v/>
      </c>
      <c r="I456" s="35" t="str">
        <f aca="false">IF($B456="","",N($F456)+$H456)</f>
        <v/>
      </c>
      <c r="J456" s="6"/>
      <c r="K456" s="46" t="str">
        <f aca="false">IF($A456="","",DATE(YEAR($A456),MONTH($A456),1))</f>
        <v/>
      </c>
    </row>
    <row r="457" customFormat="false" ht="15" hidden="false" customHeight="false" outlineLevel="0" collapsed="false">
      <c r="A457" s="44"/>
      <c r="B457" s="6"/>
      <c r="C457" s="6"/>
      <c r="D457" s="6"/>
      <c r="E457" s="6"/>
      <c r="F457" s="40"/>
      <c r="G457" s="41"/>
      <c r="H457" s="35" t="str">
        <f aca="false">IF($B457="","",N($F457)*N($G457))</f>
        <v/>
      </c>
      <c r="I457" s="35" t="str">
        <f aca="false">IF($B457="","",N($F457)+$H457)</f>
        <v/>
      </c>
      <c r="J457" s="6"/>
      <c r="K457" s="46" t="str">
        <f aca="false">IF($A457="","",DATE(YEAR($A457),MONTH($A457),1))</f>
        <v/>
      </c>
    </row>
    <row r="458" customFormat="false" ht="15" hidden="false" customHeight="false" outlineLevel="0" collapsed="false">
      <c r="A458" s="44"/>
      <c r="B458" s="6"/>
      <c r="C458" s="6"/>
      <c r="D458" s="6"/>
      <c r="E458" s="6"/>
      <c r="F458" s="40"/>
      <c r="G458" s="41"/>
      <c r="H458" s="35" t="str">
        <f aca="false">IF($B458="","",N($F458)*N($G458))</f>
        <v/>
      </c>
      <c r="I458" s="35" t="str">
        <f aca="false">IF($B458="","",N($F458)+$H458)</f>
        <v/>
      </c>
      <c r="J458" s="6"/>
      <c r="K458" s="46" t="str">
        <f aca="false">IF($A458="","",DATE(YEAR($A458),MONTH($A458),1))</f>
        <v/>
      </c>
    </row>
    <row r="459" customFormat="false" ht="15" hidden="false" customHeight="false" outlineLevel="0" collapsed="false">
      <c r="A459" s="44"/>
      <c r="B459" s="6"/>
      <c r="C459" s="6"/>
      <c r="D459" s="6"/>
      <c r="E459" s="6"/>
      <c r="F459" s="40"/>
      <c r="G459" s="41"/>
      <c r="H459" s="35" t="str">
        <f aca="false">IF($B459="","",N($F459)*N($G459))</f>
        <v/>
      </c>
      <c r="I459" s="35" t="str">
        <f aca="false">IF($B459="","",N($F459)+$H459)</f>
        <v/>
      </c>
      <c r="J459" s="6"/>
      <c r="K459" s="46" t="str">
        <f aca="false">IF($A459="","",DATE(YEAR($A459),MONTH($A459),1))</f>
        <v/>
      </c>
    </row>
    <row r="460" customFormat="false" ht="15" hidden="false" customHeight="false" outlineLevel="0" collapsed="false">
      <c r="A460" s="44"/>
      <c r="B460" s="6"/>
      <c r="C460" s="6"/>
      <c r="D460" s="6"/>
      <c r="E460" s="6"/>
      <c r="F460" s="40"/>
      <c r="G460" s="41"/>
      <c r="H460" s="35" t="str">
        <f aca="false">IF($B460="","",N($F460)*N($G460))</f>
        <v/>
      </c>
      <c r="I460" s="35" t="str">
        <f aca="false">IF($B460="","",N($F460)+$H460)</f>
        <v/>
      </c>
      <c r="J460" s="6"/>
      <c r="K460" s="46" t="str">
        <f aca="false">IF($A460="","",DATE(YEAR($A460),MONTH($A460),1))</f>
        <v/>
      </c>
    </row>
    <row r="461" customFormat="false" ht="15" hidden="false" customHeight="false" outlineLevel="0" collapsed="false">
      <c r="A461" s="44"/>
      <c r="B461" s="6"/>
      <c r="C461" s="6"/>
      <c r="D461" s="6"/>
      <c r="E461" s="6"/>
      <c r="F461" s="40"/>
      <c r="G461" s="41"/>
      <c r="H461" s="35" t="str">
        <f aca="false">IF($B461="","",N($F461)*N($G461))</f>
        <v/>
      </c>
      <c r="I461" s="35" t="str">
        <f aca="false">IF($B461="","",N($F461)+$H461)</f>
        <v/>
      </c>
      <c r="J461" s="6"/>
      <c r="K461" s="46" t="str">
        <f aca="false">IF($A461="","",DATE(YEAR($A461),MONTH($A461),1))</f>
        <v/>
      </c>
    </row>
    <row r="462" customFormat="false" ht="15" hidden="false" customHeight="false" outlineLevel="0" collapsed="false">
      <c r="A462" s="44"/>
      <c r="B462" s="6"/>
      <c r="C462" s="6"/>
      <c r="D462" s="6"/>
      <c r="E462" s="6"/>
      <c r="F462" s="40"/>
      <c r="G462" s="41"/>
      <c r="H462" s="35" t="str">
        <f aca="false">IF($B462="","",N($F462)*N($G462))</f>
        <v/>
      </c>
      <c r="I462" s="35" t="str">
        <f aca="false">IF($B462="","",N($F462)+$H462)</f>
        <v/>
      </c>
      <c r="J462" s="6"/>
      <c r="K462" s="46" t="str">
        <f aca="false">IF($A462="","",DATE(YEAR($A462),MONTH($A462),1))</f>
        <v/>
      </c>
    </row>
    <row r="463" customFormat="false" ht="15" hidden="false" customHeight="false" outlineLevel="0" collapsed="false">
      <c r="A463" s="44"/>
      <c r="B463" s="6"/>
      <c r="C463" s="6"/>
      <c r="D463" s="6"/>
      <c r="E463" s="6"/>
      <c r="F463" s="40"/>
      <c r="G463" s="41"/>
      <c r="H463" s="35" t="str">
        <f aca="false">IF($B463="","",N($F463)*N($G463))</f>
        <v/>
      </c>
      <c r="I463" s="35" t="str">
        <f aca="false">IF($B463="","",N($F463)+$H463)</f>
        <v/>
      </c>
      <c r="J463" s="6"/>
      <c r="K463" s="46" t="str">
        <f aca="false">IF($A463="","",DATE(YEAR($A463),MONTH($A463),1))</f>
        <v/>
      </c>
    </row>
    <row r="464" customFormat="false" ht="15" hidden="false" customHeight="false" outlineLevel="0" collapsed="false">
      <c r="A464" s="44"/>
      <c r="B464" s="6"/>
      <c r="C464" s="6"/>
      <c r="D464" s="6"/>
      <c r="E464" s="6"/>
      <c r="F464" s="40"/>
      <c r="G464" s="41"/>
      <c r="H464" s="35" t="str">
        <f aca="false">IF($B464="","",N($F464)*N($G464))</f>
        <v/>
      </c>
      <c r="I464" s="35" t="str">
        <f aca="false">IF($B464="","",N($F464)+$H464)</f>
        <v/>
      </c>
      <c r="J464" s="6"/>
      <c r="K464" s="46" t="str">
        <f aca="false">IF($A464="","",DATE(YEAR($A464),MONTH($A464),1))</f>
        <v/>
      </c>
    </row>
    <row r="465" customFormat="false" ht="15" hidden="false" customHeight="false" outlineLevel="0" collapsed="false">
      <c r="A465" s="44"/>
      <c r="B465" s="6"/>
      <c r="C465" s="6"/>
      <c r="D465" s="6"/>
      <c r="E465" s="6"/>
      <c r="F465" s="40"/>
      <c r="G465" s="41"/>
      <c r="H465" s="35" t="str">
        <f aca="false">IF($B465="","",N($F465)*N($G465))</f>
        <v/>
      </c>
      <c r="I465" s="35" t="str">
        <f aca="false">IF($B465="","",N($F465)+$H465)</f>
        <v/>
      </c>
      <c r="J465" s="6"/>
      <c r="K465" s="46" t="str">
        <f aca="false">IF($A465="","",DATE(YEAR($A465),MONTH($A465),1))</f>
        <v/>
      </c>
    </row>
    <row r="466" customFormat="false" ht="15" hidden="false" customHeight="false" outlineLevel="0" collapsed="false">
      <c r="A466" s="44"/>
      <c r="B466" s="6"/>
      <c r="C466" s="6"/>
      <c r="D466" s="6"/>
      <c r="E466" s="6"/>
      <c r="F466" s="40"/>
      <c r="G466" s="41"/>
      <c r="H466" s="35" t="str">
        <f aca="false">IF($B466="","",N($F466)*N($G466))</f>
        <v/>
      </c>
      <c r="I466" s="35" t="str">
        <f aca="false">IF($B466="","",N($F466)+$H466)</f>
        <v/>
      </c>
      <c r="J466" s="6"/>
      <c r="K466" s="46" t="str">
        <f aca="false">IF($A466="","",DATE(YEAR($A466),MONTH($A466),1))</f>
        <v/>
      </c>
    </row>
    <row r="467" customFormat="false" ht="15" hidden="false" customHeight="false" outlineLevel="0" collapsed="false">
      <c r="A467" s="44"/>
      <c r="B467" s="6"/>
      <c r="C467" s="6"/>
      <c r="D467" s="6"/>
      <c r="E467" s="6"/>
      <c r="F467" s="40"/>
      <c r="G467" s="41"/>
      <c r="H467" s="35" t="str">
        <f aca="false">IF($B467="","",N($F467)*N($G467))</f>
        <v/>
      </c>
      <c r="I467" s="35" t="str">
        <f aca="false">IF($B467="","",N($F467)+$H467)</f>
        <v/>
      </c>
      <c r="J467" s="6"/>
      <c r="K467" s="46" t="str">
        <f aca="false">IF($A467="","",DATE(YEAR($A467),MONTH($A467),1))</f>
        <v/>
      </c>
    </row>
    <row r="468" customFormat="false" ht="15" hidden="false" customHeight="false" outlineLevel="0" collapsed="false">
      <c r="A468" s="44"/>
      <c r="B468" s="6"/>
      <c r="C468" s="6"/>
      <c r="D468" s="6"/>
      <c r="E468" s="6"/>
      <c r="F468" s="40"/>
      <c r="G468" s="41"/>
      <c r="H468" s="35" t="str">
        <f aca="false">IF($B468="","",N($F468)*N($G468))</f>
        <v/>
      </c>
      <c r="I468" s="35" t="str">
        <f aca="false">IF($B468="","",N($F468)+$H468)</f>
        <v/>
      </c>
      <c r="J468" s="6"/>
      <c r="K468" s="46" t="str">
        <f aca="false">IF($A468="","",DATE(YEAR($A468),MONTH($A468),1))</f>
        <v/>
      </c>
    </row>
    <row r="469" customFormat="false" ht="15" hidden="false" customHeight="false" outlineLevel="0" collapsed="false">
      <c r="A469" s="44"/>
      <c r="B469" s="6"/>
      <c r="C469" s="6"/>
      <c r="D469" s="6"/>
      <c r="E469" s="6"/>
      <c r="F469" s="40"/>
      <c r="G469" s="41"/>
      <c r="H469" s="35" t="str">
        <f aca="false">IF($B469="","",N($F469)*N($G469))</f>
        <v/>
      </c>
      <c r="I469" s="35" t="str">
        <f aca="false">IF($B469="","",N($F469)+$H469)</f>
        <v/>
      </c>
      <c r="J469" s="6"/>
      <c r="K469" s="46" t="str">
        <f aca="false">IF($A469="","",DATE(YEAR($A469),MONTH($A469),1))</f>
        <v/>
      </c>
    </row>
    <row r="470" customFormat="false" ht="15" hidden="false" customHeight="false" outlineLevel="0" collapsed="false">
      <c r="A470" s="44"/>
      <c r="B470" s="6"/>
      <c r="C470" s="6"/>
      <c r="D470" s="6"/>
      <c r="E470" s="6"/>
      <c r="F470" s="40"/>
      <c r="G470" s="41"/>
      <c r="H470" s="35" t="str">
        <f aca="false">IF($B470="","",N($F470)*N($G470))</f>
        <v/>
      </c>
      <c r="I470" s="35" t="str">
        <f aca="false">IF($B470="","",N($F470)+$H470)</f>
        <v/>
      </c>
      <c r="J470" s="6"/>
      <c r="K470" s="46" t="str">
        <f aca="false">IF($A470="","",DATE(YEAR($A470),MONTH($A470),1))</f>
        <v/>
      </c>
    </row>
    <row r="471" customFormat="false" ht="15" hidden="false" customHeight="false" outlineLevel="0" collapsed="false">
      <c r="A471" s="44"/>
      <c r="B471" s="6"/>
      <c r="C471" s="6"/>
      <c r="D471" s="6"/>
      <c r="E471" s="6"/>
      <c r="F471" s="40"/>
      <c r="G471" s="41"/>
      <c r="H471" s="35" t="str">
        <f aca="false">IF($B471="","",N($F471)*N($G471))</f>
        <v/>
      </c>
      <c r="I471" s="35" t="str">
        <f aca="false">IF($B471="","",N($F471)+$H471)</f>
        <v/>
      </c>
      <c r="J471" s="6"/>
      <c r="K471" s="46" t="str">
        <f aca="false">IF($A471="","",DATE(YEAR($A471),MONTH($A471),1))</f>
        <v/>
      </c>
    </row>
    <row r="472" customFormat="false" ht="15" hidden="false" customHeight="false" outlineLevel="0" collapsed="false">
      <c r="A472" s="44"/>
      <c r="B472" s="6"/>
      <c r="C472" s="6"/>
      <c r="D472" s="6"/>
      <c r="E472" s="6"/>
      <c r="F472" s="40"/>
      <c r="G472" s="41"/>
      <c r="H472" s="35" t="str">
        <f aca="false">IF($B472="","",N($F472)*N($G472))</f>
        <v/>
      </c>
      <c r="I472" s="35" t="str">
        <f aca="false">IF($B472="","",N($F472)+$H472)</f>
        <v/>
      </c>
      <c r="J472" s="6"/>
      <c r="K472" s="46" t="str">
        <f aca="false">IF($A472="","",DATE(YEAR($A472),MONTH($A472),1))</f>
        <v/>
      </c>
    </row>
    <row r="473" customFormat="false" ht="15" hidden="false" customHeight="false" outlineLevel="0" collapsed="false">
      <c r="A473" s="44"/>
      <c r="B473" s="6"/>
      <c r="C473" s="6"/>
      <c r="D473" s="6"/>
      <c r="E473" s="6"/>
      <c r="F473" s="40"/>
      <c r="G473" s="41"/>
      <c r="H473" s="35" t="str">
        <f aca="false">IF($B473="","",N($F473)*N($G473))</f>
        <v/>
      </c>
      <c r="I473" s="35" t="str">
        <f aca="false">IF($B473="","",N($F473)+$H473)</f>
        <v/>
      </c>
      <c r="J473" s="6"/>
      <c r="K473" s="46" t="str">
        <f aca="false">IF($A473="","",DATE(YEAR($A473),MONTH($A473),1))</f>
        <v/>
      </c>
    </row>
    <row r="474" customFormat="false" ht="15" hidden="false" customHeight="false" outlineLevel="0" collapsed="false">
      <c r="A474" s="44"/>
      <c r="B474" s="6"/>
      <c r="C474" s="6"/>
      <c r="D474" s="6"/>
      <c r="E474" s="6"/>
      <c r="F474" s="40"/>
      <c r="G474" s="41"/>
      <c r="H474" s="35" t="str">
        <f aca="false">IF($B474="","",N($F474)*N($G474))</f>
        <v/>
      </c>
      <c r="I474" s="35" t="str">
        <f aca="false">IF($B474="","",N($F474)+$H474)</f>
        <v/>
      </c>
      <c r="J474" s="6"/>
      <c r="K474" s="46" t="str">
        <f aca="false">IF($A474="","",DATE(YEAR($A474),MONTH($A474),1))</f>
        <v/>
      </c>
    </row>
    <row r="475" customFormat="false" ht="15" hidden="false" customHeight="false" outlineLevel="0" collapsed="false">
      <c r="A475" s="44"/>
      <c r="B475" s="6"/>
      <c r="C475" s="6"/>
      <c r="D475" s="6"/>
      <c r="E475" s="6"/>
      <c r="F475" s="40"/>
      <c r="G475" s="41"/>
      <c r="H475" s="35" t="str">
        <f aca="false">IF($B475="","",N($F475)*N($G475))</f>
        <v/>
      </c>
      <c r="I475" s="35" t="str">
        <f aca="false">IF($B475="","",N($F475)+$H475)</f>
        <v/>
      </c>
      <c r="J475" s="6"/>
      <c r="K475" s="46" t="str">
        <f aca="false">IF($A475="","",DATE(YEAR($A475),MONTH($A475),1))</f>
        <v/>
      </c>
    </row>
    <row r="476" customFormat="false" ht="15" hidden="false" customHeight="false" outlineLevel="0" collapsed="false">
      <c r="A476" s="44"/>
      <c r="B476" s="6"/>
      <c r="C476" s="6"/>
      <c r="D476" s="6"/>
      <c r="E476" s="6"/>
      <c r="F476" s="40"/>
      <c r="G476" s="41"/>
      <c r="H476" s="35" t="str">
        <f aca="false">IF($B476="","",N($F476)*N($G476))</f>
        <v/>
      </c>
      <c r="I476" s="35" t="str">
        <f aca="false">IF($B476="","",N($F476)+$H476)</f>
        <v/>
      </c>
      <c r="J476" s="6"/>
      <c r="K476" s="46" t="str">
        <f aca="false">IF($A476="","",DATE(YEAR($A476),MONTH($A476),1))</f>
        <v/>
      </c>
    </row>
    <row r="477" customFormat="false" ht="15" hidden="false" customHeight="false" outlineLevel="0" collapsed="false">
      <c r="A477" s="44"/>
      <c r="B477" s="6"/>
      <c r="C477" s="6"/>
      <c r="D477" s="6"/>
      <c r="E477" s="6"/>
      <c r="F477" s="40"/>
      <c r="G477" s="41"/>
      <c r="H477" s="35" t="str">
        <f aca="false">IF($B477="","",N($F477)*N($G477))</f>
        <v/>
      </c>
      <c r="I477" s="35" t="str">
        <f aca="false">IF($B477="","",N($F477)+$H477)</f>
        <v/>
      </c>
      <c r="J477" s="6"/>
      <c r="K477" s="46" t="str">
        <f aca="false">IF($A477="","",DATE(YEAR($A477),MONTH($A477),1))</f>
        <v/>
      </c>
    </row>
    <row r="478" customFormat="false" ht="15" hidden="false" customHeight="false" outlineLevel="0" collapsed="false">
      <c r="A478" s="44"/>
      <c r="B478" s="6"/>
      <c r="C478" s="6"/>
      <c r="D478" s="6"/>
      <c r="E478" s="6"/>
      <c r="F478" s="40"/>
      <c r="G478" s="41"/>
      <c r="H478" s="35" t="str">
        <f aca="false">IF($B478="","",N($F478)*N($G478))</f>
        <v/>
      </c>
      <c r="I478" s="35" t="str">
        <f aca="false">IF($B478="","",N($F478)+$H478)</f>
        <v/>
      </c>
      <c r="J478" s="6"/>
      <c r="K478" s="46" t="str">
        <f aca="false">IF($A478="","",DATE(YEAR($A478),MONTH($A478),1))</f>
        <v/>
      </c>
    </row>
    <row r="479" customFormat="false" ht="15" hidden="false" customHeight="false" outlineLevel="0" collapsed="false">
      <c r="A479" s="44"/>
      <c r="B479" s="6"/>
      <c r="C479" s="6"/>
      <c r="D479" s="6"/>
      <c r="E479" s="6"/>
      <c r="F479" s="40"/>
      <c r="G479" s="41"/>
      <c r="H479" s="35" t="str">
        <f aca="false">IF($B479="","",N($F479)*N($G479))</f>
        <v/>
      </c>
      <c r="I479" s="35" t="str">
        <f aca="false">IF($B479="","",N($F479)+$H479)</f>
        <v/>
      </c>
      <c r="J479" s="6"/>
      <c r="K479" s="46" t="str">
        <f aca="false">IF($A479="","",DATE(YEAR($A479),MONTH($A479),1))</f>
        <v/>
      </c>
    </row>
    <row r="480" customFormat="false" ht="15" hidden="false" customHeight="false" outlineLevel="0" collapsed="false">
      <c r="A480" s="44"/>
      <c r="B480" s="6"/>
      <c r="C480" s="6"/>
      <c r="D480" s="6"/>
      <c r="E480" s="6"/>
      <c r="F480" s="40"/>
      <c r="G480" s="41"/>
      <c r="H480" s="35" t="str">
        <f aca="false">IF($B480="","",N($F480)*N($G480))</f>
        <v/>
      </c>
      <c r="I480" s="35" t="str">
        <f aca="false">IF($B480="","",N($F480)+$H480)</f>
        <v/>
      </c>
      <c r="J480" s="6"/>
      <c r="K480" s="46" t="str">
        <f aca="false">IF($A480="","",DATE(YEAR($A480),MONTH($A480),1))</f>
        <v/>
      </c>
    </row>
    <row r="481" customFormat="false" ht="15" hidden="false" customHeight="false" outlineLevel="0" collapsed="false">
      <c r="A481" s="44"/>
      <c r="B481" s="6"/>
      <c r="C481" s="6"/>
      <c r="D481" s="6"/>
      <c r="E481" s="6"/>
      <c r="F481" s="40"/>
      <c r="G481" s="41"/>
      <c r="H481" s="35" t="str">
        <f aca="false">IF($B481="","",N($F481)*N($G481))</f>
        <v/>
      </c>
      <c r="I481" s="35" t="str">
        <f aca="false">IF($B481="","",N($F481)+$H481)</f>
        <v/>
      </c>
      <c r="J481" s="6"/>
      <c r="K481" s="46" t="str">
        <f aca="false">IF($A481="","",DATE(YEAR($A481),MONTH($A481),1))</f>
        <v/>
      </c>
    </row>
    <row r="482" customFormat="false" ht="15" hidden="false" customHeight="false" outlineLevel="0" collapsed="false">
      <c r="A482" s="44"/>
      <c r="B482" s="6"/>
      <c r="C482" s="6"/>
      <c r="D482" s="6"/>
      <c r="E482" s="6"/>
      <c r="F482" s="40"/>
      <c r="G482" s="41"/>
      <c r="H482" s="35" t="str">
        <f aca="false">IF($B482="","",N($F482)*N($G482))</f>
        <v/>
      </c>
      <c r="I482" s="35" t="str">
        <f aca="false">IF($B482="","",N($F482)+$H482)</f>
        <v/>
      </c>
      <c r="J482" s="6"/>
      <c r="K482" s="46" t="str">
        <f aca="false">IF($A482="","",DATE(YEAR($A482),MONTH($A482),1))</f>
        <v/>
      </c>
    </row>
    <row r="483" customFormat="false" ht="15" hidden="false" customHeight="false" outlineLevel="0" collapsed="false">
      <c r="A483" s="44"/>
      <c r="B483" s="6"/>
      <c r="C483" s="6"/>
      <c r="D483" s="6"/>
      <c r="E483" s="6"/>
      <c r="F483" s="40"/>
      <c r="G483" s="41"/>
      <c r="H483" s="35" t="str">
        <f aca="false">IF($B483="","",N($F483)*N($G483))</f>
        <v/>
      </c>
      <c r="I483" s="35" t="str">
        <f aca="false">IF($B483="","",N($F483)+$H483)</f>
        <v/>
      </c>
      <c r="J483" s="6"/>
      <c r="K483" s="46" t="str">
        <f aca="false">IF($A483="","",DATE(YEAR($A483),MONTH($A483),1))</f>
        <v/>
      </c>
    </row>
    <row r="484" customFormat="false" ht="15" hidden="false" customHeight="false" outlineLevel="0" collapsed="false">
      <c r="A484" s="44"/>
      <c r="B484" s="6"/>
      <c r="C484" s="6"/>
      <c r="D484" s="6"/>
      <c r="E484" s="6"/>
      <c r="F484" s="40"/>
      <c r="G484" s="41"/>
      <c r="H484" s="35" t="str">
        <f aca="false">IF($B484="","",N($F484)*N($G484))</f>
        <v/>
      </c>
      <c r="I484" s="35" t="str">
        <f aca="false">IF($B484="","",N($F484)+$H484)</f>
        <v/>
      </c>
      <c r="J484" s="6"/>
      <c r="K484" s="46" t="str">
        <f aca="false">IF($A484="","",DATE(YEAR($A484),MONTH($A484),1))</f>
        <v/>
      </c>
    </row>
    <row r="485" customFormat="false" ht="15" hidden="false" customHeight="false" outlineLevel="0" collapsed="false">
      <c r="A485" s="44"/>
      <c r="B485" s="6"/>
      <c r="C485" s="6"/>
      <c r="D485" s="6"/>
      <c r="E485" s="6"/>
      <c r="F485" s="40"/>
      <c r="G485" s="41"/>
      <c r="H485" s="35" t="str">
        <f aca="false">IF($B485="","",N($F485)*N($G485))</f>
        <v/>
      </c>
      <c r="I485" s="35" t="str">
        <f aca="false">IF($B485="","",N($F485)+$H485)</f>
        <v/>
      </c>
      <c r="J485" s="6"/>
      <c r="K485" s="46" t="str">
        <f aca="false">IF($A485="","",DATE(YEAR($A485),MONTH($A485),1))</f>
        <v/>
      </c>
    </row>
    <row r="486" customFormat="false" ht="15" hidden="false" customHeight="false" outlineLevel="0" collapsed="false">
      <c r="A486" s="44"/>
      <c r="B486" s="6"/>
      <c r="C486" s="6"/>
      <c r="D486" s="6"/>
      <c r="E486" s="6"/>
      <c r="F486" s="40"/>
      <c r="G486" s="41"/>
      <c r="H486" s="35" t="str">
        <f aca="false">IF($B486="","",N($F486)*N($G486))</f>
        <v/>
      </c>
      <c r="I486" s="35" t="str">
        <f aca="false">IF($B486="","",N($F486)+$H486)</f>
        <v/>
      </c>
      <c r="J486" s="6"/>
      <c r="K486" s="46" t="str">
        <f aca="false">IF($A486="","",DATE(YEAR($A486),MONTH($A486),1))</f>
        <v/>
      </c>
    </row>
    <row r="487" customFormat="false" ht="15" hidden="false" customHeight="false" outlineLevel="0" collapsed="false">
      <c r="A487" s="44"/>
      <c r="B487" s="6"/>
      <c r="C487" s="6"/>
      <c r="D487" s="6"/>
      <c r="E487" s="6"/>
      <c r="F487" s="40"/>
      <c r="G487" s="41"/>
      <c r="H487" s="35" t="str">
        <f aca="false">IF($B487="","",N($F487)*N($G487))</f>
        <v/>
      </c>
      <c r="I487" s="35" t="str">
        <f aca="false">IF($B487="","",N($F487)+$H487)</f>
        <v/>
      </c>
      <c r="J487" s="6"/>
      <c r="K487" s="46" t="str">
        <f aca="false">IF($A487="","",DATE(YEAR($A487),MONTH($A487),1))</f>
        <v/>
      </c>
    </row>
    <row r="488" customFormat="false" ht="15" hidden="false" customHeight="false" outlineLevel="0" collapsed="false">
      <c r="A488" s="44"/>
      <c r="B488" s="6"/>
      <c r="C488" s="6"/>
      <c r="D488" s="6"/>
      <c r="E488" s="6"/>
      <c r="F488" s="40"/>
      <c r="G488" s="41"/>
      <c r="H488" s="35" t="str">
        <f aca="false">IF($B488="","",N($F488)*N($G488))</f>
        <v/>
      </c>
      <c r="I488" s="35" t="str">
        <f aca="false">IF($B488="","",N($F488)+$H488)</f>
        <v/>
      </c>
      <c r="J488" s="6"/>
      <c r="K488" s="46" t="str">
        <f aca="false">IF($A488="","",DATE(YEAR($A488),MONTH($A488),1))</f>
        <v/>
      </c>
    </row>
    <row r="489" customFormat="false" ht="15" hidden="false" customHeight="false" outlineLevel="0" collapsed="false">
      <c r="A489" s="44"/>
      <c r="B489" s="6"/>
      <c r="C489" s="6"/>
      <c r="D489" s="6"/>
      <c r="E489" s="6"/>
      <c r="F489" s="40"/>
      <c r="G489" s="41"/>
      <c r="H489" s="35" t="str">
        <f aca="false">IF($B489="","",N($F489)*N($G489))</f>
        <v/>
      </c>
      <c r="I489" s="35" t="str">
        <f aca="false">IF($B489="","",N($F489)+$H489)</f>
        <v/>
      </c>
      <c r="J489" s="6"/>
      <c r="K489" s="46" t="str">
        <f aca="false">IF($A489="","",DATE(YEAR($A489),MONTH($A489),1))</f>
        <v/>
      </c>
    </row>
    <row r="490" customFormat="false" ht="15" hidden="false" customHeight="false" outlineLevel="0" collapsed="false">
      <c r="A490" s="44"/>
      <c r="B490" s="6"/>
      <c r="C490" s="6"/>
      <c r="D490" s="6"/>
      <c r="E490" s="6"/>
      <c r="F490" s="40"/>
      <c r="G490" s="41"/>
      <c r="H490" s="35" t="str">
        <f aca="false">IF($B490="","",N($F490)*N($G490))</f>
        <v/>
      </c>
      <c r="I490" s="35" t="str">
        <f aca="false">IF($B490="","",N($F490)+$H490)</f>
        <v/>
      </c>
      <c r="J490" s="6"/>
      <c r="K490" s="46" t="str">
        <f aca="false">IF($A490="","",DATE(YEAR($A490),MONTH($A490),1))</f>
        <v/>
      </c>
    </row>
    <row r="491" customFormat="false" ht="15" hidden="false" customHeight="false" outlineLevel="0" collapsed="false">
      <c r="A491" s="44"/>
      <c r="B491" s="6"/>
      <c r="C491" s="6"/>
      <c r="D491" s="6"/>
      <c r="E491" s="6"/>
      <c r="F491" s="40"/>
      <c r="G491" s="41"/>
      <c r="H491" s="35" t="str">
        <f aca="false">IF($B491="","",N($F491)*N($G491))</f>
        <v/>
      </c>
      <c r="I491" s="35" t="str">
        <f aca="false">IF($B491="","",N($F491)+$H491)</f>
        <v/>
      </c>
      <c r="J491" s="6"/>
      <c r="K491" s="46" t="str">
        <f aca="false">IF($A491="","",DATE(YEAR($A491),MONTH($A491),1))</f>
        <v/>
      </c>
    </row>
    <row r="492" customFormat="false" ht="15" hidden="false" customHeight="false" outlineLevel="0" collapsed="false">
      <c r="A492" s="44"/>
      <c r="B492" s="6"/>
      <c r="C492" s="6"/>
      <c r="D492" s="6"/>
      <c r="E492" s="6"/>
      <c r="F492" s="40"/>
      <c r="G492" s="41"/>
      <c r="H492" s="35" t="str">
        <f aca="false">IF($B492="","",N($F492)*N($G492))</f>
        <v/>
      </c>
      <c r="I492" s="35" t="str">
        <f aca="false">IF($B492="","",N($F492)+$H492)</f>
        <v/>
      </c>
      <c r="J492" s="6"/>
      <c r="K492" s="46" t="str">
        <f aca="false">IF($A492="","",DATE(YEAR($A492),MONTH($A492),1))</f>
        <v/>
      </c>
    </row>
    <row r="493" customFormat="false" ht="15" hidden="false" customHeight="false" outlineLevel="0" collapsed="false">
      <c r="A493" s="44"/>
      <c r="B493" s="6"/>
      <c r="C493" s="6"/>
      <c r="D493" s="6"/>
      <c r="E493" s="6"/>
      <c r="F493" s="40"/>
      <c r="G493" s="41"/>
      <c r="H493" s="35" t="str">
        <f aca="false">IF($B493="","",N($F493)*N($G493))</f>
        <v/>
      </c>
      <c r="I493" s="35" t="str">
        <f aca="false">IF($B493="","",N($F493)+$H493)</f>
        <v/>
      </c>
      <c r="J493" s="6"/>
      <c r="K493" s="46" t="str">
        <f aca="false">IF($A493="","",DATE(YEAR($A493),MONTH($A493),1))</f>
        <v/>
      </c>
    </row>
    <row r="494" customFormat="false" ht="15" hidden="false" customHeight="false" outlineLevel="0" collapsed="false">
      <c r="A494" s="44"/>
      <c r="B494" s="6"/>
      <c r="C494" s="6"/>
      <c r="D494" s="6"/>
      <c r="E494" s="6"/>
      <c r="F494" s="40"/>
      <c r="G494" s="41"/>
      <c r="H494" s="35" t="str">
        <f aca="false">IF($B494="","",N($F494)*N($G494))</f>
        <v/>
      </c>
      <c r="I494" s="35" t="str">
        <f aca="false">IF($B494="","",N($F494)+$H494)</f>
        <v/>
      </c>
      <c r="J494" s="6"/>
      <c r="K494" s="46" t="str">
        <f aca="false">IF($A494="","",DATE(YEAR($A494),MONTH($A494),1))</f>
        <v/>
      </c>
    </row>
    <row r="495" customFormat="false" ht="15" hidden="false" customHeight="false" outlineLevel="0" collapsed="false">
      <c r="A495" s="44"/>
      <c r="B495" s="6"/>
      <c r="C495" s="6"/>
      <c r="D495" s="6"/>
      <c r="E495" s="6"/>
      <c r="F495" s="40"/>
      <c r="G495" s="41"/>
      <c r="H495" s="35" t="str">
        <f aca="false">IF($B495="","",N($F495)*N($G495))</f>
        <v/>
      </c>
      <c r="I495" s="35" t="str">
        <f aca="false">IF($B495="","",N($F495)+$H495)</f>
        <v/>
      </c>
      <c r="J495" s="6"/>
      <c r="K495" s="46" t="str">
        <f aca="false">IF($A495="","",DATE(YEAR($A495),MONTH($A495),1))</f>
        <v/>
      </c>
    </row>
    <row r="496" customFormat="false" ht="15" hidden="false" customHeight="false" outlineLevel="0" collapsed="false">
      <c r="A496" s="44"/>
      <c r="B496" s="6"/>
      <c r="C496" s="6"/>
      <c r="D496" s="6"/>
      <c r="E496" s="6"/>
      <c r="F496" s="40"/>
      <c r="G496" s="41"/>
      <c r="H496" s="35" t="str">
        <f aca="false">IF($B496="","",N($F496)*N($G496))</f>
        <v/>
      </c>
      <c r="I496" s="35" t="str">
        <f aca="false">IF($B496="","",N($F496)+$H496)</f>
        <v/>
      </c>
      <c r="J496" s="6"/>
      <c r="K496" s="46" t="str">
        <f aca="false">IF($A496="","",DATE(YEAR($A496),MONTH($A496),1))</f>
        <v/>
      </c>
    </row>
    <row r="497" customFormat="false" ht="15" hidden="false" customHeight="false" outlineLevel="0" collapsed="false">
      <c r="A497" s="44"/>
      <c r="B497" s="6"/>
      <c r="C497" s="6"/>
      <c r="D497" s="6"/>
      <c r="E497" s="6"/>
      <c r="F497" s="40"/>
      <c r="G497" s="41"/>
      <c r="H497" s="35" t="str">
        <f aca="false">IF($B497="","",N($F497)*N($G497))</f>
        <v/>
      </c>
      <c r="I497" s="35" t="str">
        <f aca="false">IF($B497="","",N($F497)+$H497)</f>
        <v/>
      </c>
      <c r="J497" s="6"/>
      <c r="K497" s="46" t="str">
        <f aca="false">IF($A497="","",DATE(YEAR($A497),MONTH($A497),1))</f>
        <v/>
      </c>
    </row>
    <row r="498" customFormat="false" ht="15" hidden="false" customHeight="false" outlineLevel="0" collapsed="false">
      <c r="A498" s="44"/>
      <c r="B498" s="6"/>
      <c r="C498" s="6"/>
      <c r="D498" s="6"/>
      <c r="E498" s="6"/>
      <c r="F498" s="40"/>
      <c r="G498" s="41"/>
      <c r="H498" s="35" t="str">
        <f aca="false">IF($B498="","",N($F498)*N($G498))</f>
        <v/>
      </c>
      <c r="I498" s="35" t="str">
        <f aca="false">IF($B498="","",N($F498)+$H498)</f>
        <v/>
      </c>
      <c r="J498" s="6"/>
      <c r="K498" s="46" t="str">
        <f aca="false">IF($A498="","",DATE(YEAR($A498),MONTH($A498),1))</f>
        <v/>
      </c>
    </row>
    <row r="499" customFormat="false" ht="15" hidden="false" customHeight="false" outlineLevel="0" collapsed="false">
      <c r="A499" s="44"/>
      <c r="B499" s="6"/>
      <c r="C499" s="6"/>
      <c r="D499" s="6"/>
      <c r="E499" s="6"/>
      <c r="F499" s="40"/>
      <c r="G499" s="41"/>
      <c r="H499" s="35" t="str">
        <f aca="false">IF($B499="","",N($F499)*N($G499))</f>
        <v/>
      </c>
      <c r="I499" s="35" t="str">
        <f aca="false">IF($B499="","",N($F499)+$H499)</f>
        <v/>
      </c>
      <c r="J499" s="6"/>
      <c r="K499" s="46" t="str">
        <f aca="false">IF($A499="","",DATE(YEAR($A499),MONTH($A499),1))</f>
        <v/>
      </c>
    </row>
    <row r="500" customFormat="false" ht="15" hidden="false" customHeight="false" outlineLevel="0" collapsed="false">
      <c r="A500" s="44"/>
      <c r="B500" s="6"/>
      <c r="C500" s="6"/>
      <c r="D500" s="6"/>
      <c r="E500" s="6"/>
      <c r="F500" s="40"/>
      <c r="G500" s="41"/>
      <c r="H500" s="35" t="str">
        <f aca="false">IF($B500="","",N($F500)*N($G500))</f>
        <v/>
      </c>
      <c r="I500" s="35" t="str">
        <f aca="false">IF($B500="","",N($F500)+$H500)</f>
        <v/>
      </c>
      <c r="J500" s="6"/>
      <c r="K500" s="46" t="str">
        <f aca="false">IF($A500="","",DATE(YEAR($A500),MONTH($A500),1))</f>
        <v/>
      </c>
    </row>
    <row r="501" customFormat="false" ht="15" hidden="false" customHeight="false" outlineLevel="0" collapsed="false">
      <c r="A501" s="44"/>
      <c r="B501" s="6"/>
      <c r="C501" s="6"/>
      <c r="D501" s="6"/>
      <c r="E501" s="6"/>
      <c r="F501" s="40"/>
      <c r="G501" s="41"/>
      <c r="H501" s="35" t="str">
        <f aca="false">IF($B501="","",N($F501)*N($G501))</f>
        <v/>
      </c>
      <c r="I501" s="35" t="str">
        <f aca="false">IF($B501="","",N($F501)+$H501)</f>
        <v/>
      </c>
      <c r="J501" s="6"/>
      <c r="K501" s="46" t="str">
        <f aca="false">IF($A501="","",DATE(YEAR($A501),MONTH($A501),1))</f>
        <v/>
      </c>
    </row>
    <row r="502" customFormat="false" ht="15" hidden="false" customHeight="false" outlineLevel="0" collapsed="false">
      <c r="A502" s="44"/>
      <c r="B502" s="6"/>
      <c r="C502" s="6"/>
      <c r="D502" s="6"/>
      <c r="E502" s="6"/>
      <c r="F502" s="40"/>
      <c r="G502" s="41"/>
      <c r="H502" s="35" t="str">
        <f aca="false">IF($B502="","",N($F502)*N($G502))</f>
        <v/>
      </c>
      <c r="I502" s="35" t="str">
        <f aca="false">IF($B502="","",N($F502)+$H502)</f>
        <v/>
      </c>
      <c r="J502" s="6"/>
      <c r="K502" s="46" t="str">
        <f aca="false">IF($A502="","",DATE(YEAR($A502),MONTH($A502),1))</f>
        <v/>
      </c>
    </row>
    <row r="503" customFormat="false" ht="15" hidden="false" customHeight="false" outlineLevel="0" collapsed="false">
      <c r="A503" s="44"/>
      <c r="B503" s="6"/>
      <c r="C503" s="6"/>
      <c r="D503" s="6"/>
      <c r="E503" s="6"/>
      <c r="F503" s="40"/>
      <c r="G503" s="41"/>
      <c r="H503" s="35" t="str">
        <f aca="false">IF($B503="","",N($F503)*N($G503))</f>
        <v/>
      </c>
      <c r="I503" s="35" t="str">
        <f aca="false">IF($B503="","",N($F503)+$H503)</f>
        <v/>
      </c>
      <c r="J503" s="6"/>
      <c r="K503" s="46" t="str">
        <f aca="false">IF($A503="","",DATE(YEAR($A503),MONTH($A503),1))</f>
        <v/>
      </c>
    </row>
    <row r="504" customFormat="false" ht="15" hidden="false" customHeight="false" outlineLevel="0" collapsed="false">
      <c r="A504" s="44"/>
      <c r="B504" s="6"/>
      <c r="C504" s="6"/>
      <c r="D504" s="6"/>
      <c r="E504" s="6"/>
      <c r="F504" s="40"/>
      <c r="G504" s="41"/>
      <c r="H504" s="35" t="str">
        <f aca="false">IF($B504="","",N($F504)*N($G504))</f>
        <v/>
      </c>
      <c r="I504" s="35" t="str">
        <f aca="false">IF($B504="","",N($F504)+$H504)</f>
        <v/>
      </c>
      <c r="J504" s="6"/>
      <c r="K504" s="46" t="str">
        <f aca="false">IF($A504="","",DATE(YEAR($A504),MONTH($A504),1))</f>
        <v/>
      </c>
    </row>
    <row r="505" customFormat="false" ht="15" hidden="false" customHeight="false" outlineLevel="0" collapsed="false">
      <c r="A505" s="44"/>
      <c r="B505" s="6"/>
      <c r="C505" s="6"/>
      <c r="D505" s="6"/>
      <c r="E505" s="6"/>
      <c r="F505" s="40"/>
      <c r="G505" s="41"/>
      <c r="H505" s="35" t="str">
        <f aca="false">IF($B505="","",N($F505)*N($G505))</f>
        <v/>
      </c>
      <c r="I505" s="35" t="str">
        <f aca="false">IF($B505="","",N($F505)+$H505)</f>
        <v/>
      </c>
      <c r="J505" s="6"/>
      <c r="K505" s="46" t="str">
        <f aca="false">IF($A505="","",DATE(YEAR($A505),MONTH($A505),1))</f>
        <v/>
      </c>
    </row>
    <row r="506" customFormat="false" ht="15" hidden="false" customHeight="false" outlineLevel="0" collapsed="false">
      <c r="A506" s="44"/>
      <c r="B506" s="6"/>
      <c r="C506" s="6"/>
      <c r="D506" s="6"/>
      <c r="E506" s="6"/>
      <c r="F506" s="40"/>
      <c r="G506" s="41"/>
      <c r="H506" s="35" t="str">
        <f aca="false">IF($B506="","",N($F506)*N($G506))</f>
        <v/>
      </c>
      <c r="I506" s="35" t="str">
        <f aca="false">IF($B506="","",N($F506)+$H506)</f>
        <v/>
      </c>
      <c r="J506" s="6"/>
      <c r="K506" s="46" t="str">
        <f aca="false">IF($A506="","",DATE(YEAR($A506),MONTH($A506),1))</f>
        <v/>
      </c>
    </row>
    <row r="507" customFormat="false" ht="15" hidden="false" customHeight="false" outlineLevel="0" collapsed="false">
      <c r="A507" s="44"/>
      <c r="B507" s="6"/>
      <c r="C507" s="6"/>
      <c r="D507" s="6"/>
      <c r="E507" s="6"/>
      <c r="F507" s="40"/>
      <c r="G507" s="41"/>
      <c r="H507" s="35" t="str">
        <f aca="false">IF($B507="","",N($F507)*N($G507))</f>
        <v/>
      </c>
      <c r="I507" s="35" t="str">
        <f aca="false">IF($B507="","",N($F507)+$H507)</f>
        <v/>
      </c>
      <c r="J507" s="6"/>
      <c r="K507" s="46" t="str">
        <f aca="false">IF($A507="","",DATE(YEAR($A507),MONTH($A507),1))</f>
        <v/>
      </c>
    </row>
    <row r="508" customFormat="false" ht="15" hidden="false" customHeight="false" outlineLevel="0" collapsed="false">
      <c r="A508" s="44"/>
      <c r="B508" s="6"/>
      <c r="C508" s="6"/>
      <c r="D508" s="6"/>
      <c r="E508" s="6"/>
      <c r="F508" s="40"/>
      <c r="G508" s="41"/>
      <c r="H508" s="35" t="str">
        <f aca="false">IF($B508="","",N($F508)*N($G508))</f>
        <v/>
      </c>
      <c r="I508" s="35" t="str">
        <f aca="false">IF($B508="","",N($F508)+$H508)</f>
        <v/>
      </c>
      <c r="J508" s="6"/>
      <c r="K508" s="46" t="str">
        <f aca="false">IF($A508="","",DATE(YEAR($A508),MONTH($A508),1))</f>
        <v/>
      </c>
    </row>
    <row r="509" customFormat="false" ht="15" hidden="false" customHeight="false" outlineLevel="0" collapsed="false">
      <c r="A509" s="44"/>
      <c r="B509" s="6"/>
      <c r="C509" s="6"/>
      <c r="D509" s="6"/>
      <c r="E509" s="6"/>
      <c r="F509" s="40"/>
      <c r="G509" s="41"/>
      <c r="H509" s="35" t="str">
        <f aca="false">IF($B509="","",N($F509)*N($G509))</f>
        <v/>
      </c>
      <c r="I509" s="35" t="str">
        <f aca="false">IF($B509="","",N($F509)+$H509)</f>
        <v/>
      </c>
      <c r="J509" s="6"/>
      <c r="K509" s="46" t="str">
        <f aca="false">IF($A509="","",DATE(YEAR($A509),MONTH($A509),1))</f>
        <v/>
      </c>
    </row>
    <row r="510" customFormat="false" ht="15" hidden="false" customHeight="false" outlineLevel="0" collapsed="false">
      <c r="A510" s="44"/>
      <c r="B510" s="6"/>
      <c r="C510" s="6"/>
      <c r="D510" s="6"/>
      <c r="E510" s="6"/>
      <c r="F510" s="40"/>
      <c r="G510" s="41"/>
      <c r="H510" s="35" t="str">
        <f aca="false">IF($B510="","",N($F510)*N($G510))</f>
        <v/>
      </c>
      <c r="I510" s="35" t="str">
        <f aca="false">IF($B510="","",N($F510)+$H510)</f>
        <v/>
      </c>
      <c r="J510" s="6"/>
      <c r="K510" s="46" t="str">
        <f aca="false">IF($A510="","",DATE(YEAR($A510),MONTH($A510),1))</f>
        <v/>
      </c>
    </row>
    <row r="511" customFormat="false" ht="15" hidden="false" customHeight="false" outlineLevel="0" collapsed="false">
      <c r="A511" s="44"/>
      <c r="B511" s="6"/>
      <c r="C511" s="6"/>
      <c r="D511" s="6"/>
      <c r="E511" s="6"/>
      <c r="F511" s="40"/>
      <c r="G511" s="41"/>
      <c r="H511" s="35" t="str">
        <f aca="false">IF($B511="","",N($F511)*N($G511))</f>
        <v/>
      </c>
      <c r="I511" s="35" t="str">
        <f aca="false">IF($B511="","",N($F511)+$H511)</f>
        <v/>
      </c>
      <c r="J511" s="6"/>
      <c r="K511" s="46" t="str">
        <f aca="false">IF($A511="","",DATE(YEAR($A511),MONTH($A511),1))</f>
        <v/>
      </c>
    </row>
    <row r="512" customFormat="false" ht="15" hidden="false" customHeight="false" outlineLevel="0" collapsed="false">
      <c r="A512" s="44"/>
      <c r="B512" s="6"/>
      <c r="C512" s="6"/>
      <c r="D512" s="6"/>
      <c r="E512" s="6"/>
      <c r="F512" s="40"/>
      <c r="G512" s="41"/>
      <c r="H512" s="35" t="str">
        <f aca="false">IF($B512="","",N($F512)*N($G512))</f>
        <v/>
      </c>
      <c r="I512" s="35" t="str">
        <f aca="false">IF($B512="","",N($F512)+$H512)</f>
        <v/>
      </c>
      <c r="J512" s="6"/>
      <c r="K512" s="46" t="str">
        <f aca="false">IF($A512="","",DATE(YEAR($A512),MONTH($A512),1))</f>
        <v/>
      </c>
    </row>
    <row r="513" customFormat="false" ht="15" hidden="false" customHeight="false" outlineLevel="0" collapsed="false">
      <c r="A513" s="44"/>
      <c r="B513" s="6"/>
      <c r="C513" s="6"/>
      <c r="D513" s="6"/>
      <c r="E513" s="6"/>
      <c r="F513" s="40"/>
      <c r="G513" s="41"/>
      <c r="H513" s="35" t="str">
        <f aca="false">IF($B513="","",N($F513)*N($G513))</f>
        <v/>
      </c>
      <c r="I513" s="35" t="str">
        <f aca="false">IF($B513="","",N($F513)+$H513)</f>
        <v/>
      </c>
      <c r="J513" s="6"/>
      <c r="K513" s="46" t="str">
        <f aca="false">IF($A513="","",DATE(YEAR($A513),MONTH($A513),1))</f>
        <v/>
      </c>
    </row>
    <row r="514" customFormat="false" ht="15" hidden="false" customHeight="false" outlineLevel="0" collapsed="false">
      <c r="A514" s="44"/>
      <c r="B514" s="6"/>
      <c r="C514" s="6"/>
      <c r="D514" s="6"/>
      <c r="E514" s="6"/>
      <c r="F514" s="40"/>
      <c r="G514" s="41"/>
      <c r="H514" s="35" t="str">
        <f aca="false">IF($B514="","",N($F514)*N($G514))</f>
        <v/>
      </c>
      <c r="I514" s="35" t="str">
        <f aca="false">IF($B514="","",N($F514)+$H514)</f>
        <v/>
      </c>
      <c r="J514" s="6"/>
      <c r="K514" s="46" t="str">
        <f aca="false">IF($A514="","",DATE(YEAR($A514),MONTH($A514),1))</f>
        <v/>
      </c>
    </row>
    <row r="515" customFormat="false" ht="15" hidden="false" customHeight="false" outlineLevel="0" collapsed="false">
      <c r="A515" s="44"/>
      <c r="B515" s="6"/>
      <c r="C515" s="6"/>
      <c r="D515" s="6"/>
      <c r="E515" s="6"/>
      <c r="F515" s="40"/>
      <c r="G515" s="41"/>
      <c r="H515" s="35" t="str">
        <f aca="false">IF($B515="","",N($F515)*N($G515))</f>
        <v/>
      </c>
      <c r="I515" s="35" t="str">
        <f aca="false">IF($B515="","",N($F515)+$H515)</f>
        <v/>
      </c>
      <c r="J515" s="6"/>
      <c r="K515" s="46" t="str">
        <f aca="false">IF($A515="","",DATE(YEAR($A515),MONTH($A515),1))</f>
        <v/>
      </c>
    </row>
    <row r="516" customFormat="false" ht="15" hidden="false" customHeight="false" outlineLevel="0" collapsed="false">
      <c r="A516" s="44"/>
      <c r="B516" s="6"/>
      <c r="C516" s="6"/>
      <c r="D516" s="6"/>
      <c r="E516" s="6"/>
      <c r="F516" s="40"/>
      <c r="G516" s="41"/>
      <c r="H516" s="35" t="str">
        <f aca="false">IF($B516="","",N($F516)*N($G516))</f>
        <v/>
      </c>
      <c r="I516" s="35" t="str">
        <f aca="false">IF($B516="","",N($F516)+$H516)</f>
        <v/>
      </c>
      <c r="J516" s="6"/>
      <c r="K516" s="46" t="str">
        <f aca="false">IF($A516="","",DATE(YEAR($A516),MONTH($A516),1))</f>
        <v/>
      </c>
    </row>
    <row r="517" customFormat="false" ht="15" hidden="false" customHeight="false" outlineLevel="0" collapsed="false">
      <c r="A517" s="44"/>
      <c r="B517" s="6"/>
      <c r="C517" s="6"/>
      <c r="D517" s="6"/>
      <c r="E517" s="6"/>
      <c r="F517" s="40"/>
      <c r="G517" s="41"/>
      <c r="H517" s="35" t="str">
        <f aca="false">IF($B517="","",N($F517)*N($G517))</f>
        <v/>
      </c>
      <c r="I517" s="35" t="str">
        <f aca="false">IF($B517="","",N($F517)+$H517)</f>
        <v/>
      </c>
      <c r="J517" s="6"/>
      <c r="K517" s="46" t="str">
        <f aca="false">IF($A517="","",DATE(YEAR($A517),MONTH($A517),1))</f>
        <v/>
      </c>
    </row>
    <row r="518" customFormat="false" ht="15" hidden="false" customHeight="false" outlineLevel="0" collapsed="false">
      <c r="A518" s="44"/>
      <c r="B518" s="6"/>
      <c r="C518" s="6"/>
      <c r="D518" s="6"/>
      <c r="E518" s="6"/>
      <c r="F518" s="40"/>
      <c r="G518" s="41"/>
      <c r="H518" s="35" t="str">
        <f aca="false">IF($B518="","",N($F518)*N($G518))</f>
        <v/>
      </c>
      <c r="I518" s="35" t="str">
        <f aca="false">IF($B518="","",N($F518)+$H518)</f>
        <v/>
      </c>
      <c r="J518" s="6"/>
      <c r="K518" s="46" t="str">
        <f aca="false">IF($A518="","",DATE(YEAR($A518),MONTH($A518),1))</f>
        <v/>
      </c>
    </row>
    <row r="519" customFormat="false" ht="15" hidden="false" customHeight="false" outlineLevel="0" collapsed="false">
      <c r="A519" s="44"/>
      <c r="B519" s="6"/>
      <c r="C519" s="6"/>
      <c r="D519" s="6"/>
      <c r="E519" s="6"/>
      <c r="F519" s="40"/>
      <c r="G519" s="41"/>
      <c r="H519" s="35" t="str">
        <f aca="false">IF($B519="","",N($F519)*N($G519))</f>
        <v/>
      </c>
      <c r="I519" s="35" t="str">
        <f aca="false">IF($B519="","",N($F519)+$H519)</f>
        <v/>
      </c>
      <c r="J519" s="6"/>
      <c r="K519" s="46" t="str">
        <f aca="false">IF($A519="","",DATE(YEAR($A519),MONTH($A519),1))</f>
        <v/>
      </c>
    </row>
    <row r="520" customFormat="false" ht="15" hidden="false" customHeight="false" outlineLevel="0" collapsed="false">
      <c r="A520" s="44"/>
      <c r="B520" s="6"/>
      <c r="C520" s="6"/>
      <c r="D520" s="6"/>
      <c r="E520" s="6"/>
      <c r="F520" s="40"/>
      <c r="G520" s="41"/>
      <c r="H520" s="35" t="str">
        <f aca="false">IF($B520="","",N($F520)*N($G520))</f>
        <v/>
      </c>
      <c r="I520" s="35" t="str">
        <f aca="false">IF($B520="","",N($F520)+$H520)</f>
        <v/>
      </c>
      <c r="J520" s="6"/>
      <c r="K520" s="46" t="str">
        <f aca="false">IF($A520="","",DATE(YEAR($A520),MONTH($A520),1))</f>
        <v/>
      </c>
    </row>
    <row r="521" customFormat="false" ht="15" hidden="false" customHeight="false" outlineLevel="0" collapsed="false">
      <c r="A521" s="44"/>
      <c r="B521" s="6"/>
      <c r="C521" s="6"/>
      <c r="D521" s="6"/>
      <c r="E521" s="6"/>
      <c r="F521" s="40"/>
      <c r="G521" s="41"/>
      <c r="H521" s="35" t="str">
        <f aca="false">IF($B521="","",N($F521)*N($G521))</f>
        <v/>
      </c>
      <c r="I521" s="35" t="str">
        <f aca="false">IF($B521="","",N($F521)+$H521)</f>
        <v/>
      </c>
      <c r="J521" s="6"/>
      <c r="K521" s="46" t="str">
        <f aca="false">IF($A521="","",DATE(YEAR($A521),MONTH($A521),1))</f>
        <v/>
      </c>
    </row>
    <row r="522" customFormat="false" ht="15" hidden="false" customHeight="false" outlineLevel="0" collapsed="false">
      <c r="A522" s="44"/>
      <c r="B522" s="6"/>
      <c r="C522" s="6"/>
      <c r="D522" s="6"/>
      <c r="E522" s="6"/>
      <c r="F522" s="40"/>
      <c r="G522" s="41"/>
      <c r="H522" s="35" t="str">
        <f aca="false">IF($B522="","",N($F522)*N($G522))</f>
        <v/>
      </c>
      <c r="I522" s="35" t="str">
        <f aca="false">IF($B522="","",N($F522)+$H522)</f>
        <v/>
      </c>
      <c r="J522" s="6"/>
      <c r="K522" s="46" t="str">
        <f aca="false">IF($A522="","",DATE(YEAR($A522),MONTH($A522),1))</f>
        <v/>
      </c>
    </row>
    <row r="523" customFormat="false" ht="15" hidden="false" customHeight="false" outlineLevel="0" collapsed="false">
      <c r="A523" s="44"/>
      <c r="B523" s="6"/>
      <c r="C523" s="6"/>
      <c r="D523" s="6"/>
      <c r="E523" s="6"/>
      <c r="F523" s="40"/>
      <c r="G523" s="41"/>
      <c r="H523" s="35" t="str">
        <f aca="false">IF($B523="","",N($F523)*N($G523))</f>
        <v/>
      </c>
      <c r="I523" s="35" t="str">
        <f aca="false">IF($B523="","",N($F523)+$H523)</f>
        <v/>
      </c>
      <c r="J523" s="6"/>
      <c r="K523" s="46" t="str">
        <f aca="false">IF($A523="","",DATE(YEAR($A523),MONTH($A523),1))</f>
        <v/>
      </c>
    </row>
    <row r="524" customFormat="false" ht="15" hidden="false" customHeight="false" outlineLevel="0" collapsed="false">
      <c r="A524" s="44"/>
      <c r="B524" s="6"/>
      <c r="C524" s="6"/>
      <c r="D524" s="6"/>
      <c r="E524" s="6"/>
      <c r="F524" s="40"/>
      <c r="G524" s="41"/>
      <c r="H524" s="35" t="str">
        <f aca="false">IF($B524="","",N($F524)*N($G524))</f>
        <v/>
      </c>
      <c r="I524" s="35" t="str">
        <f aca="false">IF($B524="","",N($F524)+$H524)</f>
        <v/>
      </c>
      <c r="J524" s="6"/>
      <c r="K524" s="46" t="str">
        <f aca="false">IF($A524="","",DATE(YEAR($A524),MONTH($A524),1))</f>
        <v/>
      </c>
    </row>
    <row r="525" customFormat="false" ht="15" hidden="false" customHeight="false" outlineLevel="0" collapsed="false">
      <c r="A525" s="44"/>
      <c r="B525" s="6"/>
      <c r="C525" s="6"/>
      <c r="D525" s="6"/>
      <c r="E525" s="6"/>
      <c r="F525" s="40"/>
      <c r="G525" s="41"/>
      <c r="H525" s="35" t="str">
        <f aca="false">IF($B525="","",N($F525)*N($G525))</f>
        <v/>
      </c>
      <c r="I525" s="35" t="str">
        <f aca="false">IF($B525="","",N($F525)+$H525)</f>
        <v/>
      </c>
      <c r="J525" s="6"/>
      <c r="K525" s="46" t="str">
        <f aca="false">IF($A525="","",DATE(YEAR($A525),MONTH($A525),1))</f>
        <v/>
      </c>
    </row>
    <row r="526" customFormat="false" ht="15" hidden="false" customHeight="false" outlineLevel="0" collapsed="false">
      <c r="A526" s="44"/>
      <c r="B526" s="6"/>
      <c r="C526" s="6"/>
      <c r="D526" s="6"/>
      <c r="E526" s="6"/>
      <c r="F526" s="40"/>
      <c r="G526" s="41"/>
      <c r="H526" s="35" t="str">
        <f aca="false">IF($B526="","",N($F526)*N($G526))</f>
        <v/>
      </c>
      <c r="I526" s="35" t="str">
        <f aca="false">IF($B526="","",N($F526)+$H526)</f>
        <v/>
      </c>
      <c r="J526" s="6"/>
      <c r="K526" s="46" t="str">
        <f aca="false">IF($A526="","",DATE(YEAR($A526),MONTH($A526),1))</f>
        <v/>
      </c>
    </row>
    <row r="527" customFormat="false" ht="15" hidden="false" customHeight="false" outlineLevel="0" collapsed="false">
      <c r="A527" s="44"/>
      <c r="B527" s="6"/>
      <c r="C527" s="6"/>
      <c r="D527" s="6"/>
      <c r="E527" s="6"/>
      <c r="F527" s="40"/>
      <c r="G527" s="41"/>
      <c r="H527" s="35" t="str">
        <f aca="false">IF($B527="","",N($F527)*N($G527))</f>
        <v/>
      </c>
      <c r="I527" s="35" t="str">
        <f aca="false">IF($B527="","",N($F527)+$H527)</f>
        <v/>
      </c>
      <c r="J527" s="6"/>
      <c r="K527" s="46" t="str">
        <f aca="false">IF($A527="","",DATE(YEAR($A527),MONTH($A527),1))</f>
        <v/>
      </c>
    </row>
    <row r="528" customFormat="false" ht="15" hidden="false" customHeight="false" outlineLevel="0" collapsed="false">
      <c r="A528" s="44"/>
      <c r="B528" s="6"/>
      <c r="C528" s="6"/>
      <c r="D528" s="6"/>
      <c r="E528" s="6"/>
      <c r="F528" s="40"/>
      <c r="G528" s="41"/>
      <c r="H528" s="35" t="str">
        <f aca="false">IF($B528="","",N($F528)*N($G528))</f>
        <v/>
      </c>
      <c r="I528" s="35" t="str">
        <f aca="false">IF($B528="","",N($F528)+$H528)</f>
        <v/>
      </c>
      <c r="J528" s="6"/>
      <c r="K528" s="46" t="str">
        <f aca="false">IF($A528="","",DATE(YEAR($A528),MONTH($A528),1))</f>
        <v/>
      </c>
    </row>
    <row r="529" customFormat="false" ht="15" hidden="false" customHeight="false" outlineLevel="0" collapsed="false">
      <c r="A529" s="44"/>
      <c r="B529" s="6"/>
      <c r="C529" s="6"/>
      <c r="D529" s="6"/>
      <c r="E529" s="6"/>
      <c r="F529" s="40"/>
      <c r="G529" s="41"/>
      <c r="H529" s="35" t="str">
        <f aca="false">IF($B529="","",N($F529)*N($G529))</f>
        <v/>
      </c>
      <c r="I529" s="35" t="str">
        <f aca="false">IF($B529="","",N($F529)+$H529)</f>
        <v/>
      </c>
      <c r="J529" s="6"/>
      <c r="K529" s="46" t="str">
        <f aca="false">IF($A529="","",DATE(YEAR($A529),MONTH($A529),1))</f>
        <v/>
      </c>
    </row>
    <row r="530" customFormat="false" ht="15" hidden="false" customHeight="false" outlineLevel="0" collapsed="false">
      <c r="A530" s="44"/>
      <c r="B530" s="6"/>
      <c r="C530" s="6"/>
      <c r="D530" s="6"/>
      <c r="E530" s="6"/>
      <c r="F530" s="40"/>
      <c r="G530" s="41"/>
      <c r="H530" s="35" t="str">
        <f aca="false">IF($B530="","",N($F530)*N($G530))</f>
        <v/>
      </c>
      <c r="I530" s="35" t="str">
        <f aca="false">IF($B530="","",N($F530)+$H530)</f>
        <v/>
      </c>
      <c r="J530" s="6"/>
      <c r="K530" s="46" t="str">
        <f aca="false">IF($A530="","",DATE(YEAR($A530),MONTH($A530),1))</f>
        <v/>
      </c>
    </row>
    <row r="531" customFormat="false" ht="15" hidden="false" customHeight="false" outlineLevel="0" collapsed="false">
      <c r="A531" s="44"/>
      <c r="B531" s="6"/>
      <c r="C531" s="6"/>
      <c r="D531" s="6"/>
      <c r="E531" s="6"/>
      <c r="F531" s="40"/>
      <c r="G531" s="41"/>
      <c r="H531" s="35" t="str">
        <f aca="false">IF($B531="","",N($F531)*N($G531))</f>
        <v/>
      </c>
      <c r="I531" s="35" t="str">
        <f aca="false">IF($B531="","",N($F531)+$H531)</f>
        <v/>
      </c>
      <c r="J531" s="6"/>
      <c r="K531" s="46" t="str">
        <f aca="false">IF($A531="","",DATE(YEAR($A531),MONTH($A531),1))</f>
        <v/>
      </c>
    </row>
    <row r="532" customFormat="false" ht="15" hidden="false" customHeight="false" outlineLevel="0" collapsed="false">
      <c r="A532" s="44"/>
      <c r="B532" s="6"/>
      <c r="C532" s="6"/>
      <c r="D532" s="6"/>
      <c r="E532" s="6"/>
      <c r="F532" s="40"/>
      <c r="G532" s="41"/>
      <c r="H532" s="35" t="str">
        <f aca="false">IF($B532="","",N($F532)*N($G532))</f>
        <v/>
      </c>
      <c r="I532" s="35" t="str">
        <f aca="false">IF($B532="","",N($F532)+$H532)</f>
        <v/>
      </c>
      <c r="J532" s="6"/>
      <c r="K532" s="46" t="str">
        <f aca="false">IF($A532="","",DATE(YEAR($A532),MONTH($A532),1))</f>
        <v/>
      </c>
    </row>
    <row r="533" customFormat="false" ht="15" hidden="false" customHeight="false" outlineLevel="0" collapsed="false">
      <c r="A533" s="44"/>
      <c r="B533" s="6"/>
      <c r="C533" s="6"/>
      <c r="D533" s="6"/>
      <c r="E533" s="6"/>
      <c r="F533" s="40"/>
      <c r="G533" s="41"/>
      <c r="H533" s="35" t="str">
        <f aca="false">IF($B533="","",N($F533)*N($G533))</f>
        <v/>
      </c>
      <c r="I533" s="35" t="str">
        <f aca="false">IF($B533="","",N($F533)+$H533)</f>
        <v/>
      </c>
      <c r="J533" s="6"/>
      <c r="K533" s="46" t="str">
        <f aca="false">IF($A533="","",DATE(YEAR($A533),MONTH($A533),1))</f>
        <v/>
      </c>
    </row>
    <row r="534" customFormat="false" ht="15" hidden="false" customHeight="false" outlineLevel="0" collapsed="false">
      <c r="A534" s="44"/>
      <c r="B534" s="6"/>
      <c r="C534" s="6"/>
      <c r="D534" s="6"/>
      <c r="E534" s="6"/>
      <c r="F534" s="40"/>
      <c r="G534" s="41"/>
      <c r="H534" s="35" t="str">
        <f aca="false">IF($B534="","",N($F534)*N($G534))</f>
        <v/>
      </c>
      <c r="I534" s="35" t="str">
        <f aca="false">IF($B534="","",N($F534)+$H534)</f>
        <v/>
      </c>
      <c r="J534" s="6"/>
      <c r="K534" s="46" t="str">
        <f aca="false">IF($A534="","",DATE(YEAR($A534),MONTH($A534),1))</f>
        <v/>
      </c>
    </row>
    <row r="535" customFormat="false" ht="15" hidden="false" customHeight="false" outlineLevel="0" collapsed="false">
      <c r="A535" s="44"/>
      <c r="B535" s="6"/>
      <c r="C535" s="6"/>
      <c r="D535" s="6"/>
      <c r="E535" s="6"/>
      <c r="F535" s="40"/>
      <c r="G535" s="41"/>
      <c r="H535" s="35" t="str">
        <f aca="false">IF($B535="","",N($F535)*N($G535))</f>
        <v/>
      </c>
      <c r="I535" s="35" t="str">
        <f aca="false">IF($B535="","",N($F535)+$H535)</f>
        <v/>
      </c>
      <c r="J535" s="6"/>
      <c r="K535" s="46" t="str">
        <f aca="false">IF($A535="","",DATE(YEAR($A535),MONTH($A535),1))</f>
        <v/>
      </c>
    </row>
    <row r="536" customFormat="false" ht="15" hidden="false" customHeight="false" outlineLevel="0" collapsed="false">
      <c r="A536" s="44"/>
      <c r="B536" s="6"/>
      <c r="C536" s="6"/>
      <c r="D536" s="6"/>
      <c r="E536" s="6"/>
      <c r="F536" s="40"/>
      <c r="G536" s="41"/>
      <c r="H536" s="35" t="str">
        <f aca="false">IF($B536="","",N($F536)*N($G536))</f>
        <v/>
      </c>
      <c r="I536" s="35" t="str">
        <f aca="false">IF($B536="","",N($F536)+$H536)</f>
        <v/>
      </c>
      <c r="J536" s="6"/>
      <c r="K536" s="46" t="str">
        <f aca="false">IF($A536="","",DATE(YEAR($A536),MONTH($A536),1))</f>
        <v/>
      </c>
    </row>
    <row r="537" customFormat="false" ht="15" hidden="false" customHeight="false" outlineLevel="0" collapsed="false">
      <c r="A537" s="44"/>
      <c r="B537" s="6"/>
      <c r="C537" s="6"/>
      <c r="D537" s="6"/>
      <c r="E537" s="6"/>
      <c r="F537" s="40"/>
      <c r="G537" s="41"/>
      <c r="H537" s="35" t="str">
        <f aca="false">IF($B537="","",N($F537)*N($G537))</f>
        <v/>
      </c>
      <c r="I537" s="35" t="str">
        <f aca="false">IF($B537="","",N($F537)+$H537)</f>
        <v/>
      </c>
      <c r="J537" s="6"/>
      <c r="K537" s="46" t="str">
        <f aca="false">IF($A537="","",DATE(YEAR($A537),MONTH($A537),1))</f>
        <v/>
      </c>
    </row>
    <row r="538" customFormat="false" ht="15" hidden="false" customHeight="false" outlineLevel="0" collapsed="false">
      <c r="A538" s="44"/>
      <c r="B538" s="6"/>
      <c r="C538" s="6"/>
      <c r="D538" s="6"/>
      <c r="E538" s="6"/>
      <c r="F538" s="40"/>
      <c r="G538" s="41"/>
      <c r="H538" s="35" t="str">
        <f aca="false">IF($B538="","",N($F538)*N($G538))</f>
        <v/>
      </c>
      <c r="I538" s="35" t="str">
        <f aca="false">IF($B538="","",N($F538)+$H538)</f>
        <v/>
      </c>
      <c r="J538" s="6"/>
      <c r="K538" s="46" t="str">
        <f aca="false">IF($A538="","",DATE(YEAR($A538),MONTH($A538),1))</f>
        <v/>
      </c>
    </row>
    <row r="539" customFormat="false" ht="15" hidden="false" customHeight="false" outlineLevel="0" collapsed="false">
      <c r="A539" s="44"/>
      <c r="B539" s="6"/>
      <c r="C539" s="6"/>
      <c r="D539" s="6"/>
      <c r="E539" s="6"/>
      <c r="F539" s="40"/>
      <c r="G539" s="41"/>
      <c r="H539" s="35" t="str">
        <f aca="false">IF($B539="","",N($F539)*N($G539))</f>
        <v/>
      </c>
      <c r="I539" s="35" t="str">
        <f aca="false">IF($B539="","",N($F539)+$H539)</f>
        <v/>
      </c>
      <c r="J539" s="6"/>
      <c r="K539" s="46" t="str">
        <f aca="false">IF($A539="","",DATE(YEAR($A539),MONTH($A539),1))</f>
        <v/>
      </c>
    </row>
    <row r="540" customFormat="false" ht="15" hidden="false" customHeight="false" outlineLevel="0" collapsed="false">
      <c r="A540" s="44"/>
      <c r="B540" s="6"/>
      <c r="C540" s="6"/>
      <c r="D540" s="6"/>
      <c r="E540" s="6"/>
      <c r="F540" s="40"/>
      <c r="G540" s="41"/>
      <c r="H540" s="35" t="str">
        <f aca="false">IF($B540="","",N($F540)*N($G540))</f>
        <v/>
      </c>
      <c r="I540" s="35" t="str">
        <f aca="false">IF($B540="","",N($F540)+$H540)</f>
        <v/>
      </c>
      <c r="J540" s="6"/>
      <c r="K540" s="46" t="str">
        <f aca="false">IF($A540="","",DATE(YEAR($A540),MONTH($A540),1))</f>
        <v/>
      </c>
    </row>
    <row r="541" customFormat="false" ht="15" hidden="false" customHeight="false" outlineLevel="0" collapsed="false">
      <c r="A541" s="44"/>
      <c r="B541" s="6"/>
      <c r="C541" s="6"/>
      <c r="D541" s="6"/>
      <c r="E541" s="6"/>
      <c r="F541" s="40"/>
      <c r="G541" s="41"/>
      <c r="H541" s="35" t="str">
        <f aca="false">IF($B541="","",N($F541)*N($G541))</f>
        <v/>
      </c>
      <c r="I541" s="35" t="str">
        <f aca="false">IF($B541="","",N($F541)+$H541)</f>
        <v/>
      </c>
      <c r="J541" s="6"/>
      <c r="K541" s="46" t="str">
        <f aca="false">IF($A541="","",DATE(YEAR($A541),MONTH($A541),1))</f>
        <v/>
      </c>
    </row>
    <row r="542" customFormat="false" ht="15" hidden="false" customHeight="false" outlineLevel="0" collapsed="false">
      <c r="A542" s="44"/>
      <c r="B542" s="6"/>
      <c r="C542" s="6"/>
      <c r="D542" s="6"/>
      <c r="E542" s="6"/>
      <c r="F542" s="40"/>
      <c r="G542" s="41"/>
      <c r="H542" s="35" t="str">
        <f aca="false">IF($B542="","",N($F542)*N($G542))</f>
        <v/>
      </c>
      <c r="I542" s="35" t="str">
        <f aca="false">IF($B542="","",N($F542)+$H542)</f>
        <v/>
      </c>
      <c r="J542" s="6"/>
      <c r="K542" s="46" t="str">
        <f aca="false">IF($A542="","",DATE(YEAR($A542),MONTH($A542),1))</f>
        <v/>
      </c>
    </row>
    <row r="543" customFormat="false" ht="15" hidden="false" customHeight="false" outlineLevel="0" collapsed="false">
      <c r="A543" s="44"/>
      <c r="B543" s="6"/>
      <c r="C543" s="6"/>
      <c r="D543" s="6"/>
      <c r="E543" s="6"/>
      <c r="F543" s="40"/>
      <c r="G543" s="41"/>
      <c r="H543" s="35" t="str">
        <f aca="false">IF($B543="","",N($F543)*N($G543))</f>
        <v/>
      </c>
      <c r="I543" s="35" t="str">
        <f aca="false">IF($B543="","",N($F543)+$H543)</f>
        <v/>
      </c>
      <c r="J543" s="6"/>
      <c r="K543" s="46" t="str">
        <f aca="false">IF($A543="","",DATE(YEAR($A543),MONTH($A543),1))</f>
        <v/>
      </c>
    </row>
    <row r="544" customFormat="false" ht="15" hidden="false" customHeight="false" outlineLevel="0" collapsed="false">
      <c r="A544" s="44"/>
      <c r="B544" s="6"/>
      <c r="C544" s="6"/>
      <c r="D544" s="6"/>
      <c r="E544" s="6"/>
      <c r="F544" s="40"/>
      <c r="G544" s="41"/>
      <c r="H544" s="35" t="str">
        <f aca="false">IF($B544="","",N($F544)*N($G544))</f>
        <v/>
      </c>
      <c r="I544" s="35" t="str">
        <f aca="false">IF($B544="","",N($F544)+$H544)</f>
        <v/>
      </c>
      <c r="J544" s="6"/>
      <c r="K544" s="46" t="str">
        <f aca="false">IF($A544="","",DATE(YEAR($A544),MONTH($A544),1))</f>
        <v/>
      </c>
    </row>
    <row r="545" customFormat="false" ht="15" hidden="false" customHeight="false" outlineLevel="0" collapsed="false">
      <c r="A545" s="44"/>
      <c r="B545" s="6"/>
      <c r="C545" s="6"/>
      <c r="D545" s="6"/>
      <c r="E545" s="6"/>
      <c r="F545" s="40"/>
      <c r="G545" s="41"/>
      <c r="H545" s="35" t="str">
        <f aca="false">IF($B545="","",N($F545)*N($G545))</f>
        <v/>
      </c>
      <c r="I545" s="35" t="str">
        <f aca="false">IF($B545="","",N($F545)+$H545)</f>
        <v/>
      </c>
      <c r="J545" s="6"/>
      <c r="K545" s="46" t="str">
        <f aca="false">IF($A545="","",DATE(YEAR($A545),MONTH($A545),1))</f>
        <v/>
      </c>
    </row>
    <row r="546" customFormat="false" ht="15" hidden="false" customHeight="false" outlineLevel="0" collapsed="false">
      <c r="A546" s="44"/>
      <c r="B546" s="6"/>
      <c r="C546" s="6"/>
      <c r="D546" s="6"/>
      <c r="E546" s="6"/>
      <c r="F546" s="40"/>
      <c r="G546" s="41"/>
      <c r="H546" s="35" t="str">
        <f aca="false">IF($B546="","",N($F546)*N($G546))</f>
        <v/>
      </c>
      <c r="I546" s="35" t="str">
        <f aca="false">IF($B546="","",N($F546)+$H546)</f>
        <v/>
      </c>
      <c r="J546" s="6"/>
      <c r="K546" s="46" t="str">
        <f aca="false">IF($A546="","",DATE(YEAR($A546),MONTH($A546),1))</f>
        <v/>
      </c>
    </row>
    <row r="547" customFormat="false" ht="15" hidden="false" customHeight="false" outlineLevel="0" collapsed="false">
      <c r="A547" s="44"/>
      <c r="B547" s="6"/>
      <c r="C547" s="6"/>
      <c r="D547" s="6"/>
      <c r="E547" s="6"/>
      <c r="F547" s="40"/>
      <c r="G547" s="41"/>
      <c r="H547" s="35" t="str">
        <f aca="false">IF($B547="","",N($F547)*N($G547))</f>
        <v/>
      </c>
      <c r="I547" s="35" t="str">
        <f aca="false">IF($B547="","",N($F547)+$H547)</f>
        <v/>
      </c>
      <c r="J547" s="6"/>
      <c r="K547" s="46" t="str">
        <f aca="false">IF($A547="","",DATE(YEAR($A547),MONTH($A547),1))</f>
        <v/>
      </c>
    </row>
    <row r="548" customFormat="false" ht="15" hidden="false" customHeight="false" outlineLevel="0" collapsed="false">
      <c r="A548" s="44"/>
      <c r="B548" s="6"/>
      <c r="C548" s="6"/>
      <c r="D548" s="6"/>
      <c r="E548" s="6"/>
      <c r="F548" s="40"/>
      <c r="G548" s="41"/>
      <c r="H548" s="35" t="str">
        <f aca="false">IF($B548="","",N($F548)*N($G548))</f>
        <v/>
      </c>
      <c r="I548" s="35" t="str">
        <f aca="false">IF($B548="","",N($F548)+$H548)</f>
        <v/>
      </c>
      <c r="J548" s="6"/>
      <c r="K548" s="46" t="str">
        <f aca="false">IF($A548="","",DATE(YEAR($A548),MONTH($A548),1))</f>
        <v/>
      </c>
    </row>
    <row r="549" customFormat="false" ht="15" hidden="false" customHeight="false" outlineLevel="0" collapsed="false">
      <c r="A549" s="44"/>
      <c r="B549" s="6"/>
      <c r="C549" s="6"/>
      <c r="D549" s="6"/>
      <c r="E549" s="6"/>
      <c r="F549" s="40"/>
      <c r="G549" s="41"/>
      <c r="H549" s="35" t="str">
        <f aca="false">IF($B549="","",N($F549)*N($G549))</f>
        <v/>
      </c>
      <c r="I549" s="35" t="str">
        <f aca="false">IF($B549="","",N($F549)+$H549)</f>
        <v/>
      </c>
      <c r="J549" s="6"/>
      <c r="K549" s="46" t="str">
        <f aca="false">IF($A549="","",DATE(YEAR($A549),MONTH($A549),1))</f>
        <v/>
      </c>
    </row>
    <row r="550" customFormat="false" ht="15" hidden="false" customHeight="false" outlineLevel="0" collapsed="false">
      <c r="A550" s="44"/>
      <c r="B550" s="6"/>
      <c r="C550" s="6"/>
      <c r="D550" s="6"/>
      <c r="E550" s="6"/>
      <c r="F550" s="40"/>
      <c r="G550" s="41"/>
      <c r="H550" s="35" t="str">
        <f aca="false">IF($B550="","",N($F550)*N($G550))</f>
        <v/>
      </c>
      <c r="I550" s="35" t="str">
        <f aca="false">IF($B550="","",N($F550)+$H550)</f>
        <v/>
      </c>
      <c r="J550" s="6"/>
      <c r="K550" s="46" t="str">
        <f aca="false">IF($A550="","",DATE(YEAR($A550),MONTH($A550),1))</f>
        <v/>
      </c>
    </row>
    <row r="551" customFormat="false" ht="15" hidden="false" customHeight="false" outlineLevel="0" collapsed="false">
      <c r="A551" s="44"/>
      <c r="B551" s="6"/>
      <c r="C551" s="6"/>
      <c r="D551" s="6"/>
      <c r="E551" s="6"/>
      <c r="F551" s="40"/>
      <c r="G551" s="41"/>
      <c r="H551" s="35" t="str">
        <f aca="false">IF($B551="","",N($F551)*N($G551))</f>
        <v/>
      </c>
      <c r="I551" s="35" t="str">
        <f aca="false">IF($B551="","",N($F551)+$H551)</f>
        <v/>
      </c>
      <c r="J551" s="6"/>
      <c r="K551" s="46" t="str">
        <f aca="false">IF($A551="","",DATE(YEAR($A551),MONTH($A551),1))</f>
        <v/>
      </c>
    </row>
    <row r="552" customFormat="false" ht="15" hidden="false" customHeight="false" outlineLevel="0" collapsed="false">
      <c r="A552" s="44"/>
      <c r="B552" s="6"/>
      <c r="C552" s="6"/>
      <c r="D552" s="6"/>
      <c r="E552" s="6"/>
      <c r="F552" s="40"/>
      <c r="G552" s="41"/>
      <c r="H552" s="35" t="str">
        <f aca="false">IF($B552="","",N($F552)*N($G552))</f>
        <v/>
      </c>
      <c r="I552" s="35" t="str">
        <f aca="false">IF($B552="","",N($F552)+$H552)</f>
        <v/>
      </c>
      <c r="J552" s="6"/>
      <c r="K552" s="46" t="str">
        <f aca="false">IF($A552="","",DATE(YEAR($A552),MONTH($A552),1))</f>
        <v/>
      </c>
    </row>
    <row r="553" customFormat="false" ht="15" hidden="false" customHeight="false" outlineLevel="0" collapsed="false">
      <c r="A553" s="44"/>
      <c r="B553" s="6"/>
      <c r="C553" s="6"/>
      <c r="D553" s="6"/>
      <c r="E553" s="6"/>
      <c r="F553" s="40"/>
      <c r="G553" s="41"/>
      <c r="H553" s="35" t="str">
        <f aca="false">IF($B553="","",N($F553)*N($G553))</f>
        <v/>
      </c>
      <c r="I553" s="35" t="str">
        <f aca="false">IF($B553="","",N($F553)+$H553)</f>
        <v/>
      </c>
      <c r="J553" s="6"/>
      <c r="K553" s="46" t="str">
        <f aca="false">IF($A553="","",DATE(YEAR($A553),MONTH($A553),1))</f>
        <v/>
      </c>
    </row>
    <row r="554" customFormat="false" ht="15" hidden="false" customHeight="false" outlineLevel="0" collapsed="false">
      <c r="A554" s="44"/>
      <c r="B554" s="6"/>
      <c r="C554" s="6"/>
      <c r="D554" s="6"/>
      <c r="E554" s="6"/>
      <c r="F554" s="40"/>
      <c r="G554" s="41"/>
      <c r="H554" s="35" t="str">
        <f aca="false">IF($B554="","",N($F554)*N($G554))</f>
        <v/>
      </c>
      <c r="I554" s="35" t="str">
        <f aca="false">IF($B554="","",N($F554)+$H554)</f>
        <v/>
      </c>
      <c r="J554" s="6"/>
      <c r="K554" s="46" t="str">
        <f aca="false">IF($A554="","",DATE(YEAR($A554),MONTH($A554),1))</f>
        <v/>
      </c>
    </row>
    <row r="555" customFormat="false" ht="15" hidden="false" customHeight="false" outlineLevel="0" collapsed="false">
      <c r="A555" s="44"/>
      <c r="B555" s="6"/>
      <c r="C555" s="6"/>
      <c r="D555" s="6"/>
      <c r="E555" s="6"/>
      <c r="F555" s="40"/>
      <c r="G555" s="41"/>
      <c r="H555" s="35" t="str">
        <f aca="false">IF($B555="","",N($F555)*N($G555))</f>
        <v/>
      </c>
      <c r="I555" s="35" t="str">
        <f aca="false">IF($B555="","",N($F555)+$H555)</f>
        <v/>
      </c>
      <c r="J555" s="6"/>
      <c r="K555" s="46" t="str">
        <f aca="false">IF($A555="","",DATE(YEAR($A555),MONTH($A555),1))</f>
        <v/>
      </c>
    </row>
    <row r="556" customFormat="false" ht="15" hidden="false" customHeight="false" outlineLevel="0" collapsed="false">
      <c r="A556" s="44"/>
      <c r="B556" s="6"/>
      <c r="C556" s="6"/>
      <c r="D556" s="6"/>
      <c r="E556" s="6"/>
      <c r="F556" s="40"/>
      <c r="G556" s="41"/>
      <c r="H556" s="35" t="str">
        <f aca="false">IF($B556="","",N($F556)*N($G556))</f>
        <v/>
      </c>
      <c r="I556" s="35" t="str">
        <f aca="false">IF($B556="","",N($F556)+$H556)</f>
        <v/>
      </c>
      <c r="J556" s="6"/>
      <c r="K556" s="46" t="str">
        <f aca="false">IF($A556="","",DATE(YEAR($A556),MONTH($A556),1))</f>
        <v/>
      </c>
    </row>
    <row r="557" customFormat="false" ht="15" hidden="false" customHeight="false" outlineLevel="0" collapsed="false">
      <c r="A557" s="44"/>
      <c r="B557" s="6"/>
      <c r="C557" s="6"/>
      <c r="D557" s="6"/>
      <c r="E557" s="6"/>
      <c r="F557" s="40"/>
      <c r="G557" s="41"/>
      <c r="H557" s="35" t="str">
        <f aca="false">IF($B557="","",N($F557)*N($G557))</f>
        <v/>
      </c>
      <c r="I557" s="35" t="str">
        <f aca="false">IF($B557="","",N($F557)+$H557)</f>
        <v/>
      </c>
      <c r="J557" s="6"/>
      <c r="K557" s="46" t="str">
        <f aca="false">IF($A557="","",DATE(YEAR($A557),MONTH($A557),1))</f>
        <v/>
      </c>
    </row>
    <row r="558" customFormat="false" ht="15" hidden="false" customHeight="false" outlineLevel="0" collapsed="false">
      <c r="A558" s="44"/>
      <c r="B558" s="6"/>
      <c r="C558" s="6"/>
      <c r="D558" s="6"/>
      <c r="E558" s="6"/>
      <c r="F558" s="40"/>
      <c r="G558" s="41"/>
      <c r="H558" s="35" t="str">
        <f aca="false">IF($B558="","",N($F558)*N($G558))</f>
        <v/>
      </c>
      <c r="I558" s="35" t="str">
        <f aca="false">IF($B558="","",N($F558)+$H558)</f>
        <v/>
      </c>
      <c r="J558" s="6"/>
      <c r="K558" s="46" t="str">
        <f aca="false">IF($A558="","",DATE(YEAR($A558),MONTH($A558),1))</f>
        <v/>
      </c>
    </row>
    <row r="559" customFormat="false" ht="15" hidden="false" customHeight="false" outlineLevel="0" collapsed="false">
      <c r="A559" s="44"/>
      <c r="B559" s="6"/>
      <c r="C559" s="6"/>
      <c r="D559" s="6"/>
      <c r="E559" s="6"/>
      <c r="F559" s="40"/>
      <c r="G559" s="41"/>
      <c r="H559" s="35" t="str">
        <f aca="false">IF($B559="","",N($F559)*N($G559))</f>
        <v/>
      </c>
      <c r="I559" s="35" t="str">
        <f aca="false">IF($B559="","",N($F559)+$H559)</f>
        <v/>
      </c>
      <c r="J559" s="6"/>
      <c r="K559" s="46" t="str">
        <f aca="false">IF($A559="","",DATE(YEAR($A559),MONTH($A559),1))</f>
        <v/>
      </c>
    </row>
    <row r="560" customFormat="false" ht="15" hidden="false" customHeight="false" outlineLevel="0" collapsed="false">
      <c r="A560" s="44"/>
      <c r="B560" s="6"/>
      <c r="C560" s="6"/>
      <c r="D560" s="6"/>
      <c r="E560" s="6"/>
      <c r="F560" s="40"/>
      <c r="G560" s="41"/>
      <c r="H560" s="35" t="str">
        <f aca="false">IF($B560="","",N($F560)*N($G560))</f>
        <v/>
      </c>
      <c r="I560" s="35" t="str">
        <f aca="false">IF($B560="","",N($F560)+$H560)</f>
        <v/>
      </c>
      <c r="J560" s="6"/>
      <c r="K560" s="46" t="str">
        <f aca="false">IF($A560="","",DATE(YEAR($A560),MONTH($A560),1))</f>
        <v/>
      </c>
    </row>
    <row r="561" customFormat="false" ht="15" hidden="false" customHeight="false" outlineLevel="0" collapsed="false">
      <c r="A561" s="44"/>
      <c r="B561" s="6"/>
      <c r="C561" s="6"/>
      <c r="D561" s="6"/>
      <c r="E561" s="6"/>
      <c r="F561" s="40"/>
      <c r="G561" s="41"/>
      <c r="H561" s="35" t="str">
        <f aca="false">IF($B561="","",N($F561)*N($G561))</f>
        <v/>
      </c>
      <c r="I561" s="35" t="str">
        <f aca="false">IF($B561="","",N($F561)+$H561)</f>
        <v/>
      </c>
      <c r="J561" s="6"/>
      <c r="K561" s="46" t="str">
        <f aca="false">IF($A561="","",DATE(YEAR($A561),MONTH($A561),1))</f>
        <v/>
      </c>
    </row>
    <row r="562" customFormat="false" ht="15" hidden="false" customHeight="false" outlineLevel="0" collapsed="false">
      <c r="A562" s="44"/>
      <c r="B562" s="6"/>
      <c r="C562" s="6"/>
      <c r="D562" s="6"/>
      <c r="E562" s="6"/>
      <c r="F562" s="40"/>
      <c r="G562" s="41"/>
      <c r="H562" s="35" t="str">
        <f aca="false">IF($B562="","",N($F562)*N($G562))</f>
        <v/>
      </c>
      <c r="I562" s="35" t="str">
        <f aca="false">IF($B562="","",N($F562)+$H562)</f>
        <v/>
      </c>
      <c r="J562" s="6"/>
      <c r="K562" s="46" t="str">
        <f aca="false">IF($A562="","",DATE(YEAR($A562),MONTH($A562),1))</f>
        <v/>
      </c>
    </row>
    <row r="563" customFormat="false" ht="15" hidden="false" customHeight="false" outlineLevel="0" collapsed="false">
      <c r="A563" s="44"/>
      <c r="B563" s="6"/>
      <c r="C563" s="6"/>
      <c r="D563" s="6"/>
      <c r="E563" s="6"/>
      <c r="F563" s="40"/>
      <c r="G563" s="41"/>
      <c r="H563" s="35" t="str">
        <f aca="false">IF($B563="","",N($F563)*N($G563))</f>
        <v/>
      </c>
      <c r="I563" s="35" t="str">
        <f aca="false">IF($B563="","",N($F563)+$H563)</f>
        <v/>
      </c>
      <c r="J563" s="6"/>
      <c r="K563" s="46" t="str">
        <f aca="false">IF($A563="","",DATE(YEAR($A563),MONTH($A563),1))</f>
        <v/>
      </c>
    </row>
    <row r="564" customFormat="false" ht="15" hidden="false" customHeight="false" outlineLevel="0" collapsed="false">
      <c r="A564" s="44"/>
      <c r="B564" s="6"/>
      <c r="C564" s="6"/>
      <c r="D564" s="6"/>
      <c r="E564" s="6"/>
      <c r="F564" s="40"/>
      <c r="G564" s="41"/>
      <c r="H564" s="35" t="str">
        <f aca="false">IF($B564="","",N($F564)*N($G564))</f>
        <v/>
      </c>
      <c r="I564" s="35" t="str">
        <f aca="false">IF($B564="","",N($F564)+$H564)</f>
        <v/>
      </c>
      <c r="J564" s="6"/>
      <c r="K564" s="46" t="str">
        <f aca="false">IF($A564="","",DATE(YEAR($A564),MONTH($A564),1))</f>
        <v/>
      </c>
    </row>
    <row r="565" customFormat="false" ht="15" hidden="false" customHeight="false" outlineLevel="0" collapsed="false">
      <c r="A565" s="44"/>
      <c r="B565" s="6"/>
      <c r="C565" s="6"/>
      <c r="D565" s="6"/>
      <c r="E565" s="6"/>
      <c r="F565" s="40"/>
      <c r="G565" s="41"/>
      <c r="H565" s="35" t="str">
        <f aca="false">IF($B565="","",N($F565)*N($G565))</f>
        <v/>
      </c>
      <c r="I565" s="35" t="str">
        <f aca="false">IF($B565="","",N($F565)+$H565)</f>
        <v/>
      </c>
      <c r="J565" s="6"/>
      <c r="K565" s="46" t="str">
        <f aca="false">IF($A565="","",DATE(YEAR($A565),MONTH($A565),1))</f>
        <v/>
      </c>
    </row>
    <row r="566" customFormat="false" ht="15" hidden="false" customHeight="false" outlineLevel="0" collapsed="false">
      <c r="A566" s="44"/>
      <c r="B566" s="6"/>
      <c r="C566" s="6"/>
      <c r="D566" s="6"/>
      <c r="E566" s="6"/>
      <c r="F566" s="40"/>
      <c r="G566" s="41"/>
      <c r="H566" s="35" t="str">
        <f aca="false">IF($B566="","",N($F566)*N($G566))</f>
        <v/>
      </c>
      <c r="I566" s="35" t="str">
        <f aca="false">IF($B566="","",N($F566)+$H566)</f>
        <v/>
      </c>
      <c r="J566" s="6"/>
      <c r="K566" s="46" t="str">
        <f aca="false">IF($A566="","",DATE(YEAR($A566),MONTH($A566),1))</f>
        <v/>
      </c>
    </row>
    <row r="567" customFormat="false" ht="15" hidden="false" customHeight="false" outlineLevel="0" collapsed="false">
      <c r="A567" s="44"/>
      <c r="B567" s="6"/>
      <c r="C567" s="6"/>
      <c r="D567" s="6"/>
      <c r="E567" s="6"/>
      <c r="F567" s="40"/>
      <c r="G567" s="41"/>
      <c r="H567" s="35" t="str">
        <f aca="false">IF($B567="","",N($F567)*N($G567))</f>
        <v/>
      </c>
      <c r="I567" s="35" t="str">
        <f aca="false">IF($B567="","",N($F567)+$H567)</f>
        <v/>
      </c>
      <c r="J567" s="6"/>
      <c r="K567" s="46" t="str">
        <f aca="false">IF($A567="","",DATE(YEAR($A567),MONTH($A567),1))</f>
        <v/>
      </c>
    </row>
    <row r="568" customFormat="false" ht="15" hidden="false" customHeight="false" outlineLevel="0" collapsed="false">
      <c r="A568" s="44"/>
      <c r="B568" s="6"/>
      <c r="C568" s="6"/>
      <c r="D568" s="6"/>
      <c r="E568" s="6"/>
      <c r="F568" s="40"/>
      <c r="G568" s="41"/>
      <c r="H568" s="35" t="str">
        <f aca="false">IF($B568="","",N($F568)*N($G568))</f>
        <v/>
      </c>
      <c r="I568" s="35" t="str">
        <f aca="false">IF($B568="","",N($F568)+$H568)</f>
        <v/>
      </c>
      <c r="J568" s="6"/>
      <c r="K568" s="46" t="str">
        <f aca="false">IF($A568="","",DATE(YEAR($A568),MONTH($A568),1))</f>
        <v/>
      </c>
    </row>
    <row r="569" customFormat="false" ht="15" hidden="false" customHeight="false" outlineLevel="0" collapsed="false">
      <c r="A569" s="44"/>
      <c r="B569" s="6"/>
      <c r="C569" s="6"/>
      <c r="D569" s="6"/>
      <c r="E569" s="6"/>
      <c r="F569" s="40"/>
      <c r="G569" s="41"/>
      <c r="H569" s="35" t="str">
        <f aca="false">IF($B569="","",N($F569)*N($G569))</f>
        <v/>
      </c>
      <c r="I569" s="35" t="str">
        <f aca="false">IF($B569="","",N($F569)+$H569)</f>
        <v/>
      </c>
      <c r="J569" s="6"/>
      <c r="K569" s="46" t="str">
        <f aca="false">IF($A569="","",DATE(YEAR($A569),MONTH($A569),1))</f>
        <v/>
      </c>
    </row>
    <row r="570" customFormat="false" ht="15" hidden="false" customHeight="false" outlineLevel="0" collapsed="false">
      <c r="A570" s="44"/>
      <c r="B570" s="6"/>
      <c r="C570" s="6"/>
      <c r="D570" s="6"/>
      <c r="E570" s="6"/>
      <c r="F570" s="40"/>
      <c r="G570" s="41"/>
      <c r="H570" s="35" t="str">
        <f aca="false">IF($B570="","",N($F570)*N($G570))</f>
        <v/>
      </c>
      <c r="I570" s="35" t="str">
        <f aca="false">IF($B570="","",N($F570)+$H570)</f>
        <v/>
      </c>
      <c r="J570" s="6"/>
      <c r="K570" s="46" t="str">
        <f aca="false">IF($A570="","",DATE(YEAR($A570),MONTH($A570),1))</f>
        <v/>
      </c>
    </row>
    <row r="571" customFormat="false" ht="15" hidden="false" customHeight="false" outlineLevel="0" collapsed="false">
      <c r="A571" s="44"/>
      <c r="B571" s="6"/>
      <c r="C571" s="6"/>
      <c r="D571" s="6"/>
      <c r="E571" s="6"/>
      <c r="F571" s="40"/>
      <c r="G571" s="41"/>
      <c r="H571" s="35" t="str">
        <f aca="false">IF($B571="","",N($F571)*N($G571))</f>
        <v/>
      </c>
      <c r="I571" s="35" t="str">
        <f aca="false">IF($B571="","",N($F571)+$H571)</f>
        <v/>
      </c>
      <c r="J571" s="6"/>
      <c r="K571" s="46" t="str">
        <f aca="false">IF($A571="","",DATE(YEAR($A571),MONTH($A571),1))</f>
        <v/>
      </c>
    </row>
    <row r="572" customFormat="false" ht="15" hidden="false" customHeight="false" outlineLevel="0" collapsed="false">
      <c r="A572" s="44"/>
      <c r="B572" s="6"/>
      <c r="C572" s="6"/>
      <c r="D572" s="6"/>
      <c r="E572" s="6"/>
      <c r="F572" s="40"/>
      <c r="G572" s="41"/>
      <c r="H572" s="35" t="str">
        <f aca="false">IF($B572="","",N($F572)*N($G572))</f>
        <v/>
      </c>
      <c r="I572" s="35" t="str">
        <f aca="false">IF($B572="","",N($F572)+$H572)</f>
        <v/>
      </c>
      <c r="J572" s="6"/>
      <c r="K572" s="46" t="str">
        <f aca="false">IF($A572="","",DATE(YEAR($A572),MONTH($A572),1))</f>
        <v/>
      </c>
    </row>
    <row r="573" customFormat="false" ht="15" hidden="false" customHeight="false" outlineLevel="0" collapsed="false">
      <c r="A573" s="44"/>
      <c r="B573" s="6"/>
      <c r="C573" s="6"/>
      <c r="D573" s="6"/>
      <c r="E573" s="6"/>
      <c r="F573" s="40"/>
      <c r="G573" s="41"/>
      <c r="H573" s="35" t="str">
        <f aca="false">IF($B573="","",N($F573)*N($G573))</f>
        <v/>
      </c>
      <c r="I573" s="35" t="str">
        <f aca="false">IF($B573="","",N($F573)+$H573)</f>
        <v/>
      </c>
      <c r="J573" s="6"/>
      <c r="K573" s="46" t="str">
        <f aca="false">IF($A573="","",DATE(YEAR($A573),MONTH($A573),1))</f>
        <v/>
      </c>
    </row>
    <row r="574" customFormat="false" ht="15" hidden="false" customHeight="false" outlineLevel="0" collapsed="false">
      <c r="A574" s="44"/>
      <c r="B574" s="6"/>
      <c r="C574" s="6"/>
      <c r="D574" s="6"/>
      <c r="E574" s="6"/>
      <c r="F574" s="40"/>
      <c r="G574" s="41"/>
      <c r="H574" s="35" t="str">
        <f aca="false">IF($B574="","",N($F574)*N($G574))</f>
        <v/>
      </c>
      <c r="I574" s="35" t="str">
        <f aca="false">IF($B574="","",N($F574)+$H574)</f>
        <v/>
      </c>
      <c r="J574" s="6"/>
      <c r="K574" s="46" t="str">
        <f aca="false">IF($A574="","",DATE(YEAR($A574),MONTH($A574),1))</f>
        <v/>
      </c>
    </row>
    <row r="575" customFormat="false" ht="15" hidden="false" customHeight="false" outlineLevel="0" collapsed="false">
      <c r="A575" s="44"/>
      <c r="B575" s="6"/>
      <c r="C575" s="6"/>
      <c r="D575" s="6"/>
      <c r="E575" s="6"/>
      <c r="F575" s="40"/>
      <c r="G575" s="41"/>
      <c r="H575" s="35" t="str">
        <f aca="false">IF($B575="","",N($F575)*N($G575))</f>
        <v/>
      </c>
      <c r="I575" s="35" t="str">
        <f aca="false">IF($B575="","",N($F575)+$H575)</f>
        <v/>
      </c>
      <c r="J575" s="6"/>
      <c r="K575" s="46" t="str">
        <f aca="false">IF($A575="","",DATE(YEAR($A575),MONTH($A575),1))</f>
        <v/>
      </c>
    </row>
    <row r="576" customFormat="false" ht="15" hidden="false" customHeight="false" outlineLevel="0" collapsed="false">
      <c r="A576" s="44"/>
      <c r="B576" s="6"/>
      <c r="C576" s="6"/>
      <c r="D576" s="6"/>
      <c r="E576" s="6"/>
      <c r="F576" s="40"/>
      <c r="G576" s="41"/>
      <c r="H576" s="35" t="str">
        <f aca="false">IF($B576="","",N($F576)*N($G576))</f>
        <v/>
      </c>
      <c r="I576" s="35" t="str">
        <f aca="false">IF($B576="","",N($F576)+$H576)</f>
        <v/>
      </c>
      <c r="J576" s="6"/>
      <c r="K576" s="46" t="str">
        <f aca="false">IF($A576="","",DATE(YEAR($A576),MONTH($A576),1))</f>
        <v/>
      </c>
    </row>
    <row r="577" customFormat="false" ht="15" hidden="false" customHeight="false" outlineLevel="0" collapsed="false">
      <c r="A577" s="44"/>
      <c r="B577" s="6"/>
      <c r="C577" s="6"/>
      <c r="D577" s="6"/>
      <c r="E577" s="6"/>
      <c r="F577" s="40"/>
      <c r="G577" s="41"/>
      <c r="H577" s="35" t="str">
        <f aca="false">IF($B577="","",N($F577)*N($G577))</f>
        <v/>
      </c>
      <c r="I577" s="35" t="str">
        <f aca="false">IF($B577="","",N($F577)+$H577)</f>
        <v/>
      </c>
      <c r="J577" s="6"/>
      <c r="K577" s="46" t="str">
        <f aca="false">IF($A577="","",DATE(YEAR($A577),MONTH($A577),1))</f>
        <v/>
      </c>
    </row>
    <row r="578" customFormat="false" ht="15" hidden="false" customHeight="false" outlineLevel="0" collapsed="false">
      <c r="A578" s="44"/>
      <c r="B578" s="6"/>
      <c r="C578" s="6"/>
      <c r="D578" s="6"/>
      <c r="E578" s="6"/>
      <c r="F578" s="40"/>
      <c r="G578" s="41"/>
      <c r="H578" s="35" t="str">
        <f aca="false">IF($B578="","",N($F578)*N($G578))</f>
        <v/>
      </c>
      <c r="I578" s="35" t="str">
        <f aca="false">IF($B578="","",N($F578)+$H578)</f>
        <v/>
      </c>
      <c r="J578" s="6"/>
      <c r="K578" s="46" t="str">
        <f aca="false">IF($A578="","",DATE(YEAR($A578),MONTH($A578),1))</f>
        <v/>
      </c>
    </row>
    <row r="579" customFormat="false" ht="15" hidden="false" customHeight="false" outlineLevel="0" collapsed="false">
      <c r="A579" s="44"/>
      <c r="B579" s="6"/>
      <c r="C579" s="6"/>
      <c r="D579" s="6"/>
      <c r="E579" s="6"/>
      <c r="F579" s="40"/>
      <c r="G579" s="41"/>
      <c r="H579" s="35" t="str">
        <f aca="false">IF($B579="","",N($F579)*N($G579))</f>
        <v/>
      </c>
      <c r="I579" s="35" t="str">
        <f aca="false">IF($B579="","",N($F579)+$H579)</f>
        <v/>
      </c>
      <c r="J579" s="6"/>
      <c r="K579" s="46" t="str">
        <f aca="false">IF($A579="","",DATE(YEAR($A579),MONTH($A579),1))</f>
        <v/>
      </c>
    </row>
    <row r="580" customFormat="false" ht="15" hidden="false" customHeight="false" outlineLevel="0" collapsed="false">
      <c r="A580" s="44"/>
      <c r="B580" s="6"/>
      <c r="C580" s="6"/>
      <c r="D580" s="6"/>
      <c r="E580" s="6"/>
      <c r="F580" s="40"/>
      <c r="G580" s="41"/>
      <c r="H580" s="35" t="str">
        <f aca="false">IF($B580="","",N($F580)*N($G580))</f>
        <v/>
      </c>
      <c r="I580" s="35" t="str">
        <f aca="false">IF($B580="","",N($F580)+$H580)</f>
        <v/>
      </c>
      <c r="J580" s="6"/>
      <c r="K580" s="46" t="str">
        <f aca="false">IF($A580="","",DATE(YEAR($A580),MONTH($A580),1))</f>
        <v/>
      </c>
    </row>
    <row r="581" customFormat="false" ht="15" hidden="false" customHeight="false" outlineLevel="0" collapsed="false">
      <c r="A581" s="44"/>
      <c r="B581" s="6"/>
      <c r="C581" s="6"/>
      <c r="D581" s="6"/>
      <c r="E581" s="6"/>
      <c r="F581" s="40"/>
      <c r="G581" s="41"/>
      <c r="H581" s="35" t="str">
        <f aca="false">IF($B581="","",N($F581)*N($G581))</f>
        <v/>
      </c>
      <c r="I581" s="35" t="str">
        <f aca="false">IF($B581="","",N($F581)+$H581)</f>
        <v/>
      </c>
      <c r="J581" s="6"/>
      <c r="K581" s="46" t="str">
        <f aca="false">IF($A581="","",DATE(YEAR($A581),MONTH($A581),1))</f>
        <v/>
      </c>
    </row>
    <row r="582" customFormat="false" ht="15" hidden="false" customHeight="false" outlineLevel="0" collapsed="false">
      <c r="A582" s="44"/>
      <c r="B582" s="6"/>
      <c r="C582" s="6"/>
      <c r="D582" s="6"/>
      <c r="E582" s="6"/>
      <c r="F582" s="40"/>
      <c r="G582" s="41"/>
      <c r="H582" s="35" t="str">
        <f aca="false">IF($B582="","",N($F582)*N($G582))</f>
        <v/>
      </c>
      <c r="I582" s="35" t="str">
        <f aca="false">IF($B582="","",N($F582)+$H582)</f>
        <v/>
      </c>
      <c r="J582" s="6"/>
      <c r="K582" s="46" t="str">
        <f aca="false">IF($A582="","",DATE(YEAR($A582),MONTH($A582),1))</f>
        <v/>
      </c>
    </row>
    <row r="583" customFormat="false" ht="15" hidden="false" customHeight="false" outlineLevel="0" collapsed="false">
      <c r="A583" s="44"/>
      <c r="B583" s="6"/>
      <c r="C583" s="6"/>
      <c r="D583" s="6"/>
      <c r="E583" s="6"/>
      <c r="F583" s="40"/>
      <c r="G583" s="41"/>
      <c r="H583" s="35" t="str">
        <f aca="false">IF($B583="","",N($F583)*N($G583))</f>
        <v/>
      </c>
      <c r="I583" s="35" t="str">
        <f aca="false">IF($B583="","",N($F583)+$H583)</f>
        <v/>
      </c>
      <c r="J583" s="6"/>
      <c r="K583" s="46" t="str">
        <f aca="false">IF($A583="","",DATE(YEAR($A583),MONTH($A583),1))</f>
        <v/>
      </c>
    </row>
    <row r="584" customFormat="false" ht="15" hidden="false" customHeight="false" outlineLevel="0" collapsed="false">
      <c r="A584" s="44"/>
      <c r="B584" s="6"/>
      <c r="C584" s="6"/>
      <c r="D584" s="6"/>
      <c r="E584" s="6"/>
      <c r="F584" s="40"/>
      <c r="G584" s="41"/>
      <c r="H584" s="35" t="str">
        <f aca="false">IF($B584="","",N($F584)*N($G584))</f>
        <v/>
      </c>
      <c r="I584" s="35" t="str">
        <f aca="false">IF($B584="","",N($F584)+$H584)</f>
        <v/>
      </c>
      <c r="J584" s="6"/>
      <c r="K584" s="46" t="str">
        <f aca="false">IF($A584="","",DATE(YEAR($A584),MONTH($A584),1))</f>
        <v/>
      </c>
    </row>
    <row r="585" customFormat="false" ht="15" hidden="false" customHeight="false" outlineLevel="0" collapsed="false">
      <c r="A585" s="44"/>
      <c r="B585" s="6"/>
      <c r="C585" s="6"/>
      <c r="D585" s="6"/>
      <c r="E585" s="6"/>
      <c r="F585" s="40"/>
      <c r="G585" s="41"/>
      <c r="H585" s="35" t="str">
        <f aca="false">IF($B585="","",N($F585)*N($G585))</f>
        <v/>
      </c>
      <c r="I585" s="35" t="str">
        <f aca="false">IF($B585="","",N($F585)+$H585)</f>
        <v/>
      </c>
      <c r="J585" s="6"/>
      <c r="K585" s="46" t="str">
        <f aca="false">IF($A585="","",DATE(YEAR($A585),MONTH($A585),1))</f>
        <v/>
      </c>
    </row>
    <row r="586" customFormat="false" ht="15" hidden="false" customHeight="false" outlineLevel="0" collapsed="false">
      <c r="A586" s="44"/>
      <c r="B586" s="6"/>
      <c r="C586" s="6"/>
      <c r="D586" s="6"/>
      <c r="E586" s="6"/>
      <c r="F586" s="40"/>
      <c r="G586" s="41"/>
      <c r="H586" s="35" t="str">
        <f aca="false">IF($B586="","",N($F586)*N($G586))</f>
        <v/>
      </c>
      <c r="I586" s="35" t="str">
        <f aca="false">IF($B586="","",N($F586)+$H586)</f>
        <v/>
      </c>
      <c r="J586" s="6"/>
      <c r="K586" s="46" t="str">
        <f aca="false">IF($A586="","",DATE(YEAR($A586),MONTH($A586),1))</f>
        <v/>
      </c>
    </row>
    <row r="587" customFormat="false" ht="15" hidden="false" customHeight="false" outlineLevel="0" collapsed="false">
      <c r="A587" s="44"/>
      <c r="B587" s="6"/>
      <c r="C587" s="6"/>
      <c r="D587" s="6"/>
      <c r="E587" s="6"/>
      <c r="F587" s="40"/>
      <c r="G587" s="41"/>
      <c r="H587" s="35" t="str">
        <f aca="false">IF($B587="","",N($F587)*N($G587))</f>
        <v/>
      </c>
      <c r="I587" s="35" t="str">
        <f aca="false">IF($B587="","",N($F587)+$H587)</f>
        <v/>
      </c>
      <c r="J587" s="6"/>
      <c r="K587" s="46" t="str">
        <f aca="false">IF($A587="","",DATE(YEAR($A587),MONTH($A587),1))</f>
        <v/>
      </c>
    </row>
    <row r="588" customFormat="false" ht="15" hidden="false" customHeight="false" outlineLevel="0" collapsed="false">
      <c r="A588" s="44"/>
      <c r="B588" s="6"/>
      <c r="C588" s="6"/>
      <c r="D588" s="6"/>
      <c r="E588" s="6"/>
      <c r="F588" s="40"/>
      <c r="G588" s="41"/>
      <c r="H588" s="35" t="str">
        <f aca="false">IF($B588="","",N($F588)*N($G588))</f>
        <v/>
      </c>
      <c r="I588" s="35" t="str">
        <f aca="false">IF($B588="","",N($F588)+$H588)</f>
        <v/>
      </c>
      <c r="J588" s="6"/>
      <c r="K588" s="46" t="str">
        <f aca="false">IF($A588="","",DATE(YEAR($A588),MONTH($A588),1))</f>
        <v/>
      </c>
    </row>
    <row r="589" customFormat="false" ht="15" hidden="false" customHeight="false" outlineLevel="0" collapsed="false">
      <c r="A589" s="44"/>
      <c r="B589" s="6"/>
      <c r="C589" s="6"/>
      <c r="D589" s="6"/>
      <c r="E589" s="6"/>
      <c r="F589" s="40"/>
      <c r="G589" s="41"/>
      <c r="H589" s="35" t="str">
        <f aca="false">IF($B589="","",N($F589)*N($G589))</f>
        <v/>
      </c>
      <c r="I589" s="35" t="str">
        <f aca="false">IF($B589="","",N($F589)+$H589)</f>
        <v/>
      </c>
      <c r="J589" s="6"/>
      <c r="K589" s="46" t="str">
        <f aca="false">IF($A589="","",DATE(YEAR($A589),MONTH($A589),1))</f>
        <v/>
      </c>
    </row>
    <row r="590" customFormat="false" ht="15" hidden="false" customHeight="false" outlineLevel="0" collapsed="false">
      <c r="A590" s="44"/>
      <c r="B590" s="6"/>
      <c r="C590" s="6"/>
      <c r="D590" s="6"/>
      <c r="E590" s="6"/>
      <c r="F590" s="40"/>
      <c r="G590" s="41"/>
      <c r="H590" s="35" t="str">
        <f aca="false">IF($B590="","",N($F590)*N($G590))</f>
        <v/>
      </c>
      <c r="I590" s="35" t="str">
        <f aca="false">IF($B590="","",N($F590)+$H590)</f>
        <v/>
      </c>
      <c r="J590" s="6"/>
      <c r="K590" s="46" t="str">
        <f aca="false">IF($A590="","",DATE(YEAR($A590),MONTH($A590),1))</f>
        <v/>
      </c>
    </row>
    <row r="591" customFormat="false" ht="15" hidden="false" customHeight="false" outlineLevel="0" collapsed="false">
      <c r="A591" s="44"/>
      <c r="B591" s="6"/>
      <c r="C591" s="6"/>
      <c r="D591" s="6"/>
      <c r="E591" s="6"/>
      <c r="F591" s="40"/>
      <c r="G591" s="41"/>
      <c r="H591" s="35" t="str">
        <f aca="false">IF($B591="","",N($F591)*N($G591))</f>
        <v/>
      </c>
      <c r="I591" s="35" t="str">
        <f aca="false">IF($B591="","",N($F591)+$H591)</f>
        <v/>
      </c>
      <c r="J591" s="6"/>
      <c r="K591" s="46" t="str">
        <f aca="false">IF($A591="","",DATE(YEAR($A591),MONTH($A591),1))</f>
        <v/>
      </c>
    </row>
    <row r="592" customFormat="false" ht="15" hidden="false" customHeight="false" outlineLevel="0" collapsed="false">
      <c r="A592" s="44"/>
      <c r="B592" s="6"/>
      <c r="C592" s="6"/>
      <c r="D592" s="6"/>
      <c r="E592" s="6"/>
      <c r="F592" s="40"/>
      <c r="G592" s="41"/>
      <c r="H592" s="35" t="str">
        <f aca="false">IF($B592="","",N($F592)*N($G592))</f>
        <v/>
      </c>
      <c r="I592" s="35" t="str">
        <f aca="false">IF($B592="","",N($F592)+$H592)</f>
        <v/>
      </c>
      <c r="J592" s="6"/>
      <c r="K592" s="46" t="str">
        <f aca="false">IF($A592="","",DATE(YEAR($A592),MONTH($A592),1))</f>
        <v/>
      </c>
    </row>
    <row r="593" customFormat="false" ht="15" hidden="false" customHeight="false" outlineLevel="0" collapsed="false">
      <c r="A593" s="44"/>
      <c r="B593" s="6"/>
      <c r="C593" s="6"/>
      <c r="D593" s="6"/>
      <c r="E593" s="6"/>
      <c r="F593" s="40"/>
      <c r="G593" s="41"/>
      <c r="H593" s="35" t="str">
        <f aca="false">IF($B593="","",N($F593)*N($G593))</f>
        <v/>
      </c>
      <c r="I593" s="35" t="str">
        <f aca="false">IF($B593="","",N($F593)+$H593)</f>
        <v/>
      </c>
      <c r="J593" s="6"/>
      <c r="K593" s="46" t="str">
        <f aca="false">IF($A593="","",DATE(YEAR($A593),MONTH($A593),1))</f>
        <v/>
      </c>
    </row>
    <row r="594" customFormat="false" ht="15" hidden="false" customHeight="false" outlineLevel="0" collapsed="false">
      <c r="A594" s="44"/>
      <c r="B594" s="6"/>
      <c r="C594" s="6"/>
      <c r="D594" s="6"/>
      <c r="E594" s="6"/>
      <c r="F594" s="40"/>
      <c r="G594" s="41"/>
      <c r="H594" s="35" t="str">
        <f aca="false">IF($B594="","",N($F594)*N($G594))</f>
        <v/>
      </c>
      <c r="I594" s="35" t="str">
        <f aca="false">IF($B594="","",N($F594)+$H594)</f>
        <v/>
      </c>
      <c r="J594" s="6"/>
      <c r="K594" s="46" t="str">
        <f aca="false">IF($A594="","",DATE(YEAR($A594),MONTH($A594),1))</f>
        <v/>
      </c>
    </row>
    <row r="595" customFormat="false" ht="15" hidden="false" customHeight="false" outlineLevel="0" collapsed="false">
      <c r="A595" s="44"/>
      <c r="B595" s="6"/>
      <c r="C595" s="6"/>
      <c r="D595" s="6"/>
      <c r="E595" s="6"/>
      <c r="F595" s="40"/>
      <c r="G595" s="41"/>
      <c r="H595" s="35" t="str">
        <f aca="false">IF($B595="","",N($F595)*N($G595))</f>
        <v/>
      </c>
      <c r="I595" s="35" t="str">
        <f aca="false">IF($B595="","",N($F595)+$H595)</f>
        <v/>
      </c>
      <c r="J595" s="6"/>
      <c r="K595" s="46" t="str">
        <f aca="false">IF($A595="","",DATE(YEAR($A595),MONTH($A595),1))</f>
        <v/>
      </c>
    </row>
    <row r="596" customFormat="false" ht="15" hidden="false" customHeight="false" outlineLevel="0" collapsed="false">
      <c r="A596" s="44"/>
      <c r="B596" s="6"/>
      <c r="C596" s="6"/>
      <c r="D596" s="6"/>
      <c r="E596" s="6"/>
      <c r="F596" s="40"/>
      <c r="G596" s="41"/>
      <c r="H596" s="35" t="str">
        <f aca="false">IF($B596="","",N($F596)*N($G596))</f>
        <v/>
      </c>
      <c r="I596" s="35" t="str">
        <f aca="false">IF($B596="","",N($F596)+$H596)</f>
        <v/>
      </c>
      <c r="J596" s="6"/>
      <c r="K596" s="46" t="str">
        <f aca="false">IF($A596="","",DATE(YEAR($A596),MONTH($A596),1))</f>
        <v/>
      </c>
    </row>
    <row r="597" customFormat="false" ht="15" hidden="false" customHeight="false" outlineLevel="0" collapsed="false">
      <c r="A597" s="44"/>
      <c r="B597" s="6"/>
      <c r="C597" s="6"/>
      <c r="D597" s="6"/>
      <c r="E597" s="6"/>
      <c r="F597" s="40"/>
      <c r="G597" s="41"/>
      <c r="H597" s="35" t="str">
        <f aca="false">IF($B597="","",N($F597)*N($G597))</f>
        <v/>
      </c>
      <c r="I597" s="35" t="str">
        <f aca="false">IF($B597="","",N($F597)+$H597)</f>
        <v/>
      </c>
      <c r="J597" s="6"/>
      <c r="K597" s="46" t="str">
        <f aca="false">IF($A597="","",DATE(YEAR($A597),MONTH($A597),1))</f>
        <v/>
      </c>
    </row>
    <row r="598" customFormat="false" ht="15" hidden="false" customHeight="false" outlineLevel="0" collapsed="false">
      <c r="A598" s="44"/>
      <c r="B598" s="6"/>
      <c r="C598" s="6"/>
      <c r="D598" s="6"/>
      <c r="E598" s="6"/>
      <c r="F598" s="40"/>
      <c r="G598" s="41"/>
      <c r="H598" s="35" t="str">
        <f aca="false">IF($B598="","",N($F598)*N($G598))</f>
        <v/>
      </c>
      <c r="I598" s="35" t="str">
        <f aca="false">IF($B598="","",N($F598)+$H598)</f>
        <v/>
      </c>
      <c r="J598" s="6"/>
      <c r="K598" s="46" t="str">
        <f aca="false">IF($A598="","",DATE(YEAR($A598),MONTH($A598),1))</f>
        <v/>
      </c>
    </row>
    <row r="599" customFormat="false" ht="15" hidden="false" customHeight="false" outlineLevel="0" collapsed="false">
      <c r="A599" s="44"/>
      <c r="B599" s="6"/>
      <c r="C599" s="6"/>
      <c r="D599" s="6"/>
      <c r="E599" s="6"/>
      <c r="F599" s="40"/>
      <c r="G599" s="41"/>
      <c r="H599" s="35" t="str">
        <f aca="false">IF($B599="","",N($F599)*N($G599))</f>
        <v/>
      </c>
      <c r="I599" s="35" t="str">
        <f aca="false">IF($B599="","",N($F599)+$H599)</f>
        <v/>
      </c>
      <c r="J599" s="6"/>
      <c r="K599" s="46" t="str">
        <f aca="false">IF($A599="","",DATE(YEAR($A599),MONTH($A599),1))</f>
        <v/>
      </c>
    </row>
    <row r="600" customFormat="false" ht="15" hidden="false" customHeight="false" outlineLevel="0" collapsed="false">
      <c r="A600" s="44"/>
      <c r="B600" s="6"/>
      <c r="C600" s="6"/>
      <c r="D600" s="6"/>
      <c r="E600" s="6"/>
      <c r="F600" s="40"/>
      <c r="G600" s="41"/>
      <c r="H600" s="35" t="str">
        <f aca="false">IF($B600="","",N($F600)*N($G600))</f>
        <v/>
      </c>
      <c r="I600" s="35" t="str">
        <f aca="false">IF($B600="","",N($F600)+$H600)</f>
        <v/>
      </c>
      <c r="J600" s="6"/>
      <c r="K600" s="46" t="str">
        <f aca="false">IF($A600="","",DATE(YEAR($A600),MONTH($A600),1))</f>
        <v/>
      </c>
    </row>
    <row r="601" customFormat="false" ht="15" hidden="false" customHeight="false" outlineLevel="0" collapsed="false">
      <c r="A601" s="44"/>
      <c r="B601" s="6"/>
      <c r="C601" s="6"/>
      <c r="D601" s="6"/>
      <c r="E601" s="6"/>
      <c r="F601" s="40"/>
      <c r="G601" s="41"/>
      <c r="H601" s="35" t="str">
        <f aca="false">IF($B601="","",N($F601)*N($G601))</f>
        <v/>
      </c>
      <c r="I601" s="35" t="str">
        <f aca="false">IF($B601="","",N($F601)+$H601)</f>
        <v/>
      </c>
      <c r="J601" s="6"/>
      <c r="K601" s="46" t="str">
        <f aca="false">IF($A601="","",DATE(YEAR($A601),MONTH($A601),1))</f>
        <v/>
      </c>
    </row>
    <row r="602" customFormat="false" ht="15" hidden="false" customHeight="false" outlineLevel="0" collapsed="false">
      <c r="A602" s="44"/>
      <c r="B602" s="6"/>
      <c r="C602" s="6"/>
      <c r="D602" s="6"/>
      <c r="E602" s="6"/>
      <c r="F602" s="40"/>
      <c r="G602" s="41"/>
      <c r="H602" s="35" t="str">
        <f aca="false">IF($B602="","",N($F602)*N($G602))</f>
        <v/>
      </c>
      <c r="I602" s="35" t="str">
        <f aca="false">IF($B602="","",N($F602)+$H602)</f>
        <v/>
      </c>
      <c r="J602" s="6"/>
      <c r="K602" s="46" t="str">
        <f aca="false">IF($A602="","",DATE(YEAR($A602),MONTH($A602),1))</f>
        <v/>
      </c>
    </row>
    <row r="603" customFormat="false" ht="15" hidden="false" customHeight="false" outlineLevel="0" collapsed="false">
      <c r="A603" s="44"/>
      <c r="B603" s="6"/>
      <c r="C603" s="6"/>
      <c r="D603" s="6"/>
      <c r="E603" s="6"/>
      <c r="F603" s="40"/>
      <c r="G603" s="41"/>
      <c r="H603" s="35" t="str">
        <f aca="false">IF($B603="","",N($F603)*N($G603))</f>
        <v/>
      </c>
      <c r="I603" s="35" t="str">
        <f aca="false">IF($B603="","",N($F603)+$H603)</f>
        <v/>
      </c>
      <c r="J603" s="6"/>
      <c r="K603" s="46" t="str">
        <f aca="false">IF($A603="","",DATE(YEAR($A603),MONTH($A603),1))</f>
        <v/>
      </c>
    </row>
    <row r="604" customFormat="false" ht="15" hidden="false" customHeight="false" outlineLevel="0" collapsed="false">
      <c r="A604" s="44"/>
      <c r="B604" s="6"/>
      <c r="C604" s="6"/>
      <c r="D604" s="6"/>
      <c r="E604" s="6"/>
      <c r="F604" s="40"/>
      <c r="G604" s="41"/>
      <c r="H604" s="35" t="str">
        <f aca="false">IF($B604="","",N($F604)*N($G604))</f>
        <v/>
      </c>
      <c r="I604" s="35" t="str">
        <f aca="false">IF($B604="","",N($F604)+$H604)</f>
        <v/>
      </c>
      <c r="J604" s="6"/>
      <c r="K604" s="46" t="str">
        <f aca="false">IF($A604="","",DATE(YEAR($A604),MONTH($A604),1))</f>
        <v/>
      </c>
    </row>
    <row r="605" customFormat="false" ht="15" hidden="false" customHeight="false" outlineLevel="0" collapsed="false">
      <c r="A605" s="44"/>
      <c r="B605" s="6"/>
      <c r="C605" s="6"/>
      <c r="D605" s="6"/>
      <c r="E605" s="6"/>
      <c r="F605" s="40"/>
      <c r="G605" s="41"/>
      <c r="H605" s="35" t="str">
        <f aca="false">IF($B605="","",N($F605)*N($G605))</f>
        <v/>
      </c>
      <c r="I605" s="35" t="str">
        <f aca="false">IF($B605="","",N($F605)+$H605)</f>
        <v/>
      </c>
      <c r="J605" s="6"/>
      <c r="K605" s="46" t="str">
        <f aca="false">IF($A605="","",DATE(YEAR($A605),MONTH($A605),1))</f>
        <v/>
      </c>
    </row>
    <row r="606" customFormat="false" ht="15" hidden="false" customHeight="false" outlineLevel="0" collapsed="false">
      <c r="A606" s="44"/>
      <c r="B606" s="6"/>
      <c r="C606" s="6"/>
      <c r="D606" s="6"/>
      <c r="E606" s="6"/>
      <c r="F606" s="40"/>
      <c r="G606" s="41"/>
      <c r="H606" s="35" t="str">
        <f aca="false">IF($B606="","",N($F606)*N($G606))</f>
        <v/>
      </c>
      <c r="I606" s="35" t="str">
        <f aca="false">IF($B606="","",N($F606)+$H606)</f>
        <v/>
      </c>
      <c r="J606" s="6"/>
      <c r="K606" s="46" t="str">
        <f aca="false">IF($A606="","",DATE(YEAR($A606),MONTH($A606),1))</f>
        <v/>
      </c>
    </row>
    <row r="607" customFormat="false" ht="15" hidden="false" customHeight="false" outlineLevel="0" collapsed="false">
      <c r="A607" s="44"/>
      <c r="B607" s="6"/>
      <c r="C607" s="6"/>
      <c r="D607" s="6"/>
      <c r="E607" s="6"/>
      <c r="F607" s="40"/>
      <c r="G607" s="41"/>
      <c r="H607" s="35" t="str">
        <f aca="false">IF($B607="","",N($F607)*N($G607))</f>
        <v/>
      </c>
      <c r="I607" s="35" t="str">
        <f aca="false">IF($B607="","",N($F607)+$H607)</f>
        <v/>
      </c>
      <c r="J607" s="6"/>
      <c r="K607" s="46" t="str">
        <f aca="false">IF($A607="","",DATE(YEAR($A607),MONTH($A607),1))</f>
        <v/>
      </c>
    </row>
    <row r="608" customFormat="false" ht="15" hidden="false" customHeight="false" outlineLevel="0" collapsed="false">
      <c r="A608" s="44"/>
      <c r="B608" s="6"/>
      <c r="C608" s="6"/>
      <c r="D608" s="6"/>
      <c r="E608" s="6"/>
      <c r="F608" s="40"/>
      <c r="G608" s="41"/>
      <c r="H608" s="35" t="str">
        <f aca="false">IF($B608="","",N($F608)*N($G608))</f>
        <v/>
      </c>
      <c r="I608" s="35" t="str">
        <f aca="false">IF($B608="","",N($F608)+$H608)</f>
        <v/>
      </c>
      <c r="J608" s="6"/>
      <c r="K608" s="46" t="str">
        <f aca="false">IF($A608="","",DATE(YEAR($A608),MONTH($A608),1))</f>
        <v/>
      </c>
    </row>
    <row r="609" customFormat="false" ht="15" hidden="false" customHeight="false" outlineLevel="0" collapsed="false">
      <c r="A609" s="44"/>
      <c r="B609" s="6"/>
      <c r="C609" s="6"/>
      <c r="D609" s="6"/>
      <c r="E609" s="6"/>
      <c r="F609" s="40"/>
      <c r="G609" s="41"/>
      <c r="H609" s="35" t="str">
        <f aca="false">IF($B609="","",N($F609)*N($G609))</f>
        <v/>
      </c>
      <c r="I609" s="35" t="str">
        <f aca="false">IF($B609="","",N($F609)+$H609)</f>
        <v/>
      </c>
      <c r="J609" s="6"/>
      <c r="K609" s="46" t="str">
        <f aca="false">IF($A609="","",DATE(YEAR($A609),MONTH($A609),1))</f>
        <v/>
      </c>
    </row>
    <row r="610" customFormat="false" ht="15" hidden="false" customHeight="false" outlineLevel="0" collapsed="false">
      <c r="A610" s="44"/>
      <c r="B610" s="6"/>
      <c r="C610" s="6"/>
      <c r="D610" s="6"/>
      <c r="E610" s="6"/>
      <c r="F610" s="40"/>
      <c r="G610" s="41"/>
      <c r="H610" s="35" t="str">
        <f aca="false">IF($B610="","",N($F610)*N($G610))</f>
        <v/>
      </c>
      <c r="I610" s="35" t="str">
        <f aca="false">IF($B610="","",N($F610)+$H610)</f>
        <v/>
      </c>
      <c r="J610" s="6"/>
      <c r="K610" s="46" t="str">
        <f aca="false">IF($A610="","",DATE(YEAR($A610),MONTH($A610),1))</f>
        <v/>
      </c>
    </row>
    <row r="611" customFormat="false" ht="15" hidden="false" customHeight="false" outlineLevel="0" collapsed="false">
      <c r="A611" s="44"/>
      <c r="B611" s="6"/>
      <c r="C611" s="6"/>
      <c r="D611" s="6"/>
      <c r="E611" s="6"/>
      <c r="F611" s="40"/>
      <c r="G611" s="41"/>
      <c r="H611" s="35" t="str">
        <f aca="false">IF($B611="","",N($F611)*N($G611))</f>
        <v/>
      </c>
      <c r="I611" s="35" t="str">
        <f aca="false">IF($B611="","",N($F611)+$H611)</f>
        <v/>
      </c>
      <c r="J611" s="6"/>
      <c r="K611" s="46" t="str">
        <f aca="false">IF($A611="","",DATE(YEAR($A611),MONTH($A611),1))</f>
        <v/>
      </c>
    </row>
    <row r="612" customFormat="false" ht="15" hidden="false" customHeight="false" outlineLevel="0" collapsed="false">
      <c r="A612" s="44"/>
      <c r="B612" s="6"/>
      <c r="C612" s="6"/>
      <c r="D612" s="6"/>
      <c r="E612" s="6"/>
      <c r="F612" s="40"/>
      <c r="G612" s="41"/>
      <c r="H612" s="35" t="str">
        <f aca="false">IF($B612="","",N($F612)*N($G612))</f>
        <v/>
      </c>
      <c r="I612" s="35" t="str">
        <f aca="false">IF($B612="","",N($F612)+$H612)</f>
        <v/>
      </c>
      <c r="J612" s="6"/>
      <c r="K612" s="46" t="str">
        <f aca="false">IF($A612="","",DATE(YEAR($A612),MONTH($A612),1))</f>
        <v/>
      </c>
    </row>
    <row r="613" customFormat="false" ht="15" hidden="false" customHeight="false" outlineLevel="0" collapsed="false">
      <c r="A613" s="44"/>
      <c r="B613" s="6"/>
      <c r="C613" s="6"/>
      <c r="D613" s="6"/>
      <c r="E613" s="6"/>
      <c r="F613" s="40"/>
      <c r="G613" s="41"/>
      <c r="H613" s="35" t="str">
        <f aca="false">IF($B613="","",N($F613)*N($G613))</f>
        <v/>
      </c>
      <c r="I613" s="35" t="str">
        <f aca="false">IF($B613="","",N($F613)+$H613)</f>
        <v/>
      </c>
      <c r="J613" s="6"/>
      <c r="K613" s="46" t="str">
        <f aca="false">IF($A613="","",DATE(YEAR($A613),MONTH($A613),1))</f>
        <v/>
      </c>
    </row>
    <row r="614" customFormat="false" ht="15" hidden="false" customHeight="false" outlineLevel="0" collapsed="false">
      <c r="A614" s="44"/>
      <c r="B614" s="6"/>
      <c r="C614" s="6"/>
      <c r="D614" s="6"/>
      <c r="E614" s="6"/>
      <c r="F614" s="40"/>
      <c r="G614" s="41"/>
      <c r="H614" s="35" t="str">
        <f aca="false">IF($B614="","",N($F614)*N($G614))</f>
        <v/>
      </c>
      <c r="I614" s="35" t="str">
        <f aca="false">IF($B614="","",N($F614)+$H614)</f>
        <v/>
      </c>
      <c r="J614" s="6"/>
      <c r="K614" s="46" t="str">
        <f aca="false">IF($A614="","",DATE(YEAR($A614),MONTH($A614),1))</f>
        <v/>
      </c>
    </row>
    <row r="615" customFormat="false" ht="15" hidden="false" customHeight="false" outlineLevel="0" collapsed="false">
      <c r="A615" s="44"/>
      <c r="B615" s="6"/>
      <c r="C615" s="6"/>
      <c r="D615" s="6"/>
      <c r="E615" s="6"/>
      <c r="F615" s="40"/>
      <c r="G615" s="41"/>
      <c r="H615" s="35" t="str">
        <f aca="false">IF($B615="","",N($F615)*N($G615))</f>
        <v/>
      </c>
      <c r="I615" s="35" t="str">
        <f aca="false">IF($B615="","",N($F615)+$H615)</f>
        <v/>
      </c>
      <c r="J615" s="6"/>
      <c r="K615" s="46" t="str">
        <f aca="false">IF($A615="","",DATE(YEAR($A615),MONTH($A615),1))</f>
        <v/>
      </c>
    </row>
    <row r="616" customFormat="false" ht="15" hidden="false" customHeight="false" outlineLevel="0" collapsed="false">
      <c r="A616" s="44"/>
      <c r="B616" s="6"/>
      <c r="C616" s="6"/>
      <c r="D616" s="6"/>
      <c r="E616" s="6"/>
      <c r="F616" s="40"/>
      <c r="G616" s="41"/>
      <c r="H616" s="35" t="str">
        <f aca="false">IF($B616="","",N($F616)*N($G616))</f>
        <v/>
      </c>
      <c r="I616" s="35" t="str">
        <f aca="false">IF($B616="","",N($F616)+$H616)</f>
        <v/>
      </c>
      <c r="J616" s="6"/>
      <c r="K616" s="46" t="str">
        <f aca="false">IF($A616="","",DATE(YEAR($A616),MONTH($A616),1))</f>
        <v/>
      </c>
    </row>
    <row r="617" customFormat="false" ht="15" hidden="false" customHeight="false" outlineLevel="0" collapsed="false">
      <c r="A617" s="44"/>
      <c r="B617" s="6"/>
      <c r="C617" s="6"/>
      <c r="D617" s="6"/>
      <c r="E617" s="6"/>
      <c r="F617" s="40"/>
      <c r="G617" s="41"/>
      <c r="H617" s="35" t="str">
        <f aca="false">IF($B617="","",N($F617)*N($G617))</f>
        <v/>
      </c>
      <c r="I617" s="35" t="str">
        <f aca="false">IF($B617="","",N($F617)+$H617)</f>
        <v/>
      </c>
      <c r="J617" s="6"/>
      <c r="K617" s="46" t="str">
        <f aca="false">IF($A617="","",DATE(YEAR($A617),MONTH($A617),1))</f>
        <v/>
      </c>
    </row>
    <row r="618" customFormat="false" ht="15" hidden="false" customHeight="false" outlineLevel="0" collapsed="false">
      <c r="A618" s="44"/>
      <c r="B618" s="6"/>
      <c r="C618" s="6"/>
      <c r="D618" s="6"/>
      <c r="E618" s="6"/>
      <c r="F618" s="40"/>
      <c r="G618" s="41"/>
      <c r="H618" s="35" t="str">
        <f aca="false">IF($B618="","",N($F618)*N($G618))</f>
        <v/>
      </c>
      <c r="I618" s="35" t="str">
        <f aca="false">IF($B618="","",N($F618)+$H618)</f>
        <v/>
      </c>
      <c r="J618" s="6"/>
      <c r="K618" s="46" t="str">
        <f aca="false">IF($A618="","",DATE(YEAR($A618),MONTH($A618),1))</f>
        <v/>
      </c>
    </row>
    <row r="619" customFormat="false" ht="15" hidden="false" customHeight="false" outlineLevel="0" collapsed="false">
      <c r="A619" s="44"/>
      <c r="B619" s="6"/>
      <c r="C619" s="6"/>
      <c r="D619" s="6"/>
      <c r="E619" s="6"/>
      <c r="F619" s="40"/>
      <c r="G619" s="41"/>
      <c r="H619" s="35" t="str">
        <f aca="false">IF($B619="","",N($F619)*N($G619))</f>
        <v/>
      </c>
      <c r="I619" s="35" t="str">
        <f aca="false">IF($B619="","",N($F619)+$H619)</f>
        <v/>
      </c>
      <c r="J619" s="6"/>
      <c r="K619" s="46" t="str">
        <f aca="false">IF($A619="","",DATE(YEAR($A619),MONTH($A619),1))</f>
        <v/>
      </c>
    </row>
    <row r="620" customFormat="false" ht="15" hidden="false" customHeight="false" outlineLevel="0" collapsed="false">
      <c r="A620" s="44"/>
      <c r="B620" s="6"/>
      <c r="C620" s="6"/>
      <c r="D620" s="6"/>
      <c r="E620" s="6"/>
      <c r="F620" s="40"/>
      <c r="G620" s="41"/>
      <c r="H620" s="35" t="str">
        <f aca="false">IF($B620="","",N($F620)*N($G620))</f>
        <v/>
      </c>
      <c r="I620" s="35" t="str">
        <f aca="false">IF($B620="","",N($F620)+$H620)</f>
        <v/>
      </c>
      <c r="J620" s="6"/>
      <c r="K620" s="46" t="str">
        <f aca="false">IF($A620="","",DATE(YEAR($A620),MONTH($A620),1))</f>
        <v/>
      </c>
    </row>
    <row r="621" customFormat="false" ht="15" hidden="false" customHeight="false" outlineLevel="0" collapsed="false">
      <c r="A621" s="44"/>
      <c r="B621" s="6"/>
      <c r="C621" s="6"/>
      <c r="D621" s="6"/>
      <c r="E621" s="6"/>
      <c r="F621" s="40"/>
      <c r="G621" s="41"/>
      <c r="H621" s="35" t="str">
        <f aca="false">IF($B621="","",N($F621)*N($G621))</f>
        <v/>
      </c>
      <c r="I621" s="35" t="str">
        <f aca="false">IF($B621="","",N($F621)+$H621)</f>
        <v/>
      </c>
      <c r="J621" s="6"/>
      <c r="K621" s="46" t="str">
        <f aca="false">IF($A621="","",DATE(YEAR($A621),MONTH($A621),1))</f>
        <v/>
      </c>
    </row>
    <row r="622" customFormat="false" ht="15" hidden="false" customHeight="false" outlineLevel="0" collapsed="false">
      <c r="A622" s="44"/>
      <c r="B622" s="6"/>
      <c r="C622" s="6"/>
      <c r="D622" s="6"/>
      <c r="E622" s="6"/>
      <c r="F622" s="40"/>
      <c r="G622" s="41"/>
      <c r="H622" s="35" t="str">
        <f aca="false">IF($B622="","",N($F622)*N($G622))</f>
        <v/>
      </c>
      <c r="I622" s="35" t="str">
        <f aca="false">IF($B622="","",N($F622)+$H622)</f>
        <v/>
      </c>
      <c r="J622" s="6"/>
      <c r="K622" s="46" t="str">
        <f aca="false">IF($A622="","",DATE(YEAR($A622),MONTH($A622),1))</f>
        <v/>
      </c>
    </row>
    <row r="623" customFormat="false" ht="15" hidden="false" customHeight="false" outlineLevel="0" collapsed="false">
      <c r="A623" s="44"/>
      <c r="B623" s="6"/>
      <c r="C623" s="6"/>
      <c r="D623" s="6"/>
      <c r="E623" s="6"/>
      <c r="F623" s="40"/>
      <c r="G623" s="41"/>
      <c r="H623" s="35" t="str">
        <f aca="false">IF($B623="","",N($F623)*N($G623))</f>
        <v/>
      </c>
      <c r="I623" s="35" t="str">
        <f aca="false">IF($B623="","",N($F623)+$H623)</f>
        <v/>
      </c>
      <c r="J623" s="6"/>
      <c r="K623" s="46" t="str">
        <f aca="false">IF($A623="","",DATE(YEAR($A623),MONTH($A623),1))</f>
        <v/>
      </c>
    </row>
    <row r="624" customFormat="false" ht="15" hidden="false" customHeight="false" outlineLevel="0" collapsed="false">
      <c r="A624" s="44"/>
      <c r="B624" s="6"/>
      <c r="C624" s="6"/>
      <c r="D624" s="6"/>
      <c r="E624" s="6"/>
      <c r="F624" s="40"/>
      <c r="G624" s="41"/>
      <c r="H624" s="35" t="str">
        <f aca="false">IF($B624="","",N($F624)*N($G624))</f>
        <v/>
      </c>
      <c r="I624" s="35" t="str">
        <f aca="false">IF($B624="","",N($F624)+$H624)</f>
        <v/>
      </c>
      <c r="J624" s="6"/>
      <c r="K624" s="46" t="str">
        <f aca="false">IF($A624="","",DATE(YEAR($A624),MONTH($A624),1))</f>
        <v/>
      </c>
    </row>
    <row r="625" customFormat="false" ht="15" hidden="false" customHeight="false" outlineLevel="0" collapsed="false">
      <c r="A625" s="44"/>
      <c r="B625" s="6"/>
      <c r="C625" s="6"/>
      <c r="D625" s="6"/>
      <c r="E625" s="6"/>
      <c r="F625" s="40"/>
      <c r="G625" s="41"/>
      <c r="H625" s="35" t="str">
        <f aca="false">IF($B625="","",N($F625)*N($G625))</f>
        <v/>
      </c>
      <c r="I625" s="35" t="str">
        <f aca="false">IF($B625="","",N($F625)+$H625)</f>
        <v/>
      </c>
      <c r="J625" s="6"/>
      <c r="K625" s="46" t="str">
        <f aca="false">IF($A625="","",DATE(YEAR($A625),MONTH($A625),1))</f>
        <v/>
      </c>
    </row>
    <row r="626" customFormat="false" ht="15" hidden="false" customHeight="false" outlineLevel="0" collapsed="false">
      <c r="A626" s="44"/>
      <c r="B626" s="6"/>
      <c r="C626" s="6"/>
      <c r="D626" s="6"/>
      <c r="E626" s="6"/>
      <c r="F626" s="40"/>
      <c r="G626" s="41"/>
      <c r="H626" s="35" t="str">
        <f aca="false">IF($B626="","",N($F626)*N($G626))</f>
        <v/>
      </c>
      <c r="I626" s="35" t="str">
        <f aca="false">IF($B626="","",N($F626)+$H626)</f>
        <v/>
      </c>
      <c r="J626" s="6"/>
      <c r="K626" s="46" t="str">
        <f aca="false">IF($A626="","",DATE(YEAR($A626),MONTH($A626),1))</f>
        <v/>
      </c>
    </row>
    <row r="627" customFormat="false" ht="15" hidden="false" customHeight="false" outlineLevel="0" collapsed="false">
      <c r="A627" s="44"/>
      <c r="B627" s="6"/>
      <c r="C627" s="6"/>
      <c r="D627" s="6"/>
      <c r="E627" s="6"/>
      <c r="F627" s="40"/>
      <c r="G627" s="41"/>
      <c r="H627" s="35" t="str">
        <f aca="false">IF($B627="","",N($F627)*N($G627))</f>
        <v/>
      </c>
      <c r="I627" s="35" t="str">
        <f aca="false">IF($B627="","",N($F627)+$H627)</f>
        <v/>
      </c>
      <c r="J627" s="6"/>
      <c r="K627" s="46" t="str">
        <f aca="false">IF($A627="","",DATE(YEAR($A627),MONTH($A627),1))</f>
        <v/>
      </c>
    </row>
    <row r="628" customFormat="false" ht="15" hidden="false" customHeight="false" outlineLevel="0" collapsed="false">
      <c r="A628" s="44"/>
      <c r="B628" s="6"/>
      <c r="C628" s="6"/>
      <c r="D628" s="6"/>
      <c r="E628" s="6"/>
      <c r="F628" s="40"/>
      <c r="G628" s="41"/>
      <c r="H628" s="35" t="str">
        <f aca="false">IF($B628="","",N($F628)*N($G628))</f>
        <v/>
      </c>
      <c r="I628" s="35" t="str">
        <f aca="false">IF($B628="","",N($F628)+$H628)</f>
        <v/>
      </c>
      <c r="J628" s="6"/>
      <c r="K628" s="46" t="str">
        <f aca="false">IF($A628="","",DATE(YEAR($A628),MONTH($A628),1))</f>
        <v/>
      </c>
    </row>
    <row r="629" customFormat="false" ht="15" hidden="false" customHeight="false" outlineLevel="0" collapsed="false">
      <c r="A629" s="44"/>
      <c r="B629" s="6"/>
      <c r="C629" s="6"/>
      <c r="D629" s="6"/>
      <c r="E629" s="6"/>
      <c r="F629" s="40"/>
      <c r="G629" s="41"/>
      <c r="H629" s="35" t="str">
        <f aca="false">IF($B629="","",N($F629)*N($G629))</f>
        <v/>
      </c>
      <c r="I629" s="35" t="str">
        <f aca="false">IF($B629="","",N($F629)+$H629)</f>
        <v/>
      </c>
      <c r="J629" s="6"/>
      <c r="K629" s="46" t="str">
        <f aca="false">IF($A629="","",DATE(YEAR($A629),MONTH($A629),1))</f>
        <v/>
      </c>
    </row>
    <row r="630" customFormat="false" ht="15" hidden="false" customHeight="false" outlineLevel="0" collapsed="false">
      <c r="A630" s="44"/>
      <c r="B630" s="6"/>
      <c r="C630" s="6"/>
      <c r="D630" s="6"/>
      <c r="E630" s="6"/>
      <c r="F630" s="40"/>
      <c r="G630" s="41"/>
      <c r="H630" s="35" t="str">
        <f aca="false">IF($B630="","",N($F630)*N($G630))</f>
        <v/>
      </c>
      <c r="I630" s="35" t="str">
        <f aca="false">IF($B630="","",N($F630)+$H630)</f>
        <v/>
      </c>
      <c r="J630" s="6"/>
      <c r="K630" s="46" t="str">
        <f aca="false">IF($A630="","",DATE(YEAR($A630),MONTH($A630),1))</f>
        <v/>
      </c>
    </row>
    <row r="631" customFormat="false" ht="15" hidden="false" customHeight="false" outlineLevel="0" collapsed="false">
      <c r="A631" s="44"/>
      <c r="B631" s="6"/>
      <c r="C631" s="6"/>
      <c r="D631" s="6"/>
      <c r="E631" s="6"/>
      <c r="F631" s="40"/>
      <c r="G631" s="41"/>
      <c r="H631" s="35" t="str">
        <f aca="false">IF($B631="","",N($F631)*N($G631))</f>
        <v/>
      </c>
      <c r="I631" s="35" t="str">
        <f aca="false">IF($B631="","",N($F631)+$H631)</f>
        <v/>
      </c>
      <c r="J631" s="6"/>
      <c r="K631" s="46" t="str">
        <f aca="false">IF($A631="","",DATE(YEAR($A631),MONTH($A631),1))</f>
        <v/>
      </c>
    </row>
    <row r="632" customFormat="false" ht="15" hidden="false" customHeight="false" outlineLevel="0" collapsed="false">
      <c r="A632" s="44"/>
      <c r="B632" s="6"/>
      <c r="C632" s="6"/>
      <c r="D632" s="6"/>
      <c r="E632" s="6"/>
      <c r="F632" s="40"/>
      <c r="G632" s="41"/>
      <c r="H632" s="35" t="str">
        <f aca="false">IF($B632="","",N($F632)*N($G632))</f>
        <v/>
      </c>
      <c r="I632" s="35" t="str">
        <f aca="false">IF($B632="","",N($F632)+$H632)</f>
        <v/>
      </c>
      <c r="J632" s="6"/>
      <c r="K632" s="46" t="str">
        <f aca="false">IF($A632="","",DATE(YEAR($A632),MONTH($A632),1))</f>
        <v/>
      </c>
    </row>
    <row r="633" customFormat="false" ht="15" hidden="false" customHeight="false" outlineLevel="0" collapsed="false">
      <c r="A633" s="44"/>
      <c r="B633" s="6"/>
      <c r="C633" s="6"/>
      <c r="D633" s="6"/>
      <c r="E633" s="6"/>
      <c r="F633" s="40"/>
      <c r="G633" s="41"/>
      <c r="H633" s="35" t="str">
        <f aca="false">IF($B633="","",N($F633)*N($G633))</f>
        <v/>
      </c>
      <c r="I633" s="35" t="str">
        <f aca="false">IF($B633="","",N($F633)+$H633)</f>
        <v/>
      </c>
      <c r="J633" s="6"/>
      <c r="K633" s="46" t="str">
        <f aca="false">IF($A633="","",DATE(YEAR($A633),MONTH($A633),1))</f>
        <v/>
      </c>
    </row>
    <row r="634" customFormat="false" ht="15" hidden="false" customHeight="false" outlineLevel="0" collapsed="false">
      <c r="A634" s="44"/>
      <c r="B634" s="6"/>
      <c r="C634" s="6"/>
      <c r="D634" s="6"/>
      <c r="E634" s="6"/>
      <c r="F634" s="40"/>
      <c r="G634" s="41"/>
      <c r="H634" s="35" t="str">
        <f aca="false">IF($B634="","",N($F634)*N($G634))</f>
        <v/>
      </c>
      <c r="I634" s="35" t="str">
        <f aca="false">IF($B634="","",N($F634)+$H634)</f>
        <v/>
      </c>
      <c r="J634" s="6"/>
      <c r="K634" s="46" t="str">
        <f aca="false">IF($A634="","",DATE(YEAR($A634),MONTH($A634),1))</f>
        <v/>
      </c>
    </row>
    <row r="635" customFormat="false" ht="15" hidden="false" customHeight="false" outlineLevel="0" collapsed="false">
      <c r="A635" s="44"/>
      <c r="B635" s="6"/>
      <c r="C635" s="6"/>
      <c r="D635" s="6"/>
      <c r="E635" s="6"/>
      <c r="F635" s="40"/>
      <c r="G635" s="41"/>
      <c r="H635" s="35" t="str">
        <f aca="false">IF($B635="","",N($F635)*N($G635))</f>
        <v/>
      </c>
      <c r="I635" s="35" t="str">
        <f aca="false">IF($B635="","",N($F635)+$H635)</f>
        <v/>
      </c>
      <c r="J635" s="6"/>
      <c r="K635" s="46" t="str">
        <f aca="false">IF($A635="","",DATE(YEAR($A635),MONTH($A635),1))</f>
        <v/>
      </c>
    </row>
    <row r="636" customFormat="false" ht="15" hidden="false" customHeight="false" outlineLevel="0" collapsed="false">
      <c r="A636" s="44"/>
      <c r="B636" s="6"/>
      <c r="C636" s="6"/>
      <c r="D636" s="6"/>
      <c r="E636" s="6"/>
      <c r="F636" s="40"/>
      <c r="G636" s="41"/>
      <c r="H636" s="35" t="str">
        <f aca="false">IF($B636="","",N($F636)*N($G636))</f>
        <v/>
      </c>
      <c r="I636" s="35" t="str">
        <f aca="false">IF($B636="","",N($F636)+$H636)</f>
        <v/>
      </c>
      <c r="J636" s="6"/>
      <c r="K636" s="46" t="str">
        <f aca="false">IF($A636="","",DATE(YEAR($A636),MONTH($A636),1))</f>
        <v/>
      </c>
    </row>
    <row r="637" customFormat="false" ht="15" hidden="false" customHeight="false" outlineLevel="0" collapsed="false">
      <c r="A637" s="44"/>
      <c r="B637" s="6"/>
      <c r="C637" s="6"/>
      <c r="D637" s="6"/>
      <c r="E637" s="6"/>
      <c r="F637" s="40"/>
      <c r="G637" s="41"/>
      <c r="H637" s="35" t="str">
        <f aca="false">IF($B637="","",N($F637)*N($G637))</f>
        <v/>
      </c>
      <c r="I637" s="35" t="str">
        <f aca="false">IF($B637="","",N($F637)+$H637)</f>
        <v/>
      </c>
      <c r="J637" s="6"/>
      <c r="K637" s="46" t="str">
        <f aca="false">IF($A637="","",DATE(YEAR($A637),MONTH($A637),1))</f>
        <v/>
      </c>
    </row>
    <row r="638" customFormat="false" ht="15" hidden="false" customHeight="false" outlineLevel="0" collapsed="false">
      <c r="A638" s="44"/>
      <c r="B638" s="6"/>
      <c r="C638" s="6"/>
      <c r="D638" s="6"/>
      <c r="E638" s="6"/>
      <c r="F638" s="40"/>
      <c r="G638" s="41"/>
      <c r="H638" s="35" t="str">
        <f aca="false">IF($B638="","",N($F638)*N($G638))</f>
        <v/>
      </c>
      <c r="I638" s="35" t="str">
        <f aca="false">IF($B638="","",N($F638)+$H638)</f>
        <v/>
      </c>
      <c r="J638" s="6"/>
      <c r="K638" s="46" t="str">
        <f aca="false">IF($A638="","",DATE(YEAR($A638),MONTH($A638),1))</f>
        <v/>
      </c>
    </row>
    <row r="639" customFormat="false" ht="15" hidden="false" customHeight="false" outlineLevel="0" collapsed="false">
      <c r="A639" s="44"/>
      <c r="B639" s="6"/>
      <c r="C639" s="6"/>
      <c r="D639" s="6"/>
      <c r="E639" s="6"/>
      <c r="F639" s="40"/>
      <c r="G639" s="41"/>
      <c r="H639" s="35" t="str">
        <f aca="false">IF($B639="","",N($F639)*N($G639))</f>
        <v/>
      </c>
      <c r="I639" s="35" t="str">
        <f aca="false">IF($B639="","",N($F639)+$H639)</f>
        <v/>
      </c>
      <c r="J639" s="6"/>
      <c r="K639" s="46" t="str">
        <f aca="false">IF($A639="","",DATE(YEAR($A639),MONTH($A639),1))</f>
        <v/>
      </c>
    </row>
    <row r="640" customFormat="false" ht="15" hidden="false" customHeight="false" outlineLevel="0" collapsed="false">
      <c r="A640" s="44"/>
      <c r="B640" s="6"/>
      <c r="C640" s="6"/>
      <c r="D640" s="6"/>
      <c r="E640" s="6"/>
      <c r="F640" s="40"/>
      <c r="G640" s="41"/>
      <c r="H640" s="35" t="str">
        <f aca="false">IF($B640="","",N($F640)*N($G640))</f>
        <v/>
      </c>
      <c r="I640" s="35" t="str">
        <f aca="false">IF($B640="","",N($F640)+$H640)</f>
        <v/>
      </c>
      <c r="J640" s="6"/>
      <c r="K640" s="46" t="str">
        <f aca="false">IF($A640="","",DATE(YEAR($A640),MONTH($A640),1))</f>
        <v/>
      </c>
    </row>
    <row r="641" customFormat="false" ht="15" hidden="false" customHeight="false" outlineLevel="0" collapsed="false">
      <c r="A641" s="44"/>
      <c r="B641" s="6"/>
      <c r="C641" s="6"/>
      <c r="D641" s="6"/>
      <c r="E641" s="6"/>
      <c r="F641" s="40"/>
      <c r="G641" s="41"/>
      <c r="H641" s="35" t="str">
        <f aca="false">IF($B641="","",N($F641)*N($G641))</f>
        <v/>
      </c>
      <c r="I641" s="35" t="str">
        <f aca="false">IF($B641="","",N($F641)+$H641)</f>
        <v/>
      </c>
      <c r="J641" s="6"/>
      <c r="K641" s="46" t="str">
        <f aca="false">IF($A641="","",DATE(YEAR($A641),MONTH($A641),1))</f>
        <v/>
      </c>
    </row>
    <row r="642" customFormat="false" ht="15" hidden="false" customHeight="false" outlineLevel="0" collapsed="false">
      <c r="A642" s="44"/>
      <c r="B642" s="6"/>
      <c r="C642" s="6"/>
      <c r="D642" s="6"/>
      <c r="E642" s="6"/>
      <c r="F642" s="40"/>
      <c r="G642" s="41"/>
      <c r="H642" s="35" t="str">
        <f aca="false">IF($B642="","",N($F642)*N($G642))</f>
        <v/>
      </c>
      <c r="I642" s="35" t="str">
        <f aca="false">IF($B642="","",N($F642)+$H642)</f>
        <v/>
      </c>
      <c r="J642" s="6"/>
      <c r="K642" s="46" t="str">
        <f aca="false">IF($A642="","",DATE(YEAR($A642),MONTH($A642),1))</f>
        <v/>
      </c>
    </row>
    <row r="643" customFormat="false" ht="15" hidden="false" customHeight="false" outlineLevel="0" collapsed="false">
      <c r="A643" s="44"/>
      <c r="B643" s="6"/>
      <c r="C643" s="6"/>
      <c r="D643" s="6"/>
      <c r="E643" s="6"/>
      <c r="F643" s="40"/>
      <c r="G643" s="41"/>
      <c r="H643" s="35" t="str">
        <f aca="false">IF($B643="","",N($F643)*N($G643))</f>
        <v/>
      </c>
      <c r="I643" s="35" t="str">
        <f aca="false">IF($B643="","",N($F643)+$H643)</f>
        <v/>
      </c>
      <c r="J643" s="6"/>
      <c r="K643" s="46" t="str">
        <f aca="false">IF($A643="","",DATE(YEAR($A643),MONTH($A643),1))</f>
        <v/>
      </c>
    </row>
    <row r="644" customFormat="false" ht="15" hidden="false" customHeight="false" outlineLevel="0" collapsed="false">
      <c r="A644" s="44"/>
      <c r="B644" s="6"/>
      <c r="C644" s="6"/>
      <c r="D644" s="6"/>
      <c r="E644" s="6"/>
      <c r="F644" s="40"/>
      <c r="G644" s="41"/>
      <c r="H644" s="35" t="str">
        <f aca="false">IF($B644="","",N($F644)*N($G644))</f>
        <v/>
      </c>
      <c r="I644" s="35" t="str">
        <f aca="false">IF($B644="","",N($F644)+$H644)</f>
        <v/>
      </c>
      <c r="J644" s="6"/>
      <c r="K644" s="46" t="str">
        <f aca="false">IF($A644="","",DATE(YEAR($A644),MONTH($A644),1))</f>
        <v/>
      </c>
    </row>
    <row r="645" customFormat="false" ht="15" hidden="false" customHeight="false" outlineLevel="0" collapsed="false">
      <c r="A645" s="44"/>
      <c r="B645" s="6"/>
      <c r="C645" s="6"/>
      <c r="D645" s="6"/>
      <c r="E645" s="6"/>
      <c r="F645" s="40"/>
      <c r="G645" s="41"/>
      <c r="H645" s="35" t="str">
        <f aca="false">IF($B645="","",N($F645)*N($G645))</f>
        <v/>
      </c>
      <c r="I645" s="35" t="str">
        <f aca="false">IF($B645="","",N($F645)+$H645)</f>
        <v/>
      </c>
      <c r="J645" s="6"/>
      <c r="K645" s="46" t="str">
        <f aca="false">IF($A645="","",DATE(YEAR($A645),MONTH($A645),1))</f>
        <v/>
      </c>
    </row>
    <row r="646" customFormat="false" ht="15" hidden="false" customHeight="false" outlineLevel="0" collapsed="false">
      <c r="A646" s="44"/>
      <c r="B646" s="6"/>
      <c r="C646" s="6"/>
      <c r="D646" s="6"/>
      <c r="E646" s="6"/>
      <c r="F646" s="40"/>
      <c r="G646" s="41"/>
      <c r="H646" s="35" t="str">
        <f aca="false">IF($B646="","",N($F646)*N($G646))</f>
        <v/>
      </c>
      <c r="I646" s="35" t="str">
        <f aca="false">IF($B646="","",N($F646)+$H646)</f>
        <v/>
      </c>
      <c r="J646" s="6"/>
      <c r="K646" s="46" t="str">
        <f aca="false">IF($A646="","",DATE(YEAR($A646),MONTH($A646),1))</f>
        <v/>
      </c>
    </row>
    <row r="647" customFormat="false" ht="15" hidden="false" customHeight="false" outlineLevel="0" collapsed="false">
      <c r="A647" s="44"/>
      <c r="B647" s="6"/>
      <c r="C647" s="6"/>
      <c r="D647" s="6"/>
      <c r="E647" s="6"/>
      <c r="F647" s="40"/>
      <c r="G647" s="41"/>
      <c r="H647" s="35" t="str">
        <f aca="false">IF($B647="","",N($F647)*N($G647))</f>
        <v/>
      </c>
      <c r="I647" s="35" t="str">
        <f aca="false">IF($B647="","",N($F647)+$H647)</f>
        <v/>
      </c>
      <c r="J647" s="6"/>
      <c r="K647" s="46" t="str">
        <f aca="false">IF($A647="","",DATE(YEAR($A647),MONTH($A647),1))</f>
        <v/>
      </c>
    </row>
    <row r="648" customFormat="false" ht="15" hidden="false" customHeight="false" outlineLevel="0" collapsed="false">
      <c r="A648" s="44"/>
      <c r="B648" s="6"/>
      <c r="C648" s="6"/>
      <c r="D648" s="6"/>
      <c r="E648" s="6"/>
      <c r="F648" s="40"/>
      <c r="G648" s="41"/>
      <c r="H648" s="35" t="str">
        <f aca="false">IF($B648="","",N($F648)*N($G648))</f>
        <v/>
      </c>
      <c r="I648" s="35" t="str">
        <f aca="false">IF($B648="","",N($F648)+$H648)</f>
        <v/>
      </c>
      <c r="J648" s="6"/>
      <c r="K648" s="46" t="str">
        <f aca="false">IF($A648="","",DATE(YEAR($A648),MONTH($A648),1))</f>
        <v/>
      </c>
    </row>
    <row r="649" customFormat="false" ht="15" hidden="false" customHeight="false" outlineLevel="0" collapsed="false">
      <c r="A649" s="44"/>
      <c r="B649" s="6"/>
      <c r="C649" s="6"/>
      <c r="D649" s="6"/>
      <c r="E649" s="6"/>
      <c r="F649" s="40"/>
      <c r="G649" s="41"/>
      <c r="H649" s="35" t="str">
        <f aca="false">IF($B649="","",N($F649)*N($G649))</f>
        <v/>
      </c>
      <c r="I649" s="35" t="str">
        <f aca="false">IF($B649="","",N($F649)+$H649)</f>
        <v/>
      </c>
      <c r="J649" s="6"/>
      <c r="K649" s="46" t="str">
        <f aca="false">IF($A649="","",DATE(YEAR($A649),MONTH($A649),1))</f>
        <v/>
      </c>
    </row>
    <row r="650" customFormat="false" ht="15" hidden="false" customHeight="false" outlineLevel="0" collapsed="false">
      <c r="A650" s="44"/>
      <c r="B650" s="6"/>
      <c r="C650" s="6"/>
      <c r="D650" s="6"/>
      <c r="E650" s="6"/>
      <c r="F650" s="40"/>
      <c r="G650" s="41"/>
      <c r="H650" s="35" t="str">
        <f aca="false">IF($B650="","",N($F650)*N($G650))</f>
        <v/>
      </c>
      <c r="I650" s="35" t="str">
        <f aca="false">IF($B650="","",N($F650)+$H650)</f>
        <v/>
      </c>
      <c r="J650" s="6"/>
      <c r="K650" s="46" t="str">
        <f aca="false">IF($A650="","",DATE(YEAR($A650),MONTH($A650),1))</f>
        <v/>
      </c>
    </row>
    <row r="651" customFormat="false" ht="15" hidden="false" customHeight="false" outlineLevel="0" collapsed="false">
      <c r="A651" s="44"/>
      <c r="B651" s="6"/>
      <c r="C651" s="6"/>
      <c r="D651" s="6"/>
      <c r="E651" s="6"/>
      <c r="F651" s="40"/>
      <c r="G651" s="41"/>
      <c r="H651" s="35" t="str">
        <f aca="false">IF($B651="","",N($F651)*N($G651))</f>
        <v/>
      </c>
      <c r="I651" s="35" t="str">
        <f aca="false">IF($B651="","",N($F651)+$H651)</f>
        <v/>
      </c>
      <c r="J651" s="6"/>
      <c r="K651" s="46" t="str">
        <f aca="false">IF($A651="","",DATE(YEAR($A651),MONTH($A651),1))</f>
        <v/>
      </c>
    </row>
    <row r="652" customFormat="false" ht="15" hidden="false" customHeight="false" outlineLevel="0" collapsed="false">
      <c r="A652" s="44"/>
      <c r="B652" s="6"/>
      <c r="C652" s="6"/>
      <c r="D652" s="6"/>
      <c r="E652" s="6"/>
      <c r="F652" s="40"/>
      <c r="G652" s="41"/>
      <c r="H652" s="35" t="str">
        <f aca="false">IF($B652="","",N($F652)*N($G652))</f>
        <v/>
      </c>
      <c r="I652" s="35" t="str">
        <f aca="false">IF($B652="","",N($F652)+$H652)</f>
        <v/>
      </c>
      <c r="J652" s="6"/>
      <c r="K652" s="46" t="str">
        <f aca="false">IF($A652="","",DATE(YEAR($A652),MONTH($A652),1))</f>
        <v/>
      </c>
    </row>
    <row r="653" customFormat="false" ht="15" hidden="false" customHeight="false" outlineLevel="0" collapsed="false">
      <c r="A653" s="44"/>
      <c r="B653" s="6"/>
      <c r="C653" s="6"/>
      <c r="D653" s="6"/>
      <c r="E653" s="6"/>
      <c r="F653" s="40"/>
      <c r="G653" s="41"/>
      <c r="H653" s="35" t="str">
        <f aca="false">IF($B653="","",N($F653)*N($G653))</f>
        <v/>
      </c>
      <c r="I653" s="35" t="str">
        <f aca="false">IF($B653="","",N($F653)+$H653)</f>
        <v/>
      </c>
      <c r="J653" s="6"/>
      <c r="K653" s="46" t="str">
        <f aca="false">IF($A653="","",DATE(YEAR($A653),MONTH($A653),1))</f>
        <v/>
      </c>
    </row>
    <row r="654" customFormat="false" ht="15" hidden="false" customHeight="false" outlineLevel="0" collapsed="false">
      <c r="A654" s="44"/>
      <c r="B654" s="6"/>
      <c r="C654" s="6"/>
      <c r="D654" s="6"/>
      <c r="E654" s="6"/>
      <c r="F654" s="40"/>
      <c r="G654" s="41"/>
      <c r="H654" s="35" t="str">
        <f aca="false">IF($B654="","",N($F654)*N($G654))</f>
        <v/>
      </c>
      <c r="I654" s="35" t="str">
        <f aca="false">IF($B654="","",N($F654)+$H654)</f>
        <v/>
      </c>
      <c r="J654" s="6"/>
      <c r="K654" s="46" t="str">
        <f aca="false">IF($A654="","",DATE(YEAR($A654),MONTH($A654),1))</f>
        <v/>
      </c>
    </row>
    <row r="655" customFormat="false" ht="15" hidden="false" customHeight="false" outlineLevel="0" collapsed="false">
      <c r="A655" s="44"/>
      <c r="B655" s="6"/>
      <c r="C655" s="6"/>
      <c r="D655" s="6"/>
      <c r="E655" s="6"/>
      <c r="F655" s="40"/>
      <c r="G655" s="41"/>
      <c r="H655" s="35" t="str">
        <f aca="false">IF($B655="","",N($F655)*N($G655))</f>
        <v/>
      </c>
      <c r="I655" s="35" t="str">
        <f aca="false">IF($B655="","",N($F655)+$H655)</f>
        <v/>
      </c>
      <c r="J655" s="6"/>
      <c r="K655" s="46" t="str">
        <f aca="false">IF($A655="","",DATE(YEAR($A655),MONTH($A655),1))</f>
        <v/>
      </c>
    </row>
    <row r="656" customFormat="false" ht="15" hidden="false" customHeight="false" outlineLevel="0" collapsed="false">
      <c r="A656" s="44"/>
      <c r="B656" s="6"/>
      <c r="C656" s="6"/>
      <c r="D656" s="6"/>
      <c r="E656" s="6"/>
      <c r="F656" s="40"/>
      <c r="G656" s="41"/>
      <c r="H656" s="35" t="str">
        <f aca="false">IF($B656="","",N($F656)*N($G656))</f>
        <v/>
      </c>
      <c r="I656" s="35" t="str">
        <f aca="false">IF($B656="","",N($F656)+$H656)</f>
        <v/>
      </c>
      <c r="J656" s="6"/>
      <c r="K656" s="46" t="str">
        <f aca="false">IF($A656="","",DATE(YEAR($A656),MONTH($A656),1))</f>
        <v/>
      </c>
    </row>
    <row r="657" customFormat="false" ht="15" hidden="false" customHeight="false" outlineLevel="0" collapsed="false">
      <c r="A657" s="44"/>
      <c r="B657" s="6"/>
      <c r="C657" s="6"/>
      <c r="D657" s="6"/>
      <c r="E657" s="6"/>
      <c r="F657" s="40"/>
      <c r="G657" s="41"/>
      <c r="H657" s="35" t="str">
        <f aca="false">IF($B657="","",N($F657)*N($G657))</f>
        <v/>
      </c>
      <c r="I657" s="35" t="str">
        <f aca="false">IF($B657="","",N($F657)+$H657)</f>
        <v/>
      </c>
      <c r="J657" s="6"/>
      <c r="K657" s="46" t="str">
        <f aca="false">IF($A657="","",DATE(YEAR($A657),MONTH($A657),1))</f>
        <v/>
      </c>
    </row>
    <row r="658" customFormat="false" ht="15" hidden="false" customHeight="false" outlineLevel="0" collapsed="false">
      <c r="A658" s="44"/>
      <c r="B658" s="6"/>
      <c r="C658" s="6"/>
      <c r="D658" s="6"/>
      <c r="E658" s="6"/>
      <c r="F658" s="40"/>
      <c r="G658" s="41"/>
      <c r="H658" s="35" t="str">
        <f aca="false">IF($B658="","",N($F658)*N($G658))</f>
        <v/>
      </c>
      <c r="I658" s="35" t="str">
        <f aca="false">IF($B658="","",N($F658)+$H658)</f>
        <v/>
      </c>
      <c r="J658" s="6"/>
      <c r="K658" s="46" t="str">
        <f aca="false">IF($A658="","",DATE(YEAR($A658),MONTH($A658),1))</f>
        <v/>
      </c>
    </row>
    <row r="659" customFormat="false" ht="15" hidden="false" customHeight="false" outlineLevel="0" collapsed="false">
      <c r="A659" s="44"/>
      <c r="B659" s="6"/>
      <c r="C659" s="6"/>
      <c r="D659" s="6"/>
      <c r="E659" s="6"/>
      <c r="F659" s="40"/>
      <c r="G659" s="41"/>
      <c r="H659" s="35" t="str">
        <f aca="false">IF($B659="","",N($F659)*N($G659))</f>
        <v/>
      </c>
      <c r="I659" s="35" t="str">
        <f aca="false">IF($B659="","",N($F659)+$H659)</f>
        <v/>
      </c>
      <c r="J659" s="6"/>
      <c r="K659" s="46" t="str">
        <f aca="false">IF($A659="","",DATE(YEAR($A659),MONTH($A659),1))</f>
        <v/>
      </c>
    </row>
    <row r="660" customFormat="false" ht="15" hidden="false" customHeight="false" outlineLevel="0" collapsed="false">
      <c r="A660" s="44"/>
      <c r="B660" s="6"/>
      <c r="C660" s="6"/>
      <c r="D660" s="6"/>
      <c r="E660" s="6"/>
      <c r="F660" s="40"/>
      <c r="G660" s="41"/>
      <c r="H660" s="35" t="str">
        <f aca="false">IF($B660="","",N($F660)*N($G660))</f>
        <v/>
      </c>
      <c r="I660" s="35" t="str">
        <f aca="false">IF($B660="","",N($F660)+$H660)</f>
        <v/>
      </c>
      <c r="J660" s="6"/>
      <c r="K660" s="46" t="str">
        <f aca="false">IF($A660="","",DATE(YEAR($A660),MONTH($A660),1))</f>
        <v/>
      </c>
    </row>
    <row r="661" customFormat="false" ht="15" hidden="false" customHeight="false" outlineLevel="0" collapsed="false">
      <c r="A661" s="44"/>
      <c r="B661" s="6"/>
      <c r="C661" s="6"/>
      <c r="D661" s="6"/>
      <c r="E661" s="6"/>
      <c r="F661" s="40"/>
      <c r="G661" s="41"/>
      <c r="H661" s="35" t="str">
        <f aca="false">IF($B661="","",N($F661)*N($G661))</f>
        <v/>
      </c>
      <c r="I661" s="35" t="str">
        <f aca="false">IF($B661="","",N($F661)+$H661)</f>
        <v/>
      </c>
      <c r="J661" s="6"/>
      <c r="K661" s="46" t="str">
        <f aca="false">IF($A661="","",DATE(YEAR($A661),MONTH($A661),1))</f>
        <v/>
      </c>
    </row>
    <row r="662" customFormat="false" ht="15" hidden="false" customHeight="false" outlineLevel="0" collapsed="false">
      <c r="A662" s="44"/>
      <c r="B662" s="6"/>
      <c r="C662" s="6"/>
      <c r="D662" s="6"/>
      <c r="E662" s="6"/>
      <c r="F662" s="40"/>
      <c r="G662" s="41"/>
      <c r="H662" s="35" t="str">
        <f aca="false">IF($B662="","",N($F662)*N($G662))</f>
        <v/>
      </c>
      <c r="I662" s="35" t="str">
        <f aca="false">IF($B662="","",N($F662)+$H662)</f>
        <v/>
      </c>
      <c r="J662" s="6"/>
      <c r="K662" s="46" t="str">
        <f aca="false">IF($A662="","",DATE(YEAR($A662),MONTH($A662),1))</f>
        <v/>
      </c>
    </row>
    <row r="663" customFormat="false" ht="15" hidden="false" customHeight="false" outlineLevel="0" collapsed="false">
      <c r="A663" s="44"/>
      <c r="B663" s="6"/>
      <c r="C663" s="6"/>
      <c r="D663" s="6"/>
      <c r="E663" s="6"/>
      <c r="F663" s="40"/>
      <c r="G663" s="41"/>
      <c r="H663" s="35" t="str">
        <f aca="false">IF($B663="","",N($F663)*N($G663))</f>
        <v/>
      </c>
      <c r="I663" s="35" t="str">
        <f aca="false">IF($B663="","",N($F663)+$H663)</f>
        <v/>
      </c>
      <c r="J663" s="6"/>
      <c r="K663" s="46" t="str">
        <f aca="false">IF($A663="","",DATE(YEAR($A663),MONTH($A663),1))</f>
        <v/>
      </c>
    </row>
    <row r="664" customFormat="false" ht="15" hidden="false" customHeight="false" outlineLevel="0" collapsed="false">
      <c r="A664" s="44"/>
      <c r="B664" s="6"/>
      <c r="C664" s="6"/>
      <c r="D664" s="6"/>
      <c r="E664" s="6"/>
      <c r="F664" s="40"/>
      <c r="G664" s="41"/>
      <c r="H664" s="35" t="str">
        <f aca="false">IF($B664="","",N($F664)*N($G664))</f>
        <v/>
      </c>
      <c r="I664" s="35" t="str">
        <f aca="false">IF($B664="","",N($F664)+$H664)</f>
        <v/>
      </c>
      <c r="J664" s="6"/>
      <c r="K664" s="46" t="str">
        <f aca="false">IF($A664="","",DATE(YEAR($A664),MONTH($A664),1))</f>
        <v/>
      </c>
    </row>
    <row r="665" customFormat="false" ht="15" hidden="false" customHeight="false" outlineLevel="0" collapsed="false">
      <c r="A665" s="44"/>
      <c r="B665" s="6"/>
      <c r="C665" s="6"/>
      <c r="D665" s="6"/>
      <c r="E665" s="6"/>
      <c r="F665" s="40"/>
      <c r="G665" s="41"/>
      <c r="H665" s="35" t="str">
        <f aca="false">IF($B665="","",N($F665)*N($G665))</f>
        <v/>
      </c>
      <c r="I665" s="35" t="str">
        <f aca="false">IF($B665="","",N($F665)+$H665)</f>
        <v/>
      </c>
      <c r="J665" s="6"/>
      <c r="K665" s="46" t="str">
        <f aca="false">IF($A665="","",DATE(YEAR($A665),MONTH($A665),1))</f>
        <v/>
      </c>
    </row>
    <row r="666" customFormat="false" ht="15" hidden="false" customHeight="false" outlineLevel="0" collapsed="false">
      <c r="A666" s="44"/>
      <c r="B666" s="6"/>
      <c r="C666" s="6"/>
      <c r="D666" s="6"/>
      <c r="E666" s="6"/>
      <c r="F666" s="40"/>
      <c r="G666" s="41"/>
      <c r="H666" s="35" t="str">
        <f aca="false">IF($B666="","",N($F666)*N($G666))</f>
        <v/>
      </c>
      <c r="I666" s="35" t="str">
        <f aca="false">IF($B666="","",N($F666)+$H666)</f>
        <v/>
      </c>
      <c r="J666" s="6"/>
      <c r="K666" s="46" t="str">
        <f aca="false">IF($A666="","",DATE(YEAR($A666),MONTH($A666),1))</f>
        <v/>
      </c>
    </row>
    <row r="667" customFormat="false" ht="15" hidden="false" customHeight="false" outlineLevel="0" collapsed="false">
      <c r="A667" s="44"/>
      <c r="B667" s="6"/>
      <c r="C667" s="6"/>
      <c r="D667" s="6"/>
      <c r="E667" s="6"/>
      <c r="F667" s="40"/>
      <c r="G667" s="41"/>
      <c r="H667" s="35" t="str">
        <f aca="false">IF($B667="","",N($F667)*N($G667))</f>
        <v/>
      </c>
      <c r="I667" s="35" t="str">
        <f aca="false">IF($B667="","",N($F667)+$H667)</f>
        <v/>
      </c>
      <c r="J667" s="6"/>
      <c r="K667" s="46" t="str">
        <f aca="false">IF($A667="","",DATE(YEAR($A667),MONTH($A667),1))</f>
        <v/>
      </c>
    </row>
    <row r="668" customFormat="false" ht="15" hidden="false" customHeight="false" outlineLevel="0" collapsed="false">
      <c r="A668" s="44"/>
      <c r="B668" s="6"/>
      <c r="C668" s="6"/>
      <c r="D668" s="6"/>
      <c r="E668" s="6"/>
      <c r="F668" s="40"/>
      <c r="G668" s="41"/>
      <c r="H668" s="35" t="str">
        <f aca="false">IF($B668="","",N($F668)*N($G668))</f>
        <v/>
      </c>
      <c r="I668" s="35" t="str">
        <f aca="false">IF($B668="","",N($F668)+$H668)</f>
        <v/>
      </c>
      <c r="J668" s="6"/>
      <c r="K668" s="46" t="str">
        <f aca="false">IF($A668="","",DATE(YEAR($A668),MONTH($A668),1))</f>
        <v/>
      </c>
    </row>
    <row r="669" customFormat="false" ht="15" hidden="false" customHeight="false" outlineLevel="0" collapsed="false">
      <c r="A669" s="44"/>
      <c r="B669" s="6"/>
      <c r="C669" s="6"/>
      <c r="D669" s="6"/>
      <c r="E669" s="6"/>
      <c r="F669" s="40"/>
      <c r="G669" s="41"/>
      <c r="H669" s="35" t="str">
        <f aca="false">IF($B669="","",N($F669)*N($G669))</f>
        <v/>
      </c>
      <c r="I669" s="35" t="str">
        <f aca="false">IF($B669="","",N($F669)+$H669)</f>
        <v/>
      </c>
      <c r="J669" s="6"/>
      <c r="K669" s="46" t="str">
        <f aca="false">IF($A669="","",DATE(YEAR($A669),MONTH($A669),1))</f>
        <v/>
      </c>
    </row>
    <row r="670" customFormat="false" ht="15" hidden="false" customHeight="false" outlineLevel="0" collapsed="false">
      <c r="A670" s="44"/>
      <c r="B670" s="6"/>
      <c r="C670" s="6"/>
      <c r="D670" s="6"/>
      <c r="E670" s="6"/>
      <c r="F670" s="40"/>
      <c r="G670" s="41"/>
      <c r="H670" s="35" t="str">
        <f aca="false">IF($B670="","",N($F670)*N($G670))</f>
        <v/>
      </c>
      <c r="I670" s="35" t="str">
        <f aca="false">IF($B670="","",N($F670)+$H670)</f>
        <v/>
      </c>
      <c r="J670" s="6"/>
      <c r="K670" s="46" t="str">
        <f aca="false">IF($A670="","",DATE(YEAR($A670),MONTH($A670),1))</f>
        <v/>
      </c>
    </row>
    <row r="671" customFormat="false" ht="15" hidden="false" customHeight="false" outlineLevel="0" collapsed="false">
      <c r="A671" s="44"/>
      <c r="B671" s="6"/>
      <c r="C671" s="6"/>
      <c r="D671" s="6"/>
      <c r="E671" s="6"/>
      <c r="F671" s="40"/>
      <c r="G671" s="41"/>
      <c r="H671" s="35" t="str">
        <f aca="false">IF($B671="","",N($F671)*N($G671))</f>
        <v/>
      </c>
      <c r="I671" s="35" t="str">
        <f aca="false">IF($B671="","",N($F671)+$H671)</f>
        <v/>
      </c>
      <c r="J671" s="6"/>
      <c r="K671" s="46" t="str">
        <f aca="false">IF($A671="","",DATE(YEAR($A671),MONTH($A671),1))</f>
        <v/>
      </c>
    </row>
    <row r="672" customFormat="false" ht="15" hidden="false" customHeight="false" outlineLevel="0" collapsed="false">
      <c r="A672" s="44"/>
      <c r="B672" s="6"/>
      <c r="C672" s="6"/>
      <c r="D672" s="6"/>
      <c r="E672" s="6"/>
      <c r="F672" s="40"/>
      <c r="G672" s="41"/>
      <c r="H672" s="35" t="str">
        <f aca="false">IF($B672="","",N($F672)*N($G672))</f>
        <v/>
      </c>
      <c r="I672" s="35" t="str">
        <f aca="false">IF($B672="","",N($F672)+$H672)</f>
        <v/>
      </c>
      <c r="J672" s="6"/>
      <c r="K672" s="46" t="str">
        <f aca="false">IF($A672="","",DATE(YEAR($A672),MONTH($A672),1))</f>
        <v/>
      </c>
    </row>
    <row r="673" customFormat="false" ht="15" hidden="false" customHeight="false" outlineLevel="0" collapsed="false">
      <c r="A673" s="44"/>
      <c r="B673" s="6"/>
      <c r="C673" s="6"/>
      <c r="D673" s="6"/>
      <c r="E673" s="6"/>
      <c r="F673" s="40"/>
      <c r="G673" s="41"/>
      <c r="H673" s="35" t="str">
        <f aca="false">IF($B673="","",N($F673)*N($G673))</f>
        <v/>
      </c>
      <c r="I673" s="35" t="str">
        <f aca="false">IF($B673="","",N($F673)+$H673)</f>
        <v/>
      </c>
      <c r="J673" s="6"/>
      <c r="K673" s="46" t="str">
        <f aca="false">IF($A673="","",DATE(YEAR($A673),MONTH($A673),1))</f>
        <v/>
      </c>
    </row>
    <row r="674" customFormat="false" ht="15" hidden="false" customHeight="false" outlineLevel="0" collapsed="false">
      <c r="A674" s="44"/>
      <c r="B674" s="6"/>
      <c r="C674" s="6"/>
      <c r="D674" s="6"/>
      <c r="E674" s="6"/>
      <c r="F674" s="40"/>
      <c r="G674" s="41"/>
      <c r="H674" s="35" t="str">
        <f aca="false">IF($B674="","",N($F674)*N($G674))</f>
        <v/>
      </c>
      <c r="I674" s="35" t="str">
        <f aca="false">IF($B674="","",N($F674)+$H674)</f>
        <v/>
      </c>
      <c r="J674" s="6"/>
      <c r="K674" s="46" t="str">
        <f aca="false">IF($A674="","",DATE(YEAR($A674),MONTH($A674),1))</f>
        <v/>
      </c>
    </row>
    <row r="675" customFormat="false" ht="15" hidden="false" customHeight="false" outlineLevel="0" collapsed="false">
      <c r="A675" s="44"/>
      <c r="B675" s="6"/>
      <c r="C675" s="6"/>
      <c r="D675" s="6"/>
      <c r="E675" s="6"/>
      <c r="F675" s="40"/>
      <c r="G675" s="41"/>
      <c r="H675" s="35" t="str">
        <f aca="false">IF($B675="","",N($F675)*N($G675))</f>
        <v/>
      </c>
      <c r="I675" s="35" t="str">
        <f aca="false">IF($B675="","",N($F675)+$H675)</f>
        <v/>
      </c>
      <c r="J675" s="6"/>
      <c r="K675" s="46" t="str">
        <f aca="false">IF($A675="","",DATE(YEAR($A675),MONTH($A675),1))</f>
        <v/>
      </c>
    </row>
    <row r="676" customFormat="false" ht="15" hidden="false" customHeight="false" outlineLevel="0" collapsed="false">
      <c r="A676" s="44"/>
      <c r="B676" s="6"/>
      <c r="C676" s="6"/>
      <c r="D676" s="6"/>
      <c r="E676" s="6"/>
      <c r="F676" s="40"/>
      <c r="G676" s="41"/>
      <c r="H676" s="35" t="str">
        <f aca="false">IF($B676="","",N($F676)*N($G676))</f>
        <v/>
      </c>
      <c r="I676" s="35" t="str">
        <f aca="false">IF($B676="","",N($F676)+$H676)</f>
        <v/>
      </c>
      <c r="J676" s="6"/>
      <c r="K676" s="46" t="str">
        <f aca="false">IF($A676="","",DATE(YEAR($A676),MONTH($A676),1))</f>
        <v/>
      </c>
    </row>
    <row r="677" customFormat="false" ht="15" hidden="false" customHeight="false" outlineLevel="0" collapsed="false">
      <c r="A677" s="44"/>
      <c r="B677" s="6"/>
      <c r="C677" s="6"/>
      <c r="D677" s="6"/>
      <c r="E677" s="6"/>
      <c r="F677" s="40"/>
      <c r="G677" s="41"/>
      <c r="H677" s="35" t="str">
        <f aca="false">IF($B677="","",N($F677)*N($G677))</f>
        <v/>
      </c>
      <c r="I677" s="35" t="str">
        <f aca="false">IF($B677="","",N($F677)+$H677)</f>
        <v/>
      </c>
      <c r="J677" s="6"/>
      <c r="K677" s="46" t="str">
        <f aca="false">IF($A677="","",DATE(YEAR($A677),MONTH($A677),1))</f>
        <v/>
      </c>
    </row>
    <row r="678" customFormat="false" ht="15" hidden="false" customHeight="false" outlineLevel="0" collapsed="false">
      <c r="A678" s="44"/>
      <c r="B678" s="6"/>
      <c r="C678" s="6"/>
      <c r="D678" s="6"/>
      <c r="E678" s="6"/>
      <c r="F678" s="40"/>
      <c r="G678" s="41"/>
      <c r="H678" s="35" t="str">
        <f aca="false">IF($B678="","",N($F678)*N($G678))</f>
        <v/>
      </c>
      <c r="I678" s="35" t="str">
        <f aca="false">IF($B678="","",N($F678)+$H678)</f>
        <v/>
      </c>
      <c r="J678" s="6"/>
      <c r="K678" s="46" t="str">
        <f aca="false">IF($A678="","",DATE(YEAR($A678),MONTH($A678),1))</f>
        <v/>
      </c>
    </row>
    <row r="679" customFormat="false" ht="15" hidden="false" customHeight="false" outlineLevel="0" collapsed="false">
      <c r="A679" s="44"/>
      <c r="B679" s="6"/>
      <c r="C679" s="6"/>
      <c r="D679" s="6"/>
      <c r="E679" s="6"/>
      <c r="F679" s="40"/>
      <c r="G679" s="41"/>
      <c r="H679" s="35" t="str">
        <f aca="false">IF($B679="","",N($F679)*N($G679))</f>
        <v/>
      </c>
      <c r="I679" s="35" t="str">
        <f aca="false">IF($B679="","",N($F679)+$H679)</f>
        <v/>
      </c>
      <c r="J679" s="6"/>
      <c r="K679" s="46" t="str">
        <f aca="false">IF($A679="","",DATE(YEAR($A679),MONTH($A679),1))</f>
        <v/>
      </c>
    </row>
    <row r="680" customFormat="false" ht="15" hidden="false" customHeight="false" outlineLevel="0" collapsed="false">
      <c r="A680" s="44"/>
      <c r="B680" s="6"/>
      <c r="C680" s="6"/>
      <c r="D680" s="6"/>
      <c r="E680" s="6"/>
      <c r="F680" s="40"/>
      <c r="G680" s="41"/>
      <c r="H680" s="35" t="str">
        <f aca="false">IF($B680="","",N($F680)*N($G680))</f>
        <v/>
      </c>
      <c r="I680" s="35" t="str">
        <f aca="false">IF($B680="","",N($F680)+$H680)</f>
        <v/>
      </c>
      <c r="J680" s="6"/>
      <c r="K680" s="46" t="str">
        <f aca="false">IF($A680="","",DATE(YEAR($A680),MONTH($A680),1))</f>
        <v/>
      </c>
    </row>
    <row r="681" customFormat="false" ht="15" hidden="false" customHeight="false" outlineLevel="0" collapsed="false">
      <c r="A681" s="44"/>
      <c r="B681" s="6"/>
      <c r="C681" s="6"/>
      <c r="D681" s="6"/>
      <c r="E681" s="6"/>
      <c r="F681" s="40"/>
      <c r="G681" s="41"/>
      <c r="H681" s="35" t="str">
        <f aca="false">IF($B681="","",N($F681)*N($G681))</f>
        <v/>
      </c>
      <c r="I681" s="35" t="str">
        <f aca="false">IF($B681="","",N($F681)+$H681)</f>
        <v/>
      </c>
      <c r="J681" s="6"/>
      <c r="K681" s="46" t="str">
        <f aca="false">IF($A681="","",DATE(YEAR($A681),MONTH($A681),1))</f>
        <v/>
      </c>
    </row>
    <row r="682" customFormat="false" ht="15" hidden="false" customHeight="false" outlineLevel="0" collapsed="false">
      <c r="A682" s="44"/>
      <c r="B682" s="6"/>
      <c r="C682" s="6"/>
      <c r="D682" s="6"/>
      <c r="E682" s="6"/>
      <c r="F682" s="40"/>
      <c r="G682" s="41"/>
      <c r="H682" s="35" t="str">
        <f aca="false">IF($B682="","",N($F682)*N($G682))</f>
        <v/>
      </c>
      <c r="I682" s="35" t="str">
        <f aca="false">IF($B682="","",N($F682)+$H682)</f>
        <v/>
      </c>
      <c r="J682" s="6"/>
      <c r="K682" s="46" t="str">
        <f aca="false">IF($A682="","",DATE(YEAR($A682),MONTH($A682),1))</f>
        <v/>
      </c>
    </row>
    <row r="683" customFormat="false" ht="15" hidden="false" customHeight="false" outlineLevel="0" collapsed="false">
      <c r="A683" s="44"/>
      <c r="B683" s="6"/>
      <c r="C683" s="6"/>
      <c r="D683" s="6"/>
      <c r="E683" s="6"/>
      <c r="F683" s="40"/>
      <c r="G683" s="41"/>
      <c r="H683" s="35" t="str">
        <f aca="false">IF($B683="","",N($F683)*N($G683))</f>
        <v/>
      </c>
      <c r="I683" s="35" t="str">
        <f aca="false">IF($B683="","",N($F683)+$H683)</f>
        <v/>
      </c>
      <c r="J683" s="6"/>
      <c r="K683" s="46" t="str">
        <f aca="false">IF($A683="","",DATE(YEAR($A683),MONTH($A683),1))</f>
        <v/>
      </c>
    </row>
    <row r="684" customFormat="false" ht="15" hidden="false" customHeight="false" outlineLevel="0" collapsed="false">
      <c r="A684" s="44"/>
      <c r="B684" s="6"/>
      <c r="C684" s="6"/>
      <c r="D684" s="6"/>
      <c r="E684" s="6"/>
      <c r="F684" s="40"/>
      <c r="G684" s="41"/>
      <c r="H684" s="35" t="str">
        <f aca="false">IF($B684="","",N($F684)*N($G684))</f>
        <v/>
      </c>
      <c r="I684" s="35" t="str">
        <f aca="false">IF($B684="","",N($F684)+$H684)</f>
        <v/>
      </c>
      <c r="J684" s="6"/>
      <c r="K684" s="46" t="str">
        <f aca="false">IF($A684="","",DATE(YEAR($A684),MONTH($A684),1))</f>
        <v/>
      </c>
    </row>
    <row r="685" customFormat="false" ht="15" hidden="false" customHeight="false" outlineLevel="0" collapsed="false">
      <c r="A685" s="44"/>
      <c r="B685" s="6"/>
      <c r="C685" s="6"/>
      <c r="D685" s="6"/>
      <c r="E685" s="6"/>
      <c r="F685" s="40"/>
      <c r="G685" s="41"/>
      <c r="H685" s="35" t="str">
        <f aca="false">IF($B685="","",N($F685)*N($G685))</f>
        <v/>
      </c>
      <c r="I685" s="35" t="str">
        <f aca="false">IF($B685="","",N($F685)+$H685)</f>
        <v/>
      </c>
      <c r="J685" s="6"/>
      <c r="K685" s="46" t="str">
        <f aca="false">IF($A685="","",DATE(YEAR($A685),MONTH($A685),1))</f>
        <v/>
      </c>
    </row>
    <row r="686" customFormat="false" ht="15" hidden="false" customHeight="false" outlineLevel="0" collapsed="false">
      <c r="A686" s="44"/>
      <c r="B686" s="6"/>
      <c r="C686" s="6"/>
      <c r="D686" s="6"/>
      <c r="E686" s="6"/>
      <c r="F686" s="40"/>
      <c r="G686" s="41"/>
      <c r="H686" s="35" t="str">
        <f aca="false">IF($B686="","",N($F686)*N($G686))</f>
        <v/>
      </c>
      <c r="I686" s="35" t="str">
        <f aca="false">IF($B686="","",N($F686)+$H686)</f>
        <v/>
      </c>
      <c r="J686" s="6"/>
      <c r="K686" s="46" t="str">
        <f aca="false">IF($A686="","",DATE(YEAR($A686),MONTH($A686),1))</f>
        <v/>
      </c>
    </row>
    <row r="687" customFormat="false" ht="15" hidden="false" customHeight="false" outlineLevel="0" collapsed="false">
      <c r="A687" s="44"/>
      <c r="B687" s="6"/>
      <c r="C687" s="6"/>
      <c r="D687" s="6"/>
      <c r="E687" s="6"/>
      <c r="F687" s="40"/>
      <c r="G687" s="41"/>
      <c r="H687" s="35" t="str">
        <f aca="false">IF($B687="","",N($F687)*N($G687))</f>
        <v/>
      </c>
      <c r="I687" s="35" t="str">
        <f aca="false">IF($B687="","",N($F687)+$H687)</f>
        <v/>
      </c>
      <c r="J687" s="6"/>
      <c r="K687" s="46" t="str">
        <f aca="false">IF($A687="","",DATE(YEAR($A687),MONTH($A687),1))</f>
        <v/>
      </c>
    </row>
    <row r="688" customFormat="false" ht="15" hidden="false" customHeight="false" outlineLevel="0" collapsed="false">
      <c r="A688" s="44"/>
      <c r="B688" s="6"/>
      <c r="C688" s="6"/>
      <c r="D688" s="6"/>
      <c r="E688" s="6"/>
      <c r="F688" s="40"/>
      <c r="G688" s="41"/>
      <c r="H688" s="35" t="str">
        <f aca="false">IF($B688="","",N($F688)*N($G688))</f>
        <v/>
      </c>
      <c r="I688" s="35" t="str">
        <f aca="false">IF($B688="","",N($F688)+$H688)</f>
        <v/>
      </c>
      <c r="J688" s="6"/>
      <c r="K688" s="46" t="str">
        <f aca="false">IF($A688="","",DATE(YEAR($A688),MONTH($A688),1))</f>
        <v/>
      </c>
    </row>
    <row r="689" customFormat="false" ht="15" hidden="false" customHeight="false" outlineLevel="0" collapsed="false">
      <c r="A689" s="44"/>
      <c r="B689" s="6"/>
      <c r="C689" s="6"/>
      <c r="D689" s="6"/>
      <c r="E689" s="6"/>
      <c r="F689" s="40"/>
      <c r="G689" s="41"/>
      <c r="H689" s="35" t="str">
        <f aca="false">IF($B689="","",N($F689)*N($G689))</f>
        <v/>
      </c>
      <c r="I689" s="35" t="str">
        <f aca="false">IF($B689="","",N($F689)+$H689)</f>
        <v/>
      </c>
      <c r="J689" s="6"/>
      <c r="K689" s="46" t="str">
        <f aca="false">IF($A689="","",DATE(YEAR($A689),MONTH($A689),1))</f>
        <v/>
      </c>
    </row>
    <row r="690" customFormat="false" ht="15" hidden="false" customHeight="false" outlineLevel="0" collapsed="false">
      <c r="A690" s="44"/>
      <c r="B690" s="6"/>
      <c r="C690" s="6"/>
      <c r="D690" s="6"/>
      <c r="E690" s="6"/>
      <c r="F690" s="40"/>
      <c r="G690" s="41"/>
      <c r="H690" s="35" t="str">
        <f aca="false">IF($B690="","",N($F690)*N($G690))</f>
        <v/>
      </c>
      <c r="I690" s="35" t="str">
        <f aca="false">IF($B690="","",N($F690)+$H690)</f>
        <v/>
      </c>
      <c r="J690" s="6"/>
      <c r="K690" s="46" t="str">
        <f aca="false">IF($A690="","",DATE(YEAR($A690),MONTH($A690),1))</f>
        <v/>
      </c>
    </row>
    <row r="691" customFormat="false" ht="15" hidden="false" customHeight="false" outlineLevel="0" collapsed="false">
      <c r="A691" s="44"/>
      <c r="B691" s="6"/>
      <c r="C691" s="6"/>
      <c r="D691" s="6"/>
      <c r="E691" s="6"/>
      <c r="F691" s="40"/>
      <c r="G691" s="41"/>
      <c r="H691" s="35" t="str">
        <f aca="false">IF($B691="","",N($F691)*N($G691))</f>
        <v/>
      </c>
      <c r="I691" s="35" t="str">
        <f aca="false">IF($B691="","",N($F691)+$H691)</f>
        <v/>
      </c>
      <c r="J691" s="6"/>
      <c r="K691" s="46" t="str">
        <f aca="false">IF($A691="","",DATE(YEAR($A691),MONTH($A691),1))</f>
        <v/>
      </c>
    </row>
    <row r="692" customFormat="false" ht="15" hidden="false" customHeight="false" outlineLevel="0" collapsed="false">
      <c r="A692" s="44"/>
      <c r="B692" s="6"/>
      <c r="C692" s="6"/>
      <c r="D692" s="6"/>
      <c r="E692" s="6"/>
      <c r="F692" s="40"/>
      <c r="G692" s="41"/>
      <c r="H692" s="35" t="str">
        <f aca="false">IF($B692="","",N($F692)*N($G692))</f>
        <v/>
      </c>
      <c r="I692" s="35" t="str">
        <f aca="false">IF($B692="","",N($F692)+$H692)</f>
        <v/>
      </c>
      <c r="J692" s="6"/>
      <c r="K692" s="46" t="str">
        <f aca="false">IF($A692="","",DATE(YEAR($A692),MONTH($A692),1))</f>
        <v/>
      </c>
    </row>
    <row r="693" customFormat="false" ht="15" hidden="false" customHeight="false" outlineLevel="0" collapsed="false">
      <c r="A693" s="44"/>
      <c r="B693" s="6"/>
      <c r="C693" s="6"/>
      <c r="D693" s="6"/>
      <c r="E693" s="6"/>
      <c r="F693" s="40"/>
      <c r="G693" s="41"/>
      <c r="H693" s="35" t="str">
        <f aca="false">IF($B693="","",N($F693)*N($G693))</f>
        <v/>
      </c>
      <c r="I693" s="35" t="str">
        <f aca="false">IF($B693="","",N($F693)+$H693)</f>
        <v/>
      </c>
      <c r="J693" s="6"/>
      <c r="K693" s="46" t="str">
        <f aca="false">IF($A693="","",DATE(YEAR($A693),MONTH($A693),1))</f>
        <v/>
      </c>
    </row>
    <row r="694" customFormat="false" ht="15" hidden="false" customHeight="false" outlineLevel="0" collapsed="false">
      <c r="A694" s="44"/>
      <c r="B694" s="6"/>
      <c r="C694" s="6"/>
      <c r="D694" s="6"/>
      <c r="E694" s="6"/>
      <c r="F694" s="40"/>
      <c r="G694" s="41"/>
      <c r="H694" s="35" t="str">
        <f aca="false">IF($B694="","",N($F694)*N($G694))</f>
        <v/>
      </c>
      <c r="I694" s="35" t="str">
        <f aca="false">IF($B694="","",N($F694)+$H694)</f>
        <v/>
      </c>
      <c r="J694" s="6"/>
      <c r="K694" s="46" t="str">
        <f aca="false">IF($A694="","",DATE(YEAR($A694),MONTH($A694),1))</f>
        <v/>
      </c>
    </row>
    <row r="695" customFormat="false" ht="15" hidden="false" customHeight="false" outlineLevel="0" collapsed="false">
      <c r="A695" s="44"/>
      <c r="B695" s="6"/>
      <c r="C695" s="6"/>
      <c r="D695" s="6"/>
      <c r="E695" s="6"/>
      <c r="F695" s="40"/>
      <c r="G695" s="41"/>
      <c r="H695" s="35" t="str">
        <f aca="false">IF($B695="","",N($F695)*N($G695))</f>
        <v/>
      </c>
      <c r="I695" s="35" t="str">
        <f aca="false">IF($B695="","",N($F695)+$H695)</f>
        <v/>
      </c>
      <c r="J695" s="6"/>
      <c r="K695" s="46" t="str">
        <f aca="false">IF($A695="","",DATE(YEAR($A695),MONTH($A695),1))</f>
        <v/>
      </c>
    </row>
    <row r="696" customFormat="false" ht="15" hidden="false" customHeight="false" outlineLevel="0" collapsed="false">
      <c r="A696" s="44"/>
      <c r="B696" s="6"/>
      <c r="C696" s="6"/>
      <c r="D696" s="6"/>
      <c r="E696" s="6"/>
      <c r="F696" s="40"/>
      <c r="G696" s="41"/>
      <c r="H696" s="35" t="str">
        <f aca="false">IF($B696="","",N($F696)*N($G696))</f>
        <v/>
      </c>
      <c r="I696" s="35" t="str">
        <f aca="false">IF($B696="","",N($F696)+$H696)</f>
        <v/>
      </c>
      <c r="J696" s="6"/>
      <c r="K696" s="46" t="str">
        <f aca="false">IF($A696="","",DATE(YEAR($A696),MONTH($A696),1))</f>
        <v/>
      </c>
    </row>
    <row r="697" customFormat="false" ht="15" hidden="false" customHeight="false" outlineLevel="0" collapsed="false">
      <c r="A697" s="44"/>
      <c r="B697" s="6"/>
      <c r="C697" s="6"/>
      <c r="D697" s="6"/>
      <c r="E697" s="6"/>
      <c r="F697" s="40"/>
      <c r="G697" s="41"/>
      <c r="H697" s="35" t="str">
        <f aca="false">IF($B697="","",N($F697)*N($G697))</f>
        <v/>
      </c>
      <c r="I697" s="35" t="str">
        <f aca="false">IF($B697="","",N($F697)+$H697)</f>
        <v/>
      </c>
      <c r="J697" s="6"/>
      <c r="K697" s="46" t="str">
        <f aca="false">IF($A697="","",DATE(YEAR($A697),MONTH($A697),1))</f>
        <v/>
      </c>
    </row>
    <row r="698" customFormat="false" ht="15" hidden="false" customHeight="false" outlineLevel="0" collapsed="false">
      <c r="A698" s="44"/>
      <c r="B698" s="6"/>
      <c r="C698" s="6"/>
      <c r="D698" s="6"/>
      <c r="E698" s="6"/>
      <c r="F698" s="40"/>
      <c r="G698" s="41"/>
      <c r="H698" s="35" t="str">
        <f aca="false">IF($B698="","",N($F698)*N($G698))</f>
        <v/>
      </c>
      <c r="I698" s="35" t="str">
        <f aca="false">IF($B698="","",N($F698)+$H698)</f>
        <v/>
      </c>
      <c r="J698" s="6"/>
      <c r="K698" s="46" t="str">
        <f aca="false">IF($A698="","",DATE(YEAR($A698),MONTH($A698),1))</f>
        <v/>
      </c>
    </row>
    <row r="699" customFormat="false" ht="15" hidden="false" customHeight="false" outlineLevel="0" collapsed="false">
      <c r="A699" s="44"/>
      <c r="B699" s="6"/>
      <c r="C699" s="6"/>
      <c r="D699" s="6"/>
      <c r="E699" s="6"/>
      <c r="F699" s="40"/>
      <c r="G699" s="41"/>
      <c r="H699" s="35" t="str">
        <f aca="false">IF($B699="","",N($F699)*N($G699))</f>
        <v/>
      </c>
      <c r="I699" s="35" t="str">
        <f aca="false">IF($B699="","",N($F699)+$H699)</f>
        <v/>
      </c>
      <c r="J699" s="6"/>
      <c r="K699" s="46" t="str">
        <f aca="false">IF($A699="","",DATE(YEAR($A699),MONTH($A699),1))</f>
        <v/>
      </c>
    </row>
    <row r="700" customFormat="false" ht="15" hidden="false" customHeight="false" outlineLevel="0" collapsed="false">
      <c r="A700" s="44"/>
      <c r="B700" s="6"/>
      <c r="C700" s="6"/>
      <c r="D700" s="6"/>
      <c r="E700" s="6"/>
      <c r="F700" s="40"/>
      <c r="G700" s="41"/>
      <c r="H700" s="35" t="str">
        <f aca="false">IF($B700="","",N($F700)*N($G700))</f>
        <v/>
      </c>
      <c r="I700" s="35" t="str">
        <f aca="false">IF($B700="","",N($F700)+$H700)</f>
        <v/>
      </c>
      <c r="J700" s="6"/>
      <c r="K700" s="46" t="str">
        <f aca="false">IF($A700="","",DATE(YEAR($A700),MONTH($A700),1))</f>
        <v/>
      </c>
    </row>
    <row r="701" customFormat="false" ht="15" hidden="false" customHeight="false" outlineLevel="0" collapsed="false">
      <c r="A701" s="44"/>
      <c r="B701" s="6"/>
      <c r="C701" s="6"/>
      <c r="D701" s="6"/>
      <c r="E701" s="6"/>
      <c r="F701" s="40"/>
      <c r="G701" s="41"/>
      <c r="H701" s="35" t="str">
        <f aca="false">IF($B701="","",N($F701)*N($G701))</f>
        <v/>
      </c>
      <c r="I701" s="35" t="str">
        <f aca="false">IF($B701="","",N($F701)+$H701)</f>
        <v/>
      </c>
      <c r="J701" s="6"/>
      <c r="K701" s="46" t="str">
        <f aca="false">IF($A701="","",DATE(YEAR($A701),MONTH($A701),1))</f>
        <v/>
      </c>
    </row>
    <row r="702" customFormat="false" ht="15" hidden="false" customHeight="false" outlineLevel="0" collapsed="false">
      <c r="A702" s="44"/>
      <c r="B702" s="6"/>
      <c r="C702" s="6"/>
      <c r="D702" s="6"/>
      <c r="E702" s="6"/>
      <c r="F702" s="40"/>
      <c r="G702" s="41"/>
      <c r="H702" s="35" t="str">
        <f aca="false">IF($B702="","",N($F702)*N($G702))</f>
        <v/>
      </c>
      <c r="I702" s="35" t="str">
        <f aca="false">IF($B702="","",N($F702)+$H702)</f>
        <v/>
      </c>
      <c r="J702" s="6"/>
      <c r="K702" s="46" t="str">
        <f aca="false">IF($A702="","",DATE(YEAR($A702),MONTH($A702),1))</f>
        <v/>
      </c>
    </row>
    <row r="703" customFormat="false" ht="15" hidden="false" customHeight="false" outlineLevel="0" collapsed="false">
      <c r="A703" s="44"/>
      <c r="B703" s="6"/>
      <c r="C703" s="6"/>
      <c r="D703" s="6"/>
      <c r="E703" s="6"/>
      <c r="F703" s="40"/>
      <c r="G703" s="41"/>
      <c r="H703" s="35" t="str">
        <f aca="false">IF($B703="","",N($F703)*N($G703))</f>
        <v/>
      </c>
      <c r="I703" s="35" t="str">
        <f aca="false">IF($B703="","",N($F703)+$H703)</f>
        <v/>
      </c>
      <c r="J703" s="6"/>
      <c r="K703" s="46" t="str">
        <f aca="false">IF($A703="","",DATE(YEAR($A703),MONTH($A703),1))</f>
        <v/>
      </c>
    </row>
    <row r="704" customFormat="false" ht="15" hidden="false" customHeight="false" outlineLevel="0" collapsed="false">
      <c r="A704" s="44"/>
      <c r="B704" s="6"/>
      <c r="C704" s="6"/>
      <c r="D704" s="6"/>
      <c r="E704" s="6"/>
      <c r="F704" s="40"/>
      <c r="G704" s="41"/>
      <c r="H704" s="35" t="str">
        <f aca="false">IF($B704="","",N($F704)*N($G704))</f>
        <v/>
      </c>
      <c r="I704" s="35" t="str">
        <f aca="false">IF($B704="","",N($F704)+$H704)</f>
        <v/>
      </c>
      <c r="J704" s="6"/>
      <c r="K704" s="46" t="str">
        <f aca="false">IF($A704="","",DATE(YEAR($A704),MONTH($A704),1))</f>
        <v/>
      </c>
    </row>
    <row r="705" customFormat="false" ht="15" hidden="false" customHeight="false" outlineLevel="0" collapsed="false">
      <c r="A705" s="44"/>
      <c r="B705" s="6"/>
      <c r="C705" s="6"/>
      <c r="D705" s="6"/>
      <c r="E705" s="6"/>
      <c r="F705" s="40"/>
      <c r="G705" s="41"/>
      <c r="H705" s="35" t="str">
        <f aca="false">IF($B705="","",N($F705)*N($G705))</f>
        <v/>
      </c>
      <c r="I705" s="35" t="str">
        <f aca="false">IF($B705="","",N($F705)+$H705)</f>
        <v/>
      </c>
      <c r="J705" s="6"/>
      <c r="K705" s="46" t="str">
        <f aca="false">IF($A705="","",DATE(YEAR($A705),MONTH($A705),1))</f>
        <v/>
      </c>
    </row>
    <row r="706" customFormat="false" ht="15" hidden="false" customHeight="false" outlineLevel="0" collapsed="false">
      <c r="A706" s="44"/>
      <c r="B706" s="6"/>
      <c r="C706" s="6"/>
      <c r="D706" s="6"/>
      <c r="E706" s="6"/>
      <c r="F706" s="40"/>
      <c r="G706" s="41"/>
      <c r="H706" s="35" t="str">
        <f aca="false">IF($B706="","",N($F706)*N($G706))</f>
        <v/>
      </c>
      <c r="I706" s="35" t="str">
        <f aca="false">IF($B706="","",N($F706)+$H706)</f>
        <v/>
      </c>
      <c r="J706" s="6"/>
      <c r="K706" s="46" t="str">
        <f aca="false">IF($A706="","",DATE(YEAR($A706),MONTH($A706),1))</f>
        <v/>
      </c>
    </row>
    <row r="707" customFormat="false" ht="15" hidden="false" customHeight="false" outlineLevel="0" collapsed="false">
      <c r="A707" s="44"/>
      <c r="B707" s="6"/>
      <c r="C707" s="6"/>
      <c r="D707" s="6"/>
      <c r="E707" s="6"/>
      <c r="F707" s="40"/>
      <c r="G707" s="41"/>
      <c r="H707" s="35" t="str">
        <f aca="false">IF($B707="","",N($F707)*N($G707))</f>
        <v/>
      </c>
      <c r="I707" s="35" t="str">
        <f aca="false">IF($B707="","",N($F707)+$H707)</f>
        <v/>
      </c>
      <c r="J707" s="6"/>
      <c r="K707" s="46" t="str">
        <f aca="false">IF($A707="","",DATE(YEAR($A707),MONTH($A707),1))</f>
        <v/>
      </c>
    </row>
    <row r="708" customFormat="false" ht="15" hidden="false" customHeight="false" outlineLevel="0" collapsed="false">
      <c r="A708" s="44"/>
      <c r="B708" s="6"/>
      <c r="C708" s="6"/>
      <c r="D708" s="6"/>
      <c r="E708" s="6"/>
      <c r="F708" s="40"/>
      <c r="G708" s="41"/>
      <c r="H708" s="35" t="str">
        <f aca="false">IF($B708="","",N($F708)*N($G708))</f>
        <v/>
      </c>
      <c r="I708" s="35" t="str">
        <f aca="false">IF($B708="","",N($F708)+$H708)</f>
        <v/>
      </c>
      <c r="J708" s="6"/>
      <c r="K708" s="46" t="str">
        <f aca="false">IF($A708="","",DATE(YEAR($A708),MONTH($A708),1))</f>
        <v/>
      </c>
    </row>
    <row r="709" customFormat="false" ht="15" hidden="false" customHeight="false" outlineLevel="0" collapsed="false">
      <c r="A709" s="44"/>
      <c r="B709" s="6"/>
      <c r="C709" s="6"/>
      <c r="D709" s="6"/>
      <c r="E709" s="6"/>
      <c r="F709" s="40"/>
      <c r="G709" s="41"/>
      <c r="H709" s="35" t="str">
        <f aca="false">IF($B709="","",N($F709)*N($G709))</f>
        <v/>
      </c>
      <c r="I709" s="35" t="str">
        <f aca="false">IF($B709="","",N($F709)+$H709)</f>
        <v/>
      </c>
      <c r="J709" s="6"/>
      <c r="K709" s="46" t="str">
        <f aca="false">IF($A709="","",DATE(YEAR($A709),MONTH($A709),1))</f>
        <v/>
      </c>
    </row>
    <row r="710" customFormat="false" ht="15" hidden="false" customHeight="false" outlineLevel="0" collapsed="false">
      <c r="A710" s="44"/>
      <c r="B710" s="6"/>
      <c r="C710" s="6"/>
      <c r="D710" s="6"/>
      <c r="E710" s="6"/>
      <c r="F710" s="40"/>
      <c r="G710" s="41"/>
      <c r="H710" s="35" t="str">
        <f aca="false">IF($B710="","",N($F710)*N($G710))</f>
        <v/>
      </c>
      <c r="I710" s="35" t="str">
        <f aca="false">IF($B710="","",N($F710)+$H710)</f>
        <v/>
      </c>
      <c r="J710" s="6"/>
      <c r="K710" s="46" t="str">
        <f aca="false">IF($A710="","",DATE(YEAR($A710),MONTH($A710),1))</f>
        <v/>
      </c>
    </row>
    <row r="711" customFormat="false" ht="15" hidden="false" customHeight="false" outlineLevel="0" collapsed="false">
      <c r="A711" s="44"/>
      <c r="B711" s="6"/>
      <c r="C711" s="6"/>
      <c r="D711" s="6"/>
      <c r="E711" s="6"/>
      <c r="F711" s="40"/>
      <c r="G711" s="41"/>
      <c r="H711" s="35" t="str">
        <f aca="false">IF($B711="","",N($F711)*N($G711))</f>
        <v/>
      </c>
      <c r="I711" s="35" t="str">
        <f aca="false">IF($B711="","",N($F711)+$H711)</f>
        <v/>
      </c>
      <c r="J711" s="6"/>
      <c r="K711" s="46" t="str">
        <f aca="false">IF($A711="","",DATE(YEAR($A711),MONTH($A711),1))</f>
        <v/>
      </c>
    </row>
    <row r="712" customFormat="false" ht="15" hidden="false" customHeight="false" outlineLevel="0" collapsed="false">
      <c r="A712" s="44"/>
      <c r="B712" s="6"/>
      <c r="C712" s="6"/>
      <c r="D712" s="6"/>
      <c r="E712" s="6"/>
      <c r="F712" s="40"/>
      <c r="G712" s="41"/>
      <c r="H712" s="35" t="str">
        <f aca="false">IF($B712="","",N($F712)*N($G712))</f>
        <v/>
      </c>
      <c r="I712" s="35" t="str">
        <f aca="false">IF($B712="","",N($F712)+$H712)</f>
        <v/>
      </c>
      <c r="J712" s="6"/>
      <c r="K712" s="46" t="str">
        <f aca="false">IF($A712="","",DATE(YEAR($A712),MONTH($A712),1))</f>
        <v/>
      </c>
    </row>
    <row r="713" customFormat="false" ht="15" hidden="false" customHeight="false" outlineLevel="0" collapsed="false">
      <c r="A713" s="44"/>
      <c r="B713" s="6"/>
      <c r="C713" s="6"/>
      <c r="D713" s="6"/>
      <c r="E713" s="6"/>
      <c r="F713" s="40"/>
      <c r="G713" s="41"/>
      <c r="H713" s="35" t="str">
        <f aca="false">IF($B713="","",N($F713)*N($G713))</f>
        <v/>
      </c>
      <c r="I713" s="35" t="str">
        <f aca="false">IF($B713="","",N($F713)+$H713)</f>
        <v/>
      </c>
      <c r="J713" s="6"/>
      <c r="K713" s="46" t="str">
        <f aca="false">IF($A713="","",DATE(YEAR($A713),MONTH($A713),1))</f>
        <v/>
      </c>
    </row>
    <row r="714" customFormat="false" ht="15" hidden="false" customHeight="false" outlineLevel="0" collapsed="false">
      <c r="A714" s="44"/>
      <c r="B714" s="6"/>
      <c r="C714" s="6"/>
      <c r="D714" s="6"/>
      <c r="E714" s="6"/>
      <c r="F714" s="40"/>
      <c r="G714" s="41"/>
      <c r="H714" s="35" t="str">
        <f aca="false">IF($B714="","",N($F714)*N($G714))</f>
        <v/>
      </c>
      <c r="I714" s="35" t="str">
        <f aca="false">IF($B714="","",N($F714)+$H714)</f>
        <v/>
      </c>
      <c r="J714" s="6"/>
      <c r="K714" s="46" t="str">
        <f aca="false">IF($A714="","",DATE(YEAR($A714),MONTH($A714),1))</f>
        <v/>
      </c>
    </row>
    <row r="715" customFormat="false" ht="15" hidden="false" customHeight="false" outlineLevel="0" collapsed="false">
      <c r="A715" s="44"/>
      <c r="B715" s="6"/>
      <c r="C715" s="6"/>
      <c r="D715" s="6"/>
      <c r="E715" s="6"/>
      <c r="F715" s="40"/>
      <c r="G715" s="41"/>
      <c r="H715" s="35" t="str">
        <f aca="false">IF($B715="","",N($F715)*N($G715))</f>
        <v/>
      </c>
      <c r="I715" s="35" t="str">
        <f aca="false">IF($B715="","",N($F715)+$H715)</f>
        <v/>
      </c>
      <c r="J715" s="6"/>
      <c r="K715" s="46" t="str">
        <f aca="false">IF($A715="","",DATE(YEAR($A715),MONTH($A715),1))</f>
        <v/>
      </c>
    </row>
    <row r="716" customFormat="false" ht="15" hidden="false" customHeight="false" outlineLevel="0" collapsed="false">
      <c r="A716" s="44"/>
      <c r="B716" s="6"/>
      <c r="C716" s="6"/>
      <c r="D716" s="6"/>
      <c r="E716" s="6"/>
      <c r="F716" s="40"/>
      <c r="G716" s="41"/>
      <c r="H716" s="35" t="str">
        <f aca="false">IF($B716="","",N($F716)*N($G716))</f>
        <v/>
      </c>
      <c r="I716" s="35" t="str">
        <f aca="false">IF($B716="","",N($F716)+$H716)</f>
        <v/>
      </c>
      <c r="J716" s="6"/>
      <c r="K716" s="46" t="str">
        <f aca="false">IF($A716="","",DATE(YEAR($A716),MONTH($A716),1))</f>
        <v/>
      </c>
    </row>
    <row r="717" customFormat="false" ht="15" hidden="false" customHeight="false" outlineLevel="0" collapsed="false">
      <c r="A717" s="44"/>
      <c r="B717" s="6"/>
      <c r="C717" s="6"/>
      <c r="D717" s="6"/>
      <c r="E717" s="6"/>
      <c r="F717" s="40"/>
      <c r="G717" s="41"/>
      <c r="H717" s="35" t="str">
        <f aca="false">IF($B717="","",N($F717)*N($G717))</f>
        <v/>
      </c>
      <c r="I717" s="35" t="str">
        <f aca="false">IF($B717="","",N($F717)+$H717)</f>
        <v/>
      </c>
      <c r="J717" s="6"/>
      <c r="K717" s="46" t="str">
        <f aca="false">IF($A717="","",DATE(YEAR($A717),MONTH($A717),1))</f>
        <v/>
      </c>
    </row>
    <row r="718" customFormat="false" ht="15" hidden="false" customHeight="false" outlineLevel="0" collapsed="false">
      <c r="A718" s="44"/>
      <c r="B718" s="6"/>
      <c r="C718" s="6"/>
      <c r="D718" s="6"/>
      <c r="E718" s="6"/>
      <c r="F718" s="40"/>
      <c r="G718" s="41"/>
      <c r="H718" s="35" t="str">
        <f aca="false">IF($B718="","",N($F718)*N($G718))</f>
        <v/>
      </c>
      <c r="I718" s="35" t="str">
        <f aca="false">IF($B718="","",N($F718)+$H718)</f>
        <v/>
      </c>
      <c r="J718" s="6"/>
      <c r="K718" s="46" t="str">
        <f aca="false">IF($A718="","",DATE(YEAR($A718),MONTH($A718),1))</f>
        <v/>
      </c>
    </row>
    <row r="719" customFormat="false" ht="15" hidden="false" customHeight="false" outlineLevel="0" collapsed="false">
      <c r="A719" s="44"/>
      <c r="B719" s="6"/>
      <c r="C719" s="6"/>
      <c r="D719" s="6"/>
      <c r="E719" s="6"/>
      <c r="F719" s="40"/>
      <c r="G719" s="41"/>
      <c r="H719" s="35" t="str">
        <f aca="false">IF($B719="","",N($F719)*N($G719))</f>
        <v/>
      </c>
      <c r="I719" s="35" t="str">
        <f aca="false">IF($B719="","",N($F719)+$H719)</f>
        <v/>
      </c>
      <c r="J719" s="6"/>
      <c r="K719" s="46" t="str">
        <f aca="false">IF($A719="","",DATE(YEAR($A719),MONTH($A719),1))</f>
        <v/>
      </c>
    </row>
    <row r="720" customFormat="false" ht="15" hidden="false" customHeight="false" outlineLevel="0" collapsed="false">
      <c r="A720" s="44"/>
      <c r="B720" s="6"/>
      <c r="C720" s="6"/>
      <c r="D720" s="6"/>
      <c r="E720" s="6"/>
      <c r="F720" s="40"/>
      <c r="G720" s="41"/>
      <c r="H720" s="35" t="str">
        <f aca="false">IF($B720="","",N($F720)*N($G720))</f>
        <v/>
      </c>
      <c r="I720" s="35" t="str">
        <f aca="false">IF($B720="","",N($F720)+$H720)</f>
        <v/>
      </c>
      <c r="J720" s="6"/>
      <c r="K720" s="46" t="str">
        <f aca="false">IF($A720="","",DATE(YEAR($A720),MONTH($A720),1))</f>
        <v/>
      </c>
    </row>
    <row r="721" customFormat="false" ht="15" hidden="false" customHeight="false" outlineLevel="0" collapsed="false">
      <c r="A721" s="44"/>
      <c r="B721" s="6"/>
      <c r="C721" s="6"/>
      <c r="D721" s="6"/>
      <c r="E721" s="6"/>
      <c r="F721" s="40"/>
      <c r="G721" s="41"/>
      <c r="H721" s="35" t="str">
        <f aca="false">IF($B721="","",N($F721)*N($G721))</f>
        <v/>
      </c>
      <c r="I721" s="35" t="str">
        <f aca="false">IF($B721="","",N($F721)+$H721)</f>
        <v/>
      </c>
      <c r="J721" s="6"/>
      <c r="K721" s="46" t="str">
        <f aca="false">IF($A721="","",DATE(YEAR($A721),MONTH($A721),1))</f>
        <v/>
      </c>
    </row>
    <row r="722" customFormat="false" ht="15" hidden="false" customHeight="false" outlineLevel="0" collapsed="false">
      <c r="A722" s="44"/>
      <c r="B722" s="6"/>
      <c r="C722" s="6"/>
      <c r="D722" s="6"/>
      <c r="E722" s="6"/>
      <c r="F722" s="40"/>
      <c r="G722" s="41"/>
      <c r="H722" s="35" t="str">
        <f aca="false">IF($B722="","",N($F722)*N($G722))</f>
        <v/>
      </c>
      <c r="I722" s="35" t="str">
        <f aca="false">IF($B722="","",N($F722)+$H722)</f>
        <v/>
      </c>
      <c r="J722" s="6"/>
      <c r="K722" s="46" t="str">
        <f aca="false">IF($A722="","",DATE(YEAR($A722),MONTH($A722),1))</f>
        <v/>
      </c>
    </row>
    <row r="723" customFormat="false" ht="15" hidden="false" customHeight="false" outlineLevel="0" collapsed="false">
      <c r="A723" s="44"/>
      <c r="B723" s="6"/>
      <c r="C723" s="6"/>
      <c r="D723" s="6"/>
      <c r="E723" s="6"/>
      <c r="F723" s="40"/>
      <c r="G723" s="41"/>
      <c r="H723" s="35" t="str">
        <f aca="false">IF($B723="","",N($F723)*N($G723))</f>
        <v/>
      </c>
      <c r="I723" s="35" t="str">
        <f aca="false">IF($B723="","",N($F723)+$H723)</f>
        <v/>
      </c>
      <c r="J723" s="6"/>
      <c r="K723" s="46" t="str">
        <f aca="false">IF($A723="","",DATE(YEAR($A723),MONTH($A723),1))</f>
        <v/>
      </c>
    </row>
    <row r="724" customFormat="false" ht="15" hidden="false" customHeight="false" outlineLevel="0" collapsed="false">
      <c r="A724" s="44"/>
      <c r="B724" s="6"/>
      <c r="C724" s="6"/>
      <c r="D724" s="6"/>
      <c r="E724" s="6"/>
      <c r="F724" s="40"/>
      <c r="G724" s="41"/>
      <c r="H724" s="35" t="str">
        <f aca="false">IF($B724="","",N($F724)*N($G724))</f>
        <v/>
      </c>
      <c r="I724" s="35" t="str">
        <f aca="false">IF($B724="","",N($F724)+$H724)</f>
        <v/>
      </c>
      <c r="J724" s="6"/>
      <c r="K724" s="46" t="str">
        <f aca="false">IF($A724="","",DATE(YEAR($A724),MONTH($A724),1))</f>
        <v/>
      </c>
    </row>
    <row r="725" customFormat="false" ht="15" hidden="false" customHeight="false" outlineLevel="0" collapsed="false">
      <c r="A725" s="44"/>
      <c r="B725" s="6"/>
      <c r="C725" s="6"/>
      <c r="D725" s="6"/>
      <c r="E725" s="6"/>
      <c r="F725" s="40"/>
      <c r="G725" s="41"/>
      <c r="H725" s="35" t="str">
        <f aca="false">IF($B725="","",N($F725)*N($G725))</f>
        <v/>
      </c>
      <c r="I725" s="35" t="str">
        <f aca="false">IF($B725="","",N($F725)+$H725)</f>
        <v/>
      </c>
      <c r="J725" s="6"/>
      <c r="K725" s="46" t="str">
        <f aca="false">IF($A725="","",DATE(YEAR($A725),MONTH($A725),1))</f>
        <v/>
      </c>
    </row>
    <row r="726" customFormat="false" ht="15" hidden="false" customHeight="false" outlineLevel="0" collapsed="false">
      <c r="A726" s="44"/>
      <c r="B726" s="6"/>
      <c r="C726" s="6"/>
      <c r="D726" s="6"/>
      <c r="E726" s="6"/>
      <c r="F726" s="40"/>
      <c r="G726" s="41"/>
      <c r="H726" s="35" t="str">
        <f aca="false">IF($B726="","",N($F726)*N($G726))</f>
        <v/>
      </c>
      <c r="I726" s="35" t="str">
        <f aca="false">IF($B726="","",N($F726)+$H726)</f>
        <v/>
      </c>
      <c r="J726" s="6"/>
      <c r="K726" s="46" t="str">
        <f aca="false">IF($A726="","",DATE(YEAR($A726),MONTH($A726),1))</f>
        <v/>
      </c>
    </row>
    <row r="727" customFormat="false" ht="15" hidden="false" customHeight="false" outlineLevel="0" collapsed="false">
      <c r="A727" s="44"/>
      <c r="B727" s="6"/>
      <c r="C727" s="6"/>
      <c r="D727" s="6"/>
      <c r="E727" s="6"/>
      <c r="F727" s="40"/>
      <c r="G727" s="41"/>
      <c r="H727" s="35" t="str">
        <f aca="false">IF($B727="","",N($F727)*N($G727))</f>
        <v/>
      </c>
      <c r="I727" s="35" t="str">
        <f aca="false">IF($B727="","",N($F727)+$H727)</f>
        <v/>
      </c>
      <c r="J727" s="6"/>
      <c r="K727" s="46" t="str">
        <f aca="false">IF($A727="","",DATE(YEAR($A727),MONTH($A727),1))</f>
        <v/>
      </c>
    </row>
    <row r="728" customFormat="false" ht="15" hidden="false" customHeight="false" outlineLevel="0" collapsed="false">
      <c r="A728" s="44"/>
      <c r="B728" s="6"/>
      <c r="C728" s="6"/>
      <c r="D728" s="6"/>
      <c r="E728" s="6"/>
      <c r="F728" s="40"/>
      <c r="G728" s="41"/>
      <c r="H728" s="35" t="str">
        <f aca="false">IF($B728="","",N($F728)*N($G728))</f>
        <v/>
      </c>
      <c r="I728" s="35" t="str">
        <f aca="false">IF($B728="","",N($F728)+$H728)</f>
        <v/>
      </c>
      <c r="J728" s="6"/>
      <c r="K728" s="46" t="str">
        <f aca="false">IF($A728="","",DATE(YEAR($A728),MONTH($A728),1))</f>
        <v/>
      </c>
    </row>
    <row r="729" customFormat="false" ht="15" hidden="false" customHeight="false" outlineLevel="0" collapsed="false">
      <c r="A729" s="44"/>
      <c r="B729" s="6"/>
      <c r="C729" s="6"/>
      <c r="D729" s="6"/>
      <c r="E729" s="6"/>
      <c r="F729" s="40"/>
      <c r="G729" s="41"/>
      <c r="H729" s="35" t="str">
        <f aca="false">IF($B729="","",N($F729)*N($G729))</f>
        <v/>
      </c>
      <c r="I729" s="35" t="str">
        <f aca="false">IF($B729="","",N($F729)+$H729)</f>
        <v/>
      </c>
      <c r="J729" s="6"/>
      <c r="K729" s="46" t="str">
        <f aca="false">IF($A729="","",DATE(YEAR($A729),MONTH($A729),1))</f>
        <v/>
      </c>
    </row>
    <row r="730" customFormat="false" ht="15" hidden="false" customHeight="false" outlineLevel="0" collapsed="false">
      <c r="A730" s="44"/>
      <c r="B730" s="6"/>
      <c r="C730" s="6"/>
      <c r="D730" s="6"/>
      <c r="E730" s="6"/>
      <c r="F730" s="40"/>
      <c r="G730" s="41"/>
      <c r="H730" s="35" t="str">
        <f aca="false">IF($B730="","",N($F730)*N($G730))</f>
        <v/>
      </c>
      <c r="I730" s="35" t="str">
        <f aca="false">IF($B730="","",N($F730)+$H730)</f>
        <v/>
      </c>
      <c r="J730" s="6"/>
      <c r="K730" s="46" t="str">
        <f aca="false">IF($A730="","",DATE(YEAR($A730),MONTH($A730),1))</f>
        <v/>
      </c>
    </row>
    <row r="731" customFormat="false" ht="15" hidden="false" customHeight="false" outlineLevel="0" collapsed="false">
      <c r="A731" s="44"/>
      <c r="B731" s="6"/>
      <c r="C731" s="6"/>
      <c r="D731" s="6"/>
      <c r="E731" s="6"/>
      <c r="F731" s="40"/>
      <c r="G731" s="41"/>
      <c r="H731" s="35" t="str">
        <f aca="false">IF($B731="","",N($F731)*N($G731))</f>
        <v/>
      </c>
      <c r="I731" s="35" t="str">
        <f aca="false">IF($B731="","",N($F731)+$H731)</f>
        <v/>
      </c>
      <c r="J731" s="6"/>
      <c r="K731" s="46" t="str">
        <f aca="false">IF($A731="","",DATE(YEAR($A731),MONTH($A731),1))</f>
        <v/>
      </c>
    </row>
    <row r="732" customFormat="false" ht="15" hidden="false" customHeight="false" outlineLevel="0" collapsed="false">
      <c r="A732" s="44"/>
      <c r="B732" s="6"/>
      <c r="C732" s="6"/>
      <c r="D732" s="6"/>
      <c r="E732" s="6"/>
      <c r="F732" s="40"/>
      <c r="G732" s="41"/>
      <c r="H732" s="35" t="str">
        <f aca="false">IF($B732="","",N($F732)*N($G732))</f>
        <v/>
      </c>
      <c r="I732" s="35" t="str">
        <f aca="false">IF($B732="","",N($F732)+$H732)</f>
        <v/>
      </c>
      <c r="J732" s="6"/>
      <c r="K732" s="46" t="str">
        <f aca="false">IF($A732="","",DATE(YEAR($A732),MONTH($A732),1))</f>
        <v/>
      </c>
    </row>
    <row r="733" customFormat="false" ht="15" hidden="false" customHeight="false" outlineLevel="0" collapsed="false">
      <c r="A733" s="44"/>
      <c r="B733" s="6"/>
      <c r="C733" s="6"/>
      <c r="D733" s="6"/>
      <c r="E733" s="6"/>
      <c r="F733" s="40"/>
      <c r="G733" s="41"/>
      <c r="H733" s="35" t="str">
        <f aca="false">IF($B733="","",N($F733)*N($G733))</f>
        <v/>
      </c>
      <c r="I733" s="35" t="str">
        <f aca="false">IF($B733="","",N($F733)+$H733)</f>
        <v/>
      </c>
      <c r="J733" s="6"/>
      <c r="K733" s="46" t="str">
        <f aca="false">IF($A733="","",DATE(YEAR($A733),MONTH($A733),1))</f>
        <v/>
      </c>
    </row>
    <row r="734" customFormat="false" ht="15" hidden="false" customHeight="false" outlineLevel="0" collapsed="false">
      <c r="A734" s="44"/>
      <c r="B734" s="6"/>
      <c r="C734" s="6"/>
      <c r="D734" s="6"/>
      <c r="E734" s="6"/>
      <c r="F734" s="40"/>
      <c r="G734" s="41"/>
      <c r="H734" s="35" t="str">
        <f aca="false">IF($B734="","",N($F734)*N($G734))</f>
        <v/>
      </c>
      <c r="I734" s="35" t="str">
        <f aca="false">IF($B734="","",N($F734)+$H734)</f>
        <v/>
      </c>
      <c r="J734" s="6"/>
      <c r="K734" s="46" t="str">
        <f aca="false">IF($A734="","",DATE(YEAR($A734),MONTH($A734),1))</f>
        <v/>
      </c>
    </row>
    <row r="735" customFormat="false" ht="15" hidden="false" customHeight="false" outlineLevel="0" collapsed="false">
      <c r="A735" s="44"/>
      <c r="B735" s="6"/>
      <c r="C735" s="6"/>
      <c r="D735" s="6"/>
      <c r="E735" s="6"/>
      <c r="F735" s="40"/>
      <c r="G735" s="41"/>
      <c r="H735" s="35" t="str">
        <f aca="false">IF($B735="","",N($F735)*N($G735))</f>
        <v/>
      </c>
      <c r="I735" s="35" t="str">
        <f aca="false">IF($B735="","",N($F735)+$H735)</f>
        <v/>
      </c>
      <c r="J735" s="6"/>
      <c r="K735" s="46" t="str">
        <f aca="false">IF($A735="","",DATE(YEAR($A735),MONTH($A735),1))</f>
        <v/>
      </c>
    </row>
    <row r="736" customFormat="false" ht="15" hidden="false" customHeight="false" outlineLevel="0" collapsed="false">
      <c r="A736" s="44"/>
      <c r="B736" s="6"/>
      <c r="C736" s="6"/>
      <c r="D736" s="6"/>
      <c r="E736" s="6"/>
      <c r="F736" s="40"/>
      <c r="G736" s="41"/>
      <c r="H736" s="35" t="str">
        <f aca="false">IF($B736="","",N($F736)*N($G736))</f>
        <v/>
      </c>
      <c r="I736" s="35" t="str">
        <f aca="false">IF($B736="","",N($F736)+$H736)</f>
        <v/>
      </c>
      <c r="J736" s="6"/>
      <c r="K736" s="46" t="str">
        <f aca="false">IF($A736="","",DATE(YEAR($A736),MONTH($A736),1))</f>
        <v/>
      </c>
    </row>
    <row r="737" customFormat="false" ht="15" hidden="false" customHeight="false" outlineLevel="0" collapsed="false">
      <c r="A737" s="44"/>
      <c r="B737" s="6"/>
      <c r="C737" s="6"/>
      <c r="D737" s="6"/>
      <c r="E737" s="6"/>
      <c r="F737" s="40"/>
      <c r="G737" s="41"/>
      <c r="H737" s="35" t="str">
        <f aca="false">IF($B737="","",N($F737)*N($G737))</f>
        <v/>
      </c>
      <c r="I737" s="35" t="str">
        <f aca="false">IF($B737="","",N($F737)+$H737)</f>
        <v/>
      </c>
      <c r="J737" s="6"/>
      <c r="K737" s="46" t="str">
        <f aca="false">IF($A737="","",DATE(YEAR($A737),MONTH($A737),1))</f>
        <v/>
      </c>
    </row>
    <row r="738" customFormat="false" ht="15" hidden="false" customHeight="false" outlineLevel="0" collapsed="false">
      <c r="A738" s="44"/>
      <c r="B738" s="6"/>
      <c r="C738" s="6"/>
      <c r="D738" s="6"/>
      <c r="E738" s="6"/>
      <c r="F738" s="40"/>
      <c r="G738" s="41"/>
      <c r="H738" s="35" t="str">
        <f aca="false">IF($B738="","",N($F738)*N($G738))</f>
        <v/>
      </c>
      <c r="I738" s="35" t="str">
        <f aca="false">IF($B738="","",N($F738)+$H738)</f>
        <v/>
      </c>
      <c r="J738" s="6"/>
      <c r="K738" s="46" t="str">
        <f aca="false">IF($A738="","",DATE(YEAR($A738),MONTH($A738),1))</f>
        <v/>
      </c>
    </row>
    <row r="739" customFormat="false" ht="15" hidden="false" customHeight="false" outlineLevel="0" collapsed="false">
      <c r="A739" s="44"/>
      <c r="B739" s="6"/>
      <c r="C739" s="6"/>
      <c r="D739" s="6"/>
      <c r="E739" s="6"/>
      <c r="F739" s="40"/>
      <c r="G739" s="41"/>
      <c r="H739" s="35" t="str">
        <f aca="false">IF($B739="","",N($F739)*N($G739))</f>
        <v/>
      </c>
      <c r="I739" s="35" t="str">
        <f aca="false">IF($B739="","",N($F739)+$H739)</f>
        <v/>
      </c>
      <c r="J739" s="6"/>
      <c r="K739" s="46" t="str">
        <f aca="false">IF($A739="","",DATE(YEAR($A739),MONTH($A739),1))</f>
        <v/>
      </c>
    </row>
    <row r="740" customFormat="false" ht="15" hidden="false" customHeight="false" outlineLevel="0" collapsed="false">
      <c r="A740" s="44"/>
      <c r="B740" s="6"/>
      <c r="C740" s="6"/>
      <c r="D740" s="6"/>
      <c r="E740" s="6"/>
      <c r="F740" s="40"/>
      <c r="G740" s="41"/>
      <c r="H740" s="35" t="str">
        <f aca="false">IF($B740="","",N($F740)*N($G740))</f>
        <v/>
      </c>
      <c r="I740" s="35" t="str">
        <f aca="false">IF($B740="","",N($F740)+$H740)</f>
        <v/>
      </c>
      <c r="J740" s="6"/>
      <c r="K740" s="46" t="str">
        <f aca="false">IF($A740="","",DATE(YEAR($A740),MONTH($A740),1))</f>
        <v/>
      </c>
    </row>
    <row r="741" customFormat="false" ht="15" hidden="false" customHeight="false" outlineLevel="0" collapsed="false">
      <c r="A741" s="44"/>
      <c r="B741" s="6"/>
      <c r="C741" s="6"/>
      <c r="D741" s="6"/>
      <c r="E741" s="6"/>
      <c r="F741" s="40"/>
      <c r="G741" s="41"/>
      <c r="H741" s="35" t="str">
        <f aca="false">IF($B741="","",N($F741)*N($G741))</f>
        <v/>
      </c>
      <c r="I741" s="35" t="str">
        <f aca="false">IF($B741="","",N($F741)+$H741)</f>
        <v/>
      </c>
      <c r="J741" s="6"/>
      <c r="K741" s="46" t="str">
        <f aca="false">IF($A741="","",DATE(YEAR($A741),MONTH($A741),1))</f>
        <v/>
      </c>
    </row>
    <row r="742" customFormat="false" ht="15" hidden="false" customHeight="false" outlineLevel="0" collapsed="false">
      <c r="A742" s="44"/>
      <c r="B742" s="6"/>
      <c r="C742" s="6"/>
      <c r="D742" s="6"/>
      <c r="E742" s="6"/>
      <c r="F742" s="40"/>
      <c r="G742" s="41"/>
      <c r="H742" s="35" t="str">
        <f aca="false">IF($B742="","",N($F742)*N($G742))</f>
        <v/>
      </c>
      <c r="I742" s="35" t="str">
        <f aca="false">IF($B742="","",N($F742)+$H742)</f>
        <v/>
      </c>
      <c r="J742" s="6"/>
      <c r="K742" s="46" t="str">
        <f aca="false">IF($A742="","",DATE(YEAR($A742),MONTH($A742),1))</f>
        <v/>
      </c>
    </row>
    <row r="743" customFormat="false" ht="15" hidden="false" customHeight="false" outlineLevel="0" collapsed="false">
      <c r="A743" s="44"/>
      <c r="B743" s="6"/>
      <c r="C743" s="6"/>
      <c r="D743" s="6"/>
      <c r="E743" s="6"/>
      <c r="F743" s="40"/>
      <c r="G743" s="41"/>
      <c r="H743" s="35" t="str">
        <f aca="false">IF($B743="","",N($F743)*N($G743))</f>
        <v/>
      </c>
      <c r="I743" s="35" t="str">
        <f aca="false">IF($B743="","",N($F743)+$H743)</f>
        <v/>
      </c>
      <c r="J743" s="6"/>
      <c r="K743" s="46" t="str">
        <f aca="false">IF($A743="","",DATE(YEAR($A743),MONTH($A743),1))</f>
        <v/>
      </c>
    </row>
    <row r="744" customFormat="false" ht="15" hidden="false" customHeight="false" outlineLevel="0" collapsed="false">
      <c r="A744" s="44"/>
      <c r="B744" s="6"/>
      <c r="C744" s="6"/>
      <c r="D744" s="6"/>
      <c r="E744" s="6"/>
      <c r="F744" s="40"/>
      <c r="G744" s="41"/>
      <c r="H744" s="35" t="str">
        <f aca="false">IF($B744="","",N($F744)*N($G744))</f>
        <v/>
      </c>
      <c r="I744" s="35" t="str">
        <f aca="false">IF($B744="","",N($F744)+$H744)</f>
        <v/>
      </c>
      <c r="J744" s="6"/>
      <c r="K744" s="46" t="str">
        <f aca="false">IF($A744="","",DATE(YEAR($A744),MONTH($A744),1))</f>
        <v/>
      </c>
    </row>
    <row r="745" customFormat="false" ht="15" hidden="false" customHeight="false" outlineLevel="0" collapsed="false">
      <c r="A745" s="44"/>
      <c r="B745" s="6"/>
      <c r="C745" s="6"/>
      <c r="D745" s="6"/>
      <c r="E745" s="6"/>
      <c r="F745" s="40"/>
      <c r="G745" s="41"/>
      <c r="H745" s="35" t="str">
        <f aca="false">IF($B745="","",N($F745)*N($G745))</f>
        <v/>
      </c>
      <c r="I745" s="35" t="str">
        <f aca="false">IF($B745="","",N($F745)+$H745)</f>
        <v/>
      </c>
      <c r="J745" s="6"/>
      <c r="K745" s="46" t="str">
        <f aca="false">IF($A745="","",DATE(YEAR($A745),MONTH($A745),1))</f>
        <v/>
      </c>
    </row>
    <row r="746" customFormat="false" ht="15" hidden="false" customHeight="false" outlineLevel="0" collapsed="false">
      <c r="A746" s="44"/>
      <c r="B746" s="6"/>
      <c r="C746" s="6"/>
      <c r="D746" s="6"/>
      <c r="E746" s="6"/>
      <c r="F746" s="40"/>
      <c r="G746" s="41"/>
      <c r="H746" s="35" t="str">
        <f aca="false">IF($B746="","",N($F746)*N($G746))</f>
        <v/>
      </c>
      <c r="I746" s="35" t="str">
        <f aca="false">IF($B746="","",N($F746)+$H746)</f>
        <v/>
      </c>
      <c r="J746" s="6"/>
      <c r="K746" s="46" t="str">
        <f aca="false">IF($A746="","",DATE(YEAR($A746),MONTH($A746),1))</f>
        <v/>
      </c>
    </row>
    <row r="747" customFormat="false" ht="15" hidden="false" customHeight="false" outlineLevel="0" collapsed="false">
      <c r="A747" s="44"/>
      <c r="B747" s="6"/>
      <c r="C747" s="6"/>
      <c r="D747" s="6"/>
      <c r="E747" s="6"/>
      <c r="F747" s="40"/>
      <c r="G747" s="41"/>
      <c r="H747" s="35" t="str">
        <f aca="false">IF($B747="","",N($F747)*N($G747))</f>
        <v/>
      </c>
      <c r="I747" s="35" t="str">
        <f aca="false">IF($B747="","",N($F747)+$H747)</f>
        <v/>
      </c>
      <c r="J747" s="6"/>
      <c r="K747" s="46" t="str">
        <f aca="false">IF($A747="","",DATE(YEAR($A747),MONTH($A747),1))</f>
        <v/>
      </c>
    </row>
    <row r="748" customFormat="false" ht="15" hidden="false" customHeight="false" outlineLevel="0" collapsed="false">
      <c r="A748" s="44"/>
      <c r="B748" s="6"/>
      <c r="C748" s="6"/>
      <c r="D748" s="6"/>
      <c r="E748" s="6"/>
      <c r="F748" s="40"/>
      <c r="G748" s="41"/>
      <c r="H748" s="35" t="str">
        <f aca="false">IF($B748="","",N($F748)*N($G748))</f>
        <v/>
      </c>
      <c r="I748" s="35" t="str">
        <f aca="false">IF($B748="","",N($F748)+$H748)</f>
        <v/>
      </c>
      <c r="J748" s="6"/>
      <c r="K748" s="46" t="str">
        <f aca="false">IF($A748="","",DATE(YEAR($A748),MONTH($A748),1))</f>
        <v/>
      </c>
    </row>
    <row r="749" customFormat="false" ht="15" hidden="false" customHeight="false" outlineLevel="0" collapsed="false">
      <c r="A749" s="44"/>
      <c r="B749" s="6"/>
      <c r="C749" s="6"/>
      <c r="D749" s="6"/>
      <c r="E749" s="6"/>
      <c r="F749" s="40"/>
      <c r="G749" s="41"/>
      <c r="H749" s="35" t="str">
        <f aca="false">IF($B749="","",N($F749)*N($G749))</f>
        <v/>
      </c>
      <c r="I749" s="35" t="str">
        <f aca="false">IF($B749="","",N($F749)+$H749)</f>
        <v/>
      </c>
      <c r="J749" s="6"/>
      <c r="K749" s="46" t="str">
        <f aca="false">IF($A749="","",DATE(YEAR($A749),MONTH($A749),1))</f>
        <v/>
      </c>
    </row>
    <row r="750" customFormat="false" ht="15" hidden="false" customHeight="false" outlineLevel="0" collapsed="false">
      <c r="A750" s="44"/>
      <c r="B750" s="6"/>
      <c r="C750" s="6"/>
      <c r="D750" s="6"/>
      <c r="E750" s="6"/>
      <c r="F750" s="40"/>
      <c r="G750" s="41"/>
      <c r="H750" s="35" t="str">
        <f aca="false">IF($B750="","",N($F750)*N($G750))</f>
        <v/>
      </c>
      <c r="I750" s="35" t="str">
        <f aca="false">IF($B750="","",N($F750)+$H750)</f>
        <v/>
      </c>
      <c r="J750" s="6"/>
      <c r="K750" s="46" t="str">
        <f aca="false">IF($A750="","",DATE(YEAR($A750),MONTH($A750),1))</f>
        <v/>
      </c>
    </row>
    <row r="751" customFormat="false" ht="15" hidden="false" customHeight="false" outlineLevel="0" collapsed="false">
      <c r="A751" s="44"/>
      <c r="B751" s="6"/>
      <c r="C751" s="6"/>
      <c r="D751" s="6"/>
      <c r="E751" s="6"/>
      <c r="F751" s="40"/>
      <c r="G751" s="41"/>
      <c r="H751" s="35" t="str">
        <f aca="false">IF($B751="","",N($F751)*N($G751))</f>
        <v/>
      </c>
      <c r="I751" s="35" t="str">
        <f aca="false">IF($B751="","",N($F751)+$H751)</f>
        <v/>
      </c>
      <c r="J751" s="6"/>
      <c r="K751" s="46" t="str">
        <f aca="false">IF($A751="","",DATE(YEAR($A751),MONTH($A751),1))</f>
        <v/>
      </c>
    </row>
    <row r="752" customFormat="false" ht="15" hidden="false" customHeight="false" outlineLevel="0" collapsed="false">
      <c r="A752" s="44"/>
      <c r="B752" s="6"/>
      <c r="C752" s="6"/>
      <c r="D752" s="6"/>
      <c r="E752" s="6"/>
      <c r="F752" s="40"/>
      <c r="G752" s="41"/>
      <c r="H752" s="35" t="str">
        <f aca="false">IF($B752="","",N($F752)*N($G752))</f>
        <v/>
      </c>
      <c r="I752" s="35" t="str">
        <f aca="false">IF($B752="","",N($F752)+$H752)</f>
        <v/>
      </c>
      <c r="J752" s="6"/>
      <c r="K752" s="46" t="str">
        <f aca="false">IF($A752="","",DATE(YEAR($A752),MONTH($A752),1))</f>
        <v/>
      </c>
    </row>
    <row r="753" customFormat="false" ht="15" hidden="false" customHeight="false" outlineLevel="0" collapsed="false">
      <c r="A753" s="44"/>
      <c r="B753" s="6"/>
      <c r="C753" s="6"/>
      <c r="D753" s="6"/>
      <c r="E753" s="6"/>
      <c r="F753" s="40"/>
      <c r="G753" s="41"/>
      <c r="H753" s="35" t="str">
        <f aca="false">IF($B753="","",N($F753)*N($G753))</f>
        <v/>
      </c>
      <c r="I753" s="35" t="str">
        <f aca="false">IF($B753="","",N($F753)+$H753)</f>
        <v/>
      </c>
      <c r="J753" s="6"/>
      <c r="K753" s="46" t="str">
        <f aca="false">IF($A753="","",DATE(YEAR($A753),MONTH($A753),1))</f>
        <v/>
      </c>
    </row>
    <row r="754" customFormat="false" ht="15" hidden="false" customHeight="false" outlineLevel="0" collapsed="false">
      <c r="A754" s="44"/>
      <c r="B754" s="6"/>
      <c r="C754" s="6"/>
      <c r="D754" s="6"/>
      <c r="E754" s="6"/>
      <c r="F754" s="40"/>
      <c r="G754" s="41"/>
      <c r="H754" s="35" t="str">
        <f aca="false">IF($B754="","",N($F754)*N($G754))</f>
        <v/>
      </c>
      <c r="I754" s="35" t="str">
        <f aca="false">IF($B754="","",N($F754)+$H754)</f>
        <v/>
      </c>
      <c r="J754" s="6"/>
      <c r="K754" s="46" t="str">
        <f aca="false">IF($A754="","",DATE(YEAR($A754),MONTH($A754),1))</f>
        <v/>
      </c>
    </row>
    <row r="755" customFormat="false" ht="15" hidden="false" customHeight="false" outlineLevel="0" collapsed="false">
      <c r="A755" s="44"/>
      <c r="B755" s="6"/>
      <c r="C755" s="6"/>
      <c r="D755" s="6"/>
      <c r="E755" s="6"/>
      <c r="F755" s="40"/>
      <c r="G755" s="41"/>
      <c r="H755" s="35" t="str">
        <f aca="false">IF($B755="","",N($F755)*N($G755))</f>
        <v/>
      </c>
      <c r="I755" s="35" t="str">
        <f aca="false">IF($B755="","",N($F755)+$H755)</f>
        <v/>
      </c>
      <c r="J755" s="6"/>
      <c r="K755" s="46" t="str">
        <f aca="false">IF($A755="","",DATE(YEAR($A755),MONTH($A755),1))</f>
        <v/>
      </c>
    </row>
    <row r="756" customFormat="false" ht="15" hidden="false" customHeight="false" outlineLevel="0" collapsed="false">
      <c r="A756" s="44"/>
      <c r="B756" s="6"/>
      <c r="C756" s="6"/>
      <c r="D756" s="6"/>
      <c r="E756" s="6"/>
      <c r="F756" s="40"/>
      <c r="G756" s="41"/>
      <c r="H756" s="35" t="str">
        <f aca="false">IF($B756="","",N($F756)*N($G756))</f>
        <v/>
      </c>
      <c r="I756" s="35" t="str">
        <f aca="false">IF($B756="","",N($F756)+$H756)</f>
        <v/>
      </c>
      <c r="J756" s="6"/>
      <c r="K756" s="46" t="str">
        <f aca="false">IF($A756="","",DATE(YEAR($A756),MONTH($A756),1))</f>
        <v/>
      </c>
    </row>
    <row r="757" customFormat="false" ht="15" hidden="false" customHeight="false" outlineLevel="0" collapsed="false">
      <c r="A757" s="44"/>
      <c r="B757" s="6"/>
      <c r="C757" s="6"/>
      <c r="D757" s="6"/>
      <c r="E757" s="6"/>
      <c r="F757" s="40"/>
      <c r="G757" s="41"/>
      <c r="H757" s="35" t="str">
        <f aca="false">IF($B757="","",N($F757)*N($G757))</f>
        <v/>
      </c>
      <c r="I757" s="35" t="str">
        <f aca="false">IF($B757="","",N($F757)+$H757)</f>
        <v/>
      </c>
      <c r="J757" s="6"/>
      <c r="K757" s="46" t="str">
        <f aca="false">IF($A757="","",DATE(YEAR($A757),MONTH($A757),1))</f>
        <v/>
      </c>
    </row>
    <row r="758" customFormat="false" ht="15" hidden="false" customHeight="false" outlineLevel="0" collapsed="false">
      <c r="A758" s="44"/>
      <c r="B758" s="6"/>
      <c r="C758" s="6"/>
      <c r="D758" s="6"/>
      <c r="E758" s="6"/>
      <c r="F758" s="40"/>
      <c r="G758" s="41"/>
      <c r="H758" s="35" t="str">
        <f aca="false">IF($B758="","",N($F758)*N($G758))</f>
        <v/>
      </c>
      <c r="I758" s="35" t="str">
        <f aca="false">IF($B758="","",N($F758)+$H758)</f>
        <v/>
      </c>
      <c r="J758" s="6"/>
      <c r="K758" s="46" t="str">
        <f aca="false">IF($A758="","",DATE(YEAR($A758),MONTH($A758),1))</f>
        <v/>
      </c>
    </row>
    <row r="759" customFormat="false" ht="15" hidden="false" customHeight="false" outlineLevel="0" collapsed="false">
      <c r="A759" s="44"/>
      <c r="B759" s="6"/>
      <c r="C759" s="6"/>
      <c r="D759" s="6"/>
      <c r="E759" s="6"/>
      <c r="F759" s="40"/>
      <c r="G759" s="41"/>
      <c r="H759" s="35" t="str">
        <f aca="false">IF($B759="","",N($F759)*N($G759))</f>
        <v/>
      </c>
      <c r="I759" s="35" t="str">
        <f aca="false">IF($B759="","",N($F759)+$H759)</f>
        <v/>
      </c>
      <c r="J759" s="6"/>
      <c r="K759" s="46" t="str">
        <f aca="false">IF($A759="","",DATE(YEAR($A759),MONTH($A759),1))</f>
        <v/>
      </c>
    </row>
    <row r="760" customFormat="false" ht="15" hidden="false" customHeight="false" outlineLevel="0" collapsed="false">
      <c r="A760" s="44"/>
      <c r="B760" s="6"/>
      <c r="C760" s="6"/>
      <c r="D760" s="6"/>
      <c r="E760" s="6"/>
      <c r="F760" s="40"/>
      <c r="G760" s="41"/>
      <c r="H760" s="35" t="str">
        <f aca="false">IF($B760="","",N($F760)*N($G760))</f>
        <v/>
      </c>
      <c r="I760" s="35" t="str">
        <f aca="false">IF($B760="","",N($F760)+$H760)</f>
        <v/>
      </c>
      <c r="J760" s="6"/>
      <c r="K760" s="46" t="str">
        <f aca="false">IF($A760="","",DATE(YEAR($A760),MONTH($A760),1))</f>
        <v/>
      </c>
    </row>
    <row r="761" customFormat="false" ht="15" hidden="false" customHeight="false" outlineLevel="0" collapsed="false">
      <c r="A761" s="44"/>
      <c r="B761" s="6"/>
      <c r="C761" s="6"/>
      <c r="D761" s="6"/>
      <c r="E761" s="6"/>
      <c r="F761" s="40"/>
      <c r="G761" s="41"/>
      <c r="H761" s="35" t="str">
        <f aca="false">IF($B761="","",N($F761)*N($G761))</f>
        <v/>
      </c>
      <c r="I761" s="35" t="str">
        <f aca="false">IF($B761="","",N($F761)+$H761)</f>
        <v/>
      </c>
      <c r="J761" s="6"/>
      <c r="K761" s="46" t="str">
        <f aca="false">IF($A761="","",DATE(YEAR($A761),MONTH($A761),1))</f>
        <v/>
      </c>
    </row>
    <row r="762" customFormat="false" ht="15" hidden="false" customHeight="false" outlineLevel="0" collapsed="false">
      <c r="A762" s="44"/>
      <c r="B762" s="6"/>
      <c r="C762" s="6"/>
      <c r="D762" s="6"/>
      <c r="E762" s="6"/>
      <c r="F762" s="40"/>
      <c r="G762" s="41"/>
      <c r="H762" s="35" t="str">
        <f aca="false">IF($B762="","",N($F762)*N($G762))</f>
        <v/>
      </c>
      <c r="I762" s="35" t="str">
        <f aca="false">IF($B762="","",N($F762)+$H762)</f>
        <v/>
      </c>
      <c r="J762" s="6"/>
      <c r="K762" s="46" t="str">
        <f aca="false">IF($A762="","",DATE(YEAR($A762),MONTH($A762),1))</f>
        <v/>
      </c>
    </row>
    <row r="763" customFormat="false" ht="15" hidden="false" customHeight="false" outlineLevel="0" collapsed="false">
      <c r="A763" s="44"/>
      <c r="B763" s="6"/>
      <c r="C763" s="6"/>
      <c r="D763" s="6"/>
      <c r="E763" s="6"/>
      <c r="F763" s="40"/>
      <c r="G763" s="41"/>
      <c r="H763" s="35" t="str">
        <f aca="false">IF($B763="","",N($F763)*N($G763))</f>
        <v/>
      </c>
      <c r="I763" s="35" t="str">
        <f aca="false">IF($B763="","",N($F763)+$H763)</f>
        <v/>
      </c>
      <c r="J763" s="6"/>
      <c r="K763" s="46" t="str">
        <f aca="false">IF($A763="","",DATE(YEAR($A763),MONTH($A763),1))</f>
        <v/>
      </c>
    </row>
    <row r="764" customFormat="false" ht="15" hidden="false" customHeight="false" outlineLevel="0" collapsed="false">
      <c r="A764" s="44"/>
      <c r="B764" s="6"/>
      <c r="C764" s="6"/>
      <c r="D764" s="6"/>
      <c r="E764" s="6"/>
      <c r="F764" s="40"/>
      <c r="G764" s="41"/>
      <c r="H764" s="35" t="str">
        <f aca="false">IF($B764="","",N($F764)*N($G764))</f>
        <v/>
      </c>
      <c r="I764" s="35" t="str">
        <f aca="false">IF($B764="","",N($F764)+$H764)</f>
        <v/>
      </c>
      <c r="J764" s="6"/>
      <c r="K764" s="46" t="str">
        <f aca="false">IF($A764="","",DATE(YEAR($A764),MONTH($A764),1))</f>
        <v/>
      </c>
    </row>
    <row r="765" customFormat="false" ht="15" hidden="false" customHeight="false" outlineLevel="0" collapsed="false">
      <c r="A765" s="44"/>
      <c r="B765" s="6"/>
      <c r="C765" s="6"/>
      <c r="D765" s="6"/>
      <c r="E765" s="6"/>
      <c r="F765" s="40"/>
      <c r="G765" s="41"/>
      <c r="H765" s="35" t="str">
        <f aca="false">IF($B765="","",N($F765)*N($G765))</f>
        <v/>
      </c>
      <c r="I765" s="35" t="str">
        <f aca="false">IF($B765="","",N($F765)+$H765)</f>
        <v/>
      </c>
      <c r="J765" s="6"/>
      <c r="K765" s="46" t="str">
        <f aca="false">IF($A765="","",DATE(YEAR($A765),MONTH($A765),1))</f>
        <v/>
      </c>
    </row>
    <row r="766" customFormat="false" ht="15" hidden="false" customHeight="false" outlineLevel="0" collapsed="false">
      <c r="A766" s="44"/>
      <c r="B766" s="6"/>
      <c r="C766" s="6"/>
      <c r="D766" s="6"/>
      <c r="E766" s="6"/>
      <c r="F766" s="40"/>
      <c r="G766" s="41"/>
      <c r="H766" s="35" t="str">
        <f aca="false">IF($B766="","",N($F766)*N($G766))</f>
        <v/>
      </c>
      <c r="I766" s="35" t="str">
        <f aca="false">IF($B766="","",N($F766)+$H766)</f>
        <v/>
      </c>
      <c r="J766" s="6"/>
      <c r="K766" s="46" t="str">
        <f aca="false">IF($A766="","",DATE(YEAR($A766),MONTH($A766),1))</f>
        <v/>
      </c>
    </row>
    <row r="767" customFormat="false" ht="15" hidden="false" customHeight="false" outlineLevel="0" collapsed="false">
      <c r="A767" s="44"/>
      <c r="B767" s="6"/>
      <c r="C767" s="6"/>
      <c r="D767" s="6"/>
      <c r="E767" s="6"/>
      <c r="F767" s="40"/>
      <c r="G767" s="41"/>
      <c r="H767" s="35" t="str">
        <f aca="false">IF($B767="","",N($F767)*N($G767))</f>
        <v/>
      </c>
      <c r="I767" s="35" t="str">
        <f aca="false">IF($B767="","",N($F767)+$H767)</f>
        <v/>
      </c>
      <c r="J767" s="6"/>
      <c r="K767" s="46" t="str">
        <f aca="false">IF($A767="","",DATE(YEAR($A767),MONTH($A767),1))</f>
        <v/>
      </c>
    </row>
    <row r="768" customFormat="false" ht="15" hidden="false" customHeight="false" outlineLevel="0" collapsed="false">
      <c r="A768" s="44"/>
      <c r="B768" s="6"/>
      <c r="C768" s="6"/>
      <c r="D768" s="6"/>
      <c r="E768" s="6"/>
      <c r="F768" s="40"/>
      <c r="G768" s="41"/>
      <c r="H768" s="35" t="str">
        <f aca="false">IF($B768="","",N($F768)*N($G768))</f>
        <v/>
      </c>
      <c r="I768" s="35" t="str">
        <f aca="false">IF($B768="","",N($F768)+$H768)</f>
        <v/>
      </c>
      <c r="J768" s="6"/>
      <c r="K768" s="46" t="str">
        <f aca="false">IF($A768="","",DATE(YEAR($A768),MONTH($A768),1))</f>
        <v/>
      </c>
    </row>
    <row r="769" customFormat="false" ht="15" hidden="false" customHeight="false" outlineLevel="0" collapsed="false">
      <c r="A769" s="44"/>
      <c r="B769" s="6"/>
      <c r="C769" s="6"/>
      <c r="D769" s="6"/>
      <c r="E769" s="6"/>
      <c r="F769" s="40"/>
      <c r="G769" s="41"/>
      <c r="H769" s="35" t="str">
        <f aca="false">IF($B769="","",N($F769)*N($G769))</f>
        <v/>
      </c>
      <c r="I769" s="35" t="str">
        <f aca="false">IF($B769="","",N($F769)+$H769)</f>
        <v/>
      </c>
      <c r="J769" s="6"/>
      <c r="K769" s="46" t="str">
        <f aca="false">IF($A769="","",DATE(YEAR($A769),MONTH($A769),1))</f>
        <v/>
      </c>
    </row>
    <row r="770" customFormat="false" ht="15" hidden="false" customHeight="false" outlineLevel="0" collapsed="false">
      <c r="A770" s="44"/>
      <c r="B770" s="6"/>
      <c r="C770" s="6"/>
      <c r="D770" s="6"/>
      <c r="E770" s="6"/>
      <c r="F770" s="40"/>
      <c r="G770" s="41"/>
      <c r="H770" s="35" t="str">
        <f aca="false">IF($B770="","",N($F770)*N($G770))</f>
        <v/>
      </c>
      <c r="I770" s="35" t="str">
        <f aca="false">IF($B770="","",N($F770)+$H770)</f>
        <v/>
      </c>
      <c r="J770" s="6"/>
      <c r="K770" s="46" t="str">
        <f aca="false">IF($A770="","",DATE(YEAR($A770),MONTH($A770),1))</f>
        <v/>
      </c>
    </row>
    <row r="771" customFormat="false" ht="15" hidden="false" customHeight="false" outlineLevel="0" collapsed="false">
      <c r="A771" s="44"/>
      <c r="B771" s="6"/>
      <c r="C771" s="6"/>
      <c r="D771" s="6"/>
      <c r="E771" s="6"/>
      <c r="F771" s="40"/>
      <c r="G771" s="41"/>
      <c r="H771" s="35" t="str">
        <f aca="false">IF($B771="","",N($F771)*N($G771))</f>
        <v/>
      </c>
      <c r="I771" s="35" t="str">
        <f aca="false">IF($B771="","",N($F771)+$H771)</f>
        <v/>
      </c>
      <c r="J771" s="6"/>
      <c r="K771" s="46" t="str">
        <f aca="false">IF($A771="","",DATE(YEAR($A771),MONTH($A771),1))</f>
        <v/>
      </c>
    </row>
    <row r="772" customFormat="false" ht="15" hidden="false" customHeight="false" outlineLevel="0" collapsed="false">
      <c r="A772" s="44"/>
      <c r="B772" s="6"/>
      <c r="C772" s="6"/>
      <c r="D772" s="6"/>
      <c r="E772" s="6"/>
      <c r="F772" s="40"/>
      <c r="G772" s="41"/>
      <c r="H772" s="35" t="str">
        <f aca="false">IF($B772="","",N($F772)*N($G772))</f>
        <v/>
      </c>
      <c r="I772" s="35" t="str">
        <f aca="false">IF($B772="","",N($F772)+$H772)</f>
        <v/>
      </c>
      <c r="J772" s="6"/>
      <c r="K772" s="46" t="str">
        <f aca="false">IF($A772="","",DATE(YEAR($A772),MONTH($A772),1))</f>
        <v/>
      </c>
    </row>
    <row r="773" customFormat="false" ht="15" hidden="false" customHeight="false" outlineLevel="0" collapsed="false">
      <c r="A773" s="44"/>
      <c r="B773" s="6"/>
      <c r="C773" s="6"/>
      <c r="D773" s="6"/>
      <c r="E773" s="6"/>
      <c r="F773" s="40"/>
      <c r="G773" s="41"/>
      <c r="H773" s="35" t="str">
        <f aca="false">IF($B773="","",N($F773)*N($G773))</f>
        <v/>
      </c>
      <c r="I773" s="35" t="str">
        <f aca="false">IF($B773="","",N($F773)+$H773)</f>
        <v/>
      </c>
      <c r="J773" s="6"/>
      <c r="K773" s="46" t="str">
        <f aca="false">IF($A773="","",DATE(YEAR($A773),MONTH($A773),1))</f>
        <v/>
      </c>
    </row>
    <row r="774" customFormat="false" ht="15" hidden="false" customHeight="false" outlineLevel="0" collapsed="false">
      <c r="A774" s="44"/>
      <c r="B774" s="6"/>
      <c r="C774" s="6"/>
      <c r="D774" s="6"/>
      <c r="E774" s="6"/>
      <c r="F774" s="40"/>
      <c r="G774" s="41"/>
      <c r="H774" s="35" t="str">
        <f aca="false">IF($B774="","",N($F774)*N($G774))</f>
        <v/>
      </c>
      <c r="I774" s="35" t="str">
        <f aca="false">IF($B774="","",N($F774)+$H774)</f>
        <v/>
      </c>
      <c r="J774" s="6"/>
      <c r="K774" s="46" t="str">
        <f aca="false">IF($A774="","",DATE(YEAR($A774),MONTH($A774),1))</f>
        <v/>
      </c>
    </row>
    <row r="775" customFormat="false" ht="15" hidden="false" customHeight="false" outlineLevel="0" collapsed="false">
      <c r="A775" s="44"/>
      <c r="B775" s="6"/>
      <c r="C775" s="6"/>
      <c r="D775" s="6"/>
      <c r="E775" s="6"/>
      <c r="F775" s="40"/>
      <c r="G775" s="41"/>
      <c r="H775" s="35" t="str">
        <f aca="false">IF($B775="","",N($F775)*N($G775))</f>
        <v/>
      </c>
      <c r="I775" s="35" t="str">
        <f aca="false">IF($B775="","",N($F775)+$H775)</f>
        <v/>
      </c>
      <c r="J775" s="6"/>
      <c r="K775" s="46" t="str">
        <f aca="false">IF($A775="","",DATE(YEAR($A775),MONTH($A775),1))</f>
        <v/>
      </c>
    </row>
    <row r="776" customFormat="false" ht="15" hidden="false" customHeight="false" outlineLevel="0" collapsed="false">
      <c r="A776" s="44"/>
      <c r="B776" s="6"/>
      <c r="C776" s="6"/>
      <c r="D776" s="6"/>
      <c r="E776" s="6"/>
      <c r="F776" s="40"/>
      <c r="G776" s="41"/>
      <c r="H776" s="35" t="str">
        <f aca="false">IF($B776="","",N($F776)*N($G776))</f>
        <v/>
      </c>
      <c r="I776" s="35" t="str">
        <f aca="false">IF($B776="","",N($F776)+$H776)</f>
        <v/>
      </c>
      <c r="J776" s="6"/>
      <c r="K776" s="46" t="str">
        <f aca="false">IF($A776="","",DATE(YEAR($A776),MONTH($A776),1))</f>
        <v/>
      </c>
    </row>
    <row r="777" customFormat="false" ht="15" hidden="false" customHeight="false" outlineLevel="0" collapsed="false">
      <c r="A777" s="44"/>
      <c r="B777" s="6"/>
      <c r="C777" s="6"/>
      <c r="D777" s="6"/>
      <c r="E777" s="6"/>
      <c r="F777" s="40"/>
      <c r="G777" s="41"/>
      <c r="H777" s="35" t="str">
        <f aca="false">IF($B777="","",N($F777)*N($G777))</f>
        <v/>
      </c>
      <c r="I777" s="35" t="str">
        <f aca="false">IF($B777="","",N($F777)+$H777)</f>
        <v/>
      </c>
      <c r="J777" s="6"/>
      <c r="K777" s="46" t="str">
        <f aca="false">IF($A777="","",DATE(YEAR($A777),MONTH($A777),1))</f>
        <v/>
      </c>
    </row>
    <row r="778" customFormat="false" ht="15" hidden="false" customHeight="false" outlineLevel="0" collapsed="false">
      <c r="A778" s="44"/>
      <c r="B778" s="6"/>
      <c r="C778" s="6"/>
      <c r="D778" s="6"/>
      <c r="E778" s="6"/>
      <c r="F778" s="40"/>
      <c r="G778" s="41"/>
      <c r="H778" s="35" t="str">
        <f aca="false">IF($B778="","",N($F778)*N($G778))</f>
        <v/>
      </c>
      <c r="I778" s="35" t="str">
        <f aca="false">IF($B778="","",N($F778)+$H778)</f>
        <v/>
      </c>
      <c r="J778" s="6"/>
      <c r="K778" s="46" t="str">
        <f aca="false">IF($A778="","",DATE(YEAR($A778),MONTH($A778),1))</f>
        <v/>
      </c>
    </row>
    <row r="779" customFormat="false" ht="15" hidden="false" customHeight="false" outlineLevel="0" collapsed="false">
      <c r="A779" s="44"/>
      <c r="B779" s="6"/>
      <c r="C779" s="6"/>
      <c r="D779" s="6"/>
      <c r="E779" s="6"/>
      <c r="F779" s="40"/>
      <c r="G779" s="41"/>
      <c r="H779" s="35" t="str">
        <f aca="false">IF($B779="","",N($F779)*N($G779))</f>
        <v/>
      </c>
      <c r="I779" s="35" t="str">
        <f aca="false">IF($B779="","",N($F779)+$H779)</f>
        <v/>
      </c>
      <c r="J779" s="6"/>
      <c r="K779" s="46" t="str">
        <f aca="false">IF($A779="","",DATE(YEAR($A779),MONTH($A779),1))</f>
        <v/>
      </c>
    </row>
    <row r="780" customFormat="false" ht="15" hidden="false" customHeight="false" outlineLevel="0" collapsed="false">
      <c r="A780" s="44"/>
      <c r="B780" s="6"/>
      <c r="C780" s="6"/>
      <c r="D780" s="6"/>
      <c r="E780" s="6"/>
      <c r="F780" s="40"/>
      <c r="G780" s="41"/>
      <c r="H780" s="35" t="str">
        <f aca="false">IF($B780="","",N($F780)*N($G780))</f>
        <v/>
      </c>
      <c r="I780" s="35" t="str">
        <f aca="false">IF($B780="","",N($F780)+$H780)</f>
        <v/>
      </c>
      <c r="J780" s="6"/>
      <c r="K780" s="46" t="str">
        <f aca="false">IF($A780="","",DATE(YEAR($A780),MONTH($A780),1))</f>
        <v/>
      </c>
    </row>
    <row r="781" customFormat="false" ht="15" hidden="false" customHeight="false" outlineLevel="0" collapsed="false">
      <c r="A781" s="44"/>
      <c r="B781" s="6"/>
      <c r="C781" s="6"/>
      <c r="D781" s="6"/>
      <c r="E781" s="6"/>
      <c r="F781" s="40"/>
      <c r="G781" s="41"/>
      <c r="H781" s="35" t="str">
        <f aca="false">IF($B781="","",N($F781)*N($G781))</f>
        <v/>
      </c>
      <c r="I781" s="35" t="str">
        <f aca="false">IF($B781="","",N($F781)+$H781)</f>
        <v/>
      </c>
      <c r="J781" s="6"/>
      <c r="K781" s="46" t="str">
        <f aca="false">IF($A781="","",DATE(YEAR($A781),MONTH($A781),1))</f>
        <v/>
      </c>
    </row>
    <row r="782" customFormat="false" ht="15" hidden="false" customHeight="false" outlineLevel="0" collapsed="false">
      <c r="A782" s="44"/>
      <c r="B782" s="6"/>
      <c r="C782" s="6"/>
      <c r="D782" s="6"/>
      <c r="E782" s="6"/>
      <c r="F782" s="40"/>
      <c r="G782" s="41"/>
      <c r="H782" s="35" t="str">
        <f aca="false">IF($B782="","",N($F782)*N($G782))</f>
        <v/>
      </c>
      <c r="I782" s="35" t="str">
        <f aca="false">IF($B782="","",N($F782)+$H782)</f>
        <v/>
      </c>
      <c r="J782" s="6"/>
      <c r="K782" s="46" t="str">
        <f aca="false">IF($A782="","",DATE(YEAR($A782),MONTH($A782),1))</f>
        <v/>
      </c>
    </row>
    <row r="783" customFormat="false" ht="15" hidden="false" customHeight="false" outlineLevel="0" collapsed="false">
      <c r="A783" s="44"/>
      <c r="B783" s="6"/>
      <c r="C783" s="6"/>
      <c r="D783" s="6"/>
      <c r="E783" s="6"/>
      <c r="F783" s="40"/>
      <c r="G783" s="41"/>
      <c r="H783" s="35" t="str">
        <f aca="false">IF($B783="","",N($F783)*N($G783))</f>
        <v/>
      </c>
      <c r="I783" s="35" t="str">
        <f aca="false">IF($B783="","",N($F783)+$H783)</f>
        <v/>
      </c>
      <c r="J783" s="6"/>
      <c r="K783" s="46" t="str">
        <f aca="false">IF($A783="","",DATE(YEAR($A783),MONTH($A783),1))</f>
        <v/>
      </c>
    </row>
    <row r="784" customFormat="false" ht="15" hidden="false" customHeight="false" outlineLevel="0" collapsed="false">
      <c r="A784" s="44"/>
      <c r="B784" s="6"/>
      <c r="C784" s="6"/>
      <c r="D784" s="6"/>
      <c r="E784" s="6"/>
      <c r="F784" s="40"/>
      <c r="G784" s="41"/>
      <c r="H784" s="35" t="str">
        <f aca="false">IF($B784="","",N($F784)*N($G784))</f>
        <v/>
      </c>
      <c r="I784" s="35" t="str">
        <f aca="false">IF($B784="","",N($F784)+$H784)</f>
        <v/>
      </c>
      <c r="J784" s="6"/>
      <c r="K784" s="46" t="str">
        <f aca="false">IF($A784="","",DATE(YEAR($A784),MONTH($A784),1))</f>
        <v/>
      </c>
    </row>
    <row r="785" customFormat="false" ht="15" hidden="false" customHeight="false" outlineLevel="0" collapsed="false">
      <c r="A785" s="44"/>
      <c r="B785" s="6"/>
      <c r="C785" s="6"/>
      <c r="D785" s="6"/>
      <c r="E785" s="6"/>
      <c r="F785" s="40"/>
      <c r="G785" s="41"/>
      <c r="H785" s="35" t="str">
        <f aca="false">IF($B785="","",N($F785)*N($G785))</f>
        <v/>
      </c>
      <c r="I785" s="35" t="str">
        <f aca="false">IF($B785="","",N($F785)+$H785)</f>
        <v/>
      </c>
      <c r="J785" s="6"/>
      <c r="K785" s="46" t="str">
        <f aca="false">IF($A785="","",DATE(YEAR($A785),MONTH($A785),1))</f>
        <v/>
      </c>
    </row>
    <row r="786" customFormat="false" ht="15" hidden="false" customHeight="false" outlineLevel="0" collapsed="false">
      <c r="A786" s="44"/>
      <c r="B786" s="6"/>
      <c r="C786" s="6"/>
      <c r="D786" s="6"/>
      <c r="E786" s="6"/>
      <c r="F786" s="40"/>
      <c r="G786" s="41"/>
      <c r="H786" s="35" t="str">
        <f aca="false">IF($B786="","",N($F786)*N($G786))</f>
        <v/>
      </c>
      <c r="I786" s="35" t="str">
        <f aca="false">IF($B786="","",N($F786)+$H786)</f>
        <v/>
      </c>
      <c r="J786" s="6"/>
      <c r="K786" s="46" t="str">
        <f aca="false">IF($A786="","",DATE(YEAR($A786),MONTH($A786),1))</f>
        <v/>
      </c>
    </row>
    <row r="787" customFormat="false" ht="15" hidden="false" customHeight="false" outlineLevel="0" collapsed="false">
      <c r="A787" s="44"/>
      <c r="B787" s="6"/>
      <c r="C787" s="6"/>
      <c r="D787" s="6"/>
      <c r="E787" s="6"/>
      <c r="F787" s="40"/>
      <c r="G787" s="41"/>
      <c r="H787" s="35" t="str">
        <f aca="false">IF($B787="","",N($F787)*N($G787))</f>
        <v/>
      </c>
      <c r="I787" s="35" t="str">
        <f aca="false">IF($B787="","",N($F787)+$H787)</f>
        <v/>
      </c>
      <c r="J787" s="6"/>
      <c r="K787" s="46" t="str">
        <f aca="false">IF($A787="","",DATE(YEAR($A787),MONTH($A787),1))</f>
        <v/>
      </c>
    </row>
    <row r="788" customFormat="false" ht="15" hidden="false" customHeight="false" outlineLevel="0" collapsed="false">
      <c r="A788" s="44"/>
      <c r="B788" s="6"/>
      <c r="C788" s="6"/>
      <c r="D788" s="6"/>
      <c r="E788" s="6"/>
      <c r="F788" s="40"/>
      <c r="G788" s="41"/>
      <c r="H788" s="35" t="str">
        <f aca="false">IF($B788="","",N($F788)*N($G788))</f>
        <v/>
      </c>
      <c r="I788" s="35" t="str">
        <f aca="false">IF($B788="","",N($F788)+$H788)</f>
        <v/>
      </c>
      <c r="J788" s="6"/>
      <c r="K788" s="46" t="str">
        <f aca="false">IF($A788="","",DATE(YEAR($A788),MONTH($A788),1))</f>
        <v/>
      </c>
    </row>
    <row r="789" customFormat="false" ht="15" hidden="false" customHeight="false" outlineLevel="0" collapsed="false">
      <c r="A789" s="44"/>
      <c r="B789" s="6"/>
      <c r="C789" s="6"/>
      <c r="D789" s="6"/>
      <c r="E789" s="6"/>
      <c r="F789" s="40"/>
      <c r="G789" s="41"/>
      <c r="H789" s="35" t="str">
        <f aca="false">IF($B789="","",N($F789)*N($G789))</f>
        <v/>
      </c>
      <c r="I789" s="35" t="str">
        <f aca="false">IF($B789="","",N($F789)+$H789)</f>
        <v/>
      </c>
      <c r="J789" s="6"/>
      <c r="K789" s="46" t="str">
        <f aca="false">IF($A789="","",DATE(YEAR($A789),MONTH($A789),1))</f>
        <v/>
      </c>
    </row>
    <row r="790" customFormat="false" ht="15" hidden="false" customHeight="false" outlineLevel="0" collapsed="false">
      <c r="A790" s="44"/>
      <c r="B790" s="6"/>
      <c r="C790" s="6"/>
      <c r="D790" s="6"/>
      <c r="E790" s="6"/>
      <c r="F790" s="40"/>
      <c r="G790" s="41"/>
      <c r="H790" s="35" t="str">
        <f aca="false">IF($B790="","",N($F790)*N($G790))</f>
        <v/>
      </c>
      <c r="I790" s="35" t="str">
        <f aca="false">IF($B790="","",N($F790)+$H790)</f>
        <v/>
      </c>
      <c r="J790" s="6"/>
      <c r="K790" s="46" t="str">
        <f aca="false">IF($A790="","",DATE(YEAR($A790),MONTH($A790),1))</f>
        <v/>
      </c>
    </row>
    <row r="791" customFormat="false" ht="15" hidden="false" customHeight="false" outlineLevel="0" collapsed="false">
      <c r="A791" s="44"/>
      <c r="B791" s="6"/>
      <c r="C791" s="6"/>
      <c r="D791" s="6"/>
      <c r="E791" s="6"/>
      <c r="F791" s="40"/>
      <c r="G791" s="41"/>
      <c r="H791" s="35" t="str">
        <f aca="false">IF($B791="","",N($F791)*N($G791))</f>
        <v/>
      </c>
      <c r="I791" s="35" t="str">
        <f aca="false">IF($B791="","",N($F791)+$H791)</f>
        <v/>
      </c>
      <c r="J791" s="6"/>
      <c r="K791" s="46" t="str">
        <f aca="false">IF($A791="","",DATE(YEAR($A791),MONTH($A791),1))</f>
        <v/>
      </c>
    </row>
    <row r="792" customFormat="false" ht="15" hidden="false" customHeight="false" outlineLevel="0" collapsed="false">
      <c r="A792" s="44"/>
      <c r="B792" s="6"/>
      <c r="C792" s="6"/>
      <c r="D792" s="6"/>
      <c r="E792" s="6"/>
      <c r="F792" s="40"/>
      <c r="G792" s="41"/>
      <c r="H792" s="35" t="str">
        <f aca="false">IF($B792="","",N($F792)*N($G792))</f>
        <v/>
      </c>
      <c r="I792" s="35" t="str">
        <f aca="false">IF($B792="","",N($F792)+$H792)</f>
        <v/>
      </c>
      <c r="J792" s="6"/>
      <c r="K792" s="46" t="str">
        <f aca="false">IF($A792="","",DATE(YEAR($A792),MONTH($A792),1))</f>
        <v/>
      </c>
    </row>
    <row r="793" customFormat="false" ht="15" hidden="false" customHeight="false" outlineLevel="0" collapsed="false">
      <c r="A793" s="44"/>
      <c r="B793" s="6"/>
      <c r="C793" s="6"/>
      <c r="D793" s="6"/>
      <c r="E793" s="6"/>
      <c r="F793" s="40"/>
      <c r="G793" s="41"/>
      <c r="H793" s="35" t="str">
        <f aca="false">IF($B793="","",N($F793)*N($G793))</f>
        <v/>
      </c>
      <c r="I793" s="35" t="str">
        <f aca="false">IF($B793="","",N($F793)+$H793)</f>
        <v/>
      </c>
      <c r="J793" s="6"/>
      <c r="K793" s="46" t="str">
        <f aca="false">IF($A793="","",DATE(YEAR($A793),MONTH($A793),1))</f>
        <v/>
      </c>
    </row>
    <row r="794" customFormat="false" ht="15" hidden="false" customHeight="false" outlineLevel="0" collapsed="false">
      <c r="A794" s="44"/>
      <c r="B794" s="6"/>
      <c r="C794" s="6"/>
      <c r="D794" s="6"/>
      <c r="E794" s="6"/>
      <c r="F794" s="40"/>
      <c r="G794" s="41"/>
      <c r="H794" s="35" t="str">
        <f aca="false">IF($B794="","",N($F794)*N($G794))</f>
        <v/>
      </c>
      <c r="I794" s="35" t="str">
        <f aca="false">IF($B794="","",N($F794)+$H794)</f>
        <v/>
      </c>
      <c r="J794" s="6"/>
      <c r="K794" s="46" t="str">
        <f aca="false">IF($A794="","",DATE(YEAR($A794),MONTH($A794),1))</f>
        <v/>
      </c>
    </row>
    <row r="795" customFormat="false" ht="15" hidden="false" customHeight="false" outlineLevel="0" collapsed="false">
      <c r="A795" s="44"/>
      <c r="B795" s="6"/>
      <c r="C795" s="6"/>
      <c r="D795" s="6"/>
      <c r="E795" s="6"/>
      <c r="F795" s="40"/>
      <c r="G795" s="41"/>
      <c r="H795" s="35" t="str">
        <f aca="false">IF($B795="","",N($F795)*N($G795))</f>
        <v/>
      </c>
      <c r="I795" s="35" t="str">
        <f aca="false">IF($B795="","",N($F795)+$H795)</f>
        <v/>
      </c>
      <c r="J795" s="6"/>
      <c r="K795" s="46" t="str">
        <f aca="false">IF($A795="","",DATE(YEAR($A795),MONTH($A795),1))</f>
        <v/>
      </c>
    </row>
    <row r="796" customFormat="false" ht="15" hidden="false" customHeight="false" outlineLevel="0" collapsed="false">
      <c r="A796" s="44"/>
      <c r="B796" s="6"/>
      <c r="C796" s="6"/>
      <c r="D796" s="6"/>
      <c r="E796" s="6"/>
      <c r="F796" s="40"/>
      <c r="G796" s="41"/>
      <c r="H796" s="35" t="str">
        <f aca="false">IF($B796="","",N($F796)*N($G796))</f>
        <v/>
      </c>
      <c r="I796" s="35" t="str">
        <f aca="false">IF($B796="","",N($F796)+$H796)</f>
        <v/>
      </c>
      <c r="J796" s="6"/>
      <c r="K796" s="46" t="str">
        <f aca="false">IF($A796="","",DATE(YEAR($A796),MONTH($A796),1))</f>
        <v/>
      </c>
    </row>
    <row r="797" customFormat="false" ht="15" hidden="false" customHeight="false" outlineLevel="0" collapsed="false">
      <c r="A797" s="44"/>
      <c r="B797" s="6"/>
      <c r="C797" s="6"/>
      <c r="D797" s="6"/>
      <c r="E797" s="6"/>
      <c r="F797" s="40"/>
      <c r="G797" s="41"/>
      <c r="H797" s="35" t="str">
        <f aca="false">IF($B797="","",N($F797)*N($G797))</f>
        <v/>
      </c>
      <c r="I797" s="35" t="str">
        <f aca="false">IF($B797="","",N($F797)+$H797)</f>
        <v/>
      </c>
      <c r="J797" s="6"/>
      <c r="K797" s="46" t="str">
        <f aca="false">IF($A797="","",DATE(YEAR($A797),MONTH($A797),1))</f>
        <v/>
      </c>
    </row>
    <row r="798" customFormat="false" ht="15" hidden="false" customHeight="false" outlineLevel="0" collapsed="false">
      <c r="A798" s="44"/>
      <c r="B798" s="6"/>
      <c r="C798" s="6"/>
      <c r="D798" s="6"/>
      <c r="E798" s="6"/>
      <c r="F798" s="40"/>
      <c r="G798" s="41"/>
      <c r="H798" s="35" t="str">
        <f aca="false">IF($B798="","",N($F798)*N($G798))</f>
        <v/>
      </c>
      <c r="I798" s="35" t="str">
        <f aca="false">IF($B798="","",N($F798)+$H798)</f>
        <v/>
      </c>
      <c r="J798" s="6"/>
      <c r="K798" s="46" t="str">
        <f aca="false">IF($A798="","",DATE(YEAR($A798),MONTH($A798),1))</f>
        <v/>
      </c>
    </row>
    <row r="799" customFormat="false" ht="15" hidden="false" customHeight="false" outlineLevel="0" collapsed="false">
      <c r="A799" s="44"/>
      <c r="B799" s="6"/>
      <c r="C799" s="6"/>
      <c r="D799" s="6"/>
      <c r="E799" s="6"/>
      <c r="F799" s="40"/>
      <c r="G799" s="41"/>
      <c r="H799" s="35" t="str">
        <f aca="false">IF($B799="","",N($F799)*N($G799))</f>
        <v/>
      </c>
      <c r="I799" s="35" t="str">
        <f aca="false">IF($B799="","",N($F799)+$H799)</f>
        <v/>
      </c>
      <c r="J799" s="6"/>
      <c r="K799" s="46" t="str">
        <f aca="false">IF($A799="","",DATE(YEAR($A799),MONTH($A799),1))</f>
        <v/>
      </c>
    </row>
    <row r="800" customFormat="false" ht="15" hidden="false" customHeight="false" outlineLevel="0" collapsed="false">
      <c r="A800" s="44"/>
      <c r="B800" s="6"/>
      <c r="C800" s="6"/>
      <c r="D800" s="6"/>
      <c r="E800" s="6"/>
      <c r="F800" s="40"/>
      <c r="G800" s="41"/>
      <c r="H800" s="35" t="str">
        <f aca="false">IF($B800="","",N($F800)*N($G800))</f>
        <v/>
      </c>
      <c r="I800" s="35" t="str">
        <f aca="false">IF($B800="","",N($F800)+$H800)</f>
        <v/>
      </c>
      <c r="J800" s="6"/>
      <c r="K800" s="46" t="str">
        <f aca="false">IF($A800="","",DATE(YEAR($A800),MONTH($A800),1))</f>
        <v/>
      </c>
    </row>
    <row r="801" customFormat="false" ht="15" hidden="false" customHeight="false" outlineLevel="0" collapsed="false">
      <c r="A801" s="44"/>
      <c r="B801" s="6"/>
      <c r="C801" s="6"/>
      <c r="D801" s="6"/>
      <c r="E801" s="6"/>
      <c r="F801" s="40"/>
      <c r="G801" s="41"/>
      <c r="H801" s="35" t="str">
        <f aca="false">IF($B801="","",N($F801)*N($G801))</f>
        <v/>
      </c>
      <c r="I801" s="35" t="str">
        <f aca="false">IF($B801="","",N($F801)+$H801)</f>
        <v/>
      </c>
      <c r="J801" s="6"/>
      <c r="K801" s="46" t="str">
        <f aca="false">IF($A801="","",DATE(YEAR($A801),MONTH($A801),1))</f>
        <v/>
      </c>
    </row>
    <row r="802" customFormat="false" ht="15" hidden="false" customHeight="false" outlineLevel="0" collapsed="false">
      <c r="A802" s="44"/>
      <c r="B802" s="6"/>
      <c r="C802" s="6"/>
      <c r="D802" s="6"/>
      <c r="E802" s="6"/>
      <c r="F802" s="40"/>
      <c r="G802" s="41"/>
      <c r="H802" s="35" t="str">
        <f aca="false">IF($B802="","",N($F802)*N($G802))</f>
        <v/>
      </c>
      <c r="I802" s="35" t="str">
        <f aca="false">IF($B802="","",N($F802)+$H802)</f>
        <v/>
      </c>
      <c r="J802" s="6"/>
      <c r="K802" s="46" t="str">
        <f aca="false">IF($A802="","",DATE(YEAR($A802),MONTH($A802),1))</f>
        <v/>
      </c>
    </row>
    <row r="803" customFormat="false" ht="15" hidden="false" customHeight="false" outlineLevel="0" collapsed="false">
      <c r="A803" s="44"/>
      <c r="B803" s="6"/>
      <c r="C803" s="6"/>
      <c r="D803" s="6"/>
      <c r="E803" s="6"/>
      <c r="F803" s="40"/>
      <c r="G803" s="41"/>
      <c r="H803" s="35" t="str">
        <f aca="false">IF($B803="","",N($F803)*N($G803))</f>
        <v/>
      </c>
      <c r="I803" s="35" t="str">
        <f aca="false">IF($B803="","",N($F803)+$H803)</f>
        <v/>
      </c>
      <c r="J803" s="6"/>
      <c r="K803" s="46" t="str">
        <f aca="false">IF($A803="","",DATE(YEAR($A803),MONTH($A803),1))</f>
        <v/>
      </c>
    </row>
    <row r="804" customFormat="false" ht="15" hidden="false" customHeight="false" outlineLevel="0" collapsed="false">
      <c r="A804" s="44"/>
      <c r="B804" s="6"/>
      <c r="C804" s="6"/>
      <c r="D804" s="6"/>
      <c r="E804" s="6"/>
      <c r="F804" s="40"/>
      <c r="G804" s="41"/>
      <c r="H804" s="35" t="str">
        <f aca="false">IF($B804="","",N($F804)*N($G804))</f>
        <v/>
      </c>
      <c r="I804" s="35" t="str">
        <f aca="false">IF($B804="","",N($F804)+$H804)</f>
        <v/>
      </c>
      <c r="J804" s="6"/>
      <c r="K804" s="46" t="str">
        <f aca="false">IF($A804="","",DATE(YEAR($A804),MONTH($A804),1))</f>
        <v/>
      </c>
    </row>
    <row r="805" customFormat="false" ht="15" hidden="false" customHeight="false" outlineLevel="0" collapsed="false">
      <c r="A805" s="44"/>
      <c r="B805" s="6"/>
      <c r="C805" s="6"/>
      <c r="D805" s="6"/>
      <c r="E805" s="6"/>
      <c r="F805" s="40"/>
      <c r="G805" s="41"/>
      <c r="H805" s="35" t="str">
        <f aca="false">IF($B805="","",N($F805)*N($G805))</f>
        <v/>
      </c>
      <c r="I805" s="35" t="str">
        <f aca="false">IF($B805="","",N($F805)+$H805)</f>
        <v/>
      </c>
      <c r="J805" s="6"/>
      <c r="K805" s="46" t="str">
        <f aca="false">IF($A805="","",DATE(YEAR($A805),MONTH($A805),1))</f>
        <v/>
      </c>
    </row>
    <row r="806" customFormat="false" ht="15" hidden="false" customHeight="false" outlineLevel="0" collapsed="false">
      <c r="A806" s="44"/>
      <c r="B806" s="6"/>
      <c r="C806" s="6"/>
      <c r="D806" s="6"/>
      <c r="E806" s="6"/>
      <c r="F806" s="40"/>
      <c r="G806" s="41"/>
      <c r="H806" s="35" t="str">
        <f aca="false">IF($B806="","",N($F806)*N($G806))</f>
        <v/>
      </c>
      <c r="I806" s="35" t="str">
        <f aca="false">IF($B806="","",N($F806)+$H806)</f>
        <v/>
      </c>
      <c r="J806" s="6"/>
      <c r="K806" s="46" t="str">
        <f aca="false">IF($A806="","",DATE(YEAR($A806),MONTH($A806),1))</f>
        <v/>
      </c>
    </row>
    <row r="807" customFormat="false" ht="15" hidden="false" customHeight="false" outlineLevel="0" collapsed="false">
      <c r="A807" s="44"/>
      <c r="B807" s="6"/>
      <c r="C807" s="6"/>
      <c r="D807" s="6"/>
      <c r="E807" s="6"/>
      <c r="F807" s="40"/>
      <c r="G807" s="41"/>
      <c r="H807" s="35" t="str">
        <f aca="false">IF($B807="","",N($F807)*N($G807))</f>
        <v/>
      </c>
      <c r="I807" s="35" t="str">
        <f aca="false">IF($B807="","",N($F807)+$H807)</f>
        <v/>
      </c>
      <c r="J807" s="6"/>
      <c r="K807" s="46" t="str">
        <f aca="false">IF($A807="","",DATE(YEAR($A807),MONTH($A807),1))</f>
        <v/>
      </c>
    </row>
    <row r="808" customFormat="false" ht="15" hidden="false" customHeight="false" outlineLevel="0" collapsed="false">
      <c r="A808" s="44"/>
      <c r="B808" s="6"/>
      <c r="C808" s="6"/>
      <c r="D808" s="6"/>
      <c r="E808" s="6"/>
      <c r="F808" s="40"/>
      <c r="G808" s="41"/>
      <c r="H808" s="35" t="str">
        <f aca="false">IF($B808="","",N($F808)*N($G808))</f>
        <v/>
      </c>
      <c r="I808" s="35" t="str">
        <f aca="false">IF($B808="","",N($F808)+$H808)</f>
        <v/>
      </c>
      <c r="J808" s="6"/>
      <c r="K808" s="46" t="str">
        <f aca="false">IF($A808="","",DATE(YEAR($A808),MONTH($A808),1))</f>
        <v/>
      </c>
    </row>
    <row r="809" customFormat="false" ht="15" hidden="false" customHeight="false" outlineLevel="0" collapsed="false">
      <c r="A809" s="44"/>
      <c r="B809" s="6"/>
      <c r="C809" s="6"/>
      <c r="D809" s="6"/>
      <c r="E809" s="6"/>
      <c r="F809" s="40"/>
      <c r="G809" s="41"/>
      <c r="H809" s="35" t="str">
        <f aca="false">IF($B809="","",N($F809)*N($G809))</f>
        <v/>
      </c>
      <c r="I809" s="35" t="str">
        <f aca="false">IF($B809="","",N($F809)+$H809)</f>
        <v/>
      </c>
      <c r="J809" s="6"/>
      <c r="K809" s="46" t="str">
        <f aca="false">IF($A809="","",DATE(YEAR($A809),MONTH($A809),1))</f>
        <v/>
      </c>
    </row>
    <row r="810" customFormat="false" ht="15" hidden="false" customHeight="false" outlineLevel="0" collapsed="false">
      <c r="A810" s="44"/>
      <c r="B810" s="6"/>
      <c r="C810" s="6"/>
      <c r="D810" s="6"/>
      <c r="E810" s="6"/>
      <c r="F810" s="40"/>
      <c r="G810" s="41"/>
      <c r="H810" s="35" t="str">
        <f aca="false">IF($B810="","",N($F810)*N($G810))</f>
        <v/>
      </c>
      <c r="I810" s="35" t="str">
        <f aca="false">IF($B810="","",N($F810)+$H810)</f>
        <v/>
      </c>
      <c r="J810" s="6"/>
      <c r="K810" s="46" t="str">
        <f aca="false">IF($A810="","",DATE(YEAR($A810),MONTH($A810),1))</f>
        <v/>
      </c>
    </row>
    <row r="811" customFormat="false" ht="15" hidden="false" customHeight="false" outlineLevel="0" collapsed="false">
      <c r="A811" s="44"/>
      <c r="B811" s="6"/>
      <c r="C811" s="6"/>
      <c r="D811" s="6"/>
      <c r="E811" s="6"/>
      <c r="F811" s="40"/>
      <c r="G811" s="41"/>
      <c r="H811" s="35" t="str">
        <f aca="false">IF($B811="","",N($F811)*N($G811))</f>
        <v/>
      </c>
      <c r="I811" s="35" t="str">
        <f aca="false">IF($B811="","",N($F811)+$H811)</f>
        <v/>
      </c>
      <c r="J811" s="6"/>
      <c r="K811" s="46" t="str">
        <f aca="false">IF($A811="","",DATE(YEAR($A811),MONTH($A811),1))</f>
        <v/>
      </c>
    </row>
    <row r="812" customFormat="false" ht="15" hidden="false" customHeight="false" outlineLevel="0" collapsed="false">
      <c r="A812" s="44"/>
      <c r="B812" s="6"/>
      <c r="C812" s="6"/>
      <c r="D812" s="6"/>
      <c r="E812" s="6"/>
      <c r="F812" s="40"/>
      <c r="G812" s="41"/>
      <c r="H812" s="35" t="str">
        <f aca="false">IF($B812="","",N($F812)*N($G812))</f>
        <v/>
      </c>
      <c r="I812" s="35" t="str">
        <f aca="false">IF($B812="","",N($F812)+$H812)</f>
        <v/>
      </c>
      <c r="J812" s="6"/>
      <c r="K812" s="46" t="str">
        <f aca="false">IF($A812="","",DATE(YEAR($A812),MONTH($A812),1))</f>
        <v/>
      </c>
    </row>
    <row r="813" customFormat="false" ht="15" hidden="false" customHeight="false" outlineLevel="0" collapsed="false">
      <c r="A813" s="44"/>
      <c r="B813" s="6"/>
      <c r="C813" s="6"/>
      <c r="D813" s="6"/>
      <c r="E813" s="6"/>
      <c r="F813" s="40"/>
      <c r="G813" s="41"/>
      <c r="H813" s="35" t="str">
        <f aca="false">IF($B813="","",N($F813)*N($G813))</f>
        <v/>
      </c>
      <c r="I813" s="35" t="str">
        <f aca="false">IF($B813="","",N($F813)+$H813)</f>
        <v/>
      </c>
      <c r="J813" s="6"/>
      <c r="K813" s="46" t="str">
        <f aca="false">IF($A813="","",DATE(YEAR($A813),MONTH($A813),1))</f>
        <v/>
      </c>
    </row>
    <row r="814" customFormat="false" ht="15" hidden="false" customHeight="false" outlineLevel="0" collapsed="false">
      <c r="A814" s="44"/>
      <c r="B814" s="6"/>
      <c r="C814" s="6"/>
      <c r="D814" s="6"/>
      <c r="E814" s="6"/>
      <c r="F814" s="40"/>
      <c r="G814" s="41"/>
      <c r="H814" s="35" t="str">
        <f aca="false">IF($B814="","",N($F814)*N($G814))</f>
        <v/>
      </c>
      <c r="I814" s="35" t="str">
        <f aca="false">IF($B814="","",N($F814)+$H814)</f>
        <v/>
      </c>
      <c r="J814" s="6"/>
      <c r="K814" s="46" t="str">
        <f aca="false">IF($A814="","",DATE(YEAR($A814),MONTH($A814),1))</f>
        <v/>
      </c>
    </row>
    <row r="815" customFormat="false" ht="15" hidden="false" customHeight="false" outlineLevel="0" collapsed="false">
      <c r="A815" s="44"/>
      <c r="B815" s="6"/>
      <c r="C815" s="6"/>
      <c r="D815" s="6"/>
      <c r="E815" s="6"/>
      <c r="F815" s="40"/>
      <c r="G815" s="41"/>
      <c r="H815" s="35" t="str">
        <f aca="false">IF($B815="","",N($F815)*N($G815))</f>
        <v/>
      </c>
      <c r="I815" s="35" t="str">
        <f aca="false">IF($B815="","",N($F815)+$H815)</f>
        <v/>
      </c>
      <c r="J815" s="6"/>
      <c r="K815" s="46" t="str">
        <f aca="false">IF($A815="","",DATE(YEAR($A815),MONTH($A815),1))</f>
        <v/>
      </c>
    </row>
    <row r="816" customFormat="false" ht="15" hidden="false" customHeight="false" outlineLevel="0" collapsed="false">
      <c r="A816" s="44"/>
      <c r="B816" s="6"/>
      <c r="C816" s="6"/>
      <c r="D816" s="6"/>
      <c r="E816" s="6"/>
      <c r="F816" s="40"/>
      <c r="G816" s="41"/>
      <c r="H816" s="35" t="str">
        <f aca="false">IF($B816="","",N($F816)*N($G816))</f>
        <v/>
      </c>
      <c r="I816" s="35" t="str">
        <f aca="false">IF($B816="","",N($F816)+$H816)</f>
        <v/>
      </c>
      <c r="J816" s="6"/>
      <c r="K816" s="46" t="str">
        <f aca="false">IF($A816="","",DATE(YEAR($A816),MONTH($A816),1))</f>
        <v/>
      </c>
    </row>
    <row r="817" customFormat="false" ht="15" hidden="false" customHeight="false" outlineLevel="0" collapsed="false">
      <c r="A817" s="44"/>
      <c r="B817" s="6"/>
      <c r="C817" s="6"/>
      <c r="D817" s="6"/>
      <c r="E817" s="6"/>
      <c r="F817" s="40"/>
      <c r="G817" s="41"/>
      <c r="H817" s="35" t="str">
        <f aca="false">IF($B817="","",N($F817)*N($G817))</f>
        <v/>
      </c>
      <c r="I817" s="35" t="str">
        <f aca="false">IF($B817="","",N($F817)+$H817)</f>
        <v/>
      </c>
      <c r="J817" s="6"/>
      <c r="K817" s="46" t="str">
        <f aca="false">IF($A817="","",DATE(YEAR($A817),MONTH($A817),1))</f>
        <v/>
      </c>
    </row>
    <row r="818" customFormat="false" ht="15" hidden="false" customHeight="false" outlineLevel="0" collapsed="false">
      <c r="A818" s="44"/>
      <c r="B818" s="6"/>
      <c r="C818" s="6"/>
      <c r="D818" s="6"/>
      <c r="E818" s="6"/>
      <c r="F818" s="40"/>
      <c r="G818" s="41"/>
      <c r="H818" s="35" t="str">
        <f aca="false">IF($B818="","",N($F818)*N($G818))</f>
        <v/>
      </c>
      <c r="I818" s="35" t="str">
        <f aca="false">IF($B818="","",N($F818)+$H818)</f>
        <v/>
      </c>
      <c r="J818" s="6"/>
      <c r="K818" s="46" t="str">
        <f aca="false">IF($A818="","",DATE(YEAR($A818),MONTH($A818),1))</f>
        <v/>
      </c>
    </row>
    <row r="819" customFormat="false" ht="15" hidden="false" customHeight="false" outlineLevel="0" collapsed="false">
      <c r="A819" s="44"/>
      <c r="B819" s="6"/>
      <c r="C819" s="6"/>
      <c r="D819" s="6"/>
      <c r="E819" s="6"/>
      <c r="F819" s="40"/>
      <c r="G819" s="41"/>
      <c r="H819" s="35" t="str">
        <f aca="false">IF($B819="","",N($F819)*N($G819))</f>
        <v/>
      </c>
      <c r="I819" s="35" t="str">
        <f aca="false">IF($B819="","",N($F819)+$H819)</f>
        <v/>
      </c>
      <c r="J819" s="6"/>
      <c r="K819" s="46" t="str">
        <f aca="false">IF($A819="","",DATE(YEAR($A819),MONTH($A819),1))</f>
        <v/>
      </c>
    </row>
    <row r="820" customFormat="false" ht="15" hidden="false" customHeight="false" outlineLevel="0" collapsed="false">
      <c r="A820" s="44"/>
      <c r="B820" s="6"/>
      <c r="C820" s="6"/>
      <c r="D820" s="6"/>
      <c r="E820" s="6"/>
      <c r="F820" s="40"/>
      <c r="G820" s="41"/>
      <c r="H820" s="35" t="str">
        <f aca="false">IF($B820="","",N($F820)*N($G820))</f>
        <v/>
      </c>
      <c r="I820" s="35" t="str">
        <f aca="false">IF($B820="","",N($F820)+$H820)</f>
        <v/>
      </c>
      <c r="J820" s="6"/>
      <c r="K820" s="46" t="str">
        <f aca="false">IF($A820="","",DATE(YEAR($A820),MONTH($A820),1))</f>
        <v/>
      </c>
    </row>
    <row r="821" customFormat="false" ht="15" hidden="false" customHeight="false" outlineLevel="0" collapsed="false">
      <c r="A821" s="44"/>
      <c r="B821" s="6"/>
      <c r="C821" s="6"/>
      <c r="D821" s="6"/>
      <c r="E821" s="6"/>
      <c r="F821" s="40"/>
      <c r="G821" s="41"/>
      <c r="H821" s="35" t="str">
        <f aca="false">IF($B821="","",N($F821)*N($G821))</f>
        <v/>
      </c>
      <c r="I821" s="35" t="str">
        <f aca="false">IF($B821="","",N($F821)+$H821)</f>
        <v/>
      </c>
      <c r="J821" s="6"/>
      <c r="K821" s="46" t="str">
        <f aca="false">IF($A821="","",DATE(YEAR($A821),MONTH($A821),1))</f>
        <v/>
      </c>
    </row>
    <row r="822" customFormat="false" ht="15" hidden="false" customHeight="false" outlineLevel="0" collapsed="false">
      <c r="A822" s="44"/>
      <c r="B822" s="6"/>
      <c r="C822" s="6"/>
      <c r="D822" s="6"/>
      <c r="E822" s="6"/>
      <c r="F822" s="40"/>
      <c r="G822" s="41"/>
      <c r="H822" s="35" t="str">
        <f aca="false">IF($B822="","",N($F822)*N($G822))</f>
        <v/>
      </c>
      <c r="I822" s="35" t="str">
        <f aca="false">IF($B822="","",N($F822)+$H822)</f>
        <v/>
      </c>
      <c r="J822" s="6"/>
      <c r="K822" s="46" t="str">
        <f aca="false">IF($A822="","",DATE(YEAR($A822),MONTH($A822),1))</f>
        <v/>
      </c>
    </row>
    <row r="823" customFormat="false" ht="15" hidden="false" customHeight="false" outlineLevel="0" collapsed="false">
      <c r="A823" s="44"/>
      <c r="B823" s="6"/>
      <c r="C823" s="6"/>
      <c r="D823" s="6"/>
      <c r="E823" s="6"/>
      <c r="F823" s="40"/>
      <c r="G823" s="41"/>
      <c r="H823" s="35" t="str">
        <f aca="false">IF($B823="","",N($F823)*N($G823))</f>
        <v/>
      </c>
      <c r="I823" s="35" t="str">
        <f aca="false">IF($B823="","",N($F823)+$H823)</f>
        <v/>
      </c>
      <c r="J823" s="6"/>
      <c r="K823" s="46" t="str">
        <f aca="false">IF($A823="","",DATE(YEAR($A823),MONTH($A823),1))</f>
        <v/>
      </c>
    </row>
    <row r="824" customFormat="false" ht="15" hidden="false" customHeight="false" outlineLevel="0" collapsed="false">
      <c r="A824" s="44"/>
      <c r="B824" s="6"/>
      <c r="C824" s="6"/>
      <c r="D824" s="6"/>
      <c r="E824" s="6"/>
      <c r="F824" s="40"/>
      <c r="G824" s="41"/>
      <c r="H824" s="35" t="str">
        <f aca="false">IF($B824="","",N($F824)*N($G824))</f>
        <v/>
      </c>
      <c r="I824" s="35" t="str">
        <f aca="false">IF($B824="","",N($F824)+$H824)</f>
        <v/>
      </c>
      <c r="J824" s="6"/>
      <c r="K824" s="46" t="str">
        <f aca="false">IF($A824="","",DATE(YEAR($A824),MONTH($A824),1))</f>
        <v/>
      </c>
    </row>
    <row r="825" customFormat="false" ht="15" hidden="false" customHeight="false" outlineLevel="0" collapsed="false">
      <c r="A825" s="44"/>
      <c r="B825" s="6"/>
      <c r="C825" s="6"/>
      <c r="D825" s="6"/>
      <c r="E825" s="6"/>
      <c r="F825" s="40"/>
      <c r="G825" s="41"/>
      <c r="H825" s="35" t="str">
        <f aca="false">IF($B825="","",N($F825)*N($G825))</f>
        <v/>
      </c>
      <c r="I825" s="35" t="str">
        <f aca="false">IF($B825="","",N($F825)+$H825)</f>
        <v/>
      </c>
      <c r="J825" s="6"/>
      <c r="K825" s="46" t="str">
        <f aca="false">IF($A825="","",DATE(YEAR($A825),MONTH($A825),1))</f>
        <v/>
      </c>
    </row>
    <row r="826" customFormat="false" ht="15" hidden="false" customHeight="false" outlineLevel="0" collapsed="false">
      <c r="A826" s="44"/>
      <c r="B826" s="6"/>
      <c r="C826" s="6"/>
      <c r="D826" s="6"/>
      <c r="E826" s="6"/>
      <c r="F826" s="40"/>
      <c r="G826" s="41"/>
      <c r="H826" s="35" t="str">
        <f aca="false">IF($B826="","",N($F826)*N($G826))</f>
        <v/>
      </c>
      <c r="I826" s="35" t="str">
        <f aca="false">IF($B826="","",N($F826)+$H826)</f>
        <v/>
      </c>
      <c r="J826" s="6"/>
      <c r="K826" s="46" t="str">
        <f aca="false">IF($A826="","",DATE(YEAR($A826),MONTH($A826),1))</f>
        <v/>
      </c>
    </row>
    <row r="827" customFormat="false" ht="15" hidden="false" customHeight="false" outlineLevel="0" collapsed="false">
      <c r="A827" s="44"/>
      <c r="B827" s="6"/>
      <c r="C827" s="6"/>
      <c r="D827" s="6"/>
      <c r="E827" s="6"/>
      <c r="F827" s="40"/>
      <c r="G827" s="41"/>
      <c r="H827" s="35" t="str">
        <f aca="false">IF($B827="","",N($F827)*N($G827))</f>
        <v/>
      </c>
      <c r="I827" s="35" t="str">
        <f aca="false">IF($B827="","",N($F827)+$H827)</f>
        <v/>
      </c>
      <c r="J827" s="6"/>
      <c r="K827" s="46" t="str">
        <f aca="false">IF($A827="","",DATE(YEAR($A827),MONTH($A827),1))</f>
        <v/>
      </c>
    </row>
    <row r="828" customFormat="false" ht="15" hidden="false" customHeight="false" outlineLevel="0" collapsed="false">
      <c r="A828" s="44"/>
      <c r="B828" s="6"/>
      <c r="C828" s="6"/>
      <c r="D828" s="6"/>
      <c r="E828" s="6"/>
      <c r="F828" s="40"/>
      <c r="G828" s="41"/>
      <c r="H828" s="35" t="str">
        <f aca="false">IF($B828="","",N($F828)*N($G828))</f>
        <v/>
      </c>
      <c r="I828" s="35" t="str">
        <f aca="false">IF($B828="","",N($F828)+$H828)</f>
        <v/>
      </c>
      <c r="J828" s="6"/>
      <c r="K828" s="46" t="str">
        <f aca="false">IF($A828="","",DATE(YEAR($A828),MONTH($A828),1))</f>
        <v/>
      </c>
    </row>
    <row r="829" customFormat="false" ht="15" hidden="false" customHeight="false" outlineLevel="0" collapsed="false">
      <c r="A829" s="44"/>
      <c r="B829" s="6"/>
      <c r="C829" s="6"/>
      <c r="D829" s="6"/>
      <c r="E829" s="6"/>
      <c r="F829" s="40"/>
      <c r="G829" s="41"/>
      <c r="H829" s="35" t="str">
        <f aca="false">IF($B829="","",N($F829)*N($G829))</f>
        <v/>
      </c>
      <c r="I829" s="35" t="str">
        <f aca="false">IF($B829="","",N($F829)+$H829)</f>
        <v/>
      </c>
      <c r="J829" s="6"/>
      <c r="K829" s="46" t="str">
        <f aca="false">IF($A829="","",DATE(YEAR($A829),MONTH($A829),1))</f>
        <v/>
      </c>
    </row>
    <row r="830" customFormat="false" ht="15" hidden="false" customHeight="false" outlineLevel="0" collapsed="false">
      <c r="A830" s="44"/>
      <c r="B830" s="6"/>
      <c r="C830" s="6"/>
      <c r="D830" s="6"/>
      <c r="E830" s="6"/>
      <c r="F830" s="40"/>
      <c r="G830" s="41"/>
      <c r="H830" s="35" t="str">
        <f aca="false">IF($B830="","",N($F830)*N($G830))</f>
        <v/>
      </c>
      <c r="I830" s="35" t="str">
        <f aca="false">IF($B830="","",N($F830)+$H830)</f>
        <v/>
      </c>
      <c r="J830" s="6"/>
      <c r="K830" s="46" t="str">
        <f aca="false">IF($A830="","",DATE(YEAR($A830),MONTH($A830),1))</f>
        <v/>
      </c>
    </row>
    <row r="831" customFormat="false" ht="15" hidden="false" customHeight="false" outlineLevel="0" collapsed="false">
      <c r="A831" s="44"/>
      <c r="B831" s="6"/>
      <c r="C831" s="6"/>
      <c r="D831" s="6"/>
      <c r="E831" s="6"/>
      <c r="F831" s="40"/>
      <c r="G831" s="41"/>
      <c r="H831" s="35" t="str">
        <f aca="false">IF($B831="","",N($F831)*N($G831))</f>
        <v/>
      </c>
      <c r="I831" s="35" t="str">
        <f aca="false">IF($B831="","",N($F831)+$H831)</f>
        <v/>
      </c>
      <c r="J831" s="6"/>
      <c r="K831" s="46" t="str">
        <f aca="false">IF($A831="","",DATE(YEAR($A831),MONTH($A831),1))</f>
        <v/>
      </c>
    </row>
    <row r="832" customFormat="false" ht="15" hidden="false" customHeight="false" outlineLevel="0" collapsed="false">
      <c r="A832" s="44"/>
      <c r="B832" s="6"/>
      <c r="C832" s="6"/>
      <c r="D832" s="6"/>
      <c r="E832" s="6"/>
      <c r="F832" s="40"/>
      <c r="G832" s="41"/>
      <c r="H832" s="35" t="str">
        <f aca="false">IF($B832="","",N($F832)*N($G832))</f>
        <v/>
      </c>
      <c r="I832" s="35" t="str">
        <f aca="false">IF($B832="","",N($F832)+$H832)</f>
        <v/>
      </c>
      <c r="J832" s="6"/>
      <c r="K832" s="46" t="str">
        <f aca="false">IF($A832="","",DATE(YEAR($A832),MONTH($A832),1))</f>
        <v/>
      </c>
    </row>
    <row r="833" customFormat="false" ht="15" hidden="false" customHeight="false" outlineLevel="0" collapsed="false">
      <c r="A833" s="44"/>
      <c r="B833" s="6"/>
      <c r="C833" s="6"/>
      <c r="D833" s="6"/>
      <c r="E833" s="6"/>
      <c r="F833" s="40"/>
      <c r="G833" s="41"/>
      <c r="H833" s="35" t="str">
        <f aca="false">IF($B833="","",N($F833)*N($G833))</f>
        <v/>
      </c>
      <c r="I833" s="35" t="str">
        <f aca="false">IF($B833="","",N($F833)+$H833)</f>
        <v/>
      </c>
      <c r="J833" s="6"/>
      <c r="K833" s="46" t="str">
        <f aca="false">IF($A833="","",DATE(YEAR($A833),MONTH($A833),1))</f>
        <v/>
      </c>
    </row>
    <row r="834" customFormat="false" ht="15" hidden="false" customHeight="false" outlineLevel="0" collapsed="false">
      <c r="A834" s="44"/>
      <c r="B834" s="6"/>
      <c r="C834" s="6"/>
      <c r="D834" s="6"/>
      <c r="E834" s="6"/>
      <c r="F834" s="40"/>
      <c r="G834" s="41"/>
      <c r="H834" s="35" t="str">
        <f aca="false">IF($B834="","",N($F834)*N($G834))</f>
        <v/>
      </c>
      <c r="I834" s="35" t="str">
        <f aca="false">IF($B834="","",N($F834)+$H834)</f>
        <v/>
      </c>
      <c r="J834" s="6"/>
      <c r="K834" s="46" t="str">
        <f aca="false">IF($A834="","",DATE(YEAR($A834),MONTH($A834),1))</f>
        <v/>
      </c>
    </row>
    <row r="835" customFormat="false" ht="15" hidden="false" customHeight="false" outlineLevel="0" collapsed="false">
      <c r="A835" s="44"/>
      <c r="B835" s="6"/>
      <c r="C835" s="6"/>
      <c r="D835" s="6"/>
      <c r="E835" s="6"/>
      <c r="F835" s="40"/>
      <c r="G835" s="41"/>
      <c r="H835" s="35" t="str">
        <f aca="false">IF($B835="","",N($F835)*N($G835))</f>
        <v/>
      </c>
      <c r="I835" s="35" t="str">
        <f aca="false">IF($B835="","",N($F835)+$H835)</f>
        <v/>
      </c>
      <c r="J835" s="6"/>
      <c r="K835" s="46" t="str">
        <f aca="false">IF($A835="","",DATE(YEAR($A835),MONTH($A835),1))</f>
        <v/>
      </c>
    </row>
    <row r="836" customFormat="false" ht="15" hidden="false" customHeight="false" outlineLevel="0" collapsed="false">
      <c r="A836" s="44"/>
      <c r="B836" s="6"/>
      <c r="C836" s="6"/>
      <c r="D836" s="6"/>
      <c r="E836" s="6"/>
      <c r="F836" s="40"/>
      <c r="G836" s="41"/>
      <c r="H836" s="35" t="str">
        <f aca="false">IF($B836="","",N($F836)*N($G836))</f>
        <v/>
      </c>
      <c r="I836" s="35" t="str">
        <f aca="false">IF($B836="","",N($F836)+$H836)</f>
        <v/>
      </c>
      <c r="J836" s="6"/>
      <c r="K836" s="46" t="str">
        <f aca="false">IF($A836="","",DATE(YEAR($A836),MONTH($A836),1))</f>
        <v/>
      </c>
    </row>
    <row r="837" customFormat="false" ht="15" hidden="false" customHeight="false" outlineLevel="0" collapsed="false">
      <c r="A837" s="44"/>
      <c r="B837" s="6"/>
      <c r="C837" s="6"/>
      <c r="D837" s="6"/>
      <c r="E837" s="6"/>
      <c r="F837" s="40"/>
      <c r="G837" s="41"/>
      <c r="H837" s="35" t="str">
        <f aca="false">IF($B837="","",N($F837)*N($G837))</f>
        <v/>
      </c>
      <c r="I837" s="35" t="str">
        <f aca="false">IF($B837="","",N($F837)+$H837)</f>
        <v/>
      </c>
      <c r="J837" s="6"/>
      <c r="K837" s="46" t="str">
        <f aca="false">IF($A837="","",DATE(YEAR($A837),MONTH($A837),1))</f>
        <v/>
      </c>
    </row>
    <row r="838" customFormat="false" ht="15" hidden="false" customHeight="false" outlineLevel="0" collapsed="false">
      <c r="A838" s="44"/>
      <c r="B838" s="6"/>
      <c r="C838" s="6"/>
      <c r="D838" s="6"/>
      <c r="E838" s="6"/>
      <c r="F838" s="40"/>
      <c r="G838" s="41"/>
      <c r="H838" s="35" t="str">
        <f aca="false">IF($B838="","",N($F838)*N($G838))</f>
        <v/>
      </c>
      <c r="I838" s="35" t="str">
        <f aca="false">IF($B838="","",N($F838)+$H838)</f>
        <v/>
      </c>
      <c r="J838" s="6"/>
      <c r="K838" s="46" t="str">
        <f aca="false">IF($A838="","",DATE(YEAR($A838),MONTH($A838),1))</f>
        <v/>
      </c>
    </row>
    <row r="839" customFormat="false" ht="15" hidden="false" customHeight="false" outlineLevel="0" collapsed="false">
      <c r="A839" s="44"/>
      <c r="B839" s="6"/>
      <c r="C839" s="6"/>
      <c r="D839" s="6"/>
      <c r="E839" s="6"/>
      <c r="F839" s="40"/>
      <c r="G839" s="41"/>
      <c r="H839" s="35" t="str">
        <f aca="false">IF($B839="","",N($F839)*N($G839))</f>
        <v/>
      </c>
      <c r="I839" s="35" t="str">
        <f aca="false">IF($B839="","",N($F839)+$H839)</f>
        <v/>
      </c>
      <c r="J839" s="6"/>
      <c r="K839" s="46" t="str">
        <f aca="false">IF($A839="","",DATE(YEAR($A839),MONTH($A839),1))</f>
        <v/>
      </c>
    </row>
    <row r="840" customFormat="false" ht="15" hidden="false" customHeight="false" outlineLevel="0" collapsed="false">
      <c r="A840" s="44"/>
      <c r="B840" s="6"/>
      <c r="C840" s="6"/>
      <c r="D840" s="6"/>
      <c r="E840" s="6"/>
      <c r="F840" s="40"/>
      <c r="G840" s="41"/>
      <c r="H840" s="35" t="str">
        <f aca="false">IF($B840="","",N($F840)*N($G840))</f>
        <v/>
      </c>
      <c r="I840" s="35" t="str">
        <f aca="false">IF($B840="","",N($F840)+$H840)</f>
        <v/>
      </c>
      <c r="J840" s="6"/>
      <c r="K840" s="46" t="str">
        <f aca="false">IF($A840="","",DATE(YEAR($A840),MONTH($A840),1))</f>
        <v/>
      </c>
    </row>
    <row r="841" customFormat="false" ht="15" hidden="false" customHeight="false" outlineLevel="0" collapsed="false">
      <c r="A841" s="44"/>
      <c r="B841" s="6"/>
      <c r="C841" s="6"/>
      <c r="D841" s="6"/>
      <c r="E841" s="6"/>
      <c r="F841" s="40"/>
      <c r="G841" s="41"/>
      <c r="H841" s="35" t="str">
        <f aca="false">IF($B841="","",N($F841)*N($G841))</f>
        <v/>
      </c>
      <c r="I841" s="35" t="str">
        <f aca="false">IF($B841="","",N($F841)+$H841)</f>
        <v/>
      </c>
      <c r="J841" s="6"/>
      <c r="K841" s="46" t="str">
        <f aca="false">IF($A841="","",DATE(YEAR($A841),MONTH($A841),1))</f>
        <v/>
      </c>
    </row>
    <row r="842" customFormat="false" ht="15" hidden="false" customHeight="false" outlineLevel="0" collapsed="false">
      <c r="A842" s="44"/>
      <c r="B842" s="6"/>
      <c r="C842" s="6"/>
      <c r="D842" s="6"/>
      <c r="E842" s="6"/>
      <c r="F842" s="40"/>
      <c r="G842" s="41"/>
      <c r="H842" s="35" t="str">
        <f aca="false">IF($B842="","",N($F842)*N($G842))</f>
        <v/>
      </c>
      <c r="I842" s="35" t="str">
        <f aca="false">IF($B842="","",N($F842)+$H842)</f>
        <v/>
      </c>
      <c r="J842" s="6"/>
      <c r="K842" s="46" t="str">
        <f aca="false">IF($A842="","",DATE(YEAR($A842),MONTH($A842),1))</f>
        <v/>
      </c>
    </row>
    <row r="843" customFormat="false" ht="15" hidden="false" customHeight="false" outlineLevel="0" collapsed="false">
      <c r="A843" s="44"/>
      <c r="B843" s="6"/>
      <c r="C843" s="6"/>
      <c r="D843" s="6"/>
      <c r="E843" s="6"/>
      <c r="F843" s="40"/>
      <c r="G843" s="41"/>
      <c r="H843" s="35" t="str">
        <f aca="false">IF($B843="","",N($F843)*N($G843))</f>
        <v/>
      </c>
      <c r="I843" s="35" t="str">
        <f aca="false">IF($B843="","",N($F843)+$H843)</f>
        <v/>
      </c>
      <c r="J843" s="6"/>
      <c r="K843" s="46" t="str">
        <f aca="false">IF($A843="","",DATE(YEAR($A843),MONTH($A843),1))</f>
        <v/>
      </c>
    </row>
    <row r="844" customFormat="false" ht="15" hidden="false" customHeight="false" outlineLevel="0" collapsed="false">
      <c r="A844" s="44"/>
      <c r="B844" s="6"/>
      <c r="C844" s="6"/>
      <c r="D844" s="6"/>
      <c r="E844" s="6"/>
      <c r="F844" s="40"/>
      <c r="G844" s="41"/>
      <c r="H844" s="35" t="str">
        <f aca="false">IF($B844="","",N($F844)*N($G844))</f>
        <v/>
      </c>
      <c r="I844" s="35" t="str">
        <f aca="false">IF($B844="","",N($F844)+$H844)</f>
        <v/>
      </c>
      <c r="J844" s="6"/>
      <c r="K844" s="46" t="str">
        <f aca="false">IF($A844="","",DATE(YEAR($A844),MONTH($A844),1))</f>
        <v/>
      </c>
    </row>
    <row r="845" customFormat="false" ht="15" hidden="false" customHeight="false" outlineLevel="0" collapsed="false">
      <c r="A845" s="44"/>
      <c r="B845" s="6"/>
      <c r="C845" s="6"/>
      <c r="D845" s="6"/>
      <c r="E845" s="6"/>
      <c r="F845" s="40"/>
      <c r="G845" s="41"/>
      <c r="H845" s="35" t="str">
        <f aca="false">IF($B845="","",N($F845)*N($G845))</f>
        <v/>
      </c>
      <c r="I845" s="35" t="str">
        <f aca="false">IF($B845="","",N($F845)+$H845)</f>
        <v/>
      </c>
      <c r="J845" s="6"/>
      <c r="K845" s="46" t="str">
        <f aca="false">IF($A845="","",DATE(YEAR($A845),MONTH($A845),1))</f>
        <v/>
      </c>
    </row>
    <row r="846" customFormat="false" ht="15" hidden="false" customHeight="false" outlineLevel="0" collapsed="false">
      <c r="A846" s="44"/>
      <c r="B846" s="6"/>
      <c r="C846" s="6"/>
      <c r="D846" s="6"/>
      <c r="E846" s="6"/>
      <c r="F846" s="40"/>
      <c r="G846" s="41"/>
      <c r="H846" s="35" t="str">
        <f aca="false">IF($B846="","",N($F846)*N($G846))</f>
        <v/>
      </c>
      <c r="I846" s="35" t="str">
        <f aca="false">IF($B846="","",N($F846)+$H846)</f>
        <v/>
      </c>
      <c r="J846" s="6"/>
      <c r="K846" s="46" t="str">
        <f aca="false">IF($A846="","",DATE(YEAR($A846),MONTH($A846),1))</f>
        <v/>
      </c>
    </row>
    <row r="847" customFormat="false" ht="15" hidden="false" customHeight="false" outlineLevel="0" collapsed="false">
      <c r="A847" s="44"/>
      <c r="B847" s="6"/>
      <c r="C847" s="6"/>
      <c r="D847" s="6"/>
      <c r="E847" s="6"/>
      <c r="F847" s="40"/>
      <c r="G847" s="41"/>
      <c r="H847" s="35" t="str">
        <f aca="false">IF($B847="","",N($F847)*N($G847))</f>
        <v/>
      </c>
      <c r="I847" s="35" t="str">
        <f aca="false">IF($B847="","",N($F847)+$H847)</f>
        <v/>
      </c>
      <c r="J847" s="6"/>
      <c r="K847" s="46" t="str">
        <f aca="false">IF($A847="","",DATE(YEAR($A847),MONTH($A847),1))</f>
        <v/>
      </c>
    </row>
    <row r="848" customFormat="false" ht="15" hidden="false" customHeight="false" outlineLevel="0" collapsed="false">
      <c r="A848" s="44"/>
      <c r="B848" s="6"/>
      <c r="C848" s="6"/>
      <c r="D848" s="6"/>
      <c r="E848" s="6"/>
      <c r="F848" s="40"/>
      <c r="G848" s="41"/>
      <c r="H848" s="35" t="str">
        <f aca="false">IF($B848="","",N($F848)*N($G848))</f>
        <v/>
      </c>
      <c r="I848" s="35" t="str">
        <f aca="false">IF($B848="","",N($F848)+$H848)</f>
        <v/>
      </c>
      <c r="J848" s="6"/>
      <c r="K848" s="46" t="str">
        <f aca="false">IF($A848="","",DATE(YEAR($A848),MONTH($A848),1))</f>
        <v/>
      </c>
    </row>
    <row r="849" customFormat="false" ht="15" hidden="false" customHeight="false" outlineLevel="0" collapsed="false">
      <c r="A849" s="44"/>
      <c r="B849" s="6"/>
      <c r="C849" s="6"/>
      <c r="D849" s="6"/>
      <c r="E849" s="6"/>
      <c r="F849" s="40"/>
      <c r="G849" s="41"/>
      <c r="H849" s="35" t="str">
        <f aca="false">IF($B849="","",N($F849)*N($G849))</f>
        <v/>
      </c>
      <c r="I849" s="35" t="str">
        <f aca="false">IF($B849="","",N($F849)+$H849)</f>
        <v/>
      </c>
      <c r="J849" s="6"/>
      <c r="K849" s="46" t="str">
        <f aca="false">IF($A849="","",DATE(YEAR($A849),MONTH($A849),1))</f>
        <v/>
      </c>
    </row>
    <row r="850" customFormat="false" ht="15" hidden="false" customHeight="false" outlineLevel="0" collapsed="false">
      <c r="A850" s="44"/>
      <c r="B850" s="6"/>
      <c r="C850" s="6"/>
      <c r="D850" s="6"/>
      <c r="E850" s="6"/>
      <c r="F850" s="40"/>
      <c r="G850" s="41"/>
      <c r="H850" s="35" t="str">
        <f aca="false">IF($B850="","",N($F850)*N($G850))</f>
        <v/>
      </c>
      <c r="I850" s="35" t="str">
        <f aca="false">IF($B850="","",N($F850)+$H850)</f>
        <v/>
      </c>
      <c r="J850" s="6"/>
      <c r="K850" s="46" t="str">
        <f aca="false">IF($A850="","",DATE(YEAR($A850),MONTH($A850),1))</f>
        <v/>
      </c>
    </row>
    <row r="851" customFormat="false" ht="15" hidden="false" customHeight="false" outlineLevel="0" collapsed="false">
      <c r="A851" s="44"/>
      <c r="B851" s="6"/>
      <c r="C851" s="6"/>
      <c r="D851" s="6"/>
      <c r="E851" s="6"/>
      <c r="F851" s="40"/>
      <c r="G851" s="41"/>
      <c r="H851" s="35" t="str">
        <f aca="false">IF($B851="","",N($F851)*N($G851))</f>
        <v/>
      </c>
      <c r="I851" s="35" t="str">
        <f aca="false">IF($B851="","",N($F851)+$H851)</f>
        <v/>
      </c>
      <c r="J851" s="6"/>
      <c r="K851" s="46" t="str">
        <f aca="false">IF($A851="","",DATE(YEAR($A851),MONTH($A851),1))</f>
        <v/>
      </c>
    </row>
    <row r="852" customFormat="false" ht="15" hidden="false" customHeight="false" outlineLevel="0" collapsed="false">
      <c r="A852" s="44"/>
      <c r="B852" s="6"/>
      <c r="C852" s="6"/>
      <c r="D852" s="6"/>
      <c r="E852" s="6"/>
      <c r="F852" s="40"/>
      <c r="G852" s="41"/>
      <c r="H852" s="35" t="str">
        <f aca="false">IF($B852="","",N($F852)*N($G852))</f>
        <v/>
      </c>
      <c r="I852" s="35" t="str">
        <f aca="false">IF($B852="","",N($F852)+$H852)</f>
        <v/>
      </c>
      <c r="J852" s="6"/>
      <c r="K852" s="46" t="str">
        <f aca="false">IF($A852="","",DATE(YEAR($A852),MONTH($A852),1))</f>
        <v/>
      </c>
    </row>
    <row r="853" customFormat="false" ht="15" hidden="false" customHeight="false" outlineLevel="0" collapsed="false">
      <c r="A853" s="44"/>
      <c r="B853" s="6"/>
      <c r="C853" s="6"/>
      <c r="D853" s="6"/>
      <c r="E853" s="6"/>
      <c r="F853" s="40"/>
      <c r="G853" s="41"/>
      <c r="H853" s="35" t="str">
        <f aca="false">IF($B853="","",N($F853)*N($G853))</f>
        <v/>
      </c>
      <c r="I853" s="35" t="str">
        <f aca="false">IF($B853="","",N($F853)+$H853)</f>
        <v/>
      </c>
      <c r="J853" s="6"/>
      <c r="K853" s="46" t="str">
        <f aca="false">IF($A853="","",DATE(YEAR($A853),MONTH($A853),1))</f>
        <v/>
      </c>
    </row>
    <row r="854" customFormat="false" ht="15" hidden="false" customHeight="false" outlineLevel="0" collapsed="false">
      <c r="A854" s="44"/>
      <c r="B854" s="6"/>
      <c r="C854" s="6"/>
      <c r="D854" s="6"/>
      <c r="E854" s="6"/>
      <c r="F854" s="40"/>
      <c r="G854" s="41"/>
      <c r="H854" s="35" t="str">
        <f aca="false">IF($B854="","",N($F854)*N($G854))</f>
        <v/>
      </c>
      <c r="I854" s="35" t="str">
        <f aca="false">IF($B854="","",N($F854)+$H854)</f>
        <v/>
      </c>
      <c r="J854" s="6"/>
      <c r="K854" s="46" t="str">
        <f aca="false">IF($A854="","",DATE(YEAR($A854),MONTH($A854),1))</f>
        <v/>
      </c>
    </row>
    <row r="855" customFormat="false" ht="15" hidden="false" customHeight="false" outlineLevel="0" collapsed="false">
      <c r="A855" s="44"/>
      <c r="B855" s="6"/>
      <c r="C855" s="6"/>
      <c r="D855" s="6"/>
      <c r="E855" s="6"/>
      <c r="F855" s="40"/>
      <c r="G855" s="41"/>
      <c r="H855" s="35" t="str">
        <f aca="false">IF($B855="","",N($F855)*N($G855))</f>
        <v/>
      </c>
      <c r="I855" s="35" t="str">
        <f aca="false">IF($B855="","",N($F855)+$H855)</f>
        <v/>
      </c>
      <c r="J855" s="6"/>
      <c r="K855" s="46" t="str">
        <f aca="false">IF($A855="","",DATE(YEAR($A855),MONTH($A855),1))</f>
        <v/>
      </c>
    </row>
    <row r="856" customFormat="false" ht="15" hidden="false" customHeight="false" outlineLevel="0" collapsed="false">
      <c r="A856" s="44"/>
      <c r="B856" s="6"/>
      <c r="C856" s="6"/>
      <c r="D856" s="6"/>
      <c r="E856" s="6"/>
      <c r="F856" s="40"/>
      <c r="G856" s="41"/>
      <c r="H856" s="35" t="str">
        <f aca="false">IF($B856="","",N($F856)*N($G856))</f>
        <v/>
      </c>
      <c r="I856" s="35" t="str">
        <f aca="false">IF($B856="","",N($F856)+$H856)</f>
        <v/>
      </c>
      <c r="J856" s="6"/>
      <c r="K856" s="46" t="str">
        <f aca="false">IF($A856="","",DATE(YEAR($A856),MONTH($A856),1))</f>
        <v/>
      </c>
    </row>
    <row r="857" customFormat="false" ht="15" hidden="false" customHeight="false" outlineLevel="0" collapsed="false">
      <c r="A857" s="44"/>
      <c r="B857" s="6"/>
      <c r="C857" s="6"/>
      <c r="D857" s="6"/>
      <c r="E857" s="6"/>
      <c r="F857" s="40"/>
      <c r="G857" s="41"/>
      <c r="H857" s="35" t="str">
        <f aca="false">IF($B857="","",N($F857)*N($G857))</f>
        <v/>
      </c>
      <c r="I857" s="35" t="str">
        <f aca="false">IF($B857="","",N($F857)+$H857)</f>
        <v/>
      </c>
      <c r="J857" s="6"/>
      <c r="K857" s="46" t="str">
        <f aca="false">IF($A857="","",DATE(YEAR($A857),MONTH($A857),1))</f>
        <v/>
      </c>
    </row>
    <row r="858" customFormat="false" ht="15" hidden="false" customHeight="false" outlineLevel="0" collapsed="false">
      <c r="A858" s="44"/>
      <c r="B858" s="6"/>
      <c r="C858" s="6"/>
      <c r="D858" s="6"/>
      <c r="E858" s="6"/>
      <c r="F858" s="40"/>
      <c r="G858" s="41"/>
      <c r="H858" s="35" t="str">
        <f aca="false">IF($B858="","",N($F858)*N($G858))</f>
        <v/>
      </c>
      <c r="I858" s="35" t="str">
        <f aca="false">IF($B858="","",N($F858)+$H858)</f>
        <v/>
      </c>
      <c r="J858" s="6"/>
      <c r="K858" s="46" t="str">
        <f aca="false">IF($A858="","",DATE(YEAR($A858),MONTH($A858),1))</f>
        <v/>
      </c>
    </row>
    <row r="859" customFormat="false" ht="15" hidden="false" customHeight="false" outlineLevel="0" collapsed="false">
      <c r="A859" s="44"/>
      <c r="B859" s="6"/>
      <c r="C859" s="6"/>
      <c r="D859" s="6"/>
      <c r="E859" s="6"/>
      <c r="F859" s="40"/>
      <c r="G859" s="41"/>
      <c r="H859" s="35" t="str">
        <f aca="false">IF($B859="","",N($F859)*N($G859))</f>
        <v/>
      </c>
      <c r="I859" s="35" t="str">
        <f aca="false">IF($B859="","",N($F859)+$H859)</f>
        <v/>
      </c>
      <c r="J859" s="6"/>
      <c r="K859" s="46" t="str">
        <f aca="false">IF($A859="","",DATE(YEAR($A859),MONTH($A859),1))</f>
        <v/>
      </c>
    </row>
    <row r="860" customFormat="false" ht="15" hidden="false" customHeight="false" outlineLevel="0" collapsed="false">
      <c r="A860" s="44"/>
      <c r="B860" s="6"/>
      <c r="C860" s="6"/>
      <c r="D860" s="6"/>
      <c r="E860" s="6"/>
      <c r="F860" s="40"/>
      <c r="G860" s="41"/>
      <c r="H860" s="35" t="str">
        <f aca="false">IF($B860="","",N($F860)*N($G860))</f>
        <v/>
      </c>
      <c r="I860" s="35" t="str">
        <f aca="false">IF($B860="","",N($F860)+$H860)</f>
        <v/>
      </c>
      <c r="J860" s="6"/>
      <c r="K860" s="46" t="str">
        <f aca="false">IF($A860="","",DATE(YEAR($A860),MONTH($A860),1))</f>
        <v/>
      </c>
    </row>
    <row r="861" customFormat="false" ht="15" hidden="false" customHeight="false" outlineLevel="0" collapsed="false">
      <c r="A861" s="44"/>
      <c r="B861" s="6"/>
      <c r="C861" s="6"/>
      <c r="D861" s="6"/>
      <c r="E861" s="6"/>
      <c r="F861" s="40"/>
      <c r="G861" s="41"/>
      <c r="H861" s="35" t="str">
        <f aca="false">IF($B861="","",N($F861)*N($G861))</f>
        <v/>
      </c>
      <c r="I861" s="35" t="str">
        <f aca="false">IF($B861="","",N($F861)+$H861)</f>
        <v/>
      </c>
      <c r="J861" s="6"/>
      <c r="K861" s="46" t="str">
        <f aca="false">IF($A861="","",DATE(YEAR($A861),MONTH($A861),1))</f>
        <v/>
      </c>
    </row>
    <row r="862" customFormat="false" ht="15" hidden="false" customHeight="false" outlineLevel="0" collapsed="false">
      <c r="A862" s="44"/>
      <c r="B862" s="6"/>
      <c r="C862" s="6"/>
      <c r="D862" s="6"/>
      <c r="E862" s="6"/>
      <c r="F862" s="40"/>
      <c r="G862" s="41"/>
      <c r="H862" s="35" t="str">
        <f aca="false">IF($B862="","",N($F862)*N($G862))</f>
        <v/>
      </c>
      <c r="I862" s="35" t="str">
        <f aca="false">IF($B862="","",N($F862)+$H862)</f>
        <v/>
      </c>
      <c r="J862" s="6"/>
      <c r="K862" s="46" t="str">
        <f aca="false">IF($A862="","",DATE(YEAR($A862),MONTH($A862),1))</f>
        <v/>
      </c>
    </row>
    <row r="863" customFormat="false" ht="15" hidden="false" customHeight="false" outlineLevel="0" collapsed="false">
      <c r="A863" s="44"/>
      <c r="B863" s="6"/>
      <c r="C863" s="6"/>
      <c r="D863" s="6"/>
      <c r="E863" s="6"/>
      <c r="F863" s="40"/>
      <c r="G863" s="41"/>
      <c r="H863" s="35" t="str">
        <f aca="false">IF($B863="","",N($F863)*N($G863))</f>
        <v/>
      </c>
      <c r="I863" s="35" t="str">
        <f aca="false">IF($B863="","",N($F863)+$H863)</f>
        <v/>
      </c>
      <c r="J863" s="6"/>
      <c r="K863" s="46" t="str">
        <f aca="false">IF($A863="","",DATE(YEAR($A863),MONTH($A863),1))</f>
        <v/>
      </c>
    </row>
    <row r="864" customFormat="false" ht="15" hidden="false" customHeight="false" outlineLevel="0" collapsed="false">
      <c r="A864" s="44"/>
      <c r="B864" s="6"/>
      <c r="C864" s="6"/>
      <c r="D864" s="6"/>
      <c r="E864" s="6"/>
      <c r="F864" s="40"/>
      <c r="G864" s="41"/>
      <c r="H864" s="35" t="str">
        <f aca="false">IF($B864="","",N($F864)*N($G864))</f>
        <v/>
      </c>
      <c r="I864" s="35" t="str">
        <f aca="false">IF($B864="","",N($F864)+$H864)</f>
        <v/>
      </c>
      <c r="J864" s="6"/>
      <c r="K864" s="46" t="str">
        <f aca="false">IF($A864="","",DATE(YEAR($A864),MONTH($A864),1))</f>
        <v/>
      </c>
    </row>
    <row r="865" customFormat="false" ht="15" hidden="false" customHeight="false" outlineLevel="0" collapsed="false">
      <c r="A865" s="44"/>
      <c r="B865" s="6"/>
      <c r="C865" s="6"/>
      <c r="D865" s="6"/>
      <c r="E865" s="6"/>
      <c r="F865" s="40"/>
      <c r="G865" s="41"/>
      <c r="H865" s="35" t="str">
        <f aca="false">IF($B865="","",N($F865)*N($G865))</f>
        <v/>
      </c>
      <c r="I865" s="35" t="str">
        <f aca="false">IF($B865="","",N($F865)+$H865)</f>
        <v/>
      </c>
      <c r="J865" s="6"/>
      <c r="K865" s="46" t="str">
        <f aca="false">IF($A865="","",DATE(YEAR($A865),MONTH($A865),1))</f>
        <v/>
      </c>
    </row>
    <row r="866" customFormat="false" ht="15" hidden="false" customHeight="false" outlineLevel="0" collapsed="false">
      <c r="A866" s="44"/>
      <c r="B866" s="6"/>
      <c r="C866" s="6"/>
      <c r="D866" s="6"/>
      <c r="E866" s="6"/>
      <c r="F866" s="40"/>
      <c r="G866" s="41"/>
      <c r="H866" s="35" t="str">
        <f aca="false">IF($B866="","",N($F866)*N($G866))</f>
        <v/>
      </c>
      <c r="I866" s="35" t="str">
        <f aca="false">IF($B866="","",N($F866)+$H866)</f>
        <v/>
      </c>
      <c r="J866" s="6"/>
      <c r="K866" s="46" t="str">
        <f aca="false">IF($A866="","",DATE(YEAR($A866),MONTH($A866),1))</f>
        <v/>
      </c>
    </row>
    <row r="867" customFormat="false" ht="15" hidden="false" customHeight="false" outlineLevel="0" collapsed="false">
      <c r="A867" s="44"/>
      <c r="B867" s="6"/>
      <c r="C867" s="6"/>
      <c r="D867" s="6"/>
      <c r="E867" s="6"/>
      <c r="F867" s="40"/>
      <c r="G867" s="41"/>
      <c r="H867" s="35" t="str">
        <f aca="false">IF($B867="","",N($F867)*N($G867))</f>
        <v/>
      </c>
      <c r="I867" s="35" t="str">
        <f aca="false">IF($B867="","",N($F867)+$H867)</f>
        <v/>
      </c>
      <c r="J867" s="6"/>
      <c r="K867" s="46" t="str">
        <f aca="false">IF($A867="","",DATE(YEAR($A867),MONTH($A867),1))</f>
        <v/>
      </c>
    </row>
    <row r="868" customFormat="false" ht="15" hidden="false" customHeight="false" outlineLevel="0" collapsed="false">
      <c r="A868" s="44"/>
      <c r="B868" s="6"/>
      <c r="C868" s="6"/>
      <c r="D868" s="6"/>
      <c r="E868" s="6"/>
      <c r="F868" s="40"/>
      <c r="G868" s="41"/>
      <c r="H868" s="35" t="str">
        <f aca="false">IF($B868="","",N($F868)*N($G868))</f>
        <v/>
      </c>
      <c r="I868" s="35" t="str">
        <f aca="false">IF($B868="","",N($F868)+$H868)</f>
        <v/>
      </c>
      <c r="J868" s="6"/>
      <c r="K868" s="46" t="str">
        <f aca="false">IF($A868="","",DATE(YEAR($A868),MONTH($A868),1))</f>
        <v/>
      </c>
    </row>
    <row r="869" customFormat="false" ht="15" hidden="false" customHeight="false" outlineLevel="0" collapsed="false">
      <c r="A869" s="44"/>
      <c r="B869" s="6"/>
      <c r="C869" s="6"/>
      <c r="D869" s="6"/>
      <c r="E869" s="6"/>
      <c r="F869" s="40"/>
      <c r="G869" s="41"/>
      <c r="H869" s="35" t="str">
        <f aca="false">IF($B869="","",N($F869)*N($G869))</f>
        <v/>
      </c>
      <c r="I869" s="35" t="str">
        <f aca="false">IF($B869="","",N($F869)+$H869)</f>
        <v/>
      </c>
      <c r="J869" s="6"/>
      <c r="K869" s="46" t="str">
        <f aca="false">IF($A869="","",DATE(YEAR($A869),MONTH($A869),1))</f>
        <v/>
      </c>
    </row>
    <row r="870" customFormat="false" ht="15" hidden="false" customHeight="false" outlineLevel="0" collapsed="false">
      <c r="A870" s="44"/>
      <c r="B870" s="6"/>
      <c r="C870" s="6"/>
      <c r="D870" s="6"/>
      <c r="E870" s="6"/>
      <c r="F870" s="40"/>
      <c r="G870" s="41"/>
      <c r="H870" s="35" t="str">
        <f aca="false">IF($B870="","",N($F870)*N($G870))</f>
        <v/>
      </c>
      <c r="I870" s="35" t="str">
        <f aca="false">IF($B870="","",N($F870)+$H870)</f>
        <v/>
      </c>
      <c r="J870" s="6"/>
      <c r="K870" s="46" t="str">
        <f aca="false">IF($A870="","",DATE(YEAR($A870),MONTH($A870),1))</f>
        <v/>
      </c>
    </row>
    <row r="871" customFormat="false" ht="15" hidden="false" customHeight="false" outlineLevel="0" collapsed="false">
      <c r="A871" s="44"/>
      <c r="B871" s="6"/>
      <c r="C871" s="6"/>
      <c r="D871" s="6"/>
      <c r="E871" s="6"/>
      <c r="F871" s="40"/>
      <c r="G871" s="41"/>
      <c r="H871" s="35" t="str">
        <f aca="false">IF($B871="","",N($F871)*N($G871))</f>
        <v/>
      </c>
      <c r="I871" s="35" t="str">
        <f aca="false">IF($B871="","",N($F871)+$H871)</f>
        <v/>
      </c>
      <c r="J871" s="6"/>
      <c r="K871" s="46" t="str">
        <f aca="false">IF($A871="","",DATE(YEAR($A871),MONTH($A871),1))</f>
        <v/>
      </c>
    </row>
    <row r="872" customFormat="false" ht="15" hidden="false" customHeight="false" outlineLevel="0" collapsed="false">
      <c r="A872" s="44"/>
      <c r="B872" s="6"/>
      <c r="C872" s="6"/>
      <c r="D872" s="6"/>
      <c r="E872" s="6"/>
      <c r="F872" s="40"/>
      <c r="G872" s="41"/>
      <c r="H872" s="35" t="str">
        <f aca="false">IF($B872="","",N($F872)*N($G872))</f>
        <v/>
      </c>
      <c r="I872" s="35" t="str">
        <f aca="false">IF($B872="","",N($F872)+$H872)</f>
        <v/>
      </c>
      <c r="J872" s="6"/>
      <c r="K872" s="46" t="str">
        <f aca="false">IF($A872="","",DATE(YEAR($A872),MONTH($A872),1))</f>
        <v/>
      </c>
    </row>
    <row r="873" customFormat="false" ht="15" hidden="false" customHeight="false" outlineLevel="0" collapsed="false">
      <c r="A873" s="44"/>
      <c r="B873" s="6"/>
      <c r="C873" s="6"/>
      <c r="D873" s="6"/>
      <c r="E873" s="6"/>
      <c r="F873" s="40"/>
      <c r="G873" s="41"/>
      <c r="H873" s="35" t="str">
        <f aca="false">IF($B873="","",N($F873)*N($G873))</f>
        <v/>
      </c>
      <c r="I873" s="35" t="str">
        <f aca="false">IF($B873="","",N($F873)+$H873)</f>
        <v/>
      </c>
      <c r="J873" s="6"/>
      <c r="K873" s="46" t="str">
        <f aca="false">IF($A873="","",DATE(YEAR($A873),MONTH($A873),1))</f>
        <v/>
      </c>
    </row>
    <row r="874" customFormat="false" ht="15" hidden="false" customHeight="false" outlineLevel="0" collapsed="false">
      <c r="A874" s="44"/>
      <c r="B874" s="6"/>
      <c r="C874" s="6"/>
      <c r="D874" s="6"/>
      <c r="E874" s="6"/>
      <c r="F874" s="40"/>
      <c r="G874" s="41"/>
      <c r="H874" s="35" t="str">
        <f aca="false">IF($B874="","",N($F874)*N($G874))</f>
        <v/>
      </c>
      <c r="I874" s="35" t="str">
        <f aca="false">IF($B874="","",N($F874)+$H874)</f>
        <v/>
      </c>
      <c r="J874" s="6"/>
      <c r="K874" s="46" t="str">
        <f aca="false">IF($A874="","",DATE(YEAR($A874),MONTH($A874),1))</f>
        <v/>
      </c>
    </row>
    <row r="875" customFormat="false" ht="15" hidden="false" customHeight="false" outlineLevel="0" collapsed="false">
      <c r="A875" s="44"/>
      <c r="B875" s="6"/>
      <c r="C875" s="6"/>
      <c r="D875" s="6"/>
      <c r="E875" s="6"/>
      <c r="F875" s="40"/>
      <c r="G875" s="41"/>
      <c r="H875" s="35" t="str">
        <f aca="false">IF($B875="","",N($F875)*N($G875))</f>
        <v/>
      </c>
      <c r="I875" s="35" t="str">
        <f aca="false">IF($B875="","",N($F875)+$H875)</f>
        <v/>
      </c>
      <c r="J875" s="6"/>
      <c r="K875" s="46" t="str">
        <f aca="false">IF($A875="","",DATE(YEAR($A875),MONTH($A875),1))</f>
        <v/>
      </c>
    </row>
    <row r="876" customFormat="false" ht="15" hidden="false" customHeight="false" outlineLevel="0" collapsed="false">
      <c r="A876" s="44"/>
      <c r="B876" s="6"/>
      <c r="C876" s="6"/>
      <c r="D876" s="6"/>
      <c r="E876" s="6"/>
      <c r="F876" s="40"/>
      <c r="G876" s="41"/>
      <c r="H876" s="35" t="str">
        <f aca="false">IF($B876="","",N($F876)*N($G876))</f>
        <v/>
      </c>
      <c r="I876" s="35" t="str">
        <f aca="false">IF($B876="","",N($F876)+$H876)</f>
        <v/>
      </c>
      <c r="J876" s="6"/>
      <c r="K876" s="46" t="str">
        <f aca="false">IF($A876="","",DATE(YEAR($A876),MONTH($A876),1))</f>
        <v/>
      </c>
    </row>
    <row r="877" customFormat="false" ht="15" hidden="false" customHeight="false" outlineLevel="0" collapsed="false">
      <c r="A877" s="44"/>
      <c r="B877" s="6"/>
      <c r="C877" s="6"/>
      <c r="D877" s="6"/>
      <c r="E877" s="6"/>
      <c r="F877" s="40"/>
      <c r="G877" s="41"/>
      <c r="H877" s="35" t="str">
        <f aca="false">IF($B877="","",N($F877)*N($G877))</f>
        <v/>
      </c>
      <c r="I877" s="35" t="str">
        <f aca="false">IF($B877="","",N($F877)+$H877)</f>
        <v/>
      </c>
      <c r="J877" s="6"/>
      <c r="K877" s="46" t="str">
        <f aca="false">IF($A877="","",DATE(YEAR($A877),MONTH($A877),1))</f>
        <v/>
      </c>
    </row>
    <row r="878" customFormat="false" ht="15" hidden="false" customHeight="false" outlineLevel="0" collapsed="false">
      <c r="A878" s="44"/>
      <c r="B878" s="6"/>
      <c r="C878" s="6"/>
      <c r="D878" s="6"/>
      <c r="E878" s="6"/>
      <c r="F878" s="40"/>
      <c r="G878" s="41"/>
      <c r="H878" s="35" t="str">
        <f aca="false">IF($B878="","",N($F878)*N($G878))</f>
        <v/>
      </c>
      <c r="I878" s="35" t="str">
        <f aca="false">IF($B878="","",N($F878)+$H878)</f>
        <v/>
      </c>
      <c r="J878" s="6"/>
      <c r="K878" s="46" t="str">
        <f aca="false">IF($A878="","",DATE(YEAR($A878),MONTH($A878),1))</f>
        <v/>
      </c>
    </row>
    <row r="879" customFormat="false" ht="15" hidden="false" customHeight="false" outlineLevel="0" collapsed="false">
      <c r="A879" s="44"/>
      <c r="B879" s="6"/>
      <c r="C879" s="6"/>
      <c r="D879" s="6"/>
      <c r="E879" s="6"/>
      <c r="F879" s="40"/>
      <c r="G879" s="41"/>
      <c r="H879" s="35" t="str">
        <f aca="false">IF($B879="","",N($F879)*N($G879))</f>
        <v/>
      </c>
      <c r="I879" s="35" t="str">
        <f aca="false">IF($B879="","",N($F879)+$H879)</f>
        <v/>
      </c>
      <c r="J879" s="6"/>
      <c r="K879" s="46" t="str">
        <f aca="false">IF($A879="","",DATE(YEAR($A879),MONTH($A879),1))</f>
        <v/>
      </c>
    </row>
    <row r="880" customFormat="false" ht="15" hidden="false" customHeight="false" outlineLevel="0" collapsed="false">
      <c r="A880" s="44"/>
      <c r="B880" s="6"/>
      <c r="C880" s="6"/>
      <c r="D880" s="6"/>
      <c r="E880" s="6"/>
      <c r="F880" s="40"/>
      <c r="G880" s="41"/>
      <c r="H880" s="35" t="str">
        <f aca="false">IF($B880="","",N($F880)*N($G880))</f>
        <v/>
      </c>
      <c r="I880" s="35" t="str">
        <f aca="false">IF($B880="","",N($F880)+$H880)</f>
        <v/>
      </c>
      <c r="J880" s="6"/>
      <c r="K880" s="46" t="str">
        <f aca="false">IF($A880="","",DATE(YEAR($A880),MONTH($A880),1))</f>
        <v/>
      </c>
    </row>
    <row r="881" customFormat="false" ht="15" hidden="false" customHeight="false" outlineLevel="0" collapsed="false">
      <c r="A881" s="44"/>
      <c r="B881" s="6"/>
      <c r="C881" s="6"/>
      <c r="D881" s="6"/>
      <c r="E881" s="6"/>
      <c r="F881" s="40"/>
      <c r="G881" s="41"/>
      <c r="H881" s="35" t="str">
        <f aca="false">IF($B881="","",N($F881)*N($G881))</f>
        <v/>
      </c>
      <c r="I881" s="35" t="str">
        <f aca="false">IF($B881="","",N($F881)+$H881)</f>
        <v/>
      </c>
      <c r="J881" s="6"/>
      <c r="K881" s="46" t="str">
        <f aca="false">IF($A881="","",DATE(YEAR($A881),MONTH($A881),1))</f>
        <v/>
      </c>
    </row>
    <row r="882" customFormat="false" ht="15" hidden="false" customHeight="false" outlineLevel="0" collapsed="false">
      <c r="A882" s="44"/>
      <c r="B882" s="6"/>
      <c r="C882" s="6"/>
      <c r="D882" s="6"/>
      <c r="E882" s="6"/>
      <c r="F882" s="40"/>
      <c r="G882" s="41"/>
      <c r="H882" s="35" t="str">
        <f aca="false">IF($B882="","",N($F882)*N($G882))</f>
        <v/>
      </c>
      <c r="I882" s="35" t="str">
        <f aca="false">IF($B882="","",N($F882)+$H882)</f>
        <v/>
      </c>
      <c r="J882" s="6"/>
      <c r="K882" s="46" t="str">
        <f aca="false">IF($A882="","",DATE(YEAR($A882),MONTH($A882),1))</f>
        <v/>
      </c>
    </row>
    <row r="883" customFormat="false" ht="15" hidden="false" customHeight="false" outlineLevel="0" collapsed="false">
      <c r="A883" s="44"/>
      <c r="B883" s="6"/>
      <c r="C883" s="6"/>
      <c r="D883" s="6"/>
      <c r="E883" s="6"/>
      <c r="F883" s="40"/>
      <c r="G883" s="41"/>
      <c r="H883" s="35" t="str">
        <f aca="false">IF($B883="","",N($F883)*N($G883))</f>
        <v/>
      </c>
      <c r="I883" s="35" t="str">
        <f aca="false">IF($B883="","",N($F883)+$H883)</f>
        <v/>
      </c>
      <c r="J883" s="6"/>
      <c r="K883" s="46" t="str">
        <f aca="false">IF($A883="","",DATE(YEAR($A883),MONTH($A883),1))</f>
        <v/>
      </c>
    </row>
    <row r="884" customFormat="false" ht="15" hidden="false" customHeight="false" outlineLevel="0" collapsed="false">
      <c r="A884" s="44"/>
      <c r="B884" s="6"/>
      <c r="C884" s="6"/>
      <c r="D884" s="6"/>
      <c r="E884" s="6"/>
      <c r="F884" s="40"/>
      <c r="G884" s="41"/>
      <c r="H884" s="35" t="str">
        <f aca="false">IF($B884="","",N($F884)*N($G884))</f>
        <v/>
      </c>
      <c r="I884" s="35" t="str">
        <f aca="false">IF($B884="","",N($F884)+$H884)</f>
        <v/>
      </c>
      <c r="J884" s="6"/>
      <c r="K884" s="46" t="str">
        <f aca="false">IF($A884="","",DATE(YEAR($A884),MONTH($A884),1))</f>
        <v/>
      </c>
    </row>
    <row r="885" customFormat="false" ht="15" hidden="false" customHeight="false" outlineLevel="0" collapsed="false">
      <c r="A885" s="44"/>
      <c r="B885" s="6"/>
      <c r="C885" s="6"/>
      <c r="D885" s="6"/>
      <c r="E885" s="6"/>
      <c r="F885" s="40"/>
      <c r="G885" s="41"/>
      <c r="H885" s="35" t="str">
        <f aca="false">IF($B885="","",N($F885)*N($G885))</f>
        <v/>
      </c>
      <c r="I885" s="35" t="str">
        <f aca="false">IF($B885="","",N($F885)+$H885)</f>
        <v/>
      </c>
      <c r="J885" s="6"/>
      <c r="K885" s="46" t="str">
        <f aca="false">IF($A885="","",DATE(YEAR($A885),MONTH($A885),1))</f>
        <v/>
      </c>
    </row>
    <row r="886" customFormat="false" ht="15" hidden="false" customHeight="false" outlineLevel="0" collapsed="false">
      <c r="A886" s="44"/>
      <c r="B886" s="6"/>
      <c r="C886" s="6"/>
      <c r="D886" s="6"/>
      <c r="E886" s="6"/>
      <c r="F886" s="40"/>
      <c r="G886" s="41"/>
      <c r="H886" s="35" t="str">
        <f aca="false">IF($B886="","",N($F886)*N($G886))</f>
        <v/>
      </c>
      <c r="I886" s="35" t="str">
        <f aca="false">IF($B886="","",N($F886)+$H886)</f>
        <v/>
      </c>
      <c r="J886" s="6"/>
      <c r="K886" s="46" t="str">
        <f aca="false">IF($A886="","",DATE(YEAR($A886),MONTH($A886),1))</f>
        <v/>
      </c>
    </row>
    <row r="887" customFormat="false" ht="15" hidden="false" customHeight="false" outlineLevel="0" collapsed="false">
      <c r="A887" s="44"/>
      <c r="B887" s="6"/>
      <c r="C887" s="6"/>
      <c r="D887" s="6"/>
      <c r="E887" s="6"/>
      <c r="F887" s="40"/>
      <c r="G887" s="41"/>
      <c r="H887" s="35" t="str">
        <f aca="false">IF($B887="","",N($F887)*N($G887))</f>
        <v/>
      </c>
      <c r="I887" s="35" t="str">
        <f aca="false">IF($B887="","",N($F887)+$H887)</f>
        <v/>
      </c>
      <c r="J887" s="6"/>
      <c r="K887" s="46" t="str">
        <f aca="false">IF($A887="","",DATE(YEAR($A887),MONTH($A887),1))</f>
        <v/>
      </c>
    </row>
    <row r="888" customFormat="false" ht="15" hidden="false" customHeight="false" outlineLevel="0" collapsed="false">
      <c r="A888" s="44"/>
      <c r="B888" s="6"/>
      <c r="C888" s="6"/>
      <c r="D888" s="6"/>
      <c r="E888" s="6"/>
      <c r="F888" s="40"/>
      <c r="G888" s="41"/>
      <c r="H888" s="35" t="str">
        <f aca="false">IF($B888="","",N($F888)*N($G888))</f>
        <v/>
      </c>
      <c r="I888" s="35" t="str">
        <f aca="false">IF($B888="","",N($F888)+$H888)</f>
        <v/>
      </c>
      <c r="J888" s="6"/>
      <c r="K888" s="46" t="str">
        <f aca="false">IF($A888="","",DATE(YEAR($A888),MONTH($A888),1))</f>
        <v/>
      </c>
    </row>
    <row r="889" customFormat="false" ht="15" hidden="false" customHeight="false" outlineLevel="0" collapsed="false">
      <c r="A889" s="44"/>
      <c r="B889" s="6"/>
      <c r="C889" s="6"/>
      <c r="D889" s="6"/>
      <c r="E889" s="6"/>
      <c r="F889" s="40"/>
      <c r="G889" s="41"/>
      <c r="H889" s="35" t="str">
        <f aca="false">IF($B889="","",N($F889)*N($G889))</f>
        <v/>
      </c>
      <c r="I889" s="35" t="str">
        <f aca="false">IF($B889="","",N($F889)+$H889)</f>
        <v/>
      </c>
      <c r="J889" s="6"/>
      <c r="K889" s="46" t="str">
        <f aca="false">IF($A889="","",DATE(YEAR($A889),MONTH($A889),1))</f>
        <v/>
      </c>
    </row>
    <row r="890" customFormat="false" ht="15" hidden="false" customHeight="false" outlineLevel="0" collapsed="false">
      <c r="A890" s="44"/>
      <c r="B890" s="6"/>
      <c r="C890" s="6"/>
      <c r="D890" s="6"/>
      <c r="E890" s="6"/>
      <c r="F890" s="40"/>
      <c r="G890" s="41"/>
      <c r="H890" s="35" t="str">
        <f aca="false">IF($B890="","",N($F890)*N($G890))</f>
        <v/>
      </c>
      <c r="I890" s="35" t="str">
        <f aca="false">IF($B890="","",N($F890)+$H890)</f>
        <v/>
      </c>
      <c r="J890" s="6"/>
      <c r="K890" s="46" t="str">
        <f aca="false">IF($A890="","",DATE(YEAR($A890),MONTH($A890),1))</f>
        <v/>
      </c>
    </row>
    <row r="891" customFormat="false" ht="15" hidden="false" customHeight="false" outlineLevel="0" collapsed="false">
      <c r="A891" s="44"/>
      <c r="B891" s="6"/>
      <c r="C891" s="6"/>
      <c r="D891" s="6"/>
      <c r="E891" s="6"/>
      <c r="F891" s="40"/>
      <c r="G891" s="41"/>
      <c r="H891" s="35" t="str">
        <f aca="false">IF($B891="","",N($F891)*N($G891))</f>
        <v/>
      </c>
      <c r="I891" s="35" t="str">
        <f aca="false">IF($B891="","",N($F891)+$H891)</f>
        <v/>
      </c>
      <c r="J891" s="6"/>
      <c r="K891" s="46" t="str">
        <f aca="false">IF($A891="","",DATE(YEAR($A891),MONTH($A891),1))</f>
        <v/>
      </c>
    </row>
    <row r="892" customFormat="false" ht="15" hidden="false" customHeight="false" outlineLevel="0" collapsed="false">
      <c r="A892" s="44"/>
      <c r="B892" s="6"/>
      <c r="C892" s="6"/>
      <c r="D892" s="6"/>
      <c r="E892" s="6"/>
      <c r="F892" s="40"/>
      <c r="G892" s="41"/>
      <c r="H892" s="35" t="str">
        <f aca="false">IF($B892="","",N($F892)*N($G892))</f>
        <v/>
      </c>
      <c r="I892" s="35" t="str">
        <f aca="false">IF($B892="","",N($F892)+$H892)</f>
        <v/>
      </c>
      <c r="J892" s="6"/>
      <c r="K892" s="46" t="str">
        <f aca="false">IF($A892="","",DATE(YEAR($A892),MONTH($A892),1))</f>
        <v/>
      </c>
    </row>
    <row r="893" customFormat="false" ht="15" hidden="false" customHeight="false" outlineLevel="0" collapsed="false">
      <c r="A893" s="44"/>
      <c r="B893" s="6"/>
      <c r="C893" s="6"/>
      <c r="D893" s="6"/>
      <c r="E893" s="6"/>
      <c r="F893" s="40"/>
      <c r="G893" s="41"/>
      <c r="H893" s="35" t="str">
        <f aca="false">IF($B893="","",N($F893)*N($G893))</f>
        <v/>
      </c>
      <c r="I893" s="35" t="str">
        <f aca="false">IF($B893="","",N($F893)+$H893)</f>
        <v/>
      </c>
      <c r="J893" s="6"/>
      <c r="K893" s="46" t="str">
        <f aca="false">IF($A893="","",DATE(YEAR($A893),MONTH($A893),1))</f>
        <v/>
      </c>
    </row>
    <row r="894" customFormat="false" ht="15" hidden="false" customHeight="false" outlineLevel="0" collapsed="false">
      <c r="A894" s="44"/>
      <c r="B894" s="6"/>
      <c r="C894" s="6"/>
      <c r="D894" s="6"/>
      <c r="E894" s="6"/>
      <c r="F894" s="40"/>
      <c r="G894" s="41"/>
      <c r="H894" s="35" t="str">
        <f aca="false">IF($B894="","",N($F894)*N($G894))</f>
        <v/>
      </c>
      <c r="I894" s="35" t="str">
        <f aca="false">IF($B894="","",N($F894)+$H894)</f>
        <v/>
      </c>
      <c r="J894" s="6"/>
      <c r="K894" s="46" t="str">
        <f aca="false">IF($A894="","",DATE(YEAR($A894),MONTH($A894),1))</f>
        <v/>
      </c>
    </row>
    <row r="895" customFormat="false" ht="15" hidden="false" customHeight="false" outlineLevel="0" collapsed="false">
      <c r="A895" s="44"/>
      <c r="B895" s="6"/>
      <c r="C895" s="6"/>
      <c r="D895" s="6"/>
      <c r="E895" s="6"/>
      <c r="F895" s="40"/>
      <c r="G895" s="41"/>
      <c r="H895" s="35" t="str">
        <f aca="false">IF($B895="","",N($F895)*N($G895))</f>
        <v/>
      </c>
      <c r="I895" s="35" t="str">
        <f aca="false">IF($B895="","",N($F895)+$H895)</f>
        <v/>
      </c>
      <c r="J895" s="6"/>
      <c r="K895" s="46" t="str">
        <f aca="false">IF($A895="","",DATE(YEAR($A895),MONTH($A895),1))</f>
        <v/>
      </c>
    </row>
    <row r="896" customFormat="false" ht="15" hidden="false" customHeight="false" outlineLevel="0" collapsed="false">
      <c r="A896" s="44"/>
      <c r="B896" s="6"/>
      <c r="C896" s="6"/>
      <c r="D896" s="6"/>
      <c r="E896" s="6"/>
      <c r="F896" s="40"/>
      <c r="G896" s="41"/>
      <c r="H896" s="35" t="str">
        <f aca="false">IF($B896="","",N($F896)*N($G896))</f>
        <v/>
      </c>
      <c r="I896" s="35" t="str">
        <f aca="false">IF($B896="","",N($F896)+$H896)</f>
        <v/>
      </c>
      <c r="J896" s="6"/>
      <c r="K896" s="46" t="str">
        <f aca="false">IF($A896="","",DATE(YEAR($A896),MONTH($A896),1))</f>
        <v/>
      </c>
    </row>
    <row r="897" customFormat="false" ht="15" hidden="false" customHeight="false" outlineLevel="0" collapsed="false">
      <c r="A897" s="44"/>
      <c r="B897" s="6"/>
      <c r="C897" s="6"/>
      <c r="D897" s="6"/>
      <c r="E897" s="6"/>
      <c r="F897" s="40"/>
      <c r="G897" s="41"/>
      <c r="H897" s="35" t="str">
        <f aca="false">IF($B897="","",N($F897)*N($G897))</f>
        <v/>
      </c>
      <c r="I897" s="35" t="str">
        <f aca="false">IF($B897="","",N($F897)+$H897)</f>
        <v/>
      </c>
      <c r="J897" s="6"/>
      <c r="K897" s="46" t="str">
        <f aca="false">IF($A897="","",DATE(YEAR($A897),MONTH($A897),1))</f>
        <v/>
      </c>
    </row>
    <row r="898" customFormat="false" ht="15" hidden="false" customHeight="false" outlineLevel="0" collapsed="false">
      <c r="A898" s="44"/>
      <c r="B898" s="6"/>
      <c r="C898" s="6"/>
      <c r="D898" s="6"/>
      <c r="E898" s="6"/>
      <c r="F898" s="40"/>
      <c r="G898" s="41"/>
      <c r="H898" s="35" t="str">
        <f aca="false">IF($B898="","",N($F898)*N($G898))</f>
        <v/>
      </c>
      <c r="I898" s="35" t="str">
        <f aca="false">IF($B898="","",N($F898)+$H898)</f>
        <v/>
      </c>
      <c r="J898" s="6"/>
      <c r="K898" s="46" t="str">
        <f aca="false">IF($A898="","",DATE(YEAR($A898),MONTH($A898),1))</f>
        <v/>
      </c>
    </row>
    <row r="899" customFormat="false" ht="15" hidden="false" customHeight="false" outlineLevel="0" collapsed="false">
      <c r="A899" s="44"/>
      <c r="B899" s="6"/>
      <c r="C899" s="6"/>
      <c r="D899" s="6"/>
      <c r="E899" s="6"/>
      <c r="F899" s="40"/>
      <c r="G899" s="41"/>
      <c r="H899" s="35" t="str">
        <f aca="false">IF($B899="","",N($F899)*N($G899))</f>
        <v/>
      </c>
      <c r="I899" s="35" t="str">
        <f aca="false">IF($B899="","",N($F899)+$H899)</f>
        <v/>
      </c>
      <c r="J899" s="6"/>
      <c r="K899" s="46" t="str">
        <f aca="false">IF($A899="","",DATE(YEAR($A899),MONTH($A899),1))</f>
        <v/>
      </c>
    </row>
    <row r="900" customFormat="false" ht="15" hidden="false" customHeight="false" outlineLevel="0" collapsed="false">
      <c r="A900" s="44"/>
      <c r="B900" s="6"/>
      <c r="C900" s="6"/>
      <c r="D900" s="6"/>
      <c r="E900" s="6"/>
      <c r="F900" s="40"/>
      <c r="G900" s="41"/>
      <c r="H900" s="35" t="str">
        <f aca="false">IF($B900="","",N($F900)*N($G900))</f>
        <v/>
      </c>
      <c r="I900" s="35" t="str">
        <f aca="false">IF($B900="","",N($F900)+$H900)</f>
        <v/>
      </c>
      <c r="J900" s="6"/>
      <c r="K900" s="46" t="str">
        <f aca="false">IF($A900="","",DATE(YEAR($A900),MONTH($A900),1))</f>
        <v/>
      </c>
    </row>
    <row r="901" customFormat="false" ht="15" hidden="false" customHeight="false" outlineLevel="0" collapsed="false">
      <c r="A901" s="44"/>
      <c r="B901" s="6"/>
      <c r="C901" s="6"/>
      <c r="D901" s="6"/>
      <c r="E901" s="6"/>
      <c r="F901" s="40"/>
      <c r="G901" s="41"/>
      <c r="H901" s="35" t="str">
        <f aca="false">IF($B901="","",N($F901)*N($G901))</f>
        <v/>
      </c>
      <c r="I901" s="35" t="str">
        <f aca="false">IF($B901="","",N($F901)+$H901)</f>
        <v/>
      </c>
      <c r="J901" s="6"/>
      <c r="K901" s="46" t="str">
        <f aca="false">IF($A901="","",DATE(YEAR($A901),MONTH($A901),1))</f>
        <v/>
      </c>
    </row>
    <row r="902" customFormat="false" ht="15" hidden="false" customHeight="false" outlineLevel="0" collapsed="false">
      <c r="A902" s="44"/>
      <c r="B902" s="6"/>
      <c r="C902" s="6"/>
      <c r="D902" s="6"/>
      <c r="E902" s="6"/>
      <c r="F902" s="40"/>
      <c r="G902" s="41"/>
      <c r="H902" s="35" t="str">
        <f aca="false">IF($B902="","",N($F902)*N($G902))</f>
        <v/>
      </c>
      <c r="I902" s="35" t="str">
        <f aca="false">IF($B902="","",N($F902)+$H902)</f>
        <v/>
      </c>
      <c r="J902" s="6"/>
      <c r="K902" s="46" t="str">
        <f aca="false">IF($A902="","",DATE(YEAR($A902),MONTH($A902),1))</f>
        <v/>
      </c>
    </row>
    <row r="903" customFormat="false" ht="15" hidden="false" customHeight="false" outlineLevel="0" collapsed="false">
      <c r="A903" s="44"/>
      <c r="B903" s="6"/>
      <c r="C903" s="6"/>
      <c r="D903" s="6"/>
      <c r="E903" s="6"/>
      <c r="F903" s="40"/>
      <c r="G903" s="41"/>
      <c r="H903" s="35" t="str">
        <f aca="false">IF($B903="","",N($F903)*N($G903))</f>
        <v/>
      </c>
      <c r="I903" s="35" t="str">
        <f aca="false">IF($B903="","",N($F903)+$H903)</f>
        <v/>
      </c>
      <c r="J903" s="6"/>
      <c r="K903" s="46" t="str">
        <f aca="false">IF($A903="","",DATE(YEAR($A903),MONTH($A903),1))</f>
        <v/>
      </c>
    </row>
    <row r="904" customFormat="false" ht="15" hidden="false" customHeight="false" outlineLevel="0" collapsed="false">
      <c r="A904" s="44"/>
      <c r="B904" s="6"/>
      <c r="C904" s="6"/>
      <c r="D904" s="6"/>
      <c r="E904" s="6"/>
      <c r="F904" s="40"/>
      <c r="G904" s="41"/>
      <c r="H904" s="35" t="str">
        <f aca="false">IF($B904="","",N($F904)*N($G904))</f>
        <v/>
      </c>
      <c r="I904" s="35" t="str">
        <f aca="false">IF($B904="","",N($F904)+$H904)</f>
        <v/>
      </c>
      <c r="J904" s="6"/>
      <c r="K904" s="46" t="str">
        <f aca="false">IF($A904="","",DATE(YEAR($A904),MONTH($A904),1))</f>
        <v/>
      </c>
    </row>
    <row r="905" customFormat="false" ht="15" hidden="false" customHeight="false" outlineLevel="0" collapsed="false">
      <c r="A905" s="44"/>
      <c r="B905" s="6"/>
      <c r="C905" s="6"/>
      <c r="D905" s="6"/>
      <c r="E905" s="6"/>
      <c r="F905" s="40"/>
      <c r="G905" s="41"/>
      <c r="H905" s="35" t="str">
        <f aca="false">IF($B905="","",N($F905)*N($G905))</f>
        <v/>
      </c>
      <c r="I905" s="35" t="str">
        <f aca="false">IF($B905="","",N($F905)+$H905)</f>
        <v/>
      </c>
      <c r="J905" s="6"/>
      <c r="K905" s="46" t="str">
        <f aca="false">IF($A905="","",DATE(YEAR($A905),MONTH($A905),1))</f>
        <v/>
      </c>
    </row>
    <row r="906" customFormat="false" ht="15" hidden="false" customHeight="false" outlineLevel="0" collapsed="false">
      <c r="A906" s="44"/>
      <c r="B906" s="6"/>
      <c r="C906" s="6"/>
      <c r="D906" s="6"/>
      <c r="E906" s="6"/>
      <c r="F906" s="40"/>
      <c r="G906" s="41"/>
      <c r="H906" s="35" t="str">
        <f aca="false">IF($B906="","",N($F906)*N($G906))</f>
        <v/>
      </c>
      <c r="I906" s="35" t="str">
        <f aca="false">IF($B906="","",N($F906)+$H906)</f>
        <v/>
      </c>
      <c r="J906" s="6"/>
      <c r="K906" s="46" t="str">
        <f aca="false">IF($A906="","",DATE(YEAR($A906),MONTH($A906),1))</f>
        <v/>
      </c>
    </row>
    <row r="907" customFormat="false" ht="15" hidden="false" customHeight="false" outlineLevel="0" collapsed="false">
      <c r="A907" s="44"/>
      <c r="B907" s="6"/>
      <c r="C907" s="6"/>
      <c r="D907" s="6"/>
      <c r="E907" s="6"/>
      <c r="F907" s="40"/>
      <c r="G907" s="41"/>
      <c r="H907" s="35" t="str">
        <f aca="false">IF($B907="","",N($F907)*N($G907))</f>
        <v/>
      </c>
      <c r="I907" s="35" t="str">
        <f aca="false">IF($B907="","",N($F907)+$H907)</f>
        <v/>
      </c>
      <c r="J907" s="6"/>
      <c r="K907" s="46" t="str">
        <f aca="false">IF($A907="","",DATE(YEAR($A907),MONTH($A907),1))</f>
        <v/>
      </c>
    </row>
    <row r="908" customFormat="false" ht="15" hidden="false" customHeight="false" outlineLevel="0" collapsed="false">
      <c r="A908" s="44"/>
      <c r="B908" s="6"/>
      <c r="C908" s="6"/>
      <c r="D908" s="6"/>
      <c r="E908" s="6"/>
      <c r="F908" s="40"/>
      <c r="G908" s="41"/>
      <c r="H908" s="35" t="str">
        <f aca="false">IF($B908="","",N($F908)*N($G908))</f>
        <v/>
      </c>
      <c r="I908" s="35" t="str">
        <f aca="false">IF($B908="","",N($F908)+$H908)</f>
        <v/>
      </c>
      <c r="J908" s="6"/>
      <c r="K908" s="46" t="str">
        <f aca="false">IF($A908="","",DATE(YEAR($A908),MONTH($A908),1))</f>
        <v/>
      </c>
    </row>
    <row r="909" customFormat="false" ht="15" hidden="false" customHeight="false" outlineLevel="0" collapsed="false">
      <c r="A909" s="44"/>
      <c r="B909" s="6"/>
      <c r="C909" s="6"/>
      <c r="D909" s="6"/>
      <c r="E909" s="6"/>
      <c r="F909" s="40"/>
      <c r="G909" s="41"/>
      <c r="H909" s="35" t="str">
        <f aca="false">IF($B909="","",N($F909)*N($G909))</f>
        <v/>
      </c>
      <c r="I909" s="35" t="str">
        <f aca="false">IF($B909="","",N($F909)+$H909)</f>
        <v/>
      </c>
      <c r="J909" s="6"/>
      <c r="K909" s="46" t="str">
        <f aca="false">IF($A909="","",DATE(YEAR($A909),MONTH($A909),1))</f>
        <v/>
      </c>
    </row>
    <row r="910" customFormat="false" ht="15" hidden="false" customHeight="false" outlineLevel="0" collapsed="false">
      <c r="A910" s="44"/>
      <c r="B910" s="6"/>
      <c r="C910" s="6"/>
      <c r="D910" s="6"/>
      <c r="E910" s="6"/>
      <c r="F910" s="40"/>
      <c r="G910" s="41"/>
      <c r="H910" s="35" t="str">
        <f aca="false">IF($B910="","",N($F910)*N($G910))</f>
        <v/>
      </c>
      <c r="I910" s="35" t="str">
        <f aca="false">IF($B910="","",N($F910)+$H910)</f>
        <v/>
      </c>
      <c r="J910" s="6"/>
      <c r="K910" s="46" t="str">
        <f aca="false">IF($A910="","",DATE(YEAR($A910),MONTH($A910),1))</f>
        <v/>
      </c>
    </row>
    <row r="911" customFormat="false" ht="15" hidden="false" customHeight="false" outlineLevel="0" collapsed="false">
      <c r="A911" s="44"/>
      <c r="B911" s="6"/>
      <c r="C911" s="6"/>
      <c r="D911" s="6"/>
      <c r="E911" s="6"/>
      <c r="F911" s="40"/>
      <c r="G911" s="41"/>
      <c r="H911" s="35" t="str">
        <f aca="false">IF($B911="","",N($F911)*N($G911))</f>
        <v/>
      </c>
      <c r="I911" s="35" t="str">
        <f aca="false">IF($B911="","",N($F911)+$H911)</f>
        <v/>
      </c>
      <c r="J911" s="6"/>
      <c r="K911" s="46" t="str">
        <f aca="false">IF($A911="","",DATE(YEAR($A911),MONTH($A911),1))</f>
        <v/>
      </c>
    </row>
    <row r="912" customFormat="false" ht="15" hidden="false" customHeight="false" outlineLevel="0" collapsed="false">
      <c r="A912" s="44"/>
      <c r="B912" s="6"/>
      <c r="C912" s="6"/>
      <c r="D912" s="6"/>
      <c r="E912" s="6"/>
      <c r="F912" s="40"/>
      <c r="G912" s="41"/>
      <c r="H912" s="35" t="str">
        <f aca="false">IF($B912="","",N($F912)*N($G912))</f>
        <v/>
      </c>
      <c r="I912" s="35" t="str">
        <f aca="false">IF($B912="","",N($F912)+$H912)</f>
        <v/>
      </c>
      <c r="J912" s="6"/>
      <c r="K912" s="46" t="str">
        <f aca="false">IF($A912="","",DATE(YEAR($A912),MONTH($A912),1))</f>
        <v/>
      </c>
    </row>
    <row r="913" customFormat="false" ht="15" hidden="false" customHeight="false" outlineLevel="0" collapsed="false">
      <c r="A913" s="44"/>
      <c r="B913" s="6"/>
      <c r="C913" s="6"/>
      <c r="D913" s="6"/>
      <c r="E913" s="6"/>
      <c r="F913" s="40"/>
      <c r="G913" s="41"/>
      <c r="H913" s="35" t="str">
        <f aca="false">IF($B913="","",N($F913)*N($G913))</f>
        <v/>
      </c>
      <c r="I913" s="35" t="str">
        <f aca="false">IF($B913="","",N($F913)+$H913)</f>
        <v/>
      </c>
      <c r="J913" s="6"/>
      <c r="K913" s="46" t="str">
        <f aca="false">IF($A913="","",DATE(YEAR($A913),MONTH($A913),1))</f>
        <v/>
      </c>
    </row>
    <row r="914" customFormat="false" ht="15" hidden="false" customHeight="false" outlineLevel="0" collapsed="false">
      <c r="A914" s="44"/>
      <c r="B914" s="6"/>
      <c r="C914" s="6"/>
      <c r="D914" s="6"/>
      <c r="E914" s="6"/>
      <c r="F914" s="40"/>
      <c r="G914" s="41"/>
      <c r="H914" s="35" t="str">
        <f aca="false">IF($B914="","",N($F914)*N($G914))</f>
        <v/>
      </c>
      <c r="I914" s="35" t="str">
        <f aca="false">IF($B914="","",N($F914)+$H914)</f>
        <v/>
      </c>
      <c r="J914" s="6"/>
      <c r="K914" s="46" t="str">
        <f aca="false">IF($A914="","",DATE(YEAR($A914),MONTH($A914),1))</f>
        <v/>
      </c>
    </row>
    <row r="915" customFormat="false" ht="15" hidden="false" customHeight="false" outlineLevel="0" collapsed="false">
      <c r="A915" s="44"/>
      <c r="B915" s="6"/>
      <c r="C915" s="6"/>
      <c r="D915" s="6"/>
      <c r="E915" s="6"/>
      <c r="F915" s="40"/>
      <c r="G915" s="41"/>
      <c r="H915" s="35" t="str">
        <f aca="false">IF($B915="","",N($F915)*N($G915))</f>
        <v/>
      </c>
      <c r="I915" s="35" t="str">
        <f aca="false">IF($B915="","",N($F915)+$H915)</f>
        <v/>
      </c>
      <c r="J915" s="6"/>
      <c r="K915" s="46" t="str">
        <f aca="false">IF($A915="","",DATE(YEAR($A915),MONTH($A915),1))</f>
        <v/>
      </c>
    </row>
    <row r="916" customFormat="false" ht="15" hidden="false" customHeight="false" outlineLevel="0" collapsed="false">
      <c r="A916" s="44"/>
      <c r="B916" s="6"/>
      <c r="C916" s="6"/>
      <c r="D916" s="6"/>
      <c r="E916" s="6"/>
      <c r="F916" s="40"/>
      <c r="G916" s="41"/>
      <c r="H916" s="35" t="str">
        <f aca="false">IF($B916="","",N($F916)*N($G916))</f>
        <v/>
      </c>
      <c r="I916" s="35" t="str">
        <f aca="false">IF($B916="","",N($F916)+$H916)</f>
        <v/>
      </c>
      <c r="J916" s="6"/>
      <c r="K916" s="46" t="str">
        <f aca="false">IF($A916="","",DATE(YEAR($A916),MONTH($A916),1))</f>
        <v/>
      </c>
    </row>
    <row r="917" customFormat="false" ht="15" hidden="false" customHeight="false" outlineLevel="0" collapsed="false">
      <c r="A917" s="44"/>
      <c r="B917" s="6"/>
      <c r="C917" s="6"/>
      <c r="D917" s="6"/>
      <c r="E917" s="6"/>
      <c r="F917" s="40"/>
      <c r="G917" s="41"/>
      <c r="H917" s="35" t="str">
        <f aca="false">IF($B917="","",N($F917)*N($G917))</f>
        <v/>
      </c>
      <c r="I917" s="35" t="str">
        <f aca="false">IF($B917="","",N($F917)+$H917)</f>
        <v/>
      </c>
      <c r="J917" s="6"/>
      <c r="K917" s="46" t="str">
        <f aca="false">IF($A917="","",DATE(YEAR($A917),MONTH($A917),1))</f>
        <v/>
      </c>
    </row>
    <row r="918" customFormat="false" ht="15" hidden="false" customHeight="false" outlineLevel="0" collapsed="false">
      <c r="A918" s="44"/>
      <c r="B918" s="6"/>
      <c r="C918" s="6"/>
      <c r="D918" s="6"/>
      <c r="E918" s="6"/>
      <c r="F918" s="40"/>
      <c r="G918" s="41"/>
      <c r="H918" s="35" t="str">
        <f aca="false">IF($B918="","",N($F918)*N($G918))</f>
        <v/>
      </c>
      <c r="I918" s="35" t="str">
        <f aca="false">IF($B918="","",N($F918)+$H918)</f>
        <v/>
      </c>
      <c r="J918" s="6"/>
      <c r="K918" s="46" t="str">
        <f aca="false">IF($A918="","",DATE(YEAR($A918),MONTH($A918),1))</f>
        <v/>
      </c>
    </row>
    <row r="919" customFormat="false" ht="15" hidden="false" customHeight="false" outlineLevel="0" collapsed="false">
      <c r="A919" s="44"/>
      <c r="B919" s="6"/>
      <c r="C919" s="6"/>
      <c r="D919" s="6"/>
      <c r="E919" s="6"/>
      <c r="F919" s="40"/>
      <c r="G919" s="41"/>
      <c r="H919" s="35" t="str">
        <f aca="false">IF($B919="","",N($F919)*N($G919))</f>
        <v/>
      </c>
      <c r="I919" s="35" t="str">
        <f aca="false">IF($B919="","",N($F919)+$H919)</f>
        <v/>
      </c>
      <c r="J919" s="6"/>
      <c r="K919" s="46" t="str">
        <f aca="false">IF($A919="","",DATE(YEAR($A919),MONTH($A919),1))</f>
        <v/>
      </c>
    </row>
    <row r="920" customFormat="false" ht="15" hidden="false" customHeight="false" outlineLevel="0" collapsed="false">
      <c r="A920" s="44"/>
      <c r="B920" s="6"/>
      <c r="C920" s="6"/>
      <c r="D920" s="6"/>
      <c r="E920" s="6"/>
      <c r="F920" s="40"/>
      <c r="G920" s="41"/>
      <c r="H920" s="35" t="str">
        <f aca="false">IF($B920="","",N($F920)*N($G920))</f>
        <v/>
      </c>
      <c r="I920" s="35" t="str">
        <f aca="false">IF($B920="","",N($F920)+$H920)</f>
        <v/>
      </c>
      <c r="J920" s="6"/>
      <c r="K920" s="46" t="str">
        <f aca="false">IF($A920="","",DATE(YEAR($A920),MONTH($A920),1))</f>
        <v/>
      </c>
    </row>
    <row r="921" customFormat="false" ht="15" hidden="false" customHeight="false" outlineLevel="0" collapsed="false">
      <c r="A921" s="44"/>
      <c r="B921" s="6"/>
      <c r="C921" s="6"/>
      <c r="D921" s="6"/>
      <c r="E921" s="6"/>
      <c r="F921" s="40"/>
      <c r="G921" s="41"/>
      <c r="H921" s="35" t="str">
        <f aca="false">IF($B921="","",N($F921)*N($G921))</f>
        <v/>
      </c>
      <c r="I921" s="35" t="str">
        <f aca="false">IF($B921="","",N($F921)+$H921)</f>
        <v/>
      </c>
      <c r="J921" s="6"/>
      <c r="K921" s="46" t="str">
        <f aca="false">IF($A921="","",DATE(YEAR($A921),MONTH($A921),1))</f>
        <v/>
      </c>
    </row>
    <row r="922" customFormat="false" ht="15" hidden="false" customHeight="false" outlineLevel="0" collapsed="false">
      <c r="A922" s="44"/>
      <c r="B922" s="6"/>
      <c r="C922" s="6"/>
      <c r="D922" s="6"/>
      <c r="E922" s="6"/>
      <c r="F922" s="40"/>
      <c r="G922" s="41"/>
      <c r="H922" s="35" t="str">
        <f aca="false">IF($B922="","",N($F922)*N($G922))</f>
        <v/>
      </c>
      <c r="I922" s="35" t="str">
        <f aca="false">IF($B922="","",N($F922)+$H922)</f>
        <v/>
      </c>
      <c r="J922" s="6"/>
      <c r="K922" s="46" t="str">
        <f aca="false">IF($A922="","",DATE(YEAR($A922),MONTH($A922),1))</f>
        <v/>
      </c>
    </row>
    <row r="923" customFormat="false" ht="15" hidden="false" customHeight="false" outlineLevel="0" collapsed="false">
      <c r="A923" s="44"/>
      <c r="B923" s="6"/>
      <c r="C923" s="6"/>
      <c r="D923" s="6"/>
      <c r="E923" s="6"/>
      <c r="F923" s="40"/>
      <c r="G923" s="41"/>
      <c r="H923" s="35" t="str">
        <f aca="false">IF($B923="","",N($F923)*N($G923))</f>
        <v/>
      </c>
      <c r="I923" s="35" t="str">
        <f aca="false">IF($B923="","",N($F923)+$H923)</f>
        <v/>
      </c>
      <c r="J923" s="6"/>
      <c r="K923" s="46" t="str">
        <f aca="false">IF($A923="","",DATE(YEAR($A923),MONTH($A923),1))</f>
        <v/>
      </c>
    </row>
    <row r="924" customFormat="false" ht="15" hidden="false" customHeight="false" outlineLevel="0" collapsed="false">
      <c r="A924" s="44"/>
      <c r="B924" s="6"/>
      <c r="C924" s="6"/>
      <c r="D924" s="6"/>
      <c r="E924" s="6"/>
      <c r="F924" s="40"/>
      <c r="G924" s="41"/>
      <c r="H924" s="35" t="str">
        <f aca="false">IF($B924="","",N($F924)*N($G924))</f>
        <v/>
      </c>
      <c r="I924" s="35" t="str">
        <f aca="false">IF($B924="","",N($F924)+$H924)</f>
        <v/>
      </c>
      <c r="J924" s="6"/>
      <c r="K924" s="46" t="str">
        <f aca="false">IF($A924="","",DATE(YEAR($A924),MONTH($A924),1))</f>
        <v/>
      </c>
    </row>
    <row r="925" customFormat="false" ht="15" hidden="false" customHeight="false" outlineLevel="0" collapsed="false">
      <c r="A925" s="44"/>
      <c r="B925" s="6"/>
      <c r="C925" s="6"/>
      <c r="D925" s="6"/>
      <c r="E925" s="6"/>
      <c r="F925" s="40"/>
      <c r="G925" s="41"/>
      <c r="H925" s="35" t="str">
        <f aca="false">IF($B925="","",N($F925)*N($G925))</f>
        <v/>
      </c>
      <c r="I925" s="35" t="str">
        <f aca="false">IF($B925="","",N($F925)+$H925)</f>
        <v/>
      </c>
      <c r="J925" s="6"/>
      <c r="K925" s="46" t="str">
        <f aca="false">IF($A925="","",DATE(YEAR($A925),MONTH($A925),1))</f>
        <v/>
      </c>
    </row>
    <row r="926" customFormat="false" ht="15" hidden="false" customHeight="false" outlineLevel="0" collapsed="false">
      <c r="A926" s="44"/>
      <c r="B926" s="6"/>
      <c r="C926" s="6"/>
      <c r="D926" s="6"/>
      <c r="E926" s="6"/>
      <c r="F926" s="40"/>
      <c r="G926" s="41"/>
      <c r="H926" s="35" t="str">
        <f aca="false">IF($B926="","",N($F926)*N($G926))</f>
        <v/>
      </c>
      <c r="I926" s="35" t="str">
        <f aca="false">IF($B926="","",N($F926)+$H926)</f>
        <v/>
      </c>
      <c r="J926" s="6"/>
      <c r="K926" s="46" t="str">
        <f aca="false">IF($A926="","",DATE(YEAR($A926),MONTH($A926),1))</f>
        <v/>
      </c>
    </row>
    <row r="927" customFormat="false" ht="15" hidden="false" customHeight="false" outlineLevel="0" collapsed="false">
      <c r="A927" s="44"/>
      <c r="B927" s="6"/>
      <c r="C927" s="6"/>
      <c r="D927" s="6"/>
      <c r="E927" s="6"/>
      <c r="F927" s="40"/>
      <c r="G927" s="41"/>
      <c r="H927" s="35" t="str">
        <f aca="false">IF($B927="","",N($F927)*N($G927))</f>
        <v/>
      </c>
      <c r="I927" s="35" t="str">
        <f aca="false">IF($B927="","",N($F927)+$H927)</f>
        <v/>
      </c>
      <c r="J927" s="6"/>
      <c r="K927" s="46" t="str">
        <f aca="false">IF($A927="","",DATE(YEAR($A927),MONTH($A927),1))</f>
        <v/>
      </c>
    </row>
    <row r="928" customFormat="false" ht="15" hidden="false" customHeight="false" outlineLevel="0" collapsed="false">
      <c r="A928" s="44"/>
      <c r="B928" s="6"/>
      <c r="C928" s="6"/>
      <c r="D928" s="6"/>
      <c r="E928" s="6"/>
      <c r="F928" s="40"/>
      <c r="G928" s="41"/>
      <c r="H928" s="35" t="str">
        <f aca="false">IF($B928="","",N($F928)*N($G928))</f>
        <v/>
      </c>
      <c r="I928" s="35" t="str">
        <f aca="false">IF($B928="","",N($F928)+$H928)</f>
        <v/>
      </c>
      <c r="J928" s="6"/>
      <c r="K928" s="46" t="str">
        <f aca="false">IF($A928="","",DATE(YEAR($A928),MONTH($A928),1))</f>
        <v/>
      </c>
    </row>
    <row r="929" customFormat="false" ht="15" hidden="false" customHeight="false" outlineLevel="0" collapsed="false">
      <c r="A929" s="44"/>
      <c r="B929" s="6"/>
      <c r="C929" s="6"/>
      <c r="D929" s="6"/>
      <c r="E929" s="6"/>
      <c r="F929" s="40"/>
      <c r="G929" s="41"/>
      <c r="H929" s="35" t="str">
        <f aca="false">IF($B929="","",N($F929)*N($G929))</f>
        <v/>
      </c>
      <c r="I929" s="35" t="str">
        <f aca="false">IF($B929="","",N($F929)+$H929)</f>
        <v/>
      </c>
      <c r="J929" s="6"/>
      <c r="K929" s="46" t="str">
        <f aca="false">IF($A929="","",DATE(YEAR($A929),MONTH($A929),1))</f>
        <v/>
      </c>
    </row>
    <row r="930" customFormat="false" ht="15" hidden="false" customHeight="false" outlineLevel="0" collapsed="false">
      <c r="A930" s="44"/>
      <c r="B930" s="6"/>
      <c r="C930" s="6"/>
      <c r="D930" s="6"/>
      <c r="E930" s="6"/>
      <c r="F930" s="40"/>
      <c r="G930" s="41"/>
      <c r="H930" s="35" t="str">
        <f aca="false">IF($B930="","",N($F930)*N($G930))</f>
        <v/>
      </c>
      <c r="I930" s="35" t="str">
        <f aca="false">IF($B930="","",N($F930)+$H930)</f>
        <v/>
      </c>
      <c r="J930" s="6"/>
      <c r="K930" s="46" t="str">
        <f aca="false">IF($A930="","",DATE(YEAR($A930),MONTH($A930),1))</f>
        <v/>
      </c>
    </row>
    <row r="931" customFormat="false" ht="15" hidden="false" customHeight="false" outlineLevel="0" collapsed="false">
      <c r="A931" s="44"/>
      <c r="B931" s="6"/>
      <c r="C931" s="6"/>
      <c r="D931" s="6"/>
      <c r="E931" s="6"/>
      <c r="F931" s="40"/>
      <c r="G931" s="41"/>
      <c r="H931" s="35" t="str">
        <f aca="false">IF($B931="","",N($F931)*N($G931))</f>
        <v/>
      </c>
      <c r="I931" s="35" t="str">
        <f aca="false">IF($B931="","",N($F931)+$H931)</f>
        <v/>
      </c>
      <c r="J931" s="6"/>
      <c r="K931" s="46" t="str">
        <f aca="false">IF($A931="","",DATE(YEAR($A931),MONTH($A931),1))</f>
        <v/>
      </c>
    </row>
    <row r="932" customFormat="false" ht="15" hidden="false" customHeight="false" outlineLevel="0" collapsed="false">
      <c r="A932" s="44"/>
      <c r="B932" s="6"/>
      <c r="C932" s="6"/>
      <c r="D932" s="6"/>
      <c r="E932" s="6"/>
      <c r="F932" s="40"/>
      <c r="G932" s="41"/>
      <c r="H932" s="35" t="str">
        <f aca="false">IF($B932="","",N($F932)*N($G932))</f>
        <v/>
      </c>
      <c r="I932" s="35" t="str">
        <f aca="false">IF($B932="","",N($F932)+$H932)</f>
        <v/>
      </c>
      <c r="J932" s="6"/>
      <c r="K932" s="46" t="str">
        <f aca="false">IF($A932="","",DATE(YEAR($A932),MONTH($A932),1))</f>
        <v/>
      </c>
    </row>
    <row r="933" customFormat="false" ht="15" hidden="false" customHeight="false" outlineLevel="0" collapsed="false">
      <c r="A933" s="44"/>
      <c r="B933" s="6"/>
      <c r="C933" s="6"/>
      <c r="D933" s="6"/>
      <c r="E933" s="6"/>
      <c r="F933" s="40"/>
      <c r="G933" s="41"/>
      <c r="H933" s="35" t="str">
        <f aca="false">IF($B933="","",N($F933)*N($G933))</f>
        <v/>
      </c>
      <c r="I933" s="35" t="str">
        <f aca="false">IF($B933="","",N($F933)+$H933)</f>
        <v/>
      </c>
      <c r="J933" s="6"/>
      <c r="K933" s="46" t="str">
        <f aca="false">IF($A933="","",DATE(YEAR($A933),MONTH($A933),1))</f>
        <v/>
      </c>
    </row>
    <row r="934" customFormat="false" ht="15" hidden="false" customHeight="false" outlineLevel="0" collapsed="false">
      <c r="A934" s="44"/>
      <c r="B934" s="6"/>
      <c r="C934" s="6"/>
      <c r="D934" s="6"/>
      <c r="E934" s="6"/>
      <c r="F934" s="40"/>
      <c r="G934" s="41"/>
      <c r="H934" s="35" t="str">
        <f aca="false">IF($B934="","",N($F934)*N($G934))</f>
        <v/>
      </c>
      <c r="I934" s="35" t="str">
        <f aca="false">IF($B934="","",N($F934)+$H934)</f>
        <v/>
      </c>
      <c r="J934" s="6"/>
      <c r="K934" s="46" t="str">
        <f aca="false">IF($A934="","",DATE(YEAR($A934),MONTH($A934),1))</f>
        <v/>
      </c>
    </row>
    <row r="935" customFormat="false" ht="15" hidden="false" customHeight="false" outlineLevel="0" collapsed="false">
      <c r="A935" s="44"/>
      <c r="B935" s="6"/>
      <c r="C935" s="6"/>
      <c r="D935" s="6"/>
      <c r="E935" s="6"/>
      <c r="F935" s="40"/>
      <c r="G935" s="41"/>
      <c r="H935" s="35" t="str">
        <f aca="false">IF($B935="","",N($F935)*N($G935))</f>
        <v/>
      </c>
      <c r="I935" s="35" t="str">
        <f aca="false">IF($B935="","",N($F935)+$H935)</f>
        <v/>
      </c>
      <c r="J935" s="6"/>
      <c r="K935" s="46" t="str">
        <f aca="false">IF($A935="","",DATE(YEAR($A935),MONTH($A935),1))</f>
        <v/>
      </c>
    </row>
    <row r="936" customFormat="false" ht="15" hidden="false" customHeight="false" outlineLevel="0" collapsed="false">
      <c r="A936" s="44"/>
      <c r="B936" s="6"/>
      <c r="C936" s="6"/>
      <c r="D936" s="6"/>
      <c r="E936" s="6"/>
      <c r="F936" s="40"/>
      <c r="G936" s="41"/>
      <c r="H936" s="35" t="str">
        <f aca="false">IF($B936="","",N($F936)*N($G936))</f>
        <v/>
      </c>
      <c r="I936" s="35" t="str">
        <f aca="false">IF($B936="","",N($F936)+$H936)</f>
        <v/>
      </c>
      <c r="J936" s="6"/>
      <c r="K936" s="46" t="str">
        <f aca="false">IF($A936="","",DATE(YEAR($A936),MONTH($A936),1))</f>
        <v/>
      </c>
    </row>
    <row r="937" customFormat="false" ht="15" hidden="false" customHeight="false" outlineLevel="0" collapsed="false">
      <c r="A937" s="44"/>
      <c r="B937" s="6"/>
      <c r="C937" s="6"/>
      <c r="D937" s="6"/>
      <c r="E937" s="6"/>
      <c r="F937" s="40"/>
      <c r="G937" s="41"/>
      <c r="H937" s="35" t="str">
        <f aca="false">IF($B937="","",N($F937)*N($G937))</f>
        <v/>
      </c>
      <c r="I937" s="35" t="str">
        <f aca="false">IF($B937="","",N($F937)+$H937)</f>
        <v/>
      </c>
      <c r="J937" s="6"/>
      <c r="K937" s="46" t="str">
        <f aca="false">IF($A937="","",DATE(YEAR($A937),MONTH($A937),1))</f>
        <v/>
      </c>
    </row>
    <row r="938" customFormat="false" ht="15" hidden="false" customHeight="false" outlineLevel="0" collapsed="false">
      <c r="A938" s="44"/>
      <c r="B938" s="6"/>
      <c r="C938" s="6"/>
      <c r="D938" s="6"/>
      <c r="E938" s="6"/>
      <c r="F938" s="40"/>
      <c r="G938" s="41"/>
      <c r="H938" s="35" t="str">
        <f aca="false">IF($B938="","",N($F938)*N($G938))</f>
        <v/>
      </c>
      <c r="I938" s="35" t="str">
        <f aca="false">IF($B938="","",N($F938)+$H938)</f>
        <v/>
      </c>
      <c r="J938" s="6"/>
      <c r="K938" s="46" t="str">
        <f aca="false">IF($A938="","",DATE(YEAR($A938),MONTH($A938),1))</f>
        <v/>
      </c>
    </row>
    <row r="939" customFormat="false" ht="15" hidden="false" customHeight="false" outlineLevel="0" collapsed="false">
      <c r="A939" s="44"/>
      <c r="B939" s="6"/>
      <c r="C939" s="6"/>
      <c r="D939" s="6"/>
      <c r="E939" s="6"/>
      <c r="F939" s="40"/>
      <c r="G939" s="41"/>
      <c r="H939" s="35" t="str">
        <f aca="false">IF($B939="","",N($F939)*N($G939))</f>
        <v/>
      </c>
      <c r="I939" s="35" t="str">
        <f aca="false">IF($B939="","",N($F939)+$H939)</f>
        <v/>
      </c>
      <c r="J939" s="6"/>
      <c r="K939" s="46" t="str">
        <f aca="false">IF($A939="","",DATE(YEAR($A939),MONTH($A939),1))</f>
        <v/>
      </c>
    </row>
    <row r="940" customFormat="false" ht="15" hidden="false" customHeight="false" outlineLevel="0" collapsed="false">
      <c r="A940" s="44"/>
      <c r="B940" s="6"/>
      <c r="C940" s="6"/>
      <c r="D940" s="6"/>
      <c r="E940" s="6"/>
      <c r="F940" s="40"/>
      <c r="G940" s="41"/>
      <c r="H940" s="35" t="str">
        <f aca="false">IF($B940="","",N($F940)*N($G940))</f>
        <v/>
      </c>
      <c r="I940" s="35" t="str">
        <f aca="false">IF($B940="","",N($F940)+$H940)</f>
        <v/>
      </c>
      <c r="J940" s="6"/>
      <c r="K940" s="46" t="str">
        <f aca="false">IF($A940="","",DATE(YEAR($A940),MONTH($A940),1))</f>
        <v/>
      </c>
    </row>
    <row r="941" customFormat="false" ht="15" hidden="false" customHeight="false" outlineLevel="0" collapsed="false">
      <c r="A941" s="44"/>
      <c r="B941" s="6"/>
      <c r="C941" s="6"/>
      <c r="D941" s="6"/>
      <c r="E941" s="6"/>
      <c r="F941" s="40"/>
      <c r="G941" s="41"/>
      <c r="H941" s="35" t="str">
        <f aca="false">IF($B941="","",N($F941)*N($G941))</f>
        <v/>
      </c>
      <c r="I941" s="35" t="str">
        <f aca="false">IF($B941="","",N($F941)+$H941)</f>
        <v/>
      </c>
      <c r="J941" s="6"/>
      <c r="K941" s="46" t="str">
        <f aca="false">IF($A941="","",DATE(YEAR($A941),MONTH($A941),1))</f>
        <v/>
      </c>
    </row>
    <row r="942" customFormat="false" ht="15" hidden="false" customHeight="false" outlineLevel="0" collapsed="false">
      <c r="A942" s="44"/>
      <c r="B942" s="6"/>
      <c r="C942" s="6"/>
      <c r="D942" s="6"/>
      <c r="E942" s="6"/>
      <c r="F942" s="40"/>
      <c r="G942" s="41"/>
      <c r="H942" s="35" t="str">
        <f aca="false">IF($B942="","",N($F942)*N($G942))</f>
        <v/>
      </c>
      <c r="I942" s="35" t="str">
        <f aca="false">IF($B942="","",N($F942)+$H942)</f>
        <v/>
      </c>
      <c r="J942" s="6"/>
      <c r="K942" s="46" t="str">
        <f aca="false">IF($A942="","",DATE(YEAR($A942),MONTH($A942),1))</f>
        <v/>
      </c>
    </row>
    <row r="943" customFormat="false" ht="15" hidden="false" customHeight="false" outlineLevel="0" collapsed="false">
      <c r="A943" s="44"/>
      <c r="B943" s="6"/>
      <c r="C943" s="6"/>
      <c r="D943" s="6"/>
      <c r="E943" s="6"/>
      <c r="F943" s="40"/>
      <c r="G943" s="41"/>
      <c r="H943" s="35" t="str">
        <f aca="false">IF($B943="","",N($F943)*N($G943))</f>
        <v/>
      </c>
      <c r="I943" s="35" t="str">
        <f aca="false">IF($B943="","",N($F943)+$H943)</f>
        <v/>
      </c>
      <c r="J943" s="6"/>
      <c r="K943" s="46" t="str">
        <f aca="false">IF($A943="","",DATE(YEAR($A943),MONTH($A943),1))</f>
        <v/>
      </c>
    </row>
    <row r="944" customFormat="false" ht="15" hidden="false" customHeight="false" outlineLevel="0" collapsed="false">
      <c r="A944" s="44"/>
      <c r="B944" s="6"/>
      <c r="C944" s="6"/>
      <c r="D944" s="6"/>
      <c r="E944" s="6"/>
      <c r="F944" s="40"/>
      <c r="G944" s="41"/>
      <c r="H944" s="35" t="str">
        <f aca="false">IF($B944="","",N($F944)*N($G944))</f>
        <v/>
      </c>
      <c r="I944" s="35" t="str">
        <f aca="false">IF($B944="","",N($F944)+$H944)</f>
        <v/>
      </c>
      <c r="J944" s="6"/>
      <c r="K944" s="46" t="str">
        <f aca="false">IF($A944="","",DATE(YEAR($A944),MONTH($A944),1))</f>
        <v/>
      </c>
    </row>
    <row r="945" customFormat="false" ht="15" hidden="false" customHeight="false" outlineLevel="0" collapsed="false">
      <c r="A945" s="44"/>
      <c r="B945" s="6"/>
      <c r="C945" s="6"/>
      <c r="D945" s="6"/>
      <c r="E945" s="6"/>
      <c r="F945" s="40"/>
      <c r="G945" s="41"/>
      <c r="H945" s="35" t="str">
        <f aca="false">IF($B945="","",N($F945)*N($G945))</f>
        <v/>
      </c>
      <c r="I945" s="35" t="str">
        <f aca="false">IF($B945="","",N($F945)+$H945)</f>
        <v/>
      </c>
      <c r="J945" s="6"/>
      <c r="K945" s="46" t="str">
        <f aca="false">IF($A945="","",DATE(YEAR($A945),MONTH($A945),1))</f>
        <v/>
      </c>
    </row>
    <row r="946" customFormat="false" ht="15" hidden="false" customHeight="false" outlineLevel="0" collapsed="false">
      <c r="A946" s="44"/>
      <c r="B946" s="6"/>
      <c r="C946" s="6"/>
      <c r="D946" s="6"/>
      <c r="E946" s="6"/>
      <c r="F946" s="40"/>
      <c r="G946" s="41"/>
      <c r="H946" s="35" t="str">
        <f aca="false">IF($B946="","",N($F946)*N($G946))</f>
        <v/>
      </c>
      <c r="I946" s="35" t="str">
        <f aca="false">IF($B946="","",N($F946)+$H946)</f>
        <v/>
      </c>
      <c r="J946" s="6"/>
      <c r="K946" s="46" t="str">
        <f aca="false">IF($A946="","",DATE(YEAR($A946),MONTH($A946),1))</f>
        <v/>
      </c>
    </row>
    <row r="947" customFormat="false" ht="15" hidden="false" customHeight="false" outlineLevel="0" collapsed="false">
      <c r="A947" s="44"/>
      <c r="B947" s="6"/>
      <c r="C947" s="6"/>
      <c r="D947" s="6"/>
      <c r="E947" s="6"/>
      <c r="F947" s="40"/>
      <c r="G947" s="41"/>
      <c r="H947" s="35" t="str">
        <f aca="false">IF($B947="","",N($F947)*N($G947))</f>
        <v/>
      </c>
      <c r="I947" s="35" t="str">
        <f aca="false">IF($B947="","",N($F947)+$H947)</f>
        <v/>
      </c>
      <c r="J947" s="6"/>
      <c r="K947" s="46" t="str">
        <f aca="false">IF($A947="","",DATE(YEAR($A947),MONTH($A947),1))</f>
        <v/>
      </c>
    </row>
    <row r="948" customFormat="false" ht="15" hidden="false" customHeight="false" outlineLevel="0" collapsed="false">
      <c r="A948" s="44"/>
      <c r="B948" s="6"/>
      <c r="C948" s="6"/>
      <c r="D948" s="6"/>
      <c r="E948" s="6"/>
      <c r="F948" s="40"/>
      <c r="G948" s="41"/>
      <c r="H948" s="35" t="str">
        <f aca="false">IF($B948="","",N($F948)*N($G948))</f>
        <v/>
      </c>
      <c r="I948" s="35" t="str">
        <f aca="false">IF($B948="","",N($F948)+$H948)</f>
        <v/>
      </c>
      <c r="J948" s="6"/>
      <c r="K948" s="46" t="str">
        <f aca="false">IF($A948="","",DATE(YEAR($A948),MONTH($A948),1))</f>
        <v/>
      </c>
    </row>
    <row r="949" customFormat="false" ht="15" hidden="false" customHeight="false" outlineLevel="0" collapsed="false">
      <c r="A949" s="44"/>
      <c r="B949" s="6"/>
      <c r="C949" s="6"/>
      <c r="D949" s="6"/>
      <c r="E949" s="6"/>
      <c r="F949" s="40"/>
      <c r="G949" s="41"/>
      <c r="H949" s="35" t="str">
        <f aca="false">IF($B949="","",N($F949)*N($G949))</f>
        <v/>
      </c>
      <c r="I949" s="35" t="str">
        <f aca="false">IF($B949="","",N($F949)+$H949)</f>
        <v/>
      </c>
      <c r="J949" s="6"/>
      <c r="K949" s="46" t="str">
        <f aca="false">IF($A949="","",DATE(YEAR($A949),MONTH($A949),1))</f>
        <v/>
      </c>
    </row>
    <row r="950" customFormat="false" ht="15" hidden="false" customHeight="false" outlineLevel="0" collapsed="false">
      <c r="A950" s="44"/>
      <c r="B950" s="6"/>
      <c r="C950" s="6"/>
      <c r="D950" s="6"/>
      <c r="E950" s="6"/>
      <c r="F950" s="40"/>
      <c r="G950" s="41"/>
      <c r="H950" s="35" t="str">
        <f aca="false">IF($B950="","",N($F950)*N($G950))</f>
        <v/>
      </c>
      <c r="I950" s="35" t="str">
        <f aca="false">IF($B950="","",N($F950)+$H950)</f>
        <v/>
      </c>
      <c r="J950" s="6"/>
      <c r="K950" s="46" t="str">
        <f aca="false">IF($A950="","",DATE(YEAR($A950),MONTH($A950),1))</f>
        <v/>
      </c>
    </row>
    <row r="951" customFormat="false" ht="15" hidden="false" customHeight="false" outlineLevel="0" collapsed="false">
      <c r="A951" s="44"/>
      <c r="B951" s="6"/>
      <c r="C951" s="6"/>
      <c r="D951" s="6"/>
      <c r="E951" s="6"/>
      <c r="F951" s="40"/>
      <c r="G951" s="41"/>
      <c r="H951" s="35" t="str">
        <f aca="false">IF($B951="","",N($F951)*N($G951))</f>
        <v/>
      </c>
      <c r="I951" s="35" t="str">
        <f aca="false">IF($B951="","",N($F951)+$H951)</f>
        <v/>
      </c>
      <c r="J951" s="6"/>
      <c r="K951" s="46" t="str">
        <f aca="false">IF($A951="","",DATE(YEAR($A951),MONTH($A951),1))</f>
        <v/>
      </c>
    </row>
    <row r="952" customFormat="false" ht="15" hidden="false" customHeight="false" outlineLevel="0" collapsed="false">
      <c r="A952" s="44"/>
      <c r="B952" s="6"/>
      <c r="C952" s="6"/>
      <c r="D952" s="6"/>
      <c r="E952" s="6"/>
      <c r="F952" s="40"/>
      <c r="G952" s="41"/>
      <c r="H952" s="35" t="str">
        <f aca="false">IF($B952="","",N($F952)*N($G952))</f>
        <v/>
      </c>
      <c r="I952" s="35" t="str">
        <f aca="false">IF($B952="","",N($F952)+$H952)</f>
        <v/>
      </c>
      <c r="J952" s="6"/>
      <c r="K952" s="46" t="str">
        <f aca="false">IF($A952="","",DATE(YEAR($A952),MONTH($A952),1))</f>
        <v/>
      </c>
    </row>
    <row r="953" customFormat="false" ht="15" hidden="false" customHeight="false" outlineLevel="0" collapsed="false">
      <c r="A953" s="44"/>
      <c r="B953" s="6"/>
      <c r="C953" s="6"/>
      <c r="D953" s="6"/>
      <c r="E953" s="6"/>
      <c r="F953" s="40"/>
      <c r="G953" s="41"/>
      <c r="H953" s="35" t="str">
        <f aca="false">IF($B953="","",N($F953)*N($G953))</f>
        <v/>
      </c>
      <c r="I953" s="35" t="str">
        <f aca="false">IF($B953="","",N($F953)+$H953)</f>
        <v/>
      </c>
      <c r="J953" s="6"/>
      <c r="K953" s="46" t="str">
        <f aca="false">IF($A953="","",DATE(YEAR($A953),MONTH($A953),1))</f>
        <v/>
      </c>
    </row>
    <row r="954" customFormat="false" ht="15" hidden="false" customHeight="false" outlineLevel="0" collapsed="false">
      <c r="A954" s="44"/>
      <c r="B954" s="6"/>
      <c r="C954" s="6"/>
      <c r="D954" s="6"/>
      <c r="E954" s="6"/>
      <c r="F954" s="40"/>
      <c r="G954" s="41"/>
      <c r="H954" s="35" t="str">
        <f aca="false">IF($B954="","",N($F954)*N($G954))</f>
        <v/>
      </c>
      <c r="I954" s="35" t="str">
        <f aca="false">IF($B954="","",N($F954)+$H954)</f>
        <v/>
      </c>
      <c r="J954" s="6"/>
      <c r="K954" s="46" t="str">
        <f aca="false">IF($A954="","",DATE(YEAR($A954),MONTH($A954),1))</f>
        <v/>
      </c>
    </row>
    <row r="955" customFormat="false" ht="15" hidden="false" customHeight="false" outlineLevel="0" collapsed="false">
      <c r="A955" s="44"/>
      <c r="B955" s="6"/>
      <c r="C955" s="6"/>
      <c r="D955" s="6"/>
      <c r="E955" s="6"/>
      <c r="F955" s="40"/>
      <c r="G955" s="41"/>
      <c r="H955" s="35" t="str">
        <f aca="false">IF($B955="","",N($F955)*N($G955))</f>
        <v/>
      </c>
      <c r="I955" s="35" t="str">
        <f aca="false">IF($B955="","",N($F955)+$H955)</f>
        <v/>
      </c>
      <c r="J955" s="6"/>
      <c r="K955" s="46" t="str">
        <f aca="false">IF($A955="","",DATE(YEAR($A955),MONTH($A955),1))</f>
        <v/>
      </c>
    </row>
    <row r="956" customFormat="false" ht="15" hidden="false" customHeight="false" outlineLevel="0" collapsed="false">
      <c r="A956" s="44"/>
      <c r="B956" s="6"/>
      <c r="C956" s="6"/>
      <c r="D956" s="6"/>
      <c r="E956" s="6"/>
      <c r="F956" s="40"/>
      <c r="G956" s="41"/>
      <c r="H956" s="35" t="str">
        <f aca="false">IF($B956="","",N($F956)*N($G956))</f>
        <v/>
      </c>
      <c r="I956" s="35" t="str">
        <f aca="false">IF($B956="","",N($F956)+$H956)</f>
        <v/>
      </c>
      <c r="J956" s="6"/>
      <c r="K956" s="46" t="str">
        <f aca="false">IF($A956="","",DATE(YEAR($A956),MONTH($A956),1))</f>
        <v/>
      </c>
    </row>
    <row r="957" customFormat="false" ht="15" hidden="false" customHeight="false" outlineLevel="0" collapsed="false">
      <c r="A957" s="44"/>
      <c r="B957" s="6"/>
      <c r="C957" s="6"/>
      <c r="D957" s="6"/>
      <c r="E957" s="6"/>
      <c r="F957" s="40"/>
      <c r="G957" s="41"/>
      <c r="H957" s="35" t="str">
        <f aca="false">IF($B957="","",N($F957)*N($G957))</f>
        <v/>
      </c>
      <c r="I957" s="35" t="str">
        <f aca="false">IF($B957="","",N($F957)+$H957)</f>
        <v/>
      </c>
      <c r="J957" s="6"/>
      <c r="K957" s="46" t="str">
        <f aca="false">IF($A957="","",DATE(YEAR($A957),MONTH($A957),1))</f>
        <v/>
      </c>
    </row>
    <row r="958" customFormat="false" ht="15" hidden="false" customHeight="false" outlineLevel="0" collapsed="false">
      <c r="A958" s="44"/>
      <c r="B958" s="6"/>
      <c r="C958" s="6"/>
      <c r="D958" s="6"/>
      <c r="E958" s="6"/>
      <c r="F958" s="40"/>
      <c r="G958" s="41"/>
      <c r="H958" s="35" t="str">
        <f aca="false">IF($B958="","",N($F958)*N($G958))</f>
        <v/>
      </c>
      <c r="I958" s="35" t="str">
        <f aca="false">IF($B958="","",N($F958)+$H958)</f>
        <v/>
      </c>
      <c r="J958" s="6"/>
      <c r="K958" s="46" t="str">
        <f aca="false">IF($A958="","",DATE(YEAR($A958),MONTH($A958),1))</f>
        <v/>
      </c>
    </row>
    <row r="959" customFormat="false" ht="15" hidden="false" customHeight="false" outlineLevel="0" collapsed="false">
      <c r="A959" s="44"/>
      <c r="B959" s="6"/>
      <c r="C959" s="6"/>
      <c r="D959" s="6"/>
      <c r="E959" s="6"/>
      <c r="F959" s="40"/>
      <c r="G959" s="41"/>
      <c r="H959" s="35" t="str">
        <f aca="false">IF($B959="","",N($F959)*N($G959))</f>
        <v/>
      </c>
      <c r="I959" s="35" t="str">
        <f aca="false">IF($B959="","",N($F959)+$H959)</f>
        <v/>
      </c>
      <c r="J959" s="6"/>
      <c r="K959" s="46" t="str">
        <f aca="false">IF($A959="","",DATE(YEAR($A959),MONTH($A959),1))</f>
        <v/>
      </c>
    </row>
    <row r="960" customFormat="false" ht="15" hidden="false" customHeight="false" outlineLevel="0" collapsed="false">
      <c r="A960" s="44"/>
      <c r="B960" s="6"/>
      <c r="C960" s="6"/>
      <c r="D960" s="6"/>
      <c r="E960" s="6"/>
      <c r="F960" s="40"/>
      <c r="G960" s="41"/>
      <c r="H960" s="35" t="str">
        <f aca="false">IF($B960="","",N($F960)*N($G960))</f>
        <v/>
      </c>
      <c r="I960" s="35" t="str">
        <f aca="false">IF($B960="","",N($F960)+$H960)</f>
        <v/>
      </c>
      <c r="J960" s="6"/>
      <c r="K960" s="46" t="str">
        <f aca="false">IF($A960="","",DATE(YEAR($A960),MONTH($A960),1))</f>
        <v/>
      </c>
    </row>
    <row r="961" customFormat="false" ht="15" hidden="false" customHeight="false" outlineLevel="0" collapsed="false">
      <c r="A961" s="44"/>
      <c r="B961" s="6"/>
      <c r="C961" s="6"/>
      <c r="D961" s="6"/>
      <c r="E961" s="6"/>
      <c r="F961" s="40"/>
      <c r="G961" s="41"/>
      <c r="H961" s="35" t="str">
        <f aca="false">IF($B961="","",N($F961)*N($G961))</f>
        <v/>
      </c>
      <c r="I961" s="35" t="str">
        <f aca="false">IF($B961="","",N($F961)+$H961)</f>
        <v/>
      </c>
      <c r="J961" s="6"/>
      <c r="K961" s="46" t="str">
        <f aca="false">IF($A961="","",DATE(YEAR($A961),MONTH($A961),1))</f>
        <v/>
      </c>
    </row>
    <row r="962" customFormat="false" ht="15" hidden="false" customHeight="false" outlineLevel="0" collapsed="false">
      <c r="A962" s="44"/>
      <c r="B962" s="6"/>
      <c r="C962" s="6"/>
      <c r="D962" s="6"/>
      <c r="E962" s="6"/>
      <c r="F962" s="40"/>
      <c r="G962" s="41"/>
      <c r="H962" s="35" t="str">
        <f aca="false">IF($B962="","",N($F962)*N($G962))</f>
        <v/>
      </c>
      <c r="I962" s="35" t="str">
        <f aca="false">IF($B962="","",N($F962)+$H962)</f>
        <v/>
      </c>
      <c r="J962" s="6"/>
      <c r="K962" s="46" t="str">
        <f aca="false">IF($A962="","",DATE(YEAR($A962),MONTH($A962),1))</f>
        <v/>
      </c>
    </row>
    <row r="963" customFormat="false" ht="15" hidden="false" customHeight="false" outlineLevel="0" collapsed="false">
      <c r="A963" s="44"/>
      <c r="B963" s="6"/>
      <c r="C963" s="6"/>
      <c r="D963" s="6"/>
      <c r="E963" s="6"/>
      <c r="F963" s="40"/>
      <c r="G963" s="41"/>
      <c r="H963" s="35" t="str">
        <f aca="false">IF($B963="","",N($F963)*N($G963))</f>
        <v/>
      </c>
      <c r="I963" s="35" t="str">
        <f aca="false">IF($B963="","",N($F963)+$H963)</f>
        <v/>
      </c>
      <c r="J963" s="6"/>
      <c r="K963" s="46" t="str">
        <f aca="false">IF($A963="","",DATE(YEAR($A963),MONTH($A963),1))</f>
        <v/>
      </c>
    </row>
    <row r="964" customFormat="false" ht="15" hidden="false" customHeight="false" outlineLevel="0" collapsed="false">
      <c r="A964" s="44"/>
      <c r="B964" s="6"/>
      <c r="C964" s="6"/>
      <c r="D964" s="6"/>
      <c r="E964" s="6"/>
      <c r="F964" s="40"/>
      <c r="G964" s="41"/>
      <c r="H964" s="35" t="str">
        <f aca="false">IF($B964="","",N($F964)*N($G964))</f>
        <v/>
      </c>
      <c r="I964" s="35" t="str">
        <f aca="false">IF($B964="","",N($F964)+$H964)</f>
        <v/>
      </c>
      <c r="J964" s="6"/>
      <c r="K964" s="46" t="str">
        <f aca="false">IF($A964="","",DATE(YEAR($A964),MONTH($A964),1))</f>
        <v/>
      </c>
    </row>
    <row r="965" customFormat="false" ht="15" hidden="false" customHeight="false" outlineLevel="0" collapsed="false">
      <c r="A965" s="44"/>
      <c r="B965" s="6"/>
      <c r="C965" s="6"/>
      <c r="D965" s="6"/>
      <c r="E965" s="6"/>
      <c r="F965" s="40"/>
      <c r="G965" s="41"/>
      <c r="H965" s="35" t="str">
        <f aca="false">IF($B965="","",N($F965)*N($G965))</f>
        <v/>
      </c>
      <c r="I965" s="35" t="str">
        <f aca="false">IF($B965="","",N($F965)+$H965)</f>
        <v/>
      </c>
      <c r="J965" s="6"/>
      <c r="K965" s="46" t="str">
        <f aca="false">IF($A965="","",DATE(YEAR($A965),MONTH($A965),1))</f>
        <v/>
      </c>
    </row>
    <row r="966" customFormat="false" ht="15" hidden="false" customHeight="false" outlineLevel="0" collapsed="false">
      <c r="A966" s="44"/>
      <c r="B966" s="6"/>
      <c r="C966" s="6"/>
      <c r="D966" s="6"/>
      <c r="E966" s="6"/>
      <c r="F966" s="40"/>
      <c r="G966" s="41"/>
      <c r="H966" s="35" t="str">
        <f aca="false">IF($B966="","",N($F966)*N($G966))</f>
        <v/>
      </c>
      <c r="I966" s="35" t="str">
        <f aca="false">IF($B966="","",N($F966)+$H966)</f>
        <v/>
      </c>
      <c r="J966" s="6"/>
      <c r="K966" s="46" t="str">
        <f aca="false">IF($A966="","",DATE(YEAR($A966),MONTH($A966),1))</f>
        <v/>
      </c>
    </row>
    <row r="967" customFormat="false" ht="15" hidden="false" customHeight="false" outlineLevel="0" collapsed="false">
      <c r="A967" s="44"/>
      <c r="B967" s="6"/>
      <c r="C967" s="6"/>
      <c r="D967" s="6"/>
      <c r="E967" s="6"/>
      <c r="F967" s="40"/>
      <c r="G967" s="41"/>
      <c r="H967" s="35" t="str">
        <f aca="false">IF($B967="","",N($F967)*N($G967))</f>
        <v/>
      </c>
      <c r="I967" s="35" t="str">
        <f aca="false">IF($B967="","",N($F967)+$H967)</f>
        <v/>
      </c>
      <c r="J967" s="6"/>
      <c r="K967" s="46" t="str">
        <f aca="false">IF($A967="","",DATE(YEAR($A967),MONTH($A967),1))</f>
        <v/>
      </c>
    </row>
    <row r="968" customFormat="false" ht="15" hidden="false" customHeight="false" outlineLevel="0" collapsed="false">
      <c r="A968" s="44"/>
      <c r="B968" s="6"/>
      <c r="C968" s="6"/>
      <c r="D968" s="6"/>
      <c r="E968" s="6"/>
      <c r="F968" s="40"/>
      <c r="G968" s="41"/>
      <c r="H968" s="35" t="str">
        <f aca="false">IF($B968="","",N($F968)*N($G968))</f>
        <v/>
      </c>
      <c r="I968" s="35" t="str">
        <f aca="false">IF($B968="","",N($F968)+$H968)</f>
        <v/>
      </c>
      <c r="J968" s="6"/>
      <c r="K968" s="46" t="str">
        <f aca="false">IF($A968="","",DATE(YEAR($A968),MONTH($A968),1))</f>
        <v/>
      </c>
    </row>
    <row r="969" customFormat="false" ht="15" hidden="false" customHeight="false" outlineLevel="0" collapsed="false">
      <c r="A969" s="44"/>
      <c r="B969" s="6"/>
      <c r="C969" s="6"/>
      <c r="D969" s="6"/>
      <c r="E969" s="6"/>
      <c r="F969" s="40"/>
      <c r="G969" s="41"/>
      <c r="H969" s="35" t="str">
        <f aca="false">IF($B969="","",N($F969)*N($G969))</f>
        <v/>
      </c>
      <c r="I969" s="35" t="str">
        <f aca="false">IF($B969="","",N($F969)+$H969)</f>
        <v/>
      </c>
      <c r="J969" s="6"/>
      <c r="K969" s="46" t="str">
        <f aca="false">IF($A969="","",DATE(YEAR($A969),MONTH($A969),1))</f>
        <v/>
      </c>
    </row>
    <row r="970" customFormat="false" ht="15" hidden="false" customHeight="false" outlineLevel="0" collapsed="false">
      <c r="A970" s="44"/>
      <c r="B970" s="6"/>
      <c r="C970" s="6"/>
      <c r="D970" s="6"/>
      <c r="E970" s="6"/>
      <c r="F970" s="40"/>
      <c r="G970" s="41"/>
      <c r="H970" s="35" t="str">
        <f aca="false">IF($B970="","",N($F970)*N($G970))</f>
        <v/>
      </c>
      <c r="I970" s="35" t="str">
        <f aca="false">IF($B970="","",N($F970)+$H970)</f>
        <v/>
      </c>
      <c r="J970" s="6"/>
      <c r="K970" s="46" t="str">
        <f aca="false">IF($A970="","",DATE(YEAR($A970),MONTH($A970),1))</f>
        <v/>
      </c>
    </row>
    <row r="971" customFormat="false" ht="15" hidden="false" customHeight="false" outlineLevel="0" collapsed="false">
      <c r="A971" s="44"/>
      <c r="B971" s="6"/>
      <c r="C971" s="6"/>
      <c r="D971" s="6"/>
      <c r="E971" s="6"/>
      <c r="F971" s="40"/>
      <c r="G971" s="41"/>
      <c r="H971" s="35" t="str">
        <f aca="false">IF($B971="","",N($F971)*N($G971))</f>
        <v/>
      </c>
      <c r="I971" s="35" t="str">
        <f aca="false">IF($B971="","",N($F971)+$H971)</f>
        <v/>
      </c>
      <c r="J971" s="6"/>
      <c r="K971" s="46" t="str">
        <f aca="false">IF($A971="","",DATE(YEAR($A971),MONTH($A971),1))</f>
        <v/>
      </c>
    </row>
    <row r="972" customFormat="false" ht="15" hidden="false" customHeight="false" outlineLevel="0" collapsed="false">
      <c r="A972" s="44"/>
      <c r="B972" s="6"/>
      <c r="C972" s="6"/>
      <c r="D972" s="6"/>
      <c r="E972" s="6"/>
      <c r="F972" s="40"/>
      <c r="G972" s="41"/>
      <c r="H972" s="35" t="str">
        <f aca="false">IF($B972="","",N($F972)*N($G972))</f>
        <v/>
      </c>
      <c r="I972" s="35" t="str">
        <f aca="false">IF($B972="","",N($F972)+$H972)</f>
        <v/>
      </c>
      <c r="J972" s="6"/>
      <c r="K972" s="46" t="str">
        <f aca="false">IF($A972="","",DATE(YEAR($A972),MONTH($A972),1))</f>
        <v/>
      </c>
    </row>
    <row r="973" customFormat="false" ht="15" hidden="false" customHeight="false" outlineLevel="0" collapsed="false">
      <c r="A973" s="44"/>
      <c r="B973" s="6"/>
      <c r="C973" s="6"/>
      <c r="D973" s="6"/>
      <c r="E973" s="6"/>
      <c r="F973" s="40"/>
      <c r="G973" s="41"/>
      <c r="H973" s="35" t="str">
        <f aca="false">IF($B973="","",N($F973)*N($G973))</f>
        <v/>
      </c>
      <c r="I973" s="35" t="str">
        <f aca="false">IF($B973="","",N($F973)+$H973)</f>
        <v/>
      </c>
      <c r="J973" s="6"/>
      <c r="K973" s="46" t="str">
        <f aca="false">IF($A973="","",DATE(YEAR($A973),MONTH($A973),1))</f>
        <v/>
      </c>
    </row>
    <row r="974" customFormat="false" ht="15" hidden="false" customHeight="false" outlineLevel="0" collapsed="false">
      <c r="A974" s="44"/>
      <c r="B974" s="6"/>
      <c r="C974" s="6"/>
      <c r="D974" s="6"/>
      <c r="E974" s="6"/>
      <c r="F974" s="40"/>
      <c r="G974" s="41"/>
      <c r="H974" s="35" t="str">
        <f aca="false">IF($B974="","",N($F974)*N($G974))</f>
        <v/>
      </c>
      <c r="I974" s="35" t="str">
        <f aca="false">IF($B974="","",N($F974)+$H974)</f>
        <v/>
      </c>
      <c r="J974" s="6"/>
      <c r="K974" s="46" t="str">
        <f aca="false">IF($A974="","",DATE(YEAR($A974),MONTH($A974),1))</f>
        <v/>
      </c>
    </row>
    <row r="975" customFormat="false" ht="15" hidden="false" customHeight="false" outlineLevel="0" collapsed="false">
      <c r="A975" s="44"/>
      <c r="B975" s="6"/>
      <c r="C975" s="6"/>
      <c r="D975" s="6"/>
      <c r="E975" s="6"/>
      <c r="F975" s="40"/>
      <c r="G975" s="41"/>
      <c r="H975" s="35" t="str">
        <f aca="false">IF($B975="","",N($F975)*N($G975))</f>
        <v/>
      </c>
      <c r="I975" s="35" t="str">
        <f aca="false">IF($B975="","",N($F975)+$H975)</f>
        <v/>
      </c>
      <c r="J975" s="6"/>
      <c r="K975" s="46" t="str">
        <f aca="false">IF($A975="","",DATE(YEAR($A975),MONTH($A975),1))</f>
        <v/>
      </c>
    </row>
    <row r="976" customFormat="false" ht="15" hidden="false" customHeight="false" outlineLevel="0" collapsed="false">
      <c r="A976" s="44"/>
      <c r="B976" s="6"/>
      <c r="C976" s="6"/>
      <c r="D976" s="6"/>
      <c r="E976" s="6"/>
      <c r="F976" s="40"/>
      <c r="G976" s="41"/>
      <c r="H976" s="35" t="str">
        <f aca="false">IF($B976="","",N($F976)*N($G976))</f>
        <v/>
      </c>
      <c r="I976" s="35" t="str">
        <f aca="false">IF($B976="","",N($F976)+$H976)</f>
        <v/>
      </c>
      <c r="J976" s="6"/>
      <c r="K976" s="46" t="str">
        <f aca="false">IF($A976="","",DATE(YEAR($A976),MONTH($A976),1))</f>
        <v/>
      </c>
    </row>
    <row r="977" customFormat="false" ht="15" hidden="false" customHeight="false" outlineLevel="0" collapsed="false">
      <c r="A977" s="44"/>
      <c r="B977" s="6"/>
      <c r="C977" s="6"/>
      <c r="D977" s="6"/>
      <c r="E977" s="6"/>
      <c r="F977" s="40"/>
      <c r="G977" s="41"/>
      <c r="H977" s="35" t="str">
        <f aca="false">IF($B977="","",N($F977)*N($G977))</f>
        <v/>
      </c>
      <c r="I977" s="35" t="str">
        <f aca="false">IF($B977="","",N($F977)+$H977)</f>
        <v/>
      </c>
      <c r="J977" s="6"/>
      <c r="K977" s="46" t="str">
        <f aca="false">IF($A977="","",DATE(YEAR($A977),MONTH($A977),1))</f>
        <v/>
      </c>
    </row>
    <row r="978" customFormat="false" ht="15" hidden="false" customHeight="false" outlineLevel="0" collapsed="false">
      <c r="A978" s="44"/>
      <c r="B978" s="6"/>
      <c r="C978" s="6"/>
      <c r="D978" s="6"/>
      <c r="E978" s="6"/>
      <c r="F978" s="40"/>
      <c r="G978" s="41"/>
      <c r="H978" s="35" t="str">
        <f aca="false">IF($B978="","",N($F978)*N($G978))</f>
        <v/>
      </c>
      <c r="I978" s="35" t="str">
        <f aca="false">IF($B978="","",N($F978)+$H978)</f>
        <v/>
      </c>
      <c r="J978" s="6"/>
      <c r="K978" s="46" t="str">
        <f aca="false">IF($A978="","",DATE(YEAR($A978),MONTH($A978),1))</f>
        <v/>
      </c>
    </row>
    <row r="979" customFormat="false" ht="15" hidden="false" customHeight="false" outlineLevel="0" collapsed="false">
      <c r="A979" s="44"/>
      <c r="B979" s="6"/>
      <c r="C979" s="6"/>
      <c r="D979" s="6"/>
      <c r="E979" s="6"/>
      <c r="F979" s="40"/>
      <c r="G979" s="41"/>
      <c r="H979" s="35" t="str">
        <f aca="false">IF($B979="","",N($F979)*N($G979))</f>
        <v/>
      </c>
      <c r="I979" s="35" t="str">
        <f aca="false">IF($B979="","",N($F979)+$H979)</f>
        <v/>
      </c>
      <c r="J979" s="6"/>
      <c r="K979" s="46" t="str">
        <f aca="false">IF($A979="","",DATE(YEAR($A979),MONTH($A979),1))</f>
        <v/>
      </c>
    </row>
    <row r="980" customFormat="false" ht="15" hidden="false" customHeight="false" outlineLevel="0" collapsed="false">
      <c r="A980" s="44"/>
      <c r="B980" s="6"/>
      <c r="C980" s="6"/>
      <c r="D980" s="6"/>
      <c r="E980" s="6"/>
      <c r="F980" s="40"/>
      <c r="G980" s="41"/>
      <c r="H980" s="35" t="str">
        <f aca="false">IF($B980="","",N($F980)*N($G980))</f>
        <v/>
      </c>
      <c r="I980" s="35" t="str">
        <f aca="false">IF($B980="","",N($F980)+$H980)</f>
        <v/>
      </c>
      <c r="J980" s="6"/>
      <c r="K980" s="46" t="str">
        <f aca="false">IF($A980="","",DATE(YEAR($A980),MONTH($A980),1))</f>
        <v/>
      </c>
    </row>
    <row r="981" customFormat="false" ht="15" hidden="false" customHeight="false" outlineLevel="0" collapsed="false">
      <c r="A981" s="44"/>
      <c r="B981" s="6"/>
      <c r="C981" s="6"/>
      <c r="D981" s="6"/>
      <c r="E981" s="6"/>
      <c r="F981" s="40"/>
      <c r="G981" s="41"/>
      <c r="H981" s="35" t="str">
        <f aca="false">IF($B981="","",N($F981)*N($G981))</f>
        <v/>
      </c>
      <c r="I981" s="35" t="str">
        <f aca="false">IF($B981="","",N($F981)+$H981)</f>
        <v/>
      </c>
      <c r="J981" s="6"/>
      <c r="K981" s="46" t="str">
        <f aca="false">IF($A981="","",DATE(YEAR($A981),MONTH($A981),1))</f>
        <v/>
      </c>
    </row>
    <row r="982" customFormat="false" ht="15" hidden="false" customHeight="false" outlineLevel="0" collapsed="false">
      <c r="A982" s="44"/>
      <c r="B982" s="6"/>
      <c r="C982" s="6"/>
      <c r="D982" s="6"/>
      <c r="E982" s="6"/>
      <c r="F982" s="40"/>
      <c r="G982" s="41"/>
      <c r="H982" s="35" t="str">
        <f aca="false">IF($B982="","",N($F982)*N($G982))</f>
        <v/>
      </c>
      <c r="I982" s="35" t="str">
        <f aca="false">IF($B982="","",N($F982)+$H982)</f>
        <v/>
      </c>
      <c r="J982" s="6"/>
      <c r="K982" s="46" t="str">
        <f aca="false">IF($A982="","",DATE(YEAR($A982),MONTH($A982),1))</f>
        <v/>
      </c>
    </row>
    <row r="983" customFormat="false" ht="15" hidden="false" customHeight="false" outlineLevel="0" collapsed="false">
      <c r="A983" s="44"/>
      <c r="B983" s="6"/>
      <c r="C983" s="6"/>
      <c r="D983" s="6"/>
      <c r="E983" s="6"/>
      <c r="F983" s="40"/>
      <c r="G983" s="41"/>
      <c r="H983" s="35" t="str">
        <f aca="false">IF($B983="","",N($F983)*N($G983))</f>
        <v/>
      </c>
      <c r="I983" s="35" t="str">
        <f aca="false">IF($B983="","",N($F983)+$H983)</f>
        <v/>
      </c>
      <c r="J983" s="6"/>
      <c r="K983" s="46" t="str">
        <f aca="false">IF($A983="","",DATE(YEAR($A983),MONTH($A983),1))</f>
        <v/>
      </c>
    </row>
    <row r="984" customFormat="false" ht="15" hidden="false" customHeight="false" outlineLevel="0" collapsed="false">
      <c r="A984" s="44"/>
      <c r="B984" s="6"/>
      <c r="C984" s="6"/>
      <c r="D984" s="6"/>
      <c r="E984" s="6"/>
      <c r="F984" s="40"/>
      <c r="G984" s="41"/>
      <c r="H984" s="35" t="str">
        <f aca="false">IF($B984="","",N($F984)*N($G984))</f>
        <v/>
      </c>
      <c r="I984" s="35" t="str">
        <f aca="false">IF($B984="","",N($F984)+$H984)</f>
        <v/>
      </c>
      <c r="J984" s="6"/>
      <c r="K984" s="46" t="str">
        <f aca="false">IF($A984="","",DATE(YEAR($A984),MONTH($A984),1))</f>
        <v/>
      </c>
    </row>
    <row r="985" customFormat="false" ht="15" hidden="false" customHeight="false" outlineLevel="0" collapsed="false">
      <c r="A985" s="44"/>
      <c r="B985" s="6"/>
      <c r="C985" s="6"/>
      <c r="D985" s="6"/>
      <c r="E985" s="6"/>
      <c r="F985" s="40"/>
      <c r="G985" s="41"/>
      <c r="H985" s="35" t="str">
        <f aca="false">IF($B985="","",N($F985)*N($G985))</f>
        <v/>
      </c>
      <c r="I985" s="35" t="str">
        <f aca="false">IF($B985="","",N($F985)+$H985)</f>
        <v/>
      </c>
      <c r="J985" s="6"/>
      <c r="K985" s="46" t="str">
        <f aca="false">IF($A985="","",DATE(YEAR($A985),MONTH($A985),1))</f>
        <v/>
      </c>
    </row>
    <row r="986" customFormat="false" ht="15" hidden="false" customHeight="false" outlineLevel="0" collapsed="false">
      <c r="A986" s="44"/>
      <c r="B986" s="6"/>
      <c r="C986" s="6"/>
      <c r="D986" s="6"/>
      <c r="E986" s="6"/>
      <c r="F986" s="40"/>
      <c r="G986" s="41"/>
      <c r="H986" s="35" t="str">
        <f aca="false">IF($B986="","",N($F986)*N($G986))</f>
        <v/>
      </c>
      <c r="I986" s="35" t="str">
        <f aca="false">IF($B986="","",N($F986)+$H986)</f>
        <v/>
      </c>
      <c r="J986" s="6"/>
      <c r="K986" s="46" t="str">
        <f aca="false">IF($A986="","",DATE(YEAR($A986),MONTH($A986),1))</f>
        <v/>
      </c>
    </row>
    <row r="987" customFormat="false" ht="15" hidden="false" customHeight="false" outlineLevel="0" collapsed="false">
      <c r="A987" s="44"/>
      <c r="B987" s="6"/>
      <c r="C987" s="6"/>
      <c r="D987" s="6"/>
      <c r="E987" s="6"/>
      <c r="F987" s="40"/>
      <c r="G987" s="41"/>
      <c r="H987" s="35" t="str">
        <f aca="false">IF($B987="","",N($F987)*N($G987))</f>
        <v/>
      </c>
      <c r="I987" s="35" t="str">
        <f aca="false">IF($B987="","",N($F987)+$H987)</f>
        <v/>
      </c>
      <c r="J987" s="6"/>
      <c r="K987" s="46" t="str">
        <f aca="false">IF($A987="","",DATE(YEAR($A987),MONTH($A987),1))</f>
        <v/>
      </c>
    </row>
    <row r="988" customFormat="false" ht="15" hidden="false" customHeight="false" outlineLevel="0" collapsed="false">
      <c r="A988" s="44"/>
      <c r="B988" s="6"/>
      <c r="C988" s="6"/>
      <c r="D988" s="6"/>
      <c r="E988" s="6"/>
      <c r="F988" s="40"/>
      <c r="G988" s="41"/>
      <c r="H988" s="35" t="str">
        <f aca="false">IF($B988="","",N($F988)*N($G988))</f>
        <v/>
      </c>
      <c r="I988" s="35" t="str">
        <f aca="false">IF($B988="","",N($F988)+$H988)</f>
        <v/>
      </c>
      <c r="J988" s="6"/>
      <c r="K988" s="46" t="str">
        <f aca="false">IF($A988="","",DATE(YEAR($A988),MONTH($A988),1))</f>
        <v/>
      </c>
    </row>
    <row r="989" customFormat="false" ht="15" hidden="false" customHeight="false" outlineLevel="0" collapsed="false">
      <c r="A989" s="44"/>
      <c r="B989" s="6"/>
      <c r="C989" s="6"/>
      <c r="D989" s="6"/>
      <c r="E989" s="6"/>
      <c r="F989" s="40"/>
      <c r="G989" s="41"/>
      <c r="H989" s="35" t="str">
        <f aca="false">IF($B989="","",N($F989)*N($G989))</f>
        <v/>
      </c>
      <c r="I989" s="35" t="str">
        <f aca="false">IF($B989="","",N($F989)+$H989)</f>
        <v/>
      </c>
      <c r="J989" s="6"/>
      <c r="K989" s="46" t="str">
        <f aca="false">IF($A989="","",DATE(YEAR($A989),MONTH($A989),1))</f>
        <v/>
      </c>
    </row>
    <row r="990" customFormat="false" ht="15" hidden="false" customHeight="false" outlineLevel="0" collapsed="false">
      <c r="A990" s="44"/>
      <c r="B990" s="6"/>
      <c r="C990" s="6"/>
      <c r="D990" s="6"/>
      <c r="E990" s="6"/>
      <c r="F990" s="40"/>
      <c r="G990" s="41"/>
      <c r="H990" s="35" t="str">
        <f aca="false">IF($B990="","",N($F990)*N($G990))</f>
        <v/>
      </c>
      <c r="I990" s="35" t="str">
        <f aca="false">IF($B990="","",N($F990)+$H990)</f>
        <v/>
      </c>
      <c r="J990" s="6"/>
      <c r="K990" s="46" t="str">
        <f aca="false">IF($A990="","",DATE(YEAR($A990),MONTH($A990),1))</f>
        <v/>
      </c>
    </row>
    <row r="991" customFormat="false" ht="15" hidden="false" customHeight="false" outlineLevel="0" collapsed="false">
      <c r="A991" s="44"/>
      <c r="B991" s="6"/>
      <c r="C991" s="6"/>
      <c r="D991" s="6"/>
      <c r="E991" s="6"/>
      <c r="F991" s="40"/>
      <c r="G991" s="41"/>
      <c r="H991" s="35" t="str">
        <f aca="false">IF($B991="","",N($F991)*N($G991))</f>
        <v/>
      </c>
      <c r="I991" s="35" t="str">
        <f aca="false">IF($B991="","",N($F991)+$H991)</f>
        <v/>
      </c>
      <c r="J991" s="6"/>
      <c r="K991" s="46" t="str">
        <f aca="false">IF($A991="","",DATE(YEAR($A991),MONTH($A991),1))</f>
        <v/>
      </c>
    </row>
    <row r="992" customFormat="false" ht="15" hidden="false" customHeight="false" outlineLevel="0" collapsed="false">
      <c r="A992" s="44"/>
      <c r="B992" s="6"/>
      <c r="C992" s="6"/>
      <c r="D992" s="6"/>
      <c r="E992" s="6"/>
      <c r="F992" s="40"/>
      <c r="G992" s="41"/>
      <c r="H992" s="35" t="str">
        <f aca="false">IF($B992="","",N($F992)*N($G992))</f>
        <v/>
      </c>
      <c r="I992" s="35" t="str">
        <f aca="false">IF($B992="","",N($F992)+$H992)</f>
        <v/>
      </c>
      <c r="J992" s="6"/>
      <c r="K992" s="46" t="str">
        <f aca="false">IF($A992="","",DATE(YEAR($A992),MONTH($A992),1))</f>
        <v/>
      </c>
    </row>
    <row r="993" customFormat="false" ht="15" hidden="false" customHeight="false" outlineLevel="0" collapsed="false">
      <c r="A993" s="44"/>
      <c r="B993" s="6"/>
      <c r="C993" s="6"/>
      <c r="D993" s="6"/>
      <c r="E993" s="6"/>
      <c r="F993" s="40"/>
      <c r="G993" s="41"/>
      <c r="H993" s="35" t="str">
        <f aca="false">IF($B993="","",N($F993)*N($G993))</f>
        <v/>
      </c>
      <c r="I993" s="35" t="str">
        <f aca="false">IF($B993="","",N($F993)+$H993)</f>
        <v/>
      </c>
      <c r="J993" s="6"/>
      <c r="K993" s="46" t="str">
        <f aca="false">IF($A993="","",DATE(YEAR($A993),MONTH($A993),1))</f>
        <v/>
      </c>
    </row>
    <row r="994" customFormat="false" ht="15" hidden="false" customHeight="false" outlineLevel="0" collapsed="false">
      <c r="A994" s="44"/>
      <c r="B994" s="6"/>
      <c r="C994" s="6"/>
      <c r="D994" s="6"/>
      <c r="E994" s="6"/>
      <c r="F994" s="40"/>
      <c r="G994" s="41"/>
      <c r="H994" s="35" t="str">
        <f aca="false">IF($B994="","",N($F994)*N($G994))</f>
        <v/>
      </c>
      <c r="I994" s="35" t="str">
        <f aca="false">IF($B994="","",N($F994)+$H994)</f>
        <v/>
      </c>
      <c r="J994" s="6"/>
      <c r="K994" s="46" t="str">
        <f aca="false">IF($A994="","",DATE(YEAR($A994),MONTH($A994),1))</f>
        <v/>
      </c>
    </row>
    <row r="995" customFormat="false" ht="15" hidden="false" customHeight="false" outlineLevel="0" collapsed="false">
      <c r="A995" s="44"/>
      <c r="B995" s="6"/>
      <c r="C995" s="6"/>
      <c r="D995" s="6"/>
      <c r="E995" s="6"/>
      <c r="F995" s="40"/>
      <c r="G995" s="41"/>
      <c r="H995" s="35" t="str">
        <f aca="false">IF($B995="","",N($F995)*N($G995))</f>
        <v/>
      </c>
      <c r="I995" s="35" t="str">
        <f aca="false">IF($B995="","",N($F995)+$H995)</f>
        <v/>
      </c>
      <c r="J995" s="6"/>
      <c r="K995" s="46" t="str">
        <f aca="false">IF($A995="","",DATE(YEAR($A995),MONTH($A995),1))</f>
        <v/>
      </c>
    </row>
    <row r="996" customFormat="false" ht="15" hidden="false" customHeight="false" outlineLevel="0" collapsed="false">
      <c r="A996" s="44"/>
      <c r="B996" s="6"/>
      <c r="C996" s="6"/>
      <c r="D996" s="6"/>
      <c r="E996" s="6"/>
      <c r="F996" s="40"/>
      <c r="G996" s="41"/>
      <c r="H996" s="35" t="str">
        <f aca="false">IF($B996="","",N($F996)*N($G996))</f>
        <v/>
      </c>
      <c r="I996" s="35" t="str">
        <f aca="false">IF($B996="","",N($F996)+$H996)</f>
        <v/>
      </c>
      <c r="J996" s="6"/>
      <c r="K996" s="46" t="str">
        <f aca="false">IF($A996="","",DATE(YEAR($A996),MONTH($A996),1))</f>
        <v/>
      </c>
    </row>
    <row r="997" customFormat="false" ht="15" hidden="false" customHeight="false" outlineLevel="0" collapsed="false">
      <c r="A997" s="44"/>
      <c r="B997" s="6"/>
      <c r="C997" s="6"/>
      <c r="D997" s="6"/>
      <c r="E997" s="6"/>
      <c r="F997" s="40"/>
      <c r="G997" s="41"/>
      <c r="H997" s="35" t="str">
        <f aca="false">IF($B997="","",N($F997)*N($G997))</f>
        <v/>
      </c>
      <c r="I997" s="35" t="str">
        <f aca="false">IF($B997="","",N($F997)+$H997)</f>
        <v/>
      </c>
      <c r="J997" s="6"/>
      <c r="K997" s="46" t="str">
        <f aca="false">IF($A997="","",DATE(YEAR($A997),MONTH($A997),1))</f>
        <v/>
      </c>
    </row>
    <row r="998" customFormat="false" ht="15" hidden="false" customHeight="false" outlineLevel="0" collapsed="false">
      <c r="A998" s="44"/>
      <c r="B998" s="6"/>
      <c r="C998" s="6"/>
      <c r="D998" s="6"/>
      <c r="E998" s="6"/>
      <c r="F998" s="40"/>
      <c r="G998" s="41"/>
      <c r="H998" s="35" t="str">
        <f aca="false">IF($B998="","",N($F998)*N($G998))</f>
        <v/>
      </c>
      <c r="I998" s="35" t="str">
        <f aca="false">IF($B998="","",N($F998)+$H998)</f>
        <v/>
      </c>
      <c r="J998" s="6"/>
      <c r="K998" s="46" t="str">
        <f aca="false">IF($A998="","",DATE(YEAR($A998),MONTH($A998),1))</f>
        <v/>
      </c>
    </row>
    <row r="999" customFormat="false" ht="15" hidden="false" customHeight="false" outlineLevel="0" collapsed="false">
      <c r="A999" s="44"/>
      <c r="B999" s="6"/>
      <c r="C999" s="6"/>
      <c r="D999" s="6"/>
      <c r="E999" s="6"/>
      <c r="F999" s="40"/>
      <c r="G999" s="41"/>
      <c r="H999" s="35" t="str">
        <f aca="false">IF($B999="","",N($F999)*N($G999))</f>
        <v/>
      </c>
      <c r="I999" s="35" t="str">
        <f aca="false">IF($B999="","",N($F999)+$H999)</f>
        <v/>
      </c>
      <c r="J999" s="6"/>
      <c r="K999" s="46" t="str">
        <f aca="false">IF($A999="","",DATE(YEAR($A999),MONTH($A999),1))</f>
        <v/>
      </c>
    </row>
    <row r="1000" customFormat="false" ht="15" hidden="false" customHeight="false" outlineLevel="0" collapsed="false">
      <c r="A1000" s="44"/>
      <c r="B1000" s="6"/>
      <c r="C1000" s="6"/>
      <c r="D1000" s="6"/>
      <c r="E1000" s="6"/>
      <c r="F1000" s="40"/>
      <c r="G1000" s="41"/>
      <c r="H1000" s="35" t="str">
        <f aca="false">IF($B1000="","",N($F1000)*N($G1000))</f>
        <v/>
      </c>
      <c r="I1000" s="35" t="str">
        <f aca="false">IF($B1000="","",N($F1000)+$H1000)</f>
        <v/>
      </c>
      <c r="J1000" s="6"/>
      <c r="K1000" s="46" t="str">
        <f aca="false">IF($A1000="","",DATE(YEAR($A1000),MONTH($A1000),1))</f>
        <v/>
      </c>
    </row>
    <row r="1001" customFormat="false" ht="15" hidden="false" customHeight="false" outlineLevel="0" collapsed="false">
      <c r="A1001" s="44"/>
      <c r="B1001" s="6"/>
      <c r="C1001" s="6"/>
      <c r="D1001" s="6"/>
      <c r="E1001" s="6"/>
      <c r="F1001" s="40"/>
      <c r="G1001" s="41"/>
      <c r="H1001" s="35" t="str">
        <f aca="false">IF($B1001="","",N($F1001)*N($G1001))</f>
        <v/>
      </c>
      <c r="I1001" s="35" t="str">
        <f aca="false">IF($B1001="","",N($F1001)+$H1001)</f>
        <v/>
      </c>
      <c r="J1001" s="6"/>
      <c r="K1001" s="46" t="str">
        <f aca="false">IF($A1001="","",DATE(YEAR($A1001),MONTH($A1001),1))</f>
        <v/>
      </c>
    </row>
    <row r="1002" customFormat="false" ht="15" hidden="false" customHeight="false" outlineLevel="0" collapsed="false">
      <c r="A1002" s="44"/>
      <c r="B1002" s="6"/>
      <c r="C1002" s="6"/>
      <c r="D1002" s="6"/>
      <c r="E1002" s="6"/>
      <c r="F1002" s="40"/>
      <c r="G1002" s="41"/>
      <c r="H1002" s="35" t="str">
        <f aca="false">IF($B1002="","",N($F1002)*N($G1002))</f>
        <v/>
      </c>
      <c r="I1002" s="35" t="str">
        <f aca="false">IF($B1002="","",N($F1002)+$H1002)</f>
        <v/>
      </c>
      <c r="J1002" s="6"/>
      <c r="K1002" s="46" t="str">
        <f aca="false">IF($A1002="","",DATE(YEAR($A1002),MONTH($A1002),1))</f>
        <v/>
      </c>
    </row>
    <row r="1003" customFormat="false" ht="15" hidden="false" customHeight="false" outlineLevel="0" collapsed="false">
      <c r="A1003" s="44"/>
      <c r="B1003" s="6"/>
      <c r="C1003" s="6"/>
      <c r="D1003" s="6"/>
      <c r="E1003" s="6"/>
      <c r="F1003" s="40"/>
      <c r="G1003" s="41"/>
      <c r="H1003" s="35" t="str">
        <f aca="false">IF($B1003="","",N($F1003)*N($G1003))</f>
        <v/>
      </c>
      <c r="I1003" s="35" t="str">
        <f aca="false">IF($B1003="","",N($F1003)+$H1003)</f>
        <v/>
      </c>
      <c r="J1003" s="6"/>
      <c r="K1003" s="46" t="str">
        <f aca="false">IF($A1003="","",DATE(YEAR($A1003),MONTH($A1003),1))</f>
        <v/>
      </c>
    </row>
    <row r="1004" customFormat="false" ht="15" hidden="false" customHeight="false" outlineLevel="0" collapsed="false">
      <c r="A1004" s="44"/>
      <c r="B1004" s="6"/>
      <c r="C1004" s="6"/>
      <c r="D1004" s="6"/>
      <c r="E1004" s="6"/>
      <c r="F1004" s="40"/>
      <c r="G1004" s="41"/>
      <c r="H1004" s="35" t="str">
        <f aca="false">IF($B1004="","",N($F1004)*N($G1004))</f>
        <v/>
      </c>
      <c r="I1004" s="35" t="str">
        <f aca="false">IF($B1004="","",N($F1004)+$H1004)</f>
        <v/>
      </c>
      <c r="J1004" s="6"/>
      <c r="K1004" s="46" t="str">
        <f aca="false">IF($A1004="","",DATE(YEAR($A1004),MONTH($A1004),1))</f>
        <v/>
      </c>
    </row>
    <row r="1005" customFormat="false" ht="15" hidden="false" customHeight="false" outlineLevel="0" collapsed="false">
      <c r="A1005" s="44"/>
      <c r="B1005" s="6"/>
      <c r="C1005" s="6"/>
      <c r="D1005" s="6"/>
      <c r="E1005" s="6"/>
      <c r="F1005" s="40"/>
      <c r="G1005" s="41"/>
      <c r="H1005" s="35" t="str">
        <f aca="false">IF($B1005="","",N($F1005)*N($G1005))</f>
        <v/>
      </c>
      <c r="I1005" s="35" t="str">
        <f aca="false">IF($B1005="","",N($F1005)+$H1005)</f>
        <v/>
      </c>
      <c r="J1005" s="6"/>
      <c r="K1005" s="46" t="str">
        <f aca="false">IF($A1005="","",DATE(YEAR($A1005),MONTH($A1005),1))</f>
        <v/>
      </c>
    </row>
  </sheetData>
  <autoFilter ref="A5:K1005"/>
  <dataValidations count="3">
    <dataValidation allowBlank="true" error="Elija un valor de la lista" errorStyle="stop" operator="between" showDropDown="false" showErrorMessage="false" showInputMessage="false" sqref="B6:B1005" type="list">
      <formula1>CONFIG!$H$6:$H$20</formula1>
      <formula2>0</formula2>
    </dataValidation>
    <dataValidation allowBlank="true" error="Elija un valor de la lista" errorStyle="stop" operator="between" showDropDown="false" showErrorMessage="false" showInputMessage="false" sqref="E6:E1005" type="list">
      <formula1>CONFIG!$N$6:$N$20</formula1>
      <formula2>0</formula2>
    </dataValidation>
    <dataValidation allowBlank="true" error="Elija un valor de la lista" errorStyle="stop" operator="between" showDropDown="false" showErrorMessage="false" showInputMessage="false" sqref="J6:J1005" type="list">
      <formula1>CONFIG!$I$6:$I$20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false"/>
  </sheetPr>
  <dimension ref="A1:O4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2" min="11" style="0" width="12"/>
    <col collapsed="false" customWidth="true" hidden="false" outlineLevel="0" max="14" min="13" style="0" width="11"/>
    <col collapsed="false" customWidth="true" hidden="false" outlineLevel="0" max="15" min="15" style="0" width="30"/>
  </cols>
  <sheetData>
    <row r="1" customFormat="false" ht="19.7" hidden="false" customHeight="false" outlineLevel="0" collapsed="false">
      <c r="A1" s="1" t="s">
        <v>472</v>
      </c>
    </row>
    <row r="2" customFormat="false" ht="15" hidden="false" customHeight="false" outlineLevel="0" collapsed="false">
      <c r="A2" s="2" t="s">
        <v>473</v>
      </c>
    </row>
    <row r="5" customFormat="false" ht="42" hidden="false" customHeight="true" outlineLevel="0" collapsed="false">
      <c r="A5" s="16" t="s">
        <v>318</v>
      </c>
      <c r="B5" s="16" t="s">
        <v>422</v>
      </c>
      <c r="C5" s="16" t="s">
        <v>474</v>
      </c>
      <c r="D5" s="15" t="s">
        <v>475</v>
      </c>
      <c r="E5" s="15" t="s">
        <v>476</v>
      </c>
      <c r="F5" s="15" t="s">
        <v>477</v>
      </c>
      <c r="G5" s="15" t="s">
        <v>478</v>
      </c>
      <c r="H5" s="15" t="s">
        <v>479</v>
      </c>
      <c r="I5" s="16" t="s">
        <v>480</v>
      </c>
      <c r="J5" s="16" t="s">
        <v>481</v>
      </c>
      <c r="K5" s="15" t="s">
        <v>482</v>
      </c>
      <c r="L5" s="16" t="s">
        <v>483</v>
      </c>
      <c r="M5" s="15" t="s">
        <v>484</v>
      </c>
      <c r="N5" s="15" t="s">
        <v>195</v>
      </c>
      <c r="O5" s="16" t="s">
        <v>485</v>
      </c>
    </row>
    <row r="6" customFormat="false" ht="15" hidden="false" customHeight="false" outlineLevel="0" collapsed="false">
      <c r="A6" s="44" t="n">
        <v>46298</v>
      </c>
      <c r="B6" s="6" t="s">
        <v>426</v>
      </c>
      <c r="C6" s="40" t="n">
        <v>30000</v>
      </c>
      <c r="D6" s="35" t="n">
        <f aca="false">IF($A6="","",SUMIFS(VENTAS!$H$6:$H$2005,VENTAS!$A$6:$A$2005,$A6,VENTAS!$M$6:$M$2005,"Efectivo"))</f>
        <v>50200</v>
      </c>
      <c r="E6" s="35" t="n">
        <f aca="false">IF($A6="","",SUMIFS(VENTAS!$H$6:$H$2005,VENTAS!$A$6:$A$2005,$A6,VENTAS!$M$6:$M$2005,"SINPE Móvil"))</f>
        <v>75950</v>
      </c>
      <c r="F6" s="35" t="n">
        <f aca="false">IF($A6="","",SUMIFS(VENTAS!$H$6:$H$2005,VENTAS!$A$6:$A$2005,$A6,VENTAS!$M$6:$M$2005,"Tarjeta"))</f>
        <v>44550</v>
      </c>
      <c r="G6" s="35" t="n">
        <f aca="false">IF($A6="","",SUMIFS(VENTAS!$H$6:$H$2005,VENTAS!$A$6:$A$2005,$A6)-$D6-$E6-$F6)</f>
        <v>0</v>
      </c>
      <c r="H6" s="35" t="n">
        <f aca="false">IF($A6="","",SUM($D6:$G6))</f>
        <v>170700</v>
      </c>
      <c r="I6" s="40" t="n">
        <v>5000</v>
      </c>
      <c r="J6" s="40" t="n">
        <v>50000</v>
      </c>
      <c r="K6" s="35" t="n">
        <f aca="false">IF($A6="","",N($C6)+$D6-N($I6)-N($J6))</f>
        <v>25200</v>
      </c>
      <c r="L6" s="40" t="n">
        <v>24200</v>
      </c>
      <c r="M6" s="35" t="n">
        <f aca="false">IF(OR($A6="",$L6=""),"",$L6-$K6)</f>
        <v>-1000</v>
      </c>
      <c r="N6" s="8" t="str">
        <f aca="false">IF($A6="","",IF($L6="","PENDIENTE",IF(ABS($M6)&lt;1,"OK",IF($M6&lt;0,"FALTANTE","SOBRANTE"))))</f>
        <v>FALTANTE</v>
      </c>
      <c r="O6" s="6" t="s">
        <v>486</v>
      </c>
    </row>
    <row r="7" customFormat="false" ht="15" hidden="false" customHeight="false" outlineLevel="0" collapsed="false">
      <c r="A7" s="44" t="n">
        <v>46299</v>
      </c>
      <c r="B7" s="6" t="s">
        <v>426</v>
      </c>
      <c r="C7" s="40" t="n">
        <v>30000</v>
      </c>
      <c r="D7" s="35" t="n">
        <f aca="false">IF($A7="","",SUMIFS(VENTAS!$H$6:$H$2005,VENTAS!$A$6:$A$2005,$A7,VENTAS!$M$6:$M$2005,"Efectivo"))</f>
        <v>39450</v>
      </c>
      <c r="E7" s="35" t="n">
        <f aca="false">IF($A7="","",SUMIFS(VENTAS!$H$6:$H$2005,VENTAS!$A$6:$A$2005,$A7,VENTAS!$M$6:$M$2005,"SINPE Móvil"))</f>
        <v>94300</v>
      </c>
      <c r="F7" s="35" t="n">
        <f aca="false">IF($A7="","",SUMIFS(VENTAS!$H$6:$H$2005,VENTAS!$A$6:$A$2005,$A7,VENTAS!$M$6:$M$2005,"Tarjeta"))</f>
        <v>82250</v>
      </c>
      <c r="G7" s="35" t="n">
        <f aca="false">IF($A7="","",SUMIFS(VENTAS!$H$6:$H$2005,VENTAS!$A$6:$A$2005,$A7)-$D7-$E7-$F7)</f>
        <v>0</v>
      </c>
      <c r="H7" s="35" t="n">
        <f aca="false">IF($A7="","",SUM($D7:$G7))</f>
        <v>216000</v>
      </c>
      <c r="I7" s="40" t="n">
        <v>0</v>
      </c>
      <c r="J7" s="40" t="n">
        <v>60000</v>
      </c>
      <c r="K7" s="35" t="n">
        <f aca="false">IF($A7="","",N($C7)+$D7-N($I7)-N($J7))</f>
        <v>9450</v>
      </c>
      <c r="L7" s="40"/>
      <c r="M7" s="35" t="str">
        <f aca="false">IF(OR($A7="",$L7=""),"",$L7-$K7)</f>
        <v/>
      </c>
      <c r="N7" s="8" t="str">
        <f aca="false">IF($A7="","",IF($L7="","PENDIENTE",IF(ABS($M7)&lt;1,"OK",IF($M7&lt;0,"FALTANTE","SOBRANTE"))))</f>
        <v>PENDIENTE</v>
      </c>
      <c r="O7" s="6"/>
    </row>
    <row r="8" customFormat="false" ht="15" hidden="false" customHeight="false" outlineLevel="0" collapsed="false">
      <c r="A8" s="44"/>
      <c r="B8" s="6"/>
      <c r="C8" s="40"/>
      <c r="D8" s="35" t="str">
        <f aca="false">IF($A8="","",SUMIFS(VENTAS!$H$6:$H$2005,VENTAS!$A$6:$A$2005,$A8,VENTAS!$M$6:$M$2005,"Efectivo"))</f>
        <v/>
      </c>
      <c r="E8" s="35" t="str">
        <f aca="false">IF($A8="","",SUMIFS(VENTAS!$H$6:$H$2005,VENTAS!$A$6:$A$2005,$A8,VENTAS!$M$6:$M$2005,"SINPE Móvil"))</f>
        <v/>
      </c>
      <c r="F8" s="35" t="str">
        <f aca="false">IF($A8="","",SUMIFS(VENTAS!$H$6:$H$2005,VENTAS!$A$6:$A$2005,$A8,VENTAS!$M$6:$M$2005,"Tarjeta"))</f>
        <v/>
      </c>
      <c r="G8" s="35" t="str">
        <f aca="false">IF($A8="","",SUMIFS(VENTAS!$H$6:$H$2005,VENTAS!$A$6:$A$2005,$A8)-$D8-$E8-$F8)</f>
        <v/>
      </c>
      <c r="H8" s="35" t="str">
        <f aca="false">IF($A8="","",SUM($D8:$G8))</f>
        <v/>
      </c>
      <c r="I8" s="40"/>
      <c r="J8" s="40"/>
      <c r="K8" s="35" t="str">
        <f aca="false">IF($A8="","",N($C8)+$D8-N($I8)-N($J8))</f>
        <v/>
      </c>
      <c r="L8" s="40"/>
      <c r="M8" s="35" t="str">
        <f aca="false">IF(OR($A8="",$L8=""),"",$L8-$K8)</f>
        <v/>
      </c>
      <c r="N8" s="8" t="str">
        <f aca="false">IF($A8="","",IF($L8="","PENDIENTE",IF(ABS($M8)&lt;1,"OK",IF($M8&lt;0,"FALTANTE","SOBRANTE"))))</f>
        <v/>
      </c>
      <c r="O8" s="6"/>
    </row>
    <row r="9" customFormat="false" ht="15" hidden="false" customHeight="false" outlineLevel="0" collapsed="false">
      <c r="A9" s="44"/>
      <c r="B9" s="6"/>
      <c r="C9" s="40"/>
      <c r="D9" s="35" t="str">
        <f aca="false">IF($A9="","",SUMIFS(VENTAS!$H$6:$H$2005,VENTAS!$A$6:$A$2005,$A9,VENTAS!$M$6:$M$2005,"Efectivo"))</f>
        <v/>
      </c>
      <c r="E9" s="35" t="str">
        <f aca="false">IF($A9="","",SUMIFS(VENTAS!$H$6:$H$2005,VENTAS!$A$6:$A$2005,$A9,VENTAS!$M$6:$M$2005,"SINPE Móvil"))</f>
        <v/>
      </c>
      <c r="F9" s="35" t="str">
        <f aca="false">IF($A9="","",SUMIFS(VENTAS!$H$6:$H$2005,VENTAS!$A$6:$A$2005,$A9,VENTAS!$M$6:$M$2005,"Tarjeta"))</f>
        <v/>
      </c>
      <c r="G9" s="35" t="str">
        <f aca="false">IF($A9="","",SUMIFS(VENTAS!$H$6:$H$2005,VENTAS!$A$6:$A$2005,$A9)-$D9-$E9-$F9)</f>
        <v/>
      </c>
      <c r="H9" s="35" t="str">
        <f aca="false">IF($A9="","",SUM($D9:$G9))</f>
        <v/>
      </c>
      <c r="I9" s="40"/>
      <c r="J9" s="40"/>
      <c r="K9" s="35" t="str">
        <f aca="false">IF($A9="","",N($C9)+$D9-N($I9)-N($J9))</f>
        <v/>
      </c>
      <c r="L9" s="40"/>
      <c r="M9" s="35" t="str">
        <f aca="false">IF(OR($A9="",$L9=""),"",$L9-$K9)</f>
        <v/>
      </c>
      <c r="N9" s="8" t="str">
        <f aca="false">IF($A9="","",IF($L9="","PENDIENTE",IF(ABS($M9)&lt;1,"OK",IF($M9&lt;0,"FALTANTE","SOBRANTE"))))</f>
        <v/>
      </c>
      <c r="O9" s="6"/>
    </row>
    <row r="10" customFormat="false" ht="15" hidden="false" customHeight="false" outlineLevel="0" collapsed="false">
      <c r="A10" s="44"/>
      <c r="B10" s="6"/>
      <c r="C10" s="40"/>
      <c r="D10" s="35" t="str">
        <f aca="false">IF($A10="","",SUMIFS(VENTAS!$H$6:$H$2005,VENTAS!$A$6:$A$2005,$A10,VENTAS!$M$6:$M$2005,"Efectivo"))</f>
        <v/>
      </c>
      <c r="E10" s="35" t="str">
        <f aca="false">IF($A10="","",SUMIFS(VENTAS!$H$6:$H$2005,VENTAS!$A$6:$A$2005,$A10,VENTAS!$M$6:$M$2005,"SINPE Móvil"))</f>
        <v/>
      </c>
      <c r="F10" s="35" t="str">
        <f aca="false">IF($A10="","",SUMIFS(VENTAS!$H$6:$H$2005,VENTAS!$A$6:$A$2005,$A10,VENTAS!$M$6:$M$2005,"Tarjeta"))</f>
        <v/>
      </c>
      <c r="G10" s="35" t="str">
        <f aca="false">IF($A10="","",SUMIFS(VENTAS!$H$6:$H$2005,VENTAS!$A$6:$A$2005,$A10)-$D10-$E10-$F10)</f>
        <v/>
      </c>
      <c r="H10" s="35" t="str">
        <f aca="false">IF($A10="","",SUM($D10:$G10))</f>
        <v/>
      </c>
      <c r="I10" s="40"/>
      <c r="J10" s="40"/>
      <c r="K10" s="35" t="str">
        <f aca="false">IF($A10="","",N($C10)+$D10-N($I10)-N($J10))</f>
        <v/>
      </c>
      <c r="L10" s="40"/>
      <c r="M10" s="35" t="str">
        <f aca="false">IF(OR($A10="",$L10=""),"",$L10-$K10)</f>
        <v/>
      </c>
      <c r="N10" s="8" t="str">
        <f aca="false">IF($A10="","",IF($L10="","PENDIENTE",IF(ABS($M10)&lt;1,"OK",IF($M10&lt;0,"FALTANTE","SOBRANTE"))))</f>
        <v/>
      </c>
      <c r="O10" s="6"/>
    </row>
    <row r="11" customFormat="false" ht="15" hidden="false" customHeight="false" outlineLevel="0" collapsed="false">
      <c r="A11" s="44"/>
      <c r="B11" s="6"/>
      <c r="C11" s="40"/>
      <c r="D11" s="35" t="str">
        <f aca="false">IF($A11="","",SUMIFS(VENTAS!$H$6:$H$2005,VENTAS!$A$6:$A$2005,$A11,VENTAS!$M$6:$M$2005,"Efectivo"))</f>
        <v/>
      </c>
      <c r="E11" s="35" t="str">
        <f aca="false">IF($A11="","",SUMIFS(VENTAS!$H$6:$H$2005,VENTAS!$A$6:$A$2005,$A11,VENTAS!$M$6:$M$2005,"SINPE Móvil"))</f>
        <v/>
      </c>
      <c r="F11" s="35" t="str">
        <f aca="false">IF($A11="","",SUMIFS(VENTAS!$H$6:$H$2005,VENTAS!$A$6:$A$2005,$A11,VENTAS!$M$6:$M$2005,"Tarjeta"))</f>
        <v/>
      </c>
      <c r="G11" s="35" t="str">
        <f aca="false">IF($A11="","",SUMIFS(VENTAS!$H$6:$H$2005,VENTAS!$A$6:$A$2005,$A11)-$D11-$E11-$F11)</f>
        <v/>
      </c>
      <c r="H11" s="35" t="str">
        <f aca="false">IF($A11="","",SUM($D11:$G11))</f>
        <v/>
      </c>
      <c r="I11" s="40"/>
      <c r="J11" s="40"/>
      <c r="K11" s="35" t="str">
        <f aca="false">IF($A11="","",N($C11)+$D11-N($I11)-N($J11))</f>
        <v/>
      </c>
      <c r="L11" s="40"/>
      <c r="M11" s="35" t="str">
        <f aca="false">IF(OR($A11="",$L11=""),"",$L11-$K11)</f>
        <v/>
      </c>
      <c r="N11" s="8" t="str">
        <f aca="false">IF($A11="","",IF($L11="","PENDIENTE",IF(ABS($M11)&lt;1,"OK",IF($M11&lt;0,"FALTANTE","SOBRANTE"))))</f>
        <v/>
      </c>
      <c r="O11" s="6"/>
    </row>
    <row r="12" customFormat="false" ht="15" hidden="false" customHeight="false" outlineLevel="0" collapsed="false">
      <c r="A12" s="44"/>
      <c r="B12" s="6"/>
      <c r="C12" s="40"/>
      <c r="D12" s="35" t="str">
        <f aca="false">IF($A12="","",SUMIFS(VENTAS!$H$6:$H$2005,VENTAS!$A$6:$A$2005,$A12,VENTAS!$M$6:$M$2005,"Efectivo"))</f>
        <v/>
      </c>
      <c r="E12" s="35" t="str">
        <f aca="false">IF($A12="","",SUMIFS(VENTAS!$H$6:$H$2005,VENTAS!$A$6:$A$2005,$A12,VENTAS!$M$6:$M$2005,"SINPE Móvil"))</f>
        <v/>
      </c>
      <c r="F12" s="35" t="str">
        <f aca="false">IF($A12="","",SUMIFS(VENTAS!$H$6:$H$2005,VENTAS!$A$6:$A$2005,$A12,VENTAS!$M$6:$M$2005,"Tarjeta"))</f>
        <v/>
      </c>
      <c r="G12" s="35" t="str">
        <f aca="false">IF($A12="","",SUMIFS(VENTAS!$H$6:$H$2005,VENTAS!$A$6:$A$2005,$A12)-$D12-$E12-$F12)</f>
        <v/>
      </c>
      <c r="H12" s="35" t="str">
        <f aca="false">IF($A12="","",SUM($D12:$G12))</f>
        <v/>
      </c>
      <c r="I12" s="40"/>
      <c r="J12" s="40"/>
      <c r="K12" s="35" t="str">
        <f aca="false">IF($A12="","",N($C12)+$D12-N($I12)-N($J12))</f>
        <v/>
      </c>
      <c r="L12" s="40"/>
      <c r="M12" s="35" t="str">
        <f aca="false">IF(OR($A12="",$L12=""),"",$L12-$K12)</f>
        <v/>
      </c>
      <c r="N12" s="8" t="str">
        <f aca="false">IF($A12="","",IF($L12="","PENDIENTE",IF(ABS($M12)&lt;1,"OK",IF($M12&lt;0,"FALTANTE","SOBRANTE"))))</f>
        <v/>
      </c>
      <c r="O12" s="6"/>
    </row>
    <row r="13" customFormat="false" ht="15" hidden="false" customHeight="false" outlineLevel="0" collapsed="false">
      <c r="A13" s="44"/>
      <c r="B13" s="6"/>
      <c r="C13" s="40"/>
      <c r="D13" s="35" t="str">
        <f aca="false">IF($A13="","",SUMIFS(VENTAS!$H$6:$H$2005,VENTAS!$A$6:$A$2005,$A13,VENTAS!$M$6:$M$2005,"Efectivo"))</f>
        <v/>
      </c>
      <c r="E13" s="35" t="str">
        <f aca="false">IF($A13="","",SUMIFS(VENTAS!$H$6:$H$2005,VENTAS!$A$6:$A$2005,$A13,VENTAS!$M$6:$M$2005,"SINPE Móvil"))</f>
        <v/>
      </c>
      <c r="F13" s="35" t="str">
        <f aca="false">IF($A13="","",SUMIFS(VENTAS!$H$6:$H$2005,VENTAS!$A$6:$A$2005,$A13,VENTAS!$M$6:$M$2005,"Tarjeta"))</f>
        <v/>
      </c>
      <c r="G13" s="35" t="str">
        <f aca="false">IF($A13="","",SUMIFS(VENTAS!$H$6:$H$2005,VENTAS!$A$6:$A$2005,$A13)-$D13-$E13-$F13)</f>
        <v/>
      </c>
      <c r="H13" s="35" t="str">
        <f aca="false">IF($A13="","",SUM($D13:$G13))</f>
        <v/>
      </c>
      <c r="I13" s="40"/>
      <c r="J13" s="40"/>
      <c r="K13" s="35" t="str">
        <f aca="false">IF($A13="","",N($C13)+$D13-N($I13)-N($J13))</f>
        <v/>
      </c>
      <c r="L13" s="40"/>
      <c r="M13" s="35" t="str">
        <f aca="false">IF(OR($A13="",$L13=""),"",$L13-$K13)</f>
        <v/>
      </c>
      <c r="N13" s="8" t="str">
        <f aca="false">IF($A13="","",IF($L13="","PENDIENTE",IF(ABS($M13)&lt;1,"OK",IF($M13&lt;0,"FALTANTE","SOBRANTE"))))</f>
        <v/>
      </c>
      <c r="O13" s="6"/>
    </row>
    <row r="14" customFormat="false" ht="15" hidden="false" customHeight="false" outlineLevel="0" collapsed="false">
      <c r="A14" s="44"/>
      <c r="B14" s="6"/>
      <c r="C14" s="40"/>
      <c r="D14" s="35" t="str">
        <f aca="false">IF($A14="","",SUMIFS(VENTAS!$H$6:$H$2005,VENTAS!$A$6:$A$2005,$A14,VENTAS!$M$6:$M$2005,"Efectivo"))</f>
        <v/>
      </c>
      <c r="E14" s="35" t="str">
        <f aca="false">IF($A14="","",SUMIFS(VENTAS!$H$6:$H$2005,VENTAS!$A$6:$A$2005,$A14,VENTAS!$M$6:$M$2005,"SINPE Móvil"))</f>
        <v/>
      </c>
      <c r="F14" s="35" t="str">
        <f aca="false">IF($A14="","",SUMIFS(VENTAS!$H$6:$H$2005,VENTAS!$A$6:$A$2005,$A14,VENTAS!$M$6:$M$2005,"Tarjeta"))</f>
        <v/>
      </c>
      <c r="G14" s="35" t="str">
        <f aca="false">IF($A14="","",SUMIFS(VENTAS!$H$6:$H$2005,VENTAS!$A$6:$A$2005,$A14)-$D14-$E14-$F14)</f>
        <v/>
      </c>
      <c r="H14" s="35" t="str">
        <f aca="false">IF($A14="","",SUM($D14:$G14))</f>
        <v/>
      </c>
      <c r="I14" s="40"/>
      <c r="J14" s="40"/>
      <c r="K14" s="35" t="str">
        <f aca="false">IF($A14="","",N($C14)+$D14-N($I14)-N($J14))</f>
        <v/>
      </c>
      <c r="L14" s="40"/>
      <c r="M14" s="35" t="str">
        <f aca="false">IF(OR($A14="",$L14=""),"",$L14-$K14)</f>
        <v/>
      </c>
      <c r="N14" s="8" t="str">
        <f aca="false">IF($A14="","",IF($L14="","PENDIENTE",IF(ABS($M14)&lt;1,"OK",IF($M14&lt;0,"FALTANTE","SOBRANTE"))))</f>
        <v/>
      </c>
      <c r="O14" s="6"/>
    </row>
    <row r="15" customFormat="false" ht="15" hidden="false" customHeight="false" outlineLevel="0" collapsed="false">
      <c r="A15" s="44"/>
      <c r="B15" s="6"/>
      <c r="C15" s="40"/>
      <c r="D15" s="35" t="str">
        <f aca="false">IF($A15="","",SUMIFS(VENTAS!$H$6:$H$2005,VENTAS!$A$6:$A$2005,$A15,VENTAS!$M$6:$M$2005,"Efectivo"))</f>
        <v/>
      </c>
      <c r="E15" s="35" t="str">
        <f aca="false">IF($A15="","",SUMIFS(VENTAS!$H$6:$H$2005,VENTAS!$A$6:$A$2005,$A15,VENTAS!$M$6:$M$2005,"SINPE Móvil"))</f>
        <v/>
      </c>
      <c r="F15" s="35" t="str">
        <f aca="false">IF($A15="","",SUMIFS(VENTAS!$H$6:$H$2005,VENTAS!$A$6:$A$2005,$A15,VENTAS!$M$6:$M$2005,"Tarjeta"))</f>
        <v/>
      </c>
      <c r="G15" s="35" t="str">
        <f aca="false">IF($A15="","",SUMIFS(VENTAS!$H$6:$H$2005,VENTAS!$A$6:$A$2005,$A15)-$D15-$E15-$F15)</f>
        <v/>
      </c>
      <c r="H15" s="35" t="str">
        <f aca="false">IF($A15="","",SUM($D15:$G15))</f>
        <v/>
      </c>
      <c r="I15" s="40"/>
      <c r="J15" s="40"/>
      <c r="K15" s="35" t="str">
        <f aca="false">IF($A15="","",N($C15)+$D15-N($I15)-N($J15))</f>
        <v/>
      </c>
      <c r="L15" s="40"/>
      <c r="M15" s="35" t="str">
        <f aca="false">IF(OR($A15="",$L15=""),"",$L15-$K15)</f>
        <v/>
      </c>
      <c r="N15" s="8" t="str">
        <f aca="false">IF($A15="","",IF($L15="","PENDIENTE",IF(ABS($M15)&lt;1,"OK",IF($M15&lt;0,"FALTANTE","SOBRANTE"))))</f>
        <v/>
      </c>
      <c r="O15" s="6"/>
    </row>
    <row r="16" customFormat="false" ht="15" hidden="false" customHeight="false" outlineLevel="0" collapsed="false">
      <c r="A16" s="44"/>
      <c r="B16" s="6"/>
      <c r="C16" s="40"/>
      <c r="D16" s="35" t="str">
        <f aca="false">IF($A16="","",SUMIFS(VENTAS!$H$6:$H$2005,VENTAS!$A$6:$A$2005,$A16,VENTAS!$M$6:$M$2005,"Efectivo"))</f>
        <v/>
      </c>
      <c r="E16" s="35" t="str">
        <f aca="false">IF($A16="","",SUMIFS(VENTAS!$H$6:$H$2005,VENTAS!$A$6:$A$2005,$A16,VENTAS!$M$6:$M$2005,"SINPE Móvil"))</f>
        <v/>
      </c>
      <c r="F16" s="35" t="str">
        <f aca="false">IF($A16="","",SUMIFS(VENTAS!$H$6:$H$2005,VENTAS!$A$6:$A$2005,$A16,VENTAS!$M$6:$M$2005,"Tarjeta"))</f>
        <v/>
      </c>
      <c r="G16" s="35" t="str">
        <f aca="false">IF($A16="","",SUMIFS(VENTAS!$H$6:$H$2005,VENTAS!$A$6:$A$2005,$A16)-$D16-$E16-$F16)</f>
        <v/>
      </c>
      <c r="H16" s="35" t="str">
        <f aca="false">IF($A16="","",SUM($D16:$G16))</f>
        <v/>
      </c>
      <c r="I16" s="40"/>
      <c r="J16" s="40"/>
      <c r="K16" s="35" t="str">
        <f aca="false">IF($A16="","",N($C16)+$D16-N($I16)-N($J16))</f>
        <v/>
      </c>
      <c r="L16" s="40"/>
      <c r="M16" s="35" t="str">
        <f aca="false">IF(OR($A16="",$L16=""),"",$L16-$K16)</f>
        <v/>
      </c>
      <c r="N16" s="8" t="str">
        <f aca="false">IF($A16="","",IF($L16="","PENDIENTE",IF(ABS($M16)&lt;1,"OK",IF($M16&lt;0,"FALTANTE","SOBRANTE"))))</f>
        <v/>
      </c>
      <c r="O16" s="6"/>
    </row>
    <row r="17" customFormat="false" ht="15" hidden="false" customHeight="false" outlineLevel="0" collapsed="false">
      <c r="A17" s="44"/>
      <c r="B17" s="6"/>
      <c r="C17" s="40"/>
      <c r="D17" s="35" t="str">
        <f aca="false">IF($A17="","",SUMIFS(VENTAS!$H$6:$H$2005,VENTAS!$A$6:$A$2005,$A17,VENTAS!$M$6:$M$2005,"Efectivo"))</f>
        <v/>
      </c>
      <c r="E17" s="35" t="str">
        <f aca="false">IF($A17="","",SUMIFS(VENTAS!$H$6:$H$2005,VENTAS!$A$6:$A$2005,$A17,VENTAS!$M$6:$M$2005,"SINPE Móvil"))</f>
        <v/>
      </c>
      <c r="F17" s="35" t="str">
        <f aca="false">IF($A17="","",SUMIFS(VENTAS!$H$6:$H$2005,VENTAS!$A$6:$A$2005,$A17,VENTAS!$M$6:$M$2005,"Tarjeta"))</f>
        <v/>
      </c>
      <c r="G17" s="35" t="str">
        <f aca="false">IF($A17="","",SUMIFS(VENTAS!$H$6:$H$2005,VENTAS!$A$6:$A$2005,$A17)-$D17-$E17-$F17)</f>
        <v/>
      </c>
      <c r="H17" s="35" t="str">
        <f aca="false">IF($A17="","",SUM($D17:$G17))</f>
        <v/>
      </c>
      <c r="I17" s="40"/>
      <c r="J17" s="40"/>
      <c r="K17" s="35" t="str">
        <f aca="false">IF($A17="","",N($C17)+$D17-N($I17)-N($J17))</f>
        <v/>
      </c>
      <c r="L17" s="40"/>
      <c r="M17" s="35" t="str">
        <f aca="false">IF(OR($A17="",$L17=""),"",$L17-$K17)</f>
        <v/>
      </c>
      <c r="N17" s="8" t="str">
        <f aca="false">IF($A17="","",IF($L17="","PENDIENTE",IF(ABS($M17)&lt;1,"OK",IF($M17&lt;0,"FALTANTE","SOBRANTE"))))</f>
        <v/>
      </c>
      <c r="O17" s="6"/>
    </row>
    <row r="18" customFormat="false" ht="15" hidden="false" customHeight="false" outlineLevel="0" collapsed="false">
      <c r="A18" s="44"/>
      <c r="B18" s="6"/>
      <c r="C18" s="40"/>
      <c r="D18" s="35" t="str">
        <f aca="false">IF($A18="","",SUMIFS(VENTAS!$H$6:$H$2005,VENTAS!$A$6:$A$2005,$A18,VENTAS!$M$6:$M$2005,"Efectivo"))</f>
        <v/>
      </c>
      <c r="E18" s="35" t="str">
        <f aca="false">IF($A18="","",SUMIFS(VENTAS!$H$6:$H$2005,VENTAS!$A$6:$A$2005,$A18,VENTAS!$M$6:$M$2005,"SINPE Móvil"))</f>
        <v/>
      </c>
      <c r="F18" s="35" t="str">
        <f aca="false">IF($A18="","",SUMIFS(VENTAS!$H$6:$H$2005,VENTAS!$A$6:$A$2005,$A18,VENTAS!$M$6:$M$2005,"Tarjeta"))</f>
        <v/>
      </c>
      <c r="G18" s="35" t="str">
        <f aca="false">IF($A18="","",SUMIFS(VENTAS!$H$6:$H$2005,VENTAS!$A$6:$A$2005,$A18)-$D18-$E18-$F18)</f>
        <v/>
      </c>
      <c r="H18" s="35" t="str">
        <f aca="false">IF($A18="","",SUM($D18:$G18))</f>
        <v/>
      </c>
      <c r="I18" s="40"/>
      <c r="J18" s="40"/>
      <c r="K18" s="35" t="str">
        <f aca="false">IF($A18="","",N($C18)+$D18-N($I18)-N($J18))</f>
        <v/>
      </c>
      <c r="L18" s="40"/>
      <c r="M18" s="35" t="str">
        <f aca="false">IF(OR($A18="",$L18=""),"",$L18-$K18)</f>
        <v/>
      </c>
      <c r="N18" s="8" t="str">
        <f aca="false">IF($A18="","",IF($L18="","PENDIENTE",IF(ABS($M18)&lt;1,"OK",IF($M18&lt;0,"FALTANTE","SOBRANTE"))))</f>
        <v/>
      </c>
      <c r="O18" s="6"/>
    </row>
    <row r="19" customFormat="false" ht="15" hidden="false" customHeight="false" outlineLevel="0" collapsed="false">
      <c r="A19" s="44"/>
      <c r="B19" s="6"/>
      <c r="C19" s="40"/>
      <c r="D19" s="35" t="str">
        <f aca="false">IF($A19="","",SUMIFS(VENTAS!$H$6:$H$2005,VENTAS!$A$6:$A$2005,$A19,VENTAS!$M$6:$M$2005,"Efectivo"))</f>
        <v/>
      </c>
      <c r="E19" s="35" t="str">
        <f aca="false">IF($A19="","",SUMIFS(VENTAS!$H$6:$H$2005,VENTAS!$A$6:$A$2005,$A19,VENTAS!$M$6:$M$2005,"SINPE Móvil"))</f>
        <v/>
      </c>
      <c r="F19" s="35" t="str">
        <f aca="false">IF($A19="","",SUMIFS(VENTAS!$H$6:$H$2005,VENTAS!$A$6:$A$2005,$A19,VENTAS!$M$6:$M$2005,"Tarjeta"))</f>
        <v/>
      </c>
      <c r="G19" s="35" t="str">
        <f aca="false">IF($A19="","",SUMIFS(VENTAS!$H$6:$H$2005,VENTAS!$A$6:$A$2005,$A19)-$D19-$E19-$F19)</f>
        <v/>
      </c>
      <c r="H19" s="35" t="str">
        <f aca="false">IF($A19="","",SUM($D19:$G19))</f>
        <v/>
      </c>
      <c r="I19" s="40"/>
      <c r="J19" s="40"/>
      <c r="K19" s="35" t="str">
        <f aca="false">IF($A19="","",N($C19)+$D19-N($I19)-N($J19))</f>
        <v/>
      </c>
      <c r="L19" s="40"/>
      <c r="M19" s="35" t="str">
        <f aca="false">IF(OR($A19="",$L19=""),"",$L19-$K19)</f>
        <v/>
      </c>
      <c r="N19" s="8" t="str">
        <f aca="false">IF($A19="","",IF($L19="","PENDIENTE",IF(ABS($M19)&lt;1,"OK",IF($M19&lt;0,"FALTANTE","SOBRANTE"))))</f>
        <v/>
      </c>
      <c r="O19" s="6"/>
    </row>
    <row r="20" customFormat="false" ht="15" hidden="false" customHeight="false" outlineLevel="0" collapsed="false">
      <c r="A20" s="44"/>
      <c r="B20" s="6"/>
      <c r="C20" s="40"/>
      <c r="D20" s="35" t="str">
        <f aca="false">IF($A20="","",SUMIFS(VENTAS!$H$6:$H$2005,VENTAS!$A$6:$A$2005,$A20,VENTAS!$M$6:$M$2005,"Efectivo"))</f>
        <v/>
      </c>
      <c r="E20" s="35" t="str">
        <f aca="false">IF($A20="","",SUMIFS(VENTAS!$H$6:$H$2005,VENTAS!$A$6:$A$2005,$A20,VENTAS!$M$6:$M$2005,"SINPE Móvil"))</f>
        <v/>
      </c>
      <c r="F20" s="35" t="str">
        <f aca="false">IF($A20="","",SUMIFS(VENTAS!$H$6:$H$2005,VENTAS!$A$6:$A$2005,$A20,VENTAS!$M$6:$M$2005,"Tarjeta"))</f>
        <v/>
      </c>
      <c r="G20" s="35" t="str">
        <f aca="false">IF($A20="","",SUMIFS(VENTAS!$H$6:$H$2005,VENTAS!$A$6:$A$2005,$A20)-$D20-$E20-$F20)</f>
        <v/>
      </c>
      <c r="H20" s="35" t="str">
        <f aca="false">IF($A20="","",SUM($D20:$G20))</f>
        <v/>
      </c>
      <c r="I20" s="40"/>
      <c r="J20" s="40"/>
      <c r="K20" s="35" t="str">
        <f aca="false">IF($A20="","",N($C20)+$D20-N($I20)-N($J20))</f>
        <v/>
      </c>
      <c r="L20" s="40"/>
      <c r="M20" s="35" t="str">
        <f aca="false">IF(OR($A20="",$L20=""),"",$L20-$K20)</f>
        <v/>
      </c>
      <c r="N20" s="8" t="str">
        <f aca="false">IF($A20="","",IF($L20="","PENDIENTE",IF(ABS($M20)&lt;1,"OK",IF($M20&lt;0,"FALTANTE","SOBRANTE"))))</f>
        <v/>
      </c>
      <c r="O20" s="6"/>
    </row>
    <row r="21" customFormat="false" ht="15" hidden="false" customHeight="false" outlineLevel="0" collapsed="false">
      <c r="A21" s="44"/>
      <c r="B21" s="6"/>
      <c r="C21" s="40"/>
      <c r="D21" s="35" t="str">
        <f aca="false">IF($A21="","",SUMIFS(VENTAS!$H$6:$H$2005,VENTAS!$A$6:$A$2005,$A21,VENTAS!$M$6:$M$2005,"Efectivo"))</f>
        <v/>
      </c>
      <c r="E21" s="35" t="str">
        <f aca="false">IF($A21="","",SUMIFS(VENTAS!$H$6:$H$2005,VENTAS!$A$6:$A$2005,$A21,VENTAS!$M$6:$M$2005,"SINPE Móvil"))</f>
        <v/>
      </c>
      <c r="F21" s="35" t="str">
        <f aca="false">IF($A21="","",SUMIFS(VENTAS!$H$6:$H$2005,VENTAS!$A$6:$A$2005,$A21,VENTAS!$M$6:$M$2005,"Tarjeta"))</f>
        <v/>
      </c>
      <c r="G21" s="35" t="str">
        <f aca="false">IF($A21="","",SUMIFS(VENTAS!$H$6:$H$2005,VENTAS!$A$6:$A$2005,$A21)-$D21-$E21-$F21)</f>
        <v/>
      </c>
      <c r="H21" s="35" t="str">
        <f aca="false">IF($A21="","",SUM($D21:$G21))</f>
        <v/>
      </c>
      <c r="I21" s="40"/>
      <c r="J21" s="40"/>
      <c r="K21" s="35" t="str">
        <f aca="false">IF($A21="","",N($C21)+$D21-N($I21)-N($J21))</f>
        <v/>
      </c>
      <c r="L21" s="40"/>
      <c r="M21" s="35" t="str">
        <f aca="false">IF(OR($A21="",$L21=""),"",$L21-$K21)</f>
        <v/>
      </c>
      <c r="N21" s="8" t="str">
        <f aca="false">IF($A21="","",IF($L21="","PENDIENTE",IF(ABS($M21)&lt;1,"OK",IF($M21&lt;0,"FALTANTE","SOBRANTE"))))</f>
        <v/>
      </c>
      <c r="O21" s="6"/>
    </row>
    <row r="22" customFormat="false" ht="15" hidden="false" customHeight="false" outlineLevel="0" collapsed="false">
      <c r="A22" s="44"/>
      <c r="B22" s="6"/>
      <c r="C22" s="40"/>
      <c r="D22" s="35" t="str">
        <f aca="false">IF($A22="","",SUMIFS(VENTAS!$H$6:$H$2005,VENTAS!$A$6:$A$2005,$A22,VENTAS!$M$6:$M$2005,"Efectivo"))</f>
        <v/>
      </c>
      <c r="E22" s="35" t="str">
        <f aca="false">IF($A22="","",SUMIFS(VENTAS!$H$6:$H$2005,VENTAS!$A$6:$A$2005,$A22,VENTAS!$M$6:$M$2005,"SINPE Móvil"))</f>
        <v/>
      </c>
      <c r="F22" s="35" t="str">
        <f aca="false">IF($A22="","",SUMIFS(VENTAS!$H$6:$H$2005,VENTAS!$A$6:$A$2005,$A22,VENTAS!$M$6:$M$2005,"Tarjeta"))</f>
        <v/>
      </c>
      <c r="G22" s="35" t="str">
        <f aca="false">IF($A22="","",SUMIFS(VENTAS!$H$6:$H$2005,VENTAS!$A$6:$A$2005,$A22)-$D22-$E22-$F22)</f>
        <v/>
      </c>
      <c r="H22" s="35" t="str">
        <f aca="false">IF($A22="","",SUM($D22:$G22))</f>
        <v/>
      </c>
      <c r="I22" s="40"/>
      <c r="J22" s="40"/>
      <c r="K22" s="35" t="str">
        <f aca="false">IF($A22="","",N($C22)+$D22-N($I22)-N($J22))</f>
        <v/>
      </c>
      <c r="L22" s="40"/>
      <c r="M22" s="35" t="str">
        <f aca="false">IF(OR($A22="",$L22=""),"",$L22-$K22)</f>
        <v/>
      </c>
      <c r="N22" s="8" t="str">
        <f aca="false">IF($A22="","",IF($L22="","PENDIENTE",IF(ABS($M22)&lt;1,"OK",IF($M22&lt;0,"FALTANTE","SOBRANTE"))))</f>
        <v/>
      </c>
      <c r="O22" s="6"/>
    </row>
    <row r="23" customFormat="false" ht="15" hidden="false" customHeight="false" outlineLevel="0" collapsed="false">
      <c r="A23" s="44"/>
      <c r="B23" s="6"/>
      <c r="C23" s="40"/>
      <c r="D23" s="35" t="str">
        <f aca="false">IF($A23="","",SUMIFS(VENTAS!$H$6:$H$2005,VENTAS!$A$6:$A$2005,$A23,VENTAS!$M$6:$M$2005,"Efectivo"))</f>
        <v/>
      </c>
      <c r="E23" s="35" t="str">
        <f aca="false">IF($A23="","",SUMIFS(VENTAS!$H$6:$H$2005,VENTAS!$A$6:$A$2005,$A23,VENTAS!$M$6:$M$2005,"SINPE Móvil"))</f>
        <v/>
      </c>
      <c r="F23" s="35" t="str">
        <f aca="false">IF($A23="","",SUMIFS(VENTAS!$H$6:$H$2005,VENTAS!$A$6:$A$2005,$A23,VENTAS!$M$6:$M$2005,"Tarjeta"))</f>
        <v/>
      </c>
      <c r="G23" s="35" t="str">
        <f aca="false">IF($A23="","",SUMIFS(VENTAS!$H$6:$H$2005,VENTAS!$A$6:$A$2005,$A23)-$D23-$E23-$F23)</f>
        <v/>
      </c>
      <c r="H23" s="35" t="str">
        <f aca="false">IF($A23="","",SUM($D23:$G23))</f>
        <v/>
      </c>
      <c r="I23" s="40"/>
      <c r="J23" s="40"/>
      <c r="K23" s="35" t="str">
        <f aca="false">IF($A23="","",N($C23)+$D23-N($I23)-N($J23))</f>
        <v/>
      </c>
      <c r="L23" s="40"/>
      <c r="M23" s="35" t="str">
        <f aca="false">IF(OR($A23="",$L23=""),"",$L23-$K23)</f>
        <v/>
      </c>
      <c r="N23" s="8" t="str">
        <f aca="false">IF($A23="","",IF($L23="","PENDIENTE",IF(ABS($M23)&lt;1,"OK",IF($M23&lt;0,"FALTANTE","SOBRANTE"))))</f>
        <v/>
      </c>
      <c r="O23" s="6"/>
    </row>
    <row r="24" customFormat="false" ht="15" hidden="false" customHeight="false" outlineLevel="0" collapsed="false">
      <c r="A24" s="44"/>
      <c r="B24" s="6"/>
      <c r="C24" s="40"/>
      <c r="D24" s="35" t="str">
        <f aca="false">IF($A24="","",SUMIFS(VENTAS!$H$6:$H$2005,VENTAS!$A$6:$A$2005,$A24,VENTAS!$M$6:$M$2005,"Efectivo"))</f>
        <v/>
      </c>
      <c r="E24" s="35" t="str">
        <f aca="false">IF($A24="","",SUMIFS(VENTAS!$H$6:$H$2005,VENTAS!$A$6:$A$2005,$A24,VENTAS!$M$6:$M$2005,"SINPE Móvil"))</f>
        <v/>
      </c>
      <c r="F24" s="35" t="str">
        <f aca="false">IF($A24="","",SUMIFS(VENTAS!$H$6:$H$2005,VENTAS!$A$6:$A$2005,$A24,VENTAS!$M$6:$M$2005,"Tarjeta"))</f>
        <v/>
      </c>
      <c r="G24" s="35" t="str">
        <f aca="false">IF($A24="","",SUMIFS(VENTAS!$H$6:$H$2005,VENTAS!$A$6:$A$2005,$A24)-$D24-$E24-$F24)</f>
        <v/>
      </c>
      <c r="H24" s="35" t="str">
        <f aca="false">IF($A24="","",SUM($D24:$G24))</f>
        <v/>
      </c>
      <c r="I24" s="40"/>
      <c r="J24" s="40"/>
      <c r="K24" s="35" t="str">
        <f aca="false">IF($A24="","",N($C24)+$D24-N($I24)-N($J24))</f>
        <v/>
      </c>
      <c r="L24" s="40"/>
      <c r="M24" s="35" t="str">
        <f aca="false">IF(OR($A24="",$L24=""),"",$L24-$K24)</f>
        <v/>
      </c>
      <c r="N24" s="8" t="str">
        <f aca="false">IF($A24="","",IF($L24="","PENDIENTE",IF(ABS($M24)&lt;1,"OK",IF($M24&lt;0,"FALTANTE","SOBRANTE"))))</f>
        <v/>
      </c>
      <c r="O24" s="6"/>
    </row>
    <row r="25" customFormat="false" ht="15" hidden="false" customHeight="false" outlineLevel="0" collapsed="false">
      <c r="A25" s="44"/>
      <c r="B25" s="6"/>
      <c r="C25" s="40"/>
      <c r="D25" s="35" t="str">
        <f aca="false">IF($A25="","",SUMIFS(VENTAS!$H$6:$H$2005,VENTAS!$A$6:$A$2005,$A25,VENTAS!$M$6:$M$2005,"Efectivo"))</f>
        <v/>
      </c>
      <c r="E25" s="35" t="str">
        <f aca="false">IF($A25="","",SUMIFS(VENTAS!$H$6:$H$2005,VENTAS!$A$6:$A$2005,$A25,VENTAS!$M$6:$M$2005,"SINPE Móvil"))</f>
        <v/>
      </c>
      <c r="F25" s="35" t="str">
        <f aca="false">IF($A25="","",SUMIFS(VENTAS!$H$6:$H$2005,VENTAS!$A$6:$A$2005,$A25,VENTAS!$M$6:$M$2005,"Tarjeta"))</f>
        <v/>
      </c>
      <c r="G25" s="35" t="str">
        <f aca="false">IF($A25="","",SUMIFS(VENTAS!$H$6:$H$2005,VENTAS!$A$6:$A$2005,$A25)-$D25-$E25-$F25)</f>
        <v/>
      </c>
      <c r="H25" s="35" t="str">
        <f aca="false">IF($A25="","",SUM($D25:$G25))</f>
        <v/>
      </c>
      <c r="I25" s="40"/>
      <c r="J25" s="40"/>
      <c r="K25" s="35" t="str">
        <f aca="false">IF($A25="","",N($C25)+$D25-N($I25)-N($J25))</f>
        <v/>
      </c>
      <c r="L25" s="40"/>
      <c r="M25" s="35" t="str">
        <f aca="false">IF(OR($A25="",$L25=""),"",$L25-$K25)</f>
        <v/>
      </c>
      <c r="N25" s="8" t="str">
        <f aca="false">IF($A25="","",IF($L25="","PENDIENTE",IF(ABS($M25)&lt;1,"OK",IF($M25&lt;0,"FALTANTE","SOBRANTE"))))</f>
        <v/>
      </c>
      <c r="O25" s="6"/>
    </row>
    <row r="26" customFormat="false" ht="15" hidden="false" customHeight="false" outlineLevel="0" collapsed="false">
      <c r="A26" s="44"/>
      <c r="B26" s="6"/>
      <c r="C26" s="40"/>
      <c r="D26" s="35" t="str">
        <f aca="false">IF($A26="","",SUMIFS(VENTAS!$H$6:$H$2005,VENTAS!$A$6:$A$2005,$A26,VENTAS!$M$6:$M$2005,"Efectivo"))</f>
        <v/>
      </c>
      <c r="E26" s="35" t="str">
        <f aca="false">IF($A26="","",SUMIFS(VENTAS!$H$6:$H$2005,VENTAS!$A$6:$A$2005,$A26,VENTAS!$M$6:$M$2005,"SINPE Móvil"))</f>
        <v/>
      </c>
      <c r="F26" s="35" t="str">
        <f aca="false">IF($A26="","",SUMIFS(VENTAS!$H$6:$H$2005,VENTAS!$A$6:$A$2005,$A26,VENTAS!$M$6:$M$2005,"Tarjeta"))</f>
        <v/>
      </c>
      <c r="G26" s="35" t="str">
        <f aca="false">IF($A26="","",SUMIFS(VENTAS!$H$6:$H$2005,VENTAS!$A$6:$A$2005,$A26)-$D26-$E26-$F26)</f>
        <v/>
      </c>
      <c r="H26" s="35" t="str">
        <f aca="false">IF($A26="","",SUM($D26:$G26))</f>
        <v/>
      </c>
      <c r="I26" s="40"/>
      <c r="J26" s="40"/>
      <c r="K26" s="35" t="str">
        <f aca="false">IF($A26="","",N($C26)+$D26-N($I26)-N($J26))</f>
        <v/>
      </c>
      <c r="L26" s="40"/>
      <c r="M26" s="35" t="str">
        <f aca="false">IF(OR($A26="",$L26=""),"",$L26-$K26)</f>
        <v/>
      </c>
      <c r="N26" s="8" t="str">
        <f aca="false">IF($A26="","",IF($L26="","PENDIENTE",IF(ABS($M26)&lt;1,"OK",IF($M26&lt;0,"FALTANTE","SOBRANTE"))))</f>
        <v/>
      </c>
      <c r="O26" s="6"/>
    </row>
    <row r="27" customFormat="false" ht="15" hidden="false" customHeight="false" outlineLevel="0" collapsed="false">
      <c r="A27" s="44"/>
      <c r="B27" s="6"/>
      <c r="C27" s="40"/>
      <c r="D27" s="35" t="str">
        <f aca="false">IF($A27="","",SUMIFS(VENTAS!$H$6:$H$2005,VENTAS!$A$6:$A$2005,$A27,VENTAS!$M$6:$M$2005,"Efectivo"))</f>
        <v/>
      </c>
      <c r="E27" s="35" t="str">
        <f aca="false">IF($A27="","",SUMIFS(VENTAS!$H$6:$H$2005,VENTAS!$A$6:$A$2005,$A27,VENTAS!$M$6:$M$2005,"SINPE Móvil"))</f>
        <v/>
      </c>
      <c r="F27" s="35" t="str">
        <f aca="false">IF($A27="","",SUMIFS(VENTAS!$H$6:$H$2005,VENTAS!$A$6:$A$2005,$A27,VENTAS!$M$6:$M$2005,"Tarjeta"))</f>
        <v/>
      </c>
      <c r="G27" s="35" t="str">
        <f aca="false">IF($A27="","",SUMIFS(VENTAS!$H$6:$H$2005,VENTAS!$A$6:$A$2005,$A27)-$D27-$E27-$F27)</f>
        <v/>
      </c>
      <c r="H27" s="35" t="str">
        <f aca="false">IF($A27="","",SUM($D27:$G27))</f>
        <v/>
      </c>
      <c r="I27" s="40"/>
      <c r="J27" s="40"/>
      <c r="K27" s="35" t="str">
        <f aca="false">IF($A27="","",N($C27)+$D27-N($I27)-N($J27))</f>
        <v/>
      </c>
      <c r="L27" s="40"/>
      <c r="M27" s="35" t="str">
        <f aca="false">IF(OR($A27="",$L27=""),"",$L27-$K27)</f>
        <v/>
      </c>
      <c r="N27" s="8" t="str">
        <f aca="false">IF($A27="","",IF($L27="","PENDIENTE",IF(ABS($M27)&lt;1,"OK",IF($M27&lt;0,"FALTANTE","SOBRANTE"))))</f>
        <v/>
      </c>
      <c r="O27" s="6"/>
    </row>
    <row r="28" customFormat="false" ht="15" hidden="false" customHeight="false" outlineLevel="0" collapsed="false">
      <c r="A28" s="44"/>
      <c r="B28" s="6"/>
      <c r="C28" s="40"/>
      <c r="D28" s="35" t="str">
        <f aca="false">IF($A28="","",SUMIFS(VENTAS!$H$6:$H$2005,VENTAS!$A$6:$A$2005,$A28,VENTAS!$M$6:$M$2005,"Efectivo"))</f>
        <v/>
      </c>
      <c r="E28" s="35" t="str">
        <f aca="false">IF($A28="","",SUMIFS(VENTAS!$H$6:$H$2005,VENTAS!$A$6:$A$2005,$A28,VENTAS!$M$6:$M$2005,"SINPE Móvil"))</f>
        <v/>
      </c>
      <c r="F28" s="35" t="str">
        <f aca="false">IF($A28="","",SUMIFS(VENTAS!$H$6:$H$2005,VENTAS!$A$6:$A$2005,$A28,VENTAS!$M$6:$M$2005,"Tarjeta"))</f>
        <v/>
      </c>
      <c r="G28" s="35" t="str">
        <f aca="false">IF($A28="","",SUMIFS(VENTAS!$H$6:$H$2005,VENTAS!$A$6:$A$2005,$A28)-$D28-$E28-$F28)</f>
        <v/>
      </c>
      <c r="H28" s="35" t="str">
        <f aca="false">IF($A28="","",SUM($D28:$G28))</f>
        <v/>
      </c>
      <c r="I28" s="40"/>
      <c r="J28" s="40"/>
      <c r="K28" s="35" t="str">
        <f aca="false">IF($A28="","",N($C28)+$D28-N($I28)-N($J28))</f>
        <v/>
      </c>
      <c r="L28" s="40"/>
      <c r="M28" s="35" t="str">
        <f aca="false">IF(OR($A28="",$L28=""),"",$L28-$K28)</f>
        <v/>
      </c>
      <c r="N28" s="8" t="str">
        <f aca="false">IF($A28="","",IF($L28="","PENDIENTE",IF(ABS($M28)&lt;1,"OK",IF($M28&lt;0,"FALTANTE","SOBRANTE"))))</f>
        <v/>
      </c>
      <c r="O28" s="6"/>
    </row>
    <row r="29" customFormat="false" ht="15" hidden="false" customHeight="false" outlineLevel="0" collapsed="false">
      <c r="A29" s="44"/>
      <c r="B29" s="6"/>
      <c r="C29" s="40"/>
      <c r="D29" s="35" t="str">
        <f aca="false">IF($A29="","",SUMIFS(VENTAS!$H$6:$H$2005,VENTAS!$A$6:$A$2005,$A29,VENTAS!$M$6:$M$2005,"Efectivo"))</f>
        <v/>
      </c>
      <c r="E29" s="35" t="str">
        <f aca="false">IF($A29="","",SUMIFS(VENTAS!$H$6:$H$2005,VENTAS!$A$6:$A$2005,$A29,VENTAS!$M$6:$M$2005,"SINPE Móvil"))</f>
        <v/>
      </c>
      <c r="F29" s="35" t="str">
        <f aca="false">IF($A29="","",SUMIFS(VENTAS!$H$6:$H$2005,VENTAS!$A$6:$A$2005,$A29,VENTAS!$M$6:$M$2005,"Tarjeta"))</f>
        <v/>
      </c>
      <c r="G29" s="35" t="str">
        <f aca="false">IF($A29="","",SUMIFS(VENTAS!$H$6:$H$2005,VENTAS!$A$6:$A$2005,$A29)-$D29-$E29-$F29)</f>
        <v/>
      </c>
      <c r="H29" s="35" t="str">
        <f aca="false">IF($A29="","",SUM($D29:$G29))</f>
        <v/>
      </c>
      <c r="I29" s="40"/>
      <c r="J29" s="40"/>
      <c r="K29" s="35" t="str">
        <f aca="false">IF($A29="","",N($C29)+$D29-N($I29)-N($J29))</f>
        <v/>
      </c>
      <c r="L29" s="40"/>
      <c r="M29" s="35" t="str">
        <f aca="false">IF(OR($A29="",$L29=""),"",$L29-$K29)</f>
        <v/>
      </c>
      <c r="N29" s="8" t="str">
        <f aca="false">IF($A29="","",IF($L29="","PENDIENTE",IF(ABS($M29)&lt;1,"OK",IF($M29&lt;0,"FALTANTE","SOBRANTE"))))</f>
        <v/>
      </c>
      <c r="O29" s="6"/>
    </row>
    <row r="30" customFormat="false" ht="15" hidden="false" customHeight="false" outlineLevel="0" collapsed="false">
      <c r="A30" s="44"/>
      <c r="B30" s="6"/>
      <c r="C30" s="40"/>
      <c r="D30" s="35" t="str">
        <f aca="false">IF($A30="","",SUMIFS(VENTAS!$H$6:$H$2005,VENTAS!$A$6:$A$2005,$A30,VENTAS!$M$6:$M$2005,"Efectivo"))</f>
        <v/>
      </c>
      <c r="E30" s="35" t="str">
        <f aca="false">IF($A30="","",SUMIFS(VENTAS!$H$6:$H$2005,VENTAS!$A$6:$A$2005,$A30,VENTAS!$M$6:$M$2005,"SINPE Móvil"))</f>
        <v/>
      </c>
      <c r="F30" s="35" t="str">
        <f aca="false">IF($A30="","",SUMIFS(VENTAS!$H$6:$H$2005,VENTAS!$A$6:$A$2005,$A30,VENTAS!$M$6:$M$2005,"Tarjeta"))</f>
        <v/>
      </c>
      <c r="G30" s="35" t="str">
        <f aca="false">IF($A30="","",SUMIFS(VENTAS!$H$6:$H$2005,VENTAS!$A$6:$A$2005,$A30)-$D30-$E30-$F30)</f>
        <v/>
      </c>
      <c r="H30" s="35" t="str">
        <f aca="false">IF($A30="","",SUM($D30:$G30))</f>
        <v/>
      </c>
      <c r="I30" s="40"/>
      <c r="J30" s="40"/>
      <c r="K30" s="35" t="str">
        <f aca="false">IF($A30="","",N($C30)+$D30-N($I30)-N($J30))</f>
        <v/>
      </c>
      <c r="L30" s="40"/>
      <c r="M30" s="35" t="str">
        <f aca="false">IF(OR($A30="",$L30=""),"",$L30-$K30)</f>
        <v/>
      </c>
      <c r="N30" s="8" t="str">
        <f aca="false">IF($A30="","",IF($L30="","PENDIENTE",IF(ABS($M30)&lt;1,"OK",IF($M30&lt;0,"FALTANTE","SOBRANTE"))))</f>
        <v/>
      </c>
      <c r="O30" s="6"/>
    </row>
    <row r="31" customFormat="false" ht="15" hidden="false" customHeight="false" outlineLevel="0" collapsed="false">
      <c r="A31" s="44"/>
      <c r="B31" s="6"/>
      <c r="C31" s="40"/>
      <c r="D31" s="35" t="str">
        <f aca="false">IF($A31="","",SUMIFS(VENTAS!$H$6:$H$2005,VENTAS!$A$6:$A$2005,$A31,VENTAS!$M$6:$M$2005,"Efectivo"))</f>
        <v/>
      </c>
      <c r="E31" s="35" t="str">
        <f aca="false">IF($A31="","",SUMIFS(VENTAS!$H$6:$H$2005,VENTAS!$A$6:$A$2005,$A31,VENTAS!$M$6:$M$2005,"SINPE Móvil"))</f>
        <v/>
      </c>
      <c r="F31" s="35" t="str">
        <f aca="false">IF($A31="","",SUMIFS(VENTAS!$H$6:$H$2005,VENTAS!$A$6:$A$2005,$A31,VENTAS!$M$6:$M$2005,"Tarjeta"))</f>
        <v/>
      </c>
      <c r="G31" s="35" t="str">
        <f aca="false">IF($A31="","",SUMIFS(VENTAS!$H$6:$H$2005,VENTAS!$A$6:$A$2005,$A31)-$D31-$E31-$F31)</f>
        <v/>
      </c>
      <c r="H31" s="35" t="str">
        <f aca="false">IF($A31="","",SUM($D31:$G31))</f>
        <v/>
      </c>
      <c r="I31" s="40"/>
      <c r="J31" s="40"/>
      <c r="K31" s="35" t="str">
        <f aca="false">IF($A31="","",N($C31)+$D31-N($I31)-N($J31))</f>
        <v/>
      </c>
      <c r="L31" s="40"/>
      <c r="M31" s="35" t="str">
        <f aca="false">IF(OR($A31="",$L31=""),"",$L31-$K31)</f>
        <v/>
      </c>
      <c r="N31" s="8" t="str">
        <f aca="false">IF($A31="","",IF($L31="","PENDIENTE",IF(ABS($M31)&lt;1,"OK",IF($M31&lt;0,"FALTANTE","SOBRANTE"))))</f>
        <v/>
      </c>
      <c r="O31" s="6"/>
    </row>
    <row r="32" customFormat="false" ht="15" hidden="false" customHeight="false" outlineLevel="0" collapsed="false">
      <c r="A32" s="44"/>
      <c r="B32" s="6"/>
      <c r="C32" s="40"/>
      <c r="D32" s="35" t="str">
        <f aca="false">IF($A32="","",SUMIFS(VENTAS!$H$6:$H$2005,VENTAS!$A$6:$A$2005,$A32,VENTAS!$M$6:$M$2005,"Efectivo"))</f>
        <v/>
      </c>
      <c r="E32" s="35" t="str">
        <f aca="false">IF($A32="","",SUMIFS(VENTAS!$H$6:$H$2005,VENTAS!$A$6:$A$2005,$A32,VENTAS!$M$6:$M$2005,"SINPE Móvil"))</f>
        <v/>
      </c>
      <c r="F32" s="35" t="str">
        <f aca="false">IF($A32="","",SUMIFS(VENTAS!$H$6:$H$2005,VENTAS!$A$6:$A$2005,$A32,VENTAS!$M$6:$M$2005,"Tarjeta"))</f>
        <v/>
      </c>
      <c r="G32" s="35" t="str">
        <f aca="false">IF($A32="","",SUMIFS(VENTAS!$H$6:$H$2005,VENTAS!$A$6:$A$2005,$A32)-$D32-$E32-$F32)</f>
        <v/>
      </c>
      <c r="H32" s="35" t="str">
        <f aca="false">IF($A32="","",SUM($D32:$G32))</f>
        <v/>
      </c>
      <c r="I32" s="40"/>
      <c r="J32" s="40"/>
      <c r="K32" s="35" t="str">
        <f aca="false">IF($A32="","",N($C32)+$D32-N($I32)-N($J32))</f>
        <v/>
      </c>
      <c r="L32" s="40"/>
      <c r="M32" s="35" t="str">
        <f aca="false">IF(OR($A32="",$L32=""),"",$L32-$K32)</f>
        <v/>
      </c>
      <c r="N32" s="8" t="str">
        <f aca="false">IF($A32="","",IF($L32="","PENDIENTE",IF(ABS($M32)&lt;1,"OK",IF($M32&lt;0,"FALTANTE","SOBRANTE"))))</f>
        <v/>
      </c>
      <c r="O32" s="6"/>
    </row>
    <row r="33" customFormat="false" ht="15" hidden="false" customHeight="false" outlineLevel="0" collapsed="false">
      <c r="A33" s="44"/>
      <c r="B33" s="6"/>
      <c r="C33" s="40"/>
      <c r="D33" s="35" t="str">
        <f aca="false">IF($A33="","",SUMIFS(VENTAS!$H$6:$H$2005,VENTAS!$A$6:$A$2005,$A33,VENTAS!$M$6:$M$2005,"Efectivo"))</f>
        <v/>
      </c>
      <c r="E33" s="35" t="str">
        <f aca="false">IF($A33="","",SUMIFS(VENTAS!$H$6:$H$2005,VENTAS!$A$6:$A$2005,$A33,VENTAS!$M$6:$M$2005,"SINPE Móvil"))</f>
        <v/>
      </c>
      <c r="F33" s="35" t="str">
        <f aca="false">IF($A33="","",SUMIFS(VENTAS!$H$6:$H$2005,VENTAS!$A$6:$A$2005,$A33,VENTAS!$M$6:$M$2005,"Tarjeta"))</f>
        <v/>
      </c>
      <c r="G33" s="35" t="str">
        <f aca="false">IF($A33="","",SUMIFS(VENTAS!$H$6:$H$2005,VENTAS!$A$6:$A$2005,$A33)-$D33-$E33-$F33)</f>
        <v/>
      </c>
      <c r="H33" s="35" t="str">
        <f aca="false">IF($A33="","",SUM($D33:$G33))</f>
        <v/>
      </c>
      <c r="I33" s="40"/>
      <c r="J33" s="40"/>
      <c r="K33" s="35" t="str">
        <f aca="false">IF($A33="","",N($C33)+$D33-N($I33)-N($J33))</f>
        <v/>
      </c>
      <c r="L33" s="40"/>
      <c r="M33" s="35" t="str">
        <f aca="false">IF(OR($A33="",$L33=""),"",$L33-$K33)</f>
        <v/>
      </c>
      <c r="N33" s="8" t="str">
        <f aca="false">IF($A33="","",IF($L33="","PENDIENTE",IF(ABS($M33)&lt;1,"OK",IF($M33&lt;0,"FALTANTE","SOBRANTE"))))</f>
        <v/>
      </c>
      <c r="O33" s="6"/>
    </row>
    <row r="34" customFormat="false" ht="15" hidden="false" customHeight="false" outlineLevel="0" collapsed="false">
      <c r="A34" s="44"/>
      <c r="B34" s="6"/>
      <c r="C34" s="40"/>
      <c r="D34" s="35" t="str">
        <f aca="false">IF($A34="","",SUMIFS(VENTAS!$H$6:$H$2005,VENTAS!$A$6:$A$2005,$A34,VENTAS!$M$6:$M$2005,"Efectivo"))</f>
        <v/>
      </c>
      <c r="E34" s="35" t="str">
        <f aca="false">IF($A34="","",SUMIFS(VENTAS!$H$6:$H$2005,VENTAS!$A$6:$A$2005,$A34,VENTAS!$M$6:$M$2005,"SINPE Móvil"))</f>
        <v/>
      </c>
      <c r="F34" s="35" t="str">
        <f aca="false">IF($A34="","",SUMIFS(VENTAS!$H$6:$H$2005,VENTAS!$A$6:$A$2005,$A34,VENTAS!$M$6:$M$2005,"Tarjeta"))</f>
        <v/>
      </c>
      <c r="G34" s="35" t="str">
        <f aca="false">IF($A34="","",SUMIFS(VENTAS!$H$6:$H$2005,VENTAS!$A$6:$A$2005,$A34)-$D34-$E34-$F34)</f>
        <v/>
      </c>
      <c r="H34" s="35" t="str">
        <f aca="false">IF($A34="","",SUM($D34:$G34))</f>
        <v/>
      </c>
      <c r="I34" s="40"/>
      <c r="J34" s="40"/>
      <c r="K34" s="35" t="str">
        <f aca="false">IF($A34="","",N($C34)+$D34-N($I34)-N($J34))</f>
        <v/>
      </c>
      <c r="L34" s="40"/>
      <c r="M34" s="35" t="str">
        <f aca="false">IF(OR($A34="",$L34=""),"",$L34-$K34)</f>
        <v/>
      </c>
      <c r="N34" s="8" t="str">
        <f aca="false">IF($A34="","",IF($L34="","PENDIENTE",IF(ABS($M34)&lt;1,"OK",IF($M34&lt;0,"FALTANTE","SOBRANTE"))))</f>
        <v/>
      </c>
      <c r="O34" s="6"/>
    </row>
    <row r="35" customFormat="false" ht="15" hidden="false" customHeight="false" outlineLevel="0" collapsed="false">
      <c r="A35" s="44"/>
      <c r="B35" s="6"/>
      <c r="C35" s="40"/>
      <c r="D35" s="35" t="str">
        <f aca="false">IF($A35="","",SUMIFS(VENTAS!$H$6:$H$2005,VENTAS!$A$6:$A$2005,$A35,VENTAS!$M$6:$M$2005,"Efectivo"))</f>
        <v/>
      </c>
      <c r="E35" s="35" t="str">
        <f aca="false">IF($A35="","",SUMIFS(VENTAS!$H$6:$H$2005,VENTAS!$A$6:$A$2005,$A35,VENTAS!$M$6:$M$2005,"SINPE Móvil"))</f>
        <v/>
      </c>
      <c r="F35" s="35" t="str">
        <f aca="false">IF($A35="","",SUMIFS(VENTAS!$H$6:$H$2005,VENTAS!$A$6:$A$2005,$A35,VENTAS!$M$6:$M$2005,"Tarjeta"))</f>
        <v/>
      </c>
      <c r="G35" s="35" t="str">
        <f aca="false">IF($A35="","",SUMIFS(VENTAS!$H$6:$H$2005,VENTAS!$A$6:$A$2005,$A35)-$D35-$E35-$F35)</f>
        <v/>
      </c>
      <c r="H35" s="35" t="str">
        <f aca="false">IF($A35="","",SUM($D35:$G35))</f>
        <v/>
      </c>
      <c r="I35" s="40"/>
      <c r="J35" s="40"/>
      <c r="K35" s="35" t="str">
        <f aca="false">IF($A35="","",N($C35)+$D35-N($I35)-N($J35))</f>
        <v/>
      </c>
      <c r="L35" s="40"/>
      <c r="M35" s="35" t="str">
        <f aca="false">IF(OR($A35="",$L35=""),"",$L35-$K35)</f>
        <v/>
      </c>
      <c r="N35" s="8" t="str">
        <f aca="false">IF($A35="","",IF($L35="","PENDIENTE",IF(ABS($M35)&lt;1,"OK",IF($M35&lt;0,"FALTANTE","SOBRANTE"))))</f>
        <v/>
      </c>
      <c r="O35" s="6"/>
    </row>
    <row r="36" customFormat="false" ht="15" hidden="false" customHeight="false" outlineLevel="0" collapsed="false">
      <c r="A36" s="44"/>
      <c r="B36" s="6"/>
      <c r="C36" s="40"/>
      <c r="D36" s="35" t="str">
        <f aca="false">IF($A36="","",SUMIFS(VENTAS!$H$6:$H$2005,VENTAS!$A$6:$A$2005,$A36,VENTAS!$M$6:$M$2005,"Efectivo"))</f>
        <v/>
      </c>
      <c r="E36" s="35" t="str">
        <f aca="false">IF($A36="","",SUMIFS(VENTAS!$H$6:$H$2005,VENTAS!$A$6:$A$2005,$A36,VENTAS!$M$6:$M$2005,"SINPE Móvil"))</f>
        <v/>
      </c>
      <c r="F36" s="35" t="str">
        <f aca="false">IF($A36="","",SUMIFS(VENTAS!$H$6:$H$2005,VENTAS!$A$6:$A$2005,$A36,VENTAS!$M$6:$M$2005,"Tarjeta"))</f>
        <v/>
      </c>
      <c r="G36" s="35" t="str">
        <f aca="false">IF($A36="","",SUMIFS(VENTAS!$H$6:$H$2005,VENTAS!$A$6:$A$2005,$A36)-$D36-$E36-$F36)</f>
        <v/>
      </c>
      <c r="H36" s="35" t="str">
        <f aca="false">IF($A36="","",SUM($D36:$G36))</f>
        <v/>
      </c>
      <c r="I36" s="40"/>
      <c r="J36" s="40"/>
      <c r="K36" s="35" t="str">
        <f aca="false">IF($A36="","",N($C36)+$D36-N($I36)-N($J36))</f>
        <v/>
      </c>
      <c r="L36" s="40"/>
      <c r="M36" s="35" t="str">
        <f aca="false">IF(OR($A36="",$L36=""),"",$L36-$K36)</f>
        <v/>
      </c>
      <c r="N36" s="8" t="str">
        <f aca="false">IF($A36="","",IF($L36="","PENDIENTE",IF(ABS($M36)&lt;1,"OK",IF($M36&lt;0,"FALTANTE","SOBRANTE"))))</f>
        <v/>
      </c>
      <c r="O36" s="6"/>
    </row>
    <row r="37" customFormat="false" ht="15" hidden="false" customHeight="false" outlineLevel="0" collapsed="false">
      <c r="A37" s="44"/>
      <c r="B37" s="6"/>
      <c r="C37" s="40"/>
      <c r="D37" s="35" t="str">
        <f aca="false">IF($A37="","",SUMIFS(VENTAS!$H$6:$H$2005,VENTAS!$A$6:$A$2005,$A37,VENTAS!$M$6:$M$2005,"Efectivo"))</f>
        <v/>
      </c>
      <c r="E37" s="35" t="str">
        <f aca="false">IF($A37="","",SUMIFS(VENTAS!$H$6:$H$2005,VENTAS!$A$6:$A$2005,$A37,VENTAS!$M$6:$M$2005,"SINPE Móvil"))</f>
        <v/>
      </c>
      <c r="F37" s="35" t="str">
        <f aca="false">IF($A37="","",SUMIFS(VENTAS!$H$6:$H$2005,VENTAS!$A$6:$A$2005,$A37,VENTAS!$M$6:$M$2005,"Tarjeta"))</f>
        <v/>
      </c>
      <c r="G37" s="35" t="str">
        <f aca="false">IF($A37="","",SUMIFS(VENTAS!$H$6:$H$2005,VENTAS!$A$6:$A$2005,$A37)-$D37-$E37-$F37)</f>
        <v/>
      </c>
      <c r="H37" s="35" t="str">
        <f aca="false">IF($A37="","",SUM($D37:$G37))</f>
        <v/>
      </c>
      <c r="I37" s="40"/>
      <c r="J37" s="40"/>
      <c r="K37" s="35" t="str">
        <f aca="false">IF($A37="","",N($C37)+$D37-N($I37)-N($J37))</f>
        <v/>
      </c>
      <c r="L37" s="40"/>
      <c r="M37" s="35" t="str">
        <f aca="false">IF(OR($A37="",$L37=""),"",$L37-$K37)</f>
        <v/>
      </c>
      <c r="N37" s="8" t="str">
        <f aca="false">IF($A37="","",IF($L37="","PENDIENTE",IF(ABS($M37)&lt;1,"OK",IF($M37&lt;0,"FALTANTE","SOBRANTE"))))</f>
        <v/>
      </c>
      <c r="O37" s="6"/>
    </row>
    <row r="38" customFormat="false" ht="15" hidden="false" customHeight="false" outlineLevel="0" collapsed="false">
      <c r="A38" s="44"/>
      <c r="B38" s="6"/>
      <c r="C38" s="40"/>
      <c r="D38" s="35" t="str">
        <f aca="false">IF($A38="","",SUMIFS(VENTAS!$H$6:$H$2005,VENTAS!$A$6:$A$2005,$A38,VENTAS!$M$6:$M$2005,"Efectivo"))</f>
        <v/>
      </c>
      <c r="E38" s="35" t="str">
        <f aca="false">IF($A38="","",SUMIFS(VENTAS!$H$6:$H$2005,VENTAS!$A$6:$A$2005,$A38,VENTAS!$M$6:$M$2005,"SINPE Móvil"))</f>
        <v/>
      </c>
      <c r="F38" s="35" t="str">
        <f aca="false">IF($A38="","",SUMIFS(VENTAS!$H$6:$H$2005,VENTAS!$A$6:$A$2005,$A38,VENTAS!$M$6:$M$2005,"Tarjeta"))</f>
        <v/>
      </c>
      <c r="G38" s="35" t="str">
        <f aca="false">IF($A38="","",SUMIFS(VENTAS!$H$6:$H$2005,VENTAS!$A$6:$A$2005,$A38)-$D38-$E38-$F38)</f>
        <v/>
      </c>
      <c r="H38" s="35" t="str">
        <f aca="false">IF($A38="","",SUM($D38:$G38))</f>
        <v/>
      </c>
      <c r="I38" s="40"/>
      <c r="J38" s="40"/>
      <c r="K38" s="35" t="str">
        <f aca="false">IF($A38="","",N($C38)+$D38-N($I38)-N($J38))</f>
        <v/>
      </c>
      <c r="L38" s="40"/>
      <c r="M38" s="35" t="str">
        <f aca="false">IF(OR($A38="",$L38=""),"",$L38-$K38)</f>
        <v/>
      </c>
      <c r="N38" s="8" t="str">
        <f aca="false">IF($A38="","",IF($L38="","PENDIENTE",IF(ABS($M38)&lt;1,"OK",IF($M38&lt;0,"FALTANTE","SOBRANTE"))))</f>
        <v/>
      </c>
      <c r="O38" s="6"/>
    </row>
    <row r="39" customFormat="false" ht="15" hidden="false" customHeight="false" outlineLevel="0" collapsed="false">
      <c r="A39" s="44"/>
      <c r="B39" s="6"/>
      <c r="C39" s="40"/>
      <c r="D39" s="35" t="str">
        <f aca="false">IF($A39="","",SUMIFS(VENTAS!$H$6:$H$2005,VENTAS!$A$6:$A$2005,$A39,VENTAS!$M$6:$M$2005,"Efectivo"))</f>
        <v/>
      </c>
      <c r="E39" s="35" t="str">
        <f aca="false">IF($A39="","",SUMIFS(VENTAS!$H$6:$H$2005,VENTAS!$A$6:$A$2005,$A39,VENTAS!$M$6:$M$2005,"SINPE Móvil"))</f>
        <v/>
      </c>
      <c r="F39" s="35" t="str">
        <f aca="false">IF($A39="","",SUMIFS(VENTAS!$H$6:$H$2005,VENTAS!$A$6:$A$2005,$A39,VENTAS!$M$6:$M$2005,"Tarjeta"))</f>
        <v/>
      </c>
      <c r="G39" s="35" t="str">
        <f aca="false">IF($A39="","",SUMIFS(VENTAS!$H$6:$H$2005,VENTAS!$A$6:$A$2005,$A39)-$D39-$E39-$F39)</f>
        <v/>
      </c>
      <c r="H39" s="35" t="str">
        <f aca="false">IF($A39="","",SUM($D39:$G39))</f>
        <v/>
      </c>
      <c r="I39" s="40"/>
      <c r="J39" s="40"/>
      <c r="K39" s="35" t="str">
        <f aca="false">IF($A39="","",N($C39)+$D39-N($I39)-N($J39))</f>
        <v/>
      </c>
      <c r="L39" s="40"/>
      <c r="M39" s="35" t="str">
        <f aca="false">IF(OR($A39="",$L39=""),"",$L39-$K39)</f>
        <v/>
      </c>
      <c r="N39" s="8" t="str">
        <f aca="false">IF($A39="","",IF($L39="","PENDIENTE",IF(ABS($M39)&lt;1,"OK",IF($M39&lt;0,"FALTANTE","SOBRANTE"))))</f>
        <v/>
      </c>
      <c r="O39" s="6"/>
    </row>
    <row r="40" customFormat="false" ht="15" hidden="false" customHeight="false" outlineLevel="0" collapsed="false">
      <c r="A40" s="44"/>
      <c r="B40" s="6"/>
      <c r="C40" s="40"/>
      <c r="D40" s="35" t="str">
        <f aca="false">IF($A40="","",SUMIFS(VENTAS!$H$6:$H$2005,VENTAS!$A$6:$A$2005,$A40,VENTAS!$M$6:$M$2005,"Efectivo"))</f>
        <v/>
      </c>
      <c r="E40" s="35" t="str">
        <f aca="false">IF($A40="","",SUMIFS(VENTAS!$H$6:$H$2005,VENTAS!$A$6:$A$2005,$A40,VENTAS!$M$6:$M$2005,"SINPE Móvil"))</f>
        <v/>
      </c>
      <c r="F40" s="35" t="str">
        <f aca="false">IF($A40="","",SUMIFS(VENTAS!$H$6:$H$2005,VENTAS!$A$6:$A$2005,$A40,VENTAS!$M$6:$M$2005,"Tarjeta"))</f>
        <v/>
      </c>
      <c r="G40" s="35" t="str">
        <f aca="false">IF($A40="","",SUMIFS(VENTAS!$H$6:$H$2005,VENTAS!$A$6:$A$2005,$A40)-$D40-$E40-$F40)</f>
        <v/>
      </c>
      <c r="H40" s="35" t="str">
        <f aca="false">IF($A40="","",SUM($D40:$G40))</f>
        <v/>
      </c>
      <c r="I40" s="40"/>
      <c r="J40" s="40"/>
      <c r="K40" s="35" t="str">
        <f aca="false">IF($A40="","",N($C40)+$D40-N($I40)-N($J40))</f>
        <v/>
      </c>
      <c r="L40" s="40"/>
      <c r="M40" s="35" t="str">
        <f aca="false">IF(OR($A40="",$L40=""),"",$L40-$K40)</f>
        <v/>
      </c>
      <c r="N40" s="8" t="str">
        <f aca="false">IF($A40="","",IF($L40="","PENDIENTE",IF(ABS($M40)&lt;1,"OK",IF($M40&lt;0,"FALTANTE","SOBRANTE"))))</f>
        <v/>
      </c>
      <c r="O40" s="6"/>
    </row>
    <row r="41" customFormat="false" ht="15" hidden="false" customHeight="false" outlineLevel="0" collapsed="false">
      <c r="A41" s="44"/>
      <c r="B41" s="6"/>
      <c r="C41" s="40"/>
      <c r="D41" s="35" t="str">
        <f aca="false">IF($A41="","",SUMIFS(VENTAS!$H$6:$H$2005,VENTAS!$A$6:$A$2005,$A41,VENTAS!$M$6:$M$2005,"Efectivo"))</f>
        <v/>
      </c>
      <c r="E41" s="35" t="str">
        <f aca="false">IF($A41="","",SUMIFS(VENTAS!$H$6:$H$2005,VENTAS!$A$6:$A$2005,$A41,VENTAS!$M$6:$M$2005,"SINPE Móvil"))</f>
        <v/>
      </c>
      <c r="F41" s="35" t="str">
        <f aca="false">IF($A41="","",SUMIFS(VENTAS!$H$6:$H$2005,VENTAS!$A$6:$A$2005,$A41,VENTAS!$M$6:$M$2005,"Tarjeta"))</f>
        <v/>
      </c>
      <c r="G41" s="35" t="str">
        <f aca="false">IF($A41="","",SUMIFS(VENTAS!$H$6:$H$2005,VENTAS!$A$6:$A$2005,$A41)-$D41-$E41-$F41)</f>
        <v/>
      </c>
      <c r="H41" s="35" t="str">
        <f aca="false">IF($A41="","",SUM($D41:$G41))</f>
        <v/>
      </c>
      <c r="I41" s="40"/>
      <c r="J41" s="40"/>
      <c r="K41" s="35" t="str">
        <f aca="false">IF($A41="","",N($C41)+$D41-N($I41)-N($J41))</f>
        <v/>
      </c>
      <c r="L41" s="40"/>
      <c r="M41" s="35" t="str">
        <f aca="false">IF(OR($A41="",$L41=""),"",$L41-$K41)</f>
        <v/>
      </c>
      <c r="N41" s="8" t="str">
        <f aca="false">IF($A41="","",IF($L41="","PENDIENTE",IF(ABS($M41)&lt;1,"OK",IF($M41&lt;0,"FALTANTE","SOBRANTE"))))</f>
        <v/>
      </c>
      <c r="O41" s="6"/>
    </row>
    <row r="42" customFormat="false" ht="15" hidden="false" customHeight="false" outlineLevel="0" collapsed="false">
      <c r="A42" s="44"/>
      <c r="B42" s="6"/>
      <c r="C42" s="40"/>
      <c r="D42" s="35" t="str">
        <f aca="false">IF($A42="","",SUMIFS(VENTAS!$H$6:$H$2005,VENTAS!$A$6:$A$2005,$A42,VENTAS!$M$6:$M$2005,"Efectivo"))</f>
        <v/>
      </c>
      <c r="E42" s="35" t="str">
        <f aca="false">IF($A42="","",SUMIFS(VENTAS!$H$6:$H$2005,VENTAS!$A$6:$A$2005,$A42,VENTAS!$M$6:$M$2005,"SINPE Móvil"))</f>
        <v/>
      </c>
      <c r="F42" s="35" t="str">
        <f aca="false">IF($A42="","",SUMIFS(VENTAS!$H$6:$H$2005,VENTAS!$A$6:$A$2005,$A42,VENTAS!$M$6:$M$2005,"Tarjeta"))</f>
        <v/>
      </c>
      <c r="G42" s="35" t="str">
        <f aca="false">IF($A42="","",SUMIFS(VENTAS!$H$6:$H$2005,VENTAS!$A$6:$A$2005,$A42)-$D42-$E42-$F42)</f>
        <v/>
      </c>
      <c r="H42" s="35" t="str">
        <f aca="false">IF($A42="","",SUM($D42:$G42))</f>
        <v/>
      </c>
      <c r="I42" s="40"/>
      <c r="J42" s="40"/>
      <c r="K42" s="35" t="str">
        <f aca="false">IF($A42="","",N($C42)+$D42-N($I42)-N($J42))</f>
        <v/>
      </c>
      <c r="L42" s="40"/>
      <c r="M42" s="35" t="str">
        <f aca="false">IF(OR($A42="",$L42=""),"",$L42-$K42)</f>
        <v/>
      </c>
      <c r="N42" s="8" t="str">
        <f aca="false">IF($A42="","",IF($L42="","PENDIENTE",IF(ABS($M42)&lt;1,"OK",IF($M42&lt;0,"FALTANTE","SOBRANTE"))))</f>
        <v/>
      </c>
      <c r="O42" s="6"/>
    </row>
    <row r="43" customFormat="false" ht="15" hidden="false" customHeight="false" outlineLevel="0" collapsed="false">
      <c r="A43" s="44"/>
      <c r="B43" s="6"/>
      <c r="C43" s="40"/>
      <c r="D43" s="35" t="str">
        <f aca="false">IF($A43="","",SUMIFS(VENTAS!$H$6:$H$2005,VENTAS!$A$6:$A$2005,$A43,VENTAS!$M$6:$M$2005,"Efectivo"))</f>
        <v/>
      </c>
      <c r="E43" s="35" t="str">
        <f aca="false">IF($A43="","",SUMIFS(VENTAS!$H$6:$H$2005,VENTAS!$A$6:$A$2005,$A43,VENTAS!$M$6:$M$2005,"SINPE Móvil"))</f>
        <v/>
      </c>
      <c r="F43" s="35" t="str">
        <f aca="false">IF($A43="","",SUMIFS(VENTAS!$H$6:$H$2005,VENTAS!$A$6:$A$2005,$A43,VENTAS!$M$6:$M$2005,"Tarjeta"))</f>
        <v/>
      </c>
      <c r="G43" s="35" t="str">
        <f aca="false">IF($A43="","",SUMIFS(VENTAS!$H$6:$H$2005,VENTAS!$A$6:$A$2005,$A43)-$D43-$E43-$F43)</f>
        <v/>
      </c>
      <c r="H43" s="35" t="str">
        <f aca="false">IF($A43="","",SUM($D43:$G43))</f>
        <v/>
      </c>
      <c r="I43" s="40"/>
      <c r="J43" s="40"/>
      <c r="K43" s="35" t="str">
        <f aca="false">IF($A43="","",N($C43)+$D43-N($I43)-N($J43))</f>
        <v/>
      </c>
      <c r="L43" s="40"/>
      <c r="M43" s="35" t="str">
        <f aca="false">IF(OR($A43="",$L43=""),"",$L43-$K43)</f>
        <v/>
      </c>
      <c r="N43" s="8" t="str">
        <f aca="false">IF($A43="","",IF($L43="","PENDIENTE",IF(ABS($M43)&lt;1,"OK",IF($M43&lt;0,"FALTANTE","SOBRANTE"))))</f>
        <v/>
      </c>
      <c r="O43" s="6"/>
    </row>
    <row r="44" customFormat="false" ht="15" hidden="false" customHeight="false" outlineLevel="0" collapsed="false">
      <c r="A44" s="44"/>
      <c r="B44" s="6"/>
      <c r="C44" s="40"/>
      <c r="D44" s="35" t="str">
        <f aca="false">IF($A44="","",SUMIFS(VENTAS!$H$6:$H$2005,VENTAS!$A$6:$A$2005,$A44,VENTAS!$M$6:$M$2005,"Efectivo"))</f>
        <v/>
      </c>
      <c r="E44" s="35" t="str">
        <f aca="false">IF($A44="","",SUMIFS(VENTAS!$H$6:$H$2005,VENTAS!$A$6:$A$2005,$A44,VENTAS!$M$6:$M$2005,"SINPE Móvil"))</f>
        <v/>
      </c>
      <c r="F44" s="35" t="str">
        <f aca="false">IF($A44="","",SUMIFS(VENTAS!$H$6:$H$2005,VENTAS!$A$6:$A$2005,$A44,VENTAS!$M$6:$M$2005,"Tarjeta"))</f>
        <v/>
      </c>
      <c r="G44" s="35" t="str">
        <f aca="false">IF($A44="","",SUMIFS(VENTAS!$H$6:$H$2005,VENTAS!$A$6:$A$2005,$A44)-$D44-$E44-$F44)</f>
        <v/>
      </c>
      <c r="H44" s="35" t="str">
        <f aca="false">IF($A44="","",SUM($D44:$G44))</f>
        <v/>
      </c>
      <c r="I44" s="40"/>
      <c r="J44" s="40"/>
      <c r="K44" s="35" t="str">
        <f aca="false">IF($A44="","",N($C44)+$D44-N($I44)-N($J44))</f>
        <v/>
      </c>
      <c r="L44" s="40"/>
      <c r="M44" s="35" t="str">
        <f aca="false">IF(OR($A44="",$L44=""),"",$L44-$K44)</f>
        <v/>
      </c>
      <c r="N44" s="8" t="str">
        <f aca="false">IF($A44="","",IF($L44="","PENDIENTE",IF(ABS($M44)&lt;1,"OK",IF($M44&lt;0,"FALTANTE","SOBRANTE"))))</f>
        <v/>
      </c>
      <c r="O44" s="6"/>
    </row>
    <row r="45" customFormat="false" ht="15" hidden="false" customHeight="false" outlineLevel="0" collapsed="false">
      <c r="A45" s="44"/>
      <c r="B45" s="6"/>
      <c r="C45" s="40"/>
      <c r="D45" s="35" t="str">
        <f aca="false">IF($A45="","",SUMIFS(VENTAS!$H$6:$H$2005,VENTAS!$A$6:$A$2005,$A45,VENTAS!$M$6:$M$2005,"Efectivo"))</f>
        <v/>
      </c>
      <c r="E45" s="35" t="str">
        <f aca="false">IF($A45="","",SUMIFS(VENTAS!$H$6:$H$2005,VENTAS!$A$6:$A$2005,$A45,VENTAS!$M$6:$M$2005,"SINPE Móvil"))</f>
        <v/>
      </c>
      <c r="F45" s="35" t="str">
        <f aca="false">IF($A45="","",SUMIFS(VENTAS!$H$6:$H$2005,VENTAS!$A$6:$A$2005,$A45,VENTAS!$M$6:$M$2005,"Tarjeta"))</f>
        <v/>
      </c>
      <c r="G45" s="35" t="str">
        <f aca="false">IF($A45="","",SUMIFS(VENTAS!$H$6:$H$2005,VENTAS!$A$6:$A$2005,$A45)-$D45-$E45-$F45)</f>
        <v/>
      </c>
      <c r="H45" s="35" t="str">
        <f aca="false">IF($A45="","",SUM($D45:$G45))</f>
        <v/>
      </c>
      <c r="I45" s="40"/>
      <c r="J45" s="40"/>
      <c r="K45" s="35" t="str">
        <f aca="false">IF($A45="","",N($C45)+$D45-N($I45)-N($J45))</f>
        <v/>
      </c>
      <c r="L45" s="40"/>
      <c r="M45" s="35" t="str">
        <f aca="false">IF(OR($A45="",$L45=""),"",$L45-$K45)</f>
        <v/>
      </c>
      <c r="N45" s="8" t="str">
        <f aca="false">IF($A45="","",IF($L45="","PENDIENTE",IF(ABS($M45)&lt;1,"OK",IF($M45&lt;0,"FALTANTE","SOBRANTE"))))</f>
        <v/>
      </c>
      <c r="O45" s="6"/>
    </row>
    <row r="46" customFormat="false" ht="15" hidden="false" customHeight="false" outlineLevel="0" collapsed="false">
      <c r="A46" s="44"/>
      <c r="B46" s="6"/>
      <c r="C46" s="40"/>
      <c r="D46" s="35" t="str">
        <f aca="false">IF($A46="","",SUMIFS(VENTAS!$H$6:$H$2005,VENTAS!$A$6:$A$2005,$A46,VENTAS!$M$6:$M$2005,"Efectivo"))</f>
        <v/>
      </c>
      <c r="E46" s="35" t="str">
        <f aca="false">IF($A46="","",SUMIFS(VENTAS!$H$6:$H$2005,VENTAS!$A$6:$A$2005,$A46,VENTAS!$M$6:$M$2005,"SINPE Móvil"))</f>
        <v/>
      </c>
      <c r="F46" s="35" t="str">
        <f aca="false">IF($A46="","",SUMIFS(VENTAS!$H$6:$H$2005,VENTAS!$A$6:$A$2005,$A46,VENTAS!$M$6:$M$2005,"Tarjeta"))</f>
        <v/>
      </c>
      <c r="G46" s="35" t="str">
        <f aca="false">IF($A46="","",SUMIFS(VENTAS!$H$6:$H$2005,VENTAS!$A$6:$A$2005,$A46)-$D46-$E46-$F46)</f>
        <v/>
      </c>
      <c r="H46" s="35" t="str">
        <f aca="false">IF($A46="","",SUM($D46:$G46))</f>
        <v/>
      </c>
      <c r="I46" s="40"/>
      <c r="J46" s="40"/>
      <c r="K46" s="35" t="str">
        <f aca="false">IF($A46="","",N($C46)+$D46-N($I46)-N($J46))</f>
        <v/>
      </c>
      <c r="L46" s="40"/>
      <c r="M46" s="35" t="str">
        <f aca="false">IF(OR($A46="",$L46=""),"",$L46-$K46)</f>
        <v/>
      </c>
      <c r="N46" s="8" t="str">
        <f aca="false">IF($A46="","",IF($L46="","PENDIENTE",IF(ABS($M46)&lt;1,"OK",IF($M46&lt;0,"FALTANTE","SOBRANTE"))))</f>
        <v/>
      </c>
      <c r="O46" s="6"/>
    </row>
    <row r="47" customFormat="false" ht="15" hidden="false" customHeight="false" outlineLevel="0" collapsed="false">
      <c r="A47" s="44"/>
      <c r="B47" s="6"/>
      <c r="C47" s="40"/>
      <c r="D47" s="35" t="str">
        <f aca="false">IF($A47="","",SUMIFS(VENTAS!$H$6:$H$2005,VENTAS!$A$6:$A$2005,$A47,VENTAS!$M$6:$M$2005,"Efectivo"))</f>
        <v/>
      </c>
      <c r="E47" s="35" t="str">
        <f aca="false">IF($A47="","",SUMIFS(VENTAS!$H$6:$H$2005,VENTAS!$A$6:$A$2005,$A47,VENTAS!$M$6:$M$2005,"SINPE Móvil"))</f>
        <v/>
      </c>
      <c r="F47" s="35" t="str">
        <f aca="false">IF($A47="","",SUMIFS(VENTAS!$H$6:$H$2005,VENTAS!$A$6:$A$2005,$A47,VENTAS!$M$6:$M$2005,"Tarjeta"))</f>
        <v/>
      </c>
      <c r="G47" s="35" t="str">
        <f aca="false">IF($A47="","",SUMIFS(VENTAS!$H$6:$H$2005,VENTAS!$A$6:$A$2005,$A47)-$D47-$E47-$F47)</f>
        <v/>
      </c>
      <c r="H47" s="35" t="str">
        <f aca="false">IF($A47="","",SUM($D47:$G47))</f>
        <v/>
      </c>
      <c r="I47" s="40"/>
      <c r="J47" s="40"/>
      <c r="K47" s="35" t="str">
        <f aca="false">IF($A47="","",N($C47)+$D47-N($I47)-N($J47))</f>
        <v/>
      </c>
      <c r="L47" s="40"/>
      <c r="M47" s="35" t="str">
        <f aca="false">IF(OR($A47="",$L47=""),"",$L47-$K47)</f>
        <v/>
      </c>
      <c r="N47" s="8" t="str">
        <f aca="false">IF($A47="","",IF($L47="","PENDIENTE",IF(ABS($M47)&lt;1,"OK",IF($M47&lt;0,"FALTANTE","SOBRANTE"))))</f>
        <v/>
      </c>
      <c r="O47" s="6"/>
    </row>
    <row r="48" customFormat="false" ht="15" hidden="false" customHeight="false" outlineLevel="0" collapsed="false">
      <c r="A48" s="44"/>
      <c r="B48" s="6"/>
      <c r="C48" s="40"/>
      <c r="D48" s="35" t="str">
        <f aca="false">IF($A48="","",SUMIFS(VENTAS!$H$6:$H$2005,VENTAS!$A$6:$A$2005,$A48,VENTAS!$M$6:$M$2005,"Efectivo"))</f>
        <v/>
      </c>
      <c r="E48" s="35" t="str">
        <f aca="false">IF($A48="","",SUMIFS(VENTAS!$H$6:$H$2005,VENTAS!$A$6:$A$2005,$A48,VENTAS!$M$6:$M$2005,"SINPE Móvil"))</f>
        <v/>
      </c>
      <c r="F48" s="35" t="str">
        <f aca="false">IF($A48="","",SUMIFS(VENTAS!$H$6:$H$2005,VENTAS!$A$6:$A$2005,$A48,VENTAS!$M$6:$M$2005,"Tarjeta"))</f>
        <v/>
      </c>
      <c r="G48" s="35" t="str">
        <f aca="false">IF($A48="","",SUMIFS(VENTAS!$H$6:$H$2005,VENTAS!$A$6:$A$2005,$A48)-$D48-$E48-$F48)</f>
        <v/>
      </c>
      <c r="H48" s="35" t="str">
        <f aca="false">IF($A48="","",SUM($D48:$G48))</f>
        <v/>
      </c>
      <c r="I48" s="40"/>
      <c r="J48" s="40"/>
      <c r="K48" s="35" t="str">
        <f aca="false">IF($A48="","",N($C48)+$D48-N($I48)-N($J48))</f>
        <v/>
      </c>
      <c r="L48" s="40"/>
      <c r="M48" s="35" t="str">
        <f aca="false">IF(OR($A48="",$L48=""),"",$L48-$K48)</f>
        <v/>
      </c>
      <c r="N48" s="8" t="str">
        <f aca="false">IF($A48="","",IF($L48="","PENDIENTE",IF(ABS($M48)&lt;1,"OK",IF($M48&lt;0,"FALTANTE","SOBRANTE"))))</f>
        <v/>
      </c>
      <c r="O48" s="6"/>
    </row>
    <row r="49" customFormat="false" ht="15" hidden="false" customHeight="false" outlineLevel="0" collapsed="false">
      <c r="A49" s="44"/>
      <c r="B49" s="6"/>
      <c r="C49" s="40"/>
      <c r="D49" s="35" t="str">
        <f aca="false">IF($A49="","",SUMIFS(VENTAS!$H$6:$H$2005,VENTAS!$A$6:$A$2005,$A49,VENTAS!$M$6:$M$2005,"Efectivo"))</f>
        <v/>
      </c>
      <c r="E49" s="35" t="str">
        <f aca="false">IF($A49="","",SUMIFS(VENTAS!$H$6:$H$2005,VENTAS!$A$6:$A$2005,$A49,VENTAS!$M$6:$M$2005,"SINPE Móvil"))</f>
        <v/>
      </c>
      <c r="F49" s="35" t="str">
        <f aca="false">IF($A49="","",SUMIFS(VENTAS!$H$6:$H$2005,VENTAS!$A$6:$A$2005,$A49,VENTAS!$M$6:$M$2005,"Tarjeta"))</f>
        <v/>
      </c>
      <c r="G49" s="35" t="str">
        <f aca="false">IF($A49="","",SUMIFS(VENTAS!$H$6:$H$2005,VENTAS!$A$6:$A$2005,$A49)-$D49-$E49-$F49)</f>
        <v/>
      </c>
      <c r="H49" s="35" t="str">
        <f aca="false">IF($A49="","",SUM($D49:$G49))</f>
        <v/>
      </c>
      <c r="I49" s="40"/>
      <c r="J49" s="40"/>
      <c r="K49" s="35" t="str">
        <f aca="false">IF($A49="","",N($C49)+$D49-N($I49)-N($J49))</f>
        <v/>
      </c>
      <c r="L49" s="40"/>
      <c r="M49" s="35" t="str">
        <f aca="false">IF(OR($A49="",$L49=""),"",$L49-$K49)</f>
        <v/>
      </c>
      <c r="N49" s="8" t="str">
        <f aca="false">IF($A49="","",IF($L49="","PENDIENTE",IF(ABS($M49)&lt;1,"OK",IF($M49&lt;0,"FALTANTE","SOBRANTE"))))</f>
        <v/>
      </c>
      <c r="O49" s="6"/>
    </row>
    <row r="50" customFormat="false" ht="15" hidden="false" customHeight="false" outlineLevel="0" collapsed="false">
      <c r="A50" s="44"/>
      <c r="B50" s="6"/>
      <c r="C50" s="40"/>
      <c r="D50" s="35" t="str">
        <f aca="false">IF($A50="","",SUMIFS(VENTAS!$H$6:$H$2005,VENTAS!$A$6:$A$2005,$A50,VENTAS!$M$6:$M$2005,"Efectivo"))</f>
        <v/>
      </c>
      <c r="E50" s="35" t="str">
        <f aca="false">IF($A50="","",SUMIFS(VENTAS!$H$6:$H$2005,VENTAS!$A$6:$A$2005,$A50,VENTAS!$M$6:$M$2005,"SINPE Móvil"))</f>
        <v/>
      </c>
      <c r="F50" s="35" t="str">
        <f aca="false">IF($A50="","",SUMIFS(VENTAS!$H$6:$H$2005,VENTAS!$A$6:$A$2005,$A50,VENTAS!$M$6:$M$2005,"Tarjeta"))</f>
        <v/>
      </c>
      <c r="G50" s="35" t="str">
        <f aca="false">IF($A50="","",SUMIFS(VENTAS!$H$6:$H$2005,VENTAS!$A$6:$A$2005,$A50)-$D50-$E50-$F50)</f>
        <v/>
      </c>
      <c r="H50" s="35" t="str">
        <f aca="false">IF($A50="","",SUM($D50:$G50))</f>
        <v/>
      </c>
      <c r="I50" s="40"/>
      <c r="J50" s="40"/>
      <c r="K50" s="35" t="str">
        <f aca="false">IF($A50="","",N($C50)+$D50-N($I50)-N($J50))</f>
        <v/>
      </c>
      <c r="L50" s="40"/>
      <c r="M50" s="35" t="str">
        <f aca="false">IF(OR($A50="",$L50=""),"",$L50-$K50)</f>
        <v/>
      </c>
      <c r="N50" s="8" t="str">
        <f aca="false">IF($A50="","",IF($L50="","PENDIENTE",IF(ABS($M50)&lt;1,"OK",IF($M50&lt;0,"FALTANTE","SOBRANTE"))))</f>
        <v/>
      </c>
      <c r="O50" s="6"/>
    </row>
    <row r="51" customFormat="false" ht="15" hidden="false" customHeight="false" outlineLevel="0" collapsed="false">
      <c r="A51" s="44"/>
      <c r="B51" s="6"/>
      <c r="C51" s="40"/>
      <c r="D51" s="35" t="str">
        <f aca="false">IF($A51="","",SUMIFS(VENTAS!$H$6:$H$2005,VENTAS!$A$6:$A$2005,$A51,VENTAS!$M$6:$M$2005,"Efectivo"))</f>
        <v/>
      </c>
      <c r="E51" s="35" t="str">
        <f aca="false">IF($A51="","",SUMIFS(VENTAS!$H$6:$H$2005,VENTAS!$A$6:$A$2005,$A51,VENTAS!$M$6:$M$2005,"SINPE Móvil"))</f>
        <v/>
      </c>
      <c r="F51" s="35" t="str">
        <f aca="false">IF($A51="","",SUMIFS(VENTAS!$H$6:$H$2005,VENTAS!$A$6:$A$2005,$A51,VENTAS!$M$6:$M$2005,"Tarjeta"))</f>
        <v/>
      </c>
      <c r="G51" s="35" t="str">
        <f aca="false">IF($A51="","",SUMIFS(VENTAS!$H$6:$H$2005,VENTAS!$A$6:$A$2005,$A51)-$D51-$E51-$F51)</f>
        <v/>
      </c>
      <c r="H51" s="35" t="str">
        <f aca="false">IF($A51="","",SUM($D51:$G51))</f>
        <v/>
      </c>
      <c r="I51" s="40"/>
      <c r="J51" s="40"/>
      <c r="K51" s="35" t="str">
        <f aca="false">IF($A51="","",N($C51)+$D51-N($I51)-N($J51))</f>
        <v/>
      </c>
      <c r="L51" s="40"/>
      <c r="M51" s="35" t="str">
        <f aca="false">IF(OR($A51="",$L51=""),"",$L51-$K51)</f>
        <v/>
      </c>
      <c r="N51" s="8" t="str">
        <f aca="false">IF($A51="","",IF($L51="","PENDIENTE",IF(ABS($M51)&lt;1,"OK",IF($M51&lt;0,"FALTANTE","SOBRANTE"))))</f>
        <v/>
      </c>
      <c r="O51" s="6"/>
    </row>
    <row r="52" customFormat="false" ht="15" hidden="false" customHeight="false" outlineLevel="0" collapsed="false">
      <c r="A52" s="44"/>
      <c r="B52" s="6"/>
      <c r="C52" s="40"/>
      <c r="D52" s="35" t="str">
        <f aca="false">IF($A52="","",SUMIFS(VENTAS!$H$6:$H$2005,VENTAS!$A$6:$A$2005,$A52,VENTAS!$M$6:$M$2005,"Efectivo"))</f>
        <v/>
      </c>
      <c r="E52" s="35" t="str">
        <f aca="false">IF($A52="","",SUMIFS(VENTAS!$H$6:$H$2005,VENTAS!$A$6:$A$2005,$A52,VENTAS!$M$6:$M$2005,"SINPE Móvil"))</f>
        <v/>
      </c>
      <c r="F52" s="35" t="str">
        <f aca="false">IF($A52="","",SUMIFS(VENTAS!$H$6:$H$2005,VENTAS!$A$6:$A$2005,$A52,VENTAS!$M$6:$M$2005,"Tarjeta"))</f>
        <v/>
      </c>
      <c r="G52" s="35" t="str">
        <f aca="false">IF($A52="","",SUMIFS(VENTAS!$H$6:$H$2005,VENTAS!$A$6:$A$2005,$A52)-$D52-$E52-$F52)</f>
        <v/>
      </c>
      <c r="H52" s="35" t="str">
        <f aca="false">IF($A52="","",SUM($D52:$G52))</f>
        <v/>
      </c>
      <c r="I52" s="40"/>
      <c r="J52" s="40"/>
      <c r="K52" s="35" t="str">
        <f aca="false">IF($A52="","",N($C52)+$D52-N($I52)-N($J52))</f>
        <v/>
      </c>
      <c r="L52" s="40"/>
      <c r="M52" s="35" t="str">
        <f aca="false">IF(OR($A52="",$L52=""),"",$L52-$K52)</f>
        <v/>
      </c>
      <c r="N52" s="8" t="str">
        <f aca="false">IF($A52="","",IF($L52="","PENDIENTE",IF(ABS($M52)&lt;1,"OK",IF($M52&lt;0,"FALTANTE","SOBRANTE"))))</f>
        <v/>
      </c>
      <c r="O52" s="6"/>
    </row>
    <row r="53" customFormat="false" ht="15" hidden="false" customHeight="false" outlineLevel="0" collapsed="false">
      <c r="A53" s="44"/>
      <c r="B53" s="6"/>
      <c r="C53" s="40"/>
      <c r="D53" s="35" t="str">
        <f aca="false">IF($A53="","",SUMIFS(VENTAS!$H$6:$H$2005,VENTAS!$A$6:$A$2005,$A53,VENTAS!$M$6:$M$2005,"Efectivo"))</f>
        <v/>
      </c>
      <c r="E53" s="35" t="str">
        <f aca="false">IF($A53="","",SUMIFS(VENTAS!$H$6:$H$2005,VENTAS!$A$6:$A$2005,$A53,VENTAS!$M$6:$M$2005,"SINPE Móvil"))</f>
        <v/>
      </c>
      <c r="F53" s="35" t="str">
        <f aca="false">IF($A53="","",SUMIFS(VENTAS!$H$6:$H$2005,VENTAS!$A$6:$A$2005,$A53,VENTAS!$M$6:$M$2005,"Tarjeta"))</f>
        <v/>
      </c>
      <c r="G53" s="35" t="str">
        <f aca="false">IF($A53="","",SUMIFS(VENTAS!$H$6:$H$2005,VENTAS!$A$6:$A$2005,$A53)-$D53-$E53-$F53)</f>
        <v/>
      </c>
      <c r="H53" s="35" t="str">
        <f aca="false">IF($A53="","",SUM($D53:$G53))</f>
        <v/>
      </c>
      <c r="I53" s="40"/>
      <c r="J53" s="40"/>
      <c r="K53" s="35" t="str">
        <f aca="false">IF($A53="","",N($C53)+$D53-N($I53)-N($J53))</f>
        <v/>
      </c>
      <c r="L53" s="40"/>
      <c r="M53" s="35" t="str">
        <f aca="false">IF(OR($A53="",$L53=""),"",$L53-$K53)</f>
        <v/>
      </c>
      <c r="N53" s="8" t="str">
        <f aca="false">IF($A53="","",IF($L53="","PENDIENTE",IF(ABS($M53)&lt;1,"OK",IF($M53&lt;0,"FALTANTE","SOBRANTE"))))</f>
        <v/>
      </c>
      <c r="O53" s="6"/>
    </row>
    <row r="54" customFormat="false" ht="15" hidden="false" customHeight="false" outlineLevel="0" collapsed="false">
      <c r="A54" s="44"/>
      <c r="B54" s="6"/>
      <c r="C54" s="40"/>
      <c r="D54" s="35" t="str">
        <f aca="false">IF($A54="","",SUMIFS(VENTAS!$H$6:$H$2005,VENTAS!$A$6:$A$2005,$A54,VENTAS!$M$6:$M$2005,"Efectivo"))</f>
        <v/>
      </c>
      <c r="E54" s="35" t="str">
        <f aca="false">IF($A54="","",SUMIFS(VENTAS!$H$6:$H$2005,VENTAS!$A$6:$A$2005,$A54,VENTAS!$M$6:$M$2005,"SINPE Móvil"))</f>
        <v/>
      </c>
      <c r="F54" s="35" t="str">
        <f aca="false">IF($A54="","",SUMIFS(VENTAS!$H$6:$H$2005,VENTAS!$A$6:$A$2005,$A54,VENTAS!$M$6:$M$2005,"Tarjeta"))</f>
        <v/>
      </c>
      <c r="G54" s="35" t="str">
        <f aca="false">IF($A54="","",SUMIFS(VENTAS!$H$6:$H$2005,VENTAS!$A$6:$A$2005,$A54)-$D54-$E54-$F54)</f>
        <v/>
      </c>
      <c r="H54" s="35" t="str">
        <f aca="false">IF($A54="","",SUM($D54:$G54))</f>
        <v/>
      </c>
      <c r="I54" s="40"/>
      <c r="J54" s="40"/>
      <c r="K54" s="35" t="str">
        <f aca="false">IF($A54="","",N($C54)+$D54-N($I54)-N($J54))</f>
        <v/>
      </c>
      <c r="L54" s="40"/>
      <c r="M54" s="35" t="str">
        <f aca="false">IF(OR($A54="",$L54=""),"",$L54-$K54)</f>
        <v/>
      </c>
      <c r="N54" s="8" t="str">
        <f aca="false">IF($A54="","",IF($L54="","PENDIENTE",IF(ABS($M54)&lt;1,"OK",IF($M54&lt;0,"FALTANTE","SOBRANTE"))))</f>
        <v/>
      </c>
      <c r="O54" s="6"/>
    </row>
    <row r="55" customFormat="false" ht="15" hidden="false" customHeight="false" outlineLevel="0" collapsed="false">
      <c r="A55" s="44"/>
      <c r="B55" s="6"/>
      <c r="C55" s="40"/>
      <c r="D55" s="35" t="str">
        <f aca="false">IF($A55="","",SUMIFS(VENTAS!$H$6:$H$2005,VENTAS!$A$6:$A$2005,$A55,VENTAS!$M$6:$M$2005,"Efectivo"))</f>
        <v/>
      </c>
      <c r="E55" s="35" t="str">
        <f aca="false">IF($A55="","",SUMIFS(VENTAS!$H$6:$H$2005,VENTAS!$A$6:$A$2005,$A55,VENTAS!$M$6:$M$2005,"SINPE Móvil"))</f>
        <v/>
      </c>
      <c r="F55" s="35" t="str">
        <f aca="false">IF($A55="","",SUMIFS(VENTAS!$H$6:$H$2005,VENTAS!$A$6:$A$2005,$A55,VENTAS!$M$6:$M$2005,"Tarjeta"))</f>
        <v/>
      </c>
      <c r="G55" s="35" t="str">
        <f aca="false">IF($A55="","",SUMIFS(VENTAS!$H$6:$H$2005,VENTAS!$A$6:$A$2005,$A55)-$D55-$E55-$F55)</f>
        <v/>
      </c>
      <c r="H55" s="35" t="str">
        <f aca="false">IF($A55="","",SUM($D55:$G55))</f>
        <v/>
      </c>
      <c r="I55" s="40"/>
      <c r="J55" s="40"/>
      <c r="K55" s="35" t="str">
        <f aca="false">IF($A55="","",N($C55)+$D55-N($I55)-N($J55))</f>
        <v/>
      </c>
      <c r="L55" s="40"/>
      <c r="M55" s="35" t="str">
        <f aca="false">IF(OR($A55="",$L55=""),"",$L55-$K55)</f>
        <v/>
      </c>
      <c r="N55" s="8" t="str">
        <f aca="false">IF($A55="","",IF($L55="","PENDIENTE",IF(ABS($M55)&lt;1,"OK",IF($M55&lt;0,"FALTANTE","SOBRANTE"))))</f>
        <v/>
      </c>
      <c r="O55" s="6"/>
    </row>
    <row r="56" customFormat="false" ht="15" hidden="false" customHeight="false" outlineLevel="0" collapsed="false">
      <c r="A56" s="44"/>
      <c r="B56" s="6"/>
      <c r="C56" s="40"/>
      <c r="D56" s="35" t="str">
        <f aca="false">IF($A56="","",SUMIFS(VENTAS!$H$6:$H$2005,VENTAS!$A$6:$A$2005,$A56,VENTAS!$M$6:$M$2005,"Efectivo"))</f>
        <v/>
      </c>
      <c r="E56" s="35" t="str">
        <f aca="false">IF($A56="","",SUMIFS(VENTAS!$H$6:$H$2005,VENTAS!$A$6:$A$2005,$A56,VENTAS!$M$6:$M$2005,"SINPE Móvil"))</f>
        <v/>
      </c>
      <c r="F56" s="35" t="str">
        <f aca="false">IF($A56="","",SUMIFS(VENTAS!$H$6:$H$2005,VENTAS!$A$6:$A$2005,$A56,VENTAS!$M$6:$M$2005,"Tarjeta"))</f>
        <v/>
      </c>
      <c r="G56" s="35" t="str">
        <f aca="false">IF($A56="","",SUMIFS(VENTAS!$H$6:$H$2005,VENTAS!$A$6:$A$2005,$A56)-$D56-$E56-$F56)</f>
        <v/>
      </c>
      <c r="H56" s="35" t="str">
        <f aca="false">IF($A56="","",SUM($D56:$G56))</f>
        <v/>
      </c>
      <c r="I56" s="40"/>
      <c r="J56" s="40"/>
      <c r="K56" s="35" t="str">
        <f aca="false">IF($A56="","",N($C56)+$D56-N($I56)-N($J56))</f>
        <v/>
      </c>
      <c r="L56" s="40"/>
      <c r="M56" s="35" t="str">
        <f aca="false">IF(OR($A56="",$L56=""),"",$L56-$K56)</f>
        <v/>
      </c>
      <c r="N56" s="8" t="str">
        <f aca="false">IF($A56="","",IF($L56="","PENDIENTE",IF(ABS($M56)&lt;1,"OK",IF($M56&lt;0,"FALTANTE","SOBRANTE"))))</f>
        <v/>
      </c>
      <c r="O56" s="6"/>
    </row>
    <row r="57" customFormat="false" ht="15" hidden="false" customHeight="false" outlineLevel="0" collapsed="false">
      <c r="A57" s="44"/>
      <c r="B57" s="6"/>
      <c r="C57" s="40"/>
      <c r="D57" s="35" t="str">
        <f aca="false">IF($A57="","",SUMIFS(VENTAS!$H$6:$H$2005,VENTAS!$A$6:$A$2005,$A57,VENTAS!$M$6:$M$2005,"Efectivo"))</f>
        <v/>
      </c>
      <c r="E57" s="35" t="str">
        <f aca="false">IF($A57="","",SUMIFS(VENTAS!$H$6:$H$2005,VENTAS!$A$6:$A$2005,$A57,VENTAS!$M$6:$M$2005,"SINPE Móvil"))</f>
        <v/>
      </c>
      <c r="F57" s="35" t="str">
        <f aca="false">IF($A57="","",SUMIFS(VENTAS!$H$6:$H$2005,VENTAS!$A$6:$A$2005,$A57,VENTAS!$M$6:$M$2005,"Tarjeta"))</f>
        <v/>
      </c>
      <c r="G57" s="35" t="str">
        <f aca="false">IF($A57="","",SUMIFS(VENTAS!$H$6:$H$2005,VENTAS!$A$6:$A$2005,$A57)-$D57-$E57-$F57)</f>
        <v/>
      </c>
      <c r="H57" s="35" t="str">
        <f aca="false">IF($A57="","",SUM($D57:$G57))</f>
        <v/>
      </c>
      <c r="I57" s="40"/>
      <c r="J57" s="40"/>
      <c r="K57" s="35" t="str">
        <f aca="false">IF($A57="","",N($C57)+$D57-N($I57)-N($J57))</f>
        <v/>
      </c>
      <c r="L57" s="40"/>
      <c r="M57" s="35" t="str">
        <f aca="false">IF(OR($A57="",$L57=""),"",$L57-$K57)</f>
        <v/>
      </c>
      <c r="N57" s="8" t="str">
        <f aca="false">IF($A57="","",IF($L57="","PENDIENTE",IF(ABS($M57)&lt;1,"OK",IF($M57&lt;0,"FALTANTE","SOBRANTE"))))</f>
        <v/>
      </c>
      <c r="O57" s="6"/>
    </row>
    <row r="58" customFormat="false" ht="15" hidden="false" customHeight="false" outlineLevel="0" collapsed="false">
      <c r="A58" s="44"/>
      <c r="B58" s="6"/>
      <c r="C58" s="40"/>
      <c r="D58" s="35" t="str">
        <f aca="false">IF($A58="","",SUMIFS(VENTAS!$H$6:$H$2005,VENTAS!$A$6:$A$2005,$A58,VENTAS!$M$6:$M$2005,"Efectivo"))</f>
        <v/>
      </c>
      <c r="E58" s="35" t="str">
        <f aca="false">IF($A58="","",SUMIFS(VENTAS!$H$6:$H$2005,VENTAS!$A$6:$A$2005,$A58,VENTAS!$M$6:$M$2005,"SINPE Móvil"))</f>
        <v/>
      </c>
      <c r="F58" s="35" t="str">
        <f aca="false">IF($A58="","",SUMIFS(VENTAS!$H$6:$H$2005,VENTAS!$A$6:$A$2005,$A58,VENTAS!$M$6:$M$2005,"Tarjeta"))</f>
        <v/>
      </c>
      <c r="G58" s="35" t="str">
        <f aca="false">IF($A58="","",SUMIFS(VENTAS!$H$6:$H$2005,VENTAS!$A$6:$A$2005,$A58)-$D58-$E58-$F58)</f>
        <v/>
      </c>
      <c r="H58" s="35" t="str">
        <f aca="false">IF($A58="","",SUM($D58:$G58))</f>
        <v/>
      </c>
      <c r="I58" s="40"/>
      <c r="J58" s="40"/>
      <c r="K58" s="35" t="str">
        <f aca="false">IF($A58="","",N($C58)+$D58-N($I58)-N($J58))</f>
        <v/>
      </c>
      <c r="L58" s="40"/>
      <c r="M58" s="35" t="str">
        <f aca="false">IF(OR($A58="",$L58=""),"",$L58-$K58)</f>
        <v/>
      </c>
      <c r="N58" s="8" t="str">
        <f aca="false">IF($A58="","",IF($L58="","PENDIENTE",IF(ABS($M58)&lt;1,"OK",IF($M58&lt;0,"FALTANTE","SOBRANTE"))))</f>
        <v/>
      </c>
      <c r="O58" s="6"/>
    </row>
    <row r="59" customFormat="false" ht="15" hidden="false" customHeight="false" outlineLevel="0" collapsed="false">
      <c r="A59" s="44"/>
      <c r="B59" s="6"/>
      <c r="C59" s="40"/>
      <c r="D59" s="35" t="str">
        <f aca="false">IF($A59="","",SUMIFS(VENTAS!$H$6:$H$2005,VENTAS!$A$6:$A$2005,$A59,VENTAS!$M$6:$M$2005,"Efectivo"))</f>
        <v/>
      </c>
      <c r="E59" s="35" t="str">
        <f aca="false">IF($A59="","",SUMIFS(VENTAS!$H$6:$H$2005,VENTAS!$A$6:$A$2005,$A59,VENTAS!$M$6:$M$2005,"SINPE Móvil"))</f>
        <v/>
      </c>
      <c r="F59" s="35" t="str">
        <f aca="false">IF($A59="","",SUMIFS(VENTAS!$H$6:$H$2005,VENTAS!$A$6:$A$2005,$A59,VENTAS!$M$6:$M$2005,"Tarjeta"))</f>
        <v/>
      </c>
      <c r="G59" s="35" t="str">
        <f aca="false">IF($A59="","",SUMIFS(VENTAS!$H$6:$H$2005,VENTAS!$A$6:$A$2005,$A59)-$D59-$E59-$F59)</f>
        <v/>
      </c>
      <c r="H59" s="35" t="str">
        <f aca="false">IF($A59="","",SUM($D59:$G59))</f>
        <v/>
      </c>
      <c r="I59" s="40"/>
      <c r="J59" s="40"/>
      <c r="K59" s="35" t="str">
        <f aca="false">IF($A59="","",N($C59)+$D59-N($I59)-N($J59))</f>
        <v/>
      </c>
      <c r="L59" s="40"/>
      <c r="M59" s="35" t="str">
        <f aca="false">IF(OR($A59="",$L59=""),"",$L59-$K59)</f>
        <v/>
      </c>
      <c r="N59" s="8" t="str">
        <f aca="false">IF($A59="","",IF($L59="","PENDIENTE",IF(ABS($M59)&lt;1,"OK",IF($M59&lt;0,"FALTANTE","SOBRANTE"))))</f>
        <v/>
      </c>
      <c r="O59" s="6"/>
    </row>
    <row r="60" customFormat="false" ht="15" hidden="false" customHeight="false" outlineLevel="0" collapsed="false">
      <c r="A60" s="44"/>
      <c r="B60" s="6"/>
      <c r="C60" s="40"/>
      <c r="D60" s="35" t="str">
        <f aca="false">IF($A60="","",SUMIFS(VENTAS!$H$6:$H$2005,VENTAS!$A$6:$A$2005,$A60,VENTAS!$M$6:$M$2005,"Efectivo"))</f>
        <v/>
      </c>
      <c r="E60" s="35" t="str">
        <f aca="false">IF($A60="","",SUMIFS(VENTAS!$H$6:$H$2005,VENTAS!$A$6:$A$2005,$A60,VENTAS!$M$6:$M$2005,"SINPE Móvil"))</f>
        <v/>
      </c>
      <c r="F60" s="35" t="str">
        <f aca="false">IF($A60="","",SUMIFS(VENTAS!$H$6:$H$2005,VENTAS!$A$6:$A$2005,$A60,VENTAS!$M$6:$M$2005,"Tarjeta"))</f>
        <v/>
      </c>
      <c r="G60" s="35" t="str">
        <f aca="false">IF($A60="","",SUMIFS(VENTAS!$H$6:$H$2005,VENTAS!$A$6:$A$2005,$A60)-$D60-$E60-$F60)</f>
        <v/>
      </c>
      <c r="H60" s="35" t="str">
        <f aca="false">IF($A60="","",SUM($D60:$G60))</f>
        <v/>
      </c>
      <c r="I60" s="40"/>
      <c r="J60" s="40"/>
      <c r="K60" s="35" t="str">
        <f aca="false">IF($A60="","",N($C60)+$D60-N($I60)-N($J60))</f>
        <v/>
      </c>
      <c r="L60" s="40"/>
      <c r="M60" s="35" t="str">
        <f aca="false">IF(OR($A60="",$L60=""),"",$L60-$K60)</f>
        <v/>
      </c>
      <c r="N60" s="8" t="str">
        <f aca="false">IF($A60="","",IF($L60="","PENDIENTE",IF(ABS($M60)&lt;1,"OK",IF($M60&lt;0,"FALTANTE","SOBRANTE"))))</f>
        <v/>
      </c>
      <c r="O60" s="6"/>
    </row>
    <row r="61" customFormat="false" ht="15" hidden="false" customHeight="false" outlineLevel="0" collapsed="false">
      <c r="A61" s="44"/>
      <c r="B61" s="6"/>
      <c r="C61" s="40"/>
      <c r="D61" s="35" t="str">
        <f aca="false">IF($A61="","",SUMIFS(VENTAS!$H$6:$H$2005,VENTAS!$A$6:$A$2005,$A61,VENTAS!$M$6:$M$2005,"Efectivo"))</f>
        <v/>
      </c>
      <c r="E61" s="35" t="str">
        <f aca="false">IF($A61="","",SUMIFS(VENTAS!$H$6:$H$2005,VENTAS!$A$6:$A$2005,$A61,VENTAS!$M$6:$M$2005,"SINPE Móvil"))</f>
        <v/>
      </c>
      <c r="F61" s="35" t="str">
        <f aca="false">IF($A61="","",SUMIFS(VENTAS!$H$6:$H$2005,VENTAS!$A$6:$A$2005,$A61,VENTAS!$M$6:$M$2005,"Tarjeta"))</f>
        <v/>
      </c>
      <c r="G61" s="35" t="str">
        <f aca="false">IF($A61="","",SUMIFS(VENTAS!$H$6:$H$2005,VENTAS!$A$6:$A$2005,$A61)-$D61-$E61-$F61)</f>
        <v/>
      </c>
      <c r="H61" s="35" t="str">
        <f aca="false">IF($A61="","",SUM($D61:$G61))</f>
        <v/>
      </c>
      <c r="I61" s="40"/>
      <c r="J61" s="40"/>
      <c r="K61" s="35" t="str">
        <f aca="false">IF($A61="","",N($C61)+$D61-N($I61)-N($J61))</f>
        <v/>
      </c>
      <c r="L61" s="40"/>
      <c r="M61" s="35" t="str">
        <f aca="false">IF(OR($A61="",$L61=""),"",$L61-$K61)</f>
        <v/>
      </c>
      <c r="N61" s="8" t="str">
        <f aca="false">IF($A61="","",IF($L61="","PENDIENTE",IF(ABS($M61)&lt;1,"OK",IF($M61&lt;0,"FALTANTE","SOBRANTE"))))</f>
        <v/>
      </c>
      <c r="O61" s="6"/>
    </row>
    <row r="62" customFormat="false" ht="15" hidden="false" customHeight="false" outlineLevel="0" collapsed="false">
      <c r="A62" s="44"/>
      <c r="B62" s="6"/>
      <c r="C62" s="40"/>
      <c r="D62" s="35" t="str">
        <f aca="false">IF($A62="","",SUMIFS(VENTAS!$H$6:$H$2005,VENTAS!$A$6:$A$2005,$A62,VENTAS!$M$6:$M$2005,"Efectivo"))</f>
        <v/>
      </c>
      <c r="E62" s="35" t="str">
        <f aca="false">IF($A62="","",SUMIFS(VENTAS!$H$6:$H$2005,VENTAS!$A$6:$A$2005,$A62,VENTAS!$M$6:$M$2005,"SINPE Móvil"))</f>
        <v/>
      </c>
      <c r="F62" s="35" t="str">
        <f aca="false">IF($A62="","",SUMIFS(VENTAS!$H$6:$H$2005,VENTAS!$A$6:$A$2005,$A62,VENTAS!$M$6:$M$2005,"Tarjeta"))</f>
        <v/>
      </c>
      <c r="G62" s="35" t="str">
        <f aca="false">IF($A62="","",SUMIFS(VENTAS!$H$6:$H$2005,VENTAS!$A$6:$A$2005,$A62)-$D62-$E62-$F62)</f>
        <v/>
      </c>
      <c r="H62" s="35" t="str">
        <f aca="false">IF($A62="","",SUM($D62:$G62))</f>
        <v/>
      </c>
      <c r="I62" s="40"/>
      <c r="J62" s="40"/>
      <c r="K62" s="35" t="str">
        <f aca="false">IF($A62="","",N($C62)+$D62-N($I62)-N($J62))</f>
        <v/>
      </c>
      <c r="L62" s="40"/>
      <c r="M62" s="35" t="str">
        <f aca="false">IF(OR($A62="",$L62=""),"",$L62-$K62)</f>
        <v/>
      </c>
      <c r="N62" s="8" t="str">
        <f aca="false">IF($A62="","",IF($L62="","PENDIENTE",IF(ABS($M62)&lt;1,"OK",IF($M62&lt;0,"FALTANTE","SOBRANTE"))))</f>
        <v/>
      </c>
      <c r="O62" s="6"/>
    </row>
    <row r="63" customFormat="false" ht="15" hidden="false" customHeight="false" outlineLevel="0" collapsed="false">
      <c r="A63" s="44"/>
      <c r="B63" s="6"/>
      <c r="C63" s="40"/>
      <c r="D63" s="35" t="str">
        <f aca="false">IF($A63="","",SUMIFS(VENTAS!$H$6:$H$2005,VENTAS!$A$6:$A$2005,$A63,VENTAS!$M$6:$M$2005,"Efectivo"))</f>
        <v/>
      </c>
      <c r="E63" s="35" t="str">
        <f aca="false">IF($A63="","",SUMIFS(VENTAS!$H$6:$H$2005,VENTAS!$A$6:$A$2005,$A63,VENTAS!$M$6:$M$2005,"SINPE Móvil"))</f>
        <v/>
      </c>
      <c r="F63" s="35" t="str">
        <f aca="false">IF($A63="","",SUMIFS(VENTAS!$H$6:$H$2005,VENTAS!$A$6:$A$2005,$A63,VENTAS!$M$6:$M$2005,"Tarjeta"))</f>
        <v/>
      </c>
      <c r="G63" s="35" t="str">
        <f aca="false">IF($A63="","",SUMIFS(VENTAS!$H$6:$H$2005,VENTAS!$A$6:$A$2005,$A63)-$D63-$E63-$F63)</f>
        <v/>
      </c>
      <c r="H63" s="35" t="str">
        <f aca="false">IF($A63="","",SUM($D63:$G63))</f>
        <v/>
      </c>
      <c r="I63" s="40"/>
      <c r="J63" s="40"/>
      <c r="K63" s="35" t="str">
        <f aca="false">IF($A63="","",N($C63)+$D63-N($I63)-N($J63))</f>
        <v/>
      </c>
      <c r="L63" s="40"/>
      <c r="M63" s="35" t="str">
        <f aca="false">IF(OR($A63="",$L63=""),"",$L63-$K63)</f>
        <v/>
      </c>
      <c r="N63" s="8" t="str">
        <f aca="false">IF($A63="","",IF($L63="","PENDIENTE",IF(ABS($M63)&lt;1,"OK",IF($M63&lt;0,"FALTANTE","SOBRANTE"))))</f>
        <v/>
      </c>
      <c r="O63" s="6"/>
    </row>
    <row r="64" customFormat="false" ht="15" hidden="false" customHeight="false" outlineLevel="0" collapsed="false">
      <c r="A64" s="44"/>
      <c r="B64" s="6"/>
      <c r="C64" s="40"/>
      <c r="D64" s="35" t="str">
        <f aca="false">IF($A64="","",SUMIFS(VENTAS!$H$6:$H$2005,VENTAS!$A$6:$A$2005,$A64,VENTAS!$M$6:$M$2005,"Efectivo"))</f>
        <v/>
      </c>
      <c r="E64" s="35" t="str">
        <f aca="false">IF($A64="","",SUMIFS(VENTAS!$H$6:$H$2005,VENTAS!$A$6:$A$2005,$A64,VENTAS!$M$6:$M$2005,"SINPE Móvil"))</f>
        <v/>
      </c>
      <c r="F64" s="35" t="str">
        <f aca="false">IF($A64="","",SUMIFS(VENTAS!$H$6:$H$2005,VENTAS!$A$6:$A$2005,$A64,VENTAS!$M$6:$M$2005,"Tarjeta"))</f>
        <v/>
      </c>
      <c r="G64" s="35" t="str">
        <f aca="false">IF($A64="","",SUMIFS(VENTAS!$H$6:$H$2005,VENTAS!$A$6:$A$2005,$A64)-$D64-$E64-$F64)</f>
        <v/>
      </c>
      <c r="H64" s="35" t="str">
        <f aca="false">IF($A64="","",SUM($D64:$G64))</f>
        <v/>
      </c>
      <c r="I64" s="40"/>
      <c r="J64" s="40"/>
      <c r="K64" s="35" t="str">
        <f aca="false">IF($A64="","",N($C64)+$D64-N($I64)-N($J64))</f>
        <v/>
      </c>
      <c r="L64" s="40"/>
      <c r="M64" s="35" t="str">
        <f aca="false">IF(OR($A64="",$L64=""),"",$L64-$K64)</f>
        <v/>
      </c>
      <c r="N64" s="8" t="str">
        <f aca="false">IF($A64="","",IF($L64="","PENDIENTE",IF(ABS($M64)&lt;1,"OK",IF($M64&lt;0,"FALTANTE","SOBRANTE"))))</f>
        <v/>
      </c>
      <c r="O64" s="6"/>
    </row>
    <row r="65" customFormat="false" ht="15" hidden="false" customHeight="false" outlineLevel="0" collapsed="false">
      <c r="A65" s="44"/>
      <c r="B65" s="6"/>
      <c r="C65" s="40"/>
      <c r="D65" s="35" t="str">
        <f aca="false">IF($A65="","",SUMIFS(VENTAS!$H$6:$H$2005,VENTAS!$A$6:$A$2005,$A65,VENTAS!$M$6:$M$2005,"Efectivo"))</f>
        <v/>
      </c>
      <c r="E65" s="35" t="str">
        <f aca="false">IF($A65="","",SUMIFS(VENTAS!$H$6:$H$2005,VENTAS!$A$6:$A$2005,$A65,VENTAS!$M$6:$M$2005,"SINPE Móvil"))</f>
        <v/>
      </c>
      <c r="F65" s="35" t="str">
        <f aca="false">IF($A65="","",SUMIFS(VENTAS!$H$6:$H$2005,VENTAS!$A$6:$A$2005,$A65,VENTAS!$M$6:$M$2005,"Tarjeta"))</f>
        <v/>
      </c>
      <c r="G65" s="35" t="str">
        <f aca="false">IF($A65="","",SUMIFS(VENTAS!$H$6:$H$2005,VENTAS!$A$6:$A$2005,$A65)-$D65-$E65-$F65)</f>
        <v/>
      </c>
      <c r="H65" s="35" t="str">
        <f aca="false">IF($A65="","",SUM($D65:$G65))</f>
        <v/>
      </c>
      <c r="I65" s="40"/>
      <c r="J65" s="40"/>
      <c r="K65" s="35" t="str">
        <f aca="false">IF($A65="","",N($C65)+$D65-N($I65)-N($J65))</f>
        <v/>
      </c>
      <c r="L65" s="40"/>
      <c r="M65" s="35" t="str">
        <f aca="false">IF(OR($A65="",$L65=""),"",$L65-$K65)</f>
        <v/>
      </c>
      <c r="N65" s="8" t="str">
        <f aca="false">IF($A65="","",IF($L65="","PENDIENTE",IF(ABS($M65)&lt;1,"OK",IF($M65&lt;0,"FALTANTE","SOBRANTE"))))</f>
        <v/>
      </c>
      <c r="O65" s="6"/>
    </row>
    <row r="66" customFormat="false" ht="15" hidden="false" customHeight="false" outlineLevel="0" collapsed="false">
      <c r="A66" s="44"/>
      <c r="B66" s="6"/>
      <c r="C66" s="40"/>
      <c r="D66" s="35" t="str">
        <f aca="false">IF($A66="","",SUMIFS(VENTAS!$H$6:$H$2005,VENTAS!$A$6:$A$2005,$A66,VENTAS!$M$6:$M$2005,"Efectivo"))</f>
        <v/>
      </c>
      <c r="E66" s="35" t="str">
        <f aca="false">IF($A66="","",SUMIFS(VENTAS!$H$6:$H$2005,VENTAS!$A$6:$A$2005,$A66,VENTAS!$M$6:$M$2005,"SINPE Móvil"))</f>
        <v/>
      </c>
      <c r="F66" s="35" t="str">
        <f aca="false">IF($A66="","",SUMIFS(VENTAS!$H$6:$H$2005,VENTAS!$A$6:$A$2005,$A66,VENTAS!$M$6:$M$2005,"Tarjeta"))</f>
        <v/>
      </c>
      <c r="G66" s="35" t="str">
        <f aca="false">IF($A66="","",SUMIFS(VENTAS!$H$6:$H$2005,VENTAS!$A$6:$A$2005,$A66)-$D66-$E66-$F66)</f>
        <v/>
      </c>
      <c r="H66" s="35" t="str">
        <f aca="false">IF($A66="","",SUM($D66:$G66))</f>
        <v/>
      </c>
      <c r="I66" s="40"/>
      <c r="J66" s="40"/>
      <c r="K66" s="35" t="str">
        <f aca="false">IF($A66="","",N($C66)+$D66-N($I66)-N($J66))</f>
        <v/>
      </c>
      <c r="L66" s="40"/>
      <c r="M66" s="35" t="str">
        <f aca="false">IF(OR($A66="",$L66=""),"",$L66-$K66)</f>
        <v/>
      </c>
      <c r="N66" s="8" t="str">
        <f aca="false">IF($A66="","",IF($L66="","PENDIENTE",IF(ABS($M66)&lt;1,"OK",IF($M66&lt;0,"FALTANTE","SOBRANTE"))))</f>
        <v/>
      </c>
      <c r="O66" s="6"/>
    </row>
    <row r="67" customFormat="false" ht="15" hidden="false" customHeight="false" outlineLevel="0" collapsed="false">
      <c r="A67" s="44"/>
      <c r="B67" s="6"/>
      <c r="C67" s="40"/>
      <c r="D67" s="35" t="str">
        <f aca="false">IF($A67="","",SUMIFS(VENTAS!$H$6:$H$2005,VENTAS!$A$6:$A$2005,$A67,VENTAS!$M$6:$M$2005,"Efectivo"))</f>
        <v/>
      </c>
      <c r="E67" s="35" t="str">
        <f aca="false">IF($A67="","",SUMIFS(VENTAS!$H$6:$H$2005,VENTAS!$A$6:$A$2005,$A67,VENTAS!$M$6:$M$2005,"SINPE Móvil"))</f>
        <v/>
      </c>
      <c r="F67" s="35" t="str">
        <f aca="false">IF($A67="","",SUMIFS(VENTAS!$H$6:$H$2005,VENTAS!$A$6:$A$2005,$A67,VENTAS!$M$6:$M$2005,"Tarjeta"))</f>
        <v/>
      </c>
      <c r="G67" s="35" t="str">
        <f aca="false">IF($A67="","",SUMIFS(VENTAS!$H$6:$H$2005,VENTAS!$A$6:$A$2005,$A67)-$D67-$E67-$F67)</f>
        <v/>
      </c>
      <c r="H67" s="35" t="str">
        <f aca="false">IF($A67="","",SUM($D67:$G67))</f>
        <v/>
      </c>
      <c r="I67" s="40"/>
      <c r="J67" s="40"/>
      <c r="K67" s="35" t="str">
        <f aca="false">IF($A67="","",N($C67)+$D67-N($I67)-N($J67))</f>
        <v/>
      </c>
      <c r="L67" s="40"/>
      <c r="M67" s="35" t="str">
        <f aca="false">IF(OR($A67="",$L67=""),"",$L67-$K67)</f>
        <v/>
      </c>
      <c r="N67" s="8" t="str">
        <f aca="false">IF($A67="","",IF($L67="","PENDIENTE",IF(ABS($M67)&lt;1,"OK",IF($M67&lt;0,"FALTANTE","SOBRANTE"))))</f>
        <v/>
      </c>
      <c r="O67" s="6"/>
    </row>
    <row r="68" customFormat="false" ht="15" hidden="false" customHeight="false" outlineLevel="0" collapsed="false">
      <c r="A68" s="44"/>
      <c r="B68" s="6"/>
      <c r="C68" s="40"/>
      <c r="D68" s="35" t="str">
        <f aca="false">IF($A68="","",SUMIFS(VENTAS!$H$6:$H$2005,VENTAS!$A$6:$A$2005,$A68,VENTAS!$M$6:$M$2005,"Efectivo"))</f>
        <v/>
      </c>
      <c r="E68" s="35" t="str">
        <f aca="false">IF($A68="","",SUMIFS(VENTAS!$H$6:$H$2005,VENTAS!$A$6:$A$2005,$A68,VENTAS!$M$6:$M$2005,"SINPE Móvil"))</f>
        <v/>
      </c>
      <c r="F68" s="35" t="str">
        <f aca="false">IF($A68="","",SUMIFS(VENTAS!$H$6:$H$2005,VENTAS!$A$6:$A$2005,$A68,VENTAS!$M$6:$M$2005,"Tarjeta"))</f>
        <v/>
      </c>
      <c r="G68" s="35" t="str">
        <f aca="false">IF($A68="","",SUMIFS(VENTAS!$H$6:$H$2005,VENTAS!$A$6:$A$2005,$A68)-$D68-$E68-$F68)</f>
        <v/>
      </c>
      <c r="H68" s="35" t="str">
        <f aca="false">IF($A68="","",SUM($D68:$G68))</f>
        <v/>
      </c>
      <c r="I68" s="40"/>
      <c r="J68" s="40"/>
      <c r="K68" s="35" t="str">
        <f aca="false">IF($A68="","",N($C68)+$D68-N($I68)-N($J68))</f>
        <v/>
      </c>
      <c r="L68" s="40"/>
      <c r="M68" s="35" t="str">
        <f aca="false">IF(OR($A68="",$L68=""),"",$L68-$K68)</f>
        <v/>
      </c>
      <c r="N68" s="8" t="str">
        <f aca="false">IF($A68="","",IF($L68="","PENDIENTE",IF(ABS($M68)&lt;1,"OK",IF($M68&lt;0,"FALTANTE","SOBRANTE"))))</f>
        <v/>
      </c>
      <c r="O68" s="6"/>
    </row>
    <row r="69" customFormat="false" ht="15" hidden="false" customHeight="false" outlineLevel="0" collapsed="false">
      <c r="A69" s="44"/>
      <c r="B69" s="6"/>
      <c r="C69" s="40"/>
      <c r="D69" s="35" t="str">
        <f aca="false">IF($A69="","",SUMIFS(VENTAS!$H$6:$H$2005,VENTAS!$A$6:$A$2005,$A69,VENTAS!$M$6:$M$2005,"Efectivo"))</f>
        <v/>
      </c>
      <c r="E69" s="35" t="str">
        <f aca="false">IF($A69="","",SUMIFS(VENTAS!$H$6:$H$2005,VENTAS!$A$6:$A$2005,$A69,VENTAS!$M$6:$M$2005,"SINPE Móvil"))</f>
        <v/>
      </c>
      <c r="F69" s="35" t="str">
        <f aca="false">IF($A69="","",SUMIFS(VENTAS!$H$6:$H$2005,VENTAS!$A$6:$A$2005,$A69,VENTAS!$M$6:$M$2005,"Tarjeta"))</f>
        <v/>
      </c>
      <c r="G69" s="35" t="str">
        <f aca="false">IF($A69="","",SUMIFS(VENTAS!$H$6:$H$2005,VENTAS!$A$6:$A$2005,$A69)-$D69-$E69-$F69)</f>
        <v/>
      </c>
      <c r="H69" s="35" t="str">
        <f aca="false">IF($A69="","",SUM($D69:$G69))</f>
        <v/>
      </c>
      <c r="I69" s="40"/>
      <c r="J69" s="40"/>
      <c r="K69" s="35" t="str">
        <f aca="false">IF($A69="","",N($C69)+$D69-N($I69)-N($J69))</f>
        <v/>
      </c>
      <c r="L69" s="40"/>
      <c r="M69" s="35" t="str">
        <f aca="false">IF(OR($A69="",$L69=""),"",$L69-$K69)</f>
        <v/>
      </c>
      <c r="N69" s="8" t="str">
        <f aca="false">IF($A69="","",IF($L69="","PENDIENTE",IF(ABS($M69)&lt;1,"OK",IF($M69&lt;0,"FALTANTE","SOBRANTE"))))</f>
        <v/>
      </c>
      <c r="O69" s="6"/>
    </row>
    <row r="70" customFormat="false" ht="15" hidden="false" customHeight="false" outlineLevel="0" collapsed="false">
      <c r="A70" s="44"/>
      <c r="B70" s="6"/>
      <c r="C70" s="40"/>
      <c r="D70" s="35" t="str">
        <f aca="false">IF($A70="","",SUMIFS(VENTAS!$H$6:$H$2005,VENTAS!$A$6:$A$2005,$A70,VENTAS!$M$6:$M$2005,"Efectivo"))</f>
        <v/>
      </c>
      <c r="E70" s="35" t="str">
        <f aca="false">IF($A70="","",SUMIFS(VENTAS!$H$6:$H$2005,VENTAS!$A$6:$A$2005,$A70,VENTAS!$M$6:$M$2005,"SINPE Móvil"))</f>
        <v/>
      </c>
      <c r="F70" s="35" t="str">
        <f aca="false">IF($A70="","",SUMIFS(VENTAS!$H$6:$H$2005,VENTAS!$A$6:$A$2005,$A70,VENTAS!$M$6:$M$2005,"Tarjeta"))</f>
        <v/>
      </c>
      <c r="G70" s="35" t="str">
        <f aca="false">IF($A70="","",SUMIFS(VENTAS!$H$6:$H$2005,VENTAS!$A$6:$A$2005,$A70)-$D70-$E70-$F70)</f>
        <v/>
      </c>
      <c r="H70" s="35" t="str">
        <f aca="false">IF($A70="","",SUM($D70:$G70))</f>
        <v/>
      </c>
      <c r="I70" s="40"/>
      <c r="J70" s="40"/>
      <c r="K70" s="35" t="str">
        <f aca="false">IF($A70="","",N($C70)+$D70-N($I70)-N($J70))</f>
        <v/>
      </c>
      <c r="L70" s="40"/>
      <c r="M70" s="35" t="str">
        <f aca="false">IF(OR($A70="",$L70=""),"",$L70-$K70)</f>
        <v/>
      </c>
      <c r="N70" s="8" t="str">
        <f aca="false">IF($A70="","",IF($L70="","PENDIENTE",IF(ABS($M70)&lt;1,"OK",IF($M70&lt;0,"FALTANTE","SOBRANTE"))))</f>
        <v/>
      </c>
      <c r="O70" s="6"/>
    </row>
    <row r="71" customFormat="false" ht="15" hidden="false" customHeight="false" outlineLevel="0" collapsed="false">
      <c r="A71" s="44"/>
      <c r="B71" s="6"/>
      <c r="C71" s="40"/>
      <c r="D71" s="35" t="str">
        <f aca="false">IF($A71="","",SUMIFS(VENTAS!$H$6:$H$2005,VENTAS!$A$6:$A$2005,$A71,VENTAS!$M$6:$M$2005,"Efectivo"))</f>
        <v/>
      </c>
      <c r="E71" s="35" t="str">
        <f aca="false">IF($A71="","",SUMIFS(VENTAS!$H$6:$H$2005,VENTAS!$A$6:$A$2005,$A71,VENTAS!$M$6:$M$2005,"SINPE Móvil"))</f>
        <v/>
      </c>
      <c r="F71" s="35" t="str">
        <f aca="false">IF($A71="","",SUMIFS(VENTAS!$H$6:$H$2005,VENTAS!$A$6:$A$2005,$A71,VENTAS!$M$6:$M$2005,"Tarjeta"))</f>
        <v/>
      </c>
      <c r="G71" s="35" t="str">
        <f aca="false">IF($A71="","",SUMIFS(VENTAS!$H$6:$H$2005,VENTAS!$A$6:$A$2005,$A71)-$D71-$E71-$F71)</f>
        <v/>
      </c>
      <c r="H71" s="35" t="str">
        <f aca="false">IF($A71="","",SUM($D71:$G71))</f>
        <v/>
      </c>
      <c r="I71" s="40"/>
      <c r="J71" s="40"/>
      <c r="K71" s="35" t="str">
        <f aca="false">IF($A71="","",N($C71)+$D71-N($I71)-N($J71))</f>
        <v/>
      </c>
      <c r="L71" s="40"/>
      <c r="M71" s="35" t="str">
        <f aca="false">IF(OR($A71="",$L71=""),"",$L71-$K71)</f>
        <v/>
      </c>
      <c r="N71" s="8" t="str">
        <f aca="false">IF($A71="","",IF($L71="","PENDIENTE",IF(ABS($M71)&lt;1,"OK",IF($M71&lt;0,"FALTANTE","SOBRANTE"))))</f>
        <v/>
      </c>
      <c r="O71" s="6"/>
    </row>
    <row r="72" customFormat="false" ht="15" hidden="false" customHeight="false" outlineLevel="0" collapsed="false">
      <c r="A72" s="44"/>
      <c r="B72" s="6"/>
      <c r="C72" s="40"/>
      <c r="D72" s="35" t="str">
        <f aca="false">IF($A72="","",SUMIFS(VENTAS!$H$6:$H$2005,VENTAS!$A$6:$A$2005,$A72,VENTAS!$M$6:$M$2005,"Efectivo"))</f>
        <v/>
      </c>
      <c r="E72" s="35" t="str">
        <f aca="false">IF($A72="","",SUMIFS(VENTAS!$H$6:$H$2005,VENTAS!$A$6:$A$2005,$A72,VENTAS!$M$6:$M$2005,"SINPE Móvil"))</f>
        <v/>
      </c>
      <c r="F72" s="35" t="str">
        <f aca="false">IF($A72="","",SUMIFS(VENTAS!$H$6:$H$2005,VENTAS!$A$6:$A$2005,$A72,VENTAS!$M$6:$M$2005,"Tarjeta"))</f>
        <v/>
      </c>
      <c r="G72" s="35" t="str">
        <f aca="false">IF($A72="","",SUMIFS(VENTAS!$H$6:$H$2005,VENTAS!$A$6:$A$2005,$A72)-$D72-$E72-$F72)</f>
        <v/>
      </c>
      <c r="H72" s="35" t="str">
        <f aca="false">IF($A72="","",SUM($D72:$G72))</f>
        <v/>
      </c>
      <c r="I72" s="40"/>
      <c r="J72" s="40"/>
      <c r="K72" s="35" t="str">
        <f aca="false">IF($A72="","",N($C72)+$D72-N($I72)-N($J72))</f>
        <v/>
      </c>
      <c r="L72" s="40"/>
      <c r="M72" s="35" t="str">
        <f aca="false">IF(OR($A72="",$L72=""),"",$L72-$K72)</f>
        <v/>
      </c>
      <c r="N72" s="8" t="str">
        <f aca="false">IF($A72="","",IF($L72="","PENDIENTE",IF(ABS($M72)&lt;1,"OK",IF($M72&lt;0,"FALTANTE","SOBRANTE"))))</f>
        <v/>
      </c>
      <c r="O72" s="6"/>
    </row>
    <row r="73" customFormat="false" ht="15" hidden="false" customHeight="false" outlineLevel="0" collapsed="false">
      <c r="A73" s="44"/>
      <c r="B73" s="6"/>
      <c r="C73" s="40"/>
      <c r="D73" s="35" t="str">
        <f aca="false">IF($A73="","",SUMIFS(VENTAS!$H$6:$H$2005,VENTAS!$A$6:$A$2005,$A73,VENTAS!$M$6:$M$2005,"Efectivo"))</f>
        <v/>
      </c>
      <c r="E73" s="35" t="str">
        <f aca="false">IF($A73="","",SUMIFS(VENTAS!$H$6:$H$2005,VENTAS!$A$6:$A$2005,$A73,VENTAS!$M$6:$M$2005,"SINPE Móvil"))</f>
        <v/>
      </c>
      <c r="F73" s="35" t="str">
        <f aca="false">IF($A73="","",SUMIFS(VENTAS!$H$6:$H$2005,VENTAS!$A$6:$A$2005,$A73,VENTAS!$M$6:$M$2005,"Tarjeta"))</f>
        <v/>
      </c>
      <c r="G73" s="35" t="str">
        <f aca="false">IF($A73="","",SUMIFS(VENTAS!$H$6:$H$2005,VENTAS!$A$6:$A$2005,$A73)-$D73-$E73-$F73)</f>
        <v/>
      </c>
      <c r="H73" s="35" t="str">
        <f aca="false">IF($A73="","",SUM($D73:$G73))</f>
        <v/>
      </c>
      <c r="I73" s="40"/>
      <c r="J73" s="40"/>
      <c r="K73" s="35" t="str">
        <f aca="false">IF($A73="","",N($C73)+$D73-N($I73)-N($J73))</f>
        <v/>
      </c>
      <c r="L73" s="40"/>
      <c r="M73" s="35" t="str">
        <f aca="false">IF(OR($A73="",$L73=""),"",$L73-$K73)</f>
        <v/>
      </c>
      <c r="N73" s="8" t="str">
        <f aca="false">IF($A73="","",IF($L73="","PENDIENTE",IF(ABS($M73)&lt;1,"OK",IF($M73&lt;0,"FALTANTE","SOBRANTE"))))</f>
        <v/>
      </c>
      <c r="O73" s="6"/>
    </row>
    <row r="74" customFormat="false" ht="15" hidden="false" customHeight="false" outlineLevel="0" collapsed="false">
      <c r="A74" s="44"/>
      <c r="B74" s="6"/>
      <c r="C74" s="40"/>
      <c r="D74" s="35" t="str">
        <f aca="false">IF($A74="","",SUMIFS(VENTAS!$H$6:$H$2005,VENTAS!$A$6:$A$2005,$A74,VENTAS!$M$6:$M$2005,"Efectivo"))</f>
        <v/>
      </c>
      <c r="E74" s="35" t="str">
        <f aca="false">IF($A74="","",SUMIFS(VENTAS!$H$6:$H$2005,VENTAS!$A$6:$A$2005,$A74,VENTAS!$M$6:$M$2005,"SINPE Móvil"))</f>
        <v/>
      </c>
      <c r="F74" s="35" t="str">
        <f aca="false">IF($A74="","",SUMIFS(VENTAS!$H$6:$H$2005,VENTAS!$A$6:$A$2005,$A74,VENTAS!$M$6:$M$2005,"Tarjeta"))</f>
        <v/>
      </c>
      <c r="G74" s="35" t="str">
        <f aca="false">IF($A74="","",SUMIFS(VENTAS!$H$6:$H$2005,VENTAS!$A$6:$A$2005,$A74)-$D74-$E74-$F74)</f>
        <v/>
      </c>
      <c r="H74" s="35" t="str">
        <f aca="false">IF($A74="","",SUM($D74:$G74))</f>
        <v/>
      </c>
      <c r="I74" s="40"/>
      <c r="J74" s="40"/>
      <c r="K74" s="35" t="str">
        <f aca="false">IF($A74="","",N($C74)+$D74-N($I74)-N($J74))</f>
        <v/>
      </c>
      <c r="L74" s="40"/>
      <c r="M74" s="35" t="str">
        <f aca="false">IF(OR($A74="",$L74=""),"",$L74-$K74)</f>
        <v/>
      </c>
      <c r="N74" s="8" t="str">
        <f aca="false">IF($A74="","",IF($L74="","PENDIENTE",IF(ABS($M74)&lt;1,"OK",IF($M74&lt;0,"FALTANTE","SOBRANTE"))))</f>
        <v/>
      </c>
      <c r="O74" s="6"/>
    </row>
    <row r="75" customFormat="false" ht="15" hidden="false" customHeight="false" outlineLevel="0" collapsed="false">
      <c r="A75" s="44"/>
      <c r="B75" s="6"/>
      <c r="C75" s="40"/>
      <c r="D75" s="35" t="str">
        <f aca="false">IF($A75="","",SUMIFS(VENTAS!$H$6:$H$2005,VENTAS!$A$6:$A$2005,$A75,VENTAS!$M$6:$M$2005,"Efectivo"))</f>
        <v/>
      </c>
      <c r="E75" s="35" t="str">
        <f aca="false">IF($A75="","",SUMIFS(VENTAS!$H$6:$H$2005,VENTAS!$A$6:$A$2005,$A75,VENTAS!$M$6:$M$2005,"SINPE Móvil"))</f>
        <v/>
      </c>
      <c r="F75" s="35" t="str">
        <f aca="false">IF($A75="","",SUMIFS(VENTAS!$H$6:$H$2005,VENTAS!$A$6:$A$2005,$A75,VENTAS!$M$6:$M$2005,"Tarjeta"))</f>
        <v/>
      </c>
      <c r="G75" s="35" t="str">
        <f aca="false">IF($A75="","",SUMIFS(VENTAS!$H$6:$H$2005,VENTAS!$A$6:$A$2005,$A75)-$D75-$E75-$F75)</f>
        <v/>
      </c>
      <c r="H75" s="35" t="str">
        <f aca="false">IF($A75="","",SUM($D75:$G75))</f>
        <v/>
      </c>
      <c r="I75" s="40"/>
      <c r="J75" s="40"/>
      <c r="K75" s="35" t="str">
        <f aca="false">IF($A75="","",N($C75)+$D75-N($I75)-N($J75))</f>
        <v/>
      </c>
      <c r="L75" s="40"/>
      <c r="M75" s="35" t="str">
        <f aca="false">IF(OR($A75="",$L75=""),"",$L75-$K75)</f>
        <v/>
      </c>
      <c r="N75" s="8" t="str">
        <f aca="false">IF($A75="","",IF($L75="","PENDIENTE",IF(ABS($M75)&lt;1,"OK",IF($M75&lt;0,"FALTANTE","SOBRANTE"))))</f>
        <v/>
      </c>
      <c r="O75" s="6"/>
    </row>
    <row r="76" customFormat="false" ht="15" hidden="false" customHeight="false" outlineLevel="0" collapsed="false">
      <c r="A76" s="44"/>
      <c r="B76" s="6"/>
      <c r="C76" s="40"/>
      <c r="D76" s="35" t="str">
        <f aca="false">IF($A76="","",SUMIFS(VENTAS!$H$6:$H$2005,VENTAS!$A$6:$A$2005,$A76,VENTAS!$M$6:$M$2005,"Efectivo"))</f>
        <v/>
      </c>
      <c r="E76" s="35" t="str">
        <f aca="false">IF($A76="","",SUMIFS(VENTAS!$H$6:$H$2005,VENTAS!$A$6:$A$2005,$A76,VENTAS!$M$6:$M$2005,"SINPE Móvil"))</f>
        <v/>
      </c>
      <c r="F76" s="35" t="str">
        <f aca="false">IF($A76="","",SUMIFS(VENTAS!$H$6:$H$2005,VENTAS!$A$6:$A$2005,$A76,VENTAS!$M$6:$M$2005,"Tarjeta"))</f>
        <v/>
      </c>
      <c r="G76" s="35" t="str">
        <f aca="false">IF($A76="","",SUMIFS(VENTAS!$H$6:$H$2005,VENTAS!$A$6:$A$2005,$A76)-$D76-$E76-$F76)</f>
        <v/>
      </c>
      <c r="H76" s="35" t="str">
        <f aca="false">IF($A76="","",SUM($D76:$G76))</f>
        <v/>
      </c>
      <c r="I76" s="40"/>
      <c r="J76" s="40"/>
      <c r="K76" s="35" t="str">
        <f aca="false">IF($A76="","",N($C76)+$D76-N($I76)-N($J76))</f>
        <v/>
      </c>
      <c r="L76" s="40"/>
      <c r="M76" s="35" t="str">
        <f aca="false">IF(OR($A76="",$L76=""),"",$L76-$K76)</f>
        <v/>
      </c>
      <c r="N76" s="8" t="str">
        <f aca="false">IF($A76="","",IF($L76="","PENDIENTE",IF(ABS($M76)&lt;1,"OK",IF($M76&lt;0,"FALTANTE","SOBRANTE"))))</f>
        <v/>
      </c>
      <c r="O76" s="6"/>
    </row>
    <row r="77" customFormat="false" ht="15" hidden="false" customHeight="false" outlineLevel="0" collapsed="false">
      <c r="A77" s="44"/>
      <c r="B77" s="6"/>
      <c r="C77" s="40"/>
      <c r="D77" s="35" t="str">
        <f aca="false">IF($A77="","",SUMIFS(VENTAS!$H$6:$H$2005,VENTAS!$A$6:$A$2005,$A77,VENTAS!$M$6:$M$2005,"Efectivo"))</f>
        <v/>
      </c>
      <c r="E77" s="35" t="str">
        <f aca="false">IF($A77="","",SUMIFS(VENTAS!$H$6:$H$2005,VENTAS!$A$6:$A$2005,$A77,VENTAS!$M$6:$M$2005,"SINPE Móvil"))</f>
        <v/>
      </c>
      <c r="F77" s="35" t="str">
        <f aca="false">IF($A77="","",SUMIFS(VENTAS!$H$6:$H$2005,VENTAS!$A$6:$A$2005,$A77,VENTAS!$M$6:$M$2005,"Tarjeta"))</f>
        <v/>
      </c>
      <c r="G77" s="35" t="str">
        <f aca="false">IF($A77="","",SUMIFS(VENTAS!$H$6:$H$2005,VENTAS!$A$6:$A$2005,$A77)-$D77-$E77-$F77)</f>
        <v/>
      </c>
      <c r="H77" s="35" t="str">
        <f aca="false">IF($A77="","",SUM($D77:$G77))</f>
        <v/>
      </c>
      <c r="I77" s="40"/>
      <c r="J77" s="40"/>
      <c r="K77" s="35" t="str">
        <f aca="false">IF($A77="","",N($C77)+$D77-N($I77)-N($J77))</f>
        <v/>
      </c>
      <c r="L77" s="40"/>
      <c r="M77" s="35" t="str">
        <f aca="false">IF(OR($A77="",$L77=""),"",$L77-$K77)</f>
        <v/>
      </c>
      <c r="N77" s="8" t="str">
        <f aca="false">IF($A77="","",IF($L77="","PENDIENTE",IF(ABS($M77)&lt;1,"OK",IF($M77&lt;0,"FALTANTE","SOBRANTE"))))</f>
        <v/>
      </c>
      <c r="O77" s="6"/>
    </row>
    <row r="78" customFormat="false" ht="15" hidden="false" customHeight="false" outlineLevel="0" collapsed="false">
      <c r="A78" s="44"/>
      <c r="B78" s="6"/>
      <c r="C78" s="40"/>
      <c r="D78" s="35" t="str">
        <f aca="false">IF($A78="","",SUMIFS(VENTAS!$H$6:$H$2005,VENTAS!$A$6:$A$2005,$A78,VENTAS!$M$6:$M$2005,"Efectivo"))</f>
        <v/>
      </c>
      <c r="E78" s="35" t="str">
        <f aca="false">IF($A78="","",SUMIFS(VENTAS!$H$6:$H$2005,VENTAS!$A$6:$A$2005,$A78,VENTAS!$M$6:$M$2005,"SINPE Móvil"))</f>
        <v/>
      </c>
      <c r="F78" s="35" t="str">
        <f aca="false">IF($A78="","",SUMIFS(VENTAS!$H$6:$H$2005,VENTAS!$A$6:$A$2005,$A78,VENTAS!$M$6:$M$2005,"Tarjeta"))</f>
        <v/>
      </c>
      <c r="G78" s="35" t="str">
        <f aca="false">IF($A78="","",SUMIFS(VENTAS!$H$6:$H$2005,VENTAS!$A$6:$A$2005,$A78)-$D78-$E78-$F78)</f>
        <v/>
      </c>
      <c r="H78" s="35" t="str">
        <f aca="false">IF($A78="","",SUM($D78:$G78))</f>
        <v/>
      </c>
      <c r="I78" s="40"/>
      <c r="J78" s="40"/>
      <c r="K78" s="35" t="str">
        <f aca="false">IF($A78="","",N($C78)+$D78-N($I78)-N($J78))</f>
        <v/>
      </c>
      <c r="L78" s="40"/>
      <c r="M78" s="35" t="str">
        <f aca="false">IF(OR($A78="",$L78=""),"",$L78-$K78)</f>
        <v/>
      </c>
      <c r="N78" s="8" t="str">
        <f aca="false">IF($A78="","",IF($L78="","PENDIENTE",IF(ABS($M78)&lt;1,"OK",IF($M78&lt;0,"FALTANTE","SOBRANTE"))))</f>
        <v/>
      </c>
      <c r="O78" s="6"/>
    </row>
    <row r="79" customFormat="false" ht="15" hidden="false" customHeight="false" outlineLevel="0" collapsed="false">
      <c r="A79" s="44"/>
      <c r="B79" s="6"/>
      <c r="C79" s="40"/>
      <c r="D79" s="35" t="str">
        <f aca="false">IF($A79="","",SUMIFS(VENTAS!$H$6:$H$2005,VENTAS!$A$6:$A$2005,$A79,VENTAS!$M$6:$M$2005,"Efectivo"))</f>
        <v/>
      </c>
      <c r="E79" s="35" t="str">
        <f aca="false">IF($A79="","",SUMIFS(VENTAS!$H$6:$H$2005,VENTAS!$A$6:$A$2005,$A79,VENTAS!$M$6:$M$2005,"SINPE Móvil"))</f>
        <v/>
      </c>
      <c r="F79" s="35" t="str">
        <f aca="false">IF($A79="","",SUMIFS(VENTAS!$H$6:$H$2005,VENTAS!$A$6:$A$2005,$A79,VENTAS!$M$6:$M$2005,"Tarjeta"))</f>
        <v/>
      </c>
      <c r="G79" s="35" t="str">
        <f aca="false">IF($A79="","",SUMIFS(VENTAS!$H$6:$H$2005,VENTAS!$A$6:$A$2005,$A79)-$D79-$E79-$F79)</f>
        <v/>
      </c>
      <c r="H79" s="35" t="str">
        <f aca="false">IF($A79="","",SUM($D79:$G79))</f>
        <v/>
      </c>
      <c r="I79" s="40"/>
      <c r="J79" s="40"/>
      <c r="K79" s="35" t="str">
        <f aca="false">IF($A79="","",N($C79)+$D79-N($I79)-N($J79))</f>
        <v/>
      </c>
      <c r="L79" s="40"/>
      <c r="M79" s="35" t="str">
        <f aca="false">IF(OR($A79="",$L79=""),"",$L79-$K79)</f>
        <v/>
      </c>
      <c r="N79" s="8" t="str">
        <f aca="false">IF($A79="","",IF($L79="","PENDIENTE",IF(ABS($M79)&lt;1,"OK",IF($M79&lt;0,"FALTANTE","SOBRANTE"))))</f>
        <v/>
      </c>
      <c r="O79" s="6"/>
    </row>
    <row r="80" customFormat="false" ht="15" hidden="false" customHeight="false" outlineLevel="0" collapsed="false">
      <c r="A80" s="44"/>
      <c r="B80" s="6"/>
      <c r="C80" s="40"/>
      <c r="D80" s="35" t="str">
        <f aca="false">IF($A80="","",SUMIFS(VENTAS!$H$6:$H$2005,VENTAS!$A$6:$A$2005,$A80,VENTAS!$M$6:$M$2005,"Efectivo"))</f>
        <v/>
      </c>
      <c r="E80" s="35" t="str">
        <f aca="false">IF($A80="","",SUMIFS(VENTAS!$H$6:$H$2005,VENTAS!$A$6:$A$2005,$A80,VENTAS!$M$6:$M$2005,"SINPE Móvil"))</f>
        <v/>
      </c>
      <c r="F80" s="35" t="str">
        <f aca="false">IF($A80="","",SUMIFS(VENTAS!$H$6:$H$2005,VENTAS!$A$6:$A$2005,$A80,VENTAS!$M$6:$M$2005,"Tarjeta"))</f>
        <v/>
      </c>
      <c r="G80" s="35" t="str">
        <f aca="false">IF($A80="","",SUMIFS(VENTAS!$H$6:$H$2005,VENTAS!$A$6:$A$2005,$A80)-$D80-$E80-$F80)</f>
        <v/>
      </c>
      <c r="H80" s="35" t="str">
        <f aca="false">IF($A80="","",SUM($D80:$G80))</f>
        <v/>
      </c>
      <c r="I80" s="40"/>
      <c r="J80" s="40"/>
      <c r="K80" s="35" t="str">
        <f aca="false">IF($A80="","",N($C80)+$D80-N($I80)-N($J80))</f>
        <v/>
      </c>
      <c r="L80" s="40"/>
      <c r="M80" s="35" t="str">
        <f aca="false">IF(OR($A80="",$L80=""),"",$L80-$K80)</f>
        <v/>
      </c>
      <c r="N80" s="8" t="str">
        <f aca="false">IF($A80="","",IF($L80="","PENDIENTE",IF(ABS($M80)&lt;1,"OK",IF($M80&lt;0,"FALTANTE","SOBRANTE"))))</f>
        <v/>
      </c>
      <c r="O80" s="6"/>
    </row>
    <row r="81" customFormat="false" ht="15" hidden="false" customHeight="false" outlineLevel="0" collapsed="false">
      <c r="A81" s="44"/>
      <c r="B81" s="6"/>
      <c r="C81" s="40"/>
      <c r="D81" s="35" t="str">
        <f aca="false">IF($A81="","",SUMIFS(VENTAS!$H$6:$H$2005,VENTAS!$A$6:$A$2005,$A81,VENTAS!$M$6:$M$2005,"Efectivo"))</f>
        <v/>
      </c>
      <c r="E81" s="35" t="str">
        <f aca="false">IF($A81="","",SUMIFS(VENTAS!$H$6:$H$2005,VENTAS!$A$6:$A$2005,$A81,VENTAS!$M$6:$M$2005,"SINPE Móvil"))</f>
        <v/>
      </c>
      <c r="F81" s="35" t="str">
        <f aca="false">IF($A81="","",SUMIFS(VENTAS!$H$6:$H$2005,VENTAS!$A$6:$A$2005,$A81,VENTAS!$M$6:$M$2005,"Tarjeta"))</f>
        <v/>
      </c>
      <c r="G81" s="35" t="str">
        <f aca="false">IF($A81="","",SUMIFS(VENTAS!$H$6:$H$2005,VENTAS!$A$6:$A$2005,$A81)-$D81-$E81-$F81)</f>
        <v/>
      </c>
      <c r="H81" s="35" t="str">
        <f aca="false">IF($A81="","",SUM($D81:$G81))</f>
        <v/>
      </c>
      <c r="I81" s="40"/>
      <c r="J81" s="40"/>
      <c r="K81" s="35" t="str">
        <f aca="false">IF($A81="","",N($C81)+$D81-N($I81)-N($J81))</f>
        <v/>
      </c>
      <c r="L81" s="40"/>
      <c r="M81" s="35" t="str">
        <f aca="false">IF(OR($A81="",$L81=""),"",$L81-$K81)</f>
        <v/>
      </c>
      <c r="N81" s="8" t="str">
        <f aca="false">IF($A81="","",IF($L81="","PENDIENTE",IF(ABS($M81)&lt;1,"OK",IF($M81&lt;0,"FALTANTE","SOBRANTE"))))</f>
        <v/>
      </c>
      <c r="O81" s="6"/>
    </row>
    <row r="82" customFormat="false" ht="15" hidden="false" customHeight="false" outlineLevel="0" collapsed="false">
      <c r="A82" s="44"/>
      <c r="B82" s="6"/>
      <c r="C82" s="40"/>
      <c r="D82" s="35" t="str">
        <f aca="false">IF($A82="","",SUMIFS(VENTAS!$H$6:$H$2005,VENTAS!$A$6:$A$2005,$A82,VENTAS!$M$6:$M$2005,"Efectivo"))</f>
        <v/>
      </c>
      <c r="E82" s="35" t="str">
        <f aca="false">IF($A82="","",SUMIFS(VENTAS!$H$6:$H$2005,VENTAS!$A$6:$A$2005,$A82,VENTAS!$M$6:$M$2005,"SINPE Móvil"))</f>
        <v/>
      </c>
      <c r="F82" s="35" t="str">
        <f aca="false">IF($A82="","",SUMIFS(VENTAS!$H$6:$H$2005,VENTAS!$A$6:$A$2005,$A82,VENTAS!$M$6:$M$2005,"Tarjeta"))</f>
        <v/>
      </c>
      <c r="G82" s="35" t="str">
        <f aca="false">IF($A82="","",SUMIFS(VENTAS!$H$6:$H$2005,VENTAS!$A$6:$A$2005,$A82)-$D82-$E82-$F82)</f>
        <v/>
      </c>
      <c r="H82" s="35" t="str">
        <f aca="false">IF($A82="","",SUM($D82:$G82))</f>
        <v/>
      </c>
      <c r="I82" s="40"/>
      <c r="J82" s="40"/>
      <c r="K82" s="35" t="str">
        <f aca="false">IF($A82="","",N($C82)+$D82-N($I82)-N($J82))</f>
        <v/>
      </c>
      <c r="L82" s="40"/>
      <c r="M82" s="35" t="str">
        <f aca="false">IF(OR($A82="",$L82=""),"",$L82-$K82)</f>
        <v/>
      </c>
      <c r="N82" s="8" t="str">
        <f aca="false">IF($A82="","",IF($L82="","PENDIENTE",IF(ABS($M82)&lt;1,"OK",IF($M82&lt;0,"FALTANTE","SOBRANTE"))))</f>
        <v/>
      </c>
      <c r="O82" s="6"/>
    </row>
    <row r="83" customFormat="false" ht="15" hidden="false" customHeight="false" outlineLevel="0" collapsed="false">
      <c r="A83" s="44"/>
      <c r="B83" s="6"/>
      <c r="C83" s="40"/>
      <c r="D83" s="35" t="str">
        <f aca="false">IF($A83="","",SUMIFS(VENTAS!$H$6:$H$2005,VENTAS!$A$6:$A$2005,$A83,VENTAS!$M$6:$M$2005,"Efectivo"))</f>
        <v/>
      </c>
      <c r="E83" s="35" t="str">
        <f aca="false">IF($A83="","",SUMIFS(VENTAS!$H$6:$H$2005,VENTAS!$A$6:$A$2005,$A83,VENTAS!$M$6:$M$2005,"SINPE Móvil"))</f>
        <v/>
      </c>
      <c r="F83" s="35" t="str">
        <f aca="false">IF($A83="","",SUMIFS(VENTAS!$H$6:$H$2005,VENTAS!$A$6:$A$2005,$A83,VENTAS!$M$6:$M$2005,"Tarjeta"))</f>
        <v/>
      </c>
      <c r="G83" s="35" t="str">
        <f aca="false">IF($A83="","",SUMIFS(VENTAS!$H$6:$H$2005,VENTAS!$A$6:$A$2005,$A83)-$D83-$E83-$F83)</f>
        <v/>
      </c>
      <c r="H83" s="35" t="str">
        <f aca="false">IF($A83="","",SUM($D83:$G83))</f>
        <v/>
      </c>
      <c r="I83" s="40"/>
      <c r="J83" s="40"/>
      <c r="K83" s="35" t="str">
        <f aca="false">IF($A83="","",N($C83)+$D83-N($I83)-N($J83))</f>
        <v/>
      </c>
      <c r="L83" s="40"/>
      <c r="M83" s="35" t="str">
        <f aca="false">IF(OR($A83="",$L83=""),"",$L83-$K83)</f>
        <v/>
      </c>
      <c r="N83" s="8" t="str">
        <f aca="false">IF($A83="","",IF($L83="","PENDIENTE",IF(ABS($M83)&lt;1,"OK",IF($M83&lt;0,"FALTANTE","SOBRANTE"))))</f>
        <v/>
      </c>
      <c r="O83" s="6"/>
    </row>
    <row r="84" customFormat="false" ht="15" hidden="false" customHeight="false" outlineLevel="0" collapsed="false">
      <c r="A84" s="44"/>
      <c r="B84" s="6"/>
      <c r="C84" s="40"/>
      <c r="D84" s="35" t="str">
        <f aca="false">IF($A84="","",SUMIFS(VENTAS!$H$6:$H$2005,VENTAS!$A$6:$A$2005,$A84,VENTAS!$M$6:$M$2005,"Efectivo"))</f>
        <v/>
      </c>
      <c r="E84" s="35" t="str">
        <f aca="false">IF($A84="","",SUMIFS(VENTAS!$H$6:$H$2005,VENTAS!$A$6:$A$2005,$A84,VENTAS!$M$6:$M$2005,"SINPE Móvil"))</f>
        <v/>
      </c>
      <c r="F84" s="35" t="str">
        <f aca="false">IF($A84="","",SUMIFS(VENTAS!$H$6:$H$2005,VENTAS!$A$6:$A$2005,$A84,VENTAS!$M$6:$M$2005,"Tarjeta"))</f>
        <v/>
      </c>
      <c r="G84" s="35" t="str">
        <f aca="false">IF($A84="","",SUMIFS(VENTAS!$H$6:$H$2005,VENTAS!$A$6:$A$2005,$A84)-$D84-$E84-$F84)</f>
        <v/>
      </c>
      <c r="H84" s="35" t="str">
        <f aca="false">IF($A84="","",SUM($D84:$G84))</f>
        <v/>
      </c>
      <c r="I84" s="40"/>
      <c r="J84" s="40"/>
      <c r="K84" s="35" t="str">
        <f aca="false">IF($A84="","",N($C84)+$D84-N($I84)-N($J84))</f>
        <v/>
      </c>
      <c r="L84" s="40"/>
      <c r="M84" s="35" t="str">
        <f aca="false">IF(OR($A84="",$L84=""),"",$L84-$K84)</f>
        <v/>
      </c>
      <c r="N84" s="8" t="str">
        <f aca="false">IF($A84="","",IF($L84="","PENDIENTE",IF(ABS($M84)&lt;1,"OK",IF($M84&lt;0,"FALTANTE","SOBRANTE"))))</f>
        <v/>
      </c>
      <c r="O84" s="6"/>
    </row>
    <row r="85" customFormat="false" ht="15" hidden="false" customHeight="false" outlineLevel="0" collapsed="false">
      <c r="A85" s="44"/>
      <c r="B85" s="6"/>
      <c r="C85" s="40"/>
      <c r="D85" s="35" t="str">
        <f aca="false">IF($A85="","",SUMIFS(VENTAS!$H$6:$H$2005,VENTAS!$A$6:$A$2005,$A85,VENTAS!$M$6:$M$2005,"Efectivo"))</f>
        <v/>
      </c>
      <c r="E85" s="35" t="str">
        <f aca="false">IF($A85="","",SUMIFS(VENTAS!$H$6:$H$2005,VENTAS!$A$6:$A$2005,$A85,VENTAS!$M$6:$M$2005,"SINPE Móvil"))</f>
        <v/>
      </c>
      <c r="F85" s="35" t="str">
        <f aca="false">IF($A85="","",SUMIFS(VENTAS!$H$6:$H$2005,VENTAS!$A$6:$A$2005,$A85,VENTAS!$M$6:$M$2005,"Tarjeta"))</f>
        <v/>
      </c>
      <c r="G85" s="35" t="str">
        <f aca="false">IF($A85="","",SUMIFS(VENTAS!$H$6:$H$2005,VENTAS!$A$6:$A$2005,$A85)-$D85-$E85-$F85)</f>
        <v/>
      </c>
      <c r="H85" s="35" t="str">
        <f aca="false">IF($A85="","",SUM($D85:$G85))</f>
        <v/>
      </c>
      <c r="I85" s="40"/>
      <c r="J85" s="40"/>
      <c r="K85" s="35" t="str">
        <f aca="false">IF($A85="","",N($C85)+$D85-N($I85)-N($J85))</f>
        <v/>
      </c>
      <c r="L85" s="40"/>
      <c r="M85" s="35" t="str">
        <f aca="false">IF(OR($A85="",$L85=""),"",$L85-$K85)</f>
        <v/>
      </c>
      <c r="N85" s="8" t="str">
        <f aca="false">IF($A85="","",IF($L85="","PENDIENTE",IF(ABS($M85)&lt;1,"OK",IF($M85&lt;0,"FALTANTE","SOBRANTE"))))</f>
        <v/>
      </c>
      <c r="O85" s="6"/>
    </row>
    <row r="86" customFormat="false" ht="15" hidden="false" customHeight="false" outlineLevel="0" collapsed="false">
      <c r="A86" s="44"/>
      <c r="B86" s="6"/>
      <c r="C86" s="40"/>
      <c r="D86" s="35" t="str">
        <f aca="false">IF($A86="","",SUMIFS(VENTAS!$H$6:$H$2005,VENTAS!$A$6:$A$2005,$A86,VENTAS!$M$6:$M$2005,"Efectivo"))</f>
        <v/>
      </c>
      <c r="E86" s="35" t="str">
        <f aca="false">IF($A86="","",SUMIFS(VENTAS!$H$6:$H$2005,VENTAS!$A$6:$A$2005,$A86,VENTAS!$M$6:$M$2005,"SINPE Móvil"))</f>
        <v/>
      </c>
      <c r="F86" s="35" t="str">
        <f aca="false">IF($A86="","",SUMIFS(VENTAS!$H$6:$H$2005,VENTAS!$A$6:$A$2005,$A86,VENTAS!$M$6:$M$2005,"Tarjeta"))</f>
        <v/>
      </c>
      <c r="G86" s="35" t="str">
        <f aca="false">IF($A86="","",SUMIFS(VENTAS!$H$6:$H$2005,VENTAS!$A$6:$A$2005,$A86)-$D86-$E86-$F86)</f>
        <v/>
      </c>
      <c r="H86" s="35" t="str">
        <f aca="false">IF($A86="","",SUM($D86:$G86))</f>
        <v/>
      </c>
      <c r="I86" s="40"/>
      <c r="J86" s="40"/>
      <c r="K86" s="35" t="str">
        <f aca="false">IF($A86="","",N($C86)+$D86-N($I86)-N($J86))</f>
        <v/>
      </c>
      <c r="L86" s="40"/>
      <c r="M86" s="35" t="str">
        <f aca="false">IF(OR($A86="",$L86=""),"",$L86-$K86)</f>
        <v/>
      </c>
      <c r="N86" s="8" t="str">
        <f aca="false">IF($A86="","",IF($L86="","PENDIENTE",IF(ABS($M86)&lt;1,"OK",IF($M86&lt;0,"FALTANTE","SOBRANTE"))))</f>
        <v/>
      </c>
      <c r="O86" s="6"/>
    </row>
    <row r="87" customFormat="false" ht="15" hidden="false" customHeight="false" outlineLevel="0" collapsed="false">
      <c r="A87" s="44"/>
      <c r="B87" s="6"/>
      <c r="C87" s="40"/>
      <c r="D87" s="35" t="str">
        <f aca="false">IF($A87="","",SUMIFS(VENTAS!$H$6:$H$2005,VENTAS!$A$6:$A$2005,$A87,VENTAS!$M$6:$M$2005,"Efectivo"))</f>
        <v/>
      </c>
      <c r="E87" s="35" t="str">
        <f aca="false">IF($A87="","",SUMIFS(VENTAS!$H$6:$H$2005,VENTAS!$A$6:$A$2005,$A87,VENTAS!$M$6:$M$2005,"SINPE Móvil"))</f>
        <v/>
      </c>
      <c r="F87" s="35" t="str">
        <f aca="false">IF($A87="","",SUMIFS(VENTAS!$H$6:$H$2005,VENTAS!$A$6:$A$2005,$A87,VENTAS!$M$6:$M$2005,"Tarjeta"))</f>
        <v/>
      </c>
      <c r="G87" s="35" t="str">
        <f aca="false">IF($A87="","",SUMIFS(VENTAS!$H$6:$H$2005,VENTAS!$A$6:$A$2005,$A87)-$D87-$E87-$F87)</f>
        <v/>
      </c>
      <c r="H87" s="35" t="str">
        <f aca="false">IF($A87="","",SUM($D87:$G87))</f>
        <v/>
      </c>
      <c r="I87" s="40"/>
      <c r="J87" s="40"/>
      <c r="K87" s="35" t="str">
        <f aca="false">IF($A87="","",N($C87)+$D87-N($I87)-N($J87))</f>
        <v/>
      </c>
      <c r="L87" s="40"/>
      <c r="M87" s="35" t="str">
        <f aca="false">IF(OR($A87="",$L87=""),"",$L87-$K87)</f>
        <v/>
      </c>
      <c r="N87" s="8" t="str">
        <f aca="false">IF($A87="","",IF($L87="","PENDIENTE",IF(ABS($M87)&lt;1,"OK",IF($M87&lt;0,"FALTANTE","SOBRANTE"))))</f>
        <v/>
      </c>
      <c r="O87" s="6"/>
    </row>
    <row r="88" customFormat="false" ht="15" hidden="false" customHeight="false" outlineLevel="0" collapsed="false">
      <c r="A88" s="44"/>
      <c r="B88" s="6"/>
      <c r="C88" s="40"/>
      <c r="D88" s="35" t="str">
        <f aca="false">IF($A88="","",SUMIFS(VENTAS!$H$6:$H$2005,VENTAS!$A$6:$A$2005,$A88,VENTAS!$M$6:$M$2005,"Efectivo"))</f>
        <v/>
      </c>
      <c r="E88" s="35" t="str">
        <f aca="false">IF($A88="","",SUMIFS(VENTAS!$H$6:$H$2005,VENTAS!$A$6:$A$2005,$A88,VENTAS!$M$6:$M$2005,"SINPE Móvil"))</f>
        <v/>
      </c>
      <c r="F88" s="35" t="str">
        <f aca="false">IF($A88="","",SUMIFS(VENTAS!$H$6:$H$2005,VENTAS!$A$6:$A$2005,$A88,VENTAS!$M$6:$M$2005,"Tarjeta"))</f>
        <v/>
      </c>
      <c r="G88" s="35" t="str">
        <f aca="false">IF($A88="","",SUMIFS(VENTAS!$H$6:$H$2005,VENTAS!$A$6:$A$2005,$A88)-$D88-$E88-$F88)</f>
        <v/>
      </c>
      <c r="H88" s="35" t="str">
        <f aca="false">IF($A88="","",SUM($D88:$G88))</f>
        <v/>
      </c>
      <c r="I88" s="40"/>
      <c r="J88" s="40"/>
      <c r="K88" s="35" t="str">
        <f aca="false">IF($A88="","",N($C88)+$D88-N($I88)-N($J88))</f>
        <v/>
      </c>
      <c r="L88" s="40"/>
      <c r="M88" s="35" t="str">
        <f aca="false">IF(OR($A88="",$L88=""),"",$L88-$K88)</f>
        <v/>
      </c>
      <c r="N88" s="8" t="str">
        <f aca="false">IF($A88="","",IF($L88="","PENDIENTE",IF(ABS($M88)&lt;1,"OK",IF($M88&lt;0,"FALTANTE","SOBRANTE"))))</f>
        <v/>
      </c>
      <c r="O88" s="6"/>
    </row>
    <row r="89" customFormat="false" ht="15" hidden="false" customHeight="false" outlineLevel="0" collapsed="false">
      <c r="A89" s="44"/>
      <c r="B89" s="6"/>
      <c r="C89" s="40"/>
      <c r="D89" s="35" t="str">
        <f aca="false">IF($A89="","",SUMIFS(VENTAS!$H$6:$H$2005,VENTAS!$A$6:$A$2005,$A89,VENTAS!$M$6:$M$2005,"Efectivo"))</f>
        <v/>
      </c>
      <c r="E89" s="35" t="str">
        <f aca="false">IF($A89="","",SUMIFS(VENTAS!$H$6:$H$2005,VENTAS!$A$6:$A$2005,$A89,VENTAS!$M$6:$M$2005,"SINPE Móvil"))</f>
        <v/>
      </c>
      <c r="F89" s="35" t="str">
        <f aca="false">IF($A89="","",SUMIFS(VENTAS!$H$6:$H$2005,VENTAS!$A$6:$A$2005,$A89,VENTAS!$M$6:$M$2005,"Tarjeta"))</f>
        <v/>
      </c>
      <c r="G89" s="35" t="str">
        <f aca="false">IF($A89="","",SUMIFS(VENTAS!$H$6:$H$2005,VENTAS!$A$6:$A$2005,$A89)-$D89-$E89-$F89)</f>
        <v/>
      </c>
      <c r="H89" s="35" t="str">
        <f aca="false">IF($A89="","",SUM($D89:$G89))</f>
        <v/>
      </c>
      <c r="I89" s="40"/>
      <c r="J89" s="40"/>
      <c r="K89" s="35" t="str">
        <f aca="false">IF($A89="","",N($C89)+$D89-N($I89)-N($J89))</f>
        <v/>
      </c>
      <c r="L89" s="40"/>
      <c r="M89" s="35" t="str">
        <f aca="false">IF(OR($A89="",$L89=""),"",$L89-$K89)</f>
        <v/>
      </c>
      <c r="N89" s="8" t="str">
        <f aca="false">IF($A89="","",IF($L89="","PENDIENTE",IF(ABS($M89)&lt;1,"OK",IF($M89&lt;0,"FALTANTE","SOBRANTE"))))</f>
        <v/>
      </c>
      <c r="O89" s="6"/>
    </row>
    <row r="90" customFormat="false" ht="15" hidden="false" customHeight="false" outlineLevel="0" collapsed="false">
      <c r="A90" s="44"/>
      <c r="B90" s="6"/>
      <c r="C90" s="40"/>
      <c r="D90" s="35" t="str">
        <f aca="false">IF($A90="","",SUMIFS(VENTAS!$H$6:$H$2005,VENTAS!$A$6:$A$2005,$A90,VENTAS!$M$6:$M$2005,"Efectivo"))</f>
        <v/>
      </c>
      <c r="E90" s="35" t="str">
        <f aca="false">IF($A90="","",SUMIFS(VENTAS!$H$6:$H$2005,VENTAS!$A$6:$A$2005,$A90,VENTAS!$M$6:$M$2005,"SINPE Móvil"))</f>
        <v/>
      </c>
      <c r="F90" s="35" t="str">
        <f aca="false">IF($A90="","",SUMIFS(VENTAS!$H$6:$H$2005,VENTAS!$A$6:$A$2005,$A90,VENTAS!$M$6:$M$2005,"Tarjeta"))</f>
        <v/>
      </c>
      <c r="G90" s="35" t="str">
        <f aca="false">IF($A90="","",SUMIFS(VENTAS!$H$6:$H$2005,VENTAS!$A$6:$A$2005,$A90)-$D90-$E90-$F90)</f>
        <v/>
      </c>
      <c r="H90" s="35" t="str">
        <f aca="false">IF($A90="","",SUM($D90:$G90))</f>
        <v/>
      </c>
      <c r="I90" s="40"/>
      <c r="J90" s="40"/>
      <c r="K90" s="35" t="str">
        <f aca="false">IF($A90="","",N($C90)+$D90-N($I90)-N($J90))</f>
        <v/>
      </c>
      <c r="L90" s="40"/>
      <c r="M90" s="35" t="str">
        <f aca="false">IF(OR($A90="",$L90=""),"",$L90-$K90)</f>
        <v/>
      </c>
      <c r="N90" s="8" t="str">
        <f aca="false">IF($A90="","",IF($L90="","PENDIENTE",IF(ABS($M90)&lt;1,"OK",IF($M90&lt;0,"FALTANTE","SOBRANTE"))))</f>
        <v/>
      </c>
      <c r="O90" s="6"/>
    </row>
    <row r="91" customFormat="false" ht="15" hidden="false" customHeight="false" outlineLevel="0" collapsed="false">
      <c r="A91" s="44"/>
      <c r="B91" s="6"/>
      <c r="C91" s="40"/>
      <c r="D91" s="35" t="str">
        <f aca="false">IF($A91="","",SUMIFS(VENTAS!$H$6:$H$2005,VENTAS!$A$6:$A$2005,$A91,VENTAS!$M$6:$M$2005,"Efectivo"))</f>
        <v/>
      </c>
      <c r="E91" s="35" t="str">
        <f aca="false">IF($A91="","",SUMIFS(VENTAS!$H$6:$H$2005,VENTAS!$A$6:$A$2005,$A91,VENTAS!$M$6:$M$2005,"SINPE Móvil"))</f>
        <v/>
      </c>
      <c r="F91" s="35" t="str">
        <f aca="false">IF($A91="","",SUMIFS(VENTAS!$H$6:$H$2005,VENTAS!$A$6:$A$2005,$A91,VENTAS!$M$6:$M$2005,"Tarjeta"))</f>
        <v/>
      </c>
      <c r="G91" s="35" t="str">
        <f aca="false">IF($A91="","",SUMIFS(VENTAS!$H$6:$H$2005,VENTAS!$A$6:$A$2005,$A91)-$D91-$E91-$F91)</f>
        <v/>
      </c>
      <c r="H91" s="35" t="str">
        <f aca="false">IF($A91="","",SUM($D91:$G91))</f>
        <v/>
      </c>
      <c r="I91" s="40"/>
      <c r="J91" s="40"/>
      <c r="K91" s="35" t="str">
        <f aca="false">IF($A91="","",N($C91)+$D91-N($I91)-N($J91))</f>
        <v/>
      </c>
      <c r="L91" s="40"/>
      <c r="M91" s="35" t="str">
        <f aca="false">IF(OR($A91="",$L91=""),"",$L91-$K91)</f>
        <v/>
      </c>
      <c r="N91" s="8" t="str">
        <f aca="false">IF($A91="","",IF($L91="","PENDIENTE",IF(ABS($M91)&lt;1,"OK",IF($M91&lt;0,"FALTANTE","SOBRANTE"))))</f>
        <v/>
      </c>
      <c r="O91" s="6"/>
    </row>
    <row r="92" customFormat="false" ht="15" hidden="false" customHeight="false" outlineLevel="0" collapsed="false">
      <c r="A92" s="44"/>
      <c r="B92" s="6"/>
      <c r="C92" s="40"/>
      <c r="D92" s="35" t="str">
        <f aca="false">IF($A92="","",SUMIFS(VENTAS!$H$6:$H$2005,VENTAS!$A$6:$A$2005,$A92,VENTAS!$M$6:$M$2005,"Efectivo"))</f>
        <v/>
      </c>
      <c r="E92" s="35" t="str">
        <f aca="false">IF($A92="","",SUMIFS(VENTAS!$H$6:$H$2005,VENTAS!$A$6:$A$2005,$A92,VENTAS!$M$6:$M$2005,"SINPE Móvil"))</f>
        <v/>
      </c>
      <c r="F92" s="35" t="str">
        <f aca="false">IF($A92="","",SUMIFS(VENTAS!$H$6:$H$2005,VENTAS!$A$6:$A$2005,$A92,VENTAS!$M$6:$M$2005,"Tarjeta"))</f>
        <v/>
      </c>
      <c r="G92" s="35" t="str">
        <f aca="false">IF($A92="","",SUMIFS(VENTAS!$H$6:$H$2005,VENTAS!$A$6:$A$2005,$A92)-$D92-$E92-$F92)</f>
        <v/>
      </c>
      <c r="H92" s="35" t="str">
        <f aca="false">IF($A92="","",SUM($D92:$G92))</f>
        <v/>
      </c>
      <c r="I92" s="40"/>
      <c r="J92" s="40"/>
      <c r="K92" s="35" t="str">
        <f aca="false">IF($A92="","",N($C92)+$D92-N($I92)-N($J92))</f>
        <v/>
      </c>
      <c r="L92" s="40"/>
      <c r="M92" s="35" t="str">
        <f aca="false">IF(OR($A92="",$L92=""),"",$L92-$K92)</f>
        <v/>
      </c>
      <c r="N92" s="8" t="str">
        <f aca="false">IF($A92="","",IF($L92="","PENDIENTE",IF(ABS($M92)&lt;1,"OK",IF($M92&lt;0,"FALTANTE","SOBRANTE"))))</f>
        <v/>
      </c>
      <c r="O92" s="6"/>
    </row>
    <row r="93" customFormat="false" ht="15" hidden="false" customHeight="false" outlineLevel="0" collapsed="false">
      <c r="A93" s="44"/>
      <c r="B93" s="6"/>
      <c r="C93" s="40"/>
      <c r="D93" s="35" t="str">
        <f aca="false">IF($A93="","",SUMIFS(VENTAS!$H$6:$H$2005,VENTAS!$A$6:$A$2005,$A93,VENTAS!$M$6:$M$2005,"Efectivo"))</f>
        <v/>
      </c>
      <c r="E93" s="35" t="str">
        <f aca="false">IF($A93="","",SUMIFS(VENTAS!$H$6:$H$2005,VENTAS!$A$6:$A$2005,$A93,VENTAS!$M$6:$M$2005,"SINPE Móvil"))</f>
        <v/>
      </c>
      <c r="F93" s="35" t="str">
        <f aca="false">IF($A93="","",SUMIFS(VENTAS!$H$6:$H$2005,VENTAS!$A$6:$A$2005,$A93,VENTAS!$M$6:$M$2005,"Tarjeta"))</f>
        <v/>
      </c>
      <c r="G93" s="35" t="str">
        <f aca="false">IF($A93="","",SUMIFS(VENTAS!$H$6:$H$2005,VENTAS!$A$6:$A$2005,$A93)-$D93-$E93-$F93)</f>
        <v/>
      </c>
      <c r="H93" s="35" t="str">
        <f aca="false">IF($A93="","",SUM($D93:$G93))</f>
        <v/>
      </c>
      <c r="I93" s="40"/>
      <c r="J93" s="40"/>
      <c r="K93" s="35" t="str">
        <f aca="false">IF($A93="","",N($C93)+$D93-N($I93)-N($J93))</f>
        <v/>
      </c>
      <c r="L93" s="40"/>
      <c r="M93" s="35" t="str">
        <f aca="false">IF(OR($A93="",$L93=""),"",$L93-$K93)</f>
        <v/>
      </c>
      <c r="N93" s="8" t="str">
        <f aca="false">IF($A93="","",IF($L93="","PENDIENTE",IF(ABS($M93)&lt;1,"OK",IF($M93&lt;0,"FALTANTE","SOBRANTE"))))</f>
        <v/>
      </c>
      <c r="O93" s="6"/>
    </row>
    <row r="94" customFormat="false" ht="15" hidden="false" customHeight="false" outlineLevel="0" collapsed="false">
      <c r="A94" s="44"/>
      <c r="B94" s="6"/>
      <c r="C94" s="40"/>
      <c r="D94" s="35" t="str">
        <f aca="false">IF($A94="","",SUMIFS(VENTAS!$H$6:$H$2005,VENTAS!$A$6:$A$2005,$A94,VENTAS!$M$6:$M$2005,"Efectivo"))</f>
        <v/>
      </c>
      <c r="E94" s="35" t="str">
        <f aca="false">IF($A94="","",SUMIFS(VENTAS!$H$6:$H$2005,VENTAS!$A$6:$A$2005,$A94,VENTAS!$M$6:$M$2005,"SINPE Móvil"))</f>
        <v/>
      </c>
      <c r="F94" s="35" t="str">
        <f aca="false">IF($A94="","",SUMIFS(VENTAS!$H$6:$H$2005,VENTAS!$A$6:$A$2005,$A94,VENTAS!$M$6:$M$2005,"Tarjeta"))</f>
        <v/>
      </c>
      <c r="G94" s="35" t="str">
        <f aca="false">IF($A94="","",SUMIFS(VENTAS!$H$6:$H$2005,VENTAS!$A$6:$A$2005,$A94)-$D94-$E94-$F94)</f>
        <v/>
      </c>
      <c r="H94" s="35" t="str">
        <f aca="false">IF($A94="","",SUM($D94:$G94))</f>
        <v/>
      </c>
      <c r="I94" s="40"/>
      <c r="J94" s="40"/>
      <c r="K94" s="35" t="str">
        <f aca="false">IF($A94="","",N($C94)+$D94-N($I94)-N($J94))</f>
        <v/>
      </c>
      <c r="L94" s="40"/>
      <c r="M94" s="35" t="str">
        <f aca="false">IF(OR($A94="",$L94=""),"",$L94-$K94)</f>
        <v/>
      </c>
      <c r="N94" s="8" t="str">
        <f aca="false">IF($A94="","",IF($L94="","PENDIENTE",IF(ABS($M94)&lt;1,"OK",IF($M94&lt;0,"FALTANTE","SOBRANTE"))))</f>
        <v/>
      </c>
      <c r="O94" s="6"/>
    </row>
    <row r="95" customFormat="false" ht="15" hidden="false" customHeight="false" outlineLevel="0" collapsed="false">
      <c r="A95" s="44"/>
      <c r="B95" s="6"/>
      <c r="C95" s="40"/>
      <c r="D95" s="35" t="str">
        <f aca="false">IF($A95="","",SUMIFS(VENTAS!$H$6:$H$2005,VENTAS!$A$6:$A$2005,$A95,VENTAS!$M$6:$M$2005,"Efectivo"))</f>
        <v/>
      </c>
      <c r="E95" s="35" t="str">
        <f aca="false">IF($A95="","",SUMIFS(VENTAS!$H$6:$H$2005,VENTAS!$A$6:$A$2005,$A95,VENTAS!$M$6:$M$2005,"SINPE Móvil"))</f>
        <v/>
      </c>
      <c r="F95" s="35" t="str">
        <f aca="false">IF($A95="","",SUMIFS(VENTAS!$H$6:$H$2005,VENTAS!$A$6:$A$2005,$A95,VENTAS!$M$6:$M$2005,"Tarjeta"))</f>
        <v/>
      </c>
      <c r="G95" s="35" t="str">
        <f aca="false">IF($A95="","",SUMIFS(VENTAS!$H$6:$H$2005,VENTAS!$A$6:$A$2005,$A95)-$D95-$E95-$F95)</f>
        <v/>
      </c>
      <c r="H95" s="35" t="str">
        <f aca="false">IF($A95="","",SUM($D95:$G95))</f>
        <v/>
      </c>
      <c r="I95" s="40"/>
      <c r="J95" s="40"/>
      <c r="K95" s="35" t="str">
        <f aca="false">IF($A95="","",N($C95)+$D95-N($I95)-N($J95))</f>
        <v/>
      </c>
      <c r="L95" s="40"/>
      <c r="M95" s="35" t="str">
        <f aca="false">IF(OR($A95="",$L95=""),"",$L95-$K95)</f>
        <v/>
      </c>
      <c r="N95" s="8" t="str">
        <f aca="false">IF($A95="","",IF($L95="","PENDIENTE",IF(ABS($M95)&lt;1,"OK",IF($M95&lt;0,"FALTANTE","SOBRANTE"))))</f>
        <v/>
      </c>
      <c r="O95" s="6"/>
    </row>
    <row r="96" customFormat="false" ht="15" hidden="false" customHeight="false" outlineLevel="0" collapsed="false">
      <c r="A96" s="44"/>
      <c r="B96" s="6"/>
      <c r="C96" s="40"/>
      <c r="D96" s="35" t="str">
        <f aca="false">IF($A96="","",SUMIFS(VENTAS!$H$6:$H$2005,VENTAS!$A$6:$A$2005,$A96,VENTAS!$M$6:$M$2005,"Efectivo"))</f>
        <v/>
      </c>
      <c r="E96" s="35" t="str">
        <f aca="false">IF($A96="","",SUMIFS(VENTAS!$H$6:$H$2005,VENTAS!$A$6:$A$2005,$A96,VENTAS!$M$6:$M$2005,"SINPE Móvil"))</f>
        <v/>
      </c>
      <c r="F96" s="35" t="str">
        <f aca="false">IF($A96="","",SUMIFS(VENTAS!$H$6:$H$2005,VENTAS!$A$6:$A$2005,$A96,VENTAS!$M$6:$M$2005,"Tarjeta"))</f>
        <v/>
      </c>
      <c r="G96" s="35" t="str">
        <f aca="false">IF($A96="","",SUMIFS(VENTAS!$H$6:$H$2005,VENTAS!$A$6:$A$2005,$A96)-$D96-$E96-$F96)</f>
        <v/>
      </c>
      <c r="H96" s="35" t="str">
        <f aca="false">IF($A96="","",SUM($D96:$G96))</f>
        <v/>
      </c>
      <c r="I96" s="40"/>
      <c r="J96" s="40"/>
      <c r="K96" s="35" t="str">
        <f aca="false">IF($A96="","",N($C96)+$D96-N($I96)-N($J96))</f>
        <v/>
      </c>
      <c r="L96" s="40"/>
      <c r="M96" s="35" t="str">
        <f aca="false">IF(OR($A96="",$L96=""),"",$L96-$K96)</f>
        <v/>
      </c>
      <c r="N96" s="8" t="str">
        <f aca="false">IF($A96="","",IF($L96="","PENDIENTE",IF(ABS($M96)&lt;1,"OK",IF($M96&lt;0,"FALTANTE","SOBRANTE"))))</f>
        <v/>
      </c>
      <c r="O96" s="6"/>
    </row>
    <row r="97" customFormat="false" ht="15" hidden="false" customHeight="false" outlineLevel="0" collapsed="false">
      <c r="A97" s="44"/>
      <c r="B97" s="6"/>
      <c r="C97" s="40"/>
      <c r="D97" s="35" t="str">
        <f aca="false">IF($A97="","",SUMIFS(VENTAS!$H$6:$H$2005,VENTAS!$A$6:$A$2005,$A97,VENTAS!$M$6:$M$2005,"Efectivo"))</f>
        <v/>
      </c>
      <c r="E97" s="35" t="str">
        <f aca="false">IF($A97="","",SUMIFS(VENTAS!$H$6:$H$2005,VENTAS!$A$6:$A$2005,$A97,VENTAS!$M$6:$M$2005,"SINPE Móvil"))</f>
        <v/>
      </c>
      <c r="F97" s="35" t="str">
        <f aca="false">IF($A97="","",SUMIFS(VENTAS!$H$6:$H$2005,VENTAS!$A$6:$A$2005,$A97,VENTAS!$M$6:$M$2005,"Tarjeta"))</f>
        <v/>
      </c>
      <c r="G97" s="35" t="str">
        <f aca="false">IF($A97="","",SUMIFS(VENTAS!$H$6:$H$2005,VENTAS!$A$6:$A$2005,$A97)-$D97-$E97-$F97)</f>
        <v/>
      </c>
      <c r="H97" s="35" t="str">
        <f aca="false">IF($A97="","",SUM($D97:$G97))</f>
        <v/>
      </c>
      <c r="I97" s="40"/>
      <c r="J97" s="40"/>
      <c r="K97" s="35" t="str">
        <f aca="false">IF($A97="","",N($C97)+$D97-N($I97)-N($J97))</f>
        <v/>
      </c>
      <c r="L97" s="40"/>
      <c r="M97" s="35" t="str">
        <f aca="false">IF(OR($A97="",$L97=""),"",$L97-$K97)</f>
        <v/>
      </c>
      <c r="N97" s="8" t="str">
        <f aca="false">IF($A97="","",IF($L97="","PENDIENTE",IF(ABS($M97)&lt;1,"OK",IF($M97&lt;0,"FALTANTE","SOBRANTE"))))</f>
        <v/>
      </c>
      <c r="O97" s="6"/>
    </row>
    <row r="98" customFormat="false" ht="15" hidden="false" customHeight="false" outlineLevel="0" collapsed="false">
      <c r="A98" s="44"/>
      <c r="B98" s="6"/>
      <c r="C98" s="40"/>
      <c r="D98" s="35" t="str">
        <f aca="false">IF($A98="","",SUMIFS(VENTAS!$H$6:$H$2005,VENTAS!$A$6:$A$2005,$A98,VENTAS!$M$6:$M$2005,"Efectivo"))</f>
        <v/>
      </c>
      <c r="E98" s="35" t="str">
        <f aca="false">IF($A98="","",SUMIFS(VENTAS!$H$6:$H$2005,VENTAS!$A$6:$A$2005,$A98,VENTAS!$M$6:$M$2005,"SINPE Móvil"))</f>
        <v/>
      </c>
      <c r="F98" s="35" t="str">
        <f aca="false">IF($A98="","",SUMIFS(VENTAS!$H$6:$H$2005,VENTAS!$A$6:$A$2005,$A98,VENTAS!$M$6:$M$2005,"Tarjeta"))</f>
        <v/>
      </c>
      <c r="G98" s="35" t="str">
        <f aca="false">IF($A98="","",SUMIFS(VENTAS!$H$6:$H$2005,VENTAS!$A$6:$A$2005,$A98)-$D98-$E98-$F98)</f>
        <v/>
      </c>
      <c r="H98" s="35" t="str">
        <f aca="false">IF($A98="","",SUM($D98:$G98))</f>
        <v/>
      </c>
      <c r="I98" s="40"/>
      <c r="J98" s="40"/>
      <c r="K98" s="35" t="str">
        <f aca="false">IF($A98="","",N($C98)+$D98-N($I98)-N($J98))</f>
        <v/>
      </c>
      <c r="L98" s="40"/>
      <c r="M98" s="35" t="str">
        <f aca="false">IF(OR($A98="",$L98=""),"",$L98-$K98)</f>
        <v/>
      </c>
      <c r="N98" s="8" t="str">
        <f aca="false">IF($A98="","",IF($L98="","PENDIENTE",IF(ABS($M98)&lt;1,"OK",IF($M98&lt;0,"FALTANTE","SOBRANTE"))))</f>
        <v/>
      </c>
      <c r="O98" s="6"/>
    </row>
    <row r="99" customFormat="false" ht="15" hidden="false" customHeight="false" outlineLevel="0" collapsed="false">
      <c r="A99" s="44"/>
      <c r="B99" s="6"/>
      <c r="C99" s="40"/>
      <c r="D99" s="35" t="str">
        <f aca="false">IF($A99="","",SUMIFS(VENTAS!$H$6:$H$2005,VENTAS!$A$6:$A$2005,$A99,VENTAS!$M$6:$M$2005,"Efectivo"))</f>
        <v/>
      </c>
      <c r="E99" s="35" t="str">
        <f aca="false">IF($A99="","",SUMIFS(VENTAS!$H$6:$H$2005,VENTAS!$A$6:$A$2005,$A99,VENTAS!$M$6:$M$2005,"SINPE Móvil"))</f>
        <v/>
      </c>
      <c r="F99" s="35" t="str">
        <f aca="false">IF($A99="","",SUMIFS(VENTAS!$H$6:$H$2005,VENTAS!$A$6:$A$2005,$A99,VENTAS!$M$6:$M$2005,"Tarjeta"))</f>
        <v/>
      </c>
      <c r="G99" s="35" t="str">
        <f aca="false">IF($A99="","",SUMIFS(VENTAS!$H$6:$H$2005,VENTAS!$A$6:$A$2005,$A99)-$D99-$E99-$F99)</f>
        <v/>
      </c>
      <c r="H99" s="35" t="str">
        <f aca="false">IF($A99="","",SUM($D99:$G99))</f>
        <v/>
      </c>
      <c r="I99" s="40"/>
      <c r="J99" s="40"/>
      <c r="K99" s="35" t="str">
        <f aca="false">IF($A99="","",N($C99)+$D99-N($I99)-N($J99))</f>
        <v/>
      </c>
      <c r="L99" s="40"/>
      <c r="M99" s="35" t="str">
        <f aca="false">IF(OR($A99="",$L99=""),"",$L99-$K99)</f>
        <v/>
      </c>
      <c r="N99" s="8" t="str">
        <f aca="false">IF($A99="","",IF($L99="","PENDIENTE",IF(ABS($M99)&lt;1,"OK",IF($M99&lt;0,"FALTANTE","SOBRANTE"))))</f>
        <v/>
      </c>
      <c r="O99" s="6"/>
    </row>
    <row r="100" customFormat="false" ht="15" hidden="false" customHeight="false" outlineLevel="0" collapsed="false">
      <c r="A100" s="44"/>
      <c r="B100" s="6"/>
      <c r="C100" s="40"/>
      <c r="D100" s="35" t="str">
        <f aca="false">IF($A100="","",SUMIFS(VENTAS!$H$6:$H$2005,VENTAS!$A$6:$A$2005,$A100,VENTAS!$M$6:$M$2005,"Efectivo"))</f>
        <v/>
      </c>
      <c r="E100" s="35" t="str">
        <f aca="false">IF($A100="","",SUMIFS(VENTAS!$H$6:$H$2005,VENTAS!$A$6:$A$2005,$A100,VENTAS!$M$6:$M$2005,"SINPE Móvil"))</f>
        <v/>
      </c>
      <c r="F100" s="35" t="str">
        <f aca="false">IF($A100="","",SUMIFS(VENTAS!$H$6:$H$2005,VENTAS!$A$6:$A$2005,$A100,VENTAS!$M$6:$M$2005,"Tarjeta"))</f>
        <v/>
      </c>
      <c r="G100" s="35" t="str">
        <f aca="false">IF($A100="","",SUMIFS(VENTAS!$H$6:$H$2005,VENTAS!$A$6:$A$2005,$A100)-$D100-$E100-$F100)</f>
        <v/>
      </c>
      <c r="H100" s="35" t="str">
        <f aca="false">IF($A100="","",SUM($D100:$G100))</f>
        <v/>
      </c>
      <c r="I100" s="40"/>
      <c r="J100" s="40"/>
      <c r="K100" s="35" t="str">
        <f aca="false">IF($A100="","",N($C100)+$D100-N($I100)-N($J100))</f>
        <v/>
      </c>
      <c r="L100" s="40"/>
      <c r="M100" s="35" t="str">
        <f aca="false">IF(OR($A100="",$L100=""),"",$L100-$K100)</f>
        <v/>
      </c>
      <c r="N100" s="8" t="str">
        <f aca="false">IF($A100="","",IF($L100="","PENDIENTE",IF(ABS($M100)&lt;1,"OK",IF($M100&lt;0,"FALTANTE","SOBRANTE"))))</f>
        <v/>
      </c>
      <c r="O100" s="6"/>
    </row>
    <row r="101" customFormat="false" ht="15" hidden="false" customHeight="false" outlineLevel="0" collapsed="false">
      <c r="A101" s="44"/>
      <c r="B101" s="6"/>
      <c r="C101" s="40"/>
      <c r="D101" s="35" t="str">
        <f aca="false">IF($A101="","",SUMIFS(VENTAS!$H$6:$H$2005,VENTAS!$A$6:$A$2005,$A101,VENTAS!$M$6:$M$2005,"Efectivo"))</f>
        <v/>
      </c>
      <c r="E101" s="35" t="str">
        <f aca="false">IF($A101="","",SUMIFS(VENTAS!$H$6:$H$2005,VENTAS!$A$6:$A$2005,$A101,VENTAS!$M$6:$M$2005,"SINPE Móvil"))</f>
        <v/>
      </c>
      <c r="F101" s="35" t="str">
        <f aca="false">IF($A101="","",SUMIFS(VENTAS!$H$6:$H$2005,VENTAS!$A$6:$A$2005,$A101,VENTAS!$M$6:$M$2005,"Tarjeta"))</f>
        <v/>
      </c>
      <c r="G101" s="35" t="str">
        <f aca="false">IF($A101="","",SUMIFS(VENTAS!$H$6:$H$2005,VENTAS!$A$6:$A$2005,$A101)-$D101-$E101-$F101)</f>
        <v/>
      </c>
      <c r="H101" s="35" t="str">
        <f aca="false">IF($A101="","",SUM($D101:$G101))</f>
        <v/>
      </c>
      <c r="I101" s="40"/>
      <c r="J101" s="40"/>
      <c r="K101" s="35" t="str">
        <f aca="false">IF($A101="","",N($C101)+$D101-N($I101)-N($J101))</f>
        <v/>
      </c>
      <c r="L101" s="40"/>
      <c r="M101" s="35" t="str">
        <f aca="false">IF(OR($A101="",$L101=""),"",$L101-$K101)</f>
        <v/>
      </c>
      <c r="N101" s="8" t="str">
        <f aca="false">IF($A101="","",IF($L101="","PENDIENTE",IF(ABS($M101)&lt;1,"OK",IF($M101&lt;0,"FALTANTE","SOBRANTE"))))</f>
        <v/>
      </c>
      <c r="O101" s="6"/>
    </row>
    <row r="102" customFormat="false" ht="15" hidden="false" customHeight="false" outlineLevel="0" collapsed="false">
      <c r="A102" s="44"/>
      <c r="B102" s="6"/>
      <c r="C102" s="40"/>
      <c r="D102" s="35" t="str">
        <f aca="false">IF($A102="","",SUMIFS(VENTAS!$H$6:$H$2005,VENTAS!$A$6:$A$2005,$A102,VENTAS!$M$6:$M$2005,"Efectivo"))</f>
        <v/>
      </c>
      <c r="E102" s="35" t="str">
        <f aca="false">IF($A102="","",SUMIFS(VENTAS!$H$6:$H$2005,VENTAS!$A$6:$A$2005,$A102,VENTAS!$M$6:$M$2005,"SINPE Móvil"))</f>
        <v/>
      </c>
      <c r="F102" s="35" t="str">
        <f aca="false">IF($A102="","",SUMIFS(VENTAS!$H$6:$H$2005,VENTAS!$A$6:$A$2005,$A102,VENTAS!$M$6:$M$2005,"Tarjeta"))</f>
        <v/>
      </c>
      <c r="G102" s="35" t="str">
        <f aca="false">IF($A102="","",SUMIFS(VENTAS!$H$6:$H$2005,VENTAS!$A$6:$A$2005,$A102)-$D102-$E102-$F102)</f>
        <v/>
      </c>
      <c r="H102" s="35" t="str">
        <f aca="false">IF($A102="","",SUM($D102:$G102))</f>
        <v/>
      </c>
      <c r="I102" s="40"/>
      <c r="J102" s="40"/>
      <c r="K102" s="35" t="str">
        <f aca="false">IF($A102="","",N($C102)+$D102-N($I102)-N($J102))</f>
        <v/>
      </c>
      <c r="L102" s="40"/>
      <c r="M102" s="35" t="str">
        <f aca="false">IF(OR($A102="",$L102=""),"",$L102-$K102)</f>
        <v/>
      </c>
      <c r="N102" s="8" t="str">
        <f aca="false">IF($A102="","",IF($L102="","PENDIENTE",IF(ABS($M102)&lt;1,"OK",IF($M102&lt;0,"FALTANTE","SOBRANTE"))))</f>
        <v/>
      </c>
      <c r="O102" s="6"/>
    </row>
    <row r="103" customFormat="false" ht="15" hidden="false" customHeight="false" outlineLevel="0" collapsed="false">
      <c r="A103" s="44"/>
      <c r="B103" s="6"/>
      <c r="C103" s="40"/>
      <c r="D103" s="35" t="str">
        <f aca="false">IF($A103="","",SUMIFS(VENTAS!$H$6:$H$2005,VENTAS!$A$6:$A$2005,$A103,VENTAS!$M$6:$M$2005,"Efectivo"))</f>
        <v/>
      </c>
      <c r="E103" s="35" t="str">
        <f aca="false">IF($A103="","",SUMIFS(VENTAS!$H$6:$H$2005,VENTAS!$A$6:$A$2005,$A103,VENTAS!$M$6:$M$2005,"SINPE Móvil"))</f>
        <v/>
      </c>
      <c r="F103" s="35" t="str">
        <f aca="false">IF($A103="","",SUMIFS(VENTAS!$H$6:$H$2005,VENTAS!$A$6:$A$2005,$A103,VENTAS!$M$6:$M$2005,"Tarjeta"))</f>
        <v/>
      </c>
      <c r="G103" s="35" t="str">
        <f aca="false">IF($A103="","",SUMIFS(VENTAS!$H$6:$H$2005,VENTAS!$A$6:$A$2005,$A103)-$D103-$E103-$F103)</f>
        <v/>
      </c>
      <c r="H103" s="35" t="str">
        <f aca="false">IF($A103="","",SUM($D103:$G103))</f>
        <v/>
      </c>
      <c r="I103" s="40"/>
      <c r="J103" s="40"/>
      <c r="K103" s="35" t="str">
        <f aca="false">IF($A103="","",N($C103)+$D103-N($I103)-N($J103))</f>
        <v/>
      </c>
      <c r="L103" s="40"/>
      <c r="M103" s="35" t="str">
        <f aca="false">IF(OR($A103="",$L103=""),"",$L103-$K103)</f>
        <v/>
      </c>
      <c r="N103" s="8" t="str">
        <f aca="false">IF($A103="","",IF($L103="","PENDIENTE",IF(ABS($M103)&lt;1,"OK",IF($M103&lt;0,"FALTANTE","SOBRANTE"))))</f>
        <v/>
      </c>
      <c r="O103" s="6"/>
    </row>
    <row r="104" customFormat="false" ht="15" hidden="false" customHeight="false" outlineLevel="0" collapsed="false">
      <c r="A104" s="44"/>
      <c r="B104" s="6"/>
      <c r="C104" s="40"/>
      <c r="D104" s="35" t="str">
        <f aca="false">IF($A104="","",SUMIFS(VENTAS!$H$6:$H$2005,VENTAS!$A$6:$A$2005,$A104,VENTAS!$M$6:$M$2005,"Efectivo"))</f>
        <v/>
      </c>
      <c r="E104" s="35" t="str">
        <f aca="false">IF($A104="","",SUMIFS(VENTAS!$H$6:$H$2005,VENTAS!$A$6:$A$2005,$A104,VENTAS!$M$6:$M$2005,"SINPE Móvil"))</f>
        <v/>
      </c>
      <c r="F104" s="35" t="str">
        <f aca="false">IF($A104="","",SUMIFS(VENTAS!$H$6:$H$2005,VENTAS!$A$6:$A$2005,$A104,VENTAS!$M$6:$M$2005,"Tarjeta"))</f>
        <v/>
      </c>
      <c r="G104" s="35" t="str">
        <f aca="false">IF($A104="","",SUMIFS(VENTAS!$H$6:$H$2005,VENTAS!$A$6:$A$2005,$A104)-$D104-$E104-$F104)</f>
        <v/>
      </c>
      <c r="H104" s="35" t="str">
        <f aca="false">IF($A104="","",SUM($D104:$G104))</f>
        <v/>
      </c>
      <c r="I104" s="40"/>
      <c r="J104" s="40"/>
      <c r="K104" s="35" t="str">
        <f aca="false">IF($A104="","",N($C104)+$D104-N($I104)-N($J104))</f>
        <v/>
      </c>
      <c r="L104" s="40"/>
      <c r="M104" s="35" t="str">
        <f aca="false">IF(OR($A104="",$L104=""),"",$L104-$K104)</f>
        <v/>
      </c>
      <c r="N104" s="8" t="str">
        <f aca="false">IF($A104="","",IF($L104="","PENDIENTE",IF(ABS($M104)&lt;1,"OK",IF($M104&lt;0,"FALTANTE","SOBRANTE"))))</f>
        <v/>
      </c>
      <c r="O104" s="6"/>
    </row>
    <row r="105" customFormat="false" ht="15" hidden="false" customHeight="false" outlineLevel="0" collapsed="false">
      <c r="A105" s="44"/>
      <c r="B105" s="6"/>
      <c r="C105" s="40"/>
      <c r="D105" s="35" t="str">
        <f aca="false">IF($A105="","",SUMIFS(VENTAS!$H$6:$H$2005,VENTAS!$A$6:$A$2005,$A105,VENTAS!$M$6:$M$2005,"Efectivo"))</f>
        <v/>
      </c>
      <c r="E105" s="35" t="str">
        <f aca="false">IF($A105="","",SUMIFS(VENTAS!$H$6:$H$2005,VENTAS!$A$6:$A$2005,$A105,VENTAS!$M$6:$M$2005,"SINPE Móvil"))</f>
        <v/>
      </c>
      <c r="F105" s="35" t="str">
        <f aca="false">IF($A105="","",SUMIFS(VENTAS!$H$6:$H$2005,VENTAS!$A$6:$A$2005,$A105,VENTAS!$M$6:$M$2005,"Tarjeta"))</f>
        <v/>
      </c>
      <c r="G105" s="35" t="str">
        <f aca="false">IF($A105="","",SUMIFS(VENTAS!$H$6:$H$2005,VENTAS!$A$6:$A$2005,$A105)-$D105-$E105-$F105)</f>
        <v/>
      </c>
      <c r="H105" s="35" t="str">
        <f aca="false">IF($A105="","",SUM($D105:$G105))</f>
        <v/>
      </c>
      <c r="I105" s="40"/>
      <c r="J105" s="40"/>
      <c r="K105" s="35" t="str">
        <f aca="false">IF($A105="","",N($C105)+$D105-N($I105)-N($J105))</f>
        <v/>
      </c>
      <c r="L105" s="40"/>
      <c r="M105" s="35" t="str">
        <f aca="false">IF(OR($A105="",$L105=""),"",$L105-$K105)</f>
        <v/>
      </c>
      <c r="N105" s="8" t="str">
        <f aca="false">IF($A105="","",IF($L105="","PENDIENTE",IF(ABS($M105)&lt;1,"OK",IF($M105&lt;0,"FALTANTE","SOBRANTE"))))</f>
        <v/>
      </c>
      <c r="O105" s="6"/>
    </row>
    <row r="106" customFormat="false" ht="15" hidden="false" customHeight="false" outlineLevel="0" collapsed="false">
      <c r="A106" s="44"/>
      <c r="B106" s="6"/>
      <c r="C106" s="40"/>
      <c r="D106" s="35" t="str">
        <f aca="false">IF($A106="","",SUMIFS(VENTAS!$H$6:$H$2005,VENTAS!$A$6:$A$2005,$A106,VENTAS!$M$6:$M$2005,"Efectivo"))</f>
        <v/>
      </c>
      <c r="E106" s="35" t="str">
        <f aca="false">IF($A106="","",SUMIFS(VENTAS!$H$6:$H$2005,VENTAS!$A$6:$A$2005,$A106,VENTAS!$M$6:$M$2005,"SINPE Móvil"))</f>
        <v/>
      </c>
      <c r="F106" s="35" t="str">
        <f aca="false">IF($A106="","",SUMIFS(VENTAS!$H$6:$H$2005,VENTAS!$A$6:$A$2005,$A106,VENTAS!$M$6:$M$2005,"Tarjeta"))</f>
        <v/>
      </c>
      <c r="G106" s="35" t="str">
        <f aca="false">IF($A106="","",SUMIFS(VENTAS!$H$6:$H$2005,VENTAS!$A$6:$A$2005,$A106)-$D106-$E106-$F106)</f>
        <v/>
      </c>
      <c r="H106" s="35" t="str">
        <f aca="false">IF($A106="","",SUM($D106:$G106))</f>
        <v/>
      </c>
      <c r="I106" s="40"/>
      <c r="J106" s="40"/>
      <c r="K106" s="35" t="str">
        <f aca="false">IF($A106="","",N($C106)+$D106-N($I106)-N($J106))</f>
        <v/>
      </c>
      <c r="L106" s="40"/>
      <c r="M106" s="35" t="str">
        <f aca="false">IF(OR($A106="",$L106=""),"",$L106-$K106)</f>
        <v/>
      </c>
      <c r="N106" s="8" t="str">
        <f aca="false">IF($A106="","",IF($L106="","PENDIENTE",IF(ABS($M106)&lt;1,"OK",IF($M106&lt;0,"FALTANTE","SOBRANTE"))))</f>
        <v/>
      </c>
      <c r="O106" s="6"/>
    </row>
    <row r="107" customFormat="false" ht="15" hidden="false" customHeight="false" outlineLevel="0" collapsed="false">
      <c r="A107" s="44"/>
      <c r="B107" s="6"/>
      <c r="C107" s="40"/>
      <c r="D107" s="35" t="str">
        <f aca="false">IF($A107="","",SUMIFS(VENTAS!$H$6:$H$2005,VENTAS!$A$6:$A$2005,$A107,VENTAS!$M$6:$M$2005,"Efectivo"))</f>
        <v/>
      </c>
      <c r="E107" s="35" t="str">
        <f aca="false">IF($A107="","",SUMIFS(VENTAS!$H$6:$H$2005,VENTAS!$A$6:$A$2005,$A107,VENTAS!$M$6:$M$2005,"SINPE Móvil"))</f>
        <v/>
      </c>
      <c r="F107" s="35" t="str">
        <f aca="false">IF($A107="","",SUMIFS(VENTAS!$H$6:$H$2005,VENTAS!$A$6:$A$2005,$A107,VENTAS!$M$6:$M$2005,"Tarjeta"))</f>
        <v/>
      </c>
      <c r="G107" s="35" t="str">
        <f aca="false">IF($A107="","",SUMIFS(VENTAS!$H$6:$H$2005,VENTAS!$A$6:$A$2005,$A107)-$D107-$E107-$F107)</f>
        <v/>
      </c>
      <c r="H107" s="35" t="str">
        <f aca="false">IF($A107="","",SUM($D107:$G107))</f>
        <v/>
      </c>
      <c r="I107" s="40"/>
      <c r="J107" s="40"/>
      <c r="K107" s="35" t="str">
        <f aca="false">IF($A107="","",N($C107)+$D107-N($I107)-N($J107))</f>
        <v/>
      </c>
      <c r="L107" s="40"/>
      <c r="M107" s="35" t="str">
        <f aca="false">IF(OR($A107="",$L107=""),"",$L107-$K107)</f>
        <v/>
      </c>
      <c r="N107" s="8" t="str">
        <f aca="false">IF($A107="","",IF($L107="","PENDIENTE",IF(ABS($M107)&lt;1,"OK",IF($M107&lt;0,"FALTANTE","SOBRANTE"))))</f>
        <v/>
      </c>
      <c r="O107" s="6"/>
    </row>
    <row r="108" customFormat="false" ht="15" hidden="false" customHeight="false" outlineLevel="0" collapsed="false">
      <c r="A108" s="44"/>
      <c r="B108" s="6"/>
      <c r="C108" s="40"/>
      <c r="D108" s="35" t="str">
        <f aca="false">IF($A108="","",SUMIFS(VENTAS!$H$6:$H$2005,VENTAS!$A$6:$A$2005,$A108,VENTAS!$M$6:$M$2005,"Efectivo"))</f>
        <v/>
      </c>
      <c r="E108" s="35" t="str">
        <f aca="false">IF($A108="","",SUMIFS(VENTAS!$H$6:$H$2005,VENTAS!$A$6:$A$2005,$A108,VENTAS!$M$6:$M$2005,"SINPE Móvil"))</f>
        <v/>
      </c>
      <c r="F108" s="35" t="str">
        <f aca="false">IF($A108="","",SUMIFS(VENTAS!$H$6:$H$2005,VENTAS!$A$6:$A$2005,$A108,VENTAS!$M$6:$M$2005,"Tarjeta"))</f>
        <v/>
      </c>
      <c r="G108" s="35" t="str">
        <f aca="false">IF($A108="","",SUMIFS(VENTAS!$H$6:$H$2005,VENTAS!$A$6:$A$2005,$A108)-$D108-$E108-$F108)</f>
        <v/>
      </c>
      <c r="H108" s="35" t="str">
        <f aca="false">IF($A108="","",SUM($D108:$G108))</f>
        <v/>
      </c>
      <c r="I108" s="40"/>
      <c r="J108" s="40"/>
      <c r="K108" s="35" t="str">
        <f aca="false">IF($A108="","",N($C108)+$D108-N($I108)-N($J108))</f>
        <v/>
      </c>
      <c r="L108" s="40"/>
      <c r="M108" s="35" t="str">
        <f aca="false">IF(OR($A108="",$L108=""),"",$L108-$K108)</f>
        <v/>
      </c>
      <c r="N108" s="8" t="str">
        <f aca="false">IF($A108="","",IF($L108="","PENDIENTE",IF(ABS($M108)&lt;1,"OK",IF($M108&lt;0,"FALTANTE","SOBRANTE"))))</f>
        <v/>
      </c>
      <c r="O108" s="6"/>
    </row>
    <row r="109" customFormat="false" ht="15" hidden="false" customHeight="false" outlineLevel="0" collapsed="false">
      <c r="A109" s="44"/>
      <c r="B109" s="6"/>
      <c r="C109" s="40"/>
      <c r="D109" s="35" t="str">
        <f aca="false">IF($A109="","",SUMIFS(VENTAS!$H$6:$H$2005,VENTAS!$A$6:$A$2005,$A109,VENTAS!$M$6:$M$2005,"Efectivo"))</f>
        <v/>
      </c>
      <c r="E109" s="35" t="str">
        <f aca="false">IF($A109="","",SUMIFS(VENTAS!$H$6:$H$2005,VENTAS!$A$6:$A$2005,$A109,VENTAS!$M$6:$M$2005,"SINPE Móvil"))</f>
        <v/>
      </c>
      <c r="F109" s="35" t="str">
        <f aca="false">IF($A109="","",SUMIFS(VENTAS!$H$6:$H$2005,VENTAS!$A$6:$A$2005,$A109,VENTAS!$M$6:$M$2005,"Tarjeta"))</f>
        <v/>
      </c>
      <c r="G109" s="35" t="str">
        <f aca="false">IF($A109="","",SUMIFS(VENTAS!$H$6:$H$2005,VENTAS!$A$6:$A$2005,$A109)-$D109-$E109-$F109)</f>
        <v/>
      </c>
      <c r="H109" s="35" t="str">
        <f aca="false">IF($A109="","",SUM($D109:$G109))</f>
        <v/>
      </c>
      <c r="I109" s="40"/>
      <c r="J109" s="40"/>
      <c r="K109" s="35" t="str">
        <f aca="false">IF($A109="","",N($C109)+$D109-N($I109)-N($J109))</f>
        <v/>
      </c>
      <c r="L109" s="40"/>
      <c r="M109" s="35" t="str">
        <f aca="false">IF(OR($A109="",$L109=""),"",$L109-$K109)</f>
        <v/>
      </c>
      <c r="N109" s="8" t="str">
        <f aca="false">IF($A109="","",IF($L109="","PENDIENTE",IF(ABS($M109)&lt;1,"OK",IF($M109&lt;0,"FALTANTE","SOBRANTE"))))</f>
        <v/>
      </c>
      <c r="O109" s="6"/>
    </row>
    <row r="110" customFormat="false" ht="15" hidden="false" customHeight="false" outlineLevel="0" collapsed="false">
      <c r="A110" s="44"/>
      <c r="B110" s="6"/>
      <c r="C110" s="40"/>
      <c r="D110" s="35" t="str">
        <f aca="false">IF($A110="","",SUMIFS(VENTAS!$H$6:$H$2005,VENTAS!$A$6:$A$2005,$A110,VENTAS!$M$6:$M$2005,"Efectivo"))</f>
        <v/>
      </c>
      <c r="E110" s="35" t="str">
        <f aca="false">IF($A110="","",SUMIFS(VENTAS!$H$6:$H$2005,VENTAS!$A$6:$A$2005,$A110,VENTAS!$M$6:$M$2005,"SINPE Móvil"))</f>
        <v/>
      </c>
      <c r="F110" s="35" t="str">
        <f aca="false">IF($A110="","",SUMIFS(VENTAS!$H$6:$H$2005,VENTAS!$A$6:$A$2005,$A110,VENTAS!$M$6:$M$2005,"Tarjeta"))</f>
        <v/>
      </c>
      <c r="G110" s="35" t="str">
        <f aca="false">IF($A110="","",SUMIFS(VENTAS!$H$6:$H$2005,VENTAS!$A$6:$A$2005,$A110)-$D110-$E110-$F110)</f>
        <v/>
      </c>
      <c r="H110" s="35" t="str">
        <f aca="false">IF($A110="","",SUM($D110:$G110))</f>
        <v/>
      </c>
      <c r="I110" s="40"/>
      <c r="J110" s="40"/>
      <c r="K110" s="35" t="str">
        <f aca="false">IF($A110="","",N($C110)+$D110-N($I110)-N($J110))</f>
        <v/>
      </c>
      <c r="L110" s="40"/>
      <c r="M110" s="35" t="str">
        <f aca="false">IF(OR($A110="",$L110=""),"",$L110-$K110)</f>
        <v/>
      </c>
      <c r="N110" s="8" t="str">
        <f aca="false">IF($A110="","",IF($L110="","PENDIENTE",IF(ABS($M110)&lt;1,"OK",IF($M110&lt;0,"FALTANTE","SOBRANTE"))))</f>
        <v/>
      </c>
      <c r="O110" s="6"/>
    </row>
    <row r="111" customFormat="false" ht="15" hidden="false" customHeight="false" outlineLevel="0" collapsed="false">
      <c r="A111" s="44"/>
      <c r="B111" s="6"/>
      <c r="C111" s="40"/>
      <c r="D111" s="35" t="str">
        <f aca="false">IF($A111="","",SUMIFS(VENTAS!$H$6:$H$2005,VENTAS!$A$6:$A$2005,$A111,VENTAS!$M$6:$M$2005,"Efectivo"))</f>
        <v/>
      </c>
      <c r="E111" s="35" t="str">
        <f aca="false">IF($A111="","",SUMIFS(VENTAS!$H$6:$H$2005,VENTAS!$A$6:$A$2005,$A111,VENTAS!$M$6:$M$2005,"SINPE Móvil"))</f>
        <v/>
      </c>
      <c r="F111" s="35" t="str">
        <f aca="false">IF($A111="","",SUMIFS(VENTAS!$H$6:$H$2005,VENTAS!$A$6:$A$2005,$A111,VENTAS!$M$6:$M$2005,"Tarjeta"))</f>
        <v/>
      </c>
      <c r="G111" s="35" t="str">
        <f aca="false">IF($A111="","",SUMIFS(VENTAS!$H$6:$H$2005,VENTAS!$A$6:$A$2005,$A111)-$D111-$E111-$F111)</f>
        <v/>
      </c>
      <c r="H111" s="35" t="str">
        <f aca="false">IF($A111="","",SUM($D111:$G111))</f>
        <v/>
      </c>
      <c r="I111" s="40"/>
      <c r="J111" s="40"/>
      <c r="K111" s="35" t="str">
        <f aca="false">IF($A111="","",N($C111)+$D111-N($I111)-N($J111))</f>
        <v/>
      </c>
      <c r="L111" s="40"/>
      <c r="M111" s="35" t="str">
        <f aca="false">IF(OR($A111="",$L111=""),"",$L111-$K111)</f>
        <v/>
      </c>
      <c r="N111" s="8" t="str">
        <f aca="false">IF($A111="","",IF($L111="","PENDIENTE",IF(ABS($M111)&lt;1,"OK",IF($M111&lt;0,"FALTANTE","SOBRANTE"))))</f>
        <v/>
      </c>
      <c r="O111" s="6"/>
    </row>
    <row r="112" customFormat="false" ht="15" hidden="false" customHeight="false" outlineLevel="0" collapsed="false">
      <c r="A112" s="44"/>
      <c r="B112" s="6"/>
      <c r="C112" s="40"/>
      <c r="D112" s="35" t="str">
        <f aca="false">IF($A112="","",SUMIFS(VENTAS!$H$6:$H$2005,VENTAS!$A$6:$A$2005,$A112,VENTAS!$M$6:$M$2005,"Efectivo"))</f>
        <v/>
      </c>
      <c r="E112" s="35" t="str">
        <f aca="false">IF($A112="","",SUMIFS(VENTAS!$H$6:$H$2005,VENTAS!$A$6:$A$2005,$A112,VENTAS!$M$6:$M$2005,"SINPE Móvil"))</f>
        <v/>
      </c>
      <c r="F112" s="35" t="str">
        <f aca="false">IF($A112="","",SUMIFS(VENTAS!$H$6:$H$2005,VENTAS!$A$6:$A$2005,$A112,VENTAS!$M$6:$M$2005,"Tarjeta"))</f>
        <v/>
      </c>
      <c r="G112" s="35" t="str">
        <f aca="false">IF($A112="","",SUMIFS(VENTAS!$H$6:$H$2005,VENTAS!$A$6:$A$2005,$A112)-$D112-$E112-$F112)</f>
        <v/>
      </c>
      <c r="H112" s="35" t="str">
        <f aca="false">IF($A112="","",SUM($D112:$G112))</f>
        <v/>
      </c>
      <c r="I112" s="40"/>
      <c r="J112" s="40"/>
      <c r="K112" s="35" t="str">
        <f aca="false">IF($A112="","",N($C112)+$D112-N($I112)-N($J112))</f>
        <v/>
      </c>
      <c r="L112" s="40"/>
      <c r="M112" s="35" t="str">
        <f aca="false">IF(OR($A112="",$L112=""),"",$L112-$K112)</f>
        <v/>
      </c>
      <c r="N112" s="8" t="str">
        <f aca="false">IF($A112="","",IF($L112="","PENDIENTE",IF(ABS($M112)&lt;1,"OK",IF($M112&lt;0,"FALTANTE","SOBRANTE"))))</f>
        <v/>
      </c>
      <c r="O112" s="6"/>
    </row>
    <row r="113" customFormat="false" ht="15" hidden="false" customHeight="false" outlineLevel="0" collapsed="false">
      <c r="A113" s="44"/>
      <c r="B113" s="6"/>
      <c r="C113" s="40"/>
      <c r="D113" s="35" t="str">
        <f aca="false">IF($A113="","",SUMIFS(VENTAS!$H$6:$H$2005,VENTAS!$A$6:$A$2005,$A113,VENTAS!$M$6:$M$2005,"Efectivo"))</f>
        <v/>
      </c>
      <c r="E113" s="35" t="str">
        <f aca="false">IF($A113="","",SUMIFS(VENTAS!$H$6:$H$2005,VENTAS!$A$6:$A$2005,$A113,VENTAS!$M$6:$M$2005,"SINPE Móvil"))</f>
        <v/>
      </c>
      <c r="F113" s="35" t="str">
        <f aca="false">IF($A113="","",SUMIFS(VENTAS!$H$6:$H$2005,VENTAS!$A$6:$A$2005,$A113,VENTAS!$M$6:$M$2005,"Tarjeta"))</f>
        <v/>
      </c>
      <c r="G113" s="35" t="str">
        <f aca="false">IF($A113="","",SUMIFS(VENTAS!$H$6:$H$2005,VENTAS!$A$6:$A$2005,$A113)-$D113-$E113-$F113)</f>
        <v/>
      </c>
      <c r="H113" s="35" t="str">
        <f aca="false">IF($A113="","",SUM($D113:$G113))</f>
        <v/>
      </c>
      <c r="I113" s="40"/>
      <c r="J113" s="40"/>
      <c r="K113" s="35" t="str">
        <f aca="false">IF($A113="","",N($C113)+$D113-N($I113)-N($J113))</f>
        <v/>
      </c>
      <c r="L113" s="40"/>
      <c r="M113" s="35" t="str">
        <f aca="false">IF(OR($A113="",$L113=""),"",$L113-$K113)</f>
        <v/>
      </c>
      <c r="N113" s="8" t="str">
        <f aca="false">IF($A113="","",IF($L113="","PENDIENTE",IF(ABS($M113)&lt;1,"OK",IF($M113&lt;0,"FALTANTE","SOBRANTE"))))</f>
        <v/>
      </c>
      <c r="O113" s="6"/>
    </row>
    <row r="114" customFormat="false" ht="15" hidden="false" customHeight="false" outlineLevel="0" collapsed="false">
      <c r="A114" s="44"/>
      <c r="B114" s="6"/>
      <c r="C114" s="40"/>
      <c r="D114" s="35" t="str">
        <f aca="false">IF($A114="","",SUMIFS(VENTAS!$H$6:$H$2005,VENTAS!$A$6:$A$2005,$A114,VENTAS!$M$6:$M$2005,"Efectivo"))</f>
        <v/>
      </c>
      <c r="E114" s="35" t="str">
        <f aca="false">IF($A114="","",SUMIFS(VENTAS!$H$6:$H$2005,VENTAS!$A$6:$A$2005,$A114,VENTAS!$M$6:$M$2005,"SINPE Móvil"))</f>
        <v/>
      </c>
      <c r="F114" s="35" t="str">
        <f aca="false">IF($A114="","",SUMIFS(VENTAS!$H$6:$H$2005,VENTAS!$A$6:$A$2005,$A114,VENTAS!$M$6:$M$2005,"Tarjeta"))</f>
        <v/>
      </c>
      <c r="G114" s="35" t="str">
        <f aca="false">IF($A114="","",SUMIFS(VENTAS!$H$6:$H$2005,VENTAS!$A$6:$A$2005,$A114)-$D114-$E114-$F114)</f>
        <v/>
      </c>
      <c r="H114" s="35" t="str">
        <f aca="false">IF($A114="","",SUM($D114:$G114))</f>
        <v/>
      </c>
      <c r="I114" s="40"/>
      <c r="J114" s="40"/>
      <c r="K114" s="35" t="str">
        <f aca="false">IF($A114="","",N($C114)+$D114-N($I114)-N($J114))</f>
        <v/>
      </c>
      <c r="L114" s="40"/>
      <c r="M114" s="35" t="str">
        <f aca="false">IF(OR($A114="",$L114=""),"",$L114-$K114)</f>
        <v/>
      </c>
      <c r="N114" s="8" t="str">
        <f aca="false">IF($A114="","",IF($L114="","PENDIENTE",IF(ABS($M114)&lt;1,"OK",IF($M114&lt;0,"FALTANTE","SOBRANTE"))))</f>
        <v/>
      </c>
      <c r="O114" s="6"/>
    </row>
    <row r="115" customFormat="false" ht="15" hidden="false" customHeight="false" outlineLevel="0" collapsed="false">
      <c r="A115" s="44"/>
      <c r="B115" s="6"/>
      <c r="C115" s="40"/>
      <c r="D115" s="35" t="str">
        <f aca="false">IF($A115="","",SUMIFS(VENTAS!$H$6:$H$2005,VENTAS!$A$6:$A$2005,$A115,VENTAS!$M$6:$M$2005,"Efectivo"))</f>
        <v/>
      </c>
      <c r="E115" s="35" t="str">
        <f aca="false">IF($A115="","",SUMIFS(VENTAS!$H$6:$H$2005,VENTAS!$A$6:$A$2005,$A115,VENTAS!$M$6:$M$2005,"SINPE Móvil"))</f>
        <v/>
      </c>
      <c r="F115" s="35" t="str">
        <f aca="false">IF($A115="","",SUMIFS(VENTAS!$H$6:$H$2005,VENTAS!$A$6:$A$2005,$A115,VENTAS!$M$6:$M$2005,"Tarjeta"))</f>
        <v/>
      </c>
      <c r="G115" s="35" t="str">
        <f aca="false">IF($A115="","",SUMIFS(VENTAS!$H$6:$H$2005,VENTAS!$A$6:$A$2005,$A115)-$D115-$E115-$F115)</f>
        <v/>
      </c>
      <c r="H115" s="35" t="str">
        <f aca="false">IF($A115="","",SUM($D115:$G115))</f>
        <v/>
      </c>
      <c r="I115" s="40"/>
      <c r="J115" s="40"/>
      <c r="K115" s="35" t="str">
        <f aca="false">IF($A115="","",N($C115)+$D115-N($I115)-N($J115))</f>
        <v/>
      </c>
      <c r="L115" s="40"/>
      <c r="M115" s="35" t="str">
        <f aca="false">IF(OR($A115="",$L115=""),"",$L115-$K115)</f>
        <v/>
      </c>
      <c r="N115" s="8" t="str">
        <f aca="false">IF($A115="","",IF($L115="","PENDIENTE",IF(ABS($M115)&lt;1,"OK",IF($M115&lt;0,"FALTANTE","SOBRANTE"))))</f>
        <v/>
      </c>
      <c r="O115" s="6"/>
    </row>
    <row r="116" customFormat="false" ht="15" hidden="false" customHeight="false" outlineLevel="0" collapsed="false">
      <c r="A116" s="44"/>
      <c r="B116" s="6"/>
      <c r="C116" s="40"/>
      <c r="D116" s="35" t="str">
        <f aca="false">IF($A116="","",SUMIFS(VENTAS!$H$6:$H$2005,VENTAS!$A$6:$A$2005,$A116,VENTAS!$M$6:$M$2005,"Efectivo"))</f>
        <v/>
      </c>
      <c r="E116" s="35" t="str">
        <f aca="false">IF($A116="","",SUMIFS(VENTAS!$H$6:$H$2005,VENTAS!$A$6:$A$2005,$A116,VENTAS!$M$6:$M$2005,"SINPE Móvil"))</f>
        <v/>
      </c>
      <c r="F116" s="35" t="str">
        <f aca="false">IF($A116="","",SUMIFS(VENTAS!$H$6:$H$2005,VENTAS!$A$6:$A$2005,$A116,VENTAS!$M$6:$M$2005,"Tarjeta"))</f>
        <v/>
      </c>
      <c r="G116" s="35" t="str">
        <f aca="false">IF($A116="","",SUMIFS(VENTAS!$H$6:$H$2005,VENTAS!$A$6:$A$2005,$A116)-$D116-$E116-$F116)</f>
        <v/>
      </c>
      <c r="H116" s="35" t="str">
        <f aca="false">IF($A116="","",SUM($D116:$G116))</f>
        <v/>
      </c>
      <c r="I116" s="40"/>
      <c r="J116" s="40"/>
      <c r="K116" s="35" t="str">
        <f aca="false">IF($A116="","",N($C116)+$D116-N($I116)-N($J116))</f>
        <v/>
      </c>
      <c r="L116" s="40"/>
      <c r="M116" s="35" t="str">
        <f aca="false">IF(OR($A116="",$L116=""),"",$L116-$K116)</f>
        <v/>
      </c>
      <c r="N116" s="8" t="str">
        <f aca="false">IF($A116="","",IF($L116="","PENDIENTE",IF(ABS($M116)&lt;1,"OK",IF($M116&lt;0,"FALTANTE","SOBRANTE"))))</f>
        <v/>
      </c>
      <c r="O116" s="6"/>
    </row>
    <row r="117" customFormat="false" ht="15" hidden="false" customHeight="false" outlineLevel="0" collapsed="false">
      <c r="A117" s="44"/>
      <c r="B117" s="6"/>
      <c r="C117" s="40"/>
      <c r="D117" s="35" t="str">
        <f aca="false">IF($A117="","",SUMIFS(VENTAS!$H$6:$H$2005,VENTAS!$A$6:$A$2005,$A117,VENTAS!$M$6:$M$2005,"Efectivo"))</f>
        <v/>
      </c>
      <c r="E117" s="35" t="str">
        <f aca="false">IF($A117="","",SUMIFS(VENTAS!$H$6:$H$2005,VENTAS!$A$6:$A$2005,$A117,VENTAS!$M$6:$M$2005,"SINPE Móvil"))</f>
        <v/>
      </c>
      <c r="F117" s="35" t="str">
        <f aca="false">IF($A117="","",SUMIFS(VENTAS!$H$6:$H$2005,VENTAS!$A$6:$A$2005,$A117,VENTAS!$M$6:$M$2005,"Tarjeta"))</f>
        <v/>
      </c>
      <c r="G117" s="35" t="str">
        <f aca="false">IF($A117="","",SUMIFS(VENTAS!$H$6:$H$2005,VENTAS!$A$6:$A$2005,$A117)-$D117-$E117-$F117)</f>
        <v/>
      </c>
      <c r="H117" s="35" t="str">
        <f aca="false">IF($A117="","",SUM($D117:$G117))</f>
        <v/>
      </c>
      <c r="I117" s="40"/>
      <c r="J117" s="40"/>
      <c r="K117" s="35" t="str">
        <f aca="false">IF($A117="","",N($C117)+$D117-N($I117)-N($J117))</f>
        <v/>
      </c>
      <c r="L117" s="40"/>
      <c r="M117" s="35" t="str">
        <f aca="false">IF(OR($A117="",$L117=""),"",$L117-$K117)</f>
        <v/>
      </c>
      <c r="N117" s="8" t="str">
        <f aca="false">IF($A117="","",IF($L117="","PENDIENTE",IF(ABS($M117)&lt;1,"OK",IF($M117&lt;0,"FALTANTE","SOBRANTE"))))</f>
        <v/>
      </c>
      <c r="O117" s="6"/>
    </row>
    <row r="118" customFormat="false" ht="15" hidden="false" customHeight="false" outlineLevel="0" collapsed="false">
      <c r="A118" s="44"/>
      <c r="B118" s="6"/>
      <c r="C118" s="40"/>
      <c r="D118" s="35" t="str">
        <f aca="false">IF($A118="","",SUMIFS(VENTAS!$H$6:$H$2005,VENTAS!$A$6:$A$2005,$A118,VENTAS!$M$6:$M$2005,"Efectivo"))</f>
        <v/>
      </c>
      <c r="E118" s="35" t="str">
        <f aca="false">IF($A118="","",SUMIFS(VENTAS!$H$6:$H$2005,VENTAS!$A$6:$A$2005,$A118,VENTAS!$M$6:$M$2005,"SINPE Móvil"))</f>
        <v/>
      </c>
      <c r="F118" s="35" t="str">
        <f aca="false">IF($A118="","",SUMIFS(VENTAS!$H$6:$H$2005,VENTAS!$A$6:$A$2005,$A118,VENTAS!$M$6:$M$2005,"Tarjeta"))</f>
        <v/>
      </c>
      <c r="G118" s="35" t="str">
        <f aca="false">IF($A118="","",SUMIFS(VENTAS!$H$6:$H$2005,VENTAS!$A$6:$A$2005,$A118)-$D118-$E118-$F118)</f>
        <v/>
      </c>
      <c r="H118" s="35" t="str">
        <f aca="false">IF($A118="","",SUM($D118:$G118))</f>
        <v/>
      </c>
      <c r="I118" s="40"/>
      <c r="J118" s="40"/>
      <c r="K118" s="35" t="str">
        <f aca="false">IF($A118="","",N($C118)+$D118-N($I118)-N($J118))</f>
        <v/>
      </c>
      <c r="L118" s="40"/>
      <c r="M118" s="35" t="str">
        <f aca="false">IF(OR($A118="",$L118=""),"",$L118-$K118)</f>
        <v/>
      </c>
      <c r="N118" s="8" t="str">
        <f aca="false">IF($A118="","",IF($L118="","PENDIENTE",IF(ABS($M118)&lt;1,"OK",IF($M118&lt;0,"FALTANTE","SOBRANTE"))))</f>
        <v/>
      </c>
      <c r="O118" s="6"/>
    </row>
    <row r="119" customFormat="false" ht="15" hidden="false" customHeight="false" outlineLevel="0" collapsed="false">
      <c r="A119" s="44"/>
      <c r="B119" s="6"/>
      <c r="C119" s="40"/>
      <c r="D119" s="35" t="str">
        <f aca="false">IF($A119="","",SUMIFS(VENTAS!$H$6:$H$2005,VENTAS!$A$6:$A$2005,$A119,VENTAS!$M$6:$M$2005,"Efectivo"))</f>
        <v/>
      </c>
      <c r="E119" s="35" t="str">
        <f aca="false">IF($A119="","",SUMIFS(VENTAS!$H$6:$H$2005,VENTAS!$A$6:$A$2005,$A119,VENTAS!$M$6:$M$2005,"SINPE Móvil"))</f>
        <v/>
      </c>
      <c r="F119" s="35" t="str">
        <f aca="false">IF($A119="","",SUMIFS(VENTAS!$H$6:$H$2005,VENTAS!$A$6:$A$2005,$A119,VENTAS!$M$6:$M$2005,"Tarjeta"))</f>
        <v/>
      </c>
      <c r="G119" s="35" t="str">
        <f aca="false">IF($A119="","",SUMIFS(VENTAS!$H$6:$H$2005,VENTAS!$A$6:$A$2005,$A119)-$D119-$E119-$F119)</f>
        <v/>
      </c>
      <c r="H119" s="35" t="str">
        <f aca="false">IF($A119="","",SUM($D119:$G119))</f>
        <v/>
      </c>
      <c r="I119" s="40"/>
      <c r="J119" s="40"/>
      <c r="K119" s="35" t="str">
        <f aca="false">IF($A119="","",N($C119)+$D119-N($I119)-N($J119))</f>
        <v/>
      </c>
      <c r="L119" s="40"/>
      <c r="M119" s="35" t="str">
        <f aca="false">IF(OR($A119="",$L119=""),"",$L119-$K119)</f>
        <v/>
      </c>
      <c r="N119" s="8" t="str">
        <f aca="false">IF($A119="","",IF($L119="","PENDIENTE",IF(ABS($M119)&lt;1,"OK",IF($M119&lt;0,"FALTANTE","SOBRANTE"))))</f>
        <v/>
      </c>
      <c r="O119" s="6"/>
    </row>
    <row r="120" customFormat="false" ht="15" hidden="false" customHeight="false" outlineLevel="0" collapsed="false">
      <c r="A120" s="44"/>
      <c r="B120" s="6"/>
      <c r="C120" s="40"/>
      <c r="D120" s="35" t="str">
        <f aca="false">IF($A120="","",SUMIFS(VENTAS!$H$6:$H$2005,VENTAS!$A$6:$A$2005,$A120,VENTAS!$M$6:$M$2005,"Efectivo"))</f>
        <v/>
      </c>
      <c r="E120" s="35" t="str">
        <f aca="false">IF($A120="","",SUMIFS(VENTAS!$H$6:$H$2005,VENTAS!$A$6:$A$2005,$A120,VENTAS!$M$6:$M$2005,"SINPE Móvil"))</f>
        <v/>
      </c>
      <c r="F120" s="35" t="str">
        <f aca="false">IF($A120="","",SUMIFS(VENTAS!$H$6:$H$2005,VENTAS!$A$6:$A$2005,$A120,VENTAS!$M$6:$M$2005,"Tarjeta"))</f>
        <v/>
      </c>
      <c r="G120" s="35" t="str">
        <f aca="false">IF($A120="","",SUMIFS(VENTAS!$H$6:$H$2005,VENTAS!$A$6:$A$2005,$A120)-$D120-$E120-$F120)</f>
        <v/>
      </c>
      <c r="H120" s="35" t="str">
        <f aca="false">IF($A120="","",SUM($D120:$G120))</f>
        <v/>
      </c>
      <c r="I120" s="40"/>
      <c r="J120" s="40"/>
      <c r="K120" s="35" t="str">
        <f aca="false">IF($A120="","",N($C120)+$D120-N($I120)-N($J120))</f>
        <v/>
      </c>
      <c r="L120" s="40"/>
      <c r="M120" s="35" t="str">
        <f aca="false">IF(OR($A120="",$L120=""),"",$L120-$K120)</f>
        <v/>
      </c>
      <c r="N120" s="8" t="str">
        <f aca="false">IF($A120="","",IF($L120="","PENDIENTE",IF(ABS($M120)&lt;1,"OK",IF($M120&lt;0,"FALTANTE","SOBRANTE"))))</f>
        <v/>
      </c>
      <c r="O120" s="6"/>
    </row>
    <row r="121" customFormat="false" ht="15" hidden="false" customHeight="false" outlineLevel="0" collapsed="false">
      <c r="A121" s="44"/>
      <c r="B121" s="6"/>
      <c r="C121" s="40"/>
      <c r="D121" s="35" t="str">
        <f aca="false">IF($A121="","",SUMIFS(VENTAS!$H$6:$H$2005,VENTAS!$A$6:$A$2005,$A121,VENTAS!$M$6:$M$2005,"Efectivo"))</f>
        <v/>
      </c>
      <c r="E121" s="35" t="str">
        <f aca="false">IF($A121="","",SUMIFS(VENTAS!$H$6:$H$2005,VENTAS!$A$6:$A$2005,$A121,VENTAS!$M$6:$M$2005,"SINPE Móvil"))</f>
        <v/>
      </c>
      <c r="F121" s="35" t="str">
        <f aca="false">IF($A121="","",SUMIFS(VENTAS!$H$6:$H$2005,VENTAS!$A$6:$A$2005,$A121,VENTAS!$M$6:$M$2005,"Tarjeta"))</f>
        <v/>
      </c>
      <c r="G121" s="35" t="str">
        <f aca="false">IF($A121="","",SUMIFS(VENTAS!$H$6:$H$2005,VENTAS!$A$6:$A$2005,$A121)-$D121-$E121-$F121)</f>
        <v/>
      </c>
      <c r="H121" s="35" t="str">
        <f aca="false">IF($A121="","",SUM($D121:$G121))</f>
        <v/>
      </c>
      <c r="I121" s="40"/>
      <c r="J121" s="40"/>
      <c r="K121" s="35" t="str">
        <f aca="false">IF($A121="","",N($C121)+$D121-N($I121)-N($J121))</f>
        <v/>
      </c>
      <c r="L121" s="40"/>
      <c r="M121" s="35" t="str">
        <f aca="false">IF(OR($A121="",$L121=""),"",$L121-$K121)</f>
        <v/>
      </c>
      <c r="N121" s="8" t="str">
        <f aca="false">IF($A121="","",IF($L121="","PENDIENTE",IF(ABS($M121)&lt;1,"OK",IF($M121&lt;0,"FALTANTE","SOBRANTE"))))</f>
        <v/>
      </c>
      <c r="O121" s="6"/>
    </row>
    <row r="122" customFormat="false" ht="15" hidden="false" customHeight="false" outlineLevel="0" collapsed="false">
      <c r="A122" s="44"/>
      <c r="B122" s="6"/>
      <c r="C122" s="40"/>
      <c r="D122" s="35" t="str">
        <f aca="false">IF($A122="","",SUMIFS(VENTAS!$H$6:$H$2005,VENTAS!$A$6:$A$2005,$A122,VENTAS!$M$6:$M$2005,"Efectivo"))</f>
        <v/>
      </c>
      <c r="E122" s="35" t="str">
        <f aca="false">IF($A122="","",SUMIFS(VENTAS!$H$6:$H$2005,VENTAS!$A$6:$A$2005,$A122,VENTAS!$M$6:$M$2005,"SINPE Móvil"))</f>
        <v/>
      </c>
      <c r="F122" s="35" t="str">
        <f aca="false">IF($A122="","",SUMIFS(VENTAS!$H$6:$H$2005,VENTAS!$A$6:$A$2005,$A122,VENTAS!$M$6:$M$2005,"Tarjeta"))</f>
        <v/>
      </c>
      <c r="G122" s="35" t="str">
        <f aca="false">IF($A122="","",SUMIFS(VENTAS!$H$6:$H$2005,VENTAS!$A$6:$A$2005,$A122)-$D122-$E122-$F122)</f>
        <v/>
      </c>
      <c r="H122" s="35" t="str">
        <f aca="false">IF($A122="","",SUM($D122:$G122))</f>
        <v/>
      </c>
      <c r="I122" s="40"/>
      <c r="J122" s="40"/>
      <c r="K122" s="35" t="str">
        <f aca="false">IF($A122="","",N($C122)+$D122-N($I122)-N($J122))</f>
        <v/>
      </c>
      <c r="L122" s="40"/>
      <c r="M122" s="35" t="str">
        <f aca="false">IF(OR($A122="",$L122=""),"",$L122-$K122)</f>
        <v/>
      </c>
      <c r="N122" s="8" t="str">
        <f aca="false">IF($A122="","",IF($L122="","PENDIENTE",IF(ABS($M122)&lt;1,"OK",IF($M122&lt;0,"FALTANTE","SOBRANTE"))))</f>
        <v/>
      </c>
      <c r="O122" s="6"/>
    </row>
    <row r="123" customFormat="false" ht="15" hidden="false" customHeight="false" outlineLevel="0" collapsed="false">
      <c r="A123" s="44"/>
      <c r="B123" s="6"/>
      <c r="C123" s="40"/>
      <c r="D123" s="35" t="str">
        <f aca="false">IF($A123="","",SUMIFS(VENTAS!$H$6:$H$2005,VENTAS!$A$6:$A$2005,$A123,VENTAS!$M$6:$M$2005,"Efectivo"))</f>
        <v/>
      </c>
      <c r="E123" s="35" t="str">
        <f aca="false">IF($A123="","",SUMIFS(VENTAS!$H$6:$H$2005,VENTAS!$A$6:$A$2005,$A123,VENTAS!$M$6:$M$2005,"SINPE Móvil"))</f>
        <v/>
      </c>
      <c r="F123" s="35" t="str">
        <f aca="false">IF($A123="","",SUMIFS(VENTAS!$H$6:$H$2005,VENTAS!$A$6:$A$2005,$A123,VENTAS!$M$6:$M$2005,"Tarjeta"))</f>
        <v/>
      </c>
      <c r="G123" s="35" t="str">
        <f aca="false">IF($A123="","",SUMIFS(VENTAS!$H$6:$H$2005,VENTAS!$A$6:$A$2005,$A123)-$D123-$E123-$F123)</f>
        <v/>
      </c>
      <c r="H123" s="35" t="str">
        <f aca="false">IF($A123="","",SUM($D123:$G123))</f>
        <v/>
      </c>
      <c r="I123" s="40"/>
      <c r="J123" s="40"/>
      <c r="K123" s="35" t="str">
        <f aca="false">IF($A123="","",N($C123)+$D123-N($I123)-N($J123))</f>
        <v/>
      </c>
      <c r="L123" s="40"/>
      <c r="M123" s="35" t="str">
        <f aca="false">IF(OR($A123="",$L123=""),"",$L123-$K123)</f>
        <v/>
      </c>
      <c r="N123" s="8" t="str">
        <f aca="false">IF($A123="","",IF($L123="","PENDIENTE",IF(ABS($M123)&lt;1,"OK",IF($M123&lt;0,"FALTANTE","SOBRANTE"))))</f>
        <v/>
      </c>
      <c r="O123" s="6"/>
    </row>
    <row r="124" customFormat="false" ht="15" hidden="false" customHeight="false" outlineLevel="0" collapsed="false">
      <c r="A124" s="44"/>
      <c r="B124" s="6"/>
      <c r="C124" s="40"/>
      <c r="D124" s="35" t="str">
        <f aca="false">IF($A124="","",SUMIFS(VENTAS!$H$6:$H$2005,VENTAS!$A$6:$A$2005,$A124,VENTAS!$M$6:$M$2005,"Efectivo"))</f>
        <v/>
      </c>
      <c r="E124" s="35" t="str">
        <f aca="false">IF($A124="","",SUMIFS(VENTAS!$H$6:$H$2005,VENTAS!$A$6:$A$2005,$A124,VENTAS!$M$6:$M$2005,"SINPE Móvil"))</f>
        <v/>
      </c>
      <c r="F124" s="35" t="str">
        <f aca="false">IF($A124="","",SUMIFS(VENTAS!$H$6:$H$2005,VENTAS!$A$6:$A$2005,$A124,VENTAS!$M$6:$M$2005,"Tarjeta"))</f>
        <v/>
      </c>
      <c r="G124" s="35" t="str">
        <f aca="false">IF($A124="","",SUMIFS(VENTAS!$H$6:$H$2005,VENTAS!$A$6:$A$2005,$A124)-$D124-$E124-$F124)</f>
        <v/>
      </c>
      <c r="H124" s="35" t="str">
        <f aca="false">IF($A124="","",SUM($D124:$G124))</f>
        <v/>
      </c>
      <c r="I124" s="40"/>
      <c r="J124" s="40"/>
      <c r="K124" s="35" t="str">
        <f aca="false">IF($A124="","",N($C124)+$D124-N($I124)-N($J124))</f>
        <v/>
      </c>
      <c r="L124" s="40"/>
      <c r="M124" s="35" t="str">
        <f aca="false">IF(OR($A124="",$L124=""),"",$L124-$K124)</f>
        <v/>
      </c>
      <c r="N124" s="8" t="str">
        <f aca="false">IF($A124="","",IF($L124="","PENDIENTE",IF(ABS($M124)&lt;1,"OK",IF($M124&lt;0,"FALTANTE","SOBRANTE"))))</f>
        <v/>
      </c>
      <c r="O124" s="6"/>
    </row>
    <row r="125" customFormat="false" ht="15" hidden="false" customHeight="false" outlineLevel="0" collapsed="false">
      <c r="A125" s="44"/>
      <c r="B125" s="6"/>
      <c r="C125" s="40"/>
      <c r="D125" s="35" t="str">
        <f aca="false">IF($A125="","",SUMIFS(VENTAS!$H$6:$H$2005,VENTAS!$A$6:$A$2005,$A125,VENTAS!$M$6:$M$2005,"Efectivo"))</f>
        <v/>
      </c>
      <c r="E125" s="35" t="str">
        <f aca="false">IF($A125="","",SUMIFS(VENTAS!$H$6:$H$2005,VENTAS!$A$6:$A$2005,$A125,VENTAS!$M$6:$M$2005,"SINPE Móvil"))</f>
        <v/>
      </c>
      <c r="F125" s="35" t="str">
        <f aca="false">IF($A125="","",SUMIFS(VENTAS!$H$6:$H$2005,VENTAS!$A$6:$A$2005,$A125,VENTAS!$M$6:$M$2005,"Tarjeta"))</f>
        <v/>
      </c>
      <c r="G125" s="35" t="str">
        <f aca="false">IF($A125="","",SUMIFS(VENTAS!$H$6:$H$2005,VENTAS!$A$6:$A$2005,$A125)-$D125-$E125-$F125)</f>
        <v/>
      </c>
      <c r="H125" s="35" t="str">
        <f aca="false">IF($A125="","",SUM($D125:$G125))</f>
        <v/>
      </c>
      <c r="I125" s="40"/>
      <c r="J125" s="40"/>
      <c r="K125" s="35" t="str">
        <f aca="false">IF($A125="","",N($C125)+$D125-N($I125)-N($J125))</f>
        <v/>
      </c>
      <c r="L125" s="40"/>
      <c r="M125" s="35" t="str">
        <f aca="false">IF(OR($A125="",$L125=""),"",$L125-$K125)</f>
        <v/>
      </c>
      <c r="N125" s="8" t="str">
        <f aca="false">IF($A125="","",IF($L125="","PENDIENTE",IF(ABS($M125)&lt;1,"OK",IF($M125&lt;0,"FALTANTE","SOBRANTE"))))</f>
        <v/>
      </c>
      <c r="O125" s="6"/>
    </row>
    <row r="126" customFormat="false" ht="15" hidden="false" customHeight="false" outlineLevel="0" collapsed="false">
      <c r="A126" s="44"/>
      <c r="B126" s="6"/>
      <c r="C126" s="40"/>
      <c r="D126" s="35" t="str">
        <f aca="false">IF($A126="","",SUMIFS(VENTAS!$H$6:$H$2005,VENTAS!$A$6:$A$2005,$A126,VENTAS!$M$6:$M$2005,"Efectivo"))</f>
        <v/>
      </c>
      <c r="E126" s="35" t="str">
        <f aca="false">IF($A126="","",SUMIFS(VENTAS!$H$6:$H$2005,VENTAS!$A$6:$A$2005,$A126,VENTAS!$M$6:$M$2005,"SINPE Móvil"))</f>
        <v/>
      </c>
      <c r="F126" s="35" t="str">
        <f aca="false">IF($A126="","",SUMIFS(VENTAS!$H$6:$H$2005,VENTAS!$A$6:$A$2005,$A126,VENTAS!$M$6:$M$2005,"Tarjeta"))</f>
        <v/>
      </c>
      <c r="G126" s="35" t="str">
        <f aca="false">IF($A126="","",SUMIFS(VENTAS!$H$6:$H$2005,VENTAS!$A$6:$A$2005,$A126)-$D126-$E126-$F126)</f>
        <v/>
      </c>
      <c r="H126" s="35" t="str">
        <f aca="false">IF($A126="","",SUM($D126:$G126))</f>
        <v/>
      </c>
      <c r="I126" s="40"/>
      <c r="J126" s="40"/>
      <c r="K126" s="35" t="str">
        <f aca="false">IF($A126="","",N($C126)+$D126-N($I126)-N($J126))</f>
        <v/>
      </c>
      <c r="L126" s="40"/>
      <c r="M126" s="35" t="str">
        <f aca="false">IF(OR($A126="",$L126=""),"",$L126-$K126)</f>
        <v/>
      </c>
      <c r="N126" s="8" t="str">
        <f aca="false">IF($A126="","",IF($L126="","PENDIENTE",IF(ABS($M126)&lt;1,"OK",IF($M126&lt;0,"FALTANTE","SOBRANTE"))))</f>
        <v/>
      </c>
      <c r="O126" s="6"/>
    </row>
    <row r="127" customFormat="false" ht="15" hidden="false" customHeight="false" outlineLevel="0" collapsed="false">
      <c r="A127" s="44"/>
      <c r="B127" s="6"/>
      <c r="C127" s="40"/>
      <c r="D127" s="35" t="str">
        <f aca="false">IF($A127="","",SUMIFS(VENTAS!$H$6:$H$2005,VENTAS!$A$6:$A$2005,$A127,VENTAS!$M$6:$M$2005,"Efectivo"))</f>
        <v/>
      </c>
      <c r="E127" s="35" t="str">
        <f aca="false">IF($A127="","",SUMIFS(VENTAS!$H$6:$H$2005,VENTAS!$A$6:$A$2005,$A127,VENTAS!$M$6:$M$2005,"SINPE Móvil"))</f>
        <v/>
      </c>
      <c r="F127" s="35" t="str">
        <f aca="false">IF($A127="","",SUMIFS(VENTAS!$H$6:$H$2005,VENTAS!$A$6:$A$2005,$A127,VENTAS!$M$6:$M$2005,"Tarjeta"))</f>
        <v/>
      </c>
      <c r="G127" s="35" t="str">
        <f aca="false">IF($A127="","",SUMIFS(VENTAS!$H$6:$H$2005,VENTAS!$A$6:$A$2005,$A127)-$D127-$E127-$F127)</f>
        <v/>
      </c>
      <c r="H127" s="35" t="str">
        <f aca="false">IF($A127="","",SUM($D127:$G127))</f>
        <v/>
      </c>
      <c r="I127" s="40"/>
      <c r="J127" s="40"/>
      <c r="K127" s="35" t="str">
        <f aca="false">IF($A127="","",N($C127)+$D127-N($I127)-N($J127))</f>
        <v/>
      </c>
      <c r="L127" s="40"/>
      <c r="M127" s="35" t="str">
        <f aca="false">IF(OR($A127="",$L127=""),"",$L127-$K127)</f>
        <v/>
      </c>
      <c r="N127" s="8" t="str">
        <f aca="false">IF($A127="","",IF($L127="","PENDIENTE",IF(ABS($M127)&lt;1,"OK",IF($M127&lt;0,"FALTANTE","SOBRANTE"))))</f>
        <v/>
      </c>
      <c r="O127" s="6"/>
    </row>
    <row r="128" customFormat="false" ht="15" hidden="false" customHeight="false" outlineLevel="0" collapsed="false">
      <c r="A128" s="44"/>
      <c r="B128" s="6"/>
      <c r="C128" s="40"/>
      <c r="D128" s="35" t="str">
        <f aca="false">IF($A128="","",SUMIFS(VENTAS!$H$6:$H$2005,VENTAS!$A$6:$A$2005,$A128,VENTAS!$M$6:$M$2005,"Efectivo"))</f>
        <v/>
      </c>
      <c r="E128" s="35" t="str">
        <f aca="false">IF($A128="","",SUMIFS(VENTAS!$H$6:$H$2005,VENTAS!$A$6:$A$2005,$A128,VENTAS!$M$6:$M$2005,"SINPE Móvil"))</f>
        <v/>
      </c>
      <c r="F128" s="35" t="str">
        <f aca="false">IF($A128="","",SUMIFS(VENTAS!$H$6:$H$2005,VENTAS!$A$6:$A$2005,$A128,VENTAS!$M$6:$M$2005,"Tarjeta"))</f>
        <v/>
      </c>
      <c r="G128" s="35" t="str">
        <f aca="false">IF($A128="","",SUMIFS(VENTAS!$H$6:$H$2005,VENTAS!$A$6:$A$2005,$A128)-$D128-$E128-$F128)</f>
        <v/>
      </c>
      <c r="H128" s="35" t="str">
        <f aca="false">IF($A128="","",SUM($D128:$G128))</f>
        <v/>
      </c>
      <c r="I128" s="40"/>
      <c r="J128" s="40"/>
      <c r="K128" s="35" t="str">
        <f aca="false">IF($A128="","",N($C128)+$D128-N($I128)-N($J128))</f>
        <v/>
      </c>
      <c r="L128" s="40"/>
      <c r="M128" s="35" t="str">
        <f aca="false">IF(OR($A128="",$L128=""),"",$L128-$K128)</f>
        <v/>
      </c>
      <c r="N128" s="8" t="str">
        <f aca="false">IF($A128="","",IF($L128="","PENDIENTE",IF(ABS($M128)&lt;1,"OK",IF($M128&lt;0,"FALTANTE","SOBRANTE"))))</f>
        <v/>
      </c>
      <c r="O128" s="6"/>
    </row>
    <row r="129" customFormat="false" ht="15" hidden="false" customHeight="false" outlineLevel="0" collapsed="false">
      <c r="A129" s="44"/>
      <c r="B129" s="6"/>
      <c r="C129" s="40"/>
      <c r="D129" s="35" t="str">
        <f aca="false">IF($A129="","",SUMIFS(VENTAS!$H$6:$H$2005,VENTAS!$A$6:$A$2005,$A129,VENTAS!$M$6:$M$2005,"Efectivo"))</f>
        <v/>
      </c>
      <c r="E129" s="35" t="str">
        <f aca="false">IF($A129="","",SUMIFS(VENTAS!$H$6:$H$2005,VENTAS!$A$6:$A$2005,$A129,VENTAS!$M$6:$M$2005,"SINPE Móvil"))</f>
        <v/>
      </c>
      <c r="F129" s="35" t="str">
        <f aca="false">IF($A129="","",SUMIFS(VENTAS!$H$6:$H$2005,VENTAS!$A$6:$A$2005,$A129,VENTAS!$M$6:$M$2005,"Tarjeta"))</f>
        <v/>
      </c>
      <c r="G129" s="35" t="str">
        <f aca="false">IF($A129="","",SUMIFS(VENTAS!$H$6:$H$2005,VENTAS!$A$6:$A$2005,$A129)-$D129-$E129-$F129)</f>
        <v/>
      </c>
      <c r="H129" s="35" t="str">
        <f aca="false">IF($A129="","",SUM($D129:$G129))</f>
        <v/>
      </c>
      <c r="I129" s="40"/>
      <c r="J129" s="40"/>
      <c r="K129" s="35" t="str">
        <f aca="false">IF($A129="","",N($C129)+$D129-N($I129)-N($J129))</f>
        <v/>
      </c>
      <c r="L129" s="40"/>
      <c r="M129" s="35" t="str">
        <f aca="false">IF(OR($A129="",$L129=""),"",$L129-$K129)</f>
        <v/>
      </c>
      <c r="N129" s="8" t="str">
        <f aca="false">IF($A129="","",IF($L129="","PENDIENTE",IF(ABS($M129)&lt;1,"OK",IF($M129&lt;0,"FALTANTE","SOBRANTE"))))</f>
        <v/>
      </c>
      <c r="O129" s="6"/>
    </row>
    <row r="130" customFormat="false" ht="15" hidden="false" customHeight="false" outlineLevel="0" collapsed="false">
      <c r="A130" s="44"/>
      <c r="B130" s="6"/>
      <c r="C130" s="40"/>
      <c r="D130" s="35" t="str">
        <f aca="false">IF($A130="","",SUMIFS(VENTAS!$H$6:$H$2005,VENTAS!$A$6:$A$2005,$A130,VENTAS!$M$6:$M$2005,"Efectivo"))</f>
        <v/>
      </c>
      <c r="E130" s="35" t="str">
        <f aca="false">IF($A130="","",SUMIFS(VENTAS!$H$6:$H$2005,VENTAS!$A$6:$A$2005,$A130,VENTAS!$M$6:$M$2005,"SINPE Móvil"))</f>
        <v/>
      </c>
      <c r="F130" s="35" t="str">
        <f aca="false">IF($A130="","",SUMIFS(VENTAS!$H$6:$H$2005,VENTAS!$A$6:$A$2005,$A130,VENTAS!$M$6:$M$2005,"Tarjeta"))</f>
        <v/>
      </c>
      <c r="G130" s="35" t="str">
        <f aca="false">IF($A130="","",SUMIFS(VENTAS!$H$6:$H$2005,VENTAS!$A$6:$A$2005,$A130)-$D130-$E130-$F130)</f>
        <v/>
      </c>
      <c r="H130" s="35" t="str">
        <f aca="false">IF($A130="","",SUM($D130:$G130))</f>
        <v/>
      </c>
      <c r="I130" s="40"/>
      <c r="J130" s="40"/>
      <c r="K130" s="35" t="str">
        <f aca="false">IF($A130="","",N($C130)+$D130-N($I130)-N($J130))</f>
        <v/>
      </c>
      <c r="L130" s="40"/>
      <c r="M130" s="35" t="str">
        <f aca="false">IF(OR($A130="",$L130=""),"",$L130-$K130)</f>
        <v/>
      </c>
      <c r="N130" s="8" t="str">
        <f aca="false">IF($A130="","",IF($L130="","PENDIENTE",IF(ABS($M130)&lt;1,"OK",IF($M130&lt;0,"FALTANTE","SOBRANTE"))))</f>
        <v/>
      </c>
      <c r="O130" s="6"/>
    </row>
    <row r="131" customFormat="false" ht="15" hidden="false" customHeight="false" outlineLevel="0" collapsed="false">
      <c r="A131" s="44"/>
      <c r="B131" s="6"/>
      <c r="C131" s="40"/>
      <c r="D131" s="35" t="str">
        <f aca="false">IF($A131="","",SUMIFS(VENTAS!$H$6:$H$2005,VENTAS!$A$6:$A$2005,$A131,VENTAS!$M$6:$M$2005,"Efectivo"))</f>
        <v/>
      </c>
      <c r="E131" s="35" t="str">
        <f aca="false">IF($A131="","",SUMIFS(VENTAS!$H$6:$H$2005,VENTAS!$A$6:$A$2005,$A131,VENTAS!$M$6:$M$2005,"SINPE Móvil"))</f>
        <v/>
      </c>
      <c r="F131" s="35" t="str">
        <f aca="false">IF($A131="","",SUMIFS(VENTAS!$H$6:$H$2005,VENTAS!$A$6:$A$2005,$A131,VENTAS!$M$6:$M$2005,"Tarjeta"))</f>
        <v/>
      </c>
      <c r="G131" s="35" t="str">
        <f aca="false">IF($A131="","",SUMIFS(VENTAS!$H$6:$H$2005,VENTAS!$A$6:$A$2005,$A131)-$D131-$E131-$F131)</f>
        <v/>
      </c>
      <c r="H131" s="35" t="str">
        <f aca="false">IF($A131="","",SUM($D131:$G131))</f>
        <v/>
      </c>
      <c r="I131" s="40"/>
      <c r="J131" s="40"/>
      <c r="K131" s="35" t="str">
        <f aca="false">IF($A131="","",N($C131)+$D131-N($I131)-N($J131))</f>
        <v/>
      </c>
      <c r="L131" s="40"/>
      <c r="M131" s="35" t="str">
        <f aca="false">IF(OR($A131="",$L131=""),"",$L131-$K131)</f>
        <v/>
      </c>
      <c r="N131" s="8" t="str">
        <f aca="false">IF($A131="","",IF($L131="","PENDIENTE",IF(ABS($M131)&lt;1,"OK",IF($M131&lt;0,"FALTANTE","SOBRANTE"))))</f>
        <v/>
      </c>
      <c r="O131" s="6"/>
    </row>
    <row r="132" customFormat="false" ht="15" hidden="false" customHeight="false" outlineLevel="0" collapsed="false">
      <c r="A132" s="44"/>
      <c r="B132" s="6"/>
      <c r="C132" s="40"/>
      <c r="D132" s="35" t="str">
        <f aca="false">IF($A132="","",SUMIFS(VENTAS!$H$6:$H$2005,VENTAS!$A$6:$A$2005,$A132,VENTAS!$M$6:$M$2005,"Efectivo"))</f>
        <v/>
      </c>
      <c r="E132" s="35" t="str">
        <f aca="false">IF($A132="","",SUMIFS(VENTAS!$H$6:$H$2005,VENTAS!$A$6:$A$2005,$A132,VENTAS!$M$6:$M$2005,"SINPE Móvil"))</f>
        <v/>
      </c>
      <c r="F132" s="35" t="str">
        <f aca="false">IF($A132="","",SUMIFS(VENTAS!$H$6:$H$2005,VENTAS!$A$6:$A$2005,$A132,VENTAS!$M$6:$M$2005,"Tarjeta"))</f>
        <v/>
      </c>
      <c r="G132" s="35" t="str">
        <f aca="false">IF($A132="","",SUMIFS(VENTAS!$H$6:$H$2005,VENTAS!$A$6:$A$2005,$A132)-$D132-$E132-$F132)</f>
        <v/>
      </c>
      <c r="H132" s="35" t="str">
        <f aca="false">IF($A132="","",SUM($D132:$G132))</f>
        <v/>
      </c>
      <c r="I132" s="40"/>
      <c r="J132" s="40"/>
      <c r="K132" s="35" t="str">
        <f aca="false">IF($A132="","",N($C132)+$D132-N($I132)-N($J132))</f>
        <v/>
      </c>
      <c r="L132" s="40"/>
      <c r="M132" s="35" t="str">
        <f aca="false">IF(OR($A132="",$L132=""),"",$L132-$K132)</f>
        <v/>
      </c>
      <c r="N132" s="8" t="str">
        <f aca="false">IF($A132="","",IF($L132="","PENDIENTE",IF(ABS($M132)&lt;1,"OK",IF($M132&lt;0,"FALTANTE","SOBRANTE"))))</f>
        <v/>
      </c>
      <c r="O132" s="6"/>
    </row>
    <row r="133" customFormat="false" ht="15" hidden="false" customHeight="false" outlineLevel="0" collapsed="false">
      <c r="A133" s="44"/>
      <c r="B133" s="6"/>
      <c r="C133" s="40"/>
      <c r="D133" s="35" t="str">
        <f aca="false">IF($A133="","",SUMIFS(VENTAS!$H$6:$H$2005,VENTAS!$A$6:$A$2005,$A133,VENTAS!$M$6:$M$2005,"Efectivo"))</f>
        <v/>
      </c>
      <c r="E133" s="35" t="str">
        <f aca="false">IF($A133="","",SUMIFS(VENTAS!$H$6:$H$2005,VENTAS!$A$6:$A$2005,$A133,VENTAS!$M$6:$M$2005,"SINPE Móvil"))</f>
        <v/>
      </c>
      <c r="F133" s="35" t="str">
        <f aca="false">IF($A133="","",SUMIFS(VENTAS!$H$6:$H$2005,VENTAS!$A$6:$A$2005,$A133,VENTAS!$M$6:$M$2005,"Tarjeta"))</f>
        <v/>
      </c>
      <c r="G133" s="35" t="str">
        <f aca="false">IF($A133="","",SUMIFS(VENTAS!$H$6:$H$2005,VENTAS!$A$6:$A$2005,$A133)-$D133-$E133-$F133)</f>
        <v/>
      </c>
      <c r="H133" s="35" t="str">
        <f aca="false">IF($A133="","",SUM($D133:$G133))</f>
        <v/>
      </c>
      <c r="I133" s="40"/>
      <c r="J133" s="40"/>
      <c r="K133" s="35" t="str">
        <f aca="false">IF($A133="","",N($C133)+$D133-N($I133)-N($J133))</f>
        <v/>
      </c>
      <c r="L133" s="40"/>
      <c r="M133" s="35" t="str">
        <f aca="false">IF(OR($A133="",$L133=""),"",$L133-$K133)</f>
        <v/>
      </c>
      <c r="N133" s="8" t="str">
        <f aca="false">IF($A133="","",IF($L133="","PENDIENTE",IF(ABS($M133)&lt;1,"OK",IF($M133&lt;0,"FALTANTE","SOBRANTE"))))</f>
        <v/>
      </c>
      <c r="O133" s="6"/>
    </row>
    <row r="134" customFormat="false" ht="15" hidden="false" customHeight="false" outlineLevel="0" collapsed="false">
      <c r="A134" s="44"/>
      <c r="B134" s="6"/>
      <c r="C134" s="40"/>
      <c r="D134" s="35" t="str">
        <f aca="false">IF($A134="","",SUMIFS(VENTAS!$H$6:$H$2005,VENTAS!$A$6:$A$2005,$A134,VENTAS!$M$6:$M$2005,"Efectivo"))</f>
        <v/>
      </c>
      <c r="E134" s="35" t="str">
        <f aca="false">IF($A134="","",SUMIFS(VENTAS!$H$6:$H$2005,VENTAS!$A$6:$A$2005,$A134,VENTAS!$M$6:$M$2005,"SINPE Móvil"))</f>
        <v/>
      </c>
      <c r="F134" s="35" t="str">
        <f aca="false">IF($A134="","",SUMIFS(VENTAS!$H$6:$H$2005,VENTAS!$A$6:$A$2005,$A134,VENTAS!$M$6:$M$2005,"Tarjeta"))</f>
        <v/>
      </c>
      <c r="G134" s="35" t="str">
        <f aca="false">IF($A134="","",SUMIFS(VENTAS!$H$6:$H$2005,VENTAS!$A$6:$A$2005,$A134)-$D134-$E134-$F134)</f>
        <v/>
      </c>
      <c r="H134" s="35" t="str">
        <f aca="false">IF($A134="","",SUM($D134:$G134))</f>
        <v/>
      </c>
      <c r="I134" s="40"/>
      <c r="J134" s="40"/>
      <c r="K134" s="35" t="str">
        <f aca="false">IF($A134="","",N($C134)+$D134-N($I134)-N($J134))</f>
        <v/>
      </c>
      <c r="L134" s="40"/>
      <c r="M134" s="35" t="str">
        <f aca="false">IF(OR($A134="",$L134=""),"",$L134-$K134)</f>
        <v/>
      </c>
      <c r="N134" s="8" t="str">
        <f aca="false">IF($A134="","",IF($L134="","PENDIENTE",IF(ABS($M134)&lt;1,"OK",IF($M134&lt;0,"FALTANTE","SOBRANTE"))))</f>
        <v/>
      </c>
      <c r="O134" s="6"/>
    </row>
    <row r="135" customFormat="false" ht="15" hidden="false" customHeight="false" outlineLevel="0" collapsed="false">
      <c r="A135" s="44"/>
      <c r="B135" s="6"/>
      <c r="C135" s="40"/>
      <c r="D135" s="35" t="str">
        <f aca="false">IF($A135="","",SUMIFS(VENTAS!$H$6:$H$2005,VENTAS!$A$6:$A$2005,$A135,VENTAS!$M$6:$M$2005,"Efectivo"))</f>
        <v/>
      </c>
      <c r="E135" s="35" t="str">
        <f aca="false">IF($A135="","",SUMIFS(VENTAS!$H$6:$H$2005,VENTAS!$A$6:$A$2005,$A135,VENTAS!$M$6:$M$2005,"SINPE Móvil"))</f>
        <v/>
      </c>
      <c r="F135" s="35" t="str">
        <f aca="false">IF($A135="","",SUMIFS(VENTAS!$H$6:$H$2005,VENTAS!$A$6:$A$2005,$A135,VENTAS!$M$6:$M$2005,"Tarjeta"))</f>
        <v/>
      </c>
      <c r="G135" s="35" t="str">
        <f aca="false">IF($A135="","",SUMIFS(VENTAS!$H$6:$H$2005,VENTAS!$A$6:$A$2005,$A135)-$D135-$E135-$F135)</f>
        <v/>
      </c>
      <c r="H135" s="35" t="str">
        <f aca="false">IF($A135="","",SUM($D135:$G135))</f>
        <v/>
      </c>
      <c r="I135" s="40"/>
      <c r="J135" s="40"/>
      <c r="K135" s="35" t="str">
        <f aca="false">IF($A135="","",N($C135)+$D135-N($I135)-N($J135))</f>
        <v/>
      </c>
      <c r="L135" s="40"/>
      <c r="M135" s="35" t="str">
        <f aca="false">IF(OR($A135="",$L135=""),"",$L135-$K135)</f>
        <v/>
      </c>
      <c r="N135" s="8" t="str">
        <f aca="false">IF($A135="","",IF($L135="","PENDIENTE",IF(ABS($M135)&lt;1,"OK",IF($M135&lt;0,"FALTANTE","SOBRANTE"))))</f>
        <v/>
      </c>
      <c r="O135" s="6"/>
    </row>
    <row r="136" customFormat="false" ht="15" hidden="false" customHeight="false" outlineLevel="0" collapsed="false">
      <c r="A136" s="44"/>
      <c r="B136" s="6"/>
      <c r="C136" s="40"/>
      <c r="D136" s="35" t="str">
        <f aca="false">IF($A136="","",SUMIFS(VENTAS!$H$6:$H$2005,VENTAS!$A$6:$A$2005,$A136,VENTAS!$M$6:$M$2005,"Efectivo"))</f>
        <v/>
      </c>
      <c r="E136" s="35" t="str">
        <f aca="false">IF($A136="","",SUMIFS(VENTAS!$H$6:$H$2005,VENTAS!$A$6:$A$2005,$A136,VENTAS!$M$6:$M$2005,"SINPE Móvil"))</f>
        <v/>
      </c>
      <c r="F136" s="35" t="str">
        <f aca="false">IF($A136="","",SUMIFS(VENTAS!$H$6:$H$2005,VENTAS!$A$6:$A$2005,$A136,VENTAS!$M$6:$M$2005,"Tarjeta"))</f>
        <v/>
      </c>
      <c r="G136" s="35" t="str">
        <f aca="false">IF($A136="","",SUMIFS(VENTAS!$H$6:$H$2005,VENTAS!$A$6:$A$2005,$A136)-$D136-$E136-$F136)</f>
        <v/>
      </c>
      <c r="H136" s="35" t="str">
        <f aca="false">IF($A136="","",SUM($D136:$G136))</f>
        <v/>
      </c>
      <c r="I136" s="40"/>
      <c r="J136" s="40"/>
      <c r="K136" s="35" t="str">
        <f aca="false">IF($A136="","",N($C136)+$D136-N($I136)-N($J136))</f>
        <v/>
      </c>
      <c r="L136" s="40"/>
      <c r="M136" s="35" t="str">
        <f aca="false">IF(OR($A136="",$L136=""),"",$L136-$K136)</f>
        <v/>
      </c>
      <c r="N136" s="8" t="str">
        <f aca="false">IF($A136="","",IF($L136="","PENDIENTE",IF(ABS($M136)&lt;1,"OK",IF($M136&lt;0,"FALTANTE","SOBRANTE"))))</f>
        <v/>
      </c>
      <c r="O136" s="6"/>
    </row>
    <row r="137" customFormat="false" ht="15" hidden="false" customHeight="false" outlineLevel="0" collapsed="false">
      <c r="A137" s="44"/>
      <c r="B137" s="6"/>
      <c r="C137" s="40"/>
      <c r="D137" s="35" t="str">
        <f aca="false">IF($A137="","",SUMIFS(VENTAS!$H$6:$H$2005,VENTAS!$A$6:$A$2005,$A137,VENTAS!$M$6:$M$2005,"Efectivo"))</f>
        <v/>
      </c>
      <c r="E137" s="35" t="str">
        <f aca="false">IF($A137="","",SUMIFS(VENTAS!$H$6:$H$2005,VENTAS!$A$6:$A$2005,$A137,VENTAS!$M$6:$M$2005,"SINPE Móvil"))</f>
        <v/>
      </c>
      <c r="F137" s="35" t="str">
        <f aca="false">IF($A137="","",SUMIFS(VENTAS!$H$6:$H$2005,VENTAS!$A$6:$A$2005,$A137,VENTAS!$M$6:$M$2005,"Tarjeta"))</f>
        <v/>
      </c>
      <c r="G137" s="35" t="str">
        <f aca="false">IF($A137="","",SUMIFS(VENTAS!$H$6:$H$2005,VENTAS!$A$6:$A$2005,$A137)-$D137-$E137-$F137)</f>
        <v/>
      </c>
      <c r="H137" s="35" t="str">
        <f aca="false">IF($A137="","",SUM($D137:$G137))</f>
        <v/>
      </c>
      <c r="I137" s="40"/>
      <c r="J137" s="40"/>
      <c r="K137" s="35" t="str">
        <f aca="false">IF($A137="","",N($C137)+$D137-N($I137)-N($J137))</f>
        <v/>
      </c>
      <c r="L137" s="40"/>
      <c r="M137" s="35" t="str">
        <f aca="false">IF(OR($A137="",$L137=""),"",$L137-$K137)</f>
        <v/>
      </c>
      <c r="N137" s="8" t="str">
        <f aca="false">IF($A137="","",IF($L137="","PENDIENTE",IF(ABS($M137)&lt;1,"OK",IF($M137&lt;0,"FALTANTE","SOBRANTE"))))</f>
        <v/>
      </c>
      <c r="O137" s="6"/>
    </row>
    <row r="138" customFormat="false" ht="15" hidden="false" customHeight="false" outlineLevel="0" collapsed="false">
      <c r="A138" s="44"/>
      <c r="B138" s="6"/>
      <c r="C138" s="40"/>
      <c r="D138" s="35" t="str">
        <f aca="false">IF($A138="","",SUMIFS(VENTAS!$H$6:$H$2005,VENTAS!$A$6:$A$2005,$A138,VENTAS!$M$6:$M$2005,"Efectivo"))</f>
        <v/>
      </c>
      <c r="E138" s="35" t="str">
        <f aca="false">IF($A138="","",SUMIFS(VENTAS!$H$6:$H$2005,VENTAS!$A$6:$A$2005,$A138,VENTAS!$M$6:$M$2005,"SINPE Móvil"))</f>
        <v/>
      </c>
      <c r="F138" s="35" t="str">
        <f aca="false">IF($A138="","",SUMIFS(VENTAS!$H$6:$H$2005,VENTAS!$A$6:$A$2005,$A138,VENTAS!$M$6:$M$2005,"Tarjeta"))</f>
        <v/>
      </c>
      <c r="G138" s="35" t="str">
        <f aca="false">IF($A138="","",SUMIFS(VENTAS!$H$6:$H$2005,VENTAS!$A$6:$A$2005,$A138)-$D138-$E138-$F138)</f>
        <v/>
      </c>
      <c r="H138" s="35" t="str">
        <f aca="false">IF($A138="","",SUM($D138:$G138))</f>
        <v/>
      </c>
      <c r="I138" s="40"/>
      <c r="J138" s="40"/>
      <c r="K138" s="35" t="str">
        <f aca="false">IF($A138="","",N($C138)+$D138-N($I138)-N($J138))</f>
        <v/>
      </c>
      <c r="L138" s="40"/>
      <c r="M138" s="35" t="str">
        <f aca="false">IF(OR($A138="",$L138=""),"",$L138-$K138)</f>
        <v/>
      </c>
      <c r="N138" s="8" t="str">
        <f aca="false">IF($A138="","",IF($L138="","PENDIENTE",IF(ABS($M138)&lt;1,"OK",IF($M138&lt;0,"FALTANTE","SOBRANTE"))))</f>
        <v/>
      </c>
      <c r="O138" s="6"/>
    </row>
    <row r="139" customFormat="false" ht="15" hidden="false" customHeight="false" outlineLevel="0" collapsed="false">
      <c r="A139" s="44"/>
      <c r="B139" s="6"/>
      <c r="C139" s="40"/>
      <c r="D139" s="35" t="str">
        <f aca="false">IF($A139="","",SUMIFS(VENTAS!$H$6:$H$2005,VENTAS!$A$6:$A$2005,$A139,VENTAS!$M$6:$M$2005,"Efectivo"))</f>
        <v/>
      </c>
      <c r="E139" s="35" t="str">
        <f aca="false">IF($A139="","",SUMIFS(VENTAS!$H$6:$H$2005,VENTAS!$A$6:$A$2005,$A139,VENTAS!$M$6:$M$2005,"SINPE Móvil"))</f>
        <v/>
      </c>
      <c r="F139" s="35" t="str">
        <f aca="false">IF($A139="","",SUMIFS(VENTAS!$H$6:$H$2005,VENTAS!$A$6:$A$2005,$A139,VENTAS!$M$6:$M$2005,"Tarjeta"))</f>
        <v/>
      </c>
      <c r="G139" s="35" t="str">
        <f aca="false">IF($A139="","",SUMIFS(VENTAS!$H$6:$H$2005,VENTAS!$A$6:$A$2005,$A139)-$D139-$E139-$F139)</f>
        <v/>
      </c>
      <c r="H139" s="35" t="str">
        <f aca="false">IF($A139="","",SUM($D139:$G139))</f>
        <v/>
      </c>
      <c r="I139" s="40"/>
      <c r="J139" s="40"/>
      <c r="K139" s="35" t="str">
        <f aca="false">IF($A139="","",N($C139)+$D139-N($I139)-N($J139))</f>
        <v/>
      </c>
      <c r="L139" s="40"/>
      <c r="M139" s="35" t="str">
        <f aca="false">IF(OR($A139="",$L139=""),"",$L139-$K139)</f>
        <v/>
      </c>
      <c r="N139" s="8" t="str">
        <f aca="false">IF($A139="","",IF($L139="","PENDIENTE",IF(ABS($M139)&lt;1,"OK",IF($M139&lt;0,"FALTANTE","SOBRANTE"))))</f>
        <v/>
      </c>
      <c r="O139" s="6"/>
    </row>
    <row r="140" customFormat="false" ht="15" hidden="false" customHeight="false" outlineLevel="0" collapsed="false">
      <c r="A140" s="44"/>
      <c r="B140" s="6"/>
      <c r="C140" s="40"/>
      <c r="D140" s="35" t="str">
        <f aca="false">IF($A140="","",SUMIFS(VENTAS!$H$6:$H$2005,VENTAS!$A$6:$A$2005,$A140,VENTAS!$M$6:$M$2005,"Efectivo"))</f>
        <v/>
      </c>
      <c r="E140" s="35" t="str">
        <f aca="false">IF($A140="","",SUMIFS(VENTAS!$H$6:$H$2005,VENTAS!$A$6:$A$2005,$A140,VENTAS!$M$6:$M$2005,"SINPE Móvil"))</f>
        <v/>
      </c>
      <c r="F140" s="35" t="str">
        <f aca="false">IF($A140="","",SUMIFS(VENTAS!$H$6:$H$2005,VENTAS!$A$6:$A$2005,$A140,VENTAS!$M$6:$M$2005,"Tarjeta"))</f>
        <v/>
      </c>
      <c r="G140" s="35" t="str">
        <f aca="false">IF($A140="","",SUMIFS(VENTAS!$H$6:$H$2005,VENTAS!$A$6:$A$2005,$A140)-$D140-$E140-$F140)</f>
        <v/>
      </c>
      <c r="H140" s="35" t="str">
        <f aca="false">IF($A140="","",SUM($D140:$G140))</f>
        <v/>
      </c>
      <c r="I140" s="40"/>
      <c r="J140" s="40"/>
      <c r="K140" s="35" t="str">
        <f aca="false">IF($A140="","",N($C140)+$D140-N($I140)-N($J140))</f>
        <v/>
      </c>
      <c r="L140" s="40"/>
      <c r="M140" s="35" t="str">
        <f aca="false">IF(OR($A140="",$L140=""),"",$L140-$K140)</f>
        <v/>
      </c>
      <c r="N140" s="8" t="str">
        <f aca="false">IF($A140="","",IF($L140="","PENDIENTE",IF(ABS($M140)&lt;1,"OK",IF($M140&lt;0,"FALTANTE","SOBRANTE"))))</f>
        <v/>
      </c>
      <c r="O140" s="6"/>
    </row>
    <row r="141" customFormat="false" ht="15" hidden="false" customHeight="false" outlineLevel="0" collapsed="false">
      <c r="A141" s="44"/>
      <c r="B141" s="6"/>
      <c r="C141" s="40"/>
      <c r="D141" s="35" t="str">
        <f aca="false">IF($A141="","",SUMIFS(VENTAS!$H$6:$H$2005,VENTAS!$A$6:$A$2005,$A141,VENTAS!$M$6:$M$2005,"Efectivo"))</f>
        <v/>
      </c>
      <c r="E141" s="35" t="str">
        <f aca="false">IF($A141="","",SUMIFS(VENTAS!$H$6:$H$2005,VENTAS!$A$6:$A$2005,$A141,VENTAS!$M$6:$M$2005,"SINPE Móvil"))</f>
        <v/>
      </c>
      <c r="F141" s="35" t="str">
        <f aca="false">IF($A141="","",SUMIFS(VENTAS!$H$6:$H$2005,VENTAS!$A$6:$A$2005,$A141,VENTAS!$M$6:$M$2005,"Tarjeta"))</f>
        <v/>
      </c>
      <c r="G141" s="35" t="str">
        <f aca="false">IF($A141="","",SUMIFS(VENTAS!$H$6:$H$2005,VENTAS!$A$6:$A$2005,$A141)-$D141-$E141-$F141)</f>
        <v/>
      </c>
      <c r="H141" s="35" t="str">
        <f aca="false">IF($A141="","",SUM($D141:$G141))</f>
        <v/>
      </c>
      <c r="I141" s="40"/>
      <c r="J141" s="40"/>
      <c r="K141" s="35" t="str">
        <f aca="false">IF($A141="","",N($C141)+$D141-N($I141)-N($J141))</f>
        <v/>
      </c>
      <c r="L141" s="40"/>
      <c r="M141" s="35" t="str">
        <f aca="false">IF(OR($A141="",$L141=""),"",$L141-$K141)</f>
        <v/>
      </c>
      <c r="N141" s="8" t="str">
        <f aca="false">IF($A141="","",IF($L141="","PENDIENTE",IF(ABS($M141)&lt;1,"OK",IF($M141&lt;0,"FALTANTE","SOBRANTE"))))</f>
        <v/>
      </c>
      <c r="O141" s="6"/>
    </row>
    <row r="142" customFormat="false" ht="15" hidden="false" customHeight="false" outlineLevel="0" collapsed="false">
      <c r="A142" s="44"/>
      <c r="B142" s="6"/>
      <c r="C142" s="40"/>
      <c r="D142" s="35" t="str">
        <f aca="false">IF($A142="","",SUMIFS(VENTAS!$H$6:$H$2005,VENTAS!$A$6:$A$2005,$A142,VENTAS!$M$6:$M$2005,"Efectivo"))</f>
        <v/>
      </c>
      <c r="E142" s="35" t="str">
        <f aca="false">IF($A142="","",SUMIFS(VENTAS!$H$6:$H$2005,VENTAS!$A$6:$A$2005,$A142,VENTAS!$M$6:$M$2005,"SINPE Móvil"))</f>
        <v/>
      </c>
      <c r="F142" s="35" t="str">
        <f aca="false">IF($A142="","",SUMIFS(VENTAS!$H$6:$H$2005,VENTAS!$A$6:$A$2005,$A142,VENTAS!$M$6:$M$2005,"Tarjeta"))</f>
        <v/>
      </c>
      <c r="G142" s="35" t="str">
        <f aca="false">IF($A142="","",SUMIFS(VENTAS!$H$6:$H$2005,VENTAS!$A$6:$A$2005,$A142)-$D142-$E142-$F142)</f>
        <v/>
      </c>
      <c r="H142" s="35" t="str">
        <f aca="false">IF($A142="","",SUM($D142:$G142))</f>
        <v/>
      </c>
      <c r="I142" s="40"/>
      <c r="J142" s="40"/>
      <c r="K142" s="35" t="str">
        <f aca="false">IF($A142="","",N($C142)+$D142-N($I142)-N($J142))</f>
        <v/>
      </c>
      <c r="L142" s="40"/>
      <c r="M142" s="35" t="str">
        <f aca="false">IF(OR($A142="",$L142=""),"",$L142-$K142)</f>
        <v/>
      </c>
      <c r="N142" s="8" t="str">
        <f aca="false">IF($A142="","",IF($L142="","PENDIENTE",IF(ABS($M142)&lt;1,"OK",IF($M142&lt;0,"FALTANTE","SOBRANTE"))))</f>
        <v/>
      </c>
      <c r="O142" s="6"/>
    </row>
    <row r="143" customFormat="false" ht="15" hidden="false" customHeight="false" outlineLevel="0" collapsed="false">
      <c r="A143" s="44"/>
      <c r="B143" s="6"/>
      <c r="C143" s="40"/>
      <c r="D143" s="35" t="str">
        <f aca="false">IF($A143="","",SUMIFS(VENTAS!$H$6:$H$2005,VENTAS!$A$6:$A$2005,$A143,VENTAS!$M$6:$M$2005,"Efectivo"))</f>
        <v/>
      </c>
      <c r="E143" s="35" t="str">
        <f aca="false">IF($A143="","",SUMIFS(VENTAS!$H$6:$H$2005,VENTAS!$A$6:$A$2005,$A143,VENTAS!$M$6:$M$2005,"SINPE Móvil"))</f>
        <v/>
      </c>
      <c r="F143" s="35" t="str">
        <f aca="false">IF($A143="","",SUMIFS(VENTAS!$H$6:$H$2005,VENTAS!$A$6:$A$2005,$A143,VENTAS!$M$6:$M$2005,"Tarjeta"))</f>
        <v/>
      </c>
      <c r="G143" s="35" t="str">
        <f aca="false">IF($A143="","",SUMIFS(VENTAS!$H$6:$H$2005,VENTAS!$A$6:$A$2005,$A143)-$D143-$E143-$F143)</f>
        <v/>
      </c>
      <c r="H143" s="35" t="str">
        <f aca="false">IF($A143="","",SUM($D143:$G143))</f>
        <v/>
      </c>
      <c r="I143" s="40"/>
      <c r="J143" s="40"/>
      <c r="K143" s="35" t="str">
        <f aca="false">IF($A143="","",N($C143)+$D143-N($I143)-N($J143))</f>
        <v/>
      </c>
      <c r="L143" s="40"/>
      <c r="M143" s="35" t="str">
        <f aca="false">IF(OR($A143="",$L143=""),"",$L143-$K143)</f>
        <v/>
      </c>
      <c r="N143" s="8" t="str">
        <f aca="false">IF($A143="","",IF($L143="","PENDIENTE",IF(ABS($M143)&lt;1,"OK",IF($M143&lt;0,"FALTANTE","SOBRANTE"))))</f>
        <v/>
      </c>
      <c r="O143" s="6"/>
    </row>
    <row r="144" customFormat="false" ht="15" hidden="false" customHeight="false" outlineLevel="0" collapsed="false">
      <c r="A144" s="44"/>
      <c r="B144" s="6"/>
      <c r="C144" s="40"/>
      <c r="D144" s="35" t="str">
        <f aca="false">IF($A144="","",SUMIFS(VENTAS!$H$6:$H$2005,VENTAS!$A$6:$A$2005,$A144,VENTAS!$M$6:$M$2005,"Efectivo"))</f>
        <v/>
      </c>
      <c r="E144" s="35" t="str">
        <f aca="false">IF($A144="","",SUMIFS(VENTAS!$H$6:$H$2005,VENTAS!$A$6:$A$2005,$A144,VENTAS!$M$6:$M$2005,"SINPE Móvil"))</f>
        <v/>
      </c>
      <c r="F144" s="35" t="str">
        <f aca="false">IF($A144="","",SUMIFS(VENTAS!$H$6:$H$2005,VENTAS!$A$6:$A$2005,$A144,VENTAS!$M$6:$M$2005,"Tarjeta"))</f>
        <v/>
      </c>
      <c r="G144" s="35" t="str">
        <f aca="false">IF($A144="","",SUMIFS(VENTAS!$H$6:$H$2005,VENTAS!$A$6:$A$2005,$A144)-$D144-$E144-$F144)</f>
        <v/>
      </c>
      <c r="H144" s="35" t="str">
        <f aca="false">IF($A144="","",SUM($D144:$G144))</f>
        <v/>
      </c>
      <c r="I144" s="40"/>
      <c r="J144" s="40"/>
      <c r="K144" s="35" t="str">
        <f aca="false">IF($A144="","",N($C144)+$D144-N($I144)-N($J144))</f>
        <v/>
      </c>
      <c r="L144" s="40"/>
      <c r="M144" s="35" t="str">
        <f aca="false">IF(OR($A144="",$L144=""),"",$L144-$K144)</f>
        <v/>
      </c>
      <c r="N144" s="8" t="str">
        <f aca="false">IF($A144="","",IF($L144="","PENDIENTE",IF(ABS($M144)&lt;1,"OK",IF($M144&lt;0,"FALTANTE","SOBRANTE"))))</f>
        <v/>
      </c>
      <c r="O144" s="6"/>
    </row>
    <row r="145" customFormat="false" ht="15" hidden="false" customHeight="false" outlineLevel="0" collapsed="false">
      <c r="A145" s="44"/>
      <c r="B145" s="6"/>
      <c r="C145" s="40"/>
      <c r="D145" s="35" t="str">
        <f aca="false">IF($A145="","",SUMIFS(VENTAS!$H$6:$H$2005,VENTAS!$A$6:$A$2005,$A145,VENTAS!$M$6:$M$2005,"Efectivo"))</f>
        <v/>
      </c>
      <c r="E145" s="35" t="str">
        <f aca="false">IF($A145="","",SUMIFS(VENTAS!$H$6:$H$2005,VENTAS!$A$6:$A$2005,$A145,VENTAS!$M$6:$M$2005,"SINPE Móvil"))</f>
        <v/>
      </c>
      <c r="F145" s="35" t="str">
        <f aca="false">IF($A145="","",SUMIFS(VENTAS!$H$6:$H$2005,VENTAS!$A$6:$A$2005,$A145,VENTAS!$M$6:$M$2005,"Tarjeta"))</f>
        <v/>
      </c>
      <c r="G145" s="35" t="str">
        <f aca="false">IF($A145="","",SUMIFS(VENTAS!$H$6:$H$2005,VENTAS!$A$6:$A$2005,$A145)-$D145-$E145-$F145)</f>
        <v/>
      </c>
      <c r="H145" s="35" t="str">
        <f aca="false">IF($A145="","",SUM($D145:$G145))</f>
        <v/>
      </c>
      <c r="I145" s="40"/>
      <c r="J145" s="40"/>
      <c r="K145" s="35" t="str">
        <f aca="false">IF($A145="","",N($C145)+$D145-N($I145)-N($J145))</f>
        <v/>
      </c>
      <c r="L145" s="40"/>
      <c r="M145" s="35" t="str">
        <f aca="false">IF(OR($A145="",$L145=""),"",$L145-$K145)</f>
        <v/>
      </c>
      <c r="N145" s="8" t="str">
        <f aca="false">IF($A145="","",IF($L145="","PENDIENTE",IF(ABS($M145)&lt;1,"OK",IF($M145&lt;0,"FALTANTE","SOBRANTE"))))</f>
        <v/>
      </c>
      <c r="O145" s="6"/>
    </row>
    <row r="146" customFormat="false" ht="15" hidden="false" customHeight="false" outlineLevel="0" collapsed="false">
      <c r="A146" s="44"/>
      <c r="B146" s="6"/>
      <c r="C146" s="40"/>
      <c r="D146" s="35" t="str">
        <f aca="false">IF($A146="","",SUMIFS(VENTAS!$H$6:$H$2005,VENTAS!$A$6:$A$2005,$A146,VENTAS!$M$6:$M$2005,"Efectivo"))</f>
        <v/>
      </c>
      <c r="E146" s="35" t="str">
        <f aca="false">IF($A146="","",SUMIFS(VENTAS!$H$6:$H$2005,VENTAS!$A$6:$A$2005,$A146,VENTAS!$M$6:$M$2005,"SINPE Móvil"))</f>
        <v/>
      </c>
      <c r="F146" s="35" t="str">
        <f aca="false">IF($A146="","",SUMIFS(VENTAS!$H$6:$H$2005,VENTAS!$A$6:$A$2005,$A146,VENTAS!$M$6:$M$2005,"Tarjeta"))</f>
        <v/>
      </c>
      <c r="G146" s="35" t="str">
        <f aca="false">IF($A146="","",SUMIFS(VENTAS!$H$6:$H$2005,VENTAS!$A$6:$A$2005,$A146)-$D146-$E146-$F146)</f>
        <v/>
      </c>
      <c r="H146" s="35" t="str">
        <f aca="false">IF($A146="","",SUM($D146:$G146))</f>
        <v/>
      </c>
      <c r="I146" s="40"/>
      <c r="J146" s="40"/>
      <c r="K146" s="35" t="str">
        <f aca="false">IF($A146="","",N($C146)+$D146-N($I146)-N($J146))</f>
        <v/>
      </c>
      <c r="L146" s="40"/>
      <c r="M146" s="35" t="str">
        <f aca="false">IF(OR($A146="",$L146=""),"",$L146-$K146)</f>
        <v/>
      </c>
      <c r="N146" s="8" t="str">
        <f aca="false">IF($A146="","",IF($L146="","PENDIENTE",IF(ABS($M146)&lt;1,"OK",IF($M146&lt;0,"FALTANTE","SOBRANTE"))))</f>
        <v/>
      </c>
      <c r="O146" s="6"/>
    </row>
    <row r="147" customFormat="false" ht="15" hidden="false" customHeight="false" outlineLevel="0" collapsed="false">
      <c r="A147" s="44"/>
      <c r="B147" s="6"/>
      <c r="C147" s="40"/>
      <c r="D147" s="35" t="str">
        <f aca="false">IF($A147="","",SUMIFS(VENTAS!$H$6:$H$2005,VENTAS!$A$6:$A$2005,$A147,VENTAS!$M$6:$M$2005,"Efectivo"))</f>
        <v/>
      </c>
      <c r="E147" s="35" t="str">
        <f aca="false">IF($A147="","",SUMIFS(VENTAS!$H$6:$H$2005,VENTAS!$A$6:$A$2005,$A147,VENTAS!$M$6:$M$2005,"SINPE Móvil"))</f>
        <v/>
      </c>
      <c r="F147" s="35" t="str">
        <f aca="false">IF($A147="","",SUMIFS(VENTAS!$H$6:$H$2005,VENTAS!$A$6:$A$2005,$A147,VENTAS!$M$6:$M$2005,"Tarjeta"))</f>
        <v/>
      </c>
      <c r="G147" s="35" t="str">
        <f aca="false">IF($A147="","",SUMIFS(VENTAS!$H$6:$H$2005,VENTAS!$A$6:$A$2005,$A147)-$D147-$E147-$F147)</f>
        <v/>
      </c>
      <c r="H147" s="35" t="str">
        <f aca="false">IF($A147="","",SUM($D147:$G147))</f>
        <v/>
      </c>
      <c r="I147" s="40"/>
      <c r="J147" s="40"/>
      <c r="K147" s="35" t="str">
        <f aca="false">IF($A147="","",N($C147)+$D147-N($I147)-N($J147))</f>
        <v/>
      </c>
      <c r="L147" s="40"/>
      <c r="M147" s="35" t="str">
        <f aca="false">IF(OR($A147="",$L147=""),"",$L147-$K147)</f>
        <v/>
      </c>
      <c r="N147" s="8" t="str">
        <f aca="false">IF($A147="","",IF($L147="","PENDIENTE",IF(ABS($M147)&lt;1,"OK",IF($M147&lt;0,"FALTANTE","SOBRANTE"))))</f>
        <v/>
      </c>
      <c r="O147" s="6"/>
    </row>
    <row r="148" customFormat="false" ht="15" hidden="false" customHeight="false" outlineLevel="0" collapsed="false">
      <c r="A148" s="44"/>
      <c r="B148" s="6"/>
      <c r="C148" s="40"/>
      <c r="D148" s="35" t="str">
        <f aca="false">IF($A148="","",SUMIFS(VENTAS!$H$6:$H$2005,VENTAS!$A$6:$A$2005,$A148,VENTAS!$M$6:$M$2005,"Efectivo"))</f>
        <v/>
      </c>
      <c r="E148" s="35" t="str">
        <f aca="false">IF($A148="","",SUMIFS(VENTAS!$H$6:$H$2005,VENTAS!$A$6:$A$2005,$A148,VENTAS!$M$6:$M$2005,"SINPE Móvil"))</f>
        <v/>
      </c>
      <c r="F148" s="35" t="str">
        <f aca="false">IF($A148="","",SUMIFS(VENTAS!$H$6:$H$2005,VENTAS!$A$6:$A$2005,$A148,VENTAS!$M$6:$M$2005,"Tarjeta"))</f>
        <v/>
      </c>
      <c r="G148" s="35" t="str">
        <f aca="false">IF($A148="","",SUMIFS(VENTAS!$H$6:$H$2005,VENTAS!$A$6:$A$2005,$A148)-$D148-$E148-$F148)</f>
        <v/>
      </c>
      <c r="H148" s="35" t="str">
        <f aca="false">IF($A148="","",SUM($D148:$G148))</f>
        <v/>
      </c>
      <c r="I148" s="40"/>
      <c r="J148" s="40"/>
      <c r="K148" s="35" t="str">
        <f aca="false">IF($A148="","",N($C148)+$D148-N($I148)-N($J148))</f>
        <v/>
      </c>
      <c r="L148" s="40"/>
      <c r="M148" s="35" t="str">
        <f aca="false">IF(OR($A148="",$L148=""),"",$L148-$K148)</f>
        <v/>
      </c>
      <c r="N148" s="8" t="str">
        <f aca="false">IF($A148="","",IF($L148="","PENDIENTE",IF(ABS($M148)&lt;1,"OK",IF($M148&lt;0,"FALTANTE","SOBRANTE"))))</f>
        <v/>
      </c>
      <c r="O148" s="6"/>
    </row>
    <row r="149" customFormat="false" ht="15" hidden="false" customHeight="false" outlineLevel="0" collapsed="false">
      <c r="A149" s="44"/>
      <c r="B149" s="6"/>
      <c r="C149" s="40"/>
      <c r="D149" s="35" t="str">
        <f aca="false">IF($A149="","",SUMIFS(VENTAS!$H$6:$H$2005,VENTAS!$A$6:$A$2005,$A149,VENTAS!$M$6:$M$2005,"Efectivo"))</f>
        <v/>
      </c>
      <c r="E149" s="35" t="str">
        <f aca="false">IF($A149="","",SUMIFS(VENTAS!$H$6:$H$2005,VENTAS!$A$6:$A$2005,$A149,VENTAS!$M$6:$M$2005,"SINPE Móvil"))</f>
        <v/>
      </c>
      <c r="F149" s="35" t="str">
        <f aca="false">IF($A149="","",SUMIFS(VENTAS!$H$6:$H$2005,VENTAS!$A$6:$A$2005,$A149,VENTAS!$M$6:$M$2005,"Tarjeta"))</f>
        <v/>
      </c>
      <c r="G149" s="35" t="str">
        <f aca="false">IF($A149="","",SUMIFS(VENTAS!$H$6:$H$2005,VENTAS!$A$6:$A$2005,$A149)-$D149-$E149-$F149)</f>
        <v/>
      </c>
      <c r="H149" s="35" t="str">
        <f aca="false">IF($A149="","",SUM($D149:$G149))</f>
        <v/>
      </c>
      <c r="I149" s="40"/>
      <c r="J149" s="40"/>
      <c r="K149" s="35" t="str">
        <f aca="false">IF($A149="","",N($C149)+$D149-N($I149)-N($J149))</f>
        <v/>
      </c>
      <c r="L149" s="40"/>
      <c r="M149" s="35" t="str">
        <f aca="false">IF(OR($A149="",$L149=""),"",$L149-$K149)</f>
        <v/>
      </c>
      <c r="N149" s="8" t="str">
        <f aca="false">IF($A149="","",IF($L149="","PENDIENTE",IF(ABS($M149)&lt;1,"OK",IF($M149&lt;0,"FALTANTE","SOBRANTE"))))</f>
        <v/>
      </c>
      <c r="O149" s="6"/>
    </row>
    <row r="150" customFormat="false" ht="15" hidden="false" customHeight="false" outlineLevel="0" collapsed="false">
      <c r="A150" s="44"/>
      <c r="B150" s="6"/>
      <c r="C150" s="40"/>
      <c r="D150" s="35" t="str">
        <f aca="false">IF($A150="","",SUMIFS(VENTAS!$H$6:$H$2005,VENTAS!$A$6:$A$2005,$A150,VENTAS!$M$6:$M$2005,"Efectivo"))</f>
        <v/>
      </c>
      <c r="E150" s="35" t="str">
        <f aca="false">IF($A150="","",SUMIFS(VENTAS!$H$6:$H$2005,VENTAS!$A$6:$A$2005,$A150,VENTAS!$M$6:$M$2005,"SINPE Móvil"))</f>
        <v/>
      </c>
      <c r="F150" s="35" t="str">
        <f aca="false">IF($A150="","",SUMIFS(VENTAS!$H$6:$H$2005,VENTAS!$A$6:$A$2005,$A150,VENTAS!$M$6:$M$2005,"Tarjeta"))</f>
        <v/>
      </c>
      <c r="G150" s="35" t="str">
        <f aca="false">IF($A150="","",SUMIFS(VENTAS!$H$6:$H$2005,VENTAS!$A$6:$A$2005,$A150)-$D150-$E150-$F150)</f>
        <v/>
      </c>
      <c r="H150" s="35" t="str">
        <f aca="false">IF($A150="","",SUM($D150:$G150))</f>
        <v/>
      </c>
      <c r="I150" s="40"/>
      <c r="J150" s="40"/>
      <c r="K150" s="35" t="str">
        <f aca="false">IF($A150="","",N($C150)+$D150-N($I150)-N($J150))</f>
        <v/>
      </c>
      <c r="L150" s="40"/>
      <c r="M150" s="35" t="str">
        <f aca="false">IF(OR($A150="",$L150=""),"",$L150-$K150)</f>
        <v/>
      </c>
      <c r="N150" s="8" t="str">
        <f aca="false">IF($A150="","",IF($L150="","PENDIENTE",IF(ABS($M150)&lt;1,"OK",IF($M150&lt;0,"FALTANTE","SOBRANTE"))))</f>
        <v/>
      </c>
      <c r="O150" s="6"/>
    </row>
    <row r="151" customFormat="false" ht="15" hidden="false" customHeight="false" outlineLevel="0" collapsed="false">
      <c r="A151" s="44"/>
      <c r="B151" s="6"/>
      <c r="C151" s="40"/>
      <c r="D151" s="35" t="str">
        <f aca="false">IF($A151="","",SUMIFS(VENTAS!$H$6:$H$2005,VENTAS!$A$6:$A$2005,$A151,VENTAS!$M$6:$M$2005,"Efectivo"))</f>
        <v/>
      </c>
      <c r="E151" s="35" t="str">
        <f aca="false">IF($A151="","",SUMIFS(VENTAS!$H$6:$H$2005,VENTAS!$A$6:$A$2005,$A151,VENTAS!$M$6:$M$2005,"SINPE Móvil"))</f>
        <v/>
      </c>
      <c r="F151" s="35" t="str">
        <f aca="false">IF($A151="","",SUMIFS(VENTAS!$H$6:$H$2005,VENTAS!$A$6:$A$2005,$A151,VENTAS!$M$6:$M$2005,"Tarjeta"))</f>
        <v/>
      </c>
      <c r="G151" s="35" t="str">
        <f aca="false">IF($A151="","",SUMIFS(VENTAS!$H$6:$H$2005,VENTAS!$A$6:$A$2005,$A151)-$D151-$E151-$F151)</f>
        <v/>
      </c>
      <c r="H151" s="35" t="str">
        <f aca="false">IF($A151="","",SUM($D151:$G151))</f>
        <v/>
      </c>
      <c r="I151" s="40"/>
      <c r="J151" s="40"/>
      <c r="K151" s="35" t="str">
        <f aca="false">IF($A151="","",N($C151)+$D151-N($I151)-N($J151))</f>
        <v/>
      </c>
      <c r="L151" s="40"/>
      <c r="M151" s="35" t="str">
        <f aca="false">IF(OR($A151="",$L151=""),"",$L151-$K151)</f>
        <v/>
      </c>
      <c r="N151" s="8" t="str">
        <f aca="false">IF($A151="","",IF($L151="","PENDIENTE",IF(ABS($M151)&lt;1,"OK",IF($M151&lt;0,"FALTANTE","SOBRANTE"))))</f>
        <v/>
      </c>
      <c r="O151" s="6"/>
    </row>
    <row r="152" customFormat="false" ht="15" hidden="false" customHeight="false" outlineLevel="0" collapsed="false">
      <c r="A152" s="44"/>
      <c r="B152" s="6"/>
      <c r="C152" s="40"/>
      <c r="D152" s="35" t="str">
        <f aca="false">IF($A152="","",SUMIFS(VENTAS!$H$6:$H$2005,VENTAS!$A$6:$A$2005,$A152,VENTAS!$M$6:$M$2005,"Efectivo"))</f>
        <v/>
      </c>
      <c r="E152" s="35" t="str">
        <f aca="false">IF($A152="","",SUMIFS(VENTAS!$H$6:$H$2005,VENTAS!$A$6:$A$2005,$A152,VENTAS!$M$6:$M$2005,"SINPE Móvil"))</f>
        <v/>
      </c>
      <c r="F152" s="35" t="str">
        <f aca="false">IF($A152="","",SUMIFS(VENTAS!$H$6:$H$2005,VENTAS!$A$6:$A$2005,$A152,VENTAS!$M$6:$M$2005,"Tarjeta"))</f>
        <v/>
      </c>
      <c r="G152" s="35" t="str">
        <f aca="false">IF($A152="","",SUMIFS(VENTAS!$H$6:$H$2005,VENTAS!$A$6:$A$2005,$A152)-$D152-$E152-$F152)</f>
        <v/>
      </c>
      <c r="H152" s="35" t="str">
        <f aca="false">IF($A152="","",SUM($D152:$G152))</f>
        <v/>
      </c>
      <c r="I152" s="40"/>
      <c r="J152" s="40"/>
      <c r="K152" s="35" t="str">
        <f aca="false">IF($A152="","",N($C152)+$D152-N($I152)-N($J152))</f>
        <v/>
      </c>
      <c r="L152" s="40"/>
      <c r="M152" s="35" t="str">
        <f aca="false">IF(OR($A152="",$L152=""),"",$L152-$K152)</f>
        <v/>
      </c>
      <c r="N152" s="8" t="str">
        <f aca="false">IF($A152="","",IF($L152="","PENDIENTE",IF(ABS($M152)&lt;1,"OK",IF($M152&lt;0,"FALTANTE","SOBRANTE"))))</f>
        <v/>
      </c>
      <c r="O152" s="6"/>
    </row>
    <row r="153" customFormat="false" ht="15" hidden="false" customHeight="false" outlineLevel="0" collapsed="false">
      <c r="A153" s="44"/>
      <c r="B153" s="6"/>
      <c r="C153" s="40"/>
      <c r="D153" s="35" t="str">
        <f aca="false">IF($A153="","",SUMIFS(VENTAS!$H$6:$H$2005,VENTAS!$A$6:$A$2005,$A153,VENTAS!$M$6:$M$2005,"Efectivo"))</f>
        <v/>
      </c>
      <c r="E153" s="35" t="str">
        <f aca="false">IF($A153="","",SUMIFS(VENTAS!$H$6:$H$2005,VENTAS!$A$6:$A$2005,$A153,VENTAS!$M$6:$M$2005,"SINPE Móvil"))</f>
        <v/>
      </c>
      <c r="F153" s="35" t="str">
        <f aca="false">IF($A153="","",SUMIFS(VENTAS!$H$6:$H$2005,VENTAS!$A$6:$A$2005,$A153,VENTAS!$M$6:$M$2005,"Tarjeta"))</f>
        <v/>
      </c>
      <c r="G153" s="35" t="str">
        <f aca="false">IF($A153="","",SUMIFS(VENTAS!$H$6:$H$2005,VENTAS!$A$6:$A$2005,$A153)-$D153-$E153-$F153)</f>
        <v/>
      </c>
      <c r="H153" s="35" t="str">
        <f aca="false">IF($A153="","",SUM($D153:$G153))</f>
        <v/>
      </c>
      <c r="I153" s="40"/>
      <c r="J153" s="40"/>
      <c r="K153" s="35" t="str">
        <f aca="false">IF($A153="","",N($C153)+$D153-N($I153)-N($J153))</f>
        <v/>
      </c>
      <c r="L153" s="40"/>
      <c r="M153" s="35" t="str">
        <f aca="false">IF(OR($A153="",$L153=""),"",$L153-$K153)</f>
        <v/>
      </c>
      <c r="N153" s="8" t="str">
        <f aca="false">IF($A153="","",IF($L153="","PENDIENTE",IF(ABS($M153)&lt;1,"OK",IF($M153&lt;0,"FALTANTE","SOBRANTE"))))</f>
        <v/>
      </c>
      <c r="O153" s="6"/>
    </row>
    <row r="154" customFormat="false" ht="15" hidden="false" customHeight="false" outlineLevel="0" collapsed="false">
      <c r="A154" s="44"/>
      <c r="B154" s="6"/>
      <c r="C154" s="40"/>
      <c r="D154" s="35" t="str">
        <f aca="false">IF($A154="","",SUMIFS(VENTAS!$H$6:$H$2005,VENTAS!$A$6:$A$2005,$A154,VENTAS!$M$6:$M$2005,"Efectivo"))</f>
        <v/>
      </c>
      <c r="E154" s="35" t="str">
        <f aca="false">IF($A154="","",SUMIFS(VENTAS!$H$6:$H$2005,VENTAS!$A$6:$A$2005,$A154,VENTAS!$M$6:$M$2005,"SINPE Móvil"))</f>
        <v/>
      </c>
      <c r="F154" s="35" t="str">
        <f aca="false">IF($A154="","",SUMIFS(VENTAS!$H$6:$H$2005,VENTAS!$A$6:$A$2005,$A154,VENTAS!$M$6:$M$2005,"Tarjeta"))</f>
        <v/>
      </c>
      <c r="G154" s="35" t="str">
        <f aca="false">IF($A154="","",SUMIFS(VENTAS!$H$6:$H$2005,VENTAS!$A$6:$A$2005,$A154)-$D154-$E154-$F154)</f>
        <v/>
      </c>
      <c r="H154" s="35" t="str">
        <f aca="false">IF($A154="","",SUM($D154:$G154))</f>
        <v/>
      </c>
      <c r="I154" s="40"/>
      <c r="J154" s="40"/>
      <c r="K154" s="35" t="str">
        <f aca="false">IF($A154="","",N($C154)+$D154-N($I154)-N($J154))</f>
        <v/>
      </c>
      <c r="L154" s="40"/>
      <c r="M154" s="35" t="str">
        <f aca="false">IF(OR($A154="",$L154=""),"",$L154-$K154)</f>
        <v/>
      </c>
      <c r="N154" s="8" t="str">
        <f aca="false">IF($A154="","",IF($L154="","PENDIENTE",IF(ABS($M154)&lt;1,"OK",IF($M154&lt;0,"FALTANTE","SOBRANTE"))))</f>
        <v/>
      </c>
      <c r="O154" s="6"/>
    </row>
    <row r="155" customFormat="false" ht="15" hidden="false" customHeight="false" outlineLevel="0" collapsed="false">
      <c r="A155" s="44"/>
      <c r="B155" s="6"/>
      <c r="C155" s="40"/>
      <c r="D155" s="35" t="str">
        <f aca="false">IF($A155="","",SUMIFS(VENTAS!$H$6:$H$2005,VENTAS!$A$6:$A$2005,$A155,VENTAS!$M$6:$M$2005,"Efectivo"))</f>
        <v/>
      </c>
      <c r="E155" s="35" t="str">
        <f aca="false">IF($A155="","",SUMIFS(VENTAS!$H$6:$H$2005,VENTAS!$A$6:$A$2005,$A155,VENTAS!$M$6:$M$2005,"SINPE Móvil"))</f>
        <v/>
      </c>
      <c r="F155" s="35" t="str">
        <f aca="false">IF($A155="","",SUMIFS(VENTAS!$H$6:$H$2005,VENTAS!$A$6:$A$2005,$A155,VENTAS!$M$6:$M$2005,"Tarjeta"))</f>
        <v/>
      </c>
      <c r="G155" s="35" t="str">
        <f aca="false">IF($A155="","",SUMIFS(VENTAS!$H$6:$H$2005,VENTAS!$A$6:$A$2005,$A155)-$D155-$E155-$F155)</f>
        <v/>
      </c>
      <c r="H155" s="35" t="str">
        <f aca="false">IF($A155="","",SUM($D155:$G155))</f>
        <v/>
      </c>
      <c r="I155" s="40"/>
      <c r="J155" s="40"/>
      <c r="K155" s="35" t="str">
        <f aca="false">IF($A155="","",N($C155)+$D155-N($I155)-N($J155))</f>
        <v/>
      </c>
      <c r="L155" s="40"/>
      <c r="M155" s="35" t="str">
        <f aca="false">IF(OR($A155="",$L155=""),"",$L155-$K155)</f>
        <v/>
      </c>
      <c r="N155" s="8" t="str">
        <f aca="false">IF($A155="","",IF($L155="","PENDIENTE",IF(ABS($M155)&lt;1,"OK",IF($M155&lt;0,"FALTANTE","SOBRANTE"))))</f>
        <v/>
      </c>
      <c r="O155" s="6"/>
    </row>
    <row r="156" customFormat="false" ht="15" hidden="false" customHeight="false" outlineLevel="0" collapsed="false">
      <c r="A156" s="44"/>
      <c r="B156" s="6"/>
      <c r="C156" s="40"/>
      <c r="D156" s="35" t="str">
        <f aca="false">IF($A156="","",SUMIFS(VENTAS!$H$6:$H$2005,VENTAS!$A$6:$A$2005,$A156,VENTAS!$M$6:$M$2005,"Efectivo"))</f>
        <v/>
      </c>
      <c r="E156" s="35" t="str">
        <f aca="false">IF($A156="","",SUMIFS(VENTAS!$H$6:$H$2005,VENTAS!$A$6:$A$2005,$A156,VENTAS!$M$6:$M$2005,"SINPE Móvil"))</f>
        <v/>
      </c>
      <c r="F156" s="35" t="str">
        <f aca="false">IF($A156="","",SUMIFS(VENTAS!$H$6:$H$2005,VENTAS!$A$6:$A$2005,$A156,VENTAS!$M$6:$M$2005,"Tarjeta"))</f>
        <v/>
      </c>
      <c r="G156" s="35" t="str">
        <f aca="false">IF($A156="","",SUMIFS(VENTAS!$H$6:$H$2005,VENTAS!$A$6:$A$2005,$A156)-$D156-$E156-$F156)</f>
        <v/>
      </c>
      <c r="H156" s="35" t="str">
        <f aca="false">IF($A156="","",SUM($D156:$G156))</f>
        <v/>
      </c>
      <c r="I156" s="40"/>
      <c r="J156" s="40"/>
      <c r="K156" s="35" t="str">
        <f aca="false">IF($A156="","",N($C156)+$D156-N($I156)-N($J156))</f>
        <v/>
      </c>
      <c r="L156" s="40"/>
      <c r="M156" s="35" t="str">
        <f aca="false">IF(OR($A156="",$L156=""),"",$L156-$K156)</f>
        <v/>
      </c>
      <c r="N156" s="8" t="str">
        <f aca="false">IF($A156="","",IF($L156="","PENDIENTE",IF(ABS($M156)&lt;1,"OK",IF($M156&lt;0,"FALTANTE","SOBRANTE"))))</f>
        <v/>
      </c>
      <c r="O156" s="6"/>
    </row>
    <row r="157" customFormat="false" ht="15" hidden="false" customHeight="false" outlineLevel="0" collapsed="false">
      <c r="A157" s="44"/>
      <c r="B157" s="6"/>
      <c r="C157" s="40"/>
      <c r="D157" s="35" t="str">
        <f aca="false">IF($A157="","",SUMIFS(VENTAS!$H$6:$H$2005,VENTAS!$A$6:$A$2005,$A157,VENTAS!$M$6:$M$2005,"Efectivo"))</f>
        <v/>
      </c>
      <c r="E157" s="35" t="str">
        <f aca="false">IF($A157="","",SUMIFS(VENTAS!$H$6:$H$2005,VENTAS!$A$6:$A$2005,$A157,VENTAS!$M$6:$M$2005,"SINPE Móvil"))</f>
        <v/>
      </c>
      <c r="F157" s="35" t="str">
        <f aca="false">IF($A157="","",SUMIFS(VENTAS!$H$6:$H$2005,VENTAS!$A$6:$A$2005,$A157,VENTAS!$M$6:$M$2005,"Tarjeta"))</f>
        <v/>
      </c>
      <c r="G157" s="35" t="str">
        <f aca="false">IF($A157="","",SUMIFS(VENTAS!$H$6:$H$2005,VENTAS!$A$6:$A$2005,$A157)-$D157-$E157-$F157)</f>
        <v/>
      </c>
      <c r="H157" s="35" t="str">
        <f aca="false">IF($A157="","",SUM($D157:$G157))</f>
        <v/>
      </c>
      <c r="I157" s="40"/>
      <c r="J157" s="40"/>
      <c r="K157" s="35" t="str">
        <f aca="false">IF($A157="","",N($C157)+$D157-N($I157)-N($J157))</f>
        <v/>
      </c>
      <c r="L157" s="40"/>
      <c r="M157" s="35" t="str">
        <f aca="false">IF(OR($A157="",$L157=""),"",$L157-$K157)</f>
        <v/>
      </c>
      <c r="N157" s="8" t="str">
        <f aca="false">IF($A157="","",IF($L157="","PENDIENTE",IF(ABS($M157)&lt;1,"OK",IF($M157&lt;0,"FALTANTE","SOBRANTE"))))</f>
        <v/>
      </c>
      <c r="O157" s="6"/>
    </row>
    <row r="158" customFormat="false" ht="15" hidden="false" customHeight="false" outlineLevel="0" collapsed="false">
      <c r="A158" s="44"/>
      <c r="B158" s="6"/>
      <c r="C158" s="40"/>
      <c r="D158" s="35" t="str">
        <f aca="false">IF($A158="","",SUMIFS(VENTAS!$H$6:$H$2005,VENTAS!$A$6:$A$2005,$A158,VENTAS!$M$6:$M$2005,"Efectivo"))</f>
        <v/>
      </c>
      <c r="E158" s="35" t="str">
        <f aca="false">IF($A158="","",SUMIFS(VENTAS!$H$6:$H$2005,VENTAS!$A$6:$A$2005,$A158,VENTAS!$M$6:$M$2005,"SINPE Móvil"))</f>
        <v/>
      </c>
      <c r="F158" s="35" t="str">
        <f aca="false">IF($A158="","",SUMIFS(VENTAS!$H$6:$H$2005,VENTAS!$A$6:$A$2005,$A158,VENTAS!$M$6:$M$2005,"Tarjeta"))</f>
        <v/>
      </c>
      <c r="G158" s="35" t="str">
        <f aca="false">IF($A158="","",SUMIFS(VENTAS!$H$6:$H$2005,VENTAS!$A$6:$A$2005,$A158)-$D158-$E158-$F158)</f>
        <v/>
      </c>
      <c r="H158" s="35" t="str">
        <f aca="false">IF($A158="","",SUM($D158:$G158))</f>
        <v/>
      </c>
      <c r="I158" s="40"/>
      <c r="J158" s="40"/>
      <c r="K158" s="35" t="str">
        <f aca="false">IF($A158="","",N($C158)+$D158-N($I158)-N($J158))</f>
        <v/>
      </c>
      <c r="L158" s="40"/>
      <c r="M158" s="35" t="str">
        <f aca="false">IF(OR($A158="",$L158=""),"",$L158-$K158)</f>
        <v/>
      </c>
      <c r="N158" s="8" t="str">
        <f aca="false">IF($A158="","",IF($L158="","PENDIENTE",IF(ABS($M158)&lt;1,"OK",IF($M158&lt;0,"FALTANTE","SOBRANTE"))))</f>
        <v/>
      </c>
      <c r="O158" s="6"/>
    </row>
    <row r="159" customFormat="false" ht="15" hidden="false" customHeight="false" outlineLevel="0" collapsed="false">
      <c r="A159" s="44"/>
      <c r="B159" s="6"/>
      <c r="C159" s="40"/>
      <c r="D159" s="35" t="str">
        <f aca="false">IF($A159="","",SUMIFS(VENTAS!$H$6:$H$2005,VENTAS!$A$6:$A$2005,$A159,VENTAS!$M$6:$M$2005,"Efectivo"))</f>
        <v/>
      </c>
      <c r="E159" s="35" t="str">
        <f aca="false">IF($A159="","",SUMIFS(VENTAS!$H$6:$H$2005,VENTAS!$A$6:$A$2005,$A159,VENTAS!$M$6:$M$2005,"SINPE Móvil"))</f>
        <v/>
      </c>
      <c r="F159" s="35" t="str">
        <f aca="false">IF($A159="","",SUMIFS(VENTAS!$H$6:$H$2005,VENTAS!$A$6:$A$2005,$A159,VENTAS!$M$6:$M$2005,"Tarjeta"))</f>
        <v/>
      </c>
      <c r="G159" s="35" t="str">
        <f aca="false">IF($A159="","",SUMIFS(VENTAS!$H$6:$H$2005,VENTAS!$A$6:$A$2005,$A159)-$D159-$E159-$F159)</f>
        <v/>
      </c>
      <c r="H159" s="35" t="str">
        <f aca="false">IF($A159="","",SUM($D159:$G159))</f>
        <v/>
      </c>
      <c r="I159" s="40"/>
      <c r="J159" s="40"/>
      <c r="K159" s="35" t="str">
        <f aca="false">IF($A159="","",N($C159)+$D159-N($I159)-N($J159))</f>
        <v/>
      </c>
      <c r="L159" s="40"/>
      <c r="M159" s="35" t="str">
        <f aca="false">IF(OR($A159="",$L159=""),"",$L159-$K159)</f>
        <v/>
      </c>
      <c r="N159" s="8" t="str">
        <f aca="false">IF($A159="","",IF($L159="","PENDIENTE",IF(ABS($M159)&lt;1,"OK",IF($M159&lt;0,"FALTANTE","SOBRANTE"))))</f>
        <v/>
      </c>
      <c r="O159" s="6"/>
    </row>
    <row r="160" customFormat="false" ht="15" hidden="false" customHeight="false" outlineLevel="0" collapsed="false">
      <c r="A160" s="44"/>
      <c r="B160" s="6"/>
      <c r="C160" s="40"/>
      <c r="D160" s="35" t="str">
        <f aca="false">IF($A160="","",SUMIFS(VENTAS!$H$6:$H$2005,VENTAS!$A$6:$A$2005,$A160,VENTAS!$M$6:$M$2005,"Efectivo"))</f>
        <v/>
      </c>
      <c r="E160" s="35" t="str">
        <f aca="false">IF($A160="","",SUMIFS(VENTAS!$H$6:$H$2005,VENTAS!$A$6:$A$2005,$A160,VENTAS!$M$6:$M$2005,"SINPE Móvil"))</f>
        <v/>
      </c>
      <c r="F160" s="35" t="str">
        <f aca="false">IF($A160="","",SUMIFS(VENTAS!$H$6:$H$2005,VENTAS!$A$6:$A$2005,$A160,VENTAS!$M$6:$M$2005,"Tarjeta"))</f>
        <v/>
      </c>
      <c r="G160" s="35" t="str">
        <f aca="false">IF($A160="","",SUMIFS(VENTAS!$H$6:$H$2005,VENTAS!$A$6:$A$2005,$A160)-$D160-$E160-$F160)</f>
        <v/>
      </c>
      <c r="H160" s="35" t="str">
        <f aca="false">IF($A160="","",SUM($D160:$G160))</f>
        <v/>
      </c>
      <c r="I160" s="40"/>
      <c r="J160" s="40"/>
      <c r="K160" s="35" t="str">
        <f aca="false">IF($A160="","",N($C160)+$D160-N($I160)-N($J160))</f>
        <v/>
      </c>
      <c r="L160" s="40"/>
      <c r="M160" s="35" t="str">
        <f aca="false">IF(OR($A160="",$L160=""),"",$L160-$K160)</f>
        <v/>
      </c>
      <c r="N160" s="8" t="str">
        <f aca="false">IF($A160="","",IF($L160="","PENDIENTE",IF(ABS($M160)&lt;1,"OK",IF($M160&lt;0,"FALTANTE","SOBRANTE"))))</f>
        <v/>
      </c>
      <c r="O160" s="6"/>
    </row>
    <row r="161" customFormat="false" ht="15" hidden="false" customHeight="false" outlineLevel="0" collapsed="false">
      <c r="A161" s="44"/>
      <c r="B161" s="6"/>
      <c r="C161" s="40"/>
      <c r="D161" s="35" t="str">
        <f aca="false">IF($A161="","",SUMIFS(VENTAS!$H$6:$H$2005,VENTAS!$A$6:$A$2005,$A161,VENTAS!$M$6:$M$2005,"Efectivo"))</f>
        <v/>
      </c>
      <c r="E161" s="35" t="str">
        <f aca="false">IF($A161="","",SUMIFS(VENTAS!$H$6:$H$2005,VENTAS!$A$6:$A$2005,$A161,VENTAS!$M$6:$M$2005,"SINPE Móvil"))</f>
        <v/>
      </c>
      <c r="F161" s="35" t="str">
        <f aca="false">IF($A161="","",SUMIFS(VENTAS!$H$6:$H$2005,VENTAS!$A$6:$A$2005,$A161,VENTAS!$M$6:$M$2005,"Tarjeta"))</f>
        <v/>
      </c>
      <c r="G161" s="35" t="str">
        <f aca="false">IF($A161="","",SUMIFS(VENTAS!$H$6:$H$2005,VENTAS!$A$6:$A$2005,$A161)-$D161-$E161-$F161)</f>
        <v/>
      </c>
      <c r="H161" s="35" t="str">
        <f aca="false">IF($A161="","",SUM($D161:$G161))</f>
        <v/>
      </c>
      <c r="I161" s="40"/>
      <c r="J161" s="40"/>
      <c r="K161" s="35" t="str">
        <f aca="false">IF($A161="","",N($C161)+$D161-N($I161)-N($J161))</f>
        <v/>
      </c>
      <c r="L161" s="40"/>
      <c r="M161" s="35" t="str">
        <f aca="false">IF(OR($A161="",$L161=""),"",$L161-$K161)</f>
        <v/>
      </c>
      <c r="N161" s="8" t="str">
        <f aca="false">IF($A161="","",IF($L161="","PENDIENTE",IF(ABS($M161)&lt;1,"OK",IF($M161&lt;0,"FALTANTE","SOBRANTE"))))</f>
        <v/>
      </c>
      <c r="O161" s="6"/>
    </row>
    <row r="162" customFormat="false" ht="15" hidden="false" customHeight="false" outlineLevel="0" collapsed="false">
      <c r="A162" s="44"/>
      <c r="B162" s="6"/>
      <c r="C162" s="40"/>
      <c r="D162" s="35" t="str">
        <f aca="false">IF($A162="","",SUMIFS(VENTAS!$H$6:$H$2005,VENTAS!$A$6:$A$2005,$A162,VENTAS!$M$6:$M$2005,"Efectivo"))</f>
        <v/>
      </c>
      <c r="E162" s="35" t="str">
        <f aca="false">IF($A162="","",SUMIFS(VENTAS!$H$6:$H$2005,VENTAS!$A$6:$A$2005,$A162,VENTAS!$M$6:$M$2005,"SINPE Móvil"))</f>
        <v/>
      </c>
      <c r="F162" s="35" t="str">
        <f aca="false">IF($A162="","",SUMIFS(VENTAS!$H$6:$H$2005,VENTAS!$A$6:$A$2005,$A162,VENTAS!$M$6:$M$2005,"Tarjeta"))</f>
        <v/>
      </c>
      <c r="G162" s="35" t="str">
        <f aca="false">IF($A162="","",SUMIFS(VENTAS!$H$6:$H$2005,VENTAS!$A$6:$A$2005,$A162)-$D162-$E162-$F162)</f>
        <v/>
      </c>
      <c r="H162" s="35" t="str">
        <f aca="false">IF($A162="","",SUM($D162:$G162))</f>
        <v/>
      </c>
      <c r="I162" s="40"/>
      <c r="J162" s="40"/>
      <c r="K162" s="35" t="str">
        <f aca="false">IF($A162="","",N($C162)+$D162-N($I162)-N($J162))</f>
        <v/>
      </c>
      <c r="L162" s="40"/>
      <c r="M162" s="35" t="str">
        <f aca="false">IF(OR($A162="",$L162=""),"",$L162-$K162)</f>
        <v/>
      </c>
      <c r="N162" s="8" t="str">
        <f aca="false">IF($A162="","",IF($L162="","PENDIENTE",IF(ABS($M162)&lt;1,"OK",IF($M162&lt;0,"FALTANTE","SOBRANTE"))))</f>
        <v/>
      </c>
      <c r="O162" s="6"/>
    </row>
    <row r="163" customFormat="false" ht="15" hidden="false" customHeight="false" outlineLevel="0" collapsed="false">
      <c r="A163" s="44"/>
      <c r="B163" s="6"/>
      <c r="C163" s="40"/>
      <c r="D163" s="35" t="str">
        <f aca="false">IF($A163="","",SUMIFS(VENTAS!$H$6:$H$2005,VENTAS!$A$6:$A$2005,$A163,VENTAS!$M$6:$M$2005,"Efectivo"))</f>
        <v/>
      </c>
      <c r="E163" s="35" t="str">
        <f aca="false">IF($A163="","",SUMIFS(VENTAS!$H$6:$H$2005,VENTAS!$A$6:$A$2005,$A163,VENTAS!$M$6:$M$2005,"SINPE Móvil"))</f>
        <v/>
      </c>
      <c r="F163" s="35" t="str">
        <f aca="false">IF($A163="","",SUMIFS(VENTAS!$H$6:$H$2005,VENTAS!$A$6:$A$2005,$A163,VENTAS!$M$6:$M$2005,"Tarjeta"))</f>
        <v/>
      </c>
      <c r="G163" s="35" t="str">
        <f aca="false">IF($A163="","",SUMIFS(VENTAS!$H$6:$H$2005,VENTAS!$A$6:$A$2005,$A163)-$D163-$E163-$F163)</f>
        <v/>
      </c>
      <c r="H163" s="35" t="str">
        <f aca="false">IF($A163="","",SUM($D163:$G163))</f>
        <v/>
      </c>
      <c r="I163" s="40"/>
      <c r="J163" s="40"/>
      <c r="K163" s="35" t="str">
        <f aca="false">IF($A163="","",N($C163)+$D163-N($I163)-N($J163))</f>
        <v/>
      </c>
      <c r="L163" s="40"/>
      <c r="M163" s="35" t="str">
        <f aca="false">IF(OR($A163="",$L163=""),"",$L163-$K163)</f>
        <v/>
      </c>
      <c r="N163" s="8" t="str">
        <f aca="false">IF($A163="","",IF($L163="","PENDIENTE",IF(ABS($M163)&lt;1,"OK",IF($M163&lt;0,"FALTANTE","SOBRANTE"))))</f>
        <v/>
      </c>
      <c r="O163" s="6"/>
    </row>
    <row r="164" customFormat="false" ht="15" hidden="false" customHeight="false" outlineLevel="0" collapsed="false">
      <c r="A164" s="44"/>
      <c r="B164" s="6"/>
      <c r="C164" s="40"/>
      <c r="D164" s="35" t="str">
        <f aca="false">IF($A164="","",SUMIFS(VENTAS!$H$6:$H$2005,VENTAS!$A$6:$A$2005,$A164,VENTAS!$M$6:$M$2005,"Efectivo"))</f>
        <v/>
      </c>
      <c r="E164" s="35" t="str">
        <f aca="false">IF($A164="","",SUMIFS(VENTAS!$H$6:$H$2005,VENTAS!$A$6:$A$2005,$A164,VENTAS!$M$6:$M$2005,"SINPE Móvil"))</f>
        <v/>
      </c>
      <c r="F164" s="35" t="str">
        <f aca="false">IF($A164="","",SUMIFS(VENTAS!$H$6:$H$2005,VENTAS!$A$6:$A$2005,$A164,VENTAS!$M$6:$M$2005,"Tarjeta"))</f>
        <v/>
      </c>
      <c r="G164" s="35" t="str">
        <f aca="false">IF($A164="","",SUMIFS(VENTAS!$H$6:$H$2005,VENTAS!$A$6:$A$2005,$A164)-$D164-$E164-$F164)</f>
        <v/>
      </c>
      <c r="H164" s="35" t="str">
        <f aca="false">IF($A164="","",SUM($D164:$G164))</f>
        <v/>
      </c>
      <c r="I164" s="40"/>
      <c r="J164" s="40"/>
      <c r="K164" s="35" t="str">
        <f aca="false">IF($A164="","",N($C164)+$D164-N($I164)-N($J164))</f>
        <v/>
      </c>
      <c r="L164" s="40"/>
      <c r="M164" s="35" t="str">
        <f aca="false">IF(OR($A164="",$L164=""),"",$L164-$K164)</f>
        <v/>
      </c>
      <c r="N164" s="8" t="str">
        <f aca="false">IF($A164="","",IF($L164="","PENDIENTE",IF(ABS($M164)&lt;1,"OK",IF($M164&lt;0,"FALTANTE","SOBRANTE"))))</f>
        <v/>
      </c>
      <c r="O164" s="6"/>
    </row>
    <row r="165" customFormat="false" ht="15" hidden="false" customHeight="false" outlineLevel="0" collapsed="false">
      <c r="A165" s="44"/>
      <c r="B165" s="6"/>
      <c r="C165" s="40"/>
      <c r="D165" s="35" t="str">
        <f aca="false">IF($A165="","",SUMIFS(VENTAS!$H$6:$H$2005,VENTAS!$A$6:$A$2005,$A165,VENTAS!$M$6:$M$2005,"Efectivo"))</f>
        <v/>
      </c>
      <c r="E165" s="35" t="str">
        <f aca="false">IF($A165="","",SUMIFS(VENTAS!$H$6:$H$2005,VENTAS!$A$6:$A$2005,$A165,VENTAS!$M$6:$M$2005,"SINPE Móvil"))</f>
        <v/>
      </c>
      <c r="F165" s="35" t="str">
        <f aca="false">IF($A165="","",SUMIFS(VENTAS!$H$6:$H$2005,VENTAS!$A$6:$A$2005,$A165,VENTAS!$M$6:$M$2005,"Tarjeta"))</f>
        <v/>
      </c>
      <c r="G165" s="35" t="str">
        <f aca="false">IF($A165="","",SUMIFS(VENTAS!$H$6:$H$2005,VENTAS!$A$6:$A$2005,$A165)-$D165-$E165-$F165)</f>
        <v/>
      </c>
      <c r="H165" s="35" t="str">
        <f aca="false">IF($A165="","",SUM($D165:$G165))</f>
        <v/>
      </c>
      <c r="I165" s="40"/>
      <c r="J165" s="40"/>
      <c r="K165" s="35" t="str">
        <f aca="false">IF($A165="","",N($C165)+$D165-N($I165)-N($J165))</f>
        <v/>
      </c>
      <c r="L165" s="40"/>
      <c r="M165" s="35" t="str">
        <f aca="false">IF(OR($A165="",$L165=""),"",$L165-$K165)</f>
        <v/>
      </c>
      <c r="N165" s="8" t="str">
        <f aca="false">IF($A165="","",IF($L165="","PENDIENTE",IF(ABS($M165)&lt;1,"OK",IF($M165&lt;0,"FALTANTE","SOBRANTE"))))</f>
        <v/>
      </c>
      <c r="O165" s="6"/>
    </row>
    <row r="166" customFormat="false" ht="15" hidden="false" customHeight="false" outlineLevel="0" collapsed="false">
      <c r="A166" s="44"/>
      <c r="B166" s="6"/>
      <c r="C166" s="40"/>
      <c r="D166" s="35" t="str">
        <f aca="false">IF($A166="","",SUMIFS(VENTAS!$H$6:$H$2005,VENTAS!$A$6:$A$2005,$A166,VENTAS!$M$6:$M$2005,"Efectivo"))</f>
        <v/>
      </c>
      <c r="E166" s="35" t="str">
        <f aca="false">IF($A166="","",SUMIFS(VENTAS!$H$6:$H$2005,VENTAS!$A$6:$A$2005,$A166,VENTAS!$M$6:$M$2005,"SINPE Móvil"))</f>
        <v/>
      </c>
      <c r="F166" s="35" t="str">
        <f aca="false">IF($A166="","",SUMIFS(VENTAS!$H$6:$H$2005,VENTAS!$A$6:$A$2005,$A166,VENTAS!$M$6:$M$2005,"Tarjeta"))</f>
        <v/>
      </c>
      <c r="G166" s="35" t="str">
        <f aca="false">IF($A166="","",SUMIFS(VENTAS!$H$6:$H$2005,VENTAS!$A$6:$A$2005,$A166)-$D166-$E166-$F166)</f>
        <v/>
      </c>
      <c r="H166" s="35" t="str">
        <f aca="false">IF($A166="","",SUM($D166:$G166))</f>
        <v/>
      </c>
      <c r="I166" s="40"/>
      <c r="J166" s="40"/>
      <c r="K166" s="35" t="str">
        <f aca="false">IF($A166="","",N($C166)+$D166-N($I166)-N($J166))</f>
        <v/>
      </c>
      <c r="L166" s="40"/>
      <c r="M166" s="35" t="str">
        <f aca="false">IF(OR($A166="",$L166=""),"",$L166-$K166)</f>
        <v/>
      </c>
      <c r="N166" s="8" t="str">
        <f aca="false">IF($A166="","",IF($L166="","PENDIENTE",IF(ABS($M166)&lt;1,"OK",IF($M166&lt;0,"FALTANTE","SOBRANTE"))))</f>
        <v/>
      </c>
      <c r="O166" s="6"/>
    </row>
    <row r="167" customFormat="false" ht="15" hidden="false" customHeight="false" outlineLevel="0" collapsed="false">
      <c r="A167" s="44"/>
      <c r="B167" s="6"/>
      <c r="C167" s="40"/>
      <c r="D167" s="35" t="str">
        <f aca="false">IF($A167="","",SUMIFS(VENTAS!$H$6:$H$2005,VENTAS!$A$6:$A$2005,$A167,VENTAS!$M$6:$M$2005,"Efectivo"))</f>
        <v/>
      </c>
      <c r="E167" s="35" t="str">
        <f aca="false">IF($A167="","",SUMIFS(VENTAS!$H$6:$H$2005,VENTAS!$A$6:$A$2005,$A167,VENTAS!$M$6:$M$2005,"SINPE Móvil"))</f>
        <v/>
      </c>
      <c r="F167" s="35" t="str">
        <f aca="false">IF($A167="","",SUMIFS(VENTAS!$H$6:$H$2005,VENTAS!$A$6:$A$2005,$A167,VENTAS!$M$6:$M$2005,"Tarjeta"))</f>
        <v/>
      </c>
      <c r="G167" s="35" t="str">
        <f aca="false">IF($A167="","",SUMIFS(VENTAS!$H$6:$H$2005,VENTAS!$A$6:$A$2005,$A167)-$D167-$E167-$F167)</f>
        <v/>
      </c>
      <c r="H167" s="35" t="str">
        <f aca="false">IF($A167="","",SUM($D167:$G167))</f>
        <v/>
      </c>
      <c r="I167" s="40"/>
      <c r="J167" s="40"/>
      <c r="K167" s="35" t="str">
        <f aca="false">IF($A167="","",N($C167)+$D167-N($I167)-N($J167))</f>
        <v/>
      </c>
      <c r="L167" s="40"/>
      <c r="M167" s="35" t="str">
        <f aca="false">IF(OR($A167="",$L167=""),"",$L167-$K167)</f>
        <v/>
      </c>
      <c r="N167" s="8" t="str">
        <f aca="false">IF($A167="","",IF($L167="","PENDIENTE",IF(ABS($M167)&lt;1,"OK",IF($M167&lt;0,"FALTANTE","SOBRANTE"))))</f>
        <v/>
      </c>
      <c r="O167" s="6"/>
    </row>
    <row r="168" customFormat="false" ht="15" hidden="false" customHeight="false" outlineLevel="0" collapsed="false">
      <c r="A168" s="44"/>
      <c r="B168" s="6"/>
      <c r="C168" s="40"/>
      <c r="D168" s="35" t="str">
        <f aca="false">IF($A168="","",SUMIFS(VENTAS!$H$6:$H$2005,VENTAS!$A$6:$A$2005,$A168,VENTAS!$M$6:$M$2005,"Efectivo"))</f>
        <v/>
      </c>
      <c r="E168" s="35" t="str">
        <f aca="false">IF($A168="","",SUMIFS(VENTAS!$H$6:$H$2005,VENTAS!$A$6:$A$2005,$A168,VENTAS!$M$6:$M$2005,"SINPE Móvil"))</f>
        <v/>
      </c>
      <c r="F168" s="35" t="str">
        <f aca="false">IF($A168="","",SUMIFS(VENTAS!$H$6:$H$2005,VENTAS!$A$6:$A$2005,$A168,VENTAS!$M$6:$M$2005,"Tarjeta"))</f>
        <v/>
      </c>
      <c r="G168" s="35" t="str">
        <f aca="false">IF($A168="","",SUMIFS(VENTAS!$H$6:$H$2005,VENTAS!$A$6:$A$2005,$A168)-$D168-$E168-$F168)</f>
        <v/>
      </c>
      <c r="H168" s="35" t="str">
        <f aca="false">IF($A168="","",SUM($D168:$G168))</f>
        <v/>
      </c>
      <c r="I168" s="40"/>
      <c r="J168" s="40"/>
      <c r="K168" s="35" t="str">
        <f aca="false">IF($A168="","",N($C168)+$D168-N($I168)-N($J168))</f>
        <v/>
      </c>
      <c r="L168" s="40"/>
      <c r="M168" s="35" t="str">
        <f aca="false">IF(OR($A168="",$L168=""),"",$L168-$K168)</f>
        <v/>
      </c>
      <c r="N168" s="8" t="str">
        <f aca="false">IF($A168="","",IF($L168="","PENDIENTE",IF(ABS($M168)&lt;1,"OK",IF($M168&lt;0,"FALTANTE","SOBRANTE"))))</f>
        <v/>
      </c>
      <c r="O168" s="6"/>
    </row>
    <row r="169" customFormat="false" ht="15" hidden="false" customHeight="false" outlineLevel="0" collapsed="false">
      <c r="A169" s="44"/>
      <c r="B169" s="6"/>
      <c r="C169" s="40"/>
      <c r="D169" s="35" t="str">
        <f aca="false">IF($A169="","",SUMIFS(VENTAS!$H$6:$H$2005,VENTAS!$A$6:$A$2005,$A169,VENTAS!$M$6:$M$2005,"Efectivo"))</f>
        <v/>
      </c>
      <c r="E169" s="35" t="str">
        <f aca="false">IF($A169="","",SUMIFS(VENTAS!$H$6:$H$2005,VENTAS!$A$6:$A$2005,$A169,VENTAS!$M$6:$M$2005,"SINPE Móvil"))</f>
        <v/>
      </c>
      <c r="F169" s="35" t="str">
        <f aca="false">IF($A169="","",SUMIFS(VENTAS!$H$6:$H$2005,VENTAS!$A$6:$A$2005,$A169,VENTAS!$M$6:$M$2005,"Tarjeta"))</f>
        <v/>
      </c>
      <c r="G169" s="35" t="str">
        <f aca="false">IF($A169="","",SUMIFS(VENTAS!$H$6:$H$2005,VENTAS!$A$6:$A$2005,$A169)-$D169-$E169-$F169)</f>
        <v/>
      </c>
      <c r="H169" s="35" t="str">
        <f aca="false">IF($A169="","",SUM($D169:$G169))</f>
        <v/>
      </c>
      <c r="I169" s="40"/>
      <c r="J169" s="40"/>
      <c r="K169" s="35" t="str">
        <f aca="false">IF($A169="","",N($C169)+$D169-N($I169)-N($J169))</f>
        <v/>
      </c>
      <c r="L169" s="40"/>
      <c r="M169" s="35" t="str">
        <f aca="false">IF(OR($A169="",$L169=""),"",$L169-$K169)</f>
        <v/>
      </c>
      <c r="N169" s="8" t="str">
        <f aca="false">IF($A169="","",IF($L169="","PENDIENTE",IF(ABS($M169)&lt;1,"OK",IF($M169&lt;0,"FALTANTE","SOBRANTE"))))</f>
        <v/>
      </c>
      <c r="O169" s="6"/>
    </row>
    <row r="170" customFormat="false" ht="15" hidden="false" customHeight="false" outlineLevel="0" collapsed="false">
      <c r="A170" s="44"/>
      <c r="B170" s="6"/>
      <c r="C170" s="40"/>
      <c r="D170" s="35" t="str">
        <f aca="false">IF($A170="","",SUMIFS(VENTAS!$H$6:$H$2005,VENTAS!$A$6:$A$2005,$A170,VENTAS!$M$6:$M$2005,"Efectivo"))</f>
        <v/>
      </c>
      <c r="E170" s="35" t="str">
        <f aca="false">IF($A170="","",SUMIFS(VENTAS!$H$6:$H$2005,VENTAS!$A$6:$A$2005,$A170,VENTAS!$M$6:$M$2005,"SINPE Móvil"))</f>
        <v/>
      </c>
      <c r="F170" s="35" t="str">
        <f aca="false">IF($A170="","",SUMIFS(VENTAS!$H$6:$H$2005,VENTAS!$A$6:$A$2005,$A170,VENTAS!$M$6:$M$2005,"Tarjeta"))</f>
        <v/>
      </c>
      <c r="G170" s="35" t="str">
        <f aca="false">IF($A170="","",SUMIFS(VENTAS!$H$6:$H$2005,VENTAS!$A$6:$A$2005,$A170)-$D170-$E170-$F170)</f>
        <v/>
      </c>
      <c r="H170" s="35" t="str">
        <f aca="false">IF($A170="","",SUM($D170:$G170))</f>
        <v/>
      </c>
      <c r="I170" s="40"/>
      <c r="J170" s="40"/>
      <c r="K170" s="35" t="str">
        <f aca="false">IF($A170="","",N($C170)+$D170-N($I170)-N($J170))</f>
        <v/>
      </c>
      <c r="L170" s="40"/>
      <c r="M170" s="35" t="str">
        <f aca="false">IF(OR($A170="",$L170=""),"",$L170-$K170)</f>
        <v/>
      </c>
      <c r="N170" s="8" t="str">
        <f aca="false">IF($A170="","",IF($L170="","PENDIENTE",IF(ABS($M170)&lt;1,"OK",IF($M170&lt;0,"FALTANTE","SOBRANTE"))))</f>
        <v/>
      </c>
      <c r="O170" s="6"/>
    </row>
    <row r="171" customFormat="false" ht="15" hidden="false" customHeight="false" outlineLevel="0" collapsed="false">
      <c r="A171" s="44"/>
      <c r="B171" s="6"/>
      <c r="C171" s="40"/>
      <c r="D171" s="35" t="str">
        <f aca="false">IF($A171="","",SUMIFS(VENTAS!$H$6:$H$2005,VENTAS!$A$6:$A$2005,$A171,VENTAS!$M$6:$M$2005,"Efectivo"))</f>
        <v/>
      </c>
      <c r="E171" s="35" t="str">
        <f aca="false">IF($A171="","",SUMIFS(VENTAS!$H$6:$H$2005,VENTAS!$A$6:$A$2005,$A171,VENTAS!$M$6:$M$2005,"SINPE Móvil"))</f>
        <v/>
      </c>
      <c r="F171" s="35" t="str">
        <f aca="false">IF($A171="","",SUMIFS(VENTAS!$H$6:$H$2005,VENTAS!$A$6:$A$2005,$A171,VENTAS!$M$6:$M$2005,"Tarjeta"))</f>
        <v/>
      </c>
      <c r="G171" s="35" t="str">
        <f aca="false">IF($A171="","",SUMIFS(VENTAS!$H$6:$H$2005,VENTAS!$A$6:$A$2005,$A171)-$D171-$E171-$F171)</f>
        <v/>
      </c>
      <c r="H171" s="35" t="str">
        <f aca="false">IF($A171="","",SUM($D171:$G171))</f>
        <v/>
      </c>
      <c r="I171" s="40"/>
      <c r="J171" s="40"/>
      <c r="K171" s="35" t="str">
        <f aca="false">IF($A171="","",N($C171)+$D171-N($I171)-N($J171))</f>
        <v/>
      </c>
      <c r="L171" s="40"/>
      <c r="M171" s="35" t="str">
        <f aca="false">IF(OR($A171="",$L171=""),"",$L171-$K171)</f>
        <v/>
      </c>
      <c r="N171" s="8" t="str">
        <f aca="false">IF($A171="","",IF($L171="","PENDIENTE",IF(ABS($M171)&lt;1,"OK",IF($M171&lt;0,"FALTANTE","SOBRANTE"))))</f>
        <v/>
      </c>
      <c r="O171" s="6"/>
    </row>
    <row r="172" customFormat="false" ht="15" hidden="false" customHeight="false" outlineLevel="0" collapsed="false">
      <c r="A172" s="44"/>
      <c r="B172" s="6"/>
      <c r="C172" s="40"/>
      <c r="D172" s="35" t="str">
        <f aca="false">IF($A172="","",SUMIFS(VENTAS!$H$6:$H$2005,VENTAS!$A$6:$A$2005,$A172,VENTAS!$M$6:$M$2005,"Efectivo"))</f>
        <v/>
      </c>
      <c r="E172" s="35" t="str">
        <f aca="false">IF($A172="","",SUMIFS(VENTAS!$H$6:$H$2005,VENTAS!$A$6:$A$2005,$A172,VENTAS!$M$6:$M$2005,"SINPE Móvil"))</f>
        <v/>
      </c>
      <c r="F172" s="35" t="str">
        <f aca="false">IF($A172="","",SUMIFS(VENTAS!$H$6:$H$2005,VENTAS!$A$6:$A$2005,$A172,VENTAS!$M$6:$M$2005,"Tarjeta"))</f>
        <v/>
      </c>
      <c r="G172" s="35" t="str">
        <f aca="false">IF($A172="","",SUMIFS(VENTAS!$H$6:$H$2005,VENTAS!$A$6:$A$2005,$A172)-$D172-$E172-$F172)</f>
        <v/>
      </c>
      <c r="H172" s="35" t="str">
        <f aca="false">IF($A172="","",SUM($D172:$G172))</f>
        <v/>
      </c>
      <c r="I172" s="40"/>
      <c r="J172" s="40"/>
      <c r="K172" s="35" t="str">
        <f aca="false">IF($A172="","",N($C172)+$D172-N($I172)-N($J172))</f>
        <v/>
      </c>
      <c r="L172" s="40"/>
      <c r="M172" s="35" t="str">
        <f aca="false">IF(OR($A172="",$L172=""),"",$L172-$K172)</f>
        <v/>
      </c>
      <c r="N172" s="8" t="str">
        <f aca="false">IF($A172="","",IF($L172="","PENDIENTE",IF(ABS($M172)&lt;1,"OK",IF($M172&lt;0,"FALTANTE","SOBRANTE"))))</f>
        <v/>
      </c>
      <c r="O172" s="6"/>
    </row>
    <row r="173" customFormat="false" ht="15" hidden="false" customHeight="false" outlineLevel="0" collapsed="false">
      <c r="A173" s="44"/>
      <c r="B173" s="6"/>
      <c r="C173" s="40"/>
      <c r="D173" s="35" t="str">
        <f aca="false">IF($A173="","",SUMIFS(VENTAS!$H$6:$H$2005,VENTAS!$A$6:$A$2005,$A173,VENTAS!$M$6:$M$2005,"Efectivo"))</f>
        <v/>
      </c>
      <c r="E173" s="35" t="str">
        <f aca="false">IF($A173="","",SUMIFS(VENTAS!$H$6:$H$2005,VENTAS!$A$6:$A$2005,$A173,VENTAS!$M$6:$M$2005,"SINPE Móvil"))</f>
        <v/>
      </c>
      <c r="F173" s="35" t="str">
        <f aca="false">IF($A173="","",SUMIFS(VENTAS!$H$6:$H$2005,VENTAS!$A$6:$A$2005,$A173,VENTAS!$M$6:$M$2005,"Tarjeta"))</f>
        <v/>
      </c>
      <c r="G173" s="35" t="str">
        <f aca="false">IF($A173="","",SUMIFS(VENTAS!$H$6:$H$2005,VENTAS!$A$6:$A$2005,$A173)-$D173-$E173-$F173)</f>
        <v/>
      </c>
      <c r="H173" s="35" t="str">
        <f aca="false">IF($A173="","",SUM($D173:$G173))</f>
        <v/>
      </c>
      <c r="I173" s="40"/>
      <c r="J173" s="40"/>
      <c r="K173" s="35" t="str">
        <f aca="false">IF($A173="","",N($C173)+$D173-N($I173)-N($J173))</f>
        <v/>
      </c>
      <c r="L173" s="40"/>
      <c r="M173" s="35" t="str">
        <f aca="false">IF(OR($A173="",$L173=""),"",$L173-$K173)</f>
        <v/>
      </c>
      <c r="N173" s="8" t="str">
        <f aca="false">IF($A173="","",IF($L173="","PENDIENTE",IF(ABS($M173)&lt;1,"OK",IF($M173&lt;0,"FALTANTE","SOBRANTE"))))</f>
        <v/>
      </c>
      <c r="O173" s="6"/>
    </row>
    <row r="174" customFormat="false" ht="15" hidden="false" customHeight="false" outlineLevel="0" collapsed="false">
      <c r="A174" s="44"/>
      <c r="B174" s="6"/>
      <c r="C174" s="40"/>
      <c r="D174" s="35" t="str">
        <f aca="false">IF($A174="","",SUMIFS(VENTAS!$H$6:$H$2005,VENTAS!$A$6:$A$2005,$A174,VENTAS!$M$6:$M$2005,"Efectivo"))</f>
        <v/>
      </c>
      <c r="E174" s="35" t="str">
        <f aca="false">IF($A174="","",SUMIFS(VENTAS!$H$6:$H$2005,VENTAS!$A$6:$A$2005,$A174,VENTAS!$M$6:$M$2005,"SINPE Móvil"))</f>
        <v/>
      </c>
      <c r="F174" s="35" t="str">
        <f aca="false">IF($A174="","",SUMIFS(VENTAS!$H$6:$H$2005,VENTAS!$A$6:$A$2005,$A174,VENTAS!$M$6:$M$2005,"Tarjeta"))</f>
        <v/>
      </c>
      <c r="G174" s="35" t="str">
        <f aca="false">IF($A174="","",SUMIFS(VENTAS!$H$6:$H$2005,VENTAS!$A$6:$A$2005,$A174)-$D174-$E174-$F174)</f>
        <v/>
      </c>
      <c r="H174" s="35" t="str">
        <f aca="false">IF($A174="","",SUM($D174:$G174))</f>
        <v/>
      </c>
      <c r="I174" s="40"/>
      <c r="J174" s="40"/>
      <c r="K174" s="35" t="str">
        <f aca="false">IF($A174="","",N($C174)+$D174-N($I174)-N($J174))</f>
        <v/>
      </c>
      <c r="L174" s="40"/>
      <c r="M174" s="35" t="str">
        <f aca="false">IF(OR($A174="",$L174=""),"",$L174-$K174)</f>
        <v/>
      </c>
      <c r="N174" s="8" t="str">
        <f aca="false">IF($A174="","",IF($L174="","PENDIENTE",IF(ABS($M174)&lt;1,"OK",IF($M174&lt;0,"FALTANTE","SOBRANTE"))))</f>
        <v/>
      </c>
      <c r="O174" s="6"/>
    </row>
    <row r="175" customFormat="false" ht="15" hidden="false" customHeight="false" outlineLevel="0" collapsed="false">
      <c r="A175" s="44"/>
      <c r="B175" s="6"/>
      <c r="C175" s="40"/>
      <c r="D175" s="35" t="str">
        <f aca="false">IF($A175="","",SUMIFS(VENTAS!$H$6:$H$2005,VENTAS!$A$6:$A$2005,$A175,VENTAS!$M$6:$M$2005,"Efectivo"))</f>
        <v/>
      </c>
      <c r="E175" s="35" t="str">
        <f aca="false">IF($A175="","",SUMIFS(VENTAS!$H$6:$H$2005,VENTAS!$A$6:$A$2005,$A175,VENTAS!$M$6:$M$2005,"SINPE Móvil"))</f>
        <v/>
      </c>
      <c r="F175" s="35" t="str">
        <f aca="false">IF($A175="","",SUMIFS(VENTAS!$H$6:$H$2005,VENTAS!$A$6:$A$2005,$A175,VENTAS!$M$6:$M$2005,"Tarjeta"))</f>
        <v/>
      </c>
      <c r="G175" s="35" t="str">
        <f aca="false">IF($A175="","",SUMIFS(VENTAS!$H$6:$H$2005,VENTAS!$A$6:$A$2005,$A175)-$D175-$E175-$F175)</f>
        <v/>
      </c>
      <c r="H175" s="35" t="str">
        <f aca="false">IF($A175="","",SUM($D175:$G175))</f>
        <v/>
      </c>
      <c r="I175" s="40"/>
      <c r="J175" s="40"/>
      <c r="K175" s="35" t="str">
        <f aca="false">IF($A175="","",N($C175)+$D175-N($I175)-N($J175))</f>
        <v/>
      </c>
      <c r="L175" s="40"/>
      <c r="M175" s="35" t="str">
        <f aca="false">IF(OR($A175="",$L175=""),"",$L175-$K175)</f>
        <v/>
      </c>
      <c r="N175" s="8" t="str">
        <f aca="false">IF($A175="","",IF($L175="","PENDIENTE",IF(ABS($M175)&lt;1,"OK",IF($M175&lt;0,"FALTANTE","SOBRANTE"))))</f>
        <v/>
      </c>
      <c r="O175" s="6"/>
    </row>
    <row r="176" customFormat="false" ht="15" hidden="false" customHeight="false" outlineLevel="0" collapsed="false">
      <c r="A176" s="44"/>
      <c r="B176" s="6"/>
      <c r="C176" s="40"/>
      <c r="D176" s="35" t="str">
        <f aca="false">IF($A176="","",SUMIFS(VENTAS!$H$6:$H$2005,VENTAS!$A$6:$A$2005,$A176,VENTAS!$M$6:$M$2005,"Efectivo"))</f>
        <v/>
      </c>
      <c r="E176" s="35" t="str">
        <f aca="false">IF($A176="","",SUMIFS(VENTAS!$H$6:$H$2005,VENTAS!$A$6:$A$2005,$A176,VENTAS!$M$6:$M$2005,"SINPE Móvil"))</f>
        <v/>
      </c>
      <c r="F176" s="35" t="str">
        <f aca="false">IF($A176="","",SUMIFS(VENTAS!$H$6:$H$2005,VENTAS!$A$6:$A$2005,$A176,VENTAS!$M$6:$M$2005,"Tarjeta"))</f>
        <v/>
      </c>
      <c r="G176" s="35" t="str">
        <f aca="false">IF($A176="","",SUMIFS(VENTAS!$H$6:$H$2005,VENTAS!$A$6:$A$2005,$A176)-$D176-$E176-$F176)</f>
        <v/>
      </c>
      <c r="H176" s="35" t="str">
        <f aca="false">IF($A176="","",SUM($D176:$G176))</f>
        <v/>
      </c>
      <c r="I176" s="40"/>
      <c r="J176" s="40"/>
      <c r="K176" s="35" t="str">
        <f aca="false">IF($A176="","",N($C176)+$D176-N($I176)-N($J176))</f>
        <v/>
      </c>
      <c r="L176" s="40"/>
      <c r="M176" s="35" t="str">
        <f aca="false">IF(OR($A176="",$L176=""),"",$L176-$K176)</f>
        <v/>
      </c>
      <c r="N176" s="8" t="str">
        <f aca="false">IF($A176="","",IF($L176="","PENDIENTE",IF(ABS($M176)&lt;1,"OK",IF($M176&lt;0,"FALTANTE","SOBRANTE"))))</f>
        <v/>
      </c>
      <c r="O176" s="6"/>
    </row>
    <row r="177" customFormat="false" ht="15" hidden="false" customHeight="false" outlineLevel="0" collapsed="false">
      <c r="A177" s="44"/>
      <c r="B177" s="6"/>
      <c r="C177" s="40"/>
      <c r="D177" s="35" t="str">
        <f aca="false">IF($A177="","",SUMIFS(VENTAS!$H$6:$H$2005,VENTAS!$A$6:$A$2005,$A177,VENTAS!$M$6:$M$2005,"Efectivo"))</f>
        <v/>
      </c>
      <c r="E177" s="35" t="str">
        <f aca="false">IF($A177="","",SUMIFS(VENTAS!$H$6:$H$2005,VENTAS!$A$6:$A$2005,$A177,VENTAS!$M$6:$M$2005,"SINPE Móvil"))</f>
        <v/>
      </c>
      <c r="F177" s="35" t="str">
        <f aca="false">IF($A177="","",SUMIFS(VENTAS!$H$6:$H$2005,VENTAS!$A$6:$A$2005,$A177,VENTAS!$M$6:$M$2005,"Tarjeta"))</f>
        <v/>
      </c>
      <c r="G177" s="35" t="str">
        <f aca="false">IF($A177="","",SUMIFS(VENTAS!$H$6:$H$2005,VENTAS!$A$6:$A$2005,$A177)-$D177-$E177-$F177)</f>
        <v/>
      </c>
      <c r="H177" s="35" t="str">
        <f aca="false">IF($A177="","",SUM($D177:$G177))</f>
        <v/>
      </c>
      <c r="I177" s="40"/>
      <c r="J177" s="40"/>
      <c r="K177" s="35" t="str">
        <f aca="false">IF($A177="","",N($C177)+$D177-N($I177)-N($J177))</f>
        <v/>
      </c>
      <c r="L177" s="40"/>
      <c r="M177" s="35" t="str">
        <f aca="false">IF(OR($A177="",$L177=""),"",$L177-$K177)</f>
        <v/>
      </c>
      <c r="N177" s="8" t="str">
        <f aca="false">IF($A177="","",IF($L177="","PENDIENTE",IF(ABS($M177)&lt;1,"OK",IF($M177&lt;0,"FALTANTE","SOBRANTE"))))</f>
        <v/>
      </c>
      <c r="O177" s="6"/>
    </row>
    <row r="178" customFormat="false" ht="15" hidden="false" customHeight="false" outlineLevel="0" collapsed="false">
      <c r="A178" s="44"/>
      <c r="B178" s="6"/>
      <c r="C178" s="40"/>
      <c r="D178" s="35" t="str">
        <f aca="false">IF($A178="","",SUMIFS(VENTAS!$H$6:$H$2005,VENTAS!$A$6:$A$2005,$A178,VENTAS!$M$6:$M$2005,"Efectivo"))</f>
        <v/>
      </c>
      <c r="E178" s="35" t="str">
        <f aca="false">IF($A178="","",SUMIFS(VENTAS!$H$6:$H$2005,VENTAS!$A$6:$A$2005,$A178,VENTAS!$M$6:$M$2005,"SINPE Móvil"))</f>
        <v/>
      </c>
      <c r="F178" s="35" t="str">
        <f aca="false">IF($A178="","",SUMIFS(VENTAS!$H$6:$H$2005,VENTAS!$A$6:$A$2005,$A178,VENTAS!$M$6:$M$2005,"Tarjeta"))</f>
        <v/>
      </c>
      <c r="G178" s="35" t="str">
        <f aca="false">IF($A178="","",SUMIFS(VENTAS!$H$6:$H$2005,VENTAS!$A$6:$A$2005,$A178)-$D178-$E178-$F178)</f>
        <v/>
      </c>
      <c r="H178" s="35" t="str">
        <f aca="false">IF($A178="","",SUM($D178:$G178))</f>
        <v/>
      </c>
      <c r="I178" s="40"/>
      <c r="J178" s="40"/>
      <c r="K178" s="35" t="str">
        <f aca="false">IF($A178="","",N($C178)+$D178-N($I178)-N($J178))</f>
        <v/>
      </c>
      <c r="L178" s="40"/>
      <c r="M178" s="35" t="str">
        <f aca="false">IF(OR($A178="",$L178=""),"",$L178-$K178)</f>
        <v/>
      </c>
      <c r="N178" s="8" t="str">
        <f aca="false">IF($A178="","",IF($L178="","PENDIENTE",IF(ABS($M178)&lt;1,"OK",IF($M178&lt;0,"FALTANTE","SOBRANTE"))))</f>
        <v/>
      </c>
      <c r="O178" s="6"/>
    </row>
    <row r="179" customFormat="false" ht="15" hidden="false" customHeight="false" outlineLevel="0" collapsed="false">
      <c r="A179" s="44"/>
      <c r="B179" s="6"/>
      <c r="C179" s="40"/>
      <c r="D179" s="35" t="str">
        <f aca="false">IF($A179="","",SUMIFS(VENTAS!$H$6:$H$2005,VENTAS!$A$6:$A$2005,$A179,VENTAS!$M$6:$M$2005,"Efectivo"))</f>
        <v/>
      </c>
      <c r="E179" s="35" t="str">
        <f aca="false">IF($A179="","",SUMIFS(VENTAS!$H$6:$H$2005,VENTAS!$A$6:$A$2005,$A179,VENTAS!$M$6:$M$2005,"SINPE Móvil"))</f>
        <v/>
      </c>
      <c r="F179" s="35" t="str">
        <f aca="false">IF($A179="","",SUMIFS(VENTAS!$H$6:$H$2005,VENTAS!$A$6:$A$2005,$A179,VENTAS!$M$6:$M$2005,"Tarjeta"))</f>
        <v/>
      </c>
      <c r="G179" s="35" t="str">
        <f aca="false">IF($A179="","",SUMIFS(VENTAS!$H$6:$H$2005,VENTAS!$A$6:$A$2005,$A179)-$D179-$E179-$F179)</f>
        <v/>
      </c>
      <c r="H179" s="35" t="str">
        <f aca="false">IF($A179="","",SUM($D179:$G179))</f>
        <v/>
      </c>
      <c r="I179" s="40"/>
      <c r="J179" s="40"/>
      <c r="K179" s="35" t="str">
        <f aca="false">IF($A179="","",N($C179)+$D179-N($I179)-N($J179))</f>
        <v/>
      </c>
      <c r="L179" s="40"/>
      <c r="M179" s="35" t="str">
        <f aca="false">IF(OR($A179="",$L179=""),"",$L179-$K179)</f>
        <v/>
      </c>
      <c r="N179" s="8" t="str">
        <f aca="false">IF($A179="","",IF($L179="","PENDIENTE",IF(ABS($M179)&lt;1,"OK",IF($M179&lt;0,"FALTANTE","SOBRANTE"))))</f>
        <v/>
      </c>
      <c r="O179" s="6"/>
    </row>
    <row r="180" customFormat="false" ht="15" hidden="false" customHeight="false" outlineLevel="0" collapsed="false">
      <c r="A180" s="44"/>
      <c r="B180" s="6"/>
      <c r="C180" s="40"/>
      <c r="D180" s="35" t="str">
        <f aca="false">IF($A180="","",SUMIFS(VENTAS!$H$6:$H$2005,VENTAS!$A$6:$A$2005,$A180,VENTAS!$M$6:$M$2005,"Efectivo"))</f>
        <v/>
      </c>
      <c r="E180" s="35" t="str">
        <f aca="false">IF($A180="","",SUMIFS(VENTAS!$H$6:$H$2005,VENTAS!$A$6:$A$2005,$A180,VENTAS!$M$6:$M$2005,"SINPE Móvil"))</f>
        <v/>
      </c>
      <c r="F180" s="35" t="str">
        <f aca="false">IF($A180="","",SUMIFS(VENTAS!$H$6:$H$2005,VENTAS!$A$6:$A$2005,$A180,VENTAS!$M$6:$M$2005,"Tarjeta"))</f>
        <v/>
      </c>
      <c r="G180" s="35" t="str">
        <f aca="false">IF($A180="","",SUMIFS(VENTAS!$H$6:$H$2005,VENTAS!$A$6:$A$2005,$A180)-$D180-$E180-$F180)</f>
        <v/>
      </c>
      <c r="H180" s="35" t="str">
        <f aca="false">IF($A180="","",SUM($D180:$G180))</f>
        <v/>
      </c>
      <c r="I180" s="40"/>
      <c r="J180" s="40"/>
      <c r="K180" s="35" t="str">
        <f aca="false">IF($A180="","",N($C180)+$D180-N($I180)-N($J180))</f>
        <v/>
      </c>
      <c r="L180" s="40"/>
      <c r="M180" s="35" t="str">
        <f aca="false">IF(OR($A180="",$L180=""),"",$L180-$K180)</f>
        <v/>
      </c>
      <c r="N180" s="8" t="str">
        <f aca="false">IF($A180="","",IF($L180="","PENDIENTE",IF(ABS($M180)&lt;1,"OK",IF($M180&lt;0,"FALTANTE","SOBRANTE"))))</f>
        <v/>
      </c>
      <c r="O180" s="6"/>
    </row>
    <row r="181" customFormat="false" ht="15" hidden="false" customHeight="false" outlineLevel="0" collapsed="false">
      <c r="A181" s="44"/>
      <c r="B181" s="6"/>
      <c r="C181" s="40"/>
      <c r="D181" s="35" t="str">
        <f aca="false">IF($A181="","",SUMIFS(VENTAS!$H$6:$H$2005,VENTAS!$A$6:$A$2005,$A181,VENTAS!$M$6:$M$2005,"Efectivo"))</f>
        <v/>
      </c>
      <c r="E181" s="35" t="str">
        <f aca="false">IF($A181="","",SUMIFS(VENTAS!$H$6:$H$2005,VENTAS!$A$6:$A$2005,$A181,VENTAS!$M$6:$M$2005,"SINPE Móvil"))</f>
        <v/>
      </c>
      <c r="F181" s="35" t="str">
        <f aca="false">IF($A181="","",SUMIFS(VENTAS!$H$6:$H$2005,VENTAS!$A$6:$A$2005,$A181,VENTAS!$M$6:$M$2005,"Tarjeta"))</f>
        <v/>
      </c>
      <c r="G181" s="35" t="str">
        <f aca="false">IF($A181="","",SUMIFS(VENTAS!$H$6:$H$2005,VENTAS!$A$6:$A$2005,$A181)-$D181-$E181-$F181)</f>
        <v/>
      </c>
      <c r="H181" s="35" t="str">
        <f aca="false">IF($A181="","",SUM($D181:$G181))</f>
        <v/>
      </c>
      <c r="I181" s="40"/>
      <c r="J181" s="40"/>
      <c r="K181" s="35" t="str">
        <f aca="false">IF($A181="","",N($C181)+$D181-N($I181)-N($J181))</f>
        <v/>
      </c>
      <c r="L181" s="40"/>
      <c r="M181" s="35" t="str">
        <f aca="false">IF(OR($A181="",$L181=""),"",$L181-$K181)</f>
        <v/>
      </c>
      <c r="N181" s="8" t="str">
        <f aca="false">IF($A181="","",IF($L181="","PENDIENTE",IF(ABS($M181)&lt;1,"OK",IF($M181&lt;0,"FALTANTE","SOBRANTE"))))</f>
        <v/>
      </c>
      <c r="O181" s="6"/>
    </row>
    <row r="182" customFormat="false" ht="15" hidden="false" customHeight="false" outlineLevel="0" collapsed="false">
      <c r="A182" s="44"/>
      <c r="B182" s="6"/>
      <c r="C182" s="40"/>
      <c r="D182" s="35" t="str">
        <f aca="false">IF($A182="","",SUMIFS(VENTAS!$H$6:$H$2005,VENTAS!$A$6:$A$2005,$A182,VENTAS!$M$6:$M$2005,"Efectivo"))</f>
        <v/>
      </c>
      <c r="E182" s="35" t="str">
        <f aca="false">IF($A182="","",SUMIFS(VENTAS!$H$6:$H$2005,VENTAS!$A$6:$A$2005,$A182,VENTAS!$M$6:$M$2005,"SINPE Móvil"))</f>
        <v/>
      </c>
      <c r="F182" s="35" t="str">
        <f aca="false">IF($A182="","",SUMIFS(VENTAS!$H$6:$H$2005,VENTAS!$A$6:$A$2005,$A182,VENTAS!$M$6:$M$2005,"Tarjeta"))</f>
        <v/>
      </c>
      <c r="G182" s="35" t="str">
        <f aca="false">IF($A182="","",SUMIFS(VENTAS!$H$6:$H$2005,VENTAS!$A$6:$A$2005,$A182)-$D182-$E182-$F182)</f>
        <v/>
      </c>
      <c r="H182" s="35" t="str">
        <f aca="false">IF($A182="","",SUM($D182:$G182))</f>
        <v/>
      </c>
      <c r="I182" s="40"/>
      <c r="J182" s="40"/>
      <c r="K182" s="35" t="str">
        <f aca="false">IF($A182="","",N($C182)+$D182-N($I182)-N($J182))</f>
        <v/>
      </c>
      <c r="L182" s="40"/>
      <c r="M182" s="35" t="str">
        <f aca="false">IF(OR($A182="",$L182=""),"",$L182-$K182)</f>
        <v/>
      </c>
      <c r="N182" s="8" t="str">
        <f aca="false">IF($A182="","",IF($L182="","PENDIENTE",IF(ABS($M182)&lt;1,"OK",IF($M182&lt;0,"FALTANTE","SOBRANTE"))))</f>
        <v/>
      </c>
      <c r="O182" s="6"/>
    </row>
    <row r="183" customFormat="false" ht="15" hidden="false" customHeight="false" outlineLevel="0" collapsed="false">
      <c r="A183" s="44"/>
      <c r="B183" s="6"/>
      <c r="C183" s="40"/>
      <c r="D183" s="35" t="str">
        <f aca="false">IF($A183="","",SUMIFS(VENTAS!$H$6:$H$2005,VENTAS!$A$6:$A$2005,$A183,VENTAS!$M$6:$M$2005,"Efectivo"))</f>
        <v/>
      </c>
      <c r="E183" s="35" t="str">
        <f aca="false">IF($A183="","",SUMIFS(VENTAS!$H$6:$H$2005,VENTAS!$A$6:$A$2005,$A183,VENTAS!$M$6:$M$2005,"SINPE Móvil"))</f>
        <v/>
      </c>
      <c r="F183" s="35" t="str">
        <f aca="false">IF($A183="","",SUMIFS(VENTAS!$H$6:$H$2005,VENTAS!$A$6:$A$2005,$A183,VENTAS!$M$6:$M$2005,"Tarjeta"))</f>
        <v/>
      </c>
      <c r="G183" s="35" t="str">
        <f aca="false">IF($A183="","",SUMIFS(VENTAS!$H$6:$H$2005,VENTAS!$A$6:$A$2005,$A183)-$D183-$E183-$F183)</f>
        <v/>
      </c>
      <c r="H183" s="35" t="str">
        <f aca="false">IF($A183="","",SUM($D183:$G183))</f>
        <v/>
      </c>
      <c r="I183" s="40"/>
      <c r="J183" s="40"/>
      <c r="K183" s="35" t="str">
        <f aca="false">IF($A183="","",N($C183)+$D183-N($I183)-N($J183))</f>
        <v/>
      </c>
      <c r="L183" s="40"/>
      <c r="M183" s="35" t="str">
        <f aca="false">IF(OR($A183="",$L183=""),"",$L183-$K183)</f>
        <v/>
      </c>
      <c r="N183" s="8" t="str">
        <f aca="false">IF($A183="","",IF($L183="","PENDIENTE",IF(ABS($M183)&lt;1,"OK",IF($M183&lt;0,"FALTANTE","SOBRANTE"))))</f>
        <v/>
      </c>
      <c r="O183" s="6"/>
    </row>
    <row r="184" customFormat="false" ht="15" hidden="false" customHeight="false" outlineLevel="0" collapsed="false">
      <c r="A184" s="44"/>
      <c r="B184" s="6"/>
      <c r="C184" s="40"/>
      <c r="D184" s="35" t="str">
        <f aca="false">IF($A184="","",SUMIFS(VENTAS!$H$6:$H$2005,VENTAS!$A$6:$A$2005,$A184,VENTAS!$M$6:$M$2005,"Efectivo"))</f>
        <v/>
      </c>
      <c r="E184" s="35" t="str">
        <f aca="false">IF($A184="","",SUMIFS(VENTAS!$H$6:$H$2005,VENTAS!$A$6:$A$2005,$A184,VENTAS!$M$6:$M$2005,"SINPE Móvil"))</f>
        <v/>
      </c>
      <c r="F184" s="35" t="str">
        <f aca="false">IF($A184="","",SUMIFS(VENTAS!$H$6:$H$2005,VENTAS!$A$6:$A$2005,$A184,VENTAS!$M$6:$M$2005,"Tarjeta"))</f>
        <v/>
      </c>
      <c r="G184" s="35" t="str">
        <f aca="false">IF($A184="","",SUMIFS(VENTAS!$H$6:$H$2005,VENTAS!$A$6:$A$2005,$A184)-$D184-$E184-$F184)</f>
        <v/>
      </c>
      <c r="H184" s="35" t="str">
        <f aca="false">IF($A184="","",SUM($D184:$G184))</f>
        <v/>
      </c>
      <c r="I184" s="40"/>
      <c r="J184" s="40"/>
      <c r="K184" s="35" t="str">
        <f aca="false">IF($A184="","",N($C184)+$D184-N($I184)-N($J184))</f>
        <v/>
      </c>
      <c r="L184" s="40"/>
      <c r="M184" s="35" t="str">
        <f aca="false">IF(OR($A184="",$L184=""),"",$L184-$K184)</f>
        <v/>
      </c>
      <c r="N184" s="8" t="str">
        <f aca="false">IF($A184="","",IF($L184="","PENDIENTE",IF(ABS($M184)&lt;1,"OK",IF($M184&lt;0,"FALTANTE","SOBRANTE"))))</f>
        <v/>
      </c>
      <c r="O184" s="6"/>
    </row>
    <row r="185" customFormat="false" ht="15" hidden="false" customHeight="false" outlineLevel="0" collapsed="false">
      <c r="A185" s="44"/>
      <c r="B185" s="6"/>
      <c r="C185" s="40"/>
      <c r="D185" s="35" t="str">
        <f aca="false">IF($A185="","",SUMIFS(VENTAS!$H$6:$H$2005,VENTAS!$A$6:$A$2005,$A185,VENTAS!$M$6:$M$2005,"Efectivo"))</f>
        <v/>
      </c>
      <c r="E185" s="35" t="str">
        <f aca="false">IF($A185="","",SUMIFS(VENTAS!$H$6:$H$2005,VENTAS!$A$6:$A$2005,$A185,VENTAS!$M$6:$M$2005,"SINPE Móvil"))</f>
        <v/>
      </c>
      <c r="F185" s="35" t="str">
        <f aca="false">IF($A185="","",SUMIFS(VENTAS!$H$6:$H$2005,VENTAS!$A$6:$A$2005,$A185,VENTAS!$M$6:$M$2005,"Tarjeta"))</f>
        <v/>
      </c>
      <c r="G185" s="35" t="str">
        <f aca="false">IF($A185="","",SUMIFS(VENTAS!$H$6:$H$2005,VENTAS!$A$6:$A$2005,$A185)-$D185-$E185-$F185)</f>
        <v/>
      </c>
      <c r="H185" s="35" t="str">
        <f aca="false">IF($A185="","",SUM($D185:$G185))</f>
        <v/>
      </c>
      <c r="I185" s="40"/>
      <c r="J185" s="40"/>
      <c r="K185" s="35" t="str">
        <f aca="false">IF($A185="","",N($C185)+$D185-N($I185)-N($J185))</f>
        <v/>
      </c>
      <c r="L185" s="40"/>
      <c r="M185" s="35" t="str">
        <f aca="false">IF(OR($A185="",$L185=""),"",$L185-$K185)</f>
        <v/>
      </c>
      <c r="N185" s="8" t="str">
        <f aca="false">IF($A185="","",IF($L185="","PENDIENTE",IF(ABS($M185)&lt;1,"OK",IF($M185&lt;0,"FALTANTE","SOBRANTE"))))</f>
        <v/>
      </c>
      <c r="O185" s="6"/>
    </row>
    <row r="186" customFormat="false" ht="15" hidden="false" customHeight="false" outlineLevel="0" collapsed="false">
      <c r="A186" s="44"/>
      <c r="B186" s="6"/>
      <c r="C186" s="40"/>
      <c r="D186" s="35" t="str">
        <f aca="false">IF($A186="","",SUMIFS(VENTAS!$H$6:$H$2005,VENTAS!$A$6:$A$2005,$A186,VENTAS!$M$6:$M$2005,"Efectivo"))</f>
        <v/>
      </c>
      <c r="E186" s="35" t="str">
        <f aca="false">IF($A186="","",SUMIFS(VENTAS!$H$6:$H$2005,VENTAS!$A$6:$A$2005,$A186,VENTAS!$M$6:$M$2005,"SINPE Móvil"))</f>
        <v/>
      </c>
      <c r="F186" s="35" t="str">
        <f aca="false">IF($A186="","",SUMIFS(VENTAS!$H$6:$H$2005,VENTAS!$A$6:$A$2005,$A186,VENTAS!$M$6:$M$2005,"Tarjeta"))</f>
        <v/>
      </c>
      <c r="G186" s="35" t="str">
        <f aca="false">IF($A186="","",SUMIFS(VENTAS!$H$6:$H$2005,VENTAS!$A$6:$A$2005,$A186)-$D186-$E186-$F186)</f>
        <v/>
      </c>
      <c r="H186" s="35" t="str">
        <f aca="false">IF($A186="","",SUM($D186:$G186))</f>
        <v/>
      </c>
      <c r="I186" s="40"/>
      <c r="J186" s="40"/>
      <c r="K186" s="35" t="str">
        <f aca="false">IF($A186="","",N($C186)+$D186-N($I186)-N($J186))</f>
        <v/>
      </c>
      <c r="L186" s="40"/>
      <c r="M186" s="35" t="str">
        <f aca="false">IF(OR($A186="",$L186=""),"",$L186-$K186)</f>
        <v/>
      </c>
      <c r="N186" s="8" t="str">
        <f aca="false">IF($A186="","",IF($L186="","PENDIENTE",IF(ABS($M186)&lt;1,"OK",IF($M186&lt;0,"FALTANTE","SOBRANTE"))))</f>
        <v/>
      </c>
      <c r="O186" s="6"/>
    </row>
    <row r="187" customFormat="false" ht="15" hidden="false" customHeight="false" outlineLevel="0" collapsed="false">
      <c r="A187" s="44"/>
      <c r="B187" s="6"/>
      <c r="C187" s="40"/>
      <c r="D187" s="35" t="str">
        <f aca="false">IF($A187="","",SUMIFS(VENTAS!$H$6:$H$2005,VENTAS!$A$6:$A$2005,$A187,VENTAS!$M$6:$M$2005,"Efectivo"))</f>
        <v/>
      </c>
      <c r="E187" s="35" t="str">
        <f aca="false">IF($A187="","",SUMIFS(VENTAS!$H$6:$H$2005,VENTAS!$A$6:$A$2005,$A187,VENTAS!$M$6:$M$2005,"SINPE Móvil"))</f>
        <v/>
      </c>
      <c r="F187" s="35" t="str">
        <f aca="false">IF($A187="","",SUMIFS(VENTAS!$H$6:$H$2005,VENTAS!$A$6:$A$2005,$A187,VENTAS!$M$6:$M$2005,"Tarjeta"))</f>
        <v/>
      </c>
      <c r="G187" s="35" t="str">
        <f aca="false">IF($A187="","",SUMIFS(VENTAS!$H$6:$H$2005,VENTAS!$A$6:$A$2005,$A187)-$D187-$E187-$F187)</f>
        <v/>
      </c>
      <c r="H187" s="35" t="str">
        <f aca="false">IF($A187="","",SUM($D187:$G187))</f>
        <v/>
      </c>
      <c r="I187" s="40"/>
      <c r="J187" s="40"/>
      <c r="K187" s="35" t="str">
        <f aca="false">IF($A187="","",N($C187)+$D187-N($I187)-N($J187))</f>
        <v/>
      </c>
      <c r="L187" s="40"/>
      <c r="M187" s="35" t="str">
        <f aca="false">IF(OR($A187="",$L187=""),"",$L187-$K187)</f>
        <v/>
      </c>
      <c r="N187" s="8" t="str">
        <f aca="false">IF($A187="","",IF($L187="","PENDIENTE",IF(ABS($M187)&lt;1,"OK",IF($M187&lt;0,"FALTANTE","SOBRANTE"))))</f>
        <v/>
      </c>
      <c r="O187" s="6"/>
    </row>
    <row r="188" customFormat="false" ht="15" hidden="false" customHeight="false" outlineLevel="0" collapsed="false">
      <c r="A188" s="44"/>
      <c r="B188" s="6"/>
      <c r="C188" s="40"/>
      <c r="D188" s="35" t="str">
        <f aca="false">IF($A188="","",SUMIFS(VENTAS!$H$6:$H$2005,VENTAS!$A$6:$A$2005,$A188,VENTAS!$M$6:$M$2005,"Efectivo"))</f>
        <v/>
      </c>
      <c r="E188" s="35" t="str">
        <f aca="false">IF($A188="","",SUMIFS(VENTAS!$H$6:$H$2005,VENTAS!$A$6:$A$2005,$A188,VENTAS!$M$6:$M$2005,"SINPE Móvil"))</f>
        <v/>
      </c>
      <c r="F188" s="35" t="str">
        <f aca="false">IF($A188="","",SUMIFS(VENTAS!$H$6:$H$2005,VENTAS!$A$6:$A$2005,$A188,VENTAS!$M$6:$M$2005,"Tarjeta"))</f>
        <v/>
      </c>
      <c r="G188" s="35" t="str">
        <f aca="false">IF($A188="","",SUMIFS(VENTAS!$H$6:$H$2005,VENTAS!$A$6:$A$2005,$A188)-$D188-$E188-$F188)</f>
        <v/>
      </c>
      <c r="H188" s="35" t="str">
        <f aca="false">IF($A188="","",SUM($D188:$G188))</f>
        <v/>
      </c>
      <c r="I188" s="40"/>
      <c r="J188" s="40"/>
      <c r="K188" s="35" t="str">
        <f aca="false">IF($A188="","",N($C188)+$D188-N($I188)-N($J188))</f>
        <v/>
      </c>
      <c r="L188" s="40"/>
      <c r="M188" s="35" t="str">
        <f aca="false">IF(OR($A188="",$L188=""),"",$L188-$K188)</f>
        <v/>
      </c>
      <c r="N188" s="8" t="str">
        <f aca="false">IF($A188="","",IF($L188="","PENDIENTE",IF(ABS($M188)&lt;1,"OK",IF($M188&lt;0,"FALTANTE","SOBRANTE"))))</f>
        <v/>
      </c>
      <c r="O188" s="6"/>
    </row>
    <row r="189" customFormat="false" ht="15" hidden="false" customHeight="false" outlineLevel="0" collapsed="false">
      <c r="A189" s="44"/>
      <c r="B189" s="6"/>
      <c r="C189" s="40"/>
      <c r="D189" s="35" t="str">
        <f aca="false">IF($A189="","",SUMIFS(VENTAS!$H$6:$H$2005,VENTAS!$A$6:$A$2005,$A189,VENTAS!$M$6:$M$2005,"Efectivo"))</f>
        <v/>
      </c>
      <c r="E189" s="35" t="str">
        <f aca="false">IF($A189="","",SUMIFS(VENTAS!$H$6:$H$2005,VENTAS!$A$6:$A$2005,$A189,VENTAS!$M$6:$M$2005,"SINPE Móvil"))</f>
        <v/>
      </c>
      <c r="F189" s="35" t="str">
        <f aca="false">IF($A189="","",SUMIFS(VENTAS!$H$6:$H$2005,VENTAS!$A$6:$A$2005,$A189,VENTAS!$M$6:$M$2005,"Tarjeta"))</f>
        <v/>
      </c>
      <c r="G189" s="35" t="str">
        <f aca="false">IF($A189="","",SUMIFS(VENTAS!$H$6:$H$2005,VENTAS!$A$6:$A$2005,$A189)-$D189-$E189-$F189)</f>
        <v/>
      </c>
      <c r="H189" s="35" t="str">
        <f aca="false">IF($A189="","",SUM($D189:$G189))</f>
        <v/>
      </c>
      <c r="I189" s="40"/>
      <c r="J189" s="40"/>
      <c r="K189" s="35" t="str">
        <f aca="false">IF($A189="","",N($C189)+$D189-N($I189)-N($J189))</f>
        <v/>
      </c>
      <c r="L189" s="40"/>
      <c r="M189" s="35" t="str">
        <f aca="false">IF(OR($A189="",$L189=""),"",$L189-$K189)</f>
        <v/>
      </c>
      <c r="N189" s="8" t="str">
        <f aca="false">IF($A189="","",IF($L189="","PENDIENTE",IF(ABS($M189)&lt;1,"OK",IF($M189&lt;0,"FALTANTE","SOBRANTE"))))</f>
        <v/>
      </c>
      <c r="O189" s="6"/>
    </row>
    <row r="190" customFormat="false" ht="15" hidden="false" customHeight="false" outlineLevel="0" collapsed="false">
      <c r="A190" s="44"/>
      <c r="B190" s="6"/>
      <c r="C190" s="40"/>
      <c r="D190" s="35" t="str">
        <f aca="false">IF($A190="","",SUMIFS(VENTAS!$H$6:$H$2005,VENTAS!$A$6:$A$2005,$A190,VENTAS!$M$6:$M$2005,"Efectivo"))</f>
        <v/>
      </c>
      <c r="E190" s="35" t="str">
        <f aca="false">IF($A190="","",SUMIFS(VENTAS!$H$6:$H$2005,VENTAS!$A$6:$A$2005,$A190,VENTAS!$M$6:$M$2005,"SINPE Móvil"))</f>
        <v/>
      </c>
      <c r="F190" s="35" t="str">
        <f aca="false">IF($A190="","",SUMIFS(VENTAS!$H$6:$H$2005,VENTAS!$A$6:$A$2005,$A190,VENTAS!$M$6:$M$2005,"Tarjeta"))</f>
        <v/>
      </c>
      <c r="G190" s="35" t="str">
        <f aca="false">IF($A190="","",SUMIFS(VENTAS!$H$6:$H$2005,VENTAS!$A$6:$A$2005,$A190)-$D190-$E190-$F190)</f>
        <v/>
      </c>
      <c r="H190" s="35" t="str">
        <f aca="false">IF($A190="","",SUM($D190:$G190))</f>
        <v/>
      </c>
      <c r="I190" s="40"/>
      <c r="J190" s="40"/>
      <c r="K190" s="35" t="str">
        <f aca="false">IF($A190="","",N($C190)+$D190-N($I190)-N($J190))</f>
        <v/>
      </c>
      <c r="L190" s="40"/>
      <c r="M190" s="35" t="str">
        <f aca="false">IF(OR($A190="",$L190=""),"",$L190-$K190)</f>
        <v/>
      </c>
      <c r="N190" s="8" t="str">
        <f aca="false">IF($A190="","",IF($L190="","PENDIENTE",IF(ABS($M190)&lt;1,"OK",IF($M190&lt;0,"FALTANTE","SOBRANTE"))))</f>
        <v/>
      </c>
      <c r="O190" s="6"/>
    </row>
    <row r="191" customFormat="false" ht="15" hidden="false" customHeight="false" outlineLevel="0" collapsed="false">
      <c r="A191" s="44"/>
      <c r="B191" s="6"/>
      <c r="C191" s="40"/>
      <c r="D191" s="35" t="str">
        <f aca="false">IF($A191="","",SUMIFS(VENTAS!$H$6:$H$2005,VENTAS!$A$6:$A$2005,$A191,VENTAS!$M$6:$M$2005,"Efectivo"))</f>
        <v/>
      </c>
      <c r="E191" s="35" t="str">
        <f aca="false">IF($A191="","",SUMIFS(VENTAS!$H$6:$H$2005,VENTAS!$A$6:$A$2005,$A191,VENTAS!$M$6:$M$2005,"SINPE Móvil"))</f>
        <v/>
      </c>
      <c r="F191" s="35" t="str">
        <f aca="false">IF($A191="","",SUMIFS(VENTAS!$H$6:$H$2005,VENTAS!$A$6:$A$2005,$A191,VENTAS!$M$6:$M$2005,"Tarjeta"))</f>
        <v/>
      </c>
      <c r="G191" s="35" t="str">
        <f aca="false">IF($A191="","",SUMIFS(VENTAS!$H$6:$H$2005,VENTAS!$A$6:$A$2005,$A191)-$D191-$E191-$F191)</f>
        <v/>
      </c>
      <c r="H191" s="35" t="str">
        <f aca="false">IF($A191="","",SUM($D191:$G191))</f>
        <v/>
      </c>
      <c r="I191" s="40"/>
      <c r="J191" s="40"/>
      <c r="K191" s="35" t="str">
        <f aca="false">IF($A191="","",N($C191)+$D191-N($I191)-N($J191))</f>
        <v/>
      </c>
      <c r="L191" s="40"/>
      <c r="M191" s="35" t="str">
        <f aca="false">IF(OR($A191="",$L191=""),"",$L191-$K191)</f>
        <v/>
      </c>
      <c r="N191" s="8" t="str">
        <f aca="false">IF($A191="","",IF($L191="","PENDIENTE",IF(ABS($M191)&lt;1,"OK",IF($M191&lt;0,"FALTANTE","SOBRANTE"))))</f>
        <v/>
      </c>
      <c r="O191" s="6"/>
    </row>
    <row r="192" customFormat="false" ht="15" hidden="false" customHeight="false" outlineLevel="0" collapsed="false">
      <c r="A192" s="44"/>
      <c r="B192" s="6"/>
      <c r="C192" s="40"/>
      <c r="D192" s="35" t="str">
        <f aca="false">IF($A192="","",SUMIFS(VENTAS!$H$6:$H$2005,VENTAS!$A$6:$A$2005,$A192,VENTAS!$M$6:$M$2005,"Efectivo"))</f>
        <v/>
      </c>
      <c r="E192" s="35" t="str">
        <f aca="false">IF($A192="","",SUMIFS(VENTAS!$H$6:$H$2005,VENTAS!$A$6:$A$2005,$A192,VENTAS!$M$6:$M$2005,"SINPE Móvil"))</f>
        <v/>
      </c>
      <c r="F192" s="35" t="str">
        <f aca="false">IF($A192="","",SUMIFS(VENTAS!$H$6:$H$2005,VENTAS!$A$6:$A$2005,$A192,VENTAS!$M$6:$M$2005,"Tarjeta"))</f>
        <v/>
      </c>
      <c r="G192" s="35" t="str">
        <f aca="false">IF($A192="","",SUMIFS(VENTAS!$H$6:$H$2005,VENTAS!$A$6:$A$2005,$A192)-$D192-$E192-$F192)</f>
        <v/>
      </c>
      <c r="H192" s="35" t="str">
        <f aca="false">IF($A192="","",SUM($D192:$G192))</f>
        <v/>
      </c>
      <c r="I192" s="40"/>
      <c r="J192" s="40"/>
      <c r="K192" s="35" t="str">
        <f aca="false">IF($A192="","",N($C192)+$D192-N($I192)-N($J192))</f>
        <v/>
      </c>
      <c r="L192" s="40"/>
      <c r="M192" s="35" t="str">
        <f aca="false">IF(OR($A192="",$L192=""),"",$L192-$K192)</f>
        <v/>
      </c>
      <c r="N192" s="8" t="str">
        <f aca="false">IF($A192="","",IF($L192="","PENDIENTE",IF(ABS($M192)&lt;1,"OK",IF($M192&lt;0,"FALTANTE","SOBRANTE"))))</f>
        <v/>
      </c>
      <c r="O192" s="6"/>
    </row>
    <row r="193" customFormat="false" ht="15" hidden="false" customHeight="false" outlineLevel="0" collapsed="false">
      <c r="A193" s="44"/>
      <c r="B193" s="6"/>
      <c r="C193" s="40"/>
      <c r="D193" s="35" t="str">
        <f aca="false">IF($A193="","",SUMIFS(VENTAS!$H$6:$H$2005,VENTAS!$A$6:$A$2005,$A193,VENTAS!$M$6:$M$2005,"Efectivo"))</f>
        <v/>
      </c>
      <c r="E193" s="35" t="str">
        <f aca="false">IF($A193="","",SUMIFS(VENTAS!$H$6:$H$2005,VENTAS!$A$6:$A$2005,$A193,VENTAS!$M$6:$M$2005,"SINPE Móvil"))</f>
        <v/>
      </c>
      <c r="F193" s="35" t="str">
        <f aca="false">IF($A193="","",SUMIFS(VENTAS!$H$6:$H$2005,VENTAS!$A$6:$A$2005,$A193,VENTAS!$M$6:$M$2005,"Tarjeta"))</f>
        <v/>
      </c>
      <c r="G193" s="35" t="str">
        <f aca="false">IF($A193="","",SUMIFS(VENTAS!$H$6:$H$2005,VENTAS!$A$6:$A$2005,$A193)-$D193-$E193-$F193)</f>
        <v/>
      </c>
      <c r="H193" s="35" t="str">
        <f aca="false">IF($A193="","",SUM($D193:$G193))</f>
        <v/>
      </c>
      <c r="I193" s="40"/>
      <c r="J193" s="40"/>
      <c r="K193" s="35" t="str">
        <f aca="false">IF($A193="","",N($C193)+$D193-N($I193)-N($J193))</f>
        <v/>
      </c>
      <c r="L193" s="40"/>
      <c r="M193" s="35" t="str">
        <f aca="false">IF(OR($A193="",$L193=""),"",$L193-$K193)</f>
        <v/>
      </c>
      <c r="N193" s="8" t="str">
        <f aca="false">IF($A193="","",IF($L193="","PENDIENTE",IF(ABS($M193)&lt;1,"OK",IF($M193&lt;0,"FALTANTE","SOBRANTE"))))</f>
        <v/>
      </c>
      <c r="O193" s="6"/>
    </row>
    <row r="194" customFormat="false" ht="15" hidden="false" customHeight="false" outlineLevel="0" collapsed="false">
      <c r="A194" s="44"/>
      <c r="B194" s="6"/>
      <c r="C194" s="40"/>
      <c r="D194" s="35" t="str">
        <f aca="false">IF($A194="","",SUMIFS(VENTAS!$H$6:$H$2005,VENTAS!$A$6:$A$2005,$A194,VENTAS!$M$6:$M$2005,"Efectivo"))</f>
        <v/>
      </c>
      <c r="E194" s="35" t="str">
        <f aca="false">IF($A194="","",SUMIFS(VENTAS!$H$6:$H$2005,VENTAS!$A$6:$A$2005,$A194,VENTAS!$M$6:$M$2005,"SINPE Móvil"))</f>
        <v/>
      </c>
      <c r="F194" s="35" t="str">
        <f aca="false">IF($A194="","",SUMIFS(VENTAS!$H$6:$H$2005,VENTAS!$A$6:$A$2005,$A194,VENTAS!$M$6:$M$2005,"Tarjeta"))</f>
        <v/>
      </c>
      <c r="G194" s="35" t="str">
        <f aca="false">IF($A194="","",SUMIFS(VENTAS!$H$6:$H$2005,VENTAS!$A$6:$A$2005,$A194)-$D194-$E194-$F194)</f>
        <v/>
      </c>
      <c r="H194" s="35" t="str">
        <f aca="false">IF($A194="","",SUM($D194:$G194))</f>
        <v/>
      </c>
      <c r="I194" s="40"/>
      <c r="J194" s="40"/>
      <c r="K194" s="35" t="str">
        <f aca="false">IF($A194="","",N($C194)+$D194-N($I194)-N($J194))</f>
        <v/>
      </c>
      <c r="L194" s="40"/>
      <c r="M194" s="35" t="str">
        <f aca="false">IF(OR($A194="",$L194=""),"",$L194-$K194)</f>
        <v/>
      </c>
      <c r="N194" s="8" t="str">
        <f aca="false">IF($A194="","",IF($L194="","PENDIENTE",IF(ABS($M194)&lt;1,"OK",IF($M194&lt;0,"FALTANTE","SOBRANTE"))))</f>
        <v/>
      </c>
      <c r="O194" s="6"/>
    </row>
    <row r="195" customFormat="false" ht="15" hidden="false" customHeight="false" outlineLevel="0" collapsed="false">
      <c r="A195" s="44"/>
      <c r="B195" s="6"/>
      <c r="C195" s="40"/>
      <c r="D195" s="35" t="str">
        <f aca="false">IF($A195="","",SUMIFS(VENTAS!$H$6:$H$2005,VENTAS!$A$6:$A$2005,$A195,VENTAS!$M$6:$M$2005,"Efectivo"))</f>
        <v/>
      </c>
      <c r="E195" s="35" t="str">
        <f aca="false">IF($A195="","",SUMIFS(VENTAS!$H$6:$H$2005,VENTAS!$A$6:$A$2005,$A195,VENTAS!$M$6:$M$2005,"SINPE Móvil"))</f>
        <v/>
      </c>
      <c r="F195" s="35" t="str">
        <f aca="false">IF($A195="","",SUMIFS(VENTAS!$H$6:$H$2005,VENTAS!$A$6:$A$2005,$A195,VENTAS!$M$6:$M$2005,"Tarjeta"))</f>
        <v/>
      </c>
      <c r="G195" s="35" t="str">
        <f aca="false">IF($A195="","",SUMIFS(VENTAS!$H$6:$H$2005,VENTAS!$A$6:$A$2005,$A195)-$D195-$E195-$F195)</f>
        <v/>
      </c>
      <c r="H195" s="35" t="str">
        <f aca="false">IF($A195="","",SUM($D195:$G195))</f>
        <v/>
      </c>
      <c r="I195" s="40"/>
      <c r="J195" s="40"/>
      <c r="K195" s="35" t="str">
        <f aca="false">IF($A195="","",N($C195)+$D195-N($I195)-N($J195))</f>
        <v/>
      </c>
      <c r="L195" s="40"/>
      <c r="M195" s="35" t="str">
        <f aca="false">IF(OR($A195="",$L195=""),"",$L195-$K195)</f>
        <v/>
      </c>
      <c r="N195" s="8" t="str">
        <f aca="false">IF($A195="","",IF($L195="","PENDIENTE",IF(ABS($M195)&lt;1,"OK",IF($M195&lt;0,"FALTANTE","SOBRANTE"))))</f>
        <v/>
      </c>
      <c r="O195" s="6"/>
    </row>
    <row r="196" customFormat="false" ht="15" hidden="false" customHeight="false" outlineLevel="0" collapsed="false">
      <c r="A196" s="44"/>
      <c r="B196" s="6"/>
      <c r="C196" s="40"/>
      <c r="D196" s="35" t="str">
        <f aca="false">IF($A196="","",SUMIFS(VENTAS!$H$6:$H$2005,VENTAS!$A$6:$A$2005,$A196,VENTAS!$M$6:$M$2005,"Efectivo"))</f>
        <v/>
      </c>
      <c r="E196" s="35" t="str">
        <f aca="false">IF($A196="","",SUMIFS(VENTAS!$H$6:$H$2005,VENTAS!$A$6:$A$2005,$A196,VENTAS!$M$6:$M$2005,"SINPE Móvil"))</f>
        <v/>
      </c>
      <c r="F196" s="35" t="str">
        <f aca="false">IF($A196="","",SUMIFS(VENTAS!$H$6:$H$2005,VENTAS!$A$6:$A$2005,$A196,VENTAS!$M$6:$M$2005,"Tarjeta"))</f>
        <v/>
      </c>
      <c r="G196" s="35" t="str">
        <f aca="false">IF($A196="","",SUMIFS(VENTAS!$H$6:$H$2005,VENTAS!$A$6:$A$2005,$A196)-$D196-$E196-$F196)</f>
        <v/>
      </c>
      <c r="H196" s="35" t="str">
        <f aca="false">IF($A196="","",SUM($D196:$G196))</f>
        <v/>
      </c>
      <c r="I196" s="40"/>
      <c r="J196" s="40"/>
      <c r="K196" s="35" t="str">
        <f aca="false">IF($A196="","",N($C196)+$D196-N($I196)-N($J196))</f>
        <v/>
      </c>
      <c r="L196" s="40"/>
      <c r="M196" s="35" t="str">
        <f aca="false">IF(OR($A196="",$L196=""),"",$L196-$K196)</f>
        <v/>
      </c>
      <c r="N196" s="8" t="str">
        <f aca="false">IF($A196="","",IF($L196="","PENDIENTE",IF(ABS($M196)&lt;1,"OK",IF($M196&lt;0,"FALTANTE","SOBRANTE"))))</f>
        <v/>
      </c>
      <c r="O196" s="6"/>
    </row>
    <row r="197" customFormat="false" ht="15" hidden="false" customHeight="false" outlineLevel="0" collapsed="false">
      <c r="A197" s="44"/>
      <c r="B197" s="6"/>
      <c r="C197" s="40"/>
      <c r="D197" s="35" t="str">
        <f aca="false">IF($A197="","",SUMIFS(VENTAS!$H$6:$H$2005,VENTAS!$A$6:$A$2005,$A197,VENTAS!$M$6:$M$2005,"Efectivo"))</f>
        <v/>
      </c>
      <c r="E197" s="35" t="str">
        <f aca="false">IF($A197="","",SUMIFS(VENTAS!$H$6:$H$2005,VENTAS!$A$6:$A$2005,$A197,VENTAS!$M$6:$M$2005,"SINPE Móvil"))</f>
        <v/>
      </c>
      <c r="F197" s="35" t="str">
        <f aca="false">IF($A197="","",SUMIFS(VENTAS!$H$6:$H$2005,VENTAS!$A$6:$A$2005,$A197,VENTAS!$M$6:$M$2005,"Tarjeta"))</f>
        <v/>
      </c>
      <c r="G197" s="35" t="str">
        <f aca="false">IF($A197="","",SUMIFS(VENTAS!$H$6:$H$2005,VENTAS!$A$6:$A$2005,$A197)-$D197-$E197-$F197)</f>
        <v/>
      </c>
      <c r="H197" s="35" t="str">
        <f aca="false">IF($A197="","",SUM($D197:$G197))</f>
        <v/>
      </c>
      <c r="I197" s="40"/>
      <c r="J197" s="40"/>
      <c r="K197" s="35" t="str">
        <f aca="false">IF($A197="","",N($C197)+$D197-N($I197)-N($J197))</f>
        <v/>
      </c>
      <c r="L197" s="40"/>
      <c r="M197" s="35" t="str">
        <f aca="false">IF(OR($A197="",$L197=""),"",$L197-$K197)</f>
        <v/>
      </c>
      <c r="N197" s="8" t="str">
        <f aca="false">IF($A197="","",IF($L197="","PENDIENTE",IF(ABS($M197)&lt;1,"OK",IF($M197&lt;0,"FALTANTE","SOBRANTE"))))</f>
        <v/>
      </c>
      <c r="O197" s="6"/>
    </row>
    <row r="198" customFormat="false" ht="15" hidden="false" customHeight="false" outlineLevel="0" collapsed="false">
      <c r="A198" s="44"/>
      <c r="B198" s="6"/>
      <c r="C198" s="40"/>
      <c r="D198" s="35" t="str">
        <f aca="false">IF($A198="","",SUMIFS(VENTAS!$H$6:$H$2005,VENTAS!$A$6:$A$2005,$A198,VENTAS!$M$6:$M$2005,"Efectivo"))</f>
        <v/>
      </c>
      <c r="E198" s="35" t="str">
        <f aca="false">IF($A198="","",SUMIFS(VENTAS!$H$6:$H$2005,VENTAS!$A$6:$A$2005,$A198,VENTAS!$M$6:$M$2005,"SINPE Móvil"))</f>
        <v/>
      </c>
      <c r="F198" s="35" t="str">
        <f aca="false">IF($A198="","",SUMIFS(VENTAS!$H$6:$H$2005,VENTAS!$A$6:$A$2005,$A198,VENTAS!$M$6:$M$2005,"Tarjeta"))</f>
        <v/>
      </c>
      <c r="G198" s="35" t="str">
        <f aca="false">IF($A198="","",SUMIFS(VENTAS!$H$6:$H$2005,VENTAS!$A$6:$A$2005,$A198)-$D198-$E198-$F198)</f>
        <v/>
      </c>
      <c r="H198" s="35" t="str">
        <f aca="false">IF($A198="","",SUM($D198:$G198))</f>
        <v/>
      </c>
      <c r="I198" s="40"/>
      <c r="J198" s="40"/>
      <c r="K198" s="35" t="str">
        <f aca="false">IF($A198="","",N($C198)+$D198-N($I198)-N($J198))</f>
        <v/>
      </c>
      <c r="L198" s="40"/>
      <c r="M198" s="35" t="str">
        <f aca="false">IF(OR($A198="",$L198=""),"",$L198-$K198)</f>
        <v/>
      </c>
      <c r="N198" s="8" t="str">
        <f aca="false">IF($A198="","",IF($L198="","PENDIENTE",IF(ABS($M198)&lt;1,"OK",IF($M198&lt;0,"FALTANTE","SOBRANTE"))))</f>
        <v/>
      </c>
      <c r="O198" s="6"/>
    </row>
    <row r="199" customFormat="false" ht="15" hidden="false" customHeight="false" outlineLevel="0" collapsed="false">
      <c r="A199" s="44"/>
      <c r="B199" s="6"/>
      <c r="C199" s="40"/>
      <c r="D199" s="35" t="str">
        <f aca="false">IF($A199="","",SUMIFS(VENTAS!$H$6:$H$2005,VENTAS!$A$6:$A$2005,$A199,VENTAS!$M$6:$M$2005,"Efectivo"))</f>
        <v/>
      </c>
      <c r="E199" s="35" t="str">
        <f aca="false">IF($A199="","",SUMIFS(VENTAS!$H$6:$H$2005,VENTAS!$A$6:$A$2005,$A199,VENTAS!$M$6:$M$2005,"SINPE Móvil"))</f>
        <v/>
      </c>
      <c r="F199" s="35" t="str">
        <f aca="false">IF($A199="","",SUMIFS(VENTAS!$H$6:$H$2005,VENTAS!$A$6:$A$2005,$A199,VENTAS!$M$6:$M$2005,"Tarjeta"))</f>
        <v/>
      </c>
      <c r="G199" s="35" t="str">
        <f aca="false">IF($A199="","",SUMIFS(VENTAS!$H$6:$H$2005,VENTAS!$A$6:$A$2005,$A199)-$D199-$E199-$F199)</f>
        <v/>
      </c>
      <c r="H199" s="35" t="str">
        <f aca="false">IF($A199="","",SUM($D199:$G199))</f>
        <v/>
      </c>
      <c r="I199" s="40"/>
      <c r="J199" s="40"/>
      <c r="K199" s="35" t="str">
        <f aca="false">IF($A199="","",N($C199)+$D199-N($I199)-N($J199))</f>
        <v/>
      </c>
      <c r="L199" s="40"/>
      <c r="M199" s="35" t="str">
        <f aca="false">IF(OR($A199="",$L199=""),"",$L199-$K199)</f>
        <v/>
      </c>
      <c r="N199" s="8" t="str">
        <f aca="false">IF($A199="","",IF($L199="","PENDIENTE",IF(ABS($M199)&lt;1,"OK",IF($M199&lt;0,"FALTANTE","SOBRANTE"))))</f>
        <v/>
      </c>
      <c r="O199" s="6"/>
    </row>
    <row r="200" customFormat="false" ht="15" hidden="false" customHeight="false" outlineLevel="0" collapsed="false">
      <c r="A200" s="44"/>
      <c r="B200" s="6"/>
      <c r="C200" s="40"/>
      <c r="D200" s="35" t="str">
        <f aca="false">IF($A200="","",SUMIFS(VENTAS!$H$6:$H$2005,VENTAS!$A$6:$A$2005,$A200,VENTAS!$M$6:$M$2005,"Efectivo"))</f>
        <v/>
      </c>
      <c r="E200" s="35" t="str">
        <f aca="false">IF($A200="","",SUMIFS(VENTAS!$H$6:$H$2005,VENTAS!$A$6:$A$2005,$A200,VENTAS!$M$6:$M$2005,"SINPE Móvil"))</f>
        <v/>
      </c>
      <c r="F200" s="35" t="str">
        <f aca="false">IF($A200="","",SUMIFS(VENTAS!$H$6:$H$2005,VENTAS!$A$6:$A$2005,$A200,VENTAS!$M$6:$M$2005,"Tarjeta"))</f>
        <v/>
      </c>
      <c r="G200" s="35" t="str">
        <f aca="false">IF($A200="","",SUMIFS(VENTAS!$H$6:$H$2005,VENTAS!$A$6:$A$2005,$A200)-$D200-$E200-$F200)</f>
        <v/>
      </c>
      <c r="H200" s="35" t="str">
        <f aca="false">IF($A200="","",SUM($D200:$G200))</f>
        <v/>
      </c>
      <c r="I200" s="40"/>
      <c r="J200" s="40"/>
      <c r="K200" s="35" t="str">
        <f aca="false">IF($A200="","",N($C200)+$D200-N($I200)-N($J200))</f>
        <v/>
      </c>
      <c r="L200" s="40"/>
      <c r="M200" s="35" t="str">
        <f aca="false">IF(OR($A200="",$L200=""),"",$L200-$K200)</f>
        <v/>
      </c>
      <c r="N200" s="8" t="str">
        <f aca="false">IF($A200="","",IF($L200="","PENDIENTE",IF(ABS($M200)&lt;1,"OK",IF($M200&lt;0,"FALTANTE","SOBRANTE"))))</f>
        <v/>
      </c>
      <c r="O200" s="6"/>
    </row>
    <row r="201" customFormat="false" ht="15" hidden="false" customHeight="false" outlineLevel="0" collapsed="false">
      <c r="A201" s="44"/>
      <c r="B201" s="6"/>
      <c r="C201" s="40"/>
      <c r="D201" s="35" t="str">
        <f aca="false">IF($A201="","",SUMIFS(VENTAS!$H$6:$H$2005,VENTAS!$A$6:$A$2005,$A201,VENTAS!$M$6:$M$2005,"Efectivo"))</f>
        <v/>
      </c>
      <c r="E201" s="35" t="str">
        <f aca="false">IF($A201="","",SUMIFS(VENTAS!$H$6:$H$2005,VENTAS!$A$6:$A$2005,$A201,VENTAS!$M$6:$M$2005,"SINPE Móvil"))</f>
        <v/>
      </c>
      <c r="F201" s="35" t="str">
        <f aca="false">IF($A201="","",SUMIFS(VENTAS!$H$6:$H$2005,VENTAS!$A$6:$A$2005,$A201,VENTAS!$M$6:$M$2005,"Tarjeta"))</f>
        <v/>
      </c>
      <c r="G201" s="35" t="str">
        <f aca="false">IF($A201="","",SUMIFS(VENTAS!$H$6:$H$2005,VENTAS!$A$6:$A$2005,$A201)-$D201-$E201-$F201)</f>
        <v/>
      </c>
      <c r="H201" s="35" t="str">
        <f aca="false">IF($A201="","",SUM($D201:$G201))</f>
        <v/>
      </c>
      <c r="I201" s="40"/>
      <c r="J201" s="40"/>
      <c r="K201" s="35" t="str">
        <f aca="false">IF($A201="","",N($C201)+$D201-N($I201)-N($J201))</f>
        <v/>
      </c>
      <c r="L201" s="40"/>
      <c r="M201" s="35" t="str">
        <f aca="false">IF(OR($A201="",$L201=""),"",$L201-$K201)</f>
        <v/>
      </c>
      <c r="N201" s="8" t="str">
        <f aca="false">IF($A201="","",IF($L201="","PENDIENTE",IF(ABS($M201)&lt;1,"OK",IF($M201&lt;0,"FALTANTE","SOBRANTE"))))</f>
        <v/>
      </c>
      <c r="O201" s="6"/>
    </row>
    <row r="202" customFormat="false" ht="15" hidden="false" customHeight="false" outlineLevel="0" collapsed="false">
      <c r="A202" s="44"/>
      <c r="B202" s="6"/>
      <c r="C202" s="40"/>
      <c r="D202" s="35" t="str">
        <f aca="false">IF($A202="","",SUMIFS(VENTAS!$H$6:$H$2005,VENTAS!$A$6:$A$2005,$A202,VENTAS!$M$6:$M$2005,"Efectivo"))</f>
        <v/>
      </c>
      <c r="E202" s="35" t="str">
        <f aca="false">IF($A202="","",SUMIFS(VENTAS!$H$6:$H$2005,VENTAS!$A$6:$A$2005,$A202,VENTAS!$M$6:$M$2005,"SINPE Móvil"))</f>
        <v/>
      </c>
      <c r="F202" s="35" t="str">
        <f aca="false">IF($A202="","",SUMIFS(VENTAS!$H$6:$H$2005,VENTAS!$A$6:$A$2005,$A202,VENTAS!$M$6:$M$2005,"Tarjeta"))</f>
        <v/>
      </c>
      <c r="G202" s="35" t="str">
        <f aca="false">IF($A202="","",SUMIFS(VENTAS!$H$6:$H$2005,VENTAS!$A$6:$A$2005,$A202)-$D202-$E202-$F202)</f>
        <v/>
      </c>
      <c r="H202" s="35" t="str">
        <f aca="false">IF($A202="","",SUM($D202:$G202))</f>
        <v/>
      </c>
      <c r="I202" s="40"/>
      <c r="J202" s="40"/>
      <c r="K202" s="35" t="str">
        <f aca="false">IF($A202="","",N($C202)+$D202-N($I202)-N($J202))</f>
        <v/>
      </c>
      <c r="L202" s="40"/>
      <c r="M202" s="35" t="str">
        <f aca="false">IF(OR($A202="",$L202=""),"",$L202-$K202)</f>
        <v/>
      </c>
      <c r="N202" s="8" t="str">
        <f aca="false">IF($A202="","",IF($L202="","PENDIENTE",IF(ABS($M202)&lt;1,"OK",IF($M202&lt;0,"FALTANTE","SOBRANTE"))))</f>
        <v/>
      </c>
      <c r="O202" s="6"/>
    </row>
    <row r="203" customFormat="false" ht="15" hidden="false" customHeight="false" outlineLevel="0" collapsed="false">
      <c r="A203" s="44"/>
      <c r="B203" s="6"/>
      <c r="C203" s="40"/>
      <c r="D203" s="35" t="str">
        <f aca="false">IF($A203="","",SUMIFS(VENTAS!$H$6:$H$2005,VENTAS!$A$6:$A$2005,$A203,VENTAS!$M$6:$M$2005,"Efectivo"))</f>
        <v/>
      </c>
      <c r="E203" s="35" t="str">
        <f aca="false">IF($A203="","",SUMIFS(VENTAS!$H$6:$H$2005,VENTAS!$A$6:$A$2005,$A203,VENTAS!$M$6:$M$2005,"SINPE Móvil"))</f>
        <v/>
      </c>
      <c r="F203" s="35" t="str">
        <f aca="false">IF($A203="","",SUMIFS(VENTAS!$H$6:$H$2005,VENTAS!$A$6:$A$2005,$A203,VENTAS!$M$6:$M$2005,"Tarjeta"))</f>
        <v/>
      </c>
      <c r="G203" s="35" t="str">
        <f aca="false">IF($A203="","",SUMIFS(VENTAS!$H$6:$H$2005,VENTAS!$A$6:$A$2005,$A203)-$D203-$E203-$F203)</f>
        <v/>
      </c>
      <c r="H203" s="35" t="str">
        <f aca="false">IF($A203="","",SUM($D203:$G203))</f>
        <v/>
      </c>
      <c r="I203" s="40"/>
      <c r="J203" s="40"/>
      <c r="K203" s="35" t="str">
        <f aca="false">IF($A203="","",N($C203)+$D203-N($I203)-N($J203))</f>
        <v/>
      </c>
      <c r="L203" s="40"/>
      <c r="M203" s="35" t="str">
        <f aca="false">IF(OR($A203="",$L203=""),"",$L203-$K203)</f>
        <v/>
      </c>
      <c r="N203" s="8" t="str">
        <f aca="false">IF($A203="","",IF($L203="","PENDIENTE",IF(ABS($M203)&lt;1,"OK",IF($M203&lt;0,"FALTANTE","SOBRANTE"))))</f>
        <v/>
      </c>
      <c r="O203" s="6"/>
    </row>
    <row r="204" customFormat="false" ht="15" hidden="false" customHeight="false" outlineLevel="0" collapsed="false">
      <c r="A204" s="44"/>
      <c r="B204" s="6"/>
      <c r="C204" s="40"/>
      <c r="D204" s="35" t="str">
        <f aca="false">IF($A204="","",SUMIFS(VENTAS!$H$6:$H$2005,VENTAS!$A$6:$A$2005,$A204,VENTAS!$M$6:$M$2005,"Efectivo"))</f>
        <v/>
      </c>
      <c r="E204" s="35" t="str">
        <f aca="false">IF($A204="","",SUMIFS(VENTAS!$H$6:$H$2005,VENTAS!$A$6:$A$2005,$A204,VENTAS!$M$6:$M$2005,"SINPE Móvil"))</f>
        <v/>
      </c>
      <c r="F204" s="35" t="str">
        <f aca="false">IF($A204="","",SUMIFS(VENTAS!$H$6:$H$2005,VENTAS!$A$6:$A$2005,$A204,VENTAS!$M$6:$M$2005,"Tarjeta"))</f>
        <v/>
      </c>
      <c r="G204" s="35" t="str">
        <f aca="false">IF($A204="","",SUMIFS(VENTAS!$H$6:$H$2005,VENTAS!$A$6:$A$2005,$A204)-$D204-$E204-$F204)</f>
        <v/>
      </c>
      <c r="H204" s="35" t="str">
        <f aca="false">IF($A204="","",SUM($D204:$G204))</f>
        <v/>
      </c>
      <c r="I204" s="40"/>
      <c r="J204" s="40"/>
      <c r="K204" s="35" t="str">
        <f aca="false">IF($A204="","",N($C204)+$D204-N($I204)-N($J204))</f>
        <v/>
      </c>
      <c r="L204" s="40"/>
      <c r="M204" s="35" t="str">
        <f aca="false">IF(OR($A204="",$L204=""),"",$L204-$K204)</f>
        <v/>
      </c>
      <c r="N204" s="8" t="str">
        <f aca="false">IF($A204="","",IF($L204="","PENDIENTE",IF(ABS($M204)&lt;1,"OK",IF($M204&lt;0,"FALTANTE","SOBRANTE"))))</f>
        <v/>
      </c>
      <c r="O204" s="6"/>
    </row>
    <row r="205" customFormat="false" ht="15" hidden="false" customHeight="false" outlineLevel="0" collapsed="false">
      <c r="A205" s="44"/>
      <c r="B205" s="6"/>
      <c r="C205" s="40"/>
      <c r="D205" s="35" t="str">
        <f aca="false">IF($A205="","",SUMIFS(VENTAS!$H$6:$H$2005,VENTAS!$A$6:$A$2005,$A205,VENTAS!$M$6:$M$2005,"Efectivo"))</f>
        <v/>
      </c>
      <c r="E205" s="35" t="str">
        <f aca="false">IF($A205="","",SUMIFS(VENTAS!$H$6:$H$2005,VENTAS!$A$6:$A$2005,$A205,VENTAS!$M$6:$M$2005,"SINPE Móvil"))</f>
        <v/>
      </c>
      <c r="F205" s="35" t="str">
        <f aca="false">IF($A205="","",SUMIFS(VENTAS!$H$6:$H$2005,VENTAS!$A$6:$A$2005,$A205,VENTAS!$M$6:$M$2005,"Tarjeta"))</f>
        <v/>
      </c>
      <c r="G205" s="35" t="str">
        <f aca="false">IF($A205="","",SUMIFS(VENTAS!$H$6:$H$2005,VENTAS!$A$6:$A$2005,$A205)-$D205-$E205-$F205)</f>
        <v/>
      </c>
      <c r="H205" s="35" t="str">
        <f aca="false">IF($A205="","",SUM($D205:$G205))</f>
        <v/>
      </c>
      <c r="I205" s="40"/>
      <c r="J205" s="40"/>
      <c r="K205" s="35" t="str">
        <f aca="false">IF($A205="","",N($C205)+$D205-N($I205)-N($J205))</f>
        <v/>
      </c>
      <c r="L205" s="40"/>
      <c r="M205" s="35" t="str">
        <f aca="false">IF(OR($A205="",$L205=""),"",$L205-$K205)</f>
        <v/>
      </c>
      <c r="N205" s="8" t="str">
        <f aca="false">IF($A205="","",IF($L205="","PENDIENTE",IF(ABS($M205)&lt;1,"OK",IF($M205&lt;0,"FALTANTE","SOBRANTE"))))</f>
        <v/>
      </c>
      <c r="O205" s="6"/>
    </row>
    <row r="206" customFormat="false" ht="15" hidden="false" customHeight="false" outlineLevel="0" collapsed="false">
      <c r="A206" s="44"/>
      <c r="B206" s="6"/>
      <c r="C206" s="40"/>
      <c r="D206" s="35" t="str">
        <f aca="false">IF($A206="","",SUMIFS(VENTAS!$H$6:$H$2005,VENTAS!$A$6:$A$2005,$A206,VENTAS!$M$6:$M$2005,"Efectivo"))</f>
        <v/>
      </c>
      <c r="E206" s="35" t="str">
        <f aca="false">IF($A206="","",SUMIFS(VENTAS!$H$6:$H$2005,VENTAS!$A$6:$A$2005,$A206,VENTAS!$M$6:$M$2005,"SINPE Móvil"))</f>
        <v/>
      </c>
      <c r="F206" s="35" t="str">
        <f aca="false">IF($A206="","",SUMIFS(VENTAS!$H$6:$H$2005,VENTAS!$A$6:$A$2005,$A206,VENTAS!$M$6:$M$2005,"Tarjeta"))</f>
        <v/>
      </c>
      <c r="G206" s="35" t="str">
        <f aca="false">IF($A206="","",SUMIFS(VENTAS!$H$6:$H$2005,VENTAS!$A$6:$A$2005,$A206)-$D206-$E206-$F206)</f>
        <v/>
      </c>
      <c r="H206" s="35" t="str">
        <f aca="false">IF($A206="","",SUM($D206:$G206))</f>
        <v/>
      </c>
      <c r="I206" s="40"/>
      <c r="J206" s="40"/>
      <c r="K206" s="35" t="str">
        <f aca="false">IF($A206="","",N($C206)+$D206-N($I206)-N($J206))</f>
        <v/>
      </c>
      <c r="L206" s="40"/>
      <c r="M206" s="35" t="str">
        <f aca="false">IF(OR($A206="",$L206=""),"",$L206-$K206)</f>
        <v/>
      </c>
      <c r="N206" s="8" t="str">
        <f aca="false">IF($A206="","",IF($L206="","PENDIENTE",IF(ABS($M206)&lt;1,"OK",IF($M206&lt;0,"FALTANTE","SOBRANTE"))))</f>
        <v/>
      </c>
      <c r="O206" s="6"/>
    </row>
    <row r="207" customFormat="false" ht="15" hidden="false" customHeight="false" outlineLevel="0" collapsed="false">
      <c r="A207" s="44"/>
      <c r="B207" s="6"/>
      <c r="C207" s="40"/>
      <c r="D207" s="35" t="str">
        <f aca="false">IF($A207="","",SUMIFS(VENTAS!$H$6:$H$2005,VENTAS!$A$6:$A$2005,$A207,VENTAS!$M$6:$M$2005,"Efectivo"))</f>
        <v/>
      </c>
      <c r="E207" s="35" t="str">
        <f aca="false">IF($A207="","",SUMIFS(VENTAS!$H$6:$H$2005,VENTAS!$A$6:$A$2005,$A207,VENTAS!$M$6:$M$2005,"SINPE Móvil"))</f>
        <v/>
      </c>
      <c r="F207" s="35" t="str">
        <f aca="false">IF($A207="","",SUMIFS(VENTAS!$H$6:$H$2005,VENTAS!$A$6:$A$2005,$A207,VENTAS!$M$6:$M$2005,"Tarjeta"))</f>
        <v/>
      </c>
      <c r="G207" s="35" t="str">
        <f aca="false">IF($A207="","",SUMIFS(VENTAS!$H$6:$H$2005,VENTAS!$A$6:$A$2005,$A207)-$D207-$E207-$F207)</f>
        <v/>
      </c>
      <c r="H207" s="35" t="str">
        <f aca="false">IF($A207="","",SUM($D207:$G207))</f>
        <v/>
      </c>
      <c r="I207" s="40"/>
      <c r="J207" s="40"/>
      <c r="K207" s="35" t="str">
        <f aca="false">IF($A207="","",N($C207)+$D207-N($I207)-N($J207))</f>
        <v/>
      </c>
      <c r="L207" s="40"/>
      <c r="M207" s="35" t="str">
        <f aca="false">IF(OR($A207="",$L207=""),"",$L207-$K207)</f>
        <v/>
      </c>
      <c r="N207" s="8" t="str">
        <f aca="false">IF($A207="","",IF($L207="","PENDIENTE",IF(ABS($M207)&lt;1,"OK",IF($M207&lt;0,"FALTANTE","SOBRANTE"))))</f>
        <v/>
      </c>
      <c r="O207" s="6"/>
    </row>
    <row r="208" customFormat="false" ht="15" hidden="false" customHeight="false" outlineLevel="0" collapsed="false">
      <c r="A208" s="44"/>
      <c r="B208" s="6"/>
      <c r="C208" s="40"/>
      <c r="D208" s="35" t="str">
        <f aca="false">IF($A208="","",SUMIFS(VENTAS!$H$6:$H$2005,VENTAS!$A$6:$A$2005,$A208,VENTAS!$M$6:$M$2005,"Efectivo"))</f>
        <v/>
      </c>
      <c r="E208" s="35" t="str">
        <f aca="false">IF($A208="","",SUMIFS(VENTAS!$H$6:$H$2005,VENTAS!$A$6:$A$2005,$A208,VENTAS!$M$6:$M$2005,"SINPE Móvil"))</f>
        <v/>
      </c>
      <c r="F208" s="35" t="str">
        <f aca="false">IF($A208="","",SUMIFS(VENTAS!$H$6:$H$2005,VENTAS!$A$6:$A$2005,$A208,VENTAS!$M$6:$M$2005,"Tarjeta"))</f>
        <v/>
      </c>
      <c r="G208" s="35" t="str">
        <f aca="false">IF($A208="","",SUMIFS(VENTAS!$H$6:$H$2005,VENTAS!$A$6:$A$2005,$A208)-$D208-$E208-$F208)</f>
        <v/>
      </c>
      <c r="H208" s="35" t="str">
        <f aca="false">IF($A208="","",SUM($D208:$G208))</f>
        <v/>
      </c>
      <c r="I208" s="40"/>
      <c r="J208" s="40"/>
      <c r="K208" s="35" t="str">
        <f aca="false">IF($A208="","",N($C208)+$D208-N($I208)-N($J208))</f>
        <v/>
      </c>
      <c r="L208" s="40"/>
      <c r="M208" s="35" t="str">
        <f aca="false">IF(OR($A208="",$L208=""),"",$L208-$K208)</f>
        <v/>
      </c>
      <c r="N208" s="8" t="str">
        <f aca="false">IF($A208="","",IF($L208="","PENDIENTE",IF(ABS($M208)&lt;1,"OK",IF($M208&lt;0,"FALTANTE","SOBRANTE"))))</f>
        <v/>
      </c>
      <c r="O208" s="6"/>
    </row>
    <row r="209" customFormat="false" ht="15" hidden="false" customHeight="false" outlineLevel="0" collapsed="false">
      <c r="A209" s="44"/>
      <c r="B209" s="6"/>
      <c r="C209" s="40"/>
      <c r="D209" s="35" t="str">
        <f aca="false">IF($A209="","",SUMIFS(VENTAS!$H$6:$H$2005,VENTAS!$A$6:$A$2005,$A209,VENTAS!$M$6:$M$2005,"Efectivo"))</f>
        <v/>
      </c>
      <c r="E209" s="35" t="str">
        <f aca="false">IF($A209="","",SUMIFS(VENTAS!$H$6:$H$2005,VENTAS!$A$6:$A$2005,$A209,VENTAS!$M$6:$M$2005,"SINPE Móvil"))</f>
        <v/>
      </c>
      <c r="F209" s="35" t="str">
        <f aca="false">IF($A209="","",SUMIFS(VENTAS!$H$6:$H$2005,VENTAS!$A$6:$A$2005,$A209,VENTAS!$M$6:$M$2005,"Tarjeta"))</f>
        <v/>
      </c>
      <c r="G209" s="35" t="str">
        <f aca="false">IF($A209="","",SUMIFS(VENTAS!$H$6:$H$2005,VENTAS!$A$6:$A$2005,$A209)-$D209-$E209-$F209)</f>
        <v/>
      </c>
      <c r="H209" s="35" t="str">
        <f aca="false">IF($A209="","",SUM($D209:$G209))</f>
        <v/>
      </c>
      <c r="I209" s="40"/>
      <c r="J209" s="40"/>
      <c r="K209" s="35" t="str">
        <f aca="false">IF($A209="","",N($C209)+$D209-N($I209)-N($J209))</f>
        <v/>
      </c>
      <c r="L209" s="40"/>
      <c r="M209" s="35" t="str">
        <f aca="false">IF(OR($A209="",$L209=""),"",$L209-$K209)</f>
        <v/>
      </c>
      <c r="N209" s="8" t="str">
        <f aca="false">IF($A209="","",IF($L209="","PENDIENTE",IF(ABS($M209)&lt;1,"OK",IF($M209&lt;0,"FALTANTE","SOBRANTE"))))</f>
        <v/>
      </c>
      <c r="O209" s="6"/>
    </row>
    <row r="210" customFormat="false" ht="15" hidden="false" customHeight="false" outlineLevel="0" collapsed="false">
      <c r="A210" s="44"/>
      <c r="B210" s="6"/>
      <c r="C210" s="40"/>
      <c r="D210" s="35" t="str">
        <f aca="false">IF($A210="","",SUMIFS(VENTAS!$H$6:$H$2005,VENTAS!$A$6:$A$2005,$A210,VENTAS!$M$6:$M$2005,"Efectivo"))</f>
        <v/>
      </c>
      <c r="E210" s="35" t="str">
        <f aca="false">IF($A210="","",SUMIFS(VENTAS!$H$6:$H$2005,VENTAS!$A$6:$A$2005,$A210,VENTAS!$M$6:$M$2005,"SINPE Móvil"))</f>
        <v/>
      </c>
      <c r="F210" s="35" t="str">
        <f aca="false">IF($A210="","",SUMIFS(VENTAS!$H$6:$H$2005,VENTAS!$A$6:$A$2005,$A210,VENTAS!$M$6:$M$2005,"Tarjeta"))</f>
        <v/>
      </c>
      <c r="G210" s="35" t="str">
        <f aca="false">IF($A210="","",SUMIFS(VENTAS!$H$6:$H$2005,VENTAS!$A$6:$A$2005,$A210)-$D210-$E210-$F210)</f>
        <v/>
      </c>
      <c r="H210" s="35" t="str">
        <f aca="false">IF($A210="","",SUM($D210:$G210))</f>
        <v/>
      </c>
      <c r="I210" s="40"/>
      <c r="J210" s="40"/>
      <c r="K210" s="35" t="str">
        <f aca="false">IF($A210="","",N($C210)+$D210-N($I210)-N($J210))</f>
        <v/>
      </c>
      <c r="L210" s="40"/>
      <c r="M210" s="35" t="str">
        <f aca="false">IF(OR($A210="",$L210=""),"",$L210-$K210)</f>
        <v/>
      </c>
      <c r="N210" s="8" t="str">
        <f aca="false">IF($A210="","",IF($L210="","PENDIENTE",IF(ABS($M210)&lt;1,"OK",IF($M210&lt;0,"FALTANTE","SOBRANTE"))))</f>
        <v/>
      </c>
      <c r="O210" s="6"/>
    </row>
    <row r="211" customFormat="false" ht="15" hidden="false" customHeight="false" outlineLevel="0" collapsed="false">
      <c r="A211" s="44"/>
      <c r="B211" s="6"/>
      <c r="C211" s="40"/>
      <c r="D211" s="35" t="str">
        <f aca="false">IF($A211="","",SUMIFS(VENTAS!$H$6:$H$2005,VENTAS!$A$6:$A$2005,$A211,VENTAS!$M$6:$M$2005,"Efectivo"))</f>
        <v/>
      </c>
      <c r="E211" s="35" t="str">
        <f aca="false">IF($A211="","",SUMIFS(VENTAS!$H$6:$H$2005,VENTAS!$A$6:$A$2005,$A211,VENTAS!$M$6:$M$2005,"SINPE Móvil"))</f>
        <v/>
      </c>
      <c r="F211" s="35" t="str">
        <f aca="false">IF($A211="","",SUMIFS(VENTAS!$H$6:$H$2005,VENTAS!$A$6:$A$2005,$A211,VENTAS!$M$6:$M$2005,"Tarjeta"))</f>
        <v/>
      </c>
      <c r="G211" s="35" t="str">
        <f aca="false">IF($A211="","",SUMIFS(VENTAS!$H$6:$H$2005,VENTAS!$A$6:$A$2005,$A211)-$D211-$E211-$F211)</f>
        <v/>
      </c>
      <c r="H211" s="35" t="str">
        <f aca="false">IF($A211="","",SUM($D211:$G211))</f>
        <v/>
      </c>
      <c r="I211" s="40"/>
      <c r="J211" s="40"/>
      <c r="K211" s="35" t="str">
        <f aca="false">IF($A211="","",N($C211)+$D211-N($I211)-N($J211))</f>
        <v/>
      </c>
      <c r="L211" s="40"/>
      <c r="M211" s="35" t="str">
        <f aca="false">IF(OR($A211="",$L211=""),"",$L211-$K211)</f>
        <v/>
      </c>
      <c r="N211" s="8" t="str">
        <f aca="false">IF($A211="","",IF($L211="","PENDIENTE",IF(ABS($M211)&lt;1,"OK",IF($M211&lt;0,"FALTANTE","SOBRANTE"))))</f>
        <v/>
      </c>
      <c r="O211" s="6"/>
    </row>
    <row r="212" customFormat="false" ht="15" hidden="false" customHeight="false" outlineLevel="0" collapsed="false">
      <c r="A212" s="44"/>
      <c r="B212" s="6"/>
      <c r="C212" s="40"/>
      <c r="D212" s="35" t="str">
        <f aca="false">IF($A212="","",SUMIFS(VENTAS!$H$6:$H$2005,VENTAS!$A$6:$A$2005,$A212,VENTAS!$M$6:$M$2005,"Efectivo"))</f>
        <v/>
      </c>
      <c r="E212" s="35" t="str">
        <f aca="false">IF($A212="","",SUMIFS(VENTAS!$H$6:$H$2005,VENTAS!$A$6:$A$2005,$A212,VENTAS!$M$6:$M$2005,"SINPE Móvil"))</f>
        <v/>
      </c>
      <c r="F212" s="35" t="str">
        <f aca="false">IF($A212="","",SUMIFS(VENTAS!$H$6:$H$2005,VENTAS!$A$6:$A$2005,$A212,VENTAS!$M$6:$M$2005,"Tarjeta"))</f>
        <v/>
      </c>
      <c r="G212" s="35" t="str">
        <f aca="false">IF($A212="","",SUMIFS(VENTAS!$H$6:$H$2005,VENTAS!$A$6:$A$2005,$A212)-$D212-$E212-$F212)</f>
        <v/>
      </c>
      <c r="H212" s="35" t="str">
        <f aca="false">IF($A212="","",SUM($D212:$G212))</f>
        <v/>
      </c>
      <c r="I212" s="40"/>
      <c r="J212" s="40"/>
      <c r="K212" s="35" t="str">
        <f aca="false">IF($A212="","",N($C212)+$D212-N($I212)-N($J212))</f>
        <v/>
      </c>
      <c r="L212" s="40"/>
      <c r="M212" s="35" t="str">
        <f aca="false">IF(OR($A212="",$L212=""),"",$L212-$K212)</f>
        <v/>
      </c>
      <c r="N212" s="8" t="str">
        <f aca="false">IF($A212="","",IF($L212="","PENDIENTE",IF(ABS($M212)&lt;1,"OK",IF($M212&lt;0,"FALTANTE","SOBRANTE"))))</f>
        <v/>
      </c>
      <c r="O212" s="6"/>
    </row>
    <row r="213" customFormat="false" ht="15" hidden="false" customHeight="false" outlineLevel="0" collapsed="false">
      <c r="A213" s="44"/>
      <c r="B213" s="6"/>
      <c r="C213" s="40"/>
      <c r="D213" s="35" t="str">
        <f aca="false">IF($A213="","",SUMIFS(VENTAS!$H$6:$H$2005,VENTAS!$A$6:$A$2005,$A213,VENTAS!$M$6:$M$2005,"Efectivo"))</f>
        <v/>
      </c>
      <c r="E213" s="35" t="str">
        <f aca="false">IF($A213="","",SUMIFS(VENTAS!$H$6:$H$2005,VENTAS!$A$6:$A$2005,$A213,VENTAS!$M$6:$M$2005,"SINPE Móvil"))</f>
        <v/>
      </c>
      <c r="F213" s="35" t="str">
        <f aca="false">IF($A213="","",SUMIFS(VENTAS!$H$6:$H$2005,VENTAS!$A$6:$A$2005,$A213,VENTAS!$M$6:$M$2005,"Tarjeta"))</f>
        <v/>
      </c>
      <c r="G213" s="35" t="str">
        <f aca="false">IF($A213="","",SUMIFS(VENTAS!$H$6:$H$2005,VENTAS!$A$6:$A$2005,$A213)-$D213-$E213-$F213)</f>
        <v/>
      </c>
      <c r="H213" s="35" t="str">
        <f aca="false">IF($A213="","",SUM($D213:$G213))</f>
        <v/>
      </c>
      <c r="I213" s="40"/>
      <c r="J213" s="40"/>
      <c r="K213" s="35" t="str">
        <f aca="false">IF($A213="","",N($C213)+$D213-N($I213)-N($J213))</f>
        <v/>
      </c>
      <c r="L213" s="40"/>
      <c r="M213" s="35" t="str">
        <f aca="false">IF(OR($A213="",$L213=""),"",$L213-$K213)</f>
        <v/>
      </c>
      <c r="N213" s="8" t="str">
        <f aca="false">IF($A213="","",IF($L213="","PENDIENTE",IF(ABS($M213)&lt;1,"OK",IF($M213&lt;0,"FALTANTE","SOBRANTE"))))</f>
        <v/>
      </c>
      <c r="O213" s="6"/>
    </row>
    <row r="214" customFormat="false" ht="15" hidden="false" customHeight="false" outlineLevel="0" collapsed="false">
      <c r="A214" s="44"/>
      <c r="B214" s="6"/>
      <c r="C214" s="40"/>
      <c r="D214" s="35" t="str">
        <f aca="false">IF($A214="","",SUMIFS(VENTAS!$H$6:$H$2005,VENTAS!$A$6:$A$2005,$A214,VENTAS!$M$6:$M$2005,"Efectivo"))</f>
        <v/>
      </c>
      <c r="E214" s="35" t="str">
        <f aca="false">IF($A214="","",SUMIFS(VENTAS!$H$6:$H$2005,VENTAS!$A$6:$A$2005,$A214,VENTAS!$M$6:$M$2005,"SINPE Móvil"))</f>
        <v/>
      </c>
      <c r="F214" s="35" t="str">
        <f aca="false">IF($A214="","",SUMIFS(VENTAS!$H$6:$H$2005,VENTAS!$A$6:$A$2005,$A214,VENTAS!$M$6:$M$2005,"Tarjeta"))</f>
        <v/>
      </c>
      <c r="G214" s="35" t="str">
        <f aca="false">IF($A214="","",SUMIFS(VENTAS!$H$6:$H$2005,VENTAS!$A$6:$A$2005,$A214)-$D214-$E214-$F214)</f>
        <v/>
      </c>
      <c r="H214" s="35" t="str">
        <f aca="false">IF($A214="","",SUM($D214:$G214))</f>
        <v/>
      </c>
      <c r="I214" s="40"/>
      <c r="J214" s="40"/>
      <c r="K214" s="35" t="str">
        <f aca="false">IF($A214="","",N($C214)+$D214-N($I214)-N($J214))</f>
        <v/>
      </c>
      <c r="L214" s="40"/>
      <c r="M214" s="35" t="str">
        <f aca="false">IF(OR($A214="",$L214=""),"",$L214-$K214)</f>
        <v/>
      </c>
      <c r="N214" s="8" t="str">
        <f aca="false">IF($A214="","",IF($L214="","PENDIENTE",IF(ABS($M214)&lt;1,"OK",IF($M214&lt;0,"FALTANTE","SOBRANTE"))))</f>
        <v/>
      </c>
      <c r="O214" s="6"/>
    </row>
    <row r="215" customFormat="false" ht="15" hidden="false" customHeight="false" outlineLevel="0" collapsed="false">
      <c r="A215" s="44"/>
      <c r="B215" s="6"/>
      <c r="C215" s="40"/>
      <c r="D215" s="35" t="str">
        <f aca="false">IF($A215="","",SUMIFS(VENTAS!$H$6:$H$2005,VENTAS!$A$6:$A$2005,$A215,VENTAS!$M$6:$M$2005,"Efectivo"))</f>
        <v/>
      </c>
      <c r="E215" s="35" t="str">
        <f aca="false">IF($A215="","",SUMIFS(VENTAS!$H$6:$H$2005,VENTAS!$A$6:$A$2005,$A215,VENTAS!$M$6:$M$2005,"SINPE Móvil"))</f>
        <v/>
      </c>
      <c r="F215" s="35" t="str">
        <f aca="false">IF($A215="","",SUMIFS(VENTAS!$H$6:$H$2005,VENTAS!$A$6:$A$2005,$A215,VENTAS!$M$6:$M$2005,"Tarjeta"))</f>
        <v/>
      </c>
      <c r="G215" s="35" t="str">
        <f aca="false">IF($A215="","",SUMIFS(VENTAS!$H$6:$H$2005,VENTAS!$A$6:$A$2005,$A215)-$D215-$E215-$F215)</f>
        <v/>
      </c>
      <c r="H215" s="35" t="str">
        <f aca="false">IF($A215="","",SUM($D215:$G215))</f>
        <v/>
      </c>
      <c r="I215" s="40"/>
      <c r="J215" s="40"/>
      <c r="K215" s="35" t="str">
        <f aca="false">IF($A215="","",N($C215)+$D215-N($I215)-N($J215))</f>
        <v/>
      </c>
      <c r="L215" s="40"/>
      <c r="M215" s="35" t="str">
        <f aca="false">IF(OR($A215="",$L215=""),"",$L215-$K215)</f>
        <v/>
      </c>
      <c r="N215" s="8" t="str">
        <f aca="false">IF($A215="","",IF($L215="","PENDIENTE",IF(ABS($M215)&lt;1,"OK",IF($M215&lt;0,"FALTANTE","SOBRANTE"))))</f>
        <v/>
      </c>
      <c r="O215" s="6"/>
    </row>
    <row r="216" customFormat="false" ht="15" hidden="false" customHeight="false" outlineLevel="0" collapsed="false">
      <c r="A216" s="44"/>
      <c r="B216" s="6"/>
      <c r="C216" s="40"/>
      <c r="D216" s="35" t="str">
        <f aca="false">IF($A216="","",SUMIFS(VENTAS!$H$6:$H$2005,VENTAS!$A$6:$A$2005,$A216,VENTAS!$M$6:$M$2005,"Efectivo"))</f>
        <v/>
      </c>
      <c r="E216" s="35" t="str">
        <f aca="false">IF($A216="","",SUMIFS(VENTAS!$H$6:$H$2005,VENTAS!$A$6:$A$2005,$A216,VENTAS!$M$6:$M$2005,"SINPE Móvil"))</f>
        <v/>
      </c>
      <c r="F216" s="35" t="str">
        <f aca="false">IF($A216="","",SUMIFS(VENTAS!$H$6:$H$2005,VENTAS!$A$6:$A$2005,$A216,VENTAS!$M$6:$M$2005,"Tarjeta"))</f>
        <v/>
      </c>
      <c r="G216" s="35" t="str">
        <f aca="false">IF($A216="","",SUMIFS(VENTAS!$H$6:$H$2005,VENTAS!$A$6:$A$2005,$A216)-$D216-$E216-$F216)</f>
        <v/>
      </c>
      <c r="H216" s="35" t="str">
        <f aca="false">IF($A216="","",SUM($D216:$G216))</f>
        <v/>
      </c>
      <c r="I216" s="40"/>
      <c r="J216" s="40"/>
      <c r="K216" s="35" t="str">
        <f aca="false">IF($A216="","",N($C216)+$D216-N($I216)-N($J216))</f>
        <v/>
      </c>
      <c r="L216" s="40"/>
      <c r="M216" s="35" t="str">
        <f aca="false">IF(OR($A216="",$L216=""),"",$L216-$K216)</f>
        <v/>
      </c>
      <c r="N216" s="8" t="str">
        <f aca="false">IF($A216="","",IF($L216="","PENDIENTE",IF(ABS($M216)&lt;1,"OK",IF($M216&lt;0,"FALTANTE","SOBRANTE"))))</f>
        <v/>
      </c>
      <c r="O216" s="6"/>
    </row>
    <row r="217" customFormat="false" ht="15" hidden="false" customHeight="false" outlineLevel="0" collapsed="false">
      <c r="A217" s="44"/>
      <c r="B217" s="6"/>
      <c r="C217" s="40"/>
      <c r="D217" s="35" t="str">
        <f aca="false">IF($A217="","",SUMIFS(VENTAS!$H$6:$H$2005,VENTAS!$A$6:$A$2005,$A217,VENTAS!$M$6:$M$2005,"Efectivo"))</f>
        <v/>
      </c>
      <c r="E217" s="35" t="str">
        <f aca="false">IF($A217="","",SUMIFS(VENTAS!$H$6:$H$2005,VENTAS!$A$6:$A$2005,$A217,VENTAS!$M$6:$M$2005,"SINPE Móvil"))</f>
        <v/>
      </c>
      <c r="F217" s="35" t="str">
        <f aca="false">IF($A217="","",SUMIFS(VENTAS!$H$6:$H$2005,VENTAS!$A$6:$A$2005,$A217,VENTAS!$M$6:$M$2005,"Tarjeta"))</f>
        <v/>
      </c>
      <c r="G217" s="35" t="str">
        <f aca="false">IF($A217="","",SUMIFS(VENTAS!$H$6:$H$2005,VENTAS!$A$6:$A$2005,$A217)-$D217-$E217-$F217)</f>
        <v/>
      </c>
      <c r="H217" s="35" t="str">
        <f aca="false">IF($A217="","",SUM($D217:$G217))</f>
        <v/>
      </c>
      <c r="I217" s="40"/>
      <c r="J217" s="40"/>
      <c r="K217" s="35" t="str">
        <f aca="false">IF($A217="","",N($C217)+$D217-N($I217)-N($J217))</f>
        <v/>
      </c>
      <c r="L217" s="40"/>
      <c r="M217" s="35" t="str">
        <f aca="false">IF(OR($A217="",$L217=""),"",$L217-$K217)</f>
        <v/>
      </c>
      <c r="N217" s="8" t="str">
        <f aca="false">IF($A217="","",IF($L217="","PENDIENTE",IF(ABS($M217)&lt;1,"OK",IF($M217&lt;0,"FALTANTE","SOBRANTE"))))</f>
        <v/>
      </c>
      <c r="O217" s="6"/>
    </row>
    <row r="218" customFormat="false" ht="15" hidden="false" customHeight="false" outlineLevel="0" collapsed="false">
      <c r="A218" s="44"/>
      <c r="B218" s="6"/>
      <c r="C218" s="40"/>
      <c r="D218" s="35" t="str">
        <f aca="false">IF($A218="","",SUMIFS(VENTAS!$H$6:$H$2005,VENTAS!$A$6:$A$2005,$A218,VENTAS!$M$6:$M$2005,"Efectivo"))</f>
        <v/>
      </c>
      <c r="E218" s="35" t="str">
        <f aca="false">IF($A218="","",SUMIFS(VENTAS!$H$6:$H$2005,VENTAS!$A$6:$A$2005,$A218,VENTAS!$M$6:$M$2005,"SINPE Móvil"))</f>
        <v/>
      </c>
      <c r="F218" s="35" t="str">
        <f aca="false">IF($A218="","",SUMIFS(VENTAS!$H$6:$H$2005,VENTAS!$A$6:$A$2005,$A218,VENTAS!$M$6:$M$2005,"Tarjeta"))</f>
        <v/>
      </c>
      <c r="G218" s="35" t="str">
        <f aca="false">IF($A218="","",SUMIFS(VENTAS!$H$6:$H$2005,VENTAS!$A$6:$A$2005,$A218)-$D218-$E218-$F218)</f>
        <v/>
      </c>
      <c r="H218" s="35" t="str">
        <f aca="false">IF($A218="","",SUM($D218:$G218))</f>
        <v/>
      </c>
      <c r="I218" s="40"/>
      <c r="J218" s="40"/>
      <c r="K218" s="35" t="str">
        <f aca="false">IF($A218="","",N($C218)+$D218-N($I218)-N($J218))</f>
        <v/>
      </c>
      <c r="L218" s="40"/>
      <c r="M218" s="35" t="str">
        <f aca="false">IF(OR($A218="",$L218=""),"",$L218-$K218)</f>
        <v/>
      </c>
      <c r="N218" s="8" t="str">
        <f aca="false">IF($A218="","",IF($L218="","PENDIENTE",IF(ABS($M218)&lt;1,"OK",IF($M218&lt;0,"FALTANTE","SOBRANTE"))))</f>
        <v/>
      </c>
      <c r="O218" s="6"/>
    </row>
    <row r="219" customFormat="false" ht="15" hidden="false" customHeight="false" outlineLevel="0" collapsed="false">
      <c r="A219" s="44"/>
      <c r="B219" s="6"/>
      <c r="C219" s="40"/>
      <c r="D219" s="35" t="str">
        <f aca="false">IF($A219="","",SUMIFS(VENTAS!$H$6:$H$2005,VENTAS!$A$6:$A$2005,$A219,VENTAS!$M$6:$M$2005,"Efectivo"))</f>
        <v/>
      </c>
      <c r="E219" s="35" t="str">
        <f aca="false">IF($A219="","",SUMIFS(VENTAS!$H$6:$H$2005,VENTAS!$A$6:$A$2005,$A219,VENTAS!$M$6:$M$2005,"SINPE Móvil"))</f>
        <v/>
      </c>
      <c r="F219" s="35" t="str">
        <f aca="false">IF($A219="","",SUMIFS(VENTAS!$H$6:$H$2005,VENTAS!$A$6:$A$2005,$A219,VENTAS!$M$6:$M$2005,"Tarjeta"))</f>
        <v/>
      </c>
      <c r="G219" s="35" t="str">
        <f aca="false">IF($A219="","",SUMIFS(VENTAS!$H$6:$H$2005,VENTAS!$A$6:$A$2005,$A219)-$D219-$E219-$F219)</f>
        <v/>
      </c>
      <c r="H219" s="35" t="str">
        <f aca="false">IF($A219="","",SUM($D219:$G219))</f>
        <v/>
      </c>
      <c r="I219" s="40"/>
      <c r="J219" s="40"/>
      <c r="K219" s="35" t="str">
        <f aca="false">IF($A219="","",N($C219)+$D219-N($I219)-N($J219))</f>
        <v/>
      </c>
      <c r="L219" s="40"/>
      <c r="M219" s="35" t="str">
        <f aca="false">IF(OR($A219="",$L219=""),"",$L219-$K219)</f>
        <v/>
      </c>
      <c r="N219" s="8" t="str">
        <f aca="false">IF($A219="","",IF($L219="","PENDIENTE",IF(ABS($M219)&lt;1,"OK",IF($M219&lt;0,"FALTANTE","SOBRANTE"))))</f>
        <v/>
      </c>
      <c r="O219" s="6"/>
    </row>
    <row r="220" customFormat="false" ht="15" hidden="false" customHeight="false" outlineLevel="0" collapsed="false">
      <c r="A220" s="44"/>
      <c r="B220" s="6"/>
      <c r="C220" s="40"/>
      <c r="D220" s="35" t="str">
        <f aca="false">IF($A220="","",SUMIFS(VENTAS!$H$6:$H$2005,VENTAS!$A$6:$A$2005,$A220,VENTAS!$M$6:$M$2005,"Efectivo"))</f>
        <v/>
      </c>
      <c r="E220" s="35" t="str">
        <f aca="false">IF($A220="","",SUMIFS(VENTAS!$H$6:$H$2005,VENTAS!$A$6:$A$2005,$A220,VENTAS!$M$6:$M$2005,"SINPE Móvil"))</f>
        <v/>
      </c>
      <c r="F220" s="35" t="str">
        <f aca="false">IF($A220="","",SUMIFS(VENTAS!$H$6:$H$2005,VENTAS!$A$6:$A$2005,$A220,VENTAS!$M$6:$M$2005,"Tarjeta"))</f>
        <v/>
      </c>
      <c r="G220" s="35" t="str">
        <f aca="false">IF($A220="","",SUMIFS(VENTAS!$H$6:$H$2005,VENTAS!$A$6:$A$2005,$A220)-$D220-$E220-$F220)</f>
        <v/>
      </c>
      <c r="H220" s="35" t="str">
        <f aca="false">IF($A220="","",SUM($D220:$G220))</f>
        <v/>
      </c>
      <c r="I220" s="40"/>
      <c r="J220" s="40"/>
      <c r="K220" s="35" t="str">
        <f aca="false">IF($A220="","",N($C220)+$D220-N($I220)-N($J220))</f>
        <v/>
      </c>
      <c r="L220" s="40"/>
      <c r="M220" s="35" t="str">
        <f aca="false">IF(OR($A220="",$L220=""),"",$L220-$K220)</f>
        <v/>
      </c>
      <c r="N220" s="8" t="str">
        <f aca="false">IF($A220="","",IF($L220="","PENDIENTE",IF(ABS($M220)&lt;1,"OK",IF($M220&lt;0,"FALTANTE","SOBRANTE"))))</f>
        <v/>
      </c>
      <c r="O220" s="6"/>
    </row>
    <row r="221" customFormat="false" ht="15" hidden="false" customHeight="false" outlineLevel="0" collapsed="false">
      <c r="A221" s="44"/>
      <c r="B221" s="6"/>
      <c r="C221" s="40"/>
      <c r="D221" s="35" t="str">
        <f aca="false">IF($A221="","",SUMIFS(VENTAS!$H$6:$H$2005,VENTAS!$A$6:$A$2005,$A221,VENTAS!$M$6:$M$2005,"Efectivo"))</f>
        <v/>
      </c>
      <c r="E221" s="35" t="str">
        <f aca="false">IF($A221="","",SUMIFS(VENTAS!$H$6:$H$2005,VENTAS!$A$6:$A$2005,$A221,VENTAS!$M$6:$M$2005,"SINPE Móvil"))</f>
        <v/>
      </c>
      <c r="F221" s="35" t="str">
        <f aca="false">IF($A221="","",SUMIFS(VENTAS!$H$6:$H$2005,VENTAS!$A$6:$A$2005,$A221,VENTAS!$M$6:$M$2005,"Tarjeta"))</f>
        <v/>
      </c>
      <c r="G221" s="35" t="str">
        <f aca="false">IF($A221="","",SUMIFS(VENTAS!$H$6:$H$2005,VENTAS!$A$6:$A$2005,$A221)-$D221-$E221-$F221)</f>
        <v/>
      </c>
      <c r="H221" s="35" t="str">
        <f aca="false">IF($A221="","",SUM($D221:$G221))</f>
        <v/>
      </c>
      <c r="I221" s="40"/>
      <c r="J221" s="40"/>
      <c r="K221" s="35" t="str">
        <f aca="false">IF($A221="","",N($C221)+$D221-N($I221)-N($J221))</f>
        <v/>
      </c>
      <c r="L221" s="40"/>
      <c r="M221" s="35" t="str">
        <f aca="false">IF(OR($A221="",$L221=""),"",$L221-$K221)</f>
        <v/>
      </c>
      <c r="N221" s="8" t="str">
        <f aca="false">IF($A221="","",IF($L221="","PENDIENTE",IF(ABS($M221)&lt;1,"OK",IF($M221&lt;0,"FALTANTE","SOBRANTE"))))</f>
        <v/>
      </c>
      <c r="O221" s="6"/>
    </row>
    <row r="222" customFormat="false" ht="15" hidden="false" customHeight="false" outlineLevel="0" collapsed="false">
      <c r="A222" s="44"/>
      <c r="B222" s="6"/>
      <c r="C222" s="40"/>
      <c r="D222" s="35" t="str">
        <f aca="false">IF($A222="","",SUMIFS(VENTAS!$H$6:$H$2005,VENTAS!$A$6:$A$2005,$A222,VENTAS!$M$6:$M$2005,"Efectivo"))</f>
        <v/>
      </c>
      <c r="E222" s="35" t="str">
        <f aca="false">IF($A222="","",SUMIFS(VENTAS!$H$6:$H$2005,VENTAS!$A$6:$A$2005,$A222,VENTAS!$M$6:$M$2005,"SINPE Móvil"))</f>
        <v/>
      </c>
      <c r="F222" s="35" t="str">
        <f aca="false">IF($A222="","",SUMIFS(VENTAS!$H$6:$H$2005,VENTAS!$A$6:$A$2005,$A222,VENTAS!$M$6:$M$2005,"Tarjeta"))</f>
        <v/>
      </c>
      <c r="G222" s="35" t="str">
        <f aca="false">IF($A222="","",SUMIFS(VENTAS!$H$6:$H$2005,VENTAS!$A$6:$A$2005,$A222)-$D222-$E222-$F222)</f>
        <v/>
      </c>
      <c r="H222" s="35" t="str">
        <f aca="false">IF($A222="","",SUM($D222:$G222))</f>
        <v/>
      </c>
      <c r="I222" s="40"/>
      <c r="J222" s="40"/>
      <c r="K222" s="35" t="str">
        <f aca="false">IF($A222="","",N($C222)+$D222-N($I222)-N($J222))</f>
        <v/>
      </c>
      <c r="L222" s="40"/>
      <c r="M222" s="35" t="str">
        <f aca="false">IF(OR($A222="",$L222=""),"",$L222-$K222)</f>
        <v/>
      </c>
      <c r="N222" s="8" t="str">
        <f aca="false">IF($A222="","",IF($L222="","PENDIENTE",IF(ABS($M222)&lt;1,"OK",IF($M222&lt;0,"FALTANTE","SOBRANTE"))))</f>
        <v/>
      </c>
      <c r="O222" s="6"/>
    </row>
    <row r="223" customFormat="false" ht="15" hidden="false" customHeight="false" outlineLevel="0" collapsed="false">
      <c r="A223" s="44"/>
      <c r="B223" s="6"/>
      <c r="C223" s="40"/>
      <c r="D223" s="35" t="str">
        <f aca="false">IF($A223="","",SUMIFS(VENTAS!$H$6:$H$2005,VENTAS!$A$6:$A$2005,$A223,VENTAS!$M$6:$M$2005,"Efectivo"))</f>
        <v/>
      </c>
      <c r="E223" s="35" t="str">
        <f aca="false">IF($A223="","",SUMIFS(VENTAS!$H$6:$H$2005,VENTAS!$A$6:$A$2005,$A223,VENTAS!$M$6:$M$2005,"SINPE Móvil"))</f>
        <v/>
      </c>
      <c r="F223" s="35" t="str">
        <f aca="false">IF($A223="","",SUMIFS(VENTAS!$H$6:$H$2005,VENTAS!$A$6:$A$2005,$A223,VENTAS!$M$6:$M$2005,"Tarjeta"))</f>
        <v/>
      </c>
      <c r="G223" s="35" t="str">
        <f aca="false">IF($A223="","",SUMIFS(VENTAS!$H$6:$H$2005,VENTAS!$A$6:$A$2005,$A223)-$D223-$E223-$F223)</f>
        <v/>
      </c>
      <c r="H223" s="35" t="str">
        <f aca="false">IF($A223="","",SUM($D223:$G223))</f>
        <v/>
      </c>
      <c r="I223" s="40"/>
      <c r="J223" s="40"/>
      <c r="K223" s="35" t="str">
        <f aca="false">IF($A223="","",N($C223)+$D223-N($I223)-N($J223))</f>
        <v/>
      </c>
      <c r="L223" s="40"/>
      <c r="M223" s="35" t="str">
        <f aca="false">IF(OR($A223="",$L223=""),"",$L223-$K223)</f>
        <v/>
      </c>
      <c r="N223" s="8" t="str">
        <f aca="false">IF($A223="","",IF($L223="","PENDIENTE",IF(ABS($M223)&lt;1,"OK",IF($M223&lt;0,"FALTANTE","SOBRANTE"))))</f>
        <v/>
      </c>
      <c r="O223" s="6"/>
    </row>
    <row r="224" customFormat="false" ht="15" hidden="false" customHeight="false" outlineLevel="0" collapsed="false">
      <c r="A224" s="44"/>
      <c r="B224" s="6"/>
      <c r="C224" s="40"/>
      <c r="D224" s="35" t="str">
        <f aca="false">IF($A224="","",SUMIFS(VENTAS!$H$6:$H$2005,VENTAS!$A$6:$A$2005,$A224,VENTAS!$M$6:$M$2005,"Efectivo"))</f>
        <v/>
      </c>
      <c r="E224" s="35" t="str">
        <f aca="false">IF($A224="","",SUMIFS(VENTAS!$H$6:$H$2005,VENTAS!$A$6:$A$2005,$A224,VENTAS!$M$6:$M$2005,"SINPE Móvil"))</f>
        <v/>
      </c>
      <c r="F224" s="35" t="str">
        <f aca="false">IF($A224="","",SUMIFS(VENTAS!$H$6:$H$2005,VENTAS!$A$6:$A$2005,$A224,VENTAS!$M$6:$M$2005,"Tarjeta"))</f>
        <v/>
      </c>
      <c r="G224" s="35" t="str">
        <f aca="false">IF($A224="","",SUMIFS(VENTAS!$H$6:$H$2005,VENTAS!$A$6:$A$2005,$A224)-$D224-$E224-$F224)</f>
        <v/>
      </c>
      <c r="H224" s="35" t="str">
        <f aca="false">IF($A224="","",SUM($D224:$G224))</f>
        <v/>
      </c>
      <c r="I224" s="40"/>
      <c r="J224" s="40"/>
      <c r="K224" s="35" t="str">
        <f aca="false">IF($A224="","",N($C224)+$D224-N($I224)-N($J224))</f>
        <v/>
      </c>
      <c r="L224" s="40"/>
      <c r="M224" s="35" t="str">
        <f aca="false">IF(OR($A224="",$L224=""),"",$L224-$K224)</f>
        <v/>
      </c>
      <c r="N224" s="8" t="str">
        <f aca="false">IF($A224="","",IF($L224="","PENDIENTE",IF(ABS($M224)&lt;1,"OK",IF($M224&lt;0,"FALTANTE","SOBRANTE"))))</f>
        <v/>
      </c>
      <c r="O224" s="6"/>
    </row>
    <row r="225" customFormat="false" ht="15" hidden="false" customHeight="false" outlineLevel="0" collapsed="false">
      <c r="A225" s="44"/>
      <c r="B225" s="6"/>
      <c r="C225" s="40"/>
      <c r="D225" s="35" t="str">
        <f aca="false">IF($A225="","",SUMIFS(VENTAS!$H$6:$H$2005,VENTAS!$A$6:$A$2005,$A225,VENTAS!$M$6:$M$2005,"Efectivo"))</f>
        <v/>
      </c>
      <c r="E225" s="35" t="str">
        <f aca="false">IF($A225="","",SUMIFS(VENTAS!$H$6:$H$2005,VENTAS!$A$6:$A$2005,$A225,VENTAS!$M$6:$M$2005,"SINPE Móvil"))</f>
        <v/>
      </c>
      <c r="F225" s="35" t="str">
        <f aca="false">IF($A225="","",SUMIFS(VENTAS!$H$6:$H$2005,VENTAS!$A$6:$A$2005,$A225,VENTAS!$M$6:$M$2005,"Tarjeta"))</f>
        <v/>
      </c>
      <c r="G225" s="35" t="str">
        <f aca="false">IF($A225="","",SUMIFS(VENTAS!$H$6:$H$2005,VENTAS!$A$6:$A$2005,$A225)-$D225-$E225-$F225)</f>
        <v/>
      </c>
      <c r="H225" s="35" t="str">
        <f aca="false">IF($A225="","",SUM($D225:$G225))</f>
        <v/>
      </c>
      <c r="I225" s="40"/>
      <c r="J225" s="40"/>
      <c r="K225" s="35" t="str">
        <f aca="false">IF($A225="","",N($C225)+$D225-N($I225)-N($J225))</f>
        <v/>
      </c>
      <c r="L225" s="40"/>
      <c r="M225" s="35" t="str">
        <f aca="false">IF(OR($A225="",$L225=""),"",$L225-$K225)</f>
        <v/>
      </c>
      <c r="N225" s="8" t="str">
        <f aca="false">IF($A225="","",IF($L225="","PENDIENTE",IF(ABS($M225)&lt;1,"OK",IF($M225&lt;0,"FALTANTE","SOBRANTE"))))</f>
        <v/>
      </c>
      <c r="O225" s="6"/>
    </row>
    <row r="226" customFormat="false" ht="15" hidden="false" customHeight="false" outlineLevel="0" collapsed="false">
      <c r="A226" s="44"/>
      <c r="B226" s="6"/>
      <c r="C226" s="40"/>
      <c r="D226" s="35" t="str">
        <f aca="false">IF($A226="","",SUMIFS(VENTAS!$H$6:$H$2005,VENTAS!$A$6:$A$2005,$A226,VENTAS!$M$6:$M$2005,"Efectivo"))</f>
        <v/>
      </c>
      <c r="E226" s="35" t="str">
        <f aca="false">IF($A226="","",SUMIFS(VENTAS!$H$6:$H$2005,VENTAS!$A$6:$A$2005,$A226,VENTAS!$M$6:$M$2005,"SINPE Móvil"))</f>
        <v/>
      </c>
      <c r="F226" s="35" t="str">
        <f aca="false">IF($A226="","",SUMIFS(VENTAS!$H$6:$H$2005,VENTAS!$A$6:$A$2005,$A226,VENTAS!$M$6:$M$2005,"Tarjeta"))</f>
        <v/>
      </c>
      <c r="G226" s="35" t="str">
        <f aca="false">IF($A226="","",SUMIFS(VENTAS!$H$6:$H$2005,VENTAS!$A$6:$A$2005,$A226)-$D226-$E226-$F226)</f>
        <v/>
      </c>
      <c r="H226" s="35" t="str">
        <f aca="false">IF($A226="","",SUM($D226:$G226))</f>
        <v/>
      </c>
      <c r="I226" s="40"/>
      <c r="J226" s="40"/>
      <c r="K226" s="35" t="str">
        <f aca="false">IF($A226="","",N($C226)+$D226-N($I226)-N($J226))</f>
        <v/>
      </c>
      <c r="L226" s="40"/>
      <c r="M226" s="35" t="str">
        <f aca="false">IF(OR($A226="",$L226=""),"",$L226-$K226)</f>
        <v/>
      </c>
      <c r="N226" s="8" t="str">
        <f aca="false">IF($A226="","",IF($L226="","PENDIENTE",IF(ABS($M226)&lt;1,"OK",IF($M226&lt;0,"FALTANTE","SOBRANTE"))))</f>
        <v/>
      </c>
      <c r="O226" s="6"/>
    </row>
    <row r="227" customFormat="false" ht="15" hidden="false" customHeight="false" outlineLevel="0" collapsed="false">
      <c r="A227" s="44"/>
      <c r="B227" s="6"/>
      <c r="C227" s="40"/>
      <c r="D227" s="35" t="str">
        <f aca="false">IF($A227="","",SUMIFS(VENTAS!$H$6:$H$2005,VENTAS!$A$6:$A$2005,$A227,VENTAS!$M$6:$M$2005,"Efectivo"))</f>
        <v/>
      </c>
      <c r="E227" s="35" t="str">
        <f aca="false">IF($A227="","",SUMIFS(VENTAS!$H$6:$H$2005,VENTAS!$A$6:$A$2005,$A227,VENTAS!$M$6:$M$2005,"SINPE Móvil"))</f>
        <v/>
      </c>
      <c r="F227" s="35" t="str">
        <f aca="false">IF($A227="","",SUMIFS(VENTAS!$H$6:$H$2005,VENTAS!$A$6:$A$2005,$A227,VENTAS!$M$6:$M$2005,"Tarjeta"))</f>
        <v/>
      </c>
      <c r="G227" s="35" t="str">
        <f aca="false">IF($A227="","",SUMIFS(VENTAS!$H$6:$H$2005,VENTAS!$A$6:$A$2005,$A227)-$D227-$E227-$F227)</f>
        <v/>
      </c>
      <c r="H227" s="35" t="str">
        <f aca="false">IF($A227="","",SUM($D227:$G227))</f>
        <v/>
      </c>
      <c r="I227" s="40"/>
      <c r="J227" s="40"/>
      <c r="K227" s="35" t="str">
        <f aca="false">IF($A227="","",N($C227)+$D227-N($I227)-N($J227))</f>
        <v/>
      </c>
      <c r="L227" s="40"/>
      <c r="M227" s="35" t="str">
        <f aca="false">IF(OR($A227="",$L227=""),"",$L227-$K227)</f>
        <v/>
      </c>
      <c r="N227" s="8" t="str">
        <f aca="false">IF($A227="","",IF($L227="","PENDIENTE",IF(ABS($M227)&lt;1,"OK",IF($M227&lt;0,"FALTANTE","SOBRANTE"))))</f>
        <v/>
      </c>
      <c r="O227" s="6"/>
    </row>
    <row r="228" customFormat="false" ht="15" hidden="false" customHeight="false" outlineLevel="0" collapsed="false">
      <c r="A228" s="44"/>
      <c r="B228" s="6"/>
      <c r="C228" s="40"/>
      <c r="D228" s="35" t="str">
        <f aca="false">IF($A228="","",SUMIFS(VENTAS!$H$6:$H$2005,VENTAS!$A$6:$A$2005,$A228,VENTAS!$M$6:$M$2005,"Efectivo"))</f>
        <v/>
      </c>
      <c r="E228" s="35" t="str">
        <f aca="false">IF($A228="","",SUMIFS(VENTAS!$H$6:$H$2005,VENTAS!$A$6:$A$2005,$A228,VENTAS!$M$6:$M$2005,"SINPE Móvil"))</f>
        <v/>
      </c>
      <c r="F228" s="35" t="str">
        <f aca="false">IF($A228="","",SUMIFS(VENTAS!$H$6:$H$2005,VENTAS!$A$6:$A$2005,$A228,VENTAS!$M$6:$M$2005,"Tarjeta"))</f>
        <v/>
      </c>
      <c r="G228" s="35" t="str">
        <f aca="false">IF($A228="","",SUMIFS(VENTAS!$H$6:$H$2005,VENTAS!$A$6:$A$2005,$A228)-$D228-$E228-$F228)</f>
        <v/>
      </c>
      <c r="H228" s="35" t="str">
        <f aca="false">IF($A228="","",SUM($D228:$G228))</f>
        <v/>
      </c>
      <c r="I228" s="40"/>
      <c r="J228" s="40"/>
      <c r="K228" s="35" t="str">
        <f aca="false">IF($A228="","",N($C228)+$D228-N($I228)-N($J228))</f>
        <v/>
      </c>
      <c r="L228" s="40"/>
      <c r="M228" s="35" t="str">
        <f aca="false">IF(OR($A228="",$L228=""),"",$L228-$K228)</f>
        <v/>
      </c>
      <c r="N228" s="8" t="str">
        <f aca="false">IF($A228="","",IF($L228="","PENDIENTE",IF(ABS($M228)&lt;1,"OK",IF($M228&lt;0,"FALTANTE","SOBRANTE"))))</f>
        <v/>
      </c>
      <c r="O228" s="6"/>
    </row>
    <row r="229" customFormat="false" ht="15" hidden="false" customHeight="false" outlineLevel="0" collapsed="false">
      <c r="A229" s="44"/>
      <c r="B229" s="6"/>
      <c r="C229" s="40"/>
      <c r="D229" s="35" t="str">
        <f aca="false">IF($A229="","",SUMIFS(VENTAS!$H$6:$H$2005,VENTAS!$A$6:$A$2005,$A229,VENTAS!$M$6:$M$2005,"Efectivo"))</f>
        <v/>
      </c>
      <c r="E229" s="35" t="str">
        <f aca="false">IF($A229="","",SUMIFS(VENTAS!$H$6:$H$2005,VENTAS!$A$6:$A$2005,$A229,VENTAS!$M$6:$M$2005,"SINPE Móvil"))</f>
        <v/>
      </c>
      <c r="F229" s="35" t="str">
        <f aca="false">IF($A229="","",SUMIFS(VENTAS!$H$6:$H$2005,VENTAS!$A$6:$A$2005,$A229,VENTAS!$M$6:$M$2005,"Tarjeta"))</f>
        <v/>
      </c>
      <c r="G229" s="35" t="str">
        <f aca="false">IF($A229="","",SUMIFS(VENTAS!$H$6:$H$2005,VENTAS!$A$6:$A$2005,$A229)-$D229-$E229-$F229)</f>
        <v/>
      </c>
      <c r="H229" s="35" t="str">
        <f aca="false">IF($A229="","",SUM($D229:$G229))</f>
        <v/>
      </c>
      <c r="I229" s="40"/>
      <c r="J229" s="40"/>
      <c r="K229" s="35" t="str">
        <f aca="false">IF($A229="","",N($C229)+$D229-N($I229)-N($J229))</f>
        <v/>
      </c>
      <c r="L229" s="40"/>
      <c r="M229" s="35" t="str">
        <f aca="false">IF(OR($A229="",$L229=""),"",$L229-$K229)</f>
        <v/>
      </c>
      <c r="N229" s="8" t="str">
        <f aca="false">IF($A229="","",IF($L229="","PENDIENTE",IF(ABS($M229)&lt;1,"OK",IF($M229&lt;0,"FALTANTE","SOBRANTE"))))</f>
        <v/>
      </c>
      <c r="O229" s="6"/>
    </row>
    <row r="230" customFormat="false" ht="15" hidden="false" customHeight="false" outlineLevel="0" collapsed="false">
      <c r="A230" s="44"/>
      <c r="B230" s="6"/>
      <c r="C230" s="40"/>
      <c r="D230" s="35" t="str">
        <f aca="false">IF($A230="","",SUMIFS(VENTAS!$H$6:$H$2005,VENTAS!$A$6:$A$2005,$A230,VENTAS!$M$6:$M$2005,"Efectivo"))</f>
        <v/>
      </c>
      <c r="E230" s="35" t="str">
        <f aca="false">IF($A230="","",SUMIFS(VENTAS!$H$6:$H$2005,VENTAS!$A$6:$A$2005,$A230,VENTAS!$M$6:$M$2005,"SINPE Móvil"))</f>
        <v/>
      </c>
      <c r="F230" s="35" t="str">
        <f aca="false">IF($A230="","",SUMIFS(VENTAS!$H$6:$H$2005,VENTAS!$A$6:$A$2005,$A230,VENTAS!$M$6:$M$2005,"Tarjeta"))</f>
        <v/>
      </c>
      <c r="G230" s="35" t="str">
        <f aca="false">IF($A230="","",SUMIFS(VENTAS!$H$6:$H$2005,VENTAS!$A$6:$A$2005,$A230)-$D230-$E230-$F230)</f>
        <v/>
      </c>
      <c r="H230" s="35" t="str">
        <f aca="false">IF($A230="","",SUM($D230:$G230))</f>
        <v/>
      </c>
      <c r="I230" s="40"/>
      <c r="J230" s="40"/>
      <c r="K230" s="35" t="str">
        <f aca="false">IF($A230="","",N($C230)+$D230-N($I230)-N($J230))</f>
        <v/>
      </c>
      <c r="L230" s="40"/>
      <c r="M230" s="35" t="str">
        <f aca="false">IF(OR($A230="",$L230=""),"",$L230-$K230)</f>
        <v/>
      </c>
      <c r="N230" s="8" t="str">
        <f aca="false">IF($A230="","",IF($L230="","PENDIENTE",IF(ABS($M230)&lt;1,"OK",IF($M230&lt;0,"FALTANTE","SOBRANTE"))))</f>
        <v/>
      </c>
      <c r="O230" s="6"/>
    </row>
    <row r="231" customFormat="false" ht="15" hidden="false" customHeight="false" outlineLevel="0" collapsed="false">
      <c r="A231" s="44"/>
      <c r="B231" s="6"/>
      <c r="C231" s="40"/>
      <c r="D231" s="35" t="str">
        <f aca="false">IF($A231="","",SUMIFS(VENTAS!$H$6:$H$2005,VENTAS!$A$6:$A$2005,$A231,VENTAS!$M$6:$M$2005,"Efectivo"))</f>
        <v/>
      </c>
      <c r="E231" s="35" t="str">
        <f aca="false">IF($A231="","",SUMIFS(VENTAS!$H$6:$H$2005,VENTAS!$A$6:$A$2005,$A231,VENTAS!$M$6:$M$2005,"SINPE Móvil"))</f>
        <v/>
      </c>
      <c r="F231" s="35" t="str">
        <f aca="false">IF($A231="","",SUMIFS(VENTAS!$H$6:$H$2005,VENTAS!$A$6:$A$2005,$A231,VENTAS!$M$6:$M$2005,"Tarjeta"))</f>
        <v/>
      </c>
      <c r="G231" s="35" t="str">
        <f aca="false">IF($A231="","",SUMIFS(VENTAS!$H$6:$H$2005,VENTAS!$A$6:$A$2005,$A231)-$D231-$E231-$F231)</f>
        <v/>
      </c>
      <c r="H231" s="35" t="str">
        <f aca="false">IF($A231="","",SUM($D231:$G231))</f>
        <v/>
      </c>
      <c r="I231" s="40"/>
      <c r="J231" s="40"/>
      <c r="K231" s="35" t="str">
        <f aca="false">IF($A231="","",N($C231)+$D231-N($I231)-N($J231))</f>
        <v/>
      </c>
      <c r="L231" s="40"/>
      <c r="M231" s="35" t="str">
        <f aca="false">IF(OR($A231="",$L231=""),"",$L231-$K231)</f>
        <v/>
      </c>
      <c r="N231" s="8" t="str">
        <f aca="false">IF($A231="","",IF($L231="","PENDIENTE",IF(ABS($M231)&lt;1,"OK",IF($M231&lt;0,"FALTANTE","SOBRANTE"))))</f>
        <v/>
      </c>
      <c r="O231" s="6"/>
    </row>
    <row r="232" customFormat="false" ht="15" hidden="false" customHeight="false" outlineLevel="0" collapsed="false">
      <c r="A232" s="44"/>
      <c r="B232" s="6"/>
      <c r="C232" s="40"/>
      <c r="D232" s="35" t="str">
        <f aca="false">IF($A232="","",SUMIFS(VENTAS!$H$6:$H$2005,VENTAS!$A$6:$A$2005,$A232,VENTAS!$M$6:$M$2005,"Efectivo"))</f>
        <v/>
      </c>
      <c r="E232" s="35" t="str">
        <f aca="false">IF($A232="","",SUMIFS(VENTAS!$H$6:$H$2005,VENTAS!$A$6:$A$2005,$A232,VENTAS!$M$6:$M$2005,"SINPE Móvil"))</f>
        <v/>
      </c>
      <c r="F232" s="35" t="str">
        <f aca="false">IF($A232="","",SUMIFS(VENTAS!$H$6:$H$2005,VENTAS!$A$6:$A$2005,$A232,VENTAS!$M$6:$M$2005,"Tarjeta"))</f>
        <v/>
      </c>
      <c r="G232" s="35" t="str">
        <f aca="false">IF($A232="","",SUMIFS(VENTAS!$H$6:$H$2005,VENTAS!$A$6:$A$2005,$A232)-$D232-$E232-$F232)</f>
        <v/>
      </c>
      <c r="H232" s="35" t="str">
        <f aca="false">IF($A232="","",SUM($D232:$G232))</f>
        <v/>
      </c>
      <c r="I232" s="40"/>
      <c r="J232" s="40"/>
      <c r="K232" s="35" t="str">
        <f aca="false">IF($A232="","",N($C232)+$D232-N($I232)-N($J232))</f>
        <v/>
      </c>
      <c r="L232" s="40"/>
      <c r="M232" s="35" t="str">
        <f aca="false">IF(OR($A232="",$L232=""),"",$L232-$K232)</f>
        <v/>
      </c>
      <c r="N232" s="8" t="str">
        <f aca="false">IF($A232="","",IF($L232="","PENDIENTE",IF(ABS($M232)&lt;1,"OK",IF($M232&lt;0,"FALTANTE","SOBRANTE"))))</f>
        <v/>
      </c>
      <c r="O232" s="6"/>
    </row>
    <row r="233" customFormat="false" ht="15" hidden="false" customHeight="false" outlineLevel="0" collapsed="false">
      <c r="A233" s="44"/>
      <c r="B233" s="6"/>
      <c r="C233" s="40"/>
      <c r="D233" s="35" t="str">
        <f aca="false">IF($A233="","",SUMIFS(VENTAS!$H$6:$H$2005,VENTAS!$A$6:$A$2005,$A233,VENTAS!$M$6:$M$2005,"Efectivo"))</f>
        <v/>
      </c>
      <c r="E233" s="35" t="str">
        <f aca="false">IF($A233="","",SUMIFS(VENTAS!$H$6:$H$2005,VENTAS!$A$6:$A$2005,$A233,VENTAS!$M$6:$M$2005,"SINPE Móvil"))</f>
        <v/>
      </c>
      <c r="F233" s="35" t="str">
        <f aca="false">IF($A233="","",SUMIFS(VENTAS!$H$6:$H$2005,VENTAS!$A$6:$A$2005,$A233,VENTAS!$M$6:$M$2005,"Tarjeta"))</f>
        <v/>
      </c>
      <c r="G233" s="35" t="str">
        <f aca="false">IF($A233="","",SUMIFS(VENTAS!$H$6:$H$2005,VENTAS!$A$6:$A$2005,$A233)-$D233-$E233-$F233)</f>
        <v/>
      </c>
      <c r="H233" s="35" t="str">
        <f aca="false">IF($A233="","",SUM($D233:$G233))</f>
        <v/>
      </c>
      <c r="I233" s="40"/>
      <c r="J233" s="40"/>
      <c r="K233" s="35" t="str">
        <f aca="false">IF($A233="","",N($C233)+$D233-N($I233)-N($J233))</f>
        <v/>
      </c>
      <c r="L233" s="40"/>
      <c r="M233" s="35" t="str">
        <f aca="false">IF(OR($A233="",$L233=""),"",$L233-$K233)</f>
        <v/>
      </c>
      <c r="N233" s="8" t="str">
        <f aca="false">IF($A233="","",IF($L233="","PENDIENTE",IF(ABS($M233)&lt;1,"OK",IF($M233&lt;0,"FALTANTE","SOBRANTE"))))</f>
        <v/>
      </c>
      <c r="O233" s="6"/>
    </row>
    <row r="234" customFormat="false" ht="15" hidden="false" customHeight="false" outlineLevel="0" collapsed="false">
      <c r="A234" s="44"/>
      <c r="B234" s="6"/>
      <c r="C234" s="40"/>
      <c r="D234" s="35" t="str">
        <f aca="false">IF($A234="","",SUMIFS(VENTAS!$H$6:$H$2005,VENTAS!$A$6:$A$2005,$A234,VENTAS!$M$6:$M$2005,"Efectivo"))</f>
        <v/>
      </c>
      <c r="E234" s="35" t="str">
        <f aca="false">IF($A234="","",SUMIFS(VENTAS!$H$6:$H$2005,VENTAS!$A$6:$A$2005,$A234,VENTAS!$M$6:$M$2005,"SINPE Móvil"))</f>
        <v/>
      </c>
      <c r="F234" s="35" t="str">
        <f aca="false">IF($A234="","",SUMIFS(VENTAS!$H$6:$H$2005,VENTAS!$A$6:$A$2005,$A234,VENTAS!$M$6:$M$2005,"Tarjeta"))</f>
        <v/>
      </c>
      <c r="G234" s="35" t="str">
        <f aca="false">IF($A234="","",SUMIFS(VENTAS!$H$6:$H$2005,VENTAS!$A$6:$A$2005,$A234)-$D234-$E234-$F234)</f>
        <v/>
      </c>
      <c r="H234" s="35" t="str">
        <f aca="false">IF($A234="","",SUM($D234:$G234))</f>
        <v/>
      </c>
      <c r="I234" s="40"/>
      <c r="J234" s="40"/>
      <c r="K234" s="35" t="str">
        <f aca="false">IF($A234="","",N($C234)+$D234-N($I234)-N($J234))</f>
        <v/>
      </c>
      <c r="L234" s="40"/>
      <c r="M234" s="35" t="str">
        <f aca="false">IF(OR($A234="",$L234=""),"",$L234-$K234)</f>
        <v/>
      </c>
      <c r="N234" s="8" t="str">
        <f aca="false">IF($A234="","",IF($L234="","PENDIENTE",IF(ABS($M234)&lt;1,"OK",IF($M234&lt;0,"FALTANTE","SOBRANTE"))))</f>
        <v/>
      </c>
      <c r="O234" s="6"/>
    </row>
    <row r="235" customFormat="false" ht="15" hidden="false" customHeight="false" outlineLevel="0" collapsed="false">
      <c r="A235" s="44"/>
      <c r="B235" s="6"/>
      <c r="C235" s="40"/>
      <c r="D235" s="35" t="str">
        <f aca="false">IF($A235="","",SUMIFS(VENTAS!$H$6:$H$2005,VENTAS!$A$6:$A$2005,$A235,VENTAS!$M$6:$M$2005,"Efectivo"))</f>
        <v/>
      </c>
      <c r="E235" s="35" t="str">
        <f aca="false">IF($A235="","",SUMIFS(VENTAS!$H$6:$H$2005,VENTAS!$A$6:$A$2005,$A235,VENTAS!$M$6:$M$2005,"SINPE Móvil"))</f>
        <v/>
      </c>
      <c r="F235" s="35" t="str">
        <f aca="false">IF($A235="","",SUMIFS(VENTAS!$H$6:$H$2005,VENTAS!$A$6:$A$2005,$A235,VENTAS!$M$6:$M$2005,"Tarjeta"))</f>
        <v/>
      </c>
      <c r="G235" s="35" t="str">
        <f aca="false">IF($A235="","",SUMIFS(VENTAS!$H$6:$H$2005,VENTAS!$A$6:$A$2005,$A235)-$D235-$E235-$F235)</f>
        <v/>
      </c>
      <c r="H235" s="35" t="str">
        <f aca="false">IF($A235="","",SUM($D235:$G235))</f>
        <v/>
      </c>
      <c r="I235" s="40"/>
      <c r="J235" s="40"/>
      <c r="K235" s="35" t="str">
        <f aca="false">IF($A235="","",N($C235)+$D235-N($I235)-N($J235))</f>
        <v/>
      </c>
      <c r="L235" s="40"/>
      <c r="M235" s="35" t="str">
        <f aca="false">IF(OR($A235="",$L235=""),"",$L235-$K235)</f>
        <v/>
      </c>
      <c r="N235" s="8" t="str">
        <f aca="false">IF($A235="","",IF($L235="","PENDIENTE",IF(ABS($M235)&lt;1,"OK",IF($M235&lt;0,"FALTANTE","SOBRANTE"))))</f>
        <v/>
      </c>
      <c r="O235" s="6"/>
    </row>
    <row r="236" customFormat="false" ht="15" hidden="false" customHeight="false" outlineLevel="0" collapsed="false">
      <c r="A236" s="44"/>
      <c r="B236" s="6"/>
      <c r="C236" s="40"/>
      <c r="D236" s="35" t="str">
        <f aca="false">IF($A236="","",SUMIFS(VENTAS!$H$6:$H$2005,VENTAS!$A$6:$A$2005,$A236,VENTAS!$M$6:$M$2005,"Efectivo"))</f>
        <v/>
      </c>
      <c r="E236" s="35" t="str">
        <f aca="false">IF($A236="","",SUMIFS(VENTAS!$H$6:$H$2005,VENTAS!$A$6:$A$2005,$A236,VENTAS!$M$6:$M$2005,"SINPE Móvil"))</f>
        <v/>
      </c>
      <c r="F236" s="35" t="str">
        <f aca="false">IF($A236="","",SUMIFS(VENTAS!$H$6:$H$2005,VENTAS!$A$6:$A$2005,$A236,VENTAS!$M$6:$M$2005,"Tarjeta"))</f>
        <v/>
      </c>
      <c r="G236" s="35" t="str">
        <f aca="false">IF($A236="","",SUMIFS(VENTAS!$H$6:$H$2005,VENTAS!$A$6:$A$2005,$A236)-$D236-$E236-$F236)</f>
        <v/>
      </c>
      <c r="H236" s="35" t="str">
        <f aca="false">IF($A236="","",SUM($D236:$G236))</f>
        <v/>
      </c>
      <c r="I236" s="40"/>
      <c r="J236" s="40"/>
      <c r="K236" s="35" t="str">
        <f aca="false">IF($A236="","",N($C236)+$D236-N($I236)-N($J236))</f>
        <v/>
      </c>
      <c r="L236" s="40"/>
      <c r="M236" s="35" t="str">
        <f aca="false">IF(OR($A236="",$L236=""),"",$L236-$K236)</f>
        <v/>
      </c>
      <c r="N236" s="8" t="str">
        <f aca="false">IF($A236="","",IF($L236="","PENDIENTE",IF(ABS($M236)&lt;1,"OK",IF($M236&lt;0,"FALTANTE","SOBRANTE"))))</f>
        <v/>
      </c>
      <c r="O236" s="6"/>
    </row>
    <row r="237" customFormat="false" ht="15" hidden="false" customHeight="false" outlineLevel="0" collapsed="false">
      <c r="A237" s="44"/>
      <c r="B237" s="6"/>
      <c r="C237" s="40"/>
      <c r="D237" s="35" t="str">
        <f aca="false">IF($A237="","",SUMIFS(VENTAS!$H$6:$H$2005,VENTAS!$A$6:$A$2005,$A237,VENTAS!$M$6:$M$2005,"Efectivo"))</f>
        <v/>
      </c>
      <c r="E237" s="35" t="str">
        <f aca="false">IF($A237="","",SUMIFS(VENTAS!$H$6:$H$2005,VENTAS!$A$6:$A$2005,$A237,VENTAS!$M$6:$M$2005,"SINPE Móvil"))</f>
        <v/>
      </c>
      <c r="F237" s="35" t="str">
        <f aca="false">IF($A237="","",SUMIFS(VENTAS!$H$6:$H$2005,VENTAS!$A$6:$A$2005,$A237,VENTAS!$M$6:$M$2005,"Tarjeta"))</f>
        <v/>
      </c>
      <c r="G237" s="35" t="str">
        <f aca="false">IF($A237="","",SUMIFS(VENTAS!$H$6:$H$2005,VENTAS!$A$6:$A$2005,$A237)-$D237-$E237-$F237)</f>
        <v/>
      </c>
      <c r="H237" s="35" t="str">
        <f aca="false">IF($A237="","",SUM($D237:$G237))</f>
        <v/>
      </c>
      <c r="I237" s="40"/>
      <c r="J237" s="40"/>
      <c r="K237" s="35" t="str">
        <f aca="false">IF($A237="","",N($C237)+$D237-N($I237)-N($J237))</f>
        <v/>
      </c>
      <c r="L237" s="40"/>
      <c r="M237" s="35" t="str">
        <f aca="false">IF(OR($A237="",$L237=""),"",$L237-$K237)</f>
        <v/>
      </c>
      <c r="N237" s="8" t="str">
        <f aca="false">IF($A237="","",IF($L237="","PENDIENTE",IF(ABS($M237)&lt;1,"OK",IF($M237&lt;0,"FALTANTE","SOBRANTE"))))</f>
        <v/>
      </c>
      <c r="O237" s="6"/>
    </row>
    <row r="238" customFormat="false" ht="15" hidden="false" customHeight="false" outlineLevel="0" collapsed="false">
      <c r="A238" s="44"/>
      <c r="B238" s="6"/>
      <c r="C238" s="40"/>
      <c r="D238" s="35" t="str">
        <f aca="false">IF($A238="","",SUMIFS(VENTAS!$H$6:$H$2005,VENTAS!$A$6:$A$2005,$A238,VENTAS!$M$6:$M$2005,"Efectivo"))</f>
        <v/>
      </c>
      <c r="E238" s="35" t="str">
        <f aca="false">IF($A238="","",SUMIFS(VENTAS!$H$6:$H$2005,VENTAS!$A$6:$A$2005,$A238,VENTAS!$M$6:$M$2005,"SINPE Móvil"))</f>
        <v/>
      </c>
      <c r="F238" s="35" t="str">
        <f aca="false">IF($A238="","",SUMIFS(VENTAS!$H$6:$H$2005,VENTAS!$A$6:$A$2005,$A238,VENTAS!$M$6:$M$2005,"Tarjeta"))</f>
        <v/>
      </c>
      <c r="G238" s="35" t="str">
        <f aca="false">IF($A238="","",SUMIFS(VENTAS!$H$6:$H$2005,VENTAS!$A$6:$A$2005,$A238)-$D238-$E238-$F238)</f>
        <v/>
      </c>
      <c r="H238" s="35" t="str">
        <f aca="false">IF($A238="","",SUM($D238:$G238))</f>
        <v/>
      </c>
      <c r="I238" s="40"/>
      <c r="J238" s="40"/>
      <c r="K238" s="35" t="str">
        <f aca="false">IF($A238="","",N($C238)+$D238-N($I238)-N($J238))</f>
        <v/>
      </c>
      <c r="L238" s="40"/>
      <c r="M238" s="35" t="str">
        <f aca="false">IF(OR($A238="",$L238=""),"",$L238-$K238)</f>
        <v/>
      </c>
      <c r="N238" s="8" t="str">
        <f aca="false">IF($A238="","",IF($L238="","PENDIENTE",IF(ABS($M238)&lt;1,"OK",IF($M238&lt;0,"FALTANTE","SOBRANTE"))))</f>
        <v/>
      </c>
      <c r="O238" s="6"/>
    </row>
    <row r="239" customFormat="false" ht="15" hidden="false" customHeight="false" outlineLevel="0" collapsed="false">
      <c r="A239" s="44"/>
      <c r="B239" s="6"/>
      <c r="C239" s="40"/>
      <c r="D239" s="35" t="str">
        <f aca="false">IF($A239="","",SUMIFS(VENTAS!$H$6:$H$2005,VENTAS!$A$6:$A$2005,$A239,VENTAS!$M$6:$M$2005,"Efectivo"))</f>
        <v/>
      </c>
      <c r="E239" s="35" t="str">
        <f aca="false">IF($A239="","",SUMIFS(VENTAS!$H$6:$H$2005,VENTAS!$A$6:$A$2005,$A239,VENTAS!$M$6:$M$2005,"SINPE Móvil"))</f>
        <v/>
      </c>
      <c r="F239" s="35" t="str">
        <f aca="false">IF($A239="","",SUMIFS(VENTAS!$H$6:$H$2005,VENTAS!$A$6:$A$2005,$A239,VENTAS!$M$6:$M$2005,"Tarjeta"))</f>
        <v/>
      </c>
      <c r="G239" s="35" t="str">
        <f aca="false">IF($A239="","",SUMIFS(VENTAS!$H$6:$H$2005,VENTAS!$A$6:$A$2005,$A239)-$D239-$E239-$F239)</f>
        <v/>
      </c>
      <c r="H239" s="35" t="str">
        <f aca="false">IF($A239="","",SUM($D239:$G239))</f>
        <v/>
      </c>
      <c r="I239" s="40"/>
      <c r="J239" s="40"/>
      <c r="K239" s="35" t="str">
        <f aca="false">IF($A239="","",N($C239)+$D239-N($I239)-N($J239))</f>
        <v/>
      </c>
      <c r="L239" s="40"/>
      <c r="M239" s="35" t="str">
        <f aca="false">IF(OR($A239="",$L239=""),"",$L239-$K239)</f>
        <v/>
      </c>
      <c r="N239" s="8" t="str">
        <f aca="false">IF($A239="","",IF($L239="","PENDIENTE",IF(ABS($M239)&lt;1,"OK",IF($M239&lt;0,"FALTANTE","SOBRANTE"))))</f>
        <v/>
      </c>
      <c r="O239" s="6"/>
    </row>
    <row r="240" customFormat="false" ht="15" hidden="false" customHeight="false" outlineLevel="0" collapsed="false">
      <c r="A240" s="44"/>
      <c r="B240" s="6"/>
      <c r="C240" s="40"/>
      <c r="D240" s="35" t="str">
        <f aca="false">IF($A240="","",SUMIFS(VENTAS!$H$6:$H$2005,VENTAS!$A$6:$A$2005,$A240,VENTAS!$M$6:$M$2005,"Efectivo"))</f>
        <v/>
      </c>
      <c r="E240" s="35" t="str">
        <f aca="false">IF($A240="","",SUMIFS(VENTAS!$H$6:$H$2005,VENTAS!$A$6:$A$2005,$A240,VENTAS!$M$6:$M$2005,"SINPE Móvil"))</f>
        <v/>
      </c>
      <c r="F240" s="35" t="str">
        <f aca="false">IF($A240="","",SUMIFS(VENTAS!$H$6:$H$2005,VENTAS!$A$6:$A$2005,$A240,VENTAS!$M$6:$M$2005,"Tarjeta"))</f>
        <v/>
      </c>
      <c r="G240" s="35" t="str">
        <f aca="false">IF($A240="","",SUMIFS(VENTAS!$H$6:$H$2005,VENTAS!$A$6:$A$2005,$A240)-$D240-$E240-$F240)</f>
        <v/>
      </c>
      <c r="H240" s="35" t="str">
        <f aca="false">IF($A240="","",SUM($D240:$G240))</f>
        <v/>
      </c>
      <c r="I240" s="40"/>
      <c r="J240" s="40"/>
      <c r="K240" s="35" t="str">
        <f aca="false">IF($A240="","",N($C240)+$D240-N($I240)-N($J240))</f>
        <v/>
      </c>
      <c r="L240" s="40"/>
      <c r="M240" s="35" t="str">
        <f aca="false">IF(OR($A240="",$L240=""),"",$L240-$K240)</f>
        <v/>
      </c>
      <c r="N240" s="8" t="str">
        <f aca="false">IF($A240="","",IF($L240="","PENDIENTE",IF(ABS($M240)&lt;1,"OK",IF($M240&lt;0,"FALTANTE","SOBRANTE"))))</f>
        <v/>
      </c>
      <c r="O240" s="6"/>
    </row>
    <row r="241" customFormat="false" ht="15" hidden="false" customHeight="false" outlineLevel="0" collapsed="false">
      <c r="A241" s="44"/>
      <c r="B241" s="6"/>
      <c r="C241" s="40"/>
      <c r="D241" s="35" t="str">
        <f aca="false">IF($A241="","",SUMIFS(VENTAS!$H$6:$H$2005,VENTAS!$A$6:$A$2005,$A241,VENTAS!$M$6:$M$2005,"Efectivo"))</f>
        <v/>
      </c>
      <c r="E241" s="35" t="str">
        <f aca="false">IF($A241="","",SUMIFS(VENTAS!$H$6:$H$2005,VENTAS!$A$6:$A$2005,$A241,VENTAS!$M$6:$M$2005,"SINPE Móvil"))</f>
        <v/>
      </c>
      <c r="F241" s="35" t="str">
        <f aca="false">IF($A241="","",SUMIFS(VENTAS!$H$6:$H$2005,VENTAS!$A$6:$A$2005,$A241,VENTAS!$M$6:$M$2005,"Tarjeta"))</f>
        <v/>
      </c>
      <c r="G241" s="35" t="str">
        <f aca="false">IF($A241="","",SUMIFS(VENTAS!$H$6:$H$2005,VENTAS!$A$6:$A$2005,$A241)-$D241-$E241-$F241)</f>
        <v/>
      </c>
      <c r="H241" s="35" t="str">
        <f aca="false">IF($A241="","",SUM($D241:$G241))</f>
        <v/>
      </c>
      <c r="I241" s="40"/>
      <c r="J241" s="40"/>
      <c r="K241" s="35" t="str">
        <f aca="false">IF($A241="","",N($C241)+$D241-N($I241)-N($J241))</f>
        <v/>
      </c>
      <c r="L241" s="40"/>
      <c r="M241" s="35" t="str">
        <f aca="false">IF(OR($A241="",$L241=""),"",$L241-$K241)</f>
        <v/>
      </c>
      <c r="N241" s="8" t="str">
        <f aca="false">IF($A241="","",IF($L241="","PENDIENTE",IF(ABS($M241)&lt;1,"OK",IF($M241&lt;0,"FALTANTE","SOBRANTE"))))</f>
        <v/>
      </c>
      <c r="O241" s="6"/>
    </row>
    <row r="242" customFormat="false" ht="15" hidden="false" customHeight="false" outlineLevel="0" collapsed="false">
      <c r="A242" s="44"/>
      <c r="B242" s="6"/>
      <c r="C242" s="40"/>
      <c r="D242" s="35" t="str">
        <f aca="false">IF($A242="","",SUMIFS(VENTAS!$H$6:$H$2005,VENTAS!$A$6:$A$2005,$A242,VENTAS!$M$6:$M$2005,"Efectivo"))</f>
        <v/>
      </c>
      <c r="E242" s="35" t="str">
        <f aca="false">IF($A242="","",SUMIFS(VENTAS!$H$6:$H$2005,VENTAS!$A$6:$A$2005,$A242,VENTAS!$M$6:$M$2005,"SINPE Móvil"))</f>
        <v/>
      </c>
      <c r="F242" s="35" t="str">
        <f aca="false">IF($A242="","",SUMIFS(VENTAS!$H$6:$H$2005,VENTAS!$A$6:$A$2005,$A242,VENTAS!$M$6:$M$2005,"Tarjeta"))</f>
        <v/>
      </c>
      <c r="G242" s="35" t="str">
        <f aca="false">IF($A242="","",SUMIFS(VENTAS!$H$6:$H$2005,VENTAS!$A$6:$A$2005,$A242)-$D242-$E242-$F242)</f>
        <v/>
      </c>
      <c r="H242" s="35" t="str">
        <f aca="false">IF($A242="","",SUM($D242:$G242))</f>
        <v/>
      </c>
      <c r="I242" s="40"/>
      <c r="J242" s="40"/>
      <c r="K242" s="35" t="str">
        <f aca="false">IF($A242="","",N($C242)+$D242-N($I242)-N($J242))</f>
        <v/>
      </c>
      <c r="L242" s="40"/>
      <c r="M242" s="35" t="str">
        <f aca="false">IF(OR($A242="",$L242=""),"",$L242-$K242)</f>
        <v/>
      </c>
      <c r="N242" s="8" t="str">
        <f aca="false">IF($A242="","",IF($L242="","PENDIENTE",IF(ABS($M242)&lt;1,"OK",IF($M242&lt;0,"FALTANTE","SOBRANTE"))))</f>
        <v/>
      </c>
      <c r="O242" s="6"/>
    </row>
    <row r="243" customFormat="false" ht="15" hidden="false" customHeight="false" outlineLevel="0" collapsed="false">
      <c r="A243" s="44"/>
      <c r="B243" s="6"/>
      <c r="C243" s="40"/>
      <c r="D243" s="35" t="str">
        <f aca="false">IF($A243="","",SUMIFS(VENTAS!$H$6:$H$2005,VENTAS!$A$6:$A$2005,$A243,VENTAS!$M$6:$M$2005,"Efectivo"))</f>
        <v/>
      </c>
      <c r="E243" s="35" t="str">
        <f aca="false">IF($A243="","",SUMIFS(VENTAS!$H$6:$H$2005,VENTAS!$A$6:$A$2005,$A243,VENTAS!$M$6:$M$2005,"SINPE Móvil"))</f>
        <v/>
      </c>
      <c r="F243" s="35" t="str">
        <f aca="false">IF($A243="","",SUMIFS(VENTAS!$H$6:$H$2005,VENTAS!$A$6:$A$2005,$A243,VENTAS!$M$6:$M$2005,"Tarjeta"))</f>
        <v/>
      </c>
      <c r="G243" s="35" t="str">
        <f aca="false">IF($A243="","",SUMIFS(VENTAS!$H$6:$H$2005,VENTAS!$A$6:$A$2005,$A243)-$D243-$E243-$F243)</f>
        <v/>
      </c>
      <c r="H243" s="35" t="str">
        <f aca="false">IF($A243="","",SUM($D243:$G243))</f>
        <v/>
      </c>
      <c r="I243" s="40"/>
      <c r="J243" s="40"/>
      <c r="K243" s="35" t="str">
        <f aca="false">IF($A243="","",N($C243)+$D243-N($I243)-N($J243))</f>
        <v/>
      </c>
      <c r="L243" s="40"/>
      <c r="M243" s="35" t="str">
        <f aca="false">IF(OR($A243="",$L243=""),"",$L243-$K243)</f>
        <v/>
      </c>
      <c r="N243" s="8" t="str">
        <f aca="false">IF($A243="","",IF($L243="","PENDIENTE",IF(ABS($M243)&lt;1,"OK",IF($M243&lt;0,"FALTANTE","SOBRANTE"))))</f>
        <v/>
      </c>
      <c r="O243" s="6"/>
    </row>
    <row r="244" customFormat="false" ht="15" hidden="false" customHeight="false" outlineLevel="0" collapsed="false">
      <c r="A244" s="44"/>
      <c r="B244" s="6"/>
      <c r="C244" s="40"/>
      <c r="D244" s="35" t="str">
        <f aca="false">IF($A244="","",SUMIFS(VENTAS!$H$6:$H$2005,VENTAS!$A$6:$A$2005,$A244,VENTAS!$M$6:$M$2005,"Efectivo"))</f>
        <v/>
      </c>
      <c r="E244" s="35" t="str">
        <f aca="false">IF($A244="","",SUMIFS(VENTAS!$H$6:$H$2005,VENTAS!$A$6:$A$2005,$A244,VENTAS!$M$6:$M$2005,"SINPE Móvil"))</f>
        <v/>
      </c>
      <c r="F244" s="35" t="str">
        <f aca="false">IF($A244="","",SUMIFS(VENTAS!$H$6:$H$2005,VENTAS!$A$6:$A$2005,$A244,VENTAS!$M$6:$M$2005,"Tarjeta"))</f>
        <v/>
      </c>
      <c r="G244" s="35" t="str">
        <f aca="false">IF($A244="","",SUMIFS(VENTAS!$H$6:$H$2005,VENTAS!$A$6:$A$2005,$A244)-$D244-$E244-$F244)</f>
        <v/>
      </c>
      <c r="H244" s="35" t="str">
        <f aca="false">IF($A244="","",SUM($D244:$G244))</f>
        <v/>
      </c>
      <c r="I244" s="40"/>
      <c r="J244" s="40"/>
      <c r="K244" s="35" t="str">
        <f aca="false">IF($A244="","",N($C244)+$D244-N($I244)-N($J244))</f>
        <v/>
      </c>
      <c r="L244" s="40"/>
      <c r="M244" s="35" t="str">
        <f aca="false">IF(OR($A244="",$L244=""),"",$L244-$K244)</f>
        <v/>
      </c>
      <c r="N244" s="8" t="str">
        <f aca="false">IF($A244="","",IF($L244="","PENDIENTE",IF(ABS($M244)&lt;1,"OK",IF($M244&lt;0,"FALTANTE","SOBRANTE"))))</f>
        <v/>
      </c>
      <c r="O244" s="6"/>
    </row>
    <row r="245" customFormat="false" ht="15" hidden="false" customHeight="false" outlineLevel="0" collapsed="false">
      <c r="A245" s="44"/>
      <c r="B245" s="6"/>
      <c r="C245" s="40"/>
      <c r="D245" s="35" t="str">
        <f aca="false">IF($A245="","",SUMIFS(VENTAS!$H$6:$H$2005,VENTAS!$A$6:$A$2005,$A245,VENTAS!$M$6:$M$2005,"Efectivo"))</f>
        <v/>
      </c>
      <c r="E245" s="35" t="str">
        <f aca="false">IF($A245="","",SUMIFS(VENTAS!$H$6:$H$2005,VENTAS!$A$6:$A$2005,$A245,VENTAS!$M$6:$M$2005,"SINPE Móvil"))</f>
        <v/>
      </c>
      <c r="F245" s="35" t="str">
        <f aca="false">IF($A245="","",SUMIFS(VENTAS!$H$6:$H$2005,VENTAS!$A$6:$A$2005,$A245,VENTAS!$M$6:$M$2005,"Tarjeta"))</f>
        <v/>
      </c>
      <c r="G245" s="35" t="str">
        <f aca="false">IF($A245="","",SUMIFS(VENTAS!$H$6:$H$2005,VENTAS!$A$6:$A$2005,$A245)-$D245-$E245-$F245)</f>
        <v/>
      </c>
      <c r="H245" s="35" t="str">
        <f aca="false">IF($A245="","",SUM($D245:$G245))</f>
        <v/>
      </c>
      <c r="I245" s="40"/>
      <c r="J245" s="40"/>
      <c r="K245" s="35" t="str">
        <f aca="false">IF($A245="","",N($C245)+$D245-N($I245)-N($J245))</f>
        <v/>
      </c>
      <c r="L245" s="40"/>
      <c r="M245" s="35" t="str">
        <f aca="false">IF(OR($A245="",$L245=""),"",$L245-$K245)</f>
        <v/>
      </c>
      <c r="N245" s="8" t="str">
        <f aca="false">IF($A245="","",IF($L245="","PENDIENTE",IF(ABS($M245)&lt;1,"OK",IF($M245&lt;0,"FALTANTE","SOBRANTE"))))</f>
        <v/>
      </c>
      <c r="O245" s="6"/>
    </row>
    <row r="246" customFormat="false" ht="15" hidden="false" customHeight="false" outlineLevel="0" collapsed="false">
      <c r="A246" s="44"/>
      <c r="B246" s="6"/>
      <c r="C246" s="40"/>
      <c r="D246" s="35" t="str">
        <f aca="false">IF($A246="","",SUMIFS(VENTAS!$H$6:$H$2005,VENTAS!$A$6:$A$2005,$A246,VENTAS!$M$6:$M$2005,"Efectivo"))</f>
        <v/>
      </c>
      <c r="E246" s="35" t="str">
        <f aca="false">IF($A246="","",SUMIFS(VENTAS!$H$6:$H$2005,VENTAS!$A$6:$A$2005,$A246,VENTAS!$M$6:$M$2005,"SINPE Móvil"))</f>
        <v/>
      </c>
      <c r="F246" s="35" t="str">
        <f aca="false">IF($A246="","",SUMIFS(VENTAS!$H$6:$H$2005,VENTAS!$A$6:$A$2005,$A246,VENTAS!$M$6:$M$2005,"Tarjeta"))</f>
        <v/>
      </c>
      <c r="G246" s="35" t="str">
        <f aca="false">IF($A246="","",SUMIFS(VENTAS!$H$6:$H$2005,VENTAS!$A$6:$A$2005,$A246)-$D246-$E246-$F246)</f>
        <v/>
      </c>
      <c r="H246" s="35" t="str">
        <f aca="false">IF($A246="","",SUM($D246:$G246))</f>
        <v/>
      </c>
      <c r="I246" s="40"/>
      <c r="J246" s="40"/>
      <c r="K246" s="35" t="str">
        <f aca="false">IF($A246="","",N($C246)+$D246-N($I246)-N($J246))</f>
        <v/>
      </c>
      <c r="L246" s="40"/>
      <c r="M246" s="35" t="str">
        <f aca="false">IF(OR($A246="",$L246=""),"",$L246-$K246)</f>
        <v/>
      </c>
      <c r="N246" s="8" t="str">
        <f aca="false">IF($A246="","",IF($L246="","PENDIENTE",IF(ABS($M246)&lt;1,"OK",IF($M246&lt;0,"FALTANTE","SOBRANTE"))))</f>
        <v/>
      </c>
      <c r="O246" s="6"/>
    </row>
    <row r="247" customFormat="false" ht="15" hidden="false" customHeight="false" outlineLevel="0" collapsed="false">
      <c r="A247" s="44"/>
      <c r="B247" s="6"/>
      <c r="C247" s="40"/>
      <c r="D247" s="35" t="str">
        <f aca="false">IF($A247="","",SUMIFS(VENTAS!$H$6:$H$2005,VENTAS!$A$6:$A$2005,$A247,VENTAS!$M$6:$M$2005,"Efectivo"))</f>
        <v/>
      </c>
      <c r="E247" s="35" t="str">
        <f aca="false">IF($A247="","",SUMIFS(VENTAS!$H$6:$H$2005,VENTAS!$A$6:$A$2005,$A247,VENTAS!$M$6:$M$2005,"SINPE Móvil"))</f>
        <v/>
      </c>
      <c r="F247" s="35" t="str">
        <f aca="false">IF($A247="","",SUMIFS(VENTAS!$H$6:$H$2005,VENTAS!$A$6:$A$2005,$A247,VENTAS!$M$6:$M$2005,"Tarjeta"))</f>
        <v/>
      </c>
      <c r="G247" s="35" t="str">
        <f aca="false">IF($A247="","",SUMIFS(VENTAS!$H$6:$H$2005,VENTAS!$A$6:$A$2005,$A247)-$D247-$E247-$F247)</f>
        <v/>
      </c>
      <c r="H247" s="35" t="str">
        <f aca="false">IF($A247="","",SUM($D247:$G247))</f>
        <v/>
      </c>
      <c r="I247" s="40"/>
      <c r="J247" s="40"/>
      <c r="K247" s="35" t="str">
        <f aca="false">IF($A247="","",N($C247)+$D247-N($I247)-N($J247))</f>
        <v/>
      </c>
      <c r="L247" s="40"/>
      <c r="M247" s="35" t="str">
        <f aca="false">IF(OR($A247="",$L247=""),"",$L247-$K247)</f>
        <v/>
      </c>
      <c r="N247" s="8" t="str">
        <f aca="false">IF($A247="","",IF($L247="","PENDIENTE",IF(ABS($M247)&lt;1,"OK",IF($M247&lt;0,"FALTANTE","SOBRANTE"))))</f>
        <v/>
      </c>
      <c r="O247" s="6"/>
    </row>
    <row r="248" customFormat="false" ht="15" hidden="false" customHeight="false" outlineLevel="0" collapsed="false">
      <c r="A248" s="44"/>
      <c r="B248" s="6"/>
      <c r="C248" s="40"/>
      <c r="D248" s="35" t="str">
        <f aca="false">IF($A248="","",SUMIFS(VENTAS!$H$6:$H$2005,VENTAS!$A$6:$A$2005,$A248,VENTAS!$M$6:$M$2005,"Efectivo"))</f>
        <v/>
      </c>
      <c r="E248" s="35" t="str">
        <f aca="false">IF($A248="","",SUMIFS(VENTAS!$H$6:$H$2005,VENTAS!$A$6:$A$2005,$A248,VENTAS!$M$6:$M$2005,"SINPE Móvil"))</f>
        <v/>
      </c>
      <c r="F248" s="35" t="str">
        <f aca="false">IF($A248="","",SUMIFS(VENTAS!$H$6:$H$2005,VENTAS!$A$6:$A$2005,$A248,VENTAS!$M$6:$M$2005,"Tarjeta"))</f>
        <v/>
      </c>
      <c r="G248" s="35" t="str">
        <f aca="false">IF($A248="","",SUMIFS(VENTAS!$H$6:$H$2005,VENTAS!$A$6:$A$2005,$A248)-$D248-$E248-$F248)</f>
        <v/>
      </c>
      <c r="H248" s="35" t="str">
        <f aca="false">IF($A248="","",SUM($D248:$G248))</f>
        <v/>
      </c>
      <c r="I248" s="40"/>
      <c r="J248" s="40"/>
      <c r="K248" s="35" t="str">
        <f aca="false">IF($A248="","",N($C248)+$D248-N($I248)-N($J248))</f>
        <v/>
      </c>
      <c r="L248" s="40"/>
      <c r="M248" s="35" t="str">
        <f aca="false">IF(OR($A248="",$L248=""),"",$L248-$K248)</f>
        <v/>
      </c>
      <c r="N248" s="8" t="str">
        <f aca="false">IF($A248="","",IF($L248="","PENDIENTE",IF(ABS($M248)&lt;1,"OK",IF($M248&lt;0,"FALTANTE","SOBRANTE"))))</f>
        <v/>
      </c>
      <c r="O248" s="6"/>
    </row>
    <row r="249" customFormat="false" ht="15" hidden="false" customHeight="false" outlineLevel="0" collapsed="false">
      <c r="A249" s="44"/>
      <c r="B249" s="6"/>
      <c r="C249" s="40"/>
      <c r="D249" s="35" t="str">
        <f aca="false">IF($A249="","",SUMIFS(VENTAS!$H$6:$H$2005,VENTAS!$A$6:$A$2005,$A249,VENTAS!$M$6:$M$2005,"Efectivo"))</f>
        <v/>
      </c>
      <c r="E249" s="35" t="str">
        <f aca="false">IF($A249="","",SUMIFS(VENTAS!$H$6:$H$2005,VENTAS!$A$6:$A$2005,$A249,VENTAS!$M$6:$M$2005,"SINPE Móvil"))</f>
        <v/>
      </c>
      <c r="F249" s="35" t="str">
        <f aca="false">IF($A249="","",SUMIFS(VENTAS!$H$6:$H$2005,VENTAS!$A$6:$A$2005,$A249,VENTAS!$M$6:$M$2005,"Tarjeta"))</f>
        <v/>
      </c>
      <c r="G249" s="35" t="str">
        <f aca="false">IF($A249="","",SUMIFS(VENTAS!$H$6:$H$2005,VENTAS!$A$6:$A$2005,$A249)-$D249-$E249-$F249)</f>
        <v/>
      </c>
      <c r="H249" s="35" t="str">
        <f aca="false">IF($A249="","",SUM($D249:$G249))</f>
        <v/>
      </c>
      <c r="I249" s="40"/>
      <c r="J249" s="40"/>
      <c r="K249" s="35" t="str">
        <f aca="false">IF($A249="","",N($C249)+$D249-N($I249)-N($J249))</f>
        <v/>
      </c>
      <c r="L249" s="40"/>
      <c r="M249" s="35" t="str">
        <f aca="false">IF(OR($A249="",$L249=""),"",$L249-$K249)</f>
        <v/>
      </c>
      <c r="N249" s="8" t="str">
        <f aca="false">IF($A249="","",IF($L249="","PENDIENTE",IF(ABS($M249)&lt;1,"OK",IF($M249&lt;0,"FALTANTE","SOBRANTE"))))</f>
        <v/>
      </c>
      <c r="O249" s="6"/>
    </row>
    <row r="250" customFormat="false" ht="15" hidden="false" customHeight="false" outlineLevel="0" collapsed="false">
      <c r="A250" s="44"/>
      <c r="B250" s="6"/>
      <c r="C250" s="40"/>
      <c r="D250" s="35" t="str">
        <f aca="false">IF($A250="","",SUMIFS(VENTAS!$H$6:$H$2005,VENTAS!$A$6:$A$2005,$A250,VENTAS!$M$6:$M$2005,"Efectivo"))</f>
        <v/>
      </c>
      <c r="E250" s="35" t="str">
        <f aca="false">IF($A250="","",SUMIFS(VENTAS!$H$6:$H$2005,VENTAS!$A$6:$A$2005,$A250,VENTAS!$M$6:$M$2005,"SINPE Móvil"))</f>
        <v/>
      </c>
      <c r="F250" s="35" t="str">
        <f aca="false">IF($A250="","",SUMIFS(VENTAS!$H$6:$H$2005,VENTAS!$A$6:$A$2005,$A250,VENTAS!$M$6:$M$2005,"Tarjeta"))</f>
        <v/>
      </c>
      <c r="G250" s="35" t="str">
        <f aca="false">IF($A250="","",SUMIFS(VENTAS!$H$6:$H$2005,VENTAS!$A$6:$A$2005,$A250)-$D250-$E250-$F250)</f>
        <v/>
      </c>
      <c r="H250" s="35" t="str">
        <f aca="false">IF($A250="","",SUM($D250:$G250))</f>
        <v/>
      </c>
      <c r="I250" s="40"/>
      <c r="J250" s="40"/>
      <c r="K250" s="35" t="str">
        <f aca="false">IF($A250="","",N($C250)+$D250-N($I250)-N($J250))</f>
        <v/>
      </c>
      <c r="L250" s="40"/>
      <c r="M250" s="35" t="str">
        <f aca="false">IF(OR($A250="",$L250=""),"",$L250-$K250)</f>
        <v/>
      </c>
      <c r="N250" s="8" t="str">
        <f aca="false">IF($A250="","",IF($L250="","PENDIENTE",IF(ABS($M250)&lt;1,"OK",IF($M250&lt;0,"FALTANTE","SOBRANTE"))))</f>
        <v/>
      </c>
      <c r="O250" s="6"/>
    </row>
    <row r="251" customFormat="false" ht="15" hidden="false" customHeight="false" outlineLevel="0" collapsed="false">
      <c r="A251" s="44"/>
      <c r="B251" s="6"/>
      <c r="C251" s="40"/>
      <c r="D251" s="35" t="str">
        <f aca="false">IF($A251="","",SUMIFS(VENTAS!$H$6:$H$2005,VENTAS!$A$6:$A$2005,$A251,VENTAS!$M$6:$M$2005,"Efectivo"))</f>
        <v/>
      </c>
      <c r="E251" s="35" t="str">
        <f aca="false">IF($A251="","",SUMIFS(VENTAS!$H$6:$H$2005,VENTAS!$A$6:$A$2005,$A251,VENTAS!$M$6:$M$2005,"SINPE Móvil"))</f>
        <v/>
      </c>
      <c r="F251" s="35" t="str">
        <f aca="false">IF($A251="","",SUMIFS(VENTAS!$H$6:$H$2005,VENTAS!$A$6:$A$2005,$A251,VENTAS!$M$6:$M$2005,"Tarjeta"))</f>
        <v/>
      </c>
      <c r="G251" s="35" t="str">
        <f aca="false">IF($A251="","",SUMIFS(VENTAS!$H$6:$H$2005,VENTAS!$A$6:$A$2005,$A251)-$D251-$E251-$F251)</f>
        <v/>
      </c>
      <c r="H251" s="35" t="str">
        <f aca="false">IF($A251="","",SUM($D251:$G251))</f>
        <v/>
      </c>
      <c r="I251" s="40"/>
      <c r="J251" s="40"/>
      <c r="K251" s="35" t="str">
        <f aca="false">IF($A251="","",N($C251)+$D251-N($I251)-N($J251))</f>
        <v/>
      </c>
      <c r="L251" s="40"/>
      <c r="M251" s="35" t="str">
        <f aca="false">IF(OR($A251="",$L251=""),"",$L251-$K251)</f>
        <v/>
      </c>
      <c r="N251" s="8" t="str">
        <f aca="false">IF($A251="","",IF($L251="","PENDIENTE",IF(ABS($M251)&lt;1,"OK",IF($M251&lt;0,"FALTANTE","SOBRANTE"))))</f>
        <v/>
      </c>
      <c r="O251" s="6"/>
    </row>
    <row r="252" customFormat="false" ht="15" hidden="false" customHeight="false" outlineLevel="0" collapsed="false">
      <c r="A252" s="44"/>
      <c r="B252" s="6"/>
      <c r="C252" s="40"/>
      <c r="D252" s="35" t="str">
        <f aca="false">IF($A252="","",SUMIFS(VENTAS!$H$6:$H$2005,VENTAS!$A$6:$A$2005,$A252,VENTAS!$M$6:$M$2005,"Efectivo"))</f>
        <v/>
      </c>
      <c r="E252" s="35" t="str">
        <f aca="false">IF($A252="","",SUMIFS(VENTAS!$H$6:$H$2005,VENTAS!$A$6:$A$2005,$A252,VENTAS!$M$6:$M$2005,"SINPE Móvil"))</f>
        <v/>
      </c>
      <c r="F252" s="35" t="str">
        <f aca="false">IF($A252="","",SUMIFS(VENTAS!$H$6:$H$2005,VENTAS!$A$6:$A$2005,$A252,VENTAS!$M$6:$M$2005,"Tarjeta"))</f>
        <v/>
      </c>
      <c r="G252" s="35" t="str">
        <f aca="false">IF($A252="","",SUMIFS(VENTAS!$H$6:$H$2005,VENTAS!$A$6:$A$2005,$A252)-$D252-$E252-$F252)</f>
        <v/>
      </c>
      <c r="H252" s="35" t="str">
        <f aca="false">IF($A252="","",SUM($D252:$G252))</f>
        <v/>
      </c>
      <c r="I252" s="40"/>
      <c r="J252" s="40"/>
      <c r="K252" s="35" t="str">
        <f aca="false">IF($A252="","",N($C252)+$D252-N($I252)-N($J252))</f>
        <v/>
      </c>
      <c r="L252" s="40"/>
      <c r="M252" s="35" t="str">
        <f aca="false">IF(OR($A252="",$L252=""),"",$L252-$K252)</f>
        <v/>
      </c>
      <c r="N252" s="8" t="str">
        <f aca="false">IF($A252="","",IF($L252="","PENDIENTE",IF(ABS($M252)&lt;1,"OK",IF($M252&lt;0,"FALTANTE","SOBRANTE"))))</f>
        <v/>
      </c>
      <c r="O252" s="6"/>
    </row>
    <row r="253" customFormat="false" ht="15" hidden="false" customHeight="false" outlineLevel="0" collapsed="false">
      <c r="A253" s="44"/>
      <c r="B253" s="6"/>
      <c r="C253" s="40"/>
      <c r="D253" s="35" t="str">
        <f aca="false">IF($A253="","",SUMIFS(VENTAS!$H$6:$H$2005,VENTAS!$A$6:$A$2005,$A253,VENTAS!$M$6:$M$2005,"Efectivo"))</f>
        <v/>
      </c>
      <c r="E253" s="35" t="str">
        <f aca="false">IF($A253="","",SUMIFS(VENTAS!$H$6:$H$2005,VENTAS!$A$6:$A$2005,$A253,VENTAS!$M$6:$M$2005,"SINPE Móvil"))</f>
        <v/>
      </c>
      <c r="F253" s="35" t="str">
        <f aca="false">IF($A253="","",SUMIFS(VENTAS!$H$6:$H$2005,VENTAS!$A$6:$A$2005,$A253,VENTAS!$M$6:$M$2005,"Tarjeta"))</f>
        <v/>
      </c>
      <c r="G253" s="35" t="str">
        <f aca="false">IF($A253="","",SUMIFS(VENTAS!$H$6:$H$2005,VENTAS!$A$6:$A$2005,$A253)-$D253-$E253-$F253)</f>
        <v/>
      </c>
      <c r="H253" s="35" t="str">
        <f aca="false">IF($A253="","",SUM($D253:$G253))</f>
        <v/>
      </c>
      <c r="I253" s="40"/>
      <c r="J253" s="40"/>
      <c r="K253" s="35" t="str">
        <f aca="false">IF($A253="","",N($C253)+$D253-N($I253)-N($J253))</f>
        <v/>
      </c>
      <c r="L253" s="40"/>
      <c r="M253" s="35" t="str">
        <f aca="false">IF(OR($A253="",$L253=""),"",$L253-$K253)</f>
        <v/>
      </c>
      <c r="N253" s="8" t="str">
        <f aca="false">IF($A253="","",IF($L253="","PENDIENTE",IF(ABS($M253)&lt;1,"OK",IF($M253&lt;0,"FALTANTE","SOBRANTE"))))</f>
        <v/>
      </c>
      <c r="O253" s="6"/>
    </row>
    <row r="254" customFormat="false" ht="15" hidden="false" customHeight="false" outlineLevel="0" collapsed="false">
      <c r="A254" s="44"/>
      <c r="B254" s="6"/>
      <c r="C254" s="40"/>
      <c r="D254" s="35" t="str">
        <f aca="false">IF($A254="","",SUMIFS(VENTAS!$H$6:$H$2005,VENTAS!$A$6:$A$2005,$A254,VENTAS!$M$6:$M$2005,"Efectivo"))</f>
        <v/>
      </c>
      <c r="E254" s="35" t="str">
        <f aca="false">IF($A254="","",SUMIFS(VENTAS!$H$6:$H$2005,VENTAS!$A$6:$A$2005,$A254,VENTAS!$M$6:$M$2005,"SINPE Móvil"))</f>
        <v/>
      </c>
      <c r="F254" s="35" t="str">
        <f aca="false">IF($A254="","",SUMIFS(VENTAS!$H$6:$H$2005,VENTAS!$A$6:$A$2005,$A254,VENTAS!$M$6:$M$2005,"Tarjeta"))</f>
        <v/>
      </c>
      <c r="G254" s="35" t="str">
        <f aca="false">IF($A254="","",SUMIFS(VENTAS!$H$6:$H$2005,VENTAS!$A$6:$A$2005,$A254)-$D254-$E254-$F254)</f>
        <v/>
      </c>
      <c r="H254" s="35" t="str">
        <f aca="false">IF($A254="","",SUM($D254:$G254))</f>
        <v/>
      </c>
      <c r="I254" s="40"/>
      <c r="J254" s="40"/>
      <c r="K254" s="35" t="str">
        <f aca="false">IF($A254="","",N($C254)+$D254-N($I254)-N($J254))</f>
        <v/>
      </c>
      <c r="L254" s="40"/>
      <c r="M254" s="35" t="str">
        <f aca="false">IF(OR($A254="",$L254=""),"",$L254-$K254)</f>
        <v/>
      </c>
      <c r="N254" s="8" t="str">
        <f aca="false">IF($A254="","",IF($L254="","PENDIENTE",IF(ABS($M254)&lt;1,"OK",IF($M254&lt;0,"FALTANTE","SOBRANTE"))))</f>
        <v/>
      </c>
      <c r="O254" s="6"/>
    </row>
    <row r="255" customFormat="false" ht="15" hidden="false" customHeight="false" outlineLevel="0" collapsed="false">
      <c r="A255" s="44"/>
      <c r="B255" s="6"/>
      <c r="C255" s="40"/>
      <c r="D255" s="35" t="str">
        <f aca="false">IF($A255="","",SUMIFS(VENTAS!$H$6:$H$2005,VENTAS!$A$6:$A$2005,$A255,VENTAS!$M$6:$M$2005,"Efectivo"))</f>
        <v/>
      </c>
      <c r="E255" s="35" t="str">
        <f aca="false">IF($A255="","",SUMIFS(VENTAS!$H$6:$H$2005,VENTAS!$A$6:$A$2005,$A255,VENTAS!$M$6:$M$2005,"SINPE Móvil"))</f>
        <v/>
      </c>
      <c r="F255" s="35" t="str">
        <f aca="false">IF($A255="","",SUMIFS(VENTAS!$H$6:$H$2005,VENTAS!$A$6:$A$2005,$A255,VENTAS!$M$6:$M$2005,"Tarjeta"))</f>
        <v/>
      </c>
      <c r="G255" s="35" t="str">
        <f aca="false">IF($A255="","",SUMIFS(VENTAS!$H$6:$H$2005,VENTAS!$A$6:$A$2005,$A255)-$D255-$E255-$F255)</f>
        <v/>
      </c>
      <c r="H255" s="35" t="str">
        <f aca="false">IF($A255="","",SUM($D255:$G255))</f>
        <v/>
      </c>
      <c r="I255" s="40"/>
      <c r="J255" s="40"/>
      <c r="K255" s="35" t="str">
        <f aca="false">IF($A255="","",N($C255)+$D255-N($I255)-N($J255))</f>
        <v/>
      </c>
      <c r="L255" s="40"/>
      <c r="M255" s="35" t="str">
        <f aca="false">IF(OR($A255="",$L255=""),"",$L255-$K255)</f>
        <v/>
      </c>
      <c r="N255" s="8" t="str">
        <f aca="false">IF($A255="","",IF($L255="","PENDIENTE",IF(ABS($M255)&lt;1,"OK",IF($M255&lt;0,"FALTANTE","SOBRANTE"))))</f>
        <v/>
      </c>
      <c r="O255" s="6"/>
    </row>
    <row r="256" customFormat="false" ht="15" hidden="false" customHeight="false" outlineLevel="0" collapsed="false">
      <c r="A256" s="44"/>
      <c r="B256" s="6"/>
      <c r="C256" s="40"/>
      <c r="D256" s="35" t="str">
        <f aca="false">IF($A256="","",SUMIFS(VENTAS!$H$6:$H$2005,VENTAS!$A$6:$A$2005,$A256,VENTAS!$M$6:$M$2005,"Efectivo"))</f>
        <v/>
      </c>
      <c r="E256" s="35" t="str">
        <f aca="false">IF($A256="","",SUMIFS(VENTAS!$H$6:$H$2005,VENTAS!$A$6:$A$2005,$A256,VENTAS!$M$6:$M$2005,"SINPE Móvil"))</f>
        <v/>
      </c>
      <c r="F256" s="35" t="str">
        <f aca="false">IF($A256="","",SUMIFS(VENTAS!$H$6:$H$2005,VENTAS!$A$6:$A$2005,$A256,VENTAS!$M$6:$M$2005,"Tarjeta"))</f>
        <v/>
      </c>
      <c r="G256" s="35" t="str">
        <f aca="false">IF($A256="","",SUMIFS(VENTAS!$H$6:$H$2005,VENTAS!$A$6:$A$2005,$A256)-$D256-$E256-$F256)</f>
        <v/>
      </c>
      <c r="H256" s="35" t="str">
        <f aca="false">IF($A256="","",SUM($D256:$G256))</f>
        <v/>
      </c>
      <c r="I256" s="40"/>
      <c r="J256" s="40"/>
      <c r="K256" s="35" t="str">
        <f aca="false">IF($A256="","",N($C256)+$D256-N($I256)-N($J256))</f>
        <v/>
      </c>
      <c r="L256" s="40"/>
      <c r="M256" s="35" t="str">
        <f aca="false">IF(OR($A256="",$L256=""),"",$L256-$K256)</f>
        <v/>
      </c>
      <c r="N256" s="8" t="str">
        <f aca="false">IF($A256="","",IF($L256="","PENDIENTE",IF(ABS($M256)&lt;1,"OK",IF($M256&lt;0,"FALTANTE","SOBRANTE"))))</f>
        <v/>
      </c>
      <c r="O256" s="6"/>
    </row>
    <row r="257" customFormat="false" ht="15" hidden="false" customHeight="false" outlineLevel="0" collapsed="false">
      <c r="A257" s="44"/>
      <c r="B257" s="6"/>
      <c r="C257" s="40"/>
      <c r="D257" s="35" t="str">
        <f aca="false">IF($A257="","",SUMIFS(VENTAS!$H$6:$H$2005,VENTAS!$A$6:$A$2005,$A257,VENTAS!$M$6:$M$2005,"Efectivo"))</f>
        <v/>
      </c>
      <c r="E257" s="35" t="str">
        <f aca="false">IF($A257="","",SUMIFS(VENTAS!$H$6:$H$2005,VENTAS!$A$6:$A$2005,$A257,VENTAS!$M$6:$M$2005,"SINPE Móvil"))</f>
        <v/>
      </c>
      <c r="F257" s="35" t="str">
        <f aca="false">IF($A257="","",SUMIFS(VENTAS!$H$6:$H$2005,VENTAS!$A$6:$A$2005,$A257,VENTAS!$M$6:$M$2005,"Tarjeta"))</f>
        <v/>
      </c>
      <c r="G257" s="35" t="str">
        <f aca="false">IF($A257="","",SUMIFS(VENTAS!$H$6:$H$2005,VENTAS!$A$6:$A$2005,$A257)-$D257-$E257-$F257)</f>
        <v/>
      </c>
      <c r="H257" s="35" t="str">
        <f aca="false">IF($A257="","",SUM($D257:$G257))</f>
        <v/>
      </c>
      <c r="I257" s="40"/>
      <c r="J257" s="40"/>
      <c r="K257" s="35" t="str">
        <f aca="false">IF($A257="","",N($C257)+$D257-N($I257)-N($J257))</f>
        <v/>
      </c>
      <c r="L257" s="40"/>
      <c r="M257" s="35" t="str">
        <f aca="false">IF(OR($A257="",$L257=""),"",$L257-$K257)</f>
        <v/>
      </c>
      <c r="N257" s="8" t="str">
        <f aca="false">IF($A257="","",IF($L257="","PENDIENTE",IF(ABS($M257)&lt;1,"OK",IF($M257&lt;0,"FALTANTE","SOBRANTE"))))</f>
        <v/>
      </c>
      <c r="O257" s="6"/>
    </row>
    <row r="258" customFormat="false" ht="15" hidden="false" customHeight="false" outlineLevel="0" collapsed="false">
      <c r="A258" s="44"/>
      <c r="B258" s="6"/>
      <c r="C258" s="40"/>
      <c r="D258" s="35" t="str">
        <f aca="false">IF($A258="","",SUMIFS(VENTAS!$H$6:$H$2005,VENTAS!$A$6:$A$2005,$A258,VENTAS!$M$6:$M$2005,"Efectivo"))</f>
        <v/>
      </c>
      <c r="E258" s="35" t="str">
        <f aca="false">IF($A258="","",SUMIFS(VENTAS!$H$6:$H$2005,VENTAS!$A$6:$A$2005,$A258,VENTAS!$M$6:$M$2005,"SINPE Móvil"))</f>
        <v/>
      </c>
      <c r="F258" s="35" t="str">
        <f aca="false">IF($A258="","",SUMIFS(VENTAS!$H$6:$H$2005,VENTAS!$A$6:$A$2005,$A258,VENTAS!$M$6:$M$2005,"Tarjeta"))</f>
        <v/>
      </c>
      <c r="G258" s="35" t="str">
        <f aca="false">IF($A258="","",SUMIFS(VENTAS!$H$6:$H$2005,VENTAS!$A$6:$A$2005,$A258)-$D258-$E258-$F258)</f>
        <v/>
      </c>
      <c r="H258" s="35" t="str">
        <f aca="false">IF($A258="","",SUM($D258:$G258))</f>
        <v/>
      </c>
      <c r="I258" s="40"/>
      <c r="J258" s="40"/>
      <c r="K258" s="35" t="str">
        <f aca="false">IF($A258="","",N($C258)+$D258-N($I258)-N($J258))</f>
        <v/>
      </c>
      <c r="L258" s="40"/>
      <c r="M258" s="35" t="str">
        <f aca="false">IF(OR($A258="",$L258=""),"",$L258-$K258)</f>
        <v/>
      </c>
      <c r="N258" s="8" t="str">
        <f aca="false">IF($A258="","",IF($L258="","PENDIENTE",IF(ABS($M258)&lt;1,"OK",IF($M258&lt;0,"FALTANTE","SOBRANTE"))))</f>
        <v/>
      </c>
      <c r="O258" s="6"/>
    </row>
    <row r="259" customFormat="false" ht="15" hidden="false" customHeight="false" outlineLevel="0" collapsed="false">
      <c r="A259" s="44"/>
      <c r="B259" s="6"/>
      <c r="C259" s="40"/>
      <c r="D259" s="35" t="str">
        <f aca="false">IF($A259="","",SUMIFS(VENTAS!$H$6:$H$2005,VENTAS!$A$6:$A$2005,$A259,VENTAS!$M$6:$M$2005,"Efectivo"))</f>
        <v/>
      </c>
      <c r="E259" s="35" t="str">
        <f aca="false">IF($A259="","",SUMIFS(VENTAS!$H$6:$H$2005,VENTAS!$A$6:$A$2005,$A259,VENTAS!$M$6:$M$2005,"SINPE Móvil"))</f>
        <v/>
      </c>
      <c r="F259" s="35" t="str">
        <f aca="false">IF($A259="","",SUMIFS(VENTAS!$H$6:$H$2005,VENTAS!$A$6:$A$2005,$A259,VENTAS!$M$6:$M$2005,"Tarjeta"))</f>
        <v/>
      </c>
      <c r="G259" s="35" t="str">
        <f aca="false">IF($A259="","",SUMIFS(VENTAS!$H$6:$H$2005,VENTAS!$A$6:$A$2005,$A259)-$D259-$E259-$F259)</f>
        <v/>
      </c>
      <c r="H259" s="35" t="str">
        <f aca="false">IF($A259="","",SUM($D259:$G259))</f>
        <v/>
      </c>
      <c r="I259" s="40"/>
      <c r="J259" s="40"/>
      <c r="K259" s="35" t="str">
        <f aca="false">IF($A259="","",N($C259)+$D259-N($I259)-N($J259))</f>
        <v/>
      </c>
      <c r="L259" s="40"/>
      <c r="M259" s="35" t="str">
        <f aca="false">IF(OR($A259="",$L259=""),"",$L259-$K259)</f>
        <v/>
      </c>
      <c r="N259" s="8" t="str">
        <f aca="false">IF($A259="","",IF($L259="","PENDIENTE",IF(ABS($M259)&lt;1,"OK",IF($M259&lt;0,"FALTANTE","SOBRANTE"))))</f>
        <v/>
      </c>
      <c r="O259" s="6"/>
    </row>
    <row r="260" customFormat="false" ht="15" hidden="false" customHeight="false" outlineLevel="0" collapsed="false">
      <c r="A260" s="44"/>
      <c r="B260" s="6"/>
      <c r="C260" s="40"/>
      <c r="D260" s="35" t="str">
        <f aca="false">IF($A260="","",SUMIFS(VENTAS!$H$6:$H$2005,VENTAS!$A$6:$A$2005,$A260,VENTAS!$M$6:$M$2005,"Efectivo"))</f>
        <v/>
      </c>
      <c r="E260" s="35" t="str">
        <f aca="false">IF($A260="","",SUMIFS(VENTAS!$H$6:$H$2005,VENTAS!$A$6:$A$2005,$A260,VENTAS!$M$6:$M$2005,"SINPE Móvil"))</f>
        <v/>
      </c>
      <c r="F260" s="35" t="str">
        <f aca="false">IF($A260="","",SUMIFS(VENTAS!$H$6:$H$2005,VENTAS!$A$6:$A$2005,$A260,VENTAS!$M$6:$M$2005,"Tarjeta"))</f>
        <v/>
      </c>
      <c r="G260" s="35" t="str">
        <f aca="false">IF($A260="","",SUMIFS(VENTAS!$H$6:$H$2005,VENTAS!$A$6:$A$2005,$A260)-$D260-$E260-$F260)</f>
        <v/>
      </c>
      <c r="H260" s="35" t="str">
        <f aca="false">IF($A260="","",SUM($D260:$G260))</f>
        <v/>
      </c>
      <c r="I260" s="40"/>
      <c r="J260" s="40"/>
      <c r="K260" s="35" t="str">
        <f aca="false">IF($A260="","",N($C260)+$D260-N($I260)-N($J260))</f>
        <v/>
      </c>
      <c r="L260" s="40"/>
      <c r="M260" s="35" t="str">
        <f aca="false">IF(OR($A260="",$L260=""),"",$L260-$K260)</f>
        <v/>
      </c>
      <c r="N260" s="8" t="str">
        <f aca="false">IF($A260="","",IF($L260="","PENDIENTE",IF(ABS($M260)&lt;1,"OK",IF($M260&lt;0,"FALTANTE","SOBRANTE"))))</f>
        <v/>
      </c>
      <c r="O260" s="6"/>
    </row>
    <row r="261" customFormat="false" ht="15" hidden="false" customHeight="false" outlineLevel="0" collapsed="false">
      <c r="A261" s="44"/>
      <c r="B261" s="6"/>
      <c r="C261" s="40"/>
      <c r="D261" s="35" t="str">
        <f aca="false">IF($A261="","",SUMIFS(VENTAS!$H$6:$H$2005,VENTAS!$A$6:$A$2005,$A261,VENTAS!$M$6:$M$2005,"Efectivo"))</f>
        <v/>
      </c>
      <c r="E261" s="35" t="str">
        <f aca="false">IF($A261="","",SUMIFS(VENTAS!$H$6:$H$2005,VENTAS!$A$6:$A$2005,$A261,VENTAS!$M$6:$M$2005,"SINPE Móvil"))</f>
        <v/>
      </c>
      <c r="F261" s="35" t="str">
        <f aca="false">IF($A261="","",SUMIFS(VENTAS!$H$6:$H$2005,VENTAS!$A$6:$A$2005,$A261,VENTAS!$M$6:$M$2005,"Tarjeta"))</f>
        <v/>
      </c>
      <c r="G261" s="35" t="str">
        <f aca="false">IF($A261="","",SUMIFS(VENTAS!$H$6:$H$2005,VENTAS!$A$6:$A$2005,$A261)-$D261-$E261-$F261)</f>
        <v/>
      </c>
      <c r="H261" s="35" t="str">
        <f aca="false">IF($A261="","",SUM($D261:$G261))</f>
        <v/>
      </c>
      <c r="I261" s="40"/>
      <c r="J261" s="40"/>
      <c r="K261" s="35" t="str">
        <f aca="false">IF($A261="","",N($C261)+$D261-N($I261)-N($J261))</f>
        <v/>
      </c>
      <c r="L261" s="40"/>
      <c r="M261" s="35" t="str">
        <f aca="false">IF(OR($A261="",$L261=""),"",$L261-$K261)</f>
        <v/>
      </c>
      <c r="N261" s="8" t="str">
        <f aca="false">IF($A261="","",IF($L261="","PENDIENTE",IF(ABS($M261)&lt;1,"OK",IF($M261&lt;0,"FALTANTE","SOBRANTE"))))</f>
        <v/>
      </c>
      <c r="O261" s="6"/>
    </row>
    <row r="262" customFormat="false" ht="15" hidden="false" customHeight="false" outlineLevel="0" collapsed="false">
      <c r="A262" s="44"/>
      <c r="B262" s="6"/>
      <c r="C262" s="40"/>
      <c r="D262" s="35" t="str">
        <f aca="false">IF($A262="","",SUMIFS(VENTAS!$H$6:$H$2005,VENTAS!$A$6:$A$2005,$A262,VENTAS!$M$6:$M$2005,"Efectivo"))</f>
        <v/>
      </c>
      <c r="E262" s="35" t="str">
        <f aca="false">IF($A262="","",SUMIFS(VENTAS!$H$6:$H$2005,VENTAS!$A$6:$A$2005,$A262,VENTAS!$M$6:$M$2005,"SINPE Móvil"))</f>
        <v/>
      </c>
      <c r="F262" s="35" t="str">
        <f aca="false">IF($A262="","",SUMIFS(VENTAS!$H$6:$H$2005,VENTAS!$A$6:$A$2005,$A262,VENTAS!$M$6:$M$2005,"Tarjeta"))</f>
        <v/>
      </c>
      <c r="G262" s="35" t="str">
        <f aca="false">IF($A262="","",SUMIFS(VENTAS!$H$6:$H$2005,VENTAS!$A$6:$A$2005,$A262)-$D262-$E262-$F262)</f>
        <v/>
      </c>
      <c r="H262" s="35" t="str">
        <f aca="false">IF($A262="","",SUM($D262:$G262))</f>
        <v/>
      </c>
      <c r="I262" s="40"/>
      <c r="J262" s="40"/>
      <c r="K262" s="35" t="str">
        <f aca="false">IF($A262="","",N($C262)+$D262-N($I262)-N($J262))</f>
        <v/>
      </c>
      <c r="L262" s="40"/>
      <c r="M262" s="35" t="str">
        <f aca="false">IF(OR($A262="",$L262=""),"",$L262-$K262)</f>
        <v/>
      </c>
      <c r="N262" s="8" t="str">
        <f aca="false">IF($A262="","",IF($L262="","PENDIENTE",IF(ABS($M262)&lt;1,"OK",IF($M262&lt;0,"FALTANTE","SOBRANTE"))))</f>
        <v/>
      </c>
      <c r="O262" s="6"/>
    </row>
    <row r="263" customFormat="false" ht="15" hidden="false" customHeight="false" outlineLevel="0" collapsed="false">
      <c r="A263" s="44"/>
      <c r="B263" s="6"/>
      <c r="C263" s="40"/>
      <c r="D263" s="35" t="str">
        <f aca="false">IF($A263="","",SUMIFS(VENTAS!$H$6:$H$2005,VENTAS!$A$6:$A$2005,$A263,VENTAS!$M$6:$M$2005,"Efectivo"))</f>
        <v/>
      </c>
      <c r="E263" s="35" t="str">
        <f aca="false">IF($A263="","",SUMIFS(VENTAS!$H$6:$H$2005,VENTAS!$A$6:$A$2005,$A263,VENTAS!$M$6:$M$2005,"SINPE Móvil"))</f>
        <v/>
      </c>
      <c r="F263" s="35" t="str">
        <f aca="false">IF($A263="","",SUMIFS(VENTAS!$H$6:$H$2005,VENTAS!$A$6:$A$2005,$A263,VENTAS!$M$6:$M$2005,"Tarjeta"))</f>
        <v/>
      </c>
      <c r="G263" s="35" t="str">
        <f aca="false">IF($A263="","",SUMIFS(VENTAS!$H$6:$H$2005,VENTAS!$A$6:$A$2005,$A263)-$D263-$E263-$F263)</f>
        <v/>
      </c>
      <c r="H263" s="35" t="str">
        <f aca="false">IF($A263="","",SUM($D263:$G263))</f>
        <v/>
      </c>
      <c r="I263" s="40"/>
      <c r="J263" s="40"/>
      <c r="K263" s="35" t="str">
        <f aca="false">IF($A263="","",N($C263)+$D263-N($I263)-N($J263))</f>
        <v/>
      </c>
      <c r="L263" s="40"/>
      <c r="M263" s="35" t="str">
        <f aca="false">IF(OR($A263="",$L263=""),"",$L263-$K263)</f>
        <v/>
      </c>
      <c r="N263" s="8" t="str">
        <f aca="false">IF($A263="","",IF($L263="","PENDIENTE",IF(ABS($M263)&lt;1,"OK",IF($M263&lt;0,"FALTANTE","SOBRANTE"))))</f>
        <v/>
      </c>
      <c r="O263" s="6"/>
    </row>
    <row r="264" customFormat="false" ht="15" hidden="false" customHeight="false" outlineLevel="0" collapsed="false">
      <c r="A264" s="44"/>
      <c r="B264" s="6"/>
      <c r="C264" s="40"/>
      <c r="D264" s="35" t="str">
        <f aca="false">IF($A264="","",SUMIFS(VENTAS!$H$6:$H$2005,VENTAS!$A$6:$A$2005,$A264,VENTAS!$M$6:$M$2005,"Efectivo"))</f>
        <v/>
      </c>
      <c r="E264" s="35" t="str">
        <f aca="false">IF($A264="","",SUMIFS(VENTAS!$H$6:$H$2005,VENTAS!$A$6:$A$2005,$A264,VENTAS!$M$6:$M$2005,"SINPE Móvil"))</f>
        <v/>
      </c>
      <c r="F264" s="35" t="str">
        <f aca="false">IF($A264="","",SUMIFS(VENTAS!$H$6:$H$2005,VENTAS!$A$6:$A$2005,$A264,VENTAS!$M$6:$M$2005,"Tarjeta"))</f>
        <v/>
      </c>
      <c r="G264" s="35" t="str">
        <f aca="false">IF($A264="","",SUMIFS(VENTAS!$H$6:$H$2005,VENTAS!$A$6:$A$2005,$A264)-$D264-$E264-$F264)</f>
        <v/>
      </c>
      <c r="H264" s="35" t="str">
        <f aca="false">IF($A264="","",SUM($D264:$G264))</f>
        <v/>
      </c>
      <c r="I264" s="40"/>
      <c r="J264" s="40"/>
      <c r="K264" s="35" t="str">
        <f aca="false">IF($A264="","",N($C264)+$D264-N($I264)-N($J264))</f>
        <v/>
      </c>
      <c r="L264" s="40"/>
      <c r="M264" s="35" t="str">
        <f aca="false">IF(OR($A264="",$L264=""),"",$L264-$K264)</f>
        <v/>
      </c>
      <c r="N264" s="8" t="str">
        <f aca="false">IF($A264="","",IF($L264="","PENDIENTE",IF(ABS($M264)&lt;1,"OK",IF($M264&lt;0,"FALTANTE","SOBRANTE"))))</f>
        <v/>
      </c>
      <c r="O264" s="6"/>
    </row>
    <row r="265" customFormat="false" ht="15" hidden="false" customHeight="false" outlineLevel="0" collapsed="false">
      <c r="A265" s="44"/>
      <c r="B265" s="6"/>
      <c r="C265" s="40"/>
      <c r="D265" s="35" t="str">
        <f aca="false">IF($A265="","",SUMIFS(VENTAS!$H$6:$H$2005,VENTAS!$A$6:$A$2005,$A265,VENTAS!$M$6:$M$2005,"Efectivo"))</f>
        <v/>
      </c>
      <c r="E265" s="35" t="str">
        <f aca="false">IF($A265="","",SUMIFS(VENTAS!$H$6:$H$2005,VENTAS!$A$6:$A$2005,$A265,VENTAS!$M$6:$M$2005,"SINPE Móvil"))</f>
        <v/>
      </c>
      <c r="F265" s="35" t="str">
        <f aca="false">IF($A265="","",SUMIFS(VENTAS!$H$6:$H$2005,VENTAS!$A$6:$A$2005,$A265,VENTAS!$M$6:$M$2005,"Tarjeta"))</f>
        <v/>
      </c>
      <c r="G265" s="35" t="str">
        <f aca="false">IF($A265="","",SUMIFS(VENTAS!$H$6:$H$2005,VENTAS!$A$6:$A$2005,$A265)-$D265-$E265-$F265)</f>
        <v/>
      </c>
      <c r="H265" s="35" t="str">
        <f aca="false">IF($A265="","",SUM($D265:$G265))</f>
        <v/>
      </c>
      <c r="I265" s="40"/>
      <c r="J265" s="40"/>
      <c r="K265" s="35" t="str">
        <f aca="false">IF($A265="","",N($C265)+$D265-N($I265)-N($J265))</f>
        <v/>
      </c>
      <c r="L265" s="40"/>
      <c r="M265" s="35" t="str">
        <f aca="false">IF(OR($A265="",$L265=""),"",$L265-$K265)</f>
        <v/>
      </c>
      <c r="N265" s="8" t="str">
        <f aca="false">IF($A265="","",IF($L265="","PENDIENTE",IF(ABS($M265)&lt;1,"OK",IF($M265&lt;0,"FALTANTE","SOBRANTE"))))</f>
        <v/>
      </c>
      <c r="O265" s="6"/>
    </row>
    <row r="266" customFormat="false" ht="15" hidden="false" customHeight="false" outlineLevel="0" collapsed="false">
      <c r="A266" s="44"/>
      <c r="B266" s="6"/>
      <c r="C266" s="40"/>
      <c r="D266" s="35" t="str">
        <f aca="false">IF($A266="","",SUMIFS(VENTAS!$H$6:$H$2005,VENTAS!$A$6:$A$2005,$A266,VENTAS!$M$6:$M$2005,"Efectivo"))</f>
        <v/>
      </c>
      <c r="E266" s="35" t="str">
        <f aca="false">IF($A266="","",SUMIFS(VENTAS!$H$6:$H$2005,VENTAS!$A$6:$A$2005,$A266,VENTAS!$M$6:$M$2005,"SINPE Móvil"))</f>
        <v/>
      </c>
      <c r="F266" s="35" t="str">
        <f aca="false">IF($A266="","",SUMIFS(VENTAS!$H$6:$H$2005,VENTAS!$A$6:$A$2005,$A266,VENTAS!$M$6:$M$2005,"Tarjeta"))</f>
        <v/>
      </c>
      <c r="G266" s="35" t="str">
        <f aca="false">IF($A266="","",SUMIFS(VENTAS!$H$6:$H$2005,VENTAS!$A$6:$A$2005,$A266)-$D266-$E266-$F266)</f>
        <v/>
      </c>
      <c r="H266" s="35" t="str">
        <f aca="false">IF($A266="","",SUM($D266:$G266))</f>
        <v/>
      </c>
      <c r="I266" s="40"/>
      <c r="J266" s="40"/>
      <c r="K266" s="35" t="str">
        <f aca="false">IF($A266="","",N($C266)+$D266-N($I266)-N($J266))</f>
        <v/>
      </c>
      <c r="L266" s="40"/>
      <c r="M266" s="35" t="str">
        <f aca="false">IF(OR($A266="",$L266=""),"",$L266-$K266)</f>
        <v/>
      </c>
      <c r="N266" s="8" t="str">
        <f aca="false">IF($A266="","",IF($L266="","PENDIENTE",IF(ABS($M266)&lt;1,"OK",IF($M266&lt;0,"FALTANTE","SOBRANTE"))))</f>
        <v/>
      </c>
      <c r="O266" s="6"/>
    </row>
    <row r="267" customFormat="false" ht="15" hidden="false" customHeight="false" outlineLevel="0" collapsed="false">
      <c r="A267" s="44"/>
      <c r="B267" s="6"/>
      <c r="C267" s="40"/>
      <c r="D267" s="35" t="str">
        <f aca="false">IF($A267="","",SUMIFS(VENTAS!$H$6:$H$2005,VENTAS!$A$6:$A$2005,$A267,VENTAS!$M$6:$M$2005,"Efectivo"))</f>
        <v/>
      </c>
      <c r="E267" s="35" t="str">
        <f aca="false">IF($A267="","",SUMIFS(VENTAS!$H$6:$H$2005,VENTAS!$A$6:$A$2005,$A267,VENTAS!$M$6:$M$2005,"SINPE Móvil"))</f>
        <v/>
      </c>
      <c r="F267" s="35" t="str">
        <f aca="false">IF($A267="","",SUMIFS(VENTAS!$H$6:$H$2005,VENTAS!$A$6:$A$2005,$A267,VENTAS!$M$6:$M$2005,"Tarjeta"))</f>
        <v/>
      </c>
      <c r="G267" s="35" t="str">
        <f aca="false">IF($A267="","",SUMIFS(VENTAS!$H$6:$H$2005,VENTAS!$A$6:$A$2005,$A267)-$D267-$E267-$F267)</f>
        <v/>
      </c>
      <c r="H267" s="35" t="str">
        <f aca="false">IF($A267="","",SUM($D267:$G267))</f>
        <v/>
      </c>
      <c r="I267" s="40"/>
      <c r="J267" s="40"/>
      <c r="K267" s="35" t="str">
        <f aca="false">IF($A267="","",N($C267)+$D267-N($I267)-N($J267))</f>
        <v/>
      </c>
      <c r="L267" s="40"/>
      <c r="M267" s="35" t="str">
        <f aca="false">IF(OR($A267="",$L267=""),"",$L267-$K267)</f>
        <v/>
      </c>
      <c r="N267" s="8" t="str">
        <f aca="false">IF($A267="","",IF($L267="","PENDIENTE",IF(ABS($M267)&lt;1,"OK",IF($M267&lt;0,"FALTANTE","SOBRANTE"))))</f>
        <v/>
      </c>
      <c r="O267" s="6"/>
    </row>
    <row r="268" customFormat="false" ht="15" hidden="false" customHeight="false" outlineLevel="0" collapsed="false">
      <c r="A268" s="44"/>
      <c r="B268" s="6"/>
      <c r="C268" s="40"/>
      <c r="D268" s="35" t="str">
        <f aca="false">IF($A268="","",SUMIFS(VENTAS!$H$6:$H$2005,VENTAS!$A$6:$A$2005,$A268,VENTAS!$M$6:$M$2005,"Efectivo"))</f>
        <v/>
      </c>
      <c r="E268" s="35" t="str">
        <f aca="false">IF($A268="","",SUMIFS(VENTAS!$H$6:$H$2005,VENTAS!$A$6:$A$2005,$A268,VENTAS!$M$6:$M$2005,"SINPE Móvil"))</f>
        <v/>
      </c>
      <c r="F268" s="35" t="str">
        <f aca="false">IF($A268="","",SUMIFS(VENTAS!$H$6:$H$2005,VENTAS!$A$6:$A$2005,$A268,VENTAS!$M$6:$M$2005,"Tarjeta"))</f>
        <v/>
      </c>
      <c r="G268" s="35" t="str">
        <f aca="false">IF($A268="","",SUMIFS(VENTAS!$H$6:$H$2005,VENTAS!$A$6:$A$2005,$A268)-$D268-$E268-$F268)</f>
        <v/>
      </c>
      <c r="H268" s="35" t="str">
        <f aca="false">IF($A268="","",SUM($D268:$G268))</f>
        <v/>
      </c>
      <c r="I268" s="40"/>
      <c r="J268" s="40"/>
      <c r="K268" s="35" t="str">
        <f aca="false">IF($A268="","",N($C268)+$D268-N($I268)-N($J268))</f>
        <v/>
      </c>
      <c r="L268" s="40"/>
      <c r="M268" s="35" t="str">
        <f aca="false">IF(OR($A268="",$L268=""),"",$L268-$K268)</f>
        <v/>
      </c>
      <c r="N268" s="8" t="str">
        <f aca="false">IF($A268="","",IF($L268="","PENDIENTE",IF(ABS($M268)&lt;1,"OK",IF($M268&lt;0,"FALTANTE","SOBRANTE"))))</f>
        <v/>
      </c>
      <c r="O268" s="6"/>
    </row>
    <row r="269" customFormat="false" ht="15" hidden="false" customHeight="false" outlineLevel="0" collapsed="false">
      <c r="A269" s="44"/>
      <c r="B269" s="6"/>
      <c r="C269" s="40"/>
      <c r="D269" s="35" t="str">
        <f aca="false">IF($A269="","",SUMIFS(VENTAS!$H$6:$H$2005,VENTAS!$A$6:$A$2005,$A269,VENTAS!$M$6:$M$2005,"Efectivo"))</f>
        <v/>
      </c>
      <c r="E269" s="35" t="str">
        <f aca="false">IF($A269="","",SUMIFS(VENTAS!$H$6:$H$2005,VENTAS!$A$6:$A$2005,$A269,VENTAS!$M$6:$M$2005,"SINPE Móvil"))</f>
        <v/>
      </c>
      <c r="F269" s="35" t="str">
        <f aca="false">IF($A269="","",SUMIFS(VENTAS!$H$6:$H$2005,VENTAS!$A$6:$A$2005,$A269,VENTAS!$M$6:$M$2005,"Tarjeta"))</f>
        <v/>
      </c>
      <c r="G269" s="35" t="str">
        <f aca="false">IF($A269="","",SUMIFS(VENTAS!$H$6:$H$2005,VENTAS!$A$6:$A$2005,$A269)-$D269-$E269-$F269)</f>
        <v/>
      </c>
      <c r="H269" s="35" t="str">
        <f aca="false">IF($A269="","",SUM($D269:$G269))</f>
        <v/>
      </c>
      <c r="I269" s="40"/>
      <c r="J269" s="40"/>
      <c r="K269" s="35" t="str">
        <f aca="false">IF($A269="","",N($C269)+$D269-N($I269)-N($J269))</f>
        <v/>
      </c>
      <c r="L269" s="40"/>
      <c r="M269" s="35" t="str">
        <f aca="false">IF(OR($A269="",$L269=""),"",$L269-$K269)</f>
        <v/>
      </c>
      <c r="N269" s="8" t="str">
        <f aca="false">IF($A269="","",IF($L269="","PENDIENTE",IF(ABS($M269)&lt;1,"OK",IF($M269&lt;0,"FALTANTE","SOBRANTE"))))</f>
        <v/>
      </c>
      <c r="O269" s="6"/>
    </row>
    <row r="270" customFormat="false" ht="15" hidden="false" customHeight="false" outlineLevel="0" collapsed="false">
      <c r="A270" s="44"/>
      <c r="B270" s="6"/>
      <c r="C270" s="40"/>
      <c r="D270" s="35" t="str">
        <f aca="false">IF($A270="","",SUMIFS(VENTAS!$H$6:$H$2005,VENTAS!$A$6:$A$2005,$A270,VENTAS!$M$6:$M$2005,"Efectivo"))</f>
        <v/>
      </c>
      <c r="E270" s="35" t="str">
        <f aca="false">IF($A270="","",SUMIFS(VENTAS!$H$6:$H$2005,VENTAS!$A$6:$A$2005,$A270,VENTAS!$M$6:$M$2005,"SINPE Móvil"))</f>
        <v/>
      </c>
      <c r="F270" s="35" t="str">
        <f aca="false">IF($A270="","",SUMIFS(VENTAS!$H$6:$H$2005,VENTAS!$A$6:$A$2005,$A270,VENTAS!$M$6:$M$2005,"Tarjeta"))</f>
        <v/>
      </c>
      <c r="G270" s="35" t="str">
        <f aca="false">IF($A270="","",SUMIFS(VENTAS!$H$6:$H$2005,VENTAS!$A$6:$A$2005,$A270)-$D270-$E270-$F270)</f>
        <v/>
      </c>
      <c r="H270" s="35" t="str">
        <f aca="false">IF($A270="","",SUM($D270:$G270))</f>
        <v/>
      </c>
      <c r="I270" s="40"/>
      <c r="J270" s="40"/>
      <c r="K270" s="35" t="str">
        <f aca="false">IF($A270="","",N($C270)+$D270-N($I270)-N($J270))</f>
        <v/>
      </c>
      <c r="L270" s="40"/>
      <c r="M270" s="35" t="str">
        <f aca="false">IF(OR($A270="",$L270=""),"",$L270-$K270)</f>
        <v/>
      </c>
      <c r="N270" s="8" t="str">
        <f aca="false">IF($A270="","",IF($L270="","PENDIENTE",IF(ABS($M270)&lt;1,"OK",IF($M270&lt;0,"FALTANTE","SOBRANTE"))))</f>
        <v/>
      </c>
      <c r="O270" s="6"/>
    </row>
    <row r="271" customFormat="false" ht="15" hidden="false" customHeight="false" outlineLevel="0" collapsed="false">
      <c r="A271" s="44"/>
      <c r="B271" s="6"/>
      <c r="C271" s="40"/>
      <c r="D271" s="35" t="str">
        <f aca="false">IF($A271="","",SUMIFS(VENTAS!$H$6:$H$2005,VENTAS!$A$6:$A$2005,$A271,VENTAS!$M$6:$M$2005,"Efectivo"))</f>
        <v/>
      </c>
      <c r="E271" s="35" t="str">
        <f aca="false">IF($A271="","",SUMIFS(VENTAS!$H$6:$H$2005,VENTAS!$A$6:$A$2005,$A271,VENTAS!$M$6:$M$2005,"SINPE Móvil"))</f>
        <v/>
      </c>
      <c r="F271" s="35" t="str">
        <f aca="false">IF($A271="","",SUMIFS(VENTAS!$H$6:$H$2005,VENTAS!$A$6:$A$2005,$A271,VENTAS!$M$6:$M$2005,"Tarjeta"))</f>
        <v/>
      </c>
      <c r="G271" s="35" t="str">
        <f aca="false">IF($A271="","",SUMIFS(VENTAS!$H$6:$H$2005,VENTAS!$A$6:$A$2005,$A271)-$D271-$E271-$F271)</f>
        <v/>
      </c>
      <c r="H271" s="35" t="str">
        <f aca="false">IF($A271="","",SUM($D271:$G271))</f>
        <v/>
      </c>
      <c r="I271" s="40"/>
      <c r="J271" s="40"/>
      <c r="K271" s="35" t="str">
        <f aca="false">IF($A271="","",N($C271)+$D271-N($I271)-N($J271))</f>
        <v/>
      </c>
      <c r="L271" s="40"/>
      <c r="M271" s="35" t="str">
        <f aca="false">IF(OR($A271="",$L271=""),"",$L271-$K271)</f>
        <v/>
      </c>
      <c r="N271" s="8" t="str">
        <f aca="false">IF($A271="","",IF($L271="","PENDIENTE",IF(ABS($M271)&lt;1,"OK",IF($M271&lt;0,"FALTANTE","SOBRANTE"))))</f>
        <v/>
      </c>
      <c r="O271" s="6"/>
    </row>
    <row r="272" customFormat="false" ht="15" hidden="false" customHeight="false" outlineLevel="0" collapsed="false">
      <c r="A272" s="44"/>
      <c r="B272" s="6"/>
      <c r="C272" s="40"/>
      <c r="D272" s="35" t="str">
        <f aca="false">IF($A272="","",SUMIFS(VENTAS!$H$6:$H$2005,VENTAS!$A$6:$A$2005,$A272,VENTAS!$M$6:$M$2005,"Efectivo"))</f>
        <v/>
      </c>
      <c r="E272" s="35" t="str">
        <f aca="false">IF($A272="","",SUMIFS(VENTAS!$H$6:$H$2005,VENTAS!$A$6:$A$2005,$A272,VENTAS!$M$6:$M$2005,"SINPE Móvil"))</f>
        <v/>
      </c>
      <c r="F272" s="35" t="str">
        <f aca="false">IF($A272="","",SUMIFS(VENTAS!$H$6:$H$2005,VENTAS!$A$6:$A$2005,$A272,VENTAS!$M$6:$M$2005,"Tarjeta"))</f>
        <v/>
      </c>
      <c r="G272" s="35" t="str">
        <f aca="false">IF($A272="","",SUMIFS(VENTAS!$H$6:$H$2005,VENTAS!$A$6:$A$2005,$A272)-$D272-$E272-$F272)</f>
        <v/>
      </c>
      <c r="H272" s="35" t="str">
        <f aca="false">IF($A272="","",SUM($D272:$G272))</f>
        <v/>
      </c>
      <c r="I272" s="40"/>
      <c r="J272" s="40"/>
      <c r="K272" s="35" t="str">
        <f aca="false">IF($A272="","",N($C272)+$D272-N($I272)-N($J272))</f>
        <v/>
      </c>
      <c r="L272" s="40"/>
      <c r="M272" s="35" t="str">
        <f aca="false">IF(OR($A272="",$L272=""),"",$L272-$K272)</f>
        <v/>
      </c>
      <c r="N272" s="8" t="str">
        <f aca="false">IF($A272="","",IF($L272="","PENDIENTE",IF(ABS($M272)&lt;1,"OK",IF($M272&lt;0,"FALTANTE","SOBRANTE"))))</f>
        <v/>
      </c>
      <c r="O272" s="6"/>
    </row>
    <row r="273" customFormat="false" ht="15" hidden="false" customHeight="false" outlineLevel="0" collapsed="false">
      <c r="A273" s="44"/>
      <c r="B273" s="6"/>
      <c r="C273" s="40"/>
      <c r="D273" s="35" t="str">
        <f aca="false">IF($A273="","",SUMIFS(VENTAS!$H$6:$H$2005,VENTAS!$A$6:$A$2005,$A273,VENTAS!$M$6:$M$2005,"Efectivo"))</f>
        <v/>
      </c>
      <c r="E273" s="35" t="str">
        <f aca="false">IF($A273="","",SUMIFS(VENTAS!$H$6:$H$2005,VENTAS!$A$6:$A$2005,$A273,VENTAS!$M$6:$M$2005,"SINPE Móvil"))</f>
        <v/>
      </c>
      <c r="F273" s="35" t="str">
        <f aca="false">IF($A273="","",SUMIFS(VENTAS!$H$6:$H$2005,VENTAS!$A$6:$A$2005,$A273,VENTAS!$M$6:$M$2005,"Tarjeta"))</f>
        <v/>
      </c>
      <c r="G273" s="35" t="str">
        <f aca="false">IF($A273="","",SUMIFS(VENTAS!$H$6:$H$2005,VENTAS!$A$6:$A$2005,$A273)-$D273-$E273-$F273)</f>
        <v/>
      </c>
      <c r="H273" s="35" t="str">
        <f aca="false">IF($A273="","",SUM($D273:$G273))</f>
        <v/>
      </c>
      <c r="I273" s="40"/>
      <c r="J273" s="40"/>
      <c r="K273" s="35" t="str">
        <f aca="false">IF($A273="","",N($C273)+$D273-N($I273)-N($J273))</f>
        <v/>
      </c>
      <c r="L273" s="40"/>
      <c r="M273" s="35" t="str">
        <f aca="false">IF(OR($A273="",$L273=""),"",$L273-$K273)</f>
        <v/>
      </c>
      <c r="N273" s="8" t="str">
        <f aca="false">IF($A273="","",IF($L273="","PENDIENTE",IF(ABS($M273)&lt;1,"OK",IF($M273&lt;0,"FALTANTE","SOBRANTE"))))</f>
        <v/>
      </c>
      <c r="O273" s="6"/>
    </row>
    <row r="274" customFormat="false" ht="15" hidden="false" customHeight="false" outlineLevel="0" collapsed="false">
      <c r="A274" s="44"/>
      <c r="B274" s="6"/>
      <c r="C274" s="40"/>
      <c r="D274" s="35" t="str">
        <f aca="false">IF($A274="","",SUMIFS(VENTAS!$H$6:$H$2005,VENTAS!$A$6:$A$2005,$A274,VENTAS!$M$6:$M$2005,"Efectivo"))</f>
        <v/>
      </c>
      <c r="E274" s="35" t="str">
        <f aca="false">IF($A274="","",SUMIFS(VENTAS!$H$6:$H$2005,VENTAS!$A$6:$A$2005,$A274,VENTAS!$M$6:$M$2005,"SINPE Móvil"))</f>
        <v/>
      </c>
      <c r="F274" s="35" t="str">
        <f aca="false">IF($A274="","",SUMIFS(VENTAS!$H$6:$H$2005,VENTAS!$A$6:$A$2005,$A274,VENTAS!$M$6:$M$2005,"Tarjeta"))</f>
        <v/>
      </c>
      <c r="G274" s="35" t="str">
        <f aca="false">IF($A274="","",SUMIFS(VENTAS!$H$6:$H$2005,VENTAS!$A$6:$A$2005,$A274)-$D274-$E274-$F274)</f>
        <v/>
      </c>
      <c r="H274" s="35" t="str">
        <f aca="false">IF($A274="","",SUM($D274:$G274))</f>
        <v/>
      </c>
      <c r="I274" s="40"/>
      <c r="J274" s="40"/>
      <c r="K274" s="35" t="str">
        <f aca="false">IF($A274="","",N($C274)+$D274-N($I274)-N($J274))</f>
        <v/>
      </c>
      <c r="L274" s="40"/>
      <c r="M274" s="35" t="str">
        <f aca="false">IF(OR($A274="",$L274=""),"",$L274-$K274)</f>
        <v/>
      </c>
      <c r="N274" s="8" t="str">
        <f aca="false">IF($A274="","",IF($L274="","PENDIENTE",IF(ABS($M274)&lt;1,"OK",IF($M274&lt;0,"FALTANTE","SOBRANTE"))))</f>
        <v/>
      </c>
      <c r="O274" s="6"/>
    </row>
    <row r="275" customFormat="false" ht="15" hidden="false" customHeight="false" outlineLevel="0" collapsed="false">
      <c r="A275" s="44"/>
      <c r="B275" s="6"/>
      <c r="C275" s="40"/>
      <c r="D275" s="35" t="str">
        <f aca="false">IF($A275="","",SUMIFS(VENTAS!$H$6:$H$2005,VENTAS!$A$6:$A$2005,$A275,VENTAS!$M$6:$M$2005,"Efectivo"))</f>
        <v/>
      </c>
      <c r="E275" s="35" t="str">
        <f aca="false">IF($A275="","",SUMIFS(VENTAS!$H$6:$H$2005,VENTAS!$A$6:$A$2005,$A275,VENTAS!$M$6:$M$2005,"SINPE Móvil"))</f>
        <v/>
      </c>
      <c r="F275" s="35" t="str">
        <f aca="false">IF($A275="","",SUMIFS(VENTAS!$H$6:$H$2005,VENTAS!$A$6:$A$2005,$A275,VENTAS!$M$6:$M$2005,"Tarjeta"))</f>
        <v/>
      </c>
      <c r="G275" s="35" t="str">
        <f aca="false">IF($A275="","",SUMIFS(VENTAS!$H$6:$H$2005,VENTAS!$A$6:$A$2005,$A275)-$D275-$E275-$F275)</f>
        <v/>
      </c>
      <c r="H275" s="35" t="str">
        <f aca="false">IF($A275="","",SUM($D275:$G275))</f>
        <v/>
      </c>
      <c r="I275" s="40"/>
      <c r="J275" s="40"/>
      <c r="K275" s="35" t="str">
        <f aca="false">IF($A275="","",N($C275)+$D275-N($I275)-N($J275))</f>
        <v/>
      </c>
      <c r="L275" s="40"/>
      <c r="M275" s="35" t="str">
        <f aca="false">IF(OR($A275="",$L275=""),"",$L275-$K275)</f>
        <v/>
      </c>
      <c r="N275" s="8" t="str">
        <f aca="false">IF($A275="","",IF($L275="","PENDIENTE",IF(ABS($M275)&lt;1,"OK",IF($M275&lt;0,"FALTANTE","SOBRANTE"))))</f>
        <v/>
      </c>
      <c r="O275" s="6"/>
    </row>
    <row r="276" customFormat="false" ht="15" hidden="false" customHeight="false" outlineLevel="0" collapsed="false">
      <c r="A276" s="44"/>
      <c r="B276" s="6"/>
      <c r="C276" s="40"/>
      <c r="D276" s="35" t="str">
        <f aca="false">IF($A276="","",SUMIFS(VENTAS!$H$6:$H$2005,VENTAS!$A$6:$A$2005,$A276,VENTAS!$M$6:$M$2005,"Efectivo"))</f>
        <v/>
      </c>
      <c r="E276" s="35" t="str">
        <f aca="false">IF($A276="","",SUMIFS(VENTAS!$H$6:$H$2005,VENTAS!$A$6:$A$2005,$A276,VENTAS!$M$6:$M$2005,"SINPE Móvil"))</f>
        <v/>
      </c>
      <c r="F276" s="35" t="str">
        <f aca="false">IF($A276="","",SUMIFS(VENTAS!$H$6:$H$2005,VENTAS!$A$6:$A$2005,$A276,VENTAS!$M$6:$M$2005,"Tarjeta"))</f>
        <v/>
      </c>
      <c r="G276" s="35" t="str">
        <f aca="false">IF($A276="","",SUMIFS(VENTAS!$H$6:$H$2005,VENTAS!$A$6:$A$2005,$A276)-$D276-$E276-$F276)</f>
        <v/>
      </c>
      <c r="H276" s="35" t="str">
        <f aca="false">IF($A276="","",SUM($D276:$G276))</f>
        <v/>
      </c>
      <c r="I276" s="40"/>
      <c r="J276" s="40"/>
      <c r="K276" s="35" t="str">
        <f aca="false">IF($A276="","",N($C276)+$D276-N($I276)-N($J276))</f>
        <v/>
      </c>
      <c r="L276" s="40"/>
      <c r="M276" s="35" t="str">
        <f aca="false">IF(OR($A276="",$L276=""),"",$L276-$K276)</f>
        <v/>
      </c>
      <c r="N276" s="8" t="str">
        <f aca="false">IF($A276="","",IF($L276="","PENDIENTE",IF(ABS($M276)&lt;1,"OK",IF($M276&lt;0,"FALTANTE","SOBRANTE"))))</f>
        <v/>
      </c>
      <c r="O276" s="6"/>
    </row>
    <row r="277" customFormat="false" ht="15" hidden="false" customHeight="false" outlineLevel="0" collapsed="false">
      <c r="A277" s="44"/>
      <c r="B277" s="6"/>
      <c r="C277" s="40"/>
      <c r="D277" s="35" t="str">
        <f aca="false">IF($A277="","",SUMIFS(VENTAS!$H$6:$H$2005,VENTAS!$A$6:$A$2005,$A277,VENTAS!$M$6:$M$2005,"Efectivo"))</f>
        <v/>
      </c>
      <c r="E277" s="35" t="str">
        <f aca="false">IF($A277="","",SUMIFS(VENTAS!$H$6:$H$2005,VENTAS!$A$6:$A$2005,$A277,VENTAS!$M$6:$M$2005,"SINPE Móvil"))</f>
        <v/>
      </c>
      <c r="F277" s="35" t="str">
        <f aca="false">IF($A277="","",SUMIFS(VENTAS!$H$6:$H$2005,VENTAS!$A$6:$A$2005,$A277,VENTAS!$M$6:$M$2005,"Tarjeta"))</f>
        <v/>
      </c>
      <c r="G277" s="35" t="str">
        <f aca="false">IF($A277="","",SUMIFS(VENTAS!$H$6:$H$2005,VENTAS!$A$6:$A$2005,$A277)-$D277-$E277-$F277)</f>
        <v/>
      </c>
      <c r="H277" s="35" t="str">
        <f aca="false">IF($A277="","",SUM($D277:$G277))</f>
        <v/>
      </c>
      <c r="I277" s="40"/>
      <c r="J277" s="40"/>
      <c r="K277" s="35" t="str">
        <f aca="false">IF($A277="","",N($C277)+$D277-N($I277)-N($J277))</f>
        <v/>
      </c>
      <c r="L277" s="40"/>
      <c r="M277" s="35" t="str">
        <f aca="false">IF(OR($A277="",$L277=""),"",$L277-$K277)</f>
        <v/>
      </c>
      <c r="N277" s="8" t="str">
        <f aca="false">IF($A277="","",IF($L277="","PENDIENTE",IF(ABS($M277)&lt;1,"OK",IF($M277&lt;0,"FALTANTE","SOBRANTE"))))</f>
        <v/>
      </c>
      <c r="O277" s="6"/>
    </row>
    <row r="278" customFormat="false" ht="15" hidden="false" customHeight="false" outlineLevel="0" collapsed="false">
      <c r="A278" s="44"/>
      <c r="B278" s="6"/>
      <c r="C278" s="40"/>
      <c r="D278" s="35" t="str">
        <f aca="false">IF($A278="","",SUMIFS(VENTAS!$H$6:$H$2005,VENTAS!$A$6:$A$2005,$A278,VENTAS!$M$6:$M$2005,"Efectivo"))</f>
        <v/>
      </c>
      <c r="E278" s="35" t="str">
        <f aca="false">IF($A278="","",SUMIFS(VENTAS!$H$6:$H$2005,VENTAS!$A$6:$A$2005,$A278,VENTAS!$M$6:$M$2005,"SINPE Móvil"))</f>
        <v/>
      </c>
      <c r="F278" s="35" t="str">
        <f aca="false">IF($A278="","",SUMIFS(VENTAS!$H$6:$H$2005,VENTAS!$A$6:$A$2005,$A278,VENTAS!$M$6:$M$2005,"Tarjeta"))</f>
        <v/>
      </c>
      <c r="G278" s="35" t="str">
        <f aca="false">IF($A278="","",SUMIFS(VENTAS!$H$6:$H$2005,VENTAS!$A$6:$A$2005,$A278)-$D278-$E278-$F278)</f>
        <v/>
      </c>
      <c r="H278" s="35" t="str">
        <f aca="false">IF($A278="","",SUM($D278:$G278))</f>
        <v/>
      </c>
      <c r="I278" s="40"/>
      <c r="J278" s="40"/>
      <c r="K278" s="35" t="str">
        <f aca="false">IF($A278="","",N($C278)+$D278-N($I278)-N($J278))</f>
        <v/>
      </c>
      <c r="L278" s="40"/>
      <c r="M278" s="35" t="str">
        <f aca="false">IF(OR($A278="",$L278=""),"",$L278-$K278)</f>
        <v/>
      </c>
      <c r="N278" s="8" t="str">
        <f aca="false">IF($A278="","",IF($L278="","PENDIENTE",IF(ABS($M278)&lt;1,"OK",IF($M278&lt;0,"FALTANTE","SOBRANTE"))))</f>
        <v/>
      </c>
      <c r="O278" s="6"/>
    </row>
    <row r="279" customFormat="false" ht="15" hidden="false" customHeight="false" outlineLevel="0" collapsed="false">
      <c r="A279" s="44"/>
      <c r="B279" s="6"/>
      <c r="C279" s="40"/>
      <c r="D279" s="35" t="str">
        <f aca="false">IF($A279="","",SUMIFS(VENTAS!$H$6:$H$2005,VENTAS!$A$6:$A$2005,$A279,VENTAS!$M$6:$M$2005,"Efectivo"))</f>
        <v/>
      </c>
      <c r="E279" s="35" t="str">
        <f aca="false">IF($A279="","",SUMIFS(VENTAS!$H$6:$H$2005,VENTAS!$A$6:$A$2005,$A279,VENTAS!$M$6:$M$2005,"SINPE Móvil"))</f>
        <v/>
      </c>
      <c r="F279" s="35" t="str">
        <f aca="false">IF($A279="","",SUMIFS(VENTAS!$H$6:$H$2005,VENTAS!$A$6:$A$2005,$A279,VENTAS!$M$6:$M$2005,"Tarjeta"))</f>
        <v/>
      </c>
      <c r="G279" s="35" t="str">
        <f aca="false">IF($A279="","",SUMIFS(VENTAS!$H$6:$H$2005,VENTAS!$A$6:$A$2005,$A279)-$D279-$E279-$F279)</f>
        <v/>
      </c>
      <c r="H279" s="35" t="str">
        <f aca="false">IF($A279="","",SUM($D279:$G279))</f>
        <v/>
      </c>
      <c r="I279" s="40"/>
      <c r="J279" s="40"/>
      <c r="K279" s="35" t="str">
        <f aca="false">IF($A279="","",N($C279)+$D279-N($I279)-N($J279))</f>
        <v/>
      </c>
      <c r="L279" s="40"/>
      <c r="M279" s="35" t="str">
        <f aca="false">IF(OR($A279="",$L279=""),"",$L279-$K279)</f>
        <v/>
      </c>
      <c r="N279" s="8" t="str">
        <f aca="false">IF($A279="","",IF($L279="","PENDIENTE",IF(ABS($M279)&lt;1,"OK",IF($M279&lt;0,"FALTANTE","SOBRANTE"))))</f>
        <v/>
      </c>
      <c r="O279" s="6"/>
    </row>
    <row r="280" customFormat="false" ht="15" hidden="false" customHeight="false" outlineLevel="0" collapsed="false">
      <c r="A280" s="44"/>
      <c r="B280" s="6"/>
      <c r="C280" s="40"/>
      <c r="D280" s="35" t="str">
        <f aca="false">IF($A280="","",SUMIFS(VENTAS!$H$6:$H$2005,VENTAS!$A$6:$A$2005,$A280,VENTAS!$M$6:$M$2005,"Efectivo"))</f>
        <v/>
      </c>
      <c r="E280" s="35" t="str">
        <f aca="false">IF($A280="","",SUMIFS(VENTAS!$H$6:$H$2005,VENTAS!$A$6:$A$2005,$A280,VENTAS!$M$6:$M$2005,"SINPE Móvil"))</f>
        <v/>
      </c>
      <c r="F280" s="35" t="str">
        <f aca="false">IF($A280="","",SUMIFS(VENTAS!$H$6:$H$2005,VENTAS!$A$6:$A$2005,$A280,VENTAS!$M$6:$M$2005,"Tarjeta"))</f>
        <v/>
      </c>
      <c r="G280" s="35" t="str">
        <f aca="false">IF($A280="","",SUMIFS(VENTAS!$H$6:$H$2005,VENTAS!$A$6:$A$2005,$A280)-$D280-$E280-$F280)</f>
        <v/>
      </c>
      <c r="H280" s="35" t="str">
        <f aca="false">IF($A280="","",SUM($D280:$G280))</f>
        <v/>
      </c>
      <c r="I280" s="40"/>
      <c r="J280" s="40"/>
      <c r="K280" s="35" t="str">
        <f aca="false">IF($A280="","",N($C280)+$D280-N($I280)-N($J280))</f>
        <v/>
      </c>
      <c r="L280" s="40"/>
      <c r="M280" s="35" t="str">
        <f aca="false">IF(OR($A280="",$L280=""),"",$L280-$K280)</f>
        <v/>
      </c>
      <c r="N280" s="8" t="str">
        <f aca="false">IF($A280="","",IF($L280="","PENDIENTE",IF(ABS($M280)&lt;1,"OK",IF($M280&lt;0,"FALTANTE","SOBRANTE"))))</f>
        <v/>
      </c>
      <c r="O280" s="6"/>
    </row>
    <row r="281" customFormat="false" ht="15" hidden="false" customHeight="false" outlineLevel="0" collapsed="false">
      <c r="A281" s="44"/>
      <c r="B281" s="6"/>
      <c r="C281" s="40"/>
      <c r="D281" s="35" t="str">
        <f aca="false">IF($A281="","",SUMIFS(VENTAS!$H$6:$H$2005,VENTAS!$A$6:$A$2005,$A281,VENTAS!$M$6:$M$2005,"Efectivo"))</f>
        <v/>
      </c>
      <c r="E281" s="35" t="str">
        <f aca="false">IF($A281="","",SUMIFS(VENTAS!$H$6:$H$2005,VENTAS!$A$6:$A$2005,$A281,VENTAS!$M$6:$M$2005,"SINPE Móvil"))</f>
        <v/>
      </c>
      <c r="F281" s="35" t="str">
        <f aca="false">IF($A281="","",SUMIFS(VENTAS!$H$6:$H$2005,VENTAS!$A$6:$A$2005,$A281,VENTAS!$M$6:$M$2005,"Tarjeta"))</f>
        <v/>
      </c>
      <c r="G281" s="35" t="str">
        <f aca="false">IF($A281="","",SUMIFS(VENTAS!$H$6:$H$2005,VENTAS!$A$6:$A$2005,$A281)-$D281-$E281-$F281)</f>
        <v/>
      </c>
      <c r="H281" s="35" t="str">
        <f aca="false">IF($A281="","",SUM($D281:$G281))</f>
        <v/>
      </c>
      <c r="I281" s="40"/>
      <c r="J281" s="40"/>
      <c r="K281" s="35" t="str">
        <f aca="false">IF($A281="","",N($C281)+$D281-N($I281)-N($J281))</f>
        <v/>
      </c>
      <c r="L281" s="40"/>
      <c r="M281" s="35" t="str">
        <f aca="false">IF(OR($A281="",$L281=""),"",$L281-$K281)</f>
        <v/>
      </c>
      <c r="N281" s="8" t="str">
        <f aca="false">IF($A281="","",IF($L281="","PENDIENTE",IF(ABS($M281)&lt;1,"OK",IF($M281&lt;0,"FALTANTE","SOBRANTE"))))</f>
        <v/>
      </c>
      <c r="O281" s="6"/>
    </row>
    <row r="282" customFormat="false" ht="15" hidden="false" customHeight="false" outlineLevel="0" collapsed="false">
      <c r="A282" s="44"/>
      <c r="B282" s="6"/>
      <c r="C282" s="40"/>
      <c r="D282" s="35" t="str">
        <f aca="false">IF($A282="","",SUMIFS(VENTAS!$H$6:$H$2005,VENTAS!$A$6:$A$2005,$A282,VENTAS!$M$6:$M$2005,"Efectivo"))</f>
        <v/>
      </c>
      <c r="E282" s="35" t="str">
        <f aca="false">IF($A282="","",SUMIFS(VENTAS!$H$6:$H$2005,VENTAS!$A$6:$A$2005,$A282,VENTAS!$M$6:$M$2005,"SINPE Móvil"))</f>
        <v/>
      </c>
      <c r="F282" s="35" t="str">
        <f aca="false">IF($A282="","",SUMIFS(VENTAS!$H$6:$H$2005,VENTAS!$A$6:$A$2005,$A282,VENTAS!$M$6:$M$2005,"Tarjeta"))</f>
        <v/>
      </c>
      <c r="G282" s="35" t="str">
        <f aca="false">IF($A282="","",SUMIFS(VENTAS!$H$6:$H$2005,VENTAS!$A$6:$A$2005,$A282)-$D282-$E282-$F282)</f>
        <v/>
      </c>
      <c r="H282" s="35" t="str">
        <f aca="false">IF($A282="","",SUM($D282:$G282))</f>
        <v/>
      </c>
      <c r="I282" s="40"/>
      <c r="J282" s="40"/>
      <c r="K282" s="35" t="str">
        <f aca="false">IF($A282="","",N($C282)+$D282-N($I282)-N($J282))</f>
        <v/>
      </c>
      <c r="L282" s="40"/>
      <c r="M282" s="35" t="str">
        <f aca="false">IF(OR($A282="",$L282=""),"",$L282-$K282)</f>
        <v/>
      </c>
      <c r="N282" s="8" t="str">
        <f aca="false">IF($A282="","",IF($L282="","PENDIENTE",IF(ABS($M282)&lt;1,"OK",IF($M282&lt;0,"FALTANTE","SOBRANTE"))))</f>
        <v/>
      </c>
      <c r="O282" s="6"/>
    </row>
    <row r="283" customFormat="false" ht="15" hidden="false" customHeight="false" outlineLevel="0" collapsed="false">
      <c r="A283" s="44"/>
      <c r="B283" s="6"/>
      <c r="C283" s="40"/>
      <c r="D283" s="35" t="str">
        <f aca="false">IF($A283="","",SUMIFS(VENTAS!$H$6:$H$2005,VENTAS!$A$6:$A$2005,$A283,VENTAS!$M$6:$M$2005,"Efectivo"))</f>
        <v/>
      </c>
      <c r="E283" s="35" t="str">
        <f aca="false">IF($A283="","",SUMIFS(VENTAS!$H$6:$H$2005,VENTAS!$A$6:$A$2005,$A283,VENTAS!$M$6:$M$2005,"SINPE Móvil"))</f>
        <v/>
      </c>
      <c r="F283" s="35" t="str">
        <f aca="false">IF($A283="","",SUMIFS(VENTAS!$H$6:$H$2005,VENTAS!$A$6:$A$2005,$A283,VENTAS!$M$6:$M$2005,"Tarjeta"))</f>
        <v/>
      </c>
      <c r="G283" s="35" t="str">
        <f aca="false">IF($A283="","",SUMIFS(VENTAS!$H$6:$H$2005,VENTAS!$A$6:$A$2005,$A283)-$D283-$E283-$F283)</f>
        <v/>
      </c>
      <c r="H283" s="35" t="str">
        <f aca="false">IF($A283="","",SUM($D283:$G283))</f>
        <v/>
      </c>
      <c r="I283" s="40"/>
      <c r="J283" s="40"/>
      <c r="K283" s="35" t="str">
        <f aca="false">IF($A283="","",N($C283)+$D283-N($I283)-N($J283))</f>
        <v/>
      </c>
      <c r="L283" s="40"/>
      <c r="M283" s="35" t="str">
        <f aca="false">IF(OR($A283="",$L283=""),"",$L283-$K283)</f>
        <v/>
      </c>
      <c r="N283" s="8" t="str">
        <f aca="false">IF($A283="","",IF($L283="","PENDIENTE",IF(ABS($M283)&lt;1,"OK",IF($M283&lt;0,"FALTANTE","SOBRANTE"))))</f>
        <v/>
      </c>
      <c r="O283" s="6"/>
    </row>
    <row r="284" customFormat="false" ht="15" hidden="false" customHeight="false" outlineLevel="0" collapsed="false">
      <c r="A284" s="44"/>
      <c r="B284" s="6"/>
      <c r="C284" s="40"/>
      <c r="D284" s="35" t="str">
        <f aca="false">IF($A284="","",SUMIFS(VENTAS!$H$6:$H$2005,VENTAS!$A$6:$A$2005,$A284,VENTAS!$M$6:$M$2005,"Efectivo"))</f>
        <v/>
      </c>
      <c r="E284" s="35" t="str">
        <f aca="false">IF($A284="","",SUMIFS(VENTAS!$H$6:$H$2005,VENTAS!$A$6:$A$2005,$A284,VENTAS!$M$6:$M$2005,"SINPE Móvil"))</f>
        <v/>
      </c>
      <c r="F284" s="35" t="str">
        <f aca="false">IF($A284="","",SUMIFS(VENTAS!$H$6:$H$2005,VENTAS!$A$6:$A$2005,$A284,VENTAS!$M$6:$M$2005,"Tarjeta"))</f>
        <v/>
      </c>
      <c r="G284" s="35" t="str">
        <f aca="false">IF($A284="","",SUMIFS(VENTAS!$H$6:$H$2005,VENTAS!$A$6:$A$2005,$A284)-$D284-$E284-$F284)</f>
        <v/>
      </c>
      <c r="H284" s="35" t="str">
        <f aca="false">IF($A284="","",SUM($D284:$G284))</f>
        <v/>
      </c>
      <c r="I284" s="40"/>
      <c r="J284" s="40"/>
      <c r="K284" s="35" t="str">
        <f aca="false">IF($A284="","",N($C284)+$D284-N($I284)-N($J284))</f>
        <v/>
      </c>
      <c r="L284" s="40"/>
      <c r="M284" s="35" t="str">
        <f aca="false">IF(OR($A284="",$L284=""),"",$L284-$K284)</f>
        <v/>
      </c>
      <c r="N284" s="8" t="str">
        <f aca="false">IF($A284="","",IF($L284="","PENDIENTE",IF(ABS($M284)&lt;1,"OK",IF($M284&lt;0,"FALTANTE","SOBRANTE"))))</f>
        <v/>
      </c>
      <c r="O284" s="6"/>
    </row>
    <row r="285" customFormat="false" ht="15" hidden="false" customHeight="false" outlineLevel="0" collapsed="false">
      <c r="A285" s="44"/>
      <c r="B285" s="6"/>
      <c r="C285" s="40"/>
      <c r="D285" s="35" t="str">
        <f aca="false">IF($A285="","",SUMIFS(VENTAS!$H$6:$H$2005,VENTAS!$A$6:$A$2005,$A285,VENTAS!$M$6:$M$2005,"Efectivo"))</f>
        <v/>
      </c>
      <c r="E285" s="35" t="str">
        <f aca="false">IF($A285="","",SUMIFS(VENTAS!$H$6:$H$2005,VENTAS!$A$6:$A$2005,$A285,VENTAS!$M$6:$M$2005,"SINPE Móvil"))</f>
        <v/>
      </c>
      <c r="F285" s="35" t="str">
        <f aca="false">IF($A285="","",SUMIFS(VENTAS!$H$6:$H$2005,VENTAS!$A$6:$A$2005,$A285,VENTAS!$M$6:$M$2005,"Tarjeta"))</f>
        <v/>
      </c>
      <c r="G285" s="35" t="str">
        <f aca="false">IF($A285="","",SUMIFS(VENTAS!$H$6:$H$2005,VENTAS!$A$6:$A$2005,$A285)-$D285-$E285-$F285)</f>
        <v/>
      </c>
      <c r="H285" s="35" t="str">
        <f aca="false">IF($A285="","",SUM($D285:$G285))</f>
        <v/>
      </c>
      <c r="I285" s="40"/>
      <c r="J285" s="40"/>
      <c r="K285" s="35" t="str">
        <f aca="false">IF($A285="","",N($C285)+$D285-N($I285)-N($J285))</f>
        <v/>
      </c>
      <c r="L285" s="40"/>
      <c r="M285" s="35" t="str">
        <f aca="false">IF(OR($A285="",$L285=""),"",$L285-$K285)</f>
        <v/>
      </c>
      <c r="N285" s="8" t="str">
        <f aca="false">IF($A285="","",IF($L285="","PENDIENTE",IF(ABS($M285)&lt;1,"OK",IF($M285&lt;0,"FALTANTE","SOBRANTE"))))</f>
        <v/>
      </c>
      <c r="O285" s="6"/>
    </row>
    <row r="286" customFormat="false" ht="15" hidden="false" customHeight="false" outlineLevel="0" collapsed="false">
      <c r="A286" s="44"/>
      <c r="B286" s="6"/>
      <c r="C286" s="40"/>
      <c r="D286" s="35" t="str">
        <f aca="false">IF($A286="","",SUMIFS(VENTAS!$H$6:$H$2005,VENTAS!$A$6:$A$2005,$A286,VENTAS!$M$6:$M$2005,"Efectivo"))</f>
        <v/>
      </c>
      <c r="E286" s="35" t="str">
        <f aca="false">IF($A286="","",SUMIFS(VENTAS!$H$6:$H$2005,VENTAS!$A$6:$A$2005,$A286,VENTAS!$M$6:$M$2005,"SINPE Móvil"))</f>
        <v/>
      </c>
      <c r="F286" s="35" t="str">
        <f aca="false">IF($A286="","",SUMIFS(VENTAS!$H$6:$H$2005,VENTAS!$A$6:$A$2005,$A286,VENTAS!$M$6:$M$2005,"Tarjeta"))</f>
        <v/>
      </c>
      <c r="G286" s="35" t="str">
        <f aca="false">IF($A286="","",SUMIFS(VENTAS!$H$6:$H$2005,VENTAS!$A$6:$A$2005,$A286)-$D286-$E286-$F286)</f>
        <v/>
      </c>
      <c r="H286" s="35" t="str">
        <f aca="false">IF($A286="","",SUM($D286:$G286))</f>
        <v/>
      </c>
      <c r="I286" s="40"/>
      <c r="J286" s="40"/>
      <c r="K286" s="35" t="str">
        <f aca="false">IF($A286="","",N($C286)+$D286-N($I286)-N($J286))</f>
        <v/>
      </c>
      <c r="L286" s="40"/>
      <c r="M286" s="35" t="str">
        <f aca="false">IF(OR($A286="",$L286=""),"",$L286-$K286)</f>
        <v/>
      </c>
      <c r="N286" s="8" t="str">
        <f aca="false">IF($A286="","",IF($L286="","PENDIENTE",IF(ABS($M286)&lt;1,"OK",IF($M286&lt;0,"FALTANTE","SOBRANTE"))))</f>
        <v/>
      </c>
      <c r="O286" s="6"/>
    </row>
    <row r="287" customFormat="false" ht="15" hidden="false" customHeight="false" outlineLevel="0" collapsed="false">
      <c r="A287" s="44"/>
      <c r="B287" s="6"/>
      <c r="C287" s="40"/>
      <c r="D287" s="35" t="str">
        <f aca="false">IF($A287="","",SUMIFS(VENTAS!$H$6:$H$2005,VENTAS!$A$6:$A$2005,$A287,VENTAS!$M$6:$M$2005,"Efectivo"))</f>
        <v/>
      </c>
      <c r="E287" s="35" t="str">
        <f aca="false">IF($A287="","",SUMIFS(VENTAS!$H$6:$H$2005,VENTAS!$A$6:$A$2005,$A287,VENTAS!$M$6:$M$2005,"SINPE Móvil"))</f>
        <v/>
      </c>
      <c r="F287" s="35" t="str">
        <f aca="false">IF($A287="","",SUMIFS(VENTAS!$H$6:$H$2005,VENTAS!$A$6:$A$2005,$A287,VENTAS!$M$6:$M$2005,"Tarjeta"))</f>
        <v/>
      </c>
      <c r="G287" s="35" t="str">
        <f aca="false">IF($A287="","",SUMIFS(VENTAS!$H$6:$H$2005,VENTAS!$A$6:$A$2005,$A287)-$D287-$E287-$F287)</f>
        <v/>
      </c>
      <c r="H287" s="35" t="str">
        <f aca="false">IF($A287="","",SUM($D287:$G287))</f>
        <v/>
      </c>
      <c r="I287" s="40"/>
      <c r="J287" s="40"/>
      <c r="K287" s="35" t="str">
        <f aca="false">IF($A287="","",N($C287)+$D287-N($I287)-N($J287))</f>
        <v/>
      </c>
      <c r="L287" s="40"/>
      <c r="M287" s="35" t="str">
        <f aca="false">IF(OR($A287="",$L287=""),"",$L287-$K287)</f>
        <v/>
      </c>
      <c r="N287" s="8" t="str">
        <f aca="false">IF($A287="","",IF($L287="","PENDIENTE",IF(ABS($M287)&lt;1,"OK",IF($M287&lt;0,"FALTANTE","SOBRANTE"))))</f>
        <v/>
      </c>
      <c r="O287" s="6"/>
    </row>
    <row r="288" customFormat="false" ht="15" hidden="false" customHeight="false" outlineLevel="0" collapsed="false">
      <c r="A288" s="44"/>
      <c r="B288" s="6"/>
      <c r="C288" s="40"/>
      <c r="D288" s="35" t="str">
        <f aca="false">IF($A288="","",SUMIFS(VENTAS!$H$6:$H$2005,VENTAS!$A$6:$A$2005,$A288,VENTAS!$M$6:$M$2005,"Efectivo"))</f>
        <v/>
      </c>
      <c r="E288" s="35" t="str">
        <f aca="false">IF($A288="","",SUMIFS(VENTAS!$H$6:$H$2005,VENTAS!$A$6:$A$2005,$A288,VENTAS!$M$6:$M$2005,"SINPE Móvil"))</f>
        <v/>
      </c>
      <c r="F288" s="35" t="str">
        <f aca="false">IF($A288="","",SUMIFS(VENTAS!$H$6:$H$2005,VENTAS!$A$6:$A$2005,$A288,VENTAS!$M$6:$M$2005,"Tarjeta"))</f>
        <v/>
      </c>
      <c r="G288" s="35" t="str">
        <f aca="false">IF($A288="","",SUMIFS(VENTAS!$H$6:$H$2005,VENTAS!$A$6:$A$2005,$A288)-$D288-$E288-$F288)</f>
        <v/>
      </c>
      <c r="H288" s="35" t="str">
        <f aca="false">IF($A288="","",SUM($D288:$G288))</f>
        <v/>
      </c>
      <c r="I288" s="40"/>
      <c r="J288" s="40"/>
      <c r="K288" s="35" t="str">
        <f aca="false">IF($A288="","",N($C288)+$D288-N($I288)-N($J288))</f>
        <v/>
      </c>
      <c r="L288" s="40"/>
      <c r="M288" s="35" t="str">
        <f aca="false">IF(OR($A288="",$L288=""),"",$L288-$K288)</f>
        <v/>
      </c>
      <c r="N288" s="8" t="str">
        <f aca="false">IF($A288="","",IF($L288="","PENDIENTE",IF(ABS($M288)&lt;1,"OK",IF($M288&lt;0,"FALTANTE","SOBRANTE"))))</f>
        <v/>
      </c>
      <c r="O288" s="6"/>
    </row>
    <row r="289" customFormat="false" ht="15" hidden="false" customHeight="false" outlineLevel="0" collapsed="false">
      <c r="A289" s="44"/>
      <c r="B289" s="6"/>
      <c r="C289" s="40"/>
      <c r="D289" s="35" t="str">
        <f aca="false">IF($A289="","",SUMIFS(VENTAS!$H$6:$H$2005,VENTAS!$A$6:$A$2005,$A289,VENTAS!$M$6:$M$2005,"Efectivo"))</f>
        <v/>
      </c>
      <c r="E289" s="35" t="str">
        <f aca="false">IF($A289="","",SUMIFS(VENTAS!$H$6:$H$2005,VENTAS!$A$6:$A$2005,$A289,VENTAS!$M$6:$M$2005,"SINPE Móvil"))</f>
        <v/>
      </c>
      <c r="F289" s="35" t="str">
        <f aca="false">IF($A289="","",SUMIFS(VENTAS!$H$6:$H$2005,VENTAS!$A$6:$A$2005,$A289,VENTAS!$M$6:$M$2005,"Tarjeta"))</f>
        <v/>
      </c>
      <c r="G289" s="35" t="str">
        <f aca="false">IF($A289="","",SUMIFS(VENTAS!$H$6:$H$2005,VENTAS!$A$6:$A$2005,$A289)-$D289-$E289-$F289)</f>
        <v/>
      </c>
      <c r="H289" s="35" t="str">
        <f aca="false">IF($A289="","",SUM($D289:$G289))</f>
        <v/>
      </c>
      <c r="I289" s="40"/>
      <c r="J289" s="40"/>
      <c r="K289" s="35" t="str">
        <f aca="false">IF($A289="","",N($C289)+$D289-N($I289)-N($J289))</f>
        <v/>
      </c>
      <c r="L289" s="40"/>
      <c r="M289" s="35" t="str">
        <f aca="false">IF(OR($A289="",$L289=""),"",$L289-$K289)</f>
        <v/>
      </c>
      <c r="N289" s="8" t="str">
        <f aca="false">IF($A289="","",IF($L289="","PENDIENTE",IF(ABS($M289)&lt;1,"OK",IF($M289&lt;0,"FALTANTE","SOBRANTE"))))</f>
        <v/>
      </c>
      <c r="O289" s="6"/>
    </row>
    <row r="290" customFormat="false" ht="15" hidden="false" customHeight="false" outlineLevel="0" collapsed="false">
      <c r="A290" s="44"/>
      <c r="B290" s="6"/>
      <c r="C290" s="40"/>
      <c r="D290" s="35" t="str">
        <f aca="false">IF($A290="","",SUMIFS(VENTAS!$H$6:$H$2005,VENTAS!$A$6:$A$2005,$A290,VENTAS!$M$6:$M$2005,"Efectivo"))</f>
        <v/>
      </c>
      <c r="E290" s="35" t="str">
        <f aca="false">IF($A290="","",SUMIFS(VENTAS!$H$6:$H$2005,VENTAS!$A$6:$A$2005,$A290,VENTAS!$M$6:$M$2005,"SINPE Móvil"))</f>
        <v/>
      </c>
      <c r="F290" s="35" t="str">
        <f aca="false">IF($A290="","",SUMIFS(VENTAS!$H$6:$H$2005,VENTAS!$A$6:$A$2005,$A290,VENTAS!$M$6:$M$2005,"Tarjeta"))</f>
        <v/>
      </c>
      <c r="G290" s="35" t="str">
        <f aca="false">IF($A290="","",SUMIFS(VENTAS!$H$6:$H$2005,VENTAS!$A$6:$A$2005,$A290)-$D290-$E290-$F290)</f>
        <v/>
      </c>
      <c r="H290" s="35" t="str">
        <f aca="false">IF($A290="","",SUM($D290:$G290))</f>
        <v/>
      </c>
      <c r="I290" s="40"/>
      <c r="J290" s="40"/>
      <c r="K290" s="35" t="str">
        <f aca="false">IF($A290="","",N($C290)+$D290-N($I290)-N($J290))</f>
        <v/>
      </c>
      <c r="L290" s="40"/>
      <c r="M290" s="35" t="str">
        <f aca="false">IF(OR($A290="",$L290=""),"",$L290-$K290)</f>
        <v/>
      </c>
      <c r="N290" s="8" t="str">
        <f aca="false">IF($A290="","",IF($L290="","PENDIENTE",IF(ABS($M290)&lt;1,"OK",IF($M290&lt;0,"FALTANTE","SOBRANTE"))))</f>
        <v/>
      </c>
      <c r="O290" s="6"/>
    </row>
    <row r="291" customFormat="false" ht="15" hidden="false" customHeight="false" outlineLevel="0" collapsed="false">
      <c r="A291" s="44"/>
      <c r="B291" s="6"/>
      <c r="C291" s="40"/>
      <c r="D291" s="35" t="str">
        <f aca="false">IF($A291="","",SUMIFS(VENTAS!$H$6:$H$2005,VENTAS!$A$6:$A$2005,$A291,VENTAS!$M$6:$M$2005,"Efectivo"))</f>
        <v/>
      </c>
      <c r="E291" s="35" t="str">
        <f aca="false">IF($A291="","",SUMIFS(VENTAS!$H$6:$H$2005,VENTAS!$A$6:$A$2005,$A291,VENTAS!$M$6:$M$2005,"SINPE Móvil"))</f>
        <v/>
      </c>
      <c r="F291" s="35" t="str">
        <f aca="false">IF($A291="","",SUMIFS(VENTAS!$H$6:$H$2005,VENTAS!$A$6:$A$2005,$A291,VENTAS!$M$6:$M$2005,"Tarjeta"))</f>
        <v/>
      </c>
      <c r="G291" s="35" t="str">
        <f aca="false">IF($A291="","",SUMIFS(VENTAS!$H$6:$H$2005,VENTAS!$A$6:$A$2005,$A291)-$D291-$E291-$F291)</f>
        <v/>
      </c>
      <c r="H291" s="35" t="str">
        <f aca="false">IF($A291="","",SUM($D291:$G291))</f>
        <v/>
      </c>
      <c r="I291" s="40"/>
      <c r="J291" s="40"/>
      <c r="K291" s="35" t="str">
        <f aca="false">IF($A291="","",N($C291)+$D291-N($I291)-N($J291))</f>
        <v/>
      </c>
      <c r="L291" s="40"/>
      <c r="M291" s="35" t="str">
        <f aca="false">IF(OR($A291="",$L291=""),"",$L291-$K291)</f>
        <v/>
      </c>
      <c r="N291" s="8" t="str">
        <f aca="false">IF($A291="","",IF($L291="","PENDIENTE",IF(ABS($M291)&lt;1,"OK",IF($M291&lt;0,"FALTANTE","SOBRANTE"))))</f>
        <v/>
      </c>
      <c r="O291" s="6"/>
    </row>
    <row r="292" customFormat="false" ht="15" hidden="false" customHeight="false" outlineLevel="0" collapsed="false">
      <c r="A292" s="44"/>
      <c r="B292" s="6"/>
      <c r="C292" s="40"/>
      <c r="D292" s="35" t="str">
        <f aca="false">IF($A292="","",SUMIFS(VENTAS!$H$6:$H$2005,VENTAS!$A$6:$A$2005,$A292,VENTAS!$M$6:$M$2005,"Efectivo"))</f>
        <v/>
      </c>
      <c r="E292" s="35" t="str">
        <f aca="false">IF($A292="","",SUMIFS(VENTAS!$H$6:$H$2005,VENTAS!$A$6:$A$2005,$A292,VENTAS!$M$6:$M$2005,"SINPE Móvil"))</f>
        <v/>
      </c>
      <c r="F292" s="35" t="str">
        <f aca="false">IF($A292="","",SUMIFS(VENTAS!$H$6:$H$2005,VENTAS!$A$6:$A$2005,$A292,VENTAS!$M$6:$M$2005,"Tarjeta"))</f>
        <v/>
      </c>
      <c r="G292" s="35" t="str">
        <f aca="false">IF($A292="","",SUMIFS(VENTAS!$H$6:$H$2005,VENTAS!$A$6:$A$2005,$A292)-$D292-$E292-$F292)</f>
        <v/>
      </c>
      <c r="H292" s="35" t="str">
        <f aca="false">IF($A292="","",SUM($D292:$G292))</f>
        <v/>
      </c>
      <c r="I292" s="40"/>
      <c r="J292" s="40"/>
      <c r="K292" s="35" t="str">
        <f aca="false">IF($A292="","",N($C292)+$D292-N($I292)-N($J292))</f>
        <v/>
      </c>
      <c r="L292" s="40"/>
      <c r="M292" s="35" t="str">
        <f aca="false">IF(OR($A292="",$L292=""),"",$L292-$K292)</f>
        <v/>
      </c>
      <c r="N292" s="8" t="str">
        <f aca="false">IF($A292="","",IF($L292="","PENDIENTE",IF(ABS($M292)&lt;1,"OK",IF($M292&lt;0,"FALTANTE","SOBRANTE"))))</f>
        <v/>
      </c>
      <c r="O292" s="6"/>
    </row>
    <row r="293" customFormat="false" ht="15" hidden="false" customHeight="false" outlineLevel="0" collapsed="false">
      <c r="A293" s="44"/>
      <c r="B293" s="6"/>
      <c r="C293" s="40"/>
      <c r="D293" s="35" t="str">
        <f aca="false">IF($A293="","",SUMIFS(VENTAS!$H$6:$H$2005,VENTAS!$A$6:$A$2005,$A293,VENTAS!$M$6:$M$2005,"Efectivo"))</f>
        <v/>
      </c>
      <c r="E293" s="35" t="str">
        <f aca="false">IF($A293="","",SUMIFS(VENTAS!$H$6:$H$2005,VENTAS!$A$6:$A$2005,$A293,VENTAS!$M$6:$M$2005,"SINPE Móvil"))</f>
        <v/>
      </c>
      <c r="F293" s="35" t="str">
        <f aca="false">IF($A293="","",SUMIFS(VENTAS!$H$6:$H$2005,VENTAS!$A$6:$A$2005,$A293,VENTAS!$M$6:$M$2005,"Tarjeta"))</f>
        <v/>
      </c>
      <c r="G293" s="35" t="str">
        <f aca="false">IF($A293="","",SUMIFS(VENTAS!$H$6:$H$2005,VENTAS!$A$6:$A$2005,$A293)-$D293-$E293-$F293)</f>
        <v/>
      </c>
      <c r="H293" s="35" t="str">
        <f aca="false">IF($A293="","",SUM($D293:$G293))</f>
        <v/>
      </c>
      <c r="I293" s="40"/>
      <c r="J293" s="40"/>
      <c r="K293" s="35" t="str">
        <f aca="false">IF($A293="","",N($C293)+$D293-N($I293)-N($J293))</f>
        <v/>
      </c>
      <c r="L293" s="40"/>
      <c r="M293" s="35" t="str">
        <f aca="false">IF(OR($A293="",$L293=""),"",$L293-$K293)</f>
        <v/>
      </c>
      <c r="N293" s="8" t="str">
        <f aca="false">IF($A293="","",IF($L293="","PENDIENTE",IF(ABS($M293)&lt;1,"OK",IF($M293&lt;0,"FALTANTE","SOBRANTE"))))</f>
        <v/>
      </c>
      <c r="O293" s="6"/>
    </row>
    <row r="294" customFormat="false" ht="15" hidden="false" customHeight="false" outlineLevel="0" collapsed="false">
      <c r="A294" s="44"/>
      <c r="B294" s="6"/>
      <c r="C294" s="40"/>
      <c r="D294" s="35" t="str">
        <f aca="false">IF($A294="","",SUMIFS(VENTAS!$H$6:$H$2005,VENTAS!$A$6:$A$2005,$A294,VENTAS!$M$6:$M$2005,"Efectivo"))</f>
        <v/>
      </c>
      <c r="E294" s="35" t="str">
        <f aca="false">IF($A294="","",SUMIFS(VENTAS!$H$6:$H$2005,VENTAS!$A$6:$A$2005,$A294,VENTAS!$M$6:$M$2005,"SINPE Móvil"))</f>
        <v/>
      </c>
      <c r="F294" s="35" t="str">
        <f aca="false">IF($A294="","",SUMIFS(VENTAS!$H$6:$H$2005,VENTAS!$A$6:$A$2005,$A294,VENTAS!$M$6:$M$2005,"Tarjeta"))</f>
        <v/>
      </c>
      <c r="G294" s="35" t="str">
        <f aca="false">IF($A294="","",SUMIFS(VENTAS!$H$6:$H$2005,VENTAS!$A$6:$A$2005,$A294)-$D294-$E294-$F294)</f>
        <v/>
      </c>
      <c r="H294" s="35" t="str">
        <f aca="false">IF($A294="","",SUM($D294:$G294))</f>
        <v/>
      </c>
      <c r="I294" s="40"/>
      <c r="J294" s="40"/>
      <c r="K294" s="35" t="str">
        <f aca="false">IF($A294="","",N($C294)+$D294-N($I294)-N($J294))</f>
        <v/>
      </c>
      <c r="L294" s="40"/>
      <c r="M294" s="35" t="str">
        <f aca="false">IF(OR($A294="",$L294=""),"",$L294-$K294)</f>
        <v/>
      </c>
      <c r="N294" s="8" t="str">
        <f aca="false">IF($A294="","",IF($L294="","PENDIENTE",IF(ABS($M294)&lt;1,"OK",IF($M294&lt;0,"FALTANTE","SOBRANTE"))))</f>
        <v/>
      </c>
      <c r="O294" s="6"/>
    </row>
    <row r="295" customFormat="false" ht="15" hidden="false" customHeight="false" outlineLevel="0" collapsed="false">
      <c r="A295" s="44"/>
      <c r="B295" s="6"/>
      <c r="C295" s="40"/>
      <c r="D295" s="35" t="str">
        <f aca="false">IF($A295="","",SUMIFS(VENTAS!$H$6:$H$2005,VENTAS!$A$6:$A$2005,$A295,VENTAS!$M$6:$M$2005,"Efectivo"))</f>
        <v/>
      </c>
      <c r="E295" s="35" t="str">
        <f aca="false">IF($A295="","",SUMIFS(VENTAS!$H$6:$H$2005,VENTAS!$A$6:$A$2005,$A295,VENTAS!$M$6:$M$2005,"SINPE Móvil"))</f>
        <v/>
      </c>
      <c r="F295" s="35" t="str">
        <f aca="false">IF($A295="","",SUMIFS(VENTAS!$H$6:$H$2005,VENTAS!$A$6:$A$2005,$A295,VENTAS!$M$6:$M$2005,"Tarjeta"))</f>
        <v/>
      </c>
      <c r="G295" s="35" t="str">
        <f aca="false">IF($A295="","",SUMIFS(VENTAS!$H$6:$H$2005,VENTAS!$A$6:$A$2005,$A295)-$D295-$E295-$F295)</f>
        <v/>
      </c>
      <c r="H295" s="35" t="str">
        <f aca="false">IF($A295="","",SUM($D295:$G295))</f>
        <v/>
      </c>
      <c r="I295" s="40"/>
      <c r="J295" s="40"/>
      <c r="K295" s="35" t="str">
        <f aca="false">IF($A295="","",N($C295)+$D295-N($I295)-N($J295))</f>
        <v/>
      </c>
      <c r="L295" s="40"/>
      <c r="M295" s="35" t="str">
        <f aca="false">IF(OR($A295="",$L295=""),"",$L295-$K295)</f>
        <v/>
      </c>
      <c r="N295" s="8" t="str">
        <f aca="false">IF($A295="","",IF($L295="","PENDIENTE",IF(ABS($M295)&lt;1,"OK",IF($M295&lt;0,"FALTANTE","SOBRANTE"))))</f>
        <v/>
      </c>
      <c r="O295" s="6"/>
    </row>
    <row r="296" customFormat="false" ht="15" hidden="false" customHeight="false" outlineLevel="0" collapsed="false">
      <c r="A296" s="44"/>
      <c r="B296" s="6"/>
      <c r="C296" s="40"/>
      <c r="D296" s="35" t="str">
        <f aca="false">IF($A296="","",SUMIFS(VENTAS!$H$6:$H$2005,VENTAS!$A$6:$A$2005,$A296,VENTAS!$M$6:$M$2005,"Efectivo"))</f>
        <v/>
      </c>
      <c r="E296" s="35" t="str">
        <f aca="false">IF($A296="","",SUMIFS(VENTAS!$H$6:$H$2005,VENTAS!$A$6:$A$2005,$A296,VENTAS!$M$6:$M$2005,"SINPE Móvil"))</f>
        <v/>
      </c>
      <c r="F296" s="35" t="str">
        <f aca="false">IF($A296="","",SUMIFS(VENTAS!$H$6:$H$2005,VENTAS!$A$6:$A$2005,$A296,VENTAS!$M$6:$M$2005,"Tarjeta"))</f>
        <v/>
      </c>
      <c r="G296" s="35" t="str">
        <f aca="false">IF($A296="","",SUMIFS(VENTAS!$H$6:$H$2005,VENTAS!$A$6:$A$2005,$A296)-$D296-$E296-$F296)</f>
        <v/>
      </c>
      <c r="H296" s="35" t="str">
        <f aca="false">IF($A296="","",SUM($D296:$G296))</f>
        <v/>
      </c>
      <c r="I296" s="40"/>
      <c r="J296" s="40"/>
      <c r="K296" s="35" t="str">
        <f aca="false">IF($A296="","",N($C296)+$D296-N($I296)-N($J296))</f>
        <v/>
      </c>
      <c r="L296" s="40"/>
      <c r="M296" s="35" t="str">
        <f aca="false">IF(OR($A296="",$L296=""),"",$L296-$K296)</f>
        <v/>
      </c>
      <c r="N296" s="8" t="str">
        <f aca="false">IF($A296="","",IF($L296="","PENDIENTE",IF(ABS($M296)&lt;1,"OK",IF($M296&lt;0,"FALTANTE","SOBRANTE"))))</f>
        <v/>
      </c>
      <c r="O296" s="6"/>
    </row>
    <row r="297" customFormat="false" ht="15" hidden="false" customHeight="false" outlineLevel="0" collapsed="false">
      <c r="A297" s="44"/>
      <c r="B297" s="6"/>
      <c r="C297" s="40"/>
      <c r="D297" s="35" t="str">
        <f aca="false">IF($A297="","",SUMIFS(VENTAS!$H$6:$H$2005,VENTAS!$A$6:$A$2005,$A297,VENTAS!$M$6:$M$2005,"Efectivo"))</f>
        <v/>
      </c>
      <c r="E297" s="35" t="str">
        <f aca="false">IF($A297="","",SUMIFS(VENTAS!$H$6:$H$2005,VENTAS!$A$6:$A$2005,$A297,VENTAS!$M$6:$M$2005,"SINPE Móvil"))</f>
        <v/>
      </c>
      <c r="F297" s="35" t="str">
        <f aca="false">IF($A297="","",SUMIFS(VENTAS!$H$6:$H$2005,VENTAS!$A$6:$A$2005,$A297,VENTAS!$M$6:$M$2005,"Tarjeta"))</f>
        <v/>
      </c>
      <c r="G297" s="35" t="str">
        <f aca="false">IF($A297="","",SUMIFS(VENTAS!$H$6:$H$2005,VENTAS!$A$6:$A$2005,$A297)-$D297-$E297-$F297)</f>
        <v/>
      </c>
      <c r="H297" s="35" t="str">
        <f aca="false">IF($A297="","",SUM($D297:$G297))</f>
        <v/>
      </c>
      <c r="I297" s="40"/>
      <c r="J297" s="40"/>
      <c r="K297" s="35" t="str">
        <f aca="false">IF($A297="","",N($C297)+$D297-N($I297)-N($J297))</f>
        <v/>
      </c>
      <c r="L297" s="40"/>
      <c r="M297" s="35" t="str">
        <f aca="false">IF(OR($A297="",$L297=""),"",$L297-$K297)</f>
        <v/>
      </c>
      <c r="N297" s="8" t="str">
        <f aca="false">IF($A297="","",IF($L297="","PENDIENTE",IF(ABS($M297)&lt;1,"OK",IF($M297&lt;0,"FALTANTE","SOBRANTE"))))</f>
        <v/>
      </c>
      <c r="O297" s="6"/>
    </row>
    <row r="298" customFormat="false" ht="15" hidden="false" customHeight="false" outlineLevel="0" collapsed="false">
      <c r="A298" s="44"/>
      <c r="B298" s="6"/>
      <c r="C298" s="40"/>
      <c r="D298" s="35" t="str">
        <f aca="false">IF($A298="","",SUMIFS(VENTAS!$H$6:$H$2005,VENTAS!$A$6:$A$2005,$A298,VENTAS!$M$6:$M$2005,"Efectivo"))</f>
        <v/>
      </c>
      <c r="E298" s="35" t="str">
        <f aca="false">IF($A298="","",SUMIFS(VENTAS!$H$6:$H$2005,VENTAS!$A$6:$A$2005,$A298,VENTAS!$M$6:$M$2005,"SINPE Móvil"))</f>
        <v/>
      </c>
      <c r="F298" s="35" t="str">
        <f aca="false">IF($A298="","",SUMIFS(VENTAS!$H$6:$H$2005,VENTAS!$A$6:$A$2005,$A298,VENTAS!$M$6:$M$2005,"Tarjeta"))</f>
        <v/>
      </c>
      <c r="G298" s="35" t="str">
        <f aca="false">IF($A298="","",SUMIFS(VENTAS!$H$6:$H$2005,VENTAS!$A$6:$A$2005,$A298)-$D298-$E298-$F298)</f>
        <v/>
      </c>
      <c r="H298" s="35" t="str">
        <f aca="false">IF($A298="","",SUM($D298:$G298))</f>
        <v/>
      </c>
      <c r="I298" s="40"/>
      <c r="J298" s="40"/>
      <c r="K298" s="35" t="str">
        <f aca="false">IF($A298="","",N($C298)+$D298-N($I298)-N($J298))</f>
        <v/>
      </c>
      <c r="L298" s="40"/>
      <c r="M298" s="35" t="str">
        <f aca="false">IF(OR($A298="",$L298=""),"",$L298-$K298)</f>
        <v/>
      </c>
      <c r="N298" s="8" t="str">
        <f aca="false">IF($A298="","",IF($L298="","PENDIENTE",IF(ABS($M298)&lt;1,"OK",IF($M298&lt;0,"FALTANTE","SOBRANTE"))))</f>
        <v/>
      </c>
      <c r="O298" s="6"/>
    </row>
    <row r="299" customFormat="false" ht="15" hidden="false" customHeight="false" outlineLevel="0" collapsed="false">
      <c r="A299" s="44"/>
      <c r="B299" s="6"/>
      <c r="C299" s="40"/>
      <c r="D299" s="35" t="str">
        <f aca="false">IF($A299="","",SUMIFS(VENTAS!$H$6:$H$2005,VENTAS!$A$6:$A$2005,$A299,VENTAS!$M$6:$M$2005,"Efectivo"))</f>
        <v/>
      </c>
      <c r="E299" s="35" t="str">
        <f aca="false">IF($A299="","",SUMIFS(VENTAS!$H$6:$H$2005,VENTAS!$A$6:$A$2005,$A299,VENTAS!$M$6:$M$2005,"SINPE Móvil"))</f>
        <v/>
      </c>
      <c r="F299" s="35" t="str">
        <f aca="false">IF($A299="","",SUMIFS(VENTAS!$H$6:$H$2005,VENTAS!$A$6:$A$2005,$A299,VENTAS!$M$6:$M$2005,"Tarjeta"))</f>
        <v/>
      </c>
      <c r="G299" s="35" t="str">
        <f aca="false">IF($A299="","",SUMIFS(VENTAS!$H$6:$H$2005,VENTAS!$A$6:$A$2005,$A299)-$D299-$E299-$F299)</f>
        <v/>
      </c>
      <c r="H299" s="35" t="str">
        <f aca="false">IF($A299="","",SUM($D299:$G299))</f>
        <v/>
      </c>
      <c r="I299" s="40"/>
      <c r="J299" s="40"/>
      <c r="K299" s="35" t="str">
        <f aca="false">IF($A299="","",N($C299)+$D299-N($I299)-N($J299))</f>
        <v/>
      </c>
      <c r="L299" s="40"/>
      <c r="M299" s="35" t="str">
        <f aca="false">IF(OR($A299="",$L299=""),"",$L299-$K299)</f>
        <v/>
      </c>
      <c r="N299" s="8" t="str">
        <f aca="false">IF($A299="","",IF($L299="","PENDIENTE",IF(ABS($M299)&lt;1,"OK",IF($M299&lt;0,"FALTANTE","SOBRANTE"))))</f>
        <v/>
      </c>
      <c r="O299" s="6"/>
    </row>
    <row r="300" customFormat="false" ht="15" hidden="false" customHeight="false" outlineLevel="0" collapsed="false">
      <c r="A300" s="44"/>
      <c r="B300" s="6"/>
      <c r="C300" s="40"/>
      <c r="D300" s="35" t="str">
        <f aca="false">IF($A300="","",SUMIFS(VENTAS!$H$6:$H$2005,VENTAS!$A$6:$A$2005,$A300,VENTAS!$M$6:$M$2005,"Efectivo"))</f>
        <v/>
      </c>
      <c r="E300" s="35" t="str">
        <f aca="false">IF($A300="","",SUMIFS(VENTAS!$H$6:$H$2005,VENTAS!$A$6:$A$2005,$A300,VENTAS!$M$6:$M$2005,"SINPE Móvil"))</f>
        <v/>
      </c>
      <c r="F300" s="35" t="str">
        <f aca="false">IF($A300="","",SUMIFS(VENTAS!$H$6:$H$2005,VENTAS!$A$6:$A$2005,$A300,VENTAS!$M$6:$M$2005,"Tarjeta"))</f>
        <v/>
      </c>
      <c r="G300" s="35" t="str">
        <f aca="false">IF($A300="","",SUMIFS(VENTAS!$H$6:$H$2005,VENTAS!$A$6:$A$2005,$A300)-$D300-$E300-$F300)</f>
        <v/>
      </c>
      <c r="H300" s="35" t="str">
        <f aca="false">IF($A300="","",SUM($D300:$G300))</f>
        <v/>
      </c>
      <c r="I300" s="40"/>
      <c r="J300" s="40"/>
      <c r="K300" s="35" t="str">
        <f aca="false">IF($A300="","",N($C300)+$D300-N($I300)-N($J300))</f>
        <v/>
      </c>
      <c r="L300" s="40"/>
      <c r="M300" s="35" t="str">
        <f aca="false">IF(OR($A300="",$L300=""),"",$L300-$K300)</f>
        <v/>
      </c>
      <c r="N300" s="8" t="str">
        <f aca="false">IF($A300="","",IF($L300="","PENDIENTE",IF(ABS($M300)&lt;1,"OK",IF($M300&lt;0,"FALTANTE","SOBRANTE"))))</f>
        <v/>
      </c>
      <c r="O300" s="6"/>
    </row>
    <row r="301" customFormat="false" ht="15" hidden="false" customHeight="false" outlineLevel="0" collapsed="false">
      <c r="A301" s="44"/>
      <c r="B301" s="6"/>
      <c r="C301" s="40"/>
      <c r="D301" s="35" t="str">
        <f aca="false">IF($A301="","",SUMIFS(VENTAS!$H$6:$H$2005,VENTAS!$A$6:$A$2005,$A301,VENTAS!$M$6:$M$2005,"Efectivo"))</f>
        <v/>
      </c>
      <c r="E301" s="35" t="str">
        <f aca="false">IF($A301="","",SUMIFS(VENTAS!$H$6:$H$2005,VENTAS!$A$6:$A$2005,$A301,VENTAS!$M$6:$M$2005,"SINPE Móvil"))</f>
        <v/>
      </c>
      <c r="F301" s="35" t="str">
        <f aca="false">IF($A301="","",SUMIFS(VENTAS!$H$6:$H$2005,VENTAS!$A$6:$A$2005,$A301,VENTAS!$M$6:$M$2005,"Tarjeta"))</f>
        <v/>
      </c>
      <c r="G301" s="35" t="str">
        <f aca="false">IF($A301="","",SUMIFS(VENTAS!$H$6:$H$2005,VENTAS!$A$6:$A$2005,$A301)-$D301-$E301-$F301)</f>
        <v/>
      </c>
      <c r="H301" s="35" t="str">
        <f aca="false">IF($A301="","",SUM($D301:$G301))</f>
        <v/>
      </c>
      <c r="I301" s="40"/>
      <c r="J301" s="40"/>
      <c r="K301" s="35" t="str">
        <f aca="false">IF($A301="","",N($C301)+$D301-N($I301)-N($J301))</f>
        <v/>
      </c>
      <c r="L301" s="40"/>
      <c r="M301" s="35" t="str">
        <f aca="false">IF(OR($A301="",$L301=""),"",$L301-$K301)</f>
        <v/>
      </c>
      <c r="N301" s="8" t="str">
        <f aca="false">IF($A301="","",IF($L301="","PENDIENTE",IF(ABS($M301)&lt;1,"OK",IF($M301&lt;0,"FALTANTE","SOBRANTE"))))</f>
        <v/>
      </c>
      <c r="O301" s="6"/>
    </row>
    <row r="302" customFormat="false" ht="15" hidden="false" customHeight="false" outlineLevel="0" collapsed="false">
      <c r="A302" s="44"/>
      <c r="B302" s="6"/>
      <c r="C302" s="40"/>
      <c r="D302" s="35" t="str">
        <f aca="false">IF($A302="","",SUMIFS(VENTAS!$H$6:$H$2005,VENTAS!$A$6:$A$2005,$A302,VENTAS!$M$6:$M$2005,"Efectivo"))</f>
        <v/>
      </c>
      <c r="E302" s="35" t="str">
        <f aca="false">IF($A302="","",SUMIFS(VENTAS!$H$6:$H$2005,VENTAS!$A$6:$A$2005,$A302,VENTAS!$M$6:$M$2005,"SINPE Móvil"))</f>
        <v/>
      </c>
      <c r="F302" s="35" t="str">
        <f aca="false">IF($A302="","",SUMIFS(VENTAS!$H$6:$H$2005,VENTAS!$A$6:$A$2005,$A302,VENTAS!$M$6:$M$2005,"Tarjeta"))</f>
        <v/>
      </c>
      <c r="G302" s="35" t="str">
        <f aca="false">IF($A302="","",SUMIFS(VENTAS!$H$6:$H$2005,VENTAS!$A$6:$A$2005,$A302)-$D302-$E302-$F302)</f>
        <v/>
      </c>
      <c r="H302" s="35" t="str">
        <f aca="false">IF($A302="","",SUM($D302:$G302))</f>
        <v/>
      </c>
      <c r="I302" s="40"/>
      <c r="J302" s="40"/>
      <c r="K302" s="35" t="str">
        <f aca="false">IF($A302="","",N($C302)+$D302-N($I302)-N($J302))</f>
        <v/>
      </c>
      <c r="L302" s="40"/>
      <c r="M302" s="35" t="str">
        <f aca="false">IF(OR($A302="",$L302=""),"",$L302-$K302)</f>
        <v/>
      </c>
      <c r="N302" s="8" t="str">
        <f aca="false">IF($A302="","",IF($L302="","PENDIENTE",IF(ABS($M302)&lt;1,"OK",IF($M302&lt;0,"FALTANTE","SOBRANTE"))))</f>
        <v/>
      </c>
      <c r="O302" s="6"/>
    </row>
    <row r="303" customFormat="false" ht="15" hidden="false" customHeight="false" outlineLevel="0" collapsed="false">
      <c r="A303" s="44"/>
      <c r="B303" s="6"/>
      <c r="C303" s="40"/>
      <c r="D303" s="35" t="str">
        <f aca="false">IF($A303="","",SUMIFS(VENTAS!$H$6:$H$2005,VENTAS!$A$6:$A$2005,$A303,VENTAS!$M$6:$M$2005,"Efectivo"))</f>
        <v/>
      </c>
      <c r="E303" s="35" t="str">
        <f aca="false">IF($A303="","",SUMIFS(VENTAS!$H$6:$H$2005,VENTAS!$A$6:$A$2005,$A303,VENTAS!$M$6:$M$2005,"SINPE Móvil"))</f>
        <v/>
      </c>
      <c r="F303" s="35" t="str">
        <f aca="false">IF($A303="","",SUMIFS(VENTAS!$H$6:$H$2005,VENTAS!$A$6:$A$2005,$A303,VENTAS!$M$6:$M$2005,"Tarjeta"))</f>
        <v/>
      </c>
      <c r="G303" s="35" t="str">
        <f aca="false">IF($A303="","",SUMIFS(VENTAS!$H$6:$H$2005,VENTAS!$A$6:$A$2005,$A303)-$D303-$E303-$F303)</f>
        <v/>
      </c>
      <c r="H303" s="35" t="str">
        <f aca="false">IF($A303="","",SUM($D303:$G303))</f>
        <v/>
      </c>
      <c r="I303" s="40"/>
      <c r="J303" s="40"/>
      <c r="K303" s="35" t="str">
        <f aca="false">IF($A303="","",N($C303)+$D303-N($I303)-N($J303))</f>
        <v/>
      </c>
      <c r="L303" s="40"/>
      <c r="M303" s="35" t="str">
        <f aca="false">IF(OR($A303="",$L303=""),"",$L303-$K303)</f>
        <v/>
      </c>
      <c r="N303" s="8" t="str">
        <f aca="false">IF($A303="","",IF($L303="","PENDIENTE",IF(ABS($M303)&lt;1,"OK",IF($M303&lt;0,"FALTANTE","SOBRANTE"))))</f>
        <v/>
      </c>
      <c r="O303" s="6"/>
    </row>
    <row r="304" customFormat="false" ht="15" hidden="false" customHeight="false" outlineLevel="0" collapsed="false">
      <c r="A304" s="44"/>
      <c r="B304" s="6"/>
      <c r="C304" s="40"/>
      <c r="D304" s="35" t="str">
        <f aca="false">IF($A304="","",SUMIFS(VENTAS!$H$6:$H$2005,VENTAS!$A$6:$A$2005,$A304,VENTAS!$M$6:$M$2005,"Efectivo"))</f>
        <v/>
      </c>
      <c r="E304" s="35" t="str">
        <f aca="false">IF($A304="","",SUMIFS(VENTAS!$H$6:$H$2005,VENTAS!$A$6:$A$2005,$A304,VENTAS!$M$6:$M$2005,"SINPE Móvil"))</f>
        <v/>
      </c>
      <c r="F304" s="35" t="str">
        <f aca="false">IF($A304="","",SUMIFS(VENTAS!$H$6:$H$2005,VENTAS!$A$6:$A$2005,$A304,VENTAS!$M$6:$M$2005,"Tarjeta"))</f>
        <v/>
      </c>
      <c r="G304" s="35" t="str">
        <f aca="false">IF($A304="","",SUMIFS(VENTAS!$H$6:$H$2005,VENTAS!$A$6:$A$2005,$A304)-$D304-$E304-$F304)</f>
        <v/>
      </c>
      <c r="H304" s="35" t="str">
        <f aca="false">IF($A304="","",SUM($D304:$G304))</f>
        <v/>
      </c>
      <c r="I304" s="40"/>
      <c r="J304" s="40"/>
      <c r="K304" s="35" t="str">
        <f aca="false">IF($A304="","",N($C304)+$D304-N($I304)-N($J304))</f>
        <v/>
      </c>
      <c r="L304" s="40"/>
      <c r="M304" s="35" t="str">
        <f aca="false">IF(OR($A304="",$L304=""),"",$L304-$K304)</f>
        <v/>
      </c>
      <c r="N304" s="8" t="str">
        <f aca="false">IF($A304="","",IF($L304="","PENDIENTE",IF(ABS($M304)&lt;1,"OK",IF($M304&lt;0,"FALTANTE","SOBRANTE"))))</f>
        <v/>
      </c>
      <c r="O304" s="6"/>
    </row>
    <row r="305" customFormat="false" ht="15" hidden="false" customHeight="false" outlineLevel="0" collapsed="false">
      <c r="A305" s="44"/>
      <c r="B305" s="6"/>
      <c r="C305" s="40"/>
      <c r="D305" s="35" t="str">
        <f aca="false">IF($A305="","",SUMIFS(VENTAS!$H$6:$H$2005,VENTAS!$A$6:$A$2005,$A305,VENTAS!$M$6:$M$2005,"Efectivo"))</f>
        <v/>
      </c>
      <c r="E305" s="35" t="str">
        <f aca="false">IF($A305="","",SUMIFS(VENTAS!$H$6:$H$2005,VENTAS!$A$6:$A$2005,$A305,VENTAS!$M$6:$M$2005,"SINPE Móvil"))</f>
        <v/>
      </c>
      <c r="F305" s="35" t="str">
        <f aca="false">IF($A305="","",SUMIFS(VENTAS!$H$6:$H$2005,VENTAS!$A$6:$A$2005,$A305,VENTAS!$M$6:$M$2005,"Tarjeta"))</f>
        <v/>
      </c>
      <c r="G305" s="35" t="str">
        <f aca="false">IF($A305="","",SUMIFS(VENTAS!$H$6:$H$2005,VENTAS!$A$6:$A$2005,$A305)-$D305-$E305-$F305)</f>
        <v/>
      </c>
      <c r="H305" s="35" t="str">
        <f aca="false">IF($A305="","",SUM($D305:$G305))</f>
        <v/>
      </c>
      <c r="I305" s="40"/>
      <c r="J305" s="40"/>
      <c r="K305" s="35" t="str">
        <f aca="false">IF($A305="","",N($C305)+$D305-N($I305)-N($J305))</f>
        <v/>
      </c>
      <c r="L305" s="40"/>
      <c r="M305" s="35" t="str">
        <f aca="false">IF(OR($A305="",$L305=""),"",$L305-$K305)</f>
        <v/>
      </c>
      <c r="N305" s="8" t="str">
        <f aca="false">IF($A305="","",IF($L305="","PENDIENTE",IF(ABS($M305)&lt;1,"OK",IF($M305&lt;0,"FALTANTE","SOBRANTE"))))</f>
        <v/>
      </c>
      <c r="O305" s="6"/>
    </row>
    <row r="306" customFormat="false" ht="15" hidden="false" customHeight="false" outlineLevel="0" collapsed="false">
      <c r="A306" s="44"/>
      <c r="B306" s="6"/>
      <c r="C306" s="40"/>
      <c r="D306" s="35" t="str">
        <f aca="false">IF($A306="","",SUMIFS(VENTAS!$H$6:$H$2005,VENTAS!$A$6:$A$2005,$A306,VENTAS!$M$6:$M$2005,"Efectivo"))</f>
        <v/>
      </c>
      <c r="E306" s="35" t="str">
        <f aca="false">IF($A306="","",SUMIFS(VENTAS!$H$6:$H$2005,VENTAS!$A$6:$A$2005,$A306,VENTAS!$M$6:$M$2005,"SINPE Móvil"))</f>
        <v/>
      </c>
      <c r="F306" s="35" t="str">
        <f aca="false">IF($A306="","",SUMIFS(VENTAS!$H$6:$H$2005,VENTAS!$A$6:$A$2005,$A306,VENTAS!$M$6:$M$2005,"Tarjeta"))</f>
        <v/>
      </c>
      <c r="G306" s="35" t="str">
        <f aca="false">IF($A306="","",SUMIFS(VENTAS!$H$6:$H$2005,VENTAS!$A$6:$A$2005,$A306)-$D306-$E306-$F306)</f>
        <v/>
      </c>
      <c r="H306" s="35" t="str">
        <f aca="false">IF($A306="","",SUM($D306:$G306))</f>
        <v/>
      </c>
      <c r="I306" s="40"/>
      <c r="J306" s="40"/>
      <c r="K306" s="35" t="str">
        <f aca="false">IF($A306="","",N($C306)+$D306-N($I306)-N($J306))</f>
        <v/>
      </c>
      <c r="L306" s="40"/>
      <c r="M306" s="35" t="str">
        <f aca="false">IF(OR($A306="",$L306=""),"",$L306-$K306)</f>
        <v/>
      </c>
      <c r="N306" s="8" t="str">
        <f aca="false">IF($A306="","",IF($L306="","PENDIENTE",IF(ABS($M306)&lt;1,"OK",IF($M306&lt;0,"FALTANTE","SOBRANTE"))))</f>
        <v/>
      </c>
      <c r="O306" s="6"/>
    </row>
    <row r="307" customFormat="false" ht="15" hidden="false" customHeight="false" outlineLevel="0" collapsed="false">
      <c r="A307" s="44"/>
      <c r="B307" s="6"/>
      <c r="C307" s="40"/>
      <c r="D307" s="35" t="str">
        <f aca="false">IF($A307="","",SUMIFS(VENTAS!$H$6:$H$2005,VENTAS!$A$6:$A$2005,$A307,VENTAS!$M$6:$M$2005,"Efectivo"))</f>
        <v/>
      </c>
      <c r="E307" s="35" t="str">
        <f aca="false">IF($A307="","",SUMIFS(VENTAS!$H$6:$H$2005,VENTAS!$A$6:$A$2005,$A307,VENTAS!$M$6:$M$2005,"SINPE Móvil"))</f>
        <v/>
      </c>
      <c r="F307" s="35" t="str">
        <f aca="false">IF($A307="","",SUMIFS(VENTAS!$H$6:$H$2005,VENTAS!$A$6:$A$2005,$A307,VENTAS!$M$6:$M$2005,"Tarjeta"))</f>
        <v/>
      </c>
      <c r="G307" s="35" t="str">
        <f aca="false">IF($A307="","",SUMIFS(VENTAS!$H$6:$H$2005,VENTAS!$A$6:$A$2005,$A307)-$D307-$E307-$F307)</f>
        <v/>
      </c>
      <c r="H307" s="35" t="str">
        <f aca="false">IF($A307="","",SUM($D307:$G307))</f>
        <v/>
      </c>
      <c r="I307" s="40"/>
      <c r="J307" s="40"/>
      <c r="K307" s="35" t="str">
        <f aca="false">IF($A307="","",N($C307)+$D307-N($I307)-N($J307))</f>
        <v/>
      </c>
      <c r="L307" s="40"/>
      <c r="M307" s="35" t="str">
        <f aca="false">IF(OR($A307="",$L307=""),"",$L307-$K307)</f>
        <v/>
      </c>
      <c r="N307" s="8" t="str">
        <f aca="false">IF($A307="","",IF($L307="","PENDIENTE",IF(ABS($M307)&lt;1,"OK",IF($M307&lt;0,"FALTANTE","SOBRANTE"))))</f>
        <v/>
      </c>
      <c r="O307" s="6"/>
    </row>
    <row r="308" customFormat="false" ht="15" hidden="false" customHeight="false" outlineLevel="0" collapsed="false">
      <c r="A308" s="44"/>
      <c r="B308" s="6"/>
      <c r="C308" s="40"/>
      <c r="D308" s="35" t="str">
        <f aca="false">IF($A308="","",SUMIFS(VENTAS!$H$6:$H$2005,VENTAS!$A$6:$A$2005,$A308,VENTAS!$M$6:$M$2005,"Efectivo"))</f>
        <v/>
      </c>
      <c r="E308" s="35" t="str">
        <f aca="false">IF($A308="","",SUMIFS(VENTAS!$H$6:$H$2005,VENTAS!$A$6:$A$2005,$A308,VENTAS!$M$6:$M$2005,"SINPE Móvil"))</f>
        <v/>
      </c>
      <c r="F308" s="35" t="str">
        <f aca="false">IF($A308="","",SUMIFS(VENTAS!$H$6:$H$2005,VENTAS!$A$6:$A$2005,$A308,VENTAS!$M$6:$M$2005,"Tarjeta"))</f>
        <v/>
      </c>
      <c r="G308" s="35" t="str">
        <f aca="false">IF($A308="","",SUMIFS(VENTAS!$H$6:$H$2005,VENTAS!$A$6:$A$2005,$A308)-$D308-$E308-$F308)</f>
        <v/>
      </c>
      <c r="H308" s="35" t="str">
        <f aca="false">IF($A308="","",SUM($D308:$G308))</f>
        <v/>
      </c>
      <c r="I308" s="40"/>
      <c r="J308" s="40"/>
      <c r="K308" s="35" t="str">
        <f aca="false">IF($A308="","",N($C308)+$D308-N($I308)-N($J308))</f>
        <v/>
      </c>
      <c r="L308" s="40"/>
      <c r="M308" s="35" t="str">
        <f aca="false">IF(OR($A308="",$L308=""),"",$L308-$K308)</f>
        <v/>
      </c>
      <c r="N308" s="8" t="str">
        <f aca="false">IF($A308="","",IF($L308="","PENDIENTE",IF(ABS($M308)&lt;1,"OK",IF($M308&lt;0,"FALTANTE","SOBRANTE"))))</f>
        <v/>
      </c>
      <c r="O308" s="6"/>
    </row>
    <row r="309" customFormat="false" ht="15" hidden="false" customHeight="false" outlineLevel="0" collapsed="false">
      <c r="A309" s="44"/>
      <c r="B309" s="6"/>
      <c r="C309" s="40"/>
      <c r="D309" s="35" t="str">
        <f aca="false">IF($A309="","",SUMIFS(VENTAS!$H$6:$H$2005,VENTAS!$A$6:$A$2005,$A309,VENTAS!$M$6:$M$2005,"Efectivo"))</f>
        <v/>
      </c>
      <c r="E309" s="35" t="str">
        <f aca="false">IF($A309="","",SUMIFS(VENTAS!$H$6:$H$2005,VENTAS!$A$6:$A$2005,$A309,VENTAS!$M$6:$M$2005,"SINPE Móvil"))</f>
        <v/>
      </c>
      <c r="F309" s="35" t="str">
        <f aca="false">IF($A309="","",SUMIFS(VENTAS!$H$6:$H$2005,VENTAS!$A$6:$A$2005,$A309,VENTAS!$M$6:$M$2005,"Tarjeta"))</f>
        <v/>
      </c>
      <c r="G309" s="35" t="str">
        <f aca="false">IF($A309="","",SUMIFS(VENTAS!$H$6:$H$2005,VENTAS!$A$6:$A$2005,$A309)-$D309-$E309-$F309)</f>
        <v/>
      </c>
      <c r="H309" s="35" t="str">
        <f aca="false">IF($A309="","",SUM($D309:$G309))</f>
        <v/>
      </c>
      <c r="I309" s="40"/>
      <c r="J309" s="40"/>
      <c r="K309" s="35" t="str">
        <f aca="false">IF($A309="","",N($C309)+$D309-N($I309)-N($J309))</f>
        <v/>
      </c>
      <c r="L309" s="40"/>
      <c r="M309" s="35" t="str">
        <f aca="false">IF(OR($A309="",$L309=""),"",$L309-$K309)</f>
        <v/>
      </c>
      <c r="N309" s="8" t="str">
        <f aca="false">IF($A309="","",IF($L309="","PENDIENTE",IF(ABS($M309)&lt;1,"OK",IF($M309&lt;0,"FALTANTE","SOBRANTE"))))</f>
        <v/>
      </c>
      <c r="O309" s="6"/>
    </row>
    <row r="310" customFormat="false" ht="15" hidden="false" customHeight="false" outlineLevel="0" collapsed="false">
      <c r="A310" s="44"/>
      <c r="B310" s="6"/>
      <c r="C310" s="40"/>
      <c r="D310" s="35" t="str">
        <f aca="false">IF($A310="","",SUMIFS(VENTAS!$H$6:$H$2005,VENTAS!$A$6:$A$2005,$A310,VENTAS!$M$6:$M$2005,"Efectivo"))</f>
        <v/>
      </c>
      <c r="E310" s="35" t="str">
        <f aca="false">IF($A310="","",SUMIFS(VENTAS!$H$6:$H$2005,VENTAS!$A$6:$A$2005,$A310,VENTAS!$M$6:$M$2005,"SINPE Móvil"))</f>
        <v/>
      </c>
      <c r="F310" s="35" t="str">
        <f aca="false">IF($A310="","",SUMIFS(VENTAS!$H$6:$H$2005,VENTAS!$A$6:$A$2005,$A310,VENTAS!$M$6:$M$2005,"Tarjeta"))</f>
        <v/>
      </c>
      <c r="G310" s="35" t="str">
        <f aca="false">IF($A310="","",SUMIFS(VENTAS!$H$6:$H$2005,VENTAS!$A$6:$A$2005,$A310)-$D310-$E310-$F310)</f>
        <v/>
      </c>
      <c r="H310" s="35" t="str">
        <f aca="false">IF($A310="","",SUM($D310:$G310))</f>
        <v/>
      </c>
      <c r="I310" s="40"/>
      <c r="J310" s="40"/>
      <c r="K310" s="35" t="str">
        <f aca="false">IF($A310="","",N($C310)+$D310-N($I310)-N($J310))</f>
        <v/>
      </c>
      <c r="L310" s="40"/>
      <c r="M310" s="35" t="str">
        <f aca="false">IF(OR($A310="",$L310=""),"",$L310-$K310)</f>
        <v/>
      </c>
      <c r="N310" s="8" t="str">
        <f aca="false">IF($A310="","",IF($L310="","PENDIENTE",IF(ABS($M310)&lt;1,"OK",IF($M310&lt;0,"FALTANTE","SOBRANTE"))))</f>
        <v/>
      </c>
      <c r="O310" s="6"/>
    </row>
    <row r="311" customFormat="false" ht="15" hidden="false" customHeight="false" outlineLevel="0" collapsed="false">
      <c r="A311" s="44"/>
      <c r="B311" s="6"/>
      <c r="C311" s="40"/>
      <c r="D311" s="35" t="str">
        <f aca="false">IF($A311="","",SUMIFS(VENTAS!$H$6:$H$2005,VENTAS!$A$6:$A$2005,$A311,VENTAS!$M$6:$M$2005,"Efectivo"))</f>
        <v/>
      </c>
      <c r="E311" s="35" t="str">
        <f aca="false">IF($A311="","",SUMIFS(VENTAS!$H$6:$H$2005,VENTAS!$A$6:$A$2005,$A311,VENTAS!$M$6:$M$2005,"SINPE Móvil"))</f>
        <v/>
      </c>
      <c r="F311" s="35" t="str">
        <f aca="false">IF($A311="","",SUMIFS(VENTAS!$H$6:$H$2005,VENTAS!$A$6:$A$2005,$A311,VENTAS!$M$6:$M$2005,"Tarjeta"))</f>
        <v/>
      </c>
      <c r="G311" s="35" t="str">
        <f aca="false">IF($A311="","",SUMIFS(VENTAS!$H$6:$H$2005,VENTAS!$A$6:$A$2005,$A311)-$D311-$E311-$F311)</f>
        <v/>
      </c>
      <c r="H311" s="35" t="str">
        <f aca="false">IF($A311="","",SUM($D311:$G311))</f>
        <v/>
      </c>
      <c r="I311" s="40"/>
      <c r="J311" s="40"/>
      <c r="K311" s="35" t="str">
        <f aca="false">IF($A311="","",N($C311)+$D311-N($I311)-N($J311))</f>
        <v/>
      </c>
      <c r="L311" s="40"/>
      <c r="M311" s="35" t="str">
        <f aca="false">IF(OR($A311="",$L311=""),"",$L311-$K311)</f>
        <v/>
      </c>
      <c r="N311" s="8" t="str">
        <f aca="false">IF($A311="","",IF($L311="","PENDIENTE",IF(ABS($M311)&lt;1,"OK",IF($M311&lt;0,"FALTANTE","SOBRANTE"))))</f>
        <v/>
      </c>
      <c r="O311" s="6"/>
    </row>
    <row r="312" customFormat="false" ht="15" hidden="false" customHeight="false" outlineLevel="0" collapsed="false">
      <c r="A312" s="44"/>
      <c r="B312" s="6"/>
      <c r="C312" s="40"/>
      <c r="D312" s="35" t="str">
        <f aca="false">IF($A312="","",SUMIFS(VENTAS!$H$6:$H$2005,VENTAS!$A$6:$A$2005,$A312,VENTAS!$M$6:$M$2005,"Efectivo"))</f>
        <v/>
      </c>
      <c r="E312" s="35" t="str">
        <f aca="false">IF($A312="","",SUMIFS(VENTAS!$H$6:$H$2005,VENTAS!$A$6:$A$2005,$A312,VENTAS!$M$6:$M$2005,"SINPE Móvil"))</f>
        <v/>
      </c>
      <c r="F312" s="35" t="str">
        <f aca="false">IF($A312="","",SUMIFS(VENTAS!$H$6:$H$2005,VENTAS!$A$6:$A$2005,$A312,VENTAS!$M$6:$M$2005,"Tarjeta"))</f>
        <v/>
      </c>
      <c r="G312" s="35" t="str">
        <f aca="false">IF($A312="","",SUMIFS(VENTAS!$H$6:$H$2005,VENTAS!$A$6:$A$2005,$A312)-$D312-$E312-$F312)</f>
        <v/>
      </c>
      <c r="H312" s="35" t="str">
        <f aca="false">IF($A312="","",SUM($D312:$G312))</f>
        <v/>
      </c>
      <c r="I312" s="40"/>
      <c r="J312" s="40"/>
      <c r="K312" s="35" t="str">
        <f aca="false">IF($A312="","",N($C312)+$D312-N($I312)-N($J312))</f>
        <v/>
      </c>
      <c r="L312" s="40"/>
      <c r="M312" s="35" t="str">
        <f aca="false">IF(OR($A312="",$L312=""),"",$L312-$K312)</f>
        <v/>
      </c>
      <c r="N312" s="8" t="str">
        <f aca="false">IF($A312="","",IF($L312="","PENDIENTE",IF(ABS($M312)&lt;1,"OK",IF($M312&lt;0,"FALTANTE","SOBRANTE"))))</f>
        <v/>
      </c>
      <c r="O312" s="6"/>
    </row>
    <row r="313" customFormat="false" ht="15" hidden="false" customHeight="false" outlineLevel="0" collapsed="false">
      <c r="A313" s="44"/>
      <c r="B313" s="6"/>
      <c r="C313" s="40"/>
      <c r="D313" s="35" t="str">
        <f aca="false">IF($A313="","",SUMIFS(VENTAS!$H$6:$H$2005,VENTAS!$A$6:$A$2005,$A313,VENTAS!$M$6:$M$2005,"Efectivo"))</f>
        <v/>
      </c>
      <c r="E313" s="35" t="str">
        <f aca="false">IF($A313="","",SUMIFS(VENTAS!$H$6:$H$2005,VENTAS!$A$6:$A$2005,$A313,VENTAS!$M$6:$M$2005,"SINPE Móvil"))</f>
        <v/>
      </c>
      <c r="F313" s="35" t="str">
        <f aca="false">IF($A313="","",SUMIFS(VENTAS!$H$6:$H$2005,VENTAS!$A$6:$A$2005,$A313,VENTAS!$M$6:$M$2005,"Tarjeta"))</f>
        <v/>
      </c>
      <c r="G313" s="35" t="str">
        <f aca="false">IF($A313="","",SUMIFS(VENTAS!$H$6:$H$2005,VENTAS!$A$6:$A$2005,$A313)-$D313-$E313-$F313)</f>
        <v/>
      </c>
      <c r="H313" s="35" t="str">
        <f aca="false">IF($A313="","",SUM($D313:$G313))</f>
        <v/>
      </c>
      <c r="I313" s="40"/>
      <c r="J313" s="40"/>
      <c r="K313" s="35" t="str">
        <f aca="false">IF($A313="","",N($C313)+$D313-N($I313)-N($J313))</f>
        <v/>
      </c>
      <c r="L313" s="40"/>
      <c r="M313" s="35" t="str">
        <f aca="false">IF(OR($A313="",$L313=""),"",$L313-$K313)</f>
        <v/>
      </c>
      <c r="N313" s="8" t="str">
        <f aca="false">IF($A313="","",IF($L313="","PENDIENTE",IF(ABS($M313)&lt;1,"OK",IF($M313&lt;0,"FALTANTE","SOBRANTE"))))</f>
        <v/>
      </c>
      <c r="O313" s="6"/>
    </row>
    <row r="314" customFormat="false" ht="15" hidden="false" customHeight="false" outlineLevel="0" collapsed="false">
      <c r="A314" s="44"/>
      <c r="B314" s="6"/>
      <c r="C314" s="40"/>
      <c r="D314" s="35" t="str">
        <f aca="false">IF($A314="","",SUMIFS(VENTAS!$H$6:$H$2005,VENTAS!$A$6:$A$2005,$A314,VENTAS!$M$6:$M$2005,"Efectivo"))</f>
        <v/>
      </c>
      <c r="E314" s="35" t="str">
        <f aca="false">IF($A314="","",SUMIFS(VENTAS!$H$6:$H$2005,VENTAS!$A$6:$A$2005,$A314,VENTAS!$M$6:$M$2005,"SINPE Móvil"))</f>
        <v/>
      </c>
      <c r="F314" s="35" t="str">
        <f aca="false">IF($A314="","",SUMIFS(VENTAS!$H$6:$H$2005,VENTAS!$A$6:$A$2005,$A314,VENTAS!$M$6:$M$2005,"Tarjeta"))</f>
        <v/>
      </c>
      <c r="G314" s="35" t="str">
        <f aca="false">IF($A314="","",SUMIFS(VENTAS!$H$6:$H$2005,VENTAS!$A$6:$A$2005,$A314)-$D314-$E314-$F314)</f>
        <v/>
      </c>
      <c r="H314" s="35" t="str">
        <f aca="false">IF($A314="","",SUM($D314:$G314))</f>
        <v/>
      </c>
      <c r="I314" s="40"/>
      <c r="J314" s="40"/>
      <c r="K314" s="35" t="str">
        <f aca="false">IF($A314="","",N($C314)+$D314-N($I314)-N($J314))</f>
        <v/>
      </c>
      <c r="L314" s="40"/>
      <c r="M314" s="35" t="str">
        <f aca="false">IF(OR($A314="",$L314=""),"",$L314-$K314)</f>
        <v/>
      </c>
      <c r="N314" s="8" t="str">
        <f aca="false">IF($A314="","",IF($L314="","PENDIENTE",IF(ABS($M314)&lt;1,"OK",IF($M314&lt;0,"FALTANTE","SOBRANTE"))))</f>
        <v/>
      </c>
      <c r="O314" s="6"/>
    </row>
    <row r="315" customFormat="false" ht="15" hidden="false" customHeight="false" outlineLevel="0" collapsed="false">
      <c r="A315" s="44"/>
      <c r="B315" s="6"/>
      <c r="C315" s="40"/>
      <c r="D315" s="35" t="str">
        <f aca="false">IF($A315="","",SUMIFS(VENTAS!$H$6:$H$2005,VENTAS!$A$6:$A$2005,$A315,VENTAS!$M$6:$M$2005,"Efectivo"))</f>
        <v/>
      </c>
      <c r="E315" s="35" t="str">
        <f aca="false">IF($A315="","",SUMIFS(VENTAS!$H$6:$H$2005,VENTAS!$A$6:$A$2005,$A315,VENTAS!$M$6:$M$2005,"SINPE Móvil"))</f>
        <v/>
      </c>
      <c r="F315" s="35" t="str">
        <f aca="false">IF($A315="","",SUMIFS(VENTAS!$H$6:$H$2005,VENTAS!$A$6:$A$2005,$A315,VENTAS!$M$6:$M$2005,"Tarjeta"))</f>
        <v/>
      </c>
      <c r="G315" s="35" t="str">
        <f aca="false">IF($A315="","",SUMIFS(VENTAS!$H$6:$H$2005,VENTAS!$A$6:$A$2005,$A315)-$D315-$E315-$F315)</f>
        <v/>
      </c>
      <c r="H315" s="35" t="str">
        <f aca="false">IF($A315="","",SUM($D315:$G315))</f>
        <v/>
      </c>
      <c r="I315" s="40"/>
      <c r="J315" s="40"/>
      <c r="K315" s="35" t="str">
        <f aca="false">IF($A315="","",N($C315)+$D315-N($I315)-N($J315))</f>
        <v/>
      </c>
      <c r="L315" s="40"/>
      <c r="M315" s="35" t="str">
        <f aca="false">IF(OR($A315="",$L315=""),"",$L315-$K315)</f>
        <v/>
      </c>
      <c r="N315" s="8" t="str">
        <f aca="false">IF($A315="","",IF($L315="","PENDIENTE",IF(ABS($M315)&lt;1,"OK",IF($M315&lt;0,"FALTANTE","SOBRANTE"))))</f>
        <v/>
      </c>
      <c r="O315" s="6"/>
    </row>
    <row r="316" customFormat="false" ht="15" hidden="false" customHeight="false" outlineLevel="0" collapsed="false">
      <c r="A316" s="44"/>
      <c r="B316" s="6"/>
      <c r="C316" s="40"/>
      <c r="D316" s="35" t="str">
        <f aca="false">IF($A316="","",SUMIFS(VENTAS!$H$6:$H$2005,VENTAS!$A$6:$A$2005,$A316,VENTAS!$M$6:$M$2005,"Efectivo"))</f>
        <v/>
      </c>
      <c r="E316" s="35" t="str">
        <f aca="false">IF($A316="","",SUMIFS(VENTAS!$H$6:$H$2005,VENTAS!$A$6:$A$2005,$A316,VENTAS!$M$6:$M$2005,"SINPE Móvil"))</f>
        <v/>
      </c>
      <c r="F316" s="35" t="str">
        <f aca="false">IF($A316="","",SUMIFS(VENTAS!$H$6:$H$2005,VENTAS!$A$6:$A$2005,$A316,VENTAS!$M$6:$M$2005,"Tarjeta"))</f>
        <v/>
      </c>
      <c r="G316" s="35" t="str">
        <f aca="false">IF($A316="","",SUMIFS(VENTAS!$H$6:$H$2005,VENTAS!$A$6:$A$2005,$A316)-$D316-$E316-$F316)</f>
        <v/>
      </c>
      <c r="H316" s="35" t="str">
        <f aca="false">IF($A316="","",SUM($D316:$G316))</f>
        <v/>
      </c>
      <c r="I316" s="40"/>
      <c r="J316" s="40"/>
      <c r="K316" s="35" t="str">
        <f aca="false">IF($A316="","",N($C316)+$D316-N($I316)-N($J316))</f>
        <v/>
      </c>
      <c r="L316" s="40"/>
      <c r="M316" s="35" t="str">
        <f aca="false">IF(OR($A316="",$L316=""),"",$L316-$K316)</f>
        <v/>
      </c>
      <c r="N316" s="8" t="str">
        <f aca="false">IF($A316="","",IF($L316="","PENDIENTE",IF(ABS($M316)&lt;1,"OK",IF($M316&lt;0,"FALTANTE","SOBRANTE"))))</f>
        <v/>
      </c>
      <c r="O316" s="6"/>
    </row>
    <row r="317" customFormat="false" ht="15" hidden="false" customHeight="false" outlineLevel="0" collapsed="false">
      <c r="A317" s="44"/>
      <c r="B317" s="6"/>
      <c r="C317" s="40"/>
      <c r="D317" s="35" t="str">
        <f aca="false">IF($A317="","",SUMIFS(VENTAS!$H$6:$H$2005,VENTAS!$A$6:$A$2005,$A317,VENTAS!$M$6:$M$2005,"Efectivo"))</f>
        <v/>
      </c>
      <c r="E317" s="35" t="str">
        <f aca="false">IF($A317="","",SUMIFS(VENTAS!$H$6:$H$2005,VENTAS!$A$6:$A$2005,$A317,VENTAS!$M$6:$M$2005,"SINPE Móvil"))</f>
        <v/>
      </c>
      <c r="F317" s="35" t="str">
        <f aca="false">IF($A317="","",SUMIFS(VENTAS!$H$6:$H$2005,VENTAS!$A$6:$A$2005,$A317,VENTAS!$M$6:$M$2005,"Tarjeta"))</f>
        <v/>
      </c>
      <c r="G317" s="35" t="str">
        <f aca="false">IF($A317="","",SUMIFS(VENTAS!$H$6:$H$2005,VENTAS!$A$6:$A$2005,$A317)-$D317-$E317-$F317)</f>
        <v/>
      </c>
      <c r="H317" s="35" t="str">
        <f aca="false">IF($A317="","",SUM($D317:$G317))</f>
        <v/>
      </c>
      <c r="I317" s="40"/>
      <c r="J317" s="40"/>
      <c r="K317" s="35" t="str">
        <f aca="false">IF($A317="","",N($C317)+$D317-N($I317)-N($J317))</f>
        <v/>
      </c>
      <c r="L317" s="40"/>
      <c r="M317" s="35" t="str">
        <f aca="false">IF(OR($A317="",$L317=""),"",$L317-$K317)</f>
        <v/>
      </c>
      <c r="N317" s="8" t="str">
        <f aca="false">IF($A317="","",IF($L317="","PENDIENTE",IF(ABS($M317)&lt;1,"OK",IF($M317&lt;0,"FALTANTE","SOBRANTE"))))</f>
        <v/>
      </c>
      <c r="O317" s="6"/>
    </row>
    <row r="318" customFormat="false" ht="15" hidden="false" customHeight="false" outlineLevel="0" collapsed="false">
      <c r="A318" s="44"/>
      <c r="B318" s="6"/>
      <c r="C318" s="40"/>
      <c r="D318" s="35" t="str">
        <f aca="false">IF($A318="","",SUMIFS(VENTAS!$H$6:$H$2005,VENTAS!$A$6:$A$2005,$A318,VENTAS!$M$6:$M$2005,"Efectivo"))</f>
        <v/>
      </c>
      <c r="E318" s="35" t="str">
        <f aca="false">IF($A318="","",SUMIFS(VENTAS!$H$6:$H$2005,VENTAS!$A$6:$A$2005,$A318,VENTAS!$M$6:$M$2005,"SINPE Móvil"))</f>
        <v/>
      </c>
      <c r="F318" s="35" t="str">
        <f aca="false">IF($A318="","",SUMIFS(VENTAS!$H$6:$H$2005,VENTAS!$A$6:$A$2005,$A318,VENTAS!$M$6:$M$2005,"Tarjeta"))</f>
        <v/>
      </c>
      <c r="G318" s="35" t="str">
        <f aca="false">IF($A318="","",SUMIFS(VENTAS!$H$6:$H$2005,VENTAS!$A$6:$A$2005,$A318)-$D318-$E318-$F318)</f>
        <v/>
      </c>
      <c r="H318" s="35" t="str">
        <f aca="false">IF($A318="","",SUM($D318:$G318))</f>
        <v/>
      </c>
      <c r="I318" s="40"/>
      <c r="J318" s="40"/>
      <c r="K318" s="35" t="str">
        <f aca="false">IF($A318="","",N($C318)+$D318-N($I318)-N($J318))</f>
        <v/>
      </c>
      <c r="L318" s="40"/>
      <c r="M318" s="35" t="str">
        <f aca="false">IF(OR($A318="",$L318=""),"",$L318-$K318)</f>
        <v/>
      </c>
      <c r="N318" s="8" t="str">
        <f aca="false">IF($A318="","",IF($L318="","PENDIENTE",IF(ABS($M318)&lt;1,"OK",IF($M318&lt;0,"FALTANTE","SOBRANTE"))))</f>
        <v/>
      </c>
      <c r="O318" s="6"/>
    </row>
    <row r="319" customFormat="false" ht="15" hidden="false" customHeight="false" outlineLevel="0" collapsed="false">
      <c r="A319" s="44"/>
      <c r="B319" s="6"/>
      <c r="C319" s="40"/>
      <c r="D319" s="35" t="str">
        <f aca="false">IF($A319="","",SUMIFS(VENTAS!$H$6:$H$2005,VENTAS!$A$6:$A$2005,$A319,VENTAS!$M$6:$M$2005,"Efectivo"))</f>
        <v/>
      </c>
      <c r="E319" s="35" t="str">
        <f aca="false">IF($A319="","",SUMIFS(VENTAS!$H$6:$H$2005,VENTAS!$A$6:$A$2005,$A319,VENTAS!$M$6:$M$2005,"SINPE Móvil"))</f>
        <v/>
      </c>
      <c r="F319" s="35" t="str">
        <f aca="false">IF($A319="","",SUMIFS(VENTAS!$H$6:$H$2005,VENTAS!$A$6:$A$2005,$A319,VENTAS!$M$6:$M$2005,"Tarjeta"))</f>
        <v/>
      </c>
      <c r="G319" s="35" t="str">
        <f aca="false">IF($A319="","",SUMIFS(VENTAS!$H$6:$H$2005,VENTAS!$A$6:$A$2005,$A319)-$D319-$E319-$F319)</f>
        <v/>
      </c>
      <c r="H319" s="35" t="str">
        <f aca="false">IF($A319="","",SUM($D319:$G319))</f>
        <v/>
      </c>
      <c r="I319" s="40"/>
      <c r="J319" s="40"/>
      <c r="K319" s="35" t="str">
        <f aca="false">IF($A319="","",N($C319)+$D319-N($I319)-N($J319))</f>
        <v/>
      </c>
      <c r="L319" s="40"/>
      <c r="M319" s="35" t="str">
        <f aca="false">IF(OR($A319="",$L319=""),"",$L319-$K319)</f>
        <v/>
      </c>
      <c r="N319" s="8" t="str">
        <f aca="false">IF($A319="","",IF($L319="","PENDIENTE",IF(ABS($M319)&lt;1,"OK",IF($M319&lt;0,"FALTANTE","SOBRANTE"))))</f>
        <v/>
      </c>
      <c r="O319" s="6"/>
    </row>
    <row r="320" customFormat="false" ht="15" hidden="false" customHeight="false" outlineLevel="0" collapsed="false">
      <c r="A320" s="44"/>
      <c r="B320" s="6"/>
      <c r="C320" s="40"/>
      <c r="D320" s="35" t="str">
        <f aca="false">IF($A320="","",SUMIFS(VENTAS!$H$6:$H$2005,VENTAS!$A$6:$A$2005,$A320,VENTAS!$M$6:$M$2005,"Efectivo"))</f>
        <v/>
      </c>
      <c r="E320" s="35" t="str">
        <f aca="false">IF($A320="","",SUMIFS(VENTAS!$H$6:$H$2005,VENTAS!$A$6:$A$2005,$A320,VENTAS!$M$6:$M$2005,"SINPE Móvil"))</f>
        <v/>
      </c>
      <c r="F320" s="35" t="str">
        <f aca="false">IF($A320="","",SUMIFS(VENTAS!$H$6:$H$2005,VENTAS!$A$6:$A$2005,$A320,VENTAS!$M$6:$M$2005,"Tarjeta"))</f>
        <v/>
      </c>
      <c r="G320" s="35" t="str">
        <f aca="false">IF($A320="","",SUMIFS(VENTAS!$H$6:$H$2005,VENTAS!$A$6:$A$2005,$A320)-$D320-$E320-$F320)</f>
        <v/>
      </c>
      <c r="H320" s="35" t="str">
        <f aca="false">IF($A320="","",SUM($D320:$G320))</f>
        <v/>
      </c>
      <c r="I320" s="40"/>
      <c r="J320" s="40"/>
      <c r="K320" s="35" t="str">
        <f aca="false">IF($A320="","",N($C320)+$D320-N($I320)-N($J320))</f>
        <v/>
      </c>
      <c r="L320" s="40"/>
      <c r="M320" s="35" t="str">
        <f aca="false">IF(OR($A320="",$L320=""),"",$L320-$K320)</f>
        <v/>
      </c>
      <c r="N320" s="8" t="str">
        <f aca="false">IF($A320="","",IF($L320="","PENDIENTE",IF(ABS($M320)&lt;1,"OK",IF($M320&lt;0,"FALTANTE","SOBRANTE"))))</f>
        <v/>
      </c>
      <c r="O320" s="6"/>
    </row>
    <row r="321" customFormat="false" ht="15" hidden="false" customHeight="false" outlineLevel="0" collapsed="false">
      <c r="A321" s="44"/>
      <c r="B321" s="6"/>
      <c r="C321" s="40"/>
      <c r="D321" s="35" t="str">
        <f aca="false">IF($A321="","",SUMIFS(VENTAS!$H$6:$H$2005,VENTAS!$A$6:$A$2005,$A321,VENTAS!$M$6:$M$2005,"Efectivo"))</f>
        <v/>
      </c>
      <c r="E321" s="35" t="str">
        <f aca="false">IF($A321="","",SUMIFS(VENTAS!$H$6:$H$2005,VENTAS!$A$6:$A$2005,$A321,VENTAS!$M$6:$M$2005,"SINPE Móvil"))</f>
        <v/>
      </c>
      <c r="F321" s="35" t="str">
        <f aca="false">IF($A321="","",SUMIFS(VENTAS!$H$6:$H$2005,VENTAS!$A$6:$A$2005,$A321,VENTAS!$M$6:$M$2005,"Tarjeta"))</f>
        <v/>
      </c>
      <c r="G321" s="35" t="str">
        <f aca="false">IF($A321="","",SUMIFS(VENTAS!$H$6:$H$2005,VENTAS!$A$6:$A$2005,$A321)-$D321-$E321-$F321)</f>
        <v/>
      </c>
      <c r="H321" s="35" t="str">
        <f aca="false">IF($A321="","",SUM($D321:$G321))</f>
        <v/>
      </c>
      <c r="I321" s="40"/>
      <c r="J321" s="40"/>
      <c r="K321" s="35" t="str">
        <f aca="false">IF($A321="","",N($C321)+$D321-N($I321)-N($J321))</f>
        <v/>
      </c>
      <c r="L321" s="40"/>
      <c r="M321" s="35" t="str">
        <f aca="false">IF(OR($A321="",$L321=""),"",$L321-$K321)</f>
        <v/>
      </c>
      <c r="N321" s="8" t="str">
        <f aca="false">IF($A321="","",IF($L321="","PENDIENTE",IF(ABS($M321)&lt;1,"OK",IF($M321&lt;0,"FALTANTE","SOBRANTE"))))</f>
        <v/>
      </c>
      <c r="O321" s="6"/>
    </row>
    <row r="322" customFormat="false" ht="15" hidden="false" customHeight="false" outlineLevel="0" collapsed="false">
      <c r="A322" s="44"/>
      <c r="B322" s="6"/>
      <c r="C322" s="40"/>
      <c r="D322" s="35" t="str">
        <f aca="false">IF($A322="","",SUMIFS(VENTAS!$H$6:$H$2005,VENTAS!$A$6:$A$2005,$A322,VENTAS!$M$6:$M$2005,"Efectivo"))</f>
        <v/>
      </c>
      <c r="E322" s="35" t="str">
        <f aca="false">IF($A322="","",SUMIFS(VENTAS!$H$6:$H$2005,VENTAS!$A$6:$A$2005,$A322,VENTAS!$M$6:$M$2005,"SINPE Móvil"))</f>
        <v/>
      </c>
      <c r="F322" s="35" t="str">
        <f aca="false">IF($A322="","",SUMIFS(VENTAS!$H$6:$H$2005,VENTAS!$A$6:$A$2005,$A322,VENTAS!$M$6:$M$2005,"Tarjeta"))</f>
        <v/>
      </c>
      <c r="G322" s="35" t="str">
        <f aca="false">IF($A322="","",SUMIFS(VENTAS!$H$6:$H$2005,VENTAS!$A$6:$A$2005,$A322)-$D322-$E322-$F322)</f>
        <v/>
      </c>
      <c r="H322" s="35" t="str">
        <f aca="false">IF($A322="","",SUM($D322:$G322))</f>
        <v/>
      </c>
      <c r="I322" s="40"/>
      <c r="J322" s="40"/>
      <c r="K322" s="35" t="str">
        <f aca="false">IF($A322="","",N($C322)+$D322-N($I322)-N($J322))</f>
        <v/>
      </c>
      <c r="L322" s="40"/>
      <c r="M322" s="35" t="str">
        <f aca="false">IF(OR($A322="",$L322=""),"",$L322-$K322)</f>
        <v/>
      </c>
      <c r="N322" s="8" t="str">
        <f aca="false">IF($A322="","",IF($L322="","PENDIENTE",IF(ABS($M322)&lt;1,"OK",IF($M322&lt;0,"FALTANTE","SOBRANTE"))))</f>
        <v/>
      </c>
      <c r="O322" s="6"/>
    </row>
    <row r="323" customFormat="false" ht="15" hidden="false" customHeight="false" outlineLevel="0" collapsed="false">
      <c r="A323" s="44"/>
      <c r="B323" s="6"/>
      <c r="C323" s="40"/>
      <c r="D323" s="35" t="str">
        <f aca="false">IF($A323="","",SUMIFS(VENTAS!$H$6:$H$2005,VENTAS!$A$6:$A$2005,$A323,VENTAS!$M$6:$M$2005,"Efectivo"))</f>
        <v/>
      </c>
      <c r="E323" s="35" t="str">
        <f aca="false">IF($A323="","",SUMIFS(VENTAS!$H$6:$H$2005,VENTAS!$A$6:$A$2005,$A323,VENTAS!$M$6:$M$2005,"SINPE Móvil"))</f>
        <v/>
      </c>
      <c r="F323" s="35" t="str">
        <f aca="false">IF($A323="","",SUMIFS(VENTAS!$H$6:$H$2005,VENTAS!$A$6:$A$2005,$A323,VENTAS!$M$6:$M$2005,"Tarjeta"))</f>
        <v/>
      </c>
      <c r="G323" s="35" t="str">
        <f aca="false">IF($A323="","",SUMIFS(VENTAS!$H$6:$H$2005,VENTAS!$A$6:$A$2005,$A323)-$D323-$E323-$F323)</f>
        <v/>
      </c>
      <c r="H323" s="35" t="str">
        <f aca="false">IF($A323="","",SUM($D323:$G323))</f>
        <v/>
      </c>
      <c r="I323" s="40"/>
      <c r="J323" s="40"/>
      <c r="K323" s="35" t="str">
        <f aca="false">IF($A323="","",N($C323)+$D323-N($I323)-N($J323))</f>
        <v/>
      </c>
      <c r="L323" s="40"/>
      <c r="M323" s="35" t="str">
        <f aca="false">IF(OR($A323="",$L323=""),"",$L323-$K323)</f>
        <v/>
      </c>
      <c r="N323" s="8" t="str">
        <f aca="false">IF($A323="","",IF($L323="","PENDIENTE",IF(ABS($M323)&lt;1,"OK",IF($M323&lt;0,"FALTANTE","SOBRANTE"))))</f>
        <v/>
      </c>
      <c r="O323" s="6"/>
    </row>
    <row r="324" customFormat="false" ht="15" hidden="false" customHeight="false" outlineLevel="0" collapsed="false">
      <c r="A324" s="44"/>
      <c r="B324" s="6"/>
      <c r="C324" s="40"/>
      <c r="D324" s="35" t="str">
        <f aca="false">IF($A324="","",SUMIFS(VENTAS!$H$6:$H$2005,VENTAS!$A$6:$A$2005,$A324,VENTAS!$M$6:$M$2005,"Efectivo"))</f>
        <v/>
      </c>
      <c r="E324" s="35" t="str">
        <f aca="false">IF($A324="","",SUMIFS(VENTAS!$H$6:$H$2005,VENTAS!$A$6:$A$2005,$A324,VENTAS!$M$6:$M$2005,"SINPE Móvil"))</f>
        <v/>
      </c>
      <c r="F324" s="35" t="str">
        <f aca="false">IF($A324="","",SUMIFS(VENTAS!$H$6:$H$2005,VENTAS!$A$6:$A$2005,$A324,VENTAS!$M$6:$M$2005,"Tarjeta"))</f>
        <v/>
      </c>
      <c r="G324" s="35" t="str">
        <f aca="false">IF($A324="","",SUMIFS(VENTAS!$H$6:$H$2005,VENTAS!$A$6:$A$2005,$A324)-$D324-$E324-$F324)</f>
        <v/>
      </c>
      <c r="H324" s="35" t="str">
        <f aca="false">IF($A324="","",SUM($D324:$G324))</f>
        <v/>
      </c>
      <c r="I324" s="40"/>
      <c r="J324" s="40"/>
      <c r="K324" s="35" t="str">
        <f aca="false">IF($A324="","",N($C324)+$D324-N($I324)-N($J324))</f>
        <v/>
      </c>
      <c r="L324" s="40"/>
      <c r="M324" s="35" t="str">
        <f aca="false">IF(OR($A324="",$L324=""),"",$L324-$K324)</f>
        <v/>
      </c>
      <c r="N324" s="8" t="str">
        <f aca="false">IF($A324="","",IF($L324="","PENDIENTE",IF(ABS($M324)&lt;1,"OK",IF($M324&lt;0,"FALTANTE","SOBRANTE"))))</f>
        <v/>
      </c>
      <c r="O324" s="6"/>
    </row>
    <row r="325" customFormat="false" ht="15" hidden="false" customHeight="false" outlineLevel="0" collapsed="false">
      <c r="A325" s="44"/>
      <c r="B325" s="6"/>
      <c r="C325" s="40"/>
      <c r="D325" s="35" t="str">
        <f aca="false">IF($A325="","",SUMIFS(VENTAS!$H$6:$H$2005,VENTAS!$A$6:$A$2005,$A325,VENTAS!$M$6:$M$2005,"Efectivo"))</f>
        <v/>
      </c>
      <c r="E325" s="35" t="str">
        <f aca="false">IF($A325="","",SUMIFS(VENTAS!$H$6:$H$2005,VENTAS!$A$6:$A$2005,$A325,VENTAS!$M$6:$M$2005,"SINPE Móvil"))</f>
        <v/>
      </c>
      <c r="F325" s="35" t="str">
        <f aca="false">IF($A325="","",SUMIFS(VENTAS!$H$6:$H$2005,VENTAS!$A$6:$A$2005,$A325,VENTAS!$M$6:$M$2005,"Tarjeta"))</f>
        <v/>
      </c>
      <c r="G325" s="35" t="str">
        <f aca="false">IF($A325="","",SUMIFS(VENTAS!$H$6:$H$2005,VENTAS!$A$6:$A$2005,$A325)-$D325-$E325-$F325)</f>
        <v/>
      </c>
      <c r="H325" s="35" t="str">
        <f aca="false">IF($A325="","",SUM($D325:$G325))</f>
        <v/>
      </c>
      <c r="I325" s="40"/>
      <c r="J325" s="40"/>
      <c r="K325" s="35" t="str">
        <f aca="false">IF($A325="","",N($C325)+$D325-N($I325)-N($J325))</f>
        <v/>
      </c>
      <c r="L325" s="40"/>
      <c r="M325" s="35" t="str">
        <f aca="false">IF(OR($A325="",$L325=""),"",$L325-$K325)</f>
        <v/>
      </c>
      <c r="N325" s="8" t="str">
        <f aca="false">IF($A325="","",IF($L325="","PENDIENTE",IF(ABS($M325)&lt;1,"OK",IF($M325&lt;0,"FALTANTE","SOBRANTE"))))</f>
        <v/>
      </c>
      <c r="O325" s="6"/>
    </row>
    <row r="326" customFormat="false" ht="15" hidden="false" customHeight="false" outlineLevel="0" collapsed="false">
      <c r="A326" s="44"/>
      <c r="B326" s="6"/>
      <c r="C326" s="40"/>
      <c r="D326" s="35" t="str">
        <f aca="false">IF($A326="","",SUMIFS(VENTAS!$H$6:$H$2005,VENTAS!$A$6:$A$2005,$A326,VENTAS!$M$6:$M$2005,"Efectivo"))</f>
        <v/>
      </c>
      <c r="E326" s="35" t="str">
        <f aca="false">IF($A326="","",SUMIFS(VENTAS!$H$6:$H$2005,VENTAS!$A$6:$A$2005,$A326,VENTAS!$M$6:$M$2005,"SINPE Móvil"))</f>
        <v/>
      </c>
      <c r="F326" s="35" t="str">
        <f aca="false">IF($A326="","",SUMIFS(VENTAS!$H$6:$H$2005,VENTAS!$A$6:$A$2005,$A326,VENTAS!$M$6:$M$2005,"Tarjeta"))</f>
        <v/>
      </c>
      <c r="G326" s="35" t="str">
        <f aca="false">IF($A326="","",SUMIFS(VENTAS!$H$6:$H$2005,VENTAS!$A$6:$A$2005,$A326)-$D326-$E326-$F326)</f>
        <v/>
      </c>
      <c r="H326" s="35" t="str">
        <f aca="false">IF($A326="","",SUM($D326:$G326))</f>
        <v/>
      </c>
      <c r="I326" s="40"/>
      <c r="J326" s="40"/>
      <c r="K326" s="35" t="str">
        <f aca="false">IF($A326="","",N($C326)+$D326-N($I326)-N($J326))</f>
        <v/>
      </c>
      <c r="L326" s="40"/>
      <c r="M326" s="35" t="str">
        <f aca="false">IF(OR($A326="",$L326=""),"",$L326-$K326)</f>
        <v/>
      </c>
      <c r="N326" s="8" t="str">
        <f aca="false">IF($A326="","",IF($L326="","PENDIENTE",IF(ABS($M326)&lt;1,"OK",IF($M326&lt;0,"FALTANTE","SOBRANTE"))))</f>
        <v/>
      </c>
      <c r="O326" s="6"/>
    </row>
    <row r="327" customFormat="false" ht="15" hidden="false" customHeight="false" outlineLevel="0" collapsed="false">
      <c r="A327" s="44"/>
      <c r="B327" s="6"/>
      <c r="C327" s="40"/>
      <c r="D327" s="35" t="str">
        <f aca="false">IF($A327="","",SUMIFS(VENTAS!$H$6:$H$2005,VENTAS!$A$6:$A$2005,$A327,VENTAS!$M$6:$M$2005,"Efectivo"))</f>
        <v/>
      </c>
      <c r="E327" s="35" t="str">
        <f aca="false">IF($A327="","",SUMIFS(VENTAS!$H$6:$H$2005,VENTAS!$A$6:$A$2005,$A327,VENTAS!$M$6:$M$2005,"SINPE Móvil"))</f>
        <v/>
      </c>
      <c r="F327" s="35" t="str">
        <f aca="false">IF($A327="","",SUMIFS(VENTAS!$H$6:$H$2005,VENTAS!$A$6:$A$2005,$A327,VENTAS!$M$6:$M$2005,"Tarjeta"))</f>
        <v/>
      </c>
      <c r="G327" s="35" t="str">
        <f aca="false">IF($A327="","",SUMIFS(VENTAS!$H$6:$H$2005,VENTAS!$A$6:$A$2005,$A327)-$D327-$E327-$F327)</f>
        <v/>
      </c>
      <c r="H327" s="35" t="str">
        <f aca="false">IF($A327="","",SUM($D327:$G327))</f>
        <v/>
      </c>
      <c r="I327" s="40"/>
      <c r="J327" s="40"/>
      <c r="K327" s="35" t="str">
        <f aca="false">IF($A327="","",N($C327)+$D327-N($I327)-N($J327))</f>
        <v/>
      </c>
      <c r="L327" s="40"/>
      <c r="M327" s="35" t="str">
        <f aca="false">IF(OR($A327="",$L327=""),"",$L327-$K327)</f>
        <v/>
      </c>
      <c r="N327" s="8" t="str">
        <f aca="false">IF($A327="","",IF($L327="","PENDIENTE",IF(ABS($M327)&lt;1,"OK",IF($M327&lt;0,"FALTANTE","SOBRANTE"))))</f>
        <v/>
      </c>
      <c r="O327" s="6"/>
    </row>
    <row r="328" customFormat="false" ht="15" hidden="false" customHeight="false" outlineLevel="0" collapsed="false">
      <c r="A328" s="44"/>
      <c r="B328" s="6"/>
      <c r="C328" s="40"/>
      <c r="D328" s="35" t="str">
        <f aca="false">IF($A328="","",SUMIFS(VENTAS!$H$6:$H$2005,VENTAS!$A$6:$A$2005,$A328,VENTAS!$M$6:$M$2005,"Efectivo"))</f>
        <v/>
      </c>
      <c r="E328" s="35" t="str">
        <f aca="false">IF($A328="","",SUMIFS(VENTAS!$H$6:$H$2005,VENTAS!$A$6:$A$2005,$A328,VENTAS!$M$6:$M$2005,"SINPE Móvil"))</f>
        <v/>
      </c>
      <c r="F328" s="35" t="str">
        <f aca="false">IF($A328="","",SUMIFS(VENTAS!$H$6:$H$2005,VENTAS!$A$6:$A$2005,$A328,VENTAS!$M$6:$M$2005,"Tarjeta"))</f>
        <v/>
      </c>
      <c r="G328" s="35" t="str">
        <f aca="false">IF($A328="","",SUMIFS(VENTAS!$H$6:$H$2005,VENTAS!$A$6:$A$2005,$A328)-$D328-$E328-$F328)</f>
        <v/>
      </c>
      <c r="H328" s="35" t="str">
        <f aca="false">IF($A328="","",SUM($D328:$G328))</f>
        <v/>
      </c>
      <c r="I328" s="40"/>
      <c r="J328" s="40"/>
      <c r="K328" s="35" t="str">
        <f aca="false">IF($A328="","",N($C328)+$D328-N($I328)-N($J328))</f>
        <v/>
      </c>
      <c r="L328" s="40"/>
      <c r="M328" s="35" t="str">
        <f aca="false">IF(OR($A328="",$L328=""),"",$L328-$K328)</f>
        <v/>
      </c>
      <c r="N328" s="8" t="str">
        <f aca="false">IF($A328="","",IF($L328="","PENDIENTE",IF(ABS($M328)&lt;1,"OK",IF($M328&lt;0,"FALTANTE","SOBRANTE"))))</f>
        <v/>
      </c>
      <c r="O328" s="6"/>
    </row>
    <row r="329" customFormat="false" ht="15" hidden="false" customHeight="false" outlineLevel="0" collapsed="false">
      <c r="A329" s="44"/>
      <c r="B329" s="6"/>
      <c r="C329" s="40"/>
      <c r="D329" s="35" t="str">
        <f aca="false">IF($A329="","",SUMIFS(VENTAS!$H$6:$H$2005,VENTAS!$A$6:$A$2005,$A329,VENTAS!$M$6:$M$2005,"Efectivo"))</f>
        <v/>
      </c>
      <c r="E329" s="35" t="str">
        <f aca="false">IF($A329="","",SUMIFS(VENTAS!$H$6:$H$2005,VENTAS!$A$6:$A$2005,$A329,VENTAS!$M$6:$M$2005,"SINPE Móvil"))</f>
        <v/>
      </c>
      <c r="F329" s="35" t="str">
        <f aca="false">IF($A329="","",SUMIFS(VENTAS!$H$6:$H$2005,VENTAS!$A$6:$A$2005,$A329,VENTAS!$M$6:$M$2005,"Tarjeta"))</f>
        <v/>
      </c>
      <c r="G329" s="35" t="str">
        <f aca="false">IF($A329="","",SUMIFS(VENTAS!$H$6:$H$2005,VENTAS!$A$6:$A$2005,$A329)-$D329-$E329-$F329)</f>
        <v/>
      </c>
      <c r="H329" s="35" t="str">
        <f aca="false">IF($A329="","",SUM($D329:$G329))</f>
        <v/>
      </c>
      <c r="I329" s="40"/>
      <c r="J329" s="40"/>
      <c r="K329" s="35" t="str">
        <f aca="false">IF($A329="","",N($C329)+$D329-N($I329)-N($J329))</f>
        <v/>
      </c>
      <c r="L329" s="40"/>
      <c r="M329" s="35" t="str">
        <f aca="false">IF(OR($A329="",$L329=""),"",$L329-$K329)</f>
        <v/>
      </c>
      <c r="N329" s="8" t="str">
        <f aca="false">IF($A329="","",IF($L329="","PENDIENTE",IF(ABS($M329)&lt;1,"OK",IF($M329&lt;0,"FALTANTE","SOBRANTE"))))</f>
        <v/>
      </c>
      <c r="O329" s="6"/>
    </row>
    <row r="330" customFormat="false" ht="15" hidden="false" customHeight="false" outlineLevel="0" collapsed="false">
      <c r="A330" s="44"/>
      <c r="B330" s="6"/>
      <c r="C330" s="40"/>
      <c r="D330" s="35" t="str">
        <f aca="false">IF($A330="","",SUMIFS(VENTAS!$H$6:$H$2005,VENTAS!$A$6:$A$2005,$A330,VENTAS!$M$6:$M$2005,"Efectivo"))</f>
        <v/>
      </c>
      <c r="E330" s="35" t="str">
        <f aca="false">IF($A330="","",SUMIFS(VENTAS!$H$6:$H$2005,VENTAS!$A$6:$A$2005,$A330,VENTAS!$M$6:$M$2005,"SINPE Móvil"))</f>
        <v/>
      </c>
      <c r="F330" s="35" t="str">
        <f aca="false">IF($A330="","",SUMIFS(VENTAS!$H$6:$H$2005,VENTAS!$A$6:$A$2005,$A330,VENTAS!$M$6:$M$2005,"Tarjeta"))</f>
        <v/>
      </c>
      <c r="G330" s="35" t="str">
        <f aca="false">IF($A330="","",SUMIFS(VENTAS!$H$6:$H$2005,VENTAS!$A$6:$A$2005,$A330)-$D330-$E330-$F330)</f>
        <v/>
      </c>
      <c r="H330" s="35" t="str">
        <f aca="false">IF($A330="","",SUM($D330:$G330))</f>
        <v/>
      </c>
      <c r="I330" s="40"/>
      <c r="J330" s="40"/>
      <c r="K330" s="35" t="str">
        <f aca="false">IF($A330="","",N($C330)+$D330-N($I330)-N($J330))</f>
        <v/>
      </c>
      <c r="L330" s="40"/>
      <c r="M330" s="35" t="str">
        <f aca="false">IF(OR($A330="",$L330=""),"",$L330-$K330)</f>
        <v/>
      </c>
      <c r="N330" s="8" t="str">
        <f aca="false">IF($A330="","",IF($L330="","PENDIENTE",IF(ABS($M330)&lt;1,"OK",IF($M330&lt;0,"FALTANTE","SOBRANTE"))))</f>
        <v/>
      </c>
      <c r="O330" s="6"/>
    </row>
    <row r="331" customFormat="false" ht="15" hidden="false" customHeight="false" outlineLevel="0" collapsed="false">
      <c r="A331" s="44"/>
      <c r="B331" s="6"/>
      <c r="C331" s="40"/>
      <c r="D331" s="35" t="str">
        <f aca="false">IF($A331="","",SUMIFS(VENTAS!$H$6:$H$2005,VENTAS!$A$6:$A$2005,$A331,VENTAS!$M$6:$M$2005,"Efectivo"))</f>
        <v/>
      </c>
      <c r="E331" s="35" t="str">
        <f aca="false">IF($A331="","",SUMIFS(VENTAS!$H$6:$H$2005,VENTAS!$A$6:$A$2005,$A331,VENTAS!$M$6:$M$2005,"SINPE Móvil"))</f>
        <v/>
      </c>
      <c r="F331" s="35" t="str">
        <f aca="false">IF($A331="","",SUMIFS(VENTAS!$H$6:$H$2005,VENTAS!$A$6:$A$2005,$A331,VENTAS!$M$6:$M$2005,"Tarjeta"))</f>
        <v/>
      </c>
      <c r="G331" s="35" t="str">
        <f aca="false">IF($A331="","",SUMIFS(VENTAS!$H$6:$H$2005,VENTAS!$A$6:$A$2005,$A331)-$D331-$E331-$F331)</f>
        <v/>
      </c>
      <c r="H331" s="35" t="str">
        <f aca="false">IF($A331="","",SUM($D331:$G331))</f>
        <v/>
      </c>
      <c r="I331" s="40"/>
      <c r="J331" s="40"/>
      <c r="K331" s="35" t="str">
        <f aca="false">IF($A331="","",N($C331)+$D331-N($I331)-N($J331))</f>
        <v/>
      </c>
      <c r="L331" s="40"/>
      <c r="M331" s="35" t="str">
        <f aca="false">IF(OR($A331="",$L331=""),"",$L331-$K331)</f>
        <v/>
      </c>
      <c r="N331" s="8" t="str">
        <f aca="false">IF($A331="","",IF($L331="","PENDIENTE",IF(ABS($M331)&lt;1,"OK",IF($M331&lt;0,"FALTANTE","SOBRANTE"))))</f>
        <v/>
      </c>
      <c r="O331" s="6"/>
    </row>
    <row r="332" customFormat="false" ht="15" hidden="false" customHeight="false" outlineLevel="0" collapsed="false">
      <c r="A332" s="44"/>
      <c r="B332" s="6"/>
      <c r="C332" s="40"/>
      <c r="D332" s="35" t="str">
        <f aca="false">IF($A332="","",SUMIFS(VENTAS!$H$6:$H$2005,VENTAS!$A$6:$A$2005,$A332,VENTAS!$M$6:$M$2005,"Efectivo"))</f>
        <v/>
      </c>
      <c r="E332" s="35" t="str">
        <f aca="false">IF($A332="","",SUMIFS(VENTAS!$H$6:$H$2005,VENTAS!$A$6:$A$2005,$A332,VENTAS!$M$6:$M$2005,"SINPE Móvil"))</f>
        <v/>
      </c>
      <c r="F332" s="35" t="str">
        <f aca="false">IF($A332="","",SUMIFS(VENTAS!$H$6:$H$2005,VENTAS!$A$6:$A$2005,$A332,VENTAS!$M$6:$M$2005,"Tarjeta"))</f>
        <v/>
      </c>
      <c r="G332" s="35" t="str">
        <f aca="false">IF($A332="","",SUMIFS(VENTAS!$H$6:$H$2005,VENTAS!$A$6:$A$2005,$A332)-$D332-$E332-$F332)</f>
        <v/>
      </c>
      <c r="H332" s="35" t="str">
        <f aca="false">IF($A332="","",SUM($D332:$G332))</f>
        <v/>
      </c>
      <c r="I332" s="40"/>
      <c r="J332" s="40"/>
      <c r="K332" s="35" t="str">
        <f aca="false">IF($A332="","",N($C332)+$D332-N($I332)-N($J332))</f>
        <v/>
      </c>
      <c r="L332" s="40"/>
      <c r="M332" s="35" t="str">
        <f aca="false">IF(OR($A332="",$L332=""),"",$L332-$K332)</f>
        <v/>
      </c>
      <c r="N332" s="8" t="str">
        <f aca="false">IF($A332="","",IF($L332="","PENDIENTE",IF(ABS($M332)&lt;1,"OK",IF($M332&lt;0,"FALTANTE","SOBRANTE"))))</f>
        <v/>
      </c>
      <c r="O332" s="6"/>
    </row>
    <row r="333" customFormat="false" ht="15" hidden="false" customHeight="false" outlineLevel="0" collapsed="false">
      <c r="A333" s="44"/>
      <c r="B333" s="6"/>
      <c r="C333" s="40"/>
      <c r="D333" s="35" t="str">
        <f aca="false">IF($A333="","",SUMIFS(VENTAS!$H$6:$H$2005,VENTAS!$A$6:$A$2005,$A333,VENTAS!$M$6:$M$2005,"Efectivo"))</f>
        <v/>
      </c>
      <c r="E333" s="35" t="str">
        <f aca="false">IF($A333="","",SUMIFS(VENTAS!$H$6:$H$2005,VENTAS!$A$6:$A$2005,$A333,VENTAS!$M$6:$M$2005,"SINPE Móvil"))</f>
        <v/>
      </c>
      <c r="F333" s="35" t="str">
        <f aca="false">IF($A333="","",SUMIFS(VENTAS!$H$6:$H$2005,VENTAS!$A$6:$A$2005,$A333,VENTAS!$M$6:$M$2005,"Tarjeta"))</f>
        <v/>
      </c>
      <c r="G333" s="35" t="str">
        <f aca="false">IF($A333="","",SUMIFS(VENTAS!$H$6:$H$2005,VENTAS!$A$6:$A$2005,$A333)-$D333-$E333-$F333)</f>
        <v/>
      </c>
      <c r="H333" s="35" t="str">
        <f aca="false">IF($A333="","",SUM($D333:$G333))</f>
        <v/>
      </c>
      <c r="I333" s="40"/>
      <c r="J333" s="40"/>
      <c r="K333" s="35" t="str">
        <f aca="false">IF($A333="","",N($C333)+$D333-N($I333)-N($J333))</f>
        <v/>
      </c>
      <c r="L333" s="40"/>
      <c r="M333" s="35" t="str">
        <f aca="false">IF(OR($A333="",$L333=""),"",$L333-$K333)</f>
        <v/>
      </c>
      <c r="N333" s="8" t="str">
        <f aca="false">IF($A333="","",IF($L333="","PENDIENTE",IF(ABS($M333)&lt;1,"OK",IF($M333&lt;0,"FALTANTE","SOBRANTE"))))</f>
        <v/>
      </c>
      <c r="O333" s="6"/>
    </row>
    <row r="334" customFormat="false" ht="15" hidden="false" customHeight="false" outlineLevel="0" collapsed="false">
      <c r="A334" s="44"/>
      <c r="B334" s="6"/>
      <c r="C334" s="40"/>
      <c r="D334" s="35" t="str">
        <f aca="false">IF($A334="","",SUMIFS(VENTAS!$H$6:$H$2005,VENTAS!$A$6:$A$2005,$A334,VENTAS!$M$6:$M$2005,"Efectivo"))</f>
        <v/>
      </c>
      <c r="E334" s="35" t="str">
        <f aca="false">IF($A334="","",SUMIFS(VENTAS!$H$6:$H$2005,VENTAS!$A$6:$A$2005,$A334,VENTAS!$M$6:$M$2005,"SINPE Móvil"))</f>
        <v/>
      </c>
      <c r="F334" s="35" t="str">
        <f aca="false">IF($A334="","",SUMIFS(VENTAS!$H$6:$H$2005,VENTAS!$A$6:$A$2005,$A334,VENTAS!$M$6:$M$2005,"Tarjeta"))</f>
        <v/>
      </c>
      <c r="G334" s="35" t="str">
        <f aca="false">IF($A334="","",SUMIFS(VENTAS!$H$6:$H$2005,VENTAS!$A$6:$A$2005,$A334)-$D334-$E334-$F334)</f>
        <v/>
      </c>
      <c r="H334" s="35" t="str">
        <f aca="false">IF($A334="","",SUM($D334:$G334))</f>
        <v/>
      </c>
      <c r="I334" s="40"/>
      <c r="J334" s="40"/>
      <c r="K334" s="35" t="str">
        <f aca="false">IF($A334="","",N($C334)+$D334-N($I334)-N($J334))</f>
        <v/>
      </c>
      <c r="L334" s="40"/>
      <c r="M334" s="35" t="str">
        <f aca="false">IF(OR($A334="",$L334=""),"",$L334-$K334)</f>
        <v/>
      </c>
      <c r="N334" s="8" t="str">
        <f aca="false">IF($A334="","",IF($L334="","PENDIENTE",IF(ABS($M334)&lt;1,"OK",IF($M334&lt;0,"FALTANTE","SOBRANTE"))))</f>
        <v/>
      </c>
      <c r="O334" s="6"/>
    </row>
    <row r="335" customFormat="false" ht="15" hidden="false" customHeight="false" outlineLevel="0" collapsed="false">
      <c r="A335" s="44"/>
      <c r="B335" s="6"/>
      <c r="C335" s="40"/>
      <c r="D335" s="35" t="str">
        <f aca="false">IF($A335="","",SUMIFS(VENTAS!$H$6:$H$2005,VENTAS!$A$6:$A$2005,$A335,VENTAS!$M$6:$M$2005,"Efectivo"))</f>
        <v/>
      </c>
      <c r="E335" s="35" t="str">
        <f aca="false">IF($A335="","",SUMIFS(VENTAS!$H$6:$H$2005,VENTAS!$A$6:$A$2005,$A335,VENTAS!$M$6:$M$2005,"SINPE Móvil"))</f>
        <v/>
      </c>
      <c r="F335" s="35" t="str">
        <f aca="false">IF($A335="","",SUMIFS(VENTAS!$H$6:$H$2005,VENTAS!$A$6:$A$2005,$A335,VENTAS!$M$6:$M$2005,"Tarjeta"))</f>
        <v/>
      </c>
      <c r="G335" s="35" t="str">
        <f aca="false">IF($A335="","",SUMIFS(VENTAS!$H$6:$H$2005,VENTAS!$A$6:$A$2005,$A335)-$D335-$E335-$F335)</f>
        <v/>
      </c>
      <c r="H335" s="35" t="str">
        <f aca="false">IF($A335="","",SUM($D335:$G335))</f>
        <v/>
      </c>
      <c r="I335" s="40"/>
      <c r="J335" s="40"/>
      <c r="K335" s="35" t="str">
        <f aca="false">IF($A335="","",N($C335)+$D335-N($I335)-N($J335))</f>
        <v/>
      </c>
      <c r="L335" s="40"/>
      <c r="M335" s="35" t="str">
        <f aca="false">IF(OR($A335="",$L335=""),"",$L335-$K335)</f>
        <v/>
      </c>
      <c r="N335" s="8" t="str">
        <f aca="false">IF($A335="","",IF($L335="","PENDIENTE",IF(ABS($M335)&lt;1,"OK",IF($M335&lt;0,"FALTANTE","SOBRANTE"))))</f>
        <v/>
      </c>
      <c r="O335" s="6"/>
    </row>
    <row r="336" customFormat="false" ht="15" hidden="false" customHeight="false" outlineLevel="0" collapsed="false">
      <c r="A336" s="44"/>
      <c r="B336" s="6"/>
      <c r="C336" s="40"/>
      <c r="D336" s="35" t="str">
        <f aca="false">IF($A336="","",SUMIFS(VENTAS!$H$6:$H$2005,VENTAS!$A$6:$A$2005,$A336,VENTAS!$M$6:$M$2005,"Efectivo"))</f>
        <v/>
      </c>
      <c r="E336" s="35" t="str">
        <f aca="false">IF($A336="","",SUMIFS(VENTAS!$H$6:$H$2005,VENTAS!$A$6:$A$2005,$A336,VENTAS!$M$6:$M$2005,"SINPE Móvil"))</f>
        <v/>
      </c>
      <c r="F336" s="35" t="str">
        <f aca="false">IF($A336="","",SUMIFS(VENTAS!$H$6:$H$2005,VENTAS!$A$6:$A$2005,$A336,VENTAS!$M$6:$M$2005,"Tarjeta"))</f>
        <v/>
      </c>
      <c r="G336" s="35" t="str">
        <f aca="false">IF($A336="","",SUMIFS(VENTAS!$H$6:$H$2005,VENTAS!$A$6:$A$2005,$A336)-$D336-$E336-$F336)</f>
        <v/>
      </c>
      <c r="H336" s="35" t="str">
        <f aca="false">IF($A336="","",SUM($D336:$G336))</f>
        <v/>
      </c>
      <c r="I336" s="40"/>
      <c r="J336" s="40"/>
      <c r="K336" s="35" t="str">
        <f aca="false">IF($A336="","",N($C336)+$D336-N($I336)-N($J336))</f>
        <v/>
      </c>
      <c r="L336" s="40"/>
      <c r="M336" s="35" t="str">
        <f aca="false">IF(OR($A336="",$L336=""),"",$L336-$K336)</f>
        <v/>
      </c>
      <c r="N336" s="8" t="str">
        <f aca="false">IF($A336="","",IF($L336="","PENDIENTE",IF(ABS($M336)&lt;1,"OK",IF($M336&lt;0,"FALTANTE","SOBRANTE"))))</f>
        <v/>
      </c>
      <c r="O336" s="6"/>
    </row>
    <row r="337" customFormat="false" ht="15" hidden="false" customHeight="false" outlineLevel="0" collapsed="false">
      <c r="A337" s="44"/>
      <c r="B337" s="6"/>
      <c r="C337" s="40"/>
      <c r="D337" s="35" t="str">
        <f aca="false">IF($A337="","",SUMIFS(VENTAS!$H$6:$H$2005,VENTAS!$A$6:$A$2005,$A337,VENTAS!$M$6:$M$2005,"Efectivo"))</f>
        <v/>
      </c>
      <c r="E337" s="35" t="str">
        <f aca="false">IF($A337="","",SUMIFS(VENTAS!$H$6:$H$2005,VENTAS!$A$6:$A$2005,$A337,VENTAS!$M$6:$M$2005,"SINPE Móvil"))</f>
        <v/>
      </c>
      <c r="F337" s="35" t="str">
        <f aca="false">IF($A337="","",SUMIFS(VENTAS!$H$6:$H$2005,VENTAS!$A$6:$A$2005,$A337,VENTAS!$M$6:$M$2005,"Tarjeta"))</f>
        <v/>
      </c>
      <c r="G337" s="35" t="str">
        <f aca="false">IF($A337="","",SUMIFS(VENTAS!$H$6:$H$2005,VENTAS!$A$6:$A$2005,$A337)-$D337-$E337-$F337)</f>
        <v/>
      </c>
      <c r="H337" s="35" t="str">
        <f aca="false">IF($A337="","",SUM($D337:$G337))</f>
        <v/>
      </c>
      <c r="I337" s="40"/>
      <c r="J337" s="40"/>
      <c r="K337" s="35" t="str">
        <f aca="false">IF($A337="","",N($C337)+$D337-N($I337)-N($J337))</f>
        <v/>
      </c>
      <c r="L337" s="40"/>
      <c r="M337" s="35" t="str">
        <f aca="false">IF(OR($A337="",$L337=""),"",$L337-$K337)</f>
        <v/>
      </c>
      <c r="N337" s="8" t="str">
        <f aca="false">IF($A337="","",IF($L337="","PENDIENTE",IF(ABS($M337)&lt;1,"OK",IF($M337&lt;0,"FALTANTE","SOBRANTE"))))</f>
        <v/>
      </c>
      <c r="O337" s="6"/>
    </row>
    <row r="338" customFormat="false" ht="15" hidden="false" customHeight="false" outlineLevel="0" collapsed="false">
      <c r="A338" s="44"/>
      <c r="B338" s="6"/>
      <c r="C338" s="40"/>
      <c r="D338" s="35" t="str">
        <f aca="false">IF($A338="","",SUMIFS(VENTAS!$H$6:$H$2005,VENTAS!$A$6:$A$2005,$A338,VENTAS!$M$6:$M$2005,"Efectivo"))</f>
        <v/>
      </c>
      <c r="E338" s="35" t="str">
        <f aca="false">IF($A338="","",SUMIFS(VENTAS!$H$6:$H$2005,VENTAS!$A$6:$A$2005,$A338,VENTAS!$M$6:$M$2005,"SINPE Móvil"))</f>
        <v/>
      </c>
      <c r="F338" s="35" t="str">
        <f aca="false">IF($A338="","",SUMIFS(VENTAS!$H$6:$H$2005,VENTAS!$A$6:$A$2005,$A338,VENTAS!$M$6:$M$2005,"Tarjeta"))</f>
        <v/>
      </c>
      <c r="G338" s="35" t="str">
        <f aca="false">IF($A338="","",SUMIFS(VENTAS!$H$6:$H$2005,VENTAS!$A$6:$A$2005,$A338)-$D338-$E338-$F338)</f>
        <v/>
      </c>
      <c r="H338" s="35" t="str">
        <f aca="false">IF($A338="","",SUM($D338:$G338))</f>
        <v/>
      </c>
      <c r="I338" s="40"/>
      <c r="J338" s="40"/>
      <c r="K338" s="35" t="str">
        <f aca="false">IF($A338="","",N($C338)+$D338-N($I338)-N($J338))</f>
        <v/>
      </c>
      <c r="L338" s="40"/>
      <c r="M338" s="35" t="str">
        <f aca="false">IF(OR($A338="",$L338=""),"",$L338-$K338)</f>
        <v/>
      </c>
      <c r="N338" s="8" t="str">
        <f aca="false">IF($A338="","",IF($L338="","PENDIENTE",IF(ABS($M338)&lt;1,"OK",IF($M338&lt;0,"FALTANTE","SOBRANTE"))))</f>
        <v/>
      </c>
      <c r="O338" s="6"/>
    </row>
    <row r="339" customFormat="false" ht="15" hidden="false" customHeight="false" outlineLevel="0" collapsed="false">
      <c r="A339" s="44"/>
      <c r="B339" s="6"/>
      <c r="C339" s="40"/>
      <c r="D339" s="35" t="str">
        <f aca="false">IF($A339="","",SUMIFS(VENTAS!$H$6:$H$2005,VENTAS!$A$6:$A$2005,$A339,VENTAS!$M$6:$M$2005,"Efectivo"))</f>
        <v/>
      </c>
      <c r="E339" s="35" t="str">
        <f aca="false">IF($A339="","",SUMIFS(VENTAS!$H$6:$H$2005,VENTAS!$A$6:$A$2005,$A339,VENTAS!$M$6:$M$2005,"SINPE Móvil"))</f>
        <v/>
      </c>
      <c r="F339" s="35" t="str">
        <f aca="false">IF($A339="","",SUMIFS(VENTAS!$H$6:$H$2005,VENTAS!$A$6:$A$2005,$A339,VENTAS!$M$6:$M$2005,"Tarjeta"))</f>
        <v/>
      </c>
      <c r="G339" s="35" t="str">
        <f aca="false">IF($A339="","",SUMIFS(VENTAS!$H$6:$H$2005,VENTAS!$A$6:$A$2005,$A339)-$D339-$E339-$F339)</f>
        <v/>
      </c>
      <c r="H339" s="35" t="str">
        <f aca="false">IF($A339="","",SUM($D339:$G339))</f>
        <v/>
      </c>
      <c r="I339" s="40"/>
      <c r="J339" s="40"/>
      <c r="K339" s="35" t="str">
        <f aca="false">IF($A339="","",N($C339)+$D339-N($I339)-N($J339))</f>
        <v/>
      </c>
      <c r="L339" s="40"/>
      <c r="M339" s="35" t="str">
        <f aca="false">IF(OR($A339="",$L339=""),"",$L339-$K339)</f>
        <v/>
      </c>
      <c r="N339" s="8" t="str">
        <f aca="false">IF($A339="","",IF($L339="","PENDIENTE",IF(ABS($M339)&lt;1,"OK",IF($M339&lt;0,"FALTANTE","SOBRANTE"))))</f>
        <v/>
      </c>
      <c r="O339" s="6"/>
    </row>
    <row r="340" customFormat="false" ht="15" hidden="false" customHeight="false" outlineLevel="0" collapsed="false">
      <c r="A340" s="44"/>
      <c r="B340" s="6"/>
      <c r="C340" s="40"/>
      <c r="D340" s="35" t="str">
        <f aca="false">IF($A340="","",SUMIFS(VENTAS!$H$6:$H$2005,VENTAS!$A$6:$A$2005,$A340,VENTAS!$M$6:$M$2005,"Efectivo"))</f>
        <v/>
      </c>
      <c r="E340" s="35" t="str">
        <f aca="false">IF($A340="","",SUMIFS(VENTAS!$H$6:$H$2005,VENTAS!$A$6:$A$2005,$A340,VENTAS!$M$6:$M$2005,"SINPE Móvil"))</f>
        <v/>
      </c>
      <c r="F340" s="35" t="str">
        <f aca="false">IF($A340="","",SUMIFS(VENTAS!$H$6:$H$2005,VENTAS!$A$6:$A$2005,$A340,VENTAS!$M$6:$M$2005,"Tarjeta"))</f>
        <v/>
      </c>
      <c r="G340" s="35" t="str">
        <f aca="false">IF($A340="","",SUMIFS(VENTAS!$H$6:$H$2005,VENTAS!$A$6:$A$2005,$A340)-$D340-$E340-$F340)</f>
        <v/>
      </c>
      <c r="H340" s="35" t="str">
        <f aca="false">IF($A340="","",SUM($D340:$G340))</f>
        <v/>
      </c>
      <c r="I340" s="40"/>
      <c r="J340" s="40"/>
      <c r="K340" s="35" t="str">
        <f aca="false">IF($A340="","",N($C340)+$D340-N($I340)-N($J340))</f>
        <v/>
      </c>
      <c r="L340" s="40"/>
      <c r="M340" s="35" t="str">
        <f aca="false">IF(OR($A340="",$L340=""),"",$L340-$K340)</f>
        <v/>
      </c>
      <c r="N340" s="8" t="str">
        <f aca="false">IF($A340="","",IF($L340="","PENDIENTE",IF(ABS($M340)&lt;1,"OK",IF($M340&lt;0,"FALTANTE","SOBRANTE"))))</f>
        <v/>
      </c>
      <c r="O340" s="6"/>
    </row>
    <row r="341" customFormat="false" ht="15" hidden="false" customHeight="false" outlineLevel="0" collapsed="false">
      <c r="A341" s="44"/>
      <c r="B341" s="6"/>
      <c r="C341" s="40"/>
      <c r="D341" s="35" t="str">
        <f aca="false">IF($A341="","",SUMIFS(VENTAS!$H$6:$H$2005,VENTAS!$A$6:$A$2005,$A341,VENTAS!$M$6:$M$2005,"Efectivo"))</f>
        <v/>
      </c>
      <c r="E341" s="35" t="str">
        <f aca="false">IF($A341="","",SUMIFS(VENTAS!$H$6:$H$2005,VENTAS!$A$6:$A$2005,$A341,VENTAS!$M$6:$M$2005,"SINPE Móvil"))</f>
        <v/>
      </c>
      <c r="F341" s="35" t="str">
        <f aca="false">IF($A341="","",SUMIFS(VENTAS!$H$6:$H$2005,VENTAS!$A$6:$A$2005,$A341,VENTAS!$M$6:$M$2005,"Tarjeta"))</f>
        <v/>
      </c>
      <c r="G341" s="35" t="str">
        <f aca="false">IF($A341="","",SUMIFS(VENTAS!$H$6:$H$2005,VENTAS!$A$6:$A$2005,$A341)-$D341-$E341-$F341)</f>
        <v/>
      </c>
      <c r="H341" s="35" t="str">
        <f aca="false">IF($A341="","",SUM($D341:$G341))</f>
        <v/>
      </c>
      <c r="I341" s="40"/>
      <c r="J341" s="40"/>
      <c r="K341" s="35" t="str">
        <f aca="false">IF($A341="","",N($C341)+$D341-N($I341)-N($J341))</f>
        <v/>
      </c>
      <c r="L341" s="40"/>
      <c r="M341" s="35" t="str">
        <f aca="false">IF(OR($A341="",$L341=""),"",$L341-$K341)</f>
        <v/>
      </c>
      <c r="N341" s="8" t="str">
        <f aca="false">IF($A341="","",IF($L341="","PENDIENTE",IF(ABS($M341)&lt;1,"OK",IF($M341&lt;0,"FALTANTE","SOBRANTE"))))</f>
        <v/>
      </c>
      <c r="O341" s="6"/>
    </row>
    <row r="342" customFormat="false" ht="15" hidden="false" customHeight="false" outlineLevel="0" collapsed="false">
      <c r="A342" s="44"/>
      <c r="B342" s="6"/>
      <c r="C342" s="40"/>
      <c r="D342" s="35" t="str">
        <f aca="false">IF($A342="","",SUMIFS(VENTAS!$H$6:$H$2005,VENTAS!$A$6:$A$2005,$A342,VENTAS!$M$6:$M$2005,"Efectivo"))</f>
        <v/>
      </c>
      <c r="E342" s="35" t="str">
        <f aca="false">IF($A342="","",SUMIFS(VENTAS!$H$6:$H$2005,VENTAS!$A$6:$A$2005,$A342,VENTAS!$M$6:$M$2005,"SINPE Móvil"))</f>
        <v/>
      </c>
      <c r="F342" s="35" t="str">
        <f aca="false">IF($A342="","",SUMIFS(VENTAS!$H$6:$H$2005,VENTAS!$A$6:$A$2005,$A342,VENTAS!$M$6:$M$2005,"Tarjeta"))</f>
        <v/>
      </c>
      <c r="G342" s="35" t="str">
        <f aca="false">IF($A342="","",SUMIFS(VENTAS!$H$6:$H$2005,VENTAS!$A$6:$A$2005,$A342)-$D342-$E342-$F342)</f>
        <v/>
      </c>
      <c r="H342" s="35" t="str">
        <f aca="false">IF($A342="","",SUM($D342:$G342))</f>
        <v/>
      </c>
      <c r="I342" s="40"/>
      <c r="J342" s="40"/>
      <c r="K342" s="35" t="str">
        <f aca="false">IF($A342="","",N($C342)+$D342-N($I342)-N($J342))</f>
        <v/>
      </c>
      <c r="L342" s="40"/>
      <c r="M342" s="35" t="str">
        <f aca="false">IF(OR($A342="",$L342=""),"",$L342-$K342)</f>
        <v/>
      </c>
      <c r="N342" s="8" t="str">
        <f aca="false">IF($A342="","",IF($L342="","PENDIENTE",IF(ABS($M342)&lt;1,"OK",IF($M342&lt;0,"FALTANTE","SOBRANTE"))))</f>
        <v/>
      </c>
      <c r="O342" s="6"/>
    </row>
    <row r="343" customFormat="false" ht="15" hidden="false" customHeight="false" outlineLevel="0" collapsed="false">
      <c r="A343" s="44"/>
      <c r="B343" s="6"/>
      <c r="C343" s="40"/>
      <c r="D343" s="35" t="str">
        <f aca="false">IF($A343="","",SUMIFS(VENTAS!$H$6:$H$2005,VENTAS!$A$6:$A$2005,$A343,VENTAS!$M$6:$M$2005,"Efectivo"))</f>
        <v/>
      </c>
      <c r="E343" s="35" t="str">
        <f aca="false">IF($A343="","",SUMIFS(VENTAS!$H$6:$H$2005,VENTAS!$A$6:$A$2005,$A343,VENTAS!$M$6:$M$2005,"SINPE Móvil"))</f>
        <v/>
      </c>
      <c r="F343" s="35" t="str">
        <f aca="false">IF($A343="","",SUMIFS(VENTAS!$H$6:$H$2005,VENTAS!$A$6:$A$2005,$A343,VENTAS!$M$6:$M$2005,"Tarjeta"))</f>
        <v/>
      </c>
      <c r="G343" s="35" t="str">
        <f aca="false">IF($A343="","",SUMIFS(VENTAS!$H$6:$H$2005,VENTAS!$A$6:$A$2005,$A343)-$D343-$E343-$F343)</f>
        <v/>
      </c>
      <c r="H343" s="35" t="str">
        <f aca="false">IF($A343="","",SUM($D343:$G343))</f>
        <v/>
      </c>
      <c r="I343" s="40"/>
      <c r="J343" s="40"/>
      <c r="K343" s="35" t="str">
        <f aca="false">IF($A343="","",N($C343)+$D343-N($I343)-N($J343))</f>
        <v/>
      </c>
      <c r="L343" s="40"/>
      <c r="M343" s="35" t="str">
        <f aca="false">IF(OR($A343="",$L343=""),"",$L343-$K343)</f>
        <v/>
      </c>
      <c r="N343" s="8" t="str">
        <f aca="false">IF($A343="","",IF($L343="","PENDIENTE",IF(ABS($M343)&lt;1,"OK",IF($M343&lt;0,"FALTANTE","SOBRANTE"))))</f>
        <v/>
      </c>
      <c r="O343" s="6"/>
    </row>
    <row r="344" customFormat="false" ht="15" hidden="false" customHeight="false" outlineLevel="0" collapsed="false">
      <c r="A344" s="44"/>
      <c r="B344" s="6"/>
      <c r="C344" s="40"/>
      <c r="D344" s="35" t="str">
        <f aca="false">IF($A344="","",SUMIFS(VENTAS!$H$6:$H$2005,VENTAS!$A$6:$A$2005,$A344,VENTAS!$M$6:$M$2005,"Efectivo"))</f>
        <v/>
      </c>
      <c r="E344" s="35" t="str">
        <f aca="false">IF($A344="","",SUMIFS(VENTAS!$H$6:$H$2005,VENTAS!$A$6:$A$2005,$A344,VENTAS!$M$6:$M$2005,"SINPE Móvil"))</f>
        <v/>
      </c>
      <c r="F344" s="35" t="str">
        <f aca="false">IF($A344="","",SUMIFS(VENTAS!$H$6:$H$2005,VENTAS!$A$6:$A$2005,$A344,VENTAS!$M$6:$M$2005,"Tarjeta"))</f>
        <v/>
      </c>
      <c r="G344" s="35" t="str">
        <f aca="false">IF($A344="","",SUMIFS(VENTAS!$H$6:$H$2005,VENTAS!$A$6:$A$2005,$A344)-$D344-$E344-$F344)</f>
        <v/>
      </c>
      <c r="H344" s="35" t="str">
        <f aca="false">IF($A344="","",SUM($D344:$G344))</f>
        <v/>
      </c>
      <c r="I344" s="40"/>
      <c r="J344" s="40"/>
      <c r="K344" s="35" t="str">
        <f aca="false">IF($A344="","",N($C344)+$D344-N($I344)-N($J344))</f>
        <v/>
      </c>
      <c r="L344" s="40"/>
      <c r="M344" s="35" t="str">
        <f aca="false">IF(OR($A344="",$L344=""),"",$L344-$K344)</f>
        <v/>
      </c>
      <c r="N344" s="8" t="str">
        <f aca="false">IF($A344="","",IF($L344="","PENDIENTE",IF(ABS($M344)&lt;1,"OK",IF($M344&lt;0,"FALTANTE","SOBRANTE"))))</f>
        <v/>
      </c>
      <c r="O344" s="6"/>
    </row>
    <row r="345" customFormat="false" ht="15" hidden="false" customHeight="false" outlineLevel="0" collapsed="false">
      <c r="A345" s="44"/>
      <c r="B345" s="6"/>
      <c r="C345" s="40"/>
      <c r="D345" s="35" t="str">
        <f aca="false">IF($A345="","",SUMIFS(VENTAS!$H$6:$H$2005,VENTAS!$A$6:$A$2005,$A345,VENTAS!$M$6:$M$2005,"Efectivo"))</f>
        <v/>
      </c>
      <c r="E345" s="35" t="str">
        <f aca="false">IF($A345="","",SUMIFS(VENTAS!$H$6:$H$2005,VENTAS!$A$6:$A$2005,$A345,VENTAS!$M$6:$M$2005,"SINPE Móvil"))</f>
        <v/>
      </c>
      <c r="F345" s="35" t="str">
        <f aca="false">IF($A345="","",SUMIFS(VENTAS!$H$6:$H$2005,VENTAS!$A$6:$A$2005,$A345,VENTAS!$M$6:$M$2005,"Tarjeta"))</f>
        <v/>
      </c>
      <c r="G345" s="35" t="str">
        <f aca="false">IF($A345="","",SUMIFS(VENTAS!$H$6:$H$2005,VENTAS!$A$6:$A$2005,$A345)-$D345-$E345-$F345)</f>
        <v/>
      </c>
      <c r="H345" s="35" t="str">
        <f aca="false">IF($A345="","",SUM($D345:$G345))</f>
        <v/>
      </c>
      <c r="I345" s="40"/>
      <c r="J345" s="40"/>
      <c r="K345" s="35" t="str">
        <f aca="false">IF($A345="","",N($C345)+$D345-N($I345)-N($J345))</f>
        <v/>
      </c>
      <c r="L345" s="40"/>
      <c r="M345" s="35" t="str">
        <f aca="false">IF(OR($A345="",$L345=""),"",$L345-$K345)</f>
        <v/>
      </c>
      <c r="N345" s="8" t="str">
        <f aca="false">IF($A345="","",IF($L345="","PENDIENTE",IF(ABS($M345)&lt;1,"OK",IF($M345&lt;0,"FALTANTE","SOBRANTE"))))</f>
        <v/>
      </c>
      <c r="O345" s="6"/>
    </row>
    <row r="346" customFormat="false" ht="15" hidden="false" customHeight="false" outlineLevel="0" collapsed="false">
      <c r="A346" s="44"/>
      <c r="B346" s="6"/>
      <c r="C346" s="40"/>
      <c r="D346" s="35" t="str">
        <f aca="false">IF($A346="","",SUMIFS(VENTAS!$H$6:$H$2005,VENTAS!$A$6:$A$2005,$A346,VENTAS!$M$6:$M$2005,"Efectivo"))</f>
        <v/>
      </c>
      <c r="E346" s="35" t="str">
        <f aca="false">IF($A346="","",SUMIFS(VENTAS!$H$6:$H$2005,VENTAS!$A$6:$A$2005,$A346,VENTAS!$M$6:$M$2005,"SINPE Móvil"))</f>
        <v/>
      </c>
      <c r="F346" s="35" t="str">
        <f aca="false">IF($A346="","",SUMIFS(VENTAS!$H$6:$H$2005,VENTAS!$A$6:$A$2005,$A346,VENTAS!$M$6:$M$2005,"Tarjeta"))</f>
        <v/>
      </c>
      <c r="G346" s="35" t="str">
        <f aca="false">IF($A346="","",SUMIFS(VENTAS!$H$6:$H$2005,VENTAS!$A$6:$A$2005,$A346)-$D346-$E346-$F346)</f>
        <v/>
      </c>
      <c r="H346" s="35" t="str">
        <f aca="false">IF($A346="","",SUM($D346:$G346))</f>
        <v/>
      </c>
      <c r="I346" s="40"/>
      <c r="J346" s="40"/>
      <c r="K346" s="35" t="str">
        <f aca="false">IF($A346="","",N($C346)+$D346-N($I346)-N($J346))</f>
        <v/>
      </c>
      <c r="L346" s="40"/>
      <c r="M346" s="35" t="str">
        <f aca="false">IF(OR($A346="",$L346=""),"",$L346-$K346)</f>
        <v/>
      </c>
      <c r="N346" s="8" t="str">
        <f aca="false">IF($A346="","",IF($L346="","PENDIENTE",IF(ABS($M346)&lt;1,"OK",IF($M346&lt;0,"FALTANTE","SOBRANTE"))))</f>
        <v/>
      </c>
      <c r="O346" s="6"/>
    </row>
    <row r="347" customFormat="false" ht="15" hidden="false" customHeight="false" outlineLevel="0" collapsed="false">
      <c r="A347" s="44"/>
      <c r="B347" s="6"/>
      <c r="C347" s="40"/>
      <c r="D347" s="35" t="str">
        <f aca="false">IF($A347="","",SUMIFS(VENTAS!$H$6:$H$2005,VENTAS!$A$6:$A$2005,$A347,VENTAS!$M$6:$M$2005,"Efectivo"))</f>
        <v/>
      </c>
      <c r="E347" s="35" t="str">
        <f aca="false">IF($A347="","",SUMIFS(VENTAS!$H$6:$H$2005,VENTAS!$A$6:$A$2005,$A347,VENTAS!$M$6:$M$2005,"SINPE Móvil"))</f>
        <v/>
      </c>
      <c r="F347" s="35" t="str">
        <f aca="false">IF($A347="","",SUMIFS(VENTAS!$H$6:$H$2005,VENTAS!$A$6:$A$2005,$A347,VENTAS!$M$6:$M$2005,"Tarjeta"))</f>
        <v/>
      </c>
      <c r="G347" s="35" t="str">
        <f aca="false">IF($A347="","",SUMIFS(VENTAS!$H$6:$H$2005,VENTAS!$A$6:$A$2005,$A347)-$D347-$E347-$F347)</f>
        <v/>
      </c>
      <c r="H347" s="35" t="str">
        <f aca="false">IF($A347="","",SUM($D347:$G347))</f>
        <v/>
      </c>
      <c r="I347" s="40"/>
      <c r="J347" s="40"/>
      <c r="K347" s="35" t="str">
        <f aca="false">IF($A347="","",N($C347)+$D347-N($I347)-N($J347))</f>
        <v/>
      </c>
      <c r="L347" s="40"/>
      <c r="M347" s="35" t="str">
        <f aca="false">IF(OR($A347="",$L347=""),"",$L347-$K347)</f>
        <v/>
      </c>
      <c r="N347" s="8" t="str">
        <f aca="false">IF($A347="","",IF($L347="","PENDIENTE",IF(ABS($M347)&lt;1,"OK",IF($M347&lt;0,"FALTANTE","SOBRANTE"))))</f>
        <v/>
      </c>
      <c r="O347" s="6"/>
    </row>
    <row r="348" customFormat="false" ht="15" hidden="false" customHeight="false" outlineLevel="0" collapsed="false">
      <c r="A348" s="44"/>
      <c r="B348" s="6"/>
      <c r="C348" s="40"/>
      <c r="D348" s="35" t="str">
        <f aca="false">IF($A348="","",SUMIFS(VENTAS!$H$6:$H$2005,VENTAS!$A$6:$A$2005,$A348,VENTAS!$M$6:$M$2005,"Efectivo"))</f>
        <v/>
      </c>
      <c r="E348" s="35" t="str">
        <f aca="false">IF($A348="","",SUMIFS(VENTAS!$H$6:$H$2005,VENTAS!$A$6:$A$2005,$A348,VENTAS!$M$6:$M$2005,"SINPE Móvil"))</f>
        <v/>
      </c>
      <c r="F348" s="35" t="str">
        <f aca="false">IF($A348="","",SUMIFS(VENTAS!$H$6:$H$2005,VENTAS!$A$6:$A$2005,$A348,VENTAS!$M$6:$M$2005,"Tarjeta"))</f>
        <v/>
      </c>
      <c r="G348" s="35" t="str">
        <f aca="false">IF($A348="","",SUMIFS(VENTAS!$H$6:$H$2005,VENTAS!$A$6:$A$2005,$A348)-$D348-$E348-$F348)</f>
        <v/>
      </c>
      <c r="H348" s="35" t="str">
        <f aca="false">IF($A348="","",SUM($D348:$G348))</f>
        <v/>
      </c>
      <c r="I348" s="40"/>
      <c r="J348" s="40"/>
      <c r="K348" s="35" t="str">
        <f aca="false">IF($A348="","",N($C348)+$D348-N($I348)-N($J348))</f>
        <v/>
      </c>
      <c r="L348" s="40"/>
      <c r="M348" s="35" t="str">
        <f aca="false">IF(OR($A348="",$L348=""),"",$L348-$K348)</f>
        <v/>
      </c>
      <c r="N348" s="8" t="str">
        <f aca="false">IF($A348="","",IF($L348="","PENDIENTE",IF(ABS($M348)&lt;1,"OK",IF($M348&lt;0,"FALTANTE","SOBRANTE"))))</f>
        <v/>
      </c>
      <c r="O348" s="6"/>
    </row>
    <row r="349" customFormat="false" ht="15" hidden="false" customHeight="false" outlineLevel="0" collapsed="false">
      <c r="A349" s="44"/>
      <c r="B349" s="6"/>
      <c r="C349" s="40"/>
      <c r="D349" s="35" t="str">
        <f aca="false">IF($A349="","",SUMIFS(VENTAS!$H$6:$H$2005,VENTAS!$A$6:$A$2005,$A349,VENTAS!$M$6:$M$2005,"Efectivo"))</f>
        <v/>
      </c>
      <c r="E349" s="35" t="str">
        <f aca="false">IF($A349="","",SUMIFS(VENTAS!$H$6:$H$2005,VENTAS!$A$6:$A$2005,$A349,VENTAS!$M$6:$M$2005,"SINPE Móvil"))</f>
        <v/>
      </c>
      <c r="F349" s="35" t="str">
        <f aca="false">IF($A349="","",SUMIFS(VENTAS!$H$6:$H$2005,VENTAS!$A$6:$A$2005,$A349,VENTAS!$M$6:$M$2005,"Tarjeta"))</f>
        <v/>
      </c>
      <c r="G349" s="35" t="str">
        <f aca="false">IF($A349="","",SUMIFS(VENTAS!$H$6:$H$2005,VENTAS!$A$6:$A$2005,$A349)-$D349-$E349-$F349)</f>
        <v/>
      </c>
      <c r="H349" s="35" t="str">
        <f aca="false">IF($A349="","",SUM($D349:$G349))</f>
        <v/>
      </c>
      <c r="I349" s="40"/>
      <c r="J349" s="40"/>
      <c r="K349" s="35" t="str">
        <f aca="false">IF($A349="","",N($C349)+$D349-N($I349)-N($J349))</f>
        <v/>
      </c>
      <c r="L349" s="40"/>
      <c r="M349" s="35" t="str">
        <f aca="false">IF(OR($A349="",$L349=""),"",$L349-$K349)</f>
        <v/>
      </c>
      <c r="N349" s="8" t="str">
        <f aca="false">IF($A349="","",IF($L349="","PENDIENTE",IF(ABS($M349)&lt;1,"OK",IF($M349&lt;0,"FALTANTE","SOBRANTE"))))</f>
        <v/>
      </c>
      <c r="O349" s="6"/>
    </row>
    <row r="350" customFormat="false" ht="15" hidden="false" customHeight="false" outlineLevel="0" collapsed="false">
      <c r="A350" s="44"/>
      <c r="B350" s="6"/>
      <c r="C350" s="40"/>
      <c r="D350" s="35" t="str">
        <f aca="false">IF($A350="","",SUMIFS(VENTAS!$H$6:$H$2005,VENTAS!$A$6:$A$2005,$A350,VENTAS!$M$6:$M$2005,"Efectivo"))</f>
        <v/>
      </c>
      <c r="E350" s="35" t="str">
        <f aca="false">IF($A350="","",SUMIFS(VENTAS!$H$6:$H$2005,VENTAS!$A$6:$A$2005,$A350,VENTAS!$M$6:$M$2005,"SINPE Móvil"))</f>
        <v/>
      </c>
      <c r="F350" s="35" t="str">
        <f aca="false">IF($A350="","",SUMIFS(VENTAS!$H$6:$H$2005,VENTAS!$A$6:$A$2005,$A350,VENTAS!$M$6:$M$2005,"Tarjeta"))</f>
        <v/>
      </c>
      <c r="G350" s="35" t="str">
        <f aca="false">IF($A350="","",SUMIFS(VENTAS!$H$6:$H$2005,VENTAS!$A$6:$A$2005,$A350)-$D350-$E350-$F350)</f>
        <v/>
      </c>
      <c r="H350" s="35" t="str">
        <f aca="false">IF($A350="","",SUM($D350:$G350))</f>
        <v/>
      </c>
      <c r="I350" s="40"/>
      <c r="J350" s="40"/>
      <c r="K350" s="35" t="str">
        <f aca="false">IF($A350="","",N($C350)+$D350-N($I350)-N($J350))</f>
        <v/>
      </c>
      <c r="L350" s="40"/>
      <c r="M350" s="35" t="str">
        <f aca="false">IF(OR($A350="",$L350=""),"",$L350-$K350)</f>
        <v/>
      </c>
      <c r="N350" s="8" t="str">
        <f aca="false">IF($A350="","",IF($L350="","PENDIENTE",IF(ABS($M350)&lt;1,"OK",IF($M350&lt;0,"FALTANTE","SOBRANTE"))))</f>
        <v/>
      </c>
      <c r="O350" s="6"/>
    </row>
    <row r="351" customFormat="false" ht="15" hidden="false" customHeight="false" outlineLevel="0" collapsed="false">
      <c r="A351" s="44"/>
      <c r="B351" s="6"/>
      <c r="C351" s="40"/>
      <c r="D351" s="35" t="str">
        <f aca="false">IF($A351="","",SUMIFS(VENTAS!$H$6:$H$2005,VENTAS!$A$6:$A$2005,$A351,VENTAS!$M$6:$M$2005,"Efectivo"))</f>
        <v/>
      </c>
      <c r="E351" s="35" t="str">
        <f aca="false">IF($A351="","",SUMIFS(VENTAS!$H$6:$H$2005,VENTAS!$A$6:$A$2005,$A351,VENTAS!$M$6:$M$2005,"SINPE Móvil"))</f>
        <v/>
      </c>
      <c r="F351" s="35" t="str">
        <f aca="false">IF($A351="","",SUMIFS(VENTAS!$H$6:$H$2005,VENTAS!$A$6:$A$2005,$A351,VENTAS!$M$6:$M$2005,"Tarjeta"))</f>
        <v/>
      </c>
      <c r="G351" s="35" t="str">
        <f aca="false">IF($A351="","",SUMIFS(VENTAS!$H$6:$H$2005,VENTAS!$A$6:$A$2005,$A351)-$D351-$E351-$F351)</f>
        <v/>
      </c>
      <c r="H351" s="35" t="str">
        <f aca="false">IF($A351="","",SUM($D351:$G351))</f>
        <v/>
      </c>
      <c r="I351" s="40"/>
      <c r="J351" s="40"/>
      <c r="K351" s="35" t="str">
        <f aca="false">IF($A351="","",N($C351)+$D351-N($I351)-N($J351))</f>
        <v/>
      </c>
      <c r="L351" s="40"/>
      <c r="M351" s="35" t="str">
        <f aca="false">IF(OR($A351="",$L351=""),"",$L351-$K351)</f>
        <v/>
      </c>
      <c r="N351" s="8" t="str">
        <f aca="false">IF($A351="","",IF($L351="","PENDIENTE",IF(ABS($M351)&lt;1,"OK",IF($M351&lt;0,"FALTANTE","SOBRANTE"))))</f>
        <v/>
      </c>
      <c r="O351" s="6"/>
    </row>
    <row r="352" customFormat="false" ht="15" hidden="false" customHeight="false" outlineLevel="0" collapsed="false">
      <c r="A352" s="44"/>
      <c r="B352" s="6"/>
      <c r="C352" s="40"/>
      <c r="D352" s="35" t="str">
        <f aca="false">IF($A352="","",SUMIFS(VENTAS!$H$6:$H$2005,VENTAS!$A$6:$A$2005,$A352,VENTAS!$M$6:$M$2005,"Efectivo"))</f>
        <v/>
      </c>
      <c r="E352" s="35" t="str">
        <f aca="false">IF($A352="","",SUMIFS(VENTAS!$H$6:$H$2005,VENTAS!$A$6:$A$2005,$A352,VENTAS!$M$6:$M$2005,"SINPE Móvil"))</f>
        <v/>
      </c>
      <c r="F352" s="35" t="str">
        <f aca="false">IF($A352="","",SUMIFS(VENTAS!$H$6:$H$2005,VENTAS!$A$6:$A$2005,$A352,VENTAS!$M$6:$M$2005,"Tarjeta"))</f>
        <v/>
      </c>
      <c r="G352" s="35" t="str">
        <f aca="false">IF($A352="","",SUMIFS(VENTAS!$H$6:$H$2005,VENTAS!$A$6:$A$2005,$A352)-$D352-$E352-$F352)</f>
        <v/>
      </c>
      <c r="H352" s="35" t="str">
        <f aca="false">IF($A352="","",SUM($D352:$G352))</f>
        <v/>
      </c>
      <c r="I352" s="40"/>
      <c r="J352" s="40"/>
      <c r="K352" s="35" t="str">
        <f aca="false">IF($A352="","",N($C352)+$D352-N($I352)-N($J352))</f>
        <v/>
      </c>
      <c r="L352" s="40"/>
      <c r="M352" s="35" t="str">
        <f aca="false">IF(OR($A352="",$L352=""),"",$L352-$K352)</f>
        <v/>
      </c>
      <c r="N352" s="8" t="str">
        <f aca="false">IF($A352="","",IF($L352="","PENDIENTE",IF(ABS($M352)&lt;1,"OK",IF($M352&lt;0,"FALTANTE","SOBRANTE"))))</f>
        <v/>
      </c>
      <c r="O352" s="6"/>
    </row>
    <row r="353" customFormat="false" ht="15" hidden="false" customHeight="false" outlineLevel="0" collapsed="false">
      <c r="A353" s="44"/>
      <c r="B353" s="6"/>
      <c r="C353" s="40"/>
      <c r="D353" s="35" t="str">
        <f aca="false">IF($A353="","",SUMIFS(VENTAS!$H$6:$H$2005,VENTAS!$A$6:$A$2005,$A353,VENTAS!$M$6:$M$2005,"Efectivo"))</f>
        <v/>
      </c>
      <c r="E353" s="35" t="str">
        <f aca="false">IF($A353="","",SUMIFS(VENTAS!$H$6:$H$2005,VENTAS!$A$6:$A$2005,$A353,VENTAS!$M$6:$M$2005,"SINPE Móvil"))</f>
        <v/>
      </c>
      <c r="F353" s="35" t="str">
        <f aca="false">IF($A353="","",SUMIFS(VENTAS!$H$6:$H$2005,VENTAS!$A$6:$A$2005,$A353,VENTAS!$M$6:$M$2005,"Tarjeta"))</f>
        <v/>
      </c>
      <c r="G353" s="35" t="str">
        <f aca="false">IF($A353="","",SUMIFS(VENTAS!$H$6:$H$2005,VENTAS!$A$6:$A$2005,$A353)-$D353-$E353-$F353)</f>
        <v/>
      </c>
      <c r="H353" s="35" t="str">
        <f aca="false">IF($A353="","",SUM($D353:$G353))</f>
        <v/>
      </c>
      <c r="I353" s="40"/>
      <c r="J353" s="40"/>
      <c r="K353" s="35" t="str">
        <f aca="false">IF($A353="","",N($C353)+$D353-N($I353)-N($J353))</f>
        <v/>
      </c>
      <c r="L353" s="40"/>
      <c r="M353" s="35" t="str">
        <f aca="false">IF(OR($A353="",$L353=""),"",$L353-$K353)</f>
        <v/>
      </c>
      <c r="N353" s="8" t="str">
        <f aca="false">IF($A353="","",IF($L353="","PENDIENTE",IF(ABS($M353)&lt;1,"OK",IF($M353&lt;0,"FALTANTE","SOBRANTE"))))</f>
        <v/>
      </c>
      <c r="O353" s="6"/>
    </row>
    <row r="354" customFormat="false" ht="15" hidden="false" customHeight="false" outlineLevel="0" collapsed="false">
      <c r="A354" s="44"/>
      <c r="B354" s="6"/>
      <c r="C354" s="40"/>
      <c r="D354" s="35" t="str">
        <f aca="false">IF($A354="","",SUMIFS(VENTAS!$H$6:$H$2005,VENTAS!$A$6:$A$2005,$A354,VENTAS!$M$6:$M$2005,"Efectivo"))</f>
        <v/>
      </c>
      <c r="E354" s="35" t="str">
        <f aca="false">IF($A354="","",SUMIFS(VENTAS!$H$6:$H$2005,VENTAS!$A$6:$A$2005,$A354,VENTAS!$M$6:$M$2005,"SINPE Móvil"))</f>
        <v/>
      </c>
      <c r="F354" s="35" t="str">
        <f aca="false">IF($A354="","",SUMIFS(VENTAS!$H$6:$H$2005,VENTAS!$A$6:$A$2005,$A354,VENTAS!$M$6:$M$2005,"Tarjeta"))</f>
        <v/>
      </c>
      <c r="G354" s="35" t="str">
        <f aca="false">IF($A354="","",SUMIFS(VENTAS!$H$6:$H$2005,VENTAS!$A$6:$A$2005,$A354)-$D354-$E354-$F354)</f>
        <v/>
      </c>
      <c r="H354" s="35" t="str">
        <f aca="false">IF($A354="","",SUM($D354:$G354))</f>
        <v/>
      </c>
      <c r="I354" s="40"/>
      <c r="J354" s="40"/>
      <c r="K354" s="35" t="str">
        <f aca="false">IF($A354="","",N($C354)+$D354-N($I354)-N($J354))</f>
        <v/>
      </c>
      <c r="L354" s="40"/>
      <c r="M354" s="35" t="str">
        <f aca="false">IF(OR($A354="",$L354=""),"",$L354-$K354)</f>
        <v/>
      </c>
      <c r="N354" s="8" t="str">
        <f aca="false">IF($A354="","",IF($L354="","PENDIENTE",IF(ABS($M354)&lt;1,"OK",IF($M354&lt;0,"FALTANTE","SOBRANTE"))))</f>
        <v/>
      </c>
      <c r="O354" s="6"/>
    </row>
    <row r="355" customFormat="false" ht="15" hidden="false" customHeight="false" outlineLevel="0" collapsed="false">
      <c r="A355" s="44"/>
      <c r="B355" s="6"/>
      <c r="C355" s="40"/>
      <c r="D355" s="35" t="str">
        <f aca="false">IF($A355="","",SUMIFS(VENTAS!$H$6:$H$2005,VENTAS!$A$6:$A$2005,$A355,VENTAS!$M$6:$M$2005,"Efectivo"))</f>
        <v/>
      </c>
      <c r="E355" s="35" t="str">
        <f aca="false">IF($A355="","",SUMIFS(VENTAS!$H$6:$H$2005,VENTAS!$A$6:$A$2005,$A355,VENTAS!$M$6:$M$2005,"SINPE Móvil"))</f>
        <v/>
      </c>
      <c r="F355" s="35" t="str">
        <f aca="false">IF($A355="","",SUMIFS(VENTAS!$H$6:$H$2005,VENTAS!$A$6:$A$2005,$A355,VENTAS!$M$6:$M$2005,"Tarjeta"))</f>
        <v/>
      </c>
      <c r="G355" s="35" t="str">
        <f aca="false">IF($A355="","",SUMIFS(VENTAS!$H$6:$H$2005,VENTAS!$A$6:$A$2005,$A355)-$D355-$E355-$F355)</f>
        <v/>
      </c>
      <c r="H355" s="35" t="str">
        <f aca="false">IF($A355="","",SUM($D355:$G355))</f>
        <v/>
      </c>
      <c r="I355" s="40"/>
      <c r="J355" s="40"/>
      <c r="K355" s="35" t="str">
        <f aca="false">IF($A355="","",N($C355)+$D355-N($I355)-N($J355))</f>
        <v/>
      </c>
      <c r="L355" s="40"/>
      <c r="M355" s="35" t="str">
        <f aca="false">IF(OR($A355="",$L355=""),"",$L355-$K355)</f>
        <v/>
      </c>
      <c r="N355" s="8" t="str">
        <f aca="false">IF($A355="","",IF($L355="","PENDIENTE",IF(ABS($M355)&lt;1,"OK",IF($M355&lt;0,"FALTANTE","SOBRANTE"))))</f>
        <v/>
      </c>
      <c r="O355" s="6"/>
    </row>
    <row r="356" customFormat="false" ht="15" hidden="false" customHeight="false" outlineLevel="0" collapsed="false">
      <c r="A356" s="44"/>
      <c r="B356" s="6"/>
      <c r="C356" s="40"/>
      <c r="D356" s="35" t="str">
        <f aca="false">IF($A356="","",SUMIFS(VENTAS!$H$6:$H$2005,VENTAS!$A$6:$A$2005,$A356,VENTAS!$M$6:$M$2005,"Efectivo"))</f>
        <v/>
      </c>
      <c r="E356" s="35" t="str">
        <f aca="false">IF($A356="","",SUMIFS(VENTAS!$H$6:$H$2005,VENTAS!$A$6:$A$2005,$A356,VENTAS!$M$6:$M$2005,"SINPE Móvil"))</f>
        <v/>
      </c>
      <c r="F356" s="35" t="str">
        <f aca="false">IF($A356="","",SUMIFS(VENTAS!$H$6:$H$2005,VENTAS!$A$6:$A$2005,$A356,VENTAS!$M$6:$M$2005,"Tarjeta"))</f>
        <v/>
      </c>
      <c r="G356" s="35" t="str">
        <f aca="false">IF($A356="","",SUMIFS(VENTAS!$H$6:$H$2005,VENTAS!$A$6:$A$2005,$A356)-$D356-$E356-$F356)</f>
        <v/>
      </c>
      <c r="H356" s="35" t="str">
        <f aca="false">IF($A356="","",SUM($D356:$G356))</f>
        <v/>
      </c>
      <c r="I356" s="40"/>
      <c r="J356" s="40"/>
      <c r="K356" s="35" t="str">
        <f aca="false">IF($A356="","",N($C356)+$D356-N($I356)-N($J356))</f>
        <v/>
      </c>
      <c r="L356" s="40"/>
      <c r="M356" s="35" t="str">
        <f aca="false">IF(OR($A356="",$L356=""),"",$L356-$K356)</f>
        <v/>
      </c>
      <c r="N356" s="8" t="str">
        <f aca="false">IF($A356="","",IF($L356="","PENDIENTE",IF(ABS($M356)&lt;1,"OK",IF($M356&lt;0,"FALTANTE","SOBRANTE"))))</f>
        <v/>
      </c>
      <c r="O356" s="6"/>
    </row>
    <row r="357" customFormat="false" ht="15" hidden="false" customHeight="false" outlineLevel="0" collapsed="false">
      <c r="A357" s="44"/>
      <c r="B357" s="6"/>
      <c r="C357" s="40"/>
      <c r="D357" s="35" t="str">
        <f aca="false">IF($A357="","",SUMIFS(VENTAS!$H$6:$H$2005,VENTAS!$A$6:$A$2005,$A357,VENTAS!$M$6:$M$2005,"Efectivo"))</f>
        <v/>
      </c>
      <c r="E357" s="35" t="str">
        <f aca="false">IF($A357="","",SUMIFS(VENTAS!$H$6:$H$2005,VENTAS!$A$6:$A$2005,$A357,VENTAS!$M$6:$M$2005,"SINPE Móvil"))</f>
        <v/>
      </c>
      <c r="F357" s="35" t="str">
        <f aca="false">IF($A357="","",SUMIFS(VENTAS!$H$6:$H$2005,VENTAS!$A$6:$A$2005,$A357,VENTAS!$M$6:$M$2005,"Tarjeta"))</f>
        <v/>
      </c>
      <c r="G357" s="35" t="str">
        <f aca="false">IF($A357="","",SUMIFS(VENTAS!$H$6:$H$2005,VENTAS!$A$6:$A$2005,$A357)-$D357-$E357-$F357)</f>
        <v/>
      </c>
      <c r="H357" s="35" t="str">
        <f aca="false">IF($A357="","",SUM($D357:$G357))</f>
        <v/>
      </c>
      <c r="I357" s="40"/>
      <c r="J357" s="40"/>
      <c r="K357" s="35" t="str">
        <f aca="false">IF($A357="","",N($C357)+$D357-N($I357)-N($J357))</f>
        <v/>
      </c>
      <c r="L357" s="40"/>
      <c r="M357" s="35" t="str">
        <f aca="false">IF(OR($A357="",$L357=""),"",$L357-$K357)</f>
        <v/>
      </c>
      <c r="N357" s="8" t="str">
        <f aca="false">IF($A357="","",IF($L357="","PENDIENTE",IF(ABS($M357)&lt;1,"OK",IF($M357&lt;0,"FALTANTE","SOBRANTE"))))</f>
        <v/>
      </c>
      <c r="O357" s="6"/>
    </row>
    <row r="358" customFormat="false" ht="15" hidden="false" customHeight="false" outlineLevel="0" collapsed="false">
      <c r="A358" s="44"/>
      <c r="B358" s="6"/>
      <c r="C358" s="40"/>
      <c r="D358" s="35" t="str">
        <f aca="false">IF($A358="","",SUMIFS(VENTAS!$H$6:$H$2005,VENTAS!$A$6:$A$2005,$A358,VENTAS!$M$6:$M$2005,"Efectivo"))</f>
        <v/>
      </c>
      <c r="E358" s="35" t="str">
        <f aca="false">IF($A358="","",SUMIFS(VENTAS!$H$6:$H$2005,VENTAS!$A$6:$A$2005,$A358,VENTAS!$M$6:$M$2005,"SINPE Móvil"))</f>
        <v/>
      </c>
      <c r="F358" s="35" t="str">
        <f aca="false">IF($A358="","",SUMIFS(VENTAS!$H$6:$H$2005,VENTAS!$A$6:$A$2005,$A358,VENTAS!$M$6:$M$2005,"Tarjeta"))</f>
        <v/>
      </c>
      <c r="G358" s="35" t="str">
        <f aca="false">IF($A358="","",SUMIFS(VENTAS!$H$6:$H$2005,VENTAS!$A$6:$A$2005,$A358)-$D358-$E358-$F358)</f>
        <v/>
      </c>
      <c r="H358" s="35" t="str">
        <f aca="false">IF($A358="","",SUM($D358:$G358))</f>
        <v/>
      </c>
      <c r="I358" s="40"/>
      <c r="J358" s="40"/>
      <c r="K358" s="35" t="str">
        <f aca="false">IF($A358="","",N($C358)+$D358-N($I358)-N($J358))</f>
        <v/>
      </c>
      <c r="L358" s="40"/>
      <c r="M358" s="35" t="str">
        <f aca="false">IF(OR($A358="",$L358=""),"",$L358-$K358)</f>
        <v/>
      </c>
      <c r="N358" s="8" t="str">
        <f aca="false">IF($A358="","",IF($L358="","PENDIENTE",IF(ABS($M358)&lt;1,"OK",IF($M358&lt;0,"FALTANTE","SOBRANTE"))))</f>
        <v/>
      </c>
      <c r="O358" s="6"/>
    </row>
    <row r="359" customFormat="false" ht="15" hidden="false" customHeight="false" outlineLevel="0" collapsed="false">
      <c r="A359" s="44"/>
      <c r="B359" s="6"/>
      <c r="C359" s="40"/>
      <c r="D359" s="35" t="str">
        <f aca="false">IF($A359="","",SUMIFS(VENTAS!$H$6:$H$2005,VENTAS!$A$6:$A$2005,$A359,VENTAS!$M$6:$M$2005,"Efectivo"))</f>
        <v/>
      </c>
      <c r="E359" s="35" t="str">
        <f aca="false">IF($A359="","",SUMIFS(VENTAS!$H$6:$H$2005,VENTAS!$A$6:$A$2005,$A359,VENTAS!$M$6:$M$2005,"SINPE Móvil"))</f>
        <v/>
      </c>
      <c r="F359" s="35" t="str">
        <f aca="false">IF($A359="","",SUMIFS(VENTAS!$H$6:$H$2005,VENTAS!$A$6:$A$2005,$A359,VENTAS!$M$6:$M$2005,"Tarjeta"))</f>
        <v/>
      </c>
      <c r="G359" s="35" t="str">
        <f aca="false">IF($A359="","",SUMIFS(VENTAS!$H$6:$H$2005,VENTAS!$A$6:$A$2005,$A359)-$D359-$E359-$F359)</f>
        <v/>
      </c>
      <c r="H359" s="35" t="str">
        <f aca="false">IF($A359="","",SUM($D359:$G359))</f>
        <v/>
      </c>
      <c r="I359" s="40"/>
      <c r="J359" s="40"/>
      <c r="K359" s="35" t="str">
        <f aca="false">IF($A359="","",N($C359)+$D359-N($I359)-N($J359))</f>
        <v/>
      </c>
      <c r="L359" s="40"/>
      <c r="M359" s="35" t="str">
        <f aca="false">IF(OR($A359="",$L359=""),"",$L359-$K359)</f>
        <v/>
      </c>
      <c r="N359" s="8" t="str">
        <f aca="false">IF($A359="","",IF($L359="","PENDIENTE",IF(ABS($M359)&lt;1,"OK",IF($M359&lt;0,"FALTANTE","SOBRANTE"))))</f>
        <v/>
      </c>
      <c r="O359" s="6"/>
    </row>
    <row r="360" customFormat="false" ht="15" hidden="false" customHeight="false" outlineLevel="0" collapsed="false">
      <c r="A360" s="44"/>
      <c r="B360" s="6"/>
      <c r="C360" s="40"/>
      <c r="D360" s="35" t="str">
        <f aca="false">IF($A360="","",SUMIFS(VENTAS!$H$6:$H$2005,VENTAS!$A$6:$A$2005,$A360,VENTAS!$M$6:$M$2005,"Efectivo"))</f>
        <v/>
      </c>
      <c r="E360" s="35" t="str">
        <f aca="false">IF($A360="","",SUMIFS(VENTAS!$H$6:$H$2005,VENTAS!$A$6:$A$2005,$A360,VENTAS!$M$6:$M$2005,"SINPE Móvil"))</f>
        <v/>
      </c>
      <c r="F360" s="35" t="str">
        <f aca="false">IF($A360="","",SUMIFS(VENTAS!$H$6:$H$2005,VENTAS!$A$6:$A$2005,$A360,VENTAS!$M$6:$M$2005,"Tarjeta"))</f>
        <v/>
      </c>
      <c r="G360" s="35" t="str">
        <f aca="false">IF($A360="","",SUMIFS(VENTAS!$H$6:$H$2005,VENTAS!$A$6:$A$2005,$A360)-$D360-$E360-$F360)</f>
        <v/>
      </c>
      <c r="H360" s="35" t="str">
        <f aca="false">IF($A360="","",SUM($D360:$G360))</f>
        <v/>
      </c>
      <c r="I360" s="40"/>
      <c r="J360" s="40"/>
      <c r="K360" s="35" t="str">
        <f aca="false">IF($A360="","",N($C360)+$D360-N($I360)-N($J360))</f>
        <v/>
      </c>
      <c r="L360" s="40"/>
      <c r="M360" s="35" t="str">
        <f aca="false">IF(OR($A360="",$L360=""),"",$L360-$K360)</f>
        <v/>
      </c>
      <c r="N360" s="8" t="str">
        <f aca="false">IF($A360="","",IF($L360="","PENDIENTE",IF(ABS($M360)&lt;1,"OK",IF($M360&lt;0,"FALTANTE","SOBRANTE"))))</f>
        <v/>
      </c>
      <c r="O360" s="6"/>
    </row>
    <row r="361" customFormat="false" ht="15" hidden="false" customHeight="false" outlineLevel="0" collapsed="false">
      <c r="A361" s="44"/>
      <c r="B361" s="6"/>
      <c r="C361" s="40"/>
      <c r="D361" s="35" t="str">
        <f aca="false">IF($A361="","",SUMIFS(VENTAS!$H$6:$H$2005,VENTAS!$A$6:$A$2005,$A361,VENTAS!$M$6:$M$2005,"Efectivo"))</f>
        <v/>
      </c>
      <c r="E361" s="35" t="str">
        <f aca="false">IF($A361="","",SUMIFS(VENTAS!$H$6:$H$2005,VENTAS!$A$6:$A$2005,$A361,VENTAS!$M$6:$M$2005,"SINPE Móvil"))</f>
        <v/>
      </c>
      <c r="F361" s="35" t="str">
        <f aca="false">IF($A361="","",SUMIFS(VENTAS!$H$6:$H$2005,VENTAS!$A$6:$A$2005,$A361,VENTAS!$M$6:$M$2005,"Tarjeta"))</f>
        <v/>
      </c>
      <c r="G361" s="35" t="str">
        <f aca="false">IF($A361="","",SUMIFS(VENTAS!$H$6:$H$2005,VENTAS!$A$6:$A$2005,$A361)-$D361-$E361-$F361)</f>
        <v/>
      </c>
      <c r="H361" s="35" t="str">
        <f aca="false">IF($A361="","",SUM($D361:$G361))</f>
        <v/>
      </c>
      <c r="I361" s="40"/>
      <c r="J361" s="40"/>
      <c r="K361" s="35" t="str">
        <f aca="false">IF($A361="","",N($C361)+$D361-N($I361)-N($J361))</f>
        <v/>
      </c>
      <c r="L361" s="40"/>
      <c r="M361" s="35" t="str">
        <f aca="false">IF(OR($A361="",$L361=""),"",$L361-$K361)</f>
        <v/>
      </c>
      <c r="N361" s="8" t="str">
        <f aca="false">IF($A361="","",IF($L361="","PENDIENTE",IF(ABS($M361)&lt;1,"OK",IF($M361&lt;0,"FALTANTE","SOBRANTE"))))</f>
        <v/>
      </c>
      <c r="O361" s="6"/>
    </row>
    <row r="362" customFormat="false" ht="15" hidden="false" customHeight="false" outlineLevel="0" collapsed="false">
      <c r="A362" s="44"/>
      <c r="B362" s="6"/>
      <c r="C362" s="40"/>
      <c r="D362" s="35" t="str">
        <f aca="false">IF($A362="","",SUMIFS(VENTAS!$H$6:$H$2005,VENTAS!$A$6:$A$2005,$A362,VENTAS!$M$6:$M$2005,"Efectivo"))</f>
        <v/>
      </c>
      <c r="E362" s="35" t="str">
        <f aca="false">IF($A362="","",SUMIFS(VENTAS!$H$6:$H$2005,VENTAS!$A$6:$A$2005,$A362,VENTAS!$M$6:$M$2005,"SINPE Móvil"))</f>
        <v/>
      </c>
      <c r="F362" s="35" t="str">
        <f aca="false">IF($A362="","",SUMIFS(VENTAS!$H$6:$H$2005,VENTAS!$A$6:$A$2005,$A362,VENTAS!$M$6:$M$2005,"Tarjeta"))</f>
        <v/>
      </c>
      <c r="G362" s="35" t="str">
        <f aca="false">IF($A362="","",SUMIFS(VENTAS!$H$6:$H$2005,VENTAS!$A$6:$A$2005,$A362)-$D362-$E362-$F362)</f>
        <v/>
      </c>
      <c r="H362" s="35" t="str">
        <f aca="false">IF($A362="","",SUM($D362:$G362))</f>
        <v/>
      </c>
      <c r="I362" s="40"/>
      <c r="J362" s="40"/>
      <c r="K362" s="35" t="str">
        <f aca="false">IF($A362="","",N($C362)+$D362-N($I362)-N($J362))</f>
        <v/>
      </c>
      <c r="L362" s="40"/>
      <c r="M362" s="35" t="str">
        <f aca="false">IF(OR($A362="",$L362=""),"",$L362-$K362)</f>
        <v/>
      </c>
      <c r="N362" s="8" t="str">
        <f aca="false">IF($A362="","",IF($L362="","PENDIENTE",IF(ABS($M362)&lt;1,"OK",IF($M362&lt;0,"FALTANTE","SOBRANTE"))))</f>
        <v/>
      </c>
      <c r="O362" s="6"/>
    </row>
    <row r="363" customFormat="false" ht="15" hidden="false" customHeight="false" outlineLevel="0" collapsed="false">
      <c r="A363" s="44"/>
      <c r="B363" s="6"/>
      <c r="C363" s="40"/>
      <c r="D363" s="35" t="str">
        <f aca="false">IF($A363="","",SUMIFS(VENTAS!$H$6:$H$2005,VENTAS!$A$6:$A$2005,$A363,VENTAS!$M$6:$M$2005,"Efectivo"))</f>
        <v/>
      </c>
      <c r="E363" s="35" t="str">
        <f aca="false">IF($A363="","",SUMIFS(VENTAS!$H$6:$H$2005,VENTAS!$A$6:$A$2005,$A363,VENTAS!$M$6:$M$2005,"SINPE Móvil"))</f>
        <v/>
      </c>
      <c r="F363" s="35" t="str">
        <f aca="false">IF($A363="","",SUMIFS(VENTAS!$H$6:$H$2005,VENTAS!$A$6:$A$2005,$A363,VENTAS!$M$6:$M$2005,"Tarjeta"))</f>
        <v/>
      </c>
      <c r="G363" s="35" t="str">
        <f aca="false">IF($A363="","",SUMIFS(VENTAS!$H$6:$H$2005,VENTAS!$A$6:$A$2005,$A363)-$D363-$E363-$F363)</f>
        <v/>
      </c>
      <c r="H363" s="35" t="str">
        <f aca="false">IF($A363="","",SUM($D363:$G363))</f>
        <v/>
      </c>
      <c r="I363" s="40"/>
      <c r="J363" s="40"/>
      <c r="K363" s="35" t="str">
        <f aca="false">IF($A363="","",N($C363)+$D363-N($I363)-N($J363))</f>
        <v/>
      </c>
      <c r="L363" s="40"/>
      <c r="M363" s="35" t="str">
        <f aca="false">IF(OR($A363="",$L363=""),"",$L363-$K363)</f>
        <v/>
      </c>
      <c r="N363" s="8" t="str">
        <f aca="false">IF($A363="","",IF($L363="","PENDIENTE",IF(ABS($M363)&lt;1,"OK",IF($M363&lt;0,"FALTANTE","SOBRANTE"))))</f>
        <v/>
      </c>
      <c r="O363" s="6"/>
    </row>
    <row r="364" customFormat="false" ht="15" hidden="false" customHeight="false" outlineLevel="0" collapsed="false">
      <c r="A364" s="44"/>
      <c r="B364" s="6"/>
      <c r="C364" s="40"/>
      <c r="D364" s="35" t="str">
        <f aca="false">IF($A364="","",SUMIFS(VENTAS!$H$6:$H$2005,VENTAS!$A$6:$A$2005,$A364,VENTAS!$M$6:$M$2005,"Efectivo"))</f>
        <v/>
      </c>
      <c r="E364" s="35" t="str">
        <f aca="false">IF($A364="","",SUMIFS(VENTAS!$H$6:$H$2005,VENTAS!$A$6:$A$2005,$A364,VENTAS!$M$6:$M$2005,"SINPE Móvil"))</f>
        <v/>
      </c>
      <c r="F364" s="35" t="str">
        <f aca="false">IF($A364="","",SUMIFS(VENTAS!$H$6:$H$2005,VENTAS!$A$6:$A$2005,$A364,VENTAS!$M$6:$M$2005,"Tarjeta"))</f>
        <v/>
      </c>
      <c r="G364" s="35" t="str">
        <f aca="false">IF($A364="","",SUMIFS(VENTAS!$H$6:$H$2005,VENTAS!$A$6:$A$2005,$A364)-$D364-$E364-$F364)</f>
        <v/>
      </c>
      <c r="H364" s="35" t="str">
        <f aca="false">IF($A364="","",SUM($D364:$G364))</f>
        <v/>
      </c>
      <c r="I364" s="40"/>
      <c r="J364" s="40"/>
      <c r="K364" s="35" t="str">
        <f aca="false">IF($A364="","",N($C364)+$D364-N($I364)-N($J364))</f>
        <v/>
      </c>
      <c r="L364" s="40"/>
      <c r="M364" s="35" t="str">
        <f aca="false">IF(OR($A364="",$L364=""),"",$L364-$K364)</f>
        <v/>
      </c>
      <c r="N364" s="8" t="str">
        <f aca="false">IF($A364="","",IF($L364="","PENDIENTE",IF(ABS($M364)&lt;1,"OK",IF($M364&lt;0,"FALTANTE","SOBRANTE"))))</f>
        <v/>
      </c>
      <c r="O364" s="6"/>
    </row>
    <row r="365" customFormat="false" ht="15" hidden="false" customHeight="false" outlineLevel="0" collapsed="false">
      <c r="A365" s="44"/>
      <c r="B365" s="6"/>
      <c r="C365" s="40"/>
      <c r="D365" s="35" t="str">
        <f aca="false">IF($A365="","",SUMIFS(VENTAS!$H$6:$H$2005,VENTAS!$A$6:$A$2005,$A365,VENTAS!$M$6:$M$2005,"Efectivo"))</f>
        <v/>
      </c>
      <c r="E365" s="35" t="str">
        <f aca="false">IF($A365="","",SUMIFS(VENTAS!$H$6:$H$2005,VENTAS!$A$6:$A$2005,$A365,VENTAS!$M$6:$M$2005,"SINPE Móvil"))</f>
        <v/>
      </c>
      <c r="F365" s="35" t="str">
        <f aca="false">IF($A365="","",SUMIFS(VENTAS!$H$6:$H$2005,VENTAS!$A$6:$A$2005,$A365,VENTAS!$M$6:$M$2005,"Tarjeta"))</f>
        <v/>
      </c>
      <c r="G365" s="35" t="str">
        <f aca="false">IF($A365="","",SUMIFS(VENTAS!$H$6:$H$2005,VENTAS!$A$6:$A$2005,$A365)-$D365-$E365-$F365)</f>
        <v/>
      </c>
      <c r="H365" s="35" t="str">
        <f aca="false">IF($A365="","",SUM($D365:$G365))</f>
        <v/>
      </c>
      <c r="I365" s="40"/>
      <c r="J365" s="40"/>
      <c r="K365" s="35" t="str">
        <f aca="false">IF($A365="","",N($C365)+$D365-N($I365)-N($J365))</f>
        <v/>
      </c>
      <c r="L365" s="40"/>
      <c r="M365" s="35" t="str">
        <f aca="false">IF(OR($A365="",$L365=""),"",$L365-$K365)</f>
        <v/>
      </c>
      <c r="N365" s="8" t="str">
        <f aca="false">IF($A365="","",IF($L365="","PENDIENTE",IF(ABS($M365)&lt;1,"OK",IF($M365&lt;0,"FALTANTE","SOBRANTE"))))</f>
        <v/>
      </c>
      <c r="O365" s="6"/>
    </row>
    <row r="366" customFormat="false" ht="15" hidden="false" customHeight="false" outlineLevel="0" collapsed="false">
      <c r="A366" s="44"/>
      <c r="B366" s="6"/>
      <c r="C366" s="40"/>
      <c r="D366" s="35" t="str">
        <f aca="false">IF($A366="","",SUMIFS(VENTAS!$H$6:$H$2005,VENTAS!$A$6:$A$2005,$A366,VENTAS!$M$6:$M$2005,"Efectivo"))</f>
        <v/>
      </c>
      <c r="E366" s="35" t="str">
        <f aca="false">IF($A366="","",SUMIFS(VENTAS!$H$6:$H$2005,VENTAS!$A$6:$A$2005,$A366,VENTAS!$M$6:$M$2005,"SINPE Móvil"))</f>
        <v/>
      </c>
      <c r="F366" s="35" t="str">
        <f aca="false">IF($A366="","",SUMIFS(VENTAS!$H$6:$H$2005,VENTAS!$A$6:$A$2005,$A366,VENTAS!$M$6:$M$2005,"Tarjeta"))</f>
        <v/>
      </c>
      <c r="G366" s="35" t="str">
        <f aca="false">IF($A366="","",SUMIFS(VENTAS!$H$6:$H$2005,VENTAS!$A$6:$A$2005,$A366)-$D366-$E366-$F366)</f>
        <v/>
      </c>
      <c r="H366" s="35" t="str">
        <f aca="false">IF($A366="","",SUM($D366:$G366))</f>
        <v/>
      </c>
      <c r="I366" s="40"/>
      <c r="J366" s="40"/>
      <c r="K366" s="35" t="str">
        <f aca="false">IF($A366="","",N($C366)+$D366-N($I366)-N($J366))</f>
        <v/>
      </c>
      <c r="L366" s="40"/>
      <c r="M366" s="35" t="str">
        <f aca="false">IF(OR($A366="",$L366=""),"",$L366-$K366)</f>
        <v/>
      </c>
      <c r="N366" s="8" t="str">
        <f aca="false">IF($A366="","",IF($L366="","PENDIENTE",IF(ABS($M366)&lt;1,"OK",IF($M366&lt;0,"FALTANTE","SOBRANTE"))))</f>
        <v/>
      </c>
      <c r="O366" s="6"/>
    </row>
    <row r="367" customFormat="false" ht="15" hidden="false" customHeight="false" outlineLevel="0" collapsed="false">
      <c r="A367" s="44"/>
      <c r="B367" s="6"/>
      <c r="C367" s="40"/>
      <c r="D367" s="35" t="str">
        <f aca="false">IF($A367="","",SUMIFS(VENTAS!$H$6:$H$2005,VENTAS!$A$6:$A$2005,$A367,VENTAS!$M$6:$M$2005,"Efectivo"))</f>
        <v/>
      </c>
      <c r="E367" s="35" t="str">
        <f aca="false">IF($A367="","",SUMIFS(VENTAS!$H$6:$H$2005,VENTAS!$A$6:$A$2005,$A367,VENTAS!$M$6:$M$2005,"SINPE Móvil"))</f>
        <v/>
      </c>
      <c r="F367" s="35" t="str">
        <f aca="false">IF($A367="","",SUMIFS(VENTAS!$H$6:$H$2005,VENTAS!$A$6:$A$2005,$A367,VENTAS!$M$6:$M$2005,"Tarjeta"))</f>
        <v/>
      </c>
      <c r="G367" s="35" t="str">
        <f aca="false">IF($A367="","",SUMIFS(VENTAS!$H$6:$H$2005,VENTAS!$A$6:$A$2005,$A367)-$D367-$E367-$F367)</f>
        <v/>
      </c>
      <c r="H367" s="35" t="str">
        <f aca="false">IF($A367="","",SUM($D367:$G367))</f>
        <v/>
      </c>
      <c r="I367" s="40"/>
      <c r="J367" s="40"/>
      <c r="K367" s="35" t="str">
        <f aca="false">IF($A367="","",N($C367)+$D367-N($I367)-N($J367))</f>
        <v/>
      </c>
      <c r="L367" s="40"/>
      <c r="M367" s="35" t="str">
        <f aca="false">IF(OR($A367="",$L367=""),"",$L367-$K367)</f>
        <v/>
      </c>
      <c r="N367" s="8" t="str">
        <f aca="false">IF($A367="","",IF($L367="","PENDIENTE",IF(ABS($M367)&lt;1,"OK",IF($M367&lt;0,"FALTANTE","SOBRANTE"))))</f>
        <v/>
      </c>
      <c r="O367" s="6"/>
    </row>
    <row r="368" customFormat="false" ht="15" hidden="false" customHeight="false" outlineLevel="0" collapsed="false">
      <c r="A368" s="44"/>
      <c r="B368" s="6"/>
      <c r="C368" s="40"/>
      <c r="D368" s="35" t="str">
        <f aca="false">IF($A368="","",SUMIFS(VENTAS!$H$6:$H$2005,VENTAS!$A$6:$A$2005,$A368,VENTAS!$M$6:$M$2005,"Efectivo"))</f>
        <v/>
      </c>
      <c r="E368" s="35" t="str">
        <f aca="false">IF($A368="","",SUMIFS(VENTAS!$H$6:$H$2005,VENTAS!$A$6:$A$2005,$A368,VENTAS!$M$6:$M$2005,"SINPE Móvil"))</f>
        <v/>
      </c>
      <c r="F368" s="35" t="str">
        <f aca="false">IF($A368="","",SUMIFS(VENTAS!$H$6:$H$2005,VENTAS!$A$6:$A$2005,$A368,VENTAS!$M$6:$M$2005,"Tarjeta"))</f>
        <v/>
      </c>
      <c r="G368" s="35" t="str">
        <f aca="false">IF($A368="","",SUMIFS(VENTAS!$H$6:$H$2005,VENTAS!$A$6:$A$2005,$A368)-$D368-$E368-$F368)</f>
        <v/>
      </c>
      <c r="H368" s="35" t="str">
        <f aca="false">IF($A368="","",SUM($D368:$G368))</f>
        <v/>
      </c>
      <c r="I368" s="40"/>
      <c r="J368" s="40"/>
      <c r="K368" s="35" t="str">
        <f aca="false">IF($A368="","",N($C368)+$D368-N($I368)-N($J368))</f>
        <v/>
      </c>
      <c r="L368" s="40"/>
      <c r="M368" s="35" t="str">
        <f aca="false">IF(OR($A368="",$L368=""),"",$L368-$K368)</f>
        <v/>
      </c>
      <c r="N368" s="8" t="str">
        <f aca="false">IF($A368="","",IF($L368="","PENDIENTE",IF(ABS($M368)&lt;1,"OK",IF($M368&lt;0,"FALTANTE","SOBRANTE"))))</f>
        <v/>
      </c>
      <c r="O368" s="6"/>
    </row>
    <row r="369" customFormat="false" ht="15" hidden="false" customHeight="false" outlineLevel="0" collapsed="false">
      <c r="A369" s="44"/>
      <c r="B369" s="6"/>
      <c r="C369" s="40"/>
      <c r="D369" s="35" t="str">
        <f aca="false">IF($A369="","",SUMIFS(VENTAS!$H$6:$H$2005,VENTAS!$A$6:$A$2005,$A369,VENTAS!$M$6:$M$2005,"Efectivo"))</f>
        <v/>
      </c>
      <c r="E369" s="35" t="str">
        <f aca="false">IF($A369="","",SUMIFS(VENTAS!$H$6:$H$2005,VENTAS!$A$6:$A$2005,$A369,VENTAS!$M$6:$M$2005,"SINPE Móvil"))</f>
        <v/>
      </c>
      <c r="F369" s="35" t="str">
        <f aca="false">IF($A369="","",SUMIFS(VENTAS!$H$6:$H$2005,VENTAS!$A$6:$A$2005,$A369,VENTAS!$M$6:$M$2005,"Tarjeta"))</f>
        <v/>
      </c>
      <c r="G369" s="35" t="str">
        <f aca="false">IF($A369="","",SUMIFS(VENTAS!$H$6:$H$2005,VENTAS!$A$6:$A$2005,$A369)-$D369-$E369-$F369)</f>
        <v/>
      </c>
      <c r="H369" s="35" t="str">
        <f aca="false">IF($A369="","",SUM($D369:$G369))</f>
        <v/>
      </c>
      <c r="I369" s="40"/>
      <c r="J369" s="40"/>
      <c r="K369" s="35" t="str">
        <f aca="false">IF($A369="","",N($C369)+$D369-N($I369)-N($J369))</f>
        <v/>
      </c>
      <c r="L369" s="40"/>
      <c r="M369" s="35" t="str">
        <f aca="false">IF(OR($A369="",$L369=""),"",$L369-$K369)</f>
        <v/>
      </c>
      <c r="N369" s="8" t="str">
        <f aca="false">IF($A369="","",IF($L369="","PENDIENTE",IF(ABS($M369)&lt;1,"OK",IF($M369&lt;0,"FALTANTE","SOBRANTE"))))</f>
        <v/>
      </c>
      <c r="O369" s="6"/>
    </row>
    <row r="370" customFormat="false" ht="15" hidden="false" customHeight="false" outlineLevel="0" collapsed="false">
      <c r="A370" s="44"/>
      <c r="B370" s="6"/>
      <c r="C370" s="40"/>
      <c r="D370" s="35" t="str">
        <f aca="false">IF($A370="","",SUMIFS(VENTAS!$H$6:$H$2005,VENTAS!$A$6:$A$2005,$A370,VENTAS!$M$6:$M$2005,"Efectivo"))</f>
        <v/>
      </c>
      <c r="E370" s="35" t="str">
        <f aca="false">IF($A370="","",SUMIFS(VENTAS!$H$6:$H$2005,VENTAS!$A$6:$A$2005,$A370,VENTAS!$M$6:$M$2005,"SINPE Móvil"))</f>
        <v/>
      </c>
      <c r="F370" s="35" t="str">
        <f aca="false">IF($A370="","",SUMIFS(VENTAS!$H$6:$H$2005,VENTAS!$A$6:$A$2005,$A370,VENTAS!$M$6:$M$2005,"Tarjeta"))</f>
        <v/>
      </c>
      <c r="G370" s="35" t="str">
        <f aca="false">IF($A370="","",SUMIFS(VENTAS!$H$6:$H$2005,VENTAS!$A$6:$A$2005,$A370)-$D370-$E370-$F370)</f>
        <v/>
      </c>
      <c r="H370" s="35" t="str">
        <f aca="false">IF($A370="","",SUM($D370:$G370))</f>
        <v/>
      </c>
      <c r="I370" s="40"/>
      <c r="J370" s="40"/>
      <c r="K370" s="35" t="str">
        <f aca="false">IF($A370="","",N($C370)+$D370-N($I370)-N($J370))</f>
        <v/>
      </c>
      <c r="L370" s="40"/>
      <c r="M370" s="35" t="str">
        <f aca="false">IF(OR($A370="",$L370=""),"",$L370-$K370)</f>
        <v/>
      </c>
      <c r="N370" s="8" t="str">
        <f aca="false">IF($A370="","",IF($L370="","PENDIENTE",IF(ABS($M370)&lt;1,"OK",IF($M370&lt;0,"FALTANTE","SOBRANTE"))))</f>
        <v/>
      </c>
      <c r="O370" s="6"/>
    </row>
    <row r="371" customFormat="false" ht="15" hidden="false" customHeight="false" outlineLevel="0" collapsed="false">
      <c r="A371" s="44"/>
      <c r="B371" s="6"/>
      <c r="C371" s="40"/>
      <c r="D371" s="35" t="str">
        <f aca="false">IF($A371="","",SUMIFS(VENTAS!$H$6:$H$2005,VENTAS!$A$6:$A$2005,$A371,VENTAS!$M$6:$M$2005,"Efectivo"))</f>
        <v/>
      </c>
      <c r="E371" s="35" t="str">
        <f aca="false">IF($A371="","",SUMIFS(VENTAS!$H$6:$H$2005,VENTAS!$A$6:$A$2005,$A371,VENTAS!$M$6:$M$2005,"SINPE Móvil"))</f>
        <v/>
      </c>
      <c r="F371" s="35" t="str">
        <f aca="false">IF($A371="","",SUMIFS(VENTAS!$H$6:$H$2005,VENTAS!$A$6:$A$2005,$A371,VENTAS!$M$6:$M$2005,"Tarjeta"))</f>
        <v/>
      </c>
      <c r="G371" s="35" t="str">
        <f aca="false">IF($A371="","",SUMIFS(VENTAS!$H$6:$H$2005,VENTAS!$A$6:$A$2005,$A371)-$D371-$E371-$F371)</f>
        <v/>
      </c>
      <c r="H371" s="35" t="str">
        <f aca="false">IF($A371="","",SUM($D371:$G371))</f>
        <v/>
      </c>
      <c r="I371" s="40"/>
      <c r="J371" s="40"/>
      <c r="K371" s="35" t="str">
        <f aca="false">IF($A371="","",N($C371)+$D371-N($I371)-N($J371))</f>
        <v/>
      </c>
      <c r="L371" s="40"/>
      <c r="M371" s="35" t="str">
        <f aca="false">IF(OR($A371="",$L371=""),"",$L371-$K371)</f>
        <v/>
      </c>
      <c r="N371" s="8" t="str">
        <f aca="false">IF($A371="","",IF($L371="","PENDIENTE",IF(ABS($M371)&lt;1,"OK",IF($M371&lt;0,"FALTANTE","SOBRANTE"))))</f>
        <v/>
      </c>
      <c r="O371" s="6"/>
    </row>
    <row r="372" customFormat="false" ht="15" hidden="false" customHeight="false" outlineLevel="0" collapsed="false">
      <c r="A372" s="44"/>
      <c r="B372" s="6"/>
      <c r="C372" s="40"/>
      <c r="D372" s="35" t="str">
        <f aca="false">IF($A372="","",SUMIFS(VENTAS!$H$6:$H$2005,VENTAS!$A$6:$A$2005,$A372,VENTAS!$M$6:$M$2005,"Efectivo"))</f>
        <v/>
      </c>
      <c r="E372" s="35" t="str">
        <f aca="false">IF($A372="","",SUMIFS(VENTAS!$H$6:$H$2005,VENTAS!$A$6:$A$2005,$A372,VENTAS!$M$6:$M$2005,"SINPE Móvil"))</f>
        <v/>
      </c>
      <c r="F372" s="35" t="str">
        <f aca="false">IF($A372="","",SUMIFS(VENTAS!$H$6:$H$2005,VENTAS!$A$6:$A$2005,$A372,VENTAS!$M$6:$M$2005,"Tarjeta"))</f>
        <v/>
      </c>
      <c r="G372" s="35" t="str">
        <f aca="false">IF($A372="","",SUMIFS(VENTAS!$H$6:$H$2005,VENTAS!$A$6:$A$2005,$A372)-$D372-$E372-$F372)</f>
        <v/>
      </c>
      <c r="H372" s="35" t="str">
        <f aca="false">IF($A372="","",SUM($D372:$G372))</f>
        <v/>
      </c>
      <c r="I372" s="40"/>
      <c r="J372" s="40"/>
      <c r="K372" s="35" t="str">
        <f aca="false">IF($A372="","",N($C372)+$D372-N($I372)-N($J372))</f>
        <v/>
      </c>
      <c r="L372" s="40"/>
      <c r="M372" s="35" t="str">
        <f aca="false">IF(OR($A372="",$L372=""),"",$L372-$K372)</f>
        <v/>
      </c>
      <c r="N372" s="8" t="str">
        <f aca="false">IF($A372="","",IF($L372="","PENDIENTE",IF(ABS($M372)&lt;1,"OK",IF($M372&lt;0,"FALTANTE","SOBRANTE"))))</f>
        <v/>
      </c>
      <c r="O372" s="6"/>
    </row>
    <row r="373" customFormat="false" ht="15" hidden="false" customHeight="false" outlineLevel="0" collapsed="false">
      <c r="A373" s="44"/>
      <c r="B373" s="6"/>
      <c r="C373" s="40"/>
      <c r="D373" s="35" t="str">
        <f aca="false">IF($A373="","",SUMIFS(VENTAS!$H$6:$H$2005,VENTAS!$A$6:$A$2005,$A373,VENTAS!$M$6:$M$2005,"Efectivo"))</f>
        <v/>
      </c>
      <c r="E373" s="35" t="str">
        <f aca="false">IF($A373="","",SUMIFS(VENTAS!$H$6:$H$2005,VENTAS!$A$6:$A$2005,$A373,VENTAS!$M$6:$M$2005,"SINPE Móvil"))</f>
        <v/>
      </c>
      <c r="F373" s="35" t="str">
        <f aca="false">IF($A373="","",SUMIFS(VENTAS!$H$6:$H$2005,VENTAS!$A$6:$A$2005,$A373,VENTAS!$M$6:$M$2005,"Tarjeta"))</f>
        <v/>
      </c>
      <c r="G373" s="35" t="str">
        <f aca="false">IF($A373="","",SUMIFS(VENTAS!$H$6:$H$2005,VENTAS!$A$6:$A$2005,$A373)-$D373-$E373-$F373)</f>
        <v/>
      </c>
      <c r="H373" s="35" t="str">
        <f aca="false">IF($A373="","",SUM($D373:$G373))</f>
        <v/>
      </c>
      <c r="I373" s="40"/>
      <c r="J373" s="40"/>
      <c r="K373" s="35" t="str">
        <f aca="false">IF($A373="","",N($C373)+$D373-N($I373)-N($J373))</f>
        <v/>
      </c>
      <c r="L373" s="40"/>
      <c r="M373" s="35" t="str">
        <f aca="false">IF(OR($A373="",$L373=""),"",$L373-$K373)</f>
        <v/>
      </c>
      <c r="N373" s="8" t="str">
        <f aca="false">IF($A373="","",IF($L373="","PENDIENTE",IF(ABS($M373)&lt;1,"OK",IF($M373&lt;0,"FALTANTE","SOBRANTE"))))</f>
        <v/>
      </c>
      <c r="O373" s="6"/>
    </row>
    <row r="374" customFormat="false" ht="15" hidden="false" customHeight="false" outlineLevel="0" collapsed="false">
      <c r="A374" s="44"/>
      <c r="B374" s="6"/>
      <c r="C374" s="40"/>
      <c r="D374" s="35" t="str">
        <f aca="false">IF($A374="","",SUMIFS(VENTAS!$H$6:$H$2005,VENTAS!$A$6:$A$2005,$A374,VENTAS!$M$6:$M$2005,"Efectivo"))</f>
        <v/>
      </c>
      <c r="E374" s="35" t="str">
        <f aca="false">IF($A374="","",SUMIFS(VENTAS!$H$6:$H$2005,VENTAS!$A$6:$A$2005,$A374,VENTAS!$M$6:$M$2005,"SINPE Móvil"))</f>
        <v/>
      </c>
      <c r="F374" s="35" t="str">
        <f aca="false">IF($A374="","",SUMIFS(VENTAS!$H$6:$H$2005,VENTAS!$A$6:$A$2005,$A374,VENTAS!$M$6:$M$2005,"Tarjeta"))</f>
        <v/>
      </c>
      <c r="G374" s="35" t="str">
        <f aca="false">IF($A374="","",SUMIFS(VENTAS!$H$6:$H$2005,VENTAS!$A$6:$A$2005,$A374)-$D374-$E374-$F374)</f>
        <v/>
      </c>
      <c r="H374" s="35" t="str">
        <f aca="false">IF($A374="","",SUM($D374:$G374))</f>
        <v/>
      </c>
      <c r="I374" s="40"/>
      <c r="J374" s="40"/>
      <c r="K374" s="35" t="str">
        <f aca="false">IF($A374="","",N($C374)+$D374-N($I374)-N($J374))</f>
        <v/>
      </c>
      <c r="L374" s="40"/>
      <c r="M374" s="35" t="str">
        <f aca="false">IF(OR($A374="",$L374=""),"",$L374-$K374)</f>
        <v/>
      </c>
      <c r="N374" s="8" t="str">
        <f aca="false">IF($A374="","",IF($L374="","PENDIENTE",IF(ABS($M374)&lt;1,"OK",IF($M374&lt;0,"FALTANTE","SOBRANTE"))))</f>
        <v/>
      </c>
      <c r="O374" s="6"/>
    </row>
    <row r="375" customFormat="false" ht="15" hidden="false" customHeight="false" outlineLevel="0" collapsed="false">
      <c r="A375" s="44"/>
      <c r="B375" s="6"/>
      <c r="C375" s="40"/>
      <c r="D375" s="35" t="str">
        <f aca="false">IF($A375="","",SUMIFS(VENTAS!$H$6:$H$2005,VENTAS!$A$6:$A$2005,$A375,VENTAS!$M$6:$M$2005,"Efectivo"))</f>
        <v/>
      </c>
      <c r="E375" s="35" t="str">
        <f aca="false">IF($A375="","",SUMIFS(VENTAS!$H$6:$H$2005,VENTAS!$A$6:$A$2005,$A375,VENTAS!$M$6:$M$2005,"SINPE Móvil"))</f>
        <v/>
      </c>
      <c r="F375" s="35" t="str">
        <f aca="false">IF($A375="","",SUMIFS(VENTAS!$H$6:$H$2005,VENTAS!$A$6:$A$2005,$A375,VENTAS!$M$6:$M$2005,"Tarjeta"))</f>
        <v/>
      </c>
      <c r="G375" s="35" t="str">
        <f aca="false">IF($A375="","",SUMIFS(VENTAS!$H$6:$H$2005,VENTAS!$A$6:$A$2005,$A375)-$D375-$E375-$F375)</f>
        <v/>
      </c>
      <c r="H375" s="35" t="str">
        <f aca="false">IF($A375="","",SUM($D375:$G375))</f>
        <v/>
      </c>
      <c r="I375" s="40"/>
      <c r="J375" s="40"/>
      <c r="K375" s="35" t="str">
        <f aca="false">IF($A375="","",N($C375)+$D375-N($I375)-N($J375))</f>
        <v/>
      </c>
      <c r="L375" s="40"/>
      <c r="M375" s="35" t="str">
        <f aca="false">IF(OR($A375="",$L375=""),"",$L375-$K375)</f>
        <v/>
      </c>
      <c r="N375" s="8" t="str">
        <f aca="false">IF($A375="","",IF($L375="","PENDIENTE",IF(ABS($M375)&lt;1,"OK",IF($M375&lt;0,"FALTANTE","SOBRANTE"))))</f>
        <v/>
      </c>
      <c r="O375" s="6"/>
    </row>
    <row r="376" customFormat="false" ht="15" hidden="false" customHeight="false" outlineLevel="0" collapsed="false">
      <c r="A376" s="44"/>
      <c r="B376" s="6"/>
      <c r="C376" s="40"/>
      <c r="D376" s="35" t="str">
        <f aca="false">IF($A376="","",SUMIFS(VENTAS!$H$6:$H$2005,VENTAS!$A$6:$A$2005,$A376,VENTAS!$M$6:$M$2005,"Efectivo"))</f>
        <v/>
      </c>
      <c r="E376" s="35" t="str">
        <f aca="false">IF($A376="","",SUMIFS(VENTAS!$H$6:$H$2005,VENTAS!$A$6:$A$2005,$A376,VENTAS!$M$6:$M$2005,"SINPE Móvil"))</f>
        <v/>
      </c>
      <c r="F376" s="35" t="str">
        <f aca="false">IF($A376="","",SUMIFS(VENTAS!$H$6:$H$2005,VENTAS!$A$6:$A$2005,$A376,VENTAS!$M$6:$M$2005,"Tarjeta"))</f>
        <v/>
      </c>
      <c r="G376" s="35" t="str">
        <f aca="false">IF($A376="","",SUMIFS(VENTAS!$H$6:$H$2005,VENTAS!$A$6:$A$2005,$A376)-$D376-$E376-$F376)</f>
        <v/>
      </c>
      <c r="H376" s="35" t="str">
        <f aca="false">IF($A376="","",SUM($D376:$G376))</f>
        <v/>
      </c>
      <c r="I376" s="40"/>
      <c r="J376" s="40"/>
      <c r="K376" s="35" t="str">
        <f aca="false">IF($A376="","",N($C376)+$D376-N($I376)-N($J376))</f>
        <v/>
      </c>
      <c r="L376" s="40"/>
      <c r="M376" s="35" t="str">
        <f aca="false">IF(OR($A376="",$L376=""),"",$L376-$K376)</f>
        <v/>
      </c>
      <c r="N376" s="8" t="str">
        <f aca="false">IF($A376="","",IF($L376="","PENDIENTE",IF(ABS($M376)&lt;1,"OK",IF($M376&lt;0,"FALTANTE","SOBRANTE"))))</f>
        <v/>
      </c>
      <c r="O376" s="6"/>
    </row>
    <row r="377" customFormat="false" ht="15" hidden="false" customHeight="false" outlineLevel="0" collapsed="false">
      <c r="A377" s="44"/>
      <c r="B377" s="6"/>
      <c r="C377" s="40"/>
      <c r="D377" s="35" t="str">
        <f aca="false">IF($A377="","",SUMIFS(VENTAS!$H$6:$H$2005,VENTAS!$A$6:$A$2005,$A377,VENTAS!$M$6:$M$2005,"Efectivo"))</f>
        <v/>
      </c>
      <c r="E377" s="35" t="str">
        <f aca="false">IF($A377="","",SUMIFS(VENTAS!$H$6:$H$2005,VENTAS!$A$6:$A$2005,$A377,VENTAS!$M$6:$M$2005,"SINPE Móvil"))</f>
        <v/>
      </c>
      <c r="F377" s="35" t="str">
        <f aca="false">IF($A377="","",SUMIFS(VENTAS!$H$6:$H$2005,VENTAS!$A$6:$A$2005,$A377,VENTAS!$M$6:$M$2005,"Tarjeta"))</f>
        <v/>
      </c>
      <c r="G377" s="35" t="str">
        <f aca="false">IF($A377="","",SUMIFS(VENTAS!$H$6:$H$2005,VENTAS!$A$6:$A$2005,$A377)-$D377-$E377-$F377)</f>
        <v/>
      </c>
      <c r="H377" s="35" t="str">
        <f aca="false">IF($A377="","",SUM($D377:$G377))</f>
        <v/>
      </c>
      <c r="I377" s="40"/>
      <c r="J377" s="40"/>
      <c r="K377" s="35" t="str">
        <f aca="false">IF($A377="","",N($C377)+$D377-N($I377)-N($J377))</f>
        <v/>
      </c>
      <c r="L377" s="40"/>
      <c r="M377" s="35" t="str">
        <f aca="false">IF(OR($A377="",$L377=""),"",$L377-$K377)</f>
        <v/>
      </c>
      <c r="N377" s="8" t="str">
        <f aca="false">IF($A377="","",IF($L377="","PENDIENTE",IF(ABS($M377)&lt;1,"OK",IF($M377&lt;0,"FALTANTE","SOBRANTE"))))</f>
        <v/>
      </c>
      <c r="O377" s="6"/>
    </row>
    <row r="378" customFormat="false" ht="15" hidden="false" customHeight="false" outlineLevel="0" collapsed="false">
      <c r="A378" s="44"/>
      <c r="B378" s="6"/>
      <c r="C378" s="40"/>
      <c r="D378" s="35" t="str">
        <f aca="false">IF($A378="","",SUMIFS(VENTAS!$H$6:$H$2005,VENTAS!$A$6:$A$2005,$A378,VENTAS!$M$6:$M$2005,"Efectivo"))</f>
        <v/>
      </c>
      <c r="E378" s="35" t="str">
        <f aca="false">IF($A378="","",SUMIFS(VENTAS!$H$6:$H$2005,VENTAS!$A$6:$A$2005,$A378,VENTAS!$M$6:$M$2005,"SINPE Móvil"))</f>
        <v/>
      </c>
      <c r="F378" s="35" t="str">
        <f aca="false">IF($A378="","",SUMIFS(VENTAS!$H$6:$H$2005,VENTAS!$A$6:$A$2005,$A378,VENTAS!$M$6:$M$2005,"Tarjeta"))</f>
        <v/>
      </c>
      <c r="G378" s="35" t="str">
        <f aca="false">IF($A378="","",SUMIFS(VENTAS!$H$6:$H$2005,VENTAS!$A$6:$A$2005,$A378)-$D378-$E378-$F378)</f>
        <v/>
      </c>
      <c r="H378" s="35" t="str">
        <f aca="false">IF($A378="","",SUM($D378:$G378))</f>
        <v/>
      </c>
      <c r="I378" s="40"/>
      <c r="J378" s="40"/>
      <c r="K378" s="35" t="str">
        <f aca="false">IF($A378="","",N($C378)+$D378-N($I378)-N($J378))</f>
        <v/>
      </c>
      <c r="L378" s="40"/>
      <c r="M378" s="35" t="str">
        <f aca="false">IF(OR($A378="",$L378=""),"",$L378-$K378)</f>
        <v/>
      </c>
      <c r="N378" s="8" t="str">
        <f aca="false">IF($A378="","",IF($L378="","PENDIENTE",IF(ABS($M378)&lt;1,"OK",IF($M378&lt;0,"FALTANTE","SOBRANTE"))))</f>
        <v/>
      </c>
      <c r="O378" s="6"/>
    </row>
    <row r="379" customFormat="false" ht="15" hidden="false" customHeight="false" outlineLevel="0" collapsed="false">
      <c r="A379" s="44"/>
      <c r="B379" s="6"/>
      <c r="C379" s="40"/>
      <c r="D379" s="35" t="str">
        <f aca="false">IF($A379="","",SUMIFS(VENTAS!$H$6:$H$2005,VENTAS!$A$6:$A$2005,$A379,VENTAS!$M$6:$M$2005,"Efectivo"))</f>
        <v/>
      </c>
      <c r="E379" s="35" t="str">
        <f aca="false">IF($A379="","",SUMIFS(VENTAS!$H$6:$H$2005,VENTAS!$A$6:$A$2005,$A379,VENTAS!$M$6:$M$2005,"SINPE Móvil"))</f>
        <v/>
      </c>
      <c r="F379" s="35" t="str">
        <f aca="false">IF($A379="","",SUMIFS(VENTAS!$H$6:$H$2005,VENTAS!$A$6:$A$2005,$A379,VENTAS!$M$6:$M$2005,"Tarjeta"))</f>
        <v/>
      </c>
      <c r="G379" s="35" t="str">
        <f aca="false">IF($A379="","",SUMIFS(VENTAS!$H$6:$H$2005,VENTAS!$A$6:$A$2005,$A379)-$D379-$E379-$F379)</f>
        <v/>
      </c>
      <c r="H379" s="35" t="str">
        <f aca="false">IF($A379="","",SUM($D379:$G379))</f>
        <v/>
      </c>
      <c r="I379" s="40"/>
      <c r="J379" s="40"/>
      <c r="K379" s="35" t="str">
        <f aca="false">IF($A379="","",N($C379)+$D379-N($I379)-N($J379))</f>
        <v/>
      </c>
      <c r="L379" s="40"/>
      <c r="M379" s="35" t="str">
        <f aca="false">IF(OR($A379="",$L379=""),"",$L379-$K379)</f>
        <v/>
      </c>
      <c r="N379" s="8" t="str">
        <f aca="false">IF($A379="","",IF($L379="","PENDIENTE",IF(ABS($M379)&lt;1,"OK",IF($M379&lt;0,"FALTANTE","SOBRANTE"))))</f>
        <v/>
      </c>
      <c r="O379" s="6"/>
    </row>
    <row r="380" customFormat="false" ht="15" hidden="false" customHeight="false" outlineLevel="0" collapsed="false">
      <c r="A380" s="44"/>
      <c r="B380" s="6"/>
      <c r="C380" s="40"/>
      <c r="D380" s="35" t="str">
        <f aca="false">IF($A380="","",SUMIFS(VENTAS!$H$6:$H$2005,VENTAS!$A$6:$A$2005,$A380,VENTAS!$M$6:$M$2005,"Efectivo"))</f>
        <v/>
      </c>
      <c r="E380" s="35" t="str">
        <f aca="false">IF($A380="","",SUMIFS(VENTAS!$H$6:$H$2005,VENTAS!$A$6:$A$2005,$A380,VENTAS!$M$6:$M$2005,"SINPE Móvil"))</f>
        <v/>
      </c>
      <c r="F380" s="35" t="str">
        <f aca="false">IF($A380="","",SUMIFS(VENTAS!$H$6:$H$2005,VENTAS!$A$6:$A$2005,$A380,VENTAS!$M$6:$M$2005,"Tarjeta"))</f>
        <v/>
      </c>
      <c r="G380" s="35" t="str">
        <f aca="false">IF($A380="","",SUMIFS(VENTAS!$H$6:$H$2005,VENTAS!$A$6:$A$2005,$A380)-$D380-$E380-$F380)</f>
        <v/>
      </c>
      <c r="H380" s="35" t="str">
        <f aca="false">IF($A380="","",SUM($D380:$G380))</f>
        <v/>
      </c>
      <c r="I380" s="40"/>
      <c r="J380" s="40"/>
      <c r="K380" s="35" t="str">
        <f aca="false">IF($A380="","",N($C380)+$D380-N($I380)-N($J380))</f>
        <v/>
      </c>
      <c r="L380" s="40"/>
      <c r="M380" s="35" t="str">
        <f aca="false">IF(OR($A380="",$L380=""),"",$L380-$K380)</f>
        <v/>
      </c>
      <c r="N380" s="8" t="str">
        <f aca="false">IF($A380="","",IF($L380="","PENDIENTE",IF(ABS($M380)&lt;1,"OK",IF($M380&lt;0,"FALTANTE","SOBRANTE"))))</f>
        <v/>
      </c>
      <c r="O380" s="6"/>
    </row>
    <row r="381" customFormat="false" ht="15" hidden="false" customHeight="false" outlineLevel="0" collapsed="false">
      <c r="A381" s="44"/>
      <c r="B381" s="6"/>
      <c r="C381" s="40"/>
      <c r="D381" s="35" t="str">
        <f aca="false">IF($A381="","",SUMIFS(VENTAS!$H$6:$H$2005,VENTAS!$A$6:$A$2005,$A381,VENTAS!$M$6:$M$2005,"Efectivo"))</f>
        <v/>
      </c>
      <c r="E381" s="35" t="str">
        <f aca="false">IF($A381="","",SUMIFS(VENTAS!$H$6:$H$2005,VENTAS!$A$6:$A$2005,$A381,VENTAS!$M$6:$M$2005,"SINPE Móvil"))</f>
        <v/>
      </c>
      <c r="F381" s="35" t="str">
        <f aca="false">IF($A381="","",SUMIFS(VENTAS!$H$6:$H$2005,VENTAS!$A$6:$A$2005,$A381,VENTAS!$M$6:$M$2005,"Tarjeta"))</f>
        <v/>
      </c>
      <c r="G381" s="35" t="str">
        <f aca="false">IF($A381="","",SUMIFS(VENTAS!$H$6:$H$2005,VENTAS!$A$6:$A$2005,$A381)-$D381-$E381-$F381)</f>
        <v/>
      </c>
      <c r="H381" s="35" t="str">
        <f aca="false">IF($A381="","",SUM($D381:$G381))</f>
        <v/>
      </c>
      <c r="I381" s="40"/>
      <c r="J381" s="40"/>
      <c r="K381" s="35" t="str">
        <f aca="false">IF($A381="","",N($C381)+$D381-N($I381)-N($J381))</f>
        <v/>
      </c>
      <c r="L381" s="40"/>
      <c r="M381" s="35" t="str">
        <f aca="false">IF(OR($A381="",$L381=""),"",$L381-$K381)</f>
        <v/>
      </c>
      <c r="N381" s="8" t="str">
        <f aca="false">IF($A381="","",IF($L381="","PENDIENTE",IF(ABS($M381)&lt;1,"OK",IF($M381&lt;0,"FALTANTE","SOBRANTE"))))</f>
        <v/>
      </c>
      <c r="O381" s="6"/>
    </row>
    <row r="382" customFormat="false" ht="15" hidden="false" customHeight="false" outlineLevel="0" collapsed="false">
      <c r="A382" s="44"/>
      <c r="B382" s="6"/>
      <c r="C382" s="40"/>
      <c r="D382" s="35" t="str">
        <f aca="false">IF($A382="","",SUMIFS(VENTAS!$H$6:$H$2005,VENTAS!$A$6:$A$2005,$A382,VENTAS!$M$6:$M$2005,"Efectivo"))</f>
        <v/>
      </c>
      <c r="E382" s="35" t="str">
        <f aca="false">IF($A382="","",SUMIFS(VENTAS!$H$6:$H$2005,VENTAS!$A$6:$A$2005,$A382,VENTAS!$M$6:$M$2005,"SINPE Móvil"))</f>
        <v/>
      </c>
      <c r="F382" s="35" t="str">
        <f aca="false">IF($A382="","",SUMIFS(VENTAS!$H$6:$H$2005,VENTAS!$A$6:$A$2005,$A382,VENTAS!$M$6:$M$2005,"Tarjeta"))</f>
        <v/>
      </c>
      <c r="G382" s="35" t="str">
        <f aca="false">IF($A382="","",SUMIFS(VENTAS!$H$6:$H$2005,VENTAS!$A$6:$A$2005,$A382)-$D382-$E382-$F382)</f>
        <v/>
      </c>
      <c r="H382" s="35" t="str">
        <f aca="false">IF($A382="","",SUM($D382:$G382))</f>
        <v/>
      </c>
      <c r="I382" s="40"/>
      <c r="J382" s="40"/>
      <c r="K382" s="35" t="str">
        <f aca="false">IF($A382="","",N($C382)+$D382-N($I382)-N($J382))</f>
        <v/>
      </c>
      <c r="L382" s="40"/>
      <c r="M382" s="35" t="str">
        <f aca="false">IF(OR($A382="",$L382=""),"",$L382-$K382)</f>
        <v/>
      </c>
      <c r="N382" s="8" t="str">
        <f aca="false">IF($A382="","",IF($L382="","PENDIENTE",IF(ABS($M382)&lt;1,"OK",IF($M382&lt;0,"FALTANTE","SOBRANTE"))))</f>
        <v/>
      </c>
      <c r="O382" s="6"/>
    </row>
    <row r="383" customFormat="false" ht="15" hidden="false" customHeight="false" outlineLevel="0" collapsed="false">
      <c r="A383" s="44"/>
      <c r="B383" s="6"/>
      <c r="C383" s="40"/>
      <c r="D383" s="35" t="str">
        <f aca="false">IF($A383="","",SUMIFS(VENTAS!$H$6:$H$2005,VENTAS!$A$6:$A$2005,$A383,VENTAS!$M$6:$M$2005,"Efectivo"))</f>
        <v/>
      </c>
      <c r="E383" s="35" t="str">
        <f aca="false">IF($A383="","",SUMIFS(VENTAS!$H$6:$H$2005,VENTAS!$A$6:$A$2005,$A383,VENTAS!$M$6:$M$2005,"SINPE Móvil"))</f>
        <v/>
      </c>
      <c r="F383" s="35" t="str">
        <f aca="false">IF($A383="","",SUMIFS(VENTAS!$H$6:$H$2005,VENTAS!$A$6:$A$2005,$A383,VENTAS!$M$6:$M$2005,"Tarjeta"))</f>
        <v/>
      </c>
      <c r="G383" s="35" t="str">
        <f aca="false">IF($A383="","",SUMIFS(VENTAS!$H$6:$H$2005,VENTAS!$A$6:$A$2005,$A383)-$D383-$E383-$F383)</f>
        <v/>
      </c>
      <c r="H383" s="35" t="str">
        <f aca="false">IF($A383="","",SUM($D383:$G383))</f>
        <v/>
      </c>
      <c r="I383" s="40"/>
      <c r="J383" s="40"/>
      <c r="K383" s="35" t="str">
        <f aca="false">IF($A383="","",N($C383)+$D383-N($I383)-N($J383))</f>
        <v/>
      </c>
      <c r="L383" s="40"/>
      <c r="M383" s="35" t="str">
        <f aca="false">IF(OR($A383="",$L383=""),"",$L383-$K383)</f>
        <v/>
      </c>
      <c r="N383" s="8" t="str">
        <f aca="false">IF($A383="","",IF($L383="","PENDIENTE",IF(ABS($M383)&lt;1,"OK",IF($M383&lt;0,"FALTANTE","SOBRANTE"))))</f>
        <v/>
      </c>
      <c r="O383" s="6"/>
    </row>
    <row r="384" customFormat="false" ht="15" hidden="false" customHeight="false" outlineLevel="0" collapsed="false">
      <c r="A384" s="44"/>
      <c r="B384" s="6"/>
      <c r="C384" s="40"/>
      <c r="D384" s="35" t="str">
        <f aca="false">IF($A384="","",SUMIFS(VENTAS!$H$6:$H$2005,VENTAS!$A$6:$A$2005,$A384,VENTAS!$M$6:$M$2005,"Efectivo"))</f>
        <v/>
      </c>
      <c r="E384" s="35" t="str">
        <f aca="false">IF($A384="","",SUMIFS(VENTAS!$H$6:$H$2005,VENTAS!$A$6:$A$2005,$A384,VENTAS!$M$6:$M$2005,"SINPE Móvil"))</f>
        <v/>
      </c>
      <c r="F384" s="35" t="str">
        <f aca="false">IF($A384="","",SUMIFS(VENTAS!$H$6:$H$2005,VENTAS!$A$6:$A$2005,$A384,VENTAS!$M$6:$M$2005,"Tarjeta"))</f>
        <v/>
      </c>
      <c r="G384" s="35" t="str">
        <f aca="false">IF($A384="","",SUMIFS(VENTAS!$H$6:$H$2005,VENTAS!$A$6:$A$2005,$A384)-$D384-$E384-$F384)</f>
        <v/>
      </c>
      <c r="H384" s="35" t="str">
        <f aca="false">IF($A384="","",SUM($D384:$G384))</f>
        <v/>
      </c>
      <c r="I384" s="40"/>
      <c r="J384" s="40"/>
      <c r="K384" s="35" t="str">
        <f aca="false">IF($A384="","",N($C384)+$D384-N($I384)-N($J384))</f>
        <v/>
      </c>
      <c r="L384" s="40"/>
      <c r="M384" s="35" t="str">
        <f aca="false">IF(OR($A384="",$L384=""),"",$L384-$K384)</f>
        <v/>
      </c>
      <c r="N384" s="8" t="str">
        <f aca="false">IF($A384="","",IF($L384="","PENDIENTE",IF(ABS($M384)&lt;1,"OK",IF($M384&lt;0,"FALTANTE","SOBRANTE"))))</f>
        <v/>
      </c>
      <c r="O384" s="6"/>
    </row>
    <row r="385" customFormat="false" ht="15" hidden="false" customHeight="false" outlineLevel="0" collapsed="false">
      <c r="A385" s="44"/>
      <c r="B385" s="6"/>
      <c r="C385" s="40"/>
      <c r="D385" s="35" t="str">
        <f aca="false">IF($A385="","",SUMIFS(VENTAS!$H$6:$H$2005,VENTAS!$A$6:$A$2005,$A385,VENTAS!$M$6:$M$2005,"Efectivo"))</f>
        <v/>
      </c>
      <c r="E385" s="35" t="str">
        <f aca="false">IF($A385="","",SUMIFS(VENTAS!$H$6:$H$2005,VENTAS!$A$6:$A$2005,$A385,VENTAS!$M$6:$M$2005,"SINPE Móvil"))</f>
        <v/>
      </c>
      <c r="F385" s="35" t="str">
        <f aca="false">IF($A385="","",SUMIFS(VENTAS!$H$6:$H$2005,VENTAS!$A$6:$A$2005,$A385,VENTAS!$M$6:$M$2005,"Tarjeta"))</f>
        <v/>
      </c>
      <c r="G385" s="35" t="str">
        <f aca="false">IF($A385="","",SUMIFS(VENTAS!$H$6:$H$2005,VENTAS!$A$6:$A$2005,$A385)-$D385-$E385-$F385)</f>
        <v/>
      </c>
      <c r="H385" s="35" t="str">
        <f aca="false">IF($A385="","",SUM($D385:$G385))</f>
        <v/>
      </c>
      <c r="I385" s="40"/>
      <c r="J385" s="40"/>
      <c r="K385" s="35" t="str">
        <f aca="false">IF($A385="","",N($C385)+$D385-N($I385)-N($J385))</f>
        <v/>
      </c>
      <c r="L385" s="40"/>
      <c r="M385" s="35" t="str">
        <f aca="false">IF(OR($A385="",$L385=""),"",$L385-$K385)</f>
        <v/>
      </c>
      <c r="N385" s="8" t="str">
        <f aca="false">IF($A385="","",IF($L385="","PENDIENTE",IF(ABS($M385)&lt;1,"OK",IF($M385&lt;0,"FALTANTE","SOBRANTE"))))</f>
        <v/>
      </c>
      <c r="O385" s="6"/>
    </row>
    <row r="386" customFormat="false" ht="15" hidden="false" customHeight="false" outlineLevel="0" collapsed="false">
      <c r="A386" s="44"/>
      <c r="B386" s="6"/>
      <c r="C386" s="40"/>
      <c r="D386" s="35" t="str">
        <f aca="false">IF($A386="","",SUMIFS(VENTAS!$H$6:$H$2005,VENTAS!$A$6:$A$2005,$A386,VENTAS!$M$6:$M$2005,"Efectivo"))</f>
        <v/>
      </c>
      <c r="E386" s="35" t="str">
        <f aca="false">IF($A386="","",SUMIFS(VENTAS!$H$6:$H$2005,VENTAS!$A$6:$A$2005,$A386,VENTAS!$M$6:$M$2005,"SINPE Móvil"))</f>
        <v/>
      </c>
      <c r="F386" s="35" t="str">
        <f aca="false">IF($A386="","",SUMIFS(VENTAS!$H$6:$H$2005,VENTAS!$A$6:$A$2005,$A386,VENTAS!$M$6:$M$2005,"Tarjeta"))</f>
        <v/>
      </c>
      <c r="G386" s="35" t="str">
        <f aca="false">IF($A386="","",SUMIFS(VENTAS!$H$6:$H$2005,VENTAS!$A$6:$A$2005,$A386)-$D386-$E386-$F386)</f>
        <v/>
      </c>
      <c r="H386" s="35" t="str">
        <f aca="false">IF($A386="","",SUM($D386:$G386))</f>
        <v/>
      </c>
      <c r="I386" s="40"/>
      <c r="J386" s="40"/>
      <c r="K386" s="35" t="str">
        <f aca="false">IF($A386="","",N($C386)+$D386-N($I386)-N($J386))</f>
        <v/>
      </c>
      <c r="L386" s="40"/>
      <c r="M386" s="35" t="str">
        <f aca="false">IF(OR($A386="",$L386=""),"",$L386-$K386)</f>
        <v/>
      </c>
      <c r="N386" s="8" t="str">
        <f aca="false">IF($A386="","",IF($L386="","PENDIENTE",IF(ABS($M386)&lt;1,"OK",IF($M386&lt;0,"FALTANTE","SOBRANTE"))))</f>
        <v/>
      </c>
      <c r="O386" s="6"/>
    </row>
    <row r="387" customFormat="false" ht="15" hidden="false" customHeight="false" outlineLevel="0" collapsed="false">
      <c r="A387" s="44"/>
      <c r="B387" s="6"/>
      <c r="C387" s="40"/>
      <c r="D387" s="35" t="str">
        <f aca="false">IF($A387="","",SUMIFS(VENTAS!$H$6:$H$2005,VENTAS!$A$6:$A$2005,$A387,VENTAS!$M$6:$M$2005,"Efectivo"))</f>
        <v/>
      </c>
      <c r="E387" s="35" t="str">
        <f aca="false">IF($A387="","",SUMIFS(VENTAS!$H$6:$H$2005,VENTAS!$A$6:$A$2005,$A387,VENTAS!$M$6:$M$2005,"SINPE Móvil"))</f>
        <v/>
      </c>
      <c r="F387" s="35" t="str">
        <f aca="false">IF($A387="","",SUMIFS(VENTAS!$H$6:$H$2005,VENTAS!$A$6:$A$2005,$A387,VENTAS!$M$6:$M$2005,"Tarjeta"))</f>
        <v/>
      </c>
      <c r="G387" s="35" t="str">
        <f aca="false">IF($A387="","",SUMIFS(VENTAS!$H$6:$H$2005,VENTAS!$A$6:$A$2005,$A387)-$D387-$E387-$F387)</f>
        <v/>
      </c>
      <c r="H387" s="35" t="str">
        <f aca="false">IF($A387="","",SUM($D387:$G387))</f>
        <v/>
      </c>
      <c r="I387" s="40"/>
      <c r="J387" s="40"/>
      <c r="K387" s="35" t="str">
        <f aca="false">IF($A387="","",N($C387)+$D387-N($I387)-N($J387))</f>
        <v/>
      </c>
      <c r="L387" s="40"/>
      <c r="M387" s="35" t="str">
        <f aca="false">IF(OR($A387="",$L387=""),"",$L387-$K387)</f>
        <v/>
      </c>
      <c r="N387" s="8" t="str">
        <f aca="false">IF($A387="","",IF($L387="","PENDIENTE",IF(ABS($M387)&lt;1,"OK",IF($M387&lt;0,"FALTANTE","SOBRANTE"))))</f>
        <v/>
      </c>
      <c r="O387" s="6"/>
    </row>
    <row r="388" customFormat="false" ht="15" hidden="false" customHeight="false" outlineLevel="0" collapsed="false">
      <c r="A388" s="44"/>
      <c r="B388" s="6"/>
      <c r="C388" s="40"/>
      <c r="D388" s="35" t="str">
        <f aca="false">IF($A388="","",SUMIFS(VENTAS!$H$6:$H$2005,VENTAS!$A$6:$A$2005,$A388,VENTAS!$M$6:$M$2005,"Efectivo"))</f>
        <v/>
      </c>
      <c r="E388" s="35" t="str">
        <f aca="false">IF($A388="","",SUMIFS(VENTAS!$H$6:$H$2005,VENTAS!$A$6:$A$2005,$A388,VENTAS!$M$6:$M$2005,"SINPE Móvil"))</f>
        <v/>
      </c>
      <c r="F388" s="35" t="str">
        <f aca="false">IF($A388="","",SUMIFS(VENTAS!$H$6:$H$2005,VENTAS!$A$6:$A$2005,$A388,VENTAS!$M$6:$M$2005,"Tarjeta"))</f>
        <v/>
      </c>
      <c r="G388" s="35" t="str">
        <f aca="false">IF($A388="","",SUMIFS(VENTAS!$H$6:$H$2005,VENTAS!$A$6:$A$2005,$A388)-$D388-$E388-$F388)</f>
        <v/>
      </c>
      <c r="H388" s="35" t="str">
        <f aca="false">IF($A388="","",SUM($D388:$G388))</f>
        <v/>
      </c>
      <c r="I388" s="40"/>
      <c r="J388" s="40"/>
      <c r="K388" s="35" t="str">
        <f aca="false">IF($A388="","",N($C388)+$D388-N($I388)-N($J388))</f>
        <v/>
      </c>
      <c r="L388" s="40"/>
      <c r="M388" s="35" t="str">
        <f aca="false">IF(OR($A388="",$L388=""),"",$L388-$K388)</f>
        <v/>
      </c>
      <c r="N388" s="8" t="str">
        <f aca="false">IF($A388="","",IF($L388="","PENDIENTE",IF(ABS($M388)&lt;1,"OK",IF($M388&lt;0,"FALTANTE","SOBRANTE"))))</f>
        <v/>
      </c>
      <c r="O388" s="6"/>
    </row>
    <row r="389" customFormat="false" ht="15" hidden="false" customHeight="false" outlineLevel="0" collapsed="false">
      <c r="A389" s="44"/>
      <c r="B389" s="6"/>
      <c r="C389" s="40"/>
      <c r="D389" s="35" t="str">
        <f aca="false">IF($A389="","",SUMIFS(VENTAS!$H$6:$H$2005,VENTAS!$A$6:$A$2005,$A389,VENTAS!$M$6:$M$2005,"Efectivo"))</f>
        <v/>
      </c>
      <c r="E389" s="35" t="str">
        <f aca="false">IF($A389="","",SUMIFS(VENTAS!$H$6:$H$2005,VENTAS!$A$6:$A$2005,$A389,VENTAS!$M$6:$M$2005,"SINPE Móvil"))</f>
        <v/>
      </c>
      <c r="F389" s="35" t="str">
        <f aca="false">IF($A389="","",SUMIFS(VENTAS!$H$6:$H$2005,VENTAS!$A$6:$A$2005,$A389,VENTAS!$M$6:$M$2005,"Tarjeta"))</f>
        <v/>
      </c>
      <c r="G389" s="35" t="str">
        <f aca="false">IF($A389="","",SUMIFS(VENTAS!$H$6:$H$2005,VENTAS!$A$6:$A$2005,$A389)-$D389-$E389-$F389)</f>
        <v/>
      </c>
      <c r="H389" s="35" t="str">
        <f aca="false">IF($A389="","",SUM($D389:$G389))</f>
        <v/>
      </c>
      <c r="I389" s="40"/>
      <c r="J389" s="40"/>
      <c r="K389" s="35" t="str">
        <f aca="false">IF($A389="","",N($C389)+$D389-N($I389)-N($J389))</f>
        <v/>
      </c>
      <c r="L389" s="40"/>
      <c r="M389" s="35" t="str">
        <f aca="false">IF(OR($A389="",$L389=""),"",$L389-$K389)</f>
        <v/>
      </c>
      <c r="N389" s="8" t="str">
        <f aca="false">IF($A389="","",IF($L389="","PENDIENTE",IF(ABS($M389)&lt;1,"OK",IF($M389&lt;0,"FALTANTE","SOBRANTE"))))</f>
        <v/>
      </c>
      <c r="O389" s="6"/>
    </row>
    <row r="390" customFormat="false" ht="15" hidden="false" customHeight="false" outlineLevel="0" collapsed="false">
      <c r="A390" s="44"/>
      <c r="B390" s="6"/>
      <c r="C390" s="40"/>
      <c r="D390" s="35" t="str">
        <f aca="false">IF($A390="","",SUMIFS(VENTAS!$H$6:$H$2005,VENTAS!$A$6:$A$2005,$A390,VENTAS!$M$6:$M$2005,"Efectivo"))</f>
        <v/>
      </c>
      <c r="E390" s="35" t="str">
        <f aca="false">IF($A390="","",SUMIFS(VENTAS!$H$6:$H$2005,VENTAS!$A$6:$A$2005,$A390,VENTAS!$M$6:$M$2005,"SINPE Móvil"))</f>
        <v/>
      </c>
      <c r="F390" s="35" t="str">
        <f aca="false">IF($A390="","",SUMIFS(VENTAS!$H$6:$H$2005,VENTAS!$A$6:$A$2005,$A390,VENTAS!$M$6:$M$2005,"Tarjeta"))</f>
        <v/>
      </c>
      <c r="G390" s="35" t="str">
        <f aca="false">IF($A390="","",SUMIFS(VENTAS!$H$6:$H$2005,VENTAS!$A$6:$A$2005,$A390)-$D390-$E390-$F390)</f>
        <v/>
      </c>
      <c r="H390" s="35" t="str">
        <f aca="false">IF($A390="","",SUM($D390:$G390))</f>
        <v/>
      </c>
      <c r="I390" s="40"/>
      <c r="J390" s="40"/>
      <c r="K390" s="35" t="str">
        <f aca="false">IF($A390="","",N($C390)+$D390-N($I390)-N($J390))</f>
        <v/>
      </c>
      <c r="L390" s="40"/>
      <c r="M390" s="35" t="str">
        <f aca="false">IF(OR($A390="",$L390=""),"",$L390-$K390)</f>
        <v/>
      </c>
      <c r="N390" s="8" t="str">
        <f aca="false">IF($A390="","",IF($L390="","PENDIENTE",IF(ABS($M390)&lt;1,"OK",IF($M390&lt;0,"FALTANTE","SOBRANTE"))))</f>
        <v/>
      </c>
      <c r="O390" s="6"/>
    </row>
    <row r="391" customFormat="false" ht="15" hidden="false" customHeight="false" outlineLevel="0" collapsed="false">
      <c r="A391" s="44"/>
      <c r="B391" s="6"/>
      <c r="C391" s="40"/>
      <c r="D391" s="35" t="str">
        <f aca="false">IF($A391="","",SUMIFS(VENTAS!$H$6:$H$2005,VENTAS!$A$6:$A$2005,$A391,VENTAS!$M$6:$M$2005,"Efectivo"))</f>
        <v/>
      </c>
      <c r="E391" s="35" t="str">
        <f aca="false">IF($A391="","",SUMIFS(VENTAS!$H$6:$H$2005,VENTAS!$A$6:$A$2005,$A391,VENTAS!$M$6:$M$2005,"SINPE Móvil"))</f>
        <v/>
      </c>
      <c r="F391" s="35" t="str">
        <f aca="false">IF($A391="","",SUMIFS(VENTAS!$H$6:$H$2005,VENTAS!$A$6:$A$2005,$A391,VENTAS!$M$6:$M$2005,"Tarjeta"))</f>
        <v/>
      </c>
      <c r="G391" s="35" t="str">
        <f aca="false">IF($A391="","",SUMIFS(VENTAS!$H$6:$H$2005,VENTAS!$A$6:$A$2005,$A391)-$D391-$E391-$F391)</f>
        <v/>
      </c>
      <c r="H391" s="35" t="str">
        <f aca="false">IF($A391="","",SUM($D391:$G391))</f>
        <v/>
      </c>
      <c r="I391" s="40"/>
      <c r="J391" s="40"/>
      <c r="K391" s="35" t="str">
        <f aca="false">IF($A391="","",N($C391)+$D391-N($I391)-N($J391))</f>
        <v/>
      </c>
      <c r="L391" s="40"/>
      <c r="M391" s="35" t="str">
        <f aca="false">IF(OR($A391="",$L391=""),"",$L391-$K391)</f>
        <v/>
      </c>
      <c r="N391" s="8" t="str">
        <f aca="false">IF($A391="","",IF($L391="","PENDIENTE",IF(ABS($M391)&lt;1,"OK",IF($M391&lt;0,"FALTANTE","SOBRANTE"))))</f>
        <v/>
      </c>
      <c r="O391" s="6"/>
    </row>
    <row r="392" customFormat="false" ht="15" hidden="false" customHeight="false" outlineLevel="0" collapsed="false">
      <c r="A392" s="44"/>
      <c r="B392" s="6"/>
      <c r="C392" s="40"/>
      <c r="D392" s="35" t="str">
        <f aca="false">IF($A392="","",SUMIFS(VENTAS!$H$6:$H$2005,VENTAS!$A$6:$A$2005,$A392,VENTAS!$M$6:$M$2005,"Efectivo"))</f>
        <v/>
      </c>
      <c r="E392" s="35" t="str">
        <f aca="false">IF($A392="","",SUMIFS(VENTAS!$H$6:$H$2005,VENTAS!$A$6:$A$2005,$A392,VENTAS!$M$6:$M$2005,"SINPE Móvil"))</f>
        <v/>
      </c>
      <c r="F392" s="35" t="str">
        <f aca="false">IF($A392="","",SUMIFS(VENTAS!$H$6:$H$2005,VENTAS!$A$6:$A$2005,$A392,VENTAS!$M$6:$M$2005,"Tarjeta"))</f>
        <v/>
      </c>
      <c r="G392" s="35" t="str">
        <f aca="false">IF($A392="","",SUMIFS(VENTAS!$H$6:$H$2005,VENTAS!$A$6:$A$2005,$A392)-$D392-$E392-$F392)</f>
        <v/>
      </c>
      <c r="H392" s="35" t="str">
        <f aca="false">IF($A392="","",SUM($D392:$G392))</f>
        <v/>
      </c>
      <c r="I392" s="40"/>
      <c r="J392" s="40"/>
      <c r="K392" s="35" t="str">
        <f aca="false">IF($A392="","",N($C392)+$D392-N($I392)-N($J392))</f>
        <v/>
      </c>
      <c r="L392" s="40"/>
      <c r="M392" s="35" t="str">
        <f aca="false">IF(OR($A392="",$L392=""),"",$L392-$K392)</f>
        <v/>
      </c>
      <c r="N392" s="8" t="str">
        <f aca="false">IF($A392="","",IF($L392="","PENDIENTE",IF(ABS($M392)&lt;1,"OK",IF($M392&lt;0,"FALTANTE","SOBRANTE"))))</f>
        <v/>
      </c>
      <c r="O392" s="6"/>
    </row>
    <row r="393" customFormat="false" ht="15" hidden="false" customHeight="false" outlineLevel="0" collapsed="false">
      <c r="A393" s="44"/>
      <c r="B393" s="6"/>
      <c r="C393" s="40"/>
      <c r="D393" s="35" t="str">
        <f aca="false">IF($A393="","",SUMIFS(VENTAS!$H$6:$H$2005,VENTAS!$A$6:$A$2005,$A393,VENTAS!$M$6:$M$2005,"Efectivo"))</f>
        <v/>
      </c>
      <c r="E393" s="35" t="str">
        <f aca="false">IF($A393="","",SUMIFS(VENTAS!$H$6:$H$2005,VENTAS!$A$6:$A$2005,$A393,VENTAS!$M$6:$M$2005,"SINPE Móvil"))</f>
        <v/>
      </c>
      <c r="F393" s="35" t="str">
        <f aca="false">IF($A393="","",SUMIFS(VENTAS!$H$6:$H$2005,VENTAS!$A$6:$A$2005,$A393,VENTAS!$M$6:$M$2005,"Tarjeta"))</f>
        <v/>
      </c>
      <c r="G393" s="35" t="str">
        <f aca="false">IF($A393="","",SUMIFS(VENTAS!$H$6:$H$2005,VENTAS!$A$6:$A$2005,$A393)-$D393-$E393-$F393)</f>
        <v/>
      </c>
      <c r="H393" s="35" t="str">
        <f aca="false">IF($A393="","",SUM($D393:$G393))</f>
        <v/>
      </c>
      <c r="I393" s="40"/>
      <c r="J393" s="40"/>
      <c r="K393" s="35" t="str">
        <f aca="false">IF($A393="","",N($C393)+$D393-N($I393)-N($J393))</f>
        <v/>
      </c>
      <c r="L393" s="40"/>
      <c r="M393" s="35" t="str">
        <f aca="false">IF(OR($A393="",$L393=""),"",$L393-$K393)</f>
        <v/>
      </c>
      <c r="N393" s="8" t="str">
        <f aca="false">IF($A393="","",IF($L393="","PENDIENTE",IF(ABS($M393)&lt;1,"OK",IF($M393&lt;0,"FALTANTE","SOBRANTE"))))</f>
        <v/>
      </c>
      <c r="O393" s="6"/>
    </row>
    <row r="394" customFormat="false" ht="15" hidden="false" customHeight="false" outlineLevel="0" collapsed="false">
      <c r="A394" s="44"/>
      <c r="B394" s="6"/>
      <c r="C394" s="40"/>
      <c r="D394" s="35" t="str">
        <f aca="false">IF($A394="","",SUMIFS(VENTAS!$H$6:$H$2005,VENTAS!$A$6:$A$2005,$A394,VENTAS!$M$6:$M$2005,"Efectivo"))</f>
        <v/>
      </c>
      <c r="E394" s="35" t="str">
        <f aca="false">IF($A394="","",SUMIFS(VENTAS!$H$6:$H$2005,VENTAS!$A$6:$A$2005,$A394,VENTAS!$M$6:$M$2005,"SINPE Móvil"))</f>
        <v/>
      </c>
      <c r="F394" s="35" t="str">
        <f aca="false">IF($A394="","",SUMIFS(VENTAS!$H$6:$H$2005,VENTAS!$A$6:$A$2005,$A394,VENTAS!$M$6:$M$2005,"Tarjeta"))</f>
        <v/>
      </c>
      <c r="G394" s="35" t="str">
        <f aca="false">IF($A394="","",SUMIFS(VENTAS!$H$6:$H$2005,VENTAS!$A$6:$A$2005,$A394)-$D394-$E394-$F394)</f>
        <v/>
      </c>
      <c r="H394" s="35" t="str">
        <f aca="false">IF($A394="","",SUM($D394:$G394))</f>
        <v/>
      </c>
      <c r="I394" s="40"/>
      <c r="J394" s="40"/>
      <c r="K394" s="35" t="str">
        <f aca="false">IF($A394="","",N($C394)+$D394-N($I394)-N($J394))</f>
        <v/>
      </c>
      <c r="L394" s="40"/>
      <c r="M394" s="35" t="str">
        <f aca="false">IF(OR($A394="",$L394=""),"",$L394-$K394)</f>
        <v/>
      </c>
      <c r="N394" s="8" t="str">
        <f aca="false">IF($A394="","",IF($L394="","PENDIENTE",IF(ABS($M394)&lt;1,"OK",IF($M394&lt;0,"FALTANTE","SOBRANTE"))))</f>
        <v/>
      </c>
      <c r="O394" s="6"/>
    </row>
    <row r="395" customFormat="false" ht="15" hidden="false" customHeight="false" outlineLevel="0" collapsed="false">
      <c r="A395" s="44"/>
      <c r="B395" s="6"/>
      <c r="C395" s="40"/>
      <c r="D395" s="35" t="str">
        <f aca="false">IF($A395="","",SUMIFS(VENTAS!$H$6:$H$2005,VENTAS!$A$6:$A$2005,$A395,VENTAS!$M$6:$M$2005,"Efectivo"))</f>
        <v/>
      </c>
      <c r="E395" s="35" t="str">
        <f aca="false">IF($A395="","",SUMIFS(VENTAS!$H$6:$H$2005,VENTAS!$A$6:$A$2005,$A395,VENTAS!$M$6:$M$2005,"SINPE Móvil"))</f>
        <v/>
      </c>
      <c r="F395" s="35" t="str">
        <f aca="false">IF($A395="","",SUMIFS(VENTAS!$H$6:$H$2005,VENTAS!$A$6:$A$2005,$A395,VENTAS!$M$6:$M$2005,"Tarjeta"))</f>
        <v/>
      </c>
      <c r="G395" s="35" t="str">
        <f aca="false">IF($A395="","",SUMIFS(VENTAS!$H$6:$H$2005,VENTAS!$A$6:$A$2005,$A395)-$D395-$E395-$F395)</f>
        <v/>
      </c>
      <c r="H395" s="35" t="str">
        <f aca="false">IF($A395="","",SUM($D395:$G395))</f>
        <v/>
      </c>
      <c r="I395" s="40"/>
      <c r="J395" s="40"/>
      <c r="K395" s="35" t="str">
        <f aca="false">IF($A395="","",N($C395)+$D395-N($I395)-N($J395))</f>
        <v/>
      </c>
      <c r="L395" s="40"/>
      <c r="M395" s="35" t="str">
        <f aca="false">IF(OR($A395="",$L395=""),"",$L395-$K395)</f>
        <v/>
      </c>
      <c r="N395" s="8" t="str">
        <f aca="false">IF($A395="","",IF($L395="","PENDIENTE",IF(ABS($M395)&lt;1,"OK",IF($M395&lt;0,"FALTANTE","SOBRANTE"))))</f>
        <v/>
      </c>
      <c r="O395" s="6"/>
    </row>
    <row r="396" customFormat="false" ht="15" hidden="false" customHeight="false" outlineLevel="0" collapsed="false">
      <c r="A396" s="44"/>
      <c r="B396" s="6"/>
      <c r="C396" s="40"/>
      <c r="D396" s="35" t="str">
        <f aca="false">IF($A396="","",SUMIFS(VENTAS!$H$6:$H$2005,VENTAS!$A$6:$A$2005,$A396,VENTAS!$M$6:$M$2005,"Efectivo"))</f>
        <v/>
      </c>
      <c r="E396" s="35" t="str">
        <f aca="false">IF($A396="","",SUMIFS(VENTAS!$H$6:$H$2005,VENTAS!$A$6:$A$2005,$A396,VENTAS!$M$6:$M$2005,"SINPE Móvil"))</f>
        <v/>
      </c>
      <c r="F396" s="35" t="str">
        <f aca="false">IF($A396="","",SUMIFS(VENTAS!$H$6:$H$2005,VENTAS!$A$6:$A$2005,$A396,VENTAS!$M$6:$M$2005,"Tarjeta"))</f>
        <v/>
      </c>
      <c r="G396" s="35" t="str">
        <f aca="false">IF($A396="","",SUMIFS(VENTAS!$H$6:$H$2005,VENTAS!$A$6:$A$2005,$A396)-$D396-$E396-$F396)</f>
        <v/>
      </c>
      <c r="H396" s="35" t="str">
        <f aca="false">IF($A396="","",SUM($D396:$G396))</f>
        <v/>
      </c>
      <c r="I396" s="40"/>
      <c r="J396" s="40"/>
      <c r="K396" s="35" t="str">
        <f aca="false">IF($A396="","",N($C396)+$D396-N($I396)-N($J396))</f>
        <v/>
      </c>
      <c r="L396" s="40"/>
      <c r="M396" s="35" t="str">
        <f aca="false">IF(OR($A396="",$L396=""),"",$L396-$K396)</f>
        <v/>
      </c>
      <c r="N396" s="8" t="str">
        <f aca="false">IF($A396="","",IF($L396="","PENDIENTE",IF(ABS($M396)&lt;1,"OK",IF($M396&lt;0,"FALTANTE","SOBRANTE"))))</f>
        <v/>
      </c>
      <c r="O396" s="6"/>
    </row>
    <row r="397" customFormat="false" ht="15" hidden="false" customHeight="false" outlineLevel="0" collapsed="false">
      <c r="A397" s="44"/>
      <c r="B397" s="6"/>
      <c r="C397" s="40"/>
      <c r="D397" s="35" t="str">
        <f aca="false">IF($A397="","",SUMIFS(VENTAS!$H$6:$H$2005,VENTAS!$A$6:$A$2005,$A397,VENTAS!$M$6:$M$2005,"Efectivo"))</f>
        <v/>
      </c>
      <c r="E397" s="35" t="str">
        <f aca="false">IF($A397="","",SUMIFS(VENTAS!$H$6:$H$2005,VENTAS!$A$6:$A$2005,$A397,VENTAS!$M$6:$M$2005,"SINPE Móvil"))</f>
        <v/>
      </c>
      <c r="F397" s="35" t="str">
        <f aca="false">IF($A397="","",SUMIFS(VENTAS!$H$6:$H$2005,VENTAS!$A$6:$A$2005,$A397,VENTAS!$M$6:$M$2005,"Tarjeta"))</f>
        <v/>
      </c>
      <c r="G397" s="35" t="str">
        <f aca="false">IF($A397="","",SUMIFS(VENTAS!$H$6:$H$2005,VENTAS!$A$6:$A$2005,$A397)-$D397-$E397-$F397)</f>
        <v/>
      </c>
      <c r="H397" s="35" t="str">
        <f aca="false">IF($A397="","",SUM($D397:$G397))</f>
        <v/>
      </c>
      <c r="I397" s="40"/>
      <c r="J397" s="40"/>
      <c r="K397" s="35" t="str">
        <f aca="false">IF($A397="","",N($C397)+$D397-N($I397)-N($J397))</f>
        <v/>
      </c>
      <c r="L397" s="40"/>
      <c r="M397" s="35" t="str">
        <f aca="false">IF(OR($A397="",$L397=""),"",$L397-$K397)</f>
        <v/>
      </c>
      <c r="N397" s="8" t="str">
        <f aca="false">IF($A397="","",IF($L397="","PENDIENTE",IF(ABS($M397)&lt;1,"OK",IF($M397&lt;0,"FALTANTE","SOBRANTE"))))</f>
        <v/>
      </c>
      <c r="O397" s="6"/>
    </row>
    <row r="398" customFormat="false" ht="15" hidden="false" customHeight="false" outlineLevel="0" collapsed="false">
      <c r="A398" s="44"/>
      <c r="B398" s="6"/>
      <c r="C398" s="40"/>
      <c r="D398" s="35" t="str">
        <f aca="false">IF($A398="","",SUMIFS(VENTAS!$H$6:$H$2005,VENTAS!$A$6:$A$2005,$A398,VENTAS!$M$6:$M$2005,"Efectivo"))</f>
        <v/>
      </c>
      <c r="E398" s="35" t="str">
        <f aca="false">IF($A398="","",SUMIFS(VENTAS!$H$6:$H$2005,VENTAS!$A$6:$A$2005,$A398,VENTAS!$M$6:$M$2005,"SINPE Móvil"))</f>
        <v/>
      </c>
      <c r="F398" s="35" t="str">
        <f aca="false">IF($A398="","",SUMIFS(VENTAS!$H$6:$H$2005,VENTAS!$A$6:$A$2005,$A398,VENTAS!$M$6:$M$2005,"Tarjeta"))</f>
        <v/>
      </c>
      <c r="G398" s="35" t="str">
        <f aca="false">IF($A398="","",SUMIFS(VENTAS!$H$6:$H$2005,VENTAS!$A$6:$A$2005,$A398)-$D398-$E398-$F398)</f>
        <v/>
      </c>
      <c r="H398" s="35" t="str">
        <f aca="false">IF($A398="","",SUM($D398:$G398))</f>
        <v/>
      </c>
      <c r="I398" s="40"/>
      <c r="J398" s="40"/>
      <c r="K398" s="35" t="str">
        <f aca="false">IF($A398="","",N($C398)+$D398-N($I398)-N($J398))</f>
        <v/>
      </c>
      <c r="L398" s="40"/>
      <c r="M398" s="35" t="str">
        <f aca="false">IF(OR($A398="",$L398=""),"",$L398-$K398)</f>
        <v/>
      </c>
      <c r="N398" s="8" t="str">
        <f aca="false">IF($A398="","",IF($L398="","PENDIENTE",IF(ABS($M398)&lt;1,"OK",IF($M398&lt;0,"FALTANTE","SOBRANTE"))))</f>
        <v/>
      </c>
      <c r="O398" s="6"/>
    </row>
    <row r="399" customFormat="false" ht="15" hidden="false" customHeight="false" outlineLevel="0" collapsed="false">
      <c r="A399" s="44"/>
      <c r="B399" s="6"/>
      <c r="C399" s="40"/>
      <c r="D399" s="35" t="str">
        <f aca="false">IF($A399="","",SUMIFS(VENTAS!$H$6:$H$2005,VENTAS!$A$6:$A$2005,$A399,VENTAS!$M$6:$M$2005,"Efectivo"))</f>
        <v/>
      </c>
      <c r="E399" s="35" t="str">
        <f aca="false">IF($A399="","",SUMIFS(VENTAS!$H$6:$H$2005,VENTAS!$A$6:$A$2005,$A399,VENTAS!$M$6:$M$2005,"SINPE Móvil"))</f>
        <v/>
      </c>
      <c r="F399" s="35" t="str">
        <f aca="false">IF($A399="","",SUMIFS(VENTAS!$H$6:$H$2005,VENTAS!$A$6:$A$2005,$A399,VENTAS!$M$6:$M$2005,"Tarjeta"))</f>
        <v/>
      </c>
      <c r="G399" s="35" t="str">
        <f aca="false">IF($A399="","",SUMIFS(VENTAS!$H$6:$H$2005,VENTAS!$A$6:$A$2005,$A399)-$D399-$E399-$F399)</f>
        <v/>
      </c>
      <c r="H399" s="35" t="str">
        <f aca="false">IF($A399="","",SUM($D399:$G399))</f>
        <v/>
      </c>
      <c r="I399" s="40"/>
      <c r="J399" s="40"/>
      <c r="K399" s="35" t="str">
        <f aca="false">IF($A399="","",N($C399)+$D399-N($I399)-N($J399))</f>
        <v/>
      </c>
      <c r="L399" s="40"/>
      <c r="M399" s="35" t="str">
        <f aca="false">IF(OR($A399="",$L399=""),"",$L399-$K399)</f>
        <v/>
      </c>
      <c r="N399" s="8" t="str">
        <f aca="false">IF($A399="","",IF($L399="","PENDIENTE",IF(ABS($M399)&lt;1,"OK",IF($M399&lt;0,"FALTANTE","SOBRANTE"))))</f>
        <v/>
      </c>
      <c r="O399" s="6"/>
    </row>
    <row r="400" customFormat="false" ht="15" hidden="false" customHeight="false" outlineLevel="0" collapsed="false">
      <c r="A400" s="44"/>
      <c r="B400" s="6"/>
      <c r="C400" s="40"/>
      <c r="D400" s="35" t="str">
        <f aca="false">IF($A400="","",SUMIFS(VENTAS!$H$6:$H$2005,VENTAS!$A$6:$A$2005,$A400,VENTAS!$M$6:$M$2005,"Efectivo"))</f>
        <v/>
      </c>
      <c r="E400" s="35" t="str">
        <f aca="false">IF($A400="","",SUMIFS(VENTAS!$H$6:$H$2005,VENTAS!$A$6:$A$2005,$A400,VENTAS!$M$6:$M$2005,"SINPE Móvil"))</f>
        <v/>
      </c>
      <c r="F400" s="35" t="str">
        <f aca="false">IF($A400="","",SUMIFS(VENTAS!$H$6:$H$2005,VENTAS!$A$6:$A$2005,$A400,VENTAS!$M$6:$M$2005,"Tarjeta"))</f>
        <v/>
      </c>
      <c r="G400" s="35" t="str">
        <f aca="false">IF($A400="","",SUMIFS(VENTAS!$H$6:$H$2005,VENTAS!$A$6:$A$2005,$A400)-$D400-$E400-$F400)</f>
        <v/>
      </c>
      <c r="H400" s="35" t="str">
        <f aca="false">IF($A400="","",SUM($D400:$G400))</f>
        <v/>
      </c>
      <c r="I400" s="40"/>
      <c r="J400" s="40"/>
      <c r="K400" s="35" t="str">
        <f aca="false">IF($A400="","",N($C400)+$D400-N($I400)-N($J400))</f>
        <v/>
      </c>
      <c r="L400" s="40"/>
      <c r="M400" s="35" t="str">
        <f aca="false">IF(OR($A400="",$L400=""),"",$L400-$K400)</f>
        <v/>
      </c>
      <c r="N400" s="8" t="str">
        <f aca="false">IF($A400="","",IF($L400="","PENDIENTE",IF(ABS($M400)&lt;1,"OK",IF($M400&lt;0,"FALTANTE","SOBRANTE"))))</f>
        <v/>
      </c>
      <c r="O400" s="6"/>
    </row>
    <row r="401" customFormat="false" ht="15" hidden="false" customHeight="false" outlineLevel="0" collapsed="false">
      <c r="A401" s="44"/>
      <c r="B401" s="6"/>
      <c r="C401" s="40"/>
      <c r="D401" s="35" t="str">
        <f aca="false">IF($A401="","",SUMIFS(VENTAS!$H$6:$H$2005,VENTAS!$A$6:$A$2005,$A401,VENTAS!$M$6:$M$2005,"Efectivo"))</f>
        <v/>
      </c>
      <c r="E401" s="35" t="str">
        <f aca="false">IF($A401="","",SUMIFS(VENTAS!$H$6:$H$2005,VENTAS!$A$6:$A$2005,$A401,VENTAS!$M$6:$M$2005,"SINPE Móvil"))</f>
        <v/>
      </c>
      <c r="F401" s="35" t="str">
        <f aca="false">IF($A401="","",SUMIFS(VENTAS!$H$6:$H$2005,VENTAS!$A$6:$A$2005,$A401,VENTAS!$M$6:$M$2005,"Tarjeta"))</f>
        <v/>
      </c>
      <c r="G401" s="35" t="str">
        <f aca="false">IF($A401="","",SUMIFS(VENTAS!$H$6:$H$2005,VENTAS!$A$6:$A$2005,$A401)-$D401-$E401-$F401)</f>
        <v/>
      </c>
      <c r="H401" s="35" t="str">
        <f aca="false">IF($A401="","",SUM($D401:$G401))</f>
        <v/>
      </c>
      <c r="I401" s="40"/>
      <c r="J401" s="40"/>
      <c r="K401" s="35" t="str">
        <f aca="false">IF($A401="","",N($C401)+$D401-N($I401)-N($J401))</f>
        <v/>
      </c>
      <c r="L401" s="40"/>
      <c r="M401" s="35" t="str">
        <f aca="false">IF(OR($A401="",$L401=""),"",$L401-$K401)</f>
        <v/>
      </c>
      <c r="N401" s="8" t="str">
        <f aca="false">IF($A401="","",IF($L401="","PENDIENTE",IF(ABS($M401)&lt;1,"OK",IF($M401&lt;0,"FALTANTE","SOBRANTE"))))</f>
        <v/>
      </c>
      <c r="O401" s="6"/>
    </row>
    <row r="402" customFormat="false" ht="15" hidden="false" customHeight="false" outlineLevel="0" collapsed="false">
      <c r="A402" s="44"/>
      <c r="B402" s="6"/>
      <c r="C402" s="40"/>
      <c r="D402" s="35" t="str">
        <f aca="false">IF($A402="","",SUMIFS(VENTAS!$H$6:$H$2005,VENTAS!$A$6:$A$2005,$A402,VENTAS!$M$6:$M$2005,"Efectivo"))</f>
        <v/>
      </c>
      <c r="E402" s="35" t="str">
        <f aca="false">IF($A402="","",SUMIFS(VENTAS!$H$6:$H$2005,VENTAS!$A$6:$A$2005,$A402,VENTAS!$M$6:$M$2005,"SINPE Móvil"))</f>
        <v/>
      </c>
      <c r="F402" s="35" t="str">
        <f aca="false">IF($A402="","",SUMIFS(VENTAS!$H$6:$H$2005,VENTAS!$A$6:$A$2005,$A402,VENTAS!$M$6:$M$2005,"Tarjeta"))</f>
        <v/>
      </c>
      <c r="G402" s="35" t="str">
        <f aca="false">IF($A402="","",SUMIFS(VENTAS!$H$6:$H$2005,VENTAS!$A$6:$A$2005,$A402)-$D402-$E402-$F402)</f>
        <v/>
      </c>
      <c r="H402" s="35" t="str">
        <f aca="false">IF($A402="","",SUM($D402:$G402))</f>
        <v/>
      </c>
      <c r="I402" s="40"/>
      <c r="J402" s="40"/>
      <c r="K402" s="35" t="str">
        <f aca="false">IF($A402="","",N($C402)+$D402-N($I402)-N($J402))</f>
        <v/>
      </c>
      <c r="L402" s="40"/>
      <c r="M402" s="35" t="str">
        <f aca="false">IF(OR($A402="",$L402=""),"",$L402-$K402)</f>
        <v/>
      </c>
      <c r="N402" s="8" t="str">
        <f aca="false">IF($A402="","",IF($L402="","PENDIENTE",IF(ABS($M402)&lt;1,"OK",IF($M402&lt;0,"FALTANTE","SOBRANTE"))))</f>
        <v/>
      </c>
      <c r="O402" s="6"/>
    </row>
    <row r="403" customFormat="false" ht="15" hidden="false" customHeight="false" outlineLevel="0" collapsed="false">
      <c r="A403" s="44"/>
      <c r="B403" s="6"/>
      <c r="C403" s="40"/>
      <c r="D403" s="35" t="str">
        <f aca="false">IF($A403="","",SUMIFS(VENTAS!$H$6:$H$2005,VENTAS!$A$6:$A$2005,$A403,VENTAS!$M$6:$M$2005,"Efectivo"))</f>
        <v/>
      </c>
      <c r="E403" s="35" t="str">
        <f aca="false">IF($A403="","",SUMIFS(VENTAS!$H$6:$H$2005,VENTAS!$A$6:$A$2005,$A403,VENTAS!$M$6:$M$2005,"SINPE Móvil"))</f>
        <v/>
      </c>
      <c r="F403" s="35" t="str">
        <f aca="false">IF($A403="","",SUMIFS(VENTAS!$H$6:$H$2005,VENTAS!$A$6:$A$2005,$A403,VENTAS!$M$6:$M$2005,"Tarjeta"))</f>
        <v/>
      </c>
      <c r="G403" s="35" t="str">
        <f aca="false">IF($A403="","",SUMIFS(VENTAS!$H$6:$H$2005,VENTAS!$A$6:$A$2005,$A403)-$D403-$E403-$F403)</f>
        <v/>
      </c>
      <c r="H403" s="35" t="str">
        <f aca="false">IF($A403="","",SUM($D403:$G403))</f>
        <v/>
      </c>
      <c r="I403" s="40"/>
      <c r="J403" s="40"/>
      <c r="K403" s="35" t="str">
        <f aca="false">IF($A403="","",N($C403)+$D403-N($I403)-N($J403))</f>
        <v/>
      </c>
      <c r="L403" s="40"/>
      <c r="M403" s="35" t="str">
        <f aca="false">IF(OR($A403="",$L403=""),"",$L403-$K403)</f>
        <v/>
      </c>
      <c r="N403" s="8" t="str">
        <f aca="false">IF($A403="","",IF($L403="","PENDIENTE",IF(ABS($M403)&lt;1,"OK",IF($M403&lt;0,"FALTANTE","SOBRANTE"))))</f>
        <v/>
      </c>
      <c r="O403" s="6"/>
    </row>
    <row r="404" customFormat="false" ht="15" hidden="false" customHeight="false" outlineLevel="0" collapsed="false">
      <c r="A404" s="44"/>
      <c r="B404" s="6"/>
      <c r="C404" s="40"/>
      <c r="D404" s="35" t="str">
        <f aca="false">IF($A404="","",SUMIFS(VENTAS!$H$6:$H$2005,VENTAS!$A$6:$A$2005,$A404,VENTAS!$M$6:$M$2005,"Efectivo"))</f>
        <v/>
      </c>
      <c r="E404" s="35" t="str">
        <f aca="false">IF($A404="","",SUMIFS(VENTAS!$H$6:$H$2005,VENTAS!$A$6:$A$2005,$A404,VENTAS!$M$6:$M$2005,"SINPE Móvil"))</f>
        <v/>
      </c>
      <c r="F404" s="35" t="str">
        <f aca="false">IF($A404="","",SUMIFS(VENTAS!$H$6:$H$2005,VENTAS!$A$6:$A$2005,$A404,VENTAS!$M$6:$M$2005,"Tarjeta"))</f>
        <v/>
      </c>
      <c r="G404" s="35" t="str">
        <f aca="false">IF($A404="","",SUMIFS(VENTAS!$H$6:$H$2005,VENTAS!$A$6:$A$2005,$A404)-$D404-$E404-$F404)</f>
        <v/>
      </c>
      <c r="H404" s="35" t="str">
        <f aca="false">IF($A404="","",SUM($D404:$G404))</f>
        <v/>
      </c>
      <c r="I404" s="40"/>
      <c r="J404" s="40"/>
      <c r="K404" s="35" t="str">
        <f aca="false">IF($A404="","",N($C404)+$D404-N($I404)-N($J404))</f>
        <v/>
      </c>
      <c r="L404" s="40"/>
      <c r="M404" s="35" t="str">
        <f aca="false">IF(OR($A404="",$L404=""),"",$L404-$K404)</f>
        <v/>
      </c>
      <c r="N404" s="8" t="str">
        <f aca="false">IF($A404="","",IF($L404="","PENDIENTE",IF(ABS($M404)&lt;1,"OK",IF($M404&lt;0,"FALTANTE","SOBRANTE"))))</f>
        <v/>
      </c>
      <c r="O404" s="6"/>
    </row>
    <row r="405" customFormat="false" ht="15" hidden="false" customHeight="false" outlineLevel="0" collapsed="false">
      <c r="A405" s="44"/>
      <c r="B405" s="6"/>
      <c r="C405" s="40"/>
      <c r="D405" s="35" t="str">
        <f aca="false">IF($A405="","",SUMIFS(VENTAS!$H$6:$H$2005,VENTAS!$A$6:$A$2005,$A405,VENTAS!$M$6:$M$2005,"Efectivo"))</f>
        <v/>
      </c>
      <c r="E405" s="35" t="str">
        <f aca="false">IF($A405="","",SUMIFS(VENTAS!$H$6:$H$2005,VENTAS!$A$6:$A$2005,$A405,VENTAS!$M$6:$M$2005,"SINPE Móvil"))</f>
        <v/>
      </c>
      <c r="F405" s="35" t="str">
        <f aca="false">IF($A405="","",SUMIFS(VENTAS!$H$6:$H$2005,VENTAS!$A$6:$A$2005,$A405,VENTAS!$M$6:$M$2005,"Tarjeta"))</f>
        <v/>
      </c>
      <c r="G405" s="35" t="str">
        <f aca="false">IF($A405="","",SUMIFS(VENTAS!$H$6:$H$2005,VENTAS!$A$6:$A$2005,$A405)-$D405-$E405-$F405)</f>
        <v/>
      </c>
      <c r="H405" s="35" t="str">
        <f aca="false">IF($A405="","",SUM($D405:$G405))</f>
        <v/>
      </c>
      <c r="I405" s="40"/>
      <c r="J405" s="40"/>
      <c r="K405" s="35" t="str">
        <f aca="false">IF($A405="","",N($C405)+$D405-N($I405)-N($J405))</f>
        <v/>
      </c>
      <c r="L405" s="40"/>
      <c r="M405" s="35" t="str">
        <f aca="false">IF(OR($A405="",$L405=""),"",$L405-$K405)</f>
        <v/>
      </c>
      <c r="N405" s="8" t="str">
        <f aca="false">IF($A405="","",IF($L405="","PENDIENTE",IF(ABS($M405)&lt;1,"OK",IF($M405&lt;0,"FALTANTE","SOBRANTE"))))</f>
        <v/>
      </c>
      <c r="O405" s="6"/>
    </row>
  </sheetData>
  <autoFilter ref="A5:O405"/>
  <conditionalFormatting sqref="N6:N405">
    <cfRule type="expression" priority="2" aboveAverage="0" equalAverage="0" bottom="0" percent="0" rank="0" text="" dxfId="1">
      <formula>$N6="FALTANTE"</formula>
    </cfRule>
    <cfRule type="expression" priority="3" aboveAverage="0" equalAverage="0" bottom="0" percent="0" rank="0" text="" dxfId="2">
      <formula>$N6="SOBRANTE"</formula>
    </cfRule>
    <cfRule type="expression" priority="4" aboveAverage="0" equalAverage="0" bottom="0" percent="0" rank="0" text="" dxfId="2">
      <formula>$N6="PENDIENTE"</formula>
    </cfRule>
    <cfRule type="expression" priority="5" aboveAverage="0" equalAverage="0" bottom="0" percent="0" rank="0" text="" dxfId="3">
      <formula>$N6="OK"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5" min="3" style="0" width="12"/>
  </cols>
  <sheetData>
    <row r="1" customFormat="false" ht="19.7" hidden="false" customHeight="false" outlineLevel="0" collapsed="false">
      <c r="A1" s="1" t="s">
        <v>487</v>
      </c>
    </row>
    <row r="2" customFormat="false" ht="15" hidden="false" customHeight="false" outlineLevel="0" collapsed="false">
      <c r="A2" s="2" t="s">
        <v>488</v>
      </c>
    </row>
    <row r="4" customFormat="false" ht="15" hidden="false" customHeight="false" outlineLevel="0" collapsed="false">
      <c r="B4" s="3" t="str">
        <f aca="false">"Negocio: "&amp;NEGOCIO&amp;"   ·   Año "&amp;ANIO</f>
        <v>Negocio: La Cremería   ·   Año 2026</v>
      </c>
    </row>
    <row r="5" customFormat="false" ht="15" hidden="false" customHeight="false" outlineLevel="0" collapsed="false">
      <c r="B5" s="15" t="s">
        <v>489</v>
      </c>
      <c r="C5" s="56" t="n">
        <f aca="false">DATE(ANIO,1,1)</f>
        <v>46023</v>
      </c>
      <c r="D5" s="56" t="n">
        <f aca="false">DATE(ANIO,2,1)</f>
        <v>46054</v>
      </c>
      <c r="E5" s="56" t="n">
        <f aca="false">DATE(ANIO,3,1)</f>
        <v>46082</v>
      </c>
      <c r="F5" s="56" t="n">
        <f aca="false">DATE(ANIO,4,1)</f>
        <v>46113</v>
      </c>
      <c r="G5" s="56" t="n">
        <f aca="false">DATE(ANIO,5,1)</f>
        <v>46143</v>
      </c>
      <c r="H5" s="56" t="n">
        <f aca="false">DATE(ANIO,6,1)</f>
        <v>46174</v>
      </c>
      <c r="I5" s="56" t="n">
        <f aca="false">DATE(ANIO,7,1)</f>
        <v>46204</v>
      </c>
      <c r="J5" s="56" t="n">
        <f aca="false">DATE(ANIO,8,1)</f>
        <v>46235</v>
      </c>
      <c r="K5" s="56" t="n">
        <f aca="false">DATE(ANIO,9,1)</f>
        <v>46266</v>
      </c>
      <c r="L5" s="56" t="n">
        <f aca="false">DATE(ANIO,10,1)</f>
        <v>46296</v>
      </c>
      <c r="M5" s="56" t="n">
        <f aca="false">DATE(ANIO,11,1)</f>
        <v>46327</v>
      </c>
      <c r="N5" s="56" t="n">
        <f aca="false">DATE(ANIO,12,1)</f>
        <v>46357</v>
      </c>
      <c r="O5" s="15" t="s">
        <v>490</v>
      </c>
    </row>
    <row r="6" customFormat="false" ht="15" hidden="false" customHeight="false" outlineLevel="0" collapsed="false">
      <c r="B6" s="57" t="s">
        <v>491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customFormat="false" ht="15" hidden="false" customHeight="false" outlineLevel="0" collapsed="false">
      <c r="B7" s="7" t="s">
        <v>492</v>
      </c>
      <c r="C7" s="35" t="n">
        <f aca="false">SUMIFS(VENTAS!$H$6:$H$2005,VENTAS!$O$6:$O$2005,C$5)</f>
        <v>0</v>
      </c>
      <c r="D7" s="35" t="n">
        <f aca="false">SUMIFS(VENTAS!$H$6:$H$2005,VENTAS!$O$6:$O$2005,D$5)</f>
        <v>0</v>
      </c>
      <c r="E7" s="35" t="n">
        <f aca="false">SUMIFS(VENTAS!$H$6:$H$2005,VENTAS!$O$6:$O$2005,E$5)</f>
        <v>0</v>
      </c>
      <c r="F7" s="35" t="n">
        <f aca="false">SUMIFS(VENTAS!$H$6:$H$2005,VENTAS!$O$6:$O$2005,F$5)</f>
        <v>0</v>
      </c>
      <c r="G7" s="35" t="n">
        <f aca="false">SUMIFS(VENTAS!$H$6:$H$2005,VENTAS!$O$6:$O$2005,G$5)</f>
        <v>0</v>
      </c>
      <c r="H7" s="35" t="n">
        <f aca="false">SUMIFS(VENTAS!$H$6:$H$2005,VENTAS!$O$6:$O$2005,H$5)</f>
        <v>0</v>
      </c>
      <c r="I7" s="35" t="n">
        <f aca="false">SUMIFS(VENTAS!$H$6:$H$2005,VENTAS!$O$6:$O$2005,I$5)</f>
        <v>0</v>
      </c>
      <c r="J7" s="35" t="n">
        <f aca="false">SUMIFS(VENTAS!$H$6:$H$2005,VENTAS!$O$6:$O$2005,J$5)</f>
        <v>0</v>
      </c>
      <c r="K7" s="35" t="n">
        <f aca="false">SUMIFS(VENTAS!$H$6:$H$2005,VENTAS!$O$6:$O$2005,K$5)</f>
        <v>0</v>
      </c>
      <c r="L7" s="35" t="n">
        <f aca="false">SUMIFS(VENTAS!$H$6:$H$2005,VENTAS!$O$6:$O$2005,L$5)</f>
        <v>386700</v>
      </c>
      <c r="M7" s="35" t="n">
        <f aca="false">SUMIFS(VENTAS!$H$6:$H$2005,VENTAS!$O$6:$O$2005,M$5)</f>
        <v>0</v>
      </c>
      <c r="N7" s="35" t="n">
        <f aca="false">SUMIFS(VENTAS!$H$6:$H$2005,VENTAS!$O$6:$O$2005,N$5)</f>
        <v>0</v>
      </c>
      <c r="O7" s="59" t="n">
        <f aca="false">SUM(C7:N7)</f>
        <v>386700</v>
      </c>
    </row>
    <row r="8" customFormat="false" ht="15" hidden="false" customHeight="false" outlineLevel="0" collapsed="false">
      <c r="B8" s="7" t="s">
        <v>493</v>
      </c>
      <c r="C8" s="35" t="n">
        <f aca="false">SUMIFS(VENTAS!$I$6:$I$2005,VENTAS!$O$6:$O$2005,C$5)</f>
        <v>0</v>
      </c>
      <c r="D8" s="35" t="n">
        <f aca="false">SUMIFS(VENTAS!$I$6:$I$2005,VENTAS!$O$6:$O$2005,D$5)</f>
        <v>0</v>
      </c>
      <c r="E8" s="35" t="n">
        <f aca="false">SUMIFS(VENTAS!$I$6:$I$2005,VENTAS!$O$6:$O$2005,E$5)</f>
        <v>0</v>
      </c>
      <c r="F8" s="35" t="n">
        <f aca="false">SUMIFS(VENTAS!$I$6:$I$2005,VENTAS!$O$6:$O$2005,F$5)</f>
        <v>0</v>
      </c>
      <c r="G8" s="35" t="n">
        <f aca="false">SUMIFS(VENTAS!$I$6:$I$2005,VENTAS!$O$6:$O$2005,G$5)</f>
        <v>0</v>
      </c>
      <c r="H8" s="35" t="n">
        <f aca="false">SUMIFS(VENTAS!$I$6:$I$2005,VENTAS!$O$6:$O$2005,H$5)</f>
        <v>0</v>
      </c>
      <c r="I8" s="35" t="n">
        <f aca="false">SUMIFS(VENTAS!$I$6:$I$2005,VENTAS!$O$6:$O$2005,I$5)</f>
        <v>0</v>
      </c>
      <c r="J8" s="35" t="n">
        <f aca="false">SUMIFS(VENTAS!$I$6:$I$2005,VENTAS!$O$6:$O$2005,J$5)</f>
        <v>0</v>
      </c>
      <c r="K8" s="35" t="n">
        <f aca="false">SUMIFS(VENTAS!$I$6:$I$2005,VENTAS!$O$6:$O$2005,K$5)</f>
        <v>0</v>
      </c>
      <c r="L8" s="35" t="n">
        <f aca="false">SUMIFS(VENTAS!$I$6:$I$2005,VENTAS!$O$6:$O$2005,L$5)</f>
        <v>44487.610619469</v>
      </c>
      <c r="M8" s="35" t="n">
        <f aca="false">SUMIFS(VENTAS!$I$6:$I$2005,VENTAS!$O$6:$O$2005,M$5)</f>
        <v>0</v>
      </c>
      <c r="N8" s="35" t="n">
        <f aca="false">SUMIFS(VENTAS!$I$6:$I$2005,VENTAS!$O$6:$O$2005,N$5)</f>
        <v>0</v>
      </c>
      <c r="O8" s="59" t="n">
        <f aca="false">SUM(C8:N8)</f>
        <v>44487.610619469</v>
      </c>
    </row>
    <row r="9" customFormat="false" ht="15" hidden="false" customHeight="false" outlineLevel="0" collapsed="false">
      <c r="B9" s="60" t="s">
        <v>494</v>
      </c>
      <c r="C9" s="59" t="n">
        <f aca="false">SUMIFS(VENTAS!$J$6:$J$2005,VENTAS!$O$6:$O$2005,C$5)</f>
        <v>0</v>
      </c>
      <c r="D9" s="59" t="n">
        <f aca="false">SUMIFS(VENTAS!$J$6:$J$2005,VENTAS!$O$6:$O$2005,D$5)</f>
        <v>0</v>
      </c>
      <c r="E9" s="59" t="n">
        <f aca="false">SUMIFS(VENTAS!$J$6:$J$2005,VENTAS!$O$6:$O$2005,E$5)</f>
        <v>0</v>
      </c>
      <c r="F9" s="59" t="n">
        <f aca="false">SUMIFS(VENTAS!$J$6:$J$2005,VENTAS!$O$6:$O$2005,F$5)</f>
        <v>0</v>
      </c>
      <c r="G9" s="59" t="n">
        <f aca="false">SUMIFS(VENTAS!$J$6:$J$2005,VENTAS!$O$6:$O$2005,G$5)</f>
        <v>0</v>
      </c>
      <c r="H9" s="59" t="n">
        <f aca="false">SUMIFS(VENTAS!$J$6:$J$2005,VENTAS!$O$6:$O$2005,H$5)</f>
        <v>0</v>
      </c>
      <c r="I9" s="59" t="n">
        <f aca="false">SUMIFS(VENTAS!$J$6:$J$2005,VENTAS!$O$6:$O$2005,I$5)</f>
        <v>0</v>
      </c>
      <c r="J9" s="59" t="n">
        <f aca="false">SUMIFS(VENTAS!$J$6:$J$2005,VENTAS!$O$6:$O$2005,J$5)</f>
        <v>0</v>
      </c>
      <c r="K9" s="59" t="n">
        <f aca="false">SUMIFS(VENTAS!$J$6:$J$2005,VENTAS!$O$6:$O$2005,K$5)</f>
        <v>0</v>
      </c>
      <c r="L9" s="59" t="n">
        <f aca="false">SUMIFS(VENTAS!$J$6:$J$2005,VENTAS!$O$6:$O$2005,L$5)</f>
        <v>342212.389380531</v>
      </c>
      <c r="M9" s="59" t="n">
        <f aca="false">SUMIFS(VENTAS!$J$6:$J$2005,VENTAS!$O$6:$O$2005,M$5)</f>
        <v>0</v>
      </c>
      <c r="N9" s="59" t="n">
        <f aca="false">SUMIFS(VENTAS!$J$6:$J$2005,VENTAS!$O$6:$O$2005,N$5)</f>
        <v>0</v>
      </c>
      <c r="O9" s="59" t="n">
        <f aca="false">SUM(C9:N9)</f>
        <v>342212.389380531</v>
      </c>
    </row>
    <row r="10" customFormat="false" ht="15" hidden="false" customHeight="false" outlineLevel="0" collapsed="false">
      <c r="B10" s="7" t="s">
        <v>495</v>
      </c>
      <c r="C10" s="35" t="n">
        <f aca="false">SUMIFS(VENTAS!$K$6:$K$2005,VENTAS!$O$6:$O$2005,C$5)</f>
        <v>0</v>
      </c>
      <c r="D10" s="35" t="n">
        <f aca="false">SUMIFS(VENTAS!$K$6:$K$2005,VENTAS!$O$6:$O$2005,D$5)</f>
        <v>0</v>
      </c>
      <c r="E10" s="35" t="n">
        <f aca="false">SUMIFS(VENTAS!$K$6:$K$2005,VENTAS!$O$6:$O$2005,E$5)</f>
        <v>0</v>
      </c>
      <c r="F10" s="35" t="n">
        <f aca="false">SUMIFS(VENTAS!$K$6:$K$2005,VENTAS!$O$6:$O$2005,F$5)</f>
        <v>0</v>
      </c>
      <c r="G10" s="35" t="n">
        <f aca="false">SUMIFS(VENTAS!$K$6:$K$2005,VENTAS!$O$6:$O$2005,G$5)</f>
        <v>0</v>
      </c>
      <c r="H10" s="35" t="n">
        <f aca="false">SUMIFS(VENTAS!$K$6:$K$2005,VENTAS!$O$6:$O$2005,H$5)</f>
        <v>0</v>
      </c>
      <c r="I10" s="35" t="n">
        <f aca="false">SUMIFS(VENTAS!$K$6:$K$2005,VENTAS!$O$6:$O$2005,I$5)</f>
        <v>0</v>
      </c>
      <c r="J10" s="35" t="n">
        <f aca="false">SUMIFS(VENTAS!$K$6:$K$2005,VENTAS!$O$6:$O$2005,J$5)</f>
        <v>0</v>
      </c>
      <c r="K10" s="35" t="n">
        <f aca="false">SUMIFS(VENTAS!$K$6:$K$2005,VENTAS!$O$6:$O$2005,K$5)</f>
        <v>0</v>
      </c>
      <c r="L10" s="35" t="n">
        <f aca="false">SUMIFS(VENTAS!$K$6:$K$2005,VENTAS!$O$6:$O$2005,L$5)</f>
        <v>120605.698952359</v>
      </c>
      <c r="M10" s="35" t="n">
        <f aca="false">SUMIFS(VENTAS!$K$6:$K$2005,VENTAS!$O$6:$O$2005,M$5)</f>
        <v>0</v>
      </c>
      <c r="N10" s="35" t="n">
        <f aca="false">SUMIFS(VENTAS!$K$6:$K$2005,VENTAS!$O$6:$O$2005,N$5)</f>
        <v>0</v>
      </c>
      <c r="O10" s="59" t="n">
        <f aca="false">SUM(C10:N10)</f>
        <v>120605.698952359</v>
      </c>
    </row>
    <row r="11" customFormat="false" ht="15" hidden="false" customHeight="false" outlineLevel="0" collapsed="false">
      <c r="B11" s="60" t="s">
        <v>496</v>
      </c>
      <c r="C11" s="59" t="n">
        <f aca="false">C9-C10</f>
        <v>0</v>
      </c>
      <c r="D11" s="59" t="n">
        <f aca="false">D9-D10</f>
        <v>0</v>
      </c>
      <c r="E11" s="59" t="n">
        <f aca="false">E9-E10</f>
        <v>0</v>
      </c>
      <c r="F11" s="59" t="n">
        <f aca="false">F9-F10</f>
        <v>0</v>
      </c>
      <c r="G11" s="59" t="n">
        <f aca="false">G9-G10</f>
        <v>0</v>
      </c>
      <c r="H11" s="59" t="n">
        <f aca="false">H9-H10</f>
        <v>0</v>
      </c>
      <c r="I11" s="59" t="n">
        <f aca="false">I9-I10</f>
        <v>0</v>
      </c>
      <c r="J11" s="59" t="n">
        <f aca="false">J9-J10</f>
        <v>0</v>
      </c>
      <c r="K11" s="59" t="n">
        <f aca="false">K9-K10</f>
        <v>0</v>
      </c>
      <c r="L11" s="59" t="n">
        <f aca="false">L9-L10</f>
        <v>221606.690428172</v>
      </c>
      <c r="M11" s="59" t="n">
        <f aca="false">M9-M10</f>
        <v>0</v>
      </c>
      <c r="N11" s="59" t="n">
        <f aca="false">N9-N10</f>
        <v>0</v>
      </c>
      <c r="O11" s="59" t="n">
        <f aca="false">SUM(C11:N11)</f>
        <v>221606.690428172</v>
      </c>
    </row>
    <row r="12" customFormat="false" ht="15" hidden="false" customHeight="false" outlineLevel="0" collapsed="false">
      <c r="B12" s="7" t="s">
        <v>497</v>
      </c>
      <c r="C12" s="36" t="n">
        <f aca="false">IFERROR(C11/C9,0)</f>
        <v>0</v>
      </c>
      <c r="D12" s="36" t="n">
        <f aca="false">IFERROR(D11/D9,0)</f>
        <v>0</v>
      </c>
      <c r="E12" s="36" t="n">
        <f aca="false">IFERROR(E11/E9,0)</f>
        <v>0</v>
      </c>
      <c r="F12" s="36" t="n">
        <f aca="false">IFERROR(F11/F9,0)</f>
        <v>0</v>
      </c>
      <c r="G12" s="36" t="n">
        <f aca="false">IFERROR(G11/G9,0)</f>
        <v>0</v>
      </c>
      <c r="H12" s="36" t="n">
        <f aca="false">IFERROR(H11/H9,0)</f>
        <v>0</v>
      </c>
      <c r="I12" s="36" t="n">
        <f aca="false">IFERROR(I11/I9,0)</f>
        <v>0</v>
      </c>
      <c r="J12" s="36" t="n">
        <f aca="false">IFERROR(J11/J9,0)</f>
        <v>0</v>
      </c>
      <c r="K12" s="36" t="n">
        <f aca="false">IFERROR(K11/K9,0)</f>
        <v>0</v>
      </c>
      <c r="L12" s="36" t="n">
        <f aca="false">IFERROR(L11/L9,0)</f>
        <v>0.64757062369753</v>
      </c>
      <c r="M12" s="36" t="n">
        <f aca="false">IFERROR(M11/M9,0)</f>
        <v>0</v>
      </c>
      <c r="N12" s="36" t="n">
        <f aca="false">IFERROR(N11/N9,0)</f>
        <v>0</v>
      </c>
      <c r="O12" s="61" t="n">
        <f aca="false">IFERROR(O11/O9,0)</f>
        <v>0.64757062369753</v>
      </c>
    </row>
    <row r="13" customFormat="false" ht="15" hidden="false" customHeight="false" outlineLevel="0" collapsed="false">
      <c r="B13" s="57" t="s">
        <v>498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</row>
    <row r="14" customFormat="false" ht="15" hidden="false" customHeight="false" outlineLevel="0" collapsed="false">
      <c r="B14" s="7" t="s">
        <v>499</v>
      </c>
      <c r="C14" s="35" t="n">
        <f aca="false">-SUMIFS(MERMAS!$K$6:$K$505,MERMAS!$L$6:$L$505,C$5)</f>
        <v>-0</v>
      </c>
      <c r="D14" s="35" t="n">
        <f aca="false">-SUMIFS(MERMAS!$K$6:$K$505,MERMAS!$L$6:$L$505,D$5)</f>
        <v>-0</v>
      </c>
      <c r="E14" s="35" t="n">
        <f aca="false">-SUMIFS(MERMAS!$K$6:$K$505,MERMAS!$L$6:$L$505,E$5)</f>
        <v>-0</v>
      </c>
      <c r="F14" s="35" t="n">
        <f aca="false">-SUMIFS(MERMAS!$K$6:$K$505,MERMAS!$L$6:$L$505,F$5)</f>
        <v>-0</v>
      </c>
      <c r="G14" s="35" t="n">
        <f aca="false">-SUMIFS(MERMAS!$K$6:$K$505,MERMAS!$L$6:$L$505,G$5)</f>
        <v>-0</v>
      </c>
      <c r="H14" s="35" t="n">
        <f aca="false">-SUMIFS(MERMAS!$K$6:$K$505,MERMAS!$L$6:$L$505,H$5)</f>
        <v>-0</v>
      </c>
      <c r="I14" s="35" t="n">
        <f aca="false">-SUMIFS(MERMAS!$K$6:$K$505,MERMAS!$L$6:$L$505,I$5)</f>
        <v>-0</v>
      </c>
      <c r="J14" s="35" t="n">
        <f aca="false">-SUMIFS(MERMAS!$K$6:$K$505,MERMAS!$L$6:$L$505,J$5)</f>
        <v>-0</v>
      </c>
      <c r="K14" s="35" t="n">
        <f aca="false">-SUMIFS(MERMAS!$K$6:$K$505,MERMAS!$L$6:$L$505,K$5)</f>
        <v>-0</v>
      </c>
      <c r="L14" s="35" t="n">
        <f aca="false">-SUMIFS(MERMAS!$K$6:$K$505,MERMAS!$L$6:$L$505,L$5)</f>
        <v>2955</v>
      </c>
      <c r="M14" s="35" t="n">
        <f aca="false">-SUMIFS(MERMAS!$K$6:$K$505,MERMAS!$L$6:$L$505,M$5)</f>
        <v>-0</v>
      </c>
      <c r="N14" s="35" t="n">
        <f aca="false">-SUMIFS(MERMAS!$K$6:$K$505,MERMAS!$L$6:$L$505,N$5)</f>
        <v>-0</v>
      </c>
      <c r="O14" s="59" t="n">
        <f aca="false">SUM(C14:N14)</f>
        <v>2955</v>
      </c>
    </row>
    <row r="15" customFormat="false" ht="15" hidden="false" customHeight="false" outlineLevel="0" collapsed="false">
      <c r="B15" s="7" t="s">
        <v>500</v>
      </c>
      <c r="C15" s="35" t="n">
        <f aca="false">SUMIFS(PLANILLA!$R$6:$R$505,PLANILLA!$S$6:$S$505,C$5)</f>
        <v>0</v>
      </c>
      <c r="D15" s="35" t="n">
        <f aca="false">SUMIFS(PLANILLA!$R$6:$R$505,PLANILLA!$S$6:$S$505,D$5)</f>
        <v>0</v>
      </c>
      <c r="E15" s="35" t="n">
        <f aca="false">SUMIFS(PLANILLA!$R$6:$R$505,PLANILLA!$S$6:$S$505,E$5)</f>
        <v>0</v>
      </c>
      <c r="F15" s="35" t="n">
        <f aca="false">SUMIFS(PLANILLA!$R$6:$R$505,PLANILLA!$S$6:$S$505,F$5)</f>
        <v>0</v>
      </c>
      <c r="G15" s="35" t="n">
        <f aca="false">SUMIFS(PLANILLA!$R$6:$R$505,PLANILLA!$S$6:$S$505,G$5)</f>
        <v>0</v>
      </c>
      <c r="H15" s="35" t="n">
        <f aca="false">SUMIFS(PLANILLA!$R$6:$R$505,PLANILLA!$S$6:$S$505,H$5)</f>
        <v>0</v>
      </c>
      <c r="I15" s="35" t="n">
        <f aca="false">SUMIFS(PLANILLA!$R$6:$R$505,PLANILLA!$S$6:$S$505,I$5)</f>
        <v>0</v>
      </c>
      <c r="J15" s="35" t="n">
        <f aca="false">SUMIFS(PLANILLA!$R$6:$R$505,PLANILLA!$S$6:$S$505,J$5)</f>
        <v>0</v>
      </c>
      <c r="K15" s="35" t="n">
        <f aca="false">SUMIFS(PLANILLA!$R$6:$R$505,PLANILLA!$S$6:$S$505,K$5)</f>
        <v>0</v>
      </c>
      <c r="L15" s="35" t="n">
        <f aca="false">SUMIFS(PLANILLA!$R$6:$R$505,PLANILLA!$S$6:$S$505,L$5)</f>
        <v>1689725.2</v>
      </c>
      <c r="M15" s="35" t="n">
        <f aca="false">SUMIFS(PLANILLA!$R$6:$R$505,PLANILLA!$S$6:$S$505,M$5)</f>
        <v>0</v>
      </c>
      <c r="N15" s="35" t="n">
        <f aca="false">SUMIFS(PLANILLA!$R$6:$R$505,PLANILLA!$S$6:$S$505,N$5)</f>
        <v>0</v>
      </c>
      <c r="O15" s="59" t="n">
        <f aca="false">SUM(C15:N15)</f>
        <v>1689725.2</v>
      </c>
    </row>
    <row r="16" customFormat="false" ht="15" hidden="false" customHeight="false" outlineLevel="0" collapsed="false">
      <c r="B16" s="7" t="str">
        <f aca="false">CONFIG!$H$6</f>
        <v>Alquiler</v>
      </c>
      <c r="C16" s="35" t="n">
        <f aca="false">IF(CONFIG!$H$6="",0,SUMIFS(GASTOS!$F$6:$F$1005,GASTOS!$K$6:$K$1005,C$5,GASTOS!$B$6:$B$1005,CONFIG!$H$6))</f>
        <v>0</v>
      </c>
      <c r="D16" s="35" t="n">
        <f aca="false">IF(CONFIG!$H$6="",0,SUMIFS(GASTOS!$F$6:$F$1005,GASTOS!$K$6:$K$1005,D$5,GASTOS!$B$6:$B$1005,CONFIG!$H$6))</f>
        <v>0</v>
      </c>
      <c r="E16" s="35" t="n">
        <f aca="false">IF(CONFIG!$H$6="",0,SUMIFS(GASTOS!$F$6:$F$1005,GASTOS!$K$6:$K$1005,E$5,GASTOS!$B$6:$B$1005,CONFIG!$H$6))</f>
        <v>0</v>
      </c>
      <c r="F16" s="35" t="n">
        <f aca="false">IF(CONFIG!$H$6="",0,SUMIFS(GASTOS!$F$6:$F$1005,GASTOS!$K$6:$K$1005,F$5,GASTOS!$B$6:$B$1005,CONFIG!$H$6))</f>
        <v>0</v>
      </c>
      <c r="G16" s="35" t="n">
        <f aca="false">IF(CONFIG!$H$6="",0,SUMIFS(GASTOS!$F$6:$F$1005,GASTOS!$K$6:$K$1005,G$5,GASTOS!$B$6:$B$1005,CONFIG!$H$6))</f>
        <v>0</v>
      </c>
      <c r="H16" s="35" t="n">
        <f aca="false">IF(CONFIG!$H$6="",0,SUMIFS(GASTOS!$F$6:$F$1005,GASTOS!$K$6:$K$1005,H$5,GASTOS!$B$6:$B$1005,CONFIG!$H$6))</f>
        <v>0</v>
      </c>
      <c r="I16" s="35" t="n">
        <f aca="false">IF(CONFIG!$H$6="",0,SUMIFS(GASTOS!$F$6:$F$1005,GASTOS!$K$6:$K$1005,I$5,GASTOS!$B$6:$B$1005,CONFIG!$H$6))</f>
        <v>0</v>
      </c>
      <c r="J16" s="35" t="n">
        <f aca="false">IF(CONFIG!$H$6="",0,SUMIFS(GASTOS!$F$6:$F$1005,GASTOS!$K$6:$K$1005,J$5,GASTOS!$B$6:$B$1005,CONFIG!$H$6))</f>
        <v>0</v>
      </c>
      <c r="K16" s="35" t="n">
        <f aca="false">IF(CONFIG!$H$6="",0,SUMIFS(GASTOS!$F$6:$F$1005,GASTOS!$K$6:$K$1005,K$5,GASTOS!$B$6:$B$1005,CONFIG!$H$6))</f>
        <v>0</v>
      </c>
      <c r="L16" s="35" t="n">
        <f aca="false">IF(CONFIG!$H$6="",0,SUMIFS(GASTOS!$F$6:$F$1005,GASTOS!$K$6:$K$1005,L$5,GASTOS!$B$6:$B$1005,CONFIG!$H$6))</f>
        <v>450000</v>
      </c>
      <c r="M16" s="35" t="n">
        <f aca="false">IF(CONFIG!$H$6="",0,SUMIFS(GASTOS!$F$6:$F$1005,GASTOS!$K$6:$K$1005,M$5,GASTOS!$B$6:$B$1005,CONFIG!$H$6))</f>
        <v>0</v>
      </c>
      <c r="N16" s="35" t="n">
        <f aca="false">IF(CONFIG!$H$6="",0,SUMIFS(GASTOS!$F$6:$F$1005,GASTOS!$K$6:$K$1005,N$5,GASTOS!$B$6:$B$1005,CONFIG!$H$6))</f>
        <v>0</v>
      </c>
      <c r="O16" s="59" t="n">
        <f aca="false">SUM(C16:N16)</f>
        <v>450000</v>
      </c>
    </row>
    <row r="17" customFormat="false" ht="15" hidden="false" customHeight="false" outlineLevel="0" collapsed="false">
      <c r="B17" s="7" t="str">
        <f aca="false">CONFIG!$H$7</f>
        <v>Electricidad</v>
      </c>
      <c r="C17" s="35" t="n">
        <f aca="false">IF(CONFIG!$H$7="",0,SUMIFS(GASTOS!$F$6:$F$1005,GASTOS!$K$6:$K$1005,C$5,GASTOS!$B$6:$B$1005,CONFIG!$H$7))</f>
        <v>0</v>
      </c>
      <c r="D17" s="35" t="n">
        <f aca="false">IF(CONFIG!$H$7="",0,SUMIFS(GASTOS!$F$6:$F$1005,GASTOS!$K$6:$K$1005,D$5,GASTOS!$B$6:$B$1005,CONFIG!$H$7))</f>
        <v>0</v>
      </c>
      <c r="E17" s="35" t="n">
        <f aca="false">IF(CONFIG!$H$7="",0,SUMIFS(GASTOS!$F$6:$F$1005,GASTOS!$K$6:$K$1005,E$5,GASTOS!$B$6:$B$1005,CONFIG!$H$7))</f>
        <v>0</v>
      </c>
      <c r="F17" s="35" t="n">
        <f aca="false">IF(CONFIG!$H$7="",0,SUMIFS(GASTOS!$F$6:$F$1005,GASTOS!$K$6:$K$1005,F$5,GASTOS!$B$6:$B$1005,CONFIG!$H$7))</f>
        <v>0</v>
      </c>
      <c r="G17" s="35" t="n">
        <f aca="false">IF(CONFIG!$H$7="",0,SUMIFS(GASTOS!$F$6:$F$1005,GASTOS!$K$6:$K$1005,G$5,GASTOS!$B$6:$B$1005,CONFIG!$H$7))</f>
        <v>0</v>
      </c>
      <c r="H17" s="35" t="n">
        <f aca="false">IF(CONFIG!$H$7="",0,SUMIFS(GASTOS!$F$6:$F$1005,GASTOS!$K$6:$K$1005,H$5,GASTOS!$B$6:$B$1005,CONFIG!$H$7))</f>
        <v>0</v>
      </c>
      <c r="I17" s="35" t="n">
        <f aca="false">IF(CONFIG!$H$7="",0,SUMIFS(GASTOS!$F$6:$F$1005,GASTOS!$K$6:$K$1005,I$5,GASTOS!$B$6:$B$1005,CONFIG!$H$7))</f>
        <v>0</v>
      </c>
      <c r="J17" s="35" t="n">
        <f aca="false">IF(CONFIG!$H$7="",0,SUMIFS(GASTOS!$F$6:$F$1005,GASTOS!$K$6:$K$1005,J$5,GASTOS!$B$6:$B$1005,CONFIG!$H$7))</f>
        <v>0</v>
      </c>
      <c r="K17" s="35" t="n">
        <f aca="false">IF(CONFIG!$H$7="",0,SUMIFS(GASTOS!$F$6:$F$1005,GASTOS!$K$6:$K$1005,K$5,GASTOS!$B$6:$B$1005,CONFIG!$H$7))</f>
        <v>0</v>
      </c>
      <c r="L17" s="35" t="n">
        <f aca="false">IF(CONFIG!$H$7="",0,SUMIFS(GASTOS!$F$6:$F$1005,GASTOS!$K$6:$K$1005,L$5,GASTOS!$B$6:$B$1005,CONFIG!$H$7))</f>
        <v>85000</v>
      </c>
      <c r="M17" s="35" t="n">
        <f aca="false">IF(CONFIG!$H$7="",0,SUMIFS(GASTOS!$F$6:$F$1005,GASTOS!$K$6:$K$1005,M$5,GASTOS!$B$6:$B$1005,CONFIG!$H$7))</f>
        <v>0</v>
      </c>
      <c r="N17" s="35" t="n">
        <f aca="false">IF(CONFIG!$H$7="",0,SUMIFS(GASTOS!$F$6:$F$1005,GASTOS!$K$6:$K$1005,N$5,GASTOS!$B$6:$B$1005,CONFIG!$H$7))</f>
        <v>0</v>
      </c>
      <c r="O17" s="59" t="n">
        <f aca="false">SUM(C17:N17)</f>
        <v>85000</v>
      </c>
    </row>
    <row r="18" customFormat="false" ht="15" hidden="false" customHeight="false" outlineLevel="0" collapsed="false">
      <c r="B18" s="7" t="str">
        <f aca="false">CONFIG!$H$8</f>
        <v>Agua</v>
      </c>
      <c r="C18" s="35" t="n">
        <f aca="false">IF(CONFIG!$H$8="",0,SUMIFS(GASTOS!$F$6:$F$1005,GASTOS!$K$6:$K$1005,C$5,GASTOS!$B$6:$B$1005,CONFIG!$H$8))</f>
        <v>0</v>
      </c>
      <c r="D18" s="35" t="n">
        <f aca="false">IF(CONFIG!$H$8="",0,SUMIFS(GASTOS!$F$6:$F$1005,GASTOS!$K$6:$K$1005,D$5,GASTOS!$B$6:$B$1005,CONFIG!$H$8))</f>
        <v>0</v>
      </c>
      <c r="E18" s="35" t="n">
        <f aca="false">IF(CONFIG!$H$8="",0,SUMIFS(GASTOS!$F$6:$F$1005,GASTOS!$K$6:$K$1005,E$5,GASTOS!$B$6:$B$1005,CONFIG!$H$8))</f>
        <v>0</v>
      </c>
      <c r="F18" s="35" t="n">
        <f aca="false">IF(CONFIG!$H$8="",0,SUMIFS(GASTOS!$F$6:$F$1005,GASTOS!$K$6:$K$1005,F$5,GASTOS!$B$6:$B$1005,CONFIG!$H$8))</f>
        <v>0</v>
      </c>
      <c r="G18" s="35" t="n">
        <f aca="false">IF(CONFIG!$H$8="",0,SUMIFS(GASTOS!$F$6:$F$1005,GASTOS!$K$6:$K$1005,G$5,GASTOS!$B$6:$B$1005,CONFIG!$H$8))</f>
        <v>0</v>
      </c>
      <c r="H18" s="35" t="n">
        <f aca="false">IF(CONFIG!$H$8="",0,SUMIFS(GASTOS!$F$6:$F$1005,GASTOS!$K$6:$K$1005,H$5,GASTOS!$B$6:$B$1005,CONFIG!$H$8))</f>
        <v>0</v>
      </c>
      <c r="I18" s="35" t="n">
        <f aca="false">IF(CONFIG!$H$8="",0,SUMIFS(GASTOS!$F$6:$F$1005,GASTOS!$K$6:$K$1005,I$5,GASTOS!$B$6:$B$1005,CONFIG!$H$8))</f>
        <v>0</v>
      </c>
      <c r="J18" s="35" t="n">
        <f aca="false">IF(CONFIG!$H$8="",0,SUMIFS(GASTOS!$F$6:$F$1005,GASTOS!$K$6:$K$1005,J$5,GASTOS!$B$6:$B$1005,CONFIG!$H$8))</f>
        <v>0</v>
      </c>
      <c r="K18" s="35" t="n">
        <f aca="false">IF(CONFIG!$H$8="",0,SUMIFS(GASTOS!$F$6:$F$1005,GASTOS!$K$6:$K$1005,K$5,GASTOS!$B$6:$B$1005,CONFIG!$H$8))</f>
        <v>0</v>
      </c>
      <c r="L18" s="35" t="n">
        <f aca="false">IF(CONFIG!$H$8="",0,SUMIFS(GASTOS!$F$6:$F$1005,GASTOS!$K$6:$K$1005,L$5,GASTOS!$B$6:$B$1005,CONFIG!$H$8))</f>
        <v>20000</v>
      </c>
      <c r="M18" s="35" t="n">
        <f aca="false">IF(CONFIG!$H$8="",0,SUMIFS(GASTOS!$F$6:$F$1005,GASTOS!$K$6:$K$1005,M$5,GASTOS!$B$6:$B$1005,CONFIG!$H$8))</f>
        <v>0</v>
      </c>
      <c r="N18" s="35" t="n">
        <f aca="false">IF(CONFIG!$H$8="",0,SUMIFS(GASTOS!$F$6:$F$1005,GASTOS!$K$6:$K$1005,N$5,GASTOS!$B$6:$B$1005,CONFIG!$H$8))</f>
        <v>0</v>
      </c>
      <c r="O18" s="59" t="n">
        <f aca="false">SUM(C18:N18)</f>
        <v>20000</v>
      </c>
    </row>
    <row r="19" customFormat="false" ht="15" hidden="false" customHeight="false" outlineLevel="0" collapsed="false">
      <c r="B19" s="7" t="str">
        <f aca="false">CONFIG!$H$9</f>
        <v>Internet y teléfono</v>
      </c>
      <c r="C19" s="35" t="n">
        <f aca="false">IF(CONFIG!$H$9="",0,SUMIFS(GASTOS!$F$6:$F$1005,GASTOS!$K$6:$K$1005,C$5,GASTOS!$B$6:$B$1005,CONFIG!$H$9))</f>
        <v>0</v>
      </c>
      <c r="D19" s="35" t="n">
        <f aca="false">IF(CONFIG!$H$9="",0,SUMIFS(GASTOS!$F$6:$F$1005,GASTOS!$K$6:$K$1005,D$5,GASTOS!$B$6:$B$1005,CONFIG!$H$9))</f>
        <v>0</v>
      </c>
      <c r="E19" s="35" t="n">
        <f aca="false">IF(CONFIG!$H$9="",0,SUMIFS(GASTOS!$F$6:$F$1005,GASTOS!$K$6:$K$1005,E$5,GASTOS!$B$6:$B$1005,CONFIG!$H$9))</f>
        <v>0</v>
      </c>
      <c r="F19" s="35" t="n">
        <f aca="false">IF(CONFIG!$H$9="",0,SUMIFS(GASTOS!$F$6:$F$1005,GASTOS!$K$6:$K$1005,F$5,GASTOS!$B$6:$B$1005,CONFIG!$H$9))</f>
        <v>0</v>
      </c>
      <c r="G19" s="35" t="n">
        <f aca="false">IF(CONFIG!$H$9="",0,SUMIFS(GASTOS!$F$6:$F$1005,GASTOS!$K$6:$K$1005,G$5,GASTOS!$B$6:$B$1005,CONFIG!$H$9))</f>
        <v>0</v>
      </c>
      <c r="H19" s="35" t="n">
        <f aca="false">IF(CONFIG!$H$9="",0,SUMIFS(GASTOS!$F$6:$F$1005,GASTOS!$K$6:$K$1005,H$5,GASTOS!$B$6:$B$1005,CONFIG!$H$9))</f>
        <v>0</v>
      </c>
      <c r="I19" s="35" t="n">
        <f aca="false">IF(CONFIG!$H$9="",0,SUMIFS(GASTOS!$F$6:$F$1005,GASTOS!$K$6:$K$1005,I$5,GASTOS!$B$6:$B$1005,CONFIG!$H$9))</f>
        <v>0</v>
      </c>
      <c r="J19" s="35" t="n">
        <f aca="false">IF(CONFIG!$H$9="",0,SUMIFS(GASTOS!$F$6:$F$1005,GASTOS!$K$6:$K$1005,J$5,GASTOS!$B$6:$B$1005,CONFIG!$H$9))</f>
        <v>0</v>
      </c>
      <c r="K19" s="35" t="n">
        <f aca="false">IF(CONFIG!$H$9="",0,SUMIFS(GASTOS!$F$6:$F$1005,GASTOS!$K$6:$K$1005,K$5,GASTOS!$B$6:$B$1005,CONFIG!$H$9))</f>
        <v>0</v>
      </c>
      <c r="L19" s="35" t="n">
        <f aca="false">IF(CONFIG!$H$9="",0,SUMIFS(GASTOS!$F$6:$F$1005,GASTOS!$K$6:$K$1005,L$5,GASTOS!$B$6:$B$1005,CONFIG!$H$9))</f>
        <v>25000</v>
      </c>
      <c r="M19" s="35" t="n">
        <f aca="false">IF(CONFIG!$H$9="",0,SUMIFS(GASTOS!$F$6:$F$1005,GASTOS!$K$6:$K$1005,M$5,GASTOS!$B$6:$B$1005,CONFIG!$H$9))</f>
        <v>0</v>
      </c>
      <c r="N19" s="35" t="n">
        <f aca="false">IF(CONFIG!$H$9="",0,SUMIFS(GASTOS!$F$6:$F$1005,GASTOS!$K$6:$K$1005,N$5,GASTOS!$B$6:$B$1005,CONFIG!$H$9))</f>
        <v>0</v>
      </c>
      <c r="O19" s="59" t="n">
        <f aca="false">SUM(C19:N19)</f>
        <v>25000</v>
      </c>
    </row>
    <row r="20" customFormat="false" ht="15" hidden="false" customHeight="false" outlineLevel="0" collapsed="false">
      <c r="B20" s="7" t="str">
        <f aca="false">CONFIG!$H$10</f>
        <v>Gas</v>
      </c>
      <c r="C20" s="35" t="n">
        <f aca="false">IF(CONFIG!$H$10="",0,SUMIFS(GASTOS!$F$6:$F$1005,GASTOS!$K$6:$K$1005,C$5,GASTOS!$B$6:$B$1005,CONFIG!$H$10))</f>
        <v>0</v>
      </c>
      <c r="D20" s="35" t="n">
        <f aca="false">IF(CONFIG!$H$10="",0,SUMIFS(GASTOS!$F$6:$F$1005,GASTOS!$K$6:$K$1005,D$5,GASTOS!$B$6:$B$1005,CONFIG!$H$10))</f>
        <v>0</v>
      </c>
      <c r="E20" s="35" t="n">
        <f aca="false">IF(CONFIG!$H$10="",0,SUMIFS(GASTOS!$F$6:$F$1005,GASTOS!$K$6:$K$1005,E$5,GASTOS!$B$6:$B$1005,CONFIG!$H$10))</f>
        <v>0</v>
      </c>
      <c r="F20" s="35" t="n">
        <f aca="false">IF(CONFIG!$H$10="",0,SUMIFS(GASTOS!$F$6:$F$1005,GASTOS!$K$6:$K$1005,F$5,GASTOS!$B$6:$B$1005,CONFIG!$H$10))</f>
        <v>0</v>
      </c>
      <c r="G20" s="35" t="n">
        <f aca="false">IF(CONFIG!$H$10="",0,SUMIFS(GASTOS!$F$6:$F$1005,GASTOS!$K$6:$K$1005,G$5,GASTOS!$B$6:$B$1005,CONFIG!$H$10))</f>
        <v>0</v>
      </c>
      <c r="H20" s="35" t="n">
        <f aca="false">IF(CONFIG!$H$10="",0,SUMIFS(GASTOS!$F$6:$F$1005,GASTOS!$K$6:$K$1005,H$5,GASTOS!$B$6:$B$1005,CONFIG!$H$10))</f>
        <v>0</v>
      </c>
      <c r="I20" s="35" t="n">
        <f aca="false">IF(CONFIG!$H$10="",0,SUMIFS(GASTOS!$F$6:$F$1005,GASTOS!$K$6:$K$1005,I$5,GASTOS!$B$6:$B$1005,CONFIG!$H$10))</f>
        <v>0</v>
      </c>
      <c r="J20" s="35" t="n">
        <f aca="false">IF(CONFIG!$H$10="",0,SUMIFS(GASTOS!$F$6:$F$1005,GASTOS!$K$6:$K$1005,J$5,GASTOS!$B$6:$B$1005,CONFIG!$H$10))</f>
        <v>0</v>
      </c>
      <c r="K20" s="35" t="n">
        <f aca="false">IF(CONFIG!$H$10="",0,SUMIFS(GASTOS!$F$6:$F$1005,GASTOS!$K$6:$K$1005,K$5,GASTOS!$B$6:$B$1005,CONFIG!$H$10))</f>
        <v>0</v>
      </c>
      <c r="L20" s="35" t="n">
        <f aca="false">IF(CONFIG!$H$10="",0,SUMIFS(GASTOS!$F$6:$F$1005,GASTOS!$K$6:$K$1005,L$5,GASTOS!$B$6:$B$1005,CONFIG!$H$10))</f>
        <v>0</v>
      </c>
      <c r="M20" s="35" t="n">
        <f aca="false">IF(CONFIG!$H$10="",0,SUMIFS(GASTOS!$F$6:$F$1005,GASTOS!$K$6:$K$1005,M$5,GASTOS!$B$6:$B$1005,CONFIG!$H$10))</f>
        <v>0</v>
      </c>
      <c r="N20" s="35" t="n">
        <f aca="false">IF(CONFIG!$H$10="",0,SUMIFS(GASTOS!$F$6:$F$1005,GASTOS!$K$6:$K$1005,N$5,GASTOS!$B$6:$B$1005,CONFIG!$H$10))</f>
        <v>0</v>
      </c>
      <c r="O20" s="59" t="n">
        <f aca="false">SUM(C20:N20)</f>
        <v>0</v>
      </c>
    </row>
    <row r="21" customFormat="false" ht="15" hidden="false" customHeight="false" outlineLevel="0" collapsed="false">
      <c r="B21" s="7" t="str">
        <f aca="false">CONFIG!$H$11</f>
        <v>Publicidad y redes</v>
      </c>
      <c r="C21" s="35" t="n">
        <f aca="false">IF(CONFIG!$H$11="",0,SUMIFS(GASTOS!$F$6:$F$1005,GASTOS!$K$6:$K$1005,C$5,GASTOS!$B$6:$B$1005,CONFIG!$H$11))</f>
        <v>0</v>
      </c>
      <c r="D21" s="35" t="n">
        <f aca="false">IF(CONFIG!$H$11="",0,SUMIFS(GASTOS!$F$6:$F$1005,GASTOS!$K$6:$K$1005,D$5,GASTOS!$B$6:$B$1005,CONFIG!$H$11))</f>
        <v>0</v>
      </c>
      <c r="E21" s="35" t="n">
        <f aca="false">IF(CONFIG!$H$11="",0,SUMIFS(GASTOS!$F$6:$F$1005,GASTOS!$K$6:$K$1005,E$5,GASTOS!$B$6:$B$1005,CONFIG!$H$11))</f>
        <v>0</v>
      </c>
      <c r="F21" s="35" t="n">
        <f aca="false">IF(CONFIG!$H$11="",0,SUMIFS(GASTOS!$F$6:$F$1005,GASTOS!$K$6:$K$1005,F$5,GASTOS!$B$6:$B$1005,CONFIG!$H$11))</f>
        <v>0</v>
      </c>
      <c r="G21" s="35" t="n">
        <f aca="false">IF(CONFIG!$H$11="",0,SUMIFS(GASTOS!$F$6:$F$1005,GASTOS!$K$6:$K$1005,G$5,GASTOS!$B$6:$B$1005,CONFIG!$H$11))</f>
        <v>0</v>
      </c>
      <c r="H21" s="35" t="n">
        <f aca="false">IF(CONFIG!$H$11="",0,SUMIFS(GASTOS!$F$6:$F$1005,GASTOS!$K$6:$K$1005,H$5,GASTOS!$B$6:$B$1005,CONFIG!$H$11))</f>
        <v>0</v>
      </c>
      <c r="I21" s="35" t="n">
        <f aca="false">IF(CONFIG!$H$11="",0,SUMIFS(GASTOS!$F$6:$F$1005,GASTOS!$K$6:$K$1005,I$5,GASTOS!$B$6:$B$1005,CONFIG!$H$11))</f>
        <v>0</v>
      </c>
      <c r="J21" s="35" t="n">
        <f aca="false">IF(CONFIG!$H$11="",0,SUMIFS(GASTOS!$F$6:$F$1005,GASTOS!$K$6:$K$1005,J$5,GASTOS!$B$6:$B$1005,CONFIG!$H$11))</f>
        <v>0</v>
      </c>
      <c r="K21" s="35" t="n">
        <f aca="false">IF(CONFIG!$H$11="",0,SUMIFS(GASTOS!$F$6:$F$1005,GASTOS!$K$6:$K$1005,K$5,GASTOS!$B$6:$B$1005,CONFIG!$H$11))</f>
        <v>0</v>
      </c>
      <c r="L21" s="35" t="n">
        <f aca="false">IF(CONFIG!$H$11="",0,SUMIFS(GASTOS!$F$6:$F$1005,GASTOS!$K$6:$K$1005,L$5,GASTOS!$B$6:$B$1005,CONFIG!$H$11))</f>
        <v>40000</v>
      </c>
      <c r="M21" s="35" t="n">
        <f aca="false">IF(CONFIG!$H$11="",0,SUMIFS(GASTOS!$F$6:$F$1005,GASTOS!$K$6:$K$1005,M$5,GASTOS!$B$6:$B$1005,CONFIG!$H$11))</f>
        <v>0</v>
      </c>
      <c r="N21" s="35" t="n">
        <f aca="false">IF(CONFIG!$H$11="",0,SUMIFS(GASTOS!$F$6:$F$1005,GASTOS!$K$6:$K$1005,N$5,GASTOS!$B$6:$B$1005,CONFIG!$H$11))</f>
        <v>0</v>
      </c>
      <c r="O21" s="59" t="n">
        <f aca="false">SUM(C21:N21)</f>
        <v>40000</v>
      </c>
    </row>
    <row r="22" customFormat="false" ht="15" hidden="false" customHeight="false" outlineLevel="0" collapsed="false">
      <c r="B22" s="7" t="str">
        <f aca="false">CONFIG!$H$12</f>
        <v>Servicios profesionales</v>
      </c>
      <c r="C22" s="35" t="n">
        <f aca="false">IF(CONFIG!$H$12="",0,SUMIFS(GASTOS!$F$6:$F$1005,GASTOS!$K$6:$K$1005,C$5,GASTOS!$B$6:$B$1005,CONFIG!$H$12))</f>
        <v>0</v>
      </c>
      <c r="D22" s="35" t="n">
        <f aca="false">IF(CONFIG!$H$12="",0,SUMIFS(GASTOS!$F$6:$F$1005,GASTOS!$K$6:$K$1005,D$5,GASTOS!$B$6:$B$1005,CONFIG!$H$12))</f>
        <v>0</v>
      </c>
      <c r="E22" s="35" t="n">
        <f aca="false">IF(CONFIG!$H$12="",0,SUMIFS(GASTOS!$F$6:$F$1005,GASTOS!$K$6:$K$1005,E$5,GASTOS!$B$6:$B$1005,CONFIG!$H$12))</f>
        <v>0</v>
      </c>
      <c r="F22" s="35" t="n">
        <f aca="false">IF(CONFIG!$H$12="",0,SUMIFS(GASTOS!$F$6:$F$1005,GASTOS!$K$6:$K$1005,F$5,GASTOS!$B$6:$B$1005,CONFIG!$H$12))</f>
        <v>0</v>
      </c>
      <c r="G22" s="35" t="n">
        <f aca="false">IF(CONFIG!$H$12="",0,SUMIFS(GASTOS!$F$6:$F$1005,GASTOS!$K$6:$K$1005,G$5,GASTOS!$B$6:$B$1005,CONFIG!$H$12))</f>
        <v>0</v>
      </c>
      <c r="H22" s="35" t="n">
        <f aca="false">IF(CONFIG!$H$12="",0,SUMIFS(GASTOS!$F$6:$F$1005,GASTOS!$K$6:$K$1005,H$5,GASTOS!$B$6:$B$1005,CONFIG!$H$12))</f>
        <v>0</v>
      </c>
      <c r="I22" s="35" t="n">
        <f aca="false">IF(CONFIG!$H$12="",0,SUMIFS(GASTOS!$F$6:$F$1005,GASTOS!$K$6:$K$1005,I$5,GASTOS!$B$6:$B$1005,CONFIG!$H$12))</f>
        <v>0</v>
      </c>
      <c r="J22" s="35" t="n">
        <f aca="false">IF(CONFIG!$H$12="",0,SUMIFS(GASTOS!$F$6:$F$1005,GASTOS!$K$6:$K$1005,J$5,GASTOS!$B$6:$B$1005,CONFIG!$H$12))</f>
        <v>0</v>
      </c>
      <c r="K22" s="35" t="n">
        <f aca="false">IF(CONFIG!$H$12="",0,SUMIFS(GASTOS!$F$6:$F$1005,GASTOS!$K$6:$K$1005,K$5,GASTOS!$B$6:$B$1005,CONFIG!$H$12))</f>
        <v>0</v>
      </c>
      <c r="L22" s="35" t="n">
        <f aca="false">IF(CONFIG!$H$12="",0,SUMIFS(GASTOS!$F$6:$F$1005,GASTOS!$K$6:$K$1005,L$5,GASTOS!$B$6:$B$1005,CONFIG!$H$12))</f>
        <v>60000</v>
      </c>
      <c r="M22" s="35" t="n">
        <f aca="false">IF(CONFIG!$H$12="",0,SUMIFS(GASTOS!$F$6:$F$1005,GASTOS!$K$6:$K$1005,M$5,GASTOS!$B$6:$B$1005,CONFIG!$H$12))</f>
        <v>0</v>
      </c>
      <c r="N22" s="35" t="n">
        <f aca="false">IF(CONFIG!$H$12="",0,SUMIFS(GASTOS!$F$6:$F$1005,GASTOS!$K$6:$K$1005,N$5,GASTOS!$B$6:$B$1005,CONFIG!$H$12))</f>
        <v>0</v>
      </c>
      <c r="O22" s="59" t="n">
        <f aca="false">SUM(C22:N22)</f>
        <v>60000</v>
      </c>
    </row>
    <row r="23" customFormat="false" ht="15" hidden="false" customHeight="false" outlineLevel="0" collapsed="false">
      <c r="B23" s="7" t="str">
        <f aca="false">CONFIG!$H$13</f>
        <v>Mantenimiento y reparaciones</v>
      </c>
      <c r="C23" s="35" t="n">
        <f aca="false">IF(CONFIG!$H$13="",0,SUMIFS(GASTOS!$F$6:$F$1005,GASTOS!$K$6:$K$1005,C$5,GASTOS!$B$6:$B$1005,CONFIG!$H$13))</f>
        <v>0</v>
      </c>
      <c r="D23" s="35" t="n">
        <f aca="false">IF(CONFIG!$H$13="",0,SUMIFS(GASTOS!$F$6:$F$1005,GASTOS!$K$6:$K$1005,D$5,GASTOS!$B$6:$B$1005,CONFIG!$H$13))</f>
        <v>0</v>
      </c>
      <c r="E23" s="35" t="n">
        <f aca="false">IF(CONFIG!$H$13="",0,SUMIFS(GASTOS!$F$6:$F$1005,GASTOS!$K$6:$K$1005,E$5,GASTOS!$B$6:$B$1005,CONFIG!$H$13))</f>
        <v>0</v>
      </c>
      <c r="F23" s="35" t="n">
        <f aca="false">IF(CONFIG!$H$13="",0,SUMIFS(GASTOS!$F$6:$F$1005,GASTOS!$K$6:$K$1005,F$5,GASTOS!$B$6:$B$1005,CONFIG!$H$13))</f>
        <v>0</v>
      </c>
      <c r="G23" s="35" t="n">
        <f aca="false">IF(CONFIG!$H$13="",0,SUMIFS(GASTOS!$F$6:$F$1005,GASTOS!$K$6:$K$1005,G$5,GASTOS!$B$6:$B$1005,CONFIG!$H$13))</f>
        <v>0</v>
      </c>
      <c r="H23" s="35" t="n">
        <f aca="false">IF(CONFIG!$H$13="",0,SUMIFS(GASTOS!$F$6:$F$1005,GASTOS!$K$6:$K$1005,H$5,GASTOS!$B$6:$B$1005,CONFIG!$H$13))</f>
        <v>0</v>
      </c>
      <c r="I23" s="35" t="n">
        <f aca="false">IF(CONFIG!$H$13="",0,SUMIFS(GASTOS!$F$6:$F$1005,GASTOS!$K$6:$K$1005,I$5,GASTOS!$B$6:$B$1005,CONFIG!$H$13))</f>
        <v>0</v>
      </c>
      <c r="J23" s="35" t="n">
        <f aca="false">IF(CONFIG!$H$13="",0,SUMIFS(GASTOS!$F$6:$F$1005,GASTOS!$K$6:$K$1005,J$5,GASTOS!$B$6:$B$1005,CONFIG!$H$13))</f>
        <v>0</v>
      </c>
      <c r="K23" s="35" t="n">
        <f aca="false">IF(CONFIG!$H$13="",0,SUMIFS(GASTOS!$F$6:$F$1005,GASTOS!$K$6:$K$1005,K$5,GASTOS!$B$6:$B$1005,CONFIG!$H$13))</f>
        <v>0</v>
      </c>
      <c r="L23" s="35" t="n">
        <f aca="false">IF(CONFIG!$H$13="",0,SUMIFS(GASTOS!$F$6:$F$1005,GASTOS!$K$6:$K$1005,L$5,GASTOS!$B$6:$B$1005,CONFIG!$H$13))</f>
        <v>0</v>
      </c>
      <c r="M23" s="35" t="n">
        <f aca="false">IF(CONFIG!$H$13="",0,SUMIFS(GASTOS!$F$6:$F$1005,GASTOS!$K$6:$K$1005,M$5,GASTOS!$B$6:$B$1005,CONFIG!$H$13))</f>
        <v>0</v>
      </c>
      <c r="N23" s="35" t="n">
        <f aca="false">IF(CONFIG!$H$13="",0,SUMIFS(GASTOS!$F$6:$F$1005,GASTOS!$K$6:$K$1005,N$5,GASTOS!$B$6:$B$1005,CONFIG!$H$13))</f>
        <v>0</v>
      </c>
      <c r="O23" s="59" t="n">
        <f aca="false">SUM(C23:N23)</f>
        <v>0</v>
      </c>
    </row>
    <row r="24" customFormat="false" ht="15" hidden="false" customHeight="false" outlineLevel="0" collapsed="false">
      <c r="B24" s="7" t="str">
        <f aca="false">CONFIG!$H$14</f>
        <v>Limpieza</v>
      </c>
      <c r="C24" s="35" t="n">
        <f aca="false">IF(CONFIG!$H$14="",0,SUMIFS(GASTOS!$F$6:$F$1005,GASTOS!$K$6:$K$1005,C$5,GASTOS!$B$6:$B$1005,CONFIG!$H$14))</f>
        <v>0</v>
      </c>
      <c r="D24" s="35" t="n">
        <f aca="false">IF(CONFIG!$H$14="",0,SUMIFS(GASTOS!$F$6:$F$1005,GASTOS!$K$6:$K$1005,D$5,GASTOS!$B$6:$B$1005,CONFIG!$H$14))</f>
        <v>0</v>
      </c>
      <c r="E24" s="35" t="n">
        <f aca="false">IF(CONFIG!$H$14="",0,SUMIFS(GASTOS!$F$6:$F$1005,GASTOS!$K$6:$K$1005,E$5,GASTOS!$B$6:$B$1005,CONFIG!$H$14))</f>
        <v>0</v>
      </c>
      <c r="F24" s="35" t="n">
        <f aca="false">IF(CONFIG!$H$14="",0,SUMIFS(GASTOS!$F$6:$F$1005,GASTOS!$K$6:$K$1005,F$5,GASTOS!$B$6:$B$1005,CONFIG!$H$14))</f>
        <v>0</v>
      </c>
      <c r="G24" s="35" t="n">
        <f aca="false">IF(CONFIG!$H$14="",0,SUMIFS(GASTOS!$F$6:$F$1005,GASTOS!$K$6:$K$1005,G$5,GASTOS!$B$6:$B$1005,CONFIG!$H$14))</f>
        <v>0</v>
      </c>
      <c r="H24" s="35" t="n">
        <f aca="false">IF(CONFIG!$H$14="",0,SUMIFS(GASTOS!$F$6:$F$1005,GASTOS!$K$6:$K$1005,H$5,GASTOS!$B$6:$B$1005,CONFIG!$H$14))</f>
        <v>0</v>
      </c>
      <c r="I24" s="35" t="n">
        <f aca="false">IF(CONFIG!$H$14="",0,SUMIFS(GASTOS!$F$6:$F$1005,GASTOS!$K$6:$K$1005,I$5,GASTOS!$B$6:$B$1005,CONFIG!$H$14))</f>
        <v>0</v>
      </c>
      <c r="J24" s="35" t="n">
        <f aca="false">IF(CONFIG!$H$14="",0,SUMIFS(GASTOS!$F$6:$F$1005,GASTOS!$K$6:$K$1005,J$5,GASTOS!$B$6:$B$1005,CONFIG!$H$14))</f>
        <v>0</v>
      </c>
      <c r="K24" s="35" t="n">
        <f aca="false">IF(CONFIG!$H$14="",0,SUMIFS(GASTOS!$F$6:$F$1005,GASTOS!$K$6:$K$1005,K$5,GASTOS!$B$6:$B$1005,CONFIG!$H$14))</f>
        <v>0</v>
      </c>
      <c r="L24" s="35" t="n">
        <f aca="false">IF(CONFIG!$H$14="",0,SUMIFS(GASTOS!$F$6:$F$1005,GASTOS!$K$6:$K$1005,L$5,GASTOS!$B$6:$B$1005,CONFIG!$H$14))</f>
        <v>0</v>
      </c>
      <c r="M24" s="35" t="n">
        <f aca="false">IF(CONFIG!$H$14="",0,SUMIFS(GASTOS!$F$6:$F$1005,GASTOS!$K$6:$K$1005,M$5,GASTOS!$B$6:$B$1005,CONFIG!$H$14))</f>
        <v>0</v>
      </c>
      <c r="N24" s="35" t="n">
        <f aca="false">IF(CONFIG!$H$14="",0,SUMIFS(GASTOS!$F$6:$F$1005,GASTOS!$K$6:$K$1005,N$5,GASTOS!$B$6:$B$1005,CONFIG!$H$14))</f>
        <v>0</v>
      </c>
      <c r="O24" s="59" t="n">
        <f aca="false">SUM(C24:N24)</f>
        <v>0</v>
      </c>
    </row>
    <row r="25" customFormat="false" ht="15" hidden="false" customHeight="false" outlineLevel="0" collapsed="false">
      <c r="B25" s="7" t="str">
        <f aca="false">CONFIG!$H$15</f>
        <v>Patentes, permisos y seguros</v>
      </c>
      <c r="C25" s="35" t="n">
        <f aca="false">IF(CONFIG!$H$15="",0,SUMIFS(GASTOS!$F$6:$F$1005,GASTOS!$K$6:$K$1005,C$5,GASTOS!$B$6:$B$1005,CONFIG!$H$15))</f>
        <v>0</v>
      </c>
      <c r="D25" s="35" t="n">
        <f aca="false">IF(CONFIG!$H$15="",0,SUMIFS(GASTOS!$F$6:$F$1005,GASTOS!$K$6:$K$1005,D$5,GASTOS!$B$6:$B$1005,CONFIG!$H$15))</f>
        <v>0</v>
      </c>
      <c r="E25" s="35" t="n">
        <f aca="false">IF(CONFIG!$H$15="",0,SUMIFS(GASTOS!$F$6:$F$1005,GASTOS!$K$6:$K$1005,E$5,GASTOS!$B$6:$B$1005,CONFIG!$H$15))</f>
        <v>0</v>
      </c>
      <c r="F25" s="35" t="n">
        <f aca="false">IF(CONFIG!$H$15="",0,SUMIFS(GASTOS!$F$6:$F$1005,GASTOS!$K$6:$K$1005,F$5,GASTOS!$B$6:$B$1005,CONFIG!$H$15))</f>
        <v>0</v>
      </c>
      <c r="G25" s="35" t="n">
        <f aca="false">IF(CONFIG!$H$15="",0,SUMIFS(GASTOS!$F$6:$F$1005,GASTOS!$K$6:$K$1005,G$5,GASTOS!$B$6:$B$1005,CONFIG!$H$15))</f>
        <v>0</v>
      </c>
      <c r="H25" s="35" t="n">
        <f aca="false">IF(CONFIG!$H$15="",0,SUMIFS(GASTOS!$F$6:$F$1005,GASTOS!$K$6:$K$1005,H$5,GASTOS!$B$6:$B$1005,CONFIG!$H$15))</f>
        <v>0</v>
      </c>
      <c r="I25" s="35" t="n">
        <f aca="false">IF(CONFIG!$H$15="",0,SUMIFS(GASTOS!$F$6:$F$1005,GASTOS!$K$6:$K$1005,I$5,GASTOS!$B$6:$B$1005,CONFIG!$H$15))</f>
        <v>0</v>
      </c>
      <c r="J25" s="35" t="n">
        <f aca="false">IF(CONFIG!$H$15="",0,SUMIFS(GASTOS!$F$6:$F$1005,GASTOS!$K$6:$K$1005,J$5,GASTOS!$B$6:$B$1005,CONFIG!$H$15))</f>
        <v>0</v>
      </c>
      <c r="K25" s="35" t="n">
        <f aca="false">IF(CONFIG!$H$15="",0,SUMIFS(GASTOS!$F$6:$F$1005,GASTOS!$K$6:$K$1005,K$5,GASTOS!$B$6:$B$1005,CONFIG!$H$15))</f>
        <v>0</v>
      </c>
      <c r="L25" s="35" t="n">
        <f aca="false">IF(CONFIG!$H$15="",0,SUMIFS(GASTOS!$F$6:$F$1005,GASTOS!$K$6:$K$1005,L$5,GASTOS!$B$6:$B$1005,CONFIG!$H$15))</f>
        <v>0</v>
      </c>
      <c r="M25" s="35" t="n">
        <f aca="false">IF(CONFIG!$H$15="",0,SUMIFS(GASTOS!$F$6:$F$1005,GASTOS!$K$6:$K$1005,M$5,GASTOS!$B$6:$B$1005,CONFIG!$H$15))</f>
        <v>0</v>
      </c>
      <c r="N25" s="35" t="n">
        <f aca="false">IF(CONFIG!$H$15="",0,SUMIFS(GASTOS!$F$6:$F$1005,GASTOS!$K$6:$K$1005,N$5,GASTOS!$B$6:$B$1005,CONFIG!$H$15))</f>
        <v>0</v>
      </c>
      <c r="O25" s="59" t="n">
        <f aca="false">SUM(C25:N25)</f>
        <v>0</v>
      </c>
    </row>
    <row r="26" customFormat="false" ht="15" hidden="false" customHeight="false" outlineLevel="0" collapsed="false">
      <c r="B26" s="7" t="str">
        <f aca="false">CONFIG!$H$16</f>
        <v>Comisiones tarjetas/plataformas</v>
      </c>
      <c r="C26" s="35" t="n">
        <f aca="false">IF(CONFIG!$H$16="",0,SUMIFS(GASTOS!$F$6:$F$1005,GASTOS!$K$6:$K$1005,C$5,GASTOS!$B$6:$B$1005,CONFIG!$H$16))</f>
        <v>0</v>
      </c>
      <c r="D26" s="35" t="n">
        <f aca="false">IF(CONFIG!$H$16="",0,SUMIFS(GASTOS!$F$6:$F$1005,GASTOS!$K$6:$K$1005,D$5,GASTOS!$B$6:$B$1005,CONFIG!$H$16))</f>
        <v>0</v>
      </c>
      <c r="E26" s="35" t="n">
        <f aca="false">IF(CONFIG!$H$16="",0,SUMIFS(GASTOS!$F$6:$F$1005,GASTOS!$K$6:$K$1005,E$5,GASTOS!$B$6:$B$1005,CONFIG!$H$16))</f>
        <v>0</v>
      </c>
      <c r="F26" s="35" t="n">
        <f aca="false">IF(CONFIG!$H$16="",0,SUMIFS(GASTOS!$F$6:$F$1005,GASTOS!$K$6:$K$1005,F$5,GASTOS!$B$6:$B$1005,CONFIG!$H$16))</f>
        <v>0</v>
      </c>
      <c r="G26" s="35" t="n">
        <f aca="false">IF(CONFIG!$H$16="",0,SUMIFS(GASTOS!$F$6:$F$1005,GASTOS!$K$6:$K$1005,G$5,GASTOS!$B$6:$B$1005,CONFIG!$H$16))</f>
        <v>0</v>
      </c>
      <c r="H26" s="35" t="n">
        <f aca="false">IF(CONFIG!$H$16="",0,SUMIFS(GASTOS!$F$6:$F$1005,GASTOS!$K$6:$K$1005,H$5,GASTOS!$B$6:$B$1005,CONFIG!$H$16))</f>
        <v>0</v>
      </c>
      <c r="I26" s="35" t="n">
        <f aca="false">IF(CONFIG!$H$16="",0,SUMIFS(GASTOS!$F$6:$F$1005,GASTOS!$K$6:$K$1005,I$5,GASTOS!$B$6:$B$1005,CONFIG!$H$16))</f>
        <v>0</v>
      </c>
      <c r="J26" s="35" t="n">
        <f aca="false">IF(CONFIG!$H$16="",0,SUMIFS(GASTOS!$F$6:$F$1005,GASTOS!$K$6:$K$1005,J$5,GASTOS!$B$6:$B$1005,CONFIG!$H$16))</f>
        <v>0</v>
      </c>
      <c r="K26" s="35" t="n">
        <f aca="false">IF(CONFIG!$H$16="",0,SUMIFS(GASTOS!$F$6:$F$1005,GASTOS!$K$6:$K$1005,K$5,GASTOS!$B$6:$B$1005,CONFIG!$H$16))</f>
        <v>0</v>
      </c>
      <c r="L26" s="35" t="n">
        <f aca="false">IF(CONFIG!$H$16="",0,SUMIFS(GASTOS!$F$6:$F$1005,GASTOS!$K$6:$K$1005,L$5,GASTOS!$B$6:$B$1005,CONFIG!$H$16))</f>
        <v>0</v>
      </c>
      <c r="M26" s="35" t="n">
        <f aca="false">IF(CONFIG!$H$16="",0,SUMIFS(GASTOS!$F$6:$F$1005,GASTOS!$K$6:$K$1005,M$5,GASTOS!$B$6:$B$1005,CONFIG!$H$16))</f>
        <v>0</v>
      </c>
      <c r="N26" s="35" t="n">
        <f aca="false">IF(CONFIG!$H$16="",0,SUMIFS(GASTOS!$F$6:$F$1005,GASTOS!$K$6:$K$1005,N$5,GASTOS!$B$6:$B$1005,CONFIG!$H$16))</f>
        <v>0</v>
      </c>
      <c r="O26" s="59" t="n">
        <f aca="false">SUM(C26:N26)</f>
        <v>0</v>
      </c>
    </row>
    <row r="27" customFormat="false" ht="15" hidden="false" customHeight="false" outlineLevel="0" collapsed="false">
      <c r="B27" s="7" t="str">
        <f aca="false">CONFIG!$H$17</f>
        <v>Transporte y combustible</v>
      </c>
      <c r="C27" s="35" t="n">
        <f aca="false">IF(CONFIG!$H$17="",0,SUMIFS(GASTOS!$F$6:$F$1005,GASTOS!$K$6:$K$1005,C$5,GASTOS!$B$6:$B$1005,CONFIG!$H$17))</f>
        <v>0</v>
      </c>
      <c r="D27" s="35" t="n">
        <f aca="false">IF(CONFIG!$H$17="",0,SUMIFS(GASTOS!$F$6:$F$1005,GASTOS!$K$6:$K$1005,D$5,GASTOS!$B$6:$B$1005,CONFIG!$H$17))</f>
        <v>0</v>
      </c>
      <c r="E27" s="35" t="n">
        <f aca="false">IF(CONFIG!$H$17="",0,SUMIFS(GASTOS!$F$6:$F$1005,GASTOS!$K$6:$K$1005,E$5,GASTOS!$B$6:$B$1005,CONFIG!$H$17))</f>
        <v>0</v>
      </c>
      <c r="F27" s="35" t="n">
        <f aca="false">IF(CONFIG!$H$17="",0,SUMIFS(GASTOS!$F$6:$F$1005,GASTOS!$K$6:$K$1005,F$5,GASTOS!$B$6:$B$1005,CONFIG!$H$17))</f>
        <v>0</v>
      </c>
      <c r="G27" s="35" t="n">
        <f aca="false">IF(CONFIG!$H$17="",0,SUMIFS(GASTOS!$F$6:$F$1005,GASTOS!$K$6:$K$1005,G$5,GASTOS!$B$6:$B$1005,CONFIG!$H$17))</f>
        <v>0</v>
      </c>
      <c r="H27" s="35" t="n">
        <f aca="false">IF(CONFIG!$H$17="",0,SUMIFS(GASTOS!$F$6:$F$1005,GASTOS!$K$6:$K$1005,H$5,GASTOS!$B$6:$B$1005,CONFIG!$H$17))</f>
        <v>0</v>
      </c>
      <c r="I27" s="35" t="n">
        <f aca="false">IF(CONFIG!$H$17="",0,SUMIFS(GASTOS!$F$6:$F$1005,GASTOS!$K$6:$K$1005,I$5,GASTOS!$B$6:$B$1005,CONFIG!$H$17))</f>
        <v>0</v>
      </c>
      <c r="J27" s="35" t="n">
        <f aca="false">IF(CONFIG!$H$17="",0,SUMIFS(GASTOS!$F$6:$F$1005,GASTOS!$K$6:$K$1005,J$5,GASTOS!$B$6:$B$1005,CONFIG!$H$17))</f>
        <v>0</v>
      </c>
      <c r="K27" s="35" t="n">
        <f aca="false">IF(CONFIG!$H$17="",0,SUMIFS(GASTOS!$F$6:$F$1005,GASTOS!$K$6:$K$1005,K$5,GASTOS!$B$6:$B$1005,CONFIG!$H$17))</f>
        <v>0</v>
      </c>
      <c r="L27" s="35" t="n">
        <f aca="false">IF(CONFIG!$H$17="",0,SUMIFS(GASTOS!$F$6:$F$1005,GASTOS!$K$6:$K$1005,L$5,GASTOS!$B$6:$B$1005,CONFIG!$H$17))</f>
        <v>0</v>
      </c>
      <c r="M27" s="35" t="n">
        <f aca="false">IF(CONFIG!$H$17="",0,SUMIFS(GASTOS!$F$6:$F$1005,GASTOS!$K$6:$K$1005,M$5,GASTOS!$B$6:$B$1005,CONFIG!$H$17))</f>
        <v>0</v>
      </c>
      <c r="N27" s="35" t="n">
        <f aca="false">IF(CONFIG!$H$17="",0,SUMIFS(GASTOS!$F$6:$F$1005,GASTOS!$K$6:$K$1005,N$5,GASTOS!$B$6:$B$1005,CONFIG!$H$17))</f>
        <v>0</v>
      </c>
      <c r="O27" s="59" t="n">
        <f aca="false">SUM(C27:N27)</f>
        <v>0</v>
      </c>
    </row>
    <row r="28" customFormat="false" ht="15" hidden="false" customHeight="false" outlineLevel="0" collapsed="false">
      <c r="B28" s="7" t="str">
        <f aca="false">CONFIG!$H$18</f>
        <v>Otros gastos</v>
      </c>
      <c r="C28" s="35" t="n">
        <f aca="false">IF(CONFIG!$H$18="",0,SUMIFS(GASTOS!$F$6:$F$1005,GASTOS!$K$6:$K$1005,C$5,GASTOS!$B$6:$B$1005,CONFIG!$H$18))</f>
        <v>0</v>
      </c>
      <c r="D28" s="35" t="n">
        <f aca="false">IF(CONFIG!$H$18="",0,SUMIFS(GASTOS!$F$6:$F$1005,GASTOS!$K$6:$K$1005,D$5,GASTOS!$B$6:$B$1005,CONFIG!$H$18))</f>
        <v>0</v>
      </c>
      <c r="E28" s="35" t="n">
        <f aca="false">IF(CONFIG!$H$18="",0,SUMIFS(GASTOS!$F$6:$F$1005,GASTOS!$K$6:$K$1005,E$5,GASTOS!$B$6:$B$1005,CONFIG!$H$18))</f>
        <v>0</v>
      </c>
      <c r="F28" s="35" t="n">
        <f aca="false">IF(CONFIG!$H$18="",0,SUMIFS(GASTOS!$F$6:$F$1005,GASTOS!$K$6:$K$1005,F$5,GASTOS!$B$6:$B$1005,CONFIG!$H$18))</f>
        <v>0</v>
      </c>
      <c r="G28" s="35" t="n">
        <f aca="false">IF(CONFIG!$H$18="",0,SUMIFS(GASTOS!$F$6:$F$1005,GASTOS!$K$6:$K$1005,G$5,GASTOS!$B$6:$B$1005,CONFIG!$H$18))</f>
        <v>0</v>
      </c>
      <c r="H28" s="35" t="n">
        <f aca="false">IF(CONFIG!$H$18="",0,SUMIFS(GASTOS!$F$6:$F$1005,GASTOS!$K$6:$K$1005,H$5,GASTOS!$B$6:$B$1005,CONFIG!$H$18))</f>
        <v>0</v>
      </c>
      <c r="I28" s="35" t="n">
        <f aca="false">IF(CONFIG!$H$18="",0,SUMIFS(GASTOS!$F$6:$F$1005,GASTOS!$K$6:$K$1005,I$5,GASTOS!$B$6:$B$1005,CONFIG!$H$18))</f>
        <v>0</v>
      </c>
      <c r="J28" s="35" t="n">
        <f aca="false">IF(CONFIG!$H$18="",0,SUMIFS(GASTOS!$F$6:$F$1005,GASTOS!$K$6:$K$1005,J$5,GASTOS!$B$6:$B$1005,CONFIG!$H$18))</f>
        <v>0</v>
      </c>
      <c r="K28" s="35" t="n">
        <f aca="false">IF(CONFIG!$H$18="",0,SUMIFS(GASTOS!$F$6:$F$1005,GASTOS!$K$6:$K$1005,K$5,GASTOS!$B$6:$B$1005,CONFIG!$H$18))</f>
        <v>0</v>
      </c>
      <c r="L28" s="35" t="n">
        <f aca="false">IF(CONFIG!$H$18="",0,SUMIFS(GASTOS!$F$6:$F$1005,GASTOS!$K$6:$K$1005,L$5,GASTOS!$B$6:$B$1005,CONFIG!$H$18))</f>
        <v>0</v>
      </c>
      <c r="M28" s="35" t="n">
        <f aca="false">IF(CONFIG!$H$18="",0,SUMIFS(GASTOS!$F$6:$F$1005,GASTOS!$K$6:$K$1005,M$5,GASTOS!$B$6:$B$1005,CONFIG!$H$18))</f>
        <v>0</v>
      </c>
      <c r="N28" s="35" t="n">
        <f aca="false">IF(CONFIG!$H$18="",0,SUMIFS(GASTOS!$F$6:$F$1005,GASTOS!$K$6:$K$1005,N$5,GASTOS!$B$6:$B$1005,CONFIG!$H$18))</f>
        <v>0</v>
      </c>
      <c r="O28" s="59" t="n">
        <f aca="false">SUM(C28:N28)</f>
        <v>0</v>
      </c>
    </row>
    <row r="29" customFormat="false" ht="15" hidden="false" customHeight="false" outlineLevel="0" collapsed="false">
      <c r="B29" s="7" t="n">
        <f aca="false">CONFIG!$H$19</f>
        <v>0</v>
      </c>
      <c r="C29" s="35" t="n">
        <f aca="false">IF(CONFIG!$H$19="",0,SUMIFS(GASTOS!$F$6:$F$1005,GASTOS!$K$6:$K$1005,C$5,GASTOS!$B$6:$B$1005,CONFIG!$H$19))</f>
        <v>0</v>
      </c>
      <c r="D29" s="35" t="n">
        <f aca="false">IF(CONFIG!$H$19="",0,SUMIFS(GASTOS!$F$6:$F$1005,GASTOS!$K$6:$K$1005,D$5,GASTOS!$B$6:$B$1005,CONFIG!$H$19))</f>
        <v>0</v>
      </c>
      <c r="E29" s="35" t="n">
        <f aca="false">IF(CONFIG!$H$19="",0,SUMIFS(GASTOS!$F$6:$F$1005,GASTOS!$K$6:$K$1005,E$5,GASTOS!$B$6:$B$1005,CONFIG!$H$19))</f>
        <v>0</v>
      </c>
      <c r="F29" s="35" t="n">
        <f aca="false">IF(CONFIG!$H$19="",0,SUMIFS(GASTOS!$F$6:$F$1005,GASTOS!$K$6:$K$1005,F$5,GASTOS!$B$6:$B$1005,CONFIG!$H$19))</f>
        <v>0</v>
      </c>
      <c r="G29" s="35" t="n">
        <f aca="false">IF(CONFIG!$H$19="",0,SUMIFS(GASTOS!$F$6:$F$1005,GASTOS!$K$6:$K$1005,G$5,GASTOS!$B$6:$B$1005,CONFIG!$H$19))</f>
        <v>0</v>
      </c>
      <c r="H29" s="35" t="n">
        <f aca="false">IF(CONFIG!$H$19="",0,SUMIFS(GASTOS!$F$6:$F$1005,GASTOS!$K$6:$K$1005,H$5,GASTOS!$B$6:$B$1005,CONFIG!$H$19))</f>
        <v>0</v>
      </c>
      <c r="I29" s="35" t="n">
        <f aca="false">IF(CONFIG!$H$19="",0,SUMIFS(GASTOS!$F$6:$F$1005,GASTOS!$K$6:$K$1005,I$5,GASTOS!$B$6:$B$1005,CONFIG!$H$19))</f>
        <v>0</v>
      </c>
      <c r="J29" s="35" t="n">
        <f aca="false">IF(CONFIG!$H$19="",0,SUMIFS(GASTOS!$F$6:$F$1005,GASTOS!$K$6:$K$1005,J$5,GASTOS!$B$6:$B$1005,CONFIG!$H$19))</f>
        <v>0</v>
      </c>
      <c r="K29" s="35" t="n">
        <f aca="false">IF(CONFIG!$H$19="",0,SUMIFS(GASTOS!$F$6:$F$1005,GASTOS!$K$6:$K$1005,K$5,GASTOS!$B$6:$B$1005,CONFIG!$H$19))</f>
        <v>0</v>
      </c>
      <c r="L29" s="35" t="n">
        <f aca="false">IF(CONFIG!$H$19="",0,SUMIFS(GASTOS!$F$6:$F$1005,GASTOS!$K$6:$K$1005,L$5,GASTOS!$B$6:$B$1005,CONFIG!$H$19))</f>
        <v>0</v>
      </c>
      <c r="M29" s="35" t="n">
        <f aca="false">IF(CONFIG!$H$19="",0,SUMIFS(GASTOS!$F$6:$F$1005,GASTOS!$K$6:$K$1005,M$5,GASTOS!$B$6:$B$1005,CONFIG!$H$19))</f>
        <v>0</v>
      </c>
      <c r="N29" s="35" t="n">
        <f aca="false">IF(CONFIG!$H$19="",0,SUMIFS(GASTOS!$F$6:$F$1005,GASTOS!$K$6:$K$1005,N$5,GASTOS!$B$6:$B$1005,CONFIG!$H$19))</f>
        <v>0</v>
      </c>
      <c r="O29" s="59" t="n">
        <f aca="false">SUM(C29:N29)</f>
        <v>0</v>
      </c>
    </row>
    <row r="30" customFormat="false" ht="15" hidden="false" customHeight="false" outlineLevel="0" collapsed="false">
      <c r="B30" s="7" t="n">
        <f aca="false">CONFIG!$H$20</f>
        <v>0</v>
      </c>
      <c r="C30" s="35" t="n">
        <f aca="false">IF(CONFIG!$H$20="",0,SUMIFS(GASTOS!$F$6:$F$1005,GASTOS!$K$6:$K$1005,C$5,GASTOS!$B$6:$B$1005,CONFIG!$H$20))</f>
        <v>0</v>
      </c>
      <c r="D30" s="35" t="n">
        <f aca="false">IF(CONFIG!$H$20="",0,SUMIFS(GASTOS!$F$6:$F$1005,GASTOS!$K$6:$K$1005,D$5,GASTOS!$B$6:$B$1005,CONFIG!$H$20))</f>
        <v>0</v>
      </c>
      <c r="E30" s="35" t="n">
        <f aca="false">IF(CONFIG!$H$20="",0,SUMIFS(GASTOS!$F$6:$F$1005,GASTOS!$K$6:$K$1005,E$5,GASTOS!$B$6:$B$1005,CONFIG!$H$20))</f>
        <v>0</v>
      </c>
      <c r="F30" s="35" t="n">
        <f aca="false">IF(CONFIG!$H$20="",0,SUMIFS(GASTOS!$F$6:$F$1005,GASTOS!$K$6:$K$1005,F$5,GASTOS!$B$6:$B$1005,CONFIG!$H$20))</f>
        <v>0</v>
      </c>
      <c r="G30" s="35" t="n">
        <f aca="false">IF(CONFIG!$H$20="",0,SUMIFS(GASTOS!$F$6:$F$1005,GASTOS!$K$6:$K$1005,G$5,GASTOS!$B$6:$B$1005,CONFIG!$H$20))</f>
        <v>0</v>
      </c>
      <c r="H30" s="35" t="n">
        <f aca="false">IF(CONFIG!$H$20="",0,SUMIFS(GASTOS!$F$6:$F$1005,GASTOS!$K$6:$K$1005,H$5,GASTOS!$B$6:$B$1005,CONFIG!$H$20))</f>
        <v>0</v>
      </c>
      <c r="I30" s="35" t="n">
        <f aca="false">IF(CONFIG!$H$20="",0,SUMIFS(GASTOS!$F$6:$F$1005,GASTOS!$K$6:$K$1005,I$5,GASTOS!$B$6:$B$1005,CONFIG!$H$20))</f>
        <v>0</v>
      </c>
      <c r="J30" s="35" t="n">
        <f aca="false">IF(CONFIG!$H$20="",0,SUMIFS(GASTOS!$F$6:$F$1005,GASTOS!$K$6:$K$1005,J$5,GASTOS!$B$6:$B$1005,CONFIG!$H$20))</f>
        <v>0</v>
      </c>
      <c r="K30" s="35" t="n">
        <f aca="false">IF(CONFIG!$H$20="",0,SUMIFS(GASTOS!$F$6:$F$1005,GASTOS!$K$6:$K$1005,K$5,GASTOS!$B$6:$B$1005,CONFIG!$H$20))</f>
        <v>0</v>
      </c>
      <c r="L30" s="35" t="n">
        <f aca="false">IF(CONFIG!$H$20="",0,SUMIFS(GASTOS!$F$6:$F$1005,GASTOS!$K$6:$K$1005,L$5,GASTOS!$B$6:$B$1005,CONFIG!$H$20))</f>
        <v>0</v>
      </c>
      <c r="M30" s="35" t="n">
        <f aca="false">IF(CONFIG!$H$20="",0,SUMIFS(GASTOS!$F$6:$F$1005,GASTOS!$K$6:$K$1005,M$5,GASTOS!$B$6:$B$1005,CONFIG!$H$20))</f>
        <v>0</v>
      </c>
      <c r="N30" s="35" t="n">
        <f aca="false">IF(CONFIG!$H$20="",0,SUMIFS(GASTOS!$F$6:$F$1005,GASTOS!$K$6:$K$1005,N$5,GASTOS!$B$6:$B$1005,CONFIG!$H$20))</f>
        <v>0</v>
      </c>
      <c r="O30" s="59" t="n">
        <f aca="false">SUM(C30:N30)</f>
        <v>0</v>
      </c>
    </row>
    <row r="31" customFormat="false" ht="15" hidden="false" customHeight="false" outlineLevel="0" collapsed="false">
      <c r="B31" s="60" t="s">
        <v>501</v>
      </c>
      <c r="C31" s="59" t="n">
        <f aca="false">SUM(C14:C30)</f>
        <v>0</v>
      </c>
      <c r="D31" s="59" t="n">
        <f aca="false">SUM(D14:D30)</f>
        <v>0</v>
      </c>
      <c r="E31" s="59" t="n">
        <f aca="false">SUM(E14:E30)</f>
        <v>0</v>
      </c>
      <c r="F31" s="59" t="n">
        <f aca="false">SUM(F14:F30)</f>
        <v>0</v>
      </c>
      <c r="G31" s="59" t="n">
        <f aca="false">SUM(G14:G30)</f>
        <v>0</v>
      </c>
      <c r="H31" s="59" t="n">
        <f aca="false">SUM(H14:H30)</f>
        <v>0</v>
      </c>
      <c r="I31" s="59" t="n">
        <f aca="false">SUM(I14:I30)</f>
        <v>0</v>
      </c>
      <c r="J31" s="59" t="n">
        <f aca="false">SUM(J14:J30)</f>
        <v>0</v>
      </c>
      <c r="K31" s="59" t="n">
        <f aca="false">SUM(K14:K30)</f>
        <v>0</v>
      </c>
      <c r="L31" s="59" t="n">
        <f aca="false">SUM(L14:L30)</f>
        <v>2372680.2</v>
      </c>
      <c r="M31" s="59" t="n">
        <f aca="false">SUM(M14:M30)</f>
        <v>0</v>
      </c>
      <c r="N31" s="59" t="n">
        <f aca="false">SUM(N14:N30)</f>
        <v>0</v>
      </c>
      <c r="O31" s="59" t="n">
        <f aca="false">SUM(C31:N31)</f>
        <v>2372680.2</v>
      </c>
    </row>
    <row r="32" customFormat="false" ht="15" hidden="false" customHeight="false" outlineLevel="0" collapsed="false">
      <c r="B32" s="10" t="s">
        <v>502</v>
      </c>
      <c r="C32" s="38" t="n">
        <f aca="false">C11-C31</f>
        <v>0</v>
      </c>
      <c r="D32" s="38" t="n">
        <f aca="false">D11-D31</f>
        <v>0</v>
      </c>
      <c r="E32" s="38" t="n">
        <f aca="false">E11-E31</f>
        <v>0</v>
      </c>
      <c r="F32" s="38" t="n">
        <f aca="false">F11-F31</f>
        <v>0</v>
      </c>
      <c r="G32" s="38" t="n">
        <f aca="false">G11-G31</f>
        <v>0</v>
      </c>
      <c r="H32" s="38" t="n">
        <f aca="false">H11-H31</f>
        <v>0</v>
      </c>
      <c r="I32" s="38" t="n">
        <f aca="false">I11-I31</f>
        <v>0</v>
      </c>
      <c r="J32" s="38" t="n">
        <f aca="false">J11-J31</f>
        <v>0</v>
      </c>
      <c r="K32" s="38" t="n">
        <f aca="false">K11-K31</f>
        <v>0</v>
      </c>
      <c r="L32" s="38" t="n">
        <f aca="false">L11-L31</f>
        <v>-2151073.50957183</v>
      </c>
      <c r="M32" s="38" t="n">
        <f aca="false">M11-M31</f>
        <v>0</v>
      </c>
      <c r="N32" s="38" t="n">
        <f aca="false">N11-N31</f>
        <v>0</v>
      </c>
      <c r="O32" s="38" t="n">
        <f aca="false">SUM(C32:N32)</f>
        <v>-2151073.50957183</v>
      </c>
    </row>
    <row r="33" customFormat="false" ht="15" hidden="false" customHeight="false" outlineLevel="0" collapsed="false">
      <c r="B33" s="7" t="s">
        <v>178</v>
      </c>
      <c r="C33" s="36" t="n">
        <f aca="false">IFERROR(C32/C9,0)</f>
        <v>0</v>
      </c>
      <c r="D33" s="36" t="n">
        <f aca="false">IFERROR(D32/D9,0)</f>
        <v>0</v>
      </c>
      <c r="E33" s="36" t="n">
        <f aca="false">IFERROR(E32/E9,0)</f>
        <v>0</v>
      </c>
      <c r="F33" s="36" t="n">
        <f aca="false">IFERROR(F32/F9,0)</f>
        <v>0</v>
      </c>
      <c r="G33" s="36" t="n">
        <f aca="false">IFERROR(G32/G9,0)</f>
        <v>0</v>
      </c>
      <c r="H33" s="36" t="n">
        <f aca="false">IFERROR(H32/H9,0)</f>
        <v>0</v>
      </c>
      <c r="I33" s="36" t="n">
        <f aca="false">IFERROR(I32/I9,0)</f>
        <v>0</v>
      </c>
      <c r="J33" s="36" t="n">
        <f aca="false">IFERROR(J32/J9,0)</f>
        <v>0</v>
      </c>
      <c r="K33" s="36" t="n">
        <f aca="false">IFERROR(K32/K9,0)</f>
        <v>0</v>
      </c>
      <c r="L33" s="36" t="n">
        <f aca="false">IFERROR(L32/L9,0)</f>
        <v>-6.2857850163335</v>
      </c>
      <c r="M33" s="36" t="n">
        <f aca="false">IFERROR(M32/M9,0)</f>
        <v>0</v>
      </c>
      <c r="N33" s="36" t="n">
        <f aca="false">IFERROR(N32/N9,0)</f>
        <v>0</v>
      </c>
      <c r="O33" s="61" t="n">
        <f aca="false">IFERROR(O32/O9,0)</f>
        <v>-6.2857850163335</v>
      </c>
    </row>
    <row r="34" customFormat="false" ht="15" hidden="false" customHeight="false" outlineLevel="0" collapsed="false">
      <c r="B34" s="7" t="s">
        <v>503</v>
      </c>
      <c r="C34" s="35" t="n">
        <f aca="false">IF(C32&gt;0,C32*RENTA,0)</f>
        <v>0</v>
      </c>
      <c r="D34" s="35" t="n">
        <f aca="false">IF(D32&gt;0,D32*RENTA,0)</f>
        <v>0</v>
      </c>
      <c r="E34" s="35" t="n">
        <f aca="false">IF(E32&gt;0,E32*RENTA,0)</f>
        <v>0</v>
      </c>
      <c r="F34" s="35" t="n">
        <f aca="false">IF(F32&gt;0,F32*RENTA,0)</f>
        <v>0</v>
      </c>
      <c r="G34" s="35" t="n">
        <f aca="false">IF(G32&gt;0,G32*RENTA,0)</f>
        <v>0</v>
      </c>
      <c r="H34" s="35" t="n">
        <f aca="false">IF(H32&gt;0,H32*RENTA,0)</f>
        <v>0</v>
      </c>
      <c r="I34" s="35" t="n">
        <f aca="false">IF(I32&gt;0,I32*RENTA,0)</f>
        <v>0</v>
      </c>
      <c r="J34" s="35" t="n">
        <f aca="false">IF(J32&gt;0,J32*RENTA,0)</f>
        <v>0</v>
      </c>
      <c r="K34" s="35" t="n">
        <f aca="false">IF(K32&gt;0,K32*RENTA,0)</f>
        <v>0</v>
      </c>
      <c r="L34" s="35" t="n">
        <f aca="false">IF(L32&gt;0,L32*RENTA,0)</f>
        <v>0</v>
      </c>
      <c r="M34" s="35" t="n">
        <f aca="false">IF(M32&gt;0,M32*RENTA,0)</f>
        <v>0</v>
      </c>
      <c r="N34" s="35" t="n">
        <f aca="false">IF(N32&gt;0,N32*RENTA,0)</f>
        <v>0</v>
      </c>
      <c r="O34" s="59" t="n">
        <f aca="false">SUM(C34:N34)</f>
        <v>0</v>
      </c>
    </row>
    <row r="35" customFormat="false" ht="15" hidden="false" customHeight="false" outlineLevel="0" collapsed="false">
      <c r="B35" s="10" t="s">
        <v>504</v>
      </c>
      <c r="C35" s="38" t="n">
        <f aca="false">C32-C34</f>
        <v>0</v>
      </c>
      <c r="D35" s="38" t="n">
        <f aca="false">D32-D34</f>
        <v>0</v>
      </c>
      <c r="E35" s="38" t="n">
        <f aca="false">E32-E34</f>
        <v>0</v>
      </c>
      <c r="F35" s="38" t="n">
        <f aca="false">F32-F34</f>
        <v>0</v>
      </c>
      <c r="G35" s="38" t="n">
        <f aca="false">G32-G34</f>
        <v>0</v>
      </c>
      <c r="H35" s="38" t="n">
        <f aca="false">H32-H34</f>
        <v>0</v>
      </c>
      <c r="I35" s="38" t="n">
        <f aca="false">I32-I34</f>
        <v>0</v>
      </c>
      <c r="J35" s="38" t="n">
        <f aca="false">J32-J34</f>
        <v>0</v>
      </c>
      <c r="K35" s="38" t="n">
        <f aca="false">K32-K34</f>
        <v>0</v>
      </c>
      <c r="L35" s="38" t="n">
        <f aca="false">L32-L34</f>
        <v>-2151073.50957183</v>
      </c>
      <c r="M35" s="38" t="n">
        <f aca="false">M32-M34</f>
        <v>0</v>
      </c>
      <c r="N35" s="38" t="n">
        <f aca="false">N32-N34</f>
        <v>0</v>
      </c>
      <c r="O35" s="38" t="n">
        <f aca="false">SUM(C35:N35)</f>
        <v>-2151073.50957183</v>
      </c>
    </row>
    <row r="36" customFormat="false" ht="15" hidden="false" customHeight="false" outlineLevel="0" collapsed="false">
      <c r="B36" s="57" t="s">
        <v>505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</row>
    <row r="37" customFormat="false" ht="15" hidden="false" customHeight="false" outlineLevel="0" collapsed="false">
      <c r="B37" s="7" t="s">
        <v>506</v>
      </c>
      <c r="C37" s="36" t="n">
        <f aca="false">IFERROR(C10/C9,0)</f>
        <v>0</v>
      </c>
      <c r="D37" s="36" t="n">
        <f aca="false">IFERROR(D10/D9,0)</f>
        <v>0</v>
      </c>
      <c r="E37" s="36" t="n">
        <f aca="false">IFERROR(E10/E9,0)</f>
        <v>0</v>
      </c>
      <c r="F37" s="36" t="n">
        <f aca="false">IFERROR(F10/F9,0)</f>
        <v>0</v>
      </c>
      <c r="G37" s="36" t="n">
        <f aca="false">IFERROR(G10/G9,0)</f>
        <v>0</v>
      </c>
      <c r="H37" s="36" t="n">
        <f aca="false">IFERROR(H10/H9,0)</f>
        <v>0</v>
      </c>
      <c r="I37" s="36" t="n">
        <f aca="false">IFERROR(I10/I9,0)</f>
        <v>0</v>
      </c>
      <c r="J37" s="36" t="n">
        <f aca="false">IFERROR(J10/J9,0)</f>
        <v>0</v>
      </c>
      <c r="K37" s="36" t="n">
        <f aca="false">IFERROR(K10/K9,0)</f>
        <v>0</v>
      </c>
      <c r="L37" s="36" t="n">
        <f aca="false">IFERROR(L10/L9,0)</f>
        <v>0.35242937630247</v>
      </c>
      <c r="M37" s="36" t="n">
        <f aca="false">IFERROR(M10/M9,0)</f>
        <v>0</v>
      </c>
      <c r="N37" s="36" t="n">
        <f aca="false">IFERROR(N10/N9,0)</f>
        <v>0</v>
      </c>
      <c r="O37" s="61" t="n">
        <f aca="false">IFERROR(O10/O9,0)</f>
        <v>0.35242937630247</v>
      </c>
    </row>
    <row r="38" customFormat="false" ht="15" hidden="false" customHeight="false" outlineLevel="0" collapsed="false">
      <c r="B38" s="7" t="s">
        <v>507</v>
      </c>
      <c r="C38" s="36" t="n">
        <f aca="false">IFERROR(C15/C9,0)</f>
        <v>0</v>
      </c>
      <c r="D38" s="36" t="n">
        <f aca="false">IFERROR(D15/D9,0)</f>
        <v>0</v>
      </c>
      <c r="E38" s="36" t="n">
        <f aca="false">IFERROR(E15/E9,0)</f>
        <v>0</v>
      </c>
      <c r="F38" s="36" t="n">
        <f aca="false">IFERROR(F15/F9,0)</f>
        <v>0</v>
      </c>
      <c r="G38" s="36" t="n">
        <f aca="false">IFERROR(G15/G9,0)</f>
        <v>0</v>
      </c>
      <c r="H38" s="36" t="n">
        <f aca="false">IFERROR(H15/H9,0)</f>
        <v>0</v>
      </c>
      <c r="I38" s="36" t="n">
        <f aca="false">IFERROR(I15/I9,0)</f>
        <v>0</v>
      </c>
      <c r="J38" s="36" t="n">
        <f aca="false">IFERROR(J15/J9,0)</f>
        <v>0</v>
      </c>
      <c r="K38" s="36" t="n">
        <f aca="false">IFERROR(K15/K9,0)</f>
        <v>0</v>
      </c>
      <c r="L38" s="36" t="n">
        <f aca="false">IFERROR(L15/L9,0)</f>
        <v>4.93765057150246</v>
      </c>
      <c r="M38" s="36" t="n">
        <f aca="false">IFERROR(M15/M9,0)</f>
        <v>0</v>
      </c>
      <c r="N38" s="36" t="n">
        <f aca="false">IFERROR(N15/N9,0)</f>
        <v>0</v>
      </c>
      <c r="O38" s="61" t="n">
        <f aca="false">IFERROR(O15/O9,0)</f>
        <v>4.93765057150246</v>
      </c>
    </row>
    <row r="39" customFormat="false" ht="15" hidden="false" customHeight="false" outlineLevel="0" collapsed="false">
      <c r="B39" s="7" t="s">
        <v>508</v>
      </c>
      <c r="C39" s="36" t="n">
        <f aca="false">IFERROR((C10+C15)/C9,0)</f>
        <v>0</v>
      </c>
      <c r="D39" s="36" t="n">
        <f aca="false">IFERROR((D10+D15)/D9,0)</f>
        <v>0</v>
      </c>
      <c r="E39" s="36" t="n">
        <f aca="false">IFERROR((E10+E15)/E9,0)</f>
        <v>0</v>
      </c>
      <c r="F39" s="36" t="n">
        <f aca="false">IFERROR((F10+F15)/F9,0)</f>
        <v>0</v>
      </c>
      <c r="G39" s="36" t="n">
        <f aca="false">IFERROR((G10+G15)/G9,0)</f>
        <v>0</v>
      </c>
      <c r="H39" s="36" t="n">
        <f aca="false">IFERROR((H10+H15)/H9,0)</f>
        <v>0</v>
      </c>
      <c r="I39" s="36" t="n">
        <f aca="false">IFERROR((I10+I15)/I9,0)</f>
        <v>0</v>
      </c>
      <c r="J39" s="36" t="n">
        <f aca="false">IFERROR((J10+J15)/J9,0)</f>
        <v>0</v>
      </c>
      <c r="K39" s="36" t="n">
        <f aca="false">IFERROR((K10+K15)/K9,0)</f>
        <v>0</v>
      </c>
      <c r="L39" s="36" t="n">
        <f aca="false">IFERROR((L10+L15)/L9,0)</f>
        <v>5.29007994780493</v>
      </c>
      <c r="M39" s="36" t="n">
        <f aca="false">IFERROR((M10+M15)/M9,0)</f>
        <v>0</v>
      </c>
      <c r="N39" s="36" t="n">
        <f aca="false">IFERROR((N10+N15)/N9,0)</f>
        <v>0</v>
      </c>
      <c r="O39" s="61" t="n">
        <f aca="false">IFERROR((O10+O15)/O9,0)</f>
        <v>5.29007994780493</v>
      </c>
    </row>
    <row r="40" customFormat="false" ht="15" hidden="false" customHeight="false" outlineLevel="0" collapsed="false">
      <c r="B40" s="57" t="s">
        <v>509</v>
      </c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</row>
    <row r="41" customFormat="false" ht="15" hidden="false" customHeight="false" outlineLevel="0" collapsed="false">
      <c r="B41" s="7" t="s">
        <v>510</v>
      </c>
      <c r="C41" s="35" t="n">
        <f aca="false">C8</f>
        <v>0</v>
      </c>
      <c r="D41" s="35" t="n">
        <f aca="false">D8</f>
        <v>0</v>
      </c>
      <c r="E41" s="35" t="n">
        <f aca="false">E8</f>
        <v>0</v>
      </c>
      <c r="F41" s="35" t="n">
        <f aca="false">F8</f>
        <v>0</v>
      </c>
      <c r="G41" s="35" t="n">
        <f aca="false">G8</f>
        <v>0</v>
      </c>
      <c r="H41" s="35" t="n">
        <f aca="false">H8</f>
        <v>0</v>
      </c>
      <c r="I41" s="35" t="n">
        <f aca="false">I8</f>
        <v>0</v>
      </c>
      <c r="J41" s="35" t="n">
        <f aca="false">J8</f>
        <v>0</v>
      </c>
      <c r="K41" s="35" t="n">
        <f aca="false">K8</f>
        <v>0</v>
      </c>
      <c r="L41" s="35" t="n">
        <f aca="false">L8</f>
        <v>44487.610619469</v>
      </c>
      <c r="M41" s="35" t="n">
        <f aca="false">M8</f>
        <v>0</v>
      </c>
      <c r="N41" s="35" t="n">
        <f aca="false">N8</f>
        <v>0</v>
      </c>
      <c r="O41" s="59" t="n">
        <f aca="false">SUM(C41:N41)</f>
        <v>44487.610619469</v>
      </c>
    </row>
    <row r="42" customFormat="false" ht="15" hidden="false" customHeight="false" outlineLevel="0" collapsed="false">
      <c r="B42" s="7" t="s">
        <v>511</v>
      </c>
      <c r="C42" s="35" t="n">
        <f aca="false">SUMIFS(COMPRAS!$L$6:$L$1005,COMPRAS!$Q$6:$Q$1005,C$5)+SUMIFS(GASTOS!$H$6:$H$1005,GASTOS!$K$6:$K$1005,C$5)</f>
        <v>0</v>
      </c>
      <c r="D42" s="35" t="n">
        <f aca="false">SUMIFS(COMPRAS!$L$6:$L$1005,COMPRAS!$Q$6:$Q$1005,D$5)+SUMIFS(GASTOS!$H$6:$H$1005,GASTOS!$K$6:$K$1005,D$5)</f>
        <v>0</v>
      </c>
      <c r="E42" s="35" t="n">
        <f aca="false">SUMIFS(COMPRAS!$L$6:$L$1005,COMPRAS!$Q$6:$Q$1005,E$5)+SUMIFS(GASTOS!$H$6:$H$1005,GASTOS!$K$6:$K$1005,E$5)</f>
        <v>0</v>
      </c>
      <c r="F42" s="35" t="n">
        <f aca="false">SUMIFS(COMPRAS!$L$6:$L$1005,COMPRAS!$Q$6:$Q$1005,F$5)+SUMIFS(GASTOS!$H$6:$H$1005,GASTOS!$K$6:$K$1005,F$5)</f>
        <v>0</v>
      </c>
      <c r="G42" s="35" t="n">
        <f aca="false">SUMIFS(COMPRAS!$L$6:$L$1005,COMPRAS!$Q$6:$Q$1005,G$5)+SUMIFS(GASTOS!$H$6:$H$1005,GASTOS!$K$6:$K$1005,G$5)</f>
        <v>0</v>
      </c>
      <c r="H42" s="35" t="n">
        <f aca="false">SUMIFS(COMPRAS!$L$6:$L$1005,COMPRAS!$Q$6:$Q$1005,H$5)+SUMIFS(GASTOS!$H$6:$H$1005,GASTOS!$K$6:$K$1005,H$5)</f>
        <v>0</v>
      </c>
      <c r="I42" s="35" t="n">
        <f aca="false">SUMIFS(COMPRAS!$L$6:$L$1005,COMPRAS!$Q$6:$Q$1005,I$5)+SUMIFS(GASTOS!$H$6:$H$1005,GASTOS!$K$6:$K$1005,I$5)</f>
        <v>0</v>
      </c>
      <c r="J42" s="35" t="n">
        <f aca="false">SUMIFS(COMPRAS!$L$6:$L$1005,COMPRAS!$Q$6:$Q$1005,J$5)+SUMIFS(GASTOS!$H$6:$H$1005,GASTOS!$K$6:$K$1005,J$5)</f>
        <v>0</v>
      </c>
      <c r="K42" s="35" t="n">
        <f aca="false">SUMIFS(COMPRAS!$L$6:$L$1005,COMPRAS!$Q$6:$Q$1005,K$5)+SUMIFS(GASTOS!$H$6:$H$1005,GASTOS!$K$6:$K$1005,K$5)</f>
        <v>0</v>
      </c>
      <c r="L42" s="35" t="n">
        <f aca="false">SUMIFS(COMPRAS!$L$6:$L$1005,COMPRAS!$Q$6:$Q$1005,L$5)+SUMIFS(GASTOS!$H$6:$H$1005,GASTOS!$K$6:$K$1005,L$5)</f>
        <v>94183</v>
      </c>
      <c r="M42" s="35" t="n">
        <f aca="false">SUMIFS(COMPRAS!$L$6:$L$1005,COMPRAS!$Q$6:$Q$1005,M$5)+SUMIFS(GASTOS!$H$6:$H$1005,GASTOS!$K$6:$K$1005,M$5)</f>
        <v>0</v>
      </c>
      <c r="N42" s="35" t="n">
        <f aca="false">SUMIFS(COMPRAS!$L$6:$L$1005,COMPRAS!$Q$6:$Q$1005,N$5)+SUMIFS(GASTOS!$H$6:$H$1005,GASTOS!$K$6:$K$1005,N$5)</f>
        <v>0</v>
      </c>
      <c r="O42" s="59" t="n">
        <f aca="false">SUM(C42:N42)</f>
        <v>94183</v>
      </c>
    </row>
    <row r="43" customFormat="false" ht="15" hidden="false" customHeight="false" outlineLevel="0" collapsed="false">
      <c r="B43" s="60" t="s">
        <v>181</v>
      </c>
      <c r="C43" s="59" t="n">
        <f aca="false">C41-C42</f>
        <v>0</v>
      </c>
      <c r="D43" s="59" t="n">
        <f aca="false">D41-D42</f>
        <v>0</v>
      </c>
      <c r="E43" s="59" t="n">
        <f aca="false">E41-E42</f>
        <v>0</v>
      </c>
      <c r="F43" s="59" t="n">
        <f aca="false">F41-F42</f>
        <v>0</v>
      </c>
      <c r="G43" s="59" t="n">
        <f aca="false">G41-G42</f>
        <v>0</v>
      </c>
      <c r="H43" s="59" t="n">
        <f aca="false">H41-H42</f>
        <v>0</v>
      </c>
      <c r="I43" s="59" t="n">
        <f aca="false">I41-I42</f>
        <v>0</v>
      </c>
      <c r="J43" s="59" t="n">
        <f aca="false">J41-J42</f>
        <v>0</v>
      </c>
      <c r="K43" s="59" t="n">
        <f aca="false">K41-K42</f>
        <v>0</v>
      </c>
      <c r="L43" s="59" t="n">
        <f aca="false">L41-L42</f>
        <v>-49695.389380531</v>
      </c>
      <c r="M43" s="59" t="n">
        <f aca="false">M41-M42</f>
        <v>0</v>
      </c>
      <c r="N43" s="59" t="n">
        <f aca="false">N41-N42</f>
        <v>0</v>
      </c>
      <c r="O43" s="59" t="n">
        <f aca="false">SUM(C43:N43)</f>
        <v>-49695.389380531</v>
      </c>
    </row>
    <row r="44" customFormat="false" ht="15" hidden="false" customHeight="false" outlineLevel="0" collapsed="false">
      <c r="B44" s="57" t="s">
        <v>512</v>
      </c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</row>
    <row r="45" customFormat="false" ht="15" hidden="false" customHeight="false" outlineLevel="0" collapsed="false">
      <c r="B45" s="7" t="s">
        <v>513</v>
      </c>
      <c r="C45" s="35" t="n">
        <f aca="false">SUMIFS(COMPRAS!$J$6:$J$1005,COMPRAS!$Q$6:$Q$1005,C$5)</f>
        <v>0</v>
      </c>
      <c r="D45" s="35" t="n">
        <f aca="false">SUMIFS(COMPRAS!$J$6:$J$1005,COMPRAS!$Q$6:$Q$1005,D$5)</f>
        <v>0</v>
      </c>
      <c r="E45" s="35" t="n">
        <f aca="false">SUMIFS(COMPRAS!$J$6:$J$1005,COMPRAS!$Q$6:$Q$1005,E$5)</f>
        <v>0</v>
      </c>
      <c r="F45" s="35" t="n">
        <f aca="false">SUMIFS(COMPRAS!$J$6:$J$1005,COMPRAS!$Q$6:$Q$1005,F$5)</f>
        <v>0</v>
      </c>
      <c r="G45" s="35" t="n">
        <f aca="false">SUMIFS(COMPRAS!$J$6:$J$1005,COMPRAS!$Q$6:$Q$1005,G$5)</f>
        <v>0</v>
      </c>
      <c r="H45" s="35" t="n">
        <f aca="false">SUMIFS(COMPRAS!$J$6:$J$1005,COMPRAS!$Q$6:$Q$1005,H$5)</f>
        <v>0</v>
      </c>
      <c r="I45" s="35" t="n">
        <f aca="false">SUMIFS(COMPRAS!$J$6:$J$1005,COMPRAS!$Q$6:$Q$1005,I$5)</f>
        <v>0</v>
      </c>
      <c r="J45" s="35" t="n">
        <f aca="false">SUMIFS(COMPRAS!$J$6:$J$1005,COMPRAS!$Q$6:$Q$1005,J$5)</f>
        <v>0</v>
      </c>
      <c r="K45" s="35" t="n">
        <f aca="false">SUMIFS(COMPRAS!$J$6:$J$1005,COMPRAS!$Q$6:$Q$1005,K$5)</f>
        <v>0</v>
      </c>
      <c r="L45" s="35" t="n">
        <f aca="false">SUMIFS(COMPRAS!$J$6:$J$1005,COMPRAS!$Q$6:$Q$1005,L$5)</f>
        <v>137500</v>
      </c>
      <c r="M45" s="35" t="n">
        <f aca="false">SUMIFS(COMPRAS!$J$6:$J$1005,COMPRAS!$Q$6:$Q$1005,M$5)</f>
        <v>0</v>
      </c>
      <c r="N45" s="35" t="n">
        <f aca="false">SUMIFS(COMPRAS!$J$6:$J$1005,COMPRAS!$Q$6:$Q$1005,N$5)</f>
        <v>0</v>
      </c>
      <c r="O45" s="59" t="n">
        <f aca="false">SUM(C45:N45)</f>
        <v>137500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4" min="12" style="0" width="13"/>
  </cols>
  <sheetData>
    <row r="1" customFormat="false" ht="19.7" hidden="false" customHeight="false" outlineLevel="0" collapsed="false">
      <c r="A1" s="1" t="s">
        <v>514</v>
      </c>
    </row>
    <row r="2" customFormat="false" ht="15" hidden="false" customHeight="false" outlineLevel="0" collapsed="false">
      <c r="A2" s="2" t="s">
        <v>515</v>
      </c>
    </row>
    <row r="4" customFormat="false" ht="15" hidden="false" customHeight="false" outlineLevel="0" collapsed="false">
      <c r="C4" s="2" t="s">
        <v>516</v>
      </c>
    </row>
    <row r="5" customFormat="false" ht="15" hidden="false" customHeight="false" outlineLevel="0" collapsed="false">
      <c r="B5" s="5" t="s">
        <v>517</v>
      </c>
    </row>
    <row r="6" customFormat="false" ht="45" hidden="false" customHeight="true" outlineLevel="0" collapsed="false">
      <c r="B6" s="15" t="s">
        <v>518</v>
      </c>
      <c r="C6" s="16" t="s">
        <v>519</v>
      </c>
      <c r="E6" s="15" t="s">
        <v>520</v>
      </c>
      <c r="F6" s="15" t="s">
        <v>521</v>
      </c>
      <c r="G6" s="15" t="s">
        <v>522</v>
      </c>
      <c r="H6" s="15" t="s">
        <v>523</v>
      </c>
      <c r="I6" s="15" t="s">
        <v>373</v>
      </c>
      <c r="J6" s="15" t="s">
        <v>524</v>
      </c>
      <c r="K6" s="15" t="s">
        <v>525</v>
      </c>
      <c r="L6" s="15" t="s">
        <v>526</v>
      </c>
      <c r="M6" s="15" t="s">
        <v>527</v>
      </c>
      <c r="N6" s="15" t="s">
        <v>174</v>
      </c>
    </row>
    <row r="7" customFormat="false" ht="15" hidden="false" customHeight="false" outlineLevel="0" collapsed="false">
      <c r="B7" s="60" t="s">
        <v>528</v>
      </c>
      <c r="C7" s="60"/>
      <c r="E7" s="59" t="n">
        <f aca="false">IFERROR(M7/J7,0)</f>
        <v>845.050010607443</v>
      </c>
      <c r="F7" s="59" t="n">
        <f aca="false">IFERROR(L7/J7,0)</f>
        <v>2376.28946955019</v>
      </c>
      <c r="G7" s="60"/>
      <c r="H7" s="59" t="n">
        <f aca="false">F7-E7</f>
        <v>1531.23945894275</v>
      </c>
      <c r="I7" s="61" t="n">
        <f aca="false">IFERROR(N7/L7,0)</f>
        <v>0.644382546219252</v>
      </c>
      <c r="J7" s="62" t="n">
        <f aca="false">SUM(J8:J27)</f>
        <v>1690</v>
      </c>
      <c r="K7" s="61" t="n">
        <f aca="false">SUM(K8:K27)</f>
        <v>1</v>
      </c>
      <c r="L7" s="59" t="n">
        <f aca="false">SUM(L8:L27)</f>
        <v>4015929.20353982</v>
      </c>
      <c r="M7" s="59" t="n">
        <f aca="false">SUM(M8:M27)</f>
        <v>1428134.51792658</v>
      </c>
      <c r="N7" s="59" t="n">
        <f aca="false">SUM(N8:N27)</f>
        <v>2587794.68561325</v>
      </c>
    </row>
    <row r="8" customFormat="false" ht="15" hidden="false" customHeight="false" outlineLevel="0" collapsed="false">
      <c r="B8" s="9" t="str">
        <f aca="false">IF(PRODUCTOS!$B$6="","",PRODUCTOS!$B$6)</f>
        <v>Fresas con crema Pequeño (8 oz)</v>
      </c>
      <c r="C8" s="40"/>
      <c r="E8" s="50" t="n">
        <f aca="false">IF($B8="","",PRODUCTOS!$H$6)</f>
        <v>673.369716858526</v>
      </c>
      <c r="F8" s="50" t="n">
        <f aca="false">IF($B8="","",PRODUCTOS!$F$6)</f>
        <v>1725.66371681416</v>
      </c>
      <c r="G8" s="36" t="str">
        <f aca="false">IF(OR($B8="",N($C8)=0),"",F8/C8-1)</f>
        <v/>
      </c>
      <c r="H8" s="35" t="n">
        <f aca="false">IF($B8="","",F8-E8)</f>
        <v>1052.29399995563</v>
      </c>
      <c r="I8" s="36" t="n">
        <f aca="false">IF($B8="","",IFERROR(H8/F8,0))</f>
        <v>0.609790882025572</v>
      </c>
      <c r="J8" s="49" t="n">
        <f aca="false">IF($B8="","",N(PRODUCTOS!$P$6))</f>
        <v>300</v>
      </c>
      <c r="K8" s="36" t="n">
        <f aca="false">IF($B8="","",IFERROR(J8/$J$7,0))</f>
        <v>0.177514792899408</v>
      </c>
      <c r="L8" s="35" t="n">
        <f aca="false">IF($B8="","",F8*J8)</f>
        <v>517699.115044248</v>
      </c>
      <c r="M8" s="35" t="n">
        <f aca="false">IF($B8="","",E8*J8)</f>
        <v>202010.915057558</v>
      </c>
      <c r="N8" s="35" t="n">
        <f aca="false">IF($B8="","",L8-M8)</f>
        <v>315688.19998669</v>
      </c>
    </row>
    <row r="9" customFormat="false" ht="15" hidden="false" customHeight="false" outlineLevel="0" collapsed="false">
      <c r="B9" s="9" t="str">
        <f aca="false">IF(PRODUCTOS!$B$7="","",PRODUCTOS!$B$7)</f>
        <v>Fresas con crema Mediano (12 oz)</v>
      </c>
      <c r="C9" s="40"/>
      <c r="E9" s="50" t="n">
        <f aca="false">IF($B9="","",PRODUCTOS!$H$7)</f>
        <v>1003.13554364004</v>
      </c>
      <c r="F9" s="50" t="n">
        <f aca="false">IF($B9="","",PRODUCTOS!$F$7)</f>
        <v>2610.61946902655</v>
      </c>
      <c r="G9" s="36" t="str">
        <f aca="false">IF(OR($B9="",N($C9)=0),"",F9/C9-1)</f>
        <v/>
      </c>
      <c r="H9" s="35" t="n">
        <f aca="false">IF($B9="","",F9-E9)</f>
        <v>1607.48392538651</v>
      </c>
      <c r="I9" s="36" t="n">
        <f aca="false">IF($B9="","",IFERROR(H9/F9,0))</f>
        <v>0.615748079893814</v>
      </c>
      <c r="J9" s="49" t="n">
        <f aca="false">IF($B9="","",N(PRODUCTOS!$P$7))</f>
        <v>450</v>
      </c>
      <c r="K9" s="36" t="n">
        <f aca="false">IF($B9="","",IFERROR(J9/$J$7,0))</f>
        <v>0.266272189349112</v>
      </c>
      <c r="L9" s="35" t="n">
        <f aca="false">IF($B9="","",F9*J9)</f>
        <v>1174778.76106195</v>
      </c>
      <c r="M9" s="35" t="n">
        <f aca="false">IF($B9="","",E9*J9)</f>
        <v>451410.994638019</v>
      </c>
      <c r="N9" s="35" t="n">
        <f aca="false">IF($B9="","",L9-M9)</f>
        <v>723367.766423928</v>
      </c>
    </row>
    <row r="10" customFormat="false" ht="15" hidden="false" customHeight="false" outlineLevel="0" collapsed="false">
      <c r="B10" s="9" t="str">
        <f aca="false">IF(PRODUCTOS!$B$8="","",PRODUCTOS!$B$8)</f>
        <v>Fresas con crema Grande (16 oz)</v>
      </c>
      <c r="C10" s="40"/>
      <c r="E10" s="50" t="n">
        <f aca="false">IF($B10="","",PRODUCTOS!$H$8)</f>
        <v>1524.88128530297</v>
      </c>
      <c r="F10" s="50" t="n">
        <f aca="false">IF($B10="","",PRODUCTOS!$F$8)</f>
        <v>4380.53097345133</v>
      </c>
      <c r="G10" s="36" t="str">
        <f aca="false">IF(OR($B10="",N($C10)=0),"",F10/C10-1)</f>
        <v/>
      </c>
      <c r="H10" s="35" t="n">
        <f aca="false">IF($B10="","",F10-E10)</f>
        <v>2855.64968814836</v>
      </c>
      <c r="I10" s="36" t="n">
        <f aca="false">IF($B10="","",IFERROR(H10/F10,0))</f>
        <v>0.651895787395483</v>
      </c>
      <c r="J10" s="49" t="n">
        <f aca="false">IF($B10="","",N(PRODUCTOS!$P$8))</f>
        <v>250</v>
      </c>
      <c r="K10" s="36" t="n">
        <f aca="false">IF($B10="","",IFERROR(J10/$J$7,0))</f>
        <v>0.14792899408284</v>
      </c>
      <c r="L10" s="35" t="n">
        <f aca="false">IF($B10="","",F10*J10)</f>
        <v>1095132.74336283</v>
      </c>
      <c r="M10" s="35" t="n">
        <f aca="false">IF($B10="","",E10*J10)</f>
        <v>381220.321325743</v>
      </c>
      <c r="N10" s="35" t="n">
        <f aca="false">IF($B10="","",L10-M10)</f>
        <v>713912.422037089</v>
      </c>
    </row>
    <row r="11" customFormat="false" ht="15" hidden="false" customHeight="false" outlineLevel="0" collapsed="false">
      <c r="B11" s="9" t="str">
        <f aca="false">IF(PRODUCTOS!$B$9="","",PRODUCTOS!$B$9)</f>
        <v>Fresas con crema Extra grande (24 oz)</v>
      </c>
      <c r="C11" s="40"/>
      <c r="E11" s="50" t="n">
        <f aca="false">IF($B11="","",PRODUCTOS!$H$9)</f>
        <v>2350.27356264768</v>
      </c>
      <c r="F11" s="50" t="n">
        <f aca="false">IF($B11="","",PRODUCTOS!$F$9)</f>
        <v>6150.44247787611</v>
      </c>
      <c r="G11" s="36" t="str">
        <f aca="false">IF(OR($B11="",N($C11)=0),"",F11/C11-1)</f>
        <v/>
      </c>
      <c r="H11" s="35" t="n">
        <f aca="false">IF($B11="","",F11-E11)</f>
        <v>3800.16891522843</v>
      </c>
      <c r="I11" s="36" t="n">
        <f aca="false">IF($B11="","",IFERROR(H11/F11,0))</f>
        <v>0.617869190533543</v>
      </c>
      <c r="J11" s="49" t="n">
        <f aca="false">IF($B11="","",N(PRODUCTOS!$P$9))</f>
        <v>80</v>
      </c>
      <c r="K11" s="36" t="n">
        <f aca="false">IF($B11="","",IFERROR(J11/$J$7,0))</f>
        <v>0.0473372781065089</v>
      </c>
      <c r="L11" s="35" t="n">
        <f aca="false">IF($B11="","",F11*J11)</f>
        <v>492035.398230089</v>
      </c>
      <c r="M11" s="35" t="n">
        <f aca="false">IF($B11="","",E11*J11)</f>
        <v>188021.885011814</v>
      </c>
      <c r="N11" s="35" t="n">
        <f aca="false">IF($B11="","",L11-M11)</f>
        <v>304013.513218274</v>
      </c>
    </row>
    <row r="12" customFormat="false" ht="15" hidden="false" customHeight="false" outlineLevel="0" collapsed="false">
      <c r="B12" s="9" t="str">
        <f aca="false">IF(PRODUCTOS!$B$10="","",PRODUCTOS!$B$10)</f>
        <v>Maracumango</v>
      </c>
      <c r="C12" s="40"/>
      <c r="E12" s="50" t="n">
        <f aca="false">IF($B12="","",PRODUCTOS!$H$10)</f>
        <v>908.379833285726</v>
      </c>
      <c r="F12" s="50" t="n">
        <f aca="false">IF($B12="","",PRODUCTOS!$F$10)</f>
        <v>3716.81415929204</v>
      </c>
      <c r="G12" s="36" t="str">
        <f aca="false">IF(OR($B12="",N($C12)=0),"",F12/C12-1)</f>
        <v/>
      </c>
      <c r="H12" s="35" t="n">
        <f aca="false">IF($B12="","",F12-E12)</f>
        <v>2808.43432600631</v>
      </c>
      <c r="I12" s="36" t="n">
        <f aca="false">IF($B12="","",IFERROR(H12/F12,0))</f>
        <v>0.755602568663602</v>
      </c>
      <c r="J12" s="49" t="n">
        <f aca="false">IF($B12="","",N(PRODUCTOS!$P$10))</f>
        <v>150</v>
      </c>
      <c r="K12" s="36" t="n">
        <f aca="false">IF($B12="","",IFERROR(J12/$J$7,0))</f>
        <v>0.0887573964497041</v>
      </c>
      <c r="L12" s="35" t="n">
        <f aca="false">IF($B12="","",F12*J12)</f>
        <v>557522.123893805</v>
      </c>
      <c r="M12" s="35" t="n">
        <f aca="false">IF($B12="","",E12*J12)</f>
        <v>136256.974992859</v>
      </c>
      <c r="N12" s="35" t="n">
        <f aca="false">IF($B12="","",L12-M12)</f>
        <v>421265.148900947</v>
      </c>
    </row>
    <row r="13" customFormat="false" ht="15" hidden="false" customHeight="false" outlineLevel="0" collapsed="false">
      <c r="B13" s="9" t="str">
        <f aca="false">IF(PRODUCTOS!$B$11="","",PRODUCTOS!$B$11)</f>
        <v>Topping extra</v>
      </c>
      <c r="C13" s="40"/>
      <c r="E13" s="50" t="n">
        <f aca="false">IF($B13="","",PRODUCTOS!$H$11)</f>
        <v>95.0292397660819</v>
      </c>
      <c r="F13" s="50" t="n">
        <f aca="false">IF($B13="","",PRODUCTOS!$F$11)</f>
        <v>176.991150442478</v>
      </c>
      <c r="G13" s="36" t="str">
        <f aca="false">IF(OR($B13="",N($C13)=0),"",F13/C13-1)</f>
        <v/>
      </c>
      <c r="H13" s="35" t="n">
        <f aca="false">IF($B13="","",F13-E13)</f>
        <v>81.961910676396</v>
      </c>
      <c r="I13" s="36" t="n">
        <f aca="false">IF($B13="","",IFERROR(H13/F13,0))</f>
        <v>0.463084795321638</v>
      </c>
      <c r="J13" s="49" t="n">
        <f aca="false">IF($B13="","",N(PRODUCTOS!$P$11))</f>
        <v>200</v>
      </c>
      <c r="K13" s="36" t="n">
        <f aca="false">IF($B13="","",IFERROR(J13/$J$7,0))</f>
        <v>0.118343195266272</v>
      </c>
      <c r="L13" s="35" t="n">
        <f aca="false">IF($B13="","",F13*J13)</f>
        <v>35398.2300884956</v>
      </c>
      <c r="M13" s="35" t="n">
        <f aca="false">IF($B13="","",E13*J13)</f>
        <v>19005.8479532164</v>
      </c>
      <c r="N13" s="35" t="n">
        <f aca="false">IF($B13="","",L13-M13)</f>
        <v>16392.3821352792</v>
      </c>
    </row>
    <row r="14" customFormat="false" ht="15" hidden="false" customHeight="false" outlineLevel="0" collapsed="false">
      <c r="B14" s="9" t="str">
        <f aca="false">IF(PRODUCTOS!$B$12="","",PRODUCTOS!$B$12)</f>
        <v>Topping extra premium</v>
      </c>
      <c r="C14" s="40"/>
      <c r="E14" s="50" t="n">
        <f aca="false">IF($B14="","",PRODUCTOS!$H$12)</f>
        <v>142.5</v>
      </c>
      <c r="F14" s="50" t="n">
        <f aca="false">IF($B14="","",PRODUCTOS!$F$12)</f>
        <v>265.486725663717</v>
      </c>
      <c r="G14" s="36" t="str">
        <f aca="false">IF(OR($B14="",N($C14)=0),"",F14/C14-1)</f>
        <v/>
      </c>
      <c r="H14" s="35" t="n">
        <f aca="false">IF($B14="","",F14-E14)</f>
        <v>122.986725663717</v>
      </c>
      <c r="I14" s="36" t="n">
        <f aca="false">IF($B14="","",IFERROR(H14/F14,0))</f>
        <v>0.46325</v>
      </c>
      <c r="J14" s="49" t="n">
        <f aca="false">IF($B14="","",N(PRODUCTOS!$P$12))</f>
        <v>80</v>
      </c>
      <c r="K14" s="36" t="n">
        <f aca="false">IF($B14="","",IFERROR(J14/$J$7,0))</f>
        <v>0.0473372781065089</v>
      </c>
      <c r="L14" s="35" t="n">
        <f aca="false">IF($B14="","",F14*J14)</f>
        <v>21238.9380530973</v>
      </c>
      <c r="M14" s="35" t="n">
        <f aca="false">IF($B14="","",E14*J14)</f>
        <v>11400</v>
      </c>
      <c r="N14" s="35" t="n">
        <f aca="false">IF($B14="","",L14-M14)</f>
        <v>9838.93805309734</v>
      </c>
    </row>
    <row r="15" customFormat="false" ht="15" hidden="false" customHeight="false" outlineLevel="0" collapsed="false">
      <c r="B15" s="9" t="str">
        <f aca="false">IF(PRODUCTOS!$B$13="","",PRODUCTOS!$B$13)</f>
        <v>Jarabe premium (Nutella / pistacho)</v>
      </c>
      <c r="C15" s="40"/>
      <c r="E15" s="50" t="n">
        <f aca="false">IF($B15="","",PRODUCTOS!$H$13)</f>
        <v>238.59649122807</v>
      </c>
      <c r="F15" s="50" t="n">
        <f aca="false">IF($B15="","",PRODUCTOS!$F$13)</f>
        <v>353.982300884956</v>
      </c>
      <c r="G15" s="36" t="str">
        <f aca="false">IF(OR($B15="",N($C15)=0),"",F15/C15-1)</f>
        <v/>
      </c>
      <c r="H15" s="35" t="n">
        <f aca="false">IF($B15="","",F15-E15)</f>
        <v>115.385809656886</v>
      </c>
      <c r="I15" s="36" t="n">
        <f aca="false">IF($B15="","",IFERROR(H15/F15,0))</f>
        <v>0.325964912280702</v>
      </c>
      <c r="J15" s="49" t="n">
        <f aca="false">IF($B15="","",N(PRODUCTOS!$P$13))</f>
        <v>120</v>
      </c>
      <c r="K15" s="36" t="n">
        <f aca="false">IF($B15="","",IFERROR(J15/$J$7,0))</f>
        <v>0.0710059171597633</v>
      </c>
      <c r="L15" s="35" t="n">
        <f aca="false">IF($B15="","",F15*J15)</f>
        <v>42477.8761061947</v>
      </c>
      <c r="M15" s="35" t="n">
        <f aca="false">IF($B15="","",E15*J15)</f>
        <v>28631.5789473684</v>
      </c>
      <c r="N15" s="35" t="n">
        <f aca="false">IF($B15="","",L15-M15)</f>
        <v>13846.2971588263</v>
      </c>
    </row>
    <row r="16" customFormat="false" ht="15" hidden="false" customHeight="false" outlineLevel="0" collapsed="false">
      <c r="B16" s="9" t="str">
        <f aca="false">IF(PRODUCTOS!$B$14="","",PRODUCTOS!$B$14)</f>
        <v>Brownie de la casa (lote de 20)</v>
      </c>
      <c r="C16" s="40"/>
      <c r="E16" s="50" t="n">
        <f aca="false">IF($B16="","",PRODUCTOS!$H$14)</f>
        <v>169.6</v>
      </c>
      <c r="F16" s="50" t="n">
        <f aca="false">IF($B16="","",PRODUCTOS!$F$14)</f>
        <v>1327.43362831858</v>
      </c>
      <c r="G16" s="36" t="str">
        <f aca="false">IF(OR($B16="",N($C16)=0),"",F16/C16-1)</f>
        <v/>
      </c>
      <c r="H16" s="35" t="n">
        <f aca="false">IF($B16="","",F16-E16)</f>
        <v>1157.83362831858</v>
      </c>
      <c r="I16" s="36" t="n">
        <f aca="false">IF($B16="","",IFERROR(H16/F16,0))</f>
        <v>0.872234666666667</v>
      </c>
      <c r="J16" s="49" t="n">
        <f aca="false">IF($B16="","",N(PRODUCTOS!$P$14))</f>
        <v>60</v>
      </c>
      <c r="K16" s="36" t="n">
        <f aca="false">IF($B16="","",IFERROR(J16/$J$7,0))</f>
        <v>0.0355029585798817</v>
      </c>
      <c r="L16" s="35" t="n">
        <f aca="false">IF($B16="","",F16*J16)</f>
        <v>79646.0176991151</v>
      </c>
      <c r="M16" s="35" t="n">
        <f aca="false">IF($B16="","",E16*J16)</f>
        <v>10176</v>
      </c>
      <c r="N16" s="35" t="n">
        <f aca="false">IF($B16="","",L16-M16)</f>
        <v>69470.0176991151</v>
      </c>
    </row>
    <row r="17" customFormat="false" ht="15" hidden="false" customHeight="false" outlineLevel="0" collapsed="false">
      <c r="B17" s="9" t="str">
        <f aca="false">IF(PRODUCTOS!$B$15="","",PRODUCTOS!$B$15)</f>
        <v/>
      </c>
      <c r="C17" s="40"/>
      <c r="E17" s="50" t="str">
        <f aca="false">IF($B17="","",PRODUCTOS!$H$15)</f>
        <v/>
      </c>
      <c r="F17" s="50" t="str">
        <f aca="false">IF($B17="","",PRODUCTOS!$F$15)</f>
        <v/>
      </c>
      <c r="G17" s="36" t="str">
        <f aca="false">IF(OR($B17="",N($C17)=0),"",F17/C17-1)</f>
        <v/>
      </c>
      <c r="H17" s="35" t="str">
        <f aca="false">IF($B17="","",F17-E17)</f>
        <v/>
      </c>
      <c r="I17" s="36" t="str">
        <f aca="false">IF($B17="","",IFERROR(H17/F17,0))</f>
        <v/>
      </c>
      <c r="J17" s="49" t="str">
        <f aca="false">IF($B17="","",N(PRODUCTOS!$P$15))</f>
        <v/>
      </c>
      <c r="K17" s="36" t="str">
        <f aca="false">IF($B17="","",IFERROR(J17/$J$7,0))</f>
        <v/>
      </c>
      <c r="L17" s="35" t="str">
        <f aca="false">IF($B17="","",F17*J17)</f>
        <v/>
      </c>
      <c r="M17" s="35" t="str">
        <f aca="false">IF($B17="","",E17*J17)</f>
        <v/>
      </c>
      <c r="N17" s="35" t="str">
        <f aca="false">IF($B17="","",L17-M17)</f>
        <v/>
      </c>
    </row>
    <row r="18" customFormat="false" ht="15" hidden="false" customHeight="false" outlineLevel="0" collapsed="false">
      <c r="B18" s="9" t="str">
        <f aca="false">IF(PRODUCTOS!$B$16="","",PRODUCTOS!$B$16)</f>
        <v/>
      </c>
      <c r="C18" s="40"/>
      <c r="E18" s="50" t="str">
        <f aca="false">IF($B18="","",PRODUCTOS!$H$16)</f>
        <v/>
      </c>
      <c r="F18" s="50" t="str">
        <f aca="false">IF($B18="","",PRODUCTOS!$F$16)</f>
        <v/>
      </c>
      <c r="G18" s="36" t="str">
        <f aca="false">IF(OR($B18="",N($C18)=0),"",F18/C18-1)</f>
        <v/>
      </c>
      <c r="H18" s="35" t="str">
        <f aca="false">IF($B18="","",F18-E18)</f>
        <v/>
      </c>
      <c r="I18" s="36" t="str">
        <f aca="false">IF($B18="","",IFERROR(H18/F18,0))</f>
        <v/>
      </c>
      <c r="J18" s="49" t="str">
        <f aca="false">IF($B18="","",N(PRODUCTOS!$P$16))</f>
        <v/>
      </c>
      <c r="K18" s="36" t="str">
        <f aca="false">IF($B18="","",IFERROR(J18/$J$7,0))</f>
        <v/>
      </c>
      <c r="L18" s="35" t="str">
        <f aca="false">IF($B18="","",F18*J18)</f>
        <v/>
      </c>
      <c r="M18" s="35" t="str">
        <f aca="false">IF($B18="","",E18*J18)</f>
        <v/>
      </c>
      <c r="N18" s="35" t="str">
        <f aca="false">IF($B18="","",L18-M18)</f>
        <v/>
      </c>
    </row>
    <row r="19" customFormat="false" ht="15" hidden="false" customHeight="false" outlineLevel="0" collapsed="false">
      <c r="B19" s="9" t="str">
        <f aca="false">IF(PRODUCTOS!$B$17="","",PRODUCTOS!$B$17)</f>
        <v/>
      </c>
      <c r="C19" s="40"/>
      <c r="E19" s="50" t="str">
        <f aca="false">IF($B19="","",PRODUCTOS!$H$17)</f>
        <v/>
      </c>
      <c r="F19" s="50" t="str">
        <f aca="false">IF($B19="","",PRODUCTOS!$F$17)</f>
        <v/>
      </c>
      <c r="G19" s="36" t="str">
        <f aca="false">IF(OR($B19="",N($C19)=0),"",F19/C19-1)</f>
        <v/>
      </c>
      <c r="H19" s="35" t="str">
        <f aca="false">IF($B19="","",F19-E19)</f>
        <v/>
      </c>
      <c r="I19" s="36" t="str">
        <f aca="false">IF($B19="","",IFERROR(H19/F19,0))</f>
        <v/>
      </c>
      <c r="J19" s="49" t="str">
        <f aca="false">IF($B19="","",N(PRODUCTOS!$P$17))</f>
        <v/>
      </c>
      <c r="K19" s="36" t="str">
        <f aca="false">IF($B19="","",IFERROR(J19/$J$7,0))</f>
        <v/>
      </c>
      <c r="L19" s="35" t="str">
        <f aca="false">IF($B19="","",F19*J19)</f>
        <v/>
      </c>
      <c r="M19" s="35" t="str">
        <f aca="false">IF($B19="","",E19*J19)</f>
        <v/>
      </c>
      <c r="N19" s="35" t="str">
        <f aca="false">IF($B19="","",L19-M19)</f>
        <v/>
      </c>
    </row>
    <row r="20" customFormat="false" ht="15" hidden="false" customHeight="false" outlineLevel="0" collapsed="false">
      <c r="B20" s="9" t="str">
        <f aca="false">IF(PRODUCTOS!$B$18="","",PRODUCTOS!$B$18)</f>
        <v/>
      </c>
      <c r="C20" s="40"/>
      <c r="E20" s="50" t="str">
        <f aca="false">IF($B20="","",PRODUCTOS!$H$18)</f>
        <v/>
      </c>
      <c r="F20" s="50" t="str">
        <f aca="false">IF($B20="","",PRODUCTOS!$F$18)</f>
        <v/>
      </c>
      <c r="G20" s="36" t="str">
        <f aca="false">IF(OR($B20="",N($C20)=0),"",F20/C20-1)</f>
        <v/>
      </c>
      <c r="H20" s="35" t="str">
        <f aca="false">IF($B20="","",F20-E20)</f>
        <v/>
      </c>
      <c r="I20" s="36" t="str">
        <f aca="false">IF($B20="","",IFERROR(H20/F20,0))</f>
        <v/>
      </c>
      <c r="J20" s="49" t="str">
        <f aca="false">IF($B20="","",N(PRODUCTOS!$P$18))</f>
        <v/>
      </c>
      <c r="K20" s="36" t="str">
        <f aca="false">IF($B20="","",IFERROR(J20/$J$7,0))</f>
        <v/>
      </c>
      <c r="L20" s="35" t="str">
        <f aca="false">IF($B20="","",F20*J20)</f>
        <v/>
      </c>
      <c r="M20" s="35" t="str">
        <f aca="false">IF($B20="","",E20*J20)</f>
        <v/>
      </c>
      <c r="N20" s="35" t="str">
        <f aca="false">IF($B20="","",L20-M20)</f>
        <v/>
      </c>
    </row>
    <row r="21" customFormat="false" ht="15" hidden="false" customHeight="false" outlineLevel="0" collapsed="false">
      <c r="B21" s="9" t="str">
        <f aca="false">IF(PRODUCTOS!$B$19="","",PRODUCTOS!$B$19)</f>
        <v/>
      </c>
      <c r="C21" s="40"/>
      <c r="E21" s="50" t="str">
        <f aca="false">IF($B21="","",PRODUCTOS!$H$19)</f>
        <v/>
      </c>
      <c r="F21" s="50" t="str">
        <f aca="false">IF($B21="","",PRODUCTOS!$F$19)</f>
        <v/>
      </c>
      <c r="G21" s="36" t="str">
        <f aca="false">IF(OR($B21="",N($C21)=0),"",F21/C21-1)</f>
        <v/>
      </c>
      <c r="H21" s="35" t="str">
        <f aca="false">IF($B21="","",F21-E21)</f>
        <v/>
      </c>
      <c r="I21" s="36" t="str">
        <f aca="false">IF($B21="","",IFERROR(H21/F21,0))</f>
        <v/>
      </c>
      <c r="J21" s="49" t="str">
        <f aca="false">IF($B21="","",N(PRODUCTOS!$P$19))</f>
        <v/>
      </c>
      <c r="K21" s="36" t="str">
        <f aca="false">IF($B21="","",IFERROR(J21/$J$7,0))</f>
        <v/>
      </c>
      <c r="L21" s="35" t="str">
        <f aca="false">IF($B21="","",F21*J21)</f>
        <v/>
      </c>
      <c r="M21" s="35" t="str">
        <f aca="false">IF($B21="","",E21*J21)</f>
        <v/>
      </c>
      <c r="N21" s="35" t="str">
        <f aca="false">IF($B21="","",L21-M21)</f>
        <v/>
      </c>
    </row>
    <row r="22" customFormat="false" ht="15" hidden="false" customHeight="false" outlineLevel="0" collapsed="false">
      <c r="B22" s="9" t="str">
        <f aca="false">IF(PRODUCTOS!$B$20="","",PRODUCTOS!$B$20)</f>
        <v/>
      </c>
      <c r="C22" s="40"/>
      <c r="E22" s="50" t="str">
        <f aca="false">IF($B22="","",PRODUCTOS!$H$20)</f>
        <v/>
      </c>
      <c r="F22" s="50" t="str">
        <f aca="false">IF($B22="","",PRODUCTOS!$F$20)</f>
        <v/>
      </c>
      <c r="G22" s="36" t="str">
        <f aca="false">IF(OR($B22="",N($C22)=0),"",F22/C22-1)</f>
        <v/>
      </c>
      <c r="H22" s="35" t="str">
        <f aca="false">IF($B22="","",F22-E22)</f>
        <v/>
      </c>
      <c r="I22" s="36" t="str">
        <f aca="false">IF($B22="","",IFERROR(H22/F22,0))</f>
        <v/>
      </c>
      <c r="J22" s="49" t="str">
        <f aca="false">IF($B22="","",N(PRODUCTOS!$P$20))</f>
        <v/>
      </c>
      <c r="K22" s="36" t="str">
        <f aca="false">IF($B22="","",IFERROR(J22/$J$7,0))</f>
        <v/>
      </c>
      <c r="L22" s="35" t="str">
        <f aca="false">IF($B22="","",F22*J22)</f>
        <v/>
      </c>
      <c r="M22" s="35" t="str">
        <f aca="false">IF($B22="","",E22*J22)</f>
        <v/>
      </c>
      <c r="N22" s="35" t="str">
        <f aca="false">IF($B22="","",L22-M22)</f>
        <v/>
      </c>
    </row>
    <row r="23" customFormat="false" ht="15" hidden="false" customHeight="false" outlineLevel="0" collapsed="false">
      <c r="B23" s="9" t="str">
        <f aca="false">IF(PRODUCTOS!$B$21="","",PRODUCTOS!$B$21)</f>
        <v/>
      </c>
      <c r="C23" s="40"/>
      <c r="E23" s="50" t="str">
        <f aca="false">IF($B23="","",PRODUCTOS!$H$21)</f>
        <v/>
      </c>
      <c r="F23" s="50" t="str">
        <f aca="false">IF($B23="","",PRODUCTOS!$F$21)</f>
        <v/>
      </c>
      <c r="G23" s="36" t="str">
        <f aca="false">IF(OR($B23="",N($C23)=0),"",F23/C23-1)</f>
        <v/>
      </c>
      <c r="H23" s="35" t="str">
        <f aca="false">IF($B23="","",F23-E23)</f>
        <v/>
      </c>
      <c r="I23" s="36" t="str">
        <f aca="false">IF($B23="","",IFERROR(H23/F23,0))</f>
        <v/>
      </c>
      <c r="J23" s="49" t="str">
        <f aca="false">IF($B23="","",N(PRODUCTOS!$P$21))</f>
        <v/>
      </c>
      <c r="K23" s="36" t="str">
        <f aca="false">IF($B23="","",IFERROR(J23/$J$7,0))</f>
        <v/>
      </c>
      <c r="L23" s="35" t="str">
        <f aca="false">IF($B23="","",F23*J23)</f>
        <v/>
      </c>
      <c r="M23" s="35" t="str">
        <f aca="false">IF($B23="","",E23*J23)</f>
        <v/>
      </c>
      <c r="N23" s="35" t="str">
        <f aca="false">IF($B23="","",L23-M23)</f>
        <v/>
      </c>
    </row>
    <row r="24" customFormat="false" ht="15" hidden="false" customHeight="false" outlineLevel="0" collapsed="false">
      <c r="B24" s="9" t="str">
        <f aca="false">IF(PRODUCTOS!$B$22="","",PRODUCTOS!$B$22)</f>
        <v/>
      </c>
      <c r="C24" s="40"/>
      <c r="E24" s="50" t="str">
        <f aca="false">IF($B24="","",PRODUCTOS!$H$22)</f>
        <v/>
      </c>
      <c r="F24" s="50" t="str">
        <f aca="false">IF($B24="","",PRODUCTOS!$F$22)</f>
        <v/>
      </c>
      <c r="G24" s="36" t="str">
        <f aca="false">IF(OR($B24="",N($C24)=0),"",F24/C24-1)</f>
        <v/>
      </c>
      <c r="H24" s="35" t="str">
        <f aca="false">IF($B24="","",F24-E24)</f>
        <v/>
      </c>
      <c r="I24" s="36" t="str">
        <f aca="false">IF($B24="","",IFERROR(H24/F24,0))</f>
        <v/>
      </c>
      <c r="J24" s="49" t="str">
        <f aca="false">IF($B24="","",N(PRODUCTOS!$P$22))</f>
        <v/>
      </c>
      <c r="K24" s="36" t="str">
        <f aca="false">IF($B24="","",IFERROR(J24/$J$7,0))</f>
        <v/>
      </c>
      <c r="L24" s="35" t="str">
        <f aca="false">IF($B24="","",F24*J24)</f>
        <v/>
      </c>
      <c r="M24" s="35" t="str">
        <f aca="false">IF($B24="","",E24*J24)</f>
        <v/>
      </c>
      <c r="N24" s="35" t="str">
        <f aca="false">IF($B24="","",L24-M24)</f>
        <v/>
      </c>
    </row>
    <row r="25" customFormat="false" ht="15" hidden="false" customHeight="false" outlineLevel="0" collapsed="false">
      <c r="B25" s="9" t="str">
        <f aca="false">IF(PRODUCTOS!$B$23="","",PRODUCTOS!$B$23)</f>
        <v/>
      </c>
      <c r="C25" s="40"/>
      <c r="E25" s="50" t="str">
        <f aca="false">IF($B25="","",PRODUCTOS!$H$23)</f>
        <v/>
      </c>
      <c r="F25" s="50" t="str">
        <f aca="false">IF($B25="","",PRODUCTOS!$F$23)</f>
        <v/>
      </c>
      <c r="G25" s="36" t="str">
        <f aca="false">IF(OR($B25="",N($C25)=0),"",F25/C25-1)</f>
        <v/>
      </c>
      <c r="H25" s="35" t="str">
        <f aca="false">IF($B25="","",F25-E25)</f>
        <v/>
      </c>
      <c r="I25" s="36" t="str">
        <f aca="false">IF($B25="","",IFERROR(H25/F25,0))</f>
        <v/>
      </c>
      <c r="J25" s="49" t="str">
        <f aca="false">IF($B25="","",N(PRODUCTOS!$P$23))</f>
        <v/>
      </c>
      <c r="K25" s="36" t="str">
        <f aca="false">IF($B25="","",IFERROR(J25/$J$7,0))</f>
        <v/>
      </c>
      <c r="L25" s="35" t="str">
        <f aca="false">IF($B25="","",F25*J25)</f>
        <v/>
      </c>
      <c r="M25" s="35" t="str">
        <f aca="false">IF($B25="","",E25*J25)</f>
        <v/>
      </c>
      <c r="N25" s="35" t="str">
        <f aca="false">IF($B25="","",L25-M25)</f>
        <v/>
      </c>
    </row>
    <row r="26" customFormat="false" ht="15" hidden="false" customHeight="false" outlineLevel="0" collapsed="false">
      <c r="B26" s="9" t="str">
        <f aca="false">IF(PRODUCTOS!$B$24="","",PRODUCTOS!$B$24)</f>
        <v/>
      </c>
      <c r="C26" s="40"/>
      <c r="E26" s="50" t="str">
        <f aca="false">IF($B26="","",PRODUCTOS!$H$24)</f>
        <v/>
      </c>
      <c r="F26" s="50" t="str">
        <f aca="false">IF($B26="","",PRODUCTOS!$F$24)</f>
        <v/>
      </c>
      <c r="G26" s="36" t="str">
        <f aca="false">IF(OR($B26="",N($C26)=0),"",F26/C26-1)</f>
        <v/>
      </c>
      <c r="H26" s="35" t="str">
        <f aca="false">IF($B26="","",F26-E26)</f>
        <v/>
      </c>
      <c r="I26" s="36" t="str">
        <f aca="false">IF($B26="","",IFERROR(H26/F26,0))</f>
        <v/>
      </c>
      <c r="J26" s="49" t="str">
        <f aca="false">IF($B26="","",N(PRODUCTOS!$P$24))</f>
        <v/>
      </c>
      <c r="K26" s="36" t="str">
        <f aca="false">IF($B26="","",IFERROR(J26/$J$7,0))</f>
        <v/>
      </c>
      <c r="L26" s="35" t="str">
        <f aca="false">IF($B26="","",F26*J26)</f>
        <v/>
      </c>
      <c r="M26" s="35" t="str">
        <f aca="false">IF($B26="","",E26*J26)</f>
        <v/>
      </c>
      <c r="N26" s="35" t="str">
        <f aca="false">IF($B26="","",L26-M26)</f>
        <v/>
      </c>
    </row>
    <row r="27" customFormat="false" ht="15" hidden="false" customHeight="false" outlineLevel="0" collapsed="false">
      <c r="B27" s="9" t="str">
        <f aca="false">IF(PRODUCTOS!$B$25="","",PRODUCTOS!$B$25)</f>
        <v/>
      </c>
      <c r="C27" s="40"/>
      <c r="E27" s="50" t="str">
        <f aca="false">IF($B27="","",PRODUCTOS!$H$25)</f>
        <v/>
      </c>
      <c r="F27" s="50" t="str">
        <f aca="false">IF($B27="","",PRODUCTOS!$F$25)</f>
        <v/>
      </c>
      <c r="G27" s="36" t="str">
        <f aca="false">IF(OR($B27="",N($C27)=0),"",F27/C27-1)</f>
        <v/>
      </c>
      <c r="H27" s="35" t="str">
        <f aca="false">IF($B27="","",F27-E27)</f>
        <v/>
      </c>
      <c r="I27" s="36" t="str">
        <f aca="false">IF($B27="","",IFERROR(H27/F27,0))</f>
        <v/>
      </c>
      <c r="J27" s="49" t="str">
        <f aca="false">IF($B27="","",N(PRODUCTOS!$P$25))</f>
        <v/>
      </c>
      <c r="K27" s="36" t="str">
        <f aca="false">IF($B27="","",IFERROR(J27/$J$7,0))</f>
        <v/>
      </c>
      <c r="L27" s="35" t="str">
        <f aca="false">IF($B27="","",F27*J27)</f>
        <v/>
      </c>
      <c r="M27" s="35" t="str">
        <f aca="false">IF($B27="","",E27*J27)</f>
        <v/>
      </c>
      <c r="N27" s="35" t="str">
        <f aca="false">IF($B27="","",L27-M27)</f>
        <v/>
      </c>
    </row>
    <row r="30" customFormat="false" ht="15" hidden="false" customHeight="false" outlineLevel="0" collapsed="false">
      <c r="B30" s="5" t="s">
        <v>529</v>
      </c>
    </row>
    <row r="31" customFormat="false" ht="15" hidden="false" customHeight="false" outlineLevel="0" collapsed="false">
      <c r="B31" s="7" t="s">
        <v>530</v>
      </c>
      <c r="C31" s="34" t="n">
        <f aca="false">J7</f>
        <v>1690</v>
      </c>
    </row>
    <row r="32" customFormat="false" ht="15" hidden="false" customHeight="false" outlineLevel="0" collapsed="false">
      <c r="B32" s="7" t="s">
        <v>526</v>
      </c>
      <c r="C32" s="35" t="n">
        <f aca="false">L7</f>
        <v>4015929.20353982</v>
      </c>
    </row>
    <row r="33" customFormat="false" ht="15" hidden="false" customHeight="false" outlineLevel="0" collapsed="false">
      <c r="B33" s="7" t="s">
        <v>531</v>
      </c>
      <c r="C33" s="35" t="n">
        <f aca="false">M7</f>
        <v>1428134.51792658</v>
      </c>
    </row>
    <row r="34" customFormat="false" ht="15" hidden="false" customHeight="false" outlineLevel="0" collapsed="false">
      <c r="B34" s="63" t="s">
        <v>174</v>
      </c>
      <c r="C34" s="59" t="n">
        <f aca="false">N7</f>
        <v>2587794.68561325</v>
      </c>
    </row>
    <row r="35" customFormat="false" ht="15" hidden="false" customHeight="false" outlineLevel="0" collapsed="false">
      <c r="B35" s="10" t="s">
        <v>532</v>
      </c>
      <c r="C35" s="52" t="n">
        <f aca="false">IFERROR(C34/C32,0)</f>
        <v>0.644382546219252</v>
      </c>
      <c r="E35" s="2" t="str">
        <f aca="false">"Por cada colón que vendo me quedan "&amp;TEXT(C35*100,"0")&amp;" céntimos para pagar gastos operativos y generar utilidad."</f>
        <v>Por cada colón que vendo me quedan 64 céntimos para pagar gastos operativos y generar utilidad.</v>
      </c>
    </row>
    <row r="37" customFormat="false" ht="15" hidden="false" customHeight="false" outlineLevel="0" collapsed="false">
      <c r="B37" s="63" t="s">
        <v>533</v>
      </c>
      <c r="C37" s="59" t="n">
        <f aca="false">SUM(C38:C50)</f>
        <v>2516392.2</v>
      </c>
    </row>
    <row r="38" customFormat="false" ht="15" hidden="false" customHeight="false" outlineLevel="0" collapsed="false">
      <c r="B38" s="7" t="s">
        <v>534</v>
      </c>
      <c r="C38" s="50" t="n">
        <f aca="false">SUMIFS(PLANILLA!$R$6:$R$505,PLANILLA!$S$6:$S$505,MAX(PLANILLA!$S$6:$S$505))</f>
        <v>1689725.2</v>
      </c>
    </row>
    <row r="39" customFormat="false" ht="15" hidden="false" customHeight="false" outlineLevel="0" collapsed="false">
      <c r="B39" s="7" t="s">
        <v>535</v>
      </c>
      <c r="C39" s="40" t="n">
        <v>450000</v>
      </c>
    </row>
    <row r="40" customFormat="false" ht="15" hidden="false" customHeight="false" outlineLevel="0" collapsed="false">
      <c r="B40" s="7" t="s">
        <v>536</v>
      </c>
      <c r="C40" s="40" t="n">
        <v>85000</v>
      </c>
    </row>
    <row r="41" customFormat="false" ht="15" hidden="false" customHeight="false" outlineLevel="0" collapsed="false">
      <c r="B41" s="7" t="s">
        <v>537</v>
      </c>
      <c r="C41" s="40" t="n">
        <v>20000</v>
      </c>
    </row>
    <row r="42" customFormat="false" ht="15" hidden="false" customHeight="false" outlineLevel="0" collapsed="false">
      <c r="B42" s="7" t="s">
        <v>538</v>
      </c>
      <c r="C42" s="40" t="n">
        <v>25000</v>
      </c>
    </row>
    <row r="43" customFormat="false" ht="15" hidden="false" customHeight="false" outlineLevel="0" collapsed="false">
      <c r="B43" s="7" t="s">
        <v>539</v>
      </c>
      <c r="C43" s="40" t="n">
        <v>10000</v>
      </c>
    </row>
    <row r="44" customFormat="false" ht="15" hidden="false" customHeight="false" outlineLevel="0" collapsed="false">
      <c r="B44" s="7" t="s">
        <v>540</v>
      </c>
      <c r="C44" s="40" t="n">
        <v>40000</v>
      </c>
    </row>
    <row r="45" customFormat="false" ht="15" hidden="false" customHeight="false" outlineLevel="0" collapsed="false">
      <c r="B45" s="7" t="s">
        <v>541</v>
      </c>
      <c r="C45" s="40" t="n">
        <v>60000</v>
      </c>
    </row>
    <row r="46" customFormat="false" ht="15" hidden="false" customHeight="false" outlineLevel="0" collapsed="false">
      <c r="B46" s="7" t="s">
        <v>542</v>
      </c>
      <c r="C46" s="40" t="n">
        <v>25000</v>
      </c>
    </row>
    <row r="47" customFormat="false" ht="15" hidden="false" customHeight="false" outlineLevel="0" collapsed="false">
      <c r="B47" s="7" t="s">
        <v>543</v>
      </c>
      <c r="C47" s="40" t="n">
        <v>20000</v>
      </c>
    </row>
    <row r="48" customFormat="false" ht="15" hidden="false" customHeight="false" outlineLevel="0" collapsed="false">
      <c r="B48" s="7" t="s">
        <v>544</v>
      </c>
      <c r="C48" s="40" t="n">
        <v>30000</v>
      </c>
    </row>
    <row r="49" customFormat="false" ht="15" hidden="false" customHeight="false" outlineLevel="0" collapsed="false">
      <c r="B49" s="7" t="s">
        <v>545</v>
      </c>
      <c r="C49" s="40" t="n">
        <v>41667</v>
      </c>
    </row>
    <row r="50" customFormat="false" ht="15" hidden="false" customHeight="false" outlineLevel="0" collapsed="false">
      <c r="B50" s="7" t="s">
        <v>546</v>
      </c>
      <c r="C50" s="40" t="n">
        <v>20000</v>
      </c>
    </row>
    <row r="52" customFormat="false" ht="15" hidden="false" customHeight="false" outlineLevel="0" collapsed="false">
      <c r="B52" s="10" t="s">
        <v>547</v>
      </c>
      <c r="C52" s="38" t="n">
        <f aca="false">C34-C37</f>
        <v>71402.4856132451</v>
      </c>
    </row>
    <row r="53" customFormat="false" ht="15" hidden="false" customHeight="false" outlineLevel="0" collapsed="false">
      <c r="B53" s="7" t="s">
        <v>548</v>
      </c>
      <c r="C53" s="36" t="n">
        <f aca="false">IFERROR(C52/C32,0)</f>
        <v>0.0177798168230425</v>
      </c>
    </row>
    <row r="54" customFormat="false" ht="15" hidden="false" customHeight="false" outlineLevel="0" collapsed="false">
      <c r="B54" s="10" t="s">
        <v>549</v>
      </c>
      <c r="C54" s="38" t="n">
        <f aca="false">IFERROR(C37/C35,0)</f>
        <v>3905121.60014929</v>
      </c>
      <c r="E54" s="2" t="s">
        <v>550</v>
      </c>
    </row>
    <row r="55" customFormat="false" ht="15" hidden="false" customHeight="false" outlineLevel="0" collapsed="false">
      <c r="B55" s="10" t="s">
        <v>551</v>
      </c>
      <c r="C55" s="64" t="n">
        <f aca="false">IFERROR(C37/H7,0)</f>
        <v>1643.36948431139</v>
      </c>
      <c r="E55" s="2" t="s">
        <v>552</v>
      </c>
    </row>
    <row r="56" customFormat="false" ht="15" hidden="false" customHeight="false" outlineLevel="0" collapsed="false">
      <c r="B56" s="7" t="s">
        <v>553</v>
      </c>
      <c r="C56" s="35" t="n">
        <f aca="false">IFERROR(C54/DIAS_OPERACION,0)</f>
        <v>150196.984621127</v>
      </c>
    </row>
    <row r="57" customFormat="false" ht="15" hidden="false" customHeight="false" outlineLevel="0" collapsed="false">
      <c r="B57" s="7" t="s">
        <v>554</v>
      </c>
      <c r="C57" s="35" t="n">
        <f aca="false">C56*(1+IVA_VENTAS)</f>
        <v>169722.592621873</v>
      </c>
    </row>
    <row r="58" customFormat="false" ht="15" hidden="false" customHeight="false" outlineLevel="0" collapsed="false">
      <c r="B58" s="7" t="s">
        <v>555</v>
      </c>
      <c r="C58" s="36" t="n">
        <f aca="false">IFERROR((C32-C54)/C32,0)</f>
        <v>0.0275920211175194</v>
      </c>
    </row>
    <row r="59" customFormat="false" ht="15" hidden="false" customHeight="false" outlineLevel="0" collapsed="false">
      <c r="B59" s="7" t="s">
        <v>556</v>
      </c>
      <c r="C59" s="40" t="n">
        <v>300000</v>
      </c>
    </row>
    <row r="60" customFormat="false" ht="15" hidden="false" customHeight="false" outlineLevel="0" collapsed="false">
      <c r="B60" s="10" t="s">
        <v>557</v>
      </c>
      <c r="C60" s="38" t="n">
        <f aca="false">IFERROR((C37+C59)/C35,0)</f>
        <v>4370683.55827521</v>
      </c>
    </row>
    <row r="63" customFormat="false" ht="15" hidden="false" customHeight="false" outlineLevel="0" collapsed="false">
      <c r="B63" s="5" t="s">
        <v>558</v>
      </c>
    </row>
    <row r="64" customFormat="false" ht="15" hidden="false" customHeight="false" outlineLevel="0" collapsed="false">
      <c r="B64" s="7" t="s">
        <v>559</v>
      </c>
      <c r="C64" s="40" t="n">
        <v>1000</v>
      </c>
    </row>
    <row r="65" customFormat="false" ht="15" hidden="false" customHeight="false" outlineLevel="0" collapsed="false">
      <c r="B65" s="7" t="s">
        <v>560</v>
      </c>
      <c r="C65" s="40" t="n">
        <v>400000</v>
      </c>
    </row>
    <row r="66" customFormat="false" ht="15" hidden="false" customHeight="false" outlineLevel="0" collapsed="false">
      <c r="B66" s="7" t="s">
        <v>561</v>
      </c>
      <c r="C66" s="40" t="n">
        <v>200000</v>
      </c>
    </row>
    <row r="67" customFormat="false" ht="15" hidden="false" customHeight="false" outlineLevel="0" collapsed="false">
      <c r="B67" s="7" t="s">
        <v>562</v>
      </c>
      <c r="C67" s="42" t="n">
        <v>400</v>
      </c>
    </row>
    <row r="68" customFormat="false" ht="15" hidden="false" customHeight="false" outlineLevel="0" collapsed="false">
      <c r="B68" s="7" t="s">
        <v>563</v>
      </c>
      <c r="C68" s="38" t="n">
        <f aca="false">C64+IFERROR((C65+C66)/C67,0)</f>
        <v>2500</v>
      </c>
    </row>
    <row r="69" customFormat="false" ht="15" hidden="false" customHeight="false" outlineLevel="0" collapsed="false">
      <c r="B69" s="7" t="s">
        <v>564</v>
      </c>
      <c r="C69" s="65" t="n">
        <f aca="false">C68-C64</f>
        <v>1500</v>
      </c>
    </row>
    <row r="70" customFormat="false" ht="15" hidden="false" customHeight="false" outlineLevel="0" collapsed="false">
      <c r="B70" s="7" t="s">
        <v>373</v>
      </c>
      <c r="C70" s="66" t="n">
        <f aca="false">IFERROR(C69/C68,0)</f>
        <v>0.6</v>
      </c>
    </row>
    <row r="71" customFormat="false" ht="15" hidden="false" customHeight="false" outlineLevel="0" collapsed="false">
      <c r="B71" s="7" t="s">
        <v>565</v>
      </c>
      <c r="C71" s="65" t="n">
        <f aca="false">C69*C67</f>
        <v>600000</v>
      </c>
    </row>
    <row r="72" customFormat="false" ht="15" hidden="false" customHeight="false" outlineLevel="0" collapsed="false">
      <c r="B72" s="7" t="s">
        <v>566</v>
      </c>
      <c r="C72" s="38" t="n">
        <f aca="false">C71-C65</f>
        <v>200000</v>
      </c>
    </row>
    <row r="73" customFormat="false" ht="15" hidden="false" customHeight="false" outlineLevel="0" collapsed="false">
      <c r="B73" s="7" t="s">
        <v>567</v>
      </c>
      <c r="C73" s="42" t="n">
        <v>200</v>
      </c>
    </row>
    <row r="74" customFormat="false" ht="15" hidden="false" customHeight="false" outlineLevel="0" collapsed="false">
      <c r="B74" s="7" t="s">
        <v>568</v>
      </c>
      <c r="C74" s="38" t="n">
        <f aca="false">C69*C73-C65</f>
        <v>-100000</v>
      </c>
    </row>
    <row r="76" customFormat="false" ht="15" hidden="false" customHeight="false" outlineLevel="0" collapsed="false">
      <c r="B76" s="5" t="s">
        <v>569</v>
      </c>
    </row>
    <row r="77" customFormat="false" ht="15" hidden="false" customHeight="false" outlineLevel="0" collapsed="false">
      <c r="B77" s="7" t="s">
        <v>570</v>
      </c>
      <c r="C77" s="40" t="n">
        <v>1000</v>
      </c>
    </row>
    <row r="78" customFormat="false" ht="15" hidden="false" customHeight="false" outlineLevel="0" collapsed="false">
      <c r="B78" s="7" t="s">
        <v>571</v>
      </c>
      <c r="C78" s="41" t="n">
        <v>0.5</v>
      </c>
    </row>
    <row r="79" customFormat="false" ht="15" hidden="false" customHeight="false" outlineLevel="0" collapsed="false">
      <c r="B79" s="7" t="s">
        <v>572</v>
      </c>
      <c r="C79" s="38" t="n">
        <f aca="false">C77*(1+C78)</f>
        <v>1500</v>
      </c>
    </row>
    <row r="80" customFormat="false" ht="15" hidden="false" customHeight="false" outlineLevel="0" collapsed="false">
      <c r="B80" s="7" t="s">
        <v>573</v>
      </c>
      <c r="C80" s="66" t="n">
        <f aca="false">IFERROR((C79-C77)/C79,0)</f>
        <v>0.333333333333333</v>
      </c>
      <c r="E80" s="2" t="s">
        <v>574</v>
      </c>
    </row>
    <row r="81" customFormat="false" ht="15" hidden="false" customHeight="false" outlineLevel="0" collapsed="false">
      <c r="B81" s="7" t="s">
        <v>575</v>
      </c>
      <c r="C81" s="41" t="n">
        <v>0.5</v>
      </c>
    </row>
    <row r="82" customFormat="false" ht="15" hidden="false" customHeight="false" outlineLevel="0" collapsed="false">
      <c r="B82" s="7" t="s">
        <v>576</v>
      </c>
      <c r="C82" s="38" t="n">
        <f aca="false">IFERROR(C77/(1-C81),0)</f>
        <v>2000</v>
      </c>
    </row>
    <row r="83" customFormat="false" ht="15" hidden="false" customHeight="false" outlineLevel="0" collapsed="false">
      <c r="B83" s="7" t="s">
        <v>577</v>
      </c>
      <c r="C83" s="65" t="n">
        <f aca="false">C82-C77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5" min="3" style="0" width="12"/>
  </cols>
  <sheetData>
    <row r="1" customFormat="false" ht="19.7" hidden="false" customHeight="false" outlineLevel="0" collapsed="false">
      <c r="A1" s="1" t="s">
        <v>578</v>
      </c>
    </row>
    <row r="2" customFormat="false" ht="15" hidden="false" customHeight="false" outlineLevel="0" collapsed="false">
      <c r="A2" s="2" t="s">
        <v>579</v>
      </c>
    </row>
    <row r="5" customFormat="false" ht="15" hidden="false" customHeight="false" outlineLevel="0" collapsed="false">
      <c r="B5" s="15" t="s">
        <v>489</v>
      </c>
      <c r="C5" s="56" t="n">
        <f aca="false">INICIO_FLUJO</f>
        <v>46327</v>
      </c>
      <c r="D5" s="56" t="n">
        <f aca="false">EDATE(C5,1)</f>
        <v>46357</v>
      </c>
      <c r="E5" s="56" t="n">
        <f aca="false">EDATE(D5,1)</f>
        <v>46388</v>
      </c>
      <c r="F5" s="56" t="n">
        <f aca="false">EDATE(E5,1)</f>
        <v>46419</v>
      </c>
      <c r="G5" s="56" t="n">
        <f aca="false">EDATE(F5,1)</f>
        <v>46447</v>
      </c>
      <c r="H5" s="56" t="n">
        <f aca="false">EDATE(G5,1)</f>
        <v>46478</v>
      </c>
      <c r="I5" s="56" t="n">
        <f aca="false">EDATE(H5,1)</f>
        <v>46508</v>
      </c>
      <c r="J5" s="56" t="n">
        <f aca="false">EDATE(I5,1)</f>
        <v>46539</v>
      </c>
      <c r="K5" s="56" t="n">
        <f aca="false">EDATE(J5,1)</f>
        <v>46569</v>
      </c>
      <c r="L5" s="56" t="n">
        <f aca="false">EDATE(K5,1)</f>
        <v>46600</v>
      </c>
      <c r="M5" s="56" t="n">
        <f aca="false">EDATE(L5,1)</f>
        <v>46631</v>
      </c>
      <c r="N5" s="56" t="n">
        <f aca="false">EDATE(M5,1)</f>
        <v>46661</v>
      </c>
      <c r="O5" s="15" t="s">
        <v>580</v>
      </c>
    </row>
    <row r="6" customFormat="false" ht="15" hidden="false" customHeight="false" outlineLevel="0" collapsed="false">
      <c r="B6" s="10" t="s">
        <v>581</v>
      </c>
      <c r="C6" s="38" t="n">
        <f aca="false">EFECTIVO_INICIAL</f>
        <v>1500000</v>
      </c>
      <c r="D6" s="38" t="n">
        <f aca="false">C25</f>
        <v>1608122.11989391</v>
      </c>
      <c r="E6" s="38" t="n">
        <f aca="false">D25</f>
        <v>562199.393667533</v>
      </c>
      <c r="F6" s="38" t="n">
        <f aca="false">E25</f>
        <v>780582.228516633</v>
      </c>
      <c r="G6" s="38" t="n">
        <f aca="false">F25</f>
        <v>1050975.96606271</v>
      </c>
      <c r="H6" s="38" t="n">
        <f aca="false">G25</f>
        <v>1374420.82435972</v>
      </c>
      <c r="I6" s="38" t="n">
        <f aca="false">H25</f>
        <v>1751977.82582266</v>
      </c>
      <c r="J6" s="38" t="n">
        <f aca="false">I25</f>
        <v>2184729.21331486</v>
      </c>
      <c r="K6" s="38" t="n">
        <f aca="false">J25</f>
        <v>2673778.87455691</v>
      </c>
      <c r="L6" s="38" t="n">
        <f aca="false">K25</f>
        <v>3220252.77502379</v>
      </c>
      <c r="M6" s="38" t="n">
        <f aca="false">L25</f>
        <v>3825299.39950002</v>
      </c>
      <c r="N6" s="38" t="n">
        <f aca="false">M25</f>
        <v>4490090.20246577</v>
      </c>
      <c r="O6" s="59" t="n">
        <f aca="false">C6</f>
        <v>1500000</v>
      </c>
    </row>
    <row r="7" customFormat="false" ht="15" hidden="false" customHeight="false" outlineLevel="0" collapsed="false">
      <c r="B7" s="57" t="s">
        <v>582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</row>
    <row r="8" customFormat="false" ht="15" hidden="false" customHeight="false" outlineLevel="0" collapsed="false">
      <c r="B8" s="7" t="s">
        <v>583</v>
      </c>
      <c r="C8" s="40" t="n">
        <f aca="false">PUNTO_EQUILIBRIO!$C$32*(1+IVA_VENTAS)</f>
        <v>4538000</v>
      </c>
      <c r="D8" s="40" t="n">
        <f aca="false">C8*(1+CRECIMIENTO)</f>
        <v>4628760</v>
      </c>
      <c r="E8" s="40" t="n">
        <f aca="false">D8*(1+CRECIMIENTO)</f>
        <v>4721335.2</v>
      </c>
      <c r="F8" s="40" t="n">
        <f aca="false">E8*(1+CRECIMIENTO)</f>
        <v>4815761.904</v>
      </c>
      <c r="G8" s="40" t="n">
        <f aca="false">F8*(1+CRECIMIENTO)</f>
        <v>4912077.14208</v>
      </c>
      <c r="H8" s="40" t="n">
        <f aca="false">G8*(1+CRECIMIENTO)</f>
        <v>5010318.6849216</v>
      </c>
      <c r="I8" s="40" t="n">
        <f aca="false">H8*(1+CRECIMIENTO)</f>
        <v>5110525.05862003</v>
      </c>
      <c r="J8" s="40" t="n">
        <f aca="false">I8*(1+CRECIMIENTO)</f>
        <v>5212735.55979243</v>
      </c>
      <c r="K8" s="40" t="n">
        <f aca="false">J8*(1+CRECIMIENTO)</f>
        <v>5316990.27098828</v>
      </c>
      <c r="L8" s="40" t="n">
        <f aca="false">K8*(1+CRECIMIENTO)</f>
        <v>5423330.07640805</v>
      </c>
      <c r="M8" s="40" t="n">
        <f aca="false">L8*(1+CRECIMIENTO)</f>
        <v>5531796.67793621</v>
      </c>
      <c r="N8" s="40" t="n">
        <f aca="false">M8*(1+CRECIMIENTO)</f>
        <v>5642432.61149493</v>
      </c>
      <c r="O8" s="59" t="n">
        <f aca="false">SUM(C8:N8)</f>
        <v>60864063.1862415</v>
      </c>
    </row>
    <row r="9" customFormat="false" ht="15" hidden="false" customHeight="false" outlineLevel="0" collapsed="false">
      <c r="B9" s="7" t="s">
        <v>584</v>
      </c>
      <c r="C9" s="40" t="n">
        <v>0</v>
      </c>
      <c r="D9" s="40" t="n">
        <v>0</v>
      </c>
      <c r="E9" s="40" t="n">
        <v>0</v>
      </c>
      <c r="F9" s="40" t="n">
        <v>0</v>
      </c>
      <c r="G9" s="40" t="n">
        <v>0</v>
      </c>
      <c r="H9" s="40" t="n">
        <v>0</v>
      </c>
      <c r="I9" s="40" t="n">
        <v>0</v>
      </c>
      <c r="J9" s="40" t="n">
        <v>0</v>
      </c>
      <c r="K9" s="40" t="n">
        <v>0</v>
      </c>
      <c r="L9" s="40" t="n">
        <v>0</v>
      </c>
      <c r="M9" s="40" t="n">
        <v>0</v>
      </c>
      <c r="N9" s="40" t="n">
        <v>0</v>
      </c>
      <c r="O9" s="59" t="n">
        <f aca="false">SUM(C9:N9)</f>
        <v>0</v>
      </c>
    </row>
    <row r="10" customFormat="false" ht="15" hidden="false" customHeight="false" outlineLevel="0" collapsed="false">
      <c r="B10" s="60" t="s">
        <v>585</v>
      </c>
      <c r="C10" s="59" t="n">
        <f aca="false">SUM(C8:C9)</f>
        <v>4538000</v>
      </c>
      <c r="D10" s="59" t="n">
        <f aca="false">SUM(D8:D9)</f>
        <v>4628760</v>
      </c>
      <c r="E10" s="59" t="n">
        <f aca="false">SUM(E8:E9)</f>
        <v>4721335.2</v>
      </c>
      <c r="F10" s="59" t="n">
        <f aca="false">SUM(F8:F9)</f>
        <v>4815761.904</v>
      </c>
      <c r="G10" s="59" t="n">
        <f aca="false">SUM(G8:G9)</f>
        <v>4912077.14208</v>
      </c>
      <c r="H10" s="59" t="n">
        <f aca="false">SUM(H8:H9)</f>
        <v>5010318.6849216</v>
      </c>
      <c r="I10" s="59" t="n">
        <f aca="false">SUM(I8:I9)</f>
        <v>5110525.05862003</v>
      </c>
      <c r="J10" s="59" t="n">
        <f aca="false">SUM(J8:J9)</f>
        <v>5212735.55979243</v>
      </c>
      <c r="K10" s="59" t="n">
        <f aca="false">SUM(K8:K9)</f>
        <v>5316990.27098828</v>
      </c>
      <c r="L10" s="59" t="n">
        <f aca="false">SUM(L8:L9)</f>
        <v>5423330.07640805</v>
      </c>
      <c r="M10" s="59" t="n">
        <f aca="false">SUM(M8:M9)</f>
        <v>5531796.67793621</v>
      </c>
      <c r="N10" s="59" t="n">
        <f aca="false">SUM(N8:N9)</f>
        <v>5642432.61149493</v>
      </c>
      <c r="O10" s="59" t="n">
        <f aca="false">SUM(C10:N10)</f>
        <v>60864063.1862415</v>
      </c>
    </row>
    <row r="11" customFormat="false" ht="15" hidden="false" customHeight="false" outlineLevel="0" collapsed="false">
      <c r="B11" s="57" t="s">
        <v>586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</row>
    <row r="12" customFormat="false" ht="15" hidden="false" customHeight="false" outlineLevel="0" collapsed="false">
      <c r="B12" s="7" t="s">
        <v>587</v>
      </c>
      <c r="C12" s="35" t="n">
        <f aca="false">C8/(1+IVA_VENTAS)*IFERROR(PUNTO_EQUILIBRIO!$C$33/PUNTO_EQUILIBRIO!$C$32,0)*(1+IVA_COMPRAS_PROM)</f>
        <v>1499541.24382291</v>
      </c>
      <c r="D12" s="35" t="n">
        <f aca="false">D8/(1+IVA_VENTAS)*IFERROR(PUNTO_EQUILIBRIO!$C$33/PUNTO_EQUILIBRIO!$C$32,0)*(1+IVA_COMPRAS_PROM)</f>
        <v>1529532.06869937</v>
      </c>
      <c r="E12" s="35" t="n">
        <f aca="false">E8/(1+IVA_VENTAS)*IFERROR(PUNTO_EQUILIBRIO!$C$33/PUNTO_EQUILIBRIO!$C$32,0)*(1+IVA_COMPRAS_PROM)</f>
        <v>1560122.71007335</v>
      </c>
      <c r="F12" s="35" t="n">
        <f aca="false">F8/(1+IVA_VENTAS)*IFERROR(PUNTO_EQUILIBRIO!$C$33/PUNTO_EQUILIBRIO!$C$32,0)*(1+IVA_COMPRAS_PROM)</f>
        <v>1591325.16427482</v>
      </c>
      <c r="G12" s="35" t="n">
        <f aca="false">G8/(1+IVA_VENTAS)*IFERROR(PUNTO_EQUILIBRIO!$C$33/PUNTO_EQUILIBRIO!$C$32,0)*(1+IVA_COMPRAS_PROM)</f>
        <v>1623151.66756032</v>
      </c>
      <c r="H12" s="35" t="n">
        <f aca="false">H8/(1+IVA_VENTAS)*IFERROR(PUNTO_EQUILIBRIO!$C$33/PUNTO_EQUILIBRIO!$C$32,0)*(1+IVA_COMPRAS_PROM)</f>
        <v>1655614.70091152</v>
      </c>
      <c r="I12" s="35" t="n">
        <f aca="false">I8/(1+IVA_VENTAS)*IFERROR(PUNTO_EQUILIBRIO!$C$33/PUNTO_EQUILIBRIO!$C$32,0)*(1+IVA_COMPRAS_PROM)</f>
        <v>1688726.99492975</v>
      </c>
      <c r="J12" s="35" t="n">
        <f aca="false">J8/(1+IVA_VENTAS)*IFERROR(PUNTO_EQUILIBRIO!$C$33/PUNTO_EQUILIBRIO!$C$32,0)*(1+IVA_COMPRAS_PROM)</f>
        <v>1722501.53482835</v>
      </c>
      <c r="K12" s="35" t="n">
        <f aca="false">K8/(1+IVA_VENTAS)*IFERROR(PUNTO_EQUILIBRIO!$C$33/PUNTO_EQUILIBRIO!$C$32,0)*(1+IVA_COMPRAS_PROM)</f>
        <v>1756951.56552492</v>
      </c>
      <c r="L12" s="35" t="n">
        <f aca="false">L8/(1+IVA_VENTAS)*IFERROR(PUNTO_EQUILIBRIO!$C$33/PUNTO_EQUILIBRIO!$C$32,0)*(1+IVA_COMPRAS_PROM)</f>
        <v>1792090.59683541</v>
      </c>
      <c r="M12" s="35" t="n">
        <f aca="false">M8/(1+IVA_VENTAS)*IFERROR(PUNTO_EQUILIBRIO!$C$33/PUNTO_EQUILIBRIO!$C$32,0)*(1+IVA_COMPRAS_PROM)</f>
        <v>1827932.40877212</v>
      </c>
      <c r="N12" s="35" t="n">
        <f aca="false">N8/(1+IVA_VENTAS)*IFERROR(PUNTO_EQUILIBRIO!$C$33/PUNTO_EQUILIBRIO!$C$32,0)*(1+IVA_COMPRAS_PROM)</f>
        <v>1864491.05694756</v>
      </c>
      <c r="O12" s="59" t="n">
        <f aca="false">SUM(C12:N12)</f>
        <v>20111981.7131804</v>
      </c>
    </row>
    <row r="13" customFormat="false" ht="15" hidden="false" customHeight="false" outlineLevel="0" collapsed="false">
      <c r="B13" s="7" t="s">
        <v>588</v>
      </c>
      <c r="C13" s="35" t="n">
        <f aca="false">SUMIFS(PLANILLA!$I$6:$I$505,PLANILLA!$S$6:$S$505,MAX(PLANILLA!$S$6:$S$505))</f>
        <v>1156000</v>
      </c>
      <c r="D13" s="35" t="n">
        <f aca="false">SUMIFS(PLANILLA!$I$6:$I$505,PLANILLA!$S$6:$S$505,MAX(PLANILLA!$S$6:$S$505))</f>
        <v>1156000</v>
      </c>
      <c r="E13" s="35" t="n">
        <f aca="false">SUMIFS(PLANILLA!$I$6:$I$505,PLANILLA!$S$6:$S$505,MAX(PLANILLA!$S$6:$S$505))</f>
        <v>1156000</v>
      </c>
      <c r="F13" s="35" t="n">
        <f aca="false">SUMIFS(PLANILLA!$I$6:$I$505,PLANILLA!$S$6:$S$505,MAX(PLANILLA!$S$6:$S$505))</f>
        <v>1156000</v>
      </c>
      <c r="G13" s="35" t="n">
        <f aca="false">SUMIFS(PLANILLA!$I$6:$I$505,PLANILLA!$S$6:$S$505,MAX(PLANILLA!$S$6:$S$505))</f>
        <v>1156000</v>
      </c>
      <c r="H13" s="35" t="n">
        <f aca="false">SUMIFS(PLANILLA!$I$6:$I$505,PLANILLA!$S$6:$S$505,MAX(PLANILLA!$S$6:$S$505))</f>
        <v>1156000</v>
      </c>
      <c r="I13" s="35" t="n">
        <f aca="false">SUMIFS(PLANILLA!$I$6:$I$505,PLANILLA!$S$6:$S$505,MAX(PLANILLA!$S$6:$S$505))</f>
        <v>1156000</v>
      </c>
      <c r="J13" s="35" t="n">
        <f aca="false">SUMIFS(PLANILLA!$I$6:$I$505,PLANILLA!$S$6:$S$505,MAX(PLANILLA!$S$6:$S$505))</f>
        <v>1156000</v>
      </c>
      <c r="K13" s="35" t="n">
        <f aca="false">SUMIFS(PLANILLA!$I$6:$I$505,PLANILLA!$S$6:$S$505,MAX(PLANILLA!$S$6:$S$505))</f>
        <v>1156000</v>
      </c>
      <c r="L13" s="35" t="n">
        <f aca="false">SUMIFS(PLANILLA!$I$6:$I$505,PLANILLA!$S$6:$S$505,MAX(PLANILLA!$S$6:$S$505))</f>
        <v>1156000</v>
      </c>
      <c r="M13" s="35" t="n">
        <f aca="false">SUMIFS(PLANILLA!$I$6:$I$505,PLANILLA!$S$6:$S$505,MAX(PLANILLA!$S$6:$S$505))</f>
        <v>1156000</v>
      </c>
      <c r="N13" s="35" t="n">
        <f aca="false">SUMIFS(PLANILLA!$I$6:$I$505,PLANILLA!$S$6:$S$505,MAX(PLANILLA!$S$6:$S$505))</f>
        <v>1156000</v>
      </c>
      <c r="O13" s="59" t="n">
        <f aca="false">SUM(C13:N13)</f>
        <v>13872000</v>
      </c>
    </row>
    <row r="14" customFormat="false" ht="15" hidden="false" customHeight="false" outlineLevel="0" collapsed="false">
      <c r="B14" s="7" t="s">
        <v>589</v>
      </c>
      <c r="C14" s="35" t="n">
        <f aca="false">SUMIFS(PLANILLA!$M$6:$M$505,PLANILLA!$S$6:$S$505,MAX(PLANILLA!$S$6:$S$505))+SUMIFS(PLANILLA!$N$6:$N$505,PLANILLA!$S$6:$S$505,MAX(PLANILLA!$S$6:$S$505))</f>
        <v>327726</v>
      </c>
      <c r="D14" s="35" t="n">
        <f aca="false">SUMIFS(PLANILLA!$M$6:$M$505,PLANILLA!$S$6:$S$505,MAX(PLANILLA!$S$6:$S$505))+SUMIFS(PLANILLA!$N$6:$N$505,PLANILLA!$S$6:$S$505,MAX(PLANILLA!$S$6:$S$505))</f>
        <v>327726</v>
      </c>
      <c r="E14" s="35" t="n">
        <f aca="false">SUMIFS(PLANILLA!$M$6:$M$505,PLANILLA!$S$6:$S$505,MAX(PLANILLA!$S$6:$S$505))+SUMIFS(PLANILLA!$N$6:$N$505,PLANILLA!$S$6:$S$505,MAX(PLANILLA!$S$6:$S$505))</f>
        <v>327726</v>
      </c>
      <c r="F14" s="35" t="n">
        <f aca="false">SUMIFS(PLANILLA!$M$6:$M$505,PLANILLA!$S$6:$S$505,MAX(PLANILLA!$S$6:$S$505))+SUMIFS(PLANILLA!$N$6:$N$505,PLANILLA!$S$6:$S$505,MAX(PLANILLA!$S$6:$S$505))</f>
        <v>327726</v>
      </c>
      <c r="G14" s="35" t="n">
        <f aca="false">SUMIFS(PLANILLA!$M$6:$M$505,PLANILLA!$S$6:$S$505,MAX(PLANILLA!$S$6:$S$505))+SUMIFS(PLANILLA!$N$6:$N$505,PLANILLA!$S$6:$S$505,MAX(PLANILLA!$S$6:$S$505))</f>
        <v>327726</v>
      </c>
      <c r="H14" s="35" t="n">
        <f aca="false">SUMIFS(PLANILLA!$M$6:$M$505,PLANILLA!$S$6:$S$505,MAX(PLANILLA!$S$6:$S$505))+SUMIFS(PLANILLA!$N$6:$N$505,PLANILLA!$S$6:$S$505,MAX(PLANILLA!$S$6:$S$505))</f>
        <v>327726</v>
      </c>
      <c r="I14" s="35" t="n">
        <f aca="false">SUMIFS(PLANILLA!$M$6:$M$505,PLANILLA!$S$6:$S$505,MAX(PLANILLA!$S$6:$S$505))+SUMIFS(PLANILLA!$N$6:$N$505,PLANILLA!$S$6:$S$505,MAX(PLANILLA!$S$6:$S$505))</f>
        <v>327726</v>
      </c>
      <c r="J14" s="35" t="n">
        <f aca="false">SUMIFS(PLANILLA!$M$6:$M$505,PLANILLA!$S$6:$S$505,MAX(PLANILLA!$S$6:$S$505))+SUMIFS(PLANILLA!$N$6:$N$505,PLANILLA!$S$6:$S$505,MAX(PLANILLA!$S$6:$S$505))</f>
        <v>327726</v>
      </c>
      <c r="K14" s="35" t="n">
        <f aca="false">SUMIFS(PLANILLA!$M$6:$M$505,PLANILLA!$S$6:$S$505,MAX(PLANILLA!$S$6:$S$505))+SUMIFS(PLANILLA!$N$6:$N$505,PLANILLA!$S$6:$S$505,MAX(PLANILLA!$S$6:$S$505))</f>
        <v>327726</v>
      </c>
      <c r="L14" s="35" t="n">
        <f aca="false">SUMIFS(PLANILLA!$M$6:$M$505,PLANILLA!$S$6:$S$505,MAX(PLANILLA!$S$6:$S$505))+SUMIFS(PLANILLA!$N$6:$N$505,PLANILLA!$S$6:$S$505,MAX(PLANILLA!$S$6:$S$505))</f>
        <v>327726</v>
      </c>
      <c r="M14" s="35" t="n">
        <f aca="false">SUMIFS(PLANILLA!$M$6:$M$505,PLANILLA!$S$6:$S$505,MAX(PLANILLA!$S$6:$S$505))+SUMIFS(PLANILLA!$N$6:$N$505,PLANILLA!$S$6:$S$505,MAX(PLANILLA!$S$6:$S$505))</f>
        <v>327726</v>
      </c>
      <c r="N14" s="35" t="n">
        <f aca="false">SUMIFS(PLANILLA!$M$6:$M$505,PLANILLA!$S$6:$S$505,MAX(PLANILLA!$S$6:$S$505))+SUMIFS(PLANILLA!$N$6:$N$505,PLANILLA!$S$6:$S$505,MAX(PLANILLA!$S$6:$S$505))</f>
        <v>327726</v>
      </c>
      <c r="O14" s="59" t="n">
        <f aca="false">SUM(C14:N14)</f>
        <v>3932712</v>
      </c>
    </row>
    <row r="15" customFormat="false" ht="15" hidden="false" customHeight="false" outlineLevel="0" collapsed="false">
      <c r="B15" s="7" t="s">
        <v>590</v>
      </c>
      <c r="C15" s="35" t="n">
        <f aca="false">IF(MONTH(C$5)=12,12*SUMIFS(PLANILLA!$O$6:$O$505,PLANILLA!$S$6:$S$505,MAX(PLANILLA!$S$6:$S$505)),0)</f>
        <v>0</v>
      </c>
      <c r="D15" s="35" t="n">
        <f aca="false">IF(MONTH(D$5)=12,12*SUMIFS(PLANILLA!$O$6:$O$505,PLANILLA!$S$6:$S$505,MAX(PLANILLA!$S$6:$S$505)),0)</f>
        <v>1155537.6</v>
      </c>
      <c r="E15" s="35" t="n">
        <f aca="false">IF(MONTH(E$5)=12,12*SUMIFS(PLANILLA!$O$6:$O$505,PLANILLA!$S$6:$S$505,MAX(PLANILLA!$S$6:$S$505)),0)</f>
        <v>0</v>
      </c>
      <c r="F15" s="35" t="n">
        <f aca="false">IF(MONTH(F$5)=12,12*SUMIFS(PLANILLA!$O$6:$O$505,PLANILLA!$S$6:$S$505,MAX(PLANILLA!$S$6:$S$505)),0)</f>
        <v>0</v>
      </c>
      <c r="G15" s="35" t="n">
        <f aca="false">IF(MONTH(G$5)=12,12*SUMIFS(PLANILLA!$O$6:$O$505,PLANILLA!$S$6:$S$505,MAX(PLANILLA!$S$6:$S$505)),0)</f>
        <v>0</v>
      </c>
      <c r="H15" s="35" t="n">
        <f aca="false">IF(MONTH(H$5)=12,12*SUMIFS(PLANILLA!$O$6:$O$505,PLANILLA!$S$6:$S$505,MAX(PLANILLA!$S$6:$S$505)),0)</f>
        <v>0</v>
      </c>
      <c r="I15" s="35" t="n">
        <f aca="false">IF(MONTH(I$5)=12,12*SUMIFS(PLANILLA!$O$6:$O$505,PLANILLA!$S$6:$S$505,MAX(PLANILLA!$S$6:$S$505)),0)</f>
        <v>0</v>
      </c>
      <c r="J15" s="35" t="n">
        <f aca="false">IF(MONTH(J$5)=12,12*SUMIFS(PLANILLA!$O$6:$O$505,PLANILLA!$S$6:$S$505,MAX(PLANILLA!$S$6:$S$505)),0)</f>
        <v>0</v>
      </c>
      <c r="K15" s="35" t="n">
        <f aca="false">IF(MONTH(K$5)=12,12*SUMIFS(PLANILLA!$O$6:$O$505,PLANILLA!$S$6:$S$505,MAX(PLANILLA!$S$6:$S$505)),0)</f>
        <v>0</v>
      </c>
      <c r="L15" s="35" t="n">
        <f aca="false">IF(MONTH(L$5)=12,12*SUMIFS(PLANILLA!$O$6:$O$505,PLANILLA!$S$6:$S$505,MAX(PLANILLA!$S$6:$S$505)),0)</f>
        <v>0</v>
      </c>
      <c r="M15" s="35" t="n">
        <f aca="false">IF(MONTH(M$5)=12,12*SUMIFS(PLANILLA!$O$6:$O$505,PLANILLA!$S$6:$S$505,MAX(PLANILLA!$S$6:$S$505)),0)</f>
        <v>0</v>
      </c>
      <c r="N15" s="35" t="n">
        <f aca="false">IF(MONTH(N$5)=12,12*SUMIFS(PLANILLA!$O$6:$O$505,PLANILLA!$S$6:$S$505,MAX(PLANILLA!$S$6:$S$505)),0)</f>
        <v>0</v>
      </c>
      <c r="O15" s="59" t="n">
        <f aca="false">SUM(C15:N15)</f>
        <v>1155537.6</v>
      </c>
    </row>
    <row r="16" customFormat="false" ht="15" hidden="false" customHeight="false" outlineLevel="0" collapsed="false">
      <c r="B16" s="7" t="s">
        <v>591</v>
      </c>
      <c r="C16" s="35" t="n">
        <f aca="false">PUNTO_EQUILIBRIO!$C$37-PUNTO_EQUILIBRIO!$C$38-PUNTO_EQUILIBRIO!$C$49</f>
        <v>785000</v>
      </c>
      <c r="D16" s="35" t="n">
        <f aca="false">PUNTO_EQUILIBRIO!$C$37-PUNTO_EQUILIBRIO!$C$38-PUNTO_EQUILIBRIO!$C$49</f>
        <v>785000</v>
      </c>
      <c r="E16" s="35" t="n">
        <f aca="false">PUNTO_EQUILIBRIO!$C$37-PUNTO_EQUILIBRIO!$C$38-PUNTO_EQUILIBRIO!$C$49</f>
        <v>785000</v>
      </c>
      <c r="F16" s="35" t="n">
        <f aca="false">PUNTO_EQUILIBRIO!$C$37-PUNTO_EQUILIBRIO!$C$38-PUNTO_EQUILIBRIO!$C$49</f>
        <v>785000</v>
      </c>
      <c r="G16" s="35" t="n">
        <f aca="false">PUNTO_EQUILIBRIO!$C$37-PUNTO_EQUILIBRIO!$C$38-PUNTO_EQUILIBRIO!$C$49</f>
        <v>785000</v>
      </c>
      <c r="H16" s="35" t="n">
        <f aca="false">PUNTO_EQUILIBRIO!$C$37-PUNTO_EQUILIBRIO!$C$38-PUNTO_EQUILIBRIO!$C$49</f>
        <v>785000</v>
      </c>
      <c r="I16" s="35" t="n">
        <f aca="false">PUNTO_EQUILIBRIO!$C$37-PUNTO_EQUILIBRIO!$C$38-PUNTO_EQUILIBRIO!$C$49</f>
        <v>785000</v>
      </c>
      <c r="J16" s="35" t="n">
        <f aca="false">PUNTO_EQUILIBRIO!$C$37-PUNTO_EQUILIBRIO!$C$38-PUNTO_EQUILIBRIO!$C$49</f>
        <v>785000</v>
      </c>
      <c r="K16" s="35" t="n">
        <f aca="false">PUNTO_EQUILIBRIO!$C$37-PUNTO_EQUILIBRIO!$C$38-PUNTO_EQUILIBRIO!$C$49</f>
        <v>785000</v>
      </c>
      <c r="L16" s="35" t="n">
        <f aca="false">PUNTO_EQUILIBRIO!$C$37-PUNTO_EQUILIBRIO!$C$38-PUNTO_EQUILIBRIO!$C$49</f>
        <v>785000</v>
      </c>
      <c r="M16" s="35" t="n">
        <f aca="false">PUNTO_EQUILIBRIO!$C$37-PUNTO_EQUILIBRIO!$C$38-PUNTO_EQUILIBRIO!$C$49</f>
        <v>785000</v>
      </c>
      <c r="N16" s="35" t="n">
        <f aca="false">PUNTO_EQUILIBRIO!$C$37-PUNTO_EQUILIBRIO!$C$38-PUNTO_EQUILIBRIO!$C$49</f>
        <v>785000</v>
      </c>
      <c r="O16" s="59" t="n">
        <f aca="false">SUM(C16:N16)</f>
        <v>9420000</v>
      </c>
    </row>
    <row r="17" customFormat="false" ht="15" hidden="false" customHeight="false" outlineLevel="0" collapsed="false">
      <c r="B17" s="7" t="s">
        <v>592</v>
      </c>
      <c r="C17" s="35" t="n">
        <f aca="false">MAX(0,C8-C8/(1+IVA_VENTAS)-(C12-C12/(1+IVA_COMPRAS_PROM)))</f>
        <v>450664.070563848</v>
      </c>
      <c r="D17" s="35" t="n">
        <f aca="false">MAX(0,C8-C8/(1+IVA_VENTAS)-(C12-C12/(1+IVA_COMPRAS_PROM)))</f>
        <v>450664.070563848</v>
      </c>
      <c r="E17" s="35" t="n">
        <f aca="false">MAX(0,D8-D8/(1+IVA_VENTAS)-(D12-D12/(1+IVA_COMPRAS_PROM)))</f>
        <v>459677.351975125</v>
      </c>
      <c r="F17" s="35" t="n">
        <f aca="false">MAX(0,E8-E8/(1+IVA_VENTAS)-(E12-E12/(1+IVA_COMPRAS_PROM)))</f>
        <v>468870.899014627</v>
      </c>
      <c r="G17" s="35" t="n">
        <f aca="false">MAX(0,F8-F8/(1+IVA_VENTAS)-(F12-F12/(1+IVA_COMPRAS_PROM)))</f>
        <v>478248.31699492</v>
      </c>
      <c r="H17" s="35" t="n">
        <f aca="false">MAX(0,G8-G8/(1+IVA_VENTAS)-(G12-G12/(1+IVA_COMPRAS_PROM)))</f>
        <v>487813.283334818</v>
      </c>
      <c r="I17" s="35" t="n">
        <f aca="false">MAX(0,H8-H8/(1+IVA_VENTAS)-(H12-H12/(1+IVA_COMPRAS_PROM)))</f>
        <v>497569.549001514</v>
      </c>
      <c r="J17" s="35" t="n">
        <f aca="false">MAX(0,I8-I8/(1+IVA_VENTAS)-(I12-I12/(1+IVA_COMPRAS_PROM)))</f>
        <v>507520.939981544</v>
      </c>
      <c r="K17" s="35" t="n">
        <f aca="false">MAX(0,J8-J8/(1+IVA_VENTAS)-(J12-J12/(1+IVA_COMPRAS_PROM)))</f>
        <v>517671.358781176</v>
      </c>
      <c r="L17" s="35" t="n">
        <f aca="false">MAX(0,K8-K8/(1+IVA_VENTAS)-(K12-K12/(1+IVA_COMPRAS_PROM)))</f>
        <v>528024.785956799</v>
      </c>
      <c r="M17" s="35" t="n">
        <f aca="false">MAX(0,L8-L8/(1+IVA_VENTAS)-(L12-L12/(1+IVA_COMPRAS_PROM)))</f>
        <v>538585.281675935</v>
      </c>
      <c r="N17" s="35" t="n">
        <f aca="false">MAX(0,M8-M8/(1+IVA_VENTAS)-(M12-M12/(1+IVA_COMPRAS_PROM)))</f>
        <v>549356.987309454</v>
      </c>
      <c r="O17" s="59" t="n">
        <f aca="false">SUM(C17:N17)</f>
        <v>5934666.89515361</v>
      </c>
    </row>
    <row r="18" customFormat="false" ht="15" hidden="false" customHeight="false" outlineLevel="0" collapsed="false">
      <c r="B18" s="7" t="s">
        <v>593</v>
      </c>
      <c r="C18" s="40" t="n">
        <v>0</v>
      </c>
      <c r="D18" s="40" t="n">
        <v>0</v>
      </c>
      <c r="E18" s="40" t="n">
        <v>0</v>
      </c>
      <c r="F18" s="40" t="n">
        <v>0</v>
      </c>
      <c r="G18" s="40" t="n">
        <v>0</v>
      </c>
      <c r="H18" s="40" t="n">
        <v>0</v>
      </c>
      <c r="I18" s="40" t="n">
        <v>0</v>
      </c>
      <c r="J18" s="40" t="n">
        <v>0</v>
      </c>
      <c r="K18" s="40" t="n">
        <v>0</v>
      </c>
      <c r="L18" s="40" t="n">
        <v>0</v>
      </c>
      <c r="M18" s="40" t="n">
        <v>0</v>
      </c>
      <c r="N18" s="40" t="n">
        <v>0</v>
      </c>
      <c r="O18" s="59" t="n">
        <f aca="false">SUM(C18:N18)</f>
        <v>0</v>
      </c>
    </row>
    <row r="19" customFormat="false" ht="15" hidden="false" customHeight="false" outlineLevel="0" collapsed="false">
      <c r="B19" s="7" t="s">
        <v>594</v>
      </c>
      <c r="C19" s="40" t="n">
        <v>0</v>
      </c>
      <c r="D19" s="40" t="n">
        <v>0</v>
      </c>
      <c r="E19" s="40" t="n">
        <v>0</v>
      </c>
      <c r="F19" s="40" t="n">
        <v>0</v>
      </c>
      <c r="G19" s="40" t="n">
        <v>0</v>
      </c>
      <c r="H19" s="40" t="n">
        <v>0</v>
      </c>
      <c r="I19" s="40" t="n">
        <v>0</v>
      </c>
      <c r="J19" s="40" t="n">
        <v>0</v>
      </c>
      <c r="K19" s="40" t="n">
        <v>0</v>
      </c>
      <c r="L19" s="40" t="n">
        <v>0</v>
      </c>
      <c r="M19" s="40" t="n">
        <v>0</v>
      </c>
      <c r="N19" s="40" t="n">
        <v>0</v>
      </c>
      <c r="O19" s="59" t="n">
        <f aca="false">SUM(C19:N19)</f>
        <v>0</v>
      </c>
    </row>
    <row r="20" customFormat="false" ht="15" hidden="false" customHeight="false" outlineLevel="0" collapsed="false">
      <c r="B20" s="7" t="s">
        <v>595</v>
      </c>
      <c r="C20" s="40" t="n">
        <v>0</v>
      </c>
      <c r="D20" s="40" t="n">
        <v>0</v>
      </c>
      <c r="E20" s="40" t="n">
        <v>0</v>
      </c>
      <c r="F20" s="40" t="n">
        <v>0</v>
      </c>
      <c r="G20" s="40" t="n">
        <v>0</v>
      </c>
      <c r="H20" s="40" t="n">
        <v>0</v>
      </c>
      <c r="I20" s="40" t="n">
        <v>0</v>
      </c>
      <c r="J20" s="40" t="n">
        <v>0</v>
      </c>
      <c r="K20" s="40" t="n">
        <v>0</v>
      </c>
      <c r="L20" s="40" t="n">
        <v>0</v>
      </c>
      <c r="M20" s="40" t="n">
        <v>0</v>
      </c>
      <c r="N20" s="40" t="n">
        <v>0</v>
      </c>
      <c r="O20" s="59" t="n">
        <f aca="false">SUM(C20:N20)</f>
        <v>0</v>
      </c>
    </row>
    <row r="21" customFormat="false" ht="15" hidden="false" customHeight="false" outlineLevel="0" collapsed="false">
      <c r="B21" s="7" t="s">
        <v>596</v>
      </c>
      <c r="C21" s="35" t="n">
        <f aca="false">SUM(C12:C20)*IMPREVISTOS</f>
        <v>210946.565719338</v>
      </c>
      <c r="D21" s="35" t="n">
        <f aca="false">SUM(D12:D20)*IMPREVISTOS</f>
        <v>270222.986963161</v>
      </c>
      <c r="E21" s="35" t="n">
        <f aca="false">SUM(E12:E20)*IMPREVISTOS</f>
        <v>214426.303102424</v>
      </c>
      <c r="F21" s="35" t="n">
        <f aca="false">SUM(F12:F20)*IMPREVISTOS</f>
        <v>216446.103164472</v>
      </c>
      <c r="G21" s="35" t="n">
        <f aca="false">SUM(G12:G20)*IMPREVISTOS</f>
        <v>218506.299227762</v>
      </c>
      <c r="H21" s="35" t="n">
        <f aca="false">SUM(H12:H20)*IMPREVISTOS</f>
        <v>220607.699212317</v>
      </c>
      <c r="I21" s="35" t="n">
        <f aca="false">SUM(I12:I20)*IMPREVISTOS</f>
        <v>222751.127196563</v>
      </c>
      <c r="J21" s="35" t="n">
        <f aca="false">SUM(J12:J20)*IMPREVISTOS</f>
        <v>224937.423740495</v>
      </c>
      <c r="K21" s="35" t="n">
        <f aca="false">SUM(K12:K20)*IMPREVISTOS</f>
        <v>227167.446215305</v>
      </c>
      <c r="L21" s="35" t="n">
        <f aca="false">SUM(L12:L20)*IMPREVISTOS</f>
        <v>229442.069139611</v>
      </c>
      <c r="M21" s="35" t="n">
        <f aca="false">SUM(M12:M20)*IMPREVISTOS</f>
        <v>231762.184522403</v>
      </c>
      <c r="N21" s="35" t="n">
        <f aca="false">SUM(N12:N20)*IMPREVISTOS</f>
        <v>234128.702212851</v>
      </c>
      <c r="O21" s="59" t="n">
        <f aca="false">SUM(C21:N21)</f>
        <v>2721344.9104167</v>
      </c>
    </row>
    <row r="22" customFormat="false" ht="15" hidden="false" customHeight="false" outlineLevel="0" collapsed="false">
      <c r="B22" s="60" t="s">
        <v>597</v>
      </c>
      <c r="C22" s="59" t="n">
        <f aca="false">SUM(C12:C21)</f>
        <v>4429877.88010609</v>
      </c>
      <c r="D22" s="59" t="n">
        <f aca="false">SUM(D12:D21)</f>
        <v>5674682.72622637</v>
      </c>
      <c r="E22" s="59" t="n">
        <f aca="false">SUM(E12:E21)</f>
        <v>4502952.3651509</v>
      </c>
      <c r="F22" s="59" t="n">
        <f aca="false">SUM(F12:F21)</f>
        <v>4545368.16645392</v>
      </c>
      <c r="G22" s="59" t="n">
        <f aca="false">SUM(G12:G21)</f>
        <v>4588632.283783</v>
      </c>
      <c r="H22" s="59" t="n">
        <f aca="false">SUM(H12:H21)</f>
        <v>4632761.68345866</v>
      </c>
      <c r="I22" s="59" t="n">
        <f aca="false">SUM(I12:I21)</f>
        <v>4677773.67112783</v>
      </c>
      <c r="J22" s="59" t="n">
        <f aca="false">SUM(J12:J21)</f>
        <v>4723685.89855039</v>
      </c>
      <c r="K22" s="59" t="n">
        <f aca="false">SUM(K12:K21)</f>
        <v>4770516.3705214</v>
      </c>
      <c r="L22" s="59" t="n">
        <f aca="false">SUM(L12:L21)</f>
        <v>4818283.45193182</v>
      </c>
      <c r="M22" s="59" t="n">
        <f aca="false">SUM(M12:M21)</f>
        <v>4867005.87497046</v>
      </c>
      <c r="N22" s="59" t="n">
        <f aca="false">SUM(N12:N21)</f>
        <v>4916702.74646987</v>
      </c>
      <c r="O22" s="59" t="n">
        <f aca="false">SUM(C22:N22)</f>
        <v>57148243.1187507</v>
      </c>
    </row>
    <row r="23" customFormat="false" ht="15" hidden="false" customHeight="false" outlineLevel="0" collapsed="false">
      <c r="B23" s="57" t="s">
        <v>598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</row>
    <row r="24" customFormat="false" ht="15" hidden="false" customHeight="false" outlineLevel="0" collapsed="false">
      <c r="B24" s="60" t="s">
        <v>599</v>
      </c>
      <c r="C24" s="59" t="n">
        <f aca="false">C10-C22</f>
        <v>108122.119893907</v>
      </c>
      <c r="D24" s="59" t="n">
        <f aca="false">D10-D22</f>
        <v>-1045922.72622637</v>
      </c>
      <c r="E24" s="59" t="n">
        <f aca="false">E10-E22</f>
        <v>218382.8348491</v>
      </c>
      <c r="F24" s="59" t="n">
        <f aca="false">F10-F22</f>
        <v>270393.737546081</v>
      </c>
      <c r="G24" s="59" t="n">
        <f aca="false">G10-G22</f>
        <v>323444.858297003</v>
      </c>
      <c r="H24" s="59" t="n">
        <f aca="false">H10-H22</f>
        <v>377557.001462943</v>
      </c>
      <c r="I24" s="59" t="n">
        <f aca="false">I10-I22</f>
        <v>432751.387492202</v>
      </c>
      <c r="J24" s="59" t="n">
        <f aca="false">J10-J22</f>
        <v>489049.661242046</v>
      </c>
      <c r="K24" s="59" t="n">
        <f aca="false">K10-K22</f>
        <v>546473.900466887</v>
      </c>
      <c r="L24" s="59" t="n">
        <f aca="false">L10-L22</f>
        <v>605046.624476224</v>
      </c>
      <c r="M24" s="59" t="n">
        <f aca="false">M10-M22</f>
        <v>664790.80296575</v>
      </c>
      <c r="N24" s="59" t="n">
        <f aca="false">N10-N22</f>
        <v>725729.865025065</v>
      </c>
      <c r="O24" s="59" t="n">
        <f aca="false">SUM(C24:N24)</f>
        <v>3715820.06749083</v>
      </c>
    </row>
    <row r="25" customFormat="false" ht="15" hidden="false" customHeight="false" outlineLevel="0" collapsed="false">
      <c r="B25" s="10" t="s">
        <v>600</v>
      </c>
      <c r="C25" s="38" t="n">
        <f aca="false">C6+C24</f>
        <v>1608122.11989391</v>
      </c>
      <c r="D25" s="38" t="n">
        <f aca="false">D6+D24</f>
        <v>562199.393667533</v>
      </c>
      <c r="E25" s="38" t="n">
        <f aca="false">E6+E24</f>
        <v>780582.228516633</v>
      </c>
      <c r="F25" s="38" t="n">
        <f aca="false">F6+F24</f>
        <v>1050975.96606271</v>
      </c>
      <c r="G25" s="38" t="n">
        <f aca="false">G6+G24</f>
        <v>1374420.82435972</v>
      </c>
      <c r="H25" s="38" t="n">
        <f aca="false">H6+H24</f>
        <v>1751977.82582266</v>
      </c>
      <c r="I25" s="38" t="n">
        <f aca="false">I6+I24</f>
        <v>2184729.21331486</v>
      </c>
      <c r="J25" s="38" t="n">
        <f aca="false">J6+J24</f>
        <v>2673778.87455691</v>
      </c>
      <c r="K25" s="38" t="n">
        <f aca="false">K6+K24</f>
        <v>3220252.77502379</v>
      </c>
      <c r="L25" s="38" t="n">
        <f aca="false">L6+L24</f>
        <v>3825299.39950002</v>
      </c>
      <c r="M25" s="38" t="n">
        <f aca="false">M6+M24</f>
        <v>4490090.20246577</v>
      </c>
      <c r="N25" s="38" t="n">
        <f aca="false">N6+N24</f>
        <v>5215820.06749083</v>
      </c>
      <c r="O25" s="59" t="n">
        <f aca="false">N25</f>
        <v>5215820.06749083</v>
      </c>
    </row>
    <row r="26" customFormat="false" ht="15" hidden="false" customHeight="false" outlineLevel="0" collapsed="false">
      <c r="B26" s="7" t="s">
        <v>601</v>
      </c>
      <c r="C26" s="35" t="n">
        <f aca="false">MESES_RESERVA*(PUNTO_EQUILIBRIO!$C$37-PUNTO_EQUILIBRIO!$C$49)</f>
        <v>2474725.2</v>
      </c>
      <c r="D26" s="35" t="n">
        <f aca="false">MESES_RESERVA*(PUNTO_EQUILIBRIO!$C$37-PUNTO_EQUILIBRIO!$C$49)</f>
        <v>2474725.2</v>
      </c>
      <c r="E26" s="35" t="n">
        <f aca="false">MESES_RESERVA*(PUNTO_EQUILIBRIO!$C$37-PUNTO_EQUILIBRIO!$C$49)</f>
        <v>2474725.2</v>
      </c>
      <c r="F26" s="35" t="n">
        <f aca="false">MESES_RESERVA*(PUNTO_EQUILIBRIO!$C$37-PUNTO_EQUILIBRIO!$C$49)</f>
        <v>2474725.2</v>
      </c>
      <c r="G26" s="35" t="n">
        <f aca="false">MESES_RESERVA*(PUNTO_EQUILIBRIO!$C$37-PUNTO_EQUILIBRIO!$C$49)</f>
        <v>2474725.2</v>
      </c>
      <c r="H26" s="35" t="n">
        <f aca="false">MESES_RESERVA*(PUNTO_EQUILIBRIO!$C$37-PUNTO_EQUILIBRIO!$C$49)</f>
        <v>2474725.2</v>
      </c>
      <c r="I26" s="35" t="n">
        <f aca="false">MESES_RESERVA*(PUNTO_EQUILIBRIO!$C$37-PUNTO_EQUILIBRIO!$C$49)</f>
        <v>2474725.2</v>
      </c>
      <c r="J26" s="35" t="n">
        <f aca="false">MESES_RESERVA*(PUNTO_EQUILIBRIO!$C$37-PUNTO_EQUILIBRIO!$C$49)</f>
        <v>2474725.2</v>
      </c>
      <c r="K26" s="35" t="n">
        <f aca="false">MESES_RESERVA*(PUNTO_EQUILIBRIO!$C$37-PUNTO_EQUILIBRIO!$C$49)</f>
        <v>2474725.2</v>
      </c>
      <c r="L26" s="35" t="n">
        <f aca="false">MESES_RESERVA*(PUNTO_EQUILIBRIO!$C$37-PUNTO_EQUILIBRIO!$C$49)</f>
        <v>2474725.2</v>
      </c>
      <c r="M26" s="35" t="n">
        <f aca="false">MESES_RESERVA*(PUNTO_EQUILIBRIO!$C$37-PUNTO_EQUILIBRIO!$C$49)</f>
        <v>2474725.2</v>
      </c>
      <c r="N26" s="35" t="n">
        <f aca="false">MESES_RESERVA*(PUNTO_EQUILIBRIO!$C$37-PUNTO_EQUILIBRIO!$C$49)</f>
        <v>2474725.2</v>
      </c>
      <c r="O26" s="59"/>
    </row>
    <row r="27" customFormat="false" ht="23.85" hidden="false" customHeight="false" outlineLevel="0" collapsed="false">
      <c r="B27" s="7" t="s">
        <v>602</v>
      </c>
      <c r="C27" s="67" t="str">
        <f aca="false">IF(C25&lt;0,"FALTANTE",IF(C25&lt;C26,"BAJO RESERVA","OK"))</f>
        <v>BAJO RESERVA</v>
      </c>
      <c r="D27" s="67" t="str">
        <f aca="false">IF(D25&lt;0,"FALTANTE",IF(D25&lt;D26,"BAJO RESERVA","OK"))</f>
        <v>BAJO RESERVA</v>
      </c>
      <c r="E27" s="67" t="str">
        <f aca="false">IF(E25&lt;0,"FALTANTE",IF(E25&lt;E26,"BAJO RESERVA","OK"))</f>
        <v>BAJO RESERVA</v>
      </c>
      <c r="F27" s="67" t="str">
        <f aca="false">IF(F25&lt;0,"FALTANTE",IF(F25&lt;F26,"BAJO RESERVA","OK"))</f>
        <v>BAJO RESERVA</v>
      </c>
      <c r="G27" s="67" t="str">
        <f aca="false">IF(G25&lt;0,"FALTANTE",IF(G25&lt;G26,"BAJO RESERVA","OK"))</f>
        <v>BAJO RESERVA</v>
      </c>
      <c r="H27" s="67" t="str">
        <f aca="false">IF(H25&lt;0,"FALTANTE",IF(H25&lt;H26,"BAJO RESERVA","OK"))</f>
        <v>BAJO RESERVA</v>
      </c>
      <c r="I27" s="67" t="str">
        <f aca="false">IF(I25&lt;0,"FALTANTE",IF(I25&lt;I26,"BAJO RESERVA","OK"))</f>
        <v>BAJO RESERVA</v>
      </c>
      <c r="J27" s="67" t="str">
        <f aca="false">IF(J25&lt;0,"FALTANTE",IF(J25&lt;J26,"BAJO RESERVA","OK"))</f>
        <v>OK</v>
      </c>
      <c r="K27" s="67" t="str">
        <f aca="false">IF(K25&lt;0,"FALTANTE",IF(K25&lt;K26,"BAJO RESERVA","OK"))</f>
        <v>OK</v>
      </c>
      <c r="L27" s="67" t="str">
        <f aca="false">IF(L25&lt;0,"FALTANTE",IF(L25&lt;L26,"BAJO RESERVA","OK"))</f>
        <v>OK</v>
      </c>
      <c r="M27" s="67" t="str">
        <f aca="false">IF(M25&lt;0,"FALTANTE",IF(M25&lt;M26,"BAJO RESERVA","OK"))</f>
        <v>OK</v>
      </c>
      <c r="N27" s="67" t="str">
        <f aca="false">IF(N25&lt;0,"FALTANTE",IF(N25&lt;N26,"BAJO RESERVA","OK"))</f>
        <v>OK</v>
      </c>
      <c r="O27" s="59"/>
    </row>
    <row r="29" customFormat="false" ht="15" hidden="false" customHeight="false" outlineLevel="0" collapsed="false">
      <c r="B29" s="5" t="s">
        <v>603</v>
      </c>
    </row>
    <row r="30" customFormat="false" ht="15" hidden="false" customHeight="false" outlineLevel="0" collapsed="false">
      <c r="B30" s="48" t="s">
        <v>604</v>
      </c>
    </row>
    <row r="31" customFormat="false" ht="15" hidden="false" customHeight="false" outlineLevel="0" collapsed="false">
      <c r="B31" s="48" t="s">
        <v>605</v>
      </c>
    </row>
    <row r="32" customFormat="false" ht="15" hidden="false" customHeight="false" outlineLevel="0" collapsed="false">
      <c r="B32" s="48" t="s">
        <v>606</v>
      </c>
    </row>
    <row r="33" customFormat="false" ht="15" hidden="false" customHeight="false" outlineLevel="0" collapsed="false">
      <c r="B33" s="48" t="s">
        <v>607</v>
      </c>
    </row>
    <row r="34" customFormat="false" ht="15" hidden="false" customHeight="false" outlineLevel="0" collapsed="false">
      <c r="B34" s="48" t="s">
        <v>608</v>
      </c>
    </row>
    <row r="35" customFormat="false" ht="15" hidden="false" customHeight="false" outlineLevel="0" collapsed="false">
      <c r="B35" s="48" t="s">
        <v>609</v>
      </c>
    </row>
  </sheetData>
  <conditionalFormatting sqref="C27:N27">
    <cfRule type="expression" priority="2" aboveAverage="0" equalAverage="0" bottom="0" percent="0" rank="0" text="" dxfId="1">
      <formula>C$27="FALTANTE"</formula>
    </cfRule>
    <cfRule type="expression" priority="3" aboveAverage="0" equalAverage="0" bottom="0" percent="0" rank="0" text="" dxfId="2">
      <formula>C$27="BAJO RESERVA"</formula>
    </cfRule>
    <cfRule type="expression" priority="4" aboveAverage="0" equalAverage="0" bottom="0" percent="0" rank="0" text="" dxfId="3">
      <formula>C$27="OK"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2026-10-08T00:38:18Z</dcterms:created>
  <dc:creator>openpyxl</dc:creator>
  <dc:description/>
  <dc:language>en-US</dc:language>
  <cp:lastModifiedBy/>
  <dcterms:modified xsi:type="dcterms:W3CDTF">2026-10-08T00:38:26Z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